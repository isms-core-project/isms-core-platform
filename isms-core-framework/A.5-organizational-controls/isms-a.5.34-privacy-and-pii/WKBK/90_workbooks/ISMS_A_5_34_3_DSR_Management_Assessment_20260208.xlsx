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DSR Request Inventory" sheetId="2" state="visible" r:id="rId2"/>
    <sheet xmlns:r="http://schemas.openxmlformats.org/officeDocument/2006/relationships" name="3. Request Processing Procedures" sheetId="3" state="visible" r:id="rId3"/>
    <sheet xmlns:r="http://schemas.openxmlformats.org/officeDocument/2006/relationships" name="4. SLA Compliance Tracking" sheetId="4" state="visible" r:id="rId4"/>
    <sheet xmlns:r="http://schemas.openxmlformats.org/officeDocument/2006/relationships" name="5. Exception &amp; Rejection Tracking" sheetId="5" state="visible" r:id="rId5"/>
    <sheet xmlns:r="http://schemas.openxmlformats.org/officeDocument/2006/relationships" name="6. Rights-Specific Analysis" sheetId="6" state="visible" r:id="rId6"/>
    <sheet xmlns:r="http://schemas.openxmlformats.org/officeDocument/2006/relationships" name="7. Evidence Repository" sheetId="7" state="visible" r:id="rId7"/>
    <sheet xmlns:r="http://schemas.openxmlformats.org/officeDocument/2006/relationships" name="8. Dashboard" sheetId="8" state="visible" r:id="rId8"/>
    <sheet xmlns:r="http://schemas.openxmlformats.org/officeDocument/2006/relationships" name="9. Approval &amp;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b val="1"/>
      <color rgb="00003366"/>
      <sz val="12"/>
    </font>
    <font>
      <b val="1"/>
    </font>
    <font>
      <name val="Calibri"/>
      <b val="1"/>
      <color rgb="00FFFFFF"/>
      <sz val="11"/>
    </font>
    <font>
      <b val="1"/>
      <color rgb="00003366"/>
      <sz val="14"/>
    </font>
    <font>
      <b val="1"/>
      <sz val="12"/>
    </font>
    <font>
      <b val="1"/>
      <color rgb="00FFFFFF"/>
    </font>
    <font>
      <i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5" fontId="0" fillId="0" borderId="0" pivotButton="0" quotePrefix="0" xfId="0"/>
    <xf numFmtId="0" fontId="8" fillId="2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10" fillId="0" borderId="0" pivotButton="0" quotePrefix="0" xfId="0"/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8"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ISMS-IMP-A.5.34.3 - Data Subject Rights Management Assessment</t>
        </is>
      </c>
    </row>
    <row r="2">
      <c r="A2" s="2" t="inlineStr">
        <is>
          <t>DSR Request Tracking and SLA Compliance Monitoring</t>
        </is>
      </c>
    </row>
    <row r="3"/>
    <row r="4">
      <c r="A4" s="3" t="inlineStr">
        <is>
          <t>ASSESSMENT OVERVIEW</t>
        </is>
      </c>
    </row>
    <row r="5"/>
    <row r="6" ht="100" customHeight="1">
      <c r="A6" s="4" t="inlineStr">
        <is>
          <t>This assessment tracks all data subject rights (DSR) requests to ensure compliance with:
• GDPR Articles 15-22 (Access, Rectification, Erasure, Restriction, Portability, Object, Automated Decision-Making)
• Swiss FADP Articles 25-28 (Right of access, Right to data portability, Right to rectification)
• 30-day response timeline (GDPR Art. 12(3))
CRITICAL: Non-response or delayed response = regulatory violations and fines.</t>
        </is>
      </c>
    </row>
    <row r="7"/>
    <row r="8"/>
    <row r="9"/>
    <row r="10"/>
    <row r="11"/>
    <row r="12">
      <c r="A12" s="3" t="inlineStr">
        <is>
          <t>THE 7 DATA SUBJECT RIGHTS (GDPR Art. 15-22)</t>
        </is>
      </c>
    </row>
    <row r="13"/>
    <row r="14">
      <c r="A14" s="5" t="inlineStr">
        <is>
          <t>1. Access (Art. 15)</t>
        </is>
      </c>
      <c r="C14" t="inlineStr">
        <is>
          <t>Provide copy of personal data + processing details</t>
        </is>
      </c>
    </row>
    <row r="15">
      <c r="A15" s="5" t="inlineStr">
        <is>
          <t>2. Rectification (Art. 16)</t>
        </is>
      </c>
      <c r="C15" t="inlineStr">
        <is>
          <t>Correct inaccurate personal data</t>
        </is>
      </c>
    </row>
    <row r="16">
      <c r="A16" s="5" t="inlineStr">
        <is>
          <t>3. Erasure (Art. 17)</t>
        </is>
      </c>
      <c r="C16" t="inlineStr">
        <is>
          <t>Delete personal data ('right to be forgotten')</t>
        </is>
      </c>
    </row>
    <row r="17">
      <c r="A17" s="5" t="inlineStr">
        <is>
          <t>4. Restriction (Art. 18)</t>
        </is>
      </c>
      <c r="C17" t="inlineStr">
        <is>
          <t>Suspend processing temporarily</t>
        </is>
      </c>
    </row>
    <row r="18">
      <c r="A18" s="5" t="inlineStr">
        <is>
          <t>5. Portability (Art. 20)</t>
        </is>
      </c>
      <c r="C18" t="inlineStr">
        <is>
          <t>Receive data in machine-readable format</t>
        </is>
      </c>
    </row>
    <row r="19">
      <c r="A19" s="5" t="inlineStr">
        <is>
          <t>6. Object (Art. 21)</t>
        </is>
      </c>
      <c r="C19" t="inlineStr">
        <is>
          <t>Stop specific processing (e.g., direct marketing)</t>
        </is>
      </c>
    </row>
    <row r="20">
      <c r="A20" s="5" t="inlineStr">
        <is>
          <t>7. Automated Decision-Making (Art. 22)</t>
        </is>
      </c>
      <c r="C20" t="inlineStr">
        <is>
          <t>Challenge automated decisions</t>
        </is>
      </c>
    </row>
    <row r="21"/>
    <row r="22"/>
    <row r="23">
      <c r="A23" s="3" t="inlineStr">
        <is>
          <t>30-DAY SLA REQUIREMENT</t>
        </is>
      </c>
    </row>
    <row r="24"/>
    <row r="25">
      <c r="A25" s="6" t="inlineStr">
        <is>
          <t>GDPR Article 12(3): Response within 1 month (30 days) from receipt
Extension: +60 days possible if request is complex (total: 90 days)
Extension notification: Must inform data subject within 30 days with reason for delay
Direct Marketing Objection: IMMEDIATE cessation required (no 30-day grace period)</t>
        </is>
      </c>
    </row>
    <row r="26"/>
    <row r="27"/>
    <row r="28"/>
    <row r="29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2:F2"/>
    <mergeCell ref="A25:F29"/>
    <mergeCell ref="A1:F1"/>
    <mergeCell ref="A6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5" customWidth="1" min="5" max="5"/>
    <col width="30" customWidth="1" min="6" max="6"/>
    <col width="50" customWidth="1" min="7" max="7"/>
    <col width="40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50" customWidth="1" min="17" max="17"/>
    <col width="20" customWidth="1" min="18" max="18"/>
    <col width="40" customWidth="1" min="19" max="19"/>
    <col width="50" customWidth="1" min="20" max="20"/>
    <col width="15" customWidth="1" min="21" max="21"/>
    <col width="15" customWidth="1" min="22" max="22"/>
    <col width="10" customWidth="1" min="23" max="23"/>
    <col width="25" customWidth="1" min="24" max="24"/>
    <col width="15" customWidth="1" min="25" max="25"/>
  </cols>
  <sheetData>
    <row r="1">
      <c r="A1" s="7" t="inlineStr">
        <is>
          <t>Request ID</t>
        </is>
      </c>
      <c r="B1" s="7" t="inlineStr">
        <is>
          <t>Receipt Date</t>
        </is>
      </c>
      <c r="C1" s="7" t="inlineStr">
        <is>
          <t>Request Channel</t>
        </is>
      </c>
      <c r="D1" s="7" t="inlineStr">
        <is>
          <t>Right Type</t>
        </is>
      </c>
      <c r="E1" s="7" t="inlineStr">
        <is>
          <t>Requester Name</t>
        </is>
      </c>
      <c r="F1" s="7" t="inlineStr">
        <is>
          <t>Requester Contact</t>
        </is>
      </c>
      <c r="G1" s="7" t="inlineStr">
        <is>
          <t>Request Description</t>
        </is>
      </c>
      <c r="H1" s="7" t="inlineStr">
        <is>
          <t>Request Scope</t>
        </is>
      </c>
      <c r="I1" s="7" t="inlineStr">
        <is>
          <t>Identity Verification Method</t>
        </is>
      </c>
      <c r="J1" s="7" t="inlineStr">
        <is>
          <t>Verification Status</t>
        </is>
      </c>
      <c r="K1" s="7" t="inlineStr">
        <is>
          <t>Verification Date</t>
        </is>
      </c>
      <c r="L1" s="7" t="inlineStr">
        <is>
          <t>Response Date</t>
        </is>
      </c>
      <c r="M1" s="7" t="inlineStr">
        <is>
          <t>Response Deadline</t>
        </is>
      </c>
      <c r="N1" s="7" t="inlineStr">
        <is>
          <t>Days to Respond</t>
        </is>
      </c>
      <c r="O1" s="7" t="inlineStr">
        <is>
          <t>SLA Status</t>
        </is>
      </c>
      <c r="P1" s="7" t="inlineStr">
        <is>
          <t>Response Method</t>
        </is>
      </c>
      <c r="Q1" s="7" t="inlineStr">
        <is>
          <t>Response Description</t>
        </is>
      </c>
      <c r="R1" s="7" t="inlineStr">
        <is>
          <t>Request Outcome</t>
        </is>
      </c>
      <c r="S1" s="7" t="inlineStr">
        <is>
          <t>Rejection Reason</t>
        </is>
      </c>
      <c r="T1" s="7" t="inlineStr">
        <is>
          <t>Extension Justification</t>
        </is>
      </c>
      <c r="U1" s="7" t="inlineStr">
        <is>
          <t>Requester Satisfaction</t>
        </is>
      </c>
      <c r="V1" s="7" t="inlineStr">
        <is>
          <t>Request Complexity</t>
        </is>
      </c>
      <c r="W1" s="7" t="inlineStr">
        <is>
          <t>Effort (Hours)</t>
        </is>
      </c>
      <c r="X1" s="7" t="inlineStr">
        <is>
          <t>Assigned To</t>
        </is>
      </c>
      <c r="Y1" s="7" t="inlineStr">
        <is>
          <t>Evidence Reference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>
        <f>B2+30</f>
        <v/>
      </c>
      <c r="N2">
        <f>IF(L2="", "", L2-B2)</f>
        <v/>
      </c>
      <c r="O2">
        <f>IF(L2="", "Pending", IF(N2&lt;=30, "Met", "Breached"))</f>
        <v/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9">
        <f>B3+30</f>
        <v/>
      </c>
      <c r="N3">
        <f>IF(L3="", "", L3-B3)</f>
        <v/>
      </c>
      <c r="O3">
        <f>IF(L3="", "Pending", IF(N3&lt;=30, "Met", "Breached"))</f>
        <v/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>
        <f>B4+30</f>
        <v/>
      </c>
      <c r="N4">
        <f>IF(L4="", "", L4-B4)</f>
        <v/>
      </c>
      <c r="O4">
        <f>IF(L4="", "Pending", IF(N4&lt;=30, "Met", "Breached"))</f>
        <v/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>
        <f>B5+30</f>
        <v/>
      </c>
      <c r="N5">
        <f>IF(L5="", "", L5-B5)</f>
        <v/>
      </c>
      <c r="O5">
        <f>IF(L5="", "Pending", IF(N5&lt;=30, "Met", "Breached"))</f>
        <v/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>
        <f>B6+30</f>
        <v/>
      </c>
      <c r="N6">
        <f>IF(L6="", "", L6-B6)</f>
        <v/>
      </c>
      <c r="O6">
        <f>IF(L6="", "Pending", IF(N6&lt;=30, "Met", "Breached"))</f>
        <v/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>
        <f>B7+30</f>
        <v/>
      </c>
      <c r="N7">
        <f>IF(L7="", "", L7-B7)</f>
        <v/>
      </c>
      <c r="O7">
        <f>IF(L7="", "Pending", IF(N7&lt;=30, "Met", "Breached"))</f>
        <v/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>
        <f>B8+30</f>
        <v/>
      </c>
      <c r="N8">
        <f>IF(L8="", "", L8-B8)</f>
        <v/>
      </c>
      <c r="O8">
        <f>IF(L8="", "Pending", IF(N8&lt;=30, "Met", "Breached"))</f>
        <v/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>
        <f>B9+30</f>
        <v/>
      </c>
      <c r="N9">
        <f>IF(L9="", "", L9-B9)</f>
        <v/>
      </c>
      <c r="O9">
        <f>IF(L9="", "Pending", IF(N9&lt;=30, "Met", "Breached"))</f>
        <v/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9">
        <f>B10+30</f>
        <v/>
      </c>
      <c r="N10">
        <f>IF(L10="", "", L10-B10)</f>
        <v/>
      </c>
      <c r="O10">
        <f>IF(L10="", "Pending", IF(N10&lt;=30, "Met", "Breached"))</f>
        <v/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>
        <f>B11+30</f>
        <v/>
      </c>
      <c r="N11">
        <f>IF(L11="", "", L11-B11)</f>
        <v/>
      </c>
      <c r="O11">
        <f>IF(L11="", "Pending", IF(N11&lt;=30, "Met", "Breached"))</f>
        <v/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>
        <f>B12+30</f>
        <v/>
      </c>
      <c r="N12">
        <f>IF(L12="", "", L12-B12)</f>
        <v/>
      </c>
      <c r="O12">
        <f>IF(L12="", "Pending", IF(N12&lt;=30, "Met", "Breached"))</f>
        <v/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>
        <f>B13+30</f>
        <v/>
      </c>
      <c r="N13">
        <f>IF(L13="", "", L13-B13)</f>
        <v/>
      </c>
      <c r="O13">
        <f>IF(L13="", "Pending", IF(N13&lt;=30, "Met", "Breached"))</f>
        <v/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>
        <f>B14+30</f>
        <v/>
      </c>
      <c r="N14">
        <f>IF(L14="", "", L14-B14)</f>
        <v/>
      </c>
      <c r="O14">
        <f>IF(L14="", "Pending", IF(N14&lt;=30, "Met", "Breached"))</f>
        <v/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>
        <f>B15+30</f>
        <v/>
      </c>
      <c r="N15">
        <f>IF(L15="", "", L15-B15)</f>
        <v/>
      </c>
      <c r="O15">
        <f>IF(L15="", "Pending", IF(N15&lt;=30, "Met", "Breached"))</f>
        <v/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>
        <f>B16+30</f>
        <v/>
      </c>
      <c r="N16">
        <f>IF(L16="", "", L16-B16)</f>
        <v/>
      </c>
      <c r="O16">
        <f>IF(L16="", "Pending", IF(N16&lt;=30, "Met", "Breached"))</f>
        <v/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>
        <f>B17+30</f>
        <v/>
      </c>
      <c r="N17">
        <f>IF(L17="", "", L17-B17)</f>
        <v/>
      </c>
      <c r="O17">
        <f>IF(L17="", "Pending", IF(N17&lt;=30, "Met", "Breached"))</f>
        <v/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>
        <f>B18+30</f>
        <v/>
      </c>
      <c r="N18">
        <f>IF(L18="", "", L18-B18)</f>
        <v/>
      </c>
      <c r="O18">
        <f>IF(L18="", "Pending", IF(N18&lt;=30, "Met", "Breached"))</f>
        <v/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>
        <f>B19+30</f>
        <v/>
      </c>
      <c r="N19">
        <f>IF(L19="", "", L19-B19)</f>
        <v/>
      </c>
      <c r="O19">
        <f>IF(L19="", "Pending", IF(N19&lt;=30, "Met", "Breached"))</f>
        <v/>
      </c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>
        <f>B20+30</f>
        <v/>
      </c>
      <c r="N20">
        <f>IF(L20="", "", L20-B20)</f>
        <v/>
      </c>
      <c r="O20">
        <f>IF(L20="", "Pending", IF(N20&lt;=30, "Met", "Breached"))</f>
        <v/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>
        <f>B21+30</f>
        <v/>
      </c>
      <c r="N21">
        <f>IF(L21="", "", L21-B21)</f>
        <v/>
      </c>
      <c r="O21">
        <f>IF(L21="", "Pending", IF(N21&lt;=30, "Met", "Breached"))</f>
        <v/>
      </c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>
        <f>B22+30</f>
        <v/>
      </c>
      <c r="N22">
        <f>IF(L22="", "", L22-B22)</f>
        <v/>
      </c>
      <c r="O22">
        <f>IF(L22="", "Pending", IF(N22&lt;=30, "Met", "Breached"))</f>
        <v/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>
        <f>B23+30</f>
        <v/>
      </c>
      <c r="N23">
        <f>IF(L23="", "", L23-B23)</f>
        <v/>
      </c>
      <c r="O23">
        <f>IF(L23="", "Pending", IF(N23&lt;=30, "Met", "Breached"))</f>
        <v/>
      </c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>
        <f>B24+30</f>
        <v/>
      </c>
      <c r="N24">
        <f>IF(L24="", "", L24-B24)</f>
        <v/>
      </c>
      <c r="O24">
        <f>IF(L24="", "Pending", IF(N24&lt;=30, "Met", "Breached"))</f>
        <v/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>
        <f>B25+30</f>
        <v/>
      </c>
      <c r="N25">
        <f>IF(L25="", "", L25-B25)</f>
        <v/>
      </c>
      <c r="O25">
        <f>IF(L25="", "Pending", IF(N25&lt;=30, "Met", "Breached"))</f>
        <v/>
      </c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>
        <f>B26+30</f>
        <v/>
      </c>
      <c r="N26">
        <f>IF(L26="", "", L26-B26)</f>
        <v/>
      </c>
      <c r="O26">
        <f>IF(L26="", "Pending", IF(N26&lt;=30, "Met", "Breached"))</f>
        <v/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>
        <f>B27+30</f>
        <v/>
      </c>
      <c r="N27">
        <f>IF(L27="", "", L27-B27)</f>
        <v/>
      </c>
      <c r="O27">
        <f>IF(L27="", "Pending", IF(N27&lt;=30, "Met", "Breached"))</f>
        <v/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>
        <f>B28+30</f>
        <v/>
      </c>
      <c r="N28">
        <f>IF(L28="", "", L28-B28)</f>
        <v/>
      </c>
      <c r="O28">
        <f>IF(L28="", "Pending", IF(N28&lt;=30, "Met", "Breached"))</f>
        <v/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>
        <f>B29+30</f>
        <v/>
      </c>
      <c r="N29">
        <f>IF(L29="", "", L29-B29)</f>
        <v/>
      </c>
      <c r="O29">
        <f>IF(L29="", "Pending", IF(N29&lt;=30, "Met", "Breached"))</f>
        <v/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>
        <f>B30+30</f>
        <v/>
      </c>
      <c r="N30">
        <f>IF(L30="", "", L30-B30)</f>
        <v/>
      </c>
      <c r="O30">
        <f>IF(L30="", "Pending", IF(N30&lt;=30, "Met", "Breached"))</f>
        <v/>
      </c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>
        <f>B31+30</f>
        <v/>
      </c>
      <c r="N31">
        <f>IF(L31="", "", L31-B31)</f>
        <v/>
      </c>
      <c r="O31">
        <f>IF(L31="", "Pending", IF(N31&lt;=30, "Met", "Breached"))</f>
        <v/>
      </c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>
        <f>B32+30</f>
        <v/>
      </c>
      <c r="N32">
        <f>IF(L32="", "", L32-B32)</f>
        <v/>
      </c>
      <c r="O32">
        <f>IF(L32="", "Pending", IF(N32&lt;=30, "Met", "Breached"))</f>
        <v/>
      </c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>
        <f>B33+30</f>
        <v/>
      </c>
      <c r="N33">
        <f>IF(L33="", "", L33-B33)</f>
        <v/>
      </c>
      <c r="O33">
        <f>IF(L33="", "Pending", IF(N33&lt;=30, "Met", "Breached"))</f>
        <v/>
      </c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>
        <f>B34+30</f>
        <v/>
      </c>
      <c r="N34">
        <f>IF(L34="", "", L34-B34)</f>
        <v/>
      </c>
      <c r="O34">
        <f>IF(L34="", "Pending", IF(N34&lt;=30, "Met", "Breached"))</f>
        <v/>
      </c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>
        <f>B35+30</f>
        <v/>
      </c>
      <c r="N35">
        <f>IF(L35="", "", L35-B35)</f>
        <v/>
      </c>
      <c r="O35">
        <f>IF(L35="", "Pending", IF(N35&lt;=30, "Met", "Breached"))</f>
        <v/>
      </c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>
        <f>B36+30</f>
        <v/>
      </c>
      <c r="N36">
        <f>IF(L36="", "", L36-B36)</f>
        <v/>
      </c>
      <c r="O36">
        <f>IF(L36="", "Pending", IF(N36&lt;=30, "Met", "Breached"))</f>
        <v/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>
        <f>B37+30</f>
        <v/>
      </c>
      <c r="N37">
        <f>IF(L37="", "", L37-B37)</f>
        <v/>
      </c>
      <c r="O37">
        <f>IF(L37="", "Pending", IF(N37&lt;=30, "Met", "Breached"))</f>
        <v/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>
        <f>B38+30</f>
        <v/>
      </c>
      <c r="N38">
        <f>IF(L38="", "", L38-B38)</f>
        <v/>
      </c>
      <c r="O38">
        <f>IF(L38="", "Pending", IF(N38&lt;=30, "Met", "Breached"))</f>
        <v/>
      </c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>
        <f>B39+30</f>
        <v/>
      </c>
      <c r="N39">
        <f>IF(L39="", "", L39-B39)</f>
        <v/>
      </c>
      <c r="O39">
        <f>IF(L39="", "Pending", IF(N39&lt;=30, "Met", "Breached"))</f>
        <v/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>
        <f>B40+30</f>
        <v/>
      </c>
      <c r="N40">
        <f>IF(L40="", "", L40-B40)</f>
        <v/>
      </c>
      <c r="O40">
        <f>IF(L40="", "Pending", IF(N40&lt;=30, "Met", "Breached"))</f>
        <v/>
      </c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>
        <f>B41+30</f>
        <v/>
      </c>
      <c r="N41">
        <f>IF(L41="", "", L41-B41)</f>
        <v/>
      </c>
      <c r="O41">
        <f>IF(L41="", "Pending", IF(N41&lt;=30, "Met", "Breached"))</f>
        <v/>
      </c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>
        <f>B42+30</f>
        <v/>
      </c>
      <c r="N42">
        <f>IF(L42="", "", L42-B42)</f>
        <v/>
      </c>
      <c r="O42">
        <f>IF(L42="", "Pending", IF(N42&lt;=30, "Met", "Breached"))</f>
        <v/>
      </c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>
        <f>B43+30</f>
        <v/>
      </c>
      <c r="N43">
        <f>IF(L43="", "", L43-B43)</f>
        <v/>
      </c>
      <c r="O43">
        <f>IF(L43="", "Pending", IF(N43&lt;=30, "Met", "Breached"))</f>
        <v/>
      </c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>
        <f>B44+30</f>
        <v/>
      </c>
      <c r="N44">
        <f>IF(L44="", "", L44-B44)</f>
        <v/>
      </c>
      <c r="O44">
        <f>IF(L44="", "Pending", IF(N44&lt;=30, "Met", "Breached"))</f>
        <v/>
      </c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>
        <f>B45+30</f>
        <v/>
      </c>
      <c r="N45">
        <f>IF(L45="", "", L45-B45)</f>
        <v/>
      </c>
      <c r="O45">
        <f>IF(L45="", "Pending", IF(N45&lt;=30, "Met", "Breached"))</f>
        <v/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>
        <f>B46+30</f>
        <v/>
      </c>
      <c r="N46">
        <f>IF(L46="", "", L46-B46)</f>
        <v/>
      </c>
      <c r="O46">
        <f>IF(L46="", "Pending", IF(N46&lt;=30, "Met", "Breached"))</f>
        <v/>
      </c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>
        <f>B47+30</f>
        <v/>
      </c>
      <c r="N47">
        <f>IF(L47="", "", L47-B47)</f>
        <v/>
      </c>
      <c r="O47">
        <f>IF(L47="", "Pending", IF(N47&lt;=30, "Met", "Breached"))</f>
        <v/>
      </c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>
        <f>B48+30</f>
        <v/>
      </c>
      <c r="N48">
        <f>IF(L48="", "", L48-B48)</f>
        <v/>
      </c>
      <c r="O48">
        <f>IF(L48="", "Pending", IF(N48&lt;=30, "Met", "Breached"))</f>
        <v/>
      </c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>
        <f>B49+30</f>
        <v/>
      </c>
      <c r="N49">
        <f>IF(L49="", "", L49-B49)</f>
        <v/>
      </c>
      <c r="O49">
        <f>IF(L49="", "Pending", IF(N49&lt;=30, "Met", "Breached"))</f>
        <v/>
      </c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9">
        <f>B50+30</f>
        <v/>
      </c>
      <c r="N50">
        <f>IF(L50="", "", L50-B50)</f>
        <v/>
      </c>
      <c r="O50">
        <f>IF(L50="", "Pending", IF(N50&lt;=30, "Met", "Breached"))</f>
        <v/>
      </c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9">
        <f>B51+30</f>
        <v/>
      </c>
      <c r="N51">
        <f>IF(L51="", "", L51-B51)</f>
        <v/>
      </c>
      <c r="O51">
        <f>IF(L51="", "Pending", IF(N51&lt;=30, "Met", "Breached"))</f>
        <v/>
      </c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9">
        <f>B52+30</f>
        <v/>
      </c>
      <c r="N52">
        <f>IF(L52="", "", L52-B52)</f>
        <v/>
      </c>
      <c r="O52">
        <f>IF(L52="", "Pending", IF(N52&lt;=30, "Met", "Breached"))</f>
        <v/>
      </c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9">
        <f>B53+30</f>
        <v/>
      </c>
      <c r="N53">
        <f>IF(L53="", "", L53-B53)</f>
        <v/>
      </c>
      <c r="O53">
        <f>IF(L53="", "Pending", IF(N53&lt;=30, "Met", "Breached"))</f>
        <v/>
      </c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9">
        <f>B54+30</f>
        <v/>
      </c>
      <c r="N54">
        <f>IF(L54="", "", L54-B54)</f>
        <v/>
      </c>
      <c r="O54">
        <f>IF(L54="", "Pending", IF(N54&lt;=30, "Met", "Breached"))</f>
        <v/>
      </c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9">
        <f>B55+30</f>
        <v/>
      </c>
      <c r="N55">
        <f>IF(L55="", "", L55-B55)</f>
        <v/>
      </c>
      <c r="O55">
        <f>IF(L55="", "Pending", IF(N55&lt;=30, "Met", "Breached"))</f>
        <v/>
      </c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>
        <f>B56+30</f>
        <v/>
      </c>
      <c r="N56">
        <f>IF(L56="", "", L56-B56)</f>
        <v/>
      </c>
      <c r="O56">
        <f>IF(L56="", "Pending", IF(N56&lt;=30, "Met", "Breached"))</f>
        <v/>
      </c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9">
        <f>B57+30</f>
        <v/>
      </c>
      <c r="N57">
        <f>IF(L57="", "", L57-B57)</f>
        <v/>
      </c>
      <c r="O57">
        <f>IF(L57="", "Pending", IF(N57&lt;=30, "Met", "Breached"))</f>
        <v/>
      </c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>
        <f>B58+30</f>
        <v/>
      </c>
      <c r="N58">
        <f>IF(L58="", "", L58-B58)</f>
        <v/>
      </c>
      <c r="O58">
        <f>IF(L58="", "Pending", IF(N58&lt;=30, "Met", "Breached"))</f>
        <v/>
      </c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9">
        <f>B59+30</f>
        <v/>
      </c>
      <c r="N59">
        <f>IF(L59="", "", L59-B59)</f>
        <v/>
      </c>
      <c r="O59">
        <f>IF(L59="", "Pending", IF(N59&lt;=30, "Met", "Breached"))</f>
        <v/>
      </c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9">
        <f>B60+30</f>
        <v/>
      </c>
      <c r="N60">
        <f>IF(L60="", "", L60-B60)</f>
        <v/>
      </c>
      <c r="O60">
        <f>IF(L60="", "Pending", IF(N60&lt;=30, "Met", "Breached"))</f>
        <v/>
      </c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9">
        <f>B61+30</f>
        <v/>
      </c>
      <c r="N61">
        <f>IF(L61="", "", L61-B61)</f>
        <v/>
      </c>
      <c r="O61">
        <f>IF(L61="", "Pending", IF(N61&lt;=30, "Met", "Breached"))</f>
        <v/>
      </c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9">
        <f>B62+30</f>
        <v/>
      </c>
      <c r="N62">
        <f>IF(L62="", "", L62-B62)</f>
        <v/>
      </c>
      <c r="O62">
        <f>IF(L62="", "Pending", IF(N62&lt;=30, "Met", "Breached"))</f>
        <v/>
      </c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9">
        <f>B63+30</f>
        <v/>
      </c>
      <c r="N63">
        <f>IF(L63="", "", L63-B63)</f>
        <v/>
      </c>
      <c r="O63">
        <f>IF(L63="", "Pending", IF(N63&lt;=30, "Met", "Breached"))</f>
        <v/>
      </c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9">
        <f>B64+30</f>
        <v/>
      </c>
      <c r="N64">
        <f>IF(L64="", "", L64-B64)</f>
        <v/>
      </c>
      <c r="O64">
        <f>IF(L64="", "Pending", IF(N64&lt;=30, "Met", "Breached"))</f>
        <v/>
      </c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9">
        <f>B65+30</f>
        <v/>
      </c>
      <c r="N65">
        <f>IF(L65="", "", L65-B65)</f>
        <v/>
      </c>
      <c r="O65">
        <f>IF(L65="", "Pending", IF(N65&lt;=30, "Met", "Breached"))</f>
        <v/>
      </c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>
        <f>B66+30</f>
        <v/>
      </c>
      <c r="N66">
        <f>IF(L66="", "", L66-B66)</f>
        <v/>
      </c>
      <c r="O66">
        <f>IF(L66="", "Pending", IF(N66&lt;=30, "Met", "Breached"))</f>
        <v/>
      </c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9">
        <f>B67+30</f>
        <v/>
      </c>
      <c r="N67">
        <f>IF(L67="", "", L67-B67)</f>
        <v/>
      </c>
      <c r="O67">
        <f>IF(L67="", "Pending", IF(N67&lt;=30, "Met", "Breached"))</f>
        <v/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9">
        <f>B68+30</f>
        <v/>
      </c>
      <c r="N68">
        <f>IF(L68="", "", L68-B68)</f>
        <v/>
      </c>
      <c r="O68">
        <f>IF(L68="", "Pending", IF(N68&lt;=30, "Met", "Breached"))</f>
        <v/>
      </c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9">
        <f>B69+30</f>
        <v/>
      </c>
      <c r="N69">
        <f>IF(L69="", "", L69-B69)</f>
        <v/>
      </c>
      <c r="O69">
        <f>IF(L69="", "Pending", IF(N69&lt;=30, "Met", "Breached"))</f>
        <v/>
      </c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9">
        <f>B70+30</f>
        <v/>
      </c>
      <c r="N70">
        <f>IF(L70="", "", L70-B70)</f>
        <v/>
      </c>
      <c r="O70">
        <f>IF(L70="", "Pending", IF(N70&lt;=30, "Met", "Breached"))</f>
        <v/>
      </c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9">
        <f>B71+30</f>
        <v/>
      </c>
      <c r="N71">
        <f>IF(L71="", "", L71-B71)</f>
        <v/>
      </c>
      <c r="O71">
        <f>IF(L71="", "Pending", IF(N71&lt;=30, "Met", "Breached"))</f>
        <v/>
      </c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9">
        <f>B72+30</f>
        <v/>
      </c>
      <c r="N72">
        <f>IF(L72="", "", L72-B72)</f>
        <v/>
      </c>
      <c r="O72">
        <f>IF(L72="", "Pending", IF(N72&lt;=30, "Met", "Breached"))</f>
        <v/>
      </c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9">
        <f>B73+30</f>
        <v/>
      </c>
      <c r="N73">
        <f>IF(L73="", "", L73-B73)</f>
        <v/>
      </c>
      <c r="O73">
        <f>IF(L73="", "Pending", IF(N73&lt;=30, "Met", "Breached"))</f>
        <v/>
      </c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9">
        <f>B74+30</f>
        <v/>
      </c>
      <c r="N74">
        <f>IF(L74="", "", L74-B74)</f>
        <v/>
      </c>
      <c r="O74">
        <f>IF(L74="", "Pending", IF(N74&lt;=30, "Met", "Breached"))</f>
        <v/>
      </c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9">
        <f>B75+30</f>
        <v/>
      </c>
      <c r="N75">
        <f>IF(L75="", "", L75-B75)</f>
        <v/>
      </c>
      <c r="O75">
        <f>IF(L75="", "Pending", IF(N75&lt;=30, "Met", "Breached"))</f>
        <v/>
      </c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9">
        <f>B76+30</f>
        <v/>
      </c>
      <c r="N76">
        <f>IF(L76="", "", L76-B76)</f>
        <v/>
      </c>
      <c r="O76">
        <f>IF(L76="", "Pending", IF(N76&lt;=30, "Met", "Breached"))</f>
        <v/>
      </c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9">
        <f>B77+30</f>
        <v/>
      </c>
      <c r="N77">
        <f>IF(L77="", "", L77-B77)</f>
        <v/>
      </c>
      <c r="O77">
        <f>IF(L77="", "Pending", IF(N77&lt;=30, "Met", "Breached"))</f>
        <v/>
      </c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9">
        <f>B78+30</f>
        <v/>
      </c>
      <c r="N78">
        <f>IF(L78="", "", L78-B78)</f>
        <v/>
      </c>
      <c r="O78">
        <f>IF(L78="", "Pending", IF(N78&lt;=30, "Met", "Breached"))</f>
        <v/>
      </c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9">
        <f>B79+30</f>
        <v/>
      </c>
      <c r="N79">
        <f>IF(L79="", "", L79-B79)</f>
        <v/>
      </c>
      <c r="O79">
        <f>IF(L79="", "Pending", IF(N79&lt;=30, "Met", "Breached"))</f>
        <v/>
      </c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>
        <f>B80+30</f>
        <v/>
      </c>
      <c r="N80">
        <f>IF(L80="", "", L80-B80)</f>
        <v/>
      </c>
      <c r="O80">
        <f>IF(L80="", "Pending", IF(N80&lt;=30, "Met", "Breached"))</f>
        <v/>
      </c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>
        <f>B81+30</f>
        <v/>
      </c>
      <c r="N81">
        <f>IF(L81="", "", L81-B81)</f>
        <v/>
      </c>
      <c r="O81">
        <f>IF(L81="", "Pending", IF(N81&lt;=30, "Met", "Breached"))</f>
        <v/>
      </c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>
        <f>B82+30</f>
        <v/>
      </c>
      <c r="N82">
        <f>IF(L82="", "", L82-B82)</f>
        <v/>
      </c>
      <c r="O82">
        <f>IF(L82="", "Pending", IF(N82&lt;=30, "Met", "Breached"))</f>
        <v/>
      </c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>
        <f>B83+30</f>
        <v/>
      </c>
      <c r="N83">
        <f>IF(L83="", "", L83-B83)</f>
        <v/>
      </c>
      <c r="O83">
        <f>IF(L83="", "Pending", IF(N83&lt;=30, "Met", "Breached"))</f>
        <v/>
      </c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>
        <f>B84+30</f>
        <v/>
      </c>
      <c r="N84">
        <f>IF(L84="", "", L84-B84)</f>
        <v/>
      </c>
      <c r="O84">
        <f>IF(L84="", "Pending", IF(N84&lt;=30, "Met", "Breached"))</f>
        <v/>
      </c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>
        <f>B85+30</f>
        <v/>
      </c>
      <c r="N85">
        <f>IF(L85="", "", L85-B85)</f>
        <v/>
      </c>
      <c r="O85">
        <f>IF(L85="", "Pending", IF(N85&lt;=30, "Met", "Breached"))</f>
        <v/>
      </c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9">
        <f>B86+30</f>
        <v/>
      </c>
      <c r="N86">
        <f>IF(L86="", "", L86-B86)</f>
        <v/>
      </c>
      <c r="O86">
        <f>IF(L86="", "Pending", IF(N86&lt;=30, "Met", "Breached"))</f>
        <v/>
      </c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9">
        <f>B87+30</f>
        <v/>
      </c>
      <c r="N87">
        <f>IF(L87="", "", L87-B87)</f>
        <v/>
      </c>
      <c r="O87">
        <f>IF(L87="", "Pending", IF(N87&lt;=30, "Met", "Breached"))</f>
        <v/>
      </c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>
        <f>B88+30</f>
        <v/>
      </c>
      <c r="N88">
        <f>IF(L88="", "", L88-B88)</f>
        <v/>
      </c>
      <c r="O88">
        <f>IF(L88="", "Pending", IF(N88&lt;=30, "Met", "Breached"))</f>
        <v/>
      </c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9">
        <f>B89+30</f>
        <v/>
      </c>
      <c r="N89">
        <f>IF(L89="", "", L89-B89)</f>
        <v/>
      </c>
      <c r="O89">
        <f>IF(L89="", "Pending", IF(N89&lt;=30, "Met", "Breached"))</f>
        <v/>
      </c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9">
        <f>B90+30</f>
        <v/>
      </c>
      <c r="N90">
        <f>IF(L90="", "", L90-B90)</f>
        <v/>
      </c>
      <c r="O90">
        <f>IF(L90="", "Pending", IF(N90&lt;=30, "Met", "Breached"))</f>
        <v/>
      </c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9">
        <f>B91+30</f>
        <v/>
      </c>
      <c r="N91">
        <f>IF(L91="", "", L91-B91)</f>
        <v/>
      </c>
      <c r="O91">
        <f>IF(L91="", "Pending", IF(N91&lt;=30, "Met", "Breached"))</f>
        <v/>
      </c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9">
        <f>B92+30</f>
        <v/>
      </c>
      <c r="N92">
        <f>IF(L92="", "", L92-B92)</f>
        <v/>
      </c>
      <c r="O92">
        <f>IF(L92="", "Pending", IF(N92&lt;=30, "Met", "Breached"))</f>
        <v/>
      </c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9">
        <f>B93+30</f>
        <v/>
      </c>
      <c r="N93">
        <f>IF(L93="", "", L93-B93)</f>
        <v/>
      </c>
      <c r="O93">
        <f>IF(L93="", "Pending", IF(N93&lt;=30, "Met", "Breached"))</f>
        <v/>
      </c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9">
        <f>B94+30</f>
        <v/>
      </c>
      <c r="N94">
        <f>IF(L94="", "", L94-B94)</f>
        <v/>
      </c>
      <c r="O94">
        <f>IF(L94="", "Pending", IF(N94&lt;=30, "Met", "Breached"))</f>
        <v/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9">
        <f>B95+30</f>
        <v/>
      </c>
      <c r="N95">
        <f>IF(L95="", "", L95-B95)</f>
        <v/>
      </c>
      <c r="O95">
        <f>IF(L95="", "Pending", IF(N95&lt;=30, "Met", "Breached"))</f>
        <v/>
      </c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9">
        <f>B96+30</f>
        <v/>
      </c>
      <c r="N96">
        <f>IF(L96="", "", L96-B96)</f>
        <v/>
      </c>
      <c r="O96">
        <f>IF(L96="", "Pending", IF(N96&lt;=30, "Met", "Breached"))</f>
        <v/>
      </c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>
        <f>B97+30</f>
        <v/>
      </c>
      <c r="N97">
        <f>IF(L97="", "", L97-B97)</f>
        <v/>
      </c>
      <c r="O97">
        <f>IF(L97="", "Pending", IF(N97&lt;=30, "Met", "Breached"))</f>
        <v/>
      </c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>
        <f>B98+30</f>
        <v/>
      </c>
      <c r="N98">
        <f>IF(L98="", "", L98-B98)</f>
        <v/>
      </c>
      <c r="O98">
        <f>IF(L98="", "Pending", IF(N98&lt;=30, "Met", "Breached"))</f>
        <v/>
      </c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>
        <f>B99+30</f>
        <v/>
      </c>
      <c r="N99">
        <f>IF(L99="", "", L99-B99)</f>
        <v/>
      </c>
      <c r="O99">
        <f>IF(L99="", "Pending", IF(N99&lt;=30, "Met", "Breached"))</f>
        <v/>
      </c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>
        <f>B100+30</f>
        <v/>
      </c>
      <c r="N100">
        <f>IF(L100="", "", L100-B100)</f>
        <v/>
      </c>
      <c r="O100">
        <f>IF(L100="", "Pending", IF(N100&lt;=30, "Met", "Breached"))</f>
        <v/>
      </c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>
        <f>B101+30</f>
        <v/>
      </c>
      <c r="N101">
        <f>IF(L101="", "", L101-B101)</f>
        <v/>
      </c>
      <c r="O101">
        <f>IF(L101="", "Pending", IF(N101&lt;=30, "Met", "Breached"))</f>
        <v/>
      </c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>
        <f>B102+30</f>
        <v/>
      </c>
      <c r="N102">
        <f>IF(L102="", "", L102-B102)</f>
        <v/>
      </c>
      <c r="O102">
        <f>IF(L102="", "Pending", IF(N102&lt;=30, "Met", "Breached"))</f>
        <v/>
      </c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>
        <f>B103+30</f>
        <v/>
      </c>
      <c r="N103">
        <f>IF(L103="", "", L103-B103)</f>
        <v/>
      </c>
      <c r="O103">
        <f>IF(L103="", "Pending", IF(N103&lt;=30, "Met", "Breached"))</f>
        <v/>
      </c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>
        <f>B104+30</f>
        <v/>
      </c>
      <c r="N104">
        <f>IF(L104="", "", L104-B104)</f>
        <v/>
      </c>
      <c r="O104">
        <f>IF(L104="", "Pending", IF(N104&lt;=30, "Met", "Breached"))</f>
        <v/>
      </c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>
        <f>B105+30</f>
        <v/>
      </c>
      <c r="N105">
        <f>IF(L105="", "", L105-B105)</f>
        <v/>
      </c>
      <c r="O105">
        <f>IF(L105="", "Pending", IF(N105&lt;=30, "Met", "Breached"))</f>
        <v/>
      </c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>
        <f>B106+30</f>
        <v/>
      </c>
      <c r="N106">
        <f>IF(L106="", "", L106-B106)</f>
        <v/>
      </c>
      <c r="O106">
        <f>IF(L106="", "Pending", IF(N106&lt;=30, "Met", "Breached"))</f>
        <v/>
      </c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>
        <f>B107+30</f>
        <v/>
      </c>
      <c r="N107">
        <f>IF(L107="", "", L107-B107)</f>
        <v/>
      </c>
      <c r="O107">
        <f>IF(L107="", "Pending", IF(N107&lt;=30, "Met", "Breached"))</f>
        <v/>
      </c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>
        <f>B108+30</f>
        <v/>
      </c>
      <c r="N108">
        <f>IF(L108="", "", L108-B108)</f>
        <v/>
      </c>
      <c r="O108">
        <f>IF(L108="", "Pending", IF(N108&lt;=30, "Met", "Breached"))</f>
        <v/>
      </c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>
        <f>B109+30</f>
        <v/>
      </c>
      <c r="N109">
        <f>IF(L109="", "", L109-B109)</f>
        <v/>
      </c>
      <c r="O109">
        <f>IF(L109="", "Pending", IF(N109&lt;=30, "Met", "Breached"))</f>
        <v/>
      </c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>
        <f>B110+30</f>
        <v/>
      </c>
      <c r="N110">
        <f>IF(L110="", "", L110-B110)</f>
        <v/>
      </c>
      <c r="O110">
        <f>IF(L110="", "Pending", IF(N110&lt;=30, "Met", "Breached"))</f>
        <v/>
      </c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>
        <f>B111+30</f>
        <v/>
      </c>
      <c r="N111">
        <f>IF(L111="", "", L111-B111)</f>
        <v/>
      </c>
      <c r="O111">
        <f>IF(L111="", "Pending", IF(N111&lt;=30, "Met", "Breached"))</f>
        <v/>
      </c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>
        <f>B112+30</f>
        <v/>
      </c>
      <c r="N112">
        <f>IF(L112="", "", L112-B112)</f>
        <v/>
      </c>
      <c r="O112">
        <f>IF(L112="", "Pending", IF(N112&lt;=30, "Met", "Breached"))</f>
        <v/>
      </c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>
        <f>B113+30</f>
        <v/>
      </c>
      <c r="N113">
        <f>IF(L113="", "", L113-B113)</f>
        <v/>
      </c>
      <c r="O113">
        <f>IF(L113="", "Pending", IF(N113&lt;=30, "Met", "Breached"))</f>
        <v/>
      </c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>
        <f>B114+30</f>
        <v/>
      </c>
      <c r="N114">
        <f>IF(L114="", "", L114-B114)</f>
        <v/>
      </c>
      <c r="O114">
        <f>IF(L114="", "Pending", IF(N114&lt;=30, "Met", "Breached"))</f>
        <v/>
      </c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>
        <f>B115+30</f>
        <v/>
      </c>
      <c r="N115">
        <f>IF(L115="", "", L115-B115)</f>
        <v/>
      </c>
      <c r="O115">
        <f>IF(L115="", "Pending", IF(N115&lt;=30, "Met", "Breached"))</f>
        <v/>
      </c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>
        <f>B116+30</f>
        <v/>
      </c>
      <c r="N116">
        <f>IF(L116="", "", L116-B116)</f>
        <v/>
      </c>
      <c r="O116">
        <f>IF(L116="", "Pending", IF(N116&lt;=30, "Met", "Breached"))</f>
        <v/>
      </c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>
        <f>B117+30</f>
        <v/>
      </c>
      <c r="N117">
        <f>IF(L117="", "", L117-B117)</f>
        <v/>
      </c>
      <c r="O117">
        <f>IF(L117="", "Pending", IF(N117&lt;=30, "Met", "Breached"))</f>
        <v/>
      </c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>
        <f>B118+30</f>
        <v/>
      </c>
      <c r="N118">
        <f>IF(L118="", "", L118-B118)</f>
        <v/>
      </c>
      <c r="O118">
        <f>IF(L118="", "Pending", IF(N118&lt;=30, "Met", "Breached"))</f>
        <v/>
      </c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>
        <f>B119+30</f>
        <v/>
      </c>
      <c r="N119">
        <f>IF(L119="", "", L119-B119)</f>
        <v/>
      </c>
      <c r="O119">
        <f>IF(L119="", "Pending", IF(N119&lt;=30, "Met", "Breached"))</f>
        <v/>
      </c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>
        <f>B120+30</f>
        <v/>
      </c>
      <c r="N120">
        <f>IF(L120="", "", L120-B120)</f>
        <v/>
      </c>
      <c r="O120">
        <f>IF(L120="", "Pending", IF(N120&lt;=30, "Met", "Breached"))</f>
        <v/>
      </c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>
        <f>B121+30</f>
        <v/>
      </c>
      <c r="N121">
        <f>IF(L121="", "", L121-B121)</f>
        <v/>
      </c>
      <c r="O121">
        <f>IF(L121="", "Pending", IF(N121&lt;=30, "Met", "Breached"))</f>
        <v/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>
        <f>B122+30</f>
        <v/>
      </c>
      <c r="N122">
        <f>IF(L122="", "", L122-B122)</f>
        <v/>
      </c>
      <c r="O122">
        <f>IF(L122="", "Pending", IF(N122&lt;=30, "Met", "Breached"))</f>
        <v/>
      </c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>
        <f>B123+30</f>
        <v/>
      </c>
      <c r="N123">
        <f>IF(L123="", "", L123-B123)</f>
        <v/>
      </c>
      <c r="O123">
        <f>IF(L123="", "Pending", IF(N123&lt;=30, "Met", "Breached"))</f>
        <v/>
      </c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>
        <f>B124+30</f>
        <v/>
      </c>
      <c r="N124">
        <f>IF(L124="", "", L124-B124)</f>
        <v/>
      </c>
      <c r="O124">
        <f>IF(L124="", "Pending", IF(N124&lt;=30, "Met", "Breached"))</f>
        <v/>
      </c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>
        <f>B125+30</f>
        <v/>
      </c>
      <c r="N125">
        <f>IF(L125="", "", L125-B125)</f>
        <v/>
      </c>
      <c r="O125">
        <f>IF(L125="", "Pending", IF(N125&lt;=30, "Met", "Breached"))</f>
        <v/>
      </c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>
        <f>B126+30</f>
        <v/>
      </c>
      <c r="N126">
        <f>IF(L126="", "", L126-B126)</f>
        <v/>
      </c>
      <c r="O126">
        <f>IF(L126="", "Pending", IF(N126&lt;=30, "Met", "Breached"))</f>
        <v/>
      </c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>
        <f>B127+30</f>
        <v/>
      </c>
      <c r="N127">
        <f>IF(L127="", "", L127-B127)</f>
        <v/>
      </c>
      <c r="O127">
        <f>IF(L127="", "Pending", IF(N127&lt;=30, "Met", "Breached"))</f>
        <v/>
      </c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>
        <f>B128+30</f>
        <v/>
      </c>
      <c r="N128">
        <f>IF(L128="", "", L128-B128)</f>
        <v/>
      </c>
      <c r="O128">
        <f>IF(L128="", "Pending", IF(N128&lt;=30, "Met", "Breached"))</f>
        <v/>
      </c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>
        <f>B129+30</f>
        <v/>
      </c>
      <c r="N129">
        <f>IF(L129="", "", L129-B129)</f>
        <v/>
      </c>
      <c r="O129">
        <f>IF(L129="", "Pending", IF(N129&lt;=30, "Met", "Breached"))</f>
        <v/>
      </c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>
        <f>B130+30</f>
        <v/>
      </c>
      <c r="N130">
        <f>IF(L130="", "", L130-B130)</f>
        <v/>
      </c>
      <c r="O130">
        <f>IF(L130="", "Pending", IF(N130&lt;=30, "Met", "Breached"))</f>
        <v/>
      </c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>
        <f>B131+30</f>
        <v/>
      </c>
      <c r="N131">
        <f>IF(L131="", "", L131-B131)</f>
        <v/>
      </c>
      <c r="O131">
        <f>IF(L131="", "Pending", IF(N131&lt;=30, "Met", "Breached"))</f>
        <v/>
      </c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>
        <f>B132+30</f>
        <v/>
      </c>
      <c r="N132">
        <f>IF(L132="", "", L132-B132)</f>
        <v/>
      </c>
      <c r="O132">
        <f>IF(L132="", "Pending", IF(N132&lt;=30, "Met", "Breached"))</f>
        <v/>
      </c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>
        <f>B133+30</f>
        <v/>
      </c>
      <c r="N133">
        <f>IF(L133="", "", L133-B133)</f>
        <v/>
      </c>
      <c r="O133">
        <f>IF(L133="", "Pending", IF(N133&lt;=30, "Met", "Breached"))</f>
        <v/>
      </c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>
        <f>B134+30</f>
        <v/>
      </c>
      <c r="N134">
        <f>IF(L134="", "", L134-B134)</f>
        <v/>
      </c>
      <c r="O134">
        <f>IF(L134="", "Pending", IF(N134&lt;=30, "Met", "Breached"))</f>
        <v/>
      </c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>
        <f>B135+30</f>
        <v/>
      </c>
      <c r="N135">
        <f>IF(L135="", "", L135-B135)</f>
        <v/>
      </c>
      <c r="O135">
        <f>IF(L135="", "Pending", IF(N135&lt;=30, "Met", "Breached"))</f>
        <v/>
      </c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>
        <f>B136+30</f>
        <v/>
      </c>
      <c r="N136">
        <f>IF(L136="", "", L136-B136)</f>
        <v/>
      </c>
      <c r="O136">
        <f>IF(L136="", "Pending", IF(N136&lt;=30, "Met", "Breached"))</f>
        <v/>
      </c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>
        <f>B137+30</f>
        <v/>
      </c>
      <c r="N137">
        <f>IF(L137="", "", L137-B137)</f>
        <v/>
      </c>
      <c r="O137">
        <f>IF(L137="", "Pending", IF(N137&lt;=30, "Met", "Breached"))</f>
        <v/>
      </c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>
        <f>B138+30</f>
        <v/>
      </c>
      <c r="N138">
        <f>IF(L138="", "", L138-B138)</f>
        <v/>
      </c>
      <c r="O138">
        <f>IF(L138="", "Pending", IF(N138&lt;=30, "Met", "Breached"))</f>
        <v/>
      </c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>
        <f>B139+30</f>
        <v/>
      </c>
      <c r="N139">
        <f>IF(L139="", "", L139-B139)</f>
        <v/>
      </c>
      <c r="O139">
        <f>IF(L139="", "Pending", IF(N139&lt;=30, "Met", "Breached"))</f>
        <v/>
      </c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>
        <f>B140+30</f>
        <v/>
      </c>
      <c r="N140">
        <f>IF(L140="", "", L140-B140)</f>
        <v/>
      </c>
      <c r="O140">
        <f>IF(L140="", "Pending", IF(N140&lt;=30, "Met", "Breached"))</f>
        <v/>
      </c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>
        <f>B141+30</f>
        <v/>
      </c>
      <c r="N141">
        <f>IF(L141="", "", L141-B141)</f>
        <v/>
      </c>
      <c r="O141">
        <f>IF(L141="", "Pending", IF(N141&lt;=30, "Met", "Breached"))</f>
        <v/>
      </c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>
        <f>B142+30</f>
        <v/>
      </c>
      <c r="N142">
        <f>IF(L142="", "", L142-B142)</f>
        <v/>
      </c>
      <c r="O142">
        <f>IF(L142="", "Pending", IF(N142&lt;=30, "Met", "Breached"))</f>
        <v/>
      </c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>
        <f>B143+30</f>
        <v/>
      </c>
      <c r="N143">
        <f>IF(L143="", "", L143-B143)</f>
        <v/>
      </c>
      <c r="O143">
        <f>IF(L143="", "Pending", IF(N143&lt;=30, "Met", "Breached"))</f>
        <v/>
      </c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>
        <f>B144+30</f>
        <v/>
      </c>
      <c r="N144">
        <f>IF(L144="", "", L144-B144)</f>
        <v/>
      </c>
      <c r="O144">
        <f>IF(L144="", "Pending", IF(N144&lt;=30, "Met", "Breached"))</f>
        <v/>
      </c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>
        <f>B145+30</f>
        <v/>
      </c>
      <c r="N145">
        <f>IF(L145="", "", L145-B145)</f>
        <v/>
      </c>
      <c r="O145">
        <f>IF(L145="", "Pending", IF(N145&lt;=30, "Met", "Breached"))</f>
        <v/>
      </c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>
        <f>B146+30</f>
        <v/>
      </c>
      <c r="N146">
        <f>IF(L146="", "", L146-B146)</f>
        <v/>
      </c>
      <c r="O146">
        <f>IF(L146="", "Pending", IF(N146&lt;=30, "Met", "Breached"))</f>
        <v/>
      </c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>
        <f>B147+30</f>
        <v/>
      </c>
      <c r="N147">
        <f>IF(L147="", "", L147-B147)</f>
        <v/>
      </c>
      <c r="O147">
        <f>IF(L147="", "Pending", IF(N147&lt;=30, "Met", "Breached"))</f>
        <v/>
      </c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>
        <f>B148+30</f>
        <v/>
      </c>
      <c r="N148">
        <f>IF(L148="", "", L148-B148)</f>
        <v/>
      </c>
      <c r="O148">
        <f>IF(L148="", "Pending", IF(N148&lt;=30, "Met", "Breached"))</f>
        <v/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>
        <f>B149+30</f>
        <v/>
      </c>
      <c r="N149">
        <f>IF(L149="", "", L149-B149)</f>
        <v/>
      </c>
      <c r="O149">
        <f>IF(L149="", "Pending", IF(N149&lt;=30, "Met", "Breached"))</f>
        <v/>
      </c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>
        <f>B150+30</f>
        <v/>
      </c>
      <c r="N150">
        <f>IF(L150="", "", L150-B150)</f>
        <v/>
      </c>
      <c r="O150">
        <f>IF(L150="", "Pending", IF(N150&lt;=30, "Met", "Breached"))</f>
        <v/>
      </c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>
        <f>B151+30</f>
        <v/>
      </c>
      <c r="N151">
        <f>IF(L151="", "", L151-B151)</f>
        <v/>
      </c>
      <c r="O151">
        <f>IF(L151="", "Pending", IF(N151&lt;=30, "Met", "Breached"))</f>
        <v/>
      </c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>
        <f>B152+30</f>
        <v/>
      </c>
      <c r="N152">
        <f>IF(L152="", "", L152-B152)</f>
        <v/>
      </c>
      <c r="O152">
        <f>IF(L152="", "Pending", IF(N152&lt;=30, "Met", "Breached"))</f>
        <v/>
      </c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>
        <f>B153+30</f>
        <v/>
      </c>
      <c r="N153">
        <f>IF(L153="", "", L153-B153)</f>
        <v/>
      </c>
      <c r="O153">
        <f>IF(L153="", "Pending", IF(N153&lt;=30, "Met", "Breached"))</f>
        <v/>
      </c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>
        <f>B154+30</f>
        <v/>
      </c>
      <c r="N154">
        <f>IF(L154="", "", L154-B154)</f>
        <v/>
      </c>
      <c r="O154">
        <f>IF(L154="", "Pending", IF(N154&lt;=30, "Met", "Breached"))</f>
        <v/>
      </c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>
        <f>B155+30</f>
        <v/>
      </c>
      <c r="N155">
        <f>IF(L155="", "", L155-B155)</f>
        <v/>
      </c>
      <c r="O155">
        <f>IF(L155="", "Pending", IF(N155&lt;=30, "Met", "Breached"))</f>
        <v/>
      </c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>
        <f>B156+30</f>
        <v/>
      </c>
      <c r="N156">
        <f>IF(L156="", "", L156-B156)</f>
        <v/>
      </c>
      <c r="O156">
        <f>IF(L156="", "Pending", IF(N156&lt;=30, "Met", "Breached"))</f>
        <v/>
      </c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>
        <f>B157+30</f>
        <v/>
      </c>
      <c r="N157">
        <f>IF(L157="", "", L157-B157)</f>
        <v/>
      </c>
      <c r="O157">
        <f>IF(L157="", "Pending", IF(N157&lt;=30, "Met", "Breached"))</f>
        <v/>
      </c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>
        <f>B158+30</f>
        <v/>
      </c>
      <c r="N158">
        <f>IF(L158="", "", L158-B158)</f>
        <v/>
      </c>
      <c r="O158">
        <f>IF(L158="", "Pending", IF(N158&lt;=30, "Met", "Breached"))</f>
        <v/>
      </c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>
        <f>B159+30</f>
        <v/>
      </c>
      <c r="N159">
        <f>IF(L159="", "", L159-B159)</f>
        <v/>
      </c>
      <c r="O159">
        <f>IF(L159="", "Pending", IF(N159&lt;=30, "Met", "Breached"))</f>
        <v/>
      </c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>
        <f>B160+30</f>
        <v/>
      </c>
      <c r="N160">
        <f>IF(L160="", "", L160-B160)</f>
        <v/>
      </c>
      <c r="O160">
        <f>IF(L160="", "Pending", IF(N160&lt;=30, "Met", "Breached"))</f>
        <v/>
      </c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>
        <f>B161+30</f>
        <v/>
      </c>
      <c r="N161">
        <f>IF(L161="", "", L161-B161)</f>
        <v/>
      </c>
      <c r="O161">
        <f>IF(L161="", "Pending", IF(N161&lt;=30, "Met", "Breached"))</f>
        <v/>
      </c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>
        <f>B162+30</f>
        <v/>
      </c>
      <c r="N162">
        <f>IF(L162="", "", L162-B162)</f>
        <v/>
      </c>
      <c r="O162">
        <f>IF(L162="", "Pending", IF(N162&lt;=30, "Met", "Breached"))</f>
        <v/>
      </c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>
        <f>B163+30</f>
        <v/>
      </c>
      <c r="N163">
        <f>IF(L163="", "", L163-B163)</f>
        <v/>
      </c>
      <c r="O163">
        <f>IF(L163="", "Pending", IF(N163&lt;=30, "Met", "Breached"))</f>
        <v/>
      </c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>
        <f>B164+30</f>
        <v/>
      </c>
      <c r="N164">
        <f>IF(L164="", "", L164-B164)</f>
        <v/>
      </c>
      <c r="O164">
        <f>IF(L164="", "Pending", IF(N164&lt;=30, "Met", "Breached"))</f>
        <v/>
      </c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>
        <f>B165+30</f>
        <v/>
      </c>
      <c r="N165">
        <f>IF(L165="", "", L165-B165)</f>
        <v/>
      </c>
      <c r="O165">
        <f>IF(L165="", "Pending", IF(N165&lt;=30, "Met", "Breached"))</f>
        <v/>
      </c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>
        <f>B166+30</f>
        <v/>
      </c>
      <c r="N166">
        <f>IF(L166="", "", L166-B166)</f>
        <v/>
      </c>
      <c r="O166">
        <f>IF(L166="", "Pending", IF(N166&lt;=30, "Met", "Breached"))</f>
        <v/>
      </c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>
        <f>B167+30</f>
        <v/>
      </c>
      <c r="N167">
        <f>IF(L167="", "", L167-B167)</f>
        <v/>
      </c>
      <c r="O167">
        <f>IF(L167="", "Pending", IF(N167&lt;=30, "Met", "Breached"))</f>
        <v/>
      </c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>
        <f>B168+30</f>
        <v/>
      </c>
      <c r="N168">
        <f>IF(L168="", "", L168-B168)</f>
        <v/>
      </c>
      <c r="O168">
        <f>IF(L168="", "Pending", IF(N168&lt;=30, "Met", "Breached"))</f>
        <v/>
      </c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>
        <f>B169+30</f>
        <v/>
      </c>
      <c r="N169">
        <f>IF(L169="", "", L169-B169)</f>
        <v/>
      </c>
      <c r="O169">
        <f>IF(L169="", "Pending", IF(N169&lt;=30, "Met", "Breached"))</f>
        <v/>
      </c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>
        <f>B170+30</f>
        <v/>
      </c>
      <c r="N170">
        <f>IF(L170="", "", L170-B170)</f>
        <v/>
      </c>
      <c r="O170">
        <f>IF(L170="", "Pending", IF(N170&lt;=30, "Met", "Breached"))</f>
        <v/>
      </c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>
        <f>B171+30</f>
        <v/>
      </c>
      <c r="N171">
        <f>IF(L171="", "", L171-B171)</f>
        <v/>
      </c>
      <c r="O171">
        <f>IF(L171="", "Pending", IF(N171&lt;=30, "Met", "Breached"))</f>
        <v/>
      </c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>
        <f>B172+30</f>
        <v/>
      </c>
      <c r="N172">
        <f>IF(L172="", "", L172-B172)</f>
        <v/>
      </c>
      <c r="O172">
        <f>IF(L172="", "Pending", IF(N172&lt;=30, "Met", "Breached"))</f>
        <v/>
      </c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>
        <f>B173+30</f>
        <v/>
      </c>
      <c r="N173">
        <f>IF(L173="", "", L173-B173)</f>
        <v/>
      </c>
      <c r="O173">
        <f>IF(L173="", "Pending", IF(N173&lt;=30, "Met", "Breached"))</f>
        <v/>
      </c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>
        <f>B174+30</f>
        <v/>
      </c>
      <c r="N174">
        <f>IF(L174="", "", L174-B174)</f>
        <v/>
      </c>
      <c r="O174">
        <f>IF(L174="", "Pending", IF(N174&lt;=30, "Met", "Breached"))</f>
        <v/>
      </c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>
        <f>B175+30</f>
        <v/>
      </c>
      <c r="N175">
        <f>IF(L175="", "", L175-B175)</f>
        <v/>
      </c>
      <c r="O175">
        <f>IF(L175="", "Pending", IF(N175&lt;=30, "Met", "Breached"))</f>
        <v/>
      </c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>
        <f>B176+30</f>
        <v/>
      </c>
      <c r="N176">
        <f>IF(L176="", "", L176-B176)</f>
        <v/>
      </c>
      <c r="O176">
        <f>IF(L176="", "Pending", IF(N176&lt;=30, "Met", "Breached"))</f>
        <v/>
      </c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>
        <f>B177+30</f>
        <v/>
      </c>
      <c r="N177">
        <f>IF(L177="", "", L177-B177)</f>
        <v/>
      </c>
      <c r="O177">
        <f>IF(L177="", "Pending", IF(N177&lt;=30, "Met", "Breached"))</f>
        <v/>
      </c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>
        <f>B178+30</f>
        <v/>
      </c>
      <c r="N178">
        <f>IF(L178="", "", L178-B178)</f>
        <v/>
      </c>
      <c r="O178">
        <f>IF(L178="", "Pending", IF(N178&lt;=30, "Met", "Breached"))</f>
        <v/>
      </c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>
        <f>B179+30</f>
        <v/>
      </c>
      <c r="N179">
        <f>IF(L179="", "", L179-B179)</f>
        <v/>
      </c>
      <c r="O179">
        <f>IF(L179="", "Pending", IF(N179&lt;=30, "Met", "Breached"))</f>
        <v/>
      </c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>
        <f>B180+30</f>
        <v/>
      </c>
      <c r="N180">
        <f>IF(L180="", "", L180-B180)</f>
        <v/>
      </c>
      <c r="O180">
        <f>IF(L180="", "Pending", IF(N180&lt;=30, "Met", "Breached"))</f>
        <v/>
      </c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>
        <f>B181+30</f>
        <v/>
      </c>
      <c r="N181">
        <f>IF(L181="", "", L181-B181)</f>
        <v/>
      </c>
      <c r="O181">
        <f>IF(L181="", "Pending", IF(N181&lt;=30, "Met", "Breached"))</f>
        <v/>
      </c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>
        <f>B182+30</f>
        <v/>
      </c>
      <c r="N182">
        <f>IF(L182="", "", L182-B182)</f>
        <v/>
      </c>
      <c r="O182">
        <f>IF(L182="", "Pending", IF(N182&lt;=30, "Met", "Breached"))</f>
        <v/>
      </c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>
        <f>B183+30</f>
        <v/>
      </c>
      <c r="N183">
        <f>IF(L183="", "", L183-B183)</f>
        <v/>
      </c>
      <c r="O183">
        <f>IF(L183="", "Pending", IF(N183&lt;=30, "Met", "Breached"))</f>
        <v/>
      </c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>
        <f>B184+30</f>
        <v/>
      </c>
      <c r="N184">
        <f>IF(L184="", "", L184-B184)</f>
        <v/>
      </c>
      <c r="O184">
        <f>IF(L184="", "Pending", IF(N184&lt;=30, "Met", "Breached"))</f>
        <v/>
      </c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>
        <f>B185+30</f>
        <v/>
      </c>
      <c r="N185">
        <f>IF(L185="", "", L185-B185)</f>
        <v/>
      </c>
      <c r="O185">
        <f>IF(L185="", "Pending", IF(N185&lt;=30, "Met", "Breached"))</f>
        <v/>
      </c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>
        <f>B186+30</f>
        <v/>
      </c>
      <c r="N186">
        <f>IF(L186="", "", L186-B186)</f>
        <v/>
      </c>
      <c r="O186">
        <f>IF(L186="", "Pending", IF(N186&lt;=30, "Met", "Breached"))</f>
        <v/>
      </c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>
        <f>B187+30</f>
        <v/>
      </c>
      <c r="N187">
        <f>IF(L187="", "", L187-B187)</f>
        <v/>
      </c>
      <c r="O187">
        <f>IF(L187="", "Pending", IF(N187&lt;=30, "Met", "Breached"))</f>
        <v/>
      </c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>
        <f>B188+30</f>
        <v/>
      </c>
      <c r="N188">
        <f>IF(L188="", "", L188-B188)</f>
        <v/>
      </c>
      <c r="O188">
        <f>IF(L188="", "Pending", IF(N188&lt;=30, "Met", "Breached"))</f>
        <v/>
      </c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>
        <f>B189+30</f>
        <v/>
      </c>
      <c r="N189">
        <f>IF(L189="", "", L189-B189)</f>
        <v/>
      </c>
      <c r="O189">
        <f>IF(L189="", "Pending", IF(N189&lt;=30, "Met", "Breached"))</f>
        <v/>
      </c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>
        <f>B190+30</f>
        <v/>
      </c>
      <c r="N190">
        <f>IF(L190="", "", L190-B190)</f>
        <v/>
      </c>
      <c r="O190">
        <f>IF(L190="", "Pending", IF(N190&lt;=30, "Met", "Breached"))</f>
        <v/>
      </c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>
        <f>B191+30</f>
        <v/>
      </c>
      <c r="N191">
        <f>IF(L191="", "", L191-B191)</f>
        <v/>
      </c>
      <c r="O191">
        <f>IF(L191="", "Pending", IF(N191&lt;=30, "Met", "Breached"))</f>
        <v/>
      </c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>
        <f>B192+30</f>
        <v/>
      </c>
      <c r="N192">
        <f>IF(L192="", "", L192-B192)</f>
        <v/>
      </c>
      <c r="O192">
        <f>IF(L192="", "Pending", IF(N192&lt;=30, "Met", "Breached"))</f>
        <v/>
      </c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>
        <f>B193+30</f>
        <v/>
      </c>
      <c r="N193">
        <f>IF(L193="", "", L193-B193)</f>
        <v/>
      </c>
      <c r="O193">
        <f>IF(L193="", "Pending", IF(N193&lt;=30, "Met", "Breached"))</f>
        <v/>
      </c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>
        <f>B194+30</f>
        <v/>
      </c>
      <c r="N194">
        <f>IF(L194="", "", L194-B194)</f>
        <v/>
      </c>
      <c r="O194">
        <f>IF(L194="", "Pending", IF(N194&lt;=30, "Met", "Breached"))</f>
        <v/>
      </c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>
        <f>B195+30</f>
        <v/>
      </c>
      <c r="N195">
        <f>IF(L195="", "", L195-B195)</f>
        <v/>
      </c>
      <c r="O195">
        <f>IF(L195="", "Pending", IF(N195&lt;=30, "Met", "Breached"))</f>
        <v/>
      </c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>
        <f>B196+30</f>
        <v/>
      </c>
      <c r="N196">
        <f>IF(L196="", "", L196-B196)</f>
        <v/>
      </c>
      <c r="O196">
        <f>IF(L196="", "Pending", IF(N196&lt;=30, "Met", "Breached"))</f>
        <v/>
      </c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>
        <f>B197+30</f>
        <v/>
      </c>
      <c r="N197">
        <f>IF(L197="", "", L197-B197)</f>
        <v/>
      </c>
      <c r="O197">
        <f>IF(L197="", "Pending", IF(N197&lt;=30, "Met", "Breached"))</f>
        <v/>
      </c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>
        <f>B198+30</f>
        <v/>
      </c>
      <c r="N198">
        <f>IF(L198="", "", L198-B198)</f>
        <v/>
      </c>
      <c r="O198">
        <f>IF(L198="", "Pending", IF(N198&lt;=30, "Met", "Breached"))</f>
        <v/>
      </c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>
        <f>B199+30</f>
        <v/>
      </c>
      <c r="N199">
        <f>IF(L199="", "", L199-B199)</f>
        <v/>
      </c>
      <c r="O199">
        <f>IF(L199="", "Pending", IF(N199&lt;=30, "Met", "Breached"))</f>
        <v/>
      </c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>
        <f>B200+30</f>
        <v/>
      </c>
      <c r="N200">
        <f>IF(L200="", "", L200-B200)</f>
        <v/>
      </c>
      <c r="O200">
        <f>IF(L200="", "Pending", IF(N200&lt;=30, "Met", "Breached"))</f>
        <v/>
      </c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>
        <f>B201+30</f>
        <v/>
      </c>
      <c r="N201">
        <f>IF(L201="", "", L201-B201)</f>
        <v/>
      </c>
      <c r="O201">
        <f>IF(L201="", "Pending", IF(N201&lt;=30, "Met", "Breached"))</f>
        <v/>
      </c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>
        <f>B202+30</f>
        <v/>
      </c>
      <c r="N202">
        <f>IF(L202="", "", L202-B202)</f>
        <v/>
      </c>
      <c r="O202">
        <f>IF(L202="", "Pending", IF(N202&lt;=30, "Met", "Breached"))</f>
        <v/>
      </c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>
        <f>B203+30</f>
        <v/>
      </c>
      <c r="N203">
        <f>IF(L203="", "", L203-B203)</f>
        <v/>
      </c>
      <c r="O203">
        <f>IF(L203="", "Pending", IF(N203&lt;=30, "Met", "Breached"))</f>
        <v/>
      </c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>
        <f>B204+30</f>
        <v/>
      </c>
      <c r="N204">
        <f>IF(L204="", "", L204-B204)</f>
        <v/>
      </c>
      <c r="O204">
        <f>IF(L204="", "Pending", IF(N204&lt;=30, "Met", "Breached"))</f>
        <v/>
      </c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>
        <f>B205+30</f>
        <v/>
      </c>
      <c r="N205">
        <f>IF(L205="", "", L205-B205)</f>
        <v/>
      </c>
      <c r="O205">
        <f>IF(L205="", "Pending", IF(N205&lt;=30, "Met", "Breached"))</f>
        <v/>
      </c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>
        <f>B206+30</f>
        <v/>
      </c>
      <c r="N206">
        <f>IF(L206="", "", L206-B206)</f>
        <v/>
      </c>
      <c r="O206">
        <f>IF(L206="", "Pending", IF(N206&lt;=30, "Met", "Breached"))</f>
        <v/>
      </c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>
        <f>B207+30</f>
        <v/>
      </c>
      <c r="N207">
        <f>IF(L207="", "", L207-B207)</f>
        <v/>
      </c>
      <c r="O207">
        <f>IF(L207="", "Pending", IF(N207&lt;=30, "Met", "Breached"))</f>
        <v/>
      </c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>
        <f>B208+30</f>
        <v/>
      </c>
      <c r="N208">
        <f>IF(L208="", "", L208-B208)</f>
        <v/>
      </c>
      <c r="O208">
        <f>IF(L208="", "Pending", IF(N208&lt;=30, "Met", "Breached"))</f>
        <v/>
      </c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>
        <f>B209+30</f>
        <v/>
      </c>
      <c r="N209">
        <f>IF(L209="", "", L209-B209)</f>
        <v/>
      </c>
      <c r="O209">
        <f>IF(L209="", "Pending", IF(N209&lt;=30, "Met", "Breached"))</f>
        <v/>
      </c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>
        <f>B210+30</f>
        <v/>
      </c>
      <c r="N210">
        <f>IF(L210="", "", L210-B210)</f>
        <v/>
      </c>
      <c r="O210">
        <f>IF(L210="", "Pending", IF(N210&lt;=30, "Met", "Breached"))</f>
        <v/>
      </c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>
        <f>B211+30</f>
        <v/>
      </c>
      <c r="N211">
        <f>IF(L211="", "", L211-B211)</f>
        <v/>
      </c>
      <c r="O211">
        <f>IF(L211="", "Pending", IF(N211&lt;=30, "Met", "Breached"))</f>
        <v/>
      </c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>
        <f>B212+30</f>
        <v/>
      </c>
      <c r="N212">
        <f>IF(L212="", "", L212-B212)</f>
        <v/>
      </c>
      <c r="O212">
        <f>IF(L212="", "Pending", IF(N212&lt;=30, "Met", "Breached"))</f>
        <v/>
      </c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>
        <f>B213+30</f>
        <v/>
      </c>
      <c r="N213">
        <f>IF(L213="", "", L213-B213)</f>
        <v/>
      </c>
      <c r="O213">
        <f>IF(L213="", "Pending", IF(N213&lt;=30, "Met", "Breached"))</f>
        <v/>
      </c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>
        <f>B214+30</f>
        <v/>
      </c>
      <c r="N214">
        <f>IF(L214="", "", L214-B214)</f>
        <v/>
      </c>
      <c r="O214">
        <f>IF(L214="", "Pending", IF(N214&lt;=30, "Met", "Breached"))</f>
        <v/>
      </c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>
        <f>B215+30</f>
        <v/>
      </c>
      <c r="N215">
        <f>IF(L215="", "", L215-B215)</f>
        <v/>
      </c>
      <c r="O215">
        <f>IF(L215="", "Pending", IF(N215&lt;=30, "Met", "Breached"))</f>
        <v/>
      </c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>
        <f>B216+30</f>
        <v/>
      </c>
      <c r="N216">
        <f>IF(L216="", "", L216-B216)</f>
        <v/>
      </c>
      <c r="O216">
        <f>IF(L216="", "Pending", IF(N216&lt;=30, "Met", "Breached"))</f>
        <v/>
      </c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>
        <f>B217+30</f>
        <v/>
      </c>
      <c r="N217">
        <f>IF(L217="", "", L217-B217)</f>
        <v/>
      </c>
      <c r="O217">
        <f>IF(L217="", "Pending", IF(N217&lt;=30, "Met", "Breached"))</f>
        <v/>
      </c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>
        <f>B218+30</f>
        <v/>
      </c>
      <c r="N218">
        <f>IF(L218="", "", L218-B218)</f>
        <v/>
      </c>
      <c r="O218">
        <f>IF(L218="", "Pending", IF(N218&lt;=30, "Met", "Breached"))</f>
        <v/>
      </c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>
        <f>B219+30</f>
        <v/>
      </c>
      <c r="N219">
        <f>IF(L219="", "", L219-B219)</f>
        <v/>
      </c>
      <c r="O219">
        <f>IF(L219="", "Pending", IF(N219&lt;=30, "Met", "Breached"))</f>
        <v/>
      </c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>
        <f>B220+30</f>
        <v/>
      </c>
      <c r="N220">
        <f>IF(L220="", "", L220-B220)</f>
        <v/>
      </c>
      <c r="O220">
        <f>IF(L220="", "Pending", IF(N220&lt;=30, "Met", "Breached"))</f>
        <v/>
      </c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>
        <f>B221+30</f>
        <v/>
      </c>
      <c r="N221">
        <f>IF(L221="", "", L221-B221)</f>
        <v/>
      </c>
      <c r="O221">
        <f>IF(L221="", "Pending", IF(N221&lt;=30, "Met", "Breached"))</f>
        <v/>
      </c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>
        <f>B222+30</f>
        <v/>
      </c>
      <c r="N222">
        <f>IF(L222="", "", L222-B222)</f>
        <v/>
      </c>
      <c r="O222">
        <f>IF(L222="", "Pending", IF(N222&lt;=30, "Met", "Breached"))</f>
        <v/>
      </c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>
        <f>B223+30</f>
        <v/>
      </c>
      <c r="N223">
        <f>IF(L223="", "", L223-B223)</f>
        <v/>
      </c>
      <c r="O223">
        <f>IF(L223="", "Pending", IF(N223&lt;=30, "Met", "Breached"))</f>
        <v/>
      </c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>
        <f>B224+30</f>
        <v/>
      </c>
      <c r="N224">
        <f>IF(L224="", "", L224-B224)</f>
        <v/>
      </c>
      <c r="O224">
        <f>IF(L224="", "Pending", IF(N224&lt;=30, "Met", "Breached"))</f>
        <v/>
      </c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>
        <f>B225+30</f>
        <v/>
      </c>
      <c r="N225">
        <f>IF(L225="", "", L225-B225)</f>
        <v/>
      </c>
      <c r="O225">
        <f>IF(L225="", "Pending", IF(N225&lt;=30, "Met", "Breached"))</f>
        <v/>
      </c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>
        <f>B226+30</f>
        <v/>
      </c>
      <c r="N226">
        <f>IF(L226="", "", L226-B226)</f>
        <v/>
      </c>
      <c r="O226">
        <f>IF(L226="", "Pending", IF(N226&lt;=30, "Met", "Breached"))</f>
        <v/>
      </c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>
        <f>B227+30</f>
        <v/>
      </c>
      <c r="N227">
        <f>IF(L227="", "", L227-B227)</f>
        <v/>
      </c>
      <c r="O227">
        <f>IF(L227="", "Pending", IF(N227&lt;=30, "Met", "Breached"))</f>
        <v/>
      </c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>
        <f>B228+30</f>
        <v/>
      </c>
      <c r="N228">
        <f>IF(L228="", "", L228-B228)</f>
        <v/>
      </c>
      <c r="O228">
        <f>IF(L228="", "Pending", IF(N228&lt;=30, "Met", "Breached"))</f>
        <v/>
      </c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>
        <f>B229+30</f>
        <v/>
      </c>
      <c r="N229">
        <f>IF(L229="", "", L229-B229)</f>
        <v/>
      </c>
      <c r="O229">
        <f>IF(L229="", "Pending", IF(N229&lt;=30, "Met", "Breached"))</f>
        <v/>
      </c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>
        <f>B230+30</f>
        <v/>
      </c>
      <c r="N230">
        <f>IF(L230="", "", L230-B230)</f>
        <v/>
      </c>
      <c r="O230">
        <f>IF(L230="", "Pending", IF(N230&lt;=30, "Met", "Breached"))</f>
        <v/>
      </c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>
        <f>B231+30</f>
        <v/>
      </c>
      <c r="N231">
        <f>IF(L231="", "", L231-B231)</f>
        <v/>
      </c>
      <c r="O231">
        <f>IF(L231="", "Pending", IF(N231&lt;=30, "Met", "Breached"))</f>
        <v/>
      </c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>
        <f>B232+30</f>
        <v/>
      </c>
      <c r="N232">
        <f>IF(L232="", "", L232-B232)</f>
        <v/>
      </c>
      <c r="O232">
        <f>IF(L232="", "Pending", IF(N232&lt;=30, "Met", "Breached"))</f>
        <v/>
      </c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>
        <f>B233+30</f>
        <v/>
      </c>
      <c r="N233">
        <f>IF(L233="", "", L233-B233)</f>
        <v/>
      </c>
      <c r="O233">
        <f>IF(L233="", "Pending", IF(N233&lt;=30, "Met", "Breached"))</f>
        <v/>
      </c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>
        <f>B234+30</f>
        <v/>
      </c>
      <c r="N234">
        <f>IF(L234="", "", L234-B234)</f>
        <v/>
      </c>
      <c r="O234">
        <f>IF(L234="", "Pending", IF(N234&lt;=30, "Met", "Breached"))</f>
        <v/>
      </c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>
        <f>B235+30</f>
        <v/>
      </c>
      <c r="N235">
        <f>IF(L235="", "", L235-B235)</f>
        <v/>
      </c>
      <c r="O235">
        <f>IF(L235="", "Pending", IF(N235&lt;=30, "Met", "Breached"))</f>
        <v/>
      </c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>
        <f>B236+30</f>
        <v/>
      </c>
      <c r="N236">
        <f>IF(L236="", "", L236-B236)</f>
        <v/>
      </c>
      <c r="O236">
        <f>IF(L236="", "Pending", IF(N236&lt;=30, "Met", "Breached"))</f>
        <v/>
      </c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>
        <f>B237+30</f>
        <v/>
      </c>
      <c r="N237">
        <f>IF(L237="", "", L237-B237)</f>
        <v/>
      </c>
      <c r="O237">
        <f>IF(L237="", "Pending", IF(N237&lt;=30, "Met", "Breached"))</f>
        <v/>
      </c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>
        <f>B238+30</f>
        <v/>
      </c>
      <c r="N238">
        <f>IF(L238="", "", L238-B238)</f>
        <v/>
      </c>
      <c r="O238">
        <f>IF(L238="", "Pending", IF(N238&lt;=30, "Met", "Breached"))</f>
        <v/>
      </c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>
        <f>B239+30</f>
        <v/>
      </c>
      <c r="N239">
        <f>IF(L239="", "", L239-B239)</f>
        <v/>
      </c>
      <c r="O239">
        <f>IF(L239="", "Pending", IF(N239&lt;=30, "Met", "Breached"))</f>
        <v/>
      </c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>
        <f>B240+30</f>
        <v/>
      </c>
      <c r="N240">
        <f>IF(L240="", "", L240-B240)</f>
        <v/>
      </c>
      <c r="O240">
        <f>IF(L240="", "Pending", IF(N240&lt;=30, "Met", "Breached"))</f>
        <v/>
      </c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>
        <f>B241+30</f>
        <v/>
      </c>
      <c r="N241">
        <f>IF(L241="", "", L241-B241)</f>
        <v/>
      </c>
      <c r="O241">
        <f>IF(L241="", "Pending", IF(N241&lt;=30, "Met", "Breached"))</f>
        <v/>
      </c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>
        <f>B242+30</f>
        <v/>
      </c>
      <c r="N242">
        <f>IF(L242="", "", L242-B242)</f>
        <v/>
      </c>
      <c r="O242">
        <f>IF(L242="", "Pending", IF(N242&lt;=30, "Met", "Breached"))</f>
        <v/>
      </c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>
        <f>B243+30</f>
        <v/>
      </c>
      <c r="N243">
        <f>IF(L243="", "", L243-B243)</f>
        <v/>
      </c>
      <c r="O243">
        <f>IF(L243="", "Pending", IF(N243&lt;=30, "Met", "Breached"))</f>
        <v/>
      </c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>
        <f>B244+30</f>
        <v/>
      </c>
      <c r="N244">
        <f>IF(L244="", "", L244-B244)</f>
        <v/>
      </c>
      <c r="O244">
        <f>IF(L244="", "Pending", IF(N244&lt;=30, "Met", "Breached"))</f>
        <v/>
      </c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>
        <f>B245+30</f>
        <v/>
      </c>
      <c r="N245">
        <f>IF(L245="", "", L245-B245)</f>
        <v/>
      </c>
      <c r="O245">
        <f>IF(L245="", "Pending", IF(N245&lt;=30, "Met", "Breached"))</f>
        <v/>
      </c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>
        <f>B246+30</f>
        <v/>
      </c>
      <c r="N246">
        <f>IF(L246="", "", L246-B246)</f>
        <v/>
      </c>
      <c r="O246">
        <f>IF(L246="", "Pending", IF(N246&lt;=30, "Met", "Breached"))</f>
        <v/>
      </c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>
        <f>B247+30</f>
        <v/>
      </c>
      <c r="N247">
        <f>IF(L247="", "", L247-B247)</f>
        <v/>
      </c>
      <c r="O247">
        <f>IF(L247="", "Pending", IF(N247&lt;=30, "Met", "Breached"))</f>
        <v/>
      </c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>
        <f>B248+30</f>
        <v/>
      </c>
      <c r="N248">
        <f>IF(L248="", "", L248-B248)</f>
        <v/>
      </c>
      <c r="O248">
        <f>IF(L248="", "Pending", IF(N248&lt;=30, "Met", "Breached"))</f>
        <v/>
      </c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>
        <f>B249+30</f>
        <v/>
      </c>
      <c r="N249">
        <f>IF(L249="", "", L249-B249)</f>
        <v/>
      </c>
      <c r="O249">
        <f>IF(L249="", "Pending", IF(N249&lt;=30, "Met", "Breached"))</f>
        <v/>
      </c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>
        <f>B250+30</f>
        <v/>
      </c>
      <c r="N250">
        <f>IF(L250="", "", L250-B250)</f>
        <v/>
      </c>
      <c r="O250">
        <f>IF(L250="", "Pending", IF(N250&lt;=30, "Met", "Breached"))</f>
        <v/>
      </c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>
        <f>B251+30</f>
        <v/>
      </c>
      <c r="N251">
        <f>IF(L251="", "", L251-B251)</f>
        <v/>
      </c>
      <c r="O251">
        <f>IF(L251="", "Pending", IF(N251&lt;=30, "Met", "Breached"))</f>
        <v/>
      </c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>
        <f>B252+30</f>
        <v/>
      </c>
      <c r="N252">
        <f>IF(L252="", "", L252-B252)</f>
        <v/>
      </c>
      <c r="O252">
        <f>IF(L252="", "Pending", IF(N252&lt;=30, "Met", "Breached"))</f>
        <v/>
      </c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>
        <f>B253+30</f>
        <v/>
      </c>
      <c r="N253">
        <f>IF(L253="", "", L253-B253)</f>
        <v/>
      </c>
      <c r="O253">
        <f>IF(L253="", "Pending", IF(N253&lt;=30, "Met", "Breached"))</f>
        <v/>
      </c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>
        <f>B254+30</f>
        <v/>
      </c>
      <c r="N254">
        <f>IF(L254="", "", L254-B254)</f>
        <v/>
      </c>
      <c r="O254">
        <f>IF(L254="", "Pending", IF(N254&lt;=30, "Met", "Breached"))</f>
        <v/>
      </c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>
        <f>B255+30</f>
        <v/>
      </c>
      <c r="N255">
        <f>IF(L255="", "", L255-B255)</f>
        <v/>
      </c>
      <c r="O255">
        <f>IF(L255="", "Pending", IF(N255&lt;=30, "Met", "Breached"))</f>
        <v/>
      </c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>
        <f>B256+30</f>
        <v/>
      </c>
      <c r="N256">
        <f>IF(L256="", "", L256-B256)</f>
        <v/>
      </c>
      <c r="O256">
        <f>IF(L256="", "Pending", IF(N256&lt;=30, "Met", "Breached"))</f>
        <v/>
      </c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>
        <f>B257+30</f>
        <v/>
      </c>
      <c r="N257">
        <f>IF(L257="", "", L257-B257)</f>
        <v/>
      </c>
      <c r="O257">
        <f>IF(L257="", "Pending", IF(N257&lt;=30, "Met", "Breached"))</f>
        <v/>
      </c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>
        <f>B258+30</f>
        <v/>
      </c>
      <c r="N258">
        <f>IF(L258="", "", L258-B258)</f>
        <v/>
      </c>
      <c r="O258">
        <f>IF(L258="", "Pending", IF(N258&lt;=30, "Met", "Breached"))</f>
        <v/>
      </c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>
        <f>B259+30</f>
        <v/>
      </c>
      <c r="N259">
        <f>IF(L259="", "", L259-B259)</f>
        <v/>
      </c>
      <c r="O259">
        <f>IF(L259="", "Pending", IF(N259&lt;=30, "Met", "Breached"))</f>
        <v/>
      </c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>
        <f>B260+30</f>
        <v/>
      </c>
      <c r="N260">
        <f>IF(L260="", "", L260-B260)</f>
        <v/>
      </c>
      <c r="O260">
        <f>IF(L260="", "Pending", IF(N260&lt;=30, "Met", "Breached"))</f>
        <v/>
      </c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>
        <f>B261+30</f>
        <v/>
      </c>
      <c r="N261">
        <f>IF(L261="", "", L261-B261)</f>
        <v/>
      </c>
      <c r="O261">
        <f>IF(L261="", "Pending", IF(N261&lt;=30, "Met", "Breached"))</f>
        <v/>
      </c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>
        <f>B262+30</f>
        <v/>
      </c>
      <c r="N262">
        <f>IF(L262="", "", L262-B262)</f>
        <v/>
      </c>
      <c r="O262">
        <f>IF(L262="", "Pending", IF(N262&lt;=30, "Met", "Breached"))</f>
        <v/>
      </c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>
        <f>B263+30</f>
        <v/>
      </c>
      <c r="N263">
        <f>IF(L263="", "", L263-B263)</f>
        <v/>
      </c>
      <c r="O263">
        <f>IF(L263="", "Pending", IF(N263&lt;=30, "Met", "Breached"))</f>
        <v/>
      </c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>
        <f>B264+30</f>
        <v/>
      </c>
      <c r="N264">
        <f>IF(L264="", "", L264-B264)</f>
        <v/>
      </c>
      <c r="O264">
        <f>IF(L264="", "Pending", IF(N264&lt;=30, "Met", "Breached"))</f>
        <v/>
      </c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>
        <f>B265+30</f>
        <v/>
      </c>
      <c r="N265">
        <f>IF(L265="", "", L265-B265)</f>
        <v/>
      </c>
      <c r="O265">
        <f>IF(L265="", "Pending", IF(N265&lt;=30, "Met", "Breached"))</f>
        <v/>
      </c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>
        <f>B266+30</f>
        <v/>
      </c>
      <c r="N266">
        <f>IF(L266="", "", L266-B266)</f>
        <v/>
      </c>
      <c r="O266">
        <f>IF(L266="", "Pending", IF(N266&lt;=30, "Met", "Breached"))</f>
        <v/>
      </c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>
        <f>B267+30</f>
        <v/>
      </c>
      <c r="N267">
        <f>IF(L267="", "", L267-B267)</f>
        <v/>
      </c>
      <c r="O267">
        <f>IF(L267="", "Pending", IF(N267&lt;=30, "Met", "Breached"))</f>
        <v/>
      </c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>
        <f>B268+30</f>
        <v/>
      </c>
      <c r="N268">
        <f>IF(L268="", "", L268-B268)</f>
        <v/>
      </c>
      <c r="O268">
        <f>IF(L268="", "Pending", IF(N268&lt;=30, "Met", "Breached"))</f>
        <v/>
      </c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>
        <f>B269+30</f>
        <v/>
      </c>
      <c r="N269">
        <f>IF(L269="", "", L269-B269)</f>
        <v/>
      </c>
      <c r="O269">
        <f>IF(L269="", "Pending", IF(N269&lt;=30, "Met", "Breached"))</f>
        <v/>
      </c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>
        <f>B270+30</f>
        <v/>
      </c>
      <c r="N270">
        <f>IF(L270="", "", L270-B270)</f>
        <v/>
      </c>
      <c r="O270">
        <f>IF(L270="", "Pending", IF(N270&lt;=30, "Met", "Breached"))</f>
        <v/>
      </c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>
        <f>B271+30</f>
        <v/>
      </c>
      <c r="N271">
        <f>IF(L271="", "", L271-B271)</f>
        <v/>
      </c>
      <c r="O271">
        <f>IF(L271="", "Pending", IF(N271&lt;=30, "Met", "Breached"))</f>
        <v/>
      </c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>
        <f>B272+30</f>
        <v/>
      </c>
      <c r="N272">
        <f>IF(L272="", "", L272-B272)</f>
        <v/>
      </c>
      <c r="O272">
        <f>IF(L272="", "Pending", IF(N272&lt;=30, "Met", "Breached"))</f>
        <v/>
      </c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>
        <f>B273+30</f>
        <v/>
      </c>
      <c r="N273">
        <f>IF(L273="", "", L273-B273)</f>
        <v/>
      </c>
      <c r="O273">
        <f>IF(L273="", "Pending", IF(N273&lt;=30, "Met", "Breached"))</f>
        <v/>
      </c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>
        <f>B274+30</f>
        <v/>
      </c>
      <c r="N274">
        <f>IF(L274="", "", L274-B274)</f>
        <v/>
      </c>
      <c r="O274">
        <f>IF(L274="", "Pending", IF(N274&lt;=30, "Met", "Breached"))</f>
        <v/>
      </c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>
        <f>B275+30</f>
        <v/>
      </c>
      <c r="N275">
        <f>IF(L275="", "", L275-B275)</f>
        <v/>
      </c>
      <c r="O275">
        <f>IF(L275="", "Pending", IF(N275&lt;=30, "Met", "Breached"))</f>
        <v/>
      </c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>
        <f>B276+30</f>
        <v/>
      </c>
      <c r="N276">
        <f>IF(L276="", "", L276-B276)</f>
        <v/>
      </c>
      <c r="O276">
        <f>IF(L276="", "Pending", IF(N276&lt;=30, "Met", "Breached"))</f>
        <v/>
      </c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>
        <f>B277+30</f>
        <v/>
      </c>
      <c r="N277">
        <f>IF(L277="", "", L277-B277)</f>
        <v/>
      </c>
      <c r="O277">
        <f>IF(L277="", "Pending", IF(N277&lt;=30, "Met", "Breached"))</f>
        <v/>
      </c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>
        <f>B278+30</f>
        <v/>
      </c>
      <c r="N278">
        <f>IF(L278="", "", L278-B278)</f>
        <v/>
      </c>
      <c r="O278">
        <f>IF(L278="", "Pending", IF(N278&lt;=30, "Met", "Breached"))</f>
        <v/>
      </c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>
        <f>B279+30</f>
        <v/>
      </c>
      <c r="N279">
        <f>IF(L279="", "", L279-B279)</f>
        <v/>
      </c>
      <c r="O279">
        <f>IF(L279="", "Pending", IF(N279&lt;=30, "Met", "Breached"))</f>
        <v/>
      </c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>
        <f>B280+30</f>
        <v/>
      </c>
      <c r="N280">
        <f>IF(L280="", "", L280-B280)</f>
        <v/>
      </c>
      <c r="O280">
        <f>IF(L280="", "Pending", IF(N280&lt;=30, "Met", "Breached"))</f>
        <v/>
      </c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>
        <f>B281+30</f>
        <v/>
      </c>
      <c r="N281">
        <f>IF(L281="", "", L281-B281)</f>
        <v/>
      </c>
      <c r="O281">
        <f>IF(L281="", "Pending", IF(N281&lt;=30, "Met", "Breached"))</f>
        <v/>
      </c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>
        <f>B282+30</f>
        <v/>
      </c>
      <c r="N282">
        <f>IF(L282="", "", L282-B282)</f>
        <v/>
      </c>
      <c r="O282">
        <f>IF(L282="", "Pending", IF(N282&lt;=30, "Met", "Breached"))</f>
        <v/>
      </c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>
        <f>B283+30</f>
        <v/>
      </c>
      <c r="N283">
        <f>IF(L283="", "", L283-B283)</f>
        <v/>
      </c>
      <c r="O283">
        <f>IF(L283="", "Pending", IF(N283&lt;=30, "Met", "Breached"))</f>
        <v/>
      </c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>
        <f>B284+30</f>
        <v/>
      </c>
      <c r="N284">
        <f>IF(L284="", "", L284-B284)</f>
        <v/>
      </c>
      <c r="O284">
        <f>IF(L284="", "Pending", IF(N284&lt;=30, "Met", "Breached"))</f>
        <v/>
      </c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>
        <f>B285+30</f>
        <v/>
      </c>
      <c r="N285">
        <f>IF(L285="", "", L285-B285)</f>
        <v/>
      </c>
      <c r="O285">
        <f>IF(L285="", "Pending", IF(N285&lt;=30, "Met", "Breached"))</f>
        <v/>
      </c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>
        <f>B286+30</f>
        <v/>
      </c>
      <c r="N286">
        <f>IF(L286="", "", L286-B286)</f>
        <v/>
      </c>
      <c r="O286">
        <f>IF(L286="", "Pending", IF(N286&lt;=30, "Met", "Breached"))</f>
        <v/>
      </c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>
        <f>B287+30</f>
        <v/>
      </c>
      <c r="N287">
        <f>IF(L287="", "", L287-B287)</f>
        <v/>
      </c>
      <c r="O287">
        <f>IF(L287="", "Pending", IF(N287&lt;=30, "Met", "Breached"))</f>
        <v/>
      </c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>
        <f>B288+30</f>
        <v/>
      </c>
      <c r="N288">
        <f>IF(L288="", "", L288-B288)</f>
        <v/>
      </c>
      <c r="O288">
        <f>IF(L288="", "Pending", IF(N288&lt;=30, "Met", "Breached"))</f>
        <v/>
      </c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>
        <f>B289+30</f>
        <v/>
      </c>
      <c r="N289">
        <f>IF(L289="", "", L289-B289)</f>
        <v/>
      </c>
      <c r="O289">
        <f>IF(L289="", "Pending", IF(N289&lt;=30, "Met", "Breached"))</f>
        <v/>
      </c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>
        <f>B290+30</f>
        <v/>
      </c>
      <c r="N290">
        <f>IF(L290="", "", L290-B290)</f>
        <v/>
      </c>
      <c r="O290">
        <f>IF(L290="", "Pending", IF(N290&lt;=30, "Met", "Breached"))</f>
        <v/>
      </c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>
        <f>B291+30</f>
        <v/>
      </c>
      <c r="N291">
        <f>IF(L291="", "", L291-B291)</f>
        <v/>
      </c>
      <c r="O291">
        <f>IF(L291="", "Pending", IF(N291&lt;=30, "Met", "Breached"))</f>
        <v/>
      </c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>
        <f>B292+30</f>
        <v/>
      </c>
      <c r="N292">
        <f>IF(L292="", "", L292-B292)</f>
        <v/>
      </c>
      <c r="O292">
        <f>IF(L292="", "Pending", IF(N292&lt;=30, "Met", "Breached"))</f>
        <v/>
      </c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>
        <f>B293+30</f>
        <v/>
      </c>
      <c r="N293">
        <f>IF(L293="", "", L293-B293)</f>
        <v/>
      </c>
      <c r="O293">
        <f>IF(L293="", "Pending", IF(N293&lt;=30, "Met", "Breached"))</f>
        <v/>
      </c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>
        <f>B294+30</f>
        <v/>
      </c>
      <c r="N294">
        <f>IF(L294="", "", L294-B294)</f>
        <v/>
      </c>
      <c r="O294">
        <f>IF(L294="", "Pending", IF(N294&lt;=30, "Met", "Breached"))</f>
        <v/>
      </c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>
        <f>B295+30</f>
        <v/>
      </c>
      <c r="N295">
        <f>IF(L295="", "", L295-B295)</f>
        <v/>
      </c>
      <c r="O295">
        <f>IF(L295="", "Pending", IF(N295&lt;=30, "Met", "Breached"))</f>
        <v/>
      </c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>
        <f>B296+30</f>
        <v/>
      </c>
      <c r="N296">
        <f>IF(L296="", "", L296-B296)</f>
        <v/>
      </c>
      <c r="O296">
        <f>IF(L296="", "Pending", IF(N296&lt;=30, "Met", "Breached"))</f>
        <v/>
      </c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>
        <f>B297+30</f>
        <v/>
      </c>
      <c r="N297">
        <f>IF(L297="", "", L297-B297)</f>
        <v/>
      </c>
      <c r="O297">
        <f>IF(L297="", "Pending", IF(N297&lt;=30, "Met", "Breached"))</f>
        <v/>
      </c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>
        <f>B298+30</f>
        <v/>
      </c>
      <c r="N298">
        <f>IF(L298="", "", L298-B298)</f>
        <v/>
      </c>
      <c r="O298">
        <f>IF(L298="", "Pending", IF(N298&lt;=30, "Met", "Breached"))</f>
        <v/>
      </c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>
        <f>B299+30</f>
        <v/>
      </c>
      <c r="N299">
        <f>IF(L299="", "", L299-B299)</f>
        <v/>
      </c>
      <c r="O299">
        <f>IF(L299="", "Pending", IF(N299&lt;=30, "Met", "Breached"))</f>
        <v/>
      </c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>
        <f>B300+30</f>
        <v/>
      </c>
      <c r="N300">
        <f>IF(L300="", "", L300-B300)</f>
        <v/>
      </c>
      <c r="O300">
        <f>IF(L300="", "Pending", IF(N300&lt;=30, "Met", "Breached"))</f>
        <v/>
      </c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>
        <f>B301+30</f>
        <v/>
      </c>
      <c r="N301">
        <f>IF(L301="", "", L301-B301)</f>
        <v/>
      </c>
      <c r="O301">
        <f>IF(L301="", "Pending", IF(N301&lt;=30, "Met", "Breached"))</f>
        <v/>
      </c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>
        <f>B302+30</f>
        <v/>
      </c>
      <c r="N302">
        <f>IF(L302="", "", L302-B302)</f>
        <v/>
      </c>
      <c r="O302">
        <f>IF(L302="", "Pending", IF(N302&lt;=30, "Met", "Breached"))</f>
        <v/>
      </c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>
        <f>B303+30</f>
        <v/>
      </c>
      <c r="N303">
        <f>IF(L303="", "", L303-B303)</f>
        <v/>
      </c>
      <c r="O303">
        <f>IF(L303="", "Pending", IF(N303&lt;=30, "Met", "Breached"))</f>
        <v/>
      </c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>
        <f>B304+30</f>
        <v/>
      </c>
      <c r="N304">
        <f>IF(L304="", "", L304-B304)</f>
        <v/>
      </c>
      <c r="O304">
        <f>IF(L304="", "Pending", IF(N304&lt;=30, "Met", "Breached"))</f>
        <v/>
      </c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>
        <f>B305+30</f>
        <v/>
      </c>
      <c r="N305">
        <f>IF(L305="", "", L305-B305)</f>
        <v/>
      </c>
      <c r="O305">
        <f>IF(L305="", "Pending", IF(N305&lt;=30, "Met", "Breached"))</f>
        <v/>
      </c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>
        <f>B306+30</f>
        <v/>
      </c>
      <c r="N306">
        <f>IF(L306="", "", L306-B306)</f>
        <v/>
      </c>
      <c r="O306">
        <f>IF(L306="", "Pending", IF(N306&lt;=30, "Met", "Breached"))</f>
        <v/>
      </c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>
        <f>B307+30</f>
        <v/>
      </c>
      <c r="N307">
        <f>IF(L307="", "", L307-B307)</f>
        <v/>
      </c>
      <c r="O307">
        <f>IF(L307="", "Pending", IF(N307&lt;=30, "Met", "Breached"))</f>
        <v/>
      </c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>
        <f>B308+30</f>
        <v/>
      </c>
      <c r="N308">
        <f>IF(L308="", "", L308-B308)</f>
        <v/>
      </c>
      <c r="O308">
        <f>IF(L308="", "Pending", IF(N308&lt;=30, "Met", "Breached"))</f>
        <v/>
      </c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>
        <f>B309+30</f>
        <v/>
      </c>
      <c r="N309">
        <f>IF(L309="", "", L309-B309)</f>
        <v/>
      </c>
      <c r="O309">
        <f>IF(L309="", "Pending", IF(N309&lt;=30, "Met", "Breached"))</f>
        <v/>
      </c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>
        <f>B310+30</f>
        <v/>
      </c>
      <c r="N310">
        <f>IF(L310="", "", L310-B310)</f>
        <v/>
      </c>
      <c r="O310">
        <f>IF(L310="", "Pending", IF(N310&lt;=30, "Met", "Breached"))</f>
        <v/>
      </c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>
        <f>B311+30</f>
        <v/>
      </c>
      <c r="N311">
        <f>IF(L311="", "", L311-B311)</f>
        <v/>
      </c>
      <c r="O311">
        <f>IF(L311="", "Pending", IF(N311&lt;=30, "Met", "Breached"))</f>
        <v/>
      </c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>
        <f>B312+30</f>
        <v/>
      </c>
      <c r="N312">
        <f>IF(L312="", "", L312-B312)</f>
        <v/>
      </c>
      <c r="O312">
        <f>IF(L312="", "Pending", IF(N312&lt;=30, "Met", "Breached"))</f>
        <v/>
      </c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>
        <f>B313+30</f>
        <v/>
      </c>
      <c r="N313">
        <f>IF(L313="", "", L313-B313)</f>
        <v/>
      </c>
      <c r="O313">
        <f>IF(L313="", "Pending", IF(N313&lt;=30, "Met", "Breached"))</f>
        <v/>
      </c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>
        <f>B314+30</f>
        <v/>
      </c>
      <c r="N314">
        <f>IF(L314="", "", L314-B314)</f>
        <v/>
      </c>
      <c r="O314">
        <f>IF(L314="", "Pending", IF(N314&lt;=30, "Met", "Breached"))</f>
        <v/>
      </c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>
        <f>B315+30</f>
        <v/>
      </c>
      <c r="N315">
        <f>IF(L315="", "", L315-B315)</f>
        <v/>
      </c>
      <c r="O315">
        <f>IF(L315="", "Pending", IF(N315&lt;=30, "Met", "Breached"))</f>
        <v/>
      </c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>
        <f>B316+30</f>
        <v/>
      </c>
      <c r="N316">
        <f>IF(L316="", "", L316-B316)</f>
        <v/>
      </c>
      <c r="O316">
        <f>IF(L316="", "Pending", IF(N316&lt;=30, "Met", "Breached"))</f>
        <v/>
      </c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>
        <f>B317+30</f>
        <v/>
      </c>
      <c r="N317">
        <f>IF(L317="", "", L317-B317)</f>
        <v/>
      </c>
      <c r="O317">
        <f>IF(L317="", "Pending", IF(N317&lt;=30, "Met", "Breached"))</f>
        <v/>
      </c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>
        <f>B318+30</f>
        <v/>
      </c>
      <c r="N318">
        <f>IF(L318="", "", L318-B318)</f>
        <v/>
      </c>
      <c r="O318">
        <f>IF(L318="", "Pending", IF(N318&lt;=30, "Met", "Breached"))</f>
        <v/>
      </c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>
        <f>B319+30</f>
        <v/>
      </c>
      <c r="N319">
        <f>IF(L319="", "", L319-B319)</f>
        <v/>
      </c>
      <c r="O319">
        <f>IF(L319="", "Pending", IF(N319&lt;=30, "Met", "Breached"))</f>
        <v/>
      </c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>
        <f>B320+30</f>
        <v/>
      </c>
      <c r="N320">
        <f>IF(L320="", "", L320-B320)</f>
        <v/>
      </c>
      <c r="O320">
        <f>IF(L320="", "Pending", IF(N320&lt;=30, "Met", "Breached"))</f>
        <v/>
      </c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>
        <f>B321+30</f>
        <v/>
      </c>
      <c r="N321">
        <f>IF(L321="", "", L321-B321)</f>
        <v/>
      </c>
      <c r="O321">
        <f>IF(L321="", "Pending", IF(N321&lt;=30, "Met", "Breached"))</f>
        <v/>
      </c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>
        <f>B322+30</f>
        <v/>
      </c>
      <c r="N322">
        <f>IF(L322="", "", L322-B322)</f>
        <v/>
      </c>
      <c r="O322">
        <f>IF(L322="", "Pending", IF(N322&lt;=30, "Met", "Breached"))</f>
        <v/>
      </c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>
        <f>B323+30</f>
        <v/>
      </c>
      <c r="N323">
        <f>IF(L323="", "", L323-B323)</f>
        <v/>
      </c>
      <c r="O323">
        <f>IF(L323="", "Pending", IF(N323&lt;=30, "Met", "Breached"))</f>
        <v/>
      </c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>
        <f>B324+30</f>
        <v/>
      </c>
      <c r="N324">
        <f>IF(L324="", "", L324-B324)</f>
        <v/>
      </c>
      <c r="O324">
        <f>IF(L324="", "Pending", IF(N324&lt;=30, "Met", "Breached"))</f>
        <v/>
      </c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>
        <f>B325+30</f>
        <v/>
      </c>
      <c r="N325">
        <f>IF(L325="", "", L325-B325)</f>
        <v/>
      </c>
      <c r="O325">
        <f>IF(L325="", "Pending", IF(N325&lt;=30, "Met", "Breached"))</f>
        <v/>
      </c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>
        <f>B326+30</f>
        <v/>
      </c>
      <c r="N326">
        <f>IF(L326="", "", L326-B326)</f>
        <v/>
      </c>
      <c r="O326">
        <f>IF(L326="", "Pending", IF(N326&lt;=30, "Met", "Breached"))</f>
        <v/>
      </c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>
        <f>B327+30</f>
        <v/>
      </c>
      <c r="N327">
        <f>IF(L327="", "", L327-B327)</f>
        <v/>
      </c>
      <c r="O327">
        <f>IF(L327="", "Pending", IF(N327&lt;=30, "Met", "Breached"))</f>
        <v/>
      </c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>
        <f>B328+30</f>
        <v/>
      </c>
      <c r="N328">
        <f>IF(L328="", "", L328-B328)</f>
        <v/>
      </c>
      <c r="O328">
        <f>IF(L328="", "Pending", IF(N328&lt;=30, "Met", "Breached"))</f>
        <v/>
      </c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>
        <f>B329+30</f>
        <v/>
      </c>
      <c r="N329">
        <f>IF(L329="", "", L329-B329)</f>
        <v/>
      </c>
      <c r="O329">
        <f>IF(L329="", "Pending", IF(N329&lt;=30, "Met", "Breached"))</f>
        <v/>
      </c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>
        <f>B330+30</f>
        <v/>
      </c>
      <c r="N330">
        <f>IF(L330="", "", L330-B330)</f>
        <v/>
      </c>
      <c r="O330">
        <f>IF(L330="", "Pending", IF(N330&lt;=30, "Met", "Breached"))</f>
        <v/>
      </c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>
        <f>B331+30</f>
        <v/>
      </c>
      <c r="N331">
        <f>IF(L331="", "", L331-B331)</f>
        <v/>
      </c>
      <c r="O331">
        <f>IF(L331="", "Pending", IF(N331&lt;=30, "Met", "Breached"))</f>
        <v/>
      </c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>
        <f>B332+30</f>
        <v/>
      </c>
      <c r="N332">
        <f>IF(L332="", "", L332-B332)</f>
        <v/>
      </c>
      <c r="O332">
        <f>IF(L332="", "Pending", IF(N332&lt;=30, "Met", "Breached"))</f>
        <v/>
      </c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>
        <f>B333+30</f>
        <v/>
      </c>
      <c r="N333">
        <f>IF(L333="", "", L333-B333)</f>
        <v/>
      </c>
      <c r="O333">
        <f>IF(L333="", "Pending", IF(N333&lt;=30, "Met", "Breached"))</f>
        <v/>
      </c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>
        <f>B334+30</f>
        <v/>
      </c>
      <c r="N334">
        <f>IF(L334="", "", L334-B334)</f>
        <v/>
      </c>
      <c r="O334">
        <f>IF(L334="", "Pending", IF(N334&lt;=30, "Met", "Breached"))</f>
        <v/>
      </c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>
        <f>B335+30</f>
        <v/>
      </c>
      <c r="N335">
        <f>IF(L335="", "", L335-B335)</f>
        <v/>
      </c>
      <c r="O335">
        <f>IF(L335="", "Pending", IF(N335&lt;=30, "Met", "Breached"))</f>
        <v/>
      </c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>
        <f>B336+30</f>
        <v/>
      </c>
      <c r="N336">
        <f>IF(L336="", "", L336-B336)</f>
        <v/>
      </c>
      <c r="O336">
        <f>IF(L336="", "Pending", IF(N336&lt;=30, "Met", "Breached"))</f>
        <v/>
      </c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>
        <f>B337+30</f>
        <v/>
      </c>
      <c r="N337">
        <f>IF(L337="", "", L337-B337)</f>
        <v/>
      </c>
      <c r="O337">
        <f>IF(L337="", "Pending", IF(N337&lt;=30, "Met", "Breached"))</f>
        <v/>
      </c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>
        <f>B338+30</f>
        <v/>
      </c>
      <c r="N338">
        <f>IF(L338="", "", L338-B338)</f>
        <v/>
      </c>
      <c r="O338">
        <f>IF(L338="", "Pending", IF(N338&lt;=30, "Met", "Breached"))</f>
        <v/>
      </c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>
        <f>B339+30</f>
        <v/>
      </c>
      <c r="N339">
        <f>IF(L339="", "", L339-B339)</f>
        <v/>
      </c>
      <c r="O339">
        <f>IF(L339="", "Pending", IF(N339&lt;=30, "Met", "Breached"))</f>
        <v/>
      </c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>
        <f>B340+30</f>
        <v/>
      </c>
      <c r="N340">
        <f>IF(L340="", "", L340-B340)</f>
        <v/>
      </c>
      <c r="O340">
        <f>IF(L340="", "Pending", IF(N340&lt;=30, "Met", "Breached"))</f>
        <v/>
      </c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>
        <f>B341+30</f>
        <v/>
      </c>
      <c r="N341">
        <f>IF(L341="", "", L341-B341)</f>
        <v/>
      </c>
      <c r="O341">
        <f>IF(L341="", "Pending", IF(N341&lt;=30, "Met", "Breached"))</f>
        <v/>
      </c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>
        <f>B342+30</f>
        <v/>
      </c>
      <c r="N342">
        <f>IF(L342="", "", L342-B342)</f>
        <v/>
      </c>
      <c r="O342">
        <f>IF(L342="", "Pending", IF(N342&lt;=30, "Met", "Breached"))</f>
        <v/>
      </c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>
        <f>B343+30</f>
        <v/>
      </c>
      <c r="N343">
        <f>IF(L343="", "", L343-B343)</f>
        <v/>
      </c>
      <c r="O343">
        <f>IF(L343="", "Pending", IF(N343&lt;=30, "Met", "Breached"))</f>
        <v/>
      </c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>
        <f>B344+30</f>
        <v/>
      </c>
      <c r="N344">
        <f>IF(L344="", "", L344-B344)</f>
        <v/>
      </c>
      <c r="O344">
        <f>IF(L344="", "Pending", IF(N344&lt;=30, "Met", "Breached"))</f>
        <v/>
      </c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>
        <f>B345+30</f>
        <v/>
      </c>
      <c r="N345">
        <f>IF(L345="", "", L345-B345)</f>
        <v/>
      </c>
      <c r="O345">
        <f>IF(L345="", "Pending", IF(N345&lt;=30, "Met", "Breached"))</f>
        <v/>
      </c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>
        <f>B346+30</f>
        <v/>
      </c>
      <c r="N346">
        <f>IF(L346="", "", L346-B346)</f>
        <v/>
      </c>
      <c r="O346">
        <f>IF(L346="", "Pending", IF(N346&lt;=30, "Met", "Breached"))</f>
        <v/>
      </c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>
        <f>B347+30</f>
        <v/>
      </c>
      <c r="N347">
        <f>IF(L347="", "", L347-B347)</f>
        <v/>
      </c>
      <c r="O347">
        <f>IF(L347="", "Pending", IF(N347&lt;=30, "Met", "Breached"))</f>
        <v/>
      </c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>
        <f>B348+30</f>
        <v/>
      </c>
      <c r="N348">
        <f>IF(L348="", "", L348-B348)</f>
        <v/>
      </c>
      <c r="O348">
        <f>IF(L348="", "Pending", IF(N348&lt;=30, "Met", "Breached"))</f>
        <v/>
      </c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>
        <f>B349+30</f>
        <v/>
      </c>
      <c r="N349">
        <f>IF(L349="", "", L349-B349)</f>
        <v/>
      </c>
      <c r="O349">
        <f>IF(L349="", "Pending", IF(N349&lt;=30, "Met", "Breached"))</f>
        <v/>
      </c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>
        <f>B350+30</f>
        <v/>
      </c>
      <c r="N350">
        <f>IF(L350="", "", L350-B350)</f>
        <v/>
      </c>
      <c r="O350">
        <f>IF(L350="", "Pending", IF(N350&lt;=30, "Met", "Breached"))</f>
        <v/>
      </c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>
        <f>B351+30</f>
        <v/>
      </c>
      <c r="N351">
        <f>IF(L351="", "", L351-B351)</f>
        <v/>
      </c>
      <c r="O351">
        <f>IF(L351="", "Pending", IF(N351&lt;=30, "Met", "Breached"))</f>
        <v/>
      </c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>
        <f>B352+30</f>
        <v/>
      </c>
      <c r="N352">
        <f>IF(L352="", "", L352-B352)</f>
        <v/>
      </c>
      <c r="O352">
        <f>IF(L352="", "Pending", IF(N352&lt;=30, "Met", "Breached"))</f>
        <v/>
      </c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>
        <f>B353+30</f>
        <v/>
      </c>
      <c r="N353">
        <f>IF(L353="", "", L353-B353)</f>
        <v/>
      </c>
      <c r="O353">
        <f>IF(L353="", "Pending", IF(N353&lt;=30, "Met", "Breached"))</f>
        <v/>
      </c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>
        <f>B354+30</f>
        <v/>
      </c>
      <c r="N354">
        <f>IF(L354="", "", L354-B354)</f>
        <v/>
      </c>
      <c r="O354">
        <f>IF(L354="", "Pending", IF(N354&lt;=30, "Met", "Breached"))</f>
        <v/>
      </c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>
        <f>B355+30</f>
        <v/>
      </c>
      <c r="N355">
        <f>IF(L355="", "", L355-B355)</f>
        <v/>
      </c>
      <c r="O355">
        <f>IF(L355="", "Pending", IF(N355&lt;=30, "Met", "Breached"))</f>
        <v/>
      </c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>
        <f>B356+30</f>
        <v/>
      </c>
      <c r="N356">
        <f>IF(L356="", "", L356-B356)</f>
        <v/>
      </c>
      <c r="O356">
        <f>IF(L356="", "Pending", IF(N356&lt;=30, "Met", "Breached"))</f>
        <v/>
      </c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>
        <f>B357+30</f>
        <v/>
      </c>
      <c r="N357">
        <f>IF(L357="", "", L357-B357)</f>
        <v/>
      </c>
      <c r="O357">
        <f>IF(L357="", "Pending", IF(N357&lt;=30, "Met", "Breached"))</f>
        <v/>
      </c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>
        <f>B358+30</f>
        <v/>
      </c>
      <c r="N358">
        <f>IF(L358="", "", L358-B358)</f>
        <v/>
      </c>
      <c r="O358">
        <f>IF(L358="", "Pending", IF(N358&lt;=30, "Met", "Breached"))</f>
        <v/>
      </c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>
        <f>B359+30</f>
        <v/>
      </c>
      <c r="N359">
        <f>IF(L359="", "", L359-B359)</f>
        <v/>
      </c>
      <c r="O359">
        <f>IF(L359="", "Pending", IF(N359&lt;=30, "Met", "Breached"))</f>
        <v/>
      </c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>
        <f>B360+30</f>
        <v/>
      </c>
      <c r="N360">
        <f>IF(L360="", "", L360-B360)</f>
        <v/>
      </c>
      <c r="O360">
        <f>IF(L360="", "Pending", IF(N360&lt;=30, "Met", "Breached"))</f>
        <v/>
      </c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>
        <f>B361+30</f>
        <v/>
      </c>
      <c r="N361">
        <f>IF(L361="", "", L361-B361)</f>
        <v/>
      </c>
      <c r="O361">
        <f>IF(L361="", "Pending", IF(N361&lt;=30, "Met", "Breached"))</f>
        <v/>
      </c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>
        <f>B362+30</f>
        <v/>
      </c>
      <c r="N362">
        <f>IF(L362="", "", L362-B362)</f>
        <v/>
      </c>
      <c r="O362">
        <f>IF(L362="", "Pending", IF(N362&lt;=30, "Met", "Breached"))</f>
        <v/>
      </c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>
        <f>B363+30</f>
        <v/>
      </c>
      <c r="N363">
        <f>IF(L363="", "", L363-B363)</f>
        <v/>
      </c>
      <c r="O363">
        <f>IF(L363="", "Pending", IF(N363&lt;=30, "Met", "Breached"))</f>
        <v/>
      </c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>
        <f>B364+30</f>
        <v/>
      </c>
      <c r="N364">
        <f>IF(L364="", "", L364-B364)</f>
        <v/>
      </c>
      <c r="O364">
        <f>IF(L364="", "Pending", IF(N364&lt;=30, "Met", "Breached"))</f>
        <v/>
      </c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>
        <f>B365+30</f>
        <v/>
      </c>
      <c r="N365">
        <f>IF(L365="", "", L365-B365)</f>
        <v/>
      </c>
      <c r="O365">
        <f>IF(L365="", "Pending", IF(N365&lt;=30, "Met", "Breached"))</f>
        <v/>
      </c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>
        <f>B366+30</f>
        <v/>
      </c>
      <c r="N366">
        <f>IF(L366="", "", L366-B366)</f>
        <v/>
      </c>
      <c r="O366">
        <f>IF(L366="", "Pending", IF(N366&lt;=30, "Met", "Breached"))</f>
        <v/>
      </c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>
        <f>B367+30</f>
        <v/>
      </c>
      <c r="N367">
        <f>IF(L367="", "", L367-B367)</f>
        <v/>
      </c>
      <c r="O367">
        <f>IF(L367="", "Pending", IF(N367&lt;=30, "Met", "Breached"))</f>
        <v/>
      </c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>
        <f>B368+30</f>
        <v/>
      </c>
      <c r="N368">
        <f>IF(L368="", "", L368-B368)</f>
        <v/>
      </c>
      <c r="O368">
        <f>IF(L368="", "Pending", IF(N368&lt;=30, "Met", "Breached"))</f>
        <v/>
      </c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>
        <f>B369+30</f>
        <v/>
      </c>
      <c r="N369">
        <f>IF(L369="", "", L369-B369)</f>
        <v/>
      </c>
      <c r="O369">
        <f>IF(L369="", "Pending", IF(N369&lt;=30, "Met", "Breached"))</f>
        <v/>
      </c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>
        <f>B370+30</f>
        <v/>
      </c>
      <c r="N370">
        <f>IF(L370="", "", L370-B370)</f>
        <v/>
      </c>
      <c r="O370">
        <f>IF(L370="", "Pending", IF(N370&lt;=30, "Met", "Breached"))</f>
        <v/>
      </c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>
        <f>B371+30</f>
        <v/>
      </c>
      <c r="N371">
        <f>IF(L371="", "", L371-B371)</f>
        <v/>
      </c>
      <c r="O371">
        <f>IF(L371="", "Pending", IF(N371&lt;=30, "Met", "Breached"))</f>
        <v/>
      </c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>
        <f>B372+30</f>
        <v/>
      </c>
      <c r="N372">
        <f>IF(L372="", "", L372-B372)</f>
        <v/>
      </c>
      <c r="O372">
        <f>IF(L372="", "Pending", IF(N372&lt;=30, "Met", "Breached"))</f>
        <v/>
      </c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>
        <f>B373+30</f>
        <v/>
      </c>
      <c r="N373">
        <f>IF(L373="", "", L373-B373)</f>
        <v/>
      </c>
      <c r="O373">
        <f>IF(L373="", "Pending", IF(N373&lt;=30, "Met", "Breached"))</f>
        <v/>
      </c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>
        <f>B374+30</f>
        <v/>
      </c>
      <c r="N374">
        <f>IF(L374="", "", L374-B374)</f>
        <v/>
      </c>
      <c r="O374">
        <f>IF(L374="", "Pending", IF(N374&lt;=30, "Met", "Breached"))</f>
        <v/>
      </c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>
        <f>B375+30</f>
        <v/>
      </c>
      <c r="N375">
        <f>IF(L375="", "", L375-B375)</f>
        <v/>
      </c>
      <c r="O375">
        <f>IF(L375="", "Pending", IF(N375&lt;=30, "Met", "Breached"))</f>
        <v/>
      </c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>
        <f>B376+30</f>
        <v/>
      </c>
      <c r="N376">
        <f>IF(L376="", "", L376-B376)</f>
        <v/>
      </c>
      <c r="O376">
        <f>IF(L376="", "Pending", IF(N376&lt;=30, "Met", "Breached"))</f>
        <v/>
      </c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>
        <f>B377+30</f>
        <v/>
      </c>
      <c r="N377">
        <f>IF(L377="", "", L377-B377)</f>
        <v/>
      </c>
      <c r="O377">
        <f>IF(L377="", "Pending", IF(N377&lt;=30, "Met", "Breached"))</f>
        <v/>
      </c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>
        <f>B378+30</f>
        <v/>
      </c>
      <c r="N378">
        <f>IF(L378="", "", L378-B378)</f>
        <v/>
      </c>
      <c r="O378">
        <f>IF(L378="", "Pending", IF(N378&lt;=30, "Met", "Breached"))</f>
        <v/>
      </c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>
        <f>B379+30</f>
        <v/>
      </c>
      <c r="N379">
        <f>IF(L379="", "", L379-B379)</f>
        <v/>
      </c>
      <c r="O379">
        <f>IF(L379="", "Pending", IF(N379&lt;=30, "Met", "Breached"))</f>
        <v/>
      </c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>
        <f>B380+30</f>
        <v/>
      </c>
      <c r="N380">
        <f>IF(L380="", "", L380-B380)</f>
        <v/>
      </c>
      <c r="O380">
        <f>IF(L380="", "Pending", IF(N380&lt;=30, "Met", "Breached"))</f>
        <v/>
      </c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>
        <f>B381+30</f>
        <v/>
      </c>
      <c r="N381">
        <f>IF(L381="", "", L381-B381)</f>
        <v/>
      </c>
      <c r="O381">
        <f>IF(L381="", "Pending", IF(N381&lt;=30, "Met", "Breached"))</f>
        <v/>
      </c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>
        <f>B382+30</f>
        <v/>
      </c>
      <c r="N382">
        <f>IF(L382="", "", L382-B382)</f>
        <v/>
      </c>
      <c r="O382">
        <f>IF(L382="", "Pending", IF(N382&lt;=30, "Met", "Breached"))</f>
        <v/>
      </c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>
        <f>B383+30</f>
        <v/>
      </c>
      <c r="N383">
        <f>IF(L383="", "", L383-B383)</f>
        <v/>
      </c>
      <c r="O383">
        <f>IF(L383="", "Pending", IF(N383&lt;=30, "Met", "Breached"))</f>
        <v/>
      </c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>
        <f>B384+30</f>
        <v/>
      </c>
      <c r="N384">
        <f>IF(L384="", "", L384-B384)</f>
        <v/>
      </c>
      <c r="O384">
        <f>IF(L384="", "Pending", IF(N384&lt;=30, "Met", "Breached"))</f>
        <v/>
      </c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>
        <f>B385+30</f>
        <v/>
      </c>
      <c r="N385">
        <f>IF(L385="", "", L385-B385)</f>
        <v/>
      </c>
      <c r="O385">
        <f>IF(L385="", "Pending", IF(N385&lt;=30, "Met", "Breached"))</f>
        <v/>
      </c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>
        <f>B386+30</f>
        <v/>
      </c>
      <c r="N386">
        <f>IF(L386="", "", L386-B386)</f>
        <v/>
      </c>
      <c r="O386">
        <f>IF(L386="", "Pending", IF(N386&lt;=30, "Met", "Breached"))</f>
        <v/>
      </c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>
        <f>B387+30</f>
        <v/>
      </c>
      <c r="N387">
        <f>IF(L387="", "", L387-B387)</f>
        <v/>
      </c>
      <c r="O387">
        <f>IF(L387="", "Pending", IF(N387&lt;=30, "Met", "Breached"))</f>
        <v/>
      </c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>
        <f>B388+30</f>
        <v/>
      </c>
      <c r="N388">
        <f>IF(L388="", "", L388-B388)</f>
        <v/>
      </c>
      <c r="O388">
        <f>IF(L388="", "Pending", IF(N388&lt;=30, "Met", "Breached"))</f>
        <v/>
      </c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>
        <f>B389+30</f>
        <v/>
      </c>
      <c r="N389">
        <f>IF(L389="", "", L389-B389)</f>
        <v/>
      </c>
      <c r="O389">
        <f>IF(L389="", "Pending", IF(N389&lt;=30, "Met", "Breached"))</f>
        <v/>
      </c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>
        <f>B390+30</f>
        <v/>
      </c>
      <c r="N390">
        <f>IF(L390="", "", L390-B390)</f>
        <v/>
      </c>
      <c r="O390">
        <f>IF(L390="", "Pending", IF(N390&lt;=30, "Met", "Breached"))</f>
        <v/>
      </c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>
        <f>B391+30</f>
        <v/>
      </c>
      <c r="N391">
        <f>IF(L391="", "", L391-B391)</f>
        <v/>
      </c>
      <c r="O391">
        <f>IF(L391="", "Pending", IF(N391&lt;=30, "Met", "Breached"))</f>
        <v/>
      </c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>
        <f>B392+30</f>
        <v/>
      </c>
      <c r="N392">
        <f>IF(L392="", "", L392-B392)</f>
        <v/>
      </c>
      <c r="O392">
        <f>IF(L392="", "Pending", IF(N392&lt;=30, "Met", "Breached"))</f>
        <v/>
      </c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>
        <f>B393+30</f>
        <v/>
      </c>
      <c r="N393">
        <f>IF(L393="", "", L393-B393)</f>
        <v/>
      </c>
      <c r="O393">
        <f>IF(L393="", "Pending", IF(N393&lt;=30, "Met", "Breached"))</f>
        <v/>
      </c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>
        <f>B394+30</f>
        <v/>
      </c>
      <c r="N394">
        <f>IF(L394="", "", L394-B394)</f>
        <v/>
      </c>
      <c r="O394">
        <f>IF(L394="", "Pending", IF(N394&lt;=30, "Met", "Breached"))</f>
        <v/>
      </c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>
        <f>B395+30</f>
        <v/>
      </c>
      <c r="N395">
        <f>IF(L395="", "", L395-B395)</f>
        <v/>
      </c>
      <c r="O395">
        <f>IF(L395="", "Pending", IF(N395&lt;=30, "Met", "Breached"))</f>
        <v/>
      </c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>
        <f>B396+30</f>
        <v/>
      </c>
      <c r="N396">
        <f>IF(L396="", "", L396-B396)</f>
        <v/>
      </c>
      <c r="O396">
        <f>IF(L396="", "Pending", IF(N396&lt;=30, "Met", "Breached"))</f>
        <v/>
      </c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>
        <f>B397+30</f>
        <v/>
      </c>
      <c r="N397">
        <f>IF(L397="", "", L397-B397)</f>
        <v/>
      </c>
      <c r="O397">
        <f>IF(L397="", "Pending", IF(N397&lt;=30, "Met", "Breached"))</f>
        <v/>
      </c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>
        <f>B398+30</f>
        <v/>
      </c>
      <c r="N398">
        <f>IF(L398="", "", L398-B398)</f>
        <v/>
      </c>
      <c r="O398">
        <f>IF(L398="", "Pending", IF(N398&lt;=30, "Met", "Breached"))</f>
        <v/>
      </c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>
        <f>B399+30</f>
        <v/>
      </c>
      <c r="N399">
        <f>IF(L399="", "", L399-B399)</f>
        <v/>
      </c>
      <c r="O399">
        <f>IF(L399="", "Pending", IF(N399&lt;=30, "Met", "Breached"))</f>
        <v/>
      </c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>
        <f>B400+30</f>
        <v/>
      </c>
      <c r="N400">
        <f>IF(L400="", "", L400-B400)</f>
        <v/>
      </c>
      <c r="O400">
        <f>IF(L400="", "Pending", IF(N400&lt;=30, "Met", "Breached"))</f>
        <v/>
      </c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>
        <f>B401+30</f>
        <v/>
      </c>
      <c r="N401">
        <f>IF(L401="", "", L401-B401)</f>
        <v/>
      </c>
      <c r="O401">
        <f>IF(L401="", "Pending", IF(N401&lt;=30, "Met", "Breached"))</f>
        <v/>
      </c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>
        <f>B402+30</f>
        <v/>
      </c>
      <c r="N402">
        <f>IF(L402="", "", L402-B402)</f>
        <v/>
      </c>
      <c r="O402">
        <f>IF(L402="", "Pending", IF(N402&lt;=30, "Met", "Breached"))</f>
        <v/>
      </c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>
        <f>B403+30</f>
        <v/>
      </c>
      <c r="N403">
        <f>IF(L403="", "", L403-B403)</f>
        <v/>
      </c>
      <c r="O403">
        <f>IF(L403="", "Pending", IF(N403&lt;=30, "Met", "Breached"))</f>
        <v/>
      </c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>
        <f>B404+30</f>
        <v/>
      </c>
      <c r="N404">
        <f>IF(L404="", "", L404-B404)</f>
        <v/>
      </c>
      <c r="O404">
        <f>IF(L404="", "Pending", IF(N404&lt;=30, "Met", "Breached"))</f>
        <v/>
      </c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>
        <f>B405+30</f>
        <v/>
      </c>
      <c r="N405">
        <f>IF(L405="", "", L405-B405)</f>
        <v/>
      </c>
      <c r="O405">
        <f>IF(L405="", "Pending", IF(N405&lt;=30, "Met", "Breached"))</f>
        <v/>
      </c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>
        <f>B406+30</f>
        <v/>
      </c>
      <c r="N406">
        <f>IF(L406="", "", L406-B406)</f>
        <v/>
      </c>
      <c r="O406">
        <f>IF(L406="", "Pending", IF(N406&lt;=30, "Met", "Breached"))</f>
        <v/>
      </c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>
        <f>B407+30</f>
        <v/>
      </c>
      <c r="N407">
        <f>IF(L407="", "", L407-B407)</f>
        <v/>
      </c>
      <c r="O407">
        <f>IF(L407="", "Pending", IF(N407&lt;=30, "Met", "Breached"))</f>
        <v/>
      </c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>
        <f>B408+30</f>
        <v/>
      </c>
      <c r="N408">
        <f>IF(L408="", "", L408-B408)</f>
        <v/>
      </c>
      <c r="O408">
        <f>IF(L408="", "Pending", IF(N408&lt;=30, "Met", "Breached"))</f>
        <v/>
      </c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>
        <f>B409+30</f>
        <v/>
      </c>
      <c r="N409">
        <f>IF(L409="", "", L409-B409)</f>
        <v/>
      </c>
      <c r="O409">
        <f>IF(L409="", "Pending", IF(N409&lt;=30, "Met", "Breached"))</f>
        <v/>
      </c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>
        <f>B410+30</f>
        <v/>
      </c>
      <c r="N410">
        <f>IF(L410="", "", L410-B410)</f>
        <v/>
      </c>
      <c r="O410">
        <f>IF(L410="", "Pending", IF(N410&lt;=30, "Met", "Breached"))</f>
        <v/>
      </c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>
        <f>B411+30</f>
        <v/>
      </c>
      <c r="N411">
        <f>IF(L411="", "", L411-B411)</f>
        <v/>
      </c>
      <c r="O411">
        <f>IF(L411="", "Pending", IF(N411&lt;=30, "Met", "Breached"))</f>
        <v/>
      </c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>
        <f>B412+30</f>
        <v/>
      </c>
      <c r="N412">
        <f>IF(L412="", "", L412-B412)</f>
        <v/>
      </c>
      <c r="O412">
        <f>IF(L412="", "Pending", IF(N412&lt;=30, "Met", "Breached"))</f>
        <v/>
      </c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>
        <f>B413+30</f>
        <v/>
      </c>
      <c r="N413">
        <f>IF(L413="", "", L413-B413)</f>
        <v/>
      </c>
      <c r="O413">
        <f>IF(L413="", "Pending", IF(N413&lt;=30, "Met", "Breached"))</f>
        <v/>
      </c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>
        <f>B414+30</f>
        <v/>
      </c>
      <c r="N414">
        <f>IF(L414="", "", L414-B414)</f>
        <v/>
      </c>
      <c r="O414">
        <f>IF(L414="", "Pending", IF(N414&lt;=30, "Met", "Breached"))</f>
        <v/>
      </c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>
        <f>B415+30</f>
        <v/>
      </c>
      <c r="N415">
        <f>IF(L415="", "", L415-B415)</f>
        <v/>
      </c>
      <c r="O415">
        <f>IF(L415="", "Pending", IF(N415&lt;=30, "Met", "Breached"))</f>
        <v/>
      </c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>
        <f>B416+30</f>
        <v/>
      </c>
      <c r="N416">
        <f>IF(L416="", "", L416-B416)</f>
        <v/>
      </c>
      <c r="O416">
        <f>IF(L416="", "Pending", IF(N416&lt;=30, "Met", "Breached"))</f>
        <v/>
      </c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>
        <f>B417+30</f>
        <v/>
      </c>
      <c r="N417">
        <f>IF(L417="", "", L417-B417)</f>
        <v/>
      </c>
      <c r="O417">
        <f>IF(L417="", "Pending", IF(N417&lt;=30, "Met", "Breached"))</f>
        <v/>
      </c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>
        <f>B418+30</f>
        <v/>
      </c>
      <c r="N418">
        <f>IF(L418="", "", L418-B418)</f>
        <v/>
      </c>
      <c r="O418">
        <f>IF(L418="", "Pending", IF(N418&lt;=30, "Met", "Breached"))</f>
        <v/>
      </c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>
        <f>B419+30</f>
        <v/>
      </c>
      <c r="N419">
        <f>IF(L419="", "", L419-B419)</f>
        <v/>
      </c>
      <c r="O419">
        <f>IF(L419="", "Pending", IF(N419&lt;=30, "Met", "Breached"))</f>
        <v/>
      </c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>
        <f>B420+30</f>
        <v/>
      </c>
      <c r="N420">
        <f>IF(L420="", "", L420-B420)</f>
        <v/>
      </c>
      <c r="O420">
        <f>IF(L420="", "Pending", IF(N420&lt;=30, "Met", "Breached"))</f>
        <v/>
      </c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>
        <f>B421+30</f>
        <v/>
      </c>
      <c r="N421">
        <f>IF(L421="", "", L421-B421)</f>
        <v/>
      </c>
      <c r="O421">
        <f>IF(L421="", "Pending", IF(N421&lt;=30, "Met", "Breached"))</f>
        <v/>
      </c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>
        <f>B422+30</f>
        <v/>
      </c>
      <c r="N422">
        <f>IF(L422="", "", L422-B422)</f>
        <v/>
      </c>
      <c r="O422">
        <f>IF(L422="", "Pending", IF(N422&lt;=30, "Met", "Breached"))</f>
        <v/>
      </c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>
        <f>B423+30</f>
        <v/>
      </c>
      <c r="N423">
        <f>IF(L423="", "", L423-B423)</f>
        <v/>
      </c>
      <c r="O423">
        <f>IF(L423="", "Pending", IF(N423&lt;=30, "Met", "Breached"))</f>
        <v/>
      </c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>
        <f>B424+30</f>
        <v/>
      </c>
      <c r="N424">
        <f>IF(L424="", "", L424-B424)</f>
        <v/>
      </c>
      <c r="O424">
        <f>IF(L424="", "Pending", IF(N424&lt;=30, "Met", "Breached"))</f>
        <v/>
      </c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>
        <f>B425+30</f>
        <v/>
      </c>
      <c r="N425">
        <f>IF(L425="", "", L425-B425)</f>
        <v/>
      </c>
      <c r="O425">
        <f>IF(L425="", "Pending", IF(N425&lt;=30, "Met", "Breached"))</f>
        <v/>
      </c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>
        <f>B426+30</f>
        <v/>
      </c>
      <c r="N426">
        <f>IF(L426="", "", L426-B426)</f>
        <v/>
      </c>
      <c r="O426">
        <f>IF(L426="", "Pending", IF(N426&lt;=30, "Met", "Breached"))</f>
        <v/>
      </c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>
        <f>B427+30</f>
        <v/>
      </c>
      <c r="N427">
        <f>IF(L427="", "", L427-B427)</f>
        <v/>
      </c>
      <c r="O427">
        <f>IF(L427="", "Pending", IF(N427&lt;=30, "Met", "Breached"))</f>
        <v/>
      </c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>
        <f>B428+30</f>
        <v/>
      </c>
      <c r="N428">
        <f>IF(L428="", "", L428-B428)</f>
        <v/>
      </c>
      <c r="O428">
        <f>IF(L428="", "Pending", IF(N428&lt;=30, "Met", "Breached"))</f>
        <v/>
      </c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>
        <f>B429+30</f>
        <v/>
      </c>
      <c r="N429">
        <f>IF(L429="", "", L429-B429)</f>
        <v/>
      </c>
      <c r="O429">
        <f>IF(L429="", "Pending", IF(N429&lt;=30, "Met", "Breached"))</f>
        <v/>
      </c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>
        <f>B430+30</f>
        <v/>
      </c>
      <c r="N430">
        <f>IF(L430="", "", L430-B430)</f>
        <v/>
      </c>
      <c r="O430">
        <f>IF(L430="", "Pending", IF(N430&lt;=30, "Met", "Breached"))</f>
        <v/>
      </c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>
        <f>B431+30</f>
        <v/>
      </c>
      <c r="N431">
        <f>IF(L431="", "", L431-B431)</f>
        <v/>
      </c>
      <c r="O431">
        <f>IF(L431="", "Pending", IF(N431&lt;=30, "Met", "Breached"))</f>
        <v/>
      </c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>
        <f>B432+30</f>
        <v/>
      </c>
      <c r="N432">
        <f>IF(L432="", "", L432-B432)</f>
        <v/>
      </c>
      <c r="O432">
        <f>IF(L432="", "Pending", IF(N432&lt;=30, "Met", "Breached"))</f>
        <v/>
      </c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>
        <f>B433+30</f>
        <v/>
      </c>
      <c r="N433">
        <f>IF(L433="", "", L433-B433)</f>
        <v/>
      </c>
      <c r="O433">
        <f>IF(L433="", "Pending", IF(N433&lt;=30, "Met", "Breached"))</f>
        <v/>
      </c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>
        <f>B434+30</f>
        <v/>
      </c>
      <c r="N434">
        <f>IF(L434="", "", L434-B434)</f>
        <v/>
      </c>
      <c r="O434">
        <f>IF(L434="", "Pending", IF(N434&lt;=30, "Met", "Breached"))</f>
        <v/>
      </c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>
        <f>B435+30</f>
        <v/>
      </c>
      <c r="N435">
        <f>IF(L435="", "", L435-B435)</f>
        <v/>
      </c>
      <c r="O435">
        <f>IF(L435="", "Pending", IF(N435&lt;=30, "Met", "Breached"))</f>
        <v/>
      </c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>
        <f>B436+30</f>
        <v/>
      </c>
      <c r="N436">
        <f>IF(L436="", "", L436-B436)</f>
        <v/>
      </c>
      <c r="O436">
        <f>IF(L436="", "Pending", IF(N436&lt;=30, "Met", "Breached"))</f>
        <v/>
      </c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>
        <f>B437+30</f>
        <v/>
      </c>
      <c r="N437">
        <f>IF(L437="", "", L437-B437)</f>
        <v/>
      </c>
      <c r="O437">
        <f>IF(L437="", "Pending", IF(N437&lt;=30, "Met", "Breached"))</f>
        <v/>
      </c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>
        <f>B438+30</f>
        <v/>
      </c>
      <c r="N438">
        <f>IF(L438="", "", L438-B438)</f>
        <v/>
      </c>
      <c r="O438">
        <f>IF(L438="", "Pending", IF(N438&lt;=30, "Met", "Breached"))</f>
        <v/>
      </c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>
        <f>B439+30</f>
        <v/>
      </c>
      <c r="N439">
        <f>IF(L439="", "", L439-B439)</f>
        <v/>
      </c>
      <c r="O439">
        <f>IF(L439="", "Pending", IF(N439&lt;=30, "Met", "Breached"))</f>
        <v/>
      </c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>
        <f>B440+30</f>
        <v/>
      </c>
      <c r="N440">
        <f>IF(L440="", "", L440-B440)</f>
        <v/>
      </c>
      <c r="O440">
        <f>IF(L440="", "Pending", IF(N440&lt;=30, "Met", "Breached"))</f>
        <v/>
      </c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>
        <f>B441+30</f>
        <v/>
      </c>
      <c r="N441">
        <f>IF(L441="", "", L441-B441)</f>
        <v/>
      </c>
      <c r="O441">
        <f>IF(L441="", "Pending", IF(N441&lt;=30, "Met", "Breached"))</f>
        <v/>
      </c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>
        <f>B442+30</f>
        <v/>
      </c>
      <c r="N442">
        <f>IF(L442="", "", L442-B442)</f>
        <v/>
      </c>
      <c r="O442">
        <f>IF(L442="", "Pending", IF(N442&lt;=30, "Met", "Breached"))</f>
        <v/>
      </c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>
        <f>B443+30</f>
        <v/>
      </c>
      <c r="N443">
        <f>IF(L443="", "", L443-B443)</f>
        <v/>
      </c>
      <c r="O443">
        <f>IF(L443="", "Pending", IF(N443&lt;=30, "Met", "Breached"))</f>
        <v/>
      </c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>
        <f>B444+30</f>
        <v/>
      </c>
      <c r="N444">
        <f>IF(L444="", "", L444-B444)</f>
        <v/>
      </c>
      <c r="O444">
        <f>IF(L444="", "Pending", IF(N444&lt;=30, "Met", "Breached"))</f>
        <v/>
      </c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>
        <f>B445+30</f>
        <v/>
      </c>
      <c r="N445">
        <f>IF(L445="", "", L445-B445)</f>
        <v/>
      </c>
      <c r="O445">
        <f>IF(L445="", "Pending", IF(N445&lt;=30, "Met", "Breached"))</f>
        <v/>
      </c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>
        <f>B446+30</f>
        <v/>
      </c>
      <c r="N446">
        <f>IF(L446="", "", L446-B446)</f>
        <v/>
      </c>
      <c r="O446">
        <f>IF(L446="", "Pending", IF(N446&lt;=30, "Met", "Breached"))</f>
        <v/>
      </c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>
        <f>B447+30</f>
        <v/>
      </c>
      <c r="N447">
        <f>IF(L447="", "", L447-B447)</f>
        <v/>
      </c>
      <c r="O447">
        <f>IF(L447="", "Pending", IF(N447&lt;=30, "Met", "Breached"))</f>
        <v/>
      </c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>
        <f>B448+30</f>
        <v/>
      </c>
      <c r="N448">
        <f>IF(L448="", "", L448-B448)</f>
        <v/>
      </c>
      <c r="O448">
        <f>IF(L448="", "Pending", IF(N448&lt;=30, "Met", "Breached"))</f>
        <v/>
      </c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>
        <f>B449+30</f>
        <v/>
      </c>
      <c r="N449">
        <f>IF(L449="", "", L449-B449)</f>
        <v/>
      </c>
      <c r="O449">
        <f>IF(L449="", "Pending", IF(N449&lt;=30, "Met", "Breached"))</f>
        <v/>
      </c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>
        <f>B450+30</f>
        <v/>
      </c>
      <c r="N450">
        <f>IF(L450="", "", L450-B450)</f>
        <v/>
      </c>
      <c r="O450">
        <f>IF(L450="", "Pending", IF(N450&lt;=30, "Met", "Breached"))</f>
        <v/>
      </c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>
        <f>B451+30</f>
        <v/>
      </c>
      <c r="N451">
        <f>IF(L451="", "", L451-B451)</f>
        <v/>
      </c>
      <c r="O451">
        <f>IF(L451="", "Pending", IF(N451&lt;=30, "Met", "Breached"))</f>
        <v/>
      </c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>
        <f>B452+30</f>
        <v/>
      </c>
      <c r="N452">
        <f>IF(L452="", "", L452-B452)</f>
        <v/>
      </c>
      <c r="O452">
        <f>IF(L452="", "Pending", IF(N452&lt;=30, "Met", "Breached"))</f>
        <v/>
      </c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>
        <f>B453+30</f>
        <v/>
      </c>
      <c r="N453">
        <f>IF(L453="", "", L453-B453)</f>
        <v/>
      </c>
      <c r="O453">
        <f>IF(L453="", "Pending", IF(N453&lt;=30, "Met", "Breached"))</f>
        <v/>
      </c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>
        <f>B454+30</f>
        <v/>
      </c>
      <c r="N454">
        <f>IF(L454="", "", L454-B454)</f>
        <v/>
      </c>
      <c r="O454">
        <f>IF(L454="", "Pending", IF(N454&lt;=30, "Met", "Breached"))</f>
        <v/>
      </c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>
        <f>B455+30</f>
        <v/>
      </c>
      <c r="N455">
        <f>IF(L455="", "", L455-B455)</f>
        <v/>
      </c>
      <c r="O455">
        <f>IF(L455="", "Pending", IF(N455&lt;=30, "Met", "Breached"))</f>
        <v/>
      </c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>
        <f>B456+30</f>
        <v/>
      </c>
      <c r="N456">
        <f>IF(L456="", "", L456-B456)</f>
        <v/>
      </c>
      <c r="O456">
        <f>IF(L456="", "Pending", IF(N456&lt;=30, "Met", "Breached"))</f>
        <v/>
      </c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>
        <f>B457+30</f>
        <v/>
      </c>
      <c r="N457">
        <f>IF(L457="", "", L457-B457)</f>
        <v/>
      </c>
      <c r="O457">
        <f>IF(L457="", "Pending", IF(N457&lt;=30, "Met", "Breached"))</f>
        <v/>
      </c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>
        <f>B458+30</f>
        <v/>
      </c>
      <c r="N458">
        <f>IF(L458="", "", L458-B458)</f>
        <v/>
      </c>
      <c r="O458">
        <f>IF(L458="", "Pending", IF(N458&lt;=30, "Met", "Breached"))</f>
        <v/>
      </c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>
        <f>B459+30</f>
        <v/>
      </c>
      <c r="N459">
        <f>IF(L459="", "", L459-B459)</f>
        <v/>
      </c>
      <c r="O459">
        <f>IF(L459="", "Pending", IF(N459&lt;=30, "Met", "Breached"))</f>
        <v/>
      </c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>
        <f>B460+30</f>
        <v/>
      </c>
      <c r="N460">
        <f>IF(L460="", "", L460-B460)</f>
        <v/>
      </c>
      <c r="O460">
        <f>IF(L460="", "Pending", IF(N460&lt;=30, "Met", "Breached"))</f>
        <v/>
      </c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>
        <f>B461+30</f>
        <v/>
      </c>
      <c r="N461">
        <f>IF(L461="", "", L461-B461)</f>
        <v/>
      </c>
      <c r="O461">
        <f>IF(L461="", "Pending", IF(N461&lt;=30, "Met", "Breached"))</f>
        <v/>
      </c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>
        <f>B462+30</f>
        <v/>
      </c>
      <c r="N462">
        <f>IF(L462="", "", L462-B462)</f>
        <v/>
      </c>
      <c r="O462">
        <f>IF(L462="", "Pending", IF(N462&lt;=30, "Met", "Breached"))</f>
        <v/>
      </c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>
        <f>B463+30</f>
        <v/>
      </c>
      <c r="N463">
        <f>IF(L463="", "", L463-B463)</f>
        <v/>
      </c>
      <c r="O463">
        <f>IF(L463="", "Pending", IF(N463&lt;=30, "Met", "Breached"))</f>
        <v/>
      </c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>
        <f>B464+30</f>
        <v/>
      </c>
      <c r="N464">
        <f>IF(L464="", "", L464-B464)</f>
        <v/>
      </c>
      <c r="O464">
        <f>IF(L464="", "Pending", IF(N464&lt;=30, "Met", "Breached"))</f>
        <v/>
      </c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>
        <f>B465+30</f>
        <v/>
      </c>
      <c r="N465">
        <f>IF(L465="", "", L465-B465)</f>
        <v/>
      </c>
      <c r="O465">
        <f>IF(L465="", "Pending", IF(N465&lt;=30, "Met", "Breached"))</f>
        <v/>
      </c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>
        <f>B466+30</f>
        <v/>
      </c>
      <c r="N466">
        <f>IF(L466="", "", L466-B466)</f>
        <v/>
      </c>
      <c r="O466">
        <f>IF(L466="", "Pending", IF(N466&lt;=30, "Met", "Breached"))</f>
        <v/>
      </c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>
        <f>B467+30</f>
        <v/>
      </c>
      <c r="N467">
        <f>IF(L467="", "", L467-B467)</f>
        <v/>
      </c>
      <c r="O467">
        <f>IF(L467="", "Pending", IF(N467&lt;=30, "Met", "Breached"))</f>
        <v/>
      </c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>
        <f>B468+30</f>
        <v/>
      </c>
      <c r="N468">
        <f>IF(L468="", "", L468-B468)</f>
        <v/>
      </c>
      <c r="O468">
        <f>IF(L468="", "Pending", IF(N468&lt;=30, "Met", "Breached"))</f>
        <v/>
      </c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>
        <f>B469+30</f>
        <v/>
      </c>
      <c r="N469">
        <f>IF(L469="", "", L469-B469)</f>
        <v/>
      </c>
      <c r="O469">
        <f>IF(L469="", "Pending", IF(N469&lt;=30, "Met", "Breached"))</f>
        <v/>
      </c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>
        <f>B470+30</f>
        <v/>
      </c>
      <c r="N470">
        <f>IF(L470="", "", L470-B470)</f>
        <v/>
      </c>
      <c r="O470">
        <f>IF(L470="", "Pending", IF(N470&lt;=30, "Met", "Breached"))</f>
        <v/>
      </c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>
        <f>B471+30</f>
        <v/>
      </c>
      <c r="N471">
        <f>IF(L471="", "", L471-B471)</f>
        <v/>
      </c>
      <c r="O471">
        <f>IF(L471="", "Pending", IF(N471&lt;=30, "Met", "Breached"))</f>
        <v/>
      </c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>
        <f>B472+30</f>
        <v/>
      </c>
      <c r="N472">
        <f>IF(L472="", "", L472-B472)</f>
        <v/>
      </c>
      <c r="O472">
        <f>IF(L472="", "Pending", IF(N472&lt;=30, "Met", "Breached"))</f>
        <v/>
      </c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>
        <f>B473+30</f>
        <v/>
      </c>
      <c r="N473">
        <f>IF(L473="", "", L473-B473)</f>
        <v/>
      </c>
      <c r="O473">
        <f>IF(L473="", "Pending", IF(N473&lt;=30, "Met", "Breached"))</f>
        <v/>
      </c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>
        <f>B474+30</f>
        <v/>
      </c>
      <c r="N474">
        <f>IF(L474="", "", L474-B474)</f>
        <v/>
      </c>
      <c r="O474">
        <f>IF(L474="", "Pending", IF(N474&lt;=30, "Met", "Breached"))</f>
        <v/>
      </c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>
        <f>B475+30</f>
        <v/>
      </c>
      <c r="N475">
        <f>IF(L475="", "", L475-B475)</f>
        <v/>
      </c>
      <c r="O475">
        <f>IF(L475="", "Pending", IF(N475&lt;=30, "Met", "Breached"))</f>
        <v/>
      </c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>
        <f>B476+30</f>
        <v/>
      </c>
      <c r="N476">
        <f>IF(L476="", "", L476-B476)</f>
        <v/>
      </c>
      <c r="O476">
        <f>IF(L476="", "Pending", IF(N476&lt;=30, "Met", "Breached"))</f>
        <v/>
      </c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>
        <f>B477+30</f>
        <v/>
      </c>
      <c r="N477">
        <f>IF(L477="", "", L477-B477)</f>
        <v/>
      </c>
      <c r="O477">
        <f>IF(L477="", "Pending", IF(N477&lt;=30, "Met", "Breached"))</f>
        <v/>
      </c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>
        <f>B478+30</f>
        <v/>
      </c>
      <c r="N478">
        <f>IF(L478="", "", L478-B478)</f>
        <v/>
      </c>
      <c r="O478">
        <f>IF(L478="", "Pending", IF(N478&lt;=30, "Met", "Breached"))</f>
        <v/>
      </c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>
        <f>B479+30</f>
        <v/>
      </c>
      <c r="N479">
        <f>IF(L479="", "", L479-B479)</f>
        <v/>
      </c>
      <c r="O479">
        <f>IF(L479="", "Pending", IF(N479&lt;=30, "Met", "Breached"))</f>
        <v/>
      </c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>
        <f>B480+30</f>
        <v/>
      </c>
      <c r="N480">
        <f>IF(L480="", "", L480-B480)</f>
        <v/>
      </c>
      <c r="O480">
        <f>IF(L480="", "Pending", IF(N480&lt;=30, "Met", "Breached"))</f>
        <v/>
      </c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>
        <f>B481+30</f>
        <v/>
      </c>
      <c r="N481">
        <f>IF(L481="", "", L481-B481)</f>
        <v/>
      </c>
      <c r="O481">
        <f>IF(L481="", "Pending", IF(N481&lt;=30, "Met", "Breached"))</f>
        <v/>
      </c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>
        <f>B482+30</f>
        <v/>
      </c>
      <c r="N482">
        <f>IF(L482="", "", L482-B482)</f>
        <v/>
      </c>
      <c r="O482">
        <f>IF(L482="", "Pending", IF(N482&lt;=30, "Met", "Breached"))</f>
        <v/>
      </c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>
        <f>B483+30</f>
        <v/>
      </c>
      <c r="N483">
        <f>IF(L483="", "", L483-B483)</f>
        <v/>
      </c>
      <c r="O483">
        <f>IF(L483="", "Pending", IF(N483&lt;=30, "Met", "Breached"))</f>
        <v/>
      </c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>
        <f>B484+30</f>
        <v/>
      </c>
      <c r="N484">
        <f>IF(L484="", "", L484-B484)</f>
        <v/>
      </c>
      <c r="O484">
        <f>IF(L484="", "Pending", IF(N484&lt;=30, "Met", "Breached"))</f>
        <v/>
      </c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>
        <f>B485+30</f>
        <v/>
      </c>
      <c r="N485">
        <f>IF(L485="", "", L485-B485)</f>
        <v/>
      </c>
      <c r="O485">
        <f>IF(L485="", "Pending", IF(N485&lt;=30, "Met", "Breached"))</f>
        <v/>
      </c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>
        <f>B486+30</f>
        <v/>
      </c>
      <c r="N486">
        <f>IF(L486="", "", L486-B486)</f>
        <v/>
      </c>
      <c r="O486">
        <f>IF(L486="", "Pending", IF(N486&lt;=30, "Met", "Breached"))</f>
        <v/>
      </c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>
        <f>B487+30</f>
        <v/>
      </c>
      <c r="N487">
        <f>IF(L487="", "", L487-B487)</f>
        <v/>
      </c>
      <c r="O487">
        <f>IF(L487="", "Pending", IF(N487&lt;=30, "Met", "Breached"))</f>
        <v/>
      </c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>
        <f>B488+30</f>
        <v/>
      </c>
      <c r="N488">
        <f>IF(L488="", "", L488-B488)</f>
        <v/>
      </c>
      <c r="O488">
        <f>IF(L488="", "Pending", IF(N488&lt;=30, "Met", "Breached"))</f>
        <v/>
      </c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>
        <f>B489+30</f>
        <v/>
      </c>
      <c r="N489">
        <f>IF(L489="", "", L489-B489)</f>
        <v/>
      </c>
      <c r="O489">
        <f>IF(L489="", "Pending", IF(N489&lt;=30, "Met", "Breached"))</f>
        <v/>
      </c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>
        <f>B490+30</f>
        <v/>
      </c>
      <c r="N490">
        <f>IF(L490="", "", L490-B490)</f>
        <v/>
      </c>
      <c r="O490">
        <f>IF(L490="", "Pending", IF(N490&lt;=30, "Met", "Breached"))</f>
        <v/>
      </c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>
        <f>B491+30</f>
        <v/>
      </c>
      <c r="N491">
        <f>IF(L491="", "", L491-B491)</f>
        <v/>
      </c>
      <c r="O491">
        <f>IF(L491="", "Pending", IF(N491&lt;=30, "Met", "Breached"))</f>
        <v/>
      </c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>
        <f>B492+30</f>
        <v/>
      </c>
      <c r="N492">
        <f>IF(L492="", "", L492-B492)</f>
        <v/>
      </c>
      <c r="O492">
        <f>IF(L492="", "Pending", IF(N492&lt;=30, "Met", "Breached"))</f>
        <v/>
      </c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>
        <f>B493+30</f>
        <v/>
      </c>
      <c r="N493">
        <f>IF(L493="", "", L493-B493)</f>
        <v/>
      </c>
      <c r="O493">
        <f>IF(L493="", "Pending", IF(N493&lt;=30, "Met", "Breached"))</f>
        <v/>
      </c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>
        <f>B494+30</f>
        <v/>
      </c>
      <c r="N494">
        <f>IF(L494="", "", L494-B494)</f>
        <v/>
      </c>
      <c r="O494">
        <f>IF(L494="", "Pending", IF(N494&lt;=30, "Met", "Breached"))</f>
        <v/>
      </c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>
        <f>B495+30</f>
        <v/>
      </c>
      <c r="N495">
        <f>IF(L495="", "", L495-B495)</f>
        <v/>
      </c>
      <c r="O495">
        <f>IF(L495="", "Pending", IF(N495&lt;=30, "Met", "Breached"))</f>
        <v/>
      </c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>
        <f>B496+30</f>
        <v/>
      </c>
      <c r="N496">
        <f>IF(L496="", "", L496-B496)</f>
        <v/>
      </c>
      <c r="O496">
        <f>IF(L496="", "Pending", IF(N496&lt;=30, "Met", "Breached"))</f>
        <v/>
      </c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>
        <f>B497+30</f>
        <v/>
      </c>
      <c r="N497">
        <f>IF(L497="", "", L497-B497)</f>
        <v/>
      </c>
      <c r="O497">
        <f>IF(L497="", "Pending", IF(N497&lt;=30, "Met", "Breached"))</f>
        <v/>
      </c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>
        <f>B498+30</f>
        <v/>
      </c>
      <c r="N498">
        <f>IF(L498="", "", L498-B498)</f>
        <v/>
      </c>
      <c r="O498">
        <f>IF(L498="", "Pending", IF(N498&lt;=30, "Met", "Breached"))</f>
        <v/>
      </c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>
        <f>B499+30</f>
        <v/>
      </c>
      <c r="N499">
        <f>IF(L499="", "", L499-B499)</f>
        <v/>
      </c>
      <c r="O499">
        <f>IF(L499="", "Pending", IF(N499&lt;=30, "Met", "Breached"))</f>
        <v/>
      </c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>
        <f>B500+30</f>
        <v/>
      </c>
      <c r="N500">
        <f>IF(L500="", "", L500-B500)</f>
        <v/>
      </c>
      <c r="O500">
        <f>IF(L500="", "Pending", IF(N500&lt;=30, "Met", "Breached"))</f>
        <v/>
      </c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>
        <f>B501+30</f>
        <v/>
      </c>
      <c r="N501">
        <f>IF(L501="", "", L501-B501)</f>
        <v/>
      </c>
      <c r="O501">
        <f>IF(L501="", "Pending", IF(N501&lt;=30, "Met", "Breached"))</f>
        <v/>
      </c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>
        <f>B502+30</f>
        <v/>
      </c>
      <c r="N502">
        <f>IF(L502="", "", L502-B502)</f>
        <v/>
      </c>
      <c r="O502">
        <f>IF(L502="", "Pending", IF(N502&lt;=30, "Met", "Breached"))</f>
        <v/>
      </c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>
        <f>B503+30</f>
        <v/>
      </c>
      <c r="N503">
        <f>IF(L503="", "", L503-B503)</f>
        <v/>
      </c>
      <c r="O503">
        <f>IF(L503="", "Pending", IF(N503&lt;=30, "Met", "Breached"))</f>
        <v/>
      </c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>
        <f>B504+30</f>
        <v/>
      </c>
      <c r="N504">
        <f>IF(L504="", "", L504-B504)</f>
        <v/>
      </c>
      <c r="O504">
        <f>IF(L504="", "Pending", IF(N504&lt;=30, "Met", "Breached"))</f>
        <v/>
      </c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>
        <f>B505+30</f>
        <v/>
      </c>
      <c r="N505">
        <f>IF(L505="", "", L505-B505)</f>
        <v/>
      </c>
      <c r="O505">
        <f>IF(L505="", "Pending", IF(N505&lt;=30, "Met", "Breached"))</f>
        <v/>
      </c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>
        <f>B506+30</f>
        <v/>
      </c>
      <c r="N506">
        <f>IF(L506="", "", L506-B506)</f>
        <v/>
      </c>
      <c r="O506">
        <f>IF(L506="", "Pending", IF(N506&lt;=30, "Met", "Breached"))</f>
        <v/>
      </c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>
        <f>B507+30</f>
        <v/>
      </c>
      <c r="N507">
        <f>IF(L507="", "", L507-B507)</f>
        <v/>
      </c>
      <c r="O507">
        <f>IF(L507="", "Pending", IF(N507&lt;=30, "Met", "Breached"))</f>
        <v/>
      </c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>
        <f>B508+30</f>
        <v/>
      </c>
      <c r="N508">
        <f>IF(L508="", "", L508-B508)</f>
        <v/>
      </c>
      <c r="O508">
        <f>IF(L508="", "Pending", IF(N508&lt;=30, "Met", "Breached"))</f>
        <v/>
      </c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>
        <f>B509+30</f>
        <v/>
      </c>
      <c r="N509">
        <f>IF(L509="", "", L509-B509)</f>
        <v/>
      </c>
      <c r="O509">
        <f>IF(L509="", "Pending", IF(N509&lt;=30, "Met", "Breached"))</f>
        <v/>
      </c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>
        <f>B510+30</f>
        <v/>
      </c>
      <c r="N510">
        <f>IF(L510="", "", L510-B510)</f>
        <v/>
      </c>
      <c r="O510">
        <f>IF(L510="", "Pending", IF(N510&lt;=30, "Met", "Breached"))</f>
        <v/>
      </c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>
        <f>B511+30</f>
        <v/>
      </c>
      <c r="N511">
        <f>IF(L511="", "", L511-B511)</f>
        <v/>
      </c>
      <c r="O511">
        <f>IF(L511="", "Pending", IF(N511&lt;=30, "Met", "Breached"))</f>
        <v/>
      </c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>
        <f>B512+30</f>
        <v/>
      </c>
      <c r="N512">
        <f>IF(L512="", "", L512-B512)</f>
        <v/>
      </c>
      <c r="O512">
        <f>IF(L512="", "Pending", IF(N512&lt;=30, "Met", "Breached"))</f>
        <v/>
      </c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>
        <f>B513+30</f>
        <v/>
      </c>
      <c r="N513">
        <f>IF(L513="", "", L513-B513)</f>
        <v/>
      </c>
      <c r="O513">
        <f>IF(L513="", "Pending", IF(N513&lt;=30, "Met", "Breached"))</f>
        <v/>
      </c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>
        <f>B514+30</f>
        <v/>
      </c>
      <c r="N514">
        <f>IF(L514="", "", L514-B514)</f>
        <v/>
      </c>
      <c r="O514">
        <f>IF(L514="", "Pending", IF(N514&lt;=30, "Met", "Breached"))</f>
        <v/>
      </c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>
        <f>B515+30</f>
        <v/>
      </c>
      <c r="N515">
        <f>IF(L515="", "", L515-B515)</f>
        <v/>
      </c>
      <c r="O515">
        <f>IF(L515="", "Pending", IF(N515&lt;=30, "Met", "Breached"))</f>
        <v/>
      </c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>
        <f>B516+30</f>
        <v/>
      </c>
      <c r="N516">
        <f>IF(L516="", "", L516-B516)</f>
        <v/>
      </c>
      <c r="O516">
        <f>IF(L516="", "Pending", IF(N516&lt;=30, "Met", "Breached"))</f>
        <v/>
      </c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>
        <f>B517+30</f>
        <v/>
      </c>
      <c r="N517">
        <f>IF(L517="", "", L517-B517)</f>
        <v/>
      </c>
      <c r="O517">
        <f>IF(L517="", "Pending", IF(N517&lt;=30, "Met", "Breached"))</f>
        <v/>
      </c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>
        <f>B518+30</f>
        <v/>
      </c>
      <c r="N518">
        <f>IF(L518="", "", L518-B518)</f>
        <v/>
      </c>
      <c r="O518">
        <f>IF(L518="", "Pending", IF(N518&lt;=30, "Met", "Breached"))</f>
        <v/>
      </c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>
        <f>B519+30</f>
        <v/>
      </c>
      <c r="N519">
        <f>IF(L519="", "", L519-B519)</f>
        <v/>
      </c>
      <c r="O519">
        <f>IF(L519="", "Pending", IF(N519&lt;=30, "Met", "Breached"))</f>
        <v/>
      </c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>
        <f>B520+30</f>
        <v/>
      </c>
      <c r="N520">
        <f>IF(L520="", "", L520-B520)</f>
        <v/>
      </c>
      <c r="O520">
        <f>IF(L520="", "Pending", IF(N520&lt;=30, "Met", "Breached"))</f>
        <v/>
      </c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>
        <f>B521+30</f>
        <v/>
      </c>
      <c r="N521">
        <f>IF(L521="", "", L521-B521)</f>
        <v/>
      </c>
      <c r="O521">
        <f>IF(L521="", "Pending", IF(N521&lt;=30, "Met", "Breached"))</f>
        <v/>
      </c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>
        <f>B522+30</f>
        <v/>
      </c>
      <c r="N522">
        <f>IF(L522="", "", L522-B522)</f>
        <v/>
      </c>
      <c r="O522">
        <f>IF(L522="", "Pending", IF(N522&lt;=30, "Met", "Breached"))</f>
        <v/>
      </c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>
        <f>B523+30</f>
        <v/>
      </c>
      <c r="N523">
        <f>IF(L523="", "", L523-B523)</f>
        <v/>
      </c>
      <c r="O523">
        <f>IF(L523="", "Pending", IF(N523&lt;=30, "Met", "Breached"))</f>
        <v/>
      </c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>
        <f>B524+30</f>
        <v/>
      </c>
      <c r="N524">
        <f>IF(L524="", "", L524-B524)</f>
        <v/>
      </c>
      <c r="O524">
        <f>IF(L524="", "Pending", IF(N524&lt;=30, "Met", "Breached"))</f>
        <v/>
      </c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>
        <f>B525+30</f>
        <v/>
      </c>
      <c r="N525">
        <f>IF(L525="", "", L525-B525)</f>
        <v/>
      </c>
      <c r="O525">
        <f>IF(L525="", "Pending", IF(N525&lt;=30, "Met", "Breached"))</f>
        <v/>
      </c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>
        <f>B526+30</f>
        <v/>
      </c>
      <c r="N526">
        <f>IF(L526="", "", L526-B526)</f>
        <v/>
      </c>
      <c r="O526">
        <f>IF(L526="", "Pending", IF(N526&lt;=30, "Met", "Breached"))</f>
        <v/>
      </c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>
        <f>B527+30</f>
        <v/>
      </c>
      <c r="N527">
        <f>IF(L527="", "", L527-B527)</f>
        <v/>
      </c>
      <c r="O527">
        <f>IF(L527="", "Pending", IF(N527&lt;=30, "Met", "Breached"))</f>
        <v/>
      </c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>
        <f>B528+30</f>
        <v/>
      </c>
      <c r="N528">
        <f>IF(L528="", "", L528-B528)</f>
        <v/>
      </c>
      <c r="O528">
        <f>IF(L528="", "Pending", IF(N528&lt;=30, "Met", "Breached"))</f>
        <v/>
      </c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>
        <f>B529+30</f>
        <v/>
      </c>
      <c r="N529">
        <f>IF(L529="", "", L529-B529)</f>
        <v/>
      </c>
      <c r="O529">
        <f>IF(L529="", "Pending", IF(N529&lt;=30, "Met", "Breached"))</f>
        <v/>
      </c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>
        <f>B530+30</f>
        <v/>
      </c>
      <c r="N530">
        <f>IF(L530="", "", L530-B530)</f>
        <v/>
      </c>
      <c r="O530">
        <f>IF(L530="", "Pending", IF(N530&lt;=30, "Met", "Breached"))</f>
        <v/>
      </c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>
        <f>B531+30</f>
        <v/>
      </c>
      <c r="N531">
        <f>IF(L531="", "", L531-B531)</f>
        <v/>
      </c>
      <c r="O531">
        <f>IF(L531="", "Pending", IF(N531&lt;=30, "Met", "Breached"))</f>
        <v/>
      </c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>
        <f>B532+30</f>
        <v/>
      </c>
      <c r="N532">
        <f>IF(L532="", "", L532-B532)</f>
        <v/>
      </c>
      <c r="O532">
        <f>IF(L532="", "Pending", IF(N532&lt;=30, "Met", "Breached"))</f>
        <v/>
      </c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>
        <f>B533+30</f>
        <v/>
      </c>
      <c r="N533">
        <f>IF(L533="", "", L533-B533)</f>
        <v/>
      </c>
      <c r="O533">
        <f>IF(L533="", "Pending", IF(N533&lt;=30, "Met", "Breached"))</f>
        <v/>
      </c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>
        <f>B534+30</f>
        <v/>
      </c>
      <c r="N534">
        <f>IF(L534="", "", L534-B534)</f>
        <v/>
      </c>
      <c r="O534">
        <f>IF(L534="", "Pending", IF(N534&lt;=30, "Met", "Breached"))</f>
        <v/>
      </c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>
        <f>B535+30</f>
        <v/>
      </c>
      <c r="N535">
        <f>IF(L535="", "", L535-B535)</f>
        <v/>
      </c>
      <c r="O535">
        <f>IF(L535="", "Pending", IF(N535&lt;=30, "Met", "Breached"))</f>
        <v/>
      </c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>
        <f>B536+30</f>
        <v/>
      </c>
      <c r="N536">
        <f>IF(L536="", "", L536-B536)</f>
        <v/>
      </c>
      <c r="O536">
        <f>IF(L536="", "Pending", IF(N536&lt;=30, "Met", "Breached"))</f>
        <v/>
      </c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>
        <f>B537+30</f>
        <v/>
      </c>
      <c r="N537">
        <f>IF(L537="", "", L537-B537)</f>
        <v/>
      </c>
      <c r="O537">
        <f>IF(L537="", "Pending", IF(N537&lt;=30, "Met", "Breached"))</f>
        <v/>
      </c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>
        <f>B538+30</f>
        <v/>
      </c>
      <c r="N538">
        <f>IF(L538="", "", L538-B538)</f>
        <v/>
      </c>
      <c r="O538">
        <f>IF(L538="", "Pending", IF(N538&lt;=30, "Met", "Breached"))</f>
        <v/>
      </c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>
        <f>B539+30</f>
        <v/>
      </c>
      <c r="N539">
        <f>IF(L539="", "", L539-B539)</f>
        <v/>
      </c>
      <c r="O539">
        <f>IF(L539="", "Pending", IF(N539&lt;=30, "Met", "Breached"))</f>
        <v/>
      </c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>
        <f>B540+30</f>
        <v/>
      </c>
      <c r="N540">
        <f>IF(L540="", "", L540-B540)</f>
        <v/>
      </c>
      <c r="O540">
        <f>IF(L540="", "Pending", IF(N540&lt;=30, "Met", "Breached"))</f>
        <v/>
      </c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>
        <f>B541+30</f>
        <v/>
      </c>
      <c r="N541">
        <f>IF(L541="", "", L541-B541)</f>
        <v/>
      </c>
      <c r="O541">
        <f>IF(L541="", "Pending", IF(N541&lt;=30, "Met", "Breached"))</f>
        <v/>
      </c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>
        <f>B542+30</f>
        <v/>
      </c>
      <c r="N542">
        <f>IF(L542="", "", L542-B542)</f>
        <v/>
      </c>
      <c r="O542">
        <f>IF(L542="", "Pending", IF(N542&lt;=30, "Met", "Breached"))</f>
        <v/>
      </c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>
        <f>B543+30</f>
        <v/>
      </c>
      <c r="N543">
        <f>IF(L543="", "", L543-B543)</f>
        <v/>
      </c>
      <c r="O543">
        <f>IF(L543="", "Pending", IF(N543&lt;=30, "Met", "Breached"))</f>
        <v/>
      </c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>
        <f>B544+30</f>
        <v/>
      </c>
      <c r="N544">
        <f>IF(L544="", "", L544-B544)</f>
        <v/>
      </c>
      <c r="O544">
        <f>IF(L544="", "Pending", IF(N544&lt;=30, "Met", "Breached"))</f>
        <v/>
      </c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>
        <f>B545+30</f>
        <v/>
      </c>
      <c r="N545">
        <f>IF(L545="", "", L545-B545)</f>
        <v/>
      </c>
      <c r="O545">
        <f>IF(L545="", "Pending", IF(N545&lt;=30, "Met", "Breached"))</f>
        <v/>
      </c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>
        <f>B546+30</f>
        <v/>
      </c>
      <c r="N546">
        <f>IF(L546="", "", L546-B546)</f>
        <v/>
      </c>
      <c r="O546">
        <f>IF(L546="", "Pending", IF(N546&lt;=30, "Met", "Breached"))</f>
        <v/>
      </c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>
        <f>B547+30</f>
        <v/>
      </c>
      <c r="N547">
        <f>IF(L547="", "", L547-B547)</f>
        <v/>
      </c>
      <c r="O547">
        <f>IF(L547="", "Pending", IF(N547&lt;=30, "Met", "Breached"))</f>
        <v/>
      </c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>
        <f>B548+30</f>
        <v/>
      </c>
      <c r="N548">
        <f>IF(L548="", "", L548-B548)</f>
        <v/>
      </c>
      <c r="O548">
        <f>IF(L548="", "Pending", IF(N548&lt;=30, "Met", "Breached"))</f>
        <v/>
      </c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>
        <f>B549+30</f>
        <v/>
      </c>
      <c r="N549">
        <f>IF(L549="", "", L549-B549)</f>
        <v/>
      </c>
      <c r="O549">
        <f>IF(L549="", "Pending", IF(N549&lt;=30, "Met", "Breached"))</f>
        <v/>
      </c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>
        <f>B550+30</f>
        <v/>
      </c>
      <c r="N550">
        <f>IF(L550="", "", L550-B550)</f>
        <v/>
      </c>
      <c r="O550">
        <f>IF(L550="", "Pending", IF(N550&lt;=30, "Met", "Breached"))</f>
        <v/>
      </c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>
        <f>B551+30</f>
        <v/>
      </c>
      <c r="N551">
        <f>IF(L551="", "", L551-B551)</f>
        <v/>
      </c>
      <c r="O551">
        <f>IF(L551="", "Pending", IF(N551&lt;=30, "Met", "Breached"))</f>
        <v/>
      </c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>
        <f>B552+30</f>
        <v/>
      </c>
      <c r="N552">
        <f>IF(L552="", "", L552-B552)</f>
        <v/>
      </c>
      <c r="O552">
        <f>IF(L552="", "Pending", IF(N552&lt;=30, "Met", "Breached"))</f>
        <v/>
      </c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>
        <f>B553+30</f>
        <v/>
      </c>
      <c r="N553">
        <f>IF(L553="", "", L553-B553)</f>
        <v/>
      </c>
      <c r="O553">
        <f>IF(L553="", "Pending", IF(N553&lt;=30, "Met", "Breached"))</f>
        <v/>
      </c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>
        <f>B554+30</f>
        <v/>
      </c>
      <c r="N554">
        <f>IF(L554="", "", L554-B554)</f>
        <v/>
      </c>
      <c r="O554">
        <f>IF(L554="", "Pending", IF(N554&lt;=30, "Met", "Breached"))</f>
        <v/>
      </c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>
        <f>B555+30</f>
        <v/>
      </c>
      <c r="N555">
        <f>IF(L555="", "", L555-B555)</f>
        <v/>
      </c>
      <c r="O555">
        <f>IF(L555="", "Pending", IF(N555&lt;=30, "Met", "Breached"))</f>
        <v/>
      </c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>
        <f>B556+30</f>
        <v/>
      </c>
      <c r="N556">
        <f>IF(L556="", "", L556-B556)</f>
        <v/>
      </c>
      <c r="O556">
        <f>IF(L556="", "Pending", IF(N556&lt;=30, "Met", "Breached"))</f>
        <v/>
      </c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>
        <f>B557+30</f>
        <v/>
      </c>
      <c r="N557">
        <f>IF(L557="", "", L557-B557)</f>
        <v/>
      </c>
      <c r="O557">
        <f>IF(L557="", "Pending", IF(N557&lt;=30, "Met", "Breached"))</f>
        <v/>
      </c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>
        <f>B558+30</f>
        <v/>
      </c>
      <c r="N558">
        <f>IF(L558="", "", L558-B558)</f>
        <v/>
      </c>
      <c r="O558">
        <f>IF(L558="", "Pending", IF(N558&lt;=30, "Met", "Breached"))</f>
        <v/>
      </c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>
        <f>B559+30</f>
        <v/>
      </c>
      <c r="N559">
        <f>IF(L559="", "", L559-B559)</f>
        <v/>
      </c>
      <c r="O559">
        <f>IF(L559="", "Pending", IF(N559&lt;=30, "Met", "Breached"))</f>
        <v/>
      </c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>
        <f>B560+30</f>
        <v/>
      </c>
      <c r="N560">
        <f>IF(L560="", "", L560-B560)</f>
        <v/>
      </c>
      <c r="O560">
        <f>IF(L560="", "Pending", IF(N560&lt;=30, "Met", "Breached"))</f>
        <v/>
      </c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>
        <f>B561+30</f>
        <v/>
      </c>
      <c r="N561">
        <f>IF(L561="", "", L561-B561)</f>
        <v/>
      </c>
      <c r="O561">
        <f>IF(L561="", "Pending", IF(N561&lt;=30, "Met", "Breached"))</f>
        <v/>
      </c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>
        <f>B562+30</f>
        <v/>
      </c>
      <c r="N562">
        <f>IF(L562="", "", L562-B562)</f>
        <v/>
      </c>
      <c r="O562">
        <f>IF(L562="", "Pending", IF(N562&lt;=30, "Met", "Breached"))</f>
        <v/>
      </c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>
        <f>B563+30</f>
        <v/>
      </c>
      <c r="N563">
        <f>IF(L563="", "", L563-B563)</f>
        <v/>
      </c>
      <c r="O563">
        <f>IF(L563="", "Pending", IF(N563&lt;=30, "Met", "Breached"))</f>
        <v/>
      </c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>
        <f>B564+30</f>
        <v/>
      </c>
      <c r="N564">
        <f>IF(L564="", "", L564-B564)</f>
        <v/>
      </c>
      <c r="O564">
        <f>IF(L564="", "Pending", IF(N564&lt;=30, "Met", "Breached"))</f>
        <v/>
      </c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>
        <f>B565+30</f>
        <v/>
      </c>
      <c r="N565">
        <f>IF(L565="", "", L565-B565)</f>
        <v/>
      </c>
      <c r="O565">
        <f>IF(L565="", "Pending", IF(N565&lt;=30, "Met", "Breached"))</f>
        <v/>
      </c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>
        <f>B566+30</f>
        <v/>
      </c>
      <c r="N566">
        <f>IF(L566="", "", L566-B566)</f>
        <v/>
      </c>
      <c r="O566">
        <f>IF(L566="", "Pending", IF(N566&lt;=30, "Met", "Breached"))</f>
        <v/>
      </c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>
        <f>B567+30</f>
        <v/>
      </c>
      <c r="N567">
        <f>IF(L567="", "", L567-B567)</f>
        <v/>
      </c>
      <c r="O567">
        <f>IF(L567="", "Pending", IF(N567&lt;=30, "Met", "Breached"))</f>
        <v/>
      </c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>
        <f>B568+30</f>
        <v/>
      </c>
      <c r="N568">
        <f>IF(L568="", "", L568-B568)</f>
        <v/>
      </c>
      <c r="O568">
        <f>IF(L568="", "Pending", IF(N568&lt;=30, "Met", "Breached"))</f>
        <v/>
      </c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>
        <f>B569+30</f>
        <v/>
      </c>
      <c r="N569">
        <f>IF(L569="", "", L569-B569)</f>
        <v/>
      </c>
      <c r="O569">
        <f>IF(L569="", "Pending", IF(N569&lt;=30, "Met", "Breached"))</f>
        <v/>
      </c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>
        <f>B570+30</f>
        <v/>
      </c>
      <c r="N570">
        <f>IF(L570="", "", L570-B570)</f>
        <v/>
      </c>
      <c r="O570">
        <f>IF(L570="", "Pending", IF(N570&lt;=30, "Met", "Breached"))</f>
        <v/>
      </c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>
        <f>B571+30</f>
        <v/>
      </c>
      <c r="N571">
        <f>IF(L571="", "", L571-B571)</f>
        <v/>
      </c>
      <c r="O571">
        <f>IF(L571="", "Pending", IF(N571&lt;=30, "Met", "Breached"))</f>
        <v/>
      </c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>
        <f>B572+30</f>
        <v/>
      </c>
      <c r="N572">
        <f>IF(L572="", "", L572-B572)</f>
        <v/>
      </c>
      <c r="O572">
        <f>IF(L572="", "Pending", IF(N572&lt;=30, "Met", "Breached"))</f>
        <v/>
      </c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>
        <f>B573+30</f>
        <v/>
      </c>
      <c r="N573">
        <f>IF(L573="", "", L573-B573)</f>
        <v/>
      </c>
      <c r="O573">
        <f>IF(L573="", "Pending", IF(N573&lt;=30, "Met", "Breached"))</f>
        <v/>
      </c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>
        <f>B574+30</f>
        <v/>
      </c>
      <c r="N574">
        <f>IF(L574="", "", L574-B574)</f>
        <v/>
      </c>
      <c r="O574">
        <f>IF(L574="", "Pending", IF(N574&lt;=30, "Met", "Breached"))</f>
        <v/>
      </c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>
        <f>B575+30</f>
        <v/>
      </c>
      <c r="N575">
        <f>IF(L575="", "", L575-B575)</f>
        <v/>
      </c>
      <c r="O575">
        <f>IF(L575="", "Pending", IF(N575&lt;=30, "Met", "Breached"))</f>
        <v/>
      </c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>
        <f>B576+30</f>
        <v/>
      </c>
      <c r="N576">
        <f>IF(L576="", "", L576-B576)</f>
        <v/>
      </c>
      <c r="O576">
        <f>IF(L576="", "Pending", IF(N576&lt;=30, "Met", "Breached"))</f>
        <v/>
      </c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>
        <f>B577+30</f>
        <v/>
      </c>
      <c r="N577">
        <f>IF(L577="", "", L577-B577)</f>
        <v/>
      </c>
      <c r="O577">
        <f>IF(L577="", "Pending", IF(N577&lt;=30, "Met", "Breached"))</f>
        <v/>
      </c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>
        <f>B578+30</f>
        <v/>
      </c>
      <c r="N578">
        <f>IF(L578="", "", L578-B578)</f>
        <v/>
      </c>
      <c r="O578">
        <f>IF(L578="", "Pending", IF(N578&lt;=30, "Met", "Breached"))</f>
        <v/>
      </c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>
        <f>B579+30</f>
        <v/>
      </c>
      <c r="N579">
        <f>IF(L579="", "", L579-B579)</f>
        <v/>
      </c>
      <c r="O579">
        <f>IF(L579="", "Pending", IF(N579&lt;=30, "Met", "Breached"))</f>
        <v/>
      </c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>
        <f>B580+30</f>
        <v/>
      </c>
      <c r="N580">
        <f>IF(L580="", "", L580-B580)</f>
        <v/>
      </c>
      <c r="O580">
        <f>IF(L580="", "Pending", IF(N580&lt;=30, "Met", "Breached"))</f>
        <v/>
      </c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>
        <f>B581+30</f>
        <v/>
      </c>
      <c r="N581">
        <f>IF(L581="", "", L581-B581)</f>
        <v/>
      </c>
      <c r="O581">
        <f>IF(L581="", "Pending", IF(N581&lt;=30, "Met", "Breached"))</f>
        <v/>
      </c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>
        <f>B582+30</f>
        <v/>
      </c>
      <c r="N582">
        <f>IF(L582="", "", L582-B582)</f>
        <v/>
      </c>
      <c r="O582">
        <f>IF(L582="", "Pending", IF(N582&lt;=30, "Met", "Breached"))</f>
        <v/>
      </c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>
        <f>B583+30</f>
        <v/>
      </c>
      <c r="N583">
        <f>IF(L583="", "", L583-B583)</f>
        <v/>
      </c>
      <c r="O583">
        <f>IF(L583="", "Pending", IF(N583&lt;=30, "Met", "Breached"))</f>
        <v/>
      </c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>
        <f>B584+30</f>
        <v/>
      </c>
      <c r="N584">
        <f>IF(L584="", "", L584-B584)</f>
        <v/>
      </c>
      <c r="O584">
        <f>IF(L584="", "Pending", IF(N584&lt;=30, "Met", "Breached"))</f>
        <v/>
      </c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>
        <f>B585+30</f>
        <v/>
      </c>
      <c r="N585">
        <f>IF(L585="", "", L585-B585)</f>
        <v/>
      </c>
      <c r="O585">
        <f>IF(L585="", "Pending", IF(N585&lt;=30, "Met", "Breached"))</f>
        <v/>
      </c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>
        <f>B586+30</f>
        <v/>
      </c>
      <c r="N586">
        <f>IF(L586="", "", L586-B586)</f>
        <v/>
      </c>
      <c r="O586">
        <f>IF(L586="", "Pending", IF(N586&lt;=30, "Met", "Breached"))</f>
        <v/>
      </c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>
        <f>B587+30</f>
        <v/>
      </c>
      <c r="N587">
        <f>IF(L587="", "", L587-B587)</f>
        <v/>
      </c>
      <c r="O587">
        <f>IF(L587="", "Pending", IF(N587&lt;=30, "Met", "Breached"))</f>
        <v/>
      </c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>
        <f>B588+30</f>
        <v/>
      </c>
      <c r="N588">
        <f>IF(L588="", "", L588-B588)</f>
        <v/>
      </c>
      <c r="O588">
        <f>IF(L588="", "Pending", IF(N588&lt;=30, "Met", "Breached"))</f>
        <v/>
      </c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>
        <f>B589+30</f>
        <v/>
      </c>
      <c r="N589">
        <f>IF(L589="", "", L589-B589)</f>
        <v/>
      </c>
      <c r="O589">
        <f>IF(L589="", "Pending", IF(N589&lt;=30, "Met", "Breached"))</f>
        <v/>
      </c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>
        <f>B590+30</f>
        <v/>
      </c>
      <c r="N590">
        <f>IF(L590="", "", L590-B590)</f>
        <v/>
      </c>
      <c r="O590">
        <f>IF(L590="", "Pending", IF(N590&lt;=30, "Met", "Breached"))</f>
        <v/>
      </c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>
        <f>B591+30</f>
        <v/>
      </c>
      <c r="N591">
        <f>IF(L591="", "", L591-B591)</f>
        <v/>
      </c>
      <c r="O591">
        <f>IF(L591="", "Pending", IF(N591&lt;=30, "Met", "Breached"))</f>
        <v/>
      </c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>
        <f>B592+30</f>
        <v/>
      </c>
      <c r="N592">
        <f>IF(L592="", "", L592-B592)</f>
        <v/>
      </c>
      <c r="O592">
        <f>IF(L592="", "Pending", IF(N592&lt;=30, "Met", "Breached"))</f>
        <v/>
      </c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>
        <f>B593+30</f>
        <v/>
      </c>
      <c r="N593">
        <f>IF(L593="", "", L593-B593)</f>
        <v/>
      </c>
      <c r="O593">
        <f>IF(L593="", "Pending", IF(N593&lt;=30, "Met", "Breached"))</f>
        <v/>
      </c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>
        <f>B594+30</f>
        <v/>
      </c>
      <c r="N594">
        <f>IF(L594="", "", L594-B594)</f>
        <v/>
      </c>
      <c r="O594">
        <f>IF(L594="", "Pending", IF(N594&lt;=30, "Met", "Breached"))</f>
        <v/>
      </c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>
        <f>B595+30</f>
        <v/>
      </c>
      <c r="N595">
        <f>IF(L595="", "", L595-B595)</f>
        <v/>
      </c>
      <c r="O595">
        <f>IF(L595="", "Pending", IF(N595&lt;=30, "Met", "Breached"))</f>
        <v/>
      </c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>
        <f>B596+30</f>
        <v/>
      </c>
      <c r="N596">
        <f>IF(L596="", "", L596-B596)</f>
        <v/>
      </c>
      <c r="O596">
        <f>IF(L596="", "Pending", IF(N596&lt;=30, "Met", "Breached"))</f>
        <v/>
      </c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>
        <f>B597+30</f>
        <v/>
      </c>
      <c r="N597">
        <f>IF(L597="", "", L597-B597)</f>
        <v/>
      </c>
      <c r="O597">
        <f>IF(L597="", "Pending", IF(N597&lt;=30, "Met", "Breached"))</f>
        <v/>
      </c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>
        <f>B598+30</f>
        <v/>
      </c>
      <c r="N598">
        <f>IF(L598="", "", L598-B598)</f>
        <v/>
      </c>
      <c r="O598">
        <f>IF(L598="", "Pending", IF(N598&lt;=30, "Met", "Breached"))</f>
        <v/>
      </c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>
        <f>B599+30</f>
        <v/>
      </c>
      <c r="N599">
        <f>IF(L599="", "", L599-B599)</f>
        <v/>
      </c>
      <c r="O599">
        <f>IF(L599="", "Pending", IF(N599&lt;=30, "Met", "Breached"))</f>
        <v/>
      </c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>
        <f>B600+30</f>
        <v/>
      </c>
      <c r="N600">
        <f>IF(L600="", "", L600-B600)</f>
        <v/>
      </c>
      <c r="O600">
        <f>IF(L600="", "Pending", IF(N600&lt;=30, "Met", "Breached"))</f>
        <v/>
      </c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>
        <f>B601+30</f>
        <v/>
      </c>
      <c r="N601">
        <f>IF(L601="", "", L601-B601)</f>
        <v/>
      </c>
      <c r="O601">
        <f>IF(L601="", "Pending", IF(N601&lt;=30, "Met", "Breached"))</f>
        <v/>
      </c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>
        <f>B602+30</f>
        <v/>
      </c>
      <c r="N602">
        <f>IF(L602="", "", L602-B602)</f>
        <v/>
      </c>
      <c r="O602">
        <f>IF(L602="", "Pending", IF(N602&lt;=30, "Met", "Breached"))</f>
        <v/>
      </c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>
        <f>B603+30</f>
        <v/>
      </c>
      <c r="N603">
        <f>IF(L603="", "", L603-B603)</f>
        <v/>
      </c>
      <c r="O603">
        <f>IF(L603="", "Pending", IF(N603&lt;=30, "Met", "Breached"))</f>
        <v/>
      </c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>
        <f>B604+30</f>
        <v/>
      </c>
      <c r="N604">
        <f>IF(L604="", "", L604-B604)</f>
        <v/>
      </c>
      <c r="O604">
        <f>IF(L604="", "Pending", IF(N604&lt;=30, "Met", "Breached"))</f>
        <v/>
      </c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9">
        <f>B605+30</f>
        <v/>
      </c>
      <c r="N605">
        <f>IF(L605="", "", L605-B605)</f>
        <v/>
      </c>
      <c r="O605">
        <f>IF(L605="", "Pending", IF(N605&lt;=30, "Met", "Breached"))</f>
        <v/>
      </c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9">
        <f>B606+30</f>
        <v/>
      </c>
      <c r="N606">
        <f>IF(L606="", "", L606-B606)</f>
        <v/>
      </c>
      <c r="O606">
        <f>IF(L606="", "Pending", IF(N606&lt;=30, "Met", "Breached"))</f>
        <v/>
      </c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9">
        <f>B607+30</f>
        <v/>
      </c>
      <c r="N607">
        <f>IF(L607="", "", L607-B607)</f>
        <v/>
      </c>
      <c r="O607">
        <f>IF(L607="", "Pending", IF(N607&lt;=30, "Met", "Breached"))</f>
        <v/>
      </c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9">
        <f>B608+30</f>
        <v/>
      </c>
      <c r="N608">
        <f>IF(L608="", "", L608-B608)</f>
        <v/>
      </c>
      <c r="O608">
        <f>IF(L608="", "Pending", IF(N608&lt;=30, "Met", "Breached"))</f>
        <v/>
      </c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9">
        <f>B609+30</f>
        <v/>
      </c>
      <c r="N609">
        <f>IF(L609="", "", L609-B609)</f>
        <v/>
      </c>
      <c r="O609">
        <f>IF(L609="", "Pending", IF(N609&lt;=30, "Met", "Breached"))</f>
        <v/>
      </c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9">
        <f>B610+30</f>
        <v/>
      </c>
      <c r="N610">
        <f>IF(L610="", "", L610-B610)</f>
        <v/>
      </c>
      <c r="O610">
        <f>IF(L610="", "Pending", IF(N610&lt;=30, "Met", "Breached"))</f>
        <v/>
      </c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9">
        <f>B611+30</f>
        <v/>
      </c>
      <c r="N611">
        <f>IF(L611="", "", L611-B611)</f>
        <v/>
      </c>
      <c r="O611">
        <f>IF(L611="", "Pending", IF(N611&lt;=30, "Met", "Breached"))</f>
        <v/>
      </c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9">
        <f>B612+30</f>
        <v/>
      </c>
      <c r="N612">
        <f>IF(L612="", "", L612-B612)</f>
        <v/>
      </c>
      <c r="O612">
        <f>IF(L612="", "Pending", IF(N612&lt;=30, "Met", "Breached"))</f>
        <v/>
      </c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9">
        <f>B613+30</f>
        <v/>
      </c>
      <c r="N613">
        <f>IF(L613="", "", L613-B613)</f>
        <v/>
      </c>
      <c r="O613">
        <f>IF(L613="", "Pending", IF(N613&lt;=30, "Met", "Breached"))</f>
        <v/>
      </c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9">
        <f>B614+30</f>
        <v/>
      </c>
      <c r="N614">
        <f>IF(L614="", "", L614-B614)</f>
        <v/>
      </c>
      <c r="O614">
        <f>IF(L614="", "Pending", IF(N614&lt;=30, "Met", "Breached"))</f>
        <v/>
      </c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9">
        <f>B615+30</f>
        <v/>
      </c>
      <c r="N615">
        <f>IF(L615="", "", L615-B615)</f>
        <v/>
      </c>
      <c r="O615">
        <f>IF(L615="", "Pending", IF(N615&lt;=30, "Met", "Breached"))</f>
        <v/>
      </c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9">
        <f>B616+30</f>
        <v/>
      </c>
      <c r="N616">
        <f>IF(L616="", "", L616-B616)</f>
        <v/>
      </c>
      <c r="O616">
        <f>IF(L616="", "Pending", IF(N616&lt;=30, "Met", "Breached"))</f>
        <v/>
      </c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9">
        <f>B617+30</f>
        <v/>
      </c>
      <c r="N617">
        <f>IF(L617="", "", L617-B617)</f>
        <v/>
      </c>
      <c r="O617">
        <f>IF(L617="", "Pending", IF(N617&lt;=30, "Met", "Breached"))</f>
        <v/>
      </c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9">
        <f>B618+30</f>
        <v/>
      </c>
      <c r="N618">
        <f>IF(L618="", "", L618-B618)</f>
        <v/>
      </c>
      <c r="O618">
        <f>IF(L618="", "Pending", IF(N618&lt;=30, "Met", "Breached"))</f>
        <v/>
      </c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9">
        <f>B619+30</f>
        <v/>
      </c>
      <c r="N619">
        <f>IF(L619="", "", L619-B619)</f>
        <v/>
      </c>
      <c r="O619">
        <f>IF(L619="", "Pending", IF(N619&lt;=30, "Met", "Breached"))</f>
        <v/>
      </c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9">
        <f>B620+30</f>
        <v/>
      </c>
      <c r="N620">
        <f>IF(L620="", "", L620-B620)</f>
        <v/>
      </c>
      <c r="O620">
        <f>IF(L620="", "Pending", IF(N620&lt;=30, "Met", "Breached"))</f>
        <v/>
      </c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9">
        <f>B621+30</f>
        <v/>
      </c>
      <c r="N621">
        <f>IF(L621="", "", L621-B621)</f>
        <v/>
      </c>
      <c r="O621">
        <f>IF(L621="", "Pending", IF(N621&lt;=30, "Met", "Breached"))</f>
        <v/>
      </c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9">
        <f>B622+30</f>
        <v/>
      </c>
      <c r="N622">
        <f>IF(L622="", "", L622-B622)</f>
        <v/>
      </c>
      <c r="O622">
        <f>IF(L622="", "Pending", IF(N622&lt;=30, "Met", "Breached"))</f>
        <v/>
      </c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9">
        <f>B623+30</f>
        <v/>
      </c>
      <c r="N623">
        <f>IF(L623="", "", L623-B623)</f>
        <v/>
      </c>
      <c r="O623">
        <f>IF(L623="", "Pending", IF(N623&lt;=30, "Met", "Breached"))</f>
        <v/>
      </c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9">
        <f>B624+30</f>
        <v/>
      </c>
      <c r="N624">
        <f>IF(L624="", "", L624-B624)</f>
        <v/>
      </c>
      <c r="O624">
        <f>IF(L624="", "Pending", IF(N624&lt;=30, "Met", "Breached"))</f>
        <v/>
      </c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9">
        <f>B625+30</f>
        <v/>
      </c>
      <c r="N625">
        <f>IF(L625="", "", L625-B625)</f>
        <v/>
      </c>
      <c r="O625">
        <f>IF(L625="", "Pending", IF(N625&lt;=30, "Met", "Breached"))</f>
        <v/>
      </c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9">
        <f>B626+30</f>
        <v/>
      </c>
      <c r="N626">
        <f>IF(L626="", "", L626-B626)</f>
        <v/>
      </c>
      <c r="O626">
        <f>IF(L626="", "Pending", IF(N626&lt;=30, "Met", "Breached"))</f>
        <v/>
      </c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9">
        <f>B627+30</f>
        <v/>
      </c>
      <c r="N627">
        <f>IF(L627="", "", L627-B627)</f>
        <v/>
      </c>
      <c r="O627">
        <f>IF(L627="", "Pending", IF(N627&lt;=30, "Met", "Breached"))</f>
        <v/>
      </c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9">
        <f>B628+30</f>
        <v/>
      </c>
      <c r="N628">
        <f>IF(L628="", "", L628-B628)</f>
        <v/>
      </c>
      <c r="O628">
        <f>IF(L628="", "Pending", IF(N628&lt;=30, "Met", "Breached"))</f>
        <v/>
      </c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9">
        <f>B629+30</f>
        <v/>
      </c>
      <c r="N629">
        <f>IF(L629="", "", L629-B629)</f>
        <v/>
      </c>
      <c r="O629">
        <f>IF(L629="", "Pending", IF(N629&lt;=30, "Met", "Breached"))</f>
        <v/>
      </c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9">
        <f>B630+30</f>
        <v/>
      </c>
      <c r="N630">
        <f>IF(L630="", "", L630-B630)</f>
        <v/>
      </c>
      <c r="O630">
        <f>IF(L630="", "Pending", IF(N630&lt;=30, "Met", "Breached"))</f>
        <v/>
      </c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9">
        <f>B631+30</f>
        <v/>
      </c>
      <c r="N631">
        <f>IF(L631="", "", L631-B631)</f>
        <v/>
      </c>
      <c r="O631">
        <f>IF(L631="", "Pending", IF(N631&lt;=30, "Met", "Breached"))</f>
        <v/>
      </c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9">
        <f>B632+30</f>
        <v/>
      </c>
      <c r="N632">
        <f>IF(L632="", "", L632-B632)</f>
        <v/>
      </c>
      <c r="O632">
        <f>IF(L632="", "Pending", IF(N632&lt;=30, "Met", "Breached"))</f>
        <v/>
      </c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9">
        <f>B633+30</f>
        <v/>
      </c>
      <c r="N633">
        <f>IF(L633="", "", L633-B633)</f>
        <v/>
      </c>
      <c r="O633">
        <f>IF(L633="", "Pending", IF(N633&lt;=30, "Met", "Breached"))</f>
        <v/>
      </c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9">
        <f>B634+30</f>
        <v/>
      </c>
      <c r="N634">
        <f>IF(L634="", "", L634-B634)</f>
        <v/>
      </c>
      <c r="O634">
        <f>IF(L634="", "Pending", IF(N634&lt;=30, "Met", "Breached"))</f>
        <v/>
      </c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9">
        <f>B635+30</f>
        <v/>
      </c>
      <c r="N635">
        <f>IF(L635="", "", L635-B635)</f>
        <v/>
      </c>
      <c r="O635">
        <f>IF(L635="", "Pending", IF(N635&lt;=30, "Met", "Breached"))</f>
        <v/>
      </c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9">
        <f>B636+30</f>
        <v/>
      </c>
      <c r="N636">
        <f>IF(L636="", "", L636-B636)</f>
        <v/>
      </c>
      <c r="O636">
        <f>IF(L636="", "Pending", IF(N636&lt;=30, "Met", "Breached"))</f>
        <v/>
      </c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9">
        <f>B637+30</f>
        <v/>
      </c>
      <c r="N637">
        <f>IF(L637="", "", L637-B637)</f>
        <v/>
      </c>
      <c r="O637">
        <f>IF(L637="", "Pending", IF(N637&lt;=30, "Met", "Breached"))</f>
        <v/>
      </c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9">
        <f>B638+30</f>
        <v/>
      </c>
      <c r="N638">
        <f>IF(L638="", "", L638-B638)</f>
        <v/>
      </c>
      <c r="O638">
        <f>IF(L638="", "Pending", IF(N638&lt;=30, "Met", "Breached"))</f>
        <v/>
      </c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9">
        <f>B639+30</f>
        <v/>
      </c>
      <c r="N639">
        <f>IF(L639="", "", L639-B639)</f>
        <v/>
      </c>
      <c r="O639">
        <f>IF(L639="", "Pending", IF(N639&lt;=30, "Met", "Breached"))</f>
        <v/>
      </c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9">
        <f>B640+30</f>
        <v/>
      </c>
      <c r="N640">
        <f>IF(L640="", "", L640-B640)</f>
        <v/>
      </c>
      <c r="O640">
        <f>IF(L640="", "Pending", IF(N640&lt;=30, "Met", "Breached"))</f>
        <v/>
      </c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9">
        <f>B641+30</f>
        <v/>
      </c>
      <c r="N641">
        <f>IF(L641="", "", L641-B641)</f>
        <v/>
      </c>
      <c r="O641">
        <f>IF(L641="", "Pending", IF(N641&lt;=30, "Met", "Breached"))</f>
        <v/>
      </c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9">
        <f>B642+30</f>
        <v/>
      </c>
      <c r="N642">
        <f>IF(L642="", "", L642-B642)</f>
        <v/>
      </c>
      <c r="O642">
        <f>IF(L642="", "Pending", IF(N642&lt;=30, "Met", "Breached"))</f>
        <v/>
      </c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9">
        <f>B643+30</f>
        <v/>
      </c>
      <c r="N643">
        <f>IF(L643="", "", L643-B643)</f>
        <v/>
      </c>
      <c r="O643">
        <f>IF(L643="", "Pending", IF(N643&lt;=30, "Met", "Breached"))</f>
        <v/>
      </c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9">
        <f>B644+30</f>
        <v/>
      </c>
      <c r="N644">
        <f>IF(L644="", "", L644-B644)</f>
        <v/>
      </c>
      <c r="O644">
        <f>IF(L644="", "Pending", IF(N644&lt;=30, "Met", "Breached"))</f>
        <v/>
      </c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9">
        <f>B645+30</f>
        <v/>
      </c>
      <c r="N645">
        <f>IF(L645="", "", L645-B645)</f>
        <v/>
      </c>
      <c r="O645">
        <f>IF(L645="", "Pending", IF(N645&lt;=30, "Met", "Breached"))</f>
        <v/>
      </c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9">
        <f>B646+30</f>
        <v/>
      </c>
      <c r="N646">
        <f>IF(L646="", "", L646-B646)</f>
        <v/>
      </c>
      <c r="O646">
        <f>IF(L646="", "Pending", IF(N646&lt;=30, "Met", "Breached"))</f>
        <v/>
      </c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9">
        <f>B647+30</f>
        <v/>
      </c>
      <c r="N647">
        <f>IF(L647="", "", L647-B647)</f>
        <v/>
      </c>
      <c r="O647">
        <f>IF(L647="", "Pending", IF(N647&lt;=30, "Met", "Breached"))</f>
        <v/>
      </c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9">
        <f>B648+30</f>
        <v/>
      </c>
      <c r="N648">
        <f>IF(L648="", "", L648-B648)</f>
        <v/>
      </c>
      <c r="O648">
        <f>IF(L648="", "Pending", IF(N648&lt;=30, "Met", "Breached"))</f>
        <v/>
      </c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9">
        <f>B649+30</f>
        <v/>
      </c>
      <c r="N649">
        <f>IF(L649="", "", L649-B649)</f>
        <v/>
      </c>
      <c r="O649">
        <f>IF(L649="", "Pending", IF(N649&lt;=30, "Met", "Breached"))</f>
        <v/>
      </c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9">
        <f>B650+30</f>
        <v/>
      </c>
      <c r="N650">
        <f>IF(L650="", "", L650-B650)</f>
        <v/>
      </c>
      <c r="O650">
        <f>IF(L650="", "Pending", IF(N650&lt;=30, "Met", "Breached"))</f>
        <v/>
      </c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9">
        <f>B651+30</f>
        <v/>
      </c>
      <c r="N651">
        <f>IF(L651="", "", L651-B651)</f>
        <v/>
      </c>
      <c r="O651">
        <f>IF(L651="", "Pending", IF(N651&lt;=30, "Met", "Breached"))</f>
        <v/>
      </c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9">
        <f>B652+30</f>
        <v/>
      </c>
      <c r="N652">
        <f>IF(L652="", "", L652-B652)</f>
        <v/>
      </c>
      <c r="O652">
        <f>IF(L652="", "Pending", IF(N652&lt;=30, "Met", "Breached"))</f>
        <v/>
      </c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9">
        <f>B653+30</f>
        <v/>
      </c>
      <c r="N653">
        <f>IF(L653="", "", L653-B653)</f>
        <v/>
      </c>
      <c r="O653">
        <f>IF(L653="", "Pending", IF(N653&lt;=30, "Met", "Breached"))</f>
        <v/>
      </c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9">
        <f>B654+30</f>
        <v/>
      </c>
      <c r="N654">
        <f>IF(L654="", "", L654-B654)</f>
        <v/>
      </c>
      <c r="O654">
        <f>IF(L654="", "Pending", IF(N654&lt;=30, "Met", "Breached"))</f>
        <v/>
      </c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9">
        <f>B655+30</f>
        <v/>
      </c>
      <c r="N655">
        <f>IF(L655="", "", L655-B655)</f>
        <v/>
      </c>
      <c r="O655">
        <f>IF(L655="", "Pending", IF(N655&lt;=30, "Met", "Breached"))</f>
        <v/>
      </c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9">
        <f>B656+30</f>
        <v/>
      </c>
      <c r="N656">
        <f>IF(L656="", "", L656-B656)</f>
        <v/>
      </c>
      <c r="O656">
        <f>IF(L656="", "Pending", IF(N656&lt;=30, "Met", "Breached"))</f>
        <v/>
      </c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9">
        <f>B657+30</f>
        <v/>
      </c>
      <c r="N657">
        <f>IF(L657="", "", L657-B657)</f>
        <v/>
      </c>
      <c r="O657">
        <f>IF(L657="", "Pending", IF(N657&lt;=30, "Met", "Breached"))</f>
        <v/>
      </c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9">
        <f>B658+30</f>
        <v/>
      </c>
      <c r="N658">
        <f>IF(L658="", "", L658-B658)</f>
        <v/>
      </c>
      <c r="O658">
        <f>IF(L658="", "Pending", IF(N658&lt;=30, "Met", "Breached"))</f>
        <v/>
      </c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9">
        <f>B659+30</f>
        <v/>
      </c>
      <c r="N659">
        <f>IF(L659="", "", L659-B659)</f>
        <v/>
      </c>
      <c r="O659">
        <f>IF(L659="", "Pending", IF(N659&lt;=30, "Met", "Breached"))</f>
        <v/>
      </c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9">
        <f>B660+30</f>
        <v/>
      </c>
      <c r="N660">
        <f>IF(L660="", "", L660-B660)</f>
        <v/>
      </c>
      <c r="O660">
        <f>IF(L660="", "Pending", IF(N660&lt;=30, "Met", "Breached"))</f>
        <v/>
      </c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9">
        <f>B661+30</f>
        <v/>
      </c>
      <c r="N661">
        <f>IF(L661="", "", L661-B661)</f>
        <v/>
      </c>
      <c r="O661">
        <f>IF(L661="", "Pending", IF(N661&lt;=30, "Met", "Breached"))</f>
        <v/>
      </c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9">
        <f>B662+30</f>
        <v/>
      </c>
      <c r="N662">
        <f>IF(L662="", "", L662-B662)</f>
        <v/>
      </c>
      <c r="O662">
        <f>IF(L662="", "Pending", IF(N662&lt;=30, "Met", "Breached"))</f>
        <v/>
      </c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9">
        <f>B663+30</f>
        <v/>
      </c>
      <c r="N663">
        <f>IF(L663="", "", L663-B663)</f>
        <v/>
      </c>
      <c r="O663">
        <f>IF(L663="", "Pending", IF(N663&lt;=30, "Met", "Breached"))</f>
        <v/>
      </c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9">
        <f>B664+30</f>
        <v/>
      </c>
      <c r="N664">
        <f>IF(L664="", "", L664-B664)</f>
        <v/>
      </c>
      <c r="O664">
        <f>IF(L664="", "Pending", IF(N664&lt;=30, "Met", "Breached"))</f>
        <v/>
      </c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9">
        <f>B665+30</f>
        <v/>
      </c>
      <c r="N665">
        <f>IF(L665="", "", L665-B665)</f>
        <v/>
      </c>
      <c r="O665">
        <f>IF(L665="", "Pending", IF(N665&lt;=30, "Met", "Breached"))</f>
        <v/>
      </c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9">
        <f>B666+30</f>
        <v/>
      </c>
      <c r="N666">
        <f>IF(L666="", "", L666-B666)</f>
        <v/>
      </c>
      <c r="O666">
        <f>IF(L666="", "Pending", IF(N666&lt;=30, "Met", "Breached"))</f>
        <v/>
      </c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9">
        <f>B667+30</f>
        <v/>
      </c>
      <c r="N667">
        <f>IF(L667="", "", L667-B667)</f>
        <v/>
      </c>
      <c r="O667">
        <f>IF(L667="", "Pending", IF(N667&lt;=30, "Met", "Breached"))</f>
        <v/>
      </c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9">
        <f>B668+30</f>
        <v/>
      </c>
      <c r="N668">
        <f>IF(L668="", "", L668-B668)</f>
        <v/>
      </c>
      <c r="O668">
        <f>IF(L668="", "Pending", IF(N668&lt;=30, "Met", "Breached"))</f>
        <v/>
      </c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9">
        <f>B669+30</f>
        <v/>
      </c>
      <c r="N669">
        <f>IF(L669="", "", L669-B669)</f>
        <v/>
      </c>
      <c r="O669">
        <f>IF(L669="", "Pending", IF(N669&lt;=30, "Met", "Breached"))</f>
        <v/>
      </c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9">
        <f>B670+30</f>
        <v/>
      </c>
      <c r="N670">
        <f>IF(L670="", "", L670-B670)</f>
        <v/>
      </c>
      <c r="O670">
        <f>IF(L670="", "Pending", IF(N670&lt;=30, "Met", "Breached"))</f>
        <v/>
      </c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9">
        <f>B671+30</f>
        <v/>
      </c>
      <c r="N671">
        <f>IF(L671="", "", L671-B671)</f>
        <v/>
      </c>
      <c r="O671">
        <f>IF(L671="", "Pending", IF(N671&lt;=30, "Met", "Breached"))</f>
        <v/>
      </c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9">
        <f>B672+30</f>
        <v/>
      </c>
      <c r="N672">
        <f>IF(L672="", "", L672-B672)</f>
        <v/>
      </c>
      <c r="O672">
        <f>IF(L672="", "Pending", IF(N672&lt;=30, "Met", "Breached"))</f>
        <v/>
      </c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9">
        <f>B673+30</f>
        <v/>
      </c>
      <c r="N673">
        <f>IF(L673="", "", L673-B673)</f>
        <v/>
      </c>
      <c r="O673">
        <f>IF(L673="", "Pending", IF(N673&lt;=30, "Met", "Breached"))</f>
        <v/>
      </c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9">
        <f>B674+30</f>
        <v/>
      </c>
      <c r="N674">
        <f>IF(L674="", "", L674-B674)</f>
        <v/>
      </c>
      <c r="O674">
        <f>IF(L674="", "Pending", IF(N674&lt;=30, "Met", "Breached"))</f>
        <v/>
      </c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9">
        <f>B675+30</f>
        <v/>
      </c>
      <c r="N675">
        <f>IF(L675="", "", L675-B675)</f>
        <v/>
      </c>
      <c r="O675">
        <f>IF(L675="", "Pending", IF(N675&lt;=30, "Met", "Breached"))</f>
        <v/>
      </c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9">
        <f>B676+30</f>
        <v/>
      </c>
      <c r="N676">
        <f>IF(L676="", "", L676-B676)</f>
        <v/>
      </c>
      <c r="O676">
        <f>IF(L676="", "Pending", IF(N676&lt;=30, "Met", "Breached"))</f>
        <v/>
      </c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9">
        <f>B677+30</f>
        <v/>
      </c>
      <c r="N677">
        <f>IF(L677="", "", L677-B677)</f>
        <v/>
      </c>
      <c r="O677">
        <f>IF(L677="", "Pending", IF(N677&lt;=30, "Met", "Breached"))</f>
        <v/>
      </c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9">
        <f>B678+30</f>
        <v/>
      </c>
      <c r="N678">
        <f>IF(L678="", "", L678-B678)</f>
        <v/>
      </c>
      <c r="O678">
        <f>IF(L678="", "Pending", IF(N678&lt;=30, "Met", "Breached"))</f>
        <v/>
      </c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9">
        <f>B679+30</f>
        <v/>
      </c>
      <c r="N679">
        <f>IF(L679="", "", L679-B679)</f>
        <v/>
      </c>
      <c r="O679">
        <f>IF(L679="", "Pending", IF(N679&lt;=30, "Met", "Breached"))</f>
        <v/>
      </c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9">
        <f>B680+30</f>
        <v/>
      </c>
      <c r="N680">
        <f>IF(L680="", "", L680-B680)</f>
        <v/>
      </c>
      <c r="O680">
        <f>IF(L680="", "Pending", IF(N680&lt;=30, "Met", "Breached"))</f>
        <v/>
      </c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9">
        <f>B681+30</f>
        <v/>
      </c>
      <c r="N681">
        <f>IF(L681="", "", L681-B681)</f>
        <v/>
      </c>
      <c r="O681">
        <f>IF(L681="", "Pending", IF(N681&lt;=30, "Met", "Breached"))</f>
        <v/>
      </c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9">
        <f>B682+30</f>
        <v/>
      </c>
      <c r="N682">
        <f>IF(L682="", "", L682-B682)</f>
        <v/>
      </c>
      <c r="O682">
        <f>IF(L682="", "Pending", IF(N682&lt;=30, "Met", "Breached"))</f>
        <v/>
      </c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9">
        <f>B683+30</f>
        <v/>
      </c>
      <c r="N683">
        <f>IF(L683="", "", L683-B683)</f>
        <v/>
      </c>
      <c r="O683">
        <f>IF(L683="", "Pending", IF(N683&lt;=30, "Met", "Breached"))</f>
        <v/>
      </c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9">
        <f>B684+30</f>
        <v/>
      </c>
      <c r="N684">
        <f>IF(L684="", "", L684-B684)</f>
        <v/>
      </c>
      <c r="O684">
        <f>IF(L684="", "Pending", IF(N684&lt;=30, "Met", "Breached"))</f>
        <v/>
      </c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9">
        <f>B685+30</f>
        <v/>
      </c>
      <c r="N685">
        <f>IF(L685="", "", L685-B685)</f>
        <v/>
      </c>
      <c r="O685">
        <f>IF(L685="", "Pending", IF(N685&lt;=30, "Met", "Breached"))</f>
        <v/>
      </c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9">
        <f>B686+30</f>
        <v/>
      </c>
      <c r="N686">
        <f>IF(L686="", "", L686-B686)</f>
        <v/>
      </c>
      <c r="O686">
        <f>IF(L686="", "Pending", IF(N686&lt;=30, "Met", "Breached"))</f>
        <v/>
      </c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9">
        <f>B687+30</f>
        <v/>
      </c>
      <c r="N687">
        <f>IF(L687="", "", L687-B687)</f>
        <v/>
      </c>
      <c r="O687">
        <f>IF(L687="", "Pending", IF(N687&lt;=30, "Met", "Breached"))</f>
        <v/>
      </c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9">
        <f>B688+30</f>
        <v/>
      </c>
      <c r="N688">
        <f>IF(L688="", "", L688-B688)</f>
        <v/>
      </c>
      <c r="O688">
        <f>IF(L688="", "Pending", IF(N688&lt;=30, "Met", "Breached"))</f>
        <v/>
      </c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9">
        <f>B689+30</f>
        <v/>
      </c>
      <c r="N689">
        <f>IF(L689="", "", L689-B689)</f>
        <v/>
      </c>
      <c r="O689">
        <f>IF(L689="", "Pending", IF(N689&lt;=30, "Met", "Breached"))</f>
        <v/>
      </c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9">
        <f>B690+30</f>
        <v/>
      </c>
      <c r="N690">
        <f>IF(L690="", "", L690-B690)</f>
        <v/>
      </c>
      <c r="O690">
        <f>IF(L690="", "Pending", IF(N690&lt;=30, "Met", "Breached"))</f>
        <v/>
      </c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9">
        <f>B691+30</f>
        <v/>
      </c>
      <c r="N691">
        <f>IF(L691="", "", L691-B691)</f>
        <v/>
      </c>
      <c r="O691">
        <f>IF(L691="", "Pending", IF(N691&lt;=30, "Met", "Breached"))</f>
        <v/>
      </c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9">
        <f>B692+30</f>
        <v/>
      </c>
      <c r="N692">
        <f>IF(L692="", "", L692-B692)</f>
        <v/>
      </c>
      <c r="O692">
        <f>IF(L692="", "Pending", IF(N692&lt;=30, "Met", "Breached"))</f>
        <v/>
      </c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9">
        <f>B693+30</f>
        <v/>
      </c>
      <c r="N693">
        <f>IF(L693="", "", L693-B693)</f>
        <v/>
      </c>
      <c r="O693">
        <f>IF(L693="", "Pending", IF(N693&lt;=30, "Met", "Breached"))</f>
        <v/>
      </c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9">
        <f>B694+30</f>
        <v/>
      </c>
      <c r="N694">
        <f>IF(L694="", "", L694-B694)</f>
        <v/>
      </c>
      <c r="O694">
        <f>IF(L694="", "Pending", IF(N694&lt;=30, "Met", "Breached"))</f>
        <v/>
      </c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9">
        <f>B695+30</f>
        <v/>
      </c>
      <c r="N695">
        <f>IF(L695="", "", L695-B695)</f>
        <v/>
      </c>
      <c r="O695">
        <f>IF(L695="", "Pending", IF(N695&lt;=30, "Met", "Breached"))</f>
        <v/>
      </c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9">
        <f>B696+30</f>
        <v/>
      </c>
      <c r="N696">
        <f>IF(L696="", "", L696-B696)</f>
        <v/>
      </c>
      <c r="O696">
        <f>IF(L696="", "Pending", IF(N696&lt;=30, "Met", "Breached"))</f>
        <v/>
      </c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9">
        <f>B697+30</f>
        <v/>
      </c>
      <c r="N697">
        <f>IF(L697="", "", L697-B697)</f>
        <v/>
      </c>
      <c r="O697">
        <f>IF(L697="", "Pending", IF(N697&lt;=30, "Met", "Breached"))</f>
        <v/>
      </c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9">
        <f>B698+30</f>
        <v/>
      </c>
      <c r="N698">
        <f>IF(L698="", "", L698-B698)</f>
        <v/>
      </c>
      <c r="O698">
        <f>IF(L698="", "Pending", IF(N698&lt;=30, "Met", "Breached"))</f>
        <v/>
      </c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9">
        <f>B699+30</f>
        <v/>
      </c>
      <c r="N699">
        <f>IF(L699="", "", L699-B699)</f>
        <v/>
      </c>
      <c r="O699">
        <f>IF(L699="", "Pending", IF(N699&lt;=30, "Met", "Breached"))</f>
        <v/>
      </c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9">
        <f>B700+30</f>
        <v/>
      </c>
      <c r="N700">
        <f>IF(L700="", "", L700-B700)</f>
        <v/>
      </c>
      <c r="O700">
        <f>IF(L700="", "Pending", IF(N700&lt;=30, "Met", "Breached"))</f>
        <v/>
      </c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9">
        <f>B701+30</f>
        <v/>
      </c>
      <c r="N701">
        <f>IF(L701="", "", L701-B701)</f>
        <v/>
      </c>
      <c r="O701">
        <f>IF(L701="", "Pending", IF(N701&lt;=30, "Met", "Breached"))</f>
        <v/>
      </c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9">
        <f>B702+30</f>
        <v/>
      </c>
      <c r="N702">
        <f>IF(L702="", "", L702-B702)</f>
        <v/>
      </c>
      <c r="O702">
        <f>IF(L702="", "Pending", IF(N702&lt;=30, "Met", "Breached"))</f>
        <v/>
      </c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9">
        <f>B703+30</f>
        <v/>
      </c>
      <c r="N703">
        <f>IF(L703="", "", L703-B703)</f>
        <v/>
      </c>
      <c r="O703">
        <f>IF(L703="", "Pending", IF(N703&lt;=30, "Met", "Breached"))</f>
        <v/>
      </c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9">
        <f>B704+30</f>
        <v/>
      </c>
      <c r="N704">
        <f>IF(L704="", "", L704-B704)</f>
        <v/>
      </c>
      <c r="O704">
        <f>IF(L704="", "Pending", IF(N704&lt;=30, "Met", "Breached"))</f>
        <v/>
      </c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9">
        <f>B705+30</f>
        <v/>
      </c>
      <c r="N705">
        <f>IF(L705="", "", L705-B705)</f>
        <v/>
      </c>
      <c r="O705">
        <f>IF(L705="", "Pending", IF(N705&lt;=30, "Met", "Breached"))</f>
        <v/>
      </c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9">
        <f>B706+30</f>
        <v/>
      </c>
      <c r="N706">
        <f>IF(L706="", "", L706-B706)</f>
        <v/>
      </c>
      <c r="O706">
        <f>IF(L706="", "Pending", IF(N706&lt;=30, "Met", "Breached"))</f>
        <v/>
      </c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9">
        <f>B707+30</f>
        <v/>
      </c>
      <c r="N707">
        <f>IF(L707="", "", L707-B707)</f>
        <v/>
      </c>
      <c r="O707">
        <f>IF(L707="", "Pending", IF(N707&lt;=30, "Met", "Breached"))</f>
        <v/>
      </c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9">
        <f>B708+30</f>
        <v/>
      </c>
      <c r="N708">
        <f>IF(L708="", "", L708-B708)</f>
        <v/>
      </c>
      <c r="O708">
        <f>IF(L708="", "Pending", IF(N708&lt;=30, "Met", "Breached"))</f>
        <v/>
      </c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9">
        <f>B709+30</f>
        <v/>
      </c>
      <c r="N709">
        <f>IF(L709="", "", L709-B709)</f>
        <v/>
      </c>
      <c r="O709">
        <f>IF(L709="", "Pending", IF(N709&lt;=30, "Met", "Breached"))</f>
        <v/>
      </c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9">
        <f>B710+30</f>
        <v/>
      </c>
      <c r="N710">
        <f>IF(L710="", "", L710-B710)</f>
        <v/>
      </c>
      <c r="O710">
        <f>IF(L710="", "Pending", IF(N710&lt;=30, "Met", "Breached"))</f>
        <v/>
      </c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9">
        <f>B711+30</f>
        <v/>
      </c>
      <c r="N711">
        <f>IF(L711="", "", L711-B711)</f>
        <v/>
      </c>
      <c r="O711">
        <f>IF(L711="", "Pending", IF(N711&lt;=30, "Met", "Breached"))</f>
        <v/>
      </c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9">
        <f>B712+30</f>
        <v/>
      </c>
      <c r="N712">
        <f>IF(L712="", "", L712-B712)</f>
        <v/>
      </c>
      <c r="O712">
        <f>IF(L712="", "Pending", IF(N712&lt;=30, "Met", "Breached"))</f>
        <v/>
      </c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9">
        <f>B713+30</f>
        <v/>
      </c>
      <c r="N713">
        <f>IF(L713="", "", L713-B713)</f>
        <v/>
      </c>
      <c r="O713">
        <f>IF(L713="", "Pending", IF(N713&lt;=30, "Met", "Breached"))</f>
        <v/>
      </c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9">
        <f>B714+30</f>
        <v/>
      </c>
      <c r="N714">
        <f>IF(L714="", "", L714-B714)</f>
        <v/>
      </c>
      <c r="O714">
        <f>IF(L714="", "Pending", IF(N714&lt;=30, "Met", "Breached"))</f>
        <v/>
      </c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9">
        <f>B715+30</f>
        <v/>
      </c>
      <c r="N715">
        <f>IF(L715="", "", L715-B715)</f>
        <v/>
      </c>
      <c r="O715">
        <f>IF(L715="", "Pending", IF(N715&lt;=30, "Met", "Breached"))</f>
        <v/>
      </c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9">
        <f>B716+30</f>
        <v/>
      </c>
      <c r="N716">
        <f>IF(L716="", "", L716-B716)</f>
        <v/>
      </c>
      <c r="O716">
        <f>IF(L716="", "Pending", IF(N716&lt;=30, "Met", "Breached"))</f>
        <v/>
      </c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9">
        <f>B717+30</f>
        <v/>
      </c>
      <c r="N717">
        <f>IF(L717="", "", L717-B717)</f>
        <v/>
      </c>
      <c r="O717">
        <f>IF(L717="", "Pending", IF(N717&lt;=30, "Met", "Breached"))</f>
        <v/>
      </c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9">
        <f>B718+30</f>
        <v/>
      </c>
      <c r="N718">
        <f>IF(L718="", "", L718-B718)</f>
        <v/>
      </c>
      <c r="O718">
        <f>IF(L718="", "Pending", IF(N718&lt;=30, "Met", "Breached"))</f>
        <v/>
      </c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9">
        <f>B719+30</f>
        <v/>
      </c>
      <c r="N719">
        <f>IF(L719="", "", L719-B719)</f>
        <v/>
      </c>
      <c r="O719">
        <f>IF(L719="", "Pending", IF(N719&lt;=30, "Met", "Breached"))</f>
        <v/>
      </c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9">
        <f>B720+30</f>
        <v/>
      </c>
      <c r="N720">
        <f>IF(L720="", "", L720-B720)</f>
        <v/>
      </c>
      <c r="O720">
        <f>IF(L720="", "Pending", IF(N720&lt;=30, "Met", "Breached"))</f>
        <v/>
      </c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9">
        <f>B721+30</f>
        <v/>
      </c>
      <c r="N721">
        <f>IF(L721="", "", L721-B721)</f>
        <v/>
      </c>
      <c r="O721">
        <f>IF(L721="", "Pending", IF(N721&lt;=30, "Met", "Breached"))</f>
        <v/>
      </c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9">
        <f>B722+30</f>
        <v/>
      </c>
      <c r="N722">
        <f>IF(L722="", "", L722-B722)</f>
        <v/>
      </c>
      <c r="O722">
        <f>IF(L722="", "Pending", IF(N722&lt;=30, "Met", "Breached"))</f>
        <v/>
      </c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9">
        <f>B723+30</f>
        <v/>
      </c>
      <c r="N723">
        <f>IF(L723="", "", L723-B723)</f>
        <v/>
      </c>
      <c r="O723">
        <f>IF(L723="", "Pending", IF(N723&lt;=30, "Met", "Breached"))</f>
        <v/>
      </c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9">
        <f>B724+30</f>
        <v/>
      </c>
      <c r="N724">
        <f>IF(L724="", "", L724-B724)</f>
        <v/>
      </c>
      <c r="O724">
        <f>IF(L724="", "Pending", IF(N724&lt;=30, "Met", "Breached"))</f>
        <v/>
      </c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9">
        <f>B725+30</f>
        <v/>
      </c>
      <c r="N725">
        <f>IF(L725="", "", L725-B725)</f>
        <v/>
      </c>
      <c r="O725">
        <f>IF(L725="", "Pending", IF(N725&lt;=30, "Met", "Breached"))</f>
        <v/>
      </c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9">
        <f>B726+30</f>
        <v/>
      </c>
      <c r="N726">
        <f>IF(L726="", "", L726-B726)</f>
        <v/>
      </c>
      <c r="O726">
        <f>IF(L726="", "Pending", IF(N726&lt;=30, "Met", "Breached"))</f>
        <v/>
      </c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9">
        <f>B727+30</f>
        <v/>
      </c>
      <c r="N727">
        <f>IF(L727="", "", L727-B727)</f>
        <v/>
      </c>
      <c r="O727">
        <f>IF(L727="", "Pending", IF(N727&lt;=30, "Met", "Breached"))</f>
        <v/>
      </c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9">
        <f>B728+30</f>
        <v/>
      </c>
      <c r="N728">
        <f>IF(L728="", "", L728-B728)</f>
        <v/>
      </c>
      <c r="O728">
        <f>IF(L728="", "Pending", IF(N728&lt;=30, "Met", "Breached"))</f>
        <v/>
      </c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9">
        <f>B729+30</f>
        <v/>
      </c>
      <c r="N729">
        <f>IF(L729="", "", L729-B729)</f>
        <v/>
      </c>
      <c r="O729">
        <f>IF(L729="", "Pending", IF(N729&lt;=30, "Met", "Breached"))</f>
        <v/>
      </c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9">
        <f>B730+30</f>
        <v/>
      </c>
      <c r="N730">
        <f>IF(L730="", "", L730-B730)</f>
        <v/>
      </c>
      <c r="O730">
        <f>IF(L730="", "Pending", IF(N730&lt;=30, "Met", "Breached"))</f>
        <v/>
      </c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9">
        <f>B731+30</f>
        <v/>
      </c>
      <c r="N731">
        <f>IF(L731="", "", L731-B731)</f>
        <v/>
      </c>
      <c r="O731">
        <f>IF(L731="", "Pending", IF(N731&lt;=30, "Met", "Breached"))</f>
        <v/>
      </c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9">
        <f>B732+30</f>
        <v/>
      </c>
      <c r="N732">
        <f>IF(L732="", "", L732-B732)</f>
        <v/>
      </c>
      <c r="O732">
        <f>IF(L732="", "Pending", IF(N732&lt;=30, "Met", "Breached"))</f>
        <v/>
      </c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9">
        <f>B733+30</f>
        <v/>
      </c>
      <c r="N733">
        <f>IF(L733="", "", L733-B733)</f>
        <v/>
      </c>
      <c r="O733">
        <f>IF(L733="", "Pending", IF(N733&lt;=30, "Met", "Breached"))</f>
        <v/>
      </c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9">
        <f>B734+30</f>
        <v/>
      </c>
      <c r="N734">
        <f>IF(L734="", "", L734-B734)</f>
        <v/>
      </c>
      <c r="O734">
        <f>IF(L734="", "Pending", IF(N734&lt;=30, "Met", "Breached"))</f>
        <v/>
      </c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9">
        <f>B735+30</f>
        <v/>
      </c>
      <c r="N735">
        <f>IF(L735="", "", L735-B735)</f>
        <v/>
      </c>
      <c r="O735">
        <f>IF(L735="", "Pending", IF(N735&lt;=30, "Met", "Breached"))</f>
        <v/>
      </c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9">
        <f>B736+30</f>
        <v/>
      </c>
      <c r="N736">
        <f>IF(L736="", "", L736-B736)</f>
        <v/>
      </c>
      <c r="O736">
        <f>IF(L736="", "Pending", IF(N736&lt;=30, "Met", "Breached"))</f>
        <v/>
      </c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9">
        <f>B737+30</f>
        <v/>
      </c>
      <c r="N737">
        <f>IF(L737="", "", L737-B737)</f>
        <v/>
      </c>
      <c r="O737">
        <f>IF(L737="", "Pending", IF(N737&lt;=30, "Met", "Breached"))</f>
        <v/>
      </c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9">
        <f>B738+30</f>
        <v/>
      </c>
      <c r="N738">
        <f>IF(L738="", "", L738-B738)</f>
        <v/>
      </c>
      <c r="O738">
        <f>IF(L738="", "Pending", IF(N738&lt;=30, "Met", "Breached"))</f>
        <v/>
      </c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9">
        <f>B739+30</f>
        <v/>
      </c>
      <c r="N739">
        <f>IF(L739="", "", L739-B739)</f>
        <v/>
      </c>
      <c r="O739">
        <f>IF(L739="", "Pending", IF(N739&lt;=30, "Met", "Breached"))</f>
        <v/>
      </c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9">
        <f>B740+30</f>
        <v/>
      </c>
      <c r="N740">
        <f>IF(L740="", "", L740-B740)</f>
        <v/>
      </c>
      <c r="O740">
        <f>IF(L740="", "Pending", IF(N740&lt;=30, "Met", "Breached"))</f>
        <v/>
      </c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9">
        <f>B741+30</f>
        <v/>
      </c>
      <c r="N741">
        <f>IF(L741="", "", L741-B741)</f>
        <v/>
      </c>
      <c r="O741">
        <f>IF(L741="", "Pending", IF(N741&lt;=30, "Met", "Breached"))</f>
        <v/>
      </c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9">
        <f>B742+30</f>
        <v/>
      </c>
      <c r="N742">
        <f>IF(L742="", "", L742-B742)</f>
        <v/>
      </c>
      <c r="O742">
        <f>IF(L742="", "Pending", IF(N742&lt;=30, "Met", "Breached"))</f>
        <v/>
      </c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9">
        <f>B743+30</f>
        <v/>
      </c>
      <c r="N743">
        <f>IF(L743="", "", L743-B743)</f>
        <v/>
      </c>
      <c r="O743">
        <f>IF(L743="", "Pending", IF(N743&lt;=30, "Met", "Breached"))</f>
        <v/>
      </c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9">
        <f>B744+30</f>
        <v/>
      </c>
      <c r="N744">
        <f>IF(L744="", "", L744-B744)</f>
        <v/>
      </c>
      <c r="O744">
        <f>IF(L744="", "Pending", IF(N744&lt;=30, "Met", "Breached"))</f>
        <v/>
      </c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9">
        <f>B745+30</f>
        <v/>
      </c>
      <c r="N745">
        <f>IF(L745="", "", L745-B745)</f>
        <v/>
      </c>
      <c r="O745">
        <f>IF(L745="", "Pending", IF(N745&lt;=30, "Met", "Breached"))</f>
        <v/>
      </c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9">
        <f>B746+30</f>
        <v/>
      </c>
      <c r="N746">
        <f>IF(L746="", "", L746-B746)</f>
        <v/>
      </c>
      <c r="O746">
        <f>IF(L746="", "Pending", IF(N746&lt;=30, "Met", "Breached"))</f>
        <v/>
      </c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9">
        <f>B747+30</f>
        <v/>
      </c>
      <c r="N747">
        <f>IF(L747="", "", L747-B747)</f>
        <v/>
      </c>
      <c r="O747">
        <f>IF(L747="", "Pending", IF(N747&lt;=30, "Met", "Breached"))</f>
        <v/>
      </c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9">
        <f>B748+30</f>
        <v/>
      </c>
      <c r="N748">
        <f>IF(L748="", "", L748-B748)</f>
        <v/>
      </c>
      <c r="O748">
        <f>IF(L748="", "Pending", IF(N748&lt;=30, "Met", "Breached"))</f>
        <v/>
      </c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9">
        <f>B749+30</f>
        <v/>
      </c>
      <c r="N749">
        <f>IF(L749="", "", L749-B749)</f>
        <v/>
      </c>
      <c r="O749">
        <f>IF(L749="", "Pending", IF(N749&lt;=30, "Met", "Breached"))</f>
        <v/>
      </c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9">
        <f>B750+30</f>
        <v/>
      </c>
      <c r="N750">
        <f>IF(L750="", "", L750-B750)</f>
        <v/>
      </c>
      <c r="O750">
        <f>IF(L750="", "Pending", IF(N750&lt;=30, "Met", "Breached"))</f>
        <v/>
      </c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9">
        <f>B751+30</f>
        <v/>
      </c>
      <c r="N751">
        <f>IF(L751="", "", L751-B751)</f>
        <v/>
      </c>
      <c r="O751">
        <f>IF(L751="", "Pending", IF(N751&lt;=30, "Met", "Breached"))</f>
        <v/>
      </c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9">
        <f>B752+30</f>
        <v/>
      </c>
      <c r="N752">
        <f>IF(L752="", "", L752-B752)</f>
        <v/>
      </c>
      <c r="O752">
        <f>IF(L752="", "Pending", IF(N752&lt;=30, "Met", "Breached"))</f>
        <v/>
      </c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9">
        <f>B753+30</f>
        <v/>
      </c>
      <c r="N753">
        <f>IF(L753="", "", L753-B753)</f>
        <v/>
      </c>
      <c r="O753">
        <f>IF(L753="", "Pending", IF(N753&lt;=30, "Met", "Breached"))</f>
        <v/>
      </c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9">
        <f>B754+30</f>
        <v/>
      </c>
      <c r="N754">
        <f>IF(L754="", "", L754-B754)</f>
        <v/>
      </c>
      <c r="O754">
        <f>IF(L754="", "Pending", IF(N754&lt;=30, "Met", "Breached"))</f>
        <v/>
      </c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9">
        <f>B755+30</f>
        <v/>
      </c>
      <c r="N755">
        <f>IF(L755="", "", L755-B755)</f>
        <v/>
      </c>
      <c r="O755">
        <f>IF(L755="", "Pending", IF(N755&lt;=30, "Met", "Breached"))</f>
        <v/>
      </c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9">
        <f>B756+30</f>
        <v/>
      </c>
      <c r="N756">
        <f>IF(L756="", "", L756-B756)</f>
        <v/>
      </c>
      <c r="O756">
        <f>IF(L756="", "Pending", IF(N756&lt;=30, "Met", "Breached"))</f>
        <v/>
      </c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9">
        <f>B757+30</f>
        <v/>
      </c>
      <c r="N757">
        <f>IF(L757="", "", L757-B757)</f>
        <v/>
      </c>
      <c r="O757">
        <f>IF(L757="", "Pending", IF(N757&lt;=30, "Met", "Breached"))</f>
        <v/>
      </c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9">
        <f>B758+30</f>
        <v/>
      </c>
      <c r="N758">
        <f>IF(L758="", "", L758-B758)</f>
        <v/>
      </c>
      <c r="O758">
        <f>IF(L758="", "Pending", IF(N758&lt;=30, "Met", "Breached"))</f>
        <v/>
      </c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9">
        <f>B759+30</f>
        <v/>
      </c>
      <c r="N759">
        <f>IF(L759="", "", L759-B759)</f>
        <v/>
      </c>
      <c r="O759">
        <f>IF(L759="", "Pending", IF(N759&lt;=30, "Met", "Breached"))</f>
        <v/>
      </c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9">
        <f>B760+30</f>
        <v/>
      </c>
      <c r="N760">
        <f>IF(L760="", "", L760-B760)</f>
        <v/>
      </c>
      <c r="O760">
        <f>IF(L760="", "Pending", IF(N760&lt;=30, "Met", "Breached"))</f>
        <v/>
      </c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9">
        <f>B761+30</f>
        <v/>
      </c>
      <c r="N761">
        <f>IF(L761="", "", L761-B761)</f>
        <v/>
      </c>
      <c r="O761">
        <f>IF(L761="", "Pending", IF(N761&lt;=30, "Met", "Breached"))</f>
        <v/>
      </c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9">
        <f>B762+30</f>
        <v/>
      </c>
      <c r="N762">
        <f>IF(L762="", "", L762-B762)</f>
        <v/>
      </c>
      <c r="O762">
        <f>IF(L762="", "Pending", IF(N762&lt;=30, "Met", "Breached"))</f>
        <v/>
      </c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9">
        <f>B763+30</f>
        <v/>
      </c>
      <c r="N763">
        <f>IF(L763="", "", L763-B763)</f>
        <v/>
      </c>
      <c r="O763">
        <f>IF(L763="", "Pending", IF(N763&lt;=30, "Met", "Breached"))</f>
        <v/>
      </c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9">
        <f>B764+30</f>
        <v/>
      </c>
      <c r="N764">
        <f>IF(L764="", "", L764-B764)</f>
        <v/>
      </c>
      <c r="O764">
        <f>IF(L764="", "Pending", IF(N764&lt;=30, "Met", "Breached"))</f>
        <v/>
      </c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9">
        <f>B765+30</f>
        <v/>
      </c>
      <c r="N765">
        <f>IF(L765="", "", L765-B765)</f>
        <v/>
      </c>
      <c r="O765">
        <f>IF(L765="", "Pending", IF(N765&lt;=30, "Met", "Breached"))</f>
        <v/>
      </c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9">
        <f>B766+30</f>
        <v/>
      </c>
      <c r="N766">
        <f>IF(L766="", "", L766-B766)</f>
        <v/>
      </c>
      <c r="O766">
        <f>IF(L766="", "Pending", IF(N766&lt;=30, "Met", "Breached"))</f>
        <v/>
      </c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9">
        <f>B767+30</f>
        <v/>
      </c>
      <c r="N767">
        <f>IF(L767="", "", L767-B767)</f>
        <v/>
      </c>
      <c r="O767">
        <f>IF(L767="", "Pending", IF(N767&lt;=30, "Met", "Breached"))</f>
        <v/>
      </c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9">
        <f>B768+30</f>
        <v/>
      </c>
      <c r="N768">
        <f>IF(L768="", "", L768-B768)</f>
        <v/>
      </c>
      <c r="O768">
        <f>IF(L768="", "Pending", IF(N768&lt;=30, "Met", "Breached"))</f>
        <v/>
      </c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9">
        <f>B769+30</f>
        <v/>
      </c>
      <c r="N769">
        <f>IF(L769="", "", L769-B769)</f>
        <v/>
      </c>
      <c r="O769">
        <f>IF(L769="", "Pending", IF(N769&lt;=30, "Met", "Breached"))</f>
        <v/>
      </c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9">
        <f>B770+30</f>
        <v/>
      </c>
      <c r="N770">
        <f>IF(L770="", "", L770-B770)</f>
        <v/>
      </c>
      <c r="O770">
        <f>IF(L770="", "Pending", IF(N770&lt;=30, "Met", "Breached"))</f>
        <v/>
      </c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9">
        <f>B771+30</f>
        <v/>
      </c>
      <c r="N771">
        <f>IF(L771="", "", L771-B771)</f>
        <v/>
      </c>
      <c r="O771">
        <f>IF(L771="", "Pending", IF(N771&lt;=30, "Met", "Breached"))</f>
        <v/>
      </c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9">
        <f>B772+30</f>
        <v/>
      </c>
      <c r="N772">
        <f>IF(L772="", "", L772-B772)</f>
        <v/>
      </c>
      <c r="O772">
        <f>IF(L772="", "Pending", IF(N772&lt;=30, "Met", "Breached"))</f>
        <v/>
      </c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9">
        <f>B773+30</f>
        <v/>
      </c>
      <c r="N773">
        <f>IF(L773="", "", L773-B773)</f>
        <v/>
      </c>
      <c r="O773">
        <f>IF(L773="", "Pending", IF(N773&lt;=30, "Met", "Breached"))</f>
        <v/>
      </c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9">
        <f>B774+30</f>
        <v/>
      </c>
      <c r="N774">
        <f>IF(L774="", "", L774-B774)</f>
        <v/>
      </c>
      <c r="O774">
        <f>IF(L774="", "Pending", IF(N774&lt;=30, "Met", "Breached"))</f>
        <v/>
      </c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9">
        <f>B775+30</f>
        <v/>
      </c>
      <c r="N775">
        <f>IF(L775="", "", L775-B775)</f>
        <v/>
      </c>
      <c r="O775">
        <f>IF(L775="", "Pending", IF(N775&lt;=30, "Met", "Breached"))</f>
        <v/>
      </c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9">
        <f>B776+30</f>
        <v/>
      </c>
      <c r="N776">
        <f>IF(L776="", "", L776-B776)</f>
        <v/>
      </c>
      <c r="O776">
        <f>IF(L776="", "Pending", IF(N776&lt;=30, "Met", "Breached"))</f>
        <v/>
      </c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9">
        <f>B777+30</f>
        <v/>
      </c>
      <c r="N777">
        <f>IF(L777="", "", L777-B777)</f>
        <v/>
      </c>
      <c r="O777">
        <f>IF(L777="", "Pending", IF(N777&lt;=30, "Met", "Breached"))</f>
        <v/>
      </c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9">
        <f>B778+30</f>
        <v/>
      </c>
      <c r="N778">
        <f>IF(L778="", "", L778-B778)</f>
        <v/>
      </c>
      <c r="O778">
        <f>IF(L778="", "Pending", IF(N778&lt;=30, "Met", "Breached"))</f>
        <v/>
      </c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9">
        <f>B779+30</f>
        <v/>
      </c>
      <c r="N779">
        <f>IF(L779="", "", L779-B779)</f>
        <v/>
      </c>
      <c r="O779">
        <f>IF(L779="", "Pending", IF(N779&lt;=30, "Met", "Breached"))</f>
        <v/>
      </c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9">
        <f>B780+30</f>
        <v/>
      </c>
      <c r="N780">
        <f>IF(L780="", "", L780-B780)</f>
        <v/>
      </c>
      <c r="O780">
        <f>IF(L780="", "Pending", IF(N780&lt;=30, "Met", "Breached"))</f>
        <v/>
      </c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9">
        <f>B781+30</f>
        <v/>
      </c>
      <c r="N781">
        <f>IF(L781="", "", L781-B781)</f>
        <v/>
      </c>
      <c r="O781">
        <f>IF(L781="", "Pending", IF(N781&lt;=30, "Met", "Breached"))</f>
        <v/>
      </c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9">
        <f>B782+30</f>
        <v/>
      </c>
      <c r="N782">
        <f>IF(L782="", "", L782-B782)</f>
        <v/>
      </c>
      <c r="O782">
        <f>IF(L782="", "Pending", IF(N782&lt;=30, "Met", "Breached"))</f>
        <v/>
      </c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9">
        <f>B783+30</f>
        <v/>
      </c>
      <c r="N783">
        <f>IF(L783="", "", L783-B783)</f>
        <v/>
      </c>
      <c r="O783">
        <f>IF(L783="", "Pending", IF(N783&lt;=30, "Met", "Breached"))</f>
        <v/>
      </c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9">
        <f>B784+30</f>
        <v/>
      </c>
      <c r="N784">
        <f>IF(L784="", "", L784-B784)</f>
        <v/>
      </c>
      <c r="O784">
        <f>IF(L784="", "Pending", IF(N784&lt;=30, "Met", "Breached"))</f>
        <v/>
      </c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9">
        <f>B785+30</f>
        <v/>
      </c>
      <c r="N785">
        <f>IF(L785="", "", L785-B785)</f>
        <v/>
      </c>
      <c r="O785">
        <f>IF(L785="", "Pending", IF(N785&lt;=30, "Met", "Breached"))</f>
        <v/>
      </c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9">
        <f>B786+30</f>
        <v/>
      </c>
      <c r="N786">
        <f>IF(L786="", "", L786-B786)</f>
        <v/>
      </c>
      <c r="O786">
        <f>IF(L786="", "Pending", IF(N786&lt;=30, "Met", "Breached"))</f>
        <v/>
      </c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9">
        <f>B787+30</f>
        <v/>
      </c>
      <c r="N787">
        <f>IF(L787="", "", L787-B787)</f>
        <v/>
      </c>
      <c r="O787">
        <f>IF(L787="", "Pending", IF(N787&lt;=30, "Met", "Breached"))</f>
        <v/>
      </c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9">
        <f>B788+30</f>
        <v/>
      </c>
      <c r="N788">
        <f>IF(L788="", "", L788-B788)</f>
        <v/>
      </c>
      <c r="O788">
        <f>IF(L788="", "Pending", IF(N788&lt;=30, "Met", "Breached"))</f>
        <v/>
      </c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9">
        <f>B789+30</f>
        <v/>
      </c>
      <c r="N789">
        <f>IF(L789="", "", L789-B789)</f>
        <v/>
      </c>
      <c r="O789">
        <f>IF(L789="", "Pending", IF(N789&lt;=30, "Met", "Breached"))</f>
        <v/>
      </c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9">
        <f>B790+30</f>
        <v/>
      </c>
      <c r="N790">
        <f>IF(L790="", "", L790-B790)</f>
        <v/>
      </c>
      <c r="O790">
        <f>IF(L790="", "Pending", IF(N790&lt;=30, "Met", "Breached"))</f>
        <v/>
      </c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9">
        <f>B791+30</f>
        <v/>
      </c>
      <c r="N791">
        <f>IF(L791="", "", L791-B791)</f>
        <v/>
      </c>
      <c r="O791">
        <f>IF(L791="", "Pending", IF(N791&lt;=30, "Met", "Breached"))</f>
        <v/>
      </c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9">
        <f>B792+30</f>
        <v/>
      </c>
      <c r="N792">
        <f>IF(L792="", "", L792-B792)</f>
        <v/>
      </c>
      <c r="O792">
        <f>IF(L792="", "Pending", IF(N792&lt;=30, "Met", "Breached"))</f>
        <v/>
      </c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9">
        <f>B793+30</f>
        <v/>
      </c>
      <c r="N793">
        <f>IF(L793="", "", L793-B793)</f>
        <v/>
      </c>
      <c r="O793">
        <f>IF(L793="", "Pending", IF(N793&lt;=30, "Met", "Breached"))</f>
        <v/>
      </c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9">
        <f>B794+30</f>
        <v/>
      </c>
      <c r="N794">
        <f>IF(L794="", "", L794-B794)</f>
        <v/>
      </c>
      <c r="O794">
        <f>IF(L794="", "Pending", IF(N794&lt;=30, "Met", "Breached"))</f>
        <v/>
      </c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9">
        <f>B795+30</f>
        <v/>
      </c>
      <c r="N795">
        <f>IF(L795="", "", L795-B795)</f>
        <v/>
      </c>
      <c r="O795">
        <f>IF(L795="", "Pending", IF(N795&lt;=30, "Met", "Breached"))</f>
        <v/>
      </c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9">
        <f>B796+30</f>
        <v/>
      </c>
      <c r="N796">
        <f>IF(L796="", "", L796-B796)</f>
        <v/>
      </c>
      <c r="O796">
        <f>IF(L796="", "Pending", IF(N796&lt;=30, "Met", "Breached"))</f>
        <v/>
      </c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9">
        <f>B797+30</f>
        <v/>
      </c>
      <c r="N797">
        <f>IF(L797="", "", L797-B797)</f>
        <v/>
      </c>
      <c r="O797">
        <f>IF(L797="", "Pending", IF(N797&lt;=30, "Met", "Breached"))</f>
        <v/>
      </c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9">
        <f>B798+30</f>
        <v/>
      </c>
      <c r="N798">
        <f>IF(L798="", "", L798-B798)</f>
        <v/>
      </c>
      <c r="O798">
        <f>IF(L798="", "Pending", IF(N798&lt;=30, "Met", "Breached"))</f>
        <v/>
      </c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9">
        <f>B799+30</f>
        <v/>
      </c>
      <c r="N799">
        <f>IF(L799="", "", L799-B799)</f>
        <v/>
      </c>
      <c r="O799">
        <f>IF(L799="", "Pending", IF(N799&lt;=30, "Met", "Breached"))</f>
        <v/>
      </c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9">
        <f>B800+30</f>
        <v/>
      </c>
      <c r="N800">
        <f>IF(L800="", "", L800-B800)</f>
        <v/>
      </c>
      <c r="O800">
        <f>IF(L800="", "Pending", IF(N800&lt;=30, "Met", "Breached"))</f>
        <v/>
      </c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9">
        <f>B801+30</f>
        <v/>
      </c>
      <c r="N801">
        <f>IF(L801="", "", L801-B801)</f>
        <v/>
      </c>
      <c r="O801">
        <f>IF(L801="", "Pending", IF(N801&lt;=30, "Met", "Breached"))</f>
        <v/>
      </c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9">
        <f>B802+30</f>
        <v/>
      </c>
      <c r="N802">
        <f>IF(L802="", "", L802-B802)</f>
        <v/>
      </c>
      <c r="O802">
        <f>IF(L802="", "Pending", IF(N802&lt;=30, "Met", "Breached"))</f>
        <v/>
      </c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9">
        <f>B803+30</f>
        <v/>
      </c>
      <c r="N803">
        <f>IF(L803="", "", L803-B803)</f>
        <v/>
      </c>
      <c r="O803">
        <f>IF(L803="", "Pending", IF(N803&lt;=30, "Met", "Breached"))</f>
        <v/>
      </c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9">
        <f>B804+30</f>
        <v/>
      </c>
      <c r="N804">
        <f>IF(L804="", "", L804-B804)</f>
        <v/>
      </c>
      <c r="O804">
        <f>IF(L804="", "Pending", IF(N804&lt;=30, "Met", "Breached"))</f>
        <v/>
      </c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9">
        <f>B805+30</f>
        <v/>
      </c>
      <c r="N805">
        <f>IF(L805="", "", L805-B805)</f>
        <v/>
      </c>
      <c r="O805">
        <f>IF(L805="", "Pending", IF(N805&lt;=30, "Met", "Breached"))</f>
        <v/>
      </c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9">
        <f>B806+30</f>
        <v/>
      </c>
      <c r="N806">
        <f>IF(L806="", "", L806-B806)</f>
        <v/>
      </c>
      <c r="O806">
        <f>IF(L806="", "Pending", IF(N806&lt;=30, "Met", "Breached"))</f>
        <v/>
      </c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9">
        <f>B807+30</f>
        <v/>
      </c>
      <c r="N807">
        <f>IF(L807="", "", L807-B807)</f>
        <v/>
      </c>
      <c r="O807">
        <f>IF(L807="", "Pending", IF(N807&lt;=30, "Met", "Breached"))</f>
        <v/>
      </c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9">
        <f>B808+30</f>
        <v/>
      </c>
      <c r="N808">
        <f>IF(L808="", "", L808-B808)</f>
        <v/>
      </c>
      <c r="O808">
        <f>IF(L808="", "Pending", IF(N808&lt;=30, "Met", "Breached"))</f>
        <v/>
      </c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9">
        <f>B809+30</f>
        <v/>
      </c>
      <c r="N809">
        <f>IF(L809="", "", L809-B809)</f>
        <v/>
      </c>
      <c r="O809">
        <f>IF(L809="", "Pending", IF(N809&lt;=30, "Met", "Breached"))</f>
        <v/>
      </c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9">
        <f>B810+30</f>
        <v/>
      </c>
      <c r="N810">
        <f>IF(L810="", "", L810-B810)</f>
        <v/>
      </c>
      <c r="O810">
        <f>IF(L810="", "Pending", IF(N810&lt;=30, "Met", "Breached"))</f>
        <v/>
      </c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9">
        <f>B811+30</f>
        <v/>
      </c>
      <c r="N811">
        <f>IF(L811="", "", L811-B811)</f>
        <v/>
      </c>
      <c r="O811">
        <f>IF(L811="", "Pending", IF(N811&lt;=30, "Met", "Breached"))</f>
        <v/>
      </c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9">
        <f>B812+30</f>
        <v/>
      </c>
      <c r="N812">
        <f>IF(L812="", "", L812-B812)</f>
        <v/>
      </c>
      <c r="O812">
        <f>IF(L812="", "Pending", IF(N812&lt;=30, "Met", "Breached"))</f>
        <v/>
      </c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9">
        <f>B813+30</f>
        <v/>
      </c>
      <c r="N813">
        <f>IF(L813="", "", L813-B813)</f>
        <v/>
      </c>
      <c r="O813">
        <f>IF(L813="", "Pending", IF(N813&lt;=30, "Met", "Breached"))</f>
        <v/>
      </c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9">
        <f>B814+30</f>
        <v/>
      </c>
      <c r="N814">
        <f>IF(L814="", "", L814-B814)</f>
        <v/>
      </c>
      <c r="O814">
        <f>IF(L814="", "Pending", IF(N814&lt;=30, "Met", "Breached"))</f>
        <v/>
      </c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9">
        <f>B815+30</f>
        <v/>
      </c>
      <c r="N815">
        <f>IF(L815="", "", L815-B815)</f>
        <v/>
      </c>
      <c r="O815">
        <f>IF(L815="", "Pending", IF(N815&lt;=30, "Met", "Breached"))</f>
        <v/>
      </c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9">
        <f>B816+30</f>
        <v/>
      </c>
      <c r="N816">
        <f>IF(L816="", "", L816-B816)</f>
        <v/>
      </c>
      <c r="O816">
        <f>IF(L816="", "Pending", IF(N816&lt;=30, "Met", "Breached"))</f>
        <v/>
      </c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9">
        <f>B817+30</f>
        <v/>
      </c>
      <c r="N817">
        <f>IF(L817="", "", L817-B817)</f>
        <v/>
      </c>
      <c r="O817">
        <f>IF(L817="", "Pending", IF(N817&lt;=30, "Met", "Breached"))</f>
        <v/>
      </c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9">
        <f>B818+30</f>
        <v/>
      </c>
      <c r="N818">
        <f>IF(L818="", "", L818-B818)</f>
        <v/>
      </c>
      <c r="O818">
        <f>IF(L818="", "Pending", IF(N818&lt;=30, "Met", "Breached"))</f>
        <v/>
      </c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9">
        <f>B819+30</f>
        <v/>
      </c>
      <c r="N819">
        <f>IF(L819="", "", L819-B819)</f>
        <v/>
      </c>
      <c r="O819">
        <f>IF(L819="", "Pending", IF(N819&lt;=30, "Met", "Breached"))</f>
        <v/>
      </c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9">
        <f>B820+30</f>
        <v/>
      </c>
      <c r="N820">
        <f>IF(L820="", "", L820-B820)</f>
        <v/>
      </c>
      <c r="O820">
        <f>IF(L820="", "Pending", IF(N820&lt;=30, "Met", "Breached"))</f>
        <v/>
      </c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9">
        <f>B821+30</f>
        <v/>
      </c>
      <c r="N821">
        <f>IF(L821="", "", L821-B821)</f>
        <v/>
      </c>
      <c r="O821">
        <f>IF(L821="", "Pending", IF(N821&lt;=30, "Met", "Breached"))</f>
        <v/>
      </c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9">
        <f>B822+30</f>
        <v/>
      </c>
      <c r="N822">
        <f>IF(L822="", "", L822-B822)</f>
        <v/>
      </c>
      <c r="O822">
        <f>IF(L822="", "Pending", IF(N822&lt;=30, "Met", "Breached"))</f>
        <v/>
      </c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9">
        <f>B823+30</f>
        <v/>
      </c>
      <c r="N823">
        <f>IF(L823="", "", L823-B823)</f>
        <v/>
      </c>
      <c r="O823">
        <f>IF(L823="", "Pending", IF(N823&lt;=30, "Met", "Breached"))</f>
        <v/>
      </c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9">
        <f>B824+30</f>
        <v/>
      </c>
      <c r="N824">
        <f>IF(L824="", "", L824-B824)</f>
        <v/>
      </c>
      <c r="O824">
        <f>IF(L824="", "Pending", IF(N824&lt;=30, "Met", "Breached"))</f>
        <v/>
      </c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9">
        <f>B825+30</f>
        <v/>
      </c>
      <c r="N825">
        <f>IF(L825="", "", L825-B825)</f>
        <v/>
      </c>
      <c r="O825">
        <f>IF(L825="", "Pending", IF(N825&lt;=30, "Met", "Breached"))</f>
        <v/>
      </c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9">
        <f>B826+30</f>
        <v/>
      </c>
      <c r="N826">
        <f>IF(L826="", "", L826-B826)</f>
        <v/>
      </c>
      <c r="O826">
        <f>IF(L826="", "Pending", IF(N826&lt;=30, "Met", "Breached"))</f>
        <v/>
      </c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9">
        <f>B827+30</f>
        <v/>
      </c>
      <c r="N827">
        <f>IF(L827="", "", L827-B827)</f>
        <v/>
      </c>
      <c r="O827">
        <f>IF(L827="", "Pending", IF(N827&lt;=30, "Met", "Breached"))</f>
        <v/>
      </c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9">
        <f>B828+30</f>
        <v/>
      </c>
      <c r="N828">
        <f>IF(L828="", "", L828-B828)</f>
        <v/>
      </c>
      <c r="O828">
        <f>IF(L828="", "Pending", IF(N828&lt;=30, "Met", "Breached"))</f>
        <v/>
      </c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9">
        <f>B829+30</f>
        <v/>
      </c>
      <c r="N829">
        <f>IF(L829="", "", L829-B829)</f>
        <v/>
      </c>
      <c r="O829">
        <f>IF(L829="", "Pending", IF(N829&lt;=30, "Met", "Breached"))</f>
        <v/>
      </c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9">
        <f>B830+30</f>
        <v/>
      </c>
      <c r="N830">
        <f>IF(L830="", "", L830-B830)</f>
        <v/>
      </c>
      <c r="O830">
        <f>IF(L830="", "Pending", IF(N830&lt;=30, "Met", "Breached"))</f>
        <v/>
      </c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9">
        <f>B831+30</f>
        <v/>
      </c>
      <c r="N831">
        <f>IF(L831="", "", L831-B831)</f>
        <v/>
      </c>
      <c r="O831">
        <f>IF(L831="", "Pending", IF(N831&lt;=30, "Met", "Breached"))</f>
        <v/>
      </c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9">
        <f>B832+30</f>
        <v/>
      </c>
      <c r="N832">
        <f>IF(L832="", "", L832-B832)</f>
        <v/>
      </c>
      <c r="O832">
        <f>IF(L832="", "Pending", IF(N832&lt;=30, "Met", "Breached"))</f>
        <v/>
      </c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9">
        <f>B833+30</f>
        <v/>
      </c>
      <c r="N833">
        <f>IF(L833="", "", L833-B833)</f>
        <v/>
      </c>
      <c r="O833">
        <f>IF(L833="", "Pending", IF(N833&lt;=30, "Met", "Breached"))</f>
        <v/>
      </c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9">
        <f>B834+30</f>
        <v/>
      </c>
      <c r="N834">
        <f>IF(L834="", "", L834-B834)</f>
        <v/>
      </c>
      <c r="O834">
        <f>IF(L834="", "Pending", IF(N834&lt;=30, "Met", "Breached"))</f>
        <v/>
      </c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9">
        <f>B835+30</f>
        <v/>
      </c>
      <c r="N835">
        <f>IF(L835="", "", L835-B835)</f>
        <v/>
      </c>
      <c r="O835">
        <f>IF(L835="", "Pending", IF(N835&lt;=30, "Met", "Breached"))</f>
        <v/>
      </c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9">
        <f>B836+30</f>
        <v/>
      </c>
      <c r="N836">
        <f>IF(L836="", "", L836-B836)</f>
        <v/>
      </c>
      <c r="O836">
        <f>IF(L836="", "Pending", IF(N836&lt;=30, "Met", "Breached"))</f>
        <v/>
      </c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9">
        <f>B837+30</f>
        <v/>
      </c>
      <c r="N837">
        <f>IF(L837="", "", L837-B837)</f>
        <v/>
      </c>
      <c r="O837">
        <f>IF(L837="", "Pending", IF(N837&lt;=30, "Met", "Breached"))</f>
        <v/>
      </c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9">
        <f>B838+30</f>
        <v/>
      </c>
      <c r="N838">
        <f>IF(L838="", "", L838-B838)</f>
        <v/>
      </c>
      <c r="O838">
        <f>IF(L838="", "Pending", IF(N838&lt;=30, "Met", "Breached"))</f>
        <v/>
      </c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9">
        <f>B839+30</f>
        <v/>
      </c>
      <c r="N839">
        <f>IF(L839="", "", L839-B839)</f>
        <v/>
      </c>
      <c r="O839">
        <f>IF(L839="", "Pending", IF(N839&lt;=30, "Met", "Breached"))</f>
        <v/>
      </c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9">
        <f>B840+30</f>
        <v/>
      </c>
      <c r="N840">
        <f>IF(L840="", "", L840-B840)</f>
        <v/>
      </c>
      <c r="O840">
        <f>IF(L840="", "Pending", IF(N840&lt;=30, "Met", "Breached"))</f>
        <v/>
      </c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9">
        <f>B841+30</f>
        <v/>
      </c>
      <c r="N841">
        <f>IF(L841="", "", L841-B841)</f>
        <v/>
      </c>
      <c r="O841">
        <f>IF(L841="", "Pending", IF(N841&lt;=30, "Met", "Breached"))</f>
        <v/>
      </c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9">
        <f>B842+30</f>
        <v/>
      </c>
      <c r="N842">
        <f>IF(L842="", "", L842-B842)</f>
        <v/>
      </c>
      <c r="O842">
        <f>IF(L842="", "Pending", IF(N842&lt;=30, "Met", "Breached"))</f>
        <v/>
      </c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9">
        <f>B843+30</f>
        <v/>
      </c>
      <c r="N843">
        <f>IF(L843="", "", L843-B843)</f>
        <v/>
      </c>
      <c r="O843">
        <f>IF(L843="", "Pending", IF(N843&lt;=30, "Met", "Breached"))</f>
        <v/>
      </c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9">
        <f>B844+30</f>
        <v/>
      </c>
      <c r="N844">
        <f>IF(L844="", "", L844-B844)</f>
        <v/>
      </c>
      <c r="O844">
        <f>IF(L844="", "Pending", IF(N844&lt;=30, "Met", "Breached"))</f>
        <v/>
      </c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9">
        <f>B845+30</f>
        <v/>
      </c>
      <c r="N845">
        <f>IF(L845="", "", L845-B845)</f>
        <v/>
      </c>
      <c r="O845">
        <f>IF(L845="", "Pending", IF(N845&lt;=30, "Met", "Breached"))</f>
        <v/>
      </c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9">
        <f>B846+30</f>
        <v/>
      </c>
      <c r="N846">
        <f>IF(L846="", "", L846-B846)</f>
        <v/>
      </c>
      <c r="O846">
        <f>IF(L846="", "Pending", IF(N846&lt;=30, "Met", "Breached"))</f>
        <v/>
      </c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9">
        <f>B847+30</f>
        <v/>
      </c>
      <c r="N847">
        <f>IF(L847="", "", L847-B847)</f>
        <v/>
      </c>
      <c r="O847">
        <f>IF(L847="", "Pending", IF(N847&lt;=30, "Met", "Breached"))</f>
        <v/>
      </c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9">
        <f>B848+30</f>
        <v/>
      </c>
      <c r="N848">
        <f>IF(L848="", "", L848-B848)</f>
        <v/>
      </c>
      <c r="O848">
        <f>IF(L848="", "Pending", IF(N848&lt;=30, "Met", "Breached"))</f>
        <v/>
      </c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9">
        <f>B849+30</f>
        <v/>
      </c>
      <c r="N849">
        <f>IF(L849="", "", L849-B849)</f>
        <v/>
      </c>
      <c r="O849">
        <f>IF(L849="", "Pending", IF(N849&lt;=30, "Met", "Breached"))</f>
        <v/>
      </c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9">
        <f>B850+30</f>
        <v/>
      </c>
      <c r="N850">
        <f>IF(L850="", "", L850-B850)</f>
        <v/>
      </c>
      <c r="O850">
        <f>IF(L850="", "Pending", IF(N850&lt;=30, "Met", "Breached"))</f>
        <v/>
      </c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9">
        <f>B851+30</f>
        <v/>
      </c>
      <c r="N851">
        <f>IF(L851="", "", L851-B851)</f>
        <v/>
      </c>
      <c r="O851">
        <f>IF(L851="", "Pending", IF(N851&lt;=30, "Met", "Breached"))</f>
        <v/>
      </c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9">
        <f>B852+30</f>
        <v/>
      </c>
      <c r="N852">
        <f>IF(L852="", "", L852-B852)</f>
        <v/>
      </c>
      <c r="O852">
        <f>IF(L852="", "Pending", IF(N852&lt;=30, "Met", "Breached"))</f>
        <v/>
      </c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9">
        <f>B853+30</f>
        <v/>
      </c>
      <c r="N853">
        <f>IF(L853="", "", L853-B853)</f>
        <v/>
      </c>
      <c r="O853">
        <f>IF(L853="", "Pending", IF(N853&lt;=30, "Met", "Breached"))</f>
        <v/>
      </c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9">
        <f>B854+30</f>
        <v/>
      </c>
      <c r="N854">
        <f>IF(L854="", "", L854-B854)</f>
        <v/>
      </c>
      <c r="O854">
        <f>IF(L854="", "Pending", IF(N854&lt;=30, "Met", "Breached"))</f>
        <v/>
      </c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9">
        <f>B855+30</f>
        <v/>
      </c>
      <c r="N855">
        <f>IF(L855="", "", L855-B855)</f>
        <v/>
      </c>
      <c r="O855">
        <f>IF(L855="", "Pending", IF(N855&lt;=30, "Met", "Breached"))</f>
        <v/>
      </c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9">
        <f>B856+30</f>
        <v/>
      </c>
      <c r="N856">
        <f>IF(L856="", "", L856-B856)</f>
        <v/>
      </c>
      <c r="O856">
        <f>IF(L856="", "Pending", IF(N856&lt;=30, "Met", "Breached"))</f>
        <v/>
      </c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9">
        <f>B857+30</f>
        <v/>
      </c>
      <c r="N857">
        <f>IF(L857="", "", L857-B857)</f>
        <v/>
      </c>
      <c r="O857">
        <f>IF(L857="", "Pending", IF(N857&lt;=30, "Met", "Breached"))</f>
        <v/>
      </c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9">
        <f>B858+30</f>
        <v/>
      </c>
      <c r="N858">
        <f>IF(L858="", "", L858-B858)</f>
        <v/>
      </c>
      <c r="O858">
        <f>IF(L858="", "Pending", IF(N858&lt;=30, "Met", "Breached"))</f>
        <v/>
      </c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9">
        <f>B859+30</f>
        <v/>
      </c>
      <c r="N859">
        <f>IF(L859="", "", L859-B859)</f>
        <v/>
      </c>
      <c r="O859">
        <f>IF(L859="", "Pending", IF(N859&lt;=30, "Met", "Breached"))</f>
        <v/>
      </c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9">
        <f>B860+30</f>
        <v/>
      </c>
      <c r="N860">
        <f>IF(L860="", "", L860-B860)</f>
        <v/>
      </c>
      <c r="O860">
        <f>IF(L860="", "Pending", IF(N860&lt;=30, "Met", "Breached"))</f>
        <v/>
      </c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9">
        <f>B861+30</f>
        <v/>
      </c>
      <c r="N861">
        <f>IF(L861="", "", L861-B861)</f>
        <v/>
      </c>
      <c r="O861">
        <f>IF(L861="", "Pending", IF(N861&lt;=30, "Met", "Breached"))</f>
        <v/>
      </c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9">
        <f>B862+30</f>
        <v/>
      </c>
      <c r="N862">
        <f>IF(L862="", "", L862-B862)</f>
        <v/>
      </c>
      <c r="O862">
        <f>IF(L862="", "Pending", IF(N862&lt;=30, "Met", "Breached"))</f>
        <v/>
      </c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9">
        <f>B863+30</f>
        <v/>
      </c>
      <c r="N863">
        <f>IF(L863="", "", L863-B863)</f>
        <v/>
      </c>
      <c r="O863">
        <f>IF(L863="", "Pending", IF(N863&lt;=30, "Met", "Breached"))</f>
        <v/>
      </c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9">
        <f>B864+30</f>
        <v/>
      </c>
      <c r="N864">
        <f>IF(L864="", "", L864-B864)</f>
        <v/>
      </c>
      <c r="O864">
        <f>IF(L864="", "Pending", IF(N864&lt;=30, "Met", "Breached"))</f>
        <v/>
      </c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9">
        <f>B865+30</f>
        <v/>
      </c>
      <c r="N865">
        <f>IF(L865="", "", L865-B865)</f>
        <v/>
      </c>
      <c r="O865">
        <f>IF(L865="", "Pending", IF(N865&lt;=30, "Met", "Breached"))</f>
        <v/>
      </c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9">
        <f>B866+30</f>
        <v/>
      </c>
      <c r="N866">
        <f>IF(L866="", "", L866-B866)</f>
        <v/>
      </c>
      <c r="O866">
        <f>IF(L866="", "Pending", IF(N866&lt;=30, "Met", "Breached"))</f>
        <v/>
      </c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9">
        <f>B867+30</f>
        <v/>
      </c>
      <c r="N867">
        <f>IF(L867="", "", L867-B867)</f>
        <v/>
      </c>
      <c r="O867">
        <f>IF(L867="", "Pending", IF(N867&lt;=30, "Met", "Breached"))</f>
        <v/>
      </c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9">
        <f>B868+30</f>
        <v/>
      </c>
      <c r="N868">
        <f>IF(L868="", "", L868-B868)</f>
        <v/>
      </c>
      <c r="O868">
        <f>IF(L868="", "Pending", IF(N868&lt;=30, "Met", "Breached"))</f>
        <v/>
      </c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9">
        <f>B869+30</f>
        <v/>
      </c>
      <c r="N869">
        <f>IF(L869="", "", L869-B869)</f>
        <v/>
      </c>
      <c r="O869">
        <f>IF(L869="", "Pending", IF(N869&lt;=30, "Met", "Breached"))</f>
        <v/>
      </c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9">
        <f>B870+30</f>
        <v/>
      </c>
      <c r="N870">
        <f>IF(L870="", "", L870-B870)</f>
        <v/>
      </c>
      <c r="O870">
        <f>IF(L870="", "Pending", IF(N870&lt;=30, "Met", "Breached"))</f>
        <v/>
      </c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9">
        <f>B871+30</f>
        <v/>
      </c>
      <c r="N871">
        <f>IF(L871="", "", L871-B871)</f>
        <v/>
      </c>
      <c r="O871">
        <f>IF(L871="", "Pending", IF(N871&lt;=30, "Met", "Breached"))</f>
        <v/>
      </c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9">
        <f>B872+30</f>
        <v/>
      </c>
      <c r="N872">
        <f>IF(L872="", "", L872-B872)</f>
        <v/>
      </c>
      <c r="O872">
        <f>IF(L872="", "Pending", IF(N872&lt;=30, "Met", "Breached"))</f>
        <v/>
      </c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9">
        <f>B873+30</f>
        <v/>
      </c>
      <c r="N873">
        <f>IF(L873="", "", L873-B873)</f>
        <v/>
      </c>
      <c r="O873">
        <f>IF(L873="", "Pending", IF(N873&lt;=30, "Met", "Breached"))</f>
        <v/>
      </c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9">
        <f>B874+30</f>
        <v/>
      </c>
      <c r="N874">
        <f>IF(L874="", "", L874-B874)</f>
        <v/>
      </c>
      <c r="O874">
        <f>IF(L874="", "Pending", IF(N874&lt;=30, "Met", "Breached"))</f>
        <v/>
      </c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9">
        <f>B875+30</f>
        <v/>
      </c>
      <c r="N875">
        <f>IF(L875="", "", L875-B875)</f>
        <v/>
      </c>
      <c r="O875">
        <f>IF(L875="", "Pending", IF(N875&lt;=30, "Met", "Breached"))</f>
        <v/>
      </c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9">
        <f>B876+30</f>
        <v/>
      </c>
      <c r="N876">
        <f>IF(L876="", "", L876-B876)</f>
        <v/>
      </c>
      <c r="O876">
        <f>IF(L876="", "Pending", IF(N876&lt;=30, "Met", "Breached"))</f>
        <v/>
      </c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9">
        <f>B877+30</f>
        <v/>
      </c>
      <c r="N877">
        <f>IF(L877="", "", L877-B877)</f>
        <v/>
      </c>
      <c r="O877">
        <f>IF(L877="", "Pending", IF(N877&lt;=30, "Met", "Breached"))</f>
        <v/>
      </c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9">
        <f>B878+30</f>
        <v/>
      </c>
      <c r="N878">
        <f>IF(L878="", "", L878-B878)</f>
        <v/>
      </c>
      <c r="O878">
        <f>IF(L878="", "Pending", IF(N878&lt;=30, "Met", "Breached"))</f>
        <v/>
      </c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9">
        <f>B879+30</f>
        <v/>
      </c>
      <c r="N879">
        <f>IF(L879="", "", L879-B879)</f>
        <v/>
      </c>
      <c r="O879">
        <f>IF(L879="", "Pending", IF(N879&lt;=30, "Met", "Breached"))</f>
        <v/>
      </c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9">
        <f>B880+30</f>
        <v/>
      </c>
      <c r="N880">
        <f>IF(L880="", "", L880-B880)</f>
        <v/>
      </c>
      <c r="O880">
        <f>IF(L880="", "Pending", IF(N880&lt;=30, "Met", "Breached"))</f>
        <v/>
      </c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9">
        <f>B881+30</f>
        <v/>
      </c>
      <c r="N881">
        <f>IF(L881="", "", L881-B881)</f>
        <v/>
      </c>
      <c r="O881">
        <f>IF(L881="", "Pending", IF(N881&lt;=30, "Met", "Breached"))</f>
        <v/>
      </c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9">
        <f>B882+30</f>
        <v/>
      </c>
      <c r="N882">
        <f>IF(L882="", "", L882-B882)</f>
        <v/>
      </c>
      <c r="O882">
        <f>IF(L882="", "Pending", IF(N882&lt;=30, "Met", "Breached"))</f>
        <v/>
      </c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9">
        <f>B883+30</f>
        <v/>
      </c>
      <c r="N883">
        <f>IF(L883="", "", L883-B883)</f>
        <v/>
      </c>
      <c r="O883">
        <f>IF(L883="", "Pending", IF(N883&lt;=30, "Met", "Breached"))</f>
        <v/>
      </c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9">
        <f>B884+30</f>
        <v/>
      </c>
      <c r="N884">
        <f>IF(L884="", "", L884-B884)</f>
        <v/>
      </c>
      <c r="O884">
        <f>IF(L884="", "Pending", IF(N884&lt;=30, "Met", "Breached"))</f>
        <v/>
      </c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9">
        <f>B885+30</f>
        <v/>
      </c>
      <c r="N885">
        <f>IF(L885="", "", L885-B885)</f>
        <v/>
      </c>
      <c r="O885">
        <f>IF(L885="", "Pending", IF(N885&lt;=30, "Met", "Breached"))</f>
        <v/>
      </c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9">
        <f>B886+30</f>
        <v/>
      </c>
      <c r="N886">
        <f>IF(L886="", "", L886-B886)</f>
        <v/>
      </c>
      <c r="O886">
        <f>IF(L886="", "Pending", IF(N886&lt;=30, "Met", "Breached"))</f>
        <v/>
      </c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9">
        <f>B887+30</f>
        <v/>
      </c>
      <c r="N887">
        <f>IF(L887="", "", L887-B887)</f>
        <v/>
      </c>
      <c r="O887">
        <f>IF(L887="", "Pending", IF(N887&lt;=30, "Met", "Breached"))</f>
        <v/>
      </c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9">
        <f>B888+30</f>
        <v/>
      </c>
      <c r="N888">
        <f>IF(L888="", "", L888-B888)</f>
        <v/>
      </c>
      <c r="O888">
        <f>IF(L888="", "Pending", IF(N888&lt;=30, "Met", "Breached"))</f>
        <v/>
      </c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9">
        <f>B889+30</f>
        <v/>
      </c>
      <c r="N889">
        <f>IF(L889="", "", L889-B889)</f>
        <v/>
      </c>
      <c r="O889">
        <f>IF(L889="", "Pending", IF(N889&lt;=30, "Met", "Breached"))</f>
        <v/>
      </c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9">
        <f>B890+30</f>
        <v/>
      </c>
      <c r="N890">
        <f>IF(L890="", "", L890-B890)</f>
        <v/>
      </c>
      <c r="O890">
        <f>IF(L890="", "Pending", IF(N890&lt;=30, "Met", "Breached"))</f>
        <v/>
      </c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9">
        <f>B891+30</f>
        <v/>
      </c>
      <c r="N891">
        <f>IF(L891="", "", L891-B891)</f>
        <v/>
      </c>
      <c r="O891">
        <f>IF(L891="", "Pending", IF(N891&lt;=30, "Met", "Breached"))</f>
        <v/>
      </c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9">
        <f>B892+30</f>
        <v/>
      </c>
      <c r="N892">
        <f>IF(L892="", "", L892-B892)</f>
        <v/>
      </c>
      <c r="O892">
        <f>IF(L892="", "Pending", IF(N892&lt;=30, "Met", "Breached"))</f>
        <v/>
      </c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9">
        <f>B893+30</f>
        <v/>
      </c>
      <c r="N893">
        <f>IF(L893="", "", L893-B893)</f>
        <v/>
      </c>
      <c r="O893">
        <f>IF(L893="", "Pending", IF(N893&lt;=30, "Met", "Breached"))</f>
        <v/>
      </c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9">
        <f>B894+30</f>
        <v/>
      </c>
      <c r="N894">
        <f>IF(L894="", "", L894-B894)</f>
        <v/>
      </c>
      <c r="O894">
        <f>IF(L894="", "Pending", IF(N894&lt;=30, "Met", "Breached"))</f>
        <v/>
      </c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9">
        <f>B895+30</f>
        <v/>
      </c>
      <c r="N895">
        <f>IF(L895="", "", L895-B895)</f>
        <v/>
      </c>
      <c r="O895">
        <f>IF(L895="", "Pending", IF(N895&lt;=30, "Met", "Breached"))</f>
        <v/>
      </c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9">
        <f>B896+30</f>
        <v/>
      </c>
      <c r="N896">
        <f>IF(L896="", "", L896-B896)</f>
        <v/>
      </c>
      <c r="O896">
        <f>IF(L896="", "Pending", IF(N896&lt;=30, "Met", "Breached"))</f>
        <v/>
      </c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9">
        <f>B897+30</f>
        <v/>
      </c>
      <c r="N897">
        <f>IF(L897="", "", L897-B897)</f>
        <v/>
      </c>
      <c r="O897">
        <f>IF(L897="", "Pending", IF(N897&lt;=30, "Met", "Breached"))</f>
        <v/>
      </c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9">
        <f>B898+30</f>
        <v/>
      </c>
      <c r="N898">
        <f>IF(L898="", "", L898-B898)</f>
        <v/>
      </c>
      <c r="O898">
        <f>IF(L898="", "Pending", IF(N898&lt;=30, "Met", "Breached"))</f>
        <v/>
      </c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9">
        <f>B899+30</f>
        <v/>
      </c>
      <c r="N899">
        <f>IF(L899="", "", L899-B899)</f>
        <v/>
      </c>
      <c r="O899">
        <f>IF(L899="", "Pending", IF(N899&lt;=30, "Met", "Breached"))</f>
        <v/>
      </c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9">
        <f>B900+30</f>
        <v/>
      </c>
      <c r="N900">
        <f>IF(L900="", "", L900-B900)</f>
        <v/>
      </c>
      <c r="O900">
        <f>IF(L900="", "Pending", IF(N900&lt;=30, "Met", "Breached"))</f>
        <v/>
      </c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9">
        <f>B901+30</f>
        <v/>
      </c>
      <c r="N901">
        <f>IF(L901="", "", L901-B901)</f>
        <v/>
      </c>
      <c r="O901">
        <f>IF(L901="", "Pending", IF(N901&lt;=30, "Met", "Breached"))</f>
        <v/>
      </c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9">
        <f>B902+30</f>
        <v/>
      </c>
      <c r="N902">
        <f>IF(L902="", "", L902-B902)</f>
        <v/>
      </c>
      <c r="O902">
        <f>IF(L902="", "Pending", IF(N902&lt;=30, "Met", "Breached"))</f>
        <v/>
      </c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9">
        <f>B903+30</f>
        <v/>
      </c>
      <c r="N903">
        <f>IF(L903="", "", L903-B903)</f>
        <v/>
      </c>
      <c r="O903">
        <f>IF(L903="", "Pending", IF(N903&lt;=30, "Met", "Breached"))</f>
        <v/>
      </c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9">
        <f>B904+30</f>
        <v/>
      </c>
      <c r="N904">
        <f>IF(L904="", "", L904-B904)</f>
        <v/>
      </c>
      <c r="O904">
        <f>IF(L904="", "Pending", IF(N904&lt;=30, "Met", "Breached"))</f>
        <v/>
      </c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9">
        <f>B905+30</f>
        <v/>
      </c>
      <c r="N905">
        <f>IF(L905="", "", L905-B905)</f>
        <v/>
      </c>
      <c r="O905">
        <f>IF(L905="", "Pending", IF(N905&lt;=30, "Met", "Breached"))</f>
        <v/>
      </c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9">
        <f>B906+30</f>
        <v/>
      </c>
      <c r="N906">
        <f>IF(L906="", "", L906-B906)</f>
        <v/>
      </c>
      <c r="O906">
        <f>IF(L906="", "Pending", IF(N906&lt;=30, "Met", "Breached"))</f>
        <v/>
      </c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9">
        <f>B907+30</f>
        <v/>
      </c>
      <c r="N907">
        <f>IF(L907="", "", L907-B907)</f>
        <v/>
      </c>
      <c r="O907">
        <f>IF(L907="", "Pending", IF(N907&lt;=30, "Met", "Breached"))</f>
        <v/>
      </c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9">
        <f>B908+30</f>
        <v/>
      </c>
      <c r="N908">
        <f>IF(L908="", "", L908-B908)</f>
        <v/>
      </c>
      <c r="O908">
        <f>IF(L908="", "Pending", IF(N908&lt;=30, "Met", "Breached"))</f>
        <v/>
      </c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9">
        <f>B909+30</f>
        <v/>
      </c>
      <c r="N909">
        <f>IF(L909="", "", L909-B909)</f>
        <v/>
      </c>
      <c r="O909">
        <f>IF(L909="", "Pending", IF(N909&lt;=30, "Met", "Breached"))</f>
        <v/>
      </c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9">
        <f>B910+30</f>
        <v/>
      </c>
      <c r="N910">
        <f>IF(L910="", "", L910-B910)</f>
        <v/>
      </c>
      <c r="O910">
        <f>IF(L910="", "Pending", IF(N910&lt;=30, "Met", "Breached"))</f>
        <v/>
      </c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9">
        <f>B911+30</f>
        <v/>
      </c>
      <c r="N911">
        <f>IF(L911="", "", L911-B911)</f>
        <v/>
      </c>
      <c r="O911">
        <f>IF(L911="", "Pending", IF(N911&lt;=30, "Met", "Breached"))</f>
        <v/>
      </c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9">
        <f>B912+30</f>
        <v/>
      </c>
      <c r="N912">
        <f>IF(L912="", "", L912-B912)</f>
        <v/>
      </c>
      <c r="O912">
        <f>IF(L912="", "Pending", IF(N912&lt;=30, "Met", "Breached"))</f>
        <v/>
      </c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9">
        <f>B913+30</f>
        <v/>
      </c>
      <c r="N913">
        <f>IF(L913="", "", L913-B913)</f>
        <v/>
      </c>
      <c r="O913">
        <f>IF(L913="", "Pending", IF(N913&lt;=30, "Met", "Breached"))</f>
        <v/>
      </c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9">
        <f>B914+30</f>
        <v/>
      </c>
      <c r="N914">
        <f>IF(L914="", "", L914-B914)</f>
        <v/>
      </c>
      <c r="O914">
        <f>IF(L914="", "Pending", IF(N914&lt;=30, "Met", "Breached"))</f>
        <v/>
      </c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9">
        <f>B915+30</f>
        <v/>
      </c>
      <c r="N915">
        <f>IF(L915="", "", L915-B915)</f>
        <v/>
      </c>
      <c r="O915">
        <f>IF(L915="", "Pending", IF(N915&lt;=30, "Met", "Breached"))</f>
        <v/>
      </c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9">
        <f>B916+30</f>
        <v/>
      </c>
      <c r="N916">
        <f>IF(L916="", "", L916-B916)</f>
        <v/>
      </c>
      <c r="O916">
        <f>IF(L916="", "Pending", IF(N916&lt;=30, "Met", "Breached"))</f>
        <v/>
      </c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9">
        <f>B917+30</f>
        <v/>
      </c>
      <c r="N917">
        <f>IF(L917="", "", L917-B917)</f>
        <v/>
      </c>
      <c r="O917">
        <f>IF(L917="", "Pending", IF(N917&lt;=30, "Met", "Breached"))</f>
        <v/>
      </c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9">
        <f>B918+30</f>
        <v/>
      </c>
      <c r="N918">
        <f>IF(L918="", "", L918-B918)</f>
        <v/>
      </c>
      <c r="O918">
        <f>IF(L918="", "Pending", IF(N918&lt;=30, "Met", "Breached"))</f>
        <v/>
      </c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9">
        <f>B919+30</f>
        <v/>
      </c>
      <c r="N919">
        <f>IF(L919="", "", L919-B919)</f>
        <v/>
      </c>
      <c r="O919">
        <f>IF(L919="", "Pending", IF(N919&lt;=30, "Met", "Breached"))</f>
        <v/>
      </c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9">
        <f>B920+30</f>
        <v/>
      </c>
      <c r="N920">
        <f>IF(L920="", "", L920-B920)</f>
        <v/>
      </c>
      <c r="O920">
        <f>IF(L920="", "Pending", IF(N920&lt;=30, "Met", "Breached"))</f>
        <v/>
      </c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9">
        <f>B921+30</f>
        <v/>
      </c>
      <c r="N921">
        <f>IF(L921="", "", L921-B921)</f>
        <v/>
      </c>
      <c r="O921">
        <f>IF(L921="", "Pending", IF(N921&lt;=30, "Met", "Breached"))</f>
        <v/>
      </c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9">
        <f>B922+30</f>
        <v/>
      </c>
      <c r="N922">
        <f>IF(L922="", "", L922-B922)</f>
        <v/>
      </c>
      <c r="O922">
        <f>IF(L922="", "Pending", IF(N922&lt;=30, "Met", "Breached"))</f>
        <v/>
      </c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9">
        <f>B923+30</f>
        <v/>
      </c>
      <c r="N923">
        <f>IF(L923="", "", L923-B923)</f>
        <v/>
      </c>
      <c r="O923">
        <f>IF(L923="", "Pending", IF(N923&lt;=30, "Met", "Breached"))</f>
        <v/>
      </c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9">
        <f>B924+30</f>
        <v/>
      </c>
      <c r="N924">
        <f>IF(L924="", "", L924-B924)</f>
        <v/>
      </c>
      <c r="O924">
        <f>IF(L924="", "Pending", IF(N924&lt;=30, "Met", "Breached"))</f>
        <v/>
      </c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9">
        <f>B925+30</f>
        <v/>
      </c>
      <c r="N925">
        <f>IF(L925="", "", L925-B925)</f>
        <v/>
      </c>
      <c r="O925">
        <f>IF(L925="", "Pending", IF(N925&lt;=30, "Met", "Breached"))</f>
        <v/>
      </c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9">
        <f>B926+30</f>
        <v/>
      </c>
      <c r="N926">
        <f>IF(L926="", "", L926-B926)</f>
        <v/>
      </c>
      <c r="O926">
        <f>IF(L926="", "Pending", IF(N926&lt;=30, "Met", "Breached"))</f>
        <v/>
      </c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9">
        <f>B927+30</f>
        <v/>
      </c>
      <c r="N927">
        <f>IF(L927="", "", L927-B927)</f>
        <v/>
      </c>
      <c r="O927">
        <f>IF(L927="", "Pending", IF(N927&lt;=30, "Met", "Breached"))</f>
        <v/>
      </c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9">
        <f>B928+30</f>
        <v/>
      </c>
      <c r="N928">
        <f>IF(L928="", "", L928-B928)</f>
        <v/>
      </c>
      <c r="O928">
        <f>IF(L928="", "Pending", IF(N928&lt;=30, "Met", "Breached"))</f>
        <v/>
      </c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9">
        <f>B929+30</f>
        <v/>
      </c>
      <c r="N929">
        <f>IF(L929="", "", L929-B929)</f>
        <v/>
      </c>
      <c r="O929">
        <f>IF(L929="", "Pending", IF(N929&lt;=30, "Met", "Breached"))</f>
        <v/>
      </c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9">
        <f>B930+30</f>
        <v/>
      </c>
      <c r="N930">
        <f>IF(L930="", "", L930-B930)</f>
        <v/>
      </c>
      <c r="O930">
        <f>IF(L930="", "Pending", IF(N930&lt;=30, "Met", "Breached"))</f>
        <v/>
      </c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9">
        <f>B931+30</f>
        <v/>
      </c>
      <c r="N931">
        <f>IF(L931="", "", L931-B931)</f>
        <v/>
      </c>
      <c r="O931">
        <f>IF(L931="", "Pending", IF(N931&lt;=30, "Met", "Breached"))</f>
        <v/>
      </c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9">
        <f>B932+30</f>
        <v/>
      </c>
      <c r="N932">
        <f>IF(L932="", "", L932-B932)</f>
        <v/>
      </c>
      <c r="O932">
        <f>IF(L932="", "Pending", IF(N932&lt;=30, "Met", "Breached"))</f>
        <v/>
      </c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9">
        <f>B933+30</f>
        <v/>
      </c>
      <c r="N933">
        <f>IF(L933="", "", L933-B933)</f>
        <v/>
      </c>
      <c r="O933">
        <f>IF(L933="", "Pending", IF(N933&lt;=30, "Met", "Breached"))</f>
        <v/>
      </c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9">
        <f>B934+30</f>
        <v/>
      </c>
      <c r="N934">
        <f>IF(L934="", "", L934-B934)</f>
        <v/>
      </c>
      <c r="O934">
        <f>IF(L934="", "Pending", IF(N934&lt;=30, "Met", "Breached"))</f>
        <v/>
      </c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9">
        <f>B935+30</f>
        <v/>
      </c>
      <c r="N935">
        <f>IF(L935="", "", L935-B935)</f>
        <v/>
      </c>
      <c r="O935">
        <f>IF(L935="", "Pending", IF(N935&lt;=30, "Met", "Breached"))</f>
        <v/>
      </c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9">
        <f>B936+30</f>
        <v/>
      </c>
      <c r="N936">
        <f>IF(L936="", "", L936-B936)</f>
        <v/>
      </c>
      <c r="O936">
        <f>IF(L936="", "Pending", IF(N936&lt;=30, "Met", "Breached"))</f>
        <v/>
      </c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9">
        <f>B937+30</f>
        <v/>
      </c>
      <c r="N937">
        <f>IF(L937="", "", L937-B937)</f>
        <v/>
      </c>
      <c r="O937">
        <f>IF(L937="", "Pending", IF(N937&lt;=30, "Met", "Breached"))</f>
        <v/>
      </c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9">
        <f>B938+30</f>
        <v/>
      </c>
      <c r="N938">
        <f>IF(L938="", "", L938-B938)</f>
        <v/>
      </c>
      <c r="O938">
        <f>IF(L938="", "Pending", IF(N938&lt;=30, "Met", "Breached"))</f>
        <v/>
      </c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9">
        <f>B939+30</f>
        <v/>
      </c>
      <c r="N939">
        <f>IF(L939="", "", L939-B939)</f>
        <v/>
      </c>
      <c r="O939">
        <f>IF(L939="", "Pending", IF(N939&lt;=30, "Met", "Breached"))</f>
        <v/>
      </c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9">
        <f>B940+30</f>
        <v/>
      </c>
      <c r="N940">
        <f>IF(L940="", "", L940-B940)</f>
        <v/>
      </c>
      <c r="O940">
        <f>IF(L940="", "Pending", IF(N940&lt;=30, "Met", "Breached"))</f>
        <v/>
      </c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9">
        <f>B941+30</f>
        <v/>
      </c>
      <c r="N941">
        <f>IF(L941="", "", L941-B941)</f>
        <v/>
      </c>
      <c r="O941">
        <f>IF(L941="", "Pending", IF(N941&lt;=30, "Met", "Breached"))</f>
        <v/>
      </c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9">
        <f>B942+30</f>
        <v/>
      </c>
      <c r="N942">
        <f>IF(L942="", "", L942-B942)</f>
        <v/>
      </c>
      <c r="O942">
        <f>IF(L942="", "Pending", IF(N942&lt;=30, "Met", "Breached"))</f>
        <v/>
      </c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9">
        <f>B943+30</f>
        <v/>
      </c>
      <c r="N943">
        <f>IF(L943="", "", L943-B943)</f>
        <v/>
      </c>
      <c r="O943">
        <f>IF(L943="", "Pending", IF(N943&lt;=30, "Met", "Breached"))</f>
        <v/>
      </c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9">
        <f>B944+30</f>
        <v/>
      </c>
      <c r="N944">
        <f>IF(L944="", "", L944-B944)</f>
        <v/>
      </c>
      <c r="O944">
        <f>IF(L944="", "Pending", IF(N944&lt;=30, "Met", "Breached"))</f>
        <v/>
      </c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9">
        <f>B945+30</f>
        <v/>
      </c>
      <c r="N945">
        <f>IF(L945="", "", L945-B945)</f>
        <v/>
      </c>
      <c r="O945">
        <f>IF(L945="", "Pending", IF(N945&lt;=30, "Met", "Breached"))</f>
        <v/>
      </c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9">
        <f>B946+30</f>
        <v/>
      </c>
      <c r="N946">
        <f>IF(L946="", "", L946-B946)</f>
        <v/>
      </c>
      <c r="O946">
        <f>IF(L946="", "Pending", IF(N946&lt;=30, "Met", "Breached"))</f>
        <v/>
      </c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9">
        <f>B947+30</f>
        <v/>
      </c>
      <c r="N947">
        <f>IF(L947="", "", L947-B947)</f>
        <v/>
      </c>
      <c r="O947">
        <f>IF(L947="", "Pending", IF(N947&lt;=30, "Met", "Breached"))</f>
        <v/>
      </c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9">
        <f>B948+30</f>
        <v/>
      </c>
      <c r="N948">
        <f>IF(L948="", "", L948-B948)</f>
        <v/>
      </c>
      <c r="O948">
        <f>IF(L948="", "Pending", IF(N948&lt;=30, "Met", "Breached"))</f>
        <v/>
      </c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9">
        <f>B949+30</f>
        <v/>
      </c>
      <c r="N949">
        <f>IF(L949="", "", L949-B949)</f>
        <v/>
      </c>
      <c r="O949">
        <f>IF(L949="", "Pending", IF(N949&lt;=30, "Met", "Breached"))</f>
        <v/>
      </c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9">
        <f>B950+30</f>
        <v/>
      </c>
      <c r="N950">
        <f>IF(L950="", "", L950-B950)</f>
        <v/>
      </c>
      <c r="O950">
        <f>IF(L950="", "Pending", IF(N950&lt;=30, "Met", "Breached"))</f>
        <v/>
      </c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9">
        <f>B951+30</f>
        <v/>
      </c>
      <c r="N951">
        <f>IF(L951="", "", L951-B951)</f>
        <v/>
      </c>
      <c r="O951">
        <f>IF(L951="", "Pending", IF(N951&lt;=30, "Met", "Breached"))</f>
        <v/>
      </c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9">
        <f>B952+30</f>
        <v/>
      </c>
      <c r="N952">
        <f>IF(L952="", "", L952-B952)</f>
        <v/>
      </c>
      <c r="O952">
        <f>IF(L952="", "Pending", IF(N952&lt;=30, "Met", "Breached"))</f>
        <v/>
      </c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9">
        <f>B953+30</f>
        <v/>
      </c>
      <c r="N953">
        <f>IF(L953="", "", L953-B953)</f>
        <v/>
      </c>
      <c r="O953">
        <f>IF(L953="", "Pending", IF(N953&lt;=30, "Met", "Breached"))</f>
        <v/>
      </c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9">
        <f>B954+30</f>
        <v/>
      </c>
      <c r="N954">
        <f>IF(L954="", "", L954-B954)</f>
        <v/>
      </c>
      <c r="O954">
        <f>IF(L954="", "Pending", IF(N954&lt;=30, "Met", "Breached"))</f>
        <v/>
      </c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9">
        <f>B955+30</f>
        <v/>
      </c>
      <c r="N955">
        <f>IF(L955="", "", L955-B955)</f>
        <v/>
      </c>
      <c r="O955">
        <f>IF(L955="", "Pending", IF(N955&lt;=30, "Met", "Breached"))</f>
        <v/>
      </c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9">
        <f>B956+30</f>
        <v/>
      </c>
      <c r="N956">
        <f>IF(L956="", "", L956-B956)</f>
        <v/>
      </c>
      <c r="O956">
        <f>IF(L956="", "Pending", IF(N956&lt;=30, "Met", "Breached"))</f>
        <v/>
      </c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9">
        <f>B957+30</f>
        <v/>
      </c>
      <c r="N957">
        <f>IF(L957="", "", L957-B957)</f>
        <v/>
      </c>
      <c r="O957">
        <f>IF(L957="", "Pending", IF(N957&lt;=30, "Met", "Breached"))</f>
        <v/>
      </c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9">
        <f>B958+30</f>
        <v/>
      </c>
      <c r="N958">
        <f>IF(L958="", "", L958-B958)</f>
        <v/>
      </c>
      <c r="O958">
        <f>IF(L958="", "Pending", IF(N958&lt;=30, "Met", "Breached"))</f>
        <v/>
      </c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9">
        <f>B959+30</f>
        <v/>
      </c>
      <c r="N959">
        <f>IF(L959="", "", L959-B959)</f>
        <v/>
      </c>
      <c r="O959">
        <f>IF(L959="", "Pending", IF(N959&lt;=30, "Met", "Breached"))</f>
        <v/>
      </c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9">
        <f>B960+30</f>
        <v/>
      </c>
      <c r="N960">
        <f>IF(L960="", "", L960-B960)</f>
        <v/>
      </c>
      <c r="O960">
        <f>IF(L960="", "Pending", IF(N960&lt;=30, "Met", "Breached"))</f>
        <v/>
      </c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9">
        <f>B961+30</f>
        <v/>
      </c>
      <c r="N961">
        <f>IF(L961="", "", L961-B961)</f>
        <v/>
      </c>
      <c r="O961">
        <f>IF(L961="", "Pending", IF(N961&lt;=30, "Met", "Breached"))</f>
        <v/>
      </c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9">
        <f>B962+30</f>
        <v/>
      </c>
      <c r="N962">
        <f>IF(L962="", "", L962-B962)</f>
        <v/>
      </c>
      <c r="O962">
        <f>IF(L962="", "Pending", IF(N962&lt;=30, "Met", "Breached"))</f>
        <v/>
      </c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9">
        <f>B963+30</f>
        <v/>
      </c>
      <c r="N963">
        <f>IF(L963="", "", L963-B963)</f>
        <v/>
      </c>
      <c r="O963">
        <f>IF(L963="", "Pending", IF(N963&lt;=30, "Met", "Breached"))</f>
        <v/>
      </c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9">
        <f>B964+30</f>
        <v/>
      </c>
      <c r="N964">
        <f>IF(L964="", "", L964-B964)</f>
        <v/>
      </c>
      <c r="O964">
        <f>IF(L964="", "Pending", IF(N964&lt;=30, "Met", "Breached"))</f>
        <v/>
      </c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9">
        <f>B965+30</f>
        <v/>
      </c>
      <c r="N965">
        <f>IF(L965="", "", L965-B965)</f>
        <v/>
      </c>
      <c r="O965">
        <f>IF(L965="", "Pending", IF(N965&lt;=30, "Met", "Breached"))</f>
        <v/>
      </c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9">
        <f>B966+30</f>
        <v/>
      </c>
      <c r="N966">
        <f>IF(L966="", "", L966-B966)</f>
        <v/>
      </c>
      <c r="O966">
        <f>IF(L966="", "Pending", IF(N966&lt;=30, "Met", "Breached"))</f>
        <v/>
      </c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9">
        <f>B967+30</f>
        <v/>
      </c>
      <c r="N967">
        <f>IF(L967="", "", L967-B967)</f>
        <v/>
      </c>
      <c r="O967">
        <f>IF(L967="", "Pending", IF(N967&lt;=30, "Met", "Breached"))</f>
        <v/>
      </c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9">
        <f>B968+30</f>
        <v/>
      </c>
      <c r="N968">
        <f>IF(L968="", "", L968-B968)</f>
        <v/>
      </c>
      <c r="O968">
        <f>IF(L968="", "Pending", IF(N968&lt;=30, "Met", "Breached"))</f>
        <v/>
      </c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9">
        <f>B969+30</f>
        <v/>
      </c>
      <c r="N969">
        <f>IF(L969="", "", L969-B969)</f>
        <v/>
      </c>
      <c r="O969">
        <f>IF(L969="", "Pending", IF(N969&lt;=30, "Met", "Breached"))</f>
        <v/>
      </c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9">
        <f>B970+30</f>
        <v/>
      </c>
      <c r="N970">
        <f>IF(L970="", "", L970-B970)</f>
        <v/>
      </c>
      <c r="O970">
        <f>IF(L970="", "Pending", IF(N970&lt;=30, "Met", "Breached"))</f>
        <v/>
      </c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9">
        <f>B971+30</f>
        <v/>
      </c>
      <c r="N971">
        <f>IF(L971="", "", L971-B971)</f>
        <v/>
      </c>
      <c r="O971">
        <f>IF(L971="", "Pending", IF(N971&lt;=30, "Met", "Breached"))</f>
        <v/>
      </c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9">
        <f>B972+30</f>
        <v/>
      </c>
      <c r="N972">
        <f>IF(L972="", "", L972-B972)</f>
        <v/>
      </c>
      <c r="O972">
        <f>IF(L972="", "Pending", IF(N972&lt;=30, "Met", "Breached"))</f>
        <v/>
      </c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9">
        <f>B973+30</f>
        <v/>
      </c>
      <c r="N973">
        <f>IF(L973="", "", L973-B973)</f>
        <v/>
      </c>
      <c r="O973">
        <f>IF(L973="", "Pending", IF(N973&lt;=30, "Met", "Breached"))</f>
        <v/>
      </c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9">
        <f>B974+30</f>
        <v/>
      </c>
      <c r="N974">
        <f>IF(L974="", "", L974-B974)</f>
        <v/>
      </c>
      <c r="O974">
        <f>IF(L974="", "Pending", IF(N974&lt;=30, "Met", "Breached"))</f>
        <v/>
      </c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9">
        <f>B975+30</f>
        <v/>
      </c>
      <c r="N975">
        <f>IF(L975="", "", L975-B975)</f>
        <v/>
      </c>
      <c r="O975">
        <f>IF(L975="", "Pending", IF(N975&lt;=30, "Met", "Breached"))</f>
        <v/>
      </c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9">
        <f>B976+30</f>
        <v/>
      </c>
      <c r="N976">
        <f>IF(L976="", "", L976-B976)</f>
        <v/>
      </c>
      <c r="O976">
        <f>IF(L976="", "Pending", IF(N976&lt;=30, "Met", "Breached"))</f>
        <v/>
      </c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9">
        <f>B977+30</f>
        <v/>
      </c>
      <c r="N977">
        <f>IF(L977="", "", L977-B977)</f>
        <v/>
      </c>
      <c r="O977">
        <f>IF(L977="", "Pending", IF(N977&lt;=30, "Met", "Breached"))</f>
        <v/>
      </c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9">
        <f>B978+30</f>
        <v/>
      </c>
      <c r="N978">
        <f>IF(L978="", "", L978-B978)</f>
        <v/>
      </c>
      <c r="O978">
        <f>IF(L978="", "Pending", IF(N978&lt;=30, "Met", "Breached"))</f>
        <v/>
      </c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9">
        <f>B979+30</f>
        <v/>
      </c>
      <c r="N979">
        <f>IF(L979="", "", L979-B979)</f>
        <v/>
      </c>
      <c r="O979">
        <f>IF(L979="", "Pending", IF(N979&lt;=30, "Met", "Breached"))</f>
        <v/>
      </c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9">
        <f>B980+30</f>
        <v/>
      </c>
      <c r="N980">
        <f>IF(L980="", "", L980-B980)</f>
        <v/>
      </c>
      <c r="O980">
        <f>IF(L980="", "Pending", IF(N980&lt;=30, "Met", "Breached"))</f>
        <v/>
      </c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9">
        <f>B981+30</f>
        <v/>
      </c>
      <c r="N981">
        <f>IF(L981="", "", L981-B981)</f>
        <v/>
      </c>
      <c r="O981">
        <f>IF(L981="", "Pending", IF(N981&lt;=30, "Met", "Breached"))</f>
        <v/>
      </c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9">
        <f>B982+30</f>
        <v/>
      </c>
      <c r="N982">
        <f>IF(L982="", "", L982-B982)</f>
        <v/>
      </c>
      <c r="O982">
        <f>IF(L982="", "Pending", IF(N982&lt;=30, "Met", "Breached"))</f>
        <v/>
      </c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9">
        <f>B983+30</f>
        <v/>
      </c>
      <c r="N983">
        <f>IF(L983="", "", L983-B983)</f>
        <v/>
      </c>
      <c r="O983">
        <f>IF(L983="", "Pending", IF(N983&lt;=30, "Met", "Breached"))</f>
        <v/>
      </c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9">
        <f>B984+30</f>
        <v/>
      </c>
      <c r="N984">
        <f>IF(L984="", "", L984-B984)</f>
        <v/>
      </c>
      <c r="O984">
        <f>IF(L984="", "Pending", IF(N984&lt;=30, "Met", "Breached"))</f>
        <v/>
      </c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9">
        <f>B985+30</f>
        <v/>
      </c>
      <c r="N985">
        <f>IF(L985="", "", L985-B985)</f>
        <v/>
      </c>
      <c r="O985">
        <f>IF(L985="", "Pending", IF(N985&lt;=30, "Met", "Breached"))</f>
        <v/>
      </c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9">
        <f>B986+30</f>
        <v/>
      </c>
      <c r="N986">
        <f>IF(L986="", "", L986-B986)</f>
        <v/>
      </c>
      <c r="O986">
        <f>IF(L986="", "Pending", IF(N986&lt;=30, "Met", "Breached"))</f>
        <v/>
      </c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9">
        <f>B987+30</f>
        <v/>
      </c>
      <c r="N987">
        <f>IF(L987="", "", L987-B987)</f>
        <v/>
      </c>
      <c r="O987">
        <f>IF(L987="", "Pending", IF(N987&lt;=30, "Met", "Breached"))</f>
        <v/>
      </c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9">
        <f>B988+30</f>
        <v/>
      </c>
      <c r="N988">
        <f>IF(L988="", "", L988-B988)</f>
        <v/>
      </c>
      <c r="O988">
        <f>IF(L988="", "Pending", IF(N988&lt;=30, "Met", "Breached"))</f>
        <v/>
      </c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9">
        <f>B989+30</f>
        <v/>
      </c>
      <c r="N989">
        <f>IF(L989="", "", L989-B989)</f>
        <v/>
      </c>
      <c r="O989">
        <f>IF(L989="", "Pending", IF(N989&lt;=30, "Met", "Breached"))</f>
        <v/>
      </c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9">
        <f>B990+30</f>
        <v/>
      </c>
      <c r="N990">
        <f>IF(L990="", "", L990-B990)</f>
        <v/>
      </c>
      <c r="O990">
        <f>IF(L990="", "Pending", IF(N990&lt;=30, "Met", "Breached"))</f>
        <v/>
      </c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9">
        <f>B991+30</f>
        <v/>
      </c>
      <c r="N991">
        <f>IF(L991="", "", L991-B991)</f>
        <v/>
      </c>
      <c r="O991">
        <f>IF(L991="", "Pending", IF(N991&lt;=30, "Met", "Breached"))</f>
        <v/>
      </c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9">
        <f>B992+30</f>
        <v/>
      </c>
      <c r="N992">
        <f>IF(L992="", "", L992-B992)</f>
        <v/>
      </c>
      <c r="O992">
        <f>IF(L992="", "Pending", IF(N992&lt;=30, "Met", "Breached"))</f>
        <v/>
      </c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9">
        <f>B993+30</f>
        <v/>
      </c>
      <c r="N993">
        <f>IF(L993="", "", L993-B993)</f>
        <v/>
      </c>
      <c r="O993">
        <f>IF(L993="", "Pending", IF(N993&lt;=30, "Met", "Breached"))</f>
        <v/>
      </c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9">
        <f>B994+30</f>
        <v/>
      </c>
      <c r="N994">
        <f>IF(L994="", "", L994-B994)</f>
        <v/>
      </c>
      <c r="O994">
        <f>IF(L994="", "Pending", IF(N994&lt;=30, "Met", "Breached"))</f>
        <v/>
      </c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9">
        <f>B995+30</f>
        <v/>
      </c>
      <c r="N995">
        <f>IF(L995="", "", L995-B995)</f>
        <v/>
      </c>
      <c r="O995">
        <f>IF(L995="", "Pending", IF(N995&lt;=30, "Met", "Breached"))</f>
        <v/>
      </c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9">
        <f>B996+30</f>
        <v/>
      </c>
      <c r="N996">
        <f>IF(L996="", "", L996-B996)</f>
        <v/>
      </c>
      <c r="O996">
        <f>IF(L996="", "Pending", IF(N996&lt;=30, "Met", "Breached"))</f>
        <v/>
      </c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9">
        <f>B997+30</f>
        <v/>
      </c>
      <c r="N997">
        <f>IF(L997="", "", L997-B997)</f>
        <v/>
      </c>
      <c r="O997">
        <f>IF(L997="", "Pending", IF(N997&lt;=30, "Met", "Breached"))</f>
        <v/>
      </c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9">
        <f>B998+30</f>
        <v/>
      </c>
      <c r="N998">
        <f>IF(L998="", "", L998-B998)</f>
        <v/>
      </c>
      <c r="O998">
        <f>IF(L998="", "Pending", IF(N998&lt;=30, "Met", "Breached"))</f>
        <v/>
      </c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9">
        <f>B999+30</f>
        <v/>
      </c>
      <c r="N999">
        <f>IF(L999="", "", L999-B999)</f>
        <v/>
      </c>
      <c r="O999">
        <f>IF(L999="", "Pending", IF(N999&lt;=30, "Met", "Breached"))</f>
        <v/>
      </c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9">
        <f>B1000+30</f>
        <v/>
      </c>
      <c r="N1000">
        <f>IF(L1000="", "", L1000-B1000)</f>
        <v/>
      </c>
      <c r="O1000">
        <f>IF(L1000="", "Pending", IF(N1000&lt;=30, "Met", "Breached"))</f>
        <v/>
      </c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9">
        <f>B1001+30</f>
        <v/>
      </c>
      <c r="N1001">
        <f>IF(L1001="", "", L1001-B1001)</f>
        <v/>
      </c>
      <c r="O1001">
        <f>IF(L1001="", "Pending", IF(N1001&lt;=30, "Met", "Breached"))</f>
        <v/>
      </c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9">
        <f>B1002+30</f>
        <v/>
      </c>
      <c r="N1002">
        <f>IF(L1002="", "", L1002-B1002)</f>
        <v/>
      </c>
      <c r="O1002">
        <f>IF(L1002="", "Pending", IF(N1002&lt;=30, "Met", "Breached"))</f>
        <v/>
      </c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</row>
    <row r="1003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9">
        <f>B1003+30</f>
        <v/>
      </c>
      <c r="N1003">
        <f>IF(L1003="", "", L1003-B1003)</f>
        <v/>
      </c>
      <c r="O1003">
        <f>IF(L1003="", "Pending", IF(N1003&lt;=30, "Met", "Breached"))</f>
        <v/>
      </c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9">
        <f>B1004+30</f>
        <v/>
      </c>
      <c r="N1004">
        <f>IF(L1004="", "", L1004-B1004)</f>
        <v/>
      </c>
      <c r="O1004">
        <f>IF(L1004="", "Pending", IF(N1004&lt;=30, "Met", "Breached"))</f>
        <v/>
      </c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9">
        <f>B1005+30</f>
        <v/>
      </c>
      <c r="N1005">
        <f>IF(L1005="", "", L1005-B1005)</f>
        <v/>
      </c>
      <c r="O1005">
        <f>IF(L1005="", "Pending", IF(N1005&lt;=30, "Met", "Breached"))</f>
        <v/>
      </c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</row>
    <row r="1006">
      <c r="A1006" s="8" t="n"/>
      <c r="B1006" s="8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9">
        <f>B1006+30</f>
        <v/>
      </c>
      <c r="N1006">
        <f>IF(L1006="", "", L1006-B1006)</f>
        <v/>
      </c>
      <c r="O1006">
        <f>IF(L1006="", "Pending", IF(N1006&lt;=30, "Met", "Breached"))</f>
        <v/>
      </c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</row>
    <row r="1007">
      <c r="A1007" s="8" t="n"/>
      <c r="B1007" s="8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9">
        <f>B1007+30</f>
        <v/>
      </c>
      <c r="N1007">
        <f>IF(L1007="", "", L1007-B1007)</f>
        <v/>
      </c>
      <c r="O1007">
        <f>IF(L1007="", "Pending", IF(N1007&lt;=30, "Met", "Breached"))</f>
        <v/>
      </c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</row>
    <row r="1008">
      <c r="A1008" s="8" t="n"/>
      <c r="B1008" s="8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9">
        <f>B1008+30</f>
        <v/>
      </c>
      <c r="N1008">
        <f>IF(L1008="", "", L1008-B1008)</f>
        <v/>
      </c>
      <c r="O1008">
        <f>IF(L1008="", "Pending", IF(N1008&lt;=30, "Met", "Breached"))</f>
        <v/>
      </c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</row>
    <row r="1009">
      <c r="A1009" s="8" t="n"/>
      <c r="B1009" s="8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9">
        <f>B1009+30</f>
        <v/>
      </c>
      <c r="N1009">
        <f>IF(L1009="", "", L1009-B1009)</f>
        <v/>
      </c>
      <c r="O1009">
        <f>IF(L1009="", "Pending", IF(N1009&lt;=30, "Met", "Breached"))</f>
        <v/>
      </c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</row>
    <row r="1010">
      <c r="A1010" s="8" t="n"/>
      <c r="B1010" s="8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9">
        <f>B1010+30</f>
        <v/>
      </c>
      <c r="N1010">
        <f>IF(L1010="", "", L1010-B1010)</f>
        <v/>
      </c>
      <c r="O1010">
        <f>IF(L1010="", "Pending", IF(N1010&lt;=30, "Met", "Breached"))</f>
        <v/>
      </c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</row>
    <row r="101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9">
        <f>B1011+30</f>
        <v/>
      </c>
      <c r="N1011">
        <f>IF(L1011="", "", L1011-B1011)</f>
        <v/>
      </c>
      <c r="O1011">
        <f>IF(L1011="", "Pending", IF(N1011&lt;=30, "Met", "Breached"))</f>
        <v/>
      </c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</row>
    <row r="1012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9">
        <f>B1012+30</f>
        <v/>
      </c>
      <c r="N1012">
        <f>IF(L1012="", "", L1012-B1012)</f>
        <v/>
      </c>
      <c r="O1012">
        <f>IF(L1012="", "Pending", IF(N1012&lt;=30, "Met", "Breached"))</f>
        <v/>
      </c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</row>
    <row r="1013">
      <c r="A1013" s="8" t="n"/>
      <c r="B1013" s="8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9">
        <f>B1013+30</f>
        <v/>
      </c>
      <c r="N1013">
        <f>IF(L1013="", "", L1013-B1013)</f>
        <v/>
      </c>
      <c r="O1013">
        <f>IF(L1013="", "Pending", IF(N1013&lt;=30, "Met", "Breached"))</f>
        <v/>
      </c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</row>
    <row r="1014">
      <c r="A1014" s="8" t="n"/>
      <c r="B1014" s="8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9">
        <f>B1014+30</f>
        <v/>
      </c>
      <c r="N1014">
        <f>IF(L1014="", "", L1014-B1014)</f>
        <v/>
      </c>
      <c r="O1014">
        <f>IF(L1014="", "Pending", IF(N1014&lt;=30, "Met", "Breached"))</f>
        <v/>
      </c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9">
        <f>B1015+30</f>
        <v/>
      </c>
      <c r="N1015">
        <f>IF(L1015="", "", L1015-B1015)</f>
        <v/>
      </c>
      <c r="O1015">
        <f>IF(L1015="", "Pending", IF(N1015&lt;=30, "Met", "Breached"))</f>
        <v/>
      </c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9">
        <f>B1016+30</f>
        <v/>
      </c>
      <c r="N1016">
        <f>IF(L1016="", "", L1016-B1016)</f>
        <v/>
      </c>
      <c r="O1016">
        <f>IF(L1016="", "Pending", IF(N1016&lt;=30, "Met", "Breached"))</f>
        <v/>
      </c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</row>
    <row r="1017">
      <c r="A1017" s="8" t="n"/>
      <c r="B1017" s="8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9">
        <f>B1017+30</f>
        <v/>
      </c>
      <c r="N1017">
        <f>IF(L1017="", "", L1017-B1017)</f>
        <v/>
      </c>
      <c r="O1017">
        <f>IF(L1017="", "Pending", IF(N1017&lt;=30, "Met", "Breached"))</f>
        <v/>
      </c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</row>
    <row r="1018">
      <c r="A1018" s="8" t="n"/>
      <c r="B1018" s="8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9">
        <f>B1018+30</f>
        <v/>
      </c>
      <c r="N1018">
        <f>IF(L1018="", "", L1018-B1018)</f>
        <v/>
      </c>
      <c r="O1018">
        <f>IF(L1018="", "Pending", IF(N1018&lt;=30, "Met", "Breached"))</f>
        <v/>
      </c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</row>
    <row r="1019">
      <c r="A1019" s="8" t="n"/>
      <c r="B1019" s="8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9">
        <f>B1019+30</f>
        <v/>
      </c>
      <c r="N1019">
        <f>IF(L1019="", "", L1019-B1019)</f>
        <v/>
      </c>
      <c r="O1019">
        <f>IF(L1019="", "Pending", IF(N1019&lt;=30, "Met", "Breached"))</f>
        <v/>
      </c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</row>
    <row r="1020">
      <c r="A1020" s="8" t="n"/>
      <c r="B1020" s="8" t="n"/>
      <c r="C1020" s="8" t="n"/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9">
        <f>B1020+30</f>
        <v/>
      </c>
      <c r="N1020">
        <f>IF(L1020="", "", L1020-B1020)</f>
        <v/>
      </c>
      <c r="O1020">
        <f>IF(L1020="", "Pending", IF(N1020&lt;=30, "Met", "Breached"))</f>
        <v/>
      </c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</row>
    <row r="1021">
      <c r="A1021" s="8" t="n"/>
      <c r="B1021" s="8" t="n"/>
      <c r="C1021" s="8" t="n"/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9">
        <f>B1021+30</f>
        <v/>
      </c>
      <c r="N1021">
        <f>IF(L1021="", "", L1021-B1021)</f>
        <v/>
      </c>
      <c r="O1021">
        <f>IF(L1021="", "Pending", IF(N1021&lt;=30, "Met", "Breached"))</f>
        <v/>
      </c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</row>
    <row r="1022">
      <c r="A1022" s="8" t="n"/>
      <c r="B1022" s="8" t="n"/>
      <c r="C1022" s="8" t="n"/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9">
        <f>B1022+30</f>
        <v/>
      </c>
      <c r="N1022">
        <f>IF(L1022="", "", L1022-B1022)</f>
        <v/>
      </c>
      <c r="O1022">
        <f>IF(L1022="", "Pending", IF(N1022&lt;=30, "Met", "Breached"))</f>
        <v/>
      </c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</row>
    <row r="1023">
      <c r="A1023" s="8" t="n"/>
      <c r="B1023" s="8" t="n"/>
      <c r="C1023" s="8" t="n"/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9">
        <f>B1023+30</f>
        <v/>
      </c>
      <c r="N1023">
        <f>IF(L1023="", "", L1023-B1023)</f>
        <v/>
      </c>
      <c r="O1023">
        <f>IF(L1023="", "Pending", IF(N1023&lt;=30, "Met", "Breached"))</f>
        <v/>
      </c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  <c r="Y1023" s="8" t="n"/>
    </row>
    <row r="1024">
      <c r="A1024" s="8" t="n"/>
      <c r="B1024" s="8" t="n"/>
      <c r="C1024" s="8" t="n"/>
      <c r="D1024" s="8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9">
        <f>B1024+30</f>
        <v/>
      </c>
      <c r="N1024">
        <f>IF(L1024="", "", L1024-B1024)</f>
        <v/>
      </c>
      <c r="O1024">
        <f>IF(L1024="", "Pending", IF(N1024&lt;=30, "Met", "Breached"))</f>
        <v/>
      </c>
      <c r="P1024" s="8" t="n"/>
      <c r="Q1024" s="8" t="n"/>
      <c r="R1024" s="8" t="n"/>
      <c r="S1024" s="8" t="n"/>
      <c r="T1024" s="8" t="n"/>
      <c r="U1024" s="8" t="n"/>
      <c r="V1024" s="8" t="n"/>
      <c r="W1024" s="8" t="n"/>
      <c r="X1024" s="8" t="n"/>
      <c r="Y1024" s="8" t="n"/>
    </row>
    <row r="1025">
      <c r="A1025" s="8" t="n"/>
      <c r="B1025" s="8" t="n"/>
      <c r="C1025" s="8" t="n"/>
      <c r="D1025" s="8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9">
        <f>B1025+30</f>
        <v/>
      </c>
      <c r="N1025">
        <f>IF(L1025="", "", L1025-B1025)</f>
        <v/>
      </c>
      <c r="O1025">
        <f>IF(L1025="", "Pending", IF(N1025&lt;=30, "Met", "Breached"))</f>
        <v/>
      </c>
      <c r="P1025" s="8" t="n"/>
      <c r="Q1025" s="8" t="n"/>
      <c r="R1025" s="8" t="n"/>
      <c r="S1025" s="8" t="n"/>
      <c r="T1025" s="8" t="n"/>
      <c r="U1025" s="8" t="n"/>
      <c r="V1025" s="8" t="n"/>
      <c r="W1025" s="8" t="n"/>
      <c r="X1025" s="8" t="n"/>
      <c r="Y1025" s="8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9">
        <f>B1026+30</f>
        <v/>
      </c>
      <c r="N1026">
        <f>IF(L1026="", "", L1026-B1026)</f>
        <v/>
      </c>
      <c r="O1026">
        <f>IF(L1026="", "Pending", IF(N1026&lt;=30, "Met", "Breached"))</f>
        <v/>
      </c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  <c r="Y1026" s="8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9">
        <f>B1027+30</f>
        <v/>
      </c>
      <c r="N1027">
        <f>IF(L1027="", "", L1027-B1027)</f>
        <v/>
      </c>
      <c r="O1027">
        <f>IF(L1027="", "Pending", IF(N1027&lt;=30, "Met", "Breached"))</f>
        <v/>
      </c>
      <c r="P1027" s="8" t="n"/>
      <c r="Q1027" s="8" t="n"/>
      <c r="R1027" s="8" t="n"/>
      <c r="S1027" s="8" t="n"/>
      <c r="T1027" s="8" t="n"/>
      <c r="U1027" s="8" t="n"/>
      <c r="V1027" s="8" t="n"/>
      <c r="W1027" s="8" t="n"/>
      <c r="X1027" s="8" t="n"/>
      <c r="Y1027" s="8" t="n"/>
    </row>
    <row r="1028">
      <c r="A1028" s="8" t="n"/>
      <c r="B1028" s="8" t="n"/>
      <c r="C1028" s="8" t="n"/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9">
        <f>B1028+30</f>
        <v/>
      </c>
      <c r="N1028">
        <f>IF(L1028="", "", L1028-B1028)</f>
        <v/>
      </c>
      <c r="O1028">
        <f>IF(L1028="", "Pending", IF(N1028&lt;=30, "Met", "Breached"))</f>
        <v/>
      </c>
      <c r="P1028" s="8" t="n"/>
      <c r="Q1028" s="8" t="n"/>
      <c r="R1028" s="8" t="n"/>
      <c r="S1028" s="8" t="n"/>
      <c r="T1028" s="8" t="n"/>
      <c r="U1028" s="8" t="n"/>
      <c r="V1028" s="8" t="n"/>
      <c r="W1028" s="8" t="n"/>
      <c r="X1028" s="8" t="n"/>
      <c r="Y1028" s="8" t="n"/>
    </row>
    <row r="1029">
      <c r="A1029" s="8" t="n"/>
      <c r="B1029" s="8" t="n"/>
      <c r="C1029" s="8" t="n"/>
      <c r="D1029" s="8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9">
        <f>B1029+30</f>
        <v/>
      </c>
      <c r="N1029">
        <f>IF(L1029="", "", L1029-B1029)</f>
        <v/>
      </c>
      <c r="O1029">
        <f>IF(L1029="", "Pending", IF(N1029&lt;=30, "Met", "Breached"))</f>
        <v/>
      </c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  <c r="Y1029" s="8" t="n"/>
    </row>
    <row r="1030">
      <c r="A1030" s="8" t="n"/>
      <c r="B1030" s="8" t="n"/>
      <c r="C1030" s="8" t="n"/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9">
        <f>B1030+30</f>
        <v/>
      </c>
      <c r="N1030">
        <f>IF(L1030="", "", L1030-B1030)</f>
        <v/>
      </c>
      <c r="O1030">
        <f>IF(L1030="", "Pending", IF(N1030&lt;=30, "Met", "Breached"))</f>
        <v/>
      </c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  <c r="Y1030" s="8" t="n"/>
    </row>
    <row r="1031">
      <c r="A1031" s="8" t="n"/>
      <c r="B1031" s="8" t="n"/>
      <c r="C1031" s="8" t="n"/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9">
        <f>B1031+30</f>
        <v/>
      </c>
      <c r="N1031">
        <f>IF(L1031="", "", L1031-B1031)</f>
        <v/>
      </c>
      <c r="O1031">
        <f>IF(L1031="", "Pending", IF(N1031&lt;=30, "Met", "Breached"))</f>
        <v/>
      </c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  <c r="Y1031" s="8" t="n"/>
    </row>
    <row r="1032">
      <c r="A1032" s="8" t="n"/>
      <c r="B1032" s="8" t="n"/>
      <c r="C1032" s="8" t="n"/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9">
        <f>B1032+30</f>
        <v/>
      </c>
      <c r="N1032">
        <f>IF(L1032="", "", L1032-B1032)</f>
        <v/>
      </c>
      <c r="O1032">
        <f>IF(L1032="", "Pending", IF(N1032&lt;=30, "Met", "Breached"))</f>
        <v/>
      </c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  <c r="Y1032" s="8" t="n"/>
    </row>
    <row r="1033">
      <c r="A1033" s="8" t="n"/>
      <c r="B1033" s="8" t="n"/>
      <c r="C1033" s="8" t="n"/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9">
        <f>B1033+30</f>
        <v/>
      </c>
      <c r="N1033">
        <f>IF(L1033="", "", L1033-B1033)</f>
        <v/>
      </c>
      <c r="O1033">
        <f>IF(L1033="", "Pending", IF(N1033&lt;=30, "Met", "Breached"))</f>
        <v/>
      </c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  <c r="Y1033" s="8" t="n"/>
    </row>
    <row r="1034">
      <c r="A1034" s="8" t="n"/>
      <c r="B1034" s="8" t="n"/>
      <c r="C1034" s="8" t="n"/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9">
        <f>B1034+30</f>
        <v/>
      </c>
      <c r="N1034">
        <f>IF(L1034="", "", L1034-B1034)</f>
        <v/>
      </c>
      <c r="O1034">
        <f>IF(L1034="", "Pending", IF(N1034&lt;=30, "Met", "Breached"))</f>
        <v/>
      </c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  <c r="Y1034" s="8" t="n"/>
    </row>
    <row r="1035">
      <c r="A1035" s="8" t="n"/>
      <c r="B1035" s="8" t="n"/>
      <c r="C1035" s="8" t="n"/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9">
        <f>B1035+30</f>
        <v/>
      </c>
      <c r="N1035">
        <f>IF(L1035="", "", L1035-B1035)</f>
        <v/>
      </c>
      <c r="O1035">
        <f>IF(L1035="", "Pending", IF(N1035&lt;=30, "Met", "Breached"))</f>
        <v/>
      </c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  <c r="Y1035" s="8" t="n"/>
    </row>
    <row r="1036">
      <c r="A1036" s="8" t="n"/>
      <c r="B1036" s="8" t="n"/>
      <c r="C1036" s="8" t="n"/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9">
        <f>B1036+30</f>
        <v/>
      </c>
      <c r="N1036">
        <f>IF(L1036="", "", L1036-B1036)</f>
        <v/>
      </c>
      <c r="O1036">
        <f>IF(L1036="", "Pending", IF(N1036&lt;=30, "Met", "Breached"))</f>
        <v/>
      </c>
      <c r="P1036" s="8" t="n"/>
      <c r="Q1036" s="8" t="n"/>
      <c r="R1036" s="8" t="n"/>
      <c r="S1036" s="8" t="n"/>
      <c r="T1036" s="8" t="n"/>
      <c r="U1036" s="8" t="n"/>
      <c r="V1036" s="8" t="n"/>
      <c r="W1036" s="8" t="n"/>
      <c r="X1036" s="8" t="n"/>
      <c r="Y1036" s="8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9">
        <f>B1037+30</f>
        <v/>
      </c>
      <c r="N1037">
        <f>IF(L1037="", "", L1037-B1037)</f>
        <v/>
      </c>
      <c r="O1037">
        <f>IF(L1037="", "Pending", IF(N1037&lt;=30, "Met", "Breached"))</f>
        <v/>
      </c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 t="n"/>
      <c r="Y1037" s="8" t="n"/>
    </row>
    <row r="1038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9">
        <f>B1038+30</f>
        <v/>
      </c>
      <c r="N1038">
        <f>IF(L1038="", "", L1038-B1038)</f>
        <v/>
      </c>
      <c r="O1038">
        <f>IF(L1038="", "Pending", IF(N1038&lt;=30, "Met", "Breached"))</f>
        <v/>
      </c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  <c r="Y1038" s="8" t="n"/>
    </row>
    <row r="1039">
      <c r="A1039" s="8" t="n"/>
      <c r="B1039" s="8" t="n"/>
      <c r="C1039" s="8" t="n"/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9">
        <f>B1039+30</f>
        <v/>
      </c>
      <c r="N1039">
        <f>IF(L1039="", "", L1039-B1039)</f>
        <v/>
      </c>
      <c r="O1039">
        <f>IF(L1039="", "Pending", IF(N1039&lt;=30, "Met", "Breached"))</f>
        <v/>
      </c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  <c r="Y1039" s="8" t="n"/>
    </row>
    <row r="1040">
      <c r="A1040" s="8" t="n"/>
      <c r="B1040" s="8" t="n"/>
      <c r="C1040" s="8" t="n"/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9">
        <f>B1040+30</f>
        <v/>
      </c>
      <c r="N1040">
        <f>IF(L1040="", "", L1040-B1040)</f>
        <v/>
      </c>
      <c r="O1040">
        <f>IF(L1040="", "Pending", IF(N1040&lt;=30, "Met", "Breached"))</f>
        <v/>
      </c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  <c r="Y1040" s="8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9">
        <f>B1041+30</f>
        <v/>
      </c>
      <c r="N1041">
        <f>IF(L1041="", "", L1041-B1041)</f>
        <v/>
      </c>
      <c r="O1041">
        <f>IF(L1041="", "Pending", IF(N1041&lt;=30, "Met", "Breached"))</f>
        <v/>
      </c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  <c r="Y1041" s="8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9">
        <f>B1042+30</f>
        <v/>
      </c>
      <c r="N1042">
        <f>IF(L1042="", "", L1042-B1042)</f>
        <v/>
      </c>
      <c r="O1042">
        <f>IF(L1042="", "Pending", IF(N1042&lt;=30, "Met", "Breached"))</f>
        <v/>
      </c>
      <c r="P1042" s="8" t="n"/>
      <c r="Q1042" s="8" t="n"/>
      <c r="R1042" s="8" t="n"/>
      <c r="S1042" s="8" t="n"/>
      <c r="T1042" s="8" t="n"/>
      <c r="U1042" s="8" t="n"/>
      <c r="V1042" s="8" t="n"/>
      <c r="W1042" s="8" t="n"/>
      <c r="X1042" s="8" t="n"/>
      <c r="Y1042" s="8" t="n"/>
    </row>
    <row r="1043">
      <c r="A1043" s="8" t="n"/>
      <c r="B1043" s="8" t="n"/>
      <c r="C1043" s="8" t="n"/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9">
        <f>B1043+30</f>
        <v/>
      </c>
      <c r="N1043">
        <f>IF(L1043="", "", L1043-B1043)</f>
        <v/>
      </c>
      <c r="O1043">
        <f>IF(L1043="", "Pending", IF(N1043&lt;=30, "Met", "Breached"))</f>
        <v/>
      </c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  <c r="Y1043" s="8" t="n"/>
    </row>
    <row r="1044">
      <c r="A1044" s="8" t="n"/>
      <c r="B1044" s="8" t="n"/>
      <c r="C1044" s="8" t="n"/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9">
        <f>B1044+30</f>
        <v/>
      </c>
      <c r="N1044">
        <f>IF(L1044="", "", L1044-B1044)</f>
        <v/>
      </c>
      <c r="O1044">
        <f>IF(L1044="", "Pending", IF(N1044&lt;=30, "Met", "Breached"))</f>
        <v/>
      </c>
      <c r="P1044" s="8" t="n"/>
      <c r="Q1044" s="8" t="n"/>
      <c r="R1044" s="8" t="n"/>
      <c r="S1044" s="8" t="n"/>
      <c r="T1044" s="8" t="n"/>
      <c r="U1044" s="8" t="n"/>
      <c r="V1044" s="8" t="n"/>
      <c r="W1044" s="8" t="n"/>
      <c r="X1044" s="8" t="n"/>
      <c r="Y1044" s="8" t="n"/>
    </row>
    <row r="1045">
      <c r="A1045" s="8" t="n"/>
      <c r="B1045" s="8" t="n"/>
      <c r="C1045" s="8" t="n"/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9">
        <f>B1045+30</f>
        <v/>
      </c>
      <c r="N1045">
        <f>IF(L1045="", "", L1045-B1045)</f>
        <v/>
      </c>
      <c r="O1045">
        <f>IF(L1045="", "Pending", IF(N1045&lt;=30, "Met", "Breached"))</f>
        <v/>
      </c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  <c r="Y1045" s="8" t="n"/>
    </row>
    <row r="1046">
      <c r="A1046" s="8" t="n"/>
      <c r="B1046" s="8" t="n"/>
      <c r="C1046" s="8" t="n"/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9">
        <f>B1046+30</f>
        <v/>
      </c>
      <c r="N1046">
        <f>IF(L1046="", "", L1046-B1046)</f>
        <v/>
      </c>
      <c r="O1046">
        <f>IF(L1046="", "Pending", IF(N1046&lt;=30, "Met", "Breached"))</f>
        <v/>
      </c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  <c r="Y1046" s="8" t="n"/>
    </row>
    <row r="1047">
      <c r="A1047" s="8" t="n"/>
      <c r="B1047" s="8" t="n"/>
      <c r="C1047" s="8" t="n"/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9">
        <f>B1047+30</f>
        <v/>
      </c>
      <c r="N1047">
        <f>IF(L1047="", "", L1047-B1047)</f>
        <v/>
      </c>
      <c r="O1047">
        <f>IF(L1047="", "Pending", IF(N1047&lt;=30, "Met", "Breached"))</f>
        <v/>
      </c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  <c r="Y1047" s="8" t="n"/>
    </row>
    <row r="1048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9">
        <f>B1048+30</f>
        <v/>
      </c>
      <c r="N1048">
        <f>IF(L1048="", "", L1048-B1048)</f>
        <v/>
      </c>
      <c r="O1048">
        <f>IF(L1048="", "Pending", IF(N1048&lt;=30, "Met", "Breached"))</f>
        <v/>
      </c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 t="n"/>
      <c r="Y1048" s="8" t="n"/>
    </row>
    <row r="1049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9">
        <f>B1049+30</f>
        <v/>
      </c>
      <c r="N1049">
        <f>IF(L1049="", "", L1049-B1049)</f>
        <v/>
      </c>
      <c r="O1049">
        <f>IF(L1049="", "Pending", IF(N1049&lt;=30, "Met", "Breached"))</f>
        <v/>
      </c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 t="n"/>
      <c r="Y1049" s="8" t="n"/>
    </row>
    <row r="1050">
      <c r="A1050" s="8" t="n"/>
      <c r="B1050" s="8" t="n"/>
      <c r="C1050" s="8" t="n"/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9">
        <f>B1050+30</f>
        <v/>
      </c>
      <c r="N1050">
        <f>IF(L1050="", "", L1050-B1050)</f>
        <v/>
      </c>
      <c r="O1050">
        <f>IF(L1050="", "Pending", IF(N1050&lt;=30, "Met", "Breached"))</f>
        <v/>
      </c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  <c r="Y1050" s="8" t="n"/>
    </row>
    <row r="1051">
      <c r="A1051" s="8" t="n"/>
      <c r="B1051" s="8" t="n"/>
      <c r="C1051" s="8" t="n"/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9">
        <f>B1051+30</f>
        <v/>
      </c>
      <c r="N1051">
        <f>IF(L1051="", "", L1051-B1051)</f>
        <v/>
      </c>
      <c r="O1051">
        <f>IF(L1051="", "Pending", IF(N1051&lt;=30, "Met", "Breached"))</f>
        <v/>
      </c>
      <c r="P1051" s="8" t="n"/>
      <c r="Q1051" s="8" t="n"/>
      <c r="R1051" s="8" t="n"/>
      <c r="S1051" s="8" t="n"/>
      <c r="T1051" s="8" t="n"/>
      <c r="U1051" s="8" t="n"/>
      <c r="V1051" s="8" t="n"/>
      <c r="W1051" s="8" t="n"/>
      <c r="X1051" s="8" t="n"/>
      <c r="Y1051" s="8" t="n"/>
    </row>
    <row r="1052">
      <c r="A1052" s="8" t="n"/>
      <c r="B1052" s="8" t="n"/>
      <c r="C1052" s="8" t="n"/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9">
        <f>B1052+30</f>
        <v/>
      </c>
      <c r="N1052">
        <f>IF(L1052="", "", L1052-B1052)</f>
        <v/>
      </c>
      <c r="O1052">
        <f>IF(L1052="", "Pending", IF(N1052&lt;=30, "Met", "Breached"))</f>
        <v/>
      </c>
      <c r="P1052" s="8" t="n"/>
      <c r="Q1052" s="8" t="n"/>
      <c r="R1052" s="8" t="n"/>
      <c r="S1052" s="8" t="n"/>
      <c r="T1052" s="8" t="n"/>
      <c r="U1052" s="8" t="n"/>
      <c r="V1052" s="8" t="n"/>
      <c r="W1052" s="8" t="n"/>
      <c r="X1052" s="8" t="n"/>
      <c r="Y1052" s="8" t="n"/>
    </row>
    <row r="1053">
      <c r="A1053" s="8" t="n"/>
      <c r="B1053" s="8" t="n"/>
      <c r="C1053" s="8" t="n"/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9">
        <f>B1053+30</f>
        <v/>
      </c>
      <c r="N1053">
        <f>IF(L1053="", "", L1053-B1053)</f>
        <v/>
      </c>
      <c r="O1053">
        <f>IF(L1053="", "Pending", IF(N1053&lt;=30, "Met", "Breached"))</f>
        <v/>
      </c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  <c r="Y1053" s="8" t="n"/>
    </row>
    <row r="1054">
      <c r="A1054" s="8" t="n"/>
      <c r="B1054" s="8" t="n"/>
      <c r="C1054" s="8" t="n"/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9">
        <f>B1054+30</f>
        <v/>
      </c>
      <c r="N1054">
        <f>IF(L1054="", "", L1054-B1054)</f>
        <v/>
      </c>
      <c r="O1054">
        <f>IF(L1054="", "Pending", IF(N1054&lt;=30, "Met", "Breached"))</f>
        <v/>
      </c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  <c r="Y1054" s="8" t="n"/>
    </row>
    <row r="1055">
      <c r="A1055" s="8" t="n"/>
      <c r="B1055" s="8" t="n"/>
      <c r="C1055" s="8" t="n"/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9">
        <f>B1055+30</f>
        <v/>
      </c>
      <c r="N1055">
        <f>IF(L1055="", "", L1055-B1055)</f>
        <v/>
      </c>
      <c r="O1055">
        <f>IF(L1055="", "Pending", IF(N1055&lt;=30, "Met", "Breached"))</f>
        <v/>
      </c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  <c r="Y1055" s="8" t="n"/>
    </row>
    <row r="1056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9">
        <f>B1056+30</f>
        <v/>
      </c>
      <c r="N1056">
        <f>IF(L1056="", "", L1056-B1056)</f>
        <v/>
      </c>
      <c r="O1056">
        <f>IF(L1056="", "Pending", IF(N1056&lt;=30, "Met", "Breached"))</f>
        <v/>
      </c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 t="n"/>
      <c r="Y1056" s="8" t="n"/>
    </row>
    <row r="1057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9">
        <f>B1057+30</f>
        <v/>
      </c>
      <c r="N1057">
        <f>IF(L1057="", "", L1057-B1057)</f>
        <v/>
      </c>
      <c r="O1057">
        <f>IF(L1057="", "Pending", IF(N1057&lt;=30, "Met", "Breached"))</f>
        <v/>
      </c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  <c r="Y1057" s="8" t="n"/>
    </row>
    <row r="1058">
      <c r="A1058" s="8" t="n"/>
      <c r="B1058" s="8" t="n"/>
      <c r="C1058" s="8" t="n"/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9">
        <f>B1058+30</f>
        <v/>
      </c>
      <c r="N1058">
        <f>IF(L1058="", "", L1058-B1058)</f>
        <v/>
      </c>
      <c r="O1058">
        <f>IF(L1058="", "Pending", IF(N1058&lt;=30, "Met", "Breached"))</f>
        <v/>
      </c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  <c r="Y1058" s="8" t="n"/>
    </row>
    <row r="1059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9">
        <f>B1059+30</f>
        <v/>
      </c>
      <c r="N1059">
        <f>IF(L1059="", "", L1059-B1059)</f>
        <v/>
      </c>
      <c r="O1059">
        <f>IF(L1059="", "Pending", IF(N1059&lt;=30, "Met", "Breached"))</f>
        <v/>
      </c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</row>
    <row r="1060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9">
        <f>B1060+30</f>
        <v/>
      </c>
      <c r="N1060">
        <f>IF(L1060="", "", L1060-B1060)</f>
        <v/>
      </c>
      <c r="O1060">
        <f>IF(L1060="", "Pending", IF(N1060&lt;=30, "Met", "Breached"))</f>
        <v/>
      </c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  <c r="Y1060" s="8" t="n"/>
    </row>
    <row r="1061">
      <c r="A1061" s="8" t="n"/>
      <c r="B1061" s="8" t="n"/>
      <c r="C1061" s="8" t="n"/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9">
        <f>B1061+30</f>
        <v/>
      </c>
      <c r="N1061">
        <f>IF(L1061="", "", L1061-B1061)</f>
        <v/>
      </c>
      <c r="O1061">
        <f>IF(L1061="", "Pending", IF(N1061&lt;=30, "Met", "Breached"))</f>
        <v/>
      </c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 t="n"/>
      <c r="Y1061" s="8" t="n"/>
    </row>
    <row r="1062">
      <c r="A1062" s="8" t="n"/>
      <c r="B1062" s="8" t="n"/>
      <c r="C1062" s="8" t="n"/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9">
        <f>B1062+30</f>
        <v/>
      </c>
      <c r="N1062">
        <f>IF(L1062="", "", L1062-B1062)</f>
        <v/>
      </c>
      <c r="O1062">
        <f>IF(L1062="", "Pending", IF(N1062&lt;=30, "Met", "Breached"))</f>
        <v/>
      </c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  <c r="Y1062" s="8" t="n"/>
    </row>
    <row r="1063">
      <c r="A1063" s="8" t="n"/>
      <c r="B1063" s="8" t="n"/>
      <c r="C1063" s="8" t="n"/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9">
        <f>B1063+30</f>
        <v/>
      </c>
      <c r="N1063">
        <f>IF(L1063="", "", L1063-B1063)</f>
        <v/>
      </c>
      <c r="O1063">
        <f>IF(L1063="", "Pending", IF(N1063&lt;=30, "Met", "Breached"))</f>
        <v/>
      </c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 t="n"/>
      <c r="Y1063" s="8" t="n"/>
    </row>
    <row r="1064">
      <c r="A1064" s="8" t="n"/>
      <c r="B1064" s="8" t="n"/>
      <c r="C1064" s="8" t="n"/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9">
        <f>B1064+30</f>
        <v/>
      </c>
      <c r="N1064">
        <f>IF(L1064="", "", L1064-B1064)</f>
        <v/>
      </c>
      <c r="O1064">
        <f>IF(L1064="", "Pending", IF(N1064&lt;=30, "Met", "Breached"))</f>
        <v/>
      </c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 t="n"/>
      <c r="Y1064" s="8" t="n"/>
    </row>
    <row r="1065">
      <c r="A1065" s="8" t="n"/>
      <c r="B1065" s="8" t="n"/>
      <c r="C1065" s="8" t="n"/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9">
        <f>B1065+30</f>
        <v/>
      </c>
      <c r="N1065">
        <f>IF(L1065="", "", L1065-B1065)</f>
        <v/>
      </c>
      <c r="O1065">
        <f>IF(L1065="", "Pending", IF(N1065&lt;=30, "Met", "Breached"))</f>
        <v/>
      </c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  <c r="Y1065" s="8" t="n"/>
    </row>
    <row r="1066">
      <c r="A1066" s="8" t="n"/>
      <c r="B1066" s="8" t="n"/>
      <c r="C1066" s="8" t="n"/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9">
        <f>B1066+30</f>
        <v/>
      </c>
      <c r="N1066">
        <f>IF(L1066="", "", L1066-B1066)</f>
        <v/>
      </c>
      <c r="O1066">
        <f>IF(L1066="", "Pending", IF(N1066&lt;=30, "Met", "Breached"))</f>
        <v/>
      </c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 t="n"/>
      <c r="Y1066" s="8" t="n"/>
    </row>
    <row r="1067">
      <c r="A1067" s="8" t="n"/>
      <c r="B1067" s="8" t="n"/>
      <c r="C1067" s="8" t="n"/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9">
        <f>B1067+30</f>
        <v/>
      </c>
      <c r="N1067">
        <f>IF(L1067="", "", L1067-B1067)</f>
        <v/>
      </c>
      <c r="O1067">
        <f>IF(L1067="", "Pending", IF(N1067&lt;=30, "Met", "Breached"))</f>
        <v/>
      </c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  <c r="Y1067" s="8" t="n"/>
    </row>
    <row r="1068">
      <c r="A1068" s="8" t="n"/>
      <c r="B1068" s="8" t="n"/>
      <c r="C1068" s="8" t="n"/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9">
        <f>B1068+30</f>
        <v/>
      </c>
      <c r="N1068">
        <f>IF(L1068="", "", L1068-B1068)</f>
        <v/>
      </c>
      <c r="O1068">
        <f>IF(L1068="", "Pending", IF(N1068&lt;=30, "Met", "Breached"))</f>
        <v/>
      </c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 t="n"/>
      <c r="Y1068" s="8" t="n"/>
    </row>
    <row r="1069">
      <c r="A1069" s="8" t="n"/>
      <c r="B1069" s="8" t="n"/>
      <c r="C1069" s="8" t="n"/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9">
        <f>B1069+30</f>
        <v/>
      </c>
      <c r="N1069">
        <f>IF(L1069="", "", L1069-B1069)</f>
        <v/>
      </c>
      <c r="O1069">
        <f>IF(L1069="", "Pending", IF(N1069&lt;=30, "Met", "Breached"))</f>
        <v/>
      </c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  <c r="Y1069" s="8" t="n"/>
    </row>
    <row r="1070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9">
        <f>B1070+30</f>
        <v/>
      </c>
      <c r="N1070">
        <f>IF(L1070="", "", L1070-B1070)</f>
        <v/>
      </c>
      <c r="O1070">
        <f>IF(L1070="", "Pending", IF(N1070&lt;=30, "Met", "Breached"))</f>
        <v/>
      </c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  <c r="Y1070" s="8" t="n"/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9">
        <f>B1071+30</f>
        <v/>
      </c>
      <c r="N1071">
        <f>IF(L1071="", "", L1071-B1071)</f>
        <v/>
      </c>
      <c r="O1071">
        <f>IF(L1071="", "Pending", IF(N1071&lt;=30, "Met", "Breached"))</f>
        <v/>
      </c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 t="n"/>
      <c r="Y1071" s="8" t="n"/>
    </row>
    <row r="1072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9">
        <f>B1072+30</f>
        <v/>
      </c>
      <c r="N1072">
        <f>IF(L1072="", "", L1072-B1072)</f>
        <v/>
      </c>
      <c r="O1072">
        <f>IF(L1072="", "Pending", IF(N1072&lt;=30, "Met", "Breached"))</f>
        <v/>
      </c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  <c r="Y1072" s="8" t="n"/>
    </row>
    <row r="1073">
      <c r="A1073" s="8" t="n"/>
      <c r="B1073" s="8" t="n"/>
      <c r="C1073" s="8" t="n"/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9">
        <f>B1073+30</f>
        <v/>
      </c>
      <c r="N1073">
        <f>IF(L1073="", "", L1073-B1073)</f>
        <v/>
      </c>
      <c r="O1073">
        <f>IF(L1073="", "Pending", IF(N1073&lt;=30, "Met", "Breached"))</f>
        <v/>
      </c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 t="n"/>
      <c r="Y1073" s="8" t="n"/>
    </row>
    <row r="1074">
      <c r="A1074" s="8" t="n"/>
      <c r="B1074" s="8" t="n"/>
      <c r="C1074" s="8" t="n"/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9">
        <f>B1074+30</f>
        <v/>
      </c>
      <c r="N1074">
        <f>IF(L1074="", "", L1074-B1074)</f>
        <v/>
      </c>
      <c r="O1074">
        <f>IF(L1074="", "Pending", IF(N1074&lt;=30, "Met", "Breached"))</f>
        <v/>
      </c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 t="n"/>
      <c r="Y1074" s="8" t="n"/>
    </row>
    <row r="1075">
      <c r="A1075" s="8" t="n"/>
      <c r="B1075" s="8" t="n"/>
      <c r="C1075" s="8" t="n"/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9">
        <f>B1075+30</f>
        <v/>
      </c>
      <c r="N1075">
        <f>IF(L1075="", "", L1075-B1075)</f>
        <v/>
      </c>
      <c r="O1075">
        <f>IF(L1075="", "Pending", IF(N1075&lt;=30, "Met", "Breached"))</f>
        <v/>
      </c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 t="n"/>
      <c r="Y1075" s="8" t="n"/>
    </row>
    <row r="1076">
      <c r="A1076" s="8" t="n"/>
      <c r="B1076" s="8" t="n"/>
      <c r="C1076" s="8" t="n"/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9">
        <f>B1076+30</f>
        <v/>
      </c>
      <c r="N1076">
        <f>IF(L1076="", "", L1076-B1076)</f>
        <v/>
      </c>
      <c r="O1076">
        <f>IF(L1076="", "Pending", IF(N1076&lt;=30, "Met", "Breached"))</f>
        <v/>
      </c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  <c r="Y1076" s="8" t="n"/>
    </row>
    <row r="1077">
      <c r="A1077" s="8" t="n"/>
      <c r="B1077" s="8" t="n"/>
      <c r="C1077" s="8" t="n"/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9">
        <f>B1077+30</f>
        <v/>
      </c>
      <c r="N1077">
        <f>IF(L1077="", "", L1077-B1077)</f>
        <v/>
      </c>
      <c r="O1077">
        <f>IF(L1077="", "Pending", IF(N1077&lt;=30, "Met", "Breached"))</f>
        <v/>
      </c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  <c r="Y1077" s="8" t="n"/>
    </row>
    <row r="1078">
      <c r="A1078" s="8" t="n"/>
      <c r="B1078" s="8" t="n"/>
      <c r="C1078" s="8" t="n"/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9">
        <f>B1078+30</f>
        <v/>
      </c>
      <c r="N1078">
        <f>IF(L1078="", "", L1078-B1078)</f>
        <v/>
      </c>
      <c r="O1078">
        <f>IF(L1078="", "Pending", IF(N1078&lt;=30, "Met", "Breached"))</f>
        <v/>
      </c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 t="n"/>
      <c r="Y1078" s="8" t="n"/>
    </row>
    <row r="1079">
      <c r="A1079" s="8" t="n"/>
      <c r="B1079" s="8" t="n"/>
      <c r="C1079" s="8" t="n"/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9">
        <f>B1079+30</f>
        <v/>
      </c>
      <c r="N1079">
        <f>IF(L1079="", "", L1079-B1079)</f>
        <v/>
      </c>
      <c r="O1079">
        <f>IF(L1079="", "Pending", IF(N1079&lt;=30, "Met", "Breached"))</f>
        <v/>
      </c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 t="n"/>
      <c r="Y1079" s="8" t="n"/>
    </row>
    <row r="1080">
      <c r="A1080" s="8" t="n"/>
      <c r="B1080" s="8" t="n"/>
      <c r="C1080" s="8" t="n"/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9">
        <f>B1080+30</f>
        <v/>
      </c>
      <c r="N1080">
        <f>IF(L1080="", "", L1080-B1080)</f>
        <v/>
      </c>
      <c r="O1080">
        <f>IF(L1080="", "Pending", IF(N1080&lt;=30, "Met", "Breached"))</f>
        <v/>
      </c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 t="n"/>
      <c r="Y1080" s="8" t="n"/>
    </row>
    <row r="1081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9">
        <f>B1081+30</f>
        <v/>
      </c>
      <c r="N1081">
        <f>IF(L1081="", "", L1081-B1081)</f>
        <v/>
      </c>
      <c r="O1081">
        <f>IF(L1081="", "Pending", IF(N1081&lt;=30, "Met", "Breached"))</f>
        <v/>
      </c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  <c r="Y1081" s="8" t="n"/>
    </row>
    <row r="1082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9">
        <f>B1082+30</f>
        <v/>
      </c>
      <c r="N1082">
        <f>IF(L1082="", "", L1082-B1082)</f>
        <v/>
      </c>
      <c r="O1082">
        <f>IF(L1082="", "Pending", IF(N1082&lt;=30, "Met", "Breached"))</f>
        <v/>
      </c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 t="n"/>
      <c r="Y1082" s="8" t="n"/>
    </row>
    <row r="1083">
      <c r="A1083" s="8" t="n"/>
      <c r="B1083" s="8" t="n"/>
      <c r="C1083" s="8" t="n"/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9">
        <f>B1083+30</f>
        <v/>
      </c>
      <c r="N1083">
        <f>IF(L1083="", "", L1083-B1083)</f>
        <v/>
      </c>
      <c r="O1083">
        <f>IF(L1083="", "Pending", IF(N1083&lt;=30, "Met", "Breached"))</f>
        <v/>
      </c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  <c r="Y1083" s="8" t="n"/>
    </row>
    <row r="1084">
      <c r="A1084" s="8" t="n"/>
      <c r="B1084" s="8" t="n"/>
      <c r="C1084" s="8" t="n"/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9">
        <f>B1084+30</f>
        <v/>
      </c>
      <c r="N1084">
        <f>IF(L1084="", "", L1084-B1084)</f>
        <v/>
      </c>
      <c r="O1084">
        <f>IF(L1084="", "Pending", IF(N1084&lt;=30, "Met", "Breached"))</f>
        <v/>
      </c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 t="n"/>
      <c r="Y1084" s="8" t="n"/>
    </row>
    <row r="1085">
      <c r="A1085" s="8" t="n"/>
      <c r="B1085" s="8" t="n"/>
      <c r="C1085" s="8" t="n"/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9">
        <f>B1085+30</f>
        <v/>
      </c>
      <c r="N1085">
        <f>IF(L1085="", "", L1085-B1085)</f>
        <v/>
      </c>
      <c r="O1085">
        <f>IF(L1085="", "Pending", IF(N1085&lt;=30, "Met", "Breached"))</f>
        <v/>
      </c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  <c r="Y1085" s="8" t="n"/>
    </row>
    <row r="1086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9">
        <f>B1086+30</f>
        <v/>
      </c>
      <c r="N1086">
        <f>IF(L1086="", "", L1086-B1086)</f>
        <v/>
      </c>
      <c r="O1086">
        <f>IF(L1086="", "Pending", IF(N1086&lt;=30, "Met", "Breached"))</f>
        <v/>
      </c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  <c r="Y1086" s="8" t="n"/>
    </row>
    <row r="1087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9">
        <f>B1087+30</f>
        <v/>
      </c>
      <c r="N1087">
        <f>IF(L1087="", "", L1087-B1087)</f>
        <v/>
      </c>
      <c r="O1087">
        <f>IF(L1087="", "Pending", IF(N1087&lt;=30, "Met", "Breached"))</f>
        <v/>
      </c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  <c r="Y1087" s="8" t="n"/>
    </row>
    <row r="1088">
      <c r="A1088" s="8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9">
        <f>B1088+30</f>
        <v/>
      </c>
      <c r="N1088">
        <f>IF(L1088="", "", L1088-B1088)</f>
        <v/>
      </c>
      <c r="O1088">
        <f>IF(L1088="", "Pending", IF(N1088&lt;=30, "Met", "Breached"))</f>
        <v/>
      </c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  <c r="Y1088" s="8" t="n"/>
    </row>
    <row r="1089">
      <c r="A1089" s="8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9">
        <f>B1089+30</f>
        <v/>
      </c>
      <c r="N1089">
        <f>IF(L1089="", "", L1089-B1089)</f>
        <v/>
      </c>
      <c r="O1089">
        <f>IF(L1089="", "Pending", IF(N1089&lt;=30, "Met", "Breached"))</f>
        <v/>
      </c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  <c r="Y1089" s="8" t="n"/>
    </row>
    <row r="1090">
      <c r="A1090" s="8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9">
        <f>B1090+30</f>
        <v/>
      </c>
      <c r="N1090">
        <f>IF(L1090="", "", L1090-B1090)</f>
        <v/>
      </c>
      <c r="O1090">
        <f>IF(L1090="", "Pending", IF(N1090&lt;=30, "Met", "Breached"))</f>
        <v/>
      </c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 t="n"/>
      <c r="Y1090" s="8" t="n"/>
    </row>
    <row r="1091">
      <c r="A1091" s="8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9">
        <f>B1091+30</f>
        <v/>
      </c>
      <c r="N1091">
        <f>IF(L1091="", "", L1091-B1091)</f>
        <v/>
      </c>
      <c r="O1091">
        <f>IF(L1091="", "Pending", IF(N1091&lt;=30, "Met", "Breached"))</f>
        <v/>
      </c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 t="n"/>
      <c r="Y1091" s="8" t="n"/>
    </row>
    <row r="1092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9">
        <f>B1092+30</f>
        <v/>
      </c>
      <c r="N1092">
        <f>IF(L1092="", "", L1092-B1092)</f>
        <v/>
      </c>
      <c r="O1092">
        <f>IF(L1092="", "Pending", IF(N1092&lt;=30, "Met", "Breached"))</f>
        <v/>
      </c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  <c r="Y1092" s="8" t="n"/>
    </row>
    <row r="1093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9">
        <f>B1093+30</f>
        <v/>
      </c>
      <c r="N1093">
        <f>IF(L1093="", "", L1093-B1093)</f>
        <v/>
      </c>
      <c r="O1093">
        <f>IF(L1093="", "Pending", IF(N1093&lt;=30, "Met", "Breached"))</f>
        <v/>
      </c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  <c r="Y1093" s="8" t="n"/>
    </row>
    <row r="1094">
      <c r="A1094" s="8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9">
        <f>B1094+30</f>
        <v/>
      </c>
      <c r="N1094">
        <f>IF(L1094="", "", L1094-B1094)</f>
        <v/>
      </c>
      <c r="O1094">
        <f>IF(L1094="", "Pending", IF(N1094&lt;=30, "Met", "Breached"))</f>
        <v/>
      </c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 t="n"/>
      <c r="Y1094" s="8" t="n"/>
    </row>
    <row r="1095">
      <c r="A1095" s="8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9">
        <f>B1095+30</f>
        <v/>
      </c>
      <c r="N1095">
        <f>IF(L1095="", "", L1095-B1095)</f>
        <v/>
      </c>
      <c r="O1095">
        <f>IF(L1095="", "Pending", IF(N1095&lt;=30, "Met", "Breached"))</f>
        <v/>
      </c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  <c r="Y1095" s="8" t="n"/>
    </row>
    <row r="1096">
      <c r="A1096" s="8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9">
        <f>B1096+30</f>
        <v/>
      </c>
      <c r="N1096">
        <f>IF(L1096="", "", L1096-B1096)</f>
        <v/>
      </c>
      <c r="O1096">
        <f>IF(L1096="", "Pending", IF(N1096&lt;=30, "Met", "Breached"))</f>
        <v/>
      </c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 t="n"/>
      <c r="Y1096" s="8" t="n"/>
    </row>
    <row r="1097">
      <c r="A1097" s="8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9">
        <f>B1097+30</f>
        <v/>
      </c>
      <c r="N1097">
        <f>IF(L1097="", "", L1097-B1097)</f>
        <v/>
      </c>
      <c r="O1097">
        <f>IF(L1097="", "Pending", IF(N1097&lt;=30, "Met", "Breached"))</f>
        <v/>
      </c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  <c r="Y1097" s="8" t="n"/>
    </row>
    <row r="1098">
      <c r="A1098" s="8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9">
        <f>B1098+30</f>
        <v/>
      </c>
      <c r="N1098">
        <f>IF(L1098="", "", L1098-B1098)</f>
        <v/>
      </c>
      <c r="O1098">
        <f>IF(L1098="", "Pending", IF(N1098&lt;=30, "Met", "Breached"))</f>
        <v/>
      </c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  <c r="Y1098" s="8" t="n"/>
    </row>
    <row r="1099">
      <c r="A1099" s="8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9">
        <f>B1099+30</f>
        <v/>
      </c>
      <c r="N1099">
        <f>IF(L1099="", "", L1099-B1099)</f>
        <v/>
      </c>
      <c r="O1099">
        <f>IF(L1099="", "Pending", IF(N1099&lt;=30, "Met", "Breached"))</f>
        <v/>
      </c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 t="n"/>
      <c r="Y1099" s="8" t="n"/>
    </row>
    <row r="1100">
      <c r="A1100" s="8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9">
        <f>B1100+30</f>
        <v/>
      </c>
      <c r="N1100">
        <f>IF(L1100="", "", L1100-B1100)</f>
        <v/>
      </c>
      <c r="O1100">
        <f>IF(L1100="", "Pending", IF(N1100&lt;=30, "Met", "Breached"))</f>
        <v/>
      </c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 t="n"/>
      <c r="Y1100" s="8" t="n"/>
    </row>
    <row r="1101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9">
        <f>B1101+30</f>
        <v/>
      </c>
      <c r="N1101">
        <f>IF(L1101="", "", L1101-B1101)</f>
        <v/>
      </c>
      <c r="O1101">
        <f>IF(L1101="", "Pending", IF(N1101&lt;=30, "Met", "Breached"))</f>
        <v/>
      </c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 t="n"/>
      <c r="Y1101" s="8" t="n"/>
    </row>
    <row r="1102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9">
        <f>B1102+30</f>
        <v/>
      </c>
      <c r="N1102">
        <f>IF(L1102="", "", L1102-B1102)</f>
        <v/>
      </c>
      <c r="O1102">
        <f>IF(L1102="", "Pending", IF(N1102&lt;=30, "Met", "Breached"))</f>
        <v/>
      </c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 t="n"/>
      <c r="Y1102" s="8" t="n"/>
    </row>
    <row r="1103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9">
        <f>B1103+30</f>
        <v/>
      </c>
      <c r="N1103">
        <f>IF(L1103="", "", L1103-B1103)</f>
        <v/>
      </c>
      <c r="O1103">
        <f>IF(L1103="", "Pending", IF(N1103&lt;=30, "Met", "Breached"))</f>
        <v/>
      </c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  <c r="Y1103" s="8" t="n"/>
    </row>
    <row r="1104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9">
        <f>B1104+30</f>
        <v/>
      </c>
      <c r="N1104">
        <f>IF(L1104="", "", L1104-B1104)</f>
        <v/>
      </c>
      <c r="O1104">
        <f>IF(L1104="", "Pending", IF(N1104&lt;=30, "Met", "Breached"))</f>
        <v/>
      </c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 t="n"/>
      <c r="Y1104" s="8" t="n"/>
    </row>
    <row r="1105">
      <c r="A1105" s="8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9">
        <f>B1105+30</f>
        <v/>
      </c>
      <c r="N1105">
        <f>IF(L1105="", "", L1105-B1105)</f>
        <v/>
      </c>
      <c r="O1105">
        <f>IF(L1105="", "Pending", IF(N1105&lt;=30, "Met", "Breached"))</f>
        <v/>
      </c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 t="n"/>
      <c r="Y1105" s="8" t="n"/>
    </row>
    <row r="1106">
      <c r="A1106" s="8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9">
        <f>B1106+30</f>
        <v/>
      </c>
      <c r="N1106">
        <f>IF(L1106="", "", L1106-B1106)</f>
        <v/>
      </c>
      <c r="O1106">
        <f>IF(L1106="", "Pending", IF(N1106&lt;=30, "Met", "Breached"))</f>
        <v/>
      </c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 t="n"/>
      <c r="Y1106" s="8" t="n"/>
    </row>
    <row r="1107">
      <c r="A1107" s="8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9">
        <f>B1107+30</f>
        <v/>
      </c>
      <c r="N1107">
        <f>IF(L1107="", "", L1107-B1107)</f>
        <v/>
      </c>
      <c r="O1107">
        <f>IF(L1107="", "Pending", IF(N1107&lt;=30, "Met", "Breached"))</f>
        <v/>
      </c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  <c r="Y1107" s="8" t="n"/>
    </row>
    <row r="1108">
      <c r="A1108" s="8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9">
        <f>B1108+30</f>
        <v/>
      </c>
      <c r="N1108">
        <f>IF(L1108="", "", L1108-B1108)</f>
        <v/>
      </c>
      <c r="O1108">
        <f>IF(L1108="", "Pending", IF(N1108&lt;=30, "Met", "Breached"))</f>
        <v/>
      </c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  <c r="Y1108" s="8" t="n"/>
    </row>
    <row r="1109">
      <c r="A1109" s="8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9">
        <f>B1109+30</f>
        <v/>
      </c>
      <c r="N1109">
        <f>IF(L1109="", "", L1109-B1109)</f>
        <v/>
      </c>
      <c r="O1109">
        <f>IF(L1109="", "Pending", IF(N1109&lt;=30, "Met", "Breached"))</f>
        <v/>
      </c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  <c r="Y1109" s="8" t="n"/>
    </row>
    <row r="1110">
      <c r="A1110" s="8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9">
        <f>B1110+30</f>
        <v/>
      </c>
      <c r="N1110">
        <f>IF(L1110="", "", L1110-B1110)</f>
        <v/>
      </c>
      <c r="O1110">
        <f>IF(L1110="", "Pending", IF(N1110&lt;=30, "Met", "Breached"))</f>
        <v/>
      </c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  <c r="Y1110" s="8" t="n"/>
    </row>
    <row r="1111">
      <c r="A1111" s="8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9">
        <f>B1111+30</f>
        <v/>
      </c>
      <c r="N1111">
        <f>IF(L1111="", "", L1111-B1111)</f>
        <v/>
      </c>
      <c r="O1111">
        <f>IF(L1111="", "Pending", IF(N1111&lt;=30, "Met", "Breached"))</f>
        <v/>
      </c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  <c r="Y1111" s="8" t="n"/>
    </row>
    <row r="1112">
      <c r="A1112" s="8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9">
        <f>B1112+30</f>
        <v/>
      </c>
      <c r="N1112">
        <f>IF(L1112="", "", L1112-B1112)</f>
        <v/>
      </c>
      <c r="O1112">
        <f>IF(L1112="", "Pending", IF(N1112&lt;=30, "Met", "Breached"))</f>
        <v/>
      </c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 t="n"/>
      <c r="Y1112" s="8" t="n"/>
    </row>
    <row r="1113">
      <c r="A1113" s="8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9">
        <f>B1113+30</f>
        <v/>
      </c>
      <c r="N1113">
        <f>IF(L1113="", "", L1113-B1113)</f>
        <v/>
      </c>
      <c r="O1113">
        <f>IF(L1113="", "Pending", IF(N1113&lt;=30, "Met", "Breached"))</f>
        <v/>
      </c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 t="n"/>
      <c r="Y1113" s="8" t="n"/>
    </row>
    <row r="1114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9">
        <f>B1114+30</f>
        <v/>
      </c>
      <c r="N1114">
        <f>IF(L1114="", "", L1114-B1114)</f>
        <v/>
      </c>
      <c r="O1114">
        <f>IF(L1114="", "Pending", IF(N1114&lt;=30, "Met", "Breached"))</f>
        <v/>
      </c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 t="n"/>
      <c r="Y1114" s="8" t="n"/>
    </row>
    <row r="1115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9">
        <f>B1115+30</f>
        <v/>
      </c>
      <c r="N1115">
        <f>IF(L1115="", "", L1115-B1115)</f>
        <v/>
      </c>
      <c r="O1115">
        <f>IF(L1115="", "Pending", IF(N1115&lt;=30, "Met", "Breached"))</f>
        <v/>
      </c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 t="n"/>
      <c r="Y1115" s="8" t="n"/>
    </row>
    <row r="1116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9">
        <f>B1116+30</f>
        <v/>
      </c>
      <c r="N1116">
        <f>IF(L1116="", "", L1116-B1116)</f>
        <v/>
      </c>
      <c r="O1116">
        <f>IF(L1116="", "Pending", IF(N1116&lt;=30, "Met", "Breached"))</f>
        <v/>
      </c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 t="n"/>
      <c r="Y1116" s="8" t="n"/>
    </row>
    <row r="1117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9">
        <f>B1117+30</f>
        <v/>
      </c>
      <c r="N1117">
        <f>IF(L1117="", "", L1117-B1117)</f>
        <v/>
      </c>
      <c r="O1117">
        <f>IF(L1117="", "Pending", IF(N1117&lt;=30, "Met", "Breached"))</f>
        <v/>
      </c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 t="n"/>
      <c r="Y1117" s="8" t="n"/>
    </row>
    <row r="1118">
      <c r="A1118" s="8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9">
        <f>B1118+30</f>
        <v/>
      </c>
      <c r="N1118">
        <f>IF(L1118="", "", L1118-B1118)</f>
        <v/>
      </c>
      <c r="O1118">
        <f>IF(L1118="", "Pending", IF(N1118&lt;=30, "Met", "Breached"))</f>
        <v/>
      </c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 t="n"/>
      <c r="Y1118" s="8" t="n"/>
    </row>
    <row r="1119">
      <c r="A1119" s="8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9">
        <f>B1119+30</f>
        <v/>
      </c>
      <c r="N1119">
        <f>IF(L1119="", "", L1119-B1119)</f>
        <v/>
      </c>
      <c r="O1119">
        <f>IF(L1119="", "Pending", IF(N1119&lt;=30, "Met", "Breached"))</f>
        <v/>
      </c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 t="n"/>
      <c r="Y1119" s="8" t="n"/>
    </row>
    <row r="1120">
      <c r="A1120" s="8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9">
        <f>B1120+30</f>
        <v/>
      </c>
      <c r="N1120">
        <f>IF(L1120="", "", L1120-B1120)</f>
        <v/>
      </c>
      <c r="O1120">
        <f>IF(L1120="", "Pending", IF(N1120&lt;=30, "Met", "Breached"))</f>
        <v/>
      </c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  <c r="Y1120" s="8" t="n"/>
    </row>
    <row r="1121">
      <c r="A1121" s="8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9">
        <f>B1121+30</f>
        <v/>
      </c>
      <c r="N1121">
        <f>IF(L1121="", "", L1121-B1121)</f>
        <v/>
      </c>
      <c r="O1121">
        <f>IF(L1121="", "Pending", IF(N1121&lt;=30, "Met", "Breached"))</f>
        <v/>
      </c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 t="n"/>
      <c r="Y1121" s="8" t="n"/>
    </row>
    <row r="1122">
      <c r="A1122" s="8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9">
        <f>B1122+30</f>
        <v/>
      </c>
      <c r="N1122">
        <f>IF(L1122="", "", L1122-B1122)</f>
        <v/>
      </c>
      <c r="O1122">
        <f>IF(L1122="", "Pending", IF(N1122&lt;=30, "Met", "Breached"))</f>
        <v/>
      </c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 t="n"/>
      <c r="Y1122" s="8" t="n"/>
    </row>
    <row r="1123">
      <c r="A1123" s="8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9">
        <f>B1123+30</f>
        <v/>
      </c>
      <c r="N1123">
        <f>IF(L1123="", "", L1123-B1123)</f>
        <v/>
      </c>
      <c r="O1123">
        <f>IF(L1123="", "Pending", IF(N1123&lt;=30, "Met", "Breached"))</f>
        <v/>
      </c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</row>
    <row r="1124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9">
        <f>B1124+30</f>
        <v/>
      </c>
      <c r="N1124">
        <f>IF(L1124="", "", L1124-B1124)</f>
        <v/>
      </c>
      <c r="O1124">
        <f>IF(L1124="", "Pending", IF(N1124&lt;=30, "Met", "Breached"))</f>
        <v/>
      </c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9">
        <f>B1125+30</f>
        <v/>
      </c>
      <c r="N1125">
        <f>IF(L1125="", "", L1125-B1125)</f>
        <v/>
      </c>
      <c r="O1125">
        <f>IF(L1125="", "Pending", IF(N1125&lt;=30, "Met", "Breached"))</f>
        <v/>
      </c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  <c r="Y1125" s="8" t="n"/>
    </row>
    <row r="1126">
      <c r="A1126" s="8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9">
        <f>B1126+30</f>
        <v/>
      </c>
      <c r="N1126">
        <f>IF(L1126="", "", L1126-B1126)</f>
        <v/>
      </c>
      <c r="O1126">
        <f>IF(L1126="", "Pending", IF(N1126&lt;=30, "Met", "Breached"))</f>
        <v/>
      </c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 t="n"/>
      <c r="Y1126" s="8" t="n"/>
    </row>
    <row r="1127">
      <c r="A1127" s="8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9">
        <f>B1127+30</f>
        <v/>
      </c>
      <c r="N1127">
        <f>IF(L1127="", "", L1127-B1127)</f>
        <v/>
      </c>
      <c r="O1127">
        <f>IF(L1127="", "Pending", IF(N1127&lt;=30, "Met", "Breached"))</f>
        <v/>
      </c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 t="n"/>
      <c r="Y1127" s="8" t="n"/>
    </row>
    <row r="1128">
      <c r="A1128" s="8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9">
        <f>B1128+30</f>
        <v/>
      </c>
      <c r="N1128">
        <f>IF(L1128="", "", L1128-B1128)</f>
        <v/>
      </c>
      <c r="O1128">
        <f>IF(L1128="", "Pending", IF(N1128&lt;=30, "Met", "Breached"))</f>
        <v/>
      </c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  <c r="Y1128" s="8" t="n"/>
    </row>
    <row r="1129">
      <c r="A1129" s="8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9">
        <f>B1129+30</f>
        <v/>
      </c>
      <c r="N1129">
        <f>IF(L1129="", "", L1129-B1129)</f>
        <v/>
      </c>
      <c r="O1129">
        <f>IF(L1129="", "Pending", IF(N1129&lt;=30, "Met", "Breached"))</f>
        <v/>
      </c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 t="n"/>
      <c r="Y1129" s="8" t="n"/>
    </row>
    <row r="1130">
      <c r="A1130" s="8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9">
        <f>B1130+30</f>
        <v/>
      </c>
      <c r="N1130">
        <f>IF(L1130="", "", L1130-B1130)</f>
        <v/>
      </c>
      <c r="O1130">
        <f>IF(L1130="", "Pending", IF(N1130&lt;=30, "Met", "Breached"))</f>
        <v/>
      </c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  <c r="Y1130" s="8" t="n"/>
    </row>
    <row r="1131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9">
        <f>B1131+30</f>
        <v/>
      </c>
      <c r="N1131">
        <f>IF(L1131="", "", L1131-B1131)</f>
        <v/>
      </c>
      <c r="O1131">
        <f>IF(L1131="", "Pending", IF(N1131&lt;=30, "Met", "Breached"))</f>
        <v/>
      </c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  <c r="Y1131" s="8" t="n"/>
    </row>
    <row r="1132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9">
        <f>B1132+30</f>
        <v/>
      </c>
      <c r="N1132">
        <f>IF(L1132="", "", L1132-B1132)</f>
        <v/>
      </c>
      <c r="O1132">
        <f>IF(L1132="", "Pending", IF(N1132&lt;=30, "Met", "Breached"))</f>
        <v/>
      </c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  <c r="Y1132" s="8" t="n"/>
    </row>
    <row r="1133">
      <c r="A1133" s="8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9">
        <f>B1133+30</f>
        <v/>
      </c>
      <c r="N1133">
        <f>IF(L1133="", "", L1133-B1133)</f>
        <v/>
      </c>
      <c r="O1133">
        <f>IF(L1133="", "Pending", IF(N1133&lt;=30, "Met", "Breached"))</f>
        <v/>
      </c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 t="n"/>
      <c r="Y1133" s="8" t="n"/>
    </row>
    <row r="1134">
      <c r="A1134" s="8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9">
        <f>B1134+30</f>
        <v/>
      </c>
      <c r="N1134">
        <f>IF(L1134="", "", L1134-B1134)</f>
        <v/>
      </c>
      <c r="O1134">
        <f>IF(L1134="", "Pending", IF(N1134&lt;=30, "Met", "Breached"))</f>
        <v/>
      </c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  <c r="Y1134" s="8" t="n"/>
    </row>
    <row r="1135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9">
        <f>B1135+30</f>
        <v/>
      </c>
      <c r="N1135">
        <f>IF(L1135="", "", L1135-B1135)</f>
        <v/>
      </c>
      <c r="O1135">
        <f>IF(L1135="", "Pending", IF(N1135&lt;=30, "Met", "Breached"))</f>
        <v/>
      </c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  <c r="Y1135" s="8" t="n"/>
    </row>
    <row r="1136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9">
        <f>B1136+30</f>
        <v/>
      </c>
      <c r="N1136">
        <f>IF(L1136="", "", L1136-B1136)</f>
        <v/>
      </c>
      <c r="O1136">
        <f>IF(L1136="", "Pending", IF(N1136&lt;=30, "Met", "Breached"))</f>
        <v/>
      </c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 t="n"/>
      <c r="Y1136" s="8" t="n"/>
    </row>
    <row r="1137">
      <c r="A1137" s="8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9">
        <f>B1137+30</f>
        <v/>
      </c>
      <c r="N1137">
        <f>IF(L1137="", "", L1137-B1137)</f>
        <v/>
      </c>
      <c r="O1137">
        <f>IF(L1137="", "Pending", IF(N1137&lt;=30, "Met", "Breached"))</f>
        <v/>
      </c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 t="n"/>
      <c r="Y1137" s="8" t="n"/>
    </row>
    <row r="1138">
      <c r="A1138" s="8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9">
        <f>B1138+30</f>
        <v/>
      </c>
      <c r="N1138">
        <f>IF(L1138="", "", L1138-B1138)</f>
        <v/>
      </c>
      <c r="O1138">
        <f>IF(L1138="", "Pending", IF(N1138&lt;=30, "Met", "Breached"))</f>
        <v/>
      </c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 t="n"/>
      <c r="Y1138" s="8" t="n"/>
    </row>
    <row r="1139">
      <c r="A1139" s="8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9">
        <f>B1139+30</f>
        <v/>
      </c>
      <c r="N1139">
        <f>IF(L1139="", "", L1139-B1139)</f>
        <v/>
      </c>
      <c r="O1139">
        <f>IF(L1139="", "Pending", IF(N1139&lt;=30, "Met", "Breached"))</f>
        <v/>
      </c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 t="n"/>
      <c r="Y1139" s="8" t="n"/>
    </row>
    <row r="1140">
      <c r="A1140" s="8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9">
        <f>B1140+30</f>
        <v/>
      </c>
      <c r="N1140">
        <f>IF(L1140="", "", L1140-B1140)</f>
        <v/>
      </c>
      <c r="O1140">
        <f>IF(L1140="", "Pending", IF(N1140&lt;=30, "Met", "Breached"))</f>
        <v/>
      </c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  <c r="Y1140" s="8" t="n"/>
    </row>
    <row r="1141">
      <c r="A1141" s="8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9">
        <f>B1141+30</f>
        <v/>
      </c>
      <c r="N1141">
        <f>IF(L1141="", "", L1141-B1141)</f>
        <v/>
      </c>
      <c r="O1141">
        <f>IF(L1141="", "Pending", IF(N1141&lt;=30, "Met", "Breached"))</f>
        <v/>
      </c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  <c r="Y1141" s="8" t="n"/>
    </row>
    <row r="1142">
      <c r="A1142" s="8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9">
        <f>B1142+30</f>
        <v/>
      </c>
      <c r="N1142">
        <f>IF(L1142="", "", L1142-B1142)</f>
        <v/>
      </c>
      <c r="O1142">
        <f>IF(L1142="", "Pending", IF(N1142&lt;=30, "Met", "Breached"))</f>
        <v/>
      </c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 t="n"/>
      <c r="Y1142" s="8" t="n"/>
    </row>
    <row r="1143">
      <c r="A1143" s="8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9">
        <f>B1143+30</f>
        <v/>
      </c>
      <c r="N1143">
        <f>IF(L1143="", "", L1143-B1143)</f>
        <v/>
      </c>
      <c r="O1143">
        <f>IF(L1143="", "Pending", IF(N1143&lt;=30, "Met", "Breached"))</f>
        <v/>
      </c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 t="n"/>
      <c r="Y1143" s="8" t="n"/>
    </row>
    <row r="1144">
      <c r="A1144" s="8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9">
        <f>B1144+30</f>
        <v/>
      </c>
      <c r="N1144">
        <f>IF(L1144="", "", L1144-B1144)</f>
        <v/>
      </c>
      <c r="O1144">
        <f>IF(L1144="", "Pending", IF(N1144&lt;=30, "Met", "Breached"))</f>
        <v/>
      </c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  <c r="Y1144" s="8" t="n"/>
    </row>
    <row r="1145">
      <c r="A1145" s="8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9">
        <f>B1145+30</f>
        <v/>
      </c>
      <c r="N1145">
        <f>IF(L1145="", "", L1145-B1145)</f>
        <v/>
      </c>
      <c r="O1145">
        <f>IF(L1145="", "Pending", IF(N1145&lt;=30, "Met", "Breached"))</f>
        <v/>
      </c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 t="n"/>
      <c r="Y1145" s="8" t="n"/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9">
        <f>B1146+30</f>
        <v/>
      </c>
      <c r="N1146">
        <f>IF(L1146="", "", L1146-B1146)</f>
        <v/>
      </c>
      <c r="O1146">
        <f>IF(L1146="", "Pending", IF(N1146&lt;=30, "Met", "Breached"))</f>
        <v/>
      </c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 t="n"/>
      <c r="Y1146" s="8" t="n"/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9">
        <f>B1147+30</f>
        <v/>
      </c>
      <c r="N1147">
        <f>IF(L1147="", "", L1147-B1147)</f>
        <v/>
      </c>
      <c r="O1147">
        <f>IF(L1147="", "Pending", IF(N1147&lt;=30, "Met", "Breached"))</f>
        <v/>
      </c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 t="n"/>
      <c r="Y1147" s="8" t="n"/>
    </row>
    <row r="1148">
      <c r="A1148" s="8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9">
        <f>B1148+30</f>
        <v/>
      </c>
      <c r="N1148">
        <f>IF(L1148="", "", L1148-B1148)</f>
        <v/>
      </c>
      <c r="O1148">
        <f>IF(L1148="", "Pending", IF(N1148&lt;=30, "Met", "Breached"))</f>
        <v/>
      </c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 t="n"/>
      <c r="Y1148" s="8" t="n"/>
    </row>
    <row r="1149">
      <c r="A1149" s="8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9">
        <f>B1149+30</f>
        <v/>
      </c>
      <c r="N1149">
        <f>IF(L1149="", "", L1149-B1149)</f>
        <v/>
      </c>
      <c r="O1149">
        <f>IF(L1149="", "Pending", IF(N1149&lt;=30, "Met", "Breached"))</f>
        <v/>
      </c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  <c r="Y1149" s="8" t="n"/>
    </row>
    <row r="1150">
      <c r="A1150" s="8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9">
        <f>B1150+30</f>
        <v/>
      </c>
      <c r="N1150">
        <f>IF(L1150="", "", L1150-B1150)</f>
        <v/>
      </c>
      <c r="O1150">
        <f>IF(L1150="", "Pending", IF(N1150&lt;=30, "Met", "Breached"))</f>
        <v/>
      </c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  <c r="Y1150" s="8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9">
        <f>B1151+30</f>
        <v/>
      </c>
      <c r="N1151">
        <f>IF(L1151="", "", L1151-B1151)</f>
        <v/>
      </c>
      <c r="O1151">
        <f>IF(L1151="", "Pending", IF(N1151&lt;=30, "Met", "Breached"))</f>
        <v/>
      </c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 t="n"/>
      <c r="Y1151" s="8" t="n"/>
    </row>
    <row r="1152">
      <c r="A1152" s="8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9">
        <f>B1152+30</f>
        <v/>
      </c>
      <c r="N1152">
        <f>IF(L1152="", "", L1152-B1152)</f>
        <v/>
      </c>
      <c r="O1152">
        <f>IF(L1152="", "Pending", IF(N1152&lt;=30, "Met", "Breached"))</f>
        <v/>
      </c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  <c r="Y1152" s="8" t="n"/>
    </row>
    <row r="1153">
      <c r="A1153" s="8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9">
        <f>B1153+30</f>
        <v/>
      </c>
      <c r="N1153">
        <f>IF(L1153="", "", L1153-B1153)</f>
        <v/>
      </c>
      <c r="O1153">
        <f>IF(L1153="", "Pending", IF(N1153&lt;=30, "Met", "Breached"))</f>
        <v/>
      </c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 t="n"/>
      <c r="Y1153" s="8" t="n"/>
    </row>
    <row r="1154">
      <c r="A1154" s="8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9">
        <f>B1154+30</f>
        <v/>
      </c>
      <c r="N1154">
        <f>IF(L1154="", "", L1154-B1154)</f>
        <v/>
      </c>
      <c r="O1154">
        <f>IF(L1154="", "Pending", IF(N1154&lt;=30, "Met", "Breached"))</f>
        <v/>
      </c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  <c r="Y1154" s="8" t="n"/>
    </row>
    <row r="1155">
      <c r="A1155" s="8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9">
        <f>B1155+30</f>
        <v/>
      </c>
      <c r="N1155">
        <f>IF(L1155="", "", L1155-B1155)</f>
        <v/>
      </c>
      <c r="O1155">
        <f>IF(L1155="", "Pending", IF(N1155&lt;=30, "Met", "Breached"))</f>
        <v/>
      </c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 t="n"/>
      <c r="Y1155" s="8" t="n"/>
    </row>
    <row r="1156">
      <c r="A1156" s="8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9">
        <f>B1156+30</f>
        <v/>
      </c>
      <c r="N1156">
        <f>IF(L1156="", "", L1156-B1156)</f>
        <v/>
      </c>
      <c r="O1156">
        <f>IF(L1156="", "Pending", IF(N1156&lt;=30, "Met", "Breached"))</f>
        <v/>
      </c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 t="n"/>
      <c r="Y1156" s="8" t="n"/>
    </row>
    <row r="1157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9">
        <f>B1157+30</f>
        <v/>
      </c>
      <c r="N1157">
        <f>IF(L1157="", "", L1157-B1157)</f>
        <v/>
      </c>
      <c r="O1157">
        <f>IF(L1157="", "Pending", IF(N1157&lt;=30, "Met", "Breached"))</f>
        <v/>
      </c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  <c r="Y1157" s="8" t="n"/>
    </row>
    <row r="1158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9">
        <f>B1158+30</f>
        <v/>
      </c>
      <c r="N1158">
        <f>IF(L1158="", "", L1158-B1158)</f>
        <v/>
      </c>
      <c r="O1158">
        <f>IF(L1158="", "Pending", IF(N1158&lt;=30, "Met", "Breached"))</f>
        <v/>
      </c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 t="n"/>
      <c r="Y1158" s="8" t="n"/>
    </row>
    <row r="1159">
      <c r="A1159" s="8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9">
        <f>B1159+30</f>
        <v/>
      </c>
      <c r="N1159">
        <f>IF(L1159="", "", L1159-B1159)</f>
        <v/>
      </c>
      <c r="O1159">
        <f>IF(L1159="", "Pending", IF(N1159&lt;=30, "Met", "Breached"))</f>
        <v/>
      </c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 t="n"/>
      <c r="Y1159" s="8" t="n"/>
    </row>
    <row r="1160">
      <c r="A1160" s="8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9">
        <f>B1160+30</f>
        <v/>
      </c>
      <c r="N1160">
        <f>IF(L1160="", "", L1160-B1160)</f>
        <v/>
      </c>
      <c r="O1160">
        <f>IF(L1160="", "Pending", IF(N1160&lt;=30, "Met", "Breached"))</f>
        <v/>
      </c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 t="n"/>
      <c r="Y1160" s="8" t="n"/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9">
        <f>B1161+30</f>
        <v/>
      </c>
      <c r="N1161">
        <f>IF(L1161="", "", L1161-B1161)</f>
        <v/>
      </c>
      <c r="O1161">
        <f>IF(L1161="", "Pending", IF(N1161&lt;=30, "Met", "Breached"))</f>
        <v/>
      </c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  <c r="Y1161" s="8" t="n"/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9">
        <f>B1162+30</f>
        <v/>
      </c>
      <c r="N1162">
        <f>IF(L1162="", "", L1162-B1162)</f>
        <v/>
      </c>
      <c r="O1162">
        <f>IF(L1162="", "Pending", IF(N1162&lt;=30, "Met", "Breached"))</f>
        <v/>
      </c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  <c r="Y1162" s="8" t="n"/>
    </row>
    <row r="1163">
      <c r="A1163" s="8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9">
        <f>B1163+30</f>
        <v/>
      </c>
      <c r="N1163">
        <f>IF(L1163="", "", L1163-B1163)</f>
        <v/>
      </c>
      <c r="O1163">
        <f>IF(L1163="", "Pending", IF(N1163&lt;=30, "Met", "Breached"))</f>
        <v/>
      </c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 t="n"/>
      <c r="Y1163" s="8" t="n"/>
    </row>
    <row r="1164">
      <c r="A1164" s="8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9">
        <f>B1164+30</f>
        <v/>
      </c>
      <c r="N1164">
        <f>IF(L1164="", "", L1164-B1164)</f>
        <v/>
      </c>
      <c r="O1164">
        <f>IF(L1164="", "Pending", IF(N1164&lt;=30, "Met", "Breached"))</f>
        <v/>
      </c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  <c r="Y1164" s="8" t="n"/>
    </row>
    <row r="1165">
      <c r="A1165" s="8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9">
        <f>B1165+30</f>
        <v/>
      </c>
      <c r="N1165">
        <f>IF(L1165="", "", L1165-B1165)</f>
        <v/>
      </c>
      <c r="O1165">
        <f>IF(L1165="", "Pending", IF(N1165&lt;=30, "Met", "Breached"))</f>
        <v/>
      </c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  <c r="Y1165" s="8" t="n"/>
    </row>
    <row r="1166">
      <c r="A1166" s="8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9">
        <f>B1166+30</f>
        <v/>
      </c>
      <c r="N1166">
        <f>IF(L1166="", "", L1166-B1166)</f>
        <v/>
      </c>
      <c r="O1166">
        <f>IF(L1166="", "Pending", IF(N1166&lt;=30, "Met", "Breached"))</f>
        <v/>
      </c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  <c r="Y1166" s="8" t="n"/>
    </row>
    <row r="1167">
      <c r="A1167" s="8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9">
        <f>B1167+30</f>
        <v/>
      </c>
      <c r="N1167">
        <f>IF(L1167="", "", L1167-B1167)</f>
        <v/>
      </c>
      <c r="O1167">
        <f>IF(L1167="", "Pending", IF(N1167&lt;=30, "Met", "Breached"))</f>
        <v/>
      </c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 t="n"/>
      <c r="Y1167" s="8" t="n"/>
    </row>
    <row r="1168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9">
        <f>B1168+30</f>
        <v/>
      </c>
      <c r="N1168">
        <f>IF(L1168="", "", L1168-B1168)</f>
        <v/>
      </c>
      <c r="O1168">
        <f>IF(L1168="", "Pending", IF(N1168&lt;=30, "Met", "Breached"))</f>
        <v/>
      </c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 t="n"/>
      <c r="Y1168" s="8" t="n"/>
    </row>
    <row r="1169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9">
        <f>B1169+30</f>
        <v/>
      </c>
      <c r="N1169">
        <f>IF(L1169="", "", L1169-B1169)</f>
        <v/>
      </c>
      <c r="O1169">
        <f>IF(L1169="", "Pending", IF(N1169&lt;=30, "Met", "Breached"))</f>
        <v/>
      </c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  <c r="Y1169" s="8" t="n"/>
    </row>
    <row r="1170">
      <c r="A1170" s="8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9">
        <f>B1170+30</f>
        <v/>
      </c>
      <c r="N1170">
        <f>IF(L1170="", "", L1170-B1170)</f>
        <v/>
      </c>
      <c r="O1170">
        <f>IF(L1170="", "Pending", IF(N1170&lt;=30, "Met", "Breached"))</f>
        <v/>
      </c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  <c r="Y1170" s="8" t="n"/>
    </row>
    <row r="1171">
      <c r="A1171" s="8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9">
        <f>B1171+30</f>
        <v/>
      </c>
      <c r="N1171">
        <f>IF(L1171="", "", L1171-B1171)</f>
        <v/>
      </c>
      <c r="O1171">
        <f>IF(L1171="", "Pending", IF(N1171&lt;=30, "Met", "Breached"))</f>
        <v/>
      </c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 t="n"/>
      <c r="Y1171" s="8" t="n"/>
    </row>
    <row r="1172">
      <c r="A1172" s="8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9">
        <f>B1172+30</f>
        <v/>
      </c>
      <c r="N1172">
        <f>IF(L1172="", "", L1172-B1172)</f>
        <v/>
      </c>
      <c r="O1172">
        <f>IF(L1172="", "Pending", IF(N1172&lt;=30, "Met", "Breached"))</f>
        <v/>
      </c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  <c r="Y1172" s="8" t="n"/>
    </row>
    <row r="1173">
      <c r="A1173" s="8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9">
        <f>B1173+30</f>
        <v/>
      </c>
      <c r="N1173">
        <f>IF(L1173="", "", L1173-B1173)</f>
        <v/>
      </c>
      <c r="O1173">
        <f>IF(L1173="", "Pending", IF(N1173&lt;=30, "Met", "Breached"))</f>
        <v/>
      </c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  <c r="Y1173" s="8" t="n"/>
    </row>
    <row r="1174">
      <c r="A1174" s="8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9">
        <f>B1174+30</f>
        <v/>
      </c>
      <c r="N1174">
        <f>IF(L1174="", "", L1174-B1174)</f>
        <v/>
      </c>
      <c r="O1174">
        <f>IF(L1174="", "Pending", IF(N1174&lt;=30, "Met", "Breached"))</f>
        <v/>
      </c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  <c r="Y1174" s="8" t="n"/>
    </row>
    <row r="1175">
      <c r="A1175" s="8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9">
        <f>B1175+30</f>
        <v/>
      </c>
      <c r="N1175">
        <f>IF(L1175="", "", L1175-B1175)</f>
        <v/>
      </c>
      <c r="O1175">
        <f>IF(L1175="", "Pending", IF(N1175&lt;=30, "Met", "Breached"))</f>
        <v/>
      </c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 t="n"/>
      <c r="Y1175" s="8" t="n"/>
    </row>
    <row r="1176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9">
        <f>B1176+30</f>
        <v/>
      </c>
      <c r="N1176">
        <f>IF(L1176="", "", L1176-B1176)</f>
        <v/>
      </c>
      <c r="O1176">
        <f>IF(L1176="", "Pending", IF(N1176&lt;=30, "Met", "Breached"))</f>
        <v/>
      </c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  <c r="Y1176" s="8" t="n"/>
    </row>
    <row r="1177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9">
        <f>B1177+30</f>
        <v/>
      </c>
      <c r="N1177">
        <f>IF(L1177="", "", L1177-B1177)</f>
        <v/>
      </c>
      <c r="O1177">
        <f>IF(L1177="", "Pending", IF(N1177&lt;=30, "Met", "Breached"))</f>
        <v/>
      </c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  <c r="Y1177" s="8" t="n"/>
    </row>
    <row r="1178">
      <c r="A1178" s="8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9">
        <f>B1178+30</f>
        <v/>
      </c>
      <c r="N1178">
        <f>IF(L1178="", "", L1178-B1178)</f>
        <v/>
      </c>
      <c r="O1178">
        <f>IF(L1178="", "Pending", IF(N1178&lt;=30, "Met", "Breached"))</f>
        <v/>
      </c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 t="n"/>
      <c r="Y1178" s="8" t="n"/>
    </row>
    <row r="1179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9">
        <f>B1179+30</f>
        <v/>
      </c>
      <c r="N1179">
        <f>IF(L1179="", "", L1179-B1179)</f>
        <v/>
      </c>
      <c r="O1179">
        <f>IF(L1179="", "Pending", IF(N1179&lt;=30, "Met", "Breached"))</f>
        <v/>
      </c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 t="n"/>
      <c r="Y1179" s="8" t="n"/>
    </row>
    <row r="1180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9">
        <f>B1180+30</f>
        <v/>
      </c>
      <c r="N1180">
        <f>IF(L1180="", "", L1180-B1180)</f>
        <v/>
      </c>
      <c r="O1180">
        <f>IF(L1180="", "Pending", IF(N1180&lt;=30, "Met", "Breached"))</f>
        <v/>
      </c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  <c r="Y1180" s="8" t="n"/>
    </row>
    <row r="1181">
      <c r="A1181" s="8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9">
        <f>B1181+30</f>
        <v/>
      </c>
      <c r="N1181">
        <f>IF(L1181="", "", L1181-B1181)</f>
        <v/>
      </c>
      <c r="O1181">
        <f>IF(L1181="", "Pending", IF(N1181&lt;=30, "Met", "Breached"))</f>
        <v/>
      </c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 t="n"/>
      <c r="Y1181" s="8" t="n"/>
    </row>
    <row r="1182">
      <c r="A1182" s="8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9">
        <f>B1182+30</f>
        <v/>
      </c>
      <c r="N1182">
        <f>IF(L1182="", "", L1182-B1182)</f>
        <v/>
      </c>
      <c r="O1182">
        <f>IF(L1182="", "Pending", IF(N1182&lt;=30, "Met", "Breached"))</f>
        <v/>
      </c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 t="n"/>
      <c r="Y1182" s="8" t="n"/>
    </row>
    <row r="1183">
      <c r="A1183" s="8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9">
        <f>B1183+30</f>
        <v/>
      </c>
      <c r="N1183">
        <f>IF(L1183="", "", L1183-B1183)</f>
        <v/>
      </c>
      <c r="O1183">
        <f>IF(L1183="", "Pending", IF(N1183&lt;=30, "Met", "Breached"))</f>
        <v/>
      </c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  <c r="Y1183" s="8" t="n"/>
    </row>
    <row r="1184">
      <c r="A1184" s="8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9">
        <f>B1184+30</f>
        <v/>
      </c>
      <c r="N1184">
        <f>IF(L1184="", "", L1184-B1184)</f>
        <v/>
      </c>
      <c r="O1184">
        <f>IF(L1184="", "Pending", IF(N1184&lt;=30, "Met", "Breached"))</f>
        <v/>
      </c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  <c r="Y1184" s="8" t="n"/>
    </row>
    <row r="1185">
      <c r="A1185" s="8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9">
        <f>B1185+30</f>
        <v/>
      </c>
      <c r="N1185">
        <f>IF(L1185="", "", L1185-B1185)</f>
        <v/>
      </c>
      <c r="O1185">
        <f>IF(L1185="", "Pending", IF(N1185&lt;=30, "Met", "Breached"))</f>
        <v/>
      </c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  <c r="Y1185" s="8" t="n"/>
    </row>
    <row r="1186">
      <c r="A1186" s="8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9">
        <f>B1186+30</f>
        <v/>
      </c>
      <c r="N1186">
        <f>IF(L1186="", "", L1186-B1186)</f>
        <v/>
      </c>
      <c r="O1186">
        <f>IF(L1186="", "Pending", IF(N1186&lt;=30, "Met", "Breached"))</f>
        <v/>
      </c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  <c r="Y1186" s="8" t="n"/>
    </row>
    <row r="1187">
      <c r="A1187" s="8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9">
        <f>B1187+30</f>
        <v/>
      </c>
      <c r="N1187">
        <f>IF(L1187="", "", L1187-B1187)</f>
        <v/>
      </c>
      <c r="O1187">
        <f>IF(L1187="", "Pending", IF(N1187&lt;=30, "Met", "Breached"))</f>
        <v/>
      </c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  <c r="Y1187" s="8" t="n"/>
    </row>
    <row r="1188">
      <c r="A1188" s="8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9">
        <f>B1188+30</f>
        <v/>
      </c>
      <c r="N1188">
        <f>IF(L1188="", "", L1188-B1188)</f>
        <v/>
      </c>
      <c r="O1188">
        <f>IF(L1188="", "Pending", IF(N1188&lt;=30, "Met", "Breached"))</f>
        <v/>
      </c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 t="n"/>
      <c r="Y1188" s="8" t="n"/>
    </row>
    <row r="1189">
      <c r="A1189" s="8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9">
        <f>B1189+30</f>
        <v/>
      </c>
      <c r="N1189">
        <f>IF(L1189="", "", L1189-B1189)</f>
        <v/>
      </c>
      <c r="O1189">
        <f>IF(L1189="", "Pending", IF(N1189&lt;=30, "Met", "Breached"))</f>
        <v/>
      </c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  <c r="Y1189" s="8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9">
        <f>B1190+30</f>
        <v/>
      </c>
      <c r="N1190">
        <f>IF(L1190="", "", L1190-B1190)</f>
        <v/>
      </c>
      <c r="O1190">
        <f>IF(L1190="", "Pending", IF(N1190&lt;=30, "Met", "Breached"))</f>
        <v/>
      </c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  <c r="Y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9">
        <f>B1191+30</f>
        <v/>
      </c>
      <c r="N1191">
        <f>IF(L1191="", "", L1191-B1191)</f>
        <v/>
      </c>
      <c r="O1191">
        <f>IF(L1191="", "Pending", IF(N1191&lt;=30, "Met", "Breached"))</f>
        <v/>
      </c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 t="n"/>
      <c r="Y1191" s="8" t="n"/>
    </row>
    <row r="1192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9">
        <f>B1192+30</f>
        <v/>
      </c>
      <c r="N1192">
        <f>IF(L1192="", "", L1192-B1192)</f>
        <v/>
      </c>
      <c r="O1192">
        <f>IF(L1192="", "Pending", IF(N1192&lt;=30, "Met", "Breached"))</f>
        <v/>
      </c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 t="n"/>
      <c r="Y1192" s="8" t="n"/>
    </row>
    <row r="1193">
      <c r="A1193" s="8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9">
        <f>B1193+30</f>
        <v/>
      </c>
      <c r="N1193">
        <f>IF(L1193="", "", L1193-B1193)</f>
        <v/>
      </c>
      <c r="O1193">
        <f>IF(L1193="", "Pending", IF(N1193&lt;=30, "Met", "Breached"))</f>
        <v/>
      </c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 t="n"/>
      <c r="Y1193" s="8" t="n"/>
    </row>
    <row r="1194">
      <c r="A1194" s="8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9">
        <f>B1194+30</f>
        <v/>
      </c>
      <c r="N1194">
        <f>IF(L1194="", "", L1194-B1194)</f>
        <v/>
      </c>
      <c r="O1194">
        <f>IF(L1194="", "Pending", IF(N1194&lt;=30, "Met", "Breached"))</f>
        <v/>
      </c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  <c r="Y1194" s="8" t="n"/>
    </row>
    <row r="1195">
      <c r="A1195" s="8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9">
        <f>B1195+30</f>
        <v/>
      </c>
      <c r="N1195">
        <f>IF(L1195="", "", L1195-B1195)</f>
        <v/>
      </c>
      <c r="O1195">
        <f>IF(L1195="", "Pending", IF(N1195&lt;=30, "Met", "Breached"))</f>
        <v/>
      </c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  <c r="Y1195" s="8" t="n"/>
    </row>
    <row r="1196">
      <c r="A1196" s="8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9">
        <f>B1196+30</f>
        <v/>
      </c>
      <c r="N1196">
        <f>IF(L1196="", "", L1196-B1196)</f>
        <v/>
      </c>
      <c r="O1196">
        <f>IF(L1196="", "Pending", IF(N1196&lt;=30, "Met", "Breached"))</f>
        <v/>
      </c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 t="n"/>
      <c r="Y1196" s="8" t="n"/>
    </row>
    <row r="1197">
      <c r="A1197" s="8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9">
        <f>B1197+30</f>
        <v/>
      </c>
      <c r="N1197">
        <f>IF(L1197="", "", L1197-B1197)</f>
        <v/>
      </c>
      <c r="O1197">
        <f>IF(L1197="", "Pending", IF(N1197&lt;=30, "Met", "Breached"))</f>
        <v/>
      </c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 t="n"/>
      <c r="Y1197" s="8" t="n"/>
    </row>
    <row r="1198">
      <c r="A1198" s="8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9">
        <f>B1198+30</f>
        <v/>
      </c>
      <c r="N1198">
        <f>IF(L1198="", "", L1198-B1198)</f>
        <v/>
      </c>
      <c r="O1198">
        <f>IF(L1198="", "Pending", IF(N1198&lt;=30, "Met", "Breached"))</f>
        <v/>
      </c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 t="n"/>
      <c r="Y1198" s="8" t="n"/>
    </row>
    <row r="1199">
      <c r="A1199" s="8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9">
        <f>B1199+30</f>
        <v/>
      </c>
      <c r="N1199">
        <f>IF(L1199="", "", L1199-B1199)</f>
        <v/>
      </c>
      <c r="O1199">
        <f>IF(L1199="", "Pending", IF(N1199&lt;=30, "Met", "Breached"))</f>
        <v/>
      </c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 t="n"/>
      <c r="Y1199" s="8" t="n"/>
    </row>
    <row r="1200">
      <c r="A1200" s="8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9">
        <f>B1200+30</f>
        <v/>
      </c>
      <c r="N1200">
        <f>IF(L1200="", "", L1200-B1200)</f>
        <v/>
      </c>
      <c r="O1200">
        <f>IF(L1200="", "Pending", IF(N1200&lt;=30, "Met", "Breached"))</f>
        <v/>
      </c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 t="n"/>
      <c r="Y1200" s="8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9">
        <f>B1201+30</f>
        <v/>
      </c>
      <c r="N1201">
        <f>IF(L1201="", "", L1201-B1201)</f>
        <v/>
      </c>
      <c r="O1201">
        <f>IF(L1201="", "Pending", IF(N1201&lt;=30, "Met", "Breached"))</f>
        <v/>
      </c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 t="n"/>
      <c r="Y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9">
        <f>B1202+30</f>
        <v/>
      </c>
      <c r="N1202">
        <f>IF(L1202="", "", L1202-B1202)</f>
        <v/>
      </c>
      <c r="O1202">
        <f>IF(L1202="", "Pending", IF(N1202&lt;=30, "Met", "Breached"))</f>
        <v/>
      </c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 t="n"/>
      <c r="Y1202" s="8" t="n"/>
    </row>
    <row r="1203">
      <c r="A1203" s="8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9">
        <f>B1203+30</f>
        <v/>
      </c>
      <c r="N1203">
        <f>IF(L1203="", "", L1203-B1203)</f>
        <v/>
      </c>
      <c r="O1203">
        <f>IF(L1203="", "Pending", IF(N1203&lt;=30, "Met", "Breached"))</f>
        <v/>
      </c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 t="n"/>
      <c r="Y1203" s="8" t="n"/>
    </row>
    <row r="1204">
      <c r="A1204" s="8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9">
        <f>B1204+30</f>
        <v/>
      </c>
      <c r="N1204">
        <f>IF(L1204="", "", L1204-B1204)</f>
        <v/>
      </c>
      <c r="O1204">
        <f>IF(L1204="", "Pending", IF(N1204&lt;=30, "Met", "Breached"))</f>
        <v/>
      </c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 t="n"/>
      <c r="Y1204" s="8" t="n"/>
    </row>
    <row r="1205">
      <c r="A1205" s="8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9">
        <f>B1205+30</f>
        <v/>
      </c>
      <c r="N1205">
        <f>IF(L1205="", "", L1205-B1205)</f>
        <v/>
      </c>
      <c r="O1205">
        <f>IF(L1205="", "Pending", IF(N1205&lt;=30, "Met", "Breached"))</f>
        <v/>
      </c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  <c r="Y1205" s="8" t="n"/>
    </row>
    <row r="1206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9">
        <f>B1206+30</f>
        <v/>
      </c>
      <c r="N1206">
        <f>IF(L1206="", "", L1206-B1206)</f>
        <v/>
      </c>
      <c r="O1206">
        <f>IF(L1206="", "Pending", IF(N1206&lt;=30, "Met", "Breached"))</f>
        <v/>
      </c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  <c r="Y1206" s="8" t="n"/>
    </row>
    <row r="1207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9">
        <f>B1207+30</f>
        <v/>
      </c>
      <c r="N1207">
        <f>IF(L1207="", "", L1207-B1207)</f>
        <v/>
      </c>
      <c r="O1207">
        <f>IF(L1207="", "Pending", IF(N1207&lt;=30, "Met", "Breached"))</f>
        <v/>
      </c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  <c r="Y1207" s="8" t="n"/>
    </row>
    <row r="1208">
      <c r="A1208" s="8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9">
        <f>B1208+30</f>
        <v/>
      </c>
      <c r="N1208">
        <f>IF(L1208="", "", L1208-B1208)</f>
        <v/>
      </c>
      <c r="O1208">
        <f>IF(L1208="", "Pending", IF(N1208&lt;=30, "Met", "Breached"))</f>
        <v/>
      </c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 t="n"/>
      <c r="Y1208" s="8" t="n"/>
    </row>
    <row r="1209">
      <c r="A1209" s="8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9">
        <f>B1209+30</f>
        <v/>
      </c>
      <c r="N1209">
        <f>IF(L1209="", "", L1209-B1209)</f>
        <v/>
      </c>
      <c r="O1209">
        <f>IF(L1209="", "Pending", IF(N1209&lt;=30, "Met", "Breached"))</f>
        <v/>
      </c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  <c r="Y1209" s="8" t="n"/>
    </row>
    <row r="1210">
      <c r="A1210" s="8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9">
        <f>B1210+30</f>
        <v/>
      </c>
      <c r="N1210">
        <f>IF(L1210="", "", L1210-B1210)</f>
        <v/>
      </c>
      <c r="O1210">
        <f>IF(L1210="", "Pending", IF(N1210&lt;=30, "Met", "Breached"))</f>
        <v/>
      </c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  <c r="Y1210" s="8" t="n"/>
    </row>
    <row r="1211">
      <c r="A1211" s="8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9">
        <f>B1211+30</f>
        <v/>
      </c>
      <c r="N1211">
        <f>IF(L1211="", "", L1211-B1211)</f>
        <v/>
      </c>
      <c r="O1211">
        <f>IF(L1211="", "Pending", IF(N1211&lt;=30, "Met", "Breached"))</f>
        <v/>
      </c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 t="n"/>
      <c r="Y1211" s="8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9">
        <f>B1212+30</f>
        <v/>
      </c>
      <c r="N1212">
        <f>IF(L1212="", "", L1212-B1212)</f>
        <v/>
      </c>
      <c r="O1212">
        <f>IF(L1212="", "Pending", IF(N1212&lt;=30, "Met", "Breached"))</f>
        <v/>
      </c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 t="n"/>
      <c r="Y1212" s="8" t="n"/>
    </row>
    <row r="1213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9">
        <f>B1213+30</f>
        <v/>
      </c>
      <c r="N1213">
        <f>IF(L1213="", "", L1213-B1213)</f>
        <v/>
      </c>
      <c r="O1213">
        <f>IF(L1213="", "Pending", IF(N1213&lt;=30, "Met", "Breached"))</f>
        <v/>
      </c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  <c r="Y1213" s="8" t="n"/>
    </row>
    <row r="1214">
      <c r="A1214" s="8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9">
        <f>B1214+30</f>
        <v/>
      </c>
      <c r="N1214">
        <f>IF(L1214="", "", L1214-B1214)</f>
        <v/>
      </c>
      <c r="O1214">
        <f>IF(L1214="", "Pending", IF(N1214&lt;=30, "Met", "Breached"))</f>
        <v/>
      </c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  <c r="Y1214" s="8" t="n"/>
    </row>
    <row r="1215">
      <c r="A1215" s="8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9">
        <f>B1215+30</f>
        <v/>
      </c>
      <c r="N1215">
        <f>IF(L1215="", "", L1215-B1215)</f>
        <v/>
      </c>
      <c r="O1215">
        <f>IF(L1215="", "Pending", IF(N1215&lt;=30, "Met", "Breached"))</f>
        <v/>
      </c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  <c r="Y1215" s="8" t="n"/>
    </row>
    <row r="1216">
      <c r="A1216" s="8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9">
        <f>B1216+30</f>
        <v/>
      </c>
      <c r="N1216">
        <f>IF(L1216="", "", L1216-B1216)</f>
        <v/>
      </c>
      <c r="O1216">
        <f>IF(L1216="", "Pending", IF(N1216&lt;=30, "Met", "Breached"))</f>
        <v/>
      </c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  <c r="Y1216" s="8" t="n"/>
    </row>
    <row r="1217">
      <c r="A1217" s="8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9">
        <f>B1217+30</f>
        <v/>
      </c>
      <c r="N1217">
        <f>IF(L1217="", "", L1217-B1217)</f>
        <v/>
      </c>
      <c r="O1217">
        <f>IF(L1217="", "Pending", IF(N1217&lt;=30, "Met", "Breached"))</f>
        <v/>
      </c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  <c r="Y1217" s="8" t="n"/>
    </row>
    <row r="1218">
      <c r="A1218" s="8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9">
        <f>B1218+30</f>
        <v/>
      </c>
      <c r="N1218">
        <f>IF(L1218="", "", L1218-B1218)</f>
        <v/>
      </c>
      <c r="O1218">
        <f>IF(L1218="", "Pending", IF(N1218&lt;=30, "Met", "Breached"))</f>
        <v/>
      </c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  <c r="Y1218" s="8" t="n"/>
    </row>
    <row r="1219">
      <c r="A1219" s="8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9">
        <f>B1219+30</f>
        <v/>
      </c>
      <c r="N1219">
        <f>IF(L1219="", "", L1219-B1219)</f>
        <v/>
      </c>
      <c r="O1219">
        <f>IF(L1219="", "Pending", IF(N1219&lt;=30, "Met", "Breached"))</f>
        <v/>
      </c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  <c r="Y1219" s="8" t="n"/>
    </row>
    <row r="1220">
      <c r="A1220" s="8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9">
        <f>B1220+30</f>
        <v/>
      </c>
      <c r="N1220">
        <f>IF(L1220="", "", L1220-B1220)</f>
        <v/>
      </c>
      <c r="O1220">
        <f>IF(L1220="", "Pending", IF(N1220&lt;=30, "Met", "Breached"))</f>
        <v/>
      </c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 t="n"/>
      <c r="Y1220" s="8" t="n"/>
    </row>
    <row r="1221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9">
        <f>B1221+30</f>
        <v/>
      </c>
      <c r="N1221">
        <f>IF(L1221="", "", L1221-B1221)</f>
        <v/>
      </c>
      <c r="O1221">
        <f>IF(L1221="", "Pending", IF(N1221&lt;=30, "Met", "Breached"))</f>
        <v/>
      </c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 t="n"/>
      <c r="Y1221" s="8" t="n"/>
    </row>
    <row r="1222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9">
        <f>B1222+30</f>
        <v/>
      </c>
      <c r="N1222">
        <f>IF(L1222="", "", L1222-B1222)</f>
        <v/>
      </c>
      <c r="O1222">
        <f>IF(L1222="", "Pending", IF(N1222&lt;=30, "Met", "Breached"))</f>
        <v/>
      </c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  <c r="Y1222" s="8" t="n"/>
    </row>
    <row r="1223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9">
        <f>B1223+30</f>
        <v/>
      </c>
      <c r="N1223">
        <f>IF(L1223="", "", L1223-B1223)</f>
        <v/>
      </c>
      <c r="O1223">
        <f>IF(L1223="", "Pending", IF(N1223&lt;=30, "Met", "Breached"))</f>
        <v/>
      </c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 t="n"/>
      <c r="Y1223" s="8" t="n"/>
    </row>
    <row r="1224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9">
        <f>B1224+30</f>
        <v/>
      </c>
      <c r="N1224">
        <f>IF(L1224="", "", L1224-B1224)</f>
        <v/>
      </c>
      <c r="O1224">
        <f>IF(L1224="", "Pending", IF(N1224&lt;=30, "Met", "Breached"))</f>
        <v/>
      </c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  <c r="Y1224" s="8" t="n"/>
    </row>
    <row r="1225">
      <c r="A1225" s="8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9">
        <f>B1225+30</f>
        <v/>
      </c>
      <c r="N1225">
        <f>IF(L1225="", "", L1225-B1225)</f>
        <v/>
      </c>
      <c r="O1225">
        <f>IF(L1225="", "Pending", IF(N1225&lt;=30, "Met", "Breached"))</f>
        <v/>
      </c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 t="n"/>
      <c r="Y1225" s="8" t="n"/>
    </row>
    <row r="1226">
      <c r="A1226" s="8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9">
        <f>B1226+30</f>
        <v/>
      </c>
      <c r="N1226">
        <f>IF(L1226="", "", L1226-B1226)</f>
        <v/>
      </c>
      <c r="O1226">
        <f>IF(L1226="", "Pending", IF(N1226&lt;=30, "Met", "Breached"))</f>
        <v/>
      </c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  <c r="Y1226" s="8" t="n"/>
    </row>
    <row r="1227">
      <c r="A1227" s="8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9">
        <f>B1227+30</f>
        <v/>
      </c>
      <c r="N1227">
        <f>IF(L1227="", "", L1227-B1227)</f>
        <v/>
      </c>
      <c r="O1227">
        <f>IF(L1227="", "Pending", IF(N1227&lt;=30, "Met", "Breached"))</f>
        <v/>
      </c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 t="n"/>
      <c r="Y1227" s="8" t="n"/>
    </row>
    <row r="1228">
      <c r="A1228" s="8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9">
        <f>B1228+30</f>
        <v/>
      </c>
      <c r="N1228">
        <f>IF(L1228="", "", L1228-B1228)</f>
        <v/>
      </c>
      <c r="O1228">
        <f>IF(L1228="", "Pending", IF(N1228&lt;=30, "Met", "Breached"))</f>
        <v/>
      </c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  <c r="Y1228" s="8" t="n"/>
    </row>
    <row r="1229">
      <c r="A1229" s="8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9">
        <f>B1229+30</f>
        <v/>
      </c>
      <c r="N1229">
        <f>IF(L1229="", "", L1229-B1229)</f>
        <v/>
      </c>
      <c r="O1229">
        <f>IF(L1229="", "Pending", IF(N1229&lt;=30, "Met", "Breached"))</f>
        <v/>
      </c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 t="n"/>
      <c r="Y1229" s="8" t="n"/>
    </row>
    <row r="1230">
      <c r="A1230" s="8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9">
        <f>B1230+30</f>
        <v/>
      </c>
      <c r="N1230">
        <f>IF(L1230="", "", L1230-B1230)</f>
        <v/>
      </c>
      <c r="O1230">
        <f>IF(L1230="", "Pending", IF(N1230&lt;=30, "Met", "Breached"))</f>
        <v/>
      </c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 t="n"/>
      <c r="Y1230" s="8" t="n"/>
    </row>
    <row r="1231">
      <c r="A1231" s="8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9">
        <f>B1231+30</f>
        <v/>
      </c>
      <c r="N1231">
        <f>IF(L1231="", "", L1231-B1231)</f>
        <v/>
      </c>
      <c r="O1231">
        <f>IF(L1231="", "Pending", IF(N1231&lt;=30, "Met", "Breached"))</f>
        <v/>
      </c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  <c r="Y1231" s="8" t="n"/>
    </row>
    <row r="1232">
      <c r="A1232" s="8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9">
        <f>B1232+30</f>
        <v/>
      </c>
      <c r="N1232">
        <f>IF(L1232="", "", L1232-B1232)</f>
        <v/>
      </c>
      <c r="O1232">
        <f>IF(L1232="", "Pending", IF(N1232&lt;=30, "Met", "Breached"))</f>
        <v/>
      </c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  <c r="Y1232" s="8" t="n"/>
    </row>
    <row r="1233">
      <c r="A1233" s="8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9">
        <f>B1233+30</f>
        <v/>
      </c>
      <c r="N1233">
        <f>IF(L1233="", "", L1233-B1233)</f>
        <v/>
      </c>
      <c r="O1233">
        <f>IF(L1233="", "Pending", IF(N1233&lt;=30, "Met", "Breached"))</f>
        <v/>
      </c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  <c r="Y1233" s="8" t="n"/>
    </row>
    <row r="1234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9">
        <f>B1234+30</f>
        <v/>
      </c>
      <c r="N1234">
        <f>IF(L1234="", "", L1234-B1234)</f>
        <v/>
      </c>
      <c r="O1234">
        <f>IF(L1234="", "Pending", IF(N1234&lt;=30, "Met", "Breached"))</f>
        <v/>
      </c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 t="n"/>
      <c r="Y1234" s="8" t="n"/>
    </row>
    <row r="1235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9">
        <f>B1235+30</f>
        <v/>
      </c>
      <c r="N1235">
        <f>IF(L1235="", "", L1235-B1235)</f>
        <v/>
      </c>
      <c r="O1235">
        <f>IF(L1235="", "Pending", IF(N1235&lt;=30, "Met", "Breached"))</f>
        <v/>
      </c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 t="n"/>
      <c r="Y1235" s="8" t="n"/>
    </row>
    <row r="1236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9">
        <f>B1236+30</f>
        <v/>
      </c>
      <c r="N1236">
        <f>IF(L1236="", "", L1236-B1236)</f>
        <v/>
      </c>
      <c r="O1236">
        <f>IF(L1236="", "Pending", IF(N1236&lt;=30, "Met", "Breached"))</f>
        <v/>
      </c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 t="n"/>
      <c r="Y1236" s="8" t="n"/>
    </row>
    <row r="1237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9">
        <f>B1237+30</f>
        <v/>
      </c>
      <c r="N1237">
        <f>IF(L1237="", "", L1237-B1237)</f>
        <v/>
      </c>
      <c r="O1237">
        <f>IF(L1237="", "Pending", IF(N1237&lt;=30, "Met", "Breached"))</f>
        <v/>
      </c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  <c r="Y1237" s="8" t="n"/>
    </row>
    <row r="1238">
      <c r="A1238" s="8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9">
        <f>B1238+30</f>
        <v/>
      </c>
      <c r="N1238">
        <f>IF(L1238="", "", L1238-B1238)</f>
        <v/>
      </c>
      <c r="O1238">
        <f>IF(L1238="", "Pending", IF(N1238&lt;=30, "Met", "Breached"))</f>
        <v/>
      </c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  <c r="Y1238" s="8" t="n"/>
    </row>
    <row r="1239">
      <c r="A1239" s="8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9">
        <f>B1239+30</f>
        <v/>
      </c>
      <c r="N1239">
        <f>IF(L1239="", "", L1239-B1239)</f>
        <v/>
      </c>
      <c r="O1239">
        <f>IF(L1239="", "Pending", IF(N1239&lt;=30, "Met", "Breached"))</f>
        <v/>
      </c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  <c r="Y1239" s="8" t="n"/>
    </row>
    <row r="1240">
      <c r="A1240" s="8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9">
        <f>B1240+30</f>
        <v/>
      </c>
      <c r="N1240">
        <f>IF(L1240="", "", L1240-B1240)</f>
        <v/>
      </c>
      <c r="O1240">
        <f>IF(L1240="", "Pending", IF(N1240&lt;=30, "Met", "Breached"))</f>
        <v/>
      </c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 t="n"/>
      <c r="Y1240" s="8" t="n"/>
    </row>
    <row r="1241">
      <c r="A1241" s="8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9">
        <f>B1241+30</f>
        <v/>
      </c>
      <c r="N1241">
        <f>IF(L1241="", "", L1241-B1241)</f>
        <v/>
      </c>
      <c r="O1241">
        <f>IF(L1241="", "Pending", IF(N1241&lt;=30, "Met", "Breached"))</f>
        <v/>
      </c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 t="n"/>
      <c r="Y1241" s="8" t="n"/>
    </row>
    <row r="1242">
      <c r="A1242" s="8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9">
        <f>B1242+30</f>
        <v/>
      </c>
      <c r="N1242">
        <f>IF(L1242="", "", L1242-B1242)</f>
        <v/>
      </c>
      <c r="O1242">
        <f>IF(L1242="", "Pending", IF(N1242&lt;=30, "Met", "Breached"))</f>
        <v/>
      </c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  <c r="Y1242" s="8" t="n"/>
    </row>
    <row r="1243">
      <c r="A1243" s="8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9">
        <f>B1243+30</f>
        <v/>
      </c>
      <c r="N1243">
        <f>IF(L1243="", "", L1243-B1243)</f>
        <v/>
      </c>
      <c r="O1243">
        <f>IF(L1243="", "Pending", IF(N1243&lt;=30, "Met", "Breached"))</f>
        <v/>
      </c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 t="n"/>
      <c r="Y1243" s="8" t="n"/>
    </row>
    <row r="1244">
      <c r="A1244" s="8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9">
        <f>B1244+30</f>
        <v/>
      </c>
      <c r="N1244">
        <f>IF(L1244="", "", L1244-B1244)</f>
        <v/>
      </c>
      <c r="O1244">
        <f>IF(L1244="", "Pending", IF(N1244&lt;=30, "Met", "Breached"))</f>
        <v/>
      </c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  <c r="Y1244" s="8" t="n"/>
    </row>
    <row r="1245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9">
        <f>B1245+30</f>
        <v/>
      </c>
      <c r="N1245">
        <f>IF(L1245="", "", L1245-B1245)</f>
        <v/>
      </c>
      <c r="O1245">
        <f>IF(L1245="", "Pending", IF(N1245&lt;=30, "Met", "Breached"))</f>
        <v/>
      </c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  <c r="Y1245" s="8" t="n"/>
    </row>
    <row r="1246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9">
        <f>B1246+30</f>
        <v/>
      </c>
      <c r="N1246">
        <f>IF(L1246="", "", L1246-B1246)</f>
        <v/>
      </c>
      <c r="O1246">
        <f>IF(L1246="", "Pending", IF(N1246&lt;=30, "Met", "Breached"))</f>
        <v/>
      </c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  <c r="Y1246" s="8" t="n"/>
    </row>
    <row r="1247">
      <c r="A1247" s="8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9">
        <f>B1247+30</f>
        <v/>
      </c>
      <c r="N1247">
        <f>IF(L1247="", "", L1247-B1247)</f>
        <v/>
      </c>
      <c r="O1247">
        <f>IF(L1247="", "Pending", IF(N1247&lt;=30, "Met", "Breached"))</f>
        <v/>
      </c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 t="n"/>
      <c r="Y1247" s="8" t="n"/>
    </row>
    <row r="1248">
      <c r="A1248" s="8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9">
        <f>B1248+30</f>
        <v/>
      </c>
      <c r="N1248">
        <f>IF(L1248="", "", L1248-B1248)</f>
        <v/>
      </c>
      <c r="O1248">
        <f>IF(L1248="", "Pending", IF(N1248&lt;=30, "Met", "Breached"))</f>
        <v/>
      </c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 t="n"/>
      <c r="Y1248" s="8" t="n"/>
    </row>
    <row r="1249">
      <c r="A1249" s="8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9">
        <f>B1249+30</f>
        <v/>
      </c>
      <c r="N1249">
        <f>IF(L1249="", "", L1249-B1249)</f>
        <v/>
      </c>
      <c r="O1249">
        <f>IF(L1249="", "Pending", IF(N1249&lt;=30, "Met", "Breached"))</f>
        <v/>
      </c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  <c r="Y1249" s="8" t="n"/>
    </row>
    <row r="1250">
      <c r="A1250" s="8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9">
        <f>B1250+30</f>
        <v/>
      </c>
      <c r="N1250">
        <f>IF(L1250="", "", L1250-B1250)</f>
        <v/>
      </c>
      <c r="O1250">
        <f>IF(L1250="", "Pending", IF(N1250&lt;=30, "Met", "Breached"))</f>
        <v/>
      </c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  <c r="Y1250" s="8" t="n"/>
    </row>
    <row r="1251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9">
        <f>B1251+30</f>
        <v/>
      </c>
      <c r="N1251">
        <f>IF(L1251="", "", L1251-B1251)</f>
        <v/>
      </c>
      <c r="O1251">
        <f>IF(L1251="", "Pending", IF(N1251&lt;=30, "Met", "Breached"))</f>
        <v/>
      </c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  <c r="Y1251" s="8" t="n"/>
    </row>
    <row r="1252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9">
        <f>B1252+30</f>
        <v/>
      </c>
      <c r="N1252">
        <f>IF(L1252="", "", L1252-B1252)</f>
        <v/>
      </c>
      <c r="O1252">
        <f>IF(L1252="", "Pending", IF(N1252&lt;=30, "Met", "Breached"))</f>
        <v/>
      </c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  <c r="Y1252" s="8" t="n"/>
    </row>
    <row r="1253">
      <c r="A1253" s="8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9">
        <f>B1253+30</f>
        <v/>
      </c>
      <c r="N1253">
        <f>IF(L1253="", "", L1253-B1253)</f>
        <v/>
      </c>
      <c r="O1253">
        <f>IF(L1253="", "Pending", IF(N1253&lt;=30, "Met", "Breached"))</f>
        <v/>
      </c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 t="n"/>
      <c r="Y1253" s="8" t="n"/>
    </row>
    <row r="1254">
      <c r="A1254" s="8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9">
        <f>B1254+30</f>
        <v/>
      </c>
      <c r="N1254">
        <f>IF(L1254="", "", L1254-B1254)</f>
        <v/>
      </c>
      <c r="O1254">
        <f>IF(L1254="", "Pending", IF(N1254&lt;=30, "Met", "Breached"))</f>
        <v/>
      </c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 t="n"/>
      <c r="Y1254" s="8" t="n"/>
    </row>
    <row r="1255">
      <c r="A1255" s="8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9">
        <f>B1255+30</f>
        <v/>
      </c>
      <c r="N1255">
        <f>IF(L1255="", "", L1255-B1255)</f>
        <v/>
      </c>
      <c r="O1255">
        <f>IF(L1255="", "Pending", IF(N1255&lt;=30, "Met", "Breached"))</f>
        <v/>
      </c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 t="n"/>
      <c r="Y1255" s="8" t="n"/>
    </row>
    <row r="1256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9">
        <f>B1256+30</f>
        <v/>
      </c>
      <c r="N1256">
        <f>IF(L1256="", "", L1256-B1256)</f>
        <v/>
      </c>
      <c r="O1256">
        <f>IF(L1256="", "Pending", IF(N1256&lt;=30, "Met", "Breached"))</f>
        <v/>
      </c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 t="n"/>
      <c r="Y1256" s="8" t="n"/>
    </row>
    <row r="1257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9">
        <f>B1257+30</f>
        <v/>
      </c>
      <c r="N1257">
        <f>IF(L1257="", "", L1257-B1257)</f>
        <v/>
      </c>
      <c r="O1257">
        <f>IF(L1257="", "Pending", IF(N1257&lt;=30, "Met", "Breached"))</f>
        <v/>
      </c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 t="n"/>
      <c r="Y1257" s="8" t="n"/>
    </row>
    <row r="1258">
      <c r="A1258" s="8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9">
        <f>B1258+30</f>
        <v/>
      </c>
      <c r="N1258">
        <f>IF(L1258="", "", L1258-B1258)</f>
        <v/>
      </c>
      <c r="O1258">
        <f>IF(L1258="", "Pending", IF(N1258&lt;=30, "Met", "Breached"))</f>
        <v/>
      </c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  <c r="Y1258" s="8" t="n"/>
    </row>
    <row r="1259">
      <c r="A1259" s="8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9">
        <f>B1259+30</f>
        <v/>
      </c>
      <c r="N1259">
        <f>IF(L1259="", "", L1259-B1259)</f>
        <v/>
      </c>
      <c r="O1259">
        <f>IF(L1259="", "Pending", IF(N1259&lt;=30, "Met", "Breached"))</f>
        <v/>
      </c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 t="n"/>
      <c r="Y1259" s="8" t="n"/>
    </row>
    <row r="1260">
      <c r="A1260" s="8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9">
        <f>B1260+30</f>
        <v/>
      </c>
      <c r="N1260">
        <f>IF(L1260="", "", L1260-B1260)</f>
        <v/>
      </c>
      <c r="O1260">
        <f>IF(L1260="", "Pending", IF(N1260&lt;=30, "Met", "Breached"))</f>
        <v/>
      </c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 t="n"/>
      <c r="Y1260" s="8" t="n"/>
    </row>
    <row r="1261">
      <c r="A1261" s="8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9">
        <f>B1261+30</f>
        <v/>
      </c>
      <c r="N1261">
        <f>IF(L1261="", "", L1261-B1261)</f>
        <v/>
      </c>
      <c r="O1261">
        <f>IF(L1261="", "Pending", IF(N1261&lt;=30, "Met", "Breached"))</f>
        <v/>
      </c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 t="n"/>
      <c r="Y1261" s="8" t="n"/>
    </row>
    <row r="1262">
      <c r="A1262" s="8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9">
        <f>B1262+30</f>
        <v/>
      </c>
      <c r="N1262">
        <f>IF(L1262="", "", L1262-B1262)</f>
        <v/>
      </c>
      <c r="O1262">
        <f>IF(L1262="", "Pending", IF(N1262&lt;=30, "Met", "Breached"))</f>
        <v/>
      </c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 t="n"/>
      <c r="Y1262" s="8" t="n"/>
    </row>
    <row r="1263">
      <c r="A1263" s="8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9">
        <f>B1263+30</f>
        <v/>
      </c>
      <c r="N1263">
        <f>IF(L1263="", "", L1263-B1263)</f>
        <v/>
      </c>
      <c r="O1263">
        <f>IF(L1263="", "Pending", IF(N1263&lt;=30, "Met", "Breached"))</f>
        <v/>
      </c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  <c r="Y1263" s="8" t="n"/>
    </row>
    <row r="1264">
      <c r="A1264" s="8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9">
        <f>B1264+30</f>
        <v/>
      </c>
      <c r="N1264">
        <f>IF(L1264="", "", L1264-B1264)</f>
        <v/>
      </c>
      <c r="O1264">
        <f>IF(L1264="", "Pending", IF(N1264&lt;=30, "Met", "Breached"))</f>
        <v/>
      </c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 t="n"/>
      <c r="Y1264" s="8" t="n"/>
    </row>
    <row r="1265">
      <c r="A1265" s="8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9">
        <f>B1265+30</f>
        <v/>
      </c>
      <c r="N1265">
        <f>IF(L1265="", "", L1265-B1265)</f>
        <v/>
      </c>
      <c r="O1265">
        <f>IF(L1265="", "Pending", IF(N1265&lt;=30, "Met", "Breached"))</f>
        <v/>
      </c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 t="n"/>
      <c r="Y1265" s="8" t="n"/>
    </row>
    <row r="1266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9">
        <f>B1266+30</f>
        <v/>
      </c>
      <c r="N1266">
        <f>IF(L1266="", "", L1266-B1266)</f>
        <v/>
      </c>
      <c r="O1266">
        <f>IF(L1266="", "Pending", IF(N1266&lt;=30, "Met", "Breached"))</f>
        <v/>
      </c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  <c r="Y1266" s="8" t="n"/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9">
        <f>B1267+30</f>
        <v/>
      </c>
      <c r="N1267">
        <f>IF(L1267="", "", L1267-B1267)</f>
        <v/>
      </c>
      <c r="O1267">
        <f>IF(L1267="", "Pending", IF(N1267&lt;=30, "Met", "Breached"))</f>
        <v/>
      </c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 t="n"/>
      <c r="Y1267" s="8" t="n"/>
    </row>
    <row r="1268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9">
        <f>B1268+30</f>
        <v/>
      </c>
      <c r="N1268">
        <f>IF(L1268="", "", L1268-B1268)</f>
        <v/>
      </c>
      <c r="O1268">
        <f>IF(L1268="", "Pending", IF(N1268&lt;=30, "Met", "Breached"))</f>
        <v/>
      </c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 t="n"/>
      <c r="Y1268" s="8" t="n"/>
    </row>
    <row r="1269">
      <c r="A1269" s="8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9">
        <f>B1269+30</f>
        <v/>
      </c>
      <c r="N1269">
        <f>IF(L1269="", "", L1269-B1269)</f>
        <v/>
      </c>
      <c r="O1269">
        <f>IF(L1269="", "Pending", IF(N1269&lt;=30, "Met", "Breached"))</f>
        <v/>
      </c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 t="n"/>
      <c r="Y1269" s="8" t="n"/>
    </row>
    <row r="1270">
      <c r="A1270" s="8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9">
        <f>B1270+30</f>
        <v/>
      </c>
      <c r="N1270">
        <f>IF(L1270="", "", L1270-B1270)</f>
        <v/>
      </c>
      <c r="O1270">
        <f>IF(L1270="", "Pending", IF(N1270&lt;=30, "Met", "Breached"))</f>
        <v/>
      </c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  <c r="Y1270" s="8" t="n"/>
    </row>
    <row r="1271">
      <c r="A1271" s="8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9">
        <f>B1271+30</f>
        <v/>
      </c>
      <c r="N1271">
        <f>IF(L1271="", "", L1271-B1271)</f>
        <v/>
      </c>
      <c r="O1271">
        <f>IF(L1271="", "Pending", IF(N1271&lt;=30, "Met", "Breached"))</f>
        <v/>
      </c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 t="n"/>
      <c r="Y1271" s="8" t="n"/>
    </row>
    <row r="1272">
      <c r="A1272" s="8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9">
        <f>B1272+30</f>
        <v/>
      </c>
      <c r="N1272">
        <f>IF(L1272="", "", L1272-B1272)</f>
        <v/>
      </c>
      <c r="O1272">
        <f>IF(L1272="", "Pending", IF(N1272&lt;=30, "Met", "Breached"))</f>
        <v/>
      </c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 t="n"/>
      <c r="Y1272" s="8" t="n"/>
    </row>
    <row r="1273">
      <c r="A1273" s="8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9">
        <f>B1273+30</f>
        <v/>
      </c>
      <c r="N1273">
        <f>IF(L1273="", "", L1273-B1273)</f>
        <v/>
      </c>
      <c r="O1273">
        <f>IF(L1273="", "Pending", IF(N1273&lt;=30, "Met", "Breached"))</f>
        <v/>
      </c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/>
      <c r="Y1273" s="8" t="n"/>
    </row>
    <row r="1274">
      <c r="A1274" s="8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9">
        <f>B1274+30</f>
        <v/>
      </c>
      <c r="N1274">
        <f>IF(L1274="", "", L1274-B1274)</f>
        <v/>
      </c>
      <c r="O1274">
        <f>IF(L1274="", "Pending", IF(N1274&lt;=30, "Met", "Breached"))</f>
        <v/>
      </c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 t="n"/>
      <c r="Y1274" s="8" t="n"/>
    </row>
    <row r="1275">
      <c r="A1275" s="8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9">
        <f>B1275+30</f>
        <v/>
      </c>
      <c r="N1275">
        <f>IF(L1275="", "", L1275-B1275)</f>
        <v/>
      </c>
      <c r="O1275">
        <f>IF(L1275="", "Pending", IF(N1275&lt;=30, "Met", "Breached"))</f>
        <v/>
      </c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  <c r="Y1275" s="8" t="n"/>
    </row>
    <row r="1276">
      <c r="A1276" s="8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9">
        <f>B1276+30</f>
        <v/>
      </c>
      <c r="N1276">
        <f>IF(L1276="", "", L1276-B1276)</f>
        <v/>
      </c>
      <c r="O1276">
        <f>IF(L1276="", "Pending", IF(N1276&lt;=30, "Met", "Breached"))</f>
        <v/>
      </c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 t="n"/>
      <c r="Y1276" s="8" t="n"/>
    </row>
    <row r="1277">
      <c r="A1277" s="8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9">
        <f>B1277+30</f>
        <v/>
      </c>
      <c r="N1277">
        <f>IF(L1277="", "", L1277-B1277)</f>
        <v/>
      </c>
      <c r="O1277">
        <f>IF(L1277="", "Pending", IF(N1277&lt;=30, "Met", "Breached"))</f>
        <v/>
      </c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/>
      <c r="Y1277" s="8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9">
        <f>B1278+30</f>
        <v/>
      </c>
      <c r="N1278">
        <f>IF(L1278="", "", L1278-B1278)</f>
        <v/>
      </c>
      <c r="O1278">
        <f>IF(L1278="", "Pending", IF(N1278&lt;=30, "Met", "Breached"))</f>
        <v/>
      </c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 t="n"/>
      <c r="Y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9">
        <f>B1279+30</f>
        <v/>
      </c>
      <c r="N1279">
        <f>IF(L1279="", "", L1279-B1279)</f>
        <v/>
      </c>
      <c r="O1279">
        <f>IF(L1279="", "Pending", IF(N1279&lt;=30, "Met", "Breached"))</f>
        <v/>
      </c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/>
      <c r="Y1279" s="8" t="n"/>
    </row>
    <row r="1280">
      <c r="A1280" s="8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9">
        <f>B1280+30</f>
        <v/>
      </c>
      <c r="N1280">
        <f>IF(L1280="", "", L1280-B1280)</f>
        <v/>
      </c>
      <c r="O1280">
        <f>IF(L1280="", "Pending", IF(N1280&lt;=30, "Met", "Breached"))</f>
        <v/>
      </c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  <c r="Y1280" s="8" t="n"/>
    </row>
    <row r="1281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9">
        <f>B1281+30</f>
        <v/>
      </c>
      <c r="N1281">
        <f>IF(L1281="", "", L1281-B1281)</f>
        <v/>
      </c>
      <c r="O1281">
        <f>IF(L1281="", "Pending", IF(N1281&lt;=30, "Met", "Breached"))</f>
        <v/>
      </c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/>
      <c r="Y1281" s="8" t="n"/>
    </row>
    <row r="1282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9">
        <f>B1282+30</f>
        <v/>
      </c>
      <c r="N1282">
        <f>IF(L1282="", "", L1282-B1282)</f>
        <v/>
      </c>
      <c r="O1282">
        <f>IF(L1282="", "Pending", IF(N1282&lt;=30, "Met", "Breached"))</f>
        <v/>
      </c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 t="n"/>
      <c r="Y1282" s="8" t="n"/>
    </row>
    <row r="1283">
      <c r="A1283" s="8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9">
        <f>B1283+30</f>
        <v/>
      </c>
      <c r="N1283">
        <f>IF(L1283="", "", L1283-B1283)</f>
        <v/>
      </c>
      <c r="O1283">
        <f>IF(L1283="", "Pending", IF(N1283&lt;=30, "Met", "Breached"))</f>
        <v/>
      </c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  <c r="Y1283" s="8" t="n"/>
    </row>
    <row r="1284">
      <c r="A1284" s="8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9">
        <f>B1284+30</f>
        <v/>
      </c>
      <c r="N1284">
        <f>IF(L1284="", "", L1284-B1284)</f>
        <v/>
      </c>
      <c r="O1284">
        <f>IF(L1284="", "Pending", IF(N1284&lt;=30, "Met", "Breached"))</f>
        <v/>
      </c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  <c r="Y1284" s="8" t="n"/>
    </row>
    <row r="1285">
      <c r="A1285" s="8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9">
        <f>B1285+30</f>
        <v/>
      </c>
      <c r="N1285">
        <f>IF(L1285="", "", L1285-B1285)</f>
        <v/>
      </c>
      <c r="O1285">
        <f>IF(L1285="", "Pending", IF(N1285&lt;=30, "Met", "Breached"))</f>
        <v/>
      </c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/>
      <c r="Y1285" s="8" t="n"/>
    </row>
    <row r="1286">
      <c r="A1286" s="8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9">
        <f>B1286+30</f>
        <v/>
      </c>
      <c r="N1286">
        <f>IF(L1286="", "", L1286-B1286)</f>
        <v/>
      </c>
      <c r="O1286">
        <f>IF(L1286="", "Pending", IF(N1286&lt;=30, "Met", "Breached"))</f>
        <v/>
      </c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 t="n"/>
      <c r="Y1286" s="8" t="n"/>
    </row>
    <row r="1287">
      <c r="A1287" s="8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9">
        <f>B1287+30</f>
        <v/>
      </c>
      <c r="N1287">
        <f>IF(L1287="", "", L1287-B1287)</f>
        <v/>
      </c>
      <c r="O1287">
        <f>IF(L1287="", "Pending", IF(N1287&lt;=30, "Met", "Breached"))</f>
        <v/>
      </c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</row>
    <row r="1288">
      <c r="A1288" s="8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9">
        <f>B1288+30</f>
        <v/>
      </c>
      <c r="N1288">
        <f>IF(L1288="", "", L1288-B1288)</f>
        <v/>
      </c>
      <c r="O1288">
        <f>IF(L1288="", "Pending", IF(N1288&lt;=30, "Met", "Breached"))</f>
        <v/>
      </c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9">
        <f>B1289+30</f>
        <v/>
      </c>
      <c r="N1289">
        <f>IF(L1289="", "", L1289-B1289)</f>
        <v/>
      </c>
      <c r="O1289">
        <f>IF(L1289="", "Pending", IF(N1289&lt;=30, "Met", "Breached"))</f>
        <v/>
      </c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9">
        <f>B1290+30</f>
        <v/>
      </c>
      <c r="N1290">
        <f>IF(L1290="", "", L1290-B1290)</f>
        <v/>
      </c>
      <c r="O1290">
        <f>IF(L1290="", "Pending", IF(N1290&lt;=30, "Met", "Breached"))</f>
        <v/>
      </c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 t="n"/>
      <c r="Y1290" s="8" t="n"/>
    </row>
    <row r="1291">
      <c r="A1291" s="8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9">
        <f>B1291+30</f>
        <v/>
      </c>
      <c r="N1291">
        <f>IF(L1291="", "", L1291-B1291)</f>
        <v/>
      </c>
      <c r="O1291">
        <f>IF(L1291="", "Pending", IF(N1291&lt;=30, "Met", "Breached"))</f>
        <v/>
      </c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 t="n"/>
      <c r="Y1291" s="8" t="n"/>
    </row>
    <row r="1292">
      <c r="A1292" s="8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9">
        <f>B1292+30</f>
        <v/>
      </c>
      <c r="N1292">
        <f>IF(L1292="", "", L1292-B1292)</f>
        <v/>
      </c>
      <c r="O1292">
        <f>IF(L1292="", "Pending", IF(N1292&lt;=30, "Met", "Breached"))</f>
        <v/>
      </c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  <c r="Y1292" s="8" t="n"/>
    </row>
    <row r="1293">
      <c r="A1293" s="8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9">
        <f>B1293+30</f>
        <v/>
      </c>
      <c r="N1293">
        <f>IF(L1293="", "", L1293-B1293)</f>
        <v/>
      </c>
      <c r="O1293">
        <f>IF(L1293="", "Pending", IF(N1293&lt;=30, "Met", "Breached"))</f>
        <v/>
      </c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 t="n"/>
      <c r="Y1293" s="8" t="n"/>
    </row>
    <row r="1294">
      <c r="A1294" s="8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9">
        <f>B1294+30</f>
        <v/>
      </c>
      <c r="N1294">
        <f>IF(L1294="", "", L1294-B1294)</f>
        <v/>
      </c>
      <c r="O1294">
        <f>IF(L1294="", "Pending", IF(N1294&lt;=30, "Met", "Breached"))</f>
        <v/>
      </c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 t="n"/>
      <c r="Y1294" s="8" t="n"/>
    </row>
    <row r="1295">
      <c r="A1295" s="8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9">
        <f>B1295+30</f>
        <v/>
      </c>
      <c r="N1295">
        <f>IF(L1295="", "", L1295-B1295)</f>
        <v/>
      </c>
      <c r="O1295">
        <f>IF(L1295="", "Pending", IF(N1295&lt;=30, "Met", "Breached"))</f>
        <v/>
      </c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  <c r="Y1295" s="8" t="n"/>
    </row>
    <row r="1296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9">
        <f>B1296+30</f>
        <v/>
      </c>
      <c r="N1296">
        <f>IF(L1296="", "", L1296-B1296)</f>
        <v/>
      </c>
      <c r="O1296">
        <f>IF(L1296="", "Pending", IF(N1296&lt;=30, "Met", "Breached"))</f>
        <v/>
      </c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  <c r="Y1296" s="8" t="n"/>
    </row>
    <row r="1297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9">
        <f>B1297+30</f>
        <v/>
      </c>
      <c r="N1297">
        <f>IF(L1297="", "", L1297-B1297)</f>
        <v/>
      </c>
      <c r="O1297">
        <f>IF(L1297="", "Pending", IF(N1297&lt;=30, "Met", "Breached"))</f>
        <v/>
      </c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 t="n"/>
      <c r="Y1297" s="8" t="n"/>
    </row>
    <row r="1298">
      <c r="A1298" s="8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9">
        <f>B1298+30</f>
        <v/>
      </c>
      <c r="N1298">
        <f>IF(L1298="", "", L1298-B1298)</f>
        <v/>
      </c>
      <c r="O1298">
        <f>IF(L1298="", "Pending", IF(N1298&lt;=30, "Met", "Breached"))</f>
        <v/>
      </c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  <c r="Y1298" s="8" t="n"/>
    </row>
    <row r="1299">
      <c r="A1299" s="8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9">
        <f>B1299+30</f>
        <v/>
      </c>
      <c r="N1299">
        <f>IF(L1299="", "", L1299-B1299)</f>
        <v/>
      </c>
      <c r="O1299">
        <f>IF(L1299="", "Pending", IF(N1299&lt;=30, "Met", "Breached"))</f>
        <v/>
      </c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 t="n"/>
      <c r="Y1299" s="8" t="n"/>
    </row>
    <row r="1300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9">
        <f>B1300+30</f>
        <v/>
      </c>
      <c r="N1300">
        <f>IF(L1300="", "", L1300-B1300)</f>
        <v/>
      </c>
      <c r="O1300">
        <f>IF(L1300="", "Pending", IF(N1300&lt;=30, "Met", "Breached"))</f>
        <v/>
      </c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 t="n"/>
      <c r="Y1300" s="8" t="n"/>
    </row>
    <row r="1301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9">
        <f>B1301+30</f>
        <v/>
      </c>
      <c r="N1301">
        <f>IF(L1301="", "", L1301-B1301)</f>
        <v/>
      </c>
      <c r="O1301">
        <f>IF(L1301="", "Pending", IF(N1301&lt;=30, "Met", "Breached"))</f>
        <v/>
      </c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 t="n"/>
      <c r="Y1301" s="8" t="n"/>
    </row>
    <row r="1302">
      <c r="A1302" s="8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9">
        <f>B1302+30</f>
        <v/>
      </c>
      <c r="N1302">
        <f>IF(L1302="", "", L1302-B1302)</f>
        <v/>
      </c>
      <c r="O1302">
        <f>IF(L1302="", "Pending", IF(N1302&lt;=30, "Met", "Breached"))</f>
        <v/>
      </c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  <c r="Y1302" s="8" t="n"/>
    </row>
    <row r="1303">
      <c r="A1303" s="8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9">
        <f>B1303+30</f>
        <v/>
      </c>
      <c r="N1303">
        <f>IF(L1303="", "", L1303-B1303)</f>
        <v/>
      </c>
      <c r="O1303">
        <f>IF(L1303="", "Pending", IF(N1303&lt;=30, "Met", "Breached"))</f>
        <v/>
      </c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 t="n"/>
      <c r="Y1303" s="8" t="n"/>
    </row>
    <row r="1304">
      <c r="A1304" s="8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9">
        <f>B1304+30</f>
        <v/>
      </c>
      <c r="N1304">
        <f>IF(L1304="", "", L1304-B1304)</f>
        <v/>
      </c>
      <c r="O1304">
        <f>IF(L1304="", "Pending", IF(N1304&lt;=30, "Met", "Breached"))</f>
        <v/>
      </c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  <c r="Y1304" s="8" t="n"/>
    </row>
    <row r="1305">
      <c r="A1305" s="8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9">
        <f>B1305+30</f>
        <v/>
      </c>
      <c r="N1305">
        <f>IF(L1305="", "", L1305-B1305)</f>
        <v/>
      </c>
      <c r="O1305">
        <f>IF(L1305="", "Pending", IF(N1305&lt;=30, "Met", "Breached"))</f>
        <v/>
      </c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 t="n"/>
      <c r="Y1305" s="8" t="n"/>
    </row>
    <row r="1306">
      <c r="A1306" s="8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9">
        <f>B1306+30</f>
        <v/>
      </c>
      <c r="N1306">
        <f>IF(L1306="", "", L1306-B1306)</f>
        <v/>
      </c>
      <c r="O1306">
        <f>IF(L1306="", "Pending", IF(N1306&lt;=30, "Met", "Breached"))</f>
        <v/>
      </c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 t="n"/>
      <c r="Y1306" s="8" t="n"/>
    </row>
    <row r="1307">
      <c r="A1307" s="8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9">
        <f>B1307+30</f>
        <v/>
      </c>
      <c r="N1307">
        <f>IF(L1307="", "", L1307-B1307)</f>
        <v/>
      </c>
      <c r="O1307">
        <f>IF(L1307="", "Pending", IF(N1307&lt;=30, "Met", "Breached"))</f>
        <v/>
      </c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  <c r="Y1307" s="8" t="n"/>
    </row>
    <row r="1308">
      <c r="A1308" s="8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9">
        <f>B1308+30</f>
        <v/>
      </c>
      <c r="N1308">
        <f>IF(L1308="", "", L1308-B1308)</f>
        <v/>
      </c>
      <c r="O1308">
        <f>IF(L1308="", "Pending", IF(N1308&lt;=30, "Met", "Breached"))</f>
        <v/>
      </c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 t="n"/>
      <c r="Y1308" s="8" t="n"/>
    </row>
    <row r="1309">
      <c r="A1309" s="8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9">
        <f>B1309+30</f>
        <v/>
      </c>
      <c r="N1309">
        <f>IF(L1309="", "", L1309-B1309)</f>
        <v/>
      </c>
      <c r="O1309">
        <f>IF(L1309="", "Pending", IF(N1309&lt;=30, "Met", "Breached"))</f>
        <v/>
      </c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 t="n"/>
      <c r="Y1309" s="8" t="n"/>
    </row>
    <row r="1310">
      <c r="A1310" s="8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9">
        <f>B1310+30</f>
        <v/>
      </c>
      <c r="N1310">
        <f>IF(L1310="", "", L1310-B1310)</f>
        <v/>
      </c>
      <c r="O1310">
        <f>IF(L1310="", "Pending", IF(N1310&lt;=30, "Met", "Breached"))</f>
        <v/>
      </c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  <c r="Y1310" s="8" t="n"/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9">
        <f>B1311+30</f>
        <v/>
      </c>
      <c r="N1311">
        <f>IF(L1311="", "", L1311-B1311)</f>
        <v/>
      </c>
      <c r="O1311">
        <f>IF(L1311="", "Pending", IF(N1311&lt;=30, "Met", "Breached"))</f>
        <v/>
      </c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 t="n"/>
      <c r="Y1311" s="8" t="n"/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9">
        <f>B1312+30</f>
        <v/>
      </c>
      <c r="N1312">
        <f>IF(L1312="", "", L1312-B1312)</f>
        <v/>
      </c>
      <c r="O1312">
        <f>IF(L1312="", "Pending", IF(N1312&lt;=30, "Met", "Breached"))</f>
        <v/>
      </c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  <c r="Y1312" s="8" t="n"/>
    </row>
    <row r="1313">
      <c r="A1313" s="8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9">
        <f>B1313+30</f>
        <v/>
      </c>
      <c r="N1313">
        <f>IF(L1313="", "", L1313-B1313)</f>
        <v/>
      </c>
      <c r="O1313">
        <f>IF(L1313="", "Pending", IF(N1313&lt;=30, "Met", "Breached"))</f>
        <v/>
      </c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  <c r="Y1313" s="8" t="n"/>
    </row>
    <row r="1314">
      <c r="A1314" s="8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9">
        <f>B1314+30</f>
        <v/>
      </c>
      <c r="N1314">
        <f>IF(L1314="", "", L1314-B1314)</f>
        <v/>
      </c>
      <c r="O1314">
        <f>IF(L1314="", "Pending", IF(N1314&lt;=30, "Met", "Breached"))</f>
        <v/>
      </c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  <c r="Y1314" s="8" t="n"/>
    </row>
    <row r="1315">
      <c r="A1315" s="8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9">
        <f>B1315+30</f>
        <v/>
      </c>
      <c r="N1315">
        <f>IF(L1315="", "", L1315-B1315)</f>
        <v/>
      </c>
      <c r="O1315">
        <f>IF(L1315="", "Pending", IF(N1315&lt;=30, "Met", "Breached"))</f>
        <v/>
      </c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  <c r="Y1315" s="8" t="n"/>
    </row>
    <row r="1316">
      <c r="A1316" s="8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9">
        <f>B1316+30</f>
        <v/>
      </c>
      <c r="N1316">
        <f>IF(L1316="", "", L1316-B1316)</f>
        <v/>
      </c>
      <c r="O1316">
        <f>IF(L1316="", "Pending", IF(N1316&lt;=30, "Met", "Breached"))</f>
        <v/>
      </c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 t="n"/>
      <c r="Y1316" s="8" t="n"/>
    </row>
    <row r="1317">
      <c r="A1317" s="8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9">
        <f>B1317+30</f>
        <v/>
      </c>
      <c r="N1317">
        <f>IF(L1317="", "", L1317-B1317)</f>
        <v/>
      </c>
      <c r="O1317">
        <f>IF(L1317="", "Pending", IF(N1317&lt;=30, "Met", "Breached"))</f>
        <v/>
      </c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 t="n"/>
      <c r="Y1317" s="8" t="n"/>
    </row>
    <row r="1318">
      <c r="A1318" s="8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9">
        <f>B1318+30</f>
        <v/>
      </c>
      <c r="N1318">
        <f>IF(L1318="", "", L1318-B1318)</f>
        <v/>
      </c>
      <c r="O1318">
        <f>IF(L1318="", "Pending", IF(N1318&lt;=30, "Met", "Breached"))</f>
        <v/>
      </c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  <c r="Y1318" s="8" t="n"/>
    </row>
    <row r="1319">
      <c r="A1319" s="8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9">
        <f>B1319+30</f>
        <v/>
      </c>
      <c r="N1319">
        <f>IF(L1319="", "", L1319-B1319)</f>
        <v/>
      </c>
      <c r="O1319">
        <f>IF(L1319="", "Pending", IF(N1319&lt;=30, "Met", "Breached"))</f>
        <v/>
      </c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  <c r="Y1319" s="8" t="n"/>
    </row>
    <row r="1320">
      <c r="A1320" s="8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9">
        <f>B1320+30</f>
        <v/>
      </c>
      <c r="N1320">
        <f>IF(L1320="", "", L1320-B1320)</f>
        <v/>
      </c>
      <c r="O1320">
        <f>IF(L1320="", "Pending", IF(N1320&lt;=30, "Met", "Breached"))</f>
        <v/>
      </c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  <c r="Y1320" s="8" t="n"/>
    </row>
    <row r="1321">
      <c r="A1321" s="8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9">
        <f>B1321+30</f>
        <v/>
      </c>
      <c r="N1321">
        <f>IF(L1321="", "", L1321-B1321)</f>
        <v/>
      </c>
      <c r="O1321">
        <f>IF(L1321="", "Pending", IF(N1321&lt;=30, "Met", "Breached"))</f>
        <v/>
      </c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  <c r="Y1321" s="8" t="n"/>
    </row>
    <row r="1322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9">
        <f>B1322+30</f>
        <v/>
      </c>
      <c r="N1322">
        <f>IF(L1322="", "", L1322-B1322)</f>
        <v/>
      </c>
      <c r="O1322">
        <f>IF(L1322="", "Pending", IF(N1322&lt;=30, "Met", "Breached"))</f>
        <v/>
      </c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 t="n"/>
      <c r="Y1322" s="8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9">
        <f>B1323+30</f>
        <v/>
      </c>
      <c r="N1323">
        <f>IF(L1323="", "", L1323-B1323)</f>
        <v/>
      </c>
      <c r="O1323">
        <f>IF(L1323="", "Pending", IF(N1323&lt;=30, "Met", "Breached"))</f>
        <v/>
      </c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 t="n"/>
      <c r="Y1323" s="8" t="n"/>
    </row>
    <row r="1324">
      <c r="A1324" s="8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9">
        <f>B1324+30</f>
        <v/>
      </c>
      <c r="N1324">
        <f>IF(L1324="", "", L1324-B1324)</f>
        <v/>
      </c>
      <c r="O1324">
        <f>IF(L1324="", "Pending", IF(N1324&lt;=30, "Met", "Breached"))</f>
        <v/>
      </c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 t="n"/>
      <c r="Y1324" s="8" t="n"/>
    </row>
    <row r="1325">
      <c r="A1325" s="8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9">
        <f>B1325+30</f>
        <v/>
      </c>
      <c r="N1325">
        <f>IF(L1325="", "", L1325-B1325)</f>
        <v/>
      </c>
      <c r="O1325">
        <f>IF(L1325="", "Pending", IF(N1325&lt;=30, "Met", "Breached"))</f>
        <v/>
      </c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 t="n"/>
      <c r="Y1325" s="8" t="n"/>
    </row>
    <row r="1326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9">
        <f>B1326+30</f>
        <v/>
      </c>
      <c r="N1326">
        <f>IF(L1326="", "", L1326-B1326)</f>
        <v/>
      </c>
      <c r="O1326">
        <f>IF(L1326="", "Pending", IF(N1326&lt;=30, "Met", "Breached"))</f>
        <v/>
      </c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  <c r="Y1326" s="8" t="n"/>
    </row>
    <row r="1327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9">
        <f>B1327+30</f>
        <v/>
      </c>
      <c r="N1327">
        <f>IF(L1327="", "", L1327-B1327)</f>
        <v/>
      </c>
      <c r="O1327">
        <f>IF(L1327="", "Pending", IF(N1327&lt;=30, "Met", "Breached"))</f>
        <v/>
      </c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  <c r="Y1327" s="8" t="n"/>
    </row>
    <row r="1328">
      <c r="A1328" s="8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9">
        <f>B1328+30</f>
        <v/>
      </c>
      <c r="N1328">
        <f>IF(L1328="", "", L1328-B1328)</f>
        <v/>
      </c>
      <c r="O1328">
        <f>IF(L1328="", "Pending", IF(N1328&lt;=30, "Met", "Breached"))</f>
        <v/>
      </c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 t="n"/>
      <c r="Y1328" s="8" t="n"/>
    </row>
    <row r="1329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9">
        <f>B1329+30</f>
        <v/>
      </c>
      <c r="N1329">
        <f>IF(L1329="", "", L1329-B1329)</f>
        <v/>
      </c>
      <c r="O1329">
        <f>IF(L1329="", "Pending", IF(N1329&lt;=30, "Met", "Breached"))</f>
        <v/>
      </c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 t="n"/>
      <c r="Y1329" s="8" t="n"/>
    </row>
    <row r="1330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9">
        <f>B1330+30</f>
        <v/>
      </c>
      <c r="N1330">
        <f>IF(L1330="", "", L1330-B1330)</f>
        <v/>
      </c>
      <c r="O1330">
        <f>IF(L1330="", "Pending", IF(N1330&lt;=30, "Met", "Breached"))</f>
        <v/>
      </c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 t="n"/>
      <c r="Y1330" s="8" t="n"/>
    </row>
    <row r="1331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9">
        <f>B1331+30</f>
        <v/>
      </c>
      <c r="N1331">
        <f>IF(L1331="", "", L1331-B1331)</f>
        <v/>
      </c>
      <c r="O1331">
        <f>IF(L1331="", "Pending", IF(N1331&lt;=30, "Met", "Breached"))</f>
        <v/>
      </c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  <c r="Y1331" s="8" t="n"/>
    </row>
    <row r="1332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9">
        <f>B1332+30</f>
        <v/>
      </c>
      <c r="N1332">
        <f>IF(L1332="", "", L1332-B1332)</f>
        <v/>
      </c>
      <c r="O1332">
        <f>IF(L1332="", "Pending", IF(N1332&lt;=30, "Met", "Breached"))</f>
        <v/>
      </c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 t="n"/>
      <c r="Y1332" s="8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9">
        <f>B1333+30</f>
        <v/>
      </c>
      <c r="N1333">
        <f>IF(L1333="", "", L1333-B1333)</f>
        <v/>
      </c>
      <c r="O1333">
        <f>IF(L1333="", "Pending", IF(N1333&lt;=30, "Met", "Breached"))</f>
        <v/>
      </c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 t="n"/>
      <c r="Y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9">
        <f>B1334+30</f>
        <v/>
      </c>
      <c r="N1334">
        <f>IF(L1334="", "", L1334-B1334)</f>
        <v/>
      </c>
      <c r="O1334">
        <f>IF(L1334="", "Pending", IF(N1334&lt;=30, "Met", "Breached"))</f>
        <v/>
      </c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 t="n"/>
      <c r="Y1334" s="8" t="n"/>
    </row>
    <row r="1335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9">
        <f>B1335+30</f>
        <v/>
      </c>
      <c r="N1335">
        <f>IF(L1335="", "", L1335-B1335)</f>
        <v/>
      </c>
      <c r="O1335">
        <f>IF(L1335="", "Pending", IF(N1335&lt;=30, "Met", "Breached"))</f>
        <v/>
      </c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 t="n"/>
      <c r="Y1335" s="8" t="n"/>
    </row>
    <row r="1336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9">
        <f>B1336+30</f>
        <v/>
      </c>
      <c r="N1336">
        <f>IF(L1336="", "", L1336-B1336)</f>
        <v/>
      </c>
      <c r="O1336">
        <f>IF(L1336="", "Pending", IF(N1336&lt;=30, "Met", "Breached"))</f>
        <v/>
      </c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 t="n"/>
      <c r="Y1336" s="8" t="n"/>
    </row>
    <row r="1337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9">
        <f>B1337+30</f>
        <v/>
      </c>
      <c r="N1337">
        <f>IF(L1337="", "", L1337-B1337)</f>
        <v/>
      </c>
      <c r="O1337">
        <f>IF(L1337="", "Pending", IF(N1337&lt;=30, "Met", "Breached"))</f>
        <v/>
      </c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  <c r="Y1337" s="8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9">
        <f>B1338+30</f>
        <v/>
      </c>
      <c r="N1338">
        <f>IF(L1338="", "", L1338-B1338)</f>
        <v/>
      </c>
      <c r="O1338">
        <f>IF(L1338="", "Pending", IF(N1338&lt;=30, "Met", "Breached"))</f>
        <v/>
      </c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 t="n"/>
      <c r="Y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9">
        <f>B1339+30</f>
        <v/>
      </c>
      <c r="N1339">
        <f>IF(L1339="", "", L1339-B1339)</f>
        <v/>
      </c>
      <c r="O1339">
        <f>IF(L1339="", "Pending", IF(N1339&lt;=30, "Met", "Breached"))</f>
        <v/>
      </c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 t="n"/>
      <c r="Y1339" s="8" t="n"/>
    </row>
    <row r="1340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9">
        <f>B1340+30</f>
        <v/>
      </c>
      <c r="N1340">
        <f>IF(L1340="", "", L1340-B1340)</f>
        <v/>
      </c>
      <c r="O1340">
        <f>IF(L1340="", "Pending", IF(N1340&lt;=30, "Met", "Breached"))</f>
        <v/>
      </c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  <c r="Y1340" s="8" t="n"/>
    </row>
    <row r="134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9">
        <f>B1341+30</f>
        <v/>
      </c>
      <c r="N1341">
        <f>IF(L1341="", "", L1341-B1341)</f>
        <v/>
      </c>
      <c r="O1341">
        <f>IF(L1341="", "Pending", IF(N1341&lt;=30, "Met", "Breached"))</f>
        <v/>
      </c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  <c r="Y1341" s="8" t="n"/>
    </row>
    <row r="1342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9">
        <f>B1342+30</f>
        <v/>
      </c>
      <c r="N1342">
        <f>IF(L1342="", "", L1342-B1342)</f>
        <v/>
      </c>
      <c r="O1342">
        <f>IF(L1342="", "Pending", IF(N1342&lt;=30, "Met", "Breached"))</f>
        <v/>
      </c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  <c r="Y1342" s="8" t="n"/>
    </row>
    <row r="1343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9">
        <f>B1343+30</f>
        <v/>
      </c>
      <c r="N1343">
        <f>IF(L1343="", "", L1343-B1343)</f>
        <v/>
      </c>
      <c r="O1343">
        <f>IF(L1343="", "Pending", IF(N1343&lt;=30, "Met", "Breached"))</f>
        <v/>
      </c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  <c r="Y1343" s="8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9">
        <f>B1344+30</f>
        <v/>
      </c>
      <c r="N1344">
        <f>IF(L1344="", "", L1344-B1344)</f>
        <v/>
      </c>
      <c r="O1344">
        <f>IF(L1344="", "Pending", IF(N1344&lt;=30, "Met", "Breached"))</f>
        <v/>
      </c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 t="n"/>
      <c r="Y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9">
        <f>B1345+30</f>
        <v/>
      </c>
      <c r="N1345">
        <f>IF(L1345="", "", L1345-B1345)</f>
        <v/>
      </c>
      <c r="O1345">
        <f>IF(L1345="", "Pending", IF(N1345&lt;=30, "Met", "Breached"))</f>
        <v/>
      </c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 t="n"/>
      <c r="Y1345" s="8" t="n"/>
    </row>
    <row r="1346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9">
        <f>B1346+30</f>
        <v/>
      </c>
      <c r="N1346">
        <f>IF(L1346="", "", L1346-B1346)</f>
        <v/>
      </c>
      <c r="O1346">
        <f>IF(L1346="", "Pending", IF(N1346&lt;=30, "Met", "Breached"))</f>
        <v/>
      </c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  <c r="Y1346" s="8" t="n"/>
    </row>
    <row r="1347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9">
        <f>B1347+30</f>
        <v/>
      </c>
      <c r="N1347">
        <f>IF(L1347="", "", L1347-B1347)</f>
        <v/>
      </c>
      <c r="O1347">
        <f>IF(L1347="", "Pending", IF(N1347&lt;=30, "Met", "Breached"))</f>
        <v/>
      </c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  <c r="Y1347" s="8" t="n"/>
    </row>
    <row r="1348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9">
        <f>B1348+30</f>
        <v/>
      </c>
      <c r="N1348">
        <f>IF(L1348="", "", L1348-B1348)</f>
        <v/>
      </c>
      <c r="O1348">
        <f>IF(L1348="", "Pending", IF(N1348&lt;=30, "Met", "Breached"))</f>
        <v/>
      </c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  <c r="Y1348" s="8" t="n"/>
    </row>
    <row r="1349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9">
        <f>B1349+30</f>
        <v/>
      </c>
      <c r="N1349">
        <f>IF(L1349="", "", L1349-B1349)</f>
        <v/>
      </c>
      <c r="O1349">
        <f>IF(L1349="", "Pending", IF(N1349&lt;=30, "Met", "Breached"))</f>
        <v/>
      </c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  <c r="Y1349" s="8" t="n"/>
    </row>
    <row r="1350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9">
        <f>B1350+30</f>
        <v/>
      </c>
      <c r="N1350">
        <f>IF(L1350="", "", L1350-B1350)</f>
        <v/>
      </c>
      <c r="O1350">
        <f>IF(L1350="", "Pending", IF(N1350&lt;=30, "Met", "Breached"))</f>
        <v/>
      </c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  <c r="Y1350" s="8" t="n"/>
    </row>
    <row r="1351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9">
        <f>B1351+30</f>
        <v/>
      </c>
      <c r="N1351">
        <f>IF(L1351="", "", L1351-B1351)</f>
        <v/>
      </c>
      <c r="O1351">
        <f>IF(L1351="", "Pending", IF(N1351&lt;=30, "Met", "Breached"))</f>
        <v/>
      </c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 t="n"/>
      <c r="Y1351" s="8" t="n"/>
    </row>
    <row r="1352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9">
        <f>B1352+30</f>
        <v/>
      </c>
      <c r="N1352">
        <f>IF(L1352="", "", L1352-B1352)</f>
        <v/>
      </c>
      <c r="O1352">
        <f>IF(L1352="", "Pending", IF(N1352&lt;=30, "Met", "Breached"))</f>
        <v/>
      </c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  <c r="Y1352" s="8" t="n"/>
    </row>
    <row r="1353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9">
        <f>B1353+30</f>
        <v/>
      </c>
      <c r="N1353">
        <f>IF(L1353="", "", L1353-B1353)</f>
        <v/>
      </c>
      <c r="O1353">
        <f>IF(L1353="", "Pending", IF(N1353&lt;=30, "Met", "Breached"))</f>
        <v/>
      </c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  <c r="Y1353" s="8" t="n"/>
    </row>
    <row r="1354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9">
        <f>B1354+30</f>
        <v/>
      </c>
      <c r="N1354">
        <f>IF(L1354="", "", L1354-B1354)</f>
        <v/>
      </c>
      <c r="O1354">
        <f>IF(L1354="", "Pending", IF(N1354&lt;=30, "Met", "Breached"))</f>
        <v/>
      </c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  <c r="Y1354" s="8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9">
        <f>B1355+30</f>
        <v/>
      </c>
      <c r="N1355">
        <f>IF(L1355="", "", L1355-B1355)</f>
        <v/>
      </c>
      <c r="O1355">
        <f>IF(L1355="", "Pending", IF(N1355&lt;=30, "Met", "Breached"))</f>
        <v/>
      </c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  <c r="Y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9">
        <f>B1356+30</f>
        <v/>
      </c>
      <c r="N1356">
        <f>IF(L1356="", "", L1356-B1356)</f>
        <v/>
      </c>
      <c r="O1356">
        <f>IF(L1356="", "Pending", IF(N1356&lt;=30, "Met", "Breached"))</f>
        <v/>
      </c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 t="n"/>
      <c r="Y1356" s="8" t="n"/>
    </row>
    <row r="1357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9">
        <f>B1357+30</f>
        <v/>
      </c>
      <c r="N1357">
        <f>IF(L1357="", "", L1357-B1357)</f>
        <v/>
      </c>
      <c r="O1357">
        <f>IF(L1357="", "Pending", IF(N1357&lt;=30, "Met", "Breached"))</f>
        <v/>
      </c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 t="n"/>
      <c r="Y1357" s="8" t="n"/>
    </row>
    <row r="1358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9">
        <f>B1358+30</f>
        <v/>
      </c>
      <c r="N1358">
        <f>IF(L1358="", "", L1358-B1358)</f>
        <v/>
      </c>
      <c r="O1358">
        <f>IF(L1358="", "Pending", IF(N1358&lt;=30, "Met", "Breached"))</f>
        <v/>
      </c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 t="n"/>
      <c r="Y1358" s="8" t="n"/>
    </row>
    <row r="1359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9">
        <f>B1359+30</f>
        <v/>
      </c>
      <c r="N1359">
        <f>IF(L1359="", "", L1359-B1359)</f>
        <v/>
      </c>
      <c r="O1359">
        <f>IF(L1359="", "Pending", IF(N1359&lt;=30, "Met", "Breached"))</f>
        <v/>
      </c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  <c r="Y1359" s="8" t="n"/>
    </row>
    <row r="1360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9">
        <f>B1360+30</f>
        <v/>
      </c>
      <c r="N1360">
        <f>IF(L1360="", "", L1360-B1360)</f>
        <v/>
      </c>
      <c r="O1360">
        <f>IF(L1360="", "Pending", IF(N1360&lt;=30, "Met", "Breached"))</f>
        <v/>
      </c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  <c r="Y1360" s="8" t="n"/>
    </row>
    <row r="1361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9">
        <f>B1361+30</f>
        <v/>
      </c>
      <c r="N1361">
        <f>IF(L1361="", "", L1361-B1361)</f>
        <v/>
      </c>
      <c r="O1361">
        <f>IF(L1361="", "Pending", IF(N1361&lt;=30, "Met", "Breached"))</f>
        <v/>
      </c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  <c r="Y1361" s="8" t="n"/>
    </row>
    <row r="1362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9">
        <f>B1362+30</f>
        <v/>
      </c>
      <c r="N1362">
        <f>IF(L1362="", "", L1362-B1362)</f>
        <v/>
      </c>
      <c r="O1362">
        <f>IF(L1362="", "Pending", IF(N1362&lt;=30, "Met", "Breached"))</f>
        <v/>
      </c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 t="n"/>
      <c r="Y1362" s="8" t="n"/>
    </row>
    <row r="1363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9">
        <f>B1363+30</f>
        <v/>
      </c>
      <c r="N1363">
        <f>IF(L1363="", "", L1363-B1363)</f>
        <v/>
      </c>
      <c r="O1363">
        <f>IF(L1363="", "Pending", IF(N1363&lt;=30, "Met", "Breached"))</f>
        <v/>
      </c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 t="n"/>
      <c r="Y1363" s="8" t="n"/>
    </row>
    <row r="1364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9">
        <f>B1364+30</f>
        <v/>
      </c>
      <c r="N1364">
        <f>IF(L1364="", "", L1364-B1364)</f>
        <v/>
      </c>
      <c r="O1364">
        <f>IF(L1364="", "Pending", IF(N1364&lt;=30, "Met", "Breached"))</f>
        <v/>
      </c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  <c r="Y1364" s="8" t="n"/>
    </row>
    <row r="1365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9">
        <f>B1365+30</f>
        <v/>
      </c>
      <c r="N1365">
        <f>IF(L1365="", "", L1365-B1365)</f>
        <v/>
      </c>
      <c r="O1365">
        <f>IF(L1365="", "Pending", IF(N1365&lt;=30, "Met", "Breached"))</f>
        <v/>
      </c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  <c r="Y1365" s="8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9">
        <f>B1366+30</f>
        <v/>
      </c>
      <c r="N1366">
        <f>IF(L1366="", "", L1366-B1366)</f>
        <v/>
      </c>
      <c r="O1366">
        <f>IF(L1366="", "Pending", IF(N1366&lt;=30, "Met", "Breached"))</f>
        <v/>
      </c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  <c r="Y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9">
        <f>B1367+30</f>
        <v/>
      </c>
      <c r="N1367">
        <f>IF(L1367="", "", L1367-B1367)</f>
        <v/>
      </c>
      <c r="O1367">
        <f>IF(L1367="", "Pending", IF(N1367&lt;=30, "Met", "Breached"))</f>
        <v/>
      </c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  <c r="Y1367" s="8" t="n"/>
    </row>
    <row r="1368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9">
        <f>B1368+30</f>
        <v/>
      </c>
      <c r="N1368">
        <f>IF(L1368="", "", L1368-B1368)</f>
        <v/>
      </c>
      <c r="O1368">
        <f>IF(L1368="", "Pending", IF(N1368&lt;=30, "Met", "Breached"))</f>
        <v/>
      </c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 t="n"/>
      <c r="Y1368" s="8" t="n"/>
    </row>
    <row r="1369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9">
        <f>B1369+30</f>
        <v/>
      </c>
      <c r="N1369">
        <f>IF(L1369="", "", L1369-B1369)</f>
        <v/>
      </c>
      <c r="O1369">
        <f>IF(L1369="", "Pending", IF(N1369&lt;=30, "Met", "Breached"))</f>
        <v/>
      </c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 t="n"/>
      <c r="Y1369" s="8" t="n"/>
    </row>
    <row r="1370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9">
        <f>B1370+30</f>
        <v/>
      </c>
      <c r="N1370">
        <f>IF(L1370="", "", L1370-B1370)</f>
        <v/>
      </c>
      <c r="O1370">
        <f>IF(L1370="", "Pending", IF(N1370&lt;=30, "Met", "Breached"))</f>
        <v/>
      </c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 t="n"/>
      <c r="Y1370" s="8" t="n"/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9">
        <f>B1371+30</f>
        <v/>
      </c>
      <c r="N1371">
        <f>IF(L1371="", "", L1371-B1371)</f>
        <v/>
      </c>
      <c r="O1371">
        <f>IF(L1371="", "Pending", IF(N1371&lt;=30, "Met", "Breached"))</f>
        <v/>
      </c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9">
        <f>B1372+30</f>
        <v/>
      </c>
      <c r="N1372">
        <f>IF(L1372="", "", L1372-B1372)</f>
        <v/>
      </c>
      <c r="O1372">
        <f>IF(L1372="", "Pending", IF(N1372&lt;=30, "Met", "Breached"))</f>
        <v/>
      </c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</row>
    <row r="1373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9">
        <f>B1373+30</f>
        <v/>
      </c>
      <c r="N1373">
        <f>IF(L1373="", "", L1373-B1373)</f>
        <v/>
      </c>
      <c r="O1373">
        <f>IF(L1373="", "Pending", IF(N1373&lt;=30, "Met", "Breached"))</f>
        <v/>
      </c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 t="n"/>
      <c r="Y1373" s="8" t="n"/>
    </row>
    <row r="1374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9">
        <f>B1374+30</f>
        <v/>
      </c>
      <c r="N1374">
        <f>IF(L1374="", "", L1374-B1374)</f>
        <v/>
      </c>
      <c r="O1374">
        <f>IF(L1374="", "Pending", IF(N1374&lt;=30, "Met", "Breached"))</f>
        <v/>
      </c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</row>
    <row r="1375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9">
        <f>B1375+30</f>
        <v/>
      </c>
      <c r="N1375">
        <f>IF(L1375="", "", L1375-B1375)</f>
        <v/>
      </c>
      <c r="O1375">
        <f>IF(L1375="", "Pending", IF(N1375&lt;=30, "Met", "Breached"))</f>
        <v/>
      </c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9">
        <f>B1376+30</f>
        <v/>
      </c>
      <c r="N1376">
        <f>IF(L1376="", "", L1376-B1376)</f>
        <v/>
      </c>
      <c r="O1376">
        <f>IF(L1376="", "Pending", IF(N1376&lt;=30, "Met", "Breached"))</f>
        <v/>
      </c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9">
        <f>B1377+30</f>
        <v/>
      </c>
      <c r="N1377">
        <f>IF(L1377="", "", L1377-B1377)</f>
        <v/>
      </c>
      <c r="O1377">
        <f>IF(L1377="", "Pending", IF(N1377&lt;=30, "Met", "Breached"))</f>
        <v/>
      </c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9">
        <f>B1378+30</f>
        <v/>
      </c>
      <c r="N1378">
        <f>IF(L1378="", "", L1378-B1378)</f>
        <v/>
      </c>
      <c r="O1378">
        <f>IF(L1378="", "Pending", IF(N1378&lt;=30, "Met", "Breached"))</f>
        <v/>
      </c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</row>
    <row r="1379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9">
        <f>B1379+30</f>
        <v/>
      </c>
      <c r="N1379">
        <f>IF(L1379="", "", L1379-B1379)</f>
        <v/>
      </c>
      <c r="O1379">
        <f>IF(L1379="", "Pending", IF(N1379&lt;=30, "Met", "Breached"))</f>
        <v/>
      </c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</row>
    <row r="1380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9">
        <f>B1380+30</f>
        <v/>
      </c>
      <c r="N1380">
        <f>IF(L1380="", "", L1380-B1380)</f>
        <v/>
      </c>
      <c r="O1380">
        <f>IF(L1380="", "Pending", IF(N1380&lt;=30, "Met", "Breached"))</f>
        <v/>
      </c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</row>
    <row r="1381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9">
        <f>B1381+30</f>
        <v/>
      </c>
      <c r="N1381">
        <f>IF(L1381="", "", L1381-B1381)</f>
        <v/>
      </c>
      <c r="O1381">
        <f>IF(L1381="", "Pending", IF(N1381&lt;=30, "Met", "Breached"))</f>
        <v/>
      </c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</row>
    <row r="1382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9">
        <f>B1382+30</f>
        <v/>
      </c>
      <c r="N1382">
        <f>IF(L1382="", "", L1382-B1382)</f>
        <v/>
      </c>
      <c r="O1382">
        <f>IF(L1382="", "Pending", IF(N1382&lt;=30, "Met", "Breached"))</f>
        <v/>
      </c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</row>
    <row r="1383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9">
        <f>B1383+30</f>
        <v/>
      </c>
      <c r="N1383">
        <f>IF(L1383="", "", L1383-B1383)</f>
        <v/>
      </c>
      <c r="O1383">
        <f>IF(L1383="", "Pending", IF(N1383&lt;=30, "Met", "Breached"))</f>
        <v/>
      </c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 t="n"/>
      <c r="Y1383" s="8" t="n"/>
    </row>
    <row r="1384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9">
        <f>B1384+30</f>
        <v/>
      </c>
      <c r="N1384">
        <f>IF(L1384="", "", L1384-B1384)</f>
        <v/>
      </c>
      <c r="O1384">
        <f>IF(L1384="", "Pending", IF(N1384&lt;=30, "Met", "Breached"))</f>
        <v/>
      </c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 t="n"/>
      <c r="Y1384" s="8" t="n"/>
    </row>
    <row r="1385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9">
        <f>B1385+30</f>
        <v/>
      </c>
      <c r="N1385">
        <f>IF(L1385="", "", L1385-B1385)</f>
        <v/>
      </c>
      <c r="O1385">
        <f>IF(L1385="", "Pending", IF(N1385&lt;=30, "Met", "Breached"))</f>
        <v/>
      </c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 t="n"/>
      <c r="Y1385" s="8" t="n"/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9">
        <f>B1386+30</f>
        <v/>
      </c>
      <c r="N1386">
        <f>IF(L1386="", "", L1386-B1386)</f>
        <v/>
      </c>
      <c r="O1386">
        <f>IF(L1386="", "Pending", IF(N1386&lt;=30, "Met", "Breached"))</f>
        <v/>
      </c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  <c r="Y1386" s="8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9">
        <f>B1387+30</f>
        <v/>
      </c>
      <c r="N1387">
        <f>IF(L1387="", "", L1387-B1387)</f>
        <v/>
      </c>
      <c r="O1387">
        <f>IF(L1387="", "Pending", IF(N1387&lt;=30, "Met", "Breached"))</f>
        <v/>
      </c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 t="n"/>
      <c r="Y1387" s="8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9">
        <f>B1388+30</f>
        <v/>
      </c>
      <c r="N1388">
        <f>IF(L1388="", "", L1388-B1388)</f>
        <v/>
      </c>
      <c r="O1388">
        <f>IF(L1388="", "Pending", IF(N1388&lt;=30, "Met", "Breached"))</f>
        <v/>
      </c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 t="n"/>
      <c r="Y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9">
        <f>B1389+30</f>
        <v/>
      </c>
      <c r="N1389">
        <f>IF(L1389="", "", L1389-B1389)</f>
        <v/>
      </c>
      <c r="O1389">
        <f>IF(L1389="", "Pending", IF(N1389&lt;=30, "Met", "Breached"))</f>
        <v/>
      </c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 t="n"/>
      <c r="Y1389" s="8" t="n"/>
    </row>
    <row r="1390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9">
        <f>B1390+30</f>
        <v/>
      </c>
      <c r="N1390">
        <f>IF(L1390="", "", L1390-B1390)</f>
        <v/>
      </c>
      <c r="O1390">
        <f>IF(L1390="", "Pending", IF(N1390&lt;=30, "Met", "Breached"))</f>
        <v/>
      </c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 t="n"/>
      <c r="Y1390" s="8" t="n"/>
    </row>
    <row r="1391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9">
        <f>B1391+30</f>
        <v/>
      </c>
      <c r="N1391">
        <f>IF(L1391="", "", L1391-B1391)</f>
        <v/>
      </c>
      <c r="O1391">
        <f>IF(L1391="", "Pending", IF(N1391&lt;=30, "Met", "Breached"))</f>
        <v/>
      </c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  <c r="Y1391" s="8" t="n"/>
    </row>
    <row r="1392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9">
        <f>B1392+30</f>
        <v/>
      </c>
      <c r="N1392">
        <f>IF(L1392="", "", L1392-B1392)</f>
        <v/>
      </c>
      <c r="O1392">
        <f>IF(L1392="", "Pending", IF(N1392&lt;=30, "Met", "Breached"))</f>
        <v/>
      </c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 t="n"/>
      <c r="Y1392" s="8" t="n"/>
    </row>
    <row r="1393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9">
        <f>B1393+30</f>
        <v/>
      </c>
      <c r="N1393">
        <f>IF(L1393="", "", L1393-B1393)</f>
        <v/>
      </c>
      <c r="O1393">
        <f>IF(L1393="", "Pending", IF(N1393&lt;=30, "Met", "Breached"))</f>
        <v/>
      </c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</row>
    <row r="1394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9">
        <f>B1394+30</f>
        <v/>
      </c>
      <c r="N1394">
        <f>IF(L1394="", "", L1394-B1394)</f>
        <v/>
      </c>
      <c r="O1394">
        <f>IF(L1394="", "Pending", IF(N1394&lt;=30, "Met", "Breached"))</f>
        <v/>
      </c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</row>
    <row r="1395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9">
        <f>B1395+30</f>
        <v/>
      </c>
      <c r="N1395">
        <f>IF(L1395="", "", L1395-B1395)</f>
        <v/>
      </c>
      <c r="O1395">
        <f>IF(L1395="", "Pending", IF(N1395&lt;=30, "Met", "Breached"))</f>
        <v/>
      </c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</row>
    <row r="1396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9">
        <f>B1396+30</f>
        <v/>
      </c>
      <c r="N1396">
        <f>IF(L1396="", "", L1396-B1396)</f>
        <v/>
      </c>
      <c r="O1396">
        <f>IF(L1396="", "Pending", IF(N1396&lt;=30, "Met", "Breached"))</f>
        <v/>
      </c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  <c r="Y1396" s="8" t="n"/>
    </row>
    <row r="1397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9">
        <f>B1397+30</f>
        <v/>
      </c>
      <c r="N1397">
        <f>IF(L1397="", "", L1397-B1397)</f>
        <v/>
      </c>
      <c r="O1397">
        <f>IF(L1397="", "Pending", IF(N1397&lt;=30, "Met", "Breached"))</f>
        <v/>
      </c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 t="n"/>
      <c r="Y1397" s="8" t="n"/>
    </row>
    <row r="1398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9">
        <f>B1398+30</f>
        <v/>
      </c>
      <c r="N1398">
        <f>IF(L1398="", "", L1398-B1398)</f>
        <v/>
      </c>
      <c r="O1398">
        <f>IF(L1398="", "Pending", IF(N1398&lt;=30, "Met", "Breached"))</f>
        <v/>
      </c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 t="n"/>
      <c r="Y1398" s="8" t="n"/>
    </row>
    <row r="1399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9">
        <f>B1399+30</f>
        <v/>
      </c>
      <c r="N1399">
        <f>IF(L1399="", "", L1399-B1399)</f>
        <v/>
      </c>
      <c r="O1399">
        <f>IF(L1399="", "Pending", IF(N1399&lt;=30, "Met", "Breached"))</f>
        <v/>
      </c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 t="n"/>
      <c r="Y1399" s="8" t="n"/>
    </row>
    <row r="1400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9">
        <f>B1400+30</f>
        <v/>
      </c>
      <c r="N1400">
        <f>IF(L1400="", "", L1400-B1400)</f>
        <v/>
      </c>
      <c r="O1400">
        <f>IF(L1400="", "Pending", IF(N1400&lt;=30, "Met", "Breached"))</f>
        <v/>
      </c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 t="n"/>
      <c r="Y1400" s="8" t="n"/>
    </row>
    <row r="1401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9">
        <f>B1401+30</f>
        <v/>
      </c>
      <c r="N1401">
        <f>IF(L1401="", "", L1401-B1401)</f>
        <v/>
      </c>
      <c r="O1401">
        <f>IF(L1401="", "Pending", IF(N1401&lt;=30, "Met", "Breached"))</f>
        <v/>
      </c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 t="n"/>
      <c r="Y1401" s="8" t="n"/>
    </row>
    <row r="1402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9">
        <f>B1402+30</f>
        <v/>
      </c>
      <c r="N1402">
        <f>IF(L1402="", "", L1402-B1402)</f>
        <v/>
      </c>
      <c r="O1402">
        <f>IF(L1402="", "Pending", IF(N1402&lt;=30, "Met", "Breached"))</f>
        <v/>
      </c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 t="n"/>
      <c r="Y1402" s="8" t="n"/>
    </row>
    <row r="1403">
      <c r="A1403" s="8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9">
        <f>B1403+30</f>
        <v/>
      </c>
      <c r="N1403">
        <f>IF(L1403="", "", L1403-B1403)</f>
        <v/>
      </c>
      <c r="O1403">
        <f>IF(L1403="", "Pending", IF(N1403&lt;=30, "Met", "Breached"))</f>
        <v/>
      </c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  <c r="Y1403" s="8" t="n"/>
    </row>
    <row r="1404">
      <c r="A1404" s="8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9">
        <f>B1404+30</f>
        <v/>
      </c>
      <c r="N1404">
        <f>IF(L1404="", "", L1404-B1404)</f>
        <v/>
      </c>
      <c r="O1404">
        <f>IF(L1404="", "Pending", IF(N1404&lt;=30, "Met", "Breached"))</f>
        <v/>
      </c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 t="n"/>
      <c r="Y1404" s="8" t="n"/>
    </row>
    <row r="1405">
      <c r="A1405" s="8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9">
        <f>B1405+30</f>
        <v/>
      </c>
      <c r="N1405">
        <f>IF(L1405="", "", L1405-B1405)</f>
        <v/>
      </c>
      <c r="O1405">
        <f>IF(L1405="", "Pending", IF(N1405&lt;=30, "Met", "Breached"))</f>
        <v/>
      </c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</row>
    <row r="1406">
      <c r="A1406" s="8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9">
        <f>B1406+30</f>
        <v/>
      </c>
      <c r="N1406">
        <f>IF(L1406="", "", L1406-B1406)</f>
        <v/>
      </c>
      <c r="O1406">
        <f>IF(L1406="", "Pending", IF(N1406&lt;=30, "Met", "Breached"))</f>
        <v/>
      </c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</row>
    <row r="1407">
      <c r="A1407" s="8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9">
        <f>B1407+30</f>
        <v/>
      </c>
      <c r="N1407">
        <f>IF(L1407="", "", L1407-B1407)</f>
        <v/>
      </c>
      <c r="O1407">
        <f>IF(L1407="", "Pending", IF(N1407&lt;=30, "Met", "Breached"))</f>
        <v/>
      </c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</row>
    <row r="1408">
      <c r="A1408" s="8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9">
        <f>B1408+30</f>
        <v/>
      </c>
      <c r="N1408">
        <f>IF(L1408="", "", L1408-B1408)</f>
        <v/>
      </c>
      <c r="O1408">
        <f>IF(L1408="", "Pending", IF(N1408&lt;=30, "Met", "Breached"))</f>
        <v/>
      </c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</row>
    <row r="1409">
      <c r="A1409" s="8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9">
        <f>B1409+30</f>
        <v/>
      </c>
      <c r="N1409">
        <f>IF(L1409="", "", L1409-B1409)</f>
        <v/>
      </c>
      <c r="O1409">
        <f>IF(L1409="", "Pending", IF(N1409&lt;=30, "Met", "Breached"))</f>
        <v/>
      </c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</row>
    <row r="1410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9">
        <f>B1410+30</f>
        <v/>
      </c>
      <c r="N1410">
        <f>IF(L1410="", "", L1410-B1410)</f>
        <v/>
      </c>
      <c r="O1410">
        <f>IF(L1410="", "Pending", IF(N1410&lt;=30, "Met", "Breached"))</f>
        <v/>
      </c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 t="n"/>
      <c r="Y1410" s="8" t="n"/>
    </row>
    <row r="1411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9">
        <f>B1411+30</f>
        <v/>
      </c>
      <c r="N1411">
        <f>IF(L1411="", "", L1411-B1411)</f>
        <v/>
      </c>
      <c r="O1411">
        <f>IF(L1411="", "Pending", IF(N1411&lt;=30, "Met", "Breached"))</f>
        <v/>
      </c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 t="n"/>
      <c r="Y1411" s="8" t="n"/>
    </row>
    <row r="1412">
      <c r="A1412" s="8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9">
        <f>B1412+30</f>
        <v/>
      </c>
      <c r="N1412">
        <f>IF(L1412="", "", L1412-B1412)</f>
        <v/>
      </c>
      <c r="O1412">
        <f>IF(L1412="", "Pending", IF(N1412&lt;=30, "Met", "Breached"))</f>
        <v/>
      </c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 t="n"/>
      <c r="Y1412" s="8" t="n"/>
    </row>
    <row r="1413">
      <c r="A1413" s="8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9">
        <f>B1413+30</f>
        <v/>
      </c>
      <c r="N1413">
        <f>IF(L1413="", "", L1413-B1413)</f>
        <v/>
      </c>
      <c r="O1413">
        <f>IF(L1413="", "Pending", IF(N1413&lt;=30, "Met", "Breached"))</f>
        <v/>
      </c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  <c r="Y1413" s="8" t="n"/>
    </row>
    <row r="1414">
      <c r="A1414" s="8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9">
        <f>B1414+30</f>
        <v/>
      </c>
      <c r="N1414">
        <f>IF(L1414="", "", L1414-B1414)</f>
        <v/>
      </c>
      <c r="O1414">
        <f>IF(L1414="", "Pending", IF(N1414&lt;=30, "Met", "Breached"))</f>
        <v/>
      </c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 t="n"/>
      <c r="Y1414" s="8" t="n"/>
    </row>
    <row r="1415">
      <c r="A1415" s="8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9">
        <f>B1415+30</f>
        <v/>
      </c>
      <c r="N1415">
        <f>IF(L1415="", "", L1415-B1415)</f>
        <v/>
      </c>
      <c r="O1415">
        <f>IF(L1415="", "Pending", IF(N1415&lt;=30, "Met", "Breached"))</f>
        <v/>
      </c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  <c r="Y1415" s="8" t="n"/>
    </row>
    <row r="1416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9">
        <f>B1416+30</f>
        <v/>
      </c>
      <c r="N1416">
        <f>IF(L1416="", "", L1416-B1416)</f>
        <v/>
      </c>
      <c r="O1416">
        <f>IF(L1416="", "Pending", IF(N1416&lt;=30, "Met", "Breached"))</f>
        <v/>
      </c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  <c r="Y1416" s="8" t="n"/>
    </row>
    <row r="1417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9">
        <f>B1417+30</f>
        <v/>
      </c>
      <c r="N1417">
        <f>IF(L1417="", "", L1417-B1417)</f>
        <v/>
      </c>
      <c r="O1417">
        <f>IF(L1417="", "Pending", IF(N1417&lt;=30, "Met", "Breached"))</f>
        <v/>
      </c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 t="n"/>
      <c r="Y1417" s="8" t="n"/>
    </row>
    <row r="1418">
      <c r="A1418" s="8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9">
        <f>B1418+30</f>
        <v/>
      </c>
      <c r="N1418">
        <f>IF(L1418="", "", L1418-B1418)</f>
        <v/>
      </c>
      <c r="O1418">
        <f>IF(L1418="", "Pending", IF(N1418&lt;=30, "Met", "Breached"))</f>
        <v/>
      </c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 t="n"/>
      <c r="Y1418" s="8" t="n"/>
    </row>
    <row r="1419">
      <c r="A1419" s="8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9">
        <f>B1419+30</f>
        <v/>
      </c>
      <c r="N1419">
        <f>IF(L1419="", "", L1419-B1419)</f>
        <v/>
      </c>
      <c r="O1419">
        <f>IF(L1419="", "Pending", IF(N1419&lt;=30, "Met", "Breached"))</f>
        <v/>
      </c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  <c r="Y1419" s="8" t="n"/>
    </row>
    <row r="1420">
      <c r="A1420" s="8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9">
        <f>B1420+30</f>
        <v/>
      </c>
      <c r="N1420">
        <f>IF(L1420="", "", L1420-B1420)</f>
        <v/>
      </c>
      <c r="O1420">
        <f>IF(L1420="", "Pending", IF(N1420&lt;=30, "Met", "Breached"))</f>
        <v/>
      </c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 t="n"/>
      <c r="Y1420" s="8" t="n"/>
    </row>
    <row r="1421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9">
        <f>B1421+30</f>
        <v/>
      </c>
      <c r="N1421">
        <f>IF(L1421="", "", L1421-B1421)</f>
        <v/>
      </c>
      <c r="O1421">
        <f>IF(L1421="", "Pending", IF(N1421&lt;=30, "Met", "Breached"))</f>
        <v/>
      </c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/>
      <c r="Y1421" s="8" t="n"/>
    </row>
    <row r="1422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9">
        <f>B1422+30</f>
        <v/>
      </c>
      <c r="N1422">
        <f>IF(L1422="", "", L1422-B1422)</f>
        <v/>
      </c>
      <c r="O1422">
        <f>IF(L1422="", "Pending", IF(N1422&lt;=30, "Met", "Breached"))</f>
        <v/>
      </c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  <c r="Y1422" s="8" t="n"/>
    </row>
    <row r="1423">
      <c r="A1423" s="8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9">
        <f>B1423+30</f>
        <v/>
      </c>
      <c r="N1423">
        <f>IF(L1423="", "", L1423-B1423)</f>
        <v/>
      </c>
      <c r="O1423">
        <f>IF(L1423="", "Pending", IF(N1423&lt;=30, "Met", "Breached"))</f>
        <v/>
      </c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 t="n"/>
      <c r="Y1423" s="8" t="n"/>
    </row>
    <row r="1424">
      <c r="A1424" s="8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9">
        <f>B1424+30</f>
        <v/>
      </c>
      <c r="N1424">
        <f>IF(L1424="", "", L1424-B1424)</f>
        <v/>
      </c>
      <c r="O1424">
        <f>IF(L1424="", "Pending", IF(N1424&lt;=30, "Met", "Breached"))</f>
        <v/>
      </c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 t="n"/>
      <c r="Y1424" s="8" t="n"/>
    </row>
    <row r="1425">
      <c r="A1425" s="8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9">
        <f>B1425+30</f>
        <v/>
      </c>
      <c r="N1425">
        <f>IF(L1425="", "", L1425-B1425)</f>
        <v/>
      </c>
      <c r="O1425">
        <f>IF(L1425="", "Pending", IF(N1425&lt;=30, "Met", "Breached"))</f>
        <v/>
      </c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 t="n"/>
      <c r="Y1425" s="8" t="n"/>
    </row>
    <row r="1426">
      <c r="A1426" s="8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9">
        <f>B1426+30</f>
        <v/>
      </c>
      <c r="N1426">
        <f>IF(L1426="", "", L1426-B1426)</f>
        <v/>
      </c>
      <c r="O1426">
        <f>IF(L1426="", "Pending", IF(N1426&lt;=30, "Met", "Breached"))</f>
        <v/>
      </c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  <c r="Y1426" s="8" t="n"/>
    </row>
    <row r="1427">
      <c r="A1427" s="8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9">
        <f>B1427+30</f>
        <v/>
      </c>
      <c r="N1427">
        <f>IF(L1427="", "", L1427-B1427)</f>
        <v/>
      </c>
      <c r="O1427">
        <f>IF(L1427="", "Pending", IF(N1427&lt;=30, "Met", "Breached"))</f>
        <v/>
      </c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  <c r="Y1427" s="8" t="n"/>
    </row>
    <row r="1428">
      <c r="A1428" s="8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9">
        <f>B1428+30</f>
        <v/>
      </c>
      <c r="N1428">
        <f>IF(L1428="", "", L1428-B1428)</f>
        <v/>
      </c>
      <c r="O1428">
        <f>IF(L1428="", "Pending", IF(N1428&lt;=30, "Met", "Breached"))</f>
        <v/>
      </c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 t="n"/>
      <c r="Y1428" s="8" t="n"/>
    </row>
    <row r="1429">
      <c r="A1429" s="8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9">
        <f>B1429+30</f>
        <v/>
      </c>
      <c r="N1429">
        <f>IF(L1429="", "", L1429-B1429)</f>
        <v/>
      </c>
      <c r="O1429">
        <f>IF(L1429="", "Pending", IF(N1429&lt;=30, "Met", "Breached"))</f>
        <v/>
      </c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  <c r="Y1429" s="8" t="n"/>
    </row>
    <row r="1430">
      <c r="A1430" s="8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9">
        <f>B1430+30</f>
        <v/>
      </c>
      <c r="N1430">
        <f>IF(L1430="", "", L1430-B1430)</f>
        <v/>
      </c>
      <c r="O1430">
        <f>IF(L1430="", "Pending", IF(N1430&lt;=30, "Met", "Breached"))</f>
        <v/>
      </c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  <c r="Y1430" s="8" t="n"/>
    </row>
    <row r="1431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9">
        <f>B1431+30</f>
        <v/>
      </c>
      <c r="N1431">
        <f>IF(L1431="", "", L1431-B1431)</f>
        <v/>
      </c>
      <c r="O1431">
        <f>IF(L1431="", "Pending", IF(N1431&lt;=30, "Met", "Breached"))</f>
        <v/>
      </c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  <c r="Y1431" s="8" t="n"/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9">
        <f>B1432+30</f>
        <v/>
      </c>
      <c r="N1432">
        <f>IF(L1432="", "", L1432-B1432)</f>
        <v/>
      </c>
      <c r="O1432">
        <f>IF(L1432="", "Pending", IF(N1432&lt;=30, "Met", "Breached"))</f>
        <v/>
      </c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  <c r="Y1432" s="8" t="n"/>
    </row>
    <row r="1433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9">
        <f>B1433+30</f>
        <v/>
      </c>
      <c r="N1433">
        <f>IF(L1433="", "", L1433-B1433)</f>
        <v/>
      </c>
      <c r="O1433">
        <f>IF(L1433="", "Pending", IF(N1433&lt;=30, "Met", "Breached"))</f>
        <v/>
      </c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 t="n"/>
      <c r="Y1433" s="8" t="n"/>
    </row>
    <row r="1434">
      <c r="A1434" s="8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9">
        <f>B1434+30</f>
        <v/>
      </c>
      <c r="N1434">
        <f>IF(L1434="", "", L1434-B1434)</f>
        <v/>
      </c>
      <c r="O1434">
        <f>IF(L1434="", "Pending", IF(N1434&lt;=30, "Met", "Breached"))</f>
        <v/>
      </c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 t="n"/>
      <c r="Y1434" s="8" t="n"/>
    </row>
    <row r="1435">
      <c r="A1435" s="8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9">
        <f>B1435+30</f>
        <v/>
      </c>
      <c r="N1435">
        <f>IF(L1435="", "", L1435-B1435)</f>
        <v/>
      </c>
      <c r="O1435">
        <f>IF(L1435="", "Pending", IF(N1435&lt;=30, "Met", "Breached"))</f>
        <v/>
      </c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  <c r="Y1435" s="8" t="n"/>
    </row>
    <row r="1436">
      <c r="A1436" s="8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9">
        <f>B1436+30</f>
        <v/>
      </c>
      <c r="N1436">
        <f>IF(L1436="", "", L1436-B1436)</f>
        <v/>
      </c>
      <c r="O1436">
        <f>IF(L1436="", "Pending", IF(N1436&lt;=30, "Met", "Breached"))</f>
        <v/>
      </c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  <c r="Y1436" s="8" t="n"/>
    </row>
    <row r="1437">
      <c r="A1437" s="8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9">
        <f>B1437+30</f>
        <v/>
      </c>
      <c r="N1437">
        <f>IF(L1437="", "", L1437-B1437)</f>
        <v/>
      </c>
      <c r="O1437">
        <f>IF(L1437="", "Pending", IF(N1437&lt;=30, "Met", "Breached"))</f>
        <v/>
      </c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 t="n"/>
      <c r="Y1437" s="8" t="n"/>
    </row>
    <row r="1438">
      <c r="A1438" s="8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9">
        <f>B1438+30</f>
        <v/>
      </c>
      <c r="N1438">
        <f>IF(L1438="", "", L1438-B1438)</f>
        <v/>
      </c>
      <c r="O1438">
        <f>IF(L1438="", "Pending", IF(N1438&lt;=30, "Met", "Breached"))</f>
        <v/>
      </c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  <c r="Y1438" s="8" t="n"/>
    </row>
    <row r="1439">
      <c r="A1439" s="8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9">
        <f>B1439+30</f>
        <v/>
      </c>
      <c r="N1439">
        <f>IF(L1439="", "", L1439-B1439)</f>
        <v/>
      </c>
      <c r="O1439">
        <f>IF(L1439="", "Pending", IF(N1439&lt;=30, "Met", "Breached"))</f>
        <v/>
      </c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  <c r="Y1439" s="8" t="n"/>
    </row>
    <row r="1440">
      <c r="A1440" s="8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9">
        <f>B1440+30</f>
        <v/>
      </c>
      <c r="N1440">
        <f>IF(L1440="", "", L1440-B1440)</f>
        <v/>
      </c>
      <c r="O1440">
        <f>IF(L1440="", "Pending", IF(N1440&lt;=30, "Met", "Breached"))</f>
        <v/>
      </c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 t="n"/>
      <c r="Y1440" s="8" t="n"/>
    </row>
    <row r="1441">
      <c r="A1441" s="8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9">
        <f>B1441+30</f>
        <v/>
      </c>
      <c r="N1441">
        <f>IF(L1441="", "", L1441-B1441)</f>
        <v/>
      </c>
      <c r="O1441">
        <f>IF(L1441="", "Pending", IF(N1441&lt;=30, "Met", "Breached"))</f>
        <v/>
      </c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 t="n"/>
      <c r="Y1441" s="8" t="n"/>
    </row>
    <row r="1442">
      <c r="A1442" s="8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9">
        <f>B1442+30</f>
        <v/>
      </c>
      <c r="N1442">
        <f>IF(L1442="", "", L1442-B1442)</f>
        <v/>
      </c>
      <c r="O1442">
        <f>IF(L1442="", "Pending", IF(N1442&lt;=30, "Met", "Breached"))</f>
        <v/>
      </c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  <c r="Y1442" s="8" t="n"/>
    </row>
    <row r="1443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9">
        <f>B1443+30</f>
        <v/>
      </c>
      <c r="N1443">
        <f>IF(L1443="", "", L1443-B1443)</f>
        <v/>
      </c>
      <c r="O1443">
        <f>IF(L1443="", "Pending", IF(N1443&lt;=30, "Met", "Breached"))</f>
        <v/>
      </c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  <c r="Y1443" s="8" t="n"/>
    </row>
    <row r="1444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9">
        <f>B1444+30</f>
        <v/>
      </c>
      <c r="N1444">
        <f>IF(L1444="", "", L1444-B1444)</f>
        <v/>
      </c>
      <c r="O1444">
        <f>IF(L1444="", "Pending", IF(N1444&lt;=30, "Met", "Breached"))</f>
        <v/>
      </c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  <c r="Y1444" s="8" t="n"/>
    </row>
    <row r="1445">
      <c r="A1445" s="8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9">
        <f>B1445+30</f>
        <v/>
      </c>
      <c r="N1445">
        <f>IF(L1445="", "", L1445-B1445)</f>
        <v/>
      </c>
      <c r="O1445">
        <f>IF(L1445="", "Pending", IF(N1445&lt;=30, "Met", "Breached"))</f>
        <v/>
      </c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 t="n"/>
      <c r="Y1445" s="8" t="n"/>
    </row>
    <row r="1446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9">
        <f>B1446+30</f>
        <v/>
      </c>
      <c r="N1446">
        <f>IF(L1446="", "", L1446-B1446)</f>
        <v/>
      </c>
      <c r="O1446">
        <f>IF(L1446="", "Pending", IF(N1446&lt;=30, "Met", "Breached"))</f>
        <v/>
      </c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  <c r="Y1446" s="8" t="n"/>
    </row>
    <row r="1447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9">
        <f>B1447+30</f>
        <v/>
      </c>
      <c r="N1447">
        <f>IF(L1447="", "", L1447-B1447)</f>
        <v/>
      </c>
      <c r="O1447">
        <f>IF(L1447="", "Pending", IF(N1447&lt;=30, "Met", "Breached"))</f>
        <v/>
      </c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 t="n"/>
      <c r="Y1447" s="8" t="n"/>
    </row>
    <row r="1448">
      <c r="A1448" s="8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9">
        <f>B1448+30</f>
        <v/>
      </c>
      <c r="N1448">
        <f>IF(L1448="", "", L1448-B1448)</f>
        <v/>
      </c>
      <c r="O1448">
        <f>IF(L1448="", "Pending", IF(N1448&lt;=30, "Met", "Breached"))</f>
        <v/>
      </c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  <c r="Y1448" s="8" t="n"/>
    </row>
    <row r="1449">
      <c r="A1449" s="8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9">
        <f>B1449+30</f>
        <v/>
      </c>
      <c r="N1449">
        <f>IF(L1449="", "", L1449-B1449)</f>
        <v/>
      </c>
      <c r="O1449">
        <f>IF(L1449="", "Pending", IF(N1449&lt;=30, "Met", "Breached"))</f>
        <v/>
      </c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  <c r="Y1449" s="8" t="n"/>
    </row>
    <row r="1450">
      <c r="A1450" s="8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9">
        <f>B1450+30</f>
        <v/>
      </c>
      <c r="N1450">
        <f>IF(L1450="", "", L1450-B1450)</f>
        <v/>
      </c>
      <c r="O1450">
        <f>IF(L1450="", "Pending", IF(N1450&lt;=30, "Met", "Breached"))</f>
        <v/>
      </c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 t="n"/>
      <c r="Y1450" s="8" t="n"/>
    </row>
    <row r="1451">
      <c r="A1451" s="8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9">
        <f>B1451+30</f>
        <v/>
      </c>
      <c r="N1451">
        <f>IF(L1451="", "", L1451-B1451)</f>
        <v/>
      </c>
      <c r="O1451">
        <f>IF(L1451="", "Pending", IF(N1451&lt;=30, "Met", "Breached"))</f>
        <v/>
      </c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</row>
    <row r="1452">
      <c r="A1452" s="8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9">
        <f>B1452+30</f>
        <v/>
      </c>
      <c r="N1452">
        <f>IF(L1452="", "", L1452-B1452)</f>
        <v/>
      </c>
      <c r="O1452">
        <f>IF(L1452="", "Pending", IF(N1452&lt;=30, "Met", "Breached"))</f>
        <v/>
      </c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</row>
    <row r="1453">
      <c r="A1453" s="8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9">
        <f>B1453+30</f>
        <v/>
      </c>
      <c r="N1453">
        <f>IF(L1453="", "", L1453-B1453)</f>
        <v/>
      </c>
      <c r="O1453">
        <f>IF(L1453="", "Pending", IF(N1453&lt;=30, "Met", "Breached"))</f>
        <v/>
      </c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 t="n"/>
      <c r="Y1453" s="8" t="n"/>
    </row>
    <row r="1454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9">
        <f>B1454+30</f>
        <v/>
      </c>
      <c r="N1454">
        <f>IF(L1454="", "", L1454-B1454)</f>
        <v/>
      </c>
      <c r="O1454">
        <f>IF(L1454="", "Pending", IF(N1454&lt;=30, "Met", "Breached"))</f>
        <v/>
      </c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  <c r="Y1454" s="8" t="n"/>
    </row>
    <row r="1455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9">
        <f>B1455+30</f>
        <v/>
      </c>
      <c r="N1455">
        <f>IF(L1455="", "", L1455-B1455)</f>
        <v/>
      </c>
      <c r="O1455">
        <f>IF(L1455="", "Pending", IF(N1455&lt;=30, "Met", "Breached"))</f>
        <v/>
      </c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 t="n"/>
      <c r="Y1455" s="8" t="n"/>
    </row>
    <row r="1456">
      <c r="A1456" s="8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9">
        <f>B1456+30</f>
        <v/>
      </c>
      <c r="N1456">
        <f>IF(L1456="", "", L1456-B1456)</f>
        <v/>
      </c>
      <c r="O1456">
        <f>IF(L1456="", "Pending", IF(N1456&lt;=30, "Met", "Breached"))</f>
        <v/>
      </c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  <c r="Y1456" s="8" t="n"/>
    </row>
    <row r="1457">
      <c r="A1457" s="8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9">
        <f>B1457+30</f>
        <v/>
      </c>
      <c r="N1457">
        <f>IF(L1457="", "", L1457-B1457)</f>
        <v/>
      </c>
      <c r="O1457">
        <f>IF(L1457="", "Pending", IF(N1457&lt;=30, "Met", "Breached"))</f>
        <v/>
      </c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 t="n"/>
      <c r="Y1457" s="8" t="n"/>
    </row>
    <row r="1458">
      <c r="A1458" s="8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9">
        <f>B1458+30</f>
        <v/>
      </c>
      <c r="N1458">
        <f>IF(L1458="", "", L1458-B1458)</f>
        <v/>
      </c>
      <c r="O1458">
        <f>IF(L1458="", "Pending", IF(N1458&lt;=30, "Met", "Breached"))</f>
        <v/>
      </c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  <c r="Y1458" s="8" t="n"/>
    </row>
    <row r="1459">
      <c r="A1459" s="8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9">
        <f>B1459+30</f>
        <v/>
      </c>
      <c r="N1459">
        <f>IF(L1459="", "", L1459-B1459)</f>
        <v/>
      </c>
      <c r="O1459">
        <f>IF(L1459="", "Pending", IF(N1459&lt;=30, "Met", "Breached"))</f>
        <v/>
      </c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  <c r="Y1459" s="8" t="n"/>
    </row>
    <row r="1460">
      <c r="A1460" s="8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9">
        <f>B1460+30</f>
        <v/>
      </c>
      <c r="N1460">
        <f>IF(L1460="", "", L1460-B1460)</f>
        <v/>
      </c>
      <c r="O1460">
        <f>IF(L1460="", "Pending", IF(N1460&lt;=30, "Met", "Breached"))</f>
        <v/>
      </c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  <c r="Y1460" s="8" t="n"/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9">
        <f>B1461+30</f>
        <v/>
      </c>
      <c r="N1461">
        <f>IF(L1461="", "", L1461-B1461)</f>
        <v/>
      </c>
      <c r="O1461">
        <f>IF(L1461="", "Pending", IF(N1461&lt;=30, "Met", "Breached"))</f>
        <v/>
      </c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  <c r="Y1461" s="8" t="n"/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9">
        <f>B1462+30</f>
        <v/>
      </c>
      <c r="N1462">
        <f>IF(L1462="", "", L1462-B1462)</f>
        <v/>
      </c>
      <c r="O1462">
        <f>IF(L1462="", "Pending", IF(N1462&lt;=30, "Met", "Breached"))</f>
        <v/>
      </c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  <c r="Y1462" s="8" t="n"/>
    </row>
    <row r="1463">
      <c r="A1463" s="8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9">
        <f>B1463+30</f>
        <v/>
      </c>
      <c r="N1463">
        <f>IF(L1463="", "", L1463-B1463)</f>
        <v/>
      </c>
      <c r="O1463">
        <f>IF(L1463="", "Pending", IF(N1463&lt;=30, "Met", "Breached"))</f>
        <v/>
      </c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  <c r="Y1463" s="8" t="n"/>
    </row>
    <row r="1464">
      <c r="A1464" s="8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9">
        <f>B1464+30</f>
        <v/>
      </c>
      <c r="N1464">
        <f>IF(L1464="", "", L1464-B1464)</f>
        <v/>
      </c>
      <c r="O1464">
        <f>IF(L1464="", "Pending", IF(N1464&lt;=30, "Met", "Breached"))</f>
        <v/>
      </c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  <c r="Y1464" s="8" t="n"/>
    </row>
    <row r="1465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9">
        <f>B1465+30</f>
        <v/>
      </c>
      <c r="N1465">
        <f>IF(L1465="", "", L1465-B1465)</f>
        <v/>
      </c>
      <c r="O1465">
        <f>IF(L1465="", "Pending", IF(N1465&lt;=30, "Met", "Breached"))</f>
        <v/>
      </c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  <c r="Y1465" s="8" t="n"/>
    </row>
    <row r="1466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9">
        <f>B1466+30</f>
        <v/>
      </c>
      <c r="N1466">
        <f>IF(L1466="", "", L1466-B1466)</f>
        <v/>
      </c>
      <c r="O1466">
        <f>IF(L1466="", "Pending", IF(N1466&lt;=30, "Met", "Breached"))</f>
        <v/>
      </c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  <c r="Y1466" s="8" t="n"/>
    </row>
    <row r="1467">
      <c r="A1467" s="8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9">
        <f>B1467+30</f>
        <v/>
      </c>
      <c r="N1467">
        <f>IF(L1467="", "", L1467-B1467)</f>
        <v/>
      </c>
      <c r="O1467">
        <f>IF(L1467="", "Pending", IF(N1467&lt;=30, "Met", "Breached"))</f>
        <v/>
      </c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  <c r="Y1467" s="8" t="n"/>
    </row>
    <row r="1468">
      <c r="A1468" s="8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9">
        <f>B1468+30</f>
        <v/>
      </c>
      <c r="N1468">
        <f>IF(L1468="", "", L1468-B1468)</f>
        <v/>
      </c>
      <c r="O1468">
        <f>IF(L1468="", "Pending", IF(N1468&lt;=30, "Met", "Breached"))</f>
        <v/>
      </c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  <c r="Y1468" s="8" t="n"/>
    </row>
    <row r="1469">
      <c r="A1469" s="8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9">
        <f>B1469+30</f>
        <v/>
      </c>
      <c r="N1469">
        <f>IF(L1469="", "", L1469-B1469)</f>
        <v/>
      </c>
      <c r="O1469">
        <f>IF(L1469="", "Pending", IF(N1469&lt;=30, "Met", "Breached"))</f>
        <v/>
      </c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  <c r="Y1469" s="8" t="n"/>
    </row>
    <row r="1470">
      <c r="A1470" s="8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9">
        <f>B1470+30</f>
        <v/>
      </c>
      <c r="N1470">
        <f>IF(L1470="", "", L1470-B1470)</f>
        <v/>
      </c>
      <c r="O1470">
        <f>IF(L1470="", "Pending", IF(N1470&lt;=30, "Met", "Breached"))</f>
        <v/>
      </c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 t="n"/>
      <c r="Y1470" s="8" t="n"/>
    </row>
    <row r="1471">
      <c r="A1471" s="8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9">
        <f>B1471+30</f>
        <v/>
      </c>
      <c r="N1471">
        <f>IF(L1471="", "", L1471-B1471)</f>
        <v/>
      </c>
      <c r="O1471">
        <f>IF(L1471="", "Pending", IF(N1471&lt;=30, "Met", "Breached"))</f>
        <v/>
      </c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 t="n"/>
      <c r="Y1471" s="8" t="n"/>
    </row>
    <row r="1472">
      <c r="A1472" s="8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9">
        <f>B1472+30</f>
        <v/>
      </c>
      <c r="N1472">
        <f>IF(L1472="", "", L1472-B1472)</f>
        <v/>
      </c>
      <c r="O1472">
        <f>IF(L1472="", "Pending", IF(N1472&lt;=30, "Met", "Breached"))</f>
        <v/>
      </c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 t="n"/>
      <c r="Y1472" s="8" t="n"/>
    </row>
    <row r="1473">
      <c r="A1473" s="8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9">
        <f>B1473+30</f>
        <v/>
      </c>
      <c r="N1473">
        <f>IF(L1473="", "", L1473-B1473)</f>
        <v/>
      </c>
      <c r="O1473">
        <f>IF(L1473="", "Pending", IF(N1473&lt;=30, "Met", "Breached"))</f>
        <v/>
      </c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 t="n"/>
      <c r="Y1473" s="8" t="n"/>
    </row>
    <row r="1474">
      <c r="A1474" s="8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9">
        <f>B1474+30</f>
        <v/>
      </c>
      <c r="N1474">
        <f>IF(L1474="", "", L1474-B1474)</f>
        <v/>
      </c>
      <c r="O1474">
        <f>IF(L1474="", "Pending", IF(N1474&lt;=30, "Met", "Breached"))</f>
        <v/>
      </c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 t="n"/>
      <c r="Y1474" s="8" t="n"/>
    </row>
    <row r="1475">
      <c r="A1475" s="8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9">
        <f>B1475+30</f>
        <v/>
      </c>
      <c r="N1475">
        <f>IF(L1475="", "", L1475-B1475)</f>
        <v/>
      </c>
      <c r="O1475">
        <f>IF(L1475="", "Pending", IF(N1475&lt;=30, "Met", "Breached"))</f>
        <v/>
      </c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 t="n"/>
      <c r="Y1475" s="8" t="n"/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9">
        <f>B1476+30</f>
        <v/>
      </c>
      <c r="N1476">
        <f>IF(L1476="", "", L1476-B1476)</f>
        <v/>
      </c>
      <c r="O1476">
        <f>IF(L1476="", "Pending", IF(N1476&lt;=30, "Met", "Breached"))</f>
        <v/>
      </c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 t="n"/>
      <c r="Y1476" s="8" t="n"/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9">
        <f>B1477+30</f>
        <v/>
      </c>
      <c r="N1477">
        <f>IF(L1477="", "", L1477-B1477)</f>
        <v/>
      </c>
      <c r="O1477">
        <f>IF(L1477="", "Pending", IF(N1477&lt;=30, "Met", "Breached"))</f>
        <v/>
      </c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 t="n"/>
      <c r="Y1477" s="8" t="n"/>
    </row>
    <row r="1478">
      <c r="A1478" s="8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9">
        <f>B1478+30</f>
        <v/>
      </c>
      <c r="N1478">
        <f>IF(L1478="", "", L1478-B1478)</f>
        <v/>
      </c>
      <c r="O1478">
        <f>IF(L1478="", "Pending", IF(N1478&lt;=30, "Met", "Breached"))</f>
        <v/>
      </c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 t="n"/>
      <c r="Y1478" s="8" t="n"/>
    </row>
    <row r="1479">
      <c r="A1479" s="8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9">
        <f>B1479+30</f>
        <v/>
      </c>
      <c r="N1479">
        <f>IF(L1479="", "", L1479-B1479)</f>
        <v/>
      </c>
      <c r="O1479">
        <f>IF(L1479="", "Pending", IF(N1479&lt;=30, "Met", "Breached"))</f>
        <v/>
      </c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 t="n"/>
      <c r="Y1479" s="8" t="n"/>
    </row>
    <row r="1480">
      <c r="A1480" s="8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9">
        <f>B1480+30</f>
        <v/>
      </c>
      <c r="N1480">
        <f>IF(L1480="", "", L1480-B1480)</f>
        <v/>
      </c>
      <c r="O1480">
        <f>IF(L1480="", "Pending", IF(N1480&lt;=30, "Met", "Breached"))</f>
        <v/>
      </c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 t="n"/>
      <c r="Y1480" s="8" t="n"/>
    </row>
    <row r="1481">
      <c r="A1481" s="8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9">
        <f>B1481+30</f>
        <v/>
      </c>
      <c r="N1481">
        <f>IF(L1481="", "", L1481-B1481)</f>
        <v/>
      </c>
      <c r="O1481">
        <f>IF(L1481="", "Pending", IF(N1481&lt;=30, "Met", "Breached"))</f>
        <v/>
      </c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 t="n"/>
      <c r="Y1481" s="8" t="n"/>
    </row>
    <row r="1482">
      <c r="A1482" s="8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9">
        <f>B1482+30</f>
        <v/>
      </c>
      <c r="N1482">
        <f>IF(L1482="", "", L1482-B1482)</f>
        <v/>
      </c>
      <c r="O1482">
        <f>IF(L1482="", "Pending", IF(N1482&lt;=30, "Met", "Breached"))</f>
        <v/>
      </c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 t="n"/>
      <c r="Y1482" s="8" t="n"/>
    </row>
    <row r="1483">
      <c r="A1483" s="8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9">
        <f>B1483+30</f>
        <v/>
      </c>
      <c r="N1483">
        <f>IF(L1483="", "", L1483-B1483)</f>
        <v/>
      </c>
      <c r="O1483">
        <f>IF(L1483="", "Pending", IF(N1483&lt;=30, "Met", "Breached"))</f>
        <v/>
      </c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 t="n"/>
      <c r="Y1483" s="8" t="n"/>
    </row>
    <row r="1484">
      <c r="A1484" s="8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9">
        <f>B1484+30</f>
        <v/>
      </c>
      <c r="N1484">
        <f>IF(L1484="", "", L1484-B1484)</f>
        <v/>
      </c>
      <c r="O1484">
        <f>IF(L1484="", "Pending", IF(N1484&lt;=30, "Met", "Breached"))</f>
        <v/>
      </c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 t="n"/>
      <c r="Y1484" s="8" t="n"/>
    </row>
    <row r="1485">
      <c r="A1485" s="8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9">
        <f>B1485+30</f>
        <v/>
      </c>
      <c r="N1485">
        <f>IF(L1485="", "", L1485-B1485)</f>
        <v/>
      </c>
      <c r="O1485">
        <f>IF(L1485="", "Pending", IF(N1485&lt;=30, "Met", "Breached"))</f>
        <v/>
      </c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 t="n"/>
      <c r="Y1485" s="8" t="n"/>
    </row>
    <row r="1486">
      <c r="A1486" s="8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9">
        <f>B1486+30</f>
        <v/>
      </c>
      <c r="N1486">
        <f>IF(L1486="", "", L1486-B1486)</f>
        <v/>
      </c>
      <c r="O1486">
        <f>IF(L1486="", "Pending", IF(N1486&lt;=30, "Met", "Breached"))</f>
        <v/>
      </c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 t="n"/>
      <c r="Y1486" s="8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9">
        <f>B1487+30</f>
        <v/>
      </c>
      <c r="N1487">
        <f>IF(L1487="", "", L1487-B1487)</f>
        <v/>
      </c>
      <c r="O1487">
        <f>IF(L1487="", "Pending", IF(N1487&lt;=30, "Met", "Breached"))</f>
        <v/>
      </c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 t="n"/>
      <c r="Y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9">
        <f>B1488+30</f>
        <v/>
      </c>
      <c r="N1488">
        <f>IF(L1488="", "", L1488-B1488)</f>
        <v/>
      </c>
      <c r="O1488">
        <f>IF(L1488="", "Pending", IF(N1488&lt;=30, "Met", "Breached"))</f>
        <v/>
      </c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 t="n"/>
      <c r="Y1488" s="8" t="n"/>
    </row>
    <row r="1489">
      <c r="A1489" s="8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9">
        <f>B1489+30</f>
        <v/>
      </c>
      <c r="N1489">
        <f>IF(L1489="", "", L1489-B1489)</f>
        <v/>
      </c>
      <c r="O1489">
        <f>IF(L1489="", "Pending", IF(N1489&lt;=30, "Met", "Breached"))</f>
        <v/>
      </c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 t="n"/>
      <c r="Y1489" s="8" t="n"/>
    </row>
    <row r="1490">
      <c r="A1490" s="8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9">
        <f>B1490+30</f>
        <v/>
      </c>
      <c r="N1490">
        <f>IF(L1490="", "", L1490-B1490)</f>
        <v/>
      </c>
      <c r="O1490">
        <f>IF(L1490="", "Pending", IF(N1490&lt;=30, "Met", "Breached"))</f>
        <v/>
      </c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 t="n"/>
      <c r="Y1490" s="8" t="n"/>
    </row>
    <row r="1491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9">
        <f>B1491+30</f>
        <v/>
      </c>
      <c r="N1491">
        <f>IF(L1491="", "", L1491-B1491)</f>
        <v/>
      </c>
      <c r="O1491">
        <f>IF(L1491="", "Pending", IF(N1491&lt;=30, "Met", "Breached"))</f>
        <v/>
      </c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 t="n"/>
      <c r="Y1491" s="8" t="n"/>
    </row>
    <row r="1492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9">
        <f>B1492+30</f>
        <v/>
      </c>
      <c r="N1492">
        <f>IF(L1492="", "", L1492-B1492)</f>
        <v/>
      </c>
      <c r="O1492">
        <f>IF(L1492="", "Pending", IF(N1492&lt;=30, "Met", "Breached"))</f>
        <v/>
      </c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 t="n"/>
      <c r="Y1492" s="8" t="n"/>
    </row>
    <row r="1493">
      <c r="A1493" s="8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9">
        <f>B1493+30</f>
        <v/>
      </c>
      <c r="N1493">
        <f>IF(L1493="", "", L1493-B1493)</f>
        <v/>
      </c>
      <c r="O1493">
        <f>IF(L1493="", "Pending", IF(N1493&lt;=30, "Met", "Breached"))</f>
        <v/>
      </c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 t="n"/>
      <c r="Y1493" s="8" t="n"/>
    </row>
    <row r="1494">
      <c r="A1494" s="8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9">
        <f>B1494+30</f>
        <v/>
      </c>
      <c r="N1494">
        <f>IF(L1494="", "", L1494-B1494)</f>
        <v/>
      </c>
      <c r="O1494">
        <f>IF(L1494="", "Pending", IF(N1494&lt;=30, "Met", "Breached"))</f>
        <v/>
      </c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 t="n"/>
      <c r="Y1494" s="8" t="n"/>
    </row>
    <row r="1495">
      <c r="A1495" s="8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9">
        <f>B1495+30</f>
        <v/>
      </c>
      <c r="N1495">
        <f>IF(L1495="", "", L1495-B1495)</f>
        <v/>
      </c>
      <c r="O1495">
        <f>IF(L1495="", "Pending", IF(N1495&lt;=30, "Met", "Breached"))</f>
        <v/>
      </c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 t="n"/>
      <c r="Y1495" s="8" t="n"/>
    </row>
    <row r="1496">
      <c r="A1496" s="8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9">
        <f>B1496+30</f>
        <v/>
      </c>
      <c r="N1496">
        <f>IF(L1496="", "", L1496-B1496)</f>
        <v/>
      </c>
      <c r="O1496">
        <f>IF(L1496="", "Pending", IF(N1496&lt;=30, "Met", "Breached"))</f>
        <v/>
      </c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 t="n"/>
      <c r="Y1496" s="8" t="n"/>
    </row>
    <row r="1497">
      <c r="A1497" s="8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9">
        <f>B1497+30</f>
        <v/>
      </c>
      <c r="N1497">
        <f>IF(L1497="", "", L1497-B1497)</f>
        <v/>
      </c>
      <c r="O1497">
        <f>IF(L1497="", "Pending", IF(N1497&lt;=30, "Met", "Breached"))</f>
        <v/>
      </c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 t="n"/>
      <c r="Y1497" s="8" t="n"/>
    </row>
    <row r="1498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9">
        <f>B1498+30</f>
        <v/>
      </c>
      <c r="N1498">
        <f>IF(L1498="", "", L1498-B1498)</f>
        <v/>
      </c>
      <c r="O1498">
        <f>IF(L1498="", "Pending", IF(N1498&lt;=30, "Met", "Breached"))</f>
        <v/>
      </c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 t="n"/>
      <c r="Y1498" s="8" t="n"/>
    </row>
    <row r="1499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9">
        <f>B1499+30</f>
        <v/>
      </c>
      <c r="N1499">
        <f>IF(L1499="", "", L1499-B1499)</f>
        <v/>
      </c>
      <c r="O1499">
        <f>IF(L1499="", "Pending", IF(N1499&lt;=30, "Met", "Breached"))</f>
        <v/>
      </c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 t="n"/>
      <c r="Y1499" s="8" t="n"/>
    </row>
    <row r="1500">
      <c r="A1500" s="8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9">
        <f>B1500+30</f>
        <v/>
      </c>
      <c r="N1500">
        <f>IF(L1500="", "", L1500-B1500)</f>
        <v/>
      </c>
      <c r="O1500">
        <f>IF(L1500="", "Pending", IF(N1500&lt;=30, "Met", "Breached"))</f>
        <v/>
      </c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 t="n"/>
      <c r="Y1500" s="8" t="n"/>
    </row>
    <row r="1501">
      <c r="A1501" s="8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9">
        <f>B1501+30</f>
        <v/>
      </c>
      <c r="N1501">
        <f>IF(L1501="", "", L1501-B1501)</f>
        <v/>
      </c>
      <c r="O1501">
        <f>IF(L1501="", "Pending", IF(N1501&lt;=30, "Met", "Breached"))</f>
        <v/>
      </c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 t="n"/>
      <c r="Y1501" s="8" t="n"/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9">
        <f>B1502+30</f>
        <v/>
      </c>
      <c r="N1502">
        <f>IF(L1502="", "", L1502-B1502)</f>
        <v/>
      </c>
      <c r="O1502">
        <f>IF(L1502="", "Pending", IF(N1502&lt;=30, "Met", "Breached"))</f>
        <v/>
      </c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 t="n"/>
      <c r="Y1502" s="8" t="n"/>
    </row>
    <row r="1503">
      <c r="A1503" s="8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9">
        <f>B1503+30</f>
        <v/>
      </c>
      <c r="N1503">
        <f>IF(L1503="", "", L1503-B1503)</f>
        <v/>
      </c>
      <c r="O1503">
        <f>IF(L1503="", "Pending", IF(N1503&lt;=30, "Met", "Breached"))</f>
        <v/>
      </c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 t="n"/>
      <c r="Y1503" s="8" t="n"/>
    </row>
    <row r="1504">
      <c r="A1504" s="8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  <c r="L1504" s="8" t="n"/>
      <c r="M1504" s="9">
        <f>B1504+30</f>
        <v/>
      </c>
      <c r="N1504">
        <f>IF(L1504="", "", L1504-B1504)</f>
        <v/>
      </c>
      <c r="O1504">
        <f>IF(L1504="", "Pending", IF(N1504&lt;=30, "Met", "Breached"))</f>
        <v/>
      </c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 t="n"/>
      <c r="Y1504" s="8" t="n"/>
    </row>
    <row r="1505">
      <c r="A1505" s="8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  <c r="L1505" s="8" t="n"/>
      <c r="M1505" s="9">
        <f>B1505+30</f>
        <v/>
      </c>
      <c r="N1505">
        <f>IF(L1505="", "", L1505-B1505)</f>
        <v/>
      </c>
      <c r="O1505">
        <f>IF(L1505="", "Pending", IF(N1505&lt;=30, "Met", "Breached"))</f>
        <v/>
      </c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 t="n"/>
      <c r="Y1505" s="8" t="n"/>
    </row>
    <row r="1506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  <c r="L1506" s="8" t="n"/>
      <c r="M1506" s="9">
        <f>B1506+30</f>
        <v/>
      </c>
      <c r="N1506">
        <f>IF(L1506="", "", L1506-B1506)</f>
        <v/>
      </c>
      <c r="O1506">
        <f>IF(L1506="", "Pending", IF(N1506&lt;=30, "Met", "Breached"))</f>
        <v/>
      </c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 t="n"/>
      <c r="Y1506" s="8" t="n"/>
    </row>
    <row r="1507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  <c r="L1507" s="8" t="n"/>
      <c r="M1507" s="9">
        <f>B1507+30</f>
        <v/>
      </c>
      <c r="N1507">
        <f>IF(L1507="", "", L1507-B1507)</f>
        <v/>
      </c>
      <c r="O1507">
        <f>IF(L1507="", "Pending", IF(N1507&lt;=30, "Met", "Breached"))</f>
        <v/>
      </c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 t="n"/>
      <c r="Y1507" s="8" t="n"/>
    </row>
    <row r="1508">
      <c r="A1508" s="8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  <c r="L1508" s="8" t="n"/>
      <c r="M1508" s="9">
        <f>B1508+30</f>
        <v/>
      </c>
      <c r="N1508">
        <f>IF(L1508="", "", L1508-B1508)</f>
        <v/>
      </c>
      <c r="O1508">
        <f>IF(L1508="", "Pending", IF(N1508&lt;=30, "Met", "Breached"))</f>
        <v/>
      </c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 t="n"/>
      <c r="Y1508" s="8" t="n"/>
    </row>
    <row r="1509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  <c r="L1509" s="8" t="n"/>
      <c r="M1509" s="9">
        <f>B1509+30</f>
        <v/>
      </c>
      <c r="N1509">
        <f>IF(L1509="", "", L1509-B1509)</f>
        <v/>
      </c>
      <c r="O1509">
        <f>IF(L1509="", "Pending", IF(N1509&lt;=30, "Met", "Breached"))</f>
        <v/>
      </c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 t="n"/>
      <c r="Y1509" s="8" t="n"/>
    </row>
    <row r="1510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  <c r="L1510" s="8" t="n"/>
      <c r="M1510" s="9">
        <f>B1510+30</f>
        <v/>
      </c>
      <c r="N1510">
        <f>IF(L1510="", "", L1510-B1510)</f>
        <v/>
      </c>
      <c r="O1510">
        <f>IF(L1510="", "Pending", IF(N1510&lt;=30, "Met", "Breached"))</f>
        <v/>
      </c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 t="n"/>
      <c r="Y1510" s="8" t="n"/>
    </row>
    <row r="1511">
      <c r="A1511" s="8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  <c r="L1511" s="8" t="n"/>
      <c r="M1511" s="9">
        <f>B1511+30</f>
        <v/>
      </c>
      <c r="N1511">
        <f>IF(L1511="", "", L1511-B1511)</f>
        <v/>
      </c>
      <c r="O1511">
        <f>IF(L1511="", "Pending", IF(N1511&lt;=30, "Met", "Breached"))</f>
        <v/>
      </c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 t="n"/>
      <c r="Y1511" s="8" t="n"/>
    </row>
    <row r="1512">
      <c r="A1512" s="8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  <c r="L1512" s="8" t="n"/>
      <c r="M1512" s="9">
        <f>B1512+30</f>
        <v/>
      </c>
      <c r="N1512">
        <f>IF(L1512="", "", L1512-B1512)</f>
        <v/>
      </c>
      <c r="O1512">
        <f>IF(L1512="", "Pending", IF(N1512&lt;=30, "Met", "Breached"))</f>
        <v/>
      </c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 t="n"/>
      <c r="Y1512" s="8" t="n"/>
    </row>
    <row r="1513">
      <c r="A1513" s="8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  <c r="L1513" s="8" t="n"/>
      <c r="M1513" s="9">
        <f>B1513+30</f>
        <v/>
      </c>
      <c r="N1513">
        <f>IF(L1513="", "", L1513-B1513)</f>
        <v/>
      </c>
      <c r="O1513">
        <f>IF(L1513="", "Pending", IF(N1513&lt;=30, "Met", "Breached"))</f>
        <v/>
      </c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 t="n"/>
      <c r="Y1513" s="8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  <c r="L1514" s="8" t="n"/>
      <c r="M1514" s="9">
        <f>B1514+30</f>
        <v/>
      </c>
      <c r="N1514">
        <f>IF(L1514="", "", L1514-B1514)</f>
        <v/>
      </c>
      <c r="O1514">
        <f>IF(L1514="", "Pending", IF(N1514&lt;=30, "Met", "Breached"))</f>
        <v/>
      </c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 t="n"/>
      <c r="Y1514" s="8" t="n"/>
    </row>
    <row r="1515">
      <c r="A1515" s="8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  <c r="L1515" s="8" t="n"/>
      <c r="M1515" s="9">
        <f>B1515+30</f>
        <v/>
      </c>
      <c r="N1515">
        <f>IF(L1515="", "", L1515-B1515)</f>
        <v/>
      </c>
      <c r="O1515">
        <f>IF(L1515="", "Pending", IF(N1515&lt;=30, "Met", "Breached"))</f>
        <v/>
      </c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 t="n"/>
      <c r="Y1515" s="8" t="n"/>
    </row>
    <row r="1516">
      <c r="A1516" s="8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  <c r="L1516" s="8" t="n"/>
      <c r="M1516" s="9">
        <f>B1516+30</f>
        <v/>
      </c>
      <c r="N1516">
        <f>IF(L1516="", "", L1516-B1516)</f>
        <v/>
      </c>
      <c r="O1516">
        <f>IF(L1516="", "Pending", IF(N1516&lt;=30, "Met", "Breached"))</f>
        <v/>
      </c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 t="n"/>
      <c r="Y1516" s="8" t="n"/>
    </row>
    <row r="1517">
      <c r="A1517" s="8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  <c r="L1517" s="8" t="n"/>
      <c r="M1517" s="9">
        <f>B1517+30</f>
        <v/>
      </c>
      <c r="N1517">
        <f>IF(L1517="", "", L1517-B1517)</f>
        <v/>
      </c>
      <c r="O1517">
        <f>IF(L1517="", "Pending", IF(N1517&lt;=30, "Met", "Breached"))</f>
        <v/>
      </c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 t="n"/>
      <c r="Y1517" s="8" t="n"/>
    </row>
    <row r="1518">
      <c r="A1518" s="8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  <c r="L1518" s="8" t="n"/>
      <c r="M1518" s="9">
        <f>B1518+30</f>
        <v/>
      </c>
      <c r="N1518">
        <f>IF(L1518="", "", L1518-B1518)</f>
        <v/>
      </c>
      <c r="O1518">
        <f>IF(L1518="", "Pending", IF(N1518&lt;=30, "Met", "Breached"))</f>
        <v/>
      </c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 t="n"/>
      <c r="Y1518" s="8" t="n"/>
    </row>
    <row r="1519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  <c r="L1519" s="8" t="n"/>
      <c r="M1519" s="9">
        <f>B1519+30</f>
        <v/>
      </c>
      <c r="N1519">
        <f>IF(L1519="", "", L1519-B1519)</f>
        <v/>
      </c>
      <c r="O1519">
        <f>IF(L1519="", "Pending", IF(N1519&lt;=30, "Met", "Breached"))</f>
        <v/>
      </c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 t="n"/>
      <c r="Y1519" s="8" t="n"/>
    </row>
    <row r="1520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  <c r="L1520" s="8" t="n"/>
      <c r="M1520" s="9">
        <f>B1520+30</f>
        <v/>
      </c>
      <c r="N1520">
        <f>IF(L1520="", "", L1520-B1520)</f>
        <v/>
      </c>
      <c r="O1520">
        <f>IF(L1520="", "Pending", IF(N1520&lt;=30, "Met", "Breached"))</f>
        <v/>
      </c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 t="n"/>
      <c r="Y1520" s="8" t="n"/>
    </row>
    <row r="1521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  <c r="L1521" s="8" t="n"/>
      <c r="M1521" s="9">
        <f>B1521+30</f>
        <v/>
      </c>
      <c r="N1521">
        <f>IF(L1521="", "", L1521-B1521)</f>
        <v/>
      </c>
      <c r="O1521">
        <f>IF(L1521="", "Pending", IF(N1521&lt;=30, "Met", "Breached"))</f>
        <v/>
      </c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 t="n"/>
      <c r="Y1521" s="8" t="n"/>
    </row>
    <row r="1522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  <c r="L1522" s="8" t="n"/>
      <c r="M1522" s="9">
        <f>B1522+30</f>
        <v/>
      </c>
      <c r="N1522">
        <f>IF(L1522="", "", L1522-B1522)</f>
        <v/>
      </c>
      <c r="O1522">
        <f>IF(L1522="", "Pending", IF(N1522&lt;=30, "Met", "Breached"))</f>
        <v/>
      </c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 t="n"/>
      <c r="Y1522" s="8" t="n"/>
    </row>
    <row r="1523">
      <c r="A1523" s="8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  <c r="L1523" s="8" t="n"/>
      <c r="M1523" s="9">
        <f>B1523+30</f>
        <v/>
      </c>
      <c r="N1523">
        <f>IF(L1523="", "", L1523-B1523)</f>
        <v/>
      </c>
      <c r="O1523">
        <f>IF(L1523="", "Pending", IF(N1523&lt;=30, "Met", "Breached"))</f>
        <v/>
      </c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 t="n"/>
      <c r="Y1523" s="8" t="n"/>
    </row>
    <row r="1524">
      <c r="A1524" s="8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  <c r="L1524" s="8" t="n"/>
      <c r="M1524" s="9">
        <f>B1524+30</f>
        <v/>
      </c>
      <c r="N1524">
        <f>IF(L1524="", "", L1524-B1524)</f>
        <v/>
      </c>
      <c r="O1524">
        <f>IF(L1524="", "Pending", IF(N1524&lt;=30, "Met", "Breached"))</f>
        <v/>
      </c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 t="n"/>
      <c r="Y1524" s="8" t="n"/>
    </row>
    <row r="1525">
      <c r="A1525" s="8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  <c r="L1525" s="8" t="n"/>
      <c r="M1525" s="9">
        <f>B1525+30</f>
        <v/>
      </c>
      <c r="N1525">
        <f>IF(L1525="", "", L1525-B1525)</f>
        <v/>
      </c>
      <c r="O1525">
        <f>IF(L1525="", "Pending", IF(N1525&lt;=30, "Met", "Breached"))</f>
        <v/>
      </c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 t="n"/>
      <c r="Y1525" s="8" t="n"/>
    </row>
    <row r="1526">
      <c r="A1526" s="8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  <c r="L1526" s="8" t="n"/>
      <c r="M1526" s="9">
        <f>B1526+30</f>
        <v/>
      </c>
      <c r="N1526">
        <f>IF(L1526="", "", L1526-B1526)</f>
        <v/>
      </c>
      <c r="O1526">
        <f>IF(L1526="", "Pending", IF(N1526&lt;=30, "Met", "Breached"))</f>
        <v/>
      </c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 t="n"/>
      <c r="Y1526" s="8" t="n"/>
    </row>
    <row r="1527">
      <c r="A1527" s="8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  <c r="L1527" s="8" t="n"/>
      <c r="M1527" s="9">
        <f>B1527+30</f>
        <v/>
      </c>
      <c r="N1527">
        <f>IF(L1527="", "", L1527-B1527)</f>
        <v/>
      </c>
      <c r="O1527">
        <f>IF(L1527="", "Pending", IF(N1527&lt;=30, "Met", "Breached"))</f>
        <v/>
      </c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 t="n"/>
      <c r="Y1527" s="8" t="n"/>
    </row>
    <row r="1528">
      <c r="A1528" s="8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  <c r="L1528" s="8" t="n"/>
      <c r="M1528" s="9">
        <f>B1528+30</f>
        <v/>
      </c>
      <c r="N1528">
        <f>IF(L1528="", "", L1528-B1528)</f>
        <v/>
      </c>
      <c r="O1528">
        <f>IF(L1528="", "Pending", IF(N1528&lt;=30, "Met", "Breached"))</f>
        <v/>
      </c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 t="n"/>
      <c r="Y1528" s="8" t="n"/>
    </row>
    <row r="1529">
      <c r="A1529" s="8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  <c r="L1529" s="8" t="n"/>
      <c r="M1529" s="9">
        <f>B1529+30</f>
        <v/>
      </c>
      <c r="N1529">
        <f>IF(L1529="", "", L1529-B1529)</f>
        <v/>
      </c>
      <c r="O1529">
        <f>IF(L1529="", "Pending", IF(N1529&lt;=30, "Met", "Breached"))</f>
        <v/>
      </c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 t="n"/>
      <c r="Y1529" s="8" t="n"/>
    </row>
    <row r="1530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  <c r="L1530" s="8" t="n"/>
      <c r="M1530" s="9">
        <f>B1530+30</f>
        <v/>
      </c>
      <c r="N1530">
        <f>IF(L1530="", "", L1530-B1530)</f>
        <v/>
      </c>
      <c r="O1530">
        <f>IF(L1530="", "Pending", IF(N1530&lt;=30, "Met", "Breached"))</f>
        <v/>
      </c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 t="n"/>
      <c r="Y1530" s="8" t="n"/>
    </row>
    <row r="1531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  <c r="L1531" s="8" t="n"/>
      <c r="M1531" s="9">
        <f>B1531+30</f>
        <v/>
      </c>
      <c r="N1531">
        <f>IF(L1531="", "", L1531-B1531)</f>
        <v/>
      </c>
      <c r="O1531">
        <f>IF(L1531="", "Pending", IF(N1531&lt;=30, "Met", "Breached"))</f>
        <v/>
      </c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 t="n"/>
      <c r="Y1531" s="8" t="n"/>
    </row>
    <row r="1532">
      <c r="A1532" s="8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  <c r="L1532" s="8" t="n"/>
      <c r="M1532" s="9">
        <f>B1532+30</f>
        <v/>
      </c>
      <c r="N1532">
        <f>IF(L1532="", "", L1532-B1532)</f>
        <v/>
      </c>
      <c r="O1532">
        <f>IF(L1532="", "Pending", IF(N1532&lt;=30, "Met", "Breached"))</f>
        <v/>
      </c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 t="n"/>
      <c r="Y1532" s="8" t="n"/>
    </row>
    <row r="1533">
      <c r="A1533" s="8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  <c r="L1533" s="8" t="n"/>
      <c r="M1533" s="9">
        <f>B1533+30</f>
        <v/>
      </c>
      <c r="N1533">
        <f>IF(L1533="", "", L1533-B1533)</f>
        <v/>
      </c>
      <c r="O1533">
        <f>IF(L1533="", "Pending", IF(N1533&lt;=30, "Met", "Breached"))</f>
        <v/>
      </c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 t="n"/>
      <c r="Y1533" s="8" t="n"/>
    </row>
    <row r="1534">
      <c r="A1534" s="8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9">
        <f>B1534+30</f>
        <v/>
      </c>
      <c r="N1534">
        <f>IF(L1534="", "", L1534-B1534)</f>
        <v/>
      </c>
      <c r="O1534">
        <f>IF(L1534="", "Pending", IF(N1534&lt;=30, "Met", "Breached"))</f>
        <v/>
      </c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 t="n"/>
      <c r="Y1534" s="8" t="n"/>
    </row>
    <row r="1535">
      <c r="A1535" s="8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  <c r="L1535" s="8" t="n"/>
      <c r="M1535" s="9">
        <f>B1535+30</f>
        <v/>
      </c>
      <c r="N1535">
        <f>IF(L1535="", "", L1535-B1535)</f>
        <v/>
      </c>
      <c r="O1535">
        <f>IF(L1535="", "Pending", IF(N1535&lt;=30, "Met", "Breached"))</f>
        <v/>
      </c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 t="n"/>
      <c r="Y1535" s="8" t="n"/>
    </row>
    <row r="1536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  <c r="L1536" s="8" t="n"/>
      <c r="M1536" s="9">
        <f>B1536+30</f>
        <v/>
      </c>
      <c r="N1536">
        <f>IF(L1536="", "", L1536-B1536)</f>
        <v/>
      </c>
      <c r="O1536">
        <f>IF(L1536="", "Pending", IF(N1536&lt;=30, "Met", "Breached"))</f>
        <v/>
      </c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 t="n"/>
      <c r="Y1536" s="8" t="n"/>
    </row>
    <row r="1537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  <c r="L1537" s="8" t="n"/>
      <c r="M1537" s="9">
        <f>B1537+30</f>
        <v/>
      </c>
      <c r="N1537">
        <f>IF(L1537="", "", L1537-B1537)</f>
        <v/>
      </c>
      <c r="O1537">
        <f>IF(L1537="", "Pending", IF(N1537&lt;=30, "Met", "Breached"))</f>
        <v/>
      </c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 t="n"/>
      <c r="Y1537" s="8" t="n"/>
    </row>
    <row r="1538">
      <c r="A1538" s="8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  <c r="L1538" s="8" t="n"/>
      <c r="M1538" s="9">
        <f>B1538+30</f>
        <v/>
      </c>
      <c r="N1538">
        <f>IF(L1538="", "", L1538-B1538)</f>
        <v/>
      </c>
      <c r="O1538">
        <f>IF(L1538="", "Pending", IF(N1538&lt;=30, "Met", "Breached"))</f>
        <v/>
      </c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 t="n"/>
      <c r="Y1538" s="8" t="n"/>
    </row>
    <row r="1539">
      <c r="A1539" s="8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  <c r="L1539" s="8" t="n"/>
      <c r="M1539" s="9">
        <f>B1539+30</f>
        <v/>
      </c>
      <c r="N1539">
        <f>IF(L1539="", "", L1539-B1539)</f>
        <v/>
      </c>
      <c r="O1539">
        <f>IF(L1539="", "Pending", IF(N1539&lt;=30, "Met", "Breached"))</f>
        <v/>
      </c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 t="n"/>
      <c r="Y1539" s="8" t="n"/>
    </row>
    <row r="1540">
      <c r="A1540" s="8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  <c r="L1540" s="8" t="n"/>
      <c r="M1540" s="9">
        <f>B1540+30</f>
        <v/>
      </c>
      <c r="N1540">
        <f>IF(L1540="", "", L1540-B1540)</f>
        <v/>
      </c>
      <c r="O1540">
        <f>IF(L1540="", "Pending", IF(N1540&lt;=30, "Met", "Breached"))</f>
        <v/>
      </c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 t="n"/>
      <c r="Y1540" s="8" t="n"/>
    </row>
    <row r="1541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  <c r="L1541" s="8" t="n"/>
      <c r="M1541" s="9">
        <f>B1541+30</f>
        <v/>
      </c>
      <c r="N1541">
        <f>IF(L1541="", "", L1541-B1541)</f>
        <v/>
      </c>
      <c r="O1541">
        <f>IF(L1541="", "Pending", IF(N1541&lt;=30, "Met", "Breached"))</f>
        <v/>
      </c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 t="n"/>
      <c r="Y1541" s="8" t="n"/>
    </row>
    <row r="1542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  <c r="L1542" s="8" t="n"/>
      <c r="M1542" s="9">
        <f>B1542+30</f>
        <v/>
      </c>
      <c r="N1542">
        <f>IF(L1542="", "", L1542-B1542)</f>
        <v/>
      </c>
      <c r="O1542">
        <f>IF(L1542="", "Pending", IF(N1542&lt;=30, "Met", "Breached"))</f>
        <v/>
      </c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 t="n"/>
      <c r="Y1542" s="8" t="n"/>
    </row>
    <row r="1543">
      <c r="A1543" s="8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9">
        <f>B1543+30</f>
        <v/>
      </c>
      <c r="N1543">
        <f>IF(L1543="", "", L1543-B1543)</f>
        <v/>
      </c>
      <c r="O1543">
        <f>IF(L1543="", "Pending", IF(N1543&lt;=30, "Met", "Breached"))</f>
        <v/>
      </c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 t="n"/>
      <c r="Y1543" s="8" t="n"/>
    </row>
    <row r="1544">
      <c r="A1544" s="8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  <c r="L1544" s="8" t="n"/>
      <c r="M1544" s="9">
        <f>B1544+30</f>
        <v/>
      </c>
      <c r="N1544">
        <f>IF(L1544="", "", L1544-B1544)</f>
        <v/>
      </c>
      <c r="O1544">
        <f>IF(L1544="", "Pending", IF(N1544&lt;=30, "Met", "Breached"))</f>
        <v/>
      </c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 t="n"/>
      <c r="Y1544" s="8" t="n"/>
    </row>
    <row r="1545">
      <c r="A1545" s="8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  <c r="L1545" s="8" t="n"/>
      <c r="M1545" s="9">
        <f>B1545+30</f>
        <v/>
      </c>
      <c r="N1545">
        <f>IF(L1545="", "", L1545-B1545)</f>
        <v/>
      </c>
      <c r="O1545">
        <f>IF(L1545="", "Pending", IF(N1545&lt;=30, "Met", "Breached"))</f>
        <v/>
      </c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 t="n"/>
      <c r="Y1545" s="8" t="n"/>
    </row>
    <row r="1546">
      <c r="A1546" s="8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  <c r="L1546" s="8" t="n"/>
      <c r="M1546" s="9">
        <f>B1546+30</f>
        <v/>
      </c>
      <c r="N1546">
        <f>IF(L1546="", "", L1546-B1546)</f>
        <v/>
      </c>
      <c r="O1546">
        <f>IF(L1546="", "Pending", IF(N1546&lt;=30, "Met", "Breached"))</f>
        <v/>
      </c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 t="n"/>
      <c r="Y1546" s="8" t="n"/>
    </row>
    <row r="1547">
      <c r="A1547" s="8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  <c r="L1547" s="8" t="n"/>
      <c r="M1547" s="9">
        <f>B1547+30</f>
        <v/>
      </c>
      <c r="N1547">
        <f>IF(L1547="", "", L1547-B1547)</f>
        <v/>
      </c>
      <c r="O1547">
        <f>IF(L1547="", "Pending", IF(N1547&lt;=30, "Met", "Breached"))</f>
        <v/>
      </c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 t="n"/>
      <c r="Y1547" s="8" t="n"/>
    </row>
    <row r="1548">
      <c r="A1548" s="8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  <c r="L1548" s="8" t="n"/>
      <c r="M1548" s="9">
        <f>B1548+30</f>
        <v/>
      </c>
      <c r="N1548">
        <f>IF(L1548="", "", L1548-B1548)</f>
        <v/>
      </c>
      <c r="O1548">
        <f>IF(L1548="", "Pending", IF(N1548&lt;=30, "Met", "Breached"))</f>
        <v/>
      </c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 t="n"/>
      <c r="Y1548" s="8" t="n"/>
    </row>
    <row r="1549">
      <c r="A1549" s="8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  <c r="L1549" s="8" t="n"/>
      <c r="M1549" s="9">
        <f>B1549+30</f>
        <v/>
      </c>
      <c r="N1549">
        <f>IF(L1549="", "", L1549-B1549)</f>
        <v/>
      </c>
      <c r="O1549">
        <f>IF(L1549="", "Pending", IF(N1549&lt;=30, "Met", "Breached"))</f>
        <v/>
      </c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 t="n"/>
      <c r="Y1549" s="8" t="n"/>
    </row>
    <row r="1550">
      <c r="A1550" s="8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  <c r="L1550" s="8" t="n"/>
      <c r="M1550" s="9">
        <f>B1550+30</f>
        <v/>
      </c>
      <c r="N1550">
        <f>IF(L1550="", "", L1550-B1550)</f>
        <v/>
      </c>
      <c r="O1550">
        <f>IF(L1550="", "Pending", IF(N1550&lt;=30, "Met", "Breached"))</f>
        <v/>
      </c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 t="n"/>
      <c r="Y1550" s="8" t="n"/>
    </row>
    <row r="1551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  <c r="L1551" s="8" t="n"/>
      <c r="M1551" s="9">
        <f>B1551+30</f>
        <v/>
      </c>
      <c r="N1551">
        <f>IF(L1551="", "", L1551-B1551)</f>
        <v/>
      </c>
      <c r="O1551">
        <f>IF(L1551="", "Pending", IF(N1551&lt;=30, "Met", "Breached"))</f>
        <v/>
      </c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 t="n"/>
      <c r="Y1551" s="8" t="n"/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  <c r="L1552" s="8" t="n"/>
      <c r="M1552" s="9">
        <f>B1552+30</f>
        <v/>
      </c>
      <c r="N1552">
        <f>IF(L1552="", "", L1552-B1552)</f>
        <v/>
      </c>
      <c r="O1552">
        <f>IF(L1552="", "Pending", IF(N1552&lt;=30, "Met", "Breached"))</f>
        <v/>
      </c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 t="n"/>
      <c r="Y1552" s="8" t="n"/>
    </row>
    <row r="1553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  <c r="L1553" s="8" t="n"/>
      <c r="M1553" s="9">
        <f>B1553+30</f>
        <v/>
      </c>
      <c r="N1553">
        <f>IF(L1553="", "", L1553-B1553)</f>
        <v/>
      </c>
      <c r="O1553">
        <f>IF(L1553="", "Pending", IF(N1553&lt;=30, "Met", "Breached"))</f>
        <v/>
      </c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 t="n"/>
      <c r="Y1553" s="8" t="n"/>
    </row>
    <row r="1554">
      <c r="A1554" s="8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  <c r="L1554" s="8" t="n"/>
      <c r="M1554" s="9">
        <f>B1554+30</f>
        <v/>
      </c>
      <c r="N1554">
        <f>IF(L1554="", "", L1554-B1554)</f>
        <v/>
      </c>
      <c r="O1554">
        <f>IF(L1554="", "Pending", IF(N1554&lt;=30, "Met", "Breached"))</f>
        <v/>
      </c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 t="n"/>
      <c r="Y1554" s="8" t="n"/>
    </row>
    <row r="1555">
      <c r="A1555" s="8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  <c r="L1555" s="8" t="n"/>
      <c r="M1555" s="9">
        <f>B1555+30</f>
        <v/>
      </c>
      <c r="N1555">
        <f>IF(L1555="", "", L1555-B1555)</f>
        <v/>
      </c>
      <c r="O1555">
        <f>IF(L1555="", "Pending", IF(N1555&lt;=30, "Met", "Breached"))</f>
        <v/>
      </c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 t="n"/>
      <c r="Y1555" s="8" t="n"/>
    </row>
    <row r="1556">
      <c r="A1556" s="8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  <c r="L1556" s="8" t="n"/>
      <c r="M1556" s="9">
        <f>B1556+30</f>
        <v/>
      </c>
      <c r="N1556">
        <f>IF(L1556="", "", L1556-B1556)</f>
        <v/>
      </c>
      <c r="O1556">
        <f>IF(L1556="", "Pending", IF(N1556&lt;=30, "Met", "Breached"))</f>
        <v/>
      </c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 t="n"/>
      <c r="Y1556" s="8" t="n"/>
    </row>
    <row r="1557">
      <c r="A1557" s="8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  <c r="L1557" s="8" t="n"/>
      <c r="M1557" s="9">
        <f>B1557+30</f>
        <v/>
      </c>
      <c r="N1557">
        <f>IF(L1557="", "", L1557-B1557)</f>
        <v/>
      </c>
      <c r="O1557">
        <f>IF(L1557="", "Pending", IF(N1557&lt;=30, "Met", "Breached"))</f>
        <v/>
      </c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 t="n"/>
      <c r="Y1557" s="8" t="n"/>
    </row>
    <row r="1558">
      <c r="A1558" s="8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  <c r="L1558" s="8" t="n"/>
      <c r="M1558" s="9">
        <f>B1558+30</f>
        <v/>
      </c>
      <c r="N1558">
        <f>IF(L1558="", "", L1558-B1558)</f>
        <v/>
      </c>
      <c r="O1558">
        <f>IF(L1558="", "Pending", IF(N1558&lt;=30, "Met", "Breached"))</f>
        <v/>
      </c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 t="n"/>
      <c r="Y1558" s="8" t="n"/>
    </row>
    <row r="1559">
      <c r="A1559" s="8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  <c r="L1559" s="8" t="n"/>
      <c r="M1559" s="9">
        <f>B1559+30</f>
        <v/>
      </c>
      <c r="N1559">
        <f>IF(L1559="", "", L1559-B1559)</f>
        <v/>
      </c>
      <c r="O1559">
        <f>IF(L1559="", "Pending", IF(N1559&lt;=30, "Met", "Breached"))</f>
        <v/>
      </c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 t="n"/>
      <c r="Y1559" s="8" t="n"/>
    </row>
    <row r="1560">
      <c r="A1560" s="8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  <c r="L1560" s="8" t="n"/>
      <c r="M1560" s="9">
        <f>B1560+30</f>
        <v/>
      </c>
      <c r="N1560">
        <f>IF(L1560="", "", L1560-B1560)</f>
        <v/>
      </c>
      <c r="O1560">
        <f>IF(L1560="", "Pending", IF(N1560&lt;=30, "Met", "Breached"))</f>
        <v/>
      </c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 t="n"/>
      <c r="Y1560" s="8" t="n"/>
    </row>
    <row r="1561">
      <c r="A1561" s="8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  <c r="L1561" s="8" t="n"/>
      <c r="M1561" s="9">
        <f>B1561+30</f>
        <v/>
      </c>
      <c r="N1561">
        <f>IF(L1561="", "", L1561-B1561)</f>
        <v/>
      </c>
      <c r="O1561">
        <f>IF(L1561="", "Pending", IF(N1561&lt;=30, "Met", "Breached"))</f>
        <v/>
      </c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 t="n"/>
      <c r="Y1561" s="8" t="n"/>
    </row>
    <row r="1562">
      <c r="A1562" s="8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  <c r="L1562" s="8" t="n"/>
      <c r="M1562" s="9">
        <f>B1562+30</f>
        <v/>
      </c>
      <c r="N1562">
        <f>IF(L1562="", "", L1562-B1562)</f>
        <v/>
      </c>
      <c r="O1562">
        <f>IF(L1562="", "Pending", IF(N1562&lt;=30, "Met", "Breached"))</f>
        <v/>
      </c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 t="n"/>
      <c r="Y1562" s="8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  <c r="L1563" s="8" t="n"/>
      <c r="M1563" s="9">
        <f>B1563+30</f>
        <v/>
      </c>
      <c r="N1563">
        <f>IF(L1563="", "", L1563-B1563)</f>
        <v/>
      </c>
      <c r="O1563">
        <f>IF(L1563="", "Pending", IF(N1563&lt;=30, "Met", "Breached"))</f>
        <v/>
      </c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 t="n"/>
      <c r="Y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  <c r="L1564" s="8" t="n"/>
      <c r="M1564" s="9">
        <f>B1564+30</f>
        <v/>
      </c>
      <c r="N1564">
        <f>IF(L1564="", "", L1564-B1564)</f>
        <v/>
      </c>
      <c r="O1564">
        <f>IF(L1564="", "Pending", IF(N1564&lt;=30, "Met", "Breached"))</f>
        <v/>
      </c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 t="n"/>
      <c r="Y1564" s="8" t="n"/>
    </row>
    <row r="1565">
      <c r="A1565" s="8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  <c r="L1565" s="8" t="n"/>
      <c r="M1565" s="9">
        <f>B1565+30</f>
        <v/>
      </c>
      <c r="N1565">
        <f>IF(L1565="", "", L1565-B1565)</f>
        <v/>
      </c>
      <c r="O1565">
        <f>IF(L1565="", "Pending", IF(N1565&lt;=30, "Met", "Breached"))</f>
        <v/>
      </c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 t="n"/>
      <c r="Y1565" s="8" t="n"/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  <c r="L1566" s="8" t="n"/>
      <c r="M1566" s="9">
        <f>B1566+30</f>
        <v/>
      </c>
      <c r="N1566">
        <f>IF(L1566="", "", L1566-B1566)</f>
        <v/>
      </c>
      <c r="O1566">
        <f>IF(L1566="", "Pending", IF(N1566&lt;=30, "Met", "Breached"))</f>
        <v/>
      </c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 t="n"/>
      <c r="Y1566" s="8" t="n"/>
    </row>
    <row r="1567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  <c r="L1567" s="8" t="n"/>
      <c r="M1567" s="9">
        <f>B1567+30</f>
        <v/>
      </c>
      <c r="N1567">
        <f>IF(L1567="", "", L1567-B1567)</f>
        <v/>
      </c>
      <c r="O1567">
        <f>IF(L1567="", "Pending", IF(N1567&lt;=30, "Met", "Breached"))</f>
        <v/>
      </c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 t="n"/>
      <c r="Y1567" s="8" t="n"/>
    </row>
    <row r="1568">
      <c r="A1568" s="8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  <c r="L1568" s="8" t="n"/>
      <c r="M1568" s="9">
        <f>B1568+30</f>
        <v/>
      </c>
      <c r="N1568">
        <f>IF(L1568="", "", L1568-B1568)</f>
        <v/>
      </c>
      <c r="O1568">
        <f>IF(L1568="", "Pending", IF(N1568&lt;=30, "Met", "Breached"))</f>
        <v/>
      </c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 t="n"/>
      <c r="Y1568" s="8" t="n"/>
    </row>
    <row r="1569">
      <c r="A1569" s="8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  <c r="L1569" s="8" t="n"/>
      <c r="M1569" s="9">
        <f>B1569+30</f>
        <v/>
      </c>
      <c r="N1569">
        <f>IF(L1569="", "", L1569-B1569)</f>
        <v/>
      </c>
      <c r="O1569">
        <f>IF(L1569="", "Pending", IF(N1569&lt;=30, "Met", "Breached"))</f>
        <v/>
      </c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 t="n"/>
      <c r="Y1569" s="8" t="n"/>
    </row>
    <row r="1570">
      <c r="A1570" s="8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  <c r="L1570" s="8" t="n"/>
      <c r="M1570" s="9">
        <f>B1570+30</f>
        <v/>
      </c>
      <c r="N1570">
        <f>IF(L1570="", "", L1570-B1570)</f>
        <v/>
      </c>
      <c r="O1570">
        <f>IF(L1570="", "Pending", IF(N1570&lt;=30, "Met", "Breached"))</f>
        <v/>
      </c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 t="n"/>
      <c r="Y1570" s="8" t="n"/>
    </row>
    <row r="1571">
      <c r="A1571" s="8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  <c r="L1571" s="8" t="n"/>
      <c r="M1571" s="9">
        <f>B1571+30</f>
        <v/>
      </c>
      <c r="N1571">
        <f>IF(L1571="", "", L1571-B1571)</f>
        <v/>
      </c>
      <c r="O1571">
        <f>IF(L1571="", "Pending", IF(N1571&lt;=30, "Met", "Breached"))</f>
        <v/>
      </c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 t="n"/>
      <c r="Y1571" s="8" t="n"/>
    </row>
    <row r="1572">
      <c r="A1572" s="8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  <c r="L1572" s="8" t="n"/>
      <c r="M1572" s="9">
        <f>B1572+30</f>
        <v/>
      </c>
      <c r="N1572">
        <f>IF(L1572="", "", L1572-B1572)</f>
        <v/>
      </c>
      <c r="O1572">
        <f>IF(L1572="", "Pending", IF(N1572&lt;=30, "Met", "Breached"))</f>
        <v/>
      </c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 t="n"/>
      <c r="Y1572" s="8" t="n"/>
    </row>
    <row r="1573">
      <c r="A1573" s="8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9">
        <f>B1573+30</f>
        <v/>
      </c>
      <c r="N1573">
        <f>IF(L1573="", "", L1573-B1573)</f>
        <v/>
      </c>
      <c r="O1573">
        <f>IF(L1573="", "Pending", IF(N1573&lt;=30, "Met", "Breached"))</f>
        <v/>
      </c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 t="n"/>
      <c r="Y1573" s="8" t="n"/>
    </row>
    <row r="1574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  <c r="L1574" s="8" t="n"/>
      <c r="M1574" s="9">
        <f>B1574+30</f>
        <v/>
      </c>
      <c r="N1574">
        <f>IF(L1574="", "", L1574-B1574)</f>
        <v/>
      </c>
      <c r="O1574">
        <f>IF(L1574="", "Pending", IF(N1574&lt;=30, "Met", "Breached"))</f>
        <v/>
      </c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 t="n"/>
      <c r="Y1574" s="8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9">
        <f>B1575+30</f>
        <v/>
      </c>
      <c r="N1575">
        <f>IF(L1575="", "", L1575-B1575)</f>
        <v/>
      </c>
      <c r="O1575">
        <f>IF(L1575="", "Pending", IF(N1575&lt;=30, "Met", "Breached"))</f>
        <v/>
      </c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 t="n"/>
      <c r="Y1575" s="8" t="n"/>
    </row>
    <row r="1576">
      <c r="A1576" s="8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  <c r="L1576" s="8" t="n"/>
      <c r="M1576" s="9">
        <f>B1576+30</f>
        <v/>
      </c>
      <c r="N1576">
        <f>IF(L1576="", "", L1576-B1576)</f>
        <v/>
      </c>
      <c r="O1576">
        <f>IF(L1576="", "Pending", IF(N1576&lt;=30, "Met", "Breached"))</f>
        <v/>
      </c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 t="n"/>
      <c r="Y1576" s="8" t="n"/>
    </row>
    <row r="1577">
      <c r="A1577" s="8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  <c r="L1577" s="8" t="n"/>
      <c r="M1577" s="9">
        <f>B1577+30</f>
        <v/>
      </c>
      <c r="N1577">
        <f>IF(L1577="", "", L1577-B1577)</f>
        <v/>
      </c>
      <c r="O1577">
        <f>IF(L1577="", "Pending", IF(N1577&lt;=30, "Met", "Breached"))</f>
        <v/>
      </c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 t="n"/>
      <c r="Y1577" s="8" t="n"/>
    </row>
    <row r="1578">
      <c r="A1578" s="8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  <c r="L1578" s="8" t="n"/>
      <c r="M1578" s="9">
        <f>B1578+30</f>
        <v/>
      </c>
      <c r="N1578">
        <f>IF(L1578="", "", L1578-B1578)</f>
        <v/>
      </c>
      <c r="O1578">
        <f>IF(L1578="", "Pending", IF(N1578&lt;=30, "Met", "Breached"))</f>
        <v/>
      </c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 t="n"/>
      <c r="Y1578" s="8" t="n"/>
    </row>
    <row r="1579">
      <c r="A1579" s="8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  <c r="L1579" s="8" t="n"/>
      <c r="M1579" s="9">
        <f>B1579+30</f>
        <v/>
      </c>
      <c r="N1579">
        <f>IF(L1579="", "", L1579-B1579)</f>
        <v/>
      </c>
      <c r="O1579">
        <f>IF(L1579="", "Pending", IF(N1579&lt;=30, "Met", "Breached"))</f>
        <v/>
      </c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 t="n"/>
      <c r="Y1579" s="8" t="n"/>
    </row>
    <row r="1580">
      <c r="A1580" s="8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  <c r="L1580" s="8" t="n"/>
      <c r="M1580" s="9">
        <f>B1580+30</f>
        <v/>
      </c>
      <c r="N1580">
        <f>IF(L1580="", "", L1580-B1580)</f>
        <v/>
      </c>
      <c r="O1580">
        <f>IF(L1580="", "Pending", IF(N1580&lt;=30, "Met", "Breached"))</f>
        <v/>
      </c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 t="n"/>
      <c r="Y1580" s="8" t="n"/>
    </row>
    <row r="1581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  <c r="L1581" s="8" t="n"/>
      <c r="M1581" s="9">
        <f>B1581+30</f>
        <v/>
      </c>
      <c r="N1581">
        <f>IF(L1581="", "", L1581-B1581)</f>
        <v/>
      </c>
      <c r="O1581">
        <f>IF(L1581="", "Pending", IF(N1581&lt;=30, "Met", "Breached"))</f>
        <v/>
      </c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 t="n"/>
      <c r="Y1581" s="8" t="n"/>
    </row>
    <row r="1582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  <c r="L1582" s="8" t="n"/>
      <c r="M1582" s="9">
        <f>B1582+30</f>
        <v/>
      </c>
      <c r="N1582">
        <f>IF(L1582="", "", L1582-B1582)</f>
        <v/>
      </c>
      <c r="O1582">
        <f>IF(L1582="", "Pending", IF(N1582&lt;=30, "Met", "Breached"))</f>
        <v/>
      </c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 t="n"/>
      <c r="Y1582" s="8" t="n"/>
    </row>
    <row r="1583">
      <c r="A1583" s="8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  <c r="L1583" s="8" t="n"/>
      <c r="M1583" s="9">
        <f>B1583+30</f>
        <v/>
      </c>
      <c r="N1583">
        <f>IF(L1583="", "", L1583-B1583)</f>
        <v/>
      </c>
      <c r="O1583">
        <f>IF(L1583="", "Pending", IF(N1583&lt;=30, "Met", "Breached"))</f>
        <v/>
      </c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 t="n"/>
      <c r="Y1583" s="8" t="n"/>
    </row>
    <row r="1584">
      <c r="A1584" s="8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  <c r="L1584" s="8" t="n"/>
      <c r="M1584" s="9">
        <f>B1584+30</f>
        <v/>
      </c>
      <c r="N1584">
        <f>IF(L1584="", "", L1584-B1584)</f>
        <v/>
      </c>
      <c r="O1584">
        <f>IF(L1584="", "Pending", IF(N1584&lt;=30, "Met", "Breached"))</f>
        <v/>
      </c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 t="n"/>
      <c r="Y1584" s="8" t="n"/>
    </row>
    <row r="1585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  <c r="L1585" s="8" t="n"/>
      <c r="M1585" s="9">
        <f>B1585+30</f>
        <v/>
      </c>
      <c r="N1585">
        <f>IF(L1585="", "", L1585-B1585)</f>
        <v/>
      </c>
      <c r="O1585">
        <f>IF(L1585="", "Pending", IF(N1585&lt;=30, "Met", "Breached"))</f>
        <v/>
      </c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 t="n"/>
      <c r="Y1585" s="8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  <c r="L1586" s="8" t="n"/>
      <c r="M1586" s="9">
        <f>B1586+30</f>
        <v/>
      </c>
      <c r="N1586">
        <f>IF(L1586="", "", L1586-B1586)</f>
        <v/>
      </c>
      <c r="O1586">
        <f>IF(L1586="", "Pending", IF(N1586&lt;=30, "Met", "Breached"))</f>
        <v/>
      </c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 t="n"/>
      <c r="Y1586" s="8" t="n"/>
    </row>
    <row r="1587">
      <c r="A1587" s="8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  <c r="L1587" s="8" t="n"/>
      <c r="M1587" s="9">
        <f>B1587+30</f>
        <v/>
      </c>
      <c r="N1587">
        <f>IF(L1587="", "", L1587-B1587)</f>
        <v/>
      </c>
      <c r="O1587">
        <f>IF(L1587="", "Pending", IF(N1587&lt;=30, "Met", "Breached"))</f>
        <v/>
      </c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 t="n"/>
      <c r="Y1587" s="8" t="n"/>
    </row>
    <row r="1588">
      <c r="A1588" s="8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  <c r="L1588" s="8" t="n"/>
      <c r="M1588" s="9">
        <f>B1588+30</f>
        <v/>
      </c>
      <c r="N1588">
        <f>IF(L1588="", "", L1588-B1588)</f>
        <v/>
      </c>
      <c r="O1588">
        <f>IF(L1588="", "Pending", IF(N1588&lt;=30, "Met", "Breached"))</f>
        <v/>
      </c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 t="n"/>
      <c r="Y1588" s="8" t="n"/>
    </row>
    <row r="1589">
      <c r="A1589" s="8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  <c r="L1589" s="8" t="n"/>
      <c r="M1589" s="9">
        <f>B1589+30</f>
        <v/>
      </c>
      <c r="N1589">
        <f>IF(L1589="", "", L1589-B1589)</f>
        <v/>
      </c>
      <c r="O1589">
        <f>IF(L1589="", "Pending", IF(N1589&lt;=30, "Met", "Breached"))</f>
        <v/>
      </c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 t="n"/>
      <c r="Y1589" s="8" t="n"/>
    </row>
    <row r="1590">
      <c r="A1590" s="8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  <c r="L1590" s="8" t="n"/>
      <c r="M1590" s="9">
        <f>B1590+30</f>
        <v/>
      </c>
      <c r="N1590">
        <f>IF(L1590="", "", L1590-B1590)</f>
        <v/>
      </c>
      <c r="O1590">
        <f>IF(L1590="", "Pending", IF(N1590&lt;=30, "Met", "Breached"))</f>
        <v/>
      </c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 t="n"/>
      <c r="Y1590" s="8" t="n"/>
    </row>
    <row r="1591">
      <c r="A1591" s="8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  <c r="L1591" s="8" t="n"/>
      <c r="M1591" s="9">
        <f>B1591+30</f>
        <v/>
      </c>
      <c r="N1591">
        <f>IF(L1591="", "", L1591-B1591)</f>
        <v/>
      </c>
      <c r="O1591">
        <f>IF(L1591="", "Pending", IF(N1591&lt;=30, "Met", "Breached"))</f>
        <v/>
      </c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 t="n"/>
      <c r="Y1591" s="8" t="n"/>
    </row>
    <row r="1592">
      <c r="A1592" s="8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  <c r="L1592" s="8" t="n"/>
      <c r="M1592" s="9">
        <f>B1592+30</f>
        <v/>
      </c>
      <c r="N1592">
        <f>IF(L1592="", "", L1592-B1592)</f>
        <v/>
      </c>
      <c r="O1592">
        <f>IF(L1592="", "Pending", IF(N1592&lt;=30, "Met", "Breached"))</f>
        <v/>
      </c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 t="n"/>
      <c r="Y1592" s="8" t="n"/>
    </row>
    <row r="1593">
      <c r="A1593" s="8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  <c r="L1593" s="8" t="n"/>
      <c r="M1593" s="9">
        <f>B1593+30</f>
        <v/>
      </c>
      <c r="N1593">
        <f>IF(L1593="", "", L1593-B1593)</f>
        <v/>
      </c>
      <c r="O1593">
        <f>IF(L1593="", "Pending", IF(N1593&lt;=30, "Met", "Breached"))</f>
        <v/>
      </c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 t="n"/>
      <c r="Y1593" s="8" t="n"/>
    </row>
    <row r="1594">
      <c r="A1594" s="8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9">
        <f>B1594+30</f>
        <v/>
      </c>
      <c r="N1594">
        <f>IF(L1594="", "", L1594-B1594)</f>
        <v/>
      </c>
      <c r="O1594">
        <f>IF(L1594="", "Pending", IF(N1594&lt;=30, "Met", "Breached"))</f>
        <v/>
      </c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 t="n"/>
      <c r="Y1594" s="8" t="n"/>
    </row>
    <row r="1595">
      <c r="A1595" s="8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  <c r="L1595" s="8" t="n"/>
      <c r="M1595" s="9">
        <f>B1595+30</f>
        <v/>
      </c>
      <c r="N1595">
        <f>IF(L1595="", "", L1595-B1595)</f>
        <v/>
      </c>
      <c r="O1595">
        <f>IF(L1595="", "Pending", IF(N1595&lt;=30, "Met", "Breached"))</f>
        <v/>
      </c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 t="n"/>
      <c r="Y1595" s="8" t="n"/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  <c r="L1596" s="8" t="n"/>
      <c r="M1596" s="9">
        <f>B1596+30</f>
        <v/>
      </c>
      <c r="N1596">
        <f>IF(L1596="", "", L1596-B1596)</f>
        <v/>
      </c>
      <c r="O1596">
        <f>IF(L1596="", "Pending", IF(N1596&lt;=30, "Met", "Breached"))</f>
        <v/>
      </c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 t="n"/>
      <c r="Y1596" s="8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  <c r="L1597" s="8" t="n"/>
      <c r="M1597" s="9">
        <f>B1597+30</f>
        <v/>
      </c>
      <c r="N1597">
        <f>IF(L1597="", "", L1597-B1597)</f>
        <v/>
      </c>
      <c r="O1597">
        <f>IF(L1597="", "Pending", IF(N1597&lt;=30, "Met", "Breached"))</f>
        <v/>
      </c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 t="n"/>
      <c r="Y1597" s="8" t="n"/>
    </row>
    <row r="1598">
      <c r="A1598" s="8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  <c r="L1598" s="8" t="n"/>
      <c r="M1598" s="9">
        <f>B1598+30</f>
        <v/>
      </c>
      <c r="N1598">
        <f>IF(L1598="", "", L1598-B1598)</f>
        <v/>
      </c>
      <c r="O1598">
        <f>IF(L1598="", "Pending", IF(N1598&lt;=30, "Met", "Breached"))</f>
        <v/>
      </c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 t="n"/>
      <c r="Y1598" s="8" t="n"/>
    </row>
    <row r="1599">
      <c r="A1599" s="8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  <c r="L1599" s="8" t="n"/>
      <c r="M1599" s="9">
        <f>B1599+30</f>
        <v/>
      </c>
      <c r="N1599">
        <f>IF(L1599="", "", L1599-B1599)</f>
        <v/>
      </c>
      <c r="O1599">
        <f>IF(L1599="", "Pending", IF(N1599&lt;=30, "Met", "Breached"))</f>
        <v/>
      </c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 t="n"/>
      <c r="Y1599" s="8" t="n"/>
    </row>
    <row r="1600">
      <c r="A1600" s="8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  <c r="L1600" s="8" t="n"/>
      <c r="M1600" s="9">
        <f>B1600+30</f>
        <v/>
      </c>
      <c r="N1600">
        <f>IF(L1600="", "", L1600-B1600)</f>
        <v/>
      </c>
      <c r="O1600">
        <f>IF(L1600="", "Pending", IF(N1600&lt;=30, "Met", "Breached"))</f>
        <v/>
      </c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 t="n"/>
      <c r="Y1600" s="8" t="n"/>
    </row>
    <row r="1601">
      <c r="A1601" s="8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  <c r="L1601" s="8" t="n"/>
      <c r="M1601" s="9">
        <f>B1601+30</f>
        <v/>
      </c>
      <c r="N1601">
        <f>IF(L1601="", "", L1601-B1601)</f>
        <v/>
      </c>
      <c r="O1601">
        <f>IF(L1601="", "Pending", IF(N1601&lt;=30, "Met", "Breached"))</f>
        <v/>
      </c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 t="n"/>
      <c r="Y1601" s="8" t="n"/>
    </row>
    <row r="1602">
      <c r="A1602" s="8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  <c r="L1602" s="8" t="n"/>
      <c r="M1602" s="9">
        <f>B1602+30</f>
        <v/>
      </c>
      <c r="N1602">
        <f>IF(L1602="", "", L1602-B1602)</f>
        <v/>
      </c>
      <c r="O1602">
        <f>IF(L1602="", "Pending", IF(N1602&lt;=30, "Met", "Breached"))</f>
        <v/>
      </c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 t="n"/>
      <c r="Y1602" s="8" t="n"/>
    </row>
    <row r="1603">
      <c r="A1603" s="8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  <c r="L1603" s="8" t="n"/>
      <c r="M1603" s="9">
        <f>B1603+30</f>
        <v/>
      </c>
      <c r="N1603">
        <f>IF(L1603="", "", L1603-B1603)</f>
        <v/>
      </c>
      <c r="O1603">
        <f>IF(L1603="", "Pending", IF(N1603&lt;=30, "Met", "Breached"))</f>
        <v/>
      </c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 t="n"/>
      <c r="Y1603" s="8" t="n"/>
    </row>
    <row r="1604">
      <c r="A1604" s="8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  <c r="L1604" s="8" t="n"/>
      <c r="M1604" s="9">
        <f>B1604+30</f>
        <v/>
      </c>
      <c r="N1604">
        <f>IF(L1604="", "", L1604-B1604)</f>
        <v/>
      </c>
      <c r="O1604">
        <f>IF(L1604="", "Pending", IF(N1604&lt;=30, "Met", "Breached"))</f>
        <v/>
      </c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 t="n"/>
      <c r="Y1604" s="8" t="n"/>
    </row>
    <row r="1605">
      <c r="A1605" s="8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  <c r="L1605" s="8" t="n"/>
      <c r="M1605" s="9">
        <f>B1605+30</f>
        <v/>
      </c>
      <c r="N1605">
        <f>IF(L1605="", "", L1605-B1605)</f>
        <v/>
      </c>
      <c r="O1605">
        <f>IF(L1605="", "Pending", IF(N1605&lt;=30, "Met", "Breached"))</f>
        <v/>
      </c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 t="n"/>
      <c r="Y1605" s="8" t="n"/>
    </row>
    <row r="1606">
      <c r="A1606" s="8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  <c r="L1606" s="8" t="n"/>
      <c r="M1606" s="9">
        <f>B1606+30</f>
        <v/>
      </c>
      <c r="N1606">
        <f>IF(L1606="", "", L1606-B1606)</f>
        <v/>
      </c>
      <c r="O1606">
        <f>IF(L1606="", "Pending", IF(N1606&lt;=30, "Met", "Breached"))</f>
        <v/>
      </c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 t="n"/>
      <c r="Y1606" s="8" t="n"/>
    </row>
    <row r="1607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  <c r="L1607" s="8" t="n"/>
      <c r="M1607" s="9">
        <f>B1607+30</f>
        <v/>
      </c>
      <c r="N1607">
        <f>IF(L1607="", "", L1607-B1607)</f>
        <v/>
      </c>
      <c r="O1607">
        <f>IF(L1607="", "Pending", IF(N1607&lt;=30, "Met", "Breached"))</f>
        <v/>
      </c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 t="n"/>
      <c r="Y1607" s="8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  <c r="L1608" s="8" t="n"/>
      <c r="M1608" s="9">
        <f>B1608+30</f>
        <v/>
      </c>
      <c r="N1608">
        <f>IF(L1608="", "", L1608-B1608)</f>
        <v/>
      </c>
      <c r="O1608">
        <f>IF(L1608="", "Pending", IF(N1608&lt;=30, "Met", "Breached"))</f>
        <v/>
      </c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 t="n"/>
      <c r="Y1608" s="8" t="n"/>
    </row>
    <row r="1609">
      <c r="A1609" s="8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  <c r="L1609" s="8" t="n"/>
      <c r="M1609" s="9">
        <f>B1609+30</f>
        <v/>
      </c>
      <c r="N1609">
        <f>IF(L1609="", "", L1609-B1609)</f>
        <v/>
      </c>
      <c r="O1609">
        <f>IF(L1609="", "Pending", IF(N1609&lt;=30, "Met", "Breached"))</f>
        <v/>
      </c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 t="n"/>
      <c r="Y1609" s="8" t="n"/>
    </row>
    <row r="1610">
      <c r="A1610" s="8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  <c r="L1610" s="8" t="n"/>
      <c r="M1610" s="9">
        <f>B1610+30</f>
        <v/>
      </c>
      <c r="N1610">
        <f>IF(L1610="", "", L1610-B1610)</f>
        <v/>
      </c>
      <c r="O1610">
        <f>IF(L1610="", "Pending", IF(N1610&lt;=30, "Met", "Breached"))</f>
        <v/>
      </c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 t="n"/>
      <c r="Y1610" s="8" t="n"/>
    </row>
    <row r="1611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  <c r="L1611" s="8" t="n"/>
      <c r="M1611" s="9">
        <f>B1611+30</f>
        <v/>
      </c>
      <c r="N1611">
        <f>IF(L1611="", "", L1611-B1611)</f>
        <v/>
      </c>
      <c r="O1611">
        <f>IF(L1611="", "Pending", IF(N1611&lt;=30, "Met", "Breached"))</f>
        <v/>
      </c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 t="n"/>
      <c r="Y1611" s="8" t="n"/>
    </row>
    <row r="1612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  <c r="L1612" s="8" t="n"/>
      <c r="M1612" s="9">
        <f>B1612+30</f>
        <v/>
      </c>
      <c r="N1612">
        <f>IF(L1612="", "", L1612-B1612)</f>
        <v/>
      </c>
      <c r="O1612">
        <f>IF(L1612="", "Pending", IF(N1612&lt;=30, "Met", "Breached"))</f>
        <v/>
      </c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 t="n"/>
      <c r="Y1612" s="8" t="n"/>
    </row>
    <row r="1613">
      <c r="A1613" s="8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  <c r="L1613" s="8" t="n"/>
      <c r="M1613" s="9">
        <f>B1613+30</f>
        <v/>
      </c>
      <c r="N1613">
        <f>IF(L1613="", "", L1613-B1613)</f>
        <v/>
      </c>
      <c r="O1613">
        <f>IF(L1613="", "Pending", IF(N1613&lt;=30, "Met", "Breached"))</f>
        <v/>
      </c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 t="n"/>
      <c r="Y1613" s="8" t="n"/>
    </row>
    <row r="1614">
      <c r="A1614" s="8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  <c r="L1614" s="8" t="n"/>
      <c r="M1614" s="9">
        <f>B1614+30</f>
        <v/>
      </c>
      <c r="N1614">
        <f>IF(L1614="", "", L1614-B1614)</f>
        <v/>
      </c>
      <c r="O1614">
        <f>IF(L1614="", "Pending", IF(N1614&lt;=30, "Met", "Breached"))</f>
        <v/>
      </c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 t="n"/>
      <c r="Y1614" s="8" t="n"/>
    </row>
    <row r="1615">
      <c r="A1615" s="8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  <c r="L1615" s="8" t="n"/>
      <c r="M1615" s="9">
        <f>B1615+30</f>
        <v/>
      </c>
      <c r="N1615">
        <f>IF(L1615="", "", L1615-B1615)</f>
        <v/>
      </c>
      <c r="O1615">
        <f>IF(L1615="", "Pending", IF(N1615&lt;=30, "Met", "Breached"))</f>
        <v/>
      </c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 t="n"/>
      <c r="Y1615" s="8" t="n"/>
    </row>
    <row r="1616">
      <c r="A1616" s="8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  <c r="L1616" s="8" t="n"/>
      <c r="M1616" s="9">
        <f>B1616+30</f>
        <v/>
      </c>
      <c r="N1616">
        <f>IF(L1616="", "", L1616-B1616)</f>
        <v/>
      </c>
      <c r="O1616">
        <f>IF(L1616="", "Pending", IF(N1616&lt;=30, "Met", "Breached"))</f>
        <v/>
      </c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 t="n"/>
      <c r="Y1616" s="8" t="n"/>
    </row>
    <row r="1617">
      <c r="A1617" s="8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  <c r="L1617" s="8" t="n"/>
      <c r="M1617" s="9">
        <f>B1617+30</f>
        <v/>
      </c>
      <c r="N1617">
        <f>IF(L1617="", "", L1617-B1617)</f>
        <v/>
      </c>
      <c r="O1617">
        <f>IF(L1617="", "Pending", IF(N1617&lt;=30, "Met", "Breached"))</f>
        <v/>
      </c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 t="n"/>
      <c r="Y1617" s="8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  <c r="L1618" s="8" t="n"/>
      <c r="M1618" s="9">
        <f>B1618+30</f>
        <v/>
      </c>
      <c r="N1618">
        <f>IF(L1618="", "", L1618-B1618)</f>
        <v/>
      </c>
      <c r="O1618">
        <f>IF(L1618="", "Pending", IF(N1618&lt;=30, "Met", "Breached"))</f>
        <v/>
      </c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 t="n"/>
      <c r="Y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  <c r="L1619" s="8" t="n"/>
      <c r="M1619" s="9">
        <f>B1619+30</f>
        <v/>
      </c>
      <c r="N1619">
        <f>IF(L1619="", "", L1619-B1619)</f>
        <v/>
      </c>
      <c r="O1619">
        <f>IF(L1619="", "Pending", IF(N1619&lt;=30, "Met", "Breached"))</f>
        <v/>
      </c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 t="n"/>
      <c r="Y1619" s="8" t="n"/>
    </row>
    <row r="1620">
      <c r="A1620" s="8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  <c r="L1620" s="8" t="n"/>
      <c r="M1620" s="9">
        <f>B1620+30</f>
        <v/>
      </c>
      <c r="N1620">
        <f>IF(L1620="", "", L1620-B1620)</f>
        <v/>
      </c>
      <c r="O1620">
        <f>IF(L1620="", "Pending", IF(N1620&lt;=30, "Met", "Breached"))</f>
        <v/>
      </c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 t="n"/>
      <c r="Y1620" s="8" t="n"/>
    </row>
    <row r="1621">
      <c r="A1621" s="8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  <c r="L1621" s="8" t="n"/>
      <c r="M1621" s="9">
        <f>B1621+30</f>
        <v/>
      </c>
      <c r="N1621">
        <f>IF(L1621="", "", L1621-B1621)</f>
        <v/>
      </c>
      <c r="O1621">
        <f>IF(L1621="", "Pending", IF(N1621&lt;=30, "Met", "Breached"))</f>
        <v/>
      </c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 t="n"/>
      <c r="Y1621" s="8" t="n"/>
    </row>
    <row r="1622">
      <c r="A1622" s="8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  <c r="L1622" s="8" t="n"/>
      <c r="M1622" s="9">
        <f>B1622+30</f>
        <v/>
      </c>
      <c r="N1622">
        <f>IF(L1622="", "", L1622-B1622)</f>
        <v/>
      </c>
      <c r="O1622">
        <f>IF(L1622="", "Pending", IF(N1622&lt;=30, "Met", "Breached"))</f>
        <v/>
      </c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 t="n"/>
      <c r="Y1622" s="8" t="n"/>
    </row>
    <row r="1623">
      <c r="A1623" s="8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  <c r="L1623" s="8" t="n"/>
      <c r="M1623" s="9">
        <f>B1623+30</f>
        <v/>
      </c>
      <c r="N1623">
        <f>IF(L1623="", "", L1623-B1623)</f>
        <v/>
      </c>
      <c r="O1623">
        <f>IF(L1623="", "Pending", IF(N1623&lt;=30, "Met", "Breached"))</f>
        <v/>
      </c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 t="n"/>
      <c r="Y1623" s="8" t="n"/>
    </row>
    <row r="1624">
      <c r="A1624" s="8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  <c r="L1624" s="8" t="n"/>
      <c r="M1624" s="9">
        <f>B1624+30</f>
        <v/>
      </c>
      <c r="N1624">
        <f>IF(L1624="", "", L1624-B1624)</f>
        <v/>
      </c>
      <c r="O1624">
        <f>IF(L1624="", "Pending", IF(N1624&lt;=30, "Met", "Breached"))</f>
        <v/>
      </c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 t="n"/>
      <c r="Y1624" s="8" t="n"/>
    </row>
    <row r="1625">
      <c r="A1625" s="8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  <c r="L1625" s="8" t="n"/>
      <c r="M1625" s="9">
        <f>B1625+30</f>
        <v/>
      </c>
      <c r="N1625">
        <f>IF(L1625="", "", L1625-B1625)</f>
        <v/>
      </c>
      <c r="O1625">
        <f>IF(L1625="", "Pending", IF(N1625&lt;=30, "Met", "Breached"))</f>
        <v/>
      </c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 t="n"/>
      <c r="Y1625" s="8" t="n"/>
    </row>
    <row r="1626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9">
        <f>B1626+30</f>
        <v/>
      </c>
      <c r="N1626">
        <f>IF(L1626="", "", L1626-B1626)</f>
        <v/>
      </c>
      <c r="O1626">
        <f>IF(L1626="", "Pending", IF(N1626&lt;=30, "Met", "Breached"))</f>
        <v/>
      </c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 t="n"/>
      <c r="Y1626" s="8" t="n"/>
    </row>
    <row r="1627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  <c r="L1627" s="8" t="n"/>
      <c r="M1627" s="9">
        <f>B1627+30</f>
        <v/>
      </c>
      <c r="N1627">
        <f>IF(L1627="", "", L1627-B1627)</f>
        <v/>
      </c>
      <c r="O1627">
        <f>IF(L1627="", "Pending", IF(N1627&lt;=30, "Met", "Breached"))</f>
        <v/>
      </c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 t="n"/>
      <c r="Y1627" s="8" t="n"/>
    </row>
    <row r="1628">
      <c r="A1628" s="8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  <c r="L1628" s="8" t="n"/>
      <c r="M1628" s="9">
        <f>B1628+30</f>
        <v/>
      </c>
      <c r="N1628">
        <f>IF(L1628="", "", L1628-B1628)</f>
        <v/>
      </c>
      <c r="O1628">
        <f>IF(L1628="", "Pending", IF(N1628&lt;=30, "Met", "Breached"))</f>
        <v/>
      </c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 t="n"/>
      <c r="Y1628" s="8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  <c r="L1629" s="8" t="n"/>
      <c r="M1629" s="9">
        <f>B1629+30</f>
        <v/>
      </c>
      <c r="N1629">
        <f>IF(L1629="", "", L1629-B1629)</f>
        <v/>
      </c>
      <c r="O1629">
        <f>IF(L1629="", "Pending", IF(N1629&lt;=30, "Met", "Breached"))</f>
        <v/>
      </c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 t="n"/>
      <c r="Y1629" s="8" t="n"/>
    </row>
    <row r="1630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  <c r="L1630" s="8" t="n"/>
      <c r="M1630" s="9">
        <f>B1630+30</f>
        <v/>
      </c>
      <c r="N1630">
        <f>IF(L1630="", "", L1630-B1630)</f>
        <v/>
      </c>
      <c r="O1630">
        <f>IF(L1630="", "Pending", IF(N1630&lt;=30, "Met", "Breached"))</f>
        <v/>
      </c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 t="n"/>
      <c r="Y1630" s="8" t="n"/>
    </row>
    <row r="1631">
      <c r="A1631" s="8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  <c r="L1631" s="8" t="n"/>
      <c r="M1631" s="9">
        <f>B1631+30</f>
        <v/>
      </c>
      <c r="N1631">
        <f>IF(L1631="", "", L1631-B1631)</f>
        <v/>
      </c>
      <c r="O1631">
        <f>IF(L1631="", "Pending", IF(N1631&lt;=30, "Met", "Breached"))</f>
        <v/>
      </c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 t="n"/>
      <c r="Y1631" s="8" t="n"/>
    </row>
    <row r="1632">
      <c r="A1632" s="8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  <c r="L1632" s="8" t="n"/>
      <c r="M1632" s="9">
        <f>B1632+30</f>
        <v/>
      </c>
      <c r="N1632">
        <f>IF(L1632="", "", L1632-B1632)</f>
        <v/>
      </c>
      <c r="O1632">
        <f>IF(L1632="", "Pending", IF(N1632&lt;=30, "Met", "Breached"))</f>
        <v/>
      </c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 t="n"/>
      <c r="Y1632" s="8" t="n"/>
    </row>
    <row r="1633">
      <c r="A1633" s="8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  <c r="L1633" s="8" t="n"/>
      <c r="M1633" s="9">
        <f>B1633+30</f>
        <v/>
      </c>
      <c r="N1633">
        <f>IF(L1633="", "", L1633-B1633)</f>
        <v/>
      </c>
      <c r="O1633">
        <f>IF(L1633="", "Pending", IF(N1633&lt;=30, "Met", "Breached"))</f>
        <v/>
      </c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 t="n"/>
      <c r="Y1633" s="8" t="n"/>
    </row>
    <row r="1634">
      <c r="A1634" s="8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  <c r="L1634" s="8" t="n"/>
      <c r="M1634" s="9">
        <f>B1634+30</f>
        <v/>
      </c>
      <c r="N1634">
        <f>IF(L1634="", "", L1634-B1634)</f>
        <v/>
      </c>
      <c r="O1634">
        <f>IF(L1634="", "Pending", IF(N1634&lt;=30, "Met", "Breached"))</f>
        <v/>
      </c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 t="n"/>
      <c r="Y1634" s="8" t="n"/>
    </row>
    <row r="1635">
      <c r="A1635" s="8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  <c r="L1635" s="8" t="n"/>
      <c r="M1635" s="9">
        <f>B1635+30</f>
        <v/>
      </c>
      <c r="N1635">
        <f>IF(L1635="", "", L1635-B1635)</f>
        <v/>
      </c>
      <c r="O1635">
        <f>IF(L1635="", "Pending", IF(N1635&lt;=30, "Met", "Breached"))</f>
        <v/>
      </c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 t="n"/>
      <c r="Y1635" s="8" t="n"/>
    </row>
    <row r="1636">
      <c r="A1636" s="8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  <c r="L1636" s="8" t="n"/>
      <c r="M1636" s="9">
        <f>B1636+30</f>
        <v/>
      </c>
      <c r="N1636">
        <f>IF(L1636="", "", L1636-B1636)</f>
        <v/>
      </c>
      <c r="O1636">
        <f>IF(L1636="", "Pending", IF(N1636&lt;=30, "Met", "Breached"))</f>
        <v/>
      </c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 t="n"/>
      <c r="Y1636" s="8" t="n"/>
    </row>
    <row r="1637">
      <c r="A1637" s="8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  <c r="L1637" s="8" t="n"/>
      <c r="M1637" s="9">
        <f>B1637+30</f>
        <v/>
      </c>
      <c r="N1637">
        <f>IF(L1637="", "", L1637-B1637)</f>
        <v/>
      </c>
      <c r="O1637">
        <f>IF(L1637="", "Pending", IF(N1637&lt;=30, "Met", "Breached"))</f>
        <v/>
      </c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</row>
    <row r="1638">
      <c r="A1638" s="8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  <c r="L1638" s="8" t="n"/>
      <c r="M1638" s="9">
        <f>B1638+30</f>
        <v/>
      </c>
      <c r="N1638">
        <f>IF(L1638="", "", L1638-B1638)</f>
        <v/>
      </c>
      <c r="O1638">
        <f>IF(L1638="", "Pending", IF(N1638&lt;=30, "Met", "Breached"))</f>
        <v/>
      </c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 t="n"/>
      <c r="Y1638" s="8" t="n"/>
    </row>
    <row r="1639">
      <c r="A1639" s="8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  <c r="L1639" s="8" t="n"/>
      <c r="M1639" s="9">
        <f>B1639+30</f>
        <v/>
      </c>
      <c r="N1639">
        <f>IF(L1639="", "", L1639-B1639)</f>
        <v/>
      </c>
      <c r="O1639">
        <f>IF(L1639="", "Pending", IF(N1639&lt;=30, "Met", "Breached"))</f>
        <v/>
      </c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 t="n"/>
      <c r="Y1639" s="8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  <c r="L1640" s="8" t="n"/>
      <c r="M1640" s="9">
        <f>B1640+30</f>
        <v/>
      </c>
      <c r="N1640">
        <f>IF(L1640="", "", L1640-B1640)</f>
        <v/>
      </c>
      <c r="O1640">
        <f>IF(L1640="", "Pending", IF(N1640&lt;=30, "Met", "Breached"))</f>
        <v/>
      </c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 t="n"/>
      <c r="Y1640" s="8" t="n"/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  <c r="L1641" s="8" t="n"/>
      <c r="M1641" s="9">
        <f>B1641+30</f>
        <v/>
      </c>
      <c r="N1641">
        <f>IF(L1641="", "", L1641-B1641)</f>
        <v/>
      </c>
      <c r="O1641">
        <f>IF(L1641="", "Pending", IF(N1641&lt;=30, "Met", "Breached"))</f>
        <v/>
      </c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 t="n"/>
      <c r="Y1641" s="8" t="n"/>
    </row>
    <row r="1642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  <c r="L1642" s="8" t="n"/>
      <c r="M1642" s="9">
        <f>B1642+30</f>
        <v/>
      </c>
      <c r="N1642">
        <f>IF(L1642="", "", L1642-B1642)</f>
        <v/>
      </c>
      <c r="O1642">
        <f>IF(L1642="", "Pending", IF(N1642&lt;=30, "Met", "Breached"))</f>
        <v/>
      </c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 t="n"/>
      <c r="Y1642" s="8" t="n"/>
    </row>
    <row r="1643">
      <c r="A1643" s="8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  <c r="L1643" s="8" t="n"/>
      <c r="M1643" s="9">
        <f>B1643+30</f>
        <v/>
      </c>
      <c r="N1643">
        <f>IF(L1643="", "", L1643-B1643)</f>
        <v/>
      </c>
      <c r="O1643">
        <f>IF(L1643="", "Pending", IF(N1643&lt;=30, "Met", "Breached"))</f>
        <v/>
      </c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 t="n"/>
      <c r="Y1643" s="8" t="n"/>
    </row>
    <row r="1644">
      <c r="A1644" s="8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  <c r="L1644" s="8" t="n"/>
      <c r="M1644" s="9">
        <f>B1644+30</f>
        <v/>
      </c>
      <c r="N1644">
        <f>IF(L1644="", "", L1644-B1644)</f>
        <v/>
      </c>
      <c r="O1644">
        <f>IF(L1644="", "Pending", IF(N1644&lt;=30, "Met", "Breached"))</f>
        <v/>
      </c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 t="n"/>
      <c r="Y1644" s="8" t="n"/>
    </row>
    <row r="1645">
      <c r="A1645" s="8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  <c r="L1645" s="8" t="n"/>
      <c r="M1645" s="9">
        <f>B1645+30</f>
        <v/>
      </c>
      <c r="N1645">
        <f>IF(L1645="", "", L1645-B1645)</f>
        <v/>
      </c>
      <c r="O1645">
        <f>IF(L1645="", "Pending", IF(N1645&lt;=30, "Met", "Breached"))</f>
        <v/>
      </c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 t="n"/>
      <c r="Y1645" s="8" t="n"/>
    </row>
    <row r="1646">
      <c r="A1646" s="8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  <c r="L1646" s="8" t="n"/>
      <c r="M1646" s="9">
        <f>B1646+30</f>
        <v/>
      </c>
      <c r="N1646">
        <f>IF(L1646="", "", L1646-B1646)</f>
        <v/>
      </c>
      <c r="O1646">
        <f>IF(L1646="", "Pending", IF(N1646&lt;=30, "Met", "Breached"))</f>
        <v/>
      </c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 t="n"/>
      <c r="Y1646" s="8" t="n"/>
    </row>
    <row r="1647">
      <c r="A1647" s="8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  <c r="L1647" s="8" t="n"/>
      <c r="M1647" s="9">
        <f>B1647+30</f>
        <v/>
      </c>
      <c r="N1647">
        <f>IF(L1647="", "", L1647-B1647)</f>
        <v/>
      </c>
      <c r="O1647">
        <f>IF(L1647="", "Pending", IF(N1647&lt;=30, "Met", "Breached"))</f>
        <v/>
      </c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 t="n"/>
      <c r="Y1647" s="8" t="n"/>
    </row>
    <row r="1648">
      <c r="A1648" s="8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  <c r="L1648" s="8" t="n"/>
      <c r="M1648" s="9">
        <f>B1648+30</f>
        <v/>
      </c>
      <c r="N1648">
        <f>IF(L1648="", "", L1648-B1648)</f>
        <v/>
      </c>
      <c r="O1648">
        <f>IF(L1648="", "Pending", IF(N1648&lt;=30, "Met", "Breached"))</f>
        <v/>
      </c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 t="n"/>
      <c r="Y1648" s="8" t="n"/>
    </row>
    <row r="1649">
      <c r="A1649" s="8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  <c r="L1649" s="8" t="n"/>
      <c r="M1649" s="9">
        <f>B1649+30</f>
        <v/>
      </c>
      <c r="N1649">
        <f>IF(L1649="", "", L1649-B1649)</f>
        <v/>
      </c>
      <c r="O1649">
        <f>IF(L1649="", "Pending", IF(N1649&lt;=30, "Met", "Breached"))</f>
        <v/>
      </c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 t="n"/>
      <c r="Y1649" s="8" t="n"/>
    </row>
    <row r="1650">
      <c r="A1650" s="8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  <c r="L1650" s="8" t="n"/>
      <c r="M1650" s="9">
        <f>B1650+30</f>
        <v/>
      </c>
      <c r="N1650">
        <f>IF(L1650="", "", L1650-B1650)</f>
        <v/>
      </c>
      <c r="O1650">
        <f>IF(L1650="", "Pending", IF(N1650&lt;=30, "Met", "Breached"))</f>
        <v/>
      </c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 t="n"/>
      <c r="Y1650" s="8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  <c r="L1651" s="8" t="n"/>
      <c r="M1651" s="9">
        <f>B1651+30</f>
        <v/>
      </c>
      <c r="N1651">
        <f>IF(L1651="", "", L1651-B1651)</f>
        <v/>
      </c>
      <c r="O1651">
        <f>IF(L1651="", "Pending", IF(N1651&lt;=30, "Met", "Breached"))</f>
        <v/>
      </c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/>
      <c r="Y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  <c r="L1652" s="8" t="n"/>
      <c r="M1652" s="9">
        <f>B1652+30</f>
        <v/>
      </c>
      <c r="N1652">
        <f>IF(L1652="", "", L1652-B1652)</f>
        <v/>
      </c>
      <c r="O1652">
        <f>IF(L1652="", "Pending", IF(N1652&lt;=30, "Met", "Breached"))</f>
        <v/>
      </c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 t="n"/>
      <c r="Y1652" s="8" t="n"/>
    </row>
    <row r="1653">
      <c r="A1653" s="8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  <c r="L1653" s="8" t="n"/>
      <c r="M1653" s="9">
        <f>B1653+30</f>
        <v/>
      </c>
      <c r="N1653">
        <f>IF(L1653="", "", L1653-B1653)</f>
        <v/>
      </c>
      <c r="O1653">
        <f>IF(L1653="", "Pending", IF(N1653&lt;=30, "Met", "Breached"))</f>
        <v/>
      </c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 t="n"/>
      <c r="Y1653" s="8" t="n"/>
    </row>
    <row r="1654">
      <c r="A1654" s="8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  <c r="L1654" s="8" t="n"/>
      <c r="M1654" s="9">
        <f>B1654+30</f>
        <v/>
      </c>
      <c r="N1654">
        <f>IF(L1654="", "", L1654-B1654)</f>
        <v/>
      </c>
      <c r="O1654">
        <f>IF(L1654="", "Pending", IF(N1654&lt;=30, "Met", "Breached"))</f>
        <v/>
      </c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 t="n"/>
      <c r="Y1654" s="8" t="n"/>
    </row>
    <row r="1655">
      <c r="A1655" s="8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  <c r="L1655" s="8" t="n"/>
      <c r="M1655" s="9">
        <f>B1655+30</f>
        <v/>
      </c>
      <c r="N1655">
        <f>IF(L1655="", "", L1655-B1655)</f>
        <v/>
      </c>
      <c r="O1655">
        <f>IF(L1655="", "Pending", IF(N1655&lt;=30, "Met", "Breached"))</f>
        <v/>
      </c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 t="n"/>
      <c r="Y1655" s="8" t="n"/>
    </row>
    <row r="1656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9">
        <f>B1656+30</f>
        <v/>
      </c>
      <c r="N1656">
        <f>IF(L1656="", "", L1656-B1656)</f>
        <v/>
      </c>
      <c r="O1656">
        <f>IF(L1656="", "Pending", IF(N1656&lt;=30, "Met", "Breached"))</f>
        <v/>
      </c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 t="n"/>
      <c r="Y1656" s="8" t="n"/>
    </row>
    <row r="1657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  <c r="L1657" s="8" t="n"/>
      <c r="M1657" s="9">
        <f>B1657+30</f>
        <v/>
      </c>
      <c r="N1657">
        <f>IF(L1657="", "", L1657-B1657)</f>
        <v/>
      </c>
      <c r="O1657">
        <f>IF(L1657="", "Pending", IF(N1657&lt;=30, "Met", "Breached"))</f>
        <v/>
      </c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 t="n"/>
      <c r="Y1657" s="8" t="n"/>
    </row>
    <row r="1658">
      <c r="A1658" s="8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  <c r="L1658" s="8" t="n"/>
      <c r="M1658" s="9">
        <f>B1658+30</f>
        <v/>
      </c>
      <c r="N1658">
        <f>IF(L1658="", "", L1658-B1658)</f>
        <v/>
      </c>
      <c r="O1658">
        <f>IF(L1658="", "Pending", IF(N1658&lt;=30, "Met", "Breached"))</f>
        <v/>
      </c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 t="n"/>
      <c r="Y1658" s="8" t="n"/>
    </row>
    <row r="1659">
      <c r="A1659" s="8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  <c r="L1659" s="8" t="n"/>
      <c r="M1659" s="9">
        <f>B1659+30</f>
        <v/>
      </c>
      <c r="N1659">
        <f>IF(L1659="", "", L1659-B1659)</f>
        <v/>
      </c>
      <c r="O1659">
        <f>IF(L1659="", "Pending", IF(N1659&lt;=30, "Met", "Breached"))</f>
        <v/>
      </c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 t="n"/>
      <c r="Y1659" s="8" t="n"/>
    </row>
    <row r="1660">
      <c r="A1660" s="8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  <c r="L1660" s="8" t="n"/>
      <c r="M1660" s="9">
        <f>B1660+30</f>
        <v/>
      </c>
      <c r="N1660">
        <f>IF(L1660="", "", L1660-B1660)</f>
        <v/>
      </c>
      <c r="O1660">
        <f>IF(L1660="", "Pending", IF(N1660&lt;=30, "Met", "Breached"))</f>
        <v/>
      </c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 t="n"/>
      <c r="Y1660" s="8" t="n"/>
    </row>
    <row r="1661">
      <c r="A1661" s="8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  <c r="L1661" s="8" t="n"/>
      <c r="M1661" s="9">
        <f>B1661+30</f>
        <v/>
      </c>
      <c r="N1661">
        <f>IF(L1661="", "", L1661-B1661)</f>
        <v/>
      </c>
      <c r="O1661">
        <f>IF(L1661="", "Pending", IF(N1661&lt;=30, "Met", "Breached"))</f>
        <v/>
      </c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 t="n"/>
      <c r="Y1661" s="8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  <c r="L1662" s="8" t="n"/>
      <c r="M1662" s="9">
        <f>B1662+30</f>
        <v/>
      </c>
      <c r="N1662">
        <f>IF(L1662="", "", L1662-B1662)</f>
        <v/>
      </c>
      <c r="O1662">
        <f>IF(L1662="", "Pending", IF(N1662&lt;=30, "Met", "Breached"))</f>
        <v/>
      </c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 t="n"/>
      <c r="Y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  <c r="L1663" s="8" t="n"/>
      <c r="M1663" s="9">
        <f>B1663+30</f>
        <v/>
      </c>
      <c r="N1663">
        <f>IF(L1663="", "", L1663-B1663)</f>
        <v/>
      </c>
      <c r="O1663">
        <f>IF(L1663="", "Pending", IF(N1663&lt;=30, "Met", "Breached"))</f>
        <v/>
      </c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 t="n"/>
      <c r="Y1663" s="8" t="n"/>
    </row>
    <row r="1664">
      <c r="A1664" s="8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  <c r="L1664" s="8" t="n"/>
      <c r="M1664" s="9">
        <f>B1664+30</f>
        <v/>
      </c>
      <c r="N1664">
        <f>IF(L1664="", "", L1664-B1664)</f>
        <v/>
      </c>
      <c r="O1664">
        <f>IF(L1664="", "Pending", IF(N1664&lt;=30, "Met", "Breached"))</f>
        <v/>
      </c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 t="n"/>
      <c r="Y1664" s="8" t="n"/>
    </row>
    <row r="1665">
      <c r="A1665" s="8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  <c r="L1665" s="8" t="n"/>
      <c r="M1665" s="9">
        <f>B1665+30</f>
        <v/>
      </c>
      <c r="N1665">
        <f>IF(L1665="", "", L1665-B1665)</f>
        <v/>
      </c>
      <c r="O1665">
        <f>IF(L1665="", "Pending", IF(N1665&lt;=30, "Met", "Breached"))</f>
        <v/>
      </c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 t="n"/>
      <c r="Y1665" s="8" t="n"/>
    </row>
    <row r="1666">
      <c r="A1666" s="8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  <c r="L1666" s="8" t="n"/>
      <c r="M1666" s="9">
        <f>B1666+30</f>
        <v/>
      </c>
      <c r="N1666">
        <f>IF(L1666="", "", L1666-B1666)</f>
        <v/>
      </c>
      <c r="O1666">
        <f>IF(L1666="", "Pending", IF(N1666&lt;=30, "Met", "Breached"))</f>
        <v/>
      </c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 t="n"/>
      <c r="Y1666" s="8" t="n"/>
    </row>
    <row r="1667">
      <c r="A1667" s="8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  <c r="L1667" s="8" t="n"/>
      <c r="M1667" s="9">
        <f>B1667+30</f>
        <v/>
      </c>
      <c r="N1667">
        <f>IF(L1667="", "", L1667-B1667)</f>
        <v/>
      </c>
      <c r="O1667">
        <f>IF(L1667="", "Pending", IF(N1667&lt;=30, "Met", "Breached"))</f>
        <v/>
      </c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 t="n"/>
      <c r="Y1667" s="8" t="n"/>
    </row>
    <row r="1668">
      <c r="A1668" s="8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  <c r="L1668" s="8" t="n"/>
      <c r="M1668" s="9">
        <f>B1668+30</f>
        <v/>
      </c>
      <c r="N1668">
        <f>IF(L1668="", "", L1668-B1668)</f>
        <v/>
      </c>
      <c r="O1668">
        <f>IF(L1668="", "Pending", IF(N1668&lt;=30, "Met", "Breached"))</f>
        <v/>
      </c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 t="n"/>
      <c r="Y1668" s="8" t="n"/>
    </row>
    <row r="1669">
      <c r="A1669" s="8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  <c r="L1669" s="8" t="n"/>
      <c r="M1669" s="9">
        <f>B1669+30</f>
        <v/>
      </c>
      <c r="N1669">
        <f>IF(L1669="", "", L1669-B1669)</f>
        <v/>
      </c>
      <c r="O1669">
        <f>IF(L1669="", "Pending", IF(N1669&lt;=30, "Met", "Breached"))</f>
        <v/>
      </c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 t="n"/>
      <c r="Y1669" s="8" t="n"/>
    </row>
    <row r="1670">
      <c r="A1670" s="8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  <c r="L1670" s="8" t="n"/>
      <c r="M1670" s="9">
        <f>B1670+30</f>
        <v/>
      </c>
      <c r="N1670">
        <f>IF(L1670="", "", L1670-B1670)</f>
        <v/>
      </c>
      <c r="O1670">
        <f>IF(L1670="", "Pending", IF(N1670&lt;=30, "Met", "Breached"))</f>
        <v/>
      </c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 t="n"/>
      <c r="Y1670" s="8" t="n"/>
    </row>
    <row r="1671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  <c r="L1671" s="8" t="n"/>
      <c r="M1671" s="9">
        <f>B1671+30</f>
        <v/>
      </c>
      <c r="N1671">
        <f>IF(L1671="", "", L1671-B1671)</f>
        <v/>
      </c>
      <c r="O1671">
        <f>IF(L1671="", "Pending", IF(N1671&lt;=30, "Met", "Breached"))</f>
        <v/>
      </c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 t="n"/>
      <c r="Y1671" s="8" t="n"/>
    </row>
    <row r="1672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  <c r="L1672" s="8" t="n"/>
      <c r="M1672" s="9">
        <f>B1672+30</f>
        <v/>
      </c>
      <c r="N1672">
        <f>IF(L1672="", "", L1672-B1672)</f>
        <v/>
      </c>
      <c r="O1672">
        <f>IF(L1672="", "Pending", IF(N1672&lt;=30, "Met", "Breached"))</f>
        <v/>
      </c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 t="n"/>
      <c r="Y1672" s="8" t="n"/>
    </row>
    <row r="1673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  <c r="L1673" s="8" t="n"/>
      <c r="M1673" s="9">
        <f>B1673+30</f>
        <v/>
      </c>
      <c r="N1673">
        <f>IF(L1673="", "", L1673-B1673)</f>
        <v/>
      </c>
      <c r="O1673">
        <f>IF(L1673="", "Pending", IF(N1673&lt;=30, "Met", "Breached"))</f>
        <v/>
      </c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 t="n"/>
      <c r="Y1673" s="8" t="n"/>
    </row>
    <row r="1674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  <c r="L1674" s="8" t="n"/>
      <c r="M1674" s="9">
        <f>B1674+30</f>
        <v/>
      </c>
      <c r="N1674">
        <f>IF(L1674="", "", L1674-B1674)</f>
        <v/>
      </c>
      <c r="O1674">
        <f>IF(L1674="", "Pending", IF(N1674&lt;=30, "Met", "Breached"))</f>
        <v/>
      </c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 t="n"/>
      <c r="Y1674" s="8" t="n"/>
    </row>
    <row r="1675">
      <c r="A1675" s="8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  <c r="L1675" s="8" t="n"/>
      <c r="M1675" s="9">
        <f>B1675+30</f>
        <v/>
      </c>
      <c r="N1675">
        <f>IF(L1675="", "", L1675-B1675)</f>
        <v/>
      </c>
      <c r="O1675">
        <f>IF(L1675="", "Pending", IF(N1675&lt;=30, "Met", "Breached"))</f>
        <v/>
      </c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 t="n"/>
      <c r="Y1675" s="8" t="n"/>
    </row>
    <row r="1676">
      <c r="A1676" s="8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  <c r="L1676" s="8" t="n"/>
      <c r="M1676" s="9">
        <f>B1676+30</f>
        <v/>
      </c>
      <c r="N1676">
        <f>IF(L1676="", "", L1676-B1676)</f>
        <v/>
      </c>
      <c r="O1676">
        <f>IF(L1676="", "Pending", IF(N1676&lt;=30, "Met", "Breached"))</f>
        <v/>
      </c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 t="n"/>
      <c r="Y1676" s="8" t="n"/>
    </row>
    <row r="1677">
      <c r="A1677" s="8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  <c r="L1677" s="8" t="n"/>
      <c r="M1677" s="9">
        <f>B1677+30</f>
        <v/>
      </c>
      <c r="N1677">
        <f>IF(L1677="", "", L1677-B1677)</f>
        <v/>
      </c>
      <c r="O1677">
        <f>IF(L1677="", "Pending", IF(N1677&lt;=30, "Met", "Breached"))</f>
        <v/>
      </c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 t="n"/>
      <c r="Y1677" s="8" t="n"/>
    </row>
    <row r="1678">
      <c r="A1678" s="8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  <c r="L1678" s="8" t="n"/>
      <c r="M1678" s="9">
        <f>B1678+30</f>
        <v/>
      </c>
      <c r="N1678">
        <f>IF(L1678="", "", L1678-B1678)</f>
        <v/>
      </c>
      <c r="O1678">
        <f>IF(L1678="", "Pending", IF(N1678&lt;=30, "Met", "Breached"))</f>
        <v/>
      </c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 t="n"/>
      <c r="Y1678" s="8" t="n"/>
    </row>
    <row r="1679">
      <c r="A1679" s="8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  <c r="L1679" s="8" t="n"/>
      <c r="M1679" s="9">
        <f>B1679+30</f>
        <v/>
      </c>
      <c r="N1679">
        <f>IF(L1679="", "", L1679-B1679)</f>
        <v/>
      </c>
      <c r="O1679">
        <f>IF(L1679="", "Pending", IF(N1679&lt;=30, "Met", "Breached"))</f>
        <v/>
      </c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 t="n"/>
      <c r="Y1679" s="8" t="n"/>
    </row>
    <row r="1680">
      <c r="A1680" s="8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  <c r="L1680" s="8" t="n"/>
      <c r="M1680" s="9">
        <f>B1680+30</f>
        <v/>
      </c>
      <c r="N1680">
        <f>IF(L1680="", "", L1680-B1680)</f>
        <v/>
      </c>
      <c r="O1680">
        <f>IF(L1680="", "Pending", IF(N1680&lt;=30, "Met", "Breached"))</f>
        <v/>
      </c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 t="n"/>
      <c r="Y1680" s="8" t="n"/>
    </row>
    <row r="1681">
      <c r="A1681" s="8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  <c r="L1681" s="8" t="n"/>
      <c r="M1681" s="9">
        <f>B1681+30</f>
        <v/>
      </c>
      <c r="N1681">
        <f>IF(L1681="", "", L1681-B1681)</f>
        <v/>
      </c>
      <c r="O1681">
        <f>IF(L1681="", "Pending", IF(N1681&lt;=30, "Met", "Breached"))</f>
        <v/>
      </c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 t="n"/>
      <c r="Y1681" s="8" t="n"/>
    </row>
    <row r="1682">
      <c r="A1682" s="8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9">
        <f>B1682+30</f>
        <v/>
      </c>
      <c r="N1682">
        <f>IF(L1682="", "", L1682-B1682)</f>
        <v/>
      </c>
      <c r="O1682">
        <f>IF(L1682="", "Pending", IF(N1682&lt;=30, "Met", "Breached"))</f>
        <v/>
      </c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 t="n"/>
      <c r="Y1682" s="8" t="n"/>
    </row>
    <row r="1683">
      <c r="A1683" s="8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9">
        <f>B1683+30</f>
        <v/>
      </c>
      <c r="N1683">
        <f>IF(L1683="", "", L1683-B1683)</f>
        <v/>
      </c>
      <c r="O1683">
        <f>IF(L1683="", "Pending", IF(N1683&lt;=30, "Met", "Breached"))</f>
        <v/>
      </c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 t="n"/>
      <c r="Y1683" s="8" t="n"/>
    </row>
    <row r="1684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9">
        <f>B1684+30</f>
        <v/>
      </c>
      <c r="N1684">
        <f>IF(L1684="", "", L1684-B1684)</f>
        <v/>
      </c>
      <c r="O1684">
        <f>IF(L1684="", "Pending", IF(N1684&lt;=30, "Met", "Breached"))</f>
        <v/>
      </c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 t="n"/>
      <c r="Y1684" s="8" t="n"/>
    </row>
    <row r="1685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9">
        <f>B1685+30</f>
        <v/>
      </c>
      <c r="N1685">
        <f>IF(L1685="", "", L1685-B1685)</f>
        <v/>
      </c>
      <c r="O1685">
        <f>IF(L1685="", "Pending", IF(N1685&lt;=30, "Met", "Breached"))</f>
        <v/>
      </c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 t="n"/>
      <c r="Y1685" s="8" t="n"/>
    </row>
    <row r="1686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9">
        <f>B1686+30</f>
        <v/>
      </c>
      <c r="N1686">
        <f>IF(L1686="", "", L1686-B1686)</f>
        <v/>
      </c>
      <c r="O1686">
        <f>IF(L1686="", "Pending", IF(N1686&lt;=30, "Met", "Breached"))</f>
        <v/>
      </c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 t="n"/>
      <c r="Y1686" s="8" t="n"/>
    </row>
    <row r="1687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9">
        <f>B1687+30</f>
        <v/>
      </c>
      <c r="N1687">
        <f>IF(L1687="", "", L1687-B1687)</f>
        <v/>
      </c>
      <c r="O1687">
        <f>IF(L1687="", "Pending", IF(N1687&lt;=30, "Met", "Breached"))</f>
        <v/>
      </c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 t="n"/>
      <c r="Y1687" s="8" t="n"/>
    </row>
    <row r="1688">
      <c r="A1688" s="8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9">
        <f>B1688+30</f>
        <v/>
      </c>
      <c r="N1688">
        <f>IF(L1688="", "", L1688-B1688)</f>
        <v/>
      </c>
      <c r="O1688">
        <f>IF(L1688="", "Pending", IF(N1688&lt;=30, "Met", "Breached"))</f>
        <v/>
      </c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 t="n"/>
      <c r="Y1688" s="8" t="n"/>
    </row>
    <row r="1689">
      <c r="A1689" s="8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9">
        <f>B1689+30</f>
        <v/>
      </c>
      <c r="N1689">
        <f>IF(L1689="", "", L1689-B1689)</f>
        <v/>
      </c>
      <c r="O1689">
        <f>IF(L1689="", "Pending", IF(N1689&lt;=30, "Met", "Breached"))</f>
        <v/>
      </c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 t="n"/>
      <c r="Y1689" s="8" t="n"/>
    </row>
    <row r="1690">
      <c r="A1690" s="8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9">
        <f>B1690+30</f>
        <v/>
      </c>
      <c r="N1690">
        <f>IF(L1690="", "", L1690-B1690)</f>
        <v/>
      </c>
      <c r="O1690">
        <f>IF(L1690="", "Pending", IF(N1690&lt;=30, "Met", "Breached"))</f>
        <v/>
      </c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 t="n"/>
      <c r="Y1690" s="8" t="n"/>
    </row>
    <row r="1691">
      <c r="A1691" s="8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9">
        <f>B1691+30</f>
        <v/>
      </c>
      <c r="N1691">
        <f>IF(L1691="", "", L1691-B1691)</f>
        <v/>
      </c>
      <c r="O1691">
        <f>IF(L1691="", "Pending", IF(N1691&lt;=30, "Met", "Breached"))</f>
        <v/>
      </c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 t="n"/>
      <c r="Y1691" s="8" t="n"/>
    </row>
    <row r="1692">
      <c r="A1692" s="8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9">
        <f>B1692+30</f>
        <v/>
      </c>
      <c r="N1692">
        <f>IF(L1692="", "", L1692-B1692)</f>
        <v/>
      </c>
      <c r="O1692">
        <f>IF(L1692="", "Pending", IF(N1692&lt;=30, "Met", "Breached"))</f>
        <v/>
      </c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 t="n"/>
      <c r="Y1692" s="8" t="n"/>
    </row>
    <row r="1693">
      <c r="A1693" s="8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9">
        <f>B1693+30</f>
        <v/>
      </c>
      <c r="N1693">
        <f>IF(L1693="", "", L1693-B1693)</f>
        <v/>
      </c>
      <c r="O1693">
        <f>IF(L1693="", "Pending", IF(N1693&lt;=30, "Met", "Breached"))</f>
        <v/>
      </c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 t="n"/>
      <c r="Y1693" s="8" t="n"/>
    </row>
    <row r="1694">
      <c r="A1694" s="8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9">
        <f>B1694+30</f>
        <v/>
      </c>
      <c r="N1694">
        <f>IF(L1694="", "", L1694-B1694)</f>
        <v/>
      </c>
      <c r="O1694">
        <f>IF(L1694="", "Pending", IF(N1694&lt;=30, "Met", "Breached"))</f>
        <v/>
      </c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 t="n"/>
      <c r="Y1694" s="8" t="n"/>
    </row>
    <row r="1695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9">
        <f>B1695+30</f>
        <v/>
      </c>
      <c r="N1695">
        <f>IF(L1695="", "", L1695-B1695)</f>
        <v/>
      </c>
      <c r="O1695">
        <f>IF(L1695="", "Pending", IF(N1695&lt;=30, "Met", "Breached"))</f>
        <v/>
      </c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 t="n"/>
      <c r="Y1695" s="8" t="n"/>
    </row>
    <row r="1696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9">
        <f>B1696+30</f>
        <v/>
      </c>
      <c r="N1696">
        <f>IF(L1696="", "", L1696-B1696)</f>
        <v/>
      </c>
      <c r="O1696">
        <f>IF(L1696="", "Pending", IF(N1696&lt;=30, "Met", "Breached"))</f>
        <v/>
      </c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 t="n"/>
      <c r="Y1696" s="8" t="n"/>
    </row>
    <row r="1697">
      <c r="A1697" s="8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9">
        <f>B1697+30</f>
        <v/>
      </c>
      <c r="N1697">
        <f>IF(L1697="", "", L1697-B1697)</f>
        <v/>
      </c>
      <c r="O1697">
        <f>IF(L1697="", "Pending", IF(N1697&lt;=30, "Met", "Breached"))</f>
        <v/>
      </c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 t="n"/>
      <c r="Y1697" s="8" t="n"/>
    </row>
    <row r="1698">
      <c r="A1698" s="8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9">
        <f>B1698+30</f>
        <v/>
      </c>
      <c r="N1698">
        <f>IF(L1698="", "", L1698-B1698)</f>
        <v/>
      </c>
      <c r="O1698">
        <f>IF(L1698="", "Pending", IF(N1698&lt;=30, "Met", "Breached"))</f>
        <v/>
      </c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 t="n"/>
      <c r="Y1698" s="8" t="n"/>
    </row>
    <row r="1699">
      <c r="A1699" s="8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9">
        <f>B1699+30</f>
        <v/>
      </c>
      <c r="N1699">
        <f>IF(L1699="", "", L1699-B1699)</f>
        <v/>
      </c>
      <c r="O1699">
        <f>IF(L1699="", "Pending", IF(N1699&lt;=30, "Met", "Breached"))</f>
        <v/>
      </c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 t="n"/>
      <c r="Y1699" s="8" t="n"/>
    </row>
    <row r="1700">
      <c r="A1700" s="8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9">
        <f>B1700+30</f>
        <v/>
      </c>
      <c r="N1700">
        <f>IF(L1700="", "", L1700-B1700)</f>
        <v/>
      </c>
      <c r="O1700">
        <f>IF(L1700="", "Pending", IF(N1700&lt;=30, "Met", "Breached"))</f>
        <v/>
      </c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 t="n"/>
      <c r="Y1700" s="8" t="n"/>
    </row>
    <row r="1701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9">
        <f>B1701+30</f>
        <v/>
      </c>
      <c r="N1701">
        <f>IF(L1701="", "", L1701-B1701)</f>
        <v/>
      </c>
      <c r="O1701">
        <f>IF(L1701="", "Pending", IF(N1701&lt;=30, "Met", "Breached"))</f>
        <v/>
      </c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 t="n"/>
      <c r="Y1701" s="8" t="n"/>
    </row>
    <row r="1702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9">
        <f>B1702+30</f>
        <v/>
      </c>
      <c r="N1702">
        <f>IF(L1702="", "", L1702-B1702)</f>
        <v/>
      </c>
      <c r="O1702">
        <f>IF(L1702="", "Pending", IF(N1702&lt;=30, "Met", "Breached"))</f>
        <v/>
      </c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 t="n"/>
      <c r="Y1702" s="8" t="n"/>
    </row>
    <row r="1703">
      <c r="A1703" s="8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9">
        <f>B1703+30</f>
        <v/>
      </c>
      <c r="N1703">
        <f>IF(L1703="", "", L1703-B1703)</f>
        <v/>
      </c>
      <c r="O1703">
        <f>IF(L1703="", "Pending", IF(N1703&lt;=30, "Met", "Breached"))</f>
        <v/>
      </c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 t="n"/>
      <c r="Y1703" s="8" t="n"/>
    </row>
    <row r="1704">
      <c r="A1704" s="8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9">
        <f>B1704+30</f>
        <v/>
      </c>
      <c r="N1704">
        <f>IF(L1704="", "", L1704-B1704)</f>
        <v/>
      </c>
      <c r="O1704">
        <f>IF(L1704="", "Pending", IF(N1704&lt;=30, "Met", "Breached"))</f>
        <v/>
      </c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 t="n"/>
      <c r="Y1704" s="8" t="n"/>
    </row>
    <row r="1705">
      <c r="A1705" s="8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9">
        <f>B1705+30</f>
        <v/>
      </c>
      <c r="N1705">
        <f>IF(L1705="", "", L1705-B1705)</f>
        <v/>
      </c>
      <c r="O1705">
        <f>IF(L1705="", "Pending", IF(N1705&lt;=30, "Met", "Breached"))</f>
        <v/>
      </c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 t="n"/>
      <c r="Y1705" s="8" t="n"/>
    </row>
    <row r="1706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9">
        <f>B1706+30</f>
        <v/>
      </c>
      <c r="N1706">
        <f>IF(L1706="", "", L1706-B1706)</f>
        <v/>
      </c>
      <c r="O1706">
        <f>IF(L1706="", "Pending", IF(N1706&lt;=30, "Met", "Breached"))</f>
        <v/>
      </c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 t="n"/>
      <c r="Y1706" s="8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9">
        <f>B1707+30</f>
        <v/>
      </c>
      <c r="N1707">
        <f>IF(L1707="", "", L1707-B1707)</f>
        <v/>
      </c>
      <c r="O1707">
        <f>IF(L1707="", "Pending", IF(N1707&lt;=30, "Met", "Breached"))</f>
        <v/>
      </c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 t="n"/>
      <c r="Y1707" s="8" t="n"/>
    </row>
    <row r="1708">
      <c r="A1708" s="8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9">
        <f>B1708+30</f>
        <v/>
      </c>
      <c r="N1708">
        <f>IF(L1708="", "", L1708-B1708)</f>
        <v/>
      </c>
      <c r="O1708">
        <f>IF(L1708="", "Pending", IF(N1708&lt;=30, "Met", "Breached"))</f>
        <v/>
      </c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 t="n"/>
      <c r="Y1708" s="8" t="n"/>
    </row>
    <row r="1709">
      <c r="A1709" s="8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9">
        <f>B1709+30</f>
        <v/>
      </c>
      <c r="N1709">
        <f>IF(L1709="", "", L1709-B1709)</f>
        <v/>
      </c>
      <c r="O1709">
        <f>IF(L1709="", "Pending", IF(N1709&lt;=30, "Met", "Breached"))</f>
        <v/>
      </c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 t="n"/>
      <c r="Y1709" s="8" t="n"/>
    </row>
    <row r="1710">
      <c r="A1710" s="8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9">
        <f>B1710+30</f>
        <v/>
      </c>
      <c r="N1710">
        <f>IF(L1710="", "", L1710-B1710)</f>
        <v/>
      </c>
      <c r="O1710">
        <f>IF(L1710="", "Pending", IF(N1710&lt;=30, "Met", "Breached"))</f>
        <v/>
      </c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 t="n"/>
      <c r="Y1710" s="8" t="n"/>
    </row>
    <row r="1711">
      <c r="A1711" s="8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9">
        <f>B1711+30</f>
        <v/>
      </c>
      <c r="N1711">
        <f>IF(L1711="", "", L1711-B1711)</f>
        <v/>
      </c>
      <c r="O1711">
        <f>IF(L1711="", "Pending", IF(N1711&lt;=30, "Met", "Breached"))</f>
        <v/>
      </c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 t="n"/>
      <c r="Y1711" s="8" t="n"/>
    </row>
    <row r="1712">
      <c r="A1712" s="8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9">
        <f>B1712+30</f>
        <v/>
      </c>
      <c r="N1712">
        <f>IF(L1712="", "", L1712-B1712)</f>
        <v/>
      </c>
      <c r="O1712">
        <f>IF(L1712="", "Pending", IF(N1712&lt;=30, "Met", "Breached"))</f>
        <v/>
      </c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 t="n"/>
      <c r="Y1712" s="8" t="n"/>
    </row>
    <row r="1713">
      <c r="A1713" s="8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9">
        <f>B1713+30</f>
        <v/>
      </c>
      <c r="N1713">
        <f>IF(L1713="", "", L1713-B1713)</f>
        <v/>
      </c>
      <c r="O1713">
        <f>IF(L1713="", "Pending", IF(N1713&lt;=30, "Met", "Breached"))</f>
        <v/>
      </c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 t="n"/>
      <c r="Y1713" s="8" t="n"/>
    </row>
    <row r="1714">
      <c r="A1714" s="8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9">
        <f>B1714+30</f>
        <v/>
      </c>
      <c r="N1714">
        <f>IF(L1714="", "", L1714-B1714)</f>
        <v/>
      </c>
      <c r="O1714">
        <f>IF(L1714="", "Pending", IF(N1714&lt;=30, "Met", "Breached"))</f>
        <v/>
      </c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 t="n"/>
      <c r="Y1714" s="8" t="n"/>
    </row>
    <row r="1715">
      <c r="A1715" s="8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9">
        <f>B1715+30</f>
        <v/>
      </c>
      <c r="N1715">
        <f>IF(L1715="", "", L1715-B1715)</f>
        <v/>
      </c>
      <c r="O1715">
        <f>IF(L1715="", "Pending", IF(N1715&lt;=30, "Met", "Breached"))</f>
        <v/>
      </c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 t="n"/>
      <c r="Y1715" s="8" t="n"/>
    </row>
    <row r="1716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9">
        <f>B1716+30</f>
        <v/>
      </c>
      <c r="N1716">
        <f>IF(L1716="", "", L1716-B1716)</f>
        <v/>
      </c>
      <c r="O1716">
        <f>IF(L1716="", "Pending", IF(N1716&lt;=30, "Met", "Breached"))</f>
        <v/>
      </c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 t="n"/>
      <c r="Y1716" s="8" t="n"/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9">
        <f>B1717+30</f>
        <v/>
      </c>
      <c r="N1717">
        <f>IF(L1717="", "", L1717-B1717)</f>
        <v/>
      </c>
      <c r="O1717">
        <f>IF(L1717="", "Pending", IF(N1717&lt;=30, "Met", "Breached"))</f>
        <v/>
      </c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 t="n"/>
      <c r="Y1717" s="8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9">
        <f>B1718+30</f>
        <v/>
      </c>
      <c r="N1718">
        <f>IF(L1718="", "", L1718-B1718)</f>
        <v/>
      </c>
      <c r="O1718">
        <f>IF(L1718="", "Pending", IF(N1718&lt;=30, "Met", "Breached"))</f>
        <v/>
      </c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 t="n"/>
      <c r="Y1718" s="8" t="n"/>
    </row>
    <row r="1719">
      <c r="A1719" s="8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9">
        <f>B1719+30</f>
        <v/>
      </c>
      <c r="N1719">
        <f>IF(L1719="", "", L1719-B1719)</f>
        <v/>
      </c>
      <c r="O1719">
        <f>IF(L1719="", "Pending", IF(N1719&lt;=30, "Met", "Breached"))</f>
        <v/>
      </c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 t="n"/>
      <c r="Y1719" s="8" t="n"/>
    </row>
    <row r="1720">
      <c r="A1720" s="8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9">
        <f>B1720+30</f>
        <v/>
      </c>
      <c r="N1720">
        <f>IF(L1720="", "", L1720-B1720)</f>
        <v/>
      </c>
      <c r="O1720">
        <f>IF(L1720="", "Pending", IF(N1720&lt;=30, "Met", "Breached"))</f>
        <v/>
      </c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 t="n"/>
      <c r="Y1720" s="8" t="n"/>
    </row>
    <row r="1721">
      <c r="A1721" s="8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9">
        <f>B1721+30</f>
        <v/>
      </c>
      <c r="N1721">
        <f>IF(L1721="", "", L1721-B1721)</f>
        <v/>
      </c>
      <c r="O1721">
        <f>IF(L1721="", "Pending", IF(N1721&lt;=30, "Met", "Breached"))</f>
        <v/>
      </c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 t="n"/>
      <c r="Y1721" s="8" t="n"/>
    </row>
    <row r="1722">
      <c r="A1722" s="8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9">
        <f>B1722+30</f>
        <v/>
      </c>
      <c r="N1722">
        <f>IF(L1722="", "", L1722-B1722)</f>
        <v/>
      </c>
      <c r="O1722">
        <f>IF(L1722="", "Pending", IF(N1722&lt;=30, "Met", "Breached"))</f>
        <v/>
      </c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 t="n"/>
      <c r="Y1722" s="8" t="n"/>
    </row>
    <row r="1723">
      <c r="A1723" s="8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9">
        <f>B1723+30</f>
        <v/>
      </c>
      <c r="N1723">
        <f>IF(L1723="", "", L1723-B1723)</f>
        <v/>
      </c>
      <c r="O1723">
        <f>IF(L1723="", "Pending", IF(N1723&lt;=30, "Met", "Breached"))</f>
        <v/>
      </c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 t="n"/>
      <c r="Y1723" s="8" t="n"/>
    </row>
    <row r="1724">
      <c r="A1724" s="8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9">
        <f>B1724+30</f>
        <v/>
      </c>
      <c r="N1724">
        <f>IF(L1724="", "", L1724-B1724)</f>
        <v/>
      </c>
      <c r="O1724">
        <f>IF(L1724="", "Pending", IF(N1724&lt;=30, "Met", "Breached"))</f>
        <v/>
      </c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 t="n"/>
      <c r="Y1724" s="8" t="n"/>
    </row>
    <row r="1725">
      <c r="A1725" s="8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9">
        <f>B1725+30</f>
        <v/>
      </c>
      <c r="N1725">
        <f>IF(L1725="", "", L1725-B1725)</f>
        <v/>
      </c>
      <c r="O1725">
        <f>IF(L1725="", "Pending", IF(N1725&lt;=30, "Met", "Breached"))</f>
        <v/>
      </c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 t="n"/>
      <c r="Y1725" s="8" t="n"/>
    </row>
    <row r="1726">
      <c r="A1726" s="8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9">
        <f>B1726+30</f>
        <v/>
      </c>
      <c r="N1726">
        <f>IF(L1726="", "", L1726-B1726)</f>
        <v/>
      </c>
      <c r="O1726">
        <f>IF(L1726="", "Pending", IF(N1726&lt;=30, "Met", "Breached"))</f>
        <v/>
      </c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 t="n"/>
      <c r="Y1726" s="8" t="n"/>
    </row>
    <row r="1727">
      <c r="A1727" s="8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9">
        <f>B1727+30</f>
        <v/>
      </c>
      <c r="N1727">
        <f>IF(L1727="", "", L1727-B1727)</f>
        <v/>
      </c>
      <c r="O1727">
        <f>IF(L1727="", "Pending", IF(N1727&lt;=30, "Met", "Breached"))</f>
        <v/>
      </c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 t="n"/>
      <c r="Y1727" s="8" t="n"/>
    </row>
    <row r="1728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9">
        <f>B1728+30</f>
        <v/>
      </c>
      <c r="N1728">
        <f>IF(L1728="", "", L1728-B1728)</f>
        <v/>
      </c>
      <c r="O1728">
        <f>IF(L1728="", "Pending", IF(N1728&lt;=30, "Met", "Breached"))</f>
        <v/>
      </c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 t="n"/>
      <c r="Y1728" s="8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9">
        <f>B1729+30</f>
        <v/>
      </c>
      <c r="N1729">
        <f>IF(L1729="", "", L1729-B1729)</f>
        <v/>
      </c>
      <c r="O1729">
        <f>IF(L1729="", "Pending", IF(N1729&lt;=30, "Met", "Breached"))</f>
        <v/>
      </c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 t="n"/>
      <c r="Y1729" s="8" t="n"/>
    </row>
    <row r="1730">
      <c r="A1730" s="8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9">
        <f>B1730+30</f>
        <v/>
      </c>
      <c r="N1730">
        <f>IF(L1730="", "", L1730-B1730)</f>
        <v/>
      </c>
      <c r="O1730">
        <f>IF(L1730="", "Pending", IF(N1730&lt;=30, "Met", "Breached"))</f>
        <v/>
      </c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 t="n"/>
      <c r="Y1730" s="8" t="n"/>
    </row>
    <row r="1731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9">
        <f>B1731+30</f>
        <v/>
      </c>
      <c r="N1731">
        <f>IF(L1731="", "", L1731-B1731)</f>
        <v/>
      </c>
      <c r="O1731">
        <f>IF(L1731="", "Pending", IF(N1731&lt;=30, "Met", "Breached"))</f>
        <v/>
      </c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 t="n"/>
      <c r="Y1731" s="8" t="n"/>
    </row>
    <row r="1732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9">
        <f>B1732+30</f>
        <v/>
      </c>
      <c r="N1732">
        <f>IF(L1732="", "", L1732-B1732)</f>
        <v/>
      </c>
      <c r="O1732">
        <f>IF(L1732="", "Pending", IF(N1732&lt;=30, "Met", "Breached"))</f>
        <v/>
      </c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 t="n"/>
      <c r="Y1732" s="8" t="n"/>
    </row>
    <row r="1733">
      <c r="A1733" s="8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9">
        <f>B1733+30</f>
        <v/>
      </c>
      <c r="N1733">
        <f>IF(L1733="", "", L1733-B1733)</f>
        <v/>
      </c>
      <c r="O1733">
        <f>IF(L1733="", "Pending", IF(N1733&lt;=30, "Met", "Breached"))</f>
        <v/>
      </c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 t="n"/>
      <c r="Y1733" s="8" t="n"/>
    </row>
    <row r="1734">
      <c r="A1734" s="8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9">
        <f>B1734+30</f>
        <v/>
      </c>
      <c r="N1734">
        <f>IF(L1734="", "", L1734-B1734)</f>
        <v/>
      </c>
      <c r="O1734">
        <f>IF(L1734="", "Pending", IF(N1734&lt;=30, "Met", "Breached"))</f>
        <v/>
      </c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 t="n"/>
      <c r="Y1734" s="8" t="n"/>
    </row>
    <row r="1735">
      <c r="A1735" s="8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9">
        <f>B1735+30</f>
        <v/>
      </c>
      <c r="N1735">
        <f>IF(L1735="", "", L1735-B1735)</f>
        <v/>
      </c>
      <c r="O1735">
        <f>IF(L1735="", "Pending", IF(N1735&lt;=30, "Met", "Breached"))</f>
        <v/>
      </c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 t="n"/>
      <c r="Y1735" s="8" t="n"/>
    </row>
    <row r="1736">
      <c r="A1736" s="8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9">
        <f>B1736+30</f>
        <v/>
      </c>
      <c r="N1736">
        <f>IF(L1736="", "", L1736-B1736)</f>
        <v/>
      </c>
      <c r="O1736">
        <f>IF(L1736="", "Pending", IF(N1736&lt;=30, "Met", "Breached"))</f>
        <v/>
      </c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 t="n"/>
      <c r="Y1736" s="8" t="n"/>
    </row>
    <row r="1737">
      <c r="A1737" s="8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9">
        <f>B1737+30</f>
        <v/>
      </c>
      <c r="N1737">
        <f>IF(L1737="", "", L1737-B1737)</f>
        <v/>
      </c>
      <c r="O1737">
        <f>IF(L1737="", "Pending", IF(N1737&lt;=30, "Met", "Breached"))</f>
        <v/>
      </c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 t="n"/>
      <c r="Y1737" s="8" t="n"/>
    </row>
    <row r="1738">
      <c r="A1738" s="8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9">
        <f>B1738+30</f>
        <v/>
      </c>
      <c r="N1738">
        <f>IF(L1738="", "", L1738-B1738)</f>
        <v/>
      </c>
      <c r="O1738">
        <f>IF(L1738="", "Pending", IF(N1738&lt;=30, "Met", "Breached"))</f>
        <v/>
      </c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 t="n"/>
      <c r="Y1738" s="8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9">
        <f>B1739+30</f>
        <v/>
      </c>
      <c r="N1739">
        <f>IF(L1739="", "", L1739-B1739)</f>
        <v/>
      </c>
      <c r="O1739">
        <f>IF(L1739="", "Pending", IF(N1739&lt;=30, "Met", "Breached"))</f>
        <v/>
      </c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 t="n"/>
      <c r="Y1739" s="8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9">
        <f>B1740+30</f>
        <v/>
      </c>
      <c r="N1740">
        <f>IF(L1740="", "", L1740-B1740)</f>
        <v/>
      </c>
      <c r="O1740">
        <f>IF(L1740="", "Pending", IF(N1740&lt;=30, "Met", "Breached"))</f>
        <v/>
      </c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 t="n"/>
      <c r="Y1740" s="8" t="n"/>
    </row>
    <row r="1741">
      <c r="A1741" s="8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9">
        <f>B1741+30</f>
        <v/>
      </c>
      <c r="N1741">
        <f>IF(L1741="", "", L1741-B1741)</f>
        <v/>
      </c>
      <c r="O1741">
        <f>IF(L1741="", "Pending", IF(N1741&lt;=30, "Met", "Breached"))</f>
        <v/>
      </c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 t="n"/>
      <c r="Y1741" s="8" t="n"/>
    </row>
    <row r="1742">
      <c r="A1742" s="8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9">
        <f>B1742+30</f>
        <v/>
      </c>
      <c r="N1742">
        <f>IF(L1742="", "", L1742-B1742)</f>
        <v/>
      </c>
      <c r="O1742">
        <f>IF(L1742="", "Pending", IF(N1742&lt;=30, "Met", "Breached"))</f>
        <v/>
      </c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 t="n"/>
      <c r="Y1742" s="8" t="n"/>
    </row>
    <row r="1743">
      <c r="A1743" s="8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9">
        <f>B1743+30</f>
        <v/>
      </c>
      <c r="N1743">
        <f>IF(L1743="", "", L1743-B1743)</f>
        <v/>
      </c>
      <c r="O1743">
        <f>IF(L1743="", "Pending", IF(N1743&lt;=30, "Met", "Breached"))</f>
        <v/>
      </c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 t="n"/>
      <c r="Y1743" s="8" t="n"/>
    </row>
    <row r="1744">
      <c r="A1744" s="8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9">
        <f>B1744+30</f>
        <v/>
      </c>
      <c r="N1744">
        <f>IF(L1744="", "", L1744-B1744)</f>
        <v/>
      </c>
      <c r="O1744">
        <f>IF(L1744="", "Pending", IF(N1744&lt;=30, "Met", "Breached"))</f>
        <v/>
      </c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 t="n"/>
      <c r="Y1744" s="8" t="n"/>
    </row>
    <row r="1745">
      <c r="A1745" s="8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9">
        <f>B1745+30</f>
        <v/>
      </c>
      <c r="N1745">
        <f>IF(L1745="", "", L1745-B1745)</f>
        <v/>
      </c>
      <c r="O1745">
        <f>IF(L1745="", "Pending", IF(N1745&lt;=30, "Met", "Breached"))</f>
        <v/>
      </c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 t="n"/>
      <c r="Y1745" s="8" t="n"/>
    </row>
    <row r="1746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9">
        <f>B1746+30</f>
        <v/>
      </c>
      <c r="N1746">
        <f>IF(L1746="", "", L1746-B1746)</f>
        <v/>
      </c>
      <c r="O1746">
        <f>IF(L1746="", "Pending", IF(N1746&lt;=30, "Met", "Breached"))</f>
        <v/>
      </c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 t="n"/>
      <c r="Y1746" s="8" t="n"/>
    </row>
    <row r="1747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9">
        <f>B1747+30</f>
        <v/>
      </c>
      <c r="N1747">
        <f>IF(L1747="", "", L1747-B1747)</f>
        <v/>
      </c>
      <c r="O1747">
        <f>IF(L1747="", "Pending", IF(N1747&lt;=30, "Met", "Breached"))</f>
        <v/>
      </c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 t="n"/>
      <c r="Y1747" s="8" t="n"/>
    </row>
    <row r="1748">
      <c r="A1748" s="8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9">
        <f>B1748+30</f>
        <v/>
      </c>
      <c r="N1748">
        <f>IF(L1748="", "", L1748-B1748)</f>
        <v/>
      </c>
      <c r="O1748">
        <f>IF(L1748="", "Pending", IF(N1748&lt;=30, "Met", "Breached"))</f>
        <v/>
      </c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 t="n"/>
      <c r="Y1748" s="8" t="n"/>
    </row>
    <row r="1749">
      <c r="A1749" s="8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9">
        <f>B1749+30</f>
        <v/>
      </c>
      <c r="N1749">
        <f>IF(L1749="", "", L1749-B1749)</f>
        <v/>
      </c>
      <c r="O1749">
        <f>IF(L1749="", "Pending", IF(N1749&lt;=30, "Met", "Breached"))</f>
        <v/>
      </c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 t="n"/>
      <c r="Y1749" s="8" t="n"/>
    </row>
    <row r="1750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9">
        <f>B1750+30</f>
        <v/>
      </c>
      <c r="N1750">
        <f>IF(L1750="", "", L1750-B1750)</f>
        <v/>
      </c>
      <c r="O1750">
        <f>IF(L1750="", "Pending", IF(N1750&lt;=30, "Met", "Breached"))</f>
        <v/>
      </c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 t="n"/>
      <c r="Y1750" s="8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9">
        <f>B1751+30</f>
        <v/>
      </c>
      <c r="N1751">
        <f>IF(L1751="", "", L1751-B1751)</f>
        <v/>
      </c>
      <c r="O1751">
        <f>IF(L1751="", "Pending", IF(N1751&lt;=30, "Met", "Breached"))</f>
        <v/>
      </c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 t="n"/>
      <c r="Y1751" s="8" t="n"/>
    </row>
    <row r="1752">
      <c r="A1752" s="8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9">
        <f>B1752+30</f>
        <v/>
      </c>
      <c r="N1752">
        <f>IF(L1752="", "", L1752-B1752)</f>
        <v/>
      </c>
      <c r="O1752">
        <f>IF(L1752="", "Pending", IF(N1752&lt;=30, "Met", "Breached"))</f>
        <v/>
      </c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 t="n"/>
      <c r="Y1752" s="8" t="n"/>
    </row>
    <row r="1753">
      <c r="A1753" s="8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9">
        <f>B1753+30</f>
        <v/>
      </c>
      <c r="N1753">
        <f>IF(L1753="", "", L1753-B1753)</f>
        <v/>
      </c>
      <c r="O1753">
        <f>IF(L1753="", "Pending", IF(N1753&lt;=30, "Met", "Breached"))</f>
        <v/>
      </c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 t="n"/>
      <c r="Y1753" s="8" t="n"/>
    </row>
    <row r="1754">
      <c r="A1754" s="8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9">
        <f>B1754+30</f>
        <v/>
      </c>
      <c r="N1754">
        <f>IF(L1754="", "", L1754-B1754)</f>
        <v/>
      </c>
      <c r="O1754">
        <f>IF(L1754="", "Pending", IF(N1754&lt;=30, "Met", "Breached"))</f>
        <v/>
      </c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 t="n"/>
      <c r="Y1754" s="8" t="n"/>
    </row>
    <row r="1755">
      <c r="A1755" s="8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9">
        <f>B1755+30</f>
        <v/>
      </c>
      <c r="N1755">
        <f>IF(L1755="", "", L1755-B1755)</f>
        <v/>
      </c>
      <c r="O1755">
        <f>IF(L1755="", "Pending", IF(N1755&lt;=30, "Met", "Breached"))</f>
        <v/>
      </c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 t="n"/>
      <c r="Y1755" s="8" t="n"/>
    </row>
    <row r="1756">
      <c r="A1756" s="8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9">
        <f>B1756+30</f>
        <v/>
      </c>
      <c r="N1756">
        <f>IF(L1756="", "", L1756-B1756)</f>
        <v/>
      </c>
      <c r="O1756">
        <f>IF(L1756="", "Pending", IF(N1756&lt;=30, "Met", "Breached"))</f>
        <v/>
      </c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 t="n"/>
      <c r="Y1756" s="8" t="n"/>
    </row>
    <row r="1757">
      <c r="A1757" s="8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9">
        <f>B1757+30</f>
        <v/>
      </c>
      <c r="N1757">
        <f>IF(L1757="", "", L1757-B1757)</f>
        <v/>
      </c>
      <c r="O1757">
        <f>IF(L1757="", "Pending", IF(N1757&lt;=30, "Met", "Breached"))</f>
        <v/>
      </c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 t="n"/>
      <c r="Y1757" s="8" t="n"/>
    </row>
    <row r="1758">
      <c r="A1758" s="8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9">
        <f>B1758+30</f>
        <v/>
      </c>
      <c r="N1758">
        <f>IF(L1758="", "", L1758-B1758)</f>
        <v/>
      </c>
      <c r="O1758">
        <f>IF(L1758="", "Pending", IF(N1758&lt;=30, "Met", "Breached"))</f>
        <v/>
      </c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 t="n"/>
      <c r="Y1758" s="8" t="n"/>
    </row>
    <row r="1759">
      <c r="A1759" s="8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9">
        <f>B1759+30</f>
        <v/>
      </c>
      <c r="N1759">
        <f>IF(L1759="", "", L1759-B1759)</f>
        <v/>
      </c>
      <c r="O1759">
        <f>IF(L1759="", "Pending", IF(N1759&lt;=30, "Met", "Breached"))</f>
        <v/>
      </c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 t="n"/>
      <c r="Y1759" s="8" t="n"/>
    </row>
    <row r="1760">
      <c r="A1760" s="8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9">
        <f>B1760+30</f>
        <v/>
      </c>
      <c r="N1760">
        <f>IF(L1760="", "", L1760-B1760)</f>
        <v/>
      </c>
      <c r="O1760">
        <f>IF(L1760="", "Pending", IF(N1760&lt;=30, "Met", "Breached"))</f>
        <v/>
      </c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 t="n"/>
      <c r="Y1760" s="8" t="n"/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9">
        <f>B1761+30</f>
        <v/>
      </c>
      <c r="N1761">
        <f>IF(L1761="", "", L1761-B1761)</f>
        <v/>
      </c>
      <c r="O1761">
        <f>IF(L1761="", "Pending", IF(N1761&lt;=30, "Met", "Breached"))</f>
        <v/>
      </c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 t="n"/>
      <c r="Y1761" s="8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9">
        <f>B1762+30</f>
        <v/>
      </c>
      <c r="N1762">
        <f>IF(L1762="", "", L1762-B1762)</f>
        <v/>
      </c>
      <c r="O1762">
        <f>IF(L1762="", "Pending", IF(N1762&lt;=30, "Met", "Breached"))</f>
        <v/>
      </c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 t="n"/>
      <c r="Y1762" s="8" t="n"/>
    </row>
    <row r="1763">
      <c r="A1763" s="8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9">
        <f>B1763+30</f>
        <v/>
      </c>
      <c r="N1763">
        <f>IF(L1763="", "", L1763-B1763)</f>
        <v/>
      </c>
      <c r="O1763">
        <f>IF(L1763="", "Pending", IF(N1763&lt;=30, "Met", "Breached"))</f>
        <v/>
      </c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 t="n"/>
      <c r="Y1763" s="8" t="n"/>
    </row>
    <row r="1764">
      <c r="A1764" s="8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9">
        <f>B1764+30</f>
        <v/>
      </c>
      <c r="N1764">
        <f>IF(L1764="", "", L1764-B1764)</f>
        <v/>
      </c>
      <c r="O1764">
        <f>IF(L1764="", "Pending", IF(N1764&lt;=30, "Met", "Breached"))</f>
        <v/>
      </c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 t="n"/>
      <c r="Y1764" s="8" t="n"/>
    </row>
    <row r="1765">
      <c r="A1765" s="8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9">
        <f>B1765+30</f>
        <v/>
      </c>
      <c r="N1765">
        <f>IF(L1765="", "", L1765-B1765)</f>
        <v/>
      </c>
      <c r="O1765">
        <f>IF(L1765="", "Pending", IF(N1765&lt;=30, "Met", "Breached"))</f>
        <v/>
      </c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 t="n"/>
      <c r="Y1765" s="8" t="n"/>
    </row>
    <row r="1766">
      <c r="A1766" s="8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9">
        <f>B1766+30</f>
        <v/>
      </c>
      <c r="N1766">
        <f>IF(L1766="", "", L1766-B1766)</f>
        <v/>
      </c>
      <c r="O1766">
        <f>IF(L1766="", "Pending", IF(N1766&lt;=30, "Met", "Breached"))</f>
        <v/>
      </c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 t="n"/>
      <c r="Y1766" s="8" t="n"/>
    </row>
    <row r="1767">
      <c r="A1767" s="8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9">
        <f>B1767+30</f>
        <v/>
      </c>
      <c r="N1767">
        <f>IF(L1767="", "", L1767-B1767)</f>
        <v/>
      </c>
      <c r="O1767">
        <f>IF(L1767="", "Pending", IF(N1767&lt;=30, "Met", "Breached"))</f>
        <v/>
      </c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 t="n"/>
      <c r="Y1767" s="8" t="n"/>
    </row>
    <row r="1768">
      <c r="A1768" s="8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9">
        <f>B1768+30</f>
        <v/>
      </c>
      <c r="N1768">
        <f>IF(L1768="", "", L1768-B1768)</f>
        <v/>
      </c>
      <c r="O1768">
        <f>IF(L1768="", "Pending", IF(N1768&lt;=30, "Met", "Breached"))</f>
        <v/>
      </c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 t="n"/>
      <c r="Y1768" s="8" t="n"/>
    </row>
    <row r="1769">
      <c r="A1769" s="8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9">
        <f>B1769+30</f>
        <v/>
      </c>
      <c r="N1769">
        <f>IF(L1769="", "", L1769-B1769)</f>
        <v/>
      </c>
      <c r="O1769">
        <f>IF(L1769="", "Pending", IF(N1769&lt;=30, "Met", "Breached"))</f>
        <v/>
      </c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 t="n"/>
      <c r="Y1769" s="8" t="n"/>
    </row>
    <row r="1770">
      <c r="A1770" s="8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9">
        <f>B1770+30</f>
        <v/>
      </c>
      <c r="N1770">
        <f>IF(L1770="", "", L1770-B1770)</f>
        <v/>
      </c>
      <c r="O1770">
        <f>IF(L1770="", "Pending", IF(N1770&lt;=30, "Met", "Breached"))</f>
        <v/>
      </c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 t="n"/>
      <c r="Y1770" s="8" t="n"/>
    </row>
    <row r="1771">
      <c r="A1771" s="8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9">
        <f>B1771+30</f>
        <v/>
      </c>
      <c r="N1771">
        <f>IF(L1771="", "", L1771-B1771)</f>
        <v/>
      </c>
      <c r="O1771">
        <f>IF(L1771="", "Pending", IF(N1771&lt;=30, "Met", "Breached"))</f>
        <v/>
      </c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 t="n"/>
      <c r="Y1771" s="8" t="n"/>
    </row>
    <row r="1772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9">
        <f>B1772+30</f>
        <v/>
      </c>
      <c r="N1772">
        <f>IF(L1772="", "", L1772-B1772)</f>
        <v/>
      </c>
      <c r="O1772">
        <f>IF(L1772="", "Pending", IF(N1772&lt;=30, "Met", "Breached"))</f>
        <v/>
      </c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 t="n"/>
      <c r="Y1772" s="8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9">
        <f>B1773+30</f>
        <v/>
      </c>
      <c r="N1773">
        <f>IF(L1773="", "", L1773-B1773)</f>
        <v/>
      </c>
      <c r="O1773">
        <f>IF(L1773="", "Pending", IF(N1773&lt;=30, "Met", "Breached"))</f>
        <v/>
      </c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 t="n"/>
      <c r="Y1773" s="8" t="n"/>
    </row>
    <row r="1774">
      <c r="A1774" s="8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9">
        <f>B1774+30</f>
        <v/>
      </c>
      <c r="N1774">
        <f>IF(L1774="", "", L1774-B1774)</f>
        <v/>
      </c>
      <c r="O1774">
        <f>IF(L1774="", "Pending", IF(N1774&lt;=30, "Met", "Breached"))</f>
        <v/>
      </c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 t="n"/>
      <c r="Y1774" s="8" t="n"/>
    </row>
    <row r="1775">
      <c r="A1775" s="8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9">
        <f>B1775+30</f>
        <v/>
      </c>
      <c r="N1775">
        <f>IF(L1775="", "", L1775-B1775)</f>
        <v/>
      </c>
      <c r="O1775">
        <f>IF(L1775="", "Pending", IF(N1775&lt;=30, "Met", "Breached"))</f>
        <v/>
      </c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 t="n"/>
      <c r="Y1775" s="8" t="n"/>
    </row>
    <row r="1776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9">
        <f>B1776+30</f>
        <v/>
      </c>
      <c r="N1776">
        <f>IF(L1776="", "", L1776-B1776)</f>
        <v/>
      </c>
      <c r="O1776">
        <f>IF(L1776="", "Pending", IF(N1776&lt;=30, "Met", "Breached"))</f>
        <v/>
      </c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 t="n"/>
      <c r="Y1776" s="8" t="n"/>
    </row>
    <row r="1777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9">
        <f>B1777+30</f>
        <v/>
      </c>
      <c r="N1777">
        <f>IF(L1777="", "", L1777-B1777)</f>
        <v/>
      </c>
      <c r="O1777">
        <f>IF(L1777="", "Pending", IF(N1777&lt;=30, "Met", "Breached"))</f>
        <v/>
      </c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 t="n"/>
      <c r="Y1777" s="8" t="n"/>
    </row>
    <row r="1778">
      <c r="A1778" s="8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9">
        <f>B1778+30</f>
        <v/>
      </c>
      <c r="N1778">
        <f>IF(L1778="", "", L1778-B1778)</f>
        <v/>
      </c>
      <c r="O1778">
        <f>IF(L1778="", "Pending", IF(N1778&lt;=30, "Met", "Breached"))</f>
        <v/>
      </c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 t="n"/>
      <c r="Y1778" s="8" t="n"/>
    </row>
    <row r="1779">
      <c r="A1779" s="8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9">
        <f>B1779+30</f>
        <v/>
      </c>
      <c r="N1779">
        <f>IF(L1779="", "", L1779-B1779)</f>
        <v/>
      </c>
      <c r="O1779">
        <f>IF(L1779="", "Pending", IF(N1779&lt;=30, "Met", "Breached"))</f>
        <v/>
      </c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 t="n"/>
      <c r="Y1779" s="8" t="n"/>
    </row>
    <row r="1780">
      <c r="A1780" s="8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9">
        <f>B1780+30</f>
        <v/>
      </c>
      <c r="N1780">
        <f>IF(L1780="", "", L1780-B1780)</f>
        <v/>
      </c>
      <c r="O1780">
        <f>IF(L1780="", "Pending", IF(N1780&lt;=30, "Met", "Breached"))</f>
        <v/>
      </c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 t="n"/>
      <c r="Y1780" s="8" t="n"/>
    </row>
    <row r="1781">
      <c r="A1781" s="8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9">
        <f>B1781+30</f>
        <v/>
      </c>
      <c r="N1781">
        <f>IF(L1781="", "", L1781-B1781)</f>
        <v/>
      </c>
      <c r="O1781">
        <f>IF(L1781="", "Pending", IF(N1781&lt;=30, "Met", "Breached"))</f>
        <v/>
      </c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 t="n"/>
      <c r="Y1781" s="8" t="n"/>
    </row>
    <row r="1782">
      <c r="A1782" s="8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9">
        <f>B1782+30</f>
        <v/>
      </c>
      <c r="N1782">
        <f>IF(L1782="", "", L1782-B1782)</f>
        <v/>
      </c>
      <c r="O1782">
        <f>IF(L1782="", "Pending", IF(N1782&lt;=30, "Met", "Breached"))</f>
        <v/>
      </c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 t="n"/>
      <c r="Y1782" s="8" t="n"/>
    </row>
    <row r="1783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9">
        <f>B1783+30</f>
        <v/>
      </c>
      <c r="N1783">
        <f>IF(L1783="", "", L1783-B1783)</f>
        <v/>
      </c>
      <c r="O1783">
        <f>IF(L1783="", "Pending", IF(N1783&lt;=30, "Met", "Breached"))</f>
        <v/>
      </c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 t="n"/>
      <c r="Y1783" s="8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9">
        <f>B1784+30</f>
        <v/>
      </c>
      <c r="N1784">
        <f>IF(L1784="", "", L1784-B1784)</f>
        <v/>
      </c>
      <c r="O1784">
        <f>IF(L1784="", "Pending", IF(N1784&lt;=30, "Met", "Breached"))</f>
        <v/>
      </c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 t="n"/>
      <c r="Y1784" s="8" t="n"/>
    </row>
    <row r="1785">
      <c r="A1785" s="8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9">
        <f>B1785+30</f>
        <v/>
      </c>
      <c r="N1785">
        <f>IF(L1785="", "", L1785-B1785)</f>
        <v/>
      </c>
      <c r="O1785">
        <f>IF(L1785="", "Pending", IF(N1785&lt;=30, "Met", "Breached"))</f>
        <v/>
      </c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 t="n"/>
      <c r="Y1785" s="8" t="n"/>
    </row>
    <row r="1786">
      <c r="A1786" s="8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9">
        <f>B1786+30</f>
        <v/>
      </c>
      <c r="N1786">
        <f>IF(L1786="", "", L1786-B1786)</f>
        <v/>
      </c>
      <c r="O1786">
        <f>IF(L1786="", "Pending", IF(N1786&lt;=30, "Met", "Breached"))</f>
        <v/>
      </c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 t="n"/>
      <c r="Y1786" s="8" t="n"/>
    </row>
    <row r="1787">
      <c r="A1787" s="8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9">
        <f>B1787+30</f>
        <v/>
      </c>
      <c r="N1787">
        <f>IF(L1787="", "", L1787-B1787)</f>
        <v/>
      </c>
      <c r="O1787">
        <f>IF(L1787="", "Pending", IF(N1787&lt;=30, "Met", "Breached"))</f>
        <v/>
      </c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 t="n"/>
      <c r="Y1787" s="8" t="n"/>
    </row>
    <row r="1788">
      <c r="A1788" s="8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9">
        <f>B1788+30</f>
        <v/>
      </c>
      <c r="N1788">
        <f>IF(L1788="", "", L1788-B1788)</f>
        <v/>
      </c>
      <c r="O1788">
        <f>IF(L1788="", "Pending", IF(N1788&lt;=30, "Met", "Breached"))</f>
        <v/>
      </c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 t="n"/>
      <c r="Y1788" s="8" t="n"/>
    </row>
    <row r="1789">
      <c r="A1789" s="8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9">
        <f>B1789+30</f>
        <v/>
      </c>
      <c r="N1789">
        <f>IF(L1789="", "", L1789-B1789)</f>
        <v/>
      </c>
      <c r="O1789">
        <f>IF(L1789="", "Pending", IF(N1789&lt;=30, "Met", "Breached"))</f>
        <v/>
      </c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 t="n"/>
      <c r="Y1789" s="8" t="n"/>
    </row>
    <row r="1790">
      <c r="A1790" s="8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9">
        <f>B1790+30</f>
        <v/>
      </c>
      <c r="N1790">
        <f>IF(L1790="", "", L1790-B1790)</f>
        <v/>
      </c>
      <c r="O1790">
        <f>IF(L1790="", "Pending", IF(N1790&lt;=30, "Met", "Breached"))</f>
        <v/>
      </c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 t="n"/>
      <c r="Y1790" s="8" t="n"/>
    </row>
    <row r="1791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9">
        <f>B1791+30</f>
        <v/>
      </c>
      <c r="N1791">
        <f>IF(L1791="", "", L1791-B1791)</f>
        <v/>
      </c>
      <c r="O1791">
        <f>IF(L1791="", "Pending", IF(N1791&lt;=30, "Met", "Breached"))</f>
        <v/>
      </c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</row>
    <row r="1792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9">
        <f>B1792+30</f>
        <v/>
      </c>
      <c r="N1792">
        <f>IF(L1792="", "", L1792-B1792)</f>
        <v/>
      </c>
      <c r="O1792">
        <f>IF(L1792="", "Pending", IF(N1792&lt;=30, "Met", "Breached"))</f>
        <v/>
      </c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</row>
    <row r="1793">
      <c r="A1793" s="8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9">
        <f>B1793+30</f>
        <v/>
      </c>
      <c r="N1793">
        <f>IF(L1793="", "", L1793-B1793)</f>
        <v/>
      </c>
      <c r="O1793">
        <f>IF(L1793="", "Pending", IF(N1793&lt;=30, "Met", "Breached"))</f>
        <v/>
      </c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 t="n"/>
      <c r="Y1793" s="8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9">
        <f>B1794+30</f>
        <v/>
      </c>
      <c r="N1794">
        <f>IF(L1794="", "", L1794-B1794)</f>
        <v/>
      </c>
      <c r="O1794">
        <f>IF(L1794="", "Pending", IF(N1794&lt;=30, "Met", "Breached"))</f>
        <v/>
      </c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 t="n"/>
      <c r="Y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9">
        <f>B1795+30</f>
        <v/>
      </c>
      <c r="N1795">
        <f>IF(L1795="", "", L1795-B1795)</f>
        <v/>
      </c>
      <c r="O1795">
        <f>IF(L1795="", "Pending", IF(N1795&lt;=30, "Met", "Breached"))</f>
        <v/>
      </c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 t="n"/>
      <c r="Y1795" s="8" t="n"/>
    </row>
    <row r="1796">
      <c r="A1796" s="8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9">
        <f>B1796+30</f>
        <v/>
      </c>
      <c r="N1796">
        <f>IF(L1796="", "", L1796-B1796)</f>
        <v/>
      </c>
      <c r="O1796">
        <f>IF(L1796="", "Pending", IF(N1796&lt;=30, "Met", "Breached"))</f>
        <v/>
      </c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 t="n"/>
      <c r="Y1796" s="8" t="n"/>
    </row>
    <row r="1797">
      <c r="A1797" s="8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9">
        <f>B1797+30</f>
        <v/>
      </c>
      <c r="N1797">
        <f>IF(L1797="", "", L1797-B1797)</f>
        <v/>
      </c>
      <c r="O1797">
        <f>IF(L1797="", "Pending", IF(N1797&lt;=30, "Met", "Breached"))</f>
        <v/>
      </c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 t="n"/>
      <c r="Y1797" s="8" t="n"/>
    </row>
    <row r="1798">
      <c r="A1798" s="8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9">
        <f>B1798+30</f>
        <v/>
      </c>
      <c r="N1798">
        <f>IF(L1798="", "", L1798-B1798)</f>
        <v/>
      </c>
      <c r="O1798">
        <f>IF(L1798="", "Pending", IF(N1798&lt;=30, "Met", "Breached"))</f>
        <v/>
      </c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 t="n"/>
      <c r="Y1798" s="8" t="n"/>
    </row>
    <row r="1799">
      <c r="A1799" s="8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9">
        <f>B1799+30</f>
        <v/>
      </c>
      <c r="N1799">
        <f>IF(L1799="", "", L1799-B1799)</f>
        <v/>
      </c>
      <c r="O1799">
        <f>IF(L1799="", "Pending", IF(N1799&lt;=30, "Met", "Breached"))</f>
        <v/>
      </c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 t="n"/>
      <c r="Y1799" s="8" t="n"/>
    </row>
    <row r="1800">
      <c r="A1800" s="8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9">
        <f>B1800+30</f>
        <v/>
      </c>
      <c r="N1800">
        <f>IF(L1800="", "", L1800-B1800)</f>
        <v/>
      </c>
      <c r="O1800">
        <f>IF(L1800="", "Pending", IF(N1800&lt;=30, "Met", "Breached"))</f>
        <v/>
      </c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 t="n"/>
      <c r="Y1800" s="8" t="n"/>
    </row>
    <row r="1801">
      <c r="A1801" s="8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9">
        <f>B1801+30</f>
        <v/>
      </c>
      <c r="N1801">
        <f>IF(L1801="", "", L1801-B1801)</f>
        <v/>
      </c>
      <c r="O1801">
        <f>IF(L1801="", "Pending", IF(N1801&lt;=30, "Met", "Breached"))</f>
        <v/>
      </c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 t="n"/>
      <c r="Y1801" s="8" t="n"/>
    </row>
    <row r="1802">
      <c r="A1802" s="8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9">
        <f>B1802+30</f>
        <v/>
      </c>
      <c r="N1802">
        <f>IF(L1802="", "", L1802-B1802)</f>
        <v/>
      </c>
      <c r="O1802">
        <f>IF(L1802="", "Pending", IF(N1802&lt;=30, "Met", "Breached"))</f>
        <v/>
      </c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 t="n"/>
      <c r="Y1802" s="8" t="n"/>
    </row>
    <row r="1803">
      <c r="A1803" s="8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9">
        <f>B1803+30</f>
        <v/>
      </c>
      <c r="N1803">
        <f>IF(L1803="", "", L1803-B1803)</f>
        <v/>
      </c>
      <c r="O1803">
        <f>IF(L1803="", "Pending", IF(N1803&lt;=30, "Met", "Breached"))</f>
        <v/>
      </c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 t="n"/>
      <c r="Y1803" s="8" t="n"/>
    </row>
    <row r="1804">
      <c r="A1804" s="8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9">
        <f>B1804+30</f>
        <v/>
      </c>
      <c r="N1804">
        <f>IF(L1804="", "", L1804-B1804)</f>
        <v/>
      </c>
      <c r="O1804">
        <f>IF(L1804="", "Pending", IF(N1804&lt;=30, "Met", "Breached"))</f>
        <v/>
      </c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 t="n"/>
      <c r="Y1804" s="8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9">
        <f>B1805+30</f>
        <v/>
      </c>
      <c r="N1805">
        <f>IF(L1805="", "", L1805-B1805)</f>
        <v/>
      </c>
      <c r="O1805">
        <f>IF(L1805="", "Pending", IF(N1805&lt;=30, "Met", "Breached"))</f>
        <v/>
      </c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 t="n"/>
      <c r="Y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9">
        <f>B1806+30</f>
        <v/>
      </c>
      <c r="N1806">
        <f>IF(L1806="", "", L1806-B1806)</f>
        <v/>
      </c>
      <c r="O1806">
        <f>IF(L1806="", "Pending", IF(N1806&lt;=30, "Met", "Breached"))</f>
        <v/>
      </c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 t="n"/>
      <c r="Y1806" s="8" t="n"/>
    </row>
    <row r="1807">
      <c r="A1807" s="8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9">
        <f>B1807+30</f>
        <v/>
      </c>
      <c r="N1807">
        <f>IF(L1807="", "", L1807-B1807)</f>
        <v/>
      </c>
      <c r="O1807">
        <f>IF(L1807="", "Pending", IF(N1807&lt;=30, "Met", "Breached"))</f>
        <v/>
      </c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 t="n"/>
      <c r="Y1807" s="8" t="n"/>
    </row>
    <row r="1808">
      <c r="A1808" s="8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9">
        <f>B1808+30</f>
        <v/>
      </c>
      <c r="N1808">
        <f>IF(L1808="", "", L1808-B1808)</f>
        <v/>
      </c>
      <c r="O1808">
        <f>IF(L1808="", "Pending", IF(N1808&lt;=30, "Met", "Breached"))</f>
        <v/>
      </c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 t="n"/>
      <c r="Y1808" s="8" t="n"/>
    </row>
    <row r="1809">
      <c r="A1809" s="8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9">
        <f>B1809+30</f>
        <v/>
      </c>
      <c r="N1809">
        <f>IF(L1809="", "", L1809-B1809)</f>
        <v/>
      </c>
      <c r="O1809">
        <f>IF(L1809="", "Pending", IF(N1809&lt;=30, "Met", "Breached"))</f>
        <v/>
      </c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 t="n"/>
      <c r="Y1809" s="8" t="n"/>
    </row>
    <row r="1810">
      <c r="A1810" s="8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9">
        <f>B1810+30</f>
        <v/>
      </c>
      <c r="N1810">
        <f>IF(L1810="", "", L1810-B1810)</f>
        <v/>
      </c>
      <c r="O1810">
        <f>IF(L1810="", "Pending", IF(N1810&lt;=30, "Met", "Breached"))</f>
        <v/>
      </c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 t="n"/>
      <c r="Y1810" s="8" t="n"/>
    </row>
    <row r="1811">
      <c r="A1811" s="8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9">
        <f>B1811+30</f>
        <v/>
      </c>
      <c r="N1811">
        <f>IF(L1811="", "", L1811-B1811)</f>
        <v/>
      </c>
      <c r="O1811">
        <f>IF(L1811="", "Pending", IF(N1811&lt;=30, "Met", "Breached"))</f>
        <v/>
      </c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 t="n"/>
      <c r="Y1811" s="8" t="n"/>
    </row>
    <row r="1812">
      <c r="A1812" s="8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9">
        <f>B1812+30</f>
        <v/>
      </c>
      <c r="N1812">
        <f>IF(L1812="", "", L1812-B1812)</f>
        <v/>
      </c>
      <c r="O1812">
        <f>IF(L1812="", "Pending", IF(N1812&lt;=30, "Met", "Breached"))</f>
        <v/>
      </c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 t="n"/>
      <c r="Y1812" s="8" t="n"/>
    </row>
    <row r="1813">
      <c r="A1813" s="8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9">
        <f>B1813+30</f>
        <v/>
      </c>
      <c r="N1813">
        <f>IF(L1813="", "", L1813-B1813)</f>
        <v/>
      </c>
      <c r="O1813">
        <f>IF(L1813="", "Pending", IF(N1813&lt;=30, "Met", "Breached"))</f>
        <v/>
      </c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 t="n"/>
      <c r="Y1813" s="8" t="n"/>
    </row>
    <row r="1814">
      <c r="A1814" s="8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9">
        <f>B1814+30</f>
        <v/>
      </c>
      <c r="N1814">
        <f>IF(L1814="", "", L1814-B1814)</f>
        <v/>
      </c>
      <c r="O1814">
        <f>IF(L1814="", "Pending", IF(N1814&lt;=30, "Met", "Breached"))</f>
        <v/>
      </c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 t="n"/>
      <c r="Y1814" s="8" t="n"/>
    </row>
    <row r="1815">
      <c r="A1815" s="8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9">
        <f>B1815+30</f>
        <v/>
      </c>
      <c r="N1815">
        <f>IF(L1815="", "", L1815-B1815)</f>
        <v/>
      </c>
      <c r="O1815">
        <f>IF(L1815="", "Pending", IF(N1815&lt;=30, "Met", "Breached"))</f>
        <v/>
      </c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 t="n"/>
      <c r="Y1815" s="8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9">
        <f>B1816+30</f>
        <v/>
      </c>
      <c r="N1816">
        <f>IF(L1816="", "", L1816-B1816)</f>
        <v/>
      </c>
      <c r="O1816">
        <f>IF(L1816="", "Pending", IF(N1816&lt;=30, "Met", "Breached"))</f>
        <v/>
      </c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 t="n"/>
      <c r="Y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9">
        <f>B1817+30</f>
        <v/>
      </c>
      <c r="N1817">
        <f>IF(L1817="", "", L1817-B1817)</f>
        <v/>
      </c>
      <c r="O1817">
        <f>IF(L1817="", "Pending", IF(N1817&lt;=30, "Met", "Breached"))</f>
        <v/>
      </c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 t="n"/>
      <c r="Y1817" s="8" t="n"/>
    </row>
    <row r="1818">
      <c r="A1818" s="8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9">
        <f>B1818+30</f>
        <v/>
      </c>
      <c r="N1818">
        <f>IF(L1818="", "", L1818-B1818)</f>
        <v/>
      </c>
      <c r="O1818">
        <f>IF(L1818="", "Pending", IF(N1818&lt;=30, "Met", "Breached"))</f>
        <v/>
      </c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 t="n"/>
      <c r="Y1818" s="8" t="n"/>
    </row>
    <row r="1819">
      <c r="A1819" s="8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9">
        <f>B1819+30</f>
        <v/>
      </c>
      <c r="N1819">
        <f>IF(L1819="", "", L1819-B1819)</f>
        <v/>
      </c>
      <c r="O1819">
        <f>IF(L1819="", "Pending", IF(N1819&lt;=30, "Met", "Breached"))</f>
        <v/>
      </c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 t="n"/>
      <c r="Y1819" s="8" t="n"/>
    </row>
    <row r="1820">
      <c r="A1820" s="8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9">
        <f>B1820+30</f>
        <v/>
      </c>
      <c r="N1820">
        <f>IF(L1820="", "", L1820-B1820)</f>
        <v/>
      </c>
      <c r="O1820">
        <f>IF(L1820="", "Pending", IF(N1820&lt;=30, "Met", "Breached"))</f>
        <v/>
      </c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 t="n"/>
      <c r="Y1820" s="8" t="n"/>
    </row>
    <row r="1821">
      <c r="A1821" s="8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9">
        <f>B1821+30</f>
        <v/>
      </c>
      <c r="N1821">
        <f>IF(L1821="", "", L1821-B1821)</f>
        <v/>
      </c>
      <c r="O1821">
        <f>IF(L1821="", "Pending", IF(N1821&lt;=30, "Met", "Breached"))</f>
        <v/>
      </c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 t="n"/>
      <c r="Y1821" s="8" t="n"/>
    </row>
    <row r="1822">
      <c r="A1822" s="8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9">
        <f>B1822+30</f>
        <v/>
      </c>
      <c r="N1822">
        <f>IF(L1822="", "", L1822-B1822)</f>
        <v/>
      </c>
      <c r="O1822">
        <f>IF(L1822="", "Pending", IF(N1822&lt;=30, "Met", "Breached"))</f>
        <v/>
      </c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 t="n"/>
      <c r="Y1822" s="8" t="n"/>
    </row>
    <row r="1823">
      <c r="A1823" s="8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9">
        <f>B1823+30</f>
        <v/>
      </c>
      <c r="N1823">
        <f>IF(L1823="", "", L1823-B1823)</f>
        <v/>
      </c>
      <c r="O1823">
        <f>IF(L1823="", "Pending", IF(N1823&lt;=30, "Met", "Breached"))</f>
        <v/>
      </c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 t="n"/>
      <c r="Y1823" s="8" t="n"/>
    </row>
    <row r="1824">
      <c r="A1824" s="8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9">
        <f>B1824+30</f>
        <v/>
      </c>
      <c r="N1824">
        <f>IF(L1824="", "", L1824-B1824)</f>
        <v/>
      </c>
      <c r="O1824">
        <f>IF(L1824="", "Pending", IF(N1824&lt;=30, "Met", "Breached"))</f>
        <v/>
      </c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 t="n"/>
      <c r="Y1824" s="8" t="n"/>
    </row>
    <row r="1825">
      <c r="A1825" s="8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9">
        <f>B1825+30</f>
        <v/>
      </c>
      <c r="N1825">
        <f>IF(L1825="", "", L1825-B1825)</f>
        <v/>
      </c>
      <c r="O1825">
        <f>IF(L1825="", "Pending", IF(N1825&lt;=30, "Met", "Breached"))</f>
        <v/>
      </c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 t="n"/>
      <c r="Y1825" s="8" t="n"/>
    </row>
    <row r="1826">
      <c r="A1826" s="8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9">
        <f>B1826+30</f>
        <v/>
      </c>
      <c r="N1826">
        <f>IF(L1826="", "", L1826-B1826)</f>
        <v/>
      </c>
      <c r="O1826">
        <f>IF(L1826="", "Pending", IF(N1826&lt;=30, "Met", "Breached"))</f>
        <v/>
      </c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 t="n"/>
      <c r="Y1826" s="8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9">
        <f>B1827+30</f>
        <v/>
      </c>
      <c r="N1827">
        <f>IF(L1827="", "", L1827-B1827)</f>
        <v/>
      </c>
      <c r="O1827">
        <f>IF(L1827="", "Pending", IF(N1827&lt;=30, "Met", "Breached"))</f>
        <v/>
      </c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 t="n"/>
      <c r="Y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9">
        <f>B1828+30</f>
        <v/>
      </c>
      <c r="N1828">
        <f>IF(L1828="", "", L1828-B1828)</f>
        <v/>
      </c>
      <c r="O1828">
        <f>IF(L1828="", "Pending", IF(N1828&lt;=30, "Met", "Breached"))</f>
        <v/>
      </c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 t="n"/>
      <c r="Y1828" s="8" t="n"/>
    </row>
    <row r="1829">
      <c r="A1829" s="8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9">
        <f>B1829+30</f>
        <v/>
      </c>
      <c r="N1829">
        <f>IF(L1829="", "", L1829-B1829)</f>
        <v/>
      </c>
      <c r="O1829">
        <f>IF(L1829="", "Pending", IF(N1829&lt;=30, "Met", "Breached"))</f>
        <v/>
      </c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 t="n"/>
      <c r="Y1829" s="8" t="n"/>
    </row>
    <row r="1830">
      <c r="A1830" s="8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9">
        <f>B1830+30</f>
        <v/>
      </c>
      <c r="N1830">
        <f>IF(L1830="", "", L1830-B1830)</f>
        <v/>
      </c>
      <c r="O1830">
        <f>IF(L1830="", "Pending", IF(N1830&lt;=30, "Met", "Breached"))</f>
        <v/>
      </c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 t="n"/>
      <c r="Y1830" s="8" t="n"/>
    </row>
    <row r="1831">
      <c r="A1831" s="8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9">
        <f>B1831+30</f>
        <v/>
      </c>
      <c r="N1831">
        <f>IF(L1831="", "", L1831-B1831)</f>
        <v/>
      </c>
      <c r="O1831">
        <f>IF(L1831="", "Pending", IF(N1831&lt;=30, "Met", "Breached"))</f>
        <v/>
      </c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 t="n"/>
      <c r="Y1831" s="8" t="n"/>
    </row>
    <row r="1832">
      <c r="A1832" s="8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9">
        <f>B1832+30</f>
        <v/>
      </c>
      <c r="N1832">
        <f>IF(L1832="", "", L1832-B1832)</f>
        <v/>
      </c>
      <c r="O1832">
        <f>IF(L1832="", "Pending", IF(N1832&lt;=30, "Met", "Breached"))</f>
        <v/>
      </c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 t="n"/>
      <c r="Y1832" s="8" t="n"/>
    </row>
    <row r="1833">
      <c r="A1833" s="8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9">
        <f>B1833+30</f>
        <v/>
      </c>
      <c r="N1833">
        <f>IF(L1833="", "", L1833-B1833)</f>
        <v/>
      </c>
      <c r="O1833">
        <f>IF(L1833="", "Pending", IF(N1833&lt;=30, "Met", "Breached"))</f>
        <v/>
      </c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 t="n"/>
      <c r="Y1833" s="8" t="n"/>
    </row>
    <row r="1834">
      <c r="A1834" s="8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9">
        <f>B1834+30</f>
        <v/>
      </c>
      <c r="N1834">
        <f>IF(L1834="", "", L1834-B1834)</f>
        <v/>
      </c>
      <c r="O1834">
        <f>IF(L1834="", "Pending", IF(N1834&lt;=30, "Met", "Breached"))</f>
        <v/>
      </c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 t="n"/>
      <c r="Y1834" s="8" t="n"/>
    </row>
    <row r="1835">
      <c r="A1835" s="8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9">
        <f>B1835+30</f>
        <v/>
      </c>
      <c r="N1835">
        <f>IF(L1835="", "", L1835-B1835)</f>
        <v/>
      </c>
      <c r="O1835">
        <f>IF(L1835="", "Pending", IF(N1835&lt;=30, "Met", "Breached"))</f>
        <v/>
      </c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 t="n"/>
      <c r="Y1835" s="8" t="n"/>
    </row>
    <row r="1836">
      <c r="A1836" s="8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9">
        <f>B1836+30</f>
        <v/>
      </c>
      <c r="N1836">
        <f>IF(L1836="", "", L1836-B1836)</f>
        <v/>
      </c>
      <c r="O1836">
        <f>IF(L1836="", "Pending", IF(N1836&lt;=30, "Met", "Breached"))</f>
        <v/>
      </c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 t="n"/>
      <c r="Y1836" s="8" t="n"/>
    </row>
    <row r="1837">
      <c r="A1837" s="8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9">
        <f>B1837+30</f>
        <v/>
      </c>
      <c r="N1837">
        <f>IF(L1837="", "", L1837-B1837)</f>
        <v/>
      </c>
      <c r="O1837">
        <f>IF(L1837="", "Pending", IF(N1837&lt;=30, "Met", "Breached"))</f>
        <v/>
      </c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 t="n"/>
      <c r="Y1837" s="8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9">
        <f>B1838+30</f>
        <v/>
      </c>
      <c r="N1838">
        <f>IF(L1838="", "", L1838-B1838)</f>
        <v/>
      </c>
      <c r="O1838">
        <f>IF(L1838="", "Pending", IF(N1838&lt;=30, "Met", "Breached"))</f>
        <v/>
      </c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 t="n"/>
      <c r="Y1838" s="8" t="n"/>
    </row>
    <row r="1839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9">
        <f>B1839+30</f>
        <v/>
      </c>
      <c r="N1839">
        <f>IF(L1839="", "", L1839-B1839)</f>
        <v/>
      </c>
      <c r="O1839">
        <f>IF(L1839="", "Pending", IF(N1839&lt;=30, "Met", "Breached"))</f>
        <v/>
      </c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 t="n"/>
      <c r="Y1839" s="8" t="n"/>
    </row>
    <row r="1840">
      <c r="A1840" s="8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9">
        <f>B1840+30</f>
        <v/>
      </c>
      <c r="N1840">
        <f>IF(L1840="", "", L1840-B1840)</f>
        <v/>
      </c>
      <c r="O1840">
        <f>IF(L1840="", "Pending", IF(N1840&lt;=30, "Met", "Breached"))</f>
        <v/>
      </c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 t="n"/>
      <c r="Y1840" s="8" t="n"/>
    </row>
    <row r="1841">
      <c r="A1841" s="8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9">
        <f>B1841+30</f>
        <v/>
      </c>
      <c r="N1841">
        <f>IF(L1841="", "", L1841-B1841)</f>
        <v/>
      </c>
      <c r="O1841">
        <f>IF(L1841="", "Pending", IF(N1841&lt;=30, "Met", "Breached"))</f>
        <v/>
      </c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 t="n"/>
      <c r="Y1841" s="8" t="n"/>
    </row>
    <row r="1842">
      <c r="A1842" s="8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9">
        <f>B1842+30</f>
        <v/>
      </c>
      <c r="N1842">
        <f>IF(L1842="", "", L1842-B1842)</f>
        <v/>
      </c>
      <c r="O1842">
        <f>IF(L1842="", "Pending", IF(N1842&lt;=30, "Met", "Breached"))</f>
        <v/>
      </c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 t="n"/>
      <c r="Y1842" s="8" t="n"/>
    </row>
    <row r="1843">
      <c r="A1843" s="8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9">
        <f>B1843+30</f>
        <v/>
      </c>
      <c r="N1843">
        <f>IF(L1843="", "", L1843-B1843)</f>
        <v/>
      </c>
      <c r="O1843">
        <f>IF(L1843="", "Pending", IF(N1843&lt;=30, "Met", "Breached"))</f>
        <v/>
      </c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 t="n"/>
      <c r="Y1843" s="8" t="n"/>
    </row>
    <row r="1844">
      <c r="A1844" s="8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9">
        <f>B1844+30</f>
        <v/>
      </c>
      <c r="N1844">
        <f>IF(L1844="", "", L1844-B1844)</f>
        <v/>
      </c>
      <c r="O1844">
        <f>IF(L1844="", "Pending", IF(N1844&lt;=30, "Met", "Breached"))</f>
        <v/>
      </c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 t="n"/>
      <c r="Y1844" s="8" t="n"/>
    </row>
    <row r="1845">
      <c r="A1845" s="8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9">
        <f>B1845+30</f>
        <v/>
      </c>
      <c r="N1845">
        <f>IF(L1845="", "", L1845-B1845)</f>
        <v/>
      </c>
      <c r="O1845">
        <f>IF(L1845="", "Pending", IF(N1845&lt;=30, "Met", "Breached"))</f>
        <v/>
      </c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 t="n"/>
      <c r="Y1845" s="8" t="n"/>
    </row>
    <row r="1846">
      <c r="A1846" s="8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9">
        <f>B1846+30</f>
        <v/>
      </c>
      <c r="N1846">
        <f>IF(L1846="", "", L1846-B1846)</f>
        <v/>
      </c>
      <c r="O1846">
        <f>IF(L1846="", "Pending", IF(N1846&lt;=30, "Met", "Breached"))</f>
        <v/>
      </c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 t="n"/>
      <c r="Y1846" s="8" t="n"/>
    </row>
    <row r="1847">
      <c r="A1847" s="8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9">
        <f>B1847+30</f>
        <v/>
      </c>
      <c r="N1847">
        <f>IF(L1847="", "", L1847-B1847)</f>
        <v/>
      </c>
      <c r="O1847">
        <f>IF(L1847="", "Pending", IF(N1847&lt;=30, "Met", "Breached"))</f>
        <v/>
      </c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 t="n"/>
      <c r="Y1847" s="8" t="n"/>
    </row>
    <row r="1848">
      <c r="A1848" s="8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9">
        <f>B1848+30</f>
        <v/>
      </c>
      <c r="N1848">
        <f>IF(L1848="", "", L1848-B1848)</f>
        <v/>
      </c>
      <c r="O1848">
        <f>IF(L1848="", "Pending", IF(N1848&lt;=30, "Met", "Breached"))</f>
        <v/>
      </c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 t="n"/>
      <c r="Y1848" s="8" t="n"/>
    </row>
    <row r="1849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9">
        <f>B1849+30</f>
        <v/>
      </c>
      <c r="N1849">
        <f>IF(L1849="", "", L1849-B1849)</f>
        <v/>
      </c>
      <c r="O1849">
        <f>IF(L1849="", "Pending", IF(N1849&lt;=30, "Met", "Breached"))</f>
        <v/>
      </c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 t="n"/>
      <c r="Y1849" s="8" t="n"/>
    </row>
    <row r="1850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9">
        <f>B1850+30</f>
        <v/>
      </c>
      <c r="N1850">
        <f>IF(L1850="", "", L1850-B1850)</f>
        <v/>
      </c>
      <c r="O1850">
        <f>IF(L1850="", "Pending", IF(N1850&lt;=30, "Met", "Breached"))</f>
        <v/>
      </c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 t="n"/>
      <c r="Y1850" s="8" t="n"/>
    </row>
    <row r="1851">
      <c r="A1851" s="8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9">
        <f>B1851+30</f>
        <v/>
      </c>
      <c r="N1851">
        <f>IF(L1851="", "", L1851-B1851)</f>
        <v/>
      </c>
      <c r="O1851">
        <f>IF(L1851="", "Pending", IF(N1851&lt;=30, "Met", "Breached"))</f>
        <v/>
      </c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 t="n"/>
      <c r="Y1851" s="8" t="n"/>
    </row>
    <row r="1852">
      <c r="A1852" s="8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9">
        <f>B1852+30</f>
        <v/>
      </c>
      <c r="N1852">
        <f>IF(L1852="", "", L1852-B1852)</f>
        <v/>
      </c>
      <c r="O1852">
        <f>IF(L1852="", "Pending", IF(N1852&lt;=30, "Met", "Breached"))</f>
        <v/>
      </c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 t="n"/>
      <c r="Y1852" s="8" t="n"/>
    </row>
    <row r="1853">
      <c r="A1853" s="8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9">
        <f>B1853+30</f>
        <v/>
      </c>
      <c r="N1853">
        <f>IF(L1853="", "", L1853-B1853)</f>
        <v/>
      </c>
      <c r="O1853">
        <f>IF(L1853="", "Pending", IF(N1853&lt;=30, "Met", "Breached"))</f>
        <v/>
      </c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 t="n"/>
      <c r="Y1853" s="8" t="n"/>
    </row>
    <row r="1854">
      <c r="A1854" s="8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9">
        <f>B1854+30</f>
        <v/>
      </c>
      <c r="N1854">
        <f>IF(L1854="", "", L1854-B1854)</f>
        <v/>
      </c>
      <c r="O1854">
        <f>IF(L1854="", "Pending", IF(N1854&lt;=30, "Met", "Breached"))</f>
        <v/>
      </c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 t="n"/>
      <c r="Y1854" s="8" t="n"/>
    </row>
    <row r="1855">
      <c r="A1855" s="8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9">
        <f>B1855+30</f>
        <v/>
      </c>
      <c r="N1855">
        <f>IF(L1855="", "", L1855-B1855)</f>
        <v/>
      </c>
      <c r="O1855">
        <f>IF(L1855="", "Pending", IF(N1855&lt;=30, "Met", "Breached"))</f>
        <v/>
      </c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 t="n"/>
      <c r="Y1855" s="8" t="n"/>
    </row>
    <row r="1856">
      <c r="A1856" s="8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9">
        <f>B1856+30</f>
        <v/>
      </c>
      <c r="N1856">
        <f>IF(L1856="", "", L1856-B1856)</f>
        <v/>
      </c>
      <c r="O1856">
        <f>IF(L1856="", "Pending", IF(N1856&lt;=30, "Met", "Breached"))</f>
        <v/>
      </c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 t="n"/>
      <c r="Y1856" s="8" t="n"/>
    </row>
    <row r="1857">
      <c r="A1857" s="8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9">
        <f>B1857+30</f>
        <v/>
      </c>
      <c r="N1857">
        <f>IF(L1857="", "", L1857-B1857)</f>
        <v/>
      </c>
      <c r="O1857">
        <f>IF(L1857="", "Pending", IF(N1857&lt;=30, "Met", "Breached"))</f>
        <v/>
      </c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 t="n"/>
      <c r="Y1857" s="8" t="n"/>
    </row>
    <row r="1858">
      <c r="A1858" s="8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9">
        <f>B1858+30</f>
        <v/>
      </c>
      <c r="N1858">
        <f>IF(L1858="", "", L1858-B1858)</f>
        <v/>
      </c>
      <c r="O1858">
        <f>IF(L1858="", "Pending", IF(N1858&lt;=30, "Met", "Breached"))</f>
        <v/>
      </c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 t="n"/>
      <c r="Y1858" s="8" t="n"/>
    </row>
    <row r="1859">
      <c r="A1859" s="8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9">
        <f>B1859+30</f>
        <v/>
      </c>
      <c r="N1859">
        <f>IF(L1859="", "", L1859-B1859)</f>
        <v/>
      </c>
      <c r="O1859">
        <f>IF(L1859="", "Pending", IF(N1859&lt;=30, "Met", "Breached"))</f>
        <v/>
      </c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 t="n"/>
      <c r="Y1859" s="8" t="n"/>
    </row>
    <row r="1860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9">
        <f>B1860+30</f>
        <v/>
      </c>
      <c r="N1860">
        <f>IF(L1860="", "", L1860-B1860)</f>
        <v/>
      </c>
      <c r="O1860">
        <f>IF(L1860="", "Pending", IF(N1860&lt;=30, "Met", "Breached"))</f>
        <v/>
      </c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 t="n"/>
      <c r="Y1860" s="8" t="n"/>
    </row>
    <row r="1861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9">
        <f>B1861+30</f>
        <v/>
      </c>
      <c r="N1861">
        <f>IF(L1861="", "", L1861-B1861)</f>
        <v/>
      </c>
      <c r="O1861">
        <f>IF(L1861="", "Pending", IF(N1861&lt;=30, "Met", "Breached"))</f>
        <v/>
      </c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 t="n"/>
      <c r="Y1861" s="8" t="n"/>
    </row>
    <row r="1862">
      <c r="A1862" s="8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9">
        <f>B1862+30</f>
        <v/>
      </c>
      <c r="N1862">
        <f>IF(L1862="", "", L1862-B1862)</f>
        <v/>
      </c>
      <c r="O1862">
        <f>IF(L1862="", "Pending", IF(N1862&lt;=30, "Met", "Breached"))</f>
        <v/>
      </c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 t="n"/>
      <c r="Y1862" s="8" t="n"/>
    </row>
    <row r="1863">
      <c r="A1863" s="8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9">
        <f>B1863+30</f>
        <v/>
      </c>
      <c r="N1863">
        <f>IF(L1863="", "", L1863-B1863)</f>
        <v/>
      </c>
      <c r="O1863">
        <f>IF(L1863="", "Pending", IF(N1863&lt;=30, "Met", "Breached"))</f>
        <v/>
      </c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 t="n"/>
      <c r="Y1863" s="8" t="n"/>
    </row>
    <row r="1864">
      <c r="A1864" s="8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9">
        <f>B1864+30</f>
        <v/>
      </c>
      <c r="N1864">
        <f>IF(L1864="", "", L1864-B1864)</f>
        <v/>
      </c>
      <c r="O1864">
        <f>IF(L1864="", "Pending", IF(N1864&lt;=30, "Met", "Breached"))</f>
        <v/>
      </c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 t="n"/>
      <c r="Y1864" s="8" t="n"/>
    </row>
    <row r="1865">
      <c r="A1865" s="8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9">
        <f>B1865+30</f>
        <v/>
      </c>
      <c r="N1865">
        <f>IF(L1865="", "", L1865-B1865)</f>
        <v/>
      </c>
      <c r="O1865">
        <f>IF(L1865="", "Pending", IF(N1865&lt;=30, "Met", "Breached"))</f>
        <v/>
      </c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 t="n"/>
      <c r="Y1865" s="8" t="n"/>
    </row>
    <row r="1866">
      <c r="A1866" s="8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9">
        <f>B1866+30</f>
        <v/>
      </c>
      <c r="N1866">
        <f>IF(L1866="", "", L1866-B1866)</f>
        <v/>
      </c>
      <c r="O1866">
        <f>IF(L1866="", "Pending", IF(N1866&lt;=30, "Met", "Breached"))</f>
        <v/>
      </c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 t="n"/>
      <c r="Y1866" s="8" t="n"/>
    </row>
    <row r="1867">
      <c r="A1867" s="8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9">
        <f>B1867+30</f>
        <v/>
      </c>
      <c r="N1867">
        <f>IF(L1867="", "", L1867-B1867)</f>
        <v/>
      </c>
      <c r="O1867">
        <f>IF(L1867="", "Pending", IF(N1867&lt;=30, "Met", "Breached"))</f>
        <v/>
      </c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 t="n"/>
      <c r="Y1867" s="8" t="n"/>
    </row>
    <row r="1868">
      <c r="A1868" s="8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9">
        <f>B1868+30</f>
        <v/>
      </c>
      <c r="N1868">
        <f>IF(L1868="", "", L1868-B1868)</f>
        <v/>
      </c>
      <c r="O1868">
        <f>IF(L1868="", "Pending", IF(N1868&lt;=30, "Met", "Breached"))</f>
        <v/>
      </c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 t="n"/>
      <c r="Y1868" s="8" t="n"/>
    </row>
    <row r="1869">
      <c r="A1869" s="8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9">
        <f>B1869+30</f>
        <v/>
      </c>
      <c r="N1869">
        <f>IF(L1869="", "", L1869-B1869)</f>
        <v/>
      </c>
      <c r="O1869">
        <f>IF(L1869="", "Pending", IF(N1869&lt;=30, "Met", "Breached"))</f>
        <v/>
      </c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 t="n"/>
      <c r="Y1869" s="8" t="n"/>
    </row>
    <row r="1870">
      <c r="A1870" s="8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9">
        <f>B1870+30</f>
        <v/>
      </c>
      <c r="N1870">
        <f>IF(L1870="", "", L1870-B1870)</f>
        <v/>
      </c>
      <c r="O1870">
        <f>IF(L1870="", "Pending", IF(N1870&lt;=30, "Met", "Breached"))</f>
        <v/>
      </c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 t="n"/>
      <c r="Y1870" s="8" t="n"/>
    </row>
    <row r="1871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9">
        <f>B1871+30</f>
        <v/>
      </c>
      <c r="N1871">
        <f>IF(L1871="", "", L1871-B1871)</f>
        <v/>
      </c>
      <c r="O1871">
        <f>IF(L1871="", "Pending", IF(N1871&lt;=30, "Met", "Breached"))</f>
        <v/>
      </c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 t="n"/>
      <c r="Y1871" s="8" t="n"/>
    </row>
    <row r="1872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9">
        <f>B1872+30</f>
        <v/>
      </c>
      <c r="N1872">
        <f>IF(L1872="", "", L1872-B1872)</f>
        <v/>
      </c>
      <c r="O1872">
        <f>IF(L1872="", "Pending", IF(N1872&lt;=30, "Met", "Breached"))</f>
        <v/>
      </c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 t="n"/>
      <c r="Y1872" s="8" t="n"/>
    </row>
    <row r="1873">
      <c r="A1873" s="8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9">
        <f>B1873+30</f>
        <v/>
      </c>
      <c r="N1873">
        <f>IF(L1873="", "", L1873-B1873)</f>
        <v/>
      </c>
      <c r="O1873">
        <f>IF(L1873="", "Pending", IF(N1873&lt;=30, "Met", "Breached"))</f>
        <v/>
      </c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 t="n"/>
      <c r="Y1873" s="8" t="n"/>
    </row>
    <row r="1874">
      <c r="A1874" s="8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9">
        <f>B1874+30</f>
        <v/>
      </c>
      <c r="N1874">
        <f>IF(L1874="", "", L1874-B1874)</f>
        <v/>
      </c>
      <c r="O1874">
        <f>IF(L1874="", "Pending", IF(N1874&lt;=30, "Met", "Breached"))</f>
        <v/>
      </c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 t="n"/>
      <c r="Y1874" s="8" t="n"/>
    </row>
    <row r="1875">
      <c r="A1875" s="8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9">
        <f>B1875+30</f>
        <v/>
      </c>
      <c r="N1875">
        <f>IF(L1875="", "", L1875-B1875)</f>
        <v/>
      </c>
      <c r="O1875">
        <f>IF(L1875="", "Pending", IF(N1875&lt;=30, "Met", "Breached"))</f>
        <v/>
      </c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 t="n"/>
      <c r="Y1875" s="8" t="n"/>
    </row>
    <row r="1876">
      <c r="A1876" s="8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9">
        <f>B1876+30</f>
        <v/>
      </c>
      <c r="N1876">
        <f>IF(L1876="", "", L1876-B1876)</f>
        <v/>
      </c>
      <c r="O1876">
        <f>IF(L1876="", "Pending", IF(N1876&lt;=30, "Met", "Breached"))</f>
        <v/>
      </c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 t="n"/>
      <c r="Y1876" s="8" t="n"/>
    </row>
    <row r="1877">
      <c r="A1877" s="8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9">
        <f>B1877+30</f>
        <v/>
      </c>
      <c r="N1877">
        <f>IF(L1877="", "", L1877-B1877)</f>
        <v/>
      </c>
      <c r="O1877">
        <f>IF(L1877="", "Pending", IF(N1877&lt;=30, "Met", "Breached"))</f>
        <v/>
      </c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 t="n"/>
      <c r="Y1877" s="8" t="n"/>
    </row>
    <row r="1878">
      <c r="A1878" s="8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9">
        <f>B1878+30</f>
        <v/>
      </c>
      <c r="N1878">
        <f>IF(L1878="", "", L1878-B1878)</f>
        <v/>
      </c>
      <c r="O1878">
        <f>IF(L1878="", "Pending", IF(N1878&lt;=30, "Met", "Breached"))</f>
        <v/>
      </c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 t="n"/>
      <c r="Y1878" s="8" t="n"/>
    </row>
    <row r="1879">
      <c r="A1879" s="8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9">
        <f>B1879+30</f>
        <v/>
      </c>
      <c r="N1879">
        <f>IF(L1879="", "", L1879-B1879)</f>
        <v/>
      </c>
      <c r="O1879">
        <f>IF(L1879="", "Pending", IF(N1879&lt;=30, "Met", "Breached"))</f>
        <v/>
      </c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 t="n"/>
      <c r="Y1879" s="8" t="n"/>
    </row>
    <row r="1880">
      <c r="A1880" s="8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9">
        <f>B1880+30</f>
        <v/>
      </c>
      <c r="N1880">
        <f>IF(L1880="", "", L1880-B1880)</f>
        <v/>
      </c>
      <c r="O1880">
        <f>IF(L1880="", "Pending", IF(N1880&lt;=30, "Met", "Breached"))</f>
        <v/>
      </c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 t="n"/>
      <c r="Y1880" s="8" t="n"/>
    </row>
    <row r="1881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9">
        <f>B1881+30</f>
        <v/>
      </c>
      <c r="N1881">
        <f>IF(L1881="", "", L1881-B1881)</f>
        <v/>
      </c>
      <c r="O1881">
        <f>IF(L1881="", "Pending", IF(N1881&lt;=30, "Met", "Breached"))</f>
        <v/>
      </c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 t="n"/>
      <c r="Y1881" s="8" t="n"/>
    </row>
    <row r="1882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9">
        <f>B1882+30</f>
        <v/>
      </c>
      <c r="N1882">
        <f>IF(L1882="", "", L1882-B1882)</f>
        <v/>
      </c>
      <c r="O1882">
        <f>IF(L1882="", "Pending", IF(N1882&lt;=30, "Met", "Breached"))</f>
        <v/>
      </c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 t="n"/>
      <c r="Y1882" s="8" t="n"/>
    </row>
    <row r="1883">
      <c r="A1883" s="8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9">
        <f>B1883+30</f>
        <v/>
      </c>
      <c r="N1883">
        <f>IF(L1883="", "", L1883-B1883)</f>
        <v/>
      </c>
      <c r="O1883">
        <f>IF(L1883="", "Pending", IF(N1883&lt;=30, "Met", "Breached"))</f>
        <v/>
      </c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 t="n"/>
      <c r="Y1883" s="8" t="n"/>
    </row>
    <row r="1884">
      <c r="A1884" s="8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9">
        <f>B1884+30</f>
        <v/>
      </c>
      <c r="N1884">
        <f>IF(L1884="", "", L1884-B1884)</f>
        <v/>
      </c>
      <c r="O1884">
        <f>IF(L1884="", "Pending", IF(N1884&lt;=30, "Met", "Breached"))</f>
        <v/>
      </c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 t="n"/>
      <c r="Y1884" s="8" t="n"/>
    </row>
    <row r="1885">
      <c r="A1885" s="8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9">
        <f>B1885+30</f>
        <v/>
      </c>
      <c r="N1885">
        <f>IF(L1885="", "", L1885-B1885)</f>
        <v/>
      </c>
      <c r="O1885">
        <f>IF(L1885="", "Pending", IF(N1885&lt;=30, "Met", "Breached"))</f>
        <v/>
      </c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 t="n"/>
      <c r="Y1885" s="8" t="n"/>
    </row>
    <row r="1886">
      <c r="A1886" s="8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9">
        <f>B1886+30</f>
        <v/>
      </c>
      <c r="N1886">
        <f>IF(L1886="", "", L1886-B1886)</f>
        <v/>
      </c>
      <c r="O1886">
        <f>IF(L1886="", "Pending", IF(N1886&lt;=30, "Met", "Breached"))</f>
        <v/>
      </c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 t="n"/>
      <c r="Y1886" s="8" t="n"/>
    </row>
    <row r="1887">
      <c r="A1887" s="8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9">
        <f>B1887+30</f>
        <v/>
      </c>
      <c r="N1887">
        <f>IF(L1887="", "", L1887-B1887)</f>
        <v/>
      </c>
      <c r="O1887">
        <f>IF(L1887="", "Pending", IF(N1887&lt;=30, "Met", "Breached"))</f>
        <v/>
      </c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 t="n"/>
      <c r="Y1887" s="8" t="n"/>
    </row>
    <row r="1888">
      <c r="A1888" s="8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9">
        <f>B1888+30</f>
        <v/>
      </c>
      <c r="N1888">
        <f>IF(L1888="", "", L1888-B1888)</f>
        <v/>
      </c>
      <c r="O1888">
        <f>IF(L1888="", "Pending", IF(N1888&lt;=30, "Met", "Breached"))</f>
        <v/>
      </c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 t="n"/>
      <c r="Y1888" s="8" t="n"/>
    </row>
    <row r="1889">
      <c r="A1889" s="8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9">
        <f>B1889+30</f>
        <v/>
      </c>
      <c r="N1889">
        <f>IF(L1889="", "", L1889-B1889)</f>
        <v/>
      </c>
      <c r="O1889">
        <f>IF(L1889="", "Pending", IF(N1889&lt;=30, "Met", "Breached"))</f>
        <v/>
      </c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 t="n"/>
      <c r="Y1889" s="8" t="n"/>
    </row>
    <row r="1890">
      <c r="A1890" s="8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9">
        <f>B1890+30</f>
        <v/>
      </c>
      <c r="N1890">
        <f>IF(L1890="", "", L1890-B1890)</f>
        <v/>
      </c>
      <c r="O1890">
        <f>IF(L1890="", "Pending", IF(N1890&lt;=30, "Met", "Breached"))</f>
        <v/>
      </c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 t="n"/>
      <c r="Y1890" s="8" t="n"/>
    </row>
    <row r="1891">
      <c r="A1891" s="8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9">
        <f>B1891+30</f>
        <v/>
      </c>
      <c r="N1891">
        <f>IF(L1891="", "", L1891-B1891)</f>
        <v/>
      </c>
      <c r="O1891">
        <f>IF(L1891="", "Pending", IF(N1891&lt;=30, "Met", "Breached"))</f>
        <v/>
      </c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 t="n"/>
      <c r="Y1891" s="8" t="n"/>
    </row>
    <row r="1892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9">
        <f>B1892+30</f>
        <v/>
      </c>
      <c r="N1892">
        <f>IF(L1892="", "", L1892-B1892)</f>
        <v/>
      </c>
      <c r="O1892">
        <f>IF(L1892="", "Pending", IF(N1892&lt;=30, "Met", "Breached"))</f>
        <v/>
      </c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 t="n"/>
      <c r="Y1892" s="8" t="n"/>
    </row>
    <row r="1893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9">
        <f>B1893+30</f>
        <v/>
      </c>
      <c r="N1893">
        <f>IF(L1893="", "", L1893-B1893)</f>
        <v/>
      </c>
      <c r="O1893">
        <f>IF(L1893="", "Pending", IF(N1893&lt;=30, "Met", "Breached"))</f>
        <v/>
      </c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 t="n"/>
      <c r="Y1893" s="8" t="n"/>
    </row>
    <row r="1894">
      <c r="A1894" s="8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9">
        <f>B1894+30</f>
        <v/>
      </c>
      <c r="N1894">
        <f>IF(L1894="", "", L1894-B1894)</f>
        <v/>
      </c>
      <c r="O1894">
        <f>IF(L1894="", "Pending", IF(N1894&lt;=30, "Met", "Breached"))</f>
        <v/>
      </c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 t="n"/>
      <c r="Y1894" s="8" t="n"/>
    </row>
    <row r="1895">
      <c r="A1895" s="8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9">
        <f>B1895+30</f>
        <v/>
      </c>
      <c r="N1895">
        <f>IF(L1895="", "", L1895-B1895)</f>
        <v/>
      </c>
      <c r="O1895">
        <f>IF(L1895="", "Pending", IF(N1895&lt;=30, "Met", "Breached"))</f>
        <v/>
      </c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 t="n"/>
      <c r="Y1895" s="8" t="n"/>
    </row>
    <row r="1896">
      <c r="A1896" s="8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9">
        <f>B1896+30</f>
        <v/>
      </c>
      <c r="N1896">
        <f>IF(L1896="", "", L1896-B1896)</f>
        <v/>
      </c>
      <c r="O1896">
        <f>IF(L1896="", "Pending", IF(N1896&lt;=30, "Met", "Breached"))</f>
        <v/>
      </c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 t="n"/>
      <c r="Y1896" s="8" t="n"/>
    </row>
    <row r="1897">
      <c r="A1897" s="8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9">
        <f>B1897+30</f>
        <v/>
      </c>
      <c r="N1897">
        <f>IF(L1897="", "", L1897-B1897)</f>
        <v/>
      </c>
      <c r="O1897">
        <f>IF(L1897="", "Pending", IF(N1897&lt;=30, "Met", "Breached"))</f>
        <v/>
      </c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 t="n"/>
      <c r="Y1897" s="8" t="n"/>
    </row>
    <row r="1898">
      <c r="A1898" s="8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9">
        <f>B1898+30</f>
        <v/>
      </c>
      <c r="N1898">
        <f>IF(L1898="", "", L1898-B1898)</f>
        <v/>
      </c>
      <c r="O1898">
        <f>IF(L1898="", "Pending", IF(N1898&lt;=30, "Met", "Breached"))</f>
        <v/>
      </c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 t="n"/>
      <c r="Y1898" s="8" t="n"/>
    </row>
    <row r="1899">
      <c r="A1899" s="8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9">
        <f>B1899+30</f>
        <v/>
      </c>
      <c r="N1899">
        <f>IF(L1899="", "", L1899-B1899)</f>
        <v/>
      </c>
      <c r="O1899">
        <f>IF(L1899="", "Pending", IF(N1899&lt;=30, "Met", "Breached"))</f>
        <v/>
      </c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 t="n"/>
      <c r="Y1899" s="8" t="n"/>
    </row>
    <row r="1900">
      <c r="A1900" s="8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9">
        <f>B1900+30</f>
        <v/>
      </c>
      <c r="N1900">
        <f>IF(L1900="", "", L1900-B1900)</f>
        <v/>
      </c>
      <c r="O1900">
        <f>IF(L1900="", "Pending", IF(N1900&lt;=30, "Met", "Breached"))</f>
        <v/>
      </c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 t="n"/>
      <c r="Y1900" s="8" t="n"/>
    </row>
    <row r="1901">
      <c r="A1901" s="8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9">
        <f>B1901+30</f>
        <v/>
      </c>
      <c r="N1901">
        <f>IF(L1901="", "", L1901-B1901)</f>
        <v/>
      </c>
      <c r="O1901">
        <f>IF(L1901="", "Pending", IF(N1901&lt;=30, "Met", "Breached"))</f>
        <v/>
      </c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 t="n"/>
      <c r="Y1901" s="8" t="n"/>
    </row>
    <row r="1902">
      <c r="A1902" s="8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9">
        <f>B1902+30</f>
        <v/>
      </c>
      <c r="N1902">
        <f>IF(L1902="", "", L1902-B1902)</f>
        <v/>
      </c>
      <c r="O1902">
        <f>IF(L1902="", "Pending", IF(N1902&lt;=30, "Met", "Breached"))</f>
        <v/>
      </c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 t="n"/>
      <c r="Y1902" s="8" t="n"/>
    </row>
    <row r="1903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9">
        <f>B1903+30</f>
        <v/>
      </c>
      <c r="N1903">
        <f>IF(L1903="", "", L1903-B1903)</f>
        <v/>
      </c>
      <c r="O1903">
        <f>IF(L1903="", "Pending", IF(N1903&lt;=30, "Met", "Breached"))</f>
        <v/>
      </c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 t="n"/>
      <c r="Y1903" s="8" t="n"/>
    </row>
    <row r="1904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9">
        <f>B1904+30</f>
        <v/>
      </c>
      <c r="N1904">
        <f>IF(L1904="", "", L1904-B1904)</f>
        <v/>
      </c>
      <c r="O1904">
        <f>IF(L1904="", "Pending", IF(N1904&lt;=30, "Met", "Breached"))</f>
        <v/>
      </c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 t="n"/>
      <c r="Y1904" s="8" t="n"/>
    </row>
    <row r="1905">
      <c r="A1905" s="8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9">
        <f>B1905+30</f>
        <v/>
      </c>
      <c r="N1905">
        <f>IF(L1905="", "", L1905-B1905)</f>
        <v/>
      </c>
      <c r="O1905">
        <f>IF(L1905="", "Pending", IF(N1905&lt;=30, "Met", "Breached"))</f>
        <v/>
      </c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 t="n"/>
      <c r="Y1905" s="8" t="n"/>
    </row>
    <row r="1906">
      <c r="A1906" s="8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9">
        <f>B1906+30</f>
        <v/>
      </c>
      <c r="N1906">
        <f>IF(L1906="", "", L1906-B1906)</f>
        <v/>
      </c>
      <c r="O1906">
        <f>IF(L1906="", "Pending", IF(N1906&lt;=30, "Met", "Breached"))</f>
        <v/>
      </c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 t="n"/>
      <c r="Y1906" s="8" t="n"/>
    </row>
    <row r="1907">
      <c r="A1907" s="8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9">
        <f>B1907+30</f>
        <v/>
      </c>
      <c r="N1907">
        <f>IF(L1907="", "", L1907-B1907)</f>
        <v/>
      </c>
      <c r="O1907">
        <f>IF(L1907="", "Pending", IF(N1907&lt;=30, "Met", "Breached"))</f>
        <v/>
      </c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 t="n"/>
      <c r="Y1907" s="8" t="n"/>
    </row>
    <row r="1908">
      <c r="A1908" s="8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9">
        <f>B1908+30</f>
        <v/>
      </c>
      <c r="N1908">
        <f>IF(L1908="", "", L1908-B1908)</f>
        <v/>
      </c>
      <c r="O1908">
        <f>IF(L1908="", "Pending", IF(N1908&lt;=30, "Met", "Breached"))</f>
        <v/>
      </c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 t="n"/>
      <c r="Y1908" s="8" t="n"/>
    </row>
    <row r="1909">
      <c r="A1909" s="8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9">
        <f>B1909+30</f>
        <v/>
      </c>
      <c r="N1909">
        <f>IF(L1909="", "", L1909-B1909)</f>
        <v/>
      </c>
      <c r="O1909">
        <f>IF(L1909="", "Pending", IF(N1909&lt;=30, "Met", "Breached"))</f>
        <v/>
      </c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 t="n"/>
      <c r="Y1909" s="8" t="n"/>
    </row>
    <row r="1910">
      <c r="A1910" s="8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9">
        <f>B1910+30</f>
        <v/>
      </c>
      <c r="N1910">
        <f>IF(L1910="", "", L1910-B1910)</f>
        <v/>
      </c>
      <c r="O1910">
        <f>IF(L1910="", "Pending", IF(N1910&lt;=30, "Met", "Breached"))</f>
        <v/>
      </c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 t="n"/>
      <c r="Y1910" s="8" t="n"/>
    </row>
    <row r="1911">
      <c r="A1911" s="8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9">
        <f>B1911+30</f>
        <v/>
      </c>
      <c r="N1911">
        <f>IF(L1911="", "", L1911-B1911)</f>
        <v/>
      </c>
      <c r="O1911">
        <f>IF(L1911="", "Pending", IF(N1911&lt;=30, "Met", "Breached"))</f>
        <v/>
      </c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 t="n"/>
      <c r="Y1911" s="8" t="n"/>
    </row>
    <row r="1912">
      <c r="A1912" s="8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9">
        <f>B1912+30</f>
        <v/>
      </c>
      <c r="N1912">
        <f>IF(L1912="", "", L1912-B1912)</f>
        <v/>
      </c>
      <c r="O1912">
        <f>IF(L1912="", "Pending", IF(N1912&lt;=30, "Met", "Breached"))</f>
        <v/>
      </c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 t="n"/>
      <c r="Y1912" s="8" t="n"/>
    </row>
    <row r="1913">
      <c r="A1913" s="8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9">
        <f>B1913+30</f>
        <v/>
      </c>
      <c r="N1913">
        <f>IF(L1913="", "", L1913-B1913)</f>
        <v/>
      </c>
      <c r="O1913">
        <f>IF(L1913="", "Pending", IF(N1913&lt;=30, "Met", "Breached"))</f>
        <v/>
      </c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 t="n"/>
      <c r="Y1913" s="8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9">
        <f>B1914+30</f>
        <v/>
      </c>
      <c r="N1914">
        <f>IF(L1914="", "", L1914-B1914)</f>
        <v/>
      </c>
      <c r="O1914">
        <f>IF(L1914="", "Pending", IF(N1914&lt;=30, "Met", "Breached"))</f>
        <v/>
      </c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 t="n"/>
      <c r="Y1914" s="8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9">
        <f>B1915+30</f>
        <v/>
      </c>
      <c r="N1915">
        <f>IF(L1915="", "", L1915-B1915)</f>
        <v/>
      </c>
      <c r="O1915">
        <f>IF(L1915="", "Pending", IF(N1915&lt;=30, "Met", "Breached"))</f>
        <v/>
      </c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 t="n"/>
      <c r="Y1915" s="8" t="n"/>
    </row>
    <row r="1916">
      <c r="A1916" s="8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9">
        <f>B1916+30</f>
        <v/>
      </c>
      <c r="N1916">
        <f>IF(L1916="", "", L1916-B1916)</f>
        <v/>
      </c>
      <c r="O1916">
        <f>IF(L1916="", "Pending", IF(N1916&lt;=30, "Met", "Breached"))</f>
        <v/>
      </c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 t="n"/>
      <c r="Y1916" s="8" t="n"/>
    </row>
    <row r="1917">
      <c r="A1917" s="8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9">
        <f>B1917+30</f>
        <v/>
      </c>
      <c r="N1917">
        <f>IF(L1917="", "", L1917-B1917)</f>
        <v/>
      </c>
      <c r="O1917">
        <f>IF(L1917="", "Pending", IF(N1917&lt;=30, "Met", "Breached"))</f>
        <v/>
      </c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 t="n"/>
      <c r="Y1917" s="8" t="n"/>
    </row>
    <row r="1918">
      <c r="A1918" s="8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9">
        <f>B1918+30</f>
        <v/>
      </c>
      <c r="N1918">
        <f>IF(L1918="", "", L1918-B1918)</f>
        <v/>
      </c>
      <c r="O1918">
        <f>IF(L1918="", "Pending", IF(N1918&lt;=30, "Met", "Breached"))</f>
        <v/>
      </c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 t="n"/>
      <c r="Y1918" s="8" t="n"/>
    </row>
    <row r="1919">
      <c r="A1919" s="8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9">
        <f>B1919+30</f>
        <v/>
      </c>
      <c r="N1919">
        <f>IF(L1919="", "", L1919-B1919)</f>
        <v/>
      </c>
      <c r="O1919">
        <f>IF(L1919="", "Pending", IF(N1919&lt;=30, "Met", "Breached"))</f>
        <v/>
      </c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 t="n"/>
      <c r="Y1919" s="8" t="n"/>
    </row>
    <row r="1920">
      <c r="A1920" s="8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9">
        <f>B1920+30</f>
        <v/>
      </c>
      <c r="N1920">
        <f>IF(L1920="", "", L1920-B1920)</f>
        <v/>
      </c>
      <c r="O1920">
        <f>IF(L1920="", "Pending", IF(N1920&lt;=30, "Met", "Breached"))</f>
        <v/>
      </c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 t="n"/>
      <c r="Y1920" s="8" t="n"/>
    </row>
    <row r="1921">
      <c r="A1921" s="8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9">
        <f>B1921+30</f>
        <v/>
      </c>
      <c r="N1921">
        <f>IF(L1921="", "", L1921-B1921)</f>
        <v/>
      </c>
      <c r="O1921">
        <f>IF(L1921="", "Pending", IF(N1921&lt;=30, "Met", "Breached"))</f>
        <v/>
      </c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 t="n"/>
      <c r="Y1921" s="8" t="n"/>
    </row>
    <row r="1922">
      <c r="A1922" s="8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9">
        <f>B1922+30</f>
        <v/>
      </c>
      <c r="N1922">
        <f>IF(L1922="", "", L1922-B1922)</f>
        <v/>
      </c>
      <c r="O1922">
        <f>IF(L1922="", "Pending", IF(N1922&lt;=30, "Met", "Breached"))</f>
        <v/>
      </c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 t="n"/>
      <c r="Y1922" s="8" t="n"/>
    </row>
    <row r="1923">
      <c r="A1923" s="8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9">
        <f>B1923+30</f>
        <v/>
      </c>
      <c r="N1923">
        <f>IF(L1923="", "", L1923-B1923)</f>
        <v/>
      </c>
      <c r="O1923">
        <f>IF(L1923="", "Pending", IF(N1923&lt;=30, "Met", "Breached"))</f>
        <v/>
      </c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 t="n"/>
      <c r="Y1923" s="8" t="n"/>
    </row>
    <row r="1924">
      <c r="A1924" s="8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9">
        <f>B1924+30</f>
        <v/>
      </c>
      <c r="N1924">
        <f>IF(L1924="", "", L1924-B1924)</f>
        <v/>
      </c>
      <c r="O1924">
        <f>IF(L1924="", "Pending", IF(N1924&lt;=30, "Met", "Breached"))</f>
        <v/>
      </c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 t="n"/>
      <c r="Y1924" s="8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9">
        <f>B1925+30</f>
        <v/>
      </c>
      <c r="N1925">
        <f>IF(L1925="", "", L1925-B1925)</f>
        <v/>
      </c>
      <c r="O1925">
        <f>IF(L1925="", "Pending", IF(N1925&lt;=30, "Met", "Breached"))</f>
        <v/>
      </c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 t="n"/>
      <c r="Y1925" s="8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9">
        <f>B1926+30</f>
        <v/>
      </c>
      <c r="N1926">
        <f>IF(L1926="", "", L1926-B1926)</f>
        <v/>
      </c>
      <c r="O1926">
        <f>IF(L1926="", "Pending", IF(N1926&lt;=30, "Met", "Breached"))</f>
        <v/>
      </c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 t="n"/>
      <c r="Y1926" s="8" t="n"/>
    </row>
    <row r="1927">
      <c r="A1927" s="8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9">
        <f>B1927+30</f>
        <v/>
      </c>
      <c r="N1927">
        <f>IF(L1927="", "", L1927-B1927)</f>
        <v/>
      </c>
      <c r="O1927">
        <f>IF(L1927="", "Pending", IF(N1927&lt;=30, "Met", "Breached"))</f>
        <v/>
      </c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 t="n"/>
      <c r="Y1927" s="8" t="n"/>
    </row>
    <row r="1928">
      <c r="A1928" s="8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9">
        <f>B1928+30</f>
        <v/>
      </c>
      <c r="N1928">
        <f>IF(L1928="", "", L1928-B1928)</f>
        <v/>
      </c>
      <c r="O1928">
        <f>IF(L1928="", "Pending", IF(N1928&lt;=30, "Met", "Breached"))</f>
        <v/>
      </c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 t="n"/>
      <c r="Y1928" s="8" t="n"/>
    </row>
    <row r="1929">
      <c r="A1929" s="8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9">
        <f>B1929+30</f>
        <v/>
      </c>
      <c r="N1929">
        <f>IF(L1929="", "", L1929-B1929)</f>
        <v/>
      </c>
      <c r="O1929">
        <f>IF(L1929="", "Pending", IF(N1929&lt;=30, "Met", "Breached"))</f>
        <v/>
      </c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 t="n"/>
      <c r="Y1929" s="8" t="n"/>
    </row>
    <row r="1930">
      <c r="A1930" s="8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9">
        <f>B1930+30</f>
        <v/>
      </c>
      <c r="N1930">
        <f>IF(L1930="", "", L1930-B1930)</f>
        <v/>
      </c>
      <c r="O1930">
        <f>IF(L1930="", "Pending", IF(N1930&lt;=30, "Met", "Breached"))</f>
        <v/>
      </c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 t="n"/>
      <c r="Y1930" s="8" t="n"/>
    </row>
    <row r="1931">
      <c r="A1931" s="8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9">
        <f>B1931+30</f>
        <v/>
      </c>
      <c r="N1931">
        <f>IF(L1931="", "", L1931-B1931)</f>
        <v/>
      </c>
      <c r="O1931">
        <f>IF(L1931="", "Pending", IF(N1931&lt;=30, "Met", "Breached"))</f>
        <v/>
      </c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 t="n"/>
      <c r="Y1931" s="8" t="n"/>
    </row>
    <row r="1932">
      <c r="A1932" s="8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9">
        <f>B1932+30</f>
        <v/>
      </c>
      <c r="N1932">
        <f>IF(L1932="", "", L1932-B1932)</f>
        <v/>
      </c>
      <c r="O1932">
        <f>IF(L1932="", "Pending", IF(N1932&lt;=30, "Met", "Breached"))</f>
        <v/>
      </c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 t="n"/>
      <c r="Y1932" s="8" t="n"/>
    </row>
    <row r="1933">
      <c r="A1933" s="8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9">
        <f>B1933+30</f>
        <v/>
      </c>
      <c r="N1933">
        <f>IF(L1933="", "", L1933-B1933)</f>
        <v/>
      </c>
      <c r="O1933">
        <f>IF(L1933="", "Pending", IF(N1933&lt;=30, "Met", "Breached"))</f>
        <v/>
      </c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 t="n"/>
      <c r="Y1933" s="8" t="n"/>
    </row>
    <row r="1934">
      <c r="A1934" s="8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9">
        <f>B1934+30</f>
        <v/>
      </c>
      <c r="N1934">
        <f>IF(L1934="", "", L1934-B1934)</f>
        <v/>
      </c>
      <c r="O1934">
        <f>IF(L1934="", "Pending", IF(N1934&lt;=30, "Met", "Breached"))</f>
        <v/>
      </c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 t="n"/>
      <c r="Y1934" s="8" t="n"/>
    </row>
    <row r="1935">
      <c r="A1935" s="8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9">
        <f>B1935+30</f>
        <v/>
      </c>
      <c r="N1935">
        <f>IF(L1935="", "", L1935-B1935)</f>
        <v/>
      </c>
      <c r="O1935">
        <f>IF(L1935="", "Pending", IF(N1935&lt;=30, "Met", "Breached"))</f>
        <v/>
      </c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 t="n"/>
      <c r="Y1935" s="8" t="n"/>
    </row>
    <row r="1936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9">
        <f>B1936+30</f>
        <v/>
      </c>
      <c r="N1936">
        <f>IF(L1936="", "", L1936-B1936)</f>
        <v/>
      </c>
      <c r="O1936">
        <f>IF(L1936="", "Pending", IF(N1936&lt;=30, "Met", "Breached"))</f>
        <v/>
      </c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 t="n"/>
      <c r="Y1936" s="8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9">
        <f>B1937+30</f>
        <v/>
      </c>
      <c r="N1937">
        <f>IF(L1937="", "", L1937-B1937)</f>
        <v/>
      </c>
      <c r="O1937">
        <f>IF(L1937="", "Pending", IF(N1937&lt;=30, "Met", "Breached"))</f>
        <v/>
      </c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 t="n"/>
      <c r="Y1937" s="8" t="n"/>
    </row>
    <row r="1938">
      <c r="A1938" s="8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9">
        <f>B1938+30</f>
        <v/>
      </c>
      <c r="N1938">
        <f>IF(L1938="", "", L1938-B1938)</f>
        <v/>
      </c>
      <c r="O1938">
        <f>IF(L1938="", "Pending", IF(N1938&lt;=30, "Met", "Breached"))</f>
        <v/>
      </c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 t="n"/>
      <c r="Y1938" s="8" t="n"/>
    </row>
    <row r="1939">
      <c r="A1939" s="8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9">
        <f>B1939+30</f>
        <v/>
      </c>
      <c r="N1939">
        <f>IF(L1939="", "", L1939-B1939)</f>
        <v/>
      </c>
      <c r="O1939">
        <f>IF(L1939="", "Pending", IF(N1939&lt;=30, "Met", "Breached"))</f>
        <v/>
      </c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</row>
    <row r="1940">
      <c r="A1940" s="8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9">
        <f>B1940+30</f>
        <v/>
      </c>
      <c r="N1940">
        <f>IF(L1940="", "", L1940-B1940)</f>
        <v/>
      </c>
      <c r="O1940">
        <f>IF(L1940="", "Pending", IF(N1940&lt;=30, "Met", "Breached"))</f>
        <v/>
      </c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 t="n"/>
      <c r="Y1940" s="8" t="n"/>
    </row>
    <row r="1941">
      <c r="A1941" s="8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9">
        <f>B1941+30</f>
        <v/>
      </c>
      <c r="N1941">
        <f>IF(L1941="", "", L1941-B1941)</f>
        <v/>
      </c>
      <c r="O1941">
        <f>IF(L1941="", "Pending", IF(N1941&lt;=30, "Met", "Breached"))</f>
        <v/>
      </c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 t="n"/>
      <c r="Y1941" s="8" t="n"/>
    </row>
    <row r="1942">
      <c r="A1942" s="8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9">
        <f>B1942+30</f>
        <v/>
      </c>
      <c r="N1942">
        <f>IF(L1942="", "", L1942-B1942)</f>
        <v/>
      </c>
      <c r="O1942">
        <f>IF(L1942="", "Pending", IF(N1942&lt;=30, "Met", "Breached"))</f>
        <v/>
      </c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 t="n"/>
      <c r="Y1942" s="8" t="n"/>
    </row>
    <row r="1943">
      <c r="A1943" s="8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9">
        <f>B1943+30</f>
        <v/>
      </c>
      <c r="N1943">
        <f>IF(L1943="", "", L1943-B1943)</f>
        <v/>
      </c>
      <c r="O1943">
        <f>IF(L1943="", "Pending", IF(N1943&lt;=30, "Met", "Breached"))</f>
        <v/>
      </c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 t="n"/>
      <c r="Y1943" s="8" t="n"/>
    </row>
    <row r="1944">
      <c r="A1944" s="8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9">
        <f>B1944+30</f>
        <v/>
      </c>
      <c r="N1944">
        <f>IF(L1944="", "", L1944-B1944)</f>
        <v/>
      </c>
      <c r="O1944">
        <f>IF(L1944="", "Pending", IF(N1944&lt;=30, "Met", "Breached"))</f>
        <v/>
      </c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 t="n"/>
      <c r="Y1944" s="8" t="n"/>
    </row>
    <row r="1945">
      <c r="A1945" s="8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9">
        <f>B1945+30</f>
        <v/>
      </c>
      <c r="N1945">
        <f>IF(L1945="", "", L1945-B1945)</f>
        <v/>
      </c>
      <c r="O1945">
        <f>IF(L1945="", "Pending", IF(N1945&lt;=30, "Met", "Breached"))</f>
        <v/>
      </c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 t="n"/>
      <c r="Y1945" s="8" t="n"/>
    </row>
    <row r="1946">
      <c r="A1946" s="8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9">
        <f>B1946+30</f>
        <v/>
      </c>
      <c r="N1946">
        <f>IF(L1946="", "", L1946-B1946)</f>
        <v/>
      </c>
      <c r="O1946">
        <f>IF(L1946="", "Pending", IF(N1946&lt;=30, "Met", "Breached"))</f>
        <v/>
      </c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 t="n"/>
      <c r="Y1946" s="8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9">
        <f>B1947+30</f>
        <v/>
      </c>
      <c r="N1947">
        <f>IF(L1947="", "", L1947-B1947)</f>
        <v/>
      </c>
      <c r="O1947">
        <f>IF(L1947="", "Pending", IF(N1947&lt;=30, "Met", "Breached"))</f>
        <v/>
      </c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 t="n"/>
      <c r="Y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9">
        <f>B1948+30</f>
        <v/>
      </c>
      <c r="N1948">
        <f>IF(L1948="", "", L1948-B1948)</f>
        <v/>
      </c>
      <c r="O1948">
        <f>IF(L1948="", "Pending", IF(N1948&lt;=30, "Met", "Breached"))</f>
        <v/>
      </c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 t="n"/>
      <c r="Y1948" s="8" t="n"/>
    </row>
    <row r="1949">
      <c r="A1949" s="8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9">
        <f>B1949+30</f>
        <v/>
      </c>
      <c r="N1949">
        <f>IF(L1949="", "", L1949-B1949)</f>
        <v/>
      </c>
      <c r="O1949">
        <f>IF(L1949="", "Pending", IF(N1949&lt;=30, "Met", "Breached"))</f>
        <v/>
      </c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 t="n"/>
      <c r="Y1949" s="8" t="n"/>
    </row>
    <row r="1950">
      <c r="A1950" s="8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9">
        <f>B1950+30</f>
        <v/>
      </c>
      <c r="N1950">
        <f>IF(L1950="", "", L1950-B1950)</f>
        <v/>
      </c>
      <c r="O1950">
        <f>IF(L1950="", "Pending", IF(N1950&lt;=30, "Met", "Breached"))</f>
        <v/>
      </c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 t="n"/>
      <c r="Y1950" s="8" t="n"/>
    </row>
    <row r="1951">
      <c r="A1951" s="8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9">
        <f>B1951+30</f>
        <v/>
      </c>
      <c r="N1951">
        <f>IF(L1951="", "", L1951-B1951)</f>
        <v/>
      </c>
      <c r="O1951">
        <f>IF(L1951="", "Pending", IF(N1951&lt;=30, "Met", "Breached"))</f>
        <v/>
      </c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 t="n"/>
      <c r="Y1951" s="8" t="n"/>
    </row>
    <row r="1952">
      <c r="A1952" s="8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9">
        <f>B1952+30</f>
        <v/>
      </c>
      <c r="N1952">
        <f>IF(L1952="", "", L1952-B1952)</f>
        <v/>
      </c>
      <c r="O1952">
        <f>IF(L1952="", "Pending", IF(N1952&lt;=30, "Met", "Breached"))</f>
        <v/>
      </c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 t="n"/>
      <c r="Y1952" s="8" t="n"/>
    </row>
    <row r="1953">
      <c r="A1953" s="8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9">
        <f>B1953+30</f>
        <v/>
      </c>
      <c r="N1953">
        <f>IF(L1953="", "", L1953-B1953)</f>
        <v/>
      </c>
      <c r="O1953">
        <f>IF(L1953="", "Pending", IF(N1953&lt;=30, "Met", "Breached"))</f>
        <v/>
      </c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 t="n"/>
      <c r="Y1953" s="8" t="n"/>
    </row>
    <row r="1954">
      <c r="A1954" s="8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9">
        <f>B1954+30</f>
        <v/>
      </c>
      <c r="N1954">
        <f>IF(L1954="", "", L1954-B1954)</f>
        <v/>
      </c>
      <c r="O1954">
        <f>IF(L1954="", "Pending", IF(N1954&lt;=30, "Met", "Breached"))</f>
        <v/>
      </c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 t="n"/>
      <c r="Y1954" s="8" t="n"/>
    </row>
    <row r="1955">
      <c r="A1955" s="8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9">
        <f>B1955+30</f>
        <v/>
      </c>
      <c r="N1955">
        <f>IF(L1955="", "", L1955-B1955)</f>
        <v/>
      </c>
      <c r="O1955">
        <f>IF(L1955="", "Pending", IF(N1955&lt;=30, "Met", "Breached"))</f>
        <v/>
      </c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 t="n"/>
      <c r="Y1955" s="8" t="n"/>
    </row>
    <row r="1956">
      <c r="A1956" s="8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9">
        <f>B1956+30</f>
        <v/>
      </c>
      <c r="N1956">
        <f>IF(L1956="", "", L1956-B1956)</f>
        <v/>
      </c>
      <c r="O1956">
        <f>IF(L1956="", "Pending", IF(N1956&lt;=30, "Met", "Breached"))</f>
        <v/>
      </c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 t="n"/>
      <c r="Y1956" s="8" t="n"/>
    </row>
    <row r="1957">
      <c r="A1957" s="8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9">
        <f>B1957+30</f>
        <v/>
      </c>
      <c r="N1957">
        <f>IF(L1957="", "", L1957-B1957)</f>
        <v/>
      </c>
      <c r="O1957">
        <f>IF(L1957="", "Pending", IF(N1957&lt;=30, "Met", "Breached"))</f>
        <v/>
      </c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 t="n"/>
      <c r="Y1957" s="8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9">
        <f>B1958+30</f>
        <v/>
      </c>
      <c r="N1958">
        <f>IF(L1958="", "", L1958-B1958)</f>
        <v/>
      </c>
      <c r="O1958">
        <f>IF(L1958="", "Pending", IF(N1958&lt;=30, "Met", "Breached"))</f>
        <v/>
      </c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 t="n"/>
      <c r="Y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9">
        <f>B1959+30</f>
        <v/>
      </c>
      <c r="N1959">
        <f>IF(L1959="", "", L1959-B1959)</f>
        <v/>
      </c>
      <c r="O1959">
        <f>IF(L1959="", "Pending", IF(N1959&lt;=30, "Met", "Breached"))</f>
        <v/>
      </c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 t="n"/>
      <c r="Y1959" s="8" t="n"/>
    </row>
    <row r="1960">
      <c r="A1960" s="8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9">
        <f>B1960+30</f>
        <v/>
      </c>
      <c r="N1960">
        <f>IF(L1960="", "", L1960-B1960)</f>
        <v/>
      </c>
      <c r="O1960">
        <f>IF(L1960="", "Pending", IF(N1960&lt;=30, "Met", "Breached"))</f>
        <v/>
      </c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 t="n"/>
      <c r="Y1960" s="8" t="n"/>
    </row>
    <row r="1961">
      <c r="A1961" s="8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9">
        <f>B1961+30</f>
        <v/>
      </c>
      <c r="N1961">
        <f>IF(L1961="", "", L1961-B1961)</f>
        <v/>
      </c>
      <c r="O1961">
        <f>IF(L1961="", "Pending", IF(N1961&lt;=30, "Met", "Breached"))</f>
        <v/>
      </c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 t="n"/>
      <c r="Y1961" s="8" t="n"/>
    </row>
    <row r="1962">
      <c r="A1962" s="8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9">
        <f>B1962+30</f>
        <v/>
      </c>
      <c r="N1962">
        <f>IF(L1962="", "", L1962-B1962)</f>
        <v/>
      </c>
      <c r="O1962">
        <f>IF(L1962="", "Pending", IF(N1962&lt;=30, "Met", "Breached"))</f>
        <v/>
      </c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 t="n"/>
      <c r="Y1962" s="8" t="n"/>
    </row>
    <row r="1963">
      <c r="A1963" s="8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9">
        <f>B1963+30</f>
        <v/>
      </c>
      <c r="N1963">
        <f>IF(L1963="", "", L1963-B1963)</f>
        <v/>
      </c>
      <c r="O1963">
        <f>IF(L1963="", "Pending", IF(N1963&lt;=30, "Met", "Breached"))</f>
        <v/>
      </c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 t="n"/>
      <c r="Y1963" s="8" t="n"/>
    </row>
    <row r="1964">
      <c r="A1964" s="8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9">
        <f>B1964+30</f>
        <v/>
      </c>
      <c r="N1964">
        <f>IF(L1964="", "", L1964-B1964)</f>
        <v/>
      </c>
      <c r="O1964">
        <f>IF(L1964="", "Pending", IF(N1964&lt;=30, "Met", "Breached"))</f>
        <v/>
      </c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 t="n"/>
      <c r="Y1964" s="8" t="n"/>
    </row>
    <row r="1965">
      <c r="A1965" s="8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9">
        <f>B1965+30</f>
        <v/>
      </c>
      <c r="N1965">
        <f>IF(L1965="", "", L1965-B1965)</f>
        <v/>
      </c>
      <c r="O1965">
        <f>IF(L1965="", "Pending", IF(N1965&lt;=30, "Met", "Breached"))</f>
        <v/>
      </c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 t="n"/>
      <c r="Y1965" s="8" t="n"/>
    </row>
    <row r="1966">
      <c r="A1966" s="8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9">
        <f>B1966+30</f>
        <v/>
      </c>
      <c r="N1966">
        <f>IF(L1966="", "", L1966-B1966)</f>
        <v/>
      </c>
      <c r="O1966">
        <f>IF(L1966="", "Pending", IF(N1966&lt;=30, "Met", "Breached"))</f>
        <v/>
      </c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 t="n"/>
      <c r="Y1966" s="8" t="n"/>
    </row>
    <row r="1967">
      <c r="A1967" s="8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9">
        <f>B1967+30</f>
        <v/>
      </c>
      <c r="N1967">
        <f>IF(L1967="", "", L1967-B1967)</f>
        <v/>
      </c>
      <c r="O1967">
        <f>IF(L1967="", "Pending", IF(N1967&lt;=30, "Met", "Breached"))</f>
        <v/>
      </c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 t="n"/>
      <c r="Y1967" s="8" t="n"/>
    </row>
    <row r="1968">
      <c r="A1968" s="8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9">
        <f>B1968+30</f>
        <v/>
      </c>
      <c r="N1968">
        <f>IF(L1968="", "", L1968-B1968)</f>
        <v/>
      </c>
      <c r="O1968">
        <f>IF(L1968="", "Pending", IF(N1968&lt;=30, "Met", "Breached"))</f>
        <v/>
      </c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 t="n"/>
      <c r="Y1968" s="8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9">
        <f>B1969+30</f>
        <v/>
      </c>
      <c r="N1969">
        <f>IF(L1969="", "", L1969-B1969)</f>
        <v/>
      </c>
      <c r="O1969">
        <f>IF(L1969="", "Pending", IF(N1969&lt;=30, "Met", "Breached"))</f>
        <v/>
      </c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/>
      <c r="Y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9">
        <f>B1970+30</f>
        <v/>
      </c>
      <c r="N1970">
        <f>IF(L1970="", "", L1970-B1970)</f>
        <v/>
      </c>
      <c r="O1970">
        <f>IF(L1970="", "Pending", IF(N1970&lt;=30, "Met", "Breached"))</f>
        <v/>
      </c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 t="n"/>
      <c r="Y1970" s="8" t="n"/>
    </row>
    <row r="1971">
      <c r="A1971" s="8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9">
        <f>B1971+30</f>
        <v/>
      </c>
      <c r="N1971">
        <f>IF(L1971="", "", L1971-B1971)</f>
        <v/>
      </c>
      <c r="O1971">
        <f>IF(L1971="", "Pending", IF(N1971&lt;=30, "Met", "Breached"))</f>
        <v/>
      </c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 t="n"/>
      <c r="Y1971" s="8" t="n"/>
    </row>
    <row r="1972">
      <c r="A1972" s="8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9">
        <f>B1972+30</f>
        <v/>
      </c>
      <c r="N1972">
        <f>IF(L1972="", "", L1972-B1972)</f>
        <v/>
      </c>
      <c r="O1972">
        <f>IF(L1972="", "Pending", IF(N1972&lt;=30, "Met", "Breached"))</f>
        <v/>
      </c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 t="n"/>
      <c r="Y1972" s="8" t="n"/>
    </row>
    <row r="1973">
      <c r="A1973" s="8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9">
        <f>B1973+30</f>
        <v/>
      </c>
      <c r="N1973">
        <f>IF(L1973="", "", L1973-B1973)</f>
        <v/>
      </c>
      <c r="O1973">
        <f>IF(L1973="", "Pending", IF(N1973&lt;=30, "Met", "Breached"))</f>
        <v/>
      </c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 t="n"/>
      <c r="Y1973" s="8" t="n"/>
    </row>
    <row r="1974">
      <c r="A1974" s="8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9">
        <f>B1974+30</f>
        <v/>
      </c>
      <c r="N1974">
        <f>IF(L1974="", "", L1974-B1974)</f>
        <v/>
      </c>
      <c r="O1974">
        <f>IF(L1974="", "Pending", IF(N1974&lt;=30, "Met", "Breached"))</f>
        <v/>
      </c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 t="n"/>
      <c r="Y1974" s="8" t="n"/>
    </row>
    <row r="1975">
      <c r="A1975" s="8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9">
        <f>B1975+30</f>
        <v/>
      </c>
      <c r="N1975">
        <f>IF(L1975="", "", L1975-B1975)</f>
        <v/>
      </c>
      <c r="O1975">
        <f>IF(L1975="", "Pending", IF(N1975&lt;=30, "Met", "Breached"))</f>
        <v/>
      </c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 t="n"/>
      <c r="Y1975" s="8" t="n"/>
    </row>
    <row r="1976">
      <c r="A1976" s="8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9">
        <f>B1976+30</f>
        <v/>
      </c>
      <c r="N1976">
        <f>IF(L1976="", "", L1976-B1976)</f>
        <v/>
      </c>
      <c r="O1976">
        <f>IF(L1976="", "Pending", IF(N1976&lt;=30, "Met", "Breached"))</f>
        <v/>
      </c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 t="n"/>
      <c r="Y1976" s="8" t="n"/>
    </row>
    <row r="1977">
      <c r="A1977" s="8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9">
        <f>B1977+30</f>
        <v/>
      </c>
      <c r="N1977">
        <f>IF(L1977="", "", L1977-B1977)</f>
        <v/>
      </c>
      <c r="O1977">
        <f>IF(L1977="", "Pending", IF(N1977&lt;=30, "Met", "Breached"))</f>
        <v/>
      </c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 t="n"/>
      <c r="Y1977" s="8" t="n"/>
    </row>
    <row r="1978">
      <c r="A1978" s="8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9">
        <f>B1978+30</f>
        <v/>
      </c>
      <c r="N1978">
        <f>IF(L1978="", "", L1978-B1978)</f>
        <v/>
      </c>
      <c r="O1978">
        <f>IF(L1978="", "Pending", IF(N1978&lt;=30, "Met", "Breached"))</f>
        <v/>
      </c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 t="n"/>
      <c r="Y1978" s="8" t="n"/>
    </row>
    <row r="1979">
      <c r="A1979" s="8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9">
        <f>B1979+30</f>
        <v/>
      </c>
      <c r="N1979">
        <f>IF(L1979="", "", L1979-B1979)</f>
        <v/>
      </c>
      <c r="O1979">
        <f>IF(L1979="", "Pending", IF(N1979&lt;=30, "Met", "Breached"))</f>
        <v/>
      </c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 t="n"/>
      <c r="Y1979" s="8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9">
        <f>B1980+30</f>
        <v/>
      </c>
      <c r="N1980">
        <f>IF(L1980="", "", L1980-B1980)</f>
        <v/>
      </c>
      <c r="O1980">
        <f>IF(L1980="", "Pending", IF(N1980&lt;=30, "Met", "Breached"))</f>
        <v/>
      </c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 t="n"/>
      <c r="Y1980" s="8" t="n"/>
    </row>
    <row r="1981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9">
        <f>B1981+30</f>
        <v/>
      </c>
      <c r="N1981">
        <f>IF(L1981="", "", L1981-B1981)</f>
        <v/>
      </c>
      <c r="O1981">
        <f>IF(L1981="", "Pending", IF(N1981&lt;=30, "Met", "Breached"))</f>
        <v/>
      </c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 t="n"/>
      <c r="Y1981" s="8" t="n"/>
    </row>
    <row r="1982">
      <c r="A1982" s="8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9">
        <f>B1982+30</f>
        <v/>
      </c>
      <c r="N1982">
        <f>IF(L1982="", "", L1982-B1982)</f>
        <v/>
      </c>
      <c r="O1982">
        <f>IF(L1982="", "Pending", IF(N1982&lt;=30, "Met", "Breached"))</f>
        <v/>
      </c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 t="n"/>
      <c r="Y1982" s="8" t="n"/>
    </row>
    <row r="1983">
      <c r="A1983" s="8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9">
        <f>B1983+30</f>
        <v/>
      </c>
      <c r="N1983">
        <f>IF(L1983="", "", L1983-B1983)</f>
        <v/>
      </c>
      <c r="O1983">
        <f>IF(L1983="", "Pending", IF(N1983&lt;=30, "Met", "Breached"))</f>
        <v/>
      </c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 t="n"/>
      <c r="Y1983" s="8" t="n"/>
    </row>
    <row r="1984">
      <c r="A1984" s="8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9">
        <f>B1984+30</f>
        <v/>
      </c>
      <c r="N1984">
        <f>IF(L1984="", "", L1984-B1984)</f>
        <v/>
      </c>
      <c r="O1984">
        <f>IF(L1984="", "Pending", IF(N1984&lt;=30, "Met", "Breached"))</f>
        <v/>
      </c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 t="n"/>
      <c r="Y1984" s="8" t="n"/>
    </row>
    <row r="1985">
      <c r="A1985" s="8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9">
        <f>B1985+30</f>
        <v/>
      </c>
      <c r="N1985">
        <f>IF(L1985="", "", L1985-B1985)</f>
        <v/>
      </c>
      <c r="O1985">
        <f>IF(L1985="", "Pending", IF(N1985&lt;=30, "Met", "Breached"))</f>
        <v/>
      </c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 t="n"/>
      <c r="Y1985" s="8" t="n"/>
    </row>
    <row r="1986">
      <c r="A1986" s="8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9">
        <f>B1986+30</f>
        <v/>
      </c>
      <c r="N1986">
        <f>IF(L1986="", "", L1986-B1986)</f>
        <v/>
      </c>
      <c r="O1986">
        <f>IF(L1986="", "Pending", IF(N1986&lt;=30, "Met", "Breached"))</f>
        <v/>
      </c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 t="n"/>
      <c r="Y1986" s="8" t="n"/>
    </row>
    <row r="1987">
      <c r="A1987" s="8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9">
        <f>B1987+30</f>
        <v/>
      </c>
      <c r="N1987">
        <f>IF(L1987="", "", L1987-B1987)</f>
        <v/>
      </c>
      <c r="O1987">
        <f>IF(L1987="", "Pending", IF(N1987&lt;=30, "Met", "Breached"))</f>
        <v/>
      </c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 t="n"/>
      <c r="Y1987" s="8" t="n"/>
    </row>
    <row r="1988">
      <c r="A1988" s="8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9">
        <f>B1988+30</f>
        <v/>
      </c>
      <c r="N1988">
        <f>IF(L1988="", "", L1988-B1988)</f>
        <v/>
      </c>
      <c r="O1988">
        <f>IF(L1988="", "Pending", IF(N1988&lt;=30, "Met", "Breached"))</f>
        <v/>
      </c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 t="n"/>
      <c r="Y1988" s="8" t="n"/>
    </row>
    <row r="1989">
      <c r="A1989" s="8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9">
        <f>B1989+30</f>
        <v/>
      </c>
      <c r="N1989">
        <f>IF(L1989="", "", L1989-B1989)</f>
        <v/>
      </c>
      <c r="O1989">
        <f>IF(L1989="", "Pending", IF(N1989&lt;=30, "Met", "Breached"))</f>
        <v/>
      </c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 t="n"/>
      <c r="Y1989" s="8" t="n"/>
    </row>
    <row r="1990">
      <c r="A1990" s="8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9">
        <f>B1990+30</f>
        <v/>
      </c>
      <c r="N1990">
        <f>IF(L1990="", "", L1990-B1990)</f>
        <v/>
      </c>
      <c r="O1990">
        <f>IF(L1990="", "Pending", IF(N1990&lt;=30, "Met", "Breached"))</f>
        <v/>
      </c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 t="n"/>
      <c r="Y1990" s="8" t="n"/>
    </row>
    <row r="1991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9">
        <f>B1991+30</f>
        <v/>
      </c>
      <c r="N1991">
        <f>IF(L1991="", "", L1991-B1991)</f>
        <v/>
      </c>
      <c r="O1991">
        <f>IF(L1991="", "Pending", IF(N1991&lt;=30, "Met", "Breached"))</f>
        <v/>
      </c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 t="n"/>
      <c r="Y1991" s="8" t="n"/>
    </row>
    <row r="1992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9">
        <f>B1992+30</f>
        <v/>
      </c>
      <c r="N1992">
        <f>IF(L1992="", "", L1992-B1992)</f>
        <v/>
      </c>
      <c r="O1992">
        <f>IF(L1992="", "Pending", IF(N1992&lt;=30, "Met", "Breached"))</f>
        <v/>
      </c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 t="n"/>
      <c r="Y1992" s="8" t="n"/>
    </row>
    <row r="1993">
      <c r="A1993" s="8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9">
        <f>B1993+30</f>
        <v/>
      </c>
      <c r="N1993">
        <f>IF(L1993="", "", L1993-B1993)</f>
        <v/>
      </c>
      <c r="O1993">
        <f>IF(L1993="", "Pending", IF(N1993&lt;=30, "Met", "Breached"))</f>
        <v/>
      </c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 t="n"/>
      <c r="Y1993" s="8" t="n"/>
    </row>
    <row r="1994">
      <c r="A1994" s="8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9">
        <f>B1994+30</f>
        <v/>
      </c>
      <c r="N1994">
        <f>IF(L1994="", "", L1994-B1994)</f>
        <v/>
      </c>
      <c r="O1994">
        <f>IF(L1994="", "Pending", IF(N1994&lt;=30, "Met", "Breached"))</f>
        <v/>
      </c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 t="n"/>
      <c r="Y1994" s="8" t="n"/>
    </row>
    <row r="1995">
      <c r="A1995" s="8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9">
        <f>B1995+30</f>
        <v/>
      </c>
      <c r="N1995">
        <f>IF(L1995="", "", L1995-B1995)</f>
        <v/>
      </c>
      <c r="O1995">
        <f>IF(L1995="", "Pending", IF(N1995&lt;=30, "Met", "Breached"))</f>
        <v/>
      </c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</row>
    <row r="1996">
      <c r="A1996" s="8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9">
        <f>B1996+30</f>
        <v/>
      </c>
      <c r="N1996">
        <f>IF(L1996="", "", L1996-B1996)</f>
        <v/>
      </c>
      <c r="O1996">
        <f>IF(L1996="", "Pending", IF(N1996&lt;=30, "Met", "Breached"))</f>
        <v/>
      </c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</row>
    <row r="1997">
      <c r="A1997" s="8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9">
        <f>B1997+30</f>
        <v/>
      </c>
      <c r="N1997">
        <f>IF(L1997="", "", L1997-B1997)</f>
        <v/>
      </c>
      <c r="O1997">
        <f>IF(L1997="", "Pending", IF(N1997&lt;=30, "Met", "Breached"))</f>
        <v/>
      </c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</row>
    <row r="1998">
      <c r="A1998" s="8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9">
        <f>B1998+30</f>
        <v/>
      </c>
      <c r="N1998">
        <f>IF(L1998="", "", L1998-B1998)</f>
        <v/>
      </c>
      <c r="O1998">
        <f>IF(L1998="", "Pending", IF(N1998&lt;=30, "Met", "Breached"))</f>
        <v/>
      </c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</row>
    <row r="1999">
      <c r="A1999" s="8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9">
        <f>B1999+30</f>
        <v/>
      </c>
      <c r="N1999">
        <f>IF(L1999="", "", L1999-B1999)</f>
        <v/>
      </c>
      <c r="O1999">
        <f>IF(L1999="", "Pending", IF(N1999&lt;=30, "Met", "Breached"))</f>
        <v/>
      </c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</row>
    <row r="2000">
      <c r="A2000" s="8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9">
        <f>B2000+30</f>
        <v/>
      </c>
      <c r="N2000">
        <f>IF(L2000="", "", L2000-B2000)</f>
        <v/>
      </c>
      <c r="O2000">
        <f>IF(L2000="", "Pending", IF(N2000&lt;=30, "Met", "Breached"))</f>
        <v/>
      </c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</row>
    <row r="2001">
      <c r="A2001" s="8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9">
        <f>B2001+30</f>
        <v/>
      </c>
      <c r="N2001">
        <f>IF(L2001="", "", L2001-B2001)</f>
        <v/>
      </c>
      <c r="O2001">
        <f>IF(L2001="", "Pending", IF(N2001&lt;=30, "Met", "Breached"))</f>
        <v/>
      </c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 t="n"/>
      <c r="Y2001" s="8" t="n"/>
    </row>
    <row r="2002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9">
        <f>B2002+30</f>
        <v/>
      </c>
      <c r="N2002">
        <f>IF(L2002="", "", L2002-B2002)</f>
        <v/>
      </c>
      <c r="O2002">
        <f>IF(L2002="", "Pending", IF(N2002&lt;=30, "Met", "Breached"))</f>
        <v/>
      </c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 t="n"/>
      <c r="Y2002" s="8" t="n"/>
    </row>
    <row r="2003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9">
        <f>B2003+30</f>
        <v/>
      </c>
      <c r="N2003">
        <f>IF(L2003="", "", L2003-B2003)</f>
        <v/>
      </c>
      <c r="O2003">
        <f>IF(L2003="", "Pending", IF(N2003&lt;=30, "Met", "Breached"))</f>
        <v/>
      </c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 t="n"/>
      <c r="Y2003" s="8" t="n"/>
    </row>
    <row r="2004">
      <c r="A2004" s="8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9">
        <f>B2004+30</f>
        <v/>
      </c>
      <c r="N2004">
        <f>IF(L2004="", "", L2004-B2004)</f>
        <v/>
      </c>
      <c r="O2004">
        <f>IF(L2004="", "Pending", IF(N2004&lt;=30, "Met", "Breached"))</f>
        <v/>
      </c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 t="n"/>
      <c r="Y2004" s="8" t="n"/>
    </row>
    <row r="2005">
      <c r="A2005" s="8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9">
        <f>B2005+30</f>
        <v/>
      </c>
      <c r="N2005">
        <f>IF(L2005="", "", L2005-B2005)</f>
        <v/>
      </c>
      <c r="O2005">
        <f>IF(L2005="", "Pending", IF(N2005&lt;=30, "Met", "Breached"))</f>
        <v/>
      </c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 t="n"/>
      <c r="Y2005" s="8" t="n"/>
    </row>
    <row r="2006">
      <c r="A2006" s="8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9">
        <f>B2006+30</f>
        <v/>
      </c>
      <c r="N2006">
        <f>IF(L2006="", "", L2006-B2006)</f>
        <v/>
      </c>
      <c r="O2006">
        <f>IF(L2006="", "Pending", IF(N2006&lt;=30, "Met", "Breached"))</f>
        <v/>
      </c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 t="n"/>
      <c r="Y2006" s="8" t="n"/>
    </row>
    <row r="2007">
      <c r="A2007" s="8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9">
        <f>B2007+30</f>
        <v/>
      </c>
      <c r="N2007">
        <f>IF(L2007="", "", L2007-B2007)</f>
        <v/>
      </c>
      <c r="O2007">
        <f>IF(L2007="", "Pending", IF(N2007&lt;=30, "Met", "Breached"))</f>
        <v/>
      </c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 t="n"/>
      <c r="Y2007" s="8" t="n"/>
    </row>
    <row r="2008">
      <c r="A2008" s="8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9">
        <f>B2008+30</f>
        <v/>
      </c>
      <c r="N2008">
        <f>IF(L2008="", "", L2008-B2008)</f>
        <v/>
      </c>
      <c r="O2008">
        <f>IF(L2008="", "Pending", IF(N2008&lt;=30, "Met", "Breached"))</f>
        <v/>
      </c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 t="n"/>
      <c r="Y2008" s="8" t="n"/>
    </row>
    <row r="2009">
      <c r="A2009" s="8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9">
        <f>B2009+30</f>
        <v/>
      </c>
      <c r="N2009">
        <f>IF(L2009="", "", L2009-B2009)</f>
        <v/>
      </c>
      <c r="O2009">
        <f>IF(L2009="", "Pending", IF(N2009&lt;=30, "Met", "Breached"))</f>
        <v/>
      </c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 t="n"/>
      <c r="Y2009" s="8" t="n"/>
    </row>
    <row r="2010">
      <c r="A2010" s="8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9">
        <f>B2010+30</f>
        <v/>
      </c>
      <c r="N2010">
        <f>IF(L2010="", "", L2010-B2010)</f>
        <v/>
      </c>
      <c r="O2010">
        <f>IF(L2010="", "Pending", IF(N2010&lt;=30, "Met", "Breached"))</f>
        <v/>
      </c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 t="n"/>
      <c r="Y2010" s="8" t="n"/>
    </row>
    <row r="2011">
      <c r="A2011" s="8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9">
        <f>B2011+30</f>
        <v/>
      </c>
      <c r="N2011">
        <f>IF(L2011="", "", L2011-B2011)</f>
        <v/>
      </c>
      <c r="O2011">
        <f>IF(L2011="", "Pending", IF(N2011&lt;=30, "Met", "Breached"))</f>
        <v/>
      </c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 t="n"/>
      <c r="Y2011" s="8" t="n"/>
    </row>
    <row r="2012">
      <c r="A2012" s="8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9">
        <f>B2012+30</f>
        <v/>
      </c>
      <c r="N2012">
        <f>IF(L2012="", "", L2012-B2012)</f>
        <v/>
      </c>
      <c r="O2012">
        <f>IF(L2012="", "Pending", IF(N2012&lt;=30, "Met", "Breached"))</f>
        <v/>
      </c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 t="n"/>
      <c r="Y2012" s="8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9">
        <f>B2013+30</f>
        <v/>
      </c>
      <c r="N2013">
        <f>IF(L2013="", "", L2013-B2013)</f>
        <v/>
      </c>
      <c r="O2013">
        <f>IF(L2013="", "Pending", IF(N2013&lt;=30, "Met", "Breached"))</f>
        <v/>
      </c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 t="n"/>
      <c r="Y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9">
        <f>B2014+30</f>
        <v/>
      </c>
      <c r="N2014">
        <f>IF(L2014="", "", L2014-B2014)</f>
        <v/>
      </c>
      <c r="O2014">
        <f>IF(L2014="", "Pending", IF(N2014&lt;=30, "Met", "Breached"))</f>
        <v/>
      </c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 t="n"/>
      <c r="Y2014" s="8" t="n"/>
    </row>
    <row r="2015">
      <c r="A2015" s="8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9">
        <f>B2015+30</f>
        <v/>
      </c>
      <c r="N2015">
        <f>IF(L2015="", "", L2015-B2015)</f>
        <v/>
      </c>
      <c r="O2015">
        <f>IF(L2015="", "Pending", IF(N2015&lt;=30, "Met", "Breached"))</f>
        <v/>
      </c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 t="n"/>
      <c r="Y2015" s="8" t="n"/>
    </row>
    <row r="2016">
      <c r="A2016" s="8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9">
        <f>B2016+30</f>
        <v/>
      </c>
      <c r="N2016">
        <f>IF(L2016="", "", L2016-B2016)</f>
        <v/>
      </c>
      <c r="O2016">
        <f>IF(L2016="", "Pending", IF(N2016&lt;=30, "Met", "Breached"))</f>
        <v/>
      </c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 t="n"/>
      <c r="Y2016" s="8" t="n"/>
    </row>
    <row r="2017">
      <c r="A2017" s="8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9">
        <f>B2017+30</f>
        <v/>
      </c>
      <c r="N2017">
        <f>IF(L2017="", "", L2017-B2017)</f>
        <v/>
      </c>
      <c r="O2017">
        <f>IF(L2017="", "Pending", IF(N2017&lt;=30, "Met", "Breached"))</f>
        <v/>
      </c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 t="n"/>
      <c r="Y2017" s="8" t="n"/>
    </row>
    <row r="2018">
      <c r="A2018" s="8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9">
        <f>B2018+30</f>
        <v/>
      </c>
      <c r="N2018">
        <f>IF(L2018="", "", L2018-B2018)</f>
        <v/>
      </c>
      <c r="O2018">
        <f>IF(L2018="", "Pending", IF(N2018&lt;=30, "Met", "Breached"))</f>
        <v/>
      </c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 t="n"/>
      <c r="Y2018" s="8" t="n"/>
    </row>
    <row r="2019">
      <c r="A2019" s="8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9">
        <f>B2019+30</f>
        <v/>
      </c>
      <c r="N2019">
        <f>IF(L2019="", "", L2019-B2019)</f>
        <v/>
      </c>
      <c r="O2019">
        <f>IF(L2019="", "Pending", IF(N2019&lt;=30, "Met", "Breached"))</f>
        <v/>
      </c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</row>
    <row r="2020">
      <c r="A2020" s="8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9">
        <f>B2020+30</f>
        <v/>
      </c>
      <c r="N2020">
        <f>IF(L2020="", "", L2020-B2020)</f>
        <v/>
      </c>
      <c r="O2020">
        <f>IF(L2020="", "Pending", IF(N2020&lt;=30, "Met", "Breached"))</f>
        <v/>
      </c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</row>
    <row r="2021">
      <c r="A2021" s="8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9">
        <f>B2021+30</f>
        <v/>
      </c>
      <c r="N2021">
        <f>IF(L2021="", "", L2021-B2021)</f>
        <v/>
      </c>
      <c r="O2021">
        <f>IF(L2021="", "Pending", IF(N2021&lt;=30, "Met", "Breached"))</f>
        <v/>
      </c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</row>
    <row r="2022">
      <c r="A2022" s="8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9">
        <f>B2022+30</f>
        <v/>
      </c>
      <c r="N2022">
        <f>IF(L2022="", "", L2022-B2022)</f>
        <v/>
      </c>
      <c r="O2022">
        <f>IF(L2022="", "Pending", IF(N2022&lt;=30, "Met", "Breached"))</f>
        <v/>
      </c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</row>
    <row r="2023">
      <c r="A2023" s="8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9">
        <f>B2023+30</f>
        <v/>
      </c>
      <c r="N2023">
        <f>IF(L2023="", "", L2023-B2023)</f>
        <v/>
      </c>
      <c r="O2023">
        <f>IF(L2023="", "Pending", IF(N2023&lt;=30, "Met", "Breached"))</f>
        <v/>
      </c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9">
        <f>B2024+30</f>
        <v/>
      </c>
      <c r="N2024">
        <f>IF(L2024="", "", L2024-B2024)</f>
        <v/>
      </c>
      <c r="O2024">
        <f>IF(L2024="", "Pending", IF(N2024&lt;=30, "Met", "Breached"))</f>
        <v/>
      </c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 t="n"/>
      <c r="Y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9">
        <f>B2025+30</f>
        <v/>
      </c>
      <c r="N2025">
        <f>IF(L2025="", "", L2025-B2025)</f>
        <v/>
      </c>
      <c r="O2025">
        <f>IF(L2025="", "Pending", IF(N2025&lt;=30, "Met", "Breached"))</f>
        <v/>
      </c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 t="n"/>
      <c r="Y2025" s="8" t="n"/>
    </row>
    <row r="2026">
      <c r="A2026" s="8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9">
        <f>B2026+30</f>
        <v/>
      </c>
      <c r="N2026">
        <f>IF(L2026="", "", L2026-B2026)</f>
        <v/>
      </c>
      <c r="O2026">
        <f>IF(L2026="", "Pending", IF(N2026&lt;=30, "Met", "Breached"))</f>
        <v/>
      </c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 t="n"/>
      <c r="Y2026" s="8" t="n"/>
    </row>
    <row r="2027">
      <c r="A2027" s="8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9">
        <f>B2027+30</f>
        <v/>
      </c>
      <c r="N2027">
        <f>IF(L2027="", "", L2027-B2027)</f>
        <v/>
      </c>
      <c r="O2027">
        <f>IF(L2027="", "Pending", IF(N2027&lt;=30, "Met", "Breached"))</f>
        <v/>
      </c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 t="n"/>
      <c r="Y2027" s="8" t="n"/>
    </row>
    <row r="2028">
      <c r="A2028" s="8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9">
        <f>B2028+30</f>
        <v/>
      </c>
      <c r="N2028">
        <f>IF(L2028="", "", L2028-B2028)</f>
        <v/>
      </c>
      <c r="O2028">
        <f>IF(L2028="", "Pending", IF(N2028&lt;=30, "Met", "Breached"))</f>
        <v/>
      </c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 t="n"/>
      <c r="Y2028" s="8" t="n"/>
    </row>
    <row r="2029">
      <c r="A2029" s="8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9">
        <f>B2029+30</f>
        <v/>
      </c>
      <c r="N2029">
        <f>IF(L2029="", "", L2029-B2029)</f>
        <v/>
      </c>
      <c r="O2029">
        <f>IF(L2029="", "Pending", IF(N2029&lt;=30, "Met", "Breached"))</f>
        <v/>
      </c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 t="n"/>
      <c r="Y2029" s="8" t="n"/>
    </row>
    <row r="2030">
      <c r="A2030" s="8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9">
        <f>B2030+30</f>
        <v/>
      </c>
      <c r="N2030">
        <f>IF(L2030="", "", L2030-B2030)</f>
        <v/>
      </c>
      <c r="O2030">
        <f>IF(L2030="", "Pending", IF(N2030&lt;=30, "Met", "Breached"))</f>
        <v/>
      </c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 t="n"/>
      <c r="Y2030" s="8" t="n"/>
    </row>
    <row r="2031">
      <c r="A2031" s="8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9">
        <f>B2031+30</f>
        <v/>
      </c>
      <c r="N2031">
        <f>IF(L2031="", "", L2031-B2031)</f>
        <v/>
      </c>
      <c r="O2031">
        <f>IF(L2031="", "Pending", IF(N2031&lt;=30, "Met", "Breached"))</f>
        <v/>
      </c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 t="n"/>
      <c r="Y2031" s="8" t="n"/>
    </row>
    <row r="2032">
      <c r="A2032" s="8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9">
        <f>B2032+30</f>
        <v/>
      </c>
      <c r="N2032">
        <f>IF(L2032="", "", L2032-B2032)</f>
        <v/>
      </c>
      <c r="O2032">
        <f>IF(L2032="", "Pending", IF(N2032&lt;=30, "Met", "Breached"))</f>
        <v/>
      </c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 t="n"/>
      <c r="Y2032" s="8" t="n"/>
    </row>
    <row r="2033">
      <c r="A2033" s="8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9">
        <f>B2033+30</f>
        <v/>
      </c>
      <c r="N2033">
        <f>IF(L2033="", "", L2033-B2033)</f>
        <v/>
      </c>
      <c r="O2033">
        <f>IF(L2033="", "Pending", IF(N2033&lt;=30, "Met", "Breached"))</f>
        <v/>
      </c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 t="n"/>
      <c r="Y2033" s="8" t="n"/>
    </row>
    <row r="2034">
      <c r="A2034" s="8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9">
        <f>B2034+30</f>
        <v/>
      </c>
      <c r="N2034">
        <f>IF(L2034="", "", L2034-B2034)</f>
        <v/>
      </c>
      <c r="O2034">
        <f>IF(L2034="", "Pending", IF(N2034&lt;=30, "Met", "Breached"))</f>
        <v/>
      </c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 t="n"/>
      <c r="Y2034" s="8" t="n"/>
    </row>
    <row r="2035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9">
        <f>B2035+30</f>
        <v/>
      </c>
      <c r="N2035">
        <f>IF(L2035="", "", L2035-B2035)</f>
        <v/>
      </c>
      <c r="O2035">
        <f>IF(L2035="", "Pending", IF(N2035&lt;=30, "Met", "Breached"))</f>
        <v/>
      </c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 t="n"/>
      <c r="Y2035" s="8" t="n"/>
    </row>
    <row r="2036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9">
        <f>B2036+30</f>
        <v/>
      </c>
      <c r="N2036">
        <f>IF(L2036="", "", L2036-B2036)</f>
        <v/>
      </c>
      <c r="O2036">
        <f>IF(L2036="", "Pending", IF(N2036&lt;=30, "Met", "Breached"))</f>
        <v/>
      </c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 t="n"/>
      <c r="Y2036" s="8" t="n"/>
    </row>
    <row r="2037">
      <c r="A2037" s="8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9">
        <f>B2037+30</f>
        <v/>
      </c>
      <c r="N2037">
        <f>IF(L2037="", "", L2037-B2037)</f>
        <v/>
      </c>
      <c r="O2037">
        <f>IF(L2037="", "Pending", IF(N2037&lt;=30, "Met", "Breached"))</f>
        <v/>
      </c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 t="n"/>
      <c r="Y2037" s="8" t="n"/>
    </row>
    <row r="2038">
      <c r="A2038" s="8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9">
        <f>B2038+30</f>
        <v/>
      </c>
      <c r="N2038">
        <f>IF(L2038="", "", L2038-B2038)</f>
        <v/>
      </c>
      <c r="O2038">
        <f>IF(L2038="", "Pending", IF(N2038&lt;=30, "Met", "Breached"))</f>
        <v/>
      </c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 t="n"/>
      <c r="Y2038" s="8" t="n"/>
    </row>
    <row r="2039">
      <c r="A2039" s="8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9">
        <f>B2039+30</f>
        <v/>
      </c>
      <c r="N2039">
        <f>IF(L2039="", "", L2039-B2039)</f>
        <v/>
      </c>
      <c r="O2039">
        <f>IF(L2039="", "Pending", IF(N2039&lt;=30, "Met", "Breached"))</f>
        <v/>
      </c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 t="n"/>
      <c r="Y2039" s="8" t="n"/>
    </row>
    <row r="2040">
      <c r="A2040" s="8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9">
        <f>B2040+30</f>
        <v/>
      </c>
      <c r="N2040">
        <f>IF(L2040="", "", L2040-B2040)</f>
        <v/>
      </c>
      <c r="O2040">
        <f>IF(L2040="", "Pending", IF(N2040&lt;=30, "Met", "Breached"))</f>
        <v/>
      </c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 t="n"/>
      <c r="Y2040" s="8" t="n"/>
    </row>
    <row r="2041">
      <c r="A2041" s="8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9">
        <f>B2041+30</f>
        <v/>
      </c>
      <c r="N2041">
        <f>IF(L2041="", "", L2041-B2041)</f>
        <v/>
      </c>
      <c r="O2041">
        <f>IF(L2041="", "Pending", IF(N2041&lt;=30, "Met", "Breached"))</f>
        <v/>
      </c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 t="n"/>
      <c r="Y2041" s="8" t="n"/>
    </row>
    <row r="2042">
      <c r="A2042" s="8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9">
        <f>B2042+30</f>
        <v/>
      </c>
      <c r="N2042">
        <f>IF(L2042="", "", L2042-B2042)</f>
        <v/>
      </c>
      <c r="O2042">
        <f>IF(L2042="", "Pending", IF(N2042&lt;=30, "Met", "Breached"))</f>
        <v/>
      </c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 t="n"/>
      <c r="Y2042" s="8" t="n"/>
    </row>
    <row r="2043">
      <c r="A2043" s="8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9">
        <f>B2043+30</f>
        <v/>
      </c>
      <c r="N2043">
        <f>IF(L2043="", "", L2043-B2043)</f>
        <v/>
      </c>
      <c r="O2043">
        <f>IF(L2043="", "Pending", IF(N2043&lt;=30, "Met", "Breached"))</f>
        <v/>
      </c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 t="n"/>
      <c r="Y2043" s="8" t="n"/>
    </row>
    <row r="2044">
      <c r="A2044" s="8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9">
        <f>B2044+30</f>
        <v/>
      </c>
      <c r="N2044">
        <f>IF(L2044="", "", L2044-B2044)</f>
        <v/>
      </c>
      <c r="O2044">
        <f>IF(L2044="", "Pending", IF(N2044&lt;=30, "Met", "Breached"))</f>
        <v/>
      </c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 t="n"/>
      <c r="Y2044" s="8" t="n"/>
    </row>
    <row r="2045">
      <c r="A2045" s="8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9">
        <f>B2045+30</f>
        <v/>
      </c>
      <c r="N2045">
        <f>IF(L2045="", "", L2045-B2045)</f>
        <v/>
      </c>
      <c r="O2045">
        <f>IF(L2045="", "Pending", IF(N2045&lt;=30, "Met", "Breached"))</f>
        <v/>
      </c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 t="n"/>
      <c r="Y2045" s="8" t="n"/>
    </row>
    <row r="2046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9">
        <f>B2046+30</f>
        <v/>
      </c>
      <c r="N2046">
        <f>IF(L2046="", "", L2046-B2046)</f>
        <v/>
      </c>
      <c r="O2046">
        <f>IF(L2046="", "Pending", IF(N2046&lt;=30, "Met", "Breached"))</f>
        <v/>
      </c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 t="n"/>
      <c r="Y2046" s="8" t="n"/>
    </row>
    <row r="2047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9">
        <f>B2047+30</f>
        <v/>
      </c>
      <c r="N2047">
        <f>IF(L2047="", "", L2047-B2047)</f>
        <v/>
      </c>
      <c r="O2047">
        <f>IF(L2047="", "Pending", IF(N2047&lt;=30, "Met", "Breached"))</f>
        <v/>
      </c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 t="n"/>
      <c r="Y2047" s="8" t="n"/>
    </row>
    <row r="2048">
      <c r="A2048" s="8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9">
        <f>B2048+30</f>
        <v/>
      </c>
      <c r="N2048">
        <f>IF(L2048="", "", L2048-B2048)</f>
        <v/>
      </c>
      <c r="O2048">
        <f>IF(L2048="", "Pending", IF(N2048&lt;=30, "Met", "Breached"))</f>
        <v/>
      </c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 t="n"/>
      <c r="Y2048" s="8" t="n"/>
    </row>
    <row r="2049">
      <c r="A2049" s="8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9">
        <f>B2049+30</f>
        <v/>
      </c>
      <c r="N2049">
        <f>IF(L2049="", "", L2049-B2049)</f>
        <v/>
      </c>
      <c r="O2049">
        <f>IF(L2049="", "Pending", IF(N2049&lt;=30, "Met", "Breached"))</f>
        <v/>
      </c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 t="n"/>
      <c r="Y2049" s="8" t="n"/>
    </row>
    <row r="2050">
      <c r="A2050" s="8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9">
        <f>B2050+30</f>
        <v/>
      </c>
      <c r="N2050">
        <f>IF(L2050="", "", L2050-B2050)</f>
        <v/>
      </c>
      <c r="O2050">
        <f>IF(L2050="", "Pending", IF(N2050&lt;=30, "Met", "Breached"))</f>
        <v/>
      </c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 t="n"/>
      <c r="Y2050" s="8" t="n"/>
    </row>
    <row r="2051">
      <c r="A2051" s="8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9">
        <f>B2051+30</f>
        <v/>
      </c>
      <c r="N2051">
        <f>IF(L2051="", "", L2051-B2051)</f>
        <v/>
      </c>
      <c r="O2051">
        <f>IF(L2051="", "Pending", IF(N2051&lt;=30, "Met", "Breached"))</f>
        <v/>
      </c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 t="n"/>
      <c r="Y2051" s="8" t="n"/>
    </row>
    <row r="2052">
      <c r="A2052" s="8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9">
        <f>B2052+30</f>
        <v/>
      </c>
      <c r="N2052">
        <f>IF(L2052="", "", L2052-B2052)</f>
        <v/>
      </c>
      <c r="O2052">
        <f>IF(L2052="", "Pending", IF(N2052&lt;=30, "Met", "Breached"))</f>
        <v/>
      </c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 t="n"/>
      <c r="Y2052" s="8" t="n"/>
    </row>
    <row r="2053">
      <c r="A2053" s="8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9">
        <f>B2053+30</f>
        <v/>
      </c>
      <c r="N2053">
        <f>IF(L2053="", "", L2053-B2053)</f>
        <v/>
      </c>
      <c r="O2053">
        <f>IF(L2053="", "Pending", IF(N2053&lt;=30, "Met", "Breached"))</f>
        <v/>
      </c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 t="n"/>
      <c r="Y2053" s="8" t="n"/>
    </row>
    <row r="2054">
      <c r="A2054" s="8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9">
        <f>B2054+30</f>
        <v/>
      </c>
      <c r="N2054">
        <f>IF(L2054="", "", L2054-B2054)</f>
        <v/>
      </c>
      <c r="O2054">
        <f>IF(L2054="", "Pending", IF(N2054&lt;=30, "Met", "Breached"))</f>
        <v/>
      </c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 t="n"/>
      <c r="Y2054" s="8" t="n"/>
    </row>
    <row r="2055">
      <c r="A2055" s="8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9">
        <f>B2055+30</f>
        <v/>
      </c>
      <c r="N2055">
        <f>IF(L2055="", "", L2055-B2055)</f>
        <v/>
      </c>
      <c r="O2055">
        <f>IF(L2055="", "Pending", IF(N2055&lt;=30, "Met", "Breached"))</f>
        <v/>
      </c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 t="n"/>
      <c r="Y2055" s="8" t="n"/>
    </row>
    <row r="2056">
      <c r="A2056" s="8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9">
        <f>B2056+30</f>
        <v/>
      </c>
      <c r="N2056">
        <f>IF(L2056="", "", L2056-B2056)</f>
        <v/>
      </c>
      <c r="O2056">
        <f>IF(L2056="", "Pending", IF(N2056&lt;=30, "Met", "Breached"))</f>
        <v/>
      </c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 t="n"/>
      <c r="Y2056" s="8" t="n"/>
    </row>
    <row r="2057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9">
        <f>B2057+30</f>
        <v/>
      </c>
      <c r="N2057">
        <f>IF(L2057="", "", L2057-B2057)</f>
        <v/>
      </c>
      <c r="O2057">
        <f>IF(L2057="", "Pending", IF(N2057&lt;=30, "Met", "Breached"))</f>
        <v/>
      </c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 t="n"/>
      <c r="Y2057" s="8" t="n"/>
    </row>
    <row r="2058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9">
        <f>B2058+30</f>
        <v/>
      </c>
      <c r="N2058">
        <f>IF(L2058="", "", L2058-B2058)</f>
        <v/>
      </c>
      <c r="O2058">
        <f>IF(L2058="", "Pending", IF(N2058&lt;=30, "Met", "Breached"))</f>
        <v/>
      </c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 t="n"/>
      <c r="Y2058" s="8" t="n"/>
    </row>
    <row r="2059">
      <c r="A2059" s="8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9">
        <f>B2059+30</f>
        <v/>
      </c>
      <c r="N2059">
        <f>IF(L2059="", "", L2059-B2059)</f>
        <v/>
      </c>
      <c r="O2059">
        <f>IF(L2059="", "Pending", IF(N2059&lt;=30, "Met", "Breached"))</f>
        <v/>
      </c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 t="n"/>
      <c r="Y2059" s="8" t="n"/>
    </row>
    <row r="2060">
      <c r="A2060" s="8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9">
        <f>B2060+30</f>
        <v/>
      </c>
      <c r="N2060">
        <f>IF(L2060="", "", L2060-B2060)</f>
        <v/>
      </c>
      <c r="O2060">
        <f>IF(L2060="", "Pending", IF(N2060&lt;=30, "Met", "Breached"))</f>
        <v/>
      </c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 t="n"/>
      <c r="Y2060" s="8" t="n"/>
    </row>
    <row r="2061">
      <c r="A2061" s="8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9">
        <f>B2061+30</f>
        <v/>
      </c>
      <c r="N2061">
        <f>IF(L2061="", "", L2061-B2061)</f>
        <v/>
      </c>
      <c r="O2061">
        <f>IF(L2061="", "Pending", IF(N2061&lt;=30, "Met", "Breached"))</f>
        <v/>
      </c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 t="n"/>
      <c r="Y2061" s="8" t="n"/>
    </row>
    <row r="2062">
      <c r="A2062" s="8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9">
        <f>B2062+30</f>
        <v/>
      </c>
      <c r="N2062">
        <f>IF(L2062="", "", L2062-B2062)</f>
        <v/>
      </c>
      <c r="O2062">
        <f>IF(L2062="", "Pending", IF(N2062&lt;=30, "Met", "Breached"))</f>
        <v/>
      </c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 t="n"/>
      <c r="Y2062" s="8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9">
        <f>B2063+30</f>
        <v/>
      </c>
      <c r="N2063">
        <f>IF(L2063="", "", L2063-B2063)</f>
        <v/>
      </c>
      <c r="O2063">
        <f>IF(L2063="", "Pending", IF(N2063&lt;=30, "Met", "Breached"))</f>
        <v/>
      </c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 t="n"/>
      <c r="Y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9">
        <f>B2064+30</f>
        <v/>
      </c>
      <c r="N2064">
        <f>IF(L2064="", "", L2064-B2064)</f>
        <v/>
      </c>
      <c r="O2064">
        <f>IF(L2064="", "Pending", IF(N2064&lt;=30, "Met", "Breached"))</f>
        <v/>
      </c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 t="n"/>
      <c r="Y2064" s="8" t="n"/>
    </row>
    <row r="2065">
      <c r="A2065" s="8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9">
        <f>B2065+30</f>
        <v/>
      </c>
      <c r="N2065">
        <f>IF(L2065="", "", L2065-B2065)</f>
        <v/>
      </c>
      <c r="O2065">
        <f>IF(L2065="", "Pending", IF(N2065&lt;=30, "Met", "Breached"))</f>
        <v/>
      </c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 t="n"/>
      <c r="Y2065" s="8" t="n"/>
    </row>
    <row r="2066">
      <c r="A2066" s="8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9">
        <f>B2066+30</f>
        <v/>
      </c>
      <c r="N2066">
        <f>IF(L2066="", "", L2066-B2066)</f>
        <v/>
      </c>
      <c r="O2066">
        <f>IF(L2066="", "Pending", IF(N2066&lt;=30, "Met", "Breached"))</f>
        <v/>
      </c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 t="n"/>
      <c r="Y2066" s="8" t="n"/>
    </row>
    <row r="2067">
      <c r="A2067" s="8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9">
        <f>B2067+30</f>
        <v/>
      </c>
      <c r="N2067">
        <f>IF(L2067="", "", L2067-B2067)</f>
        <v/>
      </c>
      <c r="O2067">
        <f>IF(L2067="", "Pending", IF(N2067&lt;=30, "Met", "Breached"))</f>
        <v/>
      </c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 t="n"/>
      <c r="Y2067" s="8" t="n"/>
    </row>
    <row r="2068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9">
        <f>B2068+30</f>
        <v/>
      </c>
      <c r="N2068">
        <f>IF(L2068="", "", L2068-B2068)</f>
        <v/>
      </c>
      <c r="O2068">
        <f>IF(L2068="", "Pending", IF(N2068&lt;=30, "Met", "Breached"))</f>
        <v/>
      </c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 t="n"/>
      <c r="Y2068" s="8" t="n"/>
    </row>
    <row r="2069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9">
        <f>B2069+30</f>
        <v/>
      </c>
      <c r="N2069">
        <f>IF(L2069="", "", L2069-B2069)</f>
        <v/>
      </c>
      <c r="O2069">
        <f>IF(L2069="", "Pending", IF(N2069&lt;=30, "Met", "Breached"))</f>
        <v/>
      </c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 t="n"/>
      <c r="Y2069" s="8" t="n"/>
    </row>
    <row r="2070">
      <c r="A2070" s="8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9">
        <f>B2070+30</f>
        <v/>
      </c>
      <c r="N2070">
        <f>IF(L2070="", "", L2070-B2070)</f>
        <v/>
      </c>
      <c r="O2070">
        <f>IF(L2070="", "Pending", IF(N2070&lt;=30, "Met", "Breached"))</f>
        <v/>
      </c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 t="n"/>
      <c r="Y2070" s="8" t="n"/>
    </row>
    <row r="2071">
      <c r="A2071" s="8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9">
        <f>B2071+30</f>
        <v/>
      </c>
      <c r="N2071">
        <f>IF(L2071="", "", L2071-B2071)</f>
        <v/>
      </c>
      <c r="O2071">
        <f>IF(L2071="", "Pending", IF(N2071&lt;=30, "Met", "Breached"))</f>
        <v/>
      </c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 t="n"/>
      <c r="Y2071" s="8" t="n"/>
    </row>
    <row r="2072">
      <c r="A2072" s="8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9">
        <f>B2072+30</f>
        <v/>
      </c>
      <c r="N2072">
        <f>IF(L2072="", "", L2072-B2072)</f>
        <v/>
      </c>
      <c r="O2072">
        <f>IF(L2072="", "Pending", IF(N2072&lt;=30, "Met", "Breached"))</f>
        <v/>
      </c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 t="n"/>
      <c r="Y2072" s="8" t="n"/>
    </row>
    <row r="2073">
      <c r="A2073" s="8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9">
        <f>B2073+30</f>
        <v/>
      </c>
      <c r="N2073">
        <f>IF(L2073="", "", L2073-B2073)</f>
        <v/>
      </c>
      <c r="O2073">
        <f>IF(L2073="", "Pending", IF(N2073&lt;=30, "Met", "Breached"))</f>
        <v/>
      </c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 t="n"/>
      <c r="Y2073" s="8" t="n"/>
    </row>
    <row r="2074">
      <c r="A2074" s="8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9">
        <f>B2074+30</f>
        <v/>
      </c>
      <c r="N2074">
        <f>IF(L2074="", "", L2074-B2074)</f>
        <v/>
      </c>
      <c r="O2074">
        <f>IF(L2074="", "Pending", IF(N2074&lt;=30, "Met", "Breached"))</f>
        <v/>
      </c>
      <c r="P2074" s="8" t="n"/>
      <c r="Q2074" s="8" t="n"/>
      <c r="R2074" s="8" t="n"/>
      <c r="S2074" s="8" t="n"/>
      <c r="T2074" s="8" t="n"/>
      <c r="U2074" s="8" t="n"/>
      <c r="V2074" s="8" t="n"/>
      <c r="W2074" s="8" t="n"/>
      <c r="X2074" s="8" t="n"/>
      <c r="Y2074" s="8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9">
        <f>B2075+30</f>
        <v/>
      </c>
      <c r="N2075">
        <f>IF(L2075="", "", L2075-B2075)</f>
        <v/>
      </c>
      <c r="O2075">
        <f>IF(L2075="", "Pending", IF(N2075&lt;=30, "Met", "Breached"))</f>
        <v/>
      </c>
      <c r="P2075" s="8" t="n"/>
      <c r="Q2075" s="8" t="n"/>
      <c r="R2075" s="8" t="n"/>
      <c r="S2075" s="8" t="n"/>
      <c r="T2075" s="8" t="n"/>
      <c r="U2075" s="8" t="n"/>
      <c r="V2075" s="8" t="n"/>
      <c r="W2075" s="8" t="n"/>
      <c r="X2075" s="8" t="n"/>
      <c r="Y2075" s="8" t="n"/>
    </row>
    <row r="2076">
      <c r="A2076" s="8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9">
        <f>B2076+30</f>
        <v/>
      </c>
      <c r="N2076">
        <f>IF(L2076="", "", L2076-B2076)</f>
        <v/>
      </c>
      <c r="O2076">
        <f>IF(L2076="", "Pending", IF(N2076&lt;=30, "Met", "Breached"))</f>
        <v/>
      </c>
      <c r="P2076" s="8" t="n"/>
      <c r="Q2076" s="8" t="n"/>
      <c r="R2076" s="8" t="n"/>
      <c r="S2076" s="8" t="n"/>
      <c r="T2076" s="8" t="n"/>
      <c r="U2076" s="8" t="n"/>
      <c r="V2076" s="8" t="n"/>
      <c r="W2076" s="8" t="n"/>
      <c r="X2076" s="8" t="n"/>
      <c r="Y2076" s="8" t="n"/>
    </row>
    <row r="2077">
      <c r="A2077" s="8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9">
        <f>B2077+30</f>
        <v/>
      </c>
      <c r="N2077">
        <f>IF(L2077="", "", L2077-B2077)</f>
        <v/>
      </c>
      <c r="O2077">
        <f>IF(L2077="", "Pending", IF(N2077&lt;=30, "Met", "Breached"))</f>
        <v/>
      </c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 t="n"/>
      <c r="Y2077" s="8" t="n"/>
    </row>
    <row r="2078">
      <c r="A2078" s="8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9">
        <f>B2078+30</f>
        <v/>
      </c>
      <c r="N2078">
        <f>IF(L2078="", "", L2078-B2078)</f>
        <v/>
      </c>
      <c r="O2078">
        <f>IF(L2078="", "Pending", IF(N2078&lt;=30, "Met", "Breached"))</f>
        <v/>
      </c>
      <c r="P2078" s="8" t="n"/>
      <c r="Q2078" s="8" t="n"/>
      <c r="R2078" s="8" t="n"/>
      <c r="S2078" s="8" t="n"/>
      <c r="T2078" s="8" t="n"/>
      <c r="U2078" s="8" t="n"/>
      <c r="V2078" s="8" t="n"/>
      <c r="W2078" s="8" t="n"/>
      <c r="X2078" s="8" t="n"/>
      <c r="Y2078" s="8" t="n"/>
    </row>
    <row r="2079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9">
        <f>B2079+30</f>
        <v/>
      </c>
      <c r="N2079">
        <f>IF(L2079="", "", L2079-B2079)</f>
        <v/>
      </c>
      <c r="O2079">
        <f>IF(L2079="", "Pending", IF(N2079&lt;=30, "Met", "Breached"))</f>
        <v/>
      </c>
      <c r="P2079" s="8" t="n"/>
      <c r="Q2079" s="8" t="n"/>
      <c r="R2079" s="8" t="n"/>
      <c r="S2079" s="8" t="n"/>
      <c r="T2079" s="8" t="n"/>
      <c r="U2079" s="8" t="n"/>
      <c r="V2079" s="8" t="n"/>
      <c r="W2079" s="8" t="n"/>
      <c r="X2079" s="8" t="n"/>
      <c r="Y2079" s="8" t="n"/>
    </row>
    <row r="2080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9">
        <f>B2080+30</f>
        <v/>
      </c>
      <c r="N2080">
        <f>IF(L2080="", "", L2080-B2080)</f>
        <v/>
      </c>
      <c r="O2080">
        <f>IF(L2080="", "Pending", IF(N2080&lt;=30, "Met", "Breached"))</f>
        <v/>
      </c>
      <c r="P2080" s="8" t="n"/>
      <c r="Q2080" s="8" t="n"/>
      <c r="R2080" s="8" t="n"/>
      <c r="S2080" s="8" t="n"/>
      <c r="T2080" s="8" t="n"/>
      <c r="U2080" s="8" t="n"/>
      <c r="V2080" s="8" t="n"/>
      <c r="W2080" s="8" t="n"/>
      <c r="X2080" s="8" t="n"/>
      <c r="Y2080" s="8" t="n"/>
    </row>
    <row r="2081">
      <c r="A2081" s="8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9">
        <f>B2081+30</f>
        <v/>
      </c>
      <c r="N2081">
        <f>IF(L2081="", "", L2081-B2081)</f>
        <v/>
      </c>
      <c r="O2081">
        <f>IF(L2081="", "Pending", IF(N2081&lt;=30, "Met", "Breached"))</f>
        <v/>
      </c>
      <c r="P2081" s="8" t="n"/>
      <c r="Q2081" s="8" t="n"/>
      <c r="R2081" s="8" t="n"/>
      <c r="S2081" s="8" t="n"/>
      <c r="T2081" s="8" t="n"/>
      <c r="U2081" s="8" t="n"/>
      <c r="V2081" s="8" t="n"/>
      <c r="W2081" s="8" t="n"/>
      <c r="X2081" s="8" t="n"/>
      <c r="Y2081" s="8" t="n"/>
    </row>
    <row r="2082">
      <c r="A2082" s="8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9">
        <f>B2082+30</f>
        <v/>
      </c>
      <c r="N2082">
        <f>IF(L2082="", "", L2082-B2082)</f>
        <v/>
      </c>
      <c r="O2082">
        <f>IF(L2082="", "Pending", IF(N2082&lt;=30, "Met", "Breached"))</f>
        <v/>
      </c>
      <c r="P2082" s="8" t="n"/>
      <c r="Q2082" s="8" t="n"/>
      <c r="R2082" s="8" t="n"/>
      <c r="S2082" s="8" t="n"/>
      <c r="T2082" s="8" t="n"/>
      <c r="U2082" s="8" t="n"/>
      <c r="V2082" s="8" t="n"/>
      <c r="W2082" s="8" t="n"/>
      <c r="X2082" s="8" t="n"/>
      <c r="Y2082" s="8" t="n"/>
    </row>
    <row r="2083">
      <c r="A2083" s="8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9">
        <f>B2083+30</f>
        <v/>
      </c>
      <c r="N2083">
        <f>IF(L2083="", "", L2083-B2083)</f>
        <v/>
      </c>
      <c r="O2083">
        <f>IF(L2083="", "Pending", IF(N2083&lt;=30, "Met", "Breached"))</f>
        <v/>
      </c>
      <c r="P2083" s="8" t="n"/>
      <c r="Q2083" s="8" t="n"/>
      <c r="R2083" s="8" t="n"/>
      <c r="S2083" s="8" t="n"/>
      <c r="T2083" s="8" t="n"/>
      <c r="U2083" s="8" t="n"/>
      <c r="V2083" s="8" t="n"/>
      <c r="W2083" s="8" t="n"/>
      <c r="X2083" s="8" t="n"/>
      <c r="Y2083" s="8" t="n"/>
    </row>
    <row r="2084">
      <c r="A2084" s="8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9">
        <f>B2084+30</f>
        <v/>
      </c>
      <c r="N2084">
        <f>IF(L2084="", "", L2084-B2084)</f>
        <v/>
      </c>
      <c r="O2084">
        <f>IF(L2084="", "Pending", IF(N2084&lt;=30, "Met", "Breached"))</f>
        <v/>
      </c>
      <c r="P2084" s="8" t="n"/>
      <c r="Q2084" s="8" t="n"/>
      <c r="R2084" s="8" t="n"/>
      <c r="S2084" s="8" t="n"/>
      <c r="T2084" s="8" t="n"/>
      <c r="U2084" s="8" t="n"/>
      <c r="V2084" s="8" t="n"/>
      <c r="W2084" s="8" t="n"/>
      <c r="X2084" s="8" t="n"/>
      <c r="Y2084" s="8" t="n"/>
    </row>
    <row r="2085">
      <c r="A2085" s="8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9">
        <f>B2085+30</f>
        <v/>
      </c>
      <c r="N2085">
        <f>IF(L2085="", "", L2085-B2085)</f>
        <v/>
      </c>
      <c r="O2085">
        <f>IF(L2085="", "Pending", IF(N2085&lt;=30, "Met", "Breached"))</f>
        <v/>
      </c>
      <c r="P2085" s="8" t="n"/>
      <c r="Q2085" s="8" t="n"/>
      <c r="R2085" s="8" t="n"/>
      <c r="S2085" s="8" t="n"/>
      <c r="T2085" s="8" t="n"/>
      <c r="U2085" s="8" t="n"/>
      <c r="V2085" s="8" t="n"/>
      <c r="W2085" s="8" t="n"/>
      <c r="X2085" s="8" t="n"/>
      <c r="Y2085" s="8" t="n"/>
    </row>
    <row r="2086">
      <c r="A2086" s="8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9">
        <f>B2086+30</f>
        <v/>
      </c>
      <c r="N2086">
        <f>IF(L2086="", "", L2086-B2086)</f>
        <v/>
      </c>
      <c r="O2086">
        <f>IF(L2086="", "Pending", IF(N2086&lt;=30, "Met", "Breached"))</f>
        <v/>
      </c>
      <c r="P2086" s="8" t="n"/>
      <c r="Q2086" s="8" t="n"/>
      <c r="R2086" s="8" t="n"/>
      <c r="S2086" s="8" t="n"/>
      <c r="T2086" s="8" t="n"/>
      <c r="U2086" s="8" t="n"/>
      <c r="V2086" s="8" t="n"/>
      <c r="W2086" s="8" t="n"/>
      <c r="X2086" s="8" t="n"/>
      <c r="Y2086" s="8" t="n"/>
    </row>
    <row r="2087">
      <c r="A2087" s="8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9">
        <f>B2087+30</f>
        <v/>
      </c>
      <c r="N2087">
        <f>IF(L2087="", "", L2087-B2087)</f>
        <v/>
      </c>
      <c r="O2087">
        <f>IF(L2087="", "Pending", IF(N2087&lt;=30, "Met", "Breached"))</f>
        <v/>
      </c>
      <c r="P2087" s="8" t="n"/>
      <c r="Q2087" s="8" t="n"/>
      <c r="R2087" s="8" t="n"/>
      <c r="S2087" s="8" t="n"/>
      <c r="T2087" s="8" t="n"/>
      <c r="U2087" s="8" t="n"/>
      <c r="V2087" s="8" t="n"/>
      <c r="W2087" s="8" t="n"/>
      <c r="X2087" s="8" t="n"/>
      <c r="Y2087" s="8" t="n"/>
    </row>
    <row r="2088">
      <c r="A2088" s="8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9">
        <f>B2088+30</f>
        <v/>
      </c>
      <c r="N2088">
        <f>IF(L2088="", "", L2088-B2088)</f>
        <v/>
      </c>
      <c r="O2088">
        <f>IF(L2088="", "Pending", IF(N2088&lt;=30, "Met", "Breached"))</f>
        <v/>
      </c>
      <c r="P2088" s="8" t="n"/>
      <c r="Q2088" s="8" t="n"/>
      <c r="R2088" s="8" t="n"/>
      <c r="S2088" s="8" t="n"/>
      <c r="T2088" s="8" t="n"/>
      <c r="U2088" s="8" t="n"/>
      <c r="V2088" s="8" t="n"/>
      <c r="W2088" s="8" t="n"/>
      <c r="X2088" s="8" t="n"/>
      <c r="Y2088" s="8" t="n"/>
    </row>
    <row r="2089">
      <c r="A2089" s="8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9">
        <f>B2089+30</f>
        <v/>
      </c>
      <c r="N2089">
        <f>IF(L2089="", "", L2089-B2089)</f>
        <v/>
      </c>
      <c r="O2089">
        <f>IF(L2089="", "Pending", IF(N2089&lt;=30, "Met", "Breached"))</f>
        <v/>
      </c>
      <c r="P2089" s="8" t="n"/>
      <c r="Q2089" s="8" t="n"/>
      <c r="R2089" s="8" t="n"/>
      <c r="S2089" s="8" t="n"/>
      <c r="T2089" s="8" t="n"/>
      <c r="U2089" s="8" t="n"/>
      <c r="V2089" s="8" t="n"/>
      <c r="W2089" s="8" t="n"/>
      <c r="X2089" s="8" t="n"/>
      <c r="Y2089" s="8" t="n"/>
    </row>
    <row r="2090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9">
        <f>B2090+30</f>
        <v/>
      </c>
      <c r="N2090">
        <f>IF(L2090="", "", L2090-B2090)</f>
        <v/>
      </c>
      <c r="O2090">
        <f>IF(L2090="", "Pending", IF(N2090&lt;=30, "Met", "Breached"))</f>
        <v/>
      </c>
      <c r="P2090" s="8" t="n"/>
      <c r="Q2090" s="8" t="n"/>
      <c r="R2090" s="8" t="n"/>
      <c r="S2090" s="8" t="n"/>
      <c r="T2090" s="8" t="n"/>
      <c r="U2090" s="8" t="n"/>
      <c r="V2090" s="8" t="n"/>
      <c r="W2090" s="8" t="n"/>
      <c r="X2090" s="8" t="n"/>
      <c r="Y2090" s="8" t="n"/>
    </row>
    <row r="2091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9">
        <f>B2091+30</f>
        <v/>
      </c>
      <c r="N2091">
        <f>IF(L2091="", "", L2091-B2091)</f>
        <v/>
      </c>
      <c r="O2091">
        <f>IF(L2091="", "Pending", IF(N2091&lt;=30, "Met", "Breached"))</f>
        <v/>
      </c>
      <c r="P2091" s="8" t="n"/>
      <c r="Q2091" s="8" t="n"/>
      <c r="R2091" s="8" t="n"/>
      <c r="S2091" s="8" t="n"/>
      <c r="T2091" s="8" t="n"/>
      <c r="U2091" s="8" t="n"/>
      <c r="V2091" s="8" t="n"/>
      <c r="W2091" s="8" t="n"/>
      <c r="X2091" s="8" t="n"/>
      <c r="Y2091" s="8" t="n"/>
    </row>
    <row r="2092">
      <c r="A2092" s="8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9">
        <f>B2092+30</f>
        <v/>
      </c>
      <c r="N2092">
        <f>IF(L2092="", "", L2092-B2092)</f>
        <v/>
      </c>
      <c r="O2092">
        <f>IF(L2092="", "Pending", IF(N2092&lt;=30, "Met", "Breached"))</f>
        <v/>
      </c>
      <c r="P2092" s="8" t="n"/>
      <c r="Q2092" s="8" t="n"/>
      <c r="R2092" s="8" t="n"/>
      <c r="S2092" s="8" t="n"/>
      <c r="T2092" s="8" t="n"/>
      <c r="U2092" s="8" t="n"/>
      <c r="V2092" s="8" t="n"/>
      <c r="W2092" s="8" t="n"/>
      <c r="X2092" s="8" t="n"/>
      <c r="Y2092" s="8" t="n"/>
    </row>
    <row r="2093">
      <c r="A2093" s="8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9">
        <f>B2093+30</f>
        <v/>
      </c>
      <c r="N2093">
        <f>IF(L2093="", "", L2093-B2093)</f>
        <v/>
      </c>
      <c r="O2093">
        <f>IF(L2093="", "Pending", IF(N2093&lt;=30, "Met", "Breached"))</f>
        <v/>
      </c>
      <c r="P2093" s="8" t="n"/>
      <c r="Q2093" s="8" t="n"/>
      <c r="R2093" s="8" t="n"/>
      <c r="S2093" s="8" t="n"/>
      <c r="T2093" s="8" t="n"/>
      <c r="U2093" s="8" t="n"/>
      <c r="V2093" s="8" t="n"/>
      <c r="W2093" s="8" t="n"/>
      <c r="X2093" s="8" t="n"/>
      <c r="Y2093" s="8" t="n"/>
    </row>
    <row r="2094">
      <c r="A2094" s="8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9">
        <f>B2094+30</f>
        <v/>
      </c>
      <c r="N2094">
        <f>IF(L2094="", "", L2094-B2094)</f>
        <v/>
      </c>
      <c r="O2094">
        <f>IF(L2094="", "Pending", IF(N2094&lt;=30, "Met", "Breached"))</f>
        <v/>
      </c>
      <c r="P2094" s="8" t="n"/>
      <c r="Q2094" s="8" t="n"/>
      <c r="R2094" s="8" t="n"/>
      <c r="S2094" s="8" t="n"/>
      <c r="T2094" s="8" t="n"/>
      <c r="U2094" s="8" t="n"/>
      <c r="V2094" s="8" t="n"/>
      <c r="W2094" s="8" t="n"/>
      <c r="X2094" s="8" t="n"/>
      <c r="Y2094" s="8" t="n"/>
    </row>
    <row r="2095">
      <c r="A2095" s="8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9">
        <f>B2095+30</f>
        <v/>
      </c>
      <c r="N2095">
        <f>IF(L2095="", "", L2095-B2095)</f>
        <v/>
      </c>
      <c r="O2095">
        <f>IF(L2095="", "Pending", IF(N2095&lt;=30, "Met", "Breached"))</f>
        <v/>
      </c>
      <c r="P2095" s="8" t="n"/>
      <c r="Q2095" s="8" t="n"/>
      <c r="R2095" s="8" t="n"/>
      <c r="S2095" s="8" t="n"/>
      <c r="T2095" s="8" t="n"/>
      <c r="U2095" s="8" t="n"/>
      <c r="V2095" s="8" t="n"/>
      <c r="W2095" s="8" t="n"/>
      <c r="X2095" s="8" t="n"/>
      <c r="Y2095" s="8" t="n"/>
    </row>
    <row r="2096">
      <c r="A2096" s="8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9">
        <f>B2096+30</f>
        <v/>
      </c>
      <c r="N2096">
        <f>IF(L2096="", "", L2096-B2096)</f>
        <v/>
      </c>
      <c r="O2096">
        <f>IF(L2096="", "Pending", IF(N2096&lt;=30, "Met", "Breached"))</f>
        <v/>
      </c>
      <c r="P2096" s="8" t="n"/>
      <c r="Q2096" s="8" t="n"/>
      <c r="R2096" s="8" t="n"/>
      <c r="S2096" s="8" t="n"/>
      <c r="T2096" s="8" t="n"/>
      <c r="U2096" s="8" t="n"/>
      <c r="V2096" s="8" t="n"/>
      <c r="W2096" s="8" t="n"/>
      <c r="X2096" s="8" t="n"/>
      <c r="Y2096" s="8" t="n"/>
    </row>
    <row r="2097">
      <c r="A2097" s="8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9">
        <f>B2097+30</f>
        <v/>
      </c>
      <c r="N2097">
        <f>IF(L2097="", "", L2097-B2097)</f>
        <v/>
      </c>
      <c r="O2097">
        <f>IF(L2097="", "Pending", IF(N2097&lt;=30, "Met", "Breached"))</f>
        <v/>
      </c>
      <c r="P2097" s="8" t="n"/>
      <c r="Q2097" s="8" t="n"/>
      <c r="R2097" s="8" t="n"/>
      <c r="S2097" s="8" t="n"/>
      <c r="T2097" s="8" t="n"/>
      <c r="U2097" s="8" t="n"/>
      <c r="V2097" s="8" t="n"/>
      <c r="W2097" s="8" t="n"/>
      <c r="X2097" s="8" t="n"/>
      <c r="Y2097" s="8" t="n"/>
    </row>
    <row r="2098">
      <c r="A2098" s="8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9">
        <f>B2098+30</f>
        <v/>
      </c>
      <c r="N2098">
        <f>IF(L2098="", "", L2098-B2098)</f>
        <v/>
      </c>
      <c r="O2098">
        <f>IF(L2098="", "Pending", IF(N2098&lt;=30, "Met", "Breached"))</f>
        <v/>
      </c>
      <c r="P2098" s="8" t="n"/>
      <c r="Q2098" s="8" t="n"/>
      <c r="R2098" s="8" t="n"/>
      <c r="S2098" s="8" t="n"/>
      <c r="T2098" s="8" t="n"/>
      <c r="U2098" s="8" t="n"/>
      <c r="V2098" s="8" t="n"/>
      <c r="W2098" s="8" t="n"/>
      <c r="X2098" s="8" t="n"/>
      <c r="Y2098" s="8" t="n"/>
    </row>
    <row r="2099">
      <c r="A2099" s="8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9">
        <f>B2099+30</f>
        <v/>
      </c>
      <c r="N2099">
        <f>IF(L2099="", "", L2099-B2099)</f>
        <v/>
      </c>
      <c r="O2099">
        <f>IF(L2099="", "Pending", IF(N2099&lt;=30, "Met", "Breached"))</f>
        <v/>
      </c>
      <c r="P2099" s="8" t="n"/>
      <c r="Q2099" s="8" t="n"/>
      <c r="R2099" s="8" t="n"/>
      <c r="S2099" s="8" t="n"/>
      <c r="T2099" s="8" t="n"/>
      <c r="U2099" s="8" t="n"/>
      <c r="V2099" s="8" t="n"/>
      <c r="W2099" s="8" t="n"/>
      <c r="X2099" s="8" t="n"/>
      <c r="Y2099" s="8" t="n"/>
    </row>
    <row r="2100">
      <c r="A2100" s="8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9">
        <f>B2100+30</f>
        <v/>
      </c>
      <c r="N2100">
        <f>IF(L2100="", "", L2100-B2100)</f>
        <v/>
      </c>
      <c r="O2100">
        <f>IF(L2100="", "Pending", IF(N2100&lt;=30, "Met", "Breached"))</f>
        <v/>
      </c>
      <c r="P2100" s="8" t="n"/>
      <c r="Q2100" s="8" t="n"/>
      <c r="R2100" s="8" t="n"/>
      <c r="S2100" s="8" t="n"/>
      <c r="T2100" s="8" t="n"/>
      <c r="U2100" s="8" t="n"/>
      <c r="V2100" s="8" t="n"/>
      <c r="W2100" s="8" t="n"/>
      <c r="X2100" s="8" t="n"/>
      <c r="Y2100" s="8" t="n"/>
    </row>
    <row r="2101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9">
        <f>B2101+30</f>
        <v/>
      </c>
      <c r="N2101">
        <f>IF(L2101="", "", L2101-B2101)</f>
        <v/>
      </c>
      <c r="O2101">
        <f>IF(L2101="", "Pending", IF(N2101&lt;=30, "Met", "Breached"))</f>
        <v/>
      </c>
      <c r="P2101" s="8" t="n"/>
      <c r="Q2101" s="8" t="n"/>
      <c r="R2101" s="8" t="n"/>
      <c r="S2101" s="8" t="n"/>
      <c r="T2101" s="8" t="n"/>
      <c r="U2101" s="8" t="n"/>
      <c r="V2101" s="8" t="n"/>
      <c r="W2101" s="8" t="n"/>
      <c r="X2101" s="8" t="n"/>
      <c r="Y2101" s="8" t="n"/>
    </row>
    <row r="2102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9">
        <f>B2102+30</f>
        <v/>
      </c>
      <c r="N2102">
        <f>IF(L2102="", "", L2102-B2102)</f>
        <v/>
      </c>
      <c r="O2102">
        <f>IF(L2102="", "Pending", IF(N2102&lt;=30, "Met", "Breached"))</f>
        <v/>
      </c>
      <c r="P2102" s="8" t="n"/>
      <c r="Q2102" s="8" t="n"/>
      <c r="R2102" s="8" t="n"/>
      <c r="S2102" s="8" t="n"/>
      <c r="T2102" s="8" t="n"/>
      <c r="U2102" s="8" t="n"/>
      <c r="V2102" s="8" t="n"/>
      <c r="W2102" s="8" t="n"/>
      <c r="X2102" s="8" t="n"/>
      <c r="Y2102" s="8" t="n"/>
    </row>
    <row r="2103">
      <c r="A2103" s="8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9">
        <f>B2103+30</f>
        <v/>
      </c>
      <c r="N2103">
        <f>IF(L2103="", "", L2103-B2103)</f>
        <v/>
      </c>
      <c r="O2103">
        <f>IF(L2103="", "Pending", IF(N2103&lt;=30, "Met", "Breached"))</f>
        <v/>
      </c>
      <c r="P2103" s="8" t="n"/>
      <c r="Q2103" s="8" t="n"/>
      <c r="R2103" s="8" t="n"/>
      <c r="S2103" s="8" t="n"/>
      <c r="T2103" s="8" t="n"/>
      <c r="U2103" s="8" t="n"/>
      <c r="V2103" s="8" t="n"/>
      <c r="W2103" s="8" t="n"/>
      <c r="X2103" s="8" t="n"/>
      <c r="Y2103" s="8" t="n"/>
    </row>
    <row r="2104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9">
        <f>B2104+30</f>
        <v/>
      </c>
      <c r="N2104">
        <f>IF(L2104="", "", L2104-B2104)</f>
        <v/>
      </c>
      <c r="O2104">
        <f>IF(L2104="", "Pending", IF(N2104&lt;=30, "Met", "Breached"))</f>
        <v/>
      </c>
      <c r="P2104" s="8" t="n"/>
      <c r="Q2104" s="8" t="n"/>
      <c r="R2104" s="8" t="n"/>
      <c r="S2104" s="8" t="n"/>
      <c r="T2104" s="8" t="n"/>
      <c r="U2104" s="8" t="n"/>
      <c r="V2104" s="8" t="n"/>
      <c r="W2104" s="8" t="n"/>
      <c r="X2104" s="8" t="n"/>
      <c r="Y2104" s="8" t="n"/>
    </row>
    <row r="2105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9">
        <f>B2105+30</f>
        <v/>
      </c>
      <c r="N2105">
        <f>IF(L2105="", "", L2105-B2105)</f>
        <v/>
      </c>
      <c r="O2105">
        <f>IF(L2105="", "Pending", IF(N2105&lt;=30, "Met", "Breached"))</f>
        <v/>
      </c>
      <c r="P2105" s="8" t="n"/>
      <c r="Q2105" s="8" t="n"/>
      <c r="R2105" s="8" t="n"/>
      <c r="S2105" s="8" t="n"/>
      <c r="T2105" s="8" t="n"/>
      <c r="U2105" s="8" t="n"/>
      <c r="V2105" s="8" t="n"/>
      <c r="W2105" s="8" t="n"/>
      <c r="X2105" s="8" t="n"/>
      <c r="Y2105" s="8" t="n"/>
    </row>
    <row r="2106">
      <c r="A2106" s="8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9">
        <f>B2106+30</f>
        <v/>
      </c>
      <c r="N2106">
        <f>IF(L2106="", "", L2106-B2106)</f>
        <v/>
      </c>
      <c r="O2106">
        <f>IF(L2106="", "Pending", IF(N2106&lt;=30, "Met", "Breached"))</f>
        <v/>
      </c>
      <c r="P2106" s="8" t="n"/>
      <c r="Q2106" s="8" t="n"/>
      <c r="R2106" s="8" t="n"/>
      <c r="S2106" s="8" t="n"/>
      <c r="T2106" s="8" t="n"/>
      <c r="U2106" s="8" t="n"/>
      <c r="V2106" s="8" t="n"/>
      <c r="W2106" s="8" t="n"/>
      <c r="X2106" s="8" t="n"/>
      <c r="Y2106" s="8" t="n"/>
    </row>
    <row r="2107">
      <c r="A2107" s="8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9">
        <f>B2107+30</f>
        <v/>
      </c>
      <c r="N2107">
        <f>IF(L2107="", "", L2107-B2107)</f>
        <v/>
      </c>
      <c r="O2107">
        <f>IF(L2107="", "Pending", IF(N2107&lt;=30, "Met", "Breached"))</f>
        <v/>
      </c>
      <c r="P2107" s="8" t="n"/>
      <c r="Q2107" s="8" t="n"/>
      <c r="R2107" s="8" t="n"/>
      <c r="S2107" s="8" t="n"/>
      <c r="T2107" s="8" t="n"/>
      <c r="U2107" s="8" t="n"/>
      <c r="V2107" s="8" t="n"/>
      <c r="W2107" s="8" t="n"/>
      <c r="X2107" s="8" t="n"/>
      <c r="Y2107" s="8" t="n"/>
    </row>
    <row r="2108">
      <c r="A2108" s="8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9">
        <f>B2108+30</f>
        <v/>
      </c>
      <c r="N2108">
        <f>IF(L2108="", "", L2108-B2108)</f>
        <v/>
      </c>
      <c r="O2108">
        <f>IF(L2108="", "Pending", IF(N2108&lt;=30, "Met", "Breached"))</f>
        <v/>
      </c>
      <c r="P2108" s="8" t="n"/>
      <c r="Q2108" s="8" t="n"/>
      <c r="R2108" s="8" t="n"/>
      <c r="S2108" s="8" t="n"/>
      <c r="T2108" s="8" t="n"/>
      <c r="U2108" s="8" t="n"/>
      <c r="V2108" s="8" t="n"/>
      <c r="W2108" s="8" t="n"/>
      <c r="X2108" s="8" t="n"/>
      <c r="Y2108" s="8" t="n"/>
    </row>
    <row r="2109">
      <c r="A2109" s="8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9">
        <f>B2109+30</f>
        <v/>
      </c>
      <c r="N2109">
        <f>IF(L2109="", "", L2109-B2109)</f>
        <v/>
      </c>
      <c r="O2109">
        <f>IF(L2109="", "Pending", IF(N2109&lt;=30, "Met", "Breached"))</f>
        <v/>
      </c>
      <c r="P2109" s="8" t="n"/>
      <c r="Q2109" s="8" t="n"/>
      <c r="R2109" s="8" t="n"/>
      <c r="S2109" s="8" t="n"/>
      <c r="T2109" s="8" t="n"/>
      <c r="U2109" s="8" t="n"/>
      <c r="V2109" s="8" t="n"/>
      <c r="W2109" s="8" t="n"/>
      <c r="X2109" s="8" t="n"/>
      <c r="Y2109" s="8" t="n"/>
    </row>
    <row r="2110">
      <c r="A2110" s="8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9">
        <f>B2110+30</f>
        <v/>
      </c>
      <c r="N2110">
        <f>IF(L2110="", "", L2110-B2110)</f>
        <v/>
      </c>
      <c r="O2110">
        <f>IF(L2110="", "Pending", IF(N2110&lt;=30, "Met", "Breached"))</f>
        <v/>
      </c>
      <c r="P2110" s="8" t="n"/>
      <c r="Q2110" s="8" t="n"/>
      <c r="R2110" s="8" t="n"/>
      <c r="S2110" s="8" t="n"/>
      <c r="T2110" s="8" t="n"/>
      <c r="U2110" s="8" t="n"/>
      <c r="V2110" s="8" t="n"/>
      <c r="W2110" s="8" t="n"/>
      <c r="X2110" s="8" t="n"/>
      <c r="Y2110" s="8" t="n"/>
    </row>
    <row r="2111">
      <c r="A2111" s="8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9">
        <f>B2111+30</f>
        <v/>
      </c>
      <c r="N2111">
        <f>IF(L2111="", "", L2111-B2111)</f>
        <v/>
      </c>
      <c r="O2111">
        <f>IF(L2111="", "Pending", IF(N2111&lt;=30, "Met", "Breached"))</f>
        <v/>
      </c>
      <c r="P2111" s="8" t="n"/>
      <c r="Q2111" s="8" t="n"/>
      <c r="R2111" s="8" t="n"/>
      <c r="S2111" s="8" t="n"/>
      <c r="T2111" s="8" t="n"/>
      <c r="U2111" s="8" t="n"/>
      <c r="V2111" s="8" t="n"/>
      <c r="W2111" s="8" t="n"/>
      <c r="X2111" s="8" t="n"/>
      <c r="Y2111" s="8" t="n"/>
    </row>
    <row r="2112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9">
        <f>B2112+30</f>
        <v/>
      </c>
      <c r="N2112">
        <f>IF(L2112="", "", L2112-B2112)</f>
        <v/>
      </c>
      <c r="O2112">
        <f>IF(L2112="", "Pending", IF(N2112&lt;=30, "Met", "Breached"))</f>
        <v/>
      </c>
      <c r="P2112" s="8" t="n"/>
      <c r="Q2112" s="8" t="n"/>
      <c r="R2112" s="8" t="n"/>
      <c r="S2112" s="8" t="n"/>
      <c r="T2112" s="8" t="n"/>
      <c r="U2112" s="8" t="n"/>
      <c r="V2112" s="8" t="n"/>
      <c r="W2112" s="8" t="n"/>
      <c r="X2112" s="8" t="n"/>
      <c r="Y2112" s="8" t="n"/>
    </row>
    <row r="2113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9">
        <f>B2113+30</f>
        <v/>
      </c>
      <c r="N2113">
        <f>IF(L2113="", "", L2113-B2113)</f>
        <v/>
      </c>
      <c r="O2113">
        <f>IF(L2113="", "Pending", IF(N2113&lt;=30, "Met", "Breached"))</f>
        <v/>
      </c>
      <c r="P2113" s="8" t="n"/>
      <c r="Q2113" s="8" t="n"/>
      <c r="R2113" s="8" t="n"/>
      <c r="S2113" s="8" t="n"/>
      <c r="T2113" s="8" t="n"/>
      <c r="U2113" s="8" t="n"/>
      <c r="V2113" s="8" t="n"/>
      <c r="W2113" s="8" t="n"/>
      <c r="X2113" s="8" t="n"/>
      <c r="Y2113" s="8" t="n"/>
    </row>
    <row r="2114">
      <c r="A2114" s="8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9">
        <f>B2114+30</f>
        <v/>
      </c>
      <c r="N2114">
        <f>IF(L2114="", "", L2114-B2114)</f>
        <v/>
      </c>
      <c r="O2114">
        <f>IF(L2114="", "Pending", IF(N2114&lt;=30, "Met", "Breached"))</f>
        <v/>
      </c>
      <c r="P2114" s="8" t="n"/>
      <c r="Q2114" s="8" t="n"/>
      <c r="R2114" s="8" t="n"/>
      <c r="S2114" s="8" t="n"/>
      <c r="T2114" s="8" t="n"/>
      <c r="U2114" s="8" t="n"/>
      <c r="V2114" s="8" t="n"/>
      <c r="W2114" s="8" t="n"/>
      <c r="X2114" s="8" t="n"/>
      <c r="Y2114" s="8" t="n"/>
    </row>
    <row r="2115">
      <c r="A2115" s="8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9">
        <f>B2115+30</f>
        <v/>
      </c>
      <c r="N2115">
        <f>IF(L2115="", "", L2115-B2115)</f>
        <v/>
      </c>
      <c r="O2115">
        <f>IF(L2115="", "Pending", IF(N2115&lt;=30, "Met", "Breached"))</f>
        <v/>
      </c>
      <c r="P2115" s="8" t="n"/>
      <c r="Q2115" s="8" t="n"/>
      <c r="R2115" s="8" t="n"/>
      <c r="S2115" s="8" t="n"/>
      <c r="T2115" s="8" t="n"/>
      <c r="U2115" s="8" t="n"/>
      <c r="V2115" s="8" t="n"/>
      <c r="W2115" s="8" t="n"/>
      <c r="X2115" s="8" t="n"/>
      <c r="Y2115" s="8" t="n"/>
    </row>
    <row r="2116">
      <c r="A2116" s="8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9">
        <f>B2116+30</f>
        <v/>
      </c>
      <c r="N2116">
        <f>IF(L2116="", "", L2116-B2116)</f>
        <v/>
      </c>
      <c r="O2116">
        <f>IF(L2116="", "Pending", IF(N2116&lt;=30, "Met", "Breached"))</f>
        <v/>
      </c>
      <c r="P2116" s="8" t="n"/>
      <c r="Q2116" s="8" t="n"/>
      <c r="R2116" s="8" t="n"/>
      <c r="S2116" s="8" t="n"/>
      <c r="T2116" s="8" t="n"/>
      <c r="U2116" s="8" t="n"/>
      <c r="V2116" s="8" t="n"/>
      <c r="W2116" s="8" t="n"/>
      <c r="X2116" s="8" t="n"/>
      <c r="Y2116" s="8" t="n"/>
    </row>
    <row r="2117">
      <c r="A2117" s="8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9">
        <f>B2117+30</f>
        <v/>
      </c>
      <c r="N2117">
        <f>IF(L2117="", "", L2117-B2117)</f>
        <v/>
      </c>
      <c r="O2117">
        <f>IF(L2117="", "Pending", IF(N2117&lt;=30, "Met", "Breached"))</f>
        <v/>
      </c>
      <c r="P2117" s="8" t="n"/>
      <c r="Q2117" s="8" t="n"/>
      <c r="R2117" s="8" t="n"/>
      <c r="S2117" s="8" t="n"/>
      <c r="T2117" s="8" t="n"/>
      <c r="U2117" s="8" t="n"/>
      <c r="V2117" s="8" t="n"/>
      <c r="W2117" s="8" t="n"/>
      <c r="X2117" s="8" t="n"/>
      <c r="Y2117" s="8" t="n"/>
    </row>
    <row r="2118">
      <c r="A2118" s="8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9">
        <f>B2118+30</f>
        <v/>
      </c>
      <c r="N2118">
        <f>IF(L2118="", "", L2118-B2118)</f>
        <v/>
      </c>
      <c r="O2118">
        <f>IF(L2118="", "Pending", IF(N2118&lt;=30, "Met", "Breached"))</f>
        <v/>
      </c>
      <c r="P2118" s="8" t="n"/>
      <c r="Q2118" s="8" t="n"/>
      <c r="R2118" s="8" t="n"/>
      <c r="S2118" s="8" t="n"/>
      <c r="T2118" s="8" t="n"/>
      <c r="U2118" s="8" t="n"/>
      <c r="V2118" s="8" t="n"/>
      <c r="W2118" s="8" t="n"/>
      <c r="X2118" s="8" t="n"/>
      <c r="Y2118" s="8" t="n"/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9">
        <f>B2119+30</f>
        <v/>
      </c>
      <c r="N2119">
        <f>IF(L2119="", "", L2119-B2119)</f>
        <v/>
      </c>
      <c r="O2119">
        <f>IF(L2119="", "Pending", IF(N2119&lt;=30, "Met", "Breached"))</f>
        <v/>
      </c>
      <c r="P2119" s="8" t="n"/>
      <c r="Q2119" s="8" t="n"/>
      <c r="R2119" s="8" t="n"/>
      <c r="S2119" s="8" t="n"/>
      <c r="T2119" s="8" t="n"/>
      <c r="U2119" s="8" t="n"/>
      <c r="V2119" s="8" t="n"/>
      <c r="W2119" s="8" t="n"/>
      <c r="X2119" s="8" t="n"/>
      <c r="Y2119" s="8" t="n"/>
    </row>
    <row r="2120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9">
        <f>B2120+30</f>
        <v/>
      </c>
      <c r="N2120">
        <f>IF(L2120="", "", L2120-B2120)</f>
        <v/>
      </c>
      <c r="O2120">
        <f>IF(L2120="", "Pending", IF(N2120&lt;=30, "Met", "Breached"))</f>
        <v/>
      </c>
      <c r="P2120" s="8" t="n"/>
      <c r="Q2120" s="8" t="n"/>
      <c r="R2120" s="8" t="n"/>
      <c r="S2120" s="8" t="n"/>
      <c r="T2120" s="8" t="n"/>
      <c r="U2120" s="8" t="n"/>
      <c r="V2120" s="8" t="n"/>
      <c r="W2120" s="8" t="n"/>
      <c r="X2120" s="8" t="n"/>
      <c r="Y2120" s="8" t="n"/>
    </row>
    <row r="2121">
      <c r="A2121" s="8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9">
        <f>B2121+30</f>
        <v/>
      </c>
      <c r="N2121">
        <f>IF(L2121="", "", L2121-B2121)</f>
        <v/>
      </c>
      <c r="O2121">
        <f>IF(L2121="", "Pending", IF(N2121&lt;=30, "Met", "Breached"))</f>
        <v/>
      </c>
      <c r="P2121" s="8" t="n"/>
      <c r="Q2121" s="8" t="n"/>
      <c r="R2121" s="8" t="n"/>
      <c r="S2121" s="8" t="n"/>
      <c r="T2121" s="8" t="n"/>
      <c r="U2121" s="8" t="n"/>
      <c r="V2121" s="8" t="n"/>
      <c r="W2121" s="8" t="n"/>
      <c r="X2121" s="8" t="n"/>
      <c r="Y2121" s="8" t="n"/>
    </row>
    <row r="2122">
      <c r="A2122" s="8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9">
        <f>B2122+30</f>
        <v/>
      </c>
      <c r="N2122">
        <f>IF(L2122="", "", L2122-B2122)</f>
        <v/>
      </c>
      <c r="O2122">
        <f>IF(L2122="", "Pending", IF(N2122&lt;=30, "Met", "Breached"))</f>
        <v/>
      </c>
      <c r="P2122" s="8" t="n"/>
      <c r="Q2122" s="8" t="n"/>
      <c r="R2122" s="8" t="n"/>
      <c r="S2122" s="8" t="n"/>
      <c r="T2122" s="8" t="n"/>
      <c r="U2122" s="8" t="n"/>
      <c r="V2122" s="8" t="n"/>
      <c r="W2122" s="8" t="n"/>
      <c r="X2122" s="8" t="n"/>
      <c r="Y2122" s="8" t="n"/>
    </row>
    <row r="2123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9">
        <f>B2123+30</f>
        <v/>
      </c>
      <c r="N2123">
        <f>IF(L2123="", "", L2123-B2123)</f>
        <v/>
      </c>
      <c r="O2123">
        <f>IF(L2123="", "Pending", IF(N2123&lt;=30, "Met", "Breached"))</f>
        <v/>
      </c>
      <c r="P2123" s="8" t="n"/>
      <c r="Q2123" s="8" t="n"/>
      <c r="R2123" s="8" t="n"/>
      <c r="S2123" s="8" t="n"/>
      <c r="T2123" s="8" t="n"/>
      <c r="U2123" s="8" t="n"/>
      <c r="V2123" s="8" t="n"/>
      <c r="W2123" s="8" t="n"/>
      <c r="X2123" s="8" t="n"/>
      <c r="Y2123" s="8" t="n"/>
    </row>
    <row r="2124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9">
        <f>B2124+30</f>
        <v/>
      </c>
      <c r="N2124">
        <f>IF(L2124="", "", L2124-B2124)</f>
        <v/>
      </c>
      <c r="O2124">
        <f>IF(L2124="", "Pending", IF(N2124&lt;=30, "Met", "Breached"))</f>
        <v/>
      </c>
      <c r="P2124" s="8" t="n"/>
      <c r="Q2124" s="8" t="n"/>
      <c r="R2124" s="8" t="n"/>
      <c r="S2124" s="8" t="n"/>
      <c r="T2124" s="8" t="n"/>
      <c r="U2124" s="8" t="n"/>
      <c r="V2124" s="8" t="n"/>
      <c r="W2124" s="8" t="n"/>
      <c r="X2124" s="8" t="n"/>
      <c r="Y2124" s="8" t="n"/>
    </row>
    <row r="2125">
      <c r="A2125" s="8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9">
        <f>B2125+30</f>
        <v/>
      </c>
      <c r="N2125">
        <f>IF(L2125="", "", L2125-B2125)</f>
        <v/>
      </c>
      <c r="O2125">
        <f>IF(L2125="", "Pending", IF(N2125&lt;=30, "Met", "Breached"))</f>
        <v/>
      </c>
      <c r="P2125" s="8" t="n"/>
      <c r="Q2125" s="8" t="n"/>
      <c r="R2125" s="8" t="n"/>
      <c r="S2125" s="8" t="n"/>
      <c r="T2125" s="8" t="n"/>
      <c r="U2125" s="8" t="n"/>
      <c r="V2125" s="8" t="n"/>
      <c r="W2125" s="8" t="n"/>
      <c r="X2125" s="8" t="n"/>
      <c r="Y2125" s="8" t="n"/>
    </row>
    <row r="2126">
      <c r="A2126" s="8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9">
        <f>B2126+30</f>
        <v/>
      </c>
      <c r="N2126">
        <f>IF(L2126="", "", L2126-B2126)</f>
        <v/>
      </c>
      <c r="O2126">
        <f>IF(L2126="", "Pending", IF(N2126&lt;=30, "Met", "Breached"))</f>
        <v/>
      </c>
      <c r="P2126" s="8" t="n"/>
      <c r="Q2126" s="8" t="n"/>
      <c r="R2126" s="8" t="n"/>
      <c r="S2126" s="8" t="n"/>
      <c r="T2126" s="8" t="n"/>
      <c r="U2126" s="8" t="n"/>
      <c r="V2126" s="8" t="n"/>
      <c r="W2126" s="8" t="n"/>
      <c r="X2126" s="8" t="n"/>
      <c r="Y2126" s="8" t="n"/>
    </row>
    <row r="2127">
      <c r="A2127" s="8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9">
        <f>B2127+30</f>
        <v/>
      </c>
      <c r="N2127">
        <f>IF(L2127="", "", L2127-B2127)</f>
        <v/>
      </c>
      <c r="O2127">
        <f>IF(L2127="", "Pending", IF(N2127&lt;=30, "Met", "Breached"))</f>
        <v/>
      </c>
      <c r="P2127" s="8" t="n"/>
      <c r="Q2127" s="8" t="n"/>
      <c r="R2127" s="8" t="n"/>
      <c r="S2127" s="8" t="n"/>
      <c r="T2127" s="8" t="n"/>
      <c r="U2127" s="8" t="n"/>
      <c r="V2127" s="8" t="n"/>
      <c r="W2127" s="8" t="n"/>
      <c r="X2127" s="8" t="n"/>
      <c r="Y2127" s="8" t="n"/>
    </row>
    <row r="2128">
      <c r="A2128" s="8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9">
        <f>B2128+30</f>
        <v/>
      </c>
      <c r="N2128">
        <f>IF(L2128="", "", L2128-B2128)</f>
        <v/>
      </c>
      <c r="O2128">
        <f>IF(L2128="", "Pending", IF(N2128&lt;=30, "Met", "Breached"))</f>
        <v/>
      </c>
      <c r="P2128" s="8" t="n"/>
      <c r="Q2128" s="8" t="n"/>
      <c r="R2128" s="8" t="n"/>
      <c r="S2128" s="8" t="n"/>
      <c r="T2128" s="8" t="n"/>
      <c r="U2128" s="8" t="n"/>
      <c r="V2128" s="8" t="n"/>
      <c r="W2128" s="8" t="n"/>
      <c r="X2128" s="8" t="n"/>
      <c r="Y2128" s="8" t="n"/>
    </row>
    <row r="2129">
      <c r="A2129" s="8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9">
        <f>B2129+30</f>
        <v/>
      </c>
      <c r="N2129">
        <f>IF(L2129="", "", L2129-B2129)</f>
        <v/>
      </c>
      <c r="O2129">
        <f>IF(L2129="", "Pending", IF(N2129&lt;=30, "Met", "Breached"))</f>
        <v/>
      </c>
      <c r="P2129" s="8" t="n"/>
      <c r="Q2129" s="8" t="n"/>
      <c r="R2129" s="8" t="n"/>
      <c r="S2129" s="8" t="n"/>
      <c r="T2129" s="8" t="n"/>
      <c r="U2129" s="8" t="n"/>
      <c r="V2129" s="8" t="n"/>
      <c r="W2129" s="8" t="n"/>
      <c r="X2129" s="8" t="n"/>
      <c r="Y2129" s="8" t="n"/>
    </row>
    <row r="2130">
      <c r="A2130" s="8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9">
        <f>B2130+30</f>
        <v/>
      </c>
      <c r="N2130">
        <f>IF(L2130="", "", L2130-B2130)</f>
        <v/>
      </c>
      <c r="O2130">
        <f>IF(L2130="", "Pending", IF(N2130&lt;=30, "Met", "Breached"))</f>
        <v/>
      </c>
      <c r="P2130" s="8" t="n"/>
      <c r="Q2130" s="8" t="n"/>
      <c r="R2130" s="8" t="n"/>
      <c r="S2130" s="8" t="n"/>
      <c r="T2130" s="8" t="n"/>
      <c r="U2130" s="8" t="n"/>
      <c r="V2130" s="8" t="n"/>
      <c r="W2130" s="8" t="n"/>
      <c r="X2130" s="8" t="n"/>
      <c r="Y2130" s="8" t="n"/>
    </row>
    <row r="2131">
      <c r="A2131" s="8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9">
        <f>B2131+30</f>
        <v/>
      </c>
      <c r="N2131">
        <f>IF(L2131="", "", L2131-B2131)</f>
        <v/>
      </c>
      <c r="O2131">
        <f>IF(L2131="", "Pending", IF(N2131&lt;=30, "Met", "Breached"))</f>
        <v/>
      </c>
      <c r="P2131" s="8" t="n"/>
      <c r="Q2131" s="8" t="n"/>
      <c r="R2131" s="8" t="n"/>
      <c r="S2131" s="8" t="n"/>
      <c r="T2131" s="8" t="n"/>
      <c r="U2131" s="8" t="n"/>
      <c r="V2131" s="8" t="n"/>
      <c r="W2131" s="8" t="n"/>
      <c r="X2131" s="8" t="n"/>
      <c r="Y2131" s="8" t="n"/>
    </row>
    <row r="2132">
      <c r="A2132" s="8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9">
        <f>B2132+30</f>
        <v/>
      </c>
      <c r="N2132">
        <f>IF(L2132="", "", L2132-B2132)</f>
        <v/>
      </c>
      <c r="O2132">
        <f>IF(L2132="", "Pending", IF(N2132&lt;=30, "Met", "Breached"))</f>
        <v/>
      </c>
      <c r="P2132" s="8" t="n"/>
      <c r="Q2132" s="8" t="n"/>
      <c r="R2132" s="8" t="n"/>
      <c r="S2132" s="8" t="n"/>
      <c r="T2132" s="8" t="n"/>
      <c r="U2132" s="8" t="n"/>
      <c r="V2132" s="8" t="n"/>
      <c r="W2132" s="8" t="n"/>
      <c r="X2132" s="8" t="n"/>
      <c r="Y2132" s="8" t="n"/>
    </row>
    <row r="2133">
      <c r="A2133" s="8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9">
        <f>B2133+30</f>
        <v/>
      </c>
      <c r="N2133">
        <f>IF(L2133="", "", L2133-B2133)</f>
        <v/>
      </c>
      <c r="O2133">
        <f>IF(L2133="", "Pending", IF(N2133&lt;=30, "Met", "Breached"))</f>
        <v/>
      </c>
      <c r="P2133" s="8" t="n"/>
      <c r="Q2133" s="8" t="n"/>
      <c r="R2133" s="8" t="n"/>
      <c r="S2133" s="8" t="n"/>
      <c r="T2133" s="8" t="n"/>
      <c r="U2133" s="8" t="n"/>
      <c r="V2133" s="8" t="n"/>
      <c r="W2133" s="8" t="n"/>
      <c r="X2133" s="8" t="n"/>
      <c r="Y2133" s="8" t="n"/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9">
        <f>B2134+30</f>
        <v/>
      </c>
      <c r="N2134">
        <f>IF(L2134="", "", L2134-B2134)</f>
        <v/>
      </c>
      <c r="O2134">
        <f>IF(L2134="", "Pending", IF(N2134&lt;=30, "Met", "Breached"))</f>
        <v/>
      </c>
      <c r="P2134" s="8" t="n"/>
      <c r="Q2134" s="8" t="n"/>
      <c r="R2134" s="8" t="n"/>
      <c r="S2134" s="8" t="n"/>
      <c r="T2134" s="8" t="n"/>
      <c r="U2134" s="8" t="n"/>
      <c r="V2134" s="8" t="n"/>
      <c r="W2134" s="8" t="n"/>
      <c r="X2134" s="8" t="n"/>
      <c r="Y2134" s="8" t="n"/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9">
        <f>B2135+30</f>
        <v/>
      </c>
      <c r="N2135">
        <f>IF(L2135="", "", L2135-B2135)</f>
        <v/>
      </c>
      <c r="O2135">
        <f>IF(L2135="", "Pending", IF(N2135&lt;=30, "Met", "Breached"))</f>
        <v/>
      </c>
      <c r="P2135" s="8" t="n"/>
      <c r="Q2135" s="8" t="n"/>
      <c r="R2135" s="8" t="n"/>
      <c r="S2135" s="8" t="n"/>
      <c r="T2135" s="8" t="n"/>
      <c r="U2135" s="8" t="n"/>
      <c r="V2135" s="8" t="n"/>
      <c r="W2135" s="8" t="n"/>
      <c r="X2135" s="8" t="n"/>
      <c r="Y2135" s="8" t="n"/>
    </row>
    <row r="2136">
      <c r="A2136" s="8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9">
        <f>B2136+30</f>
        <v/>
      </c>
      <c r="N2136">
        <f>IF(L2136="", "", L2136-B2136)</f>
        <v/>
      </c>
      <c r="O2136">
        <f>IF(L2136="", "Pending", IF(N2136&lt;=30, "Met", "Breached"))</f>
        <v/>
      </c>
      <c r="P2136" s="8" t="n"/>
      <c r="Q2136" s="8" t="n"/>
      <c r="R2136" s="8" t="n"/>
      <c r="S2136" s="8" t="n"/>
      <c r="T2136" s="8" t="n"/>
      <c r="U2136" s="8" t="n"/>
      <c r="V2136" s="8" t="n"/>
      <c r="W2136" s="8" t="n"/>
      <c r="X2136" s="8" t="n"/>
      <c r="Y2136" s="8" t="n"/>
    </row>
    <row r="2137">
      <c r="A2137" s="8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9">
        <f>B2137+30</f>
        <v/>
      </c>
      <c r="N2137">
        <f>IF(L2137="", "", L2137-B2137)</f>
        <v/>
      </c>
      <c r="O2137">
        <f>IF(L2137="", "Pending", IF(N2137&lt;=30, "Met", "Breached"))</f>
        <v/>
      </c>
      <c r="P2137" s="8" t="n"/>
      <c r="Q2137" s="8" t="n"/>
      <c r="R2137" s="8" t="n"/>
      <c r="S2137" s="8" t="n"/>
      <c r="T2137" s="8" t="n"/>
      <c r="U2137" s="8" t="n"/>
      <c r="V2137" s="8" t="n"/>
      <c r="W2137" s="8" t="n"/>
      <c r="X2137" s="8" t="n"/>
      <c r="Y2137" s="8" t="n"/>
    </row>
    <row r="2138">
      <c r="A2138" s="8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9">
        <f>B2138+30</f>
        <v/>
      </c>
      <c r="N2138">
        <f>IF(L2138="", "", L2138-B2138)</f>
        <v/>
      </c>
      <c r="O2138">
        <f>IF(L2138="", "Pending", IF(N2138&lt;=30, "Met", "Breached"))</f>
        <v/>
      </c>
      <c r="P2138" s="8" t="n"/>
      <c r="Q2138" s="8" t="n"/>
      <c r="R2138" s="8" t="n"/>
      <c r="S2138" s="8" t="n"/>
      <c r="T2138" s="8" t="n"/>
      <c r="U2138" s="8" t="n"/>
      <c r="V2138" s="8" t="n"/>
      <c r="W2138" s="8" t="n"/>
      <c r="X2138" s="8" t="n"/>
      <c r="Y2138" s="8" t="n"/>
    </row>
    <row r="2139">
      <c r="A2139" s="8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9">
        <f>B2139+30</f>
        <v/>
      </c>
      <c r="N2139">
        <f>IF(L2139="", "", L2139-B2139)</f>
        <v/>
      </c>
      <c r="O2139">
        <f>IF(L2139="", "Pending", IF(N2139&lt;=30, "Met", "Breached"))</f>
        <v/>
      </c>
      <c r="P2139" s="8" t="n"/>
      <c r="Q2139" s="8" t="n"/>
      <c r="R2139" s="8" t="n"/>
      <c r="S2139" s="8" t="n"/>
      <c r="T2139" s="8" t="n"/>
      <c r="U2139" s="8" t="n"/>
      <c r="V2139" s="8" t="n"/>
      <c r="W2139" s="8" t="n"/>
      <c r="X2139" s="8" t="n"/>
      <c r="Y2139" s="8" t="n"/>
    </row>
    <row r="2140">
      <c r="A2140" s="8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9">
        <f>B2140+30</f>
        <v/>
      </c>
      <c r="N2140">
        <f>IF(L2140="", "", L2140-B2140)</f>
        <v/>
      </c>
      <c r="O2140">
        <f>IF(L2140="", "Pending", IF(N2140&lt;=30, "Met", "Breached"))</f>
        <v/>
      </c>
      <c r="P2140" s="8" t="n"/>
      <c r="Q2140" s="8" t="n"/>
      <c r="R2140" s="8" t="n"/>
      <c r="S2140" s="8" t="n"/>
      <c r="T2140" s="8" t="n"/>
      <c r="U2140" s="8" t="n"/>
      <c r="V2140" s="8" t="n"/>
      <c r="W2140" s="8" t="n"/>
      <c r="X2140" s="8" t="n"/>
      <c r="Y2140" s="8" t="n"/>
    </row>
    <row r="2141">
      <c r="A2141" s="8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9">
        <f>B2141+30</f>
        <v/>
      </c>
      <c r="N2141">
        <f>IF(L2141="", "", L2141-B2141)</f>
        <v/>
      </c>
      <c r="O2141">
        <f>IF(L2141="", "Pending", IF(N2141&lt;=30, "Met", "Breached"))</f>
        <v/>
      </c>
      <c r="P2141" s="8" t="n"/>
      <c r="Q2141" s="8" t="n"/>
      <c r="R2141" s="8" t="n"/>
      <c r="S2141" s="8" t="n"/>
      <c r="T2141" s="8" t="n"/>
      <c r="U2141" s="8" t="n"/>
      <c r="V2141" s="8" t="n"/>
      <c r="W2141" s="8" t="n"/>
      <c r="X2141" s="8" t="n"/>
      <c r="Y2141" s="8" t="n"/>
    </row>
    <row r="2142">
      <c r="A2142" s="8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9">
        <f>B2142+30</f>
        <v/>
      </c>
      <c r="N2142">
        <f>IF(L2142="", "", L2142-B2142)</f>
        <v/>
      </c>
      <c r="O2142">
        <f>IF(L2142="", "Pending", IF(N2142&lt;=30, "Met", "Breached"))</f>
        <v/>
      </c>
      <c r="P2142" s="8" t="n"/>
      <c r="Q2142" s="8" t="n"/>
      <c r="R2142" s="8" t="n"/>
      <c r="S2142" s="8" t="n"/>
      <c r="T2142" s="8" t="n"/>
      <c r="U2142" s="8" t="n"/>
      <c r="V2142" s="8" t="n"/>
      <c r="W2142" s="8" t="n"/>
      <c r="X2142" s="8" t="n"/>
      <c r="Y2142" s="8" t="n"/>
    </row>
    <row r="2143">
      <c r="A2143" s="8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9">
        <f>B2143+30</f>
        <v/>
      </c>
      <c r="N2143">
        <f>IF(L2143="", "", L2143-B2143)</f>
        <v/>
      </c>
      <c r="O2143">
        <f>IF(L2143="", "Pending", IF(N2143&lt;=30, "Met", "Breached"))</f>
        <v/>
      </c>
      <c r="P2143" s="8" t="n"/>
      <c r="Q2143" s="8" t="n"/>
      <c r="R2143" s="8" t="n"/>
      <c r="S2143" s="8" t="n"/>
      <c r="T2143" s="8" t="n"/>
      <c r="U2143" s="8" t="n"/>
      <c r="V2143" s="8" t="n"/>
      <c r="W2143" s="8" t="n"/>
      <c r="X2143" s="8" t="n"/>
      <c r="Y2143" s="8" t="n"/>
    </row>
    <row r="2144">
      <c r="A2144" s="8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9">
        <f>B2144+30</f>
        <v/>
      </c>
      <c r="N2144">
        <f>IF(L2144="", "", L2144-B2144)</f>
        <v/>
      </c>
      <c r="O2144">
        <f>IF(L2144="", "Pending", IF(N2144&lt;=30, "Met", "Breached"))</f>
        <v/>
      </c>
      <c r="P2144" s="8" t="n"/>
      <c r="Q2144" s="8" t="n"/>
      <c r="R2144" s="8" t="n"/>
      <c r="S2144" s="8" t="n"/>
      <c r="T2144" s="8" t="n"/>
      <c r="U2144" s="8" t="n"/>
      <c r="V2144" s="8" t="n"/>
      <c r="W2144" s="8" t="n"/>
      <c r="X2144" s="8" t="n"/>
      <c r="Y2144" s="8" t="n"/>
    </row>
    <row r="2145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9">
        <f>B2145+30</f>
        <v/>
      </c>
      <c r="N2145">
        <f>IF(L2145="", "", L2145-B2145)</f>
        <v/>
      </c>
      <c r="O2145">
        <f>IF(L2145="", "Pending", IF(N2145&lt;=30, "Met", "Breached"))</f>
        <v/>
      </c>
      <c r="P2145" s="8" t="n"/>
      <c r="Q2145" s="8" t="n"/>
      <c r="R2145" s="8" t="n"/>
      <c r="S2145" s="8" t="n"/>
      <c r="T2145" s="8" t="n"/>
      <c r="U2145" s="8" t="n"/>
      <c r="V2145" s="8" t="n"/>
      <c r="W2145" s="8" t="n"/>
      <c r="X2145" s="8" t="n"/>
      <c r="Y2145" s="8" t="n"/>
    </row>
    <row r="2146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9">
        <f>B2146+30</f>
        <v/>
      </c>
      <c r="N2146">
        <f>IF(L2146="", "", L2146-B2146)</f>
        <v/>
      </c>
      <c r="O2146">
        <f>IF(L2146="", "Pending", IF(N2146&lt;=30, "Met", "Breached"))</f>
        <v/>
      </c>
      <c r="P2146" s="8" t="n"/>
      <c r="Q2146" s="8" t="n"/>
      <c r="R2146" s="8" t="n"/>
      <c r="S2146" s="8" t="n"/>
      <c r="T2146" s="8" t="n"/>
      <c r="U2146" s="8" t="n"/>
      <c r="V2146" s="8" t="n"/>
      <c r="W2146" s="8" t="n"/>
      <c r="X2146" s="8" t="n"/>
      <c r="Y2146" s="8" t="n"/>
    </row>
    <row r="2147">
      <c r="A2147" s="8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9">
        <f>B2147+30</f>
        <v/>
      </c>
      <c r="N2147">
        <f>IF(L2147="", "", L2147-B2147)</f>
        <v/>
      </c>
      <c r="O2147">
        <f>IF(L2147="", "Pending", IF(N2147&lt;=30, "Met", "Breached"))</f>
        <v/>
      </c>
      <c r="P2147" s="8" t="n"/>
      <c r="Q2147" s="8" t="n"/>
      <c r="R2147" s="8" t="n"/>
      <c r="S2147" s="8" t="n"/>
      <c r="T2147" s="8" t="n"/>
      <c r="U2147" s="8" t="n"/>
      <c r="V2147" s="8" t="n"/>
      <c r="W2147" s="8" t="n"/>
      <c r="X2147" s="8" t="n"/>
      <c r="Y2147" s="8" t="n"/>
    </row>
    <row r="2148">
      <c r="A2148" s="8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9">
        <f>B2148+30</f>
        <v/>
      </c>
      <c r="N2148">
        <f>IF(L2148="", "", L2148-B2148)</f>
        <v/>
      </c>
      <c r="O2148">
        <f>IF(L2148="", "Pending", IF(N2148&lt;=30, "Met", "Breached"))</f>
        <v/>
      </c>
      <c r="P2148" s="8" t="n"/>
      <c r="Q2148" s="8" t="n"/>
      <c r="R2148" s="8" t="n"/>
      <c r="S2148" s="8" t="n"/>
      <c r="T2148" s="8" t="n"/>
      <c r="U2148" s="8" t="n"/>
      <c r="V2148" s="8" t="n"/>
      <c r="W2148" s="8" t="n"/>
      <c r="X2148" s="8" t="n"/>
      <c r="Y2148" s="8" t="n"/>
    </row>
    <row r="2149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9">
        <f>B2149+30</f>
        <v/>
      </c>
      <c r="N2149">
        <f>IF(L2149="", "", L2149-B2149)</f>
        <v/>
      </c>
      <c r="O2149">
        <f>IF(L2149="", "Pending", IF(N2149&lt;=30, "Met", "Breached"))</f>
        <v/>
      </c>
      <c r="P2149" s="8" t="n"/>
      <c r="Q2149" s="8" t="n"/>
      <c r="R2149" s="8" t="n"/>
      <c r="S2149" s="8" t="n"/>
      <c r="T2149" s="8" t="n"/>
      <c r="U2149" s="8" t="n"/>
      <c r="V2149" s="8" t="n"/>
      <c r="W2149" s="8" t="n"/>
      <c r="X2149" s="8" t="n"/>
      <c r="Y2149" s="8" t="n"/>
    </row>
    <row r="2150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9">
        <f>B2150+30</f>
        <v/>
      </c>
      <c r="N2150">
        <f>IF(L2150="", "", L2150-B2150)</f>
        <v/>
      </c>
      <c r="O2150">
        <f>IF(L2150="", "Pending", IF(N2150&lt;=30, "Met", "Breached"))</f>
        <v/>
      </c>
      <c r="P2150" s="8" t="n"/>
      <c r="Q2150" s="8" t="n"/>
      <c r="R2150" s="8" t="n"/>
      <c r="S2150" s="8" t="n"/>
      <c r="T2150" s="8" t="n"/>
      <c r="U2150" s="8" t="n"/>
      <c r="V2150" s="8" t="n"/>
      <c r="W2150" s="8" t="n"/>
      <c r="X2150" s="8" t="n"/>
      <c r="Y2150" s="8" t="n"/>
    </row>
    <row r="2151">
      <c r="A2151" s="8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9">
        <f>B2151+30</f>
        <v/>
      </c>
      <c r="N2151">
        <f>IF(L2151="", "", L2151-B2151)</f>
        <v/>
      </c>
      <c r="O2151">
        <f>IF(L2151="", "Pending", IF(N2151&lt;=30, "Met", "Breached"))</f>
        <v/>
      </c>
      <c r="P2151" s="8" t="n"/>
      <c r="Q2151" s="8" t="n"/>
      <c r="R2151" s="8" t="n"/>
      <c r="S2151" s="8" t="n"/>
      <c r="T2151" s="8" t="n"/>
      <c r="U2151" s="8" t="n"/>
      <c r="V2151" s="8" t="n"/>
      <c r="W2151" s="8" t="n"/>
      <c r="X2151" s="8" t="n"/>
      <c r="Y2151" s="8" t="n"/>
    </row>
    <row r="2152">
      <c r="A2152" s="8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9">
        <f>B2152+30</f>
        <v/>
      </c>
      <c r="N2152">
        <f>IF(L2152="", "", L2152-B2152)</f>
        <v/>
      </c>
      <c r="O2152">
        <f>IF(L2152="", "Pending", IF(N2152&lt;=30, "Met", "Breached"))</f>
        <v/>
      </c>
      <c r="P2152" s="8" t="n"/>
      <c r="Q2152" s="8" t="n"/>
      <c r="R2152" s="8" t="n"/>
      <c r="S2152" s="8" t="n"/>
      <c r="T2152" s="8" t="n"/>
      <c r="U2152" s="8" t="n"/>
      <c r="V2152" s="8" t="n"/>
      <c r="W2152" s="8" t="n"/>
      <c r="X2152" s="8" t="n"/>
      <c r="Y2152" s="8" t="n"/>
    </row>
    <row r="2153">
      <c r="A2153" s="8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9">
        <f>B2153+30</f>
        <v/>
      </c>
      <c r="N2153">
        <f>IF(L2153="", "", L2153-B2153)</f>
        <v/>
      </c>
      <c r="O2153">
        <f>IF(L2153="", "Pending", IF(N2153&lt;=30, "Met", "Breached"))</f>
        <v/>
      </c>
      <c r="P2153" s="8" t="n"/>
      <c r="Q2153" s="8" t="n"/>
      <c r="R2153" s="8" t="n"/>
      <c r="S2153" s="8" t="n"/>
      <c r="T2153" s="8" t="n"/>
      <c r="U2153" s="8" t="n"/>
      <c r="V2153" s="8" t="n"/>
      <c r="W2153" s="8" t="n"/>
      <c r="X2153" s="8" t="n"/>
      <c r="Y2153" s="8" t="n"/>
    </row>
    <row r="2154">
      <c r="A2154" s="8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9">
        <f>B2154+30</f>
        <v/>
      </c>
      <c r="N2154">
        <f>IF(L2154="", "", L2154-B2154)</f>
        <v/>
      </c>
      <c r="O2154">
        <f>IF(L2154="", "Pending", IF(N2154&lt;=30, "Met", "Breached"))</f>
        <v/>
      </c>
      <c r="P2154" s="8" t="n"/>
      <c r="Q2154" s="8" t="n"/>
      <c r="R2154" s="8" t="n"/>
      <c r="S2154" s="8" t="n"/>
      <c r="T2154" s="8" t="n"/>
      <c r="U2154" s="8" t="n"/>
      <c r="V2154" s="8" t="n"/>
      <c r="W2154" s="8" t="n"/>
      <c r="X2154" s="8" t="n"/>
      <c r="Y2154" s="8" t="n"/>
    </row>
    <row r="2155">
      <c r="A2155" s="8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9">
        <f>B2155+30</f>
        <v/>
      </c>
      <c r="N2155">
        <f>IF(L2155="", "", L2155-B2155)</f>
        <v/>
      </c>
      <c r="O2155">
        <f>IF(L2155="", "Pending", IF(N2155&lt;=30, "Met", "Breached"))</f>
        <v/>
      </c>
      <c r="P2155" s="8" t="n"/>
      <c r="Q2155" s="8" t="n"/>
      <c r="R2155" s="8" t="n"/>
      <c r="S2155" s="8" t="n"/>
      <c r="T2155" s="8" t="n"/>
      <c r="U2155" s="8" t="n"/>
      <c r="V2155" s="8" t="n"/>
      <c r="W2155" s="8" t="n"/>
      <c r="X2155" s="8" t="n"/>
      <c r="Y2155" s="8" t="n"/>
    </row>
    <row r="2156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9">
        <f>B2156+30</f>
        <v/>
      </c>
      <c r="N2156">
        <f>IF(L2156="", "", L2156-B2156)</f>
        <v/>
      </c>
      <c r="O2156">
        <f>IF(L2156="", "Pending", IF(N2156&lt;=30, "Met", "Breached"))</f>
        <v/>
      </c>
      <c r="P2156" s="8" t="n"/>
      <c r="Q2156" s="8" t="n"/>
      <c r="R2156" s="8" t="n"/>
      <c r="S2156" s="8" t="n"/>
      <c r="T2156" s="8" t="n"/>
      <c r="U2156" s="8" t="n"/>
      <c r="V2156" s="8" t="n"/>
      <c r="W2156" s="8" t="n"/>
      <c r="X2156" s="8" t="n"/>
      <c r="Y2156" s="8" t="n"/>
    </row>
    <row r="2157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9">
        <f>B2157+30</f>
        <v/>
      </c>
      <c r="N2157">
        <f>IF(L2157="", "", L2157-B2157)</f>
        <v/>
      </c>
      <c r="O2157">
        <f>IF(L2157="", "Pending", IF(N2157&lt;=30, "Met", "Breached"))</f>
        <v/>
      </c>
      <c r="P2157" s="8" t="n"/>
      <c r="Q2157" s="8" t="n"/>
      <c r="R2157" s="8" t="n"/>
      <c r="S2157" s="8" t="n"/>
      <c r="T2157" s="8" t="n"/>
      <c r="U2157" s="8" t="n"/>
      <c r="V2157" s="8" t="n"/>
      <c r="W2157" s="8" t="n"/>
      <c r="X2157" s="8" t="n"/>
      <c r="Y2157" s="8" t="n"/>
    </row>
    <row r="2158">
      <c r="A2158" s="8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9">
        <f>B2158+30</f>
        <v/>
      </c>
      <c r="N2158">
        <f>IF(L2158="", "", L2158-B2158)</f>
        <v/>
      </c>
      <c r="O2158">
        <f>IF(L2158="", "Pending", IF(N2158&lt;=30, "Met", "Breached"))</f>
        <v/>
      </c>
      <c r="P2158" s="8" t="n"/>
      <c r="Q2158" s="8" t="n"/>
      <c r="R2158" s="8" t="n"/>
      <c r="S2158" s="8" t="n"/>
      <c r="T2158" s="8" t="n"/>
      <c r="U2158" s="8" t="n"/>
      <c r="V2158" s="8" t="n"/>
      <c r="W2158" s="8" t="n"/>
      <c r="X2158" s="8" t="n"/>
      <c r="Y2158" s="8" t="n"/>
    </row>
    <row r="2159">
      <c r="A2159" s="8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9">
        <f>B2159+30</f>
        <v/>
      </c>
      <c r="N2159">
        <f>IF(L2159="", "", L2159-B2159)</f>
        <v/>
      </c>
      <c r="O2159">
        <f>IF(L2159="", "Pending", IF(N2159&lt;=30, "Met", "Breached"))</f>
        <v/>
      </c>
      <c r="P2159" s="8" t="n"/>
      <c r="Q2159" s="8" t="n"/>
      <c r="R2159" s="8" t="n"/>
      <c r="S2159" s="8" t="n"/>
      <c r="T2159" s="8" t="n"/>
      <c r="U2159" s="8" t="n"/>
      <c r="V2159" s="8" t="n"/>
      <c r="W2159" s="8" t="n"/>
      <c r="X2159" s="8" t="n"/>
      <c r="Y2159" s="8" t="n"/>
    </row>
    <row r="2160">
      <c r="A2160" s="8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9">
        <f>B2160+30</f>
        <v/>
      </c>
      <c r="N2160">
        <f>IF(L2160="", "", L2160-B2160)</f>
        <v/>
      </c>
      <c r="O2160">
        <f>IF(L2160="", "Pending", IF(N2160&lt;=30, "Met", "Breached"))</f>
        <v/>
      </c>
      <c r="P2160" s="8" t="n"/>
      <c r="Q2160" s="8" t="n"/>
      <c r="R2160" s="8" t="n"/>
      <c r="S2160" s="8" t="n"/>
      <c r="T2160" s="8" t="n"/>
      <c r="U2160" s="8" t="n"/>
      <c r="V2160" s="8" t="n"/>
      <c r="W2160" s="8" t="n"/>
      <c r="X2160" s="8" t="n"/>
      <c r="Y2160" s="8" t="n"/>
    </row>
    <row r="2161">
      <c r="A2161" s="8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9">
        <f>B2161+30</f>
        <v/>
      </c>
      <c r="N2161">
        <f>IF(L2161="", "", L2161-B2161)</f>
        <v/>
      </c>
      <c r="O2161">
        <f>IF(L2161="", "Pending", IF(N2161&lt;=30, "Met", "Breached"))</f>
        <v/>
      </c>
      <c r="P2161" s="8" t="n"/>
      <c r="Q2161" s="8" t="n"/>
      <c r="R2161" s="8" t="n"/>
      <c r="S2161" s="8" t="n"/>
      <c r="T2161" s="8" t="n"/>
      <c r="U2161" s="8" t="n"/>
      <c r="V2161" s="8" t="n"/>
      <c r="W2161" s="8" t="n"/>
      <c r="X2161" s="8" t="n"/>
      <c r="Y2161" s="8" t="n"/>
    </row>
    <row r="2162">
      <c r="A2162" s="8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9">
        <f>B2162+30</f>
        <v/>
      </c>
      <c r="N2162">
        <f>IF(L2162="", "", L2162-B2162)</f>
        <v/>
      </c>
      <c r="O2162">
        <f>IF(L2162="", "Pending", IF(N2162&lt;=30, "Met", "Breached"))</f>
        <v/>
      </c>
      <c r="P2162" s="8" t="n"/>
      <c r="Q2162" s="8" t="n"/>
      <c r="R2162" s="8" t="n"/>
      <c r="S2162" s="8" t="n"/>
      <c r="T2162" s="8" t="n"/>
      <c r="U2162" s="8" t="n"/>
      <c r="V2162" s="8" t="n"/>
      <c r="W2162" s="8" t="n"/>
      <c r="X2162" s="8" t="n"/>
      <c r="Y2162" s="8" t="n"/>
    </row>
    <row r="2163">
      <c r="A2163" s="8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9">
        <f>B2163+30</f>
        <v/>
      </c>
      <c r="N2163">
        <f>IF(L2163="", "", L2163-B2163)</f>
        <v/>
      </c>
      <c r="O2163">
        <f>IF(L2163="", "Pending", IF(N2163&lt;=30, "Met", "Breached"))</f>
        <v/>
      </c>
      <c r="P2163" s="8" t="n"/>
      <c r="Q2163" s="8" t="n"/>
      <c r="R2163" s="8" t="n"/>
      <c r="S2163" s="8" t="n"/>
      <c r="T2163" s="8" t="n"/>
      <c r="U2163" s="8" t="n"/>
      <c r="V2163" s="8" t="n"/>
      <c r="W2163" s="8" t="n"/>
      <c r="X2163" s="8" t="n"/>
      <c r="Y2163" s="8" t="n"/>
    </row>
    <row r="2164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9">
        <f>B2164+30</f>
        <v/>
      </c>
      <c r="N2164">
        <f>IF(L2164="", "", L2164-B2164)</f>
        <v/>
      </c>
      <c r="O2164">
        <f>IF(L2164="", "Pending", IF(N2164&lt;=30, "Met", "Breached"))</f>
        <v/>
      </c>
      <c r="P2164" s="8" t="n"/>
      <c r="Q2164" s="8" t="n"/>
      <c r="R2164" s="8" t="n"/>
      <c r="S2164" s="8" t="n"/>
      <c r="T2164" s="8" t="n"/>
      <c r="U2164" s="8" t="n"/>
      <c r="V2164" s="8" t="n"/>
      <c r="W2164" s="8" t="n"/>
      <c r="X2164" s="8" t="n"/>
      <c r="Y2164" s="8" t="n"/>
    </row>
    <row r="2165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9">
        <f>B2165+30</f>
        <v/>
      </c>
      <c r="N2165">
        <f>IF(L2165="", "", L2165-B2165)</f>
        <v/>
      </c>
      <c r="O2165">
        <f>IF(L2165="", "Pending", IF(N2165&lt;=30, "Met", "Breached"))</f>
        <v/>
      </c>
      <c r="P2165" s="8" t="n"/>
      <c r="Q2165" s="8" t="n"/>
      <c r="R2165" s="8" t="n"/>
      <c r="S2165" s="8" t="n"/>
      <c r="T2165" s="8" t="n"/>
      <c r="U2165" s="8" t="n"/>
      <c r="V2165" s="8" t="n"/>
      <c r="W2165" s="8" t="n"/>
      <c r="X2165" s="8" t="n"/>
      <c r="Y2165" s="8" t="n"/>
    </row>
    <row r="2166">
      <c r="A2166" s="8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9">
        <f>B2166+30</f>
        <v/>
      </c>
      <c r="N2166">
        <f>IF(L2166="", "", L2166-B2166)</f>
        <v/>
      </c>
      <c r="O2166">
        <f>IF(L2166="", "Pending", IF(N2166&lt;=30, "Met", "Breached"))</f>
        <v/>
      </c>
      <c r="P2166" s="8" t="n"/>
      <c r="Q2166" s="8" t="n"/>
      <c r="R2166" s="8" t="n"/>
      <c r="S2166" s="8" t="n"/>
      <c r="T2166" s="8" t="n"/>
      <c r="U2166" s="8" t="n"/>
      <c r="V2166" s="8" t="n"/>
      <c r="W2166" s="8" t="n"/>
      <c r="X2166" s="8" t="n"/>
      <c r="Y2166" s="8" t="n"/>
    </row>
    <row r="2167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9">
        <f>B2167+30</f>
        <v/>
      </c>
      <c r="N2167">
        <f>IF(L2167="", "", L2167-B2167)</f>
        <v/>
      </c>
      <c r="O2167">
        <f>IF(L2167="", "Pending", IF(N2167&lt;=30, "Met", "Breached"))</f>
        <v/>
      </c>
      <c r="P2167" s="8" t="n"/>
      <c r="Q2167" s="8" t="n"/>
      <c r="R2167" s="8" t="n"/>
      <c r="S2167" s="8" t="n"/>
      <c r="T2167" s="8" t="n"/>
      <c r="U2167" s="8" t="n"/>
      <c r="V2167" s="8" t="n"/>
      <c r="W2167" s="8" t="n"/>
      <c r="X2167" s="8" t="n"/>
      <c r="Y2167" s="8" t="n"/>
    </row>
    <row r="2168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9">
        <f>B2168+30</f>
        <v/>
      </c>
      <c r="N2168">
        <f>IF(L2168="", "", L2168-B2168)</f>
        <v/>
      </c>
      <c r="O2168">
        <f>IF(L2168="", "Pending", IF(N2168&lt;=30, "Met", "Breached"))</f>
        <v/>
      </c>
      <c r="P2168" s="8" t="n"/>
      <c r="Q2168" s="8" t="n"/>
      <c r="R2168" s="8" t="n"/>
      <c r="S2168" s="8" t="n"/>
      <c r="T2168" s="8" t="n"/>
      <c r="U2168" s="8" t="n"/>
      <c r="V2168" s="8" t="n"/>
      <c r="W2168" s="8" t="n"/>
      <c r="X2168" s="8" t="n"/>
      <c r="Y2168" s="8" t="n"/>
    </row>
    <row r="2169">
      <c r="A2169" s="8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9">
        <f>B2169+30</f>
        <v/>
      </c>
      <c r="N2169">
        <f>IF(L2169="", "", L2169-B2169)</f>
        <v/>
      </c>
      <c r="O2169">
        <f>IF(L2169="", "Pending", IF(N2169&lt;=30, "Met", "Breached"))</f>
        <v/>
      </c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 t="n"/>
      <c r="Y2169" s="8" t="n"/>
    </row>
    <row r="2170">
      <c r="A2170" s="8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9">
        <f>B2170+30</f>
        <v/>
      </c>
      <c r="N2170">
        <f>IF(L2170="", "", L2170-B2170)</f>
        <v/>
      </c>
      <c r="O2170">
        <f>IF(L2170="", "Pending", IF(N2170&lt;=30, "Met", "Breached"))</f>
        <v/>
      </c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 t="n"/>
      <c r="Y2170" s="8" t="n"/>
    </row>
    <row r="2171">
      <c r="A2171" s="8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9">
        <f>B2171+30</f>
        <v/>
      </c>
      <c r="N2171">
        <f>IF(L2171="", "", L2171-B2171)</f>
        <v/>
      </c>
      <c r="O2171">
        <f>IF(L2171="", "Pending", IF(N2171&lt;=30, "Met", "Breached"))</f>
        <v/>
      </c>
      <c r="P2171" s="8" t="n"/>
      <c r="Q2171" s="8" t="n"/>
      <c r="R2171" s="8" t="n"/>
      <c r="S2171" s="8" t="n"/>
      <c r="T2171" s="8" t="n"/>
      <c r="U2171" s="8" t="n"/>
      <c r="V2171" s="8" t="n"/>
      <c r="W2171" s="8" t="n"/>
      <c r="X2171" s="8" t="n"/>
      <c r="Y2171" s="8" t="n"/>
    </row>
    <row r="2172">
      <c r="A2172" s="8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9">
        <f>B2172+30</f>
        <v/>
      </c>
      <c r="N2172">
        <f>IF(L2172="", "", L2172-B2172)</f>
        <v/>
      </c>
      <c r="O2172">
        <f>IF(L2172="", "Pending", IF(N2172&lt;=30, "Met", "Breached"))</f>
        <v/>
      </c>
      <c r="P2172" s="8" t="n"/>
      <c r="Q2172" s="8" t="n"/>
      <c r="R2172" s="8" t="n"/>
      <c r="S2172" s="8" t="n"/>
      <c r="T2172" s="8" t="n"/>
      <c r="U2172" s="8" t="n"/>
      <c r="V2172" s="8" t="n"/>
      <c r="W2172" s="8" t="n"/>
      <c r="X2172" s="8" t="n"/>
      <c r="Y2172" s="8" t="n"/>
    </row>
    <row r="2173">
      <c r="A2173" s="8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9">
        <f>B2173+30</f>
        <v/>
      </c>
      <c r="N2173">
        <f>IF(L2173="", "", L2173-B2173)</f>
        <v/>
      </c>
      <c r="O2173">
        <f>IF(L2173="", "Pending", IF(N2173&lt;=30, "Met", "Breached"))</f>
        <v/>
      </c>
      <c r="P2173" s="8" t="n"/>
      <c r="Q2173" s="8" t="n"/>
      <c r="R2173" s="8" t="n"/>
      <c r="S2173" s="8" t="n"/>
      <c r="T2173" s="8" t="n"/>
      <c r="U2173" s="8" t="n"/>
      <c r="V2173" s="8" t="n"/>
      <c r="W2173" s="8" t="n"/>
      <c r="X2173" s="8" t="n"/>
      <c r="Y2173" s="8" t="n"/>
    </row>
    <row r="2174">
      <c r="A2174" s="8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9">
        <f>B2174+30</f>
        <v/>
      </c>
      <c r="N2174">
        <f>IF(L2174="", "", L2174-B2174)</f>
        <v/>
      </c>
      <c r="O2174">
        <f>IF(L2174="", "Pending", IF(N2174&lt;=30, "Met", "Breached"))</f>
        <v/>
      </c>
      <c r="P2174" s="8" t="n"/>
      <c r="Q2174" s="8" t="n"/>
      <c r="R2174" s="8" t="n"/>
      <c r="S2174" s="8" t="n"/>
      <c r="T2174" s="8" t="n"/>
      <c r="U2174" s="8" t="n"/>
      <c r="V2174" s="8" t="n"/>
      <c r="W2174" s="8" t="n"/>
      <c r="X2174" s="8" t="n"/>
      <c r="Y2174" s="8" t="n"/>
    </row>
    <row r="2175">
      <c r="A2175" s="8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9">
        <f>B2175+30</f>
        <v/>
      </c>
      <c r="N2175">
        <f>IF(L2175="", "", L2175-B2175)</f>
        <v/>
      </c>
      <c r="O2175">
        <f>IF(L2175="", "Pending", IF(N2175&lt;=30, "Met", "Breached"))</f>
        <v/>
      </c>
      <c r="P2175" s="8" t="n"/>
      <c r="Q2175" s="8" t="n"/>
      <c r="R2175" s="8" t="n"/>
      <c r="S2175" s="8" t="n"/>
      <c r="T2175" s="8" t="n"/>
      <c r="U2175" s="8" t="n"/>
      <c r="V2175" s="8" t="n"/>
      <c r="W2175" s="8" t="n"/>
      <c r="X2175" s="8" t="n"/>
      <c r="Y2175" s="8" t="n"/>
    </row>
    <row r="2176">
      <c r="A2176" s="8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9">
        <f>B2176+30</f>
        <v/>
      </c>
      <c r="N2176">
        <f>IF(L2176="", "", L2176-B2176)</f>
        <v/>
      </c>
      <c r="O2176">
        <f>IF(L2176="", "Pending", IF(N2176&lt;=30, "Met", "Breached"))</f>
        <v/>
      </c>
      <c r="P2176" s="8" t="n"/>
      <c r="Q2176" s="8" t="n"/>
      <c r="R2176" s="8" t="n"/>
      <c r="S2176" s="8" t="n"/>
      <c r="T2176" s="8" t="n"/>
      <c r="U2176" s="8" t="n"/>
      <c r="V2176" s="8" t="n"/>
      <c r="W2176" s="8" t="n"/>
      <c r="X2176" s="8" t="n"/>
      <c r="Y2176" s="8" t="n"/>
    </row>
    <row r="2177">
      <c r="A2177" s="8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9">
        <f>B2177+30</f>
        <v/>
      </c>
      <c r="N2177">
        <f>IF(L2177="", "", L2177-B2177)</f>
        <v/>
      </c>
      <c r="O2177">
        <f>IF(L2177="", "Pending", IF(N2177&lt;=30, "Met", "Breached"))</f>
        <v/>
      </c>
      <c r="P2177" s="8" t="n"/>
      <c r="Q2177" s="8" t="n"/>
      <c r="R2177" s="8" t="n"/>
      <c r="S2177" s="8" t="n"/>
      <c r="T2177" s="8" t="n"/>
      <c r="U2177" s="8" t="n"/>
      <c r="V2177" s="8" t="n"/>
      <c r="W2177" s="8" t="n"/>
      <c r="X2177" s="8" t="n"/>
      <c r="Y2177" s="8" t="n"/>
    </row>
    <row r="2178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9">
        <f>B2178+30</f>
        <v/>
      </c>
      <c r="N2178">
        <f>IF(L2178="", "", L2178-B2178)</f>
        <v/>
      </c>
      <c r="O2178">
        <f>IF(L2178="", "Pending", IF(N2178&lt;=30, "Met", "Breached"))</f>
        <v/>
      </c>
      <c r="P2178" s="8" t="n"/>
      <c r="Q2178" s="8" t="n"/>
      <c r="R2178" s="8" t="n"/>
      <c r="S2178" s="8" t="n"/>
      <c r="T2178" s="8" t="n"/>
      <c r="U2178" s="8" t="n"/>
      <c r="V2178" s="8" t="n"/>
      <c r="W2178" s="8" t="n"/>
      <c r="X2178" s="8" t="n"/>
      <c r="Y2178" s="8" t="n"/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9">
        <f>B2179+30</f>
        <v/>
      </c>
      <c r="N2179">
        <f>IF(L2179="", "", L2179-B2179)</f>
        <v/>
      </c>
      <c r="O2179">
        <f>IF(L2179="", "Pending", IF(N2179&lt;=30, "Met", "Breached"))</f>
        <v/>
      </c>
      <c r="P2179" s="8" t="n"/>
      <c r="Q2179" s="8" t="n"/>
      <c r="R2179" s="8" t="n"/>
      <c r="S2179" s="8" t="n"/>
      <c r="T2179" s="8" t="n"/>
      <c r="U2179" s="8" t="n"/>
      <c r="V2179" s="8" t="n"/>
      <c r="W2179" s="8" t="n"/>
      <c r="X2179" s="8" t="n"/>
      <c r="Y2179" s="8" t="n"/>
    </row>
    <row r="2180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9">
        <f>B2180+30</f>
        <v/>
      </c>
      <c r="N2180">
        <f>IF(L2180="", "", L2180-B2180)</f>
        <v/>
      </c>
      <c r="O2180">
        <f>IF(L2180="", "Pending", IF(N2180&lt;=30, "Met", "Breached"))</f>
        <v/>
      </c>
      <c r="P2180" s="8" t="n"/>
      <c r="Q2180" s="8" t="n"/>
      <c r="R2180" s="8" t="n"/>
      <c r="S2180" s="8" t="n"/>
      <c r="T2180" s="8" t="n"/>
      <c r="U2180" s="8" t="n"/>
      <c r="V2180" s="8" t="n"/>
      <c r="W2180" s="8" t="n"/>
      <c r="X2180" s="8" t="n"/>
      <c r="Y2180" s="8" t="n"/>
    </row>
    <row r="2181">
      <c r="A2181" s="8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9">
        <f>B2181+30</f>
        <v/>
      </c>
      <c r="N2181">
        <f>IF(L2181="", "", L2181-B2181)</f>
        <v/>
      </c>
      <c r="O2181">
        <f>IF(L2181="", "Pending", IF(N2181&lt;=30, "Met", "Breached"))</f>
        <v/>
      </c>
      <c r="P2181" s="8" t="n"/>
      <c r="Q2181" s="8" t="n"/>
      <c r="R2181" s="8" t="n"/>
      <c r="S2181" s="8" t="n"/>
      <c r="T2181" s="8" t="n"/>
      <c r="U2181" s="8" t="n"/>
      <c r="V2181" s="8" t="n"/>
      <c r="W2181" s="8" t="n"/>
      <c r="X2181" s="8" t="n"/>
      <c r="Y2181" s="8" t="n"/>
    </row>
    <row r="2182">
      <c r="A2182" s="8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9">
        <f>B2182+30</f>
        <v/>
      </c>
      <c r="N2182">
        <f>IF(L2182="", "", L2182-B2182)</f>
        <v/>
      </c>
      <c r="O2182">
        <f>IF(L2182="", "Pending", IF(N2182&lt;=30, "Met", "Breached"))</f>
        <v/>
      </c>
      <c r="P2182" s="8" t="n"/>
      <c r="Q2182" s="8" t="n"/>
      <c r="R2182" s="8" t="n"/>
      <c r="S2182" s="8" t="n"/>
      <c r="T2182" s="8" t="n"/>
      <c r="U2182" s="8" t="n"/>
      <c r="V2182" s="8" t="n"/>
      <c r="W2182" s="8" t="n"/>
      <c r="X2182" s="8" t="n"/>
      <c r="Y2182" s="8" t="n"/>
    </row>
    <row r="2183">
      <c r="A2183" s="8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9">
        <f>B2183+30</f>
        <v/>
      </c>
      <c r="N2183">
        <f>IF(L2183="", "", L2183-B2183)</f>
        <v/>
      </c>
      <c r="O2183">
        <f>IF(L2183="", "Pending", IF(N2183&lt;=30, "Met", "Breached"))</f>
        <v/>
      </c>
      <c r="P2183" s="8" t="n"/>
      <c r="Q2183" s="8" t="n"/>
      <c r="R2183" s="8" t="n"/>
      <c r="S2183" s="8" t="n"/>
      <c r="T2183" s="8" t="n"/>
      <c r="U2183" s="8" t="n"/>
      <c r="V2183" s="8" t="n"/>
      <c r="W2183" s="8" t="n"/>
      <c r="X2183" s="8" t="n"/>
      <c r="Y2183" s="8" t="n"/>
    </row>
    <row r="2184">
      <c r="A2184" s="8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9">
        <f>B2184+30</f>
        <v/>
      </c>
      <c r="N2184">
        <f>IF(L2184="", "", L2184-B2184)</f>
        <v/>
      </c>
      <c r="O2184">
        <f>IF(L2184="", "Pending", IF(N2184&lt;=30, "Met", "Breached"))</f>
        <v/>
      </c>
      <c r="P2184" s="8" t="n"/>
      <c r="Q2184" s="8" t="n"/>
      <c r="R2184" s="8" t="n"/>
      <c r="S2184" s="8" t="n"/>
      <c r="T2184" s="8" t="n"/>
      <c r="U2184" s="8" t="n"/>
      <c r="V2184" s="8" t="n"/>
      <c r="W2184" s="8" t="n"/>
      <c r="X2184" s="8" t="n"/>
      <c r="Y2184" s="8" t="n"/>
    </row>
    <row r="2185">
      <c r="A2185" s="8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9">
        <f>B2185+30</f>
        <v/>
      </c>
      <c r="N2185">
        <f>IF(L2185="", "", L2185-B2185)</f>
        <v/>
      </c>
      <c r="O2185">
        <f>IF(L2185="", "Pending", IF(N2185&lt;=30, "Met", "Breached"))</f>
        <v/>
      </c>
      <c r="P2185" s="8" t="n"/>
      <c r="Q2185" s="8" t="n"/>
      <c r="R2185" s="8" t="n"/>
      <c r="S2185" s="8" t="n"/>
      <c r="T2185" s="8" t="n"/>
      <c r="U2185" s="8" t="n"/>
      <c r="V2185" s="8" t="n"/>
      <c r="W2185" s="8" t="n"/>
      <c r="X2185" s="8" t="n"/>
      <c r="Y2185" s="8" t="n"/>
    </row>
    <row r="2186">
      <c r="A2186" s="8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9">
        <f>B2186+30</f>
        <v/>
      </c>
      <c r="N2186">
        <f>IF(L2186="", "", L2186-B2186)</f>
        <v/>
      </c>
      <c r="O2186">
        <f>IF(L2186="", "Pending", IF(N2186&lt;=30, "Met", "Breached"))</f>
        <v/>
      </c>
      <c r="P2186" s="8" t="n"/>
      <c r="Q2186" s="8" t="n"/>
      <c r="R2186" s="8" t="n"/>
      <c r="S2186" s="8" t="n"/>
      <c r="T2186" s="8" t="n"/>
      <c r="U2186" s="8" t="n"/>
      <c r="V2186" s="8" t="n"/>
      <c r="W2186" s="8" t="n"/>
      <c r="X2186" s="8" t="n"/>
      <c r="Y2186" s="8" t="n"/>
    </row>
    <row r="2187">
      <c r="A2187" s="8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9">
        <f>B2187+30</f>
        <v/>
      </c>
      <c r="N2187">
        <f>IF(L2187="", "", L2187-B2187)</f>
        <v/>
      </c>
      <c r="O2187">
        <f>IF(L2187="", "Pending", IF(N2187&lt;=30, "Met", "Breached"))</f>
        <v/>
      </c>
      <c r="P2187" s="8" t="n"/>
      <c r="Q2187" s="8" t="n"/>
      <c r="R2187" s="8" t="n"/>
      <c r="S2187" s="8" t="n"/>
      <c r="T2187" s="8" t="n"/>
      <c r="U2187" s="8" t="n"/>
      <c r="V2187" s="8" t="n"/>
      <c r="W2187" s="8" t="n"/>
      <c r="X2187" s="8" t="n"/>
      <c r="Y2187" s="8" t="n"/>
    </row>
    <row r="2188">
      <c r="A2188" s="8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9">
        <f>B2188+30</f>
        <v/>
      </c>
      <c r="N2188">
        <f>IF(L2188="", "", L2188-B2188)</f>
        <v/>
      </c>
      <c r="O2188">
        <f>IF(L2188="", "Pending", IF(N2188&lt;=30, "Met", "Breached"))</f>
        <v/>
      </c>
      <c r="P2188" s="8" t="n"/>
      <c r="Q2188" s="8" t="n"/>
      <c r="R2188" s="8" t="n"/>
      <c r="S2188" s="8" t="n"/>
      <c r="T2188" s="8" t="n"/>
      <c r="U2188" s="8" t="n"/>
      <c r="V2188" s="8" t="n"/>
      <c r="W2188" s="8" t="n"/>
      <c r="X2188" s="8" t="n"/>
      <c r="Y2188" s="8" t="n"/>
    </row>
    <row r="2189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9">
        <f>B2189+30</f>
        <v/>
      </c>
      <c r="N2189">
        <f>IF(L2189="", "", L2189-B2189)</f>
        <v/>
      </c>
      <c r="O2189">
        <f>IF(L2189="", "Pending", IF(N2189&lt;=30, "Met", "Breached"))</f>
        <v/>
      </c>
      <c r="P2189" s="8" t="n"/>
      <c r="Q2189" s="8" t="n"/>
      <c r="R2189" s="8" t="n"/>
      <c r="S2189" s="8" t="n"/>
      <c r="T2189" s="8" t="n"/>
      <c r="U2189" s="8" t="n"/>
      <c r="V2189" s="8" t="n"/>
      <c r="W2189" s="8" t="n"/>
      <c r="X2189" s="8" t="n"/>
      <c r="Y2189" s="8" t="n"/>
    </row>
    <row r="2190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9">
        <f>B2190+30</f>
        <v/>
      </c>
      <c r="N2190">
        <f>IF(L2190="", "", L2190-B2190)</f>
        <v/>
      </c>
      <c r="O2190">
        <f>IF(L2190="", "Pending", IF(N2190&lt;=30, "Met", "Breached"))</f>
        <v/>
      </c>
      <c r="P2190" s="8" t="n"/>
      <c r="Q2190" s="8" t="n"/>
      <c r="R2190" s="8" t="n"/>
      <c r="S2190" s="8" t="n"/>
      <c r="T2190" s="8" t="n"/>
      <c r="U2190" s="8" t="n"/>
      <c r="V2190" s="8" t="n"/>
      <c r="W2190" s="8" t="n"/>
      <c r="X2190" s="8" t="n"/>
      <c r="Y2190" s="8" t="n"/>
    </row>
    <row r="2191">
      <c r="A2191" s="8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9">
        <f>B2191+30</f>
        <v/>
      </c>
      <c r="N2191">
        <f>IF(L2191="", "", L2191-B2191)</f>
        <v/>
      </c>
      <c r="O2191">
        <f>IF(L2191="", "Pending", IF(N2191&lt;=30, "Met", "Breached"))</f>
        <v/>
      </c>
      <c r="P2191" s="8" t="n"/>
      <c r="Q2191" s="8" t="n"/>
      <c r="R2191" s="8" t="n"/>
      <c r="S2191" s="8" t="n"/>
      <c r="T2191" s="8" t="n"/>
      <c r="U2191" s="8" t="n"/>
      <c r="V2191" s="8" t="n"/>
      <c r="W2191" s="8" t="n"/>
      <c r="X2191" s="8" t="n"/>
      <c r="Y2191" s="8" t="n"/>
    </row>
    <row r="2192">
      <c r="A2192" s="8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9">
        <f>B2192+30</f>
        <v/>
      </c>
      <c r="N2192">
        <f>IF(L2192="", "", L2192-B2192)</f>
        <v/>
      </c>
      <c r="O2192">
        <f>IF(L2192="", "Pending", IF(N2192&lt;=30, "Met", "Breached"))</f>
        <v/>
      </c>
      <c r="P2192" s="8" t="n"/>
      <c r="Q2192" s="8" t="n"/>
      <c r="R2192" s="8" t="n"/>
      <c r="S2192" s="8" t="n"/>
      <c r="T2192" s="8" t="n"/>
      <c r="U2192" s="8" t="n"/>
      <c r="V2192" s="8" t="n"/>
      <c r="W2192" s="8" t="n"/>
      <c r="X2192" s="8" t="n"/>
      <c r="Y2192" s="8" t="n"/>
    </row>
    <row r="2193">
      <c r="A2193" s="8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9">
        <f>B2193+30</f>
        <v/>
      </c>
      <c r="N2193">
        <f>IF(L2193="", "", L2193-B2193)</f>
        <v/>
      </c>
      <c r="O2193">
        <f>IF(L2193="", "Pending", IF(N2193&lt;=30, "Met", "Breached"))</f>
        <v/>
      </c>
      <c r="P2193" s="8" t="n"/>
      <c r="Q2193" s="8" t="n"/>
      <c r="R2193" s="8" t="n"/>
      <c r="S2193" s="8" t="n"/>
      <c r="T2193" s="8" t="n"/>
      <c r="U2193" s="8" t="n"/>
      <c r="V2193" s="8" t="n"/>
      <c r="W2193" s="8" t="n"/>
      <c r="X2193" s="8" t="n"/>
      <c r="Y2193" s="8" t="n"/>
    </row>
    <row r="2194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9">
        <f>B2194+30</f>
        <v/>
      </c>
      <c r="N2194">
        <f>IF(L2194="", "", L2194-B2194)</f>
        <v/>
      </c>
      <c r="O2194">
        <f>IF(L2194="", "Pending", IF(N2194&lt;=30, "Met", "Breached"))</f>
        <v/>
      </c>
      <c r="P2194" s="8" t="n"/>
      <c r="Q2194" s="8" t="n"/>
      <c r="R2194" s="8" t="n"/>
      <c r="S2194" s="8" t="n"/>
      <c r="T2194" s="8" t="n"/>
      <c r="U2194" s="8" t="n"/>
      <c r="V2194" s="8" t="n"/>
      <c r="W2194" s="8" t="n"/>
      <c r="X2194" s="8" t="n"/>
      <c r="Y2194" s="8" t="n"/>
    </row>
    <row r="2195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9">
        <f>B2195+30</f>
        <v/>
      </c>
      <c r="N2195">
        <f>IF(L2195="", "", L2195-B2195)</f>
        <v/>
      </c>
      <c r="O2195">
        <f>IF(L2195="", "Pending", IF(N2195&lt;=30, "Met", "Breached"))</f>
        <v/>
      </c>
      <c r="P2195" s="8" t="n"/>
      <c r="Q2195" s="8" t="n"/>
      <c r="R2195" s="8" t="n"/>
      <c r="S2195" s="8" t="n"/>
      <c r="T2195" s="8" t="n"/>
      <c r="U2195" s="8" t="n"/>
      <c r="V2195" s="8" t="n"/>
      <c r="W2195" s="8" t="n"/>
      <c r="X2195" s="8" t="n"/>
      <c r="Y2195" s="8" t="n"/>
    </row>
    <row r="2196">
      <c r="A2196" s="8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9">
        <f>B2196+30</f>
        <v/>
      </c>
      <c r="N2196">
        <f>IF(L2196="", "", L2196-B2196)</f>
        <v/>
      </c>
      <c r="O2196">
        <f>IF(L2196="", "Pending", IF(N2196&lt;=30, "Met", "Breached"))</f>
        <v/>
      </c>
      <c r="P2196" s="8" t="n"/>
      <c r="Q2196" s="8" t="n"/>
      <c r="R2196" s="8" t="n"/>
      <c r="S2196" s="8" t="n"/>
      <c r="T2196" s="8" t="n"/>
      <c r="U2196" s="8" t="n"/>
      <c r="V2196" s="8" t="n"/>
      <c r="W2196" s="8" t="n"/>
      <c r="X2196" s="8" t="n"/>
      <c r="Y2196" s="8" t="n"/>
    </row>
    <row r="2197">
      <c r="A2197" s="8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9">
        <f>B2197+30</f>
        <v/>
      </c>
      <c r="N2197">
        <f>IF(L2197="", "", L2197-B2197)</f>
        <v/>
      </c>
      <c r="O2197">
        <f>IF(L2197="", "Pending", IF(N2197&lt;=30, "Met", "Breached"))</f>
        <v/>
      </c>
      <c r="P2197" s="8" t="n"/>
      <c r="Q2197" s="8" t="n"/>
      <c r="R2197" s="8" t="n"/>
      <c r="S2197" s="8" t="n"/>
      <c r="T2197" s="8" t="n"/>
      <c r="U2197" s="8" t="n"/>
      <c r="V2197" s="8" t="n"/>
      <c r="W2197" s="8" t="n"/>
      <c r="X2197" s="8" t="n"/>
      <c r="Y2197" s="8" t="n"/>
    </row>
    <row r="2198">
      <c r="A2198" s="8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9">
        <f>B2198+30</f>
        <v/>
      </c>
      <c r="N2198">
        <f>IF(L2198="", "", L2198-B2198)</f>
        <v/>
      </c>
      <c r="O2198">
        <f>IF(L2198="", "Pending", IF(N2198&lt;=30, "Met", "Breached"))</f>
        <v/>
      </c>
      <c r="P2198" s="8" t="n"/>
      <c r="Q2198" s="8" t="n"/>
      <c r="R2198" s="8" t="n"/>
      <c r="S2198" s="8" t="n"/>
      <c r="T2198" s="8" t="n"/>
      <c r="U2198" s="8" t="n"/>
      <c r="V2198" s="8" t="n"/>
      <c r="W2198" s="8" t="n"/>
      <c r="X2198" s="8" t="n"/>
      <c r="Y2198" s="8" t="n"/>
    </row>
    <row r="2199">
      <c r="A2199" s="8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9">
        <f>B2199+30</f>
        <v/>
      </c>
      <c r="N2199">
        <f>IF(L2199="", "", L2199-B2199)</f>
        <v/>
      </c>
      <c r="O2199">
        <f>IF(L2199="", "Pending", IF(N2199&lt;=30, "Met", "Breached"))</f>
        <v/>
      </c>
      <c r="P2199" s="8" t="n"/>
      <c r="Q2199" s="8" t="n"/>
      <c r="R2199" s="8" t="n"/>
      <c r="S2199" s="8" t="n"/>
      <c r="T2199" s="8" t="n"/>
      <c r="U2199" s="8" t="n"/>
      <c r="V2199" s="8" t="n"/>
      <c r="W2199" s="8" t="n"/>
      <c r="X2199" s="8" t="n"/>
      <c r="Y2199" s="8" t="n"/>
    </row>
    <row r="2200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9">
        <f>B2200+30</f>
        <v/>
      </c>
      <c r="N2200">
        <f>IF(L2200="", "", L2200-B2200)</f>
        <v/>
      </c>
      <c r="O2200">
        <f>IF(L2200="", "Pending", IF(N2200&lt;=30, "Met", "Breached"))</f>
        <v/>
      </c>
      <c r="P2200" s="8" t="n"/>
      <c r="Q2200" s="8" t="n"/>
      <c r="R2200" s="8" t="n"/>
      <c r="S2200" s="8" t="n"/>
      <c r="T2200" s="8" t="n"/>
      <c r="U2200" s="8" t="n"/>
      <c r="V2200" s="8" t="n"/>
      <c r="W2200" s="8" t="n"/>
      <c r="X2200" s="8" t="n"/>
      <c r="Y2200" s="8" t="n"/>
    </row>
    <row r="2201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9">
        <f>B2201+30</f>
        <v/>
      </c>
      <c r="N2201">
        <f>IF(L2201="", "", L2201-B2201)</f>
        <v/>
      </c>
      <c r="O2201">
        <f>IF(L2201="", "Pending", IF(N2201&lt;=30, "Met", "Breached"))</f>
        <v/>
      </c>
      <c r="P2201" s="8" t="n"/>
      <c r="Q2201" s="8" t="n"/>
      <c r="R2201" s="8" t="n"/>
      <c r="S2201" s="8" t="n"/>
      <c r="T2201" s="8" t="n"/>
      <c r="U2201" s="8" t="n"/>
      <c r="V2201" s="8" t="n"/>
      <c r="W2201" s="8" t="n"/>
      <c r="X2201" s="8" t="n"/>
      <c r="Y2201" s="8" t="n"/>
    </row>
    <row r="2202">
      <c r="A2202" s="8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9">
        <f>B2202+30</f>
        <v/>
      </c>
      <c r="N2202">
        <f>IF(L2202="", "", L2202-B2202)</f>
        <v/>
      </c>
      <c r="O2202">
        <f>IF(L2202="", "Pending", IF(N2202&lt;=30, "Met", "Breached"))</f>
        <v/>
      </c>
      <c r="P2202" s="8" t="n"/>
      <c r="Q2202" s="8" t="n"/>
      <c r="R2202" s="8" t="n"/>
      <c r="S2202" s="8" t="n"/>
      <c r="T2202" s="8" t="n"/>
      <c r="U2202" s="8" t="n"/>
      <c r="V2202" s="8" t="n"/>
      <c r="W2202" s="8" t="n"/>
      <c r="X2202" s="8" t="n"/>
      <c r="Y2202" s="8" t="n"/>
    </row>
    <row r="2203">
      <c r="A2203" s="8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9">
        <f>B2203+30</f>
        <v/>
      </c>
      <c r="N2203">
        <f>IF(L2203="", "", L2203-B2203)</f>
        <v/>
      </c>
      <c r="O2203">
        <f>IF(L2203="", "Pending", IF(N2203&lt;=30, "Met", "Breached"))</f>
        <v/>
      </c>
      <c r="P2203" s="8" t="n"/>
      <c r="Q2203" s="8" t="n"/>
      <c r="R2203" s="8" t="n"/>
      <c r="S2203" s="8" t="n"/>
      <c r="T2203" s="8" t="n"/>
      <c r="U2203" s="8" t="n"/>
      <c r="V2203" s="8" t="n"/>
      <c r="W2203" s="8" t="n"/>
      <c r="X2203" s="8" t="n"/>
      <c r="Y2203" s="8" t="n"/>
    </row>
    <row r="2204">
      <c r="A2204" s="8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9">
        <f>B2204+30</f>
        <v/>
      </c>
      <c r="N2204">
        <f>IF(L2204="", "", L2204-B2204)</f>
        <v/>
      </c>
      <c r="O2204">
        <f>IF(L2204="", "Pending", IF(N2204&lt;=30, "Met", "Breached"))</f>
        <v/>
      </c>
      <c r="P2204" s="8" t="n"/>
      <c r="Q2204" s="8" t="n"/>
      <c r="R2204" s="8" t="n"/>
      <c r="S2204" s="8" t="n"/>
      <c r="T2204" s="8" t="n"/>
      <c r="U2204" s="8" t="n"/>
      <c r="V2204" s="8" t="n"/>
      <c r="W2204" s="8" t="n"/>
      <c r="X2204" s="8" t="n"/>
      <c r="Y2204" s="8" t="n"/>
    </row>
    <row r="2205">
      <c r="A2205" s="8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9">
        <f>B2205+30</f>
        <v/>
      </c>
      <c r="N2205">
        <f>IF(L2205="", "", L2205-B2205)</f>
        <v/>
      </c>
      <c r="O2205">
        <f>IF(L2205="", "Pending", IF(N2205&lt;=30, "Met", "Breached"))</f>
        <v/>
      </c>
      <c r="P2205" s="8" t="n"/>
      <c r="Q2205" s="8" t="n"/>
      <c r="R2205" s="8" t="n"/>
      <c r="S2205" s="8" t="n"/>
      <c r="T2205" s="8" t="n"/>
      <c r="U2205" s="8" t="n"/>
      <c r="V2205" s="8" t="n"/>
      <c r="W2205" s="8" t="n"/>
      <c r="X2205" s="8" t="n"/>
      <c r="Y2205" s="8" t="n"/>
    </row>
    <row r="2206">
      <c r="A2206" s="8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9">
        <f>B2206+30</f>
        <v/>
      </c>
      <c r="N2206">
        <f>IF(L2206="", "", L2206-B2206)</f>
        <v/>
      </c>
      <c r="O2206">
        <f>IF(L2206="", "Pending", IF(N2206&lt;=30, "Met", "Breached"))</f>
        <v/>
      </c>
      <c r="P2206" s="8" t="n"/>
      <c r="Q2206" s="8" t="n"/>
      <c r="R2206" s="8" t="n"/>
      <c r="S2206" s="8" t="n"/>
      <c r="T2206" s="8" t="n"/>
      <c r="U2206" s="8" t="n"/>
      <c r="V2206" s="8" t="n"/>
      <c r="W2206" s="8" t="n"/>
      <c r="X2206" s="8" t="n"/>
      <c r="Y2206" s="8" t="n"/>
    </row>
    <row r="2207">
      <c r="A2207" s="8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9">
        <f>B2207+30</f>
        <v/>
      </c>
      <c r="N2207">
        <f>IF(L2207="", "", L2207-B2207)</f>
        <v/>
      </c>
      <c r="O2207">
        <f>IF(L2207="", "Pending", IF(N2207&lt;=30, "Met", "Breached"))</f>
        <v/>
      </c>
      <c r="P2207" s="8" t="n"/>
      <c r="Q2207" s="8" t="n"/>
      <c r="R2207" s="8" t="n"/>
      <c r="S2207" s="8" t="n"/>
      <c r="T2207" s="8" t="n"/>
      <c r="U2207" s="8" t="n"/>
      <c r="V2207" s="8" t="n"/>
      <c r="W2207" s="8" t="n"/>
      <c r="X2207" s="8" t="n"/>
      <c r="Y2207" s="8" t="n"/>
    </row>
    <row r="2208">
      <c r="A2208" s="8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9">
        <f>B2208+30</f>
        <v/>
      </c>
      <c r="N2208">
        <f>IF(L2208="", "", L2208-B2208)</f>
        <v/>
      </c>
      <c r="O2208">
        <f>IF(L2208="", "Pending", IF(N2208&lt;=30, "Met", "Breached"))</f>
        <v/>
      </c>
      <c r="P2208" s="8" t="n"/>
      <c r="Q2208" s="8" t="n"/>
      <c r="R2208" s="8" t="n"/>
      <c r="S2208" s="8" t="n"/>
      <c r="T2208" s="8" t="n"/>
      <c r="U2208" s="8" t="n"/>
      <c r="V2208" s="8" t="n"/>
      <c r="W2208" s="8" t="n"/>
      <c r="X2208" s="8" t="n"/>
      <c r="Y2208" s="8" t="n"/>
    </row>
    <row r="2209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9">
        <f>B2209+30</f>
        <v/>
      </c>
      <c r="N2209">
        <f>IF(L2209="", "", L2209-B2209)</f>
        <v/>
      </c>
      <c r="O2209">
        <f>IF(L2209="", "Pending", IF(N2209&lt;=30, "Met", "Breached"))</f>
        <v/>
      </c>
      <c r="P2209" s="8" t="n"/>
      <c r="Q2209" s="8" t="n"/>
      <c r="R2209" s="8" t="n"/>
      <c r="S2209" s="8" t="n"/>
      <c r="T2209" s="8" t="n"/>
      <c r="U2209" s="8" t="n"/>
      <c r="V2209" s="8" t="n"/>
      <c r="W2209" s="8" t="n"/>
      <c r="X2209" s="8" t="n"/>
      <c r="Y2209" s="8" t="n"/>
    </row>
    <row r="2210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9">
        <f>B2210+30</f>
        <v/>
      </c>
      <c r="N2210">
        <f>IF(L2210="", "", L2210-B2210)</f>
        <v/>
      </c>
      <c r="O2210">
        <f>IF(L2210="", "Pending", IF(N2210&lt;=30, "Met", "Breached"))</f>
        <v/>
      </c>
      <c r="P2210" s="8" t="n"/>
      <c r="Q2210" s="8" t="n"/>
      <c r="R2210" s="8" t="n"/>
      <c r="S2210" s="8" t="n"/>
      <c r="T2210" s="8" t="n"/>
      <c r="U2210" s="8" t="n"/>
      <c r="V2210" s="8" t="n"/>
      <c r="W2210" s="8" t="n"/>
      <c r="X2210" s="8" t="n"/>
      <c r="Y2210" s="8" t="n"/>
    </row>
    <row r="2211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9">
        <f>B2211+30</f>
        <v/>
      </c>
      <c r="N2211">
        <f>IF(L2211="", "", L2211-B2211)</f>
        <v/>
      </c>
      <c r="O2211">
        <f>IF(L2211="", "Pending", IF(N2211&lt;=30, "Met", "Breached"))</f>
        <v/>
      </c>
      <c r="P2211" s="8" t="n"/>
      <c r="Q2211" s="8" t="n"/>
      <c r="R2211" s="8" t="n"/>
      <c r="S2211" s="8" t="n"/>
      <c r="T2211" s="8" t="n"/>
      <c r="U2211" s="8" t="n"/>
      <c r="V2211" s="8" t="n"/>
      <c r="W2211" s="8" t="n"/>
      <c r="X2211" s="8" t="n"/>
      <c r="Y2211" s="8" t="n"/>
    </row>
    <row r="2212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9">
        <f>B2212+30</f>
        <v/>
      </c>
      <c r="N2212">
        <f>IF(L2212="", "", L2212-B2212)</f>
        <v/>
      </c>
      <c r="O2212">
        <f>IF(L2212="", "Pending", IF(N2212&lt;=30, "Met", "Breached"))</f>
        <v/>
      </c>
      <c r="P2212" s="8" t="n"/>
      <c r="Q2212" s="8" t="n"/>
      <c r="R2212" s="8" t="n"/>
      <c r="S2212" s="8" t="n"/>
      <c r="T2212" s="8" t="n"/>
      <c r="U2212" s="8" t="n"/>
      <c r="V2212" s="8" t="n"/>
      <c r="W2212" s="8" t="n"/>
      <c r="X2212" s="8" t="n"/>
      <c r="Y2212" s="8" t="n"/>
    </row>
    <row r="2213">
      <c r="A2213" s="8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9">
        <f>B2213+30</f>
        <v/>
      </c>
      <c r="N2213">
        <f>IF(L2213="", "", L2213-B2213)</f>
        <v/>
      </c>
      <c r="O2213">
        <f>IF(L2213="", "Pending", IF(N2213&lt;=30, "Met", "Breached"))</f>
        <v/>
      </c>
      <c r="P2213" s="8" t="n"/>
      <c r="Q2213" s="8" t="n"/>
      <c r="R2213" s="8" t="n"/>
      <c r="S2213" s="8" t="n"/>
      <c r="T2213" s="8" t="n"/>
      <c r="U2213" s="8" t="n"/>
      <c r="V2213" s="8" t="n"/>
      <c r="W2213" s="8" t="n"/>
      <c r="X2213" s="8" t="n"/>
      <c r="Y2213" s="8" t="n"/>
    </row>
    <row r="2214">
      <c r="A2214" s="8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9">
        <f>B2214+30</f>
        <v/>
      </c>
      <c r="N2214">
        <f>IF(L2214="", "", L2214-B2214)</f>
        <v/>
      </c>
      <c r="O2214">
        <f>IF(L2214="", "Pending", IF(N2214&lt;=30, "Met", "Breached"))</f>
        <v/>
      </c>
      <c r="P2214" s="8" t="n"/>
      <c r="Q2214" s="8" t="n"/>
      <c r="R2214" s="8" t="n"/>
      <c r="S2214" s="8" t="n"/>
      <c r="T2214" s="8" t="n"/>
      <c r="U2214" s="8" t="n"/>
      <c r="V2214" s="8" t="n"/>
      <c r="W2214" s="8" t="n"/>
      <c r="X2214" s="8" t="n"/>
      <c r="Y2214" s="8" t="n"/>
    </row>
    <row r="2215">
      <c r="A2215" s="8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9">
        <f>B2215+30</f>
        <v/>
      </c>
      <c r="N2215">
        <f>IF(L2215="", "", L2215-B2215)</f>
        <v/>
      </c>
      <c r="O2215">
        <f>IF(L2215="", "Pending", IF(N2215&lt;=30, "Met", "Breached"))</f>
        <v/>
      </c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 t="n"/>
      <c r="Y2215" s="8" t="n"/>
    </row>
    <row r="2216">
      <c r="A2216" s="8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9">
        <f>B2216+30</f>
        <v/>
      </c>
      <c r="N2216">
        <f>IF(L2216="", "", L2216-B2216)</f>
        <v/>
      </c>
      <c r="O2216">
        <f>IF(L2216="", "Pending", IF(N2216&lt;=30, "Met", "Breached"))</f>
        <v/>
      </c>
      <c r="P2216" s="8" t="n"/>
      <c r="Q2216" s="8" t="n"/>
      <c r="R2216" s="8" t="n"/>
      <c r="S2216" s="8" t="n"/>
      <c r="T2216" s="8" t="n"/>
      <c r="U2216" s="8" t="n"/>
      <c r="V2216" s="8" t="n"/>
      <c r="W2216" s="8" t="n"/>
      <c r="X2216" s="8" t="n"/>
      <c r="Y2216" s="8" t="n"/>
    </row>
    <row r="2217">
      <c r="A2217" s="8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9">
        <f>B2217+30</f>
        <v/>
      </c>
      <c r="N2217">
        <f>IF(L2217="", "", L2217-B2217)</f>
        <v/>
      </c>
      <c r="O2217">
        <f>IF(L2217="", "Pending", IF(N2217&lt;=30, "Met", "Breached"))</f>
        <v/>
      </c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 t="n"/>
      <c r="Y2217" s="8" t="n"/>
    </row>
    <row r="2218">
      <c r="A2218" s="8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9">
        <f>B2218+30</f>
        <v/>
      </c>
      <c r="N2218">
        <f>IF(L2218="", "", L2218-B2218)</f>
        <v/>
      </c>
      <c r="O2218">
        <f>IF(L2218="", "Pending", IF(N2218&lt;=30, "Met", "Breached"))</f>
        <v/>
      </c>
      <c r="P2218" s="8" t="n"/>
      <c r="Q2218" s="8" t="n"/>
      <c r="R2218" s="8" t="n"/>
      <c r="S2218" s="8" t="n"/>
      <c r="T2218" s="8" t="n"/>
      <c r="U2218" s="8" t="n"/>
      <c r="V2218" s="8" t="n"/>
      <c r="W2218" s="8" t="n"/>
      <c r="X2218" s="8" t="n"/>
      <c r="Y2218" s="8" t="n"/>
    </row>
    <row r="2219">
      <c r="A2219" s="8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9">
        <f>B2219+30</f>
        <v/>
      </c>
      <c r="N2219">
        <f>IF(L2219="", "", L2219-B2219)</f>
        <v/>
      </c>
      <c r="O2219">
        <f>IF(L2219="", "Pending", IF(N2219&lt;=30, "Met", "Breached"))</f>
        <v/>
      </c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 t="n"/>
      <c r="Y2219" s="8" t="n"/>
    </row>
    <row r="2220">
      <c r="A2220" s="8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9">
        <f>B2220+30</f>
        <v/>
      </c>
      <c r="N2220">
        <f>IF(L2220="", "", L2220-B2220)</f>
        <v/>
      </c>
      <c r="O2220">
        <f>IF(L2220="", "Pending", IF(N2220&lt;=30, "Met", "Breached"))</f>
        <v/>
      </c>
      <c r="P2220" s="8" t="n"/>
      <c r="Q2220" s="8" t="n"/>
      <c r="R2220" s="8" t="n"/>
      <c r="S2220" s="8" t="n"/>
      <c r="T2220" s="8" t="n"/>
      <c r="U2220" s="8" t="n"/>
      <c r="V2220" s="8" t="n"/>
      <c r="W2220" s="8" t="n"/>
      <c r="X2220" s="8" t="n"/>
      <c r="Y2220" s="8" t="n"/>
    </row>
    <row r="2221">
      <c r="A2221" s="8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9">
        <f>B2221+30</f>
        <v/>
      </c>
      <c r="N2221">
        <f>IF(L2221="", "", L2221-B2221)</f>
        <v/>
      </c>
      <c r="O2221">
        <f>IF(L2221="", "Pending", IF(N2221&lt;=30, "Met", "Breached"))</f>
        <v/>
      </c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 t="n"/>
      <c r="Y2221" s="8" t="n"/>
    </row>
    <row r="2222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9">
        <f>B2222+30</f>
        <v/>
      </c>
      <c r="N2222">
        <f>IF(L2222="", "", L2222-B2222)</f>
        <v/>
      </c>
      <c r="O2222">
        <f>IF(L2222="", "Pending", IF(N2222&lt;=30, "Met", "Breached"))</f>
        <v/>
      </c>
      <c r="P2222" s="8" t="n"/>
      <c r="Q2222" s="8" t="n"/>
      <c r="R2222" s="8" t="n"/>
      <c r="S2222" s="8" t="n"/>
      <c r="T2222" s="8" t="n"/>
      <c r="U2222" s="8" t="n"/>
      <c r="V2222" s="8" t="n"/>
      <c r="W2222" s="8" t="n"/>
      <c r="X2222" s="8" t="n"/>
      <c r="Y2222" s="8" t="n"/>
    </row>
    <row r="2223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9">
        <f>B2223+30</f>
        <v/>
      </c>
      <c r="N2223">
        <f>IF(L2223="", "", L2223-B2223)</f>
        <v/>
      </c>
      <c r="O2223">
        <f>IF(L2223="", "Pending", IF(N2223&lt;=30, "Met", "Breached"))</f>
        <v/>
      </c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 t="n"/>
      <c r="Y2223" s="8" t="n"/>
    </row>
    <row r="2224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9">
        <f>B2224+30</f>
        <v/>
      </c>
      <c r="N2224">
        <f>IF(L2224="", "", L2224-B2224)</f>
        <v/>
      </c>
      <c r="O2224">
        <f>IF(L2224="", "Pending", IF(N2224&lt;=30, "Met", "Breached"))</f>
        <v/>
      </c>
      <c r="P2224" s="8" t="n"/>
      <c r="Q2224" s="8" t="n"/>
      <c r="R2224" s="8" t="n"/>
      <c r="S2224" s="8" t="n"/>
      <c r="T2224" s="8" t="n"/>
      <c r="U2224" s="8" t="n"/>
      <c r="V2224" s="8" t="n"/>
      <c r="W2224" s="8" t="n"/>
      <c r="X2224" s="8" t="n"/>
      <c r="Y2224" s="8" t="n"/>
    </row>
    <row r="2225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9">
        <f>B2225+30</f>
        <v/>
      </c>
      <c r="N2225">
        <f>IF(L2225="", "", L2225-B2225)</f>
        <v/>
      </c>
      <c r="O2225">
        <f>IF(L2225="", "Pending", IF(N2225&lt;=30, "Met", "Breached"))</f>
        <v/>
      </c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 t="n"/>
      <c r="Y2225" s="8" t="n"/>
    </row>
    <row r="2226">
      <c r="A2226" s="8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9">
        <f>B2226+30</f>
        <v/>
      </c>
      <c r="N2226">
        <f>IF(L2226="", "", L2226-B2226)</f>
        <v/>
      </c>
      <c r="O2226">
        <f>IF(L2226="", "Pending", IF(N2226&lt;=30, "Met", "Breached"))</f>
        <v/>
      </c>
      <c r="P2226" s="8" t="n"/>
      <c r="Q2226" s="8" t="n"/>
      <c r="R2226" s="8" t="n"/>
      <c r="S2226" s="8" t="n"/>
      <c r="T2226" s="8" t="n"/>
      <c r="U2226" s="8" t="n"/>
      <c r="V2226" s="8" t="n"/>
      <c r="W2226" s="8" t="n"/>
      <c r="X2226" s="8" t="n"/>
      <c r="Y2226" s="8" t="n"/>
    </row>
    <row r="2227">
      <c r="A2227" s="8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9">
        <f>B2227+30</f>
        <v/>
      </c>
      <c r="N2227">
        <f>IF(L2227="", "", L2227-B2227)</f>
        <v/>
      </c>
      <c r="O2227">
        <f>IF(L2227="", "Pending", IF(N2227&lt;=30, "Met", "Breached"))</f>
        <v/>
      </c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 t="n"/>
      <c r="Y2227" s="8" t="n"/>
    </row>
    <row r="2228">
      <c r="A2228" s="8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9">
        <f>B2228+30</f>
        <v/>
      </c>
      <c r="N2228">
        <f>IF(L2228="", "", L2228-B2228)</f>
        <v/>
      </c>
      <c r="O2228">
        <f>IF(L2228="", "Pending", IF(N2228&lt;=30, "Met", "Breached"))</f>
        <v/>
      </c>
      <c r="P2228" s="8" t="n"/>
      <c r="Q2228" s="8" t="n"/>
      <c r="R2228" s="8" t="n"/>
      <c r="S2228" s="8" t="n"/>
      <c r="T2228" s="8" t="n"/>
      <c r="U2228" s="8" t="n"/>
      <c r="V2228" s="8" t="n"/>
      <c r="W2228" s="8" t="n"/>
      <c r="X2228" s="8" t="n"/>
      <c r="Y2228" s="8" t="n"/>
    </row>
    <row r="2229">
      <c r="A2229" s="8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9">
        <f>B2229+30</f>
        <v/>
      </c>
      <c r="N2229">
        <f>IF(L2229="", "", L2229-B2229)</f>
        <v/>
      </c>
      <c r="O2229">
        <f>IF(L2229="", "Pending", IF(N2229&lt;=30, "Met", "Breached"))</f>
        <v/>
      </c>
      <c r="P2229" s="8" t="n"/>
      <c r="Q2229" s="8" t="n"/>
      <c r="R2229" s="8" t="n"/>
      <c r="S2229" s="8" t="n"/>
      <c r="T2229" s="8" t="n"/>
      <c r="U2229" s="8" t="n"/>
      <c r="V2229" s="8" t="n"/>
      <c r="W2229" s="8" t="n"/>
      <c r="X2229" s="8" t="n"/>
      <c r="Y2229" s="8" t="n"/>
    </row>
    <row r="2230">
      <c r="A2230" s="8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9">
        <f>B2230+30</f>
        <v/>
      </c>
      <c r="N2230">
        <f>IF(L2230="", "", L2230-B2230)</f>
        <v/>
      </c>
      <c r="O2230">
        <f>IF(L2230="", "Pending", IF(N2230&lt;=30, "Met", "Breached"))</f>
        <v/>
      </c>
      <c r="P2230" s="8" t="n"/>
      <c r="Q2230" s="8" t="n"/>
      <c r="R2230" s="8" t="n"/>
      <c r="S2230" s="8" t="n"/>
      <c r="T2230" s="8" t="n"/>
      <c r="U2230" s="8" t="n"/>
      <c r="V2230" s="8" t="n"/>
      <c r="W2230" s="8" t="n"/>
      <c r="X2230" s="8" t="n"/>
      <c r="Y2230" s="8" t="n"/>
    </row>
    <row r="2231">
      <c r="A2231" s="8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9">
        <f>B2231+30</f>
        <v/>
      </c>
      <c r="N2231">
        <f>IF(L2231="", "", L2231-B2231)</f>
        <v/>
      </c>
      <c r="O2231">
        <f>IF(L2231="", "Pending", IF(N2231&lt;=30, "Met", "Breached"))</f>
        <v/>
      </c>
      <c r="P2231" s="8" t="n"/>
      <c r="Q2231" s="8" t="n"/>
      <c r="R2231" s="8" t="n"/>
      <c r="S2231" s="8" t="n"/>
      <c r="T2231" s="8" t="n"/>
      <c r="U2231" s="8" t="n"/>
      <c r="V2231" s="8" t="n"/>
      <c r="W2231" s="8" t="n"/>
      <c r="X2231" s="8" t="n"/>
      <c r="Y2231" s="8" t="n"/>
    </row>
    <row r="2232">
      <c r="A2232" s="8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9">
        <f>B2232+30</f>
        <v/>
      </c>
      <c r="N2232">
        <f>IF(L2232="", "", L2232-B2232)</f>
        <v/>
      </c>
      <c r="O2232">
        <f>IF(L2232="", "Pending", IF(N2232&lt;=30, "Met", "Breached"))</f>
        <v/>
      </c>
      <c r="P2232" s="8" t="n"/>
      <c r="Q2232" s="8" t="n"/>
      <c r="R2232" s="8" t="n"/>
      <c r="S2232" s="8" t="n"/>
      <c r="T2232" s="8" t="n"/>
      <c r="U2232" s="8" t="n"/>
      <c r="V2232" s="8" t="n"/>
      <c r="W2232" s="8" t="n"/>
      <c r="X2232" s="8" t="n"/>
      <c r="Y2232" s="8" t="n"/>
    </row>
    <row r="2233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9">
        <f>B2233+30</f>
        <v/>
      </c>
      <c r="N2233">
        <f>IF(L2233="", "", L2233-B2233)</f>
        <v/>
      </c>
      <c r="O2233">
        <f>IF(L2233="", "Pending", IF(N2233&lt;=30, "Met", "Breached"))</f>
        <v/>
      </c>
      <c r="P2233" s="8" t="n"/>
      <c r="Q2233" s="8" t="n"/>
      <c r="R2233" s="8" t="n"/>
      <c r="S2233" s="8" t="n"/>
      <c r="T2233" s="8" t="n"/>
      <c r="U2233" s="8" t="n"/>
      <c r="V2233" s="8" t="n"/>
      <c r="W2233" s="8" t="n"/>
      <c r="X2233" s="8" t="n"/>
      <c r="Y2233" s="8" t="n"/>
    </row>
    <row r="2234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9">
        <f>B2234+30</f>
        <v/>
      </c>
      <c r="N2234">
        <f>IF(L2234="", "", L2234-B2234)</f>
        <v/>
      </c>
      <c r="O2234">
        <f>IF(L2234="", "Pending", IF(N2234&lt;=30, "Met", "Breached"))</f>
        <v/>
      </c>
      <c r="P2234" s="8" t="n"/>
      <c r="Q2234" s="8" t="n"/>
      <c r="R2234" s="8" t="n"/>
      <c r="S2234" s="8" t="n"/>
      <c r="T2234" s="8" t="n"/>
      <c r="U2234" s="8" t="n"/>
      <c r="V2234" s="8" t="n"/>
      <c r="W2234" s="8" t="n"/>
      <c r="X2234" s="8" t="n"/>
      <c r="Y2234" s="8" t="n"/>
    </row>
    <row r="2235">
      <c r="A2235" s="8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9">
        <f>B2235+30</f>
        <v/>
      </c>
      <c r="N2235">
        <f>IF(L2235="", "", L2235-B2235)</f>
        <v/>
      </c>
      <c r="O2235">
        <f>IF(L2235="", "Pending", IF(N2235&lt;=30, "Met", "Breached"))</f>
        <v/>
      </c>
      <c r="P2235" s="8" t="n"/>
      <c r="Q2235" s="8" t="n"/>
      <c r="R2235" s="8" t="n"/>
      <c r="S2235" s="8" t="n"/>
      <c r="T2235" s="8" t="n"/>
      <c r="U2235" s="8" t="n"/>
      <c r="V2235" s="8" t="n"/>
      <c r="W2235" s="8" t="n"/>
      <c r="X2235" s="8" t="n"/>
      <c r="Y2235" s="8" t="n"/>
    </row>
    <row r="2236">
      <c r="A2236" s="8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9">
        <f>B2236+30</f>
        <v/>
      </c>
      <c r="N2236">
        <f>IF(L2236="", "", L2236-B2236)</f>
        <v/>
      </c>
      <c r="O2236">
        <f>IF(L2236="", "Pending", IF(N2236&lt;=30, "Met", "Breached"))</f>
        <v/>
      </c>
      <c r="P2236" s="8" t="n"/>
      <c r="Q2236" s="8" t="n"/>
      <c r="R2236" s="8" t="n"/>
      <c r="S2236" s="8" t="n"/>
      <c r="T2236" s="8" t="n"/>
      <c r="U2236" s="8" t="n"/>
      <c r="V2236" s="8" t="n"/>
      <c r="W2236" s="8" t="n"/>
      <c r="X2236" s="8" t="n"/>
      <c r="Y2236" s="8" t="n"/>
    </row>
    <row r="2237">
      <c r="A2237" s="8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9">
        <f>B2237+30</f>
        <v/>
      </c>
      <c r="N2237">
        <f>IF(L2237="", "", L2237-B2237)</f>
        <v/>
      </c>
      <c r="O2237">
        <f>IF(L2237="", "Pending", IF(N2237&lt;=30, "Met", "Breached"))</f>
        <v/>
      </c>
      <c r="P2237" s="8" t="n"/>
      <c r="Q2237" s="8" t="n"/>
      <c r="R2237" s="8" t="n"/>
      <c r="S2237" s="8" t="n"/>
      <c r="T2237" s="8" t="n"/>
      <c r="U2237" s="8" t="n"/>
      <c r="V2237" s="8" t="n"/>
      <c r="W2237" s="8" t="n"/>
      <c r="X2237" s="8" t="n"/>
      <c r="Y2237" s="8" t="n"/>
    </row>
    <row r="2238">
      <c r="A2238" s="8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9">
        <f>B2238+30</f>
        <v/>
      </c>
      <c r="N2238">
        <f>IF(L2238="", "", L2238-B2238)</f>
        <v/>
      </c>
      <c r="O2238">
        <f>IF(L2238="", "Pending", IF(N2238&lt;=30, "Met", "Breached"))</f>
        <v/>
      </c>
      <c r="P2238" s="8" t="n"/>
      <c r="Q2238" s="8" t="n"/>
      <c r="R2238" s="8" t="n"/>
      <c r="S2238" s="8" t="n"/>
      <c r="T2238" s="8" t="n"/>
      <c r="U2238" s="8" t="n"/>
      <c r="V2238" s="8" t="n"/>
      <c r="W2238" s="8" t="n"/>
      <c r="X2238" s="8" t="n"/>
      <c r="Y2238" s="8" t="n"/>
    </row>
    <row r="2239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9">
        <f>B2239+30</f>
        <v/>
      </c>
      <c r="N2239">
        <f>IF(L2239="", "", L2239-B2239)</f>
        <v/>
      </c>
      <c r="O2239">
        <f>IF(L2239="", "Pending", IF(N2239&lt;=30, "Met", "Breached"))</f>
        <v/>
      </c>
      <c r="P2239" s="8" t="n"/>
      <c r="Q2239" s="8" t="n"/>
      <c r="R2239" s="8" t="n"/>
      <c r="S2239" s="8" t="n"/>
      <c r="T2239" s="8" t="n"/>
      <c r="U2239" s="8" t="n"/>
      <c r="V2239" s="8" t="n"/>
      <c r="W2239" s="8" t="n"/>
      <c r="X2239" s="8" t="n"/>
      <c r="Y2239" s="8" t="n"/>
    </row>
    <row r="2240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9">
        <f>B2240+30</f>
        <v/>
      </c>
      <c r="N2240">
        <f>IF(L2240="", "", L2240-B2240)</f>
        <v/>
      </c>
      <c r="O2240">
        <f>IF(L2240="", "Pending", IF(N2240&lt;=30, "Met", "Breached"))</f>
        <v/>
      </c>
      <c r="P2240" s="8" t="n"/>
      <c r="Q2240" s="8" t="n"/>
      <c r="R2240" s="8" t="n"/>
      <c r="S2240" s="8" t="n"/>
      <c r="T2240" s="8" t="n"/>
      <c r="U2240" s="8" t="n"/>
      <c r="V2240" s="8" t="n"/>
      <c r="W2240" s="8" t="n"/>
      <c r="X2240" s="8" t="n"/>
      <c r="Y2240" s="8" t="n"/>
    </row>
    <row r="2241">
      <c r="A2241" s="8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9">
        <f>B2241+30</f>
        <v/>
      </c>
      <c r="N2241">
        <f>IF(L2241="", "", L2241-B2241)</f>
        <v/>
      </c>
      <c r="O2241">
        <f>IF(L2241="", "Pending", IF(N2241&lt;=30, "Met", "Breached"))</f>
        <v/>
      </c>
      <c r="P2241" s="8" t="n"/>
      <c r="Q2241" s="8" t="n"/>
      <c r="R2241" s="8" t="n"/>
      <c r="S2241" s="8" t="n"/>
      <c r="T2241" s="8" t="n"/>
      <c r="U2241" s="8" t="n"/>
      <c r="V2241" s="8" t="n"/>
      <c r="W2241" s="8" t="n"/>
      <c r="X2241" s="8" t="n"/>
      <c r="Y2241" s="8" t="n"/>
    </row>
    <row r="2242">
      <c r="A2242" s="8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9">
        <f>B2242+30</f>
        <v/>
      </c>
      <c r="N2242">
        <f>IF(L2242="", "", L2242-B2242)</f>
        <v/>
      </c>
      <c r="O2242">
        <f>IF(L2242="", "Pending", IF(N2242&lt;=30, "Met", "Breached"))</f>
        <v/>
      </c>
      <c r="P2242" s="8" t="n"/>
      <c r="Q2242" s="8" t="n"/>
      <c r="R2242" s="8" t="n"/>
      <c r="S2242" s="8" t="n"/>
      <c r="T2242" s="8" t="n"/>
      <c r="U2242" s="8" t="n"/>
      <c r="V2242" s="8" t="n"/>
      <c r="W2242" s="8" t="n"/>
      <c r="X2242" s="8" t="n"/>
      <c r="Y2242" s="8" t="n"/>
    </row>
    <row r="2243">
      <c r="A2243" s="8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9">
        <f>B2243+30</f>
        <v/>
      </c>
      <c r="N2243">
        <f>IF(L2243="", "", L2243-B2243)</f>
        <v/>
      </c>
      <c r="O2243">
        <f>IF(L2243="", "Pending", IF(N2243&lt;=30, "Met", "Breached"))</f>
        <v/>
      </c>
      <c r="P2243" s="8" t="n"/>
      <c r="Q2243" s="8" t="n"/>
      <c r="R2243" s="8" t="n"/>
      <c r="S2243" s="8" t="n"/>
      <c r="T2243" s="8" t="n"/>
      <c r="U2243" s="8" t="n"/>
      <c r="V2243" s="8" t="n"/>
      <c r="W2243" s="8" t="n"/>
      <c r="X2243" s="8" t="n"/>
      <c r="Y2243" s="8" t="n"/>
    </row>
    <row r="2244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9">
        <f>B2244+30</f>
        <v/>
      </c>
      <c r="N2244">
        <f>IF(L2244="", "", L2244-B2244)</f>
        <v/>
      </c>
      <c r="O2244">
        <f>IF(L2244="", "Pending", IF(N2244&lt;=30, "Met", "Breached"))</f>
        <v/>
      </c>
      <c r="P2244" s="8" t="n"/>
      <c r="Q2244" s="8" t="n"/>
      <c r="R2244" s="8" t="n"/>
      <c r="S2244" s="8" t="n"/>
      <c r="T2244" s="8" t="n"/>
      <c r="U2244" s="8" t="n"/>
      <c r="V2244" s="8" t="n"/>
      <c r="W2244" s="8" t="n"/>
      <c r="X2244" s="8" t="n"/>
      <c r="Y2244" s="8" t="n"/>
    </row>
    <row r="2245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9">
        <f>B2245+30</f>
        <v/>
      </c>
      <c r="N2245">
        <f>IF(L2245="", "", L2245-B2245)</f>
        <v/>
      </c>
      <c r="O2245">
        <f>IF(L2245="", "Pending", IF(N2245&lt;=30, "Met", "Breached"))</f>
        <v/>
      </c>
      <c r="P2245" s="8" t="n"/>
      <c r="Q2245" s="8" t="n"/>
      <c r="R2245" s="8" t="n"/>
      <c r="S2245" s="8" t="n"/>
      <c r="T2245" s="8" t="n"/>
      <c r="U2245" s="8" t="n"/>
      <c r="V2245" s="8" t="n"/>
      <c r="W2245" s="8" t="n"/>
      <c r="X2245" s="8" t="n"/>
      <c r="Y2245" s="8" t="n"/>
    </row>
    <row r="2246">
      <c r="A2246" s="8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9">
        <f>B2246+30</f>
        <v/>
      </c>
      <c r="N2246">
        <f>IF(L2246="", "", L2246-B2246)</f>
        <v/>
      </c>
      <c r="O2246">
        <f>IF(L2246="", "Pending", IF(N2246&lt;=30, "Met", "Breached"))</f>
        <v/>
      </c>
      <c r="P2246" s="8" t="n"/>
      <c r="Q2246" s="8" t="n"/>
      <c r="R2246" s="8" t="n"/>
      <c r="S2246" s="8" t="n"/>
      <c r="T2246" s="8" t="n"/>
      <c r="U2246" s="8" t="n"/>
      <c r="V2246" s="8" t="n"/>
      <c r="W2246" s="8" t="n"/>
      <c r="X2246" s="8" t="n"/>
      <c r="Y2246" s="8" t="n"/>
    </row>
    <row r="2247">
      <c r="A2247" s="8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9">
        <f>B2247+30</f>
        <v/>
      </c>
      <c r="N2247">
        <f>IF(L2247="", "", L2247-B2247)</f>
        <v/>
      </c>
      <c r="O2247">
        <f>IF(L2247="", "Pending", IF(N2247&lt;=30, "Met", "Breached"))</f>
        <v/>
      </c>
      <c r="P2247" s="8" t="n"/>
      <c r="Q2247" s="8" t="n"/>
      <c r="R2247" s="8" t="n"/>
      <c r="S2247" s="8" t="n"/>
      <c r="T2247" s="8" t="n"/>
      <c r="U2247" s="8" t="n"/>
      <c r="V2247" s="8" t="n"/>
      <c r="W2247" s="8" t="n"/>
      <c r="X2247" s="8" t="n"/>
      <c r="Y2247" s="8" t="n"/>
    </row>
    <row r="2248">
      <c r="A2248" s="8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9">
        <f>B2248+30</f>
        <v/>
      </c>
      <c r="N2248">
        <f>IF(L2248="", "", L2248-B2248)</f>
        <v/>
      </c>
      <c r="O2248">
        <f>IF(L2248="", "Pending", IF(N2248&lt;=30, "Met", "Breached"))</f>
        <v/>
      </c>
      <c r="P2248" s="8" t="n"/>
      <c r="Q2248" s="8" t="n"/>
      <c r="R2248" s="8" t="n"/>
      <c r="S2248" s="8" t="n"/>
      <c r="T2248" s="8" t="n"/>
      <c r="U2248" s="8" t="n"/>
      <c r="V2248" s="8" t="n"/>
      <c r="W2248" s="8" t="n"/>
      <c r="X2248" s="8" t="n"/>
      <c r="Y2248" s="8" t="n"/>
    </row>
    <row r="2249">
      <c r="A2249" s="8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9">
        <f>B2249+30</f>
        <v/>
      </c>
      <c r="N2249">
        <f>IF(L2249="", "", L2249-B2249)</f>
        <v/>
      </c>
      <c r="O2249">
        <f>IF(L2249="", "Pending", IF(N2249&lt;=30, "Met", "Breached"))</f>
        <v/>
      </c>
      <c r="P2249" s="8" t="n"/>
      <c r="Q2249" s="8" t="n"/>
      <c r="R2249" s="8" t="n"/>
      <c r="S2249" s="8" t="n"/>
      <c r="T2249" s="8" t="n"/>
      <c r="U2249" s="8" t="n"/>
      <c r="V2249" s="8" t="n"/>
      <c r="W2249" s="8" t="n"/>
      <c r="X2249" s="8" t="n"/>
      <c r="Y2249" s="8" t="n"/>
    </row>
    <row r="2250">
      <c r="A2250" s="8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9">
        <f>B2250+30</f>
        <v/>
      </c>
      <c r="N2250">
        <f>IF(L2250="", "", L2250-B2250)</f>
        <v/>
      </c>
      <c r="O2250">
        <f>IF(L2250="", "Pending", IF(N2250&lt;=30, "Met", "Breached"))</f>
        <v/>
      </c>
      <c r="P2250" s="8" t="n"/>
      <c r="Q2250" s="8" t="n"/>
      <c r="R2250" s="8" t="n"/>
      <c r="S2250" s="8" t="n"/>
      <c r="T2250" s="8" t="n"/>
      <c r="U2250" s="8" t="n"/>
      <c r="V2250" s="8" t="n"/>
      <c r="W2250" s="8" t="n"/>
      <c r="X2250" s="8" t="n"/>
      <c r="Y2250" s="8" t="n"/>
    </row>
    <row r="2251">
      <c r="A2251" s="8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9">
        <f>B2251+30</f>
        <v/>
      </c>
      <c r="N2251">
        <f>IF(L2251="", "", L2251-B2251)</f>
        <v/>
      </c>
      <c r="O2251">
        <f>IF(L2251="", "Pending", IF(N2251&lt;=30, "Met", "Breached"))</f>
        <v/>
      </c>
      <c r="P2251" s="8" t="n"/>
      <c r="Q2251" s="8" t="n"/>
      <c r="R2251" s="8" t="n"/>
      <c r="S2251" s="8" t="n"/>
      <c r="T2251" s="8" t="n"/>
      <c r="U2251" s="8" t="n"/>
      <c r="V2251" s="8" t="n"/>
      <c r="W2251" s="8" t="n"/>
      <c r="X2251" s="8" t="n"/>
      <c r="Y2251" s="8" t="n"/>
    </row>
    <row r="2252">
      <c r="A2252" s="8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9">
        <f>B2252+30</f>
        <v/>
      </c>
      <c r="N2252">
        <f>IF(L2252="", "", L2252-B2252)</f>
        <v/>
      </c>
      <c r="O2252">
        <f>IF(L2252="", "Pending", IF(N2252&lt;=30, "Met", "Breached"))</f>
        <v/>
      </c>
      <c r="P2252" s="8" t="n"/>
      <c r="Q2252" s="8" t="n"/>
      <c r="R2252" s="8" t="n"/>
      <c r="S2252" s="8" t="n"/>
      <c r="T2252" s="8" t="n"/>
      <c r="U2252" s="8" t="n"/>
      <c r="V2252" s="8" t="n"/>
      <c r="W2252" s="8" t="n"/>
      <c r="X2252" s="8" t="n"/>
      <c r="Y2252" s="8" t="n"/>
    </row>
    <row r="2253">
      <c r="A2253" s="8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9">
        <f>B2253+30</f>
        <v/>
      </c>
      <c r="N2253">
        <f>IF(L2253="", "", L2253-B2253)</f>
        <v/>
      </c>
      <c r="O2253">
        <f>IF(L2253="", "Pending", IF(N2253&lt;=30, "Met", "Breached"))</f>
        <v/>
      </c>
      <c r="P2253" s="8" t="n"/>
      <c r="Q2253" s="8" t="n"/>
      <c r="R2253" s="8" t="n"/>
      <c r="S2253" s="8" t="n"/>
      <c r="T2253" s="8" t="n"/>
      <c r="U2253" s="8" t="n"/>
      <c r="V2253" s="8" t="n"/>
      <c r="W2253" s="8" t="n"/>
      <c r="X2253" s="8" t="n"/>
      <c r="Y2253" s="8" t="n"/>
    </row>
    <row r="2254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9">
        <f>B2254+30</f>
        <v/>
      </c>
      <c r="N2254">
        <f>IF(L2254="", "", L2254-B2254)</f>
        <v/>
      </c>
      <c r="O2254">
        <f>IF(L2254="", "Pending", IF(N2254&lt;=30, "Met", "Breached"))</f>
        <v/>
      </c>
      <c r="P2254" s="8" t="n"/>
      <c r="Q2254" s="8" t="n"/>
      <c r="R2254" s="8" t="n"/>
      <c r="S2254" s="8" t="n"/>
      <c r="T2254" s="8" t="n"/>
      <c r="U2254" s="8" t="n"/>
      <c r="V2254" s="8" t="n"/>
      <c r="W2254" s="8" t="n"/>
      <c r="X2254" s="8" t="n"/>
      <c r="Y2254" s="8" t="n"/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9">
        <f>B2255+30</f>
        <v/>
      </c>
      <c r="N2255">
        <f>IF(L2255="", "", L2255-B2255)</f>
        <v/>
      </c>
      <c r="O2255">
        <f>IF(L2255="", "Pending", IF(N2255&lt;=30, "Met", "Breached"))</f>
        <v/>
      </c>
      <c r="P2255" s="8" t="n"/>
      <c r="Q2255" s="8" t="n"/>
      <c r="R2255" s="8" t="n"/>
      <c r="S2255" s="8" t="n"/>
      <c r="T2255" s="8" t="n"/>
      <c r="U2255" s="8" t="n"/>
      <c r="V2255" s="8" t="n"/>
      <c r="W2255" s="8" t="n"/>
      <c r="X2255" s="8" t="n"/>
      <c r="Y2255" s="8" t="n"/>
    </row>
    <row r="2256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9">
        <f>B2256+30</f>
        <v/>
      </c>
      <c r="N2256">
        <f>IF(L2256="", "", L2256-B2256)</f>
        <v/>
      </c>
      <c r="O2256">
        <f>IF(L2256="", "Pending", IF(N2256&lt;=30, "Met", "Breached"))</f>
        <v/>
      </c>
      <c r="P2256" s="8" t="n"/>
      <c r="Q2256" s="8" t="n"/>
      <c r="R2256" s="8" t="n"/>
      <c r="S2256" s="8" t="n"/>
      <c r="T2256" s="8" t="n"/>
      <c r="U2256" s="8" t="n"/>
      <c r="V2256" s="8" t="n"/>
      <c r="W2256" s="8" t="n"/>
      <c r="X2256" s="8" t="n"/>
      <c r="Y2256" s="8" t="n"/>
    </row>
    <row r="2257">
      <c r="A2257" s="8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9">
        <f>B2257+30</f>
        <v/>
      </c>
      <c r="N2257">
        <f>IF(L2257="", "", L2257-B2257)</f>
        <v/>
      </c>
      <c r="O2257">
        <f>IF(L2257="", "Pending", IF(N2257&lt;=30, "Met", "Breached"))</f>
        <v/>
      </c>
      <c r="P2257" s="8" t="n"/>
      <c r="Q2257" s="8" t="n"/>
      <c r="R2257" s="8" t="n"/>
      <c r="S2257" s="8" t="n"/>
      <c r="T2257" s="8" t="n"/>
      <c r="U2257" s="8" t="n"/>
      <c r="V2257" s="8" t="n"/>
      <c r="W2257" s="8" t="n"/>
      <c r="X2257" s="8" t="n"/>
      <c r="Y2257" s="8" t="n"/>
    </row>
    <row r="2258">
      <c r="A2258" s="8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9">
        <f>B2258+30</f>
        <v/>
      </c>
      <c r="N2258">
        <f>IF(L2258="", "", L2258-B2258)</f>
        <v/>
      </c>
      <c r="O2258">
        <f>IF(L2258="", "Pending", IF(N2258&lt;=30, "Met", "Breached"))</f>
        <v/>
      </c>
      <c r="P2258" s="8" t="n"/>
      <c r="Q2258" s="8" t="n"/>
      <c r="R2258" s="8" t="n"/>
      <c r="S2258" s="8" t="n"/>
      <c r="T2258" s="8" t="n"/>
      <c r="U2258" s="8" t="n"/>
      <c r="V2258" s="8" t="n"/>
      <c r="W2258" s="8" t="n"/>
      <c r="X2258" s="8" t="n"/>
      <c r="Y2258" s="8" t="n"/>
    </row>
    <row r="2259">
      <c r="A2259" s="8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9">
        <f>B2259+30</f>
        <v/>
      </c>
      <c r="N2259">
        <f>IF(L2259="", "", L2259-B2259)</f>
        <v/>
      </c>
      <c r="O2259">
        <f>IF(L2259="", "Pending", IF(N2259&lt;=30, "Met", "Breached"))</f>
        <v/>
      </c>
      <c r="P2259" s="8" t="n"/>
      <c r="Q2259" s="8" t="n"/>
      <c r="R2259" s="8" t="n"/>
      <c r="S2259" s="8" t="n"/>
      <c r="T2259" s="8" t="n"/>
      <c r="U2259" s="8" t="n"/>
      <c r="V2259" s="8" t="n"/>
      <c r="W2259" s="8" t="n"/>
      <c r="X2259" s="8" t="n"/>
      <c r="Y2259" s="8" t="n"/>
    </row>
    <row r="2260">
      <c r="A2260" s="8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9">
        <f>B2260+30</f>
        <v/>
      </c>
      <c r="N2260">
        <f>IF(L2260="", "", L2260-B2260)</f>
        <v/>
      </c>
      <c r="O2260">
        <f>IF(L2260="", "Pending", IF(N2260&lt;=30, "Met", "Breached"))</f>
        <v/>
      </c>
      <c r="P2260" s="8" t="n"/>
      <c r="Q2260" s="8" t="n"/>
      <c r="R2260" s="8" t="n"/>
      <c r="S2260" s="8" t="n"/>
      <c r="T2260" s="8" t="n"/>
      <c r="U2260" s="8" t="n"/>
      <c r="V2260" s="8" t="n"/>
      <c r="W2260" s="8" t="n"/>
      <c r="X2260" s="8" t="n"/>
      <c r="Y2260" s="8" t="n"/>
    </row>
    <row r="2261">
      <c r="A2261" s="8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9">
        <f>B2261+30</f>
        <v/>
      </c>
      <c r="N2261">
        <f>IF(L2261="", "", L2261-B2261)</f>
        <v/>
      </c>
      <c r="O2261">
        <f>IF(L2261="", "Pending", IF(N2261&lt;=30, "Met", "Breached"))</f>
        <v/>
      </c>
      <c r="P2261" s="8" t="n"/>
      <c r="Q2261" s="8" t="n"/>
      <c r="R2261" s="8" t="n"/>
      <c r="S2261" s="8" t="n"/>
      <c r="T2261" s="8" t="n"/>
      <c r="U2261" s="8" t="n"/>
      <c r="V2261" s="8" t="n"/>
      <c r="W2261" s="8" t="n"/>
      <c r="X2261" s="8" t="n"/>
      <c r="Y2261" s="8" t="n"/>
    </row>
    <row r="2262">
      <c r="A2262" s="8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9">
        <f>B2262+30</f>
        <v/>
      </c>
      <c r="N2262">
        <f>IF(L2262="", "", L2262-B2262)</f>
        <v/>
      </c>
      <c r="O2262">
        <f>IF(L2262="", "Pending", IF(N2262&lt;=30, "Met", "Breached"))</f>
        <v/>
      </c>
      <c r="P2262" s="8" t="n"/>
      <c r="Q2262" s="8" t="n"/>
      <c r="R2262" s="8" t="n"/>
      <c r="S2262" s="8" t="n"/>
      <c r="T2262" s="8" t="n"/>
      <c r="U2262" s="8" t="n"/>
      <c r="V2262" s="8" t="n"/>
      <c r="W2262" s="8" t="n"/>
      <c r="X2262" s="8" t="n"/>
      <c r="Y2262" s="8" t="n"/>
    </row>
    <row r="2263">
      <c r="A2263" s="8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9">
        <f>B2263+30</f>
        <v/>
      </c>
      <c r="N2263">
        <f>IF(L2263="", "", L2263-B2263)</f>
        <v/>
      </c>
      <c r="O2263">
        <f>IF(L2263="", "Pending", IF(N2263&lt;=30, "Met", "Breached"))</f>
        <v/>
      </c>
      <c r="P2263" s="8" t="n"/>
      <c r="Q2263" s="8" t="n"/>
      <c r="R2263" s="8" t="n"/>
      <c r="S2263" s="8" t="n"/>
      <c r="T2263" s="8" t="n"/>
      <c r="U2263" s="8" t="n"/>
      <c r="V2263" s="8" t="n"/>
      <c r="W2263" s="8" t="n"/>
      <c r="X2263" s="8" t="n"/>
      <c r="Y2263" s="8" t="n"/>
    </row>
    <row r="2264">
      <c r="A2264" s="8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9">
        <f>B2264+30</f>
        <v/>
      </c>
      <c r="N2264">
        <f>IF(L2264="", "", L2264-B2264)</f>
        <v/>
      </c>
      <c r="O2264">
        <f>IF(L2264="", "Pending", IF(N2264&lt;=30, "Met", "Breached"))</f>
        <v/>
      </c>
      <c r="P2264" s="8" t="n"/>
      <c r="Q2264" s="8" t="n"/>
      <c r="R2264" s="8" t="n"/>
      <c r="S2264" s="8" t="n"/>
      <c r="T2264" s="8" t="n"/>
      <c r="U2264" s="8" t="n"/>
      <c r="V2264" s="8" t="n"/>
      <c r="W2264" s="8" t="n"/>
      <c r="X2264" s="8" t="n"/>
      <c r="Y2264" s="8" t="n"/>
    </row>
    <row r="2265">
      <c r="A2265" s="8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9">
        <f>B2265+30</f>
        <v/>
      </c>
      <c r="N2265">
        <f>IF(L2265="", "", L2265-B2265)</f>
        <v/>
      </c>
      <c r="O2265">
        <f>IF(L2265="", "Pending", IF(N2265&lt;=30, "Met", "Breached"))</f>
        <v/>
      </c>
      <c r="P2265" s="8" t="n"/>
      <c r="Q2265" s="8" t="n"/>
      <c r="R2265" s="8" t="n"/>
      <c r="S2265" s="8" t="n"/>
      <c r="T2265" s="8" t="n"/>
      <c r="U2265" s="8" t="n"/>
      <c r="V2265" s="8" t="n"/>
      <c r="W2265" s="8" t="n"/>
      <c r="X2265" s="8" t="n"/>
      <c r="Y2265" s="8" t="n"/>
    </row>
    <row r="2266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9">
        <f>B2266+30</f>
        <v/>
      </c>
      <c r="N2266">
        <f>IF(L2266="", "", L2266-B2266)</f>
        <v/>
      </c>
      <c r="O2266">
        <f>IF(L2266="", "Pending", IF(N2266&lt;=30, "Met", "Breached"))</f>
        <v/>
      </c>
      <c r="P2266" s="8" t="n"/>
      <c r="Q2266" s="8" t="n"/>
      <c r="R2266" s="8" t="n"/>
      <c r="S2266" s="8" t="n"/>
      <c r="T2266" s="8" t="n"/>
      <c r="U2266" s="8" t="n"/>
      <c r="V2266" s="8" t="n"/>
      <c r="W2266" s="8" t="n"/>
      <c r="X2266" s="8" t="n"/>
      <c r="Y2266" s="8" t="n"/>
    </row>
    <row r="2267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9">
        <f>B2267+30</f>
        <v/>
      </c>
      <c r="N2267">
        <f>IF(L2267="", "", L2267-B2267)</f>
        <v/>
      </c>
      <c r="O2267">
        <f>IF(L2267="", "Pending", IF(N2267&lt;=30, "Met", "Breached"))</f>
        <v/>
      </c>
      <c r="P2267" s="8" t="n"/>
      <c r="Q2267" s="8" t="n"/>
      <c r="R2267" s="8" t="n"/>
      <c r="S2267" s="8" t="n"/>
      <c r="T2267" s="8" t="n"/>
      <c r="U2267" s="8" t="n"/>
      <c r="V2267" s="8" t="n"/>
      <c r="W2267" s="8" t="n"/>
      <c r="X2267" s="8" t="n"/>
      <c r="Y2267" s="8" t="n"/>
    </row>
    <row r="2268">
      <c r="A2268" s="8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9">
        <f>B2268+30</f>
        <v/>
      </c>
      <c r="N2268">
        <f>IF(L2268="", "", L2268-B2268)</f>
        <v/>
      </c>
      <c r="O2268">
        <f>IF(L2268="", "Pending", IF(N2268&lt;=30, "Met", "Breached"))</f>
        <v/>
      </c>
      <c r="P2268" s="8" t="n"/>
      <c r="Q2268" s="8" t="n"/>
      <c r="R2268" s="8" t="n"/>
      <c r="S2268" s="8" t="n"/>
      <c r="T2268" s="8" t="n"/>
      <c r="U2268" s="8" t="n"/>
      <c r="V2268" s="8" t="n"/>
      <c r="W2268" s="8" t="n"/>
      <c r="X2268" s="8" t="n"/>
      <c r="Y2268" s="8" t="n"/>
    </row>
    <row r="2269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9">
        <f>B2269+30</f>
        <v/>
      </c>
      <c r="N2269">
        <f>IF(L2269="", "", L2269-B2269)</f>
        <v/>
      </c>
      <c r="O2269">
        <f>IF(L2269="", "Pending", IF(N2269&lt;=30, "Met", "Breached"))</f>
        <v/>
      </c>
      <c r="P2269" s="8" t="n"/>
      <c r="Q2269" s="8" t="n"/>
      <c r="R2269" s="8" t="n"/>
      <c r="S2269" s="8" t="n"/>
      <c r="T2269" s="8" t="n"/>
      <c r="U2269" s="8" t="n"/>
      <c r="V2269" s="8" t="n"/>
      <c r="W2269" s="8" t="n"/>
      <c r="X2269" s="8" t="n"/>
      <c r="Y2269" s="8" t="n"/>
    </row>
    <row r="2270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9">
        <f>B2270+30</f>
        <v/>
      </c>
      <c r="N2270">
        <f>IF(L2270="", "", L2270-B2270)</f>
        <v/>
      </c>
      <c r="O2270">
        <f>IF(L2270="", "Pending", IF(N2270&lt;=30, "Met", "Breached"))</f>
        <v/>
      </c>
      <c r="P2270" s="8" t="n"/>
      <c r="Q2270" s="8" t="n"/>
      <c r="R2270" s="8" t="n"/>
      <c r="S2270" s="8" t="n"/>
      <c r="T2270" s="8" t="n"/>
      <c r="U2270" s="8" t="n"/>
      <c r="V2270" s="8" t="n"/>
      <c r="W2270" s="8" t="n"/>
      <c r="X2270" s="8" t="n"/>
      <c r="Y2270" s="8" t="n"/>
    </row>
    <row r="2271">
      <c r="A2271" s="8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9">
        <f>B2271+30</f>
        <v/>
      </c>
      <c r="N2271">
        <f>IF(L2271="", "", L2271-B2271)</f>
        <v/>
      </c>
      <c r="O2271">
        <f>IF(L2271="", "Pending", IF(N2271&lt;=30, "Met", "Breached"))</f>
        <v/>
      </c>
      <c r="P2271" s="8" t="n"/>
      <c r="Q2271" s="8" t="n"/>
      <c r="R2271" s="8" t="n"/>
      <c r="S2271" s="8" t="n"/>
      <c r="T2271" s="8" t="n"/>
      <c r="U2271" s="8" t="n"/>
      <c r="V2271" s="8" t="n"/>
      <c r="W2271" s="8" t="n"/>
      <c r="X2271" s="8" t="n"/>
      <c r="Y2271" s="8" t="n"/>
    </row>
    <row r="2272">
      <c r="A2272" s="8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9">
        <f>B2272+30</f>
        <v/>
      </c>
      <c r="N2272">
        <f>IF(L2272="", "", L2272-B2272)</f>
        <v/>
      </c>
      <c r="O2272">
        <f>IF(L2272="", "Pending", IF(N2272&lt;=30, "Met", "Breached"))</f>
        <v/>
      </c>
      <c r="P2272" s="8" t="n"/>
      <c r="Q2272" s="8" t="n"/>
      <c r="R2272" s="8" t="n"/>
      <c r="S2272" s="8" t="n"/>
      <c r="T2272" s="8" t="n"/>
      <c r="U2272" s="8" t="n"/>
      <c r="V2272" s="8" t="n"/>
      <c r="W2272" s="8" t="n"/>
      <c r="X2272" s="8" t="n"/>
      <c r="Y2272" s="8" t="n"/>
    </row>
    <row r="2273">
      <c r="A2273" s="8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9">
        <f>B2273+30</f>
        <v/>
      </c>
      <c r="N2273">
        <f>IF(L2273="", "", L2273-B2273)</f>
        <v/>
      </c>
      <c r="O2273">
        <f>IF(L2273="", "Pending", IF(N2273&lt;=30, "Met", "Breached"))</f>
        <v/>
      </c>
      <c r="P2273" s="8" t="n"/>
      <c r="Q2273" s="8" t="n"/>
      <c r="R2273" s="8" t="n"/>
      <c r="S2273" s="8" t="n"/>
      <c r="T2273" s="8" t="n"/>
      <c r="U2273" s="8" t="n"/>
      <c r="V2273" s="8" t="n"/>
      <c r="W2273" s="8" t="n"/>
      <c r="X2273" s="8" t="n"/>
      <c r="Y2273" s="8" t="n"/>
    </row>
    <row r="2274">
      <c r="A2274" s="8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9">
        <f>B2274+30</f>
        <v/>
      </c>
      <c r="N2274">
        <f>IF(L2274="", "", L2274-B2274)</f>
        <v/>
      </c>
      <c r="O2274">
        <f>IF(L2274="", "Pending", IF(N2274&lt;=30, "Met", "Breached"))</f>
        <v/>
      </c>
      <c r="P2274" s="8" t="n"/>
      <c r="Q2274" s="8" t="n"/>
      <c r="R2274" s="8" t="n"/>
      <c r="S2274" s="8" t="n"/>
      <c r="T2274" s="8" t="n"/>
      <c r="U2274" s="8" t="n"/>
      <c r="V2274" s="8" t="n"/>
      <c r="W2274" s="8" t="n"/>
      <c r="X2274" s="8" t="n"/>
      <c r="Y2274" s="8" t="n"/>
    </row>
    <row r="2275">
      <c r="A2275" s="8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9">
        <f>B2275+30</f>
        <v/>
      </c>
      <c r="N2275">
        <f>IF(L2275="", "", L2275-B2275)</f>
        <v/>
      </c>
      <c r="O2275">
        <f>IF(L2275="", "Pending", IF(N2275&lt;=30, "Met", "Breached"))</f>
        <v/>
      </c>
      <c r="P2275" s="8" t="n"/>
      <c r="Q2275" s="8" t="n"/>
      <c r="R2275" s="8" t="n"/>
      <c r="S2275" s="8" t="n"/>
      <c r="T2275" s="8" t="n"/>
      <c r="U2275" s="8" t="n"/>
      <c r="V2275" s="8" t="n"/>
      <c r="W2275" s="8" t="n"/>
      <c r="X2275" s="8" t="n"/>
      <c r="Y2275" s="8" t="n"/>
    </row>
    <row r="2276">
      <c r="A2276" s="8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9">
        <f>B2276+30</f>
        <v/>
      </c>
      <c r="N2276">
        <f>IF(L2276="", "", L2276-B2276)</f>
        <v/>
      </c>
      <c r="O2276">
        <f>IF(L2276="", "Pending", IF(N2276&lt;=30, "Met", "Breached"))</f>
        <v/>
      </c>
      <c r="P2276" s="8" t="n"/>
      <c r="Q2276" s="8" t="n"/>
      <c r="R2276" s="8" t="n"/>
      <c r="S2276" s="8" t="n"/>
      <c r="T2276" s="8" t="n"/>
      <c r="U2276" s="8" t="n"/>
      <c r="V2276" s="8" t="n"/>
      <c r="W2276" s="8" t="n"/>
      <c r="X2276" s="8" t="n"/>
      <c r="Y2276" s="8" t="n"/>
    </row>
    <row r="2277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9">
        <f>B2277+30</f>
        <v/>
      </c>
      <c r="N2277">
        <f>IF(L2277="", "", L2277-B2277)</f>
        <v/>
      </c>
      <c r="O2277">
        <f>IF(L2277="", "Pending", IF(N2277&lt;=30, "Met", "Breached"))</f>
        <v/>
      </c>
      <c r="P2277" s="8" t="n"/>
      <c r="Q2277" s="8" t="n"/>
      <c r="R2277" s="8" t="n"/>
      <c r="S2277" s="8" t="n"/>
      <c r="T2277" s="8" t="n"/>
      <c r="U2277" s="8" t="n"/>
      <c r="V2277" s="8" t="n"/>
      <c r="W2277" s="8" t="n"/>
      <c r="X2277" s="8" t="n"/>
      <c r="Y2277" s="8" t="n"/>
    </row>
    <row r="2278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9">
        <f>B2278+30</f>
        <v/>
      </c>
      <c r="N2278">
        <f>IF(L2278="", "", L2278-B2278)</f>
        <v/>
      </c>
      <c r="O2278">
        <f>IF(L2278="", "Pending", IF(N2278&lt;=30, "Met", "Breached"))</f>
        <v/>
      </c>
      <c r="P2278" s="8" t="n"/>
      <c r="Q2278" s="8" t="n"/>
      <c r="R2278" s="8" t="n"/>
      <c r="S2278" s="8" t="n"/>
      <c r="T2278" s="8" t="n"/>
      <c r="U2278" s="8" t="n"/>
      <c r="V2278" s="8" t="n"/>
      <c r="W2278" s="8" t="n"/>
      <c r="X2278" s="8" t="n"/>
      <c r="Y2278" s="8" t="n"/>
    </row>
    <row r="2279">
      <c r="A2279" s="8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9">
        <f>B2279+30</f>
        <v/>
      </c>
      <c r="N2279">
        <f>IF(L2279="", "", L2279-B2279)</f>
        <v/>
      </c>
      <c r="O2279">
        <f>IF(L2279="", "Pending", IF(N2279&lt;=30, "Met", "Breached"))</f>
        <v/>
      </c>
      <c r="P2279" s="8" t="n"/>
      <c r="Q2279" s="8" t="n"/>
      <c r="R2279" s="8" t="n"/>
      <c r="S2279" s="8" t="n"/>
      <c r="T2279" s="8" t="n"/>
      <c r="U2279" s="8" t="n"/>
      <c r="V2279" s="8" t="n"/>
      <c r="W2279" s="8" t="n"/>
      <c r="X2279" s="8" t="n"/>
      <c r="Y2279" s="8" t="n"/>
    </row>
    <row r="2280">
      <c r="A2280" s="8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9">
        <f>B2280+30</f>
        <v/>
      </c>
      <c r="N2280">
        <f>IF(L2280="", "", L2280-B2280)</f>
        <v/>
      </c>
      <c r="O2280">
        <f>IF(L2280="", "Pending", IF(N2280&lt;=30, "Met", "Breached"))</f>
        <v/>
      </c>
      <c r="P2280" s="8" t="n"/>
      <c r="Q2280" s="8" t="n"/>
      <c r="R2280" s="8" t="n"/>
      <c r="S2280" s="8" t="n"/>
      <c r="T2280" s="8" t="n"/>
      <c r="U2280" s="8" t="n"/>
      <c r="V2280" s="8" t="n"/>
      <c r="W2280" s="8" t="n"/>
      <c r="X2280" s="8" t="n"/>
      <c r="Y2280" s="8" t="n"/>
    </row>
    <row r="2281">
      <c r="A2281" s="8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9">
        <f>B2281+30</f>
        <v/>
      </c>
      <c r="N2281">
        <f>IF(L2281="", "", L2281-B2281)</f>
        <v/>
      </c>
      <c r="O2281">
        <f>IF(L2281="", "Pending", IF(N2281&lt;=30, "Met", "Breached"))</f>
        <v/>
      </c>
      <c r="P2281" s="8" t="n"/>
      <c r="Q2281" s="8" t="n"/>
      <c r="R2281" s="8" t="n"/>
      <c r="S2281" s="8" t="n"/>
      <c r="T2281" s="8" t="n"/>
      <c r="U2281" s="8" t="n"/>
      <c r="V2281" s="8" t="n"/>
      <c r="W2281" s="8" t="n"/>
      <c r="X2281" s="8" t="n"/>
      <c r="Y2281" s="8" t="n"/>
    </row>
    <row r="2282">
      <c r="A2282" s="8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9">
        <f>B2282+30</f>
        <v/>
      </c>
      <c r="N2282">
        <f>IF(L2282="", "", L2282-B2282)</f>
        <v/>
      </c>
      <c r="O2282">
        <f>IF(L2282="", "Pending", IF(N2282&lt;=30, "Met", "Breached"))</f>
        <v/>
      </c>
      <c r="P2282" s="8" t="n"/>
      <c r="Q2282" s="8" t="n"/>
      <c r="R2282" s="8" t="n"/>
      <c r="S2282" s="8" t="n"/>
      <c r="T2282" s="8" t="n"/>
      <c r="U2282" s="8" t="n"/>
      <c r="V2282" s="8" t="n"/>
      <c r="W2282" s="8" t="n"/>
      <c r="X2282" s="8" t="n"/>
      <c r="Y2282" s="8" t="n"/>
    </row>
    <row r="2283">
      <c r="A2283" s="8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9">
        <f>B2283+30</f>
        <v/>
      </c>
      <c r="N2283">
        <f>IF(L2283="", "", L2283-B2283)</f>
        <v/>
      </c>
      <c r="O2283">
        <f>IF(L2283="", "Pending", IF(N2283&lt;=30, "Met", "Breached"))</f>
        <v/>
      </c>
      <c r="P2283" s="8" t="n"/>
      <c r="Q2283" s="8" t="n"/>
      <c r="R2283" s="8" t="n"/>
      <c r="S2283" s="8" t="n"/>
      <c r="T2283" s="8" t="n"/>
      <c r="U2283" s="8" t="n"/>
      <c r="V2283" s="8" t="n"/>
      <c r="W2283" s="8" t="n"/>
      <c r="X2283" s="8" t="n"/>
      <c r="Y2283" s="8" t="n"/>
    </row>
    <row r="2284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9">
        <f>B2284+30</f>
        <v/>
      </c>
      <c r="N2284">
        <f>IF(L2284="", "", L2284-B2284)</f>
        <v/>
      </c>
      <c r="O2284">
        <f>IF(L2284="", "Pending", IF(N2284&lt;=30, "Met", "Breached"))</f>
        <v/>
      </c>
      <c r="P2284" s="8" t="n"/>
      <c r="Q2284" s="8" t="n"/>
      <c r="R2284" s="8" t="n"/>
      <c r="S2284" s="8" t="n"/>
      <c r="T2284" s="8" t="n"/>
      <c r="U2284" s="8" t="n"/>
      <c r="V2284" s="8" t="n"/>
      <c r="W2284" s="8" t="n"/>
      <c r="X2284" s="8" t="n"/>
      <c r="Y2284" s="8" t="n"/>
    </row>
    <row r="2285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9">
        <f>B2285+30</f>
        <v/>
      </c>
      <c r="N2285">
        <f>IF(L2285="", "", L2285-B2285)</f>
        <v/>
      </c>
      <c r="O2285">
        <f>IF(L2285="", "Pending", IF(N2285&lt;=30, "Met", "Breached"))</f>
        <v/>
      </c>
      <c r="P2285" s="8" t="n"/>
      <c r="Q2285" s="8" t="n"/>
      <c r="R2285" s="8" t="n"/>
      <c r="S2285" s="8" t="n"/>
      <c r="T2285" s="8" t="n"/>
      <c r="U2285" s="8" t="n"/>
      <c r="V2285" s="8" t="n"/>
      <c r="W2285" s="8" t="n"/>
      <c r="X2285" s="8" t="n"/>
      <c r="Y2285" s="8" t="n"/>
    </row>
    <row r="2286">
      <c r="A2286" s="8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9">
        <f>B2286+30</f>
        <v/>
      </c>
      <c r="N2286">
        <f>IF(L2286="", "", L2286-B2286)</f>
        <v/>
      </c>
      <c r="O2286">
        <f>IF(L2286="", "Pending", IF(N2286&lt;=30, "Met", "Breached"))</f>
        <v/>
      </c>
      <c r="P2286" s="8" t="n"/>
      <c r="Q2286" s="8" t="n"/>
      <c r="R2286" s="8" t="n"/>
      <c r="S2286" s="8" t="n"/>
      <c r="T2286" s="8" t="n"/>
      <c r="U2286" s="8" t="n"/>
      <c r="V2286" s="8" t="n"/>
      <c r="W2286" s="8" t="n"/>
      <c r="X2286" s="8" t="n"/>
      <c r="Y2286" s="8" t="n"/>
    </row>
    <row r="2287">
      <c r="A2287" s="8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9">
        <f>B2287+30</f>
        <v/>
      </c>
      <c r="N2287">
        <f>IF(L2287="", "", L2287-B2287)</f>
        <v/>
      </c>
      <c r="O2287">
        <f>IF(L2287="", "Pending", IF(N2287&lt;=30, "Met", "Breached"))</f>
        <v/>
      </c>
      <c r="P2287" s="8" t="n"/>
      <c r="Q2287" s="8" t="n"/>
      <c r="R2287" s="8" t="n"/>
      <c r="S2287" s="8" t="n"/>
      <c r="T2287" s="8" t="n"/>
      <c r="U2287" s="8" t="n"/>
      <c r="V2287" s="8" t="n"/>
      <c r="W2287" s="8" t="n"/>
      <c r="X2287" s="8" t="n"/>
      <c r="Y2287" s="8" t="n"/>
    </row>
    <row r="2288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9">
        <f>B2288+30</f>
        <v/>
      </c>
      <c r="N2288">
        <f>IF(L2288="", "", L2288-B2288)</f>
        <v/>
      </c>
      <c r="O2288">
        <f>IF(L2288="", "Pending", IF(N2288&lt;=30, "Met", "Breached"))</f>
        <v/>
      </c>
      <c r="P2288" s="8" t="n"/>
      <c r="Q2288" s="8" t="n"/>
      <c r="R2288" s="8" t="n"/>
      <c r="S2288" s="8" t="n"/>
      <c r="T2288" s="8" t="n"/>
      <c r="U2288" s="8" t="n"/>
      <c r="V2288" s="8" t="n"/>
      <c r="W2288" s="8" t="n"/>
      <c r="X2288" s="8" t="n"/>
      <c r="Y2288" s="8" t="n"/>
    </row>
    <row r="2289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9">
        <f>B2289+30</f>
        <v/>
      </c>
      <c r="N2289">
        <f>IF(L2289="", "", L2289-B2289)</f>
        <v/>
      </c>
      <c r="O2289">
        <f>IF(L2289="", "Pending", IF(N2289&lt;=30, "Met", "Breached"))</f>
        <v/>
      </c>
      <c r="P2289" s="8" t="n"/>
      <c r="Q2289" s="8" t="n"/>
      <c r="R2289" s="8" t="n"/>
      <c r="S2289" s="8" t="n"/>
      <c r="T2289" s="8" t="n"/>
      <c r="U2289" s="8" t="n"/>
      <c r="V2289" s="8" t="n"/>
      <c r="W2289" s="8" t="n"/>
      <c r="X2289" s="8" t="n"/>
      <c r="Y2289" s="8" t="n"/>
    </row>
    <row r="2290">
      <c r="A2290" s="8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9">
        <f>B2290+30</f>
        <v/>
      </c>
      <c r="N2290">
        <f>IF(L2290="", "", L2290-B2290)</f>
        <v/>
      </c>
      <c r="O2290">
        <f>IF(L2290="", "Pending", IF(N2290&lt;=30, "Met", "Breached"))</f>
        <v/>
      </c>
      <c r="P2290" s="8" t="n"/>
      <c r="Q2290" s="8" t="n"/>
      <c r="R2290" s="8" t="n"/>
      <c r="S2290" s="8" t="n"/>
      <c r="T2290" s="8" t="n"/>
      <c r="U2290" s="8" t="n"/>
      <c r="V2290" s="8" t="n"/>
      <c r="W2290" s="8" t="n"/>
      <c r="X2290" s="8" t="n"/>
      <c r="Y2290" s="8" t="n"/>
    </row>
    <row r="2291">
      <c r="A2291" s="8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9">
        <f>B2291+30</f>
        <v/>
      </c>
      <c r="N2291">
        <f>IF(L2291="", "", L2291-B2291)</f>
        <v/>
      </c>
      <c r="O2291">
        <f>IF(L2291="", "Pending", IF(N2291&lt;=30, "Met", "Breached"))</f>
        <v/>
      </c>
      <c r="P2291" s="8" t="n"/>
      <c r="Q2291" s="8" t="n"/>
      <c r="R2291" s="8" t="n"/>
      <c r="S2291" s="8" t="n"/>
      <c r="T2291" s="8" t="n"/>
      <c r="U2291" s="8" t="n"/>
      <c r="V2291" s="8" t="n"/>
      <c r="W2291" s="8" t="n"/>
      <c r="X2291" s="8" t="n"/>
      <c r="Y2291" s="8" t="n"/>
    </row>
    <row r="2292">
      <c r="A2292" s="8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9">
        <f>B2292+30</f>
        <v/>
      </c>
      <c r="N2292">
        <f>IF(L2292="", "", L2292-B2292)</f>
        <v/>
      </c>
      <c r="O2292">
        <f>IF(L2292="", "Pending", IF(N2292&lt;=30, "Met", "Breached"))</f>
        <v/>
      </c>
      <c r="P2292" s="8" t="n"/>
      <c r="Q2292" s="8" t="n"/>
      <c r="R2292" s="8" t="n"/>
      <c r="S2292" s="8" t="n"/>
      <c r="T2292" s="8" t="n"/>
      <c r="U2292" s="8" t="n"/>
      <c r="V2292" s="8" t="n"/>
      <c r="W2292" s="8" t="n"/>
      <c r="X2292" s="8" t="n"/>
      <c r="Y2292" s="8" t="n"/>
    </row>
    <row r="2293">
      <c r="A2293" s="8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9">
        <f>B2293+30</f>
        <v/>
      </c>
      <c r="N2293">
        <f>IF(L2293="", "", L2293-B2293)</f>
        <v/>
      </c>
      <c r="O2293">
        <f>IF(L2293="", "Pending", IF(N2293&lt;=30, "Met", "Breached"))</f>
        <v/>
      </c>
      <c r="P2293" s="8" t="n"/>
      <c r="Q2293" s="8" t="n"/>
      <c r="R2293" s="8" t="n"/>
      <c r="S2293" s="8" t="n"/>
      <c r="T2293" s="8" t="n"/>
      <c r="U2293" s="8" t="n"/>
      <c r="V2293" s="8" t="n"/>
      <c r="W2293" s="8" t="n"/>
      <c r="X2293" s="8" t="n"/>
      <c r="Y2293" s="8" t="n"/>
    </row>
    <row r="2294">
      <c r="A2294" s="8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9">
        <f>B2294+30</f>
        <v/>
      </c>
      <c r="N2294">
        <f>IF(L2294="", "", L2294-B2294)</f>
        <v/>
      </c>
      <c r="O2294">
        <f>IF(L2294="", "Pending", IF(N2294&lt;=30, "Met", "Breached"))</f>
        <v/>
      </c>
      <c r="P2294" s="8" t="n"/>
      <c r="Q2294" s="8" t="n"/>
      <c r="R2294" s="8" t="n"/>
      <c r="S2294" s="8" t="n"/>
      <c r="T2294" s="8" t="n"/>
      <c r="U2294" s="8" t="n"/>
      <c r="V2294" s="8" t="n"/>
      <c r="W2294" s="8" t="n"/>
      <c r="X2294" s="8" t="n"/>
      <c r="Y2294" s="8" t="n"/>
    </row>
    <row r="2295">
      <c r="A2295" s="8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9">
        <f>B2295+30</f>
        <v/>
      </c>
      <c r="N2295">
        <f>IF(L2295="", "", L2295-B2295)</f>
        <v/>
      </c>
      <c r="O2295">
        <f>IF(L2295="", "Pending", IF(N2295&lt;=30, "Met", "Breached"))</f>
        <v/>
      </c>
      <c r="P2295" s="8" t="n"/>
      <c r="Q2295" s="8" t="n"/>
      <c r="R2295" s="8" t="n"/>
      <c r="S2295" s="8" t="n"/>
      <c r="T2295" s="8" t="n"/>
      <c r="U2295" s="8" t="n"/>
      <c r="V2295" s="8" t="n"/>
      <c r="W2295" s="8" t="n"/>
      <c r="X2295" s="8" t="n"/>
      <c r="Y2295" s="8" t="n"/>
    </row>
    <row r="2296">
      <c r="A2296" s="8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9">
        <f>B2296+30</f>
        <v/>
      </c>
      <c r="N2296">
        <f>IF(L2296="", "", L2296-B2296)</f>
        <v/>
      </c>
      <c r="O2296">
        <f>IF(L2296="", "Pending", IF(N2296&lt;=30, "Met", "Breached"))</f>
        <v/>
      </c>
      <c r="P2296" s="8" t="n"/>
      <c r="Q2296" s="8" t="n"/>
      <c r="R2296" s="8" t="n"/>
      <c r="S2296" s="8" t="n"/>
      <c r="T2296" s="8" t="n"/>
      <c r="U2296" s="8" t="n"/>
      <c r="V2296" s="8" t="n"/>
      <c r="W2296" s="8" t="n"/>
      <c r="X2296" s="8" t="n"/>
      <c r="Y2296" s="8" t="n"/>
    </row>
    <row r="2297">
      <c r="A2297" s="8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9">
        <f>B2297+30</f>
        <v/>
      </c>
      <c r="N2297">
        <f>IF(L2297="", "", L2297-B2297)</f>
        <v/>
      </c>
      <c r="O2297">
        <f>IF(L2297="", "Pending", IF(N2297&lt;=30, "Met", "Breached"))</f>
        <v/>
      </c>
      <c r="P2297" s="8" t="n"/>
      <c r="Q2297" s="8" t="n"/>
      <c r="R2297" s="8" t="n"/>
      <c r="S2297" s="8" t="n"/>
      <c r="T2297" s="8" t="n"/>
      <c r="U2297" s="8" t="n"/>
      <c r="V2297" s="8" t="n"/>
      <c r="W2297" s="8" t="n"/>
      <c r="X2297" s="8" t="n"/>
      <c r="Y2297" s="8" t="n"/>
    </row>
    <row r="2298">
      <c r="A2298" s="8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9">
        <f>B2298+30</f>
        <v/>
      </c>
      <c r="N2298">
        <f>IF(L2298="", "", L2298-B2298)</f>
        <v/>
      </c>
      <c r="O2298">
        <f>IF(L2298="", "Pending", IF(N2298&lt;=30, "Met", "Breached"))</f>
        <v/>
      </c>
      <c r="P2298" s="8" t="n"/>
      <c r="Q2298" s="8" t="n"/>
      <c r="R2298" s="8" t="n"/>
      <c r="S2298" s="8" t="n"/>
      <c r="T2298" s="8" t="n"/>
      <c r="U2298" s="8" t="n"/>
      <c r="V2298" s="8" t="n"/>
      <c r="W2298" s="8" t="n"/>
      <c r="X2298" s="8" t="n"/>
      <c r="Y2298" s="8" t="n"/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9">
        <f>B2299+30</f>
        <v/>
      </c>
      <c r="N2299">
        <f>IF(L2299="", "", L2299-B2299)</f>
        <v/>
      </c>
      <c r="O2299">
        <f>IF(L2299="", "Pending", IF(N2299&lt;=30, "Met", "Breached"))</f>
        <v/>
      </c>
      <c r="P2299" s="8" t="n"/>
      <c r="Q2299" s="8" t="n"/>
      <c r="R2299" s="8" t="n"/>
      <c r="S2299" s="8" t="n"/>
      <c r="T2299" s="8" t="n"/>
      <c r="U2299" s="8" t="n"/>
      <c r="V2299" s="8" t="n"/>
      <c r="W2299" s="8" t="n"/>
      <c r="X2299" s="8" t="n"/>
      <c r="Y2299" s="8" t="n"/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9">
        <f>B2300+30</f>
        <v/>
      </c>
      <c r="N2300">
        <f>IF(L2300="", "", L2300-B2300)</f>
        <v/>
      </c>
      <c r="O2300">
        <f>IF(L2300="", "Pending", IF(N2300&lt;=30, "Met", "Breached"))</f>
        <v/>
      </c>
      <c r="P2300" s="8" t="n"/>
      <c r="Q2300" s="8" t="n"/>
      <c r="R2300" s="8" t="n"/>
      <c r="S2300" s="8" t="n"/>
      <c r="T2300" s="8" t="n"/>
      <c r="U2300" s="8" t="n"/>
      <c r="V2300" s="8" t="n"/>
      <c r="W2300" s="8" t="n"/>
      <c r="X2300" s="8" t="n"/>
      <c r="Y2300" s="8" t="n"/>
    </row>
    <row r="2301">
      <c r="A2301" s="8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9">
        <f>B2301+30</f>
        <v/>
      </c>
      <c r="N2301">
        <f>IF(L2301="", "", L2301-B2301)</f>
        <v/>
      </c>
      <c r="O2301">
        <f>IF(L2301="", "Pending", IF(N2301&lt;=30, "Met", "Breached"))</f>
        <v/>
      </c>
      <c r="P2301" s="8" t="n"/>
      <c r="Q2301" s="8" t="n"/>
      <c r="R2301" s="8" t="n"/>
      <c r="S2301" s="8" t="n"/>
      <c r="T2301" s="8" t="n"/>
      <c r="U2301" s="8" t="n"/>
      <c r="V2301" s="8" t="n"/>
      <c r="W2301" s="8" t="n"/>
      <c r="X2301" s="8" t="n"/>
      <c r="Y2301" s="8" t="n"/>
    </row>
    <row r="2302">
      <c r="A2302" s="8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9">
        <f>B2302+30</f>
        <v/>
      </c>
      <c r="N2302">
        <f>IF(L2302="", "", L2302-B2302)</f>
        <v/>
      </c>
      <c r="O2302">
        <f>IF(L2302="", "Pending", IF(N2302&lt;=30, "Met", "Breached"))</f>
        <v/>
      </c>
      <c r="P2302" s="8" t="n"/>
      <c r="Q2302" s="8" t="n"/>
      <c r="R2302" s="8" t="n"/>
      <c r="S2302" s="8" t="n"/>
      <c r="T2302" s="8" t="n"/>
      <c r="U2302" s="8" t="n"/>
      <c r="V2302" s="8" t="n"/>
      <c r="W2302" s="8" t="n"/>
      <c r="X2302" s="8" t="n"/>
      <c r="Y2302" s="8" t="n"/>
    </row>
    <row r="2303">
      <c r="A2303" s="8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9">
        <f>B2303+30</f>
        <v/>
      </c>
      <c r="N2303">
        <f>IF(L2303="", "", L2303-B2303)</f>
        <v/>
      </c>
      <c r="O2303">
        <f>IF(L2303="", "Pending", IF(N2303&lt;=30, "Met", "Breached"))</f>
        <v/>
      </c>
      <c r="P2303" s="8" t="n"/>
      <c r="Q2303" s="8" t="n"/>
      <c r="R2303" s="8" t="n"/>
      <c r="S2303" s="8" t="n"/>
      <c r="T2303" s="8" t="n"/>
      <c r="U2303" s="8" t="n"/>
      <c r="V2303" s="8" t="n"/>
      <c r="W2303" s="8" t="n"/>
      <c r="X2303" s="8" t="n"/>
      <c r="Y2303" s="8" t="n"/>
    </row>
    <row r="2304">
      <c r="A2304" s="8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9">
        <f>B2304+30</f>
        <v/>
      </c>
      <c r="N2304">
        <f>IF(L2304="", "", L2304-B2304)</f>
        <v/>
      </c>
      <c r="O2304">
        <f>IF(L2304="", "Pending", IF(N2304&lt;=30, "Met", "Breached"))</f>
        <v/>
      </c>
      <c r="P2304" s="8" t="n"/>
      <c r="Q2304" s="8" t="n"/>
      <c r="R2304" s="8" t="n"/>
      <c r="S2304" s="8" t="n"/>
      <c r="T2304" s="8" t="n"/>
      <c r="U2304" s="8" t="n"/>
      <c r="V2304" s="8" t="n"/>
      <c r="W2304" s="8" t="n"/>
      <c r="X2304" s="8" t="n"/>
      <c r="Y2304" s="8" t="n"/>
    </row>
    <row r="2305">
      <c r="A2305" s="8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9">
        <f>B2305+30</f>
        <v/>
      </c>
      <c r="N2305">
        <f>IF(L2305="", "", L2305-B2305)</f>
        <v/>
      </c>
      <c r="O2305">
        <f>IF(L2305="", "Pending", IF(N2305&lt;=30, "Met", "Breached"))</f>
        <v/>
      </c>
      <c r="P2305" s="8" t="n"/>
      <c r="Q2305" s="8" t="n"/>
      <c r="R2305" s="8" t="n"/>
      <c r="S2305" s="8" t="n"/>
      <c r="T2305" s="8" t="n"/>
      <c r="U2305" s="8" t="n"/>
      <c r="V2305" s="8" t="n"/>
      <c r="W2305" s="8" t="n"/>
      <c r="X2305" s="8" t="n"/>
      <c r="Y2305" s="8" t="n"/>
    </row>
    <row r="2306">
      <c r="A2306" s="8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9">
        <f>B2306+30</f>
        <v/>
      </c>
      <c r="N2306">
        <f>IF(L2306="", "", L2306-B2306)</f>
        <v/>
      </c>
      <c r="O2306">
        <f>IF(L2306="", "Pending", IF(N2306&lt;=30, "Met", "Breached"))</f>
        <v/>
      </c>
      <c r="P2306" s="8" t="n"/>
      <c r="Q2306" s="8" t="n"/>
      <c r="R2306" s="8" t="n"/>
      <c r="S2306" s="8" t="n"/>
      <c r="T2306" s="8" t="n"/>
      <c r="U2306" s="8" t="n"/>
      <c r="V2306" s="8" t="n"/>
      <c r="W2306" s="8" t="n"/>
      <c r="X2306" s="8" t="n"/>
      <c r="Y2306" s="8" t="n"/>
    </row>
    <row r="2307">
      <c r="A2307" s="8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9">
        <f>B2307+30</f>
        <v/>
      </c>
      <c r="N2307">
        <f>IF(L2307="", "", L2307-B2307)</f>
        <v/>
      </c>
      <c r="O2307">
        <f>IF(L2307="", "Pending", IF(N2307&lt;=30, "Met", "Breached"))</f>
        <v/>
      </c>
      <c r="P2307" s="8" t="n"/>
      <c r="Q2307" s="8" t="n"/>
      <c r="R2307" s="8" t="n"/>
      <c r="S2307" s="8" t="n"/>
      <c r="T2307" s="8" t="n"/>
      <c r="U2307" s="8" t="n"/>
      <c r="V2307" s="8" t="n"/>
      <c r="W2307" s="8" t="n"/>
      <c r="X2307" s="8" t="n"/>
      <c r="Y2307" s="8" t="n"/>
    </row>
    <row r="2308">
      <c r="A2308" s="8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9">
        <f>B2308+30</f>
        <v/>
      </c>
      <c r="N2308">
        <f>IF(L2308="", "", L2308-B2308)</f>
        <v/>
      </c>
      <c r="O2308">
        <f>IF(L2308="", "Pending", IF(N2308&lt;=30, "Met", "Breached"))</f>
        <v/>
      </c>
      <c r="P2308" s="8" t="n"/>
      <c r="Q2308" s="8" t="n"/>
      <c r="R2308" s="8" t="n"/>
      <c r="S2308" s="8" t="n"/>
      <c r="T2308" s="8" t="n"/>
      <c r="U2308" s="8" t="n"/>
      <c r="V2308" s="8" t="n"/>
      <c r="W2308" s="8" t="n"/>
      <c r="X2308" s="8" t="n"/>
      <c r="Y2308" s="8" t="n"/>
    </row>
    <row r="2309">
      <c r="A2309" s="8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9">
        <f>B2309+30</f>
        <v/>
      </c>
      <c r="N2309">
        <f>IF(L2309="", "", L2309-B2309)</f>
        <v/>
      </c>
      <c r="O2309">
        <f>IF(L2309="", "Pending", IF(N2309&lt;=30, "Met", "Breached"))</f>
        <v/>
      </c>
      <c r="P2309" s="8" t="n"/>
      <c r="Q2309" s="8" t="n"/>
      <c r="R2309" s="8" t="n"/>
      <c r="S2309" s="8" t="n"/>
      <c r="T2309" s="8" t="n"/>
      <c r="U2309" s="8" t="n"/>
      <c r="V2309" s="8" t="n"/>
      <c r="W2309" s="8" t="n"/>
      <c r="X2309" s="8" t="n"/>
      <c r="Y2309" s="8" t="n"/>
    </row>
    <row r="2310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9">
        <f>B2310+30</f>
        <v/>
      </c>
      <c r="N2310">
        <f>IF(L2310="", "", L2310-B2310)</f>
        <v/>
      </c>
      <c r="O2310">
        <f>IF(L2310="", "Pending", IF(N2310&lt;=30, "Met", "Breached"))</f>
        <v/>
      </c>
      <c r="P2310" s="8" t="n"/>
      <c r="Q2310" s="8" t="n"/>
      <c r="R2310" s="8" t="n"/>
      <c r="S2310" s="8" t="n"/>
      <c r="T2310" s="8" t="n"/>
      <c r="U2310" s="8" t="n"/>
      <c r="V2310" s="8" t="n"/>
      <c r="W2310" s="8" t="n"/>
      <c r="X2310" s="8" t="n"/>
      <c r="Y2310" s="8" t="n"/>
    </row>
    <row r="2311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9">
        <f>B2311+30</f>
        <v/>
      </c>
      <c r="N2311">
        <f>IF(L2311="", "", L2311-B2311)</f>
        <v/>
      </c>
      <c r="O2311">
        <f>IF(L2311="", "Pending", IF(N2311&lt;=30, "Met", "Breached"))</f>
        <v/>
      </c>
      <c r="P2311" s="8" t="n"/>
      <c r="Q2311" s="8" t="n"/>
      <c r="R2311" s="8" t="n"/>
      <c r="S2311" s="8" t="n"/>
      <c r="T2311" s="8" t="n"/>
      <c r="U2311" s="8" t="n"/>
      <c r="V2311" s="8" t="n"/>
      <c r="W2311" s="8" t="n"/>
      <c r="X2311" s="8" t="n"/>
      <c r="Y2311" s="8" t="n"/>
    </row>
    <row r="2312">
      <c r="A2312" s="8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9">
        <f>B2312+30</f>
        <v/>
      </c>
      <c r="N2312">
        <f>IF(L2312="", "", L2312-B2312)</f>
        <v/>
      </c>
      <c r="O2312">
        <f>IF(L2312="", "Pending", IF(N2312&lt;=30, "Met", "Breached"))</f>
        <v/>
      </c>
      <c r="P2312" s="8" t="n"/>
      <c r="Q2312" s="8" t="n"/>
      <c r="R2312" s="8" t="n"/>
      <c r="S2312" s="8" t="n"/>
      <c r="T2312" s="8" t="n"/>
      <c r="U2312" s="8" t="n"/>
      <c r="V2312" s="8" t="n"/>
      <c r="W2312" s="8" t="n"/>
      <c r="X2312" s="8" t="n"/>
      <c r="Y2312" s="8" t="n"/>
    </row>
    <row r="2313">
      <c r="A2313" s="8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9">
        <f>B2313+30</f>
        <v/>
      </c>
      <c r="N2313">
        <f>IF(L2313="", "", L2313-B2313)</f>
        <v/>
      </c>
      <c r="O2313">
        <f>IF(L2313="", "Pending", IF(N2313&lt;=30, "Met", "Breached"))</f>
        <v/>
      </c>
      <c r="P2313" s="8" t="n"/>
      <c r="Q2313" s="8" t="n"/>
      <c r="R2313" s="8" t="n"/>
      <c r="S2313" s="8" t="n"/>
      <c r="T2313" s="8" t="n"/>
      <c r="U2313" s="8" t="n"/>
      <c r="V2313" s="8" t="n"/>
      <c r="W2313" s="8" t="n"/>
      <c r="X2313" s="8" t="n"/>
      <c r="Y2313" s="8" t="n"/>
    </row>
    <row r="2314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9">
        <f>B2314+30</f>
        <v/>
      </c>
      <c r="N2314">
        <f>IF(L2314="", "", L2314-B2314)</f>
        <v/>
      </c>
      <c r="O2314">
        <f>IF(L2314="", "Pending", IF(N2314&lt;=30, "Met", "Breached"))</f>
        <v/>
      </c>
      <c r="P2314" s="8" t="n"/>
      <c r="Q2314" s="8" t="n"/>
      <c r="R2314" s="8" t="n"/>
      <c r="S2314" s="8" t="n"/>
      <c r="T2314" s="8" t="n"/>
      <c r="U2314" s="8" t="n"/>
      <c r="V2314" s="8" t="n"/>
      <c r="W2314" s="8" t="n"/>
      <c r="X2314" s="8" t="n"/>
      <c r="Y2314" s="8" t="n"/>
    </row>
    <row r="2315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9">
        <f>B2315+30</f>
        <v/>
      </c>
      <c r="N2315">
        <f>IF(L2315="", "", L2315-B2315)</f>
        <v/>
      </c>
      <c r="O2315">
        <f>IF(L2315="", "Pending", IF(N2315&lt;=30, "Met", "Breached"))</f>
        <v/>
      </c>
      <c r="P2315" s="8" t="n"/>
      <c r="Q2315" s="8" t="n"/>
      <c r="R2315" s="8" t="n"/>
      <c r="S2315" s="8" t="n"/>
      <c r="T2315" s="8" t="n"/>
      <c r="U2315" s="8" t="n"/>
      <c r="V2315" s="8" t="n"/>
      <c r="W2315" s="8" t="n"/>
      <c r="X2315" s="8" t="n"/>
      <c r="Y2315" s="8" t="n"/>
    </row>
    <row r="2316">
      <c r="A2316" s="8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9">
        <f>B2316+30</f>
        <v/>
      </c>
      <c r="N2316">
        <f>IF(L2316="", "", L2316-B2316)</f>
        <v/>
      </c>
      <c r="O2316">
        <f>IF(L2316="", "Pending", IF(N2316&lt;=30, "Met", "Breached"))</f>
        <v/>
      </c>
      <c r="P2316" s="8" t="n"/>
      <c r="Q2316" s="8" t="n"/>
      <c r="R2316" s="8" t="n"/>
      <c r="S2316" s="8" t="n"/>
      <c r="T2316" s="8" t="n"/>
      <c r="U2316" s="8" t="n"/>
      <c r="V2316" s="8" t="n"/>
      <c r="W2316" s="8" t="n"/>
      <c r="X2316" s="8" t="n"/>
      <c r="Y2316" s="8" t="n"/>
    </row>
    <row r="2317">
      <c r="A2317" s="8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9">
        <f>B2317+30</f>
        <v/>
      </c>
      <c r="N2317">
        <f>IF(L2317="", "", L2317-B2317)</f>
        <v/>
      </c>
      <c r="O2317">
        <f>IF(L2317="", "Pending", IF(N2317&lt;=30, "Met", "Breached"))</f>
        <v/>
      </c>
      <c r="P2317" s="8" t="n"/>
      <c r="Q2317" s="8" t="n"/>
      <c r="R2317" s="8" t="n"/>
      <c r="S2317" s="8" t="n"/>
      <c r="T2317" s="8" t="n"/>
      <c r="U2317" s="8" t="n"/>
      <c r="V2317" s="8" t="n"/>
      <c r="W2317" s="8" t="n"/>
      <c r="X2317" s="8" t="n"/>
      <c r="Y2317" s="8" t="n"/>
    </row>
    <row r="2318">
      <c r="A2318" s="8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9">
        <f>B2318+30</f>
        <v/>
      </c>
      <c r="N2318">
        <f>IF(L2318="", "", L2318-B2318)</f>
        <v/>
      </c>
      <c r="O2318">
        <f>IF(L2318="", "Pending", IF(N2318&lt;=30, "Met", "Breached"))</f>
        <v/>
      </c>
      <c r="P2318" s="8" t="n"/>
      <c r="Q2318" s="8" t="n"/>
      <c r="R2318" s="8" t="n"/>
      <c r="S2318" s="8" t="n"/>
      <c r="T2318" s="8" t="n"/>
      <c r="U2318" s="8" t="n"/>
      <c r="V2318" s="8" t="n"/>
      <c r="W2318" s="8" t="n"/>
      <c r="X2318" s="8" t="n"/>
      <c r="Y2318" s="8" t="n"/>
    </row>
    <row r="2319">
      <c r="A2319" s="8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9">
        <f>B2319+30</f>
        <v/>
      </c>
      <c r="N2319">
        <f>IF(L2319="", "", L2319-B2319)</f>
        <v/>
      </c>
      <c r="O2319">
        <f>IF(L2319="", "Pending", IF(N2319&lt;=30, "Met", "Breached"))</f>
        <v/>
      </c>
      <c r="P2319" s="8" t="n"/>
      <c r="Q2319" s="8" t="n"/>
      <c r="R2319" s="8" t="n"/>
      <c r="S2319" s="8" t="n"/>
      <c r="T2319" s="8" t="n"/>
      <c r="U2319" s="8" t="n"/>
      <c r="V2319" s="8" t="n"/>
      <c r="W2319" s="8" t="n"/>
      <c r="X2319" s="8" t="n"/>
      <c r="Y2319" s="8" t="n"/>
    </row>
    <row r="2320">
      <c r="A2320" s="8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9">
        <f>B2320+30</f>
        <v/>
      </c>
      <c r="N2320">
        <f>IF(L2320="", "", L2320-B2320)</f>
        <v/>
      </c>
      <c r="O2320">
        <f>IF(L2320="", "Pending", IF(N2320&lt;=30, "Met", "Breached"))</f>
        <v/>
      </c>
      <c r="P2320" s="8" t="n"/>
      <c r="Q2320" s="8" t="n"/>
      <c r="R2320" s="8" t="n"/>
      <c r="S2320" s="8" t="n"/>
      <c r="T2320" s="8" t="n"/>
      <c r="U2320" s="8" t="n"/>
      <c r="V2320" s="8" t="n"/>
      <c r="W2320" s="8" t="n"/>
      <c r="X2320" s="8" t="n"/>
      <c r="Y2320" s="8" t="n"/>
    </row>
    <row r="2321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9">
        <f>B2321+30</f>
        <v/>
      </c>
      <c r="N2321">
        <f>IF(L2321="", "", L2321-B2321)</f>
        <v/>
      </c>
      <c r="O2321">
        <f>IF(L2321="", "Pending", IF(N2321&lt;=30, "Met", "Breached"))</f>
        <v/>
      </c>
      <c r="P2321" s="8" t="n"/>
      <c r="Q2321" s="8" t="n"/>
      <c r="R2321" s="8" t="n"/>
      <c r="S2321" s="8" t="n"/>
      <c r="T2321" s="8" t="n"/>
      <c r="U2321" s="8" t="n"/>
      <c r="V2321" s="8" t="n"/>
      <c r="W2321" s="8" t="n"/>
      <c r="X2321" s="8" t="n"/>
      <c r="Y2321" s="8" t="n"/>
    </row>
    <row r="2322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9">
        <f>B2322+30</f>
        <v/>
      </c>
      <c r="N2322">
        <f>IF(L2322="", "", L2322-B2322)</f>
        <v/>
      </c>
      <c r="O2322">
        <f>IF(L2322="", "Pending", IF(N2322&lt;=30, "Met", "Breached"))</f>
        <v/>
      </c>
      <c r="P2322" s="8" t="n"/>
      <c r="Q2322" s="8" t="n"/>
      <c r="R2322" s="8" t="n"/>
      <c r="S2322" s="8" t="n"/>
      <c r="T2322" s="8" t="n"/>
      <c r="U2322" s="8" t="n"/>
      <c r="V2322" s="8" t="n"/>
      <c r="W2322" s="8" t="n"/>
      <c r="X2322" s="8" t="n"/>
      <c r="Y2322" s="8" t="n"/>
    </row>
    <row r="2323">
      <c r="A2323" s="8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9">
        <f>B2323+30</f>
        <v/>
      </c>
      <c r="N2323">
        <f>IF(L2323="", "", L2323-B2323)</f>
        <v/>
      </c>
      <c r="O2323">
        <f>IF(L2323="", "Pending", IF(N2323&lt;=30, "Met", "Breached"))</f>
        <v/>
      </c>
      <c r="P2323" s="8" t="n"/>
      <c r="Q2323" s="8" t="n"/>
      <c r="R2323" s="8" t="n"/>
      <c r="S2323" s="8" t="n"/>
      <c r="T2323" s="8" t="n"/>
      <c r="U2323" s="8" t="n"/>
      <c r="V2323" s="8" t="n"/>
      <c r="W2323" s="8" t="n"/>
      <c r="X2323" s="8" t="n"/>
      <c r="Y2323" s="8" t="n"/>
    </row>
    <row r="2324">
      <c r="A2324" s="8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9">
        <f>B2324+30</f>
        <v/>
      </c>
      <c r="N2324">
        <f>IF(L2324="", "", L2324-B2324)</f>
        <v/>
      </c>
      <c r="O2324">
        <f>IF(L2324="", "Pending", IF(N2324&lt;=30, "Met", "Breached"))</f>
        <v/>
      </c>
      <c r="P2324" s="8" t="n"/>
      <c r="Q2324" s="8" t="n"/>
      <c r="R2324" s="8" t="n"/>
      <c r="S2324" s="8" t="n"/>
      <c r="T2324" s="8" t="n"/>
      <c r="U2324" s="8" t="n"/>
      <c r="V2324" s="8" t="n"/>
      <c r="W2324" s="8" t="n"/>
      <c r="X2324" s="8" t="n"/>
      <c r="Y2324" s="8" t="n"/>
    </row>
    <row r="2325">
      <c r="A2325" s="8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9">
        <f>B2325+30</f>
        <v/>
      </c>
      <c r="N2325">
        <f>IF(L2325="", "", L2325-B2325)</f>
        <v/>
      </c>
      <c r="O2325">
        <f>IF(L2325="", "Pending", IF(N2325&lt;=30, "Met", "Breached"))</f>
        <v/>
      </c>
      <c r="P2325" s="8" t="n"/>
      <c r="Q2325" s="8" t="n"/>
      <c r="R2325" s="8" t="n"/>
      <c r="S2325" s="8" t="n"/>
      <c r="T2325" s="8" t="n"/>
      <c r="U2325" s="8" t="n"/>
      <c r="V2325" s="8" t="n"/>
      <c r="W2325" s="8" t="n"/>
      <c r="X2325" s="8" t="n"/>
      <c r="Y2325" s="8" t="n"/>
    </row>
    <row r="2326">
      <c r="A2326" s="8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9">
        <f>B2326+30</f>
        <v/>
      </c>
      <c r="N2326">
        <f>IF(L2326="", "", L2326-B2326)</f>
        <v/>
      </c>
      <c r="O2326">
        <f>IF(L2326="", "Pending", IF(N2326&lt;=30, "Met", "Breached"))</f>
        <v/>
      </c>
      <c r="P2326" s="8" t="n"/>
      <c r="Q2326" s="8" t="n"/>
      <c r="R2326" s="8" t="n"/>
      <c r="S2326" s="8" t="n"/>
      <c r="T2326" s="8" t="n"/>
      <c r="U2326" s="8" t="n"/>
      <c r="V2326" s="8" t="n"/>
      <c r="W2326" s="8" t="n"/>
      <c r="X2326" s="8" t="n"/>
      <c r="Y2326" s="8" t="n"/>
    </row>
    <row r="2327">
      <c r="A2327" s="8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9">
        <f>B2327+30</f>
        <v/>
      </c>
      <c r="N2327">
        <f>IF(L2327="", "", L2327-B2327)</f>
        <v/>
      </c>
      <c r="O2327">
        <f>IF(L2327="", "Pending", IF(N2327&lt;=30, "Met", "Breached"))</f>
        <v/>
      </c>
      <c r="P2327" s="8" t="n"/>
      <c r="Q2327" s="8" t="n"/>
      <c r="R2327" s="8" t="n"/>
      <c r="S2327" s="8" t="n"/>
      <c r="T2327" s="8" t="n"/>
      <c r="U2327" s="8" t="n"/>
      <c r="V2327" s="8" t="n"/>
      <c r="W2327" s="8" t="n"/>
      <c r="X2327" s="8" t="n"/>
      <c r="Y2327" s="8" t="n"/>
    </row>
    <row r="2328">
      <c r="A2328" s="8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9">
        <f>B2328+30</f>
        <v/>
      </c>
      <c r="N2328">
        <f>IF(L2328="", "", L2328-B2328)</f>
        <v/>
      </c>
      <c r="O2328">
        <f>IF(L2328="", "Pending", IF(N2328&lt;=30, "Met", "Breached"))</f>
        <v/>
      </c>
      <c r="P2328" s="8" t="n"/>
      <c r="Q2328" s="8" t="n"/>
      <c r="R2328" s="8" t="n"/>
      <c r="S2328" s="8" t="n"/>
      <c r="T2328" s="8" t="n"/>
      <c r="U2328" s="8" t="n"/>
      <c r="V2328" s="8" t="n"/>
      <c r="W2328" s="8" t="n"/>
      <c r="X2328" s="8" t="n"/>
      <c r="Y2328" s="8" t="n"/>
    </row>
    <row r="2329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9">
        <f>B2329+30</f>
        <v/>
      </c>
      <c r="N2329">
        <f>IF(L2329="", "", L2329-B2329)</f>
        <v/>
      </c>
      <c r="O2329">
        <f>IF(L2329="", "Pending", IF(N2329&lt;=30, "Met", "Breached"))</f>
        <v/>
      </c>
      <c r="P2329" s="8" t="n"/>
      <c r="Q2329" s="8" t="n"/>
      <c r="R2329" s="8" t="n"/>
      <c r="S2329" s="8" t="n"/>
      <c r="T2329" s="8" t="n"/>
      <c r="U2329" s="8" t="n"/>
      <c r="V2329" s="8" t="n"/>
      <c r="W2329" s="8" t="n"/>
      <c r="X2329" s="8" t="n"/>
      <c r="Y2329" s="8" t="n"/>
    </row>
    <row r="2330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9">
        <f>B2330+30</f>
        <v/>
      </c>
      <c r="N2330">
        <f>IF(L2330="", "", L2330-B2330)</f>
        <v/>
      </c>
      <c r="O2330">
        <f>IF(L2330="", "Pending", IF(N2330&lt;=30, "Met", "Breached"))</f>
        <v/>
      </c>
      <c r="P2330" s="8" t="n"/>
      <c r="Q2330" s="8" t="n"/>
      <c r="R2330" s="8" t="n"/>
      <c r="S2330" s="8" t="n"/>
      <c r="T2330" s="8" t="n"/>
      <c r="U2330" s="8" t="n"/>
      <c r="V2330" s="8" t="n"/>
      <c r="W2330" s="8" t="n"/>
      <c r="X2330" s="8" t="n"/>
      <c r="Y2330" s="8" t="n"/>
    </row>
    <row r="2331">
      <c r="A2331" s="8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9">
        <f>B2331+30</f>
        <v/>
      </c>
      <c r="N2331">
        <f>IF(L2331="", "", L2331-B2331)</f>
        <v/>
      </c>
      <c r="O2331">
        <f>IF(L2331="", "Pending", IF(N2331&lt;=30, "Met", "Breached"))</f>
        <v/>
      </c>
      <c r="P2331" s="8" t="n"/>
      <c r="Q2331" s="8" t="n"/>
      <c r="R2331" s="8" t="n"/>
      <c r="S2331" s="8" t="n"/>
      <c r="T2331" s="8" t="n"/>
      <c r="U2331" s="8" t="n"/>
      <c r="V2331" s="8" t="n"/>
      <c r="W2331" s="8" t="n"/>
      <c r="X2331" s="8" t="n"/>
      <c r="Y2331" s="8" t="n"/>
    </row>
    <row r="2332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9">
        <f>B2332+30</f>
        <v/>
      </c>
      <c r="N2332">
        <f>IF(L2332="", "", L2332-B2332)</f>
        <v/>
      </c>
      <c r="O2332">
        <f>IF(L2332="", "Pending", IF(N2332&lt;=30, "Met", "Breached"))</f>
        <v/>
      </c>
      <c r="P2332" s="8" t="n"/>
      <c r="Q2332" s="8" t="n"/>
      <c r="R2332" s="8" t="n"/>
      <c r="S2332" s="8" t="n"/>
      <c r="T2332" s="8" t="n"/>
      <c r="U2332" s="8" t="n"/>
      <c r="V2332" s="8" t="n"/>
      <c r="W2332" s="8" t="n"/>
      <c r="X2332" s="8" t="n"/>
      <c r="Y2332" s="8" t="n"/>
    </row>
    <row r="2333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9">
        <f>B2333+30</f>
        <v/>
      </c>
      <c r="N2333">
        <f>IF(L2333="", "", L2333-B2333)</f>
        <v/>
      </c>
      <c r="O2333">
        <f>IF(L2333="", "Pending", IF(N2333&lt;=30, "Met", "Breached"))</f>
        <v/>
      </c>
      <c r="P2333" s="8" t="n"/>
      <c r="Q2333" s="8" t="n"/>
      <c r="R2333" s="8" t="n"/>
      <c r="S2333" s="8" t="n"/>
      <c r="T2333" s="8" t="n"/>
      <c r="U2333" s="8" t="n"/>
      <c r="V2333" s="8" t="n"/>
      <c r="W2333" s="8" t="n"/>
      <c r="X2333" s="8" t="n"/>
      <c r="Y2333" s="8" t="n"/>
    </row>
    <row r="2334">
      <c r="A2334" s="8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9">
        <f>B2334+30</f>
        <v/>
      </c>
      <c r="N2334">
        <f>IF(L2334="", "", L2334-B2334)</f>
        <v/>
      </c>
      <c r="O2334">
        <f>IF(L2334="", "Pending", IF(N2334&lt;=30, "Met", "Breached"))</f>
        <v/>
      </c>
      <c r="P2334" s="8" t="n"/>
      <c r="Q2334" s="8" t="n"/>
      <c r="R2334" s="8" t="n"/>
      <c r="S2334" s="8" t="n"/>
      <c r="T2334" s="8" t="n"/>
      <c r="U2334" s="8" t="n"/>
      <c r="V2334" s="8" t="n"/>
      <c r="W2334" s="8" t="n"/>
      <c r="X2334" s="8" t="n"/>
      <c r="Y2334" s="8" t="n"/>
    </row>
    <row r="2335">
      <c r="A2335" s="8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9">
        <f>B2335+30</f>
        <v/>
      </c>
      <c r="N2335">
        <f>IF(L2335="", "", L2335-B2335)</f>
        <v/>
      </c>
      <c r="O2335">
        <f>IF(L2335="", "Pending", IF(N2335&lt;=30, "Met", "Breached"))</f>
        <v/>
      </c>
      <c r="P2335" s="8" t="n"/>
      <c r="Q2335" s="8" t="n"/>
      <c r="R2335" s="8" t="n"/>
      <c r="S2335" s="8" t="n"/>
      <c r="T2335" s="8" t="n"/>
      <c r="U2335" s="8" t="n"/>
      <c r="V2335" s="8" t="n"/>
      <c r="W2335" s="8" t="n"/>
      <c r="X2335" s="8" t="n"/>
      <c r="Y2335" s="8" t="n"/>
    </row>
    <row r="2336">
      <c r="A2336" s="8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9">
        <f>B2336+30</f>
        <v/>
      </c>
      <c r="N2336">
        <f>IF(L2336="", "", L2336-B2336)</f>
        <v/>
      </c>
      <c r="O2336">
        <f>IF(L2336="", "Pending", IF(N2336&lt;=30, "Met", "Breached"))</f>
        <v/>
      </c>
      <c r="P2336" s="8" t="n"/>
      <c r="Q2336" s="8" t="n"/>
      <c r="R2336" s="8" t="n"/>
      <c r="S2336" s="8" t="n"/>
      <c r="T2336" s="8" t="n"/>
      <c r="U2336" s="8" t="n"/>
      <c r="V2336" s="8" t="n"/>
      <c r="W2336" s="8" t="n"/>
      <c r="X2336" s="8" t="n"/>
      <c r="Y2336" s="8" t="n"/>
    </row>
    <row r="2337">
      <c r="A2337" s="8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9">
        <f>B2337+30</f>
        <v/>
      </c>
      <c r="N2337">
        <f>IF(L2337="", "", L2337-B2337)</f>
        <v/>
      </c>
      <c r="O2337">
        <f>IF(L2337="", "Pending", IF(N2337&lt;=30, "Met", "Breached"))</f>
        <v/>
      </c>
      <c r="P2337" s="8" t="n"/>
      <c r="Q2337" s="8" t="n"/>
      <c r="R2337" s="8" t="n"/>
      <c r="S2337" s="8" t="n"/>
      <c r="T2337" s="8" t="n"/>
      <c r="U2337" s="8" t="n"/>
      <c r="V2337" s="8" t="n"/>
      <c r="W2337" s="8" t="n"/>
      <c r="X2337" s="8" t="n"/>
      <c r="Y2337" s="8" t="n"/>
    </row>
    <row r="2338">
      <c r="A2338" s="8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9">
        <f>B2338+30</f>
        <v/>
      </c>
      <c r="N2338">
        <f>IF(L2338="", "", L2338-B2338)</f>
        <v/>
      </c>
      <c r="O2338">
        <f>IF(L2338="", "Pending", IF(N2338&lt;=30, "Met", "Breached"))</f>
        <v/>
      </c>
      <c r="P2338" s="8" t="n"/>
      <c r="Q2338" s="8" t="n"/>
      <c r="R2338" s="8" t="n"/>
      <c r="S2338" s="8" t="n"/>
      <c r="T2338" s="8" t="n"/>
      <c r="U2338" s="8" t="n"/>
      <c r="V2338" s="8" t="n"/>
      <c r="W2338" s="8" t="n"/>
      <c r="X2338" s="8" t="n"/>
      <c r="Y2338" s="8" t="n"/>
    </row>
    <row r="2339">
      <c r="A2339" s="8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9">
        <f>B2339+30</f>
        <v/>
      </c>
      <c r="N2339">
        <f>IF(L2339="", "", L2339-B2339)</f>
        <v/>
      </c>
      <c r="O2339">
        <f>IF(L2339="", "Pending", IF(N2339&lt;=30, "Met", "Breached"))</f>
        <v/>
      </c>
      <c r="P2339" s="8" t="n"/>
      <c r="Q2339" s="8" t="n"/>
      <c r="R2339" s="8" t="n"/>
      <c r="S2339" s="8" t="n"/>
      <c r="T2339" s="8" t="n"/>
      <c r="U2339" s="8" t="n"/>
      <c r="V2339" s="8" t="n"/>
      <c r="W2339" s="8" t="n"/>
      <c r="X2339" s="8" t="n"/>
      <c r="Y2339" s="8" t="n"/>
    </row>
    <row r="2340">
      <c r="A2340" s="8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9">
        <f>B2340+30</f>
        <v/>
      </c>
      <c r="N2340">
        <f>IF(L2340="", "", L2340-B2340)</f>
        <v/>
      </c>
      <c r="O2340">
        <f>IF(L2340="", "Pending", IF(N2340&lt;=30, "Met", "Breached"))</f>
        <v/>
      </c>
      <c r="P2340" s="8" t="n"/>
      <c r="Q2340" s="8" t="n"/>
      <c r="R2340" s="8" t="n"/>
      <c r="S2340" s="8" t="n"/>
      <c r="T2340" s="8" t="n"/>
      <c r="U2340" s="8" t="n"/>
      <c r="V2340" s="8" t="n"/>
      <c r="W2340" s="8" t="n"/>
      <c r="X2340" s="8" t="n"/>
      <c r="Y2340" s="8" t="n"/>
    </row>
    <row r="2341">
      <c r="A2341" s="8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9">
        <f>B2341+30</f>
        <v/>
      </c>
      <c r="N2341">
        <f>IF(L2341="", "", L2341-B2341)</f>
        <v/>
      </c>
      <c r="O2341">
        <f>IF(L2341="", "Pending", IF(N2341&lt;=30, "Met", "Breached"))</f>
        <v/>
      </c>
      <c r="P2341" s="8" t="n"/>
      <c r="Q2341" s="8" t="n"/>
      <c r="R2341" s="8" t="n"/>
      <c r="S2341" s="8" t="n"/>
      <c r="T2341" s="8" t="n"/>
      <c r="U2341" s="8" t="n"/>
      <c r="V2341" s="8" t="n"/>
      <c r="W2341" s="8" t="n"/>
      <c r="X2341" s="8" t="n"/>
      <c r="Y2341" s="8" t="n"/>
    </row>
    <row r="2342">
      <c r="A2342" s="8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9">
        <f>B2342+30</f>
        <v/>
      </c>
      <c r="N2342">
        <f>IF(L2342="", "", L2342-B2342)</f>
        <v/>
      </c>
      <c r="O2342">
        <f>IF(L2342="", "Pending", IF(N2342&lt;=30, "Met", "Breached"))</f>
        <v/>
      </c>
      <c r="P2342" s="8" t="n"/>
      <c r="Q2342" s="8" t="n"/>
      <c r="R2342" s="8" t="n"/>
      <c r="S2342" s="8" t="n"/>
      <c r="T2342" s="8" t="n"/>
      <c r="U2342" s="8" t="n"/>
      <c r="V2342" s="8" t="n"/>
      <c r="W2342" s="8" t="n"/>
      <c r="X2342" s="8" t="n"/>
      <c r="Y2342" s="8" t="n"/>
    </row>
    <row r="2343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9">
        <f>B2343+30</f>
        <v/>
      </c>
      <c r="N2343">
        <f>IF(L2343="", "", L2343-B2343)</f>
        <v/>
      </c>
      <c r="O2343">
        <f>IF(L2343="", "Pending", IF(N2343&lt;=30, "Met", "Breached"))</f>
        <v/>
      </c>
      <c r="P2343" s="8" t="n"/>
      <c r="Q2343" s="8" t="n"/>
      <c r="R2343" s="8" t="n"/>
      <c r="S2343" s="8" t="n"/>
      <c r="T2343" s="8" t="n"/>
      <c r="U2343" s="8" t="n"/>
      <c r="V2343" s="8" t="n"/>
      <c r="W2343" s="8" t="n"/>
      <c r="X2343" s="8" t="n"/>
      <c r="Y2343" s="8" t="n"/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9">
        <f>B2344+30</f>
        <v/>
      </c>
      <c r="N2344">
        <f>IF(L2344="", "", L2344-B2344)</f>
        <v/>
      </c>
      <c r="O2344">
        <f>IF(L2344="", "Pending", IF(N2344&lt;=30, "Met", "Breached"))</f>
        <v/>
      </c>
      <c r="P2344" s="8" t="n"/>
      <c r="Q2344" s="8" t="n"/>
      <c r="R2344" s="8" t="n"/>
      <c r="S2344" s="8" t="n"/>
      <c r="T2344" s="8" t="n"/>
      <c r="U2344" s="8" t="n"/>
      <c r="V2344" s="8" t="n"/>
      <c r="W2344" s="8" t="n"/>
      <c r="X2344" s="8" t="n"/>
      <c r="Y2344" s="8" t="n"/>
    </row>
    <row r="2345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9">
        <f>B2345+30</f>
        <v/>
      </c>
      <c r="N2345">
        <f>IF(L2345="", "", L2345-B2345)</f>
        <v/>
      </c>
      <c r="O2345">
        <f>IF(L2345="", "Pending", IF(N2345&lt;=30, "Met", "Breached"))</f>
        <v/>
      </c>
      <c r="P2345" s="8" t="n"/>
      <c r="Q2345" s="8" t="n"/>
      <c r="R2345" s="8" t="n"/>
      <c r="S2345" s="8" t="n"/>
      <c r="T2345" s="8" t="n"/>
      <c r="U2345" s="8" t="n"/>
      <c r="V2345" s="8" t="n"/>
      <c r="W2345" s="8" t="n"/>
      <c r="X2345" s="8" t="n"/>
      <c r="Y2345" s="8" t="n"/>
    </row>
    <row r="2346">
      <c r="A2346" s="8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9">
        <f>B2346+30</f>
        <v/>
      </c>
      <c r="N2346">
        <f>IF(L2346="", "", L2346-B2346)</f>
        <v/>
      </c>
      <c r="O2346">
        <f>IF(L2346="", "Pending", IF(N2346&lt;=30, "Met", "Breached"))</f>
        <v/>
      </c>
      <c r="P2346" s="8" t="n"/>
      <c r="Q2346" s="8" t="n"/>
      <c r="R2346" s="8" t="n"/>
      <c r="S2346" s="8" t="n"/>
      <c r="T2346" s="8" t="n"/>
      <c r="U2346" s="8" t="n"/>
      <c r="V2346" s="8" t="n"/>
      <c r="W2346" s="8" t="n"/>
      <c r="X2346" s="8" t="n"/>
      <c r="Y2346" s="8" t="n"/>
    </row>
    <row r="2347">
      <c r="A2347" s="8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9">
        <f>B2347+30</f>
        <v/>
      </c>
      <c r="N2347">
        <f>IF(L2347="", "", L2347-B2347)</f>
        <v/>
      </c>
      <c r="O2347">
        <f>IF(L2347="", "Pending", IF(N2347&lt;=30, "Met", "Breached"))</f>
        <v/>
      </c>
      <c r="P2347" s="8" t="n"/>
      <c r="Q2347" s="8" t="n"/>
      <c r="R2347" s="8" t="n"/>
      <c r="S2347" s="8" t="n"/>
      <c r="T2347" s="8" t="n"/>
      <c r="U2347" s="8" t="n"/>
      <c r="V2347" s="8" t="n"/>
      <c r="W2347" s="8" t="n"/>
      <c r="X2347" s="8" t="n"/>
      <c r="Y2347" s="8" t="n"/>
    </row>
    <row r="2348">
      <c r="A2348" s="8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9">
        <f>B2348+30</f>
        <v/>
      </c>
      <c r="N2348">
        <f>IF(L2348="", "", L2348-B2348)</f>
        <v/>
      </c>
      <c r="O2348">
        <f>IF(L2348="", "Pending", IF(N2348&lt;=30, "Met", "Breached"))</f>
        <v/>
      </c>
      <c r="P2348" s="8" t="n"/>
      <c r="Q2348" s="8" t="n"/>
      <c r="R2348" s="8" t="n"/>
      <c r="S2348" s="8" t="n"/>
      <c r="T2348" s="8" t="n"/>
      <c r="U2348" s="8" t="n"/>
      <c r="V2348" s="8" t="n"/>
      <c r="W2348" s="8" t="n"/>
      <c r="X2348" s="8" t="n"/>
      <c r="Y2348" s="8" t="n"/>
    </row>
    <row r="2349">
      <c r="A2349" s="8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9">
        <f>B2349+30</f>
        <v/>
      </c>
      <c r="N2349">
        <f>IF(L2349="", "", L2349-B2349)</f>
        <v/>
      </c>
      <c r="O2349">
        <f>IF(L2349="", "Pending", IF(N2349&lt;=30, "Met", "Breached"))</f>
        <v/>
      </c>
      <c r="P2349" s="8" t="n"/>
      <c r="Q2349" s="8" t="n"/>
      <c r="R2349" s="8" t="n"/>
      <c r="S2349" s="8" t="n"/>
      <c r="T2349" s="8" t="n"/>
      <c r="U2349" s="8" t="n"/>
      <c r="V2349" s="8" t="n"/>
      <c r="W2349" s="8" t="n"/>
      <c r="X2349" s="8" t="n"/>
      <c r="Y2349" s="8" t="n"/>
    </row>
    <row r="2350">
      <c r="A2350" s="8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9">
        <f>B2350+30</f>
        <v/>
      </c>
      <c r="N2350">
        <f>IF(L2350="", "", L2350-B2350)</f>
        <v/>
      </c>
      <c r="O2350">
        <f>IF(L2350="", "Pending", IF(N2350&lt;=30, "Met", "Breached"))</f>
        <v/>
      </c>
      <c r="P2350" s="8" t="n"/>
      <c r="Q2350" s="8" t="n"/>
      <c r="R2350" s="8" t="n"/>
      <c r="S2350" s="8" t="n"/>
      <c r="T2350" s="8" t="n"/>
      <c r="U2350" s="8" t="n"/>
      <c r="V2350" s="8" t="n"/>
      <c r="W2350" s="8" t="n"/>
      <c r="X2350" s="8" t="n"/>
      <c r="Y2350" s="8" t="n"/>
    </row>
    <row r="2351">
      <c r="A2351" s="8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9">
        <f>B2351+30</f>
        <v/>
      </c>
      <c r="N2351">
        <f>IF(L2351="", "", L2351-B2351)</f>
        <v/>
      </c>
      <c r="O2351">
        <f>IF(L2351="", "Pending", IF(N2351&lt;=30, "Met", "Breached"))</f>
        <v/>
      </c>
      <c r="P2351" s="8" t="n"/>
      <c r="Q2351" s="8" t="n"/>
      <c r="R2351" s="8" t="n"/>
      <c r="S2351" s="8" t="n"/>
      <c r="T2351" s="8" t="n"/>
      <c r="U2351" s="8" t="n"/>
      <c r="V2351" s="8" t="n"/>
      <c r="W2351" s="8" t="n"/>
      <c r="X2351" s="8" t="n"/>
      <c r="Y2351" s="8" t="n"/>
    </row>
    <row r="2352">
      <c r="A2352" s="8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9">
        <f>B2352+30</f>
        <v/>
      </c>
      <c r="N2352">
        <f>IF(L2352="", "", L2352-B2352)</f>
        <v/>
      </c>
      <c r="O2352">
        <f>IF(L2352="", "Pending", IF(N2352&lt;=30, "Met", "Breached"))</f>
        <v/>
      </c>
      <c r="P2352" s="8" t="n"/>
      <c r="Q2352" s="8" t="n"/>
      <c r="R2352" s="8" t="n"/>
      <c r="S2352" s="8" t="n"/>
      <c r="T2352" s="8" t="n"/>
      <c r="U2352" s="8" t="n"/>
      <c r="V2352" s="8" t="n"/>
      <c r="W2352" s="8" t="n"/>
      <c r="X2352" s="8" t="n"/>
      <c r="Y2352" s="8" t="n"/>
    </row>
    <row r="2353">
      <c r="A2353" s="8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9">
        <f>B2353+30</f>
        <v/>
      </c>
      <c r="N2353">
        <f>IF(L2353="", "", L2353-B2353)</f>
        <v/>
      </c>
      <c r="O2353">
        <f>IF(L2353="", "Pending", IF(N2353&lt;=30, "Met", "Breached"))</f>
        <v/>
      </c>
      <c r="P2353" s="8" t="n"/>
      <c r="Q2353" s="8" t="n"/>
      <c r="R2353" s="8" t="n"/>
      <c r="S2353" s="8" t="n"/>
      <c r="T2353" s="8" t="n"/>
      <c r="U2353" s="8" t="n"/>
      <c r="V2353" s="8" t="n"/>
      <c r="W2353" s="8" t="n"/>
      <c r="X2353" s="8" t="n"/>
      <c r="Y2353" s="8" t="n"/>
    </row>
    <row r="2354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9">
        <f>B2354+30</f>
        <v/>
      </c>
      <c r="N2354">
        <f>IF(L2354="", "", L2354-B2354)</f>
        <v/>
      </c>
      <c r="O2354">
        <f>IF(L2354="", "Pending", IF(N2354&lt;=30, "Met", "Breached"))</f>
        <v/>
      </c>
      <c r="P2354" s="8" t="n"/>
      <c r="Q2354" s="8" t="n"/>
      <c r="R2354" s="8" t="n"/>
      <c r="S2354" s="8" t="n"/>
      <c r="T2354" s="8" t="n"/>
      <c r="U2354" s="8" t="n"/>
      <c r="V2354" s="8" t="n"/>
      <c r="W2354" s="8" t="n"/>
      <c r="X2354" s="8" t="n"/>
      <c r="Y2354" s="8" t="n"/>
    </row>
    <row r="2355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9">
        <f>B2355+30</f>
        <v/>
      </c>
      <c r="N2355">
        <f>IF(L2355="", "", L2355-B2355)</f>
        <v/>
      </c>
      <c r="O2355">
        <f>IF(L2355="", "Pending", IF(N2355&lt;=30, "Met", "Breached"))</f>
        <v/>
      </c>
      <c r="P2355" s="8" t="n"/>
      <c r="Q2355" s="8" t="n"/>
      <c r="R2355" s="8" t="n"/>
      <c r="S2355" s="8" t="n"/>
      <c r="T2355" s="8" t="n"/>
      <c r="U2355" s="8" t="n"/>
      <c r="V2355" s="8" t="n"/>
      <c r="W2355" s="8" t="n"/>
      <c r="X2355" s="8" t="n"/>
      <c r="Y2355" s="8" t="n"/>
    </row>
    <row r="2356">
      <c r="A2356" s="8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9">
        <f>B2356+30</f>
        <v/>
      </c>
      <c r="N2356">
        <f>IF(L2356="", "", L2356-B2356)</f>
        <v/>
      </c>
      <c r="O2356">
        <f>IF(L2356="", "Pending", IF(N2356&lt;=30, "Met", "Breached"))</f>
        <v/>
      </c>
      <c r="P2356" s="8" t="n"/>
      <c r="Q2356" s="8" t="n"/>
      <c r="R2356" s="8" t="n"/>
      <c r="S2356" s="8" t="n"/>
      <c r="T2356" s="8" t="n"/>
      <c r="U2356" s="8" t="n"/>
      <c r="V2356" s="8" t="n"/>
      <c r="W2356" s="8" t="n"/>
      <c r="X2356" s="8" t="n"/>
      <c r="Y2356" s="8" t="n"/>
    </row>
    <row r="2357">
      <c r="A2357" s="8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9">
        <f>B2357+30</f>
        <v/>
      </c>
      <c r="N2357">
        <f>IF(L2357="", "", L2357-B2357)</f>
        <v/>
      </c>
      <c r="O2357">
        <f>IF(L2357="", "Pending", IF(N2357&lt;=30, "Met", "Breached"))</f>
        <v/>
      </c>
      <c r="P2357" s="8" t="n"/>
      <c r="Q2357" s="8" t="n"/>
      <c r="R2357" s="8" t="n"/>
      <c r="S2357" s="8" t="n"/>
      <c r="T2357" s="8" t="n"/>
      <c r="U2357" s="8" t="n"/>
      <c r="V2357" s="8" t="n"/>
      <c r="W2357" s="8" t="n"/>
      <c r="X2357" s="8" t="n"/>
      <c r="Y2357" s="8" t="n"/>
    </row>
    <row r="2358">
      <c r="A2358" s="8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9">
        <f>B2358+30</f>
        <v/>
      </c>
      <c r="N2358">
        <f>IF(L2358="", "", L2358-B2358)</f>
        <v/>
      </c>
      <c r="O2358">
        <f>IF(L2358="", "Pending", IF(N2358&lt;=30, "Met", "Breached"))</f>
        <v/>
      </c>
      <c r="P2358" s="8" t="n"/>
      <c r="Q2358" s="8" t="n"/>
      <c r="R2358" s="8" t="n"/>
      <c r="S2358" s="8" t="n"/>
      <c r="T2358" s="8" t="n"/>
      <c r="U2358" s="8" t="n"/>
      <c r="V2358" s="8" t="n"/>
      <c r="W2358" s="8" t="n"/>
      <c r="X2358" s="8" t="n"/>
      <c r="Y2358" s="8" t="n"/>
    </row>
    <row r="2359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9">
        <f>B2359+30</f>
        <v/>
      </c>
      <c r="N2359">
        <f>IF(L2359="", "", L2359-B2359)</f>
        <v/>
      </c>
      <c r="O2359">
        <f>IF(L2359="", "Pending", IF(N2359&lt;=30, "Met", "Breached"))</f>
        <v/>
      </c>
      <c r="P2359" s="8" t="n"/>
      <c r="Q2359" s="8" t="n"/>
      <c r="R2359" s="8" t="n"/>
      <c r="S2359" s="8" t="n"/>
      <c r="T2359" s="8" t="n"/>
      <c r="U2359" s="8" t="n"/>
      <c r="V2359" s="8" t="n"/>
      <c r="W2359" s="8" t="n"/>
      <c r="X2359" s="8" t="n"/>
      <c r="Y2359" s="8" t="n"/>
    </row>
    <row r="2360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9">
        <f>B2360+30</f>
        <v/>
      </c>
      <c r="N2360">
        <f>IF(L2360="", "", L2360-B2360)</f>
        <v/>
      </c>
      <c r="O2360">
        <f>IF(L2360="", "Pending", IF(N2360&lt;=30, "Met", "Breached"))</f>
        <v/>
      </c>
      <c r="P2360" s="8" t="n"/>
      <c r="Q2360" s="8" t="n"/>
      <c r="R2360" s="8" t="n"/>
      <c r="S2360" s="8" t="n"/>
      <c r="T2360" s="8" t="n"/>
      <c r="U2360" s="8" t="n"/>
      <c r="V2360" s="8" t="n"/>
      <c r="W2360" s="8" t="n"/>
      <c r="X2360" s="8" t="n"/>
      <c r="Y2360" s="8" t="n"/>
    </row>
    <row r="2361">
      <c r="A2361" s="8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9">
        <f>B2361+30</f>
        <v/>
      </c>
      <c r="N2361">
        <f>IF(L2361="", "", L2361-B2361)</f>
        <v/>
      </c>
      <c r="O2361">
        <f>IF(L2361="", "Pending", IF(N2361&lt;=30, "Met", "Breached"))</f>
        <v/>
      </c>
      <c r="P2361" s="8" t="n"/>
      <c r="Q2361" s="8" t="n"/>
      <c r="R2361" s="8" t="n"/>
      <c r="S2361" s="8" t="n"/>
      <c r="T2361" s="8" t="n"/>
      <c r="U2361" s="8" t="n"/>
      <c r="V2361" s="8" t="n"/>
      <c r="W2361" s="8" t="n"/>
      <c r="X2361" s="8" t="n"/>
      <c r="Y2361" s="8" t="n"/>
    </row>
    <row r="2362">
      <c r="A2362" s="8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9">
        <f>B2362+30</f>
        <v/>
      </c>
      <c r="N2362">
        <f>IF(L2362="", "", L2362-B2362)</f>
        <v/>
      </c>
      <c r="O2362">
        <f>IF(L2362="", "Pending", IF(N2362&lt;=30, "Met", "Breached"))</f>
        <v/>
      </c>
      <c r="P2362" s="8" t="n"/>
      <c r="Q2362" s="8" t="n"/>
      <c r="R2362" s="8" t="n"/>
      <c r="S2362" s="8" t="n"/>
      <c r="T2362" s="8" t="n"/>
      <c r="U2362" s="8" t="n"/>
      <c r="V2362" s="8" t="n"/>
      <c r="W2362" s="8" t="n"/>
      <c r="X2362" s="8" t="n"/>
      <c r="Y2362" s="8" t="n"/>
    </row>
    <row r="2363">
      <c r="A2363" s="8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9">
        <f>B2363+30</f>
        <v/>
      </c>
      <c r="N2363">
        <f>IF(L2363="", "", L2363-B2363)</f>
        <v/>
      </c>
      <c r="O2363">
        <f>IF(L2363="", "Pending", IF(N2363&lt;=30, "Met", "Breached"))</f>
        <v/>
      </c>
      <c r="P2363" s="8" t="n"/>
      <c r="Q2363" s="8" t="n"/>
      <c r="R2363" s="8" t="n"/>
      <c r="S2363" s="8" t="n"/>
      <c r="T2363" s="8" t="n"/>
      <c r="U2363" s="8" t="n"/>
      <c r="V2363" s="8" t="n"/>
      <c r="W2363" s="8" t="n"/>
      <c r="X2363" s="8" t="n"/>
      <c r="Y2363" s="8" t="n"/>
    </row>
    <row r="2364">
      <c r="A2364" s="8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9">
        <f>B2364+30</f>
        <v/>
      </c>
      <c r="N2364">
        <f>IF(L2364="", "", L2364-B2364)</f>
        <v/>
      </c>
      <c r="O2364">
        <f>IF(L2364="", "Pending", IF(N2364&lt;=30, "Met", "Breached"))</f>
        <v/>
      </c>
      <c r="P2364" s="8" t="n"/>
      <c r="Q2364" s="8" t="n"/>
      <c r="R2364" s="8" t="n"/>
      <c r="S2364" s="8" t="n"/>
      <c r="T2364" s="8" t="n"/>
      <c r="U2364" s="8" t="n"/>
      <c r="V2364" s="8" t="n"/>
      <c r="W2364" s="8" t="n"/>
      <c r="X2364" s="8" t="n"/>
      <c r="Y2364" s="8" t="n"/>
    </row>
    <row r="2365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9">
        <f>B2365+30</f>
        <v/>
      </c>
      <c r="N2365">
        <f>IF(L2365="", "", L2365-B2365)</f>
        <v/>
      </c>
      <c r="O2365">
        <f>IF(L2365="", "Pending", IF(N2365&lt;=30, "Met", "Breached"))</f>
        <v/>
      </c>
      <c r="P2365" s="8" t="n"/>
      <c r="Q2365" s="8" t="n"/>
      <c r="R2365" s="8" t="n"/>
      <c r="S2365" s="8" t="n"/>
      <c r="T2365" s="8" t="n"/>
      <c r="U2365" s="8" t="n"/>
      <c r="V2365" s="8" t="n"/>
      <c r="W2365" s="8" t="n"/>
      <c r="X2365" s="8" t="n"/>
      <c r="Y2365" s="8" t="n"/>
    </row>
    <row r="2366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9">
        <f>B2366+30</f>
        <v/>
      </c>
      <c r="N2366">
        <f>IF(L2366="", "", L2366-B2366)</f>
        <v/>
      </c>
      <c r="O2366">
        <f>IF(L2366="", "Pending", IF(N2366&lt;=30, "Met", "Breached"))</f>
        <v/>
      </c>
      <c r="P2366" s="8" t="n"/>
      <c r="Q2366" s="8" t="n"/>
      <c r="R2366" s="8" t="n"/>
      <c r="S2366" s="8" t="n"/>
      <c r="T2366" s="8" t="n"/>
      <c r="U2366" s="8" t="n"/>
      <c r="V2366" s="8" t="n"/>
      <c r="W2366" s="8" t="n"/>
      <c r="X2366" s="8" t="n"/>
      <c r="Y2366" s="8" t="n"/>
    </row>
    <row r="2367">
      <c r="A2367" s="8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9">
        <f>B2367+30</f>
        <v/>
      </c>
      <c r="N2367">
        <f>IF(L2367="", "", L2367-B2367)</f>
        <v/>
      </c>
      <c r="O2367">
        <f>IF(L2367="", "Pending", IF(N2367&lt;=30, "Met", "Breached"))</f>
        <v/>
      </c>
      <c r="P2367" s="8" t="n"/>
      <c r="Q2367" s="8" t="n"/>
      <c r="R2367" s="8" t="n"/>
      <c r="S2367" s="8" t="n"/>
      <c r="T2367" s="8" t="n"/>
      <c r="U2367" s="8" t="n"/>
      <c r="V2367" s="8" t="n"/>
      <c r="W2367" s="8" t="n"/>
      <c r="X2367" s="8" t="n"/>
      <c r="Y2367" s="8" t="n"/>
    </row>
    <row r="2368">
      <c r="A2368" s="8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9">
        <f>B2368+30</f>
        <v/>
      </c>
      <c r="N2368">
        <f>IF(L2368="", "", L2368-B2368)</f>
        <v/>
      </c>
      <c r="O2368">
        <f>IF(L2368="", "Pending", IF(N2368&lt;=30, "Met", "Breached"))</f>
        <v/>
      </c>
      <c r="P2368" s="8" t="n"/>
      <c r="Q2368" s="8" t="n"/>
      <c r="R2368" s="8" t="n"/>
      <c r="S2368" s="8" t="n"/>
      <c r="T2368" s="8" t="n"/>
      <c r="U2368" s="8" t="n"/>
      <c r="V2368" s="8" t="n"/>
      <c r="W2368" s="8" t="n"/>
      <c r="X2368" s="8" t="n"/>
      <c r="Y2368" s="8" t="n"/>
    </row>
    <row r="2369">
      <c r="A2369" s="8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9">
        <f>B2369+30</f>
        <v/>
      </c>
      <c r="N2369">
        <f>IF(L2369="", "", L2369-B2369)</f>
        <v/>
      </c>
      <c r="O2369">
        <f>IF(L2369="", "Pending", IF(N2369&lt;=30, "Met", "Breached"))</f>
        <v/>
      </c>
      <c r="P2369" s="8" t="n"/>
      <c r="Q2369" s="8" t="n"/>
      <c r="R2369" s="8" t="n"/>
      <c r="S2369" s="8" t="n"/>
      <c r="T2369" s="8" t="n"/>
      <c r="U2369" s="8" t="n"/>
      <c r="V2369" s="8" t="n"/>
      <c r="W2369" s="8" t="n"/>
      <c r="X2369" s="8" t="n"/>
      <c r="Y2369" s="8" t="n"/>
    </row>
    <row r="2370">
      <c r="A2370" s="8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9">
        <f>B2370+30</f>
        <v/>
      </c>
      <c r="N2370">
        <f>IF(L2370="", "", L2370-B2370)</f>
        <v/>
      </c>
      <c r="O2370">
        <f>IF(L2370="", "Pending", IF(N2370&lt;=30, "Met", "Breached"))</f>
        <v/>
      </c>
      <c r="P2370" s="8" t="n"/>
      <c r="Q2370" s="8" t="n"/>
      <c r="R2370" s="8" t="n"/>
      <c r="S2370" s="8" t="n"/>
      <c r="T2370" s="8" t="n"/>
      <c r="U2370" s="8" t="n"/>
      <c r="V2370" s="8" t="n"/>
      <c r="W2370" s="8" t="n"/>
      <c r="X2370" s="8" t="n"/>
      <c r="Y2370" s="8" t="n"/>
    </row>
    <row r="2371">
      <c r="A2371" s="8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9">
        <f>B2371+30</f>
        <v/>
      </c>
      <c r="N2371">
        <f>IF(L2371="", "", L2371-B2371)</f>
        <v/>
      </c>
      <c r="O2371">
        <f>IF(L2371="", "Pending", IF(N2371&lt;=30, "Met", "Breached"))</f>
        <v/>
      </c>
      <c r="P2371" s="8" t="n"/>
      <c r="Q2371" s="8" t="n"/>
      <c r="R2371" s="8" t="n"/>
      <c r="S2371" s="8" t="n"/>
      <c r="T2371" s="8" t="n"/>
      <c r="U2371" s="8" t="n"/>
      <c r="V2371" s="8" t="n"/>
      <c r="W2371" s="8" t="n"/>
      <c r="X2371" s="8" t="n"/>
      <c r="Y2371" s="8" t="n"/>
    </row>
    <row r="2372">
      <c r="A2372" s="8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9">
        <f>B2372+30</f>
        <v/>
      </c>
      <c r="N2372">
        <f>IF(L2372="", "", L2372-B2372)</f>
        <v/>
      </c>
      <c r="O2372">
        <f>IF(L2372="", "Pending", IF(N2372&lt;=30, "Met", "Breached"))</f>
        <v/>
      </c>
      <c r="P2372" s="8" t="n"/>
      <c r="Q2372" s="8" t="n"/>
      <c r="R2372" s="8" t="n"/>
      <c r="S2372" s="8" t="n"/>
      <c r="T2372" s="8" t="n"/>
      <c r="U2372" s="8" t="n"/>
      <c r="V2372" s="8" t="n"/>
      <c r="W2372" s="8" t="n"/>
      <c r="X2372" s="8" t="n"/>
      <c r="Y2372" s="8" t="n"/>
    </row>
    <row r="2373">
      <c r="A2373" s="8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9">
        <f>B2373+30</f>
        <v/>
      </c>
      <c r="N2373">
        <f>IF(L2373="", "", L2373-B2373)</f>
        <v/>
      </c>
      <c r="O2373">
        <f>IF(L2373="", "Pending", IF(N2373&lt;=30, "Met", "Breached"))</f>
        <v/>
      </c>
      <c r="P2373" s="8" t="n"/>
      <c r="Q2373" s="8" t="n"/>
      <c r="R2373" s="8" t="n"/>
      <c r="S2373" s="8" t="n"/>
      <c r="T2373" s="8" t="n"/>
      <c r="U2373" s="8" t="n"/>
      <c r="V2373" s="8" t="n"/>
      <c r="W2373" s="8" t="n"/>
      <c r="X2373" s="8" t="n"/>
      <c r="Y2373" s="8" t="n"/>
    </row>
    <row r="2374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9">
        <f>B2374+30</f>
        <v/>
      </c>
      <c r="N2374">
        <f>IF(L2374="", "", L2374-B2374)</f>
        <v/>
      </c>
      <c r="O2374">
        <f>IF(L2374="", "Pending", IF(N2374&lt;=30, "Met", "Breached"))</f>
        <v/>
      </c>
      <c r="P2374" s="8" t="n"/>
      <c r="Q2374" s="8" t="n"/>
      <c r="R2374" s="8" t="n"/>
      <c r="S2374" s="8" t="n"/>
      <c r="T2374" s="8" t="n"/>
      <c r="U2374" s="8" t="n"/>
      <c r="V2374" s="8" t="n"/>
      <c r="W2374" s="8" t="n"/>
      <c r="X2374" s="8" t="n"/>
      <c r="Y2374" s="8" t="n"/>
    </row>
    <row r="2375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9">
        <f>B2375+30</f>
        <v/>
      </c>
      <c r="N2375">
        <f>IF(L2375="", "", L2375-B2375)</f>
        <v/>
      </c>
      <c r="O2375">
        <f>IF(L2375="", "Pending", IF(N2375&lt;=30, "Met", "Breached"))</f>
        <v/>
      </c>
      <c r="P2375" s="8" t="n"/>
      <c r="Q2375" s="8" t="n"/>
      <c r="R2375" s="8" t="n"/>
      <c r="S2375" s="8" t="n"/>
      <c r="T2375" s="8" t="n"/>
      <c r="U2375" s="8" t="n"/>
      <c r="V2375" s="8" t="n"/>
      <c r="W2375" s="8" t="n"/>
      <c r="X2375" s="8" t="n"/>
      <c r="Y2375" s="8" t="n"/>
    </row>
    <row r="2376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9">
        <f>B2376+30</f>
        <v/>
      </c>
      <c r="N2376">
        <f>IF(L2376="", "", L2376-B2376)</f>
        <v/>
      </c>
      <c r="O2376">
        <f>IF(L2376="", "Pending", IF(N2376&lt;=30, "Met", "Breached"))</f>
        <v/>
      </c>
      <c r="P2376" s="8" t="n"/>
      <c r="Q2376" s="8" t="n"/>
      <c r="R2376" s="8" t="n"/>
      <c r="S2376" s="8" t="n"/>
      <c r="T2376" s="8" t="n"/>
      <c r="U2376" s="8" t="n"/>
      <c r="V2376" s="8" t="n"/>
      <c r="W2376" s="8" t="n"/>
      <c r="X2376" s="8" t="n"/>
      <c r="Y2376" s="8" t="n"/>
    </row>
    <row r="2377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9">
        <f>B2377+30</f>
        <v/>
      </c>
      <c r="N2377">
        <f>IF(L2377="", "", L2377-B2377)</f>
        <v/>
      </c>
      <c r="O2377">
        <f>IF(L2377="", "Pending", IF(N2377&lt;=30, "Met", "Breached"))</f>
        <v/>
      </c>
      <c r="P2377" s="8" t="n"/>
      <c r="Q2377" s="8" t="n"/>
      <c r="R2377" s="8" t="n"/>
      <c r="S2377" s="8" t="n"/>
      <c r="T2377" s="8" t="n"/>
      <c r="U2377" s="8" t="n"/>
      <c r="V2377" s="8" t="n"/>
      <c r="W2377" s="8" t="n"/>
      <c r="X2377" s="8" t="n"/>
      <c r="Y2377" s="8" t="n"/>
    </row>
    <row r="2378">
      <c r="A2378" s="8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9">
        <f>B2378+30</f>
        <v/>
      </c>
      <c r="N2378">
        <f>IF(L2378="", "", L2378-B2378)</f>
        <v/>
      </c>
      <c r="O2378">
        <f>IF(L2378="", "Pending", IF(N2378&lt;=30, "Met", "Breached"))</f>
        <v/>
      </c>
      <c r="P2378" s="8" t="n"/>
      <c r="Q2378" s="8" t="n"/>
      <c r="R2378" s="8" t="n"/>
      <c r="S2378" s="8" t="n"/>
      <c r="T2378" s="8" t="n"/>
      <c r="U2378" s="8" t="n"/>
      <c r="V2378" s="8" t="n"/>
      <c r="W2378" s="8" t="n"/>
      <c r="X2378" s="8" t="n"/>
      <c r="Y2378" s="8" t="n"/>
    </row>
    <row r="2379">
      <c r="A2379" s="8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9">
        <f>B2379+30</f>
        <v/>
      </c>
      <c r="N2379">
        <f>IF(L2379="", "", L2379-B2379)</f>
        <v/>
      </c>
      <c r="O2379">
        <f>IF(L2379="", "Pending", IF(N2379&lt;=30, "Met", "Breached"))</f>
        <v/>
      </c>
      <c r="P2379" s="8" t="n"/>
      <c r="Q2379" s="8" t="n"/>
      <c r="R2379" s="8" t="n"/>
      <c r="S2379" s="8" t="n"/>
      <c r="T2379" s="8" t="n"/>
      <c r="U2379" s="8" t="n"/>
      <c r="V2379" s="8" t="n"/>
      <c r="W2379" s="8" t="n"/>
      <c r="X2379" s="8" t="n"/>
      <c r="Y2379" s="8" t="n"/>
    </row>
    <row r="2380">
      <c r="A2380" s="8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9">
        <f>B2380+30</f>
        <v/>
      </c>
      <c r="N2380">
        <f>IF(L2380="", "", L2380-B2380)</f>
        <v/>
      </c>
      <c r="O2380">
        <f>IF(L2380="", "Pending", IF(N2380&lt;=30, "Met", "Breached"))</f>
        <v/>
      </c>
      <c r="P2380" s="8" t="n"/>
      <c r="Q2380" s="8" t="n"/>
      <c r="R2380" s="8" t="n"/>
      <c r="S2380" s="8" t="n"/>
      <c r="T2380" s="8" t="n"/>
      <c r="U2380" s="8" t="n"/>
      <c r="V2380" s="8" t="n"/>
      <c r="W2380" s="8" t="n"/>
      <c r="X2380" s="8" t="n"/>
      <c r="Y2380" s="8" t="n"/>
    </row>
    <row r="2381">
      <c r="A2381" s="8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9">
        <f>B2381+30</f>
        <v/>
      </c>
      <c r="N2381">
        <f>IF(L2381="", "", L2381-B2381)</f>
        <v/>
      </c>
      <c r="O2381">
        <f>IF(L2381="", "Pending", IF(N2381&lt;=30, "Met", "Breached"))</f>
        <v/>
      </c>
      <c r="P2381" s="8" t="n"/>
      <c r="Q2381" s="8" t="n"/>
      <c r="R2381" s="8" t="n"/>
      <c r="S2381" s="8" t="n"/>
      <c r="T2381" s="8" t="n"/>
      <c r="U2381" s="8" t="n"/>
      <c r="V2381" s="8" t="n"/>
      <c r="W2381" s="8" t="n"/>
      <c r="X2381" s="8" t="n"/>
      <c r="Y2381" s="8" t="n"/>
    </row>
    <row r="2382">
      <c r="A2382" s="8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9">
        <f>B2382+30</f>
        <v/>
      </c>
      <c r="N2382">
        <f>IF(L2382="", "", L2382-B2382)</f>
        <v/>
      </c>
      <c r="O2382">
        <f>IF(L2382="", "Pending", IF(N2382&lt;=30, "Met", "Breached"))</f>
        <v/>
      </c>
      <c r="P2382" s="8" t="n"/>
      <c r="Q2382" s="8" t="n"/>
      <c r="R2382" s="8" t="n"/>
      <c r="S2382" s="8" t="n"/>
      <c r="T2382" s="8" t="n"/>
      <c r="U2382" s="8" t="n"/>
      <c r="V2382" s="8" t="n"/>
      <c r="W2382" s="8" t="n"/>
      <c r="X2382" s="8" t="n"/>
      <c r="Y2382" s="8" t="n"/>
    </row>
    <row r="2383">
      <c r="A2383" s="8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9">
        <f>B2383+30</f>
        <v/>
      </c>
      <c r="N2383">
        <f>IF(L2383="", "", L2383-B2383)</f>
        <v/>
      </c>
      <c r="O2383">
        <f>IF(L2383="", "Pending", IF(N2383&lt;=30, "Met", "Breached"))</f>
        <v/>
      </c>
      <c r="P2383" s="8" t="n"/>
      <c r="Q2383" s="8" t="n"/>
      <c r="R2383" s="8" t="n"/>
      <c r="S2383" s="8" t="n"/>
      <c r="T2383" s="8" t="n"/>
      <c r="U2383" s="8" t="n"/>
      <c r="V2383" s="8" t="n"/>
      <c r="W2383" s="8" t="n"/>
      <c r="X2383" s="8" t="n"/>
      <c r="Y2383" s="8" t="n"/>
    </row>
    <row r="2384">
      <c r="A2384" s="8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9">
        <f>B2384+30</f>
        <v/>
      </c>
      <c r="N2384">
        <f>IF(L2384="", "", L2384-B2384)</f>
        <v/>
      </c>
      <c r="O2384">
        <f>IF(L2384="", "Pending", IF(N2384&lt;=30, "Met", "Breached"))</f>
        <v/>
      </c>
      <c r="P2384" s="8" t="n"/>
      <c r="Q2384" s="8" t="n"/>
      <c r="R2384" s="8" t="n"/>
      <c r="S2384" s="8" t="n"/>
      <c r="T2384" s="8" t="n"/>
      <c r="U2384" s="8" t="n"/>
      <c r="V2384" s="8" t="n"/>
      <c r="W2384" s="8" t="n"/>
      <c r="X2384" s="8" t="n"/>
      <c r="Y2384" s="8" t="n"/>
    </row>
    <row r="2385">
      <c r="A2385" s="8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9">
        <f>B2385+30</f>
        <v/>
      </c>
      <c r="N2385">
        <f>IF(L2385="", "", L2385-B2385)</f>
        <v/>
      </c>
      <c r="O2385">
        <f>IF(L2385="", "Pending", IF(N2385&lt;=30, "Met", "Breached"))</f>
        <v/>
      </c>
      <c r="P2385" s="8" t="n"/>
      <c r="Q2385" s="8" t="n"/>
      <c r="R2385" s="8" t="n"/>
      <c r="S2385" s="8" t="n"/>
      <c r="T2385" s="8" t="n"/>
      <c r="U2385" s="8" t="n"/>
      <c r="V2385" s="8" t="n"/>
      <c r="W2385" s="8" t="n"/>
      <c r="X2385" s="8" t="n"/>
      <c r="Y2385" s="8" t="n"/>
    </row>
    <row r="2386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9">
        <f>B2386+30</f>
        <v/>
      </c>
      <c r="N2386">
        <f>IF(L2386="", "", L2386-B2386)</f>
        <v/>
      </c>
      <c r="O2386">
        <f>IF(L2386="", "Pending", IF(N2386&lt;=30, "Met", "Breached"))</f>
        <v/>
      </c>
      <c r="P2386" s="8" t="n"/>
      <c r="Q2386" s="8" t="n"/>
      <c r="R2386" s="8" t="n"/>
      <c r="S2386" s="8" t="n"/>
      <c r="T2386" s="8" t="n"/>
      <c r="U2386" s="8" t="n"/>
      <c r="V2386" s="8" t="n"/>
      <c r="W2386" s="8" t="n"/>
      <c r="X2386" s="8" t="n"/>
      <c r="Y2386" s="8" t="n"/>
    </row>
    <row r="2387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9">
        <f>B2387+30</f>
        <v/>
      </c>
      <c r="N2387">
        <f>IF(L2387="", "", L2387-B2387)</f>
        <v/>
      </c>
      <c r="O2387">
        <f>IF(L2387="", "Pending", IF(N2387&lt;=30, "Met", "Breached"))</f>
        <v/>
      </c>
      <c r="P2387" s="8" t="n"/>
      <c r="Q2387" s="8" t="n"/>
      <c r="R2387" s="8" t="n"/>
      <c r="S2387" s="8" t="n"/>
      <c r="T2387" s="8" t="n"/>
      <c r="U2387" s="8" t="n"/>
      <c r="V2387" s="8" t="n"/>
      <c r="W2387" s="8" t="n"/>
      <c r="X2387" s="8" t="n"/>
      <c r="Y2387" s="8" t="n"/>
    </row>
    <row r="2388">
      <c r="A2388" s="8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9">
        <f>B2388+30</f>
        <v/>
      </c>
      <c r="N2388">
        <f>IF(L2388="", "", L2388-B2388)</f>
        <v/>
      </c>
      <c r="O2388">
        <f>IF(L2388="", "Pending", IF(N2388&lt;=30, "Met", "Breached"))</f>
        <v/>
      </c>
      <c r="P2388" s="8" t="n"/>
      <c r="Q2388" s="8" t="n"/>
      <c r="R2388" s="8" t="n"/>
      <c r="S2388" s="8" t="n"/>
      <c r="T2388" s="8" t="n"/>
      <c r="U2388" s="8" t="n"/>
      <c r="V2388" s="8" t="n"/>
      <c r="W2388" s="8" t="n"/>
      <c r="X2388" s="8" t="n"/>
      <c r="Y2388" s="8" t="n"/>
    </row>
    <row r="2389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9">
        <f>B2389+30</f>
        <v/>
      </c>
      <c r="N2389">
        <f>IF(L2389="", "", L2389-B2389)</f>
        <v/>
      </c>
      <c r="O2389">
        <f>IF(L2389="", "Pending", IF(N2389&lt;=30, "Met", "Breached"))</f>
        <v/>
      </c>
      <c r="P2389" s="8" t="n"/>
      <c r="Q2389" s="8" t="n"/>
      <c r="R2389" s="8" t="n"/>
      <c r="S2389" s="8" t="n"/>
      <c r="T2389" s="8" t="n"/>
      <c r="U2389" s="8" t="n"/>
      <c r="V2389" s="8" t="n"/>
      <c r="W2389" s="8" t="n"/>
      <c r="X2389" s="8" t="n"/>
      <c r="Y2389" s="8" t="n"/>
    </row>
    <row r="2390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9">
        <f>B2390+30</f>
        <v/>
      </c>
      <c r="N2390">
        <f>IF(L2390="", "", L2390-B2390)</f>
        <v/>
      </c>
      <c r="O2390">
        <f>IF(L2390="", "Pending", IF(N2390&lt;=30, "Met", "Breached"))</f>
        <v/>
      </c>
      <c r="P2390" s="8" t="n"/>
      <c r="Q2390" s="8" t="n"/>
      <c r="R2390" s="8" t="n"/>
      <c r="S2390" s="8" t="n"/>
      <c r="T2390" s="8" t="n"/>
      <c r="U2390" s="8" t="n"/>
      <c r="V2390" s="8" t="n"/>
      <c r="W2390" s="8" t="n"/>
      <c r="X2390" s="8" t="n"/>
      <c r="Y2390" s="8" t="n"/>
    </row>
    <row r="2391">
      <c r="A2391" s="8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9">
        <f>B2391+30</f>
        <v/>
      </c>
      <c r="N2391">
        <f>IF(L2391="", "", L2391-B2391)</f>
        <v/>
      </c>
      <c r="O2391">
        <f>IF(L2391="", "Pending", IF(N2391&lt;=30, "Met", "Breached"))</f>
        <v/>
      </c>
      <c r="P2391" s="8" t="n"/>
      <c r="Q2391" s="8" t="n"/>
      <c r="R2391" s="8" t="n"/>
      <c r="S2391" s="8" t="n"/>
      <c r="T2391" s="8" t="n"/>
      <c r="U2391" s="8" t="n"/>
      <c r="V2391" s="8" t="n"/>
      <c r="W2391" s="8" t="n"/>
      <c r="X2391" s="8" t="n"/>
      <c r="Y2391" s="8" t="n"/>
    </row>
    <row r="2392">
      <c r="A2392" s="8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9">
        <f>B2392+30</f>
        <v/>
      </c>
      <c r="N2392">
        <f>IF(L2392="", "", L2392-B2392)</f>
        <v/>
      </c>
      <c r="O2392">
        <f>IF(L2392="", "Pending", IF(N2392&lt;=30, "Met", "Breached"))</f>
        <v/>
      </c>
      <c r="P2392" s="8" t="n"/>
      <c r="Q2392" s="8" t="n"/>
      <c r="R2392" s="8" t="n"/>
      <c r="S2392" s="8" t="n"/>
      <c r="T2392" s="8" t="n"/>
      <c r="U2392" s="8" t="n"/>
      <c r="V2392" s="8" t="n"/>
      <c r="W2392" s="8" t="n"/>
      <c r="X2392" s="8" t="n"/>
      <c r="Y2392" s="8" t="n"/>
    </row>
    <row r="2393">
      <c r="A2393" s="8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9">
        <f>B2393+30</f>
        <v/>
      </c>
      <c r="N2393">
        <f>IF(L2393="", "", L2393-B2393)</f>
        <v/>
      </c>
      <c r="O2393">
        <f>IF(L2393="", "Pending", IF(N2393&lt;=30, "Met", "Breached"))</f>
        <v/>
      </c>
      <c r="P2393" s="8" t="n"/>
      <c r="Q2393" s="8" t="n"/>
      <c r="R2393" s="8" t="n"/>
      <c r="S2393" s="8" t="n"/>
      <c r="T2393" s="8" t="n"/>
      <c r="U2393" s="8" t="n"/>
      <c r="V2393" s="8" t="n"/>
      <c r="W2393" s="8" t="n"/>
      <c r="X2393" s="8" t="n"/>
      <c r="Y2393" s="8" t="n"/>
    </row>
    <row r="2394">
      <c r="A2394" s="8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9">
        <f>B2394+30</f>
        <v/>
      </c>
      <c r="N2394">
        <f>IF(L2394="", "", L2394-B2394)</f>
        <v/>
      </c>
      <c r="O2394">
        <f>IF(L2394="", "Pending", IF(N2394&lt;=30, "Met", "Breached"))</f>
        <v/>
      </c>
      <c r="P2394" s="8" t="n"/>
      <c r="Q2394" s="8" t="n"/>
      <c r="R2394" s="8" t="n"/>
      <c r="S2394" s="8" t="n"/>
      <c r="T2394" s="8" t="n"/>
      <c r="U2394" s="8" t="n"/>
      <c r="V2394" s="8" t="n"/>
      <c r="W2394" s="8" t="n"/>
      <c r="X2394" s="8" t="n"/>
      <c r="Y2394" s="8" t="n"/>
    </row>
    <row r="2395">
      <c r="A2395" s="8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9">
        <f>B2395+30</f>
        <v/>
      </c>
      <c r="N2395">
        <f>IF(L2395="", "", L2395-B2395)</f>
        <v/>
      </c>
      <c r="O2395">
        <f>IF(L2395="", "Pending", IF(N2395&lt;=30, "Met", "Breached"))</f>
        <v/>
      </c>
      <c r="P2395" s="8" t="n"/>
      <c r="Q2395" s="8" t="n"/>
      <c r="R2395" s="8" t="n"/>
      <c r="S2395" s="8" t="n"/>
      <c r="T2395" s="8" t="n"/>
      <c r="U2395" s="8" t="n"/>
      <c r="V2395" s="8" t="n"/>
      <c r="W2395" s="8" t="n"/>
      <c r="X2395" s="8" t="n"/>
      <c r="Y2395" s="8" t="n"/>
    </row>
    <row r="2396">
      <c r="A2396" s="8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9">
        <f>B2396+30</f>
        <v/>
      </c>
      <c r="N2396">
        <f>IF(L2396="", "", L2396-B2396)</f>
        <v/>
      </c>
      <c r="O2396">
        <f>IF(L2396="", "Pending", IF(N2396&lt;=30, "Met", "Breached"))</f>
        <v/>
      </c>
      <c r="P2396" s="8" t="n"/>
      <c r="Q2396" s="8" t="n"/>
      <c r="R2396" s="8" t="n"/>
      <c r="S2396" s="8" t="n"/>
      <c r="T2396" s="8" t="n"/>
      <c r="U2396" s="8" t="n"/>
      <c r="V2396" s="8" t="n"/>
      <c r="W2396" s="8" t="n"/>
      <c r="X2396" s="8" t="n"/>
      <c r="Y2396" s="8" t="n"/>
    </row>
    <row r="2397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9">
        <f>B2397+30</f>
        <v/>
      </c>
      <c r="N2397">
        <f>IF(L2397="", "", L2397-B2397)</f>
        <v/>
      </c>
      <c r="O2397">
        <f>IF(L2397="", "Pending", IF(N2397&lt;=30, "Met", "Breached"))</f>
        <v/>
      </c>
      <c r="P2397" s="8" t="n"/>
      <c r="Q2397" s="8" t="n"/>
      <c r="R2397" s="8" t="n"/>
      <c r="S2397" s="8" t="n"/>
      <c r="T2397" s="8" t="n"/>
      <c r="U2397" s="8" t="n"/>
      <c r="V2397" s="8" t="n"/>
      <c r="W2397" s="8" t="n"/>
      <c r="X2397" s="8" t="n"/>
      <c r="Y2397" s="8" t="n"/>
    </row>
    <row r="2398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9">
        <f>B2398+30</f>
        <v/>
      </c>
      <c r="N2398">
        <f>IF(L2398="", "", L2398-B2398)</f>
        <v/>
      </c>
      <c r="O2398">
        <f>IF(L2398="", "Pending", IF(N2398&lt;=30, "Met", "Breached"))</f>
        <v/>
      </c>
      <c r="P2398" s="8" t="n"/>
      <c r="Q2398" s="8" t="n"/>
      <c r="R2398" s="8" t="n"/>
      <c r="S2398" s="8" t="n"/>
      <c r="T2398" s="8" t="n"/>
      <c r="U2398" s="8" t="n"/>
      <c r="V2398" s="8" t="n"/>
      <c r="W2398" s="8" t="n"/>
      <c r="X2398" s="8" t="n"/>
      <c r="Y2398" s="8" t="n"/>
    </row>
    <row r="2399">
      <c r="A2399" s="8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9">
        <f>B2399+30</f>
        <v/>
      </c>
      <c r="N2399">
        <f>IF(L2399="", "", L2399-B2399)</f>
        <v/>
      </c>
      <c r="O2399">
        <f>IF(L2399="", "Pending", IF(N2399&lt;=30, "Met", "Breached"))</f>
        <v/>
      </c>
      <c r="P2399" s="8" t="n"/>
      <c r="Q2399" s="8" t="n"/>
      <c r="R2399" s="8" t="n"/>
      <c r="S2399" s="8" t="n"/>
      <c r="T2399" s="8" t="n"/>
      <c r="U2399" s="8" t="n"/>
      <c r="V2399" s="8" t="n"/>
      <c r="W2399" s="8" t="n"/>
      <c r="X2399" s="8" t="n"/>
      <c r="Y2399" s="8" t="n"/>
    </row>
    <row r="2400">
      <c r="A2400" s="8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9">
        <f>B2400+30</f>
        <v/>
      </c>
      <c r="N2400">
        <f>IF(L2400="", "", L2400-B2400)</f>
        <v/>
      </c>
      <c r="O2400">
        <f>IF(L2400="", "Pending", IF(N2400&lt;=30, "Met", "Breached"))</f>
        <v/>
      </c>
      <c r="P2400" s="8" t="n"/>
      <c r="Q2400" s="8" t="n"/>
      <c r="R2400" s="8" t="n"/>
      <c r="S2400" s="8" t="n"/>
      <c r="T2400" s="8" t="n"/>
      <c r="U2400" s="8" t="n"/>
      <c r="V2400" s="8" t="n"/>
      <c r="W2400" s="8" t="n"/>
      <c r="X2400" s="8" t="n"/>
      <c r="Y2400" s="8" t="n"/>
    </row>
    <row r="2401">
      <c r="A2401" s="8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9">
        <f>B2401+30</f>
        <v/>
      </c>
      <c r="N2401">
        <f>IF(L2401="", "", L2401-B2401)</f>
        <v/>
      </c>
      <c r="O2401">
        <f>IF(L2401="", "Pending", IF(N2401&lt;=30, "Met", "Breached"))</f>
        <v/>
      </c>
      <c r="P2401" s="8" t="n"/>
      <c r="Q2401" s="8" t="n"/>
      <c r="R2401" s="8" t="n"/>
      <c r="S2401" s="8" t="n"/>
      <c r="T2401" s="8" t="n"/>
      <c r="U2401" s="8" t="n"/>
      <c r="V2401" s="8" t="n"/>
      <c r="W2401" s="8" t="n"/>
      <c r="X2401" s="8" t="n"/>
      <c r="Y2401" s="8" t="n"/>
    </row>
    <row r="2402">
      <c r="A2402" s="8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9">
        <f>B2402+30</f>
        <v/>
      </c>
      <c r="N2402">
        <f>IF(L2402="", "", L2402-B2402)</f>
        <v/>
      </c>
      <c r="O2402">
        <f>IF(L2402="", "Pending", IF(N2402&lt;=30, "Met", "Breached"))</f>
        <v/>
      </c>
      <c r="P2402" s="8" t="n"/>
      <c r="Q2402" s="8" t="n"/>
      <c r="R2402" s="8" t="n"/>
      <c r="S2402" s="8" t="n"/>
      <c r="T2402" s="8" t="n"/>
      <c r="U2402" s="8" t="n"/>
      <c r="V2402" s="8" t="n"/>
      <c r="W2402" s="8" t="n"/>
      <c r="X2402" s="8" t="n"/>
      <c r="Y2402" s="8" t="n"/>
    </row>
    <row r="2403">
      <c r="A2403" s="8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9">
        <f>B2403+30</f>
        <v/>
      </c>
      <c r="N2403">
        <f>IF(L2403="", "", L2403-B2403)</f>
        <v/>
      </c>
      <c r="O2403">
        <f>IF(L2403="", "Pending", IF(N2403&lt;=30, "Met", "Breached"))</f>
        <v/>
      </c>
      <c r="P2403" s="8" t="n"/>
      <c r="Q2403" s="8" t="n"/>
      <c r="R2403" s="8" t="n"/>
      <c r="S2403" s="8" t="n"/>
      <c r="T2403" s="8" t="n"/>
      <c r="U2403" s="8" t="n"/>
      <c r="V2403" s="8" t="n"/>
      <c r="W2403" s="8" t="n"/>
      <c r="X2403" s="8" t="n"/>
      <c r="Y2403" s="8" t="n"/>
    </row>
    <row r="2404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9">
        <f>B2404+30</f>
        <v/>
      </c>
      <c r="N2404">
        <f>IF(L2404="", "", L2404-B2404)</f>
        <v/>
      </c>
      <c r="O2404">
        <f>IF(L2404="", "Pending", IF(N2404&lt;=30, "Met", "Breached"))</f>
        <v/>
      </c>
      <c r="P2404" s="8" t="n"/>
      <c r="Q2404" s="8" t="n"/>
      <c r="R2404" s="8" t="n"/>
      <c r="S2404" s="8" t="n"/>
      <c r="T2404" s="8" t="n"/>
      <c r="U2404" s="8" t="n"/>
      <c r="V2404" s="8" t="n"/>
      <c r="W2404" s="8" t="n"/>
      <c r="X2404" s="8" t="n"/>
      <c r="Y2404" s="8" t="n"/>
    </row>
    <row r="2405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9">
        <f>B2405+30</f>
        <v/>
      </c>
      <c r="N2405">
        <f>IF(L2405="", "", L2405-B2405)</f>
        <v/>
      </c>
      <c r="O2405">
        <f>IF(L2405="", "Pending", IF(N2405&lt;=30, "Met", "Breached"))</f>
        <v/>
      </c>
      <c r="P2405" s="8" t="n"/>
      <c r="Q2405" s="8" t="n"/>
      <c r="R2405" s="8" t="n"/>
      <c r="S2405" s="8" t="n"/>
      <c r="T2405" s="8" t="n"/>
      <c r="U2405" s="8" t="n"/>
      <c r="V2405" s="8" t="n"/>
      <c r="W2405" s="8" t="n"/>
      <c r="X2405" s="8" t="n"/>
      <c r="Y2405" s="8" t="n"/>
    </row>
    <row r="2406">
      <c r="A2406" s="8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9">
        <f>B2406+30</f>
        <v/>
      </c>
      <c r="N2406">
        <f>IF(L2406="", "", L2406-B2406)</f>
        <v/>
      </c>
      <c r="O2406">
        <f>IF(L2406="", "Pending", IF(N2406&lt;=30, "Met", "Breached"))</f>
        <v/>
      </c>
      <c r="P2406" s="8" t="n"/>
      <c r="Q2406" s="8" t="n"/>
      <c r="R2406" s="8" t="n"/>
      <c r="S2406" s="8" t="n"/>
      <c r="T2406" s="8" t="n"/>
      <c r="U2406" s="8" t="n"/>
      <c r="V2406" s="8" t="n"/>
      <c r="W2406" s="8" t="n"/>
      <c r="X2406" s="8" t="n"/>
      <c r="Y2406" s="8" t="n"/>
    </row>
    <row r="2407">
      <c r="A2407" s="8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9">
        <f>B2407+30</f>
        <v/>
      </c>
      <c r="N2407">
        <f>IF(L2407="", "", L2407-B2407)</f>
        <v/>
      </c>
      <c r="O2407">
        <f>IF(L2407="", "Pending", IF(N2407&lt;=30, "Met", "Breached"))</f>
        <v/>
      </c>
      <c r="P2407" s="8" t="n"/>
      <c r="Q2407" s="8" t="n"/>
      <c r="R2407" s="8" t="n"/>
      <c r="S2407" s="8" t="n"/>
      <c r="T2407" s="8" t="n"/>
      <c r="U2407" s="8" t="n"/>
      <c r="V2407" s="8" t="n"/>
      <c r="W2407" s="8" t="n"/>
      <c r="X2407" s="8" t="n"/>
      <c r="Y2407" s="8" t="n"/>
    </row>
    <row r="2408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9">
        <f>B2408+30</f>
        <v/>
      </c>
      <c r="N2408">
        <f>IF(L2408="", "", L2408-B2408)</f>
        <v/>
      </c>
      <c r="O2408">
        <f>IF(L2408="", "Pending", IF(N2408&lt;=30, "Met", "Breached"))</f>
        <v/>
      </c>
      <c r="P2408" s="8" t="n"/>
      <c r="Q2408" s="8" t="n"/>
      <c r="R2408" s="8" t="n"/>
      <c r="S2408" s="8" t="n"/>
      <c r="T2408" s="8" t="n"/>
      <c r="U2408" s="8" t="n"/>
      <c r="V2408" s="8" t="n"/>
      <c r="W2408" s="8" t="n"/>
      <c r="X2408" s="8" t="n"/>
      <c r="Y2408" s="8" t="n"/>
    </row>
    <row r="2409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9">
        <f>B2409+30</f>
        <v/>
      </c>
      <c r="N2409">
        <f>IF(L2409="", "", L2409-B2409)</f>
        <v/>
      </c>
      <c r="O2409">
        <f>IF(L2409="", "Pending", IF(N2409&lt;=30, "Met", "Breached"))</f>
        <v/>
      </c>
      <c r="P2409" s="8" t="n"/>
      <c r="Q2409" s="8" t="n"/>
      <c r="R2409" s="8" t="n"/>
      <c r="S2409" s="8" t="n"/>
      <c r="T2409" s="8" t="n"/>
      <c r="U2409" s="8" t="n"/>
      <c r="V2409" s="8" t="n"/>
      <c r="W2409" s="8" t="n"/>
      <c r="X2409" s="8" t="n"/>
      <c r="Y2409" s="8" t="n"/>
    </row>
    <row r="2410">
      <c r="A2410" s="8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9">
        <f>B2410+30</f>
        <v/>
      </c>
      <c r="N2410">
        <f>IF(L2410="", "", L2410-B2410)</f>
        <v/>
      </c>
      <c r="O2410">
        <f>IF(L2410="", "Pending", IF(N2410&lt;=30, "Met", "Breached"))</f>
        <v/>
      </c>
      <c r="P2410" s="8" t="n"/>
      <c r="Q2410" s="8" t="n"/>
      <c r="R2410" s="8" t="n"/>
      <c r="S2410" s="8" t="n"/>
      <c r="T2410" s="8" t="n"/>
      <c r="U2410" s="8" t="n"/>
      <c r="V2410" s="8" t="n"/>
      <c r="W2410" s="8" t="n"/>
      <c r="X2410" s="8" t="n"/>
      <c r="Y2410" s="8" t="n"/>
    </row>
    <row r="2411">
      <c r="A2411" s="8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9">
        <f>B2411+30</f>
        <v/>
      </c>
      <c r="N2411">
        <f>IF(L2411="", "", L2411-B2411)</f>
        <v/>
      </c>
      <c r="O2411">
        <f>IF(L2411="", "Pending", IF(N2411&lt;=30, "Met", "Breached"))</f>
        <v/>
      </c>
      <c r="P2411" s="8" t="n"/>
      <c r="Q2411" s="8" t="n"/>
      <c r="R2411" s="8" t="n"/>
      <c r="S2411" s="8" t="n"/>
      <c r="T2411" s="8" t="n"/>
      <c r="U2411" s="8" t="n"/>
      <c r="V2411" s="8" t="n"/>
      <c r="W2411" s="8" t="n"/>
      <c r="X2411" s="8" t="n"/>
      <c r="Y2411" s="8" t="n"/>
    </row>
    <row r="2412">
      <c r="A2412" s="8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9">
        <f>B2412+30</f>
        <v/>
      </c>
      <c r="N2412">
        <f>IF(L2412="", "", L2412-B2412)</f>
        <v/>
      </c>
      <c r="O2412">
        <f>IF(L2412="", "Pending", IF(N2412&lt;=30, "Met", "Breached"))</f>
        <v/>
      </c>
      <c r="P2412" s="8" t="n"/>
      <c r="Q2412" s="8" t="n"/>
      <c r="R2412" s="8" t="n"/>
      <c r="S2412" s="8" t="n"/>
      <c r="T2412" s="8" t="n"/>
      <c r="U2412" s="8" t="n"/>
      <c r="V2412" s="8" t="n"/>
      <c r="W2412" s="8" t="n"/>
      <c r="X2412" s="8" t="n"/>
      <c r="Y2412" s="8" t="n"/>
    </row>
    <row r="2413">
      <c r="A2413" s="8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9">
        <f>B2413+30</f>
        <v/>
      </c>
      <c r="N2413">
        <f>IF(L2413="", "", L2413-B2413)</f>
        <v/>
      </c>
      <c r="O2413">
        <f>IF(L2413="", "Pending", IF(N2413&lt;=30, "Met", "Breached"))</f>
        <v/>
      </c>
      <c r="P2413" s="8" t="n"/>
      <c r="Q2413" s="8" t="n"/>
      <c r="R2413" s="8" t="n"/>
      <c r="S2413" s="8" t="n"/>
      <c r="T2413" s="8" t="n"/>
      <c r="U2413" s="8" t="n"/>
      <c r="V2413" s="8" t="n"/>
      <c r="W2413" s="8" t="n"/>
      <c r="X2413" s="8" t="n"/>
      <c r="Y2413" s="8" t="n"/>
    </row>
    <row r="2414">
      <c r="A2414" s="8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9">
        <f>B2414+30</f>
        <v/>
      </c>
      <c r="N2414">
        <f>IF(L2414="", "", L2414-B2414)</f>
        <v/>
      </c>
      <c r="O2414">
        <f>IF(L2414="", "Pending", IF(N2414&lt;=30, "Met", "Breached"))</f>
        <v/>
      </c>
      <c r="P2414" s="8" t="n"/>
      <c r="Q2414" s="8" t="n"/>
      <c r="R2414" s="8" t="n"/>
      <c r="S2414" s="8" t="n"/>
      <c r="T2414" s="8" t="n"/>
      <c r="U2414" s="8" t="n"/>
      <c r="V2414" s="8" t="n"/>
      <c r="W2414" s="8" t="n"/>
      <c r="X2414" s="8" t="n"/>
      <c r="Y2414" s="8" t="n"/>
    </row>
    <row r="2415">
      <c r="A2415" s="8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9">
        <f>B2415+30</f>
        <v/>
      </c>
      <c r="N2415">
        <f>IF(L2415="", "", L2415-B2415)</f>
        <v/>
      </c>
      <c r="O2415">
        <f>IF(L2415="", "Pending", IF(N2415&lt;=30, "Met", "Breached"))</f>
        <v/>
      </c>
      <c r="P2415" s="8" t="n"/>
      <c r="Q2415" s="8" t="n"/>
      <c r="R2415" s="8" t="n"/>
      <c r="S2415" s="8" t="n"/>
      <c r="T2415" s="8" t="n"/>
      <c r="U2415" s="8" t="n"/>
      <c r="V2415" s="8" t="n"/>
      <c r="W2415" s="8" t="n"/>
      <c r="X2415" s="8" t="n"/>
      <c r="Y2415" s="8" t="n"/>
    </row>
    <row r="2416">
      <c r="A2416" s="8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9">
        <f>B2416+30</f>
        <v/>
      </c>
      <c r="N2416">
        <f>IF(L2416="", "", L2416-B2416)</f>
        <v/>
      </c>
      <c r="O2416">
        <f>IF(L2416="", "Pending", IF(N2416&lt;=30, "Met", "Breached"))</f>
        <v/>
      </c>
      <c r="P2416" s="8" t="n"/>
      <c r="Q2416" s="8" t="n"/>
      <c r="R2416" s="8" t="n"/>
      <c r="S2416" s="8" t="n"/>
      <c r="T2416" s="8" t="n"/>
      <c r="U2416" s="8" t="n"/>
      <c r="V2416" s="8" t="n"/>
      <c r="W2416" s="8" t="n"/>
      <c r="X2416" s="8" t="n"/>
      <c r="Y2416" s="8" t="n"/>
    </row>
    <row r="2417">
      <c r="A2417" s="8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9">
        <f>B2417+30</f>
        <v/>
      </c>
      <c r="N2417">
        <f>IF(L2417="", "", L2417-B2417)</f>
        <v/>
      </c>
      <c r="O2417">
        <f>IF(L2417="", "Pending", IF(N2417&lt;=30, "Met", "Breached"))</f>
        <v/>
      </c>
      <c r="P2417" s="8" t="n"/>
      <c r="Q2417" s="8" t="n"/>
      <c r="R2417" s="8" t="n"/>
      <c r="S2417" s="8" t="n"/>
      <c r="T2417" s="8" t="n"/>
      <c r="U2417" s="8" t="n"/>
      <c r="V2417" s="8" t="n"/>
      <c r="W2417" s="8" t="n"/>
      <c r="X2417" s="8" t="n"/>
      <c r="Y2417" s="8" t="n"/>
    </row>
    <row r="2418">
      <c r="A2418" s="8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9">
        <f>B2418+30</f>
        <v/>
      </c>
      <c r="N2418">
        <f>IF(L2418="", "", L2418-B2418)</f>
        <v/>
      </c>
      <c r="O2418">
        <f>IF(L2418="", "Pending", IF(N2418&lt;=30, "Met", "Breached"))</f>
        <v/>
      </c>
      <c r="P2418" s="8" t="n"/>
      <c r="Q2418" s="8" t="n"/>
      <c r="R2418" s="8" t="n"/>
      <c r="S2418" s="8" t="n"/>
      <c r="T2418" s="8" t="n"/>
      <c r="U2418" s="8" t="n"/>
      <c r="V2418" s="8" t="n"/>
      <c r="W2418" s="8" t="n"/>
      <c r="X2418" s="8" t="n"/>
      <c r="Y2418" s="8" t="n"/>
    </row>
    <row r="241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9">
        <f>B2419+30</f>
        <v/>
      </c>
      <c r="N2419">
        <f>IF(L2419="", "", L2419-B2419)</f>
        <v/>
      </c>
      <c r="O2419">
        <f>IF(L2419="", "Pending", IF(N2419&lt;=30, "Met", "Breached"))</f>
        <v/>
      </c>
      <c r="P2419" s="8" t="n"/>
      <c r="Q2419" s="8" t="n"/>
      <c r="R2419" s="8" t="n"/>
      <c r="S2419" s="8" t="n"/>
      <c r="T2419" s="8" t="n"/>
      <c r="U2419" s="8" t="n"/>
      <c r="V2419" s="8" t="n"/>
      <c r="W2419" s="8" t="n"/>
      <c r="X2419" s="8" t="n"/>
      <c r="Y2419" s="8" t="n"/>
    </row>
    <row r="2420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9">
        <f>B2420+30</f>
        <v/>
      </c>
      <c r="N2420">
        <f>IF(L2420="", "", L2420-B2420)</f>
        <v/>
      </c>
      <c r="O2420">
        <f>IF(L2420="", "Pending", IF(N2420&lt;=30, "Met", "Breached"))</f>
        <v/>
      </c>
      <c r="P2420" s="8" t="n"/>
      <c r="Q2420" s="8" t="n"/>
      <c r="R2420" s="8" t="n"/>
      <c r="S2420" s="8" t="n"/>
      <c r="T2420" s="8" t="n"/>
      <c r="U2420" s="8" t="n"/>
      <c r="V2420" s="8" t="n"/>
      <c r="W2420" s="8" t="n"/>
      <c r="X2420" s="8" t="n"/>
      <c r="Y2420" s="8" t="n"/>
    </row>
    <row r="2421">
      <c r="A2421" s="8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9">
        <f>B2421+30</f>
        <v/>
      </c>
      <c r="N2421">
        <f>IF(L2421="", "", L2421-B2421)</f>
        <v/>
      </c>
      <c r="O2421">
        <f>IF(L2421="", "Pending", IF(N2421&lt;=30, "Met", "Breached"))</f>
        <v/>
      </c>
      <c r="P2421" s="8" t="n"/>
      <c r="Q2421" s="8" t="n"/>
      <c r="R2421" s="8" t="n"/>
      <c r="S2421" s="8" t="n"/>
      <c r="T2421" s="8" t="n"/>
      <c r="U2421" s="8" t="n"/>
      <c r="V2421" s="8" t="n"/>
      <c r="W2421" s="8" t="n"/>
      <c r="X2421" s="8" t="n"/>
      <c r="Y2421" s="8" t="n"/>
    </row>
    <row r="2422">
      <c r="A2422" s="8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9">
        <f>B2422+30</f>
        <v/>
      </c>
      <c r="N2422">
        <f>IF(L2422="", "", L2422-B2422)</f>
        <v/>
      </c>
      <c r="O2422">
        <f>IF(L2422="", "Pending", IF(N2422&lt;=30, "Met", "Breached"))</f>
        <v/>
      </c>
      <c r="P2422" s="8" t="n"/>
      <c r="Q2422" s="8" t="n"/>
      <c r="R2422" s="8" t="n"/>
      <c r="S2422" s="8" t="n"/>
      <c r="T2422" s="8" t="n"/>
      <c r="U2422" s="8" t="n"/>
      <c r="V2422" s="8" t="n"/>
      <c r="W2422" s="8" t="n"/>
      <c r="X2422" s="8" t="n"/>
      <c r="Y2422" s="8" t="n"/>
    </row>
    <row r="2423">
      <c r="A2423" s="8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9">
        <f>B2423+30</f>
        <v/>
      </c>
      <c r="N2423">
        <f>IF(L2423="", "", L2423-B2423)</f>
        <v/>
      </c>
      <c r="O2423">
        <f>IF(L2423="", "Pending", IF(N2423&lt;=30, "Met", "Breached"))</f>
        <v/>
      </c>
      <c r="P2423" s="8" t="n"/>
      <c r="Q2423" s="8" t="n"/>
      <c r="R2423" s="8" t="n"/>
      <c r="S2423" s="8" t="n"/>
      <c r="T2423" s="8" t="n"/>
      <c r="U2423" s="8" t="n"/>
      <c r="V2423" s="8" t="n"/>
      <c r="W2423" s="8" t="n"/>
      <c r="X2423" s="8" t="n"/>
      <c r="Y2423" s="8" t="n"/>
    </row>
    <row r="2424">
      <c r="A2424" s="8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9">
        <f>B2424+30</f>
        <v/>
      </c>
      <c r="N2424">
        <f>IF(L2424="", "", L2424-B2424)</f>
        <v/>
      </c>
      <c r="O2424">
        <f>IF(L2424="", "Pending", IF(N2424&lt;=30, "Met", "Breached"))</f>
        <v/>
      </c>
      <c r="P2424" s="8" t="n"/>
      <c r="Q2424" s="8" t="n"/>
      <c r="R2424" s="8" t="n"/>
      <c r="S2424" s="8" t="n"/>
      <c r="T2424" s="8" t="n"/>
      <c r="U2424" s="8" t="n"/>
      <c r="V2424" s="8" t="n"/>
      <c r="W2424" s="8" t="n"/>
      <c r="X2424" s="8" t="n"/>
      <c r="Y2424" s="8" t="n"/>
    </row>
    <row r="2425">
      <c r="A2425" s="8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9">
        <f>B2425+30</f>
        <v/>
      </c>
      <c r="N2425">
        <f>IF(L2425="", "", L2425-B2425)</f>
        <v/>
      </c>
      <c r="O2425">
        <f>IF(L2425="", "Pending", IF(N2425&lt;=30, "Met", "Breached"))</f>
        <v/>
      </c>
      <c r="P2425" s="8" t="n"/>
      <c r="Q2425" s="8" t="n"/>
      <c r="R2425" s="8" t="n"/>
      <c r="S2425" s="8" t="n"/>
      <c r="T2425" s="8" t="n"/>
      <c r="U2425" s="8" t="n"/>
      <c r="V2425" s="8" t="n"/>
      <c r="W2425" s="8" t="n"/>
      <c r="X2425" s="8" t="n"/>
      <c r="Y2425" s="8" t="n"/>
    </row>
    <row r="2426">
      <c r="A2426" s="8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9">
        <f>B2426+30</f>
        <v/>
      </c>
      <c r="N2426">
        <f>IF(L2426="", "", L2426-B2426)</f>
        <v/>
      </c>
      <c r="O2426">
        <f>IF(L2426="", "Pending", IF(N2426&lt;=30, "Met", "Breached"))</f>
        <v/>
      </c>
      <c r="P2426" s="8" t="n"/>
      <c r="Q2426" s="8" t="n"/>
      <c r="R2426" s="8" t="n"/>
      <c r="S2426" s="8" t="n"/>
      <c r="T2426" s="8" t="n"/>
      <c r="U2426" s="8" t="n"/>
      <c r="V2426" s="8" t="n"/>
      <c r="W2426" s="8" t="n"/>
      <c r="X2426" s="8" t="n"/>
      <c r="Y2426" s="8" t="n"/>
    </row>
    <row r="2427">
      <c r="A2427" s="8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9">
        <f>B2427+30</f>
        <v/>
      </c>
      <c r="N2427">
        <f>IF(L2427="", "", L2427-B2427)</f>
        <v/>
      </c>
      <c r="O2427">
        <f>IF(L2427="", "Pending", IF(N2427&lt;=30, "Met", "Breached"))</f>
        <v/>
      </c>
      <c r="P2427" s="8" t="n"/>
      <c r="Q2427" s="8" t="n"/>
      <c r="R2427" s="8" t="n"/>
      <c r="S2427" s="8" t="n"/>
      <c r="T2427" s="8" t="n"/>
      <c r="U2427" s="8" t="n"/>
      <c r="V2427" s="8" t="n"/>
      <c r="W2427" s="8" t="n"/>
      <c r="X2427" s="8" t="n"/>
      <c r="Y2427" s="8" t="n"/>
    </row>
    <row r="2428">
      <c r="A2428" s="8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9">
        <f>B2428+30</f>
        <v/>
      </c>
      <c r="N2428">
        <f>IF(L2428="", "", L2428-B2428)</f>
        <v/>
      </c>
      <c r="O2428">
        <f>IF(L2428="", "Pending", IF(N2428&lt;=30, "Met", "Breached"))</f>
        <v/>
      </c>
      <c r="P2428" s="8" t="n"/>
      <c r="Q2428" s="8" t="n"/>
      <c r="R2428" s="8" t="n"/>
      <c r="S2428" s="8" t="n"/>
      <c r="T2428" s="8" t="n"/>
      <c r="U2428" s="8" t="n"/>
      <c r="V2428" s="8" t="n"/>
      <c r="W2428" s="8" t="n"/>
      <c r="X2428" s="8" t="n"/>
      <c r="Y2428" s="8" t="n"/>
    </row>
    <row r="2429">
      <c r="A2429" s="8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9">
        <f>B2429+30</f>
        <v/>
      </c>
      <c r="N2429">
        <f>IF(L2429="", "", L2429-B2429)</f>
        <v/>
      </c>
      <c r="O2429">
        <f>IF(L2429="", "Pending", IF(N2429&lt;=30, "Met", "Breached"))</f>
        <v/>
      </c>
      <c r="P2429" s="8" t="n"/>
      <c r="Q2429" s="8" t="n"/>
      <c r="R2429" s="8" t="n"/>
      <c r="S2429" s="8" t="n"/>
      <c r="T2429" s="8" t="n"/>
      <c r="U2429" s="8" t="n"/>
      <c r="V2429" s="8" t="n"/>
      <c r="W2429" s="8" t="n"/>
      <c r="X2429" s="8" t="n"/>
      <c r="Y2429" s="8" t="n"/>
    </row>
    <row r="2430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9">
        <f>B2430+30</f>
        <v/>
      </c>
      <c r="N2430">
        <f>IF(L2430="", "", L2430-B2430)</f>
        <v/>
      </c>
      <c r="O2430">
        <f>IF(L2430="", "Pending", IF(N2430&lt;=30, "Met", "Breached"))</f>
        <v/>
      </c>
      <c r="P2430" s="8" t="n"/>
      <c r="Q2430" s="8" t="n"/>
      <c r="R2430" s="8" t="n"/>
      <c r="S2430" s="8" t="n"/>
      <c r="T2430" s="8" t="n"/>
      <c r="U2430" s="8" t="n"/>
      <c r="V2430" s="8" t="n"/>
      <c r="W2430" s="8" t="n"/>
      <c r="X2430" s="8" t="n"/>
      <c r="Y2430" s="8" t="n"/>
    </row>
    <row r="2431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9">
        <f>B2431+30</f>
        <v/>
      </c>
      <c r="N2431">
        <f>IF(L2431="", "", L2431-B2431)</f>
        <v/>
      </c>
      <c r="O2431">
        <f>IF(L2431="", "Pending", IF(N2431&lt;=30, "Met", "Breached"))</f>
        <v/>
      </c>
      <c r="P2431" s="8" t="n"/>
      <c r="Q2431" s="8" t="n"/>
      <c r="R2431" s="8" t="n"/>
      <c r="S2431" s="8" t="n"/>
      <c r="T2431" s="8" t="n"/>
      <c r="U2431" s="8" t="n"/>
      <c r="V2431" s="8" t="n"/>
      <c r="W2431" s="8" t="n"/>
      <c r="X2431" s="8" t="n"/>
      <c r="Y2431" s="8" t="n"/>
    </row>
    <row r="2432">
      <c r="A2432" s="8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9">
        <f>B2432+30</f>
        <v/>
      </c>
      <c r="N2432">
        <f>IF(L2432="", "", L2432-B2432)</f>
        <v/>
      </c>
      <c r="O2432">
        <f>IF(L2432="", "Pending", IF(N2432&lt;=30, "Met", "Breached"))</f>
        <v/>
      </c>
      <c r="P2432" s="8" t="n"/>
      <c r="Q2432" s="8" t="n"/>
      <c r="R2432" s="8" t="n"/>
      <c r="S2432" s="8" t="n"/>
      <c r="T2432" s="8" t="n"/>
      <c r="U2432" s="8" t="n"/>
      <c r="V2432" s="8" t="n"/>
      <c r="W2432" s="8" t="n"/>
      <c r="X2432" s="8" t="n"/>
      <c r="Y2432" s="8" t="n"/>
    </row>
    <row r="2433">
      <c r="A2433" s="8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9">
        <f>B2433+30</f>
        <v/>
      </c>
      <c r="N2433">
        <f>IF(L2433="", "", L2433-B2433)</f>
        <v/>
      </c>
      <c r="O2433">
        <f>IF(L2433="", "Pending", IF(N2433&lt;=30, "Met", "Breached"))</f>
        <v/>
      </c>
      <c r="P2433" s="8" t="n"/>
      <c r="Q2433" s="8" t="n"/>
      <c r="R2433" s="8" t="n"/>
      <c r="S2433" s="8" t="n"/>
      <c r="T2433" s="8" t="n"/>
      <c r="U2433" s="8" t="n"/>
      <c r="V2433" s="8" t="n"/>
      <c r="W2433" s="8" t="n"/>
      <c r="X2433" s="8" t="n"/>
      <c r="Y2433" s="8" t="n"/>
    </row>
    <row r="2434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9">
        <f>B2434+30</f>
        <v/>
      </c>
      <c r="N2434">
        <f>IF(L2434="", "", L2434-B2434)</f>
        <v/>
      </c>
      <c r="O2434">
        <f>IF(L2434="", "Pending", IF(N2434&lt;=30, "Met", "Breached"))</f>
        <v/>
      </c>
      <c r="P2434" s="8" t="n"/>
      <c r="Q2434" s="8" t="n"/>
      <c r="R2434" s="8" t="n"/>
      <c r="S2434" s="8" t="n"/>
      <c r="T2434" s="8" t="n"/>
      <c r="U2434" s="8" t="n"/>
      <c r="V2434" s="8" t="n"/>
      <c r="W2434" s="8" t="n"/>
      <c r="X2434" s="8" t="n"/>
      <c r="Y2434" s="8" t="n"/>
    </row>
    <row r="2435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9">
        <f>B2435+30</f>
        <v/>
      </c>
      <c r="N2435">
        <f>IF(L2435="", "", L2435-B2435)</f>
        <v/>
      </c>
      <c r="O2435">
        <f>IF(L2435="", "Pending", IF(N2435&lt;=30, "Met", "Breached"))</f>
        <v/>
      </c>
      <c r="P2435" s="8" t="n"/>
      <c r="Q2435" s="8" t="n"/>
      <c r="R2435" s="8" t="n"/>
      <c r="S2435" s="8" t="n"/>
      <c r="T2435" s="8" t="n"/>
      <c r="U2435" s="8" t="n"/>
      <c r="V2435" s="8" t="n"/>
      <c r="W2435" s="8" t="n"/>
      <c r="X2435" s="8" t="n"/>
      <c r="Y2435" s="8" t="n"/>
    </row>
    <row r="2436">
      <c r="A2436" s="8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9">
        <f>B2436+30</f>
        <v/>
      </c>
      <c r="N2436">
        <f>IF(L2436="", "", L2436-B2436)</f>
        <v/>
      </c>
      <c r="O2436">
        <f>IF(L2436="", "Pending", IF(N2436&lt;=30, "Met", "Breached"))</f>
        <v/>
      </c>
      <c r="P2436" s="8" t="n"/>
      <c r="Q2436" s="8" t="n"/>
      <c r="R2436" s="8" t="n"/>
      <c r="S2436" s="8" t="n"/>
      <c r="T2436" s="8" t="n"/>
      <c r="U2436" s="8" t="n"/>
      <c r="V2436" s="8" t="n"/>
      <c r="W2436" s="8" t="n"/>
      <c r="X2436" s="8" t="n"/>
      <c r="Y2436" s="8" t="n"/>
    </row>
    <row r="2437">
      <c r="A2437" s="8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9">
        <f>B2437+30</f>
        <v/>
      </c>
      <c r="N2437">
        <f>IF(L2437="", "", L2437-B2437)</f>
        <v/>
      </c>
      <c r="O2437">
        <f>IF(L2437="", "Pending", IF(N2437&lt;=30, "Met", "Breached"))</f>
        <v/>
      </c>
      <c r="P2437" s="8" t="n"/>
      <c r="Q2437" s="8" t="n"/>
      <c r="R2437" s="8" t="n"/>
      <c r="S2437" s="8" t="n"/>
      <c r="T2437" s="8" t="n"/>
      <c r="U2437" s="8" t="n"/>
      <c r="V2437" s="8" t="n"/>
      <c r="W2437" s="8" t="n"/>
      <c r="X2437" s="8" t="n"/>
      <c r="Y2437" s="8" t="n"/>
    </row>
    <row r="2438">
      <c r="A2438" s="8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9">
        <f>B2438+30</f>
        <v/>
      </c>
      <c r="N2438">
        <f>IF(L2438="", "", L2438-B2438)</f>
        <v/>
      </c>
      <c r="O2438">
        <f>IF(L2438="", "Pending", IF(N2438&lt;=30, "Met", "Breached"))</f>
        <v/>
      </c>
      <c r="P2438" s="8" t="n"/>
      <c r="Q2438" s="8" t="n"/>
      <c r="R2438" s="8" t="n"/>
      <c r="S2438" s="8" t="n"/>
      <c r="T2438" s="8" t="n"/>
      <c r="U2438" s="8" t="n"/>
      <c r="V2438" s="8" t="n"/>
      <c r="W2438" s="8" t="n"/>
      <c r="X2438" s="8" t="n"/>
      <c r="Y2438" s="8" t="n"/>
    </row>
    <row r="2439">
      <c r="A2439" s="8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9">
        <f>B2439+30</f>
        <v/>
      </c>
      <c r="N2439">
        <f>IF(L2439="", "", L2439-B2439)</f>
        <v/>
      </c>
      <c r="O2439">
        <f>IF(L2439="", "Pending", IF(N2439&lt;=30, "Met", "Breached"))</f>
        <v/>
      </c>
      <c r="P2439" s="8" t="n"/>
      <c r="Q2439" s="8" t="n"/>
      <c r="R2439" s="8" t="n"/>
      <c r="S2439" s="8" t="n"/>
      <c r="T2439" s="8" t="n"/>
      <c r="U2439" s="8" t="n"/>
      <c r="V2439" s="8" t="n"/>
      <c r="W2439" s="8" t="n"/>
      <c r="X2439" s="8" t="n"/>
      <c r="Y2439" s="8" t="n"/>
    </row>
    <row r="2440">
      <c r="A2440" s="8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9">
        <f>B2440+30</f>
        <v/>
      </c>
      <c r="N2440">
        <f>IF(L2440="", "", L2440-B2440)</f>
        <v/>
      </c>
      <c r="O2440">
        <f>IF(L2440="", "Pending", IF(N2440&lt;=30, "Met", "Breached"))</f>
        <v/>
      </c>
      <c r="P2440" s="8" t="n"/>
      <c r="Q2440" s="8" t="n"/>
      <c r="R2440" s="8" t="n"/>
      <c r="S2440" s="8" t="n"/>
      <c r="T2440" s="8" t="n"/>
      <c r="U2440" s="8" t="n"/>
      <c r="V2440" s="8" t="n"/>
      <c r="W2440" s="8" t="n"/>
      <c r="X2440" s="8" t="n"/>
      <c r="Y2440" s="8" t="n"/>
    </row>
    <row r="2441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9">
        <f>B2441+30</f>
        <v/>
      </c>
      <c r="N2441">
        <f>IF(L2441="", "", L2441-B2441)</f>
        <v/>
      </c>
      <c r="O2441">
        <f>IF(L2441="", "Pending", IF(N2441&lt;=30, "Met", "Breached"))</f>
        <v/>
      </c>
      <c r="P2441" s="8" t="n"/>
      <c r="Q2441" s="8" t="n"/>
      <c r="R2441" s="8" t="n"/>
      <c r="S2441" s="8" t="n"/>
      <c r="T2441" s="8" t="n"/>
      <c r="U2441" s="8" t="n"/>
      <c r="V2441" s="8" t="n"/>
      <c r="W2441" s="8" t="n"/>
      <c r="X2441" s="8" t="n"/>
      <c r="Y2441" s="8" t="n"/>
    </row>
    <row r="2442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9">
        <f>B2442+30</f>
        <v/>
      </c>
      <c r="N2442">
        <f>IF(L2442="", "", L2442-B2442)</f>
        <v/>
      </c>
      <c r="O2442">
        <f>IF(L2442="", "Pending", IF(N2442&lt;=30, "Met", "Breached"))</f>
        <v/>
      </c>
      <c r="P2442" s="8" t="n"/>
      <c r="Q2442" s="8" t="n"/>
      <c r="R2442" s="8" t="n"/>
      <c r="S2442" s="8" t="n"/>
      <c r="T2442" s="8" t="n"/>
      <c r="U2442" s="8" t="n"/>
      <c r="V2442" s="8" t="n"/>
      <c r="W2442" s="8" t="n"/>
      <c r="X2442" s="8" t="n"/>
      <c r="Y2442" s="8" t="n"/>
    </row>
    <row r="2443">
      <c r="A2443" s="8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9">
        <f>B2443+30</f>
        <v/>
      </c>
      <c r="N2443">
        <f>IF(L2443="", "", L2443-B2443)</f>
        <v/>
      </c>
      <c r="O2443">
        <f>IF(L2443="", "Pending", IF(N2443&lt;=30, "Met", "Breached"))</f>
        <v/>
      </c>
      <c r="P2443" s="8" t="n"/>
      <c r="Q2443" s="8" t="n"/>
      <c r="R2443" s="8" t="n"/>
      <c r="S2443" s="8" t="n"/>
      <c r="T2443" s="8" t="n"/>
      <c r="U2443" s="8" t="n"/>
      <c r="V2443" s="8" t="n"/>
      <c r="W2443" s="8" t="n"/>
      <c r="X2443" s="8" t="n"/>
      <c r="Y2443" s="8" t="n"/>
    </row>
    <row r="2444">
      <c r="A2444" s="8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9">
        <f>B2444+30</f>
        <v/>
      </c>
      <c r="N2444">
        <f>IF(L2444="", "", L2444-B2444)</f>
        <v/>
      </c>
      <c r="O2444">
        <f>IF(L2444="", "Pending", IF(N2444&lt;=30, "Met", "Breached"))</f>
        <v/>
      </c>
      <c r="P2444" s="8" t="n"/>
      <c r="Q2444" s="8" t="n"/>
      <c r="R2444" s="8" t="n"/>
      <c r="S2444" s="8" t="n"/>
      <c r="T2444" s="8" t="n"/>
      <c r="U2444" s="8" t="n"/>
      <c r="V2444" s="8" t="n"/>
      <c r="W2444" s="8" t="n"/>
      <c r="X2444" s="8" t="n"/>
      <c r="Y2444" s="8" t="n"/>
    </row>
    <row r="2445">
      <c r="A2445" s="8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9">
        <f>B2445+30</f>
        <v/>
      </c>
      <c r="N2445">
        <f>IF(L2445="", "", L2445-B2445)</f>
        <v/>
      </c>
      <c r="O2445">
        <f>IF(L2445="", "Pending", IF(N2445&lt;=30, "Met", "Breached"))</f>
        <v/>
      </c>
      <c r="P2445" s="8" t="n"/>
      <c r="Q2445" s="8" t="n"/>
      <c r="R2445" s="8" t="n"/>
      <c r="S2445" s="8" t="n"/>
      <c r="T2445" s="8" t="n"/>
      <c r="U2445" s="8" t="n"/>
      <c r="V2445" s="8" t="n"/>
      <c r="W2445" s="8" t="n"/>
      <c r="X2445" s="8" t="n"/>
      <c r="Y2445" s="8" t="n"/>
    </row>
    <row r="2446">
      <c r="A2446" s="8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9">
        <f>B2446+30</f>
        <v/>
      </c>
      <c r="N2446">
        <f>IF(L2446="", "", L2446-B2446)</f>
        <v/>
      </c>
      <c r="O2446">
        <f>IF(L2446="", "Pending", IF(N2446&lt;=30, "Met", "Breached"))</f>
        <v/>
      </c>
      <c r="P2446" s="8" t="n"/>
      <c r="Q2446" s="8" t="n"/>
      <c r="R2446" s="8" t="n"/>
      <c r="S2446" s="8" t="n"/>
      <c r="T2446" s="8" t="n"/>
      <c r="U2446" s="8" t="n"/>
      <c r="V2446" s="8" t="n"/>
      <c r="W2446" s="8" t="n"/>
      <c r="X2446" s="8" t="n"/>
      <c r="Y2446" s="8" t="n"/>
    </row>
    <row r="2447">
      <c r="A2447" s="8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9">
        <f>B2447+30</f>
        <v/>
      </c>
      <c r="N2447">
        <f>IF(L2447="", "", L2447-B2447)</f>
        <v/>
      </c>
      <c r="O2447">
        <f>IF(L2447="", "Pending", IF(N2447&lt;=30, "Met", "Breached"))</f>
        <v/>
      </c>
      <c r="P2447" s="8" t="n"/>
      <c r="Q2447" s="8" t="n"/>
      <c r="R2447" s="8" t="n"/>
      <c r="S2447" s="8" t="n"/>
      <c r="T2447" s="8" t="n"/>
      <c r="U2447" s="8" t="n"/>
      <c r="V2447" s="8" t="n"/>
      <c r="W2447" s="8" t="n"/>
      <c r="X2447" s="8" t="n"/>
      <c r="Y2447" s="8" t="n"/>
    </row>
    <row r="2448">
      <c r="A2448" s="8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9">
        <f>B2448+30</f>
        <v/>
      </c>
      <c r="N2448">
        <f>IF(L2448="", "", L2448-B2448)</f>
        <v/>
      </c>
      <c r="O2448">
        <f>IF(L2448="", "Pending", IF(N2448&lt;=30, "Met", "Breached"))</f>
        <v/>
      </c>
      <c r="P2448" s="8" t="n"/>
      <c r="Q2448" s="8" t="n"/>
      <c r="R2448" s="8" t="n"/>
      <c r="S2448" s="8" t="n"/>
      <c r="T2448" s="8" t="n"/>
      <c r="U2448" s="8" t="n"/>
      <c r="V2448" s="8" t="n"/>
      <c r="W2448" s="8" t="n"/>
      <c r="X2448" s="8" t="n"/>
      <c r="Y2448" s="8" t="n"/>
    </row>
    <row r="2449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9">
        <f>B2449+30</f>
        <v/>
      </c>
      <c r="N2449">
        <f>IF(L2449="", "", L2449-B2449)</f>
        <v/>
      </c>
      <c r="O2449">
        <f>IF(L2449="", "Pending", IF(N2449&lt;=30, "Met", "Breached"))</f>
        <v/>
      </c>
      <c r="P2449" s="8" t="n"/>
      <c r="Q2449" s="8" t="n"/>
      <c r="R2449" s="8" t="n"/>
      <c r="S2449" s="8" t="n"/>
      <c r="T2449" s="8" t="n"/>
      <c r="U2449" s="8" t="n"/>
      <c r="V2449" s="8" t="n"/>
      <c r="W2449" s="8" t="n"/>
      <c r="X2449" s="8" t="n"/>
      <c r="Y2449" s="8" t="n"/>
    </row>
    <row r="2450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9">
        <f>B2450+30</f>
        <v/>
      </c>
      <c r="N2450">
        <f>IF(L2450="", "", L2450-B2450)</f>
        <v/>
      </c>
      <c r="O2450">
        <f>IF(L2450="", "Pending", IF(N2450&lt;=30, "Met", "Breached"))</f>
        <v/>
      </c>
      <c r="P2450" s="8" t="n"/>
      <c r="Q2450" s="8" t="n"/>
      <c r="R2450" s="8" t="n"/>
      <c r="S2450" s="8" t="n"/>
      <c r="T2450" s="8" t="n"/>
      <c r="U2450" s="8" t="n"/>
      <c r="V2450" s="8" t="n"/>
      <c r="W2450" s="8" t="n"/>
      <c r="X2450" s="8" t="n"/>
      <c r="Y2450" s="8" t="n"/>
    </row>
    <row r="2451">
      <c r="A2451" s="8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9">
        <f>B2451+30</f>
        <v/>
      </c>
      <c r="N2451">
        <f>IF(L2451="", "", L2451-B2451)</f>
        <v/>
      </c>
      <c r="O2451">
        <f>IF(L2451="", "Pending", IF(N2451&lt;=30, "Met", "Breached"))</f>
        <v/>
      </c>
      <c r="P2451" s="8" t="n"/>
      <c r="Q2451" s="8" t="n"/>
      <c r="R2451" s="8" t="n"/>
      <c r="S2451" s="8" t="n"/>
      <c r="T2451" s="8" t="n"/>
      <c r="U2451" s="8" t="n"/>
      <c r="V2451" s="8" t="n"/>
      <c r="W2451" s="8" t="n"/>
      <c r="X2451" s="8" t="n"/>
      <c r="Y2451" s="8" t="n"/>
    </row>
    <row r="2452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9">
        <f>B2452+30</f>
        <v/>
      </c>
      <c r="N2452">
        <f>IF(L2452="", "", L2452-B2452)</f>
        <v/>
      </c>
      <c r="O2452">
        <f>IF(L2452="", "Pending", IF(N2452&lt;=30, "Met", "Breached"))</f>
        <v/>
      </c>
      <c r="P2452" s="8" t="n"/>
      <c r="Q2452" s="8" t="n"/>
      <c r="R2452" s="8" t="n"/>
      <c r="S2452" s="8" t="n"/>
      <c r="T2452" s="8" t="n"/>
      <c r="U2452" s="8" t="n"/>
      <c r="V2452" s="8" t="n"/>
      <c r="W2452" s="8" t="n"/>
      <c r="X2452" s="8" t="n"/>
      <c r="Y2452" s="8" t="n"/>
    </row>
    <row r="2453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9">
        <f>B2453+30</f>
        <v/>
      </c>
      <c r="N2453">
        <f>IF(L2453="", "", L2453-B2453)</f>
        <v/>
      </c>
      <c r="O2453">
        <f>IF(L2453="", "Pending", IF(N2453&lt;=30, "Met", "Breached"))</f>
        <v/>
      </c>
      <c r="P2453" s="8" t="n"/>
      <c r="Q2453" s="8" t="n"/>
      <c r="R2453" s="8" t="n"/>
      <c r="S2453" s="8" t="n"/>
      <c r="T2453" s="8" t="n"/>
      <c r="U2453" s="8" t="n"/>
      <c r="V2453" s="8" t="n"/>
      <c r="W2453" s="8" t="n"/>
      <c r="X2453" s="8" t="n"/>
      <c r="Y2453" s="8" t="n"/>
    </row>
    <row r="2454">
      <c r="A2454" s="8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9">
        <f>B2454+30</f>
        <v/>
      </c>
      <c r="N2454">
        <f>IF(L2454="", "", L2454-B2454)</f>
        <v/>
      </c>
      <c r="O2454">
        <f>IF(L2454="", "Pending", IF(N2454&lt;=30, "Met", "Breached"))</f>
        <v/>
      </c>
      <c r="P2454" s="8" t="n"/>
      <c r="Q2454" s="8" t="n"/>
      <c r="R2454" s="8" t="n"/>
      <c r="S2454" s="8" t="n"/>
      <c r="T2454" s="8" t="n"/>
      <c r="U2454" s="8" t="n"/>
      <c r="V2454" s="8" t="n"/>
      <c r="W2454" s="8" t="n"/>
      <c r="X2454" s="8" t="n"/>
      <c r="Y2454" s="8" t="n"/>
    </row>
    <row r="2455">
      <c r="A2455" s="8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9">
        <f>B2455+30</f>
        <v/>
      </c>
      <c r="N2455">
        <f>IF(L2455="", "", L2455-B2455)</f>
        <v/>
      </c>
      <c r="O2455">
        <f>IF(L2455="", "Pending", IF(N2455&lt;=30, "Met", "Breached"))</f>
        <v/>
      </c>
      <c r="P2455" s="8" t="n"/>
      <c r="Q2455" s="8" t="n"/>
      <c r="R2455" s="8" t="n"/>
      <c r="S2455" s="8" t="n"/>
      <c r="T2455" s="8" t="n"/>
      <c r="U2455" s="8" t="n"/>
      <c r="V2455" s="8" t="n"/>
      <c r="W2455" s="8" t="n"/>
      <c r="X2455" s="8" t="n"/>
      <c r="Y2455" s="8" t="n"/>
    </row>
    <row r="2456">
      <c r="A2456" s="8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9">
        <f>B2456+30</f>
        <v/>
      </c>
      <c r="N2456">
        <f>IF(L2456="", "", L2456-B2456)</f>
        <v/>
      </c>
      <c r="O2456">
        <f>IF(L2456="", "Pending", IF(N2456&lt;=30, "Met", "Breached"))</f>
        <v/>
      </c>
      <c r="P2456" s="8" t="n"/>
      <c r="Q2456" s="8" t="n"/>
      <c r="R2456" s="8" t="n"/>
      <c r="S2456" s="8" t="n"/>
      <c r="T2456" s="8" t="n"/>
      <c r="U2456" s="8" t="n"/>
      <c r="V2456" s="8" t="n"/>
      <c r="W2456" s="8" t="n"/>
      <c r="X2456" s="8" t="n"/>
      <c r="Y2456" s="8" t="n"/>
    </row>
    <row r="2457">
      <c r="A2457" s="8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9">
        <f>B2457+30</f>
        <v/>
      </c>
      <c r="N2457">
        <f>IF(L2457="", "", L2457-B2457)</f>
        <v/>
      </c>
      <c r="O2457">
        <f>IF(L2457="", "Pending", IF(N2457&lt;=30, "Met", "Breached"))</f>
        <v/>
      </c>
      <c r="P2457" s="8" t="n"/>
      <c r="Q2457" s="8" t="n"/>
      <c r="R2457" s="8" t="n"/>
      <c r="S2457" s="8" t="n"/>
      <c r="T2457" s="8" t="n"/>
      <c r="U2457" s="8" t="n"/>
      <c r="V2457" s="8" t="n"/>
      <c r="W2457" s="8" t="n"/>
      <c r="X2457" s="8" t="n"/>
      <c r="Y2457" s="8" t="n"/>
    </row>
    <row r="2458">
      <c r="A2458" s="8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9">
        <f>B2458+30</f>
        <v/>
      </c>
      <c r="N2458">
        <f>IF(L2458="", "", L2458-B2458)</f>
        <v/>
      </c>
      <c r="O2458">
        <f>IF(L2458="", "Pending", IF(N2458&lt;=30, "Met", "Breached"))</f>
        <v/>
      </c>
      <c r="P2458" s="8" t="n"/>
      <c r="Q2458" s="8" t="n"/>
      <c r="R2458" s="8" t="n"/>
      <c r="S2458" s="8" t="n"/>
      <c r="T2458" s="8" t="n"/>
      <c r="U2458" s="8" t="n"/>
      <c r="V2458" s="8" t="n"/>
      <c r="W2458" s="8" t="n"/>
      <c r="X2458" s="8" t="n"/>
      <c r="Y2458" s="8" t="n"/>
    </row>
    <row r="2459">
      <c r="A2459" s="8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9">
        <f>B2459+30</f>
        <v/>
      </c>
      <c r="N2459">
        <f>IF(L2459="", "", L2459-B2459)</f>
        <v/>
      </c>
      <c r="O2459">
        <f>IF(L2459="", "Pending", IF(N2459&lt;=30, "Met", "Breached"))</f>
        <v/>
      </c>
      <c r="P2459" s="8" t="n"/>
      <c r="Q2459" s="8" t="n"/>
      <c r="R2459" s="8" t="n"/>
      <c r="S2459" s="8" t="n"/>
      <c r="T2459" s="8" t="n"/>
      <c r="U2459" s="8" t="n"/>
      <c r="V2459" s="8" t="n"/>
      <c r="W2459" s="8" t="n"/>
      <c r="X2459" s="8" t="n"/>
      <c r="Y2459" s="8" t="n"/>
    </row>
    <row r="2460">
      <c r="A2460" s="8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9">
        <f>B2460+30</f>
        <v/>
      </c>
      <c r="N2460">
        <f>IF(L2460="", "", L2460-B2460)</f>
        <v/>
      </c>
      <c r="O2460">
        <f>IF(L2460="", "Pending", IF(N2460&lt;=30, "Met", "Breached"))</f>
        <v/>
      </c>
      <c r="P2460" s="8" t="n"/>
      <c r="Q2460" s="8" t="n"/>
      <c r="R2460" s="8" t="n"/>
      <c r="S2460" s="8" t="n"/>
      <c r="T2460" s="8" t="n"/>
      <c r="U2460" s="8" t="n"/>
      <c r="V2460" s="8" t="n"/>
      <c r="W2460" s="8" t="n"/>
      <c r="X2460" s="8" t="n"/>
      <c r="Y2460" s="8" t="n"/>
    </row>
    <row r="2461">
      <c r="A2461" s="8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9">
        <f>B2461+30</f>
        <v/>
      </c>
      <c r="N2461">
        <f>IF(L2461="", "", L2461-B2461)</f>
        <v/>
      </c>
      <c r="O2461">
        <f>IF(L2461="", "Pending", IF(N2461&lt;=30, "Met", "Breached"))</f>
        <v/>
      </c>
      <c r="P2461" s="8" t="n"/>
      <c r="Q2461" s="8" t="n"/>
      <c r="R2461" s="8" t="n"/>
      <c r="S2461" s="8" t="n"/>
      <c r="T2461" s="8" t="n"/>
      <c r="U2461" s="8" t="n"/>
      <c r="V2461" s="8" t="n"/>
      <c r="W2461" s="8" t="n"/>
      <c r="X2461" s="8" t="n"/>
      <c r="Y2461" s="8" t="n"/>
    </row>
    <row r="2462">
      <c r="A2462" s="8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9">
        <f>B2462+30</f>
        <v/>
      </c>
      <c r="N2462">
        <f>IF(L2462="", "", L2462-B2462)</f>
        <v/>
      </c>
      <c r="O2462">
        <f>IF(L2462="", "Pending", IF(N2462&lt;=30, "Met", "Breached"))</f>
        <v/>
      </c>
      <c r="P2462" s="8" t="n"/>
      <c r="Q2462" s="8" t="n"/>
      <c r="R2462" s="8" t="n"/>
      <c r="S2462" s="8" t="n"/>
      <c r="T2462" s="8" t="n"/>
      <c r="U2462" s="8" t="n"/>
      <c r="V2462" s="8" t="n"/>
      <c r="W2462" s="8" t="n"/>
      <c r="X2462" s="8" t="n"/>
      <c r="Y2462" s="8" t="n"/>
    </row>
    <row r="2463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9">
        <f>B2463+30</f>
        <v/>
      </c>
      <c r="N2463">
        <f>IF(L2463="", "", L2463-B2463)</f>
        <v/>
      </c>
      <c r="O2463">
        <f>IF(L2463="", "Pending", IF(N2463&lt;=30, "Met", "Breached"))</f>
        <v/>
      </c>
      <c r="P2463" s="8" t="n"/>
      <c r="Q2463" s="8" t="n"/>
      <c r="R2463" s="8" t="n"/>
      <c r="S2463" s="8" t="n"/>
      <c r="T2463" s="8" t="n"/>
      <c r="U2463" s="8" t="n"/>
      <c r="V2463" s="8" t="n"/>
      <c r="W2463" s="8" t="n"/>
      <c r="X2463" s="8" t="n"/>
      <c r="Y2463" s="8" t="n"/>
    </row>
    <row r="2464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9">
        <f>B2464+30</f>
        <v/>
      </c>
      <c r="N2464">
        <f>IF(L2464="", "", L2464-B2464)</f>
        <v/>
      </c>
      <c r="O2464">
        <f>IF(L2464="", "Pending", IF(N2464&lt;=30, "Met", "Breached"))</f>
        <v/>
      </c>
      <c r="P2464" s="8" t="n"/>
      <c r="Q2464" s="8" t="n"/>
      <c r="R2464" s="8" t="n"/>
      <c r="S2464" s="8" t="n"/>
      <c r="T2464" s="8" t="n"/>
      <c r="U2464" s="8" t="n"/>
      <c r="V2464" s="8" t="n"/>
      <c r="W2464" s="8" t="n"/>
      <c r="X2464" s="8" t="n"/>
      <c r="Y2464" s="8" t="n"/>
    </row>
    <row r="2465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9">
        <f>B2465+30</f>
        <v/>
      </c>
      <c r="N2465">
        <f>IF(L2465="", "", L2465-B2465)</f>
        <v/>
      </c>
      <c r="O2465">
        <f>IF(L2465="", "Pending", IF(N2465&lt;=30, "Met", "Breached"))</f>
        <v/>
      </c>
      <c r="P2465" s="8" t="n"/>
      <c r="Q2465" s="8" t="n"/>
      <c r="R2465" s="8" t="n"/>
      <c r="S2465" s="8" t="n"/>
      <c r="T2465" s="8" t="n"/>
      <c r="U2465" s="8" t="n"/>
      <c r="V2465" s="8" t="n"/>
      <c r="W2465" s="8" t="n"/>
      <c r="X2465" s="8" t="n"/>
      <c r="Y2465" s="8" t="n"/>
    </row>
    <row r="2466">
      <c r="A2466" s="8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9">
        <f>B2466+30</f>
        <v/>
      </c>
      <c r="N2466">
        <f>IF(L2466="", "", L2466-B2466)</f>
        <v/>
      </c>
      <c r="O2466">
        <f>IF(L2466="", "Pending", IF(N2466&lt;=30, "Met", "Breached"))</f>
        <v/>
      </c>
      <c r="P2466" s="8" t="n"/>
      <c r="Q2466" s="8" t="n"/>
      <c r="R2466" s="8" t="n"/>
      <c r="S2466" s="8" t="n"/>
      <c r="T2466" s="8" t="n"/>
      <c r="U2466" s="8" t="n"/>
      <c r="V2466" s="8" t="n"/>
      <c r="W2466" s="8" t="n"/>
      <c r="X2466" s="8" t="n"/>
      <c r="Y2466" s="8" t="n"/>
    </row>
    <row r="2467">
      <c r="A2467" s="8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9">
        <f>B2467+30</f>
        <v/>
      </c>
      <c r="N2467">
        <f>IF(L2467="", "", L2467-B2467)</f>
        <v/>
      </c>
      <c r="O2467">
        <f>IF(L2467="", "Pending", IF(N2467&lt;=30, "Met", "Breached"))</f>
        <v/>
      </c>
      <c r="P2467" s="8" t="n"/>
      <c r="Q2467" s="8" t="n"/>
      <c r="R2467" s="8" t="n"/>
      <c r="S2467" s="8" t="n"/>
      <c r="T2467" s="8" t="n"/>
      <c r="U2467" s="8" t="n"/>
      <c r="V2467" s="8" t="n"/>
      <c r="W2467" s="8" t="n"/>
      <c r="X2467" s="8" t="n"/>
      <c r="Y2467" s="8" t="n"/>
    </row>
    <row r="2468">
      <c r="A2468" s="8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9">
        <f>B2468+30</f>
        <v/>
      </c>
      <c r="N2468">
        <f>IF(L2468="", "", L2468-B2468)</f>
        <v/>
      </c>
      <c r="O2468">
        <f>IF(L2468="", "Pending", IF(N2468&lt;=30, "Met", "Breached"))</f>
        <v/>
      </c>
      <c r="P2468" s="8" t="n"/>
      <c r="Q2468" s="8" t="n"/>
      <c r="R2468" s="8" t="n"/>
      <c r="S2468" s="8" t="n"/>
      <c r="T2468" s="8" t="n"/>
      <c r="U2468" s="8" t="n"/>
      <c r="V2468" s="8" t="n"/>
      <c r="W2468" s="8" t="n"/>
      <c r="X2468" s="8" t="n"/>
      <c r="Y2468" s="8" t="n"/>
    </row>
    <row r="2469">
      <c r="A2469" s="8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9">
        <f>B2469+30</f>
        <v/>
      </c>
      <c r="N2469">
        <f>IF(L2469="", "", L2469-B2469)</f>
        <v/>
      </c>
      <c r="O2469">
        <f>IF(L2469="", "Pending", IF(N2469&lt;=30, "Met", "Breached"))</f>
        <v/>
      </c>
      <c r="P2469" s="8" t="n"/>
      <c r="Q2469" s="8" t="n"/>
      <c r="R2469" s="8" t="n"/>
      <c r="S2469" s="8" t="n"/>
      <c r="T2469" s="8" t="n"/>
      <c r="U2469" s="8" t="n"/>
      <c r="V2469" s="8" t="n"/>
      <c r="W2469" s="8" t="n"/>
      <c r="X2469" s="8" t="n"/>
      <c r="Y2469" s="8" t="n"/>
    </row>
    <row r="2470">
      <c r="A2470" s="8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9">
        <f>B2470+30</f>
        <v/>
      </c>
      <c r="N2470">
        <f>IF(L2470="", "", L2470-B2470)</f>
        <v/>
      </c>
      <c r="O2470">
        <f>IF(L2470="", "Pending", IF(N2470&lt;=30, "Met", "Breached"))</f>
        <v/>
      </c>
      <c r="P2470" s="8" t="n"/>
      <c r="Q2470" s="8" t="n"/>
      <c r="R2470" s="8" t="n"/>
      <c r="S2470" s="8" t="n"/>
      <c r="T2470" s="8" t="n"/>
      <c r="U2470" s="8" t="n"/>
      <c r="V2470" s="8" t="n"/>
      <c r="W2470" s="8" t="n"/>
      <c r="X2470" s="8" t="n"/>
      <c r="Y2470" s="8" t="n"/>
    </row>
    <row r="2471">
      <c r="A2471" s="8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9">
        <f>B2471+30</f>
        <v/>
      </c>
      <c r="N2471">
        <f>IF(L2471="", "", L2471-B2471)</f>
        <v/>
      </c>
      <c r="O2471">
        <f>IF(L2471="", "Pending", IF(N2471&lt;=30, "Met", "Breached"))</f>
        <v/>
      </c>
      <c r="P2471" s="8" t="n"/>
      <c r="Q2471" s="8" t="n"/>
      <c r="R2471" s="8" t="n"/>
      <c r="S2471" s="8" t="n"/>
      <c r="T2471" s="8" t="n"/>
      <c r="U2471" s="8" t="n"/>
      <c r="V2471" s="8" t="n"/>
      <c r="W2471" s="8" t="n"/>
      <c r="X2471" s="8" t="n"/>
      <c r="Y2471" s="8" t="n"/>
    </row>
    <row r="2472">
      <c r="A2472" s="8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9">
        <f>B2472+30</f>
        <v/>
      </c>
      <c r="N2472">
        <f>IF(L2472="", "", L2472-B2472)</f>
        <v/>
      </c>
      <c r="O2472">
        <f>IF(L2472="", "Pending", IF(N2472&lt;=30, "Met", "Breached"))</f>
        <v/>
      </c>
      <c r="P2472" s="8" t="n"/>
      <c r="Q2472" s="8" t="n"/>
      <c r="R2472" s="8" t="n"/>
      <c r="S2472" s="8" t="n"/>
      <c r="T2472" s="8" t="n"/>
      <c r="U2472" s="8" t="n"/>
      <c r="V2472" s="8" t="n"/>
      <c r="W2472" s="8" t="n"/>
      <c r="X2472" s="8" t="n"/>
      <c r="Y2472" s="8" t="n"/>
    </row>
    <row r="2473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9">
        <f>B2473+30</f>
        <v/>
      </c>
      <c r="N2473">
        <f>IF(L2473="", "", L2473-B2473)</f>
        <v/>
      </c>
      <c r="O2473">
        <f>IF(L2473="", "Pending", IF(N2473&lt;=30, "Met", "Breached"))</f>
        <v/>
      </c>
      <c r="P2473" s="8" t="n"/>
      <c r="Q2473" s="8" t="n"/>
      <c r="R2473" s="8" t="n"/>
      <c r="S2473" s="8" t="n"/>
      <c r="T2473" s="8" t="n"/>
      <c r="U2473" s="8" t="n"/>
      <c r="V2473" s="8" t="n"/>
      <c r="W2473" s="8" t="n"/>
      <c r="X2473" s="8" t="n"/>
      <c r="Y2473" s="8" t="n"/>
    </row>
    <row r="2474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9">
        <f>B2474+30</f>
        <v/>
      </c>
      <c r="N2474">
        <f>IF(L2474="", "", L2474-B2474)</f>
        <v/>
      </c>
      <c r="O2474">
        <f>IF(L2474="", "Pending", IF(N2474&lt;=30, "Met", "Breached"))</f>
        <v/>
      </c>
      <c r="P2474" s="8" t="n"/>
      <c r="Q2474" s="8" t="n"/>
      <c r="R2474" s="8" t="n"/>
      <c r="S2474" s="8" t="n"/>
      <c r="T2474" s="8" t="n"/>
      <c r="U2474" s="8" t="n"/>
      <c r="V2474" s="8" t="n"/>
      <c r="W2474" s="8" t="n"/>
      <c r="X2474" s="8" t="n"/>
      <c r="Y2474" s="8" t="n"/>
    </row>
    <row r="2475">
      <c r="A2475" s="8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9">
        <f>B2475+30</f>
        <v/>
      </c>
      <c r="N2475">
        <f>IF(L2475="", "", L2475-B2475)</f>
        <v/>
      </c>
      <c r="O2475">
        <f>IF(L2475="", "Pending", IF(N2475&lt;=30, "Met", "Breached"))</f>
        <v/>
      </c>
      <c r="P2475" s="8" t="n"/>
      <c r="Q2475" s="8" t="n"/>
      <c r="R2475" s="8" t="n"/>
      <c r="S2475" s="8" t="n"/>
      <c r="T2475" s="8" t="n"/>
      <c r="U2475" s="8" t="n"/>
      <c r="V2475" s="8" t="n"/>
      <c r="W2475" s="8" t="n"/>
      <c r="X2475" s="8" t="n"/>
      <c r="Y2475" s="8" t="n"/>
    </row>
    <row r="2476">
      <c r="A2476" s="8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9">
        <f>B2476+30</f>
        <v/>
      </c>
      <c r="N2476">
        <f>IF(L2476="", "", L2476-B2476)</f>
        <v/>
      </c>
      <c r="O2476">
        <f>IF(L2476="", "Pending", IF(N2476&lt;=30, "Met", "Breached"))</f>
        <v/>
      </c>
      <c r="P2476" s="8" t="n"/>
      <c r="Q2476" s="8" t="n"/>
      <c r="R2476" s="8" t="n"/>
      <c r="S2476" s="8" t="n"/>
      <c r="T2476" s="8" t="n"/>
      <c r="U2476" s="8" t="n"/>
      <c r="V2476" s="8" t="n"/>
      <c r="W2476" s="8" t="n"/>
      <c r="X2476" s="8" t="n"/>
      <c r="Y2476" s="8" t="n"/>
    </row>
    <row r="2477">
      <c r="A2477" s="8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9">
        <f>B2477+30</f>
        <v/>
      </c>
      <c r="N2477">
        <f>IF(L2477="", "", L2477-B2477)</f>
        <v/>
      </c>
      <c r="O2477">
        <f>IF(L2477="", "Pending", IF(N2477&lt;=30, "Met", "Breached"))</f>
        <v/>
      </c>
      <c r="P2477" s="8" t="n"/>
      <c r="Q2477" s="8" t="n"/>
      <c r="R2477" s="8" t="n"/>
      <c r="S2477" s="8" t="n"/>
      <c r="T2477" s="8" t="n"/>
      <c r="U2477" s="8" t="n"/>
      <c r="V2477" s="8" t="n"/>
      <c r="W2477" s="8" t="n"/>
      <c r="X2477" s="8" t="n"/>
      <c r="Y2477" s="8" t="n"/>
    </row>
    <row r="2478">
      <c r="A2478" s="8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9">
        <f>B2478+30</f>
        <v/>
      </c>
      <c r="N2478">
        <f>IF(L2478="", "", L2478-B2478)</f>
        <v/>
      </c>
      <c r="O2478">
        <f>IF(L2478="", "Pending", IF(N2478&lt;=30, "Met", "Breached"))</f>
        <v/>
      </c>
      <c r="P2478" s="8" t="n"/>
      <c r="Q2478" s="8" t="n"/>
      <c r="R2478" s="8" t="n"/>
      <c r="S2478" s="8" t="n"/>
      <c r="T2478" s="8" t="n"/>
      <c r="U2478" s="8" t="n"/>
      <c r="V2478" s="8" t="n"/>
      <c r="W2478" s="8" t="n"/>
      <c r="X2478" s="8" t="n"/>
      <c r="Y2478" s="8" t="n"/>
    </row>
    <row r="2479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9">
        <f>B2479+30</f>
        <v/>
      </c>
      <c r="N2479">
        <f>IF(L2479="", "", L2479-B2479)</f>
        <v/>
      </c>
      <c r="O2479">
        <f>IF(L2479="", "Pending", IF(N2479&lt;=30, "Met", "Breached"))</f>
        <v/>
      </c>
      <c r="P2479" s="8" t="n"/>
      <c r="Q2479" s="8" t="n"/>
      <c r="R2479" s="8" t="n"/>
      <c r="S2479" s="8" t="n"/>
      <c r="T2479" s="8" t="n"/>
      <c r="U2479" s="8" t="n"/>
      <c r="V2479" s="8" t="n"/>
      <c r="W2479" s="8" t="n"/>
      <c r="X2479" s="8" t="n"/>
      <c r="Y2479" s="8" t="n"/>
    </row>
    <row r="2480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9">
        <f>B2480+30</f>
        <v/>
      </c>
      <c r="N2480">
        <f>IF(L2480="", "", L2480-B2480)</f>
        <v/>
      </c>
      <c r="O2480">
        <f>IF(L2480="", "Pending", IF(N2480&lt;=30, "Met", "Breached"))</f>
        <v/>
      </c>
      <c r="P2480" s="8" t="n"/>
      <c r="Q2480" s="8" t="n"/>
      <c r="R2480" s="8" t="n"/>
      <c r="S2480" s="8" t="n"/>
      <c r="T2480" s="8" t="n"/>
      <c r="U2480" s="8" t="n"/>
      <c r="V2480" s="8" t="n"/>
      <c r="W2480" s="8" t="n"/>
      <c r="X2480" s="8" t="n"/>
      <c r="Y2480" s="8" t="n"/>
    </row>
    <row r="2481">
      <c r="A2481" s="8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9">
        <f>B2481+30</f>
        <v/>
      </c>
      <c r="N2481">
        <f>IF(L2481="", "", L2481-B2481)</f>
        <v/>
      </c>
      <c r="O2481">
        <f>IF(L2481="", "Pending", IF(N2481&lt;=30, "Met", "Breached"))</f>
        <v/>
      </c>
      <c r="P2481" s="8" t="n"/>
      <c r="Q2481" s="8" t="n"/>
      <c r="R2481" s="8" t="n"/>
      <c r="S2481" s="8" t="n"/>
      <c r="T2481" s="8" t="n"/>
      <c r="U2481" s="8" t="n"/>
      <c r="V2481" s="8" t="n"/>
      <c r="W2481" s="8" t="n"/>
      <c r="X2481" s="8" t="n"/>
      <c r="Y2481" s="8" t="n"/>
    </row>
    <row r="2482">
      <c r="A2482" s="8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9">
        <f>B2482+30</f>
        <v/>
      </c>
      <c r="N2482">
        <f>IF(L2482="", "", L2482-B2482)</f>
        <v/>
      </c>
      <c r="O2482">
        <f>IF(L2482="", "Pending", IF(N2482&lt;=30, "Met", "Breached"))</f>
        <v/>
      </c>
      <c r="P2482" s="8" t="n"/>
      <c r="Q2482" s="8" t="n"/>
      <c r="R2482" s="8" t="n"/>
      <c r="S2482" s="8" t="n"/>
      <c r="T2482" s="8" t="n"/>
      <c r="U2482" s="8" t="n"/>
      <c r="V2482" s="8" t="n"/>
      <c r="W2482" s="8" t="n"/>
      <c r="X2482" s="8" t="n"/>
      <c r="Y2482" s="8" t="n"/>
    </row>
    <row r="2483">
      <c r="A2483" s="8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9">
        <f>B2483+30</f>
        <v/>
      </c>
      <c r="N2483">
        <f>IF(L2483="", "", L2483-B2483)</f>
        <v/>
      </c>
      <c r="O2483">
        <f>IF(L2483="", "Pending", IF(N2483&lt;=30, "Met", "Breached"))</f>
        <v/>
      </c>
      <c r="P2483" s="8" t="n"/>
      <c r="Q2483" s="8" t="n"/>
      <c r="R2483" s="8" t="n"/>
      <c r="S2483" s="8" t="n"/>
      <c r="T2483" s="8" t="n"/>
      <c r="U2483" s="8" t="n"/>
      <c r="V2483" s="8" t="n"/>
      <c r="W2483" s="8" t="n"/>
      <c r="X2483" s="8" t="n"/>
      <c r="Y2483" s="8" t="n"/>
    </row>
    <row r="2484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9">
        <f>B2484+30</f>
        <v/>
      </c>
      <c r="N2484">
        <f>IF(L2484="", "", L2484-B2484)</f>
        <v/>
      </c>
      <c r="O2484">
        <f>IF(L2484="", "Pending", IF(N2484&lt;=30, "Met", "Breached"))</f>
        <v/>
      </c>
      <c r="P2484" s="8" t="n"/>
      <c r="Q2484" s="8" t="n"/>
      <c r="R2484" s="8" t="n"/>
      <c r="S2484" s="8" t="n"/>
      <c r="T2484" s="8" t="n"/>
      <c r="U2484" s="8" t="n"/>
      <c r="V2484" s="8" t="n"/>
      <c r="W2484" s="8" t="n"/>
      <c r="X2484" s="8" t="n"/>
      <c r="Y2484" s="8" t="n"/>
    </row>
    <row r="2485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9">
        <f>B2485+30</f>
        <v/>
      </c>
      <c r="N2485">
        <f>IF(L2485="", "", L2485-B2485)</f>
        <v/>
      </c>
      <c r="O2485">
        <f>IF(L2485="", "Pending", IF(N2485&lt;=30, "Met", "Breached"))</f>
        <v/>
      </c>
      <c r="P2485" s="8" t="n"/>
      <c r="Q2485" s="8" t="n"/>
      <c r="R2485" s="8" t="n"/>
      <c r="S2485" s="8" t="n"/>
      <c r="T2485" s="8" t="n"/>
      <c r="U2485" s="8" t="n"/>
      <c r="V2485" s="8" t="n"/>
      <c r="W2485" s="8" t="n"/>
      <c r="X2485" s="8" t="n"/>
      <c r="Y2485" s="8" t="n"/>
    </row>
    <row r="2486">
      <c r="A2486" s="8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9">
        <f>B2486+30</f>
        <v/>
      </c>
      <c r="N2486">
        <f>IF(L2486="", "", L2486-B2486)</f>
        <v/>
      </c>
      <c r="O2486">
        <f>IF(L2486="", "Pending", IF(N2486&lt;=30, "Met", "Breached"))</f>
        <v/>
      </c>
      <c r="P2486" s="8" t="n"/>
      <c r="Q2486" s="8" t="n"/>
      <c r="R2486" s="8" t="n"/>
      <c r="S2486" s="8" t="n"/>
      <c r="T2486" s="8" t="n"/>
      <c r="U2486" s="8" t="n"/>
      <c r="V2486" s="8" t="n"/>
      <c r="W2486" s="8" t="n"/>
      <c r="X2486" s="8" t="n"/>
      <c r="Y2486" s="8" t="n"/>
    </row>
    <row r="2487">
      <c r="A2487" s="8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9">
        <f>B2487+30</f>
        <v/>
      </c>
      <c r="N2487">
        <f>IF(L2487="", "", L2487-B2487)</f>
        <v/>
      </c>
      <c r="O2487">
        <f>IF(L2487="", "Pending", IF(N2487&lt;=30, "Met", "Breached"))</f>
        <v/>
      </c>
      <c r="P2487" s="8" t="n"/>
      <c r="Q2487" s="8" t="n"/>
      <c r="R2487" s="8" t="n"/>
      <c r="S2487" s="8" t="n"/>
      <c r="T2487" s="8" t="n"/>
      <c r="U2487" s="8" t="n"/>
      <c r="V2487" s="8" t="n"/>
      <c r="W2487" s="8" t="n"/>
      <c r="X2487" s="8" t="n"/>
      <c r="Y2487" s="8" t="n"/>
    </row>
    <row r="2488">
      <c r="A2488" s="8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9">
        <f>B2488+30</f>
        <v/>
      </c>
      <c r="N2488">
        <f>IF(L2488="", "", L2488-B2488)</f>
        <v/>
      </c>
      <c r="O2488">
        <f>IF(L2488="", "Pending", IF(N2488&lt;=30, "Met", "Breached"))</f>
        <v/>
      </c>
      <c r="P2488" s="8" t="n"/>
      <c r="Q2488" s="8" t="n"/>
      <c r="R2488" s="8" t="n"/>
      <c r="S2488" s="8" t="n"/>
      <c r="T2488" s="8" t="n"/>
      <c r="U2488" s="8" t="n"/>
      <c r="V2488" s="8" t="n"/>
      <c r="W2488" s="8" t="n"/>
      <c r="X2488" s="8" t="n"/>
      <c r="Y2488" s="8" t="n"/>
    </row>
    <row r="2489">
      <c r="A2489" s="8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9">
        <f>B2489+30</f>
        <v/>
      </c>
      <c r="N2489">
        <f>IF(L2489="", "", L2489-B2489)</f>
        <v/>
      </c>
      <c r="O2489">
        <f>IF(L2489="", "Pending", IF(N2489&lt;=30, "Met", "Breached"))</f>
        <v/>
      </c>
      <c r="P2489" s="8" t="n"/>
      <c r="Q2489" s="8" t="n"/>
      <c r="R2489" s="8" t="n"/>
      <c r="S2489" s="8" t="n"/>
      <c r="T2489" s="8" t="n"/>
      <c r="U2489" s="8" t="n"/>
      <c r="V2489" s="8" t="n"/>
      <c r="W2489" s="8" t="n"/>
      <c r="X2489" s="8" t="n"/>
      <c r="Y2489" s="8" t="n"/>
    </row>
    <row r="2490">
      <c r="A2490" s="8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9">
        <f>B2490+30</f>
        <v/>
      </c>
      <c r="N2490">
        <f>IF(L2490="", "", L2490-B2490)</f>
        <v/>
      </c>
      <c r="O2490">
        <f>IF(L2490="", "Pending", IF(N2490&lt;=30, "Met", "Breached"))</f>
        <v/>
      </c>
      <c r="P2490" s="8" t="n"/>
      <c r="Q2490" s="8" t="n"/>
      <c r="R2490" s="8" t="n"/>
      <c r="S2490" s="8" t="n"/>
      <c r="T2490" s="8" t="n"/>
      <c r="U2490" s="8" t="n"/>
      <c r="V2490" s="8" t="n"/>
      <c r="W2490" s="8" t="n"/>
      <c r="X2490" s="8" t="n"/>
      <c r="Y2490" s="8" t="n"/>
    </row>
    <row r="2491">
      <c r="A2491" s="8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9">
        <f>B2491+30</f>
        <v/>
      </c>
      <c r="N2491">
        <f>IF(L2491="", "", L2491-B2491)</f>
        <v/>
      </c>
      <c r="O2491">
        <f>IF(L2491="", "Pending", IF(N2491&lt;=30, "Met", "Breached"))</f>
        <v/>
      </c>
      <c r="P2491" s="8" t="n"/>
      <c r="Q2491" s="8" t="n"/>
      <c r="R2491" s="8" t="n"/>
      <c r="S2491" s="8" t="n"/>
      <c r="T2491" s="8" t="n"/>
      <c r="U2491" s="8" t="n"/>
      <c r="V2491" s="8" t="n"/>
      <c r="W2491" s="8" t="n"/>
      <c r="X2491" s="8" t="n"/>
      <c r="Y2491" s="8" t="n"/>
    </row>
    <row r="2492">
      <c r="A2492" s="8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9">
        <f>B2492+30</f>
        <v/>
      </c>
      <c r="N2492">
        <f>IF(L2492="", "", L2492-B2492)</f>
        <v/>
      </c>
      <c r="O2492">
        <f>IF(L2492="", "Pending", IF(N2492&lt;=30, "Met", "Breached"))</f>
        <v/>
      </c>
      <c r="P2492" s="8" t="n"/>
      <c r="Q2492" s="8" t="n"/>
      <c r="R2492" s="8" t="n"/>
      <c r="S2492" s="8" t="n"/>
      <c r="T2492" s="8" t="n"/>
      <c r="U2492" s="8" t="n"/>
      <c r="V2492" s="8" t="n"/>
      <c r="W2492" s="8" t="n"/>
      <c r="X2492" s="8" t="n"/>
      <c r="Y2492" s="8" t="n"/>
    </row>
    <row r="2493">
      <c r="A2493" s="8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9">
        <f>B2493+30</f>
        <v/>
      </c>
      <c r="N2493">
        <f>IF(L2493="", "", L2493-B2493)</f>
        <v/>
      </c>
      <c r="O2493">
        <f>IF(L2493="", "Pending", IF(N2493&lt;=30, "Met", "Breached"))</f>
        <v/>
      </c>
      <c r="P2493" s="8" t="n"/>
      <c r="Q2493" s="8" t="n"/>
      <c r="R2493" s="8" t="n"/>
      <c r="S2493" s="8" t="n"/>
      <c r="T2493" s="8" t="n"/>
      <c r="U2493" s="8" t="n"/>
      <c r="V2493" s="8" t="n"/>
      <c r="W2493" s="8" t="n"/>
      <c r="X2493" s="8" t="n"/>
      <c r="Y2493" s="8" t="n"/>
    </row>
    <row r="2494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9">
        <f>B2494+30</f>
        <v/>
      </c>
      <c r="N2494">
        <f>IF(L2494="", "", L2494-B2494)</f>
        <v/>
      </c>
      <c r="O2494">
        <f>IF(L2494="", "Pending", IF(N2494&lt;=30, "Met", "Breached"))</f>
        <v/>
      </c>
      <c r="P2494" s="8" t="n"/>
      <c r="Q2494" s="8" t="n"/>
      <c r="R2494" s="8" t="n"/>
      <c r="S2494" s="8" t="n"/>
      <c r="T2494" s="8" t="n"/>
      <c r="U2494" s="8" t="n"/>
      <c r="V2494" s="8" t="n"/>
      <c r="W2494" s="8" t="n"/>
      <c r="X2494" s="8" t="n"/>
      <c r="Y2494" s="8" t="n"/>
    </row>
    <row r="2495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9">
        <f>B2495+30</f>
        <v/>
      </c>
      <c r="N2495">
        <f>IF(L2495="", "", L2495-B2495)</f>
        <v/>
      </c>
      <c r="O2495">
        <f>IF(L2495="", "Pending", IF(N2495&lt;=30, "Met", "Breached"))</f>
        <v/>
      </c>
      <c r="P2495" s="8" t="n"/>
      <c r="Q2495" s="8" t="n"/>
      <c r="R2495" s="8" t="n"/>
      <c r="S2495" s="8" t="n"/>
      <c r="T2495" s="8" t="n"/>
      <c r="U2495" s="8" t="n"/>
      <c r="V2495" s="8" t="n"/>
      <c r="W2495" s="8" t="n"/>
      <c r="X2495" s="8" t="n"/>
      <c r="Y2495" s="8" t="n"/>
    </row>
    <row r="2496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9">
        <f>B2496+30</f>
        <v/>
      </c>
      <c r="N2496">
        <f>IF(L2496="", "", L2496-B2496)</f>
        <v/>
      </c>
      <c r="O2496">
        <f>IF(L2496="", "Pending", IF(N2496&lt;=30, "Met", "Breached"))</f>
        <v/>
      </c>
      <c r="P2496" s="8" t="n"/>
      <c r="Q2496" s="8" t="n"/>
      <c r="R2496" s="8" t="n"/>
      <c r="S2496" s="8" t="n"/>
      <c r="T2496" s="8" t="n"/>
      <c r="U2496" s="8" t="n"/>
      <c r="V2496" s="8" t="n"/>
      <c r="W2496" s="8" t="n"/>
      <c r="X2496" s="8" t="n"/>
      <c r="Y2496" s="8" t="n"/>
    </row>
    <row r="2497">
      <c r="A2497" s="8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9">
        <f>B2497+30</f>
        <v/>
      </c>
      <c r="N2497">
        <f>IF(L2497="", "", L2497-B2497)</f>
        <v/>
      </c>
      <c r="O2497">
        <f>IF(L2497="", "Pending", IF(N2497&lt;=30, "Met", "Breached"))</f>
        <v/>
      </c>
      <c r="P2497" s="8" t="n"/>
      <c r="Q2497" s="8" t="n"/>
      <c r="R2497" s="8" t="n"/>
      <c r="S2497" s="8" t="n"/>
      <c r="T2497" s="8" t="n"/>
      <c r="U2497" s="8" t="n"/>
      <c r="V2497" s="8" t="n"/>
      <c r="W2497" s="8" t="n"/>
      <c r="X2497" s="8" t="n"/>
      <c r="Y2497" s="8" t="n"/>
    </row>
    <row r="2498">
      <c r="A2498" s="8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9">
        <f>B2498+30</f>
        <v/>
      </c>
      <c r="N2498">
        <f>IF(L2498="", "", L2498-B2498)</f>
        <v/>
      </c>
      <c r="O2498">
        <f>IF(L2498="", "Pending", IF(N2498&lt;=30, "Met", "Breached"))</f>
        <v/>
      </c>
      <c r="P2498" s="8" t="n"/>
      <c r="Q2498" s="8" t="n"/>
      <c r="R2498" s="8" t="n"/>
      <c r="S2498" s="8" t="n"/>
      <c r="T2498" s="8" t="n"/>
      <c r="U2498" s="8" t="n"/>
      <c r="V2498" s="8" t="n"/>
      <c r="W2498" s="8" t="n"/>
      <c r="X2498" s="8" t="n"/>
      <c r="Y2498" s="8" t="n"/>
    </row>
    <row r="2499">
      <c r="A2499" s="8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9">
        <f>B2499+30</f>
        <v/>
      </c>
      <c r="N2499">
        <f>IF(L2499="", "", L2499-B2499)</f>
        <v/>
      </c>
      <c r="O2499">
        <f>IF(L2499="", "Pending", IF(N2499&lt;=30, "Met", "Breached"))</f>
        <v/>
      </c>
      <c r="P2499" s="8" t="n"/>
      <c r="Q2499" s="8" t="n"/>
      <c r="R2499" s="8" t="n"/>
      <c r="S2499" s="8" t="n"/>
      <c r="T2499" s="8" t="n"/>
      <c r="U2499" s="8" t="n"/>
      <c r="V2499" s="8" t="n"/>
      <c r="W2499" s="8" t="n"/>
      <c r="X2499" s="8" t="n"/>
      <c r="Y2499" s="8" t="n"/>
    </row>
    <row r="2500">
      <c r="A2500" s="8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9">
        <f>B2500+30</f>
        <v/>
      </c>
      <c r="N2500">
        <f>IF(L2500="", "", L2500-B2500)</f>
        <v/>
      </c>
      <c r="O2500">
        <f>IF(L2500="", "Pending", IF(N2500&lt;=30, "Met", "Breached"))</f>
        <v/>
      </c>
      <c r="P2500" s="8" t="n"/>
      <c r="Q2500" s="8" t="n"/>
      <c r="R2500" s="8" t="n"/>
      <c r="S2500" s="8" t="n"/>
      <c r="T2500" s="8" t="n"/>
      <c r="U2500" s="8" t="n"/>
      <c r="V2500" s="8" t="n"/>
      <c r="W2500" s="8" t="n"/>
      <c r="X2500" s="8" t="n"/>
      <c r="Y2500" s="8" t="n"/>
    </row>
    <row r="2501">
      <c r="A2501" s="8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9">
        <f>B2501+30</f>
        <v/>
      </c>
      <c r="N2501">
        <f>IF(L2501="", "", L2501-B2501)</f>
        <v/>
      </c>
      <c r="O2501">
        <f>IF(L2501="", "Pending", IF(N2501&lt;=30, "Met", "Breached"))</f>
        <v/>
      </c>
      <c r="P2501" s="8" t="n"/>
      <c r="Q2501" s="8" t="n"/>
      <c r="R2501" s="8" t="n"/>
      <c r="S2501" s="8" t="n"/>
      <c r="T2501" s="8" t="n"/>
      <c r="U2501" s="8" t="n"/>
      <c r="V2501" s="8" t="n"/>
      <c r="W2501" s="8" t="n"/>
      <c r="X2501" s="8" t="n"/>
      <c r="Y2501" s="8" t="n"/>
    </row>
    <row r="2502">
      <c r="A2502" s="8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9">
        <f>B2502+30</f>
        <v/>
      </c>
      <c r="N2502">
        <f>IF(L2502="", "", L2502-B2502)</f>
        <v/>
      </c>
      <c r="O2502">
        <f>IF(L2502="", "Pending", IF(N2502&lt;=30, "Met", "Breached"))</f>
        <v/>
      </c>
      <c r="P2502" s="8" t="n"/>
      <c r="Q2502" s="8" t="n"/>
      <c r="R2502" s="8" t="n"/>
      <c r="S2502" s="8" t="n"/>
      <c r="T2502" s="8" t="n"/>
      <c r="U2502" s="8" t="n"/>
      <c r="V2502" s="8" t="n"/>
      <c r="W2502" s="8" t="n"/>
      <c r="X2502" s="8" t="n"/>
      <c r="Y2502" s="8" t="n"/>
    </row>
    <row r="2503">
      <c r="A2503" s="8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9">
        <f>B2503+30</f>
        <v/>
      </c>
      <c r="N2503">
        <f>IF(L2503="", "", L2503-B2503)</f>
        <v/>
      </c>
      <c r="O2503">
        <f>IF(L2503="", "Pending", IF(N2503&lt;=30, "Met", "Breached"))</f>
        <v/>
      </c>
      <c r="P2503" s="8" t="n"/>
      <c r="Q2503" s="8" t="n"/>
      <c r="R2503" s="8" t="n"/>
      <c r="S2503" s="8" t="n"/>
      <c r="T2503" s="8" t="n"/>
      <c r="U2503" s="8" t="n"/>
      <c r="V2503" s="8" t="n"/>
      <c r="W2503" s="8" t="n"/>
      <c r="X2503" s="8" t="n"/>
      <c r="Y2503" s="8" t="n"/>
    </row>
    <row r="2504">
      <c r="A2504" s="8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9">
        <f>B2504+30</f>
        <v/>
      </c>
      <c r="N2504">
        <f>IF(L2504="", "", L2504-B2504)</f>
        <v/>
      </c>
      <c r="O2504">
        <f>IF(L2504="", "Pending", IF(N2504&lt;=30, "Met", "Breached"))</f>
        <v/>
      </c>
      <c r="P2504" s="8" t="n"/>
      <c r="Q2504" s="8" t="n"/>
      <c r="R2504" s="8" t="n"/>
      <c r="S2504" s="8" t="n"/>
      <c r="T2504" s="8" t="n"/>
      <c r="U2504" s="8" t="n"/>
      <c r="V2504" s="8" t="n"/>
      <c r="W2504" s="8" t="n"/>
      <c r="X2504" s="8" t="n"/>
      <c r="Y2504" s="8" t="n"/>
    </row>
    <row r="2505">
      <c r="A2505" s="8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9">
        <f>B2505+30</f>
        <v/>
      </c>
      <c r="N2505">
        <f>IF(L2505="", "", L2505-B2505)</f>
        <v/>
      </c>
      <c r="O2505">
        <f>IF(L2505="", "Pending", IF(N2505&lt;=30, "Met", "Breached"))</f>
        <v/>
      </c>
      <c r="P2505" s="8" t="n"/>
      <c r="Q2505" s="8" t="n"/>
      <c r="R2505" s="8" t="n"/>
      <c r="S2505" s="8" t="n"/>
      <c r="T2505" s="8" t="n"/>
      <c r="U2505" s="8" t="n"/>
      <c r="V2505" s="8" t="n"/>
      <c r="W2505" s="8" t="n"/>
      <c r="X2505" s="8" t="n"/>
      <c r="Y2505" s="8" t="n"/>
    </row>
    <row r="2506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9">
        <f>B2506+30</f>
        <v/>
      </c>
      <c r="N2506">
        <f>IF(L2506="", "", L2506-B2506)</f>
        <v/>
      </c>
      <c r="O2506">
        <f>IF(L2506="", "Pending", IF(N2506&lt;=30, "Met", "Breached"))</f>
        <v/>
      </c>
      <c r="P2506" s="8" t="n"/>
      <c r="Q2506" s="8" t="n"/>
      <c r="R2506" s="8" t="n"/>
      <c r="S2506" s="8" t="n"/>
      <c r="T2506" s="8" t="n"/>
      <c r="U2506" s="8" t="n"/>
      <c r="V2506" s="8" t="n"/>
      <c r="W2506" s="8" t="n"/>
      <c r="X2506" s="8" t="n"/>
      <c r="Y2506" s="8" t="n"/>
    </row>
    <row r="2507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9">
        <f>B2507+30</f>
        <v/>
      </c>
      <c r="N2507">
        <f>IF(L2507="", "", L2507-B2507)</f>
        <v/>
      </c>
      <c r="O2507">
        <f>IF(L2507="", "Pending", IF(N2507&lt;=30, "Met", "Breached"))</f>
        <v/>
      </c>
      <c r="P2507" s="8" t="n"/>
      <c r="Q2507" s="8" t="n"/>
      <c r="R2507" s="8" t="n"/>
      <c r="S2507" s="8" t="n"/>
      <c r="T2507" s="8" t="n"/>
      <c r="U2507" s="8" t="n"/>
      <c r="V2507" s="8" t="n"/>
      <c r="W2507" s="8" t="n"/>
      <c r="X2507" s="8" t="n"/>
      <c r="Y2507" s="8" t="n"/>
    </row>
    <row r="2508">
      <c r="A2508" s="8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9">
        <f>B2508+30</f>
        <v/>
      </c>
      <c r="N2508">
        <f>IF(L2508="", "", L2508-B2508)</f>
        <v/>
      </c>
      <c r="O2508">
        <f>IF(L2508="", "Pending", IF(N2508&lt;=30, "Met", "Breached"))</f>
        <v/>
      </c>
      <c r="P2508" s="8" t="n"/>
      <c r="Q2508" s="8" t="n"/>
      <c r="R2508" s="8" t="n"/>
      <c r="S2508" s="8" t="n"/>
      <c r="T2508" s="8" t="n"/>
      <c r="U2508" s="8" t="n"/>
      <c r="V2508" s="8" t="n"/>
      <c r="W2508" s="8" t="n"/>
      <c r="X2508" s="8" t="n"/>
      <c r="Y2508" s="8" t="n"/>
    </row>
    <row r="2509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9">
        <f>B2509+30</f>
        <v/>
      </c>
      <c r="N2509">
        <f>IF(L2509="", "", L2509-B2509)</f>
        <v/>
      </c>
      <c r="O2509">
        <f>IF(L2509="", "Pending", IF(N2509&lt;=30, "Met", "Breached"))</f>
        <v/>
      </c>
      <c r="P2509" s="8" t="n"/>
      <c r="Q2509" s="8" t="n"/>
      <c r="R2509" s="8" t="n"/>
      <c r="S2509" s="8" t="n"/>
      <c r="T2509" s="8" t="n"/>
      <c r="U2509" s="8" t="n"/>
      <c r="V2509" s="8" t="n"/>
      <c r="W2509" s="8" t="n"/>
      <c r="X2509" s="8" t="n"/>
      <c r="Y2509" s="8" t="n"/>
    </row>
    <row r="2510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9">
        <f>B2510+30</f>
        <v/>
      </c>
      <c r="N2510">
        <f>IF(L2510="", "", L2510-B2510)</f>
        <v/>
      </c>
      <c r="O2510">
        <f>IF(L2510="", "Pending", IF(N2510&lt;=30, "Met", "Breached"))</f>
        <v/>
      </c>
      <c r="P2510" s="8" t="n"/>
      <c r="Q2510" s="8" t="n"/>
      <c r="R2510" s="8" t="n"/>
      <c r="S2510" s="8" t="n"/>
      <c r="T2510" s="8" t="n"/>
      <c r="U2510" s="8" t="n"/>
      <c r="V2510" s="8" t="n"/>
      <c r="W2510" s="8" t="n"/>
      <c r="X2510" s="8" t="n"/>
      <c r="Y2510" s="8" t="n"/>
    </row>
    <row r="2511">
      <c r="A2511" s="8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9">
        <f>B2511+30</f>
        <v/>
      </c>
      <c r="N2511">
        <f>IF(L2511="", "", L2511-B2511)</f>
        <v/>
      </c>
      <c r="O2511">
        <f>IF(L2511="", "Pending", IF(N2511&lt;=30, "Met", "Breached"))</f>
        <v/>
      </c>
      <c r="P2511" s="8" t="n"/>
      <c r="Q2511" s="8" t="n"/>
      <c r="R2511" s="8" t="n"/>
      <c r="S2511" s="8" t="n"/>
      <c r="T2511" s="8" t="n"/>
      <c r="U2511" s="8" t="n"/>
      <c r="V2511" s="8" t="n"/>
      <c r="W2511" s="8" t="n"/>
      <c r="X2511" s="8" t="n"/>
      <c r="Y2511" s="8" t="n"/>
    </row>
    <row r="2512">
      <c r="A2512" s="8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9">
        <f>B2512+30</f>
        <v/>
      </c>
      <c r="N2512">
        <f>IF(L2512="", "", L2512-B2512)</f>
        <v/>
      </c>
      <c r="O2512">
        <f>IF(L2512="", "Pending", IF(N2512&lt;=30, "Met", "Breached"))</f>
        <v/>
      </c>
      <c r="P2512" s="8" t="n"/>
      <c r="Q2512" s="8" t="n"/>
      <c r="R2512" s="8" t="n"/>
      <c r="S2512" s="8" t="n"/>
      <c r="T2512" s="8" t="n"/>
      <c r="U2512" s="8" t="n"/>
      <c r="V2512" s="8" t="n"/>
      <c r="W2512" s="8" t="n"/>
      <c r="X2512" s="8" t="n"/>
      <c r="Y2512" s="8" t="n"/>
    </row>
    <row r="2513">
      <c r="A2513" s="8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9">
        <f>B2513+30</f>
        <v/>
      </c>
      <c r="N2513">
        <f>IF(L2513="", "", L2513-B2513)</f>
        <v/>
      </c>
      <c r="O2513">
        <f>IF(L2513="", "Pending", IF(N2513&lt;=30, "Met", "Breached"))</f>
        <v/>
      </c>
      <c r="P2513" s="8" t="n"/>
      <c r="Q2513" s="8" t="n"/>
      <c r="R2513" s="8" t="n"/>
      <c r="S2513" s="8" t="n"/>
      <c r="T2513" s="8" t="n"/>
      <c r="U2513" s="8" t="n"/>
      <c r="V2513" s="8" t="n"/>
      <c r="W2513" s="8" t="n"/>
      <c r="X2513" s="8" t="n"/>
      <c r="Y2513" s="8" t="n"/>
    </row>
    <row r="2514">
      <c r="A2514" s="8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9">
        <f>B2514+30</f>
        <v/>
      </c>
      <c r="N2514">
        <f>IF(L2514="", "", L2514-B2514)</f>
        <v/>
      </c>
      <c r="O2514">
        <f>IF(L2514="", "Pending", IF(N2514&lt;=30, "Met", "Breached"))</f>
        <v/>
      </c>
      <c r="P2514" s="8" t="n"/>
      <c r="Q2514" s="8" t="n"/>
      <c r="R2514" s="8" t="n"/>
      <c r="S2514" s="8" t="n"/>
      <c r="T2514" s="8" t="n"/>
      <c r="U2514" s="8" t="n"/>
      <c r="V2514" s="8" t="n"/>
      <c r="W2514" s="8" t="n"/>
      <c r="X2514" s="8" t="n"/>
      <c r="Y2514" s="8" t="n"/>
    </row>
    <row r="2515">
      <c r="A2515" s="8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9">
        <f>B2515+30</f>
        <v/>
      </c>
      <c r="N2515">
        <f>IF(L2515="", "", L2515-B2515)</f>
        <v/>
      </c>
      <c r="O2515">
        <f>IF(L2515="", "Pending", IF(N2515&lt;=30, "Met", "Breached"))</f>
        <v/>
      </c>
      <c r="P2515" s="8" t="n"/>
      <c r="Q2515" s="8" t="n"/>
      <c r="R2515" s="8" t="n"/>
      <c r="S2515" s="8" t="n"/>
      <c r="T2515" s="8" t="n"/>
      <c r="U2515" s="8" t="n"/>
      <c r="V2515" s="8" t="n"/>
      <c r="W2515" s="8" t="n"/>
      <c r="X2515" s="8" t="n"/>
      <c r="Y2515" s="8" t="n"/>
    </row>
    <row r="2516">
      <c r="A2516" s="8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9">
        <f>B2516+30</f>
        <v/>
      </c>
      <c r="N2516">
        <f>IF(L2516="", "", L2516-B2516)</f>
        <v/>
      </c>
      <c r="O2516">
        <f>IF(L2516="", "Pending", IF(N2516&lt;=30, "Met", "Breached"))</f>
        <v/>
      </c>
      <c r="P2516" s="8" t="n"/>
      <c r="Q2516" s="8" t="n"/>
      <c r="R2516" s="8" t="n"/>
      <c r="S2516" s="8" t="n"/>
      <c r="T2516" s="8" t="n"/>
      <c r="U2516" s="8" t="n"/>
      <c r="V2516" s="8" t="n"/>
      <c r="W2516" s="8" t="n"/>
      <c r="X2516" s="8" t="n"/>
      <c r="Y2516" s="8" t="n"/>
    </row>
    <row r="2517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9">
        <f>B2517+30</f>
        <v/>
      </c>
      <c r="N2517">
        <f>IF(L2517="", "", L2517-B2517)</f>
        <v/>
      </c>
      <c r="O2517">
        <f>IF(L2517="", "Pending", IF(N2517&lt;=30, "Met", "Breached"))</f>
        <v/>
      </c>
      <c r="P2517" s="8" t="n"/>
      <c r="Q2517" s="8" t="n"/>
      <c r="R2517" s="8" t="n"/>
      <c r="S2517" s="8" t="n"/>
      <c r="T2517" s="8" t="n"/>
      <c r="U2517" s="8" t="n"/>
      <c r="V2517" s="8" t="n"/>
      <c r="W2517" s="8" t="n"/>
      <c r="X2517" s="8" t="n"/>
      <c r="Y2517" s="8" t="n"/>
    </row>
    <row r="2518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9">
        <f>B2518+30</f>
        <v/>
      </c>
      <c r="N2518">
        <f>IF(L2518="", "", L2518-B2518)</f>
        <v/>
      </c>
      <c r="O2518">
        <f>IF(L2518="", "Pending", IF(N2518&lt;=30, "Met", "Breached"))</f>
        <v/>
      </c>
      <c r="P2518" s="8" t="n"/>
      <c r="Q2518" s="8" t="n"/>
      <c r="R2518" s="8" t="n"/>
      <c r="S2518" s="8" t="n"/>
      <c r="T2518" s="8" t="n"/>
      <c r="U2518" s="8" t="n"/>
      <c r="V2518" s="8" t="n"/>
      <c r="W2518" s="8" t="n"/>
      <c r="X2518" s="8" t="n"/>
      <c r="Y2518" s="8" t="n"/>
    </row>
    <row r="2519">
      <c r="A2519" s="8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9">
        <f>B2519+30</f>
        <v/>
      </c>
      <c r="N2519">
        <f>IF(L2519="", "", L2519-B2519)</f>
        <v/>
      </c>
      <c r="O2519">
        <f>IF(L2519="", "Pending", IF(N2519&lt;=30, "Met", "Breached"))</f>
        <v/>
      </c>
      <c r="P2519" s="8" t="n"/>
      <c r="Q2519" s="8" t="n"/>
      <c r="R2519" s="8" t="n"/>
      <c r="S2519" s="8" t="n"/>
      <c r="T2519" s="8" t="n"/>
      <c r="U2519" s="8" t="n"/>
      <c r="V2519" s="8" t="n"/>
      <c r="W2519" s="8" t="n"/>
      <c r="X2519" s="8" t="n"/>
      <c r="Y2519" s="8" t="n"/>
    </row>
    <row r="2520">
      <c r="A2520" s="8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9">
        <f>B2520+30</f>
        <v/>
      </c>
      <c r="N2520">
        <f>IF(L2520="", "", L2520-B2520)</f>
        <v/>
      </c>
      <c r="O2520">
        <f>IF(L2520="", "Pending", IF(N2520&lt;=30, "Met", "Breached"))</f>
        <v/>
      </c>
      <c r="P2520" s="8" t="n"/>
      <c r="Q2520" s="8" t="n"/>
      <c r="R2520" s="8" t="n"/>
      <c r="S2520" s="8" t="n"/>
      <c r="T2520" s="8" t="n"/>
      <c r="U2520" s="8" t="n"/>
      <c r="V2520" s="8" t="n"/>
      <c r="W2520" s="8" t="n"/>
      <c r="X2520" s="8" t="n"/>
      <c r="Y2520" s="8" t="n"/>
    </row>
    <row r="2521">
      <c r="A2521" s="8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9">
        <f>B2521+30</f>
        <v/>
      </c>
      <c r="N2521">
        <f>IF(L2521="", "", L2521-B2521)</f>
        <v/>
      </c>
      <c r="O2521">
        <f>IF(L2521="", "Pending", IF(N2521&lt;=30, "Met", "Breached"))</f>
        <v/>
      </c>
      <c r="P2521" s="8" t="n"/>
      <c r="Q2521" s="8" t="n"/>
      <c r="R2521" s="8" t="n"/>
      <c r="S2521" s="8" t="n"/>
      <c r="T2521" s="8" t="n"/>
      <c r="U2521" s="8" t="n"/>
      <c r="V2521" s="8" t="n"/>
      <c r="W2521" s="8" t="n"/>
      <c r="X2521" s="8" t="n"/>
      <c r="Y2521" s="8" t="n"/>
    </row>
    <row r="2522">
      <c r="A2522" s="8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9">
        <f>B2522+30</f>
        <v/>
      </c>
      <c r="N2522">
        <f>IF(L2522="", "", L2522-B2522)</f>
        <v/>
      </c>
      <c r="O2522">
        <f>IF(L2522="", "Pending", IF(N2522&lt;=30, "Met", "Breached"))</f>
        <v/>
      </c>
      <c r="P2522" s="8" t="n"/>
      <c r="Q2522" s="8" t="n"/>
      <c r="R2522" s="8" t="n"/>
      <c r="S2522" s="8" t="n"/>
      <c r="T2522" s="8" t="n"/>
      <c r="U2522" s="8" t="n"/>
      <c r="V2522" s="8" t="n"/>
      <c r="W2522" s="8" t="n"/>
      <c r="X2522" s="8" t="n"/>
      <c r="Y2522" s="8" t="n"/>
    </row>
    <row r="2523">
      <c r="A2523" s="8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9">
        <f>B2523+30</f>
        <v/>
      </c>
      <c r="N2523">
        <f>IF(L2523="", "", L2523-B2523)</f>
        <v/>
      </c>
      <c r="O2523">
        <f>IF(L2523="", "Pending", IF(N2523&lt;=30, "Met", "Breached"))</f>
        <v/>
      </c>
      <c r="P2523" s="8" t="n"/>
      <c r="Q2523" s="8" t="n"/>
      <c r="R2523" s="8" t="n"/>
      <c r="S2523" s="8" t="n"/>
      <c r="T2523" s="8" t="n"/>
      <c r="U2523" s="8" t="n"/>
      <c r="V2523" s="8" t="n"/>
      <c r="W2523" s="8" t="n"/>
      <c r="X2523" s="8" t="n"/>
      <c r="Y2523" s="8" t="n"/>
    </row>
    <row r="2524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9">
        <f>B2524+30</f>
        <v/>
      </c>
      <c r="N2524">
        <f>IF(L2524="", "", L2524-B2524)</f>
        <v/>
      </c>
      <c r="O2524">
        <f>IF(L2524="", "Pending", IF(N2524&lt;=30, "Met", "Breached"))</f>
        <v/>
      </c>
      <c r="P2524" s="8" t="n"/>
      <c r="Q2524" s="8" t="n"/>
      <c r="R2524" s="8" t="n"/>
      <c r="S2524" s="8" t="n"/>
      <c r="T2524" s="8" t="n"/>
      <c r="U2524" s="8" t="n"/>
      <c r="V2524" s="8" t="n"/>
      <c r="W2524" s="8" t="n"/>
      <c r="X2524" s="8" t="n"/>
      <c r="Y2524" s="8" t="n"/>
    </row>
    <row r="2525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9">
        <f>B2525+30</f>
        <v/>
      </c>
      <c r="N2525">
        <f>IF(L2525="", "", L2525-B2525)</f>
        <v/>
      </c>
      <c r="O2525">
        <f>IF(L2525="", "Pending", IF(N2525&lt;=30, "Met", "Breached"))</f>
        <v/>
      </c>
      <c r="P2525" s="8" t="n"/>
      <c r="Q2525" s="8" t="n"/>
      <c r="R2525" s="8" t="n"/>
      <c r="S2525" s="8" t="n"/>
      <c r="T2525" s="8" t="n"/>
      <c r="U2525" s="8" t="n"/>
      <c r="V2525" s="8" t="n"/>
      <c r="W2525" s="8" t="n"/>
      <c r="X2525" s="8" t="n"/>
      <c r="Y2525" s="8" t="n"/>
    </row>
    <row r="2526">
      <c r="A2526" s="8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9">
        <f>B2526+30</f>
        <v/>
      </c>
      <c r="N2526">
        <f>IF(L2526="", "", L2526-B2526)</f>
        <v/>
      </c>
      <c r="O2526">
        <f>IF(L2526="", "Pending", IF(N2526&lt;=30, "Met", "Breached"))</f>
        <v/>
      </c>
      <c r="P2526" s="8" t="n"/>
      <c r="Q2526" s="8" t="n"/>
      <c r="R2526" s="8" t="n"/>
      <c r="S2526" s="8" t="n"/>
      <c r="T2526" s="8" t="n"/>
      <c r="U2526" s="8" t="n"/>
      <c r="V2526" s="8" t="n"/>
      <c r="W2526" s="8" t="n"/>
      <c r="X2526" s="8" t="n"/>
      <c r="Y2526" s="8" t="n"/>
    </row>
    <row r="2527">
      <c r="A2527" s="8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9">
        <f>B2527+30</f>
        <v/>
      </c>
      <c r="N2527">
        <f>IF(L2527="", "", L2527-B2527)</f>
        <v/>
      </c>
      <c r="O2527">
        <f>IF(L2527="", "Pending", IF(N2527&lt;=30, "Met", "Breached"))</f>
        <v/>
      </c>
      <c r="P2527" s="8" t="n"/>
      <c r="Q2527" s="8" t="n"/>
      <c r="R2527" s="8" t="n"/>
      <c r="S2527" s="8" t="n"/>
      <c r="T2527" s="8" t="n"/>
      <c r="U2527" s="8" t="n"/>
      <c r="V2527" s="8" t="n"/>
      <c r="W2527" s="8" t="n"/>
      <c r="X2527" s="8" t="n"/>
      <c r="Y2527" s="8" t="n"/>
    </row>
    <row r="2528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9">
        <f>B2528+30</f>
        <v/>
      </c>
      <c r="N2528">
        <f>IF(L2528="", "", L2528-B2528)</f>
        <v/>
      </c>
      <c r="O2528">
        <f>IF(L2528="", "Pending", IF(N2528&lt;=30, "Met", "Breached"))</f>
        <v/>
      </c>
      <c r="P2528" s="8" t="n"/>
      <c r="Q2528" s="8" t="n"/>
      <c r="R2528" s="8" t="n"/>
      <c r="S2528" s="8" t="n"/>
      <c r="T2528" s="8" t="n"/>
      <c r="U2528" s="8" t="n"/>
      <c r="V2528" s="8" t="n"/>
      <c r="W2528" s="8" t="n"/>
      <c r="X2528" s="8" t="n"/>
      <c r="Y2528" s="8" t="n"/>
    </row>
    <row r="2529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9">
        <f>B2529+30</f>
        <v/>
      </c>
      <c r="N2529">
        <f>IF(L2529="", "", L2529-B2529)</f>
        <v/>
      </c>
      <c r="O2529">
        <f>IF(L2529="", "Pending", IF(N2529&lt;=30, "Met", "Breached"))</f>
        <v/>
      </c>
      <c r="P2529" s="8" t="n"/>
      <c r="Q2529" s="8" t="n"/>
      <c r="R2529" s="8" t="n"/>
      <c r="S2529" s="8" t="n"/>
      <c r="T2529" s="8" t="n"/>
      <c r="U2529" s="8" t="n"/>
      <c r="V2529" s="8" t="n"/>
      <c r="W2529" s="8" t="n"/>
      <c r="X2529" s="8" t="n"/>
      <c r="Y2529" s="8" t="n"/>
    </row>
    <row r="2530">
      <c r="A2530" s="8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9">
        <f>B2530+30</f>
        <v/>
      </c>
      <c r="N2530">
        <f>IF(L2530="", "", L2530-B2530)</f>
        <v/>
      </c>
      <c r="O2530">
        <f>IF(L2530="", "Pending", IF(N2530&lt;=30, "Met", "Breached"))</f>
        <v/>
      </c>
      <c r="P2530" s="8" t="n"/>
      <c r="Q2530" s="8" t="n"/>
      <c r="R2530" s="8" t="n"/>
      <c r="S2530" s="8" t="n"/>
      <c r="T2530" s="8" t="n"/>
      <c r="U2530" s="8" t="n"/>
      <c r="V2530" s="8" t="n"/>
      <c r="W2530" s="8" t="n"/>
      <c r="X2530" s="8" t="n"/>
      <c r="Y2530" s="8" t="n"/>
    </row>
    <row r="2531">
      <c r="A2531" s="8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9">
        <f>B2531+30</f>
        <v/>
      </c>
      <c r="N2531">
        <f>IF(L2531="", "", L2531-B2531)</f>
        <v/>
      </c>
      <c r="O2531">
        <f>IF(L2531="", "Pending", IF(N2531&lt;=30, "Met", "Breached"))</f>
        <v/>
      </c>
      <c r="P2531" s="8" t="n"/>
      <c r="Q2531" s="8" t="n"/>
      <c r="R2531" s="8" t="n"/>
      <c r="S2531" s="8" t="n"/>
      <c r="T2531" s="8" t="n"/>
      <c r="U2531" s="8" t="n"/>
      <c r="V2531" s="8" t="n"/>
      <c r="W2531" s="8" t="n"/>
      <c r="X2531" s="8" t="n"/>
      <c r="Y2531" s="8" t="n"/>
    </row>
    <row r="2532">
      <c r="A2532" s="8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9">
        <f>B2532+30</f>
        <v/>
      </c>
      <c r="N2532">
        <f>IF(L2532="", "", L2532-B2532)</f>
        <v/>
      </c>
      <c r="O2532">
        <f>IF(L2532="", "Pending", IF(N2532&lt;=30, "Met", "Breached"))</f>
        <v/>
      </c>
      <c r="P2532" s="8" t="n"/>
      <c r="Q2532" s="8" t="n"/>
      <c r="R2532" s="8" t="n"/>
      <c r="S2532" s="8" t="n"/>
      <c r="T2532" s="8" t="n"/>
      <c r="U2532" s="8" t="n"/>
      <c r="V2532" s="8" t="n"/>
      <c r="W2532" s="8" t="n"/>
      <c r="X2532" s="8" t="n"/>
      <c r="Y2532" s="8" t="n"/>
    </row>
    <row r="2533">
      <c r="A2533" s="8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9">
        <f>B2533+30</f>
        <v/>
      </c>
      <c r="N2533">
        <f>IF(L2533="", "", L2533-B2533)</f>
        <v/>
      </c>
      <c r="O2533">
        <f>IF(L2533="", "Pending", IF(N2533&lt;=30, "Met", "Breached"))</f>
        <v/>
      </c>
      <c r="P2533" s="8" t="n"/>
      <c r="Q2533" s="8" t="n"/>
      <c r="R2533" s="8" t="n"/>
      <c r="S2533" s="8" t="n"/>
      <c r="T2533" s="8" t="n"/>
      <c r="U2533" s="8" t="n"/>
      <c r="V2533" s="8" t="n"/>
      <c r="W2533" s="8" t="n"/>
      <c r="X2533" s="8" t="n"/>
      <c r="Y2533" s="8" t="n"/>
    </row>
    <row r="2534">
      <c r="A2534" s="8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9">
        <f>B2534+30</f>
        <v/>
      </c>
      <c r="N2534">
        <f>IF(L2534="", "", L2534-B2534)</f>
        <v/>
      </c>
      <c r="O2534">
        <f>IF(L2534="", "Pending", IF(N2534&lt;=30, "Met", "Breached"))</f>
        <v/>
      </c>
      <c r="P2534" s="8" t="n"/>
      <c r="Q2534" s="8" t="n"/>
      <c r="R2534" s="8" t="n"/>
      <c r="S2534" s="8" t="n"/>
      <c r="T2534" s="8" t="n"/>
      <c r="U2534" s="8" t="n"/>
      <c r="V2534" s="8" t="n"/>
      <c r="W2534" s="8" t="n"/>
      <c r="X2534" s="8" t="n"/>
      <c r="Y2534" s="8" t="n"/>
    </row>
    <row r="2535">
      <c r="A2535" s="8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9">
        <f>B2535+30</f>
        <v/>
      </c>
      <c r="N2535">
        <f>IF(L2535="", "", L2535-B2535)</f>
        <v/>
      </c>
      <c r="O2535">
        <f>IF(L2535="", "Pending", IF(N2535&lt;=30, "Met", "Breached"))</f>
        <v/>
      </c>
      <c r="P2535" s="8" t="n"/>
      <c r="Q2535" s="8" t="n"/>
      <c r="R2535" s="8" t="n"/>
      <c r="S2535" s="8" t="n"/>
      <c r="T2535" s="8" t="n"/>
      <c r="U2535" s="8" t="n"/>
      <c r="V2535" s="8" t="n"/>
      <c r="W2535" s="8" t="n"/>
      <c r="X2535" s="8" t="n"/>
      <c r="Y2535" s="8" t="n"/>
    </row>
    <row r="2536">
      <c r="A2536" s="8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9">
        <f>B2536+30</f>
        <v/>
      </c>
      <c r="N2536">
        <f>IF(L2536="", "", L2536-B2536)</f>
        <v/>
      </c>
      <c r="O2536">
        <f>IF(L2536="", "Pending", IF(N2536&lt;=30, "Met", "Breached"))</f>
        <v/>
      </c>
      <c r="P2536" s="8" t="n"/>
      <c r="Q2536" s="8" t="n"/>
      <c r="R2536" s="8" t="n"/>
      <c r="S2536" s="8" t="n"/>
      <c r="T2536" s="8" t="n"/>
      <c r="U2536" s="8" t="n"/>
      <c r="V2536" s="8" t="n"/>
      <c r="W2536" s="8" t="n"/>
      <c r="X2536" s="8" t="n"/>
      <c r="Y2536" s="8" t="n"/>
    </row>
    <row r="2537">
      <c r="A2537" s="8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9">
        <f>B2537+30</f>
        <v/>
      </c>
      <c r="N2537">
        <f>IF(L2537="", "", L2537-B2537)</f>
        <v/>
      </c>
      <c r="O2537">
        <f>IF(L2537="", "Pending", IF(N2537&lt;=30, "Met", "Breached"))</f>
        <v/>
      </c>
      <c r="P2537" s="8" t="n"/>
      <c r="Q2537" s="8" t="n"/>
      <c r="R2537" s="8" t="n"/>
      <c r="S2537" s="8" t="n"/>
      <c r="T2537" s="8" t="n"/>
      <c r="U2537" s="8" t="n"/>
      <c r="V2537" s="8" t="n"/>
      <c r="W2537" s="8" t="n"/>
      <c r="X2537" s="8" t="n"/>
      <c r="Y2537" s="8" t="n"/>
    </row>
    <row r="2538">
      <c r="A2538" s="8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9">
        <f>B2538+30</f>
        <v/>
      </c>
      <c r="N2538">
        <f>IF(L2538="", "", L2538-B2538)</f>
        <v/>
      </c>
      <c r="O2538">
        <f>IF(L2538="", "Pending", IF(N2538&lt;=30, "Met", "Breached"))</f>
        <v/>
      </c>
      <c r="P2538" s="8" t="n"/>
      <c r="Q2538" s="8" t="n"/>
      <c r="R2538" s="8" t="n"/>
      <c r="S2538" s="8" t="n"/>
      <c r="T2538" s="8" t="n"/>
      <c r="U2538" s="8" t="n"/>
      <c r="V2538" s="8" t="n"/>
      <c r="W2538" s="8" t="n"/>
      <c r="X2538" s="8" t="n"/>
      <c r="Y2538" s="8" t="n"/>
    </row>
    <row r="253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9">
        <f>B2539+30</f>
        <v/>
      </c>
      <c r="N2539">
        <f>IF(L2539="", "", L2539-B2539)</f>
        <v/>
      </c>
      <c r="O2539">
        <f>IF(L2539="", "Pending", IF(N2539&lt;=30, "Met", "Breached"))</f>
        <v/>
      </c>
      <c r="P2539" s="8" t="n"/>
      <c r="Q2539" s="8" t="n"/>
      <c r="R2539" s="8" t="n"/>
      <c r="S2539" s="8" t="n"/>
      <c r="T2539" s="8" t="n"/>
      <c r="U2539" s="8" t="n"/>
      <c r="V2539" s="8" t="n"/>
      <c r="W2539" s="8" t="n"/>
      <c r="X2539" s="8" t="n"/>
      <c r="Y2539" s="8" t="n"/>
    </row>
    <row r="2540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9">
        <f>B2540+30</f>
        <v/>
      </c>
      <c r="N2540">
        <f>IF(L2540="", "", L2540-B2540)</f>
        <v/>
      </c>
      <c r="O2540">
        <f>IF(L2540="", "Pending", IF(N2540&lt;=30, "Met", "Breached"))</f>
        <v/>
      </c>
      <c r="P2540" s="8" t="n"/>
      <c r="Q2540" s="8" t="n"/>
      <c r="R2540" s="8" t="n"/>
      <c r="S2540" s="8" t="n"/>
      <c r="T2540" s="8" t="n"/>
      <c r="U2540" s="8" t="n"/>
      <c r="V2540" s="8" t="n"/>
      <c r="W2540" s="8" t="n"/>
      <c r="X2540" s="8" t="n"/>
      <c r="Y2540" s="8" t="n"/>
    </row>
    <row r="2541">
      <c r="A2541" s="8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9">
        <f>B2541+30</f>
        <v/>
      </c>
      <c r="N2541">
        <f>IF(L2541="", "", L2541-B2541)</f>
        <v/>
      </c>
      <c r="O2541">
        <f>IF(L2541="", "Pending", IF(N2541&lt;=30, "Met", "Breached"))</f>
        <v/>
      </c>
      <c r="P2541" s="8" t="n"/>
      <c r="Q2541" s="8" t="n"/>
      <c r="R2541" s="8" t="n"/>
      <c r="S2541" s="8" t="n"/>
      <c r="T2541" s="8" t="n"/>
      <c r="U2541" s="8" t="n"/>
      <c r="V2541" s="8" t="n"/>
      <c r="W2541" s="8" t="n"/>
      <c r="X2541" s="8" t="n"/>
      <c r="Y2541" s="8" t="n"/>
    </row>
    <row r="2542">
      <c r="A2542" s="8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9">
        <f>B2542+30</f>
        <v/>
      </c>
      <c r="N2542">
        <f>IF(L2542="", "", L2542-B2542)</f>
        <v/>
      </c>
      <c r="O2542">
        <f>IF(L2542="", "Pending", IF(N2542&lt;=30, "Met", "Breached"))</f>
        <v/>
      </c>
      <c r="P2542" s="8" t="n"/>
      <c r="Q2542" s="8" t="n"/>
      <c r="R2542" s="8" t="n"/>
      <c r="S2542" s="8" t="n"/>
      <c r="T2542" s="8" t="n"/>
      <c r="U2542" s="8" t="n"/>
      <c r="V2542" s="8" t="n"/>
      <c r="W2542" s="8" t="n"/>
      <c r="X2542" s="8" t="n"/>
      <c r="Y2542" s="8" t="n"/>
    </row>
    <row r="2543">
      <c r="A2543" s="8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9">
        <f>B2543+30</f>
        <v/>
      </c>
      <c r="N2543">
        <f>IF(L2543="", "", L2543-B2543)</f>
        <v/>
      </c>
      <c r="O2543">
        <f>IF(L2543="", "Pending", IF(N2543&lt;=30, "Met", "Breached"))</f>
        <v/>
      </c>
      <c r="P2543" s="8" t="n"/>
      <c r="Q2543" s="8" t="n"/>
      <c r="R2543" s="8" t="n"/>
      <c r="S2543" s="8" t="n"/>
      <c r="T2543" s="8" t="n"/>
      <c r="U2543" s="8" t="n"/>
      <c r="V2543" s="8" t="n"/>
      <c r="W2543" s="8" t="n"/>
      <c r="X2543" s="8" t="n"/>
      <c r="Y2543" s="8" t="n"/>
    </row>
    <row r="2544">
      <c r="A2544" s="8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9">
        <f>B2544+30</f>
        <v/>
      </c>
      <c r="N2544">
        <f>IF(L2544="", "", L2544-B2544)</f>
        <v/>
      </c>
      <c r="O2544">
        <f>IF(L2544="", "Pending", IF(N2544&lt;=30, "Met", "Breached"))</f>
        <v/>
      </c>
      <c r="P2544" s="8" t="n"/>
      <c r="Q2544" s="8" t="n"/>
      <c r="R2544" s="8" t="n"/>
      <c r="S2544" s="8" t="n"/>
      <c r="T2544" s="8" t="n"/>
      <c r="U2544" s="8" t="n"/>
      <c r="V2544" s="8" t="n"/>
      <c r="W2544" s="8" t="n"/>
      <c r="X2544" s="8" t="n"/>
      <c r="Y2544" s="8" t="n"/>
    </row>
    <row r="2545">
      <c r="A2545" s="8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9">
        <f>B2545+30</f>
        <v/>
      </c>
      <c r="N2545">
        <f>IF(L2545="", "", L2545-B2545)</f>
        <v/>
      </c>
      <c r="O2545">
        <f>IF(L2545="", "Pending", IF(N2545&lt;=30, "Met", "Breached"))</f>
        <v/>
      </c>
      <c r="P2545" s="8" t="n"/>
      <c r="Q2545" s="8" t="n"/>
      <c r="R2545" s="8" t="n"/>
      <c r="S2545" s="8" t="n"/>
      <c r="T2545" s="8" t="n"/>
      <c r="U2545" s="8" t="n"/>
      <c r="V2545" s="8" t="n"/>
      <c r="W2545" s="8" t="n"/>
      <c r="X2545" s="8" t="n"/>
      <c r="Y2545" s="8" t="n"/>
    </row>
    <row r="2546">
      <c r="A2546" s="8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9">
        <f>B2546+30</f>
        <v/>
      </c>
      <c r="N2546">
        <f>IF(L2546="", "", L2546-B2546)</f>
        <v/>
      </c>
      <c r="O2546">
        <f>IF(L2546="", "Pending", IF(N2546&lt;=30, "Met", "Breached"))</f>
        <v/>
      </c>
      <c r="P2546" s="8" t="n"/>
      <c r="Q2546" s="8" t="n"/>
      <c r="R2546" s="8" t="n"/>
      <c r="S2546" s="8" t="n"/>
      <c r="T2546" s="8" t="n"/>
      <c r="U2546" s="8" t="n"/>
      <c r="V2546" s="8" t="n"/>
      <c r="W2546" s="8" t="n"/>
      <c r="X2546" s="8" t="n"/>
      <c r="Y2546" s="8" t="n"/>
    </row>
    <row r="2547">
      <c r="A2547" s="8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9">
        <f>B2547+30</f>
        <v/>
      </c>
      <c r="N2547">
        <f>IF(L2547="", "", L2547-B2547)</f>
        <v/>
      </c>
      <c r="O2547">
        <f>IF(L2547="", "Pending", IF(N2547&lt;=30, "Met", "Breached"))</f>
        <v/>
      </c>
      <c r="P2547" s="8" t="n"/>
      <c r="Q2547" s="8" t="n"/>
      <c r="R2547" s="8" t="n"/>
      <c r="S2547" s="8" t="n"/>
      <c r="T2547" s="8" t="n"/>
      <c r="U2547" s="8" t="n"/>
      <c r="V2547" s="8" t="n"/>
      <c r="W2547" s="8" t="n"/>
      <c r="X2547" s="8" t="n"/>
      <c r="Y2547" s="8" t="n"/>
    </row>
    <row r="2548">
      <c r="A2548" s="8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9">
        <f>B2548+30</f>
        <v/>
      </c>
      <c r="N2548">
        <f>IF(L2548="", "", L2548-B2548)</f>
        <v/>
      </c>
      <c r="O2548">
        <f>IF(L2548="", "Pending", IF(N2548&lt;=30, "Met", "Breached"))</f>
        <v/>
      </c>
      <c r="P2548" s="8" t="n"/>
      <c r="Q2548" s="8" t="n"/>
      <c r="R2548" s="8" t="n"/>
      <c r="S2548" s="8" t="n"/>
      <c r="T2548" s="8" t="n"/>
      <c r="U2548" s="8" t="n"/>
      <c r="V2548" s="8" t="n"/>
      <c r="W2548" s="8" t="n"/>
      <c r="X2548" s="8" t="n"/>
      <c r="Y2548" s="8" t="n"/>
    </row>
    <row r="2549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9">
        <f>B2549+30</f>
        <v/>
      </c>
      <c r="N2549">
        <f>IF(L2549="", "", L2549-B2549)</f>
        <v/>
      </c>
      <c r="O2549">
        <f>IF(L2549="", "Pending", IF(N2549&lt;=30, "Met", "Breached"))</f>
        <v/>
      </c>
      <c r="P2549" s="8" t="n"/>
      <c r="Q2549" s="8" t="n"/>
      <c r="R2549" s="8" t="n"/>
      <c r="S2549" s="8" t="n"/>
      <c r="T2549" s="8" t="n"/>
      <c r="U2549" s="8" t="n"/>
      <c r="V2549" s="8" t="n"/>
      <c r="W2549" s="8" t="n"/>
      <c r="X2549" s="8" t="n"/>
      <c r="Y2549" s="8" t="n"/>
    </row>
    <row r="2550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9">
        <f>B2550+30</f>
        <v/>
      </c>
      <c r="N2550">
        <f>IF(L2550="", "", L2550-B2550)</f>
        <v/>
      </c>
      <c r="O2550">
        <f>IF(L2550="", "Pending", IF(N2550&lt;=30, "Met", "Breached"))</f>
        <v/>
      </c>
      <c r="P2550" s="8" t="n"/>
      <c r="Q2550" s="8" t="n"/>
      <c r="R2550" s="8" t="n"/>
      <c r="S2550" s="8" t="n"/>
      <c r="T2550" s="8" t="n"/>
      <c r="U2550" s="8" t="n"/>
      <c r="V2550" s="8" t="n"/>
      <c r="W2550" s="8" t="n"/>
      <c r="X2550" s="8" t="n"/>
      <c r="Y2550" s="8" t="n"/>
    </row>
    <row r="2551">
      <c r="A2551" s="8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9">
        <f>B2551+30</f>
        <v/>
      </c>
      <c r="N2551">
        <f>IF(L2551="", "", L2551-B2551)</f>
        <v/>
      </c>
      <c r="O2551">
        <f>IF(L2551="", "Pending", IF(N2551&lt;=30, "Met", "Breached"))</f>
        <v/>
      </c>
      <c r="P2551" s="8" t="n"/>
      <c r="Q2551" s="8" t="n"/>
      <c r="R2551" s="8" t="n"/>
      <c r="S2551" s="8" t="n"/>
      <c r="T2551" s="8" t="n"/>
      <c r="U2551" s="8" t="n"/>
      <c r="V2551" s="8" t="n"/>
      <c r="W2551" s="8" t="n"/>
      <c r="X2551" s="8" t="n"/>
      <c r="Y2551" s="8" t="n"/>
    </row>
    <row r="2552">
      <c r="A2552" s="8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9">
        <f>B2552+30</f>
        <v/>
      </c>
      <c r="N2552">
        <f>IF(L2552="", "", L2552-B2552)</f>
        <v/>
      </c>
      <c r="O2552">
        <f>IF(L2552="", "Pending", IF(N2552&lt;=30, "Met", "Breached"))</f>
        <v/>
      </c>
      <c r="P2552" s="8" t="n"/>
      <c r="Q2552" s="8" t="n"/>
      <c r="R2552" s="8" t="n"/>
      <c r="S2552" s="8" t="n"/>
      <c r="T2552" s="8" t="n"/>
      <c r="U2552" s="8" t="n"/>
      <c r="V2552" s="8" t="n"/>
      <c r="W2552" s="8" t="n"/>
      <c r="X2552" s="8" t="n"/>
      <c r="Y2552" s="8" t="n"/>
    </row>
    <row r="2553">
      <c r="A2553" s="8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9">
        <f>B2553+30</f>
        <v/>
      </c>
      <c r="N2553">
        <f>IF(L2553="", "", L2553-B2553)</f>
        <v/>
      </c>
      <c r="O2553">
        <f>IF(L2553="", "Pending", IF(N2553&lt;=30, "Met", "Breached"))</f>
        <v/>
      </c>
      <c r="P2553" s="8" t="n"/>
      <c r="Q2553" s="8" t="n"/>
      <c r="R2553" s="8" t="n"/>
      <c r="S2553" s="8" t="n"/>
      <c r="T2553" s="8" t="n"/>
      <c r="U2553" s="8" t="n"/>
      <c r="V2553" s="8" t="n"/>
      <c r="W2553" s="8" t="n"/>
      <c r="X2553" s="8" t="n"/>
      <c r="Y2553" s="8" t="n"/>
    </row>
    <row r="2554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9">
        <f>B2554+30</f>
        <v/>
      </c>
      <c r="N2554">
        <f>IF(L2554="", "", L2554-B2554)</f>
        <v/>
      </c>
      <c r="O2554">
        <f>IF(L2554="", "Pending", IF(N2554&lt;=30, "Met", "Breached"))</f>
        <v/>
      </c>
      <c r="P2554" s="8" t="n"/>
      <c r="Q2554" s="8" t="n"/>
      <c r="R2554" s="8" t="n"/>
      <c r="S2554" s="8" t="n"/>
      <c r="T2554" s="8" t="n"/>
      <c r="U2554" s="8" t="n"/>
      <c r="V2554" s="8" t="n"/>
      <c r="W2554" s="8" t="n"/>
      <c r="X2554" s="8" t="n"/>
      <c r="Y2554" s="8" t="n"/>
    </row>
    <row r="2555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9">
        <f>B2555+30</f>
        <v/>
      </c>
      <c r="N2555">
        <f>IF(L2555="", "", L2555-B2555)</f>
        <v/>
      </c>
      <c r="O2555">
        <f>IF(L2555="", "Pending", IF(N2555&lt;=30, "Met", "Breached"))</f>
        <v/>
      </c>
      <c r="P2555" s="8" t="n"/>
      <c r="Q2555" s="8" t="n"/>
      <c r="R2555" s="8" t="n"/>
      <c r="S2555" s="8" t="n"/>
      <c r="T2555" s="8" t="n"/>
      <c r="U2555" s="8" t="n"/>
      <c r="V2555" s="8" t="n"/>
      <c r="W2555" s="8" t="n"/>
      <c r="X2555" s="8" t="n"/>
      <c r="Y2555" s="8" t="n"/>
    </row>
    <row r="2556">
      <c r="A2556" s="8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9">
        <f>B2556+30</f>
        <v/>
      </c>
      <c r="N2556">
        <f>IF(L2556="", "", L2556-B2556)</f>
        <v/>
      </c>
      <c r="O2556">
        <f>IF(L2556="", "Pending", IF(N2556&lt;=30, "Met", "Breached"))</f>
        <v/>
      </c>
      <c r="P2556" s="8" t="n"/>
      <c r="Q2556" s="8" t="n"/>
      <c r="R2556" s="8" t="n"/>
      <c r="S2556" s="8" t="n"/>
      <c r="T2556" s="8" t="n"/>
      <c r="U2556" s="8" t="n"/>
      <c r="V2556" s="8" t="n"/>
      <c r="W2556" s="8" t="n"/>
      <c r="X2556" s="8" t="n"/>
      <c r="Y2556" s="8" t="n"/>
    </row>
    <row r="2557">
      <c r="A2557" s="8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9">
        <f>B2557+30</f>
        <v/>
      </c>
      <c r="N2557">
        <f>IF(L2557="", "", L2557-B2557)</f>
        <v/>
      </c>
      <c r="O2557">
        <f>IF(L2557="", "Pending", IF(N2557&lt;=30, "Met", "Breached"))</f>
        <v/>
      </c>
      <c r="P2557" s="8" t="n"/>
      <c r="Q2557" s="8" t="n"/>
      <c r="R2557" s="8" t="n"/>
      <c r="S2557" s="8" t="n"/>
      <c r="T2557" s="8" t="n"/>
      <c r="U2557" s="8" t="n"/>
      <c r="V2557" s="8" t="n"/>
      <c r="W2557" s="8" t="n"/>
      <c r="X2557" s="8" t="n"/>
      <c r="Y2557" s="8" t="n"/>
    </row>
    <row r="2558">
      <c r="A2558" s="8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9">
        <f>B2558+30</f>
        <v/>
      </c>
      <c r="N2558">
        <f>IF(L2558="", "", L2558-B2558)</f>
        <v/>
      </c>
      <c r="O2558">
        <f>IF(L2558="", "Pending", IF(N2558&lt;=30, "Met", "Breached"))</f>
        <v/>
      </c>
      <c r="P2558" s="8" t="n"/>
      <c r="Q2558" s="8" t="n"/>
      <c r="R2558" s="8" t="n"/>
      <c r="S2558" s="8" t="n"/>
      <c r="T2558" s="8" t="n"/>
      <c r="U2558" s="8" t="n"/>
      <c r="V2558" s="8" t="n"/>
      <c r="W2558" s="8" t="n"/>
      <c r="X2558" s="8" t="n"/>
      <c r="Y2558" s="8" t="n"/>
    </row>
    <row r="2559">
      <c r="A2559" s="8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9">
        <f>B2559+30</f>
        <v/>
      </c>
      <c r="N2559">
        <f>IF(L2559="", "", L2559-B2559)</f>
        <v/>
      </c>
      <c r="O2559">
        <f>IF(L2559="", "Pending", IF(N2559&lt;=30, "Met", "Breached"))</f>
        <v/>
      </c>
      <c r="P2559" s="8" t="n"/>
      <c r="Q2559" s="8" t="n"/>
      <c r="R2559" s="8" t="n"/>
      <c r="S2559" s="8" t="n"/>
      <c r="T2559" s="8" t="n"/>
      <c r="U2559" s="8" t="n"/>
      <c r="V2559" s="8" t="n"/>
      <c r="W2559" s="8" t="n"/>
      <c r="X2559" s="8" t="n"/>
      <c r="Y2559" s="8" t="n"/>
    </row>
    <row r="2560">
      <c r="A2560" s="8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9">
        <f>B2560+30</f>
        <v/>
      </c>
      <c r="N2560">
        <f>IF(L2560="", "", L2560-B2560)</f>
        <v/>
      </c>
      <c r="O2560">
        <f>IF(L2560="", "Pending", IF(N2560&lt;=30, "Met", "Breached"))</f>
        <v/>
      </c>
      <c r="P2560" s="8" t="n"/>
      <c r="Q2560" s="8" t="n"/>
      <c r="R2560" s="8" t="n"/>
      <c r="S2560" s="8" t="n"/>
      <c r="T2560" s="8" t="n"/>
      <c r="U2560" s="8" t="n"/>
      <c r="V2560" s="8" t="n"/>
      <c r="W2560" s="8" t="n"/>
      <c r="X2560" s="8" t="n"/>
      <c r="Y2560" s="8" t="n"/>
    </row>
    <row r="2561">
      <c r="A2561" s="8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9">
        <f>B2561+30</f>
        <v/>
      </c>
      <c r="N2561">
        <f>IF(L2561="", "", L2561-B2561)</f>
        <v/>
      </c>
      <c r="O2561">
        <f>IF(L2561="", "Pending", IF(N2561&lt;=30, "Met", "Breached"))</f>
        <v/>
      </c>
      <c r="P2561" s="8" t="n"/>
      <c r="Q2561" s="8" t="n"/>
      <c r="R2561" s="8" t="n"/>
      <c r="S2561" s="8" t="n"/>
      <c r="T2561" s="8" t="n"/>
      <c r="U2561" s="8" t="n"/>
      <c r="V2561" s="8" t="n"/>
      <c r="W2561" s="8" t="n"/>
      <c r="X2561" s="8" t="n"/>
      <c r="Y2561" s="8" t="n"/>
    </row>
    <row r="2562">
      <c r="A2562" s="8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9">
        <f>B2562+30</f>
        <v/>
      </c>
      <c r="N2562">
        <f>IF(L2562="", "", L2562-B2562)</f>
        <v/>
      </c>
      <c r="O2562">
        <f>IF(L2562="", "Pending", IF(N2562&lt;=30, "Met", "Breached"))</f>
        <v/>
      </c>
      <c r="P2562" s="8" t="n"/>
      <c r="Q2562" s="8" t="n"/>
      <c r="R2562" s="8" t="n"/>
      <c r="S2562" s="8" t="n"/>
      <c r="T2562" s="8" t="n"/>
      <c r="U2562" s="8" t="n"/>
      <c r="V2562" s="8" t="n"/>
      <c r="W2562" s="8" t="n"/>
      <c r="X2562" s="8" t="n"/>
      <c r="Y2562" s="8" t="n"/>
    </row>
    <row r="2563">
      <c r="A2563" s="8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9">
        <f>B2563+30</f>
        <v/>
      </c>
      <c r="N2563">
        <f>IF(L2563="", "", L2563-B2563)</f>
        <v/>
      </c>
      <c r="O2563">
        <f>IF(L2563="", "Pending", IF(N2563&lt;=30, "Met", "Breached"))</f>
        <v/>
      </c>
      <c r="P2563" s="8" t="n"/>
      <c r="Q2563" s="8" t="n"/>
      <c r="R2563" s="8" t="n"/>
      <c r="S2563" s="8" t="n"/>
      <c r="T2563" s="8" t="n"/>
      <c r="U2563" s="8" t="n"/>
      <c r="V2563" s="8" t="n"/>
      <c r="W2563" s="8" t="n"/>
      <c r="X2563" s="8" t="n"/>
      <c r="Y2563" s="8" t="n"/>
    </row>
    <row r="2564">
      <c r="A2564" s="8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9">
        <f>B2564+30</f>
        <v/>
      </c>
      <c r="N2564">
        <f>IF(L2564="", "", L2564-B2564)</f>
        <v/>
      </c>
      <c r="O2564">
        <f>IF(L2564="", "Pending", IF(N2564&lt;=30, "Met", "Breached"))</f>
        <v/>
      </c>
      <c r="P2564" s="8" t="n"/>
      <c r="Q2564" s="8" t="n"/>
      <c r="R2564" s="8" t="n"/>
      <c r="S2564" s="8" t="n"/>
      <c r="T2564" s="8" t="n"/>
      <c r="U2564" s="8" t="n"/>
      <c r="V2564" s="8" t="n"/>
      <c r="W2564" s="8" t="n"/>
      <c r="X2564" s="8" t="n"/>
      <c r="Y2564" s="8" t="n"/>
    </row>
    <row r="2565">
      <c r="A2565" s="8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9">
        <f>B2565+30</f>
        <v/>
      </c>
      <c r="N2565">
        <f>IF(L2565="", "", L2565-B2565)</f>
        <v/>
      </c>
      <c r="O2565">
        <f>IF(L2565="", "Pending", IF(N2565&lt;=30, "Met", "Breached"))</f>
        <v/>
      </c>
      <c r="P2565" s="8" t="n"/>
      <c r="Q2565" s="8" t="n"/>
      <c r="R2565" s="8" t="n"/>
      <c r="S2565" s="8" t="n"/>
      <c r="T2565" s="8" t="n"/>
      <c r="U2565" s="8" t="n"/>
      <c r="V2565" s="8" t="n"/>
      <c r="W2565" s="8" t="n"/>
      <c r="X2565" s="8" t="n"/>
      <c r="Y2565" s="8" t="n"/>
    </row>
    <row r="2566">
      <c r="A2566" s="8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9">
        <f>B2566+30</f>
        <v/>
      </c>
      <c r="N2566">
        <f>IF(L2566="", "", L2566-B2566)</f>
        <v/>
      </c>
      <c r="O2566">
        <f>IF(L2566="", "Pending", IF(N2566&lt;=30, "Met", "Breached"))</f>
        <v/>
      </c>
      <c r="P2566" s="8" t="n"/>
      <c r="Q2566" s="8" t="n"/>
      <c r="R2566" s="8" t="n"/>
      <c r="S2566" s="8" t="n"/>
      <c r="T2566" s="8" t="n"/>
      <c r="U2566" s="8" t="n"/>
      <c r="V2566" s="8" t="n"/>
      <c r="W2566" s="8" t="n"/>
      <c r="X2566" s="8" t="n"/>
      <c r="Y2566" s="8" t="n"/>
    </row>
    <row r="2567">
      <c r="A2567" s="8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9">
        <f>B2567+30</f>
        <v/>
      </c>
      <c r="N2567">
        <f>IF(L2567="", "", L2567-B2567)</f>
        <v/>
      </c>
      <c r="O2567">
        <f>IF(L2567="", "Pending", IF(N2567&lt;=30, "Met", "Breached"))</f>
        <v/>
      </c>
      <c r="P2567" s="8" t="n"/>
      <c r="Q2567" s="8" t="n"/>
      <c r="R2567" s="8" t="n"/>
      <c r="S2567" s="8" t="n"/>
      <c r="T2567" s="8" t="n"/>
      <c r="U2567" s="8" t="n"/>
      <c r="V2567" s="8" t="n"/>
      <c r="W2567" s="8" t="n"/>
      <c r="X2567" s="8" t="n"/>
      <c r="Y2567" s="8" t="n"/>
    </row>
    <row r="2568">
      <c r="A2568" s="8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9">
        <f>B2568+30</f>
        <v/>
      </c>
      <c r="N2568">
        <f>IF(L2568="", "", L2568-B2568)</f>
        <v/>
      </c>
      <c r="O2568">
        <f>IF(L2568="", "Pending", IF(N2568&lt;=30, "Met", "Breached"))</f>
        <v/>
      </c>
      <c r="P2568" s="8" t="n"/>
      <c r="Q2568" s="8" t="n"/>
      <c r="R2568" s="8" t="n"/>
      <c r="S2568" s="8" t="n"/>
      <c r="T2568" s="8" t="n"/>
      <c r="U2568" s="8" t="n"/>
      <c r="V2568" s="8" t="n"/>
      <c r="W2568" s="8" t="n"/>
      <c r="X2568" s="8" t="n"/>
      <c r="Y2568" s="8" t="n"/>
    </row>
    <row r="2569">
      <c r="A2569" s="8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9">
        <f>B2569+30</f>
        <v/>
      </c>
      <c r="N2569">
        <f>IF(L2569="", "", L2569-B2569)</f>
        <v/>
      </c>
      <c r="O2569">
        <f>IF(L2569="", "Pending", IF(N2569&lt;=30, "Met", "Breached"))</f>
        <v/>
      </c>
      <c r="P2569" s="8" t="n"/>
      <c r="Q2569" s="8" t="n"/>
      <c r="R2569" s="8" t="n"/>
      <c r="S2569" s="8" t="n"/>
      <c r="T2569" s="8" t="n"/>
      <c r="U2569" s="8" t="n"/>
      <c r="V2569" s="8" t="n"/>
      <c r="W2569" s="8" t="n"/>
      <c r="X2569" s="8" t="n"/>
      <c r="Y2569" s="8" t="n"/>
    </row>
    <row r="2570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9">
        <f>B2570+30</f>
        <v/>
      </c>
      <c r="N2570">
        <f>IF(L2570="", "", L2570-B2570)</f>
        <v/>
      </c>
      <c r="O2570">
        <f>IF(L2570="", "Pending", IF(N2570&lt;=30, "Met", "Breached"))</f>
        <v/>
      </c>
      <c r="P2570" s="8" t="n"/>
      <c r="Q2570" s="8" t="n"/>
      <c r="R2570" s="8" t="n"/>
      <c r="S2570" s="8" t="n"/>
      <c r="T2570" s="8" t="n"/>
      <c r="U2570" s="8" t="n"/>
      <c r="V2570" s="8" t="n"/>
      <c r="W2570" s="8" t="n"/>
      <c r="X2570" s="8" t="n"/>
      <c r="Y2570" s="8" t="n"/>
    </row>
    <row r="2571">
      <c r="A2571" s="8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9">
        <f>B2571+30</f>
        <v/>
      </c>
      <c r="N2571">
        <f>IF(L2571="", "", L2571-B2571)</f>
        <v/>
      </c>
      <c r="O2571">
        <f>IF(L2571="", "Pending", IF(N2571&lt;=30, "Met", "Breached"))</f>
        <v/>
      </c>
      <c r="P2571" s="8" t="n"/>
      <c r="Q2571" s="8" t="n"/>
      <c r="R2571" s="8" t="n"/>
      <c r="S2571" s="8" t="n"/>
      <c r="T2571" s="8" t="n"/>
      <c r="U2571" s="8" t="n"/>
      <c r="V2571" s="8" t="n"/>
      <c r="W2571" s="8" t="n"/>
      <c r="X2571" s="8" t="n"/>
      <c r="Y2571" s="8" t="n"/>
    </row>
    <row r="2572">
      <c r="A2572" s="8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9">
        <f>B2572+30</f>
        <v/>
      </c>
      <c r="N2572">
        <f>IF(L2572="", "", L2572-B2572)</f>
        <v/>
      </c>
      <c r="O2572">
        <f>IF(L2572="", "Pending", IF(N2572&lt;=30, "Met", "Breached"))</f>
        <v/>
      </c>
      <c r="P2572" s="8" t="n"/>
      <c r="Q2572" s="8" t="n"/>
      <c r="R2572" s="8" t="n"/>
      <c r="S2572" s="8" t="n"/>
      <c r="T2572" s="8" t="n"/>
      <c r="U2572" s="8" t="n"/>
      <c r="V2572" s="8" t="n"/>
      <c r="W2572" s="8" t="n"/>
      <c r="X2572" s="8" t="n"/>
      <c r="Y2572" s="8" t="n"/>
    </row>
    <row r="2573">
      <c r="A2573" s="8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9">
        <f>B2573+30</f>
        <v/>
      </c>
      <c r="N2573">
        <f>IF(L2573="", "", L2573-B2573)</f>
        <v/>
      </c>
      <c r="O2573">
        <f>IF(L2573="", "Pending", IF(N2573&lt;=30, "Met", "Breached"))</f>
        <v/>
      </c>
      <c r="P2573" s="8" t="n"/>
      <c r="Q2573" s="8" t="n"/>
      <c r="R2573" s="8" t="n"/>
      <c r="S2573" s="8" t="n"/>
      <c r="T2573" s="8" t="n"/>
      <c r="U2573" s="8" t="n"/>
      <c r="V2573" s="8" t="n"/>
      <c r="W2573" s="8" t="n"/>
      <c r="X2573" s="8" t="n"/>
      <c r="Y2573" s="8" t="n"/>
    </row>
    <row r="2574">
      <c r="A2574" s="8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9">
        <f>B2574+30</f>
        <v/>
      </c>
      <c r="N2574">
        <f>IF(L2574="", "", L2574-B2574)</f>
        <v/>
      </c>
      <c r="O2574">
        <f>IF(L2574="", "Pending", IF(N2574&lt;=30, "Met", "Breached"))</f>
        <v/>
      </c>
      <c r="P2574" s="8" t="n"/>
      <c r="Q2574" s="8" t="n"/>
      <c r="R2574" s="8" t="n"/>
      <c r="S2574" s="8" t="n"/>
      <c r="T2574" s="8" t="n"/>
      <c r="U2574" s="8" t="n"/>
      <c r="V2574" s="8" t="n"/>
      <c r="W2574" s="8" t="n"/>
      <c r="X2574" s="8" t="n"/>
      <c r="Y2574" s="8" t="n"/>
    </row>
    <row r="2575">
      <c r="A2575" s="8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9">
        <f>B2575+30</f>
        <v/>
      </c>
      <c r="N2575">
        <f>IF(L2575="", "", L2575-B2575)</f>
        <v/>
      </c>
      <c r="O2575">
        <f>IF(L2575="", "Pending", IF(N2575&lt;=30, "Met", "Breached"))</f>
        <v/>
      </c>
      <c r="P2575" s="8" t="n"/>
      <c r="Q2575" s="8" t="n"/>
      <c r="R2575" s="8" t="n"/>
      <c r="S2575" s="8" t="n"/>
      <c r="T2575" s="8" t="n"/>
      <c r="U2575" s="8" t="n"/>
      <c r="V2575" s="8" t="n"/>
      <c r="W2575" s="8" t="n"/>
      <c r="X2575" s="8" t="n"/>
      <c r="Y2575" s="8" t="n"/>
    </row>
    <row r="2576">
      <c r="A2576" s="8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9">
        <f>B2576+30</f>
        <v/>
      </c>
      <c r="N2576">
        <f>IF(L2576="", "", L2576-B2576)</f>
        <v/>
      </c>
      <c r="O2576">
        <f>IF(L2576="", "Pending", IF(N2576&lt;=30, "Met", "Breached"))</f>
        <v/>
      </c>
      <c r="P2576" s="8" t="n"/>
      <c r="Q2576" s="8" t="n"/>
      <c r="R2576" s="8" t="n"/>
      <c r="S2576" s="8" t="n"/>
      <c r="T2576" s="8" t="n"/>
      <c r="U2576" s="8" t="n"/>
      <c r="V2576" s="8" t="n"/>
      <c r="W2576" s="8" t="n"/>
      <c r="X2576" s="8" t="n"/>
      <c r="Y2576" s="8" t="n"/>
    </row>
    <row r="2577">
      <c r="A2577" s="8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9">
        <f>B2577+30</f>
        <v/>
      </c>
      <c r="N2577">
        <f>IF(L2577="", "", L2577-B2577)</f>
        <v/>
      </c>
      <c r="O2577">
        <f>IF(L2577="", "Pending", IF(N2577&lt;=30, "Met", "Breached"))</f>
        <v/>
      </c>
      <c r="P2577" s="8" t="n"/>
      <c r="Q2577" s="8" t="n"/>
      <c r="R2577" s="8" t="n"/>
      <c r="S2577" s="8" t="n"/>
      <c r="T2577" s="8" t="n"/>
      <c r="U2577" s="8" t="n"/>
      <c r="V2577" s="8" t="n"/>
      <c r="W2577" s="8" t="n"/>
      <c r="X2577" s="8" t="n"/>
      <c r="Y2577" s="8" t="n"/>
    </row>
    <row r="2578">
      <c r="A2578" s="8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9">
        <f>B2578+30</f>
        <v/>
      </c>
      <c r="N2578">
        <f>IF(L2578="", "", L2578-B2578)</f>
        <v/>
      </c>
      <c r="O2578">
        <f>IF(L2578="", "Pending", IF(N2578&lt;=30, "Met", "Breached"))</f>
        <v/>
      </c>
      <c r="P2578" s="8" t="n"/>
      <c r="Q2578" s="8" t="n"/>
      <c r="R2578" s="8" t="n"/>
      <c r="S2578" s="8" t="n"/>
      <c r="T2578" s="8" t="n"/>
      <c r="U2578" s="8" t="n"/>
      <c r="V2578" s="8" t="n"/>
      <c r="W2578" s="8" t="n"/>
      <c r="X2578" s="8" t="n"/>
      <c r="Y2578" s="8" t="n"/>
    </row>
    <row r="2579">
      <c r="A2579" s="8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9">
        <f>B2579+30</f>
        <v/>
      </c>
      <c r="N2579">
        <f>IF(L2579="", "", L2579-B2579)</f>
        <v/>
      </c>
      <c r="O2579">
        <f>IF(L2579="", "Pending", IF(N2579&lt;=30, "Met", "Breached"))</f>
        <v/>
      </c>
      <c r="P2579" s="8" t="n"/>
      <c r="Q2579" s="8" t="n"/>
      <c r="R2579" s="8" t="n"/>
      <c r="S2579" s="8" t="n"/>
      <c r="T2579" s="8" t="n"/>
      <c r="U2579" s="8" t="n"/>
      <c r="V2579" s="8" t="n"/>
      <c r="W2579" s="8" t="n"/>
      <c r="X2579" s="8" t="n"/>
      <c r="Y2579" s="8" t="n"/>
    </row>
    <row r="2580">
      <c r="A2580" s="8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9">
        <f>B2580+30</f>
        <v/>
      </c>
      <c r="N2580">
        <f>IF(L2580="", "", L2580-B2580)</f>
        <v/>
      </c>
      <c r="O2580">
        <f>IF(L2580="", "Pending", IF(N2580&lt;=30, "Met", "Breached"))</f>
        <v/>
      </c>
      <c r="P2580" s="8" t="n"/>
      <c r="Q2580" s="8" t="n"/>
      <c r="R2580" s="8" t="n"/>
      <c r="S2580" s="8" t="n"/>
      <c r="T2580" s="8" t="n"/>
      <c r="U2580" s="8" t="n"/>
      <c r="V2580" s="8" t="n"/>
      <c r="W2580" s="8" t="n"/>
      <c r="X2580" s="8" t="n"/>
      <c r="Y2580" s="8" t="n"/>
    </row>
    <row r="2581">
      <c r="A2581" s="8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9">
        <f>B2581+30</f>
        <v/>
      </c>
      <c r="N2581">
        <f>IF(L2581="", "", L2581-B2581)</f>
        <v/>
      </c>
      <c r="O2581">
        <f>IF(L2581="", "Pending", IF(N2581&lt;=30, "Met", "Breached"))</f>
        <v/>
      </c>
      <c r="P2581" s="8" t="n"/>
      <c r="Q2581" s="8" t="n"/>
      <c r="R2581" s="8" t="n"/>
      <c r="S2581" s="8" t="n"/>
      <c r="T2581" s="8" t="n"/>
      <c r="U2581" s="8" t="n"/>
      <c r="V2581" s="8" t="n"/>
      <c r="W2581" s="8" t="n"/>
      <c r="X2581" s="8" t="n"/>
      <c r="Y2581" s="8" t="n"/>
    </row>
    <row r="2582">
      <c r="A2582" s="8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9">
        <f>B2582+30</f>
        <v/>
      </c>
      <c r="N2582">
        <f>IF(L2582="", "", L2582-B2582)</f>
        <v/>
      </c>
      <c r="O2582">
        <f>IF(L2582="", "Pending", IF(N2582&lt;=30, "Met", "Breached"))</f>
        <v/>
      </c>
      <c r="P2582" s="8" t="n"/>
      <c r="Q2582" s="8" t="n"/>
      <c r="R2582" s="8" t="n"/>
      <c r="S2582" s="8" t="n"/>
      <c r="T2582" s="8" t="n"/>
      <c r="U2582" s="8" t="n"/>
      <c r="V2582" s="8" t="n"/>
      <c r="W2582" s="8" t="n"/>
      <c r="X2582" s="8" t="n"/>
      <c r="Y2582" s="8" t="n"/>
    </row>
    <row r="2583">
      <c r="A2583" s="8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9">
        <f>B2583+30</f>
        <v/>
      </c>
      <c r="N2583">
        <f>IF(L2583="", "", L2583-B2583)</f>
        <v/>
      </c>
      <c r="O2583">
        <f>IF(L2583="", "Pending", IF(N2583&lt;=30, "Met", "Breached"))</f>
        <v/>
      </c>
      <c r="P2583" s="8" t="n"/>
      <c r="Q2583" s="8" t="n"/>
      <c r="R2583" s="8" t="n"/>
      <c r="S2583" s="8" t="n"/>
      <c r="T2583" s="8" t="n"/>
      <c r="U2583" s="8" t="n"/>
      <c r="V2583" s="8" t="n"/>
      <c r="W2583" s="8" t="n"/>
      <c r="X2583" s="8" t="n"/>
      <c r="Y2583" s="8" t="n"/>
    </row>
    <row r="2584">
      <c r="A2584" s="8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9">
        <f>B2584+30</f>
        <v/>
      </c>
      <c r="N2584">
        <f>IF(L2584="", "", L2584-B2584)</f>
        <v/>
      </c>
      <c r="O2584">
        <f>IF(L2584="", "Pending", IF(N2584&lt;=30, "Met", "Breached"))</f>
        <v/>
      </c>
      <c r="P2584" s="8" t="n"/>
      <c r="Q2584" s="8" t="n"/>
      <c r="R2584" s="8" t="n"/>
      <c r="S2584" s="8" t="n"/>
      <c r="T2584" s="8" t="n"/>
      <c r="U2584" s="8" t="n"/>
      <c r="V2584" s="8" t="n"/>
      <c r="W2584" s="8" t="n"/>
      <c r="X2584" s="8" t="n"/>
      <c r="Y2584" s="8" t="n"/>
    </row>
    <row r="2585">
      <c r="A2585" s="8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9">
        <f>B2585+30</f>
        <v/>
      </c>
      <c r="N2585">
        <f>IF(L2585="", "", L2585-B2585)</f>
        <v/>
      </c>
      <c r="O2585">
        <f>IF(L2585="", "Pending", IF(N2585&lt;=30, "Met", "Breached"))</f>
        <v/>
      </c>
      <c r="P2585" s="8" t="n"/>
      <c r="Q2585" s="8" t="n"/>
      <c r="R2585" s="8" t="n"/>
      <c r="S2585" s="8" t="n"/>
      <c r="T2585" s="8" t="n"/>
      <c r="U2585" s="8" t="n"/>
      <c r="V2585" s="8" t="n"/>
      <c r="W2585" s="8" t="n"/>
      <c r="X2585" s="8" t="n"/>
      <c r="Y2585" s="8" t="n"/>
    </row>
    <row r="2586">
      <c r="A2586" s="8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9">
        <f>B2586+30</f>
        <v/>
      </c>
      <c r="N2586">
        <f>IF(L2586="", "", L2586-B2586)</f>
        <v/>
      </c>
      <c r="O2586">
        <f>IF(L2586="", "Pending", IF(N2586&lt;=30, "Met", "Breached"))</f>
        <v/>
      </c>
      <c r="P2586" s="8" t="n"/>
      <c r="Q2586" s="8" t="n"/>
      <c r="R2586" s="8" t="n"/>
      <c r="S2586" s="8" t="n"/>
      <c r="T2586" s="8" t="n"/>
      <c r="U2586" s="8" t="n"/>
      <c r="V2586" s="8" t="n"/>
      <c r="W2586" s="8" t="n"/>
      <c r="X2586" s="8" t="n"/>
      <c r="Y2586" s="8" t="n"/>
    </row>
    <row r="2587">
      <c r="A2587" s="8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9">
        <f>B2587+30</f>
        <v/>
      </c>
      <c r="N2587">
        <f>IF(L2587="", "", L2587-B2587)</f>
        <v/>
      </c>
      <c r="O2587">
        <f>IF(L2587="", "Pending", IF(N2587&lt;=30, "Met", "Breached"))</f>
        <v/>
      </c>
      <c r="P2587" s="8" t="n"/>
      <c r="Q2587" s="8" t="n"/>
      <c r="R2587" s="8" t="n"/>
      <c r="S2587" s="8" t="n"/>
      <c r="T2587" s="8" t="n"/>
      <c r="U2587" s="8" t="n"/>
      <c r="V2587" s="8" t="n"/>
      <c r="W2587" s="8" t="n"/>
      <c r="X2587" s="8" t="n"/>
      <c r="Y2587" s="8" t="n"/>
    </row>
    <row r="2588">
      <c r="A2588" s="8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9">
        <f>B2588+30</f>
        <v/>
      </c>
      <c r="N2588">
        <f>IF(L2588="", "", L2588-B2588)</f>
        <v/>
      </c>
      <c r="O2588">
        <f>IF(L2588="", "Pending", IF(N2588&lt;=30, "Met", "Breached"))</f>
        <v/>
      </c>
      <c r="P2588" s="8" t="n"/>
      <c r="Q2588" s="8" t="n"/>
      <c r="R2588" s="8" t="n"/>
      <c r="S2588" s="8" t="n"/>
      <c r="T2588" s="8" t="n"/>
      <c r="U2588" s="8" t="n"/>
      <c r="V2588" s="8" t="n"/>
      <c r="W2588" s="8" t="n"/>
      <c r="X2588" s="8" t="n"/>
      <c r="Y2588" s="8" t="n"/>
    </row>
    <row r="2589">
      <c r="A2589" s="8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9">
        <f>B2589+30</f>
        <v/>
      </c>
      <c r="N2589">
        <f>IF(L2589="", "", L2589-B2589)</f>
        <v/>
      </c>
      <c r="O2589">
        <f>IF(L2589="", "Pending", IF(N2589&lt;=30, "Met", "Breached"))</f>
        <v/>
      </c>
      <c r="P2589" s="8" t="n"/>
      <c r="Q2589" s="8" t="n"/>
      <c r="R2589" s="8" t="n"/>
      <c r="S2589" s="8" t="n"/>
      <c r="T2589" s="8" t="n"/>
      <c r="U2589" s="8" t="n"/>
      <c r="V2589" s="8" t="n"/>
      <c r="W2589" s="8" t="n"/>
      <c r="X2589" s="8" t="n"/>
      <c r="Y2589" s="8" t="n"/>
    </row>
    <row r="2590">
      <c r="A2590" s="8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9">
        <f>B2590+30</f>
        <v/>
      </c>
      <c r="N2590">
        <f>IF(L2590="", "", L2590-B2590)</f>
        <v/>
      </c>
      <c r="O2590">
        <f>IF(L2590="", "Pending", IF(N2590&lt;=30, "Met", "Breached"))</f>
        <v/>
      </c>
      <c r="P2590" s="8" t="n"/>
      <c r="Q2590" s="8" t="n"/>
      <c r="R2590" s="8" t="n"/>
      <c r="S2590" s="8" t="n"/>
      <c r="T2590" s="8" t="n"/>
      <c r="U2590" s="8" t="n"/>
      <c r="V2590" s="8" t="n"/>
      <c r="W2590" s="8" t="n"/>
      <c r="X2590" s="8" t="n"/>
      <c r="Y2590" s="8" t="n"/>
    </row>
    <row r="2591">
      <c r="A2591" s="8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9">
        <f>B2591+30</f>
        <v/>
      </c>
      <c r="N2591">
        <f>IF(L2591="", "", L2591-B2591)</f>
        <v/>
      </c>
      <c r="O2591">
        <f>IF(L2591="", "Pending", IF(N2591&lt;=30, "Met", "Breached"))</f>
        <v/>
      </c>
      <c r="P2591" s="8" t="n"/>
      <c r="Q2591" s="8" t="n"/>
      <c r="R2591" s="8" t="n"/>
      <c r="S2591" s="8" t="n"/>
      <c r="T2591" s="8" t="n"/>
      <c r="U2591" s="8" t="n"/>
      <c r="V2591" s="8" t="n"/>
      <c r="W2591" s="8" t="n"/>
      <c r="X2591" s="8" t="n"/>
      <c r="Y2591" s="8" t="n"/>
    </row>
    <row r="2592">
      <c r="A2592" s="8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9">
        <f>B2592+30</f>
        <v/>
      </c>
      <c r="N2592">
        <f>IF(L2592="", "", L2592-B2592)</f>
        <v/>
      </c>
      <c r="O2592">
        <f>IF(L2592="", "Pending", IF(N2592&lt;=30, "Met", "Breached"))</f>
        <v/>
      </c>
      <c r="P2592" s="8" t="n"/>
      <c r="Q2592" s="8" t="n"/>
      <c r="R2592" s="8" t="n"/>
      <c r="S2592" s="8" t="n"/>
      <c r="T2592" s="8" t="n"/>
      <c r="U2592" s="8" t="n"/>
      <c r="V2592" s="8" t="n"/>
      <c r="W2592" s="8" t="n"/>
      <c r="X2592" s="8" t="n"/>
      <c r="Y2592" s="8" t="n"/>
    </row>
    <row r="2593">
      <c r="A2593" s="8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9">
        <f>B2593+30</f>
        <v/>
      </c>
      <c r="N2593">
        <f>IF(L2593="", "", L2593-B2593)</f>
        <v/>
      </c>
      <c r="O2593">
        <f>IF(L2593="", "Pending", IF(N2593&lt;=30, "Met", "Breached"))</f>
        <v/>
      </c>
      <c r="P2593" s="8" t="n"/>
      <c r="Q2593" s="8" t="n"/>
      <c r="R2593" s="8" t="n"/>
      <c r="S2593" s="8" t="n"/>
      <c r="T2593" s="8" t="n"/>
      <c r="U2593" s="8" t="n"/>
      <c r="V2593" s="8" t="n"/>
      <c r="W2593" s="8" t="n"/>
      <c r="X2593" s="8" t="n"/>
      <c r="Y2593" s="8" t="n"/>
    </row>
    <row r="2594">
      <c r="A2594" s="8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9">
        <f>B2594+30</f>
        <v/>
      </c>
      <c r="N2594">
        <f>IF(L2594="", "", L2594-B2594)</f>
        <v/>
      </c>
      <c r="O2594">
        <f>IF(L2594="", "Pending", IF(N2594&lt;=30, "Met", "Breached"))</f>
        <v/>
      </c>
      <c r="P2594" s="8" t="n"/>
      <c r="Q2594" s="8" t="n"/>
      <c r="R2594" s="8" t="n"/>
      <c r="S2594" s="8" t="n"/>
      <c r="T2594" s="8" t="n"/>
      <c r="U2594" s="8" t="n"/>
      <c r="V2594" s="8" t="n"/>
      <c r="W2594" s="8" t="n"/>
      <c r="X2594" s="8" t="n"/>
      <c r="Y2594" s="8" t="n"/>
    </row>
    <row r="2595">
      <c r="A2595" s="8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9">
        <f>B2595+30</f>
        <v/>
      </c>
      <c r="N2595">
        <f>IF(L2595="", "", L2595-B2595)</f>
        <v/>
      </c>
      <c r="O2595">
        <f>IF(L2595="", "Pending", IF(N2595&lt;=30, "Met", "Breached"))</f>
        <v/>
      </c>
      <c r="P2595" s="8" t="n"/>
      <c r="Q2595" s="8" t="n"/>
      <c r="R2595" s="8" t="n"/>
      <c r="S2595" s="8" t="n"/>
      <c r="T2595" s="8" t="n"/>
      <c r="U2595" s="8" t="n"/>
      <c r="V2595" s="8" t="n"/>
      <c r="W2595" s="8" t="n"/>
      <c r="X2595" s="8" t="n"/>
      <c r="Y2595" s="8" t="n"/>
    </row>
    <row r="2596">
      <c r="A2596" s="8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9">
        <f>B2596+30</f>
        <v/>
      </c>
      <c r="N2596">
        <f>IF(L2596="", "", L2596-B2596)</f>
        <v/>
      </c>
      <c r="O2596">
        <f>IF(L2596="", "Pending", IF(N2596&lt;=30, "Met", "Breached"))</f>
        <v/>
      </c>
      <c r="P2596" s="8" t="n"/>
      <c r="Q2596" s="8" t="n"/>
      <c r="R2596" s="8" t="n"/>
      <c r="S2596" s="8" t="n"/>
      <c r="T2596" s="8" t="n"/>
      <c r="U2596" s="8" t="n"/>
      <c r="V2596" s="8" t="n"/>
      <c r="W2596" s="8" t="n"/>
      <c r="X2596" s="8" t="n"/>
      <c r="Y2596" s="8" t="n"/>
    </row>
    <row r="2597">
      <c r="A2597" s="8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9">
        <f>B2597+30</f>
        <v/>
      </c>
      <c r="N2597">
        <f>IF(L2597="", "", L2597-B2597)</f>
        <v/>
      </c>
      <c r="O2597">
        <f>IF(L2597="", "Pending", IF(N2597&lt;=30, "Met", "Breached"))</f>
        <v/>
      </c>
      <c r="P2597" s="8" t="n"/>
      <c r="Q2597" s="8" t="n"/>
      <c r="R2597" s="8" t="n"/>
      <c r="S2597" s="8" t="n"/>
      <c r="T2597" s="8" t="n"/>
      <c r="U2597" s="8" t="n"/>
      <c r="V2597" s="8" t="n"/>
      <c r="W2597" s="8" t="n"/>
      <c r="X2597" s="8" t="n"/>
      <c r="Y2597" s="8" t="n"/>
    </row>
    <row r="2598">
      <c r="A2598" s="8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9">
        <f>B2598+30</f>
        <v/>
      </c>
      <c r="N2598">
        <f>IF(L2598="", "", L2598-B2598)</f>
        <v/>
      </c>
      <c r="O2598">
        <f>IF(L2598="", "Pending", IF(N2598&lt;=30, "Met", "Breached"))</f>
        <v/>
      </c>
      <c r="P2598" s="8" t="n"/>
      <c r="Q2598" s="8" t="n"/>
      <c r="R2598" s="8" t="n"/>
      <c r="S2598" s="8" t="n"/>
      <c r="T2598" s="8" t="n"/>
      <c r="U2598" s="8" t="n"/>
      <c r="V2598" s="8" t="n"/>
      <c r="W2598" s="8" t="n"/>
      <c r="X2598" s="8" t="n"/>
      <c r="Y2598" s="8" t="n"/>
    </row>
    <row r="2599">
      <c r="A2599" s="8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9">
        <f>B2599+30</f>
        <v/>
      </c>
      <c r="N2599">
        <f>IF(L2599="", "", L2599-B2599)</f>
        <v/>
      </c>
      <c r="O2599">
        <f>IF(L2599="", "Pending", IF(N2599&lt;=30, "Met", "Breached"))</f>
        <v/>
      </c>
      <c r="P2599" s="8" t="n"/>
      <c r="Q2599" s="8" t="n"/>
      <c r="R2599" s="8" t="n"/>
      <c r="S2599" s="8" t="n"/>
      <c r="T2599" s="8" t="n"/>
      <c r="U2599" s="8" t="n"/>
      <c r="V2599" s="8" t="n"/>
      <c r="W2599" s="8" t="n"/>
      <c r="X2599" s="8" t="n"/>
      <c r="Y2599" s="8" t="n"/>
    </row>
    <row r="2600">
      <c r="A2600" s="8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9">
        <f>B2600+30</f>
        <v/>
      </c>
      <c r="N2600">
        <f>IF(L2600="", "", L2600-B2600)</f>
        <v/>
      </c>
      <c r="O2600">
        <f>IF(L2600="", "Pending", IF(N2600&lt;=30, "Met", "Breached"))</f>
        <v/>
      </c>
      <c r="P2600" s="8" t="n"/>
      <c r="Q2600" s="8" t="n"/>
      <c r="R2600" s="8" t="n"/>
      <c r="S2600" s="8" t="n"/>
      <c r="T2600" s="8" t="n"/>
      <c r="U2600" s="8" t="n"/>
      <c r="V2600" s="8" t="n"/>
      <c r="W2600" s="8" t="n"/>
      <c r="X2600" s="8" t="n"/>
      <c r="Y2600" s="8" t="n"/>
    </row>
    <row r="2601">
      <c r="A2601" s="8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9">
        <f>B2601+30</f>
        <v/>
      </c>
      <c r="N2601">
        <f>IF(L2601="", "", L2601-B2601)</f>
        <v/>
      </c>
      <c r="O2601">
        <f>IF(L2601="", "Pending", IF(N2601&lt;=30, "Met", "Breached"))</f>
        <v/>
      </c>
      <c r="P2601" s="8" t="n"/>
      <c r="Q2601" s="8" t="n"/>
      <c r="R2601" s="8" t="n"/>
      <c r="S2601" s="8" t="n"/>
      <c r="T2601" s="8" t="n"/>
      <c r="U2601" s="8" t="n"/>
      <c r="V2601" s="8" t="n"/>
      <c r="W2601" s="8" t="n"/>
      <c r="X2601" s="8" t="n"/>
      <c r="Y2601" s="8" t="n"/>
    </row>
    <row r="2602">
      <c r="A2602" s="8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9">
        <f>B2602+30</f>
        <v/>
      </c>
      <c r="N2602">
        <f>IF(L2602="", "", L2602-B2602)</f>
        <v/>
      </c>
      <c r="O2602">
        <f>IF(L2602="", "Pending", IF(N2602&lt;=30, "Met", "Breached"))</f>
        <v/>
      </c>
      <c r="P2602" s="8" t="n"/>
      <c r="Q2602" s="8" t="n"/>
      <c r="R2602" s="8" t="n"/>
      <c r="S2602" s="8" t="n"/>
      <c r="T2602" s="8" t="n"/>
      <c r="U2602" s="8" t="n"/>
      <c r="V2602" s="8" t="n"/>
      <c r="W2602" s="8" t="n"/>
      <c r="X2602" s="8" t="n"/>
      <c r="Y2602" s="8" t="n"/>
    </row>
    <row r="2603">
      <c r="A2603" s="8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9">
        <f>B2603+30</f>
        <v/>
      </c>
      <c r="N2603">
        <f>IF(L2603="", "", L2603-B2603)</f>
        <v/>
      </c>
      <c r="O2603">
        <f>IF(L2603="", "Pending", IF(N2603&lt;=30, "Met", "Breached"))</f>
        <v/>
      </c>
      <c r="P2603" s="8" t="n"/>
      <c r="Q2603" s="8" t="n"/>
      <c r="R2603" s="8" t="n"/>
      <c r="S2603" s="8" t="n"/>
      <c r="T2603" s="8" t="n"/>
      <c r="U2603" s="8" t="n"/>
      <c r="V2603" s="8" t="n"/>
      <c r="W2603" s="8" t="n"/>
      <c r="X2603" s="8" t="n"/>
      <c r="Y2603" s="8" t="n"/>
    </row>
    <row r="2604">
      <c r="A2604" s="8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9">
        <f>B2604+30</f>
        <v/>
      </c>
      <c r="N2604">
        <f>IF(L2604="", "", L2604-B2604)</f>
        <v/>
      </c>
      <c r="O2604">
        <f>IF(L2604="", "Pending", IF(N2604&lt;=30, "Met", "Breached"))</f>
        <v/>
      </c>
      <c r="P2604" s="8" t="n"/>
      <c r="Q2604" s="8" t="n"/>
      <c r="R2604" s="8" t="n"/>
      <c r="S2604" s="8" t="n"/>
      <c r="T2604" s="8" t="n"/>
      <c r="U2604" s="8" t="n"/>
      <c r="V2604" s="8" t="n"/>
      <c r="W2604" s="8" t="n"/>
      <c r="X2604" s="8" t="n"/>
      <c r="Y2604" s="8" t="n"/>
    </row>
    <row r="2605">
      <c r="A2605" s="8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9">
        <f>B2605+30</f>
        <v/>
      </c>
      <c r="N2605">
        <f>IF(L2605="", "", L2605-B2605)</f>
        <v/>
      </c>
      <c r="O2605">
        <f>IF(L2605="", "Pending", IF(N2605&lt;=30, "Met", "Breached"))</f>
        <v/>
      </c>
      <c r="P2605" s="8" t="n"/>
      <c r="Q2605" s="8" t="n"/>
      <c r="R2605" s="8" t="n"/>
      <c r="S2605" s="8" t="n"/>
      <c r="T2605" s="8" t="n"/>
      <c r="U2605" s="8" t="n"/>
      <c r="V2605" s="8" t="n"/>
      <c r="W2605" s="8" t="n"/>
      <c r="X2605" s="8" t="n"/>
      <c r="Y2605" s="8" t="n"/>
    </row>
    <row r="2606">
      <c r="A2606" s="8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9">
        <f>B2606+30</f>
        <v/>
      </c>
      <c r="N2606">
        <f>IF(L2606="", "", L2606-B2606)</f>
        <v/>
      </c>
      <c r="O2606">
        <f>IF(L2606="", "Pending", IF(N2606&lt;=30, "Met", "Breached"))</f>
        <v/>
      </c>
      <c r="P2606" s="8" t="n"/>
      <c r="Q2606" s="8" t="n"/>
      <c r="R2606" s="8" t="n"/>
      <c r="S2606" s="8" t="n"/>
      <c r="T2606" s="8" t="n"/>
      <c r="U2606" s="8" t="n"/>
      <c r="V2606" s="8" t="n"/>
      <c r="W2606" s="8" t="n"/>
      <c r="X2606" s="8" t="n"/>
      <c r="Y2606" s="8" t="n"/>
    </row>
    <row r="2607">
      <c r="A2607" s="8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9">
        <f>B2607+30</f>
        <v/>
      </c>
      <c r="N2607">
        <f>IF(L2607="", "", L2607-B2607)</f>
        <v/>
      </c>
      <c r="O2607">
        <f>IF(L2607="", "Pending", IF(N2607&lt;=30, "Met", "Breached"))</f>
        <v/>
      </c>
      <c r="P2607" s="8" t="n"/>
      <c r="Q2607" s="8" t="n"/>
      <c r="R2607" s="8" t="n"/>
      <c r="S2607" s="8" t="n"/>
      <c r="T2607" s="8" t="n"/>
      <c r="U2607" s="8" t="n"/>
      <c r="V2607" s="8" t="n"/>
      <c r="W2607" s="8" t="n"/>
      <c r="X2607" s="8" t="n"/>
      <c r="Y2607" s="8" t="n"/>
    </row>
    <row r="2608">
      <c r="A2608" s="8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9">
        <f>B2608+30</f>
        <v/>
      </c>
      <c r="N2608">
        <f>IF(L2608="", "", L2608-B2608)</f>
        <v/>
      </c>
      <c r="O2608">
        <f>IF(L2608="", "Pending", IF(N2608&lt;=30, "Met", "Breached"))</f>
        <v/>
      </c>
      <c r="P2608" s="8" t="n"/>
      <c r="Q2608" s="8" t="n"/>
      <c r="R2608" s="8" t="n"/>
      <c r="S2608" s="8" t="n"/>
      <c r="T2608" s="8" t="n"/>
      <c r="U2608" s="8" t="n"/>
      <c r="V2608" s="8" t="n"/>
      <c r="W2608" s="8" t="n"/>
      <c r="X2608" s="8" t="n"/>
      <c r="Y2608" s="8" t="n"/>
    </row>
    <row r="2609">
      <c r="A2609" s="8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9">
        <f>B2609+30</f>
        <v/>
      </c>
      <c r="N2609">
        <f>IF(L2609="", "", L2609-B2609)</f>
        <v/>
      </c>
      <c r="O2609">
        <f>IF(L2609="", "Pending", IF(N2609&lt;=30, "Met", "Breached"))</f>
        <v/>
      </c>
      <c r="P2609" s="8" t="n"/>
      <c r="Q2609" s="8" t="n"/>
      <c r="R2609" s="8" t="n"/>
      <c r="S2609" s="8" t="n"/>
      <c r="T2609" s="8" t="n"/>
      <c r="U2609" s="8" t="n"/>
      <c r="V2609" s="8" t="n"/>
      <c r="W2609" s="8" t="n"/>
      <c r="X2609" s="8" t="n"/>
      <c r="Y2609" s="8" t="n"/>
    </row>
    <row r="2610">
      <c r="A2610" s="8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9">
        <f>B2610+30</f>
        <v/>
      </c>
      <c r="N2610">
        <f>IF(L2610="", "", L2610-B2610)</f>
        <v/>
      </c>
      <c r="O2610">
        <f>IF(L2610="", "Pending", IF(N2610&lt;=30, "Met", "Breached"))</f>
        <v/>
      </c>
      <c r="P2610" s="8" t="n"/>
      <c r="Q2610" s="8" t="n"/>
      <c r="R2610" s="8" t="n"/>
      <c r="S2610" s="8" t="n"/>
      <c r="T2610" s="8" t="n"/>
      <c r="U2610" s="8" t="n"/>
      <c r="V2610" s="8" t="n"/>
      <c r="W2610" s="8" t="n"/>
      <c r="X2610" s="8" t="n"/>
      <c r="Y2610" s="8" t="n"/>
    </row>
    <row r="2611">
      <c r="A2611" s="8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9">
        <f>B2611+30</f>
        <v/>
      </c>
      <c r="N2611">
        <f>IF(L2611="", "", L2611-B2611)</f>
        <v/>
      </c>
      <c r="O2611">
        <f>IF(L2611="", "Pending", IF(N2611&lt;=30, "Met", "Breached"))</f>
        <v/>
      </c>
      <c r="P2611" s="8" t="n"/>
      <c r="Q2611" s="8" t="n"/>
      <c r="R2611" s="8" t="n"/>
      <c r="S2611" s="8" t="n"/>
      <c r="T2611" s="8" t="n"/>
      <c r="U2611" s="8" t="n"/>
      <c r="V2611" s="8" t="n"/>
      <c r="W2611" s="8" t="n"/>
      <c r="X2611" s="8" t="n"/>
      <c r="Y2611" s="8" t="n"/>
    </row>
    <row r="2612">
      <c r="A2612" s="8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9">
        <f>B2612+30</f>
        <v/>
      </c>
      <c r="N2612">
        <f>IF(L2612="", "", L2612-B2612)</f>
        <v/>
      </c>
      <c r="O2612">
        <f>IF(L2612="", "Pending", IF(N2612&lt;=30, "Met", "Breached"))</f>
        <v/>
      </c>
      <c r="P2612" s="8" t="n"/>
      <c r="Q2612" s="8" t="n"/>
      <c r="R2612" s="8" t="n"/>
      <c r="S2612" s="8" t="n"/>
      <c r="T2612" s="8" t="n"/>
      <c r="U2612" s="8" t="n"/>
      <c r="V2612" s="8" t="n"/>
      <c r="W2612" s="8" t="n"/>
      <c r="X2612" s="8" t="n"/>
      <c r="Y2612" s="8" t="n"/>
    </row>
    <row r="2613">
      <c r="A2613" s="8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9">
        <f>B2613+30</f>
        <v/>
      </c>
      <c r="N2613">
        <f>IF(L2613="", "", L2613-B2613)</f>
        <v/>
      </c>
      <c r="O2613">
        <f>IF(L2613="", "Pending", IF(N2613&lt;=30, "Met", "Breached"))</f>
        <v/>
      </c>
      <c r="P2613" s="8" t="n"/>
      <c r="Q2613" s="8" t="n"/>
      <c r="R2613" s="8" t="n"/>
      <c r="S2613" s="8" t="n"/>
      <c r="T2613" s="8" t="n"/>
      <c r="U2613" s="8" t="n"/>
      <c r="V2613" s="8" t="n"/>
      <c r="W2613" s="8" t="n"/>
      <c r="X2613" s="8" t="n"/>
      <c r="Y2613" s="8" t="n"/>
    </row>
    <row r="2614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9">
        <f>B2614+30</f>
        <v/>
      </c>
      <c r="N2614">
        <f>IF(L2614="", "", L2614-B2614)</f>
        <v/>
      </c>
      <c r="O2614">
        <f>IF(L2614="", "Pending", IF(N2614&lt;=30, "Met", "Breached"))</f>
        <v/>
      </c>
      <c r="P2614" s="8" t="n"/>
      <c r="Q2614" s="8" t="n"/>
      <c r="R2614" s="8" t="n"/>
      <c r="S2614" s="8" t="n"/>
      <c r="T2614" s="8" t="n"/>
      <c r="U2614" s="8" t="n"/>
      <c r="V2614" s="8" t="n"/>
      <c r="W2614" s="8" t="n"/>
      <c r="X2614" s="8" t="n"/>
      <c r="Y2614" s="8" t="n"/>
    </row>
    <row r="2615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9">
        <f>B2615+30</f>
        <v/>
      </c>
      <c r="N2615">
        <f>IF(L2615="", "", L2615-B2615)</f>
        <v/>
      </c>
      <c r="O2615">
        <f>IF(L2615="", "Pending", IF(N2615&lt;=30, "Met", "Breached"))</f>
        <v/>
      </c>
      <c r="P2615" s="8" t="n"/>
      <c r="Q2615" s="8" t="n"/>
      <c r="R2615" s="8" t="n"/>
      <c r="S2615" s="8" t="n"/>
      <c r="T2615" s="8" t="n"/>
      <c r="U2615" s="8" t="n"/>
      <c r="V2615" s="8" t="n"/>
      <c r="W2615" s="8" t="n"/>
      <c r="X2615" s="8" t="n"/>
      <c r="Y2615" s="8" t="n"/>
    </row>
    <row r="2616">
      <c r="A2616" s="8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9">
        <f>B2616+30</f>
        <v/>
      </c>
      <c r="N2616">
        <f>IF(L2616="", "", L2616-B2616)</f>
        <v/>
      </c>
      <c r="O2616">
        <f>IF(L2616="", "Pending", IF(N2616&lt;=30, "Met", "Breached"))</f>
        <v/>
      </c>
      <c r="P2616" s="8" t="n"/>
      <c r="Q2616" s="8" t="n"/>
      <c r="R2616" s="8" t="n"/>
      <c r="S2616" s="8" t="n"/>
      <c r="T2616" s="8" t="n"/>
      <c r="U2616" s="8" t="n"/>
      <c r="V2616" s="8" t="n"/>
      <c r="W2616" s="8" t="n"/>
      <c r="X2616" s="8" t="n"/>
      <c r="Y2616" s="8" t="n"/>
    </row>
    <row r="2617">
      <c r="A2617" s="8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9">
        <f>B2617+30</f>
        <v/>
      </c>
      <c r="N2617">
        <f>IF(L2617="", "", L2617-B2617)</f>
        <v/>
      </c>
      <c r="O2617">
        <f>IF(L2617="", "Pending", IF(N2617&lt;=30, "Met", "Breached"))</f>
        <v/>
      </c>
      <c r="P2617" s="8" t="n"/>
      <c r="Q2617" s="8" t="n"/>
      <c r="R2617" s="8" t="n"/>
      <c r="S2617" s="8" t="n"/>
      <c r="T2617" s="8" t="n"/>
      <c r="U2617" s="8" t="n"/>
      <c r="V2617" s="8" t="n"/>
      <c r="W2617" s="8" t="n"/>
      <c r="X2617" s="8" t="n"/>
      <c r="Y2617" s="8" t="n"/>
    </row>
    <row r="2618">
      <c r="A2618" s="8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9">
        <f>B2618+30</f>
        <v/>
      </c>
      <c r="N2618">
        <f>IF(L2618="", "", L2618-B2618)</f>
        <v/>
      </c>
      <c r="O2618">
        <f>IF(L2618="", "Pending", IF(N2618&lt;=30, "Met", "Breached"))</f>
        <v/>
      </c>
      <c r="P2618" s="8" t="n"/>
      <c r="Q2618" s="8" t="n"/>
      <c r="R2618" s="8" t="n"/>
      <c r="S2618" s="8" t="n"/>
      <c r="T2618" s="8" t="n"/>
      <c r="U2618" s="8" t="n"/>
      <c r="V2618" s="8" t="n"/>
      <c r="W2618" s="8" t="n"/>
      <c r="X2618" s="8" t="n"/>
      <c r="Y2618" s="8" t="n"/>
    </row>
    <row r="2619">
      <c r="A2619" s="8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9">
        <f>B2619+30</f>
        <v/>
      </c>
      <c r="N2619">
        <f>IF(L2619="", "", L2619-B2619)</f>
        <v/>
      </c>
      <c r="O2619">
        <f>IF(L2619="", "Pending", IF(N2619&lt;=30, "Met", "Breached"))</f>
        <v/>
      </c>
      <c r="P2619" s="8" t="n"/>
      <c r="Q2619" s="8" t="n"/>
      <c r="R2619" s="8" t="n"/>
      <c r="S2619" s="8" t="n"/>
      <c r="T2619" s="8" t="n"/>
      <c r="U2619" s="8" t="n"/>
      <c r="V2619" s="8" t="n"/>
      <c r="W2619" s="8" t="n"/>
      <c r="X2619" s="8" t="n"/>
      <c r="Y2619" s="8" t="n"/>
    </row>
    <row r="2620">
      <c r="A2620" s="8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9">
        <f>B2620+30</f>
        <v/>
      </c>
      <c r="N2620">
        <f>IF(L2620="", "", L2620-B2620)</f>
        <v/>
      </c>
      <c r="O2620">
        <f>IF(L2620="", "Pending", IF(N2620&lt;=30, "Met", "Breached"))</f>
        <v/>
      </c>
      <c r="P2620" s="8" t="n"/>
      <c r="Q2620" s="8" t="n"/>
      <c r="R2620" s="8" t="n"/>
      <c r="S2620" s="8" t="n"/>
      <c r="T2620" s="8" t="n"/>
      <c r="U2620" s="8" t="n"/>
      <c r="V2620" s="8" t="n"/>
      <c r="W2620" s="8" t="n"/>
      <c r="X2620" s="8" t="n"/>
      <c r="Y2620" s="8" t="n"/>
    </row>
    <row r="2621">
      <c r="A2621" s="8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9">
        <f>B2621+30</f>
        <v/>
      </c>
      <c r="N2621">
        <f>IF(L2621="", "", L2621-B2621)</f>
        <v/>
      </c>
      <c r="O2621">
        <f>IF(L2621="", "Pending", IF(N2621&lt;=30, "Met", "Breached"))</f>
        <v/>
      </c>
      <c r="P2621" s="8" t="n"/>
      <c r="Q2621" s="8" t="n"/>
      <c r="R2621" s="8" t="n"/>
      <c r="S2621" s="8" t="n"/>
      <c r="T2621" s="8" t="n"/>
      <c r="U2621" s="8" t="n"/>
      <c r="V2621" s="8" t="n"/>
      <c r="W2621" s="8" t="n"/>
      <c r="X2621" s="8" t="n"/>
      <c r="Y2621" s="8" t="n"/>
    </row>
    <row r="2622">
      <c r="A2622" s="8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9">
        <f>B2622+30</f>
        <v/>
      </c>
      <c r="N2622">
        <f>IF(L2622="", "", L2622-B2622)</f>
        <v/>
      </c>
      <c r="O2622">
        <f>IF(L2622="", "Pending", IF(N2622&lt;=30, "Met", "Breached"))</f>
        <v/>
      </c>
      <c r="P2622" s="8" t="n"/>
      <c r="Q2622" s="8" t="n"/>
      <c r="R2622" s="8" t="n"/>
      <c r="S2622" s="8" t="n"/>
      <c r="T2622" s="8" t="n"/>
      <c r="U2622" s="8" t="n"/>
      <c r="V2622" s="8" t="n"/>
      <c r="W2622" s="8" t="n"/>
      <c r="X2622" s="8" t="n"/>
      <c r="Y2622" s="8" t="n"/>
    </row>
    <row r="2623">
      <c r="A2623" s="8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9">
        <f>B2623+30</f>
        <v/>
      </c>
      <c r="N2623">
        <f>IF(L2623="", "", L2623-B2623)</f>
        <v/>
      </c>
      <c r="O2623">
        <f>IF(L2623="", "Pending", IF(N2623&lt;=30, "Met", "Breached"))</f>
        <v/>
      </c>
      <c r="P2623" s="8" t="n"/>
      <c r="Q2623" s="8" t="n"/>
      <c r="R2623" s="8" t="n"/>
      <c r="S2623" s="8" t="n"/>
      <c r="T2623" s="8" t="n"/>
      <c r="U2623" s="8" t="n"/>
      <c r="V2623" s="8" t="n"/>
      <c r="W2623" s="8" t="n"/>
      <c r="X2623" s="8" t="n"/>
      <c r="Y2623" s="8" t="n"/>
    </row>
    <row r="2624">
      <c r="A2624" s="8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9">
        <f>B2624+30</f>
        <v/>
      </c>
      <c r="N2624">
        <f>IF(L2624="", "", L2624-B2624)</f>
        <v/>
      </c>
      <c r="O2624">
        <f>IF(L2624="", "Pending", IF(N2624&lt;=30, "Met", "Breached"))</f>
        <v/>
      </c>
      <c r="P2624" s="8" t="n"/>
      <c r="Q2624" s="8" t="n"/>
      <c r="R2624" s="8" t="n"/>
      <c r="S2624" s="8" t="n"/>
      <c r="T2624" s="8" t="n"/>
      <c r="U2624" s="8" t="n"/>
      <c r="V2624" s="8" t="n"/>
      <c r="W2624" s="8" t="n"/>
      <c r="X2624" s="8" t="n"/>
      <c r="Y2624" s="8" t="n"/>
    </row>
    <row r="2625">
      <c r="A2625" s="8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9">
        <f>B2625+30</f>
        <v/>
      </c>
      <c r="N2625">
        <f>IF(L2625="", "", L2625-B2625)</f>
        <v/>
      </c>
      <c r="O2625">
        <f>IF(L2625="", "Pending", IF(N2625&lt;=30, "Met", "Breached"))</f>
        <v/>
      </c>
      <c r="P2625" s="8" t="n"/>
      <c r="Q2625" s="8" t="n"/>
      <c r="R2625" s="8" t="n"/>
      <c r="S2625" s="8" t="n"/>
      <c r="T2625" s="8" t="n"/>
      <c r="U2625" s="8" t="n"/>
      <c r="V2625" s="8" t="n"/>
      <c r="W2625" s="8" t="n"/>
      <c r="X2625" s="8" t="n"/>
      <c r="Y2625" s="8" t="n"/>
    </row>
    <row r="2626">
      <c r="A2626" s="8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9">
        <f>B2626+30</f>
        <v/>
      </c>
      <c r="N2626">
        <f>IF(L2626="", "", L2626-B2626)</f>
        <v/>
      </c>
      <c r="O2626">
        <f>IF(L2626="", "Pending", IF(N2626&lt;=30, "Met", "Breached"))</f>
        <v/>
      </c>
      <c r="P2626" s="8" t="n"/>
      <c r="Q2626" s="8" t="n"/>
      <c r="R2626" s="8" t="n"/>
      <c r="S2626" s="8" t="n"/>
      <c r="T2626" s="8" t="n"/>
      <c r="U2626" s="8" t="n"/>
      <c r="V2626" s="8" t="n"/>
      <c r="W2626" s="8" t="n"/>
      <c r="X2626" s="8" t="n"/>
      <c r="Y2626" s="8" t="n"/>
    </row>
    <row r="2627">
      <c r="A2627" s="8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9">
        <f>B2627+30</f>
        <v/>
      </c>
      <c r="N2627">
        <f>IF(L2627="", "", L2627-B2627)</f>
        <v/>
      </c>
      <c r="O2627">
        <f>IF(L2627="", "Pending", IF(N2627&lt;=30, "Met", "Breached"))</f>
        <v/>
      </c>
      <c r="P2627" s="8" t="n"/>
      <c r="Q2627" s="8" t="n"/>
      <c r="R2627" s="8" t="n"/>
      <c r="S2627" s="8" t="n"/>
      <c r="T2627" s="8" t="n"/>
      <c r="U2627" s="8" t="n"/>
      <c r="V2627" s="8" t="n"/>
      <c r="W2627" s="8" t="n"/>
      <c r="X2627" s="8" t="n"/>
      <c r="Y2627" s="8" t="n"/>
    </row>
    <row r="2628">
      <c r="A2628" s="8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9">
        <f>B2628+30</f>
        <v/>
      </c>
      <c r="N2628">
        <f>IF(L2628="", "", L2628-B2628)</f>
        <v/>
      </c>
      <c r="O2628">
        <f>IF(L2628="", "Pending", IF(N2628&lt;=30, "Met", "Breached"))</f>
        <v/>
      </c>
      <c r="P2628" s="8" t="n"/>
      <c r="Q2628" s="8" t="n"/>
      <c r="R2628" s="8" t="n"/>
      <c r="S2628" s="8" t="n"/>
      <c r="T2628" s="8" t="n"/>
      <c r="U2628" s="8" t="n"/>
      <c r="V2628" s="8" t="n"/>
      <c r="W2628" s="8" t="n"/>
      <c r="X2628" s="8" t="n"/>
      <c r="Y2628" s="8" t="n"/>
    </row>
    <row r="2629">
      <c r="A2629" s="8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9">
        <f>B2629+30</f>
        <v/>
      </c>
      <c r="N2629">
        <f>IF(L2629="", "", L2629-B2629)</f>
        <v/>
      </c>
      <c r="O2629">
        <f>IF(L2629="", "Pending", IF(N2629&lt;=30, "Met", "Breached"))</f>
        <v/>
      </c>
      <c r="P2629" s="8" t="n"/>
      <c r="Q2629" s="8" t="n"/>
      <c r="R2629" s="8" t="n"/>
      <c r="S2629" s="8" t="n"/>
      <c r="T2629" s="8" t="n"/>
      <c r="U2629" s="8" t="n"/>
      <c r="V2629" s="8" t="n"/>
      <c r="W2629" s="8" t="n"/>
      <c r="X2629" s="8" t="n"/>
      <c r="Y2629" s="8" t="n"/>
    </row>
    <row r="2630">
      <c r="A2630" s="8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9">
        <f>B2630+30</f>
        <v/>
      </c>
      <c r="N2630">
        <f>IF(L2630="", "", L2630-B2630)</f>
        <v/>
      </c>
      <c r="O2630">
        <f>IF(L2630="", "Pending", IF(N2630&lt;=30, "Met", "Breached"))</f>
        <v/>
      </c>
      <c r="P2630" s="8" t="n"/>
      <c r="Q2630" s="8" t="n"/>
      <c r="R2630" s="8" t="n"/>
      <c r="S2630" s="8" t="n"/>
      <c r="T2630" s="8" t="n"/>
      <c r="U2630" s="8" t="n"/>
      <c r="V2630" s="8" t="n"/>
      <c r="W2630" s="8" t="n"/>
      <c r="X2630" s="8" t="n"/>
      <c r="Y2630" s="8" t="n"/>
    </row>
    <row r="2631">
      <c r="A2631" s="8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9">
        <f>B2631+30</f>
        <v/>
      </c>
      <c r="N2631">
        <f>IF(L2631="", "", L2631-B2631)</f>
        <v/>
      </c>
      <c r="O2631">
        <f>IF(L2631="", "Pending", IF(N2631&lt;=30, "Met", "Breached"))</f>
        <v/>
      </c>
      <c r="P2631" s="8" t="n"/>
      <c r="Q2631" s="8" t="n"/>
      <c r="R2631" s="8" t="n"/>
      <c r="S2631" s="8" t="n"/>
      <c r="T2631" s="8" t="n"/>
      <c r="U2631" s="8" t="n"/>
      <c r="V2631" s="8" t="n"/>
      <c r="W2631" s="8" t="n"/>
      <c r="X2631" s="8" t="n"/>
      <c r="Y2631" s="8" t="n"/>
    </row>
    <row r="2632">
      <c r="A2632" s="8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9">
        <f>B2632+30</f>
        <v/>
      </c>
      <c r="N2632">
        <f>IF(L2632="", "", L2632-B2632)</f>
        <v/>
      </c>
      <c r="O2632">
        <f>IF(L2632="", "Pending", IF(N2632&lt;=30, "Met", "Breached"))</f>
        <v/>
      </c>
      <c r="P2632" s="8" t="n"/>
      <c r="Q2632" s="8" t="n"/>
      <c r="R2632" s="8" t="n"/>
      <c r="S2632" s="8" t="n"/>
      <c r="T2632" s="8" t="n"/>
      <c r="U2632" s="8" t="n"/>
      <c r="V2632" s="8" t="n"/>
      <c r="W2632" s="8" t="n"/>
      <c r="X2632" s="8" t="n"/>
      <c r="Y2632" s="8" t="n"/>
    </row>
    <row r="2633">
      <c r="A2633" s="8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9">
        <f>B2633+30</f>
        <v/>
      </c>
      <c r="N2633">
        <f>IF(L2633="", "", L2633-B2633)</f>
        <v/>
      </c>
      <c r="O2633">
        <f>IF(L2633="", "Pending", IF(N2633&lt;=30, "Met", "Breached"))</f>
        <v/>
      </c>
      <c r="P2633" s="8" t="n"/>
      <c r="Q2633" s="8" t="n"/>
      <c r="R2633" s="8" t="n"/>
      <c r="S2633" s="8" t="n"/>
      <c r="T2633" s="8" t="n"/>
      <c r="U2633" s="8" t="n"/>
      <c r="V2633" s="8" t="n"/>
      <c r="W2633" s="8" t="n"/>
      <c r="X2633" s="8" t="n"/>
      <c r="Y2633" s="8" t="n"/>
    </row>
    <row r="2634">
      <c r="A2634" s="8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9">
        <f>B2634+30</f>
        <v/>
      </c>
      <c r="N2634">
        <f>IF(L2634="", "", L2634-B2634)</f>
        <v/>
      </c>
      <c r="O2634">
        <f>IF(L2634="", "Pending", IF(N2634&lt;=30, "Met", "Breached"))</f>
        <v/>
      </c>
      <c r="P2634" s="8" t="n"/>
      <c r="Q2634" s="8" t="n"/>
      <c r="R2634" s="8" t="n"/>
      <c r="S2634" s="8" t="n"/>
      <c r="T2634" s="8" t="n"/>
      <c r="U2634" s="8" t="n"/>
      <c r="V2634" s="8" t="n"/>
      <c r="W2634" s="8" t="n"/>
      <c r="X2634" s="8" t="n"/>
      <c r="Y2634" s="8" t="n"/>
    </row>
    <row r="2635">
      <c r="A2635" s="8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9">
        <f>B2635+30</f>
        <v/>
      </c>
      <c r="N2635">
        <f>IF(L2635="", "", L2635-B2635)</f>
        <v/>
      </c>
      <c r="O2635">
        <f>IF(L2635="", "Pending", IF(N2635&lt;=30, "Met", "Breached"))</f>
        <v/>
      </c>
      <c r="P2635" s="8" t="n"/>
      <c r="Q2635" s="8" t="n"/>
      <c r="R2635" s="8" t="n"/>
      <c r="S2635" s="8" t="n"/>
      <c r="T2635" s="8" t="n"/>
      <c r="U2635" s="8" t="n"/>
      <c r="V2635" s="8" t="n"/>
      <c r="W2635" s="8" t="n"/>
      <c r="X2635" s="8" t="n"/>
      <c r="Y2635" s="8" t="n"/>
    </row>
    <row r="2636">
      <c r="A2636" s="8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9">
        <f>B2636+30</f>
        <v/>
      </c>
      <c r="N2636">
        <f>IF(L2636="", "", L2636-B2636)</f>
        <v/>
      </c>
      <c r="O2636">
        <f>IF(L2636="", "Pending", IF(N2636&lt;=30, "Met", "Breached"))</f>
        <v/>
      </c>
      <c r="P2636" s="8" t="n"/>
      <c r="Q2636" s="8" t="n"/>
      <c r="R2636" s="8" t="n"/>
      <c r="S2636" s="8" t="n"/>
      <c r="T2636" s="8" t="n"/>
      <c r="U2636" s="8" t="n"/>
      <c r="V2636" s="8" t="n"/>
      <c r="W2636" s="8" t="n"/>
      <c r="X2636" s="8" t="n"/>
      <c r="Y2636" s="8" t="n"/>
    </row>
    <row r="2637">
      <c r="A2637" s="8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9">
        <f>B2637+30</f>
        <v/>
      </c>
      <c r="N2637">
        <f>IF(L2637="", "", L2637-B2637)</f>
        <v/>
      </c>
      <c r="O2637">
        <f>IF(L2637="", "Pending", IF(N2637&lt;=30, "Met", "Breached"))</f>
        <v/>
      </c>
      <c r="P2637" s="8" t="n"/>
      <c r="Q2637" s="8" t="n"/>
      <c r="R2637" s="8" t="n"/>
      <c r="S2637" s="8" t="n"/>
      <c r="T2637" s="8" t="n"/>
      <c r="U2637" s="8" t="n"/>
      <c r="V2637" s="8" t="n"/>
      <c r="W2637" s="8" t="n"/>
      <c r="X2637" s="8" t="n"/>
      <c r="Y2637" s="8" t="n"/>
    </row>
    <row r="2638">
      <c r="A2638" s="8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9">
        <f>B2638+30</f>
        <v/>
      </c>
      <c r="N2638">
        <f>IF(L2638="", "", L2638-B2638)</f>
        <v/>
      </c>
      <c r="O2638">
        <f>IF(L2638="", "Pending", IF(N2638&lt;=30, "Met", "Breached"))</f>
        <v/>
      </c>
      <c r="P2638" s="8" t="n"/>
      <c r="Q2638" s="8" t="n"/>
      <c r="R2638" s="8" t="n"/>
      <c r="S2638" s="8" t="n"/>
      <c r="T2638" s="8" t="n"/>
      <c r="U2638" s="8" t="n"/>
      <c r="V2638" s="8" t="n"/>
      <c r="W2638" s="8" t="n"/>
      <c r="X2638" s="8" t="n"/>
      <c r="Y2638" s="8" t="n"/>
    </row>
    <row r="2639">
      <c r="A2639" s="8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9">
        <f>B2639+30</f>
        <v/>
      </c>
      <c r="N2639">
        <f>IF(L2639="", "", L2639-B2639)</f>
        <v/>
      </c>
      <c r="O2639">
        <f>IF(L2639="", "Pending", IF(N2639&lt;=30, "Met", "Breached"))</f>
        <v/>
      </c>
      <c r="P2639" s="8" t="n"/>
      <c r="Q2639" s="8" t="n"/>
      <c r="R2639" s="8" t="n"/>
      <c r="S2639" s="8" t="n"/>
      <c r="T2639" s="8" t="n"/>
      <c r="U2639" s="8" t="n"/>
      <c r="V2639" s="8" t="n"/>
      <c r="W2639" s="8" t="n"/>
      <c r="X2639" s="8" t="n"/>
      <c r="Y2639" s="8" t="n"/>
    </row>
    <row r="2640">
      <c r="A2640" s="8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9">
        <f>B2640+30</f>
        <v/>
      </c>
      <c r="N2640">
        <f>IF(L2640="", "", L2640-B2640)</f>
        <v/>
      </c>
      <c r="O2640">
        <f>IF(L2640="", "Pending", IF(N2640&lt;=30, "Met", "Breached"))</f>
        <v/>
      </c>
      <c r="P2640" s="8" t="n"/>
      <c r="Q2640" s="8" t="n"/>
      <c r="R2640" s="8" t="n"/>
      <c r="S2640" s="8" t="n"/>
      <c r="T2640" s="8" t="n"/>
      <c r="U2640" s="8" t="n"/>
      <c r="V2640" s="8" t="n"/>
      <c r="W2640" s="8" t="n"/>
      <c r="X2640" s="8" t="n"/>
      <c r="Y2640" s="8" t="n"/>
    </row>
    <row r="2641">
      <c r="A2641" s="8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9">
        <f>B2641+30</f>
        <v/>
      </c>
      <c r="N2641">
        <f>IF(L2641="", "", L2641-B2641)</f>
        <v/>
      </c>
      <c r="O2641">
        <f>IF(L2641="", "Pending", IF(N2641&lt;=30, "Met", "Breached"))</f>
        <v/>
      </c>
      <c r="P2641" s="8" t="n"/>
      <c r="Q2641" s="8" t="n"/>
      <c r="R2641" s="8" t="n"/>
      <c r="S2641" s="8" t="n"/>
      <c r="T2641" s="8" t="n"/>
      <c r="U2641" s="8" t="n"/>
      <c r="V2641" s="8" t="n"/>
      <c r="W2641" s="8" t="n"/>
      <c r="X2641" s="8" t="n"/>
      <c r="Y2641" s="8" t="n"/>
    </row>
    <row r="2642">
      <c r="A2642" s="8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9">
        <f>B2642+30</f>
        <v/>
      </c>
      <c r="N2642">
        <f>IF(L2642="", "", L2642-B2642)</f>
        <v/>
      </c>
      <c r="O2642">
        <f>IF(L2642="", "Pending", IF(N2642&lt;=30, "Met", "Breached"))</f>
        <v/>
      </c>
      <c r="P2642" s="8" t="n"/>
      <c r="Q2642" s="8" t="n"/>
      <c r="R2642" s="8" t="n"/>
      <c r="S2642" s="8" t="n"/>
      <c r="T2642" s="8" t="n"/>
      <c r="U2642" s="8" t="n"/>
      <c r="V2642" s="8" t="n"/>
      <c r="W2642" s="8" t="n"/>
      <c r="X2642" s="8" t="n"/>
      <c r="Y2642" s="8" t="n"/>
    </row>
    <row r="2643">
      <c r="A2643" s="8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9">
        <f>B2643+30</f>
        <v/>
      </c>
      <c r="N2643">
        <f>IF(L2643="", "", L2643-B2643)</f>
        <v/>
      </c>
      <c r="O2643">
        <f>IF(L2643="", "Pending", IF(N2643&lt;=30, "Met", "Breached"))</f>
        <v/>
      </c>
      <c r="P2643" s="8" t="n"/>
      <c r="Q2643" s="8" t="n"/>
      <c r="R2643" s="8" t="n"/>
      <c r="S2643" s="8" t="n"/>
      <c r="T2643" s="8" t="n"/>
      <c r="U2643" s="8" t="n"/>
      <c r="V2643" s="8" t="n"/>
      <c r="W2643" s="8" t="n"/>
      <c r="X2643" s="8" t="n"/>
      <c r="Y2643" s="8" t="n"/>
    </row>
    <row r="2644">
      <c r="A2644" s="8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9">
        <f>B2644+30</f>
        <v/>
      </c>
      <c r="N2644">
        <f>IF(L2644="", "", L2644-B2644)</f>
        <v/>
      </c>
      <c r="O2644">
        <f>IF(L2644="", "Pending", IF(N2644&lt;=30, "Met", "Breached"))</f>
        <v/>
      </c>
      <c r="P2644" s="8" t="n"/>
      <c r="Q2644" s="8" t="n"/>
      <c r="R2644" s="8" t="n"/>
      <c r="S2644" s="8" t="n"/>
      <c r="T2644" s="8" t="n"/>
      <c r="U2644" s="8" t="n"/>
      <c r="V2644" s="8" t="n"/>
      <c r="W2644" s="8" t="n"/>
      <c r="X2644" s="8" t="n"/>
      <c r="Y2644" s="8" t="n"/>
    </row>
    <row r="2645">
      <c r="A2645" s="8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9">
        <f>B2645+30</f>
        <v/>
      </c>
      <c r="N2645">
        <f>IF(L2645="", "", L2645-B2645)</f>
        <v/>
      </c>
      <c r="O2645">
        <f>IF(L2645="", "Pending", IF(N2645&lt;=30, "Met", "Breached"))</f>
        <v/>
      </c>
      <c r="P2645" s="8" t="n"/>
      <c r="Q2645" s="8" t="n"/>
      <c r="R2645" s="8" t="n"/>
      <c r="S2645" s="8" t="n"/>
      <c r="T2645" s="8" t="n"/>
      <c r="U2645" s="8" t="n"/>
      <c r="V2645" s="8" t="n"/>
      <c r="W2645" s="8" t="n"/>
      <c r="X2645" s="8" t="n"/>
      <c r="Y2645" s="8" t="n"/>
    </row>
    <row r="2646">
      <c r="A2646" s="8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9">
        <f>B2646+30</f>
        <v/>
      </c>
      <c r="N2646">
        <f>IF(L2646="", "", L2646-B2646)</f>
        <v/>
      </c>
      <c r="O2646">
        <f>IF(L2646="", "Pending", IF(N2646&lt;=30, "Met", "Breached"))</f>
        <v/>
      </c>
      <c r="P2646" s="8" t="n"/>
      <c r="Q2646" s="8" t="n"/>
      <c r="R2646" s="8" t="n"/>
      <c r="S2646" s="8" t="n"/>
      <c r="T2646" s="8" t="n"/>
      <c r="U2646" s="8" t="n"/>
      <c r="V2646" s="8" t="n"/>
      <c r="W2646" s="8" t="n"/>
      <c r="X2646" s="8" t="n"/>
      <c r="Y2646" s="8" t="n"/>
    </row>
    <row r="2647">
      <c r="A2647" s="8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9">
        <f>B2647+30</f>
        <v/>
      </c>
      <c r="N2647">
        <f>IF(L2647="", "", L2647-B2647)</f>
        <v/>
      </c>
      <c r="O2647">
        <f>IF(L2647="", "Pending", IF(N2647&lt;=30, "Met", "Breached"))</f>
        <v/>
      </c>
      <c r="P2647" s="8" t="n"/>
      <c r="Q2647" s="8" t="n"/>
      <c r="R2647" s="8" t="n"/>
      <c r="S2647" s="8" t="n"/>
      <c r="T2647" s="8" t="n"/>
      <c r="U2647" s="8" t="n"/>
      <c r="V2647" s="8" t="n"/>
      <c r="W2647" s="8" t="n"/>
      <c r="X2647" s="8" t="n"/>
      <c r="Y2647" s="8" t="n"/>
    </row>
    <row r="2648">
      <c r="A2648" s="8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9">
        <f>B2648+30</f>
        <v/>
      </c>
      <c r="N2648">
        <f>IF(L2648="", "", L2648-B2648)</f>
        <v/>
      </c>
      <c r="O2648">
        <f>IF(L2648="", "Pending", IF(N2648&lt;=30, "Met", "Breached"))</f>
        <v/>
      </c>
      <c r="P2648" s="8" t="n"/>
      <c r="Q2648" s="8" t="n"/>
      <c r="R2648" s="8" t="n"/>
      <c r="S2648" s="8" t="n"/>
      <c r="T2648" s="8" t="n"/>
      <c r="U2648" s="8" t="n"/>
      <c r="V2648" s="8" t="n"/>
      <c r="W2648" s="8" t="n"/>
      <c r="X2648" s="8" t="n"/>
      <c r="Y2648" s="8" t="n"/>
    </row>
    <row r="2649">
      <c r="A2649" s="8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9">
        <f>B2649+30</f>
        <v/>
      </c>
      <c r="N2649">
        <f>IF(L2649="", "", L2649-B2649)</f>
        <v/>
      </c>
      <c r="O2649">
        <f>IF(L2649="", "Pending", IF(N2649&lt;=30, "Met", "Breached"))</f>
        <v/>
      </c>
      <c r="P2649" s="8" t="n"/>
      <c r="Q2649" s="8" t="n"/>
      <c r="R2649" s="8" t="n"/>
      <c r="S2649" s="8" t="n"/>
      <c r="T2649" s="8" t="n"/>
      <c r="U2649" s="8" t="n"/>
      <c r="V2649" s="8" t="n"/>
      <c r="W2649" s="8" t="n"/>
      <c r="X2649" s="8" t="n"/>
      <c r="Y2649" s="8" t="n"/>
    </row>
    <row r="2650">
      <c r="A2650" s="8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9">
        <f>B2650+30</f>
        <v/>
      </c>
      <c r="N2650">
        <f>IF(L2650="", "", L2650-B2650)</f>
        <v/>
      </c>
      <c r="O2650">
        <f>IF(L2650="", "Pending", IF(N2650&lt;=30, "Met", "Breached"))</f>
        <v/>
      </c>
      <c r="P2650" s="8" t="n"/>
      <c r="Q2650" s="8" t="n"/>
      <c r="R2650" s="8" t="n"/>
      <c r="S2650" s="8" t="n"/>
      <c r="T2650" s="8" t="n"/>
      <c r="U2650" s="8" t="n"/>
      <c r="V2650" s="8" t="n"/>
      <c r="W2650" s="8" t="n"/>
      <c r="X2650" s="8" t="n"/>
      <c r="Y2650" s="8" t="n"/>
    </row>
    <row r="2651">
      <c r="A2651" s="8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9">
        <f>B2651+30</f>
        <v/>
      </c>
      <c r="N2651">
        <f>IF(L2651="", "", L2651-B2651)</f>
        <v/>
      </c>
      <c r="O2651">
        <f>IF(L2651="", "Pending", IF(N2651&lt;=30, "Met", "Breached"))</f>
        <v/>
      </c>
      <c r="P2651" s="8" t="n"/>
      <c r="Q2651" s="8" t="n"/>
      <c r="R2651" s="8" t="n"/>
      <c r="S2651" s="8" t="n"/>
      <c r="T2651" s="8" t="n"/>
      <c r="U2651" s="8" t="n"/>
      <c r="V2651" s="8" t="n"/>
      <c r="W2651" s="8" t="n"/>
      <c r="X2651" s="8" t="n"/>
      <c r="Y2651" s="8" t="n"/>
    </row>
    <row r="2652">
      <c r="A2652" s="8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9">
        <f>B2652+30</f>
        <v/>
      </c>
      <c r="N2652">
        <f>IF(L2652="", "", L2652-B2652)</f>
        <v/>
      </c>
      <c r="O2652">
        <f>IF(L2652="", "Pending", IF(N2652&lt;=30, "Met", "Breached"))</f>
        <v/>
      </c>
      <c r="P2652" s="8" t="n"/>
      <c r="Q2652" s="8" t="n"/>
      <c r="R2652" s="8" t="n"/>
      <c r="S2652" s="8" t="n"/>
      <c r="T2652" s="8" t="n"/>
      <c r="U2652" s="8" t="n"/>
      <c r="V2652" s="8" t="n"/>
      <c r="W2652" s="8" t="n"/>
      <c r="X2652" s="8" t="n"/>
      <c r="Y2652" s="8" t="n"/>
    </row>
    <row r="2653">
      <c r="A2653" s="8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9">
        <f>B2653+30</f>
        <v/>
      </c>
      <c r="N2653">
        <f>IF(L2653="", "", L2653-B2653)</f>
        <v/>
      </c>
      <c r="O2653">
        <f>IF(L2653="", "Pending", IF(N2653&lt;=30, "Met", "Breached"))</f>
        <v/>
      </c>
      <c r="P2653" s="8" t="n"/>
      <c r="Q2653" s="8" t="n"/>
      <c r="R2653" s="8" t="n"/>
      <c r="S2653" s="8" t="n"/>
      <c r="T2653" s="8" t="n"/>
      <c r="U2653" s="8" t="n"/>
      <c r="V2653" s="8" t="n"/>
      <c r="W2653" s="8" t="n"/>
      <c r="X2653" s="8" t="n"/>
      <c r="Y2653" s="8" t="n"/>
    </row>
    <row r="2654">
      <c r="A2654" s="8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9">
        <f>B2654+30</f>
        <v/>
      </c>
      <c r="N2654">
        <f>IF(L2654="", "", L2654-B2654)</f>
        <v/>
      </c>
      <c r="O2654">
        <f>IF(L2654="", "Pending", IF(N2654&lt;=30, "Met", "Breached"))</f>
        <v/>
      </c>
      <c r="P2654" s="8" t="n"/>
      <c r="Q2654" s="8" t="n"/>
      <c r="R2654" s="8" t="n"/>
      <c r="S2654" s="8" t="n"/>
      <c r="T2654" s="8" t="n"/>
      <c r="U2654" s="8" t="n"/>
      <c r="V2654" s="8" t="n"/>
      <c r="W2654" s="8" t="n"/>
      <c r="X2654" s="8" t="n"/>
      <c r="Y2654" s="8" t="n"/>
    </row>
    <row r="2655">
      <c r="A2655" s="8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9">
        <f>B2655+30</f>
        <v/>
      </c>
      <c r="N2655">
        <f>IF(L2655="", "", L2655-B2655)</f>
        <v/>
      </c>
      <c r="O2655">
        <f>IF(L2655="", "Pending", IF(N2655&lt;=30, "Met", "Breached"))</f>
        <v/>
      </c>
      <c r="P2655" s="8" t="n"/>
      <c r="Q2655" s="8" t="n"/>
      <c r="R2655" s="8" t="n"/>
      <c r="S2655" s="8" t="n"/>
      <c r="T2655" s="8" t="n"/>
      <c r="U2655" s="8" t="n"/>
      <c r="V2655" s="8" t="n"/>
      <c r="W2655" s="8" t="n"/>
      <c r="X2655" s="8" t="n"/>
      <c r="Y2655" s="8" t="n"/>
    </row>
    <row r="2656">
      <c r="A2656" s="8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9">
        <f>B2656+30</f>
        <v/>
      </c>
      <c r="N2656">
        <f>IF(L2656="", "", L2656-B2656)</f>
        <v/>
      </c>
      <c r="O2656">
        <f>IF(L2656="", "Pending", IF(N2656&lt;=30, "Met", "Breached"))</f>
        <v/>
      </c>
      <c r="P2656" s="8" t="n"/>
      <c r="Q2656" s="8" t="n"/>
      <c r="R2656" s="8" t="n"/>
      <c r="S2656" s="8" t="n"/>
      <c r="T2656" s="8" t="n"/>
      <c r="U2656" s="8" t="n"/>
      <c r="V2656" s="8" t="n"/>
      <c r="W2656" s="8" t="n"/>
      <c r="X2656" s="8" t="n"/>
      <c r="Y2656" s="8" t="n"/>
    </row>
    <row r="2657">
      <c r="A2657" s="8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9">
        <f>B2657+30</f>
        <v/>
      </c>
      <c r="N2657">
        <f>IF(L2657="", "", L2657-B2657)</f>
        <v/>
      </c>
      <c r="O2657">
        <f>IF(L2657="", "Pending", IF(N2657&lt;=30, "Met", "Breached"))</f>
        <v/>
      </c>
      <c r="P2657" s="8" t="n"/>
      <c r="Q2657" s="8" t="n"/>
      <c r="R2657" s="8" t="n"/>
      <c r="S2657" s="8" t="n"/>
      <c r="T2657" s="8" t="n"/>
      <c r="U2657" s="8" t="n"/>
      <c r="V2657" s="8" t="n"/>
      <c r="W2657" s="8" t="n"/>
      <c r="X2657" s="8" t="n"/>
      <c r="Y2657" s="8" t="n"/>
    </row>
    <row r="2658">
      <c r="A2658" s="8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9">
        <f>B2658+30</f>
        <v/>
      </c>
      <c r="N2658">
        <f>IF(L2658="", "", L2658-B2658)</f>
        <v/>
      </c>
      <c r="O2658">
        <f>IF(L2658="", "Pending", IF(N2658&lt;=30, "Met", "Breached"))</f>
        <v/>
      </c>
      <c r="P2658" s="8" t="n"/>
      <c r="Q2658" s="8" t="n"/>
      <c r="R2658" s="8" t="n"/>
      <c r="S2658" s="8" t="n"/>
      <c r="T2658" s="8" t="n"/>
      <c r="U2658" s="8" t="n"/>
      <c r="V2658" s="8" t="n"/>
      <c r="W2658" s="8" t="n"/>
      <c r="X2658" s="8" t="n"/>
      <c r="Y2658" s="8" t="n"/>
    </row>
    <row r="2659">
      <c r="A2659" s="8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9">
        <f>B2659+30</f>
        <v/>
      </c>
      <c r="N2659">
        <f>IF(L2659="", "", L2659-B2659)</f>
        <v/>
      </c>
      <c r="O2659">
        <f>IF(L2659="", "Pending", IF(N2659&lt;=30, "Met", "Breached"))</f>
        <v/>
      </c>
      <c r="P2659" s="8" t="n"/>
      <c r="Q2659" s="8" t="n"/>
      <c r="R2659" s="8" t="n"/>
      <c r="S2659" s="8" t="n"/>
      <c r="T2659" s="8" t="n"/>
      <c r="U2659" s="8" t="n"/>
      <c r="V2659" s="8" t="n"/>
      <c r="W2659" s="8" t="n"/>
      <c r="X2659" s="8" t="n"/>
      <c r="Y2659" s="8" t="n"/>
    </row>
    <row r="2660">
      <c r="A2660" s="8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9">
        <f>B2660+30</f>
        <v/>
      </c>
      <c r="N2660">
        <f>IF(L2660="", "", L2660-B2660)</f>
        <v/>
      </c>
      <c r="O2660">
        <f>IF(L2660="", "Pending", IF(N2660&lt;=30, "Met", "Breached"))</f>
        <v/>
      </c>
      <c r="P2660" s="8" t="n"/>
      <c r="Q2660" s="8" t="n"/>
      <c r="R2660" s="8" t="n"/>
      <c r="S2660" s="8" t="n"/>
      <c r="T2660" s="8" t="n"/>
      <c r="U2660" s="8" t="n"/>
      <c r="V2660" s="8" t="n"/>
      <c r="W2660" s="8" t="n"/>
      <c r="X2660" s="8" t="n"/>
      <c r="Y2660" s="8" t="n"/>
    </row>
    <row r="2661">
      <c r="A2661" s="8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9">
        <f>B2661+30</f>
        <v/>
      </c>
      <c r="N2661">
        <f>IF(L2661="", "", L2661-B2661)</f>
        <v/>
      </c>
      <c r="O2661">
        <f>IF(L2661="", "Pending", IF(N2661&lt;=30, "Met", "Breached"))</f>
        <v/>
      </c>
      <c r="P2661" s="8" t="n"/>
      <c r="Q2661" s="8" t="n"/>
      <c r="R2661" s="8" t="n"/>
      <c r="S2661" s="8" t="n"/>
      <c r="T2661" s="8" t="n"/>
      <c r="U2661" s="8" t="n"/>
      <c r="V2661" s="8" t="n"/>
      <c r="W2661" s="8" t="n"/>
      <c r="X2661" s="8" t="n"/>
      <c r="Y2661" s="8" t="n"/>
    </row>
    <row r="2662">
      <c r="A2662" s="8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9">
        <f>B2662+30</f>
        <v/>
      </c>
      <c r="N2662">
        <f>IF(L2662="", "", L2662-B2662)</f>
        <v/>
      </c>
      <c r="O2662">
        <f>IF(L2662="", "Pending", IF(N2662&lt;=30, "Met", "Breached"))</f>
        <v/>
      </c>
      <c r="P2662" s="8" t="n"/>
      <c r="Q2662" s="8" t="n"/>
      <c r="R2662" s="8" t="n"/>
      <c r="S2662" s="8" t="n"/>
      <c r="T2662" s="8" t="n"/>
      <c r="U2662" s="8" t="n"/>
      <c r="V2662" s="8" t="n"/>
      <c r="W2662" s="8" t="n"/>
      <c r="X2662" s="8" t="n"/>
      <c r="Y2662" s="8" t="n"/>
    </row>
    <row r="2663">
      <c r="A2663" s="8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9">
        <f>B2663+30</f>
        <v/>
      </c>
      <c r="N2663">
        <f>IF(L2663="", "", L2663-B2663)</f>
        <v/>
      </c>
      <c r="O2663">
        <f>IF(L2663="", "Pending", IF(N2663&lt;=30, "Met", "Breached"))</f>
        <v/>
      </c>
      <c r="P2663" s="8" t="n"/>
      <c r="Q2663" s="8" t="n"/>
      <c r="R2663" s="8" t="n"/>
      <c r="S2663" s="8" t="n"/>
      <c r="T2663" s="8" t="n"/>
      <c r="U2663" s="8" t="n"/>
      <c r="V2663" s="8" t="n"/>
      <c r="W2663" s="8" t="n"/>
      <c r="X2663" s="8" t="n"/>
      <c r="Y2663" s="8" t="n"/>
    </row>
    <row r="2664">
      <c r="A2664" s="8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9">
        <f>B2664+30</f>
        <v/>
      </c>
      <c r="N2664">
        <f>IF(L2664="", "", L2664-B2664)</f>
        <v/>
      </c>
      <c r="O2664">
        <f>IF(L2664="", "Pending", IF(N2664&lt;=30, "Met", "Breached"))</f>
        <v/>
      </c>
      <c r="P2664" s="8" t="n"/>
      <c r="Q2664" s="8" t="n"/>
      <c r="R2664" s="8" t="n"/>
      <c r="S2664" s="8" t="n"/>
      <c r="T2664" s="8" t="n"/>
      <c r="U2664" s="8" t="n"/>
      <c r="V2664" s="8" t="n"/>
      <c r="W2664" s="8" t="n"/>
      <c r="X2664" s="8" t="n"/>
      <c r="Y2664" s="8" t="n"/>
    </row>
    <row r="2665">
      <c r="A2665" s="8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9">
        <f>B2665+30</f>
        <v/>
      </c>
      <c r="N2665">
        <f>IF(L2665="", "", L2665-B2665)</f>
        <v/>
      </c>
      <c r="O2665">
        <f>IF(L2665="", "Pending", IF(N2665&lt;=30, "Met", "Breached"))</f>
        <v/>
      </c>
      <c r="P2665" s="8" t="n"/>
      <c r="Q2665" s="8" t="n"/>
      <c r="R2665" s="8" t="n"/>
      <c r="S2665" s="8" t="n"/>
      <c r="T2665" s="8" t="n"/>
      <c r="U2665" s="8" t="n"/>
      <c r="V2665" s="8" t="n"/>
      <c r="W2665" s="8" t="n"/>
      <c r="X2665" s="8" t="n"/>
      <c r="Y2665" s="8" t="n"/>
    </row>
    <row r="2666">
      <c r="A2666" s="8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9">
        <f>B2666+30</f>
        <v/>
      </c>
      <c r="N2666">
        <f>IF(L2666="", "", L2666-B2666)</f>
        <v/>
      </c>
      <c r="O2666">
        <f>IF(L2666="", "Pending", IF(N2666&lt;=30, "Met", "Breached"))</f>
        <v/>
      </c>
      <c r="P2666" s="8" t="n"/>
      <c r="Q2666" s="8" t="n"/>
      <c r="R2666" s="8" t="n"/>
      <c r="S2666" s="8" t="n"/>
      <c r="T2666" s="8" t="n"/>
      <c r="U2666" s="8" t="n"/>
      <c r="V2666" s="8" t="n"/>
      <c r="W2666" s="8" t="n"/>
      <c r="X2666" s="8" t="n"/>
      <c r="Y2666" s="8" t="n"/>
    </row>
    <row r="2667">
      <c r="A2667" s="8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9">
        <f>B2667+30</f>
        <v/>
      </c>
      <c r="N2667">
        <f>IF(L2667="", "", L2667-B2667)</f>
        <v/>
      </c>
      <c r="O2667">
        <f>IF(L2667="", "Pending", IF(N2667&lt;=30, "Met", "Breached"))</f>
        <v/>
      </c>
      <c r="P2667" s="8" t="n"/>
      <c r="Q2667" s="8" t="n"/>
      <c r="R2667" s="8" t="n"/>
      <c r="S2667" s="8" t="n"/>
      <c r="T2667" s="8" t="n"/>
      <c r="U2667" s="8" t="n"/>
      <c r="V2667" s="8" t="n"/>
      <c r="W2667" s="8" t="n"/>
      <c r="X2667" s="8" t="n"/>
      <c r="Y2667" s="8" t="n"/>
    </row>
    <row r="2668">
      <c r="A2668" s="8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9">
        <f>B2668+30</f>
        <v/>
      </c>
      <c r="N2668">
        <f>IF(L2668="", "", L2668-B2668)</f>
        <v/>
      </c>
      <c r="O2668">
        <f>IF(L2668="", "Pending", IF(N2668&lt;=30, "Met", "Breached"))</f>
        <v/>
      </c>
      <c r="P2668" s="8" t="n"/>
      <c r="Q2668" s="8" t="n"/>
      <c r="R2668" s="8" t="n"/>
      <c r="S2668" s="8" t="n"/>
      <c r="T2668" s="8" t="n"/>
      <c r="U2668" s="8" t="n"/>
      <c r="V2668" s="8" t="n"/>
      <c r="W2668" s="8" t="n"/>
      <c r="X2668" s="8" t="n"/>
      <c r="Y2668" s="8" t="n"/>
    </row>
    <row r="2669">
      <c r="A2669" s="8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9">
        <f>B2669+30</f>
        <v/>
      </c>
      <c r="N2669">
        <f>IF(L2669="", "", L2669-B2669)</f>
        <v/>
      </c>
      <c r="O2669">
        <f>IF(L2669="", "Pending", IF(N2669&lt;=30, "Met", "Breached"))</f>
        <v/>
      </c>
      <c r="P2669" s="8" t="n"/>
      <c r="Q2669" s="8" t="n"/>
      <c r="R2669" s="8" t="n"/>
      <c r="S2669" s="8" t="n"/>
      <c r="T2669" s="8" t="n"/>
      <c r="U2669" s="8" t="n"/>
      <c r="V2669" s="8" t="n"/>
      <c r="W2669" s="8" t="n"/>
      <c r="X2669" s="8" t="n"/>
      <c r="Y2669" s="8" t="n"/>
    </row>
    <row r="2670">
      <c r="A2670" s="8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9">
        <f>B2670+30</f>
        <v/>
      </c>
      <c r="N2670">
        <f>IF(L2670="", "", L2670-B2670)</f>
        <v/>
      </c>
      <c r="O2670">
        <f>IF(L2670="", "Pending", IF(N2670&lt;=30, "Met", "Breached"))</f>
        <v/>
      </c>
      <c r="P2670" s="8" t="n"/>
      <c r="Q2670" s="8" t="n"/>
      <c r="R2670" s="8" t="n"/>
      <c r="S2670" s="8" t="n"/>
      <c r="T2670" s="8" t="n"/>
      <c r="U2670" s="8" t="n"/>
      <c r="V2670" s="8" t="n"/>
      <c r="W2670" s="8" t="n"/>
      <c r="X2670" s="8" t="n"/>
      <c r="Y2670" s="8" t="n"/>
    </row>
    <row r="2671">
      <c r="A2671" s="8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9">
        <f>B2671+30</f>
        <v/>
      </c>
      <c r="N2671">
        <f>IF(L2671="", "", L2671-B2671)</f>
        <v/>
      </c>
      <c r="O2671">
        <f>IF(L2671="", "Pending", IF(N2671&lt;=30, "Met", "Breached"))</f>
        <v/>
      </c>
      <c r="P2671" s="8" t="n"/>
      <c r="Q2671" s="8" t="n"/>
      <c r="R2671" s="8" t="n"/>
      <c r="S2671" s="8" t="n"/>
      <c r="T2671" s="8" t="n"/>
      <c r="U2671" s="8" t="n"/>
      <c r="V2671" s="8" t="n"/>
      <c r="W2671" s="8" t="n"/>
      <c r="X2671" s="8" t="n"/>
      <c r="Y2671" s="8" t="n"/>
    </row>
    <row r="2672">
      <c r="A2672" s="8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9">
        <f>B2672+30</f>
        <v/>
      </c>
      <c r="N2672">
        <f>IF(L2672="", "", L2672-B2672)</f>
        <v/>
      </c>
      <c r="O2672">
        <f>IF(L2672="", "Pending", IF(N2672&lt;=30, "Met", "Breached"))</f>
        <v/>
      </c>
      <c r="P2672" s="8" t="n"/>
      <c r="Q2672" s="8" t="n"/>
      <c r="R2672" s="8" t="n"/>
      <c r="S2672" s="8" t="n"/>
      <c r="T2672" s="8" t="n"/>
      <c r="U2672" s="8" t="n"/>
      <c r="V2672" s="8" t="n"/>
      <c r="W2672" s="8" t="n"/>
      <c r="X2672" s="8" t="n"/>
      <c r="Y2672" s="8" t="n"/>
    </row>
    <row r="2673">
      <c r="A2673" s="8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9">
        <f>B2673+30</f>
        <v/>
      </c>
      <c r="N2673">
        <f>IF(L2673="", "", L2673-B2673)</f>
        <v/>
      </c>
      <c r="O2673">
        <f>IF(L2673="", "Pending", IF(N2673&lt;=30, "Met", "Breached"))</f>
        <v/>
      </c>
      <c r="P2673" s="8" t="n"/>
      <c r="Q2673" s="8" t="n"/>
      <c r="R2673" s="8" t="n"/>
      <c r="S2673" s="8" t="n"/>
      <c r="T2673" s="8" t="n"/>
      <c r="U2673" s="8" t="n"/>
      <c r="V2673" s="8" t="n"/>
      <c r="W2673" s="8" t="n"/>
      <c r="X2673" s="8" t="n"/>
      <c r="Y2673" s="8" t="n"/>
    </row>
    <row r="2674">
      <c r="A2674" s="8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9">
        <f>B2674+30</f>
        <v/>
      </c>
      <c r="N2674">
        <f>IF(L2674="", "", L2674-B2674)</f>
        <v/>
      </c>
      <c r="O2674">
        <f>IF(L2674="", "Pending", IF(N2674&lt;=30, "Met", "Breached"))</f>
        <v/>
      </c>
      <c r="P2674" s="8" t="n"/>
      <c r="Q2674" s="8" t="n"/>
      <c r="R2674" s="8" t="n"/>
      <c r="S2674" s="8" t="n"/>
      <c r="T2674" s="8" t="n"/>
      <c r="U2674" s="8" t="n"/>
      <c r="V2674" s="8" t="n"/>
      <c r="W2674" s="8" t="n"/>
      <c r="X2674" s="8" t="n"/>
      <c r="Y2674" s="8" t="n"/>
    </row>
    <row r="2675">
      <c r="A2675" s="8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9">
        <f>B2675+30</f>
        <v/>
      </c>
      <c r="N2675">
        <f>IF(L2675="", "", L2675-B2675)</f>
        <v/>
      </c>
      <c r="O2675">
        <f>IF(L2675="", "Pending", IF(N2675&lt;=30, "Met", "Breached"))</f>
        <v/>
      </c>
      <c r="P2675" s="8" t="n"/>
      <c r="Q2675" s="8" t="n"/>
      <c r="R2675" s="8" t="n"/>
      <c r="S2675" s="8" t="n"/>
      <c r="T2675" s="8" t="n"/>
      <c r="U2675" s="8" t="n"/>
      <c r="V2675" s="8" t="n"/>
      <c r="W2675" s="8" t="n"/>
      <c r="X2675" s="8" t="n"/>
      <c r="Y2675" s="8" t="n"/>
    </row>
    <row r="2676">
      <c r="A2676" s="8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9">
        <f>B2676+30</f>
        <v/>
      </c>
      <c r="N2676">
        <f>IF(L2676="", "", L2676-B2676)</f>
        <v/>
      </c>
      <c r="O2676">
        <f>IF(L2676="", "Pending", IF(N2676&lt;=30, "Met", "Breached"))</f>
        <v/>
      </c>
      <c r="P2676" s="8" t="n"/>
      <c r="Q2676" s="8" t="n"/>
      <c r="R2676" s="8" t="n"/>
      <c r="S2676" s="8" t="n"/>
      <c r="T2676" s="8" t="n"/>
      <c r="U2676" s="8" t="n"/>
      <c r="V2676" s="8" t="n"/>
      <c r="W2676" s="8" t="n"/>
      <c r="X2676" s="8" t="n"/>
      <c r="Y2676" s="8" t="n"/>
    </row>
    <row r="2677">
      <c r="A2677" s="8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9">
        <f>B2677+30</f>
        <v/>
      </c>
      <c r="N2677">
        <f>IF(L2677="", "", L2677-B2677)</f>
        <v/>
      </c>
      <c r="O2677">
        <f>IF(L2677="", "Pending", IF(N2677&lt;=30, "Met", "Breached"))</f>
        <v/>
      </c>
      <c r="P2677" s="8" t="n"/>
      <c r="Q2677" s="8" t="n"/>
      <c r="R2677" s="8" t="n"/>
      <c r="S2677" s="8" t="n"/>
      <c r="T2677" s="8" t="n"/>
      <c r="U2677" s="8" t="n"/>
      <c r="V2677" s="8" t="n"/>
      <c r="W2677" s="8" t="n"/>
      <c r="X2677" s="8" t="n"/>
      <c r="Y2677" s="8" t="n"/>
    </row>
    <row r="2678">
      <c r="A2678" s="8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9">
        <f>B2678+30</f>
        <v/>
      </c>
      <c r="N2678">
        <f>IF(L2678="", "", L2678-B2678)</f>
        <v/>
      </c>
      <c r="O2678">
        <f>IF(L2678="", "Pending", IF(N2678&lt;=30, "Met", "Breached"))</f>
        <v/>
      </c>
      <c r="P2678" s="8" t="n"/>
      <c r="Q2678" s="8" t="n"/>
      <c r="R2678" s="8" t="n"/>
      <c r="S2678" s="8" t="n"/>
      <c r="T2678" s="8" t="n"/>
      <c r="U2678" s="8" t="n"/>
      <c r="V2678" s="8" t="n"/>
      <c r="W2678" s="8" t="n"/>
      <c r="X2678" s="8" t="n"/>
      <c r="Y2678" s="8" t="n"/>
    </row>
    <row r="2679">
      <c r="A2679" s="8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9">
        <f>B2679+30</f>
        <v/>
      </c>
      <c r="N2679">
        <f>IF(L2679="", "", L2679-B2679)</f>
        <v/>
      </c>
      <c r="O2679">
        <f>IF(L2679="", "Pending", IF(N2679&lt;=30, "Met", "Breached"))</f>
        <v/>
      </c>
      <c r="P2679" s="8" t="n"/>
      <c r="Q2679" s="8" t="n"/>
      <c r="R2679" s="8" t="n"/>
      <c r="S2679" s="8" t="n"/>
      <c r="T2679" s="8" t="n"/>
      <c r="U2679" s="8" t="n"/>
      <c r="V2679" s="8" t="n"/>
      <c r="W2679" s="8" t="n"/>
      <c r="X2679" s="8" t="n"/>
      <c r="Y2679" s="8" t="n"/>
    </row>
    <row r="2680">
      <c r="A2680" s="8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9">
        <f>B2680+30</f>
        <v/>
      </c>
      <c r="N2680">
        <f>IF(L2680="", "", L2680-B2680)</f>
        <v/>
      </c>
      <c r="O2680">
        <f>IF(L2680="", "Pending", IF(N2680&lt;=30, "Met", "Breached"))</f>
        <v/>
      </c>
      <c r="P2680" s="8" t="n"/>
      <c r="Q2680" s="8" t="n"/>
      <c r="R2680" s="8" t="n"/>
      <c r="S2680" s="8" t="n"/>
      <c r="T2680" s="8" t="n"/>
      <c r="U2680" s="8" t="n"/>
      <c r="V2680" s="8" t="n"/>
      <c r="W2680" s="8" t="n"/>
      <c r="X2680" s="8" t="n"/>
      <c r="Y2680" s="8" t="n"/>
    </row>
    <row r="2681">
      <c r="A2681" s="8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9">
        <f>B2681+30</f>
        <v/>
      </c>
      <c r="N2681">
        <f>IF(L2681="", "", L2681-B2681)</f>
        <v/>
      </c>
      <c r="O2681">
        <f>IF(L2681="", "Pending", IF(N2681&lt;=30, "Met", "Breached"))</f>
        <v/>
      </c>
      <c r="P2681" s="8" t="n"/>
      <c r="Q2681" s="8" t="n"/>
      <c r="R2681" s="8" t="n"/>
      <c r="S2681" s="8" t="n"/>
      <c r="T2681" s="8" t="n"/>
      <c r="U2681" s="8" t="n"/>
      <c r="V2681" s="8" t="n"/>
      <c r="W2681" s="8" t="n"/>
      <c r="X2681" s="8" t="n"/>
      <c r="Y2681" s="8" t="n"/>
    </row>
    <row r="2682">
      <c r="A2682" s="8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9">
        <f>B2682+30</f>
        <v/>
      </c>
      <c r="N2682">
        <f>IF(L2682="", "", L2682-B2682)</f>
        <v/>
      </c>
      <c r="O2682">
        <f>IF(L2682="", "Pending", IF(N2682&lt;=30, "Met", "Breached"))</f>
        <v/>
      </c>
      <c r="P2682" s="8" t="n"/>
      <c r="Q2682" s="8" t="n"/>
      <c r="R2682" s="8" t="n"/>
      <c r="S2682" s="8" t="n"/>
      <c r="T2682" s="8" t="n"/>
      <c r="U2682" s="8" t="n"/>
      <c r="V2682" s="8" t="n"/>
      <c r="W2682" s="8" t="n"/>
      <c r="X2682" s="8" t="n"/>
      <c r="Y2682" s="8" t="n"/>
    </row>
    <row r="2683">
      <c r="A2683" s="8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9">
        <f>B2683+30</f>
        <v/>
      </c>
      <c r="N2683">
        <f>IF(L2683="", "", L2683-B2683)</f>
        <v/>
      </c>
      <c r="O2683">
        <f>IF(L2683="", "Pending", IF(N2683&lt;=30, "Met", "Breached"))</f>
        <v/>
      </c>
      <c r="P2683" s="8" t="n"/>
      <c r="Q2683" s="8" t="n"/>
      <c r="R2683" s="8" t="n"/>
      <c r="S2683" s="8" t="n"/>
      <c r="T2683" s="8" t="n"/>
      <c r="U2683" s="8" t="n"/>
      <c r="V2683" s="8" t="n"/>
      <c r="W2683" s="8" t="n"/>
      <c r="X2683" s="8" t="n"/>
      <c r="Y2683" s="8" t="n"/>
    </row>
    <row r="2684">
      <c r="A2684" s="8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9">
        <f>B2684+30</f>
        <v/>
      </c>
      <c r="N2684">
        <f>IF(L2684="", "", L2684-B2684)</f>
        <v/>
      </c>
      <c r="O2684">
        <f>IF(L2684="", "Pending", IF(N2684&lt;=30, "Met", "Breached"))</f>
        <v/>
      </c>
      <c r="P2684" s="8" t="n"/>
      <c r="Q2684" s="8" t="n"/>
      <c r="R2684" s="8" t="n"/>
      <c r="S2684" s="8" t="n"/>
      <c r="T2684" s="8" t="n"/>
      <c r="U2684" s="8" t="n"/>
      <c r="V2684" s="8" t="n"/>
      <c r="W2684" s="8" t="n"/>
      <c r="X2684" s="8" t="n"/>
      <c r="Y2684" s="8" t="n"/>
    </row>
    <row r="2685">
      <c r="A2685" s="8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9">
        <f>B2685+30</f>
        <v/>
      </c>
      <c r="N2685">
        <f>IF(L2685="", "", L2685-B2685)</f>
        <v/>
      </c>
      <c r="O2685">
        <f>IF(L2685="", "Pending", IF(N2685&lt;=30, "Met", "Breached"))</f>
        <v/>
      </c>
      <c r="P2685" s="8" t="n"/>
      <c r="Q2685" s="8" t="n"/>
      <c r="R2685" s="8" t="n"/>
      <c r="S2685" s="8" t="n"/>
      <c r="T2685" s="8" t="n"/>
      <c r="U2685" s="8" t="n"/>
      <c r="V2685" s="8" t="n"/>
      <c r="W2685" s="8" t="n"/>
      <c r="X2685" s="8" t="n"/>
      <c r="Y2685" s="8" t="n"/>
    </row>
    <row r="2686">
      <c r="A2686" s="8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9">
        <f>B2686+30</f>
        <v/>
      </c>
      <c r="N2686">
        <f>IF(L2686="", "", L2686-B2686)</f>
        <v/>
      </c>
      <c r="O2686">
        <f>IF(L2686="", "Pending", IF(N2686&lt;=30, "Met", "Breached"))</f>
        <v/>
      </c>
      <c r="P2686" s="8" t="n"/>
      <c r="Q2686" s="8" t="n"/>
      <c r="R2686" s="8" t="n"/>
      <c r="S2686" s="8" t="n"/>
      <c r="T2686" s="8" t="n"/>
      <c r="U2686" s="8" t="n"/>
      <c r="V2686" s="8" t="n"/>
      <c r="W2686" s="8" t="n"/>
      <c r="X2686" s="8" t="n"/>
      <c r="Y2686" s="8" t="n"/>
    </row>
    <row r="2687">
      <c r="A2687" s="8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9">
        <f>B2687+30</f>
        <v/>
      </c>
      <c r="N2687">
        <f>IF(L2687="", "", L2687-B2687)</f>
        <v/>
      </c>
      <c r="O2687">
        <f>IF(L2687="", "Pending", IF(N2687&lt;=30, "Met", "Breached"))</f>
        <v/>
      </c>
      <c r="P2687" s="8" t="n"/>
      <c r="Q2687" s="8" t="n"/>
      <c r="R2687" s="8" t="n"/>
      <c r="S2687" s="8" t="n"/>
      <c r="T2687" s="8" t="n"/>
      <c r="U2687" s="8" t="n"/>
      <c r="V2687" s="8" t="n"/>
      <c r="W2687" s="8" t="n"/>
      <c r="X2687" s="8" t="n"/>
      <c r="Y2687" s="8" t="n"/>
    </row>
    <row r="2688">
      <c r="A2688" s="8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9">
        <f>B2688+30</f>
        <v/>
      </c>
      <c r="N2688">
        <f>IF(L2688="", "", L2688-B2688)</f>
        <v/>
      </c>
      <c r="O2688">
        <f>IF(L2688="", "Pending", IF(N2688&lt;=30, "Met", "Breached"))</f>
        <v/>
      </c>
      <c r="P2688" s="8" t="n"/>
      <c r="Q2688" s="8" t="n"/>
      <c r="R2688" s="8" t="n"/>
      <c r="S2688" s="8" t="n"/>
      <c r="T2688" s="8" t="n"/>
      <c r="U2688" s="8" t="n"/>
      <c r="V2688" s="8" t="n"/>
      <c r="W2688" s="8" t="n"/>
      <c r="X2688" s="8" t="n"/>
      <c r="Y2688" s="8" t="n"/>
    </row>
    <row r="2689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9">
        <f>B2689+30</f>
        <v/>
      </c>
      <c r="N2689">
        <f>IF(L2689="", "", L2689-B2689)</f>
        <v/>
      </c>
      <c r="O2689">
        <f>IF(L2689="", "Pending", IF(N2689&lt;=30, "Met", "Breached"))</f>
        <v/>
      </c>
      <c r="P2689" s="8" t="n"/>
      <c r="Q2689" s="8" t="n"/>
      <c r="R2689" s="8" t="n"/>
      <c r="S2689" s="8" t="n"/>
      <c r="T2689" s="8" t="n"/>
      <c r="U2689" s="8" t="n"/>
      <c r="V2689" s="8" t="n"/>
      <c r="W2689" s="8" t="n"/>
      <c r="X2689" s="8" t="n"/>
      <c r="Y2689" s="8" t="n"/>
    </row>
    <row r="2690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9">
        <f>B2690+30</f>
        <v/>
      </c>
      <c r="N2690">
        <f>IF(L2690="", "", L2690-B2690)</f>
        <v/>
      </c>
      <c r="O2690">
        <f>IF(L2690="", "Pending", IF(N2690&lt;=30, "Met", "Breached"))</f>
        <v/>
      </c>
      <c r="P2690" s="8" t="n"/>
      <c r="Q2690" s="8" t="n"/>
      <c r="R2690" s="8" t="n"/>
      <c r="S2690" s="8" t="n"/>
      <c r="T2690" s="8" t="n"/>
      <c r="U2690" s="8" t="n"/>
      <c r="V2690" s="8" t="n"/>
      <c r="W2690" s="8" t="n"/>
      <c r="X2690" s="8" t="n"/>
      <c r="Y2690" s="8" t="n"/>
    </row>
    <row r="2691">
      <c r="A2691" s="8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9">
        <f>B2691+30</f>
        <v/>
      </c>
      <c r="N2691">
        <f>IF(L2691="", "", L2691-B2691)</f>
        <v/>
      </c>
      <c r="O2691">
        <f>IF(L2691="", "Pending", IF(N2691&lt;=30, "Met", "Breached"))</f>
        <v/>
      </c>
      <c r="P2691" s="8" t="n"/>
      <c r="Q2691" s="8" t="n"/>
      <c r="R2691" s="8" t="n"/>
      <c r="S2691" s="8" t="n"/>
      <c r="T2691" s="8" t="n"/>
      <c r="U2691" s="8" t="n"/>
      <c r="V2691" s="8" t="n"/>
      <c r="W2691" s="8" t="n"/>
      <c r="X2691" s="8" t="n"/>
      <c r="Y2691" s="8" t="n"/>
    </row>
    <row r="2692">
      <c r="A2692" s="8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9">
        <f>B2692+30</f>
        <v/>
      </c>
      <c r="N2692">
        <f>IF(L2692="", "", L2692-B2692)</f>
        <v/>
      </c>
      <c r="O2692">
        <f>IF(L2692="", "Pending", IF(N2692&lt;=30, "Met", "Breached"))</f>
        <v/>
      </c>
      <c r="P2692" s="8" t="n"/>
      <c r="Q2692" s="8" t="n"/>
      <c r="R2692" s="8" t="n"/>
      <c r="S2692" s="8" t="n"/>
      <c r="T2692" s="8" t="n"/>
      <c r="U2692" s="8" t="n"/>
      <c r="V2692" s="8" t="n"/>
      <c r="W2692" s="8" t="n"/>
      <c r="X2692" s="8" t="n"/>
      <c r="Y2692" s="8" t="n"/>
    </row>
    <row r="2693">
      <c r="A2693" s="8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9">
        <f>B2693+30</f>
        <v/>
      </c>
      <c r="N2693">
        <f>IF(L2693="", "", L2693-B2693)</f>
        <v/>
      </c>
      <c r="O2693">
        <f>IF(L2693="", "Pending", IF(N2693&lt;=30, "Met", "Breached"))</f>
        <v/>
      </c>
      <c r="P2693" s="8" t="n"/>
      <c r="Q2693" s="8" t="n"/>
      <c r="R2693" s="8" t="n"/>
      <c r="S2693" s="8" t="n"/>
      <c r="T2693" s="8" t="n"/>
      <c r="U2693" s="8" t="n"/>
      <c r="V2693" s="8" t="n"/>
      <c r="W2693" s="8" t="n"/>
      <c r="X2693" s="8" t="n"/>
      <c r="Y2693" s="8" t="n"/>
    </row>
    <row r="2694">
      <c r="A2694" s="8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9">
        <f>B2694+30</f>
        <v/>
      </c>
      <c r="N2694">
        <f>IF(L2694="", "", L2694-B2694)</f>
        <v/>
      </c>
      <c r="O2694">
        <f>IF(L2694="", "Pending", IF(N2694&lt;=30, "Met", "Breached"))</f>
        <v/>
      </c>
      <c r="P2694" s="8" t="n"/>
      <c r="Q2694" s="8" t="n"/>
      <c r="R2694" s="8" t="n"/>
      <c r="S2694" s="8" t="n"/>
      <c r="T2694" s="8" t="n"/>
      <c r="U2694" s="8" t="n"/>
      <c r="V2694" s="8" t="n"/>
      <c r="W2694" s="8" t="n"/>
      <c r="X2694" s="8" t="n"/>
      <c r="Y2694" s="8" t="n"/>
    </row>
    <row r="2695">
      <c r="A2695" s="8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9">
        <f>B2695+30</f>
        <v/>
      </c>
      <c r="N2695">
        <f>IF(L2695="", "", L2695-B2695)</f>
        <v/>
      </c>
      <c r="O2695">
        <f>IF(L2695="", "Pending", IF(N2695&lt;=30, "Met", "Breached"))</f>
        <v/>
      </c>
      <c r="P2695" s="8" t="n"/>
      <c r="Q2695" s="8" t="n"/>
      <c r="R2695" s="8" t="n"/>
      <c r="S2695" s="8" t="n"/>
      <c r="T2695" s="8" t="n"/>
      <c r="U2695" s="8" t="n"/>
      <c r="V2695" s="8" t="n"/>
      <c r="W2695" s="8" t="n"/>
      <c r="X2695" s="8" t="n"/>
      <c r="Y2695" s="8" t="n"/>
    </row>
    <row r="2696">
      <c r="A2696" s="8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9">
        <f>B2696+30</f>
        <v/>
      </c>
      <c r="N2696">
        <f>IF(L2696="", "", L2696-B2696)</f>
        <v/>
      </c>
      <c r="O2696">
        <f>IF(L2696="", "Pending", IF(N2696&lt;=30, "Met", "Breached"))</f>
        <v/>
      </c>
      <c r="P2696" s="8" t="n"/>
      <c r="Q2696" s="8" t="n"/>
      <c r="R2696" s="8" t="n"/>
      <c r="S2696" s="8" t="n"/>
      <c r="T2696" s="8" t="n"/>
      <c r="U2696" s="8" t="n"/>
      <c r="V2696" s="8" t="n"/>
      <c r="W2696" s="8" t="n"/>
      <c r="X2696" s="8" t="n"/>
      <c r="Y2696" s="8" t="n"/>
    </row>
    <row r="2697">
      <c r="A2697" s="8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9">
        <f>B2697+30</f>
        <v/>
      </c>
      <c r="N2697">
        <f>IF(L2697="", "", L2697-B2697)</f>
        <v/>
      </c>
      <c r="O2697">
        <f>IF(L2697="", "Pending", IF(N2697&lt;=30, "Met", "Breached"))</f>
        <v/>
      </c>
      <c r="P2697" s="8" t="n"/>
      <c r="Q2697" s="8" t="n"/>
      <c r="R2697" s="8" t="n"/>
      <c r="S2697" s="8" t="n"/>
      <c r="T2697" s="8" t="n"/>
      <c r="U2697" s="8" t="n"/>
      <c r="V2697" s="8" t="n"/>
      <c r="W2697" s="8" t="n"/>
      <c r="X2697" s="8" t="n"/>
      <c r="Y2697" s="8" t="n"/>
    </row>
    <row r="2698">
      <c r="A2698" s="8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9">
        <f>B2698+30</f>
        <v/>
      </c>
      <c r="N2698">
        <f>IF(L2698="", "", L2698-B2698)</f>
        <v/>
      </c>
      <c r="O2698">
        <f>IF(L2698="", "Pending", IF(N2698&lt;=30, "Met", "Breached"))</f>
        <v/>
      </c>
      <c r="P2698" s="8" t="n"/>
      <c r="Q2698" s="8" t="n"/>
      <c r="R2698" s="8" t="n"/>
      <c r="S2698" s="8" t="n"/>
      <c r="T2698" s="8" t="n"/>
      <c r="U2698" s="8" t="n"/>
      <c r="V2698" s="8" t="n"/>
      <c r="W2698" s="8" t="n"/>
      <c r="X2698" s="8" t="n"/>
      <c r="Y2698" s="8" t="n"/>
    </row>
    <row r="2699">
      <c r="A2699" s="8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9">
        <f>B2699+30</f>
        <v/>
      </c>
      <c r="N2699">
        <f>IF(L2699="", "", L2699-B2699)</f>
        <v/>
      </c>
      <c r="O2699">
        <f>IF(L2699="", "Pending", IF(N2699&lt;=30, "Met", "Breached"))</f>
        <v/>
      </c>
      <c r="P2699" s="8" t="n"/>
      <c r="Q2699" s="8" t="n"/>
      <c r="R2699" s="8" t="n"/>
      <c r="S2699" s="8" t="n"/>
      <c r="T2699" s="8" t="n"/>
      <c r="U2699" s="8" t="n"/>
      <c r="V2699" s="8" t="n"/>
      <c r="W2699" s="8" t="n"/>
      <c r="X2699" s="8" t="n"/>
      <c r="Y2699" s="8" t="n"/>
    </row>
    <row r="2700">
      <c r="A2700" s="8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9">
        <f>B2700+30</f>
        <v/>
      </c>
      <c r="N2700">
        <f>IF(L2700="", "", L2700-B2700)</f>
        <v/>
      </c>
      <c r="O2700">
        <f>IF(L2700="", "Pending", IF(N2700&lt;=30, "Met", "Breached"))</f>
        <v/>
      </c>
      <c r="P2700" s="8" t="n"/>
      <c r="Q2700" s="8" t="n"/>
      <c r="R2700" s="8" t="n"/>
      <c r="S2700" s="8" t="n"/>
      <c r="T2700" s="8" t="n"/>
      <c r="U2700" s="8" t="n"/>
      <c r="V2700" s="8" t="n"/>
      <c r="W2700" s="8" t="n"/>
      <c r="X2700" s="8" t="n"/>
      <c r="Y2700" s="8" t="n"/>
    </row>
    <row r="2701">
      <c r="A2701" s="8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9">
        <f>B2701+30</f>
        <v/>
      </c>
      <c r="N2701">
        <f>IF(L2701="", "", L2701-B2701)</f>
        <v/>
      </c>
      <c r="O2701">
        <f>IF(L2701="", "Pending", IF(N2701&lt;=30, "Met", "Breached"))</f>
        <v/>
      </c>
      <c r="P2701" s="8" t="n"/>
      <c r="Q2701" s="8" t="n"/>
      <c r="R2701" s="8" t="n"/>
      <c r="S2701" s="8" t="n"/>
      <c r="T2701" s="8" t="n"/>
      <c r="U2701" s="8" t="n"/>
      <c r="V2701" s="8" t="n"/>
      <c r="W2701" s="8" t="n"/>
      <c r="X2701" s="8" t="n"/>
      <c r="Y2701" s="8" t="n"/>
    </row>
    <row r="2702">
      <c r="A2702" s="8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9">
        <f>B2702+30</f>
        <v/>
      </c>
      <c r="N2702">
        <f>IF(L2702="", "", L2702-B2702)</f>
        <v/>
      </c>
      <c r="O2702">
        <f>IF(L2702="", "Pending", IF(N2702&lt;=30, "Met", "Breached"))</f>
        <v/>
      </c>
      <c r="P2702" s="8" t="n"/>
      <c r="Q2702" s="8" t="n"/>
      <c r="R2702" s="8" t="n"/>
      <c r="S2702" s="8" t="n"/>
      <c r="T2702" s="8" t="n"/>
      <c r="U2702" s="8" t="n"/>
      <c r="V2702" s="8" t="n"/>
      <c r="W2702" s="8" t="n"/>
      <c r="X2702" s="8" t="n"/>
      <c r="Y2702" s="8" t="n"/>
    </row>
    <row r="2703">
      <c r="A2703" s="8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9">
        <f>B2703+30</f>
        <v/>
      </c>
      <c r="N2703">
        <f>IF(L2703="", "", L2703-B2703)</f>
        <v/>
      </c>
      <c r="O2703">
        <f>IF(L2703="", "Pending", IF(N2703&lt;=30, "Met", "Breached"))</f>
        <v/>
      </c>
      <c r="P2703" s="8" t="n"/>
      <c r="Q2703" s="8" t="n"/>
      <c r="R2703" s="8" t="n"/>
      <c r="S2703" s="8" t="n"/>
      <c r="T2703" s="8" t="n"/>
      <c r="U2703" s="8" t="n"/>
      <c r="V2703" s="8" t="n"/>
      <c r="W2703" s="8" t="n"/>
      <c r="X2703" s="8" t="n"/>
      <c r="Y2703" s="8" t="n"/>
    </row>
    <row r="2704">
      <c r="A2704" s="8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9">
        <f>B2704+30</f>
        <v/>
      </c>
      <c r="N2704">
        <f>IF(L2704="", "", L2704-B2704)</f>
        <v/>
      </c>
      <c r="O2704">
        <f>IF(L2704="", "Pending", IF(N2704&lt;=30, "Met", "Breached"))</f>
        <v/>
      </c>
      <c r="P2704" s="8" t="n"/>
      <c r="Q2704" s="8" t="n"/>
      <c r="R2704" s="8" t="n"/>
      <c r="S2704" s="8" t="n"/>
      <c r="T2704" s="8" t="n"/>
      <c r="U2704" s="8" t="n"/>
      <c r="V2704" s="8" t="n"/>
      <c r="W2704" s="8" t="n"/>
      <c r="X2704" s="8" t="n"/>
      <c r="Y2704" s="8" t="n"/>
    </row>
    <row r="2705">
      <c r="A2705" s="8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9">
        <f>B2705+30</f>
        <v/>
      </c>
      <c r="N2705">
        <f>IF(L2705="", "", L2705-B2705)</f>
        <v/>
      </c>
      <c r="O2705">
        <f>IF(L2705="", "Pending", IF(N2705&lt;=30, "Met", "Breached"))</f>
        <v/>
      </c>
      <c r="P2705" s="8" t="n"/>
      <c r="Q2705" s="8" t="n"/>
      <c r="R2705" s="8" t="n"/>
      <c r="S2705" s="8" t="n"/>
      <c r="T2705" s="8" t="n"/>
      <c r="U2705" s="8" t="n"/>
      <c r="V2705" s="8" t="n"/>
      <c r="W2705" s="8" t="n"/>
      <c r="X2705" s="8" t="n"/>
      <c r="Y2705" s="8" t="n"/>
    </row>
    <row r="2706">
      <c r="A2706" s="8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9">
        <f>B2706+30</f>
        <v/>
      </c>
      <c r="N2706">
        <f>IF(L2706="", "", L2706-B2706)</f>
        <v/>
      </c>
      <c r="O2706">
        <f>IF(L2706="", "Pending", IF(N2706&lt;=30, "Met", "Breached"))</f>
        <v/>
      </c>
      <c r="P2706" s="8" t="n"/>
      <c r="Q2706" s="8" t="n"/>
      <c r="R2706" s="8" t="n"/>
      <c r="S2706" s="8" t="n"/>
      <c r="T2706" s="8" t="n"/>
      <c r="U2706" s="8" t="n"/>
      <c r="V2706" s="8" t="n"/>
      <c r="W2706" s="8" t="n"/>
      <c r="X2706" s="8" t="n"/>
      <c r="Y2706" s="8" t="n"/>
    </row>
    <row r="2707">
      <c r="A2707" s="8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9">
        <f>B2707+30</f>
        <v/>
      </c>
      <c r="N2707">
        <f>IF(L2707="", "", L2707-B2707)</f>
        <v/>
      </c>
      <c r="O2707">
        <f>IF(L2707="", "Pending", IF(N2707&lt;=30, "Met", "Breached"))</f>
        <v/>
      </c>
      <c r="P2707" s="8" t="n"/>
      <c r="Q2707" s="8" t="n"/>
      <c r="R2707" s="8" t="n"/>
      <c r="S2707" s="8" t="n"/>
      <c r="T2707" s="8" t="n"/>
      <c r="U2707" s="8" t="n"/>
      <c r="V2707" s="8" t="n"/>
      <c r="W2707" s="8" t="n"/>
      <c r="X2707" s="8" t="n"/>
      <c r="Y2707" s="8" t="n"/>
    </row>
    <row r="2708">
      <c r="A2708" s="8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9">
        <f>B2708+30</f>
        <v/>
      </c>
      <c r="N2708">
        <f>IF(L2708="", "", L2708-B2708)</f>
        <v/>
      </c>
      <c r="O2708">
        <f>IF(L2708="", "Pending", IF(N2708&lt;=30, "Met", "Breached"))</f>
        <v/>
      </c>
      <c r="P2708" s="8" t="n"/>
      <c r="Q2708" s="8" t="n"/>
      <c r="R2708" s="8" t="n"/>
      <c r="S2708" s="8" t="n"/>
      <c r="T2708" s="8" t="n"/>
      <c r="U2708" s="8" t="n"/>
      <c r="V2708" s="8" t="n"/>
      <c r="W2708" s="8" t="n"/>
      <c r="X2708" s="8" t="n"/>
      <c r="Y2708" s="8" t="n"/>
    </row>
    <row r="2709">
      <c r="A2709" s="8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9">
        <f>B2709+30</f>
        <v/>
      </c>
      <c r="N2709">
        <f>IF(L2709="", "", L2709-B2709)</f>
        <v/>
      </c>
      <c r="O2709">
        <f>IF(L2709="", "Pending", IF(N2709&lt;=30, "Met", "Breached"))</f>
        <v/>
      </c>
      <c r="P2709" s="8" t="n"/>
      <c r="Q2709" s="8" t="n"/>
      <c r="R2709" s="8" t="n"/>
      <c r="S2709" s="8" t="n"/>
      <c r="T2709" s="8" t="n"/>
      <c r="U2709" s="8" t="n"/>
      <c r="V2709" s="8" t="n"/>
      <c r="W2709" s="8" t="n"/>
      <c r="X2709" s="8" t="n"/>
      <c r="Y2709" s="8" t="n"/>
    </row>
    <row r="2710">
      <c r="A2710" s="8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9">
        <f>B2710+30</f>
        <v/>
      </c>
      <c r="N2710">
        <f>IF(L2710="", "", L2710-B2710)</f>
        <v/>
      </c>
      <c r="O2710">
        <f>IF(L2710="", "Pending", IF(N2710&lt;=30, "Met", "Breached"))</f>
        <v/>
      </c>
      <c r="P2710" s="8" t="n"/>
      <c r="Q2710" s="8" t="n"/>
      <c r="R2710" s="8" t="n"/>
      <c r="S2710" s="8" t="n"/>
      <c r="T2710" s="8" t="n"/>
      <c r="U2710" s="8" t="n"/>
      <c r="V2710" s="8" t="n"/>
      <c r="W2710" s="8" t="n"/>
      <c r="X2710" s="8" t="n"/>
      <c r="Y2710" s="8" t="n"/>
    </row>
    <row r="2711">
      <c r="A2711" s="8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9">
        <f>B2711+30</f>
        <v/>
      </c>
      <c r="N2711">
        <f>IF(L2711="", "", L2711-B2711)</f>
        <v/>
      </c>
      <c r="O2711">
        <f>IF(L2711="", "Pending", IF(N2711&lt;=30, "Met", "Breached"))</f>
        <v/>
      </c>
      <c r="P2711" s="8" t="n"/>
      <c r="Q2711" s="8" t="n"/>
      <c r="R2711" s="8" t="n"/>
      <c r="S2711" s="8" t="n"/>
      <c r="T2711" s="8" t="n"/>
      <c r="U2711" s="8" t="n"/>
      <c r="V2711" s="8" t="n"/>
      <c r="W2711" s="8" t="n"/>
      <c r="X2711" s="8" t="n"/>
      <c r="Y2711" s="8" t="n"/>
    </row>
    <row r="2712">
      <c r="A2712" s="8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9">
        <f>B2712+30</f>
        <v/>
      </c>
      <c r="N2712">
        <f>IF(L2712="", "", L2712-B2712)</f>
        <v/>
      </c>
      <c r="O2712">
        <f>IF(L2712="", "Pending", IF(N2712&lt;=30, "Met", "Breached"))</f>
        <v/>
      </c>
      <c r="P2712" s="8" t="n"/>
      <c r="Q2712" s="8" t="n"/>
      <c r="R2712" s="8" t="n"/>
      <c r="S2712" s="8" t="n"/>
      <c r="T2712" s="8" t="n"/>
      <c r="U2712" s="8" t="n"/>
      <c r="V2712" s="8" t="n"/>
      <c r="W2712" s="8" t="n"/>
      <c r="X2712" s="8" t="n"/>
      <c r="Y2712" s="8" t="n"/>
    </row>
    <row r="2713">
      <c r="A2713" s="8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9">
        <f>B2713+30</f>
        <v/>
      </c>
      <c r="N2713">
        <f>IF(L2713="", "", L2713-B2713)</f>
        <v/>
      </c>
      <c r="O2713">
        <f>IF(L2713="", "Pending", IF(N2713&lt;=30, "Met", "Breached"))</f>
        <v/>
      </c>
      <c r="P2713" s="8" t="n"/>
      <c r="Q2713" s="8" t="n"/>
      <c r="R2713" s="8" t="n"/>
      <c r="S2713" s="8" t="n"/>
      <c r="T2713" s="8" t="n"/>
      <c r="U2713" s="8" t="n"/>
      <c r="V2713" s="8" t="n"/>
      <c r="W2713" s="8" t="n"/>
      <c r="X2713" s="8" t="n"/>
      <c r="Y2713" s="8" t="n"/>
    </row>
    <row r="2714">
      <c r="A2714" s="8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9">
        <f>B2714+30</f>
        <v/>
      </c>
      <c r="N2714">
        <f>IF(L2714="", "", L2714-B2714)</f>
        <v/>
      </c>
      <c r="O2714">
        <f>IF(L2714="", "Pending", IF(N2714&lt;=30, "Met", "Breached"))</f>
        <v/>
      </c>
      <c r="P2714" s="8" t="n"/>
      <c r="Q2714" s="8" t="n"/>
      <c r="R2714" s="8" t="n"/>
      <c r="S2714" s="8" t="n"/>
      <c r="T2714" s="8" t="n"/>
      <c r="U2714" s="8" t="n"/>
      <c r="V2714" s="8" t="n"/>
      <c r="W2714" s="8" t="n"/>
      <c r="X2714" s="8" t="n"/>
      <c r="Y2714" s="8" t="n"/>
    </row>
    <row r="2715">
      <c r="A2715" s="8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9">
        <f>B2715+30</f>
        <v/>
      </c>
      <c r="N2715">
        <f>IF(L2715="", "", L2715-B2715)</f>
        <v/>
      </c>
      <c r="O2715">
        <f>IF(L2715="", "Pending", IF(N2715&lt;=30, "Met", "Breached"))</f>
        <v/>
      </c>
      <c r="P2715" s="8" t="n"/>
      <c r="Q2715" s="8" t="n"/>
      <c r="R2715" s="8" t="n"/>
      <c r="S2715" s="8" t="n"/>
      <c r="T2715" s="8" t="n"/>
      <c r="U2715" s="8" t="n"/>
      <c r="V2715" s="8" t="n"/>
      <c r="W2715" s="8" t="n"/>
      <c r="X2715" s="8" t="n"/>
      <c r="Y2715" s="8" t="n"/>
    </row>
    <row r="2716">
      <c r="A2716" s="8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9">
        <f>B2716+30</f>
        <v/>
      </c>
      <c r="N2716">
        <f>IF(L2716="", "", L2716-B2716)</f>
        <v/>
      </c>
      <c r="O2716">
        <f>IF(L2716="", "Pending", IF(N2716&lt;=30, "Met", "Breached"))</f>
        <v/>
      </c>
      <c r="P2716" s="8" t="n"/>
      <c r="Q2716" s="8" t="n"/>
      <c r="R2716" s="8" t="n"/>
      <c r="S2716" s="8" t="n"/>
      <c r="T2716" s="8" t="n"/>
      <c r="U2716" s="8" t="n"/>
      <c r="V2716" s="8" t="n"/>
      <c r="W2716" s="8" t="n"/>
      <c r="X2716" s="8" t="n"/>
      <c r="Y2716" s="8" t="n"/>
    </row>
    <row r="2717">
      <c r="A2717" s="8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9">
        <f>B2717+30</f>
        <v/>
      </c>
      <c r="N2717">
        <f>IF(L2717="", "", L2717-B2717)</f>
        <v/>
      </c>
      <c r="O2717">
        <f>IF(L2717="", "Pending", IF(N2717&lt;=30, "Met", "Breached"))</f>
        <v/>
      </c>
      <c r="P2717" s="8" t="n"/>
      <c r="Q2717" s="8" t="n"/>
      <c r="R2717" s="8" t="n"/>
      <c r="S2717" s="8" t="n"/>
      <c r="T2717" s="8" t="n"/>
      <c r="U2717" s="8" t="n"/>
      <c r="V2717" s="8" t="n"/>
      <c r="W2717" s="8" t="n"/>
      <c r="X2717" s="8" t="n"/>
      <c r="Y2717" s="8" t="n"/>
    </row>
    <row r="2718">
      <c r="A2718" s="8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9">
        <f>B2718+30</f>
        <v/>
      </c>
      <c r="N2718">
        <f>IF(L2718="", "", L2718-B2718)</f>
        <v/>
      </c>
      <c r="O2718">
        <f>IF(L2718="", "Pending", IF(N2718&lt;=30, "Met", "Breached"))</f>
        <v/>
      </c>
      <c r="P2718" s="8" t="n"/>
      <c r="Q2718" s="8" t="n"/>
      <c r="R2718" s="8" t="n"/>
      <c r="S2718" s="8" t="n"/>
      <c r="T2718" s="8" t="n"/>
      <c r="U2718" s="8" t="n"/>
      <c r="V2718" s="8" t="n"/>
      <c r="W2718" s="8" t="n"/>
      <c r="X2718" s="8" t="n"/>
      <c r="Y2718" s="8" t="n"/>
    </row>
    <row r="2719">
      <c r="A2719" s="8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9">
        <f>B2719+30</f>
        <v/>
      </c>
      <c r="N2719">
        <f>IF(L2719="", "", L2719-B2719)</f>
        <v/>
      </c>
      <c r="O2719">
        <f>IF(L2719="", "Pending", IF(N2719&lt;=30, "Met", "Breached"))</f>
        <v/>
      </c>
      <c r="P2719" s="8" t="n"/>
      <c r="Q2719" s="8" t="n"/>
      <c r="R2719" s="8" t="n"/>
      <c r="S2719" s="8" t="n"/>
      <c r="T2719" s="8" t="n"/>
      <c r="U2719" s="8" t="n"/>
      <c r="V2719" s="8" t="n"/>
      <c r="W2719" s="8" t="n"/>
      <c r="X2719" s="8" t="n"/>
      <c r="Y2719" s="8" t="n"/>
    </row>
    <row r="2720">
      <c r="A2720" s="8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9">
        <f>B2720+30</f>
        <v/>
      </c>
      <c r="N2720">
        <f>IF(L2720="", "", L2720-B2720)</f>
        <v/>
      </c>
      <c r="O2720">
        <f>IF(L2720="", "Pending", IF(N2720&lt;=30, "Met", "Breached"))</f>
        <v/>
      </c>
      <c r="P2720" s="8" t="n"/>
      <c r="Q2720" s="8" t="n"/>
      <c r="R2720" s="8" t="n"/>
      <c r="S2720" s="8" t="n"/>
      <c r="T2720" s="8" t="n"/>
      <c r="U2720" s="8" t="n"/>
      <c r="V2720" s="8" t="n"/>
      <c r="W2720" s="8" t="n"/>
      <c r="X2720" s="8" t="n"/>
      <c r="Y2720" s="8" t="n"/>
    </row>
    <row r="2721">
      <c r="A2721" s="8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9">
        <f>B2721+30</f>
        <v/>
      </c>
      <c r="N2721">
        <f>IF(L2721="", "", L2721-B2721)</f>
        <v/>
      </c>
      <c r="O2721">
        <f>IF(L2721="", "Pending", IF(N2721&lt;=30, "Met", "Breached"))</f>
        <v/>
      </c>
      <c r="P2721" s="8" t="n"/>
      <c r="Q2721" s="8" t="n"/>
      <c r="R2721" s="8" t="n"/>
      <c r="S2721" s="8" t="n"/>
      <c r="T2721" s="8" t="n"/>
      <c r="U2721" s="8" t="n"/>
      <c r="V2721" s="8" t="n"/>
      <c r="W2721" s="8" t="n"/>
      <c r="X2721" s="8" t="n"/>
      <c r="Y2721" s="8" t="n"/>
    </row>
    <row r="2722">
      <c r="A2722" s="8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9">
        <f>B2722+30</f>
        <v/>
      </c>
      <c r="N2722">
        <f>IF(L2722="", "", L2722-B2722)</f>
        <v/>
      </c>
      <c r="O2722">
        <f>IF(L2722="", "Pending", IF(N2722&lt;=30, "Met", "Breached"))</f>
        <v/>
      </c>
      <c r="P2722" s="8" t="n"/>
      <c r="Q2722" s="8" t="n"/>
      <c r="R2722" s="8" t="n"/>
      <c r="S2722" s="8" t="n"/>
      <c r="T2722" s="8" t="n"/>
      <c r="U2722" s="8" t="n"/>
      <c r="V2722" s="8" t="n"/>
      <c r="W2722" s="8" t="n"/>
      <c r="X2722" s="8" t="n"/>
      <c r="Y2722" s="8" t="n"/>
    </row>
    <row r="2723">
      <c r="A2723" s="8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9">
        <f>B2723+30</f>
        <v/>
      </c>
      <c r="N2723">
        <f>IF(L2723="", "", L2723-B2723)</f>
        <v/>
      </c>
      <c r="O2723">
        <f>IF(L2723="", "Pending", IF(N2723&lt;=30, "Met", "Breached"))</f>
        <v/>
      </c>
      <c r="P2723" s="8" t="n"/>
      <c r="Q2723" s="8" t="n"/>
      <c r="R2723" s="8" t="n"/>
      <c r="S2723" s="8" t="n"/>
      <c r="T2723" s="8" t="n"/>
      <c r="U2723" s="8" t="n"/>
      <c r="V2723" s="8" t="n"/>
      <c r="W2723" s="8" t="n"/>
      <c r="X2723" s="8" t="n"/>
      <c r="Y2723" s="8" t="n"/>
    </row>
    <row r="2724">
      <c r="A2724" s="8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9">
        <f>B2724+30</f>
        <v/>
      </c>
      <c r="N2724">
        <f>IF(L2724="", "", L2724-B2724)</f>
        <v/>
      </c>
      <c r="O2724">
        <f>IF(L2724="", "Pending", IF(N2724&lt;=30, "Met", "Breached"))</f>
        <v/>
      </c>
      <c r="P2724" s="8" t="n"/>
      <c r="Q2724" s="8" t="n"/>
      <c r="R2724" s="8" t="n"/>
      <c r="S2724" s="8" t="n"/>
      <c r="T2724" s="8" t="n"/>
      <c r="U2724" s="8" t="n"/>
      <c r="V2724" s="8" t="n"/>
      <c r="W2724" s="8" t="n"/>
      <c r="X2724" s="8" t="n"/>
      <c r="Y2724" s="8" t="n"/>
    </row>
    <row r="2725">
      <c r="A2725" s="8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9">
        <f>B2725+30</f>
        <v/>
      </c>
      <c r="N2725">
        <f>IF(L2725="", "", L2725-B2725)</f>
        <v/>
      </c>
      <c r="O2725">
        <f>IF(L2725="", "Pending", IF(N2725&lt;=30, "Met", "Breached"))</f>
        <v/>
      </c>
      <c r="P2725" s="8" t="n"/>
      <c r="Q2725" s="8" t="n"/>
      <c r="R2725" s="8" t="n"/>
      <c r="S2725" s="8" t="n"/>
      <c r="T2725" s="8" t="n"/>
      <c r="U2725" s="8" t="n"/>
      <c r="V2725" s="8" t="n"/>
      <c r="W2725" s="8" t="n"/>
      <c r="X2725" s="8" t="n"/>
      <c r="Y2725" s="8" t="n"/>
    </row>
    <row r="2726">
      <c r="A2726" s="8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9">
        <f>B2726+30</f>
        <v/>
      </c>
      <c r="N2726">
        <f>IF(L2726="", "", L2726-B2726)</f>
        <v/>
      </c>
      <c r="O2726">
        <f>IF(L2726="", "Pending", IF(N2726&lt;=30, "Met", "Breached"))</f>
        <v/>
      </c>
      <c r="P2726" s="8" t="n"/>
      <c r="Q2726" s="8" t="n"/>
      <c r="R2726" s="8" t="n"/>
      <c r="S2726" s="8" t="n"/>
      <c r="T2726" s="8" t="n"/>
      <c r="U2726" s="8" t="n"/>
      <c r="V2726" s="8" t="n"/>
      <c r="W2726" s="8" t="n"/>
      <c r="X2726" s="8" t="n"/>
      <c r="Y2726" s="8" t="n"/>
    </row>
    <row r="2727">
      <c r="A2727" s="8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9">
        <f>B2727+30</f>
        <v/>
      </c>
      <c r="N2727">
        <f>IF(L2727="", "", L2727-B2727)</f>
        <v/>
      </c>
      <c r="O2727">
        <f>IF(L2727="", "Pending", IF(N2727&lt;=30, "Met", "Breached"))</f>
        <v/>
      </c>
      <c r="P2727" s="8" t="n"/>
      <c r="Q2727" s="8" t="n"/>
      <c r="R2727" s="8" t="n"/>
      <c r="S2727" s="8" t="n"/>
      <c r="T2727" s="8" t="n"/>
      <c r="U2727" s="8" t="n"/>
      <c r="V2727" s="8" t="n"/>
      <c r="W2727" s="8" t="n"/>
      <c r="X2727" s="8" t="n"/>
      <c r="Y2727" s="8" t="n"/>
    </row>
    <row r="2728">
      <c r="A2728" s="8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9">
        <f>B2728+30</f>
        <v/>
      </c>
      <c r="N2728">
        <f>IF(L2728="", "", L2728-B2728)</f>
        <v/>
      </c>
      <c r="O2728">
        <f>IF(L2728="", "Pending", IF(N2728&lt;=30, "Met", "Breached"))</f>
        <v/>
      </c>
      <c r="P2728" s="8" t="n"/>
      <c r="Q2728" s="8" t="n"/>
      <c r="R2728" s="8" t="n"/>
      <c r="S2728" s="8" t="n"/>
      <c r="T2728" s="8" t="n"/>
      <c r="U2728" s="8" t="n"/>
      <c r="V2728" s="8" t="n"/>
      <c r="W2728" s="8" t="n"/>
      <c r="X2728" s="8" t="n"/>
      <c r="Y2728" s="8" t="n"/>
    </row>
    <row r="2729">
      <c r="A2729" s="8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9">
        <f>B2729+30</f>
        <v/>
      </c>
      <c r="N2729">
        <f>IF(L2729="", "", L2729-B2729)</f>
        <v/>
      </c>
      <c r="O2729">
        <f>IF(L2729="", "Pending", IF(N2729&lt;=30, "Met", "Breached"))</f>
        <v/>
      </c>
      <c r="P2729" s="8" t="n"/>
      <c r="Q2729" s="8" t="n"/>
      <c r="R2729" s="8" t="n"/>
      <c r="S2729" s="8" t="n"/>
      <c r="T2729" s="8" t="n"/>
      <c r="U2729" s="8" t="n"/>
      <c r="V2729" s="8" t="n"/>
      <c r="W2729" s="8" t="n"/>
      <c r="X2729" s="8" t="n"/>
      <c r="Y2729" s="8" t="n"/>
    </row>
    <row r="2730">
      <c r="A2730" s="8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9">
        <f>B2730+30</f>
        <v/>
      </c>
      <c r="N2730">
        <f>IF(L2730="", "", L2730-B2730)</f>
        <v/>
      </c>
      <c r="O2730">
        <f>IF(L2730="", "Pending", IF(N2730&lt;=30, "Met", "Breached"))</f>
        <v/>
      </c>
      <c r="P2730" s="8" t="n"/>
      <c r="Q2730" s="8" t="n"/>
      <c r="R2730" s="8" t="n"/>
      <c r="S2730" s="8" t="n"/>
      <c r="T2730" s="8" t="n"/>
      <c r="U2730" s="8" t="n"/>
      <c r="V2730" s="8" t="n"/>
      <c r="W2730" s="8" t="n"/>
      <c r="X2730" s="8" t="n"/>
      <c r="Y2730" s="8" t="n"/>
    </row>
    <row r="2731">
      <c r="A2731" s="8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9">
        <f>B2731+30</f>
        <v/>
      </c>
      <c r="N2731">
        <f>IF(L2731="", "", L2731-B2731)</f>
        <v/>
      </c>
      <c r="O2731">
        <f>IF(L2731="", "Pending", IF(N2731&lt;=30, "Met", "Breached"))</f>
        <v/>
      </c>
      <c r="P2731" s="8" t="n"/>
      <c r="Q2731" s="8" t="n"/>
      <c r="R2731" s="8" t="n"/>
      <c r="S2731" s="8" t="n"/>
      <c r="T2731" s="8" t="n"/>
      <c r="U2731" s="8" t="n"/>
      <c r="V2731" s="8" t="n"/>
      <c r="W2731" s="8" t="n"/>
      <c r="X2731" s="8" t="n"/>
      <c r="Y2731" s="8" t="n"/>
    </row>
    <row r="2732">
      <c r="A2732" s="8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9">
        <f>B2732+30</f>
        <v/>
      </c>
      <c r="N2732">
        <f>IF(L2732="", "", L2732-B2732)</f>
        <v/>
      </c>
      <c r="O2732">
        <f>IF(L2732="", "Pending", IF(N2732&lt;=30, "Met", "Breached"))</f>
        <v/>
      </c>
      <c r="P2732" s="8" t="n"/>
      <c r="Q2732" s="8" t="n"/>
      <c r="R2732" s="8" t="n"/>
      <c r="S2732" s="8" t="n"/>
      <c r="T2732" s="8" t="n"/>
      <c r="U2732" s="8" t="n"/>
      <c r="V2732" s="8" t="n"/>
      <c r="W2732" s="8" t="n"/>
      <c r="X2732" s="8" t="n"/>
      <c r="Y2732" s="8" t="n"/>
    </row>
    <row r="2733">
      <c r="A2733" s="8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9">
        <f>B2733+30</f>
        <v/>
      </c>
      <c r="N2733">
        <f>IF(L2733="", "", L2733-B2733)</f>
        <v/>
      </c>
      <c r="O2733">
        <f>IF(L2733="", "Pending", IF(N2733&lt;=30, "Met", "Breached"))</f>
        <v/>
      </c>
      <c r="P2733" s="8" t="n"/>
      <c r="Q2733" s="8" t="n"/>
      <c r="R2733" s="8" t="n"/>
      <c r="S2733" s="8" t="n"/>
      <c r="T2733" s="8" t="n"/>
      <c r="U2733" s="8" t="n"/>
      <c r="V2733" s="8" t="n"/>
      <c r="W2733" s="8" t="n"/>
      <c r="X2733" s="8" t="n"/>
      <c r="Y2733" s="8" t="n"/>
    </row>
    <row r="2734">
      <c r="A2734" s="8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9">
        <f>B2734+30</f>
        <v/>
      </c>
      <c r="N2734">
        <f>IF(L2734="", "", L2734-B2734)</f>
        <v/>
      </c>
      <c r="O2734">
        <f>IF(L2734="", "Pending", IF(N2734&lt;=30, "Met", "Breached"))</f>
        <v/>
      </c>
      <c r="P2734" s="8" t="n"/>
      <c r="Q2734" s="8" t="n"/>
      <c r="R2734" s="8" t="n"/>
      <c r="S2734" s="8" t="n"/>
      <c r="T2734" s="8" t="n"/>
      <c r="U2734" s="8" t="n"/>
      <c r="V2734" s="8" t="n"/>
      <c r="W2734" s="8" t="n"/>
      <c r="X2734" s="8" t="n"/>
      <c r="Y2734" s="8" t="n"/>
    </row>
    <row r="2735">
      <c r="A2735" s="8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9">
        <f>B2735+30</f>
        <v/>
      </c>
      <c r="N2735">
        <f>IF(L2735="", "", L2735-B2735)</f>
        <v/>
      </c>
      <c r="O2735">
        <f>IF(L2735="", "Pending", IF(N2735&lt;=30, "Met", "Breached"))</f>
        <v/>
      </c>
      <c r="P2735" s="8" t="n"/>
      <c r="Q2735" s="8" t="n"/>
      <c r="R2735" s="8" t="n"/>
      <c r="S2735" s="8" t="n"/>
      <c r="T2735" s="8" t="n"/>
      <c r="U2735" s="8" t="n"/>
      <c r="V2735" s="8" t="n"/>
      <c r="W2735" s="8" t="n"/>
      <c r="X2735" s="8" t="n"/>
      <c r="Y2735" s="8" t="n"/>
    </row>
    <row r="2736">
      <c r="A2736" s="8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9">
        <f>B2736+30</f>
        <v/>
      </c>
      <c r="N2736">
        <f>IF(L2736="", "", L2736-B2736)</f>
        <v/>
      </c>
      <c r="O2736">
        <f>IF(L2736="", "Pending", IF(N2736&lt;=30, "Met", "Breached"))</f>
        <v/>
      </c>
      <c r="P2736" s="8" t="n"/>
      <c r="Q2736" s="8" t="n"/>
      <c r="R2736" s="8" t="n"/>
      <c r="S2736" s="8" t="n"/>
      <c r="T2736" s="8" t="n"/>
      <c r="U2736" s="8" t="n"/>
      <c r="V2736" s="8" t="n"/>
      <c r="W2736" s="8" t="n"/>
      <c r="X2736" s="8" t="n"/>
      <c r="Y2736" s="8" t="n"/>
    </row>
    <row r="2737">
      <c r="A2737" s="8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9">
        <f>B2737+30</f>
        <v/>
      </c>
      <c r="N2737">
        <f>IF(L2737="", "", L2737-B2737)</f>
        <v/>
      </c>
      <c r="O2737">
        <f>IF(L2737="", "Pending", IF(N2737&lt;=30, "Met", "Breached"))</f>
        <v/>
      </c>
      <c r="P2737" s="8" t="n"/>
      <c r="Q2737" s="8" t="n"/>
      <c r="R2737" s="8" t="n"/>
      <c r="S2737" s="8" t="n"/>
      <c r="T2737" s="8" t="n"/>
      <c r="U2737" s="8" t="n"/>
      <c r="V2737" s="8" t="n"/>
      <c r="W2737" s="8" t="n"/>
      <c r="X2737" s="8" t="n"/>
      <c r="Y2737" s="8" t="n"/>
    </row>
    <row r="2738">
      <c r="A2738" s="8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9">
        <f>B2738+30</f>
        <v/>
      </c>
      <c r="N2738">
        <f>IF(L2738="", "", L2738-B2738)</f>
        <v/>
      </c>
      <c r="O2738">
        <f>IF(L2738="", "Pending", IF(N2738&lt;=30, "Met", "Breached"))</f>
        <v/>
      </c>
      <c r="P2738" s="8" t="n"/>
      <c r="Q2738" s="8" t="n"/>
      <c r="R2738" s="8" t="n"/>
      <c r="S2738" s="8" t="n"/>
      <c r="T2738" s="8" t="n"/>
      <c r="U2738" s="8" t="n"/>
      <c r="V2738" s="8" t="n"/>
      <c r="W2738" s="8" t="n"/>
      <c r="X2738" s="8" t="n"/>
      <c r="Y2738" s="8" t="n"/>
    </row>
    <row r="2739">
      <c r="A2739" s="8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9">
        <f>B2739+30</f>
        <v/>
      </c>
      <c r="N2739">
        <f>IF(L2739="", "", L2739-B2739)</f>
        <v/>
      </c>
      <c r="O2739">
        <f>IF(L2739="", "Pending", IF(N2739&lt;=30, "Met", "Breached"))</f>
        <v/>
      </c>
      <c r="P2739" s="8" t="n"/>
      <c r="Q2739" s="8" t="n"/>
      <c r="R2739" s="8" t="n"/>
      <c r="S2739" s="8" t="n"/>
      <c r="T2739" s="8" t="n"/>
      <c r="U2739" s="8" t="n"/>
      <c r="V2739" s="8" t="n"/>
      <c r="W2739" s="8" t="n"/>
      <c r="X2739" s="8" t="n"/>
      <c r="Y2739" s="8" t="n"/>
    </row>
    <row r="2740">
      <c r="A2740" s="8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9">
        <f>B2740+30</f>
        <v/>
      </c>
      <c r="N2740">
        <f>IF(L2740="", "", L2740-B2740)</f>
        <v/>
      </c>
      <c r="O2740">
        <f>IF(L2740="", "Pending", IF(N2740&lt;=30, "Met", "Breached"))</f>
        <v/>
      </c>
      <c r="P2740" s="8" t="n"/>
      <c r="Q2740" s="8" t="n"/>
      <c r="R2740" s="8" t="n"/>
      <c r="S2740" s="8" t="n"/>
      <c r="T2740" s="8" t="n"/>
      <c r="U2740" s="8" t="n"/>
      <c r="V2740" s="8" t="n"/>
      <c r="W2740" s="8" t="n"/>
      <c r="X2740" s="8" t="n"/>
      <c r="Y2740" s="8" t="n"/>
    </row>
    <row r="2741">
      <c r="A2741" s="8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9">
        <f>B2741+30</f>
        <v/>
      </c>
      <c r="N2741">
        <f>IF(L2741="", "", L2741-B2741)</f>
        <v/>
      </c>
      <c r="O2741">
        <f>IF(L2741="", "Pending", IF(N2741&lt;=30, "Met", "Breached"))</f>
        <v/>
      </c>
      <c r="P2741" s="8" t="n"/>
      <c r="Q2741" s="8" t="n"/>
      <c r="R2741" s="8" t="n"/>
      <c r="S2741" s="8" t="n"/>
      <c r="T2741" s="8" t="n"/>
      <c r="U2741" s="8" t="n"/>
      <c r="V2741" s="8" t="n"/>
      <c r="W2741" s="8" t="n"/>
      <c r="X2741" s="8" t="n"/>
      <c r="Y2741" s="8" t="n"/>
    </row>
    <row r="2742">
      <c r="A2742" s="8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9">
        <f>B2742+30</f>
        <v/>
      </c>
      <c r="N2742">
        <f>IF(L2742="", "", L2742-B2742)</f>
        <v/>
      </c>
      <c r="O2742">
        <f>IF(L2742="", "Pending", IF(N2742&lt;=30, "Met", "Breached"))</f>
        <v/>
      </c>
      <c r="P2742" s="8" t="n"/>
      <c r="Q2742" s="8" t="n"/>
      <c r="R2742" s="8" t="n"/>
      <c r="S2742" s="8" t="n"/>
      <c r="T2742" s="8" t="n"/>
      <c r="U2742" s="8" t="n"/>
      <c r="V2742" s="8" t="n"/>
      <c r="W2742" s="8" t="n"/>
      <c r="X2742" s="8" t="n"/>
      <c r="Y2742" s="8" t="n"/>
    </row>
    <row r="2743">
      <c r="A2743" s="8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9">
        <f>B2743+30</f>
        <v/>
      </c>
      <c r="N2743">
        <f>IF(L2743="", "", L2743-B2743)</f>
        <v/>
      </c>
      <c r="O2743">
        <f>IF(L2743="", "Pending", IF(N2743&lt;=30, "Met", "Breached"))</f>
        <v/>
      </c>
      <c r="P2743" s="8" t="n"/>
      <c r="Q2743" s="8" t="n"/>
      <c r="R2743" s="8" t="n"/>
      <c r="S2743" s="8" t="n"/>
      <c r="T2743" s="8" t="n"/>
      <c r="U2743" s="8" t="n"/>
      <c r="V2743" s="8" t="n"/>
      <c r="W2743" s="8" t="n"/>
      <c r="X2743" s="8" t="n"/>
      <c r="Y2743" s="8" t="n"/>
    </row>
    <row r="2744">
      <c r="A2744" s="8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9">
        <f>B2744+30</f>
        <v/>
      </c>
      <c r="N2744">
        <f>IF(L2744="", "", L2744-B2744)</f>
        <v/>
      </c>
      <c r="O2744">
        <f>IF(L2744="", "Pending", IF(N2744&lt;=30, "Met", "Breached"))</f>
        <v/>
      </c>
      <c r="P2744" s="8" t="n"/>
      <c r="Q2744" s="8" t="n"/>
      <c r="R2744" s="8" t="n"/>
      <c r="S2744" s="8" t="n"/>
      <c r="T2744" s="8" t="n"/>
      <c r="U2744" s="8" t="n"/>
      <c r="V2744" s="8" t="n"/>
      <c r="W2744" s="8" t="n"/>
      <c r="X2744" s="8" t="n"/>
      <c r="Y2744" s="8" t="n"/>
    </row>
    <row r="2745">
      <c r="A2745" s="8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9">
        <f>B2745+30</f>
        <v/>
      </c>
      <c r="N2745">
        <f>IF(L2745="", "", L2745-B2745)</f>
        <v/>
      </c>
      <c r="O2745">
        <f>IF(L2745="", "Pending", IF(N2745&lt;=30, "Met", "Breached"))</f>
        <v/>
      </c>
      <c r="P2745" s="8" t="n"/>
      <c r="Q2745" s="8" t="n"/>
      <c r="R2745" s="8" t="n"/>
      <c r="S2745" s="8" t="n"/>
      <c r="T2745" s="8" t="n"/>
      <c r="U2745" s="8" t="n"/>
      <c r="V2745" s="8" t="n"/>
      <c r="W2745" s="8" t="n"/>
      <c r="X2745" s="8" t="n"/>
      <c r="Y2745" s="8" t="n"/>
    </row>
    <row r="2746">
      <c r="A2746" s="8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9">
        <f>B2746+30</f>
        <v/>
      </c>
      <c r="N2746">
        <f>IF(L2746="", "", L2746-B2746)</f>
        <v/>
      </c>
      <c r="O2746">
        <f>IF(L2746="", "Pending", IF(N2746&lt;=30, "Met", "Breached"))</f>
        <v/>
      </c>
      <c r="P2746" s="8" t="n"/>
      <c r="Q2746" s="8" t="n"/>
      <c r="R2746" s="8" t="n"/>
      <c r="S2746" s="8" t="n"/>
      <c r="T2746" s="8" t="n"/>
      <c r="U2746" s="8" t="n"/>
      <c r="V2746" s="8" t="n"/>
      <c r="W2746" s="8" t="n"/>
      <c r="X2746" s="8" t="n"/>
      <c r="Y2746" s="8" t="n"/>
    </row>
    <row r="2747">
      <c r="A2747" s="8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9">
        <f>B2747+30</f>
        <v/>
      </c>
      <c r="N2747">
        <f>IF(L2747="", "", L2747-B2747)</f>
        <v/>
      </c>
      <c r="O2747">
        <f>IF(L2747="", "Pending", IF(N2747&lt;=30, "Met", "Breached"))</f>
        <v/>
      </c>
      <c r="P2747" s="8" t="n"/>
      <c r="Q2747" s="8" t="n"/>
      <c r="R2747" s="8" t="n"/>
      <c r="S2747" s="8" t="n"/>
      <c r="T2747" s="8" t="n"/>
      <c r="U2747" s="8" t="n"/>
      <c r="V2747" s="8" t="n"/>
      <c r="W2747" s="8" t="n"/>
      <c r="X2747" s="8" t="n"/>
      <c r="Y2747" s="8" t="n"/>
    </row>
    <row r="2748">
      <c r="A2748" s="8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9">
        <f>B2748+30</f>
        <v/>
      </c>
      <c r="N2748">
        <f>IF(L2748="", "", L2748-B2748)</f>
        <v/>
      </c>
      <c r="O2748">
        <f>IF(L2748="", "Pending", IF(N2748&lt;=30, "Met", "Breached"))</f>
        <v/>
      </c>
      <c r="P2748" s="8" t="n"/>
      <c r="Q2748" s="8" t="n"/>
      <c r="R2748" s="8" t="n"/>
      <c r="S2748" s="8" t="n"/>
      <c r="T2748" s="8" t="n"/>
      <c r="U2748" s="8" t="n"/>
      <c r="V2748" s="8" t="n"/>
      <c r="W2748" s="8" t="n"/>
      <c r="X2748" s="8" t="n"/>
      <c r="Y2748" s="8" t="n"/>
    </row>
    <row r="2749">
      <c r="A2749" s="8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9">
        <f>B2749+30</f>
        <v/>
      </c>
      <c r="N2749">
        <f>IF(L2749="", "", L2749-B2749)</f>
        <v/>
      </c>
      <c r="O2749">
        <f>IF(L2749="", "Pending", IF(N2749&lt;=30, "Met", "Breached"))</f>
        <v/>
      </c>
      <c r="P2749" s="8" t="n"/>
      <c r="Q2749" s="8" t="n"/>
      <c r="R2749" s="8" t="n"/>
      <c r="S2749" s="8" t="n"/>
      <c r="T2749" s="8" t="n"/>
      <c r="U2749" s="8" t="n"/>
      <c r="V2749" s="8" t="n"/>
      <c r="W2749" s="8" t="n"/>
      <c r="X2749" s="8" t="n"/>
      <c r="Y2749" s="8" t="n"/>
    </row>
    <row r="2750">
      <c r="A2750" s="8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9">
        <f>B2750+30</f>
        <v/>
      </c>
      <c r="N2750">
        <f>IF(L2750="", "", L2750-B2750)</f>
        <v/>
      </c>
      <c r="O2750">
        <f>IF(L2750="", "Pending", IF(N2750&lt;=30, "Met", "Breached"))</f>
        <v/>
      </c>
      <c r="P2750" s="8" t="n"/>
      <c r="Q2750" s="8" t="n"/>
      <c r="R2750" s="8" t="n"/>
      <c r="S2750" s="8" t="n"/>
      <c r="T2750" s="8" t="n"/>
      <c r="U2750" s="8" t="n"/>
      <c r="V2750" s="8" t="n"/>
      <c r="W2750" s="8" t="n"/>
      <c r="X2750" s="8" t="n"/>
      <c r="Y2750" s="8" t="n"/>
    </row>
    <row r="2751">
      <c r="A2751" s="8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9">
        <f>B2751+30</f>
        <v/>
      </c>
      <c r="N2751">
        <f>IF(L2751="", "", L2751-B2751)</f>
        <v/>
      </c>
      <c r="O2751">
        <f>IF(L2751="", "Pending", IF(N2751&lt;=30, "Met", "Breached"))</f>
        <v/>
      </c>
      <c r="P2751" s="8" t="n"/>
      <c r="Q2751" s="8" t="n"/>
      <c r="R2751" s="8" t="n"/>
      <c r="S2751" s="8" t="n"/>
      <c r="T2751" s="8" t="n"/>
      <c r="U2751" s="8" t="n"/>
      <c r="V2751" s="8" t="n"/>
      <c r="W2751" s="8" t="n"/>
      <c r="X2751" s="8" t="n"/>
      <c r="Y2751" s="8" t="n"/>
    </row>
    <row r="2752">
      <c r="A2752" s="8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9">
        <f>B2752+30</f>
        <v/>
      </c>
      <c r="N2752">
        <f>IF(L2752="", "", L2752-B2752)</f>
        <v/>
      </c>
      <c r="O2752">
        <f>IF(L2752="", "Pending", IF(N2752&lt;=30, "Met", "Breached"))</f>
        <v/>
      </c>
      <c r="P2752" s="8" t="n"/>
      <c r="Q2752" s="8" t="n"/>
      <c r="R2752" s="8" t="n"/>
      <c r="S2752" s="8" t="n"/>
      <c r="T2752" s="8" t="n"/>
      <c r="U2752" s="8" t="n"/>
      <c r="V2752" s="8" t="n"/>
      <c r="W2752" s="8" t="n"/>
      <c r="X2752" s="8" t="n"/>
      <c r="Y2752" s="8" t="n"/>
    </row>
    <row r="2753">
      <c r="A2753" s="8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9">
        <f>B2753+30</f>
        <v/>
      </c>
      <c r="N2753">
        <f>IF(L2753="", "", L2753-B2753)</f>
        <v/>
      </c>
      <c r="O2753">
        <f>IF(L2753="", "Pending", IF(N2753&lt;=30, "Met", "Breached"))</f>
        <v/>
      </c>
      <c r="P2753" s="8" t="n"/>
      <c r="Q2753" s="8" t="n"/>
      <c r="R2753" s="8" t="n"/>
      <c r="S2753" s="8" t="n"/>
      <c r="T2753" s="8" t="n"/>
      <c r="U2753" s="8" t="n"/>
      <c r="V2753" s="8" t="n"/>
      <c r="W2753" s="8" t="n"/>
      <c r="X2753" s="8" t="n"/>
      <c r="Y2753" s="8" t="n"/>
    </row>
    <row r="2754">
      <c r="A2754" s="8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9">
        <f>B2754+30</f>
        <v/>
      </c>
      <c r="N2754">
        <f>IF(L2754="", "", L2754-B2754)</f>
        <v/>
      </c>
      <c r="O2754">
        <f>IF(L2754="", "Pending", IF(N2754&lt;=30, "Met", "Breached"))</f>
        <v/>
      </c>
      <c r="P2754" s="8" t="n"/>
      <c r="Q2754" s="8" t="n"/>
      <c r="R2754" s="8" t="n"/>
      <c r="S2754" s="8" t="n"/>
      <c r="T2754" s="8" t="n"/>
      <c r="U2754" s="8" t="n"/>
      <c r="V2754" s="8" t="n"/>
      <c r="W2754" s="8" t="n"/>
      <c r="X2754" s="8" t="n"/>
      <c r="Y2754" s="8" t="n"/>
    </row>
    <row r="2755">
      <c r="A2755" s="8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9">
        <f>B2755+30</f>
        <v/>
      </c>
      <c r="N2755">
        <f>IF(L2755="", "", L2755-B2755)</f>
        <v/>
      </c>
      <c r="O2755">
        <f>IF(L2755="", "Pending", IF(N2755&lt;=30, "Met", "Breached"))</f>
        <v/>
      </c>
      <c r="P2755" s="8" t="n"/>
      <c r="Q2755" s="8" t="n"/>
      <c r="R2755" s="8" t="n"/>
      <c r="S2755" s="8" t="n"/>
      <c r="T2755" s="8" t="n"/>
      <c r="U2755" s="8" t="n"/>
      <c r="V2755" s="8" t="n"/>
      <c r="W2755" s="8" t="n"/>
      <c r="X2755" s="8" t="n"/>
      <c r="Y2755" s="8" t="n"/>
    </row>
    <row r="2756">
      <c r="A2756" s="8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9">
        <f>B2756+30</f>
        <v/>
      </c>
      <c r="N2756">
        <f>IF(L2756="", "", L2756-B2756)</f>
        <v/>
      </c>
      <c r="O2756">
        <f>IF(L2756="", "Pending", IF(N2756&lt;=30, "Met", "Breached"))</f>
        <v/>
      </c>
      <c r="P2756" s="8" t="n"/>
      <c r="Q2756" s="8" t="n"/>
      <c r="R2756" s="8" t="n"/>
      <c r="S2756" s="8" t="n"/>
      <c r="T2756" s="8" t="n"/>
      <c r="U2756" s="8" t="n"/>
      <c r="V2756" s="8" t="n"/>
      <c r="W2756" s="8" t="n"/>
      <c r="X2756" s="8" t="n"/>
      <c r="Y2756" s="8" t="n"/>
    </row>
    <row r="2757">
      <c r="A2757" s="8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9">
        <f>B2757+30</f>
        <v/>
      </c>
      <c r="N2757">
        <f>IF(L2757="", "", L2757-B2757)</f>
        <v/>
      </c>
      <c r="O2757">
        <f>IF(L2757="", "Pending", IF(N2757&lt;=30, "Met", "Breached"))</f>
        <v/>
      </c>
      <c r="P2757" s="8" t="n"/>
      <c r="Q2757" s="8" t="n"/>
      <c r="R2757" s="8" t="n"/>
      <c r="S2757" s="8" t="n"/>
      <c r="T2757" s="8" t="n"/>
      <c r="U2757" s="8" t="n"/>
      <c r="V2757" s="8" t="n"/>
      <c r="W2757" s="8" t="n"/>
      <c r="X2757" s="8" t="n"/>
      <c r="Y2757" s="8" t="n"/>
    </row>
    <row r="2758">
      <c r="A2758" s="8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9">
        <f>B2758+30</f>
        <v/>
      </c>
      <c r="N2758">
        <f>IF(L2758="", "", L2758-B2758)</f>
        <v/>
      </c>
      <c r="O2758">
        <f>IF(L2758="", "Pending", IF(N2758&lt;=30, "Met", "Breached"))</f>
        <v/>
      </c>
      <c r="P2758" s="8" t="n"/>
      <c r="Q2758" s="8" t="n"/>
      <c r="R2758" s="8" t="n"/>
      <c r="S2758" s="8" t="n"/>
      <c r="T2758" s="8" t="n"/>
      <c r="U2758" s="8" t="n"/>
      <c r="V2758" s="8" t="n"/>
      <c r="W2758" s="8" t="n"/>
      <c r="X2758" s="8" t="n"/>
      <c r="Y2758" s="8" t="n"/>
    </row>
    <row r="2759">
      <c r="A2759" s="8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9">
        <f>B2759+30</f>
        <v/>
      </c>
      <c r="N2759">
        <f>IF(L2759="", "", L2759-B2759)</f>
        <v/>
      </c>
      <c r="O2759">
        <f>IF(L2759="", "Pending", IF(N2759&lt;=30, "Met", "Breached"))</f>
        <v/>
      </c>
      <c r="P2759" s="8" t="n"/>
      <c r="Q2759" s="8" t="n"/>
      <c r="R2759" s="8" t="n"/>
      <c r="S2759" s="8" t="n"/>
      <c r="T2759" s="8" t="n"/>
      <c r="U2759" s="8" t="n"/>
      <c r="V2759" s="8" t="n"/>
      <c r="W2759" s="8" t="n"/>
      <c r="X2759" s="8" t="n"/>
      <c r="Y2759" s="8" t="n"/>
    </row>
    <row r="2760">
      <c r="A2760" s="8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9">
        <f>B2760+30</f>
        <v/>
      </c>
      <c r="N2760">
        <f>IF(L2760="", "", L2760-B2760)</f>
        <v/>
      </c>
      <c r="O2760">
        <f>IF(L2760="", "Pending", IF(N2760&lt;=30, "Met", "Breached"))</f>
        <v/>
      </c>
      <c r="P2760" s="8" t="n"/>
      <c r="Q2760" s="8" t="n"/>
      <c r="R2760" s="8" t="n"/>
      <c r="S2760" s="8" t="n"/>
      <c r="T2760" s="8" t="n"/>
      <c r="U2760" s="8" t="n"/>
      <c r="V2760" s="8" t="n"/>
      <c r="W2760" s="8" t="n"/>
      <c r="X2760" s="8" t="n"/>
      <c r="Y2760" s="8" t="n"/>
    </row>
    <row r="2761">
      <c r="A2761" s="8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9">
        <f>B2761+30</f>
        <v/>
      </c>
      <c r="N2761">
        <f>IF(L2761="", "", L2761-B2761)</f>
        <v/>
      </c>
      <c r="O2761">
        <f>IF(L2761="", "Pending", IF(N2761&lt;=30, "Met", "Breached"))</f>
        <v/>
      </c>
      <c r="P2761" s="8" t="n"/>
      <c r="Q2761" s="8" t="n"/>
      <c r="R2761" s="8" t="n"/>
      <c r="S2761" s="8" t="n"/>
      <c r="T2761" s="8" t="n"/>
      <c r="U2761" s="8" t="n"/>
      <c r="V2761" s="8" t="n"/>
      <c r="W2761" s="8" t="n"/>
      <c r="X2761" s="8" t="n"/>
      <c r="Y2761" s="8" t="n"/>
    </row>
    <row r="2762">
      <c r="A2762" s="8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9">
        <f>B2762+30</f>
        <v/>
      </c>
      <c r="N2762">
        <f>IF(L2762="", "", L2762-B2762)</f>
        <v/>
      </c>
      <c r="O2762">
        <f>IF(L2762="", "Pending", IF(N2762&lt;=30, "Met", "Breached"))</f>
        <v/>
      </c>
      <c r="P2762" s="8" t="n"/>
      <c r="Q2762" s="8" t="n"/>
      <c r="R2762" s="8" t="n"/>
      <c r="S2762" s="8" t="n"/>
      <c r="T2762" s="8" t="n"/>
      <c r="U2762" s="8" t="n"/>
      <c r="V2762" s="8" t="n"/>
      <c r="W2762" s="8" t="n"/>
      <c r="X2762" s="8" t="n"/>
      <c r="Y2762" s="8" t="n"/>
    </row>
    <row r="2763">
      <c r="A2763" s="8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9">
        <f>B2763+30</f>
        <v/>
      </c>
      <c r="N2763">
        <f>IF(L2763="", "", L2763-B2763)</f>
        <v/>
      </c>
      <c r="O2763">
        <f>IF(L2763="", "Pending", IF(N2763&lt;=30, "Met", "Breached"))</f>
        <v/>
      </c>
      <c r="P2763" s="8" t="n"/>
      <c r="Q2763" s="8" t="n"/>
      <c r="R2763" s="8" t="n"/>
      <c r="S2763" s="8" t="n"/>
      <c r="T2763" s="8" t="n"/>
      <c r="U2763" s="8" t="n"/>
      <c r="V2763" s="8" t="n"/>
      <c r="W2763" s="8" t="n"/>
      <c r="X2763" s="8" t="n"/>
      <c r="Y2763" s="8" t="n"/>
    </row>
    <row r="2764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9">
        <f>B2764+30</f>
        <v/>
      </c>
      <c r="N2764">
        <f>IF(L2764="", "", L2764-B2764)</f>
        <v/>
      </c>
      <c r="O2764">
        <f>IF(L2764="", "Pending", IF(N2764&lt;=30, "Met", "Breached"))</f>
        <v/>
      </c>
      <c r="P2764" s="8" t="n"/>
      <c r="Q2764" s="8" t="n"/>
      <c r="R2764" s="8" t="n"/>
      <c r="S2764" s="8" t="n"/>
      <c r="T2764" s="8" t="n"/>
      <c r="U2764" s="8" t="n"/>
      <c r="V2764" s="8" t="n"/>
      <c r="W2764" s="8" t="n"/>
      <c r="X2764" s="8" t="n"/>
      <c r="Y2764" s="8" t="n"/>
    </row>
    <row r="2765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9">
        <f>B2765+30</f>
        <v/>
      </c>
      <c r="N2765">
        <f>IF(L2765="", "", L2765-B2765)</f>
        <v/>
      </c>
      <c r="O2765">
        <f>IF(L2765="", "Pending", IF(N2765&lt;=30, "Met", "Breached"))</f>
        <v/>
      </c>
      <c r="P2765" s="8" t="n"/>
      <c r="Q2765" s="8" t="n"/>
      <c r="R2765" s="8" t="n"/>
      <c r="S2765" s="8" t="n"/>
      <c r="T2765" s="8" t="n"/>
      <c r="U2765" s="8" t="n"/>
      <c r="V2765" s="8" t="n"/>
      <c r="W2765" s="8" t="n"/>
      <c r="X2765" s="8" t="n"/>
      <c r="Y2765" s="8" t="n"/>
    </row>
    <row r="2766">
      <c r="A2766" s="8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9">
        <f>B2766+30</f>
        <v/>
      </c>
      <c r="N2766">
        <f>IF(L2766="", "", L2766-B2766)</f>
        <v/>
      </c>
      <c r="O2766">
        <f>IF(L2766="", "Pending", IF(N2766&lt;=30, "Met", "Breached"))</f>
        <v/>
      </c>
      <c r="P2766" s="8" t="n"/>
      <c r="Q2766" s="8" t="n"/>
      <c r="R2766" s="8" t="n"/>
      <c r="S2766" s="8" t="n"/>
      <c r="T2766" s="8" t="n"/>
      <c r="U2766" s="8" t="n"/>
      <c r="V2766" s="8" t="n"/>
      <c r="W2766" s="8" t="n"/>
      <c r="X2766" s="8" t="n"/>
      <c r="Y2766" s="8" t="n"/>
    </row>
    <row r="2767">
      <c r="A2767" s="8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9">
        <f>B2767+30</f>
        <v/>
      </c>
      <c r="N2767">
        <f>IF(L2767="", "", L2767-B2767)</f>
        <v/>
      </c>
      <c r="O2767">
        <f>IF(L2767="", "Pending", IF(N2767&lt;=30, "Met", "Breached"))</f>
        <v/>
      </c>
      <c r="P2767" s="8" t="n"/>
      <c r="Q2767" s="8" t="n"/>
      <c r="R2767" s="8" t="n"/>
      <c r="S2767" s="8" t="n"/>
      <c r="T2767" s="8" t="n"/>
      <c r="U2767" s="8" t="n"/>
      <c r="V2767" s="8" t="n"/>
      <c r="W2767" s="8" t="n"/>
      <c r="X2767" s="8" t="n"/>
      <c r="Y2767" s="8" t="n"/>
    </row>
    <row r="2768">
      <c r="A2768" s="8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9">
        <f>B2768+30</f>
        <v/>
      </c>
      <c r="N2768">
        <f>IF(L2768="", "", L2768-B2768)</f>
        <v/>
      </c>
      <c r="O2768">
        <f>IF(L2768="", "Pending", IF(N2768&lt;=30, "Met", "Breached"))</f>
        <v/>
      </c>
      <c r="P2768" s="8" t="n"/>
      <c r="Q2768" s="8" t="n"/>
      <c r="R2768" s="8" t="n"/>
      <c r="S2768" s="8" t="n"/>
      <c r="T2768" s="8" t="n"/>
      <c r="U2768" s="8" t="n"/>
      <c r="V2768" s="8" t="n"/>
      <c r="W2768" s="8" t="n"/>
      <c r="X2768" s="8" t="n"/>
      <c r="Y2768" s="8" t="n"/>
    </row>
    <row r="2769">
      <c r="A2769" s="8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9">
        <f>B2769+30</f>
        <v/>
      </c>
      <c r="N2769">
        <f>IF(L2769="", "", L2769-B2769)</f>
        <v/>
      </c>
      <c r="O2769">
        <f>IF(L2769="", "Pending", IF(N2769&lt;=30, "Met", "Breached"))</f>
        <v/>
      </c>
      <c r="P2769" s="8" t="n"/>
      <c r="Q2769" s="8" t="n"/>
      <c r="R2769" s="8" t="n"/>
      <c r="S2769" s="8" t="n"/>
      <c r="T2769" s="8" t="n"/>
      <c r="U2769" s="8" t="n"/>
      <c r="V2769" s="8" t="n"/>
      <c r="W2769" s="8" t="n"/>
      <c r="X2769" s="8" t="n"/>
      <c r="Y2769" s="8" t="n"/>
    </row>
    <row r="2770">
      <c r="A2770" s="8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9">
        <f>B2770+30</f>
        <v/>
      </c>
      <c r="N2770">
        <f>IF(L2770="", "", L2770-B2770)</f>
        <v/>
      </c>
      <c r="O2770">
        <f>IF(L2770="", "Pending", IF(N2770&lt;=30, "Met", "Breached"))</f>
        <v/>
      </c>
      <c r="P2770" s="8" t="n"/>
      <c r="Q2770" s="8" t="n"/>
      <c r="R2770" s="8" t="n"/>
      <c r="S2770" s="8" t="n"/>
      <c r="T2770" s="8" t="n"/>
      <c r="U2770" s="8" t="n"/>
      <c r="V2770" s="8" t="n"/>
      <c r="W2770" s="8" t="n"/>
      <c r="X2770" s="8" t="n"/>
      <c r="Y2770" s="8" t="n"/>
    </row>
    <row r="2771">
      <c r="A2771" s="8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9">
        <f>B2771+30</f>
        <v/>
      </c>
      <c r="N2771">
        <f>IF(L2771="", "", L2771-B2771)</f>
        <v/>
      </c>
      <c r="O2771">
        <f>IF(L2771="", "Pending", IF(N2771&lt;=30, "Met", "Breached"))</f>
        <v/>
      </c>
      <c r="P2771" s="8" t="n"/>
      <c r="Q2771" s="8" t="n"/>
      <c r="R2771" s="8" t="n"/>
      <c r="S2771" s="8" t="n"/>
      <c r="T2771" s="8" t="n"/>
      <c r="U2771" s="8" t="n"/>
      <c r="V2771" s="8" t="n"/>
      <c r="W2771" s="8" t="n"/>
      <c r="X2771" s="8" t="n"/>
      <c r="Y2771" s="8" t="n"/>
    </row>
    <row r="2772">
      <c r="A2772" s="8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9">
        <f>B2772+30</f>
        <v/>
      </c>
      <c r="N2772">
        <f>IF(L2772="", "", L2772-B2772)</f>
        <v/>
      </c>
      <c r="O2772">
        <f>IF(L2772="", "Pending", IF(N2772&lt;=30, "Met", "Breached"))</f>
        <v/>
      </c>
      <c r="P2772" s="8" t="n"/>
      <c r="Q2772" s="8" t="n"/>
      <c r="R2772" s="8" t="n"/>
      <c r="S2772" s="8" t="n"/>
      <c r="T2772" s="8" t="n"/>
      <c r="U2772" s="8" t="n"/>
      <c r="V2772" s="8" t="n"/>
      <c r="W2772" s="8" t="n"/>
      <c r="X2772" s="8" t="n"/>
      <c r="Y2772" s="8" t="n"/>
    </row>
    <row r="2773">
      <c r="A2773" s="8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9">
        <f>B2773+30</f>
        <v/>
      </c>
      <c r="N2773">
        <f>IF(L2773="", "", L2773-B2773)</f>
        <v/>
      </c>
      <c r="O2773">
        <f>IF(L2773="", "Pending", IF(N2773&lt;=30, "Met", "Breached"))</f>
        <v/>
      </c>
      <c r="P2773" s="8" t="n"/>
      <c r="Q2773" s="8" t="n"/>
      <c r="R2773" s="8" t="n"/>
      <c r="S2773" s="8" t="n"/>
      <c r="T2773" s="8" t="n"/>
      <c r="U2773" s="8" t="n"/>
      <c r="V2773" s="8" t="n"/>
      <c r="W2773" s="8" t="n"/>
      <c r="X2773" s="8" t="n"/>
      <c r="Y2773" s="8" t="n"/>
    </row>
    <row r="2774">
      <c r="A2774" s="8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9">
        <f>B2774+30</f>
        <v/>
      </c>
      <c r="N2774">
        <f>IF(L2774="", "", L2774-B2774)</f>
        <v/>
      </c>
      <c r="O2774">
        <f>IF(L2774="", "Pending", IF(N2774&lt;=30, "Met", "Breached"))</f>
        <v/>
      </c>
      <c r="P2774" s="8" t="n"/>
      <c r="Q2774" s="8" t="n"/>
      <c r="R2774" s="8" t="n"/>
      <c r="S2774" s="8" t="n"/>
      <c r="T2774" s="8" t="n"/>
      <c r="U2774" s="8" t="n"/>
      <c r="V2774" s="8" t="n"/>
      <c r="W2774" s="8" t="n"/>
      <c r="X2774" s="8" t="n"/>
      <c r="Y2774" s="8" t="n"/>
    </row>
    <row r="2775">
      <c r="A2775" s="8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9">
        <f>B2775+30</f>
        <v/>
      </c>
      <c r="N2775">
        <f>IF(L2775="", "", L2775-B2775)</f>
        <v/>
      </c>
      <c r="O2775">
        <f>IF(L2775="", "Pending", IF(N2775&lt;=30, "Met", "Breached"))</f>
        <v/>
      </c>
      <c r="P2775" s="8" t="n"/>
      <c r="Q2775" s="8" t="n"/>
      <c r="R2775" s="8" t="n"/>
      <c r="S2775" s="8" t="n"/>
      <c r="T2775" s="8" t="n"/>
      <c r="U2775" s="8" t="n"/>
      <c r="V2775" s="8" t="n"/>
      <c r="W2775" s="8" t="n"/>
      <c r="X2775" s="8" t="n"/>
      <c r="Y2775" s="8" t="n"/>
    </row>
    <row r="2776">
      <c r="A2776" s="8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9">
        <f>B2776+30</f>
        <v/>
      </c>
      <c r="N2776">
        <f>IF(L2776="", "", L2776-B2776)</f>
        <v/>
      </c>
      <c r="O2776">
        <f>IF(L2776="", "Pending", IF(N2776&lt;=30, "Met", "Breached"))</f>
        <v/>
      </c>
      <c r="P2776" s="8" t="n"/>
      <c r="Q2776" s="8" t="n"/>
      <c r="R2776" s="8" t="n"/>
      <c r="S2776" s="8" t="n"/>
      <c r="T2776" s="8" t="n"/>
      <c r="U2776" s="8" t="n"/>
      <c r="V2776" s="8" t="n"/>
      <c r="W2776" s="8" t="n"/>
      <c r="X2776" s="8" t="n"/>
      <c r="Y2776" s="8" t="n"/>
    </row>
    <row r="2777">
      <c r="A2777" s="8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9">
        <f>B2777+30</f>
        <v/>
      </c>
      <c r="N2777">
        <f>IF(L2777="", "", L2777-B2777)</f>
        <v/>
      </c>
      <c r="O2777">
        <f>IF(L2777="", "Pending", IF(N2777&lt;=30, "Met", "Breached"))</f>
        <v/>
      </c>
      <c r="P2777" s="8" t="n"/>
      <c r="Q2777" s="8" t="n"/>
      <c r="R2777" s="8" t="n"/>
      <c r="S2777" s="8" t="n"/>
      <c r="T2777" s="8" t="n"/>
      <c r="U2777" s="8" t="n"/>
      <c r="V2777" s="8" t="n"/>
      <c r="W2777" s="8" t="n"/>
      <c r="X2777" s="8" t="n"/>
      <c r="Y2777" s="8" t="n"/>
    </row>
    <row r="2778">
      <c r="A2778" s="8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9">
        <f>B2778+30</f>
        <v/>
      </c>
      <c r="N2778">
        <f>IF(L2778="", "", L2778-B2778)</f>
        <v/>
      </c>
      <c r="O2778">
        <f>IF(L2778="", "Pending", IF(N2778&lt;=30, "Met", "Breached"))</f>
        <v/>
      </c>
      <c r="P2778" s="8" t="n"/>
      <c r="Q2778" s="8" t="n"/>
      <c r="R2778" s="8" t="n"/>
      <c r="S2778" s="8" t="n"/>
      <c r="T2778" s="8" t="n"/>
      <c r="U2778" s="8" t="n"/>
      <c r="V2778" s="8" t="n"/>
      <c r="W2778" s="8" t="n"/>
      <c r="X2778" s="8" t="n"/>
      <c r="Y2778" s="8" t="n"/>
    </row>
    <row r="2779">
      <c r="A2779" s="8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9">
        <f>B2779+30</f>
        <v/>
      </c>
      <c r="N2779">
        <f>IF(L2779="", "", L2779-B2779)</f>
        <v/>
      </c>
      <c r="O2779">
        <f>IF(L2779="", "Pending", IF(N2779&lt;=30, "Met", "Breached"))</f>
        <v/>
      </c>
      <c r="P2779" s="8" t="n"/>
      <c r="Q2779" s="8" t="n"/>
      <c r="R2779" s="8" t="n"/>
      <c r="S2779" s="8" t="n"/>
      <c r="T2779" s="8" t="n"/>
      <c r="U2779" s="8" t="n"/>
      <c r="V2779" s="8" t="n"/>
      <c r="W2779" s="8" t="n"/>
      <c r="X2779" s="8" t="n"/>
      <c r="Y2779" s="8" t="n"/>
    </row>
    <row r="2780">
      <c r="A2780" s="8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9">
        <f>B2780+30</f>
        <v/>
      </c>
      <c r="N2780">
        <f>IF(L2780="", "", L2780-B2780)</f>
        <v/>
      </c>
      <c r="O2780">
        <f>IF(L2780="", "Pending", IF(N2780&lt;=30, "Met", "Breached"))</f>
        <v/>
      </c>
      <c r="P2780" s="8" t="n"/>
      <c r="Q2780" s="8" t="n"/>
      <c r="R2780" s="8" t="n"/>
      <c r="S2780" s="8" t="n"/>
      <c r="T2780" s="8" t="n"/>
      <c r="U2780" s="8" t="n"/>
      <c r="V2780" s="8" t="n"/>
      <c r="W2780" s="8" t="n"/>
      <c r="X2780" s="8" t="n"/>
      <c r="Y2780" s="8" t="n"/>
    </row>
    <row r="2781">
      <c r="A2781" s="8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9">
        <f>B2781+30</f>
        <v/>
      </c>
      <c r="N2781">
        <f>IF(L2781="", "", L2781-B2781)</f>
        <v/>
      </c>
      <c r="O2781">
        <f>IF(L2781="", "Pending", IF(N2781&lt;=30, "Met", "Breached"))</f>
        <v/>
      </c>
      <c r="P2781" s="8" t="n"/>
      <c r="Q2781" s="8" t="n"/>
      <c r="R2781" s="8" t="n"/>
      <c r="S2781" s="8" t="n"/>
      <c r="T2781" s="8" t="n"/>
      <c r="U2781" s="8" t="n"/>
      <c r="V2781" s="8" t="n"/>
      <c r="W2781" s="8" t="n"/>
      <c r="X2781" s="8" t="n"/>
      <c r="Y2781" s="8" t="n"/>
    </row>
    <row r="2782">
      <c r="A2782" s="8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9">
        <f>B2782+30</f>
        <v/>
      </c>
      <c r="N2782">
        <f>IF(L2782="", "", L2782-B2782)</f>
        <v/>
      </c>
      <c r="O2782">
        <f>IF(L2782="", "Pending", IF(N2782&lt;=30, "Met", "Breached"))</f>
        <v/>
      </c>
      <c r="P2782" s="8" t="n"/>
      <c r="Q2782" s="8" t="n"/>
      <c r="R2782" s="8" t="n"/>
      <c r="S2782" s="8" t="n"/>
      <c r="T2782" s="8" t="n"/>
      <c r="U2782" s="8" t="n"/>
      <c r="V2782" s="8" t="n"/>
      <c r="W2782" s="8" t="n"/>
      <c r="X2782" s="8" t="n"/>
      <c r="Y2782" s="8" t="n"/>
    </row>
    <row r="2783">
      <c r="A2783" s="8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9">
        <f>B2783+30</f>
        <v/>
      </c>
      <c r="N2783">
        <f>IF(L2783="", "", L2783-B2783)</f>
        <v/>
      </c>
      <c r="O2783">
        <f>IF(L2783="", "Pending", IF(N2783&lt;=30, "Met", "Breached"))</f>
        <v/>
      </c>
      <c r="P2783" s="8" t="n"/>
      <c r="Q2783" s="8" t="n"/>
      <c r="R2783" s="8" t="n"/>
      <c r="S2783" s="8" t="n"/>
      <c r="T2783" s="8" t="n"/>
      <c r="U2783" s="8" t="n"/>
      <c r="V2783" s="8" t="n"/>
      <c r="W2783" s="8" t="n"/>
      <c r="X2783" s="8" t="n"/>
      <c r="Y2783" s="8" t="n"/>
    </row>
    <row r="2784">
      <c r="A2784" s="8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9">
        <f>B2784+30</f>
        <v/>
      </c>
      <c r="N2784">
        <f>IF(L2784="", "", L2784-B2784)</f>
        <v/>
      </c>
      <c r="O2784">
        <f>IF(L2784="", "Pending", IF(N2784&lt;=30, "Met", "Breached"))</f>
        <v/>
      </c>
      <c r="P2784" s="8" t="n"/>
      <c r="Q2784" s="8" t="n"/>
      <c r="R2784" s="8" t="n"/>
      <c r="S2784" s="8" t="n"/>
      <c r="T2784" s="8" t="n"/>
      <c r="U2784" s="8" t="n"/>
      <c r="V2784" s="8" t="n"/>
      <c r="W2784" s="8" t="n"/>
      <c r="X2784" s="8" t="n"/>
      <c r="Y2784" s="8" t="n"/>
    </row>
    <row r="2785">
      <c r="A2785" s="8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9">
        <f>B2785+30</f>
        <v/>
      </c>
      <c r="N2785">
        <f>IF(L2785="", "", L2785-B2785)</f>
        <v/>
      </c>
      <c r="O2785">
        <f>IF(L2785="", "Pending", IF(N2785&lt;=30, "Met", "Breached"))</f>
        <v/>
      </c>
      <c r="P2785" s="8" t="n"/>
      <c r="Q2785" s="8" t="n"/>
      <c r="R2785" s="8" t="n"/>
      <c r="S2785" s="8" t="n"/>
      <c r="T2785" s="8" t="n"/>
      <c r="U2785" s="8" t="n"/>
      <c r="V2785" s="8" t="n"/>
      <c r="W2785" s="8" t="n"/>
      <c r="X2785" s="8" t="n"/>
      <c r="Y2785" s="8" t="n"/>
    </row>
    <row r="2786">
      <c r="A2786" s="8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9">
        <f>B2786+30</f>
        <v/>
      </c>
      <c r="N2786">
        <f>IF(L2786="", "", L2786-B2786)</f>
        <v/>
      </c>
      <c r="O2786">
        <f>IF(L2786="", "Pending", IF(N2786&lt;=30, "Met", "Breached"))</f>
        <v/>
      </c>
      <c r="P2786" s="8" t="n"/>
      <c r="Q2786" s="8" t="n"/>
      <c r="R2786" s="8" t="n"/>
      <c r="S2786" s="8" t="n"/>
      <c r="T2786" s="8" t="n"/>
      <c r="U2786" s="8" t="n"/>
      <c r="V2786" s="8" t="n"/>
      <c r="W2786" s="8" t="n"/>
      <c r="X2786" s="8" t="n"/>
      <c r="Y2786" s="8" t="n"/>
    </row>
    <row r="2787">
      <c r="A2787" s="8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9">
        <f>B2787+30</f>
        <v/>
      </c>
      <c r="N2787">
        <f>IF(L2787="", "", L2787-B2787)</f>
        <v/>
      </c>
      <c r="O2787">
        <f>IF(L2787="", "Pending", IF(N2787&lt;=30, "Met", "Breached"))</f>
        <v/>
      </c>
      <c r="P2787" s="8" t="n"/>
      <c r="Q2787" s="8" t="n"/>
      <c r="R2787" s="8" t="n"/>
      <c r="S2787" s="8" t="n"/>
      <c r="T2787" s="8" t="n"/>
      <c r="U2787" s="8" t="n"/>
      <c r="V2787" s="8" t="n"/>
      <c r="W2787" s="8" t="n"/>
      <c r="X2787" s="8" t="n"/>
      <c r="Y2787" s="8" t="n"/>
    </row>
    <row r="2788">
      <c r="A2788" s="8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9">
        <f>B2788+30</f>
        <v/>
      </c>
      <c r="N2788">
        <f>IF(L2788="", "", L2788-B2788)</f>
        <v/>
      </c>
      <c r="O2788">
        <f>IF(L2788="", "Pending", IF(N2788&lt;=30, "Met", "Breached"))</f>
        <v/>
      </c>
      <c r="P2788" s="8" t="n"/>
      <c r="Q2788" s="8" t="n"/>
      <c r="R2788" s="8" t="n"/>
      <c r="S2788" s="8" t="n"/>
      <c r="T2788" s="8" t="n"/>
      <c r="U2788" s="8" t="n"/>
      <c r="V2788" s="8" t="n"/>
      <c r="W2788" s="8" t="n"/>
      <c r="X2788" s="8" t="n"/>
      <c r="Y2788" s="8" t="n"/>
    </row>
    <row r="2789">
      <c r="A2789" s="8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9">
        <f>B2789+30</f>
        <v/>
      </c>
      <c r="N2789">
        <f>IF(L2789="", "", L2789-B2789)</f>
        <v/>
      </c>
      <c r="O2789">
        <f>IF(L2789="", "Pending", IF(N2789&lt;=30, "Met", "Breached"))</f>
        <v/>
      </c>
      <c r="P2789" s="8" t="n"/>
      <c r="Q2789" s="8" t="n"/>
      <c r="R2789" s="8" t="n"/>
      <c r="S2789" s="8" t="n"/>
      <c r="T2789" s="8" t="n"/>
      <c r="U2789" s="8" t="n"/>
      <c r="V2789" s="8" t="n"/>
      <c r="W2789" s="8" t="n"/>
      <c r="X2789" s="8" t="n"/>
      <c r="Y2789" s="8" t="n"/>
    </row>
    <row r="2790">
      <c r="A2790" s="8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9">
        <f>B2790+30</f>
        <v/>
      </c>
      <c r="N2790">
        <f>IF(L2790="", "", L2790-B2790)</f>
        <v/>
      </c>
      <c r="O2790">
        <f>IF(L2790="", "Pending", IF(N2790&lt;=30, "Met", "Breached"))</f>
        <v/>
      </c>
      <c r="P2790" s="8" t="n"/>
      <c r="Q2790" s="8" t="n"/>
      <c r="R2790" s="8" t="n"/>
      <c r="S2790" s="8" t="n"/>
      <c r="T2790" s="8" t="n"/>
      <c r="U2790" s="8" t="n"/>
      <c r="V2790" s="8" t="n"/>
      <c r="W2790" s="8" t="n"/>
      <c r="X2790" s="8" t="n"/>
      <c r="Y2790" s="8" t="n"/>
    </row>
    <row r="2791">
      <c r="A2791" s="8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9">
        <f>B2791+30</f>
        <v/>
      </c>
      <c r="N2791">
        <f>IF(L2791="", "", L2791-B2791)</f>
        <v/>
      </c>
      <c r="O2791">
        <f>IF(L2791="", "Pending", IF(N2791&lt;=30, "Met", "Breached"))</f>
        <v/>
      </c>
      <c r="P2791" s="8" t="n"/>
      <c r="Q2791" s="8" t="n"/>
      <c r="R2791" s="8" t="n"/>
      <c r="S2791" s="8" t="n"/>
      <c r="T2791" s="8" t="n"/>
      <c r="U2791" s="8" t="n"/>
      <c r="V2791" s="8" t="n"/>
      <c r="W2791" s="8" t="n"/>
      <c r="X2791" s="8" t="n"/>
      <c r="Y2791" s="8" t="n"/>
    </row>
    <row r="2792">
      <c r="A2792" s="8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9">
        <f>B2792+30</f>
        <v/>
      </c>
      <c r="N2792">
        <f>IF(L2792="", "", L2792-B2792)</f>
        <v/>
      </c>
      <c r="O2792">
        <f>IF(L2792="", "Pending", IF(N2792&lt;=30, "Met", "Breached"))</f>
        <v/>
      </c>
      <c r="P2792" s="8" t="n"/>
      <c r="Q2792" s="8" t="n"/>
      <c r="R2792" s="8" t="n"/>
      <c r="S2792" s="8" t="n"/>
      <c r="T2792" s="8" t="n"/>
      <c r="U2792" s="8" t="n"/>
      <c r="V2792" s="8" t="n"/>
      <c r="W2792" s="8" t="n"/>
      <c r="X2792" s="8" t="n"/>
      <c r="Y2792" s="8" t="n"/>
    </row>
    <row r="2793">
      <c r="A2793" s="8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9">
        <f>B2793+30</f>
        <v/>
      </c>
      <c r="N2793">
        <f>IF(L2793="", "", L2793-B2793)</f>
        <v/>
      </c>
      <c r="O2793">
        <f>IF(L2793="", "Pending", IF(N2793&lt;=30, "Met", "Breached"))</f>
        <v/>
      </c>
      <c r="P2793" s="8" t="n"/>
      <c r="Q2793" s="8" t="n"/>
      <c r="R2793" s="8" t="n"/>
      <c r="S2793" s="8" t="n"/>
      <c r="T2793" s="8" t="n"/>
      <c r="U2793" s="8" t="n"/>
      <c r="V2793" s="8" t="n"/>
      <c r="W2793" s="8" t="n"/>
      <c r="X2793" s="8" t="n"/>
      <c r="Y2793" s="8" t="n"/>
    </row>
    <row r="2794">
      <c r="A2794" s="8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9">
        <f>B2794+30</f>
        <v/>
      </c>
      <c r="N2794">
        <f>IF(L2794="", "", L2794-B2794)</f>
        <v/>
      </c>
      <c r="O2794">
        <f>IF(L2794="", "Pending", IF(N2794&lt;=30, "Met", "Breached"))</f>
        <v/>
      </c>
      <c r="P2794" s="8" t="n"/>
      <c r="Q2794" s="8" t="n"/>
      <c r="R2794" s="8" t="n"/>
      <c r="S2794" s="8" t="n"/>
      <c r="T2794" s="8" t="n"/>
      <c r="U2794" s="8" t="n"/>
      <c r="V2794" s="8" t="n"/>
      <c r="W2794" s="8" t="n"/>
      <c r="X2794" s="8" t="n"/>
      <c r="Y2794" s="8" t="n"/>
    </row>
    <row r="2795">
      <c r="A2795" s="8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9">
        <f>B2795+30</f>
        <v/>
      </c>
      <c r="N2795">
        <f>IF(L2795="", "", L2795-B2795)</f>
        <v/>
      </c>
      <c r="O2795">
        <f>IF(L2795="", "Pending", IF(N2795&lt;=30, "Met", "Breached"))</f>
        <v/>
      </c>
      <c r="P2795" s="8" t="n"/>
      <c r="Q2795" s="8" t="n"/>
      <c r="R2795" s="8" t="n"/>
      <c r="S2795" s="8" t="n"/>
      <c r="T2795" s="8" t="n"/>
      <c r="U2795" s="8" t="n"/>
      <c r="V2795" s="8" t="n"/>
      <c r="W2795" s="8" t="n"/>
      <c r="X2795" s="8" t="n"/>
      <c r="Y2795" s="8" t="n"/>
    </row>
    <row r="2796">
      <c r="A2796" s="8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9">
        <f>B2796+30</f>
        <v/>
      </c>
      <c r="N2796">
        <f>IF(L2796="", "", L2796-B2796)</f>
        <v/>
      </c>
      <c r="O2796">
        <f>IF(L2796="", "Pending", IF(N2796&lt;=30, "Met", "Breached"))</f>
        <v/>
      </c>
      <c r="P2796" s="8" t="n"/>
      <c r="Q2796" s="8" t="n"/>
      <c r="R2796" s="8" t="n"/>
      <c r="S2796" s="8" t="n"/>
      <c r="T2796" s="8" t="n"/>
      <c r="U2796" s="8" t="n"/>
      <c r="V2796" s="8" t="n"/>
      <c r="W2796" s="8" t="n"/>
      <c r="X2796" s="8" t="n"/>
      <c r="Y2796" s="8" t="n"/>
    </row>
    <row r="2797">
      <c r="A2797" s="8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9">
        <f>B2797+30</f>
        <v/>
      </c>
      <c r="N2797">
        <f>IF(L2797="", "", L2797-B2797)</f>
        <v/>
      </c>
      <c r="O2797">
        <f>IF(L2797="", "Pending", IF(N2797&lt;=30, "Met", "Breached"))</f>
        <v/>
      </c>
      <c r="P2797" s="8" t="n"/>
      <c r="Q2797" s="8" t="n"/>
      <c r="R2797" s="8" t="n"/>
      <c r="S2797" s="8" t="n"/>
      <c r="T2797" s="8" t="n"/>
      <c r="U2797" s="8" t="n"/>
      <c r="V2797" s="8" t="n"/>
      <c r="W2797" s="8" t="n"/>
      <c r="X2797" s="8" t="n"/>
      <c r="Y2797" s="8" t="n"/>
    </row>
    <row r="2798">
      <c r="A2798" s="8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9">
        <f>B2798+30</f>
        <v/>
      </c>
      <c r="N2798">
        <f>IF(L2798="", "", L2798-B2798)</f>
        <v/>
      </c>
      <c r="O2798">
        <f>IF(L2798="", "Pending", IF(N2798&lt;=30, "Met", "Breached"))</f>
        <v/>
      </c>
      <c r="P2798" s="8" t="n"/>
      <c r="Q2798" s="8" t="n"/>
      <c r="R2798" s="8" t="n"/>
      <c r="S2798" s="8" t="n"/>
      <c r="T2798" s="8" t="n"/>
      <c r="U2798" s="8" t="n"/>
      <c r="V2798" s="8" t="n"/>
      <c r="W2798" s="8" t="n"/>
      <c r="X2798" s="8" t="n"/>
      <c r="Y2798" s="8" t="n"/>
    </row>
    <row r="2799">
      <c r="A2799" s="8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9">
        <f>B2799+30</f>
        <v/>
      </c>
      <c r="N2799">
        <f>IF(L2799="", "", L2799-B2799)</f>
        <v/>
      </c>
      <c r="O2799">
        <f>IF(L2799="", "Pending", IF(N2799&lt;=30, "Met", "Breached"))</f>
        <v/>
      </c>
      <c r="P2799" s="8" t="n"/>
      <c r="Q2799" s="8" t="n"/>
      <c r="R2799" s="8" t="n"/>
      <c r="S2799" s="8" t="n"/>
      <c r="T2799" s="8" t="n"/>
      <c r="U2799" s="8" t="n"/>
      <c r="V2799" s="8" t="n"/>
      <c r="W2799" s="8" t="n"/>
      <c r="X2799" s="8" t="n"/>
      <c r="Y2799" s="8" t="n"/>
    </row>
    <row r="2800">
      <c r="A2800" s="8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9">
        <f>B2800+30</f>
        <v/>
      </c>
      <c r="N2800">
        <f>IF(L2800="", "", L2800-B2800)</f>
        <v/>
      </c>
      <c r="O2800">
        <f>IF(L2800="", "Pending", IF(N2800&lt;=30, "Met", "Breached"))</f>
        <v/>
      </c>
      <c r="P2800" s="8" t="n"/>
      <c r="Q2800" s="8" t="n"/>
      <c r="R2800" s="8" t="n"/>
      <c r="S2800" s="8" t="n"/>
      <c r="T2800" s="8" t="n"/>
      <c r="U2800" s="8" t="n"/>
      <c r="V2800" s="8" t="n"/>
      <c r="W2800" s="8" t="n"/>
      <c r="X2800" s="8" t="n"/>
      <c r="Y2800" s="8" t="n"/>
    </row>
    <row r="2801">
      <c r="A2801" s="8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9">
        <f>B2801+30</f>
        <v/>
      </c>
      <c r="N2801">
        <f>IF(L2801="", "", L2801-B2801)</f>
        <v/>
      </c>
      <c r="O2801">
        <f>IF(L2801="", "Pending", IF(N2801&lt;=30, "Met", "Breached"))</f>
        <v/>
      </c>
      <c r="P2801" s="8" t="n"/>
      <c r="Q2801" s="8" t="n"/>
      <c r="R2801" s="8" t="n"/>
      <c r="S2801" s="8" t="n"/>
      <c r="T2801" s="8" t="n"/>
      <c r="U2801" s="8" t="n"/>
      <c r="V2801" s="8" t="n"/>
      <c r="W2801" s="8" t="n"/>
      <c r="X2801" s="8" t="n"/>
      <c r="Y2801" s="8" t="n"/>
    </row>
    <row r="2802">
      <c r="A2802" s="8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9">
        <f>B2802+30</f>
        <v/>
      </c>
      <c r="N2802">
        <f>IF(L2802="", "", L2802-B2802)</f>
        <v/>
      </c>
      <c r="O2802">
        <f>IF(L2802="", "Pending", IF(N2802&lt;=30, "Met", "Breached"))</f>
        <v/>
      </c>
      <c r="P2802" s="8" t="n"/>
      <c r="Q2802" s="8" t="n"/>
      <c r="R2802" s="8" t="n"/>
      <c r="S2802" s="8" t="n"/>
      <c r="T2802" s="8" t="n"/>
      <c r="U2802" s="8" t="n"/>
      <c r="V2802" s="8" t="n"/>
      <c r="W2802" s="8" t="n"/>
      <c r="X2802" s="8" t="n"/>
      <c r="Y2802" s="8" t="n"/>
    </row>
    <row r="2803">
      <c r="A2803" s="8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9">
        <f>B2803+30</f>
        <v/>
      </c>
      <c r="N2803">
        <f>IF(L2803="", "", L2803-B2803)</f>
        <v/>
      </c>
      <c r="O2803">
        <f>IF(L2803="", "Pending", IF(N2803&lt;=30, "Met", "Breached"))</f>
        <v/>
      </c>
      <c r="P2803" s="8" t="n"/>
      <c r="Q2803" s="8" t="n"/>
      <c r="R2803" s="8" t="n"/>
      <c r="S2803" s="8" t="n"/>
      <c r="T2803" s="8" t="n"/>
      <c r="U2803" s="8" t="n"/>
      <c r="V2803" s="8" t="n"/>
      <c r="W2803" s="8" t="n"/>
      <c r="X2803" s="8" t="n"/>
      <c r="Y2803" s="8" t="n"/>
    </row>
    <row r="2804">
      <c r="A2804" s="8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9">
        <f>B2804+30</f>
        <v/>
      </c>
      <c r="N2804">
        <f>IF(L2804="", "", L2804-B2804)</f>
        <v/>
      </c>
      <c r="O2804">
        <f>IF(L2804="", "Pending", IF(N2804&lt;=30, "Met", "Breached"))</f>
        <v/>
      </c>
      <c r="P2804" s="8" t="n"/>
      <c r="Q2804" s="8" t="n"/>
      <c r="R2804" s="8" t="n"/>
      <c r="S2804" s="8" t="n"/>
      <c r="T2804" s="8" t="n"/>
      <c r="U2804" s="8" t="n"/>
      <c r="V2804" s="8" t="n"/>
      <c r="W2804" s="8" t="n"/>
      <c r="X2804" s="8" t="n"/>
      <c r="Y2804" s="8" t="n"/>
    </row>
    <row r="2805">
      <c r="A2805" s="8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9">
        <f>B2805+30</f>
        <v/>
      </c>
      <c r="N2805">
        <f>IF(L2805="", "", L2805-B2805)</f>
        <v/>
      </c>
      <c r="O2805">
        <f>IF(L2805="", "Pending", IF(N2805&lt;=30, "Met", "Breached"))</f>
        <v/>
      </c>
      <c r="P2805" s="8" t="n"/>
      <c r="Q2805" s="8" t="n"/>
      <c r="R2805" s="8" t="n"/>
      <c r="S2805" s="8" t="n"/>
      <c r="T2805" s="8" t="n"/>
      <c r="U2805" s="8" t="n"/>
      <c r="V2805" s="8" t="n"/>
      <c r="W2805" s="8" t="n"/>
      <c r="X2805" s="8" t="n"/>
      <c r="Y2805" s="8" t="n"/>
    </row>
    <row r="2806">
      <c r="A2806" s="8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9">
        <f>B2806+30</f>
        <v/>
      </c>
      <c r="N2806">
        <f>IF(L2806="", "", L2806-B2806)</f>
        <v/>
      </c>
      <c r="O2806">
        <f>IF(L2806="", "Pending", IF(N2806&lt;=30, "Met", "Breached"))</f>
        <v/>
      </c>
      <c r="P2806" s="8" t="n"/>
      <c r="Q2806" s="8" t="n"/>
      <c r="R2806" s="8" t="n"/>
      <c r="S2806" s="8" t="n"/>
      <c r="T2806" s="8" t="n"/>
      <c r="U2806" s="8" t="n"/>
      <c r="V2806" s="8" t="n"/>
      <c r="W2806" s="8" t="n"/>
      <c r="X2806" s="8" t="n"/>
      <c r="Y2806" s="8" t="n"/>
    </row>
    <row r="2807">
      <c r="A2807" s="8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9">
        <f>B2807+30</f>
        <v/>
      </c>
      <c r="N2807">
        <f>IF(L2807="", "", L2807-B2807)</f>
        <v/>
      </c>
      <c r="O2807">
        <f>IF(L2807="", "Pending", IF(N2807&lt;=30, "Met", "Breached"))</f>
        <v/>
      </c>
      <c r="P2807" s="8" t="n"/>
      <c r="Q2807" s="8" t="n"/>
      <c r="R2807" s="8" t="n"/>
      <c r="S2807" s="8" t="n"/>
      <c r="T2807" s="8" t="n"/>
      <c r="U2807" s="8" t="n"/>
      <c r="V2807" s="8" t="n"/>
      <c r="W2807" s="8" t="n"/>
      <c r="X2807" s="8" t="n"/>
      <c r="Y2807" s="8" t="n"/>
    </row>
    <row r="2808">
      <c r="A2808" s="8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9">
        <f>B2808+30</f>
        <v/>
      </c>
      <c r="N2808">
        <f>IF(L2808="", "", L2808-B2808)</f>
        <v/>
      </c>
      <c r="O2808">
        <f>IF(L2808="", "Pending", IF(N2808&lt;=30, "Met", "Breached"))</f>
        <v/>
      </c>
      <c r="P2808" s="8" t="n"/>
      <c r="Q2808" s="8" t="n"/>
      <c r="R2808" s="8" t="n"/>
      <c r="S2808" s="8" t="n"/>
      <c r="T2808" s="8" t="n"/>
      <c r="U2808" s="8" t="n"/>
      <c r="V2808" s="8" t="n"/>
      <c r="W2808" s="8" t="n"/>
      <c r="X2808" s="8" t="n"/>
      <c r="Y2808" s="8" t="n"/>
    </row>
    <row r="2809">
      <c r="A2809" s="8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9">
        <f>B2809+30</f>
        <v/>
      </c>
      <c r="N2809">
        <f>IF(L2809="", "", L2809-B2809)</f>
        <v/>
      </c>
      <c r="O2809">
        <f>IF(L2809="", "Pending", IF(N2809&lt;=30, "Met", "Breached"))</f>
        <v/>
      </c>
      <c r="P2809" s="8" t="n"/>
      <c r="Q2809" s="8" t="n"/>
      <c r="R2809" s="8" t="n"/>
      <c r="S2809" s="8" t="n"/>
      <c r="T2809" s="8" t="n"/>
      <c r="U2809" s="8" t="n"/>
      <c r="V2809" s="8" t="n"/>
      <c r="W2809" s="8" t="n"/>
      <c r="X2809" s="8" t="n"/>
      <c r="Y2809" s="8" t="n"/>
    </row>
    <row r="2810">
      <c r="A2810" s="8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9">
        <f>B2810+30</f>
        <v/>
      </c>
      <c r="N2810">
        <f>IF(L2810="", "", L2810-B2810)</f>
        <v/>
      </c>
      <c r="O2810">
        <f>IF(L2810="", "Pending", IF(N2810&lt;=30, "Met", "Breached"))</f>
        <v/>
      </c>
      <c r="P2810" s="8" t="n"/>
      <c r="Q2810" s="8" t="n"/>
      <c r="R2810" s="8" t="n"/>
      <c r="S2810" s="8" t="n"/>
      <c r="T2810" s="8" t="n"/>
      <c r="U2810" s="8" t="n"/>
      <c r="V2810" s="8" t="n"/>
      <c r="W2810" s="8" t="n"/>
      <c r="X2810" s="8" t="n"/>
      <c r="Y2810" s="8" t="n"/>
    </row>
    <row r="2811">
      <c r="A2811" s="8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9">
        <f>B2811+30</f>
        <v/>
      </c>
      <c r="N2811">
        <f>IF(L2811="", "", L2811-B2811)</f>
        <v/>
      </c>
      <c r="O2811">
        <f>IF(L2811="", "Pending", IF(N2811&lt;=30, "Met", "Breached"))</f>
        <v/>
      </c>
      <c r="P2811" s="8" t="n"/>
      <c r="Q2811" s="8" t="n"/>
      <c r="R2811" s="8" t="n"/>
      <c r="S2811" s="8" t="n"/>
      <c r="T2811" s="8" t="n"/>
      <c r="U2811" s="8" t="n"/>
      <c r="V2811" s="8" t="n"/>
      <c r="W2811" s="8" t="n"/>
      <c r="X2811" s="8" t="n"/>
      <c r="Y2811" s="8" t="n"/>
    </row>
    <row r="2812">
      <c r="A2812" s="8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9">
        <f>B2812+30</f>
        <v/>
      </c>
      <c r="N2812">
        <f>IF(L2812="", "", L2812-B2812)</f>
        <v/>
      </c>
      <c r="O2812">
        <f>IF(L2812="", "Pending", IF(N2812&lt;=30, "Met", "Breached"))</f>
        <v/>
      </c>
      <c r="P2812" s="8" t="n"/>
      <c r="Q2812" s="8" t="n"/>
      <c r="R2812" s="8" t="n"/>
      <c r="S2812" s="8" t="n"/>
      <c r="T2812" s="8" t="n"/>
      <c r="U2812" s="8" t="n"/>
      <c r="V2812" s="8" t="n"/>
      <c r="W2812" s="8" t="n"/>
      <c r="X2812" s="8" t="n"/>
      <c r="Y2812" s="8" t="n"/>
    </row>
    <row r="2813">
      <c r="A2813" s="8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9">
        <f>B2813+30</f>
        <v/>
      </c>
      <c r="N2813">
        <f>IF(L2813="", "", L2813-B2813)</f>
        <v/>
      </c>
      <c r="O2813">
        <f>IF(L2813="", "Pending", IF(N2813&lt;=30, "Met", "Breached"))</f>
        <v/>
      </c>
      <c r="P2813" s="8" t="n"/>
      <c r="Q2813" s="8" t="n"/>
      <c r="R2813" s="8" t="n"/>
      <c r="S2813" s="8" t="n"/>
      <c r="T2813" s="8" t="n"/>
      <c r="U2813" s="8" t="n"/>
      <c r="V2813" s="8" t="n"/>
      <c r="W2813" s="8" t="n"/>
      <c r="X2813" s="8" t="n"/>
      <c r="Y2813" s="8" t="n"/>
    </row>
    <row r="2814">
      <c r="A2814" s="8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9">
        <f>B2814+30</f>
        <v/>
      </c>
      <c r="N2814">
        <f>IF(L2814="", "", L2814-B2814)</f>
        <v/>
      </c>
      <c r="O2814">
        <f>IF(L2814="", "Pending", IF(N2814&lt;=30, "Met", "Breached"))</f>
        <v/>
      </c>
      <c r="P2814" s="8" t="n"/>
      <c r="Q2814" s="8" t="n"/>
      <c r="R2814" s="8" t="n"/>
      <c r="S2814" s="8" t="n"/>
      <c r="T2814" s="8" t="n"/>
      <c r="U2814" s="8" t="n"/>
      <c r="V2814" s="8" t="n"/>
      <c r="W2814" s="8" t="n"/>
      <c r="X2814" s="8" t="n"/>
      <c r="Y2814" s="8" t="n"/>
    </row>
    <row r="2815">
      <c r="A2815" s="8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9">
        <f>B2815+30</f>
        <v/>
      </c>
      <c r="N2815">
        <f>IF(L2815="", "", L2815-B2815)</f>
        <v/>
      </c>
      <c r="O2815">
        <f>IF(L2815="", "Pending", IF(N2815&lt;=30, "Met", "Breached"))</f>
        <v/>
      </c>
      <c r="P2815" s="8" t="n"/>
      <c r="Q2815" s="8" t="n"/>
      <c r="R2815" s="8" t="n"/>
      <c r="S2815" s="8" t="n"/>
      <c r="T2815" s="8" t="n"/>
      <c r="U2815" s="8" t="n"/>
      <c r="V2815" s="8" t="n"/>
      <c r="W2815" s="8" t="n"/>
      <c r="X2815" s="8" t="n"/>
      <c r="Y2815" s="8" t="n"/>
    </row>
    <row r="2816">
      <c r="A2816" s="8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9">
        <f>B2816+30</f>
        <v/>
      </c>
      <c r="N2816">
        <f>IF(L2816="", "", L2816-B2816)</f>
        <v/>
      </c>
      <c r="O2816">
        <f>IF(L2816="", "Pending", IF(N2816&lt;=30, "Met", "Breached"))</f>
        <v/>
      </c>
      <c r="P2816" s="8" t="n"/>
      <c r="Q2816" s="8" t="n"/>
      <c r="R2816" s="8" t="n"/>
      <c r="S2816" s="8" t="n"/>
      <c r="T2816" s="8" t="n"/>
      <c r="U2816" s="8" t="n"/>
      <c r="V2816" s="8" t="n"/>
      <c r="W2816" s="8" t="n"/>
      <c r="X2816" s="8" t="n"/>
      <c r="Y2816" s="8" t="n"/>
    </row>
    <row r="2817">
      <c r="A2817" s="8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9">
        <f>B2817+30</f>
        <v/>
      </c>
      <c r="N2817">
        <f>IF(L2817="", "", L2817-B2817)</f>
        <v/>
      </c>
      <c r="O2817">
        <f>IF(L2817="", "Pending", IF(N2817&lt;=30, "Met", "Breached"))</f>
        <v/>
      </c>
      <c r="P2817" s="8" t="n"/>
      <c r="Q2817" s="8" t="n"/>
      <c r="R2817" s="8" t="n"/>
      <c r="S2817" s="8" t="n"/>
      <c r="T2817" s="8" t="n"/>
      <c r="U2817" s="8" t="n"/>
      <c r="V2817" s="8" t="n"/>
      <c r="W2817" s="8" t="n"/>
      <c r="X2817" s="8" t="n"/>
      <c r="Y2817" s="8" t="n"/>
    </row>
    <row r="2818">
      <c r="A2818" s="8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9">
        <f>B2818+30</f>
        <v/>
      </c>
      <c r="N2818">
        <f>IF(L2818="", "", L2818-B2818)</f>
        <v/>
      </c>
      <c r="O2818">
        <f>IF(L2818="", "Pending", IF(N2818&lt;=30, "Met", "Breached"))</f>
        <v/>
      </c>
      <c r="P2818" s="8" t="n"/>
      <c r="Q2818" s="8" t="n"/>
      <c r="R2818" s="8" t="n"/>
      <c r="S2818" s="8" t="n"/>
      <c r="T2818" s="8" t="n"/>
      <c r="U2818" s="8" t="n"/>
      <c r="V2818" s="8" t="n"/>
      <c r="W2818" s="8" t="n"/>
      <c r="X2818" s="8" t="n"/>
      <c r="Y2818" s="8" t="n"/>
    </row>
    <row r="2819">
      <c r="A2819" s="8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9">
        <f>B2819+30</f>
        <v/>
      </c>
      <c r="N2819">
        <f>IF(L2819="", "", L2819-B2819)</f>
        <v/>
      </c>
      <c r="O2819">
        <f>IF(L2819="", "Pending", IF(N2819&lt;=30, "Met", "Breached"))</f>
        <v/>
      </c>
      <c r="P2819" s="8" t="n"/>
      <c r="Q2819" s="8" t="n"/>
      <c r="R2819" s="8" t="n"/>
      <c r="S2819" s="8" t="n"/>
      <c r="T2819" s="8" t="n"/>
      <c r="U2819" s="8" t="n"/>
      <c r="V2819" s="8" t="n"/>
      <c r="W2819" s="8" t="n"/>
      <c r="X2819" s="8" t="n"/>
      <c r="Y2819" s="8" t="n"/>
    </row>
    <row r="2820">
      <c r="A2820" s="8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9">
        <f>B2820+30</f>
        <v/>
      </c>
      <c r="N2820">
        <f>IF(L2820="", "", L2820-B2820)</f>
        <v/>
      </c>
      <c r="O2820">
        <f>IF(L2820="", "Pending", IF(N2820&lt;=30, "Met", "Breached"))</f>
        <v/>
      </c>
      <c r="P2820" s="8" t="n"/>
      <c r="Q2820" s="8" t="n"/>
      <c r="R2820" s="8" t="n"/>
      <c r="S2820" s="8" t="n"/>
      <c r="T2820" s="8" t="n"/>
      <c r="U2820" s="8" t="n"/>
      <c r="V2820" s="8" t="n"/>
      <c r="W2820" s="8" t="n"/>
      <c r="X2820" s="8" t="n"/>
      <c r="Y2820" s="8" t="n"/>
    </row>
    <row r="2821">
      <c r="A2821" s="8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9">
        <f>B2821+30</f>
        <v/>
      </c>
      <c r="N2821">
        <f>IF(L2821="", "", L2821-B2821)</f>
        <v/>
      </c>
      <c r="O2821">
        <f>IF(L2821="", "Pending", IF(N2821&lt;=30, "Met", "Breached"))</f>
        <v/>
      </c>
      <c r="P2821" s="8" t="n"/>
      <c r="Q2821" s="8" t="n"/>
      <c r="R2821" s="8" t="n"/>
      <c r="S2821" s="8" t="n"/>
      <c r="T2821" s="8" t="n"/>
      <c r="U2821" s="8" t="n"/>
      <c r="V2821" s="8" t="n"/>
      <c r="W2821" s="8" t="n"/>
      <c r="X2821" s="8" t="n"/>
      <c r="Y2821" s="8" t="n"/>
    </row>
    <row r="2822">
      <c r="A2822" s="8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9">
        <f>B2822+30</f>
        <v/>
      </c>
      <c r="N2822">
        <f>IF(L2822="", "", L2822-B2822)</f>
        <v/>
      </c>
      <c r="O2822">
        <f>IF(L2822="", "Pending", IF(N2822&lt;=30, "Met", "Breached"))</f>
        <v/>
      </c>
      <c r="P2822" s="8" t="n"/>
      <c r="Q2822" s="8" t="n"/>
      <c r="R2822" s="8" t="n"/>
      <c r="S2822" s="8" t="n"/>
      <c r="T2822" s="8" t="n"/>
      <c r="U2822" s="8" t="n"/>
      <c r="V2822" s="8" t="n"/>
      <c r="W2822" s="8" t="n"/>
      <c r="X2822" s="8" t="n"/>
      <c r="Y2822" s="8" t="n"/>
    </row>
    <row r="2823">
      <c r="A2823" s="8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9">
        <f>B2823+30</f>
        <v/>
      </c>
      <c r="N2823">
        <f>IF(L2823="", "", L2823-B2823)</f>
        <v/>
      </c>
      <c r="O2823">
        <f>IF(L2823="", "Pending", IF(N2823&lt;=30, "Met", "Breached"))</f>
        <v/>
      </c>
      <c r="P2823" s="8" t="n"/>
      <c r="Q2823" s="8" t="n"/>
      <c r="R2823" s="8" t="n"/>
      <c r="S2823" s="8" t="n"/>
      <c r="T2823" s="8" t="n"/>
      <c r="U2823" s="8" t="n"/>
      <c r="V2823" s="8" t="n"/>
      <c r="W2823" s="8" t="n"/>
      <c r="X2823" s="8" t="n"/>
      <c r="Y2823" s="8" t="n"/>
    </row>
    <row r="2824">
      <c r="A2824" s="8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9">
        <f>B2824+30</f>
        <v/>
      </c>
      <c r="N2824">
        <f>IF(L2824="", "", L2824-B2824)</f>
        <v/>
      </c>
      <c r="O2824">
        <f>IF(L2824="", "Pending", IF(N2824&lt;=30, "Met", "Breached"))</f>
        <v/>
      </c>
      <c r="P2824" s="8" t="n"/>
      <c r="Q2824" s="8" t="n"/>
      <c r="R2824" s="8" t="n"/>
      <c r="S2824" s="8" t="n"/>
      <c r="T2824" s="8" t="n"/>
      <c r="U2824" s="8" t="n"/>
      <c r="V2824" s="8" t="n"/>
      <c r="W2824" s="8" t="n"/>
      <c r="X2824" s="8" t="n"/>
      <c r="Y2824" s="8" t="n"/>
    </row>
    <row r="2825">
      <c r="A2825" s="8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9">
        <f>B2825+30</f>
        <v/>
      </c>
      <c r="N2825">
        <f>IF(L2825="", "", L2825-B2825)</f>
        <v/>
      </c>
      <c r="O2825">
        <f>IF(L2825="", "Pending", IF(N2825&lt;=30, "Met", "Breached"))</f>
        <v/>
      </c>
      <c r="P2825" s="8" t="n"/>
      <c r="Q2825" s="8" t="n"/>
      <c r="R2825" s="8" t="n"/>
      <c r="S2825" s="8" t="n"/>
      <c r="T2825" s="8" t="n"/>
      <c r="U2825" s="8" t="n"/>
      <c r="V2825" s="8" t="n"/>
      <c r="W2825" s="8" t="n"/>
      <c r="X2825" s="8" t="n"/>
      <c r="Y2825" s="8" t="n"/>
    </row>
    <row r="2826">
      <c r="A2826" s="8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9">
        <f>B2826+30</f>
        <v/>
      </c>
      <c r="N2826">
        <f>IF(L2826="", "", L2826-B2826)</f>
        <v/>
      </c>
      <c r="O2826">
        <f>IF(L2826="", "Pending", IF(N2826&lt;=30, "Met", "Breached"))</f>
        <v/>
      </c>
      <c r="P2826" s="8" t="n"/>
      <c r="Q2826" s="8" t="n"/>
      <c r="R2826" s="8" t="n"/>
      <c r="S2826" s="8" t="n"/>
      <c r="T2826" s="8" t="n"/>
      <c r="U2826" s="8" t="n"/>
      <c r="V2826" s="8" t="n"/>
      <c r="W2826" s="8" t="n"/>
      <c r="X2826" s="8" t="n"/>
      <c r="Y2826" s="8" t="n"/>
    </row>
    <row r="2827">
      <c r="A2827" s="8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9">
        <f>B2827+30</f>
        <v/>
      </c>
      <c r="N2827">
        <f>IF(L2827="", "", L2827-B2827)</f>
        <v/>
      </c>
      <c r="O2827">
        <f>IF(L2827="", "Pending", IF(N2827&lt;=30, "Met", "Breached"))</f>
        <v/>
      </c>
      <c r="P2827" s="8" t="n"/>
      <c r="Q2827" s="8" t="n"/>
      <c r="R2827" s="8" t="n"/>
      <c r="S2827" s="8" t="n"/>
      <c r="T2827" s="8" t="n"/>
      <c r="U2827" s="8" t="n"/>
      <c r="V2827" s="8" t="n"/>
      <c r="W2827" s="8" t="n"/>
      <c r="X2827" s="8" t="n"/>
      <c r="Y2827" s="8" t="n"/>
    </row>
    <row r="2828">
      <c r="A2828" s="8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9">
        <f>B2828+30</f>
        <v/>
      </c>
      <c r="N2828">
        <f>IF(L2828="", "", L2828-B2828)</f>
        <v/>
      </c>
      <c r="O2828">
        <f>IF(L2828="", "Pending", IF(N2828&lt;=30, "Met", "Breached"))</f>
        <v/>
      </c>
      <c r="P2828" s="8" t="n"/>
      <c r="Q2828" s="8" t="n"/>
      <c r="R2828" s="8" t="n"/>
      <c r="S2828" s="8" t="n"/>
      <c r="T2828" s="8" t="n"/>
      <c r="U2828" s="8" t="n"/>
      <c r="V2828" s="8" t="n"/>
      <c r="W2828" s="8" t="n"/>
      <c r="X2828" s="8" t="n"/>
      <c r="Y2828" s="8" t="n"/>
    </row>
    <row r="2829">
      <c r="A2829" s="8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9">
        <f>B2829+30</f>
        <v/>
      </c>
      <c r="N2829">
        <f>IF(L2829="", "", L2829-B2829)</f>
        <v/>
      </c>
      <c r="O2829">
        <f>IF(L2829="", "Pending", IF(N2829&lt;=30, "Met", "Breached"))</f>
        <v/>
      </c>
      <c r="P2829" s="8" t="n"/>
      <c r="Q2829" s="8" t="n"/>
      <c r="R2829" s="8" t="n"/>
      <c r="S2829" s="8" t="n"/>
      <c r="T2829" s="8" t="n"/>
      <c r="U2829" s="8" t="n"/>
      <c r="V2829" s="8" t="n"/>
      <c r="W2829" s="8" t="n"/>
      <c r="X2829" s="8" t="n"/>
      <c r="Y2829" s="8" t="n"/>
    </row>
    <row r="2830">
      <c r="A2830" s="8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9">
        <f>B2830+30</f>
        <v/>
      </c>
      <c r="N2830">
        <f>IF(L2830="", "", L2830-B2830)</f>
        <v/>
      </c>
      <c r="O2830">
        <f>IF(L2830="", "Pending", IF(N2830&lt;=30, "Met", "Breached"))</f>
        <v/>
      </c>
      <c r="P2830" s="8" t="n"/>
      <c r="Q2830" s="8" t="n"/>
      <c r="R2830" s="8" t="n"/>
      <c r="S2830" s="8" t="n"/>
      <c r="T2830" s="8" t="n"/>
      <c r="U2830" s="8" t="n"/>
      <c r="V2830" s="8" t="n"/>
      <c r="W2830" s="8" t="n"/>
      <c r="X2830" s="8" t="n"/>
      <c r="Y2830" s="8" t="n"/>
    </row>
    <row r="2831">
      <c r="A2831" s="8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9">
        <f>B2831+30</f>
        <v/>
      </c>
      <c r="N2831">
        <f>IF(L2831="", "", L2831-B2831)</f>
        <v/>
      </c>
      <c r="O2831">
        <f>IF(L2831="", "Pending", IF(N2831&lt;=30, "Met", "Breached"))</f>
        <v/>
      </c>
      <c r="P2831" s="8" t="n"/>
      <c r="Q2831" s="8" t="n"/>
      <c r="R2831" s="8" t="n"/>
      <c r="S2831" s="8" t="n"/>
      <c r="T2831" s="8" t="n"/>
      <c r="U2831" s="8" t="n"/>
      <c r="V2831" s="8" t="n"/>
      <c r="W2831" s="8" t="n"/>
      <c r="X2831" s="8" t="n"/>
      <c r="Y2831" s="8" t="n"/>
    </row>
    <row r="2832">
      <c r="A2832" s="8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9">
        <f>B2832+30</f>
        <v/>
      </c>
      <c r="N2832">
        <f>IF(L2832="", "", L2832-B2832)</f>
        <v/>
      </c>
      <c r="O2832">
        <f>IF(L2832="", "Pending", IF(N2832&lt;=30, "Met", "Breached"))</f>
        <v/>
      </c>
      <c r="P2832" s="8" t="n"/>
      <c r="Q2832" s="8" t="n"/>
      <c r="R2832" s="8" t="n"/>
      <c r="S2832" s="8" t="n"/>
      <c r="T2832" s="8" t="n"/>
      <c r="U2832" s="8" t="n"/>
      <c r="V2832" s="8" t="n"/>
      <c r="W2832" s="8" t="n"/>
      <c r="X2832" s="8" t="n"/>
      <c r="Y2832" s="8" t="n"/>
    </row>
    <row r="2833">
      <c r="A2833" s="8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9">
        <f>B2833+30</f>
        <v/>
      </c>
      <c r="N2833">
        <f>IF(L2833="", "", L2833-B2833)</f>
        <v/>
      </c>
      <c r="O2833">
        <f>IF(L2833="", "Pending", IF(N2833&lt;=30, "Met", "Breached"))</f>
        <v/>
      </c>
      <c r="P2833" s="8" t="n"/>
      <c r="Q2833" s="8" t="n"/>
      <c r="R2833" s="8" t="n"/>
      <c r="S2833" s="8" t="n"/>
      <c r="T2833" s="8" t="n"/>
      <c r="U2833" s="8" t="n"/>
      <c r="V2833" s="8" t="n"/>
      <c r="W2833" s="8" t="n"/>
      <c r="X2833" s="8" t="n"/>
      <c r="Y2833" s="8" t="n"/>
    </row>
    <row r="2834">
      <c r="A2834" s="8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9">
        <f>B2834+30</f>
        <v/>
      </c>
      <c r="N2834">
        <f>IF(L2834="", "", L2834-B2834)</f>
        <v/>
      </c>
      <c r="O2834">
        <f>IF(L2834="", "Pending", IF(N2834&lt;=30, "Met", "Breached"))</f>
        <v/>
      </c>
      <c r="P2834" s="8" t="n"/>
      <c r="Q2834" s="8" t="n"/>
      <c r="R2834" s="8" t="n"/>
      <c r="S2834" s="8" t="n"/>
      <c r="T2834" s="8" t="n"/>
      <c r="U2834" s="8" t="n"/>
      <c r="V2834" s="8" t="n"/>
      <c r="W2834" s="8" t="n"/>
      <c r="X2834" s="8" t="n"/>
      <c r="Y2834" s="8" t="n"/>
    </row>
    <row r="2835">
      <c r="A2835" s="8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9">
        <f>B2835+30</f>
        <v/>
      </c>
      <c r="N2835">
        <f>IF(L2835="", "", L2835-B2835)</f>
        <v/>
      </c>
      <c r="O2835">
        <f>IF(L2835="", "Pending", IF(N2835&lt;=30, "Met", "Breached"))</f>
        <v/>
      </c>
      <c r="P2835" s="8" t="n"/>
      <c r="Q2835" s="8" t="n"/>
      <c r="R2835" s="8" t="n"/>
      <c r="S2835" s="8" t="n"/>
      <c r="T2835" s="8" t="n"/>
      <c r="U2835" s="8" t="n"/>
      <c r="V2835" s="8" t="n"/>
      <c r="W2835" s="8" t="n"/>
      <c r="X2835" s="8" t="n"/>
      <c r="Y2835" s="8" t="n"/>
    </row>
    <row r="2836">
      <c r="A2836" s="8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9">
        <f>B2836+30</f>
        <v/>
      </c>
      <c r="N2836">
        <f>IF(L2836="", "", L2836-B2836)</f>
        <v/>
      </c>
      <c r="O2836">
        <f>IF(L2836="", "Pending", IF(N2836&lt;=30, "Met", "Breached"))</f>
        <v/>
      </c>
      <c r="P2836" s="8" t="n"/>
      <c r="Q2836" s="8" t="n"/>
      <c r="R2836" s="8" t="n"/>
      <c r="S2836" s="8" t="n"/>
      <c r="T2836" s="8" t="n"/>
      <c r="U2836" s="8" t="n"/>
      <c r="V2836" s="8" t="n"/>
      <c r="W2836" s="8" t="n"/>
      <c r="X2836" s="8" t="n"/>
      <c r="Y2836" s="8" t="n"/>
    </row>
    <row r="2837">
      <c r="A2837" s="8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9">
        <f>B2837+30</f>
        <v/>
      </c>
      <c r="N2837">
        <f>IF(L2837="", "", L2837-B2837)</f>
        <v/>
      </c>
      <c r="O2837">
        <f>IF(L2837="", "Pending", IF(N2837&lt;=30, "Met", "Breached"))</f>
        <v/>
      </c>
      <c r="P2837" s="8" t="n"/>
      <c r="Q2837" s="8" t="n"/>
      <c r="R2837" s="8" t="n"/>
      <c r="S2837" s="8" t="n"/>
      <c r="T2837" s="8" t="n"/>
      <c r="U2837" s="8" t="n"/>
      <c r="V2837" s="8" t="n"/>
      <c r="W2837" s="8" t="n"/>
      <c r="X2837" s="8" t="n"/>
      <c r="Y2837" s="8" t="n"/>
    </row>
    <row r="2838">
      <c r="A2838" s="8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9">
        <f>B2838+30</f>
        <v/>
      </c>
      <c r="N2838">
        <f>IF(L2838="", "", L2838-B2838)</f>
        <v/>
      </c>
      <c r="O2838">
        <f>IF(L2838="", "Pending", IF(N2838&lt;=30, "Met", "Breached"))</f>
        <v/>
      </c>
      <c r="P2838" s="8" t="n"/>
      <c r="Q2838" s="8" t="n"/>
      <c r="R2838" s="8" t="n"/>
      <c r="S2838" s="8" t="n"/>
      <c r="T2838" s="8" t="n"/>
      <c r="U2838" s="8" t="n"/>
      <c r="V2838" s="8" t="n"/>
      <c r="W2838" s="8" t="n"/>
      <c r="X2838" s="8" t="n"/>
      <c r="Y2838" s="8" t="n"/>
    </row>
    <row r="2839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9">
        <f>B2839+30</f>
        <v/>
      </c>
      <c r="N2839">
        <f>IF(L2839="", "", L2839-B2839)</f>
        <v/>
      </c>
      <c r="O2839">
        <f>IF(L2839="", "Pending", IF(N2839&lt;=30, "Met", "Breached"))</f>
        <v/>
      </c>
      <c r="P2839" s="8" t="n"/>
      <c r="Q2839" s="8" t="n"/>
      <c r="R2839" s="8" t="n"/>
      <c r="S2839" s="8" t="n"/>
      <c r="T2839" s="8" t="n"/>
      <c r="U2839" s="8" t="n"/>
      <c r="V2839" s="8" t="n"/>
      <c r="W2839" s="8" t="n"/>
      <c r="X2839" s="8" t="n"/>
      <c r="Y2839" s="8" t="n"/>
    </row>
    <row r="2840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9">
        <f>B2840+30</f>
        <v/>
      </c>
      <c r="N2840">
        <f>IF(L2840="", "", L2840-B2840)</f>
        <v/>
      </c>
      <c r="O2840">
        <f>IF(L2840="", "Pending", IF(N2840&lt;=30, "Met", "Breached"))</f>
        <v/>
      </c>
      <c r="P2840" s="8" t="n"/>
      <c r="Q2840" s="8" t="n"/>
      <c r="R2840" s="8" t="n"/>
      <c r="S2840" s="8" t="n"/>
      <c r="T2840" s="8" t="n"/>
      <c r="U2840" s="8" t="n"/>
      <c r="V2840" s="8" t="n"/>
      <c r="W2840" s="8" t="n"/>
      <c r="X2840" s="8" t="n"/>
      <c r="Y2840" s="8" t="n"/>
    </row>
    <row r="2841">
      <c r="A2841" s="8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9">
        <f>B2841+30</f>
        <v/>
      </c>
      <c r="N2841">
        <f>IF(L2841="", "", L2841-B2841)</f>
        <v/>
      </c>
      <c r="O2841">
        <f>IF(L2841="", "Pending", IF(N2841&lt;=30, "Met", "Breached"))</f>
        <v/>
      </c>
      <c r="P2841" s="8" t="n"/>
      <c r="Q2841" s="8" t="n"/>
      <c r="R2841" s="8" t="n"/>
      <c r="S2841" s="8" t="n"/>
      <c r="T2841" s="8" t="n"/>
      <c r="U2841" s="8" t="n"/>
      <c r="V2841" s="8" t="n"/>
      <c r="W2841" s="8" t="n"/>
      <c r="X2841" s="8" t="n"/>
      <c r="Y2841" s="8" t="n"/>
    </row>
    <row r="2842">
      <c r="A2842" s="8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9">
        <f>B2842+30</f>
        <v/>
      </c>
      <c r="N2842">
        <f>IF(L2842="", "", L2842-B2842)</f>
        <v/>
      </c>
      <c r="O2842">
        <f>IF(L2842="", "Pending", IF(N2842&lt;=30, "Met", "Breached"))</f>
        <v/>
      </c>
      <c r="P2842" s="8" t="n"/>
      <c r="Q2842" s="8" t="n"/>
      <c r="R2842" s="8" t="n"/>
      <c r="S2842" s="8" t="n"/>
      <c r="T2842" s="8" t="n"/>
      <c r="U2842" s="8" t="n"/>
      <c r="V2842" s="8" t="n"/>
      <c r="W2842" s="8" t="n"/>
      <c r="X2842" s="8" t="n"/>
      <c r="Y2842" s="8" t="n"/>
    </row>
    <row r="2843">
      <c r="A2843" s="8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9">
        <f>B2843+30</f>
        <v/>
      </c>
      <c r="N2843">
        <f>IF(L2843="", "", L2843-B2843)</f>
        <v/>
      </c>
      <c r="O2843">
        <f>IF(L2843="", "Pending", IF(N2843&lt;=30, "Met", "Breached"))</f>
        <v/>
      </c>
      <c r="P2843" s="8" t="n"/>
      <c r="Q2843" s="8" t="n"/>
      <c r="R2843" s="8" t="n"/>
      <c r="S2843" s="8" t="n"/>
      <c r="T2843" s="8" t="n"/>
      <c r="U2843" s="8" t="n"/>
      <c r="V2843" s="8" t="n"/>
      <c r="W2843" s="8" t="n"/>
      <c r="X2843" s="8" t="n"/>
      <c r="Y2843" s="8" t="n"/>
    </row>
    <row r="2844">
      <c r="A2844" s="8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9">
        <f>B2844+30</f>
        <v/>
      </c>
      <c r="N2844">
        <f>IF(L2844="", "", L2844-B2844)</f>
        <v/>
      </c>
      <c r="O2844">
        <f>IF(L2844="", "Pending", IF(N2844&lt;=30, "Met", "Breached"))</f>
        <v/>
      </c>
      <c r="P2844" s="8" t="n"/>
      <c r="Q2844" s="8" t="n"/>
      <c r="R2844" s="8" t="n"/>
      <c r="S2844" s="8" t="n"/>
      <c r="T2844" s="8" t="n"/>
      <c r="U2844" s="8" t="n"/>
      <c r="V2844" s="8" t="n"/>
      <c r="W2844" s="8" t="n"/>
      <c r="X2844" s="8" t="n"/>
      <c r="Y2844" s="8" t="n"/>
    </row>
    <row r="2845">
      <c r="A2845" s="8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9">
        <f>B2845+30</f>
        <v/>
      </c>
      <c r="N2845">
        <f>IF(L2845="", "", L2845-B2845)</f>
        <v/>
      </c>
      <c r="O2845">
        <f>IF(L2845="", "Pending", IF(N2845&lt;=30, "Met", "Breached"))</f>
        <v/>
      </c>
      <c r="P2845" s="8" t="n"/>
      <c r="Q2845" s="8" t="n"/>
      <c r="R2845" s="8" t="n"/>
      <c r="S2845" s="8" t="n"/>
      <c r="T2845" s="8" t="n"/>
      <c r="U2845" s="8" t="n"/>
      <c r="V2845" s="8" t="n"/>
      <c r="W2845" s="8" t="n"/>
      <c r="X2845" s="8" t="n"/>
      <c r="Y2845" s="8" t="n"/>
    </row>
    <row r="2846">
      <c r="A2846" s="8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9">
        <f>B2846+30</f>
        <v/>
      </c>
      <c r="N2846">
        <f>IF(L2846="", "", L2846-B2846)</f>
        <v/>
      </c>
      <c r="O2846">
        <f>IF(L2846="", "Pending", IF(N2846&lt;=30, "Met", "Breached"))</f>
        <v/>
      </c>
      <c r="P2846" s="8" t="n"/>
      <c r="Q2846" s="8" t="n"/>
      <c r="R2846" s="8" t="n"/>
      <c r="S2846" s="8" t="n"/>
      <c r="T2846" s="8" t="n"/>
      <c r="U2846" s="8" t="n"/>
      <c r="V2846" s="8" t="n"/>
      <c r="W2846" s="8" t="n"/>
      <c r="X2846" s="8" t="n"/>
      <c r="Y2846" s="8" t="n"/>
    </row>
    <row r="2847">
      <c r="A2847" s="8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9">
        <f>B2847+30</f>
        <v/>
      </c>
      <c r="N2847">
        <f>IF(L2847="", "", L2847-B2847)</f>
        <v/>
      </c>
      <c r="O2847">
        <f>IF(L2847="", "Pending", IF(N2847&lt;=30, "Met", "Breached"))</f>
        <v/>
      </c>
      <c r="P2847" s="8" t="n"/>
      <c r="Q2847" s="8" t="n"/>
      <c r="R2847" s="8" t="n"/>
      <c r="S2847" s="8" t="n"/>
      <c r="T2847" s="8" t="n"/>
      <c r="U2847" s="8" t="n"/>
      <c r="V2847" s="8" t="n"/>
      <c r="W2847" s="8" t="n"/>
      <c r="X2847" s="8" t="n"/>
      <c r="Y2847" s="8" t="n"/>
    </row>
    <row r="2848">
      <c r="A2848" s="8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9">
        <f>B2848+30</f>
        <v/>
      </c>
      <c r="N2848">
        <f>IF(L2848="", "", L2848-B2848)</f>
        <v/>
      </c>
      <c r="O2848">
        <f>IF(L2848="", "Pending", IF(N2848&lt;=30, "Met", "Breached"))</f>
        <v/>
      </c>
      <c r="P2848" s="8" t="n"/>
      <c r="Q2848" s="8" t="n"/>
      <c r="R2848" s="8" t="n"/>
      <c r="S2848" s="8" t="n"/>
      <c r="T2848" s="8" t="n"/>
      <c r="U2848" s="8" t="n"/>
      <c r="V2848" s="8" t="n"/>
      <c r="W2848" s="8" t="n"/>
      <c r="X2848" s="8" t="n"/>
      <c r="Y2848" s="8" t="n"/>
    </row>
    <row r="2849">
      <c r="A2849" s="8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9">
        <f>B2849+30</f>
        <v/>
      </c>
      <c r="N2849">
        <f>IF(L2849="", "", L2849-B2849)</f>
        <v/>
      </c>
      <c r="O2849">
        <f>IF(L2849="", "Pending", IF(N2849&lt;=30, "Met", "Breached"))</f>
        <v/>
      </c>
      <c r="P2849" s="8" t="n"/>
      <c r="Q2849" s="8" t="n"/>
      <c r="R2849" s="8" t="n"/>
      <c r="S2849" s="8" t="n"/>
      <c r="T2849" s="8" t="n"/>
      <c r="U2849" s="8" t="n"/>
      <c r="V2849" s="8" t="n"/>
      <c r="W2849" s="8" t="n"/>
      <c r="X2849" s="8" t="n"/>
      <c r="Y2849" s="8" t="n"/>
    </row>
    <row r="2850">
      <c r="A2850" s="8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9">
        <f>B2850+30</f>
        <v/>
      </c>
      <c r="N2850">
        <f>IF(L2850="", "", L2850-B2850)</f>
        <v/>
      </c>
      <c r="O2850">
        <f>IF(L2850="", "Pending", IF(N2850&lt;=30, "Met", "Breached"))</f>
        <v/>
      </c>
      <c r="P2850" s="8" t="n"/>
      <c r="Q2850" s="8" t="n"/>
      <c r="R2850" s="8" t="n"/>
      <c r="S2850" s="8" t="n"/>
      <c r="T2850" s="8" t="n"/>
      <c r="U2850" s="8" t="n"/>
      <c r="V2850" s="8" t="n"/>
      <c r="W2850" s="8" t="n"/>
      <c r="X2850" s="8" t="n"/>
      <c r="Y2850" s="8" t="n"/>
    </row>
    <row r="2851">
      <c r="A2851" s="8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9">
        <f>B2851+30</f>
        <v/>
      </c>
      <c r="N2851">
        <f>IF(L2851="", "", L2851-B2851)</f>
        <v/>
      </c>
      <c r="O2851">
        <f>IF(L2851="", "Pending", IF(N2851&lt;=30, "Met", "Breached"))</f>
        <v/>
      </c>
      <c r="P2851" s="8" t="n"/>
      <c r="Q2851" s="8" t="n"/>
      <c r="R2851" s="8" t="n"/>
      <c r="S2851" s="8" t="n"/>
      <c r="T2851" s="8" t="n"/>
      <c r="U2851" s="8" t="n"/>
      <c r="V2851" s="8" t="n"/>
      <c r="W2851" s="8" t="n"/>
      <c r="X2851" s="8" t="n"/>
      <c r="Y2851" s="8" t="n"/>
    </row>
    <row r="2852">
      <c r="A2852" s="8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9">
        <f>B2852+30</f>
        <v/>
      </c>
      <c r="N2852">
        <f>IF(L2852="", "", L2852-B2852)</f>
        <v/>
      </c>
      <c r="O2852">
        <f>IF(L2852="", "Pending", IF(N2852&lt;=30, "Met", "Breached"))</f>
        <v/>
      </c>
      <c r="P2852" s="8" t="n"/>
      <c r="Q2852" s="8" t="n"/>
      <c r="R2852" s="8" t="n"/>
      <c r="S2852" s="8" t="n"/>
      <c r="T2852" s="8" t="n"/>
      <c r="U2852" s="8" t="n"/>
      <c r="V2852" s="8" t="n"/>
      <c r="W2852" s="8" t="n"/>
      <c r="X2852" s="8" t="n"/>
      <c r="Y2852" s="8" t="n"/>
    </row>
    <row r="2853">
      <c r="A2853" s="8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9">
        <f>B2853+30</f>
        <v/>
      </c>
      <c r="N2853">
        <f>IF(L2853="", "", L2853-B2853)</f>
        <v/>
      </c>
      <c r="O2853">
        <f>IF(L2853="", "Pending", IF(N2853&lt;=30, "Met", "Breached"))</f>
        <v/>
      </c>
      <c r="P2853" s="8" t="n"/>
      <c r="Q2853" s="8" t="n"/>
      <c r="R2853" s="8" t="n"/>
      <c r="S2853" s="8" t="n"/>
      <c r="T2853" s="8" t="n"/>
      <c r="U2853" s="8" t="n"/>
      <c r="V2853" s="8" t="n"/>
      <c r="W2853" s="8" t="n"/>
      <c r="X2853" s="8" t="n"/>
      <c r="Y2853" s="8" t="n"/>
    </row>
    <row r="2854">
      <c r="A2854" s="8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9">
        <f>B2854+30</f>
        <v/>
      </c>
      <c r="N2854">
        <f>IF(L2854="", "", L2854-B2854)</f>
        <v/>
      </c>
      <c r="O2854">
        <f>IF(L2854="", "Pending", IF(N2854&lt;=30, "Met", "Breached"))</f>
        <v/>
      </c>
      <c r="P2854" s="8" t="n"/>
      <c r="Q2854" s="8" t="n"/>
      <c r="R2854" s="8" t="n"/>
      <c r="S2854" s="8" t="n"/>
      <c r="T2854" s="8" t="n"/>
      <c r="U2854" s="8" t="n"/>
      <c r="V2854" s="8" t="n"/>
      <c r="W2854" s="8" t="n"/>
      <c r="X2854" s="8" t="n"/>
      <c r="Y2854" s="8" t="n"/>
    </row>
    <row r="2855">
      <c r="A2855" s="8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9">
        <f>B2855+30</f>
        <v/>
      </c>
      <c r="N2855">
        <f>IF(L2855="", "", L2855-B2855)</f>
        <v/>
      </c>
      <c r="O2855">
        <f>IF(L2855="", "Pending", IF(N2855&lt;=30, "Met", "Breached"))</f>
        <v/>
      </c>
      <c r="P2855" s="8" t="n"/>
      <c r="Q2855" s="8" t="n"/>
      <c r="R2855" s="8" t="n"/>
      <c r="S2855" s="8" t="n"/>
      <c r="T2855" s="8" t="n"/>
      <c r="U2855" s="8" t="n"/>
      <c r="V2855" s="8" t="n"/>
      <c r="W2855" s="8" t="n"/>
      <c r="X2855" s="8" t="n"/>
      <c r="Y2855" s="8" t="n"/>
    </row>
    <row r="2856">
      <c r="A2856" s="8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9">
        <f>B2856+30</f>
        <v/>
      </c>
      <c r="N2856">
        <f>IF(L2856="", "", L2856-B2856)</f>
        <v/>
      </c>
      <c r="O2856">
        <f>IF(L2856="", "Pending", IF(N2856&lt;=30, "Met", "Breached"))</f>
        <v/>
      </c>
      <c r="P2856" s="8" t="n"/>
      <c r="Q2856" s="8" t="n"/>
      <c r="R2856" s="8" t="n"/>
      <c r="S2856" s="8" t="n"/>
      <c r="T2856" s="8" t="n"/>
      <c r="U2856" s="8" t="n"/>
      <c r="V2856" s="8" t="n"/>
      <c r="W2856" s="8" t="n"/>
      <c r="X2856" s="8" t="n"/>
      <c r="Y2856" s="8" t="n"/>
    </row>
    <row r="2857">
      <c r="A2857" s="8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9">
        <f>B2857+30</f>
        <v/>
      </c>
      <c r="N2857">
        <f>IF(L2857="", "", L2857-B2857)</f>
        <v/>
      </c>
      <c r="O2857">
        <f>IF(L2857="", "Pending", IF(N2857&lt;=30, "Met", "Breached"))</f>
        <v/>
      </c>
      <c r="P2857" s="8" t="n"/>
      <c r="Q2857" s="8" t="n"/>
      <c r="R2857" s="8" t="n"/>
      <c r="S2857" s="8" t="n"/>
      <c r="T2857" s="8" t="n"/>
      <c r="U2857" s="8" t="n"/>
      <c r="V2857" s="8" t="n"/>
      <c r="W2857" s="8" t="n"/>
      <c r="X2857" s="8" t="n"/>
      <c r="Y2857" s="8" t="n"/>
    </row>
    <row r="2858">
      <c r="A2858" s="8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9">
        <f>B2858+30</f>
        <v/>
      </c>
      <c r="N2858">
        <f>IF(L2858="", "", L2858-B2858)</f>
        <v/>
      </c>
      <c r="O2858">
        <f>IF(L2858="", "Pending", IF(N2858&lt;=30, "Met", "Breached"))</f>
        <v/>
      </c>
      <c r="P2858" s="8" t="n"/>
      <c r="Q2858" s="8" t="n"/>
      <c r="R2858" s="8" t="n"/>
      <c r="S2858" s="8" t="n"/>
      <c r="T2858" s="8" t="n"/>
      <c r="U2858" s="8" t="n"/>
      <c r="V2858" s="8" t="n"/>
      <c r="W2858" s="8" t="n"/>
      <c r="X2858" s="8" t="n"/>
      <c r="Y2858" s="8" t="n"/>
    </row>
    <row r="2859">
      <c r="A2859" s="8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9">
        <f>B2859+30</f>
        <v/>
      </c>
      <c r="N2859">
        <f>IF(L2859="", "", L2859-B2859)</f>
        <v/>
      </c>
      <c r="O2859">
        <f>IF(L2859="", "Pending", IF(N2859&lt;=30, "Met", "Breached"))</f>
        <v/>
      </c>
      <c r="P2859" s="8" t="n"/>
      <c r="Q2859" s="8" t="n"/>
      <c r="R2859" s="8" t="n"/>
      <c r="S2859" s="8" t="n"/>
      <c r="T2859" s="8" t="n"/>
      <c r="U2859" s="8" t="n"/>
      <c r="V2859" s="8" t="n"/>
      <c r="W2859" s="8" t="n"/>
      <c r="X2859" s="8" t="n"/>
      <c r="Y2859" s="8" t="n"/>
    </row>
    <row r="2860">
      <c r="A2860" s="8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9">
        <f>B2860+30</f>
        <v/>
      </c>
      <c r="N2860">
        <f>IF(L2860="", "", L2860-B2860)</f>
        <v/>
      </c>
      <c r="O2860">
        <f>IF(L2860="", "Pending", IF(N2860&lt;=30, "Met", "Breached"))</f>
        <v/>
      </c>
      <c r="P2860" s="8" t="n"/>
      <c r="Q2860" s="8" t="n"/>
      <c r="R2860" s="8" t="n"/>
      <c r="S2860" s="8" t="n"/>
      <c r="T2860" s="8" t="n"/>
      <c r="U2860" s="8" t="n"/>
      <c r="V2860" s="8" t="n"/>
      <c r="W2860" s="8" t="n"/>
      <c r="X2860" s="8" t="n"/>
      <c r="Y2860" s="8" t="n"/>
    </row>
    <row r="2861">
      <c r="A2861" s="8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9">
        <f>B2861+30</f>
        <v/>
      </c>
      <c r="N2861">
        <f>IF(L2861="", "", L2861-B2861)</f>
        <v/>
      </c>
      <c r="O2861">
        <f>IF(L2861="", "Pending", IF(N2861&lt;=30, "Met", "Breached"))</f>
        <v/>
      </c>
      <c r="P2861" s="8" t="n"/>
      <c r="Q2861" s="8" t="n"/>
      <c r="R2861" s="8" t="n"/>
      <c r="S2861" s="8" t="n"/>
      <c r="T2861" s="8" t="n"/>
      <c r="U2861" s="8" t="n"/>
      <c r="V2861" s="8" t="n"/>
      <c r="W2861" s="8" t="n"/>
      <c r="X2861" s="8" t="n"/>
      <c r="Y2861" s="8" t="n"/>
    </row>
    <row r="2862">
      <c r="A2862" s="8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9">
        <f>B2862+30</f>
        <v/>
      </c>
      <c r="N2862">
        <f>IF(L2862="", "", L2862-B2862)</f>
        <v/>
      </c>
      <c r="O2862">
        <f>IF(L2862="", "Pending", IF(N2862&lt;=30, "Met", "Breached"))</f>
        <v/>
      </c>
      <c r="P2862" s="8" t="n"/>
      <c r="Q2862" s="8" t="n"/>
      <c r="R2862" s="8" t="n"/>
      <c r="S2862" s="8" t="n"/>
      <c r="T2862" s="8" t="n"/>
      <c r="U2862" s="8" t="n"/>
      <c r="V2862" s="8" t="n"/>
      <c r="W2862" s="8" t="n"/>
      <c r="X2862" s="8" t="n"/>
      <c r="Y2862" s="8" t="n"/>
    </row>
    <row r="2863">
      <c r="A2863" s="8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9">
        <f>B2863+30</f>
        <v/>
      </c>
      <c r="N2863">
        <f>IF(L2863="", "", L2863-B2863)</f>
        <v/>
      </c>
      <c r="O2863">
        <f>IF(L2863="", "Pending", IF(N2863&lt;=30, "Met", "Breached"))</f>
        <v/>
      </c>
      <c r="P2863" s="8" t="n"/>
      <c r="Q2863" s="8" t="n"/>
      <c r="R2863" s="8" t="n"/>
      <c r="S2863" s="8" t="n"/>
      <c r="T2863" s="8" t="n"/>
      <c r="U2863" s="8" t="n"/>
      <c r="V2863" s="8" t="n"/>
      <c r="W2863" s="8" t="n"/>
      <c r="X2863" s="8" t="n"/>
      <c r="Y2863" s="8" t="n"/>
    </row>
    <row r="2864">
      <c r="A2864" s="8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9">
        <f>B2864+30</f>
        <v/>
      </c>
      <c r="N2864">
        <f>IF(L2864="", "", L2864-B2864)</f>
        <v/>
      </c>
      <c r="O2864">
        <f>IF(L2864="", "Pending", IF(N2864&lt;=30, "Met", "Breached"))</f>
        <v/>
      </c>
      <c r="P2864" s="8" t="n"/>
      <c r="Q2864" s="8" t="n"/>
      <c r="R2864" s="8" t="n"/>
      <c r="S2864" s="8" t="n"/>
      <c r="T2864" s="8" t="n"/>
      <c r="U2864" s="8" t="n"/>
      <c r="V2864" s="8" t="n"/>
      <c r="W2864" s="8" t="n"/>
      <c r="X2864" s="8" t="n"/>
      <c r="Y2864" s="8" t="n"/>
    </row>
    <row r="2865">
      <c r="A2865" s="8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9">
        <f>B2865+30</f>
        <v/>
      </c>
      <c r="N2865">
        <f>IF(L2865="", "", L2865-B2865)</f>
        <v/>
      </c>
      <c r="O2865">
        <f>IF(L2865="", "Pending", IF(N2865&lt;=30, "Met", "Breached"))</f>
        <v/>
      </c>
      <c r="P2865" s="8" t="n"/>
      <c r="Q2865" s="8" t="n"/>
      <c r="R2865" s="8" t="n"/>
      <c r="S2865" s="8" t="n"/>
      <c r="T2865" s="8" t="n"/>
      <c r="U2865" s="8" t="n"/>
      <c r="V2865" s="8" t="n"/>
      <c r="W2865" s="8" t="n"/>
      <c r="X2865" s="8" t="n"/>
      <c r="Y2865" s="8" t="n"/>
    </row>
    <row r="2866">
      <c r="A2866" s="8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9">
        <f>B2866+30</f>
        <v/>
      </c>
      <c r="N2866">
        <f>IF(L2866="", "", L2866-B2866)</f>
        <v/>
      </c>
      <c r="O2866">
        <f>IF(L2866="", "Pending", IF(N2866&lt;=30, "Met", "Breached"))</f>
        <v/>
      </c>
      <c r="P2866" s="8" t="n"/>
      <c r="Q2866" s="8" t="n"/>
      <c r="R2866" s="8" t="n"/>
      <c r="S2866" s="8" t="n"/>
      <c r="T2866" s="8" t="n"/>
      <c r="U2866" s="8" t="n"/>
      <c r="V2866" s="8" t="n"/>
      <c r="W2866" s="8" t="n"/>
      <c r="X2866" s="8" t="n"/>
      <c r="Y2866" s="8" t="n"/>
    </row>
    <row r="2867">
      <c r="A2867" s="8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9">
        <f>B2867+30</f>
        <v/>
      </c>
      <c r="N2867">
        <f>IF(L2867="", "", L2867-B2867)</f>
        <v/>
      </c>
      <c r="O2867">
        <f>IF(L2867="", "Pending", IF(N2867&lt;=30, "Met", "Breached"))</f>
        <v/>
      </c>
      <c r="P2867" s="8" t="n"/>
      <c r="Q2867" s="8" t="n"/>
      <c r="R2867" s="8" t="n"/>
      <c r="S2867" s="8" t="n"/>
      <c r="T2867" s="8" t="n"/>
      <c r="U2867" s="8" t="n"/>
      <c r="V2867" s="8" t="n"/>
      <c r="W2867" s="8" t="n"/>
      <c r="X2867" s="8" t="n"/>
      <c r="Y2867" s="8" t="n"/>
    </row>
    <row r="2868">
      <c r="A2868" s="8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9">
        <f>B2868+30</f>
        <v/>
      </c>
      <c r="N2868">
        <f>IF(L2868="", "", L2868-B2868)</f>
        <v/>
      </c>
      <c r="O2868">
        <f>IF(L2868="", "Pending", IF(N2868&lt;=30, "Met", "Breached"))</f>
        <v/>
      </c>
      <c r="P2868" s="8" t="n"/>
      <c r="Q2868" s="8" t="n"/>
      <c r="R2868" s="8" t="n"/>
      <c r="S2868" s="8" t="n"/>
      <c r="T2868" s="8" t="n"/>
      <c r="U2868" s="8" t="n"/>
      <c r="V2868" s="8" t="n"/>
      <c r="W2868" s="8" t="n"/>
      <c r="X2868" s="8" t="n"/>
      <c r="Y2868" s="8" t="n"/>
    </row>
    <row r="2869">
      <c r="A2869" s="8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9">
        <f>B2869+30</f>
        <v/>
      </c>
      <c r="N2869">
        <f>IF(L2869="", "", L2869-B2869)</f>
        <v/>
      </c>
      <c r="O2869">
        <f>IF(L2869="", "Pending", IF(N2869&lt;=30, "Met", "Breached"))</f>
        <v/>
      </c>
      <c r="P2869" s="8" t="n"/>
      <c r="Q2869" s="8" t="n"/>
      <c r="R2869" s="8" t="n"/>
      <c r="S2869" s="8" t="n"/>
      <c r="T2869" s="8" t="n"/>
      <c r="U2869" s="8" t="n"/>
      <c r="V2869" s="8" t="n"/>
      <c r="W2869" s="8" t="n"/>
      <c r="X2869" s="8" t="n"/>
      <c r="Y2869" s="8" t="n"/>
    </row>
    <row r="2870">
      <c r="A2870" s="8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9">
        <f>B2870+30</f>
        <v/>
      </c>
      <c r="N2870">
        <f>IF(L2870="", "", L2870-B2870)</f>
        <v/>
      </c>
      <c r="O2870">
        <f>IF(L2870="", "Pending", IF(N2870&lt;=30, "Met", "Breached"))</f>
        <v/>
      </c>
      <c r="P2870" s="8" t="n"/>
      <c r="Q2870" s="8" t="n"/>
      <c r="R2870" s="8" t="n"/>
      <c r="S2870" s="8" t="n"/>
      <c r="T2870" s="8" t="n"/>
      <c r="U2870" s="8" t="n"/>
      <c r="V2870" s="8" t="n"/>
      <c r="W2870" s="8" t="n"/>
      <c r="X2870" s="8" t="n"/>
      <c r="Y2870" s="8" t="n"/>
    </row>
    <row r="2871">
      <c r="A2871" s="8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9">
        <f>B2871+30</f>
        <v/>
      </c>
      <c r="N2871">
        <f>IF(L2871="", "", L2871-B2871)</f>
        <v/>
      </c>
      <c r="O2871">
        <f>IF(L2871="", "Pending", IF(N2871&lt;=30, "Met", "Breached"))</f>
        <v/>
      </c>
      <c r="P2871" s="8" t="n"/>
      <c r="Q2871" s="8" t="n"/>
      <c r="R2871" s="8" t="n"/>
      <c r="S2871" s="8" t="n"/>
      <c r="T2871" s="8" t="n"/>
      <c r="U2871" s="8" t="n"/>
      <c r="V2871" s="8" t="n"/>
      <c r="W2871" s="8" t="n"/>
      <c r="X2871" s="8" t="n"/>
      <c r="Y2871" s="8" t="n"/>
    </row>
    <row r="2872">
      <c r="A2872" s="8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9">
        <f>B2872+30</f>
        <v/>
      </c>
      <c r="N2872">
        <f>IF(L2872="", "", L2872-B2872)</f>
        <v/>
      </c>
      <c r="O2872">
        <f>IF(L2872="", "Pending", IF(N2872&lt;=30, "Met", "Breached"))</f>
        <v/>
      </c>
      <c r="P2872" s="8" t="n"/>
      <c r="Q2872" s="8" t="n"/>
      <c r="R2872" s="8" t="n"/>
      <c r="S2872" s="8" t="n"/>
      <c r="T2872" s="8" t="n"/>
      <c r="U2872" s="8" t="n"/>
      <c r="V2872" s="8" t="n"/>
      <c r="W2872" s="8" t="n"/>
      <c r="X2872" s="8" t="n"/>
      <c r="Y2872" s="8" t="n"/>
    </row>
    <row r="2873">
      <c r="A2873" s="8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9">
        <f>B2873+30</f>
        <v/>
      </c>
      <c r="N2873">
        <f>IF(L2873="", "", L2873-B2873)</f>
        <v/>
      </c>
      <c r="O2873">
        <f>IF(L2873="", "Pending", IF(N2873&lt;=30, "Met", "Breached"))</f>
        <v/>
      </c>
      <c r="P2873" s="8" t="n"/>
      <c r="Q2873" s="8" t="n"/>
      <c r="R2873" s="8" t="n"/>
      <c r="S2873" s="8" t="n"/>
      <c r="T2873" s="8" t="n"/>
      <c r="U2873" s="8" t="n"/>
      <c r="V2873" s="8" t="n"/>
      <c r="W2873" s="8" t="n"/>
      <c r="X2873" s="8" t="n"/>
      <c r="Y2873" s="8" t="n"/>
    </row>
    <row r="2874">
      <c r="A2874" s="8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9">
        <f>B2874+30</f>
        <v/>
      </c>
      <c r="N2874">
        <f>IF(L2874="", "", L2874-B2874)</f>
        <v/>
      </c>
      <c r="O2874">
        <f>IF(L2874="", "Pending", IF(N2874&lt;=30, "Met", "Breached"))</f>
        <v/>
      </c>
      <c r="P2874" s="8" t="n"/>
      <c r="Q2874" s="8" t="n"/>
      <c r="R2874" s="8" t="n"/>
      <c r="S2874" s="8" t="n"/>
      <c r="T2874" s="8" t="n"/>
      <c r="U2874" s="8" t="n"/>
      <c r="V2874" s="8" t="n"/>
      <c r="W2874" s="8" t="n"/>
      <c r="X2874" s="8" t="n"/>
      <c r="Y2874" s="8" t="n"/>
    </row>
    <row r="2875">
      <c r="A2875" s="8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9">
        <f>B2875+30</f>
        <v/>
      </c>
      <c r="N2875">
        <f>IF(L2875="", "", L2875-B2875)</f>
        <v/>
      </c>
      <c r="O2875">
        <f>IF(L2875="", "Pending", IF(N2875&lt;=30, "Met", "Breached"))</f>
        <v/>
      </c>
      <c r="P2875" s="8" t="n"/>
      <c r="Q2875" s="8" t="n"/>
      <c r="R2875" s="8" t="n"/>
      <c r="S2875" s="8" t="n"/>
      <c r="T2875" s="8" t="n"/>
      <c r="U2875" s="8" t="n"/>
      <c r="V2875" s="8" t="n"/>
      <c r="W2875" s="8" t="n"/>
      <c r="X2875" s="8" t="n"/>
      <c r="Y2875" s="8" t="n"/>
    </row>
    <row r="2876">
      <c r="A2876" s="8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9">
        <f>B2876+30</f>
        <v/>
      </c>
      <c r="N2876">
        <f>IF(L2876="", "", L2876-B2876)</f>
        <v/>
      </c>
      <c r="O2876">
        <f>IF(L2876="", "Pending", IF(N2876&lt;=30, "Met", "Breached"))</f>
        <v/>
      </c>
      <c r="P2876" s="8" t="n"/>
      <c r="Q2876" s="8" t="n"/>
      <c r="R2876" s="8" t="n"/>
      <c r="S2876" s="8" t="n"/>
      <c r="T2876" s="8" t="n"/>
      <c r="U2876" s="8" t="n"/>
      <c r="V2876" s="8" t="n"/>
      <c r="W2876" s="8" t="n"/>
      <c r="X2876" s="8" t="n"/>
      <c r="Y2876" s="8" t="n"/>
    </row>
    <row r="2877">
      <c r="A2877" s="8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9">
        <f>B2877+30</f>
        <v/>
      </c>
      <c r="N2877">
        <f>IF(L2877="", "", L2877-B2877)</f>
        <v/>
      </c>
      <c r="O2877">
        <f>IF(L2877="", "Pending", IF(N2877&lt;=30, "Met", "Breached"))</f>
        <v/>
      </c>
      <c r="P2877" s="8" t="n"/>
      <c r="Q2877" s="8" t="n"/>
      <c r="R2877" s="8" t="n"/>
      <c r="S2877" s="8" t="n"/>
      <c r="T2877" s="8" t="n"/>
      <c r="U2877" s="8" t="n"/>
      <c r="V2877" s="8" t="n"/>
      <c r="W2877" s="8" t="n"/>
      <c r="X2877" s="8" t="n"/>
      <c r="Y2877" s="8" t="n"/>
    </row>
    <row r="2878">
      <c r="A2878" s="8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9">
        <f>B2878+30</f>
        <v/>
      </c>
      <c r="N2878">
        <f>IF(L2878="", "", L2878-B2878)</f>
        <v/>
      </c>
      <c r="O2878">
        <f>IF(L2878="", "Pending", IF(N2878&lt;=30, "Met", "Breached"))</f>
        <v/>
      </c>
      <c r="P2878" s="8" t="n"/>
      <c r="Q2878" s="8" t="n"/>
      <c r="R2878" s="8" t="n"/>
      <c r="S2878" s="8" t="n"/>
      <c r="T2878" s="8" t="n"/>
      <c r="U2878" s="8" t="n"/>
      <c r="V2878" s="8" t="n"/>
      <c r="W2878" s="8" t="n"/>
      <c r="X2878" s="8" t="n"/>
      <c r="Y2878" s="8" t="n"/>
    </row>
    <row r="2879">
      <c r="A2879" s="8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9">
        <f>B2879+30</f>
        <v/>
      </c>
      <c r="N2879">
        <f>IF(L2879="", "", L2879-B2879)</f>
        <v/>
      </c>
      <c r="O2879">
        <f>IF(L2879="", "Pending", IF(N2879&lt;=30, "Met", "Breached"))</f>
        <v/>
      </c>
      <c r="P2879" s="8" t="n"/>
      <c r="Q2879" s="8" t="n"/>
      <c r="R2879" s="8" t="n"/>
      <c r="S2879" s="8" t="n"/>
      <c r="T2879" s="8" t="n"/>
      <c r="U2879" s="8" t="n"/>
      <c r="V2879" s="8" t="n"/>
      <c r="W2879" s="8" t="n"/>
      <c r="X2879" s="8" t="n"/>
      <c r="Y2879" s="8" t="n"/>
    </row>
    <row r="2880">
      <c r="A2880" s="8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9">
        <f>B2880+30</f>
        <v/>
      </c>
      <c r="N2880">
        <f>IF(L2880="", "", L2880-B2880)</f>
        <v/>
      </c>
      <c r="O2880">
        <f>IF(L2880="", "Pending", IF(N2880&lt;=30, "Met", "Breached"))</f>
        <v/>
      </c>
      <c r="P2880" s="8" t="n"/>
      <c r="Q2880" s="8" t="n"/>
      <c r="R2880" s="8" t="n"/>
      <c r="S2880" s="8" t="n"/>
      <c r="T2880" s="8" t="n"/>
      <c r="U2880" s="8" t="n"/>
      <c r="V2880" s="8" t="n"/>
      <c r="W2880" s="8" t="n"/>
      <c r="X2880" s="8" t="n"/>
      <c r="Y2880" s="8" t="n"/>
    </row>
    <row r="2881">
      <c r="A2881" s="8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9">
        <f>B2881+30</f>
        <v/>
      </c>
      <c r="N2881">
        <f>IF(L2881="", "", L2881-B2881)</f>
        <v/>
      </c>
      <c r="O2881">
        <f>IF(L2881="", "Pending", IF(N2881&lt;=30, "Met", "Breached"))</f>
        <v/>
      </c>
      <c r="P2881" s="8" t="n"/>
      <c r="Q2881" s="8" t="n"/>
      <c r="R2881" s="8" t="n"/>
      <c r="S2881" s="8" t="n"/>
      <c r="T2881" s="8" t="n"/>
      <c r="U2881" s="8" t="n"/>
      <c r="V2881" s="8" t="n"/>
      <c r="W2881" s="8" t="n"/>
      <c r="X2881" s="8" t="n"/>
      <c r="Y2881" s="8" t="n"/>
    </row>
    <row r="2882">
      <c r="A2882" s="8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9">
        <f>B2882+30</f>
        <v/>
      </c>
      <c r="N2882">
        <f>IF(L2882="", "", L2882-B2882)</f>
        <v/>
      </c>
      <c r="O2882">
        <f>IF(L2882="", "Pending", IF(N2882&lt;=30, "Met", "Breached"))</f>
        <v/>
      </c>
      <c r="P2882" s="8" t="n"/>
      <c r="Q2882" s="8" t="n"/>
      <c r="R2882" s="8" t="n"/>
      <c r="S2882" s="8" t="n"/>
      <c r="T2882" s="8" t="n"/>
      <c r="U2882" s="8" t="n"/>
      <c r="V2882" s="8" t="n"/>
      <c r="W2882" s="8" t="n"/>
      <c r="X2882" s="8" t="n"/>
      <c r="Y2882" s="8" t="n"/>
    </row>
    <row r="2883">
      <c r="A2883" s="8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9">
        <f>B2883+30</f>
        <v/>
      </c>
      <c r="N2883">
        <f>IF(L2883="", "", L2883-B2883)</f>
        <v/>
      </c>
      <c r="O2883">
        <f>IF(L2883="", "Pending", IF(N2883&lt;=30, "Met", "Breached"))</f>
        <v/>
      </c>
      <c r="P2883" s="8" t="n"/>
      <c r="Q2883" s="8" t="n"/>
      <c r="R2883" s="8" t="n"/>
      <c r="S2883" s="8" t="n"/>
      <c r="T2883" s="8" t="n"/>
      <c r="U2883" s="8" t="n"/>
      <c r="V2883" s="8" t="n"/>
      <c r="W2883" s="8" t="n"/>
      <c r="X2883" s="8" t="n"/>
      <c r="Y2883" s="8" t="n"/>
    </row>
    <row r="2884">
      <c r="A2884" s="8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9">
        <f>B2884+30</f>
        <v/>
      </c>
      <c r="N2884">
        <f>IF(L2884="", "", L2884-B2884)</f>
        <v/>
      </c>
      <c r="O2884">
        <f>IF(L2884="", "Pending", IF(N2884&lt;=30, "Met", "Breached"))</f>
        <v/>
      </c>
      <c r="P2884" s="8" t="n"/>
      <c r="Q2884" s="8" t="n"/>
      <c r="R2884" s="8" t="n"/>
      <c r="S2884" s="8" t="n"/>
      <c r="T2884" s="8" t="n"/>
      <c r="U2884" s="8" t="n"/>
      <c r="V2884" s="8" t="n"/>
      <c r="W2884" s="8" t="n"/>
      <c r="X2884" s="8" t="n"/>
      <c r="Y2884" s="8" t="n"/>
    </row>
    <row r="2885">
      <c r="A2885" s="8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9">
        <f>B2885+30</f>
        <v/>
      </c>
      <c r="N2885">
        <f>IF(L2885="", "", L2885-B2885)</f>
        <v/>
      </c>
      <c r="O2885">
        <f>IF(L2885="", "Pending", IF(N2885&lt;=30, "Met", "Breached"))</f>
        <v/>
      </c>
      <c r="P2885" s="8" t="n"/>
      <c r="Q2885" s="8" t="n"/>
      <c r="R2885" s="8" t="n"/>
      <c r="S2885" s="8" t="n"/>
      <c r="T2885" s="8" t="n"/>
      <c r="U2885" s="8" t="n"/>
      <c r="V2885" s="8" t="n"/>
      <c r="W2885" s="8" t="n"/>
      <c r="X2885" s="8" t="n"/>
      <c r="Y2885" s="8" t="n"/>
    </row>
    <row r="2886">
      <c r="A2886" s="8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9">
        <f>B2886+30</f>
        <v/>
      </c>
      <c r="N2886">
        <f>IF(L2886="", "", L2886-B2886)</f>
        <v/>
      </c>
      <c r="O2886">
        <f>IF(L2886="", "Pending", IF(N2886&lt;=30, "Met", "Breached"))</f>
        <v/>
      </c>
      <c r="P2886" s="8" t="n"/>
      <c r="Q2886" s="8" t="n"/>
      <c r="R2886" s="8" t="n"/>
      <c r="S2886" s="8" t="n"/>
      <c r="T2886" s="8" t="n"/>
      <c r="U2886" s="8" t="n"/>
      <c r="V2886" s="8" t="n"/>
      <c r="W2886" s="8" t="n"/>
      <c r="X2886" s="8" t="n"/>
      <c r="Y2886" s="8" t="n"/>
    </row>
    <row r="2887">
      <c r="A2887" s="8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9">
        <f>B2887+30</f>
        <v/>
      </c>
      <c r="N2887">
        <f>IF(L2887="", "", L2887-B2887)</f>
        <v/>
      </c>
      <c r="O2887">
        <f>IF(L2887="", "Pending", IF(N2887&lt;=30, "Met", "Breached"))</f>
        <v/>
      </c>
      <c r="P2887" s="8" t="n"/>
      <c r="Q2887" s="8" t="n"/>
      <c r="R2887" s="8" t="n"/>
      <c r="S2887" s="8" t="n"/>
      <c r="T2887" s="8" t="n"/>
      <c r="U2887" s="8" t="n"/>
      <c r="V2887" s="8" t="n"/>
      <c r="W2887" s="8" t="n"/>
      <c r="X2887" s="8" t="n"/>
      <c r="Y2887" s="8" t="n"/>
    </row>
    <row r="2888">
      <c r="A2888" s="8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9">
        <f>B2888+30</f>
        <v/>
      </c>
      <c r="N2888">
        <f>IF(L2888="", "", L2888-B2888)</f>
        <v/>
      </c>
      <c r="O2888">
        <f>IF(L2888="", "Pending", IF(N2888&lt;=30, "Met", "Breached"))</f>
        <v/>
      </c>
      <c r="P2888" s="8" t="n"/>
      <c r="Q2888" s="8" t="n"/>
      <c r="R2888" s="8" t="n"/>
      <c r="S2888" s="8" t="n"/>
      <c r="T2888" s="8" t="n"/>
      <c r="U2888" s="8" t="n"/>
      <c r="V2888" s="8" t="n"/>
      <c r="W2888" s="8" t="n"/>
      <c r="X2888" s="8" t="n"/>
      <c r="Y2888" s="8" t="n"/>
    </row>
    <row r="2889">
      <c r="A2889" s="8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9">
        <f>B2889+30</f>
        <v/>
      </c>
      <c r="N2889">
        <f>IF(L2889="", "", L2889-B2889)</f>
        <v/>
      </c>
      <c r="O2889">
        <f>IF(L2889="", "Pending", IF(N2889&lt;=30, "Met", "Breached"))</f>
        <v/>
      </c>
      <c r="P2889" s="8" t="n"/>
      <c r="Q2889" s="8" t="n"/>
      <c r="R2889" s="8" t="n"/>
      <c r="S2889" s="8" t="n"/>
      <c r="T2889" s="8" t="n"/>
      <c r="U2889" s="8" t="n"/>
      <c r="V2889" s="8" t="n"/>
      <c r="W2889" s="8" t="n"/>
      <c r="X2889" s="8" t="n"/>
      <c r="Y2889" s="8" t="n"/>
    </row>
    <row r="2890">
      <c r="A2890" s="8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9">
        <f>B2890+30</f>
        <v/>
      </c>
      <c r="N2890">
        <f>IF(L2890="", "", L2890-B2890)</f>
        <v/>
      </c>
      <c r="O2890">
        <f>IF(L2890="", "Pending", IF(N2890&lt;=30, "Met", "Breached"))</f>
        <v/>
      </c>
      <c r="P2890" s="8" t="n"/>
      <c r="Q2890" s="8" t="n"/>
      <c r="R2890" s="8" t="n"/>
      <c r="S2890" s="8" t="n"/>
      <c r="T2890" s="8" t="n"/>
      <c r="U2890" s="8" t="n"/>
      <c r="V2890" s="8" t="n"/>
      <c r="W2890" s="8" t="n"/>
      <c r="X2890" s="8" t="n"/>
      <c r="Y2890" s="8" t="n"/>
    </row>
    <row r="2891">
      <c r="A2891" s="8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9">
        <f>B2891+30</f>
        <v/>
      </c>
      <c r="N2891">
        <f>IF(L2891="", "", L2891-B2891)</f>
        <v/>
      </c>
      <c r="O2891">
        <f>IF(L2891="", "Pending", IF(N2891&lt;=30, "Met", "Breached"))</f>
        <v/>
      </c>
      <c r="P2891" s="8" t="n"/>
      <c r="Q2891" s="8" t="n"/>
      <c r="R2891" s="8" t="n"/>
      <c r="S2891" s="8" t="n"/>
      <c r="T2891" s="8" t="n"/>
      <c r="U2891" s="8" t="n"/>
      <c r="V2891" s="8" t="n"/>
      <c r="W2891" s="8" t="n"/>
      <c r="X2891" s="8" t="n"/>
      <c r="Y2891" s="8" t="n"/>
    </row>
    <row r="2892">
      <c r="A2892" s="8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9">
        <f>B2892+30</f>
        <v/>
      </c>
      <c r="N2892">
        <f>IF(L2892="", "", L2892-B2892)</f>
        <v/>
      </c>
      <c r="O2892">
        <f>IF(L2892="", "Pending", IF(N2892&lt;=30, "Met", "Breached"))</f>
        <v/>
      </c>
      <c r="P2892" s="8" t="n"/>
      <c r="Q2892" s="8" t="n"/>
      <c r="R2892" s="8" t="n"/>
      <c r="S2892" s="8" t="n"/>
      <c r="T2892" s="8" t="n"/>
      <c r="U2892" s="8" t="n"/>
      <c r="V2892" s="8" t="n"/>
      <c r="W2892" s="8" t="n"/>
      <c r="X2892" s="8" t="n"/>
      <c r="Y2892" s="8" t="n"/>
    </row>
    <row r="2893">
      <c r="A2893" s="8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9">
        <f>B2893+30</f>
        <v/>
      </c>
      <c r="N2893">
        <f>IF(L2893="", "", L2893-B2893)</f>
        <v/>
      </c>
      <c r="O2893">
        <f>IF(L2893="", "Pending", IF(N2893&lt;=30, "Met", "Breached"))</f>
        <v/>
      </c>
      <c r="P2893" s="8" t="n"/>
      <c r="Q2893" s="8" t="n"/>
      <c r="R2893" s="8" t="n"/>
      <c r="S2893" s="8" t="n"/>
      <c r="T2893" s="8" t="n"/>
      <c r="U2893" s="8" t="n"/>
      <c r="V2893" s="8" t="n"/>
      <c r="W2893" s="8" t="n"/>
      <c r="X2893" s="8" t="n"/>
      <c r="Y2893" s="8" t="n"/>
    </row>
    <row r="2894">
      <c r="A2894" s="8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9">
        <f>B2894+30</f>
        <v/>
      </c>
      <c r="N2894">
        <f>IF(L2894="", "", L2894-B2894)</f>
        <v/>
      </c>
      <c r="O2894">
        <f>IF(L2894="", "Pending", IF(N2894&lt;=30, "Met", "Breached"))</f>
        <v/>
      </c>
      <c r="P2894" s="8" t="n"/>
      <c r="Q2894" s="8" t="n"/>
      <c r="R2894" s="8" t="n"/>
      <c r="S2894" s="8" t="n"/>
      <c r="T2894" s="8" t="n"/>
      <c r="U2894" s="8" t="n"/>
      <c r="V2894" s="8" t="n"/>
      <c r="W2894" s="8" t="n"/>
      <c r="X2894" s="8" t="n"/>
      <c r="Y2894" s="8" t="n"/>
    </row>
    <row r="2895">
      <c r="A2895" s="8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9">
        <f>B2895+30</f>
        <v/>
      </c>
      <c r="N2895">
        <f>IF(L2895="", "", L2895-B2895)</f>
        <v/>
      </c>
      <c r="O2895">
        <f>IF(L2895="", "Pending", IF(N2895&lt;=30, "Met", "Breached"))</f>
        <v/>
      </c>
      <c r="P2895" s="8" t="n"/>
      <c r="Q2895" s="8" t="n"/>
      <c r="R2895" s="8" t="n"/>
      <c r="S2895" s="8" t="n"/>
      <c r="T2895" s="8" t="n"/>
      <c r="U2895" s="8" t="n"/>
      <c r="V2895" s="8" t="n"/>
      <c r="W2895" s="8" t="n"/>
      <c r="X2895" s="8" t="n"/>
      <c r="Y2895" s="8" t="n"/>
    </row>
    <row r="2896">
      <c r="A2896" s="8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9">
        <f>B2896+30</f>
        <v/>
      </c>
      <c r="N2896">
        <f>IF(L2896="", "", L2896-B2896)</f>
        <v/>
      </c>
      <c r="O2896">
        <f>IF(L2896="", "Pending", IF(N2896&lt;=30, "Met", "Breached"))</f>
        <v/>
      </c>
      <c r="P2896" s="8" t="n"/>
      <c r="Q2896" s="8" t="n"/>
      <c r="R2896" s="8" t="n"/>
      <c r="S2896" s="8" t="n"/>
      <c r="T2896" s="8" t="n"/>
      <c r="U2896" s="8" t="n"/>
      <c r="V2896" s="8" t="n"/>
      <c r="W2896" s="8" t="n"/>
      <c r="X2896" s="8" t="n"/>
      <c r="Y2896" s="8" t="n"/>
    </row>
    <row r="2897">
      <c r="A2897" s="8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9">
        <f>B2897+30</f>
        <v/>
      </c>
      <c r="N2897">
        <f>IF(L2897="", "", L2897-B2897)</f>
        <v/>
      </c>
      <c r="O2897">
        <f>IF(L2897="", "Pending", IF(N2897&lt;=30, "Met", "Breached"))</f>
        <v/>
      </c>
      <c r="P2897" s="8" t="n"/>
      <c r="Q2897" s="8" t="n"/>
      <c r="R2897" s="8" t="n"/>
      <c r="S2897" s="8" t="n"/>
      <c r="T2897" s="8" t="n"/>
      <c r="U2897" s="8" t="n"/>
      <c r="V2897" s="8" t="n"/>
      <c r="W2897" s="8" t="n"/>
      <c r="X2897" s="8" t="n"/>
      <c r="Y2897" s="8" t="n"/>
    </row>
    <row r="2898">
      <c r="A2898" s="8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9">
        <f>B2898+30</f>
        <v/>
      </c>
      <c r="N2898">
        <f>IF(L2898="", "", L2898-B2898)</f>
        <v/>
      </c>
      <c r="O2898">
        <f>IF(L2898="", "Pending", IF(N2898&lt;=30, "Met", "Breached"))</f>
        <v/>
      </c>
      <c r="P2898" s="8" t="n"/>
      <c r="Q2898" s="8" t="n"/>
      <c r="R2898" s="8" t="n"/>
      <c r="S2898" s="8" t="n"/>
      <c r="T2898" s="8" t="n"/>
      <c r="U2898" s="8" t="n"/>
      <c r="V2898" s="8" t="n"/>
      <c r="W2898" s="8" t="n"/>
      <c r="X2898" s="8" t="n"/>
      <c r="Y2898" s="8" t="n"/>
    </row>
    <row r="2899">
      <c r="A2899" s="8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9">
        <f>B2899+30</f>
        <v/>
      </c>
      <c r="N2899">
        <f>IF(L2899="", "", L2899-B2899)</f>
        <v/>
      </c>
      <c r="O2899">
        <f>IF(L2899="", "Pending", IF(N2899&lt;=30, "Met", "Breached"))</f>
        <v/>
      </c>
      <c r="P2899" s="8" t="n"/>
      <c r="Q2899" s="8" t="n"/>
      <c r="R2899" s="8" t="n"/>
      <c r="S2899" s="8" t="n"/>
      <c r="T2899" s="8" t="n"/>
      <c r="U2899" s="8" t="n"/>
      <c r="V2899" s="8" t="n"/>
      <c r="W2899" s="8" t="n"/>
      <c r="X2899" s="8" t="n"/>
      <c r="Y2899" s="8" t="n"/>
    </row>
    <row r="2900">
      <c r="A2900" s="8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9">
        <f>B2900+30</f>
        <v/>
      </c>
      <c r="N2900">
        <f>IF(L2900="", "", L2900-B2900)</f>
        <v/>
      </c>
      <c r="O2900">
        <f>IF(L2900="", "Pending", IF(N2900&lt;=30, "Met", "Breached"))</f>
        <v/>
      </c>
      <c r="P2900" s="8" t="n"/>
      <c r="Q2900" s="8" t="n"/>
      <c r="R2900" s="8" t="n"/>
      <c r="S2900" s="8" t="n"/>
      <c r="T2900" s="8" t="n"/>
      <c r="U2900" s="8" t="n"/>
      <c r="V2900" s="8" t="n"/>
      <c r="W2900" s="8" t="n"/>
      <c r="X2900" s="8" t="n"/>
      <c r="Y2900" s="8" t="n"/>
    </row>
    <row r="2901">
      <c r="A2901" s="8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9">
        <f>B2901+30</f>
        <v/>
      </c>
      <c r="N2901">
        <f>IF(L2901="", "", L2901-B2901)</f>
        <v/>
      </c>
      <c r="O2901">
        <f>IF(L2901="", "Pending", IF(N2901&lt;=30, "Met", "Breached"))</f>
        <v/>
      </c>
      <c r="P2901" s="8" t="n"/>
      <c r="Q2901" s="8" t="n"/>
      <c r="R2901" s="8" t="n"/>
      <c r="S2901" s="8" t="n"/>
      <c r="T2901" s="8" t="n"/>
      <c r="U2901" s="8" t="n"/>
      <c r="V2901" s="8" t="n"/>
      <c r="W2901" s="8" t="n"/>
      <c r="X2901" s="8" t="n"/>
      <c r="Y2901" s="8" t="n"/>
    </row>
    <row r="2902">
      <c r="A2902" s="8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9">
        <f>B2902+30</f>
        <v/>
      </c>
      <c r="N2902">
        <f>IF(L2902="", "", L2902-B2902)</f>
        <v/>
      </c>
      <c r="O2902">
        <f>IF(L2902="", "Pending", IF(N2902&lt;=30, "Met", "Breached"))</f>
        <v/>
      </c>
      <c r="P2902" s="8" t="n"/>
      <c r="Q2902" s="8" t="n"/>
      <c r="R2902" s="8" t="n"/>
      <c r="S2902" s="8" t="n"/>
      <c r="T2902" s="8" t="n"/>
      <c r="U2902" s="8" t="n"/>
      <c r="V2902" s="8" t="n"/>
      <c r="W2902" s="8" t="n"/>
      <c r="X2902" s="8" t="n"/>
      <c r="Y2902" s="8" t="n"/>
    </row>
    <row r="2903">
      <c r="A2903" s="8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9">
        <f>B2903+30</f>
        <v/>
      </c>
      <c r="N2903">
        <f>IF(L2903="", "", L2903-B2903)</f>
        <v/>
      </c>
      <c r="O2903">
        <f>IF(L2903="", "Pending", IF(N2903&lt;=30, "Met", "Breached"))</f>
        <v/>
      </c>
      <c r="P2903" s="8" t="n"/>
      <c r="Q2903" s="8" t="n"/>
      <c r="R2903" s="8" t="n"/>
      <c r="S2903" s="8" t="n"/>
      <c r="T2903" s="8" t="n"/>
      <c r="U2903" s="8" t="n"/>
      <c r="V2903" s="8" t="n"/>
      <c r="W2903" s="8" t="n"/>
      <c r="X2903" s="8" t="n"/>
      <c r="Y2903" s="8" t="n"/>
    </row>
    <row r="2904">
      <c r="A2904" s="8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9">
        <f>B2904+30</f>
        <v/>
      </c>
      <c r="N2904">
        <f>IF(L2904="", "", L2904-B2904)</f>
        <v/>
      </c>
      <c r="O2904">
        <f>IF(L2904="", "Pending", IF(N2904&lt;=30, "Met", "Breached"))</f>
        <v/>
      </c>
      <c r="P2904" s="8" t="n"/>
      <c r="Q2904" s="8" t="n"/>
      <c r="R2904" s="8" t="n"/>
      <c r="S2904" s="8" t="n"/>
      <c r="T2904" s="8" t="n"/>
      <c r="U2904" s="8" t="n"/>
      <c r="V2904" s="8" t="n"/>
      <c r="W2904" s="8" t="n"/>
      <c r="X2904" s="8" t="n"/>
      <c r="Y2904" s="8" t="n"/>
    </row>
    <row r="2905">
      <c r="A2905" s="8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9">
        <f>B2905+30</f>
        <v/>
      </c>
      <c r="N2905">
        <f>IF(L2905="", "", L2905-B2905)</f>
        <v/>
      </c>
      <c r="O2905">
        <f>IF(L2905="", "Pending", IF(N2905&lt;=30, "Met", "Breached"))</f>
        <v/>
      </c>
      <c r="P2905" s="8" t="n"/>
      <c r="Q2905" s="8" t="n"/>
      <c r="R2905" s="8" t="n"/>
      <c r="S2905" s="8" t="n"/>
      <c r="T2905" s="8" t="n"/>
      <c r="U2905" s="8" t="n"/>
      <c r="V2905" s="8" t="n"/>
      <c r="W2905" s="8" t="n"/>
      <c r="X2905" s="8" t="n"/>
      <c r="Y2905" s="8" t="n"/>
    </row>
    <row r="2906">
      <c r="A2906" s="8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9">
        <f>B2906+30</f>
        <v/>
      </c>
      <c r="N2906">
        <f>IF(L2906="", "", L2906-B2906)</f>
        <v/>
      </c>
      <c r="O2906">
        <f>IF(L2906="", "Pending", IF(N2906&lt;=30, "Met", "Breached"))</f>
        <v/>
      </c>
      <c r="P2906" s="8" t="n"/>
      <c r="Q2906" s="8" t="n"/>
      <c r="R2906" s="8" t="n"/>
      <c r="S2906" s="8" t="n"/>
      <c r="T2906" s="8" t="n"/>
      <c r="U2906" s="8" t="n"/>
      <c r="V2906" s="8" t="n"/>
      <c r="W2906" s="8" t="n"/>
      <c r="X2906" s="8" t="n"/>
      <c r="Y2906" s="8" t="n"/>
    </row>
    <row r="2907">
      <c r="A2907" s="8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9">
        <f>B2907+30</f>
        <v/>
      </c>
      <c r="N2907">
        <f>IF(L2907="", "", L2907-B2907)</f>
        <v/>
      </c>
      <c r="O2907">
        <f>IF(L2907="", "Pending", IF(N2907&lt;=30, "Met", "Breached"))</f>
        <v/>
      </c>
      <c r="P2907" s="8" t="n"/>
      <c r="Q2907" s="8" t="n"/>
      <c r="R2907" s="8" t="n"/>
      <c r="S2907" s="8" t="n"/>
      <c r="T2907" s="8" t="n"/>
      <c r="U2907" s="8" t="n"/>
      <c r="V2907" s="8" t="n"/>
      <c r="W2907" s="8" t="n"/>
      <c r="X2907" s="8" t="n"/>
      <c r="Y2907" s="8" t="n"/>
    </row>
    <row r="2908">
      <c r="A2908" s="8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9">
        <f>B2908+30</f>
        <v/>
      </c>
      <c r="N2908">
        <f>IF(L2908="", "", L2908-B2908)</f>
        <v/>
      </c>
      <c r="O2908">
        <f>IF(L2908="", "Pending", IF(N2908&lt;=30, "Met", "Breached"))</f>
        <v/>
      </c>
      <c r="P2908" s="8" t="n"/>
      <c r="Q2908" s="8" t="n"/>
      <c r="R2908" s="8" t="n"/>
      <c r="S2908" s="8" t="n"/>
      <c r="T2908" s="8" t="n"/>
      <c r="U2908" s="8" t="n"/>
      <c r="V2908" s="8" t="n"/>
      <c r="W2908" s="8" t="n"/>
      <c r="X2908" s="8" t="n"/>
      <c r="Y2908" s="8" t="n"/>
    </row>
    <row r="2909">
      <c r="A2909" s="8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9">
        <f>B2909+30</f>
        <v/>
      </c>
      <c r="N2909">
        <f>IF(L2909="", "", L2909-B2909)</f>
        <v/>
      </c>
      <c r="O2909">
        <f>IF(L2909="", "Pending", IF(N2909&lt;=30, "Met", "Breached"))</f>
        <v/>
      </c>
      <c r="P2909" s="8" t="n"/>
      <c r="Q2909" s="8" t="n"/>
      <c r="R2909" s="8" t="n"/>
      <c r="S2909" s="8" t="n"/>
      <c r="T2909" s="8" t="n"/>
      <c r="U2909" s="8" t="n"/>
      <c r="V2909" s="8" t="n"/>
      <c r="W2909" s="8" t="n"/>
      <c r="X2909" s="8" t="n"/>
      <c r="Y2909" s="8" t="n"/>
    </row>
    <row r="2910">
      <c r="A2910" s="8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9">
        <f>B2910+30</f>
        <v/>
      </c>
      <c r="N2910">
        <f>IF(L2910="", "", L2910-B2910)</f>
        <v/>
      </c>
      <c r="O2910">
        <f>IF(L2910="", "Pending", IF(N2910&lt;=30, "Met", "Breached"))</f>
        <v/>
      </c>
      <c r="P2910" s="8" t="n"/>
      <c r="Q2910" s="8" t="n"/>
      <c r="R2910" s="8" t="n"/>
      <c r="S2910" s="8" t="n"/>
      <c r="T2910" s="8" t="n"/>
      <c r="U2910" s="8" t="n"/>
      <c r="V2910" s="8" t="n"/>
      <c r="W2910" s="8" t="n"/>
      <c r="X2910" s="8" t="n"/>
      <c r="Y2910" s="8" t="n"/>
    </row>
    <row r="2911">
      <c r="A2911" s="8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9">
        <f>B2911+30</f>
        <v/>
      </c>
      <c r="N2911">
        <f>IF(L2911="", "", L2911-B2911)</f>
        <v/>
      </c>
      <c r="O2911">
        <f>IF(L2911="", "Pending", IF(N2911&lt;=30, "Met", "Breached"))</f>
        <v/>
      </c>
      <c r="P2911" s="8" t="n"/>
      <c r="Q2911" s="8" t="n"/>
      <c r="R2911" s="8" t="n"/>
      <c r="S2911" s="8" t="n"/>
      <c r="T2911" s="8" t="n"/>
      <c r="U2911" s="8" t="n"/>
      <c r="V2911" s="8" t="n"/>
      <c r="W2911" s="8" t="n"/>
      <c r="X2911" s="8" t="n"/>
      <c r="Y2911" s="8" t="n"/>
    </row>
    <row r="2912">
      <c r="A2912" s="8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9">
        <f>B2912+30</f>
        <v/>
      </c>
      <c r="N2912">
        <f>IF(L2912="", "", L2912-B2912)</f>
        <v/>
      </c>
      <c r="O2912">
        <f>IF(L2912="", "Pending", IF(N2912&lt;=30, "Met", "Breached"))</f>
        <v/>
      </c>
      <c r="P2912" s="8" t="n"/>
      <c r="Q2912" s="8" t="n"/>
      <c r="R2912" s="8" t="n"/>
      <c r="S2912" s="8" t="n"/>
      <c r="T2912" s="8" t="n"/>
      <c r="U2912" s="8" t="n"/>
      <c r="V2912" s="8" t="n"/>
      <c r="W2912" s="8" t="n"/>
      <c r="X2912" s="8" t="n"/>
      <c r="Y2912" s="8" t="n"/>
    </row>
    <row r="2913">
      <c r="A2913" s="8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9">
        <f>B2913+30</f>
        <v/>
      </c>
      <c r="N2913">
        <f>IF(L2913="", "", L2913-B2913)</f>
        <v/>
      </c>
      <c r="O2913">
        <f>IF(L2913="", "Pending", IF(N2913&lt;=30, "Met", "Breached"))</f>
        <v/>
      </c>
      <c r="P2913" s="8" t="n"/>
      <c r="Q2913" s="8" t="n"/>
      <c r="R2913" s="8" t="n"/>
      <c r="S2913" s="8" t="n"/>
      <c r="T2913" s="8" t="n"/>
      <c r="U2913" s="8" t="n"/>
      <c r="V2913" s="8" t="n"/>
      <c r="W2913" s="8" t="n"/>
      <c r="X2913" s="8" t="n"/>
      <c r="Y2913" s="8" t="n"/>
    </row>
    <row r="2914">
      <c r="A2914" s="8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9">
        <f>B2914+30</f>
        <v/>
      </c>
      <c r="N2914">
        <f>IF(L2914="", "", L2914-B2914)</f>
        <v/>
      </c>
      <c r="O2914">
        <f>IF(L2914="", "Pending", IF(N2914&lt;=30, "Met", "Breached"))</f>
        <v/>
      </c>
      <c r="P2914" s="8" t="n"/>
      <c r="Q2914" s="8" t="n"/>
      <c r="R2914" s="8" t="n"/>
      <c r="S2914" s="8" t="n"/>
      <c r="T2914" s="8" t="n"/>
      <c r="U2914" s="8" t="n"/>
      <c r="V2914" s="8" t="n"/>
      <c r="W2914" s="8" t="n"/>
      <c r="X2914" s="8" t="n"/>
      <c r="Y2914" s="8" t="n"/>
    </row>
    <row r="2915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9">
        <f>B2915+30</f>
        <v/>
      </c>
      <c r="N2915">
        <f>IF(L2915="", "", L2915-B2915)</f>
        <v/>
      </c>
      <c r="O2915">
        <f>IF(L2915="", "Pending", IF(N2915&lt;=30, "Met", "Breached"))</f>
        <v/>
      </c>
      <c r="P2915" s="8" t="n"/>
      <c r="Q2915" s="8" t="n"/>
      <c r="R2915" s="8" t="n"/>
      <c r="S2915" s="8" t="n"/>
      <c r="T2915" s="8" t="n"/>
      <c r="U2915" s="8" t="n"/>
      <c r="V2915" s="8" t="n"/>
      <c r="W2915" s="8" t="n"/>
      <c r="X2915" s="8" t="n"/>
      <c r="Y2915" s="8" t="n"/>
    </row>
    <row r="2916">
      <c r="A2916" s="8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9">
        <f>B2916+30</f>
        <v/>
      </c>
      <c r="N2916">
        <f>IF(L2916="", "", L2916-B2916)</f>
        <v/>
      </c>
      <c r="O2916">
        <f>IF(L2916="", "Pending", IF(N2916&lt;=30, "Met", "Breached"))</f>
        <v/>
      </c>
      <c r="P2916" s="8" t="n"/>
      <c r="Q2916" s="8" t="n"/>
      <c r="R2916" s="8" t="n"/>
      <c r="S2916" s="8" t="n"/>
      <c r="T2916" s="8" t="n"/>
      <c r="U2916" s="8" t="n"/>
      <c r="V2916" s="8" t="n"/>
      <c r="W2916" s="8" t="n"/>
      <c r="X2916" s="8" t="n"/>
      <c r="Y2916" s="8" t="n"/>
    </row>
    <row r="2917">
      <c r="A2917" s="8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9">
        <f>B2917+30</f>
        <v/>
      </c>
      <c r="N2917">
        <f>IF(L2917="", "", L2917-B2917)</f>
        <v/>
      </c>
      <c r="O2917">
        <f>IF(L2917="", "Pending", IF(N2917&lt;=30, "Met", "Breached"))</f>
        <v/>
      </c>
      <c r="P2917" s="8" t="n"/>
      <c r="Q2917" s="8" t="n"/>
      <c r="R2917" s="8" t="n"/>
      <c r="S2917" s="8" t="n"/>
      <c r="T2917" s="8" t="n"/>
      <c r="U2917" s="8" t="n"/>
      <c r="V2917" s="8" t="n"/>
      <c r="W2917" s="8" t="n"/>
      <c r="X2917" s="8" t="n"/>
      <c r="Y2917" s="8" t="n"/>
    </row>
    <row r="2918">
      <c r="A2918" s="8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9">
        <f>B2918+30</f>
        <v/>
      </c>
      <c r="N2918">
        <f>IF(L2918="", "", L2918-B2918)</f>
        <v/>
      </c>
      <c r="O2918">
        <f>IF(L2918="", "Pending", IF(N2918&lt;=30, "Met", "Breached"))</f>
        <v/>
      </c>
      <c r="P2918" s="8" t="n"/>
      <c r="Q2918" s="8" t="n"/>
      <c r="R2918" s="8" t="n"/>
      <c r="S2918" s="8" t="n"/>
      <c r="T2918" s="8" t="n"/>
      <c r="U2918" s="8" t="n"/>
      <c r="V2918" s="8" t="n"/>
      <c r="W2918" s="8" t="n"/>
      <c r="X2918" s="8" t="n"/>
      <c r="Y2918" s="8" t="n"/>
    </row>
    <row r="2919">
      <c r="A2919" s="8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9">
        <f>B2919+30</f>
        <v/>
      </c>
      <c r="N2919">
        <f>IF(L2919="", "", L2919-B2919)</f>
        <v/>
      </c>
      <c r="O2919">
        <f>IF(L2919="", "Pending", IF(N2919&lt;=30, "Met", "Breached"))</f>
        <v/>
      </c>
      <c r="P2919" s="8" t="n"/>
      <c r="Q2919" s="8" t="n"/>
      <c r="R2919" s="8" t="n"/>
      <c r="S2919" s="8" t="n"/>
      <c r="T2919" s="8" t="n"/>
      <c r="U2919" s="8" t="n"/>
      <c r="V2919" s="8" t="n"/>
      <c r="W2919" s="8" t="n"/>
      <c r="X2919" s="8" t="n"/>
      <c r="Y2919" s="8" t="n"/>
    </row>
    <row r="2920">
      <c r="A2920" s="8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9">
        <f>B2920+30</f>
        <v/>
      </c>
      <c r="N2920">
        <f>IF(L2920="", "", L2920-B2920)</f>
        <v/>
      </c>
      <c r="O2920">
        <f>IF(L2920="", "Pending", IF(N2920&lt;=30, "Met", "Breached"))</f>
        <v/>
      </c>
      <c r="P2920" s="8" t="n"/>
      <c r="Q2920" s="8" t="n"/>
      <c r="R2920" s="8" t="n"/>
      <c r="S2920" s="8" t="n"/>
      <c r="T2920" s="8" t="n"/>
      <c r="U2920" s="8" t="n"/>
      <c r="V2920" s="8" t="n"/>
      <c r="W2920" s="8" t="n"/>
      <c r="X2920" s="8" t="n"/>
      <c r="Y2920" s="8" t="n"/>
    </row>
    <row r="2921">
      <c r="A2921" s="8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9">
        <f>B2921+30</f>
        <v/>
      </c>
      <c r="N2921">
        <f>IF(L2921="", "", L2921-B2921)</f>
        <v/>
      </c>
      <c r="O2921">
        <f>IF(L2921="", "Pending", IF(N2921&lt;=30, "Met", "Breached"))</f>
        <v/>
      </c>
      <c r="P2921" s="8" t="n"/>
      <c r="Q2921" s="8" t="n"/>
      <c r="R2921" s="8" t="n"/>
      <c r="S2921" s="8" t="n"/>
      <c r="T2921" s="8" t="n"/>
      <c r="U2921" s="8" t="n"/>
      <c r="V2921" s="8" t="n"/>
      <c r="W2921" s="8" t="n"/>
      <c r="X2921" s="8" t="n"/>
      <c r="Y2921" s="8" t="n"/>
    </row>
    <row r="2922">
      <c r="A2922" s="8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9">
        <f>B2922+30</f>
        <v/>
      </c>
      <c r="N2922">
        <f>IF(L2922="", "", L2922-B2922)</f>
        <v/>
      </c>
      <c r="O2922">
        <f>IF(L2922="", "Pending", IF(N2922&lt;=30, "Met", "Breached"))</f>
        <v/>
      </c>
      <c r="P2922" s="8" t="n"/>
      <c r="Q2922" s="8" t="n"/>
      <c r="R2922" s="8" t="n"/>
      <c r="S2922" s="8" t="n"/>
      <c r="T2922" s="8" t="n"/>
      <c r="U2922" s="8" t="n"/>
      <c r="V2922" s="8" t="n"/>
      <c r="W2922" s="8" t="n"/>
      <c r="X2922" s="8" t="n"/>
      <c r="Y2922" s="8" t="n"/>
    </row>
    <row r="2923">
      <c r="A2923" s="8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9">
        <f>B2923+30</f>
        <v/>
      </c>
      <c r="N2923">
        <f>IF(L2923="", "", L2923-B2923)</f>
        <v/>
      </c>
      <c r="O2923">
        <f>IF(L2923="", "Pending", IF(N2923&lt;=30, "Met", "Breached"))</f>
        <v/>
      </c>
      <c r="P2923" s="8" t="n"/>
      <c r="Q2923" s="8" t="n"/>
      <c r="R2923" s="8" t="n"/>
      <c r="S2923" s="8" t="n"/>
      <c r="T2923" s="8" t="n"/>
      <c r="U2923" s="8" t="n"/>
      <c r="V2923" s="8" t="n"/>
      <c r="W2923" s="8" t="n"/>
      <c r="X2923" s="8" t="n"/>
      <c r="Y2923" s="8" t="n"/>
    </row>
    <row r="2924">
      <c r="A2924" s="8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9">
        <f>B2924+30</f>
        <v/>
      </c>
      <c r="N2924">
        <f>IF(L2924="", "", L2924-B2924)</f>
        <v/>
      </c>
      <c r="O2924">
        <f>IF(L2924="", "Pending", IF(N2924&lt;=30, "Met", "Breached"))</f>
        <v/>
      </c>
      <c r="P2924" s="8" t="n"/>
      <c r="Q2924" s="8" t="n"/>
      <c r="R2924" s="8" t="n"/>
      <c r="S2924" s="8" t="n"/>
      <c r="T2924" s="8" t="n"/>
      <c r="U2924" s="8" t="n"/>
      <c r="V2924" s="8" t="n"/>
      <c r="W2924" s="8" t="n"/>
      <c r="X2924" s="8" t="n"/>
      <c r="Y2924" s="8" t="n"/>
    </row>
    <row r="2925">
      <c r="A2925" s="8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9">
        <f>B2925+30</f>
        <v/>
      </c>
      <c r="N2925">
        <f>IF(L2925="", "", L2925-B2925)</f>
        <v/>
      </c>
      <c r="O2925">
        <f>IF(L2925="", "Pending", IF(N2925&lt;=30, "Met", "Breached"))</f>
        <v/>
      </c>
      <c r="P2925" s="8" t="n"/>
      <c r="Q2925" s="8" t="n"/>
      <c r="R2925" s="8" t="n"/>
      <c r="S2925" s="8" t="n"/>
      <c r="T2925" s="8" t="n"/>
      <c r="U2925" s="8" t="n"/>
      <c r="V2925" s="8" t="n"/>
      <c r="W2925" s="8" t="n"/>
      <c r="X2925" s="8" t="n"/>
      <c r="Y2925" s="8" t="n"/>
    </row>
    <row r="2926">
      <c r="A2926" s="8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9">
        <f>B2926+30</f>
        <v/>
      </c>
      <c r="N2926">
        <f>IF(L2926="", "", L2926-B2926)</f>
        <v/>
      </c>
      <c r="O2926">
        <f>IF(L2926="", "Pending", IF(N2926&lt;=30, "Met", "Breached"))</f>
        <v/>
      </c>
      <c r="P2926" s="8" t="n"/>
      <c r="Q2926" s="8" t="n"/>
      <c r="R2926" s="8" t="n"/>
      <c r="S2926" s="8" t="n"/>
      <c r="T2926" s="8" t="n"/>
      <c r="U2926" s="8" t="n"/>
      <c r="V2926" s="8" t="n"/>
      <c r="W2926" s="8" t="n"/>
      <c r="X2926" s="8" t="n"/>
      <c r="Y2926" s="8" t="n"/>
    </row>
    <row r="2927">
      <c r="A2927" s="8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9">
        <f>B2927+30</f>
        <v/>
      </c>
      <c r="N2927">
        <f>IF(L2927="", "", L2927-B2927)</f>
        <v/>
      </c>
      <c r="O2927">
        <f>IF(L2927="", "Pending", IF(N2927&lt;=30, "Met", "Breached"))</f>
        <v/>
      </c>
      <c r="P2927" s="8" t="n"/>
      <c r="Q2927" s="8" t="n"/>
      <c r="R2927" s="8" t="n"/>
      <c r="S2927" s="8" t="n"/>
      <c r="T2927" s="8" t="n"/>
      <c r="U2927" s="8" t="n"/>
      <c r="V2927" s="8" t="n"/>
      <c r="W2927" s="8" t="n"/>
      <c r="X2927" s="8" t="n"/>
      <c r="Y2927" s="8" t="n"/>
    </row>
    <row r="2928">
      <c r="A2928" s="8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9">
        <f>B2928+30</f>
        <v/>
      </c>
      <c r="N2928">
        <f>IF(L2928="", "", L2928-B2928)</f>
        <v/>
      </c>
      <c r="O2928">
        <f>IF(L2928="", "Pending", IF(N2928&lt;=30, "Met", "Breached"))</f>
        <v/>
      </c>
      <c r="P2928" s="8" t="n"/>
      <c r="Q2928" s="8" t="n"/>
      <c r="R2928" s="8" t="n"/>
      <c r="S2928" s="8" t="n"/>
      <c r="T2928" s="8" t="n"/>
      <c r="U2928" s="8" t="n"/>
      <c r="V2928" s="8" t="n"/>
      <c r="W2928" s="8" t="n"/>
      <c r="X2928" s="8" t="n"/>
      <c r="Y2928" s="8" t="n"/>
    </row>
    <row r="2929">
      <c r="A2929" s="8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9">
        <f>B2929+30</f>
        <v/>
      </c>
      <c r="N2929">
        <f>IF(L2929="", "", L2929-B2929)</f>
        <v/>
      </c>
      <c r="O2929">
        <f>IF(L2929="", "Pending", IF(N2929&lt;=30, "Met", "Breached"))</f>
        <v/>
      </c>
      <c r="P2929" s="8" t="n"/>
      <c r="Q2929" s="8" t="n"/>
      <c r="R2929" s="8" t="n"/>
      <c r="S2929" s="8" t="n"/>
      <c r="T2929" s="8" t="n"/>
      <c r="U2929" s="8" t="n"/>
      <c r="V2929" s="8" t="n"/>
      <c r="W2929" s="8" t="n"/>
      <c r="X2929" s="8" t="n"/>
      <c r="Y2929" s="8" t="n"/>
    </row>
    <row r="2930">
      <c r="A2930" s="8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9">
        <f>B2930+30</f>
        <v/>
      </c>
      <c r="N2930">
        <f>IF(L2930="", "", L2930-B2930)</f>
        <v/>
      </c>
      <c r="O2930">
        <f>IF(L2930="", "Pending", IF(N2930&lt;=30, "Met", "Breached"))</f>
        <v/>
      </c>
      <c r="P2930" s="8" t="n"/>
      <c r="Q2930" s="8" t="n"/>
      <c r="R2930" s="8" t="n"/>
      <c r="S2930" s="8" t="n"/>
      <c r="T2930" s="8" t="n"/>
      <c r="U2930" s="8" t="n"/>
      <c r="V2930" s="8" t="n"/>
      <c r="W2930" s="8" t="n"/>
      <c r="X2930" s="8" t="n"/>
      <c r="Y2930" s="8" t="n"/>
    </row>
    <row r="2931">
      <c r="A2931" s="8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9">
        <f>B2931+30</f>
        <v/>
      </c>
      <c r="N2931">
        <f>IF(L2931="", "", L2931-B2931)</f>
        <v/>
      </c>
      <c r="O2931">
        <f>IF(L2931="", "Pending", IF(N2931&lt;=30, "Met", "Breached"))</f>
        <v/>
      </c>
      <c r="P2931" s="8" t="n"/>
      <c r="Q2931" s="8" t="n"/>
      <c r="R2931" s="8" t="n"/>
      <c r="S2931" s="8" t="n"/>
      <c r="T2931" s="8" t="n"/>
      <c r="U2931" s="8" t="n"/>
      <c r="V2931" s="8" t="n"/>
      <c r="W2931" s="8" t="n"/>
      <c r="X2931" s="8" t="n"/>
      <c r="Y2931" s="8" t="n"/>
    </row>
    <row r="2932">
      <c r="A2932" s="8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9">
        <f>B2932+30</f>
        <v/>
      </c>
      <c r="N2932">
        <f>IF(L2932="", "", L2932-B2932)</f>
        <v/>
      </c>
      <c r="O2932">
        <f>IF(L2932="", "Pending", IF(N2932&lt;=30, "Met", "Breached"))</f>
        <v/>
      </c>
      <c r="P2932" s="8" t="n"/>
      <c r="Q2932" s="8" t="n"/>
      <c r="R2932" s="8" t="n"/>
      <c r="S2932" s="8" t="n"/>
      <c r="T2932" s="8" t="n"/>
      <c r="U2932" s="8" t="n"/>
      <c r="V2932" s="8" t="n"/>
      <c r="W2932" s="8" t="n"/>
      <c r="X2932" s="8" t="n"/>
      <c r="Y2932" s="8" t="n"/>
    </row>
    <row r="2933">
      <c r="A2933" s="8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9">
        <f>B2933+30</f>
        <v/>
      </c>
      <c r="N2933">
        <f>IF(L2933="", "", L2933-B2933)</f>
        <v/>
      </c>
      <c r="O2933">
        <f>IF(L2933="", "Pending", IF(N2933&lt;=30, "Met", "Breached"))</f>
        <v/>
      </c>
      <c r="P2933" s="8" t="n"/>
      <c r="Q2933" s="8" t="n"/>
      <c r="R2933" s="8" t="n"/>
      <c r="S2933" s="8" t="n"/>
      <c r="T2933" s="8" t="n"/>
      <c r="U2933" s="8" t="n"/>
      <c r="V2933" s="8" t="n"/>
      <c r="W2933" s="8" t="n"/>
      <c r="X2933" s="8" t="n"/>
      <c r="Y2933" s="8" t="n"/>
    </row>
    <row r="2934">
      <c r="A2934" s="8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9">
        <f>B2934+30</f>
        <v/>
      </c>
      <c r="N2934">
        <f>IF(L2934="", "", L2934-B2934)</f>
        <v/>
      </c>
      <c r="O2934">
        <f>IF(L2934="", "Pending", IF(N2934&lt;=30, "Met", "Breached"))</f>
        <v/>
      </c>
      <c r="P2934" s="8" t="n"/>
      <c r="Q2934" s="8" t="n"/>
      <c r="R2934" s="8" t="n"/>
      <c r="S2934" s="8" t="n"/>
      <c r="T2934" s="8" t="n"/>
      <c r="U2934" s="8" t="n"/>
      <c r="V2934" s="8" t="n"/>
      <c r="W2934" s="8" t="n"/>
      <c r="X2934" s="8" t="n"/>
      <c r="Y2934" s="8" t="n"/>
    </row>
    <row r="2935">
      <c r="A2935" s="8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9">
        <f>B2935+30</f>
        <v/>
      </c>
      <c r="N2935">
        <f>IF(L2935="", "", L2935-B2935)</f>
        <v/>
      </c>
      <c r="O2935">
        <f>IF(L2935="", "Pending", IF(N2935&lt;=30, "Met", "Breached"))</f>
        <v/>
      </c>
      <c r="P2935" s="8" t="n"/>
      <c r="Q2935" s="8" t="n"/>
      <c r="R2935" s="8" t="n"/>
      <c r="S2935" s="8" t="n"/>
      <c r="T2935" s="8" t="n"/>
      <c r="U2935" s="8" t="n"/>
      <c r="V2935" s="8" t="n"/>
      <c r="W2935" s="8" t="n"/>
      <c r="X2935" s="8" t="n"/>
      <c r="Y2935" s="8" t="n"/>
    </row>
    <row r="2936">
      <c r="A2936" s="8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9">
        <f>B2936+30</f>
        <v/>
      </c>
      <c r="N2936">
        <f>IF(L2936="", "", L2936-B2936)</f>
        <v/>
      </c>
      <c r="O2936">
        <f>IF(L2936="", "Pending", IF(N2936&lt;=30, "Met", "Breached"))</f>
        <v/>
      </c>
      <c r="P2936" s="8" t="n"/>
      <c r="Q2936" s="8" t="n"/>
      <c r="R2936" s="8" t="n"/>
      <c r="S2936" s="8" t="n"/>
      <c r="T2936" s="8" t="n"/>
      <c r="U2936" s="8" t="n"/>
      <c r="V2936" s="8" t="n"/>
      <c r="W2936" s="8" t="n"/>
      <c r="X2936" s="8" t="n"/>
      <c r="Y2936" s="8" t="n"/>
    </row>
    <row r="2937">
      <c r="A2937" s="8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9">
        <f>B2937+30</f>
        <v/>
      </c>
      <c r="N2937">
        <f>IF(L2937="", "", L2937-B2937)</f>
        <v/>
      </c>
      <c r="O2937">
        <f>IF(L2937="", "Pending", IF(N2937&lt;=30, "Met", "Breached"))</f>
        <v/>
      </c>
      <c r="P2937" s="8" t="n"/>
      <c r="Q2937" s="8" t="n"/>
      <c r="R2937" s="8" t="n"/>
      <c r="S2937" s="8" t="n"/>
      <c r="T2937" s="8" t="n"/>
      <c r="U2937" s="8" t="n"/>
      <c r="V2937" s="8" t="n"/>
      <c r="W2937" s="8" t="n"/>
      <c r="X2937" s="8" t="n"/>
      <c r="Y2937" s="8" t="n"/>
    </row>
    <row r="2938">
      <c r="A2938" s="8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9">
        <f>B2938+30</f>
        <v/>
      </c>
      <c r="N2938">
        <f>IF(L2938="", "", L2938-B2938)</f>
        <v/>
      </c>
      <c r="O2938">
        <f>IF(L2938="", "Pending", IF(N2938&lt;=30, "Met", "Breached"))</f>
        <v/>
      </c>
      <c r="P2938" s="8" t="n"/>
      <c r="Q2938" s="8" t="n"/>
      <c r="R2938" s="8" t="n"/>
      <c r="S2938" s="8" t="n"/>
      <c r="T2938" s="8" t="n"/>
      <c r="U2938" s="8" t="n"/>
      <c r="V2938" s="8" t="n"/>
      <c r="W2938" s="8" t="n"/>
      <c r="X2938" s="8" t="n"/>
      <c r="Y2938" s="8" t="n"/>
    </row>
    <row r="2939">
      <c r="A2939" s="8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9">
        <f>B2939+30</f>
        <v/>
      </c>
      <c r="N2939">
        <f>IF(L2939="", "", L2939-B2939)</f>
        <v/>
      </c>
      <c r="O2939">
        <f>IF(L2939="", "Pending", IF(N2939&lt;=30, "Met", "Breached"))</f>
        <v/>
      </c>
      <c r="P2939" s="8" t="n"/>
      <c r="Q2939" s="8" t="n"/>
      <c r="R2939" s="8" t="n"/>
      <c r="S2939" s="8" t="n"/>
      <c r="T2939" s="8" t="n"/>
      <c r="U2939" s="8" t="n"/>
      <c r="V2939" s="8" t="n"/>
      <c r="W2939" s="8" t="n"/>
      <c r="X2939" s="8" t="n"/>
      <c r="Y2939" s="8" t="n"/>
    </row>
    <row r="2940">
      <c r="A2940" s="8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9">
        <f>B2940+30</f>
        <v/>
      </c>
      <c r="N2940">
        <f>IF(L2940="", "", L2940-B2940)</f>
        <v/>
      </c>
      <c r="O2940">
        <f>IF(L2940="", "Pending", IF(N2940&lt;=30, "Met", "Breached"))</f>
        <v/>
      </c>
      <c r="P2940" s="8" t="n"/>
      <c r="Q2940" s="8" t="n"/>
      <c r="R2940" s="8" t="n"/>
      <c r="S2940" s="8" t="n"/>
      <c r="T2940" s="8" t="n"/>
      <c r="U2940" s="8" t="n"/>
      <c r="V2940" s="8" t="n"/>
      <c r="W2940" s="8" t="n"/>
      <c r="X2940" s="8" t="n"/>
      <c r="Y2940" s="8" t="n"/>
    </row>
    <row r="2941">
      <c r="A2941" s="8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9">
        <f>B2941+30</f>
        <v/>
      </c>
      <c r="N2941">
        <f>IF(L2941="", "", L2941-B2941)</f>
        <v/>
      </c>
      <c r="O2941">
        <f>IF(L2941="", "Pending", IF(N2941&lt;=30, "Met", "Breached"))</f>
        <v/>
      </c>
      <c r="P2941" s="8" t="n"/>
      <c r="Q2941" s="8" t="n"/>
      <c r="R2941" s="8" t="n"/>
      <c r="S2941" s="8" t="n"/>
      <c r="T2941" s="8" t="n"/>
      <c r="U2941" s="8" t="n"/>
      <c r="V2941" s="8" t="n"/>
      <c r="W2941" s="8" t="n"/>
      <c r="X2941" s="8" t="n"/>
      <c r="Y2941" s="8" t="n"/>
    </row>
    <row r="2942">
      <c r="A2942" s="8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9">
        <f>B2942+30</f>
        <v/>
      </c>
      <c r="N2942">
        <f>IF(L2942="", "", L2942-B2942)</f>
        <v/>
      </c>
      <c r="O2942">
        <f>IF(L2942="", "Pending", IF(N2942&lt;=30, "Met", "Breached"))</f>
        <v/>
      </c>
      <c r="P2942" s="8" t="n"/>
      <c r="Q2942" s="8" t="n"/>
      <c r="R2942" s="8" t="n"/>
      <c r="S2942" s="8" t="n"/>
      <c r="T2942" s="8" t="n"/>
      <c r="U2942" s="8" t="n"/>
      <c r="V2942" s="8" t="n"/>
      <c r="W2942" s="8" t="n"/>
      <c r="X2942" s="8" t="n"/>
      <c r="Y2942" s="8" t="n"/>
    </row>
    <row r="2943">
      <c r="A2943" s="8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9">
        <f>B2943+30</f>
        <v/>
      </c>
      <c r="N2943">
        <f>IF(L2943="", "", L2943-B2943)</f>
        <v/>
      </c>
      <c r="O2943">
        <f>IF(L2943="", "Pending", IF(N2943&lt;=30, "Met", "Breached"))</f>
        <v/>
      </c>
      <c r="P2943" s="8" t="n"/>
      <c r="Q2943" s="8" t="n"/>
      <c r="R2943" s="8" t="n"/>
      <c r="S2943" s="8" t="n"/>
      <c r="T2943" s="8" t="n"/>
      <c r="U2943" s="8" t="n"/>
      <c r="V2943" s="8" t="n"/>
      <c r="W2943" s="8" t="n"/>
      <c r="X2943" s="8" t="n"/>
      <c r="Y2943" s="8" t="n"/>
    </row>
    <row r="2944">
      <c r="A2944" s="8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9">
        <f>B2944+30</f>
        <v/>
      </c>
      <c r="N2944">
        <f>IF(L2944="", "", L2944-B2944)</f>
        <v/>
      </c>
      <c r="O2944">
        <f>IF(L2944="", "Pending", IF(N2944&lt;=30, "Met", "Breached"))</f>
        <v/>
      </c>
      <c r="P2944" s="8" t="n"/>
      <c r="Q2944" s="8" t="n"/>
      <c r="R2944" s="8" t="n"/>
      <c r="S2944" s="8" t="n"/>
      <c r="T2944" s="8" t="n"/>
      <c r="U2944" s="8" t="n"/>
      <c r="V2944" s="8" t="n"/>
      <c r="W2944" s="8" t="n"/>
      <c r="X2944" s="8" t="n"/>
      <c r="Y2944" s="8" t="n"/>
    </row>
    <row r="2945">
      <c r="A2945" s="8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9">
        <f>B2945+30</f>
        <v/>
      </c>
      <c r="N2945">
        <f>IF(L2945="", "", L2945-B2945)</f>
        <v/>
      </c>
      <c r="O2945">
        <f>IF(L2945="", "Pending", IF(N2945&lt;=30, "Met", "Breached"))</f>
        <v/>
      </c>
      <c r="P2945" s="8" t="n"/>
      <c r="Q2945" s="8" t="n"/>
      <c r="R2945" s="8" t="n"/>
      <c r="S2945" s="8" t="n"/>
      <c r="T2945" s="8" t="n"/>
      <c r="U2945" s="8" t="n"/>
      <c r="V2945" s="8" t="n"/>
      <c r="W2945" s="8" t="n"/>
      <c r="X2945" s="8" t="n"/>
      <c r="Y2945" s="8" t="n"/>
    </row>
    <row r="2946">
      <c r="A2946" s="8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9">
        <f>B2946+30</f>
        <v/>
      </c>
      <c r="N2946">
        <f>IF(L2946="", "", L2946-B2946)</f>
        <v/>
      </c>
      <c r="O2946">
        <f>IF(L2946="", "Pending", IF(N2946&lt;=30, "Met", "Breached"))</f>
        <v/>
      </c>
      <c r="P2946" s="8" t="n"/>
      <c r="Q2946" s="8" t="n"/>
      <c r="R2946" s="8" t="n"/>
      <c r="S2946" s="8" t="n"/>
      <c r="T2946" s="8" t="n"/>
      <c r="U2946" s="8" t="n"/>
      <c r="V2946" s="8" t="n"/>
      <c r="W2946" s="8" t="n"/>
      <c r="X2946" s="8" t="n"/>
      <c r="Y2946" s="8" t="n"/>
    </row>
    <row r="2947">
      <c r="A2947" s="8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9">
        <f>B2947+30</f>
        <v/>
      </c>
      <c r="N2947">
        <f>IF(L2947="", "", L2947-B2947)</f>
        <v/>
      </c>
      <c r="O2947">
        <f>IF(L2947="", "Pending", IF(N2947&lt;=30, "Met", "Breached"))</f>
        <v/>
      </c>
      <c r="P2947" s="8" t="n"/>
      <c r="Q2947" s="8" t="n"/>
      <c r="R2947" s="8" t="n"/>
      <c r="S2947" s="8" t="n"/>
      <c r="T2947" s="8" t="n"/>
      <c r="U2947" s="8" t="n"/>
      <c r="V2947" s="8" t="n"/>
      <c r="W2947" s="8" t="n"/>
      <c r="X2947" s="8" t="n"/>
      <c r="Y2947" s="8" t="n"/>
    </row>
    <row r="2948">
      <c r="A2948" s="8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9">
        <f>B2948+30</f>
        <v/>
      </c>
      <c r="N2948">
        <f>IF(L2948="", "", L2948-B2948)</f>
        <v/>
      </c>
      <c r="O2948">
        <f>IF(L2948="", "Pending", IF(N2948&lt;=30, "Met", "Breached"))</f>
        <v/>
      </c>
      <c r="P2948" s="8" t="n"/>
      <c r="Q2948" s="8" t="n"/>
      <c r="R2948" s="8" t="n"/>
      <c r="S2948" s="8" t="n"/>
      <c r="T2948" s="8" t="n"/>
      <c r="U2948" s="8" t="n"/>
      <c r="V2948" s="8" t="n"/>
      <c r="W2948" s="8" t="n"/>
      <c r="X2948" s="8" t="n"/>
      <c r="Y2948" s="8" t="n"/>
    </row>
    <row r="2949">
      <c r="A2949" s="8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9">
        <f>B2949+30</f>
        <v/>
      </c>
      <c r="N2949">
        <f>IF(L2949="", "", L2949-B2949)</f>
        <v/>
      </c>
      <c r="O2949">
        <f>IF(L2949="", "Pending", IF(N2949&lt;=30, "Met", "Breached"))</f>
        <v/>
      </c>
      <c r="P2949" s="8" t="n"/>
      <c r="Q2949" s="8" t="n"/>
      <c r="R2949" s="8" t="n"/>
      <c r="S2949" s="8" t="n"/>
      <c r="T2949" s="8" t="n"/>
      <c r="U2949" s="8" t="n"/>
      <c r="V2949" s="8" t="n"/>
      <c r="W2949" s="8" t="n"/>
      <c r="X2949" s="8" t="n"/>
      <c r="Y2949" s="8" t="n"/>
    </row>
    <row r="2950">
      <c r="A2950" s="8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9">
        <f>B2950+30</f>
        <v/>
      </c>
      <c r="N2950">
        <f>IF(L2950="", "", L2950-B2950)</f>
        <v/>
      </c>
      <c r="O2950">
        <f>IF(L2950="", "Pending", IF(N2950&lt;=30, "Met", "Breached"))</f>
        <v/>
      </c>
      <c r="P2950" s="8" t="n"/>
      <c r="Q2950" s="8" t="n"/>
      <c r="R2950" s="8" t="n"/>
      <c r="S2950" s="8" t="n"/>
      <c r="T2950" s="8" t="n"/>
      <c r="U2950" s="8" t="n"/>
      <c r="V2950" s="8" t="n"/>
      <c r="W2950" s="8" t="n"/>
      <c r="X2950" s="8" t="n"/>
      <c r="Y2950" s="8" t="n"/>
    </row>
    <row r="2951">
      <c r="A2951" s="8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9">
        <f>B2951+30</f>
        <v/>
      </c>
      <c r="N2951">
        <f>IF(L2951="", "", L2951-B2951)</f>
        <v/>
      </c>
      <c r="O2951">
        <f>IF(L2951="", "Pending", IF(N2951&lt;=30, "Met", "Breached"))</f>
        <v/>
      </c>
      <c r="P2951" s="8" t="n"/>
      <c r="Q2951" s="8" t="n"/>
      <c r="R2951" s="8" t="n"/>
      <c r="S2951" s="8" t="n"/>
      <c r="T2951" s="8" t="n"/>
      <c r="U2951" s="8" t="n"/>
      <c r="V2951" s="8" t="n"/>
      <c r="W2951" s="8" t="n"/>
      <c r="X2951" s="8" t="n"/>
      <c r="Y2951" s="8" t="n"/>
    </row>
    <row r="2952">
      <c r="A2952" s="8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9">
        <f>B2952+30</f>
        <v/>
      </c>
      <c r="N2952">
        <f>IF(L2952="", "", L2952-B2952)</f>
        <v/>
      </c>
      <c r="O2952">
        <f>IF(L2952="", "Pending", IF(N2952&lt;=30, "Met", "Breached"))</f>
        <v/>
      </c>
      <c r="P2952" s="8" t="n"/>
      <c r="Q2952" s="8" t="n"/>
      <c r="R2952" s="8" t="n"/>
      <c r="S2952" s="8" t="n"/>
      <c r="T2952" s="8" t="n"/>
      <c r="U2952" s="8" t="n"/>
      <c r="V2952" s="8" t="n"/>
      <c r="W2952" s="8" t="n"/>
      <c r="X2952" s="8" t="n"/>
      <c r="Y2952" s="8" t="n"/>
    </row>
    <row r="2953">
      <c r="A2953" s="8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9">
        <f>B2953+30</f>
        <v/>
      </c>
      <c r="N2953">
        <f>IF(L2953="", "", L2953-B2953)</f>
        <v/>
      </c>
      <c r="O2953">
        <f>IF(L2953="", "Pending", IF(N2953&lt;=30, "Met", "Breached"))</f>
        <v/>
      </c>
      <c r="P2953" s="8" t="n"/>
      <c r="Q2953" s="8" t="n"/>
      <c r="R2953" s="8" t="n"/>
      <c r="S2953" s="8" t="n"/>
      <c r="T2953" s="8" t="n"/>
      <c r="U2953" s="8" t="n"/>
      <c r="V2953" s="8" t="n"/>
      <c r="W2953" s="8" t="n"/>
      <c r="X2953" s="8" t="n"/>
      <c r="Y2953" s="8" t="n"/>
    </row>
    <row r="2954">
      <c r="A2954" s="8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9">
        <f>B2954+30</f>
        <v/>
      </c>
      <c r="N2954">
        <f>IF(L2954="", "", L2954-B2954)</f>
        <v/>
      </c>
      <c r="O2954">
        <f>IF(L2954="", "Pending", IF(N2954&lt;=30, "Met", "Breached"))</f>
        <v/>
      </c>
      <c r="P2954" s="8" t="n"/>
      <c r="Q2954" s="8" t="n"/>
      <c r="R2954" s="8" t="n"/>
      <c r="S2954" s="8" t="n"/>
      <c r="T2954" s="8" t="n"/>
      <c r="U2954" s="8" t="n"/>
      <c r="V2954" s="8" t="n"/>
      <c r="W2954" s="8" t="n"/>
      <c r="X2954" s="8" t="n"/>
      <c r="Y2954" s="8" t="n"/>
    </row>
    <row r="2955">
      <c r="A2955" s="8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9">
        <f>B2955+30</f>
        <v/>
      </c>
      <c r="N2955">
        <f>IF(L2955="", "", L2955-B2955)</f>
        <v/>
      </c>
      <c r="O2955">
        <f>IF(L2955="", "Pending", IF(N2955&lt;=30, "Met", "Breached"))</f>
        <v/>
      </c>
      <c r="P2955" s="8" t="n"/>
      <c r="Q2955" s="8" t="n"/>
      <c r="R2955" s="8" t="n"/>
      <c r="S2955" s="8" t="n"/>
      <c r="T2955" s="8" t="n"/>
      <c r="U2955" s="8" t="n"/>
      <c r="V2955" s="8" t="n"/>
      <c r="W2955" s="8" t="n"/>
      <c r="X2955" s="8" t="n"/>
      <c r="Y2955" s="8" t="n"/>
    </row>
    <row r="2956">
      <c r="A2956" s="8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9">
        <f>B2956+30</f>
        <v/>
      </c>
      <c r="N2956">
        <f>IF(L2956="", "", L2956-B2956)</f>
        <v/>
      </c>
      <c r="O2956">
        <f>IF(L2956="", "Pending", IF(N2956&lt;=30, "Met", "Breached"))</f>
        <v/>
      </c>
      <c r="P2956" s="8" t="n"/>
      <c r="Q2956" s="8" t="n"/>
      <c r="R2956" s="8" t="n"/>
      <c r="S2956" s="8" t="n"/>
      <c r="T2956" s="8" t="n"/>
      <c r="U2956" s="8" t="n"/>
      <c r="V2956" s="8" t="n"/>
      <c r="W2956" s="8" t="n"/>
      <c r="X2956" s="8" t="n"/>
      <c r="Y2956" s="8" t="n"/>
    </row>
    <row r="2957">
      <c r="A2957" s="8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9">
        <f>B2957+30</f>
        <v/>
      </c>
      <c r="N2957">
        <f>IF(L2957="", "", L2957-B2957)</f>
        <v/>
      </c>
      <c r="O2957">
        <f>IF(L2957="", "Pending", IF(N2957&lt;=30, "Met", "Breached"))</f>
        <v/>
      </c>
      <c r="P2957" s="8" t="n"/>
      <c r="Q2957" s="8" t="n"/>
      <c r="R2957" s="8" t="n"/>
      <c r="S2957" s="8" t="n"/>
      <c r="T2957" s="8" t="n"/>
      <c r="U2957" s="8" t="n"/>
      <c r="V2957" s="8" t="n"/>
      <c r="W2957" s="8" t="n"/>
      <c r="X2957" s="8" t="n"/>
      <c r="Y2957" s="8" t="n"/>
    </row>
    <row r="2958">
      <c r="A2958" s="8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9">
        <f>B2958+30</f>
        <v/>
      </c>
      <c r="N2958">
        <f>IF(L2958="", "", L2958-B2958)</f>
        <v/>
      </c>
      <c r="O2958">
        <f>IF(L2958="", "Pending", IF(N2958&lt;=30, "Met", "Breached"))</f>
        <v/>
      </c>
      <c r="P2958" s="8" t="n"/>
      <c r="Q2958" s="8" t="n"/>
      <c r="R2958" s="8" t="n"/>
      <c r="S2958" s="8" t="n"/>
      <c r="T2958" s="8" t="n"/>
      <c r="U2958" s="8" t="n"/>
      <c r="V2958" s="8" t="n"/>
      <c r="W2958" s="8" t="n"/>
      <c r="X2958" s="8" t="n"/>
      <c r="Y2958" s="8" t="n"/>
    </row>
    <row r="2959">
      <c r="A2959" s="8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9">
        <f>B2959+30</f>
        <v/>
      </c>
      <c r="N2959">
        <f>IF(L2959="", "", L2959-B2959)</f>
        <v/>
      </c>
      <c r="O2959">
        <f>IF(L2959="", "Pending", IF(N2959&lt;=30, "Met", "Breached"))</f>
        <v/>
      </c>
      <c r="P2959" s="8" t="n"/>
      <c r="Q2959" s="8" t="n"/>
      <c r="R2959" s="8" t="n"/>
      <c r="S2959" s="8" t="n"/>
      <c r="T2959" s="8" t="n"/>
      <c r="U2959" s="8" t="n"/>
      <c r="V2959" s="8" t="n"/>
      <c r="W2959" s="8" t="n"/>
      <c r="X2959" s="8" t="n"/>
      <c r="Y2959" s="8" t="n"/>
    </row>
    <row r="2960">
      <c r="A2960" s="8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9">
        <f>B2960+30</f>
        <v/>
      </c>
      <c r="N2960">
        <f>IF(L2960="", "", L2960-B2960)</f>
        <v/>
      </c>
      <c r="O2960">
        <f>IF(L2960="", "Pending", IF(N2960&lt;=30, "Met", "Breached"))</f>
        <v/>
      </c>
      <c r="P2960" s="8" t="n"/>
      <c r="Q2960" s="8" t="n"/>
      <c r="R2960" s="8" t="n"/>
      <c r="S2960" s="8" t="n"/>
      <c r="T2960" s="8" t="n"/>
      <c r="U2960" s="8" t="n"/>
      <c r="V2960" s="8" t="n"/>
      <c r="W2960" s="8" t="n"/>
      <c r="X2960" s="8" t="n"/>
      <c r="Y2960" s="8" t="n"/>
    </row>
    <row r="2961">
      <c r="A2961" s="8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9">
        <f>B2961+30</f>
        <v/>
      </c>
      <c r="N2961">
        <f>IF(L2961="", "", L2961-B2961)</f>
        <v/>
      </c>
      <c r="O2961">
        <f>IF(L2961="", "Pending", IF(N2961&lt;=30, "Met", "Breached"))</f>
        <v/>
      </c>
      <c r="P2961" s="8" t="n"/>
      <c r="Q2961" s="8" t="n"/>
      <c r="R2961" s="8" t="n"/>
      <c r="S2961" s="8" t="n"/>
      <c r="T2961" s="8" t="n"/>
      <c r="U2961" s="8" t="n"/>
      <c r="V2961" s="8" t="n"/>
      <c r="W2961" s="8" t="n"/>
      <c r="X2961" s="8" t="n"/>
      <c r="Y2961" s="8" t="n"/>
    </row>
    <row r="2962">
      <c r="A2962" s="8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9">
        <f>B2962+30</f>
        <v/>
      </c>
      <c r="N2962">
        <f>IF(L2962="", "", L2962-B2962)</f>
        <v/>
      </c>
      <c r="O2962">
        <f>IF(L2962="", "Pending", IF(N2962&lt;=30, "Met", "Breached"))</f>
        <v/>
      </c>
      <c r="P2962" s="8" t="n"/>
      <c r="Q2962" s="8" t="n"/>
      <c r="R2962" s="8" t="n"/>
      <c r="S2962" s="8" t="n"/>
      <c r="T2962" s="8" t="n"/>
      <c r="U2962" s="8" t="n"/>
      <c r="V2962" s="8" t="n"/>
      <c r="W2962" s="8" t="n"/>
      <c r="X2962" s="8" t="n"/>
      <c r="Y2962" s="8" t="n"/>
    </row>
    <row r="2963">
      <c r="A2963" s="8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9">
        <f>B2963+30</f>
        <v/>
      </c>
      <c r="N2963">
        <f>IF(L2963="", "", L2963-B2963)</f>
        <v/>
      </c>
      <c r="O2963">
        <f>IF(L2963="", "Pending", IF(N2963&lt;=30, "Met", "Breached"))</f>
        <v/>
      </c>
      <c r="P2963" s="8" t="n"/>
      <c r="Q2963" s="8" t="n"/>
      <c r="R2963" s="8" t="n"/>
      <c r="S2963" s="8" t="n"/>
      <c r="T2963" s="8" t="n"/>
      <c r="U2963" s="8" t="n"/>
      <c r="V2963" s="8" t="n"/>
      <c r="W2963" s="8" t="n"/>
      <c r="X2963" s="8" t="n"/>
      <c r="Y2963" s="8" t="n"/>
    </row>
    <row r="2964">
      <c r="A2964" s="8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9">
        <f>B2964+30</f>
        <v/>
      </c>
      <c r="N2964">
        <f>IF(L2964="", "", L2964-B2964)</f>
        <v/>
      </c>
      <c r="O2964">
        <f>IF(L2964="", "Pending", IF(N2964&lt;=30, "Met", "Breached"))</f>
        <v/>
      </c>
      <c r="P2964" s="8" t="n"/>
      <c r="Q2964" s="8" t="n"/>
      <c r="R2964" s="8" t="n"/>
      <c r="S2964" s="8" t="n"/>
      <c r="T2964" s="8" t="n"/>
      <c r="U2964" s="8" t="n"/>
      <c r="V2964" s="8" t="n"/>
      <c r="W2964" s="8" t="n"/>
      <c r="X2964" s="8" t="n"/>
      <c r="Y2964" s="8" t="n"/>
    </row>
    <row r="2965">
      <c r="A2965" s="8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9">
        <f>B2965+30</f>
        <v/>
      </c>
      <c r="N2965">
        <f>IF(L2965="", "", L2965-B2965)</f>
        <v/>
      </c>
      <c r="O2965">
        <f>IF(L2965="", "Pending", IF(N2965&lt;=30, "Met", "Breached"))</f>
        <v/>
      </c>
      <c r="P2965" s="8" t="n"/>
      <c r="Q2965" s="8" t="n"/>
      <c r="R2965" s="8" t="n"/>
      <c r="S2965" s="8" t="n"/>
      <c r="T2965" s="8" t="n"/>
      <c r="U2965" s="8" t="n"/>
      <c r="V2965" s="8" t="n"/>
      <c r="W2965" s="8" t="n"/>
      <c r="X2965" s="8" t="n"/>
      <c r="Y2965" s="8" t="n"/>
    </row>
    <row r="2966">
      <c r="A2966" s="8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9">
        <f>B2966+30</f>
        <v/>
      </c>
      <c r="N2966">
        <f>IF(L2966="", "", L2966-B2966)</f>
        <v/>
      </c>
      <c r="O2966">
        <f>IF(L2966="", "Pending", IF(N2966&lt;=30, "Met", "Breached"))</f>
        <v/>
      </c>
      <c r="P2966" s="8" t="n"/>
      <c r="Q2966" s="8" t="n"/>
      <c r="R2966" s="8" t="n"/>
      <c r="S2966" s="8" t="n"/>
      <c r="T2966" s="8" t="n"/>
      <c r="U2966" s="8" t="n"/>
      <c r="V2966" s="8" t="n"/>
      <c r="W2966" s="8" t="n"/>
      <c r="X2966" s="8" t="n"/>
      <c r="Y2966" s="8" t="n"/>
    </row>
    <row r="2967">
      <c r="A2967" s="8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9">
        <f>B2967+30</f>
        <v/>
      </c>
      <c r="N2967">
        <f>IF(L2967="", "", L2967-B2967)</f>
        <v/>
      </c>
      <c r="O2967">
        <f>IF(L2967="", "Pending", IF(N2967&lt;=30, "Met", "Breached"))</f>
        <v/>
      </c>
      <c r="P2967" s="8" t="n"/>
      <c r="Q2967" s="8" t="n"/>
      <c r="R2967" s="8" t="n"/>
      <c r="S2967" s="8" t="n"/>
      <c r="T2967" s="8" t="n"/>
      <c r="U2967" s="8" t="n"/>
      <c r="V2967" s="8" t="n"/>
      <c r="W2967" s="8" t="n"/>
      <c r="X2967" s="8" t="n"/>
      <c r="Y2967" s="8" t="n"/>
    </row>
    <row r="2968">
      <c r="A2968" s="8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9">
        <f>B2968+30</f>
        <v/>
      </c>
      <c r="N2968">
        <f>IF(L2968="", "", L2968-B2968)</f>
        <v/>
      </c>
      <c r="O2968">
        <f>IF(L2968="", "Pending", IF(N2968&lt;=30, "Met", "Breached"))</f>
        <v/>
      </c>
      <c r="P2968" s="8" t="n"/>
      <c r="Q2968" s="8" t="n"/>
      <c r="R2968" s="8" t="n"/>
      <c r="S2968" s="8" t="n"/>
      <c r="T2968" s="8" t="n"/>
      <c r="U2968" s="8" t="n"/>
      <c r="V2968" s="8" t="n"/>
      <c r="W2968" s="8" t="n"/>
      <c r="X2968" s="8" t="n"/>
      <c r="Y2968" s="8" t="n"/>
    </row>
    <row r="2969">
      <c r="A2969" s="8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9">
        <f>B2969+30</f>
        <v/>
      </c>
      <c r="N2969">
        <f>IF(L2969="", "", L2969-B2969)</f>
        <v/>
      </c>
      <c r="O2969">
        <f>IF(L2969="", "Pending", IF(N2969&lt;=30, "Met", "Breached"))</f>
        <v/>
      </c>
      <c r="P2969" s="8" t="n"/>
      <c r="Q2969" s="8" t="n"/>
      <c r="R2969" s="8" t="n"/>
      <c r="S2969" s="8" t="n"/>
      <c r="T2969" s="8" t="n"/>
      <c r="U2969" s="8" t="n"/>
      <c r="V2969" s="8" t="n"/>
      <c r="W2969" s="8" t="n"/>
      <c r="X2969" s="8" t="n"/>
      <c r="Y2969" s="8" t="n"/>
    </row>
    <row r="2970">
      <c r="A2970" s="8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9">
        <f>B2970+30</f>
        <v/>
      </c>
      <c r="N2970">
        <f>IF(L2970="", "", L2970-B2970)</f>
        <v/>
      </c>
      <c r="O2970">
        <f>IF(L2970="", "Pending", IF(N2970&lt;=30, "Met", "Breached"))</f>
        <v/>
      </c>
      <c r="P2970" s="8" t="n"/>
      <c r="Q2970" s="8" t="n"/>
      <c r="R2970" s="8" t="n"/>
      <c r="S2970" s="8" t="n"/>
      <c r="T2970" s="8" t="n"/>
      <c r="U2970" s="8" t="n"/>
      <c r="V2970" s="8" t="n"/>
      <c r="W2970" s="8" t="n"/>
      <c r="X2970" s="8" t="n"/>
      <c r="Y2970" s="8" t="n"/>
    </row>
    <row r="2971">
      <c r="A2971" s="8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9">
        <f>B2971+30</f>
        <v/>
      </c>
      <c r="N2971">
        <f>IF(L2971="", "", L2971-B2971)</f>
        <v/>
      </c>
      <c r="O2971">
        <f>IF(L2971="", "Pending", IF(N2971&lt;=30, "Met", "Breached"))</f>
        <v/>
      </c>
      <c r="P2971" s="8" t="n"/>
      <c r="Q2971" s="8" t="n"/>
      <c r="R2971" s="8" t="n"/>
      <c r="S2971" s="8" t="n"/>
      <c r="T2971" s="8" t="n"/>
      <c r="U2971" s="8" t="n"/>
      <c r="V2971" s="8" t="n"/>
      <c r="W2971" s="8" t="n"/>
      <c r="X2971" s="8" t="n"/>
      <c r="Y2971" s="8" t="n"/>
    </row>
    <row r="2972">
      <c r="A2972" s="8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9">
        <f>B2972+30</f>
        <v/>
      </c>
      <c r="N2972">
        <f>IF(L2972="", "", L2972-B2972)</f>
        <v/>
      </c>
      <c r="O2972">
        <f>IF(L2972="", "Pending", IF(N2972&lt;=30, "Met", "Breached"))</f>
        <v/>
      </c>
      <c r="P2972" s="8" t="n"/>
      <c r="Q2972" s="8" t="n"/>
      <c r="R2972" s="8" t="n"/>
      <c r="S2972" s="8" t="n"/>
      <c r="T2972" s="8" t="n"/>
      <c r="U2972" s="8" t="n"/>
      <c r="V2972" s="8" t="n"/>
      <c r="W2972" s="8" t="n"/>
      <c r="X2972" s="8" t="n"/>
      <c r="Y2972" s="8" t="n"/>
    </row>
    <row r="2973">
      <c r="A2973" s="8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9">
        <f>B2973+30</f>
        <v/>
      </c>
      <c r="N2973">
        <f>IF(L2973="", "", L2973-B2973)</f>
        <v/>
      </c>
      <c r="O2973">
        <f>IF(L2973="", "Pending", IF(N2973&lt;=30, "Met", "Breached"))</f>
        <v/>
      </c>
      <c r="P2973" s="8" t="n"/>
      <c r="Q2973" s="8" t="n"/>
      <c r="R2973" s="8" t="n"/>
      <c r="S2973" s="8" t="n"/>
      <c r="T2973" s="8" t="n"/>
      <c r="U2973" s="8" t="n"/>
      <c r="V2973" s="8" t="n"/>
      <c r="W2973" s="8" t="n"/>
      <c r="X2973" s="8" t="n"/>
      <c r="Y2973" s="8" t="n"/>
    </row>
    <row r="2974">
      <c r="A2974" s="8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9">
        <f>B2974+30</f>
        <v/>
      </c>
      <c r="N2974">
        <f>IF(L2974="", "", L2974-B2974)</f>
        <v/>
      </c>
      <c r="O2974">
        <f>IF(L2974="", "Pending", IF(N2974&lt;=30, "Met", "Breached"))</f>
        <v/>
      </c>
      <c r="P2974" s="8" t="n"/>
      <c r="Q2974" s="8" t="n"/>
      <c r="R2974" s="8" t="n"/>
      <c r="S2974" s="8" t="n"/>
      <c r="T2974" s="8" t="n"/>
      <c r="U2974" s="8" t="n"/>
      <c r="V2974" s="8" t="n"/>
      <c r="W2974" s="8" t="n"/>
      <c r="X2974" s="8" t="n"/>
      <c r="Y2974" s="8" t="n"/>
    </row>
    <row r="2975">
      <c r="A2975" s="8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9">
        <f>B2975+30</f>
        <v/>
      </c>
      <c r="N2975">
        <f>IF(L2975="", "", L2975-B2975)</f>
        <v/>
      </c>
      <c r="O2975">
        <f>IF(L2975="", "Pending", IF(N2975&lt;=30, "Met", "Breached"))</f>
        <v/>
      </c>
      <c r="P2975" s="8" t="n"/>
      <c r="Q2975" s="8" t="n"/>
      <c r="R2975" s="8" t="n"/>
      <c r="S2975" s="8" t="n"/>
      <c r="T2975" s="8" t="n"/>
      <c r="U2975" s="8" t="n"/>
      <c r="V2975" s="8" t="n"/>
      <c r="W2975" s="8" t="n"/>
      <c r="X2975" s="8" t="n"/>
      <c r="Y2975" s="8" t="n"/>
    </row>
    <row r="2976">
      <c r="A2976" s="8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9">
        <f>B2976+30</f>
        <v/>
      </c>
      <c r="N2976">
        <f>IF(L2976="", "", L2976-B2976)</f>
        <v/>
      </c>
      <c r="O2976">
        <f>IF(L2976="", "Pending", IF(N2976&lt;=30, "Met", "Breached"))</f>
        <v/>
      </c>
      <c r="P2976" s="8" t="n"/>
      <c r="Q2976" s="8" t="n"/>
      <c r="R2976" s="8" t="n"/>
      <c r="S2976" s="8" t="n"/>
      <c r="T2976" s="8" t="n"/>
      <c r="U2976" s="8" t="n"/>
      <c r="V2976" s="8" t="n"/>
      <c r="W2976" s="8" t="n"/>
      <c r="X2976" s="8" t="n"/>
      <c r="Y2976" s="8" t="n"/>
    </row>
    <row r="2977">
      <c r="A2977" s="8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9">
        <f>B2977+30</f>
        <v/>
      </c>
      <c r="N2977">
        <f>IF(L2977="", "", L2977-B2977)</f>
        <v/>
      </c>
      <c r="O2977">
        <f>IF(L2977="", "Pending", IF(N2977&lt;=30, "Met", "Breached"))</f>
        <v/>
      </c>
      <c r="P2977" s="8" t="n"/>
      <c r="Q2977" s="8" t="n"/>
      <c r="R2977" s="8" t="n"/>
      <c r="S2977" s="8" t="n"/>
      <c r="T2977" s="8" t="n"/>
      <c r="U2977" s="8" t="n"/>
      <c r="V2977" s="8" t="n"/>
      <c r="W2977" s="8" t="n"/>
      <c r="X2977" s="8" t="n"/>
      <c r="Y2977" s="8" t="n"/>
    </row>
    <row r="2978">
      <c r="A2978" s="8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9">
        <f>B2978+30</f>
        <v/>
      </c>
      <c r="N2978">
        <f>IF(L2978="", "", L2978-B2978)</f>
        <v/>
      </c>
      <c r="O2978">
        <f>IF(L2978="", "Pending", IF(N2978&lt;=30, "Met", "Breached"))</f>
        <v/>
      </c>
      <c r="P2978" s="8" t="n"/>
      <c r="Q2978" s="8" t="n"/>
      <c r="R2978" s="8" t="n"/>
      <c r="S2978" s="8" t="n"/>
      <c r="T2978" s="8" t="n"/>
      <c r="U2978" s="8" t="n"/>
      <c r="V2978" s="8" t="n"/>
      <c r="W2978" s="8" t="n"/>
      <c r="X2978" s="8" t="n"/>
      <c r="Y2978" s="8" t="n"/>
    </row>
    <row r="2979">
      <c r="A2979" s="8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9">
        <f>B2979+30</f>
        <v/>
      </c>
      <c r="N2979">
        <f>IF(L2979="", "", L2979-B2979)</f>
        <v/>
      </c>
      <c r="O2979">
        <f>IF(L2979="", "Pending", IF(N2979&lt;=30, "Met", "Breached"))</f>
        <v/>
      </c>
      <c r="P2979" s="8" t="n"/>
      <c r="Q2979" s="8" t="n"/>
      <c r="R2979" s="8" t="n"/>
      <c r="S2979" s="8" t="n"/>
      <c r="T2979" s="8" t="n"/>
      <c r="U2979" s="8" t="n"/>
      <c r="V2979" s="8" t="n"/>
      <c r="W2979" s="8" t="n"/>
      <c r="X2979" s="8" t="n"/>
      <c r="Y2979" s="8" t="n"/>
    </row>
    <row r="2980">
      <c r="A2980" s="8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9">
        <f>B2980+30</f>
        <v/>
      </c>
      <c r="N2980">
        <f>IF(L2980="", "", L2980-B2980)</f>
        <v/>
      </c>
      <c r="O2980">
        <f>IF(L2980="", "Pending", IF(N2980&lt;=30, "Met", "Breached"))</f>
        <v/>
      </c>
      <c r="P2980" s="8" t="n"/>
      <c r="Q2980" s="8" t="n"/>
      <c r="R2980" s="8" t="n"/>
      <c r="S2980" s="8" t="n"/>
      <c r="T2980" s="8" t="n"/>
      <c r="U2980" s="8" t="n"/>
      <c r="V2980" s="8" t="n"/>
      <c r="W2980" s="8" t="n"/>
      <c r="X2980" s="8" t="n"/>
      <c r="Y2980" s="8" t="n"/>
    </row>
    <row r="2981">
      <c r="A2981" s="8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9">
        <f>B2981+30</f>
        <v/>
      </c>
      <c r="N2981">
        <f>IF(L2981="", "", L2981-B2981)</f>
        <v/>
      </c>
      <c r="O2981">
        <f>IF(L2981="", "Pending", IF(N2981&lt;=30, "Met", "Breached"))</f>
        <v/>
      </c>
      <c r="P2981" s="8" t="n"/>
      <c r="Q2981" s="8" t="n"/>
      <c r="R2981" s="8" t="n"/>
      <c r="S2981" s="8" t="n"/>
      <c r="T2981" s="8" t="n"/>
      <c r="U2981" s="8" t="n"/>
      <c r="V2981" s="8" t="n"/>
      <c r="W2981" s="8" t="n"/>
      <c r="X2981" s="8" t="n"/>
      <c r="Y2981" s="8" t="n"/>
    </row>
    <row r="2982">
      <c r="A2982" s="8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9">
        <f>B2982+30</f>
        <v/>
      </c>
      <c r="N2982">
        <f>IF(L2982="", "", L2982-B2982)</f>
        <v/>
      </c>
      <c r="O2982">
        <f>IF(L2982="", "Pending", IF(N2982&lt;=30, "Met", "Breached"))</f>
        <v/>
      </c>
      <c r="P2982" s="8" t="n"/>
      <c r="Q2982" s="8" t="n"/>
      <c r="R2982" s="8" t="n"/>
      <c r="S2982" s="8" t="n"/>
      <c r="T2982" s="8" t="n"/>
      <c r="U2982" s="8" t="n"/>
      <c r="V2982" s="8" t="n"/>
      <c r="W2982" s="8" t="n"/>
      <c r="X2982" s="8" t="n"/>
      <c r="Y2982" s="8" t="n"/>
    </row>
    <row r="2983">
      <c r="A2983" s="8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9">
        <f>B2983+30</f>
        <v/>
      </c>
      <c r="N2983">
        <f>IF(L2983="", "", L2983-B2983)</f>
        <v/>
      </c>
      <c r="O2983">
        <f>IF(L2983="", "Pending", IF(N2983&lt;=30, "Met", "Breached"))</f>
        <v/>
      </c>
      <c r="P2983" s="8" t="n"/>
      <c r="Q2983" s="8" t="n"/>
      <c r="R2983" s="8" t="n"/>
      <c r="S2983" s="8" t="n"/>
      <c r="T2983" s="8" t="n"/>
      <c r="U2983" s="8" t="n"/>
      <c r="V2983" s="8" t="n"/>
      <c r="W2983" s="8" t="n"/>
      <c r="X2983" s="8" t="n"/>
      <c r="Y2983" s="8" t="n"/>
    </row>
    <row r="2984">
      <c r="A2984" s="8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9">
        <f>B2984+30</f>
        <v/>
      </c>
      <c r="N2984">
        <f>IF(L2984="", "", L2984-B2984)</f>
        <v/>
      </c>
      <c r="O2984">
        <f>IF(L2984="", "Pending", IF(N2984&lt;=30, "Met", "Breached"))</f>
        <v/>
      </c>
      <c r="P2984" s="8" t="n"/>
      <c r="Q2984" s="8" t="n"/>
      <c r="R2984" s="8" t="n"/>
      <c r="S2984" s="8" t="n"/>
      <c r="T2984" s="8" t="n"/>
      <c r="U2984" s="8" t="n"/>
      <c r="V2984" s="8" t="n"/>
      <c r="W2984" s="8" t="n"/>
      <c r="X2984" s="8" t="n"/>
      <c r="Y2984" s="8" t="n"/>
    </row>
    <row r="2985">
      <c r="A2985" s="8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9">
        <f>B2985+30</f>
        <v/>
      </c>
      <c r="N2985">
        <f>IF(L2985="", "", L2985-B2985)</f>
        <v/>
      </c>
      <c r="O2985">
        <f>IF(L2985="", "Pending", IF(N2985&lt;=30, "Met", "Breached"))</f>
        <v/>
      </c>
      <c r="P2985" s="8" t="n"/>
      <c r="Q2985" s="8" t="n"/>
      <c r="R2985" s="8" t="n"/>
      <c r="S2985" s="8" t="n"/>
      <c r="T2985" s="8" t="n"/>
      <c r="U2985" s="8" t="n"/>
      <c r="V2985" s="8" t="n"/>
      <c r="W2985" s="8" t="n"/>
      <c r="X2985" s="8" t="n"/>
      <c r="Y2985" s="8" t="n"/>
    </row>
    <row r="2986">
      <c r="A2986" s="8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9">
        <f>B2986+30</f>
        <v/>
      </c>
      <c r="N2986">
        <f>IF(L2986="", "", L2986-B2986)</f>
        <v/>
      </c>
      <c r="O2986">
        <f>IF(L2986="", "Pending", IF(N2986&lt;=30, "Met", "Breached"))</f>
        <v/>
      </c>
      <c r="P2986" s="8" t="n"/>
      <c r="Q2986" s="8" t="n"/>
      <c r="R2986" s="8" t="n"/>
      <c r="S2986" s="8" t="n"/>
      <c r="T2986" s="8" t="n"/>
      <c r="U2986" s="8" t="n"/>
      <c r="V2986" s="8" t="n"/>
      <c r="W2986" s="8" t="n"/>
      <c r="X2986" s="8" t="n"/>
      <c r="Y2986" s="8" t="n"/>
    </row>
    <row r="2987">
      <c r="A2987" s="8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9">
        <f>B2987+30</f>
        <v/>
      </c>
      <c r="N2987">
        <f>IF(L2987="", "", L2987-B2987)</f>
        <v/>
      </c>
      <c r="O2987">
        <f>IF(L2987="", "Pending", IF(N2987&lt;=30, "Met", "Breached"))</f>
        <v/>
      </c>
      <c r="P2987" s="8" t="n"/>
      <c r="Q2987" s="8" t="n"/>
      <c r="R2987" s="8" t="n"/>
      <c r="S2987" s="8" t="n"/>
      <c r="T2987" s="8" t="n"/>
      <c r="U2987" s="8" t="n"/>
      <c r="V2987" s="8" t="n"/>
      <c r="W2987" s="8" t="n"/>
      <c r="X2987" s="8" t="n"/>
      <c r="Y2987" s="8" t="n"/>
    </row>
    <row r="2988">
      <c r="A2988" s="8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9">
        <f>B2988+30</f>
        <v/>
      </c>
      <c r="N2988">
        <f>IF(L2988="", "", L2988-B2988)</f>
        <v/>
      </c>
      <c r="O2988">
        <f>IF(L2988="", "Pending", IF(N2988&lt;=30, "Met", "Breached"))</f>
        <v/>
      </c>
      <c r="P2988" s="8" t="n"/>
      <c r="Q2988" s="8" t="n"/>
      <c r="R2988" s="8" t="n"/>
      <c r="S2988" s="8" t="n"/>
      <c r="T2988" s="8" t="n"/>
      <c r="U2988" s="8" t="n"/>
      <c r="V2988" s="8" t="n"/>
      <c r="W2988" s="8" t="n"/>
      <c r="X2988" s="8" t="n"/>
      <c r="Y2988" s="8" t="n"/>
    </row>
    <row r="2989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9">
        <f>B2989+30</f>
        <v/>
      </c>
      <c r="N2989">
        <f>IF(L2989="", "", L2989-B2989)</f>
        <v/>
      </c>
      <c r="O2989">
        <f>IF(L2989="", "Pending", IF(N2989&lt;=30, "Met", "Breached"))</f>
        <v/>
      </c>
      <c r="P2989" s="8" t="n"/>
      <c r="Q2989" s="8" t="n"/>
      <c r="R2989" s="8" t="n"/>
      <c r="S2989" s="8" t="n"/>
      <c r="T2989" s="8" t="n"/>
      <c r="U2989" s="8" t="n"/>
      <c r="V2989" s="8" t="n"/>
      <c r="W2989" s="8" t="n"/>
      <c r="X2989" s="8" t="n"/>
      <c r="Y2989" s="8" t="n"/>
    </row>
    <row r="2990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9">
        <f>B2990+30</f>
        <v/>
      </c>
      <c r="N2990">
        <f>IF(L2990="", "", L2990-B2990)</f>
        <v/>
      </c>
      <c r="O2990">
        <f>IF(L2990="", "Pending", IF(N2990&lt;=30, "Met", "Breached"))</f>
        <v/>
      </c>
      <c r="P2990" s="8" t="n"/>
      <c r="Q2990" s="8" t="n"/>
      <c r="R2990" s="8" t="n"/>
      <c r="S2990" s="8" t="n"/>
      <c r="T2990" s="8" t="n"/>
      <c r="U2990" s="8" t="n"/>
      <c r="V2990" s="8" t="n"/>
      <c r="W2990" s="8" t="n"/>
      <c r="X2990" s="8" t="n"/>
      <c r="Y2990" s="8" t="n"/>
    </row>
    <row r="2991">
      <c r="A2991" s="8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9">
        <f>B2991+30</f>
        <v/>
      </c>
      <c r="N2991">
        <f>IF(L2991="", "", L2991-B2991)</f>
        <v/>
      </c>
      <c r="O2991">
        <f>IF(L2991="", "Pending", IF(N2991&lt;=30, "Met", "Breached"))</f>
        <v/>
      </c>
      <c r="P2991" s="8" t="n"/>
      <c r="Q2991" s="8" t="n"/>
      <c r="R2991" s="8" t="n"/>
      <c r="S2991" s="8" t="n"/>
      <c r="T2991" s="8" t="n"/>
      <c r="U2991" s="8" t="n"/>
      <c r="V2991" s="8" t="n"/>
      <c r="W2991" s="8" t="n"/>
      <c r="X2991" s="8" t="n"/>
      <c r="Y2991" s="8" t="n"/>
    </row>
    <row r="2992">
      <c r="A2992" s="8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9">
        <f>B2992+30</f>
        <v/>
      </c>
      <c r="N2992">
        <f>IF(L2992="", "", L2992-B2992)</f>
        <v/>
      </c>
      <c r="O2992">
        <f>IF(L2992="", "Pending", IF(N2992&lt;=30, "Met", "Breached"))</f>
        <v/>
      </c>
      <c r="P2992" s="8" t="n"/>
      <c r="Q2992" s="8" t="n"/>
      <c r="R2992" s="8" t="n"/>
      <c r="S2992" s="8" t="n"/>
      <c r="T2992" s="8" t="n"/>
      <c r="U2992" s="8" t="n"/>
      <c r="V2992" s="8" t="n"/>
      <c r="W2992" s="8" t="n"/>
      <c r="X2992" s="8" t="n"/>
      <c r="Y2992" s="8" t="n"/>
    </row>
    <row r="2993">
      <c r="A2993" s="8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9">
        <f>B2993+30</f>
        <v/>
      </c>
      <c r="N2993">
        <f>IF(L2993="", "", L2993-B2993)</f>
        <v/>
      </c>
      <c r="O2993">
        <f>IF(L2993="", "Pending", IF(N2993&lt;=30, "Met", "Breached"))</f>
        <v/>
      </c>
      <c r="P2993" s="8" t="n"/>
      <c r="Q2993" s="8" t="n"/>
      <c r="R2993" s="8" t="n"/>
      <c r="S2993" s="8" t="n"/>
      <c r="T2993" s="8" t="n"/>
      <c r="U2993" s="8" t="n"/>
      <c r="V2993" s="8" t="n"/>
      <c r="W2993" s="8" t="n"/>
      <c r="X2993" s="8" t="n"/>
      <c r="Y2993" s="8" t="n"/>
    </row>
    <row r="2994">
      <c r="A2994" s="8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9">
        <f>B2994+30</f>
        <v/>
      </c>
      <c r="N2994">
        <f>IF(L2994="", "", L2994-B2994)</f>
        <v/>
      </c>
      <c r="O2994">
        <f>IF(L2994="", "Pending", IF(N2994&lt;=30, "Met", "Breached"))</f>
        <v/>
      </c>
      <c r="P2994" s="8" t="n"/>
      <c r="Q2994" s="8" t="n"/>
      <c r="R2994" s="8" t="n"/>
      <c r="S2994" s="8" t="n"/>
      <c r="T2994" s="8" t="n"/>
      <c r="U2994" s="8" t="n"/>
      <c r="V2994" s="8" t="n"/>
      <c r="W2994" s="8" t="n"/>
      <c r="X2994" s="8" t="n"/>
      <c r="Y2994" s="8" t="n"/>
    </row>
    <row r="2995">
      <c r="A2995" s="8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9">
        <f>B2995+30</f>
        <v/>
      </c>
      <c r="N2995">
        <f>IF(L2995="", "", L2995-B2995)</f>
        <v/>
      </c>
      <c r="O2995">
        <f>IF(L2995="", "Pending", IF(N2995&lt;=30, "Met", "Breached"))</f>
        <v/>
      </c>
      <c r="P2995" s="8" t="n"/>
      <c r="Q2995" s="8" t="n"/>
      <c r="R2995" s="8" t="n"/>
      <c r="S2995" s="8" t="n"/>
      <c r="T2995" s="8" t="n"/>
      <c r="U2995" s="8" t="n"/>
      <c r="V2995" s="8" t="n"/>
      <c r="W2995" s="8" t="n"/>
      <c r="X2995" s="8" t="n"/>
      <c r="Y2995" s="8" t="n"/>
    </row>
    <row r="2996">
      <c r="A2996" s="8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9">
        <f>B2996+30</f>
        <v/>
      </c>
      <c r="N2996">
        <f>IF(L2996="", "", L2996-B2996)</f>
        <v/>
      </c>
      <c r="O2996">
        <f>IF(L2996="", "Pending", IF(N2996&lt;=30, "Met", "Breached"))</f>
        <v/>
      </c>
      <c r="P2996" s="8" t="n"/>
      <c r="Q2996" s="8" t="n"/>
      <c r="R2996" s="8" t="n"/>
      <c r="S2996" s="8" t="n"/>
      <c r="T2996" s="8" t="n"/>
      <c r="U2996" s="8" t="n"/>
      <c r="V2996" s="8" t="n"/>
      <c r="W2996" s="8" t="n"/>
      <c r="X2996" s="8" t="n"/>
      <c r="Y2996" s="8" t="n"/>
    </row>
    <row r="2997">
      <c r="A2997" s="8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9">
        <f>B2997+30</f>
        <v/>
      </c>
      <c r="N2997">
        <f>IF(L2997="", "", L2997-B2997)</f>
        <v/>
      </c>
      <c r="O2997">
        <f>IF(L2997="", "Pending", IF(N2997&lt;=30, "Met", "Breached"))</f>
        <v/>
      </c>
      <c r="P2997" s="8" t="n"/>
      <c r="Q2997" s="8" t="n"/>
      <c r="R2997" s="8" t="n"/>
      <c r="S2997" s="8" t="n"/>
      <c r="T2997" s="8" t="n"/>
      <c r="U2997" s="8" t="n"/>
      <c r="V2997" s="8" t="n"/>
      <c r="W2997" s="8" t="n"/>
      <c r="X2997" s="8" t="n"/>
      <c r="Y2997" s="8" t="n"/>
    </row>
    <row r="2998">
      <c r="A2998" s="8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9">
        <f>B2998+30</f>
        <v/>
      </c>
      <c r="N2998">
        <f>IF(L2998="", "", L2998-B2998)</f>
        <v/>
      </c>
      <c r="O2998">
        <f>IF(L2998="", "Pending", IF(N2998&lt;=30, "Met", "Breached"))</f>
        <v/>
      </c>
      <c r="P2998" s="8" t="n"/>
      <c r="Q2998" s="8" t="n"/>
      <c r="R2998" s="8" t="n"/>
      <c r="S2998" s="8" t="n"/>
      <c r="T2998" s="8" t="n"/>
      <c r="U2998" s="8" t="n"/>
      <c r="V2998" s="8" t="n"/>
      <c r="W2998" s="8" t="n"/>
      <c r="X2998" s="8" t="n"/>
      <c r="Y2998" s="8" t="n"/>
    </row>
    <row r="2999">
      <c r="A2999" s="8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9">
        <f>B2999+30</f>
        <v/>
      </c>
      <c r="N2999">
        <f>IF(L2999="", "", L2999-B2999)</f>
        <v/>
      </c>
      <c r="O2999">
        <f>IF(L2999="", "Pending", IF(N2999&lt;=30, "Met", "Breached"))</f>
        <v/>
      </c>
      <c r="P2999" s="8" t="n"/>
      <c r="Q2999" s="8" t="n"/>
      <c r="R2999" s="8" t="n"/>
      <c r="S2999" s="8" t="n"/>
      <c r="T2999" s="8" t="n"/>
      <c r="U2999" s="8" t="n"/>
      <c r="V2999" s="8" t="n"/>
      <c r="W2999" s="8" t="n"/>
      <c r="X2999" s="8" t="n"/>
      <c r="Y2999" s="8" t="n"/>
    </row>
    <row r="3000">
      <c r="A3000" s="8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9">
        <f>B3000+30</f>
        <v/>
      </c>
      <c r="N3000">
        <f>IF(L3000="", "", L3000-B3000)</f>
        <v/>
      </c>
      <c r="O3000">
        <f>IF(L3000="", "Pending", IF(N3000&lt;=30, "Met", "Breached"))</f>
        <v/>
      </c>
      <c r="P3000" s="8" t="n"/>
      <c r="Q3000" s="8" t="n"/>
      <c r="R3000" s="8" t="n"/>
      <c r="S3000" s="8" t="n"/>
      <c r="T3000" s="8" t="n"/>
      <c r="U3000" s="8" t="n"/>
      <c r="V3000" s="8" t="n"/>
      <c r="W3000" s="8" t="n"/>
      <c r="X3000" s="8" t="n"/>
      <c r="Y3000" s="8" t="n"/>
    </row>
    <row r="3001">
      <c r="A3001" s="8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9">
        <f>B3001+30</f>
        <v/>
      </c>
      <c r="N3001">
        <f>IF(L3001="", "", L3001-B3001)</f>
        <v/>
      </c>
      <c r="O3001">
        <f>IF(L3001="", "Pending", IF(N3001&lt;=30, "Met", "Breached"))</f>
        <v/>
      </c>
      <c r="P3001" s="8" t="n"/>
      <c r="Q3001" s="8" t="n"/>
      <c r="R3001" s="8" t="n"/>
      <c r="S3001" s="8" t="n"/>
      <c r="T3001" s="8" t="n"/>
      <c r="U3001" s="8" t="n"/>
      <c r="V3001" s="8" t="n"/>
      <c r="W3001" s="8" t="n"/>
      <c r="X3001" s="8" t="n"/>
      <c r="Y3001" s="8" t="n"/>
    </row>
    <row r="3002">
      <c r="A3002" s="8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9">
        <f>B3002+30</f>
        <v/>
      </c>
      <c r="N3002">
        <f>IF(L3002="", "", L3002-B3002)</f>
        <v/>
      </c>
      <c r="O3002">
        <f>IF(L3002="", "Pending", IF(N3002&lt;=30, "Met", "Breached"))</f>
        <v/>
      </c>
      <c r="P3002" s="8" t="n"/>
      <c r="Q3002" s="8" t="n"/>
      <c r="R3002" s="8" t="n"/>
      <c r="S3002" s="8" t="n"/>
      <c r="T3002" s="8" t="n"/>
      <c r="U3002" s="8" t="n"/>
      <c r="V3002" s="8" t="n"/>
      <c r="W3002" s="8" t="n"/>
      <c r="X3002" s="8" t="n"/>
      <c r="Y3002" s="8" t="n"/>
    </row>
    <row r="3003">
      <c r="A3003" s="8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9">
        <f>B3003+30</f>
        <v/>
      </c>
      <c r="N3003">
        <f>IF(L3003="", "", L3003-B3003)</f>
        <v/>
      </c>
      <c r="O3003">
        <f>IF(L3003="", "Pending", IF(N3003&lt;=30, "Met", "Breached"))</f>
        <v/>
      </c>
      <c r="P3003" s="8" t="n"/>
      <c r="Q3003" s="8" t="n"/>
      <c r="R3003" s="8" t="n"/>
      <c r="S3003" s="8" t="n"/>
      <c r="T3003" s="8" t="n"/>
      <c r="U3003" s="8" t="n"/>
      <c r="V3003" s="8" t="n"/>
      <c r="W3003" s="8" t="n"/>
      <c r="X3003" s="8" t="n"/>
      <c r="Y3003" s="8" t="n"/>
    </row>
    <row r="3004">
      <c r="A3004" s="8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9">
        <f>B3004+30</f>
        <v/>
      </c>
      <c r="N3004">
        <f>IF(L3004="", "", L3004-B3004)</f>
        <v/>
      </c>
      <c r="O3004">
        <f>IF(L3004="", "Pending", IF(N3004&lt;=30, "Met", "Breached"))</f>
        <v/>
      </c>
      <c r="P3004" s="8" t="n"/>
      <c r="Q3004" s="8" t="n"/>
      <c r="R3004" s="8" t="n"/>
      <c r="S3004" s="8" t="n"/>
      <c r="T3004" s="8" t="n"/>
      <c r="U3004" s="8" t="n"/>
      <c r="V3004" s="8" t="n"/>
      <c r="W3004" s="8" t="n"/>
      <c r="X3004" s="8" t="n"/>
      <c r="Y3004" s="8" t="n"/>
    </row>
    <row r="3005">
      <c r="A3005" s="8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9">
        <f>B3005+30</f>
        <v/>
      </c>
      <c r="N3005">
        <f>IF(L3005="", "", L3005-B3005)</f>
        <v/>
      </c>
      <c r="O3005">
        <f>IF(L3005="", "Pending", IF(N3005&lt;=30, "Met", "Breached"))</f>
        <v/>
      </c>
      <c r="P3005" s="8" t="n"/>
      <c r="Q3005" s="8" t="n"/>
      <c r="R3005" s="8" t="n"/>
      <c r="S3005" s="8" t="n"/>
      <c r="T3005" s="8" t="n"/>
      <c r="U3005" s="8" t="n"/>
      <c r="V3005" s="8" t="n"/>
      <c r="W3005" s="8" t="n"/>
      <c r="X3005" s="8" t="n"/>
      <c r="Y3005" s="8" t="n"/>
    </row>
    <row r="3006">
      <c r="A3006" s="8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9">
        <f>B3006+30</f>
        <v/>
      </c>
      <c r="N3006">
        <f>IF(L3006="", "", L3006-B3006)</f>
        <v/>
      </c>
      <c r="O3006">
        <f>IF(L3006="", "Pending", IF(N3006&lt;=30, "Met", "Breached"))</f>
        <v/>
      </c>
      <c r="P3006" s="8" t="n"/>
      <c r="Q3006" s="8" t="n"/>
      <c r="R3006" s="8" t="n"/>
      <c r="S3006" s="8" t="n"/>
      <c r="T3006" s="8" t="n"/>
      <c r="U3006" s="8" t="n"/>
      <c r="V3006" s="8" t="n"/>
      <c r="W3006" s="8" t="n"/>
      <c r="X3006" s="8" t="n"/>
      <c r="Y3006" s="8" t="n"/>
    </row>
    <row r="3007">
      <c r="A3007" s="8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9">
        <f>B3007+30</f>
        <v/>
      </c>
      <c r="N3007">
        <f>IF(L3007="", "", L3007-B3007)</f>
        <v/>
      </c>
      <c r="O3007">
        <f>IF(L3007="", "Pending", IF(N3007&lt;=30, "Met", "Breached"))</f>
        <v/>
      </c>
      <c r="P3007" s="8" t="n"/>
      <c r="Q3007" s="8" t="n"/>
      <c r="R3007" s="8" t="n"/>
      <c r="S3007" s="8" t="n"/>
      <c r="T3007" s="8" t="n"/>
      <c r="U3007" s="8" t="n"/>
      <c r="V3007" s="8" t="n"/>
      <c r="W3007" s="8" t="n"/>
      <c r="X3007" s="8" t="n"/>
      <c r="Y3007" s="8" t="n"/>
    </row>
    <row r="3008">
      <c r="A3008" s="8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9">
        <f>B3008+30</f>
        <v/>
      </c>
      <c r="N3008">
        <f>IF(L3008="", "", L3008-B3008)</f>
        <v/>
      </c>
      <c r="O3008">
        <f>IF(L3008="", "Pending", IF(N3008&lt;=30, "Met", "Breached"))</f>
        <v/>
      </c>
      <c r="P3008" s="8" t="n"/>
      <c r="Q3008" s="8" t="n"/>
      <c r="R3008" s="8" t="n"/>
      <c r="S3008" s="8" t="n"/>
      <c r="T3008" s="8" t="n"/>
      <c r="U3008" s="8" t="n"/>
      <c r="V3008" s="8" t="n"/>
      <c r="W3008" s="8" t="n"/>
      <c r="X3008" s="8" t="n"/>
      <c r="Y3008" s="8" t="n"/>
    </row>
    <row r="3009">
      <c r="A3009" s="8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9">
        <f>B3009+30</f>
        <v/>
      </c>
      <c r="N3009">
        <f>IF(L3009="", "", L3009-B3009)</f>
        <v/>
      </c>
      <c r="O3009">
        <f>IF(L3009="", "Pending", IF(N3009&lt;=30, "Met", "Breached"))</f>
        <v/>
      </c>
      <c r="P3009" s="8" t="n"/>
      <c r="Q3009" s="8" t="n"/>
      <c r="R3009" s="8" t="n"/>
      <c r="S3009" s="8" t="n"/>
      <c r="T3009" s="8" t="n"/>
      <c r="U3009" s="8" t="n"/>
      <c r="V3009" s="8" t="n"/>
      <c r="W3009" s="8" t="n"/>
      <c r="X3009" s="8" t="n"/>
      <c r="Y3009" s="8" t="n"/>
    </row>
    <row r="3010">
      <c r="A3010" s="8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9">
        <f>B3010+30</f>
        <v/>
      </c>
      <c r="N3010">
        <f>IF(L3010="", "", L3010-B3010)</f>
        <v/>
      </c>
      <c r="O3010">
        <f>IF(L3010="", "Pending", IF(N3010&lt;=30, "Met", "Breached"))</f>
        <v/>
      </c>
      <c r="P3010" s="8" t="n"/>
      <c r="Q3010" s="8" t="n"/>
      <c r="R3010" s="8" t="n"/>
      <c r="S3010" s="8" t="n"/>
      <c r="T3010" s="8" t="n"/>
      <c r="U3010" s="8" t="n"/>
      <c r="V3010" s="8" t="n"/>
      <c r="W3010" s="8" t="n"/>
      <c r="X3010" s="8" t="n"/>
      <c r="Y3010" s="8" t="n"/>
    </row>
    <row r="3011">
      <c r="A3011" s="8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9">
        <f>B3011+30</f>
        <v/>
      </c>
      <c r="N3011">
        <f>IF(L3011="", "", L3011-B3011)</f>
        <v/>
      </c>
      <c r="O3011">
        <f>IF(L3011="", "Pending", IF(N3011&lt;=30, "Met", "Breached"))</f>
        <v/>
      </c>
      <c r="P3011" s="8" t="n"/>
      <c r="Q3011" s="8" t="n"/>
      <c r="R3011" s="8" t="n"/>
      <c r="S3011" s="8" t="n"/>
      <c r="T3011" s="8" t="n"/>
      <c r="U3011" s="8" t="n"/>
      <c r="V3011" s="8" t="n"/>
      <c r="W3011" s="8" t="n"/>
      <c r="X3011" s="8" t="n"/>
      <c r="Y3011" s="8" t="n"/>
    </row>
    <row r="3012">
      <c r="A3012" s="8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9">
        <f>B3012+30</f>
        <v/>
      </c>
      <c r="N3012">
        <f>IF(L3012="", "", L3012-B3012)</f>
        <v/>
      </c>
      <c r="O3012">
        <f>IF(L3012="", "Pending", IF(N3012&lt;=30, "Met", "Breached"))</f>
        <v/>
      </c>
      <c r="P3012" s="8" t="n"/>
      <c r="Q3012" s="8" t="n"/>
      <c r="R3012" s="8" t="n"/>
      <c r="S3012" s="8" t="n"/>
      <c r="T3012" s="8" t="n"/>
      <c r="U3012" s="8" t="n"/>
      <c r="V3012" s="8" t="n"/>
      <c r="W3012" s="8" t="n"/>
      <c r="X3012" s="8" t="n"/>
      <c r="Y3012" s="8" t="n"/>
    </row>
    <row r="3013">
      <c r="A3013" s="8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9">
        <f>B3013+30</f>
        <v/>
      </c>
      <c r="N3013">
        <f>IF(L3013="", "", L3013-B3013)</f>
        <v/>
      </c>
      <c r="O3013">
        <f>IF(L3013="", "Pending", IF(N3013&lt;=30, "Met", "Breached"))</f>
        <v/>
      </c>
      <c r="P3013" s="8" t="n"/>
      <c r="Q3013" s="8" t="n"/>
      <c r="R3013" s="8" t="n"/>
      <c r="S3013" s="8" t="n"/>
      <c r="T3013" s="8" t="n"/>
      <c r="U3013" s="8" t="n"/>
      <c r="V3013" s="8" t="n"/>
      <c r="W3013" s="8" t="n"/>
      <c r="X3013" s="8" t="n"/>
      <c r="Y3013" s="8" t="n"/>
    </row>
    <row r="3014">
      <c r="A3014" s="8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9">
        <f>B3014+30</f>
        <v/>
      </c>
      <c r="N3014">
        <f>IF(L3014="", "", L3014-B3014)</f>
        <v/>
      </c>
      <c r="O3014">
        <f>IF(L3014="", "Pending", IF(N3014&lt;=30, "Met", "Breached"))</f>
        <v/>
      </c>
      <c r="P3014" s="8" t="n"/>
      <c r="Q3014" s="8" t="n"/>
      <c r="R3014" s="8" t="n"/>
      <c r="S3014" s="8" t="n"/>
      <c r="T3014" s="8" t="n"/>
      <c r="U3014" s="8" t="n"/>
      <c r="V3014" s="8" t="n"/>
      <c r="W3014" s="8" t="n"/>
      <c r="X3014" s="8" t="n"/>
      <c r="Y3014" s="8" t="n"/>
    </row>
    <row r="3015">
      <c r="A3015" s="8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9">
        <f>B3015+30</f>
        <v/>
      </c>
      <c r="N3015">
        <f>IF(L3015="", "", L3015-B3015)</f>
        <v/>
      </c>
      <c r="O3015">
        <f>IF(L3015="", "Pending", IF(N3015&lt;=30, "Met", "Breached"))</f>
        <v/>
      </c>
      <c r="P3015" s="8" t="n"/>
      <c r="Q3015" s="8" t="n"/>
      <c r="R3015" s="8" t="n"/>
      <c r="S3015" s="8" t="n"/>
      <c r="T3015" s="8" t="n"/>
      <c r="U3015" s="8" t="n"/>
      <c r="V3015" s="8" t="n"/>
      <c r="W3015" s="8" t="n"/>
      <c r="X3015" s="8" t="n"/>
      <c r="Y3015" s="8" t="n"/>
    </row>
    <row r="3016">
      <c r="A3016" s="8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9">
        <f>B3016+30</f>
        <v/>
      </c>
      <c r="N3016">
        <f>IF(L3016="", "", L3016-B3016)</f>
        <v/>
      </c>
      <c r="O3016">
        <f>IF(L3016="", "Pending", IF(N3016&lt;=30, "Met", "Breached"))</f>
        <v/>
      </c>
      <c r="P3016" s="8" t="n"/>
      <c r="Q3016" s="8" t="n"/>
      <c r="R3016" s="8" t="n"/>
      <c r="S3016" s="8" t="n"/>
      <c r="T3016" s="8" t="n"/>
      <c r="U3016" s="8" t="n"/>
      <c r="V3016" s="8" t="n"/>
      <c r="W3016" s="8" t="n"/>
      <c r="X3016" s="8" t="n"/>
      <c r="Y3016" s="8" t="n"/>
    </row>
    <row r="3017">
      <c r="A3017" s="8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9">
        <f>B3017+30</f>
        <v/>
      </c>
      <c r="N3017">
        <f>IF(L3017="", "", L3017-B3017)</f>
        <v/>
      </c>
      <c r="O3017">
        <f>IF(L3017="", "Pending", IF(N3017&lt;=30, "Met", "Breached"))</f>
        <v/>
      </c>
      <c r="P3017" s="8" t="n"/>
      <c r="Q3017" s="8" t="n"/>
      <c r="R3017" s="8" t="n"/>
      <c r="S3017" s="8" t="n"/>
      <c r="T3017" s="8" t="n"/>
      <c r="U3017" s="8" t="n"/>
      <c r="V3017" s="8" t="n"/>
      <c r="W3017" s="8" t="n"/>
      <c r="X3017" s="8" t="n"/>
      <c r="Y3017" s="8" t="n"/>
    </row>
    <row r="3018">
      <c r="A3018" s="8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9">
        <f>B3018+30</f>
        <v/>
      </c>
      <c r="N3018">
        <f>IF(L3018="", "", L3018-B3018)</f>
        <v/>
      </c>
      <c r="O3018">
        <f>IF(L3018="", "Pending", IF(N3018&lt;=30, "Met", "Breached"))</f>
        <v/>
      </c>
      <c r="P3018" s="8" t="n"/>
      <c r="Q3018" s="8" t="n"/>
      <c r="R3018" s="8" t="n"/>
      <c r="S3018" s="8" t="n"/>
      <c r="T3018" s="8" t="n"/>
      <c r="U3018" s="8" t="n"/>
      <c r="V3018" s="8" t="n"/>
      <c r="W3018" s="8" t="n"/>
      <c r="X3018" s="8" t="n"/>
      <c r="Y3018" s="8" t="n"/>
    </row>
    <row r="3019">
      <c r="A3019" s="8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9">
        <f>B3019+30</f>
        <v/>
      </c>
      <c r="N3019">
        <f>IF(L3019="", "", L3019-B3019)</f>
        <v/>
      </c>
      <c r="O3019">
        <f>IF(L3019="", "Pending", IF(N3019&lt;=30, "Met", "Breached"))</f>
        <v/>
      </c>
      <c r="P3019" s="8" t="n"/>
      <c r="Q3019" s="8" t="n"/>
      <c r="R3019" s="8" t="n"/>
      <c r="S3019" s="8" t="n"/>
      <c r="T3019" s="8" t="n"/>
      <c r="U3019" s="8" t="n"/>
      <c r="V3019" s="8" t="n"/>
      <c r="W3019" s="8" t="n"/>
      <c r="X3019" s="8" t="n"/>
      <c r="Y3019" s="8" t="n"/>
    </row>
    <row r="3020">
      <c r="A3020" s="8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9">
        <f>B3020+30</f>
        <v/>
      </c>
      <c r="N3020">
        <f>IF(L3020="", "", L3020-B3020)</f>
        <v/>
      </c>
      <c r="O3020">
        <f>IF(L3020="", "Pending", IF(N3020&lt;=30, "Met", "Breached"))</f>
        <v/>
      </c>
      <c r="P3020" s="8" t="n"/>
      <c r="Q3020" s="8" t="n"/>
      <c r="R3020" s="8" t="n"/>
      <c r="S3020" s="8" t="n"/>
      <c r="T3020" s="8" t="n"/>
      <c r="U3020" s="8" t="n"/>
      <c r="V3020" s="8" t="n"/>
      <c r="W3020" s="8" t="n"/>
      <c r="X3020" s="8" t="n"/>
      <c r="Y3020" s="8" t="n"/>
    </row>
    <row r="3021">
      <c r="A3021" s="8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9">
        <f>B3021+30</f>
        <v/>
      </c>
      <c r="N3021">
        <f>IF(L3021="", "", L3021-B3021)</f>
        <v/>
      </c>
      <c r="O3021">
        <f>IF(L3021="", "Pending", IF(N3021&lt;=30, "Met", "Breached"))</f>
        <v/>
      </c>
      <c r="P3021" s="8" t="n"/>
      <c r="Q3021" s="8" t="n"/>
      <c r="R3021" s="8" t="n"/>
      <c r="S3021" s="8" t="n"/>
      <c r="T3021" s="8" t="n"/>
      <c r="U3021" s="8" t="n"/>
      <c r="V3021" s="8" t="n"/>
      <c r="W3021" s="8" t="n"/>
      <c r="X3021" s="8" t="n"/>
      <c r="Y3021" s="8" t="n"/>
    </row>
    <row r="3022">
      <c r="A3022" s="8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9">
        <f>B3022+30</f>
        <v/>
      </c>
      <c r="N3022">
        <f>IF(L3022="", "", L3022-B3022)</f>
        <v/>
      </c>
      <c r="O3022">
        <f>IF(L3022="", "Pending", IF(N3022&lt;=30, "Met", "Breached"))</f>
        <v/>
      </c>
      <c r="P3022" s="8" t="n"/>
      <c r="Q3022" s="8" t="n"/>
      <c r="R3022" s="8" t="n"/>
      <c r="S3022" s="8" t="n"/>
      <c r="T3022" s="8" t="n"/>
      <c r="U3022" s="8" t="n"/>
      <c r="V3022" s="8" t="n"/>
      <c r="W3022" s="8" t="n"/>
      <c r="X3022" s="8" t="n"/>
      <c r="Y3022" s="8" t="n"/>
    </row>
    <row r="3023">
      <c r="A3023" s="8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9">
        <f>B3023+30</f>
        <v/>
      </c>
      <c r="N3023">
        <f>IF(L3023="", "", L3023-B3023)</f>
        <v/>
      </c>
      <c r="O3023">
        <f>IF(L3023="", "Pending", IF(N3023&lt;=30, "Met", "Breached"))</f>
        <v/>
      </c>
      <c r="P3023" s="8" t="n"/>
      <c r="Q3023" s="8" t="n"/>
      <c r="R3023" s="8" t="n"/>
      <c r="S3023" s="8" t="n"/>
      <c r="T3023" s="8" t="n"/>
      <c r="U3023" s="8" t="n"/>
      <c r="V3023" s="8" t="n"/>
      <c r="W3023" s="8" t="n"/>
      <c r="X3023" s="8" t="n"/>
      <c r="Y3023" s="8" t="n"/>
    </row>
    <row r="3024">
      <c r="A3024" s="8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9">
        <f>B3024+30</f>
        <v/>
      </c>
      <c r="N3024">
        <f>IF(L3024="", "", L3024-B3024)</f>
        <v/>
      </c>
      <c r="O3024">
        <f>IF(L3024="", "Pending", IF(N3024&lt;=30, "Met", "Breached"))</f>
        <v/>
      </c>
      <c r="P3024" s="8" t="n"/>
      <c r="Q3024" s="8" t="n"/>
      <c r="R3024" s="8" t="n"/>
      <c r="S3024" s="8" t="n"/>
      <c r="T3024" s="8" t="n"/>
      <c r="U3024" s="8" t="n"/>
      <c r="V3024" s="8" t="n"/>
      <c r="W3024" s="8" t="n"/>
      <c r="X3024" s="8" t="n"/>
      <c r="Y3024" s="8" t="n"/>
    </row>
    <row r="3025">
      <c r="A3025" s="8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9">
        <f>B3025+30</f>
        <v/>
      </c>
      <c r="N3025">
        <f>IF(L3025="", "", L3025-B3025)</f>
        <v/>
      </c>
      <c r="O3025">
        <f>IF(L3025="", "Pending", IF(N3025&lt;=30, "Met", "Breached"))</f>
        <v/>
      </c>
      <c r="P3025" s="8" t="n"/>
      <c r="Q3025" s="8" t="n"/>
      <c r="R3025" s="8" t="n"/>
      <c r="S3025" s="8" t="n"/>
      <c r="T3025" s="8" t="n"/>
      <c r="U3025" s="8" t="n"/>
      <c r="V3025" s="8" t="n"/>
      <c r="W3025" s="8" t="n"/>
      <c r="X3025" s="8" t="n"/>
      <c r="Y3025" s="8" t="n"/>
    </row>
    <row r="3026">
      <c r="A3026" s="8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9">
        <f>B3026+30</f>
        <v/>
      </c>
      <c r="N3026">
        <f>IF(L3026="", "", L3026-B3026)</f>
        <v/>
      </c>
      <c r="O3026">
        <f>IF(L3026="", "Pending", IF(N3026&lt;=30, "Met", "Breached"))</f>
        <v/>
      </c>
      <c r="P3026" s="8" t="n"/>
      <c r="Q3026" s="8" t="n"/>
      <c r="R3026" s="8" t="n"/>
      <c r="S3026" s="8" t="n"/>
      <c r="T3026" s="8" t="n"/>
      <c r="U3026" s="8" t="n"/>
      <c r="V3026" s="8" t="n"/>
      <c r="W3026" s="8" t="n"/>
      <c r="X3026" s="8" t="n"/>
      <c r="Y3026" s="8" t="n"/>
    </row>
    <row r="3027">
      <c r="A3027" s="8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9">
        <f>B3027+30</f>
        <v/>
      </c>
      <c r="N3027">
        <f>IF(L3027="", "", L3027-B3027)</f>
        <v/>
      </c>
      <c r="O3027">
        <f>IF(L3027="", "Pending", IF(N3027&lt;=30, "Met", "Breached"))</f>
        <v/>
      </c>
      <c r="P3027" s="8" t="n"/>
      <c r="Q3027" s="8" t="n"/>
      <c r="R3027" s="8" t="n"/>
      <c r="S3027" s="8" t="n"/>
      <c r="T3027" s="8" t="n"/>
      <c r="U3027" s="8" t="n"/>
      <c r="V3027" s="8" t="n"/>
      <c r="W3027" s="8" t="n"/>
      <c r="X3027" s="8" t="n"/>
      <c r="Y3027" s="8" t="n"/>
    </row>
    <row r="3028">
      <c r="A3028" s="8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9">
        <f>B3028+30</f>
        <v/>
      </c>
      <c r="N3028">
        <f>IF(L3028="", "", L3028-B3028)</f>
        <v/>
      </c>
      <c r="O3028">
        <f>IF(L3028="", "Pending", IF(N3028&lt;=30, "Met", "Breached"))</f>
        <v/>
      </c>
      <c r="P3028" s="8" t="n"/>
      <c r="Q3028" s="8" t="n"/>
      <c r="R3028" s="8" t="n"/>
      <c r="S3028" s="8" t="n"/>
      <c r="T3028" s="8" t="n"/>
      <c r="U3028" s="8" t="n"/>
      <c r="V3028" s="8" t="n"/>
      <c r="W3028" s="8" t="n"/>
      <c r="X3028" s="8" t="n"/>
      <c r="Y3028" s="8" t="n"/>
    </row>
    <row r="3029">
      <c r="A3029" s="8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9">
        <f>B3029+30</f>
        <v/>
      </c>
      <c r="N3029">
        <f>IF(L3029="", "", L3029-B3029)</f>
        <v/>
      </c>
      <c r="O3029">
        <f>IF(L3029="", "Pending", IF(N3029&lt;=30, "Met", "Breached"))</f>
        <v/>
      </c>
      <c r="P3029" s="8" t="n"/>
      <c r="Q3029" s="8" t="n"/>
      <c r="R3029" s="8" t="n"/>
      <c r="S3029" s="8" t="n"/>
      <c r="T3029" s="8" t="n"/>
      <c r="U3029" s="8" t="n"/>
      <c r="V3029" s="8" t="n"/>
      <c r="W3029" s="8" t="n"/>
      <c r="X3029" s="8" t="n"/>
      <c r="Y3029" s="8" t="n"/>
    </row>
    <row r="3030">
      <c r="A3030" s="8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9">
        <f>B3030+30</f>
        <v/>
      </c>
      <c r="N3030">
        <f>IF(L3030="", "", L3030-B3030)</f>
        <v/>
      </c>
      <c r="O3030">
        <f>IF(L3030="", "Pending", IF(N3030&lt;=30, "Met", "Breached"))</f>
        <v/>
      </c>
      <c r="P3030" s="8" t="n"/>
      <c r="Q3030" s="8" t="n"/>
      <c r="R3030" s="8" t="n"/>
      <c r="S3030" s="8" t="n"/>
      <c r="T3030" s="8" t="n"/>
      <c r="U3030" s="8" t="n"/>
      <c r="V3030" s="8" t="n"/>
      <c r="W3030" s="8" t="n"/>
      <c r="X3030" s="8" t="n"/>
      <c r="Y3030" s="8" t="n"/>
    </row>
    <row r="3031">
      <c r="A3031" s="8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9">
        <f>B3031+30</f>
        <v/>
      </c>
      <c r="N3031">
        <f>IF(L3031="", "", L3031-B3031)</f>
        <v/>
      </c>
      <c r="O3031">
        <f>IF(L3031="", "Pending", IF(N3031&lt;=30, "Met", "Breached"))</f>
        <v/>
      </c>
      <c r="P3031" s="8" t="n"/>
      <c r="Q3031" s="8" t="n"/>
      <c r="R3031" s="8" t="n"/>
      <c r="S3031" s="8" t="n"/>
      <c r="T3031" s="8" t="n"/>
      <c r="U3031" s="8" t="n"/>
      <c r="V3031" s="8" t="n"/>
      <c r="W3031" s="8" t="n"/>
      <c r="X3031" s="8" t="n"/>
      <c r="Y3031" s="8" t="n"/>
    </row>
    <row r="3032">
      <c r="A3032" s="8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9">
        <f>B3032+30</f>
        <v/>
      </c>
      <c r="N3032">
        <f>IF(L3032="", "", L3032-B3032)</f>
        <v/>
      </c>
      <c r="O3032">
        <f>IF(L3032="", "Pending", IF(N3032&lt;=30, "Met", "Breached"))</f>
        <v/>
      </c>
      <c r="P3032" s="8" t="n"/>
      <c r="Q3032" s="8" t="n"/>
      <c r="R3032" s="8" t="n"/>
      <c r="S3032" s="8" t="n"/>
      <c r="T3032" s="8" t="n"/>
      <c r="U3032" s="8" t="n"/>
      <c r="V3032" s="8" t="n"/>
      <c r="W3032" s="8" t="n"/>
      <c r="X3032" s="8" t="n"/>
      <c r="Y3032" s="8" t="n"/>
    </row>
    <row r="3033">
      <c r="A3033" s="8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9">
        <f>B3033+30</f>
        <v/>
      </c>
      <c r="N3033">
        <f>IF(L3033="", "", L3033-B3033)</f>
        <v/>
      </c>
      <c r="O3033">
        <f>IF(L3033="", "Pending", IF(N3033&lt;=30, "Met", "Breached"))</f>
        <v/>
      </c>
      <c r="P3033" s="8" t="n"/>
      <c r="Q3033" s="8" t="n"/>
      <c r="R3033" s="8" t="n"/>
      <c r="S3033" s="8" t="n"/>
      <c r="T3033" s="8" t="n"/>
      <c r="U3033" s="8" t="n"/>
      <c r="V3033" s="8" t="n"/>
      <c r="W3033" s="8" t="n"/>
      <c r="X3033" s="8" t="n"/>
      <c r="Y3033" s="8" t="n"/>
    </row>
    <row r="3034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9">
        <f>B3034+30</f>
        <v/>
      </c>
      <c r="N3034">
        <f>IF(L3034="", "", L3034-B3034)</f>
        <v/>
      </c>
      <c r="O3034">
        <f>IF(L3034="", "Pending", IF(N3034&lt;=30, "Met", "Breached"))</f>
        <v/>
      </c>
      <c r="P3034" s="8" t="n"/>
      <c r="Q3034" s="8" t="n"/>
      <c r="R3034" s="8" t="n"/>
      <c r="S3034" s="8" t="n"/>
      <c r="T3034" s="8" t="n"/>
      <c r="U3034" s="8" t="n"/>
      <c r="V3034" s="8" t="n"/>
      <c r="W3034" s="8" t="n"/>
      <c r="X3034" s="8" t="n"/>
      <c r="Y3034" s="8" t="n"/>
    </row>
    <row r="3035">
      <c r="A3035" s="8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9">
        <f>B3035+30</f>
        <v/>
      </c>
      <c r="N3035">
        <f>IF(L3035="", "", L3035-B3035)</f>
        <v/>
      </c>
      <c r="O3035">
        <f>IF(L3035="", "Pending", IF(N3035&lt;=30, "Met", "Breached"))</f>
        <v/>
      </c>
      <c r="P3035" s="8" t="n"/>
      <c r="Q3035" s="8" t="n"/>
      <c r="R3035" s="8" t="n"/>
      <c r="S3035" s="8" t="n"/>
      <c r="T3035" s="8" t="n"/>
      <c r="U3035" s="8" t="n"/>
      <c r="V3035" s="8" t="n"/>
      <c r="W3035" s="8" t="n"/>
      <c r="X3035" s="8" t="n"/>
      <c r="Y3035" s="8" t="n"/>
    </row>
    <row r="3036">
      <c r="A3036" s="8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9">
        <f>B3036+30</f>
        <v/>
      </c>
      <c r="N3036">
        <f>IF(L3036="", "", L3036-B3036)</f>
        <v/>
      </c>
      <c r="O3036">
        <f>IF(L3036="", "Pending", IF(N3036&lt;=30, "Met", "Breached"))</f>
        <v/>
      </c>
      <c r="P3036" s="8" t="n"/>
      <c r="Q3036" s="8" t="n"/>
      <c r="R3036" s="8" t="n"/>
      <c r="S3036" s="8" t="n"/>
      <c r="T3036" s="8" t="n"/>
      <c r="U3036" s="8" t="n"/>
      <c r="V3036" s="8" t="n"/>
      <c r="W3036" s="8" t="n"/>
      <c r="X3036" s="8" t="n"/>
      <c r="Y3036" s="8" t="n"/>
    </row>
    <row r="3037">
      <c r="A3037" s="8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9">
        <f>B3037+30</f>
        <v/>
      </c>
      <c r="N3037">
        <f>IF(L3037="", "", L3037-B3037)</f>
        <v/>
      </c>
      <c r="O3037">
        <f>IF(L3037="", "Pending", IF(N3037&lt;=30, "Met", "Breached"))</f>
        <v/>
      </c>
      <c r="P3037" s="8" t="n"/>
      <c r="Q3037" s="8" t="n"/>
      <c r="R3037" s="8" t="n"/>
      <c r="S3037" s="8" t="n"/>
      <c r="T3037" s="8" t="n"/>
      <c r="U3037" s="8" t="n"/>
      <c r="V3037" s="8" t="n"/>
      <c r="W3037" s="8" t="n"/>
      <c r="X3037" s="8" t="n"/>
      <c r="Y3037" s="8" t="n"/>
    </row>
    <row r="3038">
      <c r="A3038" s="8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9">
        <f>B3038+30</f>
        <v/>
      </c>
      <c r="N3038">
        <f>IF(L3038="", "", L3038-B3038)</f>
        <v/>
      </c>
      <c r="O3038">
        <f>IF(L3038="", "Pending", IF(N3038&lt;=30, "Met", "Breached"))</f>
        <v/>
      </c>
      <c r="P3038" s="8" t="n"/>
      <c r="Q3038" s="8" t="n"/>
      <c r="R3038" s="8" t="n"/>
      <c r="S3038" s="8" t="n"/>
      <c r="T3038" s="8" t="n"/>
      <c r="U3038" s="8" t="n"/>
      <c r="V3038" s="8" t="n"/>
      <c r="W3038" s="8" t="n"/>
      <c r="X3038" s="8" t="n"/>
      <c r="Y3038" s="8" t="n"/>
    </row>
    <row r="3039">
      <c r="A3039" s="8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9">
        <f>B3039+30</f>
        <v/>
      </c>
      <c r="N3039">
        <f>IF(L3039="", "", L3039-B3039)</f>
        <v/>
      </c>
      <c r="O3039">
        <f>IF(L3039="", "Pending", IF(N3039&lt;=30, "Met", "Breached"))</f>
        <v/>
      </c>
      <c r="P3039" s="8" t="n"/>
      <c r="Q3039" s="8" t="n"/>
      <c r="R3039" s="8" t="n"/>
      <c r="S3039" s="8" t="n"/>
      <c r="T3039" s="8" t="n"/>
      <c r="U3039" s="8" t="n"/>
      <c r="V3039" s="8" t="n"/>
      <c r="W3039" s="8" t="n"/>
      <c r="X3039" s="8" t="n"/>
      <c r="Y3039" s="8" t="n"/>
    </row>
    <row r="3040">
      <c r="A3040" s="8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9">
        <f>B3040+30</f>
        <v/>
      </c>
      <c r="N3040">
        <f>IF(L3040="", "", L3040-B3040)</f>
        <v/>
      </c>
      <c r="O3040">
        <f>IF(L3040="", "Pending", IF(N3040&lt;=30, "Met", "Breached"))</f>
        <v/>
      </c>
      <c r="P3040" s="8" t="n"/>
      <c r="Q3040" s="8" t="n"/>
      <c r="R3040" s="8" t="n"/>
      <c r="S3040" s="8" t="n"/>
      <c r="T3040" s="8" t="n"/>
      <c r="U3040" s="8" t="n"/>
      <c r="V3040" s="8" t="n"/>
      <c r="W3040" s="8" t="n"/>
      <c r="X3040" s="8" t="n"/>
      <c r="Y3040" s="8" t="n"/>
    </row>
    <row r="3041">
      <c r="A3041" s="8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9">
        <f>B3041+30</f>
        <v/>
      </c>
      <c r="N3041">
        <f>IF(L3041="", "", L3041-B3041)</f>
        <v/>
      </c>
      <c r="O3041">
        <f>IF(L3041="", "Pending", IF(N3041&lt;=30, "Met", "Breached"))</f>
        <v/>
      </c>
      <c r="P3041" s="8" t="n"/>
      <c r="Q3041" s="8" t="n"/>
      <c r="R3041" s="8" t="n"/>
      <c r="S3041" s="8" t="n"/>
      <c r="T3041" s="8" t="n"/>
      <c r="U3041" s="8" t="n"/>
      <c r="V3041" s="8" t="n"/>
      <c r="W3041" s="8" t="n"/>
      <c r="X3041" s="8" t="n"/>
      <c r="Y3041" s="8" t="n"/>
    </row>
    <row r="3042">
      <c r="A3042" s="8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9">
        <f>B3042+30</f>
        <v/>
      </c>
      <c r="N3042">
        <f>IF(L3042="", "", L3042-B3042)</f>
        <v/>
      </c>
      <c r="O3042">
        <f>IF(L3042="", "Pending", IF(N3042&lt;=30, "Met", "Breached"))</f>
        <v/>
      </c>
      <c r="P3042" s="8" t="n"/>
      <c r="Q3042" s="8" t="n"/>
      <c r="R3042" s="8" t="n"/>
      <c r="S3042" s="8" t="n"/>
      <c r="T3042" s="8" t="n"/>
      <c r="U3042" s="8" t="n"/>
      <c r="V3042" s="8" t="n"/>
      <c r="W3042" s="8" t="n"/>
      <c r="X3042" s="8" t="n"/>
      <c r="Y3042" s="8" t="n"/>
    </row>
    <row r="3043">
      <c r="A3043" s="8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9">
        <f>B3043+30</f>
        <v/>
      </c>
      <c r="N3043">
        <f>IF(L3043="", "", L3043-B3043)</f>
        <v/>
      </c>
      <c r="O3043">
        <f>IF(L3043="", "Pending", IF(N3043&lt;=30, "Met", "Breached"))</f>
        <v/>
      </c>
      <c r="P3043" s="8" t="n"/>
      <c r="Q3043" s="8" t="n"/>
      <c r="R3043" s="8" t="n"/>
      <c r="S3043" s="8" t="n"/>
      <c r="T3043" s="8" t="n"/>
      <c r="U3043" s="8" t="n"/>
      <c r="V3043" s="8" t="n"/>
      <c r="W3043" s="8" t="n"/>
      <c r="X3043" s="8" t="n"/>
      <c r="Y3043" s="8" t="n"/>
    </row>
    <row r="3044">
      <c r="A3044" s="8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9">
        <f>B3044+30</f>
        <v/>
      </c>
      <c r="N3044">
        <f>IF(L3044="", "", L3044-B3044)</f>
        <v/>
      </c>
      <c r="O3044">
        <f>IF(L3044="", "Pending", IF(N3044&lt;=30, "Met", "Breached"))</f>
        <v/>
      </c>
      <c r="P3044" s="8" t="n"/>
      <c r="Q3044" s="8" t="n"/>
      <c r="R3044" s="8" t="n"/>
      <c r="S3044" s="8" t="n"/>
      <c r="T3044" s="8" t="n"/>
      <c r="U3044" s="8" t="n"/>
      <c r="V3044" s="8" t="n"/>
      <c r="W3044" s="8" t="n"/>
      <c r="X3044" s="8" t="n"/>
      <c r="Y3044" s="8" t="n"/>
    </row>
    <row r="3045">
      <c r="A3045" s="8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9">
        <f>B3045+30</f>
        <v/>
      </c>
      <c r="N3045">
        <f>IF(L3045="", "", L3045-B3045)</f>
        <v/>
      </c>
      <c r="O3045">
        <f>IF(L3045="", "Pending", IF(N3045&lt;=30, "Met", "Breached"))</f>
        <v/>
      </c>
      <c r="P3045" s="8" t="n"/>
      <c r="Q3045" s="8" t="n"/>
      <c r="R3045" s="8" t="n"/>
      <c r="S3045" s="8" t="n"/>
      <c r="T3045" s="8" t="n"/>
      <c r="U3045" s="8" t="n"/>
      <c r="V3045" s="8" t="n"/>
      <c r="W3045" s="8" t="n"/>
      <c r="X3045" s="8" t="n"/>
      <c r="Y3045" s="8" t="n"/>
    </row>
    <row r="3046">
      <c r="A3046" s="8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9">
        <f>B3046+30</f>
        <v/>
      </c>
      <c r="N3046">
        <f>IF(L3046="", "", L3046-B3046)</f>
        <v/>
      </c>
      <c r="O3046">
        <f>IF(L3046="", "Pending", IF(N3046&lt;=30, "Met", "Breached"))</f>
        <v/>
      </c>
      <c r="P3046" s="8" t="n"/>
      <c r="Q3046" s="8" t="n"/>
      <c r="R3046" s="8" t="n"/>
      <c r="S3046" s="8" t="n"/>
      <c r="T3046" s="8" t="n"/>
      <c r="U3046" s="8" t="n"/>
      <c r="V3046" s="8" t="n"/>
      <c r="W3046" s="8" t="n"/>
      <c r="X3046" s="8" t="n"/>
      <c r="Y3046" s="8" t="n"/>
    </row>
    <row r="3047">
      <c r="A3047" s="8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9">
        <f>B3047+30</f>
        <v/>
      </c>
      <c r="N3047">
        <f>IF(L3047="", "", L3047-B3047)</f>
        <v/>
      </c>
      <c r="O3047">
        <f>IF(L3047="", "Pending", IF(N3047&lt;=30, "Met", "Breached"))</f>
        <v/>
      </c>
      <c r="P3047" s="8" t="n"/>
      <c r="Q3047" s="8" t="n"/>
      <c r="R3047" s="8" t="n"/>
      <c r="S3047" s="8" t="n"/>
      <c r="T3047" s="8" t="n"/>
      <c r="U3047" s="8" t="n"/>
      <c r="V3047" s="8" t="n"/>
      <c r="W3047" s="8" t="n"/>
      <c r="X3047" s="8" t="n"/>
      <c r="Y3047" s="8" t="n"/>
    </row>
    <row r="3048">
      <c r="A3048" s="8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9">
        <f>B3048+30</f>
        <v/>
      </c>
      <c r="N3048">
        <f>IF(L3048="", "", L3048-B3048)</f>
        <v/>
      </c>
      <c r="O3048">
        <f>IF(L3048="", "Pending", IF(N3048&lt;=30, "Met", "Breached"))</f>
        <v/>
      </c>
      <c r="P3048" s="8" t="n"/>
      <c r="Q3048" s="8" t="n"/>
      <c r="R3048" s="8" t="n"/>
      <c r="S3048" s="8" t="n"/>
      <c r="T3048" s="8" t="n"/>
      <c r="U3048" s="8" t="n"/>
      <c r="V3048" s="8" t="n"/>
      <c r="W3048" s="8" t="n"/>
      <c r="X3048" s="8" t="n"/>
      <c r="Y3048" s="8" t="n"/>
    </row>
    <row r="3049">
      <c r="A3049" s="8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9">
        <f>B3049+30</f>
        <v/>
      </c>
      <c r="N3049">
        <f>IF(L3049="", "", L3049-B3049)</f>
        <v/>
      </c>
      <c r="O3049">
        <f>IF(L3049="", "Pending", IF(N3049&lt;=30, "Met", "Breached"))</f>
        <v/>
      </c>
      <c r="P3049" s="8" t="n"/>
      <c r="Q3049" s="8" t="n"/>
      <c r="R3049" s="8" t="n"/>
      <c r="S3049" s="8" t="n"/>
      <c r="T3049" s="8" t="n"/>
      <c r="U3049" s="8" t="n"/>
      <c r="V3049" s="8" t="n"/>
      <c r="W3049" s="8" t="n"/>
      <c r="X3049" s="8" t="n"/>
      <c r="Y3049" s="8" t="n"/>
    </row>
    <row r="3050">
      <c r="A3050" s="8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9">
        <f>B3050+30</f>
        <v/>
      </c>
      <c r="N3050">
        <f>IF(L3050="", "", L3050-B3050)</f>
        <v/>
      </c>
      <c r="O3050">
        <f>IF(L3050="", "Pending", IF(N3050&lt;=30, "Met", "Breached"))</f>
        <v/>
      </c>
      <c r="P3050" s="8" t="n"/>
      <c r="Q3050" s="8" t="n"/>
      <c r="R3050" s="8" t="n"/>
      <c r="S3050" s="8" t="n"/>
      <c r="T3050" s="8" t="n"/>
      <c r="U3050" s="8" t="n"/>
      <c r="V3050" s="8" t="n"/>
      <c r="W3050" s="8" t="n"/>
      <c r="X3050" s="8" t="n"/>
      <c r="Y3050" s="8" t="n"/>
    </row>
    <row r="3051">
      <c r="A3051" s="8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9">
        <f>B3051+30</f>
        <v/>
      </c>
      <c r="N3051">
        <f>IF(L3051="", "", L3051-B3051)</f>
        <v/>
      </c>
      <c r="O3051">
        <f>IF(L3051="", "Pending", IF(N3051&lt;=30, "Met", "Breached"))</f>
        <v/>
      </c>
      <c r="P3051" s="8" t="n"/>
      <c r="Q3051" s="8" t="n"/>
      <c r="R3051" s="8" t="n"/>
      <c r="S3051" s="8" t="n"/>
      <c r="T3051" s="8" t="n"/>
      <c r="U3051" s="8" t="n"/>
      <c r="V3051" s="8" t="n"/>
      <c r="W3051" s="8" t="n"/>
      <c r="X3051" s="8" t="n"/>
      <c r="Y3051" s="8" t="n"/>
    </row>
    <row r="3052">
      <c r="A3052" s="8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9">
        <f>B3052+30</f>
        <v/>
      </c>
      <c r="N3052">
        <f>IF(L3052="", "", L3052-B3052)</f>
        <v/>
      </c>
      <c r="O3052">
        <f>IF(L3052="", "Pending", IF(N3052&lt;=30, "Met", "Breached"))</f>
        <v/>
      </c>
      <c r="P3052" s="8" t="n"/>
      <c r="Q3052" s="8" t="n"/>
      <c r="R3052" s="8" t="n"/>
      <c r="S3052" s="8" t="n"/>
      <c r="T3052" s="8" t="n"/>
      <c r="U3052" s="8" t="n"/>
      <c r="V3052" s="8" t="n"/>
      <c r="W3052" s="8" t="n"/>
      <c r="X3052" s="8" t="n"/>
      <c r="Y3052" s="8" t="n"/>
    </row>
    <row r="3053">
      <c r="A3053" s="8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9">
        <f>B3053+30</f>
        <v/>
      </c>
      <c r="N3053">
        <f>IF(L3053="", "", L3053-B3053)</f>
        <v/>
      </c>
      <c r="O3053">
        <f>IF(L3053="", "Pending", IF(N3053&lt;=30, "Met", "Breached"))</f>
        <v/>
      </c>
      <c r="P3053" s="8" t="n"/>
      <c r="Q3053" s="8" t="n"/>
      <c r="R3053" s="8" t="n"/>
      <c r="S3053" s="8" t="n"/>
      <c r="T3053" s="8" t="n"/>
      <c r="U3053" s="8" t="n"/>
      <c r="V3053" s="8" t="n"/>
      <c r="W3053" s="8" t="n"/>
      <c r="X3053" s="8" t="n"/>
      <c r="Y3053" s="8" t="n"/>
    </row>
    <row r="3054">
      <c r="A3054" s="8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9">
        <f>B3054+30</f>
        <v/>
      </c>
      <c r="N3054">
        <f>IF(L3054="", "", L3054-B3054)</f>
        <v/>
      </c>
      <c r="O3054">
        <f>IF(L3054="", "Pending", IF(N3054&lt;=30, "Met", "Breached"))</f>
        <v/>
      </c>
      <c r="P3054" s="8" t="n"/>
      <c r="Q3054" s="8" t="n"/>
      <c r="R3054" s="8" t="n"/>
      <c r="S3054" s="8" t="n"/>
      <c r="T3054" s="8" t="n"/>
      <c r="U3054" s="8" t="n"/>
      <c r="V3054" s="8" t="n"/>
      <c r="W3054" s="8" t="n"/>
      <c r="X3054" s="8" t="n"/>
      <c r="Y3054" s="8" t="n"/>
    </row>
    <row r="3055">
      <c r="A3055" s="8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9">
        <f>B3055+30</f>
        <v/>
      </c>
      <c r="N3055">
        <f>IF(L3055="", "", L3055-B3055)</f>
        <v/>
      </c>
      <c r="O3055">
        <f>IF(L3055="", "Pending", IF(N3055&lt;=30, "Met", "Breached"))</f>
        <v/>
      </c>
      <c r="P3055" s="8" t="n"/>
      <c r="Q3055" s="8" t="n"/>
      <c r="R3055" s="8" t="n"/>
      <c r="S3055" s="8" t="n"/>
      <c r="T3055" s="8" t="n"/>
      <c r="U3055" s="8" t="n"/>
      <c r="V3055" s="8" t="n"/>
      <c r="W3055" s="8" t="n"/>
      <c r="X3055" s="8" t="n"/>
      <c r="Y3055" s="8" t="n"/>
    </row>
    <row r="3056">
      <c r="A3056" s="8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9">
        <f>B3056+30</f>
        <v/>
      </c>
      <c r="N3056">
        <f>IF(L3056="", "", L3056-B3056)</f>
        <v/>
      </c>
      <c r="O3056">
        <f>IF(L3056="", "Pending", IF(N3056&lt;=30, "Met", "Breached"))</f>
        <v/>
      </c>
      <c r="P3056" s="8" t="n"/>
      <c r="Q3056" s="8" t="n"/>
      <c r="R3056" s="8" t="n"/>
      <c r="S3056" s="8" t="n"/>
      <c r="T3056" s="8" t="n"/>
      <c r="U3056" s="8" t="n"/>
      <c r="V3056" s="8" t="n"/>
      <c r="W3056" s="8" t="n"/>
      <c r="X3056" s="8" t="n"/>
      <c r="Y3056" s="8" t="n"/>
    </row>
    <row r="3057">
      <c r="A3057" s="8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9">
        <f>B3057+30</f>
        <v/>
      </c>
      <c r="N3057">
        <f>IF(L3057="", "", L3057-B3057)</f>
        <v/>
      </c>
      <c r="O3057">
        <f>IF(L3057="", "Pending", IF(N3057&lt;=30, "Met", "Breached"))</f>
        <v/>
      </c>
      <c r="P3057" s="8" t="n"/>
      <c r="Q3057" s="8" t="n"/>
      <c r="R3057" s="8" t="n"/>
      <c r="S3057" s="8" t="n"/>
      <c r="T3057" s="8" t="n"/>
      <c r="U3057" s="8" t="n"/>
      <c r="V3057" s="8" t="n"/>
      <c r="W3057" s="8" t="n"/>
      <c r="X3057" s="8" t="n"/>
      <c r="Y3057" s="8" t="n"/>
    </row>
    <row r="3058">
      <c r="A3058" s="8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9">
        <f>B3058+30</f>
        <v/>
      </c>
      <c r="N3058">
        <f>IF(L3058="", "", L3058-B3058)</f>
        <v/>
      </c>
      <c r="O3058">
        <f>IF(L3058="", "Pending", IF(N3058&lt;=30, "Met", "Breached"))</f>
        <v/>
      </c>
      <c r="P3058" s="8" t="n"/>
      <c r="Q3058" s="8" t="n"/>
      <c r="R3058" s="8" t="n"/>
      <c r="S3058" s="8" t="n"/>
      <c r="T3058" s="8" t="n"/>
      <c r="U3058" s="8" t="n"/>
      <c r="V3058" s="8" t="n"/>
      <c r="W3058" s="8" t="n"/>
      <c r="X3058" s="8" t="n"/>
      <c r="Y3058" s="8" t="n"/>
    </row>
    <row r="3059">
      <c r="A3059" s="8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9">
        <f>B3059+30</f>
        <v/>
      </c>
      <c r="N3059">
        <f>IF(L3059="", "", L3059-B3059)</f>
        <v/>
      </c>
      <c r="O3059">
        <f>IF(L3059="", "Pending", IF(N3059&lt;=30, "Met", "Breached"))</f>
        <v/>
      </c>
      <c r="P3059" s="8" t="n"/>
      <c r="Q3059" s="8" t="n"/>
      <c r="R3059" s="8" t="n"/>
      <c r="S3059" s="8" t="n"/>
      <c r="T3059" s="8" t="n"/>
      <c r="U3059" s="8" t="n"/>
      <c r="V3059" s="8" t="n"/>
      <c r="W3059" s="8" t="n"/>
      <c r="X3059" s="8" t="n"/>
      <c r="Y3059" s="8" t="n"/>
    </row>
    <row r="3060">
      <c r="A3060" s="8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9">
        <f>B3060+30</f>
        <v/>
      </c>
      <c r="N3060">
        <f>IF(L3060="", "", L3060-B3060)</f>
        <v/>
      </c>
      <c r="O3060">
        <f>IF(L3060="", "Pending", IF(N3060&lt;=30, "Met", "Breached"))</f>
        <v/>
      </c>
      <c r="P3060" s="8" t="n"/>
      <c r="Q3060" s="8" t="n"/>
      <c r="R3060" s="8" t="n"/>
      <c r="S3060" s="8" t="n"/>
      <c r="T3060" s="8" t="n"/>
      <c r="U3060" s="8" t="n"/>
      <c r="V3060" s="8" t="n"/>
      <c r="W3060" s="8" t="n"/>
      <c r="X3060" s="8" t="n"/>
      <c r="Y3060" s="8" t="n"/>
    </row>
    <row r="3061">
      <c r="A3061" s="8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9">
        <f>B3061+30</f>
        <v/>
      </c>
      <c r="N3061">
        <f>IF(L3061="", "", L3061-B3061)</f>
        <v/>
      </c>
      <c r="O3061">
        <f>IF(L3061="", "Pending", IF(N3061&lt;=30, "Met", "Breached"))</f>
        <v/>
      </c>
      <c r="P3061" s="8" t="n"/>
      <c r="Q3061" s="8" t="n"/>
      <c r="R3061" s="8" t="n"/>
      <c r="S3061" s="8" t="n"/>
      <c r="T3061" s="8" t="n"/>
      <c r="U3061" s="8" t="n"/>
      <c r="V3061" s="8" t="n"/>
      <c r="W3061" s="8" t="n"/>
      <c r="X3061" s="8" t="n"/>
      <c r="Y3061" s="8" t="n"/>
    </row>
    <row r="3062">
      <c r="A3062" s="8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9">
        <f>B3062+30</f>
        <v/>
      </c>
      <c r="N3062">
        <f>IF(L3062="", "", L3062-B3062)</f>
        <v/>
      </c>
      <c r="O3062">
        <f>IF(L3062="", "Pending", IF(N3062&lt;=30, "Met", "Breached"))</f>
        <v/>
      </c>
      <c r="P3062" s="8" t="n"/>
      <c r="Q3062" s="8" t="n"/>
      <c r="R3062" s="8" t="n"/>
      <c r="S3062" s="8" t="n"/>
      <c r="T3062" s="8" t="n"/>
      <c r="U3062" s="8" t="n"/>
      <c r="V3062" s="8" t="n"/>
      <c r="W3062" s="8" t="n"/>
      <c r="X3062" s="8" t="n"/>
      <c r="Y3062" s="8" t="n"/>
    </row>
    <row r="3063">
      <c r="A3063" s="8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9">
        <f>B3063+30</f>
        <v/>
      </c>
      <c r="N3063">
        <f>IF(L3063="", "", L3063-B3063)</f>
        <v/>
      </c>
      <c r="O3063">
        <f>IF(L3063="", "Pending", IF(N3063&lt;=30, "Met", "Breached"))</f>
        <v/>
      </c>
      <c r="P3063" s="8" t="n"/>
      <c r="Q3063" s="8" t="n"/>
      <c r="R3063" s="8" t="n"/>
      <c r="S3063" s="8" t="n"/>
      <c r="T3063" s="8" t="n"/>
      <c r="U3063" s="8" t="n"/>
      <c r="V3063" s="8" t="n"/>
      <c r="W3063" s="8" t="n"/>
      <c r="X3063" s="8" t="n"/>
      <c r="Y3063" s="8" t="n"/>
    </row>
    <row r="3064">
      <c r="A3064" s="8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9">
        <f>B3064+30</f>
        <v/>
      </c>
      <c r="N3064">
        <f>IF(L3064="", "", L3064-B3064)</f>
        <v/>
      </c>
      <c r="O3064">
        <f>IF(L3064="", "Pending", IF(N3064&lt;=30, "Met", "Breached"))</f>
        <v/>
      </c>
      <c r="P3064" s="8" t="n"/>
      <c r="Q3064" s="8" t="n"/>
      <c r="R3064" s="8" t="n"/>
      <c r="S3064" s="8" t="n"/>
      <c r="T3064" s="8" t="n"/>
      <c r="U3064" s="8" t="n"/>
      <c r="V3064" s="8" t="n"/>
      <c r="W3064" s="8" t="n"/>
      <c r="X3064" s="8" t="n"/>
      <c r="Y3064" s="8" t="n"/>
    </row>
    <row r="3065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9">
        <f>B3065+30</f>
        <v/>
      </c>
      <c r="N3065">
        <f>IF(L3065="", "", L3065-B3065)</f>
        <v/>
      </c>
      <c r="O3065">
        <f>IF(L3065="", "Pending", IF(N3065&lt;=30, "Met", "Breached"))</f>
        <v/>
      </c>
      <c r="P3065" s="8" t="n"/>
      <c r="Q3065" s="8" t="n"/>
      <c r="R3065" s="8" t="n"/>
      <c r="S3065" s="8" t="n"/>
      <c r="T3065" s="8" t="n"/>
      <c r="U3065" s="8" t="n"/>
      <c r="V3065" s="8" t="n"/>
      <c r="W3065" s="8" t="n"/>
      <c r="X3065" s="8" t="n"/>
      <c r="Y3065" s="8" t="n"/>
    </row>
    <row r="3066">
      <c r="A3066" s="8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9">
        <f>B3066+30</f>
        <v/>
      </c>
      <c r="N3066">
        <f>IF(L3066="", "", L3066-B3066)</f>
        <v/>
      </c>
      <c r="O3066">
        <f>IF(L3066="", "Pending", IF(N3066&lt;=30, "Met", "Breached"))</f>
        <v/>
      </c>
      <c r="P3066" s="8" t="n"/>
      <c r="Q3066" s="8" t="n"/>
      <c r="R3066" s="8" t="n"/>
      <c r="S3066" s="8" t="n"/>
      <c r="T3066" s="8" t="n"/>
      <c r="U3066" s="8" t="n"/>
      <c r="V3066" s="8" t="n"/>
      <c r="W3066" s="8" t="n"/>
      <c r="X3066" s="8" t="n"/>
      <c r="Y3066" s="8" t="n"/>
    </row>
    <row r="3067">
      <c r="A3067" s="8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9">
        <f>B3067+30</f>
        <v/>
      </c>
      <c r="N3067">
        <f>IF(L3067="", "", L3067-B3067)</f>
        <v/>
      </c>
      <c r="O3067">
        <f>IF(L3067="", "Pending", IF(N3067&lt;=30, "Met", "Breached"))</f>
        <v/>
      </c>
      <c r="P3067" s="8" t="n"/>
      <c r="Q3067" s="8" t="n"/>
      <c r="R3067" s="8" t="n"/>
      <c r="S3067" s="8" t="n"/>
      <c r="T3067" s="8" t="n"/>
      <c r="U3067" s="8" t="n"/>
      <c r="V3067" s="8" t="n"/>
      <c r="W3067" s="8" t="n"/>
      <c r="X3067" s="8" t="n"/>
      <c r="Y3067" s="8" t="n"/>
    </row>
    <row r="3068">
      <c r="A3068" s="8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9">
        <f>B3068+30</f>
        <v/>
      </c>
      <c r="N3068">
        <f>IF(L3068="", "", L3068-B3068)</f>
        <v/>
      </c>
      <c r="O3068">
        <f>IF(L3068="", "Pending", IF(N3068&lt;=30, "Met", "Breached"))</f>
        <v/>
      </c>
      <c r="P3068" s="8" t="n"/>
      <c r="Q3068" s="8" t="n"/>
      <c r="R3068" s="8" t="n"/>
      <c r="S3068" s="8" t="n"/>
      <c r="T3068" s="8" t="n"/>
      <c r="U3068" s="8" t="n"/>
      <c r="V3068" s="8" t="n"/>
      <c r="W3068" s="8" t="n"/>
      <c r="X3068" s="8" t="n"/>
      <c r="Y3068" s="8" t="n"/>
    </row>
    <row r="3069">
      <c r="A3069" s="8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9">
        <f>B3069+30</f>
        <v/>
      </c>
      <c r="N3069">
        <f>IF(L3069="", "", L3069-B3069)</f>
        <v/>
      </c>
      <c r="O3069">
        <f>IF(L3069="", "Pending", IF(N3069&lt;=30, "Met", "Breached"))</f>
        <v/>
      </c>
      <c r="P3069" s="8" t="n"/>
      <c r="Q3069" s="8" t="n"/>
      <c r="R3069" s="8" t="n"/>
      <c r="S3069" s="8" t="n"/>
      <c r="T3069" s="8" t="n"/>
      <c r="U3069" s="8" t="n"/>
      <c r="V3069" s="8" t="n"/>
      <c r="W3069" s="8" t="n"/>
      <c r="X3069" s="8" t="n"/>
      <c r="Y3069" s="8" t="n"/>
    </row>
    <row r="3070">
      <c r="A3070" s="8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9">
        <f>B3070+30</f>
        <v/>
      </c>
      <c r="N3070">
        <f>IF(L3070="", "", L3070-B3070)</f>
        <v/>
      </c>
      <c r="O3070">
        <f>IF(L3070="", "Pending", IF(N3070&lt;=30, "Met", "Breached"))</f>
        <v/>
      </c>
      <c r="P3070" s="8" t="n"/>
      <c r="Q3070" s="8" t="n"/>
      <c r="R3070" s="8" t="n"/>
      <c r="S3070" s="8" t="n"/>
      <c r="T3070" s="8" t="n"/>
      <c r="U3070" s="8" t="n"/>
      <c r="V3070" s="8" t="n"/>
      <c r="W3070" s="8" t="n"/>
      <c r="X3070" s="8" t="n"/>
      <c r="Y3070" s="8" t="n"/>
    </row>
    <row r="3071">
      <c r="A3071" s="8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9">
        <f>B3071+30</f>
        <v/>
      </c>
      <c r="N3071">
        <f>IF(L3071="", "", L3071-B3071)</f>
        <v/>
      </c>
      <c r="O3071">
        <f>IF(L3071="", "Pending", IF(N3071&lt;=30, "Met", "Breached"))</f>
        <v/>
      </c>
      <c r="P3071" s="8" t="n"/>
      <c r="Q3071" s="8" t="n"/>
      <c r="R3071" s="8" t="n"/>
      <c r="S3071" s="8" t="n"/>
      <c r="T3071" s="8" t="n"/>
      <c r="U3071" s="8" t="n"/>
      <c r="V3071" s="8" t="n"/>
      <c r="W3071" s="8" t="n"/>
      <c r="X3071" s="8" t="n"/>
      <c r="Y3071" s="8" t="n"/>
    </row>
    <row r="3072">
      <c r="A3072" s="8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9">
        <f>B3072+30</f>
        <v/>
      </c>
      <c r="N3072">
        <f>IF(L3072="", "", L3072-B3072)</f>
        <v/>
      </c>
      <c r="O3072">
        <f>IF(L3072="", "Pending", IF(N3072&lt;=30, "Met", "Breached"))</f>
        <v/>
      </c>
      <c r="P3072" s="8" t="n"/>
      <c r="Q3072" s="8" t="n"/>
      <c r="R3072" s="8" t="n"/>
      <c r="S3072" s="8" t="n"/>
      <c r="T3072" s="8" t="n"/>
      <c r="U3072" s="8" t="n"/>
      <c r="V3072" s="8" t="n"/>
      <c r="W3072" s="8" t="n"/>
      <c r="X3072" s="8" t="n"/>
      <c r="Y3072" s="8" t="n"/>
    </row>
    <row r="3073">
      <c r="A3073" s="8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9">
        <f>B3073+30</f>
        <v/>
      </c>
      <c r="N3073">
        <f>IF(L3073="", "", L3073-B3073)</f>
        <v/>
      </c>
      <c r="O3073">
        <f>IF(L3073="", "Pending", IF(N3073&lt;=30, "Met", "Breached"))</f>
        <v/>
      </c>
      <c r="P3073" s="8" t="n"/>
      <c r="Q3073" s="8" t="n"/>
      <c r="R3073" s="8" t="n"/>
      <c r="S3073" s="8" t="n"/>
      <c r="T3073" s="8" t="n"/>
      <c r="U3073" s="8" t="n"/>
      <c r="V3073" s="8" t="n"/>
      <c r="W3073" s="8" t="n"/>
      <c r="X3073" s="8" t="n"/>
      <c r="Y3073" s="8" t="n"/>
    </row>
    <row r="3074">
      <c r="A3074" s="8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9">
        <f>B3074+30</f>
        <v/>
      </c>
      <c r="N3074">
        <f>IF(L3074="", "", L3074-B3074)</f>
        <v/>
      </c>
      <c r="O3074">
        <f>IF(L3074="", "Pending", IF(N3074&lt;=30, "Met", "Breached"))</f>
        <v/>
      </c>
      <c r="P3074" s="8" t="n"/>
      <c r="Q3074" s="8" t="n"/>
      <c r="R3074" s="8" t="n"/>
      <c r="S3074" s="8" t="n"/>
      <c r="T3074" s="8" t="n"/>
      <c r="U3074" s="8" t="n"/>
      <c r="V3074" s="8" t="n"/>
      <c r="W3074" s="8" t="n"/>
      <c r="X3074" s="8" t="n"/>
      <c r="Y3074" s="8" t="n"/>
    </row>
    <row r="3075">
      <c r="A3075" s="8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9">
        <f>B3075+30</f>
        <v/>
      </c>
      <c r="N3075">
        <f>IF(L3075="", "", L3075-B3075)</f>
        <v/>
      </c>
      <c r="O3075">
        <f>IF(L3075="", "Pending", IF(N3075&lt;=30, "Met", "Breached"))</f>
        <v/>
      </c>
      <c r="P3075" s="8" t="n"/>
      <c r="Q3075" s="8" t="n"/>
      <c r="R3075" s="8" t="n"/>
      <c r="S3075" s="8" t="n"/>
      <c r="T3075" s="8" t="n"/>
      <c r="U3075" s="8" t="n"/>
      <c r="V3075" s="8" t="n"/>
      <c r="W3075" s="8" t="n"/>
      <c r="X3075" s="8" t="n"/>
      <c r="Y3075" s="8" t="n"/>
    </row>
    <row r="3076">
      <c r="A3076" s="8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9">
        <f>B3076+30</f>
        <v/>
      </c>
      <c r="N3076">
        <f>IF(L3076="", "", L3076-B3076)</f>
        <v/>
      </c>
      <c r="O3076">
        <f>IF(L3076="", "Pending", IF(N3076&lt;=30, "Met", "Breached"))</f>
        <v/>
      </c>
      <c r="P3076" s="8" t="n"/>
      <c r="Q3076" s="8" t="n"/>
      <c r="R3076" s="8" t="n"/>
      <c r="S3076" s="8" t="n"/>
      <c r="T3076" s="8" t="n"/>
      <c r="U3076" s="8" t="n"/>
      <c r="V3076" s="8" t="n"/>
      <c r="W3076" s="8" t="n"/>
      <c r="X3076" s="8" t="n"/>
      <c r="Y3076" s="8" t="n"/>
    </row>
    <row r="3077">
      <c r="A3077" s="8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9">
        <f>B3077+30</f>
        <v/>
      </c>
      <c r="N3077">
        <f>IF(L3077="", "", L3077-B3077)</f>
        <v/>
      </c>
      <c r="O3077">
        <f>IF(L3077="", "Pending", IF(N3077&lt;=30, "Met", "Breached"))</f>
        <v/>
      </c>
      <c r="P3077" s="8" t="n"/>
      <c r="Q3077" s="8" t="n"/>
      <c r="R3077" s="8" t="n"/>
      <c r="S3077" s="8" t="n"/>
      <c r="T3077" s="8" t="n"/>
      <c r="U3077" s="8" t="n"/>
      <c r="V3077" s="8" t="n"/>
      <c r="W3077" s="8" t="n"/>
      <c r="X3077" s="8" t="n"/>
      <c r="Y3077" s="8" t="n"/>
    </row>
    <row r="3078">
      <c r="A3078" s="8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9">
        <f>B3078+30</f>
        <v/>
      </c>
      <c r="N3078">
        <f>IF(L3078="", "", L3078-B3078)</f>
        <v/>
      </c>
      <c r="O3078">
        <f>IF(L3078="", "Pending", IF(N3078&lt;=30, "Met", "Breached"))</f>
        <v/>
      </c>
      <c r="P3078" s="8" t="n"/>
      <c r="Q3078" s="8" t="n"/>
      <c r="R3078" s="8" t="n"/>
      <c r="S3078" s="8" t="n"/>
      <c r="T3078" s="8" t="n"/>
      <c r="U3078" s="8" t="n"/>
      <c r="V3078" s="8" t="n"/>
      <c r="W3078" s="8" t="n"/>
      <c r="X3078" s="8" t="n"/>
      <c r="Y3078" s="8" t="n"/>
    </row>
    <row r="3079">
      <c r="A3079" s="8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9">
        <f>B3079+30</f>
        <v/>
      </c>
      <c r="N3079">
        <f>IF(L3079="", "", L3079-B3079)</f>
        <v/>
      </c>
      <c r="O3079">
        <f>IF(L3079="", "Pending", IF(N3079&lt;=30, "Met", "Breached"))</f>
        <v/>
      </c>
      <c r="P3079" s="8" t="n"/>
      <c r="Q3079" s="8" t="n"/>
      <c r="R3079" s="8" t="n"/>
      <c r="S3079" s="8" t="n"/>
      <c r="T3079" s="8" t="n"/>
      <c r="U3079" s="8" t="n"/>
      <c r="V3079" s="8" t="n"/>
      <c r="W3079" s="8" t="n"/>
      <c r="X3079" s="8" t="n"/>
      <c r="Y3079" s="8" t="n"/>
    </row>
    <row r="3080">
      <c r="A3080" s="8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9">
        <f>B3080+30</f>
        <v/>
      </c>
      <c r="N3080">
        <f>IF(L3080="", "", L3080-B3080)</f>
        <v/>
      </c>
      <c r="O3080">
        <f>IF(L3080="", "Pending", IF(N3080&lt;=30, "Met", "Breached"))</f>
        <v/>
      </c>
      <c r="P3080" s="8" t="n"/>
      <c r="Q3080" s="8" t="n"/>
      <c r="R3080" s="8" t="n"/>
      <c r="S3080" s="8" t="n"/>
      <c r="T3080" s="8" t="n"/>
      <c r="U3080" s="8" t="n"/>
      <c r="V3080" s="8" t="n"/>
      <c r="W3080" s="8" t="n"/>
      <c r="X3080" s="8" t="n"/>
      <c r="Y3080" s="8" t="n"/>
    </row>
    <row r="3081">
      <c r="A3081" s="8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9">
        <f>B3081+30</f>
        <v/>
      </c>
      <c r="N3081">
        <f>IF(L3081="", "", L3081-B3081)</f>
        <v/>
      </c>
      <c r="O3081">
        <f>IF(L3081="", "Pending", IF(N3081&lt;=30, "Met", "Breached"))</f>
        <v/>
      </c>
      <c r="P3081" s="8" t="n"/>
      <c r="Q3081" s="8" t="n"/>
      <c r="R3081" s="8" t="n"/>
      <c r="S3081" s="8" t="n"/>
      <c r="T3081" s="8" t="n"/>
      <c r="U3081" s="8" t="n"/>
      <c r="V3081" s="8" t="n"/>
      <c r="W3081" s="8" t="n"/>
      <c r="X3081" s="8" t="n"/>
      <c r="Y3081" s="8" t="n"/>
    </row>
    <row r="3082">
      <c r="A3082" s="8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9">
        <f>B3082+30</f>
        <v/>
      </c>
      <c r="N3082">
        <f>IF(L3082="", "", L3082-B3082)</f>
        <v/>
      </c>
      <c r="O3082">
        <f>IF(L3082="", "Pending", IF(N3082&lt;=30, "Met", "Breached"))</f>
        <v/>
      </c>
      <c r="P3082" s="8" t="n"/>
      <c r="Q3082" s="8" t="n"/>
      <c r="R3082" s="8" t="n"/>
      <c r="S3082" s="8" t="n"/>
      <c r="T3082" s="8" t="n"/>
      <c r="U3082" s="8" t="n"/>
      <c r="V3082" s="8" t="n"/>
      <c r="W3082" s="8" t="n"/>
      <c r="X3082" s="8" t="n"/>
      <c r="Y3082" s="8" t="n"/>
    </row>
    <row r="3083">
      <c r="A3083" s="8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9">
        <f>B3083+30</f>
        <v/>
      </c>
      <c r="N3083">
        <f>IF(L3083="", "", L3083-B3083)</f>
        <v/>
      </c>
      <c r="O3083">
        <f>IF(L3083="", "Pending", IF(N3083&lt;=30, "Met", "Breached"))</f>
        <v/>
      </c>
      <c r="P3083" s="8" t="n"/>
      <c r="Q3083" s="8" t="n"/>
      <c r="R3083" s="8" t="n"/>
      <c r="S3083" s="8" t="n"/>
      <c r="T3083" s="8" t="n"/>
      <c r="U3083" s="8" t="n"/>
      <c r="V3083" s="8" t="n"/>
      <c r="W3083" s="8" t="n"/>
      <c r="X3083" s="8" t="n"/>
      <c r="Y3083" s="8" t="n"/>
    </row>
    <row r="3084">
      <c r="A3084" s="8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9">
        <f>B3084+30</f>
        <v/>
      </c>
      <c r="N3084">
        <f>IF(L3084="", "", L3084-B3084)</f>
        <v/>
      </c>
      <c r="O3084">
        <f>IF(L3084="", "Pending", IF(N3084&lt;=30, "Met", "Breached"))</f>
        <v/>
      </c>
      <c r="P3084" s="8" t="n"/>
      <c r="Q3084" s="8" t="n"/>
      <c r="R3084" s="8" t="n"/>
      <c r="S3084" s="8" t="n"/>
      <c r="T3084" s="8" t="n"/>
      <c r="U3084" s="8" t="n"/>
      <c r="V3084" s="8" t="n"/>
      <c r="W3084" s="8" t="n"/>
      <c r="X3084" s="8" t="n"/>
      <c r="Y3084" s="8" t="n"/>
    </row>
    <row r="3085">
      <c r="A3085" s="8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9">
        <f>B3085+30</f>
        <v/>
      </c>
      <c r="N3085">
        <f>IF(L3085="", "", L3085-B3085)</f>
        <v/>
      </c>
      <c r="O3085">
        <f>IF(L3085="", "Pending", IF(N3085&lt;=30, "Met", "Breached"))</f>
        <v/>
      </c>
      <c r="P3085" s="8" t="n"/>
      <c r="Q3085" s="8" t="n"/>
      <c r="R3085" s="8" t="n"/>
      <c r="S3085" s="8" t="n"/>
      <c r="T3085" s="8" t="n"/>
      <c r="U3085" s="8" t="n"/>
      <c r="V3085" s="8" t="n"/>
      <c r="W3085" s="8" t="n"/>
      <c r="X3085" s="8" t="n"/>
      <c r="Y3085" s="8" t="n"/>
    </row>
    <row r="3086">
      <c r="A3086" s="8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9">
        <f>B3086+30</f>
        <v/>
      </c>
      <c r="N3086">
        <f>IF(L3086="", "", L3086-B3086)</f>
        <v/>
      </c>
      <c r="O3086">
        <f>IF(L3086="", "Pending", IF(N3086&lt;=30, "Met", "Breached"))</f>
        <v/>
      </c>
      <c r="P3086" s="8" t="n"/>
      <c r="Q3086" s="8" t="n"/>
      <c r="R3086" s="8" t="n"/>
      <c r="S3086" s="8" t="n"/>
      <c r="T3086" s="8" t="n"/>
      <c r="U3086" s="8" t="n"/>
      <c r="V3086" s="8" t="n"/>
      <c r="W3086" s="8" t="n"/>
      <c r="X3086" s="8" t="n"/>
      <c r="Y3086" s="8" t="n"/>
    </row>
    <row r="3087">
      <c r="A3087" s="8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9">
        <f>B3087+30</f>
        <v/>
      </c>
      <c r="N3087">
        <f>IF(L3087="", "", L3087-B3087)</f>
        <v/>
      </c>
      <c r="O3087">
        <f>IF(L3087="", "Pending", IF(N3087&lt;=30, "Met", "Breached"))</f>
        <v/>
      </c>
      <c r="P3087" s="8" t="n"/>
      <c r="Q3087" s="8" t="n"/>
      <c r="R3087" s="8" t="n"/>
      <c r="S3087" s="8" t="n"/>
      <c r="T3087" s="8" t="n"/>
      <c r="U3087" s="8" t="n"/>
      <c r="V3087" s="8" t="n"/>
      <c r="W3087" s="8" t="n"/>
      <c r="X3087" s="8" t="n"/>
      <c r="Y3087" s="8" t="n"/>
    </row>
    <row r="3088">
      <c r="A3088" s="8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9">
        <f>B3088+30</f>
        <v/>
      </c>
      <c r="N3088">
        <f>IF(L3088="", "", L3088-B3088)</f>
        <v/>
      </c>
      <c r="O3088">
        <f>IF(L3088="", "Pending", IF(N3088&lt;=30, "Met", "Breached"))</f>
        <v/>
      </c>
      <c r="P3088" s="8" t="n"/>
      <c r="Q3088" s="8" t="n"/>
      <c r="R3088" s="8" t="n"/>
      <c r="S3088" s="8" t="n"/>
      <c r="T3088" s="8" t="n"/>
      <c r="U3088" s="8" t="n"/>
      <c r="V3088" s="8" t="n"/>
      <c r="W3088" s="8" t="n"/>
      <c r="X3088" s="8" t="n"/>
      <c r="Y3088" s="8" t="n"/>
    </row>
    <row r="3089">
      <c r="A3089" s="8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9">
        <f>B3089+30</f>
        <v/>
      </c>
      <c r="N3089">
        <f>IF(L3089="", "", L3089-B3089)</f>
        <v/>
      </c>
      <c r="O3089">
        <f>IF(L3089="", "Pending", IF(N3089&lt;=30, "Met", "Breached"))</f>
        <v/>
      </c>
      <c r="P3089" s="8" t="n"/>
      <c r="Q3089" s="8" t="n"/>
      <c r="R3089" s="8" t="n"/>
      <c r="S3089" s="8" t="n"/>
      <c r="T3089" s="8" t="n"/>
      <c r="U3089" s="8" t="n"/>
      <c r="V3089" s="8" t="n"/>
      <c r="W3089" s="8" t="n"/>
      <c r="X3089" s="8" t="n"/>
      <c r="Y3089" s="8" t="n"/>
    </row>
    <row r="3090">
      <c r="A3090" s="8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9">
        <f>B3090+30</f>
        <v/>
      </c>
      <c r="N3090">
        <f>IF(L3090="", "", L3090-B3090)</f>
        <v/>
      </c>
      <c r="O3090">
        <f>IF(L3090="", "Pending", IF(N3090&lt;=30, "Met", "Breached"))</f>
        <v/>
      </c>
      <c r="P3090" s="8" t="n"/>
      <c r="Q3090" s="8" t="n"/>
      <c r="R3090" s="8" t="n"/>
      <c r="S3090" s="8" t="n"/>
      <c r="T3090" s="8" t="n"/>
      <c r="U3090" s="8" t="n"/>
      <c r="V3090" s="8" t="n"/>
      <c r="W3090" s="8" t="n"/>
      <c r="X3090" s="8" t="n"/>
      <c r="Y3090" s="8" t="n"/>
    </row>
    <row r="3091">
      <c r="A3091" s="8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9">
        <f>B3091+30</f>
        <v/>
      </c>
      <c r="N3091">
        <f>IF(L3091="", "", L3091-B3091)</f>
        <v/>
      </c>
      <c r="O3091">
        <f>IF(L3091="", "Pending", IF(N3091&lt;=30, "Met", "Breached"))</f>
        <v/>
      </c>
      <c r="P3091" s="8" t="n"/>
      <c r="Q3091" s="8" t="n"/>
      <c r="R3091" s="8" t="n"/>
      <c r="S3091" s="8" t="n"/>
      <c r="T3091" s="8" t="n"/>
      <c r="U3091" s="8" t="n"/>
      <c r="V3091" s="8" t="n"/>
      <c r="W3091" s="8" t="n"/>
      <c r="X3091" s="8" t="n"/>
      <c r="Y3091" s="8" t="n"/>
    </row>
    <row r="3092">
      <c r="A3092" s="8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9">
        <f>B3092+30</f>
        <v/>
      </c>
      <c r="N3092">
        <f>IF(L3092="", "", L3092-B3092)</f>
        <v/>
      </c>
      <c r="O3092">
        <f>IF(L3092="", "Pending", IF(N3092&lt;=30, "Met", "Breached"))</f>
        <v/>
      </c>
      <c r="P3092" s="8" t="n"/>
      <c r="Q3092" s="8" t="n"/>
      <c r="R3092" s="8" t="n"/>
      <c r="S3092" s="8" t="n"/>
      <c r="T3092" s="8" t="n"/>
      <c r="U3092" s="8" t="n"/>
      <c r="V3092" s="8" t="n"/>
      <c r="W3092" s="8" t="n"/>
      <c r="X3092" s="8" t="n"/>
      <c r="Y3092" s="8" t="n"/>
    </row>
    <row r="3093">
      <c r="A3093" s="8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9">
        <f>B3093+30</f>
        <v/>
      </c>
      <c r="N3093">
        <f>IF(L3093="", "", L3093-B3093)</f>
        <v/>
      </c>
      <c r="O3093">
        <f>IF(L3093="", "Pending", IF(N3093&lt;=30, "Met", "Breached"))</f>
        <v/>
      </c>
      <c r="P3093" s="8" t="n"/>
      <c r="Q3093" s="8" t="n"/>
      <c r="R3093" s="8" t="n"/>
      <c r="S3093" s="8" t="n"/>
      <c r="T3093" s="8" t="n"/>
      <c r="U3093" s="8" t="n"/>
      <c r="V3093" s="8" t="n"/>
      <c r="W3093" s="8" t="n"/>
      <c r="X3093" s="8" t="n"/>
      <c r="Y3093" s="8" t="n"/>
    </row>
    <row r="3094">
      <c r="A3094" s="8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9">
        <f>B3094+30</f>
        <v/>
      </c>
      <c r="N3094">
        <f>IF(L3094="", "", L3094-B3094)</f>
        <v/>
      </c>
      <c r="O3094">
        <f>IF(L3094="", "Pending", IF(N3094&lt;=30, "Met", "Breached"))</f>
        <v/>
      </c>
      <c r="P3094" s="8" t="n"/>
      <c r="Q3094" s="8" t="n"/>
      <c r="R3094" s="8" t="n"/>
      <c r="S3094" s="8" t="n"/>
      <c r="T3094" s="8" t="n"/>
      <c r="U3094" s="8" t="n"/>
      <c r="V3094" s="8" t="n"/>
      <c r="W3094" s="8" t="n"/>
      <c r="X3094" s="8" t="n"/>
      <c r="Y3094" s="8" t="n"/>
    </row>
    <row r="3095">
      <c r="A3095" s="8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9">
        <f>B3095+30</f>
        <v/>
      </c>
      <c r="N3095">
        <f>IF(L3095="", "", L3095-B3095)</f>
        <v/>
      </c>
      <c r="O3095">
        <f>IF(L3095="", "Pending", IF(N3095&lt;=30, "Met", "Breached"))</f>
        <v/>
      </c>
      <c r="P3095" s="8" t="n"/>
      <c r="Q3095" s="8" t="n"/>
      <c r="R3095" s="8" t="n"/>
      <c r="S3095" s="8" t="n"/>
      <c r="T3095" s="8" t="n"/>
      <c r="U3095" s="8" t="n"/>
      <c r="V3095" s="8" t="n"/>
      <c r="W3095" s="8" t="n"/>
      <c r="X3095" s="8" t="n"/>
      <c r="Y3095" s="8" t="n"/>
    </row>
    <row r="3096">
      <c r="A3096" s="8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9">
        <f>B3096+30</f>
        <v/>
      </c>
      <c r="N3096">
        <f>IF(L3096="", "", L3096-B3096)</f>
        <v/>
      </c>
      <c r="O3096">
        <f>IF(L3096="", "Pending", IF(N3096&lt;=30, "Met", "Breached"))</f>
        <v/>
      </c>
      <c r="P3096" s="8" t="n"/>
      <c r="Q3096" s="8" t="n"/>
      <c r="R3096" s="8" t="n"/>
      <c r="S3096" s="8" t="n"/>
      <c r="T3096" s="8" t="n"/>
      <c r="U3096" s="8" t="n"/>
      <c r="V3096" s="8" t="n"/>
      <c r="W3096" s="8" t="n"/>
      <c r="X3096" s="8" t="n"/>
      <c r="Y3096" s="8" t="n"/>
    </row>
    <row r="3097">
      <c r="A3097" s="8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9">
        <f>B3097+30</f>
        <v/>
      </c>
      <c r="N3097">
        <f>IF(L3097="", "", L3097-B3097)</f>
        <v/>
      </c>
      <c r="O3097">
        <f>IF(L3097="", "Pending", IF(N3097&lt;=30, "Met", "Breached"))</f>
        <v/>
      </c>
      <c r="P3097" s="8" t="n"/>
      <c r="Q3097" s="8" t="n"/>
      <c r="R3097" s="8" t="n"/>
      <c r="S3097" s="8" t="n"/>
      <c r="T3097" s="8" t="n"/>
      <c r="U3097" s="8" t="n"/>
      <c r="V3097" s="8" t="n"/>
      <c r="W3097" s="8" t="n"/>
      <c r="X3097" s="8" t="n"/>
      <c r="Y3097" s="8" t="n"/>
    </row>
    <row r="3098">
      <c r="A3098" s="8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9">
        <f>B3098+30</f>
        <v/>
      </c>
      <c r="N3098">
        <f>IF(L3098="", "", L3098-B3098)</f>
        <v/>
      </c>
      <c r="O3098">
        <f>IF(L3098="", "Pending", IF(N3098&lt;=30, "Met", "Breached"))</f>
        <v/>
      </c>
      <c r="P3098" s="8" t="n"/>
      <c r="Q3098" s="8" t="n"/>
      <c r="R3098" s="8" t="n"/>
      <c r="S3098" s="8" t="n"/>
      <c r="T3098" s="8" t="n"/>
      <c r="U3098" s="8" t="n"/>
      <c r="V3098" s="8" t="n"/>
      <c r="W3098" s="8" t="n"/>
      <c r="X3098" s="8" t="n"/>
      <c r="Y3098" s="8" t="n"/>
    </row>
    <row r="3099">
      <c r="A3099" s="8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9">
        <f>B3099+30</f>
        <v/>
      </c>
      <c r="N3099">
        <f>IF(L3099="", "", L3099-B3099)</f>
        <v/>
      </c>
      <c r="O3099">
        <f>IF(L3099="", "Pending", IF(N3099&lt;=30, "Met", "Breached"))</f>
        <v/>
      </c>
      <c r="P3099" s="8" t="n"/>
      <c r="Q3099" s="8" t="n"/>
      <c r="R3099" s="8" t="n"/>
      <c r="S3099" s="8" t="n"/>
      <c r="T3099" s="8" t="n"/>
      <c r="U3099" s="8" t="n"/>
      <c r="V3099" s="8" t="n"/>
      <c r="W3099" s="8" t="n"/>
      <c r="X3099" s="8" t="n"/>
      <c r="Y3099" s="8" t="n"/>
    </row>
    <row r="3100">
      <c r="A3100" s="8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9">
        <f>B3100+30</f>
        <v/>
      </c>
      <c r="N3100">
        <f>IF(L3100="", "", L3100-B3100)</f>
        <v/>
      </c>
      <c r="O3100">
        <f>IF(L3100="", "Pending", IF(N3100&lt;=30, "Met", "Breached"))</f>
        <v/>
      </c>
      <c r="P3100" s="8" t="n"/>
      <c r="Q3100" s="8" t="n"/>
      <c r="R3100" s="8" t="n"/>
      <c r="S3100" s="8" t="n"/>
      <c r="T3100" s="8" t="n"/>
      <c r="U3100" s="8" t="n"/>
      <c r="V3100" s="8" t="n"/>
      <c r="W3100" s="8" t="n"/>
      <c r="X3100" s="8" t="n"/>
      <c r="Y3100" s="8" t="n"/>
    </row>
    <row r="3101">
      <c r="A3101" s="8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9">
        <f>B3101+30</f>
        <v/>
      </c>
      <c r="N3101">
        <f>IF(L3101="", "", L3101-B3101)</f>
        <v/>
      </c>
      <c r="O3101">
        <f>IF(L3101="", "Pending", IF(N3101&lt;=30, "Met", "Breached"))</f>
        <v/>
      </c>
      <c r="P3101" s="8" t="n"/>
      <c r="Q3101" s="8" t="n"/>
      <c r="R3101" s="8" t="n"/>
      <c r="S3101" s="8" t="n"/>
      <c r="T3101" s="8" t="n"/>
      <c r="U3101" s="8" t="n"/>
      <c r="V3101" s="8" t="n"/>
      <c r="W3101" s="8" t="n"/>
      <c r="X3101" s="8" t="n"/>
      <c r="Y3101" s="8" t="n"/>
    </row>
    <row r="3102">
      <c r="A3102" s="8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9">
        <f>B3102+30</f>
        <v/>
      </c>
      <c r="N3102">
        <f>IF(L3102="", "", L3102-B3102)</f>
        <v/>
      </c>
      <c r="O3102">
        <f>IF(L3102="", "Pending", IF(N3102&lt;=30, "Met", "Breached"))</f>
        <v/>
      </c>
      <c r="P3102" s="8" t="n"/>
      <c r="Q3102" s="8" t="n"/>
      <c r="R3102" s="8" t="n"/>
      <c r="S3102" s="8" t="n"/>
      <c r="T3102" s="8" t="n"/>
      <c r="U3102" s="8" t="n"/>
      <c r="V3102" s="8" t="n"/>
      <c r="W3102" s="8" t="n"/>
      <c r="X3102" s="8" t="n"/>
      <c r="Y3102" s="8" t="n"/>
    </row>
    <row r="3103">
      <c r="A3103" s="8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9">
        <f>B3103+30</f>
        <v/>
      </c>
      <c r="N3103">
        <f>IF(L3103="", "", L3103-B3103)</f>
        <v/>
      </c>
      <c r="O3103">
        <f>IF(L3103="", "Pending", IF(N3103&lt;=30, "Met", "Breached"))</f>
        <v/>
      </c>
      <c r="P3103" s="8" t="n"/>
      <c r="Q3103" s="8" t="n"/>
      <c r="R3103" s="8" t="n"/>
      <c r="S3103" s="8" t="n"/>
      <c r="T3103" s="8" t="n"/>
      <c r="U3103" s="8" t="n"/>
      <c r="V3103" s="8" t="n"/>
      <c r="W3103" s="8" t="n"/>
      <c r="X3103" s="8" t="n"/>
      <c r="Y3103" s="8" t="n"/>
    </row>
    <row r="3104">
      <c r="A3104" s="8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9">
        <f>B3104+30</f>
        <v/>
      </c>
      <c r="N3104">
        <f>IF(L3104="", "", L3104-B3104)</f>
        <v/>
      </c>
      <c r="O3104">
        <f>IF(L3104="", "Pending", IF(N3104&lt;=30, "Met", "Breached"))</f>
        <v/>
      </c>
      <c r="P3104" s="8" t="n"/>
      <c r="Q3104" s="8" t="n"/>
      <c r="R3104" s="8" t="n"/>
      <c r="S3104" s="8" t="n"/>
      <c r="T3104" s="8" t="n"/>
      <c r="U3104" s="8" t="n"/>
      <c r="V3104" s="8" t="n"/>
      <c r="W3104" s="8" t="n"/>
      <c r="X3104" s="8" t="n"/>
      <c r="Y3104" s="8" t="n"/>
    </row>
    <row r="3105">
      <c r="A3105" s="8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9">
        <f>B3105+30</f>
        <v/>
      </c>
      <c r="N3105">
        <f>IF(L3105="", "", L3105-B3105)</f>
        <v/>
      </c>
      <c r="O3105">
        <f>IF(L3105="", "Pending", IF(N3105&lt;=30, "Met", "Breached"))</f>
        <v/>
      </c>
      <c r="P3105" s="8" t="n"/>
      <c r="Q3105" s="8" t="n"/>
      <c r="R3105" s="8" t="n"/>
      <c r="S3105" s="8" t="n"/>
      <c r="T3105" s="8" t="n"/>
      <c r="U3105" s="8" t="n"/>
      <c r="V3105" s="8" t="n"/>
      <c r="W3105" s="8" t="n"/>
      <c r="X3105" s="8" t="n"/>
      <c r="Y3105" s="8" t="n"/>
    </row>
    <row r="3106">
      <c r="A3106" s="8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9">
        <f>B3106+30</f>
        <v/>
      </c>
      <c r="N3106">
        <f>IF(L3106="", "", L3106-B3106)</f>
        <v/>
      </c>
      <c r="O3106">
        <f>IF(L3106="", "Pending", IF(N3106&lt;=30, "Met", "Breached"))</f>
        <v/>
      </c>
      <c r="P3106" s="8" t="n"/>
      <c r="Q3106" s="8" t="n"/>
      <c r="R3106" s="8" t="n"/>
      <c r="S3106" s="8" t="n"/>
      <c r="T3106" s="8" t="n"/>
      <c r="U3106" s="8" t="n"/>
      <c r="V3106" s="8" t="n"/>
      <c r="W3106" s="8" t="n"/>
      <c r="X3106" s="8" t="n"/>
      <c r="Y3106" s="8" t="n"/>
    </row>
    <row r="3107">
      <c r="A3107" s="8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9">
        <f>B3107+30</f>
        <v/>
      </c>
      <c r="N3107">
        <f>IF(L3107="", "", L3107-B3107)</f>
        <v/>
      </c>
      <c r="O3107">
        <f>IF(L3107="", "Pending", IF(N3107&lt;=30, "Met", "Breached"))</f>
        <v/>
      </c>
      <c r="P3107" s="8" t="n"/>
      <c r="Q3107" s="8" t="n"/>
      <c r="R3107" s="8" t="n"/>
      <c r="S3107" s="8" t="n"/>
      <c r="T3107" s="8" t="n"/>
      <c r="U3107" s="8" t="n"/>
      <c r="V3107" s="8" t="n"/>
      <c r="W3107" s="8" t="n"/>
      <c r="X3107" s="8" t="n"/>
      <c r="Y3107" s="8" t="n"/>
    </row>
    <row r="3108">
      <c r="A3108" s="8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9">
        <f>B3108+30</f>
        <v/>
      </c>
      <c r="N3108">
        <f>IF(L3108="", "", L3108-B3108)</f>
        <v/>
      </c>
      <c r="O3108">
        <f>IF(L3108="", "Pending", IF(N3108&lt;=30, "Met", "Breached"))</f>
        <v/>
      </c>
      <c r="P3108" s="8" t="n"/>
      <c r="Q3108" s="8" t="n"/>
      <c r="R3108" s="8" t="n"/>
      <c r="S3108" s="8" t="n"/>
      <c r="T3108" s="8" t="n"/>
      <c r="U3108" s="8" t="n"/>
      <c r="V3108" s="8" t="n"/>
      <c r="W3108" s="8" t="n"/>
      <c r="X3108" s="8" t="n"/>
      <c r="Y3108" s="8" t="n"/>
    </row>
    <row r="3109">
      <c r="A3109" s="8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9">
        <f>B3109+30</f>
        <v/>
      </c>
      <c r="N3109">
        <f>IF(L3109="", "", L3109-B3109)</f>
        <v/>
      </c>
      <c r="O3109">
        <f>IF(L3109="", "Pending", IF(N3109&lt;=30, "Met", "Breached"))</f>
        <v/>
      </c>
      <c r="P3109" s="8" t="n"/>
      <c r="Q3109" s="8" t="n"/>
      <c r="R3109" s="8" t="n"/>
      <c r="S3109" s="8" t="n"/>
      <c r="T3109" s="8" t="n"/>
      <c r="U3109" s="8" t="n"/>
      <c r="V3109" s="8" t="n"/>
      <c r="W3109" s="8" t="n"/>
      <c r="X3109" s="8" t="n"/>
      <c r="Y3109" s="8" t="n"/>
    </row>
    <row r="3110">
      <c r="A3110" s="8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9">
        <f>B3110+30</f>
        <v/>
      </c>
      <c r="N3110">
        <f>IF(L3110="", "", L3110-B3110)</f>
        <v/>
      </c>
      <c r="O3110">
        <f>IF(L3110="", "Pending", IF(N3110&lt;=30, "Met", "Breached"))</f>
        <v/>
      </c>
      <c r="P3110" s="8" t="n"/>
      <c r="Q3110" s="8" t="n"/>
      <c r="R3110" s="8" t="n"/>
      <c r="S3110" s="8" t="n"/>
      <c r="T3110" s="8" t="n"/>
      <c r="U3110" s="8" t="n"/>
      <c r="V3110" s="8" t="n"/>
      <c r="W3110" s="8" t="n"/>
      <c r="X3110" s="8" t="n"/>
      <c r="Y3110" s="8" t="n"/>
    </row>
    <row r="3111">
      <c r="A3111" s="8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9">
        <f>B3111+30</f>
        <v/>
      </c>
      <c r="N3111">
        <f>IF(L3111="", "", L3111-B3111)</f>
        <v/>
      </c>
      <c r="O3111">
        <f>IF(L3111="", "Pending", IF(N3111&lt;=30, "Met", "Breached"))</f>
        <v/>
      </c>
      <c r="P3111" s="8" t="n"/>
      <c r="Q3111" s="8" t="n"/>
      <c r="R3111" s="8" t="n"/>
      <c r="S3111" s="8" t="n"/>
      <c r="T3111" s="8" t="n"/>
      <c r="U3111" s="8" t="n"/>
      <c r="V3111" s="8" t="n"/>
      <c r="W3111" s="8" t="n"/>
      <c r="X3111" s="8" t="n"/>
      <c r="Y3111" s="8" t="n"/>
    </row>
    <row r="3112">
      <c r="A3112" s="8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9">
        <f>B3112+30</f>
        <v/>
      </c>
      <c r="N3112">
        <f>IF(L3112="", "", L3112-B3112)</f>
        <v/>
      </c>
      <c r="O3112">
        <f>IF(L3112="", "Pending", IF(N3112&lt;=30, "Met", "Breached"))</f>
        <v/>
      </c>
      <c r="P3112" s="8" t="n"/>
      <c r="Q3112" s="8" t="n"/>
      <c r="R3112" s="8" t="n"/>
      <c r="S3112" s="8" t="n"/>
      <c r="T3112" s="8" t="n"/>
      <c r="U3112" s="8" t="n"/>
      <c r="V3112" s="8" t="n"/>
      <c r="W3112" s="8" t="n"/>
      <c r="X3112" s="8" t="n"/>
      <c r="Y3112" s="8" t="n"/>
    </row>
    <row r="3113">
      <c r="A3113" s="8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9">
        <f>B3113+30</f>
        <v/>
      </c>
      <c r="N3113">
        <f>IF(L3113="", "", L3113-B3113)</f>
        <v/>
      </c>
      <c r="O3113">
        <f>IF(L3113="", "Pending", IF(N3113&lt;=30, "Met", "Breached"))</f>
        <v/>
      </c>
      <c r="P3113" s="8" t="n"/>
      <c r="Q3113" s="8" t="n"/>
      <c r="R3113" s="8" t="n"/>
      <c r="S3113" s="8" t="n"/>
      <c r="T3113" s="8" t="n"/>
      <c r="U3113" s="8" t="n"/>
      <c r="V3113" s="8" t="n"/>
      <c r="W3113" s="8" t="n"/>
      <c r="X3113" s="8" t="n"/>
      <c r="Y3113" s="8" t="n"/>
    </row>
    <row r="3114">
      <c r="A3114" s="8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9">
        <f>B3114+30</f>
        <v/>
      </c>
      <c r="N3114">
        <f>IF(L3114="", "", L3114-B3114)</f>
        <v/>
      </c>
      <c r="O3114">
        <f>IF(L3114="", "Pending", IF(N3114&lt;=30, "Met", "Breached"))</f>
        <v/>
      </c>
      <c r="P3114" s="8" t="n"/>
      <c r="Q3114" s="8" t="n"/>
      <c r="R3114" s="8" t="n"/>
      <c r="S3114" s="8" t="n"/>
      <c r="T3114" s="8" t="n"/>
      <c r="U3114" s="8" t="n"/>
      <c r="V3114" s="8" t="n"/>
      <c r="W3114" s="8" t="n"/>
      <c r="X3114" s="8" t="n"/>
      <c r="Y3114" s="8" t="n"/>
    </row>
    <row r="3115">
      <c r="A3115" s="8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9">
        <f>B3115+30</f>
        <v/>
      </c>
      <c r="N3115">
        <f>IF(L3115="", "", L3115-B3115)</f>
        <v/>
      </c>
      <c r="O3115">
        <f>IF(L3115="", "Pending", IF(N3115&lt;=30, "Met", "Breached"))</f>
        <v/>
      </c>
      <c r="P3115" s="8" t="n"/>
      <c r="Q3115" s="8" t="n"/>
      <c r="R3115" s="8" t="n"/>
      <c r="S3115" s="8" t="n"/>
      <c r="T3115" s="8" t="n"/>
      <c r="U3115" s="8" t="n"/>
      <c r="V3115" s="8" t="n"/>
      <c r="W3115" s="8" t="n"/>
      <c r="X3115" s="8" t="n"/>
      <c r="Y3115" s="8" t="n"/>
    </row>
    <row r="3116">
      <c r="A3116" s="8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9">
        <f>B3116+30</f>
        <v/>
      </c>
      <c r="N3116">
        <f>IF(L3116="", "", L3116-B3116)</f>
        <v/>
      </c>
      <c r="O3116">
        <f>IF(L3116="", "Pending", IF(N3116&lt;=30, "Met", "Breached"))</f>
        <v/>
      </c>
      <c r="P3116" s="8" t="n"/>
      <c r="Q3116" s="8" t="n"/>
      <c r="R3116" s="8" t="n"/>
      <c r="S3116" s="8" t="n"/>
      <c r="T3116" s="8" t="n"/>
      <c r="U3116" s="8" t="n"/>
      <c r="V3116" s="8" t="n"/>
      <c r="W3116" s="8" t="n"/>
      <c r="X3116" s="8" t="n"/>
      <c r="Y3116" s="8" t="n"/>
    </row>
    <row r="3117">
      <c r="A3117" s="8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9">
        <f>B3117+30</f>
        <v/>
      </c>
      <c r="N3117">
        <f>IF(L3117="", "", L3117-B3117)</f>
        <v/>
      </c>
      <c r="O3117">
        <f>IF(L3117="", "Pending", IF(N3117&lt;=30, "Met", "Breached"))</f>
        <v/>
      </c>
      <c r="P3117" s="8" t="n"/>
      <c r="Q3117" s="8" t="n"/>
      <c r="R3117" s="8" t="n"/>
      <c r="S3117" s="8" t="n"/>
      <c r="T3117" s="8" t="n"/>
      <c r="U3117" s="8" t="n"/>
      <c r="V3117" s="8" t="n"/>
      <c r="W3117" s="8" t="n"/>
      <c r="X3117" s="8" t="n"/>
      <c r="Y3117" s="8" t="n"/>
    </row>
    <row r="3118">
      <c r="A3118" s="8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9">
        <f>B3118+30</f>
        <v/>
      </c>
      <c r="N3118">
        <f>IF(L3118="", "", L3118-B3118)</f>
        <v/>
      </c>
      <c r="O3118">
        <f>IF(L3118="", "Pending", IF(N3118&lt;=30, "Met", "Breached"))</f>
        <v/>
      </c>
      <c r="P3118" s="8" t="n"/>
      <c r="Q3118" s="8" t="n"/>
      <c r="R3118" s="8" t="n"/>
      <c r="S3118" s="8" t="n"/>
      <c r="T3118" s="8" t="n"/>
      <c r="U3118" s="8" t="n"/>
      <c r="V3118" s="8" t="n"/>
      <c r="W3118" s="8" t="n"/>
      <c r="X3118" s="8" t="n"/>
      <c r="Y3118" s="8" t="n"/>
    </row>
    <row r="3119">
      <c r="A3119" s="8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9">
        <f>B3119+30</f>
        <v/>
      </c>
      <c r="N3119">
        <f>IF(L3119="", "", L3119-B3119)</f>
        <v/>
      </c>
      <c r="O3119">
        <f>IF(L3119="", "Pending", IF(N3119&lt;=30, "Met", "Breached"))</f>
        <v/>
      </c>
      <c r="P3119" s="8" t="n"/>
      <c r="Q3119" s="8" t="n"/>
      <c r="R3119" s="8" t="n"/>
      <c r="S3119" s="8" t="n"/>
      <c r="T3119" s="8" t="n"/>
      <c r="U3119" s="8" t="n"/>
      <c r="V3119" s="8" t="n"/>
      <c r="W3119" s="8" t="n"/>
      <c r="X3119" s="8" t="n"/>
      <c r="Y3119" s="8" t="n"/>
    </row>
    <row r="3120">
      <c r="A3120" s="8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9">
        <f>B3120+30</f>
        <v/>
      </c>
      <c r="N3120">
        <f>IF(L3120="", "", L3120-B3120)</f>
        <v/>
      </c>
      <c r="O3120">
        <f>IF(L3120="", "Pending", IF(N3120&lt;=30, "Met", "Breached"))</f>
        <v/>
      </c>
      <c r="P3120" s="8" t="n"/>
      <c r="Q3120" s="8" t="n"/>
      <c r="R3120" s="8" t="n"/>
      <c r="S3120" s="8" t="n"/>
      <c r="T3120" s="8" t="n"/>
      <c r="U3120" s="8" t="n"/>
      <c r="V3120" s="8" t="n"/>
      <c r="W3120" s="8" t="n"/>
      <c r="X3120" s="8" t="n"/>
      <c r="Y3120" s="8" t="n"/>
    </row>
    <row r="3121">
      <c r="A3121" s="8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9">
        <f>B3121+30</f>
        <v/>
      </c>
      <c r="N3121">
        <f>IF(L3121="", "", L3121-B3121)</f>
        <v/>
      </c>
      <c r="O3121">
        <f>IF(L3121="", "Pending", IF(N3121&lt;=30, "Met", "Breached"))</f>
        <v/>
      </c>
      <c r="P3121" s="8" t="n"/>
      <c r="Q3121" s="8" t="n"/>
      <c r="R3121" s="8" t="n"/>
      <c r="S3121" s="8" t="n"/>
      <c r="T3121" s="8" t="n"/>
      <c r="U3121" s="8" t="n"/>
      <c r="V3121" s="8" t="n"/>
      <c r="W3121" s="8" t="n"/>
      <c r="X3121" s="8" t="n"/>
      <c r="Y3121" s="8" t="n"/>
    </row>
    <row r="3122">
      <c r="A3122" s="8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9">
        <f>B3122+30</f>
        <v/>
      </c>
      <c r="N3122">
        <f>IF(L3122="", "", L3122-B3122)</f>
        <v/>
      </c>
      <c r="O3122">
        <f>IF(L3122="", "Pending", IF(N3122&lt;=30, "Met", "Breached"))</f>
        <v/>
      </c>
      <c r="P3122" s="8" t="n"/>
      <c r="Q3122" s="8" t="n"/>
      <c r="R3122" s="8" t="n"/>
      <c r="S3122" s="8" t="n"/>
      <c r="T3122" s="8" t="n"/>
      <c r="U3122" s="8" t="n"/>
      <c r="V3122" s="8" t="n"/>
      <c r="W3122" s="8" t="n"/>
      <c r="X3122" s="8" t="n"/>
      <c r="Y3122" s="8" t="n"/>
    </row>
    <row r="3123">
      <c r="A3123" s="8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9">
        <f>B3123+30</f>
        <v/>
      </c>
      <c r="N3123">
        <f>IF(L3123="", "", L3123-B3123)</f>
        <v/>
      </c>
      <c r="O3123">
        <f>IF(L3123="", "Pending", IF(N3123&lt;=30, "Met", "Breached"))</f>
        <v/>
      </c>
      <c r="P3123" s="8" t="n"/>
      <c r="Q3123" s="8" t="n"/>
      <c r="R3123" s="8" t="n"/>
      <c r="S3123" s="8" t="n"/>
      <c r="T3123" s="8" t="n"/>
      <c r="U3123" s="8" t="n"/>
      <c r="V3123" s="8" t="n"/>
      <c r="W3123" s="8" t="n"/>
      <c r="X3123" s="8" t="n"/>
      <c r="Y3123" s="8" t="n"/>
    </row>
    <row r="3124">
      <c r="A3124" s="8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9">
        <f>B3124+30</f>
        <v/>
      </c>
      <c r="N3124">
        <f>IF(L3124="", "", L3124-B3124)</f>
        <v/>
      </c>
      <c r="O3124">
        <f>IF(L3124="", "Pending", IF(N3124&lt;=30, "Met", "Breached"))</f>
        <v/>
      </c>
      <c r="P3124" s="8" t="n"/>
      <c r="Q3124" s="8" t="n"/>
      <c r="R3124" s="8" t="n"/>
      <c r="S3124" s="8" t="n"/>
      <c r="T3124" s="8" t="n"/>
      <c r="U3124" s="8" t="n"/>
      <c r="V3124" s="8" t="n"/>
      <c r="W3124" s="8" t="n"/>
      <c r="X3124" s="8" t="n"/>
      <c r="Y3124" s="8" t="n"/>
    </row>
    <row r="3125">
      <c r="A3125" s="8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9">
        <f>B3125+30</f>
        <v/>
      </c>
      <c r="N3125">
        <f>IF(L3125="", "", L3125-B3125)</f>
        <v/>
      </c>
      <c r="O3125">
        <f>IF(L3125="", "Pending", IF(N3125&lt;=30, "Met", "Breached"))</f>
        <v/>
      </c>
      <c r="P3125" s="8" t="n"/>
      <c r="Q3125" s="8" t="n"/>
      <c r="R3125" s="8" t="n"/>
      <c r="S3125" s="8" t="n"/>
      <c r="T3125" s="8" t="n"/>
      <c r="U3125" s="8" t="n"/>
      <c r="V3125" s="8" t="n"/>
      <c r="W3125" s="8" t="n"/>
      <c r="X3125" s="8" t="n"/>
      <c r="Y3125" s="8" t="n"/>
    </row>
    <row r="3126">
      <c r="A3126" s="8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9">
        <f>B3126+30</f>
        <v/>
      </c>
      <c r="N3126">
        <f>IF(L3126="", "", L3126-B3126)</f>
        <v/>
      </c>
      <c r="O3126">
        <f>IF(L3126="", "Pending", IF(N3126&lt;=30, "Met", "Breached"))</f>
        <v/>
      </c>
      <c r="P3126" s="8" t="n"/>
      <c r="Q3126" s="8" t="n"/>
      <c r="R3126" s="8" t="n"/>
      <c r="S3126" s="8" t="n"/>
      <c r="T3126" s="8" t="n"/>
      <c r="U3126" s="8" t="n"/>
      <c r="V3126" s="8" t="n"/>
      <c r="W3126" s="8" t="n"/>
      <c r="X3126" s="8" t="n"/>
      <c r="Y3126" s="8" t="n"/>
    </row>
    <row r="3127">
      <c r="A3127" s="8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9">
        <f>B3127+30</f>
        <v/>
      </c>
      <c r="N3127">
        <f>IF(L3127="", "", L3127-B3127)</f>
        <v/>
      </c>
      <c r="O3127">
        <f>IF(L3127="", "Pending", IF(N3127&lt;=30, "Met", "Breached"))</f>
        <v/>
      </c>
      <c r="P3127" s="8" t="n"/>
      <c r="Q3127" s="8" t="n"/>
      <c r="R3127" s="8" t="n"/>
      <c r="S3127" s="8" t="n"/>
      <c r="T3127" s="8" t="n"/>
      <c r="U3127" s="8" t="n"/>
      <c r="V3127" s="8" t="n"/>
      <c r="W3127" s="8" t="n"/>
      <c r="X3127" s="8" t="n"/>
      <c r="Y3127" s="8" t="n"/>
    </row>
    <row r="3128">
      <c r="A3128" s="8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9">
        <f>B3128+30</f>
        <v/>
      </c>
      <c r="N3128">
        <f>IF(L3128="", "", L3128-B3128)</f>
        <v/>
      </c>
      <c r="O3128">
        <f>IF(L3128="", "Pending", IF(N3128&lt;=30, "Met", "Breached"))</f>
        <v/>
      </c>
      <c r="P3128" s="8" t="n"/>
      <c r="Q3128" s="8" t="n"/>
      <c r="R3128" s="8" t="n"/>
      <c r="S3128" s="8" t="n"/>
      <c r="T3128" s="8" t="n"/>
      <c r="U3128" s="8" t="n"/>
      <c r="V3128" s="8" t="n"/>
      <c r="W3128" s="8" t="n"/>
      <c r="X3128" s="8" t="n"/>
      <c r="Y3128" s="8" t="n"/>
    </row>
    <row r="3129">
      <c r="A3129" s="8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9">
        <f>B3129+30</f>
        <v/>
      </c>
      <c r="N3129">
        <f>IF(L3129="", "", L3129-B3129)</f>
        <v/>
      </c>
      <c r="O3129">
        <f>IF(L3129="", "Pending", IF(N3129&lt;=30, "Met", "Breached"))</f>
        <v/>
      </c>
      <c r="P3129" s="8" t="n"/>
      <c r="Q3129" s="8" t="n"/>
      <c r="R3129" s="8" t="n"/>
      <c r="S3129" s="8" t="n"/>
      <c r="T3129" s="8" t="n"/>
      <c r="U3129" s="8" t="n"/>
      <c r="V3129" s="8" t="n"/>
      <c r="W3129" s="8" t="n"/>
      <c r="X3129" s="8" t="n"/>
      <c r="Y3129" s="8" t="n"/>
    </row>
    <row r="3130">
      <c r="A3130" s="8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9">
        <f>B3130+30</f>
        <v/>
      </c>
      <c r="N3130">
        <f>IF(L3130="", "", L3130-B3130)</f>
        <v/>
      </c>
      <c r="O3130">
        <f>IF(L3130="", "Pending", IF(N3130&lt;=30, "Met", "Breached"))</f>
        <v/>
      </c>
      <c r="P3130" s="8" t="n"/>
      <c r="Q3130" s="8" t="n"/>
      <c r="R3130" s="8" t="n"/>
      <c r="S3130" s="8" t="n"/>
      <c r="T3130" s="8" t="n"/>
      <c r="U3130" s="8" t="n"/>
      <c r="V3130" s="8" t="n"/>
      <c r="W3130" s="8" t="n"/>
      <c r="X3130" s="8" t="n"/>
      <c r="Y3130" s="8" t="n"/>
    </row>
    <row r="3131">
      <c r="A3131" s="8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9">
        <f>B3131+30</f>
        <v/>
      </c>
      <c r="N3131">
        <f>IF(L3131="", "", L3131-B3131)</f>
        <v/>
      </c>
      <c r="O3131">
        <f>IF(L3131="", "Pending", IF(N3131&lt;=30, "Met", "Breached"))</f>
        <v/>
      </c>
      <c r="P3131" s="8" t="n"/>
      <c r="Q3131" s="8" t="n"/>
      <c r="R3131" s="8" t="n"/>
      <c r="S3131" s="8" t="n"/>
      <c r="T3131" s="8" t="n"/>
      <c r="U3131" s="8" t="n"/>
      <c r="V3131" s="8" t="n"/>
      <c r="W3131" s="8" t="n"/>
      <c r="X3131" s="8" t="n"/>
      <c r="Y3131" s="8" t="n"/>
    </row>
    <row r="3132">
      <c r="A3132" s="8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9">
        <f>B3132+30</f>
        <v/>
      </c>
      <c r="N3132">
        <f>IF(L3132="", "", L3132-B3132)</f>
        <v/>
      </c>
      <c r="O3132">
        <f>IF(L3132="", "Pending", IF(N3132&lt;=30, "Met", "Breached"))</f>
        <v/>
      </c>
      <c r="P3132" s="8" t="n"/>
      <c r="Q3132" s="8" t="n"/>
      <c r="R3132" s="8" t="n"/>
      <c r="S3132" s="8" t="n"/>
      <c r="T3132" s="8" t="n"/>
      <c r="U3132" s="8" t="n"/>
      <c r="V3132" s="8" t="n"/>
      <c r="W3132" s="8" t="n"/>
      <c r="X3132" s="8" t="n"/>
      <c r="Y3132" s="8" t="n"/>
    </row>
    <row r="3133">
      <c r="A3133" s="8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9">
        <f>B3133+30</f>
        <v/>
      </c>
      <c r="N3133">
        <f>IF(L3133="", "", L3133-B3133)</f>
        <v/>
      </c>
      <c r="O3133">
        <f>IF(L3133="", "Pending", IF(N3133&lt;=30, "Met", "Breached"))</f>
        <v/>
      </c>
      <c r="P3133" s="8" t="n"/>
      <c r="Q3133" s="8" t="n"/>
      <c r="R3133" s="8" t="n"/>
      <c r="S3133" s="8" t="n"/>
      <c r="T3133" s="8" t="n"/>
      <c r="U3133" s="8" t="n"/>
      <c r="V3133" s="8" t="n"/>
      <c r="W3133" s="8" t="n"/>
      <c r="X3133" s="8" t="n"/>
      <c r="Y3133" s="8" t="n"/>
    </row>
    <row r="3134">
      <c r="A3134" s="8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9">
        <f>B3134+30</f>
        <v/>
      </c>
      <c r="N3134">
        <f>IF(L3134="", "", L3134-B3134)</f>
        <v/>
      </c>
      <c r="O3134">
        <f>IF(L3134="", "Pending", IF(N3134&lt;=30, "Met", "Breached"))</f>
        <v/>
      </c>
      <c r="P3134" s="8" t="n"/>
      <c r="Q3134" s="8" t="n"/>
      <c r="R3134" s="8" t="n"/>
      <c r="S3134" s="8" t="n"/>
      <c r="T3134" s="8" t="n"/>
      <c r="U3134" s="8" t="n"/>
      <c r="V3134" s="8" t="n"/>
      <c r="W3134" s="8" t="n"/>
      <c r="X3134" s="8" t="n"/>
      <c r="Y3134" s="8" t="n"/>
    </row>
    <row r="3135">
      <c r="A3135" s="8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9">
        <f>B3135+30</f>
        <v/>
      </c>
      <c r="N3135">
        <f>IF(L3135="", "", L3135-B3135)</f>
        <v/>
      </c>
      <c r="O3135">
        <f>IF(L3135="", "Pending", IF(N3135&lt;=30, "Met", "Breached"))</f>
        <v/>
      </c>
      <c r="P3135" s="8" t="n"/>
      <c r="Q3135" s="8" t="n"/>
      <c r="R3135" s="8" t="n"/>
      <c r="S3135" s="8" t="n"/>
      <c r="T3135" s="8" t="n"/>
      <c r="U3135" s="8" t="n"/>
      <c r="V3135" s="8" t="n"/>
      <c r="W3135" s="8" t="n"/>
      <c r="X3135" s="8" t="n"/>
      <c r="Y3135" s="8" t="n"/>
    </row>
    <row r="3136">
      <c r="A3136" s="8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9">
        <f>B3136+30</f>
        <v/>
      </c>
      <c r="N3136">
        <f>IF(L3136="", "", L3136-B3136)</f>
        <v/>
      </c>
      <c r="O3136">
        <f>IF(L3136="", "Pending", IF(N3136&lt;=30, "Met", "Breached"))</f>
        <v/>
      </c>
      <c r="P3136" s="8" t="n"/>
      <c r="Q3136" s="8" t="n"/>
      <c r="R3136" s="8" t="n"/>
      <c r="S3136" s="8" t="n"/>
      <c r="T3136" s="8" t="n"/>
      <c r="U3136" s="8" t="n"/>
      <c r="V3136" s="8" t="n"/>
      <c r="W3136" s="8" t="n"/>
      <c r="X3136" s="8" t="n"/>
      <c r="Y3136" s="8" t="n"/>
    </row>
    <row r="3137">
      <c r="A3137" s="8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9">
        <f>B3137+30</f>
        <v/>
      </c>
      <c r="N3137">
        <f>IF(L3137="", "", L3137-B3137)</f>
        <v/>
      </c>
      <c r="O3137">
        <f>IF(L3137="", "Pending", IF(N3137&lt;=30, "Met", "Breached"))</f>
        <v/>
      </c>
      <c r="P3137" s="8" t="n"/>
      <c r="Q3137" s="8" t="n"/>
      <c r="R3137" s="8" t="n"/>
      <c r="S3137" s="8" t="n"/>
      <c r="T3137" s="8" t="n"/>
      <c r="U3137" s="8" t="n"/>
      <c r="V3137" s="8" t="n"/>
      <c r="W3137" s="8" t="n"/>
      <c r="X3137" s="8" t="n"/>
      <c r="Y3137" s="8" t="n"/>
    </row>
    <row r="3138">
      <c r="A3138" s="8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9">
        <f>B3138+30</f>
        <v/>
      </c>
      <c r="N3138">
        <f>IF(L3138="", "", L3138-B3138)</f>
        <v/>
      </c>
      <c r="O3138">
        <f>IF(L3138="", "Pending", IF(N3138&lt;=30, "Met", "Breached"))</f>
        <v/>
      </c>
      <c r="P3138" s="8" t="n"/>
      <c r="Q3138" s="8" t="n"/>
      <c r="R3138" s="8" t="n"/>
      <c r="S3138" s="8" t="n"/>
      <c r="T3138" s="8" t="n"/>
      <c r="U3138" s="8" t="n"/>
      <c r="V3138" s="8" t="n"/>
      <c r="W3138" s="8" t="n"/>
      <c r="X3138" s="8" t="n"/>
      <c r="Y3138" s="8" t="n"/>
    </row>
    <row r="3139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9">
        <f>B3139+30</f>
        <v/>
      </c>
      <c r="N3139">
        <f>IF(L3139="", "", L3139-B3139)</f>
        <v/>
      </c>
      <c r="O3139">
        <f>IF(L3139="", "Pending", IF(N3139&lt;=30, "Met", "Breached"))</f>
        <v/>
      </c>
      <c r="P3139" s="8" t="n"/>
      <c r="Q3139" s="8" t="n"/>
      <c r="R3139" s="8" t="n"/>
      <c r="S3139" s="8" t="n"/>
      <c r="T3139" s="8" t="n"/>
      <c r="U3139" s="8" t="n"/>
      <c r="V3139" s="8" t="n"/>
      <c r="W3139" s="8" t="n"/>
      <c r="X3139" s="8" t="n"/>
      <c r="Y3139" s="8" t="n"/>
    </row>
    <row r="3140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9">
        <f>B3140+30</f>
        <v/>
      </c>
      <c r="N3140">
        <f>IF(L3140="", "", L3140-B3140)</f>
        <v/>
      </c>
      <c r="O3140">
        <f>IF(L3140="", "Pending", IF(N3140&lt;=30, "Met", "Breached"))</f>
        <v/>
      </c>
      <c r="P3140" s="8" t="n"/>
      <c r="Q3140" s="8" t="n"/>
      <c r="R3140" s="8" t="n"/>
      <c r="S3140" s="8" t="n"/>
      <c r="T3140" s="8" t="n"/>
      <c r="U3140" s="8" t="n"/>
      <c r="V3140" s="8" t="n"/>
      <c r="W3140" s="8" t="n"/>
      <c r="X3140" s="8" t="n"/>
      <c r="Y3140" s="8" t="n"/>
    </row>
    <row r="3141">
      <c r="A3141" s="8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9">
        <f>B3141+30</f>
        <v/>
      </c>
      <c r="N3141">
        <f>IF(L3141="", "", L3141-B3141)</f>
        <v/>
      </c>
      <c r="O3141">
        <f>IF(L3141="", "Pending", IF(N3141&lt;=30, "Met", "Breached"))</f>
        <v/>
      </c>
      <c r="P3141" s="8" t="n"/>
      <c r="Q3141" s="8" t="n"/>
      <c r="R3141" s="8" t="n"/>
      <c r="S3141" s="8" t="n"/>
      <c r="T3141" s="8" t="n"/>
      <c r="U3141" s="8" t="n"/>
      <c r="V3141" s="8" t="n"/>
      <c r="W3141" s="8" t="n"/>
      <c r="X3141" s="8" t="n"/>
      <c r="Y3141" s="8" t="n"/>
    </row>
    <row r="3142">
      <c r="A3142" s="8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9">
        <f>B3142+30</f>
        <v/>
      </c>
      <c r="N3142">
        <f>IF(L3142="", "", L3142-B3142)</f>
        <v/>
      </c>
      <c r="O3142">
        <f>IF(L3142="", "Pending", IF(N3142&lt;=30, "Met", "Breached"))</f>
        <v/>
      </c>
      <c r="P3142" s="8" t="n"/>
      <c r="Q3142" s="8" t="n"/>
      <c r="R3142" s="8" t="n"/>
      <c r="S3142" s="8" t="n"/>
      <c r="T3142" s="8" t="n"/>
      <c r="U3142" s="8" t="n"/>
      <c r="V3142" s="8" t="n"/>
      <c r="W3142" s="8" t="n"/>
      <c r="X3142" s="8" t="n"/>
      <c r="Y3142" s="8" t="n"/>
    </row>
    <row r="3143">
      <c r="A3143" s="8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9">
        <f>B3143+30</f>
        <v/>
      </c>
      <c r="N3143">
        <f>IF(L3143="", "", L3143-B3143)</f>
        <v/>
      </c>
      <c r="O3143">
        <f>IF(L3143="", "Pending", IF(N3143&lt;=30, "Met", "Breached"))</f>
        <v/>
      </c>
      <c r="P3143" s="8" t="n"/>
      <c r="Q3143" s="8" t="n"/>
      <c r="R3143" s="8" t="n"/>
      <c r="S3143" s="8" t="n"/>
      <c r="T3143" s="8" t="n"/>
      <c r="U3143" s="8" t="n"/>
      <c r="V3143" s="8" t="n"/>
      <c r="W3143" s="8" t="n"/>
      <c r="X3143" s="8" t="n"/>
      <c r="Y3143" s="8" t="n"/>
    </row>
    <row r="3144">
      <c r="A3144" s="8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9">
        <f>B3144+30</f>
        <v/>
      </c>
      <c r="N3144">
        <f>IF(L3144="", "", L3144-B3144)</f>
        <v/>
      </c>
      <c r="O3144">
        <f>IF(L3144="", "Pending", IF(N3144&lt;=30, "Met", "Breached"))</f>
        <v/>
      </c>
      <c r="P3144" s="8" t="n"/>
      <c r="Q3144" s="8" t="n"/>
      <c r="R3144" s="8" t="n"/>
      <c r="S3144" s="8" t="n"/>
      <c r="T3144" s="8" t="n"/>
      <c r="U3144" s="8" t="n"/>
      <c r="V3144" s="8" t="n"/>
      <c r="W3144" s="8" t="n"/>
      <c r="X3144" s="8" t="n"/>
      <c r="Y3144" s="8" t="n"/>
    </row>
    <row r="3145">
      <c r="A3145" s="8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9">
        <f>B3145+30</f>
        <v/>
      </c>
      <c r="N3145">
        <f>IF(L3145="", "", L3145-B3145)</f>
        <v/>
      </c>
      <c r="O3145">
        <f>IF(L3145="", "Pending", IF(N3145&lt;=30, "Met", "Breached"))</f>
        <v/>
      </c>
      <c r="P3145" s="8" t="n"/>
      <c r="Q3145" s="8" t="n"/>
      <c r="R3145" s="8" t="n"/>
      <c r="S3145" s="8" t="n"/>
      <c r="T3145" s="8" t="n"/>
      <c r="U3145" s="8" t="n"/>
      <c r="V3145" s="8" t="n"/>
      <c r="W3145" s="8" t="n"/>
      <c r="X3145" s="8" t="n"/>
      <c r="Y3145" s="8" t="n"/>
    </row>
    <row r="3146">
      <c r="A3146" s="8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9">
        <f>B3146+30</f>
        <v/>
      </c>
      <c r="N3146">
        <f>IF(L3146="", "", L3146-B3146)</f>
        <v/>
      </c>
      <c r="O3146">
        <f>IF(L3146="", "Pending", IF(N3146&lt;=30, "Met", "Breached"))</f>
        <v/>
      </c>
      <c r="P3146" s="8" t="n"/>
      <c r="Q3146" s="8" t="n"/>
      <c r="R3146" s="8" t="n"/>
      <c r="S3146" s="8" t="n"/>
      <c r="T3146" s="8" t="n"/>
      <c r="U3146" s="8" t="n"/>
      <c r="V3146" s="8" t="n"/>
      <c r="W3146" s="8" t="n"/>
      <c r="X3146" s="8" t="n"/>
      <c r="Y3146" s="8" t="n"/>
    </row>
    <row r="3147">
      <c r="A3147" s="8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9">
        <f>B3147+30</f>
        <v/>
      </c>
      <c r="N3147">
        <f>IF(L3147="", "", L3147-B3147)</f>
        <v/>
      </c>
      <c r="O3147">
        <f>IF(L3147="", "Pending", IF(N3147&lt;=30, "Met", "Breached"))</f>
        <v/>
      </c>
      <c r="P3147" s="8" t="n"/>
      <c r="Q3147" s="8" t="n"/>
      <c r="R3147" s="8" t="n"/>
      <c r="S3147" s="8" t="n"/>
      <c r="T3147" s="8" t="n"/>
      <c r="U3147" s="8" t="n"/>
      <c r="V3147" s="8" t="n"/>
      <c r="W3147" s="8" t="n"/>
      <c r="X3147" s="8" t="n"/>
      <c r="Y3147" s="8" t="n"/>
    </row>
    <row r="3148">
      <c r="A3148" s="8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9">
        <f>B3148+30</f>
        <v/>
      </c>
      <c r="N3148">
        <f>IF(L3148="", "", L3148-B3148)</f>
        <v/>
      </c>
      <c r="O3148">
        <f>IF(L3148="", "Pending", IF(N3148&lt;=30, "Met", "Breached"))</f>
        <v/>
      </c>
      <c r="P3148" s="8" t="n"/>
      <c r="Q3148" s="8" t="n"/>
      <c r="R3148" s="8" t="n"/>
      <c r="S3148" s="8" t="n"/>
      <c r="T3148" s="8" t="n"/>
      <c r="U3148" s="8" t="n"/>
      <c r="V3148" s="8" t="n"/>
      <c r="W3148" s="8" t="n"/>
      <c r="X3148" s="8" t="n"/>
      <c r="Y3148" s="8" t="n"/>
    </row>
    <row r="3149">
      <c r="A3149" s="8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9">
        <f>B3149+30</f>
        <v/>
      </c>
      <c r="N3149">
        <f>IF(L3149="", "", L3149-B3149)</f>
        <v/>
      </c>
      <c r="O3149">
        <f>IF(L3149="", "Pending", IF(N3149&lt;=30, "Met", "Breached"))</f>
        <v/>
      </c>
      <c r="P3149" s="8" t="n"/>
      <c r="Q3149" s="8" t="n"/>
      <c r="R3149" s="8" t="n"/>
      <c r="S3149" s="8" t="n"/>
      <c r="T3149" s="8" t="n"/>
      <c r="U3149" s="8" t="n"/>
      <c r="V3149" s="8" t="n"/>
      <c r="W3149" s="8" t="n"/>
      <c r="X3149" s="8" t="n"/>
      <c r="Y3149" s="8" t="n"/>
    </row>
    <row r="3150">
      <c r="A3150" s="8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9">
        <f>B3150+30</f>
        <v/>
      </c>
      <c r="N3150">
        <f>IF(L3150="", "", L3150-B3150)</f>
        <v/>
      </c>
      <c r="O3150">
        <f>IF(L3150="", "Pending", IF(N3150&lt;=30, "Met", "Breached"))</f>
        <v/>
      </c>
      <c r="P3150" s="8" t="n"/>
      <c r="Q3150" s="8" t="n"/>
      <c r="R3150" s="8" t="n"/>
      <c r="S3150" s="8" t="n"/>
      <c r="T3150" s="8" t="n"/>
      <c r="U3150" s="8" t="n"/>
      <c r="V3150" s="8" t="n"/>
      <c r="W3150" s="8" t="n"/>
      <c r="X3150" s="8" t="n"/>
      <c r="Y3150" s="8" t="n"/>
    </row>
    <row r="3151">
      <c r="A3151" s="8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9">
        <f>B3151+30</f>
        <v/>
      </c>
      <c r="N3151">
        <f>IF(L3151="", "", L3151-B3151)</f>
        <v/>
      </c>
      <c r="O3151">
        <f>IF(L3151="", "Pending", IF(N3151&lt;=30, "Met", "Breached"))</f>
        <v/>
      </c>
      <c r="P3151" s="8" t="n"/>
      <c r="Q3151" s="8" t="n"/>
      <c r="R3151" s="8" t="n"/>
      <c r="S3151" s="8" t="n"/>
      <c r="T3151" s="8" t="n"/>
      <c r="U3151" s="8" t="n"/>
      <c r="V3151" s="8" t="n"/>
      <c r="W3151" s="8" t="n"/>
      <c r="X3151" s="8" t="n"/>
      <c r="Y3151" s="8" t="n"/>
    </row>
    <row r="3152">
      <c r="A3152" s="8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9">
        <f>B3152+30</f>
        <v/>
      </c>
      <c r="N3152">
        <f>IF(L3152="", "", L3152-B3152)</f>
        <v/>
      </c>
      <c r="O3152">
        <f>IF(L3152="", "Pending", IF(N3152&lt;=30, "Met", "Breached"))</f>
        <v/>
      </c>
      <c r="P3152" s="8" t="n"/>
      <c r="Q3152" s="8" t="n"/>
      <c r="R3152" s="8" t="n"/>
      <c r="S3152" s="8" t="n"/>
      <c r="T3152" s="8" t="n"/>
      <c r="U3152" s="8" t="n"/>
      <c r="V3152" s="8" t="n"/>
      <c r="W3152" s="8" t="n"/>
      <c r="X3152" s="8" t="n"/>
      <c r="Y3152" s="8" t="n"/>
    </row>
    <row r="3153">
      <c r="A3153" s="8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9">
        <f>B3153+30</f>
        <v/>
      </c>
      <c r="N3153">
        <f>IF(L3153="", "", L3153-B3153)</f>
        <v/>
      </c>
      <c r="O3153">
        <f>IF(L3153="", "Pending", IF(N3153&lt;=30, "Met", "Breached"))</f>
        <v/>
      </c>
      <c r="P3153" s="8" t="n"/>
      <c r="Q3153" s="8" t="n"/>
      <c r="R3153" s="8" t="n"/>
      <c r="S3153" s="8" t="n"/>
      <c r="T3153" s="8" t="n"/>
      <c r="U3153" s="8" t="n"/>
      <c r="V3153" s="8" t="n"/>
      <c r="W3153" s="8" t="n"/>
      <c r="X3153" s="8" t="n"/>
      <c r="Y3153" s="8" t="n"/>
    </row>
    <row r="3154">
      <c r="A3154" s="8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9">
        <f>B3154+30</f>
        <v/>
      </c>
      <c r="N3154">
        <f>IF(L3154="", "", L3154-B3154)</f>
        <v/>
      </c>
      <c r="O3154">
        <f>IF(L3154="", "Pending", IF(N3154&lt;=30, "Met", "Breached"))</f>
        <v/>
      </c>
      <c r="P3154" s="8" t="n"/>
      <c r="Q3154" s="8" t="n"/>
      <c r="R3154" s="8" t="n"/>
      <c r="S3154" s="8" t="n"/>
      <c r="T3154" s="8" t="n"/>
      <c r="U3154" s="8" t="n"/>
      <c r="V3154" s="8" t="n"/>
      <c r="W3154" s="8" t="n"/>
      <c r="X3154" s="8" t="n"/>
      <c r="Y3154" s="8" t="n"/>
    </row>
    <row r="3155">
      <c r="A3155" s="8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9">
        <f>B3155+30</f>
        <v/>
      </c>
      <c r="N3155">
        <f>IF(L3155="", "", L3155-B3155)</f>
        <v/>
      </c>
      <c r="O3155">
        <f>IF(L3155="", "Pending", IF(N3155&lt;=30, "Met", "Breached"))</f>
        <v/>
      </c>
      <c r="P3155" s="8" t="n"/>
      <c r="Q3155" s="8" t="n"/>
      <c r="R3155" s="8" t="n"/>
      <c r="S3155" s="8" t="n"/>
      <c r="T3155" s="8" t="n"/>
      <c r="U3155" s="8" t="n"/>
      <c r="V3155" s="8" t="n"/>
      <c r="W3155" s="8" t="n"/>
      <c r="X3155" s="8" t="n"/>
      <c r="Y3155" s="8" t="n"/>
    </row>
    <row r="3156">
      <c r="A3156" s="8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9">
        <f>B3156+30</f>
        <v/>
      </c>
      <c r="N3156">
        <f>IF(L3156="", "", L3156-B3156)</f>
        <v/>
      </c>
      <c r="O3156">
        <f>IF(L3156="", "Pending", IF(N3156&lt;=30, "Met", "Breached"))</f>
        <v/>
      </c>
      <c r="P3156" s="8" t="n"/>
      <c r="Q3156" s="8" t="n"/>
      <c r="R3156" s="8" t="n"/>
      <c r="S3156" s="8" t="n"/>
      <c r="T3156" s="8" t="n"/>
      <c r="U3156" s="8" t="n"/>
      <c r="V3156" s="8" t="n"/>
      <c r="W3156" s="8" t="n"/>
      <c r="X3156" s="8" t="n"/>
      <c r="Y3156" s="8" t="n"/>
    </row>
    <row r="3157">
      <c r="A3157" s="8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9">
        <f>B3157+30</f>
        <v/>
      </c>
      <c r="N3157">
        <f>IF(L3157="", "", L3157-B3157)</f>
        <v/>
      </c>
      <c r="O3157">
        <f>IF(L3157="", "Pending", IF(N3157&lt;=30, "Met", "Breached"))</f>
        <v/>
      </c>
      <c r="P3157" s="8" t="n"/>
      <c r="Q3157" s="8" t="n"/>
      <c r="R3157" s="8" t="n"/>
      <c r="S3157" s="8" t="n"/>
      <c r="T3157" s="8" t="n"/>
      <c r="U3157" s="8" t="n"/>
      <c r="V3157" s="8" t="n"/>
      <c r="W3157" s="8" t="n"/>
      <c r="X3157" s="8" t="n"/>
      <c r="Y3157" s="8" t="n"/>
    </row>
    <row r="3158">
      <c r="A3158" s="8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9">
        <f>B3158+30</f>
        <v/>
      </c>
      <c r="N3158">
        <f>IF(L3158="", "", L3158-B3158)</f>
        <v/>
      </c>
      <c r="O3158">
        <f>IF(L3158="", "Pending", IF(N3158&lt;=30, "Met", "Breached"))</f>
        <v/>
      </c>
      <c r="P3158" s="8" t="n"/>
      <c r="Q3158" s="8" t="n"/>
      <c r="R3158" s="8" t="n"/>
      <c r="S3158" s="8" t="n"/>
      <c r="T3158" s="8" t="n"/>
      <c r="U3158" s="8" t="n"/>
      <c r="V3158" s="8" t="n"/>
      <c r="W3158" s="8" t="n"/>
      <c r="X3158" s="8" t="n"/>
      <c r="Y3158" s="8" t="n"/>
    </row>
    <row r="3159">
      <c r="A3159" s="8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9">
        <f>B3159+30</f>
        <v/>
      </c>
      <c r="N3159">
        <f>IF(L3159="", "", L3159-B3159)</f>
        <v/>
      </c>
      <c r="O3159">
        <f>IF(L3159="", "Pending", IF(N3159&lt;=30, "Met", "Breached"))</f>
        <v/>
      </c>
      <c r="P3159" s="8" t="n"/>
      <c r="Q3159" s="8" t="n"/>
      <c r="R3159" s="8" t="n"/>
      <c r="S3159" s="8" t="n"/>
      <c r="T3159" s="8" t="n"/>
      <c r="U3159" s="8" t="n"/>
      <c r="V3159" s="8" t="n"/>
      <c r="W3159" s="8" t="n"/>
      <c r="X3159" s="8" t="n"/>
      <c r="Y3159" s="8" t="n"/>
    </row>
    <row r="3160">
      <c r="A3160" s="8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9">
        <f>B3160+30</f>
        <v/>
      </c>
      <c r="N3160">
        <f>IF(L3160="", "", L3160-B3160)</f>
        <v/>
      </c>
      <c r="O3160">
        <f>IF(L3160="", "Pending", IF(N3160&lt;=30, "Met", "Breached"))</f>
        <v/>
      </c>
      <c r="P3160" s="8" t="n"/>
      <c r="Q3160" s="8" t="n"/>
      <c r="R3160" s="8" t="n"/>
      <c r="S3160" s="8" t="n"/>
      <c r="T3160" s="8" t="n"/>
      <c r="U3160" s="8" t="n"/>
      <c r="V3160" s="8" t="n"/>
      <c r="W3160" s="8" t="n"/>
      <c r="X3160" s="8" t="n"/>
      <c r="Y3160" s="8" t="n"/>
    </row>
    <row r="3161">
      <c r="A3161" s="8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9">
        <f>B3161+30</f>
        <v/>
      </c>
      <c r="N3161">
        <f>IF(L3161="", "", L3161-B3161)</f>
        <v/>
      </c>
      <c r="O3161">
        <f>IF(L3161="", "Pending", IF(N3161&lt;=30, "Met", "Breached"))</f>
        <v/>
      </c>
      <c r="P3161" s="8" t="n"/>
      <c r="Q3161" s="8" t="n"/>
      <c r="R3161" s="8" t="n"/>
      <c r="S3161" s="8" t="n"/>
      <c r="T3161" s="8" t="n"/>
      <c r="U3161" s="8" t="n"/>
      <c r="V3161" s="8" t="n"/>
      <c r="W3161" s="8" t="n"/>
      <c r="X3161" s="8" t="n"/>
      <c r="Y3161" s="8" t="n"/>
    </row>
    <row r="3162">
      <c r="A3162" s="8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9">
        <f>B3162+30</f>
        <v/>
      </c>
      <c r="N3162">
        <f>IF(L3162="", "", L3162-B3162)</f>
        <v/>
      </c>
      <c r="O3162">
        <f>IF(L3162="", "Pending", IF(N3162&lt;=30, "Met", "Breached"))</f>
        <v/>
      </c>
      <c r="P3162" s="8" t="n"/>
      <c r="Q3162" s="8" t="n"/>
      <c r="R3162" s="8" t="n"/>
      <c r="S3162" s="8" t="n"/>
      <c r="T3162" s="8" t="n"/>
      <c r="U3162" s="8" t="n"/>
      <c r="V3162" s="8" t="n"/>
      <c r="W3162" s="8" t="n"/>
      <c r="X3162" s="8" t="n"/>
      <c r="Y3162" s="8" t="n"/>
    </row>
    <row r="3163">
      <c r="A3163" s="8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9">
        <f>B3163+30</f>
        <v/>
      </c>
      <c r="N3163">
        <f>IF(L3163="", "", L3163-B3163)</f>
        <v/>
      </c>
      <c r="O3163">
        <f>IF(L3163="", "Pending", IF(N3163&lt;=30, "Met", "Breached"))</f>
        <v/>
      </c>
      <c r="P3163" s="8" t="n"/>
      <c r="Q3163" s="8" t="n"/>
      <c r="R3163" s="8" t="n"/>
      <c r="S3163" s="8" t="n"/>
      <c r="T3163" s="8" t="n"/>
      <c r="U3163" s="8" t="n"/>
      <c r="V3163" s="8" t="n"/>
      <c r="W3163" s="8" t="n"/>
      <c r="X3163" s="8" t="n"/>
      <c r="Y3163" s="8" t="n"/>
    </row>
    <row r="3164">
      <c r="A3164" s="8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9">
        <f>B3164+30</f>
        <v/>
      </c>
      <c r="N3164">
        <f>IF(L3164="", "", L3164-B3164)</f>
        <v/>
      </c>
      <c r="O3164">
        <f>IF(L3164="", "Pending", IF(N3164&lt;=30, "Met", "Breached"))</f>
        <v/>
      </c>
      <c r="P3164" s="8" t="n"/>
      <c r="Q3164" s="8" t="n"/>
      <c r="R3164" s="8" t="n"/>
      <c r="S3164" s="8" t="n"/>
      <c r="T3164" s="8" t="n"/>
      <c r="U3164" s="8" t="n"/>
      <c r="V3164" s="8" t="n"/>
      <c r="W3164" s="8" t="n"/>
      <c r="X3164" s="8" t="n"/>
      <c r="Y3164" s="8" t="n"/>
    </row>
    <row r="3165">
      <c r="A3165" s="8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9">
        <f>B3165+30</f>
        <v/>
      </c>
      <c r="N3165">
        <f>IF(L3165="", "", L3165-B3165)</f>
        <v/>
      </c>
      <c r="O3165">
        <f>IF(L3165="", "Pending", IF(N3165&lt;=30, "Met", "Breached"))</f>
        <v/>
      </c>
      <c r="P3165" s="8" t="n"/>
      <c r="Q3165" s="8" t="n"/>
      <c r="R3165" s="8" t="n"/>
      <c r="S3165" s="8" t="n"/>
      <c r="T3165" s="8" t="n"/>
      <c r="U3165" s="8" t="n"/>
      <c r="V3165" s="8" t="n"/>
      <c r="W3165" s="8" t="n"/>
      <c r="X3165" s="8" t="n"/>
      <c r="Y3165" s="8" t="n"/>
    </row>
    <row r="3166">
      <c r="A3166" s="8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9">
        <f>B3166+30</f>
        <v/>
      </c>
      <c r="N3166">
        <f>IF(L3166="", "", L3166-B3166)</f>
        <v/>
      </c>
      <c r="O3166">
        <f>IF(L3166="", "Pending", IF(N3166&lt;=30, "Met", "Breached"))</f>
        <v/>
      </c>
      <c r="P3166" s="8" t="n"/>
      <c r="Q3166" s="8" t="n"/>
      <c r="R3166" s="8" t="n"/>
      <c r="S3166" s="8" t="n"/>
      <c r="T3166" s="8" t="n"/>
      <c r="U3166" s="8" t="n"/>
      <c r="V3166" s="8" t="n"/>
      <c r="W3166" s="8" t="n"/>
      <c r="X3166" s="8" t="n"/>
      <c r="Y3166" s="8" t="n"/>
    </row>
    <row r="3167">
      <c r="A3167" s="8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9">
        <f>B3167+30</f>
        <v/>
      </c>
      <c r="N3167">
        <f>IF(L3167="", "", L3167-B3167)</f>
        <v/>
      </c>
      <c r="O3167">
        <f>IF(L3167="", "Pending", IF(N3167&lt;=30, "Met", "Breached"))</f>
        <v/>
      </c>
      <c r="P3167" s="8" t="n"/>
      <c r="Q3167" s="8" t="n"/>
      <c r="R3167" s="8" t="n"/>
      <c r="S3167" s="8" t="n"/>
      <c r="T3167" s="8" t="n"/>
      <c r="U3167" s="8" t="n"/>
      <c r="V3167" s="8" t="n"/>
      <c r="W3167" s="8" t="n"/>
      <c r="X3167" s="8" t="n"/>
      <c r="Y3167" s="8" t="n"/>
    </row>
    <row r="3168">
      <c r="A3168" s="8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9">
        <f>B3168+30</f>
        <v/>
      </c>
      <c r="N3168">
        <f>IF(L3168="", "", L3168-B3168)</f>
        <v/>
      </c>
      <c r="O3168">
        <f>IF(L3168="", "Pending", IF(N3168&lt;=30, "Met", "Breached"))</f>
        <v/>
      </c>
      <c r="P3168" s="8" t="n"/>
      <c r="Q3168" s="8" t="n"/>
      <c r="R3168" s="8" t="n"/>
      <c r="S3168" s="8" t="n"/>
      <c r="T3168" s="8" t="n"/>
      <c r="U3168" s="8" t="n"/>
      <c r="V3168" s="8" t="n"/>
      <c r="W3168" s="8" t="n"/>
      <c r="X3168" s="8" t="n"/>
      <c r="Y3168" s="8" t="n"/>
    </row>
    <row r="3169">
      <c r="A3169" s="8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9">
        <f>B3169+30</f>
        <v/>
      </c>
      <c r="N3169">
        <f>IF(L3169="", "", L3169-B3169)</f>
        <v/>
      </c>
      <c r="O3169">
        <f>IF(L3169="", "Pending", IF(N3169&lt;=30, "Met", "Breached"))</f>
        <v/>
      </c>
      <c r="P3169" s="8" t="n"/>
      <c r="Q3169" s="8" t="n"/>
      <c r="R3169" s="8" t="n"/>
      <c r="S3169" s="8" t="n"/>
      <c r="T3169" s="8" t="n"/>
      <c r="U3169" s="8" t="n"/>
      <c r="V3169" s="8" t="n"/>
      <c r="W3169" s="8" t="n"/>
      <c r="X3169" s="8" t="n"/>
      <c r="Y3169" s="8" t="n"/>
    </row>
    <row r="3170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9">
        <f>B3170+30</f>
        <v/>
      </c>
      <c r="N3170">
        <f>IF(L3170="", "", L3170-B3170)</f>
        <v/>
      </c>
      <c r="O3170">
        <f>IF(L3170="", "Pending", IF(N3170&lt;=30, "Met", "Breached"))</f>
        <v/>
      </c>
      <c r="P3170" s="8" t="n"/>
      <c r="Q3170" s="8" t="n"/>
      <c r="R3170" s="8" t="n"/>
      <c r="S3170" s="8" t="n"/>
      <c r="T3170" s="8" t="n"/>
      <c r="U3170" s="8" t="n"/>
      <c r="V3170" s="8" t="n"/>
      <c r="W3170" s="8" t="n"/>
      <c r="X3170" s="8" t="n"/>
      <c r="Y3170" s="8" t="n"/>
    </row>
    <row r="3171">
      <c r="A3171" s="8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9">
        <f>B3171+30</f>
        <v/>
      </c>
      <c r="N3171">
        <f>IF(L3171="", "", L3171-B3171)</f>
        <v/>
      </c>
      <c r="O3171">
        <f>IF(L3171="", "Pending", IF(N3171&lt;=30, "Met", "Breached"))</f>
        <v/>
      </c>
      <c r="P3171" s="8" t="n"/>
      <c r="Q3171" s="8" t="n"/>
      <c r="R3171" s="8" t="n"/>
      <c r="S3171" s="8" t="n"/>
      <c r="T3171" s="8" t="n"/>
      <c r="U3171" s="8" t="n"/>
      <c r="V3171" s="8" t="n"/>
      <c r="W3171" s="8" t="n"/>
      <c r="X3171" s="8" t="n"/>
      <c r="Y3171" s="8" t="n"/>
    </row>
    <row r="3172">
      <c r="A3172" s="8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9">
        <f>B3172+30</f>
        <v/>
      </c>
      <c r="N3172">
        <f>IF(L3172="", "", L3172-B3172)</f>
        <v/>
      </c>
      <c r="O3172">
        <f>IF(L3172="", "Pending", IF(N3172&lt;=30, "Met", "Breached"))</f>
        <v/>
      </c>
      <c r="P3172" s="8" t="n"/>
      <c r="Q3172" s="8" t="n"/>
      <c r="R3172" s="8" t="n"/>
      <c r="S3172" s="8" t="n"/>
      <c r="T3172" s="8" t="n"/>
      <c r="U3172" s="8" t="n"/>
      <c r="V3172" s="8" t="n"/>
      <c r="W3172" s="8" t="n"/>
      <c r="X3172" s="8" t="n"/>
      <c r="Y3172" s="8" t="n"/>
    </row>
    <row r="3173">
      <c r="A3173" s="8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9">
        <f>B3173+30</f>
        <v/>
      </c>
      <c r="N3173">
        <f>IF(L3173="", "", L3173-B3173)</f>
        <v/>
      </c>
      <c r="O3173">
        <f>IF(L3173="", "Pending", IF(N3173&lt;=30, "Met", "Breached"))</f>
        <v/>
      </c>
      <c r="P3173" s="8" t="n"/>
      <c r="Q3173" s="8" t="n"/>
      <c r="R3173" s="8" t="n"/>
      <c r="S3173" s="8" t="n"/>
      <c r="T3173" s="8" t="n"/>
      <c r="U3173" s="8" t="n"/>
      <c r="V3173" s="8" t="n"/>
      <c r="W3173" s="8" t="n"/>
      <c r="X3173" s="8" t="n"/>
      <c r="Y3173" s="8" t="n"/>
    </row>
    <row r="3174">
      <c r="A3174" s="8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9">
        <f>B3174+30</f>
        <v/>
      </c>
      <c r="N3174">
        <f>IF(L3174="", "", L3174-B3174)</f>
        <v/>
      </c>
      <c r="O3174">
        <f>IF(L3174="", "Pending", IF(N3174&lt;=30, "Met", "Breached"))</f>
        <v/>
      </c>
      <c r="P3174" s="8" t="n"/>
      <c r="Q3174" s="8" t="n"/>
      <c r="R3174" s="8" t="n"/>
      <c r="S3174" s="8" t="n"/>
      <c r="T3174" s="8" t="n"/>
      <c r="U3174" s="8" t="n"/>
      <c r="V3174" s="8" t="n"/>
      <c r="W3174" s="8" t="n"/>
      <c r="X3174" s="8" t="n"/>
      <c r="Y3174" s="8" t="n"/>
    </row>
    <row r="3175">
      <c r="A3175" s="8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9">
        <f>B3175+30</f>
        <v/>
      </c>
      <c r="N3175">
        <f>IF(L3175="", "", L3175-B3175)</f>
        <v/>
      </c>
      <c r="O3175">
        <f>IF(L3175="", "Pending", IF(N3175&lt;=30, "Met", "Breached"))</f>
        <v/>
      </c>
      <c r="P3175" s="8" t="n"/>
      <c r="Q3175" s="8" t="n"/>
      <c r="R3175" s="8" t="n"/>
      <c r="S3175" s="8" t="n"/>
      <c r="T3175" s="8" t="n"/>
      <c r="U3175" s="8" t="n"/>
      <c r="V3175" s="8" t="n"/>
      <c r="W3175" s="8" t="n"/>
      <c r="X3175" s="8" t="n"/>
      <c r="Y3175" s="8" t="n"/>
    </row>
    <row r="3176">
      <c r="A3176" s="8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9">
        <f>B3176+30</f>
        <v/>
      </c>
      <c r="N3176">
        <f>IF(L3176="", "", L3176-B3176)</f>
        <v/>
      </c>
      <c r="O3176">
        <f>IF(L3176="", "Pending", IF(N3176&lt;=30, "Met", "Breached"))</f>
        <v/>
      </c>
      <c r="P3176" s="8" t="n"/>
      <c r="Q3176" s="8" t="n"/>
      <c r="R3176" s="8" t="n"/>
      <c r="S3176" s="8" t="n"/>
      <c r="T3176" s="8" t="n"/>
      <c r="U3176" s="8" t="n"/>
      <c r="V3176" s="8" t="n"/>
      <c r="W3176" s="8" t="n"/>
      <c r="X3176" s="8" t="n"/>
      <c r="Y3176" s="8" t="n"/>
    </row>
    <row r="3177">
      <c r="A3177" s="8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9">
        <f>B3177+30</f>
        <v/>
      </c>
      <c r="N3177">
        <f>IF(L3177="", "", L3177-B3177)</f>
        <v/>
      </c>
      <c r="O3177">
        <f>IF(L3177="", "Pending", IF(N3177&lt;=30, "Met", "Breached"))</f>
        <v/>
      </c>
      <c r="P3177" s="8" t="n"/>
      <c r="Q3177" s="8" t="n"/>
      <c r="R3177" s="8" t="n"/>
      <c r="S3177" s="8" t="n"/>
      <c r="T3177" s="8" t="n"/>
      <c r="U3177" s="8" t="n"/>
      <c r="V3177" s="8" t="n"/>
      <c r="W3177" s="8" t="n"/>
      <c r="X3177" s="8" t="n"/>
      <c r="Y3177" s="8" t="n"/>
    </row>
    <row r="3178">
      <c r="A3178" s="8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9">
        <f>B3178+30</f>
        <v/>
      </c>
      <c r="N3178">
        <f>IF(L3178="", "", L3178-B3178)</f>
        <v/>
      </c>
      <c r="O3178">
        <f>IF(L3178="", "Pending", IF(N3178&lt;=30, "Met", "Breached"))</f>
        <v/>
      </c>
      <c r="P3178" s="8" t="n"/>
      <c r="Q3178" s="8" t="n"/>
      <c r="R3178" s="8" t="n"/>
      <c r="S3178" s="8" t="n"/>
      <c r="T3178" s="8" t="n"/>
      <c r="U3178" s="8" t="n"/>
      <c r="V3178" s="8" t="n"/>
      <c r="W3178" s="8" t="n"/>
      <c r="X3178" s="8" t="n"/>
      <c r="Y3178" s="8" t="n"/>
    </row>
    <row r="3179">
      <c r="A3179" s="8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9">
        <f>B3179+30</f>
        <v/>
      </c>
      <c r="N3179">
        <f>IF(L3179="", "", L3179-B3179)</f>
        <v/>
      </c>
      <c r="O3179">
        <f>IF(L3179="", "Pending", IF(N3179&lt;=30, "Met", "Breached"))</f>
        <v/>
      </c>
      <c r="P3179" s="8" t="n"/>
      <c r="Q3179" s="8" t="n"/>
      <c r="R3179" s="8" t="n"/>
      <c r="S3179" s="8" t="n"/>
      <c r="T3179" s="8" t="n"/>
      <c r="U3179" s="8" t="n"/>
      <c r="V3179" s="8" t="n"/>
      <c r="W3179" s="8" t="n"/>
      <c r="X3179" s="8" t="n"/>
      <c r="Y3179" s="8" t="n"/>
    </row>
    <row r="3180">
      <c r="A3180" s="8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9">
        <f>B3180+30</f>
        <v/>
      </c>
      <c r="N3180">
        <f>IF(L3180="", "", L3180-B3180)</f>
        <v/>
      </c>
      <c r="O3180">
        <f>IF(L3180="", "Pending", IF(N3180&lt;=30, "Met", "Breached"))</f>
        <v/>
      </c>
      <c r="P3180" s="8" t="n"/>
      <c r="Q3180" s="8" t="n"/>
      <c r="R3180" s="8" t="n"/>
      <c r="S3180" s="8" t="n"/>
      <c r="T3180" s="8" t="n"/>
      <c r="U3180" s="8" t="n"/>
      <c r="V3180" s="8" t="n"/>
      <c r="W3180" s="8" t="n"/>
      <c r="X3180" s="8" t="n"/>
      <c r="Y3180" s="8" t="n"/>
    </row>
    <row r="3181">
      <c r="A3181" s="8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9">
        <f>B3181+30</f>
        <v/>
      </c>
      <c r="N3181">
        <f>IF(L3181="", "", L3181-B3181)</f>
        <v/>
      </c>
      <c r="O3181">
        <f>IF(L3181="", "Pending", IF(N3181&lt;=30, "Met", "Breached"))</f>
        <v/>
      </c>
      <c r="P3181" s="8" t="n"/>
      <c r="Q3181" s="8" t="n"/>
      <c r="R3181" s="8" t="n"/>
      <c r="S3181" s="8" t="n"/>
      <c r="T3181" s="8" t="n"/>
      <c r="U3181" s="8" t="n"/>
      <c r="V3181" s="8" t="n"/>
      <c r="W3181" s="8" t="n"/>
      <c r="X3181" s="8" t="n"/>
      <c r="Y3181" s="8" t="n"/>
    </row>
    <row r="3182">
      <c r="A3182" s="8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9">
        <f>B3182+30</f>
        <v/>
      </c>
      <c r="N3182">
        <f>IF(L3182="", "", L3182-B3182)</f>
        <v/>
      </c>
      <c r="O3182">
        <f>IF(L3182="", "Pending", IF(N3182&lt;=30, "Met", "Breached"))</f>
        <v/>
      </c>
      <c r="P3182" s="8" t="n"/>
      <c r="Q3182" s="8" t="n"/>
      <c r="R3182" s="8" t="n"/>
      <c r="S3182" s="8" t="n"/>
      <c r="T3182" s="8" t="n"/>
      <c r="U3182" s="8" t="n"/>
      <c r="V3182" s="8" t="n"/>
      <c r="W3182" s="8" t="n"/>
      <c r="X3182" s="8" t="n"/>
      <c r="Y3182" s="8" t="n"/>
    </row>
    <row r="3183">
      <c r="A3183" s="8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9">
        <f>B3183+30</f>
        <v/>
      </c>
      <c r="N3183">
        <f>IF(L3183="", "", L3183-B3183)</f>
        <v/>
      </c>
      <c r="O3183">
        <f>IF(L3183="", "Pending", IF(N3183&lt;=30, "Met", "Breached"))</f>
        <v/>
      </c>
      <c r="P3183" s="8" t="n"/>
      <c r="Q3183" s="8" t="n"/>
      <c r="R3183" s="8" t="n"/>
      <c r="S3183" s="8" t="n"/>
      <c r="T3183" s="8" t="n"/>
      <c r="U3183" s="8" t="n"/>
      <c r="V3183" s="8" t="n"/>
      <c r="W3183" s="8" t="n"/>
      <c r="X3183" s="8" t="n"/>
      <c r="Y3183" s="8" t="n"/>
    </row>
    <row r="3184">
      <c r="A3184" s="8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9">
        <f>B3184+30</f>
        <v/>
      </c>
      <c r="N3184">
        <f>IF(L3184="", "", L3184-B3184)</f>
        <v/>
      </c>
      <c r="O3184">
        <f>IF(L3184="", "Pending", IF(N3184&lt;=30, "Met", "Breached"))</f>
        <v/>
      </c>
      <c r="P3184" s="8" t="n"/>
      <c r="Q3184" s="8" t="n"/>
      <c r="R3184" s="8" t="n"/>
      <c r="S3184" s="8" t="n"/>
      <c r="T3184" s="8" t="n"/>
      <c r="U3184" s="8" t="n"/>
      <c r="V3184" s="8" t="n"/>
      <c r="W3184" s="8" t="n"/>
      <c r="X3184" s="8" t="n"/>
      <c r="Y3184" s="8" t="n"/>
    </row>
    <row r="3185">
      <c r="A3185" s="8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9">
        <f>B3185+30</f>
        <v/>
      </c>
      <c r="N3185">
        <f>IF(L3185="", "", L3185-B3185)</f>
        <v/>
      </c>
      <c r="O3185">
        <f>IF(L3185="", "Pending", IF(N3185&lt;=30, "Met", "Breached"))</f>
        <v/>
      </c>
      <c r="P3185" s="8" t="n"/>
      <c r="Q3185" s="8" t="n"/>
      <c r="R3185" s="8" t="n"/>
      <c r="S3185" s="8" t="n"/>
      <c r="T3185" s="8" t="n"/>
      <c r="U3185" s="8" t="n"/>
      <c r="V3185" s="8" t="n"/>
      <c r="W3185" s="8" t="n"/>
      <c r="X3185" s="8" t="n"/>
      <c r="Y3185" s="8" t="n"/>
    </row>
    <row r="3186">
      <c r="A3186" s="8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9">
        <f>B3186+30</f>
        <v/>
      </c>
      <c r="N3186">
        <f>IF(L3186="", "", L3186-B3186)</f>
        <v/>
      </c>
      <c r="O3186">
        <f>IF(L3186="", "Pending", IF(N3186&lt;=30, "Met", "Breached"))</f>
        <v/>
      </c>
      <c r="P3186" s="8" t="n"/>
      <c r="Q3186" s="8" t="n"/>
      <c r="R3186" s="8" t="n"/>
      <c r="S3186" s="8" t="n"/>
      <c r="T3186" s="8" t="n"/>
      <c r="U3186" s="8" t="n"/>
      <c r="V3186" s="8" t="n"/>
      <c r="W3186" s="8" t="n"/>
      <c r="X3186" s="8" t="n"/>
      <c r="Y3186" s="8" t="n"/>
    </row>
    <row r="3187">
      <c r="A3187" s="8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9">
        <f>B3187+30</f>
        <v/>
      </c>
      <c r="N3187">
        <f>IF(L3187="", "", L3187-B3187)</f>
        <v/>
      </c>
      <c r="O3187">
        <f>IF(L3187="", "Pending", IF(N3187&lt;=30, "Met", "Breached"))</f>
        <v/>
      </c>
      <c r="P3187" s="8" t="n"/>
      <c r="Q3187" s="8" t="n"/>
      <c r="R3187" s="8" t="n"/>
      <c r="S3187" s="8" t="n"/>
      <c r="T3187" s="8" t="n"/>
      <c r="U3187" s="8" t="n"/>
      <c r="V3187" s="8" t="n"/>
      <c r="W3187" s="8" t="n"/>
      <c r="X3187" s="8" t="n"/>
      <c r="Y3187" s="8" t="n"/>
    </row>
    <row r="3188">
      <c r="A3188" s="8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9">
        <f>B3188+30</f>
        <v/>
      </c>
      <c r="N3188">
        <f>IF(L3188="", "", L3188-B3188)</f>
        <v/>
      </c>
      <c r="O3188">
        <f>IF(L3188="", "Pending", IF(N3188&lt;=30, "Met", "Breached"))</f>
        <v/>
      </c>
      <c r="P3188" s="8" t="n"/>
      <c r="Q3188" s="8" t="n"/>
      <c r="R3188" s="8" t="n"/>
      <c r="S3188" s="8" t="n"/>
      <c r="T3188" s="8" t="n"/>
      <c r="U3188" s="8" t="n"/>
      <c r="V3188" s="8" t="n"/>
      <c r="W3188" s="8" t="n"/>
      <c r="X3188" s="8" t="n"/>
      <c r="Y3188" s="8" t="n"/>
    </row>
    <row r="3189">
      <c r="A3189" s="8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9">
        <f>B3189+30</f>
        <v/>
      </c>
      <c r="N3189">
        <f>IF(L3189="", "", L3189-B3189)</f>
        <v/>
      </c>
      <c r="O3189">
        <f>IF(L3189="", "Pending", IF(N3189&lt;=30, "Met", "Breached"))</f>
        <v/>
      </c>
      <c r="P3189" s="8" t="n"/>
      <c r="Q3189" s="8" t="n"/>
      <c r="R3189" s="8" t="n"/>
      <c r="S3189" s="8" t="n"/>
      <c r="T3189" s="8" t="n"/>
      <c r="U3189" s="8" t="n"/>
      <c r="V3189" s="8" t="n"/>
      <c r="W3189" s="8" t="n"/>
      <c r="X3189" s="8" t="n"/>
      <c r="Y3189" s="8" t="n"/>
    </row>
    <row r="3190">
      <c r="A3190" s="8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9">
        <f>B3190+30</f>
        <v/>
      </c>
      <c r="N3190">
        <f>IF(L3190="", "", L3190-B3190)</f>
        <v/>
      </c>
      <c r="O3190">
        <f>IF(L3190="", "Pending", IF(N3190&lt;=30, "Met", "Breached"))</f>
        <v/>
      </c>
      <c r="P3190" s="8" t="n"/>
      <c r="Q3190" s="8" t="n"/>
      <c r="R3190" s="8" t="n"/>
      <c r="S3190" s="8" t="n"/>
      <c r="T3190" s="8" t="n"/>
      <c r="U3190" s="8" t="n"/>
      <c r="V3190" s="8" t="n"/>
      <c r="W3190" s="8" t="n"/>
      <c r="X3190" s="8" t="n"/>
      <c r="Y3190" s="8" t="n"/>
    </row>
    <row r="3191">
      <c r="A3191" s="8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9">
        <f>B3191+30</f>
        <v/>
      </c>
      <c r="N3191">
        <f>IF(L3191="", "", L3191-B3191)</f>
        <v/>
      </c>
      <c r="O3191">
        <f>IF(L3191="", "Pending", IF(N3191&lt;=30, "Met", "Breached"))</f>
        <v/>
      </c>
      <c r="P3191" s="8" t="n"/>
      <c r="Q3191" s="8" t="n"/>
      <c r="R3191" s="8" t="n"/>
      <c r="S3191" s="8" t="n"/>
      <c r="T3191" s="8" t="n"/>
      <c r="U3191" s="8" t="n"/>
      <c r="V3191" s="8" t="n"/>
      <c r="W3191" s="8" t="n"/>
      <c r="X3191" s="8" t="n"/>
      <c r="Y3191" s="8" t="n"/>
    </row>
    <row r="3192">
      <c r="A3192" s="8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9">
        <f>B3192+30</f>
        <v/>
      </c>
      <c r="N3192">
        <f>IF(L3192="", "", L3192-B3192)</f>
        <v/>
      </c>
      <c r="O3192">
        <f>IF(L3192="", "Pending", IF(N3192&lt;=30, "Met", "Breached"))</f>
        <v/>
      </c>
      <c r="P3192" s="8" t="n"/>
      <c r="Q3192" s="8" t="n"/>
      <c r="R3192" s="8" t="n"/>
      <c r="S3192" s="8" t="n"/>
      <c r="T3192" s="8" t="n"/>
      <c r="U3192" s="8" t="n"/>
      <c r="V3192" s="8" t="n"/>
      <c r="W3192" s="8" t="n"/>
      <c r="X3192" s="8" t="n"/>
      <c r="Y3192" s="8" t="n"/>
    </row>
    <row r="3193">
      <c r="A3193" s="8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9">
        <f>B3193+30</f>
        <v/>
      </c>
      <c r="N3193">
        <f>IF(L3193="", "", L3193-B3193)</f>
        <v/>
      </c>
      <c r="O3193">
        <f>IF(L3193="", "Pending", IF(N3193&lt;=30, "Met", "Breached"))</f>
        <v/>
      </c>
      <c r="P3193" s="8" t="n"/>
      <c r="Q3193" s="8" t="n"/>
      <c r="R3193" s="8" t="n"/>
      <c r="S3193" s="8" t="n"/>
      <c r="T3193" s="8" t="n"/>
      <c r="U3193" s="8" t="n"/>
      <c r="V3193" s="8" t="n"/>
      <c r="W3193" s="8" t="n"/>
      <c r="X3193" s="8" t="n"/>
      <c r="Y3193" s="8" t="n"/>
    </row>
    <row r="3194">
      <c r="A3194" s="8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9">
        <f>B3194+30</f>
        <v/>
      </c>
      <c r="N3194">
        <f>IF(L3194="", "", L3194-B3194)</f>
        <v/>
      </c>
      <c r="O3194">
        <f>IF(L3194="", "Pending", IF(N3194&lt;=30, "Met", "Breached"))</f>
        <v/>
      </c>
      <c r="P3194" s="8" t="n"/>
      <c r="Q3194" s="8" t="n"/>
      <c r="R3194" s="8" t="n"/>
      <c r="S3194" s="8" t="n"/>
      <c r="T3194" s="8" t="n"/>
      <c r="U3194" s="8" t="n"/>
      <c r="V3194" s="8" t="n"/>
      <c r="W3194" s="8" t="n"/>
      <c r="X3194" s="8" t="n"/>
      <c r="Y3194" s="8" t="n"/>
    </row>
    <row r="3195">
      <c r="A3195" s="8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9">
        <f>B3195+30</f>
        <v/>
      </c>
      <c r="N3195">
        <f>IF(L3195="", "", L3195-B3195)</f>
        <v/>
      </c>
      <c r="O3195">
        <f>IF(L3195="", "Pending", IF(N3195&lt;=30, "Met", "Breached"))</f>
        <v/>
      </c>
      <c r="P3195" s="8" t="n"/>
      <c r="Q3195" s="8" t="n"/>
      <c r="R3195" s="8" t="n"/>
      <c r="S3195" s="8" t="n"/>
      <c r="T3195" s="8" t="n"/>
      <c r="U3195" s="8" t="n"/>
      <c r="V3195" s="8" t="n"/>
      <c r="W3195" s="8" t="n"/>
      <c r="X3195" s="8" t="n"/>
      <c r="Y3195" s="8" t="n"/>
    </row>
    <row r="3196">
      <c r="A3196" s="8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9">
        <f>B3196+30</f>
        <v/>
      </c>
      <c r="N3196">
        <f>IF(L3196="", "", L3196-B3196)</f>
        <v/>
      </c>
      <c r="O3196">
        <f>IF(L3196="", "Pending", IF(N3196&lt;=30, "Met", "Breached"))</f>
        <v/>
      </c>
      <c r="P3196" s="8" t="n"/>
      <c r="Q3196" s="8" t="n"/>
      <c r="R3196" s="8" t="n"/>
      <c r="S3196" s="8" t="n"/>
      <c r="T3196" s="8" t="n"/>
      <c r="U3196" s="8" t="n"/>
      <c r="V3196" s="8" t="n"/>
      <c r="W3196" s="8" t="n"/>
      <c r="X3196" s="8" t="n"/>
      <c r="Y3196" s="8" t="n"/>
    </row>
    <row r="3197">
      <c r="A3197" s="8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9">
        <f>B3197+30</f>
        <v/>
      </c>
      <c r="N3197">
        <f>IF(L3197="", "", L3197-B3197)</f>
        <v/>
      </c>
      <c r="O3197">
        <f>IF(L3197="", "Pending", IF(N3197&lt;=30, "Met", "Breached"))</f>
        <v/>
      </c>
      <c r="P3197" s="8" t="n"/>
      <c r="Q3197" s="8" t="n"/>
      <c r="R3197" s="8" t="n"/>
      <c r="S3197" s="8" t="n"/>
      <c r="T3197" s="8" t="n"/>
      <c r="U3197" s="8" t="n"/>
      <c r="V3197" s="8" t="n"/>
      <c r="W3197" s="8" t="n"/>
      <c r="X3197" s="8" t="n"/>
      <c r="Y3197" s="8" t="n"/>
    </row>
    <row r="3198">
      <c r="A3198" s="8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9">
        <f>B3198+30</f>
        <v/>
      </c>
      <c r="N3198">
        <f>IF(L3198="", "", L3198-B3198)</f>
        <v/>
      </c>
      <c r="O3198">
        <f>IF(L3198="", "Pending", IF(N3198&lt;=30, "Met", "Breached"))</f>
        <v/>
      </c>
      <c r="P3198" s="8" t="n"/>
      <c r="Q3198" s="8" t="n"/>
      <c r="R3198" s="8" t="n"/>
      <c r="S3198" s="8" t="n"/>
      <c r="T3198" s="8" t="n"/>
      <c r="U3198" s="8" t="n"/>
      <c r="V3198" s="8" t="n"/>
      <c r="W3198" s="8" t="n"/>
      <c r="X3198" s="8" t="n"/>
      <c r="Y3198" s="8" t="n"/>
    </row>
    <row r="3199">
      <c r="A3199" s="8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9">
        <f>B3199+30</f>
        <v/>
      </c>
      <c r="N3199">
        <f>IF(L3199="", "", L3199-B3199)</f>
        <v/>
      </c>
      <c r="O3199">
        <f>IF(L3199="", "Pending", IF(N3199&lt;=30, "Met", "Breached"))</f>
        <v/>
      </c>
      <c r="P3199" s="8" t="n"/>
      <c r="Q3199" s="8" t="n"/>
      <c r="R3199" s="8" t="n"/>
      <c r="S3199" s="8" t="n"/>
      <c r="T3199" s="8" t="n"/>
      <c r="U3199" s="8" t="n"/>
      <c r="V3199" s="8" t="n"/>
      <c r="W3199" s="8" t="n"/>
      <c r="X3199" s="8" t="n"/>
      <c r="Y3199" s="8" t="n"/>
    </row>
    <row r="3200">
      <c r="A3200" s="8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9">
        <f>B3200+30</f>
        <v/>
      </c>
      <c r="N3200">
        <f>IF(L3200="", "", L3200-B3200)</f>
        <v/>
      </c>
      <c r="O3200">
        <f>IF(L3200="", "Pending", IF(N3200&lt;=30, "Met", "Breached"))</f>
        <v/>
      </c>
      <c r="P3200" s="8" t="n"/>
      <c r="Q3200" s="8" t="n"/>
      <c r="R3200" s="8" t="n"/>
      <c r="S3200" s="8" t="n"/>
      <c r="T3200" s="8" t="n"/>
      <c r="U3200" s="8" t="n"/>
      <c r="V3200" s="8" t="n"/>
      <c r="W3200" s="8" t="n"/>
      <c r="X3200" s="8" t="n"/>
      <c r="Y3200" s="8" t="n"/>
    </row>
    <row r="3201">
      <c r="A3201" s="8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9">
        <f>B3201+30</f>
        <v/>
      </c>
      <c r="N3201">
        <f>IF(L3201="", "", L3201-B3201)</f>
        <v/>
      </c>
      <c r="O3201">
        <f>IF(L3201="", "Pending", IF(N3201&lt;=30, "Met", "Breached"))</f>
        <v/>
      </c>
      <c r="P3201" s="8" t="n"/>
      <c r="Q3201" s="8" t="n"/>
      <c r="R3201" s="8" t="n"/>
      <c r="S3201" s="8" t="n"/>
      <c r="T3201" s="8" t="n"/>
      <c r="U3201" s="8" t="n"/>
      <c r="V3201" s="8" t="n"/>
      <c r="W3201" s="8" t="n"/>
      <c r="X3201" s="8" t="n"/>
      <c r="Y3201" s="8" t="n"/>
    </row>
    <row r="3202">
      <c r="A3202" s="8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9">
        <f>B3202+30</f>
        <v/>
      </c>
      <c r="N3202">
        <f>IF(L3202="", "", L3202-B3202)</f>
        <v/>
      </c>
      <c r="O3202">
        <f>IF(L3202="", "Pending", IF(N3202&lt;=30, "Met", "Breached"))</f>
        <v/>
      </c>
      <c r="P3202" s="8" t="n"/>
      <c r="Q3202" s="8" t="n"/>
      <c r="R3202" s="8" t="n"/>
      <c r="S3202" s="8" t="n"/>
      <c r="T3202" s="8" t="n"/>
      <c r="U3202" s="8" t="n"/>
      <c r="V3202" s="8" t="n"/>
      <c r="W3202" s="8" t="n"/>
      <c r="X3202" s="8" t="n"/>
      <c r="Y3202" s="8" t="n"/>
    </row>
    <row r="3203">
      <c r="A3203" s="8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9">
        <f>B3203+30</f>
        <v/>
      </c>
      <c r="N3203">
        <f>IF(L3203="", "", L3203-B3203)</f>
        <v/>
      </c>
      <c r="O3203">
        <f>IF(L3203="", "Pending", IF(N3203&lt;=30, "Met", "Breached"))</f>
        <v/>
      </c>
      <c r="P3203" s="8" t="n"/>
      <c r="Q3203" s="8" t="n"/>
      <c r="R3203" s="8" t="n"/>
      <c r="S3203" s="8" t="n"/>
      <c r="T3203" s="8" t="n"/>
      <c r="U3203" s="8" t="n"/>
      <c r="V3203" s="8" t="n"/>
      <c r="W3203" s="8" t="n"/>
      <c r="X3203" s="8" t="n"/>
      <c r="Y3203" s="8" t="n"/>
    </row>
    <row r="3204">
      <c r="A3204" s="8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9">
        <f>B3204+30</f>
        <v/>
      </c>
      <c r="N3204">
        <f>IF(L3204="", "", L3204-B3204)</f>
        <v/>
      </c>
      <c r="O3204">
        <f>IF(L3204="", "Pending", IF(N3204&lt;=30, "Met", "Breached"))</f>
        <v/>
      </c>
      <c r="P3204" s="8" t="n"/>
      <c r="Q3204" s="8" t="n"/>
      <c r="R3204" s="8" t="n"/>
      <c r="S3204" s="8" t="n"/>
      <c r="T3204" s="8" t="n"/>
      <c r="U3204" s="8" t="n"/>
      <c r="V3204" s="8" t="n"/>
      <c r="W3204" s="8" t="n"/>
      <c r="X3204" s="8" t="n"/>
      <c r="Y3204" s="8" t="n"/>
    </row>
    <row r="3205">
      <c r="A3205" s="8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9">
        <f>B3205+30</f>
        <v/>
      </c>
      <c r="N3205">
        <f>IF(L3205="", "", L3205-B3205)</f>
        <v/>
      </c>
      <c r="O3205">
        <f>IF(L3205="", "Pending", IF(N3205&lt;=30, "Met", "Breached"))</f>
        <v/>
      </c>
      <c r="P3205" s="8" t="n"/>
      <c r="Q3205" s="8" t="n"/>
      <c r="R3205" s="8" t="n"/>
      <c r="S3205" s="8" t="n"/>
      <c r="T3205" s="8" t="n"/>
      <c r="U3205" s="8" t="n"/>
      <c r="V3205" s="8" t="n"/>
      <c r="W3205" s="8" t="n"/>
      <c r="X3205" s="8" t="n"/>
      <c r="Y3205" s="8" t="n"/>
    </row>
    <row r="3206">
      <c r="A3206" s="8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9">
        <f>B3206+30</f>
        <v/>
      </c>
      <c r="N3206">
        <f>IF(L3206="", "", L3206-B3206)</f>
        <v/>
      </c>
      <c r="O3206">
        <f>IF(L3206="", "Pending", IF(N3206&lt;=30, "Met", "Breached"))</f>
        <v/>
      </c>
      <c r="P3206" s="8" t="n"/>
      <c r="Q3206" s="8" t="n"/>
      <c r="R3206" s="8" t="n"/>
      <c r="S3206" s="8" t="n"/>
      <c r="T3206" s="8" t="n"/>
      <c r="U3206" s="8" t="n"/>
      <c r="V3206" s="8" t="n"/>
      <c r="W3206" s="8" t="n"/>
      <c r="X3206" s="8" t="n"/>
      <c r="Y3206" s="8" t="n"/>
    </row>
    <row r="3207">
      <c r="A3207" s="8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9">
        <f>B3207+30</f>
        <v/>
      </c>
      <c r="N3207">
        <f>IF(L3207="", "", L3207-B3207)</f>
        <v/>
      </c>
      <c r="O3207">
        <f>IF(L3207="", "Pending", IF(N3207&lt;=30, "Met", "Breached"))</f>
        <v/>
      </c>
      <c r="P3207" s="8" t="n"/>
      <c r="Q3207" s="8" t="n"/>
      <c r="R3207" s="8" t="n"/>
      <c r="S3207" s="8" t="n"/>
      <c r="T3207" s="8" t="n"/>
      <c r="U3207" s="8" t="n"/>
      <c r="V3207" s="8" t="n"/>
      <c r="W3207" s="8" t="n"/>
      <c r="X3207" s="8" t="n"/>
      <c r="Y3207" s="8" t="n"/>
    </row>
    <row r="3208">
      <c r="A3208" s="8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9">
        <f>B3208+30</f>
        <v/>
      </c>
      <c r="N3208">
        <f>IF(L3208="", "", L3208-B3208)</f>
        <v/>
      </c>
      <c r="O3208">
        <f>IF(L3208="", "Pending", IF(N3208&lt;=30, "Met", "Breached"))</f>
        <v/>
      </c>
      <c r="P3208" s="8" t="n"/>
      <c r="Q3208" s="8" t="n"/>
      <c r="R3208" s="8" t="n"/>
      <c r="S3208" s="8" t="n"/>
      <c r="T3208" s="8" t="n"/>
      <c r="U3208" s="8" t="n"/>
      <c r="V3208" s="8" t="n"/>
      <c r="W3208" s="8" t="n"/>
      <c r="X3208" s="8" t="n"/>
      <c r="Y3208" s="8" t="n"/>
    </row>
    <row r="3209">
      <c r="A3209" s="8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9">
        <f>B3209+30</f>
        <v/>
      </c>
      <c r="N3209">
        <f>IF(L3209="", "", L3209-B3209)</f>
        <v/>
      </c>
      <c r="O3209">
        <f>IF(L3209="", "Pending", IF(N3209&lt;=30, "Met", "Breached"))</f>
        <v/>
      </c>
      <c r="P3209" s="8" t="n"/>
      <c r="Q3209" s="8" t="n"/>
      <c r="R3209" s="8" t="n"/>
      <c r="S3209" s="8" t="n"/>
      <c r="T3209" s="8" t="n"/>
      <c r="U3209" s="8" t="n"/>
      <c r="V3209" s="8" t="n"/>
      <c r="W3209" s="8" t="n"/>
      <c r="X3209" s="8" t="n"/>
      <c r="Y3209" s="8" t="n"/>
    </row>
    <row r="3210">
      <c r="A3210" s="8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9">
        <f>B3210+30</f>
        <v/>
      </c>
      <c r="N3210">
        <f>IF(L3210="", "", L3210-B3210)</f>
        <v/>
      </c>
      <c r="O3210">
        <f>IF(L3210="", "Pending", IF(N3210&lt;=30, "Met", "Breached"))</f>
        <v/>
      </c>
      <c r="P3210" s="8" t="n"/>
      <c r="Q3210" s="8" t="n"/>
      <c r="R3210" s="8" t="n"/>
      <c r="S3210" s="8" t="n"/>
      <c r="T3210" s="8" t="n"/>
      <c r="U3210" s="8" t="n"/>
      <c r="V3210" s="8" t="n"/>
      <c r="W3210" s="8" t="n"/>
      <c r="X3210" s="8" t="n"/>
      <c r="Y3210" s="8" t="n"/>
    </row>
    <row r="3211">
      <c r="A3211" s="8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9">
        <f>B3211+30</f>
        <v/>
      </c>
      <c r="N3211">
        <f>IF(L3211="", "", L3211-B3211)</f>
        <v/>
      </c>
      <c r="O3211">
        <f>IF(L3211="", "Pending", IF(N3211&lt;=30, "Met", "Breached"))</f>
        <v/>
      </c>
      <c r="P3211" s="8" t="n"/>
      <c r="Q3211" s="8" t="n"/>
      <c r="R3211" s="8" t="n"/>
      <c r="S3211" s="8" t="n"/>
      <c r="T3211" s="8" t="n"/>
      <c r="U3211" s="8" t="n"/>
      <c r="V3211" s="8" t="n"/>
      <c r="W3211" s="8" t="n"/>
      <c r="X3211" s="8" t="n"/>
      <c r="Y3211" s="8" t="n"/>
    </row>
    <row r="3212">
      <c r="A3212" s="8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9">
        <f>B3212+30</f>
        <v/>
      </c>
      <c r="N3212">
        <f>IF(L3212="", "", L3212-B3212)</f>
        <v/>
      </c>
      <c r="O3212">
        <f>IF(L3212="", "Pending", IF(N3212&lt;=30, "Met", "Breached"))</f>
        <v/>
      </c>
      <c r="P3212" s="8" t="n"/>
      <c r="Q3212" s="8" t="n"/>
      <c r="R3212" s="8" t="n"/>
      <c r="S3212" s="8" t="n"/>
      <c r="T3212" s="8" t="n"/>
      <c r="U3212" s="8" t="n"/>
      <c r="V3212" s="8" t="n"/>
      <c r="W3212" s="8" t="n"/>
      <c r="X3212" s="8" t="n"/>
      <c r="Y3212" s="8" t="n"/>
    </row>
    <row r="3213">
      <c r="A3213" s="8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9">
        <f>B3213+30</f>
        <v/>
      </c>
      <c r="N3213">
        <f>IF(L3213="", "", L3213-B3213)</f>
        <v/>
      </c>
      <c r="O3213">
        <f>IF(L3213="", "Pending", IF(N3213&lt;=30, "Met", "Breached"))</f>
        <v/>
      </c>
      <c r="P3213" s="8" t="n"/>
      <c r="Q3213" s="8" t="n"/>
      <c r="R3213" s="8" t="n"/>
      <c r="S3213" s="8" t="n"/>
      <c r="T3213" s="8" t="n"/>
      <c r="U3213" s="8" t="n"/>
      <c r="V3213" s="8" t="n"/>
      <c r="W3213" s="8" t="n"/>
      <c r="X3213" s="8" t="n"/>
      <c r="Y3213" s="8" t="n"/>
    </row>
    <row r="3214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9">
        <f>B3214+30</f>
        <v/>
      </c>
      <c r="N3214">
        <f>IF(L3214="", "", L3214-B3214)</f>
        <v/>
      </c>
      <c r="O3214">
        <f>IF(L3214="", "Pending", IF(N3214&lt;=30, "Met", "Breached"))</f>
        <v/>
      </c>
      <c r="P3214" s="8" t="n"/>
      <c r="Q3214" s="8" t="n"/>
      <c r="R3214" s="8" t="n"/>
      <c r="S3214" s="8" t="n"/>
      <c r="T3214" s="8" t="n"/>
      <c r="U3214" s="8" t="n"/>
      <c r="V3214" s="8" t="n"/>
      <c r="W3214" s="8" t="n"/>
      <c r="X3214" s="8" t="n"/>
      <c r="Y3214" s="8" t="n"/>
    </row>
    <row r="3215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9">
        <f>B3215+30</f>
        <v/>
      </c>
      <c r="N3215">
        <f>IF(L3215="", "", L3215-B3215)</f>
        <v/>
      </c>
      <c r="O3215">
        <f>IF(L3215="", "Pending", IF(N3215&lt;=30, "Met", "Breached"))</f>
        <v/>
      </c>
      <c r="P3215" s="8" t="n"/>
      <c r="Q3215" s="8" t="n"/>
      <c r="R3215" s="8" t="n"/>
      <c r="S3215" s="8" t="n"/>
      <c r="T3215" s="8" t="n"/>
      <c r="U3215" s="8" t="n"/>
      <c r="V3215" s="8" t="n"/>
      <c r="W3215" s="8" t="n"/>
      <c r="X3215" s="8" t="n"/>
      <c r="Y3215" s="8" t="n"/>
    </row>
    <row r="3216">
      <c r="A3216" s="8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9">
        <f>B3216+30</f>
        <v/>
      </c>
      <c r="N3216">
        <f>IF(L3216="", "", L3216-B3216)</f>
        <v/>
      </c>
      <c r="O3216">
        <f>IF(L3216="", "Pending", IF(N3216&lt;=30, "Met", "Breached"))</f>
        <v/>
      </c>
      <c r="P3216" s="8" t="n"/>
      <c r="Q3216" s="8" t="n"/>
      <c r="R3216" s="8" t="n"/>
      <c r="S3216" s="8" t="n"/>
      <c r="T3216" s="8" t="n"/>
      <c r="U3216" s="8" t="n"/>
      <c r="V3216" s="8" t="n"/>
      <c r="W3216" s="8" t="n"/>
      <c r="X3216" s="8" t="n"/>
      <c r="Y3216" s="8" t="n"/>
    </row>
    <row r="3217">
      <c r="A3217" s="8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9">
        <f>B3217+30</f>
        <v/>
      </c>
      <c r="N3217">
        <f>IF(L3217="", "", L3217-B3217)</f>
        <v/>
      </c>
      <c r="O3217">
        <f>IF(L3217="", "Pending", IF(N3217&lt;=30, "Met", "Breached"))</f>
        <v/>
      </c>
      <c r="P3217" s="8" t="n"/>
      <c r="Q3217" s="8" t="n"/>
      <c r="R3217" s="8" t="n"/>
      <c r="S3217" s="8" t="n"/>
      <c r="T3217" s="8" t="n"/>
      <c r="U3217" s="8" t="n"/>
      <c r="V3217" s="8" t="n"/>
      <c r="W3217" s="8" t="n"/>
      <c r="X3217" s="8" t="n"/>
      <c r="Y3217" s="8" t="n"/>
    </row>
    <row r="3218">
      <c r="A3218" s="8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9">
        <f>B3218+30</f>
        <v/>
      </c>
      <c r="N3218">
        <f>IF(L3218="", "", L3218-B3218)</f>
        <v/>
      </c>
      <c r="O3218">
        <f>IF(L3218="", "Pending", IF(N3218&lt;=30, "Met", "Breached"))</f>
        <v/>
      </c>
      <c r="P3218" s="8" t="n"/>
      <c r="Q3218" s="8" t="n"/>
      <c r="R3218" s="8" t="n"/>
      <c r="S3218" s="8" t="n"/>
      <c r="T3218" s="8" t="n"/>
      <c r="U3218" s="8" t="n"/>
      <c r="V3218" s="8" t="n"/>
      <c r="W3218" s="8" t="n"/>
      <c r="X3218" s="8" t="n"/>
      <c r="Y3218" s="8" t="n"/>
    </row>
    <row r="3219">
      <c r="A3219" s="8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9">
        <f>B3219+30</f>
        <v/>
      </c>
      <c r="N3219">
        <f>IF(L3219="", "", L3219-B3219)</f>
        <v/>
      </c>
      <c r="O3219">
        <f>IF(L3219="", "Pending", IF(N3219&lt;=30, "Met", "Breached"))</f>
        <v/>
      </c>
      <c r="P3219" s="8" t="n"/>
      <c r="Q3219" s="8" t="n"/>
      <c r="R3219" s="8" t="n"/>
      <c r="S3219" s="8" t="n"/>
      <c r="T3219" s="8" t="n"/>
      <c r="U3219" s="8" t="n"/>
      <c r="V3219" s="8" t="n"/>
      <c r="W3219" s="8" t="n"/>
      <c r="X3219" s="8" t="n"/>
      <c r="Y3219" s="8" t="n"/>
    </row>
    <row r="3220">
      <c r="A3220" s="8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9">
        <f>B3220+30</f>
        <v/>
      </c>
      <c r="N3220">
        <f>IF(L3220="", "", L3220-B3220)</f>
        <v/>
      </c>
      <c r="O3220">
        <f>IF(L3220="", "Pending", IF(N3220&lt;=30, "Met", "Breached"))</f>
        <v/>
      </c>
      <c r="P3220" s="8" t="n"/>
      <c r="Q3220" s="8" t="n"/>
      <c r="R3220" s="8" t="n"/>
      <c r="S3220" s="8" t="n"/>
      <c r="T3220" s="8" t="n"/>
      <c r="U3220" s="8" t="n"/>
      <c r="V3220" s="8" t="n"/>
      <c r="W3220" s="8" t="n"/>
      <c r="X3220" s="8" t="n"/>
      <c r="Y3220" s="8" t="n"/>
    </row>
    <row r="3221">
      <c r="A3221" s="8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9">
        <f>B3221+30</f>
        <v/>
      </c>
      <c r="N3221">
        <f>IF(L3221="", "", L3221-B3221)</f>
        <v/>
      </c>
      <c r="O3221">
        <f>IF(L3221="", "Pending", IF(N3221&lt;=30, "Met", "Breached"))</f>
        <v/>
      </c>
      <c r="P3221" s="8" t="n"/>
      <c r="Q3221" s="8" t="n"/>
      <c r="R3221" s="8" t="n"/>
      <c r="S3221" s="8" t="n"/>
      <c r="T3221" s="8" t="n"/>
      <c r="U3221" s="8" t="n"/>
      <c r="V3221" s="8" t="n"/>
      <c r="W3221" s="8" t="n"/>
      <c r="X3221" s="8" t="n"/>
      <c r="Y3221" s="8" t="n"/>
    </row>
    <row r="3222">
      <c r="A3222" s="8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9">
        <f>B3222+30</f>
        <v/>
      </c>
      <c r="N3222">
        <f>IF(L3222="", "", L3222-B3222)</f>
        <v/>
      </c>
      <c r="O3222">
        <f>IF(L3222="", "Pending", IF(N3222&lt;=30, "Met", "Breached"))</f>
        <v/>
      </c>
      <c r="P3222" s="8" t="n"/>
      <c r="Q3222" s="8" t="n"/>
      <c r="R3222" s="8" t="n"/>
      <c r="S3222" s="8" t="n"/>
      <c r="T3222" s="8" t="n"/>
      <c r="U3222" s="8" t="n"/>
      <c r="V3222" s="8" t="n"/>
      <c r="W3222" s="8" t="n"/>
      <c r="X3222" s="8" t="n"/>
      <c r="Y3222" s="8" t="n"/>
    </row>
    <row r="3223">
      <c r="A3223" s="8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9">
        <f>B3223+30</f>
        <v/>
      </c>
      <c r="N3223">
        <f>IF(L3223="", "", L3223-B3223)</f>
        <v/>
      </c>
      <c r="O3223">
        <f>IF(L3223="", "Pending", IF(N3223&lt;=30, "Met", "Breached"))</f>
        <v/>
      </c>
      <c r="P3223" s="8" t="n"/>
      <c r="Q3223" s="8" t="n"/>
      <c r="R3223" s="8" t="n"/>
      <c r="S3223" s="8" t="n"/>
      <c r="T3223" s="8" t="n"/>
      <c r="U3223" s="8" t="n"/>
      <c r="V3223" s="8" t="n"/>
      <c r="W3223" s="8" t="n"/>
      <c r="X3223" s="8" t="n"/>
      <c r="Y3223" s="8" t="n"/>
    </row>
    <row r="3224">
      <c r="A3224" s="8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9">
        <f>B3224+30</f>
        <v/>
      </c>
      <c r="N3224">
        <f>IF(L3224="", "", L3224-B3224)</f>
        <v/>
      </c>
      <c r="O3224">
        <f>IF(L3224="", "Pending", IF(N3224&lt;=30, "Met", "Breached"))</f>
        <v/>
      </c>
      <c r="P3224" s="8" t="n"/>
      <c r="Q3224" s="8" t="n"/>
      <c r="R3224" s="8" t="n"/>
      <c r="S3224" s="8" t="n"/>
      <c r="T3224" s="8" t="n"/>
      <c r="U3224" s="8" t="n"/>
      <c r="V3224" s="8" t="n"/>
      <c r="W3224" s="8" t="n"/>
      <c r="X3224" s="8" t="n"/>
      <c r="Y3224" s="8" t="n"/>
    </row>
    <row r="3225">
      <c r="A3225" s="8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9">
        <f>B3225+30</f>
        <v/>
      </c>
      <c r="N3225">
        <f>IF(L3225="", "", L3225-B3225)</f>
        <v/>
      </c>
      <c r="O3225">
        <f>IF(L3225="", "Pending", IF(N3225&lt;=30, "Met", "Breached"))</f>
        <v/>
      </c>
      <c r="P3225" s="8" t="n"/>
      <c r="Q3225" s="8" t="n"/>
      <c r="R3225" s="8" t="n"/>
      <c r="S3225" s="8" t="n"/>
      <c r="T3225" s="8" t="n"/>
      <c r="U3225" s="8" t="n"/>
      <c r="V3225" s="8" t="n"/>
      <c r="W3225" s="8" t="n"/>
      <c r="X3225" s="8" t="n"/>
      <c r="Y3225" s="8" t="n"/>
    </row>
    <row r="3226">
      <c r="A3226" s="8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9">
        <f>B3226+30</f>
        <v/>
      </c>
      <c r="N3226">
        <f>IF(L3226="", "", L3226-B3226)</f>
        <v/>
      </c>
      <c r="O3226">
        <f>IF(L3226="", "Pending", IF(N3226&lt;=30, "Met", "Breached"))</f>
        <v/>
      </c>
      <c r="P3226" s="8" t="n"/>
      <c r="Q3226" s="8" t="n"/>
      <c r="R3226" s="8" t="n"/>
      <c r="S3226" s="8" t="n"/>
      <c r="T3226" s="8" t="n"/>
      <c r="U3226" s="8" t="n"/>
      <c r="V3226" s="8" t="n"/>
      <c r="W3226" s="8" t="n"/>
      <c r="X3226" s="8" t="n"/>
      <c r="Y3226" s="8" t="n"/>
    </row>
    <row r="3227">
      <c r="A3227" s="8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9">
        <f>B3227+30</f>
        <v/>
      </c>
      <c r="N3227">
        <f>IF(L3227="", "", L3227-B3227)</f>
        <v/>
      </c>
      <c r="O3227">
        <f>IF(L3227="", "Pending", IF(N3227&lt;=30, "Met", "Breached"))</f>
        <v/>
      </c>
      <c r="P3227" s="8" t="n"/>
      <c r="Q3227" s="8" t="n"/>
      <c r="R3227" s="8" t="n"/>
      <c r="S3227" s="8" t="n"/>
      <c r="T3227" s="8" t="n"/>
      <c r="U3227" s="8" t="n"/>
      <c r="V3227" s="8" t="n"/>
      <c r="W3227" s="8" t="n"/>
      <c r="X3227" s="8" t="n"/>
      <c r="Y3227" s="8" t="n"/>
    </row>
    <row r="3228">
      <c r="A3228" s="8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9">
        <f>B3228+30</f>
        <v/>
      </c>
      <c r="N3228">
        <f>IF(L3228="", "", L3228-B3228)</f>
        <v/>
      </c>
      <c r="O3228">
        <f>IF(L3228="", "Pending", IF(N3228&lt;=30, "Met", "Breached"))</f>
        <v/>
      </c>
      <c r="P3228" s="8" t="n"/>
      <c r="Q3228" s="8" t="n"/>
      <c r="R3228" s="8" t="n"/>
      <c r="S3228" s="8" t="n"/>
      <c r="T3228" s="8" t="n"/>
      <c r="U3228" s="8" t="n"/>
      <c r="V3228" s="8" t="n"/>
      <c r="W3228" s="8" t="n"/>
      <c r="X3228" s="8" t="n"/>
      <c r="Y3228" s="8" t="n"/>
    </row>
    <row r="3229">
      <c r="A3229" s="8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9">
        <f>B3229+30</f>
        <v/>
      </c>
      <c r="N3229">
        <f>IF(L3229="", "", L3229-B3229)</f>
        <v/>
      </c>
      <c r="O3229">
        <f>IF(L3229="", "Pending", IF(N3229&lt;=30, "Met", "Breached"))</f>
        <v/>
      </c>
      <c r="P3229" s="8" t="n"/>
      <c r="Q3229" s="8" t="n"/>
      <c r="R3229" s="8" t="n"/>
      <c r="S3229" s="8" t="n"/>
      <c r="T3229" s="8" t="n"/>
      <c r="U3229" s="8" t="n"/>
      <c r="V3229" s="8" t="n"/>
      <c r="W3229" s="8" t="n"/>
      <c r="X3229" s="8" t="n"/>
      <c r="Y3229" s="8" t="n"/>
    </row>
    <row r="3230">
      <c r="A3230" s="8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9">
        <f>B3230+30</f>
        <v/>
      </c>
      <c r="N3230">
        <f>IF(L3230="", "", L3230-B3230)</f>
        <v/>
      </c>
      <c r="O3230">
        <f>IF(L3230="", "Pending", IF(N3230&lt;=30, "Met", "Breached"))</f>
        <v/>
      </c>
      <c r="P3230" s="8" t="n"/>
      <c r="Q3230" s="8" t="n"/>
      <c r="R3230" s="8" t="n"/>
      <c r="S3230" s="8" t="n"/>
      <c r="T3230" s="8" t="n"/>
      <c r="U3230" s="8" t="n"/>
      <c r="V3230" s="8" t="n"/>
      <c r="W3230" s="8" t="n"/>
      <c r="X3230" s="8" t="n"/>
      <c r="Y3230" s="8" t="n"/>
    </row>
    <row r="3231">
      <c r="A3231" s="8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9">
        <f>B3231+30</f>
        <v/>
      </c>
      <c r="N3231">
        <f>IF(L3231="", "", L3231-B3231)</f>
        <v/>
      </c>
      <c r="O3231">
        <f>IF(L3231="", "Pending", IF(N3231&lt;=30, "Met", "Breached"))</f>
        <v/>
      </c>
      <c r="P3231" s="8" t="n"/>
      <c r="Q3231" s="8" t="n"/>
      <c r="R3231" s="8" t="n"/>
      <c r="S3231" s="8" t="n"/>
      <c r="T3231" s="8" t="n"/>
      <c r="U3231" s="8" t="n"/>
      <c r="V3231" s="8" t="n"/>
      <c r="W3231" s="8" t="n"/>
      <c r="X3231" s="8" t="n"/>
      <c r="Y3231" s="8" t="n"/>
    </row>
    <row r="3232">
      <c r="A3232" s="8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9">
        <f>B3232+30</f>
        <v/>
      </c>
      <c r="N3232">
        <f>IF(L3232="", "", L3232-B3232)</f>
        <v/>
      </c>
      <c r="O3232">
        <f>IF(L3232="", "Pending", IF(N3232&lt;=30, "Met", "Breached"))</f>
        <v/>
      </c>
      <c r="P3232" s="8" t="n"/>
      <c r="Q3232" s="8" t="n"/>
      <c r="R3232" s="8" t="n"/>
      <c r="S3232" s="8" t="n"/>
      <c r="T3232" s="8" t="n"/>
      <c r="U3232" s="8" t="n"/>
      <c r="V3232" s="8" t="n"/>
      <c r="W3232" s="8" t="n"/>
      <c r="X3232" s="8" t="n"/>
      <c r="Y3232" s="8" t="n"/>
    </row>
    <row r="3233">
      <c r="A3233" s="8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9">
        <f>B3233+30</f>
        <v/>
      </c>
      <c r="N3233">
        <f>IF(L3233="", "", L3233-B3233)</f>
        <v/>
      </c>
      <c r="O3233">
        <f>IF(L3233="", "Pending", IF(N3233&lt;=30, "Met", "Breached"))</f>
        <v/>
      </c>
      <c r="P3233" s="8" t="n"/>
      <c r="Q3233" s="8" t="n"/>
      <c r="R3233" s="8" t="n"/>
      <c r="S3233" s="8" t="n"/>
      <c r="T3233" s="8" t="n"/>
      <c r="U3233" s="8" t="n"/>
      <c r="V3233" s="8" t="n"/>
      <c r="W3233" s="8" t="n"/>
      <c r="X3233" s="8" t="n"/>
      <c r="Y3233" s="8" t="n"/>
    </row>
    <row r="3234">
      <c r="A3234" s="8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9">
        <f>B3234+30</f>
        <v/>
      </c>
      <c r="N3234">
        <f>IF(L3234="", "", L3234-B3234)</f>
        <v/>
      </c>
      <c r="O3234">
        <f>IF(L3234="", "Pending", IF(N3234&lt;=30, "Met", "Breached"))</f>
        <v/>
      </c>
      <c r="P3234" s="8" t="n"/>
      <c r="Q3234" s="8" t="n"/>
      <c r="R3234" s="8" t="n"/>
      <c r="S3234" s="8" t="n"/>
      <c r="T3234" s="8" t="n"/>
      <c r="U3234" s="8" t="n"/>
      <c r="V3234" s="8" t="n"/>
      <c r="W3234" s="8" t="n"/>
      <c r="X3234" s="8" t="n"/>
      <c r="Y3234" s="8" t="n"/>
    </row>
    <row r="3235">
      <c r="A3235" s="8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9">
        <f>B3235+30</f>
        <v/>
      </c>
      <c r="N3235">
        <f>IF(L3235="", "", L3235-B3235)</f>
        <v/>
      </c>
      <c r="O3235">
        <f>IF(L3235="", "Pending", IF(N3235&lt;=30, "Met", "Breached"))</f>
        <v/>
      </c>
      <c r="P3235" s="8" t="n"/>
      <c r="Q3235" s="8" t="n"/>
      <c r="R3235" s="8" t="n"/>
      <c r="S3235" s="8" t="n"/>
      <c r="T3235" s="8" t="n"/>
      <c r="U3235" s="8" t="n"/>
      <c r="V3235" s="8" t="n"/>
      <c r="W3235" s="8" t="n"/>
      <c r="X3235" s="8" t="n"/>
      <c r="Y3235" s="8" t="n"/>
    </row>
    <row r="3236">
      <c r="A3236" s="8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9">
        <f>B3236+30</f>
        <v/>
      </c>
      <c r="N3236">
        <f>IF(L3236="", "", L3236-B3236)</f>
        <v/>
      </c>
      <c r="O3236">
        <f>IF(L3236="", "Pending", IF(N3236&lt;=30, "Met", "Breached"))</f>
        <v/>
      </c>
      <c r="P3236" s="8" t="n"/>
      <c r="Q3236" s="8" t="n"/>
      <c r="R3236" s="8" t="n"/>
      <c r="S3236" s="8" t="n"/>
      <c r="T3236" s="8" t="n"/>
      <c r="U3236" s="8" t="n"/>
      <c r="V3236" s="8" t="n"/>
      <c r="W3236" s="8" t="n"/>
      <c r="X3236" s="8" t="n"/>
      <c r="Y3236" s="8" t="n"/>
    </row>
    <row r="3237">
      <c r="A3237" s="8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9">
        <f>B3237+30</f>
        <v/>
      </c>
      <c r="N3237">
        <f>IF(L3237="", "", L3237-B3237)</f>
        <v/>
      </c>
      <c r="O3237">
        <f>IF(L3237="", "Pending", IF(N3237&lt;=30, "Met", "Breached"))</f>
        <v/>
      </c>
      <c r="P3237" s="8" t="n"/>
      <c r="Q3237" s="8" t="n"/>
      <c r="R3237" s="8" t="n"/>
      <c r="S3237" s="8" t="n"/>
      <c r="T3237" s="8" t="n"/>
      <c r="U3237" s="8" t="n"/>
      <c r="V3237" s="8" t="n"/>
      <c r="W3237" s="8" t="n"/>
      <c r="X3237" s="8" t="n"/>
      <c r="Y3237" s="8" t="n"/>
    </row>
    <row r="3238">
      <c r="A3238" s="8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9">
        <f>B3238+30</f>
        <v/>
      </c>
      <c r="N3238">
        <f>IF(L3238="", "", L3238-B3238)</f>
        <v/>
      </c>
      <c r="O3238">
        <f>IF(L3238="", "Pending", IF(N3238&lt;=30, "Met", "Breached"))</f>
        <v/>
      </c>
      <c r="P3238" s="8" t="n"/>
      <c r="Q3238" s="8" t="n"/>
      <c r="R3238" s="8" t="n"/>
      <c r="S3238" s="8" t="n"/>
      <c r="T3238" s="8" t="n"/>
      <c r="U3238" s="8" t="n"/>
      <c r="V3238" s="8" t="n"/>
      <c r="W3238" s="8" t="n"/>
      <c r="X3238" s="8" t="n"/>
      <c r="Y3238" s="8" t="n"/>
    </row>
    <row r="3239">
      <c r="A3239" s="8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9">
        <f>B3239+30</f>
        <v/>
      </c>
      <c r="N3239">
        <f>IF(L3239="", "", L3239-B3239)</f>
        <v/>
      </c>
      <c r="O3239">
        <f>IF(L3239="", "Pending", IF(N3239&lt;=30, "Met", "Breached"))</f>
        <v/>
      </c>
      <c r="P3239" s="8" t="n"/>
      <c r="Q3239" s="8" t="n"/>
      <c r="R3239" s="8" t="n"/>
      <c r="S3239" s="8" t="n"/>
      <c r="T3239" s="8" t="n"/>
      <c r="U3239" s="8" t="n"/>
      <c r="V3239" s="8" t="n"/>
      <c r="W3239" s="8" t="n"/>
      <c r="X3239" s="8" t="n"/>
      <c r="Y3239" s="8" t="n"/>
    </row>
    <row r="3240">
      <c r="A3240" s="8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9">
        <f>B3240+30</f>
        <v/>
      </c>
      <c r="N3240">
        <f>IF(L3240="", "", L3240-B3240)</f>
        <v/>
      </c>
      <c r="O3240">
        <f>IF(L3240="", "Pending", IF(N3240&lt;=30, "Met", "Breached"))</f>
        <v/>
      </c>
      <c r="P3240" s="8" t="n"/>
      <c r="Q3240" s="8" t="n"/>
      <c r="R3240" s="8" t="n"/>
      <c r="S3240" s="8" t="n"/>
      <c r="T3240" s="8" t="n"/>
      <c r="U3240" s="8" t="n"/>
      <c r="V3240" s="8" t="n"/>
      <c r="W3240" s="8" t="n"/>
      <c r="X3240" s="8" t="n"/>
      <c r="Y3240" s="8" t="n"/>
    </row>
    <row r="3241">
      <c r="A3241" s="8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9">
        <f>B3241+30</f>
        <v/>
      </c>
      <c r="N3241">
        <f>IF(L3241="", "", L3241-B3241)</f>
        <v/>
      </c>
      <c r="O3241">
        <f>IF(L3241="", "Pending", IF(N3241&lt;=30, "Met", "Breached"))</f>
        <v/>
      </c>
      <c r="P3241" s="8" t="n"/>
      <c r="Q3241" s="8" t="n"/>
      <c r="R3241" s="8" t="n"/>
      <c r="S3241" s="8" t="n"/>
      <c r="T3241" s="8" t="n"/>
      <c r="U3241" s="8" t="n"/>
      <c r="V3241" s="8" t="n"/>
      <c r="W3241" s="8" t="n"/>
      <c r="X3241" s="8" t="n"/>
      <c r="Y3241" s="8" t="n"/>
    </row>
    <row r="3242">
      <c r="A3242" s="8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9">
        <f>B3242+30</f>
        <v/>
      </c>
      <c r="N3242">
        <f>IF(L3242="", "", L3242-B3242)</f>
        <v/>
      </c>
      <c r="O3242">
        <f>IF(L3242="", "Pending", IF(N3242&lt;=30, "Met", "Breached"))</f>
        <v/>
      </c>
      <c r="P3242" s="8" t="n"/>
      <c r="Q3242" s="8" t="n"/>
      <c r="R3242" s="8" t="n"/>
      <c r="S3242" s="8" t="n"/>
      <c r="T3242" s="8" t="n"/>
      <c r="U3242" s="8" t="n"/>
      <c r="V3242" s="8" t="n"/>
      <c r="W3242" s="8" t="n"/>
      <c r="X3242" s="8" t="n"/>
      <c r="Y3242" s="8" t="n"/>
    </row>
    <row r="3243">
      <c r="A3243" s="8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9">
        <f>B3243+30</f>
        <v/>
      </c>
      <c r="N3243">
        <f>IF(L3243="", "", L3243-B3243)</f>
        <v/>
      </c>
      <c r="O3243">
        <f>IF(L3243="", "Pending", IF(N3243&lt;=30, "Met", "Breached"))</f>
        <v/>
      </c>
      <c r="P3243" s="8" t="n"/>
      <c r="Q3243" s="8" t="n"/>
      <c r="R3243" s="8" t="n"/>
      <c r="S3243" s="8" t="n"/>
      <c r="T3243" s="8" t="n"/>
      <c r="U3243" s="8" t="n"/>
      <c r="V3243" s="8" t="n"/>
      <c r="W3243" s="8" t="n"/>
      <c r="X3243" s="8" t="n"/>
      <c r="Y3243" s="8" t="n"/>
    </row>
    <row r="3244">
      <c r="A3244" s="8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9">
        <f>B3244+30</f>
        <v/>
      </c>
      <c r="N3244">
        <f>IF(L3244="", "", L3244-B3244)</f>
        <v/>
      </c>
      <c r="O3244">
        <f>IF(L3244="", "Pending", IF(N3244&lt;=30, "Met", "Breached"))</f>
        <v/>
      </c>
      <c r="P3244" s="8" t="n"/>
      <c r="Q3244" s="8" t="n"/>
      <c r="R3244" s="8" t="n"/>
      <c r="S3244" s="8" t="n"/>
      <c r="T3244" s="8" t="n"/>
      <c r="U3244" s="8" t="n"/>
      <c r="V3244" s="8" t="n"/>
      <c r="W3244" s="8" t="n"/>
      <c r="X3244" s="8" t="n"/>
      <c r="Y3244" s="8" t="n"/>
    </row>
    <row r="3245">
      <c r="A3245" s="8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9">
        <f>B3245+30</f>
        <v/>
      </c>
      <c r="N3245">
        <f>IF(L3245="", "", L3245-B3245)</f>
        <v/>
      </c>
      <c r="O3245">
        <f>IF(L3245="", "Pending", IF(N3245&lt;=30, "Met", "Breached"))</f>
        <v/>
      </c>
      <c r="P3245" s="8" t="n"/>
      <c r="Q3245" s="8" t="n"/>
      <c r="R3245" s="8" t="n"/>
      <c r="S3245" s="8" t="n"/>
      <c r="T3245" s="8" t="n"/>
      <c r="U3245" s="8" t="n"/>
      <c r="V3245" s="8" t="n"/>
      <c r="W3245" s="8" t="n"/>
      <c r="X3245" s="8" t="n"/>
      <c r="Y3245" s="8" t="n"/>
    </row>
    <row r="3246">
      <c r="A3246" s="8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9">
        <f>B3246+30</f>
        <v/>
      </c>
      <c r="N3246">
        <f>IF(L3246="", "", L3246-B3246)</f>
        <v/>
      </c>
      <c r="O3246">
        <f>IF(L3246="", "Pending", IF(N3246&lt;=30, "Met", "Breached"))</f>
        <v/>
      </c>
      <c r="P3246" s="8" t="n"/>
      <c r="Q3246" s="8" t="n"/>
      <c r="R3246" s="8" t="n"/>
      <c r="S3246" s="8" t="n"/>
      <c r="T3246" s="8" t="n"/>
      <c r="U3246" s="8" t="n"/>
      <c r="V3246" s="8" t="n"/>
      <c r="W3246" s="8" t="n"/>
      <c r="X3246" s="8" t="n"/>
      <c r="Y3246" s="8" t="n"/>
    </row>
    <row r="3247">
      <c r="A3247" s="8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9">
        <f>B3247+30</f>
        <v/>
      </c>
      <c r="N3247">
        <f>IF(L3247="", "", L3247-B3247)</f>
        <v/>
      </c>
      <c r="O3247">
        <f>IF(L3247="", "Pending", IF(N3247&lt;=30, "Met", "Breached"))</f>
        <v/>
      </c>
      <c r="P3247" s="8" t="n"/>
      <c r="Q3247" s="8" t="n"/>
      <c r="R3247" s="8" t="n"/>
      <c r="S3247" s="8" t="n"/>
      <c r="T3247" s="8" t="n"/>
      <c r="U3247" s="8" t="n"/>
      <c r="V3247" s="8" t="n"/>
      <c r="W3247" s="8" t="n"/>
      <c r="X3247" s="8" t="n"/>
      <c r="Y3247" s="8" t="n"/>
    </row>
    <row r="3248">
      <c r="A3248" s="8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9">
        <f>B3248+30</f>
        <v/>
      </c>
      <c r="N3248">
        <f>IF(L3248="", "", L3248-B3248)</f>
        <v/>
      </c>
      <c r="O3248">
        <f>IF(L3248="", "Pending", IF(N3248&lt;=30, "Met", "Breached"))</f>
        <v/>
      </c>
      <c r="P3248" s="8" t="n"/>
      <c r="Q3248" s="8" t="n"/>
      <c r="R3248" s="8" t="n"/>
      <c r="S3248" s="8" t="n"/>
      <c r="T3248" s="8" t="n"/>
      <c r="U3248" s="8" t="n"/>
      <c r="V3248" s="8" t="n"/>
      <c r="W3248" s="8" t="n"/>
      <c r="X3248" s="8" t="n"/>
      <c r="Y3248" s="8" t="n"/>
    </row>
    <row r="3249">
      <c r="A3249" s="8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9">
        <f>B3249+30</f>
        <v/>
      </c>
      <c r="N3249">
        <f>IF(L3249="", "", L3249-B3249)</f>
        <v/>
      </c>
      <c r="O3249">
        <f>IF(L3249="", "Pending", IF(N3249&lt;=30, "Met", "Breached"))</f>
        <v/>
      </c>
      <c r="P3249" s="8" t="n"/>
      <c r="Q3249" s="8" t="n"/>
      <c r="R3249" s="8" t="n"/>
      <c r="S3249" s="8" t="n"/>
      <c r="T3249" s="8" t="n"/>
      <c r="U3249" s="8" t="n"/>
      <c r="V3249" s="8" t="n"/>
      <c r="W3249" s="8" t="n"/>
      <c r="X3249" s="8" t="n"/>
      <c r="Y3249" s="8" t="n"/>
    </row>
    <row r="3250">
      <c r="A3250" s="8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9">
        <f>B3250+30</f>
        <v/>
      </c>
      <c r="N3250">
        <f>IF(L3250="", "", L3250-B3250)</f>
        <v/>
      </c>
      <c r="O3250">
        <f>IF(L3250="", "Pending", IF(N3250&lt;=30, "Met", "Breached"))</f>
        <v/>
      </c>
      <c r="P3250" s="8" t="n"/>
      <c r="Q3250" s="8" t="n"/>
      <c r="R3250" s="8" t="n"/>
      <c r="S3250" s="8" t="n"/>
      <c r="T3250" s="8" t="n"/>
      <c r="U3250" s="8" t="n"/>
      <c r="V3250" s="8" t="n"/>
      <c r="W3250" s="8" t="n"/>
      <c r="X3250" s="8" t="n"/>
      <c r="Y3250" s="8" t="n"/>
    </row>
    <row r="3251">
      <c r="A3251" s="8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9">
        <f>B3251+30</f>
        <v/>
      </c>
      <c r="N3251">
        <f>IF(L3251="", "", L3251-B3251)</f>
        <v/>
      </c>
      <c r="O3251">
        <f>IF(L3251="", "Pending", IF(N3251&lt;=30, "Met", "Breached"))</f>
        <v/>
      </c>
      <c r="P3251" s="8" t="n"/>
      <c r="Q3251" s="8" t="n"/>
      <c r="R3251" s="8" t="n"/>
      <c r="S3251" s="8" t="n"/>
      <c r="T3251" s="8" t="n"/>
      <c r="U3251" s="8" t="n"/>
      <c r="V3251" s="8" t="n"/>
      <c r="W3251" s="8" t="n"/>
      <c r="X3251" s="8" t="n"/>
      <c r="Y3251" s="8" t="n"/>
    </row>
    <row r="3252">
      <c r="A3252" s="8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9">
        <f>B3252+30</f>
        <v/>
      </c>
      <c r="N3252">
        <f>IF(L3252="", "", L3252-B3252)</f>
        <v/>
      </c>
      <c r="O3252">
        <f>IF(L3252="", "Pending", IF(N3252&lt;=30, "Met", "Breached"))</f>
        <v/>
      </c>
      <c r="P3252" s="8" t="n"/>
      <c r="Q3252" s="8" t="n"/>
      <c r="R3252" s="8" t="n"/>
      <c r="S3252" s="8" t="n"/>
      <c r="T3252" s="8" t="n"/>
      <c r="U3252" s="8" t="n"/>
      <c r="V3252" s="8" t="n"/>
      <c r="W3252" s="8" t="n"/>
      <c r="X3252" s="8" t="n"/>
      <c r="Y3252" s="8" t="n"/>
    </row>
    <row r="3253">
      <c r="A3253" s="8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9">
        <f>B3253+30</f>
        <v/>
      </c>
      <c r="N3253">
        <f>IF(L3253="", "", L3253-B3253)</f>
        <v/>
      </c>
      <c r="O3253">
        <f>IF(L3253="", "Pending", IF(N3253&lt;=30, "Met", "Breached"))</f>
        <v/>
      </c>
      <c r="P3253" s="8" t="n"/>
      <c r="Q3253" s="8" t="n"/>
      <c r="R3253" s="8" t="n"/>
      <c r="S3253" s="8" t="n"/>
      <c r="T3253" s="8" t="n"/>
      <c r="U3253" s="8" t="n"/>
      <c r="V3253" s="8" t="n"/>
      <c r="W3253" s="8" t="n"/>
      <c r="X3253" s="8" t="n"/>
      <c r="Y3253" s="8" t="n"/>
    </row>
    <row r="3254">
      <c r="A3254" s="8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9">
        <f>B3254+30</f>
        <v/>
      </c>
      <c r="N3254">
        <f>IF(L3254="", "", L3254-B3254)</f>
        <v/>
      </c>
      <c r="O3254">
        <f>IF(L3254="", "Pending", IF(N3254&lt;=30, "Met", "Breached"))</f>
        <v/>
      </c>
      <c r="P3254" s="8" t="n"/>
      <c r="Q3254" s="8" t="n"/>
      <c r="R3254" s="8" t="n"/>
      <c r="S3254" s="8" t="n"/>
      <c r="T3254" s="8" t="n"/>
      <c r="U3254" s="8" t="n"/>
      <c r="V3254" s="8" t="n"/>
      <c r="W3254" s="8" t="n"/>
      <c r="X3254" s="8" t="n"/>
      <c r="Y3254" s="8" t="n"/>
    </row>
    <row r="3255">
      <c r="A3255" s="8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9">
        <f>B3255+30</f>
        <v/>
      </c>
      <c r="N3255">
        <f>IF(L3255="", "", L3255-B3255)</f>
        <v/>
      </c>
      <c r="O3255">
        <f>IF(L3255="", "Pending", IF(N3255&lt;=30, "Met", "Breached"))</f>
        <v/>
      </c>
      <c r="P3255" s="8" t="n"/>
      <c r="Q3255" s="8" t="n"/>
      <c r="R3255" s="8" t="n"/>
      <c r="S3255" s="8" t="n"/>
      <c r="T3255" s="8" t="n"/>
      <c r="U3255" s="8" t="n"/>
      <c r="V3255" s="8" t="n"/>
      <c r="W3255" s="8" t="n"/>
      <c r="X3255" s="8" t="n"/>
      <c r="Y3255" s="8" t="n"/>
    </row>
    <row r="3256">
      <c r="A3256" s="8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9">
        <f>B3256+30</f>
        <v/>
      </c>
      <c r="N3256">
        <f>IF(L3256="", "", L3256-B3256)</f>
        <v/>
      </c>
      <c r="O3256">
        <f>IF(L3256="", "Pending", IF(N3256&lt;=30, "Met", "Breached"))</f>
        <v/>
      </c>
      <c r="P3256" s="8" t="n"/>
      <c r="Q3256" s="8" t="n"/>
      <c r="R3256" s="8" t="n"/>
      <c r="S3256" s="8" t="n"/>
      <c r="T3256" s="8" t="n"/>
      <c r="U3256" s="8" t="n"/>
      <c r="V3256" s="8" t="n"/>
      <c r="W3256" s="8" t="n"/>
      <c r="X3256" s="8" t="n"/>
      <c r="Y3256" s="8" t="n"/>
    </row>
    <row r="3257">
      <c r="A3257" s="8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9">
        <f>B3257+30</f>
        <v/>
      </c>
      <c r="N3257">
        <f>IF(L3257="", "", L3257-B3257)</f>
        <v/>
      </c>
      <c r="O3257">
        <f>IF(L3257="", "Pending", IF(N3257&lt;=30, "Met", "Breached"))</f>
        <v/>
      </c>
      <c r="P3257" s="8" t="n"/>
      <c r="Q3257" s="8" t="n"/>
      <c r="R3257" s="8" t="n"/>
      <c r="S3257" s="8" t="n"/>
      <c r="T3257" s="8" t="n"/>
      <c r="U3257" s="8" t="n"/>
      <c r="V3257" s="8" t="n"/>
      <c r="W3257" s="8" t="n"/>
      <c r="X3257" s="8" t="n"/>
      <c r="Y3257" s="8" t="n"/>
    </row>
    <row r="3258">
      <c r="A3258" s="8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9">
        <f>B3258+30</f>
        <v/>
      </c>
      <c r="N3258">
        <f>IF(L3258="", "", L3258-B3258)</f>
        <v/>
      </c>
      <c r="O3258">
        <f>IF(L3258="", "Pending", IF(N3258&lt;=30, "Met", "Breached"))</f>
        <v/>
      </c>
      <c r="P3258" s="8" t="n"/>
      <c r="Q3258" s="8" t="n"/>
      <c r="R3258" s="8" t="n"/>
      <c r="S3258" s="8" t="n"/>
      <c r="T3258" s="8" t="n"/>
      <c r="U3258" s="8" t="n"/>
      <c r="V3258" s="8" t="n"/>
      <c r="W3258" s="8" t="n"/>
      <c r="X3258" s="8" t="n"/>
      <c r="Y3258" s="8" t="n"/>
    </row>
    <row r="3259">
      <c r="A3259" s="8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9">
        <f>B3259+30</f>
        <v/>
      </c>
      <c r="N3259">
        <f>IF(L3259="", "", L3259-B3259)</f>
        <v/>
      </c>
      <c r="O3259">
        <f>IF(L3259="", "Pending", IF(N3259&lt;=30, "Met", "Breached"))</f>
        <v/>
      </c>
      <c r="P3259" s="8" t="n"/>
      <c r="Q3259" s="8" t="n"/>
      <c r="R3259" s="8" t="n"/>
      <c r="S3259" s="8" t="n"/>
      <c r="T3259" s="8" t="n"/>
      <c r="U3259" s="8" t="n"/>
      <c r="V3259" s="8" t="n"/>
      <c r="W3259" s="8" t="n"/>
      <c r="X3259" s="8" t="n"/>
      <c r="Y3259" s="8" t="n"/>
    </row>
    <row r="3260">
      <c r="A3260" s="8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9">
        <f>B3260+30</f>
        <v/>
      </c>
      <c r="N3260">
        <f>IF(L3260="", "", L3260-B3260)</f>
        <v/>
      </c>
      <c r="O3260">
        <f>IF(L3260="", "Pending", IF(N3260&lt;=30, "Met", "Breached"))</f>
        <v/>
      </c>
      <c r="P3260" s="8" t="n"/>
      <c r="Q3260" s="8" t="n"/>
      <c r="R3260" s="8" t="n"/>
      <c r="S3260" s="8" t="n"/>
      <c r="T3260" s="8" t="n"/>
      <c r="U3260" s="8" t="n"/>
      <c r="V3260" s="8" t="n"/>
      <c r="W3260" s="8" t="n"/>
      <c r="X3260" s="8" t="n"/>
      <c r="Y3260" s="8" t="n"/>
    </row>
    <row r="3261">
      <c r="A3261" s="8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9">
        <f>B3261+30</f>
        <v/>
      </c>
      <c r="N3261">
        <f>IF(L3261="", "", L3261-B3261)</f>
        <v/>
      </c>
      <c r="O3261">
        <f>IF(L3261="", "Pending", IF(N3261&lt;=30, "Met", "Breached"))</f>
        <v/>
      </c>
      <c r="P3261" s="8" t="n"/>
      <c r="Q3261" s="8" t="n"/>
      <c r="R3261" s="8" t="n"/>
      <c r="S3261" s="8" t="n"/>
      <c r="T3261" s="8" t="n"/>
      <c r="U3261" s="8" t="n"/>
      <c r="V3261" s="8" t="n"/>
      <c r="W3261" s="8" t="n"/>
      <c r="X3261" s="8" t="n"/>
      <c r="Y3261" s="8" t="n"/>
    </row>
    <row r="3262">
      <c r="A3262" s="8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9">
        <f>B3262+30</f>
        <v/>
      </c>
      <c r="N3262">
        <f>IF(L3262="", "", L3262-B3262)</f>
        <v/>
      </c>
      <c r="O3262">
        <f>IF(L3262="", "Pending", IF(N3262&lt;=30, "Met", "Breached"))</f>
        <v/>
      </c>
      <c r="P3262" s="8" t="n"/>
      <c r="Q3262" s="8" t="n"/>
      <c r="R3262" s="8" t="n"/>
      <c r="S3262" s="8" t="n"/>
      <c r="T3262" s="8" t="n"/>
      <c r="U3262" s="8" t="n"/>
      <c r="V3262" s="8" t="n"/>
      <c r="W3262" s="8" t="n"/>
      <c r="X3262" s="8" t="n"/>
      <c r="Y3262" s="8" t="n"/>
    </row>
    <row r="3263">
      <c r="A3263" s="8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9">
        <f>B3263+30</f>
        <v/>
      </c>
      <c r="N3263">
        <f>IF(L3263="", "", L3263-B3263)</f>
        <v/>
      </c>
      <c r="O3263">
        <f>IF(L3263="", "Pending", IF(N3263&lt;=30, "Met", "Breached"))</f>
        <v/>
      </c>
      <c r="P3263" s="8" t="n"/>
      <c r="Q3263" s="8" t="n"/>
      <c r="R3263" s="8" t="n"/>
      <c r="S3263" s="8" t="n"/>
      <c r="T3263" s="8" t="n"/>
      <c r="U3263" s="8" t="n"/>
      <c r="V3263" s="8" t="n"/>
      <c r="W3263" s="8" t="n"/>
      <c r="X3263" s="8" t="n"/>
      <c r="Y3263" s="8" t="n"/>
    </row>
    <row r="3264">
      <c r="A3264" s="8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9">
        <f>B3264+30</f>
        <v/>
      </c>
      <c r="N3264">
        <f>IF(L3264="", "", L3264-B3264)</f>
        <v/>
      </c>
      <c r="O3264">
        <f>IF(L3264="", "Pending", IF(N3264&lt;=30, "Met", "Breached"))</f>
        <v/>
      </c>
      <c r="P3264" s="8" t="n"/>
      <c r="Q3264" s="8" t="n"/>
      <c r="R3264" s="8" t="n"/>
      <c r="S3264" s="8" t="n"/>
      <c r="T3264" s="8" t="n"/>
      <c r="U3264" s="8" t="n"/>
      <c r="V3264" s="8" t="n"/>
      <c r="W3264" s="8" t="n"/>
      <c r="X3264" s="8" t="n"/>
      <c r="Y3264" s="8" t="n"/>
    </row>
    <row r="3265">
      <c r="A3265" s="8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9">
        <f>B3265+30</f>
        <v/>
      </c>
      <c r="N3265">
        <f>IF(L3265="", "", L3265-B3265)</f>
        <v/>
      </c>
      <c r="O3265">
        <f>IF(L3265="", "Pending", IF(N3265&lt;=30, "Met", "Breached"))</f>
        <v/>
      </c>
      <c r="P3265" s="8" t="n"/>
      <c r="Q3265" s="8" t="n"/>
      <c r="R3265" s="8" t="n"/>
      <c r="S3265" s="8" t="n"/>
      <c r="T3265" s="8" t="n"/>
      <c r="U3265" s="8" t="n"/>
      <c r="V3265" s="8" t="n"/>
      <c r="W3265" s="8" t="n"/>
      <c r="X3265" s="8" t="n"/>
      <c r="Y3265" s="8" t="n"/>
    </row>
    <row r="3266">
      <c r="A3266" s="8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9">
        <f>B3266+30</f>
        <v/>
      </c>
      <c r="N3266">
        <f>IF(L3266="", "", L3266-B3266)</f>
        <v/>
      </c>
      <c r="O3266">
        <f>IF(L3266="", "Pending", IF(N3266&lt;=30, "Met", "Breached"))</f>
        <v/>
      </c>
      <c r="P3266" s="8" t="n"/>
      <c r="Q3266" s="8" t="n"/>
      <c r="R3266" s="8" t="n"/>
      <c r="S3266" s="8" t="n"/>
      <c r="T3266" s="8" t="n"/>
      <c r="U3266" s="8" t="n"/>
      <c r="V3266" s="8" t="n"/>
      <c r="W3266" s="8" t="n"/>
      <c r="X3266" s="8" t="n"/>
      <c r="Y3266" s="8" t="n"/>
    </row>
    <row r="3267">
      <c r="A3267" s="8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9">
        <f>B3267+30</f>
        <v/>
      </c>
      <c r="N3267">
        <f>IF(L3267="", "", L3267-B3267)</f>
        <v/>
      </c>
      <c r="O3267">
        <f>IF(L3267="", "Pending", IF(N3267&lt;=30, "Met", "Breached"))</f>
        <v/>
      </c>
      <c r="P3267" s="8" t="n"/>
      <c r="Q3267" s="8" t="n"/>
      <c r="R3267" s="8" t="n"/>
      <c r="S3267" s="8" t="n"/>
      <c r="T3267" s="8" t="n"/>
      <c r="U3267" s="8" t="n"/>
      <c r="V3267" s="8" t="n"/>
      <c r="W3267" s="8" t="n"/>
      <c r="X3267" s="8" t="n"/>
      <c r="Y3267" s="8" t="n"/>
    </row>
    <row r="3268">
      <c r="A3268" s="8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9">
        <f>B3268+30</f>
        <v/>
      </c>
      <c r="N3268">
        <f>IF(L3268="", "", L3268-B3268)</f>
        <v/>
      </c>
      <c r="O3268">
        <f>IF(L3268="", "Pending", IF(N3268&lt;=30, "Met", "Breached"))</f>
        <v/>
      </c>
      <c r="P3268" s="8" t="n"/>
      <c r="Q3268" s="8" t="n"/>
      <c r="R3268" s="8" t="n"/>
      <c r="S3268" s="8" t="n"/>
      <c r="T3268" s="8" t="n"/>
      <c r="U3268" s="8" t="n"/>
      <c r="V3268" s="8" t="n"/>
      <c r="W3268" s="8" t="n"/>
      <c r="X3268" s="8" t="n"/>
      <c r="Y3268" s="8" t="n"/>
    </row>
    <row r="3269">
      <c r="A3269" s="8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9">
        <f>B3269+30</f>
        <v/>
      </c>
      <c r="N3269">
        <f>IF(L3269="", "", L3269-B3269)</f>
        <v/>
      </c>
      <c r="O3269">
        <f>IF(L3269="", "Pending", IF(N3269&lt;=30, "Met", "Breached"))</f>
        <v/>
      </c>
      <c r="P3269" s="8" t="n"/>
      <c r="Q3269" s="8" t="n"/>
      <c r="R3269" s="8" t="n"/>
      <c r="S3269" s="8" t="n"/>
      <c r="T3269" s="8" t="n"/>
      <c r="U3269" s="8" t="n"/>
      <c r="V3269" s="8" t="n"/>
      <c r="W3269" s="8" t="n"/>
      <c r="X3269" s="8" t="n"/>
      <c r="Y3269" s="8" t="n"/>
    </row>
    <row r="3270">
      <c r="A3270" s="8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9">
        <f>B3270+30</f>
        <v/>
      </c>
      <c r="N3270">
        <f>IF(L3270="", "", L3270-B3270)</f>
        <v/>
      </c>
      <c r="O3270">
        <f>IF(L3270="", "Pending", IF(N3270&lt;=30, "Met", "Breached"))</f>
        <v/>
      </c>
      <c r="P3270" s="8" t="n"/>
      <c r="Q3270" s="8" t="n"/>
      <c r="R3270" s="8" t="n"/>
      <c r="S3270" s="8" t="n"/>
      <c r="T3270" s="8" t="n"/>
      <c r="U3270" s="8" t="n"/>
      <c r="V3270" s="8" t="n"/>
      <c r="W3270" s="8" t="n"/>
      <c r="X3270" s="8" t="n"/>
      <c r="Y3270" s="8" t="n"/>
    </row>
    <row r="3271">
      <c r="A3271" s="8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9">
        <f>B3271+30</f>
        <v/>
      </c>
      <c r="N3271">
        <f>IF(L3271="", "", L3271-B3271)</f>
        <v/>
      </c>
      <c r="O3271">
        <f>IF(L3271="", "Pending", IF(N3271&lt;=30, "Met", "Breached"))</f>
        <v/>
      </c>
      <c r="P3271" s="8" t="n"/>
      <c r="Q3271" s="8" t="n"/>
      <c r="R3271" s="8" t="n"/>
      <c r="S3271" s="8" t="n"/>
      <c r="T3271" s="8" t="n"/>
      <c r="U3271" s="8" t="n"/>
      <c r="V3271" s="8" t="n"/>
      <c r="W3271" s="8" t="n"/>
      <c r="X3271" s="8" t="n"/>
      <c r="Y3271" s="8" t="n"/>
    </row>
    <row r="3272">
      <c r="A3272" s="8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9">
        <f>B3272+30</f>
        <v/>
      </c>
      <c r="N3272">
        <f>IF(L3272="", "", L3272-B3272)</f>
        <v/>
      </c>
      <c r="O3272">
        <f>IF(L3272="", "Pending", IF(N3272&lt;=30, "Met", "Breached"))</f>
        <v/>
      </c>
      <c r="P3272" s="8" t="n"/>
      <c r="Q3272" s="8" t="n"/>
      <c r="R3272" s="8" t="n"/>
      <c r="S3272" s="8" t="n"/>
      <c r="T3272" s="8" t="n"/>
      <c r="U3272" s="8" t="n"/>
      <c r="V3272" s="8" t="n"/>
      <c r="W3272" s="8" t="n"/>
      <c r="X3272" s="8" t="n"/>
      <c r="Y3272" s="8" t="n"/>
    </row>
    <row r="3273">
      <c r="A3273" s="8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9">
        <f>B3273+30</f>
        <v/>
      </c>
      <c r="N3273">
        <f>IF(L3273="", "", L3273-B3273)</f>
        <v/>
      </c>
      <c r="O3273">
        <f>IF(L3273="", "Pending", IF(N3273&lt;=30, "Met", "Breached"))</f>
        <v/>
      </c>
      <c r="P3273" s="8" t="n"/>
      <c r="Q3273" s="8" t="n"/>
      <c r="R3273" s="8" t="n"/>
      <c r="S3273" s="8" t="n"/>
      <c r="T3273" s="8" t="n"/>
      <c r="U3273" s="8" t="n"/>
      <c r="V3273" s="8" t="n"/>
      <c r="W3273" s="8" t="n"/>
      <c r="X3273" s="8" t="n"/>
      <c r="Y3273" s="8" t="n"/>
    </row>
    <row r="3274">
      <c r="A3274" s="8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9">
        <f>B3274+30</f>
        <v/>
      </c>
      <c r="N3274">
        <f>IF(L3274="", "", L3274-B3274)</f>
        <v/>
      </c>
      <c r="O3274">
        <f>IF(L3274="", "Pending", IF(N3274&lt;=30, "Met", "Breached"))</f>
        <v/>
      </c>
      <c r="P3274" s="8" t="n"/>
      <c r="Q3274" s="8" t="n"/>
      <c r="R3274" s="8" t="n"/>
      <c r="S3274" s="8" t="n"/>
      <c r="T3274" s="8" t="n"/>
      <c r="U3274" s="8" t="n"/>
      <c r="V3274" s="8" t="n"/>
      <c r="W3274" s="8" t="n"/>
      <c r="X3274" s="8" t="n"/>
      <c r="Y3274" s="8" t="n"/>
    </row>
    <row r="3275">
      <c r="A3275" s="8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9">
        <f>B3275+30</f>
        <v/>
      </c>
      <c r="N3275">
        <f>IF(L3275="", "", L3275-B3275)</f>
        <v/>
      </c>
      <c r="O3275">
        <f>IF(L3275="", "Pending", IF(N3275&lt;=30, "Met", "Breached"))</f>
        <v/>
      </c>
      <c r="P3275" s="8" t="n"/>
      <c r="Q3275" s="8" t="n"/>
      <c r="R3275" s="8" t="n"/>
      <c r="S3275" s="8" t="n"/>
      <c r="T3275" s="8" t="n"/>
      <c r="U3275" s="8" t="n"/>
      <c r="V3275" s="8" t="n"/>
      <c r="W3275" s="8" t="n"/>
      <c r="X3275" s="8" t="n"/>
      <c r="Y3275" s="8" t="n"/>
    </row>
    <row r="3276">
      <c r="A3276" s="8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9">
        <f>B3276+30</f>
        <v/>
      </c>
      <c r="N3276">
        <f>IF(L3276="", "", L3276-B3276)</f>
        <v/>
      </c>
      <c r="O3276">
        <f>IF(L3276="", "Pending", IF(N3276&lt;=30, "Met", "Breached"))</f>
        <v/>
      </c>
      <c r="P3276" s="8" t="n"/>
      <c r="Q3276" s="8" t="n"/>
      <c r="R3276" s="8" t="n"/>
      <c r="S3276" s="8" t="n"/>
      <c r="T3276" s="8" t="n"/>
      <c r="U3276" s="8" t="n"/>
      <c r="V3276" s="8" t="n"/>
      <c r="W3276" s="8" t="n"/>
      <c r="X3276" s="8" t="n"/>
      <c r="Y3276" s="8" t="n"/>
    </row>
    <row r="3277">
      <c r="A3277" s="8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9">
        <f>B3277+30</f>
        <v/>
      </c>
      <c r="N3277">
        <f>IF(L3277="", "", L3277-B3277)</f>
        <v/>
      </c>
      <c r="O3277">
        <f>IF(L3277="", "Pending", IF(N3277&lt;=30, "Met", "Breached"))</f>
        <v/>
      </c>
      <c r="P3277" s="8" t="n"/>
      <c r="Q3277" s="8" t="n"/>
      <c r="R3277" s="8" t="n"/>
      <c r="S3277" s="8" t="n"/>
      <c r="T3277" s="8" t="n"/>
      <c r="U3277" s="8" t="n"/>
      <c r="V3277" s="8" t="n"/>
      <c r="W3277" s="8" t="n"/>
      <c r="X3277" s="8" t="n"/>
      <c r="Y3277" s="8" t="n"/>
    </row>
    <row r="3278">
      <c r="A3278" s="8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9">
        <f>B3278+30</f>
        <v/>
      </c>
      <c r="N3278">
        <f>IF(L3278="", "", L3278-B3278)</f>
        <v/>
      </c>
      <c r="O3278">
        <f>IF(L3278="", "Pending", IF(N3278&lt;=30, "Met", "Breached"))</f>
        <v/>
      </c>
      <c r="P3278" s="8" t="n"/>
      <c r="Q3278" s="8" t="n"/>
      <c r="R3278" s="8" t="n"/>
      <c r="S3278" s="8" t="n"/>
      <c r="T3278" s="8" t="n"/>
      <c r="U3278" s="8" t="n"/>
      <c r="V3278" s="8" t="n"/>
      <c r="W3278" s="8" t="n"/>
      <c r="X3278" s="8" t="n"/>
      <c r="Y3278" s="8" t="n"/>
    </row>
    <row r="3279">
      <c r="A3279" s="8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9">
        <f>B3279+30</f>
        <v/>
      </c>
      <c r="N3279">
        <f>IF(L3279="", "", L3279-B3279)</f>
        <v/>
      </c>
      <c r="O3279">
        <f>IF(L3279="", "Pending", IF(N3279&lt;=30, "Met", "Breached"))</f>
        <v/>
      </c>
      <c r="P3279" s="8" t="n"/>
      <c r="Q3279" s="8" t="n"/>
      <c r="R3279" s="8" t="n"/>
      <c r="S3279" s="8" t="n"/>
      <c r="T3279" s="8" t="n"/>
      <c r="U3279" s="8" t="n"/>
      <c r="V3279" s="8" t="n"/>
      <c r="W3279" s="8" t="n"/>
      <c r="X3279" s="8" t="n"/>
      <c r="Y3279" s="8" t="n"/>
    </row>
    <row r="3280">
      <c r="A3280" s="8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9">
        <f>B3280+30</f>
        <v/>
      </c>
      <c r="N3280">
        <f>IF(L3280="", "", L3280-B3280)</f>
        <v/>
      </c>
      <c r="O3280">
        <f>IF(L3280="", "Pending", IF(N3280&lt;=30, "Met", "Breached"))</f>
        <v/>
      </c>
      <c r="P3280" s="8" t="n"/>
      <c r="Q3280" s="8" t="n"/>
      <c r="R3280" s="8" t="n"/>
      <c r="S3280" s="8" t="n"/>
      <c r="T3280" s="8" t="n"/>
      <c r="U3280" s="8" t="n"/>
      <c r="V3280" s="8" t="n"/>
      <c r="W3280" s="8" t="n"/>
      <c r="X3280" s="8" t="n"/>
      <c r="Y3280" s="8" t="n"/>
    </row>
    <row r="3281">
      <c r="A3281" s="8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9">
        <f>B3281+30</f>
        <v/>
      </c>
      <c r="N3281">
        <f>IF(L3281="", "", L3281-B3281)</f>
        <v/>
      </c>
      <c r="O3281">
        <f>IF(L3281="", "Pending", IF(N3281&lt;=30, "Met", "Breached"))</f>
        <v/>
      </c>
      <c r="P3281" s="8" t="n"/>
      <c r="Q3281" s="8" t="n"/>
      <c r="R3281" s="8" t="n"/>
      <c r="S3281" s="8" t="n"/>
      <c r="T3281" s="8" t="n"/>
      <c r="U3281" s="8" t="n"/>
      <c r="V3281" s="8" t="n"/>
      <c r="W3281" s="8" t="n"/>
      <c r="X3281" s="8" t="n"/>
      <c r="Y3281" s="8" t="n"/>
    </row>
    <row r="3282">
      <c r="A3282" s="8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9">
        <f>B3282+30</f>
        <v/>
      </c>
      <c r="N3282">
        <f>IF(L3282="", "", L3282-B3282)</f>
        <v/>
      </c>
      <c r="O3282">
        <f>IF(L3282="", "Pending", IF(N3282&lt;=30, "Met", "Breached"))</f>
        <v/>
      </c>
      <c r="P3282" s="8" t="n"/>
      <c r="Q3282" s="8" t="n"/>
      <c r="R3282" s="8" t="n"/>
      <c r="S3282" s="8" t="n"/>
      <c r="T3282" s="8" t="n"/>
      <c r="U3282" s="8" t="n"/>
      <c r="V3282" s="8" t="n"/>
      <c r="W3282" s="8" t="n"/>
      <c r="X3282" s="8" t="n"/>
      <c r="Y3282" s="8" t="n"/>
    </row>
    <row r="3283">
      <c r="A3283" s="8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9">
        <f>B3283+30</f>
        <v/>
      </c>
      <c r="N3283">
        <f>IF(L3283="", "", L3283-B3283)</f>
        <v/>
      </c>
      <c r="O3283">
        <f>IF(L3283="", "Pending", IF(N3283&lt;=30, "Met", "Breached"))</f>
        <v/>
      </c>
      <c r="P3283" s="8" t="n"/>
      <c r="Q3283" s="8" t="n"/>
      <c r="R3283" s="8" t="n"/>
      <c r="S3283" s="8" t="n"/>
      <c r="T3283" s="8" t="n"/>
      <c r="U3283" s="8" t="n"/>
      <c r="V3283" s="8" t="n"/>
      <c r="W3283" s="8" t="n"/>
      <c r="X3283" s="8" t="n"/>
      <c r="Y3283" s="8" t="n"/>
    </row>
    <row r="3284">
      <c r="A3284" s="8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9">
        <f>B3284+30</f>
        <v/>
      </c>
      <c r="N3284">
        <f>IF(L3284="", "", L3284-B3284)</f>
        <v/>
      </c>
      <c r="O3284">
        <f>IF(L3284="", "Pending", IF(N3284&lt;=30, "Met", "Breached"))</f>
        <v/>
      </c>
      <c r="P3284" s="8" t="n"/>
      <c r="Q3284" s="8" t="n"/>
      <c r="R3284" s="8" t="n"/>
      <c r="S3284" s="8" t="n"/>
      <c r="T3284" s="8" t="n"/>
      <c r="U3284" s="8" t="n"/>
      <c r="V3284" s="8" t="n"/>
      <c r="W3284" s="8" t="n"/>
      <c r="X3284" s="8" t="n"/>
      <c r="Y3284" s="8" t="n"/>
    </row>
    <row r="3285">
      <c r="A3285" s="8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9">
        <f>B3285+30</f>
        <v/>
      </c>
      <c r="N3285">
        <f>IF(L3285="", "", L3285-B3285)</f>
        <v/>
      </c>
      <c r="O3285">
        <f>IF(L3285="", "Pending", IF(N3285&lt;=30, "Met", "Breached"))</f>
        <v/>
      </c>
      <c r="P3285" s="8" t="n"/>
      <c r="Q3285" s="8" t="n"/>
      <c r="R3285" s="8" t="n"/>
      <c r="S3285" s="8" t="n"/>
      <c r="T3285" s="8" t="n"/>
      <c r="U3285" s="8" t="n"/>
      <c r="V3285" s="8" t="n"/>
      <c r="W3285" s="8" t="n"/>
      <c r="X3285" s="8" t="n"/>
      <c r="Y3285" s="8" t="n"/>
    </row>
    <row r="3286">
      <c r="A3286" s="8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9">
        <f>B3286+30</f>
        <v/>
      </c>
      <c r="N3286">
        <f>IF(L3286="", "", L3286-B3286)</f>
        <v/>
      </c>
      <c r="O3286">
        <f>IF(L3286="", "Pending", IF(N3286&lt;=30, "Met", "Breached"))</f>
        <v/>
      </c>
      <c r="P3286" s="8" t="n"/>
      <c r="Q3286" s="8" t="n"/>
      <c r="R3286" s="8" t="n"/>
      <c r="S3286" s="8" t="n"/>
      <c r="T3286" s="8" t="n"/>
      <c r="U3286" s="8" t="n"/>
      <c r="V3286" s="8" t="n"/>
      <c r="W3286" s="8" t="n"/>
      <c r="X3286" s="8" t="n"/>
      <c r="Y3286" s="8" t="n"/>
    </row>
    <row r="3287">
      <c r="A3287" s="8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9">
        <f>B3287+30</f>
        <v/>
      </c>
      <c r="N3287">
        <f>IF(L3287="", "", L3287-B3287)</f>
        <v/>
      </c>
      <c r="O3287">
        <f>IF(L3287="", "Pending", IF(N3287&lt;=30, "Met", "Breached"))</f>
        <v/>
      </c>
      <c r="P3287" s="8" t="n"/>
      <c r="Q3287" s="8" t="n"/>
      <c r="R3287" s="8" t="n"/>
      <c r="S3287" s="8" t="n"/>
      <c r="T3287" s="8" t="n"/>
      <c r="U3287" s="8" t="n"/>
      <c r="V3287" s="8" t="n"/>
      <c r="W3287" s="8" t="n"/>
      <c r="X3287" s="8" t="n"/>
      <c r="Y3287" s="8" t="n"/>
    </row>
    <row r="3288">
      <c r="A3288" s="8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9">
        <f>B3288+30</f>
        <v/>
      </c>
      <c r="N3288">
        <f>IF(L3288="", "", L3288-B3288)</f>
        <v/>
      </c>
      <c r="O3288">
        <f>IF(L3288="", "Pending", IF(N3288&lt;=30, "Met", "Breached"))</f>
        <v/>
      </c>
      <c r="P3288" s="8" t="n"/>
      <c r="Q3288" s="8" t="n"/>
      <c r="R3288" s="8" t="n"/>
      <c r="S3288" s="8" t="n"/>
      <c r="T3288" s="8" t="n"/>
      <c r="U3288" s="8" t="n"/>
      <c r="V3288" s="8" t="n"/>
      <c r="W3288" s="8" t="n"/>
      <c r="X3288" s="8" t="n"/>
      <c r="Y3288" s="8" t="n"/>
    </row>
    <row r="3289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9">
        <f>B3289+30</f>
        <v/>
      </c>
      <c r="N3289">
        <f>IF(L3289="", "", L3289-B3289)</f>
        <v/>
      </c>
      <c r="O3289">
        <f>IF(L3289="", "Pending", IF(N3289&lt;=30, "Met", "Breached"))</f>
        <v/>
      </c>
      <c r="P3289" s="8" t="n"/>
      <c r="Q3289" s="8" t="n"/>
      <c r="R3289" s="8" t="n"/>
      <c r="S3289" s="8" t="n"/>
      <c r="T3289" s="8" t="n"/>
      <c r="U3289" s="8" t="n"/>
      <c r="V3289" s="8" t="n"/>
      <c r="W3289" s="8" t="n"/>
      <c r="X3289" s="8" t="n"/>
      <c r="Y3289" s="8" t="n"/>
    </row>
    <row r="3290">
      <c r="A3290" s="8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9">
        <f>B3290+30</f>
        <v/>
      </c>
      <c r="N3290">
        <f>IF(L3290="", "", L3290-B3290)</f>
        <v/>
      </c>
      <c r="O3290">
        <f>IF(L3290="", "Pending", IF(N3290&lt;=30, "Met", "Breached"))</f>
        <v/>
      </c>
      <c r="P3290" s="8" t="n"/>
      <c r="Q3290" s="8" t="n"/>
      <c r="R3290" s="8" t="n"/>
      <c r="S3290" s="8" t="n"/>
      <c r="T3290" s="8" t="n"/>
      <c r="U3290" s="8" t="n"/>
      <c r="V3290" s="8" t="n"/>
      <c r="W3290" s="8" t="n"/>
      <c r="X3290" s="8" t="n"/>
      <c r="Y3290" s="8" t="n"/>
    </row>
    <row r="3291">
      <c r="A3291" s="8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9">
        <f>B3291+30</f>
        <v/>
      </c>
      <c r="N3291">
        <f>IF(L3291="", "", L3291-B3291)</f>
        <v/>
      </c>
      <c r="O3291">
        <f>IF(L3291="", "Pending", IF(N3291&lt;=30, "Met", "Breached"))</f>
        <v/>
      </c>
      <c r="P3291" s="8" t="n"/>
      <c r="Q3291" s="8" t="n"/>
      <c r="R3291" s="8" t="n"/>
      <c r="S3291" s="8" t="n"/>
      <c r="T3291" s="8" t="n"/>
      <c r="U3291" s="8" t="n"/>
      <c r="V3291" s="8" t="n"/>
      <c r="W3291" s="8" t="n"/>
      <c r="X3291" s="8" t="n"/>
      <c r="Y3291" s="8" t="n"/>
    </row>
    <row r="3292">
      <c r="A3292" s="8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9">
        <f>B3292+30</f>
        <v/>
      </c>
      <c r="N3292">
        <f>IF(L3292="", "", L3292-B3292)</f>
        <v/>
      </c>
      <c r="O3292">
        <f>IF(L3292="", "Pending", IF(N3292&lt;=30, "Met", "Breached"))</f>
        <v/>
      </c>
      <c r="P3292" s="8" t="n"/>
      <c r="Q3292" s="8" t="n"/>
      <c r="R3292" s="8" t="n"/>
      <c r="S3292" s="8" t="n"/>
      <c r="T3292" s="8" t="n"/>
      <c r="U3292" s="8" t="n"/>
      <c r="V3292" s="8" t="n"/>
      <c r="W3292" s="8" t="n"/>
      <c r="X3292" s="8" t="n"/>
      <c r="Y3292" s="8" t="n"/>
    </row>
    <row r="3293">
      <c r="A3293" s="8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9">
        <f>B3293+30</f>
        <v/>
      </c>
      <c r="N3293">
        <f>IF(L3293="", "", L3293-B3293)</f>
        <v/>
      </c>
      <c r="O3293">
        <f>IF(L3293="", "Pending", IF(N3293&lt;=30, "Met", "Breached"))</f>
        <v/>
      </c>
      <c r="P3293" s="8" t="n"/>
      <c r="Q3293" s="8" t="n"/>
      <c r="R3293" s="8" t="n"/>
      <c r="S3293" s="8" t="n"/>
      <c r="T3293" s="8" t="n"/>
      <c r="U3293" s="8" t="n"/>
      <c r="V3293" s="8" t="n"/>
      <c r="W3293" s="8" t="n"/>
      <c r="X3293" s="8" t="n"/>
      <c r="Y3293" s="8" t="n"/>
    </row>
    <row r="3294">
      <c r="A3294" s="8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9">
        <f>B3294+30</f>
        <v/>
      </c>
      <c r="N3294">
        <f>IF(L3294="", "", L3294-B3294)</f>
        <v/>
      </c>
      <c r="O3294">
        <f>IF(L3294="", "Pending", IF(N3294&lt;=30, "Met", "Breached"))</f>
        <v/>
      </c>
      <c r="P3294" s="8" t="n"/>
      <c r="Q3294" s="8" t="n"/>
      <c r="R3294" s="8" t="n"/>
      <c r="S3294" s="8" t="n"/>
      <c r="T3294" s="8" t="n"/>
      <c r="U3294" s="8" t="n"/>
      <c r="V3294" s="8" t="n"/>
      <c r="W3294" s="8" t="n"/>
      <c r="X3294" s="8" t="n"/>
      <c r="Y3294" s="8" t="n"/>
    </row>
    <row r="3295">
      <c r="A3295" s="8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9">
        <f>B3295+30</f>
        <v/>
      </c>
      <c r="N3295">
        <f>IF(L3295="", "", L3295-B3295)</f>
        <v/>
      </c>
      <c r="O3295">
        <f>IF(L3295="", "Pending", IF(N3295&lt;=30, "Met", "Breached"))</f>
        <v/>
      </c>
      <c r="P3295" s="8" t="n"/>
      <c r="Q3295" s="8" t="n"/>
      <c r="R3295" s="8" t="n"/>
      <c r="S3295" s="8" t="n"/>
      <c r="T3295" s="8" t="n"/>
      <c r="U3295" s="8" t="n"/>
      <c r="V3295" s="8" t="n"/>
      <c r="W3295" s="8" t="n"/>
      <c r="X3295" s="8" t="n"/>
      <c r="Y3295" s="8" t="n"/>
    </row>
    <row r="3296">
      <c r="A3296" s="8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9">
        <f>B3296+30</f>
        <v/>
      </c>
      <c r="N3296">
        <f>IF(L3296="", "", L3296-B3296)</f>
        <v/>
      </c>
      <c r="O3296">
        <f>IF(L3296="", "Pending", IF(N3296&lt;=30, "Met", "Breached"))</f>
        <v/>
      </c>
      <c r="P3296" s="8" t="n"/>
      <c r="Q3296" s="8" t="n"/>
      <c r="R3296" s="8" t="n"/>
      <c r="S3296" s="8" t="n"/>
      <c r="T3296" s="8" t="n"/>
      <c r="U3296" s="8" t="n"/>
      <c r="V3296" s="8" t="n"/>
      <c r="W3296" s="8" t="n"/>
      <c r="X3296" s="8" t="n"/>
      <c r="Y3296" s="8" t="n"/>
    </row>
    <row r="3297">
      <c r="A3297" s="8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9">
        <f>B3297+30</f>
        <v/>
      </c>
      <c r="N3297">
        <f>IF(L3297="", "", L3297-B3297)</f>
        <v/>
      </c>
      <c r="O3297">
        <f>IF(L3297="", "Pending", IF(N3297&lt;=30, "Met", "Breached"))</f>
        <v/>
      </c>
      <c r="P3297" s="8" t="n"/>
      <c r="Q3297" s="8" t="n"/>
      <c r="R3297" s="8" t="n"/>
      <c r="S3297" s="8" t="n"/>
      <c r="T3297" s="8" t="n"/>
      <c r="U3297" s="8" t="n"/>
      <c r="V3297" s="8" t="n"/>
      <c r="W3297" s="8" t="n"/>
      <c r="X3297" s="8" t="n"/>
      <c r="Y3297" s="8" t="n"/>
    </row>
    <row r="3298">
      <c r="A3298" s="8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9">
        <f>B3298+30</f>
        <v/>
      </c>
      <c r="N3298">
        <f>IF(L3298="", "", L3298-B3298)</f>
        <v/>
      </c>
      <c r="O3298">
        <f>IF(L3298="", "Pending", IF(N3298&lt;=30, "Met", "Breached"))</f>
        <v/>
      </c>
      <c r="P3298" s="8" t="n"/>
      <c r="Q3298" s="8" t="n"/>
      <c r="R3298" s="8" t="n"/>
      <c r="S3298" s="8" t="n"/>
      <c r="T3298" s="8" t="n"/>
      <c r="U3298" s="8" t="n"/>
      <c r="V3298" s="8" t="n"/>
      <c r="W3298" s="8" t="n"/>
      <c r="X3298" s="8" t="n"/>
      <c r="Y3298" s="8" t="n"/>
    </row>
    <row r="3299">
      <c r="A3299" s="8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9">
        <f>B3299+30</f>
        <v/>
      </c>
      <c r="N3299">
        <f>IF(L3299="", "", L3299-B3299)</f>
        <v/>
      </c>
      <c r="O3299">
        <f>IF(L3299="", "Pending", IF(N3299&lt;=30, "Met", "Breached"))</f>
        <v/>
      </c>
      <c r="P3299" s="8" t="n"/>
      <c r="Q3299" s="8" t="n"/>
      <c r="R3299" s="8" t="n"/>
      <c r="S3299" s="8" t="n"/>
      <c r="T3299" s="8" t="n"/>
      <c r="U3299" s="8" t="n"/>
      <c r="V3299" s="8" t="n"/>
      <c r="W3299" s="8" t="n"/>
      <c r="X3299" s="8" t="n"/>
      <c r="Y3299" s="8" t="n"/>
    </row>
    <row r="3300">
      <c r="A3300" s="8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9">
        <f>B3300+30</f>
        <v/>
      </c>
      <c r="N3300">
        <f>IF(L3300="", "", L3300-B3300)</f>
        <v/>
      </c>
      <c r="O3300">
        <f>IF(L3300="", "Pending", IF(N3300&lt;=30, "Met", "Breached"))</f>
        <v/>
      </c>
      <c r="P3300" s="8" t="n"/>
      <c r="Q3300" s="8" t="n"/>
      <c r="R3300" s="8" t="n"/>
      <c r="S3300" s="8" t="n"/>
      <c r="T3300" s="8" t="n"/>
      <c r="U3300" s="8" t="n"/>
      <c r="V3300" s="8" t="n"/>
      <c r="W3300" s="8" t="n"/>
      <c r="X3300" s="8" t="n"/>
      <c r="Y3300" s="8" t="n"/>
    </row>
    <row r="3301">
      <c r="A3301" s="8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9">
        <f>B3301+30</f>
        <v/>
      </c>
      <c r="N3301">
        <f>IF(L3301="", "", L3301-B3301)</f>
        <v/>
      </c>
      <c r="O3301">
        <f>IF(L3301="", "Pending", IF(N3301&lt;=30, "Met", "Breached"))</f>
        <v/>
      </c>
      <c r="P3301" s="8" t="n"/>
      <c r="Q3301" s="8" t="n"/>
      <c r="R3301" s="8" t="n"/>
      <c r="S3301" s="8" t="n"/>
      <c r="T3301" s="8" t="n"/>
      <c r="U3301" s="8" t="n"/>
      <c r="V3301" s="8" t="n"/>
      <c r="W3301" s="8" t="n"/>
      <c r="X3301" s="8" t="n"/>
      <c r="Y3301" s="8" t="n"/>
    </row>
    <row r="3302">
      <c r="A3302" s="8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9">
        <f>B3302+30</f>
        <v/>
      </c>
      <c r="N3302">
        <f>IF(L3302="", "", L3302-B3302)</f>
        <v/>
      </c>
      <c r="O3302">
        <f>IF(L3302="", "Pending", IF(N3302&lt;=30, "Met", "Breached"))</f>
        <v/>
      </c>
      <c r="P3302" s="8" t="n"/>
      <c r="Q3302" s="8" t="n"/>
      <c r="R3302" s="8" t="n"/>
      <c r="S3302" s="8" t="n"/>
      <c r="T3302" s="8" t="n"/>
      <c r="U3302" s="8" t="n"/>
      <c r="V3302" s="8" t="n"/>
      <c r="W3302" s="8" t="n"/>
      <c r="X3302" s="8" t="n"/>
      <c r="Y3302" s="8" t="n"/>
    </row>
    <row r="3303">
      <c r="A3303" s="8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9">
        <f>B3303+30</f>
        <v/>
      </c>
      <c r="N3303">
        <f>IF(L3303="", "", L3303-B3303)</f>
        <v/>
      </c>
      <c r="O3303">
        <f>IF(L3303="", "Pending", IF(N3303&lt;=30, "Met", "Breached"))</f>
        <v/>
      </c>
      <c r="P3303" s="8" t="n"/>
      <c r="Q3303" s="8" t="n"/>
      <c r="R3303" s="8" t="n"/>
      <c r="S3303" s="8" t="n"/>
      <c r="T3303" s="8" t="n"/>
      <c r="U3303" s="8" t="n"/>
      <c r="V3303" s="8" t="n"/>
      <c r="W3303" s="8" t="n"/>
      <c r="X3303" s="8" t="n"/>
      <c r="Y3303" s="8" t="n"/>
    </row>
    <row r="3304">
      <c r="A3304" s="8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9">
        <f>B3304+30</f>
        <v/>
      </c>
      <c r="N3304">
        <f>IF(L3304="", "", L3304-B3304)</f>
        <v/>
      </c>
      <c r="O3304">
        <f>IF(L3304="", "Pending", IF(N3304&lt;=30, "Met", "Breached"))</f>
        <v/>
      </c>
      <c r="P3304" s="8" t="n"/>
      <c r="Q3304" s="8" t="n"/>
      <c r="R3304" s="8" t="n"/>
      <c r="S3304" s="8" t="n"/>
      <c r="T3304" s="8" t="n"/>
      <c r="U3304" s="8" t="n"/>
      <c r="V3304" s="8" t="n"/>
      <c r="W3304" s="8" t="n"/>
      <c r="X3304" s="8" t="n"/>
      <c r="Y3304" s="8" t="n"/>
    </row>
    <row r="3305">
      <c r="A3305" s="8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9">
        <f>B3305+30</f>
        <v/>
      </c>
      <c r="N3305">
        <f>IF(L3305="", "", L3305-B3305)</f>
        <v/>
      </c>
      <c r="O3305">
        <f>IF(L3305="", "Pending", IF(N3305&lt;=30, "Met", "Breached"))</f>
        <v/>
      </c>
      <c r="P3305" s="8" t="n"/>
      <c r="Q3305" s="8" t="n"/>
      <c r="R3305" s="8" t="n"/>
      <c r="S3305" s="8" t="n"/>
      <c r="T3305" s="8" t="n"/>
      <c r="U3305" s="8" t="n"/>
      <c r="V3305" s="8" t="n"/>
      <c r="W3305" s="8" t="n"/>
      <c r="X3305" s="8" t="n"/>
      <c r="Y3305" s="8" t="n"/>
    </row>
    <row r="3306">
      <c r="A3306" s="8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9">
        <f>B3306+30</f>
        <v/>
      </c>
      <c r="N3306">
        <f>IF(L3306="", "", L3306-B3306)</f>
        <v/>
      </c>
      <c r="O3306">
        <f>IF(L3306="", "Pending", IF(N3306&lt;=30, "Met", "Breached"))</f>
        <v/>
      </c>
      <c r="P3306" s="8" t="n"/>
      <c r="Q3306" s="8" t="n"/>
      <c r="R3306" s="8" t="n"/>
      <c r="S3306" s="8" t="n"/>
      <c r="T3306" s="8" t="n"/>
      <c r="U3306" s="8" t="n"/>
      <c r="V3306" s="8" t="n"/>
      <c r="W3306" s="8" t="n"/>
      <c r="X3306" s="8" t="n"/>
      <c r="Y3306" s="8" t="n"/>
    </row>
    <row r="3307">
      <c r="A3307" s="8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9">
        <f>B3307+30</f>
        <v/>
      </c>
      <c r="N3307">
        <f>IF(L3307="", "", L3307-B3307)</f>
        <v/>
      </c>
      <c r="O3307">
        <f>IF(L3307="", "Pending", IF(N3307&lt;=30, "Met", "Breached"))</f>
        <v/>
      </c>
      <c r="P3307" s="8" t="n"/>
      <c r="Q3307" s="8" t="n"/>
      <c r="R3307" s="8" t="n"/>
      <c r="S3307" s="8" t="n"/>
      <c r="T3307" s="8" t="n"/>
      <c r="U3307" s="8" t="n"/>
      <c r="V3307" s="8" t="n"/>
      <c r="W3307" s="8" t="n"/>
      <c r="X3307" s="8" t="n"/>
      <c r="Y3307" s="8" t="n"/>
    </row>
    <row r="3308">
      <c r="A3308" s="8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9">
        <f>B3308+30</f>
        <v/>
      </c>
      <c r="N3308">
        <f>IF(L3308="", "", L3308-B3308)</f>
        <v/>
      </c>
      <c r="O3308">
        <f>IF(L3308="", "Pending", IF(N3308&lt;=30, "Met", "Breached"))</f>
        <v/>
      </c>
      <c r="P3308" s="8" t="n"/>
      <c r="Q3308" s="8" t="n"/>
      <c r="R3308" s="8" t="n"/>
      <c r="S3308" s="8" t="n"/>
      <c r="T3308" s="8" t="n"/>
      <c r="U3308" s="8" t="n"/>
      <c r="V3308" s="8" t="n"/>
      <c r="W3308" s="8" t="n"/>
      <c r="X3308" s="8" t="n"/>
      <c r="Y3308" s="8" t="n"/>
    </row>
    <row r="3309">
      <c r="A3309" s="8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9">
        <f>B3309+30</f>
        <v/>
      </c>
      <c r="N3309">
        <f>IF(L3309="", "", L3309-B3309)</f>
        <v/>
      </c>
      <c r="O3309">
        <f>IF(L3309="", "Pending", IF(N3309&lt;=30, "Met", "Breached"))</f>
        <v/>
      </c>
      <c r="P3309" s="8" t="n"/>
      <c r="Q3309" s="8" t="n"/>
      <c r="R3309" s="8" t="n"/>
      <c r="S3309" s="8" t="n"/>
      <c r="T3309" s="8" t="n"/>
      <c r="U3309" s="8" t="n"/>
      <c r="V3309" s="8" t="n"/>
      <c r="W3309" s="8" t="n"/>
      <c r="X3309" s="8" t="n"/>
      <c r="Y3309" s="8" t="n"/>
    </row>
    <row r="3310">
      <c r="A3310" s="8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9">
        <f>B3310+30</f>
        <v/>
      </c>
      <c r="N3310">
        <f>IF(L3310="", "", L3310-B3310)</f>
        <v/>
      </c>
      <c r="O3310">
        <f>IF(L3310="", "Pending", IF(N3310&lt;=30, "Met", "Breached"))</f>
        <v/>
      </c>
      <c r="P3310" s="8" t="n"/>
      <c r="Q3310" s="8" t="n"/>
      <c r="R3310" s="8" t="n"/>
      <c r="S3310" s="8" t="n"/>
      <c r="T3310" s="8" t="n"/>
      <c r="U3310" s="8" t="n"/>
      <c r="V3310" s="8" t="n"/>
      <c r="W3310" s="8" t="n"/>
      <c r="X3310" s="8" t="n"/>
      <c r="Y3310" s="8" t="n"/>
    </row>
    <row r="3311">
      <c r="A3311" s="8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9">
        <f>B3311+30</f>
        <v/>
      </c>
      <c r="N3311">
        <f>IF(L3311="", "", L3311-B3311)</f>
        <v/>
      </c>
      <c r="O3311">
        <f>IF(L3311="", "Pending", IF(N3311&lt;=30, "Met", "Breached"))</f>
        <v/>
      </c>
      <c r="P3311" s="8" t="n"/>
      <c r="Q3311" s="8" t="n"/>
      <c r="R3311" s="8" t="n"/>
      <c r="S3311" s="8" t="n"/>
      <c r="T3311" s="8" t="n"/>
      <c r="U3311" s="8" t="n"/>
      <c r="V3311" s="8" t="n"/>
      <c r="W3311" s="8" t="n"/>
      <c r="X3311" s="8" t="n"/>
      <c r="Y3311" s="8" t="n"/>
    </row>
    <row r="3312">
      <c r="A3312" s="8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9">
        <f>B3312+30</f>
        <v/>
      </c>
      <c r="N3312">
        <f>IF(L3312="", "", L3312-B3312)</f>
        <v/>
      </c>
      <c r="O3312">
        <f>IF(L3312="", "Pending", IF(N3312&lt;=30, "Met", "Breached"))</f>
        <v/>
      </c>
      <c r="P3312" s="8" t="n"/>
      <c r="Q3312" s="8" t="n"/>
      <c r="R3312" s="8" t="n"/>
      <c r="S3312" s="8" t="n"/>
      <c r="T3312" s="8" t="n"/>
      <c r="U3312" s="8" t="n"/>
      <c r="V3312" s="8" t="n"/>
      <c r="W3312" s="8" t="n"/>
      <c r="X3312" s="8" t="n"/>
      <c r="Y3312" s="8" t="n"/>
    </row>
    <row r="3313">
      <c r="A3313" s="8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9">
        <f>B3313+30</f>
        <v/>
      </c>
      <c r="N3313">
        <f>IF(L3313="", "", L3313-B3313)</f>
        <v/>
      </c>
      <c r="O3313">
        <f>IF(L3313="", "Pending", IF(N3313&lt;=30, "Met", "Breached"))</f>
        <v/>
      </c>
      <c r="P3313" s="8" t="n"/>
      <c r="Q3313" s="8" t="n"/>
      <c r="R3313" s="8" t="n"/>
      <c r="S3313" s="8" t="n"/>
      <c r="T3313" s="8" t="n"/>
      <c r="U3313" s="8" t="n"/>
      <c r="V3313" s="8" t="n"/>
      <c r="W3313" s="8" t="n"/>
      <c r="X3313" s="8" t="n"/>
      <c r="Y3313" s="8" t="n"/>
    </row>
    <row r="3314">
      <c r="A3314" s="8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9">
        <f>B3314+30</f>
        <v/>
      </c>
      <c r="N3314">
        <f>IF(L3314="", "", L3314-B3314)</f>
        <v/>
      </c>
      <c r="O3314">
        <f>IF(L3314="", "Pending", IF(N3314&lt;=30, "Met", "Breached"))</f>
        <v/>
      </c>
      <c r="P3314" s="8" t="n"/>
      <c r="Q3314" s="8" t="n"/>
      <c r="R3314" s="8" t="n"/>
      <c r="S3314" s="8" t="n"/>
      <c r="T3314" s="8" t="n"/>
      <c r="U3314" s="8" t="n"/>
      <c r="V3314" s="8" t="n"/>
      <c r="W3314" s="8" t="n"/>
      <c r="X3314" s="8" t="n"/>
      <c r="Y3314" s="8" t="n"/>
    </row>
    <row r="3315">
      <c r="A3315" s="8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9">
        <f>B3315+30</f>
        <v/>
      </c>
      <c r="N3315">
        <f>IF(L3315="", "", L3315-B3315)</f>
        <v/>
      </c>
      <c r="O3315">
        <f>IF(L3315="", "Pending", IF(N3315&lt;=30, "Met", "Breached"))</f>
        <v/>
      </c>
      <c r="P3315" s="8" t="n"/>
      <c r="Q3315" s="8" t="n"/>
      <c r="R3315" s="8" t="n"/>
      <c r="S3315" s="8" t="n"/>
      <c r="T3315" s="8" t="n"/>
      <c r="U3315" s="8" t="n"/>
      <c r="V3315" s="8" t="n"/>
      <c r="W3315" s="8" t="n"/>
      <c r="X3315" s="8" t="n"/>
      <c r="Y3315" s="8" t="n"/>
    </row>
    <row r="3316">
      <c r="A3316" s="8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9">
        <f>B3316+30</f>
        <v/>
      </c>
      <c r="N3316">
        <f>IF(L3316="", "", L3316-B3316)</f>
        <v/>
      </c>
      <c r="O3316">
        <f>IF(L3316="", "Pending", IF(N3316&lt;=30, "Met", "Breached"))</f>
        <v/>
      </c>
      <c r="P3316" s="8" t="n"/>
      <c r="Q3316" s="8" t="n"/>
      <c r="R3316" s="8" t="n"/>
      <c r="S3316" s="8" t="n"/>
      <c r="T3316" s="8" t="n"/>
      <c r="U3316" s="8" t="n"/>
      <c r="V3316" s="8" t="n"/>
      <c r="W3316" s="8" t="n"/>
      <c r="X3316" s="8" t="n"/>
      <c r="Y3316" s="8" t="n"/>
    </row>
    <row r="3317">
      <c r="A3317" s="8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9">
        <f>B3317+30</f>
        <v/>
      </c>
      <c r="N3317">
        <f>IF(L3317="", "", L3317-B3317)</f>
        <v/>
      </c>
      <c r="O3317">
        <f>IF(L3317="", "Pending", IF(N3317&lt;=30, "Met", "Breached"))</f>
        <v/>
      </c>
      <c r="P3317" s="8" t="n"/>
      <c r="Q3317" s="8" t="n"/>
      <c r="R3317" s="8" t="n"/>
      <c r="S3317" s="8" t="n"/>
      <c r="T3317" s="8" t="n"/>
      <c r="U3317" s="8" t="n"/>
      <c r="V3317" s="8" t="n"/>
      <c r="W3317" s="8" t="n"/>
      <c r="X3317" s="8" t="n"/>
      <c r="Y3317" s="8" t="n"/>
    </row>
    <row r="3318">
      <c r="A3318" s="8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9">
        <f>B3318+30</f>
        <v/>
      </c>
      <c r="N3318">
        <f>IF(L3318="", "", L3318-B3318)</f>
        <v/>
      </c>
      <c r="O3318">
        <f>IF(L3318="", "Pending", IF(N3318&lt;=30, "Met", "Breached"))</f>
        <v/>
      </c>
      <c r="P3318" s="8" t="n"/>
      <c r="Q3318" s="8" t="n"/>
      <c r="R3318" s="8" t="n"/>
      <c r="S3318" s="8" t="n"/>
      <c r="T3318" s="8" t="n"/>
      <c r="U3318" s="8" t="n"/>
      <c r="V3318" s="8" t="n"/>
      <c r="W3318" s="8" t="n"/>
      <c r="X3318" s="8" t="n"/>
      <c r="Y3318" s="8" t="n"/>
    </row>
    <row r="3319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9">
        <f>B3319+30</f>
        <v/>
      </c>
      <c r="N3319">
        <f>IF(L3319="", "", L3319-B3319)</f>
        <v/>
      </c>
      <c r="O3319">
        <f>IF(L3319="", "Pending", IF(N3319&lt;=30, "Met", "Breached"))</f>
        <v/>
      </c>
      <c r="P3319" s="8" t="n"/>
      <c r="Q3319" s="8" t="n"/>
      <c r="R3319" s="8" t="n"/>
      <c r="S3319" s="8" t="n"/>
      <c r="T3319" s="8" t="n"/>
      <c r="U3319" s="8" t="n"/>
      <c r="V3319" s="8" t="n"/>
      <c r="W3319" s="8" t="n"/>
      <c r="X3319" s="8" t="n"/>
      <c r="Y3319" s="8" t="n"/>
    </row>
    <row r="3320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9">
        <f>B3320+30</f>
        <v/>
      </c>
      <c r="N3320">
        <f>IF(L3320="", "", L3320-B3320)</f>
        <v/>
      </c>
      <c r="O3320">
        <f>IF(L3320="", "Pending", IF(N3320&lt;=30, "Met", "Breached"))</f>
        <v/>
      </c>
      <c r="P3320" s="8" t="n"/>
      <c r="Q3320" s="8" t="n"/>
      <c r="R3320" s="8" t="n"/>
      <c r="S3320" s="8" t="n"/>
      <c r="T3320" s="8" t="n"/>
      <c r="U3320" s="8" t="n"/>
      <c r="V3320" s="8" t="n"/>
      <c r="W3320" s="8" t="n"/>
      <c r="X3320" s="8" t="n"/>
      <c r="Y3320" s="8" t="n"/>
    </row>
    <row r="3321">
      <c r="A3321" s="8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9">
        <f>B3321+30</f>
        <v/>
      </c>
      <c r="N3321">
        <f>IF(L3321="", "", L3321-B3321)</f>
        <v/>
      </c>
      <c r="O3321">
        <f>IF(L3321="", "Pending", IF(N3321&lt;=30, "Met", "Breached"))</f>
        <v/>
      </c>
      <c r="P3321" s="8" t="n"/>
      <c r="Q3321" s="8" t="n"/>
      <c r="R3321" s="8" t="n"/>
      <c r="S3321" s="8" t="n"/>
      <c r="T3321" s="8" t="n"/>
      <c r="U3321" s="8" t="n"/>
      <c r="V3321" s="8" t="n"/>
      <c r="W3321" s="8" t="n"/>
      <c r="X3321" s="8" t="n"/>
      <c r="Y3321" s="8" t="n"/>
    </row>
    <row r="3322">
      <c r="A3322" s="8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9">
        <f>B3322+30</f>
        <v/>
      </c>
      <c r="N3322">
        <f>IF(L3322="", "", L3322-B3322)</f>
        <v/>
      </c>
      <c r="O3322">
        <f>IF(L3322="", "Pending", IF(N3322&lt;=30, "Met", "Breached"))</f>
        <v/>
      </c>
      <c r="P3322" s="8" t="n"/>
      <c r="Q3322" s="8" t="n"/>
      <c r="R3322" s="8" t="n"/>
      <c r="S3322" s="8" t="n"/>
      <c r="T3322" s="8" t="n"/>
      <c r="U3322" s="8" t="n"/>
      <c r="V3322" s="8" t="n"/>
      <c r="W3322" s="8" t="n"/>
      <c r="X3322" s="8" t="n"/>
      <c r="Y3322" s="8" t="n"/>
    </row>
    <row r="3323">
      <c r="A3323" s="8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9">
        <f>B3323+30</f>
        <v/>
      </c>
      <c r="N3323">
        <f>IF(L3323="", "", L3323-B3323)</f>
        <v/>
      </c>
      <c r="O3323">
        <f>IF(L3323="", "Pending", IF(N3323&lt;=30, "Met", "Breached"))</f>
        <v/>
      </c>
      <c r="P3323" s="8" t="n"/>
      <c r="Q3323" s="8" t="n"/>
      <c r="R3323" s="8" t="n"/>
      <c r="S3323" s="8" t="n"/>
      <c r="T3323" s="8" t="n"/>
      <c r="U3323" s="8" t="n"/>
      <c r="V3323" s="8" t="n"/>
      <c r="W3323" s="8" t="n"/>
      <c r="X3323" s="8" t="n"/>
      <c r="Y3323" s="8" t="n"/>
    </row>
    <row r="3324">
      <c r="A3324" s="8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9">
        <f>B3324+30</f>
        <v/>
      </c>
      <c r="N3324">
        <f>IF(L3324="", "", L3324-B3324)</f>
        <v/>
      </c>
      <c r="O3324">
        <f>IF(L3324="", "Pending", IF(N3324&lt;=30, "Met", "Breached"))</f>
        <v/>
      </c>
      <c r="P3324" s="8" t="n"/>
      <c r="Q3324" s="8" t="n"/>
      <c r="R3324" s="8" t="n"/>
      <c r="S3324" s="8" t="n"/>
      <c r="T3324" s="8" t="n"/>
      <c r="U3324" s="8" t="n"/>
      <c r="V3324" s="8" t="n"/>
      <c r="W3324" s="8" t="n"/>
      <c r="X3324" s="8" t="n"/>
      <c r="Y3324" s="8" t="n"/>
    </row>
    <row r="3325">
      <c r="A3325" s="8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9">
        <f>B3325+30</f>
        <v/>
      </c>
      <c r="N3325">
        <f>IF(L3325="", "", L3325-B3325)</f>
        <v/>
      </c>
      <c r="O3325">
        <f>IF(L3325="", "Pending", IF(N3325&lt;=30, "Met", "Breached"))</f>
        <v/>
      </c>
      <c r="P3325" s="8" t="n"/>
      <c r="Q3325" s="8" t="n"/>
      <c r="R3325" s="8" t="n"/>
      <c r="S3325" s="8" t="n"/>
      <c r="T3325" s="8" t="n"/>
      <c r="U3325" s="8" t="n"/>
      <c r="V3325" s="8" t="n"/>
      <c r="W3325" s="8" t="n"/>
      <c r="X3325" s="8" t="n"/>
      <c r="Y3325" s="8" t="n"/>
    </row>
    <row r="3326">
      <c r="A3326" s="8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9">
        <f>B3326+30</f>
        <v/>
      </c>
      <c r="N3326">
        <f>IF(L3326="", "", L3326-B3326)</f>
        <v/>
      </c>
      <c r="O3326">
        <f>IF(L3326="", "Pending", IF(N3326&lt;=30, "Met", "Breached"))</f>
        <v/>
      </c>
      <c r="P3326" s="8" t="n"/>
      <c r="Q3326" s="8" t="n"/>
      <c r="R3326" s="8" t="n"/>
      <c r="S3326" s="8" t="n"/>
      <c r="T3326" s="8" t="n"/>
      <c r="U3326" s="8" t="n"/>
      <c r="V3326" s="8" t="n"/>
      <c r="W3326" s="8" t="n"/>
      <c r="X3326" s="8" t="n"/>
      <c r="Y3326" s="8" t="n"/>
    </row>
    <row r="3327">
      <c r="A3327" s="8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9">
        <f>B3327+30</f>
        <v/>
      </c>
      <c r="N3327">
        <f>IF(L3327="", "", L3327-B3327)</f>
        <v/>
      </c>
      <c r="O3327">
        <f>IF(L3327="", "Pending", IF(N3327&lt;=30, "Met", "Breached"))</f>
        <v/>
      </c>
      <c r="P3327" s="8" t="n"/>
      <c r="Q3327" s="8" t="n"/>
      <c r="R3327" s="8" t="n"/>
      <c r="S3327" s="8" t="n"/>
      <c r="T3327" s="8" t="n"/>
      <c r="U3327" s="8" t="n"/>
      <c r="V3327" s="8" t="n"/>
      <c r="W3327" s="8" t="n"/>
      <c r="X3327" s="8" t="n"/>
      <c r="Y3327" s="8" t="n"/>
    </row>
    <row r="3328">
      <c r="A3328" s="8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9">
        <f>B3328+30</f>
        <v/>
      </c>
      <c r="N3328">
        <f>IF(L3328="", "", L3328-B3328)</f>
        <v/>
      </c>
      <c r="O3328">
        <f>IF(L3328="", "Pending", IF(N3328&lt;=30, "Met", "Breached"))</f>
        <v/>
      </c>
      <c r="P3328" s="8" t="n"/>
      <c r="Q3328" s="8" t="n"/>
      <c r="R3328" s="8" t="n"/>
      <c r="S3328" s="8" t="n"/>
      <c r="T3328" s="8" t="n"/>
      <c r="U3328" s="8" t="n"/>
      <c r="V3328" s="8" t="n"/>
      <c r="W3328" s="8" t="n"/>
      <c r="X3328" s="8" t="n"/>
      <c r="Y3328" s="8" t="n"/>
    </row>
    <row r="3329">
      <c r="A3329" s="8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9">
        <f>B3329+30</f>
        <v/>
      </c>
      <c r="N3329">
        <f>IF(L3329="", "", L3329-B3329)</f>
        <v/>
      </c>
      <c r="O3329">
        <f>IF(L3329="", "Pending", IF(N3329&lt;=30, "Met", "Breached"))</f>
        <v/>
      </c>
      <c r="P3329" s="8" t="n"/>
      <c r="Q3329" s="8" t="n"/>
      <c r="R3329" s="8" t="n"/>
      <c r="S3329" s="8" t="n"/>
      <c r="T3329" s="8" t="n"/>
      <c r="U3329" s="8" t="n"/>
      <c r="V3329" s="8" t="n"/>
      <c r="W3329" s="8" t="n"/>
      <c r="X3329" s="8" t="n"/>
      <c r="Y3329" s="8" t="n"/>
    </row>
    <row r="3330">
      <c r="A3330" s="8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9">
        <f>B3330+30</f>
        <v/>
      </c>
      <c r="N3330">
        <f>IF(L3330="", "", L3330-B3330)</f>
        <v/>
      </c>
      <c r="O3330">
        <f>IF(L3330="", "Pending", IF(N3330&lt;=30, "Met", "Breached"))</f>
        <v/>
      </c>
      <c r="P3330" s="8" t="n"/>
      <c r="Q3330" s="8" t="n"/>
      <c r="R3330" s="8" t="n"/>
      <c r="S3330" s="8" t="n"/>
      <c r="T3330" s="8" t="n"/>
      <c r="U3330" s="8" t="n"/>
      <c r="V3330" s="8" t="n"/>
      <c r="W3330" s="8" t="n"/>
      <c r="X3330" s="8" t="n"/>
      <c r="Y3330" s="8" t="n"/>
    </row>
    <row r="3331">
      <c r="A3331" s="8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9">
        <f>B3331+30</f>
        <v/>
      </c>
      <c r="N3331">
        <f>IF(L3331="", "", L3331-B3331)</f>
        <v/>
      </c>
      <c r="O3331">
        <f>IF(L3331="", "Pending", IF(N3331&lt;=30, "Met", "Breached"))</f>
        <v/>
      </c>
      <c r="P3331" s="8" t="n"/>
      <c r="Q3331" s="8" t="n"/>
      <c r="R3331" s="8" t="n"/>
      <c r="S3331" s="8" t="n"/>
      <c r="T3331" s="8" t="n"/>
      <c r="U3331" s="8" t="n"/>
      <c r="V3331" s="8" t="n"/>
      <c r="W3331" s="8" t="n"/>
      <c r="X3331" s="8" t="n"/>
      <c r="Y3331" s="8" t="n"/>
    </row>
    <row r="3332">
      <c r="A3332" s="8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9">
        <f>B3332+30</f>
        <v/>
      </c>
      <c r="N3332">
        <f>IF(L3332="", "", L3332-B3332)</f>
        <v/>
      </c>
      <c r="O3332">
        <f>IF(L3332="", "Pending", IF(N3332&lt;=30, "Met", "Breached"))</f>
        <v/>
      </c>
      <c r="P3332" s="8" t="n"/>
      <c r="Q3332" s="8" t="n"/>
      <c r="R3332" s="8" t="n"/>
      <c r="S3332" s="8" t="n"/>
      <c r="T3332" s="8" t="n"/>
      <c r="U3332" s="8" t="n"/>
      <c r="V3332" s="8" t="n"/>
      <c r="W3332" s="8" t="n"/>
      <c r="X3332" s="8" t="n"/>
      <c r="Y3332" s="8" t="n"/>
    </row>
    <row r="3333">
      <c r="A3333" s="8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9">
        <f>B3333+30</f>
        <v/>
      </c>
      <c r="N3333">
        <f>IF(L3333="", "", L3333-B3333)</f>
        <v/>
      </c>
      <c r="O3333">
        <f>IF(L3333="", "Pending", IF(N3333&lt;=30, "Met", "Breached"))</f>
        <v/>
      </c>
      <c r="P3333" s="8" t="n"/>
      <c r="Q3333" s="8" t="n"/>
      <c r="R3333" s="8" t="n"/>
      <c r="S3333" s="8" t="n"/>
      <c r="T3333" s="8" t="n"/>
      <c r="U3333" s="8" t="n"/>
      <c r="V3333" s="8" t="n"/>
      <c r="W3333" s="8" t="n"/>
      <c r="X3333" s="8" t="n"/>
      <c r="Y3333" s="8" t="n"/>
    </row>
    <row r="3334">
      <c r="A3334" s="8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9">
        <f>B3334+30</f>
        <v/>
      </c>
      <c r="N3334">
        <f>IF(L3334="", "", L3334-B3334)</f>
        <v/>
      </c>
      <c r="O3334">
        <f>IF(L3334="", "Pending", IF(N3334&lt;=30, "Met", "Breached"))</f>
        <v/>
      </c>
      <c r="P3334" s="8" t="n"/>
      <c r="Q3334" s="8" t="n"/>
      <c r="R3334" s="8" t="n"/>
      <c r="S3334" s="8" t="n"/>
      <c r="T3334" s="8" t="n"/>
      <c r="U3334" s="8" t="n"/>
      <c r="V3334" s="8" t="n"/>
      <c r="W3334" s="8" t="n"/>
      <c r="X3334" s="8" t="n"/>
      <c r="Y3334" s="8" t="n"/>
    </row>
    <row r="3335">
      <c r="A3335" s="8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9">
        <f>B3335+30</f>
        <v/>
      </c>
      <c r="N3335">
        <f>IF(L3335="", "", L3335-B3335)</f>
        <v/>
      </c>
      <c r="O3335">
        <f>IF(L3335="", "Pending", IF(N3335&lt;=30, "Met", "Breached"))</f>
        <v/>
      </c>
      <c r="P3335" s="8" t="n"/>
      <c r="Q3335" s="8" t="n"/>
      <c r="R3335" s="8" t="n"/>
      <c r="S3335" s="8" t="n"/>
      <c r="T3335" s="8" t="n"/>
      <c r="U3335" s="8" t="n"/>
      <c r="V3335" s="8" t="n"/>
      <c r="W3335" s="8" t="n"/>
      <c r="X3335" s="8" t="n"/>
      <c r="Y3335" s="8" t="n"/>
    </row>
    <row r="3336">
      <c r="A3336" s="8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9">
        <f>B3336+30</f>
        <v/>
      </c>
      <c r="N3336">
        <f>IF(L3336="", "", L3336-B3336)</f>
        <v/>
      </c>
      <c r="O3336">
        <f>IF(L3336="", "Pending", IF(N3336&lt;=30, "Met", "Breached"))</f>
        <v/>
      </c>
      <c r="P3336" s="8" t="n"/>
      <c r="Q3336" s="8" t="n"/>
      <c r="R3336" s="8" t="n"/>
      <c r="S3336" s="8" t="n"/>
      <c r="T3336" s="8" t="n"/>
      <c r="U3336" s="8" t="n"/>
      <c r="V3336" s="8" t="n"/>
      <c r="W3336" s="8" t="n"/>
      <c r="X3336" s="8" t="n"/>
      <c r="Y3336" s="8" t="n"/>
    </row>
    <row r="3337">
      <c r="A3337" s="8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9">
        <f>B3337+30</f>
        <v/>
      </c>
      <c r="N3337">
        <f>IF(L3337="", "", L3337-B3337)</f>
        <v/>
      </c>
      <c r="O3337">
        <f>IF(L3337="", "Pending", IF(N3337&lt;=30, "Met", "Breached"))</f>
        <v/>
      </c>
      <c r="P3337" s="8" t="n"/>
      <c r="Q3337" s="8" t="n"/>
      <c r="R3337" s="8" t="n"/>
      <c r="S3337" s="8" t="n"/>
      <c r="T3337" s="8" t="n"/>
      <c r="U3337" s="8" t="n"/>
      <c r="V3337" s="8" t="n"/>
      <c r="W3337" s="8" t="n"/>
      <c r="X3337" s="8" t="n"/>
      <c r="Y3337" s="8" t="n"/>
    </row>
    <row r="3338">
      <c r="A3338" s="8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9">
        <f>B3338+30</f>
        <v/>
      </c>
      <c r="N3338">
        <f>IF(L3338="", "", L3338-B3338)</f>
        <v/>
      </c>
      <c r="O3338">
        <f>IF(L3338="", "Pending", IF(N3338&lt;=30, "Met", "Breached"))</f>
        <v/>
      </c>
      <c r="P3338" s="8" t="n"/>
      <c r="Q3338" s="8" t="n"/>
      <c r="R3338" s="8" t="n"/>
      <c r="S3338" s="8" t="n"/>
      <c r="T3338" s="8" t="n"/>
      <c r="U3338" s="8" t="n"/>
      <c r="V3338" s="8" t="n"/>
      <c r="W3338" s="8" t="n"/>
      <c r="X3338" s="8" t="n"/>
      <c r="Y3338" s="8" t="n"/>
    </row>
    <row r="3339">
      <c r="A3339" s="8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9">
        <f>B3339+30</f>
        <v/>
      </c>
      <c r="N3339">
        <f>IF(L3339="", "", L3339-B3339)</f>
        <v/>
      </c>
      <c r="O3339">
        <f>IF(L3339="", "Pending", IF(N3339&lt;=30, "Met", "Breached"))</f>
        <v/>
      </c>
      <c r="P3339" s="8" t="n"/>
      <c r="Q3339" s="8" t="n"/>
      <c r="R3339" s="8" t="n"/>
      <c r="S3339" s="8" t="n"/>
      <c r="T3339" s="8" t="n"/>
      <c r="U3339" s="8" t="n"/>
      <c r="V3339" s="8" t="n"/>
      <c r="W3339" s="8" t="n"/>
      <c r="X3339" s="8" t="n"/>
      <c r="Y3339" s="8" t="n"/>
    </row>
    <row r="3340">
      <c r="A3340" s="8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9">
        <f>B3340+30</f>
        <v/>
      </c>
      <c r="N3340">
        <f>IF(L3340="", "", L3340-B3340)</f>
        <v/>
      </c>
      <c r="O3340">
        <f>IF(L3340="", "Pending", IF(N3340&lt;=30, "Met", "Breached"))</f>
        <v/>
      </c>
      <c r="P3340" s="8" t="n"/>
      <c r="Q3340" s="8" t="n"/>
      <c r="R3340" s="8" t="n"/>
      <c r="S3340" s="8" t="n"/>
      <c r="T3340" s="8" t="n"/>
      <c r="U3340" s="8" t="n"/>
      <c r="V3340" s="8" t="n"/>
      <c r="W3340" s="8" t="n"/>
      <c r="X3340" s="8" t="n"/>
      <c r="Y3340" s="8" t="n"/>
    </row>
    <row r="3341">
      <c r="A3341" s="8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9">
        <f>B3341+30</f>
        <v/>
      </c>
      <c r="N3341">
        <f>IF(L3341="", "", L3341-B3341)</f>
        <v/>
      </c>
      <c r="O3341">
        <f>IF(L3341="", "Pending", IF(N3341&lt;=30, "Met", "Breached"))</f>
        <v/>
      </c>
      <c r="P3341" s="8" t="n"/>
      <c r="Q3341" s="8" t="n"/>
      <c r="R3341" s="8" t="n"/>
      <c r="S3341" s="8" t="n"/>
      <c r="T3341" s="8" t="n"/>
      <c r="U3341" s="8" t="n"/>
      <c r="V3341" s="8" t="n"/>
      <c r="W3341" s="8" t="n"/>
      <c r="X3341" s="8" t="n"/>
      <c r="Y3341" s="8" t="n"/>
    </row>
    <row r="3342">
      <c r="A3342" s="8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9">
        <f>B3342+30</f>
        <v/>
      </c>
      <c r="N3342">
        <f>IF(L3342="", "", L3342-B3342)</f>
        <v/>
      </c>
      <c r="O3342">
        <f>IF(L3342="", "Pending", IF(N3342&lt;=30, "Met", "Breached"))</f>
        <v/>
      </c>
      <c r="P3342" s="8" t="n"/>
      <c r="Q3342" s="8" t="n"/>
      <c r="R3342" s="8" t="n"/>
      <c r="S3342" s="8" t="n"/>
      <c r="T3342" s="8" t="n"/>
      <c r="U3342" s="8" t="n"/>
      <c r="V3342" s="8" t="n"/>
      <c r="W3342" s="8" t="n"/>
      <c r="X3342" s="8" t="n"/>
      <c r="Y3342" s="8" t="n"/>
    </row>
    <row r="3343">
      <c r="A3343" s="8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9">
        <f>B3343+30</f>
        <v/>
      </c>
      <c r="N3343">
        <f>IF(L3343="", "", L3343-B3343)</f>
        <v/>
      </c>
      <c r="O3343">
        <f>IF(L3343="", "Pending", IF(N3343&lt;=30, "Met", "Breached"))</f>
        <v/>
      </c>
      <c r="P3343" s="8" t="n"/>
      <c r="Q3343" s="8" t="n"/>
      <c r="R3343" s="8" t="n"/>
      <c r="S3343" s="8" t="n"/>
      <c r="T3343" s="8" t="n"/>
      <c r="U3343" s="8" t="n"/>
      <c r="V3343" s="8" t="n"/>
      <c r="W3343" s="8" t="n"/>
      <c r="X3343" s="8" t="n"/>
      <c r="Y3343" s="8" t="n"/>
    </row>
    <row r="3344">
      <c r="A3344" s="8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9">
        <f>B3344+30</f>
        <v/>
      </c>
      <c r="N3344">
        <f>IF(L3344="", "", L3344-B3344)</f>
        <v/>
      </c>
      <c r="O3344">
        <f>IF(L3344="", "Pending", IF(N3344&lt;=30, "Met", "Breached"))</f>
        <v/>
      </c>
      <c r="P3344" s="8" t="n"/>
      <c r="Q3344" s="8" t="n"/>
      <c r="R3344" s="8" t="n"/>
      <c r="S3344" s="8" t="n"/>
      <c r="T3344" s="8" t="n"/>
      <c r="U3344" s="8" t="n"/>
      <c r="V3344" s="8" t="n"/>
      <c r="W3344" s="8" t="n"/>
      <c r="X3344" s="8" t="n"/>
      <c r="Y3344" s="8" t="n"/>
    </row>
    <row r="3345">
      <c r="A3345" s="8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9">
        <f>B3345+30</f>
        <v/>
      </c>
      <c r="N3345">
        <f>IF(L3345="", "", L3345-B3345)</f>
        <v/>
      </c>
      <c r="O3345">
        <f>IF(L3345="", "Pending", IF(N3345&lt;=30, "Met", "Breached"))</f>
        <v/>
      </c>
      <c r="P3345" s="8" t="n"/>
      <c r="Q3345" s="8" t="n"/>
      <c r="R3345" s="8" t="n"/>
      <c r="S3345" s="8" t="n"/>
      <c r="T3345" s="8" t="n"/>
      <c r="U3345" s="8" t="n"/>
      <c r="V3345" s="8" t="n"/>
      <c r="W3345" s="8" t="n"/>
      <c r="X3345" s="8" t="n"/>
      <c r="Y3345" s="8" t="n"/>
    </row>
    <row r="3346">
      <c r="A3346" s="8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9">
        <f>B3346+30</f>
        <v/>
      </c>
      <c r="N3346">
        <f>IF(L3346="", "", L3346-B3346)</f>
        <v/>
      </c>
      <c r="O3346">
        <f>IF(L3346="", "Pending", IF(N3346&lt;=30, "Met", "Breached"))</f>
        <v/>
      </c>
      <c r="P3346" s="8" t="n"/>
      <c r="Q3346" s="8" t="n"/>
      <c r="R3346" s="8" t="n"/>
      <c r="S3346" s="8" t="n"/>
      <c r="T3346" s="8" t="n"/>
      <c r="U3346" s="8" t="n"/>
      <c r="V3346" s="8" t="n"/>
      <c r="W3346" s="8" t="n"/>
      <c r="X3346" s="8" t="n"/>
      <c r="Y3346" s="8" t="n"/>
    </row>
    <row r="3347">
      <c r="A3347" s="8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9">
        <f>B3347+30</f>
        <v/>
      </c>
      <c r="N3347">
        <f>IF(L3347="", "", L3347-B3347)</f>
        <v/>
      </c>
      <c r="O3347">
        <f>IF(L3347="", "Pending", IF(N3347&lt;=30, "Met", "Breached"))</f>
        <v/>
      </c>
      <c r="P3347" s="8" t="n"/>
      <c r="Q3347" s="8" t="n"/>
      <c r="R3347" s="8" t="n"/>
      <c r="S3347" s="8" t="n"/>
      <c r="T3347" s="8" t="n"/>
      <c r="U3347" s="8" t="n"/>
      <c r="V3347" s="8" t="n"/>
      <c r="W3347" s="8" t="n"/>
      <c r="X3347" s="8" t="n"/>
      <c r="Y3347" s="8" t="n"/>
    </row>
    <row r="3348">
      <c r="A3348" s="8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9">
        <f>B3348+30</f>
        <v/>
      </c>
      <c r="N3348">
        <f>IF(L3348="", "", L3348-B3348)</f>
        <v/>
      </c>
      <c r="O3348">
        <f>IF(L3348="", "Pending", IF(N3348&lt;=30, "Met", "Breached"))</f>
        <v/>
      </c>
      <c r="P3348" s="8" t="n"/>
      <c r="Q3348" s="8" t="n"/>
      <c r="R3348" s="8" t="n"/>
      <c r="S3348" s="8" t="n"/>
      <c r="T3348" s="8" t="n"/>
      <c r="U3348" s="8" t="n"/>
      <c r="V3348" s="8" t="n"/>
      <c r="W3348" s="8" t="n"/>
      <c r="X3348" s="8" t="n"/>
      <c r="Y3348" s="8" t="n"/>
    </row>
    <row r="3349">
      <c r="A3349" s="8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9">
        <f>B3349+30</f>
        <v/>
      </c>
      <c r="N3349">
        <f>IF(L3349="", "", L3349-B3349)</f>
        <v/>
      </c>
      <c r="O3349">
        <f>IF(L3349="", "Pending", IF(N3349&lt;=30, "Met", "Breached"))</f>
        <v/>
      </c>
      <c r="P3349" s="8" t="n"/>
      <c r="Q3349" s="8" t="n"/>
      <c r="R3349" s="8" t="n"/>
      <c r="S3349" s="8" t="n"/>
      <c r="T3349" s="8" t="n"/>
      <c r="U3349" s="8" t="n"/>
      <c r="V3349" s="8" t="n"/>
      <c r="W3349" s="8" t="n"/>
      <c r="X3349" s="8" t="n"/>
      <c r="Y3349" s="8" t="n"/>
    </row>
    <row r="3350">
      <c r="A3350" s="8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9">
        <f>B3350+30</f>
        <v/>
      </c>
      <c r="N3350">
        <f>IF(L3350="", "", L3350-B3350)</f>
        <v/>
      </c>
      <c r="O3350">
        <f>IF(L3350="", "Pending", IF(N3350&lt;=30, "Met", "Breached"))</f>
        <v/>
      </c>
      <c r="P3350" s="8" t="n"/>
      <c r="Q3350" s="8" t="n"/>
      <c r="R3350" s="8" t="n"/>
      <c r="S3350" s="8" t="n"/>
      <c r="T3350" s="8" t="n"/>
      <c r="U3350" s="8" t="n"/>
      <c r="V3350" s="8" t="n"/>
      <c r="W3350" s="8" t="n"/>
      <c r="X3350" s="8" t="n"/>
      <c r="Y3350" s="8" t="n"/>
    </row>
    <row r="3351">
      <c r="A3351" s="8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9">
        <f>B3351+30</f>
        <v/>
      </c>
      <c r="N3351">
        <f>IF(L3351="", "", L3351-B3351)</f>
        <v/>
      </c>
      <c r="O3351">
        <f>IF(L3351="", "Pending", IF(N3351&lt;=30, "Met", "Breached"))</f>
        <v/>
      </c>
      <c r="P3351" s="8" t="n"/>
      <c r="Q3351" s="8" t="n"/>
      <c r="R3351" s="8" t="n"/>
      <c r="S3351" s="8" t="n"/>
      <c r="T3351" s="8" t="n"/>
      <c r="U3351" s="8" t="n"/>
      <c r="V3351" s="8" t="n"/>
      <c r="W3351" s="8" t="n"/>
      <c r="X3351" s="8" t="n"/>
      <c r="Y3351" s="8" t="n"/>
    </row>
    <row r="3352">
      <c r="A3352" s="8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9">
        <f>B3352+30</f>
        <v/>
      </c>
      <c r="N3352">
        <f>IF(L3352="", "", L3352-B3352)</f>
        <v/>
      </c>
      <c r="O3352">
        <f>IF(L3352="", "Pending", IF(N3352&lt;=30, "Met", "Breached"))</f>
        <v/>
      </c>
      <c r="P3352" s="8" t="n"/>
      <c r="Q3352" s="8" t="n"/>
      <c r="R3352" s="8" t="n"/>
      <c r="S3352" s="8" t="n"/>
      <c r="T3352" s="8" t="n"/>
      <c r="U3352" s="8" t="n"/>
      <c r="V3352" s="8" t="n"/>
      <c r="W3352" s="8" t="n"/>
      <c r="X3352" s="8" t="n"/>
      <c r="Y3352" s="8" t="n"/>
    </row>
    <row r="3353">
      <c r="A3353" s="8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9">
        <f>B3353+30</f>
        <v/>
      </c>
      <c r="N3353">
        <f>IF(L3353="", "", L3353-B3353)</f>
        <v/>
      </c>
      <c r="O3353">
        <f>IF(L3353="", "Pending", IF(N3353&lt;=30, "Met", "Breached"))</f>
        <v/>
      </c>
      <c r="P3353" s="8" t="n"/>
      <c r="Q3353" s="8" t="n"/>
      <c r="R3353" s="8" t="n"/>
      <c r="S3353" s="8" t="n"/>
      <c r="T3353" s="8" t="n"/>
      <c r="U3353" s="8" t="n"/>
      <c r="V3353" s="8" t="n"/>
      <c r="W3353" s="8" t="n"/>
      <c r="X3353" s="8" t="n"/>
      <c r="Y3353" s="8" t="n"/>
    </row>
    <row r="3354">
      <c r="A3354" s="8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9">
        <f>B3354+30</f>
        <v/>
      </c>
      <c r="N3354">
        <f>IF(L3354="", "", L3354-B3354)</f>
        <v/>
      </c>
      <c r="O3354">
        <f>IF(L3354="", "Pending", IF(N3354&lt;=30, "Met", "Breached"))</f>
        <v/>
      </c>
      <c r="P3354" s="8" t="n"/>
      <c r="Q3354" s="8" t="n"/>
      <c r="R3354" s="8" t="n"/>
      <c r="S3354" s="8" t="n"/>
      <c r="T3354" s="8" t="n"/>
      <c r="U3354" s="8" t="n"/>
      <c r="V3354" s="8" t="n"/>
      <c r="W3354" s="8" t="n"/>
      <c r="X3354" s="8" t="n"/>
      <c r="Y3354" s="8" t="n"/>
    </row>
    <row r="3355">
      <c r="A3355" s="8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9">
        <f>B3355+30</f>
        <v/>
      </c>
      <c r="N3355">
        <f>IF(L3355="", "", L3355-B3355)</f>
        <v/>
      </c>
      <c r="O3355">
        <f>IF(L3355="", "Pending", IF(N3355&lt;=30, "Met", "Breached"))</f>
        <v/>
      </c>
      <c r="P3355" s="8" t="n"/>
      <c r="Q3355" s="8" t="n"/>
      <c r="R3355" s="8" t="n"/>
      <c r="S3355" s="8" t="n"/>
      <c r="T3355" s="8" t="n"/>
      <c r="U3355" s="8" t="n"/>
      <c r="V3355" s="8" t="n"/>
      <c r="W3355" s="8" t="n"/>
      <c r="X3355" s="8" t="n"/>
      <c r="Y3355" s="8" t="n"/>
    </row>
    <row r="3356">
      <c r="A3356" s="8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9">
        <f>B3356+30</f>
        <v/>
      </c>
      <c r="N3356">
        <f>IF(L3356="", "", L3356-B3356)</f>
        <v/>
      </c>
      <c r="O3356">
        <f>IF(L3356="", "Pending", IF(N3356&lt;=30, "Met", "Breached"))</f>
        <v/>
      </c>
      <c r="P3356" s="8" t="n"/>
      <c r="Q3356" s="8" t="n"/>
      <c r="R3356" s="8" t="n"/>
      <c r="S3356" s="8" t="n"/>
      <c r="T3356" s="8" t="n"/>
      <c r="U3356" s="8" t="n"/>
      <c r="V3356" s="8" t="n"/>
      <c r="W3356" s="8" t="n"/>
      <c r="X3356" s="8" t="n"/>
      <c r="Y3356" s="8" t="n"/>
    </row>
    <row r="3357">
      <c r="A3357" s="8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9">
        <f>B3357+30</f>
        <v/>
      </c>
      <c r="N3357">
        <f>IF(L3357="", "", L3357-B3357)</f>
        <v/>
      </c>
      <c r="O3357">
        <f>IF(L3357="", "Pending", IF(N3357&lt;=30, "Met", "Breached"))</f>
        <v/>
      </c>
      <c r="P3357" s="8" t="n"/>
      <c r="Q3357" s="8" t="n"/>
      <c r="R3357" s="8" t="n"/>
      <c r="S3357" s="8" t="n"/>
      <c r="T3357" s="8" t="n"/>
      <c r="U3357" s="8" t="n"/>
      <c r="V3357" s="8" t="n"/>
      <c r="W3357" s="8" t="n"/>
      <c r="X3357" s="8" t="n"/>
      <c r="Y3357" s="8" t="n"/>
    </row>
    <row r="3358">
      <c r="A3358" s="8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9">
        <f>B3358+30</f>
        <v/>
      </c>
      <c r="N3358">
        <f>IF(L3358="", "", L3358-B3358)</f>
        <v/>
      </c>
      <c r="O3358">
        <f>IF(L3358="", "Pending", IF(N3358&lt;=30, "Met", "Breached"))</f>
        <v/>
      </c>
      <c r="P3358" s="8" t="n"/>
      <c r="Q3358" s="8" t="n"/>
      <c r="R3358" s="8" t="n"/>
      <c r="S3358" s="8" t="n"/>
      <c r="T3358" s="8" t="n"/>
      <c r="U3358" s="8" t="n"/>
      <c r="V3358" s="8" t="n"/>
      <c r="W3358" s="8" t="n"/>
      <c r="X3358" s="8" t="n"/>
      <c r="Y3358" s="8" t="n"/>
    </row>
    <row r="3359">
      <c r="A3359" s="8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9">
        <f>B3359+30</f>
        <v/>
      </c>
      <c r="N3359">
        <f>IF(L3359="", "", L3359-B3359)</f>
        <v/>
      </c>
      <c r="O3359">
        <f>IF(L3359="", "Pending", IF(N3359&lt;=30, "Met", "Breached"))</f>
        <v/>
      </c>
      <c r="P3359" s="8" t="n"/>
      <c r="Q3359" s="8" t="n"/>
      <c r="R3359" s="8" t="n"/>
      <c r="S3359" s="8" t="n"/>
      <c r="T3359" s="8" t="n"/>
      <c r="U3359" s="8" t="n"/>
      <c r="V3359" s="8" t="n"/>
      <c r="W3359" s="8" t="n"/>
      <c r="X3359" s="8" t="n"/>
      <c r="Y3359" s="8" t="n"/>
    </row>
    <row r="3360">
      <c r="A3360" s="8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9">
        <f>B3360+30</f>
        <v/>
      </c>
      <c r="N3360">
        <f>IF(L3360="", "", L3360-B3360)</f>
        <v/>
      </c>
      <c r="O3360">
        <f>IF(L3360="", "Pending", IF(N3360&lt;=30, "Met", "Breached"))</f>
        <v/>
      </c>
      <c r="P3360" s="8" t="n"/>
      <c r="Q3360" s="8" t="n"/>
      <c r="R3360" s="8" t="n"/>
      <c r="S3360" s="8" t="n"/>
      <c r="T3360" s="8" t="n"/>
      <c r="U3360" s="8" t="n"/>
      <c r="V3360" s="8" t="n"/>
      <c r="W3360" s="8" t="n"/>
      <c r="X3360" s="8" t="n"/>
      <c r="Y3360" s="8" t="n"/>
    </row>
    <row r="3361">
      <c r="A3361" s="8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9">
        <f>B3361+30</f>
        <v/>
      </c>
      <c r="N3361">
        <f>IF(L3361="", "", L3361-B3361)</f>
        <v/>
      </c>
      <c r="O3361">
        <f>IF(L3361="", "Pending", IF(N3361&lt;=30, "Met", "Breached"))</f>
        <v/>
      </c>
      <c r="P3361" s="8" t="n"/>
      <c r="Q3361" s="8" t="n"/>
      <c r="R3361" s="8" t="n"/>
      <c r="S3361" s="8" t="n"/>
      <c r="T3361" s="8" t="n"/>
      <c r="U3361" s="8" t="n"/>
      <c r="V3361" s="8" t="n"/>
      <c r="W3361" s="8" t="n"/>
      <c r="X3361" s="8" t="n"/>
      <c r="Y3361" s="8" t="n"/>
    </row>
    <row r="3362">
      <c r="A3362" s="8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9">
        <f>B3362+30</f>
        <v/>
      </c>
      <c r="N3362">
        <f>IF(L3362="", "", L3362-B3362)</f>
        <v/>
      </c>
      <c r="O3362">
        <f>IF(L3362="", "Pending", IF(N3362&lt;=30, "Met", "Breached"))</f>
        <v/>
      </c>
      <c r="P3362" s="8" t="n"/>
      <c r="Q3362" s="8" t="n"/>
      <c r="R3362" s="8" t="n"/>
      <c r="S3362" s="8" t="n"/>
      <c r="T3362" s="8" t="n"/>
      <c r="U3362" s="8" t="n"/>
      <c r="V3362" s="8" t="n"/>
      <c r="W3362" s="8" t="n"/>
      <c r="X3362" s="8" t="n"/>
      <c r="Y3362" s="8" t="n"/>
    </row>
    <row r="3363">
      <c r="A3363" s="8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9">
        <f>B3363+30</f>
        <v/>
      </c>
      <c r="N3363">
        <f>IF(L3363="", "", L3363-B3363)</f>
        <v/>
      </c>
      <c r="O3363">
        <f>IF(L3363="", "Pending", IF(N3363&lt;=30, "Met", "Breached"))</f>
        <v/>
      </c>
      <c r="P3363" s="8" t="n"/>
      <c r="Q3363" s="8" t="n"/>
      <c r="R3363" s="8" t="n"/>
      <c r="S3363" s="8" t="n"/>
      <c r="T3363" s="8" t="n"/>
      <c r="U3363" s="8" t="n"/>
      <c r="V3363" s="8" t="n"/>
      <c r="W3363" s="8" t="n"/>
      <c r="X3363" s="8" t="n"/>
      <c r="Y3363" s="8" t="n"/>
    </row>
    <row r="3364">
      <c r="A3364" s="8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9">
        <f>B3364+30</f>
        <v/>
      </c>
      <c r="N3364">
        <f>IF(L3364="", "", L3364-B3364)</f>
        <v/>
      </c>
      <c r="O3364">
        <f>IF(L3364="", "Pending", IF(N3364&lt;=30, "Met", "Breached"))</f>
        <v/>
      </c>
      <c r="P3364" s="8" t="n"/>
      <c r="Q3364" s="8" t="n"/>
      <c r="R3364" s="8" t="n"/>
      <c r="S3364" s="8" t="n"/>
      <c r="T3364" s="8" t="n"/>
      <c r="U3364" s="8" t="n"/>
      <c r="V3364" s="8" t="n"/>
      <c r="W3364" s="8" t="n"/>
      <c r="X3364" s="8" t="n"/>
      <c r="Y3364" s="8" t="n"/>
    </row>
    <row r="3365">
      <c r="A3365" s="8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9">
        <f>B3365+30</f>
        <v/>
      </c>
      <c r="N3365">
        <f>IF(L3365="", "", L3365-B3365)</f>
        <v/>
      </c>
      <c r="O3365">
        <f>IF(L3365="", "Pending", IF(N3365&lt;=30, "Met", "Breached"))</f>
        <v/>
      </c>
      <c r="P3365" s="8" t="n"/>
      <c r="Q3365" s="8" t="n"/>
      <c r="R3365" s="8" t="n"/>
      <c r="S3365" s="8" t="n"/>
      <c r="T3365" s="8" t="n"/>
      <c r="U3365" s="8" t="n"/>
      <c r="V3365" s="8" t="n"/>
      <c r="W3365" s="8" t="n"/>
      <c r="X3365" s="8" t="n"/>
      <c r="Y3365" s="8" t="n"/>
    </row>
    <row r="3366">
      <c r="A3366" s="8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9">
        <f>B3366+30</f>
        <v/>
      </c>
      <c r="N3366">
        <f>IF(L3366="", "", L3366-B3366)</f>
        <v/>
      </c>
      <c r="O3366">
        <f>IF(L3366="", "Pending", IF(N3366&lt;=30, "Met", "Breached"))</f>
        <v/>
      </c>
      <c r="P3366" s="8" t="n"/>
      <c r="Q3366" s="8" t="n"/>
      <c r="R3366" s="8" t="n"/>
      <c r="S3366" s="8" t="n"/>
      <c r="T3366" s="8" t="n"/>
      <c r="U3366" s="8" t="n"/>
      <c r="V3366" s="8" t="n"/>
      <c r="W3366" s="8" t="n"/>
      <c r="X3366" s="8" t="n"/>
      <c r="Y3366" s="8" t="n"/>
    </row>
    <row r="3367">
      <c r="A3367" s="8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9">
        <f>B3367+30</f>
        <v/>
      </c>
      <c r="N3367">
        <f>IF(L3367="", "", L3367-B3367)</f>
        <v/>
      </c>
      <c r="O3367">
        <f>IF(L3367="", "Pending", IF(N3367&lt;=30, "Met", "Breached"))</f>
        <v/>
      </c>
      <c r="P3367" s="8" t="n"/>
      <c r="Q3367" s="8" t="n"/>
      <c r="R3367" s="8" t="n"/>
      <c r="S3367" s="8" t="n"/>
      <c r="T3367" s="8" t="n"/>
      <c r="U3367" s="8" t="n"/>
      <c r="V3367" s="8" t="n"/>
      <c r="W3367" s="8" t="n"/>
      <c r="X3367" s="8" t="n"/>
      <c r="Y3367" s="8" t="n"/>
    </row>
    <row r="3368">
      <c r="A3368" s="8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9">
        <f>B3368+30</f>
        <v/>
      </c>
      <c r="N3368">
        <f>IF(L3368="", "", L3368-B3368)</f>
        <v/>
      </c>
      <c r="O3368">
        <f>IF(L3368="", "Pending", IF(N3368&lt;=30, "Met", "Breached"))</f>
        <v/>
      </c>
      <c r="P3368" s="8" t="n"/>
      <c r="Q3368" s="8" t="n"/>
      <c r="R3368" s="8" t="n"/>
      <c r="S3368" s="8" t="n"/>
      <c r="T3368" s="8" t="n"/>
      <c r="U3368" s="8" t="n"/>
      <c r="V3368" s="8" t="n"/>
      <c r="W3368" s="8" t="n"/>
      <c r="X3368" s="8" t="n"/>
      <c r="Y3368" s="8" t="n"/>
    </row>
    <row r="3369">
      <c r="A3369" s="8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9">
        <f>B3369+30</f>
        <v/>
      </c>
      <c r="N3369">
        <f>IF(L3369="", "", L3369-B3369)</f>
        <v/>
      </c>
      <c r="O3369">
        <f>IF(L3369="", "Pending", IF(N3369&lt;=30, "Met", "Breached"))</f>
        <v/>
      </c>
      <c r="P3369" s="8" t="n"/>
      <c r="Q3369" s="8" t="n"/>
      <c r="R3369" s="8" t="n"/>
      <c r="S3369" s="8" t="n"/>
      <c r="T3369" s="8" t="n"/>
      <c r="U3369" s="8" t="n"/>
      <c r="V3369" s="8" t="n"/>
      <c r="W3369" s="8" t="n"/>
      <c r="X3369" s="8" t="n"/>
      <c r="Y3369" s="8" t="n"/>
    </row>
    <row r="3370">
      <c r="A3370" s="8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9">
        <f>B3370+30</f>
        <v/>
      </c>
      <c r="N3370">
        <f>IF(L3370="", "", L3370-B3370)</f>
        <v/>
      </c>
      <c r="O3370">
        <f>IF(L3370="", "Pending", IF(N3370&lt;=30, "Met", "Breached"))</f>
        <v/>
      </c>
      <c r="P3370" s="8" t="n"/>
      <c r="Q3370" s="8" t="n"/>
      <c r="R3370" s="8" t="n"/>
      <c r="S3370" s="8" t="n"/>
      <c r="T3370" s="8" t="n"/>
      <c r="U3370" s="8" t="n"/>
      <c r="V3370" s="8" t="n"/>
      <c r="W3370" s="8" t="n"/>
      <c r="X3370" s="8" t="n"/>
      <c r="Y3370" s="8" t="n"/>
    </row>
    <row r="3371">
      <c r="A3371" s="8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9">
        <f>B3371+30</f>
        <v/>
      </c>
      <c r="N3371">
        <f>IF(L3371="", "", L3371-B3371)</f>
        <v/>
      </c>
      <c r="O3371">
        <f>IF(L3371="", "Pending", IF(N3371&lt;=30, "Met", "Breached"))</f>
        <v/>
      </c>
      <c r="P3371" s="8" t="n"/>
      <c r="Q3371" s="8" t="n"/>
      <c r="R3371" s="8" t="n"/>
      <c r="S3371" s="8" t="n"/>
      <c r="T3371" s="8" t="n"/>
      <c r="U3371" s="8" t="n"/>
      <c r="V3371" s="8" t="n"/>
      <c r="W3371" s="8" t="n"/>
      <c r="X3371" s="8" t="n"/>
      <c r="Y3371" s="8" t="n"/>
    </row>
    <row r="3372">
      <c r="A3372" s="8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9">
        <f>B3372+30</f>
        <v/>
      </c>
      <c r="N3372">
        <f>IF(L3372="", "", L3372-B3372)</f>
        <v/>
      </c>
      <c r="O3372">
        <f>IF(L3372="", "Pending", IF(N3372&lt;=30, "Met", "Breached"))</f>
        <v/>
      </c>
      <c r="P3372" s="8" t="n"/>
      <c r="Q3372" s="8" t="n"/>
      <c r="R3372" s="8" t="n"/>
      <c r="S3372" s="8" t="n"/>
      <c r="T3372" s="8" t="n"/>
      <c r="U3372" s="8" t="n"/>
      <c r="V3372" s="8" t="n"/>
      <c r="W3372" s="8" t="n"/>
      <c r="X3372" s="8" t="n"/>
      <c r="Y3372" s="8" t="n"/>
    </row>
    <row r="3373">
      <c r="A3373" s="8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9">
        <f>B3373+30</f>
        <v/>
      </c>
      <c r="N3373">
        <f>IF(L3373="", "", L3373-B3373)</f>
        <v/>
      </c>
      <c r="O3373">
        <f>IF(L3373="", "Pending", IF(N3373&lt;=30, "Met", "Breached"))</f>
        <v/>
      </c>
      <c r="P3373" s="8" t="n"/>
      <c r="Q3373" s="8" t="n"/>
      <c r="R3373" s="8" t="n"/>
      <c r="S3373" s="8" t="n"/>
      <c r="T3373" s="8" t="n"/>
      <c r="U3373" s="8" t="n"/>
      <c r="V3373" s="8" t="n"/>
      <c r="W3373" s="8" t="n"/>
      <c r="X3373" s="8" t="n"/>
      <c r="Y3373" s="8" t="n"/>
    </row>
    <row r="3374">
      <c r="A3374" s="8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9">
        <f>B3374+30</f>
        <v/>
      </c>
      <c r="N3374">
        <f>IF(L3374="", "", L3374-B3374)</f>
        <v/>
      </c>
      <c r="O3374">
        <f>IF(L3374="", "Pending", IF(N3374&lt;=30, "Met", "Breached"))</f>
        <v/>
      </c>
      <c r="P3374" s="8" t="n"/>
      <c r="Q3374" s="8" t="n"/>
      <c r="R3374" s="8" t="n"/>
      <c r="S3374" s="8" t="n"/>
      <c r="T3374" s="8" t="n"/>
      <c r="U3374" s="8" t="n"/>
      <c r="V3374" s="8" t="n"/>
      <c r="W3374" s="8" t="n"/>
      <c r="X3374" s="8" t="n"/>
      <c r="Y3374" s="8" t="n"/>
    </row>
    <row r="3375">
      <c r="A3375" s="8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9">
        <f>B3375+30</f>
        <v/>
      </c>
      <c r="N3375">
        <f>IF(L3375="", "", L3375-B3375)</f>
        <v/>
      </c>
      <c r="O3375">
        <f>IF(L3375="", "Pending", IF(N3375&lt;=30, "Met", "Breached"))</f>
        <v/>
      </c>
      <c r="P3375" s="8" t="n"/>
      <c r="Q3375" s="8" t="n"/>
      <c r="R3375" s="8" t="n"/>
      <c r="S3375" s="8" t="n"/>
      <c r="T3375" s="8" t="n"/>
      <c r="U3375" s="8" t="n"/>
      <c r="V3375" s="8" t="n"/>
      <c r="W3375" s="8" t="n"/>
      <c r="X3375" s="8" t="n"/>
      <c r="Y3375" s="8" t="n"/>
    </row>
    <row r="3376">
      <c r="A3376" s="8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9">
        <f>B3376+30</f>
        <v/>
      </c>
      <c r="N3376">
        <f>IF(L3376="", "", L3376-B3376)</f>
        <v/>
      </c>
      <c r="O3376">
        <f>IF(L3376="", "Pending", IF(N3376&lt;=30, "Met", "Breached"))</f>
        <v/>
      </c>
      <c r="P3376" s="8" t="n"/>
      <c r="Q3376" s="8" t="n"/>
      <c r="R3376" s="8" t="n"/>
      <c r="S3376" s="8" t="n"/>
      <c r="T3376" s="8" t="n"/>
      <c r="U3376" s="8" t="n"/>
      <c r="V3376" s="8" t="n"/>
      <c r="W3376" s="8" t="n"/>
      <c r="X3376" s="8" t="n"/>
      <c r="Y3376" s="8" t="n"/>
    </row>
    <row r="3377">
      <c r="A3377" s="8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9">
        <f>B3377+30</f>
        <v/>
      </c>
      <c r="N3377">
        <f>IF(L3377="", "", L3377-B3377)</f>
        <v/>
      </c>
      <c r="O3377">
        <f>IF(L3377="", "Pending", IF(N3377&lt;=30, "Met", "Breached"))</f>
        <v/>
      </c>
      <c r="P3377" s="8" t="n"/>
      <c r="Q3377" s="8" t="n"/>
      <c r="R3377" s="8" t="n"/>
      <c r="S3377" s="8" t="n"/>
      <c r="T3377" s="8" t="n"/>
      <c r="U3377" s="8" t="n"/>
      <c r="V3377" s="8" t="n"/>
      <c r="W3377" s="8" t="n"/>
      <c r="X3377" s="8" t="n"/>
      <c r="Y3377" s="8" t="n"/>
    </row>
    <row r="3378">
      <c r="A3378" s="8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9">
        <f>B3378+30</f>
        <v/>
      </c>
      <c r="N3378">
        <f>IF(L3378="", "", L3378-B3378)</f>
        <v/>
      </c>
      <c r="O3378">
        <f>IF(L3378="", "Pending", IF(N3378&lt;=30, "Met", "Breached"))</f>
        <v/>
      </c>
      <c r="P3378" s="8" t="n"/>
      <c r="Q3378" s="8" t="n"/>
      <c r="R3378" s="8" t="n"/>
      <c r="S3378" s="8" t="n"/>
      <c r="T3378" s="8" t="n"/>
      <c r="U3378" s="8" t="n"/>
      <c r="V3378" s="8" t="n"/>
      <c r="W3378" s="8" t="n"/>
      <c r="X3378" s="8" t="n"/>
      <c r="Y3378" s="8" t="n"/>
    </row>
    <row r="3379">
      <c r="A3379" s="8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9">
        <f>B3379+30</f>
        <v/>
      </c>
      <c r="N3379">
        <f>IF(L3379="", "", L3379-B3379)</f>
        <v/>
      </c>
      <c r="O3379">
        <f>IF(L3379="", "Pending", IF(N3379&lt;=30, "Met", "Breached"))</f>
        <v/>
      </c>
      <c r="P3379" s="8" t="n"/>
      <c r="Q3379" s="8" t="n"/>
      <c r="R3379" s="8" t="n"/>
      <c r="S3379" s="8" t="n"/>
      <c r="T3379" s="8" t="n"/>
      <c r="U3379" s="8" t="n"/>
      <c r="V3379" s="8" t="n"/>
      <c r="W3379" s="8" t="n"/>
      <c r="X3379" s="8" t="n"/>
      <c r="Y3379" s="8" t="n"/>
    </row>
    <row r="3380">
      <c r="A3380" s="8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9">
        <f>B3380+30</f>
        <v/>
      </c>
      <c r="N3380">
        <f>IF(L3380="", "", L3380-B3380)</f>
        <v/>
      </c>
      <c r="O3380">
        <f>IF(L3380="", "Pending", IF(N3380&lt;=30, "Met", "Breached"))</f>
        <v/>
      </c>
      <c r="P3380" s="8" t="n"/>
      <c r="Q3380" s="8" t="n"/>
      <c r="R3380" s="8" t="n"/>
      <c r="S3380" s="8" t="n"/>
      <c r="T3380" s="8" t="n"/>
      <c r="U3380" s="8" t="n"/>
      <c r="V3380" s="8" t="n"/>
      <c r="W3380" s="8" t="n"/>
      <c r="X3380" s="8" t="n"/>
      <c r="Y3380" s="8" t="n"/>
    </row>
    <row r="3381">
      <c r="A3381" s="8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9">
        <f>B3381+30</f>
        <v/>
      </c>
      <c r="N3381">
        <f>IF(L3381="", "", L3381-B3381)</f>
        <v/>
      </c>
      <c r="O3381">
        <f>IF(L3381="", "Pending", IF(N3381&lt;=30, "Met", "Breached"))</f>
        <v/>
      </c>
      <c r="P3381" s="8" t="n"/>
      <c r="Q3381" s="8" t="n"/>
      <c r="R3381" s="8" t="n"/>
      <c r="S3381" s="8" t="n"/>
      <c r="T3381" s="8" t="n"/>
      <c r="U3381" s="8" t="n"/>
      <c r="V3381" s="8" t="n"/>
      <c r="W3381" s="8" t="n"/>
      <c r="X3381" s="8" t="n"/>
      <c r="Y3381" s="8" t="n"/>
    </row>
    <row r="3382">
      <c r="A3382" s="8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9">
        <f>B3382+30</f>
        <v/>
      </c>
      <c r="N3382">
        <f>IF(L3382="", "", L3382-B3382)</f>
        <v/>
      </c>
      <c r="O3382">
        <f>IF(L3382="", "Pending", IF(N3382&lt;=30, "Met", "Breached"))</f>
        <v/>
      </c>
      <c r="P3382" s="8" t="n"/>
      <c r="Q3382" s="8" t="n"/>
      <c r="R3382" s="8" t="n"/>
      <c r="S3382" s="8" t="n"/>
      <c r="T3382" s="8" t="n"/>
      <c r="U3382" s="8" t="n"/>
      <c r="V3382" s="8" t="n"/>
      <c r="W3382" s="8" t="n"/>
      <c r="X3382" s="8" t="n"/>
      <c r="Y3382" s="8" t="n"/>
    </row>
    <row r="3383">
      <c r="A3383" s="8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9">
        <f>B3383+30</f>
        <v/>
      </c>
      <c r="N3383">
        <f>IF(L3383="", "", L3383-B3383)</f>
        <v/>
      </c>
      <c r="O3383">
        <f>IF(L3383="", "Pending", IF(N3383&lt;=30, "Met", "Breached"))</f>
        <v/>
      </c>
      <c r="P3383" s="8" t="n"/>
      <c r="Q3383" s="8" t="n"/>
      <c r="R3383" s="8" t="n"/>
      <c r="S3383" s="8" t="n"/>
      <c r="T3383" s="8" t="n"/>
      <c r="U3383" s="8" t="n"/>
      <c r="V3383" s="8" t="n"/>
      <c r="W3383" s="8" t="n"/>
      <c r="X3383" s="8" t="n"/>
      <c r="Y3383" s="8" t="n"/>
    </row>
    <row r="3384">
      <c r="A3384" s="8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9">
        <f>B3384+30</f>
        <v/>
      </c>
      <c r="N3384">
        <f>IF(L3384="", "", L3384-B3384)</f>
        <v/>
      </c>
      <c r="O3384">
        <f>IF(L3384="", "Pending", IF(N3384&lt;=30, "Met", "Breached"))</f>
        <v/>
      </c>
      <c r="P3384" s="8" t="n"/>
      <c r="Q3384" s="8" t="n"/>
      <c r="R3384" s="8" t="n"/>
      <c r="S3384" s="8" t="n"/>
      <c r="T3384" s="8" t="n"/>
      <c r="U3384" s="8" t="n"/>
      <c r="V3384" s="8" t="n"/>
      <c r="W3384" s="8" t="n"/>
      <c r="X3384" s="8" t="n"/>
      <c r="Y3384" s="8" t="n"/>
    </row>
    <row r="3385">
      <c r="A3385" s="8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9">
        <f>B3385+30</f>
        <v/>
      </c>
      <c r="N3385">
        <f>IF(L3385="", "", L3385-B3385)</f>
        <v/>
      </c>
      <c r="O3385">
        <f>IF(L3385="", "Pending", IF(N3385&lt;=30, "Met", "Breached"))</f>
        <v/>
      </c>
      <c r="P3385" s="8" t="n"/>
      <c r="Q3385" s="8" t="n"/>
      <c r="R3385" s="8" t="n"/>
      <c r="S3385" s="8" t="n"/>
      <c r="T3385" s="8" t="n"/>
      <c r="U3385" s="8" t="n"/>
      <c r="V3385" s="8" t="n"/>
      <c r="W3385" s="8" t="n"/>
      <c r="X3385" s="8" t="n"/>
      <c r="Y3385" s="8" t="n"/>
    </row>
    <row r="3386">
      <c r="A3386" s="8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9">
        <f>B3386+30</f>
        <v/>
      </c>
      <c r="N3386">
        <f>IF(L3386="", "", L3386-B3386)</f>
        <v/>
      </c>
      <c r="O3386">
        <f>IF(L3386="", "Pending", IF(N3386&lt;=30, "Met", "Breached"))</f>
        <v/>
      </c>
      <c r="P3386" s="8" t="n"/>
      <c r="Q3386" s="8" t="n"/>
      <c r="R3386" s="8" t="n"/>
      <c r="S3386" s="8" t="n"/>
      <c r="T3386" s="8" t="n"/>
      <c r="U3386" s="8" t="n"/>
      <c r="V3386" s="8" t="n"/>
      <c r="W3386" s="8" t="n"/>
      <c r="X3386" s="8" t="n"/>
      <c r="Y3386" s="8" t="n"/>
    </row>
    <row r="3387">
      <c r="A3387" s="8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9">
        <f>B3387+30</f>
        <v/>
      </c>
      <c r="N3387">
        <f>IF(L3387="", "", L3387-B3387)</f>
        <v/>
      </c>
      <c r="O3387">
        <f>IF(L3387="", "Pending", IF(N3387&lt;=30, "Met", "Breached"))</f>
        <v/>
      </c>
      <c r="P3387" s="8" t="n"/>
      <c r="Q3387" s="8" t="n"/>
      <c r="R3387" s="8" t="n"/>
      <c r="S3387" s="8" t="n"/>
      <c r="T3387" s="8" t="n"/>
      <c r="U3387" s="8" t="n"/>
      <c r="V3387" s="8" t="n"/>
      <c r="W3387" s="8" t="n"/>
      <c r="X3387" s="8" t="n"/>
      <c r="Y3387" s="8" t="n"/>
    </row>
    <row r="3388">
      <c r="A3388" s="8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9">
        <f>B3388+30</f>
        <v/>
      </c>
      <c r="N3388">
        <f>IF(L3388="", "", L3388-B3388)</f>
        <v/>
      </c>
      <c r="O3388">
        <f>IF(L3388="", "Pending", IF(N3388&lt;=30, "Met", "Breached"))</f>
        <v/>
      </c>
      <c r="P3388" s="8" t="n"/>
      <c r="Q3388" s="8" t="n"/>
      <c r="R3388" s="8" t="n"/>
      <c r="S3388" s="8" t="n"/>
      <c r="T3388" s="8" t="n"/>
      <c r="U3388" s="8" t="n"/>
      <c r="V3388" s="8" t="n"/>
      <c r="W3388" s="8" t="n"/>
      <c r="X3388" s="8" t="n"/>
      <c r="Y3388" s="8" t="n"/>
    </row>
    <row r="3389">
      <c r="A3389" s="8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9">
        <f>B3389+30</f>
        <v/>
      </c>
      <c r="N3389">
        <f>IF(L3389="", "", L3389-B3389)</f>
        <v/>
      </c>
      <c r="O3389">
        <f>IF(L3389="", "Pending", IF(N3389&lt;=30, "Met", "Breached"))</f>
        <v/>
      </c>
      <c r="P3389" s="8" t="n"/>
      <c r="Q3389" s="8" t="n"/>
      <c r="R3389" s="8" t="n"/>
      <c r="S3389" s="8" t="n"/>
      <c r="T3389" s="8" t="n"/>
      <c r="U3389" s="8" t="n"/>
      <c r="V3389" s="8" t="n"/>
      <c r="W3389" s="8" t="n"/>
      <c r="X3389" s="8" t="n"/>
      <c r="Y3389" s="8" t="n"/>
    </row>
    <row r="3390">
      <c r="A3390" s="8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9">
        <f>B3390+30</f>
        <v/>
      </c>
      <c r="N3390">
        <f>IF(L3390="", "", L3390-B3390)</f>
        <v/>
      </c>
      <c r="O3390">
        <f>IF(L3390="", "Pending", IF(N3390&lt;=30, "Met", "Breached"))</f>
        <v/>
      </c>
      <c r="P3390" s="8" t="n"/>
      <c r="Q3390" s="8" t="n"/>
      <c r="R3390" s="8" t="n"/>
      <c r="S3390" s="8" t="n"/>
      <c r="T3390" s="8" t="n"/>
      <c r="U3390" s="8" t="n"/>
      <c r="V3390" s="8" t="n"/>
      <c r="W3390" s="8" t="n"/>
      <c r="X3390" s="8" t="n"/>
      <c r="Y3390" s="8" t="n"/>
    </row>
    <row r="3391">
      <c r="A3391" s="8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9">
        <f>B3391+30</f>
        <v/>
      </c>
      <c r="N3391">
        <f>IF(L3391="", "", L3391-B3391)</f>
        <v/>
      </c>
      <c r="O3391">
        <f>IF(L3391="", "Pending", IF(N3391&lt;=30, "Met", "Breached"))</f>
        <v/>
      </c>
      <c r="P3391" s="8" t="n"/>
      <c r="Q3391" s="8" t="n"/>
      <c r="R3391" s="8" t="n"/>
      <c r="S3391" s="8" t="n"/>
      <c r="T3391" s="8" t="n"/>
      <c r="U3391" s="8" t="n"/>
      <c r="V3391" s="8" t="n"/>
      <c r="W3391" s="8" t="n"/>
      <c r="X3391" s="8" t="n"/>
      <c r="Y3391" s="8" t="n"/>
    </row>
    <row r="3392">
      <c r="A3392" s="8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9">
        <f>B3392+30</f>
        <v/>
      </c>
      <c r="N3392">
        <f>IF(L3392="", "", L3392-B3392)</f>
        <v/>
      </c>
      <c r="O3392">
        <f>IF(L3392="", "Pending", IF(N3392&lt;=30, "Met", "Breached"))</f>
        <v/>
      </c>
      <c r="P3392" s="8" t="n"/>
      <c r="Q3392" s="8" t="n"/>
      <c r="R3392" s="8" t="n"/>
      <c r="S3392" s="8" t="n"/>
      <c r="T3392" s="8" t="n"/>
      <c r="U3392" s="8" t="n"/>
      <c r="V3392" s="8" t="n"/>
      <c r="W3392" s="8" t="n"/>
      <c r="X3392" s="8" t="n"/>
      <c r="Y3392" s="8" t="n"/>
    </row>
    <row r="3393">
      <c r="A3393" s="8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9">
        <f>B3393+30</f>
        <v/>
      </c>
      <c r="N3393">
        <f>IF(L3393="", "", L3393-B3393)</f>
        <v/>
      </c>
      <c r="O3393">
        <f>IF(L3393="", "Pending", IF(N3393&lt;=30, "Met", "Breached"))</f>
        <v/>
      </c>
      <c r="P3393" s="8" t="n"/>
      <c r="Q3393" s="8" t="n"/>
      <c r="R3393" s="8" t="n"/>
      <c r="S3393" s="8" t="n"/>
      <c r="T3393" s="8" t="n"/>
      <c r="U3393" s="8" t="n"/>
      <c r="V3393" s="8" t="n"/>
      <c r="W3393" s="8" t="n"/>
      <c r="X3393" s="8" t="n"/>
      <c r="Y3393" s="8" t="n"/>
    </row>
    <row r="3394">
      <c r="A3394" s="8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9">
        <f>B3394+30</f>
        <v/>
      </c>
      <c r="N3394">
        <f>IF(L3394="", "", L3394-B3394)</f>
        <v/>
      </c>
      <c r="O3394">
        <f>IF(L3394="", "Pending", IF(N3394&lt;=30, "Met", "Breached"))</f>
        <v/>
      </c>
      <c r="P3394" s="8" t="n"/>
      <c r="Q3394" s="8" t="n"/>
      <c r="R3394" s="8" t="n"/>
      <c r="S3394" s="8" t="n"/>
      <c r="T3394" s="8" t="n"/>
      <c r="U3394" s="8" t="n"/>
      <c r="V3394" s="8" t="n"/>
      <c r="W3394" s="8" t="n"/>
      <c r="X3394" s="8" t="n"/>
      <c r="Y3394" s="8" t="n"/>
    </row>
    <row r="3395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9">
        <f>B3395+30</f>
        <v/>
      </c>
      <c r="N3395">
        <f>IF(L3395="", "", L3395-B3395)</f>
        <v/>
      </c>
      <c r="O3395">
        <f>IF(L3395="", "Pending", IF(N3395&lt;=30, "Met", "Breached"))</f>
        <v/>
      </c>
      <c r="P3395" s="8" t="n"/>
      <c r="Q3395" s="8" t="n"/>
      <c r="R3395" s="8" t="n"/>
      <c r="S3395" s="8" t="n"/>
      <c r="T3395" s="8" t="n"/>
      <c r="U3395" s="8" t="n"/>
      <c r="V3395" s="8" t="n"/>
      <c r="W3395" s="8" t="n"/>
      <c r="X3395" s="8" t="n"/>
      <c r="Y3395" s="8" t="n"/>
    </row>
    <row r="3396">
      <c r="A3396" s="8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9">
        <f>B3396+30</f>
        <v/>
      </c>
      <c r="N3396">
        <f>IF(L3396="", "", L3396-B3396)</f>
        <v/>
      </c>
      <c r="O3396">
        <f>IF(L3396="", "Pending", IF(N3396&lt;=30, "Met", "Breached"))</f>
        <v/>
      </c>
      <c r="P3396" s="8" t="n"/>
      <c r="Q3396" s="8" t="n"/>
      <c r="R3396" s="8" t="n"/>
      <c r="S3396" s="8" t="n"/>
      <c r="T3396" s="8" t="n"/>
      <c r="U3396" s="8" t="n"/>
      <c r="V3396" s="8" t="n"/>
      <c r="W3396" s="8" t="n"/>
      <c r="X3396" s="8" t="n"/>
      <c r="Y3396" s="8" t="n"/>
    </row>
    <row r="3397">
      <c r="A3397" s="8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9">
        <f>B3397+30</f>
        <v/>
      </c>
      <c r="N3397">
        <f>IF(L3397="", "", L3397-B3397)</f>
        <v/>
      </c>
      <c r="O3397">
        <f>IF(L3397="", "Pending", IF(N3397&lt;=30, "Met", "Breached"))</f>
        <v/>
      </c>
      <c r="P3397" s="8" t="n"/>
      <c r="Q3397" s="8" t="n"/>
      <c r="R3397" s="8" t="n"/>
      <c r="S3397" s="8" t="n"/>
      <c r="T3397" s="8" t="n"/>
      <c r="U3397" s="8" t="n"/>
      <c r="V3397" s="8" t="n"/>
      <c r="W3397" s="8" t="n"/>
      <c r="X3397" s="8" t="n"/>
      <c r="Y3397" s="8" t="n"/>
    </row>
    <row r="3398">
      <c r="A3398" s="8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9">
        <f>B3398+30</f>
        <v/>
      </c>
      <c r="N3398">
        <f>IF(L3398="", "", L3398-B3398)</f>
        <v/>
      </c>
      <c r="O3398">
        <f>IF(L3398="", "Pending", IF(N3398&lt;=30, "Met", "Breached"))</f>
        <v/>
      </c>
      <c r="P3398" s="8" t="n"/>
      <c r="Q3398" s="8" t="n"/>
      <c r="R3398" s="8" t="n"/>
      <c r="S3398" s="8" t="n"/>
      <c r="T3398" s="8" t="n"/>
      <c r="U3398" s="8" t="n"/>
      <c r="V3398" s="8" t="n"/>
      <c r="W3398" s="8" t="n"/>
      <c r="X3398" s="8" t="n"/>
      <c r="Y3398" s="8" t="n"/>
    </row>
    <row r="3399">
      <c r="A3399" s="8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9">
        <f>B3399+30</f>
        <v/>
      </c>
      <c r="N3399">
        <f>IF(L3399="", "", L3399-B3399)</f>
        <v/>
      </c>
      <c r="O3399">
        <f>IF(L3399="", "Pending", IF(N3399&lt;=30, "Met", "Breached"))</f>
        <v/>
      </c>
      <c r="P3399" s="8" t="n"/>
      <c r="Q3399" s="8" t="n"/>
      <c r="R3399" s="8" t="n"/>
      <c r="S3399" s="8" t="n"/>
      <c r="T3399" s="8" t="n"/>
      <c r="U3399" s="8" t="n"/>
      <c r="V3399" s="8" t="n"/>
      <c r="W3399" s="8" t="n"/>
      <c r="X3399" s="8" t="n"/>
      <c r="Y3399" s="8" t="n"/>
    </row>
    <row r="3400">
      <c r="A3400" s="8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9">
        <f>B3400+30</f>
        <v/>
      </c>
      <c r="N3400">
        <f>IF(L3400="", "", L3400-B3400)</f>
        <v/>
      </c>
      <c r="O3400">
        <f>IF(L3400="", "Pending", IF(N3400&lt;=30, "Met", "Breached"))</f>
        <v/>
      </c>
      <c r="P3400" s="8" t="n"/>
      <c r="Q3400" s="8" t="n"/>
      <c r="R3400" s="8" t="n"/>
      <c r="S3400" s="8" t="n"/>
      <c r="T3400" s="8" t="n"/>
      <c r="U3400" s="8" t="n"/>
      <c r="V3400" s="8" t="n"/>
      <c r="W3400" s="8" t="n"/>
      <c r="X3400" s="8" t="n"/>
      <c r="Y3400" s="8" t="n"/>
    </row>
    <row r="3401">
      <c r="A3401" s="8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9">
        <f>B3401+30</f>
        <v/>
      </c>
      <c r="N3401">
        <f>IF(L3401="", "", L3401-B3401)</f>
        <v/>
      </c>
      <c r="O3401">
        <f>IF(L3401="", "Pending", IF(N3401&lt;=30, "Met", "Breached"))</f>
        <v/>
      </c>
      <c r="P3401" s="8" t="n"/>
      <c r="Q3401" s="8" t="n"/>
      <c r="R3401" s="8" t="n"/>
      <c r="S3401" s="8" t="n"/>
      <c r="T3401" s="8" t="n"/>
      <c r="U3401" s="8" t="n"/>
      <c r="V3401" s="8" t="n"/>
      <c r="W3401" s="8" t="n"/>
      <c r="X3401" s="8" t="n"/>
      <c r="Y3401" s="8" t="n"/>
    </row>
    <row r="3402">
      <c r="A3402" s="8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9">
        <f>B3402+30</f>
        <v/>
      </c>
      <c r="N3402">
        <f>IF(L3402="", "", L3402-B3402)</f>
        <v/>
      </c>
      <c r="O3402">
        <f>IF(L3402="", "Pending", IF(N3402&lt;=30, "Met", "Breached"))</f>
        <v/>
      </c>
      <c r="P3402" s="8" t="n"/>
      <c r="Q3402" s="8" t="n"/>
      <c r="R3402" s="8" t="n"/>
      <c r="S3402" s="8" t="n"/>
      <c r="T3402" s="8" t="n"/>
      <c r="U3402" s="8" t="n"/>
      <c r="V3402" s="8" t="n"/>
      <c r="W3402" s="8" t="n"/>
      <c r="X3402" s="8" t="n"/>
      <c r="Y3402" s="8" t="n"/>
    </row>
    <row r="3403">
      <c r="A3403" s="8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9">
        <f>B3403+30</f>
        <v/>
      </c>
      <c r="N3403">
        <f>IF(L3403="", "", L3403-B3403)</f>
        <v/>
      </c>
      <c r="O3403">
        <f>IF(L3403="", "Pending", IF(N3403&lt;=30, "Met", "Breached"))</f>
        <v/>
      </c>
      <c r="P3403" s="8" t="n"/>
      <c r="Q3403" s="8" t="n"/>
      <c r="R3403" s="8" t="n"/>
      <c r="S3403" s="8" t="n"/>
      <c r="T3403" s="8" t="n"/>
      <c r="U3403" s="8" t="n"/>
      <c r="V3403" s="8" t="n"/>
      <c r="W3403" s="8" t="n"/>
      <c r="X3403" s="8" t="n"/>
      <c r="Y3403" s="8" t="n"/>
    </row>
    <row r="3404">
      <c r="A3404" s="8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9">
        <f>B3404+30</f>
        <v/>
      </c>
      <c r="N3404">
        <f>IF(L3404="", "", L3404-B3404)</f>
        <v/>
      </c>
      <c r="O3404">
        <f>IF(L3404="", "Pending", IF(N3404&lt;=30, "Met", "Breached"))</f>
        <v/>
      </c>
      <c r="P3404" s="8" t="n"/>
      <c r="Q3404" s="8" t="n"/>
      <c r="R3404" s="8" t="n"/>
      <c r="S3404" s="8" t="n"/>
      <c r="T3404" s="8" t="n"/>
      <c r="U3404" s="8" t="n"/>
      <c r="V3404" s="8" t="n"/>
      <c r="W3404" s="8" t="n"/>
      <c r="X3404" s="8" t="n"/>
      <c r="Y3404" s="8" t="n"/>
    </row>
    <row r="3405">
      <c r="A3405" s="8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9">
        <f>B3405+30</f>
        <v/>
      </c>
      <c r="N3405">
        <f>IF(L3405="", "", L3405-B3405)</f>
        <v/>
      </c>
      <c r="O3405">
        <f>IF(L3405="", "Pending", IF(N3405&lt;=30, "Met", "Breached"))</f>
        <v/>
      </c>
      <c r="P3405" s="8" t="n"/>
      <c r="Q3405" s="8" t="n"/>
      <c r="R3405" s="8" t="n"/>
      <c r="S3405" s="8" t="n"/>
      <c r="T3405" s="8" t="n"/>
      <c r="U3405" s="8" t="n"/>
      <c r="V3405" s="8" t="n"/>
      <c r="W3405" s="8" t="n"/>
      <c r="X3405" s="8" t="n"/>
      <c r="Y3405" s="8" t="n"/>
    </row>
    <row r="3406">
      <c r="A3406" s="8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9">
        <f>B3406+30</f>
        <v/>
      </c>
      <c r="N3406">
        <f>IF(L3406="", "", L3406-B3406)</f>
        <v/>
      </c>
      <c r="O3406">
        <f>IF(L3406="", "Pending", IF(N3406&lt;=30, "Met", "Breached"))</f>
        <v/>
      </c>
      <c r="P3406" s="8" t="n"/>
      <c r="Q3406" s="8" t="n"/>
      <c r="R3406" s="8" t="n"/>
      <c r="S3406" s="8" t="n"/>
      <c r="T3406" s="8" t="n"/>
      <c r="U3406" s="8" t="n"/>
      <c r="V3406" s="8" t="n"/>
      <c r="W3406" s="8" t="n"/>
      <c r="X3406" s="8" t="n"/>
      <c r="Y3406" s="8" t="n"/>
    </row>
    <row r="3407">
      <c r="A3407" s="8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9">
        <f>B3407+30</f>
        <v/>
      </c>
      <c r="N3407">
        <f>IF(L3407="", "", L3407-B3407)</f>
        <v/>
      </c>
      <c r="O3407">
        <f>IF(L3407="", "Pending", IF(N3407&lt;=30, "Met", "Breached"))</f>
        <v/>
      </c>
      <c r="P3407" s="8" t="n"/>
      <c r="Q3407" s="8" t="n"/>
      <c r="R3407" s="8" t="n"/>
      <c r="S3407" s="8" t="n"/>
      <c r="T3407" s="8" t="n"/>
      <c r="U3407" s="8" t="n"/>
      <c r="V3407" s="8" t="n"/>
      <c r="W3407" s="8" t="n"/>
      <c r="X3407" s="8" t="n"/>
      <c r="Y3407" s="8" t="n"/>
    </row>
    <row r="3408">
      <c r="A3408" s="8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9">
        <f>B3408+30</f>
        <v/>
      </c>
      <c r="N3408">
        <f>IF(L3408="", "", L3408-B3408)</f>
        <v/>
      </c>
      <c r="O3408">
        <f>IF(L3408="", "Pending", IF(N3408&lt;=30, "Met", "Breached"))</f>
        <v/>
      </c>
      <c r="P3408" s="8" t="n"/>
      <c r="Q3408" s="8" t="n"/>
      <c r="R3408" s="8" t="n"/>
      <c r="S3408" s="8" t="n"/>
      <c r="T3408" s="8" t="n"/>
      <c r="U3408" s="8" t="n"/>
      <c r="V3408" s="8" t="n"/>
      <c r="W3408" s="8" t="n"/>
      <c r="X3408" s="8" t="n"/>
      <c r="Y3408" s="8" t="n"/>
    </row>
    <row r="3409">
      <c r="A3409" s="8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9">
        <f>B3409+30</f>
        <v/>
      </c>
      <c r="N3409">
        <f>IF(L3409="", "", L3409-B3409)</f>
        <v/>
      </c>
      <c r="O3409">
        <f>IF(L3409="", "Pending", IF(N3409&lt;=30, "Met", "Breached"))</f>
        <v/>
      </c>
      <c r="P3409" s="8" t="n"/>
      <c r="Q3409" s="8" t="n"/>
      <c r="R3409" s="8" t="n"/>
      <c r="S3409" s="8" t="n"/>
      <c r="T3409" s="8" t="n"/>
      <c r="U3409" s="8" t="n"/>
      <c r="V3409" s="8" t="n"/>
      <c r="W3409" s="8" t="n"/>
      <c r="X3409" s="8" t="n"/>
      <c r="Y3409" s="8" t="n"/>
    </row>
    <row r="3410">
      <c r="A3410" s="8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9">
        <f>B3410+30</f>
        <v/>
      </c>
      <c r="N3410">
        <f>IF(L3410="", "", L3410-B3410)</f>
        <v/>
      </c>
      <c r="O3410">
        <f>IF(L3410="", "Pending", IF(N3410&lt;=30, "Met", "Breached"))</f>
        <v/>
      </c>
      <c r="P3410" s="8" t="n"/>
      <c r="Q3410" s="8" t="n"/>
      <c r="R3410" s="8" t="n"/>
      <c r="S3410" s="8" t="n"/>
      <c r="T3410" s="8" t="n"/>
      <c r="U3410" s="8" t="n"/>
      <c r="V3410" s="8" t="n"/>
      <c r="W3410" s="8" t="n"/>
      <c r="X3410" s="8" t="n"/>
      <c r="Y3410" s="8" t="n"/>
    </row>
    <row r="3411">
      <c r="A3411" s="8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9">
        <f>B3411+30</f>
        <v/>
      </c>
      <c r="N3411">
        <f>IF(L3411="", "", L3411-B3411)</f>
        <v/>
      </c>
      <c r="O3411">
        <f>IF(L3411="", "Pending", IF(N3411&lt;=30, "Met", "Breached"))</f>
        <v/>
      </c>
      <c r="P3411" s="8" t="n"/>
      <c r="Q3411" s="8" t="n"/>
      <c r="R3411" s="8" t="n"/>
      <c r="S3411" s="8" t="n"/>
      <c r="T3411" s="8" t="n"/>
      <c r="U3411" s="8" t="n"/>
      <c r="V3411" s="8" t="n"/>
      <c r="W3411" s="8" t="n"/>
      <c r="X3411" s="8" t="n"/>
      <c r="Y3411" s="8" t="n"/>
    </row>
    <row r="3412">
      <c r="A3412" s="8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9">
        <f>B3412+30</f>
        <v/>
      </c>
      <c r="N3412">
        <f>IF(L3412="", "", L3412-B3412)</f>
        <v/>
      </c>
      <c r="O3412">
        <f>IF(L3412="", "Pending", IF(N3412&lt;=30, "Met", "Breached"))</f>
        <v/>
      </c>
      <c r="P3412" s="8" t="n"/>
      <c r="Q3412" s="8" t="n"/>
      <c r="R3412" s="8" t="n"/>
      <c r="S3412" s="8" t="n"/>
      <c r="T3412" s="8" t="n"/>
      <c r="U3412" s="8" t="n"/>
      <c r="V3412" s="8" t="n"/>
      <c r="W3412" s="8" t="n"/>
      <c r="X3412" s="8" t="n"/>
      <c r="Y3412" s="8" t="n"/>
    </row>
    <row r="3413">
      <c r="A3413" s="8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9">
        <f>B3413+30</f>
        <v/>
      </c>
      <c r="N3413">
        <f>IF(L3413="", "", L3413-B3413)</f>
        <v/>
      </c>
      <c r="O3413">
        <f>IF(L3413="", "Pending", IF(N3413&lt;=30, "Met", "Breached"))</f>
        <v/>
      </c>
      <c r="P3413" s="8" t="n"/>
      <c r="Q3413" s="8" t="n"/>
      <c r="R3413" s="8" t="n"/>
      <c r="S3413" s="8" t="n"/>
      <c r="T3413" s="8" t="n"/>
      <c r="U3413" s="8" t="n"/>
      <c r="V3413" s="8" t="n"/>
      <c r="W3413" s="8" t="n"/>
      <c r="X3413" s="8" t="n"/>
      <c r="Y3413" s="8" t="n"/>
    </row>
    <row r="3414">
      <c r="A3414" s="8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9">
        <f>B3414+30</f>
        <v/>
      </c>
      <c r="N3414">
        <f>IF(L3414="", "", L3414-B3414)</f>
        <v/>
      </c>
      <c r="O3414">
        <f>IF(L3414="", "Pending", IF(N3414&lt;=30, "Met", "Breached"))</f>
        <v/>
      </c>
      <c r="P3414" s="8" t="n"/>
      <c r="Q3414" s="8" t="n"/>
      <c r="R3414" s="8" t="n"/>
      <c r="S3414" s="8" t="n"/>
      <c r="T3414" s="8" t="n"/>
      <c r="U3414" s="8" t="n"/>
      <c r="V3414" s="8" t="n"/>
      <c r="W3414" s="8" t="n"/>
      <c r="X3414" s="8" t="n"/>
      <c r="Y3414" s="8" t="n"/>
    </row>
    <row r="3415">
      <c r="A3415" s="8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9">
        <f>B3415+30</f>
        <v/>
      </c>
      <c r="N3415">
        <f>IF(L3415="", "", L3415-B3415)</f>
        <v/>
      </c>
      <c r="O3415">
        <f>IF(L3415="", "Pending", IF(N3415&lt;=30, "Met", "Breached"))</f>
        <v/>
      </c>
      <c r="P3415" s="8" t="n"/>
      <c r="Q3415" s="8" t="n"/>
      <c r="R3415" s="8" t="n"/>
      <c r="S3415" s="8" t="n"/>
      <c r="T3415" s="8" t="n"/>
      <c r="U3415" s="8" t="n"/>
      <c r="V3415" s="8" t="n"/>
      <c r="W3415" s="8" t="n"/>
      <c r="X3415" s="8" t="n"/>
      <c r="Y3415" s="8" t="n"/>
    </row>
    <row r="3416">
      <c r="A3416" s="8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9">
        <f>B3416+30</f>
        <v/>
      </c>
      <c r="N3416">
        <f>IF(L3416="", "", L3416-B3416)</f>
        <v/>
      </c>
      <c r="O3416">
        <f>IF(L3416="", "Pending", IF(N3416&lt;=30, "Met", "Breached"))</f>
        <v/>
      </c>
      <c r="P3416" s="8" t="n"/>
      <c r="Q3416" s="8" t="n"/>
      <c r="R3416" s="8" t="n"/>
      <c r="S3416" s="8" t="n"/>
      <c r="T3416" s="8" t="n"/>
      <c r="U3416" s="8" t="n"/>
      <c r="V3416" s="8" t="n"/>
      <c r="W3416" s="8" t="n"/>
      <c r="X3416" s="8" t="n"/>
      <c r="Y3416" s="8" t="n"/>
    </row>
    <row r="3417">
      <c r="A3417" s="8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9">
        <f>B3417+30</f>
        <v/>
      </c>
      <c r="N3417">
        <f>IF(L3417="", "", L3417-B3417)</f>
        <v/>
      </c>
      <c r="O3417">
        <f>IF(L3417="", "Pending", IF(N3417&lt;=30, "Met", "Breached"))</f>
        <v/>
      </c>
      <c r="P3417" s="8" t="n"/>
      <c r="Q3417" s="8" t="n"/>
      <c r="R3417" s="8" t="n"/>
      <c r="S3417" s="8" t="n"/>
      <c r="T3417" s="8" t="n"/>
      <c r="U3417" s="8" t="n"/>
      <c r="V3417" s="8" t="n"/>
      <c r="W3417" s="8" t="n"/>
      <c r="X3417" s="8" t="n"/>
      <c r="Y3417" s="8" t="n"/>
    </row>
    <row r="3418">
      <c r="A3418" s="8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9">
        <f>B3418+30</f>
        <v/>
      </c>
      <c r="N3418">
        <f>IF(L3418="", "", L3418-B3418)</f>
        <v/>
      </c>
      <c r="O3418">
        <f>IF(L3418="", "Pending", IF(N3418&lt;=30, "Met", "Breached"))</f>
        <v/>
      </c>
      <c r="P3418" s="8" t="n"/>
      <c r="Q3418" s="8" t="n"/>
      <c r="R3418" s="8" t="n"/>
      <c r="S3418" s="8" t="n"/>
      <c r="T3418" s="8" t="n"/>
      <c r="U3418" s="8" t="n"/>
      <c r="V3418" s="8" t="n"/>
      <c r="W3418" s="8" t="n"/>
      <c r="X3418" s="8" t="n"/>
      <c r="Y3418" s="8" t="n"/>
    </row>
    <row r="3419">
      <c r="A3419" s="8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9">
        <f>B3419+30</f>
        <v/>
      </c>
      <c r="N3419">
        <f>IF(L3419="", "", L3419-B3419)</f>
        <v/>
      </c>
      <c r="O3419">
        <f>IF(L3419="", "Pending", IF(N3419&lt;=30, "Met", "Breached"))</f>
        <v/>
      </c>
      <c r="P3419" s="8" t="n"/>
      <c r="Q3419" s="8" t="n"/>
      <c r="R3419" s="8" t="n"/>
      <c r="S3419" s="8" t="n"/>
      <c r="T3419" s="8" t="n"/>
      <c r="U3419" s="8" t="n"/>
      <c r="V3419" s="8" t="n"/>
      <c r="W3419" s="8" t="n"/>
      <c r="X3419" s="8" t="n"/>
      <c r="Y3419" s="8" t="n"/>
    </row>
    <row r="3420">
      <c r="A3420" s="8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9">
        <f>B3420+30</f>
        <v/>
      </c>
      <c r="N3420">
        <f>IF(L3420="", "", L3420-B3420)</f>
        <v/>
      </c>
      <c r="O3420">
        <f>IF(L3420="", "Pending", IF(N3420&lt;=30, "Met", "Breached"))</f>
        <v/>
      </c>
      <c r="P3420" s="8" t="n"/>
      <c r="Q3420" s="8" t="n"/>
      <c r="R3420" s="8" t="n"/>
      <c r="S3420" s="8" t="n"/>
      <c r="T3420" s="8" t="n"/>
      <c r="U3420" s="8" t="n"/>
      <c r="V3420" s="8" t="n"/>
      <c r="W3420" s="8" t="n"/>
      <c r="X3420" s="8" t="n"/>
      <c r="Y3420" s="8" t="n"/>
    </row>
    <row r="3421">
      <c r="A3421" s="8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9">
        <f>B3421+30</f>
        <v/>
      </c>
      <c r="N3421">
        <f>IF(L3421="", "", L3421-B3421)</f>
        <v/>
      </c>
      <c r="O3421">
        <f>IF(L3421="", "Pending", IF(N3421&lt;=30, "Met", "Breached"))</f>
        <v/>
      </c>
      <c r="P3421" s="8" t="n"/>
      <c r="Q3421" s="8" t="n"/>
      <c r="R3421" s="8" t="n"/>
      <c r="S3421" s="8" t="n"/>
      <c r="T3421" s="8" t="n"/>
      <c r="U3421" s="8" t="n"/>
      <c r="V3421" s="8" t="n"/>
      <c r="W3421" s="8" t="n"/>
      <c r="X3421" s="8" t="n"/>
      <c r="Y3421" s="8" t="n"/>
    </row>
    <row r="3422">
      <c r="A3422" s="8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9">
        <f>B3422+30</f>
        <v/>
      </c>
      <c r="N3422">
        <f>IF(L3422="", "", L3422-B3422)</f>
        <v/>
      </c>
      <c r="O3422">
        <f>IF(L3422="", "Pending", IF(N3422&lt;=30, "Met", "Breached"))</f>
        <v/>
      </c>
      <c r="P3422" s="8" t="n"/>
      <c r="Q3422" s="8" t="n"/>
      <c r="R3422" s="8" t="n"/>
      <c r="S3422" s="8" t="n"/>
      <c r="T3422" s="8" t="n"/>
      <c r="U3422" s="8" t="n"/>
      <c r="V3422" s="8" t="n"/>
      <c r="W3422" s="8" t="n"/>
      <c r="X3422" s="8" t="n"/>
      <c r="Y3422" s="8" t="n"/>
    </row>
    <row r="3423">
      <c r="A3423" s="8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9">
        <f>B3423+30</f>
        <v/>
      </c>
      <c r="N3423">
        <f>IF(L3423="", "", L3423-B3423)</f>
        <v/>
      </c>
      <c r="O3423">
        <f>IF(L3423="", "Pending", IF(N3423&lt;=30, "Met", "Breached"))</f>
        <v/>
      </c>
      <c r="P3423" s="8" t="n"/>
      <c r="Q3423" s="8" t="n"/>
      <c r="R3423" s="8" t="n"/>
      <c r="S3423" s="8" t="n"/>
      <c r="T3423" s="8" t="n"/>
      <c r="U3423" s="8" t="n"/>
      <c r="V3423" s="8" t="n"/>
      <c r="W3423" s="8" t="n"/>
      <c r="X3423" s="8" t="n"/>
      <c r="Y3423" s="8" t="n"/>
    </row>
    <row r="3424">
      <c r="A3424" s="8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9">
        <f>B3424+30</f>
        <v/>
      </c>
      <c r="N3424">
        <f>IF(L3424="", "", L3424-B3424)</f>
        <v/>
      </c>
      <c r="O3424">
        <f>IF(L3424="", "Pending", IF(N3424&lt;=30, "Met", "Breached"))</f>
        <v/>
      </c>
      <c r="P3424" s="8" t="n"/>
      <c r="Q3424" s="8" t="n"/>
      <c r="R3424" s="8" t="n"/>
      <c r="S3424" s="8" t="n"/>
      <c r="T3424" s="8" t="n"/>
      <c r="U3424" s="8" t="n"/>
      <c r="V3424" s="8" t="n"/>
      <c r="W3424" s="8" t="n"/>
      <c r="X3424" s="8" t="n"/>
      <c r="Y3424" s="8" t="n"/>
    </row>
    <row r="3425">
      <c r="A3425" s="8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9">
        <f>B3425+30</f>
        <v/>
      </c>
      <c r="N3425">
        <f>IF(L3425="", "", L3425-B3425)</f>
        <v/>
      </c>
      <c r="O3425">
        <f>IF(L3425="", "Pending", IF(N3425&lt;=30, "Met", "Breached"))</f>
        <v/>
      </c>
      <c r="P3425" s="8" t="n"/>
      <c r="Q3425" s="8" t="n"/>
      <c r="R3425" s="8" t="n"/>
      <c r="S3425" s="8" t="n"/>
      <c r="T3425" s="8" t="n"/>
      <c r="U3425" s="8" t="n"/>
      <c r="V3425" s="8" t="n"/>
      <c r="W3425" s="8" t="n"/>
      <c r="X3425" s="8" t="n"/>
      <c r="Y3425" s="8" t="n"/>
    </row>
    <row r="3426">
      <c r="A3426" s="8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9">
        <f>B3426+30</f>
        <v/>
      </c>
      <c r="N3426">
        <f>IF(L3426="", "", L3426-B3426)</f>
        <v/>
      </c>
      <c r="O3426">
        <f>IF(L3426="", "Pending", IF(N3426&lt;=30, "Met", "Breached"))</f>
        <v/>
      </c>
      <c r="P3426" s="8" t="n"/>
      <c r="Q3426" s="8" t="n"/>
      <c r="R3426" s="8" t="n"/>
      <c r="S3426" s="8" t="n"/>
      <c r="T3426" s="8" t="n"/>
      <c r="U3426" s="8" t="n"/>
      <c r="V3426" s="8" t="n"/>
      <c r="W3426" s="8" t="n"/>
      <c r="X3426" s="8" t="n"/>
      <c r="Y3426" s="8" t="n"/>
    </row>
    <row r="3427">
      <c r="A3427" s="8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9">
        <f>B3427+30</f>
        <v/>
      </c>
      <c r="N3427">
        <f>IF(L3427="", "", L3427-B3427)</f>
        <v/>
      </c>
      <c r="O3427">
        <f>IF(L3427="", "Pending", IF(N3427&lt;=30, "Met", "Breached"))</f>
        <v/>
      </c>
      <c r="P3427" s="8" t="n"/>
      <c r="Q3427" s="8" t="n"/>
      <c r="R3427" s="8" t="n"/>
      <c r="S3427" s="8" t="n"/>
      <c r="T3427" s="8" t="n"/>
      <c r="U3427" s="8" t="n"/>
      <c r="V3427" s="8" t="n"/>
      <c r="W3427" s="8" t="n"/>
      <c r="X3427" s="8" t="n"/>
      <c r="Y3427" s="8" t="n"/>
    </row>
    <row r="3428">
      <c r="A3428" s="8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9">
        <f>B3428+30</f>
        <v/>
      </c>
      <c r="N3428">
        <f>IF(L3428="", "", L3428-B3428)</f>
        <v/>
      </c>
      <c r="O3428">
        <f>IF(L3428="", "Pending", IF(N3428&lt;=30, "Met", "Breached"))</f>
        <v/>
      </c>
      <c r="P3428" s="8" t="n"/>
      <c r="Q3428" s="8" t="n"/>
      <c r="R3428" s="8" t="n"/>
      <c r="S3428" s="8" t="n"/>
      <c r="T3428" s="8" t="n"/>
      <c r="U3428" s="8" t="n"/>
      <c r="V3428" s="8" t="n"/>
      <c r="W3428" s="8" t="n"/>
      <c r="X3428" s="8" t="n"/>
      <c r="Y3428" s="8" t="n"/>
    </row>
    <row r="3429">
      <c r="A3429" s="8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9">
        <f>B3429+30</f>
        <v/>
      </c>
      <c r="N3429">
        <f>IF(L3429="", "", L3429-B3429)</f>
        <v/>
      </c>
      <c r="O3429">
        <f>IF(L3429="", "Pending", IF(N3429&lt;=30, "Met", "Breached"))</f>
        <v/>
      </c>
      <c r="P3429" s="8" t="n"/>
      <c r="Q3429" s="8" t="n"/>
      <c r="R3429" s="8" t="n"/>
      <c r="S3429" s="8" t="n"/>
      <c r="T3429" s="8" t="n"/>
      <c r="U3429" s="8" t="n"/>
      <c r="V3429" s="8" t="n"/>
      <c r="W3429" s="8" t="n"/>
      <c r="X3429" s="8" t="n"/>
      <c r="Y3429" s="8" t="n"/>
    </row>
    <row r="3430">
      <c r="A3430" s="8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9">
        <f>B3430+30</f>
        <v/>
      </c>
      <c r="N3430">
        <f>IF(L3430="", "", L3430-B3430)</f>
        <v/>
      </c>
      <c r="O3430">
        <f>IF(L3430="", "Pending", IF(N3430&lt;=30, "Met", "Breached"))</f>
        <v/>
      </c>
      <c r="P3430" s="8" t="n"/>
      <c r="Q3430" s="8" t="n"/>
      <c r="R3430" s="8" t="n"/>
      <c r="S3430" s="8" t="n"/>
      <c r="T3430" s="8" t="n"/>
      <c r="U3430" s="8" t="n"/>
      <c r="V3430" s="8" t="n"/>
      <c r="W3430" s="8" t="n"/>
      <c r="X3430" s="8" t="n"/>
      <c r="Y3430" s="8" t="n"/>
    </row>
    <row r="3431">
      <c r="A3431" s="8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9">
        <f>B3431+30</f>
        <v/>
      </c>
      <c r="N3431">
        <f>IF(L3431="", "", L3431-B3431)</f>
        <v/>
      </c>
      <c r="O3431">
        <f>IF(L3431="", "Pending", IF(N3431&lt;=30, "Met", "Breached"))</f>
        <v/>
      </c>
      <c r="P3431" s="8" t="n"/>
      <c r="Q3431" s="8" t="n"/>
      <c r="R3431" s="8" t="n"/>
      <c r="S3431" s="8" t="n"/>
      <c r="T3431" s="8" t="n"/>
      <c r="U3431" s="8" t="n"/>
      <c r="V3431" s="8" t="n"/>
      <c r="W3431" s="8" t="n"/>
      <c r="X3431" s="8" t="n"/>
      <c r="Y3431" s="8" t="n"/>
    </row>
    <row r="3432">
      <c r="A3432" s="8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9">
        <f>B3432+30</f>
        <v/>
      </c>
      <c r="N3432">
        <f>IF(L3432="", "", L3432-B3432)</f>
        <v/>
      </c>
      <c r="O3432">
        <f>IF(L3432="", "Pending", IF(N3432&lt;=30, "Met", "Breached"))</f>
        <v/>
      </c>
      <c r="P3432" s="8" t="n"/>
      <c r="Q3432" s="8" t="n"/>
      <c r="R3432" s="8" t="n"/>
      <c r="S3432" s="8" t="n"/>
      <c r="T3432" s="8" t="n"/>
      <c r="U3432" s="8" t="n"/>
      <c r="V3432" s="8" t="n"/>
      <c r="W3432" s="8" t="n"/>
      <c r="X3432" s="8" t="n"/>
      <c r="Y3432" s="8" t="n"/>
    </row>
    <row r="3433">
      <c r="A3433" s="8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9">
        <f>B3433+30</f>
        <v/>
      </c>
      <c r="N3433">
        <f>IF(L3433="", "", L3433-B3433)</f>
        <v/>
      </c>
      <c r="O3433">
        <f>IF(L3433="", "Pending", IF(N3433&lt;=30, "Met", "Breached"))</f>
        <v/>
      </c>
      <c r="P3433" s="8" t="n"/>
      <c r="Q3433" s="8" t="n"/>
      <c r="R3433" s="8" t="n"/>
      <c r="S3433" s="8" t="n"/>
      <c r="T3433" s="8" t="n"/>
      <c r="U3433" s="8" t="n"/>
      <c r="V3433" s="8" t="n"/>
      <c r="W3433" s="8" t="n"/>
      <c r="X3433" s="8" t="n"/>
      <c r="Y3433" s="8" t="n"/>
    </row>
    <row r="3434">
      <c r="A3434" s="8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9">
        <f>B3434+30</f>
        <v/>
      </c>
      <c r="N3434">
        <f>IF(L3434="", "", L3434-B3434)</f>
        <v/>
      </c>
      <c r="O3434">
        <f>IF(L3434="", "Pending", IF(N3434&lt;=30, "Met", "Breached"))</f>
        <v/>
      </c>
      <c r="P3434" s="8" t="n"/>
      <c r="Q3434" s="8" t="n"/>
      <c r="R3434" s="8" t="n"/>
      <c r="S3434" s="8" t="n"/>
      <c r="T3434" s="8" t="n"/>
      <c r="U3434" s="8" t="n"/>
      <c r="V3434" s="8" t="n"/>
      <c r="W3434" s="8" t="n"/>
      <c r="X3434" s="8" t="n"/>
      <c r="Y3434" s="8" t="n"/>
    </row>
    <row r="3435">
      <c r="A3435" s="8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9">
        <f>B3435+30</f>
        <v/>
      </c>
      <c r="N3435">
        <f>IF(L3435="", "", L3435-B3435)</f>
        <v/>
      </c>
      <c r="O3435">
        <f>IF(L3435="", "Pending", IF(N3435&lt;=30, "Met", "Breached"))</f>
        <v/>
      </c>
      <c r="P3435" s="8" t="n"/>
      <c r="Q3435" s="8" t="n"/>
      <c r="R3435" s="8" t="n"/>
      <c r="S3435" s="8" t="n"/>
      <c r="T3435" s="8" t="n"/>
      <c r="U3435" s="8" t="n"/>
      <c r="V3435" s="8" t="n"/>
      <c r="W3435" s="8" t="n"/>
      <c r="X3435" s="8" t="n"/>
      <c r="Y3435" s="8" t="n"/>
    </row>
    <row r="3436">
      <c r="A3436" s="8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9">
        <f>B3436+30</f>
        <v/>
      </c>
      <c r="N3436">
        <f>IF(L3436="", "", L3436-B3436)</f>
        <v/>
      </c>
      <c r="O3436">
        <f>IF(L3436="", "Pending", IF(N3436&lt;=30, "Met", "Breached"))</f>
        <v/>
      </c>
      <c r="P3436" s="8" t="n"/>
      <c r="Q3436" s="8" t="n"/>
      <c r="R3436" s="8" t="n"/>
      <c r="S3436" s="8" t="n"/>
      <c r="T3436" s="8" t="n"/>
      <c r="U3436" s="8" t="n"/>
      <c r="V3436" s="8" t="n"/>
      <c r="W3436" s="8" t="n"/>
      <c r="X3436" s="8" t="n"/>
      <c r="Y3436" s="8" t="n"/>
    </row>
    <row r="3437">
      <c r="A3437" s="8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9">
        <f>B3437+30</f>
        <v/>
      </c>
      <c r="N3437">
        <f>IF(L3437="", "", L3437-B3437)</f>
        <v/>
      </c>
      <c r="O3437">
        <f>IF(L3437="", "Pending", IF(N3437&lt;=30, "Met", "Breached"))</f>
        <v/>
      </c>
      <c r="P3437" s="8" t="n"/>
      <c r="Q3437" s="8" t="n"/>
      <c r="R3437" s="8" t="n"/>
      <c r="S3437" s="8" t="n"/>
      <c r="T3437" s="8" t="n"/>
      <c r="U3437" s="8" t="n"/>
      <c r="V3437" s="8" t="n"/>
      <c r="W3437" s="8" t="n"/>
      <c r="X3437" s="8" t="n"/>
      <c r="Y3437" s="8" t="n"/>
    </row>
    <row r="3438">
      <c r="A3438" s="8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9">
        <f>B3438+30</f>
        <v/>
      </c>
      <c r="N3438">
        <f>IF(L3438="", "", L3438-B3438)</f>
        <v/>
      </c>
      <c r="O3438">
        <f>IF(L3438="", "Pending", IF(N3438&lt;=30, "Met", "Breached"))</f>
        <v/>
      </c>
      <c r="P3438" s="8" t="n"/>
      <c r="Q3438" s="8" t="n"/>
      <c r="R3438" s="8" t="n"/>
      <c r="S3438" s="8" t="n"/>
      <c r="T3438" s="8" t="n"/>
      <c r="U3438" s="8" t="n"/>
      <c r="V3438" s="8" t="n"/>
      <c r="W3438" s="8" t="n"/>
      <c r="X3438" s="8" t="n"/>
      <c r="Y3438" s="8" t="n"/>
    </row>
    <row r="3439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9">
        <f>B3439+30</f>
        <v/>
      </c>
      <c r="N3439">
        <f>IF(L3439="", "", L3439-B3439)</f>
        <v/>
      </c>
      <c r="O3439">
        <f>IF(L3439="", "Pending", IF(N3439&lt;=30, "Met", "Breached"))</f>
        <v/>
      </c>
      <c r="P3439" s="8" t="n"/>
      <c r="Q3439" s="8" t="n"/>
      <c r="R3439" s="8" t="n"/>
      <c r="S3439" s="8" t="n"/>
      <c r="T3439" s="8" t="n"/>
      <c r="U3439" s="8" t="n"/>
      <c r="V3439" s="8" t="n"/>
      <c r="W3439" s="8" t="n"/>
      <c r="X3439" s="8" t="n"/>
      <c r="Y3439" s="8" t="n"/>
    </row>
    <row r="3440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9">
        <f>B3440+30</f>
        <v/>
      </c>
      <c r="N3440">
        <f>IF(L3440="", "", L3440-B3440)</f>
        <v/>
      </c>
      <c r="O3440">
        <f>IF(L3440="", "Pending", IF(N3440&lt;=30, "Met", "Breached"))</f>
        <v/>
      </c>
      <c r="P3440" s="8" t="n"/>
      <c r="Q3440" s="8" t="n"/>
      <c r="R3440" s="8" t="n"/>
      <c r="S3440" s="8" t="n"/>
      <c r="T3440" s="8" t="n"/>
      <c r="U3440" s="8" t="n"/>
      <c r="V3440" s="8" t="n"/>
      <c r="W3440" s="8" t="n"/>
      <c r="X3440" s="8" t="n"/>
      <c r="Y3440" s="8" t="n"/>
    </row>
    <row r="3441">
      <c r="A3441" s="8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9">
        <f>B3441+30</f>
        <v/>
      </c>
      <c r="N3441">
        <f>IF(L3441="", "", L3441-B3441)</f>
        <v/>
      </c>
      <c r="O3441">
        <f>IF(L3441="", "Pending", IF(N3441&lt;=30, "Met", "Breached"))</f>
        <v/>
      </c>
      <c r="P3441" s="8" t="n"/>
      <c r="Q3441" s="8" t="n"/>
      <c r="R3441" s="8" t="n"/>
      <c r="S3441" s="8" t="n"/>
      <c r="T3441" s="8" t="n"/>
      <c r="U3441" s="8" t="n"/>
      <c r="V3441" s="8" t="n"/>
      <c r="W3441" s="8" t="n"/>
      <c r="X3441" s="8" t="n"/>
      <c r="Y3441" s="8" t="n"/>
    </row>
    <row r="3442">
      <c r="A3442" s="8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9">
        <f>B3442+30</f>
        <v/>
      </c>
      <c r="N3442">
        <f>IF(L3442="", "", L3442-B3442)</f>
        <v/>
      </c>
      <c r="O3442">
        <f>IF(L3442="", "Pending", IF(N3442&lt;=30, "Met", "Breached"))</f>
        <v/>
      </c>
      <c r="P3442" s="8" t="n"/>
      <c r="Q3442" s="8" t="n"/>
      <c r="R3442" s="8" t="n"/>
      <c r="S3442" s="8" t="n"/>
      <c r="T3442" s="8" t="n"/>
      <c r="U3442" s="8" t="n"/>
      <c r="V3442" s="8" t="n"/>
      <c r="W3442" s="8" t="n"/>
      <c r="X3442" s="8" t="n"/>
      <c r="Y3442" s="8" t="n"/>
    </row>
    <row r="3443">
      <c r="A3443" s="8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9">
        <f>B3443+30</f>
        <v/>
      </c>
      <c r="N3443">
        <f>IF(L3443="", "", L3443-B3443)</f>
        <v/>
      </c>
      <c r="O3443">
        <f>IF(L3443="", "Pending", IF(N3443&lt;=30, "Met", "Breached"))</f>
        <v/>
      </c>
      <c r="P3443" s="8" t="n"/>
      <c r="Q3443" s="8" t="n"/>
      <c r="R3443" s="8" t="n"/>
      <c r="S3443" s="8" t="n"/>
      <c r="T3443" s="8" t="n"/>
      <c r="U3443" s="8" t="n"/>
      <c r="V3443" s="8" t="n"/>
      <c r="W3443" s="8" t="n"/>
      <c r="X3443" s="8" t="n"/>
      <c r="Y3443" s="8" t="n"/>
    </row>
    <row r="3444">
      <c r="A3444" s="8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9">
        <f>B3444+30</f>
        <v/>
      </c>
      <c r="N3444">
        <f>IF(L3444="", "", L3444-B3444)</f>
        <v/>
      </c>
      <c r="O3444">
        <f>IF(L3444="", "Pending", IF(N3444&lt;=30, "Met", "Breached"))</f>
        <v/>
      </c>
      <c r="P3444" s="8" t="n"/>
      <c r="Q3444" s="8" t="n"/>
      <c r="R3444" s="8" t="n"/>
      <c r="S3444" s="8" t="n"/>
      <c r="T3444" s="8" t="n"/>
      <c r="U3444" s="8" t="n"/>
      <c r="V3444" s="8" t="n"/>
      <c r="W3444" s="8" t="n"/>
      <c r="X3444" s="8" t="n"/>
      <c r="Y3444" s="8" t="n"/>
    </row>
    <row r="3445">
      <c r="A3445" s="8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9">
        <f>B3445+30</f>
        <v/>
      </c>
      <c r="N3445">
        <f>IF(L3445="", "", L3445-B3445)</f>
        <v/>
      </c>
      <c r="O3445">
        <f>IF(L3445="", "Pending", IF(N3445&lt;=30, "Met", "Breached"))</f>
        <v/>
      </c>
      <c r="P3445" s="8" t="n"/>
      <c r="Q3445" s="8" t="n"/>
      <c r="R3445" s="8" t="n"/>
      <c r="S3445" s="8" t="n"/>
      <c r="T3445" s="8" t="n"/>
      <c r="U3445" s="8" t="n"/>
      <c r="V3445" s="8" t="n"/>
      <c r="W3445" s="8" t="n"/>
      <c r="X3445" s="8" t="n"/>
      <c r="Y3445" s="8" t="n"/>
    </row>
    <row r="3446">
      <c r="A3446" s="8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9">
        <f>B3446+30</f>
        <v/>
      </c>
      <c r="N3446">
        <f>IF(L3446="", "", L3446-B3446)</f>
        <v/>
      </c>
      <c r="O3446">
        <f>IF(L3446="", "Pending", IF(N3446&lt;=30, "Met", "Breached"))</f>
        <v/>
      </c>
      <c r="P3446" s="8" t="n"/>
      <c r="Q3446" s="8" t="n"/>
      <c r="R3446" s="8" t="n"/>
      <c r="S3446" s="8" t="n"/>
      <c r="T3446" s="8" t="n"/>
      <c r="U3446" s="8" t="n"/>
      <c r="V3446" s="8" t="n"/>
      <c r="W3446" s="8" t="n"/>
      <c r="X3446" s="8" t="n"/>
      <c r="Y3446" s="8" t="n"/>
    </row>
    <row r="3447">
      <c r="A3447" s="8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9">
        <f>B3447+30</f>
        <v/>
      </c>
      <c r="N3447">
        <f>IF(L3447="", "", L3447-B3447)</f>
        <v/>
      </c>
      <c r="O3447">
        <f>IF(L3447="", "Pending", IF(N3447&lt;=30, "Met", "Breached"))</f>
        <v/>
      </c>
      <c r="P3447" s="8" t="n"/>
      <c r="Q3447" s="8" t="n"/>
      <c r="R3447" s="8" t="n"/>
      <c r="S3447" s="8" t="n"/>
      <c r="T3447" s="8" t="n"/>
      <c r="U3447" s="8" t="n"/>
      <c r="V3447" s="8" t="n"/>
      <c r="W3447" s="8" t="n"/>
      <c r="X3447" s="8" t="n"/>
      <c r="Y3447" s="8" t="n"/>
    </row>
    <row r="3448">
      <c r="A3448" s="8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9">
        <f>B3448+30</f>
        <v/>
      </c>
      <c r="N3448">
        <f>IF(L3448="", "", L3448-B3448)</f>
        <v/>
      </c>
      <c r="O3448">
        <f>IF(L3448="", "Pending", IF(N3448&lt;=30, "Met", "Breached"))</f>
        <v/>
      </c>
      <c r="P3448" s="8" t="n"/>
      <c r="Q3448" s="8" t="n"/>
      <c r="R3448" s="8" t="n"/>
      <c r="S3448" s="8" t="n"/>
      <c r="T3448" s="8" t="n"/>
      <c r="U3448" s="8" t="n"/>
      <c r="V3448" s="8" t="n"/>
      <c r="W3448" s="8" t="n"/>
      <c r="X3448" s="8" t="n"/>
      <c r="Y3448" s="8" t="n"/>
    </row>
    <row r="3449">
      <c r="A3449" s="8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9">
        <f>B3449+30</f>
        <v/>
      </c>
      <c r="N3449">
        <f>IF(L3449="", "", L3449-B3449)</f>
        <v/>
      </c>
      <c r="O3449">
        <f>IF(L3449="", "Pending", IF(N3449&lt;=30, "Met", "Breached"))</f>
        <v/>
      </c>
      <c r="P3449" s="8" t="n"/>
      <c r="Q3449" s="8" t="n"/>
      <c r="R3449" s="8" t="n"/>
      <c r="S3449" s="8" t="n"/>
      <c r="T3449" s="8" t="n"/>
      <c r="U3449" s="8" t="n"/>
      <c r="V3449" s="8" t="n"/>
      <c r="W3449" s="8" t="n"/>
      <c r="X3449" s="8" t="n"/>
      <c r="Y3449" s="8" t="n"/>
    </row>
    <row r="3450">
      <c r="A3450" s="8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9">
        <f>B3450+30</f>
        <v/>
      </c>
      <c r="N3450">
        <f>IF(L3450="", "", L3450-B3450)</f>
        <v/>
      </c>
      <c r="O3450">
        <f>IF(L3450="", "Pending", IF(N3450&lt;=30, "Met", "Breached"))</f>
        <v/>
      </c>
      <c r="P3450" s="8" t="n"/>
      <c r="Q3450" s="8" t="n"/>
      <c r="R3450" s="8" t="n"/>
      <c r="S3450" s="8" t="n"/>
      <c r="T3450" s="8" t="n"/>
      <c r="U3450" s="8" t="n"/>
      <c r="V3450" s="8" t="n"/>
      <c r="W3450" s="8" t="n"/>
      <c r="X3450" s="8" t="n"/>
      <c r="Y3450" s="8" t="n"/>
    </row>
    <row r="3451">
      <c r="A3451" s="8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9">
        <f>B3451+30</f>
        <v/>
      </c>
      <c r="N3451">
        <f>IF(L3451="", "", L3451-B3451)</f>
        <v/>
      </c>
      <c r="O3451">
        <f>IF(L3451="", "Pending", IF(N3451&lt;=30, "Met", "Breached"))</f>
        <v/>
      </c>
      <c r="P3451" s="8" t="n"/>
      <c r="Q3451" s="8" t="n"/>
      <c r="R3451" s="8" t="n"/>
      <c r="S3451" s="8" t="n"/>
      <c r="T3451" s="8" t="n"/>
      <c r="U3451" s="8" t="n"/>
      <c r="V3451" s="8" t="n"/>
      <c r="W3451" s="8" t="n"/>
      <c r="X3451" s="8" t="n"/>
      <c r="Y3451" s="8" t="n"/>
    </row>
    <row r="3452">
      <c r="A3452" s="8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9">
        <f>B3452+30</f>
        <v/>
      </c>
      <c r="N3452">
        <f>IF(L3452="", "", L3452-B3452)</f>
        <v/>
      </c>
      <c r="O3452">
        <f>IF(L3452="", "Pending", IF(N3452&lt;=30, "Met", "Breached"))</f>
        <v/>
      </c>
      <c r="P3452" s="8" t="n"/>
      <c r="Q3452" s="8" t="n"/>
      <c r="R3452" s="8" t="n"/>
      <c r="S3452" s="8" t="n"/>
      <c r="T3452" s="8" t="n"/>
      <c r="U3452" s="8" t="n"/>
      <c r="V3452" s="8" t="n"/>
      <c r="W3452" s="8" t="n"/>
      <c r="X3452" s="8" t="n"/>
      <c r="Y3452" s="8" t="n"/>
    </row>
    <row r="3453">
      <c r="A3453" s="8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9">
        <f>B3453+30</f>
        <v/>
      </c>
      <c r="N3453">
        <f>IF(L3453="", "", L3453-B3453)</f>
        <v/>
      </c>
      <c r="O3453">
        <f>IF(L3453="", "Pending", IF(N3453&lt;=30, "Met", "Breached"))</f>
        <v/>
      </c>
      <c r="P3453" s="8" t="n"/>
      <c r="Q3453" s="8" t="n"/>
      <c r="R3453" s="8" t="n"/>
      <c r="S3453" s="8" t="n"/>
      <c r="T3453" s="8" t="n"/>
      <c r="U3453" s="8" t="n"/>
      <c r="V3453" s="8" t="n"/>
      <c r="W3453" s="8" t="n"/>
      <c r="X3453" s="8" t="n"/>
      <c r="Y3453" s="8" t="n"/>
    </row>
    <row r="3454">
      <c r="A3454" s="8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9">
        <f>B3454+30</f>
        <v/>
      </c>
      <c r="N3454">
        <f>IF(L3454="", "", L3454-B3454)</f>
        <v/>
      </c>
      <c r="O3454">
        <f>IF(L3454="", "Pending", IF(N3454&lt;=30, "Met", "Breached"))</f>
        <v/>
      </c>
      <c r="P3454" s="8" t="n"/>
      <c r="Q3454" s="8" t="n"/>
      <c r="R3454" s="8" t="n"/>
      <c r="S3454" s="8" t="n"/>
      <c r="T3454" s="8" t="n"/>
      <c r="U3454" s="8" t="n"/>
      <c r="V3454" s="8" t="n"/>
      <c r="W3454" s="8" t="n"/>
      <c r="X3454" s="8" t="n"/>
      <c r="Y3454" s="8" t="n"/>
    </row>
    <row r="3455">
      <c r="A3455" s="8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9">
        <f>B3455+30</f>
        <v/>
      </c>
      <c r="N3455">
        <f>IF(L3455="", "", L3455-B3455)</f>
        <v/>
      </c>
      <c r="O3455">
        <f>IF(L3455="", "Pending", IF(N3455&lt;=30, "Met", "Breached"))</f>
        <v/>
      </c>
      <c r="P3455" s="8" t="n"/>
      <c r="Q3455" s="8" t="n"/>
      <c r="R3455" s="8" t="n"/>
      <c r="S3455" s="8" t="n"/>
      <c r="T3455" s="8" t="n"/>
      <c r="U3455" s="8" t="n"/>
      <c r="V3455" s="8" t="n"/>
      <c r="W3455" s="8" t="n"/>
      <c r="X3455" s="8" t="n"/>
      <c r="Y3455" s="8" t="n"/>
    </row>
    <row r="3456">
      <c r="A3456" s="8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9">
        <f>B3456+30</f>
        <v/>
      </c>
      <c r="N3456">
        <f>IF(L3456="", "", L3456-B3456)</f>
        <v/>
      </c>
      <c r="O3456">
        <f>IF(L3456="", "Pending", IF(N3456&lt;=30, "Met", "Breached"))</f>
        <v/>
      </c>
      <c r="P3456" s="8" t="n"/>
      <c r="Q3456" s="8" t="n"/>
      <c r="R3456" s="8" t="n"/>
      <c r="S3456" s="8" t="n"/>
      <c r="T3456" s="8" t="n"/>
      <c r="U3456" s="8" t="n"/>
      <c r="V3456" s="8" t="n"/>
      <c r="W3456" s="8" t="n"/>
      <c r="X3456" s="8" t="n"/>
      <c r="Y3456" s="8" t="n"/>
    </row>
    <row r="3457">
      <c r="A3457" s="8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9">
        <f>B3457+30</f>
        <v/>
      </c>
      <c r="N3457">
        <f>IF(L3457="", "", L3457-B3457)</f>
        <v/>
      </c>
      <c r="O3457">
        <f>IF(L3457="", "Pending", IF(N3457&lt;=30, "Met", "Breached"))</f>
        <v/>
      </c>
      <c r="P3457" s="8" t="n"/>
      <c r="Q3457" s="8" t="n"/>
      <c r="R3457" s="8" t="n"/>
      <c r="S3457" s="8" t="n"/>
      <c r="T3457" s="8" t="n"/>
      <c r="U3457" s="8" t="n"/>
      <c r="V3457" s="8" t="n"/>
      <c r="W3457" s="8" t="n"/>
      <c r="X3457" s="8" t="n"/>
      <c r="Y3457" s="8" t="n"/>
    </row>
    <row r="3458">
      <c r="A3458" s="8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9">
        <f>B3458+30</f>
        <v/>
      </c>
      <c r="N3458">
        <f>IF(L3458="", "", L3458-B3458)</f>
        <v/>
      </c>
      <c r="O3458">
        <f>IF(L3458="", "Pending", IF(N3458&lt;=30, "Met", "Breached"))</f>
        <v/>
      </c>
      <c r="P3458" s="8" t="n"/>
      <c r="Q3458" s="8" t="n"/>
      <c r="R3458" s="8" t="n"/>
      <c r="S3458" s="8" t="n"/>
      <c r="T3458" s="8" t="n"/>
      <c r="U3458" s="8" t="n"/>
      <c r="V3458" s="8" t="n"/>
      <c r="W3458" s="8" t="n"/>
      <c r="X3458" s="8" t="n"/>
      <c r="Y3458" s="8" t="n"/>
    </row>
    <row r="3459">
      <c r="A3459" s="8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9">
        <f>B3459+30</f>
        <v/>
      </c>
      <c r="N3459">
        <f>IF(L3459="", "", L3459-B3459)</f>
        <v/>
      </c>
      <c r="O3459">
        <f>IF(L3459="", "Pending", IF(N3459&lt;=30, "Met", "Breached"))</f>
        <v/>
      </c>
      <c r="P3459" s="8" t="n"/>
      <c r="Q3459" s="8" t="n"/>
      <c r="R3459" s="8" t="n"/>
      <c r="S3459" s="8" t="n"/>
      <c r="T3459" s="8" t="n"/>
      <c r="U3459" s="8" t="n"/>
      <c r="V3459" s="8" t="n"/>
      <c r="W3459" s="8" t="n"/>
      <c r="X3459" s="8" t="n"/>
      <c r="Y3459" s="8" t="n"/>
    </row>
    <row r="3460">
      <c r="A3460" s="8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9">
        <f>B3460+30</f>
        <v/>
      </c>
      <c r="N3460">
        <f>IF(L3460="", "", L3460-B3460)</f>
        <v/>
      </c>
      <c r="O3460">
        <f>IF(L3460="", "Pending", IF(N3460&lt;=30, "Met", "Breached"))</f>
        <v/>
      </c>
      <c r="P3460" s="8" t="n"/>
      <c r="Q3460" s="8" t="n"/>
      <c r="R3460" s="8" t="n"/>
      <c r="S3460" s="8" t="n"/>
      <c r="T3460" s="8" t="n"/>
      <c r="U3460" s="8" t="n"/>
      <c r="V3460" s="8" t="n"/>
      <c r="W3460" s="8" t="n"/>
      <c r="X3460" s="8" t="n"/>
      <c r="Y3460" s="8" t="n"/>
    </row>
    <row r="3461">
      <c r="A3461" s="8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9">
        <f>B3461+30</f>
        <v/>
      </c>
      <c r="N3461">
        <f>IF(L3461="", "", L3461-B3461)</f>
        <v/>
      </c>
      <c r="O3461">
        <f>IF(L3461="", "Pending", IF(N3461&lt;=30, "Met", "Breached"))</f>
        <v/>
      </c>
      <c r="P3461" s="8" t="n"/>
      <c r="Q3461" s="8" t="n"/>
      <c r="R3461" s="8" t="n"/>
      <c r="S3461" s="8" t="n"/>
      <c r="T3461" s="8" t="n"/>
      <c r="U3461" s="8" t="n"/>
      <c r="V3461" s="8" t="n"/>
      <c r="W3461" s="8" t="n"/>
      <c r="X3461" s="8" t="n"/>
      <c r="Y3461" s="8" t="n"/>
    </row>
    <row r="3462">
      <c r="A3462" s="8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9">
        <f>B3462+30</f>
        <v/>
      </c>
      <c r="N3462">
        <f>IF(L3462="", "", L3462-B3462)</f>
        <v/>
      </c>
      <c r="O3462">
        <f>IF(L3462="", "Pending", IF(N3462&lt;=30, "Met", "Breached"))</f>
        <v/>
      </c>
      <c r="P3462" s="8" t="n"/>
      <c r="Q3462" s="8" t="n"/>
      <c r="R3462" s="8" t="n"/>
      <c r="S3462" s="8" t="n"/>
      <c r="T3462" s="8" t="n"/>
      <c r="U3462" s="8" t="n"/>
      <c r="V3462" s="8" t="n"/>
      <c r="W3462" s="8" t="n"/>
      <c r="X3462" s="8" t="n"/>
      <c r="Y3462" s="8" t="n"/>
    </row>
    <row r="3463">
      <c r="A3463" s="8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9">
        <f>B3463+30</f>
        <v/>
      </c>
      <c r="N3463">
        <f>IF(L3463="", "", L3463-B3463)</f>
        <v/>
      </c>
      <c r="O3463">
        <f>IF(L3463="", "Pending", IF(N3463&lt;=30, "Met", "Breached"))</f>
        <v/>
      </c>
      <c r="P3463" s="8" t="n"/>
      <c r="Q3463" s="8" t="n"/>
      <c r="R3463" s="8" t="n"/>
      <c r="S3463" s="8" t="n"/>
      <c r="T3463" s="8" t="n"/>
      <c r="U3463" s="8" t="n"/>
      <c r="V3463" s="8" t="n"/>
      <c r="W3463" s="8" t="n"/>
      <c r="X3463" s="8" t="n"/>
      <c r="Y3463" s="8" t="n"/>
    </row>
    <row r="3464">
      <c r="A3464" s="8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9">
        <f>B3464+30</f>
        <v/>
      </c>
      <c r="N3464">
        <f>IF(L3464="", "", L3464-B3464)</f>
        <v/>
      </c>
      <c r="O3464">
        <f>IF(L3464="", "Pending", IF(N3464&lt;=30, "Met", "Breached"))</f>
        <v/>
      </c>
      <c r="P3464" s="8" t="n"/>
      <c r="Q3464" s="8" t="n"/>
      <c r="R3464" s="8" t="n"/>
      <c r="S3464" s="8" t="n"/>
      <c r="T3464" s="8" t="n"/>
      <c r="U3464" s="8" t="n"/>
      <c r="V3464" s="8" t="n"/>
      <c r="W3464" s="8" t="n"/>
      <c r="X3464" s="8" t="n"/>
      <c r="Y3464" s="8" t="n"/>
    </row>
    <row r="3465">
      <c r="A3465" s="8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9">
        <f>B3465+30</f>
        <v/>
      </c>
      <c r="N3465">
        <f>IF(L3465="", "", L3465-B3465)</f>
        <v/>
      </c>
      <c r="O3465">
        <f>IF(L3465="", "Pending", IF(N3465&lt;=30, "Met", "Breached"))</f>
        <v/>
      </c>
      <c r="P3465" s="8" t="n"/>
      <c r="Q3465" s="8" t="n"/>
      <c r="R3465" s="8" t="n"/>
      <c r="S3465" s="8" t="n"/>
      <c r="T3465" s="8" t="n"/>
      <c r="U3465" s="8" t="n"/>
      <c r="V3465" s="8" t="n"/>
      <c r="W3465" s="8" t="n"/>
      <c r="X3465" s="8" t="n"/>
      <c r="Y3465" s="8" t="n"/>
    </row>
    <row r="3466">
      <c r="A3466" s="8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9">
        <f>B3466+30</f>
        <v/>
      </c>
      <c r="N3466">
        <f>IF(L3466="", "", L3466-B3466)</f>
        <v/>
      </c>
      <c r="O3466">
        <f>IF(L3466="", "Pending", IF(N3466&lt;=30, "Met", "Breached"))</f>
        <v/>
      </c>
      <c r="P3466" s="8" t="n"/>
      <c r="Q3466" s="8" t="n"/>
      <c r="R3466" s="8" t="n"/>
      <c r="S3466" s="8" t="n"/>
      <c r="T3466" s="8" t="n"/>
      <c r="U3466" s="8" t="n"/>
      <c r="V3466" s="8" t="n"/>
      <c r="W3466" s="8" t="n"/>
      <c r="X3466" s="8" t="n"/>
      <c r="Y3466" s="8" t="n"/>
    </row>
    <row r="3467">
      <c r="A3467" s="8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9">
        <f>B3467+30</f>
        <v/>
      </c>
      <c r="N3467">
        <f>IF(L3467="", "", L3467-B3467)</f>
        <v/>
      </c>
      <c r="O3467">
        <f>IF(L3467="", "Pending", IF(N3467&lt;=30, "Met", "Breached"))</f>
        <v/>
      </c>
      <c r="P3467" s="8" t="n"/>
      <c r="Q3467" s="8" t="n"/>
      <c r="R3467" s="8" t="n"/>
      <c r="S3467" s="8" t="n"/>
      <c r="T3467" s="8" t="n"/>
      <c r="U3467" s="8" t="n"/>
      <c r="V3467" s="8" t="n"/>
      <c r="W3467" s="8" t="n"/>
      <c r="X3467" s="8" t="n"/>
      <c r="Y3467" s="8" t="n"/>
    </row>
    <row r="3468">
      <c r="A3468" s="8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9">
        <f>B3468+30</f>
        <v/>
      </c>
      <c r="N3468">
        <f>IF(L3468="", "", L3468-B3468)</f>
        <v/>
      </c>
      <c r="O3468">
        <f>IF(L3468="", "Pending", IF(N3468&lt;=30, "Met", "Breached"))</f>
        <v/>
      </c>
      <c r="P3468" s="8" t="n"/>
      <c r="Q3468" s="8" t="n"/>
      <c r="R3468" s="8" t="n"/>
      <c r="S3468" s="8" t="n"/>
      <c r="T3468" s="8" t="n"/>
      <c r="U3468" s="8" t="n"/>
      <c r="V3468" s="8" t="n"/>
      <c r="W3468" s="8" t="n"/>
      <c r="X3468" s="8" t="n"/>
      <c r="Y3468" s="8" t="n"/>
    </row>
    <row r="3469">
      <c r="A3469" s="8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9">
        <f>B3469+30</f>
        <v/>
      </c>
      <c r="N3469">
        <f>IF(L3469="", "", L3469-B3469)</f>
        <v/>
      </c>
      <c r="O3469">
        <f>IF(L3469="", "Pending", IF(N3469&lt;=30, "Met", "Breached"))</f>
        <v/>
      </c>
      <c r="P3469" s="8" t="n"/>
      <c r="Q3469" s="8" t="n"/>
      <c r="R3469" s="8" t="n"/>
      <c r="S3469" s="8" t="n"/>
      <c r="T3469" s="8" t="n"/>
      <c r="U3469" s="8" t="n"/>
      <c r="V3469" s="8" t="n"/>
      <c r="W3469" s="8" t="n"/>
      <c r="X3469" s="8" t="n"/>
      <c r="Y3469" s="8" t="n"/>
    </row>
    <row r="3470">
      <c r="A3470" s="8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9">
        <f>B3470+30</f>
        <v/>
      </c>
      <c r="N3470">
        <f>IF(L3470="", "", L3470-B3470)</f>
        <v/>
      </c>
      <c r="O3470">
        <f>IF(L3470="", "Pending", IF(N3470&lt;=30, "Met", "Breached"))</f>
        <v/>
      </c>
      <c r="P3470" s="8" t="n"/>
      <c r="Q3470" s="8" t="n"/>
      <c r="R3470" s="8" t="n"/>
      <c r="S3470" s="8" t="n"/>
      <c r="T3470" s="8" t="n"/>
      <c r="U3470" s="8" t="n"/>
      <c r="V3470" s="8" t="n"/>
      <c r="W3470" s="8" t="n"/>
      <c r="X3470" s="8" t="n"/>
      <c r="Y3470" s="8" t="n"/>
    </row>
    <row r="3471">
      <c r="A3471" s="8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9">
        <f>B3471+30</f>
        <v/>
      </c>
      <c r="N3471">
        <f>IF(L3471="", "", L3471-B3471)</f>
        <v/>
      </c>
      <c r="O3471">
        <f>IF(L3471="", "Pending", IF(N3471&lt;=30, "Met", "Breached"))</f>
        <v/>
      </c>
      <c r="P3471" s="8" t="n"/>
      <c r="Q3471" s="8" t="n"/>
      <c r="R3471" s="8" t="n"/>
      <c r="S3471" s="8" t="n"/>
      <c r="T3471" s="8" t="n"/>
      <c r="U3471" s="8" t="n"/>
      <c r="V3471" s="8" t="n"/>
      <c r="W3471" s="8" t="n"/>
      <c r="X3471" s="8" t="n"/>
      <c r="Y3471" s="8" t="n"/>
    </row>
    <row r="3472">
      <c r="A3472" s="8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9">
        <f>B3472+30</f>
        <v/>
      </c>
      <c r="N3472">
        <f>IF(L3472="", "", L3472-B3472)</f>
        <v/>
      </c>
      <c r="O3472">
        <f>IF(L3472="", "Pending", IF(N3472&lt;=30, "Met", "Breached"))</f>
        <v/>
      </c>
      <c r="P3472" s="8" t="n"/>
      <c r="Q3472" s="8" t="n"/>
      <c r="R3472" s="8" t="n"/>
      <c r="S3472" s="8" t="n"/>
      <c r="T3472" s="8" t="n"/>
      <c r="U3472" s="8" t="n"/>
      <c r="V3472" s="8" t="n"/>
      <c r="W3472" s="8" t="n"/>
      <c r="X3472" s="8" t="n"/>
      <c r="Y3472" s="8" t="n"/>
    </row>
    <row r="3473">
      <c r="A3473" s="8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9">
        <f>B3473+30</f>
        <v/>
      </c>
      <c r="N3473">
        <f>IF(L3473="", "", L3473-B3473)</f>
        <v/>
      </c>
      <c r="O3473">
        <f>IF(L3473="", "Pending", IF(N3473&lt;=30, "Met", "Breached"))</f>
        <v/>
      </c>
      <c r="P3473" s="8" t="n"/>
      <c r="Q3473" s="8" t="n"/>
      <c r="R3473" s="8" t="n"/>
      <c r="S3473" s="8" t="n"/>
      <c r="T3473" s="8" t="n"/>
      <c r="U3473" s="8" t="n"/>
      <c r="V3473" s="8" t="n"/>
      <c r="W3473" s="8" t="n"/>
      <c r="X3473" s="8" t="n"/>
      <c r="Y3473" s="8" t="n"/>
    </row>
    <row r="3474">
      <c r="A3474" s="8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9">
        <f>B3474+30</f>
        <v/>
      </c>
      <c r="N3474">
        <f>IF(L3474="", "", L3474-B3474)</f>
        <v/>
      </c>
      <c r="O3474">
        <f>IF(L3474="", "Pending", IF(N3474&lt;=30, "Met", "Breached"))</f>
        <v/>
      </c>
      <c r="P3474" s="8" t="n"/>
      <c r="Q3474" s="8" t="n"/>
      <c r="R3474" s="8" t="n"/>
      <c r="S3474" s="8" t="n"/>
      <c r="T3474" s="8" t="n"/>
      <c r="U3474" s="8" t="n"/>
      <c r="V3474" s="8" t="n"/>
      <c r="W3474" s="8" t="n"/>
      <c r="X3474" s="8" t="n"/>
      <c r="Y3474" s="8" t="n"/>
    </row>
    <row r="3475">
      <c r="A3475" s="8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9">
        <f>B3475+30</f>
        <v/>
      </c>
      <c r="N3475">
        <f>IF(L3475="", "", L3475-B3475)</f>
        <v/>
      </c>
      <c r="O3475">
        <f>IF(L3475="", "Pending", IF(N3475&lt;=30, "Met", "Breached"))</f>
        <v/>
      </c>
      <c r="P3475" s="8" t="n"/>
      <c r="Q3475" s="8" t="n"/>
      <c r="R3475" s="8" t="n"/>
      <c r="S3475" s="8" t="n"/>
      <c r="T3475" s="8" t="n"/>
      <c r="U3475" s="8" t="n"/>
      <c r="V3475" s="8" t="n"/>
      <c r="W3475" s="8" t="n"/>
      <c r="X3475" s="8" t="n"/>
      <c r="Y3475" s="8" t="n"/>
    </row>
    <row r="3476">
      <c r="A3476" s="8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9">
        <f>B3476+30</f>
        <v/>
      </c>
      <c r="N3476">
        <f>IF(L3476="", "", L3476-B3476)</f>
        <v/>
      </c>
      <c r="O3476">
        <f>IF(L3476="", "Pending", IF(N3476&lt;=30, "Met", "Breached"))</f>
        <v/>
      </c>
      <c r="P3476" s="8" t="n"/>
      <c r="Q3476" s="8" t="n"/>
      <c r="R3476" s="8" t="n"/>
      <c r="S3476" s="8" t="n"/>
      <c r="T3476" s="8" t="n"/>
      <c r="U3476" s="8" t="n"/>
      <c r="V3476" s="8" t="n"/>
      <c r="W3476" s="8" t="n"/>
      <c r="X3476" s="8" t="n"/>
      <c r="Y3476" s="8" t="n"/>
    </row>
    <row r="3477">
      <c r="A3477" s="8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9">
        <f>B3477+30</f>
        <v/>
      </c>
      <c r="N3477">
        <f>IF(L3477="", "", L3477-B3477)</f>
        <v/>
      </c>
      <c r="O3477">
        <f>IF(L3477="", "Pending", IF(N3477&lt;=30, "Met", "Breached"))</f>
        <v/>
      </c>
      <c r="P3477" s="8" t="n"/>
      <c r="Q3477" s="8" t="n"/>
      <c r="R3477" s="8" t="n"/>
      <c r="S3477" s="8" t="n"/>
      <c r="T3477" s="8" t="n"/>
      <c r="U3477" s="8" t="n"/>
      <c r="V3477" s="8" t="n"/>
      <c r="W3477" s="8" t="n"/>
      <c r="X3477" s="8" t="n"/>
      <c r="Y3477" s="8" t="n"/>
    </row>
    <row r="3478">
      <c r="A3478" s="8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9">
        <f>B3478+30</f>
        <v/>
      </c>
      <c r="N3478">
        <f>IF(L3478="", "", L3478-B3478)</f>
        <v/>
      </c>
      <c r="O3478">
        <f>IF(L3478="", "Pending", IF(N3478&lt;=30, "Met", "Breached"))</f>
        <v/>
      </c>
      <c r="P3478" s="8" t="n"/>
      <c r="Q3478" s="8" t="n"/>
      <c r="R3478" s="8" t="n"/>
      <c r="S3478" s="8" t="n"/>
      <c r="T3478" s="8" t="n"/>
      <c r="U3478" s="8" t="n"/>
      <c r="V3478" s="8" t="n"/>
      <c r="W3478" s="8" t="n"/>
      <c r="X3478" s="8" t="n"/>
      <c r="Y3478" s="8" t="n"/>
    </row>
    <row r="3479">
      <c r="A3479" s="8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9">
        <f>B3479+30</f>
        <v/>
      </c>
      <c r="N3479">
        <f>IF(L3479="", "", L3479-B3479)</f>
        <v/>
      </c>
      <c r="O3479">
        <f>IF(L3479="", "Pending", IF(N3479&lt;=30, "Met", "Breached"))</f>
        <v/>
      </c>
      <c r="P3479" s="8" t="n"/>
      <c r="Q3479" s="8" t="n"/>
      <c r="R3479" s="8" t="n"/>
      <c r="S3479" s="8" t="n"/>
      <c r="T3479" s="8" t="n"/>
      <c r="U3479" s="8" t="n"/>
      <c r="V3479" s="8" t="n"/>
      <c r="W3479" s="8" t="n"/>
      <c r="X3479" s="8" t="n"/>
      <c r="Y3479" s="8" t="n"/>
    </row>
    <row r="3480">
      <c r="A3480" s="8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9">
        <f>B3480+30</f>
        <v/>
      </c>
      <c r="N3480">
        <f>IF(L3480="", "", L3480-B3480)</f>
        <v/>
      </c>
      <c r="O3480">
        <f>IF(L3480="", "Pending", IF(N3480&lt;=30, "Met", "Breached"))</f>
        <v/>
      </c>
      <c r="P3480" s="8" t="n"/>
      <c r="Q3480" s="8" t="n"/>
      <c r="R3480" s="8" t="n"/>
      <c r="S3480" s="8" t="n"/>
      <c r="T3480" s="8" t="n"/>
      <c r="U3480" s="8" t="n"/>
      <c r="V3480" s="8" t="n"/>
      <c r="W3480" s="8" t="n"/>
      <c r="X3480" s="8" t="n"/>
      <c r="Y3480" s="8" t="n"/>
    </row>
    <row r="3481">
      <c r="A3481" s="8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9">
        <f>B3481+30</f>
        <v/>
      </c>
      <c r="N3481">
        <f>IF(L3481="", "", L3481-B3481)</f>
        <v/>
      </c>
      <c r="O3481">
        <f>IF(L3481="", "Pending", IF(N3481&lt;=30, "Met", "Breached"))</f>
        <v/>
      </c>
      <c r="P3481" s="8" t="n"/>
      <c r="Q3481" s="8" t="n"/>
      <c r="R3481" s="8" t="n"/>
      <c r="S3481" s="8" t="n"/>
      <c r="T3481" s="8" t="n"/>
      <c r="U3481" s="8" t="n"/>
      <c r="V3481" s="8" t="n"/>
      <c r="W3481" s="8" t="n"/>
      <c r="X3481" s="8" t="n"/>
      <c r="Y3481" s="8" t="n"/>
    </row>
    <row r="3482">
      <c r="A3482" s="8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9">
        <f>B3482+30</f>
        <v/>
      </c>
      <c r="N3482">
        <f>IF(L3482="", "", L3482-B3482)</f>
        <v/>
      </c>
      <c r="O3482">
        <f>IF(L3482="", "Pending", IF(N3482&lt;=30, "Met", "Breached"))</f>
        <v/>
      </c>
      <c r="P3482" s="8" t="n"/>
      <c r="Q3482" s="8" t="n"/>
      <c r="R3482" s="8" t="n"/>
      <c r="S3482" s="8" t="n"/>
      <c r="T3482" s="8" t="n"/>
      <c r="U3482" s="8" t="n"/>
      <c r="V3482" s="8" t="n"/>
      <c r="W3482" s="8" t="n"/>
      <c r="X3482" s="8" t="n"/>
      <c r="Y3482" s="8" t="n"/>
    </row>
    <row r="3483">
      <c r="A3483" s="8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9">
        <f>B3483+30</f>
        <v/>
      </c>
      <c r="N3483">
        <f>IF(L3483="", "", L3483-B3483)</f>
        <v/>
      </c>
      <c r="O3483">
        <f>IF(L3483="", "Pending", IF(N3483&lt;=30, "Met", "Breached"))</f>
        <v/>
      </c>
      <c r="P3483" s="8" t="n"/>
      <c r="Q3483" s="8" t="n"/>
      <c r="R3483" s="8" t="n"/>
      <c r="S3483" s="8" t="n"/>
      <c r="T3483" s="8" t="n"/>
      <c r="U3483" s="8" t="n"/>
      <c r="V3483" s="8" t="n"/>
      <c r="W3483" s="8" t="n"/>
      <c r="X3483" s="8" t="n"/>
      <c r="Y3483" s="8" t="n"/>
    </row>
    <row r="3484">
      <c r="A3484" s="8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9">
        <f>B3484+30</f>
        <v/>
      </c>
      <c r="N3484">
        <f>IF(L3484="", "", L3484-B3484)</f>
        <v/>
      </c>
      <c r="O3484">
        <f>IF(L3484="", "Pending", IF(N3484&lt;=30, "Met", "Breached"))</f>
        <v/>
      </c>
      <c r="P3484" s="8" t="n"/>
      <c r="Q3484" s="8" t="n"/>
      <c r="R3484" s="8" t="n"/>
      <c r="S3484" s="8" t="n"/>
      <c r="T3484" s="8" t="n"/>
      <c r="U3484" s="8" t="n"/>
      <c r="V3484" s="8" t="n"/>
      <c r="W3484" s="8" t="n"/>
      <c r="X3484" s="8" t="n"/>
      <c r="Y3484" s="8" t="n"/>
    </row>
    <row r="3485">
      <c r="A3485" s="8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9">
        <f>B3485+30</f>
        <v/>
      </c>
      <c r="N3485">
        <f>IF(L3485="", "", L3485-B3485)</f>
        <v/>
      </c>
      <c r="O3485">
        <f>IF(L3485="", "Pending", IF(N3485&lt;=30, "Met", "Breached"))</f>
        <v/>
      </c>
      <c r="P3485" s="8" t="n"/>
      <c r="Q3485" s="8" t="n"/>
      <c r="R3485" s="8" t="n"/>
      <c r="S3485" s="8" t="n"/>
      <c r="T3485" s="8" t="n"/>
      <c r="U3485" s="8" t="n"/>
      <c r="V3485" s="8" t="n"/>
      <c r="W3485" s="8" t="n"/>
      <c r="X3485" s="8" t="n"/>
      <c r="Y3485" s="8" t="n"/>
    </row>
    <row r="3486">
      <c r="A3486" s="8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9">
        <f>B3486+30</f>
        <v/>
      </c>
      <c r="N3486">
        <f>IF(L3486="", "", L3486-B3486)</f>
        <v/>
      </c>
      <c r="O3486">
        <f>IF(L3486="", "Pending", IF(N3486&lt;=30, "Met", "Breached"))</f>
        <v/>
      </c>
      <c r="P3486" s="8" t="n"/>
      <c r="Q3486" s="8" t="n"/>
      <c r="R3486" s="8" t="n"/>
      <c r="S3486" s="8" t="n"/>
      <c r="T3486" s="8" t="n"/>
      <c r="U3486" s="8" t="n"/>
      <c r="V3486" s="8" t="n"/>
      <c r="W3486" s="8" t="n"/>
      <c r="X3486" s="8" t="n"/>
      <c r="Y3486" s="8" t="n"/>
    </row>
    <row r="3487">
      <c r="A3487" s="8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9">
        <f>B3487+30</f>
        <v/>
      </c>
      <c r="N3487">
        <f>IF(L3487="", "", L3487-B3487)</f>
        <v/>
      </c>
      <c r="O3487">
        <f>IF(L3487="", "Pending", IF(N3487&lt;=30, "Met", "Breached"))</f>
        <v/>
      </c>
      <c r="P3487" s="8" t="n"/>
      <c r="Q3487" s="8" t="n"/>
      <c r="R3487" s="8" t="n"/>
      <c r="S3487" s="8" t="n"/>
      <c r="T3487" s="8" t="n"/>
      <c r="U3487" s="8" t="n"/>
      <c r="V3487" s="8" t="n"/>
      <c r="W3487" s="8" t="n"/>
      <c r="X3487" s="8" t="n"/>
      <c r="Y3487" s="8" t="n"/>
    </row>
    <row r="3488">
      <c r="A3488" s="8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9">
        <f>B3488+30</f>
        <v/>
      </c>
      <c r="N3488">
        <f>IF(L3488="", "", L3488-B3488)</f>
        <v/>
      </c>
      <c r="O3488">
        <f>IF(L3488="", "Pending", IF(N3488&lt;=30, "Met", "Breached"))</f>
        <v/>
      </c>
      <c r="P3488" s="8" t="n"/>
      <c r="Q3488" s="8" t="n"/>
      <c r="R3488" s="8" t="n"/>
      <c r="S3488" s="8" t="n"/>
      <c r="T3488" s="8" t="n"/>
      <c r="U3488" s="8" t="n"/>
      <c r="V3488" s="8" t="n"/>
      <c r="W3488" s="8" t="n"/>
      <c r="X3488" s="8" t="n"/>
      <c r="Y3488" s="8" t="n"/>
    </row>
    <row r="3489">
      <c r="A3489" s="8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9">
        <f>B3489+30</f>
        <v/>
      </c>
      <c r="N3489">
        <f>IF(L3489="", "", L3489-B3489)</f>
        <v/>
      </c>
      <c r="O3489">
        <f>IF(L3489="", "Pending", IF(N3489&lt;=30, "Met", "Breached"))</f>
        <v/>
      </c>
      <c r="P3489" s="8" t="n"/>
      <c r="Q3489" s="8" t="n"/>
      <c r="R3489" s="8" t="n"/>
      <c r="S3489" s="8" t="n"/>
      <c r="T3489" s="8" t="n"/>
      <c r="U3489" s="8" t="n"/>
      <c r="V3489" s="8" t="n"/>
      <c r="W3489" s="8" t="n"/>
      <c r="X3489" s="8" t="n"/>
      <c r="Y3489" s="8" t="n"/>
    </row>
    <row r="3490">
      <c r="A3490" s="8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9">
        <f>B3490+30</f>
        <v/>
      </c>
      <c r="N3490">
        <f>IF(L3490="", "", L3490-B3490)</f>
        <v/>
      </c>
      <c r="O3490">
        <f>IF(L3490="", "Pending", IF(N3490&lt;=30, "Met", "Breached"))</f>
        <v/>
      </c>
      <c r="P3490" s="8" t="n"/>
      <c r="Q3490" s="8" t="n"/>
      <c r="R3490" s="8" t="n"/>
      <c r="S3490" s="8" t="n"/>
      <c r="T3490" s="8" t="n"/>
      <c r="U3490" s="8" t="n"/>
      <c r="V3490" s="8" t="n"/>
      <c r="W3490" s="8" t="n"/>
      <c r="X3490" s="8" t="n"/>
      <c r="Y3490" s="8" t="n"/>
    </row>
    <row r="3491">
      <c r="A3491" s="8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9">
        <f>B3491+30</f>
        <v/>
      </c>
      <c r="N3491">
        <f>IF(L3491="", "", L3491-B3491)</f>
        <v/>
      </c>
      <c r="O3491">
        <f>IF(L3491="", "Pending", IF(N3491&lt;=30, "Met", "Breached"))</f>
        <v/>
      </c>
      <c r="P3491" s="8" t="n"/>
      <c r="Q3491" s="8" t="n"/>
      <c r="R3491" s="8" t="n"/>
      <c r="S3491" s="8" t="n"/>
      <c r="T3491" s="8" t="n"/>
      <c r="U3491" s="8" t="n"/>
      <c r="V3491" s="8" t="n"/>
      <c r="W3491" s="8" t="n"/>
      <c r="X3491" s="8" t="n"/>
      <c r="Y3491" s="8" t="n"/>
    </row>
    <row r="3492">
      <c r="A3492" s="8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9">
        <f>B3492+30</f>
        <v/>
      </c>
      <c r="N3492">
        <f>IF(L3492="", "", L3492-B3492)</f>
        <v/>
      </c>
      <c r="O3492">
        <f>IF(L3492="", "Pending", IF(N3492&lt;=30, "Met", "Breached"))</f>
        <v/>
      </c>
      <c r="P3492" s="8" t="n"/>
      <c r="Q3492" s="8" t="n"/>
      <c r="R3492" s="8" t="n"/>
      <c r="S3492" s="8" t="n"/>
      <c r="T3492" s="8" t="n"/>
      <c r="U3492" s="8" t="n"/>
      <c r="V3492" s="8" t="n"/>
      <c r="W3492" s="8" t="n"/>
      <c r="X3492" s="8" t="n"/>
      <c r="Y3492" s="8" t="n"/>
    </row>
    <row r="3493">
      <c r="A3493" s="8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9">
        <f>B3493+30</f>
        <v/>
      </c>
      <c r="N3493">
        <f>IF(L3493="", "", L3493-B3493)</f>
        <v/>
      </c>
      <c r="O3493">
        <f>IF(L3493="", "Pending", IF(N3493&lt;=30, "Met", "Breached"))</f>
        <v/>
      </c>
      <c r="P3493" s="8" t="n"/>
      <c r="Q3493" s="8" t="n"/>
      <c r="R3493" s="8" t="n"/>
      <c r="S3493" s="8" t="n"/>
      <c r="T3493" s="8" t="n"/>
      <c r="U3493" s="8" t="n"/>
      <c r="V3493" s="8" t="n"/>
      <c r="W3493" s="8" t="n"/>
      <c r="X3493" s="8" t="n"/>
      <c r="Y3493" s="8" t="n"/>
    </row>
    <row r="3494">
      <c r="A3494" s="8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9">
        <f>B3494+30</f>
        <v/>
      </c>
      <c r="N3494">
        <f>IF(L3494="", "", L3494-B3494)</f>
        <v/>
      </c>
      <c r="O3494">
        <f>IF(L3494="", "Pending", IF(N3494&lt;=30, "Met", "Breached"))</f>
        <v/>
      </c>
      <c r="P3494" s="8" t="n"/>
      <c r="Q3494" s="8" t="n"/>
      <c r="R3494" s="8" t="n"/>
      <c r="S3494" s="8" t="n"/>
      <c r="T3494" s="8" t="n"/>
      <c r="U3494" s="8" t="n"/>
      <c r="V3494" s="8" t="n"/>
      <c r="W3494" s="8" t="n"/>
      <c r="X3494" s="8" t="n"/>
      <c r="Y3494" s="8" t="n"/>
    </row>
    <row r="3495">
      <c r="A3495" s="8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9">
        <f>B3495+30</f>
        <v/>
      </c>
      <c r="N3495">
        <f>IF(L3495="", "", L3495-B3495)</f>
        <v/>
      </c>
      <c r="O3495">
        <f>IF(L3495="", "Pending", IF(N3495&lt;=30, "Met", "Breached"))</f>
        <v/>
      </c>
      <c r="P3495" s="8" t="n"/>
      <c r="Q3495" s="8" t="n"/>
      <c r="R3495" s="8" t="n"/>
      <c r="S3495" s="8" t="n"/>
      <c r="T3495" s="8" t="n"/>
      <c r="U3495" s="8" t="n"/>
      <c r="V3495" s="8" t="n"/>
      <c r="W3495" s="8" t="n"/>
      <c r="X3495" s="8" t="n"/>
      <c r="Y3495" s="8" t="n"/>
    </row>
    <row r="3496">
      <c r="A3496" s="8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9">
        <f>B3496+30</f>
        <v/>
      </c>
      <c r="N3496">
        <f>IF(L3496="", "", L3496-B3496)</f>
        <v/>
      </c>
      <c r="O3496">
        <f>IF(L3496="", "Pending", IF(N3496&lt;=30, "Met", "Breached"))</f>
        <v/>
      </c>
      <c r="P3496" s="8" t="n"/>
      <c r="Q3496" s="8" t="n"/>
      <c r="R3496" s="8" t="n"/>
      <c r="S3496" s="8" t="n"/>
      <c r="T3496" s="8" t="n"/>
      <c r="U3496" s="8" t="n"/>
      <c r="V3496" s="8" t="n"/>
      <c r="W3496" s="8" t="n"/>
      <c r="X3496" s="8" t="n"/>
      <c r="Y3496" s="8" t="n"/>
    </row>
    <row r="3497">
      <c r="A3497" s="8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9">
        <f>B3497+30</f>
        <v/>
      </c>
      <c r="N3497">
        <f>IF(L3497="", "", L3497-B3497)</f>
        <v/>
      </c>
      <c r="O3497">
        <f>IF(L3497="", "Pending", IF(N3497&lt;=30, "Met", "Breached"))</f>
        <v/>
      </c>
      <c r="P3497" s="8" t="n"/>
      <c r="Q3497" s="8" t="n"/>
      <c r="R3497" s="8" t="n"/>
      <c r="S3497" s="8" t="n"/>
      <c r="T3497" s="8" t="n"/>
      <c r="U3497" s="8" t="n"/>
      <c r="V3497" s="8" t="n"/>
      <c r="W3497" s="8" t="n"/>
      <c r="X3497" s="8" t="n"/>
      <c r="Y3497" s="8" t="n"/>
    </row>
    <row r="3498">
      <c r="A3498" s="8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9">
        <f>B3498+30</f>
        <v/>
      </c>
      <c r="N3498">
        <f>IF(L3498="", "", L3498-B3498)</f>
        <v/>
      </c>
      <c r="O3498">
        <f>IF(L3498="", "Pending", IF(N3498&lt;=30, "Met", "Breached"))</f>
        <v/>
      </c>
      <c r="P3498" s="8" t="n"/>
      <c r="Q3498" s="8" t="n"/>
      <c r="R3498" s="8" t="n"/>
      <c r="S3498" s="8" t="n"/>
      <c r="T3498" s="8" t="n"/>
      <c r="U3498" s="8" t="n"/>
      <c r="V3498" s="8" t="n"/>
      <c r="W3498" s="8" t="n"/>
      <c r="X3498" s="8" t="n"/>
      <c r="Y3498" s="8" t="n"/>
    </row>
    <row r="3499">
      <c r="A3499" s="8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9">
        <f>B3499+30</f>
        <v/>
      </c>
      <c r="N3499">
        <f>IF(L3499="", "", L3499-B3499)</f>
        <v/>
      </c>
      <c r="O3499">
        <f>IF(L3499="", "Pending", IF(N3499&lt;=30, "Met", "Breached"))</f>
        <v/>
      </c>
      <c r="P3499" s="8" t="n"/>
      <c r="Q3499" s="8" t="n"/>
      <c r="R3499" s="8" t="n"/>
      <c r="S3499" s="8" t="n"/>
      <c r="T3499" s="8" t="n"/>
      <c r="U3499" s="8" t="n"/>
      <c r="V3499" s="8" t="n"/>
      <c r="W3499" s="8" t="n"/>
      <c r="X3499" s="8" t="n"/>
      <c r="Y3499" s="8" t="n"/>
    </row>
    <row r="3500">
      <c r="A3500" s="8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9">
        <f>B3500+30</f>
        <v/>
      </c>
      <c r="N3500">
        <f>IF(L3500="", "", L3500-B3500)</f>
        <v/>
      </c>
      <c r="O3500">
        <f>IF(L3500="", "Pending", IF(N3500&lt;=30, "Met", "Breached"))</f>
        <v/>
      </c>
      <c r="P3500" s="8" t="n"/>
      <c r="Q3500" s="8" t="n"/>
      <c r="R3500" s="8" t="n"/>
      <c r="S3500" s="8" t="n"/>
      <c r="T3500" s="8" t="n"/>
      <c r="U3500" s="8" t="n"/>
      <c r="V3500" s="8" t="n"/>
      <c r="W3500" s="8" t="n"/>
      <c r="X3500" s="8" t="n"/>
      <c r="Y3500" s="8" t="n"/>
    </row>
    <row r="3501">
      <c r="A3501" s="8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9">
        <f>B3501+30</f>
        <v/>
      </c>
      <c r="N3501">
        <f>IF(L3501="", "", L3501-B3501)</f>
        <v/>
      </c>
      <c r="O3501">
        <f>IF(L3501="", "Pending", IF(N3501&lt;=30, "Met", "Breached"))</f>
        <v/>
      </c>
      <c r="P3501" s="8" t="n"/>
      <c r="Q3501" s="8" t="n"/>
      <c r="R3501" s="8" t="n"/>
      <c r="S3501" s="8" t="n"/>
      <c r="T3501" s="8" t="n"/>
      <c r="U3501" s="8" t="n"/>
      <c r="V3501" s="8" t="n"/>
      <c r="W3501" s="8" t="n"/>
      <c r="X3501" s="8" t="n"/>
      <c r="Y3501" s="8" t="n"/>
    </row>
    <row r="3502">
      <c r="A3502" s="8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9">
        <f>B3502+30</f>
        <v/>
      </c>
      <c r="N3502">
        <f>IF(L3502="", "", L3502-B3502)</f>
        <v/>
      </c>
      <c r="O3502">
        <f>IF(L3502="", "Pending", IF(N3502&lt;=30, "Met", "Breached"))</f>
        <v/>
      </c>
      <c r="P3502" s="8" t="n"/>
      <c r="Q3502" s="8" t="n"/>
      <c r="R3502" s="8" t="n"/>
      <c r="S3502" s="8" t="n"/>
      <c r="T3502" s="8" t="n"/>
      <c r="U3502" s="8" t="n"/>
      <c r="V3502" s="8" t="n"/>
      <c r="W3502" s="8" t="n"/>
      <c r="X3502" s="8" t="n"/>
      <c r="Y3502" s="8" t="n"/>
    </row>
    <row r="3503">
      <c r="A3503" s="8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9">
        <f>B3503+30</f>
        <v/>
      </c>
      <c r="N3503">
        <f>IF(L3503="", "", L3503-B3503)</f>
        <v/>
      </c>
      <c r="O3503">
        <f>IF(L3503="", "Pending", IF(N3503&lt;=30, "Met", "Breached"))</f>
        <v/>
      </c>
      <c r="P3503" s="8" t="n"/>
      <c r="Q3503" s="8" t="n"/>
      <c r="R3503" s="8" t="n"/>
      <c r="S3503" s="8" t="n"/>
      <c r="T3503" s="8" t="n"/>
      <c r="U3503" s="8" t="n"/>
      <c r="V3503" s="8" t="n"/>
      <c r="W3503" s="8" t="n"/>
      <c r="X3503" s="8" t="n"/>
      <c r="Y3503" s="8" t="n"/>
    </row>
    <row r="3504">
      <c r="A3504" s="8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9">
        <f>B3504+30</f>
        <v/>
      </c>
      <c r="N3504">
        <f>IF(L3504="", "", L3504-B3504)</f>
        <v/>
      </c>
      <c r="O3504">
        <f>IF(L3504="", "Pending", IF(N3504&lt;=30, "Met", "Breached"))</f>
        <v/>
      </c>
      <c r="P3504" s="8" t="n"/>
      <c r="Q3504" s="8" t="n"/>
      <c r="R3504" s="8" t="n"/>
      <c r="S3504" s="8" t="n"/>
      <c r="T3504" s="8" t="n"/>
      <c r="U3504" s="8" t="n"/>
      <c r="V3504" s="8" t="n"/>
      <c r="W3504" s="8" t="n"/>
      <c r="X3504" s="8" t="n"/>
      <c r="Y3504" s="8" t="n"/>
    </row>
    <row r="3505">
      <c r="A3505" s="8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9">
        <f>B3505+30</f>
        <v/>
      </c>
      <c r="N3505">
        <f>IF(L3505="", "", L3505-B3505)</f>
        <v/>
      </c>
      <c r="O3505">
        <f>IF(L3505="", "Pending", IF(N3505&lt;=30, "Met", "Breached"))</f>
        <v/>
      </c>
      <c r="P3505" s="8" t="n"/>
      <c r="Q3505" s="8" t="n"/>
      <c r="R3505" s="8" t="n"/>
      <c r="S3505" s="8" t="n"/>
      <c r="T3505" s="8" t="n"/>
      <c r="U3505" s="8" t="n"/>
      <c r="V3505" s="8" t="n"/>
      <c r="W3505" s="8" t="n"/>
      <c r="X3505" s="8" t="n"/>
      <c r="Y3505" s="8" t="n"/>
    </row>
    <row r="3506">
      <c r="A3506" s="8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9">
        <f>B3506+30</f>
        <v/>
      </c>
      <c r="N3506">
        <f>IF(L3506="", "", L3506-B3506)</f>
        <v/>
      </c>
      <c r="O3506">
        <f>IF(L3506="", "Pending", IF(N3506&lt;=30, "Met", "Breached"))</f>
        <v/>
      </c>
      <c r="P3506" s="8" t="n"/>
      <c r="Q3506" s="8" t="n"/>
      <c r="R3506" s="8" t="n"/>
      <c r="S3506" s="8" t="n"/>
      <c r="T3506" s="8" t="n"/>
      <c r="U3506" s="8" t="n"/>
      <c r="V3506" s="8" t="n"/>
      <c r="W3506" s="8" t="n"/>
      <c r="X3506" s="8" t="n"/>
      <c r="Y3506" s="8" t="n"/>
    </row>
    <row r="3507">
      <c r="A3507" s="8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9">
        <f>B3507+30</f>
        <v/>
      </c>
      <c r="N3507">
        <f>IF(L3507="", "", L3507-B3507)</f>
        <v/>
      </c>
      <c r="O3507">
        <f>IF(L3507="", "Pending", IF(N3507&lt;=30, "Met", "Breached"))</f>
        <v/>
      </c>
      <c r="P3507" s="8" t="n"/>
      <c r="Q3507" s="8" t="n"/>
      <c r="R3507" s="8" t="n"/>
      <c r="S3507" s="8" t="n"/>
      <c r="T3507" s="8" t="n"/>
      <c r="U3507" s="8" t="n"/>
      <c r="V3507" s="8" t="n"/>
      <c r="W3507" s="8" t="n"/>
      <c r="X3507" s="8" t="n"/>
      <c r="Y3507" s="8" t="n"/>
    </row>
    <row r="3508">
      <c r="A3508" s="8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9">
        <f>B3508+30</f>
        <v/>
      </c>
      <c r="N3508">
        <f>IF(L3508="", "", L3508-B3508)</f>
        <v/>
      </c>
      <c r="O3508">
        <f>IF(L3508="", "Pending", IF(N3508&lt;=30, "Met", "Breached"))</f>
        <v/>
      </c>
      <c r="P3508" s="8" t="n"/>
      <c r="Q3508" s="8" t="n"/>
      <c r="R3508" s="8" t="n"/>
      <c r="S3508" s="8" t="n"/>
      <c r="T3508" s="8" t="n"/>
      <c r="U3508" s="8" t="n"/>
      <c r="V3508" s="8" t="n"/>
      <c r="W3508" s="8" t="n"/>
      <c r="X3508" s="8" t="n"/>
      <c r="Y3508" s="8" t="n"/>
    </row>
    <row r="3509">
      <c r="A3509" s="8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9">
        <f>B3509+30</f>
        <v/>
      </c>
      <c r="N3509">
        <f>IF(L3509="", "", L3509-B3509)</f>
        <v/>
      </c>
      <c r="O3509">
        <f>IF(L3509="", "Pending", IF(N3509&lt;=30, "Met", "Breached"))</f>
        <v/>
      </c>
      <c r="P3509" s="8" t="n"/>
      <c r="Q3509" s="8" t="n"/>
      <c r="R3509" s="8" t="n"/>
      <c r="S3509" s="8" t="n"/>
      <c r="T3509" s="8" t="n"/>
      <c r="U3509" s="8" t="n"/>
      <c r="V3509" s="8" t="n"/>
      <c r="W3509" s="8" t="n"/>
      <c r="X3509" s="8" t="n"/>
      <c r="Y3509" s="8" t="n"/>
    </row>
    <row r="3510">
      <c r="A3510" s="8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9">
        <f>B3510+30</f>
        <v/>
      </c>
      <c r="N3510">
        <f>IF(L3510="", "", L3510-B3510)</f>
        <v/>
      </c>
      <c r="O3510">
        <f>IF(L3510="", "Pending", IF(N3510&lt;=30, "Met", "Breached"))</f>
        <v/>
      </c>
      <c r="P3510" s="8" t="n"/>
      <c r="Q3510" s="8" t="n"/>
      <c r="R3510" s="8" t="n"/>
      <c r="S3510" s="8" t="n"/>
      <c r="T3510" s="8" t="n"/>
      <c r="U3510" s="8" t="n"/>
      <c r="V3510" s="8" t="n"/>
      <c r="W3510" s="8" t="n"/>
      <c r="X3510" s="8" t="n"/>
      <c r="Y3510" s="8" t="n"/>
    </row>
    <row r="3511">
      <c r="A3511" s="8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9">
        <f>B3511+30</f>
        <v/>
      </c>
      <c r="N3511">
        <f>IF(L3511="", "", L3511-B3511)</f>
        <v/>
      </c>
      <c r="O3511">
        <f>IF(L3511="", "Pending", IF(N3511&lt;=30, "Met", "Breached"))</f>
        <v/>
      </c>
      <c r="P3511" s="8" t="n"/>
      <c r="Q3511" s="8" t="n"/>
      <c r="R3511" s="8" t="n"/>
      <c r="S3511" s="8" t="n"/>
      <c r="T3511" s="8" t="n"/>
      <c r="U3511" s="8" t="n"/>
      <c r="V3511" s="8" t="n"/>
      <c r="W3511" s="8" t="n"/>
      <c r="X3511" s="8" t="n"/>
      <c r="Y3511" s="8" t="n"/>
    </row>
    <row r="3512">
      <c r="A3512" s="8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9">
        <f>B3512+30</f>
        <v/>
      </c>
      <c r="N3512">
        <f>IF(L3512="", "", L3512-B3512)</f>
        <v/>
      </c>
      <c r="O3512">
        <f>IF(L3512="", "Pending", IF(N3512&lt;=30, "Met", "Breached"))</f>
        <v/>
      </c>
      <c r="P3512" s="8" t="n"/>
      <c r="Q3512" s="8" t="n"/>
      <c r="R3512" s="8" t="n"/>
      <c r="S3512" s="8" t="n"/>
      <c r="T3512" s="8" t="n"/>
      <c r="U3512" s="8" t="n"/>
      <c r="V3512" s="8" t="n"/>
      <c r="W3512" s="8" t="n"/>
      <c r="X3512" s="8" t="n"/>
      <c r="Y3512" s="8" t="n"/>
    </row>
    <row r="3513">
      <c r="A3513" s="8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9">
        <f>B3513+30</f>
        <v/>
      </c>
      <c r="N3513">
        <f>IF(L3513="", "", L3513-B3513)</f>
        <v/>
      </c>
      <c r="O3513">
        <f>IF(L3513="", "Pending", IF(N3513&lt;=30, "Met", "Breached"))</f>
        <v/>
      </c>
      <c r="P3513" s="8" t="n"/>
      <c r="Q3513" s="8" t="n"/>
      <c r="R3513" s="8" t="n"/>
      <c r="S3513" s="8" t="n"/>
      <c r="T3513" s="8" t="n"/>
      <c r="U3513" s="8" t="n"/>
      <c r="V3513" s="8" t="n"/>
      <c r="W3513" s="8" t="n"/>
      <c r="X3513" s="8" t="n"/>
      <c r="Y3513" s="8" t="n"/>
    </row>
    <row r="3514">
      <c r="A3514" s="8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9">
        <f>B3514+30</f>
        <v/>
      </c>
      <c r="N3514">
        <f>IF(L3514="", "", L3514-B3514)</f>
        <v/>
      </c>
      <c r="O3514">
        <f>IF(L3514="", "Pending", IF(N3514&lt;=30, "Met", "Breached"))</f>
        <v/>
      </c>
      <c r="P3514" s="8" t="n"/>
      <c r="Q3514" s="8" t="n"/>
      <c r="R3514" s="8" t="n"/>
      <c r="S3514" s="8" t="n"/>
      <c r="T3514" s="8" t="n"/>
      <c r="U3514" s="8" t="n"/>
      <c r="V3514" s="8" t="n"/>
      <c r="W3514" s="8" t="n"/>
      <c r="X3514" s="8" t="n"/>
      <c r="Y3514" s="8" t="n"/>
    </row>
    <row r="3515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9">
        <f>B3515+30</f>
        <v/>
      </c>
      <c r="N3515">
        <f>IF(L3515="", "", L3515-B3515)</f>
        <v/>
      </c>
      <c r="O3515">
        <f>IF(L3515="", "Pending", IF(N3515&lt;=30, "Met", "Breached"))</f>
        <v/>
      </c>
      <c r="P3515" s="8" t="n"/>
      <c r="Q3515" s="8" t="n"/>
      <c r="R3515" s="8" t="n"/>
      <c r="S3515" s="8" t="n"/>
      <c r="T3515" s="8" t="n"/>
      <c r="U3515" s="8" t="n"/>
      <c r="V3515" s="8" t="n"/>
      <c r="W3515" s="8" t="n"/>
      <c r="X3515" s="8" t="n"/>
      <c r="Y3515" s="8" t="n"/>
    </row>
    <row r="3516">
      <c r="A3516" s="8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9">
        <f>B3516+30</f>
        <v/>
      </c>
      <c r="N3516">
        <f>IF(L3516="", "", L3516-B3516)</f>
        <v/>
      </c>
      <c r="O3516">
        <f>IF(L3516="", "Pending", IF(N3516&lt;=30, "Met", "Breached"))</f>
        <v/>
      </c>
      <c r="P3516" s="8" t="n"/>
      <c r="Q3516" s="8" t="n"/>
      <c r="R3516" s="8" t="n"/>
      <c r="S3516" s="8" t="n"/>
      <c r="T3516" s="8" t="n"/>
      <c r="U3516" s="8" t="n"/>
      <c r="V3516" s="8" t="n"/>
      <c r="W3516" s="8" t="n"/>
      <c r="X3516" s="8" t="n"/>
      <c r="Y3516" s="8" t="n"/>
    </row>
    <row r="3517">
      <c r="A3517" s="8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9">
        <f>B3517+30</f>
        <v/>
      </c>
      <c r="N3517">
        <f>IF(L3517="", "", L3517-B3517)</f>
        <v/>
      </c>
      <c r="O3517">
        <f>IF(L3517="", "Pending", IF(N3517&lt;=30, "Met", "Breached"))</f>
        <v/>
      </c>
      <c r="P3517" s="8" t="n"/>
      <c r="Q3517" s="8" t="n"/>
      <c r="R3517" s="8" t="n"/>
      <c r="S3517" s="8" t="n"/>
      <c r="T3517" s="8" t="n"/>
      <c r="U3517" s="8" t="n"/>
      <c r="V3517" s="8" t="n"/>
      <c r="W3517" s="8" t="n"/>
      <c r="X3517" s="8" t="n"/>
      <c r="Y3517" s="8" t="n"/>
    </row>
    <row r="3518">
      <c r="A3518" s="8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9">
        <f>B3518+30</f>
        <v/>
      </c>
      <c r="N3518">
        <f>IF(L3518="", "", L3518-B3518)</f>
        <v/>
      </c>
      <c r="O3518">
        <f>IF(L3518="", "Pending", IF(N3518&lt;=30, "Met", "Breached"))</f>
        <v/>
      </c>
      <c r="P3518" s="8" t="n"/>
      <c r="Q3518" s="8" t="n"/>
      <c r="R3518" s="8" t="n"/>
      <c r="S3518" s="8" t="n"/>
      <c r="T3518" s="8" t="n"/>
      <c r="U3518" s="8" t="n"/>
      <c r="V3518" s="8" t="n"/>
      <c r="W3518" s="8" t="n"/>
      <c r="X3518" s="8" t="n"/>
      <c r="Y3518" s="8" t="n"/>
    </row>
    <row r="3519">
      <c r="A3519" s="8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9">
        <f>B3519+30</f>
        <v/>
      </c>
      <c r="N3519">
        <f>IF(L3519="", "", L3519-B3519)</f>
        <v/>
      </c>
      <c r="O3519">
        <f>IF(L3519="", "Pending", IF(N3519&lt;=30, "Met", "Breached"))</f>
        <v/>
      </c>
      <c r="P3519" s="8" t="n"/>
      <c r="Q3519" s="8" t="n"/>
      <c r="R3519" s="8" t="n"/>
      <c r="S3519" s="8" t="n"/>
      <c r="T3519" s="8" t="n"/>
      <c r="U3519" s="8" t="n"/>
      <c r="V3519" s="8" t="n"/>
      <c r="W3519" s="8" t="n"/>
      <c r="X3519" s="8" t="n"/>
      <c r="Y3519" s="8" t="n"/>
    </row>
    <row r="3520">
      <c r="A3520" s="8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9">
        <f>B3520+30</f>
        <v/>
      </c>
      <c r="N3520">
        <f>IF(L3520="", "", L3520-B3520)</f>
        <v/>
      </c>
      <c r="O3520">
        <f>IF(L3520="", "Pending", IF(N3520&lt;=30, "Met", "Breached"))</f>
        <v/>
      </c>
      <c r="P3520" s="8" t="n"/>
      <c r="Q3520" s="8" t="n"/>
      <c r="R3520" s="8" t="n"/>
      <c r="S3520" s="8" t="n"/>
      <c r="T3520" s="8" t="n"/>
      <c r="U3520" s="8" t="n"/>
      <c r="V3520" s="8" t="n"/>
      <c r="W3520" s="8" t="n"/>
      <c r="X3520" s="8" t="n"/>
      <c r="Y3520" s="8" t="n"/>
    </row>
    <row r="3521">
      <c r="A3521" s="8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9">
        <f>B3521+30</f>
        <v/>
      </c>
      <c r="N3521">
        <f>IF(L3521="", "", L3521-B3521)</f>
        <v/>
      </c>
      <c r="O3521">
        <f>IF(L3521="", "Pending", IF(N3521&lt;=30, "Met", "Breached"))</f>
        <v/>
      </c>
      <c r="P3521" s="8" t="n"/>
      <c r="Q3521" s="8" t="n"/>
      <c r="R3521" s="8" t="n"/>
      <c r="S3521" s="8" t="n"/>
      <c r="T3521" s="8" t="n"/>
      <c r="U3521" s="8" t="n"/>
      <c r="V3521" s="8" t="n"/>
      <c r="W3521" s="8" t="n"/>
      <c r="X3521" s="8" t="n"/>
      <c r="Y3521" s="8" t="n"/>
    </row>
    <row r="3522">
      <c r="A3522" s="8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9">
        <f>B3522+30</f>
        <v/>
      </c>
      <c r="N3522">
        <f>IF(L3522="", "", L3522-B3522)</f>
        <v/>
      </c>
      <c r="O3522">
        <f>IF(L3522="", "Pending", IF(N3522&lt;=30, "Met", "Breached"))</f>
        <v/>
      </c>
      <c r="P3522" s="8" t="n"/>
      <c r="Q3522" s="8" t="n"/>
      <c r="R3522" s="8" t="n"/>
      <c r="S3522" s="8" t="n"/>
      <c r="T3522" s="8" t="n"/>
      <c r="U3522" s="8" t="n"/>
      <c r="V3522" s="8" t="n"/>
      <c r="W3522" s="8" t="n"/>
      <c r="X3522" s="8" t="n"/>
      <c r="Y3522" s="8" t="n"/>
    </row>
    <row r="3523">
      <c r="A3523" s="8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9">
        <f>B3523+30</f>
        <v/>
      </c>
      <c r="N3523">
        <f>IF(L3523="", "", L3523-B3523)</f>
        <v/>
      </c>
      <c r="O3523">
        <f>IF(L3523="", "Pending", IF(N3523&lt;=30, "Met", "Breached"))</f>
        <v/>
      </c>
      <c r="P3523" s="8" t="n"/>
      <c r="Q3523" s="8" t="n"/>
      <c r="R3523" s="8" t="n"/>
      <c r="S3523" s="8" t="n"/>
      <c r="T3523" s="8" t="n"/>
      <c r="U3523" s="8" t="n"/>
      <c r="V3523" s="8" t="n"/>
      <c r="W3523" s="8" t="n"/>
      <c r="X3523" s="8" t="n"/>
      <c r="Y3523" s="8" t="n"/>
    </row>
    <row r="3524">
      <c r="A3524" s="8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9">
        <f>B3524+30</f>
        <v/>
      </c>
      <c r="N3524">
        <f>IF(L3524="", "", L3524-B3524)</f>
        <v/>
      </c>
      <c r="O3524">
        <f>IF(L3524="", "Pending", IF(N3524&lt;=30, "Met", "Breached"))</f>
        <v/>
      </c>
      <c r="P3524" s="8" t="n"/>
      <c r="Q3524" s="8" t="n"/>
      <c r="R3524" s="8" t="n"/>
      <c r="S3524" s="8" t="n"/>
      <c r="T3524" s="8" t="n"/>
      <c r="U3524" s="8" t="n"/>
      <c r="V3524" s="8" t="n"/>
      <c r="W3524" s="8" t="n"/>
      <c r="X3524" s="8" t="n"/>
      <c r="Y3524" s="8" t="n"/>
    </row>
    <row r="3525">
      <c r="A3525" s="8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9">
        <f>B3525+30</f>
        <v/>
      </c>
      <c r="N3525">
        <f>IF(L3525="", "", L3525-B3525)</f>
        <v/>
      </c>
      <c r="O3525">
        <f>IF(L3525="", "Pending", IF(N3525&lt;=30, "Met", "Breached"))</f>
        <v/>
      </c>
      <c r="P3525" s="8" t="n"/>
      <c r="Q3525" s="8" t="n"/>
      <c r="R3525" s="8" t="n"/>
      <c r="S3525" s="8" t="n"/>
      <c r="T3525" s="8" t="n"/>
      <c r="U3525" s="8" t="n"/>
      <c r="V3525" s="8" t="n"/>
      <c r="W3525" s="8" t="n"/>
      <c r="X3525" s="8" t="n"/>
      <c r="Y3525" s="8" t="n"/>
    </row>
    <row r="3526">
      <c r="A3526" s="8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9">
        <f>B3526+30</f>
        <v/>
      </c>
      <c r="N3526">
        <f>IF(L3526="", "", L3526-B3526)</f>
        <v/>
      </c>
      <c r="O3526">
        <f>IF(L3526="", "Pending", IF(N3526&lt;=30, "Met", "Breached"))</f>
        <v/>
      </c>
      <c r="P3526" s="8" t="n"/>
      <c r="Q3526" s="8" t="n"/>
      <c r="R3526" s="8" t="n"/>
      <c r="S3526" s="8" t="n"/>
      <c r="T3526" s="8" t="n"/>
      <c r="U3526" s="8" t="n"/>
      <c r="V3526" s="8" t="n"/>
      <c r="W3526" s="8" t="n"/>
      <c r="X3526" s="8" t="n"/>
      <c r="Y3526" s="8" t="n"/>
    </row>
    <row r="3527">
      <c r="A3527" s="8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9">
        <f>B3527+30</f>
        <v/>
      </c>
      <c r="N3527">
        <f>IF(L3527="", "", L3527-B3527)</f>
        <v/>
      </c>
      <c r="O3527">
        <f>IF(L3527="", "Pending", IF(N3527&lt;=30, "Met", "Breached"))</f>
        <v/>
      </c>
      <c r="P3527" s="8" t="n"/>
      <c r="Q3527" s="8" t="n"/>
      <c r="R3527" s="8" t="n"/>
      <c r="S3527" s="8" t="n"/>
      <c r="T3527" s="8" t="n"/>
      <c r="U3527" s="8" t="n"/>
      <c r="V3527" s="8" t="n"/>
      <c r="W3527" s="8" t="n"/>
      <c r="X3527" s="8" t="n"/>
      <c r="Y3527" s="8" t="n"/>
    </row>
    <row r="3528">
      <c r="A3528" s="8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9">
        <f>B3528+30</f>
        <v/>
      </c>
      <c r="N3528">
        <f>IF(L3528="", "", L3528-B3528)</f>
        <v/>
      </c>
      <c r="O3528">
        <f>IF(L3528="", "Pending", IF(N3528&lt;=30, "Met", "Breached"))</f>
        <v/>
      </c>
      <c r="P3528" s="8" t="n"/>
      <c r="Q3528" s="8" t="n"/>
      <c r="R3528" s="8" t="n"/>
      <c r="S3528" s="8" t="n"/>
      <c r="T3528" s="8" t="n"/>
      <c r="U3528" s="8" t="n"/>
      <c r="V3528" s="8" t="n"/>
      <c r="W3528" s="8" t="n"/>
      <c r="X3528" s="8" t="n"/>
      <c r="Y3528" s="8" t="n"/>
    </row>
    <row r="3529">
      <c r="A3529" s="8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9">
        <f>B3529+30</f>
        <v/>
      </c>
      <c r="N3529">
        <f>IF(L3529="", "", L3529-B3529)</f>
        <v/>
      </c>
      <c r="O3529">
        <f>IF(L3529="", "Pending", IF(N3529&lt;=30, "Met", "Breached"))</f>
        <v/>
      </c>
      <c r="P3529" s="8" t="n"/>
      <c r="Q3529" s="8" t="n"/>
      <c r="R3529" s="8" t="n"/>
      <c r="S3529" s="8" t="n"/>
      <c r="T3529" s="8" t="n"/>
      <c r="U3529" s="8" t="n"/>
      <c r="V3529" s="8" t="n"/>
      <c r="W3529" s="8" t="n"/>
      <c r="X3529" s="8" t="n"/>
      <c r="Y3529" s="8" t="n"/>
    </row>
    <row r="3530">
      <c r="A3530" s="8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9">
        <f>B3530+30</f>
        <v/>
      </c>
      <c r="N3530">
        <f>IF(L3530="", "", L3530-B3530)</f>
        <v/>
      </c>
      <c r="O3530">
        <f>IF(L3530="", "Pending", IF(N3530&lt;=30, "Met", "Breached"))</f>
        <v/>
      </c>
      <c r="P3530" s="8" t="n"/>
      <c r="Q3530" s="8" t="n"/>
      <c r="R3530" s="8" t="n"/>
      <c r="S3530" s="8" t="n"/>
      <c r="T3530" s="8" t="n"/>
      <c r="U3530" s="8" t="n"/>
      <c r="V3530" s="8" t="n"/>
      <c r="W3530" s="8" t="n"/>
      <c r="X3530" s="8" t="n"/>
      <c r="Y3530" s="8" t="n"/>
    </row>
    <row r="3531">
      <c r="A3531" s="8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9">
        <f>B3531+30</f>
        <v/>
      </c>
      <c r="N3531">
        <f>IF(L3531="", "", L3531-B3531)</f>
        <v/>
      </c>
      <c r="O3531">
        <f>IF(L3531="", "Pending", IF(N3531&lt;=30, "Met", "Breached"))</f>
        <v/>
      </c>
      <c r="P3531" s="8" t="n"/>
      <c r="Q3531" s="8" t="n"/>
      <c r="R3531" s="8" t="n"/>
      <c r="S3531" s="8" t="n"/>
      <c r="T3531" s="8" t="n"/>
      <c r="U3531" s="8" t="n"/>
      <c r="V3531" s="8" t="n"/>
      <c r="W3531" s="8" t="n"/>
      <c r="X3531" s="8" t="n"/>
      <c r="Y3531" s="8" t="n"/>
    </row>
    <row r="3532">
      <c r="A3532" s="8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9">
        <f>B3532+30</f>
        <v/>
      </c>
      <c r="N3532">
        <f>IF(L3532="", "", L3532-B3532)</f>
        <v/>
      </c>
      <c r="O3532">
        <f>IF(L3532="", "Pending", IF(N3532&lt;=30, "Met", "Breached"))</f>
        <v/>
      </c>
      <c r="P3532" s="8" t="n"/>
      <c r="Q3532" s="8" t="n"/>
      <c r="R3532" s="8" t="n"/>
      <c r="S3532" s="8" t="n"/>
      <c r="T3532" s="8" t="n"/>
      <c r="U3532" s="8" t="n"/>
      <c r="V3532" s="8" t="n"/>
      <c r="W3532" s="8" t="n"/>
      <c r="X3532" s="8" t="n"/>
      <c r="Y3532" s="8" t="n"/>
    </row>
    <row r="3533">
      <c r="A3533" s="8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9">
        <f>B3533+30</f>
        <v/>
      </c>
      <c r="N3533">
        <f>IF(L3533="", "", L3533-B3533)</f>
        <v/>
      </c>
      <c r="O3533">
        <f>IF(L3533="", "Pending", IF(N3533&lt;=30, "Met", "Breached"))</f>
        <v/>
      </c>
      <c r="P3533" s="8" t="n"/>
      <c r="Q3533" s="8" t="n"/>
      <c r="R3533" s="8" t="n"/>
      <c r="S3533" s="8" t="n"/>
      <c r="T3533" s="8" t="n"/>
      <c r="U3533" s="8" t="n"/>
      <c r="V3533" s="8" t="n"/>
      <c r="W3533" s="8" t="n"/>
      <c r="X3533" s="8" t="n"/>
      <c r="Y3533" s="8" t="n"/>
    </row>
    <row r="3534">
      <c r="A3534" s="8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9">
        <f>B3534+30</f>
        <v/>
      </c>
      <c r="N3534">
        <f>IF(L3534="", "", L3534-B3534)</f>
        <v/>
      </c>
      <c r="O3534">
        <f>IF(L3534="", "Pending", IF(N3534&lt;=30, "Met", "Breached"))</f>
        <v/>
      </c>
      <c r="P3534" s="8" t="n"/>
      <c r="Q3534" s="8" t="n"/>
      <c r="R3534" s="8" t="n"/>
      <c r="S3534" s="8" t="n"/>
      <c r="T3534" s="8" t="n"/>
      <c r="U3534" s="8" t="n"/>
      <c r="V3534" s="8" t="n"/>
      <c r="W3534" s="8" t="n"/>
      <c r="X3534" s="8" t="n"/>
      <c r="Y3534" s="8" t="n"/>
    </row>
    <row r="3535">
      <c r="A3535" s="8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9">
        <f>B3535+30</f>
        <v/>
      </c>
      <c r="N3535">
        <f>IF(L3535="", "", L3535-B3535)</f>
        <v/>
      </c>
      <c r="O3535">
        <f>IF(L3535="", "Pending", IF(N3535&lt;=30, "Met", "Breached"))</f>
        <v/>
      </c>
      <c r="P3535" s="8" t="n"/>
      <c r="Q3535" s="8" t="n"/>
      <c r="R3535" s="8" t="n"/>
      <c r="S3535" s="8" t="n"/>
      <c r="T3535" s="8" t="n"/>
      <c r="U3535" s="8" t="n"/>
      <c r="V3535" s="8" t="n"/>
      <c r="W3535" s="8" t="n"/>
      <c r="X3535" s="8" t="n"/>
      <c r="Y3535" s="8" t="n"/>
    </row>
    <row r="3536">
      <c r="A3536" s="8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9">
        <f>B3536+30</f>
        <v/>
      </c>
      <c r="N3536">
        <f>IF(L3536="", "", L3536-B3536)</f>
        <v/>
      </c>
      <c r="O3536">
        <f>IF(L3536="", "Pending", IF(N3536&lt;=30, "Met", "Breached"))</f>
        <v/>
      </c>
      <c r="P3536" s="8" t="n"/>
      <c r="Q3536" s="8" t="n"/>
      <c r="R3536" s="8" t="n"/>
      <c r="S3536" s="8" t="n"/>
      <c r="T3536" s="8" t="n"/>
      <c r="U3536" s="8" t="n"/>
      <c r="V3536" s="8" t="n"/>
      <c r="W3536" s="8" t="n"/>
      <c r="X3536" s="8" t="n"/>
      <c r="Y3536" s="8" t="n"/>
    </row>
    <row r="3537">
      <c r="A3537" s="8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9">
        <f>B3537+30</f>
        <v/>
      </c>
      <c r="N3537">
        <f>IF(L3537="", "", L3537-B3537)</f>
        <v/>
      </c>
      <c r="O3537">
        <f>IF(L3537="", "Pending", IF(N3537&lt;=30, "Met", "Breached"))</f>
        <v/>
      </c>
      <c r="P3537" s="8" t="n"/>
      <c r="Q3537" s="8" t="n"/>
      <c r="R3537" s="8" t="n"/>
      <c r="S3537" s="8" t="n"/>
      <c r="T3537" s="8" t="n"/>
      <c r="U3537" s="8" t="n"/>
      <c r="V3537" s="8" t="n"/>
      <c r="W3537" s="8" t="n"/>
      <c r="X3537" s="8" t="n"/>
      <c r="Y3537" s="8" t="n"/>
    </row>
    <row r="3538">
      <c r="A3538" s="8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9">
        <f>B3538+30</f>
        <v/>
      </c>
      <c r="N3538">
        <f>IF(L3538="", "", L3538-B3538)</f>
        <v/>
      </c>
      <c r="O3538">
        <f>IF(L3538="", "Pending", IF(N3538&lt;=30, "Met", "Breached"))</f>
        <v/>
      </c>
      <c r="P3538" s="8" t="n"/>
      <c r="Q3538" s="8" t="n"/>
      <c r="R3538" s="8" t="n"/>
      <c r="S3538" s="8" t="n"/>
      <c r="T3538" s="8" t="n"/>
      <c r="U3538" s="8" t="n"/>
      <c r="V3538" s="8" t="n"/>
      <c r="W3538" s="8" t="n"/>
      <c r="X3538" s="8" t="n"/>
      <c r="Y3538" s="8" t="n"/>
    </row>
    <row r="3539">
      <c r="A3539" s="8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9">
        <f>B3539+30</f>
        <v/>
      </c>
      <c r="N3539">
        <f>IF(L3539="", "", L3539-B3539)</f>
        <v/>
      </c>
      <c r="O3539">
        <f>IF(L3539="", "Pending", IF(N3539&lt;=30, "Met", "Breached"))</f>
        <v/>
      </c>
      <c r="P3539" s="8" t="n"/>
      <c r="Q3539" s="8" t="n"/>
      <c r="R3539" s="8" t="n"/>
      <c r="S3539" s="8" t="n"/>
      <c r="T3539" s="8" t="n"/>
      <c r="U3539" s="8" t="n"/>
      <c r="V3539" s="8" t="n"/>
      <c r="W3539" s="8" t="n"/>
      <c r="X3539" s="8" t="n"/>
      <c r="Y3539" s="8" t="n"/>
    </row>
    <row r="3540">
      <c r="A3540" s="8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9">
        <f>B3540+30</f>
        <v/>
      </c>
      <c r="N3540">
        <f>IF(L3540="", "", L3540-B3540)</f>
        <v/>
      </c>
      <c r="O3540">
        <f>IF(L3540="", "Pending", IF(N3540&lt;=30, "Met", "Breached"))</f>
        <v/>
      </c>
      <c r="P3540" s="8" t="n"/>
      <c r="Q3540" s="8" t="n"/>
      <c r="R3540" s="8" t="n"/>
      <c r="S3540" s="8" t="n"/>
      <c r="T3540" s="8" t="n"/>
      <c r="U3540" s="8" t="n"/>
      <c r="V3540" s="8" t="n"/>
      <c r="W3540" s="8" t="n"/>
      <c r="X3540" s="8" t="n"/>
      <c r="Y3540" s="8" t="n"/>
    </row>
    <row r="3541">
      <c r="A3541" s="8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9">
        <f>B3541+30</f>
        <v/>
      </c>
      <c r="N3541">
        <f>IF(L3541="", "", L3541-B3541)</f>
        <v/>
      </c>
      <c r="O3541">
        <f>IF(L3541="", "Pending", IF(N3541&lt;=30, "Met", "Breached"))</f>
        <v/>
      </c>
      <c r="P3541" s="8" t="n"/>
      <c r="Q3541" s="8" t="n"/>
      <c r="R3541" s="8" t="n"/>
      <c r="S3541" s="8" t="n"/>
      <c r="T3541" s="8" t="n"/>
      <c r="U3541" s="8" t="n"/>
      <c r="V3541" s="8" t="n"/>
      <c r="W3541" s="8" t="n"/>
      <c r="X3541" s="8" t="n"/>
      <c r="Y3541" s="8" t="n"/>
    </row>
    <row r="3542">
      <c r="A3542" s="8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9">
        <f>B3542+30</f>
        <v/>
      </c>
      <c r="N3542">
        <f>IF(L3542="", "", L3542-B3542)</f>
        <v/>
      </c>
      <c r="O3542">
        <f>IF(L3542="", "Pending", IF(N3542&lt;=30, "Met", "Breached"))</f>
        <v/>
      </c>
      <c r="P3542" s="8" t="n"/>
      <c r="Q3542" s="8" t="n"/>
      <c r="R3542" s="8" t="n"/>
      <c r="S3542" s="8" t="n"/>
      <c r="T3542" s="8" t="n"/>
      <c r="U3542" s="8" t="n"/>
      <c r="V3542" s="8" t="n"/>
      <c r="W3542" s="8" t="n"/>
      <c r="X3542" s="8" t="n"/>
      <c r="Y3542" s="8" t="n"/>
    </row>
    <row r="3543">
      <c r="A3543" s="8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9">
        <f>B3543+30</f>
        <v/>
      </c>
      <c r="N3543">
        <f>IF(L3543="", "", L3543-B3543)</f>
        <v/>
      </c>
      <c r="O3543">
        <f>IF(L3543="", "Pending", IF(N3543&lt;=30, "Met", "Breached"))</f>
        <v/>
      </c>
      <c r="P3543" s="8" t="n"/>
      <c r="Q3543" s="8" t="n"/>
      <c r="R3543" s="8" t="n"/>
      <c r="S3543" s="8" t="n"/>
      <c r="T3543" s="8" t="n"/>
      <c r="U3543" s="8" t="n"/>
      <c r="V3543" s="8" t="n"/>
      <c r="W3543" s="8" t="n"/>
      <c r="X3543" s="8" t="n"/>
      <c r="Y3543" s="8" t="n"/>
    </row>
    <row r="3544">
      <c r="A3544" s="8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9">
        <f>B3544+30</f>
        <v/>
      </c>
      <c r="N3544">
        <f>IF(L3544="", "", L3544-B3544)</f>
        <v/>
      </c>
      <c r="O3544">
        <f>IF(L3544="", "Pending", IF(N3544&lt;=30, "Met", "Breached"))</f>
        <v/>
      </c>
      <c r="P3544" s="8" t="n"/>
      <c r="Q3544" s="8" t="n"/>
      <c r="R3544" s="8" t="n"/>
      <c r="S3544" s="8" t="n"/>
      <c r="T3544" s="8" t="n"/>
      <c r="U3544" s="8" t="n"/>
      <c r="V3544" s="8" t="n"/>
      <c r="W3544" s="8" t="n"/>
      <c r="X3544" s="8" t="n"/>
      <c r="Y3544" s="8" t="n"/>
    </row>
    <row r="3545">
      <c r="A3545" s="8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9">
        <f>B3545+30</f>
        <v/>
      </c>
      <c r="N3545">
        <f>IF(L3545="", "", L3545-B3545)</f>
        <v/>
      </c>
      <c r="O3545">
        <f>IF(L3545="", "Pending", IF(N3545&lt;=30, "Met", "Breached"))</f>
        <v/>
      </c>
      <c r="P3545" s="8" t="n"/>
      <c r="Q3545" s="8" t="n"/>
      <c r="R3545" s="8" t="n"/>
      <c r="S3545" s="8" t="n"/>
      <c r="T3545" s="8" t="n"/>
      <c r="U3545" s="8" t="n"/>
      <c r="V3545" s="8" t="n"/>
      <c r="W3545" s="8" t="n"/>
      <c r="X3545" s="8" t="n"/>
      <c r="Y3545" s="8" t="n"/>
    </row>
    <row r="3546">
      <c r="A3546" s="8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9">
        <f>B3546+30</f>
        <v/>
      </c>
      <c r="N3546">
        <f>IF(L3546="", "", L3546-B3546)</f>
        <v/>
      </c>
      <c r="O3546">
        <f>IF(L3546="", "Pending", IF(N3546&lt;=30, "Met", "Breached"))</f>
        <v/>
      </c>
      <c r="P3546" s="8" t="n"/>
      <c r="Q3546" s="8" t="n"/>
      <c r="R3546" s="8" t="n"/>
      <c r="S3546" s="8" t="n"/>
      <c r="T3546" s="8" t="n"/>
      <c r="U3546" s="8" t="n"/>
      <c r="V3546" s="8" t="n"/>
      <c r="W3546" s="8" t="n"/>
      <c r="X3546" s="8" t="n"/>
      <c r="Y3546" s="8" t="n"/>
    </row>
    <row r="3547">
      <c r="A3547" s="8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9">
        <f>B3547+30</f>
        <v/>
      </c>
      <c r="N3547">
        <f>IF(L3547="", "", L3547-B3547)</f>
        <v/>
      </c>
      <c r="O3547">
        <f>IF(L3547="", "Pending", IF(N3547&lt;=30, "Met", "Breached"))</f>
        <v/>
      </c>
      <c r="P3547" s="8" t="n"/>
      <c r="Q3547" s="8" t="n"/>
      <c r="R3547" s="8" t="n"/>
      <c r="S3547" s="8" t="n"/>
      <c r="T3547" s="8" t="n"/>
      <c r="U3547" s="8" t="n"/>
      <c r="V3547" s="8" t="n"/>
      <c r="W3547" s="8" t="n"/>
      <c r="X3547" s="8" t="n"/>
      <c r="Y3547" s="8" t="n"/>
    </row>
    <row r="3548">
      <c r="A3548" s="8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9">
        <f>B3548+30</f>
        <v/>
      </c>
      <c r="N3548">
        <f>IF(L3548="", "", L3548-B3548)</f>
        <v/>
      </c>
      <c r="O3548">
        <f>IF(L3548="", "Pending", IF(N3548&lt;=30, "Met", "Breached"))</f>
        <v/>
      </c>
      <c r="P3548" s="8" t="n"/>
      <c r="Q3548" s="8" t="n"/>
      <c r="R3548" s="8" t="n"/>
      <c r="S3548" s="8" t="n"/>
      <c r="T3548" s="8" t="n"/>
      <c r="U3548" s="8" t="n"/>
      <c r="V3548" s="8" t="n"/>
      <c r="W3548" s="8" t="n"/>
      <c r="X3548" s="8" t="n"/>
      <c r="Y3548" s="8" t="n"/>
    </row>
    <row r="3549">
      <c r="A3549" s="8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9">
        <f>B3549+30</f>
        <v/>
      </c>
      <c r="N3549">
        <f>IF(L3549="", "", L3549-B3549)</f>
        <v/>
      </c>
      <c r="O3549">
        <f>IF(L3549="", "Pending", IF(N3549&lt;=30, "Met", "Breached"))</f>
        <v/>
      </c>
      <c r="P3549" s="8" t="n"/>
      <c r="Q3549" s="8" t="n"/>
      <c r="R3549" s="8" t="n"/>
      <c r="S3549" s="8" t="n"/>
      <c r="T3549" s="8" t="n"/>
      <c r="U3549" s="8" t="n"/>
      <c r="V3549" s="8" t="n"/>
      <c r="W3549" s="8" t="n"/>
      <c r="X3549" s="8" t="n"/>
      <c r="Y3549" s="8" t="n"/>
    </row>
    <row r="3550">
      <c r="A3550" s="8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9">
        <f>B3550+30</f>
        <v/>
      </c>
      <c r="N3550">
        <f>IF(L3550="", "", L3550-B3550)</f>
        <v/>
      </c>
      <c r="O3550">
        <f>IF(L3550="", "Pending", IF(N3550&lt;=30, "Met", "Breached"))</f>
        <v/>
      </c>
      <c r="P3550" s="8" t="n"/>
      <c r="Q3550" s="8" t="n"/>
      <c r="R3550" s="8" t="n"/>
      <c r="S3550" s="8" t="n"/>
      <c r="T3550" s="8" t="n"/>
      <c r="U3550" s="8" t="n"/>
      <c r="V3550" s="8" t="n"/>
      <c r="W3550" s="8" t="n"/>
      <c r="X3550" s="8" t="n"/>
      <c r="Y3550" s="8" t="n"/>
    </row>
    <row r="3551">
      <c r="A3551" s="8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9">
        <f>B3551+30</f>
        <v/>
      </c>
      <c r="N3551">
        <f>IF(L3551="", "", L3551-B3551)</f>
        <v/>
      </c>
      <c r="O3551">
        <f>IF(L3551="", "Pending", IF(N3551&lt;=30, "Met", "Breached"))</f>
        <v/>
      </c>
      <c r="P3551" s="8" t="n"/>
      <c r="Q3551" s="8" t="n"/>
      <c r="R3551" s="8" t="n"/>
      <c r="S3551" s="8" t="n"/>
      <c r="T3551" s="8" t="n"/>
      <c r="U3551" s="8" t="n"/>
      <c r="V3551" s="8" t="n"/>
      <c r="W3551" s="8" t="n"/>
      <c r="X3551" s="8" t="n"/>
      <c r="Y3551" s="8" t="n"/>
    </row>
    <row r="3552">
      <c r="A3552" s="8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9">
        <f>B3552+30</f>
        <v/>
      </c>
      <c r="N3552">
        <f>IF(L3552="", "", L3552-B3552)</f>
        <v/>
      </c>
      <c r="O3552">
        <f>IF(L3552="", "Pending", IF(N3552&lt;=30, "Met", "Breached"))</f>
        <v/>
      </c>
      <c r="P3552" s="8" t="n"/>
      <c r="Q3552" s="8" t="n"/>
      <c r="R3552" s="8" t="n"/>
      <c r="S3552" s="8" t="n"/>
      <c r="T3552" s="8" t="n"/>
      <c r="U3552" s="8" t="n"/>
      <c r="V3552" s="8" t="n"/>
      <c r="W3552" s="8" t="n"/>
      <c r="X3552" s="8" t="n"/>
      <c r="Y3552" s="8" t="n"/>
    </row>
    <row r="3553">
      <c r="A3553" s="8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9">
        <f>B3553+30</f>
        <v/>
      </c>
      <c r="N3553">
        <f>IF(L3553="", "", L3553-B3553)</f>
        <v/>
      </c>
      <c r="O3553">
        <f>IF(L3553="", "Pending", IF(N3553&lt;=30, "Met", "Breached"))</f>
        <v/>
      </c>
      <c r="P3553" s="8" t="n"/>
      <c r="Q3553" s="8" t="n"/>
      <c r="R3553" s="8" t="n"/>
      <c r="S3553" s="8" t="n"/>
      <c r="T3553" s="8" t="n"/>
      <c r="U3553" s="8" t="n"/>
      <c r="V3553" s="8" t="n"/>
      <c r="W3553" s="8" t="n"/>
      <c r="X3553" s="8" t="n"/>
      <c r="Y3553" s="8" t="n"/>
    </row>
    <row r="3554">
      <c r="A3554" s="8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9">
        <f>B3554+30</f>
        <v/>
      </c>
      <c r="N3554">
        <f>IF(L3554="", "", L3554-B3554)</f>
        <v/>
      </c>
      <c r="O3554">
        <f>IF(L3554="", "Pending", IF(N3554&lt;=30, "Met", "Breached"))</f>
        <v/>
      </c>
      <c r="P3554" s="8" t="n"/>
      <c r="Q3554" s="8" t="n"/>
      <c r="R3554" s="8" t="n"/>
      <c r="S3554" s="8" t="n"/>
      <c r="T3554" s="8" t="n"/>
      <c r="U3554" s="8" t="n"/>
      <c r="V3554" s="8" t="n"/>
      <c r="W3554" s="8" t="n"/>
      <c r="X3554" s="8" t="n"/>
      <c r="Y3554" s="8" t="n"/>
    </row>
    <row r="3555">
      <c r="A3555" s="8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9">
        <f>B3555+30</f>
        <v/>
      </c>
      <c r="N3555">
        <f>IF(L3555="", "", L3555-B3555)</f>
        <v/>
      </c>
      <c r="O3555">
        <f>IF(L3555="", "Pending", IF(N3555&lt;=30, "Met", "Breached"))</f>
        <v/>
      </c>
      <c r="P3555" s="8" t="n"/>
      <c r="Q3555" s="8" t="n"/>
      <c r="R3555" s="8" t="n"/>
      <c r="S3555" s="8" t="n"/>
      <c r="T3555" s="8" t="n"/>
      <c r="U3555" s="8" t="n"/>
      <c r="V3555" s="8" t="n"/>
      <c r="W3555" s="8" t="n"/>
      <c r="X3555" s="8" t="n"/>
      <c r="Y3555" s="8" t="n"/>
    </row>
    <row r="3556">
      <c r="A3556" s="8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9">
        <f>B3556+30</f>
        <v/>
      </c>
      <c r="N3556">
        <f>IF(L3556="", "", L3556-B3556)</f>
        <v/>
      </c>
      <c r="O3556">
        <f>IF(L3556="", "Pending", IF(N3556&lt;=30, "Met", "Breached"))</f>
        <v/>
      </c>
      <c r="P3556" s="8" t="n"/>
      <c r="Q3556" s="8" t="n"/>
      <c r="R3556" s="8" t="n"/>
      <c r="S3556" s="8" t="n"/>
      <c r="T3556" s="8" t="n"/>
      <c r="U3556" s="8" t="n"/>
      <c r="V3556" s="8" t="n"/>
      <c r="W3556" s="8" t="n"/>
      <c r="X3556" s="8" t="n"/>
      <c r="Y3556" s="8" t="n"/>
    </row>
    <row r="3557">
      <c r="A3557" s="8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9">
        <f>B3557+30</f>
        <v/>
      </c>
      <c r="N3557">
        <f>IF(L3557="", "", L3557-B3557)</f>
        <v/>
      </c>
      <c r="O3557">
        <f>IF(L3557="", "Pending", IF(N3557&lt;=30, "Met", "Breached"))</f>
        <v/>
      </c>
      <c r="P3557" s="8" t="n"/>
      <c r="Q3557" s="8" t="n"/>
      <c r="R3557" s="8" t="n"/>
      <c r="S3557" s="8" t="n"/>
      <c r="T3557" s="8" t="n"/>
      <c r="U3557" s="8" t="n"/>
      <c r="V3557" s="8" t="n"/>
      <c r="W3557" s="8" t="n"/>
      <c r="X3557" s="8" t="n"/>
      <c r="Y3557" s="8" t="n"/>
    </row>
    <row r="3558">
      <c r="A3558" s="8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9">
        <f>B3558+30</f>
        <v/>
      </c>
      <c r="N3558">
        <f>IF(L3558="", "", L3558-B3558)</f>
        <v/>
      </c>
      <c r="O3558">
        <f>IF(L3558="", "Pending", IF(N3558&lt;=30, "Met", "Breached"))</f>
        <v/>
      </c>
      <c r="P3558" s="8" t="n"/>
      <c r="Q3558" s="8" t="n"/>
      <c r="R3558" s="8" t="n"/>
      <c r="S3558" s="8" t="n"/>
      <c r="T3558" s="8" t="n"/>
      <c r="U3558" s="8" t="n"/>
      <c r="V3558" s="8" t="n"/>
      <c r="W3558" s="8" t="n"/>
      <c r="X3558" s="8" t="n"/>
      <c r="Y3558" s="8" t="n"/>
    </row>
    <row r="3559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9">
        <f>B3559+30</f>
        <v/>
      </c>
      <c r="N3559">
        <f>IF(L3559="", "", L3559-B3559)</f>
        <v/>
      </c>
      <c r="O3559">
        <f>IF(L3559="", "Pending", IF(N3559&lt;=30, "Met", "Breached"))</f>
        <v/>
      </c>
      <c r="P3559" s="8" t="n"/>
      <c r="Q3559" s="8" t="n"/>
      <c r="R3559" s="8" t="n"/>
      <c r="S3559" s="8" t="n"/>
      <c r="T3559" s="8" t="n"/>
      <c r="U3559" s="8" t="n"/>
      <c r="V3559" s="8" t="n"/>
      <c r="W3559" s="8" t="n"/>
      <c r="X3559" s="8" t="n"/>
      <c r="Y3559" s="8" t="n"/>
    </row>
    <row r="3560">
      <c r="A3560" s="8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9">
        <f>B3560+30</f>
        <v/>
      </c>
      <c r="N3560">
        <f>IF(L3560="", "", L3560-B3560)</f>
        <v/>
      </c>
      <c r="O3560">
        <f>IF(L3560="", "Pending", IF(N3560&lt;=30, "Met", "Breached"))</f>
        <v/>
      </c>
      <c r="P3560" s="8" t="n"/>
      <c r="Q3560" s="8" t="n"/>
      <c r="R3560" s="8" t="n"/>
      <c r="S3560" s="8" t="n"/>
      <c r="T3560" s="8" t="n"/>
      <c r="U3560" s="8" t="n"/>
      <c r="V3560" s="8" t="n"/>
      <c r="W3560" s="8" t="n"/>
      <c r="X3560" s="8" t="n"/>
      <c r="Y3560" s="8" t="n"/>
    </row>
    <row r="3561">
      <c r="A3561" s="8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9">
        <f>B3561+30</f>
        <v/>
      </c>
      <c r="N3561">
        <f>IF(L3561="", "", L3561-B3561)</f>
        <v/>
      </c>
      <c r="O3561">
        <f>IF(L3561="", "Pending", IF(N3561&lt;=30, "Met", "Breached"))</f>
        <v/>
      </c>
      <c r="P3561" s="8" t="n"/>
      <c r="Q3561" s="8" t="n"/>
      <c r="R3561" s="8" t="n"/>
      <c r="S3561" s="8" t="n"/>
      <c r="T3561" s="8" t="n"/>
      <c r="U3561" s="8" t="n"/>
      <c r="V3561" s="8" t="n"/>
      <c r="W3561" s="8" t="n"/>
      <c r="X3561" s="8" t="n"/>
      <c r="Y3561" s="8" t="n"/>
    </row>
    <row r="3562">
      <c r="A3562" s="8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9">
        <f>B3562+30</f>
        <v/>
      </c>
      <c r="N3562">
        <f>IF(L3562="", "", L3562-B3562)</f>
        <v/>
      </c>
      <c r="O3562">
        <f>IF(L3562="", "Pending", IF(N3562&lt;=30, "Met", "Breached"))</f>
        <v/>
      </c>
      <c r="P3562" s="8" t="n"/>
      <c r="Q3562" s="8" t="n"/>
      <c r="R3562" s="8" t="n"/>
      <c r="S3562" s="8" t="n"/>
      <c r="T3562" s="8" t="n"/>
      <c r="U3562" s="8" t="n"/>
      <c r="V3562" s="8" t="n"/>
      <c r="W3562" s="8" t="n"/>
      <c r="X3562" s="8" t="n"/>
      <c r="Y3562" s="8" t="n"/>
    </row>
    <row r="3563">
      <c r="A3563" s="8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9">
        <f>B3563+30</f>
        <v/>
      </c>
      <c r="N3563">
        <f>IF(L3563="", "", L3563-B3563)</f>
        <v/>
      </c>
      <c r="O3563">
        <f>IF(L3563="", "Pending", IF(N3563&lt;=30, "Met", "Breached"))</f>
        <v/>
      </c>
      <c r="P3563" s="8" t="n"/>
      <c r="Q3563" s="8" t="n"/>
      <c r="R3563" s="8" t="n"/>
      <c r="S3563" s="8" t="n"/>
      <c r="T3563" s="8" t="n"/>
      <c r="U3563" s="8" t="n"/>
      <c r="V3563" s="8" t="n"/>
      <c r="W3563" s="8" t="n"/>
      <c r="X3563" s="8" t="n"/>
      <c r="Y3563" s="8" t="n"/>
    </row>
    <row r="3564">
      <c r="A3564" s="8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9">
        <f>B3564+30</f>
        <v/>
      </c>
      <c r="N3564">
        <f>IF(L3564="", "", L3564-B3564)</f>
        <v/>
      </c>
      <c r="O3564">
        <f>IF(L3564="", "Pending", IF(N3564&lt;=30, "Met", "Breached"))</f>
        <v/>
      </c>
      <c r="P3564" s="8" t="n"/>
      <c r="Q3564" s="8" t="n"/>
      <c r="R3564" s="8" t="n"/>
      <c r="S3564" s="8" t="n"/>
      <c r="T3564" s="8" t="n"/>
      <c r="U3564" s="8" t="n"/>
      <c r="V3564" s="8" t="n"/>
      <c r="W3564" s="8" t="n"/>
      <c r="X3564" s="8" t="n"/>
      <c r="Y3564" s="8" t="n"/>
    </row>
    <row r="3565">
      <c r="A3565" s="8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9">
        <f>B3565+30</f>
        <v/>
      </c>
      <c r="N3565">
        <f>IF(L3565="", "", L3565-B3565)</f>
        <v/>
      </c>
      <c r="O3565">
        <f>IF(L3565="", "Pending", IF(N3565&lt;=30, "Met", "Breached"))</f>
        <v/>
      </c>
      <c r="P3565" s="8" t="n"/>
      <c r="Q3565" s="8" t="n"/>
      <c r="R3565" s="8" t="n"/>
      <c r="S3565" s="8" t="n"/>
      <c r="T3565" s="8" t="n"/>
      <c r="U3565" s="8" t="n"/>
      <c r="V3565" s="8" t="n"/>
      <c r="W3565" s="8" t="n"/>
      <c r="X3565" s="8" t="n"/>
      <c r="Y3565" s="8" t="n"/>
    </row>
    <row r="3566">
      <c r="A3566" s="8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9">
        <f>B3566+30</f>
        <v/>
      </c>
      <c r="N3566">
        <f>IF(L3566="", "", L3566-B3566)</f>
        <v/>
      </c>
      <c r="O3566">
        <f>IF(L3566="", "Pending", IF(N3566&lt;=30, "Met", "Breached"))</f>
        <v/>
      </c>
      <c r="P3566" s="8" t="n"/>
      <c r="Q3566" s="8" t="n"/>
      <c r="R3566" s="8" t="n"/>
      <c r="S3566" s="8" t="n"/>
      <c r="T3566" s="8" t="n"/>
      <c r="U3566" s="8" t="n"/>
      <c r="V3566" s="8" t="n"/>
      <c r="W3566" s="8" t="n"/>
      <c r="X3566" s="8" t="n"/>
      <c r="Y3566" s="8" t="n"/>
    </row>
    <row r="3567">
      <c r="A3567" s="8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9">
        <f>B3567+30</f>
        <v/>
      </c>
      <c r="N3567">
        <f>IF(L3567="", "", L3567-B3567)</f>
        <v/>
      </c>
      <c r="O3567">
        <f>IF(L3567="", "Pending", IF(N3567&lt;=30, "Met", "Breached"))</f>
        <v/>
      </c>
      <c r="P3567" s="8" t="n"/>
      <c r="Q3567" s="8" t="n"/>
      <c r="R3567" s="8" t="n"/>
      <c r="S3567" s="8" t="n"/>
      <c r="T3567" s="8" t="n"/>
      <c r="U3567" s="8" t="n"/>
      <c r="V3567" s="8" t="n"/>
      <c r="W3567" s="8" t="n"/>
      <c r="X3567" s="8" t="n"/>
      <c r="Y3567" s="8" t="n"/>
    </row>
    <row r="3568">
      <c r="A3568" s="8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9">
        <f>B3568+30</f>
        <v/>
      </c>
      <c r="N3568">
        <f>IF(L3568="", "", L3568-B3568)</f>
        <v/>
      </c>
      <c r="O3568">
        <f>IF(L3568="", "Pending", IF(N3568&lt;=30, "Met", "Breached"))</f>
        <v/>
      </c>
      <c r="P3568" s="8" t="n"/>
      <c r="Q3568" s="8" t="n"/>
      <c r="R3568" s="8" t="n"/>
      <c r="S3568" s="8" t="n"/>
      <c r="T3568" s="8" t="n"/>
      <c r="U3568" s="8" t="n"/>
      <c r="V3568" s="8" t="n"/>
      <c r="W3568" s="8" t="n"/>
      <c r="X3568" s="8" t="n"/>
      <c r="Y3568" s="8" t="n"/>
    </row>
    <row r="3569">
      <c r="A3569" s="8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9">
        <f>B3569+30</f>
        <v/>
      </c>
      <c r="N3569">
        <f>IF(L3569="", "", L3569-B3569)</f>
        <v/>
      </c>
      <c r="O3569">
        <f>IF(L3569="", "Pending", IF(N3569&lt;=30, "Met", "Breached"))</f>
        <v/>
      </c>
      <c r="P3569" s="8" t="n"/>
      <c r="Q3569" s="8" t="n"/>
      <c r="R3569" s="8" t="n"/>
      <c r="S3569" s="8" t="n"/>
      <c r="T3569" s="8" t="n"/>
      <c r="U3569" s="8" t="n"/>
      <c r="V3569" s="8" t="n"/>
      <c r="W3569" s="8" t="n"/>
      <c r="X3569" s="8" t="n"/>
      <c r="Y3569" s="8" t="n"/>
    </row>
    <row r="3570">
      <c r="A3570" s="8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9">
        <f>B3570+30</f>
        <v/>
      </c>
      <c r="N3570">
        <f>IF(L3570="", "", L3570-B3570)</f>
        <v/>
      </c>
      <c r="O3570">
        <f>IF(L3570="", "Pending", IF(N3570&lt;=30, "Met", "Breached"))</f>
        <v/>
      </c>
      <c r="P3570" s="8" t="n"/>
      <c r="Q3570" s="8" t="n"/>
      <c r="R3570" s="8" t="n"/>
      <c r="S3570" s="8" t="n"/>
      <c r="T3570" s="8" t="n"/>
      <c r="U3570" s="8" t="n"/>
      <c r="V3570" s="8" t="n"/>
      <c r="W3570" s="8" t="n"/>
      <c r="X3570" s="8" t="n"/>
      <c r="Y3570" s="8" t="n"/>
    </row>
    <row r="3571">
      <c r="A3571" s="8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9">
        <f>B3571+30</f>
        <v/>
      </c>
      <c r="N3571">
        <f>IF(L3571="", "", L3571-B3571)</f>
        <v/>
      </c>
      <c r="O3571">
        <f>IF(L3571="", "Pending", IF(N3571&lt;=30, "Met", "Breached"))</f>
        <v/>
      </c>
      <c r="P3571" s="8" t="n"/>
      <c r="Q3571" s="8" t="n"/>
      <c r="R3571" s="8" t="n"/>
      <c r="S3571" s="8" t="n"/>
      <c r="T3571" s="8" t="n"/>
      <c r="U3571" s="8" t="n"/>
      <c r="V3571" s="8" t="n"/>
      <c r="W3571" s="8" t="n"/>
      <c r="X3571" s="8" t="n"/>
      <c r="Y3571" s="8" t="n"/>
    </row>
    <row r="3572">
      <c r="A3572" s="8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9">
        <f>B3572+30</f>
        <v/>
      </c>
      <c r="N3572">
        <f>IF(L3572="", "", L3572-B3572)</f>
        <v/>
      </c>
      <c r="O3572">
        <f>IF(L3572="", "Pending", IF(N3572&lt;=30, "Met", "Breached"))</f>
        <v/>
      </c>
      <c r="P3572" s="8" t="n"/>
      <c r="Q3572" s="8" t="n"/>
      <c r="R3572" s="8" t="n"/>
      <c r="S3572" s="8" t="n"/>
      <c r="T3572" s="8" t="n"/>
      <c r="U3572" s="8" t="n"/>
      <c r="V3572" s="8" t="n"/>
      <c r="W3572" s="8" t="n"/>
      <c r="X3572" s="8" t="n"/>
      <c r="Y3572" s="8" t="n"/>
    </row>
    <row r="3573">
      <c r="A3573" s="8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9">
        <f>B3573+30</f>
        <v/>
      </c>
      <c r="N3573">
        <f>IF(L3573="", "", L3573-B3573)</f>
        <v/>
      </c>
      <c r="O3573">
        <f>IF(L3573="", "Pending", IF(N3573&lt;=30, "Met", "Breached"))</f>
        <v/>
      </c>
      <c r="P3573" s="8" t="n"/>
      <c r="Q3573" s="8" t="n"/>
      <c r="R3573" s="8" t="n"/>
      <c r="S3573" s="8" t="n"/>
      <c r="T3573" s="8" t="n"/>
      <c r="U3573" s="8" t="n"/>
      <c r="V3573" s="8" t="n"/>
      <c r="W3573" s="8" t="n"/>
      <c r="X3573" s="8" t="n"/>
      <c r="Y3573" s="8" t="n"/>
    </row>
    <row r="3574">
      <c r="A3574" s="8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9">
        <f>B3574+30</f>
        <v/>
      </c>
      <c r="N3574">
        <f>IF(L3574="", "", L3574-B3574)</f>
        <v/>
      </c>
      <c r="O3574">
        <f>IF(L3574="", "Pending", IF(N3574&lt;=30, "Met", "Breached"))</f>
        <v/>
      </c>
      <c r="P3574" s="8" t="n"/>
      <c r="Q3574" s="8" t="n"/>
      <c r="R3574" s="8" t="n"/>
      <c r="S3574" s="8" t="n"/>
      <c r="T3574" s="8" t="n"/>
      <c r="U3574" s="8" t="n"/>
      <c r="V3574" s="8" t="n"/>
      <c r="W3574" s="8" t="n"/>
      <c r="X3574" s="8" t="n"/>
      <c r="Y3574" s="8" t="n"/>
    </row>
    <row r="3575">
      <c r="A3575" s="8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9">
        <f>B3575+30</f>
        <v/>
      </c>
      <c r="N3575">
        <f>IF(L3575="", "", L3575-B3575)</f>
        <v/>
      </c>
      <c r="O3575">
        <f>IF(L3575="", "Pending", IF(N3575&lt;=30, "Met", "Breached"))</f>
        <v/>
      </c>
      <c r="P3575" s="8" t="n"/>
      <c r="Q3575" s="8" t="n"/>
      <c r="R3575" s="8" t="n"/>
      <c r="S3575" s="8" t="n"/>
      <c r="T3575" s="8" t="n"/>
      <c r="U3575" s="8" t="n"/>
      <c r="V3575" s="8" t="n"/>
      <c r="W3575" s="8" t="n"/>
      <c r="X3575" s="8" t="n"/>
      <c r="Y3575" s="8" t="n"/>
    </row>
    <row r="3576">
      <c r="A3576" s="8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9">
        <f>B3576+30</f>
        <v/>
      </c>
      <c r="N3576">
        <f>IF(L3576="", "", L3576-B3576)</f>
        <v/>
      </c>
      <c r="O3576">
        <f>IF(L3576="", "Pending", IF(N3576&lt;=30, "Met", "Breached"))</f>
        <v/>
      </c>
      <c r="P3576" s="8" t="n"/>
      <c r="Q3576" s="8" t="n"/>
      <c r="R3576" s="8" t="n"/>
      <c r="S3576" s="8" t="n"/>
      <c r="T3576" s="8" t="n"/>
      <c r="U3576" s="8" t="n"/>
      <c r="V3576" s="8" t="n"/>
      <c r="W3576" s="8" t="n"/>
      <c r="X3576" s="8" t="n"/>
      <c r="Y3576" s="8" t="n"/>
    </row>
    <row r="3577">
      <c r="A3577" s="8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9">
        <f>B3577+30</f>
        <v/>
      </c>
      <c r="N3577">
        <f>IF(L3577="", "", L3577-B3577)</f>
        <v/>
      </c>
      <c r="O3577">
        <f>IF(L3577="", "Pending", IF(N3577&lt;=30, "Met", "Breached"))</f>
        <v/>
      </c>
      <c r="P3577" s="8" t="n"/>
      <c r="Q3577" s="8" t="n"/>
      <c r="R3577" s="8" t="n"/>
      <c r="S3577" s="8" t="n"/>
      <c r="T3577" s="8" t="n"/>
      <c r="U3577" s="8" t="n"/>
      <c r="V3577" s="8" t="n"/>
      <c r="W3577" s="8" t="n"/>
      <c r="X3577" s="8" t="n"/>
      <c r="Y3577" s="8" t="n"/>
    </row>
    <row r="3578">
      <c r="A3578" s="8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9">
        <f>B3578+30</f>
        <v/>
      </c>
      <c r="N3578">
        <f>IF(L3578="", "", L3578-B3578)</f>
        <v/>
      </c>
      <c r="O3578">
        <f>IF(L3578="", "Pending", IF(N3578&lt;=30, "Met", "Breached"))</f>
        <v/>
      </c>
      <c r="P3578" s="8" t="n"/>
      <c r="Q3578" s="8" t="n"/>
      <c r="R3578" s="8" t="n"/>
      <c r="S3578" s="8" t="n"/>
      <c r="T3578" s="8" t="n"/>
      <c r="U3578" s="8" t="n"/>
      <c r="V3578" s="8" t="n"/>
      <c r="W3578" s="8" t="n"/>
      <c r="X3578" s="8" t="n"/>
      <c r="Y3578" s="8" t="n"/>
    </row>
    <row r="3579">
      <c r="A3579" s="8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9">
        <f>B3579+30</f>
        <v/>
      </c>
      <c r="N3579">
        <f>IF(L3579="", "", L3579-B3579)</f>
        <v/>
      </c>
      <c r="O3579">
        <f>IF(L3579="", "Pending", IF(N3579&lt;=30, "Met", "Breached"))</f>
        <v/>
      </c>
      <c r="P3579" s="8" t="n"/>
      <c r="Q3579" s="8" t="n"/>
      <c r="R3579" s="8" t="n"/>
      <c r="S3579" s="8" t="n"/>
      <c r="T3579" s="8" t="n"/>
      <c r="U3579" s="8" t="n"/>
      <c r="V3579" s="8" t="n"/>
      <c r="W3579" s="8" t="n"/>
      <c r="X3579" s="8" t="n"/>
      <c r="Y3579" s="8" t="n"/>
    </row>
    <row r="3580">
      <c r="A3580" s="8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9">
        <f>B3580+30</f>
        <v/>
      </c>
      <c r="N3580">
        <f>IF(L3580="", "", L3580-B3580)</f>
        <v/>
      </c>
      <c r="O3580">
        <f>IF(L3580="", "Pending", IF(N3580&lt;=30, "Met", "Breached"))</f>
        <v/>
      </c>
      <c r="P3580" s="8" t="n"/>
      <c r="Q3580" s="8" t="n"/>
      <c r="R3580" s="8" t="n"/>
      <c r="S3580" s="8" t="n"/>
      <c r="T3580" s="8" t="n"/>
      <c r="U3580" s="8" t="n"/>
      <c r="V3580" s="8" t="n"/>
      <c r="W3580" s="8" t="n"/>
      <c r="X3580" s="8" t="n"/>
      <c r="Y3580" s="8" t="n"/>
    </row>
    <row r="3581">
      <c r="A3581" s="8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9">
        <f>B3581+30</f>
        <v/>
      </c>
      <c r="N3581">
        <f>IF(L3581="", "", L3581-B3581)</f>
        <v/>
      </c>
      <c r="O3581">
        <f>IF(L3581="", "Pending", IF(N3581&lt;=30, "Met", "Breached"))</f>
        <v/>
      </c>
      <c r="P3581" s="8" t="n"/>
      <c r="Q3581" s="8" t="n"/>
      <c r="R3581" s="8" t="n"/>
      <c r="S3581" s="8" t="n"/>
      <c r="T3581" s="8" t="n"/>
      <c r="U3581" s="8" t="n"/>
      <c r="V3581" s="8" t="n"/>
      <c r="W3581" s="8" t="n"/>
      <c r="X3581" s="8" t="n"/>
      <c r="Y3581" s="8" t="n"/>
    </row>
    <row r="3582">
      <c r="A3582" s="8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9">
        <f>B3582+30</f>
        <v/>
      </c>
      <c r="N3582">
        <f>IF(L3582="", "", L3582-B3582)</f>
        <v/>
      </c>
      <c r="O3582">
        <f>IF(L3582="", "Pending", IF(N3582&lt;=30, "Met", "Breached"))</f>
        <v/>
      </c>
      <c r="P3582" s="8" t="n"/>
      <c r="Q3582" s="8" t="n"/>
      <c r="R3582" s="8" t="n"/>
      <c r="S3582" s="8" t="n"/>
      <c r="T3582" s="8" t="n"/>
      <c r="U3582" s="8" t="n"/>
      <c r="V3582" s="8" t="n"/>
      <c r="W3582" s="8" t="n"/>
      <c r="X3582" s="8" t="n"/>
      <c r="Y3582" s="8" t="n"/>
    </row>
    <row r="3583">
      <c r="A3583" s="8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9">
        <f>B3583+30</f>
        <v/>
      </c>
      <c r="N3583">
        <f>IF(L3583="", "", L3583-B3583)</f>
        <v/>
      </c>
      <c r="O3583">
        <f>IF(L3583="", "Pending", IF(N3583&lt;=30, "Met", "Breached"))</f>
        <v/>
      </c>
      <c r="P3583" s="8" t="n"/>
      <c r="Q3583" s="8" t="n"/>
      <c r="R3583" s="8" t="n"/>
      <c r="S3583" s="8" t="n"/>
      <c r="T3583" s="8" t="n"/>
      <c r="U3583" s="8" t="n"/>
      <c r="V3583" s="8" t="n"/>
      <c r="W3583" s="8" t="n"/>
      <c r="X3583" s="8" t="n"/>
      <c r="Y3583" s="8" t="n"/>
    </row>
    <row r="3584">
      <c r="A3584" s="8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9">
        <f>B3584+30</f>
        <v/>
      </c>
      <c r="N3584">
        <f>IF(L3584="", "", L3584-B3584)</f>
        <v/>
      </c>
      <c r="O3584">
        <f>IF(L3584="", "Pending", IF(N3584&lt;=30, "Met", "Breached"))</f>
        <v/>
      </c>
      <c r="P3584" s="8" t="n"/>
      <c r="Q3584" s="8" t="n"/>
      <c r="R3584" s="8" t="n"/>
      <c r="S3584" s="8" t="n"/>
      <c r="T3584" s="8" t="n"/>
      <c r="U3584" s="8" t="n"/>
      <c r="V3584" s="8" t="n"/>
      <c r="W3584" s="8" t="n"/>
      <c r="X3584" s="8" t="n"/>
      <c r="Y3584" s="8" t="n"/>
    </row>
    <row r="3585">
      <c r="A3585" s="8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9">
        <f>B3585+30</f>
        <v/>
      </c>
      <c r="N3585">
        <f>IF(L3585="", "", L3585-B3585)</f>
        <v/>
      </c>
      <c r="O3585">
        <f>IF(L3585="", "Pending", IF(N3585&lt;=30, "Met", "Breached"))</f>
        <v/>
      </c>
      <c r="P3585" s="8" t="n"/>
      <c r="Q3585" s="8" t="n"/>
      <c r="R3585" s="8" t="n"/>
      <c r="S3585" s="8" t="n"/>
      <c r="T3585" s="8" t="n"/>
      <c r="U3585" s="8" t="n"/>
      <c r="V3585" s="8" t="n"/>
      <c r="W3585" s="8" t="n"/>
      <c r="X3585" s="8" t="n"/>
      <c r="Y3585" s="8" t="n"/>
    </row>
    <row r="3586">
      <c r="A3586" s="8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9">
        <f>B3586+30</f>
        <v/>
      </c>
      <c r="N3586">
        <f>IF(L3586="", "", L3586-B3586)</f>
        <v/>
      </c>
      <c r="O3586">
        <f>IF(L3586="", "Pending", IF(N3586&lt;=30, "Met", "Breached"))</f>
        <v/>
      </c>
      <c r="P3586" s="8" t="n"/>
      <c r="Q3586" s="8" t="n"/>
      <c r="R3586" s="8" t="n"/>
      <c r="S3586" s="8" t="n"/>
      <c r="T3586" s="8" t="n"/>
      <c r="U3586" s="8" t="n"/>
      <c r="V3586" s="8" t="n"/>
      <c r="W3586" s="8" t="n"/>
      <c r="X3586" s="8" t="n"/>
      <c r="Y3586" s="8" t="n"/>
    </row>
    <row r="3587">
      <c r="A3587" s="8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9">
        <f>B3587+30</f>
        <v/>
      </c>
      <c r="N3587">
        <f>IF(L3587="", "", L3587-B3587)</f>
        <v/>
      </c>
      <c r="O3587">
        <f>IF(L3587="", "Pending", IF(N3587&lt;=30, "Met", "Breached"))</f>
        <v/>
      </c>
      <c r="P3587" s="8" t="n"/>
      <c r="Q3587" s="8" t="n"/>
      <c r="R3587" s="8" t="n"/>
      <c r="S3587" s="8" t="n"/>
      <c r="T3587" s="8" t="n"/>
      <c r="U3587" s="8" t="n"/>
      <c r="V3587" s="8" t="n"/>
      <c r="W3587" s="8" t="n"/>
      <c r="X3587" s="8" t="n"/>
      <c r="Y3587" s="8" t="n"/>
    </row>
    <row r="3588">
      <c r="A3588" s="8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9">
        <f>B3588+30</f>
        <v/>
      </c>
      <c r="N3588">
        <f>IF(L3588="", "", L3588-B3588)</f>
        <v/>
      </c>
      <c r="O3588">
        <f>IF(L3588="", "Pending", IF(N3588&lt;=30, "Met", "Breached"))</f>
        <v/>
      </c>
      <c r="P3588" s="8" t="n"/>
      <c r="Q3588" s="8" t="n"/>
      <c r="R3588" s="8" t="n"/>
      <c r="S3588" s="8" t="n"/>
      <c r="T3588" s="8" t="n"/>
      <c r="U3588" s="8" t="n"/>
      <c r="V3588" s="8" t="n"/>
      <c r="W3588" s="8" t="n"/>
      <c r="X3588" s="8" t="n"/>
      <c r="Y3588" s="8" t="n"/>
    </row>
    <row r="3589">
      <c r="A3589" s="8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9">
        <f>B3589+30</f>
        <v/>
      </c>
      <c r="N3589">
        <f>IF(L3589="", "", L3589-B3589)</f>
        <v/>
      </c>
      <c r="O3589">
        <f>IF(L3589="", "Pending", IF(N3589&lt;=30, "Met", "Breached"))</f>
        <v/>
      </c>
      <c r="P3589" s="8" t="n"/>
      <c r="Q3589" s="8" t="n"/>
      <c r="R3589" s="8" t="n"/>
      <c r="S3589" s="8" t="n"/>
      <c r="T3589" s="8" t="n"/>
      <c r="U3589" s="8" t="n"/>
      <c r="V3589" s="8" t="n"/>
      <c r="W3589" s="8" t="n"/>
      <c r="X3589" s="8" t="n"/>
      <c r="Y3589" s="8" t="n"/>
    </row>
    <row r="3590">
      <c r="A3590" s="8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9">
        <f>B3590+30</f>
        <v/>
      </c>
      <c r="N3590">
        <f>IF(L3590="", "", L3590-B3590)</f>
        <v/>
      </c>
      <c r="O3590">
        <f>IF(L3590="", "Pending", IF(N3590&lt;=30, "Met", "Breached"))</f>
        <v/>
      </c>
      <c r="P3590" s="8" t="n"/>
      <c r="Q3590" s="8" t="n"/>
      <c r="R3590" s="8" t="n"/>
      <c r="S3590" s="8" t="n"/>
      <c r="T3590" s="8" t="n"/>
      <c r="U3590" s="8" t="n"/>
      <c r="V3590" s="8" t="n"/>
      <c r="W3590" s="8" t="n"/>
      <c r="X3590" s="8" t="n"/>
      <c r="Y3590" s="8" t="n"/>
    </row>
    <row r="3591">
      <c r="A3591" s="8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9">
        <f>B3591+30</f>
        <v/>
      </c>
      <c r="N3591">
        <f>IF(L3591="", "", L3591-B3591)</f>
        <v/>
      </c>
      <c r="O3591">
        <f>IF(L3591="", "Pending", IF(N3591&lt;=30, "Met", "Breached"))</f>
        <v/>
      </c>
      <c r="P3591" s="8" t="n"/>
      <c r="Q3591" s="8" t="n"/>
      <c r="R3591" s="8" t="n"/>
      <c r="S3591" s="8" t="n"/>
      <c r="T3591" s="8" t="n"/>
      <c r="U3591" s="8" t="n"/>
      <c r="V3591" s="8" t="n"/>
      <c r="W3591" s="8" t="n"/>
      <c r="X3591" s="8" t="n"/>
      <c r="Y3591" s="8" t="n"/>
    </row>
    <row r="3592">
      <c r="A3592" s="8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9">
        <f>B3592+30</f>
        <v/>
      </c>
      <c r="N3592">
        <f>IF(L3592="", "", L3592-B3592)</f>
        <v/>
      </c>
      <c r="O3592">
        <f>IF(L3592="", "Pending", IF(N3592&lt;=30, "Met", "Breached"))</f>
        <v/>
      </c>
      <c r="P3592" s="8" t="n"/>
      <c r="Q3592" s="8" t="n"/>
      <c r="R3592" s="8" t="n"/>
      <c r="S3592" s="8" t="n"/>
      <c r="T3592" s="8" t="n"/>
      <c r="U3592" s="8" t="n"/>
      <c r="V3592" s="8" t="n"/>
      <c r="W3592" s="8" t="n"/>
      <c r="X3592" s="8" t="n"/>
      <c r="Y3592" s="8" t="n"/>
    </row>
    <row r="3593">
      <c r="A3593" s="8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9">
        <f>B3593+30</f>
        <v/>
      </c>
      <c r="N3593">
        <f>IF(L3593="", "", L3593-B3593)</f>
        <v/>
      </c>
      <c r="O3593">
        <f>IF(L3593="", "Pending", IF(N3593&lt;=30, "Met", "Breached"))</f>
        <v/>
      </c>
      <c r="P3593" s="8" t="n"/>
      <c r="Q3593" s="8" t="n"/>
      <c r="R3593" s="8" t="n"/>
      <c r="S3593" s="8" t="n"/>
      <c r="T3593" s="8" t="n"/>
      <c r="U3593" s="8" t="n"/>
      <c r="V3593" s="8" t="n"/>
      <c r="W3593" s="8" t="n"/>
      <c r="X3593" s="8" t="n"/>
      <c r="Y3593" s="8" t="n"/>
    </row>
    <row r="3594">
      <c r="A3594" s="8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9">
        <f>B3594+30</f>
        <v/>
      </c>
      <c r="N3594">
        <f>IF(L3594="", "", L3594-B3594)</f>
        <v/>
      </c>
      <c r="O3594">
        <f>IF(L3594="", "Pending", IF(N3594&lt;=30, "Met", "Breached"))</f>
        <v/>
      </c>
      <c r="P3594" s="8" t="n"/>
      <c r="Q3594" s="8" t="n"/>
      <c r="R3594" s="8" t="n"/>
      <c r="S3594" s="8" t="n"/>
      <c r="T3594" s="8" t="n"/>
      <c r="U3594" s="8" t="n"/>
      <c r="V3594" s="8" t="n"/>
      <c r="W3594" s="8" t="n"/>
      <c r="X3594" s="8" t="n"/>
      <c r="Y3594" s="8" t="n"/>
    </row>
    <row r="3595">
      <c r="A3595" s="8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9">
        <f>B3595+30</f>
        <v/>
      </c>
      <c r="N3595">
        <f>IF(L3595="", "", L3595-B3595)</f>
        <v/>
      </c>
      <c r="O3595">
        <f>IF(L3595="", "Pending", IF(N3595&lt;=30, "Met", "Breached"))</f>
        <v/>
      </c>
      <c r="P3595" s="8" t="n"/>
      <c r="Q3595" s="8" t="n"/>
      <c r="R3595" s="8" t="n"/>
      <c r="S3595" s="8" t="n"/>
      <c r="T3595" s="8" t="n"/>
      <c r="U3595" s="8" t="n"/>
      <c r="V3595" s="8" t="n"/>
      <c r="W3595" s="8" t="n"/>
      <c r="X3595" s="8" t="n"/>
      <c r="Y3595" s="8" t="n"/>
    </row>
    <row r="3596">
      <c r="A3596" s="8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9">
        <f>B3596+30</f>
        <v/>
      </c>
      <c r="N3596">
        <f>IF(L3596="", "", L3596-B3596)</f>
        <v/>
      </c>
      <c r="O3596">
        <f>IF(L3596="", "Pending", IF(N3596&lt;=30, "Met", "Breached"))</f>
        <v/>
      </c>
      <c r="P3596" s="8" t="n"/>
      <c r="Q3596" s="8" t="n"/>
      <c r="R3596" s="8" t="n"/>
      <c r="S3596" s="8" t="n"/>
      <c r="T3596" s="8" t="n"/>
      <c r="U3596" s="8" t="n"/>
      <c r="V3596" s="8" t="n"/>
      <c r="W3596" s="8" t="n"/>
      <c r="X3596" s="8" t="n"/>
      <c r="Y3596" s="8" t="n"/>
    </row>
    <row r="3597">
      <c r="A3597" s="8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9">
        <f>B3597+30</f>
        <v/>
      </c>
      <c r="N3597">
        <f>IF(L3597="", "", L3597-B3597)</f>
        <v/>
      </c>
      <c r="O3597">
        <f>IF(L3597="", "Pending", IF(N3597&lt;=30, "Met", "Breached"))</f>
        <v/>
      </c>
      <c r="P3597" s="8" t="n"/>
      <c r="Q3597" s="8" t="n"/>
      <c r="R3597" s="8" t="n"/>
      <c r="S3597" s="8" t="n"/>
      <c r="T3597" s="8" t="n"/>
      <c r="U3597" s="8" t="n"/>
      <c r="V3597" s="8" t="n"/>
      <c r="W3597" s="8" t="n"/>
      <c r="X3597" s="8" t="n"/>
      <c r="Y3597" s="8" t="n"/>
    </row>
    <row r="3598">
      <c r="A3598" s="8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9">
        <f>B3598+30</f>
        <v/>
      </c>
      <c r="N3598">
        <f>IF(L3598="", "", L3598-B3598)</f>
        <v/>
      </c>
      <c r="O3598">
        <f>IF(L3598="", "Pending", IF(N3598&lt;=30, "Met", "Breached"))</f>
        <v/>
      </c>
      <c r="P3598" s="8" t="n"/>
      <c r="Q3598" s="8" t="n"/>
      <c r="R3598" s="8" t="n"/>
      <c r="S3598" s="8" t="n"/>
      <c r="T3598" s="8" t="n"/>
      <c r="U3598" s="8" t="n"/>
      <c r="V3598" s="8" t="n"/>
      <c r="W3598" s="8" t="n"/>
      <c r="X3598" s="8" t="n"/>
      <c r="Y3598" s="8" t="n"/>
    </row>
    <row r="3599">
      <c r="A3599" s="8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9">
        <f>B3599+30</f>
        <v/>
      </c>
      <c r="N3599">
        <f>IF(L3599="", "", L3599-B3599)</f>
        <v/>
      </c>
      <c r="O3599">
        <f>IF(L3599="", "Pending", IF(N3599&lt;=30, "Met", "Breached"))</f>
        <v/>
      </c>
      <c r="P3599" s="8" t="n"/>
      <c r="Q3599" s="8" t="n"/>
      <c r="R3599" s="8" t="n"/>
      <c r="S3599" s="8" t="n"/>
      <c r="T3599" s="8" t="n"/>
      <c r="U3599" s="8" t="n"/>
      <c r="V3599" s="8" t="n"/>
      <c r="W3599" s="8" t="n"/>
      <c r="X3599" s="8" t="n"/>
      <c r="Y3599" s="8" t="n"/>
    </row>
    <row r="3600">
      <c r="A3600" s="8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9">
        <f>B3600+30</f>
        <v/>
      </c>
      <c r="N3600">
        <f>IF(L3600="", "", L3600-B3600)</f>
        <v/>
      </c>
      <c r="O3600">
        <f>IF(L3600="", "Pending", IF(N3600&lt;=30, "Met", "Breached"))</f>
        <v/>
      </c>
      <c r="P3600" s="8" t="n"/>
      <c r="Q3600" s="8" t="n"/>
      <c r="R3600" s="8" t="n"/>
      <c r="S3600" s="8" t="n"/>
      <c r="T3600" s="8" t="n"/>
      <c r="U3600" s="8" t="n"/>
      <c r="V3600" s="8" t="n"/>
      <c r="W3600" s="8" t="n"/>
      <c r="X3600" s="8" t="n"/>
      <c r="Y3600" s="8" t="n"/>
    </row>
    <row r="3601">
      <c r="A3601" s="8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9">
        <f>B3601+30</f>
        <v/>
      </c>
      <c r="N3601">
        <f>IF(L3601="", "", L3601-B3601)</f>
        <v/>
      </c>
      <c r="O3601">
        <f>IF(L3601="", "Pending", IF(N3601&lt;=30, "Met", "Breached"))</f>
        <v/>
      </c>
      <c r="P3601" s="8" t="n"/>
      <c r="Q3601" s="8" t="n"/>
      <c r="R3601" s="8" t="n"/>
      <c r="S3601" s="8" t="n"/>
      <c r="T3601" s="8" t="n"/>
      <c r="U3601" s="8" t="n"/>
      <c r="V3601" s="8" t="n"/>
      <c r="W3601" s="8" t="n"/>
      <c r="X3601" s="8" t="n"/>
      <c r="Y3601" s="8" t="n"/>
    </row>
    <row r="3602">
      <c r="A3602" s="8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9">
        <f>B3602+30</f>
        <v/>
      </c>
      <c r="N3602">
        <f>IF(L3602="", "", L3602-B3602)</f>
        <v/>
      </c>
      <c r="O3602">
        <f>IF(L3602="", "Pending", IF(N3602&lt;=30, "Met", "Breached"))</f>
        <v/>
      </c>
      <c r="P3602" s="8" t="n"/>
      <c r="Q3602" s="8" t="n"/>
      <c r="R3602" s="8" t="n"/>
      <c r="S3602" s="8" t="n"/>
      <c r="T3602" s="8" t="n"/>
      <c r="U3602" s="8" t="n"/>
      <c r="V3602" s="8" t="n"/>
      <c r="W3602" s="8" t="n"/>
      <c r="X3602" s="8" t="n"/>
      <c r="Y3602" s="8" t="n"/>
    </row>
    <row r="3603">
      <c r="A3603" s="8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9">
        <f>B3603+30</f>
        <v/>
      </c>
      <c r="N3603">
        <f>IF(L3603="", "", L3603-B3603)</f>
        <v/>
      </c>
      <c r="O3603">
        <f>IF(L3603="", "Pending", IF(N3603&lt;=30, "Met", "Breached"))</f>
        <v/>
      </c>
      <c r="P3603" s="8" t="n"/>
      <c r="Q3603" s="8" t="n"/>
      <c r="R3603" s="8" t="n"/>
      <c r="S3603" s="8" t="n"/>
      <c r="T3603" s="8" t="n"/>
      <c r="U3603" s="8" t="n"/>
      <c r="V3603" s="8" t="n"/>
      <c r="W3603" s="8" t="n"/>
      <c r="X3603" s="8" t="n"/>
      <c r="Y3603" s="8" t="n"/>
    </row>
    <row r="3604">
      <c r="A3604" s="8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9">
        <f>B3604+30</f>
        <v/>
      </c>
      <c r="N3604">
        <f>IF(L3604="", "", L3604-B3604)</f>
        <v/>
      </c>
      <c r="O3604">
        <f>IF(L3604="", "Pending", IF(N3604&lt;=30, "Met", "Breached"))</f>
        <v/>
      </c>
      <c r="P3604" s="8" t="n"/>
      <c r="Q3604" s="8" t="n"/>
      <c r="R3604" s="8" t="n"/>
      <c r="S3604" s="8" t="n"/>
      <c r="T3604" s="8" t="n"/>
      <c r="U3604" s="8" t="n"/>
      <c r="V3604" s="8" t="n"/>
      <c r="W3604" s="8" t="n"/>
      <c r="X3604" s="8" t="n"/>
      <c r="Y3604" s="8" t="n"/>
    </row>
    <row r="3605">
      <c r="A3605" s="8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9">
        <f>B3605+30</f>
        <v/>
      </c>
      <c r="N3605">
        <f>IF(L3605="", "", L3605-B3605)</f>
        <v/>
      </c>
      <c r="O3605">
        <f>IF(L3605="", "Pending", IF(N3605&lt;=30, "Met", "Breached"))</f>
        <v/>
      </c>
      <c r="P3605" s="8" t="n"/>
      <c r="Q3605" s="8" t="n"/>
      <c r="R3605" s="8" t="n"/>
      <c r="S3605" s="8" t="n"/>
      <c r="T3605" s="8" t="n"/>
      <c r="U3605" s="8" t="n"/>
      <c r="V3605" s="8" t="n"/>
      <c r="W3605" s="8" t="n"/>
      <c r="X3605" s="8" t="n"/>
      <c r="Y3605" s="8" t="n"/>
    </row>
    <row r="3606">
      <c r="A3606" s="8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9">
        <f>B3606+30</f>
        <v/>
      </c>
      <c r="N3606">
        <f>IF(L3606="", "", L3606-B3606)</f>
        <v/>
      </c>
      <c r="O3606">
        <f>IF(L3606="", "Pending", IF(N3606&lt;=30, "Met", "Breached"))</f>
        <v/>
      </c>
      <c r="P3606" s="8" t="n"/>
      <c r="Q3606" s="8" t="n"/>
      <c r="R3606" s="8" t="n"/>
      <c r="S3606" s="8" t="n"/>
      <c r="T3606" s="8" t="n"/>
      <c r="U3606" s="8" t="n"/>
      <c r="V3606" s="8" t="n"/>
      <c r="W3606" s="8" t="n"/>
      <c r="X3606" s="8" t="n"/>
      <c r="Y3606" s="8" t="n"/>
    </row>
    <row r="3607">
      <c r="A3607" s="8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9">
        <f>B3607+30</f>
        <v/>
      </c>
      <c r="N3607">
        <f>IF(L3607="", "", L3607-B3607)</f>
        <v/>
      </c>
      <c r="O3607">
        <f>IF(L3607="", "Pending", IF(N3607&lt;=30, "Met", "Breached"))</f>
        <v/>
      </c>
      <c r="P3607" s="8" t="n"/>
      <c r="Q3607" s="8" t="n"/>
      <c r="R3607" s="8" t="n"/>
      <c r="S3607" s="8" t="n"/>
      <c r="T3607" s="8" t="n"/>
      <c r="U3607" s="8" t="n"/>
      <c r="V3607" s="8" t="n"/>
      <c r="W3607" s="8" t="n"/>
      <c r="X3607" s="8" t="n"/>
      <c r="Y3607" s="8" t="n"/>
    </row>
    <row r="3608">
      <c r="A3608" s="8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9">
        <f>B3608+30</f>
        <v/>
      </c>
      <c r="N3608">
        <f>IF(L3608="", "", L3608-B3608)</f>
        <v/>
      </c>
      <c r="O3608">
        <f>IF(L3608="", "Pending", IF(N3608&lt;=30, "Met", "Breached"))</f>
        <v/>
      </c>
      <c r="P3608" s="8" t="n"/>
      <c r="Q3608" s="8" t="n"/>
      <c r="R3608" s="8" t="n"/>
      <c r="S3608" s="8" t="n"/>
      <c r="T3608" s="8" t="n"/>
      <c r="U3608" s="8" t="n"/>
      <c r="V3608" s="8" t="n"/>
      <c r="W3608" s="8" t="n"/>
      <c r="X3608" s="8" t="n"/>
      <c r="Y3608" s="8" t="n"/>
    </row>
    <row r="3609">
      <c r="A3609" s="8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9">
        <f>B3609+30</f>
        <v/>
      </c>
      <c r="N3609">
        <f>IF(L3609="", "", L3609-B3609)</f>
        <v/>
      </c>
      <c r="O3609">
        <f>IF(L3609="", "Pending", IF(N3609&lt;=30, "Met", "Breached"))</f>
        <v/>
      </c>
      <c r="P3609" s="8" t="n"/>
      <c r="Q3609" s="8" t="n"/>
      <c r="R3609" s="8" t="n"/>
      <c r="S3609" s="8" t="n"/>
      <c r="T3609" s="8" t="n"/>
      <c r="U3609" s="8" t="n"/>
      <c r="V3609" s="8" t="n"/>
      <c r="W3609" s="8" t="n"/>
      <c r="X3609" s="8" t="n"/>
      <c r="Y3609" s="8" t="n"/>
    </row>
    <row r="3610">
      <c r="A3610" s="8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9">
        <f>B3610+30</f>
        <v/>
      </c>
      <c r="N3610">
        <f>IF(L3610="", "", L3610-B3610)</f>
        <v/>
      </c>
      <c r="O3610">
        <f>IF(L3610="", "Pending", IF(N3610&lt;=30, "Met", "Breached"))</f>
        <v/>
      </c>
      <c r="P3610" s="8" t="n"/>
      <c r="Q3610" s="8" t="n"/>
      <c r="R3610" s="8" t="n"/>
      <c r="S3610" s="8" t="n"/>
      <c r="T3610" s="8" t="n"/>
      <c r="U3610" s="8" t="n"/>
      <c r="V3610" s="8" t="n"/>
      <c r="W3610" s="8" t="n"/>
      <c r="X3610" s="8" t="n"/>
      <c r="Y3610" s="8" t="n"/>
    </row>
    <row r="3611">
      <c r="A3611" s="8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9">
        <f>B3611+30</f>
        <v/>
      </c>
      <c r="N3611">
        <f>IF(L3611="", "", L3611-B3611)</f>
        <v/>
      </c>
      <c r="O3611">
        <f>IF(L3611="", "Pending", IF(N3611&lt;=30, "Met", "Breached"))</f>
        <v/>
      </c>
      <c r="P3611" s="8" t="n"/>
      <c r="Q3611" s="8" t="n"/>
      <c r="R3611" s="8" t="n"/>
      <c r="S3611" s="8" t="n"/>
      <c r="T3611" s="8" t="n"/>
      <c r="U3611" s="8" t="n"/>
      <c r="V3611" s="8" t="n"/>
      <c r="W3611" s="8" t="n"/>
      <c r="X3611" s="8" t="n"/>
      <c r="Y3611" s="8" t="n"/>
    </row>
    <row r="3612">
      <c r="A3612" s="8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9">
        <f>B3612+30</f>
        <v/>
      </c>
      <c r="N3612">
        <f>IF(L3612="", "", L3612-B3612)</f>
        <v/>
      </c>
      <c r="O3612">
        <f>IF(L3612="", "Pending", IF(N3612&lt;=30, "Met", "Breached"))</f>
        <v/>
      </c>
      <c r="P3612" s="8" t="n"/>
      <c r="Q3612" s="8" t="n"/>
      <c r="R3612" s="8" t="n"/>
      <c r="S3612" s="8" t="n"/>
      <c r="T3612" s="8" t="n"/>
      <c r="U3612" s="8" t="n"/>
      <c r="V3612" s="8" t="n"/>
      <c r="W3612" s="8" t="n"/>
      <c r="X3612" s="8" t="n"/>
      <c r="Y3612" s="8" t="n"/>
    </row>
    <row r="3613">
      <c r="A3613" s="8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9">
        <f>B3613+30</f>
        <v/>
      </c>
      <c r="N3613">
        <f>IF(L3613="", "", L3613-B3613)</f>
        <v/>
      </c>
      <c r="O3613">
        <f>IF(L3613="", "Pending", IF(N3613&lt;=30, "Met", "Breached"))</f>
        <v/>
      </c>
      <c r="P3613" s="8" t="n"/>
      <c r="Q3613" s="8" t="n"/>
      <c r="R3613" s="8" t="n"/>
      <c r="S3613" s="8" t="n"/>
      <c r="T3613" s="8" t="n"/>
      <c r="U3613" s="8" t="n"/>
      <c r="V3613" s="8" t="n"/>
      <c r="W3613" s="8" t="n"/>
      <c r="X3613" s="8" t="n"/>
      <c r="Y3613" s="8" t="n"/>
    </row>
    <row r="3614">
      <c r="A3614" s="8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9">
        <f>B3614+30</f>
        <v/>
      </c>
      <c r="N3614">
        <f>IF(L3614="", "", L3614-B3614)</f>
        <v/>
      </c>
      <c r="O3614">
        <f>IF(L3614="", "Pending", IF(N3614&lt;=30, "Met", "Breached"))</f>
        <v/>
      </c>
      <c r="P3614" s="8" t="n"/>
      <c r="Q3614" s="8" t="n"/>
      <c r="R3614" s="8" t="n"/>
      <c r="S3614" s="8" t="n"/>
      <c r="T3614" s="8" t="n"/>
      <c r="U3614" s="8" t="n"/>
      <c r="V3614" s="8" t="n"/>
      <c r="W3614" s="8" t="n"/>
      <c r="X3614" s="8" t="n"/>
      <c r="Y3614" s="8" t="n"/>
    </row>
    <row r="3615">
      <c r="A3615" s="8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9">
        <f>B3615+30</f>
        <v/>
      </c>
      <c r="N3615">
        <f>IF(L3615="", "", L3615-B3615)</f>
        <v/>
      </c>
      <c r="O3615">
        <f>IF(L3615="", "Pending", IF(N3615&lt;=30, "Met", "Breached"))</f>
        <v/>
      </c>
      <c r="P3615" s="8" t="n"/>
      <c r="Q3615" s="8" t="n"/>
      <c r="R3615" s="8" t="n"/>
      <c r="S3615" s="8" t="n"/>
      <c r="T3615" s="8" t="n"/>
      <c r="U3615" s="8" t="n"/>
      <c r="V3615" s="8" t="n"/>
      <c r="W3615" s="8" t="n"/>
      <c r="X3615" s="8" t="n"/>
      <c r="Y3615" s="8" t="n"/>
    </row>
    <row r="3616">
      <c r="A3616" s="8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9">
        <f>B3616+30</f>
        <v/>
      </c>
      <c r="N3616">
        <f>IF(L3616="", "", L3616-B3616)</f>
        <v/>
      </c>
      <c r="O3616">
        <f>IF(L3616="", "Pending", IF(N3616&lt;=30, "Met", "Breached"))</f>
        <v/>
      </c>
      <c r="P3616" s="8" t="n"/>
      <c r="Q3616" s="8" t="n"/>
      <c r="R3616" s="8" t="n"/>
      <c r="S3616" s="8" t="n"/>
      <c r="T3616" s="8" t="n"/>
      <c r="U3616" s="8" t="n"/>
      <c r="V3616" s="8" t="n"/>
      <c r="W3616" s="8" t="n"/>
      <c r="X3616" s="8" t="n"/>
      <c r="Y3616" s="8" t="n"/>
    </row>
    <row r="3617">
      <c r="A3617" s="8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9">
        <f>B3617+30</f>
        <v/>
      </c>
      <c r="N3617">
        <f>IF(L3617="", "", L3617-B3617)</f>
        <v/>
      </c>
      <c r="O3617">
        <f>IF(L3617="", "Pending", IF(N3617&lt;=30, "Met", "Breached"))</f>
        <v/>
      </c>
      <c r="P3617" s="8" t="n"/>
      <c r="Q3617" s="8" t="n"/>
      <c r="R3617" s="8" t="n"/>
      <c r="S3617" s="8" t="n"/>
      <c r="T3617" s="8" t="n"/>
      <c r="U3617" s="8" t="n"/>
      <c r="V3617" s="8" t="n"/>
      <c r="W3617" s="8" t="n"/>
      <c r="X3617" s="8" t="n"/>
      <c r="Y3617" s="8" t="n"/>
    </row>
    <row r="3618">
      <c r="A3618" s="8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9">
        <f>B3618+30</f>
        <v/>
      </c>
      <c r="N3618">
        <f>IF(L3618="", "", L3618-B3618)</f>
        <v/>
      </c>
      <c r="O3618">
        <f>IF(L3618="", "Pending", IF(N3618&lt;=30, "Met", "Breached"))</f>
        <v/>
      </c>
      <c r="P3618" s="8" t="n"/>
      <c r="Q3618" s="8" t="n"/>
      <c r="R3618" s="8" t="n"/>
      <c r="S3618" s="8" t="n"/>
      <c r="T3618" s="8" t="n"/>
      <c r="U3618" s="8" t="n"/>
      <c r="V3618" s="8" t="n"/>
      <c r="W3618" s="8" t="n"/>
      <c r="X3618" s="8" t="n"/>
      <c r="Y3618" s="8" t="n"/>
    </row>
    <row r="3619">
      <c r="A3619" s="8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9">
        <f>B3619+30</f>
        <v/>
      </c>
      <c r="N3619">
        <f>IF(L3619="", "", L3619-B3619)</f>
        <v/>
      </c>
      <c r="O3619">
        <f>IF(L3619="", "Pending", IF(N3619&lt;=30, "Met", "Breached"))</f>
        <v/>
      </c>
      <c r="P3619" s="8" t="n"/>
      <c r="Q3619" s="8" t="n"/>
      <c r="R3619" s="8" t="n"/>
      <c r="S3619" s="8" t="n"/>
      <c r="T3619" s="8" t="n"/>
      <c r="U3619" s="8" t="n"/>
      <c r="V3619" s="8" t="n"/>
      <c r="W3619" s="8" t="n"/>
      <c r="X3619" s="8" t="n"/>
      <c r="Y3619" s="8" t="n"/>
    </row>
    <row r="3620">
      <c r="A3620" s="8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9">
        <f>B3620+30</f>
        <v/>
      </c>
      <c r="N3620">
        <f>IF(L3620="", "", L3620-B3620)</f>
        <v/>
      </c>
      <c r="O3620">
        <f>IF(L3620="", "Pending", IF(N3620&lt;=30, "Met", "Breached"))</f>
        <v/>
      </c>
      <c r="P3620" s="8" t="n"/>
      <c r="Q3620" s="8" t="n"/>
      <c r="R3620" s="8" t="n"/>
      <c r="S3620" s="8" t="n"/>
      <c r="T3620" s="8" t="n"/>
      <c r="U3620" s="8" t="n"/>
      <c r="V3620" s="8" t="n"/>
      <c r="W3620" s="8" t="n"/>
      <c r="X3620" s="8" t="n"/>
      <c r="Y3620" s="8" t="n"/>
    </row>
    <row r="3621">
      <c r="A3621" s="8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9">
        <f>B3621+30</f>
        <v/>
      </c>
      <c r="N3621">
        <f>IF(L3621="", "", L3621-B3621)</f>
        <v/>
      </c>
      <c r="O3621">
        <f>IF(L3621="", "Pending", IF(N3621&lt;=30, "Met", "Breached"))</f>
        <v/>
      </c>
      <c r="P3621" s="8" t="n"/>
      <c r="Q3621" s="8" t="n"/>
      <c r="R3621" s="8" t="n"/>
      <c r="S3621" s="8" t="n"/>
      <c r="T3621" s="8" t="n"/>
      <c r="U3621" s="8" t="n"/>
      <c r="V3621" s="8" t="n"/>
      <c r="W3621" s="8" t="n"/>
      <c r="X3621" s="8" t="n"/>
      <c r="Y3621" s="8" t="n"/>
    </row>
    <row r="3622">
      <c r="A3622" s="8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9">
        <f>B3622+30</f>
        <v/>
      </c>
      <c r="N3622">
        <f>IF(L3622="", "", L3622-B3622)</f>
        <v/>
      </c>
      <c r="O3622">
        <f>IF(L3622="", "Pending", IF(N3622&lt;=30, "Met", "Breached"))</f>
        <v/>
      </c>
      <c r="P3622" s="8" t="n"/>
      <c r="Q3622" s="8" t="n"/>
      <c r="R3622" s="8" t="n"/>
      <c r="S3622" s="8" t="n"/>
      <c r="T3622" s="8" t="n"/>
      <c r="U3622" s="8" t="n"/>
      <c r="V3622" s="8" t="n"/>
      <c r="W3622" s="8" t="n"/>
      <c r="X3622" s="8" t="n"/>
      <c r="Y3622" s="8" t="n"/>
    </row>
    <row r="3623">
      <c r="A3623" s="8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9">
        <f>B3623+30</f>
        <v/>
      </c>
      <c r="N3623">
        <f>IF(L3623="", "", L3623-B3623)</f>
        <v/>
      </c>
      <c r="O3623">
        <f>IF(L3623="", "Pending", IF(N3623&lt;=30, "Met", "Breached"))</f>
        <v/>
      </c>
      <c r="P3623" s="8" t="n"/>
      <c r="Q3623" s="8" t="n"/>
      <c r="R3623" s="8" t="n"/>
      <c r="S3623" s="8" t="n"/>
      <c r="T3623" s="8" t="n"/>
      <c r="U3623" s="8" t="n"/>
      <c r="V3623" s="8" t="n"/>
      <c r="W3623" s="8" t="n"/>
      <c r="X3623" s="8" t="n"/>
      <c r="Y3623" s="8" t="n"/>
    </row>
    <row r="3624">
      <c r="A3624" s="8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9">
        <f>B3624+30</f>
        <v/>
      </c>
      <c r="N3624">
        <f>IF(L3624="", "", L3624-B3624)</f>
        <v/>
      </c>
      <c r="O3624">
        <f>IF(L3624="", "Pending", IF(N3624&lt;=30, "Met", "Breached"))</f>
        <v/>
      </c>
      <c r="P3624" s="8" t="n"/>
      <c r="Q3624" s="8" t="n"/>
      <c r="R3624" s="8" t="n"/>
      <c r="S3624" s="8" t="n"/>
      <c r="T3624" s="8" t="n"/>
      <c r="U3624" s="8" t="n"/>
      <c r="V3624" s="8" t="n"/>
      <c r="W3624" s="8" t="n"/>
      <c r="X3624" s="8" t="n"/>
      <c r="Y3624" s="8" t="n"/>
    </row>
    <row r="3625">
      <c r="A3625" s="8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9">
        <f>B3625+30</f>
        <v/>
      </c>
      <c r="N3625">
        <f>IF(L3625="", "", L3625-B3625)</f>
        <v/>
      </c>
      <c r="O3625">
        <f>IF(L3625="", "Pending", IF(N3625&lt;=30, "Met", "Breached"))</f>
        <v/>
      </c>
      <c r="P3625" s="8" t="n"/>
      <c r="Q3625" s="8" t="n"/>
      <c r="R3625" s="8" t="n"/>
      <c r="S3625" s="8" t="n"/>
      <c r="T3625" s="8" t="n"/>
      <c r="U3625" s="8" t="n"/>
      <c r="V3625" s="8" t="n"/>
      <c r="W3625" s="8" t="n"/>
      <c r="X3625" s="8" t="n"/>
      <c r="Y3625" s="8" t="n"/>
    </row>
    <row r="3626">
      <c r="A3626" s="8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9">
        <f>B3626+30</f>
        <v/>
      </c>
      <c r="N3626">
        <f>IF(L3626="", "", L3626-B3626)</f>
        <v/>
      </c>
      <c r="O3626">
        <f>IF(L3626="", "Pending", IF(N3626&lt;=30, "Met", "Breached"))</f>
        <v/>
      </c>
      <c r="P3626" s="8" t="n"/>
      <c r="Q3626" s="8" t="n"/>
      <c r="R3626" s="8" t="n"/>
      <c r="S3626" s="8" t="n"/>
      <c r="T3626" s="8" t="n"/>
      <c r="U3626" s="8" t="n"/>
      <c r="V3626" s="8" t="n"/>
      <c r="W3626" s="8" t="n"/>
      <c r="X3626" s="8" t="n"/>
      <c r="Y3626" s="8" t="n"/>
    </row>
    <row r="3627">
      <c r="A3627" s="8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9">
        <f>B3627+30</f>
        <v/>
      </c>
      <c r="N3627">
        <f>IF(L3627="", "", L3627-B3627)</f>
        <v/>
      </c>
      <c r="O3627">
        <f>IF(L3627="", "Pending", IF(N3627&lt;=30, "Met", "Breached"))</f>
        <v/>
      </c>
      <c r="P3627" s="8" t="n"/>
      <c r="Q3627" s="8" t="n"/>
      <c r="R3627" s="8" t="n"/>
      <c r="S3627" s="8" t="n"/>
      <c r="T3627" s="8" t="n"/>
      <c r="U3627" s="8" t="n"/>
      <c r="V3627" s="8" t="n"/>
      <c r="W3627" s="8" t="n"/>
      <c r="X3627" s="8" t="n"/>
      <c r="Y3627" s="8" t="n"/>
    </row>
    <row r="3628">
      <c r="A3628" s="8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9">
        <f>B3628+30</f>
        <v/>
      </c>
      <c r="N3628">
        <f>IF(L3628="", "", L3628-B3628)</f>
        <v/>
      </c>
      <c r="O3628">
        <f>IF(L3628="", "Pending", IF(N3628&lt;=30, "Met", "Breached"))</f>
        <v/>
      </c>
      <c r="P3628" s="8" t="n"/>
      <c r="Q3628" s="8" t="n"/>
      <c r="R3628" s="8" t="n"/>
      <c r="S3628" s="8" t="n"/>
      <c r="T3628" s="8" t="n"/>
      <c r="U3628" s="8" t="n"/>
      <c r="V3628" s="8" t="n"/>
      <c r="W3628" s="8" t="n"/>
      <c r="X3628" s="8" t="n"/>
      <c r="Y3628" s="8" t="n"/>
    </row>
    <row r="3629">
      <c r="A3629" s="8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9">
        <f>B3629+30</f>
        <v/>
      </c>
      <c r="N3629">
        <f>IF(L3629="", "", L3629-B3629)</f>
        <v/>
      </c>
      <c r="O3629">
        <f>IF(L3629="", "Pending", IF(N3629&lt;=30, "Met", "Breached"))</f>
        <v/>
      </c>
      <c r="P3629" s="8" t="n"/>
      <c r="Q3629" s="8" t="n"/>
      <c r="R3629" s="8" t="n"/>
      <c r="S3629" s="8" t="n"/>
      <c r="T3629" s="8" t="n"/>
      <c r="U3629" s="8" t="n"/>
      <c r="V3629" s="8" t="n"/>
      <c r="W3629" s="8" t="n"/>
      <c r="X3629" s="8" t="n"/>
      <c r="Y3629" s="8" t="n"/>
    </row>
    <row r="3630">
      <c r="A3630" s="8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9">
        <f>B3630+30</f>
        <v/>
      </c>
      <c r="N3630">
        <f>IF(L3630="", "", L3630-B3630)</f>
        <v/>
      </c>
      <c r="O3630">
        <f>IF(L3630="", "Pending", IF(N3630&lt;=30, "Met", "Breached"))</f>
        <v/>
      </c>
      <c r="P3630" s="8" t="n"/>
      <c r="Q3630" s="8" t="n"/>
      <c r="R3630" s="8" t="n"/>
      <c r="S3630" s="8" t="n"/>
      <c r="T3630" s="8" t="n"/>
      <c r="U3630" s="8" t="n"/>
      <c r="V3630" s="8" t="n"/>
      <c r="W3630" s="8" t="n"/>
      <c r="X3630" s="8" t="n"/>
      <c r="Y3630" s="8" t="n"/>
    </row>
    <row r="3631">
      <c r="A3631" s="8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9">
        <f>B3631+30</f>
        <v/>
      </c>
      <c r="N3631">
        <f>IF(L3631="", "", L3631-B3631)</f>
        <v/>
      </c>
      <c r="O3631">
        <f>IF(L3631="", "Pending", IF(N3631&lt;=30, "Met", "Breached"))</f>
        <v/>
      </c>
      <c r="P3631" s="8" t="n"/>
      <c r="Q3631" s="8" t="n"/>
      <c r="R3631" s="8" t="n"/>
      <c r="S3631" s="8" t="n"/>
      <c r="T3631" s="8" t="n"/>
      <c r="U3631" s="8" t="n"/>
      <c r="V3631" s="8" t="n"/>
      <c r="W3631" s="8" t="n"/>
      <c r="X3631" s="8" t="n"/>
      <c r="Y3631" s="8" t="n"/>
    </row>
    <row r="3632">
      <c r="A3632" s="8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9">
        <f>B3632+30</f>
        <v/>
      </c>
      <c r="N3632">
        <f>IF(L3632="", "", L3632-B3632)</f>
        <v/>
      </c>
      <c r="O3632">
        <f>IF(L3632="", "Pending", IF(N3632&lt;=30, "Met", "Breached"))</f>
        <v/>
      </c>
      <c r="P3632" s="8" t="n"/>
      <c r="Q3632" s="8" t="n"/>
      <c r="R3632" s="8" t="n"/>
      <c r="S3632" s="8" t="n"/>
      <c r="T3632" s="8" t="n"/>
      <c r="U3632" s="8" t="n"/>
      <c r="V3632" s="8" t="n"/>
      <c r="W3632" s="8" t="n"/>
      <c r="X3632" s="8" t="n"/>
      <c r="Y3632" s="8" t="n"/>
    </row>
    <row r="3633">
      <c r="A3633" s="8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9">
        <f>B3633+30</f>
        <v/>
      </c>
      <c r="N3633">
        <f>IF(L3633="", "", L3633-B3633)</f>
        <v/>
      </c>
      <c r="O3633">
        <f>IF(L3633="", "Pending", IF(N3633&lt;=30, "Met", "Breached"))</f>
        <v/>
      </c>
      <c r="P3633" s="8" t="n"/>
      <c r="Q3633" s="8" t="n"/>
      <c r="R3633" s="8" t="n"/>
      <c r="S3633" s="8" t="n"/>
      <c r="T3633" s="8" t="n"/>
      <c r="U3633" s="8" t="n"/>
      <c r="V3633" s="8" t="n"/>
      <c r="W3633" s="8" t="n"/>
      <c r="X3633" s="8" t="n"/>
      <c r="Y3633" s="8" t="n"/>
    </row>
    <row r="3634">
      <c r="A3634" s="8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9">
        <f>B3634+30</f>
        <v/>
      </c>
      <c r="N3634">
        <f>IF(L3634="", "", L3634-B3634)</f>
        <v/>
      </c>
      <c r="O3634">
        <f>IF(L3634="", "Pending", IF(N3634&lt;=30, "Met", "Breached"))</f>
        <v/>
      </c>
      <c r="P3634" s="8" t="n"/>
      <c r="Q3634" s="8" t="n"/>
      <c r="R3634" s="8" t="n"/>
      <c r="S3634" s="8" t="n"/>
      <c r="T3634" s="8" t="n"/>
      <c r="U3634" s="8" t="n"/>
      <c r="V3634" s="8" t="n"/>
      <c r="W3634" s="8" t="n"/>
      <c r="X3634" s="8" t="n"/>
      <c r="Y3634" s="8" t="n"/>
    </row>
    <row r="3635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9">
        <f>B3635+30</f>
        <v/>
      </c>
      <c r="N3635">
        <f>IF(L3635="", "", L3635-B3635)</f>
        <v/>
      </c>
      <c r="O3635">
        <f>IF(L3635="", "Pending", IF(N3635&lt;=30, "Met", "Breached"))</f>
        <v/>
      </c>
      <c r="P3635" s="8" t="n"/>
      <c r="Q3635" s="8" t="n"/>
      <c r="R3635" s="8" t="n"/>
      <c r="S3635" s="8" t="n"/>
      <c r="T3635" s="8" t="n"/>
      <c r="U3635" s="8" t="n"/>
      <c r="V3635" s="8" t="n"/>
      <c r="W3635" s="8" t="n"/>
      <c r="X3635" s="8" t="n"/>
      <c r="Y3635" s="8" t="n"/>
    </row>
    <row r="3636">
      <c r="A3636" s="8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9">
        <f>B3636+30</f>
        <v/>
      </c>
      <c r="N3636">
        <f>IF(L3636="", "", L3636-B3636)</f>
        <v/>
      </c>
      <c r="O3636">
        <f>IF(L3636="", "Pending", IF(N3636&lt;=30, "Met", "Breached"))</f>
        <v/>
      </c>
      <c r="P3636" s="8" t="n"/>
      <c r="Q3636" s="8" t="n"/>
      <c r="R3636" s="8" t="n"/>
      <c r="S3636" s="8" t="n"/>
      <c r="T3636" s="8" t="n"/>
      <c r="U3636" s="8" t="n"/>
      <c r="V3636" s="8" t="n"/>
      <c r="W3636" s="8" t="n"/>
      <c r="X3636" s="8" t="n"/>
      <c r="Y3636" s="8" t="n"/>
    </row>
    <row r="3637">
      <c r="A3637" s="8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9">
        <f>B3637+30</f>
        <v/>
      </c>
      <c r="N3637">
        <f>IF(L3637="", "", L3637-B3637)</f>
        <v/>
      </c>
      <c r="O3637">
        <f>IF(L3637="", "Pending", IF(N3637&lt;=30, "Met", "Breached"))</f>
        <v/>
      </c>
      <c r="P3637" s="8" t="n"/>
      <c r="Q3637" s="8" t="n"/>
      <c r="R3637" s="8" t="n"/>
      <c r="S3637" s="8" t="n"/>
      <c r="T3637" s="8" t="n"/>
      <c r="U3637" s="8" t="n"/>
      <c r="V3637" s="8" t="n"/>
      <c r="W3637" s="8" t="n"/>
      <c r="X3637" s="8" t="n"/>
      <c r="Y3637" s="8" t="n"/>
    </row>
    <row r="3638">
      <c r="A3638" s="8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9">
        <f>B3638+30</f>
        <v/>
      </c>
      <c r="N3638">
        <f>IF(L3638="", "", L3638-B3638)</f>
        <v/>
      </c>
      <c r="O3638">
        <f>IF(L3638="", "Pending", IF(N3638&lt;=30, "Met", "Breached"))</f>
        <v/>
      </c>
      <c r="P3638" s="8" t="n"/>
      <c r="Q3638" s="8" t="n"/>
      <c r="R3638" s="8" t="n"/>
      <c r="S3638" s="8" t="n"/>
      <c r="T3638" s="8" t="n"/>
      <c r="U3638" s="8" t="n"/>
      <c r="V3638" s="8" t="n"/>
      <c r="W3638" s="8" t="n"/>
      <c r="X3638" s="8" t="n"/>
      <c r="Y3638" s="8" t="n"/>
    </row>
    <row r="3639">
      <c r="A3639" s="8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9">
        <f>B3639+30</f>
        <v/>
      </c>
      <c r="N3639">
        <f>IF(L3639="", "", L3639-B3639)</f>
        <v/>
      </c>
      <c r="O3639">
        <f>IF(L3639="", "Pending", IF(N3639&lt;=30, "Met", "Breached"))</f>
        <v/>
      </c>
      <c r="P3639" s="8" t="n"/>
      <c r="Q3639" s="8" t="n"/>
      <c r="R3639" s="8" t="n"/>
      <c r="S3639" s="8" t="n"/>
      <c r="T3639" s="8" t="n"/>
      <c r="U3639" s="8" t="n"/>
      <c r="V3639" s="8" t="n"/>
      <c r="W3639" s="8" t="n"/>
      <c r="X3639" s="8" t="n"/>
      <c r="Y3639" s="8" t="n"/>
    </row>
    <row r="3640">
      <c r="A3640" s="8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9">
        <f>B3640+30</f>
        <v/>
      </c>
      <c r="N3640">
        <f>IF(L3640="", "", L3640-B3640)</f>
        <v/>
      </c>
      <c r="O3640">
        <f>IF(L3640="", "Pending", IF(N3640&lt;=30, "Met", "Breached"))</f>
        <v/>
      </c>
      <c r="P3640" s="8" t="n"/>
      <c r="Q3640" s="8" t="n"/>
      <c r="R3640" s="8" t="n"/>
      <c r="S3640" s="8" t="n"/>
      <c r="T3640" s="8" t="n"/>
      <c r="U3640" s="8" t="n"/>
      <c r="V3640" s="8" t="n"/>
      <c r="W3640" s="8" t="n"/>
      <c r="X3640" s="8" t="n"/>
      <c r="Y3640" s="8" t="n"/>
    </row>
    <row r="3641">
      <c r="A3641" s="8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9">
        <f>B3641+30</f>
        <v/>
      </c>
      <c r="N3641">
        <f>IF(L3641="", "", L3641-B3641)</f>
        <v/>
      </c>
      <c r="O3641">
        <f>IF(L3641="", "Pending", IF(N3641&lt;=30, "Met", "Breached"))</f>
        <v/>
      </c>
      <c r="P3641" s="8" t="n"/>
      <c r="Q3641" s="8" t="n"/>
      <c r="R3641" s="8" t="n"/>
      <c r="S3641" s="8" t="n"/>
      <c r="T3641" s="8" t="n"/>
      <c r="U3641" s="8" t="n"/>
      <c r="V3641" s="8" t="n"/>
      <c r="W3641" s="8" t="n"/>
      <c r="X3641" s="8" t="n"/>
      <c r="Y3641" s="8" t="n"/>
    </row>
    <row r="3642">
      <c r="A3642" s="8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9">
        <f>B3642+30</f>
        <v/>
      </c>
      <c r="N3642">
        <f>IF(L3642="", "", L3642-B3642)</f>
        <v/>
      </c>
      <c r="O3642">
        <f>IF(L3642="", "Pending", IF(N3642&lt;=30, "Met", "Breached"))</f>
        <v/>
      </c>
      <c r="P3642" s="8" t="n"/>
      <c r="Q3642" s="8" t="n"/>
      <c r="R3642" s="8" t="n"/>
      <c r="S3642" s="8" t="n"/>
      <c r="T3642" s="8" t="n"/>
      <c r="U3642" s="8" t="n"/>
      <c r="V3642" s="8" t="n"/>
      <c r="W3642" s="8" t="n"/>
      <c r="X3642" s="8" t="n"/>
      <c r="Y3642" s="8" t="n"/>
    </row>
    <row r="3643">
      <c r="A3643" s="8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9">
        <f>B3643+30</f>
        <v/>
      </c>
      <c r="N3643">
        <f>IF(L3643="", "", L3643-B3643)</f>
        <v/>
      </c>
      <c r="O3643">
        <f>IF(L3643="", "Pending", IF(N3643&lt;=30, "Met", "Breached"))</f>
        <v/>
      </c>
      <c r="P3643" s="8" t="n"/>
      <c r="Q3643" s="8" t="n"/>
      <c r="R3643" s="8" t="n"/>
      <c r="S3643" s="8" t="n"/>
      <c r="T3643" s="8" t="n"/>
      <c r="U3643" s="8" t="n"/>
      <c r="V3643" s="8" t="n"/>
      <c r="W3643" s="8" t="n"/>
      <c r="X3643" s="8" t="n"/>
      <c r="Y3643" s="8" t="n"/>
    </row>
    <row r="3644">
      <c r="A3644" s="8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9">
        <f>B3644+30</f>
        <v/>
      </c>
      <c r="N3644">
        <f>IF(L3644="", "", L3644-B3644)</f>
        <v/>
      </c>
      <c r="O3644">
        <f>IF(L3644="", "Pending", IF(N3644&lt;=30, "Met", "Breached"))</f>
        <v/>
      </c>
      <c r="P3644" s="8" t="n"/>
      <c r="Q3644" s="8" t="n"/>
      <c r="R3644" s="8" t="n"/>
      <c r="S3644" s="8" t="n"/>
      <c r="T3644" s="8" t="n"/>
      <c r="U3644" s="8" t="n"/>
      <c r="V3644" s="8" t="n"/>
      <c r="W3644" s="8" t="n"/>
      <c r="X3644" s="8" t="n"/>
      <c r="Y3644" s="8" t="n"/>
    </row>
    <row r="3645">
      <c r="A3645" s="8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9">
        <f>B3645+30</f>
        <v/>
      </c>
      <c r="N3645">
        <f>IF(L3645="", "", L3645-B3645)</f>
        <v/>
      </c>
      <c r="O3645">
        <f>IF(L3645="", "Pending", IF(N3645&lt;=30, "Met", "Breached"))</f>
        <v/>
      </c>
      <c r="P3645" s="8" t="n"/>
      <c r="Q3645" s="8" t="n"/>
      <c r="R3645" s="8" t="n"/>
      <c r="S3645" s="8" t="n"/>
      <c r="T3645" s="8" t="n"/>
      <c r="U3645" s="8" t="n"/>
      <c r="V3645" s="8" t="n"/>
      <c r="W3645" s="8" t="n"/>
      <c r="X3645" s="8" t="n"/>
      <c r="Y3645" s="8" t="n"/>
    </row>
    <row r="3646">
      <c r="A3646" s="8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9">
        <f>B3646+30</f>
        <v/>
      </c>
      <c r="N3646">
        <f>IF(L3646="", "", L3646-B3646)</f>
        <v/>
      </c>
      <c r="O3646">
        <f>IF(L3646="", "Pending", IF(N3646&lt;=30, "Met", "Breached"))</f>
        <v/>
      </c>
      <c r="P3646" s="8" t="n"/>
      <c r="Q3646" s="8" t="n"/>
      <c r="R3646" s="8" t="n"/>
      <c r="S3646" s="8" t="n"/>
      <c r="T3646" s="8" t="n"/>
      <c r="U3646" s="8" t="n"/>
      <c r="V3646" s="8" t="n"/>
      <c r="W3646" s="8" t="n"/>
      <c r="X3646" s="8" t="n"/>
      <c r="Y3646" s="8" t="n"/>
    </row>
    <row r="3647">
      <c r="A3647" s="8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9">
        <f>B3647+30</f>
        <v/>
      </c>
      <c r="N3647">
        <f>IF(L3647="", "", L3647-B3647)</f>
        <v/>
      </c>
      <c r="O3647">
        <f>IF(L3647="", "Pending", IF(N3647&lt;=30, "Met", "Breached"))</f>
        <v/>
      </c>
      <c r="P3647" s="8" t="n"/>
      <c r="Q3647" s="8" t="n"/>
      <c r="R3647" s="8" t="n"/>
      <c r="S3647" s="8" t="n"/>
      <c r="T3647" s="8" t="n"/>
      <c r="U3647" s="8" t="n"/>
      <c r="V3647" s="8" t="n"/>
      <c r="W3647" s="8" t="n"/>
      <c r="X3647" s="8" t="n"/>
      <c r="Y3647" s="8" t="n"/>
    </row>
    <row r="3648">
      <c r="A3648" s="8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9">
        <f>B3648+30</f>
        <v/>
      </c>
      <c r="N3648">
        <f>IF(L3648="", "", L3648-B3648)</f>
        <v/>
      </c>
      <c r="O3648">
        <f>IF(L3648="", "Pending", IF(N3648&lt;=30, "Met", "Breached"))</f>
        <v/>
      </c>
      <c r="P3648" s="8" t="n"/>
      <c r="Q3648" s="8" t="n"/>
      <c r="R3648" s="8" t="n"/>
      <c r="S3648" s="8" t="n"/>
      <c r="T3648" s="8" t="n"/>
      <c r="U3648" s="8" t="n"/>
      <c r="V3648" s="8" t="n"/>
      <c r="W3648" s="8" t="n"/>
      <c r="X3648" s="8" t="n"/>
      <c r="Y3648" s="8" t="n"/>
    </row>
    <row r="3649">
      <c r="A3649" s="8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9">
        <f>B3649+30</f>
        <v/>
      </c>
      <c r="N3649">
        <f>IF(L3649="", "", L3649-B3649)</f>
        <v/>
      </c>
      <c r="O3649">
        <f>IF(L3649="", "Pending", IF(N3649&lt;=30, "Met", "Breached"))</f>
        <v/>
      </c>
      <c r="P3649" s="8" t="n"/>
      <c r="Q3649" s="8" t="n"/>
      <c r="R3649" s="8" t="n"/>
      <c r="S3649" s="8" t="n"/>
      <c r="T3649" s="8" t="n"/>
      <c r="U3649" s="8" t="n"/>
      <c r="V3649" s="8" t="n"/>
      <c r="W3649" s="8" t="n"/>
      <c r="X3649" s="8" t="n"/>
      <c r="Y3649" s="8" t="n"/>
    </row>
    <row r="3650">
      <c r="A3650" s="8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9">
        <f>B3650+30</f>
        <v/>
      </c>
      <c r="N3650">
        <f>IF(L3650="", "", L3650-B3650)</f>
        <v/>
      </c>
      <c r="O3650">
        <f>IF(L3650="", "Pending", IF(N3650&lt;=30, "Met", "Breached"))</f>
        <v/>
      </c>
      <c r="P3650" s="8" t="n"/>
      <c r="Q3650" s="8" t="n"/>
      <c r="R3650" s="8" t="n"/>
      <c r="S3650" s="8" t="n"/>
      <c r="T3650" s="8" t="n"/>
      <c r="U3650" s="8" t="n"/>
      <c r="V3650" s="8" t="n"/>
      <c r="W3650" s="8" t="n"/>
      <c r="X3650" s="8" t="n"/>
      <c r="Y3650" s="8" t="n"/>
    </row>
    <row r="3651">
      <c r="A3651" s="8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9">
        <f>B3651+30</f>
        <v/>
      </c>
      <c r="N3651">
        <f>IF(L3651="", "", L3651-B3651)</f>
        <v/>
      </c>
      <c r="O3651">
        <f>IF(L3651="", "Pending", IF(N3651&lt;=30, "Met", "Breached"))</f>
        <v/>
      </c>
      <c r="P3651" s="8" t="n"/>
      <c r="Q3651" s="8" t="n"/>
      <c r="R3651" s="8" t="n"/>
      <c r="S3651" s="8" t="n"/>
      <c r="T3651" s="8" t="n"/>
      <c r="U3651" s="8" t="n"/>
      <c r="V3651" s="8" t="n"/>
      <c r="W3651" s="8" t="n"/>
      <c r="X3651" s="8" t="n"/>
      <c r="Y3651" s="8" t="n"/>
    </row>
    <row r="3652">
      <c r="A3652" s="8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9">
        <f>B3652+30</f>
        <v/>
      </c>
      <c r="N3652">
        <f>IF(L3652="", "", L3652-B3652)</f>
        <v/>
      </c>
      <c r="O3652">
        <f>IF(L3652="", "Pending", IF(N3652&lt;=30, "Met", "Breached"))</f>
        <v/>
      </c>
      <c r="P3652" s="8" t="n"/>
      <c r="Q3652" s="8" t="n"/>
      <c r="R3652" s="8" t="n"/>
      <c r="S3652" s="8" t="n"/>
      <c r="T3652" s="8" t="n"/>
      <c r="U3652" s="8" t="n"/>
      <c r="V3652" s="8" t="n"/>
      <c r="W3652" s="8" t="n"/>
      <c r="X3652" s="8" t="n"/>
      <c r="Y3652" s="8" t="n"/>
    </row>
    <row r="3653">
      <c r="A3653" s="8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9">
        <f>B3653+30</f>
        <v/>
      </c>
      <c r="N3653">
        <f>IF(L3653="", "", L3653-B3653)</f>
        <v/>
      </c>
      <c r="O3653">
        <f>IF(L3653="", "Pending", IF(N3653&lt;=30, "Met", "Breached"))</f>
        <v/>
      </c>
      <c r="P3653" s="8" t="n"/>
      <c r="Q3653" s="8" t="n"/>
      <c r="R3653" s="8" t="n"/>
      <c r="S3653" s="8" t="n"/>
      <c r="T3653" s="8" t="n"/>
      <c r="U3653" s="8" t="n"/>
      <c r="V3653" s="8" t="n"/>
      <c r="W3653" s="8" t="n"/>
      <c r="X3653" s="8" t="n"/>
      <c r="Y3653" s="8" t="n"/>
    </row>
    <row r="3654">
      <c r="A3654" s="8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9">
        <f>B3654+30</f>
        <v/>
      </c>
      <c r="N3654">
        <f>IF(L3654="", "", L3654-B3654)</f>
        <v/>
      </c>
      <c r="O3654">
        <f>IF(L3654="", "Pending", IF(N3654&lt;=30, "Met", "Breached"))</f>
        <v/>
      </c>
      <c r="P3654" s="8" t="n"/>
      <c r="Q3654" s="8" t="n"/>
      <c r="R3654" s="8" t="n"/>
      <c r="S3654" s="8" t="n"/>
      <c r="T3654" s="8" t="n"/>
      <c r="U3654" s="8" t="n"/>
      <c r="V3654" s="8" t="n"/>
      <c r="W3654" s="8" t="n"/>
      <c r="X3654" s="8" t="n"/>
      <c r="Y3654" s="8" t="n"/>
    </row>
    <row r="3655">
      <c r="A3655" s="8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9">
        <f>B3655+30</f>
        <v/>
      </c>
      <c r="N3655">
        <f>IF(L3655="", "", L3655-B3655)</f>
        <v/>
      </c>
      <c r="O3655">
        <f>IF(L3655="", "Pending", IF(N3655&lt;=30, "Met", "Breached"))</f>
        <v/>
      </c>
      <c r="P3655" s="8" t="n"/>
      <c r="Q3655" s="8" t="n"/>
      <c r="R3655" s="8" t="n"/>
      <c r="S3655" s="8" t="n"/>
      <c r="T3655" s="8" t="n"/>
      <c r="U3655" s="8" t="n"/>
      <c r="V3655" s="8" t="n"/>
      <c r="W3655" s="8" t="n"/>
      <c r="X3655" s="8" t="n"/>
      <c r="Y3655" s="8" t="n"/>
    </row>
    <row r="3656">
      <c r="A3656" s="8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9">
        <f>B3656+30</f>
        <v/>
      </c>
      <c r="N3656">
        <f>IF(L3656="", "", L3656-B3656)</f>
        <v/>
      </c>
      <c r="O3656">
        <f>IF(L3656="", "Pending", IF(N3656&lt;=30, "Met", "Breached"))</f>
        <v/>
      </c>
      <c r="P3656" s="8" t="n"/>
      <c r="Q3656" s="8" t="n"/>
      <c r="R3656" s="8" t="n"/>
      <c r="S3656" s="8" t="n"/>
      <c r="T3656" s="8" t="n"/>
      <c r="U3656" s="8" t="n"/>
      <c r="V3656" s="8" t="n"/>
      <c r="W3656" s="8" t="n"/>
      <c r="X3656" s="8" t="n"/>
      <c r="Y3656" s="8" t="n"/>
    </row>
    <row r="3657">
      <c r="A3657" s="8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9">
        <f>B3657+30</f>
        <v/>
      </c>
      <c r="N3657">
        <f>IF(L3657="", "", L3657-B3657)</f>
        <v/>
      </c>
      <c r="O3657">
        <f>IF(L3657="", "Pending", IF(N3657&lt;=30, "Met", "Breached"))</f>
        <v/>
      </c>
      <c r="P3657" s="8" t="n"/>
      <c r="Q3657" s="8" t="n"/>
      <c r="R3657" s="8" t="n"/>
      <c r="S3657" s="8" t="n"/>
      <c r="T3657" s="8" t="n"/>
      <c r="U3657" s="8" t="n"/>
      <c r="V3657" s="8" t="n"/>
      <c r="W3657" s="8" t="n"/>
      <c r="X3657" s="8" t="n"/>
      <c r="Y3657" s="8" t="n"/>
    </row>
    <row r="3658">
      <c r="A3658" s="8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9">
        <f>B3658+30</f>
        <v/>
      </c>
      <c r="N3658">
        <f>IF(L3658="", "", L3658-B3658)</f>
        <v/>
      </c>
      <c r="O3658">
        <f>IF(L3658="", "Pending", IF(N3658&lt;=30, "Met", "Breached"))</f>
        <v/>
      </c>
      <c r="P3658" s="8" t="n"/>
      <c r="Q3658" s="8" t="n"/>
      <c r="R3658" s="8" t="n"/>
      <c r="S3658" s="8" t="n"/>
      <c r="T3658" s="8" t="n"/>
      <c r="U3658" s="8" t="n"/>
      <c r="V3658" s="8" t="n"/>
      <c r="W3658" s="8" t="n"/>
      <c r="X3658" s="8" t="n"/>
      <c r="Y3658" s="8" t="n"/>
    </row>
    <row r="3659">
      <c r="A3659" s="8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9">
        <f>B3659+30</f>
        <v/>
      </c>
      <c r="N3659">
        <f>IF(L3659="", "", L3659-B3659)</f>
        <v/>
      </c>
      <c r="O3659">
        <f>IF(L3659="", "Pending", IF(N3659&lt;=30, "Met", "Breached"))</f>
        <v/>
      </c>
      <c r="P3659" s="8" t="n"/>
      <c r="Q3659" s="8" t="n"/>
      <c r="R3659" s="8" t="n"/>
      <c r="S3659" s="8" t="n"/>
      <c r="T3659" s="8" t="n"/>
      <c r="U3659" s="8" t="n"/>
      <c r="V3659" s="8" t="n"/>
      <c r="W3659" s="8" t="n"/>
      <c r="X3659" s="8" t="n"/>
      <c r="Y3659" s="8" t="n"/>
    </row>
    <row r="3660">
      <c r="A3660" s="8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9">
        <f>B3660+30</f>
        <v/>
      </c>
      <c r="N3660">
        <f>IF(L3660="", "", L3660-B3660)</f>
        <v/>
      </c>
      <c r="O3660">
        <f>IF(L3660="", "Pending", IF(N3660&lt;=30, "Met", "Breached"))</f>
        <v/>
      </c>
      <c r="P3660" s="8" t="n"/>
      <c r="Q3660" s="8" t="n"/>
      <c r="R3660" s="8" t="n"/>
      <c r="S3660" s="8" t="n"/>
      <c r="T3660" s="8" t="n"/>
      <c r="U3660" s="8" t="n"/>
      <c r="V3660" s="8" t="n"/>
      <c r="W3660" s="8" t="n"/>
      <c r="X3660" s="8" t="n"/>
      <c r="Y3660" s="8" t="n"/>
    </row>
    <row r="3661">
      <c r="A3661" s="8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9">
        <f>B3661+30</f>
        <v/>
      </c>
      <c r="N3661">
        <f>IF(L3661="", "", L3661-B3661)</f>
        <v/>
      </c>
      <c r="O3661">
        <f>IF(L3661="", "Pending", IF(N3661&lt;=30, "Met", "Breached"))</f>
        <v/>
      </c>
      <c r="P3661" s="8" t="n"/>
      <c r="Q3661" s="8" t="n"/>
      <c r="R3661" s="8" t="n"/>
      <c r="S3661" s="8" t="n"/>
      <c r="T3661" s="8" t="n"/>
      <c r="U3661" s="8" t="n"/>
      <c r="V3661" s="8" t="n"/>
      <c r="W3661" s="8" t="n"/>
      <c r="X3661" s="8" t="n"/>
      <c r="Y3661" s="8" t="n"/>
    </row>
    <row r="3662">
      <c r="A3662" s="8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9">
        <f>B3662+30</f>
        <v/>
      </c>
      <c r="N3662">
        <f>IF(L3662="", "", L3662-B3662)</f>
        <v/>
      </c>
      <c r="O3662">
        <f>IF(L3662="", "Pending", IF(N3662&lt;=30, "Met", "Breached"))</f>
        <v/>
      </c>
      <c r="P3662" s="8" t="n"/>
      <c r="Q3662" s="8" t="n"/>
      <c r="R3662" s="8" t="n"/>
      <c r="S3662" s="8" t="n"/>
      <c r="T3662" s="8" t="n"/>
      <c r="U3662" s="8" t="n"/>
      <c r="V3662" s="8" t="n"/>
      <c r="W3662" s="8" t="n"/>
      <c r="X3662" s="8" t="n"/>
      <c r="Y3662" s="8" t="n"/>
    </row>
    <row r="3663">
      <c r="A3663" s="8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9">
        <f>B3663+30</f>
        <v/>
      </c>
      <c r="N3663">
        <f>IF(L3663="", "", L3663-B3663)</f>
        <v/>
      </c>
      <c r="O3663">
        <f>IF(L3663="", "Pending", IF(N3663&lt;=30, "Met", "Breached"))</f>
        <v/>
      </c>
      <c r="P3663" s="8" t="n"/>
      <c r="Q3663" s="8" t="n"/>
      <c r="R3663" s="8" t="n"/>
      <c r="S3663" s="8" t="n"/>
      <c r="T3663" s="8" t="n"/>
      <c r="U3663" s="8" t="n"/>
      <c r="V3663" s="8" t="n"/>
      <c r="W3663" s="8" t="n"/>
      <c r="X3663" s="8" t="n"/>
      <c r="Y3663" s="8" t="n"/>
    </row>
    <row r="3664">
      <c r="A3664" s="8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9">
        <f>B3664+30</f>
        <v/>
      </c>
      <c r="N3664">
        <f>IF(L3664="", "", L3664-B3664)</f>
        <v/>
      </c>
      <c r="O3664">
        <f>IF(L3664="", "Pending", IF(N3664&lt;=30, "Met", "Breached"))</f>
        <v/>
      </c>
      <c r="P3664" s="8" t="n"/>
      <c r="Q3664" s="8" t="n"/>
      <c r="R3664" s="8" t="n"/>
      <c r="S3664" s="8" t="n"/>
      <c r="T3664" s="8" t="n"/>
      <c r="U3664" s="8" t="n"/>
      <c r="V3664" s="8" t="n"/>
      <c r="W3664" s="8" t="n"/>
      <c r="X3664" s="8" t="n"/>
      <c r="Y3664" s="8" t="n"/>
    </row>
    <row r="3665">
      <c r="A3665" s="8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9">
        <f>B3665+30</f>
        <v/>
      </c>
      <c r="N3665">
        <f>IF(L3665="", "", L3665-B3665)</f>
        <v/>
      </c>
      <c r="O3665">
        <f>IF(L3665="", "Pending", IF(N3665&lt;=30, "Met", "Breached"))</f>
        <v/>
      </c>
      <c r="P3665" s="8" t="n"/>
      <c r="Q3665" s="8" t="n"/>
      <c r="R3665" s="8" t="n"/>
      <c r="S3665" s="8" t="n"/>
      <c r="T3665" s="8" t="n"/>
      <c r="U3665" s="8" t="n"/>
      <c r="V3665" s="8" t="n"/>
      <c r="W3665" s="8" t="n"/>
      <c r="X3665" s="8" t="n"/>
      <c r="Y3665" s="8" t="n"/>
    </row>
    <row r="3666">
      <c r="A3666" s="8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9">
        <f>B3666+30</f>
        <v/>
      </c>
      <c r="N3666">
        <f>IF(L3666="", "", L3666-B3666)</f>
        <v/>
      </c>
      <c r="O3666">
        <f>IF(L3666="", "Pending", IF(N3666&lt;=30, "Met", "Breached"))</f>
        <v/>
      </c>
      <c r="P3666" s="8" t="n"/>
      <c r="Q3666" s="8" t="n"/>
      <c r="R3666" s="8" t="n"/>
      <c r="S3666" s="8" t="n"/>
      <c r="T3666" s="8" t="n"/>
      <c r="U3666" s="8" t="n"/>
      <c r="V3666" s="8" t="n"/>
      <c r="W3666" s="8" t="n"/>
      <c r="X3666" s="8" t="n"/>
      <c r="Y3666" s="8" t="n"/>
    </row>
    <row r="3667">
      <c r="A3667" s="8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9">
        <f>B3667+30</f>
        <v/>
      </c>
      <c r="N3667">
        <f>IF(L3667="", "", L3667-B3667)</f>
        <v/>
      </c>
      <c r="O3667">
        <f>IF(L3667="", "Pending", IF(N3667&lt;=30, "Met", "Breached"))</f>
        <v/>
      </c>
      <c r="P3667" s="8" t="n"/>
      <c r="Q3667" s="8" t="n"/>
      <c r="R3667" s="8" t="n"/>
      <c r="S3667" s="8" t="n"/>
      <c r="T3667" s="8" t="n"/>
      <c r="U3667" s="8" t="n"/>
      <c r="V3667" s="8" t="n"/>
      <c r="W3667" s="8" t="n"/>
      <c r="X3667" s="8" t="n"/>
      <c r="Y3667" s="8" t="n"/>
    </row>
    <row r="3668">
      <c r="A3668" s="8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9">
        <f>B3668+30</f>
        <v/>
      </c>
      <c r="N3668">
        <f>IF(L3668="", "", L3668-B3668)</f>
        <v/>
      </c>
      <c r="O3668">
        <f>IF(L3668="", "Pending", IF(N3668&lt;=30, "Met", "Breached"))</f>
        <v/>
      </c>
      <c r="P3668" s="8" t="n"/>
      <c r="Q3668" s="8" t="n"/>
      <c r="R3668" s="8" t="n"/>
      <c r="S3668" s="8" t="n"/>
      <c r="T3668" s="8" t="n"/>
      <c r="U3668" s="8" t="n"/>
      <c r="V3668" s="8" t="n"/>
      <c r="W3668" s="8" t="n"/>
      <c r="X3668" s="8" t="n"/>
      <c r="Y3668" s="8" t="n"/>
    </row>
    <row r="3669">
      <c r="A3669" s="8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9">
        <f>B3669+30</f>
        <v/>
      </c>
      <c r="N3669">
        <f>IF(L3669="", "", L3669-B3669)</f>
        <v/>
      </c>
      <c r="O3669">
        <f>IF(L3669="", "Pending", IF(N3669&lt;=30, "Met", "Breached"))</f>
        <v/>
      </c>
      <c r="P3669" s="8" t="n"/>
      <c r="Q3669" s="8" t="n"/>
      <c r="R3669" s="8" t="n"/>
      <c r="S3669" s="8" t="n"/>
      <c r="T3669" s="8" t="n"/>
      <c r="U3669" s="8" t="n"/>
      <c r="V3669" s="8" t="n"/>
      <c r="W3669" s="8" t="n"/>
      <c r="X3669" s="8" t="n"/>
      <c r="Y3669" s="8" t="n"/>
    </row>
    <row r="3670">
      <c r="A3670" s="8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9">
        <f>B3670+30</f>
        <v/>
      </c>
      <c r="N3670">
        <f>IF(L3670="", "", L3670-B3670)</f>
        <v/>
      </c>
      <c r="O3670">
        <f>IF(L3670="", "Pending", IF(N3670&lt;=30, "Met", "Breached"))</f>
        <v/>
      </c>
      <c r="P3670" s="8" t="n"/>
      <c r="Q3670" s="8" t="n"/>
      <c r="R3670" s="8" t="n"/>
      <c r="S3670" s="8" t="n"/>
      <c r="T3670" s="8" t="n"/>
      <c r="U3670" s="8" t="n"/>
      <c r="V3670" s="8" t="n"/>
      <c r="W3670" s="8" t="n"/>
      <c r="X3670" s="8" t="n"/>
      <c r="Y3670" s="8" t="n"/>
    </row>
    <row r="3671">
      <c r="A3671" s="8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9">
        <f>B3671+30</f>
        <v/>
      </c>
      <c r="N3671">
        <f>IF(L3671="", "", L3671-B3671)</f>
        <v/>
      </c>
      <c r="O3671">
        <f>IF(L3671="", "Pending", IF(N3671&lt;=30, "Met", "Breached"))</f>
        <v/>
      </c>
      <c r="P3671" s="8" t="n"/>
      <c r="Q3671" s="8" t="n"/>
      <c r="R3671" s="8" t="n"/>
      <c r="S3671" s="8" t="n"/>
      <c r="T3671" s="8" t="n"/>
      <c r="U3671" s="8" t="n"/>
      <c r="V3671" s="8" t="n"/>
      <c r="W3671" s="8" t="n"/>
      <c r="X3671" s="8" t="n"/>
      <c r="Y3671" s="8" t="n"/>
    </row>
    <row r="3672">
      <c r="A3672" s="8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9">
        <f>B3672+30</f>
        <v/>
      </c>
      <c r="N3672">
        <f>IF(L3672="", "", L3672-B3672)</f>
        <v/>
      </c>
      <c r="O3672">
        <f>IF(L3672="", "Pending", IF(N3672&lt;=30, "Met", "Breached"))</f>
        <v/>
      </c>
      <c r="P3672" s="8" t="n"/>
      <c r="Q3672" s="8" t="n"/>
      <c r="R3672" s="8" t="n"/>
      <c r="S3672" s="8" t="n"/>
      <c r="T3672" s="8" t="n"/>
      <c r="U3672" s="8" t="n"/>
      <c r="V3672" s="8" t="n"/>
      <c r="W3672" s="8" t="n"/>
      <c r="X3672" s="8" t="n"/>
      <c r="Y3672" s="8" t="n"/>
    </row>
    <row r="3673">
      <c r="A3673" s="8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9">
        <f>B3673+30</f>
        <v/>
      </c>
      <c r="N3673">
        <f>IF(L3673="", "", L3673-B3673)</f>
        <v/>
      </c>
      <c r="O3673">
        <f>IF(L3673="", "Pending", IF(N3673&lt;=30, "Met", "Breached"))</f>
        <v/>
      </c>
      <c r="P3673" s="8" t="n"/>
      <c r="Q3673" s="8" t="n"/>
      <c r="R3673" s="8" t="n"/>
      <c r="S3673" s="8" t="n"/>
      <c r="T3673" s="8" t="n"/>
      <c r="U3673" s="8" t="n"/>
      <c r="V3673" s="8" t="n"/>
      <c r="W3673" s="8" t="n"/>
      <c r="X3673" s="8" t="n"/>
      <c r="Y3673" s="8" t="n"/>
    </row>
    <row r="3674">
      <c r="A3674" s="8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9">
        <f>B3674+30</f>
        <v/>
      </c>
      <c r="N3674">
        <f>IF(L3674="", "", L3674-B3674)</f>
        <v/>
      </c>
      <c r="O3674">
        <f>IF(L3674="", "Pending", IF(N3674&lt;=30, "Met", "Breached"))</f>
        <v/>
      </c>
      <c r="P3674" s="8" t="n"/>
      <c r="Q3674" s="8" t="n"/>
      <c r="R3674" s="8" t="n"/>
      <c r="S3674" s="8" t="n"/>
      <c r="T3674" s="8" t="n"/>
      <c r="U3674" s="8" t="n"/>
      <c r="V3674" s="8" t="n"/>
      <c r="W3674" s="8" t="n"/>
      <c r="X3674" s="8" t="n"/>
      <c r="Y3674" s="8" t="n"/>
    </row>
    <row r="3675">
      <c r="A3675" s="8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9">
        <f>B3675+30</f>
        <v/>
      </c>
      <c r="N3675">
        <f>IF(L3675="", "", L3675-B3675)</f>
        <v/>
      </c>
      <c r="O3675">
        <f>IF(L3675="", "Pending", IF(N3675&lt;=30, "Met", "Breached"))</f>
        <v/>
      </c>
      <c r="P3675" s="8" t="n"/>
      <c r="Q3675" s="8" t="n"/>
      <c r="R3675" s="8" t="n"/>
      <c r="S3675" s="8" t="n"/>
      <c r="T3675" s="8" t="n"/>
      <c r="U3675" s="8" t="n"/>
      <c r="V3675" s="8" t="n"/>
      <c r="W3675" s="8" t="n"/>
      <c r="X3675" s="8" t="n"/>
      <c r="Y3675" s="8" t="n"/>
    </row>
    <row r="3676">
      <c r="A3676" s="8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9">
        <f>B3676+30</f>
        <v/>
      </c>
      <c r="N3676">
        <f>IF(L3676="", "", L3676-B3676)</f>
        <v/>
      </c>
      <c r="O3676">
        <f>IF(L3676="", "Pending", IF(N3676&lt;=30, "Met", "Breached"))</f>
        <v/>
      </c>
      <c r="P3676" s="8" t="n"/>
      <c r="Q3676" s="8" t="n"/>
      <c r="R3676" s="8" t="n"/>
      <c r="S3676" s="8" t="n"/>
      <c r="T3676" s="8" t="n"/>
      <c r="U3676" s="8" t="n"/>
      <c r="V3676" s="8" t="n"/>
      <c r="W3676" s="8" t="n"/>
      <c r="X3676" s="8" t="n"/>
      <c r="Y3676" s="8" t="n"/>
    </row>
    <row r="3677">
      <c r="A3677" s="8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9">
        <f>B3677+30</f>
        <v/>
      </c>
      <c r="N3677">
        <f>IF(L3677="", "", L3677-B3677)</f>
        <v/>
      </c>
      <c r="O3677">
        <f>IF(L3677="", "Pending", IF(N3677&lt;=30, "Met", "Breached"))</f>
        <v/>
      </c>
      <c r="P3677" s="8" t="n"/>
      <c r="Q3677" s="8" t="n"/>
      <c r="R3677" s="8" t="n"/>
      <c r="S3677" s="8" t="n"/>
      <c r="T3677" s="8" t="n"/>
      <c r="U3677" s="8" t="n"/>
      <c r="V3677" s="8" t="n"/>
      <c r="W3677" s="8" t="n"/>
      <c r="X3677" s="8" t="n"/>
      <c r="Y3677" s="8" t="n"/>
    </row>
    <row r="3678">
      <c r="A3678" s="8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9">
        <f>B3678+30</f>
        <v/>
      </c>
      <c r="N3678">
        <f>IF(L3678="", "", L3678-B3678)</f>
        <v/>
      </c>
      <c r="O3678">
        <f>IF(L3678="", "Pending", IF(N3678&lt;=30, "Met", "Breached"))</f>
        <v/>
      </c>
      <c r="P3678" s="8" t="n"/>
      <c r="Q3678" s="8" t="n"/>
      <c r="R3678" s="8" t="n"/>
      <c r="S3678" s="8" t="n"/>
      <c r="T3678" s="8" t="n"/>
      <c r="U3678" s="8" t="n"/>
      <c r="V3678" s="8" t="n"/>
      <c r="W3678" s="8" t="n"/>
      <c r="X3678" s="8" t="n"/>
      <c r="Y3678" s="8" t="n"/>
    </row>
    <row r="3679">
      <c r="A3679" s="8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9">
        <f>B3679+30</f>
        <v/>
      </c>
      <c r="N3679">
        <f>IF(L3679="", "", L3679-B3679)</f>
        <v/>
      </c>
      <c r="O3679">
        <f>IF(L3679="", "Pending", IF(N3679&lt;=30, "Met", "Breached"))</f>
        <v/>
      </c>
      <c r="P3679" s="8" t="n"/>
      <c r="Q3679" s="8" t="n"/>
      <c r="R3679" s="8" t="n"/>
      <c r="S3679" s="8" t="n"/>
      <c r="T3679" s="8" t="n"/>
      <c r="U3679" s="8" t="n"/>
      <c r="V3679" s="8" t="n"/>
      <c r="W3679" s="8" t="n"/>
      <c r="X3679" s="8" t="n"/>
      <c r="Y3679" s="8" t="n"/>
    </row>
    <row r="3680">
      <c r="A3680" s="8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9">
        <f>B3680+30</f>
        <v/>
      </c>
      <c r="N3680">
        <f>IF(L3680="", "", L3680-B3680)</f>
        <v/>
      </c>
      <c r="O3680">
        <f>IF(L3680="", "Pending", IF(N3680&lt;=30, "Met", "Breached"))</f>
        <v/>
      </c>
      <c r="P3680" s="8" t="n"/>
      <c r="Q3680" s="8" t="n"/>
      <c r="R3680" s="8" t="n"/>
      <c r="S3680" s="8" t="n"/>
      <c r="T3680" s="8" t="n"/>
      <c r="U3680" s="8" t="n"/>
      <c r="V3680" s="8" t="n"/>
      <c r="W3680" s="8" t="n"/>
      <c r="X3680" s="8" t="n"/>
      <c r="Y3680" s="8" t="n"/>
    </row>
    <row r="3681">
      <c r="A3681" s="8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9">
        <f>B3681+30</f>
        <v/>
      </c>
      <c r="N3681">
        <f>IF(L3681="", "", L3681-B3681)</f>
        <v/>
      </c>
      <c r="O3681">
        <f>IF(L3681="", "Pending", IF(N3681&lt;=30, "Met", "Breached"))</f>
        <v/>
      </c>
      <c r="P3681" s="8" t="n"/>
      <c r="Q3681" s="8" t="n"/>
      <c r="R3681" s="8" t="n"/>
      <c r="S3681" s="8" t="n"/>
      <c r="T3681" s="8" t="n"/>
      <c r="U3681" s="8" t="n"/>
      <c r="V3681" s="8" t="n"/>
      <c r="W3681" s="8" t="n"/>
      <c r="X3681" s="8" t="n"/>
      <c r="Y3681" s="8" t="n"/>
    </row>
    <row r="3682">
      <c r="A3682" s="8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9">
        <f>B3682+30</f>
        <v/>
      </c>
      <c r="N3682">
        <f>IF(L3682="", "", L3682-B3682)</f>
        <v/>
      </c>
      <c r="O3682">
        <f>IF(L3682="", "Pending", IF(N3682&lt;=30, "Met", "Breached"))</f>
        <v/>
      </c>
      <c r="P3682" s="8" t="n"/>
      <c r="Q3682" s="8" t="n"/>
      <c r="R3682" s="8" t="n"/>
      <c r="S3682" s="8" t="n"/>
      <c r="T3682" s="8" t="n"/>
      <c r="U3682" s="8" t="n"/>
      <c r="V3682" s="8" t="n"/>
      <c r="W3682" s="8" t="n"/>
      <c r="X3682" s="8" t="n"/>
      <c r="Y3682" s="8" t="n"/>
    </row>
    <row r="3683">
      <c r="A3683" s="8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9">
        <f>B3683+30</f>
        <v/>
      </c>
      <c r="N3683">
        <f>IF(L3683="", "", L3683-B3683)</f>
        <v/>
      </c>
      <c r="O3683">
        <f>IF(L3683="", "Pending", IF(N3683&lt;=30, "Met", "Breached"))</f>
        <v/>
      </c>
      <c r="P3683" s="8" t="n"/>
      <c r="Q3683" s="8" t="n"/>
      <c r="R3683" s="8" t="n"/>
      <c r="S3683" s="8" t="n"/>
      <c r="T3683" s="8" t="n"/>
      <c r="U3683" s="8" t="n"/>
      <c r="V3683" s="8" t="n"/>
      <c r="W3683" s="8" t="n"/>
      <c r="X3683" s="8" t="n"/>
      <c r="Y3683" s="8" t="n"/>
    </row>
    <row r="3684">
      <c r="A3684" s="8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9">
        <f>B3684+30</f>
        <v/>
      </c>
      <c r="N3684">
        <f>IF(L3684="", "", L3684-B3684)</f>
        <v/>
      </c>
      <c r="O3684">
        <f>IF(L3684="", "Pending", IF(N3684&lt;=30, "Met", "Breached"))</f>
        <v/>
      </c>
      <c r="P3684" s="8" t="n"/>
      <c r="Q3684" s="8" t="n"/>
      <c r="R3684" s="8" t="n"/>
      <c r="S3684" s="8" t="n"/>
      <c r="T3684" s="8" t="n"/>
      <c r="U3684" s="8" t="n"/>
      <c r="V3684" s="8" t="n"/>
      <c r="W3684" s="8" t="n"/>
      <c r="X3684" s="8" t="n"/>
      <c r="Y3684" s="8" t="n"/>
    </row>
    <row r="3685">
      <c r="A3685" s="8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9">
        <f>B3685+30</f>
        <v/>
      </c>
      <c r="N3685">
        <f>IF(L3685="", "", L3685-B3685)</f>
        <v/>
      </c>
      <c r="O3685">
        <f>IF(L3685="", "Pending", IF(N3685&lt;=30, "Met", "Breached"))</f>
        <v/>
      </c>
      <c r="P3685" s="8" t="n"/>
      <c r="Q3685" s="8" t="n"/>
      <c r="R3685" s="8" t="n"/>
      <c r="S3685" s="8" t="n"/>
      <c r="T3685" s="8" t="n"/>
      <c r="U3685" s="8" t="n"/>
      <c r="V3685" s="8" t="n"/>
      <c r="W3685" s="8" t="n"/>
      <c r="X3685" s="8" t="n"/>
      <c r="Y3685" s="8" t="n"/>
    </row>
    <row r="3686">
      <c r="A3686" s="8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9">
        <f>B3686+30</f>
        <v/>
      </c>
      <c r="N3686">
        <f>IF(L3686="", "", L3686-B3686)</f>
        <v/>
      </c>
      <c r="O3686">
        <f>IF(L3686="", "Pending", IF(N3686&lt;=30, "Met", "Breached"))</f>
        <v/>
      </c>
      <c r="P3686" s="8" t="n"/>
      <c r="Q3686" s="8" t="n"/>
      <c r="R3686" s="8" t="n"/>
      <c r="S3686" s="8" t="n"/>
      <c r="T3686" s="8" t="n"/>
      <c r="U3686" s="8" t="n"/>
      <c r="V3686" s="8" t="n"/>
      <c r="W3686" s="8" t="n"/>
      <c r="X3686" s="8" t="n"/>
      <c r="Y3686" s="8" t="n"/>
    </row>
    <row r="3687">
      <c r="A3687" s="8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9">
        <f>B3687+30</f>
        <v/>
      </c>
      <c r="N3687">
        <f>IF(L3687="", "", L3687-B3687)</f>
        <v/>
      </c>
      <c r="O3687">
        <f>IF(L3687="", "Pending", IF(N3687&lt;=30, "Met", "Breached"))</f>
        <v/>
      </c>
      <c r="P3687" s="8" t="n"/>
      <c r="Q3687" s="8" t="n"/>
      <c r="R3687" s="8" t="n"/>
      <c r="S3687" s="8" t="n"/>
      <c r="T3687" s="8" t="n"/>
      <c r="U3687" s="8" t="n"/>
      <c r="V3687" s="8" t="n"/>
      <c r="W3687" s="8" t="n"/>
      <c r="X3687" s="8" t="n"/>
      <c r="Y3687" s="8" t="n"/>
    </row>
    <row r="3688">
      <c r="A3688" s="8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9">
        <f>B3688+30</f>
        <v/>
      </c>
      <c r="N3688">
        <f>IF(L3688="", "", L3688-B3688)</f>
        <v/>
      </c>
      <c r="O3688">
        <f>IF(L3688="", "Pending", IF(N3688&lt;=30, "Met", "Breached"))</f>
        <v/>
      </c>
      <c r="P3688" s="8" t="n"/>
      <c r="Q3688" s="8" t="n"/>
      <c r="R3688" s="8" t="n"/>
      <c r="S3688" s="8" t="n"/>
      <c r="T3688" s="8" t="n"/>
      <c r="U3688" s="8" t="n"/>
      <c r="V3688" s="8" t="n"/>
      <c r="W3688" s="8" t="n"/>
      <c r="X3688" s="8" t="n"/>
      <c r="Y3688" s="8" t="n"/>
    </row>
    <row r="3689">
      <c r="A3689" s="8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9">
        <f>B3689+30</f>
        <v/>
      </c>
      <c r="N3689">
        <f>IF(L3689="", "", L3689-B3689)</f>
        <v/>
      </c>
      <c r="O3689">
        <f>IF(L3689="", "Pending", IF(N3689&lt;=30, "Met", "Breached"))</f>
        <v/>
      </c>
      <c r="P3689" s="8" t="n"/>
      <c r="Q3689" s="8" t="n"/>
      <c r="R3689" s="8" t="n"/>
      <c r="S3689" s="8" t="n"/>
      <c r="T3689" s="8" t="n"/>
      <c r="U3689" s="8" t="n"/>
      <c r="V3689" s="8" t="n"/>
      <c r="W3689" s="8" t="n"/>
      <c r="X3689" s="8" t="n"/>
      <c r="Y3689" s="8" t="n"/>
    </row>
    <row r="3690">
      <c r="A3690" s="8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9">
        <f>B3690+30</f>
        <v/>
      </c>
      <c r="N3690">
        <f>IF(L3690="", "", L3690-B3690)</f>
        <v/>
      </c>
      <c r="O3690">
        <f>IF(L3690="", "Pending", IF(N3690&lt;=30, "Met", "Breached"))</f>
        <v/>
      </c>
      <c r="P3690" s="8" t="n"/>
      <c r="Q3690" s="8" t="n"/>
      <c r="R3690" s="8" t="n"/>
      <c r="S3690" s="8" t="n"/>
      <c r="T3690" s="8" t="n"/>
      <c r="U3690" s="8" t="n"/>
      <c r="V3690" s="8" t="n"/>
      <c r="W3690" s="8" t="n"/>
      <c r="X3690" s="8" t="n"/>
      <c r="Y3690" s="8" t="n"/>
    </row>
    <row r="3691">
      <c r="A3691" s="8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9">
        <f>B3691+30</f>
        <v/>
      </c>
      <c r="N3691">
        <f>IF(L3691="", "", L3691-B3691)</f>
        <v/>
      </c>
      <c r="O3691">
        <f>IF(L3691="", "Pending", IF(N3691&lt;=30, "Met", "Breached"))</f>
        <v/>
      </c>
      <c r="P3691" s="8" t="n"/>
      <c r="Q3691" s="8" t="n"/>
      <c r="R3691" s="8" t="n"/>
      <c r="S3691" s="8" t="n"/>
      <c r="T3691" s="8" t="n"/>
      <c r="U3691" s="8" t="n"/>
      <c r="V3691" s="8" t="n"/>
      <c r="W3691" s="8" t="n"/>
      <c r="X3691" s="8" t="n"/>
      <c r="Y3691" s="8" t="n"/>
    </row>
    <row r="3692">
      <c r="A3692" s="8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9">
        <f>B3692+30</f>
        <v/>
      </c>
      <c r="N3692">
        <f>IF(L3692="", "", L3692-B3692)</f>
        <v/>
      </c>
      <c r="O3692">
        <f>IF(L3692="", "Pending", IF(N3692&lt;=30, "Met", "Breached"))</f>
        <v/>
      </c>
      <c r="P3692" s="8" t="n"/>
      <c r="Q3692" s="8" t="n"/>
      <c r="R3692" s="8" t="n"/>
      <c r="S3692" s="8" t="n"/>
      <c r="T3692" s="8" t="n"/>
      <c r="U3692" s="8" t="n"/>
      <c r="V3692" s="8" t="n"/>
      <c r="W3692" s="8" t="n"/>
      <c r="X3692" s="8" t="n"/>
      <c r="Y3692" s="8" t="n"/>
    </row>
    <row r="3693">
      <c r="A3693" s="8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9">
        <f>B3693+30</f>
        <v/>
      </c>
      <c r="N3693">
        <f>IF(L3693="", "", L3693-B3693)</f>
        <v/>
      </c>
      <c r="O3693">
        <f>IF(L3693="", "Pending", IF(N3693&lt;=30, "Met", "Breached"))</f>
        <v/>
      </c>
      <c r="P3693" s="8" t="n"/>
      <c r="Q3693" s="8" t="n"/>
      <c r="R3693" s="8" t="n"/>
      <c r="S3693" s="8" t="n"/>
      <c r="T3693" s="8" t="n"/>
      <c r="U3693" s="8" t="n"/>
      <c r="V3693" s="8" t="n"/>
      <c r="W3693" s="8" t="n"/>
      <c r="X3693" s="8" t="n"/>
      <c r="Y3693" s="8" t="n"/>
    </row>
    <row r="3694">
      <c r="A3694" s="8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9">
        <f>B3694+30</f>
        <v/>
      </c>
      <c r="N3694">
        <f>IF(L3694="", "", L3694-B3694)</f>
        <v/>
      </c>
      <c r="O3694">
        <f>IF(L3694="", "Pending", IF(N3694&lt;=30, "Met", "Breached"))</f>
        <v/>
      </c>
      <c r="P3694" s="8" t="n"/>
      <c r="Q3694" s="8" t="n"/>
      <c r="R3694" s="8" t="n"/>
      <c r="S3694" s="8" t="n"/>
      <c r="T3694" s="8" t="n"/>
      <c r="U3694" s="8" t="n"/>
      <c r="V3694" s="8" t="n"/>
      <c r="W3694" s="8" t="n"/>
      <c r="X3694" s="8" t="n"/>
      <c r="Y3694" s="8" t="n"/>
    </row>
    <row r="3695">
      <c r="A3695" s="8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9">
        <f>B3695+30</f>
        <v/>
      </c>
      <c r="N3695">
        <f>IF(L3695="", "", L3695-B3695)</f>
        <v/>
      </c>
      <c r="O3695">
        <f>IF(L3695="", "Pending", IF(N3695&lt;=30, "Met", "Breached"))</f>
        <v/>
      </c>
      <c r="P3695" s="8" t="n"/>
      <c r="Q3695" s="8" t="n"/>
      <c r="R3695" s="8" t="n"/>
      <c r="S3695" s="8" t="n"/>
      <c r="T3695" s="8" t="n"/>
      <c r="U3695" s="8" t="n"/>
      <c r="V3695" s="8" t="n"/>
      <c r="W3695" s="8" t="n"/>
      <c r="X3695" s="8" t="n"/>
      <c r="Y3695" s="8" t="n"/>
    </row>
    <row r="3696">
      <c r="A3696" s="8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9">
        <f>B3696+30</f>
        <v/>
      </c>
      <c r="N3696">
        <f>IF(L3696="", "", L3696-B3696)</f>
        <v/>
      </c>
      <c r="O3696">
        <f>IF(L3696="", "Pending", IF(N3696&lt;=30, "Met", "Breached"))</f>
        <v/>
      </c>
      <c r="P3696" s="8" t="n"/>
      <c r="Q3696" s="8" t="n"/>
      <c r="R3696" s="8" t="n"/>
      <c r="S3696" s="8" t="n"/>
      <c r="T3696" s="8" t="n"/>
      <c r="U3696" s="8" t="n"/>
      <c r="V3696" s="8" t="n"/>
      <c r="W3696" s="8" t="n"/>
      <c r="X3696" s="8" t="n"/>
      <c r="Y3696" s="8" t="n"/>
    </row>
    <row r="3697">
      <c r="A3697" s="8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9">
        <f>B3697+30</f>
        <v/>
      </c>
      <c r="N3697">
        <f>IF(L3697="", "", L3697-B3697)</f>
        <v/>
      </c>
      <c r="O3697">
        <f>IF(L3697="", "Pending", IF(N3697&lt;=30, "Met", "Breached"))</f>
        <v/>
      </c>
      <c r="P3697" s="8" t="n"/>
      <c r="Q3697" s="8" t="n"/>
      <c r="R3697" s="8" t="n"/>
      <c r="S3697" s="8" t="n"/>
      <c r="T3697" s="8" t="n"/>
      <c r="U3697" s="8" t="n"/>
      <c r="V3697" s="8" t="n"/>
      <c r="W3697" s="8" t="n"/>
      <c r="X3697" s="8" t="n"/>
      <c r="Y3697" s="8" t="n"/>
    </row>
    <row r="3698">
      <c r="A3698" s="8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9">
        <f>B3698+30</f>
        <v/>
      </c>
      <c r="N3698">
        <f>IF(L3698="", "", L3698-B3698)</f>
        <v/>
      </c>
      <c r="O3698">
        <f>IF(L3698="", "Pending", IF(N3698&lt;=30, "Met", "Breached"))</f>
        <v/>
      </c>
      <c r="P3698" s="8" t="n"/>
      <c r="Q3698" s="8" t="n"/>
      <c r="R3698" s="8" t="n"/>
      <c r="S3698" s="8" t="n"/>
      <c r="T3698" s="8" t="n"/>
      <c r="U3698" s="8" t="n"/>
      <c r="V3698" s="8" t="n"/>
      <c r="W3698" s="8" t="n"/>
      <c r="X3698" s="8" t="n"/>
      <c r="Y3698" s="8" t="n"/>
    </row>
    <row r="3699">
      <c r="A3699" s="8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9">
        <f>B3699+30</f>
        <v/>
      </c>
      <c r="N3699">
        <f>IF(L3699="", "", L3699-B3699)</f>
        <v/>
      </c>
      <c r="O3699">
        <f>IF(L3699="", "Pending", IF(N3699&lt;=30, "Met", "Breached"))</f>
        <v/>
      </c>
      <c r="P3699" s="8" t="n"/>
      <c r="Q3699" s="8" t="n"/>
      <c r="R3699" s="8" t="n"/>
      <c r="S3699" s="8" t="n"/>
      <c r="T3699" s="8" t="n"/>
      <c r="U3699" s="8" t="n"/>
      <c r="V3699" s="8" t="n"/>
      <c r="W3699" s="8" t="n"/>
      <c r="X3699" s="8" t="n"/>
      <c r="Y3699" s="8" t="n"/>
    </row>
    <row r="3700">
      <c r="A3700" s="8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9">
        <f>B3700+30</f>
        <v/>
      </c>
      <c r="N3700">
        <f>IF(L3700="", "", L3700-B3700)</f>
        <v/>
      </c>
      <c r="O3700">
        <f>IF(L3700="", "Pending", IF(N3700&lt;=30, "Met", "Breached"))</f>
        <v/>
      </c>
      <c r="P3700" s="8" t="n"/>
      <c r="Q3700" s="8" t="n"/>
      <c r="R3700" s="8" t="n"/>
      <c r="S3700" s="8" t="n"/>
      <c r="T3700" s="8" t="n"/>
      <c r="U3700" s="8" t="n"/>
      <c r="V3700" s="8" t="n"/>
      <c r="W3700" s="8" t="n"/>
      <c r="X3700" s="8" t="n"/>
      <c r="Y3700" s="8" t="n"/>
    </row>
    <row r="3701">
      <c r="A3701" s="8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9">
        <f>B3701+30</f>
        <v/>
      </c>
      <c r="N3701">
        <f>IF(L3701="", "", L3701-B3701)</f>
        <v/>
      </c>
      <c r="O3701">
        <f>IF(L3701="", "Pending", IF(N3701&lt;=30, "Met", "Breached"))</f>
        <v/>
      </c>
      <c r="P3701" s="8" t="n"/>
      <c r="Q3701" s="8" t="n"/>
      <c r="R3701" s="8" t="n"/>
      <c r="S3701" s="8" t="n"/>
      <c r="T3701" s="8" t="n"/>
      <c r="U3701" s="8" t="n"/>
      <c r="V3701" s="8" t="n"/>
      <c r="W3701" s="8" t="n"/>
      <c r="X3701" s="8" t="n"/>
      <c r="Y3701" s="8" t="n"/>
    </row>
    <row r="3702">
      <c r="A3702" s="8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9">
        <f>B3702+30</f>
        <v/>
      </c>
      <c r="N3702">
        <f>IF(L3702="", "", L3702-B3702)</f>
        <v/>
      </c>
      <c r="O3702">
        <f>IF(L3702="", "Pending", IF(N3702&lt;=30, "Met", "Breached"))</f>
        <v/>
      </c>
      <c r="P3702" s="8" t="n"/>
      <c r="Q3702" s="8" t="n"/>
      <c r="R3702" s="8" t="n"/>
      <c r="S3702" s="8" t="n"/>
      <c r="T3702" s="8" t="n"/>
      <c r="U3702" s="8" t="n"/>
      <c r="V3702" s="8" t="n"/>
      <c r="W3702" s="8" t="n"/>
      <c r="X3702" s="8" t="n"/>
      <c r="Y3702" s="8" t="n"/>
    </row>
    <row r="3703">
      <c r="A3703" s="8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9">
        <f>B3703+30</f>
        <v/>
      </c>
      <c r="N3703">
        <f>IF(L3703="", "", L3703-B3703)</f>
        <v/>
      </c>
      <c r="O3703">
        <f>IF(L3703="", "Pending", IF(N3703&lt;=30, "Met", "Breached"))</f>
        <v/>
      </c>
      <c r="P3703" s="8" t="n"/>
      <c r="Q3703" s="8" t="n"/>
      <c r="R3703" s="8" t="n"/>
      <c r="S3703" s="8" t="n"/>
      <c r="T3703" s="8" t="n"/>
      <c r="U3703" s="8" t="n"/>
      <c r="V3703" s="8" t="n"/>
      <c r="W3703" s="8" t="n"/>
      <c r="X3703" s="8" t="n"/>
      <c r="Y3703" s="8" t="n"/>
    </row>
    <row r="3704">
      <c r="A3704" s="8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9">
        <f>B3704+30</f>
        <v/>
      </c>
      <c r="N3704">
        <f>IF(L3704="", "", L3704-B3704)</f>
        <v/>
      </c>
      <c r="O3704">
        <f>IF(L3704="", "Pending", IF(N3704&lt;=30, "Met", "Breached"))</f>
        <v/>
      </c>
      <c r="P3704" s="8" t="n"/>
      <c r="Q3704" s="8" t="n"/>
      <c r="R3704" s="8" t="n"/>
      <c r="S3704" s="8" t="n"/>
      <c r="T3704" s="8" t="n"/>
      <c r="U3704" s="8" t="n"/>
      <c r="V3704" s="8" t="n"/>
      <c r="W3704" s="8" t="n"/>
      <c r="X3704" s="8" t="n"/>
      <c r="Y3704" s="8" t="n"/>
    </row>
    <row r="3705">
      <c r="A3705" s="8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9">
        <f>B3705+30</f>
        <v/>
      </c>
      <c r="N3705">
        <f>IF(L3705="", "", L3705-B3705)</f>
        <v/>
      </c>
      <c r="O3705">
        <f>IF(L3705="", "Pending", IF(N3705&lt;=30, "Met", "Breached"))</f>
        <v/>
      </c>
      <c r="P3705" s="8" t="n"/>
      <c r="Q3705" s="8" t="n"/>
      <c r="R3705" s="8" t="n"/>
      <c r="S3705" s="8" t="n"/>
      <c r="T3705" s="8" t="n"/>
      <c r="U3705" s="8" t="n"/>
      <c r="V3705" s="8" t="n"/>
      <c r="W3705" s="8" t="n"/>
      <c r="X3705" s="8" t="n"/>
      <c r="Y3705" s="8" t="n"/>
    </row>
    <row r="3706">
      <c r="A3706" s="8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9">
        <f>B3706+30</f>
        <v/>
      </c>
      <c r="N3706">
        <f>IF(L3706="", "", L3706-B3706)</f>
        <v/>
      </c>
      <c r="O3706">
        <f>IF(L3706="", "Pending", IF(N3706&lt;=30, "Met", "Breached"))</f>
        <v/>
      </c>
      <c r="P3706" s="8" t="n"/>
      <c r="Q3706" s="8" t="n"/>
      <c r="R3706" s="8" t="n"/>
      <c r="S3706" s="8" t="n"/>
      <c r="T3706" s="8" t="n"/>
      <c r="U3706" s="8" t="n"/>
      <c r="V3706" s="8" t="n"/>
      <c r="W3706" s="8" t="n"/>
      <c r="X3706" s="8" t="n"/>
      <c r="Y3706" s="8" t="n"/>
    </row>
    <row r="3707">
      <c r="A3707" s="8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9">
        <f>B3707+30</f>
        <v/>
      </c>
      <c r="N3707">
        <f>IF(L3707="", "", L3707-B3707)</f>
        <v/>
      </c>
      <c r="O3707">
        <f>IF(L3707="", "Pending", IF(N3707&lt;=30, "Met", "Breached"))</f>
        <v/>
      </c>
      <c r="P3707" s="8" t="n"/>
      <c r="Q3707" s="8" t="n"/>
      <c r="R3707" s="8" t="n"/>
      <c r="S3707" s="8" t="n"/>
      <c r="T3707" s="8" t="n"/>
      <c r="U3707" s="8" t="n"/>
      <c r="V3707" s="8" t="n"/>
      <c r="W3707" s="8" t="n"/>
      <c r="X3707" s="8" t="n"/>
      <c r="Y3707" s="8" t="n"/>
    </row>
    <row r="3708">
      <c r="A3708" s="8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9">
        <f>B3708+30</f>
        <v/>
      </c>
      <c r="N3708">
        <f>IF(L3708="", "", L3708-B3708)</f>
        <v/>
      </c>
      <c r="O3708">
        <f>IF(L3708="", "Pending", IF(N3708&lt;=30, "Met", "Breached"))</f>
        <v/>
      </c>
      <c r="P3708" s="8" t="n"/>
      <c r="Q3708" s="8" t="n"/>
      <c r="R3708" s="8" t="n"/>
      <c r="S3708" s="8" t="n"/>
      <c r="T3708" s="8" t="n"/>
      <c r="U3708" s="8" t="n"/>
      <c r="V3708" s="8" t="n"/>
      <c r="W3708" s="8" t="n"/>
      <c r="X3708" s="8" t="n"/>
      <c r="Y3708" s="8" t="n"/>
    </row>
    <row r="3709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9">
        <f>B3709+30</f>
        <v/>
      </c>
      <c r="N3709">
        <f>IF(L3709="", "", L3709-B3709)</f>
        <v/>
      </c>
      <c r="O3709">
        <f>IF(L3709="", "Pending", IF(N3709&lt;=30, "Met", "Breached"))</f>
        <v/>
      </c>
      <c r="P3709" s="8" t="n"/>
      <c r="Q3709" s="8" t="n"/>
      <c r="R3709" s="8" t="n"/>
      <c r="S3709" s="8" t="n"/>
      <c r="T3709" s="8" t="n"/>
      <c r="U3709" s="8" t="n"/>
      <c r="V3709" s="8" t="n"/>
      <c r="W3709" s="8" t="n"/>
      <c r="X3709" s="8" t="n"/>
      <c r="Y3709" s="8" t="n"/>
    </row>
    <row r="3710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9">
        <f>B3710+30</f>
        <v/>
      </c>
      <c r="N3710">
        <f>IF(L3710="", "", L3710-B3710)</f>
        <v/>
      </c>
      <c r="O3710">
        <f>IF(L3710="", "Pending", IF(N3710&lt;=30, "Met", "Breached"))</f>
        <v/>
      </c>
      <c r="P3710" s="8" t="n"/>
      <c r="Q3710" s="8" t="n"/>
      <c r="R3710" s="8" t="n"/>
      <c r="S3710" s="8" t="n"/>
      <c r="T3710" s="8" t="n"/>
      <c r="U3710" s="8" t="n"/>
      <c r="V3710" s="8" t="n"/>
      <c r="W3710" s="8" t="n"/>
      <c r="X3710" s="8" t="n"/>
      <c r="Y3710" s="8" t="n"/>
    </row>
    <row r="3711">
      <c r="A3711" s="8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9">
        <f>B3711+30</f>
        <v/>
      </c>
      <c r="N3711">
        <f>IF(L3711="", "", L3711-B3711)</f>
        <v/>
      </c>
      <c r="O3711">
        <f>IF(L3711="", "Pending", IF(N3711&lt;=30, "Met", "Breached"))</f>
        <v/>
      </c>
      <c r="P3711" s="8" t="n"/>
      <c r="Q3711" s="8" t="n"/>
      <c r="R3711" s="8" t="n"/>
      <c r="S3711" s="8" t="n"/>
      <c r="T3711" s="8" t="n"/>
      <c r="U3711" s="8" t="n"/>
      <c r="V3711" s="8" t="n"/>
      <c r="W3711" s="8" t="n"/>
      <c r="X3711" s="8" t="n"/>
      <c r="Y3711" s="8" t="n"/>
    </row>
    <row r="3712">
      <c r="A3712" s="8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9">
        <f>B3712+30</f>
        <v/>
      </c>
      <c r="N3712">
        <f>IF(L3712="", "", L3712-B3712)</f>
        <v/>
      </c>
      <c r="O3712">
        <f>IF(L3712="", "Pending", IF(N3712&lt;=30, "Met", "Breached"))</f>
        <v/>
      </c>
      <c r="P3712" s="8" t="n"/>
      <c r="Q3712" s="8" t="n"/>
      <c r="R3712" s="8" t="n"/>
      <c r="S3712" s="8" t="n"/>
      <c r="T3712" s="8" t="n"/>
      <c r="U3712" s="8" t="n"/>
      <c r="V3712" s="8" t="n"/>
      <c r="W3712" s="8" t="n"/>
      <c r="X3712" s="8" t="n"/>
      <c r="Y3712" s="8" t="n"/>
    </row>
    <row r="3713">
      <c r="A3713" s="8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9">
        <f>B3713+30</f>
        <v/>
      </c>
      <c r="N3713">
        <f>IF(L3713="", "", L3713-B3713)</f>
        <v/>
      </c>
      <c r="O3713">
        <f>IF(L3713="", "Pending", IF(N3713&lt;=30, "Met", "Breached"))</f>
        <v/>
      </c>
      <c r="P3713" s="8" t="n"/>
      <c r="Q3713" s="8" t="n"/>
      <c r="R3713" s="8" t="n"/>
      <c r="S3713" s="8" t="n"/>
      <c r="T3713" s="8" t="n"/>
      <c r="U3713" s="8" t="n"/>
      <c r="V3713" s="8" t="n"/>
      <c r="W3713" s="8" t="n"/>
      <c r="X3713" s="8" t="n"/>
      <c r="Y3713" s="8" t="n"/>
    </row>
    <row r="3714">
      <c r="A3714" s="8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9">
        <f>B3714+30</f>
        <v/>
      </c>
      <c r="N3714">
        <f>IF(L3714="", "", L3714-B3714)</f>
        <v/>
      </c>
      <c r="O3714">
        <f>IF(L3714="", "Pending", IF(N3714&lt;=30, "Met", "Breached"))</f>
        <v/>
      </c>
      <c r="P3714" s="8" t="n"/>
      <c r="Q3714" s="8" t="n"/>
      <c r="R3714" s="8" t="n"/>
      <c r="S3714" s="8" t="n"/>
      <c r="T3714" s="8" t="n"/>
      <c r="U3714" s="8" t="n"/>
      <c r="V3714" s="8" t="n"/>
      <c r="W3714" s="8" t="n"/>
      <c r="X3714" s="8" t="n"/>
      <c r="Y3714" s="8" t="n"/>
    </row>
    <row r="3715">
      <c r="A3715" s="8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9">
        <f>B3715+30</f>
        <v/>
      </c>
      <c r="N3715">
        <f>IF(L3715="", "", L3715-B3715)</f>
        <v/>
      </c>
      <c r="O3715">
        <f>IF(L3715="", "Pending", IF(N3715&lt;=30, "Met", "Breached"))</f>
        <v/>
      </c>
      <c r="P3715" s="8" t="n"/>
      <c r="Q3715" s="8" t="n"/>
      <c r="R3715" s="8" t="n"/>
      <c r="S3715" s="8" t="n"/>
      <c r="T3715" s="8" t="n"/>
      <c r="U3715" s="8" t="n"/>
      <c r="V3715" s="8" t="n"/>
      <c r="W3715" s="8" t="n"/>
      <c r="X3715" s="8" t="n"/>
      <c r="Y3715" s="8" t="n"/>
    </row>
    <row r="3716">
      <c r="A3716" s="8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9">
        <f>B3716+30</f>
        <v/>
      </c>
      <c r="N3716">
        <f>IF(L3716="", "", L3716-B3716)</f>
        <v/>
      </c>
      <c r="O3716">
        <f>IF(L3716="", "Pending", IF(N3716&lt;=30, "Met", "Breached"))</f>
        <v/>
      </c>
      <c r="P3716" s="8" t="n"/>
      <c r="Q3716" s="8" t="n"/>
      <c r="R3716" s="8" t="n"/>
      <c r="S3716" s="8" t="n"/>
      <c r="T3716" s="8" t="n"/>
      <c r="U3716" s="8" t="n"/>
      <c r="V3716" s="8" t="n"/>
      <c r="W3716" s="8" t="n"/>
      <c r="X3716" s="8" t="n"/>
      <c r="Y3716" s="8" t="n"/>
    </row>
    <row r="3717">
      <c r="A3717" s="8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9">
        <f>B3717+30</f>
        <v/>
      </c>
      <c r="N3717">
        <f>IF(L3717="", "", L3717-B3717)</f>
        <v/>
      </c>
      <c r="O3717">
        <f>IF(L3717="", "Pending", IF(N3717&lt;=30, "Met", "Breached"))</f>
        <v/>
      </c>
      <c r="P3717" s="8" t="n"/>
      <c r="Q3717" s="8" t="n"/>
      <c r="R3717" s="8" t="n"/>
      <c r="S3717" s="8" t="n"/>
      <c r="T3717" s="8" t="n"/>
      <c r="U3717" s="8" t="n"/>
      <c r="V3717" s="8" t="n"/>
      <c r="W3717" s="8" t="n"/>
      <c r="X3717" s="8" t="n"/>
      <c r="Y3717" s="8" t="n"/>
    </row>
    <row r="3718">
      <c r="A3718" s="8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9">
        <f>B3718+30</f>
        <v/>
      </c>
      <c r="N3718">
        <f>IF(L3718="", "", L3718-B3718)</f>
        <v/>
      </c>
      <c r="O3718">
        <f>IF(L3718="", "Pending", IF(N3718&lt;=30, "Met", "Breached"))</f>
        <v/>
      </c>
      <c r="P3718" s="8" t="n"/>
      <c r="Q3718" s="8" t="n"/>
      <c r="R3718" s="8" t="n"/>
      <c r="S3718" s="8" t="n"/>
      <c r="T3718" s="8" t="n"/>
      <c r="U3718" s="8" t="n"/>
      <c r="V3718" s="8" t="n"/>
      <c r="W3718" s="8" t="n"/>
      <c r="X3718" s="8" t="n"/>
      <c r="Y3718" s="8" t="n"/>
    </row>
    <row r="3719">
      <c r="A3719" s="8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9">
        <f>B3719+30</f>
        <v/>
      </c>
      <c r="N3719">
        <f>IF(L3719="", "", L3719-B3719)</f>
        <v/>
      </c>
      <c r="O3719">
        <f>IF(L3719="", "Pending", IF(N3719&lt;=30, "Met", "Breached"))</f>
        <v/>
      </c>
      <c r="P3719" s="8" t="n"/>
      <c r="Q3719" s="8" t="n"/>
      <c r="R3719" s="8" t="n"/>
      <c r="S3719" s="8" t="n"/>
      <c r="T3719" s="8" t="n"/>
      <c r="U3719" s="8" t="n"/>
      <c r="V3719" s="8" t="n"/>
      <c r="W3719" s="8" t="n"/>
      <c r="X3719" s="8" t="n"/>
      <c r="Y3719" s="8" t="n"/>
    </row>
    <row r="3720">
      <c r="A3720" s="8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9">
        <f>B3720+30</f>
        <v/>
      </c>
      <c r="N3720">
        <f>IF(L3720="", "", L3720-B3720)</f>
        <v/>
      </c>
      <c r="O3720">
        <f>IF(L3720="", "Pending", IF(N3720&lt;=30, "Met", "Breached"))</f>
        <v/>
      </c>
      <c r="P3720" s="8" t="n"/>
      <c r="Q3720" s="8" t="n"/>
      <c r="R3720" s="8" t="n"/>
      <c r="S3720" s="8" t="n"/>
      <c r="T3720" s="8" t="n"/>
      <c r="U3720" s="8" t="n"/>
      <c r="V3720" s="8" t="n"/>
      <c r="W3720" s="8" t="n"/>
      <c r="X3720" s="8" t="n"/>
      <c r="Y3720" s="8" t="n"/>
    </row>
    <row r="3721">
      <c r="A3721" s="8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9">
        <f>B3721+30</f>
        <v/>
      </c>
      <c r="N3721">
        <f>IF(L3721="", "", L3721-B3721)</f>
        <v/>
      </c>
      <c r="O3721">
        <f>IF(L3721="", "Pending", IF(N3721&lt;=30, "Met", "Breached"))</f>
        <v/>
      </c>
      <c r="P3721" s="8" t="n"/>
      <c r="Q3721" s="8" t="n"/>
      <c r="R3721" s="8" t="n"/>
      <c r="S3721" s="8" t="n"/>
      <c r="T3721" s="8" t="n"/>
      <c r="U3721" s="8" t="n"/>
      <c r="V3721" s="8" t="n"/>
      <c r="W3721" s="8" t="n"/>
      <c r="X3721" s="8" t="n"/>
      <c r="Y3721" s="8" t="n"/>
    </row>
    <row r="3722">
      <c r="A3722" s="8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9">
        <f>B3722+30</f>
        <v/>
      </c>
      <c r="N3722">
        <f>IF(L3722="", "", L3722-B3722)</f>
        <v/>
      </c>
      <c r="O3722">
        <f>IF(L3722="", "Pending", IF(N3722&lt;=30, "Met", "Breached"))</f>
        <v/>
      </c>
      <c r="P3722" s="8" t="n"/>
      <c r="Q3722" s="8" t="n"/>
      <c r="R3722" s="8" t="n"/>
      <c r="S3722" s="8" t="n"/>
      <c r="T3722" s="8" t="n"/>
      <c r="U3722" s="8" t="n"/>
      <c r="V3722" s="8" t="n"/>
      <c r="W3722" s="8" t="n"/>
      <c r="X3722" s="8" t="n"/>
      <c r="Y3722" s="8" t="n"/>
    </row>
    <row r="3723">
      <c r="A3723" s="8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9">
        <f>B3723+30</f>
        <v/>
      </c>
      <c r="N3723">
        <f>IF(L3723="", "", L3723-B3723)</f>
        <v/>
      </c>
      <c r="O3723">
        <f>IF(L3723="", "Pending", IF(N3723&lt;=30, "Met", "Breached"))</f>
        <v/>
      </c>
      <c r="P3723" s="8" t="n"/>
      <c r="Q3723" s="8" t="n"/>
      <c r="R3723" s="8" t="n"/>
      <c r="S3723" s="8" t="n"/>
      <c r="T3723" s="8" t="n"/>
      <c r="U3723" s="8" t="n"/>
      <c r="V3723" s="8" t="n"/>
      <c r="W3723" s="8" t="n"/>
      <c r="X3723" s="8" t="n"/>
      <c r="Y3723" s="8" t="n"/>
    </row>
    <row r="3724">
      <c r="A3724" s="8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9">
        <f>B3724+30</f>
        <v/>
      </c>
      <c r="N3724">
        <f>IF(L3724="", "", L3724-B3724)</f>
        <v/>
      </c>
      <c r="O3724">
        <f>IF(L3724="", "Pending", IF(N3724&lt;=30, "Met", "Breached"))</f>
        <v/>
      </c>
      <c r="P3724" s="8" t="n"/>
      <c r="Q3724" s="8" t="n"/>
      <c r="R3724" s="8" t="n"/>
      <c r="S3724" s="8" t="n"/>
      <c r="T3724" s="8" t="n"/>
      <c r="U3724" s="8" t="n"/>
      <c r="V3724" s="8" t="n"/>
      <c r="W3724" s="8" t="n"/>
      <c r="X3724" s="8" t="n"/>
      <c r="Y3724" s="8" t="n"/>
    </row>
    <row r="3725">
      <c r="A3725" s="8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9">
        <f>B3725+30</f>
        <v/>
      </c>
      <c r="N3725">
        <f>IF(L3725="", "", L3725-B3725)</f>
        <v/>
      </c>
      <c r="O3725">
        <f>IF(L3725="", "Pending", IF(N3725&lt;=30, "Met", "Breached"))</f>
        <v/>
      </c>
      <c r="P3725" s="8" t="n"/>
      <c r="Q3725" s="8" t="n"/>
      <c r="R3725" s="8" t="n"/>
      <c r="S3725" s="8" t="n"/>
      <c r="T3725" s="8" t="n"/>
      <c r="U3725" s="8" t="n"/>
      <c r="V3725" s="8" t="n"/>
      <c r="W3725" s="8" t="n"/>
      <c r="X3725" s="8" t="n"/>
      <c r="Y3725" s="8" t="n"/>
    </row>
    <row r="3726">
      <c r="A3726" s="8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9">
        <f>B3726+30</f>
        <v/>
      </c>
      <c r="N3726">
        <f>IF(L3726="", "", L3726-B3726)</f>
        <v/>
      </c>
      <c r="O3726">
        <f>IF(L3726="", "Pending", IF(N3726&lt;=30, "Met", "Breached"))</f>
        <v/>
      </c>
      <c r="P3726" s="8" t="n"/>
      <c r="Q3726" s="8" t="n"/>
      <c r="R3726" s="8" t="n"/>
      <c r="S3726" s="8" t="n"/>
      <c r="T3726" s="8" t="n"/>
      <c r="U3726" s="8" t="n"/>
      <c r="V3726" s="8" t="n"/>
      <c r="W3726" s="8" t="n"/>
      <c r="X3726" s="8" t="n"/>
      <c r="Y3726" s="8" t="n"/>
    </row>
    <row r="3727">
      <c r="A3727" s="8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9">
        <f>B3727+30</f>
        <v/>
      </c>
      <c r="N3727">
        <f>IF(L3727="", "", L3727-B3727)</f>
        <v/>
      </c>
      <c r="O3727">
        <f>IF(L3727="", "Pending", IF(N3727&lt;=30, "Met", "Breached"))</f>
        <v/>
      </c>
      <c r="P3727" s="8" t="n"/>
      <c r="Q3727" s="8" t="n"/>
      <c r="R3727" s="8" t="n"/>
      <c r="S3727" s="8" t="n"/>
      <c r="T3727" s="8" t="n"/>
      <c r="U3727" s="8" t="n"/>
      <c r="V3727" s="8" t="n"/>
      <c r="W3727" s="8" t="n"/>
      <c r="X3727" s="8" t="n"/>
      <c r="Y3727" s="8" t="n"/>
    </row>
    <row r="3728">
      <c r="A3728" s="8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9">
        <f>B3728+30</f>
        <v/>
      </c>
      <c r="N3728">
        <f>IF(L3728="", "", L3728-B3728)</f>
        <v/>
      </c>
      <c r="O3728">
        <f>IF(L3728="", "Pending", IF(N3728&lt;=30, "Met", "Breached"))</f>
        <v/>
      </c>
      <c r="P3728" s="8" t="n"/>
      <c r="Q3728" s="8" t="n"/>
      <c r="R3728" s="8" t="n"/>
      <c r="S3728" s="8" t="n"/>
      <c r="T3728" s="8" t="n"/>
      <c r="U3728" s="8" t="n"/>
      <c r="V3728" s="8" t="n"/>
      <c r="W3728" s="8" t="n"/>
      <c r="X3728" s="8" t="n"/>
      <c r="Y3728" s="8" t="n"/>
    </row>
    <row r="3729">
      <c r="A3729" s="8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9">
        <f>B3729+30</f>
        <v/>
      </c>
      <c r="N3729">
        <f>IF(L3729="", "", L3729-B3729)</f>
        <v/>
      </c>
      <c r="O3729">
        <f>IF(L3729="", "Pending", IF(N3729&lt;=30, "Met", "Breached"))</f>
        <v/>
      </c>
      <c r="P3729" s="8" t="n"/>
      <c r="Q3729" s="8" t="n"/>
      <c r="R3729" s="8" t="n"/>
      <c r="S3729" s="8" t="n"/>
      <c r="T3729" s="8" t="n"/>
      <c r="U3729" s="8" t="n"/>
      <c r="V3729" s="8" t="n"/>
      <c r="W3729" s="8" t="n"/>
      <c r="X3729" s="8" t="n"/>
      <c r="Y3729" s="8" t="n"/>
    </row>
    <row r="3730">
      <c r="A3730" s="8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9">
        <f>B3730+30</f>
        <v/>
      </c>
      <c r="N3730">
        <f>IF(L3730="", "", L3730-B3730)</f>
        <v/>
      </c>
      <c r="O3730">
        <f>IF(L3730="", "Pending", IF(N3730&lt;=30, "Met", "Breached"))</f>
        <v/>
      </c>
      <c r="P3730" s="8" t="n"/>
      <c r="Q3730" s="8" t="n"/>
      <c r="R3730" s="8" t="n"/>
      <c r="S3730" s="8" t="n"/>
      <c r="T3730" s="8" t="n"/>
      <c r="U3730" s="8" t="n"/>
      <c r="V3730" s="8" t="n"/>
      <c r="W3730" s="8" t="n"/>
      <c r="X3730" s="8" t="n"/>
      <c r="Y3730" s="8" t="n"/>
    </row>
    <row r="3731">
      <c r="A3731" s="8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9">
        <f>B3731+30</f>
        <v/>
      </c>
      <c r="N3731">
        <f>IF(L3731="", "", L3731-B3731)</f>
        <v/>
      </c>
      <c r="O3731">
        <f>IF(L3731="", "Pending", IF(N3731&lt;=30, "Met", "Breached"))</f>
        <v/>
      </c>
      <c r="P3731" s="8" t="n"/>
      <c r="Q3731" s="8" t="n"/>
      <c r="R3731" s="8" t="n"/>
      <c r="S3731" s="8" t="n"/>
      <c r="T3731" s="8" t="n"/>
      <c r="U3731" s="8" t="n"/>
      <c r="V3731" s="8" t="n"/>
      <c r="W3731" s="8" t="n"/>
      <c r="X3731" s="8" t="n"/>
      <c r="Y3731" s="8" t="n"/>
    </row>
    <row r="3732">
      <c r="A3732" s="8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9">
        <f>B3732+30</f>
        <v/>
      </c>
      <c r="N3732">
        <f>IF(L3732="", "", L3732-B3732)</f>
        <v/>
      </c>
      <c r="O3732">
        <f>IF(L3732="", "Pending", IF(N3732&lt;=30, "Met", "Breached"))</f>
        <v/>
      </c>
      <c r="P3732" s="8" t="n"/>
      <c r="Q3732" s="8" t="n"/>
      <c r="R3732" s="8" t="n"/>
      <c r="S3732" s="8" t="n"/>
      <c r="T3732" s="8" t="n"/>
      <c r="U3732" s="8" t="n"/>
      <c r="V3732" s="8" t="n"/>
      <c r="W3732" s="8" t="n"/>
      <c r="X3732" s="8" t="n"/>
      <c r="Y3732" s="8" t="n"/>
    </row>
    <row r="3733">
      <c r="A3733" s="8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9">
        <f>B3733+30</f>
        <v/>
      </c>
      <c r="N3733">
        <f>IF(L3733="", "", L3733-B3733)</f>
        <v/>
      </c>
      <c r="O3733">
        <f>IF(L3733="", "Pending", IF(N3733&lt;=30, "Met", "Breached"))</f>
        <v/>
      </c>
      <c r="P3733" s="8" t="n"/>
      <c r="Q3733" s="8" t="n"/>
      <c r="R3733" s="8" t="n"/>
      <c r="S3733" s="8" t="n"/>
      <c r="T3733" s="8" t="n"/>
      <c r="U3733" s="8" t="n"/>
      <c r="V3733" s="8" t="n"/>
      <c r="W3733" s="8" t="n"/>
      <c r="X3733" s="8" t="n"/>
      <c r="Y3733" s="8" t="n"/>
    </row>
    <row r="3734">
      <c r="A3734" s="8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9">
        <f>B3734+30</f>
        <v/>
      </c>
      <c r="N3734">
        <f>IF(L3734="", "", L3734-B3734)</f>
        <v/>
      </c>
      <c r="O3734">
        <f>IF(L3734="", "Pending", IF(N3734&lt;=30, "Met", "Breached"))</f>
        <v/>
      </c>
      <c r="P3734" s="8" t="n"/>
      <c r="Q3734" s="8" t="n"/>
      <c r="R3734" s="8" t="n"/>
      <c r="S3734" s="8" t="n"/>
      <c r="T3734" s="8" t="n"/>
      <c r="U3734" s="8" t="n"/>
      <c r="V3734" s="8" t="n"/>
      <c r="W3734" s="8" t="n"/>
      <c r="X3734" s="8" t="n"/>
      <c r="Y3734" s="8" t="n"/>
    </row>
    <row r="3735">
      <c r="A3735" s="8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9">
        <f>B3735+30</f>
        <v/>
      </c>
      <c r="N3735">
        <f>IF(L3735="", "", L3735-B3735)</f>
        <v/>
      </c>
      <c r="O3735">
        <f>IF(L3735="", "Pending", IF(N3735&lt;=30, "Met", "Breached"))</f>
        <v/>
      </c>
      <c r="P3735" s="8" t="n"/>
      <c r="Q3735" s="8" t="n"/>
      <c r="R3735" s="8" t="n"/>
      <c r="S3735" s="8" t="n"/>
      <c r="T3735" s="8" t="n"/>
      <c r="U3735" s="8" t="n"/>
      <c r="V3735" s="8" t="n"/>
      <c r="W3735" s="8" t="n"/>
      <c r="X3735" s="8" t="n"/>
      <c r="Y3735" s="8" t="n"/>
    </row>
    <row r="3736">
      <c r="A3736" s="8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9">
        <f>B3736+30</f>
        <v/>
      </c>
      <c r="N3736">
        <f>IF(L3736="", "", L3736-B3736)</f>
        <v/>
      </c>
      <c r="O3736">
        <f>IF(L3736="", "Pending", IF(N3736&lt;=30, "Met", "Breached"))</f>
        <v/>
      </c>
      <c r="P3736" s="8" t="n"/>
      <c r="Q3736" s="8" t="n"/>
      <c r="R3736" s="8" t="n"/>
      <c r="S3736" s="8" t="n"/>
      <c r="T3736" s="8" t="n"/>
      <c r="U3736" s="8" t="n"/>
      <c r="V3736" s="8" t="n"/>
      <c r="W3736" s="8" t="n"/>
      <c r="X3736" s="8" t="n"/>
      <c r="Y3736" s="8" t="n"/>
    </row>
    <row r="3737">
      <c r="A3737" s="8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9">
        <f>B3737+30</f>
        <v/>
      </c>
      <c r="N3737">
        <f>IF(L3737="", "", L3737-B3737)</f>
        <v/>
      </c>
      <c r="O3737">
        <f>IF(L3737="", "Pending", IF(N3737&lt;=30, "Met", "Breached"))</f>
        <v/>
      </c>
      <c r="P3737" s="8" t="n"/>
      <c r="Q3737" s="8" t="n"/>
      <c r="R3737" s="8" t="n"/>
      <c r="S3737" s="8" t="n"/>
      <c r="T3737" s="8" t="n"/>
      <c r="U3737" s="8" t="n"/>
      <c r="V3737" s="8" t="n"/>
      <c r="W3737" s="8" t="n"/>
      <c r="X3737" s="8" t="n"/>
      <c r="Y3737" s="8" t="n"/>
    </row>
    <row r="3738">
      <c r="A3738" s="8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9">
        <f>B3738+30</f>
        <v/>
      </c>
      <c r="N3738">
        <f>IF(L3738="", "", L3738-B3738)</f>
        <v/>
      </c>
      <c r="O3738">
        <f>IF(L3738="", "Pending", IF(N3738&lt;=30, "Met", "Breached"))</f>
        <v/>
      </c>
      <c r="P3738" s="8" t="n"/>
      <c r="Q3738" s="8" t="n"/>
      <c r="R3738" s="8" t="n"/>
      <c r="S3738" s="8" t="n"/>
      <c r="T3738" s="8" t="n"/>
      <c r="U3738" s="8" t="n"/>
      <c r="V3738" s="8" t="n"/>
      <c r="W3738" s="8" t="n"/>
      <c r="X3738" s="8" t="n"/>
      <c r="Y3738" s="8" t="n"/>
    </row>
    <row r="3739">
      <c r="A3739" s="8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9">
        <f>B3739+30</f>
        <v/>
      </c>
      <c r="N3739">
        <f>IF(L3739="", "", L3739-B3739)</f>
        <v/>
      </c>
      <c r="O3739">
        <f>IF(L3739="", "Pending", IF(N3739&lt;=30, "Met", "Breached"))</f>
        <v/>
      </c>
      <c r="P3739" s="8" t="n"/>
      <c r="Q3739" s="8" t="n"/>
      <c r="R3739" s="8" t="n"/>
      <c r="S3739" s="8" t="n"/>
      <c r="T3739" s="8" t="n"/>
      <c r="U3739" s="8" t="n"/>
      <c r="V3739" s="8" t="n"/>
      <c r="W3739" s="8" t="n"/>
      <c r="X3739" s="8" t="n"/>
      <c r="Y3739" s="8" t="n"/>
    </row>
    <row r="3740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9">
        <f>B3740+30</f>
        <v/>
      </c>
      <c r="N3740">
        <f>IF(L3740="", "", L3740-B3740)</f>
        <v/>
      </c>
      <c r="O3740">
        <f>IF(L3740="", "Pending", IF(N3740&lt;=30, "Met", "Breached"))</f>
        <v/>
      </c>
      <c r="P3740" s="8" t="n"/>
      <c r="Q3740" s="8" t="n"/>
      <c r="R3740" s="8" t="n"/>
      <c r="S3740" s="8" t="n"/>
      <c r="T3740" s="8" t="n"/>
      <c r="U3740" s="8" t="n"/>
      <c r="V3740" s="8" t="n"/>
      <c r="W3740" s="8" t="n"/>
      <c r="X3740" s="8" t="n"/>
      <c r="Y3740" s="8" t="n"/>
    </row>
    <row r="3741">
      <c r="A3741" s="8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9">
        <f>B3741+30</f>
        <v/>
      </c>
      <c r="N3741">
        <f>IF(L3741="", "", L3741-B3741)</f>
        <v/>
      </c>
      <c r="O3741">
        <f>IF(L3741="", "Pending", IF(N3741&lt;=30, "Met", "Breached"))</f>
        <v/>
      </c>
      <c r="P3741" s="8" t="n"/>
      <c r="Q3741" s="8" t="n"/>
      <c r="R3741" s="8" t="n"/>
      <c r="S3741" s="8" t="n"/>
      <c r="T3741" s="8" t="n"/>
      <c r="U3741" s="8" t="n"/>
      <c r="V3741" s="8" t="n"/>
      <c r="W3741" s="8" t="n"/>
      <c r="X3741" s="8" t="n"/>
      <c r="Y3741" s="8" t="n"/>
    </row>
    <row r="3742">
      <c r="A3742" s="8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9">
        <f>B3742+30</f>
        <v/>
      </c>
      <c r="N3742">
        <f>IF(L3742="", "", L3742-B3742)</f>
        <v/>
      </c>
      <c r="O3742">
        <f>IF(L3742="", "Pending", IF(N3742&lt;=30, "Met", "Breached"))</f>
        <v/>
      </c>
      <c r="P3742" s="8" t="n"/>
      <c r="Q3742" s="8" t="n"/>
      <c r="R3742" s="8" t="n"/>
      <c r="S3742" s="8" t="n"/>
      <c r="T3742" s="8" t="n"/>
      <c r="U3742" s="8" t="n"/>
      <c r="V3742" s="8" t="n"/>
      <c r="W3742" s="8" t="n"/>
      <c r="X3742" s="8" t="n"/>
      <c r="Y3742" s="8" t="n"/>
    </row>
    <row r="3743">
      <c r="A3743" s="8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9">
        <f>B3743+30</f>
        <v/>
      </c>
      <c r="N3743">
        <f>IF(L3743="", "", L3743-B3743)</f>
        <v/>
      </c>
      <c r="O3743">
        <f>IF(L3743="", "Pending", IF(N3743&lt;=30, "Met", "Breached"))</f>
        <v/>
      </c>
      <c r="P3743" s="8" t="n"/>
      <c r="Q3743" s="8" t="n"/>
      <c r="R3743" s="8" t="n"/>
      <c r="S3743" s="8" t="n"/>
      <c r="T3743" s="8" t="n"/>
      <c r="U3743" s="8" t="n"/>
      <c r="V3743" s="8" t="n"/>
      <c r="W3743" s="8" t="n"/>
      <c r="X3743" s="8" t="n"/>
      <c r="Y3743" s="8" t="n"/>
    </row>
    <row r="3744">
      <c r="A3744" s="8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9">
        <f>B3744+30</f>
        <v/>
      </c>
      <c r="N3744">
        <f>IF(L3744="", "", L3744-B3744)</f>
        <v/>
      </c>
      <c r="O3744">
        <f>IF(L3744="", "Pending", IF(N3744&lt;=30, "Met", "Breached"))</f>
        <v/>
      </c>
      <c r="P3744" s="8" t="n"/>
      <c r="Q3744" s="8" t="n"/>
      <c r="R3744" s="8" t="n"/>
      <c r="S3744" s="8" t="n"/>
      <c r="T3744" s="8" t="n"/>
      <c r="U3744" s="8" t="n"/>
      <c r="V3744" s="8" t="n"/>
      <c r="W3744" s="8" t="n"/>
      <c r="X3744" s="8" t="n"/>
      <c r="Y3744" s="8" t="n"/>
    </row>
    <row r="3745">
      <c r="A3745" s="8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9">
        <f>B3745+30</f>
        <v/>
      </c>
      <c r="N3745">
        <f>IF(L3745="", "", L3745-B3745)</f>
        <v/>
      </c>
      <c r="O3745">
        <f>IF(L3745="", "Pending", IF(N3745&lt;=30, "Met", "Breached"))</f>
        <v/>
      </c>
      <c r="P3745" s="8" t="n"/>
      <c r="Q3745" s="8" t="n"/>
      <c r="R3745" s="8" t="n"/>
      <c r="S3745" s="8" t="n"/>
      <c r="T3745" s="8" t="n"/>
      <c r="U3745" s="8" t="n"/>
      <c r="V3745" s="8" t="n"/>
      <c r="W3745" s="8" t="n"/>
      <c r="X3745" s="8" t="n"/>
      <c r="Y3745" s="8" t="n"/>
    </row>
    <row r="3746">
      <c r="A3746" s="8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9">
        <f>B3746+30</f>
        <v/>
      </c>
      <c r="N3746">
        <f>IF(L3746="", "", L3746-B3746)</f>
        <v/>
      </c>
      <c r="O3746">
        <f>IF(L3746="", "Pending", IF(N3746&lt;=30, "Met", "Breached"))</f>
        <v/>
      </c>
      <c r="P3746" s="8" t="n"/>
      <c r="Q3746" s="8" t="n"/>
      <c r="R3746" s="8" t="n"/>
      <c r="S3746" s="8" t="n"/>
      <c r="T3746" s="8" t="n"/>
      <c r="U3746" s="8" t="n"/>
      <c r="V3746" s="8" t="n"/>
      <c r="W3746" s="8" t="n"/>
      <c r="X3746" s="8" t="n"/>
      <c r="Y3746" s="8" t="n"/>
    </row>
    <row r="3747">
      <c r="A3747" s="8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9">
        <f>B3747+30</f>
        <v/>
      </c>
      <c r="N3747">
        <f>IF(L3747="", "", L3747-B3747)</f>
        <v/>
      </c>
      <c r="O3747">
        <f>IF(L3747="", "Pending", IF(N3747&lt;=30, "Met", "Breached"))</f>
        <v/>
      </c>
      <c r="P3747" s="8" t="n"/>
      <c r="Q3747" s="8" t="n"/>
      <c r="R3747" s="8" t="n"/>
      <c r="S3747" s="8" t="n"/>
      <c r="T3747" s="8" t="n"/>
      <c r="U3747" s="8" t="n"/>
      <c r="V3747" s="8" t="n"/>
      <c r="W3747" s="8" t="n"/>
      <c r="X3747" s="8" t="n"/>
      <c r="Y3747" s="8" t="n"/>
    </row>
    <row r="3748">
      <c r="A3748" s="8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9">
        <f>B3748+30</f>
        <v/>
      </c>
      <c r="N3748">
        <f>IF(L3748="", "", L3748-B3748)</f>
        <v/>
      </c>
      <c r="O3748">
        <f>IF(L3748="", "Pending", IF(N3748&lt;=30, "Met", "Breached"))</f>
        <v/>
      </c>
      <c r="P3748" s="8" t="n"/>
      <c r="Q3748" s="8" t="n"/>
      <c r="R3748" s="8" t="n"/>
      <c r="S3748" s="8" t="n"/>
      <c r="T3748" s="8" t="n"/>
      <c r="U3748" s="8" t="n"/>
      <c r="V3748" s="8" t="n"/>
      <c r="W3748" s="8" t="n"/>
      <c r="X3748" s="8" t="n"/>
      <c r="Y3748" s="8" t="n"/>
    </row>
    <row r="3749">
      <c r="A3749" s="8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9">
        <f>B3749+30</f>
        <v/>
      </c>
      <c r="N3749">
        <f>IF(L3749="", "", L3749-B3749)</f>
        <v/>
      </c>
      <c r="O3749">
        <f>IF(L3749="", "Pending", IF(N3749&lt;=30, "Met", "Breached"))</f>
        <v/>
      </c>
      <c r="P3749" s="8" t="n"/>
      <c r="Q3749" s="8" t="n"/>
      <c r="R3749" s="8" t="n"/>
      <c r="S3749" s="8" t="n"/>
      <c r="T3749" s="8" t="n"/>
      <c r="U3749" s="8" t="n"/>
      <c r="V3749" s="8" t="n"/>
      <c r="W3749" s="8" t="n"/>
      <c r="X3749" s="8" t="n"/>
      <c r="Y3749" s="8" t="n"/>
    </row>
    <row r="3750">
      <c r="A3750" s="8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9">
        <f>B3750+30</f>
        <v/>
      </c>
      <c r="N3750">
        <f>IF(L3750="", "", L3750-B3750)</f>
        <v/>
      </c>
      <c r="O3750">
        <f>IF(L3750="", "Pending", IF(N3750&lt;=30, "Met", "Breached"))</f>
        <v/>
      </c>
      <c r="P3750" s="8" t="n"/>
      <c r="Q3750" s="8" t="n"/>
      <c r="R3750" s="8" t="n"/>
      <c r="S3750" s="8" t="n"/>
      <c r="T3750" s="8" t="n"/>
      <c r="U3750" s="8" t="n"/>
      <c r="V3750" s="8" t="n"/>
      <c r="W3750" s="8" t="n"/>
      <c r="X3750" s="8" t="n"/>
      <c r="Y3750" s="8" t="n"/>
    </row>
    <row r="3751">
      <c r="A3751" s="8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9">
        <f>B3751+30</f>
        <v/>
      </c>
      <c r="N3751">
        <f>IF(L3751="", "", L3751-B3751)</f>
        <v/>
      </c>
      <c r="O3751">
        <f>IF(L3751="", "Pending", IF(N3751&lt;=30, "Met", "Breached"))</f>
        <v/>
      </c>
      <c r="P3751" s="8" t="n"/>
      <c r="Q3751" s="8" t="n"/>
      <c r="R3751" s="8" t="n"/>
      <c r="S3751" s="8" t="n"/>
      <c r="T3751" s="8" t="n"/>
      <c r="U3751" s="8" t="n"/>
      <c r="V3751" s="8" t="n"/>
      <c r="W3751" s="8" t="n"/>
      <c r="X3751" s="8" t="n"/>
      <c r="Y3751" s="8" t="n"/>
    </row>
    <row r="3752">
      <c r="A3752" s="8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9">
        <f>B3752+30</f>
        <v/>
      </c>
      <c r="N3752">
        <f>IF(L3752="", "", L3752-B3752)</f>
        <v/>
      </c>
      <c r="O3752">
        <f>IF(L3752="", "Pending", IF(N3752&lt;=30, "Met", "Breached"))</f>
        <v/>
      </c>
      <c r="P3752" s="8" t="n"/>
      <c r="Q3752" s="8" t="n"/>
      <c r="R3752" s="8" t="n"/>
      <c r="S3752" s="8" t="n"/>
      <c r="T3752" s="8" t="n"/>
      <c r="U3752" s="8" t="n"/>
      <c r="V3752" s="8" t="n"/>
      <c r="W3752" s="8" t="n"/>
      <c r="X3752" s="8" t="n"/>
      <c r="Y3752" s="8" t="n"/>
    </row>
    <row r="3753">
      <c r="A3753" s="8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9">
        <f>B3753+30</f>
        <v/>
      </c>
      <c r="N3753">
        <f>IF(L3753="", "", L3753-B3753)</f>
        <v/>
      </c>
      <c r="O3753">
        <f>IF(L3753="", "Pending", IF(N3753&lt;=30, "Met", "Breached"))</f>
        <v/>
      </c>
      <c r="P3753" s="8" t="n"/>
      <c r="Q3753" s="8" t="n"/>
      <c r="R3753" s="8" t="n"/>
      <c r="S3753" s="8" t="n"/>
      <c r="T3753" s="8" t="n"/>
      <c r="U3753" s="8" t="n"/>
      <c r="V3753" s="8" t="n"/>
      <c r="W3753" s="8" t="n"/>
      <c r="X3753" s="8" t="n"/>
      <c r="Y3753" s="8" t="n"/>
    </row>
    <row r="3754">
      <c r="A3754" s="8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9">
        <f>B3754+30</f>
        <v/>
      </c>
      <c r="N3754">
        <f>IF(L3754="", "", L3754-B3754)</f>
        <v/>
      </c>
      <c r="O3754">
        <f>IF(L3754="", "Pending", IF(N3754&lt;=30, "Met", "Breached"))</f>
        <v/>
      </c>
      <c r="P3754" s="8" t="n"/>
      <c r="Q3754" s="8" t="n"/>
      <c r="R3754" s="8" t="n"/>
      <c r="S3754" s="8" t="n"/>
      <c r="T3754" s="8" t="n"/>
      <c r="U3754" s="8" t="n"/>
      <c r="V3754" s="8" t="n"/>
      <c r="W3754" s="8" t="n"/>
      <c r="X3754" s="8" t="n"/>
      <c r="Y3754" s="8" t="n"/>
    </row>
    <row r="3755">
      <c r="A3755" s="8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9">
        <f>B3755+30</f>
        <v/>
      </c>
      <c r="N3755">
        <f>IF(L3755="", "", L3755-B3755)</f>
        <v/>
      </c>
      <c r="O3755">
        <f>IF(L3755="", "Pending", IF(N3755&lt;=30, "Met", "Breached"))</f>
        <v/>
      </c>
      <c r="P3755" s="8" t="n"/>
      <c r="Q3755" s="8" t="n"/>
      <c r="R3755" s="8" t="n"/>
      <c r="S3755" s="8" t="n"/>
      <c r="T3755" s="8" t="n"/>
      <c r="U3755" s="8" t="n"/>
      <c r="V3755" s="8" t="n"/>
      <c r="W3755" s="8" t="n"/>
      <c r="X3755" s="8" t="n"/>
      <c r="Y3755" s="8" t="n"/>
    </row>
    <row r="3756">
      <c r="A3756" s="8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9">
        <f>B3756+30</f>
        <v/>
      </c>
      <c r="N3756">
        <f>IF(L3756="", "", L3756-B3756)</f>
        <v/>
      </c>
      <c r="O3756">
        <f>IF(L3756="", "Pending", IF(N3756&lt;=30, "Met", "Breached"))</f>
        <v/>
      </c>
      <c r="P3756" s="8" t="n"/>
      <c r="Q3756" s="8" t="n"/>
      <c r="R3756" s="8" t="n"/>
      <c r="S3756" s="8" t="n"/>
      <c r="T3756" s="8" t="n"/>
      <c r="U3756" s="8" t="n"/>
      <c r="V3756" s="8" t="n"/>
      <c r="W3756" s="8" t="n"/>
      <c r="X3756" s="8" t="n"/>
      <c r="Y3756" s="8" t="n"/>
    </row>
    <row r="3757">
      <c r="A3757" s="8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9">
        <f>B3757+30</f>
        <v/>
      </c>
      <c r="N3757">
        <f>IF(L3757="", "", L3757-B3757)</f>
        <v/>
      </c>
      <c r="O3757">
        <f>IF(L3757="", "Pending", IF(N3757&lt;=30, "Met", "Breached"))</f>
        <v/>
      </c>
      <c r="P3757" s="8" t="n"/>
      <c r="Q3757" s="8" t="n"/>
      <c r="R3757" s="8" t="n"/>
      <c r="S3757" s="8" t="n"/>
      <c r="T3757" s="8" t="n"/>
      <c r="U3757" s="8" t="n"/>
      <c r="V3757" s="8" t="n"/>
      <c r="W3757" s="8" t="n"/>
      <c r="X3757" s="8" t="n"/>
      <c r="Y3757" s="8" t="n"/>
    </row>
    <row r="3758">
      <c r="A3758" s="8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9">
        <f>B3758+30</f>
        <v/>
      </c>
      <c r="N3758">
        <f>IF(L3758="", "", L3758-B3758)</f>
        <v/>
      </c>
      <c r="O3758">
        <f>IF(L3758="", "Pending", IF(N3758&lt;=30, "Met", "Breached"))</f>
        <v/>
      </c>
      <c r="P3758" s="8" t="n"/>
      <c r="Q3758" s="8" t="n"/>
      <c r="R3758" s="8" t="n"/>
      <c r="S3758" s="8" t="n"/>
      <c r="T3758" s="8" t="n"/>
      <c r="U3758" s="8" t="n"/>
      <c r="V3758" s="8" t="n"/>
      <c r="W3758" s="8" t="n"/>
      <c r="X3758" s="8" t="n"/>
      <c r="Y3758" s="8" t="n"/>
    </row>
    <row r="3759">
      <c r="A3759" s="8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9">
        <f>B3759+30</f>
        <v/>
      </c>
      <c r="N3759">
        <f>IF(L3759="", "", L3759-B3759)</f>
        <v/>
      </c>
      <c r="O3759">
        <f>IF(L3759="", "Pending", IF(N3759&lt;=30, "Met", "Breached"))</f>
        <v/>
      </c>
      <c r="P3759" s="8" t="n"/>
      <c r="Q3759" s="8" t="n"/>
      <c r="R3759" s="8" t="n"/>
      <c r="S3759" s="8" t="n"/>
      <c r="T3759" s="8" t="n"/>
      <c r="U3759" s="8" t="n"/>
      <c r="V3759" s="8" t="n"/>
      <c r="W3759" s="8" t="n"/>
      <c r="X3759" s="8" t="n"/>
      <c r="Y3759" s="8" t="n"/>
    </row>
    <row r="3760">
      <c r="A3760" s="8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9">
        <f>B3760+30</f>
        <v/>
      </c>
      <c r="N3760">
        <f>IF(L3760="", "", L3760-B3760)</f>
        <v/>
      </c>
      <c r="O3760">
        <f>IF(L3760="", "Pending", IF(N3760&lt;=30, "Met", "Breached"))</f>
        <v/>
      </c>
      <c r="P3760" s="8" t="n"/>
      <c r="Q3760" s="8" t="n"/>
      <c r="R3760" s="8" t="n"/>
      <c r="S3760" s="8" t="n"/>
      <c r="T3760" s="8" t="n"/>
      <c r="U3760" s="8" t="n"/>
      <c r="V3760" s="8" t="n"/>
      <c r="W3760" s="8" t="n"/>
      <c r="X3760" s="8" t="n"/>
      <c r="Y3760" s="8" t="n"/>
    </row>
    <row r="3761">
      <c r="A3761" s="8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9">
        <f>B3761+30</f>
        <v/>
      </c>
      <c r="N3761">
        <f>IF(L3761="", "", L3761-B3761)</f>
        <v/>
      </c>
      <c r="O3761">
        <f>IF(L3761="", "Pending", IF(N3761&lt;=30, "Met", "Breached"))</f>
        <v/>
      </c>
      <c r="P3761" s="8" t="n"/>
      <c r="Q3761" s="8" t="n"/>
      <c r="R3761" s="8" t="n"/>
      <c r="S3761" s="8" t="n"/>
      <c r="T3761" s="8" t="n"/>
      <c r="U3761" s="8" t="n"/>
      <c r="V3761" s="8" t="n"/>
      <c r="W3761" s="8" t="n"/>
      <c r="X3761" s="8" t="n"/>
      <c r="Y3761" s="8" t="n"/>
    </row>
    <row r="3762">
      <c r="A3762" s="8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9">
        <f>B3762+30</f>
        <v/>
      </c>
      <c r="N3762">
        <f>IF(L3762="", "", L3762-B3762)</f>
        <v/>
      </c>
      <c r="O3762">
        <f>IF(L3762="", "Pending", IF(N3762&lt;=30, "Met", "Breached"))</f>
        <v/>
      </c>
      <c r="P3762" s="8" t="n"/>
      <c r="Q3762" s="8" t="n"/>
      <c r="R3762" s="8" t="n"/>
      <c r="S3762" s="8" t="n"/>
      <c r="T3762" s="8" t="n"/>
      <c r="U3762" s="8" t="n"/>
      <c r="V3762" s="8" t="n"/>
      <c r="W3762" s="8" t="n"/>
      <c r="X3762" s="8" t="n"/>
      <c r="Y3762" s="8" t="n"/>
    </row>
    <row r="3763">
      <c r="A3763" s="8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9">
        <f>B3763+30</f>
        <v/>
      </c>
      <c r="N3763">
        <f>IF(L3763="", "", L3763-B3763)</f>
        <v/>
      </c>
      <c r="O3763">
        <f>IF(L3763="", "Pending", IF(N3763&lt;=30, "Met", "Breached"))</f>
        <v/>
      </c>
      <c r="P3763" s="8" t="n"/>
      <c r="Q3763" s="8" t="n"/>
      <c r="R3763" s="8" t="n"/>
      <c r="S3763" s="8" t="n"/>
      <c r="T3763" s="8" t="n"/>
      <c r="U3763" s="8" t="n"/>
      <c r="V3763" s="8" t="n"/>
      <c r="W3763" s="8" t="n"/>
      <c r="X3763" s="8" t="n"/>
      <c r="Y3763" s="8" t="n"/>
    </row>
    <row r="3764">
      <c r="A3764" s="8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9">
        <f>B3764+30</f>
        <v/>
      </c>
      <c r="N3764">
        <f>IF(L3764="", "", L3764-B3764)</f>
        <v/>
      </c>
      <c r="O3764">
        <f>IF(L3764="", "Pending", IF(N3764&lt;=30, "Met", "Breached"))</f>
        <v/>
      </c>
      <c r="P3764" s="8" t="n"/>
      <c r="Q3764" s="8" t="n"/>
      <c r="R3764" s="8" t="n"/>
      <c r="S3764" s="8" t="n"/>
      <c r="T3764" s="8" t="n"/>
      <c r="U3764" s="8" t="n"/>
      <c r="V3764" s="8" t="n"/>
      <c r="W3764" s="8" t="n"/>
      <c r="X3764" s="8" t="n"/>
      <c r="Y3764" s="8" t="n"/>
    </row>
    <row r="3765">
      <c r="A3765" s="8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9">
        <f>B3765+30</f>
        <v/>
      </c>
      <c r="N3765">
        <f>IF(L3765="", "", L3765-B3765)</f>
        <v/>
      </c>
      <c r="O3765">
        <f>IF(L3765="", "Pending", IF(N3765&lt;=30, "Met", "Breached"))</f>
        <v/>
      </c>
      <c r="P3765" s="8" t="n"/>
      <c r="Q3765" s="8" t="n"/>
      <c r="R3765" s="8" t="n"/>
      <c r="S3765" s="8" t="n"/>
      <c r="T3765" s="8" t="n"/>
      <c r="U3765" s="8" t="n"/>
      <c r="V3765" s="8" t="n"/>
      <c r="W3765" s="8" t="n"/>
      <c r="X3765" s="8" t="n"/>
      <c r="Y3765" s="8" t="n"/>
    </row>
    <row r="3766">
      <c r="A3766" s="8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9">
        <f>B3766+30</f>
        <v/>
      </c>
      <c r="N3766">
        <f>IF(L3766="", "", L3766-B3766)</f>
        <v/>
      </c>
      <c r="O3766">
        <f>IF(L3766="", "Pending", IF(N3766&lt;=30, "Met", "Breached"))</f>
        <v/>
      </c>
      <c r="P3766" s="8" t="n"/>
      <c r="Q3766" s="8" t="n"/>
      <c r="R3766" s="8" t="n"/>
      <c r="S3766" s="8" t="n"/>
      <c r="T3766" s="8" t="n"/>
      <c r="U3766" s="8" t="n"/>
      <c r="V3766" s="8" t="n"/>
      <c r="W3766" s="8" t="n"/>
      <c r="X3766" s="8" t="n"/>
      <c r="Y3766" s="8" t="n"/>
    </row>
    <row r="3767">
      <c r="A3767" s="8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9">
        <f>B3767+30</f>
        <v/>
      </c>
      <c r="N3767">
        <f>IF(L3767="", "", L3767-B3767)</f>
        <v/>
      </c>
      <c r="O3767">
        <f>IF(L3767="", "Pending", IF(N3767&lt;=30, "Met", "Breached"))</f>
        <v/>
      </c>
      <c r="P3767" s="8" t="n"/>
      <c r="Q3767" s="8" t="n"/>
      <c r="R3767" s="8" t="n"/>
      <c r="S3767" s="8" t="n"/>
      <c r="T3767" s="8" t="n"/>
      <c r="U3767" s="8" t="n"/>
      <c r="V3767" s="8" t="n"/>
      <c r="W3767" s="8" t="n"/>
      <c r="X3767" s="8" t="n"/>
      <c r="Y3767" s="8" t="n"/>
    </row>
    <row r="3768">
      <c r="A3768" s="8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9">
        <f>B3768+30</f>
        <v/>
      </c>
      <c r="N3768">
        <f>IF(L3768="", "", L3768-B3768)</f>
        <v/>
      </c>
      <c r="O3768">
        <f>IF(L3768="", "Pending", IF(N3768&lt;=30, "Met", "Breached"))</f>
        <v/>
      </c>
      <c r="P3768" s="8" t="n"/>
      <c r="Q3768" s="8" t="n"/>
      <c r="R3768" s="8" t="n"/>
      <c r="S3768" s="8" t="n"/>
      <c r="T3768" s="8" t="n"/>
      <c r="U3768" s="8" t="n"/>
      <c r="V3768" s="8" t="n"/>
      <c r="W3768" s="8" t="n"/>
      <c r="X3768" s="8" t="n"/>
      <c r="Y3768" s="8" t="n"/>
    </row>
    <row r="3769">
      <c r="A3769" s="8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9">
        <f>B3769+30</f>
        <v/>
      </c>
      <c r="N3769">
        <f>IF(L3769="", "", L3769-B3769)</f>
        <v/>
      </c>
      <c r="O3769">
        <f>IF(L3769="", "Pending", IF(N3769&lt;=30, "Met", "Breached"))</f>
        <v/>
      </c>
      <c r="P3769" s="8" t="n"/>
      <c r="Q3769" s="8" t="n"/>
      <c r="R3769" s="8" t="n"/>
      <c r="S3769" s="8" t="n"/>
      <c r="T3769" s="8" t="n"/>
      <c r="U3769" s="8" t="n"/>
      <c r="V3769" s="8" t="n"/>
      <c r="W3769" s="8" t="n"/>
      <c r="X3769" s="8" t="n"/>
      <c r="Y3769" s="8" t="n"/>
    </row>
    <row r="3770">
      <c r="A3770" s="8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9">
        <f>B3770+30</f>
        <v/>
      </c>
      <c r="N3770">
        <f>IF(L3770="", "", L3770-B3770)</f>
        <v/>
      </c>
      <c r="O3770">
        <f>IF(L3770="", "Pending", IF(N3770&lt;=30, "Met", "Breached"))</f>
        <v/>
      </c>
      <c r="P3770" s="8" t="n"/>
      <c r="Q3770" s="8" t="n"/>
      <c r="R3770" s="8" t="n"/>
      <c r="S3770" s="8" t="n"/>
      <c r="T3770" s="8" t="n"/>
      <c r="U3770" s="8" t="n"/>
      <c r="V3770" s="8" t="n"/>
      <c r="W3770" s="8" t="n"/>
      <c r="X3770" s="8" t="n"/>
      <c r="Y3770" s="8" t="n"/>
    </row>
    <row r="3771">
      <c r="A3771" s="8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9">
        <f>B3771+30</f>
        <v/>
      </c>
      <c r="N3771">
        <f>IF(L3771="", "", L3771-B3771)</f>
        <v/>
      </c>
      <c r="O3771">
        <f>IF(L3771="", "Pending", IF(N3771&lt;=30, "Met", "Breached"))</f>
        <v/>
      </c>
      <c r="P3771" s="8" t="n"/>
      <c r="Q3771" s="8" t="n"/>
      <c r="R3771" s="8" t="n"/>
      <c r="S3771" s="8" t="n"/>
      <c r="T3771" s="8" t="n"/>
      <c r="U3771" s="8" t="n"/>
      <c r="V3771" s="8" t="n"/>
      <c r="W3771" s="8" t="n"/>
      <c r="X3771" s="8" t="n"/>
      <c r="Y3771" s="8" t="n"/>
    </row>
    <row r="3772">
      <c r="A3772" s="8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9">
        <f>B3772+30</f>
        <v/>
      </c>
      <c r="N3772">
        <f>IF(L3772="", "", L3772-B3772)</f>
        <v/>
      </c>
      <c r="O3772">
        <f>IF(L3772="", "Pending", IF(N3772&lt;=30, "Met", "Breached"))</f>
        <v/>
      </c>
      <c r="P3772" s="8" t="n"/>
      <c r="Q3772" s="8" t="n"/>
      <c r="R3772" s="8" t="n"/>
      <c r="S3772" s="8" t="n"/>
      <c r="T3772" s="8" t="n"/>
      <c r="U3772" s="8" t="n"/>
      <c r="V3772" s="8" t="n"/>
      <c r="W3772" s="8" t="n"/>
      <c r="X3772" s="8" t="n"/>
      <c r="Y3772" s="8" t="n"/>
    </row>
    <row r="3773">
      <c r="A3773" s="8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9">
        <f>B3773+30</f>
        <v/>
      </c>
      <c r="N3773">
        <f>IF(L3773="", "", L3773-B3773)</f>
        <v/>
      </c>
      <c r="O3773">
        <f>IF(L3773="", "Pending", IF(N3773&lt;=30, "Met", "Breached"))</f>
        <v/>
      </c>
      <c r="P3773" s="8" t="n"/>
      <c r="Q3773" s="8" t="n"/>
      <c r="R3773" s="8" t="n"/>
      <c r="S3773" s="8" t="n"/>
      <c r="T3773" s="8" t="n"/>
      <c r="U3773" s="8" t="n"/>
      <c r="V3773" s="8" t="n"/>
      <c r="W3773" s="8" t="n"/>
      <c r="X3773" s="8" t="n"/>
      <c r="Y3773" s="8" t="n"/>
    </row>
    <row r="3774">
      <c r="A3774" s="8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9">
        <f>B3774+30</f>
        <v/>
      </c>
      <c r="N3774">
        <f>IF(L3774="", "", L3774-B3774)</f>
        <v/>
      </c>
      <c r="O3774">
        <f>IF(L3774="", "Pending", IF(N3774&lt;=30, "Met", "Breached"))</f>
        <v/>
      </c>
      <c r="P3774" s="8" t="n"/>
      <c r="Q3774" s="8" t="n"/>
      <c r="R3774" s="8" t="n"/>
      <c r="S3774" s="8" t="n"/>
      <c r="T3774" s="8" t="n"/>
      <c r="U3774" s="8" t="n"/>
      <c r="V3774" s="8" t="n"/>
      <c r="W3774" s="8" t="n"/>
      <c r="X3774" s="8" t="n"/>
      <c r="Y3774" s="8" t="n"/>
    </row>
    <row r="3775">
      <c r="A3775" s="8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9">
        <f>B3775+30</f>
        <v/>
      </c>
      <c r="N3775">
        <f>IF(L3775="", "", L3775-B3775)</f>
        <v/>
      </c>
      <c r="O3775">
        <f>IF(L3775="", "Pending", IF(N3775&lt;=30, "Met", "Breached"))</f>
        <v/>
      </c>
      <c r="P3775" s="8" t="n"/>
      <c r="Q3775" s="8" t="n"/>
      <c r="R3775" s="8" t="n"/>
      <c r="S3775" s="8" t="n"/>
      <c r="T3775" s="8" t="n"/>
      <c r="U3775" s="8" t="n"/>
      <c r="V3775" s="8" t="n"/>
      <c r="W3775" s="8" t="n"/>
      <c r="X3775" s="8" t="n"/>
      <c r="Y3775" s="8" t="n"/>
    </row>
    <row r="3776">
      <c r="A3776" s="8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9">
        <f>B3776+30</f>
        <v/>
      </c>
      <c r="N3776">
        <f>IF(L3776="", "", L3776-B3776)</f>
        <v/>
      </c>
      <c r="O3776">
        <f>IF(L3776="", "Pending", IF(N3776&lt;=30, "Met", "Breached"))</f>
        <v/>
      </c>
      <c r="P3776" s="8" t="n"/>
      <c r="Q3776" s="8" t="n"/>
      <c r="R3776" s="8" t="n"/>
      <c r="S3776" s="8" t="n"/>
      <c r="T3776" s="8" t="n"/>
      <c r="U3776" s="8" t="n"/>
      <c r="V3776" s="8" t="n"/>
      <c r="W3776" s="8" t="n"/>
      <c r="X3776" s="8" t="n"/>
      <c r="Y3776" s="8" t="n"/>
    </row>
    <row r="3777">
      <c r="A3777" s="8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9">
        <f>B3777+30</f>
        <v/>
      </c>
      <c r="N3777">
        <f>IF(L3777="", "", L3777-B3777)</f>
        <v/>
      </c>
      <c r="O3777">
        <f>IF(L3777="", "Pending", IF(N3777&lt;=30, "Met", "Breached"))</f>
        <v/>
      </c>
      <c r="P3777" s="8" t="n"/>
      <c r="Q3777" s="8" t="n"/>
      <c r="R3777" s="8" t="n"/>
      <c r="S3777" s="8" t="n"/>
      <c r="T3777" s="8" t="n"/>
      <c r="U3777" s="8" t="n"/>
      <c r="V3777" s="8" t="n"/>
      <c r="W3777" s="8" t="n"/>
      <c r="X3777" s="8" t="n"/>
      <c r="Y3777" s="8" t="n"/>
    </row>
    <row r="3778">
      <c r="A3778" s="8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9">
        <f>B3778+30</f>
        <v/>
      </c>
      <c r="N3778">
        <f>IF(L3778="", "", L3778-B3778)</f>
        <v/>
      </c>
      <c r="O3778">
        <f>IF(L3778="", "Pending", IF(N3778&lt;=30, "Met", "Breached"))</f>
        <v/>
      </c>
      <c r="P3778" s="8" t="n"/>
      <c r="Q3778" s="8" t="n"/>
      <c r="R3778" s="8" t="n"/>
      <c r="S3778" s="8" t="n"/>
      <c r="T3778" s="8" t="n"/>
      <c r="U3778" s="8" t="n"/>
      <c r="V3778" s="8" t="n"/>
      <c r="W3778" s="8" t="n"/>
      <c r="X3778" s="8" t="n"/>
      <c r="Y3778" s="8" t="n"/>
    </row>
    <row r="3779">
      <c r="A3779" s="8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9">
        <f>B3779+30</f>
        <v/>
      </c>
      <c r="N3779">
        <f>IF(L3779="", "", L3779-B3779)</f>
        <v/>
      </c>
      <c r="O3779">
        <f>IF(L3779="", "Pending", IF(N3779&lt;=30, "Met", "Breached"))</f>
        <v/>
      </c>
      <c r="P3779" s="8" t="n"/>
      <c r="Q3779" s="8" t="n"/>
      <c r="R3779" s="8" t="n"/>
      <c r="S3779" s="8" t="n"/>
      <c r="T3779" s="8" t="n"/>
      <c r="U3779" s="8" t="n"/>
      <c r="V3779" s="8" t="n"/>
      <c r="W3779" s="8" t="n"/>
      <c r="X3779" s="8" t="n"/>
      <c r="Y3779" s="8" t="n"/>
    </row>
    <row r="3780">
      <c r="A3780" s="8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9">
        <f>B3780+30</f>
        <v/>
      </c>
      <c r="N3780">
        <f>IF(L3780="", "", L3780-B3780)</f>
        <v/>
      </c>
      <c r="O3780">
        <f>IF(L3780="", "Pending", IF(N3780&lt;=30, "Met", "Breached"))</f>
        <v/>
      </c>
      <c r="P3780" s="8" t="n"/>
      <c r="Q3780" s="8" t="n"/>
      <c r="R3780" s="8" t="n"/>
      <c r="S3780" s="8" t="n"/>
      <c r="T3780" s="8" t="n"/>
      <c r="U3780" s="8" t="n"/>
      <c r="V3780" s="8" t="n"/>
      <c r="W3780" s="8" t="n"/>
      <c r="X3780" s="8" t="n"/>
      <c r="Y3780" s="8" t="n"/>
    </row>
    <row r="3781">
      <c r="A3781" s="8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9">
        <f>B3781+30</f>
        <v/>
      </c>
      <c r="N3781">
        <f>IF(L3781="", "", L3781-B3781)</f>
        <v/>
      </c>
      <c r="O3781">
        <f>IF(L3781="", "Pending", IF(N3781&lt;=30, "Met", "Breached"))</f>
        <v/>
      </c>
      <c r="P3781" s="8" t="n"/>
      <c r="Q3781" s="8" t="n"/>
      <c r="R3781" s="8" t="n"/>
      <c r="S3781" s="8" t="n"/>
      <c r="T3781" s="8" t="n"/>
      <c r="U3781" s="8" t="n"/>
      <c r="V3781" s="8" t="n"/>
      <c r="W3781" s="8" t="n"/>
      <c r="X3781" s="8" t="n"/>
      <c r="Y3781" s="8" t="n"/>
    </row>
    <row r="3782">
      <c r="A3782" s="8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9">
        <f>B3782+30</f>
        <v/>
      </c>
      <c r="N3782">
        <f>IF(L3782="", "", L3782-B3782)</f>
        <v/>
      </c>
      <c r="O3782">
        <f>IF(L3782="", "Pending", IF(N3782&lt;=30, "Met", "Breached"))</f>
        <v/>
      </c>
      <c r="P3782" s="8" t="n"/>
      <c r="Q3782" s="8" t="n"/>
      <c r="R3782" s="8" t="n"/>
      <c r="S3782" s="8" t="n"/>
      <c r="T3782" s="8" t="n"/>
      <c r="U3782" s="8" t="n"/>
      <c r="V3782" s="8" t="n"/>
      <c r="W3782" s="8" t="n"/>
      <c r="X3782" s="8" t="n"/>
      <c r="Y3782" s="8" t="n"/>
    </row>
    <row r="3783">
      <c r="A3783" s="8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9">
        <f>B3783+30</f>
        <v/>
      </c>
      <c r="N3783">
        <f>IF(L3783="", "", L3783-B3783)</f>
        <v/>
      </c>
      <c r="O3783">
        <f>IF(L3783="", "Pending", IF(N3783&lt;=30, "Met", "Breached"))</f>
        <v/>
      </c>
      <c r="P3783" s="8" t="n"/>
      <c r="Q3783" s="8" t="n"/>
      <c r="R3783" s="8" t="n"/>
      <c r="S3783" s="8" t="n"/>
      <c r="T3783" s="8" t="n"/>
      <c r="U3783" s="8" t="n"/>
      <c r="V3783" s="8" t="n"/>
      <c r="W3783" s="8" t="n"/>
      <c r="X3783" s="8" t="n"/>
      <c r="Y3783" s="8" t="n"/>
    </row>
    <row r="3784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9">
        <f>B3784+30</f>
        <v/>
      </c>
      <c r="N3784">
        <f>IF(L3784="", "", L3784-B3784)</f>
        <v/>
      </c>
      <c r="O3784">
        <f>IF(L3784="", "Pending", IF(N3784&lt;=30, "Met", "Breached"))</f>
        <v/>
      </c>
      <c r="P3784" s="8" t="n"/>
      <c r="Q3784" s="8" t="n"/>
      <c r="R3784" s="8" t="n"/>
      <c r="S3784" s="8" t="n"/>
      <c r="T3784" s="8" t="n"/>
      <c r="U3784" s="8" t="n"/>
      <c r="V3784" s="8" t="n"/>
      <c r="W3784" s="8" t="n"/>
      <c r="X3784" s="8" t="n"/>
      <c r="Y3784" s="8" t="n"/>
    </row>
    <row r="3785">
      <c r="A3785" s="8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9">
        <f>B3785+30</f>
        <v/>
      </c>
      <c r="N3785">
        <f>IF(L3785="", "", L3785-B3785)</f>
        <v/>
      </c>
      <c r="O3785">
        <f>IF(L3785="", "Pending", IF(N3785&lt;=30, "Met", "Breached"))</f>
        <v/>
      </c>
      <c r="P3785" s="8" t="n"/>
      <c r="Q3785" s="8" t="n"/>
      <c r="R3785" s="8" t="n"/>
      <c r="S3785" s="8" t="n"/>
      <c r="T3785" s="8" t="n"/>
      <c r="U3785" s="8" t="n"/>
      <c r="V3785" s="8" t="n"/>
      <c r="W3785" s="8" t="n"/>
      <c r="X3785" s="8" t="n"/>
      <c r="Y3785" s="8" t="n"/>
    </row>
    <row r="3786">
      <c r="A3786" s="8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9">
        <f>B3786+30</f>
        <v/>
      </c>
      <c r="N3786">
        <f>IF(L3786="", "", L3786-B3786)</f>
        <v/>
      </c>
      <c r="O3786">
        <f>IF(L3786="", "Pending", IF(N3786&lt;=30, "Met", "Breached"))</f>
        <v/>
      </c>
      <c r="P3786" s="8" t="n"/>
      <c r="Q3786" s="8" t="n"/>
      <c r="R3786" s="8" t="n"/>
      <c r="S3786" s="8" t="n"/>
      <c r="T3786" s="8" t="n"/>
      <c r="U3786" s="8" t="n"/>
      <c r="V3786" s="8" t="n"/>
      <c r="W3786" s="8" t="n"/>
      <c r="X3786" s="8" t="n"/>
      <c r="Y3786" s="8" t="n"/>
    </row>
    <row r="3787">
      <c r="A3787" s="8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9">
        <f>B3787+30</f>
        <v/>
      </c>
      <c r="N3787">
        <f>IF(L3787="", "", L3787-B3787)</f>
        <v/>
      </c>
      <c r="O3787">
        <f>IF(L3787="", "Pending", IF(N3787&lt;=30, "Met", "Breached"))</f>
        <v/>
      </c>
      <c r="P3787" s="8" t="n"/>
      <c r="Q3787" s="8" t="n"/>
      <c r="R3787" s="8" t="n"/>
      <c r="S3787" s="8" t="n"/>
      <c r="T3787" s="8" t="n"/>
      <c r="U3787" s="8" t="n"/>
      <c r="V3787" s="8" t="n"/>
      <c r="W3787" s="8" t="n"/>
      <c r="X3787" s="8" t="n"/>
      <c r="Y3787" s="8" t="n"/>
    </row>
    <row r="3788">
      <c r="A3788" s="8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9">
        <f>B3788+30</f>
        <v/>
      </c>
      <c r="N3788">
        <f>IF(L3788="", "", L3788-B3788)</f>
        <v/>
      </c>
      <c r="O3788">
        <f>IF(L3788="", "Pending", IF(N3788&lt;=30, "Met", "Breached"))</f>
        <v/>
      </c>
      <c r="P3788" s="8" t="n"/>
      <c r="Q3788" s="8" t="n"/>
      <c r="R3788" s="8" t="n"/>
      <c r="S3788" s="8" t="n"/>
      <c r="T3788" s="8" t="n"/>
      <c r="U3788" s="8" t="n"/>
      <c r="V3788" s="8" t="n"/>
      <c r="W3788" s="8" t="n"/>
      <c r="X3788" s="8" t="n"/>
      <c r="Y3788" s="8" t="n"/>
    </row>
    <row r="3789">
      <c r="A3789" s="8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9">
        <f>B3789+30</f>
        <v/>
      </c>
      <c r="N3789">
        <f>IF(L3789="", "", L3789-B3789)</f>
        <v/>
      </c>
      <c r="O3789">
        <f>IF(L3789="", "Pending", IF(N3789&lt;=30, "Met", "Breached"))</f>
        <v/>
      </c>
      <c r="P3789" s="8" t="n"/>
      <c r="Q3789" s="8" t="n"/>
      <c r="R3789" s="8" t="n"/>
      <c r="S3789" s="8" t="n"/>
      <c r="T3789" s="8" t="n"/>
      <c r="U3789" s="8" t="n"/>
      <c r="V3789" s="8" t="n"/>
      <c r="W3789" s="8" t="n"/>
      <c r="X3789" s="8" t="n"/>
      <c r="Y3789" s="8" t="n"/>
    </row>
    <row r="3790">
      <c r="A3790" s="8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9">
        <f>B3790+30</f>
        <v/>
      </c>
      <c r="N3790">
        <f>IF(L3790="", "", L3790-B3790)</f>
        <v/>
      </c>
      <c r="O3790">
        <f>IF(L3790="", "Pending", IF(N3790&lt;=30, "Met", "Breached"))</f>
        <v/>
      </c>
      <c r="P3790" s="8" t="n"/>
      <c r="Q3790" s="8" t="n"/>
      <c r="R3790" s="8" t="n"/>
      <c r="S3790" s="8" t="n"/>
      <c r="T3790" s="8" t="n"/>
      <c r="U3790" s="8" t="n"/>
      <c r="V3790" s="8" t="n"/>
      <c r="W3790" s="8" t="n"/>
      <c r="X3790" s="8" t="n"/>
      <c r="Y3790" s="8" t="n"/>
    </row>
    <row r="3791">
      <c r="A3791" s="8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9">
        <f>B3791+30</f>
        <v/>
      </c>
      <c r="N3791">
        <f>IF(L3791="", "", L3791-B3791)</f>
        <v/>
      </c>
      <c r="O3791">
        <f>IF(L3791="", "Pending", IF(N3791&lt;=30, "Met", "Breached"))</f>
        <v/>
      </c>
      <c r="P3791" s="8" t="n"/>
      <c r="Q3791" s="8" t="n"/>
      <c r="R3791" s="8" t="n"/>
      <c r="S3791" s="8" t="n"/>
      <c r="T3791" s="8" t="n"/>
      <c r="U3791" s="8" t="n"/>
      <c r="V3791" s="8" t="n"/>
      <c r="W3791" s="8" t="n"/>
      <c r="X3791" s="8" t="n"/>
      <c r="Y3791" s="8" t="n"/>
    </row>
    <row r="3792">
      <c r="A3792" s="8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9">
        <f>B3792+30</f>
        <v/>
      </c>
      <c r="N3792">
        <f>IF(L3792="", "", L3792-B3792)</f>
        <v/>
      </c>
      <c r="O3792">
        <f>IF(L3792="", "Pending", IF(N3792&lt;=30, "Met", "Breached"))</f>
        <v/>
      </c>
      <c r="P3792" s="8" t="n"/>
      <c r="Q3792" s="8" t="n"/>
      <c r="R3792" s="8" t="n"/>
      <c r="S3792" s="8" t="n"/>
      <c r="T3792" s="8" t="n"/>
      <c r="U3792" s="8" t="n"/>
      <c r="V3792" s="8" t="n"/>
      <c r="W3792" s="8" t="n"/>
      <c r="X3792" s="8" t="n"/>
      <c r="Y3792" s="8" t="n"/>
    </row>
    <row r="3793">
      <c r="A3793" s="8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9">
        <f>B3793+30</f>
        <v/>
      </c>
      <c r="N3793">
        <f>IF(L3793="", "", L3793-B3793)</f>
        <v/>
      </c>
      <c r="O3793">
        <f>IF(L3793="", "Pending", IF(N3793&lt;=30, "Met", "Breached"))</f>
        <v/>
      </c>
      <c r="P3793" s="8" t="n"/>
      <c r="Q3793" s="8" t="n"/>
      <c r="R3793" s="8" t="n"/>
      <c r="S3793" s="8" t="n"/>
      <c r="T3793" s="8" t="n"/>
      <c r="U3793" s="8" t="n"/>
      <c r="V3793" s="8" t="n"/>
      <c r="W3793" s="8" t="n"/>
      <c r="X3793" s="8" t="n"/>
      <c r="Y3793" s="8" t="n"/>
    </row>
    <row r="3794">
      <c r="A3794" s="8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9">
        <f>B3794+30</f>
        <v/>
      </c>
      <c r="N3794">
        <f>IF(L3794="", "", L3794-B3794)</f>
        <v/>
      </c>
      <c r="O3794">
        <f>IF(L3794="", "Pending", IF(N3794&lt;=30, "Met", "Breached"))</f>
        <v/>
      </c>
      <c r="P3794" s="8" t="n"/>
      <c r="Q3794" s="8" t="n"/>
      <c r="R3794" s="8" t="n"/>
      <c r="S3794" s="8" t="n"/>
      <c r="T3794" s="8" t="n"/>
      <c r="U3794" s="8" t="n"/>
      <c r="V3794" s="8" t="n"/>
      <c r="W3794" s="8" t="n"/>
      <c r="X3794" s="8" t="n"/>
      <c r="Y3794" s="8" t="n"/>
    </row>
    <row r="3795">
      <c r="A3795" s="8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9">
        <f>B3795+30</f>
        <v/>
      </c>
      <c r="N3795">
        <f>IF(L3795="", "", L3795-B3795)</f>
        <v/>
      </c>
      <c r="O3795">
        <f>IF(L3795="", "Pending", IF(N3795&lt;=30, "Met", "Breached"))</f>
        <v/>
      </c>
      <c r="P3795" s="8" t="n"/>
      <c r="Q3795" s="8" t="n"/>
      <c r="R3795" s="8" t="n"/>
      <c r="S3795" s="8" t="n"/>
      <c r="T3795" s="8" t="n"/>
      <c r="U3795" s="8" t="n"/>
      <c r="V3795" s="8" t="n"/>
      <c r="W3795" s="8" t="n"/>
      <c r="X3795" s="8" t="n"/>
      <c r="Y3795" s="8" t="n"/>
    </row>
    <row r="3796">
      <c r="A3796" s="8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9">
        <f>B3796+30</f>
        <v/>
      </c>
      <c r="N3796">
        <f>IF(L3796="", "", L3796-B3796)</f>
        <v/>
      </c>
      <c r="O3796">
        <f>IF(L3796="", "Pending", IF(N3796&lt;=30, "Met", "Breached"))</f>
        <v/>
      </c>
      <c r="P3796" s="8" t="n"/>
      <c r="Q3796" s="8" t="n"/>
      <c r="R3796" s="8" t="n"/>
      <c r="S3796" s="8" t="n"/>
      <c r="T3796" s="8" t="n"/>
      <c r="U3796" s="8" t="n"/>
      <c r="V3796" s="8" t="n"/>
      <c r="W3796" s="8" t="n"/>
      <c r="X3796" s="8" t="n"/>
      <c r="Y3796" s="8" t="n"/>
    </row>
    <row r="3797">
      <c r="A3797" s="8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9">
        <f>B3797+30</f>
        <v/>
      </c>
      <c r="N3797">
        <f>IF(L3797="", "", L3797-B3797)</f>
        <v/>
      </c>
      <c r="O3797">
        <f>IF(L3797="", "Pending", IF(N3797&lt;=30, "Met", "Breached"))</f>
        <v/>
      </c>
      <c r="P3797" s="8" t="n"/>
      <c r="Q3797" s="8" t="n"/>
      <c r="R3797" s="8" t="n"/>
      <c r="S3797" s="8" t="n"/>
      <c r="T3797" s="8" t="n"/>
      <c r="U3797" s="8" t="n"/>
      <c r="V3797" s="8" t="n"/>
      <c r="W3797" s="8" t="n"/>
      <c r="X3797" s="8" t="n"/>
      <c r="Y3797" s="8" t="n"/>
    </row>
    <row r="3798">
      <c r="A3798" s="8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9">
        <f>B3798+30</f>
        <v/>
      </c>
      <c r="N3798">
        <f>IF(L3798="", "", L3798-B3798)</f>
        <v/>
      </c>
      <c r="O3798">
        <f>IF(L3798="", "Pending", IF(N3798&lt;=30, "Met", "Breached"))</f>
        <v/>
      </c>
      <c r="P3798" s="8" t="n"/>
      <c r="Q3798" s="8" t="n"/>
      <c r="R3798" s="8" t="n"/>
      <c r="S3798" s="8" t="n"/>
      <c r="T3798" s="8" t="n"/>
      <c r="U3798" s="8" t="n"/>
      <c r="V3798" s="8" t="n"/>
      <c r="W3798" s="8" t="n"/>
      <c r="X3798" s="8" t="n"/>
      <c r="Y3798" s="8" t="n"/>
    </row>
    <row r="3799">
      <c r="A3799" s="8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9">
        <f>B3799+30</f>
        <v/>
      </c>
      <c r="N3799">
        <f>IF(L3799="", "", L3799-B3799)</f>
        <v/>
      </c>
      <c r="O3799">
        <f>IF(L3799="", "Pending", IF(N3799&lt;=30, "Met", "Breached"))</f>
        <v/>
      </c>
      <c r="P3799" s="8" t="n"/>
      <c r="Q3799" s="8" t="n"/>
      <c r="R3799" s="8" t="n"/>
      <c r="S3799" s="8" t="n"/>
      <c r="T3799" s="8" t="n"/>
      <c r="U3799" s="8" t="n"/>
      <c r="V3799" s="8" t="n"/>
      <c r="W3799" s="8" t="n"/>
      <c r="X3799" s="8" t="n"/>
      <c r="Y3799" s="8" t="n"/>
    </row>
    <row r="3800">
      <c r="A3800" s="8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9">
        <f>B3800+30</f>
        <v/>
      </c>
      <c r="N3800">
        <f>IF(L3800="", "", L3800-B3800)</f>
        <v/>
      </c>
      <c r="O3800">
        <f>IF(L3800="", "Pending", IF(N3800&lt;=30, "Met", "Breached"))</f>
        <v/>
      </c>
      <c r="P3800" s="8" t="n"/>
      <c r="Q3800" s="8" t="n"/>
      <c r="R3800" s="8" t="n"/>
      <c r="S3800" s="8" t="n"/>
      <c r="T3800" s="8" t="n"/>
      <c r="U3800" s="8" t="n"/>
      <c r="V3800" s="8" t="n"/>
      <c r="W3800" s="8" t="n"/>
      <c r="X3800" s="8" t="n"/>
      <c r="Y3800" s="8" t="n"/>
    </row>
    <row r="3801">
      <c r="A3801" s="8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9">
        <f>B3801+30</f>
        <v/>
      </c>
      <c r="N3801">
        <f>IF(L3801="", "", L3801-B3801)</f>
        <v/>
      </c>
      <c r="O3801">
        <f>IF(L3801="", "Pending", IF(N3801&lt;=30, "Met", "Breached"))</f>
        <v/>
      </c>
      <c r="P3801" s="8" t="n"/>
      <c r="Q3801" s="8" t="n"/>
      <c r="R3801" s="8" t="n"/>
      <c r="S3801" s="8" t="n"/>
      <c r="T3801" s="8" t="n"/>
      <c r="U3801" s="8" t="n"/>
      <c r="V3801" s="8" t="n"/>
      <c r="W3801" s="8" t="n"/>
      <c r="X3801" s="8" t="n"/>
      <c r="Y3801" s="8" t="n"/>
    </row>
    <row r="3802">
      <c r="A3802" s="8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9">
        <f>B3802+30</f>
        <v/>
      </c>
      <c r="N3802">
        <f>IF(L3802="", "", L3802-B3802)</f>
        <v/>
      </c>
      <c r="O3802">
        <f>IF(L3802="", "Pending", IF(N3802&lt;=30, "Met", "Breached"))</f>
        <v/>
      </c>
      <c r="P3802" s="8" t="n"/>
      <c r="Q3802" s="8" t="n"/>
      <c r="R3802" s="8" t="n"/>
      <c r="S3802" s="8" t="n"/>
      <c r="T3802" s="8" t="n"/>
      <c r="U3802" s="8" t="n"/>
      <c r="V3802" s="8" t="n"/>
      <c r="W3802" s="8" t="n"/>
      <c r="X3802" s="8" t="n"/>
      <c r="Y3802" s="8" t="n"/>
    </row>
    <row r="3803">
      <c r="A3803" s="8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9">
        <f>B3803+30</f>
        <v/>
      </c>
      <c r="N3803">
        <f>IF(L3803="", "", L3803-B3803)</f>
        <v/>
      </c>
      <c r="O3803">
        <f>IF(L3803="", "Pending", IF(N3803&lt;=30, "Met", "Breached"))</f>
        <v/>
      </c>
      <c r="P3803" s="8" t="n"/>
      <c r="Q3803" s="8" t="n"/>
      <c r="R3803" s="8" t="n"/>
      <c r="S3803" s="8" t="n"/>
      <c r="T3803" s="8" t="n"/>
      <c r="U3803" s="8" t="n"/>
      <c r="V3803" s="8" t="n"/>
      <c r="W3803" s="8" t="n"/>
      <c r="X3803" s="8" t="n"/>
      <c r="Y3803" s="8" t="n"/>
    </row>
    <row r="3804">
      <c r="A3804" s="8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9">
        <f>B3804+30</f>
        <v/>
      </c>
      <c r="N3804">
        <f>IF(L3804="", "", L3804-B3804)</f>
        <v/>
      </c>
      <c r="O3804">
        <f>IF(L3804="", "Pending", IF(N3804&lt;=30, "Met", "Breached"))</f>
        <v/>
      </c>
      <c r="P3804" s="8" t="n"/>
      <c r="Q3804" s="8" t="n"/>
      <c r="R3804" s="8" t="n"/>
      <c r="S3804" s="8" t="n"/>
      <c r="T3804" s="8" t="n"/>
      <c r="U3804" s="8" t="n"/>
      <c r="V3804" s="8" t="n"/>
      <c r="W3804" s="8" t="n"/>
      <c r="X3804" s="8" t="n"/>
      <c r="Y3804" s="8" t="n"/>
    </row>
    <row r="3805">
      <c r="A3805" s="8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9">
        <f>B3805+30</f>
        <v/>
      </c>
      <c r="N3805">
        <f>IF(L3805="", "", L3805-B3805)</f>
        <v/>
      </c>
      <c r="O3805">
        <f>IF(L3805="", "Pending", IF(N3805&lt;=30, "Met", "Breached"))</f>
        <v/>
      </c>
      <c r="P3805" s="8" t="n"/>
      <c r="Q3805" s="8" t="n"/>
      <c r="R3805" s="8" t="n"/>
      <c r="S3805" s="8" t="n"/>
      <c r="T3805" s="8" t="n"/>
      <c r="U3805" s="8" t="n"/>
      <c r="V3805" s="8" t="n"/>
      <c r="W3805" s="8" t="n"/>
      <c r="X3805" s="8" t="n"/>
      <c r="Y3805" s="8" t="n"/>
    </row>
    <row r="3806">
      <c r="A3806" s="8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9">
        <f>B3806+30</f>
        <v/>
      </c>
      <c r="N3806">
        <f>IF(L3806="", "", L3806-B3806)</f>
        <v/>
      </c>
      <c r="O3806">
        <f>IF(L3806="", "Pending", IF(N3806&lt;=30, "Met", "Breached"))</f>
        <v/>
      </c>
      <c r="P3806" s="8" t="n"/>
      <c r="Q3806" s="8" t="n"/>
      <c r="R3806" s="8" t="n"/>
      <c r="S3806" s="8" t="n"/>
      <c r="T3806" s="8" t="n"/>
      <c r="U3806" s="8" t="n"/>
      <c r="V3806" s="8" t="n"/>
      <c r="W3806" s="8" t="n"/>
      <c r="X3806" s="8" t="n"/>
      <c r="Y3806" s="8" t="n"/>
    </row>
    <row r="3807">
      <c r="A3807" s="8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9">
        <f>B3807+30</f>
        <v/>
      </c>
      <c r="N3807">
        <f>IF(L3807="", "", L3807-B3807)</f>
        <v/>
      </c>
      <c r="O3807">
        <f>IF(L3807="", "Pending", IF(N3807&lt;=30, "Met", "Breached"))</f>
        <v/>
      </c>
      <c r="P3807" s="8" t="n"/>
      <c r="Q3807" s="8" t="n"/>
      <c r="R3807" s="8" t="n"/>
      <c r="S3807" s="8" t="n"/>
      <c r="T3807" s="8" t="n"/>
      <c r="U3807" s="8" t="n"/>
      <c r="V3807" s="8" t="n"/>
      <c r="W3807" s="8" t="n"/>
      <c r="X3807" s="8" t="n"/>
      <c r="Y3807" s="8" t="n"/>
    </row>
    <row r="3808">
      <c r="A3808" s="8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9">
        <f>B3808+30</f>
        <v/>
      </c>
      <c r="N3808">
        <f>IF(L3808="", "", L3808-B3808)</f>
        <v/>
      </c>
      <c r="O3808">
        <f>IF(L3808="", "Pending", IF(N3808&lt;=30, "Met", "Breached"))</f>
        <v/>
      </c>
      <c r="P3808" s="8" t="n"/>
      <c r="Q3808" s="8" t="n"/>
      <c r="R3808" s="8" t="n"/>
      <c r="S3808" s="8" t="n"/>
      <c r="T3808" s="8" t="n"/>
      <c r="U3808" s="8" t="n"/>
      <c r="V3808" s="8" t="n"/>
      <c r="W3808" s="8" t="n"/>
      <c r="X3808" s="8" t="n"/>
      <c r="Y3808" s="8" t="n"/>
    </row>
    <row r="3809">
      <c r="A3809" s="8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9">
        <f>B3809+30</f>
        <v/>
      </c>
      <c r="N3809">
        <f>IF(L3809="", "", L3809-B3809)</f>
        <v/>
      </c>
      <c r="O3809">
        <f>IF(L3809="", "Pending", IF(N3809&lt;=30, "Met", "Breached"))</f>
        <v/>
      </c>
      <c r="P3809" s="8" t="n"/>
      <c r="Q3809" s="8" t="n"/>
      <c r="R3809" s="8" t="n"/>
      <c r="S3809" s="8" t="n"/>
      <c r="T3809" s="8" t="n"/>
      <c r="U3809" s="8" t="n"/>
      <c r="V3809" s="8" t="n"/>
      <c r="W3809" s="8" t="n"/>
      <c r="X3809" s="8" t="n"/>
      <c r="Y3809" s="8" t="n"/>
    </row>
    <row r="3810">
      <c r="A3810" s="8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9">
        <f>B3810+30</f>
        <v/>
      </c>
      <c r="N3810">
        <f>IF(L3810="", "", L3810-B3810)</f>
        <v/>
      </c>
      <c r="O3810">
        <f>IF(L3810="", "Pending", IF(N3810&lt;=30, "Met", "Breached"))</f>
        <v/>
      </c>
      <c r="P3810" s="8" t="n"/>
      <c r="Q3810" s="8" t="n"/>
      <c r="R3810" s="8" t="n"/>
      <c r="S3810" s="8" t="n"/>
      <c r="T3810" s="8" t="n"/>
      <c r="U3810" s="8" t="n"/>
      <c r="V3810" s="8" t="n"/>
      <c r="W3810" s="8" t="n"/>
      <c r="X3810" s="8" t="n"/>
      <c r="Y3810" s="8" t="n"/>
    </row>
    <row r="3811">
      <c r="A3811" s="8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9">
        <f>B3811+30</f>
        <v/>
      </c>
      <c r="N3811">
        <f>IF(L3811="", "", L3811-B3811)</f>
        <v/>
      </c>
      <c r="O3811">
        <f>IF(L3811="", "Pending", IF(N3811&lt;=30, "Met", "Breached"))</f>
        <v/>
      </c>
      <c r="P3811" s="8" t="n"/>
      <c r="Q3811" s="8" t="n"/>
      <c r="R3811" s="8" t="n"/>
      <c r="S3811" s="8" t="n"/>
      <c r="T3811" s="8" t="n"/>
      <c r="U3811" s="8" t="n"/>
      <c r="V3811" s="8" t="n"/>
      <c r="W3811" s="8" t="n"/>
      <c r="X3811" s="8" t="n"/>
      <c r="Y3811" s="8" t="n"/>
    </row>
    <row r="3812">
      <c r="A3812" s="8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9">
        <f>B3812+30</f>
        <v/>
      </c>
      <c r="N3812">
        <f>IF(L3812="", "", L3812-B3812)</f>
        <v/>
      </c>
      <c r="O3812">
        <f>IF(L3812="", "Pending", IF(N3812&lt;=30, "Met", "Breached"))</f>
        <v/>
      </c>
      <c r="P3812" s="8" t="n"/>
      <c r="Q3812" s="8" t="n"/>
      <c r="R3812" s="8" t="n"/>
      <c r="S3812" s="8" t="n"/>
      <c r="T3812" s="8" t="n"/>
      <c r="U3812" s="8" t="n"/>
      <c r="V3812" s="8" t="n"/>
      <c r="W3812" s="8" t="n"/>
      <c r="X3812" s="8" t="n"/>
      <c r="Y3812" s="8" t="n"/>
    </row>
    <row r="3813">
      <c r="A3813" s="8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9">
        <f>B3813+30</f>
        <v/>
      </c>
      <c r="N3813">
        <f>IF(L3813="", "", L3813-B3813)</f>
        <v/>
      </c>
      <c r="O3813">
        <f>IF(L3813="", "Pending", IF(N3813&lt;=30, "Met", "Breached"))</f>
        <v/>
      </c>
      <c r="P3813" s="8" t="n"/>
      <c r="Q3813" s="8" t="n"/>
      <c r="R3813" s="8" t="n"/>
      <c r="S3813" s="8" t="n"/>
      <c r="T3813" s="8" t="n"/>
      <c r="U3813" s="8" t="n"/>
      <c r="V3813" s="8" t="n"/>
      <c r="W3813" s="8" t="n"/>
      <c r="X3813" s="8" t="n"/>
      <c r="Y3813" s="8" t="n"/>
    </row>
    <row r="3814">
      <c r="A3814" s="8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9">
        <f>B3814+30</f>
        <v/>
      </c>
      <c r="N3814">
        <f>IF(L3814="", "", L3814-B3814)</f>
        <v/>
      </c>
      <c r="O3814">
        <f>IF(L3814="", "Pending", IF(N3814&lt;=30, "Met", "Breached"))</f>
        <v/>
      </c>
      <c r="P3814" s="8" t="n"/>
      <c r="Q3814" s="8" t="n"/>
      <c r="R3814" s="8" t="n"/>
      <c r="S3814" s="8" t="n"/>
      <c r="T3814" s="8" t="n"/>
      <c r="U3814" s="8" t="n"/>
      <c r="V3814" s="8" t="n"/>
      <c r="W3814" s="8" t="n"/>
      <c r="X3814" s="8" t="n"/>
      <c r="Y3814" s="8" t="n"/>
    </row>
    <row r="3815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9">
        <f>B3815+30</f>
        <v/>
      </c>
      <c r="N3815">
        <f>IF(L3815="", "", L3815-B3815)</f>
        <v/>
      </c>
      <c r="O3815">
        <f>IF(L3815="", "Pending", IF(N3815&lt;=30, "Met", "Breached"))</f>
        <v/>
      </c>
      <c r="P3815" s="8" t="n"/>
      <c r="Q3815" s="8" t="n"/>
      <c r="R3815" s="8" t="n"/>
      <c r="S3815" s="8" t="n"/>
      <c r="T3815" s="8" t="n"/>
      <c r="U3815" s="8" t="n"/>
      <c r="V3815" s="8" t="n"/>
      <c r="W3815" s="8" t="n"/>
      <c r="X3815" s="8" t="n"/>
      <c r="Y3815" s="8" t="n"/>
    </row>
    <row r="3816">
      <c r="A3816" s="8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9">
        <f>B3816+30</f>
        <v/>
      </c>
      <c r="N3816">
        <f>IF(L3816="", "", L3816-B3816)</f>
        <v/>
      </c>
      <c r="O3816">
        <f>IF(L3816="", "Pending", IF(N3816&lt;=30, "Met", "Breached"))</f>
        <v/>
      </c>
      <c r="P3816" s="8" t="n"/>
      <c r="Q3816" s="8" t="n"/>
      <c r="R3816" s="8" t="n"/>
      <c r="S3816" s="8" t="n"/>
      <c r="T3816" s="8" t="n"/>
      <c r="U3816" s="8" t="n"/>
      <c r="V3816" s="8" t="n"/>
      <c r="W3816" s="8" t="n"/>
      <c r="X3816" s="8" t="n"/>
      <c r="Y3816" s="8" t="n"/>
    </row>
    <row r="3817">
      <c r="A3817" s="8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9">
        <f>B3817+30</f>
        <v/>
      </c>
      <c r="N3817">
        <f>IF(L3817="", "", L3817-B3817)</f>
        <v/>
      </c>
      <c r="O3817">
        <f>IF(L3817="", "Pending", IF(N3817&lt;=30, "Met", "Breached"))</f>
        <v/>
      </c>
      <c r="P3817" s="8" t="n"/>
      <c r="Q3817" s="8" t="n"/>
      <c r="R3817" s="8" t="n"/>
      <c r="S3817" s="8" t="n"/>
      <c r="T3817" s="8" t="n"/>
      <c r="U3817" s="8" t="n"/>
      <c r="V3817" s="8" t="n"/>
      <c r="W3817" s="8" t="n"/>
      <c r="X3817" s="8" t="n"/>
      <c r="Y3817" s="8" t="n"/>
    </row>
    <row r="3818">
      <c r="A3818" s="8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9">
        <f>B3818+30</f>
        <v/>
      </c>
      <c r="N3818">
        <f>IF(L3818="", "", L3818-B3818)</f>
        <v/>
      </c>
      <c r="O3818">
        <f>IF(L3818="", "Pending", IF(N3818&lt;=30, "Met", "Breached"))</f>
        <v/>
      </c>
      <c r="P3818" s="8" t="n"/>
      <c r="Q3818" s="8" t="n"/>
      <c r="R3818" s="8" t="n"/>
      <c r="S3818" s="8" t="n"/>
      <c r="T3818" s="8" t="n"/>
      <c r="U3818" s="8" t="n"/>
      <c r="V3818" s="8" t="n"/>
      <c r="W3818" s="8" t="n"/>
      <c r="X3818" s="8" t="n"/>
      <c r="Y3818" s="8" t="n"/>
    </row>
    <row r="3819">
      <c r="A3819" s="8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9">
        <f>B3819+30</f>
        <v/>
      </c>
      <c r="N3819">
        <f>IF(L3819="", "", L3819-B3819)</f>
        <v/>
      </c>
      <c r="O3819">
        <f>IF(L3819="", "Pending", IF(N3819&lt;=30, "Met", "Breached"))</f>
        <v/>
      </c>
      <c r="P3819" s="8" t="n"/>
      <c r="Q3819" s="8" t="n"/>
      <c r="R3819" s="8" t="n"/>
      <c r="S3819" s="8" t="n"/>
      <c r="T3819" s="8" t="n"/>
      <c r="U3819" s="8" t="n"/>
      <c r="V3819" s="8" t="n"/>
      <c r="W3819" s="8" t="n"/>
      <c r="X3819" s="8" t="n"/>
      <c r="Y3819" s="8" t="n"/>
    </row>
    <row r="3820">
      <c r="A3820" s="8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9">
        <f>B3820+30</f>
        <v/>
      </c>
      <c r="N3820">
        <f>IF(L3820="", "", L3820-B3820)</f>
        <v/>
      </c>
      <c r="O3820">
        <f>IF(L3820="", "Pending", IF(N3820&lt;=30, "Met", "Breached"))</f>
        <v/>
      </c>
      <c r="P3820" s="8" t="n"/>
      <c r="Q3820" s="8" t="n"/>
      <c r="R3820" s="8" t="n"/>
      <c r="S3820" s="8" t="n"/>
      <c r="T3820" s="8" t="n"/>
      <c r="U3820" s="8" t="n"/>
      <c r="V3820" s="8" t="n"/>
      <c r="W3820" s="8" t="n"/>
      <c r="X3820" s="8" t="n"/>
      <c r="Y3820" s="8" t="n"/>
    </row>
    <row r="3821">
      <c r="A3821" s="8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9">
        <f>B3821+30</f>
        <v/>
      </c>
      <c r="N3821">
        <f>IF(L3821="", "", L3821-B3821)</f>
        <v/>
      </c>
      <c r="O3821">
        <f>IF(L3821="", "Pending", IF(N3821&lt;=30, "Met", "Breached"))</f>
        <v/>
      </c>
      <c r="P3821" s="8" t="n"/>
      <c r="Q3821" s="8" t="n"/>
      <c r="R3821" s="8" t="n"/>
      <c r="S3821" s="8" t="n"/>
      <c r="T3821" s="8" t="n"/>
      <c r="U3821" s="8" t="n"/>
      <c r="V3821" s="8" t="n"/>
      <c r="W3821" s="8" t="n"/>
      <c r="X3821" s="8" t="n"/>
      <c r="Y3821" s="8" t="n"/>
    </row>
    <row r="3822">
      <c r="A3822" s="8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9">
        <f>B3822+30</f>
        <v/>
      </c>
      <c r="N3822">
        <f>IF(L3822="", "", L3822-B3822)</f>
        <v/>
      </c>
      <c r="O3822">
        <f>IF(L3822="", "Pending", IF(N3822&lt;=30, "Met", "Breached"))</f>
        <v/>
      </c>
      <c r="P3822" s="8" t="n"/>
      <c r="Q3822" s="8" t="n"/>
      <c r="R3822" s="8" t="n"/>
      <c r="S3822" s="8" t="n"/>
      <c r="T3822" s="8" t="n"/>
      <c r="U3822" s="8" t="n"/>
      <c r="V3822" s="8" t="n"/>
      <c r="W3822" s="8" t="n"/>
      <c r="X3822" s="8" t="n"/>
      <c r="Y3822" s="8" t="n"/>
    </row>
    <row r="3823">
      <c r="A3823" s="8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9">
        <f>B3823+30</f>
        <v/>
      </c>
      <c r="N3823">
        <f>IF(L3823="", "", L3823-B3823)</f>
        <v/>
      </c>
      <c r="O3823">
        <f>IF(L3823="", "Pending", IF(N3823&lt;=30, "Met", "Breached"))</f>
        <v/>
      </c>
      <c r="P3823" s="8" t="n"/>
      <c r="Q3823" s="8" t="n"/>
      <c r="R3823" s="8" t="n"/>
      <c r="S3823" s="8" t="n"/>
      <c r="T3823" s="8" t="n"/>
      <c r="U3823" s="8" t="n"/>
      <c r="V3823" s="8" t="n"/>
      <c r="W3823" s="8" t="n"/>
      <c r="X3823" s="8" t="n"/>
      <c r="Y3823" s="8" t="n"/>
    </row>
    <row r="3824">
      <c r="A3824" s="8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9">
        <f>B3824+30</f>
        <v/>
      </c>
      <c r="N3824">
        <f>IF(L3824="", "", L3824-B3824)</f>
        <v/>
      </c>
      <c r="O3824">
        <f>IF(L3824="", "Pending", IF(N3824&lt;=30, "Met", "Breached"))</f>
        <v/>
      </c>
      <c r="P3824" s="8" t="n"/>
      <c r="Q3824" s="8" t="n"/>
      <c r="R3824" s="8" t="n"/>
      <c r="S3824" s="8" t="n"/>
      <c r="T3824" s="8" t="n"/>
      <c r="U3824" s="8" t="n"/>
      <c r="V3824" s="8" t="n"/>
      <c r="W3824" s="8" t="n"/>
      <c r="X3824" s="8" t="n"/>
      <c r="Y3824" s="8" t="n"/>
    </row>
    <row r="3825">
      <c r="A3825" s="8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9">
        <f>B3825+30</f>
        <v/>
      </c>
      <c r="N3825">
        <f>IF(L3825="", "", L3825-B3825)</f>
        <v/>
      </c>
      <c r="O3825">
        <f>IF(L3825="", "Pending", IF(N3825&lt;=30, "Met", "Breached"))</f>
        <v/>
      </c>
      <c r="P3825" s="8" t="n"/>
      <c r="Q3825" s="8" t="n"/>
      <c r="R3825" s="8" t="n"/>
      <c r="S3825" s="8" t="n"/>
      <c r="T3825" s="8" t="n"/>
      <c r="U3825" s="8" t="n"/>
      <c r="V3825" s="8" t="n"/>
      <c r="W3825" s="8" t="n"/>
      <c r="X3825" s="8" t="n"/>
      <c r="Y3825" s="8" t="n"/>
    </row>
    <row r="3826">
      <c r="A3826" s="8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9">
        <f>B3826+30</f>
        <v/>
      </c>
      <c r="N3826">
        <f>IF(L3826="", "", L3826-B3826)</f>
        <v/>
      </c>
      <c r="O3826">
        <f>IF(L3826="", "Pending", IF(N3826&lt;=30, "Met", "Breached"))</f>
        <v/>
      </c>
      <c r="P3826" s="8" t="n"/>
      <c r="Q3826" s="8" t="n"/>
      <c r="R3826" s="8" t="n"/>
      <c r="S3826" s="8" t="n"/>
      <c r="T3826" s="8" t="n"/>
      <c r="U3826" s="8" t="n"/>
      <c r="V3826" s="8" t="n"/>
      <c r="W3826" s="8" t="n"/>
      <c r="X3826" s="8" t="n"/>
      <c r="Y3826" s="8" t="n"/>
    </row>
    <row r="3827">
      <c r="A3827" s="8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9">
        <f>B3827+30</f>
        <v/>
      </c>
      <c r="N3827">
        <f>IF(L3827="", "", L3827-B3827)</f>
        <v/>
      </c>
      <c r="O3827">
        <f>IF(L3827="", "Pending", IF(N3827&lt;=30, "Met", "Breached"))</f>
        <v/>
      </c>
      <c r="P3827" s="8" t="n"/>
      <c r="Q3827" s="8" t="n"/>
      <c r="R3827" s="8" t="n"/>
      <c r="S3827" s="8" t="n"/>
      <c r="T3827" s="8" t="n"/>
      <c r="U3827" s="8" t="n"/>
      <c r="V3827" s="8" t="n"/>
      <c r="W3827" s="8" t="n"/>
      <c r="X3827" s="8" t="n"/>
      <c r="Y3827" s="8" t="n"/>
    </row>
    <row r="3828">
      <c r="A3828" s="8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9">
        <f>B3828+30</f>
        <v/>
      </c>
      <c r="N3828">
        <f>IF(L3828="", "", L3828-B3828)</f>
        <v/>
      </c>
      <c r="O3828">
        <f>IF(L3828="", "Pending", IF(N3828&lt;=30, "Met", "Breached"))</f>
        <v/>
      </c>
      <c r="P3828" s="8" t="n"/>
      <c r="Q3828" s="8" t="n"/>
      <c r="R3828" s="8" t="n"/>
      <c r="S3828" s="8" t="n"/>
      <c r="T3828" s="8" t="n"/>
      <c r="U3828" s="8" t="n"/>
      <c r="V3828" s="8" t="n"/>
      <c r="W3828" s="8" t="n"/>
      <c r="X3828" s="8" t="n"/>
      <c r="Y3828" s="8" t="n"/>
    </row>
    <row r="3829">
      <c r="A3829" s="8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9">
        <f>B3829+30</f>
        <v/>
      </c>
      <c r="N3829">
        <f>IF(L3829="", "", L3829-B3829)</f>
        <v/>
      </c>
      <c r="O3829">
        <f>IF(L3829="", "Pending", IF(N3829&lt;=30, "Met", "Breached"))</f>
        <v/>
      </c>
      <c r="P3829" s="8" t="n"/>
      <c r="Q3829" s="8" t="n"/>
      <c r="R3829" s="8" t="n"/>
      <c r="S3829" s="8" t="n"/>
      <c r="T3829" s="8" t="n"/>
      <c r="U3829" s="8" t="n"/>
      <c r="V3829" s="8" t="n"/>
      <c r="W3829" s="8" t="n"/>
      <c r="X3829" s="8" t="n"/>
      <c r="Y3829" s="8" t="n"/>
    </row>
    <row r="3830">
      <c r="A3830" s="8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9">
        <f>B3830+30</f>
        <v/>
      </c>
      <c r="N3830">
        <f>IF(L3830="", "", L3830-B3830)</f>
        <v/>
      </c>
      <c r="O3830">
        <f>IF(L3830="", "Pending", IF(N3830&lt;=30, "Met", "Breached"))</f>
        <v/>
      </c>
      <c r="P3830" s="8" t="n"/>
      <c r="Q3830" s="8" t="n"/>
      <c r="R3830" s="8" t="n"/>
      <c r="S3830" s="8" t="n"/>
      <c r="T3830" s="8" t="n"/>
      <c r="U3830" s="8" t="n"/>
      <c r="V3830" s="8" t="n"/>
      <c r="W3830" s="8" t="n"/>
      <c r="X3830" s="8" t="n"/>
      <c r="Y3830" s="8" t="n"/>
    </row>
    <row r="3831">
      <c r="A3831" s="8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9">
        <f>B3831+30</f>
        <v/>
      </c>
      <c r="N3831">
        <f>IF(L3831="", "", L3831-B3831)</f>
        <v/>
      </c>
      <c r="O3831">
        <f>IF(L3831="", "Pending", IF(N3831&lt;=30, "Met", "Breached"))</f>
        <v/>
      </c>
      <c r="P3831" s="8" t="n"/>
      <c r="Q3831" s="8" t="n"/>
      <c r="R3831" s="8" t="n"/>
      <c r="S3831" s="8" t="n"/>
      <c r="T3831" s="8" t="n"/>
      <c r="U3831" s="8" t="n"/>
      <c r="V3831" s="8" t="n"/>
      <c r="W3831" s="8" t="n"/>
      <c r="X3831" s="8" t="n"/>
      <c r="Y3831" s="8" t="n"/>
    </row>
    <row r="3832">
      <c r="A3832" s="8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9">
        <f>B3832+30</f>
        <v/>
      </c>
      <c r="N3832">
        <f>IF(L3832="", "", L3832-B3832)</f>
        <v/>
      </c>
      <c r="O3832">
        <f>IF(L3832="", "Pending", IF(N3832&lt;=30, "Met", "Breached"))</f>
        <v/>
      </c>
      <c r="P3832" s="8" t="n"/>
      <c r="Q3832" s="8" t="n"/>
      <c r="R3832" s="8" t="n"/>
      <c r="S3832" s="8" t="n"/>
      <c r="T3832" s="8" t="n"/>
      <c r="U3832" s="8" t="n"/>
      <c r="V3832" s="8" t="n"/>
      <c r="W3832" s="8" t="n"/>
      <c r="X3832" s="8" t="n"/>
      <c r="Y3832" s="8" t="n"/>
    </row>
    <row r="3833">
      <c r="A3833" s="8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9">
        <f>B3833+30</f>
        <v/>
      </c>
      <c r="N3833">
        <f>IF(L3833="", "", L3833-B3833)</f>
        <v/>
      </c>
      <c r="O3833">
        <f>IF(L3833="", "Pending", IF(N3833&lt;=30, "Met", "Breached"))</f>
        <v/>
      </c>
      <c r="P3833" s="8" t="n"/>
      <c r="Q3833" s="8" t="n"/>
      <c r="R3833" s="8" t="n"/>
      <c r="S3833" s="8" t="n"/>
      <c r="T3833" s="8" t="n"/>
      <c r="U3833" s="8" t="n"/>
      <c r="V3833" s="8" t="n"/>
      <c r="W3833" s="8" t="n"/>
      <c r="X3833" s="8" t="n"/>
      <c r="Y3833" s="8" t="n"/>
    </row>
    <row r="3834">
      <c r="A3834" s="8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9">
        <f>B3834+30</f>
        <v/>
      </c>
      <c r="N3834">
        <f>IF(L3834="", "", L3834-B3834)</f>
        <v/>
      </c>
      <c r="O3834">
        <f>IF(L3834="", "Pending", IF(N3834&lt;=30, "Met", "Breached"))</f>
        <v/>
      </c>
      <c r="P3834" s="8" t="n"/>
      <c r="Q3834" s="8" t="n"/>
      <c r="R3834" s="8" t="n"/>
      <c r="S3834" s="8" t="n"/>
      <c r="T3834" s="8" t="n"/>
      <c r="U3834" s="8" t="n"/>
      <c r="V3834" s="8" t="n"/>
      <c r="W3834" s="8" t="n"/>
      <c r="X3834" s="8" t="n"/>
      <c r="Y3834" s="8" t="n"/>
    </row>
    <row r="3835">
      <c r="A3835" s="8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9">
        <f>B3835+30</f>
        <v/>
      </c>
      <c r="N3835">
        <f>IF(L3835="", "", L3835-B3835)</f>
        <v/>
      </c>
      <c r="O3835">
        <f>IF(L3835="", "Pending", IF(N3835&lt;=30, "Met", "Breached"))</f>
        <v/>
      </c>
      <c r="P3835" s="8" t="n"/>
      <c r="Q3835" s="8" t="n"/>
      <c r="R3835" s="8" t="n"/>
      <c r="S3835" s="8" t="n"/>
      <c r="T3835" s="8" t="n"/>
      <c r="U3835" s="8" t="n"/>
      <c r="V3835" s="8" t="n"/>
      <c r="W3835" s="8" t="n"/>
      <c r="X3835" s="8" t="n"/>
      <c r="Y3835" s="8" t="n"/>
    </row>
    <row r="3836">
      <c r="A3836" s="8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9">
        <f>B3836+30</f>
        <v/>
      </c>
      <c r="N3836">
        <f>IF(L3836="", "", L3836-B3836)</f>
        <v/>
      </c>
      <c r="O3836">
        <f>IF(L3836="", "Pending", IF(N3836&lt;=30, "Met", "Breached"))</f>
        <v/>
      </c>
      <c r="P3836" s="8" t="n"/>
      <c r="Q3836" s="8" t="n"/>
      <c r="R3836" s="8" t="n"/>
      <c r="S3836" s="8" t="n"/>
      <c r="T3836" s="8" t="n"/>
      <c r="U3836" s="8" t="n"/>
      <c r="V3836" s="8" t="n"/>
      <c r="W3836" s="8" t="n"/>
      <c r="X3836" s="8" t="n"/>
      <c r="Y3836" s="8" t="n"/>
    </row>
    <row r="3837">
      <c r="A3837" s="8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9">
        <f>B3837+30</f>
        <v/>
      </c>
      <c r="N3837">
        <f>IF(L3837="", "", L3837-B3837)</f>
        <v/>
      </c>
      <c r="O3837">
        <f>IF(L3837="", "Pending", IF(N3837&lt;=30, "Met", "Breached"))</f>
        <v/>
      </c>
      <c r="P3837" s="8" t="n"/>
      <c r="Q3837" s="8" t="n"/>
      <c r="R3837" s="8" t="n"/>
      <c r="S3837" s="8" t="n"/>
      <c r="T3837" s="8" t="n"/>
      <c r="U3837" s="8" t="n"/>
      <c r="V3837" s="8" t="n"/>
      <c r="W3837" s="8" t="n"/>
      <c r="X3837" s="8" t="n"/>
      <c r="Y3837" s="8" t="n"/>
    </row>
    <row r="3838">
      <c r="A3838" s="8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9">
        <f>B3838+30</f>
        <v/>
      </c>
      <c r="N3838">
        <f>IF(L3838="", "", L3838-B3838)</f>
        <v/>
      </c>
      <c r="O3838">
        <f>IF(L3838="", "Pending", IF(N3838&lt;=30, "Met", "Breached"))</f>
        <v/>
      </c>
      <c r="P3838" s="8" t="n"/>
      <c r="Q3838" s="8" t="n"/>
      <c r="R3838" s="8" t="n"/>
      <c r="S3838" s="8" t="n"/>
      <c r="T3838" s="8" t="n"/>
      <c r="U3838" s="8" t="n"/>
      <c r="V3838" s="8" t="n"/>
      <c r="W3838" s="8" t="n"/>
      <c r="X3838" s="8" t="n"/>
      <c r="Y3838" s="8" t="n"/>
    </row>
    <row r="3839">
      <c r="A3839" s="8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9">
        <f>B3839+30</f>
        <v/>
      </c>
      <c r="N3839">
        <f>IF(L3839="", "", L3839-B3839)</f>
        <v/>
      </c>
      <c r="O3839">
        <f>IF(L3839="", "Pending", IF(N3839&lt;=30, "Met", "Breached"))</f>
        <v/>
      </c>
      <c r="P3839" s="8" t="n"/>
      <c r="Q3839" s="8" t="n"/>
      <c r="R3839" s="8" t="n"/>
      <c r="S3839" s="8" t="n"/>
      <c r="T3839" s="8" t="n"/>
      <c r="U3839" s="8" t="n"/>
      <c r="V3839" s="8" t="n"/>
      <c r="W3839" s="8" t="n"/>
      <c r="X3839" s="8" t="n"/>
      <c r="Y3839" s="8" t="n"/>
    </row>
    <row r="3840">
      <c r="A3840" s="8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9">
        <f>B3840+30</f>
        <v/>
      </c>
      <c r="N3840">
        <f>IF(L3840="", "", L3840-B3840)</f>
        <v/>
      </c>
      <c r="O3840">
        <f>IF(L3840="", "Pending", IF(N3840&lt;=30, "Met", "Breached"))</f>
        <v/>
      </c>
      <c r="P3840" s="8" t="n"/>
      <c r="Q3840" s="8" t="n"/>
      <c r="R3840" s="8" t="n"/>
      <c r="S3840" s="8" t="n"/>
      <c r="T3840" s="8" t="n"/>
      <c r="U3840" s="8" t="n"/>
      <c r="V3840" s="8" t="n"/>
      <c r="W3840" s="8" t="n"/>
      <c r="X3840" s="8" t="n"/>
      <c r="Y3840" s="8" t="n"/>
    </row>
    <row r="3841">
      <c r="A3841" s="8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9">
        <f>B3841+30</f>
        <v/>
      </c>
      <c r="N3841">
        <f>IF(L3841="", "", L3841-B3841)</f>
        <v/>
      </c>
      <c r="O3841">
        <f>IF(L3841="", "Pending", IF(N3841&lt;=30, "Met", "Breached"))</f>
        <v/>
      </c>
      <c r="P3841" s="8" t="n"/>
      <c r="Q3841" s="8" t="n"/>
      <c r="R3841" s="8" t="n"/>
      <c r="S3841" s="8" t="n"/>
      <c r="T3841" s="8" t="n"/>
      <c r="U3841" s="8" t="n"/>
      <c r="V3841" s="8" t="n"/>
      <c r="W3841" s="8" t="n"/>
      <c r="X3841" s="8" t="n"/>
      <c r="Y3841" s="8" t="n"/>
    </row>
    <row r="3842">
      <c r="A3842" s="8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9">
        <f>B3842+30</f>
        <v/>
      </c>
      <c r="N3842">
        <f>IF(L3842="", "", L3842-B3842)</f>
        <v/>
      </c>
      <c r="O3842">
        <f>IF(L3842="", "Pending", IF(N3842&lt;=30, "Met", "Breached"))</f>
        <v/>
      </c>
      <c r="P3842" s="8" t="n"/>
      <c r="Q3842" s="8" t="n"/>
      <c r="R3842" s="8" t="n"/>
      <c r="S3842" s="8" t="n"/>
      <c r="T3842" s="8" t="n"/>
      <c r="U3842" s="8" t="n"/>
      <c r="V3842" s="8" t="n"/>
      <c r="W3842" s="8" t="n"/>
      <c r="X3842" s="8" t="n"/>
      <c r="Y3842" s="8" t="n"/>
    </row>
    <row r="3843">
      <c r="A3843" s="8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9">
        <f>B3843+30</f>
        <v/>
      </c>
      <c r="N3843">
        <f>IF(L3843="", "", L3843-B3843)</f>
        <v/>
      </c>
      <c r="O3843">
        <f>IF(L3843="", "Pending", IF(N3843&lt;=30, "Met", "Breached"))</f>
        <v/>
      </c>
      <c r="P3843" s="8" t="n"/>
      <c r="Q3843" s="8" t="n"/>
      <c r="R3843" s="8" t="n"/>
      <c r="S3843" s="8" t="n"/>
      <c r="T3843" s="8" t="n"/>
      <c r="U3843" s="8" t="n"/>
      <c r="V3843" s="8" t="n"/>
      <c r="W3843" s="8" t="n"/>
      <c r="X3843" s="8" t="n"/>
      <c r="Y3843" s="8" t="n"/>
    </row>
    <row r="3844">
      <c r="A3844" s="8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9">
        <f>B3844+30</f>
        <v/>
      </c>
      <c r="N3844">
        <f>IF(L3844="", "", L3844-B3844)</f>
        <v/>
      </c>
      <c r="O3844">
        <f>IF(L3844="", "Pending", IF(N3844&lt;=30, "Met", "Breached"))</f>
        <v/>
      </c>
      <c r="P3844" s="8" t="n"/>
      <c r="Q3844" s="8" t="n"/>
      <c r="R3844" s="8" t="n"/>
      <c r="S3844" s="8" t="n"/>
      <c r="T3844" s="8" t="n"/>
      <c r="U3844" s="8" t="n"/>
      <c r="V3844" s="8" t="n"/>
      <c r="W3844" s="8" t="n"/>
      <c r="X3844" s="8" t="n"/>
      <c r="Y3844" s="8" t="n"/>
    </row>
    <row r="3845">
      <c r="A3845" s="8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9">
        <f>B3845+30</f>
        <v/>
      </c>
      <c r="N3845">
        <f>IF(L3845="", "", L3845-B3845)</f>
        <v/>
      </c>
      <c r="O3845">
        <f>IF(L3845="", "Pending", IF(N3845&lt;=30, "Met", "Breached"))</f>
        <v/>
      </c>
      <c r="P3845" s="8" t="n"/>
      <c r="Q3845" s="8" t="n"/>
      <c r="R3845" s="8" t="n"/>
      <c r="S3845" s="8" t="n"/>
      <c r="T3845" s="8" t="n"/>
      <c r="U3845" s="8" t="n"/>
      <c r="V3845" s="8" t="n"/>
      <c r="W3845" s="8" t="n"/>
      <c r="X3845" s="8" t="n"/>
      <c r="Y3845" s="8" t="n"/>
    </row>
    <row r="3846">
      <c r="A3846" s="8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9">
        <f>B3846+30</f>
        <v/>
      </c>
      <c r="N3846">
        <f>IF(L3846="", "", L3846-B3846)</f>
        <v/>
      </c>
      <c r="O3846">
        <f>IF(L3846="", "Pending", IF(N3846&lt;=30, "Met", "Breached"))</f>
        <v/>
      </c>
      <c r="P3846" s="8" t="n"/>
      <c r="Q3846" s="8" t="n"/>
      <c r="R3846" s="8" t="n"/>
      <c r="S3846" s="8" t="n"/>
      <c r="T3846" s="8" t="n"/>
      <c r="U3846" s="8" t="n"/>
      <c r="V3846" s="8" t="n"/>
      <c r="W3846" s="8" t="n"/>
      <c r="X3846" s="8" t="n"/>
      <c r="Y3846" s="8" t="n"/>
    </row>
    <row r="3847">
      <c r="A3847" s="8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9">
        <f>B3847+30</f>
        <v/>
      </c>
      <c r="N3847">
        <f>IF(L3847="", "", L3847-B3847)</f>
        <v/>
      </c>
      <c r="O3847">
        <f>IF(L3847="", "Pending", IF(N3847&lt;=30, "Met", "Breached"))</f>
        <v/>
      </c>
      <c r="P3847" s="8" t="n"/>
      <c r="Q3847" s="8" t="n"/>
      <c r="R3847" s="8" t="n"/>
      <c r="S3847" s="8" t="n"/>
      <c r="T3847" s="8" t="n"/>
      <c r="U3847" s="8" t="n"/>
      <c r="V3847" s="8" t="n"/>
      <c r="W3847" s="8" t="n"/>
      <c r="X3847" s="8" t="n"/>
      <c r="Y3847" s="8" t="n"/>
    </row>
    <row r="3848">
      <c r="A3848" s="8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9">
        <f>B3848+30</f>
        <v/>
      </c>
      <c r="N3848">
        <f>IF(L3848="", "", L3848-B3848)</f>
        <v/>
      </c>
      <c r="O3848">
        <f>IF(L3848="", "Pending", IF(N3848&lt;=30, "Met", "Breached"))</f>
        <v/>
      </c>
      <c r="P3848" s="8" t="n"/>
      <c r="Q3848" s="8" t="n"/>
      <c r="R3848" s="8" t="n"/>
      <c r="S3848" s="8" t="n"/>
      <c r="T3848" s="8" t="n"/>
      <c r="U3848" s="8" t="n"/>
      <c r="V3848" s="8" t="n"/>
      <c r="W3848" s="8" t="n"/>
      <c r="X3848" s="8" t="n"/>
      <c r="Y3848" s="8" t="n"/>
    </row>
    <row r="3849">
      <c r="A3849" s="8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9">
        <f>B3849+30</f>
        <v/>
      </c>
      <c r="N3849">
        <f>IF(L3849="", "", L3849-B3849)</f>
        <v/>
      </c>
      <c r="O3849">
        <f>IF(L3849="", "Pending", IF(N3849&lt;=30, "Met", "Breached"))</f>
        <v/>
      </c>
      <c r="P3849" s="8" t="n"/>
      <c r="Q3849" s="8" t="n"/>
      <c r="R3849" s="8" t="n"/>
      <c r="S3849" s="8" t="n"/>
      <c r="T3849" s="8" t="n"/>
      <c r="U3849" s="8" t="n"/>
      <c r="V3849" s="8" t="n"/>
      <c r="W3849" s="8" t="n"/>
      <c r="X3849" s="8" t="n"/>
      <c r="Y3849" s="8" t="n"/>
    </row>
    <row r="3850">
      <c r="A3850" s="8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9">
        <f>B3850+30</f>
        <v/>
      </c>
      <c r="N3850">
        <f>IF(L3850="", "", L3850-B3850)</f>
        <v/>
      </c>
      <c r="O3850">
        <f>IF(L3850="", "Pending", IF(N3850&lt;=30, "Met", "Breached"))</f>
        <v/>
      </c>
      <c r="P3850" s="8" t="n"/>
      <c r="Q3850" s="8" t="n"/>
      <c r="R3850" s="8" t="n"/>
      <c r="S3850" s="8" t="n"/>
      <c r="T3850" s="8" t="n"/>
      <c r="U3850" s="8" t="n"/>
      <c r="V3850" s="8" t="n"/>
      <c r="W3850" s="8" t="n"/>
      <c r="X3850" s="8" t="n"/>
      <c r="Y3850" s="8" t="n"/>
    </row>
    <row r="3851">
      <c r="A3851" s="8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9">
        <f>B3851+30</f>
        <v/>
      </c>
      <c r="N3851">
        <f>IF(L3851="", "", L3851-B3851)</f>
        <v/>
      </c>
      <c r="O3851">
        <f>IF(L3851="", "Pending", IF(N3851&lt;=30, "Met", "Breached"))</f>
        <v/>
      </c>
      <c r="P3851" s="8" t="n"/>
      <c r="Q3851" s="8" t="n"/>
      <c r="R3851" s="8" t="n"/>
      <c r="S3851" s="8" t="n"/>
      <c r="T3851" s="8" t="n"/>
      <c r="U3851" s="8" t="n"/>
      <c r="V3851" s="8" t="n"/>
      <c r="W3851" s="8" t="n"/>
      <c r="X3851" s="8" t="n"/>
      <c r="Y3851" s="8" t="n"/>
    </row>
    <row r="3852">
      <c r="A3852" s="8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9">
        <f>B3852+30</f>
        <v/>
      </c>
      <c r="N3852">
        <f>IF(L3852="", "", L3852-B3852)</f>
        <v/>
      </c>
      <c r="O3852">
        <f>IF(L3852="", "Pending", IF(N3852&lt;=30, "Met", "Breached"))</f>
        <v/>
      </c>
      <c r="P3852" s="8" t="n"/>
      <c r="Q3852" s="8" t="n"/>
      <c r="R3852" s="8" t="n"/>
      <c r="S3852" s="8" t="n"/>
      <c r="T3852" s="8" t="n"/>
      <c r="U3852" s="8" t="n"/>
      <c r="V3852" s="8" t="n"/>
      <c r="W3852" s="8" t="n"/>
      <c r="X3852" s="8" t="n"/>
      <c r="Y3852" s="8" t="n"/>
    </row>
    <row r="3853">
      <c r="A3853" s="8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9">
        <f>B3853+30</f>
        <v/>
      </c>
      <c r="N3853">
        <f>IF(L3853="", "", L3853-B3853)</f>
        <v/>
      </c>
      <c r="O3853">
        <f>IF(L3853="", "Pending", IF(N3853&lt;=30, "Met", "Breached"))</f>
        <v/>
      </c>
      <c r="P3853" s="8" t="n"/>
      <c r="Q3853" s="8" t="n"/>
      <c r="R3853" s="8" t="n"/>
      <c r="S3853" s="8" t="n"/>
      <c r="T3853" s="8" t="n"/>
      <c r="U3853" s="8" t="n"/>
      <c r="V3853" s="8" t="n"/>
      <c r="W3853" s="8" t="n"/>
      <c r="X3853" s="8" t="n"/>
      <c r="Y3853" s="8" t="n"/>
    </row>
    <row r="3854">
      <c r="A3854" s="8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9">
        <f>B3854+30</f>
        <v/>
      </c>
      <c r="N3854">
        <f>IF(L3854="", "", L3854-B3854)</f>
        <v/>
      </c>
      <c r="O3854">
        <f>IF(L3854="", "Pending", IF(N3854&lt;=30, "Met", "Breached"))</f>
        <v/>
      </c>
      <c r="P3854" s="8" t="n"/>
      <c r="Q3854" s="8" t="n"/>
      <c r="R3854" s="8" t="n"/>
      <c r="S3854" s="8" t="n"/>
      <c r="T3854" s="8" t="n"/>
      <c r="U3854" s="8" t="n"/>
      <c r="V3854" s="8" t="n"/>
      <c r="W3854" s="8" t="n"/>
      <c r="X3854" s="8" t="n"/>
      <c r="Y3854" s="8" t="n"/>
    </row>
    <row r="3855">
      <c r="A3855" s="8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9">
        <f>B3855+30</f>
        <v/>
      </c>
      <c r="N3855">
        <f>IF(L3855="", "", L3855-B3855)</f>
        <v/>
      </c>
      <c r="O3855">
        <f>IF(L3855="", "Pending", IF(N3855&lt;=30, "Met", "Breached"))</f>
        <v/>
      </c>
      <c r="P3855" s="8" t="n"/>
      <c r="Q3855" s="8" t="n"/>
      <c r="R3855" s="8" t="n"/>
      <c r="S3855" s="8" t="n"/>
      <c r="T3855" s="8" t="n"/>
      <c r="U3855" s="8" t="n"/>
      <c r="V3855" s="8" t="n"/>
      <c r="W3855" s="8" t="n"/>
      <c r="X3855" s="8" t="n"/>
      <c r="Y3855" s="8" t="n"/>
    </row>
    <row r="3856">
      <c r="A3856" s="8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9">
        <f>B3856+30</f>
        <v/>
      </c>
      <c r="N3856">
        <f>IF(L3856="", "", L3856-B3856)</f>
        <v/>
      </c>
      <c r="O3856">
        <f>IF(L3856="", "Pending", IF(N3856&lt;=30, "Met", "Breached"))</f>
        <v/>
      </c>
      <c r="P3856" s="8" t="n"/>
      <c r="Q3856" s="8" t="n"/>
      <c r="R3856" s="8" t="n"/>
      <c r="S3856" s="8" t="n"/>
      <c r="T3856" s="8" t="n"/>
      <c r="U3856" s="8" t="n"/>
      <c r="V3856" s="8" t="n"/>
      <c r="W3856" s="8" t="n"/>
      <c r="X3856" s="8" t="n"/>
      <c r="Y3856" s="8" t="n"/>
    </row>
    <row r="3857">
      <c r="A3857" s="8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9">
        <f>B3857+30</f>
        <v/>
      </c>
      <c r="N3857">
        <f>IF(L3857="", "", L3857-B3857)</f>
        <v/>
      </c>
      <c r="O3857">
        <f>IF(L3857="", "Pending", IF(N3857&lt;=30, "Met", "Breached"))</f>
        <v/>
      </c>
      <c r="P3857" s="8" t="n"/>
      <c r="Q3857" s="8" t="n"/>
      <c r="R3857" s="8" t="n"/>
      <c r="S3857" s="8" t="n"/>
      <c r="T3857" s="8" t="n"/>
      <c r="U3857" s="8" t="n"/>
      <c r="V3857" s="8" t="n"/>
      <c r="W3857" s="8" t="n"/>
      <c r="X3857" s="8" t="n"/>
      <c r="Y3857" s="8" t="n"/>
    </row>
    <row r="3858">
      <c r="A3858" s="8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9">
        <f>B3858+30</f>
        <v/>
      </c>
      <c r="N3858">
        <f>IF(L3858="", "", L3858-B3858)</f>
        <v/>
      </c>
      <c r="O3858">
        <f>IF(L3858="", "Pending", IF(N3858&lt;=30, "Met", "Breached"))</f>
        <v/>
      </c>
      <c r="P3858" s="8" t="n"/>
      <c r="Q3858" s="8" t="n"/>
      <c r="R3858" s="8" t="n"/>
      <c r="S3858" s="8" t="n"/>
      <c r="T3858" s="8" t="n"/>
      <c r="U3858" s="8" t="n"/>
      <c r="V3858" s="8" t="n"/>
      <c r="W3858" s="8" t="n"/>
      <c r="X3858" s="8" t="n"/>
      <c r="Y3858" s="8" t="n"/>
    </row>
    <row r="3859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9">
        <f>B3859+30</f>
        <v/>
      </c>
      <c r="N3859">
        <f>IF(L3859="", "", L3859-B3859)</f>
        <v/>
      </c>
      <c r="O3859">
        <f>IF(L3859="", "Pending", IF(N3859&lt;=30, "Met", "Breached"))</f>
        <v/>
      </c>
      <c r="P3859" s="8" t="n"/>
      <c r="Q3859" s="8" t="n"/>
      <c r="R3859" s="8" t="n"/>
      <c r="S3859" s="8" t="n"/>
      <c r="T3859" s="8" t="n"/>
      <c r="U3859" s="8" t="n"/>
      <c r="V3859" s="8" t="n"/>
      <c r="W3859" s="8" t="n"/>
      <c r="X3859" s="8" t="n"/>
      <c r="Y3859" s="8" t="n"/>
    </row>
    <row r="3860">
      <c r="A3860" s="8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9">
        <f>B3860+30</f>
        <v/>
      </c>
      <c r="N3860">
        <f>IF(L3860="", "", L3860-B3860)</f>
        <v/>
      </c>
      <c r="O3860">
        <f>IF(L3860="", "Pending", IF(N3860&lt;=30, "Met", "Breached"))</f>
        <v/>
      </c>
      <c r="P3860" s="8" t="n"/>
      <c r="Q3860" s="8" t="n"/>
      <c r="R3860" s="8" t="n"/>
      <c r="S3860" s="8" t="n"/>
      <c r="T3860" s="8" t="n"/>
      <c r="U3860" s="8" t="n"/>
      <c r="V3860" s="8" t="n"/>
      <c r="W3860" s="8" t="n"/>
      <c r="X3860" s="8" t="n"/>
      <c r="Y3860" s="8" t="n"/>
    </row>
    <row r="3861">
      <c r="A3861" s="8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9">
        <f>B3861+30</f>
        <v/>
      </c>
      <c r="N3861">
        <f>IF(L3861="", "", L3861-B3861)</f>
        <v/>
      </c>
      <c r="O3861">
        <f>IF(L3861="", "Pending", IF(N3861&lt;=30, "Met", "Breached"))</f>
        <v/>
      </c>
      <c r="P3861" s="8" t="n"/>
      <c r="Q3861" s="8" t="n"/>
      <c r="R3861" s="8" t="n"/>
      <c r="S3861" s="8" t="n"/>
      <c r="T3861" s="8" t="n"/>
      <c r="U3861" s="8" t="n"/>
      <c r="V3861" s="8" t="n"/>
      <c r="W3861" s="8" t="n"/>
      <c r="X3861" s="8" t="n"/>
      <c r="Y3861" s="8" t="n"/>
    </row>
    <row r="3862">
      <c r="A3862" s="8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9">
        <f>B3862+30</f>
        <v/>
      </c>
      <c r="N3862">
        <f>IF(L3862="", "", L3862-B3862)</f>
        <v/>
      </c>
      <c r="O3862">
        <f>IF(L3862="", "Pending", IF(N3862&lt;=30, "Met", "Breached"))</f>
        <v/>
      </c>
      <c r="P3862" s="8" t="n"/>
      <c r="Q3862" s="8" t="n"/>
      <c r="R3862" s="8" t="n"/>
      <c r="S3862" s="8" t="n"/>
      <c r="T3862" s="8" t="n"/>
      <c r="U3862" s="8" t="n"/>
      <c r="V3862" s="8" t="n"/>
      <c r="W3862" s="8" t="n"/>
      <c r="X3862" s="8" t="n"/>
      <c r="Y3862" s="8" t="n"/>
    </row>
    <row r="3863">
      <c r="A3863" s="8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9">
        <f>B3863+30</f>
        <v/>
      </c>
      <c r="N3863">
        <f>IF(L3863="", "", L3863-B3863)</f>
        <v/>
      </c>
      <c r="O3863">
        <f>IF(L3863="", "Pending", IF(N3863&lt;=30, "Met", "Breached"))</f>
        <v/>
      </c>
      <c r="P3863" s="8" t="n"/>
      <c r="Q3863" s="8" t="n"/>
      <c r="R3863" s="8" t="n"/>
      <c r="S3863" s="8" t="n"/>
      <c r="T3863" s="8" t="n"/>
      <c r="U3863" s="8" t="n"/>
      <c r="V3863" s="8" t="n"/>
      <c r="W3863" s="8" t="n"/>
      <c r="X3863" s="8" t="n"/>
      <c r="Y3863" s="8" t="n"/>
    </row>
    <row r="3864">
      <c r="A3864" s="8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9">
        <f>B3864+30</f>
        <v/>
      </c>
      <c r="N3864">
        <f>IF(L3864="", "", L3864-B3864)</f>
        <v/>
      </c>
      <c r="O3864">
        <f>IF(L3864="", "Pending", IF(N3864&lt;=30, "Met", "Breached"))</f>
        <v/>
      </c>
      <c r="P3864" s="8" t="n"/>
      <c r="Q3864" s="8" t="n"/>
      <c r="R3864" s="8" t="n"/>
      <c r="S3864" s="8" t="n"/>
      <c r="T3864" s="8" t="n"/>
      <c r="U3864" s="8" t="n"/>
      <c r="V3864" s="8" t="n"/>
      <c r="W3864" s="8" t="n"/>
      <c r="X3864" s="8" t="n"/>
      <c r="Y3864" s="8" t="n"/>
    </row>
    <row r="3865">
      <c r="A3865" s="8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9">
        <f>B3865+30</f>
        <v/>
      </c>
      <c r="N3865">
        <f>IF(L3865="", "", L3865-B3865)</f>
        <v/>
      </c>
      <c r="O3865">
        <f>IF(L3865="", "Pending", IF(N3865&lt;=30, "Met", "Breached"))</f>
        <v/>
      </c>
      <c r="P3865" s="8" t="n"/>
      <c r="Q3865" s="8" t="n"/>
      <c r="R3865" s="8" t="n"/>
      <c r="S3865" s="8" t="n"/>
      <c r="T3865" s="8" t="n"/>
      <c r="U3865" s="8" t="n"/>
      <c r="V3865" s="8" t="n"/>
      <c r="W3865" s="8" t="n"/>
      <c r="X3865" s="8" t="n"/>
      <c r="Y3865" s="8" t="n"/>
    </row>
    <row r="3866">
      <c r="A3866" s="8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9">
        <f>B3866+30</f>
        <v/>
      </c>
      <c r="N3866">
        <f>IF(L3866="", "", L3866-B3866)</f>
        <v/>
      </c>
      <c r="O3866">
        <f>IF(L3866="", "Pending", IF(N3866&lt;=30, "Met", "Breached"))</f>
        <v/>
      </c>
      <c r="P3866" s="8" t="n"/>
      <c r="Q3866" s="8" t="n"/>
      <c r="R3866" s="8" t="n"/>
      <c r="S3866" s="8" t="n"/>
      <c r="T3866" s="8" t="n"/>
      <c r="U3866" s="8" t="n"/>
      <c r="V3866" s="8" t="n"/>
      <c r="W3866" s="8" t="n"/>
      <c r="X3866" s="8" t="n"/>
      <c r="Y3866" s="8" t="n"/>
    </row>
    <row r="3867">
      <c r="A3867" s="8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9">
        <f>B3867+30</f>
        <v/>
      </c>
      <c r="N3867">
        <f>IF(L3867="", "", L3867-B3867)</f>
        <v/>
      </c>
      <c r="O3867">
        <f>IF(L3867="", "Pending", IF(N3867&lt;=30, "Met", "Breached"))</f>
        <v/>
      </c>
      <c r="P3867" s="8" t="n"/>
      <c r="Q3867" s="8" t="n"/>
      <c r="R3867" s="8" t="n"/>
      <c r="S3867" s="8" t="n"/>
      <c r="T3867" s="8" t="n"/>
      <c r="U3867" s="8" t="n"/>
      <c r="V3867" s="8" t="n"/>
      <c r="W3867" s="8" t="n"/>
      <c r="X3867" s="8" t="n"/>
      <c r="Y3867" s="8" t="n"/>
    </row>
    <row r="3868">
      <c r="A3868" s="8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9">
        <f>B3868+30</f>
        <v/>
      </c>
      <c r="N3868">
        <f>IF(L3868="", "", L3868-B3868)</f>
        <v/>
      </c>
      <c r="O3868">
        <f>IF(L3868="", "Pending", IF(N3868&lt;=30, "Met", "Breached"))</f>
        <v/>
      </c>
      <c r="P3868" s="8" t="n"/>
      <c r="Q3868" s="8" t="n"/>
      <c r="R3868" s="8" t="n"/>
      <c r="S3868" s="8" t="n"/>
      <c r="T3868" s="8" t="n"/>
      <c r="U3868" s="8" t="n"/>
      <c r="V3868" s="8" t="n"/>
      <c r="W3868" s="8" t="n"/>
      <c r="X3868" s="8" t="n"/>
      <c r="Y3868" s="8" t="n"/>
    </row>
    <row r="3869">
      <c r="A3869" s="8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9">
        <f>B3869+30</f>
        <v/>
      </c>
      <c r="N3869">
        <f>IF(L3869="", "", L3869-B3869)</f>
        <v/>
      </c>
      <c r="O3869">
        <f>IF(L3869="", "Pending", IF(N3869&lt;=30, "Met", "Breached"))</f>
        <v/>
      </c>
      <c r="P3869" s="8" t="n"/>
      <c r="Q3869" s="8" t="n"/>
      <c r="R3869" s="8" t="n"/>
      <c r="S3869" s="8" t="n"/>
      <c r="T3869" s="8" t="n"/>
      <c r="U3869" s="8" t="n"/>
      <c r="V3869" s="8" t="n"/>
      <c r="W3869" s="8" t="n"/>
      <c r="X3869" s="8" t="n"/>
      <c r="Y3869" s="8" t="n"/>
    </row>
    <row r="3870">
      <c r="A3870" s="8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9">
        <f>B3870+30</f>
        <v/>
      </c>
      <c r="N3870">
        <f>IF(L3870="", "", L3870-B3870)</f>
        <v/>
      </c>
      <c r="O3870">
        <f>IF(L3870="", "Pending", IF(N3870&lt;=30, "Met", "Breached"))</f>
        <v/>
      </c>
      <c r="P3870" s="8" t="n"/>
      <c r="Q3870" s="8" t="n"/>
      <c r="R3870" s="8" t="n"/>
      <c r="S3870" s="8" t="n"/>
      <c r="T3870" s="8" t="n"/>
      <c r="U3870" s="8" t="n"/>
      <c r="V3870" s="8" t="n"/>
      <c r="W3870" s="8" t="n"/>
      <c r="X3870" s="8" t="n"/>
      <c r="Y3870" s="8" t="n"/>
    </row>
    <row r="3871">
      <c r="A3871" s="8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9">
        <f>B3871+30</f>
        <v/>
      </c>
      <c r="N3871">
        <f>IF(L3871="", "", L3871-B3871)</f>
        <v/>
      </c>
      <c r="O3871">
        <f>IF(L3871="", "Pending", IF(N3871&lt;=30, "Met", "Breached"))</f>
        <v/>
      </c>
      <c r="P3871" s="8" t="n"/>
      <c r="Q3871" s="8" t="n"/>
      <c r="R3871" s="8" t="n"/>
      <c r="S3871" s="8" t="n"/>
      <c r="T3871" s="8" t="n"/>
      <c r="U3871" s="8" t="n"/>
      <c r="V3871" s="8" t="n"/>
      <c r="W3871" s="8" t="n"/>
      <c r="X3871" s="8" t="n"/>
      <c r="Y3871" s="8" t="n"/>
    </row>
    <row r="3872">
      <c r="A3872" s="8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9">
        <f>B3872+30</f>
        <v/>
      </c>
      <c r="N3872">
        <f>IF(L3872="", "", L3872-B3872)</f>
        <v/>
      </c>
      <c r="O3872">
        <f>IF(L3872="", "Pending", IF(N3872&lt;=30, "Met", "Breached"))</f>
        <v/>
      </c>
      <c r="P3872" s="8" t="n"/>
      <c r="Q3872" s="8" t="n"/>
      <c r="R3872" s="8" t="n"/>
      <c r="S3872" s="8" t="n"/>
      <c r="T3872" s="8" t="n"/>
      <c r="U3872" s="8" t="n"/>
      <c r="V3872" s="8" t="n"/>
      <c r="W3872" s="8" t="n"/>
      <c r="X3872" s="8" t="n"/>
      <c r="Y3872" s="8" t="n"/>
    </row>
    <row r="3873">
      <c r="A3873" s="8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9">
        <f>B3873+30</f>
        <v/>
      </c>
      <c r="N3873">
        <f>IF(L3873="", "", L3873-B3873)</f>
        <v/>
      </c>
      <c r="O3873">
        <f>IF(L3873="", "Pending", IF(N3873&lt;=30, "Met", "Breached"))</f>
        <v/>
      </c>
      <c r="P3873" s="8" t="n"/>
      <c r="Q3873" s="8" t="n"/>
      <c r="R3873" s="8" t="n"/>
      <c r="S3873" s="8" t="n"/>
      <c r="T3873" s="8" t="n"/>
      <c r="U3873" s="8" t="n"/>
      <c r="V3873" s="8" t="n"/>
      <c r="W3873" s="8" t="n"/>
      <c r="X3873" s="8" t="n"/>
      <c r="Y3873" s="8" t="n"/>
    </row>
    <row r="3874">
      <c r="A3874" s="8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9">
        <f>B3874+30</f>
        <v/>
      </c>
      <c r="N3874">
        <f>IF(L3874="", "", L3874-B3874)</f>
        <v/>
      </c>
      <c r="O3874">
        <f>IF(L3874="", "Pending", IF(N3874&lt;=30, "Met", "Breached"))</f>
        <v/>
      </c>
      <c r="P3874" s="8" t="n"/>
      <c r="Q3874" s="8" t="n"/>
      <c r="R3874" s="8" t="n"/>
      <c r="S3874" s="8" t="n"/>
      <c r="T3874" s="8" t="n"/>
      <c r="U3874" s="8" t="n"/>
      <c r="V3874" s="8" t="n"/>
      <c r="W3874" s="8" t="n"/>
      <c r="X3874" s="8" t="n"/>
      <c r="Y3874" s="8" t="n"/>
    </row>
    <row r="3875">
      <c r="A3875" s="8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9">
        <f>B3875+30</f>
        <v/>
      </c>
      <c r="N3875">
        <f>IF(L3875="", "", L3875-B3875)</f>
        <v/>
      </c>
      <c r="O3875">
        <f>IF(L3875="", "Pending", IF(N3875&lt;=30, "Met", "Breached"))</f>
        <v/>
      </c>
      <c r="P3875" s="8" t="n"/>
      <c r="Q3875" s="8" t="n"/>
      <c r="R3875" s="8" t="n"/>
      <c r="S3875" s="8" t="n"/>
      <c r="T3875" s="8" t="n"/>
      <c r="U3875" s="8" t="n"/>
      <c r="V3875" s="8" t="n"/>
      <c r="W3875" s="8" t="n"/>
      <c r="X3875" s="8" t="n"/>
      <c r="Y3875" s="8" t="n"/>
    </row>
    <row r="3876">
      <c r="A3876" s="8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9">
        <f>B3876+30</f>
        <v/>
      </c>
      <c r="N3876">
        <f>IF(L3876="", "", L3876-B3876)</f>
        <v/>
      </c>
      <c r="O3876">
        <f>IF(L3876="", "Pending", IF(N3876&lt;=30, "Met", "Breached"))</f>
        <v/>
      </c>
      <c r="P3876" s="8" t="n"/>
      <c r="Q3876" s="8" t="n"/>
      <c r="R3876" s="8" t="n"/>
      <c r="S3876" s="8" t="n"/>
      <c r="T3876" s="8" t="n"/>
      <c r="U3876" s="8" t="n"/>
      <c r="V3876" s="8" t="n"/>
      <c r="W3876" s="8" t="n"/>
      <c r="X3876" s="8" t="n"/>
      <c r="Y3876" s="8" t="n"/>
    </row>
    <row r="3877">
      <c r="A3877" s="8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9">
        <f>B3877+30</f>
        <v/>
      </c>
      <c r="N3877">
        <f>IF(L3877="", "", L3877-B3877)</f>
        <v/>
      </c>
      <c r="O3877">
        <f>IF(L3877="", "Pending", IF(N3877&lt;=30, "Met", "Breached"))</f>
        <v/>
      </c>
      <c r="P3877" s="8" t="n"/>
      <c r="Q3877" s="8" t="n"/>
      <c r="R3877" s="8" t="n"/>
      <c r="S3877" s="8" t="n"/>
      <c r="T3877" s="8" t="n"/>
      <c r="U3877" s="8" t="n"/>
      <c r="V3877" s="8" t="n"/>
      <c r="W3877" s="8" t="n"/>
      <c r="X3877" s="8" t="n"/>
      <c r="Y3877" s="8" t="n"/>
    </row>
    <row r="3878">
      <c r="A3878" s="8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9">
        <f>B3878+30</f>
        <v/>
      </c>
      <c r="N3878">
        <f>IF(L3878="", "", L3878-B3878)</f>
        <v/>
      </c>
      <c r="O3878">
        <f>IF(L3878="", "Pending", IF(N3878&lt;=30, "Met", "Breached"))</f>
        <v/>
      </c>
      <c r="P3878" s="8" t="n"/>
      <c r="Q3878" s="8" t="n"/>
      <c r="R3878" s="8" t="n"/>
      <c r="S3878" s="8" t="n"/>
      <c r="T3878" s="8" t="n"/>
      <c r="U3878" s="8" t="n"/>
      <c r="V3878" s="8" t="n"/>
      <c r="W3878" s="8" t="n"/>
      <c r="X3878" s="8" t="n"/>
      <c r="Y3878" s="8" t="n"/>
    </row>
    <row r="3879">
      <c r="A3879" s="8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9">
        <f>B3879+30</f>
        <v/>
      </c>
      <c r="N3879">
        <f>IF(L3879="", "", L3879-B3879)</f>
        <v/>
      </c>
      <c r="O3879">
        <f>IF(L3879="", "Pending", IF(N3879&lt;=30, "Met", "Breached"))</f>
        <v/>
      </c>
      <c r="P3879" s="8" t="n"/>
      <c r="Q3879" s="8" t="n"/>
      <c r="R3879" s="8" t="n"/>
      <c r="S3879" s="8" t="n"/>
      <c r="T3879" s="8" t="n"/>
      <c r="U3879" s="8" t="n"/>
      <c r="V3879" s="8" t="n"/>
      <c r="W3879" s="8" t="n"/>
      <c r="X3879" s="8" t="n"/>
      <c r="Y3879" s="8" t="n"/>
    </row>
    <row r="3880">
      <c r="A3880" s="8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9">
        <f>B3880+30</f>
        <v/>
      </c>
      <c r="N3880">
        <f>IF(L3880="", "", L3880-B3880)</f>
        <v/>
      </c>
      <c r="O3880">
        <f>IF(L3880="", "Pending", IF(N3880&lt;=30, "Met", "Breached"))</f>
        <v/>
      </c>
      <c r="P3880" s="8" t="n"/>
      <c r="Q3880" s="8" t="n"/>
      <c r="R3880" s="8" t="n"/>
      <c r="S3880" s="8" t="n"/>
      <c r="T3880" s="8" t="n"/>
      <c r="U3880" s="8" t="n"/>
      <c r="V3880" s="8" t="n"/>
      <c r="W3880" s="8" t="n"/>
      <c r="X3880" s="8" t="n"/>
      <c r="Y3880" s="8" t="n"/>
    </row>
    <row r="3881">
      <c r="A3881" s="8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9">
        <f>B3881+30</f>
        <v/>
      </c>
      <c r="N3881">
        <f>IF(L3881="", "", L3881-B3881)</f>
        <v/>
      </c>
      <c r="O3881">
        <f>IF(L3881="", "Pending", IF(N3881&lt;=30, "Met", "Breached"))</f>
        <v/>
      </c>
      <c r="P3881" s="8" t="n"/>
      <c r="Q3881" s="8" t="n"/>
      <c r="R3881" s="8" t="n"/>
      <c r="S3881" s="8" t="n"/>
      <c r="T3881" s="8" t="n"/>
      <c r="U3881" s="8" t="n"/>
      <c r="V3881" s="8" t="n"/>
      <c r="W3881" s="8" t="n"/>
      <c r="X3881" s="8" t="n"/>
      <c r="Y3881" s="8" t="n"/>
    </row>
    <row r="3882">
      <c r="A3882" s="8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9">
        <f>B3882+30</f>
        <v/>
      </c>
      <c r="N3882">
        <f>IF(L3882="", "", L3882-B3882)</f>
        <v/>
      </c>
      <c r="O3882">
        <f>IF(L3882="", "Pending", IF(N3882&lt;=30, "Met", "Breached"))</f>
        <v/>
      </c>
      <c r="P3882" s="8" t="n"/>
      <c r="Q3882" s="8" t="n"/>
      <c r="R3882" s="8" t="n"/>
      <c r="S3882" s="8" t="n"/>
      <c r="T3882" s="8" t="n"/>
      <c r="U3882" s="8" t="n"/>
      <c r="V3882" s="8" t="n"/>
      <c r="W3882" s="8" t="n"/>
      <c r="X3882" s="8" t="n"/>
      <c r="Y3882" s="8" t="n"/>
    </row>
    <row r="3883">
      <c r="A3883" s="8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9">
        <f>B3883+30</f>
        <v/>
      </c>
      <c r="N3883">
        <f>IF(L3883="", "", L3883-B3883)</f>
        <v/>
      </c>
      <c r="O3883">
        <f>IF(L3883="", "Pending", IF(N3883&lt;=30, "Met", "Breached"))</f>
        <v/>
      </c>
      <c r="P3883" s="8" t="n"/>
      <c r="Q3883" s="8" t="n"/>
      <c r="R3883" s="8" t="n"/>
      <c r="S3883" s="8" t="n"/>
      <c r="T3883" s="8" t="n"/>
      <c r="U3883" s="8" t="n"/>
      <c r="V3883" s="8" t="n"/>
      <c r="W3883" s="8" t="n"/>
      <c r="X3883" s="8" t="n"/>
      <c r="Y3883" s="8" t="n"/>
    </row>
    <row r="3884">
      <c r="A3884" s="8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9">
        <f>B3884+30</f>
        <v/>
      </c>
      <c r="N3884">
        <f>IF(L3884="", "", L3884-B3884)</f>
        <v/>
      </c>
      <c r="O3884">
        <f>IF(L3884="", "Pending", IF(N3884&lt;=30, "Met", "Breached"))</f>
        <v/>
      </c>
      <c r="P3884" s="8" t="n"/>
      <c r="Q3884" s="8" t="n"/>
      <c r="R3884" s="8" t="n"/>
      <c r="S3884" s="8" t="n"/>
      <c r="T3884" s="8" t="n"/>
      <c r="U3884" s="8" t="n"/>
      <c r="V3884" s="8" t="n"/>
      <c r="W3884" s="8" t="n"/>
      <c r="X3884" s="8" t="n"/>
      <c r="Y3884" s="8" t="n"/>
    </row>
    <row r="3885">
      <c r="A3885" s="8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9">
        <f>B3885+30</f>
        <v/>
      </c>
      <c r="N3885">
        <f>IF(L3885="", "", L3885-B3885)</f>
        <v/>
      </c>
      <c r="O3885">
        <f>IF(L3885="", "Pending", IF(N3885&lt;=30, "Met", "Breached"))</f>
        <v/>
      </c>
      <c r="P3885" s="8" t="n"/>
      <c r="Q3885" s="8" t="n"/>
      <c r="R3885" s="8" t="n"/>
      <c r="S3885" s="8" t="n"/>
      <c r="T3885" s="8" t="n"/>
      <c r="U3885" s="8" t="n"/>
      <c r="V3885" s="8" t="n"/>
      <c r="W3885" s="8" t="n"/>
      <c r="X3885" s="8" t="n"/>
      <c r="Y3885" s="8" t="n"/>
    </row>
    <row r="3886">
      <c r="A3886" s="8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9">
        <f>B3886+30</f>
        <v/>
      </c>
      <c r="N3886">
        <f>IF(L3886="", "", L3886-B3886)</f>
        <v/>
      </c>
      <c r="O3886">
        <f>IF(L3886="", "Pending", IF(N3886&lt;=30, "Met", "Breached"))</f>
        <v/>
      </c>
      <c r="P3886" s="8" t="n"/>
      <c r="Q3886" s="8" t="n"/>
      <c r="R3886" s="8" t="n"/>
      <c r="S3886" s="8" t="n"/>
      <c r="T3886" s="8" t="n"/>
      <c r="U3886" s="8" t="n"/>
      <c r="V3886" s="8" t="n"/>
      <c r="W3886" s="8" t="n"/>
      <c r="X3886" s="8" t="n"/>
      <c r="Y3886" s="8" t="n"/>
    </row>
    <row r="3887">
      <c r="A3887" s="8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9">
        <f>B3887+30</f>
        <v/>
      </c>
      <c r="N3887">
        <f>IF(L3887="", "", L3887-B3887)</f>
        <v/>
      </c>
      <c r="O3887">
        <f>IF(L3887="", "Pending", IF(N3887&lt;=30, "Met", "Breached"))</f>
        <v/>
      </c>
      <c r="P3887" s="8" t="n"/>
      <c r="Q3887" s="8" t="n"/>
      <c r="R3887" s="8" t="n"/>
      <c r="S3887" s="8" t="n"/>
      <c r="T3887" s="8" t="n"/>
      <c r="U3887" s="8" t="n"/>
      <c r="V3887" s="8" t="n"/>
      <c r="W3887" s="8" t="n"/>
      <c r="X3887" s="8" t="n"/>
      <c r="Y3887" s="8" t="n"/>
    </row>
    <row r="3888">
      <c r="A3888" s="8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9">
        <f>B3888+30</f>
        <v/>
      </c>
      <c r="N3888">
        <f>IF(L3888="", "", L3888-B3888)</f>
        <v/>
      </c>
      <c r="O3888">
        <f>IF(L3888="", "Pending", IF(N3888&lt;=30, "Met", "Breached"))</f>
        <v/>
      </c>
      <c r="P3888" s="8" t="n"/>
      <c r="Q3888" s="8" t="n"/>
      <c r="R3888" s="8" t="n"/>
      <c r="S3888" s="8" t="n"/>
      <c r="T3888" s="8" t="n"/>
      <c r="U3888" s="8" t="n"/>
      <c r="V3888" s="8" t="n"/>
      <c r="W3888" s="8" t="n"/>
      <c r="X3888" s="8" t="n"/>
      <c r="Y3888" s="8" t="n"/>
    </row>
    <row r="3889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9">
        <f>B3889+30</f>
        <v/>
      </c>
      <c r="N3889">
        <f>IF(L3889="", "", L3889-B3889)</f>
        <v/>
      </c>
      <c r="O3889">
        <f>IF(L3889="", "Pending", IF(N3889&lt;=30, "Met", "Breached"))</f>
        <v/>
      </c>
      <c r="P3889" s="8" t="n"/>
      <c r="Q3889" s="8" t="n"/>
      <c r="R3889" s="8" t="n"/>
      <c r="S3889" s="8" t="n"/>
      <c r="T3889" s="8" t="n"/>
      <c r="U3889" s="8" t="n"/>
      <c r="V3889" s="8" t="n"/>
      <c r="W3889" s="8" t="n"/>
      <c r="X3889" s="8" t="n"/>
      <c r="Y3889" s="8" t="n"/>
    </row>
    <row r="3890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9">
        <f>B3890+30</f>
        <v/>
      </c>
      <c r="N3890">
        <f>IF(L3890="", "", L3890-B3890)</f>
        <v/>
      </c>
      <c r="O3890">
        <f>IF(L3890="", "Pending", IF(N3890&lt;=30, "Met", "Breached"))</f>
        <v/>
      </c>
      <c r="P3890" s="8" t="n"/>
      <c r="Q3890" s="8" t="n"/>
      <c r="R3890" s="8" t="n"/>
      <c r="S3890" s="8" t="n"/>
      <c r="T3890" s="8" t="n"/>
      <c r="U3890" s="8" t="n"/>
      <c r="V3890" s="8" t="n"/>
      <c r="W3890" s="8" t="n"/>
      <c r="X3890" s="8" t="n"/>
      <c r="Y3890" s="8" t="n"/>
    </row>
    <row r="3891">
      <c r="A3891" s="8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9">
        <f>B3891+30</f>
        <v/>
      </c>
      <c r="N3891">
        <f>IF(L3891="", "", L3891-B3891)</f>
        <v/>
      </c>
      <c r="O3891">
        <f>IF(L3891="", "Pending", IF(N3891&lt;=30, "Met", "Breached"))</f>
        <v/>
      </c>
      <c r="P3891" s="8" t="n"/>
      <c r="Q3891" s="8" t="n"/>
      <c r="R3891" s="8" t="n"/>
      <c r="S3891" s="8" t="n"/>
      <c r="T3891" s="8" t="n"/>
      <c r="U3891" s="8" t="n"/>
      <c r="V3891" s="8" t="n"/>
      <c r="W3891" s="8" t="n"/>
      <c r="X3891" s="8" t="n"/>
      <c r="Y3891" s="8" t="n"/>
    </row>
    <row r="3892">
      <c r="A3892" s="8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9">
        <f>B3892+30</f>
        <v/>
      </c>
      <c r="N3892">
        <f>IF(L3892="", "", L3892-B3892)</f>
        <v/>
      </c>
      <c r="O3892">
        <f>IF(L3892="", "Pending", IF(N3892&lt;=30, "Met", "Breached"))</f>
        <v/>
      </c>
      <c r="P3892" s="8" t="n"/>
      <c r="Q3892" s="8" t="n"/>
      <c r="R3892" s="8" t="n"/>
      <c r="S3892" s="8" t="n"/>
      <c r="T3892" s="8" t="n"/>
      <c r="U3892" s="8" t="n"/>
      <c r="V3892" s="8" t="n"/>
      <c r="W3892" s="8" t="n"/>
      <c r="X3892" s="8" t="n"/>
      <c r="Y3892" s="8" t="n"/>
    </row>
    <row r="3893">
      <c r="A3893" s="8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9">
        <f>B3893+30</f>
        <v/>
      </c>
      <c r="N3893">
        <f>IF(L3893="", "", L3893-B3893)</f>
        <v/>
      </c>
      <c r="O3893">
        <f>IF(L3893="", "Pending", IF(N3893&lt;=30, "Met", "Breached"))</f>
        <v/>
      </c>
      <c r="P3893" s="8" t="n"/>
      <c r="Q3893" s="8" t="n"/>
      <c r="R3893" s="8" t="n"/>
      <c r="S3893" s="8" t="n"/>
      <c r="T3893" s="8" t="n"/>
      <c r="U3893" s="8" t="n"/>
      <c r="V3893" s="8" t="n"/>
      <c r="W3893" s="8" t="n"/>
      <c r="X3893" s="8" t="n"/>
      <c r="Y3893" s="8" t="n"/>
    </row>
    <row r="3894">
      <c r="A3894" s="8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9">
        <f>B3894+30</f>
        <v/>
      </c>
      <c r="N3894">
        <f>IF(L3894="", "", L3894-B3894)</f>
        <v/>
      </c>
      <c r="O3894">
        <f>IF(L3894="", "Pending", IF(N3894&lt;=30, "Met", "Breached"))</f>
        <v/>
      </c>
      <c r="P3894" s="8" t="n"/>
      <c r="Q3894" s="8" t="n"/>
      <c r="R3894" s="8" t="n"/>
      <c r="S3894" s="8" t="n"/>
      <c r="T3894" s="8" t="n"/>
      <c r="U3894" s="8" t="n"/>
      <c r="V3894" s="8" t="n"/>
      <c r="W3894" s="8" t="n"/>
      <c r="X3894" s="8" t="n"/>
      <c r="Y3894" s="8" t="n"/>
    </row>
    <row r="3895">
      <c r="A3895" s="8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9">
        <f>B3895+30</f>
        <v/>
      </c>
      <c r="N3895">
        <f>IF(L3895="", "", L3895-B3895)</f>
        <v/>
      </c>
      <c r="O3895">
        <f>IF(L3895="", "Pending", IF(N3895&lt;=30, "Met", "Breached"))</f>
        <v/>
      </c>
      <c r="P3895" s="8" t="n"/>
      <c r="Q3895" s="8" t="n"/>
      <c r="R3895" s="8" t="n"/>
      <c r="S3895" s="8" t="n"/>
      <c r="T3895" s="8" t="n"/>
      <c r="U3895" s="8" t="n"/>
      <c r="V3895" s="8" t="n"/>
      <c r="W3895" s="8" t="n"/>
      <c r="X3895" s="8" t="n"/>
      <c r="Y3895" s="8" t="n"/>
    </row>
    <row r="3896">
      <c r="A3896" s="8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9">
        <f>B3896+30</f>
        <v/>
      </c>
      <c r="N3896">
        <f>IF(L3896="", "", L3896-B3896)</f>
        <v/>
      </c>
      <c r="O3896">
        <f>IF(L3896="", "Pending", IF(N3896&lt;=30, "Met", "Breached"))</f>
        <v/>
      </c>
      <c r="P3896" s="8" t="n"/>
      <c r="Q3896" s="8" t="n"/>
      <c r="R3896" s="8" t="n"/>
      <c r="S3896" s="8" t="n"/>
      <c r="T3896" s="8" t="n"/>
      <c r="U3896" s="8" t="n"/>
      <c r="V3896" s="8" t="n"/>
      <c r="W3896" s="8" t="n"/>
      <c r="X3896" s="8" t="n"/>
      <c r="Y3896" s="8" t="n"/>
    </row>
    <row r="3897">
      <c r="A3897" s="8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9">
        <f>B3897+30</f>
        <v/>
      </c>
      <c r="N3897">
        <f>IF(L3897="", "", L3897-B3897)</f>
        <v/>
      </c>
      <c r="O3897">
        <f>IF(L3897="", "Pending", IF(N3897&lt;=30, "Met", "Breached"))</f>
        <v/>
      </c>
      <c r="P3897" s="8" t="n"/>
      <c r="Q3897" s="8" t="n"/>
      <c r="R3897" s="8" t="n"/>
      <c r="S3897" s="8" t="n"/>
      <c r="T3897" s="8" t="n"/>
      <c r="U3897" s="8" t="n"/>
      <c r="V3897" s="8" t="n"/>
      <c r="W3897" s="8" t="n"/>
      <c r="X3897" s="8" t="n"/>
      <c r="Y3897" s="8" t="n"/>
    </row>
    <row r="3898">
      <c r="A3898" s="8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9">
        <f>B3898+30</f>
        <v/>
      </c>
      <c r="N3898">
        <f>IF(L3898="", "", L3898-B3898)</f>
        <v/>
      </c>
      <c r="O3898">
        <f>IF(L3898="", "Pending", IF(N3898&lt;=30, "Met", "Breached"))</f>
        <v/>
      </c>
      <c r="P3898" s="8" t="n"/>
      <c r="Q3898" s="8" t="n"/>
      <c r="R3898" s="8" t="n"/>
      <c r="S3898" s="8" t="n"/>
      <c r="T3898" s="8" t="n"/>
      <c r="U3898" s="8" t="n"/>
      <c r="V3898" s="8" t="n"/>
      <c r="W3898" s="8" t="n"/>
      <c r="X3898" s="8" t="n"/>
      <c r="Y3898" s="8" t="n"/>
    </row>
    <row r="3899">
      <c r="A3899" s="8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9">
        <f>B3899+30</f>
        <v/>
      </c>
      <c r="N3899">
        <f>IF(L3899="", "", L3899-B3899)</f>
        <v/>
      </c>
      <c r="O3899">
        <f>IF(L3899="", "Pending", IF(N3899&lt;=30, "Met", "Breached"))</f>
        <v/>
      </c>
      <c r="P3899" s="8" t="n"/>
      <c r="Q3899" s="8" t="n"/>
      <c r="R3899" s="8" t="n"/>
      <c r="S3899" s="8" t="n"/>
      <c r="T3899" s="8" t="n"/>
      <c r="U3899" s="8" t="n"/>
      <c r="V3899" s="8" t="n"/>
      <c r="W3899" s="8" t="n"/>
      <c r="X3899" s="8" t="n"/>
      <c r="Y3899" s="8" t="n"/>
    </row>
    <row r="3900">
      <c r="A3900" s="8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9">
        <f>B3900+30</f>
        <v/>
      </c>
      <c r="N3900">
        <f>IF(L3900="", "", L3900-B3900)</f>
        <v/>
      </c>
      <c r="O3900">
        <f>IF(L3900="", "Pending", IF(N3900&lt;=30, "Met", "Breached"))</f>
        <v/>
      </c>
      <c r="P3900" s="8" t="n"/>
      <c r="Q3900" s="8" t="n"/>
      <c r="R3900" s="8" t="n"/>
      <c r="S3900" s="8" t="n"/>
      <c r="T3900" s="8" t="n"/>
      <c r="U3900" s="8" t="n"/>
      <c r="V3900" s="8" t="n"/>
      <c r="W3900" s="8" t="n"/>
      <c r="X3900" s="8" t="n"/>
      <c r="Y3900" s="8" t="n"/>
    </row>
    <row r="3901">
      <c r="A3901" s="8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9">
        <f>B3901+30</f>
        <v/>
      </c>
      <c r="N3901">
        <f>IF(L3901="", "", L3901-B3901)</f>
        <v/>
      </c>
      <c r="O3901">
        <f>IF(L3901="", "Pending", IF(N3901&lt;=30, "Met", "Breached"))</f>
        <v/>
      </c>
      <c r="P3901" s="8" t="n"/>
      <c r="Q3901" s="8" t="n"/>
      <c r="R3901" s="8" t="n"/>
      <c r="S3901" s="8" t="n"/>
      <c r="T3901" s="8" t="n"/>
      <c r="U3901" s="8" t="n"/>
      <c r="V3901" s="8" t="n"/>
      <c r="W3901" s="8" t="n"/>
      <c r="X3901" s="8" t="n"/>
      <c r="Y3901" s="8" t="n"/>
    </row>
    <row r="3902">
      <c r="A3902" s="8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9">
        <f>B3902+30</f>
        <v/>
      </c>
      <c r="N3902">
        <f>IF(L3902="", "", L3902-B3902)</f>
        <v/>
      </c>
      <c r="O3902">
        <f>IF(L3902="", "Pending", IF(N3902&lt;=30, "Met", "Breached"))</f>
        <v/>
      </c>
      <c r="P3902" s="8" t="n"/>
      <c r="Q3902" s="8" t="n"/>
      <c r="R3902" s="8" t="n"/>
      <c r="S3902" s="8" t="n"/>
      <c r="T3902" s="8" t="n"/>
      <c r="U3902" s="8" t="n"/>
      <c r="V3902" s="8" t="n"/>
      <c r="W3902" s="8" t="n"/>
      <c r="X3902" s="8" t="n"/>
      <c r="Y3902" s="8" t="n"/>
    </row>
    <row r="3903">
      <c r="A3903" s="8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9">
        <f>B3903+30</f>
        <v/>
      </c>
      <c r="N3903">
        <f>IF(L3903="", "", L3903-B3903)</f>
        <v/>
      </c>
      <c r="O3903">
        <f>IF(L3903="", "Pending", IF(N3903&lt;=30, "Met", "Breached"))</f>
        <v/>
      </c>
      <c r="P3903" s="8" t="n"/>
      <c r="Q3903" s="8" t="n"/>
      <c r="R3903" s="8" t="n"/>
      <c r="S3903" s="8" t="n"/>
      <c r="T3903" s="8" t="n"/>
      <c r="U3903" s="8" t="n"/>
      <c r="V3903" s="8" t="n"/>
      <c r="W3903" s="8" t="n"/>
      <c r="X3903" s="8" t="n"/>
      <c r="Y3903" s="8" t="n"/>
    </row>
    <row r="3904">
      <c r="A3904" s="8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9">
        <f>B3904+30</f>
        <v/>
      </c>
      <c r="N3904">
        <f>IF(L3904="", "", L3904-B3904)</f>
        <v/>
      </c>
      <c r="O3904">
        <f>IF(L3904="", "Pending", IF(N3904&lt;=30, "Met", "Breached"))</f>
        <v/>
      </c>
      <c r="P3904" s="8" t="n"/>
      <c r="Q3904" s="8" t="n"/>
      <c r="R3904" s="8" t="n"/>
      <c r="S3904" s="8" t="n"/>
      <c r="T3904" s="8" t="n"/>
      <c r="U3904" s="8" t="n"/>
      <c r="V3904" s="8" t="n"/>
      <c r="W3904" s="8" t="n"/>
      <c r="X3904" s="8" t="n"/>
      <c r="Y3904" s="8" t="n"/>
    </row>
    <row r="3905">
      <c r="A3905" s="8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9">
        <f>B3905+30</f>
        <v/>
      </c>
      <c r="N3905">
        <f>IF(L3905="", "", L3905-B3905)</f>
        <v/>
      </c>
      <c r="O3905">
        <f>IF(L3905="", "Pending", IF(N3905&lt;=30, "Met", "Breached"))</f>
        <v/>
      </c>
      <c r="P3905" s="8" t="n"/>
      <c r="Q3905" s="8" t="n"/>
      <c r="R3905" s="8" t="n"/>
      <c r="S3905" s="8" t="n"/>
      <c r="T3905" s="8" t="n"/>
      <c r="U3905" s="8" t="n"/>
      <c r="V3905" s="8" t="n"/>
      <c r="W3905" s="8" t="n"/>
      <c r="X3905" s="8" t="n"/>
      <c r="Y3905" s="8" t="n"/>
    </row>
    <row r="3906">
      <c r="A3906" s="8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9">
        <f>B3906+30</f>
        <v/>
      </c>
      <c r="N3906">
        <f>IF(L3906="", "", L3906-B3906)</f>
        <v/>
      </c>
      <c r="O3906">
        <f>IF(L3906="", "Pending", IF(N3906&lt;=30, "Met", "Breached"))</f>
        <v/>
      </c>
      <c r="P3906" s="8" t="n"/>
      <c r="Q3906" s="8" t="n"/>
      <c r="R3906" s="8" t="n"/>
      <c r="S3906" s="8" t="n"/>
      <c r="T3906" s="8" t="n"/>
      <c r="U3906" s="8" t="n"/>
      <c r="V3906" s="8" t="n"/>
      <c r="W3906" s="8" t="n"/>
      <c r="X3906" s="8" t="n"/>
      <c r="Y3906" s="8" t="n"/>
    </row>
    <row r="3907">
      <c r="A3907" s="8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9">
        <f>B3907+30</f>
        <v/>
      </c>
      <c r="N3907">
        <f>IF(L3907="", "", L3907-B3907)</f>
        <v/>
      </c>
      <c r="O3907">
        <f>IF(L3907="", "Pending", IF(N3907&lt;=30, "Met", "Breached"))</f>
        <v/>
      </c>
      <c r="P3907" s="8" t="n"/>
      <c r="Q3907" s="8" t="n"/>
      <c r="R3907" s="8" t="n"/>
      <c r="S3907" s="8" t="n"/>
      <c r="T3907" s="8" t="n"/>
      <c r="U3907" s="8" t="n"/>
      <c r="V3907" s="8" t="n"/>
      <c r="W3907" s="8" t="n"/>
      <c r="X3907" s="8" t="n"/>
      <c r="Y3907" s="8" t="n"/>
    </row>
    <row r="3908">
      <c r="A3908" s="8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9">
        <f>B3908+30</f>
        <v/>
      </c>
      <c r="N3908">
        <f>IF(L3908="", "", L3908-B3908)</f>
        <v/>
      </c>
      <c r="O3908">
        <f>IF(L3908="", "Pending", IF(N3908&lt;=30, "Met", "Breached"))</f>
        <v/>
      </c>
      <c r="P3908" s="8" t="n"/>
      <c r="Q3908" s="8" t="n"/>
      <c r="R3908" s="8" t="n"/>
      <c r="S3908" s="8" t="n"/>
      <c r="T3908" s="8" t="n"/>
      <c r="U3908" s="8" t="n"/>
      <c r="V3908" s="8" t="n"/>
      <c r="W3908" s="8" t="n"/>
      <c r="X3908" s="8" t="n"/>
      <c r="Y3908" s="8" t="n"/>
    </row>
    <row r="3909">
      <c r="A3909" s="8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9">
        <f>B3909+30</f>
        <v/>
      </c>
      <c r="N3909">
        <f>IF(L3909="", "", L3909-B3909)</f>
        <v/>
      </c>
      <c r="O3909">
        <f>IF(L3909="", "Pending", IF(N3909&lt;=30, "Met", "Breached"))</f>
        <v/>
      </c>
      <c r="P3909" s="8" t="n"/>
      <c r="Q3909" s="8" t="n"/>
      <c r="R3909" s="8" t="n"/>
      <c r="S3909" s="8" t="n"/>
      <c r="T3909" s="8" t="n"/>
      <c r="U3909" s="8" t="n"/>
      <c r="V3909" s="8" t="n"/>
      <c r="W3909" s="8" t="n"/>
      <c r="X3909" s="8" t="n"/>
      <c r="Y3909" s="8" t="n"/>
    </row>
    <row r="3910">
      <c r="A3910" s="8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9">
        <f>B3910+30</f>
        <v/>
      </c>
      <c r="N3910">
        <f>IF(L3910="", "", L3910-B3910)</f>
        <v/>
      </c>
      <c r="O3910">
        <f>IF(L3910="", "Pending", IF(N3910&lt;=30, "Met", "Breached"))</f>
        <v/>
      </c>
      <c r="P3910" s="8" t="n"/>
      <c r="Q3910" s="8" t="n"/>
      <c r="R3910" s="8" t="n"/>
      <c r="S3910" s="8" t="n"/>
      <c r="T3910" s="8" t="n"/>
      <c r="U3910" s="8" t="n"/>
      <c r="V3910" s="8" t="n"/>
      <c r="W3910" s="8" t="n"/>
      <c r="X3910" s="8" t="n"/>
      <c r="Y3910" s="8" t="n"/>
    </row>
    <row r="3911">
      <c r="A3911" s="8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9">
        <f>B3911+30</f>
        <v/>
      </c>
      <c r="N3911">
        <f>IF(L3911="", "", L3911-B3911)</f>
        <v/>
      </c>
      <c r="O3911">
        <f>IF(L3911="", "Pending", IF(N3911&lt;=30, "Met", "Breached"))</f>
        <v/>
      </c>
      <c r="P3911" s="8" t="n"/>
      <c r="Q3911" s="8" t="n"/>
      <c r="R3911" s="8" t="n"/>
      <c r="S3911" s="8" t="n"/>
      <c r="T3911" s="8" t="n"/>
      <c r="U3911" s="8" t="n"/>
      <c r="V3911" s="8" t="n"/>
      <c r="W3911" s="8" t="n"/>
      <c r="X3911" s="8" t="n"/>
      <c r="Y3911" s="8" t="n"/>
    </row>
    <row r="3912">
      <c r="A3912" s="8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9">
        <f>B3912+30</f>
        <v/>
      </c>
      <c r="N3912">
        <f>IF(L3912="", "", L3912-B3912)</f>
        <v/>
      </c>
      <c r="O3912">
        <f>IF(L3912="", "Pending", IF(N3912&lt;=30, "Met", "Breached"))</f>
        <v/>
      </c>
      <c r="P3912" s="8" t="n"/>
      <c r="Q3912" s="8" t="n"/>
      <c r="R3912" s="8" t="n"/>
      <c r="S3912" s="8" t="n"/>
      <c r="T3912" s="8" t="n"/>
      <c r="U3912" s="8" t="n"/>
      <c r="V3912" s="8" t="n"/>
      <c r="W3912" s="8" t="n"/>
      <c r="X3912" s="8" t="n"/>
      <c r="Y3912" s="8" t="n"/>
    </row>
    <row r="3913">
      <c r="A3913" s="8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9">
        <f>B3913+30</f>
        <v/>
      </c>
      <c r="N3913">
        <f>IF(L3913="", "", L3913-B3913)</f>
        <v/>
      </c>
      <c r="O3913">
        <f>IF(L3913="", "Pending", IF(N3913&lt;=30, "Met", "Breached"))</f>
        <v/>
      </c>
      <c r="P3913" s="8" t="n"/>
      <c r="Q3913" s="8" t="n"/>
      <c r="R3913" s="8" t="n"/>
      <c r="S3913" s="8" t="n"/>
      <c r="T3913" s="8" t="n"/>
      <c r="U3913" s="8" t="n"/>
      <c r="V3913" s="8" t="n"/>
      <c r="W3913" s="8" t="n"/>
      <c r="X3913" s="8" t="n"/>
      <c r="Y3913" s="8" t="n"/>
    </row>
    <row r="3914">
      <c r="A3914" s="8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9">
        <f>B3914+30</f>
        <v/>
      </c>
      <c r="N3914">
        <f>IF(L3914="", "", L3914-B3914)</f>
        <v/>
      </c>
      <c r="O3914">
        <f>IF(L3914="", "Pending", IF(N3914&lt;=30, "Met", "Breached"))</f>
        <v/>
      </c>
      <c r="P3914" s="8" t="n"/>
      <c r="Q3914" s="8" t="n"/>
      <c r="R3914" s="8" t="n"/>
      <c r="S3914" s="8" t="n"/>
      <c r="T3914" s="8" t="n"/>
      <c r="U3914" s="8" t="n"/>
      <c r="V3914" s="8" t="n"/>
      <c r="W3914" s="8" t="n"/>
      <c r="X3914" s="8" t="n"/>
      <c r="Y3914" s="8" t="n"/>
    </row>
    <row r="3915">
      <c r="A3915" s="8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9">
        <f>B3915+30</f>
        <v/>
      </c>
      <c r="N3915">
        <f>IF(L3915="", "", L3915-B3915)</f>
        <v/>
      </c>
      <c r="O3915">
        <f>IF(L3915="", "Pending", IF(N3915&lt;=30, "Met", "Breached"))</f>
        <v/>
      </c>
      <c r="P3915" s="8" t="n"/>
      <c r="Q3915" s="8" t="n"/>
      <c r="R3915" s="8" t="n"/>
      <c r="S3915" s="8" t="n"/>
      <c r="T3915" s="8" t="n"/>
      <c r="U3915" s="8" t="n"/>
      <c r="V3915" s="8" t="n"/>
      <c r="W3915" s="8" t="n"/>
      <c r="X3915" s="8" t="n"/>
      <c r="Y3915" s="8" t="n"/>
    </row>
    <row r="3916">
      <c r="A3916" s="8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9">
        <f>B3916+30</f>
        <v/>
      </c>
      <c r="N3916">
        <f>IF(L3916="", "", L3916-B3916)</f>
        <v/>
      </c>
      <c r="O3916">
        <f>IF(L3916="", "Pending", IF(N3916&lt;=30, "Met", "Breached"))</f>
        <v/>
      </c>
      <c r="P3916" s="8" t="n"/>
      <c r="Q3916" s="8" t="n"/>
      <c r="R3916" s="8" t="n"/>
      <c r="S3916" s="8" t="n"/>
      <c r="T3916" s="8" t="n"/>
      <c r="U3916" s="8" t="n"/>
      <c r="V3916" s="8" t="n"/>
      <c r="W3916" s="8" t="n"/>
      <c r="X3916" s="8" t="n"/>
      <c r="Y3916" s="8" t="n"/>
    </row>
    <row r="3917">
      <c r="A3917" s="8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9">
        <f>B3917+30</f>
        <v/>
      </c>
      <c r="N3917">
        <f>IF(L3917="", "", L3917-B3917)</f>
        <v/>
      </c>
      <c r="O3917">
        <f>IF(L3917="", "Pending", IF(N3917&lt;=30, "Met", "Breached"))</f>
        <v/>
      </c>
      <c r="P3917" s="8" t="n"/>
      <c r="Q3917" s="8" t="n"/>
      <c r="R3917" s="8" t="n"/>
      <c r="S3917" s="8" t="n"/>
      <c r="T3917" s="8" t="n"/>
      <c r="U3917" s="8" t="n"/>
      <c r="V3917" s="8" t="n"/>
      <c r="W3917" s="8" t="n"/>
      <c r="X3917" s="8" t="n"/>
      <c r="Y3917" s="8" t="n"/>
    </row>
    <row r="3918">
      <c r="A3918" s="8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9">
        <f>B3918+30</f>
        <v/>
      </c>
      <c r="N3918">
        <f>IF(L3918="", "", L3918-B3918)</f>
        <v/>
      </c>
      <c r="O3918">
        <f>IF(L3918="", "Pending", IF(N3918&lt;=30, "Met", "Breached"))</f>
        <v/>
      </c>
      <c r="P3918" s="8" t="n"/>
      <c r="Q3918" s="8" t="n"/>
      <c r="R3918" s="8" t="n"/>
      <c r="S3918" s="8" t="n"/>
      <c r="T3918" s="8" t="n"/>
      <c r="U3918" s="8" t="n"/>
      <c r="V3918" s="8" t="n"/>
      <c r="W3918" s="8" t="n"/>
      <c r="X3918" s="8" t="n"/>
      <c r="Y3918" s="8" t="n"/>
    </row>
    <row r="3919">
      <c r="A3919" s="8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9">
        <f>B3919+30</f>
        <v/>
      </c>
      <c r="N3919">
        <f>IF(L3919="", "", L3919-B3919)</f>
        <v/>
      </c>
      <c r="O3919">
        <f>IF(L3919="", "Pending", IF(N3919&lt;=30, "Met", "Breached"))</f>
        <v/>
      </c>
      <c r="P3919" s="8" t="n"/>
      <c r="Q3919" s="8" t="n"/>
      <c r="R3919" s="8" t="n"/>
      <c r="S3919" s="8" t="n"/>
      <c r="T3919" s="8" t="n"/>
      <c r="U3919" s="8" t="n"/>
      <c r="V3919" s="8" t="n"/>
      <c r="W3919" s="8" t="n"/>
      <c r="X3919" s="8" t="n"/>
      <c r="Y3919" s="8" t="n"/>
    </row>
    <row r="3920">
      <c r="A3920" s="8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9">
        <f>B3920+30</f>
        <v/>
      </c>
      <c r="N3920">
        <f>IF(L3920="", "", L3920-B3920)</f>
        <v/>
      </c>
      <c r="O3920">
        <f>IF(L3920="", "Pending", IF(N3920&lt;=30, "Met", "Breached"))</f>
        <v/>
      </c>
      <c r="P3920" s="8" t="n"/>
      <c r="Q3920" s="8" t="n"/>
      <c r="R3920" s="8" t="n"/>
      <c r="S3920" s="8" t="n"/>
      <c r="T3920" s="8" t="n"/>
      <c r="U3920" s="8" t="n"/>
      <c r="V3920" s="8" t="n"/>
      <c r="W3920" s="8" t="n"/>
      <c r="X3920" s="8" t="n"/>
      <c r="Y3920" s="8" t="n"/>
    </row>
    <row r="3921">
      <c r="A3921" s="8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9">
        <f>B3921+30</f>
        <v/>
      </c>
      <c r="N3921">
        <f>IF(L3921="", "", L3921-B3921)</f>
        <v/>
      </c>
      <c r="O3921">
        <f>IF(L3921="", "Pending", IF(N3921&lt;=30, "Met", "Breached"))</f>
        <v/>
      </c>
      <c r="P3921" s="8" t="n"/>
      <c r="Q3921" s="8" t="n"/>
      <c r="R3921" s="8" t="n"/>
      <c r="S3921" s="8" t="n"/>
      <c r="T3921" s="8" t="n"/>
      <c r="U3921" s="8" t="n"/>
      <c r="V3921" s="8" t="n"/>
      <c r="W3921" s="8" t="n"/>
      <c r="X3921" s="8" t="n"/>
      <c r="Y3921" s="8" t="n"/>
    </row>
    <row r="3922">
      <c r="A3922" s="8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9">
        <f>B3922+30</f>
        <v/>
      </c>
      <c r="N3922">
        <f>IF(L3922="", "", L3922-B3922)</f>
        <v/>
      </c>
      <c r="O3922">
        <f>IF(L3922="", "Pending", IF(N3922&lt;=30, "Met", "Breached"))</f>
        <v/>
      </c>
      <c r="P3922" s="8" t="n"/>
      <c r="Q3922" s="8" t="n"/>
      <c r="R3922" s="8" t="n"/>
      <c r="S3922" s="8" t="n"/>
      <c r="T3922" s="8" t="n"/>
      <c r="U3922" s="8" t="n"/>
      <c r="V3922" s="8" t="n"/>
      <c r="W3922" s="8" t="n"/>
      <c r="X3922" s="8" t="n"/>
      <c r="Y3922" s="8" t="n"/>
    </row>
    <row r="3923">
      <c r="A3923" s="8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9">
        <f>B3923+30</f>
        <v/>
      </c>
      <c r="N3923">
        <f>IF(L3923="", "", L3923-B3923)</f>
        <v/>
      </c>
      <c r="O3923">
        <f>IF(L3923="", "Pending", IF(N3923&lt;=30, "Met", "Breached"))</f>
        <v/>
      </c>
      <c r="P3923" s="8" t="n"/>
      <c r="Q3923" s="8" t="n"/>
      <c r="R3923" s="8" t="n"/>
      <c r="S3923" s="8" t="n"/>
      <c r="T3923" s="8" t="n"/>
      <c r="U3923" s="8" t="n"/>
      <c r="V3923" s="8" t="n"/>
      <c r="W3923" s="8" t="n"/>
      <c r="X3923" s="8" t="n"/>
      <c r="Y3923" s="8" t="n"/>
    </row>
    <row r="3924">
      <c r="A3924" s="8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9">
        <f>B3924+30</f>
        <v/>
      </c>
      <c r="N3924">
        <f>IF(L3924="", "", L3924-B3924)</f>
        <v/>
      </c>
      <c r="O3924">
        <f>IF(L3924="", "Pending", IF(N3924&lt;=30, "Met", "Breached"))</f>
        <v/>
      </c>
      <c r="P3924" s="8" t="n"/>
      <c r="Q3924" s="8" t="n"/>
      <c r="R3924" s="8" t="n"/>
      <c r="S3924" s="8" t="n"/>
      <c r="T3924" s="8" t="n"/>
      <c r="U3924" s="8" t="n"/>
      <c r="V3924" s="8" t="n"/>
      <c r="W3924" s="8" t="n"/>
      <c r="X3924" s="8" t="n"/>
      <c r="Y3924" s="8" t="n"/>
    </row>
    <row r="3925">
      <c r="A3925" s="8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9">
        <f>B3925+30</f>
        <v/>
      </c>
      <c r="N3925">
        <f>IF(L3925="", "", L3925-B3925)</f>
        <v/>
      </c>
      <c r="O3925">
        <f>IF(L3925="", "Pending", IF(N3925&lt;=30, "Met", "Breached"))</f>
        <v/>
      </c>
      <c r="P3925" s="8" t="n"/>
      <c r="Q3925" s="8" t="n"/>
      <c r="R3925" s="8" t="n"/>
      <c r="S3925" s="8" t="n"/>
      <c r="T3925" s="8" t="n"/>
      <c r="U3925" s="8" t="n"/>
      <c r="V3925" s="8" t="n"/>
      <c r="W3925" s="8" t="n"/>
      <c r="X3925" s="8" t="n"/>
      <c r="Y3925" s="8" t="n"/>
    </row>
    <row r="3926">
      <c r="A3926" s="8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9">
        <f>B3926+30</f>
        <v/>
      </c>
      <c r="N3926">
        <f>IF(L3926="", "", L3926-B3926)</f>
        <v/>
      </c>
      <c r="O3926">
        <f>IF(L3926="", "Pending", IF(N3926&lt;=30, "Met", "Breached"))</f>
        <v/>
      </c>
      <c r="P3926" s="8" t="n"/>
      <c r="Q3926" s="8" t="n"/>
      <c r="R3926" s="8" t="n"/>
      <c r="S3926" s="8" t="n"/>
      <c r="T3926" s="8" t="n"/>
      <c r="U3926" s="8" t="n"/>
      <c r="V3926" s="8" t="n"/>
      <c r="W3926" s="8" t="n"/>
      <c r="X3926" s="8" t="n"/>
      <c r="Y3926" s="8" t="n"/>
    </row>
    <row r="3927">
      <c r="A3927" s="8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9">
        <f>B3927+30</f>
        <v/>
      </c>
      <c r="N3927">
        <f>IF(L3927="", "", L3927-B3927)</f>
        <v/>
      </c>
      <c r="O3927">
        <f>IF(L3927="", "Pending", IF(N3927&lt;=30, "Met", "Breached"))</f>
        <v/>
      </c>
      <c r="P3927" s="8" t="n"/>
      <c r="Q3927" s="8" t="n"/>
      <c r="R3927" s="8" t="n"/>
      <c r="S3927" s="8" t="n"/>
      <c r="T3927" s="8" t="n"/>
      <c r="U3927" s="8" t="n"/>
      <c r="V3927" s="8" t="n"/>
      <c r="W3927" s="8" t="n"/>
      <c r="X3927" s="8" t="n"/>
      <c r="Y3927" s="8" t="n"/>
    </row>
    <row r="3928">
      <c r="A3928" s="8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9">
        <f>B3928+30</f>
        <v/>
      </c>
      <c r="N3928">
        <f>IF(L3928="", "", L3928-B3928)</f>
        <v/>
      </c>
      <c r="O3928">
        <f>IF(L3928="", "Pending", IF(N3928&lt;=30, "Met", "Breached"))</f>
        <v/>
      </c>
      <c r="P3928" s="8" t="n"/>
      <c r="Q3928" s="8" t="n"/>
      <c r="R3928" s="8" t="n"/>
      <c r="S3928" s="8" t="n"/>
      <c r="T3928" s="8" t="n"/>
      <c r="U3928" s="8" t="n"/>
      <c r="V3928" s="8" t="n"/>
      <c r="W3928" s="8" t="n"/>
      <c r="X3928" s="8" t="n"/>
      <c r="Y3928" s="8" t="n"/>
    </row>
    <row r="3929">
      <c r="A3929" s="8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9">
        <f>B3929+30</f>
        <v/>
      </c>
      <c r="N3929">
        <f>IF(L3929="", "", L3929-B3929)</f>
        <v/>
      </c>
      <c r="O3929">
        <f>IF(L3929="", "Pending", IF(N3929&lt;=30, "Met", "Breached"))</f>
        <v/>
      </c>
      <c r="P3929" s="8" t="n"/>
      <c r="Q3929" s="8" t="n"/>
      <c r="R3929" s="8" t="n"/>
      <c r="S3929" s="8" t="n"/>
      <c r="T3929" s="8" t="n"/>
      <c r="U3929" s="8" t="n"/>
      <c r="V3929" s="8" t="n"/>
      <c r="W3929" s="8" t="n"/>
      <c r="X3929" s="8" t="n"/>
      <c r="Y3929" s="8" t="n"/>
    </row>
    <row r="3930">
      <c r="A3930" s="8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9">
        <f>B3930+30</f>
        <v/>
      </c>
      <c r="N3930">
        <f>IF(L3930="", "", L3930-B3930)</f>
        <v/>
      </c>
      <c r="O3930">
        <f>IF(L3930="", "Pending", IF(N3930&lt;=30, "Met", "Breached"))</f>
        <v/>
      </c>
      <c r="P3930" s="8" t="n"/>
      <c r="Q3930" s="8" t="n"/>
      <c r="R3930" s="8" t="n"/>
      <c r="S3930" s="8" t="n"/>
      <c r="T3930" s="8" t="n"/>
      <c r="U3930" s="8" t="n"/>
      <c r="V3930" s="8" t="n"/>
      <c r="W3930" s="8" t="n"/>
      <c r="X3930" s="8" t="n"/>
      <c r="Y3930" s="8" t="n"/>
    </row>
    <row r="3931">
      <c r="A3931" s="8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9">
        <f>B3931+30</f>
        <v/>
      </c>
      <c r="N3931">
        <f>IF(L3931="", "", L3931-B3931)</f>
        <v/>
      </c>
      <c r="O3931">
        <f>IF(L3931="", "Pending", IF(N3931&lt;=30, "Met", "Breached"))</f>
        <v/>
      </c>
      <c r="P3931" s="8" t="n"/>
      <c r="Q3931" s="8" t="n"/>
      <c r="R3931" s="8" t="n"/>
      <c r="S3931" s="8" t="n"/>
      <c r="T3931" s="8" t="n"/>
      <c r="U3931" s="8" t="n"/>
      <c r="V3931" s="8" t="n"/>
      <c r="W3931" s="8" t="n"/>
      <c r="X3931" s="8" t="n"/>
      <c r="Y3931" s="8" t="n"/>
    </row>
    <row r="3932">
      <c r="A3932" s="8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9">
        <f>B3932+30</f>
        <v/>
      </c>
      <c r="N3932">
        <f>IF(L3932="", "", L3932-B3932)</f>
        <v/>
      </c>
      <c r="O3932">
        <f>IF(L3932="", "Pending", IF(N3932&lt;=30, "Met", "Breached"))</f>
        <v/>
      </c>
      <c r="P3932" s="8" t="n"/>
      <c r="Q3932" s="8" t="n"/>
      <c r="R3932" s="8" t="n"/>
      <c r="S3932" s="8" t="n"/>
      <c r="T3932" s="8" t="n"/>
      <c r="U3932" s="8" t="n"/>
      <c r="V3932" s="8" t="n"/>
      <c r="W3932" s="8" t="n"/>
      <c r="X3932" s="8" t="n"/>
      <c r="Y3932" s="8" t="n"/>
    </row>
    <row r="3933">
      <c r="A3933" s="8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9">
        <f>B3933+30</f>
        <v/>
      </c>
      <c r="N3933">
        <f>IF(L3933="", "", L3933-B3933)</f>
        <v/>
      </c>
      <c r="O3933">
        <f>IF(L3933="", "Pending", IF(N3933&lt;=30, "Met", "Breached"))</f>
        <v/>
      </c>
      <c r="P3933" s="8" t="n"/>
      <c r="Q3933" s="8" t="n"/>
      <c r="R3933" s="8" t="n"/>
      <c r="S3933" s="8" t="n"/>
      <c r="T3933" s="8" t="n"/>
      <c r="U3933" s="8" t="n"/>
      <c r="V3933" s="8" t="n"/>
      <c r="W3933" s="8" t="n"/>
      <c r="X3933" s="8" t="n"/>
      <c r="Y3933" s="8" t="n"/>
    </row>
    <row r="3934">
      <c r="A3934" s="8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9">
        <f>B3934+30</f>
        <v/>
      </c>
      <c r="N3934">
        <f>IF(L3934="", "", L3934-B3934)</f>
        <v/>
      </c>
      <c r="O3934">
        <f>IF(L3934="", "Pending", IF(N3934&lt;=30, "Met", "Breached"))</f>
        <v/>
      </c>
      <c r="P3934" s="8" t="n"/>
      <c r="Q3934" s="8" t="n"/>
      <c r="R3934" s="8" t="n"/>
      <c r="S3934" s="8" t="n"/>
      <c r="T3934" s="8" t="n"/>
      <c r="U3934" s="8" t="n"/>
      <c r="V3934" s="8" t="n"/>
      <c r="W3934" s="8" t="n"/>
      <c r="X3934" s="8" t="n"/>
      <c r="Y3934" s="8" t="n"/>
    </row>
    <row r="3935">
      <c r="A3935" s="8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9">
        <f>B3935+30</f>
        <v/>
      </c>
      <c r="N3935">
        <f>IF(L3935="", "", L3935-B3935)</f>
        <v/>
      </c>
      <c r="O3935">
        <f>IF(L3935="", "Pending", IF(N3935&lt;=30, "Met", "Breached"))</f>
        <v/>
      </c>
      <c r="P3935" s="8" t="n"/>
      <c r="Q3935" s="8" t="n"/>
      <c r="R3935" s="8" t="n"/>
      <c r="S3935" s="8" t="n"/>
      <c r="T3935" s="8" t="n"/>
      <c r="U3935" s="8" t="n"/>
      <c r="V3935" s="8" t="n"/>
      <c r="W3935" s="8" t="n"/>
      <c r="X3935" s="8" t="n"/>
      <c r="Y3935" s="8" t="n"/>
    </row>
    <row r="3936">
      <c r="A3936" s="8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9">
        <f>B3936+30</f>
        <v/>
      </c>
      <c r="N3936">
        <f>IF(L3936="", "", L3936-B3936)</f>
        <v/>
      </c>
      <c r="O3936">
        <f>IF(L3936="", "Pending", IF(N3936&lt;=30, "Met", "Breached"))</f>
        <v/>
      </c>
      <c r="P3936" s="8" t="n"/>
      <c r="Q3936" s="8" t="n"/>
      <c r="R3936" s="8" t="n"/>
      <c r="S3936" s="8" t="n"/>
      <c r="T3936" s="8" t="n"/>
      <c r="U3936" s="8" t="n"/>
      <c r="V3936" s="8" t="n"/>
      <c r="W3936" s="8" t="n"/>
      <c r="X3936" s="8" t="n"/>
      <c r="Y3936" s="8" t="n"/>
    </row>
    <row r="3937">
      <c r="A3937" s="8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9">
        <f>B3937+30</f>
        <v/>
      </c>
      <c r="N3937">
        <f>IF(L3937="", "", L3937-B3937)</f>
        <v/>
      </c>
      <c r="O3937">
        <f>IF(L3937="", "Pending", IF(N3937&lt;=30, "Met", "Breached"))</f>
        <v/>
      </c>
      <c r="P3937" s="8" t="n"/>
      <c r="Q3937" s="8" t="n"/>
      <c r="R3937" s="8" t="n"/>
      <c r="S3937" s="8" t="n"/>
      <c r="T3937" s="8" t="n"/>
      <c r="U3937" s="8" t="n"/>
      <c r="V3937" s="8" t="n"/>
      <c r="W3937" s="8" t="n"/>
      <c r="X3937" s="8" t="n"/>
      <c r="Y3937" s="8" t="n"/>
    </row>
    <row r="3938">
      <c r="A3938" s="8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9">
        <f>B3938+30</f>
        <v/>
      </c>
      <c r="N3938">
        <f>IF(L3938="", "", L3938-B3938)</f>
        <v/>
      </c>
      <c r="O3938">
        <f>IF(L3938="", "Pending", IF(N3938&lt;=30, "Met", "Breached"))</f>
        <v/>
      </c>
      <c r="P3938" s="8" t="n"/>
      <c r="Q3938" s="8" t="n"/>
      <c r="R3938" s="8" t="n"/>
      <c r="S3938" s="8" t="n"/>
      <c r="T3938" s="8" t="n"/>
      <c r="U3938" s="8" t="n"/>
      <c r="V3938" s="8" t="n"/>
      <c r="W3938" s="8" t="n"/>
      <c r="X3938" s="8" t="n"/>
      <c r="Y3938" s="8" t="n"/>
    </row>
    <row r="3939">
      <c r="A3939" s="8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9">
        <f>B3939+30</f>
        <v/>
      </c>
      <c r="N3939">
        <f>IF(L3939="", "", L3939-B3939)</f>
        <v/>
      </c>
      <c r="O3939">
        <f>IF(L3939="", "Pending", IF(N3939&lt;=30, "Met", "Breached"))</f>
        <v/>
      </c>
      <c r="P3939" s="8" t="n"/>
      <c r="Q3939" s="8" t="n"/>
      <c r="R3939" s="8" t="n"/>
      <c r="S3939" s="8" t="n"/>
      <c r="T3939" s="8" t="n"/>
      <c r="U3939" s="8" t="n"/>
      <c r="V3939" s="8" t="n"/>
      <c r="W3939" s="8" t="n"/>
      <c r="X3939" s="8" t="n"/>
      <c r="Y3939" s="8" t="n"/>
    </row>
    <row r="3940">
      <c r="A3940" s="8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9">
        <f>B3940+30</f>
        <v/>
      </c>
      <c r="N3940">
        <f>IF(L3940="", "", L3940-B3940)</f>
        <v/>
      </c>
      <c r="O3940">
        <f>IF(L3940="", "Pending", IF(N3940&lt;=30, "Met", "Breached"))</f>
        <v/>
      </c>
      <c r="P3940" s="8" t="n"/>
      <c r="Q3940" s="8" t="n"/>
      <c r="R3940" s="8" t="n"/>
      <c r="S3940" s="8" t="n"/>
      <c r="T3940" s="8" t="n"/>
      <c r="U3940" s="8" t="n"/>
      <c r="V3940" s="8" t="n"/>
      <c r="W3940" s="8" t="n"/>
      <c r="X3940" s="8" t="n"/>
      <c r="Y3940" s="8" t="n"/>
    </row>
    <row r="3941">
      <c r="A3941" s="8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9">
        <f>B3941+30</f>
        <v/>
      </c>
      <c r="N3941">
        <f>IF(L3941="", "", L3941-B3941)</f>
        <v/>
      </c>
      <c r="O3941">
        <f>IF(L3941="", "Pending", IF(N3941&lt;=30, "Met", "Breached"))</f>
        <v/>
      </c>
      <c r="P3941" s="8" t="n"/>
      <c r="Q3941" s="8" t="n"/>
      <c r="R3941" s="8" t="n"/>
      <c r="S3941" s="8" t="n"/>
      <c r="T3941" s="8" t="n"/>
      <c r="U3941" s="8" t="n"/>
      <c r="V3941" s="8" t="n"/>
      <c r="W3941" s="8" t="n"/>
      <c r="X3941" s="8" t="n"/>
      <c r="Y3941" s="8" t="n"/>
    </row>
    <row r="3942">
      <c r="A3942" s="8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9">
        <f>B3942+30</f>
        <v/>
      </c>
      <c r="N3942">
        <f>IF(L3942="", "", L3942-B3942)</f>
        <v/>
      </c>
      <c r="O3942">
        <f>IF(L3942="", "Pending", IF(N3942&lt;=30, "Met", "Breached"))</f>
        <v/>
      </c>
      <c r="P3942" s="8" t="n"/>
      <c r="Q3942" s="8" t="n"/>
      <c r="R3942" s="8" t="n"/>
      <c r="S3942" s="8" t="n"/>
      <c r="T3942" s="8" t="n"/>
      <c r="U3942" s="8" t="n"/>
      <c r="V3942" s="8" t="n"/>
      <c r="W3942" s="8" t="n"/>
      <c r="X3942" s="8" t="n"/>
      <c r="Y3942" s="8" t="n"/>
    </row>
    <row r="3943">
      <c r="A3943" s="8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9">
        <f>B3943+30</f>
        <v/>
      </c>
      <c r="N3943">
        <f>IF(L3943="", "", L3943-B3943)</f>
        <v/>
      </c>
      <c r="O3943">
        <f>IF(L3943="", "Pending", IF(N3943&lt;=30, "Met", "Breached"))</f>
        <v/>
      </c>
      <c r="P3943" s="8" t="n"/>
      <c r="Q3943" s="8" t="n"/>
      <c r="R3943" s="8" t="n"/>
      <c r="S3943" s="8" t="n"/>
      <c r="T3943" s="8" t="n"/>
      <c r="U3943" s="8" t="n"/>
      <c r="V3943" s="8" t="n"/>
      <c r="W3943" s="8" t="n"/>
      <c r="X3943" s="8" t="n"/>
      <c r="Y3943" s="8" t="n"/>
    </row>
    <row r="3944">
      <c r="A3944" s="8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9">
        <f>B3944+30</f>
        <v/>
      </c>
      <c r="N3944">
        <f>IF(L3944="", "", L3944-B3944)</f>
        <v/>
      </c>
      <c r="O3944">
        <f>IF(L3944="", "Pending", IF(N3944&lt;=30, "Met", "Breached"))</f>
        <v/>
      </c>
      <c r="P3944" s="8" t="n"/>
      <c r="Q3944" s="8" t="n"/>
      <c r="R3944" s="8" t="n"/>
      <c r="S3944" s="8" t="n"/>
      <c r="T3944" s="8" t="n"/>
      <c r="U3944" s="8" t="n"/>
      <c r="V3944" s="8" t="n"/>
      <c r="W3944" s="8" t="n"/>
      <c r="X3944" s="8" t="n"/>
      <c r="Y3944" s="8" t="n"/>
    </row>
    <row r="3945">
      <c r="A3945" s="8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9">
        <f>B3945+30</f>
        <v/>
      </c>
      <c r="N3945">
        <f>IF(L3945="", "", L3945-B3945)</f>
        <v/>
      </c>
      <c r="O3945">
        <f>IF(L3945="", "Pending", IF(N3945&lt;=30, "Met", "Breached"))</f>
        <v/>
      </c>
      <c r="P3945" s="8" t="n"/>
      <c r="Q3945" s="8" t="n"/>
      <c r="R3945" s="8" t="n"/>
      <c r="S3945" s="8" t="n"/>
      <c r="T3945" s="8" t="n"/>
      <c r="U3945" s="8" t="n"/>
      <c r="V3945" s="8" t="n"/>
      <c r="W3945" s="8" t="n"/>
      <c r="X3945" s="8" t="n"/>
      <c r="Y3945" s="8" t="n"/>
    </row>
    <row r="3946">
      <c r="A3946" s="8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9">
        <f>B3946+30</f>
        <v/>
      </c>
      <c r="N3946">
        <f>IF(L3946="", "", L3946-B3946)</f>
        <v/>
      </c>
      <c r="O3946">
        <f>IF(L3946="", "Pending", IF(N3946&lt;=30, "Met", "Breached"))</f>
        <v/>
      </c>
      <c r="P3946" s="8" t="n"/>
      <c r="Q3946" s="8" t="n"/>
      <c r="R3946" s="8" t="n"/>
      <c r="S3946" s="8" t="n"/>
      <c r="T3946" s="8" t="n"/>
      <c r="U3946" s="8" t="n"/>
      <c r="V3946" s="8" t="n"/>
      <c r="W3946" s="8" t="n"/>
      <c r="X3946" s="8" t="n"/>
      <c r="Y3946" s="8" t="n"/>
    </row>
    <row r="3947">
      <c r="A3947" s="8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9">
        <f>B3947+30</f>
        <v/>
      </c>
      <c r="N3947">
        <f>IF(L3947="", "", L3947-B3947)</f>
        <v/>
      </c>
      <c r="O3947">
        <f>IF(L3947="", "Pending", IF(N3947&lt;=30, "Met", "Breached"))</f>
        <v/>
      </c>
      <c r="P3947" s="8" t="n"/>
      <c r="Q3947" s="8" t="n"/>
      <c r="R3947" s="8" t="n"/>
      <c r="S3947" s="8" t="n"/>
      <c r="T3947" s="8" t="n"/>
      <c r="U3947" s="8" t="n"/>
      <c r="V3947" s="8" t="n"/>
      <c r="W3947" s="8" t="n"/>
      <c r="X3947" s="8" t="n"/>
      <c r="Y3947" s="8" t="n"/>
    </row>
    <row r="3948">
      <c r="A3948" s="8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9">
        <f>B3948+30</f>
        <v/>
      </c>
      <c r="N3948">
        <f>IF(L3948="", "", L3948-B3948)</f>
        <v/>
      </c>
      <c r="O3948">
        <f>IF(L3948="", "Pending", IF(N3948&lt;=30, "Met", "Breached"))</f>
        <v/>
      </c>
      <c r="P3948" s="8" t="n"/>
      <c r="Q3948" s="8" t="n"/>
      <c r="R3948" s="8" t="n"/>
      <c r="S3948" s="8" t="n"/>
      <c r="T3948" s="8" t="n"/>
      <c r="U3948" s="8" t="n"/>
      <c r="V3948" s="8" t="n"/>
      <c r="W3948" s="8" t="n"/>
      <c r="X3948" s="8" t="n"/>
      <c r="Y3948" s="8" t="n"/>
    </row>
    <row r="3949">
      <c r="A3949" s="8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9">
        <f>B3949+30</f>
        <v/>
      </c>
      <c r="N3949">
        <f>IF(L3949="", "", L3949-B3949)</f>
        <v/>
      </c>
      <c r="O3949">
        <f>IF(L3949="", "Pending", IF(N3949&lt;=30, "Met", "Breached"))</f>
        <v/>
      </c>
      <c r="P3949" s="8" t="n"/>
      <c r="Q3949" s="8" t="n"/>
      <c r="R3949" s="8" t="n"/>
      <c r="S3949" s="8" t="n"/>
      <c r="T3949" s="8" t="n"/>
      <c r="U3949" s="8" t="n"/>
      <c r="V3949" s="8" t="n"/>
      <c r="W3949" s="8" t="n"/>
      <c r="X3949" s="8" t="n"/>
      <c r="Y3949" s="8" t="n"/>
    </row>
    <row r="3950">
      <c r="A3950" s="8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9">
        <f>B3950+30</f>
        <v/>
      </c>
      <c r="N3950">
        <f>IF(L3950="", "", L3950-B3950)</f>
        <v/>
      </c>
      <c r="O3950">
        <f>IF(L3950="", "Pending", IF(N3950&lt;=30, "Met", "Breached"))</f>
        <v/>
      </c>
      <c r="P3950" s="8" t="n"/>
      <c r="Q3950" s="8" t="n"/>
      <c r="R3950" s="8" t="n"/>
      <c r="S3950" s="8" t="n"/>
      <c r="T3950" s="8" t="n"/>
      <c r="U3950" s="8" t="n"/>
      <c r="V3950" s="8" t="n"/>
      <c r="W3950" s="8" t="n"/>
      <c r="X3950" s="8" t="n"/>
      <c r="Y3950" s="8" t="n"/>
    </row>
    <row r="3951">
      <c r="A3951" s="8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9">
        <f>B3951+30</f>
        <v/>
      </c>
      <c r="N3951">
        <f>IF(L3951="", "", L3951-B3951)</f>
        <v/>
      </c>
      <c r="O3951">
        <f>IF(L3951="", "Pending", IF(N3951&lt;=30, "Met", "Breached"))</f>
        <v/>
      </c>
      <c r="P3951" s="8" t="n"/>
      <c r="Q3951" s="8" t="n"/>
      <c r="R3951" s="8" t="n"/>
      <c r="S3951" s="8" t="n"/>
      <c r="T3951" s="8" t="n"/>
      <c r="U3951" s="8" t="n"/>
      <c r="V3951" s="8" t="n"/>
      <c r="W3951" s="8" t="n"/>
      <c r="X3951" s="8" t="n"/>
      <c r="Y3951" s="8" t="n"/>
    </row>
    <row r="3952">
      <c r="A3952" s="8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9">
        <f>B3952+30</f>
        <v/>
      </c>
      <c r="N3952">
        <f>IF(L3952="", "", L3952-B3952)</f>
        <v/>
      </c>
      <c r="O3952">
        <f>IF(L3952="", "Pending", IF(N3952&lt;=30, "Met", "Breached"))</f>
        <v/>
      </c>
      <c r="P3952" s="8" t="n"/>
      <c r="Q3952" s="8" t="n"/>
      <c r="R3952" s="8" t="n"/>
      <c r="S3952" s="8" t="n"/>
      <c r="T3952" s="8" t="n"/>
      <c r="U3952" s="8" t="n"/>
      <c r="V3952" s="8" t="n"/>
      <c r="W3952" s="8" t="n"/>
      <c r="X3952" s="8" t="n"/>
      <c r="Y3952" s="8" t="n"/>
    </row>
    <row r="3953">
      <c r="A3953" s="8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9">
        <f>B3953+30</f>
        <v/>
      </c>
      <c r="N3953">
        <f>IF(L3953="", "", L3953-B3953)</f>
        <v/>
      </c>
      <c r="O3953">
        <f>IF(L3953="", "Pending", IF(N3953&lt;=30, "Met", "Breached"))</f>
        <v/>
      </c>
      <c r="P3953" s="8" t="n"/>
      <c r="Q3953" s="8" t="n"/>
      <c r="R3953" s="8" t="n"/>
      <c r="S3953" s="8" t="n"/>
      <c r="T3953" s="8" t="n"/>
      <c r="U3953" s="8" t="n"/>
      <c r="V3953" s="8" t="n"/>
      <c r="W3953" s="8" t="n"/>
      <c r="X3953" s="8" t="n"/>
      <c r="Y3953" s="8" t="n"/>
    </row>
    <row r="3954">
      <c r="A3954" s="8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9">
        <f>B3954+30</f>
        <v/>
      </c>
      <c r="N3954">
        <f>IF(L3954="", "", L3954-B3954)</f>
        <v/>
      </c>
      <c r="O3954">
        <f>IF(L3954="", "Pending", IF(N3954&lt;=30, "Met", "Breached"))</f>
        <v/>
      </c>
      <c r="P3954" s="8" t="n"/>
      <c r="Q3954" s="8" t="n"/>
      <c r="R3954" s="8" t="n"/>
      <c r="S3954" s="8" t="n"/>
      <c r="T3954" s="8" t="n"/>
      <c r="U3954" s="8" t="n"/>
      <c r="V3954" s="8" t="n"/>
      <c r="W3954" s="8" t="n"/>
      <c r="X3954" s="8" t="n"/>
      <c r="Y3954" s="8" t="n"/>
    </row>
    <row r="3955">
      <c r="A3955" s="8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9">
        <f>B3955+30</f>
        <v/>
      </c>
      <c r="N3955">
        <f>IF(L3955="", "", L3955-B3955)</f>
        <v/>
      </c>
      <c r="O3955">
        <f>IF(L3955="", "Pending", IF(N3955&lt;=30, "Met", "Breached"))</f>
        <v/>
      </c>
      <c r="P3955" s="8" t="n"/>
      <c r="Q3955" s="8" t="n"/>
      <c r="R3955" s="8" t="n"/>
      <c r="S3955" s="8" t="n"/>
      <c r="T3955" s="8" t="n"/>
      <c r="U3955" s="8" t="n"/>
      <c r="V3955" s="8" t="n"/>
      <c r="W3955" s="8" t="n"/>
      <c r="X3955" s="8" t="n"/>
      <c r="Y3955" s="8" t="n"/>
    </row>
    <row r="3956">
      <c r="A3956" s="8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9">
        <f>B3956+30</f>
        <v/>
      </c>
      <c r="N3956">
        <f>IF(L3956="", "", L3956-B3956)</f>
        <v/>
      </c>
      <c r="O3956">
        <f>IF(L3956="", "Pending", IF(N3956&lt;=30, "Met", "Breached"))</f>
        <v/>
      </c>
      <c r="P3956" s="8" t="n"/>
      <c r="Q3956" s="8" t="n"/>
      <c r="R3956" s="8" t="n"/>
      <c r="S3956" s="8" t="n"/>
      <c r="T3956" s="8" t="n"/>
      <c r="U3956" s="8" t="n"/>
      <c r="V3956" s="8" t="n"/>
      <c r="W3956" s="8" t="n"/>
      <c r="X3956" s="8" t="n"/>
      <c r="Y3956" s="8" t="n"/>
    </row>
    <row r="3957">
      <c r="A3957" s="8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9">
        <f>B3957+30</f>
        <v/>
      </c>
      <c r="N3957">
        <f>IF(L3957="", "", L3957-B3957)</f>
        <v/>
      </c>
      <c r="O3957">
        <f>IF(L3957="", "Pending", IF(N3957&lt;=30, "Met", "Breached"))</f>
        <v/>
      </c>
      <c r="P3957" s="8" t="n"/>
      <c r="Q3957" s="8" t="n"/>
      <c r="R3957" s="8" t="n"/>
      <c r="S3957" s="8" t="n"/>
      <c r="T3957" s="8" t="n"/>
      <c r="U3957" s="8" t="n"/>
      <c r="V3957" s="8" t="n"/>
      <c r="W3957" s="8" t="n"/>
      <c r="X3957" s="8" t="n"/>
      <c r="Y3957" s="8" t="n"/>
    </row>
    <row r="3958">
      <c r="A3958" s="8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9">
        <f>B3958+30</f>
        <v/>
      </c>
      <c r="N3958">
        <f>IF(L3958="", "", L3958-B3958)</f>
        <v/>
      </c>
      <c r="O3958">
        <f>IF(L3958="", "Pending", IF(N3958&lt;=30, "Met", "Breached"))</f>
        <v/>
      </c>
      <c r="P3958" s="8" t="n"/>
      <c r="Q3958" s="8" t="n"/>
      <c r="R3958" s="8" t="n"/>
      <c r="S3958" s="8" t="n"/>
      <c r="T3958" s="8" t="n"/>
      <c r="U3958" s="8" t="n"/>
      <c r="V3958" s="8" t="n"/>
      <c r="W3958" s="8" t="n"/>
      <c r="X3958" s="8" t="n"/>
      <c r="Y3958" s="8" t="n"/>
    </row>
    <row r="3959">
      <c r="A3959" s="8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9">
        <f>B3959+30</f>
        <v/>
      </c>
      <c r="N3959">
        <f>IF(L3959="", "", L3959-B3959)</f>
        <v/>
      </c>
      <c r="O3959">
        <f>IF(L3959="", "Pending", IF(N3959&lt;=30, "Met", "Breached"))</f>
        <v/>
      </c>
      <c r="P3959" s="8" t="n"/>
      <c r="Q3959" s="8" t="n"/>
      <c r="R3959" s="8" t="n"/>
      <c r="S3959" s="8" t="n"/>
      <c r="T3959" s="8" t="n"/>
      <c r="U3959" s="8" t="n"/>
      <c r="V3959" s="8" t="n"/>
      <c r="W3959" s="8" t="n"/>
      <c r="X3959" s="8" t="n"/>
      <c r="Y3959" s="8" t="n"/>
    </row>
    <row r="3960">
      <c r="A3960" s="8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9">
        <f>B3960+30</f>
        <v/>
      </c>
      <c r="N3960">
        <f>IF(L3960="", "", L3960-B3960)</f>
        <v/>
      </c>
      <c r="O3960">
        <f>IF(L3960="", "Pending", IF(N3960&lt;=30, "Met", "Breached"))</f>
        <v/>
      </c>
      <c r="P3960" s="8" t="n"/>
      <c r="Q3960" s="8" t="n"/>
      <c r="R3960" s="8" t="n"/>
      <c r="S3960" s="8" t="n"/>
      <c r="T3960" s="8" t="n"/>
      <c r="U3960" s="8" t="n"/>
      <c r="V3960" s="8" t="n"/>
      <c r="W3960" s="8" t="n"/>
      <c r="X3960" s="8" t="n"/>
      <c r="Y3960" s="8" t="n"/>
    </row>
    <row r="3961">
      <c r="A3961" s="8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9">
        <f>B3961+30</f>
        <v/>
      </c>
      <c r="N3961">
        <f>IF(L3961="", "", L3961-B3961)</f>
        <v/>
      </c>
      <c r="O3961">
        <f>IF(L3961="", "Pending", IF(N3961&lt;=30, "Met", "Breached"))</f>
        <v/>
      </c>
      <c r="P3961" s="8" t="n"/>
      <c r="Q3961" s="8" t="n"/>
      <c r="R3961" s="8" t="n"/>
      <c r="S3961" s="8" t="n"/>
      <c r="T3961" s="8" t="n"/>
      <c r="U3961" s="8" t="n"/>
      <c r="V3961" s="8" t="n"/>
      <c r="W3961" s="8" t="n"/>
      <c r="X3961" s="8" t="n"/>
      <c r="Y3961" s="8" t="n"/>
    </row>
    <row r="3962">
      <c r="A3962" s="8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9">
        <f>B3962+30</f>
        <v/>
      </c>
      <c r="N3962">
        <f>IF(L3962="", "", L3962-B3962)</f>
        <v/>
      </c>
      <c r="O3962">
        <f>IF(L3962="", "Pending", IF(N3962&lt;=30, "Met", "Breached"))</f>
        <v/>
      </c>
      <c r="P3962" s="8" t="n"/>
      <c r="Q3962" s="8" t="n"/>
      <c r="R3962" s="8" t="n"/>
      <c r="S3962" s="8" t="n"/>
      <c r="T3962" s="8" t="n"/>
      <c r="U3962" s="8" t="n"/>
      <c r="V3962" s="8" t="n"/>
      <c r="W3962" s="8" t="n"/>
      <c r="X3962" s="8" t="n"/>
      <c r="Y3962" s="8" t="n"/>
    </row>
    <row r="3963">
      <c r="A3963" s="8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9">
        <f>B3963+30</f>
        <v/>
      </c>
      <c r="N3963">
        <f>IF(L3963="", "", L3963-B3963)</f>
        <v/>
      </c>
      <c r="O3963">
        <f>IF(L3963="", "Pending", IF(N3963&lt;=30, "Met", "Breached"))</f>
        <v/>
      </c>
      <c r="P3963" s="8" t="n"/>
      <c r="Q3963" s="8" t="n"/>
      <c r="R3963" s="8" t="n"/>
      <c r="S3963" s="8" t="n"/>
      <c r="T3963" s="8" t="n"/>
      <c r="U3963" s="8" t="n"/>
      <c r="V3963" s="8" t="n"/>
      <c r="W3963" s="8" t="n"/>
      <c r="X3963" s="8" t="n"/>
      <c r="Y3963" s="8" t="n"/>
    </row>
    <row r="3964">
      <c r="A3964" s="8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9">
        <f>B3964+30</f>
        <v/>
      </c>
      <c r="N3964">
        <f>IF(L3964="", "", L3964-B3964)</f>
        <v/>
      </c>
      <c r="O3964">
        <f>IF(L3964="", "Pending", IF(N3964&lt;=30, "Met", "Breached"))</f>
        <v/>
      </c>
      <c r="P3964" s="8" t="n"/>
      <c r="Q3964" s="8" t="n"/>
      <c r="R3964" s="8" t="n"/>
      <c r="S3964" s="8" t="n"/>
      <c r="T3964" s="8" t="n"/>
      <c r="U3964" s="8" t="n"/>
      <c r="V3964" s="8" t="n"/>
      <c r="W3964" s="8" t="n"/>
      <c r="X3964" s="8" t="n"/>
      <c r="Y3964" s="8" t="n"/>
    </row>
    <row r="3965">
      <c r="A3965" s="8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9">
        <f>B3965+30</f>
        <v/>
      </c>
      <c r="N3965">
        <f>IF(L3965="", "", L3965-B3965)</f>
        <v/>
      </c>
      <c r="O3965">
        <f>IF(L3965="", "Pending", IF(N3965&lt;=30, "Met", "Breached"))</f>
        <v/>
      </c>
      <c r="P3965" s="8" t="n"/>
      <c r="Q3965" s="8" t="n"/>
      <c r="R3965" s="8" t="n"/>
      <c r="S3965" s="8" t="n"/>
      <c r="T3965" s="8" t="n"/>
      <c r="U3965" s="8" t="n"/>
      <c r="V3965" s="8" t="n"/>
      <c r="W3965" s="8" t="n"/>
      <c r="X3965" s="8" t="n"/>
      <c r="Y3965" s="8" t="n"/>
    </row>
    <row r="3966">
      <c r="A3966" s="8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9">
        <f>B3966+30</f>
        <v/>
      </c>
      <c r="N3966">
        <f>IF(L3966="", "", L3966-B3966)</f>
        <v/>
      </c>
      <c r="O3966">
        <f>IF(L3966="", "Pending", IF(N3966&lt;=30, "Met", "Breached"))</f>
        <v/>
      </c>
      <c r="P3966" s="8" t="n"/>
      <c r="Q3966" s="8" t="n"/>
      <c r="R3966" s="8" t="n"/>
      <c r="S3966" s="8" t="n"/>
      <c r="T3966" s="8" t="n"/>
      <c r="U3966" s="8" t="n"/>
      <c r="V3966" s="8" t="n"/>
      <c r="W3966" s="8" t="n"/>
      <c r="X3966" s="8" t="n"/>
      <c r="Y3966" s="8" t="n"/>
    </row>
    <row r="3967">
      <c r="A3967" s="8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9">
        <f>B3967+30</f>
        <v/>
      </c>
      <c r="N3967">
        <f>IF(L3967="", "", L3967-B3967)</f>
        <v/>
      </c>
      <c r="O3967">
        <f>IF(L3967="", "Pending", IF(N3967&lt;=30, "Met", "Breached"))</f>
        <v/>
      </c>
      <c r="P3967" s="8" t="n"/>
      <c r="Q3967" s="8" t="n"/>
      <c r="R3967" s="8" t="n"/>
      <c r="S3967" s="8" t="n"/>
      <c r="T3967" s="8" t="n"/>
      <c r="U3967" s="8" t="n"/>
      <c r="V3967" s="8" t="n"/>
      <c r="W3967" s="8" t="n"/>
      <c r="X3967" s="8" t="n"/>
      <c r="Y3967" s="8" t="n"/>
    </row>
    <row r="3968">
      <c r="A3968" s="8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9">
        <f>B3968+30</f>
        <v/>
      </c>
      <c r="N3968">
        <f>IF(L3968="", "", L3968-B3968)</f>
        <v/>
      </c>
      <c r="O3968">
        <f>IF(L3968="", "Pending", IF(N3968&lt;=30, "Met", "Breached"))</f>
        <v/>
      </c>
      <c r="P3968" s="8" t="n"/>
      <c r="Q3968" s="8" t="n"/>
      <c r="R3968" s="8" t="n"/>
      <c r="S3968" s="8" t="n"/>
      <c r="T3968" s="8" t="n"/>
      <c r="U3968" s="8" t="n"/>
      <c r="V3968" s="8" t="n"/>
      <c r="W3968" s="8" t="n"/>
      <c r="X3968" s="8" t="n"/>
      <c r="Y3968" s="8" t="n"/>
    </row>
    <row r="3969">
      <c r="A3969" s="8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9">
        <f>B3969+30</f>
        <v/>
      </c>
      <c r="N3969">
        <f>IF(L3969="", "", L3969-B3969)</f>
        <v/>
      </c>
      <c r="O3969">
        <f>IF(L3969="", "Pending", IF(N3969&lt;=30, "Met", "Breached"))</f>
        <v/>
      </c>
      <c r="P3969" s="8" t="n"/>
      <c r="Q3969" s="8" t="n"/>
      <c r="R3969" s="8" t="n"/>
      <c r="S3969" s="8" t="n"/>
      <c r="T3969" s="8" t="n"/>
      <c r="U3969" s="8" t="n"/>
      <c r="V3969" s="8" t="n"/>
      <c r="W3969" s="8" t="n"/>
      <c r="X3969" s="8" t="n"/>
      <c r="Y3969" s="8" t="n"/>
    </row>
    <row r="3970">
      <c r="A3970" s="8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9">
        <f>B3970+30</f>
        <v/>
      </c>
      <c r="N3970">
        <f>IF(L3970="", "", L3970-B3970)</f>
        <v/>
      </c>
      <c r="O3970">
        <f>IF(L3970="", "Pending", IF(N3970&lt;=30, "Met", "Breached"))</f>
        <v/>
      </c>
      <c r="P3970" s="8" t="n"/>
      <c r="Q3970" s="8" t="n"/>
      <c r="R3970" s="8" t="n"/>
      <c r="S3970" s="8" t="n"/>
      <c r="T3970" s="8" t="n"/>
      <c r="U3970" s="8" t="n"/>
      <c r="V3970" s="8" t="n"/>
      <c r="W3970" s="8" t="n"/>
      <c r="X3970" s="8" t="n"/>
      <c r="Y3970" s="8" t="n"/>
    </row>
    <row r="3971">
      <c r="A3971" s="8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9">
        <f>B3971+30</f>
        <v/>
      </c>
      <c r="N3971">
        <f>IF(L3971="", "", L3971-B3971)</f>
        <v/>
      </c>
      <c r="O3971">
        <f>IF(L3971="", "Pending", IF(N3971&lt;=30, "Met", "Breached"))</f>
        <v/>
      </c>
      <c r="P3971" s="8" t="n"/>
      <c r="Q3971" s="8" t="n"/>
      <c r="R3971" s="8" t="n"/>
      <c r="S3971" s="8" t="n"/>
      <c r="T3971" s="8" t="n"/>
      <c r="U3971" s="8" t="n"/>
      <c r="V3971" s="8" t="n"/>
      <c r="W3971" s="8" t="n"/>
      <c r="X3971" s="8" t="n"/>
      <c r="Y3971" s="8" t="n"/>
    </row>
    <row r="3972">
      <c r="A3972" s="8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9">
        <f>B3972+30</f>
        <v/>
      </c>
      <c r="N3972">
        <f>IF(L3972="", "", L3972-B3972)</f>
        <v/>
      </c>
      <c r="O3972">
        <f>IF(L3972="", "Pending", IF(N3972&lt;=30, "Met", "Breached"))</f>
        <v/>
      </c>
      <c r="P3972" s="8" t="n"/>
      <c r="Q3972" s="8" t="n"/>
      <c r="R3972" s="8" t="n"/>
      <c r="S3972" s="8" t="n"/>
      <c r="T3972" s="8" t="n"/>
      <c r="U3972" s="8" t="n"/>
      <c r="V3972" s="8" t="n"/>
      <c r="W3972" s="8" t="n"/>
      <c r="X3972" s="8" t="n"/>
      <c r="Y3972" s="8" t="n"/>
    </row>
    <row r="3973">
      <c r="A3973" s="8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9">
        <f>B3973+30</f>
        <v/>
      </c>
      <c r="N3973">
        <f>IF(L3973="", "", L3973-B3973)</f>
        <v/>
      </c>
      <c r="O3973">
        <f>IF(L3973="", "Pending", IF(N3973&lt;=30, "Met", "Breached"))</f>
        <v/>
      </c>
      <c r="P3973" s="8" t="n"/>
      <c r="Q3973" s="8" t="n"/>
      <c r="R3973" s="8" t="n"/>
      <c r="S3973" s="8" t="n"/>
      <c r="T3973" s="8" t="n"/>
      <c r="U3973" s="8" t="n"/>
      <c r="V3973" s="8" t="n"/>
      <c r="W3973" s="8" t="n"/>
      <c r="X3973" s="8" t="n"/>
      <c r="Y3973" s="8" t="n"/>
    </row>
    <row r="3974">
      <c r="A3974" s="8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9">
        <f>B3974+30</f>
        <v/>
      </c>
      <c r="N3974">
        <f>IF(L3974="", "", L3974-B3974)</f>
        <v/>
      </c>
      <c r="O3974">
        <f>IF(L3974="", "Pending", IF(N3974&lt;=30, "Met", "Breached"))</f>
        <v/>
      </c>
      <c r="P3974" s="8" t="n"/>
      <c r="Q3974" s="8" t="n"/>
      <c r="R3974" s="8" t="n"/>
      <c r="S3974" s="8" t="n"/>
      <c r="T3974" s="8" t="n"/>
      <c r="U3974" s="8" t="n"/>
      <c r="V3974" s="8" t="n"/>
      <c r="W3974" s="8" t="n"/>
      <c r="X3974" s="8" t="n"/>
      <c r="Y3974" s="8" t="n"/>
    </row>
    <row r="3975">
      <c r="A3975" s="8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9">
        <f>B3975+30</f>
        <v/>
      </c>
      <c r="N3975">
        <f>IF(L3975="", "", L3975-B3975)</f>
        <v/>
      </c>
      <c r="O3975">
        <f>IF(L3975="", "Pending", IF(N3975&lt;=30, "Met", "Breached"))</f>
        <v/>
      </c>
      <c r="P3975" s="8" t="n"/>
      <c r="Q3975" s="8" t="n"/>
      <c r="R3975" s="8" t="n"/>
      <c r="S3975" s="8" t="n"/>
      <c r="T3975" s="8" t="n"/>
      <c r="U3975" s="8" t="n"/>
      <c r="V3975" s="8" t="n"/>
      <c r="W3975" s="8" t="n"/>
      <c r="X3975" s="8" t="n"/>
      <c r="Y3975" s="8" t="n"/>
    </row>
    <row r="3976">
      <c r="A3976" s="8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9">
        <f>B3976+30</f>
        <v/>
      </c>
      <c r="N3976">
        <f>IF(L3976="", "", L3976-B3976)</f>
        <v/>
      </c>
      <c r="O3976">
        <f>IF(L3976="", "Pending", IF(N3976&lt;=30, "Met", "Breached"))</f>
        <v/>
      </c>
      <c r="P3976" s="8" t="n"/>
      <c r="Q3976" s="8" t="n"/>
      <c r="R3976" s="8" t="n"/>
      <c r="S3976" s="8" t="n"/>
      <c r="T3976" s="8" t="n"/>
      <c r="U3976" s="8" t="n"/>
      <c r="V3976" s="8" t="n"/>
      <c r="W3976" s="8" t="n"/>
      <c r="X3976" s="8" t="n"/>
      <c r="Y3976" s="8" t="n"/>
    </row>
    <row r="3977">
      <c r="A3977" s="8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9">
        <f>B3977+30</f>
        <v/>
      </c>
      <c r="N3977">
        <f>IF(L3977="", "", L3977-B3977)</f>
        <v/>
      </c>
      <c r="O3977">
        <f>IF(L3977="", "Pending", IF(N3977&lt;=30, "Met", "Breached"))</f>
        <v/>
      </c>
      <c r="P3977" s="8" t="n"/>
      <c r="Q3977" s="8" t="n"/>
      <c r="R3977" s="8" t="n"/>
      <c r="S3977" s="8" t="n"/>
      <c r="T3977" s="8" t="n"/>
      <c r="U3977" s="8" t="n"/>
      <c r="V3977" s="8" t="n"/>
      <c r="W3977" s="8" t="n"/>
      <c r="X3977" s="8" t="n"/>
      <c r="Y3977" s="8" t="n"/>
    </row>
    <row r="3978">
      <c r="A3978" s="8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9">
        <f>B3978+30</f>
        <v/>
      </c>
      <c r="N3978">
        <f>IF(L3978="", "", L3978-B3978)</f>
        <v/>
      </c>
      <c r="O3978">
        <f>IF(L3978="", "Pending", IF(N3978&lt;=30, "Met", "Breached"))</f>
        <v/>
      </c>
      <c r="P3978" s="8" t="n"/>
      <c r="Q3978" s="8" t="n"/>
      <c r="R3978" s="8" t="n"/>
      <c r="S3978" s="8" t="n"/>
      <c r="T3978" s="8" t="n"/>
      <c r="U3978" s="8" t="n"/>
      <c r="V3978" s="8" t="n"/>
      <c r="W3978" s="8" t="n"/>
      <c r="X3978" s="8" t="n"/>
      <c r="Y3978" s="8" t="n"/>
    </row>
    <row r="3979">
      <c r="A3979" s="8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9">
        <f>B3979+30</f>
        <v/>
      </c>
      <c r="N3979">
        <f>IF(L3979="", "", L3979-B3979)</f>
        <v/>
      </c>
      <c r="O3979">
        <f>IF(L3979="", "Pending", IF(N3979&lt;=30, "Met", "Breached"))</f>
        <v/>
      </c>
      <c r="P3979" s="8" t="n"/>
      <c r="Q3979" s="8" t="n"/>
      <c r="R3979" s="8" t="n"/>
      <c r="S3979" s="8" t="n"/>
      <c r="T3979" s="8" t="n"/>
      <c r="U3979" s="8" t="n"/>
      <c r="V3979" s="8" t="n"/>
      <c r="W3979" s="8" t="n"/>
      <c r="X3979" s="8" t="n"/>
      <c r="Y3979" s="8" t="n"/>
    </row>
    <row r="3980">
      <c r="A3980" s="8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9">
        <f>B3980+30</f>
        <v/>
      </c>
      <c r="N3980">
        <f>IF(L3980="", "", L3980-B3980)</f>
        <v/>
      </c>
      <c r="O3980">
        <f>IF(L3980="", "Pending", IF(N3980&lt;=30, "Met", "Breached"))</f>
        <v/>
      </c>
      <c r="P3980" s="8" t="n"/>
      <c r="Q3980" s="8" t="n"/>
      <c r="R3980" s="8" t="n"/>
      <c r="S3980" s="8" t="n"/>
      <c r="T3980" s="8" t="n"/>
      <c r="U3980" s="8" t="n"/>
      <c r="V3980" s="8" t="n"/>
      <c r="W3980" s="8" t="n"/>
      <c r="X3980" s="8" t="n"/>
      <c r="Y3980" s="8" t="n"/>
    </row>
    <row r="3981">
      <c r="A3981" s="8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9">
        <f>B3981+30</f>
        <v/>
      </c>
      <c r="N3981">
        <f>IF(L3981="", "", L3981-B3981)</f>
        <v/>
      </c>
      <c r="O3981">
        <f>IF(L3981="", "Pending", IF(N3981&lt;=30, "Met", "Breached"))</f>
        <v/>
      </c>
      <c r="P3981" s="8" t="n"/>
      <c r="Q3981" s="8" t="n"/>
      <c r="R3981" s="8" t="n"/>
      <c r="S3981" s="8" t="n"/>
      <c r="T3981" s="8" t="n"/>
      <c r="U3981" s="8" t="n"/>
      <c r="V3981" s="8" t="n"/>
      <c r="W3981" s="8" t="n"/>
      <c r="X3981" s="8" t="n"/>
      <c r="Y3981" s="8" t="n"/>
    </row>
    <row r="3982">
      <c r="A3982" s="8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9">
        <f>B3982+30</f>
        <v/>
      </c>
      <c r="N3982">
        <f>IF(L3982="", "", L3982-B3982)</f>
        <v/>
      </c>
      <c r="O3982">
        <f>IF(L3982="", "Pending", IF(N3982&lt;=30, "Met", "Breached"))</f>
        <v/>
      </c>
      <c r="P3982" s="8" t="n"/>
      <c r="Q3982" s="8" t="n"/>
      <c r="R3982" s="8" t="n"/>
      <c r="S3982" s="8" t="n"/>
      <c r="T3982" s="8" t="n"/>
      <c r="U3982" s="8" t="n"/>
      <c r="V3982" s="8" t="n"/>
      <c r="W3982" s="8" t="n"/>
      <c r="X3982" s="8" t="n"/>
      <c r="Y3982" s="8" t="n"/>
    </row>
    <row r="3983">
      <c r="A3983" s="8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9">
        <f>B3983+30</f>
        <v/>
      </c>
      <c r="N3983">
        <f>IF(L3983="", "", L3983-B3983)</f>
        <v/>
      </c>
      <c r="O3983">
        <f>IF(L3983="", "Pending", IF(N3983&lt;=30, "Met", "Breached"))</f>
        <v/>
      </c>
      <c r="P3983" s="8" t="n"/>
      <c r="Q3983" s="8" t="n"/>
      <c r="R3983" s="8" t="n"/>
      <c r="S3983" s="8" t="n"/>
      <c r="T3983" s="8" t="n"/>
      <c r="U3983" s="8" t="n"/>
      <c r="V3983" s="8" t="n"/>
      <c r="W3983" s="8" t="n"/>
      <c r="X3983" s="8" t="n"/>
      <c r="Y3983" s="8" t="n"/>
    </row>
    <row r="3984">
      <c r="A3984" s="8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9">
        <f>B3984+30</f>
        <v/>
      </c>
      <c r="N3984">
        <f>IF(L3984="", "", L3984-B3984)</f>
        <v/>
      </c>
      <c r="O3984">
        <f>IF(L3984="", "Pending", IF(N3984&lt;=30, "Met", "Breached"))</f>
        <v/>
      </c>
      <c r="P3984" s="8" t="n"/>
      <c r="Q3984" s="8" t="n"/>
      <c r="R3984" s="8" t="n"/>
      <c r="S3984" s="8" t="n"/>
      <c r="T3984" s="8" t="n"/>
      <c r="U3984" s="8" t="n"/>
      <c r="V3984" s="8" t="n"/>
      <c r="W3984" s="8" t="n"/>
      <c r="X3984" s="8" t="n"/>
      <c r="Y3984" s="8" t="n"/>
    </row>
    <row r="3985">
      <c r="A3985" s="8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9">
        <f>B3985+30</f>
        <v/>
      </c>
      <c r="N3985">
        <f>IF(L3985="", "", L3985-B3985)</f>
        <v/>
      </c>
      <c r="O3985">
        <f>IF(L3985="", "Pending", IF(N3985&lt;=30, "Met", "Breached"))</f>
        <v/>
      </c>
      <c r="P3985" s="8" t="n"/>
      <c r="Q3985" s="8" t="n"/>
      <c r="R3985" s="8" t="n"/>
      <c r="S3985" s="8" t="n"/>
      <c r="T3985" s="8" t="n"/>
      <c r="U3985" s="8" t="n"/>
      <c r="V3985" s="8" t="n"/>
      <c r="W3985" s="8" t="n"/>
      <c r="X3985" s="8" t="n"/>
      <c r="Y3985" s="8" t="n"/>
    </row>
    <row r="3986">
      <c r="A3986" s="8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9">
        <f>B3986+30</f>
        <v/>
      </c>
      <c r="N3986">
        <f>IF(L3986="", "", L3986-B3986)</f>
        <v/>
      </c>
      <c r="O3986">
        <f>IF(L3986="", "Pending", IF(N3986&lt;=30, "Met", "Breached"))</f>
        <v/>
      </c>
      <c r="P3986" s="8" t="n"/>
      <c r="Q3986" s="8" t="n"/>
      <c r="R3986" s="8" t="n"/>
      <c r="S3986" s="8" t="n"/>
      <c r="T3986" s="8" t="n"/>
      <c r="U3986" s="8" t="n"/>
      <c r="V3986" s="8" t="n"/>
      <c r="W3986" s="8" t="n"/>
      <c r="X3986" s="8" t="n"/>
      <c r="Y3986" s="8" t="n"/>
    </row>
    <row r="3987">
      <c r="A3987" s="8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9">
        <f>B3987+30</f>
        <v/>
      </c>
      <c r="N3987">
        <f>IF(L3987="", "", L3987-B3987)</f>
        <v/>
      </c>
      <c r="O3987">
        <f>IF(L3987="", "Pending", IF(N3987&lt;=30, "Met", "Breached"))</f>
        <v/>
      </c>
      <c r="P3987" s="8" t="n"/>
      <c r="Q3987" s="8" t="n"/>
      <c r="R3987" s="8" t="n"/>
      <c r="S3987" s="8" t="n"/>
      <c r="T3987" s="8" t="n"/>
      <c r="U3987" s="8" t="n"/>
      <c r="V3987" s="8" t="n"/>
      <c r="W3987" s="8" t="n"/>
      <c r="X3987" s="8" t="n"/>
      <c r="Y3987" s="8" t="n"/>
    </row>
    <row r="3988">
      <c r="A3988" s="8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9">
        <f>B3988+30</f>
        <v/>
      </c>
      <c r="N3988">
        <f>IF(L3988="", "", L3988-B3988)</f>
        <v/>
      </c>
      <c r="O3988">
        <f>IF(L3988="", "Pending", IF(N3988&lt;=30, "Met", "Breached"))</f>
        <v/>
      </c>
      <c r="P3988" s="8" t="n"/>
      <c r="Q3988" s="8" t="n"/>
      <c r="R3988" s="8" t="n"/>
      <c r="S3988" s="8" t="n"/>
      <c r="T3988" s="8" t="n"/>
      <c r="U3988" s="8" t="n"/>
      <c r="V3988" s="8" t="n"/>
      <c r="W3988" s="8" t="n"/>
      <c r="X3988" s="8" t="n"/>
      <c r="Y3988" s="8" t="n"/>
    </row>
    <row r="3989">
      <c r="A3989" s="8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9">
        <f>B3989+30</f>
        <v/>
      </c>
      <c r="N3989">
        <f>IF(L3989="", "", L3989-B3989)</f>
        <v/>
      </c>
      <c r="O3989">
        <f>IF(L3989="", "Pending", IF(N3989&lt;=30, "Met", "Breached"))</f>
        <v/>
      </c>
      <c r="P3989" s="8" t="n"/>
      <c r="Q3989" s="8" t="n"/>
      <c r="R3989" s="8" t="n"/>
      <c r="S3989" s="8" t="n"/>
      <c r="T3989" s="8" t="n"/>
      <c r="U3989" s="8" t="n"/>
      <c r="V3989" s="8" t="n"/>
      <c r="W3989" s="8" t="n"/>
      <c r="X3989" s="8" t="n"/>
      <c r="Y3989" s="8" t="n"/>
    </row>
    <row r="3990">
      <c r="A3990" s="8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9">
        <f>B3990+30</f>
        <v/>
      </c>
      <c r="N3990">
        <f>IF(L3990="", "", L3990-B3990)</f>
        <v/>
      </c>
      <c r="O3990">
        <f>IF(L3990="", "Pending", IF(N3990&lt;=30, "Met", "Breached"))</f>
        <v/>
      </c>
      <c r="P3990" s="8" t="n"/>
      <c r="Q3990" s="8" t="n"/>
      <c r="R3990" s="8" t="n"/>
      <c r="S3990" s="8" t="n"/>
      <c r="T3990" s="8" t="n"/>
      <c r="U3990" s="8" t="n"/>
      <c r="V3990" s="8" t="n"/>
      <c r="W3990" s="8" t="n"/>
      <c r="X3990" s="8" t="n"/>
      <c r="Y3990" s="8" t="n"/>
    </row>
    <row r="3991">
      <c r="A3991" s="8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9">
        <f>B3991+30</f>
        <v/>
      </c>
      <c r="N3991">
        <f>IF(L3991="", "", L3991-B3991)</f>
        <v/>
      </c>
      <c r="O3991">
        <f>IF(L3991="", "Pending", IF(N3991&lt;=30, "Met", "Breached"))</f>
        <v/>
      </c>
      <c r="P3991" s="8" t="n"/>
      <c r="Q3991" s="8" t="n"/>
      <c r="R3991" s="8" t="n"/>
      <c r="S3991" s="8" t="n"/>
      <c r="T3991" s="8" t="n"/>
      <c r="U3991" s="8" t="n"/>
      <c r="V3991" s="8" t="n"/>
      <c r="W3991" s="8" t="n"/>
      <c r="X3991" s="8" t="n"/>
      <c r="Y3991" s="8" t="n"/>
    </row>
    <row r="3992">
      <c r="A3992" s="8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9">
        <f>B3992+30</f>
        <v/>
      </c>
      <c r="N3992">
        <f>IF(L3992="", "", L3992-B3992)</f>
        <v/>
      </c>
      <c r="O3992">
        <f>IF(L3992="", "Pending", IF(N3992&lt;=30, "Met", "Breached"))</f>
        <v/>
      </c>
      <c r="P3992" s="8" t="n"/>
      <c r="Q3992" s="8" t="n"/>
      <c r="R3992" s="8" t="n"/>
      <c r="S3992" s="8" t="n"/>
      <c r="T3992" s="8" t="n"/>
      <c r="U3992" s="8" t="n"/>
      <c r="V3992" s="8" t="n"/>
      <c r="W3992" s="8" t="n"/>
      <c r="X3992" s="8" t="n"/>
      <c r="Y3992" s="8" t="n"/>
    </row>
    <row r="3993">
      <c r="A3993" s="8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9">
        <f>B3993+30</f>
        <v/>
      </c>
      <c r="N3993">
        <f>IF(L3993="", "", L3993-B3993)</f>
        <v/>
      </c>
      <c r="O3993">
        <f>IF(L3993="", "Pending", IF(N3993&lt;=30, "Met", "Breached"))</f>
        <v/>
      </c>
      <c r="P3993" s="8" t="n"/>
      <c r="Q3993" s="8" t="n"/>
      <c r="R3993" s="8" t="n"/>
      <c r="S3993" s="8" t="n"/>
      <c r="T3993" s="8" t="n"/>
      <c r="U3993" s="8" t="n"/>
      <c r="V3993" s="8" t="n"/>
      <c r="W3993" s="8" t="n"/>
      <c r="X3993" s="8" t="n"/>
      <c r="Y3993" s="8" t="n"/>
    </row>
    <row r="3994">
      <c r="A3994" s="8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9">
        <f>B3994+30</f>
        <v/>
      </c>
      <c r="N3994">
        <f>IF(L3994="", "", L3994-B3994)</f>
        <v/>
      </c>
      <c r="O3994">
        <f>IF(L3994="", "Pending", IF(N3994&lt;=30, "Met", "Breached"))</f>
        <v/>
      </c>
      <c r="P3994" s="8" t="n"/>
      <c r="Q3994" s="8" t="n"/>
      <c r="R3994" s="8" t="n"/>
      <c r="S3994" s="8" t="n"/>
      <c r="T3994" s="8" t="n"/>
      <c r="U3994" s="8" t="n"/>
      <c r="V3994" s="8" t="n"/>
      <c r="W3994" s="8" t="n"/>
      <c r="X3994" s="8" t="n"/>
      <c r="Y3994" s="8" t="n"/>
    </row>
    <row r="3995">
      <c r="A3995" s="8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9">
        <f>B3995+30</f>
        <v/>
      </c>
      <c r="N3995">
        <f>IF(L3995="", "", L3995-B3995)</f>
        <v/>
      </c>
      <c r="O3995">
        <f>IF(L3995="", "Pending", IF(N3995&lt;=30, "Met", "Breached"))</f>
        <v/>
      </c>
      <c r="P3995" s="8" t="n"/>
      <c r="Q3995" s="8" t="n"/>
      <c r="R3995" s="8" t="n"/>
      <c r="S3995" s="8" t="n"/>
      <c r="T3995" s="8" t="n"/>
      <c r="U3995" s="8" t="n"/>
      <c r="V3995" s="8" t="n"/>
      <c r="W3995" s="8" t="n"/>
      <c r="X3995" s="8" t="n"/>
      <c r="Y3995" s="8" t="n"/>
    </row>
    <row r="3996">
      <c r="A3996" s="8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9">
        <f>B3996+30</f>
        <v/>
      </c>
      <c r="N3996">
        <f>IF(L3996="", "", L3996-B3996)</f>
        <v/>
      </c>
      <c r="O3996">
        <f>IF(L3996="", "Pending", IF(N3996&lt;=30, "Met", "Breached"))</f>
        <v/>
      </c>
      <c r="P3996" s="8" t="n"/>
      <c r="Q3996" s="8" t="n"/>
      <c r="R3996" s="8" t="n"/>
      <c r="S3996" s="8" t="n"/>
      <c r="T3996" s="8" t="n"/>
      <c r="U3996" s="8" t="n"/>
      <c r="V3996" s="8" t="n"/>
      <c r="W3996" s="8" t="n"/>
      <c r="X3996" s="8" t="n"/>
      <c r="Y3996" s="8" t="n"/>
    </row>
    <row r="3997">
      <c r="A3997" s="8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9">
        <f>B3997+30</f>
        <v/>
      </c>
      <c r="N3997">
        <f>IF(L3997="", "", L3997-B3997)</f>
        <v/>
      </c>
      <c r="O3997">
        <f>IF(L3997="", "Pending", IF(N3997&lt;=30, "Met", "Breached"))</f>
        <v/>
      </c>
      <c r="P3997" s="8" t="n"/>
      <c r="Q3997" s="8" t="n"/>
      <c r="R3997" s="8" t="n"/>
      <c r="S3997" s="8" t="n"/>
      <c r="T3997" s="8" t="n"/>
      <c r="U3997" s="8" t="n"/>
      <c r="V3997" s="8" t="n"/>
      <c r="W3997" s="8" t="n"/>
      <c r="X3997" s="8" t="n"/>
      <c r="Y3997" s="8" t="n"/>
    </row>
    <row r="3998">
      <c r="A3998" s="8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9">
        <f>B3998+30</f>
        <v/>
      </c>
      <c r="N3998">
        <f>IF(L3998="", "", L3998-B3998)</f>
        <v/>
      </c>
      <c r="O3998">
        <f>IF(L3998="", "Pending", IF(N3998&lt;=30, "Met", "Breached"))</f>
        <v/>
      </c>
      <c r="P3998" s="8" t="n"/>
      <c r="Q3998" s="8" t="n"/>
      <c r="R3998" s="8" t="n"/>
      <c r="S3998" s="8" t="n"/>
      <c r="T3998" s="8" t="n"/>
      <c r="U3998" s="8" t="n"/>
      <c r="V3998" s="8" t="n"/>
      <c r="W3998" s="8" t="n"/>
      <c r="X3998" s="8" t="n"/>
      <c r="Y3998" s="8" t="n"/>
    </row>
    <row r="3999">
      <c r="A3999" s="8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9">
        <f>B3999+30</f>
        <v/>
      </c>
      <c r="N3999">
        <f>IF(L3999="", "", L3999-B3999)</f>
        <v/>
      </c>
      <c r="O3999">
        <f>IF(L3999="", "Pending", IF(N3999&lt;=30, "Met", "Breached"))</f>
        <v/>
      </c>
      <c r="P3999" s="8" t="n"/>
      <c r="Q3999" s="8" t="n"/>
      <c r="R3999" s="8" t="n"/>
      <c r="S3999" s="8" t="n"/>
      <c r="T3999" s="8" t="n"/>
      <c r="U3999" s="8" t="n"/>
      <c r="V3999" s="8" t="n"/>
      <c r="W3999" s="8" t="n"/>
      <c r="X3999" s="8" t="n"/>
      <c r="Y3999" s="8" t="n"/>
    </row>
    <row r="4000">
      <c r="A4000" s="8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9">
        <f>B4000+30</f>
        <v/>
      </c>
      <c r="N4000">
        <f>IF(L4000="", "", L4000-B4000)</f>
        <v/>
      </c>
      <c r="O4000">
        <f>IF(L4000="", "Pending", IF(N4000&lt;=30, "Met", "Breached"))</f>
        <v/>
      </c>
      <c r="P4000" s="8" t="n"/>
      <c r="Q4000" s="8" t="n"/>
      <c r="R4000" s="8" t="n"/>
      <c r="S4000" s="8" t="n"/>
      <c r="T4000" s="8" t="n"/>
      <c r="U4000" s="8" t="n"/>
      <c r="V4000" s="8" t="n"/>
      <c r="W4000" s="8" t="n"/>
      <c r="X4000" s="8" t="n"/>
      <c r="Y4000" s="8" t="n"/>
    </row>
    <row r="4001">
      <c r="A4001" s="8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9">
        <f>B4001+30</f>
        <v/>
      </c>
      <c r="N4001">
        <f>IF(L4001="", "", L4001-B4001)</f>
        <v/>
      </c>
      <c r="O4001">
        <f>IF(L4001="", "Pending", IF(N4001&lt;=30, "Met", "Breached"))</f>
        <v/>
      </c>
      <c r="P4001" s="8" t="n"/>
      <c r="Q4001" s="8" t="n"/>
      <c r="R4001" s="8" t="n"/>
      <c r="S4001" s="8" t="n"/>
      <c r="T4001" s="8" t="n"/>
      <c r="U4001" s="8" t="n"/>
      <c r="V4001" s="8" t="n"/>
      <c r="W4001" s="8" t="n"/>
      <c r="X4001" s="8" t="n"/>
      <c r="Y4001" s="8" t="n"/>
    </row>
    <row r="4002">
      <c r="A4002" s="8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9">
        <f>B4002+30</f>
        <v/>
      </c>
      <c r="N4002">
        <f>IF(L4002="", "", L4002-B4002)</f>
        <v/>
      </c>
      <c r="O4002">
        <f>IF(L4002="", "Pending", IF(N4002&lt;=30, "Met", "Breached"))</f>
        <v/>
      </c>
      <c r="P4002" s="8" t="n"/>
      <c r="Q4002" s="8" t="n"/>
      <c r="R4002" s="8" t="n"/>
      <c r="S4002" s="8" t="n"/>
      <c r="T4002" s="8" t="n"/>
      <c r="U4002" s="8" t="n"/>
      <c r="V4002" s="8" t="n"/>
      <c r="W4002" s="8" t="n"/>
      <c r="X4002" s="8" t="n"/>
      <c r="Y4002" s="8" t="n"/>
    </row>
    <row r="4003">
      <c r="A4003" s="8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9">
        <f>B4003+30</f>
        <v/>
      </c>
      <c r="N4003">
        <f>IF(L4003="", "", L4003-B4003)</f>
        <v/>
      </c>
      <c r="O4003">
        <f>IF(L4003="", "Pending", IF(N4003&lt;=30, "Met", "Breached"))</f>
        <v/>
      </c>
      <c r="P4003" s="8" t="n"/>
      <c r="Q4003" s="8" t="n"/>
      <c r="R4003" s="8" t="n"/>
      <c r="S4003" s="8" t="n"/>
      <c r="T4003" s="8" t="n"/>
      <c r="U4003" s="8" t="n"/>
      <c r="V4003" s="8" t="n"/>
      <c r="W4003" s="8" t="n"/>
      <c r="X4003" s="8" t="n"/>
      <c r="Y4003" s="8" t="n"/>
    </row>
    <row r="4004">
      <c r="A4004" s="8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9">
        <f>B4004+30</f>
        <v/>
      </c>
      <c r="N4004">
        <f>IF(L4004="", "", L4004-B4004)</f>
        <v/>
      </c>
      <c r="O4004">
        <f>IF(L4004="", "Pending", IF(N4004&lt;=30, "Met", "Breached"))</f>
        <v/>
      </c>
      <c r="P4004" s="8" t="n"/>
      <c r="Q4004" s="8" t="n"/>
      <c r="R4004" s="8" t="n"/>
      <c r="S4004" s="8" t="n"/>
      <c r="T4004" s="8" t="n"/>
      <c r="U4004" s="8" t="n"/>
      <c r="V4004" s="8" t="n"/>
      <c r="W4004" s="8" t="n"/>
      <c r="X4004" s="8" t="n"/>
      <c r="Y4004" s="8" t="n"/>
    </row>
    <row r="4005">
      <c r="A4005" s="8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9">
        <f>B4005+30</f>
        <v/>
      </c>
      <c r="N4005">
        <f>IF(L4005="", "", L4005-B4005)</f>
        <v/>
      </c>
      <c r="O4005">
        <f>IF(L4005="", "Pending", IF(N4005&lt;=30, "Met", "Breached"))</f>
        <v/>
      </c>
      <c r="P4005" s="8" t="n"/>
      <c r="Q4005" s="8" t="n"/>
      <c r="R4005" s="8" t="n"/>
      <c r="S4005" s="8" t="n"/>
      <c r="T4005" s="8" t="n"/>
      <c r="U4005" s="8" t="n"/>
      <c r="V4005" s="8" t="n"/>
      <c r="W4005" s="8" t="n"/>
      <c r="X4005" s="8" t="n"/>
      <c r="Y4005" s="8" t="n"/>
    </row>
    <row r="4006">
      <c r="A4006" s="8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9">
        <f>B4006+30</f>
        <v/>
      </c>
      <c r="N4006">
        <f>IF(L4006="", "", L4006-B4006)</f>
        <v/>
      </c>
      <c r="O4006">
        <f>IF(L4006="", "Pending", IF(N4006&lt;=30, "Met", "Breached"))</f>
        <v/>
      </c>
      <c r="P4006" s="8" t="n"/>
      <c r="Q4006" s="8" t="n"/>
      <c r="R4006" s="8" t="n"/>
      <c r="S4006" s="8" t="n"/>
      <c r="T4006" s="8" t="n"/>
      <c r="U4006" s="8" t="n"/>
      <c r="V4006" s="8" t="n"/>
      <c r="W4006" s="8" t="n"/>
      <c r="X4006" s="8" t="n"/>
      <c r="Y4006" s="8" t="n"/>
    </row>
    <row r="4007">
      <c r="A4007" s="8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9">
        <f>B4007+30</f>
        <v/>
      </c>
      <c r="N4007">
        <f>IF(L4007="", "", L4007-B4007)</f>
        <v/>
      </c>
      <c r="O4007">
        <f>IF(L4007="", "Pending", IF(N4007&lt;=30, "Met", "Breached"))</f>
        <v/>
      </c>
      <c r="P4007" s="8" t="n"/>
      <c r="Q4007" s="8" t="n"/>
      <c r="R4007" s="8" t="n"/>
      <c r="S4007" s="8" t="n"/>
      <c r="T4007" s="8" t="n"/>
      <c r="U4007" s="8" t="n"/>
      <c r="V4007" s="8" t="n"/>
      <c r="W4007" s="8" t="n"/>
      <c r="X4007" s="8" t="n"/>
      <c r="Y4007" s="8" t="n"/>
    </row>
    <row r="4008">
      <c r="A4008" s="8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9">
        <f>B4008+30</f>
        <v/>
      </c>
      <c r="N4008">
        <f>IF(L4008="", "", L4008-B4008)</f>
        <v/>
      </c>
      <c r="O4008">
        <f>IF(L4008="", "Pending", IF(N4008&lt;=30, "Met", "Breached"))</f>
        <v/>
      </c>
      <c r="P4008" s="8" t="n"/>
      <c r="Q4008" s="8" t="n"/>
      <c r="R4008" s="8" t="n"/>
      <c r="S4008" s="8" t="n"/>
      <c r="T4008" s="8" t="n"/>
      <c r="U4008" s="8" t="n"/>
      <c r="V4008" s="8" t="n"/>
      <c r="W4008" s="8" t="n"/>
      <c r="X4008" s="8" t="n"/>
      <c r="Y4008" s="8" t="n"/>
    </row>
    <row r="4009">
      <c r="A4009" s="8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9">
        <f>B4009+30</f>
        <v/>
      </c>
      <c r="N4009">
        <f>IF(L4009="", "", L4009-B4009)</f>
        <v/>
      </c>
      <c r="O4009">
        <f>IF(L4009="", "Pending", IF(N4009&lt;=30, "Met", "Breached"))</f>
        <v/>
      </c>
      <c r="P4009" s="8" t="n"/>
      <c r="Q4009" s="8" t="n"/>
      <c r="R4009" s="8" t="n"/>
      <c r="S4009" s="8" t="n"/>
      <c r="T4009" s="8" t="n"/>
      <c r="U4009" s="8" t="n"/>
      <c r="V4009" s="8" t="n"/>
      <c r="W4009" s="8" t="n"/>
      <c r="X4009" s="8" t="n"/>
      <c r="Y4009" s="8" t="n"/>
    </row>
    <row r="4010">
      <c r="A4010" s="8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9">
        <f>B4010+30</f>
        <v/>
      </c>
      <c r="N4010">
        <f>IF(L4010="", "", L4010-B4010)</f>
        <v/>
      </c>
      <c r="O4010">
        <f>IF(L4010="", "Pending", IF(N4010&lt;=30, "Met", "Breached"))</f>
        <v/>
      </c>
      <c r="P4010" s="8" t="n"/>
      <c r="Q4010" s="8" t="n"/>
      <c r="R4010" s="8" t="n"/>
      <c r="S4010" s="8" t="n"/>
      <c r="T4010" s="8" t="n"/>
      <c r="U4010" s="8" t="n"/>
      <c r="V4010" s="8" t="n"/>
      <c r="W4010" s="8" t="n"/>
      <c r="X4010" s="8" t="n"/>
      <c r="Y4010" s="8" t="n"/>
    </row>
    <row r="4011">
      <c r="A4011" s="8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9">
        <f>B4011+30</f>
        <v/>
      </c>
      <c r="N4011">
        <f>IF(L4011="", "", L4011-B4011)</f>
        <v/>
      </c>
      <c r="O4011">
        <f>IF(L4011="", "Pending", IF(N4011&lt;=30, "Met", "Breached"))</f>
        <v/>
      </c>
      <c r="P4011" s="8" t="n"/>
      <c r="Q4011" s="8" t="n"/>
      <c r="R4011" s="8" t="n"/>
      <c r="S4011" s="8" t="n"/>
      <c r="T4011" s="8" t="n"/>
      <c r="U4011" s="8" t="n"/>
      <c r="V4011" s="8" t="n"/>
      <c r="W4011" s="8" t="n"/>
      <c r="X4011" s="8" t="n"/>
      <c r="Y4011" s="8" t="n"/>
    </row>
    <row r="4012">
      <c r="A4012" s="8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9">
        <f>B4012+30</f>
        <v/>
      </c>
      <c r="N4012">
        <f>IF(L4012="", "", L4012-B4012)</f>
        <v/>
      </c>
      <c r="O4012">
        <f>IF(L4012="", "Pending", IF(N4012&lt;=30, "Met", "Breached"))</f>
        <v/>
      </c>
      <c r="P4012" s="8" t="n"/>
      <c r="Q4012" s="8" t="n"/>
      <c r="R4012" s="8" t="n"/>
      <c r="S4012" s="8" t="n"/>
      <c r="T4012" s="8" t="n"/>
      <c r="U4012" s="8" t="n"/>
      <c r="V4012" s="8" t="n"/>
      <c r="W4012" s="8" t="n"/>
      <c r="X4012" s="8" t="n"/>
      <c r="Y4012" s="8" t="n"/>
    </row>
    <row r="4013">
      <c r="A4013" s="8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9">
        <f>B4013+30</f>
        <v/>
      </c>
      <c r="N4013">
        <f>IF(L4013="", "", L4013-B4013)</f>
        <v/>
      </c>
      <c r="O4013">
        <f>IF(L4013="", "Pending", IF(N4013&lt;=30, "Met", "Breached"))</f>
        <v/>
      </c>
      <c r="P4013" s="8" t="n"/>
      <c r="Q4013" s="8" t="n"/>
      <c r="R4013" s="8" t="n"/>
      <c r="S4013" s="8" t="n"/>
      <c r="T4013" s="8" t="n"/>
      <c r="U4013" s="8" t="n"/>
      <c r="V4013" s="8" t="n"/>
      <c r="W4013" s="8" t="n"/>
      <c r="X4013" s="8" t="n"/>
      <c r="Y4013" s="8" t="n"/>
    </row>
    <row r="4014">
      <c r="A4014" s="8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9">
        <f>B4014+30</f>
        <v/>
      </c>
      <c r="N4014">
        <f>IF(L4014="", "", L4014-B4014)</f>
        <v/>
      </c>
      <c r="O4014">
        <f>IF(L4014="", "Pending", IF(N4014&lt;=30, "Met", "Breached"))</f>
        <v/>
      </c>
      <c r="P4014" s="8" t="n"/>
      <c r="Q4014" s="8" t="n"/>
      <c r="R4014" s="8" t="n"/>
      <c r="S4014" s="8" t="n"/>
      <c r="T4014" s="8" t="n"/>
      <c r="U4014" s="8" t="n"/>
      <c r="V4014" s="8" t="n"/>
      <c r="W4014" s="8" t="n"/>
      <c r="X4014" s="8" t="n"/>
      <c r="Y4014" s="8" t="n"/>
    </row>
    <row r="4015">
      <c r="A4015" s="8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9">
        <f>B4015+30</f>
        <v/>
      </c>
      <c r="N4015">
        <f>IF(L4015="", "", L4015-B4015)</f>
        <v/>
      </c>
      <c r="O4015">
        <f>IF(L4015="", "Pending", IF(N4015&lt;=30, "Met", "Breached"))</f>
        <v/>
      </c>
      <c r="P4015" s="8" t="n"/>
      <c r="Q4015" s="8" t="n"/>
      <c r="R4015" s="8" t="n"/>
      <c r="S4015" s="8" t="n"/>
      <c r="T4015" s="8" t="n"/>
      <c r="U4015" s="8" t="n"/>
      <c r="V4015" s="8" t="n"/>
      <c r="W4015" s="8" t="n"/>
      <c r="X4015" s="8" t="n"/>
      <c r="Y4015" s="8" t="n"/>
    </row>
    <row r="4016">
      <c r="A4016" s="8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9">
        <f>B4016+30</f>
        <v/>
      </c>
      <c r="N4016">
        <f>IF(L4016="", "", L4016-B4016)</f>
        <v/>
      </c>
      <c r="O4016">
        <f>IF(L4016="", "Pending", IF(N4016&lt;=30, "Met", "Breached"))</f>
        <v/>
      </c>
      <c r="P4016" s="8" t="n"/>
      <c r="Q4016" s="8" t="n"/>
      <c r="R4016" s="8" t="n"/>
      <c r="S4016" s="8" t="n"/>
      <c r="T4016" s="8" t="n"/>
      <c r="U4016" s="8" t="n"/>
      <c r="V4016" s="8" t="n"/>
      <c r="W4016" s="8" t="n"/>
      <c r="X4016" s="8" t="n"/>
      <c r="Y4016" s="8" t="n"/>
    </row>
    <row r="4017">
      <c r="A4017" s="8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9">
        <f>B4017+30</f>
        <v/>
      </c>
      <c r="N4017">
        <f>IF(L4017="", "", L4017-B4017)</f>
        <v/>
      </c>
      <c r="O4017">
        <f>IF(L4017="", "Pending", IF(N4017&lt;=30, "Met", "Breached"))</f>
        <v/>
      </c>
      <c r="P4017" s="8" t="n"/>
      <c r="Q4017" s="8" t="n"/>
      <c r="R4017" s="8" t="n"/>
      <c r="S4017" s="8" t="n"/>
      <c r="T4017" s="8" t="n"/>
      <c r="U4017" s="8" t="n"/>
      <c r="V4017" s="8" t="n"/>
      <c r="W4017" s="8" t="n"/>
      <c r="X4017" s="8" t="n"/>
      <c r="Y4017" s="8" t="n"/>
    </row>
    <row r="4018">
      <c r="A4018" s="8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9">
        <f>B4018+30</f>
        <v/>
      </c>
      <c r="N4018">
        <f>IF(L4018="", "", L4018-B4018)</f>
        <v/>
      </c>
      <c r="O4018">
        <f>IF(L4018="", "Pending", IF(N4018&lt;=30, "Met", "Breached"))</f>
        <v/>
      </c>
      <c r="P4018" s="8" t="n"/>
      <c r="Q4018" s="8" t="n"/>
      <c r="R4018" s="8" t="n"/>
      <c r="S4018" s="8" t="n"/>
      <c r="T4018" s="8" t="n"/>
      <c r="U4018" s="8" t="n"/>
      <c r="V4018" s="8" t="n"/>
      <c r="W4018" s="8" t="n"/>
      <c r="X4018" s="8" t="n"/>
      <c r="Y4018" s="8" t="n"/>
    </row>
    <row r="4019">
      <c r="A4019" s="8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9">
        <f>B4019+30</f>
        <v/>
      </c>
      <c r="N4019">
        <f>IF(L4019="", "", L4019-B4019)</f>
        <v/>
      </c>
      <c r="O4019">
        <f>IF(L4019="", "Pending", IF(N4019&lt;=30, "Met", "Breached"))</f>
        <v/>
      </c>
      <c r="P4019" s="8" t="n"/>
      <c r="Q4019" s="8" t="n"/>
      <c r="R4019" s="8" t="n"/>
      <c r="S4019" s="8" t="n"/>
      <c r="T4019" s="8" t="n"/>
      <c r="U4019" s="8" t="n"/>
      <c r="V4019" s="8" t="n"/>
      <c r="W4019" s="8" t="n"/>
      <c r="X4019" s="8" t="n"/>
      <c r="Y4019" s="8" t="n"/>
    </row>
    <row r="4020">
      <c r="A4020" s="8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9">
        <f>B4020+30</f>
        <v/>
      </c>
      <c r="N4020">
        <f>IF(L4020="", "", L4020-B4020)</f>
        <v/>
      </c>
      <c r="O4020">
        <f>IF(L4020="", "Pending", IF(N4020&lt;=30, "Met", "Breached"))</f>
        <v/>
      </c>
      <c r="P4020" s="8" t="n"/>
      <c r="Q4020" s="8" t="n"/>
      <c r="R4020" s="8" t="n"/>
      <c r="S4020" s="8" t="n"/>
      <c r="T4020" s="8" t="n"/>
      <c r="U4020" s="8" t="n"/>
      <c r="V4020" s="8" t="n"/>
      <c r="W4020" s="8" t="n"/>
      <c r="X4020" s="8" t="n"/>
      <c r="Y4020" s="8" t="n"/>
    </row>
    <row r="4021">
      <c r="A4021" s="8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9">
        <f>B4021+30</f>
        <v/>
      </c>
      <c r="N4021">
        <f>IF(L4021="", "", L4021-B4021)</f>
        <v/>
      </c>
      <c r="O4021">
        <f>IF(L4021="", "Pending", IF(N4021&lt;=30, "Met", "Breached"))</f>
        <v/>
      </c>
      <c r="P4021" s="8" t="n"/>
      <c r="Q4021" s="8" t="n"/>
      <c r="R4021" s="8" t="n"/>
      <c r="S4021" s="8" t="n"/>
      <c r="T4021" s="8" t="n"/>
      <c r="U4021" s="8" t="n"/>
      <c r="V4021" s="8" t="n"/>
      <c r="W4021" s="8" t="n"/>
      <c r="X4021" s="8" t="n"/>
      <c r="Y4021" s="8" t="n"/>
    </row>
    <row r="4022">
      <c r="A4022" s="8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9">
        <f>B4022+30</f>
        <v/>
      </c>
      <c r="N4022">
        <f>IF(L4022="", "", L4022-B4022)</f>
        <v/>
      </c>
      <c r="O4022">
        <f>IF(L4022="", "Pending", IF(N4022&lt;=30, "Met", "Breached"))</f>
        <v/>
      </c>
      <c r="P4022" s="8" t="n"/>
      <c r="Q4022" s="8" t="n"/>
      <c r="R4022" s="8" t="n"/>
      <c r="S4022" s="8" t="n"/>
      <c r="T4022" s="8" t="n"/>
      <c r="U4022" s="8" t="n"/>
      <c r="V4022" s="8" t="n"/>
      <c r="W4022" s="8" t="n"/>
      <c r="X4022" s="8" t="n"/>
      <c r="Y4022" s="8" t="n"/>
    </row>
    <row r="4023">
      <c r="A4023" s="8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9">
        <f>B4023+30</f>
        <v/>
      </c>
      <c r="N4023">
        <f>IF(L4023="", "", L4023-B4023)</f>
        <v/>
      </c>
      <c r="O4023">
        <f>IF(L4023="", "Pending", IF(N4023&lt;=30, "Met", "Breached"))</f>
        <v/>
      </c>
      <c r="P4023" s="8" t="n"/>
      <c r="Q4023" s="8" t="n"/>
      <c r="R4023" s="8" t="n"/>
      <c r="S4023" s="8" t="n"/>
      <c r="T4023" s="8" t="n"/>
      <c r="U4023" s="8" t="n"/>
      <c r="V4023" s="8" t="n"/>
      <c r="W4023" s="8" t="n"/>
      <c r="X4023" s="8" t="n"/>
      <c r="Y4023" s="8" t="n"/>
    </row>
    <row r="4024">
      <c r="A4024" s="8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9">
        <f>B4024+30</f>
        <v/>
      </c>
      <c r="N4024">
        <f>IF(L4024="", "", L4024-B4024)</f>
        <v/>
      </c>
      <c r="O4024">
        <f>IF(L4024="", "Pending", IF(N4024&lt;=30, "Met", "Breached"))</f>
        <v/>
      </c>
      <c r="P4024" s="8" t="n"/>
      <c r="Q4024" s="8" t="n"/>
      <c r="R4024" s="8" t="n"/>
      <c r="S4024" s="8" t="n"/>
      <c r="T4024" s="8" t="n"/>
      <c r="U4024" s="8" t="n"/>
      <c r="V4024" s="8" t="n"/>
      <c r="W4024" s="8" t="n"/>
      <c r="X4024" s="8" t="n"/>
      <c r="Y4024" s="8" t="n"/>
    </row>
    <row r="4025">
      <c r="A4025" s="8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9">
        <f>B4025+30</f>
        <v/>
      </c>
      <c r="N4025">
        <f>IF(L4025="", "", L4025-B4025)</f>
        <v/>
      </c>
      <c r="O4025">
        <f>IF(L4025="", "Pending", IF(N4025&lt;=30, "Met", "Breached"))</f>
        <v/>
      </c>
      <c r="P4025" s="8" t="n"/>
      <c r="Q4025" s="8" t="n"/>
      <c r="R4025" s="8" t="n"/>
      <c r="S4025" s="8" t="n"/>
      <c r="T4025" s="8" t="n"/>
      <c r="U4025" s="8" t="n"/>
      <c r="V4025" s="8" t="n"/>
      <c r="W4025" s="8" t="n"/>
      <c r="X4025" s="8" t="n"/>
      <c r="Y4025" s="8" t="n"/>
    </row>
    <row r="4026">
      <c r="A4026" s="8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9">
        <f>B4026+30</f>
        <v/>
      </c>
      <c r="N4026">
        <f>IF(L4026="", "", L4026-B4026)</f>
        <v/>
      </c>
      <c r="O4026">
        <f>IF(L4026="", "Pending", IF(N4026&lt;=30, "Met", "Breached"))</f>
        <v/>
      </c>
      <c r="P4026" s="8" t="n"/>
      <c r="Q4026" s="8" t="n"/>
      <c r="R4026" s="8" t="n"/>
      <c r="S4026" s="8" t="n"/>
      <c r="T4026" s="8" t="n"/>
      <c r="U4026" s="8" t="n"/>
      <c r="V4026" s="8" t="n"/>
      <c r="W4026" s="8" t="n"/>
      <c r="X4026" s="8" t="n"/>
      <c r="Y4026" s="8" t="n"/>
    </row>
    <row r="4027">
      <c r="A4027" s="8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9">
        <f>B4027+30</f>
        <v/>
      </c>
      <c r="N4027">
        <f>IF(L4027="", "", L4027-B4027)</f>
        <v/>
      </c>
      <c r="O4027">
        <f>IF(L4027="", "Pending", IF(N4027&lt;=30, "Met", "Breached"))</f>
        <v/>
      </c>
      <c r="P4027" s="8" t="n"/>
      <c r="Q4027" s="8" t="n"/>
      <c r="R4027" s="8" t="n"/>
      <c r="S4027" s="8" t="n"/>
      <c r="T4027" s="8" t="n"/>
      <c r="U4027" s="8" t="n"/>
      <c r="V4027" s="8" t="n"/>
      <c r="W4027" s="8" t="n"/>
      <c r="X4027" s="8" t="n"/>
      <c r="Y4027" s="8" t="n"/>
    </row>
    <row r="4028">
      <c r="A4028" s="8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9">
        <f>B4028+30</f>
        <v/>
      </c>
      <c r="N4028">
        <f>IF(L4028="", "", L4028-B4028)</f>
        <v/>
      </c>
      <c r="O4028">
        <f>IF(L4028="", "Pending", IF(N4028&lt;=30, "Met", "Breached"))</f>
        <v/>
      </c>
      <c r="P4028" s="8" t="n"/>
      <c r="Q4028" s="8" t="n"/>
      <c r="R4028" s="8" t="n"/>
      <c r="S4028" s="8" t="n"/>
      <c r="T4028" s="8" t="n"/>
      <c r="U4028" s="8" t="n"/>
      <c r="V4028" s="8" t="n"/>
      <c r="W4028" s="8" t="n"/>
      <c r="X4028" s="8" t="n"/>
      <c r="Y4028" s="8" t="n"/>
    </row>
    <row r="4029">
      <c r="A4029" s="8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9">
        <f>B4029+30</f>
        <v/>
      </c>
      <c r="N4029">
        <f>IF(L4029="", "", L4029-B4029)</f>
        <v/>
      </c>
      <c r="O4029">
        <f>IF(L4029="", "Pending", IF(N4029&lt;=30, "Met", "Breached"))</f>
        <v/>
      </c>
      <c r="P4029" s="8" t="n"/>
      <c r="Q4029" s="8" t="n"/>
      <c r="R4029" s="8" t="n"/>
      <c r="S4029" s="8" t="n"/>
      <c r="T4029" s="8" t="n"/>
      <c r="U4029" s="8" t="n"/>
      <c r="V4029" s="8" t="n"/>
      <c r="W4029" s="8" t="n"/>
      <c r="X4029" s="8" t="n"/>
      <c r="Y4029" s="8" t="n"/>
    </row>
    <row r="4030">
      <c r="A4030" s="8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9">
        <f>B4030+30</f>
        <v/>
      </c>
      <c r="N4030">
        <f>IF(L4030="", "", L4030-B4030)</f>
        <v/>
      </c>
      <c r="O4030">
        <f>IF(L4030="", "Pending", IF(N4030&lt;=30, "Met", "Breached"))</f>
        <v/>
      </c>
      <c r="P4030" s="8" t="n"/>
      <c r="Q4030" s="8" t="n"/>
      <c r="R4030" s="8" t="n"/>
      <c r="S4030" s="8" t="n"/>
      <c r="T4030" s="8" t="n"/>
      <c r="U4030" s="8" t="n"/>
      <c r="V4030" s="8" t="n"/>
      <c r="W4030" s="8" t="n"/>
      <c r="X4030" s="8" t="n"/>
      <c r="Y4030" s="8" t="n"/>
    </row>
    <row r="4031">
      <c r="A4031" s="8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9">
        <f>B4031+30</f>
        <v/>
      </c>
      <c r="N4031">
        <f>IF(L4031="", "", L4031-B4031)</f>
        <v/>
      </c>
      <c r="O4031">
        <f>IF(L4031="", "Pending", IF(N4031&lt;=30, "Met", "Breached"))</f>
        <v/>
      </c>
      <c r="P4031" s="8" t="n"/>
      <c r="Q4031" s="8" t="n"/>
      <c r="R4031" s="8" t="n"/>
      <c r="S4031" s="8" t="n"/>
      <c r="T4031" s="8" t="n"/>
      <c r="U4031" s="8" t="n"/>
      <c r="V4031" s="8" t="n"/>
      <c r="W4031" s="8" t="n"/>
      <c r="X4031" s="8" t="n"/>
      <c r="Y4031" s="8" t="n"/>
    </row>
    <row r="4032">
      <c r="A4032" s="8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9">
        <f>B4032+30</f>
        <v/>
      </c>
      <c r="N4032">
        <f>IF(L4032="", "", L4032-B4032)</f>
        <v/>
      </c>
      <c r="O4032">
        <f>IF(L4032="", "Pending", IF(N4032&lt;=30, "Met", "Breached"))</f>
        <v/>
      </c>
      <c r="P4032" s="8" t="n"/>
      <c r="Q4032" s="8" t="n"/>
      <c r="R4032" s="8" t="n"/>
      <c r="S4032" s="8" t="n"/>
      <c r="T4032" s="8" t="n"/>
      <c r="U4032" s="8" t="n"/>
      <c r="V4032" s="8" t="n"/>
      <c r="W4032" s="8" t="n"/>
      <c r="X4032" s="8" t="n"/>
      <c r="Y4032" s="8" t="n"/>
    </row>
    <row r="4033">
      <c r="A4033" s="8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9">
        <f>B4033+30</f>
        <v/>
      </c>
      <c r="N4033">
        <f>IF(L4033="", "", L4033-B4033)</f>
        <v/>
      </c>
      <c r="O4033">
        <f>IF(L4033="", "Pending", IF(N4033&lt;=30, "Met", "Breached"))</f>
        <v/>
      </c>
      <c r="P4033" s="8" t="n"/>
      <c r="Q4033" s="8" t="n"/>
      <c r="R4033" s="8" t="n"/>
      <c r="S4033" s="8" t="n"/>
      <c r="T4033" s="8" t="n"/>
      <c r="U4033" s="8" t="n"/>
      <c r="V4033" s="8" t="n"/>
      <c r="W4033" s="8" t="n"/>
      <c r="X4033" s="8" t="n"/>
      <c r="Y4033" s="8" t="n"/>
    </row>
    <row r="4034">
      <c r="A4034" s="8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9">
        <f>B4034+30</f>
        <v/>
      </c>
      <c r="N4034">
        <f>IF(L4034="", "", L4034-B4034)</f>
        <v/>
      </c>
      <c r="O4034">
        <f>IF(L4034="", "Pending", IF(N4034&lt;=30, "Met", "Breached"))</f>
        <v/>
      </c>
      <c r="P4034" s="8" t="n"/>
      <c r="Q4034" s="8" t="n"/>
      <c r="R4034" s="8" t="n"/>
      <c r="S4034" s="8" t="n"/>
      <c r="T4034" s="8" t="n"/>
      <c r="U4034" s="8" t="n"/>
      <c r="V4034" s="8" t="n"/>
      <c r="W4034" s="8" t="n"/>
      <c r="X4034" s="8" t="n"/>
      <c r="Y4034" s="8" t="n"/>
    </row>
    <row r="4035">
      <c r="A4035" s="8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9">
        <f>B4035+30</f>
        <v/>
      </c>
      <c r="N4035">
        <f>IF(L4035="", "", L4035-B4035)</f>
        <v/>
      </c>
      <c r="O4035">
        <f>IF(L4035="", "Pending", IF(N4035&lt;=30, "Met", "Breached"))</f>
        <v/>
      </c>
      <c r="P4035" s="8" t="n"/>
      <c r="Q4035" s="8" t="n"/>
      <c r="R4035" s="8" t="n"/>
      <c r="S4035" s="8" t="n"/>
      <c r="T4035" s="8" t="n"/>
      <c r="U4035" s="8" t="n"/>
      <c r="V4035" s="8" t="n"/>
      <c r="W4035" s="8" t="n"/>
      <c r="X4035" s="8" t="n"/>
      <c r="Y4035" s="8" t="n"/>
    </row>
    <row r="4036">
      <c r="A4036" s="8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9">
        <f>B4036+30</f>
        <v/>
      </c>
      <c r="N4036">
        <f>IF(L4036="", "", L4036-B4036)</f>
        <v/>
      </c>
      <c r="O4036">
        <f>IF(L4036="", "Pending", IF(N4036&lt;=30, "Met", "Breached"))</f>
        <v/>
      </c>
      <c r="P4036" s="8" t="n"/>
      <c r="Q4036" s="8" t="n"/>
      <c r="R4036" s="8" t="n"/>
      <c r="S4036" s="8" t="n"/>
      <c r="T4036" s="8" t="n"/>
      <c r="U4036" s="8" t="n"/>
      <c r="V4036" s="8" t="n"/>
      <c r="W4036" s="8" t="n"/>
      <c r="X4036" s="8" t="n"/>
      <c r="Y4036" s="8" t="n"/>
    </row>
    <row r="4037">
      <c r="A4037" s="8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9">
        <f>B4037+30</f>
        <v/>
      </c>
      <c r="N4037">
        <f>IF(L4037="", "", L4037-B4037)</f>
        <v/>
      </c>
      <c r="O4037">
        <f>IF(L4037="", "Pending", IF(N4037&lt;=30, "Met", "Breached"))</f>
        <v/>
      </c>
      <c r="P4037" s="8" t="n"/>
      <c r="Q4037" s="8" t="n"/>
      <c r="R4037" s="8" t="n"/>
      <c r="S4037" s="8" t="n"/>
      <c r="T4037" s="8" t="n"/>
      <c r="U4037" s="8" t="n"/>
      <c r="V4037" s="8" t="n"/>
      <c r="W4037" s="8" t="n"/>
      <c r="X4037" s="8" t="n"/>
      <c r="Y4037" s="8" t="n"/>
    </row>
    <row r="4038">
      <c r="A4038" s="8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9">
        <f>B4038+30</f>
        <v/>
      </c>
      <c r="N4038">
        <f>IF(L4038="", "", L4038-B4038)</f>
        <v/>
      </c>
      <c r="O4038">
        <f>IF(L4038="", "Pending", IF(N4038&lt;=30, "Met", "Breached"))</f>
        <v/>
      </c>
      <c r="P4038" s="8" t="n"/>
      <c r="Q4038" s="8" t="n"/>
      <c r="R4038" s="8" t="n"/>
      <c r="S4038" s="8" t="n"/>
      <c r="T4038" s="8" t="n"/>
      <c r="U4038" s="8" t="n"/>
      <c r="V4038" s="8" t="n"/>
      <c r="W4038" s="8" t="n"/>
      <c r="X4038" s="8" t="n"/>
      <c r="Y4038" s="8" t="n"/>
    </row>
    <row r="4039">
      <c r="A4039" s="8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9">
        <f>B4039+30</f>
        <v/>
      </c>
      <c r="N4039">
        <f>IF(L4039="", "", L4039-B4039)</f>
        <v/>
      </c>
      <c r="O4039">
        <f>IF(L4039="", "Pending", IF(N4039&lt;=30, "Met", "Breached"))</f>
        <v/>
      </c>
      <c r="P4039" s="8" t="n"/>
      <c r="Q4039" s="8" t="n"/>
      <c r="R4039" s="8" t="n"/>
      <c r="S4039" s="8" t="n"/>
      <c r="T4039" s="8" t="n"/>
      <c r="U4039" s="8" t="n"/>
      <c r="V4039" s="8" t="n"/>
      <c r="W4039" s="8" t="n"/>
      <c r="X4039" s="8" t="n"/>
      <c r="Y4039" s="8" t="n"/>
    </row>
    <row r="4040">
      <c r="A4040" s="8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9">
        <f>B4040+30</f>
        <v/>
      </c>
      <c r="N4040">
        <f>IF(L4040="", "", L4040-B4040)</f>
        <v/>
      </c>
      <c r="O4040">
        <f>IF(L4040="", "Pending", IF(N4040&lt;=30, "Met", "Breached"))</f>
        <v/>
      </c>
      <c r="P4040" s="8" t="n"/>
      <c r="Q4040" s="8" t="n"/>
      <c r="R4040" s="8" t="n"/>
      <c r="S4040" s="8" t="n"/>
      <c r="T4040" s="8" t="n"/>
      <c r="U4040" s="8" t="n"/>
      <c r="V4040" s="8" t="n"/>
      <c r="W4040" s="8" t="n"/>
      <c r="X4040" s="8" t="n"/>
      <c r="Y4040" s="8" t="n"/>
    </row>
    <row r="4041">
      <c r="A4041" s="8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9">
        <f>B4041+30</f>
        <v/>
      </c>
      <c r="N4041">
        <f>IF(L4041="", "", L4041-B4041)</f>
        <v/>
      </c>
      <c r="O4041">
        <f>IF(L4041="", "Pending", IF(N4041&lt;=30, "Met", "Breached"))</f>
        <v/>
      </c>
      <c r="P4041" s="8" t="n"/>
      <c r="Q4041" s="8" t="n"/>
      <c r="R4041" s="8" t="n"/>
      <c r="S4041" s="8" t="n"/>
      <c r="T4041" s="8" t="n"/>
      <c r="U4041" s="8" t="n"/>
      <c r="V4041" s="8" t="n"/>
      <c r="W4041" s="8" t="n"/>
      <c r="X4041" s="8" t="n"/>
      <c r="Y4041" s="8" t="n"/>
    </row>
    <row r="4042">
      <c r="A4042" s="8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9">
        <f>B4042+30</f>
        <v/>
      </c>
      <c r="N4042">
        <f>IF(L4042="", "", L4042-B4042)</f>
        <v/>
      </c>
      <c r="O4042">
        <f>IF(L4042="", "Pending", IF(N4042&lt;=30, "Met", "Breached"))</f>
        <v/>
      </c>
      <c r="P4042" s="8" t="n"/>
      <c r="Q4042" s="8" t="n"/>
      <c r="R4042" s="8" t="n"/>
      <c r="S4042" s="8" t="n"/>
      <c r="T4042" s="8" t="n"/>
      <c r="U4042" s="8" t="n"/>
      <c r="V4042" s="8" t="n"/>
      <c r="W4042" s="8" t="n"/>
      <c r="X4042" s="8" t="n"/>
      <c r="Y4042" s="8" t="n"/>
    </row>
    <row r="4043">
      <c r="A4043" s="8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9">
        <f>B4043+30</f>
        <v/>
      </c>
      <c r="N4043">
        <f>IF(L4043="", "", L4043-B4043)</f>
        <v/>
      </c>
      <c r="O4043">
        <f>IF(L4043="", "Pending", IF(N4043&lt;=30, "Met", "Breached"))</f>
        <v/>
      </c>
      <c r="P4043" s="8" t="n"/>
      <c r="Q4043" s="8" t="n"/>
      <c r="R4043" s="8" t="n"/>
      <c r="S4043" s="8" t="n"/>
      <c r="T4043" s="8" t="n"/>
      <c r="U4043" s="8" t="n"/>
      <c r="V4043" s="8" t="n"/>
      <c r="W4043" s="8" t="n"/>
      <c r="X4043" s="8" t="n"/>
      <c r="Y4043" s="8" t="n"/>
    </row>
    <row r="4044">
      <c r="A4044" s="8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9">
        <f>B4044+30</f>
        <v/>
      </c>
      <c r="N4044">
        <f>IF(L4044="", "", L4044-B4044)</f>
        <v/>
      </c>
      <c r="O4044">
        <f>IF(L4044="", "Pending", IF(N4044&lt;=30, "Met", "Breached"))</f>
        <v/>
      </c>
      <c r="P4044" s="8" t="n"/>
      <c r="Q4044" s="8" t="n"/>
      <c r="R4044" s="8" t="n"/>
      <c r="S4044" s="8" t="n"/>
      <c r="T4044" s="8" t="n"/>
      <c r="U4044" s="8" t="n"/>
      <c r="V4044" s="8" t="n"/>
      <c r="W4044" s="8" t="n"/>
      <c r="X4044" s="8" t="n"/>
      <c r="Y4044" s="8" t="n"/>
    </row>
    <row r="4045">
      <c r="A4045" s="8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9">
        <f>B4045+30</f>
        <v/>
      </c>
      <c r="N4045">
        <f>IF(L4045="", "", L4045-B4045)</f>
        <v/>
      </c>
      <c r="O4045">
        <f>IF(L4045="", "Pending", IF(N4045&lt;=30, "Met", "Breached"))</f>
        <v/>
      </c>
      <c r="P4045" s="8" t="n"/>
      <c r="Q4045" s="8" t="n"/>
      <c r="R4045" s="8" t="n"/>
      <c r="S4045" s="8" t="n"/>
      <c r="T4045" s="8" t="n"/>
      <c r="U4045" s="8" t="n"/>
      <c r="V4045" s="8" t="n"/>
      <c r="W4045" s="8" t="n"/>
      <c r="X4045" s="8" t="n"/>
      <c r="Y4045" s="8" t="n"/>
    </row>
    <row r="4046">
      <c r="A4046" s="8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9">
        <f>B4046+30</f>
        <v/>
      </c>
      <c r="N4046">
        <f>IF(L4046="", "", L4046-B4046)</f>
        <v/>
      </c>
      <c r="O4046">
        <f>IF(L4046="", "Pending", IF(N4046&lt;=30, "Met", "Breached"))</f>
        <v/>
      </c>
      <c r="P4046" s="8" t="n"/>
      <c r="Q4046" s="8" t="n"/>
      <c r="R4046" s="8" t="n"/>
      <c r="S4046" s="8" t="n"/>
      <c r="T4046" s="8" t="n"/>
      <c r="U4046" s="8" t="n"/>
      <c r="V4046" s="8" t="n"/>
      <c r="W4046" s="8" t="n"/>
      <c r="X4046" s="8" t="n"/>
      <c r="Y4046" s="8" t="n"/>
    </row>
    <row r="4047">
      <c r="A4047" s="8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9">
        <f>B4047+30</f>
        <v/>
      </c>
      <c r="N4047">
        <f>IF(L4047="", "", L4047-B4047)</f>
        <v/>
      </c>
      <c r="O4047">
        <f>IF(L4047="", "Pending", IF(N4047&lt;=30, "Met", "Breached"))</f>
        <v/>
      </c>
      <c r="P4047" s="8" t="n"/>
      <c r="Q4047" s="8" t="n"/>
      <c r="R4047" s="8" t="n"/>
      <c r="S4047" s="8" t="n"/>
      <c r="T4047" s="8" t="n"/>
      <c r="U4047" s="8" t="n"/>
      <c r="V4047" s="8" t="n"/>
      <c r="W4047" s="8" t="n"/>
      <c r="X4047" s="8" t="n"/>
      <c r="Y4047" s="8" t="n"/>
    </row>
    <row r="4048">
      <c r="A4048" s="8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9">
        <f>B4048+30</f>
        <v/>
      </c>
      <c r="N4048">
        <f>IF(L4048="", "", L4048-B4048)</f>
        <v/>
      </c>
      <c r="O4048">
        <f>IF(L4048="", "Pending", IF(N4048&lt;=30, "Met", "Breached"))</f>
        <v/>
      </c>
      <c r="P4048" s="8" t="n"/>
      <c r="Q4048" s="8" t="n"/>
      <c r="R4048" s="8" t="n"/>
      <c r="S4048" s="8" t="n"/>
      <c r="T4048" s="8" t="n"/>
      <c r="U4048" s="8" t="n"/>
      <c r="V4048" s="8" t="n"/>
      <c r="W4048" s="8" t="n"/>
      <c r="X4048" s="8" t="n"/>
      <c r="Y4048" s="8" t="n"/>
    </row>
    <row r="4049">
      <c r="A4049" s="8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9">
        <f>B4049+30</f>
        <v/>
      </c>
      <c r="N4049">
        <f>IF(L4049="", "", L4049-B4049)</f>
        <v/>
      </c>
      <c r="O4049">
        <f>IF(L4049="", "Pending", IF(N4049&lt;=30, "Met", "Breached"))</f>
        <v/>
      </c>
      <c r="P4049" s="8" t="n"/>
      <c r="Q4049" s="8" t="n"/>
      <c r="R4049" s="8" t="n"/>
      <c r="S4049" s="8" t="n"/>
      <c r="T4049" s="8" t="n"/>
      <c r="U4049" s="8" t="n"/>
      <c r="V4049" s="8" t="n"/>
      <c r="W4049" s="8" t="n"/>
      <c r="X4049" s="8" t="n"/>
      <c r="Y4049" s="8" t="n"/>
    </row>
    <row r="4050">
      <c r="A4050" s="8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9">
        <f>B4050+30</f>
        <v/>
      </c>
      <c r="N4050">
        <f>IF(L4050="", "", L4050-B4050)</f>
        <v/>
      </c>
      <c r="O4050">
        <f>IF(L4050="", "Pending", IF(N4050&lt;=30, "Met", "Breached"))</f>
        <v/>
      </c>
      <c r="P4050" s="8" t="n"/>
      <c r="Q4050" s="8" t="n"/>
      <c r="R4050" s="8" t="n"/>
      <c r="S4050" s="8" t="n"/>
      <c r="T4050" s="8" t="n"/>
      <c r="U4050" s="8" t="n"/>
      <c r="V4050" s="8" t="n"/>
      <c r="W4050" s="8" t="n"/>
      <c r="X4050" s="8" t="n"/>
      <c r="Y4050" s="8" t="n"/>
    </row>
    <row r="4051">
      <c r="A4051" s="8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9">
        <f>B4051+30</f>
        <v/>
      </c>
      <c r="N4051">
        <f>IF(L4051="", "", L4051-B4051)</f>
        <v/>
      </c>
      <c r="O4051">
        <f>IF(L4051="", "Pending", IF(N4051&lt;=30, "Met", "Breached"))</f>
        <v/>
      </c>
      <c r="P4051" s="8" t="n"/>
      <c r="Q4051" s="8" t="n"/>
      <c r="R4051" s="8" t="n"/>
      <c r="S4051" s="8" t="n"/>
      <c r="T4051" s="8" t="n"/>
      <c r="U4051" s="8" t="n"/>
      <c r="V4051" s="8" t="n"/>
      <c r="W4051" s="8" t="n"/>
      <c r="X4051" s="8" t="n"/>
      <c r="Y4051" s="8" t="n"/>
    </row>
    <row r="4052">
      <c r="A4052" s="8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9">
        <f>B4052+30</f>
        <v/>
      </c>
      <c r="N4052">
        <f>IF(L4052="", "", L4052-B4052)</f>
        <v/>
      </c>
      <c r="O4052">
        <f>IF(L4052="", "Pending", IF(N4052&lt;=30, "Met", "Breached"))</f>
        <v/>
      </c>
      <c r="P4052" s="8" t="n"/>
      <c r="Q4052" s="8" t="n"/>
      <c r="R4052" s="8" t="n"/>
      <c r="S4052" s="8" t="n"/>
      <c r="T4052" s="8" t="n"/>
      <c r="U4052" s="8" t="n"/>
      <c r="V4052" s="8" t="n"/>
      <c r="W4052" s="8" t="n"/>
      <c r="X4052" s="8" t="n"/>
      <c r="Y4052" s="8" t="n"/>
    </row>
    <row r="4053">
      <c r="A4053" s="8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9">
        <f>B4053+30</f>
        <v/>
      </c>
      <c r="N4053">
        <f>IF(L4053="", "", L4053-B4053)</f>
        <v/>
      </c>
      <c r="O4053">
        <f>IF(L4053="", "Pending", IF(N4053&lt;=30, "Met", "Breached"))</f>
        <v/>
      </c>
      <c r="P4053" s="8" t="n"/>
      <c r="Q4053" s="8" t="n"/>
      <c r="R4053" s="8" t="n"/>
      <c r="S4053" s="8" t="n"/>
      <c r="T4053" s="8" t="n"/>
      <c r="U4053" s="8" t="n"/>
      <c r="V4053" s="8" t="n"/>
      <c r="W4053" s="8" t="n"/>
      <c r="X4053" s="8" t="n"/>
      <c r="Y4053" s="8" t="n"/>
    </row>
    <row r="4054">
      <c r="A4054" s="8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9">
        <f>B4054+30</f>
        <v/>
      </c>
      <c r="N4054">
        <f>IF(L4054="", "", L4054-B4054)</f>
        <v/>
      </c>
      <c r="O4054">
        <f>IF(L4054="", "Pending", IF(N4054&lt;=30, "Met", "Breached"))</f>
        <v/>
      </c>
      <c r="P4054" s="8" t="n"/>
      <c r="Q4054" s="8" t="n"/>
      <c r="R4054" s="8" t="n"/>
      <c r="S4054" s="8" t="n"/>
      <c r="T4054" s="8" t="n"/>
      <c r="U4054" s="8" t="n"/>
      <c r="V4054" s="8" t="n"/>
      <c r="W4054" s="8" t="n"/>
      <c r="X4054" s="8" t="n"/>
      <c r="Y4054" s="8" t="n"/>
    </row>
    <row r="4055">
      <c r="A4055" s="8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9">
        <f>B4055+30</f>
        <v/>
      </c>
      <c r="N4055">
        <f>IF(L4055="", "", L4055-B4055)</f>
        <v/>
      </c>
      <c r="O4055">
        <f>IF(L4055="", "Pending", IF(N4055&lt;=30, "Met", "Breached"))</f>
        <v/>
      </c>
      <c r="P4055" s="8" t="n"/>
      <c r="Q4055" s="8" t="n"/>
      <c r="R4055" s="8" t="n"/>
      <c r="S4055" s="8" t="n"/>
      <c r="T4055" s="8" t="n"/>
      <c r="U4055" s="8" t="n"/>
      <c r="V4055" s="8" t="n"/>
      <c r="W4055" s="8" t="n"/>
      <c r="X4055" s="8" t="n"/>
      <c r="Y4055" s="8" t="n"/>
    </row>
    <row r="4056">
      <c r="A4056" s="8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9">
        <f>B4056+30</f>
        <v/>
      </c>
      <c r="N4056">
        <f>IF(L4056="", "", L4056-B4056)</f>
        <v/>
      </c>
      <c r="O4056">
        <f>IF(L4056="", "Pending", IF(N4056&lt;=30, "Met", "Breached"))</f>
        <v/>
      </c>
      <c r="P4056" s="8" t="n"/>
      <c r="Q4056" s="8" t="n"/>
      <c r="R4056" s="8" t="n"/>
      <c r="S4056" s="8" t="n"/>
      <c r="T4056" s="8" t="n"/>
      <c r="U4056" s="8" t="n"/>
      <c r="V4056" s="8" t="n"/>
      <c r="W4056" s="8" t="n"/>
      <c r="X4056" s="8" t="n"/>
      <c r="Y4056" s="8" t="n"/>
    </row>
    <row r="4057">
      <c r="A4057" s="8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9">
        <f>B4057+30</f>
        <v/>
      </c>
      <c r="N4057">
        <f>IF(L4057="", "", L4057-B4057)</f>
        <v/>
      </c>
      <c r="O4057">
        <f>IF(L4057="", "Pending", IF(N4057&lt;=30, "Met", "Breached"))</f>
        <v/>
      </c>
      <c r="P4057" s="8" t="n"/>
      <c r="Q4057" s="8" t="n"/>
      <c r="R4057" s="8" t="n"/>
      <c r="S4057" s="8" t="n"/>
      <c r="T4057" s="8" t="n"/>
      <c r="U4057" s="8" t="n"/>
      <c r="V4057" s="8" t="n"/>
      <c r="W4057" s="8" t="n"/>
      <c r="X4057" s="8" t="n"/>
      <c r="Y4057" s="8" t="n"/>
    </row>
    <row r="4058">
      <c r="A4058" s="8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9">
        <f>B4058+30</f>
        <v/>
      </c>
      <c r="N4058">
        <f>IF(L4058="", "", L4058-B4058)</f>
        <v/>
      </c>
      <c r="O4058">
        <f>IF(L4058="", "Pending", IF(N4058&lt;=30, "Met", "Breached"))</f>
        <v/>
      </c>
      <c r="P4058" s="8" t="n"/>
      <c r="Q4058" s="8" t="n"/>
      <c r="R4058" s="8" t="n"/>
      <c r="S4058" s="8" t="n"/>
      <c r="T4058" s="8" t="n"/>
      <c r="U4058" s="8" t="n"/>
      <c r="V4058" s="8" t="n"/>
      <c r="W4058" s="8" t="n"/>
      <c r="X4058" s="8" t="n"/>
      <c r="Y4058" s="8" t="n"/>
    </row>
    <row r="4059">
      <c r="A4059" s="8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9">
        <f>B4059+30</f>
        <v/>
      </c>
      <c r="N4059">
        <f>IF(L4059="", "", L4059-B4059)</f>
        <v/>
      </c>
      <c r="O4059">
        <f>IF(L4059="", "Pending", IF(N4059&lt;=30, "Met", "Breached"))</f>
        <v/>
      </c>
      <c r="P4059" s="8" t="n"/>
      <c r="Q4059" s="8" t="n"/>
      <c r="R4059" s="8" t="n"/>
      <c r="S4059" s="8" t="n"/>
      <c r="T4059" s="8" t="n"/>
      <c r="U4059" s="8" t="n"/>
      <c r="V4059" s="8" t="n"/>
      <c r="W4059" s="8" t="n"/>
      <c r="X4059" s="8" t="n"/>
      <c r="Y4059" s="8" t="n"/>
    </row>
    <row r="4060">
      <c r="A4060" s="8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9">
        <f>B4060+30</f>
        <v/>
      </c>
      <c r="N4060">
        <f>IF(L4060="", "", L4060-B4060)</f>
        <v/>
      </c>
      <c r="O4060">
        <f>IF(L4060="", "Pending", IF(N4060&lt;=30, "Met", "Breached"))</f>
        <v/>
      </c>
      <c r="P4060" s="8" t="n"/>
      <c r="Q4060" s="8" t="n"/>
      <c r="R4060" s="8" t="n"/>
      <c r="S4060" s="8" t="n"/>
      <c r="T4060" s="8" t="n"/>
      <c r="U4060" s="8" t="n"/>
      <c r="V4060" s="8" t="n"/>
      <c r="W4060" s="8" t="n"/>
      <c r="X4060" s="8" t="n"/>
      <c r="Y4060" s="8" t="n"/>
    </row>
    <row r="4061">
      <c r="A4061" s="8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9">
        <f>B4061+30</f>
        <v/>
      </c>
      <c r="N4061">
        <f>IF(L4061="", "", L4061-B4061)</f>
        <v/>
      </c>
      <c r="O4061">
        <f>IF(L4061="", "Pending", IF(N4061&lt;=30, "Met", "Breached"))</f>
        <v/>
      </c>
      <c r="P4061" s="8" t="n"/>
      <c r="Q4061" s="8" t="n"/>
      <c r="R4061" s="8" t="n"/>
      <c r="S4061" s="8" t="n"/>
      <c r="T4061" s="8" t="n"/>
      <c r="U4061" s="8" t="n"/>
      <c r="V4061" s="8" t="n"/>
      <c r="W4061" s="8" t="n"/>
      <c r="X4061" s="8" t="n"/>
      <c r="Y4061" s="8" t="n"/>
    </row>
    <row r="4062">
      <c r="A4062" s="8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9">
        <f>B4062+30</f>
        <v/>
      </c>
      <c r="N4062">
        <f>IF(L4062="", "", L4062-B4062)</f>
        <v/>
      </c>
      <c r="O4062">
        <f>IF(L4062="", "Pending", IF(N4062&lt;=30, "Met", "Breached"))</f>
        <v/>
      </c>
      <c r="P4062" s="8" t="n"/>
      <c r="Q4062" s="8" t="n"/>
      <c r="R4062" s="8" t="n"/>
      <c r="S4062" s="8" t="n"/>
      <c r="T4062" s="8" t="n"/>
      <c r="U4062" s="8" t="n"/>
      <c r="V4062" s="8" t="n"/>
      <c r="W4062" s="8" t="n"/>
      <c r="X4062" s="8" t="n"/>
      <c r="Y4062" s="8" t="n"/>
    </row>
    <row r="4063">
      <c r="A4063" s="8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9">
        <f>B4063+30</f>
        <v/>
      </c>
      <c r="N4063">
        <f>IF(L4063="", "", L4063-B4063)</f>
        <v/>
      </c>
      <c r="O4063">
        <f>IF(L4063="", "Pending", IF(N4063&lt;=30, "Met", "Breached"))</f>
        <v/>
      </c>
      <c r="P4063" s="8" t="n"/>
      <c r="Q4063" s="8" t="n"/>
      <c r="R4063" s="8" t="n"/>
      <c r="S4063" s="8" t="n"/>
      <c r="T4063" s="8" t="n"/>
      <c r="U4063" s="8" t="n"/>
      <c r="V4063" s="8" t="n"/>
      <c r="W4063" s="8" t="n"/>
      <c r="X4063" s="8" t="n"/>
      <c r="Y4063" s="8" t="n"/>
    </row>
    <row r="4064">
      <c r="A4064" s="8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9">
        <f>B4064+30</f>
        <v/>
      </c>
      <c r="N4064">
        <f>IF(L4064="", "", L4064-B4064)</f>
        <v/>
      </c>
      <c r="O4064">
        <f>IF(L4064="", "Pending", IF(N4064&lt;=30, "Met", "Breached"))</f>
        <v/>
      </c>
      <c r="P4064" s="8" t="n"/>
      <c r="Q4064" s="8" t="n"/>
      <c r="R4064" s="8" t="n"/>
      <c r="S4064" s="8" t="n"/>
      <c r="T4064" s="8" t="n"/>
      <c r="U4064" s="8" t="n"/>
      <c r="V4064" s="8" t="n"/>
      <c r="W4064" s="8" t="n"/>
      <c r="X4064" s="8" t="n"/>
      <c r="Y4064" s="8" t="n"/>
    </row>
    <row r="4065">
      <c r="A4065" s="8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9">
        <f>B4065+30</f>
        <v/>
      </c>
      <c r="N4065">
        <f>IF(L4065="", "", L4065-B4065)</f>
        <v/>
      </c>
      <c r="O4065">
        <f>IF(L4065="", "Pending", IF(N4065&lt;=30, "Met", "Breached"))</f>
        <v/>
      </c>
      <c r="P4065" s="8" t="n"/>
      <c r="Q4065" s="8" t="n"/>
      <c r="R4065" s="8" t="n"/>
      <c r="S4065" s="8" t="n"/>
      <c r="T4065" s="8" t="n"/>
      <c r="U4065" s="8" t="n"/>
      <c r="V4065" s="8" t="n"/>
      <c r="W4065" s="8" t="n"/>
      <c r="X4065" s="8" t="n"/>
      <c r="Y4065" s="8" t="n"/>
    </row>
    <row r="4066">
      <c r="A4066" s="8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9">
        <f>B4066+30</f>
        <v/>
      </c>
      <c r="N4066">
        <f>IF(L4066="", "", L4066-B4066)</f>
        <v/>
      </c>
      <c r="O4066">
        <f>IF(L4066="", "Pending", IF(N4066&lt;=30, "Met", "Breached"))</f>
        <v/>
      </c>
      <c r="P4066" s="8" t="n"/>
      <c r="Q4066" s="8" t="n"/>
      <c r="R4066" s="8" t="n"/>
      <c r="S4066" s="8" t="n"/>
      <c r="T4066" s="8" t="n"/>
      <c r="U4066" s="8" t="n"/>
      <c r="V4066" s="8" t="n"/>
      <c r="W4066" s="8" t="n"/>
      <c r="X4066" s="8" t="n"/>
      <c r="Y4066" s="8" t="n"/>
    </row>
    <row r="4067">
      <c r="A4067" s="8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9">
        <f>B4067+30</f>
        <v/>
      </c>
      <c r="N4067">
        <f>IF(L4067="", "", L4067-B4067)</f>
        <v/>
      </c>
      <c r="O4067">
        <f>IF(L4067="", "Pending", IF(N4067&lt;=30, "Met", "Breached"))</f>
        <v/>
      </c>
      <c r="P4067" s="8" t="n"/>
      <c r="Q4067" s="8" t="n"/>
      <c r="R4067" s="8" t="n"/>
      <c r="S4067" s="8" t="n"/>
      <c r="T4067" s="8" t="n"/>
      <c r="U4067" s="8" t="n"/>
      <c r="V4067" s="8" t="n"/>
      <c r="W4067" s="8" t="n"/>
      <c r="X4067" s="8" t="n"/>
      <c r="Y4067" s="8" t="n"/>
    </row>
    <row r="4068">
      <c r="A4068" s="8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9">
        <f>B4068+30</f>
        <v/>
      </c>
      <c r="N4068">
        <f>IF(L4068="", "", L4068-B4068)</f>
        <v/>
      </c>
      <c r="O4068">
        <f>IF(L4068="", "Pending", IF(N4068&lt;=30, "Met", "Breached"))</f>
        <v/>
      </c>
      <c r="P4068" s="8" t="n"/>
      <c r="Q4068" s="8" t="n"/>
      <c r="R4068" s="8" t="n"/>
      <c r="S4068" s="8" t="n"/>
      <c r="T4068" s="8" t="n"/>
      <c r="U4068" s="8" t="n"/>
      <c r="V4068" s="8" t="n"/>
      <c r="W4068" s="8" t="n"/>
      <c r="X4068" s="8" t="n"/>
      <c r="Y4068" s="8" t="n"/>
    </row>
    <row r="4069">
      <c r="A4069" s="8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9">
        <f>B4069+30</f>
        <v/>
      </c>
      <c r="N4069">
        <f>IF(L4069="", "", L4069-B4069)</f>
        <v/>
      </c>
      <c r="O4069">
        <f>IF(L4069="", "Pending", IF(N4069&lt;=30, "Met", "Breached"))</f>
        <v/>
      </c>
      <c r="P4069" s="8" t="n"/>
      <c r="Q4069" s="8" t="n"/>
      <c r="R4069" s="8" t="n"/>
      <c r="S4069" s="8" t="n"/>
      <c r="T4069" s="8" t="n"/>
      <c r="U4069" s="8" t="n"/>
      <c r="V4069" s="8" t="n"/>
      <c r="W4069" s="8" t="n"/>
      <c r="X4069" s="8" t="n"/>
      <c r="Y4069" s="8" t="n"/>
    </row>
    <row r="4070">
      <c r="A4070" s="8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9">
        <f>B4070+30</f>
        <v/>
      </c>
      <c r="N4070">
        <f>IF(L4070="", "", L4070-B4070)</f>
        <v/>
      </c>
      <c r="O4070">
        <f>IF(L4070="", "Pending", IF(N4070&lt;=30, "Met", "Breached"))</f>
        <v/>
      </c>
      <c r="P4070" s="8" t="n"/>
      <c r="Q4070" s="8" t="n"/>
      <c r="R4070" s="8" t="n"/>
      <c r="S4070" s="8" t="n"/>
      <c r="T4070" s="8" t="n"/>
      <c r="U4070" s="8" t="n"/>
      <c r="V4070" s="8" t="n"/>
      <c r="W4070" s="8" t="n"/>
      <c r="X4070" s="8" t="n"/>
      <c r="Y4070" s="8" t="n"/>
    </row>
    <row r="4071">
      <c r="A4071" s="8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9">
        <f>B4071+30</f>
        <v/>
      </c>
      <c r="N4071">
        <f>IF(L4071="", "", L4071-B4071)</f>
        <v/>
      </c>
      <c r="O4071">
        <f>IF(L4071="", "Pending", IF(N4071&lt;=30, "Met", "Breached"))</f>
        <v/>
      </c>
      <c r="P4071" s="8" t="n"/>
      <c r="Q4071" s="8" t="n"/>
      <c r="R4071" s="8" t="n"/>
      <c r="S4071" s="8" t="n"/>
      <c r="T4071" s="8" t="n"/>
      <c r="U4071" s="8" t="n"/>
      <c r="V4071" s="8" t="n"/>
      <c r="W4071" s="8" t="n"/>
      <c r="X4071" s="8" t="n"/>
      <c r="Y4071" s="8" t="n"/>
    </row>
    <row r="4072">
      <c r="A4072" s="8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9">
        <f>B4072+30</f>
        <v/>
      </c>
      <c r="N4072">
        <f>IF(L4072="", "", L4072-B4072)</f>
        <v/>
      </c>
      <c r="O4072">
        <f>IF(L4072="", "Pending", IF(N4072&lt;=30, "Met", "Breached"))</f>
        <v/>
      </c>
      <c r="P4072" s="8" t="n"/>
      <c r="Q4072" s="8" t="n"/>
      <c r="R4072" s="8" t="n"/>
      <c r="S4072" s="8" t="n"/>
      <c r="T4072" s="8" t="n"/>
      <c r="U4072" s="8" t="n"/>
      <c r="V4072" s="8" t="n"/>
      <c r="W4072" s="8" t="n"/>
      <c r="X4072" s="8" t="n"/>
      <c r="Y4072" s="8" t="n"/>
    </row>
    <row r="4073">
      <c r="A4073" s="8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9">
        <f>B4073+30</f>
        <v/>
      </c>
      <c r="N4073">
        <f>IF(L4073="", "", L4073-B4073)</f>
        <v/>
      </c>
      <c r="O4073">
        <f>IF(L4073="", "Pending", IF(N4073&lt;=30, "Met", "Breached"))</f>
        <v/>
      </c>
      <c r="P4073" s="8" t="n"/>
      <c r="Q4073" s="8" t="n"/>
      <c r="R4073" s="8" t="n"/>
      <c r="S4073" s="8" t="n"/>
      <c r="T4073" s="8" t="n"/>
      <c r="U4073" s="8" t="n"/>
      <c r="V4073" s="8" t="n"/>
      <c r="W4073" s="8" t="n"/>
      <c r="X4073" s="8" t="n"/>
      <c r="Y4073" s="8" t="n"/>
    </row>
    <row r="4074">
      <c r="A4074" s="8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9">
        <f>B4074+30</f>
        <v/>
      </c>
      <c r="N4074">
        <f>IF(L4074="", "", L4074-B4074)</f>
        <v/>
      </c>
      <c r="O4074">
        <f>IF(L4074="", "Pending", IF(N4074&lt;=30, "Met", "Breached"))</f>
        <v/>
      </c>
      <c r="P4074" s="8" t="n"/>
      <c r="Q4074" s="8" t="n"/>
      <c r="R4074" s="8" t="n"/>
      <c r="S4074" s="8" t="n"/>
      <c r="T4074" s="8" t="n"/>
      <c r="U4074" s="8" t="n"/>
      <c r="V4074" s="8" t="n"/>
      <c r="W4074" s="8" t="n"/>
      <c r="X4074" s="8" t="n"/>
      <c r="Y4074" s="8" t="n"/>
    </row>
    <row r="4075">
      <c r="A4075" s="8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9">
        <f>B4075+30</f>
        <v/>
      </c>
      <c r="N4075">
        <f>IF(L4075="", "", L4075-B4075)</f>
        <v/>
      </c>
      <c r="O4075">
        <f>IF(L4075="", "Pending", IF(N4075&lt;=30, "Met", "Breached"))</f>
        <v/>
      </c>
      <c r="P4075" s="8" t="n"/>
      <c r="Q4075" s="8" t="n"/>
      <c r="R4075" s="8" t="n"/>
      <c r="S4075" s="8" t="n"/>
      <c r="T4075" s="8" t="n"/>
      <c r="U4075" s="8" t="n"/>
      <c r="V4075" s="8" t="n"/>
      <c r="W4075" s="8" t="n"/>
      <c r="X4075" s="8" t="n"/>
      <c r="Y4075" s="8" t="n"/>
    </row>
    <row r="4076">
      <c r="A4076" s="8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9">
        <f>B4076+30</f>
        <v/>
      </c>
      <c r="N4076">
        <f>IF(L4076="", "", L4076-B4076)</f>
        <v/>
      </c>
      <c r="O4076">
        <f>IF(L4076="", "Pending", IF(N4076&lt;=30, "Met", "Breached"))</f>
        <v/>
      </c>
      <c r="P4076" s="8" t="n"/>
      <c r="Q4076" s="8" t="n"/>
      <c r="R4076" s="8" t="n"/>
      <c r="S4076" s="8" t="n"/>
      <c r="T4076" s="8" t="n"/>
      <c r="U4076" s="8" t="n"/>
      <c r="V4076" s="8" t="n"/>
      <c r="W4076" s="8" t="n"/>
      <c r="X4076" s="8" t="n"/>
      <c r="Y4076" s="8" t="n"/>
    </row>
    <row r="4077">
      <c r="A4077" s="8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9">
        <f>B4077+30</f>
        <v/>
      </c>
      <c r="N4077">
        <f>IF(L4077="", "", L4077-B4077)</f>
        <v/>
      </c>
      <c r="O4077">
        <f>IF(L4077="", "Pending", IF(N4077&lt;=30, "Met", "Breached"))</f>
        <v/>
      </c>
      <c r="P4077" s="8" t="n"/>
      <c r="Q4077" s="8" t="n"/>
      <c r="R4077" s="8" t="n"/>
      <c r="S4077" s="8" t="n"/>
      <c r="T4077" s="8" t="n"/>
      <c r="U4077" s="8" t="n"/>
      <c r="V4077" s="8" t="n"/>
      <c r="W4077" s="8" t="n"/>
      <c r="X4077" s="8" t="n"/>
      <c r="Y4077" s="8" t="n"/>
    </row>
    <row r="4078">
      <c r="A4078" s="8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9">
        <f>B4078+30</f>
        <v/>
      </c>
      <c r="N4078">
        <f>IF(L4078="", "", L4078-B4078)</f>
        <v/>
      </c>
      <c r="O4078">
        <f>IF(L4078="", "Pending", IF(N4078&lt;=30, "Met", "Breached"))</f>
        <v/>
      </c>
      <c r="P4078" s="8" t="n"/>
      <c r="Q4078" s="8" t="n"/>
      <c r="R4078" s="8" t="n"/>
      <c r="S4078" s="8" t="n"/>
      <c r="T4078" s="8" t="n"/>
      <c r="U4078" s="8" t="n"/>
      <c r="V4078" s="8" t="n"/>
      <c r="W4078" s="8" t="n"/>
      <c r="X4078" s="8" t="n"/>
      <c r="Y4078" s="8" t="n"/>
    </row>
    <row r="4079">
      <c r="A4079" s="8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9">
        <f>B4079+30</f>
        <v/>
      </c>
      <c r="N4079">
        <f>IF(L4079="", "", L4079-B4079)</f>
        <v/>
      </c>
      <c r="O4079">
        <f>IF(L4079="", "Pending", IF(N4079&lt;=30, "Met", "Breached"))</f>
        <v/>
      </c>
      <c r="P4079" s="8" t="n"/>
      <c r="Q4079" s="8" t="n"/>
      <c r="R4079" s="8" t="n"/>
      <c r="S4079" s="8" t="n"/>
      <c r="T4079" s="8" t="n"/>
      <c r="U4079" s="8" t="n"/>
      <c r="V4079" s="8" t="n"/>
      <c r="W4079" s="8" t="n"/>
      <c r="X4079" s="8" t="n"/>
      <c r="Y4079" s="8" t="n"/>
    </row>
    <row r="4080">
      <c r="A4080" s="8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9">
        <f>B4080+30</f>
        <v/>
      </c>
      <c r="N4080">
        <f>IF(L4080="", "", L4080-B4080)</f>
        <v/>
      </c>
      <c r="O4080">
        <f>IF(L4080="", "Pending", IF(N4080&lt;=30, "Met", "Breached"))</f>
        <v/>
      </c>
      <c r="P4080" s="8" t="n"/>
      <c r="Q4080" s="8" t="n"/>
      <c r="R4080" s="8" t="n"/>
      <c r="S4080" s="8" t="n"/>
      <c r="T4080" s="8" t="n"/>
      <c r="U4080" s="8" t="n"/>
      <c r="V4080" s="8" t="n"/>
      <c r="W4080" s="8" t="n"/>
      <c r="X4080" s="8" t="n"/>
      <c r="Y4080" s="8" t="n"/>
    </row>
    <row r="4081">
      <c r="A4081" s="8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9">
        <f>B4081+30</f>
        <v/>
      </c>
      <c r="N4081">
        <f>IF(L4081="", "", L4081-B4081)</f>
        <v/>
      </c>
      <c r="O4081">
        <f>IF(L4081="", "Pending", IF(N4081&lt;=30, "Met", "Breached"))</f>
        <v/>
      </c>
      <c r="P4081" s="8" t="n"/>
      <c r="Q4081" s="8" t="n"/>
      <c r="R4081" s="8" t="n"/>
      <c r="S4081" s="8" t="n"/>
      <c r="T4081" s="8" t="n"/>
      <c r="U4081" s="8" t="n"/>
      <c r="V4081" s="8" t="n"/>
      <c r="W4081" s="8" t="n"/>
      <c r="X4081" s="8" t="n"/>
      <c r="Y4081" s="8" t="n"/>
    </row>
    <row r="4082">
      <c r="A4082" s="8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9">
        <f>B4082+30</f>
        <v/>
      </c>
      <c r="N4082">
        <f>IF(L4082="", "", L4082-B4082)</f>
        <v/>
      </c>
      <c r="O4082">
        <f>IF(L4082="", "Pending", IF(N4082&lt;=30, "Met", "Breached"))</f>
        <v/>
      </c>
      <c r="P4082" s="8" t="n"/>
      <c r="Q4082" s="8" t="n"/>
      <c r="R4082" s="8" t="n"/>
      <c r="S4082" s="8" t="n"/>
      <c r="T4082" s="8" t="n"/>
      <c r="U4082" s="8" t="n"/>
      <c r="V4082" s="8" t="n"/>
      <c r="W4082" s="8" t="n"/>
      <c r="X4082" s="8" t="n"/>
      <c r="Y4082" s="8" t="n"/>
    </row>
    <row r="4083">
      <c r="A4083" s="8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9">
        <f>B4083+30</f>
        <v/>
      </c>
      <c r="N4083">
        <f>IF(L4083="", "", L4083-B4083)</f>
        <v/>
      </c>
      <c r="O4083">
        <f>IF(L4083="", "Pending", IF(N4083&lt;=30, "Met", "Breached"))</f>
        <v/>
      </c>
      <c r="P4083" s="8" t="n"/>
      <c r="Q4083" s="8" t="n"/>
      <c r="R4083" s="8" t="n"/>
      <c r="S4083" s="8" t="n"/>
      <c r="T4083" s="8" t="n"/>
      <c r="U4083" s="8" t="n"/>
      <c r="V4083" s="8" t="n"/>
      <c r="W4083" s="8" t="n"/>
      <c r="X4083" s="8" t="n"/>
      <c r="Y4083" s="8" t="n"/>
    </row>
    <row r="4084">
      <c r="A4084" s="8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9">
        <f>B4084+30</f>
        <v/>
      </c>
      <c r="N4084">
        <f>IF(L4084="", "", L4084-B4084)</f>
        <v/>
      </c>
      <c r="O4084">
        <f>IF(L4084="", "Pending", IF(N4084&lt;=30, "Met", "Breached"))</f>
        <v/>
      </c>
      <c r="P4084" s="8" t="n"/>
      <c r="Q4084" s="8" t="n"/>
      <c r="R4084" s="8" t="n"/>
      <c r="S4084" s="8" t="n"/>
      <c r="T4084" s="8" t="n"/>
      <c r="U4084" s="8" t="n"/>
      <c r="V4084" s="8" t="n"/>
      <c r="W4084" s="8" t="n"/>
      <c r="X4084" s="8" t="n"/>
      <c r="Y4084" s="8" t="n"/>
    </row>
    <row r="4085">
      <c r="A4085" s="8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9">
        <f>B4085+30</f>
        <v/>
      </c>
      <c r="N4085">
        <f>IF(L4085="", "", L4085-B4085)</f>
        <v/>
      </c>
      <c r="O4085">
        <f>IF(L4085="", "Pending", IF(N4085&lt;=30, "Met", "Breached"))</f>
        <v/>
      </c>
      <c r="P4085" s="8" t="n"/>
      <c r="Q4085" s="8" t="n"/>
      <c r="R4085" s="8" t="n"/>
      <c r="S4085" s="8" t="n"/>
      <c r="T4085" s="8" t="n"/>
      <c r="U4085" s="8" t="n"/>
      <c r="V4085" s="8" t="n"/>
      <c r="W4085" s="8" t="n"/>
      <c r="X4085" s="8" t="n"/>
      <c r="Y4085" s="8" t="n"/>
    </row>
    <row r="4086">
      <c r="A4086" s="8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9">
        <f>B4086+30</f>
        <v/>
      </c>
      <c r="N4086">
        <f>IF(L4086="", "", L4086-B4086)</f>
        <v/>
      </c>
      <c r="O4086">
        <f>IF(L4086="", "Pending", IF(N4086&lt;=30, "Met", "Breached"))</f>
        <v/>
      </c>
      <c r="P4086" s="8" t="n"/>
      <c r="Q4086" s="8" t="n"/>
      <c r="R4086" s="8" t="n"/>
      <c r="S4086" s="8" t="n"/>
      <c r="T4086" s="8" t="n"/>
      <c r="U4086" s="8" t="n"/>
      <c r="V4086" s="8" t="n"/>
      <c r="W4086" s="8" t="n"/>
      <c r="X4086" s="8" t="n"/>
      <c r="Y4086" s="8" t="n"/>
    </row>
    <row r="4087">
      <c r="A4087" s="8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9">
        <f>B4087+30</f>
        <v/>
      </c>
      <c r="N4087">
        <f>IF(L4087="", "", L4087-B4087)</f>
        <v/>
      </c>
      <c r="O4087">
        <f>IF(L4087="", "Pending", IF(N4087&lt;=30, "Met", "Breached"))</f>
        <v/>
      </c>
      <c r="P4087" s="8" t="n"/>
      <c r="Q4087" s="8" t="n"/>
      <c r="R4087" s="8" t="n"/>
      <c r="S4087" s="8" t="n"/>
      <c r="T4087" s="8" t="n"/>
      <c r="U4087" s="8" t="n"/>
      <c r="V4087" s="8" t="n"/>
      <c r="W4087" s="8" t="n"/>
      <c r="X4087" s="8" t="n"/>
      <c r="Y4087" s="8" t="n"/>
    </row>
    <row r="4088">
      <c r="A4088" s="8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9">
        <f>B4088+30</f>
        <v/>
      </c>
      <c r="N4088">
        <f>IF(L4088="", "", L4088-B4088)</f>
        <v/>
      </c>
      <c r="O4088">
        <f>IF(L4088="", "Pending", IF(N4088&lt;=30, "Met", "Breached"))</f>
        <v/>
      </c>
      <c r="P4088" s="8" t="n"/>
      <c r="Q4088" s="8" t="n"/>
      <c r="R4088" s="8" t="n"/>
      <c r="S4088" s="8" t="n"/>
      <c r="T4088" s="8" t="n"/>
      <c r="U4088" s="8" t="n"/>
      <c r="V4088" s="8" t="n"/>
      <c r="W4088" s="8" t="n"/>
      <c r="X4088" s="8" t="n"/>
      <c r="Y4088" s="8" t="n"/>
    </row>
    <row r="4089">
      <c r="A4089" s="8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9">
        <f>B4089+30</f>
        <v/>
      </c>
      <c r="N4089">
        <f>IF(L4089="", "", L4089-B4089)</f>
        <v/>
      </c>
      <c r="O4089">
        <f>IF(L4089="", "Pending", IF(N4089&lt;=30, "Met", "Breached"))</f>
        <v/>
      </c>
      <c r="P4089" s="8" t="n"/>
      <c r="Q4089" s="8" t="n"/>
      <c r="R4089" s="8" t="n"/>
      <c r="S4089" s="8" t="n"/>
      <c r="T4089" s="8" t="n"/>
      <c r="U4089" s="8" t="n"/>
      <c r="V4089" s="8" t="n"/>
      <c r="W4089" s="8" t="n"/>
      <c r="X4089" s="8" t="n"/>
      <c r="Y4089" s="8" t="n"/>
    </row>
    <row r="4090">
      <c r="A4090" s="8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9">
        <f>B4090+30</f>
        <v/>
      </c>
      <c r="N4090">
        <f>IF(L4090="", "", L4090-B4090)</f>
        <v/>
      </c>
      <c r="O4090">
        <f>IF(L4090="", "Pending", IF(N4090&lt;=30, "Met", "Breached"))</f>
        <v/>
      </c>
      <c r="P4090" s="8" t="n"/>
      <c r="Q4090" s="8" t="n"/>
      <c r="R4090" s="8" t="n"/>
      <c r="S4090" s="8" t="n"/>
      <c r="T4090" s="8" t="n"/>
      <c r="U4090" s="8" t="n"/>
      <c r="V4090" s="8" t="n"/>
      <c r="W4090" s="8" t="n"/>
      <c r="X4090" s="8" t="n"/>
      <c r="Y4090" s="8" t="n"/>
    </row>
    <row r="4091">
      <c r="A4091" s="8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9">
        <f>B4091+30</f>
        <v/>
      </c>
      <c r="N4091">
        <f>IF(L4091="", "", L4091-B4091)</f>
        <v/>
      </c>
      <c r="O4091">
        <f>IF(L4091="", "Pending", IF(N4091&lt;=30, "Met", "Breached"))</f>
        <v/>
      </c>
      <c r="P4091" s="8" t="n"/>
      <c r="Q4091" s="8" t="n"/>
      <c r="R4091" s="8" t="n"/>
      <c r="S4091" s="8" t="n"/>
      <c r="T4091" s="8" t="n"/>
      <c r="U4091" s="8" t="n"/>
      <c r="V4091" s="8" t="n"/>
      <c r="W4091" s="8" t="n"/>
      <c r="X4091" s="8" t="n"/>
      <c r="Y4091" s="8" t="n"/>
    </row>
    <row r="4092">
      <c r="A4092" s="8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9">
        <f>B4092+30</f>
        <v/>
      </c>
      <c r="N4092">
        <f>IF(L4092="", "", L4092-B4092)</f>
        <v/>
      </c>
      <c r="O4092">
        <f>IF(L4092="", "Pending", IF(N4092&lt;=30, "Met", "Breached"))</f>
        <v/>
      </c>
      <c r="P4092" s="8" t="n"/>
      <c r="Q4092" s="8" t="n"/>
      <c r="R4092" s="8" t="n"/>
      <c r="S4092" s="8" t="n"/>
      <c r="T4092" s="8" t="n"/>
      <c r="U4092" s="8" t="n"/>
      <c r="V4092" s="8" t="n"/>
      <c r="W4092" s="8" t="n"/>
      <c r="X4092" s="8" t="n"/>
      <c r="Y4092" s="8" t="n"/>
    </row>
    <row r="4093">
      <c r="A4093" s="8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9">
        <f>B4093+30</f>
        <v/>
      </c>
      <c r="N4093">
        <f>IF(L4093="", "", L4093-B4093)</f>
        <v/>
      </c>
      <c r="O4093">
        <f>IF(L4093="", "Pending", IF(N4093&lt;=30, "Met", "Breached"))</f>
        <v/>
      </c>
      <c r="P4093" s="8" t="n"/>
      <c r="Q4093" s="8" t="n"/>
      <c r="R4093" s="8" t="n"/>
      <c r="S4093" s="8" t="n"/>
      <c r="T4093" s="8" t="n"/>
      <c r="U4093" s="8" t="n"/>
      <c r="V4093" s="8" t="n"/>
      <c r="W4093" s="8" t="n"/>
      <c r="X4093" s="8" t="n"/>
      <c r="Y4093" s="8" t="n"/>
    </row>
    <row r="4094">
      <c r="A4094" s="8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9">
        <f>B4094+30</f>
        <v/>
      </c>
      <c r="N4094">
        <f>IF(L4094="", "", L4094-B4094)</f>
        <v/>
      </c>
      <c r="O4094">
        <f>IF(L4094="", "Pending", IF(N4094&lt;=30, "Met", "Breached"))</f>
        <v/>
      </c>
      <c r="P4094" s="8" t="n"/>
      <c r="Q4094" s="8" t="n"/>
      <c r="R4094" s="8" t="n"/>
      <c r="S4094" s="8" t="n"/>
      <c r="T4094" s="8" t="n"/>
      <c r="U4094" s="8" t="n"/>
      <c r="V4094" s="8" t="n"/>
      <c r="W4094" s="8" t="n"/>
      <c r="X4094" s="8" t="n"/>
      <c r="Y4094" s="8" t="n"/>
    </row>
    <row r="4095">
      <c r="A4095" s="8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9">
        <f>B4095+30</f>
        <v/>
      </c>
      <c r="N4095">
        <f>IF(L4095="", "", L4095-B4095)</f>
        <v/>
      </c>
      <c r="O4095">
        <f>IF(L4095="", "Pending", IF(N4095&lt;=30, "Met", "Breached"))</f>
        <v/>
      </c>
      <c r="P4095" s="8" t="n"/>
      <c r="Q4095" s="8" t="n"/>
      <c r="R4095" s="8" t="n"/>
      <c r="S4095" s="8" t="n"/>
      <c r="T4095" s="8" t="n"/>
      <c r="U4095" s="8" t="n"/>
      <c r="V4095" s="8" t="n"/>
      <c r="W4095" s="8" t="n"/>
      <c r="X4095" s="8" t="n"/>
      <c r="Y4095" s="8" t="n"/>
    </row>
    <row r="4096">
      <c r="A4096" s="8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9">
        <f>B4096+30</f>
        <v/>
      </c>
      <c r="N4096">
        <f>IF(L4096="", "", L4096-B4096)</f>
        <v/>
      </c>
      <c r="O4096">
        <f>IF(L4096="", "Pending", IF(N4096&lt;=30, "Met", "Breached"))</f>
        <v/>
      </c>
      <c r="P4096" s="8" t="n"/>
      <c r="Q4096" s="8" t="n"/>
      <c r="R4096" s="8" t="n"/>
      <c r="S4096" s="8" t="n"/>
      <c r="T4096" s="8" t="n"/>
      <c r="U4096" s="8" t="n"/>
      <c r="V4096" s="8" t="n"/>
      <c r="W4096" s="8" t="n"/>
      <c r="X4096" s="8" t="n"/>
      <c r="Y4096" s="8" t="n"/>
    </row>
    <row r="4097">
      <c r="A4097" s="8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9">
        <f>B4097+30</f>
        <v/>
      </c>
      <c r="N4097">
        <f>IF(L4097="", "", L4097-B4097)</f>
        <v/>
      </c>
      <c r="O4097">
        <f>IF(L4097="", "Pending", IF(N4097&lt;=30, "Met", "Breached"))</f>
        <v/>
      </c>
      <c r="P4097" s="8" t="n"/>
      <c r="Q4097" s="8" t="n"/>
      <c r="R4097" s="8" t="n"/>
      <c r="S4097" s="8" t="n"/>
      <c r="T4097" s="8" t="n"/>
      <c r="U4097" s="8" t="n"/>
      <c r="V4097" s="8" t="n"/>
      <c r="W4097" s="8" t="n"/>
      <c r="X4097" s="8" t="n"/>
      <c r="Y4097" s="8" t="n"/>
    </row>
    <row r="4098">
      <c r="A4098" s="8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9">
        <f>B4098+30</f>
        <v/>
      </c>
      <c r="N4098">
        <f>IF(L4098="", "", L4098-B4098)</f>
        <v/>
      </c>
      <c r="O4098">
        <f>IF(L4098="", "Pending", IF(N4098&lt;=30, "Met", "Breached"))</f>
        <v/>
      </c>
      <c r="P4098" s="8" t="n"/>
      <c r="Q4098" s="8" t="n"/>
      <c r="R4098" s="8" t="n"/>
      <c r="S4098" s="8" t="n"/>
      <c r="T4098" s="8" t="n"/>
      <c r="U4098" s="8" t="n"/>
      <c r="V4098" s="8" t="n"/>
      <c r="W4098" s="8" t="n"/>
      <c r="X4098" s="8" t="n"/>
      <c r="Y4098" s="8" t="n"/>
    </row>
    <row r="4099">
      <c r="A4099" s="8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9">
        <f>B4099+30</f>
        <v/>
      </c>
      <c r="N4099">
        <f>IF(L4099="", "", L4099-B4099)</f>
        <v/>
      </c>
      <c r="O4099">
        <f>IF(L4099="", "Pending", IF(N4099&lt;=30, "Met", "Breached"))</f>
        <v/>
      </c>
      <c r="P4099" s="8" t="n"/>
      <c r="Q4099" s="8" t="n"/>
      <c r="R4099" s="8" t="n"/>
      <c r="S4099" s="8" t="n"/>
      <c r="T4099" s="8" t="n"/>
      <c r="U4099" s="8" t="n"/>
      <c r="V4099" s="8" t="n"/>
      <c r="W4099" s="8" t="n"/>
      <c r="X4099" s="8" t="n"/>
      <c r="Y4099" s="8" t="n"/>
    </row>
    <row r="4100">
      <c r="A4100" s="8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9">
        <f>B4100+30</f>
        <v/>
      </c>
      <c r="N4100">
        <f>IF(L4100="", "", L4100-B4100)</f>
        <v/>
      </c>
      <c r="O4100">
        <f>IF(L4100="", "Pending", IF(N4100&lt;=30, "Met", "Breached"))</f>
        <v/>
      </c>
      <c r="P4100" s="8" t="n"/>
      <c r="Q4100" s="8" t="n"/>
      <c r="R4100" s="8" t="n"/>
      <c r="S4100" s="8" t="n"/>
      <c r="T4100" s="8" t="n"/>
      <c r="U4100" s="8" t="n"/>
      <c r="V4100" s="8" t="n"/>
      <c r="W4100" s="8" t="n"/>
      <c r="X4100" s="8" t="n"/>
      <c r="Y4100" s="8" t="n"/>
    </row>
    <row r="4101">
      <c r="A4101" s="8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9">
        <f>B4101+30</f>
        <v/>
      </c>
      <c r="N4101">
        <f>IF(L4101="", "", L4101-B4101)</f>
        <v/>
      </c>
      <c r="O4101">
        <f>IF(L4101="", "Pending", IF(N4101&lt;=30, "Met", "Breached"))</f>
        <v/>
      </c>
      <c r="P4101" s="8" t="n"/>
      <c r="Q4101" s="8" t="n"/>
      <c r="R4101" s="8" t="n"/>
      <c r="S4101" s="8" t="n"/>
      <c r="T4101" s="8" t="n"/>
      <c r="U4101" s="8" t="n"/>
      <c r="V4101" s="8" t="n"/>
      <c r="W4101" s="8" t="n"/>
      <c r="X4101" s="8" t="n"/>
      <c r="Y4101" s="8" t="n"/>
    </row>
    <row r="4102">
      <c r="A4102" s="8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9">
        <f>B4102+30</f>
        <v/>
      </c>
      <c r="N4102">
        <f>IF(L4102="", "", L4102-B4102)</f>
        <v/>
      </c>
      <c r="O4102">
        <f>IF(L4102="", "Pending", IF(N4102&lt;=30, "Met", "Breached"))</f>
        <v/>
      </c>
      <c r="P4102" s="8" t="n"/>
      <c r="Q4102" s="8" t="n"/>
      <c r="R4102" s="8" t="n"/>
      <c r="S4102" s="8" t="n"/>
      <c r="T4102" s="8" t="n"/>
      <c r="U4102" s="8" t="n"/>
      <c r="V4102" s="8" t="n"/>
      <c r="W4102" s="8" t="n"/>
      <c r="X4102" s="8" t="n"/>
      <c r="Y4102" s="8" t="n"/>
    </row>
    <row r="4103">
      <c r="A4103" s="8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9">
        <f>B4103+30</f>
        <v/>
      </c>
      <c r="N4103">
        <f>IF(L4103="", "", L4103-B4103)</f>
        <v/>
      </c>
      <c r="O4103">
        <f>IF(L4103="", "Pending", IF(N4103&lt;=30, "Met", "Breached"))</f>
        <v/>
      </c>
      <c r="P4103" s="8" t="n"/>
      <c r="Q4103" s="8" t="n"/>
      <c r="R4103" s="8" t="n"/>
      <c r="S4103" s="8" t="n"/>
      <c r="T4103" s="8" t="n"/>
      <c r="U4103" s="8" t="n"/>
      <c r="V4103" s="8" t="n"/>
      <c r="W4103" s="8" t="n"/>
      <c r="X4103" s="8" t="n"/>
      <c r="Y4103" s="8" t="n"/>
    </row>
    <row r="4104">
      <c r="A4104" s="8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9">
        <f>B4104+30</f>
        <v/>
      </c>
      <c r="N4104">
        <f>IF(L4104="", "", L4104-B4104)</f>
        <v/>
      </c>
      <c r="O4104">
        <f>IF(L4104="", "Pending", IF(N4104&lt;=30, "Met", "Breached"))</f>
        <v/>
      </c>
      <c r="P4104" s="8" t="n"/>
      <c r="Q4104" s="8" t="n"/>
      <c r="R4104" s="8" t="n"/>
      <c r="S4104" s="8" t="n"/>
      <c r="T4104" s="8" t="n"/>
      <c r="U4104" s="8" t="n"/>
      <c r="V4104" s="8" t="n"/>
      <c r="W4104" s="8" t="n"/>
      <c r="X4104" s="8" t="n"/>
      <c r="Y4104" s="8" t="n"/>
    </row>
    <row r="4105">
      <c r="A4105" s="8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9">
        <f>B4105+30</f>
        <v/>
      </c>
      <c r="N4105">
        <f>IF(L4105="", "", L4105-B4105)</f>
        <v/>
      </c>
      <c r="O4105">
        <f>IF(L4105="", "Pending", IF(N4105&lt;=30, "Met", "Breached"))</f>
        <v/>
      </c>
      <c r="P4105" s="8" t="n"/>
      <c r="Q4105" s="8" t="n"/>
      <c r="R4105" s="8" t="n"/>
      <c r="S4105" s="8" t="n"/>
      <c r="T4105" s="8" t="n"/>
      <c r="U4105" s="8" t="n"/>
      <c r="V4105" s="8" t="n"/>
      <c r="W4105" s="8" t="n"/>
      <c r="X4105" s="8" t="n"/>
      <c r="Y4105" s="8" t="n"/>
    </row>
    <row r="4106">
      <c r="A4106" s="8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9">
        <f>B4106+30</f>
        <v/>
      </c>
      <c r="N4106">
        <f>IF(L4106="", "", L4106-B4106)</f>
        <v/>
      </c>
      <c r="O4106">
        <f>IF(L4106="", "Pending", IF(N4106&lt;=30, "Met", "Breached"))</f>
        <v/>
      </c>
      <c r="P4106" s="8" t="n"/>
      <c r="Q4106" s="8" t="n"/>
      <c r="R4106" s="8" t="n"/>
      <c r="S4106" s="8" t="n"/>
      <c r="T4106" s="8" t="n"/>
      <c r="U4106" s="8" t="n"/>
      <c r="V4106" s="8" t="n"/>
      <c r="W4106" s="8" t="n"/>
      <c r="X4106" s="8" t="n"/>
      <c r="Y4106" s="8" t="n"/>
    </row>
    <row r="4107">
      <c r="A4107" s="8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9">
        <f>B4107+30</f>
        <v/>
      </c>
      <c r="N4107">
        <f>IF(L4107="", "", L4107-B4107)</f>
        <v/>
      </c>
      <c r="O4107">
        <f>IF(L4107="", "Pending", IF(N4107&lt;=30, "Met", "Breached"))</f>
        <v/>
      </c>
      <c r="P4107" s="8" t="n"/>
      <c r="Q4107" s="8" t="n"/>
      <c r="R4107" s="8" t="n"/>
      <c r="S4107" s="8" t="n"/>
      <c r="T4107" s="8" t="n"/>
      <c r="U4107" s="8" t="n"/>
      <c r="V4107" s="8" t="n"/>
      <c r="W4107" s="8" t="n"/>
      <c r="X4107" s="8" t="n"/>
      <c r="Y4107" s="8" t="n"/>
    </row>
    <row r="4108">
      <c r="A4108" s="8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9">
        <f>B4108+30</f>
        <v/>
      </c>
      <c r="N4108">
        <f>IF(L4108="", "", L4108-B4108)</f>
        <v/>
      </c>
      <c r="O4108">
        <f>IF(L4108="", "Pending", IF(N4108&lt;=30, "Met", "Breached"))</f>
        <v/>
      </c>
      <c r="P4108" s="8" t="n"/>
      <c r="Q4108" s="8" t="n"/>
      <c r="R4108" s="8" t="n"/>
      <c r="S4108" s="8" t="n"/>
      <c r="T4108" s="8" t="n"/>
      <c r="U4108" s="8" t="n"/>
      <c r="V4108" s="8" t="n"/>
      <c r="W4108" s="8" t="n"/>
      <c r="X4108" s="8" t="n"/>
      <c r="Y4108" s="8" t="n"/>
    </row>
    <row r="4109">
      <c r="A4109" s="8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9">
        <f>B4109+30</f>
        <v/>
      </c>
      <c r="N4109">
        <f>IF(L4109="", "", L4109-B4109)</f>
        <v/>
      </c>
      <c r="O4109">
        <f>IF(L4109="", "Pending", IF(N4109&lt;=30, "Met", "Breached"))</f>
        <v/>
      </c>
      <c r="P4109" s="8" t="n"/>
      <c r="Q4109" s="8" t="n"/>
      <c r="R4109" s="8" t="n"/>
      <c r="S4109" s="8" t="n"/>
      <c r="T4109" s="8" t="n"/>
      <c r="U4109" s="8" t="n"/>
      <c r="V4109" s="8" t="n"/>
      <c r="W4109" s="8" t="n"/>
      <c r="X4109" s="8" t="n"/>
      <c r="Y4109" s="8" t="n"/>
    </row>
    <row r="4110">
      <c r="A4110" s="8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9">
        <f>B4110+30</f>
        <v/>
      </c>
      <c r="N4110">
        <f>IF(L4110="", "", L4110-B4110)</f>
        <v/>
      </c>
      <c r="O4110">
        <f>IF(L4110="", "Pending", IF(N4110&lt;=30, "Met", "Breached"))</f>
        <v/>
      </c>
      <c r="P4110" s="8" t="n"/>
      <c r="Q4110" s="8" t="n"/>
      <c r="R4110" s="8" t="n"/>
      <c r="S4110" s="8" t="n"/>
      <c r="T4110" s="8" t="n"/>
      <c r="U4110" s="8" t="n"/>
      <c r="V4110" s="8" t="n"/>
      <c r="W4110" s="8" t="n"/>
      <c r="X4110" s="8" t="n"/>
      <c r="Y4110" s="8" t="n"/>
    </row>
    <row r="4111">
      <c r="A4111" s="8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9">
        <f>B4111+30</f>
        <v/>
      </c>
      <c r="N4111">
        <f>IF(L4111="", "", L4111-B4111)</f>
        <v/>
      </c>
      <c r="O4111">
        <f>IF(L4111="", "Pending", IF(N4111&lt;=30, "Met", "Breached"))</f>
        <v/>
      </c>
      <c r="P4111" s="8" t="n"/>
      <c r="Q4111" s="8" t="n"/>
      <c r="R4111" s="8" t="n"/>
      <c r="S4111" s="8" t="n"/>
      <c r="T4111" s="8" t="n"/>
      <c r="U4111" s="8" t="n"/>
      <c r="V4111" s="8" t="n"/>
      <c r="W4111" s="8" t="n"/>
      <c r="X4111" s="8" t="n"/>
      <c r="Y4111" s="8" t="n"/>
    </row>
    <row r="4112">
      <c r="A4112" s="8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9">
        <f>B4112+30</f>
        <v/>
      </c>
      <c r="N4112">
        <f>IF(L4112="", "", L4112-B4112)</f>
        <v/>
      </c>
      <c r="O4112">
        <f>IF(L4112="", "Pending", IF(N4112&lt;=30, "Met", "Breached"))</f>
        <v/>
      </c>
      <c r="P4112" s="8" t="n"/>
      <c r="Q4112" s="8" t="n"/>
      <c r="R4112" s="8" t="n"/>
      <c r="S4112" s="8" t="n"/>
      <c r="T4112" s="8" t="n"/>
      <c r="U4112" s="8" t="n"/>
      <c r="V4112" s="8" t="n"/>
      <c r="W4112" s="8" t="n"/>
      <c r="X4112" s="8" t="n"/>
      <c r="Y4112" s="8" t="n"/>
    </row>
    <row r="4113">
      <c r="A4113" s="8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9">
        <f>B4113+30</f>
        <v/>
      </c>
      <c r="N4113">
        <f>IF(L4113="", "", L4113-B4113)</f>
        <v/>
      </c>
      <c r="O4113">
        <f>IF(L4113="", "Pending", IF(N4113&lt;=30, "Met", "Breached"))</f>
        <v/>
      </c>
      <c r="P4113" s="8" t="n"/>
      <c r="Q4113" s="8" t="n"/>
      <c r="R4113" s="8" t="n"/>
      <c r="S4113" s="8" t="n"/>
      <c r="T4113" s="8" t="n"/>
      <c r="U4113" s="8" t="n"/>
      <c r="V4113" s="8" t="n"/>
      <c r="W4113" s="8" t="n"/>
      <c r="X4113" s="8" t="n"/>
      <c r="Y4113" s="8" t="n"/>
    </row>
    <row r="4114">
      <c r="A4114" s="8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9">
        <f>B4114+30</f>
        <v/>
      </c>
      <c r="N4114">
        <f>IF(L4114="", "", L4114-B4114)</f>
        <v/>
      </c>
      <c r="O4114">
        <f>IF(L4114="", "Pending", IF(N4114&lt;=30, "Met", "Breached"))</f>
        <v/>
      </c>
      <c r="P4114" s="8" t="n"/>
      <c r="Q4114" s="8" t="n"/>
      <c r="R4114" s="8" t="n"/>
      <c r="S4114" s="8" t="n"/>
      <c r="T4114" s="8" t="n"/>
      <c r="U4114" s="8" t="n"/>
      <c r="V4114" s="8" t="n"/>
      <c r="W4114" s="8" t="n"/>
      <c r="X4114" s="8" t="n"/>
      <c r="Y4114" s="8" t="n"/>
    </row>
    <row r="4115">
      <c r="A4115" s="8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9">
        <f>B4115+30</f>
        <v/>
      </c>
      <c r="N4115">
        <f>IF(L4115="", "", L4115-B4115)</f>
        <v/>
      </c>
      <c r="O4115">
        <f>IF(L4115="", "Pending", IF(N4115&lt;=30, "Met", "Breached"))</f>
        <v/>
      </c>
      <c r="P4115" s="8" t="n"/>
      <c r="Q4115" s="8" t="n"/>
      <c r="R4115" s="8" t="n"/>
      <c r="S4115" s="8" t="n"/>
      <c r="T4115" s="8" t="n"/>
      <c r="U4115" s="8" t="n"/>
      <c r="V4115" s="8" t="n"/>
      <c r="W4115" s="8" t="n"/>
      <c r="X4115" s="8" t="n"/>
      <c r="Y4115" s="8" t="n"/>
    </row>
    <row r="4116">
      <c r="A4116" s="8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9">
        <f>B4116+30</f>
        <v/>
      </c>
      <c r="N4116">
        <f>IF(L4116="", "", L4116-B4116)</f>
        <v/>
      </c>
      <c r="O4116">
        <f>IF(L4116="", "Pending", IF(N4116&lt;=30, "Met", "Breached"))</f>
        <v/>
      </c>
      <c r="P4116" s="8" t="n"/>
      <c r="Q4116" s="8" t="n"/>
      <c r="R4116" s="8" t="n"/>
      <c r="S4116" s="8" t="n"/>
      <c r="T4116" s="8" t="n"/>
      <c r="U4116" s="8" t="n"/>
      <c r="V4116" s="8" t="n"/>
      <c r="W4116" s="8" t="n"/>
      <c r="X4116" s="8" t="n"/>
      <c r="Y4116" s="8" t="n"/>
    </row>
    <row r="4117">
      <c r="A4117" s="8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9">
        <f>B4117+30</f>
        <v/>
      </c>
      <c r="N4117">
        <f>IF(L4117="", "", L4117-B4117)</f>
        <v/>
      </c>
      <c r="O4117">
        <f>IF(L4117="", "Pending", IF(N4117&lt;=30, "Met", "Breached"))</f>
        <v/>
      </c>
      <c r="P4117" s="8" t="n"/>
      <c r="Q4117" s="8" t="n"/>
      <c r="R4117" s="8" t="n"/>
      <c r="S4117" s="8" t="n"/>
      <c r="T4117" s="8" t="n"/>
      <c r="U4117" s="8" t="n"/>
      <c r="V4117" s="8" t="n"/>
      <c r="W4117" s="8" t="n"/>
      <c r="X4117" s="8" t="n"/>
      <c r="Y4117" s="8" t="n"/>
    </row>
    <row r="4118">
      <c r="A4118" s="8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9">
        <f>B4118+30</f>
        <v/>
      </c>
      <c r="N4118">
        <f>IF(L4118="", "", L4118-B4118)</f>
        <v/>
      </c>
      <c r="O4118">
        <f>IF(L4118="", "Pending", IF(N4118&lt;=30, "Met", "Breached"))</f>
        <v/>
      </c>
      <c r="P4118" s="8" t="n"/>
      <c r="Q4118" s="8" t="n"/>
      <c r="R4118" s="8" t="n"/>
      <c r="S4118" s="8" t="n"/>
      <c r="T4118" s="8" t="n"/>
      <c r="U4118" s="8" t="n"/>
      <c r="V4118" s="8" t="n"/>
      <c r="W4118" s="8" t="n"/>
      <c r="X4118" s="8" t="n"/>
      <c r="Y4118" s="8" t="n"/>
    </row>
    <row r="4119">
      <c r="A4119" s="8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9">
        <f>B4119+30</f>
        <v/>
      </c>
      <c r="N4119">
        <f>IF(L4119="", "", L4119-B4119)</f>
        <v/>
      </c>
      <c r="O4119">
        <f>IF(L4119="", "Pending", IF(N4119&lt;=30, "Met", "Breached"))</f>
        <v/>
      </c>
      <c r="P4119" s="8" t="n"/>
      <c r="Q4119" s="8" t="n"/>
      <c r="R4119" s="8" t="n"/>
      <c r="S4119" s="8" t="n"/>
      <c r="T4119" s="8" t="n"/>
      <c r="U4119" s="8" t="n"/>
      <c r="V4119" s="8" t="n"/>
      <c r="W4119" s="8" t="n"/>
      <c r="X4119" s="8" t="n"/>
      <c r="Y4119" s="8" t="n"/>
    </row>
    <row r="4120">
      <c r="A4120" s="8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9">
        <f>B4120+30</f>
        <v/>
      </c>
      <c r="N4120">
        <f>IF(L4120="", "", L4120-B4120)</f>
        <v/>
      </c>
      <c r="O4120">
        <f>IF(L4120="", "Pending", IF(N4120&lt;=30, "Met", "Breached"))</f>
        <v/>
      </c>
      <c r="P4120" s="8" t="n"/>
      <c r="Q4120" s="8" t="n"/>
      <c r="R4120" s="8" t="n"/>
      <c r="S4120" s="8" t="n"/>
      <c r="T4120" s="8" t="n"/>
      <c r="U4120" s="8" t="n"/>
      <c r="V4120" s="8" t="n"/>
      <c r="W4120" s="8" t="n"/>
      <c r="X4120" s="8" t="n"/>
      <c r="Y4120" s="8" t="n"/>
    </row>
    <row r="4121">
      <c r="A4121" s="8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9">
        <f>B4121+30</f>
        <v/>
      </c>
      <c r="N4121">
        <f>IF(L4121="", "", L4121-B4121)</f>
        <v/>
      </c>
      <c r="O4121">
        <f>IF(L4121="", "Pending", IF(N4121&lt;=30, "Met", "Breached"))</f>
        <v/>
      </c>
      <c r="P4121" s="8" t="n"/>
      <c r="Q4121" s="8" t="n"/>
      <c r="R4121" s="8" t="n"/>
      <c r="S4121" s="8" t="n"/>
      <c r="T4121" s="8" t="n"/>
      <c r="U4121" s="8" t="n"/>
      <c r="V4121" s="8" t="n"/>
      <c r="W4121" s="8" t="n"/>
      <c r="X4121" s="8" t="n"/>
      <c r="Y4121" s="8" t="n"/>
    </row>
    <row r="4122">
      <c r="A4122" s="8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9">
        <f>B4122+30</f>
        <v/>
      </c>
      <c r="N4122">
        <f>IF(L4122="", "", L4122-B4122)</f>
        <v/>
      </c>
      <c r="O4122">
        <f>IF(L4122="", "Pending", IF(N4122&lt;=30, "Met", "Breached"))</f>
        <v/>
      </c>
      <c r="P4122" s="8" t="n"/>
      <c r="Q4122" s="8" t="n"/>
      <c r="R4122" s="8" t="n"/>
      <c r="S4122" s="8" t="n"/>
      <c r="T4122" s="8" t="n"/>
      <c r="U4122" s="8" t="n"/>
      <c r="V4122" s="8" t="n"/>
      <c r="W4122" s="8" t="n"/>
      <c r="X4122" s="8" t="n"/>
      <c r="Y4122" s="8" t="n"/>
    </row>
    <row r="4123">
      <c r="A4123" s="8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9">
        <f>B4123+30</f>
        <v/>
      </c>
      <c r="N4123">
        <f>IF(L4123="", "", L4123-B4123)</f>
        <v/>
      </c>
      <c r="O4123">
        <f>IF(L4123="", "Pending", IF(N4123&lt;=30, "Met", "Breached"))</f>
        <v/>
      </c>
      <c r="P4123" s="8" t="n"/>
      <c r="Q4123" s="8" t="n"/>
      <c r="R4123" s="8" t="n"/>
      <c r="S4123" s="8" t="n"/>
      <c r="T4123" s="8" t="n"/>
      <c r="U4123" s="8" t="n"/>
      <c r="V4123" s="8" t="n"/>
      <c r="W4123" s="8" t="n"/>
      <c r="X4123" s="8" t="n"/>
      <c r="Y4123" s="8" t="n"/>
    </row>
    <row r="4124">
      <c r="A4124" s="8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9">
        <f>B4124+30</f>
        <v/>
      </c>
      <c r="N4124">
        <f>IF(L4124="", "", L4124-B4124)</f>
        <v/>
      </c>
      <c r="O4124">
        <f>IF(L4124="", "Pending", IF(N4124&lt;=30, "Met", "Breached"))</f>
        <v/>
      </c>
      <c r="P4124" s="8" t="n"/>
      <c r="Q4124" s="8" t="n"/>
      <c r="R4124" s="8" t="n"/>
      <c r="S4124" s="8" t="n"/>
      <c r="T4124" s="8" t="n"/>
      <c r="U4124" s="8" t="n"/>
      <c r="V4124" s="8" t="n"/>
      <c r="W4124" s="8" t="n"/>
      <c r="X4124" s="8" t="n"/>
      <c r="Y4124" s="8" t="n"/>
    </row>
    <row r="4125">
      <c r="A4125" s="8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9">
        <f>B4125+30</f>
        <v/>
      </c>
      <c r="N4125">
        <f>IF(L4125="", "", L4125-B4125)</f>
        <v/>
      </c>
      <c r="O4125">
        <f>IF(L4125="", "Pending", IF(N4125&lt;=30, "Met", "Breached"))</f>
        <v/>
      </c>
      <c r="P4125" s="8" t="n"/>
      <c r="Q4125" s="8" t="n"/>
      <c r="R4125" s="8" t="n"/>
      <c r="S4125" s="8" t="n"/>
      <c r="T4125" s="8" t="n"/>
      <c r="U4125" s="8" t="n"/>
      <c r="V4125" s="8" t="n"/>
      <c r="W4125" s="8" t="n"/>
      <c r="X4125" s="8" t="n"/>
      <c r="Y4125" s="8" t="n"/>
    </row>
    <row r="4126">
      <c r="A4126" s="8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9">
        <f>B4126+30</f>
        <v/>
      </c>
      <c r="N4126">
        <f>IF(L4126="", "", L4126-B4126)</f>
        <v/>
      </c>
      <c r="O4126">
        <f>IF(L4126="", "Pending", IF(N4126&lt;=30, "Met", "Breached"))</f>
        <v/>
      </c>
      <c r="P4126" s="8" t="n"/>
      <c r="Q4126" s="8" t="n"/>
      <c r="R4126" s="8" t="n"/>
      <c r="S4126" s="8" t="n"/>
      <c r="T4126" s="8" t="n"/>
      <c r="U4126" s="8" t="n"/>
      <c r="V4126" s="8" t="n"/>
      <c r="W4126" s="8" t="n"/>
      <c r="X4126" s="8" t="n"/>
      <c r="Y4126" s="8" t="n"/>
    </row>
    <row r="4127">
      <c r="A4127" s="8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9">
        <f>B4127+30</f>
        <v/>
      </c>
      <c r="N4127">
        <f>IF(L4127="", "", L4127-B4127)</f>
        <v/>
      </c>
      <c r="O4127">
        <f>IF(L4127="", "Pending", IF(N4127&lt;=30, "Met", "Breached"))</f>
        <v/>
      </c>
      <c r="P4127" s="8" t="n"/>
      <c r="Q4127" s="8" t="n"/>
      <c r="R4127" s="8" t="n"/>
      <c r="S4127" s="8" t="n"/>
      <c r="T4127" s="8" t="n"/>
      <c r="U4127" s="8" t="n"/>
      <c r="V4127" s="8" t="n"/>
      <c r="W4127" s="8" t="n"/>
      <c r="X4127" s="8" t="n"/>
      <c r="Y4127" s="8" t="n"/>
    </row>
    <row r="4128">
      <c r="A4128" s="8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9">
        <f>B4128+30</f>
        <v/>
      </c>
      <c r="N4128">
        <f>IF(L4128="", "", L4128-B4128)</f>
        <v/>
      </c>
      <c r="O4128">
        <f>IF(L4128="", "Pending", IF(N4128&lt;=30, "Met", "Breached"))</f>
        <v/>
      </c>
      <c r="P4128" s="8" t="n"/>
      <c r="Q4128" s="8" t="n"/>
      <c r="R4128" s="8" t="n"/>
      <c r="S4128" s="8" t="n"/>
      <c r="T4128" s="8" t="n"/>
      <c r="U4128" s="8" t="n"/>
      <c r="V4128" s="8" t="n"/>
      <c r="W4128" s="8" t="n"/>
      <c r="X4128" s="8" t="n"/>
      <c r="Y4128" s="8" t="n"/>
    </row>
    <row r="4129">
      <c r="A4129" s="8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9">
        <f>B4129+30</f>
        <v/>
      </c>
      <c r="N4129">
        <f>IF(L4129="", "", L4129-B4129)</f>
        <v/>
      </c>
      <c r="O4129">
        <f>IF(L4129="", "Pending", IF(N4129&lt;=30, "Met", "Breached"))</f>
        <v/>
      </c>
      <c r="P4129" s="8" t="n"/>
      <c r="Q4129" s="8" t="n"/>
      <c r="R4129" s="8" t="n"/>
      <c r="S4129" s="8" t="n"/>
      <c r="T4129" s="8" t="n"/>
      <c r="U4129" s="8" t="n"/>
      <c r="V4129" s="8" t="n"/>
      <c r="W4129" s="8" t="n"/>
      <c r="X4129" s="8" t="n"/>
      <c r="Y4129" s="8" t="n"/>
    </row>
    <row r="4130">
      <c r="A4130" s="8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9">
        <f>B4130+30</f>
        <v/>
      </c>
      <c r="N4130">
        <f>IF(L4130="", "", L4130-B4130)</f>
        <v/>
      </c>
      <c r="O4130">
        <f>IF(L4130="", "Pending", IF(N4130&lt;=30, "Met", "Breached"))</f>
        <v/>
      </c>
      <c r="P4130" s="8" t="n"/>
      <c r="Q4130" s="8" t="n"/>
      <c r="R4130" s="8" t="n"/>
      <c r="S4130" s="8" t="n"/>
      <c r="T4130" s="8" t="n"/>
      <c r="U4130" s="8" t="n"/>
      <c r="V4130" s="8" t="n"/>
      <c r="W4130" s="8" t="n"/>
      <c r="X4130" s="8" t="n"/>
      <c r="Y4130" s="8" t="n"/>
    </row>
    <row r="4131">
      <c r="A4131" s="8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9">
        <f>B4131+30</f>
        <v/>
      </c>
      <c r="N4131">
        <f>IF(L4131="", "", L4131-B4131)</f>
        <v/>
      </c>
      <c r="O4131">
        <f>IF(L4131="", "Pending", IF(N4131&lt;=30, "Met", "Breached"))</f>
        <v/>
      </c>
      <c r="P4131" s="8" t="n"/>
      <c r="Q4131" s="8" t="n"/>
      <c r="R4131" s="8" t="n"/>
      <c r="S4131" s="8" t="n"/>
      <c r="T4131" s="8" t="n"/>
      <c r="U4131" s="8" t="n"/>
      <c r="V4131" s="8" t="n"/>
      <c r="W4131" s="8" t="n"/>
      <c r="X4131" s="8" t="n"/>
      <c r="Y4131" s="8" t="n"/>
    </row>
    <row r="4132">
      <c r="A4132" s="8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9">
        <f>B4132+30</f>
        <v/>
      </c>
      <c r="N4132">
        <f>IF(L4132="", "", L4132-B4132)</f>
        <v/>
      </c>
      <c r="O4132">
        <f>IF(L4132="", "Pending", IF(N4132&lt;=30, "Met", "Breached"))</f>
        <v/>
      </c>
      <c r="P4132" s="8" t="n"/>
      <c r="Q4132" s="8" t="n"/>
      <c r="R4132" s="8" t="n"/>
      <c r="S4132" s="8" t="n"/>
      <c r="T4132" s="8" t="n"/>
      <c r="U4132" s="8" t="n"/>
      <c r="V4132" s="8" t="n"/>
      <c r="W4132" s="8" t="n"/>
      <c r="X4132" s="8" t="n"/>
      <c r="Y4132" s="8" t="n"/>
    </row>
    <row r="4133">
      <c r="A4133" s="8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9">
        <f>B4133+30</f>
        <v/>
      </c>
      <c r="N4133">
        <f>IF(L4133="", "", L4133-B4133)</f>
        <v/>
      </c>
      <c r="O4133">
        <f>IF(L4133="", "Pending", IF(N4133&lt;=30, "Met", "Breached"))</f>
        <v/>
      </c>
      <c r="P4133" s="8" t="n"/>
      <c r="Q4133" s="8" t="n"/>
      <c r="R4133" s="8" t="n"/>
      <c r="S4133" s="8" t="n"/>
      <c r="T4133" s="8" t="n"/>
      <c r="U4133" s="8" t="n"/>
      <c r="V4133" s="8" t="n"/>
      <c r="W4133" s="8" t="n"/>
      <c r="X4133" s="8" t="n"/>
      <c r="Y4133" s="8" t="n"/>
    </row>
    <row r="4134">
      <c r="A4134" s="8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9">
        <f>B4134+30</f>
        <v/>
      </c>
      <c r="N4134">
        <f>IF(L4134="", "", L4134-B4134)</f>
        <v/>
      </c>
      <c r="O4134">
        <f>IF(L4134="", "Pending", IF(N4134&lt;=30, "Met", "Breached"))</f>
        <v/>
      </c>
      <c r="P4134" s="8" t="n"/>
      <c r="Q4134" s="8" t="n"/>
      <c r="R4134" s="8" t="n"/>
      <c r="S4134" s="8" t="n"/>
      <c r="T4134" s="8" t="n"/>
      <c r="U4134" s="8" t="n"/>
      <c r="V4134" s="8" t="n"/>
      <c r="W4134" s="8" t="n"/>
      <c r="X4134" s="8" t="n"/>
      <c r="Y4134" s="8" t="n"/>
    </row>
    <row r="4135">
      <c r="A4135" s="8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9">
        <f>B4135+30</f>
        <v/>
      </c>
      <c r="N4135">
        <f>IF(L4135="", "", L4135-B4135)</f>
        <v/>
      </c>
      <c r="O4135">
        <f>IF(L4135="", "Pending", IF(N4135&lt;=30, "Met", "Breached"))</f>
        <v/>
      </c>
      <c r="P4135" s="8" t="n"/>
      <c r="Q4135" s="8" t="n"/>
      <c r="R4135" s="8" t="n"/>
      <c r="S4135" s="8" t="n"/>
      <c r="T4135" s="8" t="n"/>
      <c r="U4135" s="8" t="n"/>
      <c r="V4135" s="8" t="n"/>
      <c r="W4135" s="8" t="n"/>
      <c r="X4135" s="8" t="n"/>
      <c r="Y4135" s="8" t="n"/>
    </row>
    <row r="4136">
      <c r="A4136" s="8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9">
        <f>B4136+30</f>
        <v/>
      </c>
      <c r="N4136">
        <f>IF(L4136="", "", L4136-B4136)</f>
        <v/>
      </c>
      <c r="O4136">
        <f>IF(L4136="", "Pending", IF(N4136&lt;=30, "Met", "Breached"))</f>
        <v/>
      </c>
      <c r="P4136" s="8" t="n"/>
      <c r="Q4136" s="8" t="n"/>
      <c r="R4136" s="8" t="n"/>
      <c r="S4136" s="8" t="n"/>
      <c r="T4136" s="8" t="n"/>
      <c r="U4136" s="8" t="n"/>
      <c r="V4136" s="8" t="n"/>
      <c r="W4136" s="8" t="n"/>
      <c r="X4136" s="8" t="n"/>
      <c r="Y4136" s="8" t="n"/>
    </row>
    <row r="4137">
      <c r="A4137" s="8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9">
        <f>B4137+30</f>
        <v/>
      </c>
      <c r="N4137">
        <f>IF(L4137="", "", L4137-B4137)</f>
        <v/>
      </c>
      <c r="O4137">
        <f>IF(L4137="", "Pending", IF(N4137&lt;=30, "Met", "Breached"))</f>
        <v/>
      </c>
      <c r="P4137" s="8" t="n"/>
      <c r="Q4137" s="8" t="n"/>
      <c r="R4137" s="8" t="n"/>
      <c r="S4137" s="8" t="n"/>
      <c r="T4137" s="8" t="n"/>
      <c r="U4137" s="8" t="n"/>
      <c r="V4137" s="8" t="n"/>
      <c r="W4137" s="8" t="n"/>
      <c r="X4137" s="8" t="n"/>
      <c r="Y4137" s="8" t="n"/>
    </row>
    <row r="4138">
      <c r="A4138" s="8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9">
        <f>B4138+30</f>
        <v/>
      </c>
      <c r="N4138">
        <f>IF(L4138="", "", L4138-B4138)</f>
        <v/>
      </c>
      <c r="O4138">
        <f>IF(L4138="", "Pending", IF(N4138&lt;=30, "Met", "Breached"))</f>
        <v/>
      </c>
      <c r="P4138" s="8" t="n"/>
      <c r="Q4138" s="8" t="n"/>
      <c r="R4138" s="8" t="n"/>
      <c r="S4138" s="8" t="n"/>
      <c r="T4138" s="8" t="n"/>
      <c r="U4138" s="8" t="n"/>
      <c r="V4138" s="8" t="n"/>
      <c r="W4138" s="8" t="n"/>
      <c r="X4138" s="8" t="n"/>
      <c r="Y4138" s="8" t="n"/>
    </row>
    <row r="4139">
      <c r="A4139" s="8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9">
        <f>B4139+30</f>
        <v/>
      </c>
      <c r="N4139">
        <f>IF(L4139="", "", L4139-B4139)</f>
        <v/>
      </c>
      <c r="O4139">
        <f>IF(L4139="", "Pending", IF(N4139&lt;=30, "Met", "Breached"))</f>
        <v/>
      </c>
      <c r="P4139" s="8" t="n"/>
      <c r="Q4139" s="8" t="n"/>
      <c r="R4139" s="8" t="n"/>
      <c r="S4139" s="8" t="n"/>
      <c r="T4139" s="8" t="n"/>
      <c r="U4139" s="8" t="n"/>
      <c r="V4139" s="8" t="n"/>
      <c r="W4139" s="8" t="n"/>
      <c r="X4139" s="8" t="n"/>
      <c r="Y4139" s="8" t="n"/>
    </row>
    <row r="4140">
      <c r="A4140" s="8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9">
        <f>B4140+30</f>
        <v/>
      </c>
      <c r="N4140">
        <f>IF(L4140="", "", L4140-B4140)</f>
        <v/>
      </c>
      <c r="O4140">
        <f>IF(L4140="", "Pending", IF(N4140&lt;=30, "Met", "Breached"))</f>
        <v/>
      </c>
      <c r="P4140" s="8" t="n"/>
      <c r="Q4140" s="8" t="n"/>
      <c r="R4140" s="8" t="n"/>
      <c r="S4140" s="8" t="n"/>
      <c r="T4140" s="8" t="n"/>
      <c r="U4140" s="8" t="n"/>
      <c r="V4140" s="8" t="n"/>
      <c r="W4140" s="8" t="n"/>
      <c r="X4140" s="8" t="n"/>
      <c r="Y4140" s="8" t="n"/>
    </row>
    <row r="4141">
      <c r="A4141" s="8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9">
        <f>B4141+30</f>
        <v/>
      </c>
      <c r="N4141">
        <f>IF(L4141="", "", L4141-B4141)</f>
        <v/>
      </c>
      <c r="O4141">
        <f>IF(L4141="", "Pending", IF(N4141&lt;=30, "Met", "Breached"))</f>
        <v/>
      </c>
      <c r="P4141" s="8" t="n"/>
      <c r="Q4141" s="8" t="n"/>
      <c r="R4141" s="8" t="n"/>
      <c r="S4141" s="8" t="n"/>
      <c r="T4141" s="8" t="n"/>
      <c r="U4141" s="8" t="n"/>
      <c r="V4141" s="8" t="n"/>
      <c r="W4141" s="8" t="n"/>
      <c r="X4141" s="8" t="n"/>
      <c r="Y4141" s="8" t="n"/>
    </row>
    <row r="4142">
      <c r="A4142" s="8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9">
        <f>B4142+30</f>
        <v/>
      </c>
      <c r="N4142">
        <f>IF(L4142="", "", L4142-B4142)</f>
        <v/>
      </c>
      <c r="O4142">
        <f>IF(L4142="", "Pending", IF(N4142&lt;=30, "Met", "Breached"))</f>
        <v/>
      </c>
      <c r="P4142" s="8" t="n"/>
      <c r="Q4142" s="8" t="n"/>
      <c r="R4142" s="8" t="n"/>
      <c r="S4142" s="8" t="n"/>
      <c r="T4142" s="8" t="n"/>
      <c r="U4142" s="8" t="n"/>
      <c r="V4142" s="8" t="n"/>
      <c r="W4142" s="8" t="n"/>
      <c r="X4142" s="8" t="n"/>
      <c r="Y4142" s="8" t="n"/>
    </row>
    <row r="4143">
      <c r="A4143" s="8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9">
        <f>B4143+30</f>
        <v/>
      </c>
      <c r="N4143">
        <f>IF(L4143="", "", L4143-B4143)</f>
        <v/>
      </c>
      <c r="O4143">
        <f>IF(L4143="", "Pending", IF(N4143&lt;=30, "Met", "Breached"))</f>
        <v/>
      </c>
      <c r="P4143" s="8" t="n"/>
      <c r="Q4143" s="8" t="n"/>
      <c r="R4143" s="8" t="n"/>
      <c r="S4143" s="8" t="n"/>
      <c r="T4143" s="8" t="n"/>
      <c r="U4143" s="8" t="n"/>
      <c r="V4143" s="8" t="n"/>
      <c r="W4143" s="8" t="n"/>
      <c r="X4143" s="8" t="n"/>
      <c r="Y4143" s="8" t="n"/>
    </row>
    <row r="4144">
      <c r="A4144" s="8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9">
        <f>B4144+30</f>
        <v/>
      </c>
      <c r="N4144">
        <f>IF(L4144="", "", L4144-B4144)</f>
        <v/>
      </c>
      <c r="O4144">
        <f>IF(L4144="", "Pending", IF(N4144&lt;=30, "Met", "Breached"))</f>
        <v/>
      </c>
      <c r="P4144" s="8" t="n"/>
      <c r="Q4144" s="8" t="n"/>
      <c r="R4144" s="8" t="n"/>
      <c r="S4144" s="8" t="n"/>
      <c r="T4144" s="8" t="n"/>
      <c r="U4144" s="8" t="n"/>
      <c r="V4144" s="8" t="n"/>
      <c r="W4144" s="8" t="n"/>
      <c r="X4144" s="8" t="n"/>
      <c r="Y4144" s="8" t="n"/>
    </row>
    <row r="4145">
      <c r="A4145" s="8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9">
        <f>B4145+30</f>
        <v/>
      </c>
      <c r="N4145">
        <f>IF(L4145="", "", L4145-B4145)</f>
        <v/>
      </c>
      <c r="O4145">
        <f>IF(L4145="", "Pending", IF(N4145&lt;=30, "Met", "Breached"))</f>
        <v/>
      </c>
      <c r="P4145" s="8" t="n"/>
      <c r="Q4145" s="8" t="n"/>
      <c r="R4145" s="8" t="n"/>
      <c r="S4145" s="8" t="n"/>
      <c r="T4145" s="8" t="n"/>
      <c r="U4145" s="8" t="n"/>
      <c r="V4145" s="8" t="n"/>
      <c r="W4145" s="8" t="n"/>
      <c r="X4145" s="8" t="n"/>
      <c r="Y4145" s="8" t="n"/>
    </row>
    <row r="4146">
      <c r="A4146" s="8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9">
        <f>B4146+30</f>
        <v/>
      </c>
      <c r="N4146">
        <f>IF(L4146="", "", L4146-B4146)</f>
        <v/>
      </c>
      <c r="O4146">
        <f>IF(L4146="", "Pending", IF(N4146&lt;=30, "Met", "Breached"))</f>
        <v/>
      </c>
      <c r="P4146" s="8" t="n"/>
      <c r="Q4146" s="8" t="n"/>
      <c r="R4146" s="8" t="n"/>
      <c r="S4146" s="8" t="n"/>
      <c r="T4146" s="8" t="n"/>
      <c r="U4146" s="8" t="n"/>
      <c r="V4146" s="8" t="n"/>
      <c r="W4146" s="8" t="n"/>
      <c r="X4146" s="8" t="n"/>
      <c r="Y4146" s="8" t="n"/>
    </row>
    <row r="4147">
      <c r="A4147" s="8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9">
        <f>B4147+30</f>
        <v/>
      </c>
      <c r="N4147">
        <f>IF(L4147="", "", L4147-B4147)</f>
        <v/>
      </c>
      <c r="O4147">
        <f>IF(L4147="", "Pending", IF(N4147&lt;=30, "Met", "Breached"))</f>
        <v/>
      </c>
      <c r="P4147" s="8" t="n"/>
      <c r="Q4147" s="8" t="n"/>
      <c r="R4147" s="8" t="n"/>
      <c r="S4147" s="8" t="n"/>
      <c r="T4147" s="8" t="n"/>
      <c r="U4147" s="8" t="n"/>
      <c r="V4147" s="8" t="n"/>
      <c r="W4147" s="8" t="n"/>
      <c r="X4147" s="8" t="n"/>
      <c r="Y4147" s="8" t="n"/>
    </row>
    <row r="4148">
      <c r="A4148" s="8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9">
        <f>B4148+30</f>
        <v/>
      </c>
      <c r="N4148">
        <f>IF(L4148="", "", L4148-B4148)</f>
        <v/>
      </c>
      <c r="O4148">
        <f>IF(L4148="", "Pending", IF(N4148&lt;=30, "Met", "Breached"))</f>
        <v/>
      </c>
      <c r="P4148" s="8" t="n"/>
      <c r="Q4148" s="8" t="n"/>
      <c r="R4148" s="8" t="n"/>
      <c r="S4148" s="8" t="n"/>
      <c r="T4148" s="8" t="n"/>
      <c r="U4148" s="8" t="n"/>
      <c r="V4148" s="8" t="n"/>
      <c r="W4148" s="8" t="n"/>
      <c r="X4148" s="8" t="n"/>
      <c r="Y4148" s="8" t="n"/>
    </row>
    <row r="4149">
      <c r="A4149" s="8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9">
        <f>B4149+30</f>
        <v/>
      </c>
      <c r="N4149">
        <f>IF(L4149="", "", L4149-B4149)</f>
        <v/>
      </c>
      <c r="O4149">
        <f>IF(L4149="", "Pending", IF(N4149&lt;=30, "Met", "Breached"))</f>
        <v/>
      </c>
      <c r="P4149" s="8" t="n"/>
      <c r="Q4149" s="8" t="n"/>
      <c r="R4149" s="8" t="n"/>
      <c r="S4149" s="8" t="n"/>
      <c r="T4149" s="8" t="n"/>
      <c r="U4149" s="8" t="n"/>
      <c r="V4149" s="8" t="n"/>
      <c r="W4149" s="8" t="n"/>
      <c r="X4149" s="8" t="n"/>
      <c r="Y4149" s="8" t="n"/>
    </row>
    <row r="4150">
      <c r="A4150" s="8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9">
        <f>B4150+30</f>
        <v/>
      </c>
      <c r="N4150">
        <f>IF(L4150="", "", L4150-B4150)</f>
        <v/>
      </c>
      <c r="O4150">
        <f>IF(L4150="", "Pending", IF(N4150&lt;=30, "Met", "Breached"))</f>
        <v/>
      </c>
      <c r="P4150" s="8" t="n"/>
      <c r="Q4150" s="8" t="n"/>
      <c r="R4150" s="8" t="n"/>
      <c r="S4150" s="8" t="n"/>
      <c r="T4150" s="8" t="n"/>
      <c r="U4150" s="8" t="n"/>
      <c r="V4150" s="8" t="n"/>
      <c r="W4150" s="8" t="n"/>
      <c r="X4150" s="8" t="n"/>
      <c r="Y4150" s="8" t="n"/>
    </row>
    <row r="4151">
      <c r="A4151" s="8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9">
        <f>B4151+30</f>
        <v/>
      </c>
      <c r="N4151">
        <f>IF(L4151="", "", L4151-B4151)</f>
        <v/>
      </c>
      <c r="O4151">
        <f>IF(L4151="", "Pending", IF(N4151&lt;=30, "Met", "Breached"))</f>
        <v/>
      </c>
      <c r="P4151" s="8" t="n"/>
      <c r="Q4151" s="8" t="n"/>
      <c r="R4151" s="8" t="n"/>
      <c r="S4151" s="8" t="n"/>
      <c r="T4151" s="8" t="n"/>
      <c r="U4151" s="8" t="n"/>
      <c r="V4151" s="8" t="n"/>
      <c r="W4151" s="8" t="n"/>
      <c r="X4151" s="8" t="n"/>
      <c r="Y4151" s="8" t="n"/>
    </row>
    <row r="4152">
      <c r="A4152" s="8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9">
        <f>B4152+30</f>
        <v/>
      </c>
      <c r="N4152">
        <f>IF(L4152="", "", L4152-B4152)</f>
        <v/>
      </c>
      <c r="O4152">
        <f>IF(L4152="", "Pending", IF(N4152&lt;=30, "Met", "Breached"))</f>
        <v/>
      </c>
      <c r="P4152" s="8" t="n"/>
      <c r="Q4152" s="8" t="n"/>
      <c r="R4152" s="8" t="n"/>
      <c r="S4152" s="8" t="n"/>
      <c r="T4152" s="8" t="n"/>
      <c r="U4152" s="8" t="n"/>
      <c r="V4152" s="8" t="n"/>
      <c r="W4152" s="8" t="n"/>
      <c r="X4152" s="8" t="n"/>
      <c r="Y4152" s="8" t="n"/>
    </row>
    <row r="4153">
      <c r="A4153" s="8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9">
        <f>B4153+30</f>
        <v/>
      </c>
      <c r="N4153">
        <f>IF(L4153="", "", L4153-B4153)</f>
        <v/>
      </c>
      <c r="O4153">
        <f>IF(L4153="", "Pending", IF(N4153&lt;=30, "Met", "Breached"))</f>
        <v/>
      </c>
      <c r="P4153" s="8" t="n"/>
      <c r="Q4153" s="8" t="n"/>
      <c r="R4153" s="8" t="n"/>
      <c r="S4153" s="8" t="n"/>
      <c r="T4153" s="8" t="n"/>
      <c r="U4153" s="8" t="n"/>
      <c r="V4153" s="8" t="n"/>
      <c r="W4153" s="8" t="n"/>
      <c r="X4153" s="8" t="n"/>
      <c r="Y4153" s="8" t="n"/>
    </row>
    <row r="4154">
      <c r="A4154" s="8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9">
        <f>B4154+30</f>
        <v/>
      </c>
      <c r="N4154">
        <f>IF(L4154="", "", L4154-B4154)</f>
        <v/>
      </c>
      <c r="O4154">
        <f>IF(L4154="", "Pending", IF(N4154&lt;=30, "Met", "Breached"))</f>
        <v/>
      </c>
      <c r="P4154" s="8" t="n"/>
      <c r="Q4154" s="8" t="n"/>
      <c r="R4154" s="8" t="n"/>
      <c r="S4154" s="8" t="n"/>
      <c r="T4154" s="8" t="n"/>
      <c r="U4154" s="8" t="n"/>
      <c r="V4154" s="8" t="n"/>
      <c r="W4154" s="8" t="n"/>
      <c r="X4154" s="8" t="n"/>
      <c r="Y4154" s="8" t="n"/>
    </row>
    <row r="4155">
      <c r="A4155" s="8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9">
        <f>B4155+30</f>
        <v/>
      </c>
      <c r="N4155">
        <f>IF(L4155="", "", L4155-B4155)</f>
        <v/>
      </c>
      <c r="O4155">
        <f>IF(L4155="", "Pending", IF(N4155&lt;=30, "Met", "Breached"))</f>
        <v/>
      </c>
      <c r="P4155" s="8" t="n"/>
      <c r="Q4155" s="8" t="n"/>
      <c r="R4155" s="8" t="n"/>
      <c r="S4155" s="8" t="n"/>
      <c r="T4155" s="8" t="n"/>
      <c r="U4155" s="8" t="n"/>
      <c r="V4155" s="8" t="n"/>
      <c r="W4155" s="8" t="n"/>
      <c r="X4155" s="8" t="n"/>
      <c r="Y4155" s="8" t="n"/>
    </row>
    <row r="4156">
      <c r="A4156" s="8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9">
        <f>B4156+30</f>
        <v/>
      </c>
      <c r="N4156">
        <f>IF(L4156="", "", L4156-B4156)</f>
        <v/>
      </c>
      <c r="O4156">
        <f>IF(L4156="", "Pending", IF(N4156&lt;=30, "Met", "Breached"))</f>
        <v/>
      </c>
      <c r="P4156" s="8" t="n"/>
      <c r="Q4156" s="8" t="n"/>
      <c r="R4156" s="8" t="n"/>
      <c r="S4156" s="8" t="n"/>
      <c r="T4156" s="8" t="n"/>
      <c r="U4156" s="8" t="n"/>
      <c r="V4156" s="8" t="n"/>
      <c r="W4156" s="8" t="n"/>
      <c r="X4156" s="8" t="n"/>
      <c r="Y4156" s="8" t="n"/>
    </row>
    <row r="4157">
      <c r="A4157" s="8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9">
        <f>B4157+30</f>
        <v/>
      </c>
      <c r="N4157">
        <f>IF(L4157="", "", L4157-B4157)</f>
        <v/>
      </c>
      <c r="O4157">
        <f>IF(L4157="", "Pending", IF(N4157&lt;=30, "Met", "Breached"))</f>
        <v/>
      </c>
      <c r="P4157" s="8" t="n"/>
      <c r="Q4157" s="8" t="n"/>
      <c r="R4157" s="8" t="n"/>
      <c r="S4157" s="8" t="n"/>
      <c r="T4157" s="8" t="n"/>
      <c r="U4157" s="8" t="n"/>
      <c r="V4157" s="8" t="n"/>
      <c r="W4157" s="8" t="n"/>
      <c r="X4157" s="8" t="n"/>
      <c r="Y4157" s="8" t="n"/>
    </row>
    <row r="4158">
      <c r="A4158" s="8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9">
        <f>B4158+30</f>
        <v/>
      </c>
      <c r="N4158">
        <f>IF(L4158="", "", L4158-B4158)</f>
        <v/>
      </c>
      <c r="O4158">
        <f>IF(L4158="", "Pending", IF(N4158&lt;=30, "Met", "Breached"))</f>
        <v/>
      </c>
      <c r="P4158" s="8" t="n"/>
      <c r="Q4158" s="8" t="n"/>
      <c r="R4158" s="8" t="n"/>
      <c r="S4158" s="8" t="n"/>
      <c r="T4158" s="8" t="n"/>
      <c r="U4158" s="8" t="n"/>
      <c r="V4158" s="8" t="n"/>
      <c r="W4158" s="8" t="n"/>
      <c r="X4158" s="8" t="n"/>
      <c r="Y4158" s="8" t="n"/>
    </row>
    <row r="4159">
      <c r="A4159" s="8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9">
        <f>B4159+30</f>
        <v/>
      </c>
      <c r="N4159">
        <f>IF(L4159="", "", L4159-B4159)</f>
        <v/>
      </c>
      <c r="O4159">
        <f>IF(L4159="", "Pending", IF(N4159&lt;=30, "Met", "Breached"))</f>
        <v/>
      </c>
      <c r="P4159" s="8" t="n"/>
      <c r="Q4159" s="8" t="n"/>
      <c r="R4159" s="8" t="n"/>
      <c r="S4159" s="8" t="n"/>
      <c r="T4159" s="8" t="n"/>
      <c r="U4159" s="8" t="n"/>
      <c r="V4159" s="8" t="n"/>
      <c r="W4159" s="8" t="n"/>
      <c r="X4159" s="8" t="n"/>
      <c r="Y4159" s="8" t="n"/>
    </row>
    <row r="4160">
      <c r="A4160" s="8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9">
        <f>B4160+30</f>
        <v/>
      </c>
      <c r="N4160">
        <f>IF(L4160="", "", L4160-B4160)</f>
        <v/>
      </c>
      <c r="O4160">
        <f>IF(L4160="", "Pending", IF(N4160&lt;=30, "Met", "Breached"))</f>
        <v/>
      </c>
      <c r="P4160" s="8" t="n"/>
      <c r="Q4160" s="8" t="n"/>
      <c r="R4160" s="8" t="n"/>
      <c r="S4160" s="8" t="n"/>
      <c r="T4160" s="8" t="n"/>
      <c r="U4160" s="8" t="n"/>
      <c r="V4160" s="8" t="n"/>
      <c r="W4160" s="8" t="n"/>
      <c r="X4160" s="8" t="n"/>
      <c r="Y4160" s="8" t="n"/>
    </row>
    <row r="4161">
      <c r="A4161" s="8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9">
        <f>B4161+30</f>
        <v/>
      </c>
      <c r="N4161">
        <f>IF(L4161="", "", L4161-B4161)</f>
        <v/>
      </c>
      <c r="O4161">
        <f>IF(L4161="", "Pending", IF(N4161&lt;=30, "Met", "Breached"))</f>
        <v/>
      </c>
      <c r="P4161" s="8" t="n"/>
      <c r="Q4161" s="8" t="n"/>
      <c r="R4161" s="8" t="n"/>
      <c r="S4161" s="8" t="n"/>
      <c r="T4161" s="8" t="n"/>
      <c r="U4161" s="8" t="n"/>
      <c r="V4161" s="8" t="n"/>
      <c r="W4161" s="8" t="n"/>
      <c r="X4161" s="8" t="n"/>
      <c r="Y4161" s="8" t="n"/>
    </row>
    <row r="4162">
      <c r="A4162" s="8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9">
        <f>B4162+30</f>
        <v/>
      </c>
      <c r="N4162">
        <f>IF(L4162="", "", L4162-B4162)</f>
        <v/>
      </c>
      <c r="O4162">
        <f>IF(L4162="", "Pending", IF(N4162&lt;=30, "Met", "Breached"))</f>
        <v/>
      </c>
      <c r="P4162" s="8" t="n"/>
      <c r="Q4162" s="8" t="n"/>
      <c r="R4162" s="8" t="n"/>
      <c r="S4162" s="8" t="n"/>
      <c r="T4162" s="8" t="n"/>
      <c r="U4162" s="8" t="n"/>
      <c r="V4162" s="8" t="n"/>
      <c r="W4162" s="8" t="n"/>
      <c r="X4162" s="8" t="n"/>
      <c r="Y4162" s="8" t="n"/>
    </row>
    <row r="4163">
      <c r="A4163" s="8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9">
        <f>B4163+30</f>
        <v/>
      </c>
      <c r="N4163">
        <f>IF(L4163="", "", L4163-B4163)</f>
        <v/>
      </c>
      <c r="O4163">
        <f>IF(L4163="", "Pending", IF(N4163&lt;=30, "Met", "Breached"))</f>
        <v/>
      </c>
      <c r="P4163" s="8" t="n"/>
      <c r="Q4163" s="8" t="n"/>
      <c r="R4163" s="8" t="n"/>
      <c r="S4163" s="8" t="n"/>
      <c r="T4163" s="8" t="n"/>
      <c r="U4163" s="8" t="n"/>
      <c r="V4163" s="8" t="n"/>
      <c r="W4163" s="8" t="n"/>
      <c r="X4163" s="8" t="n"/>
      <c r="Y4163" s="8" t="n"/>
    </row>
    <row r="4164">
      <c r="A4164" s="8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9">
        <f>B4164+30</f>
        <v/>
      </c>
      <c r="N4164">
        <f>IF(L4164="", "", L4164-B4164)</f>
        <v/>
      </c>
      <c r="O4164">
        <f>IF(L4164="", "Pending", IF(N4164&lt;=30, "Met", "Breached"))</f>
        <v/>
      </c>
      <c r="P4164" s="8" t="n"/>
      <c r="Q4164" s="8" t="n"/>
      <c r="R4164" s="8" t="n"/>
      <c r="S4164" s="8" t="n"/>
      <c r="T4164" s="8" t="n"/>
      <c r="U4164" s="8" t="n"/>
      <c r="V4164" s="8" t="n"/>
      <c r="W4164" s="8" t="n"/>
      <c r="X4164" s="8" t="n"/>
      <c r="Y4164" s="8" t="n"/>
    </row>
    <row r="4165">
      <c r="A4165" s="8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9">
        <f>B4165+30</f>
        <v/>
      </c>
      <c r="N4165">
        <f>IF(L4165="", "", L4165-B4165)</f>
        <v/>
      </c>
      <c r="O4165">
        <f>IF(L4165="", "Pending", IF(N4165&lt;=30, "Met", "Breached"))</f>
        <v/>
      </c>
      <c r="P4165" s="8" t="n"/>
      <c r="Q4165" s="8" t="n"/>
      <c r="R4165" s="8" t="n"/>
      <c r="S4165" s="8" t="n"/>
      <c r="T4165" s="8" t="n"/>
      <c r="U4165" s="8" t="n"/>
      <c r="V4165" s="8" t="n"/>
      <c r="W4165" s="8" t="n"/>
      <c r="X4165" s="8" t="n"/>
      <c r="Y4165" s="8" t="n"/>
    </row>
    <row r="4166">
      <c r="A4166" s="8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9">
        <f>B4166+30</f>
        <v/>
      </c>
      <c r="N4166">
        <f>IF(L4166="", "", L4166-B4166)</f>
        <v/>
      </c>
      <c r="O4166">
        <f>IF(L4166="", "Pending", IF(N4166&lt;=30, "Met", "Breached"))</f>
        <v/>
      </c>
      <c r="P4166" s="8" t="n"/>
      <c r="Q4166" s="8" t="n"/>
      <c r="R4166" s="8" t="n"/>
      <c r="S4166" s="8" t="n"/>
      <c r="T4166" s="8" t="n"/>
      <c r="U4166" s="8" t="n"/>
      <c r="V4166" s="8" t="n"/>
      <c r="W4166" s="8" t="n"/>
      <c r="X4166" s="8" t="n"/>
      <c r="Y4166" s="8" t="n"/>
    </row>
    <row r="4167">
      <c r="A4167" s="8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9">
        <f>B4167+30</f>
        <v/>
      </c>
      <c r="N4167">
        <f>IF(L4167="", "", L4167-B4167)</f>
        <v/>
      </c>
      <c r="O4167">
        <f>IF(L4167="", "Pending", IF(N4167&lt;=30, "Met", "Breached"))</f>
        <v/>
      </c>
      <c r="P4167" s="8" t="n"/>
      <c r="Q4167" s="8" t="n"/>
      <c r="R4167" s="8" t="n"/>
      <c r="S4167" s="8" t="n"/>
      <c r="T4167" s="8" t="n"/>
      <c r="U4167" s="8" t="n"/>
      <c r="V4167" s="8" t="n"/>
      <c r="W4167" s="8" t="n"/>
      <c r="X4167" s="8" t="n"/>
      <c r="Y4167" s="8" t="n"/>
    </row>
    <row r="4168">
      <c r="A4168" s="8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9">
        <f>B4168+30</f>
        <v/>
      </c>
      <c r="N4168">
        <f>IF(L4168="", "", L4168-B4168)</f>
        <v/>
      </c>
      <c r="O4168">
        <f>IF(L4168="", "Pending", IF(N4168&lt;=30, "Met", "Breached"))</f>
        <v/>
      </c>
      <c r="P4168" s="8" t="n"/>
      <c r="Q4168" s="8" t="n"/>
      <c r="R4168" s="8" t="n"/>
      <c r="S4168" s="8" t="n"/>
      <c r="T4168" s="8" t="n"/>
      <c r="U4168" s="8" t="n"/>
      <c r="V4168" s="8" t="n"/>
      <c r="W4168" s="8" t="n"/>
      <c r="X4168" s="8" t="n"/>
      <c r="Y4168" s="8" t="n"/>
    </row>
    <row r="4169">
      <c r="A4169" s="8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9">
        <f>B4169+30</f>
        <v/>
      </c>
      <c r="N4169">
        <f>IF(L4169="", "", L4169-B4169)</f>
        <v/>
      </c>
      <c r="O4169">
        <f>IF(L4169="", "Pending", IF(N4169&lt;=30, "Met", "Breached"))</f>
        <v/>
      </c>
      <c r="P4169" s="8" t="n"/>
      <c r="Q4169" s="8" t="n"/>
      <c r="R4169" s="8" t="n"/>
      <c r="S4169" s="8" t="n"/>
      <c r="T4169" s="8" t="n"/>
      <c r="U4169" s="8" t="n"/>
      <c r="V4169" s="8" t="n"/>
      <c r="W4169" s="8" t="n"/>
      <c r="X4169" s="8" t="n"/>
      <c r="Y4169" s="8" t="n"/>
    </row>
    <row r="4170">
      <c r="A4170" s="8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9">
        <f>B4170+30</f>
        <v/>
      </c>
      <c r="N4170">
        <f>IF(L4170="", "", L4170-B4170)</f>
        <v/>
      </c>
      <c r="O4170">
        <f>IF(L4170="", "Pending", IF(N4170&lt;=30, "Met", "Breached"))</f>
        <v/>
      </c>
      <c r="P4170" s="8" t="n"/>
      <c r="Q4170" s="8" t="n"/>
      <c r="R4170" s="8" t="n"/>
      <c r="S4170" s="8" t="n"/>
      <c r="T4170" s="8" t="n"/>
      <c r="U4170" s="8" t="n"/>
      <c r="V4170" s="8" t="n"/>
      <c r="W4170" s="8" t="n"/>
      <c r="X4170" s="8" t="n"/>
      <c r="Y4170" s="8" t="n"/>
    </row>
    <row r="4171">
      <c r="A4171" s="8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9">
        <f>B4171+30</f>
        <v/>
      </c>
      <c r="N4171">
        <f>IF(L4171="", "", L4171-B4171)</f>
        <v/>
      </c>
      <c r="O4171">
        <f>IF(L4171="", "Pending", IF(N4171&lt;=30, "Met", "Breached"))</f>
        <v/>
      </c>
      <c r="P4171" s="8" t="n"/>
      <c r="Q4171" s="8" t="n"/>
      <c r="R4171" s="8" t="n"/>
      <c r="S4171" s="8" t="n"/>
      <c r="T4171" s="8" t="n"/>
      <c r="U4171" s="8" t="n"/>
      <c r="V4171" s="8" t="n"/>
      <c r="W4171" s="8" t="n"/>
      <c r="X4171" s="8" t="n"/>
      <c r="Y4171" s="8" t="n"/>
    </row>
    <row r="4172">
      <c r="A4172" s="8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9">
        <f>B4172+30</f>
        <v/>
      </c>
      <c r="N4172">
        <f>IF(L4172="", "", L4172-B4172)</f>
        <v/>
      </c>
      <c r="O4172">
        <f>IF(L4172="", "Pending", IF(N4172&lt;=30, "Met", "Breached"))</f>
        <v/>
      </c>
      <c r="P4172" s="8" t="n"/>
      <c r="Q4172" s="8" t="n"/>
      <c r="R4172" s="8" t="n"/>
      <c r="S4172" s="8" t="n"/>
      <c r="T4172" s="8" t="n"/>
      <c r="U4172" s="8" t="n"/>
      <c r="V4172" s="8" t="n"/>
      <c r="W4172" s="8" t="n"/>
      <c r="X4172" s="8" t="n"/>
      <c r="Y4172" s="8" t="n"/>
    </row>
    <row r="4173">
      <c r="A4173" s="8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9">
        <f>B4173+30</f>
        <v/>
      </c>
      <c r="N4173">
        <f>IF(L4173="", "", L4173-B4173)</f>
        <v/>
      </c>
      <c r="O4173">
        <f>IF(L4173="", "Pending", IF(N4173&lt;=30, "Met", "Breached"))</f>
        <v/>
      </c>
      <c r="P4173" s="8" t="n"/>
      <c r="Q4173" s="8" t="n"/>
      <c r="R4173" s="8" t="n"/>
      <c r="S4173" s="8" t="n"/>
      <c r="T4173" s="8" t="n"/>
      <c r="U4173" s="8" t="n"/>
      <c r="V4173" s="8" t="n"/>
      <c r="W4173" s="8" t="n"/>
      <c r="X4173" s="8" t="n"/>
      <c r="Y4173" s="8" t="n"/>
    </row>
    <row r="4174">
      <c r="A4174" s="8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9">
        <f>B4174+30</f>
        <v/>
      </c>
      <c r="N4174">
        <f>IF(L4174="", "", L4174-B4174)</f>
        <v/>
      </c>
      <c r="O4174">
        <f>IF(L4174="", "Pending", IF(N4174&lt;=30, "Met", "Breached"))</f>
        <v/>
      </c>
      <c r="P4174" s="8" t="n"/>
      <c r="Q4174" s="8" t="n"/>
      <c r="R4174" s="8" t="n"/>
      <c r="S4174" s="8" t="n"/>
      <c r="T4174" s="8" t="n"/>
      <c r="U4174" s="8" t="n"/>
      <c r="V4174" s="8" t="n"/>
      <c r="W4174" s="8" t="n"/>
      <c r="X4174" s="8" t="n"/>
      <c r="Y4174" s="8" t="n"/>
    </row>
    <row r="4175">
      <c r="A4175" s="8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9">
        <f>B4175+30</f>
        <v/>
      </c>
      <c r="N4175">
        <f>IF(L4175="", "", L4175-B4175)</f>
        <v/>
      </c>
      <c r="O4175">
        <f>IF(L4175="", "Pending", IF(N4175&lt;=30, "Met", "Breached"))</f>
        <v/>
      </c>
      <c r="P4175" s="8" t="n"/>
      <c r="Q4175" s="8" t="n"/>
      <c r="R4175" s="8" t="n"/>
      <c r="S4175" s="8" t="n"/>
      <c r="T4175" s="8" t="n"/>
      <c r="U4175" s="8" t="n"/>
      <c r="V4175" s="8" t="n"/>
      <c r="W4175" s="8" t="n"/>
      <c r="X4175" s="8" t="n"/>
      <c r="Y4175" s="8" t="n"/>
    </row>
    <row r="4176">
      <c r="A4176" s="8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9">
        <f>B4176+30</f>
        <v/>
      </c>
      <c r="N4176">
        <f>IF(L4176="", "", L4176-B4176)</f>
        <v/>
      </c>
      <c r="O4176">
        <f>IF(L4176="", "Pending", IF(N4176&lt;=30, "Met", "Breached"))</f>
        <v/>
      </c>
      <c r="P4176" s="8" t="n"/>
      <c r="Q4176" s="8" t="n"/>
      <c r="R4176" s="8" t="n"/>
      <c r="S4176" s="8" t="n"/>
      <c r="T4176" s="8" t="n"/>
      <c r="U4176" s="8" t="n"/>
      <c r="V4176" s="8" t="n"/>
      <c r="W4176" s="8" t="n"/>
      <c r="X4176" s="8" t="n"/>
      <c r="Y4176" s="8" t="n"/>
    </row>
    <row r="4177">
      <c r="A4177" s="8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9">
        <f>B4177+30</f>
        <v/>
      </c>
      <c r="N4177">
        <f>IF(L4177="", "", L4177-B4177)</f>
        <v/>
      </c>
      <c r="O4177">
        <f>IF(L4177="", "Pending", IF(N4177&lt;=30, "Met", "Breached"))</f>
        <v/>
      </c>
      <c r="P4177" s="8" t="n"/>
      <c r="Q4177" s="8" t="n"/>
      <c r="R4177" s="8" t="n"/>
      <c r="S4177" s="8" t="n"/>
      <c r="T4177" s="8" t="n"/>
      <c r="U4177" s="8" t="n"/>
      <c r="V4177" s="8" t="n"/>
      <c r="W4177" s="8" t="n"/>
      <c r="X4177" s="8" t="n"/>
      <c r="Y4177" s="8" t="n"/>
    </row>
    <row r="4178">
      <c r="A4178" s="8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9">
        <f>B4178+30</f>
        <v/>
      </c>
      <c r="N4178">
        <f>IF(L4178="", "", L4178-B4178)</f>
        <v/>
      </c>
      <c r="O4178">
        <f>IF(L4178="", "Pending", IF(N4178&lt;=30, "Met", "Breached"))</f>
        <v/>
      </c>
      <c r="P4178" s="8" t="n"/>
      <c r="Q4178" s="8" t="n"/>
      <c r="R4178" s="8" t="n"/>
      <c r="S4178" s="8" t="n"/>
      <c r="T4178" s="8" t="n"/>
      <c r="U4178" s="8" t="n"/>
      <c r="V4178" s="8" t="n"/>
      <c r="W4178" s="8" t="n"/>
      <c r="X4178" s="8" t="n"/>
      <c r="Y4178" s="8" t="n"/>
    </row>
    <row r="4179">
      <c r="A4179" s="8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9">
        <f>B4179+30</f>
        <v/>
      </c>
      <c r="N4179">
        <f>IF(L4179="", "", L4179-B4179)</f>
        <v/>
      </c>
      <c r="O4179">
        <f>IF(L4179="", "Pending", IF(N4179&lt;=30, "Met", "Breached"))</f>
        <v/>
      </c>
      <c r="P4179" s="8" t="n"/>
      <c r="Q4179" s="8" t="n"/>
      <c r="R4179" s="8" t="n"/>
      <c r="S4179" s="8" t="n"/>
      <c r="T4179" s="8" t="n"/>
      <c r="U4179" s="8" t="n"/>
      <c r="V4179" s="8" t="n"/>
      <c r="W4179" s="8" t="n"/>
      <c r="X4179" s="8" t="n"/>
      <c r="Y4179" s="8" t="n"/>
    </row>
    <row r="4180">
      <c r="A4180" s="8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9">
        <f>B4180+30</f>
        <v/>
      </c>
      <c r="N4180">
        <f>IF(L4180="", "", L4180-B4180)</f>
        <v/>
      </c>
      <c r="O4180">
        <f>IF(L4180="", "Pending", IF(N4180&lt;=30, "Met", "Breached"))</f>
        <v/>
      </c>
      <c r="P4180" s="8" t="n"/>
      <c r="Q4180" s="8" t="n"/>
      <c r="R4180" s="8" t="n"/>
      <c r="S4180" s="8" t="n"/>
      <c r="T4180" s="8" t="n"/>
      <c r="U4180" s="8" t="n"/>
      <c r="V4180" s="8" t="n"/>
      <c r="W4180" s="8" t="n"/>
      <c r="X4180" s="8" t="n"/>
      <c r="Y4180" s="8" t="n"/>
    </row>
    <row r="4181">
      <c r="A4181" s="8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9">
        <f>B4181+30</f>
        <v/>
      </c>
      <c r="N4181">
        <f>IF(L4181="", "", L4181-B4181)</f>
        <v/>
      </c>
      <c r="O4181">
        <f>IF(L4181="", "Pending", IF(N4181&lt;=30, "Met", "Breached"))</f>
        <v/>
      </c>
      <c r="P4181" s="8" t="n"/>
      <c r="Q4181" s="8" t="n"/>
      <c r="R4181" s="8" t="n"/>
      <c r="S4181" s="8" t="n"/>
      <c r="T4181" s="8" t="n"/>
      <c r="U4181" s="8" t="n"/>
      <c r="V4181" s="8" t="n"/>
      <c r="W4181" s="8" t="n"/>
      <c r="X4181" s="8" t="n"/>
      <c r="Y4181" s="8" t="n"/>
    </row>
    <row r="4182">
      <c r="A4182" s="8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9">
        <f>B4182+30</f>
        <v/>
      </c>
      <c r="N4182">
        <f>IF(L4182="", "", L4182-B4182)</f>
        <v/>
      </c>
      <c r="O4182">
        <f>IF(L4182="", "Pending", IF(N4182&lt;=30, "Met", "Breached"))</f>
        <v/>
      </c>
      <c r="P4182" s="8" t="n"/>
      <c r="Q4182" s="8" t="n"/>
      <c r="R4182" s="8" t="n"/>
      <c r="S4182" s="8" t="n"/>
      <c r="T4182" s="8" t="n"/>
      <c r="U4182" s="8" t="n"/>
      <c r="V4182" s="8" t="n"/>
      <c r="W4182" s="8" t="n"/>
      <c r="X4182" s="8" t="n"/>
      <c r="Y4182" s="8" t="n"/>
    </row>
    <row r="4183">
      <c r="A4183" s="8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9">
        <f>B4183+30</f>
        <v/>
      </c>
      <c r="N4183">
        <f>IF(L4183="", "", L4183-B4183)</f>
        <v/>
      </c>
      <c r="O4183">
        <f>IF(L4183="", "Pending", IF(N4183&lt;=30, "Met", "Breached"))</f>
        <v/>
      </c>
      <c r="P4183" s="8" t="n"/>
      <c r="Q4183" s="8" t="n"/>
      <c r="R4183" s="8" t="n"/>
      <c r="S4183" s="8" t="n"/>
      <c r="T4183" s="8" t="n"/>
      <c r="U4183" s="8" t="n"/>
      <c r="V4183" s="8" t="n"/>
      <c r="W4183" s="8" t="n"/>
      <c r="X4183" s="8" t="n"/>
      <c r="Y4183" s="8" t="n"/>
    </row>
    <row r="4184">
      <c r="A4184" s="8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9">
        <f>B4184+30</f>
        <v/>
      </c>
      <c r="N4184">
        <f>IF(L4184="", "", L4184-B4184)</f>
        <v/>
      </c>
      <c r="O4184">
        <f>IF(L4184="", "Pending", IF(N4184&lt;=30, "Met", "Breached"))</f>
        <v/>
      </c>
      <c r="P4184" s="8" t="n"/>
      <c r="Q4184" s="8" t="n"/>
      <c r="R4184" s="8" t="n"/>
      <c r="S4184" s="8" t="n"/>
      <c r="T4184" s="8" t="n"/>
      <c r="U4184" s="8" t="n"/>
      <c r="V4184" s="8" t="n"/>
      <c r="W4184" s="8" t="n"/>
      <c r="X4184" s="8" t="n"/>
      <c r="Y4184" s="8" t="n"/>
    </row>
    <row r="4185">
      <c r="A4185" s="8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9">
        <f>B4185+30</f>
        <v/>
      </c>
      <c r="N4185">
        <f>IF(L4185="", "", L4185-B4185)</f>
        <v/>
      </c>
      <c r="O4185">
        <f>IF(L4185="", "Pending", IF(N4185&lt;=30, "Met", "Breached"))</f>
        <v/>
      </c>
      <c r="P4185" s="8" t="n"/>
      <c r="Q4185" s="8" t="n"/>
      <c r="R4185" s="8" t="n"/>
      <c r="S4185" s="8" t="n"/>
      <c r="T4185" s="8" t="n"/>
      <c r="U4185" s="8" t="n"/>
      <c r="V4185" s="8" t="n"/>
      <c r="W4185" s="8" t="n"/>
      <c r="X4185" s="8" t="n"/>
      <c r="Y4185" s="8" t="n"/>
    </row>
    <row r="4186">
      <c r="A4186" s="8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9">
        <f>B4186+30</f>
        <v/>
      </c>
      <c r="N4186">
        <f>IF(L4186="", "", L4186-B4186)</f>
        <v/>
      </c>
      <c r="O4186">
        <f>IF(L4186="", "Pending", IF(N4186&lt;=30, "Met", "Breached"))</f>
        <v/>
      </c>
      <c r="P4186" s="8" t="n"/>
      <c r="Q4186" s="8" t="n"/>
      <c r="R4186" s="8" t="n"/>
      <c r="S4186" s="8" t="n"/>
      <c r="T4186" s="8" t="n"/>
      <c r="U4186" s="8" t="n"/>
      <c r="V4186" s="8" t="n"/>
      <c r="W4186" s="8" t="n"/>
      <c r="X4186" s="8" t="n"/>
      <c r="Y4186" s="8" t="n"/>
    </row>
    <row r="4187">
      <c r="A4187" s="8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9">
        <f>B4187+30</f>
        <v/>
      </c>
      <c r="N4187">
        <f>IF(L4187="", "", L4187-B4187)</f>
        <v/>
      </c>
      <c r="O4187">
        <f>IF(L4187="", "Pending", IF(N4187&lt;=30, "Met", "Breached"))</f>
        <v/>
      </c>
      <c r="P4187" s="8" t="n"/>
      <c r="Q4187" s="8" t="n"/>
      <c r="R4187" s="8" t="n"/>
      <c r="S4187" s="8" t="n"/>
      <c r="T4187" s="8" t="n"/>
      <c r="U4187" s="8" t="n"/>
      <c r="V4187" s="8" t="n"/>
      <c r="W4187" s="8" t="n"/>
      <c r="X4187" s="8" t="n"/>
      <c r="Y4187" s="8" t="n"/>
    </row>
    <row r="4188">
      <c r="A4188" s="8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9">
        <f>B4188+30</f>
        <v/>
      </c>
      <c r="N4188">
        <f>IF(L4188="", "", L4188-B4188)</f>
        <v/>
      </c>
      <c r="O4188">
        <f>IF(L4188="", "Pending", IF(N4188&lt;=30, "Met", "Breached"))</f>
        <v/>
      </c>
      <c r="P4188" s="8" t="n"/>
      <c r="Q4188" s="8" t="n"/>
      <c r="R4188" s="8" t="n"/>
      <c r="S4188" s="8" t="n"/>
      <c r="T4188" s="8" t="n"/>
      <c r="U4188" s="8" t="n"/>
      <c r="V4188" s="8" t="n"/>
      <c r="W4188" s="8" t="n"/>
      <c r="X4188" s="8" t="n"/>
      <c r="Y4188" s="8" t="n"/>
    </row>
    <row r="4189">
      <c r="A4189" s="8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9">
        <f>B4189+30</f>
        <v/>
      </c>
      <c r="N4189">
        <f>IF(L4189="", "", L4189-B4189)</f>
        <v/>
      </c>
      <c r="O4189">
        <f>IF(L4189="", "Pending", IF(N4189&lt;=30, "Met", "Breached"))</f>
        <v/>
      </c>
      <c r="P4189" s="8" t="n"/>
      <c r="Q4189" s="8" t="n"/>
      <c r="R4189" s="8" t="n"/>
      <c r="S4189" s="8" t="n"/>
      <c r="T4189" s="8" t="n"/>
      <c r="U4189" s="8" t="n"/>
      <c r="V4189" s="8" t="n"/>
      <c r="W4189" s="8" t="n"/>
      <c r="X4189" s="8" t="n"/>
      <c r="Y4189" s="8" t="n"/>
    </row>
    <row r="4190">
      <c r="A4190" s="8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9">
        <f>B4190+30</f>
        <v/>
      </c>
      <c r="N4190">
        <f>IF(L4190="", "", L4190-B4190)</f>
        <v/>
      </c>
      <c r="O4190">
        <f>IF(L4190="", "Pending", IF(N4190&lt;=30, "Met", "Breached"))</f>
        <v/>
      </c>
      <c r="P4190" s="8" t="n"/>
      <c r="Q4190" s="8" t="n"/>
      <c r="R4190" s="8" t="n"/>
      <c r="S4190" s="8" t="n"/>
      <c r="T4190" s="8" t="n"/>
      <c r="U4190" s="8" t="n"/>
      <c r="V4190" s="8" t="n"/>
      <c r="W4190" s="8" t="n"/>
      <c r="X4190" s="8" t="n"/>
      <c r="Y4190" s="8" t="n"/>
    </row>
    <row r="4191">
      <c r="A4191" s="8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9">
        <f>B4191+30</f>
        <v/>
      </c>
      <c r="N4191">
        <f>IF(L4191="", "", L4191-B4191)</f>
        <v/>
      </c>
      <c r="O4191">
        <f>IF(L4191="", "Pending", IF(N4191&lt;=30, "Met", "Breached"))</f>
        <v/>
      </c>
      <c r="P4191" s="8" t="n"/>
      <c r="Q4191" s="8" t="n"/>
      <c r="R4191" s="8" t="n"/>
      <c r="S4191" s="8" t="n"/>
      <c r="T4191" s="8" t="n"/>
      <c r="U4191" s="8" t="n"/>
      <c r="V4191" s="8" t="n"/>
      <c r="W4191" s="8" t="n"/>
      <c r="X4191" s="8" t="n"/>
      <c r="Y4191" s="8" t="n"/>
    </row>
    <row r="4192">
      <c r="A4192" s="8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9">
        <f>B4192+30</f>
        <v/>
      </c>
      <c r="N4192">
        <f>IF(L4192="", "", L4192-B4192)</f>
        <v/>
      </c>
      <c r="O4192">
        <f>IF(L4192="", "Pending", IF(N4192&lt;=30, "Met", "Breached"))</f>
        <v/>
      </c>
      <c r="P4192" s="8" t="n"/>
      <c r="Q4192" s="8" t="n"/>
      <c r="R4192" s="8" t="n"/>
      <c r="S4192" s="8" t="n"/>
      <c r="T4192" s="8" t="n"/>
      <c r="U4192" s="8" t="n"/>
      <c r="V4192" s="8" t="n"/>
      <c r="W4192" s="8" t="n"/>
      <c r="X4192" s="8" t="n"/>
      <c r="Y4192" s="8" t="n"/>
    </row>
    <row r="4193">
      <c r="A4193" s="8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9">
        <f>B4193+30</f>
        <v/>
      </c>
      <c r="N4193">
        <f>IF(L4193="", "", L4193-B4193)</f>
        <v/>
      </c>
      <c r="O4193">
        <f>IF(L4193="", "Pending", IF(N4193&lt;=30, "Met", "Breached"))</f>
        <v/>
      </c>
      <c r="P4193" s="8" t="n"/>
      <c r="Q4193" s="8" t="n"/>
      <c r="R4193" s="8" t="n"/>
      <c r="S4193" s="8" t="n"/>
      <c r="T4193" s="8" t="n"/>
      <c r="U4193" s="8" t="n"/>
      <c r="V4193" s="8" t="n"/>
      <c r="W4193" s="8" t="n"/>
      <c r="X4193" s="8" t="n"/>
      <c r="Y4193" s="8" t="n"/>
    </row>
    <row r="4194">
      <c r="A4194" s="8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9">
        <f>B4194+30</f>
        <v/>
      </c>
      <c r="N4194">
        <f>IF(L4194="", "", L4194-B4194)</f>
        <v/>
      </c>
      <c r="O4194">
        <f>IF(L4194="", "Pending", IF(N4194&lt;=30, "Met", "Breached"))</f>
        <v/>
      </c>
      <c r="P4194" s="8" t="n"/>
      <c r="Q4194" s="8" t="n"/>
      <c r="R4194" s="8" t="n"/>
      <c r="S4194" s="8" t="n"/>
      <c r="T4194" s="8" t="n"/>
      <c r="U4194" s="8" t="n"/>
      <c r="V4194" s="8" t="n"/>
      <c r="W4194" s="8" t="n"/>
      <c r="X4194" s="8" t="n"/>
      <c r="Y4194" s="8" t="n"/>
    </row>
    <row r="4195">
      <c r="A4195" s="8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9">
        <f>B4195+30</f>
        <v/>
      </c>
      <c r="N4195">
        <f>IF(L4195="", "", L4195-B4195)</f>
        <v/>
      </c>
      <c r="O4195">
        <f>IF(L4195="", "Pending", IF(N4195&lt;=30, "Met", "Breached"))</f>
        <v/>
      </c>
      <c r="P4195" s="8" t="n"/>
      <c r="Q4195" s="8" t="n"/>
      <c r="R4195" s="8" t="n"/>
      <c r="S4195" s="8" t="n"/>
      <c r="T4195" s="8" t="n"/>
      <c r="U4195" s="8" t="n"/>
      <c r="V4195" s="8" t="n"/>
      <c r="W4195" s="8" t="n"/>
      <c r="X4195" s="8" t="n"/>
      <c r="Y4195" s="8" t="n"/>
    </row>
    <row r="4196">
      <c r="A4196" s="8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9">
        <f>B4196+30</f>
        <v/>
      </c>
      <c r="N4196">
        <f>IF(L4196="", "", L4196-B4196)</f>
        <v/>
      </c>
      <c r="O4196">
        <f>IF(L4196="", "Pending", IF(N4196&lt;=30, "Met", "Breached"))</f>
        <v/>
      </c>
      <c r="P4196" s="8" t="n"/>
      <c r="Q4196" s="8" t="n"/>
      <c r="R4196" s="8" t="n"/>
      <c r="S4196" s="8" t="n"/>
      <c r="T4196" s="8" t="n"/>
      <c r="U4196" s="8" t="n"/>
      <c r="V4196" s="8" t="n"/>
      <c r="W4196" s="8" t="n"/>
      <c r="X4196" s="8" t="n"/>
      <c r="Y4196" s="8" t="n"/>
    </row>
    <row r="4197">
      <c r="A4197" s="8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9">
        <f>B4197+30</f>
        <v/>
      </c>
      <c r="N4197">
        <f>IF(L4197="", "", L4197-B4197)</f>
        <v/>
      </c>
      <c r="O4197">
        <f>IF(L4197="", "Pending", IF(N4197&lt;=30, "Met", "Breached"))</f>
        <v/>
      </c>
      <c r="P4197" s="8" t="n"/>
      <c r="Q4197" s="8" t="n"/>
      <c r="R4197" s="8" t="n"/>
      <c r="S4197" s="8" t="n"/>
      <c r="T4197" s="8" t="n"/>
      <c r="U4197" s="8" t="n"/>
      <c r="V4197" s="8" t="n"/>
      <c r="W4197" s="8" t="n"/>
      <c r="X4197" s="8" t="n"/>
      <c r="Y4197" s="8" t="n"/>
    </row>
    <row r="4198">
      <c r="A4198" s="8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9">
        <f>B4198+30</f>
        <v/>
      </c>
      <c r="N4198">
        <f>IF(L4198="", "", L4198-B4198)</f>
        <v/>
      </c>
      <c r="O4198">
        <f>IF(L4198="", "Pending", IF(N4198&lt;=30, "Met", "Breached"))</f>
        <v/>
      </c>
      <c r="P4198" s="8" t="n"/>
      <c r="Q4198" s="8" t="n"/>
      <c r="R4198" s="8" t="n"/>
      <c r="S4198" s="8" t="n"/>
      <c r="T4198" s="8" t="n"/>
      <c r="U4198" s="8" t="n"/>
      <c r="V4198" s="8" t="n"/>
      <c r="W4198" s="8" t="n"/>
      <c r="X4198" s="8" t="n"/>
      <c r="Y4198" s="8" t="n"/>
    </row>
    <row r="4199">
      <c r="A4199" s="8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9">
        <f>B4199+30</f>
        <v/>
      </c>
      <c r="N4199">
        <f>IF(L4199="", "", L4199-B4199)</f>
        <v/>
      </c>
      <c r="O4199">
        <f>IF(L4199="", "Pending", IF(N4199&lt;=30, "Met", "Breached"))</f>
        <v/>
      </c>
      <c r="P4199" s="8" t="n"/>
      <c r="Q4199" s="8" t="n"/>
      <c r="R4199" s="8" t="n"/>
      <c r="S4199" s="8" t="n"/>
      <c r="T4199" s="8" t="n"/>
      <c r="U4199" s="8" t="n"/>
      <c r="V4199" s="8" t="n"/>
      <c r="W4199" s="8" t="n"/>
      <c r="X4199" s="8" t="n"/>
      <c r="Y4199" s="8" t="n"/>
    </row>
    <row r="4200">
      <c r="A4200" s="8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9">
        <f>B4200+30</f>
        <v/>
      </c>
      <c r="N4200">
        <f>IF(L4200="", "", L4200-B4200)</f>
        <v/>
      </c>
      <c r="O4200">
        <f>IF(L4200="", "Pending", IF(N4200&lt;=30, "Met", "Breached"))</f>
        <v/>
      </c>
      <c r="P4200" s="8" t="n"/>
      <c r="Q4200" s="8" t="n"/>
      <c r="R4200" s="8" t="n"/>
      <c r="S4200" s="8" t="n"/>
      <c r="T4200" s="8" t="n"/>
      <c r="U4200" s="8" t="n"/>
      <c r="V4200" s="8" t="n"/>
      <c r="W4200" s="8" t="n"/>
      <c r="X4200" s="8" t="n"/>
      <c r="Y4200" s="8" t="n"/>
    </row>
    <row r="4201">
      <c r="A4201" s="8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9">
        <f>B4201+30</f>
        <v/>
      </c>
      <c r="N4201">
        <f>IF(L4201="", "", L4201-B4201)</f>
        <v/>
      </c>
      <c r="O4201">
        <f>IF(L4201="", "Pending", IF(N4201&lt;=30, "Met", "Breached"))</f>
        <v/>
      </c>
      <c r="P4201" s="8" t="n"/>
      <c r="Q4201" s="8" t="n"/>
      <c r="R4201" s="8" t="n"/>
      <c r="S4201" s="8" t="n"/>
      <c r="T4201" s="8" t="n"/>
      <c r="U4201" s="8" t="n"/>
      <c r="V4201" s="8" t="n"/>
      <c r="W4201" s="8" t="n"/>
      <c r="X4201" s="8" t="n"/>
      <c r="Y4201" s="8" t="n"/>
    </row>
    <row r="4202">
      <c r="A4202" s="8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9">
        <f>B4202+30</f>
        <v/>
      </c>
      <c r="N4202">
        <f>IF(L4202="", "", L4202-B4202)</f>
        <v/>
      </c>
      <c r="O4202">
        <f>IF(L4202="", "Pending", IF(N4202&lt;=30, "Met", "Breached"))</f>
        <v/>
      </c>
      <c r="P4202" s="8" t="n"/>
      <c r="Q4202" s="8" t="n"/>
      <c r="R4202" s="8" t="n"/>
      <c r="S4202" s="8" t="n"/>
      <c r="T4202" s="8" t="n"/>
      <c r="U4202" s="8" t="n"/>
      <c r="V4202" s="8" t="n"/>
      <c r="W4202" s="8" t="n"/>
      <c r="X4202" s="8" t="n"/>
      <c r="Y4202" s="8" t="n"/>
    </row>
    <row r="4203">
      <c r="A4203" s="8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9">
        <f>B4203+30</f>
        <v/>
      </c>
      <c r="N4203">
        <f>IF(L4203="", "", L4203-B4203)</f>
        <v/>
      </c>
      <c r="O4203">
        <f>IF(L4203="", "Pending", IF(N4203&lt;=30, "Met", "Breached"))</f>
        <v/>
      </c>
      <c r="P4203" s="8" t="n"/>
      <c r="Q4203" s="8" t="n"/>
      <c r="R4203" s="8" t="n"/>
      <c r="S4203" s="8" t="n"/>
      <c r="T4203" s="8" t="n"/>
      <c r="U4203" s="8" t="n"/>
      <c r="V4203" s="8" t="n"/>
      <c r="W4203" s="8" t="n"/>
      <c r="X4203" s="8" t="n"/>
      <c r="Y4203" s="8" t="n"/>
    </row>
    <row r="4204">
      <c r="A4204" s="8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9">
        <f>B4204+30</f>
        <v/>
      </c>
      <c r="N4204">
        <f>IF(L4204="", "", L4204-B4204)</f>
        <v/>
      </c>
      <c r="O4204">
        <f>IF(L4204="", "Pending", IF(N4204&lt;=30, "Met", "Breached"))</f>
        <v/>
      </c>
      <c r="P4204" s="8" t="n"/>
      <c r="Q4204" s="8" t="n"/>
      <c r="R4204" s="8" t="n"/>
      <c r="S4204" s="8" t="n"/>
      <c r="T4204" s="8" t="n"/>
      <c r="U4204" s="8" t="n"/>
      <c r="V4204" s="8" t="n"/>
      <c r="W4204" s="8" t="n"/>
      <c r="X4204" s="8" t="n"/>
      <c r="Y4204" s="8" t="n"/>
    </row>
    <row r="4205">
      <c r="A4205" s="8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9">
        <f>B4205+30</f>
        <v/>
      </c>
      <c r="N4205">
        <f>IF(L4205="", "", L4205-B4205)</f>
        <v/>
      </c>
      <c r="O4205">
        <f>IF(L4205="", "Pending", IF(N4205&lt;=30, "Met", "Breached"))</f>
        <v/>
      </c>
      <c r="P4205" s="8" t="n"/>
      <c r="Q4205" s="8" t="n"/>
      <c r="R4205" s="8" t="n"/>
      <c r="S4205" s="8" t="n"/>
      <c r="T4205" s="8" t="n"/>
      <c r="U4205" s="8" t="n"/>
      <c r="V4205" s="8" t="n"/>
      <c r="W4205" s="8" t="n"/>
      <c r="X4205" s="8" t="n"/>
      <c r="Y4205" s="8" t="n"/>
    </row>
    <row r="4206">
      <c r="A4206" s="8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9">
        <f>B4206+30</f>
        <v/>
      </c>
      <c r="N4206">
        <f>IF(L4206="", "", L4206-B4206)</f>
        <v/>
      </c>
      <c r="O4206">
        <f>IF(L4206="", "Pending", IF(N4206&lt;=30, "Met", "Breached"))</f>
        <v/>
      </c>
      <c r="P4206" s="8" t="n"/>
      <c r="Q4206" s="8" t="n"/>
      <c r="R4206" s="8" t="n"/>
      <c r="S4206" s="8" t="n"/>
      <c r="T4206" s="8" t="n"/>
      <c r="U4206" s="8" t="n"/>
      <c r="V4206" s="8" t="n"/>
      <c r="W4206" s="8" t="n"/>
      <c r="X4206" s="8" t="n"/>
      <c r="Y4206" s="8" t="n"/>
    </row>
    <row r="4207">
      <c r="A4207" s="8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9">
        <f>B4207+30</f>
        <v/>
      </c>
      <c r="N4207">
        <f>IF(L4207="", "", L4207-B4207)</f>
        <v/>
      </c>
      <c r="O4207">
        <f>IF(L4207="", "Pending", IF(N4207&lt;=30, "Met", "Breached"))</f>
        <v/>
      </c>
      <c r="P4207" s="8" t="n"/>
      <c r="Q4207" s="8" t="n"/>
      <c r="R4207" s="8" t="n"/>
      <c r="S4207" s="8" t="n"/>
      <c r="T4207" s="8" t="n"/>
      <c r="U4207" s="8" t="n"/>
      <c r="V4207" s="8" t="n"/>
      <c r="W4207" s="8" t="n"/>
      <c r="X4207" s="8" t="n"/>
      <c r="Y4207" s="8" t="n"/>
    </row>
    <row r="4208">
      <c r="A4208" s="8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9">
        <f>B4208+30</f>
        <v/>
      </c>
      <c r="N4208">
        <f>IF(L4208="", "", L4208-B4208)</f>
        <v/>
      </c>
      <c r="O4208">
        <f>IF(L4208="", "Pending", IF(N4208&lt;=30, "Met", "Breached"))</f>
        <v/>
      </c>
      <c r="P4208" s="8" t="n"/>
      <c r="Q4208" s="8" t="n"/>
      <c r="R4208" s="8" t="n"/>
      <c r="S4208" s="8" t="n"/>
      <c r="T4208" s="8" t="n"/>
      <c r="U4208" s="8" t="n"/>
      <c r="V4208" s="8" t="n"/>
      <c r="W4208" s="8" t="n"/>
      <c r="X4208" s="8" t="n"/>
      <c r="Y4208" s="8" t="n"/>
    </row>
    <row r="4209">
      <c r="A4209" s="8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9">
        <f>B4209+30</f>
        <v/>
      </c>
      <c r="N4209">
        <f>IF(L4209="", "", L4209-B4209)</f>
        <v/>
      </c>
      <c r="O4209">
        <f>IF(L4209="", "Pending", IF(N4209&lt;=30, "Met", "Breached"))</f>
        <v/>
      </c>
      <c r="P4209" s="8" t="n"/>
      <c r="Q4209" s="8" t="n"/>
      <c r="R4209" s="8" t="n"/>
      <c r="S4209" s="8" t="n"/>
      <c r="T4209" s="8" t="n"/>
      <c r="U4209" s="8" t="n"/>
      <c r="V4209" s="8" t="n"/>
      <c r="W4209" s="8" t="n"/>
      <c r="X4209" s="8" t="n"/>
      <c r="Y4209" s="8" t="n"/>
    </row>
    <row r="4210">
      <c r="A4210" s="8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9">
        <f>B4210+30</f>
        <v/>
      </c>
      <c r="N4210">
        <f>IF(L4210="", "", L4210-B4210)</f>
        <v/>
      </c>
      <c r="O4210">
        <f>IF(L4210="", "Pending", IF(N4210&lt;=30, "Met", "Breached"))</f>
        <v/>
      </c>
      <c r="P4210" s="8" t="n"/>
      <c r="Q4210" s="8" t="n"/>
      <c r="R4210" s="8" t="n"/>
      <c r="S4210" s="8" t="n"/>
      <c r="T4210" s="8" t="n"/>
      <c r="U4210" s="8" t="n"/>
      <c r="V4210" s="8" t="n"/>
      <c r="W4210" s="8" t="n"/>
      <c r="X4210" s="8" t="n"/>
      <c r="Y4210" s="8" t="n"/>
    </row>
    <row r="4211">
      <c r="A4211" s="8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9">
        <f>B4211+30</f>
        <v/>
      </c>
      <c r="N4211">
        <f>IF(L4211="", "", L4211-B4211)</f>
        <v/>
      </c>
      <c r="O4211">
        <f>IF(L4211="", "Pending", IF(N4211&lt;=30, "Met", "Breached"))</f>
        <v/>
      </c>
      <c r="P4211" s="8" t="n"/>
      <c r="Q4211" s="8" t="n"/>
      <c r="R4211" s="8" t="n"/>
      <c r="S4211" s="8" t="n"/>
      <c r="T4211" s="8" t="n"/>
      <c r="U4211" s="8" t="n"/>
      <c r="V4211" s="8" t="n"/>
      <c r="W4211" s="8" t="n"/>
      <c r="X4211" s="8" t="n"/>
      <c r="Y4211" s="8" t="n"/>
    </row>
    <row r="4212">
      <c r="A4212" s="8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9">
        <f>B4212+30</f>
        <v/>
      </c>
      <c r="N4212">
        <f>IF(L4212="", "", L4212-B4212)</f>
        <v/>
      </c>
      <c r="O4212">
        <f>IF(L4212="", "Pending", IF(N4212&lt;=30, "Met", "Breached"))</f>
        <v/>
      </c>
      <c r="P4212" s="8" t="n"/>
      <c r="Q4212" s="8" t="n"/>
      <c r="R4212" s="8" t="n"/>
      <c r="S4212" s="8" t="n"/>
      <c r="T4212" s="8" t="n"/>
      <c r="U4212" s="8" t="n"/>
      <c r="V4212" s="8" t="n"/>
      <c r="W4212" s="8" t="n"/>
      <c r="X4212" s="8" t="n"/>
      <c r="Y4212" s="8" t="n"/>
    </row>
    <row r="4213">
      <c r="A4213" s="8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9">
        <f>B4213+30</f>
        <v/>
      </c>
      <c r="N4213">
        <f>IF(L4213="", "", L4213-B4213)</f>
        <v/>
      </c>
      <c r="O4213">
        <f>IF(L4213="", "Pending", IF(N4213&lt;=30, "Met", "Breached"))</f>
        <v/>
      </c>
      <c r="P4213" s="8" t="n"/>
      <c r="Q4213" s="8" t="n"/>
      <c r="R4213" s="8" t="n"/>
      <c r="S4213" s="8" t="n"/>
      <c r="T4213" s="8" t="n"/>
      <c r="U4213" s="8" t="n"/>
      <c r="V4213" s="8" t="n"/>
      <c r="W4213" s="8" t="n"/>
      <c r="X4213" s="8" t="n"/>
      <c r="Y4213" s="8" t="n"/>
    </row>
    <row r="4214">
      <c r="A4214" s="8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9">
        <f>B4214+30</f>
        <v/>
      </c>
      <c r="N4214">
        <f>IF(L4214="", "", L4214-B4214)</f>
        <v/>
      </c>
      <c r="O4214">
        <f>IF(L4214="", "Pending", IF(N4214&lt;=30, "Met", "Breached"))</f>
        <v/>
      </c>
      <c r="P4214" s="8" t="n"/>
      <c r="Q4214" s="8" t="n"/>
      <c r="R4214" s="8" t="n"/>
      <c r="S4214" s="8" t="n"/>
      <c r="T4214" s="8" t="n"/>
      <c r="U4214" s="8" t="n"/>
      <c r="V4214" s="8" t="n"/>
      <c r="W4214" s="8" t="n"/>
      <c r="X4214" s="8" t="n"/>
      <c r="Y4214" s="8" t="n"/>
    </row>
    <row r="4215">
      <c r="A4215" s="8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9">
        <f>B4215+30</f>
        <v/>
      </c>
      <c r="N4215">
        <f>IF(L4215="", "", L4215-B4215)</f>
        <v/>
      </c>
      <c r="O4215">
        <f>IF(L4215="", "Pending", IF(N4215&lt;=30, "Met", "Breached"))</f>
        <v/>
      </c>
      <c r="P4215" s="8" t="n"/>
      <c r="Q4215" s="8" t="n"/>
      <c r="R4215" s="8" t="n"/>
      <c r="S4215" s="8" t="n"/>
      <c r="T4215" s="8" t="n"/>
      <c r="U4215" s="8" t="n"/>
      <c r="V4215" s="8" t="n"/>
      <c r="W4215" s="8" t="n"/>
      <c r="X4215" s="8" t="n"/>
      <c r="Y4215" s="8" t="n"/>
    </row>
    <row r="4216">
      <c r="A4216" s="8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9">
        <f>B4216+30</f>
        <v/>
      </c>
      <c r="N4216">
        <f>IF(L4216="", "", L4216-B4216)</f>
        <v/>
      </c>
      <c r="O4216">
        <f>IF(L4216="", "Pending", IF(N4216&lt;=30, "Met", "Breached"))</f>
        <v/>
      </c>
      <c r="P4216" s="8" t="n"/>
      <c r="Q4216" s="8" t="n"/>
      <c r="R4216" s="8" t="n"/>
      <c r="S4216" s="8" t="n"/>
      <c r="T4216" s="8" t="n"/>
      <c r="U4216" s="8" t="n"/>
      <c r="V4216" s="8" t="n"/>
      <c r="W4216" s="8" t="n"/>
      <c r="X4216" s="8" t="n"/>
      <c r="Y4216" s="8" t="n"/>
    </row>
    <row r="4217">
      <c r="A4217" s="8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9">
        <f>B4217+30</f>
        <v/>
      </c>
      <c r="N4217">
        <f>IF(L4217="", "", L4217-B4217)</f>
        <v/>
      </c>
      <c r="O4217">
        <f>IF(L4217="", "Pending", IF(N4217&lt;=30, "Met", "Breached"))</f>
        <v/>
      </c>
      <c r="P4217" s="8" t="n"/>
      <c r="Q4217" s="8" t="n"/>
      <c r="R4217" s="8" t="n"/>
      <c r="S4217" s="8" t="n"/>
      <c r="T4217" s="8" t="n"/>
      <c r="U4217" s="8" t="n"/>
      <c r="V4217" s="8" t="n"/>
      <c r="W4217" s="8" t="n"/>
      <c r="X4217" s="8" t="n"/>
      <c r="Y4217" s="8" t="n"/>
    </row>
    <row r="4218">
      <c r="A4218" s="8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9">
        <f>B4218+30</f>
        <v/>
      </c>
      <c r="N4218">
        <f>IF(L4218="", "", L4218-B4218)</f>
        <v/>
      </c>
      <c r="O4218">
        <f>IF(L4218="", "Pending", IF(N4218&lt;=30, "Met", "Breached"))</f>
        <v/>
      </c>
      <c r="P4218" s="8" t="n"/>
      <c r="Q4218" s="8" t="n"/>
      <c r="R4218" s="8" t="n"/>
      <c r="S4218" s="8" t="n"/>
      <c r="T4218" s="8" t="n"/>
      <c r="U4218" s="8" t="n"/>
      <c r="V4218" s="8" t="n"/>
      <c r="W4218" s="8" t="n"/>
      <c r="X4218" s="8" t="n"/>
      <c r="Y4218" s="8" t="n"/>
    </row>
    <row r="4219">
      <c r="A4219" s="8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9">
        <f>B4219+30</f>
        <v/>
      </c>
      <c r="N4219">
        <f>IF(L4219="", "", L4219-B4219)</f>
        <v/>
      </c>
      <c r="O4219">
        <f>IF(L4219="", "Pending", IF(N4219&lt;=30, "Met", "Breached"))</f>
        <v/>
      </c>
      <c r="P4219" s="8" t="n"/>
      <c r="Q4219" s="8" t="n"/>
      <c r="R4219" s="8" t="n"/>
      <c r="S4219" s="8" t="n"/>
      <c r="T4219" s="8" t="n"/>
      <c r="U4219" s="8" t="n"/>
      <c r="V4219" s="8" t="n"/>
      <c r="W4219" s="8" t="n"/>
      <c r="X4219" s="8" t="n"/>
      <c r="Y4219" s="8" t="n"/>
    </row>
    <row r="4220">
      <c r="A4220" s="8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9">
        <f>B4220+30</f>
        <v/>
      </c>
      <c r="N4220">
        <f>IF(L4220="", "", L4220-B4220)</f>
        <v/>
      </c>
      <c r="O4220">
        <f>IF(L4220="", "Pending", IF(N4220&lt;=30, "Met", "Breached"))</f>
        <v/>
      </c>
      <c r="P4220" s="8" t="n"/>
      <c r="Q4220" s="8" t="n"/>
      <c r="R4220" s="8" t="n"/>
      <c r="S4220" s="8" t="n"/>
      <c r="T4220" s="8" t="n"/>
      <c r="U4220" s="8" t="n"/>
      <c r="V4220" s="8" t="n"/>
      <c r="W4220" s="8" t="n"/>
      <c r="X4220" s="8" t="n"/>
      <c r="Y4220" s="8" t="n"/>
    </row>
    <row r="4221">
      <c r="A4221" s="8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9">
        <f>B4221+30</f>
        <v/>
      </c>
      <c r="N4221">
        <f>IF(L4221="", "", L4221-B4221)</f>
        <v/>
      </c>
      <c r="O4221">
        <f>IF(L4221="", "Pending", IF(N4221&lt;=30, "Met", "Breached"))</f>
        <v/>
      </c>
      <c r="P4221" s="8" t="n"/>
      <c r="Q4221" s="8" t="n"/>
      <c r="R4221" s="8" t="n"/>
      <c r="S4221" s="8" t="n"/>
      <c r="T4221" s="8" t="n"/>
      <c r="U4221" s="8" t="n"/>
      <c r="V4221" s="8" t="n"/>
      <c r="W4221" s="8" t="n"/>
      <c r="X4221" s="8" t="n"/>
      <c r="Y4221" s="8" t="n"/>
    </row>
    <row r="4222">
      <c r="A4222" s="8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9">
        <f>B4222+30</f>
        <v/>
      </c>
      <c r="N4222">
        <f>IF(L4222="", "", L4222-B4222)</f>
        <v/>
      </c>
      <c r="O4222">
        <f>IF(L4222="", "Pending", IF(N4222&lt;=30, "Met", "Breached"))</f>
        <v/>
      </c>
      <c r="P4222" s="8" t="n"/>
      <c r="Q4222" s="8" t="n"/>
      <c r="R4222" s="8" t="n"/>
      <c r="S4222" s="8" t="n"/>
      <c r="T4222" s="8" t="n"/>
      <c r="U4222" s="8" t="n"/>
      <c r="V4222" s="8" t="n"/>
      <c r="W4222" s="8" t="n"/>
      <c r="X4222" s="8" t="n"/>
      <c r="Y4222" s="8" t="n"/>
    </row>
    <row r="4223">
      <c r="A4223" s="8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9">
        <f>B4223+30</f>
        <v/>
      </c>
      <c r="N4223">
        <f>IF(L4223="", "", L4223-B4223)</f>
        <v/>
      </c>
      <c r="O4223">
        <f>IF(L4223="", "Pending", IF(N4223&lt;=30, "Met", "Breached"))</f>
        <v/>
      </c>
      <c r="P4223" s="8" t="n"/>
      <c r="Q4223" s="8" t="n"/>
      <c r="R4223" s="8" t="n"/>
      <c r="S4223" s="8" t="n"/>
      <c r="T4223" s="8" t="n"/>
      <c r="U4223" s="8" t="n"/>
      <c r="V4223" s="8" t="n"/>
      <c r="W4223" s="8" t="n"/>
      <c r="X4223" s="8" t="n"/>
      <c r="Y4223" s="8" t="n"/>
    </row>
    <row r="4224">
      <c r="A4224" s="8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9">
        <f>B4224+30</f>
        <v/>
      </c>
      <c r="N4224">
        <f>IF(L4224="", "", L4224-B4224)</f>
        <v/>
      </c>
      <c r="O4224">
        <f>IF(L4224="", "Pending", IF(N4224&lt;=30, "Met", "Breached"))</f>
        <v/>
      </c>
      <c r="P4224" s="8" t="n"/>
      <c r="Q4224" s="8" t="n"/>
      <c r="R4224" s="8" t="n"/>
      <c r="S4224" s="8" t="n"/>
      <c r="T4224" s="8" t="n"/>
      <c r="U4224" s="8" t="n"/>
      <c r="V4224" s="8" t="n"/>
      <c r="W4224" s="8" t="n"/>
      <c r="X4224" s="8" t="n"/>
      <c r="Y4224" s="8" t="n"/>
    </row>
    <row r="4225">
      <c r="A4225" s="8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9">
        <f>B4225+30</f>
        <v/>
      </c>
      <c r="N4225">
        <f>IF(L4225="", "", L4225-B4225)</f>
        <v/>
      </c>
      <c r="O4225">
        <f>IF(L4225="", "Pending", IF(N4225&lt;=30, "Met", "Breached"))</f>
        <v/>
      </c>
      <c r="P4225" s="8" t="n"/>
      <c r="Q4225" s="8" t="n"/>
      <c r="R4225" s="8" t="n"/>
      <c r="S4225" s="8" t="n"/>
      <c r="T4225" s="8" t="n"/>
      <c r="U4225" s="8" t="n"/>
      <c r="V4225" s="8" t="n"/>
      <c r="W4225" s="8" t="n"/>
      <c r="X4225" s="8" t="n"/>
      <c r="Y4225" s="8" t="n"/>
    </row>
    <row r="4226">
      <c r="A4226" s="8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9">
        <f>B4226+30</f>
        <v/>
      </c>
      <c r="N4226">
        <f>IF(L4226="", "", L4226-B4226)</f>
        <v/>
      </c>
      <c r="O4226">
        <f>IF(L4226="", "Pending", IF(N4226&lt;=30, "Met", "Breached"))</f>
        <v/>
      </c>
      <c r="P4226" s="8" t="n"/>
      <c r="Q4226" s="8" t="n"/>
      <c r="R4226" s="8" t="n"/>
      <c r="S4226" s="8" t="n"/>
      <c r="T4226" s="8" t="n"/>
      <c r="U4226" s="8" t="n"/>
      <c r="V4226" s="8" t="n"/>
      <c r="W4226" s="8" t="n"/>
      <c r="X4226" s="8" t="n"/>
      <c r="Y4226" s="8" t="n"/>
    </row>
    <row r="4227">
      <c r="A4227" s="8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9">
        <f>B4227+30</f>
        <v/>
      </c>
      <c r="N4227">
        <f>IF(L4227="", "", L4227-B4227)</f>
        <v/>
      </c>
      <c r="O4227">
        <f>IF(L4227="", "Pending", IF(N4227&lt;=30, "Met", "Breached"))</f>
        <v/>
      </c>
      <c r="P4227" s="8" t="n"/>
      <c r="Q4227" s="8" t="n"/>
      <c r="R4227" s="8" t="n"/>
      <c r="S4227" s="8" t="n"/>
      <c r="T4227" s="8" t="n"/>
      <c r="U4227" s="8" t="n"/>
      <c r="V4227" s="8" t="n"/>
      <c r="W4227" s="8" t="n"/>
      <c r="X4227" s="8" t="n"/>
      <c r="Y4227" s="8" t="n"/>
    </row>
    <row r="4228">
      <c r="A4228" s="8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9">
        <f>B4228+30</f>
        <v/>
      </c>
      <c r="N4228">
        <f>IF(L4228="", "", L4228-B4228)</f>
        <v/>
      </c>
      <c r="O4228">
        <f>IF(L4228="", "Pending", IF(N4228&lt;=30, "Met", "Breached"))</f>
        <v/>
      </c>
      <c r="P4228" s="8" t="n"/>
      <c r="Q4228" s="8" t="n"/>
      <c r="R4228" s="8" t="n"/>
      <c r="S4228" s="8" t="n"/>
      <c r="T4228" s="8" t="n"/>
      <c r="U4228" s="8" t="n"/>
      <c r="V4228" s="8" t="n"/>
      <c r="W4228" s="8" t="n"/>
      <c r="X4228" s="8" t="n"/>
      <c r="Y4228" s="8" t="n"/>
    </row>
    <row r="4229">
      <c r="A4229" s="8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9">
        <f>B4229+30</f>
        <v/>
      </c>
      <c r="N4229">
        <f>IF(L4229="", "", L4229-B4229)</f>
        <v/>
      </c>
      <c r="O4229">
        <f>IF(L4229="", "Pending", IF(N4229&lt;=30, "Met", "Breached"))</f>
        <v/>
      </c>
      <c r="P4229" s="8" t="n"/>
      <c r="Q4229" s="8" t="n"/>
      <c r="R4229" s="8" t="n"/>
      <c r="S4229" s="8" t="n"/>
      <c r="T4229" s="8" t="n"/>
      <c r="U4229" s="8" t="n"/>
      <c r="V4229" s="8" t="n"/>
      <c r="W4229" s="8" t="n"/>
      <c r="X4229" s="8" t="n"/>
      <c r="Y4229" s="8" t="n"/>
    </row>
    <row r="4230">
      <c r="A4230" s="8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9">
        <f>B4230+30</f>
        <v/>
      </c>
      <c r="N4230">
        <f>IF(L4230="", "", L4230-B4230)</f>
        <v/>
      </c>
      <c r="O4230">
        <f>IF(L4230="", "Pending", IF(N4230&lt;=30, "Met", "Breached"))</f>
        <v/>
      </c>
      <c r="P4230" s="8" t="n"/>
      <c r="Q4230" s="8" t="n"/>
      <c r="R4230" s="8" t="n"/>
      <c r="S4230" s="8" t="n"/>
      <c r="T4230" s="8" t="n"/>
      <c r="U4230" s="8" t="n"/>
      <c r="V4230" s="8" t="n"/>
      <c r="W4230" s="8" t="n"/>
      <c r="X4230" s="8" t="n"/>
      <c r="Y4230" s="8" t="n"/>
    </row>
    <row r="4231">
      <c r="A4231" s="8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9">
        <f>B4231+30</f>
        <v/>
      </c>
      <c r="N4231">
        <f>IF(L4231="", "", L4231-B4231)</f>
        <v/>
      </c>
      <c r="O4231">
        <f>IF(L4231="", "Pending", IF(N4231&lt;=30, "Met", "Breached"))</f>
        <v/>
      </c>
      <c r="P4231" s="8" t="n"/>
      <c r="Q4231" s="8" t="n"/>
      <c r="R4231" s="8" t="n"/>
      <c r="S4231" s="8" t="n"/>
      <c r="T4231" s="8" t="n"/>
      <c r="U4231" s="8" t="n"/>
      <c r="V4231" s="8" t="n"/>
      <c r="W4231" s="8" t="n"/>
      <c r="X4231" s="8" t="n"/>
      <c r="Y4231" s="8" t="n"/>
    </row>
    <row r="4232">
      <c r="A4232" s="8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9">
        <f>B4232+30</f>
        <v/>
      </c>
      <c r="N4232">
        <f>IF(L4232="", "", L4232-B4232)</f>
        <v/>
      </c>
      <c r="O4232">
        <f>IF(L4232="", "Pending", IF(N4232&lt;=30, "Met", "Breached"))</f>
        <v/>
      </c>
      <c r="P4232" s="8" t="n"/>
      <c r="Q4232" s="8" t="n"/>
      <c r="R4232" s="8" t="n"/>
      <c r="S4232" s="8" t="n"/>
      <c r="T4232" s="8" t="n"/>
      <c r="U4232" s="8" t="n"/>
      <c r="V4232" s="8" t="n"/>
      <c r="W4232" s="8" t="n"/>
      <c r="X4232" s="8" t="n"/>
      <c r="Y4232" s="8" t="n"/>
    </row>
    <row r="4233">
      <c r="A4233" s="8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9">
        <f>B4233+30</f>
        <v/>
      </c>
      <c r="N4233">
        <f>IF(L4233="", "", L4233-B4233)</f>
        <v/>
      </c>
      <c r="O4233">
        <f>IF(L4233="", "Pending", IF(N4233&lt;=30, "Met", "Breached"))</f>
        <v/>
      </c>
      <c r="P4233" s="8" t="n"/>
      <c r="Q4233" s="8" t="n"/>
      <c r="R4233" s="8" t="n"/>
      <c r="S4233" s="8" t="n"/>
      <c r="T4233" s="8" t="n"/>
      <c r="U4233" s="8" t="n"/>
      <c r="V4233" s="8" t="n"/>
      <c r="W4233" s="8" t="n"/>
      <c r="X4233" s="8" t="n"/>
      <c r="Y4233" s="8" t="n"/>
    </row>
    <row r="4234">
      <c r="A4234" s="8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9">
        <f>B4234+30</f>
        <v/>
      </c>
      <c r="N4234">
        <f>IF(L4234="", "", L4234-B4234)</f>
        <v/>
      </c>
      <c r="O4234">
        <f>IF(L4234="", "Pending", IF(N4234&lt;=30, "Met", "Breached"))</f>
        <v/>
      </c>
      <c r="P4234" s="8" t="n"/>
      <c r="Q4234" s="8" t="n"/>
      <c r="R4234" s="8" t="n"/>
      <c r="S4234" s="8" t="n"/>
      <c r="T4234" s="8" t="n"/>
      <c r="U4234" s="8" t="n"/>
      <c r="V4234" s="8" t="n"/>
      <c r="W4234" s="8" t="n"/>
      <c r="X4234" s="8" t="n"/>
      <c r="Y4234" s="8" t="n"/>
    </row>
    <row r="4235">
      <c r="A4235" s="8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9">
        <f>B4235+30</f>
        <v/>
      </c>
      <c r="N4235">
        <f>IF(L4235="", "", L4235-B4235)</f>
        <v/>
      </c>
      <c r="O4235">
        <f>IF(L4235="", "Pending", IF(N4235&lt;=30, "Met", "Breached"))</f>
        <v/>
      </c>
      <c r="P4235" s="8" t="n"/>
      <c r="Q4235" s="8" t="n"/>
      <c r="R4235" s="8" t="n"/>
      <c r="S4235" s="8" t="n"/>
      <c r="T4235" s="8" t="n"/>
      <c r="U4235" s="8" t="n"/>
      <c r="V4235" s="8" t="n"/>
      <c r="W4235" s="8" t="n"/>
      <c r="X4235" s="8" t="n"/>
      <c r="Y4235" s="8" t="n"/>
    </row>
    <row r="4236">
      <c r="A4236" s="8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9">
        <f>B4236+30</f>
        <v/>
      </c>
      <c r="N4236">
        <f>IF(L4236="", "", L4236-B4236)</f>
        <v/>
      </c>
      <c r="O4236">
        <f>IF(L4236="", "Pending", IF(N4236&lt;=30, "Met", "Breached"))</f>
        <v/>
      </c>
      <c r="P4236" s="8" t="n"/>
      <c r="Q4236" s="8" t="n"/>
      <c r="R4236" s="8" t="n"/>
      <c r="S4236" s="8" t="n"/>
      <c r="T4236" s="8" t="n"/>
      <c r="U4236" s="8" t="n"/>
      <c r="V4236" s="8" t="n"/>
      <c r="W4236" s="8" t="n"/>
      <c r="X4236" s="8" t="n"/>
      <c r="Y4236" s="8" t="n"/>
    </row>
    <row r="4237">
      <c r="A4237" s="8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9">
        <f>B4237+30</f>
        <v/>
      </c>
      <c r="N4237">
        <f>IF(L4237="", "", L4237-B4237)</f>
        <v/>
      </c>
      <c r="O4237">
        <f>IF(L4237="", "Pending", IF(N4237&lt;=30, "Met", "Breached"))</f>
        <v/>
      </c>
      <c r="P4237" s="8" t="n"/>
      <c r="Q4237" s="8" t="n"/>
      <c r="R4237" s="8" t="n"/>
      <c r="S4237" s="8" t="n"/>
      <c r="T4237" s="8" t="n"/>
      <c r="U4237" s="8" t="n"/>
      <c r="V4237" s="8" t="n"/>
      <c r="W4237" s="8" t="n"/>
      <c r="X4237" s="8" t="n"/>
      <c r="Y4237" s="8" t="n"/>
    </row>
    <row r="4238">
      <c r="A4238" s="8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9">
        <f>B4238+30</f>
        <v/>
      </c>
      <c r="N4238">
        <f>IF(L4238="", "", L4238-B4238)</f>
        <v/>
      </c>
      <c r="O4238">
        <f>IF(L4238="", "Pending", IF(N4238&lt;=30, "Met", "Breached"))</f>
        <v/>
      </c>
      <c r="P4238" s="8" t="n"/>
      <c r="Q4238" s="8" t="n"/>
      <c r="R4238" s="8" t="n"/>
      <c r="S4238" s="8" t="n"/>
      <c r="T4238" s="8" t="n"/>
      <c r="U4238" s="8" t="n"/>
      <c r="V4238" s="8" t="n"/>
      <c r="W4238" s="8" t="n"/>
      <c r="X4238" s="8" t="n"/>
      <c r="Y4238" s="8" t="n"/>
    </row>
    <row r="4239">
      <c r="A4239" s="8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9">
        <f>B4239+30</f>
        <v/>
      </c>
      <c r="N4239">
        <f>IF(L4239="", "", L4239-B4239)</f>
        <v/>
      </c>
      <c r="O4239">
        <f>IF(L4239="", "Pending", IF(N4239&lt;=30, "Met", "Breached"))</f>
        <v/>
      </c>
      <c r="P4239" s="8" t="n"/>
      <c r="Q4239" s="8" t="n"/>
      <c r="R4239" s="8" t="n"/>
      <c r="S4239" s="8" t="n"/>
      <c r="T4239" s="8" t="n"/>
      <c r="U4239" s="8" t="n"/>
      <c r="V4239" s="8" t="n"/>
      <c r="W4239" s="8" t="n"/>
      <c r="X4239" s="8" t="n"/>
      <c r="Y4239" s="8" t="n"/>
    </row>
    <row r="4240">
      <c r="A4240" s="8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9">
        <f>B4240+30</f>
        <v/>
      </c>
      <c r="N4240">
        <f>IF(L4240="", "", L4240-B4240)</f>
        <v/>
      </c>
      <c r="O4240">
        <f>IF(L4240="", "Pending", IF(N4240&lt;=30, "Met", "Breached"))</f>
        <v/>
      </c>
      <c r="P4240" s="8" t="n"/>
      <c r="Q4240" s="8" t="n"/>
      <c r="R4240" s="8" t="n"/>
      <c r="S4240" s="8" t="n"/>
      <c r="T4240" s="8" t="n"/>
      <c r="U4240" s="8" t="n"/>
      <c r="V4240" s="8" t="n"/>
      <c r="W4240" s="8" t="n"/>
      <c r="X4240" s="8" t="n"/>
      <c r="Y4240" s="8" t="n"/>
    </row>
    <row r="4241">
      <c r="A4241" s="8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9">
        <f>B4241+30</f>
        <v/>
      </c>
      <c r="N4241">
        <f>IF(L4241="", "", L4241-B4241)</f>
        <v/>
      </c>
      <c r="O4241">
        <f>IF(L4241="", "Pending", IF(N4241&lt;=30, "Met", "Breached"))</f>
        <v/>
      </c>
      <c r="P4241" s="8" t="n"/>
      <c r="Q4241" s="8" t="n"/>
      <c r="R4241" s="8" t="n"/>
      <c r="S4241" s="8" t="n"/>
      <c r="T4241" s="8" t="n"/>
      <c r="U4241" s="8" t="n"/>
      <c r="V4241" s="8" t="n"/>
      <c r="W4241" s="8" t="n"/>
      <c r="X4241" s="8" t="n"/>
      <c r="Y4241" s="8" t="n"/>
    </row>
    <row r="4242">
      <c r="A4242" s="8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9">
        <f>B4242+30</f>
        <v/>
      </c>
      <c r="N4242">
        <f>IF(L4242="", "", L4242-B4242)</f>
        <v/>
      </c>
      <c r="O4242">
        <f>IF(L4242="", "Pending", IF(N4242&lt;=30, "Met", "Breached"))</f>
        <v/>
      </c>
      <c r="P4242" s="8" t="n"/>
      <c r="Q4242" s="8" t="n"/>
      <c r="R4242" s="8" t="n"/>
      <c r="S4242" s="8" t="n"/>
      <c r="T4242" s="8" t="n"/>
      <c r="U4242" s="8" t="n"/>
      <c r="V4242" s="8" t="n"/>
      <c r="W4242" s="8" t="n"/>
      <c r="X4242" s="8" t="n"/>
      <c r="Y4242" s="8" t="n"/>
    </row>
    <row r="4243">
      <c r="A4243" s="8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9">
        <f>B4243+30</f>
        <v/>
      </c>
      <c r="N4243">
        <f>IF(L4243="", "", L4243-B4243)</f>
        <v/>
      </c>
      <c r="O4243">
        <f>IF(L4243="", "Pending", IF(N4243&lt;=30, "Met", "Breached"))</f>
        <v/>
      </c>
      <c r="P4243" s="8" t="n"/>
      <c r="Q4243" s="8" t="n"/>
      <c r="R4243" s="8" t="n"/>
      <c r="S4243" s="8" t="n"/>
      <c r="T4243" s="8" t="n"/>
      <c r="U4243" s="8" t="n"/>
      <c r="V4243" s="8" t="n"/>
      <c r="W4243" s="8" t="n"/>
      <c r="X4243" s="8" t="n"/>
      <c r="Y4243" s="8" t="n"/>
    </row>
    <row r="4244">
      <c r="A4244" s="8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9">
        <f>B4244+30</f>
        <v/>
      </c>
      <c r="N4244">
        <f>IF(L4244="", "", L4244-B4244)</f>
        <v/>
      </c>
      <c r="O4244">
        <f>IF(L4244="", "Pending", IF(N4244&lt;=30, "Met", "Breached"))</f>
        <v/>
      </c>
      <c r="P4244" s="8" t="n"/>
      <c r="Q4244" s="8" t="n"/>
      <c r="R4244" s="8" t="n"/>
      <c r="S4244" s="8" t="n"/>
      <c r="T4244" s="8" t="n"/>
      <c r="U4244" s="8" t="n"/>
      <c r="V4244" s="8" t="n"/>
      <c r="W4244" s="8" t="n"/>
      <c r="X4244" s="8" t="n"/>
      <c r="Y4244" s="8" t="n"/>
    </row>
    <row r="4245">
      <c r="A4245" s="8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9">
        <f>B4245+30</f>
        <v/>
      </c>
      <c r="N4245">
        <f>IF(L4245="", "", L4245-B4245)</f>
        <v/>
      </c>
      <c r="O4245">
        <f>IF(L4245="", "Pending", IF(N4245&lt;=30, "Met", "Breached"))</f>
        <v/>
      </c>
      <c r="P4245" s="8" t="n"/>
      <c r="Q4245" s="8" t="n"/>
      <c r="R4245" s="8" t="n"/>
      <c r="S4245" s="8" t="n"/>
      <c r="T4245" s="8" t="n"/>
      <c r="U4245" s="8" t="n"/>
      <c r="V4245" s="8" t="n"/>
      <c r="W4245" s="8" t="n"/>
      <c r="X4245" s="8" t="n"/>
      <c r="Y4245" s="8" t="n"/>
    </row>
    <row r="4246">
      <c r="A4246" s="8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9">
        <f>B4246+30</f>
        <v/>
      </c>
      <c r="N4246">
        <f>IF(L4246="", "", L4246-B4246)</f>
        <v/>
      </c>
      <c r="O4246">
        <f>IF(L4246="", "Pending", IF(N4246&lt;=30, "Met", "Breached"))</f>
        <v/>
      </c>
      <c r="P4246" s="8" t="n"/>
      <c r="Q4246" s="8" t="n"/>
      <c r="R4246" s="8" t="n"/>
      <c r="S4246" s="8" t="n"/>
      <c r="T4246" s="8" t="n"/>
      <c r="U4246" s="8" t="n"/>
      <c r="V4246" s="8" t="n"/>
      <c r="W4246" s="8" t="n"/>
      <c r="X4246" s="8" t="n"/>
      <c r="Y4246" s="8" t="n"/>
    </row>
    <row r="4247">
      <c r="A4247" s="8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9">
        <f>B4247+30</f>
        <v/>
      </c>
      <c r="N4247">
        <f>IF(L4247="", "", L4247-B4247)</f>
        <v/>
      </c>
      <c r="O4247">
        <f>IF(L4247="", "Pending", IF(N4247&lt;=30, "Met", "Breached"))</f>
        <v/>
      </c>
      <c r="P4247" s="8" t="n"/>
      <c r="Q4247" s="8" t="n"/>
      <c r="R4247" s="8" t="n"/>
      <c r="S4247" s="8" t="n"/>
      <c r="T4247" s="8" t="n"/>
      <c r="U4247" s="8" t="n"/>
      <c r="V4247" s="8" t="n"/>
      <c r="W4247" s="8" t="n"/>
      <c r="X4247" s="8" t="n"/>
      <c r="Y4247" s="8" t="n"/>
    </row>
    <row r="4248">
      <c r="A4248" s="8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9">
        <f>B4248+30</f>
        <v/>
      </c>
      <c r="N4248">
        <f>IF(L4248="", "", L4248-B4248)</f>
        <v/>
      </c>
      <c r="O4248">
        <f>IF(L4248="", "Pending", IF(N4248&lt;=30, "Met", "Breached"))</f>
        <v/>
      </c>
      <c r="P4248" s="8" t="n"/>
      <c r="Q4248" s="8" t="n"/>
      <c r="R4248" s="8" t="n"/>
      <c r="S4248" s="8" t="n"/>
      <c r="T4248" s="8" t="n"/>
      <c r="U4248" s="8" t="n"/>
      <c r="V4248" s="8" t="n"/>
      <c r="W4248" s="8" t="n"/>
      <c r="X4248" s="8" t="n"/>
      <c r="Y4248" s="8" t="n"/>
    </row>
    <row r="4249">
      <c r="A4249" s="8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9">
        <f>B4249+30</f>
        <v/>
      </c>
      <c r="N4249">
        <f>IF(L4249="", "", L4249-B4249)</f>
        <v/>
      </c>
      <c r="O4249">
        <f>IF(L4249="", "Pending", IF(N4249&lt;=30, "Met", "Breached"))</f>
        <v/>
      </c>
      <c r="P4249" s="8" t="n"/>
      <c r="Q4249" s="8" t="n"/>
      <c r="R4249" s="8" t="n"/>
      <c r="S4249" s="8" t="n"/>
      <c r="T4249" s="8" t="n"/>
      <c r="U4249" s="8" t="n"/>
      <c r="V4249" s="8" t="n"/>
      <c r="W4249" s="8" t="n"/>
      <c r="X4249" s="8" t="n"/>
      <c r="Y4249" s="8" t="n"/>
    </row>
    <row r="4250">
      <c r="A4250" s="8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9">
        <f>B4250+30</f>
        <v/>
      </c>
      <c r="N4250">
        <f>IF(L4250="", "", L4250-B4250)</f>
        <v/>
      </c>
      <c r="O4250">
        <f>IF(L4250="", "Pending", IF(N4250&lt;=30, "Met", "Breached"))</f>
        <v/>
      </c>
      <c r="P4250" s="8" t="n"/>
      <c r="Q4250" s="8" t="n"/>
      <c r="R4250" s="8" t="n"/>
      <c r="S4250" s="8" t="n"/>
      <c r="T4250" s="8" t="n"/>
      <c r="U4250" s="8" t="n"/>
      <c r="V4250" s="8" t="n"/>
      <c r="W4250" s="8" t="n"/>
      <c r="X4250" s="8" t="n"/>
      <c r="Y4250" s="8" t="n"/>
    </row>
    <row r="4251">
      <c r="A4251" s="8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9">
        <f>B4251+30</f>
        <v/>
      </c>
      <c r="N4251">
        <f>IF(L4251="", "", L4251-B4251)</f>
        <v/>
      </c>
      <c r="O4251">
        <f>IF(L4251="", "Pending", IF(N4251&lt;=30, "Met", "Breached"))</f>
        <v/>
      </c>
      <c r="P4251" s="8" t="n"/>
      <c r="Q4251" s="8" t="n"/>
      <c r="R4251" s="8" t="n"/>
      <c r="S4251" s="8" t="n"/>
      <c r="T4251" s="8" t="n"/>
      <c r="U4251" s="8" t="n"/>
      <c r="V4251" s="8" t="n"/>
      <c r="W4251" s="8" t="n"/>
      <c r="X4251" s="8" t="n"/>
      <c r="Y4251" s="8" t="n"/>
    </row>
    <row r="4252">
      <c r="A4252" s="8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9">
        <f>B4252+30</f>
        <v/>
      </c>
      <c r="N4252">
        <f>IF(L4252="", "", L4252-B4252)</f>
        <v/>
      </c>
      <c r="O4252">
        <f>IF(L4252="", "Pending", IF(N4252&lt;=30, "Met", "Breached"))</f>
        <v/>
      </c>
      <c r="P4252" s="8" t="n"/>
      <c r="Q4252" s="8" t="n"/>
      <c r="R4252" s="8" t="n"/>
      <c r="S4252" s="8" t="n"/>
      <c r="T4252" s="8" t="n"/>
      <c r="U4252" s="8" t="n"/>
      <c r="V4252" s="8" t="n"/>
      <c r="W4252" s="8" t="n"/>
      <c r="X4252" s="8" t="n"/>
      <c r="Y4252" s="8" t="n"/>
    </row>
    <row r="4253">
      <c r="A4253" s="8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9">
        <f>B4253+30</f>
        <v/>
      </c>
      <c r="N4253">
        <f>IF(L4253="", "", L4253-B4253)</f>
        <v/>
      </c>
      <c r="O4253">
        <f>IF(L4253="", "Pending", IF(N4253&lt;=30, "Met", "Breached"))</f>
        <v/>
      </c>
      <c r="P4253" s="8" t="n"/>
      <c r="Q4253" s="8" t="n"/>
      <c r="R4253" s="8" t="n"/>
      <c r="S4253" s="8" t="n"/>
      <c r="T4253" s="8" t="n"/>
      <c r="U4253" s="8" t="n"/>
      <c r="V4253" s="8" t="n"/>
      <c r="W4253" s="8" t="n"/>
      <c r="X4253" s="8" t="n"/>
      <c r="Y4253" s="8" t="n"/>
    </row>
    <row r="4254">
      <c r="A4254" s="8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9">
        <f>B4254+30</f>
        <v/>
      </c>
      <c r="N4254">
        <f>IF(L4254="", "", L4254-B4254)</f>
        <v/>
      </c>
      <c r="O4254">
        <f>IF(L4254="", "Pending", IF(N4254&lt;=30, "Met", "Breached"))</f>
        <v/>
      </c>
      <c r="P4254" s="8" t="n"/>
      <c r="Q4254" s="8" t="n"/>
      <c r="R4254" s="8" t="n"/>
      <c r="S4254" s="8" t="n"/>
      <c r="T4254" s="8" t="n"/>
      <c r="U4254" s="8" t="n"/>
      <c r="V4254" s="8" t="n"/>
      <c r="W4254" s="8" t="n"/>
      <c r="X4254" s="8" t="n"/>
      <c r="Y4254" s="8" t="n"/>
    </row>
    <row r="4255">
      <c r="A4255" s="8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9">
        <f>B4255+30</f>
        <v/>
      </c>
      <c r="N4255">
        <f>IF(L4255="", "", L4255-B4255)</f>
        <v/>
      </c>
      <c r="O4255">
        <f>IF(L4255="", "Pending", IF(N4255&lt;=30, "Met", "Breached"))</f>
        <v/>
      </c>
      <c r="P4255" s="8" t="n"/>
      <c r="Q4255" s="8" t="n"/>
      <c r="R4255" s="8" t="n"/>
      <c r="S4255" s="8" t="n"/>
      <c r="T4255" s="8" t="n"/>
      <c r="U4255" s="8" t="n"/>
      <c r="V4255" s="8" t="n"/>
      <c r="W4255" s="8" t="n"/>
      <c r="X4255" s="8" t="n"/>
      <c r="Y4255" s="8" t="n"/>
    </row>
    <row r="4256">
      <c r="A4256" s="8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9">
        <f>B4256+30</f>
        <v/>
      </c>
      <c r="N4256">
        <f>IF(L4256="", "", L4256-B4256)</f>
        <v/>
      </c>
      <c r="O4256">
        <f>IF(L4256="", "Pending", IF(N4256&lt;=30, "Met", "Breached"))</f>
        <v/>
      </c>
      <c r="P4256" s="8" t="n"/>
      <c r="Q4256" s="8" t="n"/>
      <c r="R4256" s="8" t="n"/>
      <c r="S4256" s="8" t="n"/>
      <c r="T4256" s="8" t="n"/>
      <c r="U4256" s="8" t="n"/>
      <c r="V4256" s="8" t="n"/>
      <c r="W4256" s="8" t="n"/>
      <c r="X4256" s="8" t="n"/>
      <c r="Y4256" s="8" t="n"/>
    </row>
    <row r="4257">
      <c r="A4257" s="8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9">
        <f>B4257+30</f>
        <v/>
      </c>
      <c r="N4257">
        <f>IF(L4257="", "", L4257-B4257)</f>
        <v/>
      </c>
      <c r="O4257">
        <f>IF(L4257="", "Pending", IF(N4257&lt;=30, "Met", "Breached"))</f>
        <v/>
      </c>
      <c r="P4257" s="8" t="n"/>
      <c r="Q4257" s="8" t="n"/>
      <c r="R4257" s="8" t="n"/>
      <c r="S4257" s="8" t="n"/>
      <c r="T4257" s="8" t="n"/>
      <c r="U4257" s="8" t="n"/>
      <c r="V4257" s="8" t="n"/>
      <c r="W4257" s="8" t="n"/>
      <c r="X4257" s="8" t="n"/>
      <c r="Y4257" s="8" t="n"/>
    </row>
    <row r="4258">
      <c r="A4258" s="8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9">
        <f>B4258+30</f>
        <v/>
      </c>
      <c r="N4258">
        <f>IF(L4258="", "", L4258-B4258)</f>
        <v/>
      </c>
      <c r="O4258">
        <f>IF(L4258="", "Pending", IF(N4258&lt;=30, "Met", "Breached"))</f>
        <v/>
      </c>
      <c r="P4258" s="8" t="n"/>
      <c r="Q4258" s="8" t="n"/>
      <c r="R4258" s="8" t="n"/>
      <c r="S4258" s="8" t="n"/>
      <c r="T4258" s="8" t="n"/>
      <c r="U4258" s="8" t="n"/>
      <c r="V4258" s="8" t="n"/>
      <c r="W4258" s="8" t="n"/>
      <c r="X4258" s="8" t="n"/>
      <c r="Y4258" s="8" t="n"/>
    </row>
    <row r="4259">
      <c r="A4259" s="8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9">
        <f>B4259+30</f>
        <v/>
      </c>
      <c r="N4259">
        <f>IF(L4259="", "", L4259-B4259)</f>
        <v/>
      </c>
      <c r="O4259">
        <f>IF(L4259="", "Pending", IF(N4259&lt;=30, "Met", "Breached"))</f>
        <v/>
      </c>
      <c r="P4259" s="8" t="n"/>
      <c r="Q4259" s="8" t="n"/>
      <c r="R4259" s="8" t="n"/>
      <c r="S4259" s="8" t="n"/>
      <c r="T4259" s="8" t="n"/>
      <c r="U4259" s="8" t="n"/>
      <c r="V4259" s="8" t="n"/>
      <c r="W4259" s="8" t="n"/>
      <c r="X4259" s="8" t="n"/>
      <c r="Y4259" s="8" t="n"/>
    </row>
    <row r="4260">
      <c r="A4260" s="8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9">
        <f>B4260+30</f>
        <v/>
      </c>
      <c r="N4260">
        <f>IF(L4260="", "", L4260-B4260)</f>
        <v/>
      </c>
      <c r="O4260">
        <f>IF(L4260="", "Pending", IF(N4260&lt;=30, "Met", "Breached"))</f>
        <v/>
      </c>
      <c r="P4260" s="8" t="n"/>
      <c r="Q4260" s="8" t="n"/>
      <c r="R4260" s="8" t="n"/>
      <c r="S4260" s="8" t="n"/>
      <c r="T4260" s="8" t="n"/>
      <c r="U4260" s="8" t="n"/>
      <c r="V4260" s="8" t="n"/>
      <c r="W4260" s="8" t="n"/>
      <c r="X4260" s="8" t="n"/>
      <c r="Y4260" s="8" t="n"/>
    </row>
    <row r="4261">
      <c r="A4261" s="8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9">
        <f>B4261+30</f>
        <v/>
      </c>
      <c r="N4261">
        <f>IF(L4261="", "", L4261-B4261)</f>
        <v/>
      </c>
      <c r="O4261">
        <f>IF(L4261="", "Pending", IF(N4261&lt;=30, "Met", "Breached"))</f>
        <v/>
      </c>
      <c r="P4261" s="8" t="n"/>
      <c r="Q4261" s="8" t="n"/>
      <c r="R4261" s="8" t="n"/>
      <c r="S4261" s="8" t="n"/>
      <c r="T4261" s="8" t="n"/>
      <c r="U4261" s="8" t="n"/>
      <c r="V4261" s="8" t="n"/>
      <c r="W4261" s="8" t="n"/>
      <c r="X4261" s="8" t="n"/>
      <c r="Y4261" s="8" t="n"/>
    </row>
    <row r="4262">
      <c r="A4262" s="8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9">
        <f>B4262+30</f>
        <v/>
      </c>
      <c r="N4262">
        <f>IF(L4262="", "", L4262-B4262)</f>
        <v/>
      </c>
      <c r="O4262">
        <f>IF(L4262="", "Pending", IF(N4262&lt;=30, "Met", "Breached"))</f>
        <v/>
      </c>
      <c r="P4262" s="8" t="n"/>
      <c r="Q4262" s="8" t="n"/>
      <c r="R4262" s="8" t="n"/>
      <c r="S4262" s="8" t="n"/>
      <c r="T4262" s="8" t="n"/>
      <c r="U4262" s="8" t="n"/>
      <c r="V4262" s="8" t="n"/>
      <c r="W4262" s="8" t="n"/>
      <c r="X4262" s="8" t="n"/>
      <c r="Y4262" s="8" t="n"/>
    </row>
    <row r="4263">
      <c r="A4263" s="8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9">
        <f>B4263+30</f>
        <v/>
      </c>
      <c r="N4263">
        <f>IF(L4263="", "", L4263-B4263)</f>
        <v/>
      </c>
      <c r="O4263">
        <f>IF(L4263="", "Pending", IF(N4263&lt;=30, "Met", "Breached"))</f>
        <v/>
      </c>
      <c r="P4263" s="8" t="n"/>
      <c r="Q4263" s="8" t="n"/>
      <c r="R4263" s="8" t="n"/>
      <c r="S4263" s="8" t="n"/>
      <c r="T4263" s="8" t="n"/>
      <c r="U4263" s="8" t="n"/>
      <c r="V4263" s="8" t="n"/>
      <c r="W4263" s="8" t="n"/>
      <c r="X4263" s="8" t="n"/>
      <c r="Y4263" s="8" t="n"/>
    </row>
    <row r="4264">
      <c r="A4264" s="8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9">
        <f>B4264+30</f>
        <v/>
      </c>
      <c r="N4264">
        <f>IF(L4264="", "", L4264-B4264)</f>
        <v/>
      </c>
      <c r="O4264">
        <f>IF(L4264="", "Pending", IF(N4264&lt;=30, "Met", "Breached"))</f>
        <v/>
      </c>
      <c r="P4264" s="8" t="n"/>
      <c r="Q4264" s="8" t="n"/>
      <c r="R4264" s="8" t="n"/>
      <c r="S4264" s="8" t="n"/>
      <c r="T4264" s="8" t="n"/>
      <c r="U4264" s="8" t="n"/>
      <c r="V4264" s="8" t="n"/>
      <c r="W4264" s="8" t="n"/>
      <c r="X4264" s="8" t="n"/>
      <c r="Y4264" s="8" t="n"/>
    </row>
    <row r="4265">
      <c r="A4265" s="8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9">
        <f>B4265+30</f>
        <v/>
      </c>
      <c r="N4265">
        <f>IF(L4265="", "", L4265-B4265)</f>
        <v/>
      </c>
      <c r="O4265">
        <f>IF(L4265="", "Pending", IF(N4265&lt;=30, "Met", "Breached"))</f>
        <v/>
      </c>
      <c r="P4265" s="8" t="n"/>
      <c r="Q4265" s="8" t="n"/>
      <c r="R4265" s="8" t="n"/>
      <c r="S4265" s="8" t="n"/>
      <c r="T4265" s="8" t="n"/>
      <c r="U4265" s="8" t="n"/>
      <c r="V4265" s="8" t="n"/>
      <c r="W4265" s="8" t="n"/>
      <c r="X4265" s="8" t="n"/>
      <c r="Y4265" s="8" t="n"/>
    </row>
    <row r="4266">
      <c r="A4266" s="8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9">
        <f>B4266+30</f>
        <v/>
      </c>
      <c r="N4266">
        <f>IF(L4266="", "", L4266-B4266)</f>
        <v/>
      </c>
      <c r="O4266">
        <f>IF(L4266="", "Pending", IF(N4266&lt;=30, "Met", "Breached"))</f>
        <v/>
      </c>
      <c r="P4266" s="8" t="n"/>
      <c r="Q4266" s="8" t="n"/>
      <c r="R4266" s="8" t="n"/>
      <c r="S4266" s="8" t="n"/>
      <c r="T4266" s="8" t="n"/>
      <c r="U4266" s="8" t="n"/>
      <c r="V4266" s="8" t="n"/>
      <c r="W4266" s="8" t="n"/>
      <c r="X4266" s="8" t="n"/>
      <c r="Y4266" s="8" t="n"/>
    </row>
    <row r="4267">
      <c r="A4267" s="8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9">
        <f>B4267+30</f>
        <v/>
      </c>
      <c r="N4267">
        <f>IF(L4267="", "", L4267-B4267)</f>
        <v/>
      </c>
      <c r="O4267">
        <f>IF(L4267="", "Pending", IF(N4267&lt;=30, "Met", "Breached"))</f>
        <v/>
      </c>
      <c r="P4267" s="8" t="n"/>
      <c r="Q4267" s="8" t="n"/>
      <c r="R4267" s="8" t="n"/>
      <c r="S4267" s="8" t="n"/>
      <c r="T4267" s="8" t="n"/>
      <c r="U4267" s="8" t="n"/>
      <c r="V4267" s="8" t="n"/>
      <c r="W4267" s="8" t="n"/>
      <c r="X4267" s="8" t="n"/>
      <c r="Y4267" s="8" t="n"/>
    </row>
    <row r="4268">
      <c r="A4268" s="8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9">
        <f>B4268+30</f>
        <v/>
      </c>
      <c r="N4268">
        <f>IF(L4268="", "", L4268-B4268)</f>
        <v/>
      </c>
      <c r="O4268">
        <f>IF(L4268="", "Pending", IF(N4268&lt;=30, "Met", "Breached"))</f>
        <v/>
      </c>
      <c r="P4268" s="8" t="n"/>
      <c r="Q4268" s="8" t="n"/>
      <c r="R4268" s="8" t="n"/>
      <c r="S4268" s="8" t="n"/>
      <c r="T4268" s="8" t="n"/>
      <c r="U4268" s="8" t="n"/>
      <c r="V4268" s="8" t="n"/>
      <c r="W4268" s="8" t="n"/>
      <c r="X4268" s="8" t="n"/>
      <c r="Y4268" s="8" t="n"/>
    </row>
    <row r="4269">
      <c r="A4269" s="8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9">
        <f>B4269+30</f>
        <v/>
      </c>
      <c r="N4269">
        <f>IF(L4269="", "", L4269-B4269)</f>
        <v/>
      </c>
      <c r="O4269">
        <f>IF(L4269="", "Pending", IF(N4269&lt;=30, "Met", "Breached"))</f>
        <v/>
      </c>
      <c r="P4269" s="8" t="n"/>
      <c r="Q4269" s="8" t="n"/>
      <c r="R4269" s="8" t="n"/>
      <c r="S4269" s="8" t="n"/>
      <c r="T4269" s="8" t="n"/>
      <c r="U4269" s="8" t="n"/>
      <c r="V4269" s="8" t="n"/>
      <c r="W4269" s="8" t="n"/>
      <c r="X4269" s="8" t="n"/>
      <c r="Y4269" s="8" t="n"/>
    </row>
    <row r="4270">
      <c r="A4270" s="8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9">
        <f>B4270+30</f>
        <v/>
      </c>
      <c r="N4270">
        <f>IF(L4270="", "", L4270-B4270)</f>
        <v/>
      </c>
      <c r="O4270">
        <f>IF(L4270="", "Pending", IF(N4270&lt;=30, "Met", "Breached"))</f>
        <v/>
      </c>
      <c r="P4270" s="8" t="n"/>
      <c r="Q4270" s="8" t="n"/>
      <c r="R4270" s="8" t="n"/>
      <c r="S4270" s="8" t="n"/>
      <c r="T4270" s="8" t="n"/>
      <c r="U4270" s="8" t="n"/>
      <c r="V4270" s="8" t="n"/>
      <c r="W4270" s="8" t="n"/>
      <c r="X4270" s="8" t="n"/>
      <c r="Y4270" s="8" t="n"/>
    </row>
    <row r="4271">
      <c r="A4271" s="8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9">
        <f>B4271+30</f>
        <v/>
      </c>
      <c r="N4271">
        <f>IF(L4271="", "", L4271-B4271)</f>
        <v/>
      </c>
      <c r="O4271">
        <f>IF(L4271="", "Pending", IF(N4271&lt;=30, "Met", "Breached"))</f>
        <v/>
      </c>
      <c r="P4271" s="8" t="n"/>
      <c r="Q4271" s="8" t="n"/>
      <c r="R4271" s="8" t="n"/>
      <c r="S4271" s="8" t="n"/>
      <c r="T4271" s="8" t="n"/>
      <c r="U4271" s="8" t="n"/>
      <c r="V4271" s="8" t="n"/>
      <c r="W4271" s="8" t="n"/>
      <c r="X4271" s="8" t="n"/>
      <c r="Y4271" s="8" t="n"/>
    </row>
    <row r="4272">
      <c r="A4272" s="8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9">
        <f>B4272+30</f>
        <v/>
      </c>
      <c r="N4272">
        <f>IF(L4272="", "", L4272-B4272)</f>
        <v/>
      </c>
      <c r="O4272">
        <f>IF(L4272="", "Pending", IF(N4272&lt;=30, "Met", "Breached"))</f>
        <v/>
      </c>
      <c r="P4272" s="8" t="n"/>
      <c r="Q4272" s="8" t="n"/>
      <c r="R4272" s="8" t="n"/>
      <c r="S4272" s="8" t="n"/>
      <c r="T4272" s="8" t="n"/>
      <c r="U4272" s="8" t="n"/>
      <c r="V4272" s="8" t="n"/>
      <c r="W4272" s="8" t="n"/>
      <c r="X4272" s="8" t="n"/>
      <c r="Y4272" s="8" t="n"/>
    </row>
    <row r="4273">
      <c r="A4273" s="8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9">
        <f>B4273+30</f>
        <v/>
      </c>
      <c r="N4273">
        <f>IF(L4273="", "", L4273-B4273)</f>
        <v/>
      </c>
      <c r="O4273">
        <f>IF(L4273="", "Pending", IF(N4273&lt;=30, "Met", "Breached"))</f>
        <v/>
      </c>
      <c r="P4273" s="8" t="n"/>
      <c r="Q4273" s="8" t="n"/>
      <c r="R4273" s="8" t="n"/>
      <c r="S4273" s="8" t="n"/>
      <c r="T4273" s="8" t="n"/>
      <c r="U4273" s="8" t="n"/>
      <c r="V4273" s="8" t="n"/>
      <c r="W4273" s="8" t="n"/>
      <c r="X4273" s="8" t="n"/>
      <c r="Y4273" s="8" t="n"/>
    </row>
    <row r="4274">
      <c r="A4274" s="8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9">
        <f>B4274+30</f>
        <v/>
      </c>
      <c r="N4274">
        <f>IF(L4274="", "", L4274-B4274)</f>
        <v/>
      </c>
      <c r="O4274">
        <f>IF(L4274="", "Pending", IF(N4274&lt;=30, "Met", "Breached"))</f>
        <v/>
      </c>
      <c r="P4274" s="8" t="n"/>
      <c r="Q4274" s="8" t="n"/>
      <c r="R4274" s="8" t="n"/>
      <c r="S4274" s="8" t="n"/>
      <c r="T4274" s="8" t="n"/>
      <c r="U4274" s="8" t="n"/>
      <c r="V4274" s="8" t="n"/>
      <c r="W4274" s="8" t="n"/>
      <c r="X4274" s="8" t="n"/>
      <c r="Y4274" s="8" t="n"/>
    </row>
    <row r="4275">
      <c r="A4275" s="8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9">
        <f>B4275+30</f>
        <v/>
      </c>
      <c r="N4275">
        <f>IF(L4275="", "", L4275-B4275)</f>
        <v/>
      </c>
      <c r="O4275">
        <f>IF(L4275="", "Pending", IF(N4275&lt;=30, "Met", "Breached"))</f>
        <v/>
      </c>
      <c r="P4275" s="8" t="n"/>
      <c r="Q4275" s="8" t="n"/>
      <c r="R4275" s="8" t="n"/>
      <c r="S4275" s="8" t="n"/>
      <c r="T4275" s="8" t="n"/>
      <c r="U4275" s="8" t="n"/>
      <c r="V4275" s="8" t="n"/>
      <c r="W4275" s="8" t="n"/>
      <c r="X4275" s="8" t="n"/>
      <c r="Y4275" s="8" t="n"/>
    </row>
    <row r="4276">
      <c r="A4276" s="8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9">
        <f>B4276+30</f>
        <v/>
      </c>
      <c r="N4276">
        <f>IF(L4276="", "", L4276-B4276)</f>
        <v/>
      </c>
      <c r="O4276">
        <f>IF(L4276="", "Pending", IF(N4276&lt;=30, "Met", "Breached"))</f>
        <v/>
      </c>
      <c r="P4276" s="8" t="n"/>
      <c r="Q4276" s="8" t="n"/>
      <c r="R4276" s="8" t="n"/>
      <c r="S4276" s="8" t="n"/>
      <c r="T4276" s="8" t="n"/>
      <c r="U4276" s="8" t="n"/>
      <c r="V4276" s="8" t="n"/>
      <c r="W4276" s="8" t="n"/>
      <c r="X4276" s="8" t="n"/>
      <c r="Y4276" s="8" t="n"/>
    </row>
    <row r="4277">
      <c r="A4277" s="8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9">
        <f>B4277+30</f>
        <v/>
      </c>
      <c r="N4277">
        <f>IF(L4277="", "", L4277-B4277)</f>
        <v/>
      </c>
      <c r="O4277">
        <f>IF(L4277="", "Pending", IF(N4277&lt;=30, "Met", "Breached"))</f>
        <v/>
      </c>
      <c r="P4277" s="8" t="n"/>
      <c r="Q4277" s="8" t="n"/>
      <c r="R4277" s="8" t="n"/>
      <c r="S4277" s="8" t="n"/>
      <c r="T4277" s="8" t="n"/>
      <c r="U4277" s="8" t="n"/>
      <c r="V4277" s="8" t="n"/>
      <c r="W4277" s="8" t="n"/>
      <c r="X4277" s="8" t="n"/>
      <c r="Y4277" s="8" t="n"/>
    </row>
    <row r="4278">
      <c r="A4278" s="8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9">
        <f>B4278+30</f>
        <v/>
      </c>
      <c r="N4278">
        <f>IF(L4278="", "", L4278-B4278)</f>
        <v/>
      </c>
      <c r="O4278">
        <f>IF(L4278="", "Pending", IF(N4278&lt;=30, "Met", "Breached"))</f>
        <v/>
      </c>
      <c r="P4278" s="8" t="n"/>
      <c r="Q4278" s="8" t="n"/>
      <c r="R4278" s="8" t="n"/>
      <c r="S4278" s="8" t="n"/>
      <c r="T4278" s="8" t="n"/>
      <c r="U4278" s="8" t="n"/>
      <c r="V4278" s="8" t="n"/>
      <c r="W4278" s="8" t="n"/>
      <c r="X4278" s="8" t="n"/>
      <c r="Y4278" s="8" t="n"/>
    </row>
    <row r="4279">
      <c r="A4279" s="8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9">
        <f>B4279+30</f>
        <v/>
      </c>
      <c r="N4279">
        <f>IF(L4279="", "", L4279-B4279)</f>
        <v/>
      </c>
      <c r="O4279">
        <f>IF(L4279="", "Pending", IF(N4279&lt;=30, "Met", "Breached"))</f>
        <v/>
      </c>
      <c r="P4279" s="8" t="n"/>
      <c r="Q4279" s="8" t="n"/>
      <c r="R4279" s="8" t="n"/>
      <c r="S4279" s="8" t="n"/>
      <c r="T4279" s="8" t="n"/>
      <c r="U4279" s="8" t="n"/>
      <c r="V4279" s="8" t="n"/>
      <c r="W4279" s="8" t="n"/>
      <c r="X4279" s="8" t="n"/>
      <c r="Y4279" s="8" t="n"/>
    </row>
    <row r="4280">
      <c r="A4280" s="8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9">
        <f>B4280+30</f>
        <v/>
      </c>
      <c r="N4280">
        <f>IF(L4280="", "", L4280-B4280)</f>
        <v/>
      </c>
      <c r="O4280">
        <f>IF(L4280="", "Pending", IF(N4280&lt;=30, "Met", "Breached"))</f>
        <v/>
      </c>
      <c r="P4280" s="8" t="n"/>
      <c r="Q4280" s="8" t="n"/>
      <c r="R4280" s="8" t="n"/>
      <c r="S4280" s="8" t="n"/>
      <c r="T4280" s="8" t="n"/>
      <c r="U4280" s="8" t="n"/>
      <c r="V4280" s="8" t="n"/>
      <c r="W4280" s="8" t="n"/>
      <c r="X4280" s="8" t="n"/>
      <c r="Y4280" s="8" t="n"/>
    </row>
    <row r="4281">
      <c r="A4281" s="8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9">
        <f>B4281+30</f>
        <v/>
      </c>
      <c r="N4281">
        <f>IF(L4281="", "", L4281-B4281)</f>
        <v/>
      </c>
      <c r="O4281">
        <f>IF(L4281="", "Pending", IF(N4281&lt;=30, "Met", "Breached"))</f>
        <v/>
      </c>
      <c r="P4281" s="8" t="n"/>
      <c r="Q4281" s="8" t="n"/>
      <c r="R4281" s="8" t="n"/>
      <c r="S4281" s="8" t="n"/>
      <c r="T4281" s="8" t="n"/>
      <c r="U4281" s="8" t="n"/>
      <c r="V4281" s="8" t="n"/>
      <c r="W4281" s="8" t="n"/>
      <c r="X4281" s="8" t="n"/>
      <c r="Y4281" s="8" t="n"/>
    </row>
    <row r="4282">
      <c r="A4282" s="8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9">
        <f>B4282+30</f>
        <v/>
      </c>
      <c r="N4282">
        <f>IF(L4282="", "", L4282-B4282)</f>
        <v/>
      </c>
      <c r="O4282">
        <f>IF(L4282="", "Pending", IF(N4282&lt;=30, "Met", "Breached"))</f>
        <v/>
      </c>
      <c r="P4282" s="8" t="n"/>
      <c r="Q4282" s="8" t="n"/>
      <c r="R4282" s="8" t="n"/>
      <c r="S4282" s="8" t="n"/>
      <c r="T4282" s="8" t="n"/>
      <c r="U4282" s="8" t="n"/>
      <c r="V4282" s="8" t="n"/>
      <c r="W4282" s="8" t="n"/>
      <c r="X4282" s="8" t="n"/>
      <c r="Y4282" s="8" t="n"/>
    </row>
    <row r="4283">
      <c r="A4283" s="8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9">
        <f>B4283+30</f>
        <v/>
      </c>
      <c r="N4283">
        <f>IF(L4283="", "", L4283-B4283)</f>
        <v/>
      </c>
      <c r="O4283">
        <f>IF(L4283="", "Pending", IF(N4283&lt;=30, "Met", "Breached"))</f>
        <v/>
      </c>
      <c r="P4283" s="8" t="n"/>
      <c r="Q4283" s="8" t="n"/>
      <c r="R4283" s="8" t="n"/>
      <c r="S4283" s="8" t="n"/>
      <c r="T4283" s="8" t="n"/>
      <c r="U4283" s="8" t="n"/>
      <c r="V4283" s="8" t="n"/>
      <c r="W4283" s="8" t="n"/>
      <c r="X4283" s="8" t="n"/>
      <c r="Y4283" s="8" t="n"/>
    </row>
    <row r="4284">
      <c r="A4284" s="8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9">
        <f>B4284+30</f>
        <v/>
      </c>
      <c r="N4284">
        <f>IF(L4284="", "", L4284-B4284)</f>
        <v/>
      </c>
      <c r="O4284">
        <f>IF(L4284="", "Pending", IF(N4284&lt;=30, "Met", "Breached"))</f>
        <v/>
      </c>
      <c r="P4284" s="8" t="n"/>
      <c r="Q4284" s="8" t="n"/>
      <c r="R4284" s="8" t="n"/>
      <c r="S4284" s="8" t="n"/>
      <c r="T4284" s="8" t="n"/>
      <c r="U4284" s="8" t="n"/>
      <c r="V4284" s="8" t="n"/>
      <c r="W4284" s="8" t="n"/>
      <c r="X4284" s="8" t="n"/>
      <c r="Y4284" s="8" t="n"/>
    </row>
    <row r="4285">
      <c r="A4285" s="8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9">
        <f>B4285+30</f>
        <v/>
      </c>
      <c r="N4285">
        <f>IF(L4285="", "", L4285-B4285)</f>
        <v/>
      </c>
      <c r="O4285">
        <f>IF(L4285="", "Pending", IF(N4285&lt;=30, "Met", "Breached"))</f>
        <v/>
      </c>
      <c r="P4285" s="8" t="n"/>
      <c r="Q4285" s="8" t="n"/>
      <c r="R4285" s="8" t="n"/>
      <c r="S4285" s="8" t="n"/>
      <c r="T4285" s="8" t="n"/>
      <c r="U4285" s="8" t="n"/>
      <c r="V4285" s="8" t="n"/>
      <c r="W4285" s="8" t="n"/>
      <c r="X4285" s="8" t="n"/>
      <c r="Y4285" s="8" t="n"/>
    </row>
    <row r="4286">
      <c r="A4286" s="8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9">
        <f>B4286+30</f>
        <v/>
      </c>
      <c r="N4286">
        <f>IF(L4286="", "", L4286-B4286)</f>
        <v/>
      </c>
      <c r="O4286">
        <f>IF(L4286="", "Pending", IF(N4286&lt;=30, "Met", "Breached"))</f>
        <v/>
      </c>
      <c r="P4286" s="8" t="n"/>
      <c r="Q4286" s="8" t="n"/>
      <c r="R4286" s="8" t="n"/>
      <c r="S4286" s="8" t="n"/>
      <c r="T4286" s="8" t="n"/>
      <c r="U4286" s="8" t="n"/>
      <c r="V4286" s="8" t="n"/>
      <c r="W4286" s="8" t="n"/>
      <c r="X4286" s="8" t="n"/>
      <c r="Y4286" s="8" t="n"/>
    </row>
    <row r="4287">
      <c r="A4287" s="8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9">
        <f>B4287+30</f>
        <v/>
      </c>
      <c r="N4287">
        <f>IF(L4287="", "", L4287-B4287)</f>
        <v/>
      </c>
      <c r="O4287">
        <f>IF(L4287="", "Pending", IF(N4287&lt;=30, "Met", "Breached"))</f>
        <v/>
      </c>
      <c r="P4287" s="8" t="n"/>
      <c r="Q4287" s="8" t="n"/>
      <c r="R4287" s="8" t="n"/>
      <c r="S4287" s="8" t="n"/>
      <c r="T4287" s="8" t="n"/>
      <c r="U4287" s="8" t="n"/>
      <c r="V4287" s="8" t="n"/>
      <c r="W4287" s="8" t="n"/>
      <c r="X4287" s="8" t="n"/>
      <c r="Y4287" s="8" t="n"/>
    </row>
    <row r="4288">
      <c r="A4288" s="8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9">
        <f>B4288+30</f>
        <v/>
      </c>
      <c r="N4288">
        <f>IF(L4288="", "", L4288-B4288)</f>
        <v/>
      </c>
      <c r="O4288">
        <f>IF(L4288="", "Pending", IF(N4288&lt;=30, "Met", "Breached"))</f>
        <v/>
      </c>
      <c r="P4288" s="8" t="n"/>
      <c r="Q4288" s="8" t="n"/>
      <c r="R4288" s="8" t="n"/>
      <c r="S4288" s="8" t="n"/>
      <c r="T4288" s="8" t="n"/>
      <c r="U4288" s="8" t="n"/>
      <c r="V4288" s="8" t="n"/>
      <c r="W4288" s="8" t="n"/>
      <c r="X4288" s="8" t="n"/>
      <c r="Y4288" s="8" t="n"/>
    </row>
    <row r="4289">
      <c r="A4289" s="8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9">
        <f>B4289+30</f>
        <v/>
      </c>
      <c r="N4289">
        <f>IF(L4289="", "", L4289-B4289)</f>
        <v/>
      </c>
      <c r="O4289">
        <f>IF(L4289="", "Pending", IF(N4289&lt;=30, "Met", "Breached"))</f>
        <v/>
      </c>
      <c r="P4289" s="8" t="n"/>
      <c r="Q4289" s="8" t="n"/>
      <c r="R4289" s="8" t="n"/>
      <c r="S4289" s="8" t="n"/>
      <c r="T4289" s="8" t="n"/>
      <c r="U4289" s="8" t="n"/>
      <c r="V4289" s="8" t="n"/>
      <c r="W4289" s="8" t="n"/>
      <c r="X4289" s="8" t="n"/>
      <c r="Y4289" s="8" t="n"/>
    </row>
    <row r="4290">
      <c r="A4290" s="8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9">
        <f>B4290+30</f>
        <v/>
      </c>
      <c r="N4290">
        <f>IF(L4290="", "", L4290-B4290)</f>
        <v/>
      </c>
      <c r="O4290">
        <f>IF(L4290="", "Pending", IF(N4290&lt;=30, "Met", "Breached"))</f>
        <v/>
      </c>
      <c r="P4290" s="8" t="n"/>
      <c r="Q4290" s="8" t="n"/>
      <c r="R4290" s="8" t="n"/>
      <c r="S4290" s="8" t="n"/>
      <c r="T4290" s="8" t="n"/>
      <c r="U4290" s="8" t="n"/>
      <c r="V4290" s="8" t="n"/>
      <c r="W4290" s="8" t="n"/>
      <c r="X4290" s="8" t="n"/>
      <c r="Y4290" s="8" t="n"/>
    </row>
    <row r="4291">
      <c r="A4291" s="8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9">
        <f>B4291+30</f>
        <v/>
      </c>
      <c r="N4291">
        <f>IF(L4291="", "", L4291-B4291)</f>
        <v/>
      </c>
      <c r="O4291">
        <f>IF(L4291="", "Pending", IF(N4291&lt;=30, "Met", "Breached"))</f>
        <v/>
      </c>
      <c r="P4291" s="8" t="n"/>
      <c r="Q4291" s="8" t="n"/>
      <c r="R4291" s="8" t="n"/>
      <c r="S4291" s="8" t="n"/>
      <c r="T4291" s="8" t="n"/>
      <c r="U4291" s="8" t="n"/>
      <c r="V4291" s="8" t="n"/>
      <c r="W4291" s="8" t="n"/>
      <c r="X4291" s="8" t="n"/>
      <c r="Y4291" s="8" t="n"/>
    </row>
    <row r="4292">
      <c r="A4292" s="8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9">
        <f>B4292+30</f>
        <v/>
      </c>
      <c r="N4292">
        <f>IF(L4292="", "", L4292-B4292)</f>
        <v/>
      </c>
      <c r="O4292">
        <f>IF(L4292="", "Pending", IF(N4292&lt;=30, "Met", "Breached"))</f>
        <v/>
      </c>
      <c r="P4292" s="8" t="n"/>
      <c r="Q4292" s="8" t="n"/>
      <c r="R4292" s="8" t="n"/>
      <c r="S4292" s="8" t="n"/>
      <c r="T4292" s="8" t="n"/>
      <c r="U4292" s="8" t="n"/>
      <c r="V4292" s="8" t="n"/>
      <c r="W4292" s="8" t="n"/>
      <c r="X4292" s="8" t="n"/>
      <c r="Y4292" s="8" t="n"/>
    </row>
    <row r="4293">
      <c r="A4293" s="8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9">
        <f>B4293+30</f>
        <v/>
      </c>
      <c r="N4293">
        <f>IF(L4293="", "", L4293-B4293)</f>
        <v/>
      </c>
      <c r="O4293">
        <f>IF(L4293="", "Pending", IF(N4293&lt;=30, "Met", "Breached"))</f>
        <v/>
      </c>
      <c r="P4293" s="8" t="n"/>
      <c r="Q4293" s="8" t="n"/>
      <c r="R4293" s="8" t="n"/>
      <c r="S4293" s="8" t="n"/>
      <c r="T4293" s="8" t="n"/>
      <c r="U4293" s="8" t="n"/>
      <c r="V4293" s="8" t="n"/>
      <c r="W4293" s="8" t="n"/>
      <c r="X4293" s="8" t="n"/>
      <c r="Y4293" s="8" t="n"/>
    </row>
    <row r="4294">
      <c r="A4294" s="8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9">
        <f>B4294+30</f>
        <v/>
      </c>
      <c r="N4294">
        <f>IF(L4294="", "", L4294-B4294)</f>
        <v/>
      </c>
      <c r="O4294">
        <f>IF(L4294="", "Pending", IF(N4294&lt;=30, "Met", "Breached"))</f>
        <v/>
      </c>
      <c r="P4294" s="8" t="n"/>
      <c r="Q4294" s="8" t="n"/>
      <c r="R4294" s="8" t="n"/>
      <c r="S4294" s="8" t="n"/>
      <c r="T4294" s="8" t="n"/>
      <c r="U4294" s="8" t="n"/>
      <c r="V4294" s="8" t="n"/>
      <c r="W4294" s="8" t="n"/>
      <c r="X4294" s="8" t="n"/>
      <c r="Y4294" s="8" t="n"/>
    </row>
    <row r="4295">
      <c r="A4295" s="8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9">
        <f>B4295+30</f>
        <v/>
      </c>
      <c r="N4295">
        <f>IF(L4295="", "", L4295-B4295)</f>
        <v/>
      </c>
      <c r="O4295">
        <f>IF(L4295="", "Pending", IF(N4295&lt;=30, "Met", "Breached"))</f>
        <v/>
      </c>
      <c r="P4295" s="8" t="n"/>
      <c r="Q4295" s="8" t="n"/>
      <c r="R4295" s="8" t="n"/>
      <c r="S4295" s="8" t="n"/>
      <c r="T4295" s="8" t="n"/>
      <c r="U4295" s="8" t="n"/>
      <c r="V4295" s="8" t="n"/>
      <c r="W4295" s="8" t="n"/>
      <c r="X4295" s="8" t="n"/>
      <c r="Y4295" s="8" t="n"/>
    </row>
    <row r="4296">
      <c r="A4296" s="8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9">
        <f>B4296+30</f>
        <v/>
      </c>
      <c r="N4296">
        <f>IF(L4296="", "", L4296-B4296)</f>
        <v/>
      </c>
      <c r="O4296">
        <f>IF(L4296="", "Pending", IF(N4296&lt;=30, "Met", "Breached"))</f>
        <v/>
      </c>
      <c r="P4296" s="8" t="n"/>
      <c r="Q4296" s="8" t="n"/>
      <c r="R4296" s="8" t="n"/>
      <c r="S4296" s="8" t="n"/>
      <c r="T4296" s="8" t="n"/>
      <c r="U4296" s="8" t="n"/>
      <c r="V4296" s="8" t="n"/>
      <c r="W4296" s="8" t="n"/>
      <c r="X4296" s="8" t="n"/>
      <c r="Y4296" s="8" t="n"/>
    </row>
    <row r="4297">
      <c r="A4297" s="8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9">
        <f>B4297+30</f>
        <v/>
      </c>
      <c r="N4297">
        <f>IF(L4297="", "", L4297-B4297)</f>
        <v/>
      </c>
      <c r="O4297">
        <f>IF(L4297="", "Pending", IF(N4297&lt;=30, "Met", "Breached"))</f>
        <v/>
      </c>
      <c r="P4297" s="8" t="n"/>
      <c r="Q4297" s="8" t="n"/>
      <c r="R4297" s="8" t="n"/>
      <c r="S4297" s="8" t="n"/>
      <c r="T4297" s="8" t="n"/>
      <c r="U4297" s="8" t="n"/>
      <c r="V4297" s="8" t="n"/>
      <c r="W4297" s="8" t="n"/>
      <c r="X4297" s="8" t="n"/>
      <c r="Y4297" s="8" t="n"/>
    </row>
    <row r="4298">
      <c r="A4298" s="8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9">
        <f>B4298+30</f>
        <v/>
      </c>
      <c r="N4298">
        <f>IF(L4298="", "", L4298-B4298)</f>
        <v/>
      </c>
      <c r="O4298">
        <f>IF(L4298="", "Pending", IF(N4298&lt;=30, "Met", "Breached"))</f>
        <v/>
      </c>
      <c r="P4298" s="8" t="n"/>
      <c r="Q4298" s="8" t="n"/>
      <c r="R4298" s="8" t="n"/>
      <c r="S4298" s="8" t="n"/>
      <c r="T4298" s="8" t="n"/>
      <c r="U4298" s="8" t="n"/>
      <c r="V4298" s="8" t="n"/>
      <c r="W4298" s="8" t="n"/>
      <c r="X4298" s="8" t="n"/>
      <c r="Y4298" s="8" t="n"/>
    </row>
    <row r="4299">
      <c r="A4299" s="8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9">
        <f>B4299+30</f>
        <v/>
      </c>
      <c r="N4299">
        <f>IF(L4299="", "", L4299-B4299)</f>
        <v/>
      </c>
      <c r="O4299">
        <f>IF(L4299="", "Pending", IF(N4299&lt;=30, "Met", "Breached"))</f>
        <v/>
      </c>
      <c r="P4299" s="8" t="n"/>
      <c r="Q4299" s="8" t="n"/>
      <c r="R4299" s="8" t="n"/>
      <c r="S4299" s="8" t="n"/>
      <c r="T4299" s="8" t="n"/>
      <c r="U4299" s="8" t="n"/>
      <c r="V4299" s="8" t="n"/>
      <c r="W4299" s="8" t="n"/>
      <c r="X4299" s="8" t="n"/>
      <c r="Y4299" s="8" t="n"/>
    </row>
    <row r="4300">
      <c r="A4300" s="8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9">
        <f>B4300+30</f>
        <v/>
      </c>
      <c r="N4300">
        <f>IF(L4300="", "", L4300-B4300)</f>
        <v/>
      </c>
      <c r="O4300">
        <f>IF(L4300="", "Pending", IF(N4300&lt;=30, "Met", "Breached"))</f>
        <v/>
      </c>
      <c r="P4300" s="8" t="n"/>
      <c r="Q4300" s="8" t="n"/>
      <c r="R4300" s="8" t="n"/>
      <c r="S4300" s="8" t="n"/>
      <c r="T4300" s="8" t="n"/>
      <c r="U4300" s="8" t="n"/>
      <c r="V4300" s="8" t="n"/>
      <c r="W4300" s="8" t="n"/>
      <c r="X4300" s="8" t="n"/>
      <c r="Y4300" s="8" t="n"/>
    </row>
    <row r="4301">
      <c r="A4301" s="8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9">
        <f>B4301+30</f>
        <v/>
      </c>
      <c r="N4301">
        <f>IF(L4301="", "", L4301-B4301)</f>
        <v/>
      </c>
      <c r="O4301">
        <f>IF(L4301="", "Pending", IF(N4301&lt;=30, "Met", "Breached"))</f>
        <v/>
      </c>
      <c r="P4301" s="8" t="n"/>
      <c r="Q4301" s="8" t="n"/>
      <c r="R4301" s="8" t="n"/>
      <c r="S4301" s="8" t="n"/>
      <c r="T4301" s="8" t="n"/>
      <c r="U4301" s="8" t="n"/>
      <c r="V4301" s="8" t="n"/>
      <c r="W4301" s="8" t="n"/>
      <c r="X4301" s="8" t="n"/>
      <c r="Y4301" s="8" t="n"/>
    </row>
    <row r="4302">
      <c r="A4302" s="8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9">
        <f>B4302+30</f>
        <v/>
      </c>
      <c r="N4302">
        <f>IF(L4302="", "", L4302-B4302)</f>
        <v/>
      </c>
      <c r="O4302">
        <f>IF(L4302="", "Pending", IF(N4302&lt;=30, "Met", "Breached"))</f>
        <v/>
      </c>
      <c r="P4302" s="8" t="n"/>
      <c r="Q4302" s="8" t="n"/>
      <c r="R4302" s="8" t="n"/>
      <c r="S4302" s="8" t="n"/>
      <c r="T4302" s="8" t="n"/>
      <c r="U4302" s="8" t="n"/>
      <c r="V4302" s="8" t="n"/>
      <c r="W4302" s="8" t="n"/>
      <c r="X4302" s="8" t="n"/>
      <c r="Y4302" s="8" t="n"/>
    </row>
    <row r="4303">
      <c r="A4303" s="8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9">
        <f>B4303+30</f>
        <v/>
      </c>
      <c r="N4303">
        <f>IF(L4303="", "", L4303-B4303)</f>
        <v/>
      </c>
      <c r="O4303">
        <f>IF(L4303="", "Pending", IF(N4303&lt;=30, "Met", "Breached"))</f>
        <v/>
      </c>
      <c r="P4303" s="8" t="n"/>
      <c r="Q4303" s="8" t="n"/>
      <c r="R4303" s="8" t="n"/>
      <c r="S4303" s="8" t="n"/>
      <c r="T4303" s="8" t="n"/>
      <c r="U4303" s="8" t="n"/>
      <c r="V4303" s="8" t="n"/>
      <c r="W4303" s="8" t="n"/>
      <c r="X4303" s="8" t="n"/>
      <c r="Y4303" s="8" t="n"/>
    </row>
    <row r="4304">
      <c r="A4304" s="8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9">
        <f>B4304+30</f>
        <v/>
      </c>
      <c r="N4304">
        <f>IF(L4304="", "", L4304-B4304)</f>
        <v/>
      </c>
      <c r="O4304">
        <f>IF(L4304="", "Pending", IF(N4304&lt;=30, "Met", "Breached"))</f>
        <v/>
      </c>
      <c r="P4304" s="8" t="n"/>
      <c r="Q4304" s="8" t="n"/>
      <c r="R4304" s="8" t="n"/>
      <c r="S4304" s="8" t="n"/>
      <c r="T4304" s="8" t="n"/>
      <c r="U4304" s="8" t="n"/>
      <c r="V4304" s="8" t="n"/>
      <c r="W4304" s="8" t="n"/>
      <c r="X4304" s="8" t="n"/>
      <c r="Y4304" s="8" t="n"/>
    </row>
    <row r="4305">
      <c r="A4305" s="8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9">
        <f>B4305+30</f>
        <v/>
      </c>
      <c r="N4305">
        <f>IF(L4305="", "", L4305-B4305)</f>
        <v/>
      </c>
      <c r="O4305">
        <f>IF(L4305="", "Pending", IF(N4305&lt;=30, "Met", "Breached"))</f>
        <v/>
      </c>
      <c r="P4305" s="8" t="n"/>
      <c r="Q4305" s="8" t="n"/>
      <c r="R4305" s="8" t="n"/>
      <c r="S4305" s="8" t="n"/>
      <c r="T4305" s="8" t="n"/>
      <c r="U4305" s="8" t="n"/>
      <c r="V4305" s="8" t="n"/>
      <c r="W4305" s="8" t="n"/>
      <c r="X4305" s="8" t="n"/>
      <c r="Y4305" s="8" t="n"/>
    </row>
    <row r="4306">
      <c r="A4306" s="8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9">
        <f>B4306+30</f>
        <v/>
      </c>
      <c r="N4306">
        <f>IF(L4306="", "", L4306-B4306)</f>
        <v/>
      </c>
      <c r="O4306">
        <f>IF(L4306="", "Pending", IF(N4306&lt;=30, "Met", "Breached"))</f>
        <v/>
      </c>
      <c r="P4306" s="8" t="n"/>
      <c r="Q4306" s="8" t="n"/>
      <c r="R4306" s="8" t="n"/>
      <c r="S4306" s="8" t="n"/>
      <c r="T4306" s="8" t="n"/>
      <c r="U4306" s="8" t="n"/>
      <c r="V4306" s="8" t="n"/>
      <c r="W4306" s="8" t="n"/>
      <c r="X4306" s="8" t="n"/>
      <c r="Y4306" s="8" t="n"/>
    </row>
    <row r="4307">
      <c r="A4307" s="8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9">
        <f>B4307+30</f>
        <v/>
      </c>
      <c r="N4307">
        <f>IF(L4307="", "", L4307-B4307)</f>
        <v/>
      </c>
      <c r="O4307">
        <f>IF(L4307="", "Pending", IF(N4307&lt;=30, "Met", "Breached"))</f>
        <v/>
      </c>
      <c r="P4307" s="8" t="n"/>
      <c r="Q4307" s="8" t="n"/>
      <c r="R4307" s="8" t="n"/>
      <c r="S4307" s="8" t="n"/>
      <c r="T4307" s="8" t="n"/>
      <c r="U4307" s="8" t="n"/>
      <c r="V4307" s="8" t="n"/>
      <c r="W4307" s="8" t="n"/>
      <c r="X4307" s="8" t="n"/>
      <c r="Y4307" s="8" t="n"/>
    </row>
    <row r="4308">
      <c r="A4308" s="8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9">
        <f>B4308+30</f>
        <v/>
      </c>
      <c r="N4308">
        <f>IF(L4308="", "", L4308-B4308)</f>
        <v/>
      </c>
      <c r="O4308">
        <f>IF(L4308="", "Pending", IF(N4308&lt;=30, "Met", "Breached"))</f>
        <v/>
      </c>
      <c r="P4308" s="8" t="n"/>
      <c r="Q4308" s="8" t="n"/>
      <c r="R4308" s="8" t="n"/>
      <c r="S4308" s="8" t="n"/>
      <c r="T4308" s="8" t="n"/>
      <c r="U4308" s="8" t="n"/>
      <c r="V4308" s="8" t="n"/>
      <c r="W4308" s="8" t="n"/>
      <c r="X4308" s="8" t="n"/>
      <c r="Y4308" s="8" t="n"/>
    </row>
    <row r="4309">
      <c r="A4309" s="8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9">
        <f>B4309+30</f>
        <v/>
      </c>
      <c r="N4309">
        <f>IF(L4309="", "", L4309-B4309)</f>
        <v/>
      </c>
      <c r="O4309">
        <f>IF(L4309="", "Pending", IF(N4309&lt;=30, "Met", "Breached"))</f>
        <v/>
      </c>
      <c r="P4309" s="8" t="n"/>
      <c r="Q4309" s="8" t="n"/>
      <c r="R4309" s="8" t="n"/>
      <c r="S4309" s="8" t="n"/>
      <c r="T4309" s="8" t="n"/>
      <c r="U4309" s="8" t="n"/>
      <c r="V4309" s="8" t="n"/>
      <c r="W4309" s="8" t="n"/>
      <c r="X4309" s="8" t="n"/>
      <c r="Y4309" s="8" t="n"/>
    </row>
    <row r="4310">
      <c r="A4310" s="8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9">
        <f>B4310+30</f>
        <v/>
      </c>
      <c r="N4310">
        <f>IF(L4310="", "", L4310-B4310)</f>
        <v/>
      </c>
      <c r="O4310">
        <f>IF(L4310="", "Pending", IF(N4310&lt;=30, "Met", "Breached"))</f>
        <v/>
      </c>
      <c r="P4310" s="8" t="n"/>
      <c r="Q4310" s="8" t="n"/>
      <c r="R4310" s="8" t="n"/>
      <c r="S4310" s="8" t="n"/>
      <c r="T4310" s="8" t="n"/>
      <c r="U4310" s="8" t="n"/>
      <c r="V4310" s="8" t="n"/>
      <c r="W4310" s="8" t="n"/>
      <c r="X4310" s="8" t="n"/>
      <c r="Y4310" s="8" t="n"/>
    </row>
    <row r="4311">
      <c r="A4311" s="8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9">
        <f>B4311+30</f>
        <v/>
      </c>
      <c r="N4311">
        <f>IF(L4311="", "", L4311-B4311)</f>
        <v/>
      </c>
      <c r="O4311">
        <f>IF(L4311="", "Pending", IF(N4311&lt;=30, "Met", "Breached"))</f>
        <v/>
      </c>
      <c r="P4311" s="8" t="n"/>
      <c r="Q4311" s="8" t="n"/>
      <c r="R4311" s="8" t="n"/>
      <c r="S4311" s="8" t="n"/>
      <c r="T4311" s="8" t="n"/>
      <c r="U4311" s="8" t="n"/>
      <c r="V4311" s="8" t="n"/>
      <c r="W4311" s="8" t="n"/>
      <c r="X4311" s="8" t="n"/>
      <c r="Y4311" s="8" t="n"/>
    </row>
    <row r="4312">
      <c r="A4312" s="8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9">
        <f>B4312+30</f>
        <v/>
      </c>
      <c r="N4312">
        <f>IF(L4312="", "", L4312-B4312)</f>
        <v/>
      </c>
      <c r="O4312">
        <f>IF(L4312="", "Pending", IF(N4312&lt;=30, "Met", "Breached"))</f>
        <v/>
      </c>
      <c r="P4312" s="8" t="n"/>
      <c r="Q4312" s="8" t="n"/>
      <c r="R4312" s="8" t="n"/>
      <c r="S4312" s="8" t="n"/>
      <c r="T4312" s="8" t="n"/>
      <c r="U4312" s="8" t="n"/>
      <c r="V4312" s="8" t="n"/>
      <c r="W4312" s="8" t="n"/>
      <c r="X4312" s="8" t="n"/>
      <c r="Y4312" s="8" t="n"/>
    </row>
    <row r="4313">
      <c r="A4313" s="8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9">
        <f>B4313+30</f>
        <v/>
      </c>
      <c r="N4313">
        <f>IF(L4313="", "", L4313-B4313)</f>
        <v/>
      </c>
      <c r="O4313">
        <f>IF(L4313="", "Pending", IF(N4313&lt;=30, "Met", "Breached"))</f>
        <v/>
      </c>
      <c r="P4313" s="8" t="n"/>
      <c r="Q4313" s="8" t="n"/>
      <c r="R4313" s="8" t="n"/>
      <c r="S4313" s="8" t="n"/>
      <c r="T4313" s="8" t="n"/>
      <c r="U4313" s="8" t="n"/>
      <c r="V4313" s="8" t="n"/>
      <c r="W4313" s="8" t="n"/>
      <c r="X4313" s="8" t="n"/>
      <c r="Y4313" s="8" t="n"/>
    </row>
    <row r="4314">
      <c r="A4314" s="8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9">
        <f>B4314+30</f>
        <v/>
      </c>
      <c r="N4314">
        <f>IF(L4314="", "", L4314-B4314)</f>
        <v/>
      </c>
      <c r="O4314">
        <f>IF(L4314="", "Pending", IF(N4314&lt;=30, "Met", "Breached"))</f>
        <v/>
      </c>
      <c r="P4314" s="8" t="n"/>
      <c r="Q4314" s="8" t="n"/>
      <c r="R4314" s="8" t="n"/>
      <c r="S4314" s="8" t="n"/>
      <c r="T4314" s="8" t="n"/>
      <c r="U4314" s="8" t="n"/>
      <c r="V4314" s="8" t="n"/>
      <c r="W4314" s="8" t="n"/>
      <c r="X4314" s="8" t="n"/>
      <c r="Y4314" s="8" t="n"/>
    </row>
    <row r="4315">
      <c r="A4315" s="8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9">
        <f>B4315+30</f>
        <v/>
      </c>
      <c r="N4315">
        <f>IF(L4315="", "", L4315-B4315)</f>
        <v/>
      </c>
      <c r="O4315">
        <f>IF(L4315="", "Pending", IF(N4315&lt;=30, "Met", "Breached"))</f>
        <v/>
      </c>
      <c r="P4315" s="8" t="n"/>
      <c r="Q4315" s="8" t="n"/>
      <c r="R4315" s="8" t="n"/>
      <c r="S4315" s="8" t="n"/>
      <c r="T4315" s="8" t="n"/>
      <c r="U4315" s="8" t="n"/>
      <c r="V4315" s="8" t="n"/>
      <c r="W4315" s="8" t="n"/>
      <c r="X4315" s="8" t="n"/>
      <c r="Y4315" s="8" t="n"/>
    </row>
    <row r="4316">
      <c r="A4316" s="8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9">
        <f>B4316+30</f>
        <v/>
      </c>
      <c r="N4316">
        <f>IF(L4316="", "", L4316-B4316)</f>
        <v/>
      </c>
      <c r="O4316">
        <f>IF(L4316="", "Pending", IF(N4316&lt;=30, "Met", "Breached"))</f>
        <v/>
      </c>
      <c r="P4316" s="8" t="n"/>
      <c r="Q4316" s="8" t="n"/>
      <c r="R4316" s="8" t="n"/>
      <c r="S4316" s="8" t="n"/>
      <c r="T4316" s="8" t="n"/>
      <c r="U4316" s="8" t="n"/>
      <c r="V4316" s="8" t="n"/>
      <c r="W4316" s="8" t="n"/>
      <c r="X4316" s="8" t="n"/>
      <c r="Y4316" s="8" t="n"/>
    </row>
    <row r="4317">
      <c r="A4317" s="8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9">
        <f>B4317+30</f>
        <v/>
      </c>
      <c r="N4317">
        <f>IF(L4317="", "", L4317-B4317)</f>
        <v/>
      </c>
      <c r="O4317">
        <f>IF(L4317="", "Pending", IF(N4317&lt;=30, "Met", "Breached"))</f>
        <v/>
      </c>
      <c r="P4317" s="8" t="n"/>
      <c r="Q4317" s="8" t="n"/>
      <c r="R4317" s="8" t="n"/>
      <c r="S4317" s="8" t="n"/>
      <c r="T4317" s="8" t="n"/>
      <c r="U4317" s="8" t="n"/>
      <c r="V4317" s="8" t="n"/>
      <c r="W4317" s="8" t="n"/>
      <c r="X4317" s="8" t="n"/>
      <c r="Y4317" s="8" t="n"/>
    </row>
    <row r="4318">
      <c r="A4318" s="8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9">
        <f>B4318+30</f>
        <v/>
      </c>
      <c r="N4318">
        <f>IF(L4318="", "", L4318-B4318)</f>
        <v/>
      </c>
      <c r="O4318">
        <f>IF(L4318="", "Pending", IF(N4318&lt;=30, "Met", "Breached"))</f>
        <v/>
      </c>
      <c r="P4318" s="8" t="n"/>
      <c r="Q4318" s="8" t="n"/>
      <c r="R4318" s="8" t="n"/>
      <c r="S4318" s="8" t="n"/>
      <c r="T4318" s="8" t="n"/>
      <c r="U4318" s="8" t="n"/>
      <c r="V4318" s="8" t="n"/>
      <c r="W4318" s="8" t="n"/>
      <c r="X4318" s="8" t="n"/>
      <c r="Y4318" s="8" t="n"/>
    </row>
    <row r="4319">
      <c r="A4319" s="8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9">
        <f>B4319+30</f>
        <v/>
      </c>
      <c r="N4319">
        <f>IF(L4319="", "", L4319-B4319)</f>
        <v/>
      </c>
      <c r="O4319">
        <f>IF(L4319="", "Pending", IF(N4319&lt;=30, "Met", "Breached"))</f>
        <v/>
      </c>
      <c r="P4319" s="8" t="n"/>
      <c r="Q4319" s="8" t="n"/>
      <c r="R4319" s="8" t="n"/>
      <c r="S4319" s="8" t="n"/>
      <c r="T4319" s="8" t="n"/>
      <c r="U4319" s="8" t="n"/>
      <c r="V4319" s="8" t="n"/>
      <c r="W4319" s="8" t="n"/>
      <c r="X4319" s="8" t="n"/>
      <c r="Y4319" s="8" t="n"/>
    </row>
    <row r="4320">
      <c r="A4320" s="8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9">
        <f>B4320+30</f>
        <v/>
      </c>
      <c r="N4320">
        <f>IF(L4320="", "", L4320-B4320)</f>
        <v/>
      </c>
      <c r="O4320">
        <f>IF(L4320="", "Pending", IF(N4320&lt;=30, "Met", "Breached"))</f>
        <v/>
      </c>
      <c r="P4320" s="8" t="n"/>
      <c r="Q4320" s="8" t="n"/>
      <c r="R4320" s="8" t="n"/>
      <c r="S4320" s="8" t="n"/>
      <c r="T4320" s="8" t="n"/>
      <c r="U4320" s="8" t="n"/>
      <c r="V4320" s="8" t="n"/>
      <c r="W4320" s="8" t="n"/>
      <c r="X4320" s="8" t="n"/>
      <c r="Y4320" s="8" t="n"/>
    </row>
    <row r="4321">
      <c r="A4321" s="8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9">
        <f>B4321+30</f>
        <v/>
      </c>
      <c r="N4321">
        <f>IF(L4321="", "", L4321-B4321)</f>
        <v/>
      </c>
      <c r="O4321">
        <f>IF(L4321="", "Pending", IF(N4321&lt;=30, "Met", "Breached"))</f>
        <v/>
      </c>
      <c r="P4321" s="8" t="n"/>
      <c r="Q4321" s="8" t="n"/>
      <c r="R4321" s="8" t="n"/>
      <c r="S4321" s="8" t="n"/>
      <c r="T4321" s="8" t="n"/>
      <c r="U4321" s="8" t="n"/>
      <c r="V4321" s="8" t="n"/>
      <c r="W4321" s="8" t="n"/>
      <c r="X4321" s="8" t="n"/>
      <c r="Y4321" s="8" t="n"/>
    </row>
    <row r="4322">
      <c r="A4322" s="8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9">
        <f>B4322+30</f>
        <v/>
      </c>
      <c r="N4322">
        <f>IF(L4322="", "", L4322-B4322)</f>
        <v/>
      </c>
      <c r="O4322">
        <f>IF(L4322="", "Pending", IF(N4322&lt;=30, "Met", "Breached"))</f>
        <v/>
      </c>
      <c r="P4322" s="8" t="n"/>
      <c r="Q4322" s="8" t="n"/>
      <c r="R4322" s="8" t="n"/>
      <c r="S4322" s="8" t="n"/>
      <c r="T4322" s="8" t="n"/>
      <c r="U4322" s="8" t="n"/>
      <c r="V4322" s="8" t="n"/>
      <c r="W4322" s="8" t="n"/>
      <c r="X4322" s="8" t="n"/>
      <c r="Y4322" s="8" t="n"/>
    </row>
    <row r="4323">
      <c r="A4323" s="8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9">
        <f>B4323+30</f>
        <v/>
      </c>
      <c r="N4323">
        <f>IF(L4323="", "", L4323-B4323)</f>
        <v/>
      </c>
      <c r="O4323">
        <f>IF(L4323="", "Pending", IF(N4323&lt;=30, "Met", "Breached"))</f>
        <v/>
      </c>
      <c r="P4323" s="8" t="n"/>
      <c r="Q4323" s="8" t="n"/>
      <c r="R4323" s="8" t="n"/>
      <c r="S4323" s="8" t="n"/>
      <c r="T4323" s="8" t="n"/>
      <c r="U4323" s="8" t="n"/>
      <c r="V4323" s="8" t="n"/>
      <c r="W4323" s="8" t="n"/>
      <c r="X4323" s="8" t="n"/>
      <c r="Y4323" s="8" t="n"/>
    </row>
    <row r="4324">
      <c r="A4324" s="8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9">
        <f>B4324+30</f>
        <v/>
      </c>
      <c r="N4324">
        <f>IF(L4324="", "", L4324-B4324)</f>
        <v/>
      </c>
      <c r="O4324">
        <f>IF(L4324="", "Pending", IF(N4324&lt;=30, "Met", "Breached"))</f>
        <v/>
      </c>
      <c r="P4324" s="8" t="n"/>
      <c r="Q4324" s="8" t="n"/>
      <c r="R4324" s="8" t="n"/>
      <c r="S4324" s="8" t="n"/>
      <c r="T4324" s="8" t="n"/>
      <c r="U4324" s="8" t="n"/>
      <c r="V4324" s="8" t="n"/>
      <c r="W4324" s="8" t="n"/>
      <c r="X4324" s="8" t="n"/>
      <c r="Y4324" s="8" t="n"/>
    </row>
    <row r="4325">
      <c r="A4325" s="8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9">
        <f>B4325+30</f>
        <v/>
      </c>
      <c r="N4325">
        <f>IF(L4325="", "", L4325-B4325)</f>
        <v/>
      </c>
      <c r="O4325">
        <f>IF(L4325="", "Pending", IF(N4325&lt;=30, "Met", "Breached"))</f>
        <v/>
      </c>
      <c r="P4325" s="8" t="n"/>
      <c r="Q4325" s="8" t="n"/>
      <c r="R4325" s="8" t="n"/>
      <c r="S4325" s="8" t="n"/>
      <c r="T4325" s="8" t="n"/>
      <c r="U4325" s="8" t="n"/>
      <c r="V4325" s="8" t="n"/>
      <c r="W4325" s="8" t="n"/>
      <c r="X4325" s="8" t="n"/>
      <c r="Y4325" s="8" t="n"/>
    </row>
    <row r="4326">
      <c r="A4326" s="8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9">
        <f>B4326+30</f>
        <v/>
      </c>
      <c r="N4326">
        <f>IF(L4326="", "", L4326-B4326)</f>
        <v/>
      </c>
      <c r="O4326">
        <f>IF(L4326="", "Pending", IF(N4326&lt;=30, "Met", "Breached"))</f>
        <v/>
      </c>
      <c r="P4326" s="8" t="n"/>
      <c r="Q4326" s="8" t="n"/>
      <c r="R4326" s="8" t="n"/>
      <c r="S4326" s="8" t="n"/>
      <c r="T4326" s="8" t="n"/>
      <c r="U4326" s="8" t="n"/>
      <c r="V4326" s="8" t="n"/>
      <c r="W4326" s="8" t="n"/>
      <c r="X4326" s="8" t="n"/>
      <c r="Y4326" s="8" t="n"/>
    </row>
    <row r="4327">
      <c r="A4327" s="8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9">
        <f>B4327+30</f>
        <v/>
      </c>
      <c r="N4327">
        <f>IF(L4327="", "", L4327-B4327)</f>
        <v/>
      </c>
      <c r="O4327">
        <f>IF(L4327="", "Pending", IF(N4327&lt;=30, "Met", "Breached"))</f>
        <v/>
      </c>
      <c r="P4327" s="8" t="n"/>
      <c r="Q4327" s="8" t="n"/>
      <c r="R4327" s="8" t="n"/>
      <c r="S4327" s="8" t="n"/>
      <c r="T4327" s="8" t="n"/>
      <c r="U4327" s="8" t="n"/>
      <c r="V4327" s="8" t="n"/>
      <c r="W4327" s="8" t="n"/>
      <c r="X4327" s="8" t="n"/>
      <c r="Y4327" s="8" t="n"/>
    </row>
    <row r="4328">
      <c r="A4328" s="8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9">
        <f>B4328+30</f>
        <v/>
      </c>
      <c r="N4328">
        <f>IF(L4328="", "", L4328-B4328)</f>
        <v/>
      </c>
      <c r="O4328">
        <f>IF(L4328="", "Pending", IF(N4328&lt;=30, "Met", "Breached"))</f>
        <v/>
      </c>
      <c r="P4328" s="8" t="n"/>
      <c r="Q4328" s="8" t="n"/>
      <c r="R4328" s="8" t="n"/>
      <c r="S4328" s="8" t="n"/>
      <c r="T4328" s="8" t="n"/>
      <c r="U4328" s="8" t="n"/>
      <c r="V4328" s="8" t="n"/>
      <c r="W4328" s="8" t="n"/>
      <c r="X4328" s="8" t="n"/>
      <c r="Y4328" s="8" t="n"/>
    </row>
    <row r="4329">
      <c r="A4329" s="8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9">
        <f>B4329+30</f>
        <v/>
      </c>
      <c r="N4329">
        <f>IF(L4329="", "", L4329-B4329)</f>
        <v/>
      </c>
      <c r="O4329">
        <f>IF(L4329="", "Pending", IF(N4329&lt;=30, "Met", "Breached"))</f>
        <v/>
      </c>
      <c r="P4329" s="8" t="n"/>
      <c r="Q4329" s="8" t="n"/>
      <c r="R4329" s="8" t="n"/>
      <c r="S4329" s="8" t="n"/>
      <c r="T4329" s="8" t="n"/>
      <c r="U4329" s="8" t="n"/>
      <c r="V4329" s="8" t="n"/>
      <c r="W4329" s="8" t="n"/>
      <c r="X4329" s="8" t="n"/>
      <c r="Y4329" s="8" t="n"/>
    </row>
    <row r="4330">
      <c r="A4330" s="8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9">
        <f>B4330+30</f>
        <v/>
      </c>
      <c r="N4330">
        <f>IF(L4330="", "", L4330-B4330)</f>
        <v/>
      </c>
      <c r="O4330">
        <f>IF(L4330="", "Pending", IF(N4330&lt;=30, "Met", "Breached"))</f>
        <v/>
      </c>
      <c r="P4330" s="8" t="n"/>
      <c r="Q4330" s="8" t="n"/>
      <c r="R4330" s="8" t="n"/>
      <c r="S4330" s="8" t="n"/>
      <c r="T4330" s="8" t="n"/>
      <c r="U4330" s="8" t="n"/>
      <c r="V4330" s="8" t="n"/>
      <c r="W4330" s="8" t="n"/>
      <c r="X4330" s="8" t="n"/>
      <c r="Y4330" s="8" t="n"/>
    </row>
    <row r="4331">
      <c r="A4331" s="8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9">
        <f>B4331+30</f>
        <v/>
      </c>
      <c r="N4331">
        <f>IF(L4331="", "", L4331-B4331)</f>
        <v/>
      </c>
      <c r="O4331">
        <f>IF(L4331="", "Pending", IF(N4331&lt;=30, "Met", "Breached"))</f>
        <v/>
      </c>
      <c r="P4331" s="8" t="n"/>
      <c r="Q4331" s="8" t="n"/>
      <c r="R4331" s="8" t="n"/>
      <c r="S4331" s="8" t="n"/>
      <c r="T4331" s="8" t="n"/>
      <c r="U4331" s="8" t="n"/>
      <c r="V4331" s="8" t="n"/>
      <c r="W4331" s="8" t="n"/>
      <c r="X4331" s="8" t="n"/>
      <c r="Y4331" s="8" t="n"/>
    </row>
    <row r="4332">
      <c r="A4332" s="8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9">
        <f>B4332+30</f>
        <v/>
      </c>
      <c r="N4332">
        <f>IF(L4332="", "", L4332-B4332)</f>
        <v/>
      </c>
      <c r="O4332">
        <f>IF(L4332="", "Pending", IF(N4332&lt;=30, "Met", "Breached"))</f>
        <v/>
      </c>
      <c r="P4332" s="8" t="n"/>
      <c r="Q4332" s="8" t="n"/>
      <c r="R4332" s="8" t="n"/>
      <c r="S4332" s="8" t="n"/>
      <c r="T4332" s="8" t="n"/>
      <c r="U4332" s="8" t="n"/>
      <c r="V4332" s="8" t="n"/>
      <c r="W4332" s="8" t="n"/>
      <c r="X4332" s="8" t="n"/>
      <c r="Y4332" s="8" t="n"/>
    </row>
    <row r="4333">
      <c r="A4333" s="8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9">
        <f>B4333+30</f>
        <v/>
      </c>
      <c r="N4333">
        <f>IF(L4333="", "", L4333-B4333)</f>
        <v/>
      </c>
      <c r="O4333">
        <f>IF(L4333="", "Pending", IF(N4333&lt;=30, "Met", "Breached"))</f>
        <v/>
      </c>
      <c r="P4333" s="8" t="n"/>
      <c r="Q4333" s="8" t="n"/>
      <c r="R4333" s="8" t="n"/>
      <c r="S4333" s="8" t="n"/>
      <c r="T4333" s="8" t="n"/>
      <c r="U4333" s="8" t="n"/>
      <c r="V4333" s="8" t="n"/>
      <c r="W4333" s="8" t="n"/>
      <c r="X4333" s="8" t="n"/>
      <c r="Y4333" s="8" t="n"/>
    </row>
    <row r="4334">
      <c r="A4334" s="8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9">
        <f>B4334+30</f>
        <v/>
      </c>
      <c r="N4334">
        <f>IF(L4334="", "", L4334-B4334)</f>
        <v/>
      </c>
      <c r="O4334">
        <f>IF(L4334="", "Pending", IF(N4334&lt;=30, "Met", "Breached"))</f>
        <v/>
      </c>
      <c r="P4334" s="8" t="n"/>
      <c r="Q4334" s="8" t="n"/>
      <c r="R4334" s="8" t="n"/>
      <c r="S4334" s="8" t="n"/>
      <c r="T4334" s="8" t="n"/>
      <c r="U4334" s="8" t="n"/>
      <c r="V4334" s="8" t="n"/>
      <c r="W4334" s="8" t="n"/>
      <c r="X4334" s="8" t="n"/>
      <c r="Y4334" s="8" t="n"/>
    </row>
    <row r="4335">
      <c r="A4335" s="8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9">
        <f>B4335+30</f>
        <v/>
      </c>
      <c r="N4335">
        <f>IF(L4335="", "", L4335-B4335)</f>
        <v/>
      </c>
      <c r="O4335">
        <f>IF(L4335="", "Pending", IF(N4335&lt;=30, "Met", "Breached"))</f>
        <v/>
      </c>
      <c r="P4335" s="8" t="n"/>
      <c r="Q4335" s="8" t="n"/>
      <c r="R4335" s="8" t="n"/>
      <c r="S4335" s="8" t="n"/>
      <c r="T4335" s="8" t="n"/>
      <c r="U4335" s="8" t="n"/>
      <c r="V4335" s="8" t="n"/>
      <c r="W4335" s="8" t="n"/>
      <c r="X4335" s="8" t="n"/>
      <c r="Y4335" s="8" t="n"/>
    </row>
    <row r="4336">
      <c r="A4336" s="8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9">
        <f>B4336+30</f>
        <v/>
      </c>
      <c r="N4336">
        <f>IF(L4336="", "", L4336-B4336)</f>
        <v/>
      </c>
      <c r="O4336">
        <f>IF(L4336="", "Pending", IF(N4336&lt;=30, "Met", "Breached"))</f>
        <v/>
      </c>
      <c r="P4336" s="8" t="n"/>
      <c r="Q4336" s="8" t="n"/>
      <c r="R4336" s="8" t="n"/>
      <c r="S4336" s="8" t="n"/>
      <c r="T4336" s="8" t="n"/>
      <c r="U4336" s="8" t="n"/>
      <c r="V4336" s="8" t="n"/>
      <c r="W4336" s="8" t="n"/>
      <c r="X4336" s="8" t="n"/>
      <c r="Y4336" s="8" t="n"/>
    </row>
    <row r="4337">
      <c r="A4337" s="8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9">
        <f>B4337+30</f>
        <v/>
      </c>
      <c r="N4337">
        <f>IF(L4337="", "", L4337-B4337)</f>
        <v/>
      </c>
      <c r="O4337">
        <f>IF(L4337="", "Pending", IF(N4337&lt;=30, "Met", "Breached"))</f>
        <v/>
      </c>
      <c r="P4337" s="8" t="n"/>
      <c r="Q4337" s="8" t="n"/>
      <c r="R4337" s="8" t="n"/>
      <c r="S4337" s="8" t="n"/>
      <c r="T4337" s="8" t="n"/>
      <c r="U4337" s="8" t="n"/>
      <c r="V4337" s="8" t="n"/>
      <c r="W4337" s="8" t="n"/>
      <c r="X4337" s="8" t="n"/>
      <c r="Y4337" s="8" t="n"/>
    </row>
    <row r="4338">
      <c r="A4338" s="8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9">
        <f>B4338+30</f>
        <v/>
      </c>
      <c r="N4338">
        <f>IF(L4338="", "", L4338-B4338)</f>
        <v/>
      </c>
      <c r="O4338">
        <f>IF(L4338="", "Pending", IF(N4338&lt;=30, "Met", "Breached"))</f>
        <v/>
      </c>
      <c r="P4338" s="8" t="n"/>
      <c r="Q4338" s="8" t="n"/>
      <c r="R4338" s="8" t="n"/>
      <c r="S4338" s="8" t="n"/>
      <c r="T4338" s="8" t="n"/>
      <c r="U4338" s="8" t="n"/>
      <c r="V4338" s="8" t="n"/>
      <c r="W4338" s="8" t="n"/>
      <c r="X4338" s="8" t="n"/>
      <c r="Y4338" s="8" t="n"/>
    </row>
    <row r="4339">
      <c r="A4339" s="8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9">
        <f>B4339+30</f>
        <v/>
      </c>
      <c r="N4339">
        <f>IF(L4339="", "", L4339-B4339)</f>
        <v/>
      </c>
      <c r="O4339">
        <f>IF(L4339="", "Pending", IF(N4339&lt;=30, "Met", "Breached"))</f>
        <v/>
      </c>
      <c r="P4339" s="8" t="n"/>
      <c r="Q4339" s="8" t="n"/>
      <c r="R4339" s="8" t="n"/>
      <c r="S4339" s="8" t="n"/>
      <c r="T4339" s="8" t="n"/>
      <c r="U4339" s="8" t="n"/>
      <c r="V4339" s="8" t="n"/>
      <c r="W4339" s="8" t="n"/>
      <c r="X4339" s="8" t="n"/>
      <c r="Y4339" s="8" t="n"/>
    </row>
    <row r="4340">
      <c r="A4340" s="8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9">
        <f>B4340+30</f>
        <v/>
      </c>
      <c r="N4340">
        <f>IF(L4340="", "", L4340-B4340)</f>
        <v/>
      </c>
      <c r="O4340">
        <f>IF(L4340="", "Pending", IF(N4340&lt;=30, "Met", "Breached"))</f>
        <v/>
      </c>
      <c r="P4340" s="8" t="n"/>
      <c r="Q4340" s="8" t="n"/>
      <c r="R4340" s="8" t="n"/>
      <c r="S4340" s="8" t="n"/>
      <c r="T4340" s="8" t="n"/>
      <c r="U4340" s="8" t="n"/>
      <c r="V4340" s="8" t="n"/>
      <c r="W4340" s="8" t="n"/>
      <c r="X4340" s="8" t="n"/>
      <c r="Y4340" s="8" t="n"/>
    </row>
    <row r="4341">
      <c r="A4341" s="8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9">
        <f>B4341+30</f>
        <v/>
      </c>
      <c r="N4341">
        <f>IF(L4341="", "", L4341-B4341)</f>
        <v/>
      </c>
      <c r="O4341">
        <f>IF(L4341="", "Pending", IF(N4341&lt;=30, "Met", "Breached"))</f>
        <v/>
      </c>
      <c r="P4341" s="8" t="n"/>
      <c r="Q4341" s="8" t="n"/>
      <c r="R4341" s="8" t="n"/>
      <c r="S4341" s="8" t="n"/>
      <c r="T4341" s="8" t="n"/>
      <c r="U4341" s="8" t="n"/>
      <c r="V4341" s="8" t="n"/>
      <c r="W4341" s="8" t="n"/>
      <c r="X4341" s="8" t="n"/>
      <c r="Y4341" s="8" t="n"/>
    </row>
    <row r="4342">
      <c r="A4342" s="8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9">
        <f>B4342+30</f>
        <v/>
      </c>
      <c r="N4342">
        <f>IF(L4342="", "", L4342-B4342)</f>
        <v/>
      </c>
      <c r="O4342">
        <f>IF(L4342="", "Pending", IF(N4342&lt;=30, "Met", "Breached"))</f>
        <v/>
      </c>
      <c r="P4342" s="8" t="n"/>
      <c r="Q4342" s="8" t="n"/>
      <c r="R4342" s="8" t="n"/>
      <c r="S4342" s="8" t="n"/>
      <c r="T4342" s="8" t="n"/>
      <c r="U4342" s="8" t="n"/>
      <c r="V4342" s="8" t="n"/>
      <c r="W4342" s="8" t="n"/>
      <c r="X4342" s="8" t="n"/>
      <c r="Y4342" s="8" t="n"/>
    </row>
    <row r="4343">
      <c r="A4343" s="8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9">
        <f>B4343+30</f>
        <v/>
      </c>
      <c r="N4343">
        <f>IF(L4343="", "", L4343-B4343)</f>
        <v/>
      </c>
      <c r="O4343">
        <f>IF(L4343="", "Pending", IF(N4343&lt;=30, "Met", "Breached"))</f>
        <v/>
      </c>
      <c r="P4343" s="8" t="n"/>
      <c r="Q4343" s="8" t="n"/>
      <c r="R4343" s="8" t="n"/>
      <c r="S4343" s="8" t="n"/>
      <c r="T4343" s="8" t="n"/>
      <c r="U4343" s="8" t="n"/>
      <c r="V4343" s="8" t="n"/>
      <c r="W4343" s="8" t="n"/>
      <c r="X4343" s="8" t="n"/>
      <c r="Y4343" s="8" t="n"/>
    </row>
    <row r="4344">
      <c r="A4344" s="8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9">
        <f>B4344+30</f>
        <v/>
      </c>
      <c r="N4344">
        <f>IF(L4344="", "", L4344-B4344)</f>
        <v/>
      </c>
      <c r="O4344">
        <f>IF(L4344="", "Pending", IF(N4344&lt;=30, "Met", "Breached"))</f>
        <v/>
      </c>
      <c r="P4344" s="8" t="n"/>
      <c r="Q4344" s="8" t="n"/>
      <c r="R4344" s="8" t="n"/>
      <c r="S4344" s="8" t="n"/>
      <c r="T4344" s="8" t="n"/>
      <c r="U4344" s="8" t="n"/>
      <c r="V4344" s="8" t="n"/>
      <c r="W4344" s="8" t="n"/>
      <c r="X4344" s="8" t="n"/>
      <c r="Y4344" s="8" t="n"/>
    </row>
    <row r="4345">
      <c r="A4345" s="8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9">
        <f>B4345+30</f>
        <v/>
      </c>
      <c r="N4345">
        <f>IF(L4345="", "", L4345-B4345)</f>
        <v/>
      </c>
      <c r="O4345">
        <f>IF(L4345="", "Pending", IF(N4345&lt;=30, "Met", "Breached"))</f>
        <v/>
      </c>
      <c r="P4345" s="8" t="n"/>
      <c r="Q4345" s="8" t="n"/>
      <c r="R4345" s="8" t="n"/>
      <c r="S4345" s="8" t="n"/>
      <c r="T4345" s="8" t="n"/>
      <c r="U4345" s="8" t="n"/>
      <c r="V4345" s="8" t="n"/>
      <c r="W4345" s="8" t="n"/>
      <c r="X4345" s="8" t="n"/>
      <c r="Y4345" s="8" t="n"/>
    </row>
    <row r="4346">
      <c r="A4346" s="8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9">
        <f>B4346+30</f>
        <v/>
      </c>
      <c r="N4346">
        <f>IF(L4346="", "", L4346-B4346)</f>
        <v/>
      </c>
      <c r="O4346">
        <f>IF(L4346="", "Pending", IF(N4346&lt;=30, "Met", "Breached"))</f>
        <v/>
      </c>
      <c r="P4346" s="8" t="n"/>
      <c r="Q4346" s="8" t="n"/>
      <c r="R4346" s="8" t="n"/>
      <c r="S4346" s="8" t="n"/>
      <c r="T4346" s="8" t="n"/>
      <c r="U4346" s="8" t="n"/>
      <c r="V4346" s="8" t="n"/>
      <c r="W4346" s="8" t="n"/>
      <c r="X4346" s="8" t="n"/>
      <c r="Y4346" s="8" t="n"/>
    </row>
    <row r="4347">
      <c r="A4347" s="8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9">
        <f>B4347+30</f>
        <v/>
      </c>
      <c r="N4347">
        <f>IF(L4347="", "", L4347-B4347)</f>
        <v/>
      </c>
      <c r="O4347">
        <f>IF(L4347="", "Pending", IF(N4347&lt;=30, "Met", "Breached"))</f>
        <v/>
      </c>
      <c r="P4347" s="8" t="n"/>
      <c r="Q4347" s="8" t="n"/>
      <c r="R4347" s="8" t="n"/>
      <c r="S4347" s="8" t="n"/>
      <c r="T4347" s="8" t="n"/>
      <c r="U4347" s="8" t="n"/>
      <c r="V4347" s="8" t="n"/>
      <c r="W4347" s="8" t="n"/>
      <c r="X4347" s="8" t="n"/>
      <c r="Y4347" s="8" t="n"/>
    </row>
    <row r="4348">
      <c r="A4348" s="8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9">
        <f>B4348+30</f>
        <v/>
      </c>
      <c r="N4348">
        <f>IF(L4348="", "", L4348-B4348)</f>
        <v/>
      </c>
      <c r="O4348">
        <f>IF(L4348="", "Pending", IF(N4348&lt;=30, "Met", "Breached"))</f>
        <v/>
      </c>
      <c r="P4348" s="8" t="n"/>
      <c r="Q4348" s="8" t="n"/>
      <c r="R4348" s="8" t="n"/>
      <c r="S4348" s="8" t="n"/>
      <c r="T4348" s="8" t="n"/>
      <c r="U4348" s="8" t="n"/>
      <c r="V4348" s="8" t="n"/>
      <c r="W4348" s="8" t="n"/>
      <c r="X4348" s="8" t="n"/>
      <c r="Y4348" s="8" t="n"/>
    </row>
    <row r="4349">
      <c r="A4349" s="8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9">
        <f>B4349+30</f>
        <v/>
      </c>
      <c r="N4349">
        <f>IF(L4349="", "", L4349-B4349)</f>
        <v/>
      </c>
      <c r="O4349">
        <f>IF(L4349="", "Pending", IF(N4349&lt;=30, "Met", "Breached"))</f>
        <v/>
      </c>
      <c r="P4349" s="8" t="n"/>
      <c r="Q4349" s="8" t="n"/>
      <c r="R4349" s="8" t="n"/>
      <c r="S4349" s="8" t="n"/>
      <c r="T4349" s="8" t="n"/>
      <c r="U4349" s="8" t="n"/>
      <c r="V4349" s="8" t="n"/>
      <c r="W4349" s="8" t="n"/>
      <c r="X4349" s="8" t="n"/>
      <c r="Y4349" s="8" t="n"/>
    </row>
    <row r="4350">
      <c r="A4350" s="8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9">
        <f>B4350+30</f>
        <v/>
      </c>
      <c r="N4350">
        <f>IF(L4350="", "", L4350-B4350)</f>
        <v/>
      </c>
      <c r="O4350">
        <f>IF(L4350="", "Pending", IF(N4350&lt;=30, "Met", "Breached"))</f>
        <v/>
      </c>
      <c r="P4350" s="8" t="n"/>
      <c r="Q4350" s="8" t="n"/>
      <c r="R4350" s="8" t="n"/>
      <c r="S4350" s="8" t="n"/>
      <c r="T4350" s="8" t="n"/>
      <c r="U4350" s="8" t="n"/>
      <c r="V4350" s="8" t="n"/>
      <c r="W4350" s="8" t="n"/>
      <c r="X4350" s="8" t="n"/>
      <c r="Y4350" s="8" t="n"/>
    </row>
    <row r="4351">
      <c r="A4351" s="8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9">
        <f>B4351+30</f>
        <v/>
      </c>
      <c r="N4351">
        <f>IF(L4351="", "", L4351-B4351)</f>
        <v/>
      </c>
      <c r="O4351">
        <f>IF(L4351="", "Pending", IF(N4351&lt;=30, "Met", "Breached"))</f>
        <v/>
      </c>
      <c r="P4351" s="8" t="n"/>
      <c r="Q4351" s="8" t="n"/>
      <c r="R4351" s="8" t="n"/>
      <c r="S4351" s="8" t="n"/>
      <c r="T4351" s="8" t="n"/>
      <c r="U4351" s="8" t="n"/>
      <c r="V4351" s="8" t="n"/>
      <c r="W4351" s="8" t="n"/>
      <c r="X4351" s="8" t="n"/>
      <c r="Y4351" s="8" t="n"/>
    </row>
    <row r="4352">
      <c r="A4352" s="8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9">
        <f>B4352+30</f>
        <v/>
      </c>
      <c r="N4352">
        <f>IF(L4352="", "", L4352-B4352)</f>
        <v/>
      </c>
      <c r="O4352">
        <f>IF(L4352="", "Pending", IF(N4352&lt;=30, "Met", "Breached"))</f>
        <v/>
      </c>
      <c r="P4352" s="8" t="n"/>
      <c r="Q4352" s="8" t="n"/>
      <c r="R4352" s="8" t="n"/>
      <c r="S4352" s="8" t="n"/>
      <c r="T4352" s="8" t="n"/>
      <c r="U4352" s="8" t="n"/>
      <c r="V4352" s="8" t="n"/>
      <c r="W4352" s="8" t="n"/>
      <c r="X4352" s="8" t="n"/>
      <c r="Y4352" s="8" t="n"/>
    </row>
    <row r="4353">
      <c r="A4353" s="8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9">
        <f>B4353+30</f>
        <v/>
      </c>
      <c r="N4353">
        <f>IF(L4353="", "", L4353-B4353)</f>
        <v/>
      </c>
      <c r="O4353">
        <f>IF(L4353="", "Pending", IF(N4353&lt;=30, "Met", "Breached"))</f>
        <v/>
      </c>
      <c r="P4353" s="8" t="n"/>
      <c r="Q4353" s="8" t="n"/>
      <c r="R4353" s="8" t="n"/>
      <c r="S4353" s="8" t="n"/>
      <c r="T4353" s="8" t="n"/>
      <c r="U4353" s="8" t="n"/>
      <c r="V4353" s="8" t="n"/>
      <c r="W4353" s="8" t="n"/>
      <c r="X4353" s="8" t="n"/>
      <c r="Y4353" s="8" t="n"/>
    </row>
    <row r="4354">
      <c r="A4354" s="8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9">
        <f>B4354+30</f>
        <v/>
      </c>
      <c r="N4354">
        <f>IF(L4354="", "", L4354-B4354)</f>
        <v/>
      </c>
      <c r="O4354">
        <f>IF(L4354="", "Pending", IF(N4354&lt;=30, "Met", "Breached"))</f>
        <v/>
      </c>
      <c r="P4354" s="8" t="n"/>
      <c r="Q4354" s="8" t="n"/>
      <c r="R4354" s="8" t="n"/>
      <c r="S4354" s="8" t="n"/>
      <c r="T4354" s="8" t="n"/>
      <c r="U4354" s="8" t="n"/>
      <c r="V4354" s="8" t="n"/>
      <c r="W4354" s="8" t="n"/>
      <c r="X4354" s="8" t="n"/>
      <c r="Y4354" s="8" t="n"/>
    </row>
    <row r="4355">
      <c r="A4355" s="8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9">
        <f>B4355+30</f>
        <v/>
      </c>
      <c r="N4355">
        <f>IF(L4355="", "", L4355-B4355)</f>
        <v/>
      </c>
      <c r="O4355">
        <f>IF(L4355="", "Pending", IF(N4355&lt;=30, "Met", "Breached"))</f>
        <v/>
      </c>
      <c r="P4355" s="8" t="n"/>
      <c r="Q4355" s="8" t="n"/>
      <c r="R4355" s="8" t="n"/>
      <c r="S4355" s="8" t="n"/>
      <c r="T4355" s="8" t="n"/>
      <c r="U4355" s="8" t="n"/>
      <c r="V4355" s="8" t="n"/>
      <c r="W4355" s="8" t="n"/>
      <c r="X4355" s="8" t="n"/>
      <c r="Y4355" s="8" t="n"/>
    </row>
    <row r="4356">
      <c r="A4356" s="8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9">
        <f>B4356+30</f>
        <v/>
      </c>
      <c r="N4356">
        <f>IF(L4356="", "", L4356-B4356)</f>
        <v/>
      </c>
      <c r="O4356">
        <f>IF(L4356="", "Pending", IF(N4356&lt;=30, "Met", "Breached"))</f>
        <v/>
      </c>
      <c r="P4356" s="8" t="n"/>
      <c r="Q4356" s="8" t="n"/>
      <c r="R4356" s="8" t="n"/>
      <c r="S4356" s="8" t="n"/>
      <c r="T4356" s="8" t="n"/>
      <c r="U4356" s="8" t="n"/>
      <c r="V4356" s="8" t="n"/>
      <c r="W4356" s="8" t="n"/>
      <c r="X4356" s="8" t="n"/>
      <c r="Y4356" s="8" t="n"/>
    </row>
    <row r="4357">
      <c r="A4357" s="8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9">
        <f>B4357+30</f>
        <v/>
      </c>
      <c r="N4357">
        <f>IF(L4357="", "", L4357-B4357)</f>
        <v/>
      </c>
      <c r="O4357">
        <f>IF(L4357="", "Pending", IF(N4357&lt;=30, "Met", "Breached"))</f>
        <v/>
      </c>
      <c r="P4357" s="8" t="n"/>
      <c r="Q4357" s="8" t="n"/>
      <c r="R4357" s="8" t="n"/>
      <c r="S4357" s="8" t="n"/>
      <c r="T4357" s="8" t="n"/>
      <c r="U4357" s="8" t="n"/>
      <c r="V4357" s="8" t="n"/>
      <c r="W4357" s="8" t="n"/>
      <c r="X4357" s="8" t="n"/>
      <c r="Y4357" s="8" t="n"/>
    </row>
    <row r="4358">
      <c r="A4358" s="8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9">
        <f>B4358+30</f>
        <v/>
      </c>
      <c r="N4358">
        <f>IF(L4358="", "", L4358-B4358)</f>
        <v/>
      </c>
      <c r="O4358">
        <f>IF(L4358="", "Pending", IF(N4358&lt;=30, "Met", "Breached"))</f>
        <v/>
      </c>
      <c r="P4358" s="8" t="n"/>
      <c r="Q4358" s="8" t="n"/>
      <c r="R4358" s="8" t="n"/>
      <c r="S4358" s="8" t="n"/>
      <c r="T4358" s="8" t="n"/>
      <c r="U4358" s="8" t="n"/>
      <c r="V4358" s="8" t="n"/>
      <c r="W4358" s="8" t="n"/>
      <c r="X4358" s="8" t="n"/>
      <c r="Y4358" s="8" t="n"/>
    </row>
    <row r="4359">
      <c r="A4359" s="8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9">
        <f>B4359+30</f>
        <v/>
      </c>
      <c r="N4359">
        <f>IF(L4359="", "", L4359-B4359)</f>
        <v/>
      </c>
      <c r="O4359">
        <f>IF(L4359="", "Pending", IF(N4359&lt;=30, "Met", "Breached"))</f>
        <v/>
      </c>
      <c r="P4359" s="8" t="n"/>
      <c r="Q4359" s="8" t="n"/>
      <c r="R4359" s="8" t="n"/>
      <c r="S4359" s="8" t="n"/>
      <c r="T4359" s="8" t="n"/>
      <c r="U4359" s="8" t="n"/>
      <c r="V4359" s="8" t="n"/>
      <c r="W4359" s="8" t="n"/>
      <c r="X4359" s="8" t="n"/>
      <c r="Y4359" s="8" t="n"/>
    </row>
    <row r="4360">
      <c r="A4360" s="8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9">
        <f>B4360+30</f>
        <v/>
      </c>
      <c r="N4360">
        <f>IF(L4360="", "", L4360-B4360)</f>
        <v/>
      </c>
      <c r="O4360">
        <f>IF(L4360="", "Pending", IF(N4360&lt;=30, "Met", "Breached"))</f>
        <v/>
      </c>
      <c r="P4360" s="8" t="n"/>
      <c r="Q4360" s="8" t="n"/>
      <c r="R4360" s="8" t="n"/>
      <c r="S4360" s="8" t="n"/>
      <c r="T4360" s="8" t="n"/>
      <c r="U4360" s="8" t="n"/>
      <c r="V4360" s="8" t="n"/>
      <c r="W4360" s="8" t="n"/>
      <c r="X4360" s="8" t="n"/>
      <c r="Y4360" s="8" t="n"/>
    </row>
    <row r="4361">
      <c r="A4361" s="8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9">
        <f>B4361+30</f>
        <v/>
      </c>
      <c r="N4361">
        <f>IF(L4361="", "", L4361-B4361)</f>
        <v/>
      </c>
      <c r="O4361">
        <f>IF(L4361="", "Pending", IF(N4361&lt;=30, "Met", "Breached"))</f>
        <v/>
      </c>
      <c r="P4361" s="8" t="n"/>
      <c r="Q4361" s="8" t="n"/>
      <c r="R4361" s="8" t="n"/>
      <c r="S4361" s="8" t="n"/>
      <c r="T4361" s="8" t="n"/>
      <c r="U4361" s="8" t="n"/>
      <c r="V4361" s="8" t="n"/>
      <c r="W4361" s="8" t="n"/>
      <c r="X4361" s="8" t="n"/>
      <c r="Y4361" s="8" t="n"/>
    </row>
    <row r="4362">
      <c r="A4362" s="8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9">
        <f>B4362+30</f>
        <v/>
      </c>
      <c r="N4362">
        <f>IF(L4362="", "", L4362-B4362)</f>
        <v/>
      </c>
      <c r="O4362">
        <f>IF(L4362="", "Pending", IF(N4362&lt;=30, "Met", "Breached"))</f>
        <v/>
      </c>
      <c r="P4362" s="8" t="n"/>
      <c r="Q4362" s="8" t="n"/>
      <c r="R4362" s="8" t="n"/>
      <c r="S4362" s="8" t="n"/>
      <c r="T4362" s="8" t="n"/>
      <c r="U4362" s="8" t="n"/>
      <c r="V4362" s="8" t="n"/>
      <c r="W4362" s="8" t="n"/>
      <c r="X4362" s="8" t="n"/>
      <c r="Y4362" s="8" t="n"/>
    </row>
    <row r="4363">
      <c r="A4363" s="8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9">
        <f>B4363+30</f>
        <v/>
      </c>
      <c r="N4363">
        <f>IF(L4363="", "", L4363-B4363)</f>
        <v/>
      </c>
      <c r="O4363">
        <f>IF(L4363="", "Pending", IF(N4363&lt;=30, "Met", "Breached"))</f>
        <v/>
      </c>
      <c r="P4363" s="8" t="n"/>
      <c r="Q4363" s="8" t="n"/>
      <c r="R4363" s="8" t="n"/>
      <c r="S4363" s="8" t="n"/>
      <c r="T4363" s="8" t="n"/>
      <c r="U4363" s="8" t="n"/>
      <c r="V4363" s="8" t="n"/>
      <c r="W4363" s="8" t="n"/>
      <c r="X4363" s="8" t="n"/>
      <c r="Y4363" s="8" t="n"/>
    </row>
    <row r="4364">
      <c r="A4364" s="8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9">
        <f>B4364+30</f>
        <v/>
      </c>
      <c r="N4364">
        <f>IF(L4364="", "", L4364-B4364)</f>
        <v/>
      </c>
      <c r="O4364">
        <f>IF(L4364="", "Pending", IF(N4364&lt;=30, "Met", "Breached"))</f>
        <v/>
      </c>
      <c r="P4364" s="8" t="n"/>
      <c r="Q4364" s="8" t="n"/>
      <c r="R4364" s="8" t="n"/>
      <c r="S4364" s="8" t="n"/>
      <c r="T4364" s="8" t="n"/>
      <c r="U4364" s="8" t="n"/>
      <c r="V4364" s="8" t="n"/>
      <c r="W4364" s="8" t="n"/>
      <c r="X4364" s="8" t="n"/>
      <c r="Y4364" s="8" t="n"/>
    </row>
    <row r="4365">
      <c r="A4365" s="8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9">
        <f>B4365+30</f>
        <v/>
      </c>
      <c r="N4365">
        <f>IF(L4365="", "", L4365-B4365)</f>
        <v/>
      </c>
      <c r="O4365">
        <f>IF(L4365="", "Pending", IF(N4365&lt;=30, "Met", "Breached"))</f>
        <v/>
      </c>
      <c r="P4365" s="8" t="n"/>
      <c r="Q4365" s="8" t="n"/>
      <c r="R4365" s="8" t="n"/>
      <c r="S4365" s="8" t="n"/>
      <c r="T4365" s="8" t="n"/>
      <c r="U4365" s="8" t="n"/>
      <c r="V4365" s="8" t="n"/>
      <c r="W4365" s="8" t="n"/>
      <c r="X4365" s="8" t="n"/>
      <c r="Y4365" s="8" t="n"/>
    </row>
    <row r="4366">
      <c r="A4366" s="8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9">
        <f>B4366+30</f>
        <v/>
      </c>
      <c r="N4366">
        <f>IF(L4366="", "", L4366-B4366)</f>
        <v/>
      </c>
      <c r="O4366">
        <f>IF(L4366="", "Pending", IF(N4366&lt;=30, "Met", "Breached"))</f>
        <v/>
      </c>
      <c r="P4366" s="8" t="n"/>
      <c r="Q4366" s="8" t="n"/>
      <c r="R4366" s="8" t="n"/>
      <c r="S4366" s="8" t="n"/>
      <c r="T4366" s="8" t="n"/>
      <c r="U4366" s="8" t="n"/>
      <c r="V4366" s="8" t="n"/>
      <c r="W4366" s="8" t="n"/>
      <c r="X4366" s="8" t="n"/>
      <c r="Y4366" s="8" t="n"/>
    </row>
    <row r="4367">
      <c r="A4367" s="8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9">
        <f>B4367+30</f>
        <v/>
      </c>
      <c r="N4367">
        <f>IF(L4367="", "", L4367-B4367)</f>
        <v/>
      </c>
      <c r="O4367">
        <f>IF(L4367="", "Pending", IF(N4367&lt;=30, "Met", "Breached"))</f>
        <v/>
      </c>
      <c r="P4367" s="8" t="n"/>
      <c r="Q4367" s="8" t="n"/>
      <c r="R4367" s="8" t="n"/>
      <c r="S4367" s="8" t="n"/>
      <c r="T4367" s="8" t="n"/>
      <c r="U4367" s="8" t="n"/>
      <c r="V4367" s="8" t="n"/>
      <c r="W4367" s="8" t="n"/>
      <c r="X4367" s="8" t="n"/>
      <c r="Y4367" s="8" t="n"/>
    </row>
    <row r="4368">
      <c r="A4368" s="8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9">
        <f>B4368+30</f>
        <v/>
      </c>
      <c r="N4368">
        <f>IF(L4368="", "", L4368-B4368)</f>
        <v/>
      </c>
      <c r="O4368">
        <f>IF(L4368="", "Pending", IF(N4368&lt;=30, "Met", "Breached"))</f>
        <v/>
      </c>
      <c r="P4368" s="8" t="n"/>
      <c r="Q4368" s="8" t="n"/>
      <c r="R4368" s="8" t="n"/>
      <c r="S4368" s="8" t="n"/>
      <c r="T4368" s="8" t="n"/>
      <c r="U4368" s="8" t="n"/>
      <c r="V4368" s="8" t="n"/>
      <c r="W4368" s="8" t="n"/>
      <c r="X4368" s="8" t="n"/>
      <c r="Y4368" s="8" t="n"/>
    </row>
    <row r="4369">
      <c r="A4369" s="8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9">
        <f>B4369+30</f>
        <v/>
      </c>
      <c r="N4369">
        <f>IF(L4369="", "", L4369-B4369)</f>
        <v/>
      </c>
      <c r="O4369">
        <f>IF(L4369="", "Pending", IF(N4369&lt;=30, "Met", "Breached"))</f>
        <v/>
      </c>
      <c r="P4369" s="8" t="n"/>
      <c r="Q4369" s="8" t="n"/>
      <c r="R4369" s="8" t="n"/>
      <c r="S4369" s="8" t="n"/>
      <c r="T4369" s="8" t="n"/>
      <c r="U4369" s="8" t="n"/>
      <c r="V4369" s="8" t="n"/>
      <c r="W4369" s="8" t="n"/>
      <c r="X4369" s="8" t="n"/>
      <c r="Y4369" s="8" t="n"/>
    </row>
    <row r="4370">
      <c r="A4370" s="8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9">
        <f>B4370+30</f>
        <v/>
      </c>
      <c r="N4370">
        <f>IF(L4370="", "", L4370-B4370)</f>
        <v/>
      </c>
      <c r="O4370">
        <f>IF(L4370="", "Pending", IF(N4370&lt;=30, "Met", "Breached"))</f>
        <v/>
      </c>
      <c r="P4370" s="8" t="n"/>
      <c r="Q4370" s="8" t="n"/>
      <c r="R4370" s="8" t="n"/>
      <c r="S4370" s="8" t="n"/>
      <c r="T4370" s="8" t="n"/>
      <c r="U4370" s="8" t="n"/>
      <c r="V4370" s="8" t="n"/>
      <c r="W4370" s="8" t="n"/>
      <c r="X4370" s="8" t="n"/>
      <c r="Y4370" s="8" t="n"/>
    </row>
    <row r="4371">
      <c r="A4371" s="8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9">
        <f>B4371+30</f>
        <v/>
      </c>
      <c r="N4371">
        <f>IF(L4371="", "", L4371-B4371)</f>
        <v/>
      </c>
      <c r="O4371">
        <f>IF(L4371="", "Pending", IF(N4371&lt;=30, "Met", "Breached"))</f>
        <v/>
      </c>
      <c r="P4371" s="8" t="n"/>
      <c r="Q4371" s="8" t="n"/>
      <c r="R4371" s="8" t="n"/>
      <c r="S4371" s="8" t="n"/>
      <c r="T4371" s="8" t="n"/>
      <c r="U4371" s="8" t="n"/>
      <c r="V4371" s="8" t="n"/>
      <c r="W4371" s="8" t="n"/>
      <c r="X4371" s="8" t="n"/>
      <c r="Y4371" s="8" t="n"/>
    </row>
    <row r="4372">
      <c r="A4372" s="8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9">
        <f>B4372+30</f>
        <v/>
      </c>
      <c r="N4372">
        <f>IF(L4372="", "", L4372-B4372)</f>
        <v/>
      </c>
      <c r="O4372">
        <f>IF(L4372="", "Pending", IF(N4372&lt;=30, "Met", "Breached"))</f>
        <v/>
      </c>
      <c r="P4372" s="8" t="n"/>
      <c r="Q4372" s="8" t="n"/>
      <c r="R4372" s="8" t="n"/>
      <c r="S4372" s="8" t="n"/>
      <c r="T4372" s="8" t="n"/>
      <c r="U4372" s="8" t="n"/>
      <c r="V4372" s="8" t="n"/>
      <c r="W4372" s="8" t="n"/>
      <c r="X4372" s="8" t="n"/>
      <c r="Y4372" s="8" t="n"/>
    </row>
    <row r="4373">
      <c r="A4373" s="8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9">
        <f>B4373+30</f>
        <v/>
      </c>
      <c r="N4373">
        <f>IF(L4373="", "", L4373-B4373)</f>
        <v/>
      </c>
      <c r="O4373">
        <f>IF(L4373="", "Pending", IF(N4373&lt;=30, "Met", "Breached"))</f>
        <v/>
      </c>
      <c r="P4373" s="8" t="n"/>
      <c r="Q4373" s="8" t="n"/>
      <c r="R4373" s="8" t="n"/>
      <c r="S4373" s="8" t="n"/>
      <c r="T4373" s="8" t="n"/>
      <c r="U4373" s="8" t="n"/>
      <c r="V4373" s="8" t="n"/>
      <c r="W4373" s="8" t="n"/>
      <c r="X4373" s="8" t="n"/>
      <c r="Y4373" s="8" t="n"/>
    </row>
    <row r="4374">
      <c r="A4374" s="8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9">
        <f>B4374+30</f>
        <v/>
      </c>
      <c r="N4374">
        <f>IF(L4374="", "", L4374-B4374)</f>
        <v/>
      </c>
      <c r="O4374">
        <f>IF(L4374="", "Pending", IF(N4374&lt;=30, "Met", "Breached"))</f>
        <v/>
      </c>
      <c r="P4374" s="8" t="n"/>
      <c r="Q4374" s="8" t="n"/>
      <c r="R4374" s="8" t="n"/>
      <c r="S4374" s="8" t="n"/>
      <c r="T4374" s="8" t="n"/>
      <c r="U4374" s="8" t="n"/>
      <c r="V4374" s="8" t="n"/>
      <c r="W4374" s="8" t="n"/>
      <c r="X4374" s="8" t="n"/>
      <c r="Y4374" s="8" t="n"/>
    </row>
    <row r="4375">
      <c r="A4375" s="8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9">
        <f>B4375+30</f>
        <v/>
      </c>
      <c r="N4375">
        <f>IF(L4375="", "", L4375-B4375)</f>
        <v/>
      </c>
      <c r="O4375">
        <f>IF(L4375="", "Pending", IF(N4375&lt;=30, "Met", "Breached"))</f>
        <v/>
      </c>
      <c r="P4375" s="8" t="n"/>
      <c r="Q4375" s="8" t="n"/>
      <c r="R4375" s="8" t="n"/>
      <c r="S4375" s="8" t="n"/>
      <c r="T4375" s="8" t="n"/>
      <c r="U4375" s="8" t="n"/>
      <c r="V4375" s="8" t="n"/>
      <c r="W4375" s="8" t="n"/>
      <c r="X4375" s="8" t="n"/>
      <c r="Y4375" s="8" t="n"/>
    </row>
    <row r="4376">
      <c r="A4376" s="8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9">
        <f>B4376+30</f>
        <v/>
      </c>
      <c r="N4376">
        <f>IF(L4376="", "", L4376-B4376)</f>
        <v/>
      </c>
      <c r="O4376">
        <f>IF(L4376="", "Pending", IF(N4376&lt;=30, "Met", "Breached"))</f>
        <v/>
      </c>
      <c r="P4376" s="8" t="n"/>
      <c r="Q4376" s="8" t="n"/>
      <c r="R4376" s="8" t="n"/>
      <c r="S4376" s="8" t="n"/>
      <c r="T4376" s="8" t="n"/>
      <c r="U4376" s="8" t="n"/>
      <c r="V4376" s="8" t="n"/>
      <c r="W4376" s="8" t="n"/>
      <c r="X4376" s="8" t="n"/>
      <c r="Y4376" s="8" t="n"/>
    </row>
    <row r="4377">
      <c r="A4377" s="8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9">
        <f>B4377+30</f>
        <v/>
      </c>
      <c r="N4377">
        <f>IF(L4377="", "", L4377-B4377)</f>
        <v/>
      </c>
      <c r="O4377">
        <f>IF(L4377="", "Pending", IF(N4377&lt;=30, "Met", "Breached"))</f>
        <v/>
      </c>
      <c r="P4377" s="8" t="n"/>
      <c r="Q4377" s="8" t="n"/>
      <c r="R4377" s="8" t="n"/>
      <c r="S4377" s="8" t="n"/>
      <c r="T4377" s="8" t="n"/>
      <c r="U4377" s="8" t="n"/>
      <c r="V4377" s="8" t="n"/>
      <c r="W4377" s="8" t="n"/>
      <c r="X4377" s="8" t="n"/>
      <c r="Y4377" s="8" t="n"/>
    </row>
    <row r="4378">
      <c r="A4378" s="8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9">
        <f>B4378+30</f>
        <v/>
      </c>
      <c r="N4378">
        <f>IF(L4378="", "", L4378-B4378)</f>
        <v/>
      </c>
      <c r="O4378">
        <f>IF(L4378="", "Pending", IF(N4378&lt;=30, "Met", "Breached"))</f>
        <v/>
      </c>
      <c r="P4378" s="8" t="n"/>
      <c r="Q4378" s="8" t="n"/>
      <c r="R4378" s="8" t="n"/>
      <c r="S4378" s="8" t="n"/>
      <c r="T4378" s="8" t="n"/>
      <c r="U4378" s="8" t="n"/>
      <c r="V4378" s="8" t="n"/>
      <c r="W4378" s="8" t="n"/>
      <c r="X4378" s="8" t="n"/>
      <c r="Y4378" s="8" t="n"/>
    </row>
    <row r="4379">
      <c r="A4379" s="8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9">
        <f>B4379+30</f>
        <v/>
      </c>
      <c r="N4379">
        <f>IF(L4379="", "", L4379-B4379)</f>
        <v/>
      </c>
      <c r="O4379">
        <f>IF(L4379="", "Pending", IF(N4379&lt;=30, "Met", "Breached"))</f>
        <v/>
      </c>
      <c r="P4379" s="8" t="n"/>
      <c r="Q4379" s="8" t="n"/>
      <c r="R4379" s="8" t="n"/>
      <c r="S4379" s="8" t="n"/>
      <c r="T4379" s="8" t="n"/>
      <c r="U4379" s="8" t="n"/>
      <c r="V4379" s="8" t="n"/>
      <c r="W4379" s="8" t="n"/>
      <c r="X4379" s="8" t="n"/>
      <c r="Y4379" s="8" t="n"/>
    </row>
    <row r="4380">
      <c r="A4380" s="8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9">
        <f>B4380+30</f>
        <v/>
      </c>
      <c r="N4380">
        <f>IF(L4380="", "", L4380-B4380)</f>
        <v/>
      </c>
      <c r="O4380">
        <f>IF(L4380="", "Pending", IF(N4380&lt;=30, "Met", "Breached"))</f>
        <v/>
      </c>
      <c r="P4380" s="8" t="n"/>
      <c r="Q4380" s="8" t="n"/>
      <c r="R4380" s="8" t="n"/>
      <c r="S4380" s="8" t="n"/>
      <c r="T4380" s="8" t="n"/>
      <c r="U4380" s="8" t="n"/>
      <c r="V4380" s="8" t="n"/>
      <c r="W4380" s="8" t="n"/>
      <c r="X4380" s="8" t="n"/>
      <c r="Y4380" s="8" t="n"/>
    </row>
    <row r="4381">
      <c r="A4381" s="8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9">
        <f>B4381+30</f>
        <v/>
      </c>
      <c r="N4381">
        <f>IF(L4381="", "", L4381-B4381)</f>
        <v/>
      </c>
      <c r="O4381">
        <f>IF(L4381="", "Pending", IF(N4381&lt;=30, "Met", "Breached"))</f>
        <v/>
      </c>
      <c r="P4381" s="8" t="n"/>
      <c r="Q4381" s="8" t="n"/>
      <c r="R4381" s="8" t="n"/>
      <c r="S4381" s="8" t="n"/>
      <c r="T4381" s="8" t="n"/>
      <c r="U4381" s="8" t="n"/>
      <c r="V4381" s="8" t="n"/>
      <c r="W4381" s="8" t="n"/>
      <c r="X4381" s="8" t="n"/>
      <c r="Y4381" s="8" t="n"/>
    </row>
    <row r="4382">
      <c r="A4382" s="8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9">
        <f>B4382+30</f>
        <v/>
      </c>
      <c r="N4382">
        <f>IF(L4382="", "", L4382-B4382)</f>
        <v/>
      </c>
      <c r="O4382">
        <f>IF(L4382="", "Pending", IF(N4382&lt;=30, "Met", "Breached"))</f>
        <v/>
      </c>
      <c r="P4382" s="8" t="n"/>
      <c r="Q4382" s="8" t="n"/>
      <c r="R4382" s="8" t="n"/>
      <c r="S4382" s="8" t="n"/>
      <c r="T4382" s="8" t="n"/>
      <c r="U4382" s="8" t="n"/>
      <c r="V4382" s="8" t="n"/>
      <c r="W4382" s="8" t="n"/>
      <c r="X4382" s="8" t="n"/>
      <c r="Y4382" s="8" t="n"/>
    </row>
    <row r="4383">
      <c r="A4383" s="8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9">
        <f>B4383+30</f>
        <v/>
      </c>
      <c r="N4383">
        <f>IF(L4383="", "", L4383-B4383)</f>
        <v/>
      </c>
      <c r="O4383">
        <f>IF(L4383="", "Pending", IF(N4383&lt;=30, "Met", "Breached"))</f>
        <v/>
      </c>
      <c r="P4383" s="8" t="n"/>
      <c r="Q4383" s="8" t="n"/>
      <c r="R4383" s="8" t="n"/>
      <c r="S4383" s="8" t="n"/>
      <c r="T4383" s="8" t="n"/>
      <c r="U4383" s="8" t="n"/>
      <c r="V4383" s="8" t="n"/>
      <c r="W4383" s="8" t="n"/>
      <c r="X4383" s="8" t="n"/>
      <c r="Y4383" s="8" t="n"/>
    </row>
    <row r="4384">
      <c r="A4384" s="8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9">
        <f>B4384+30</f>
        <v/>
      </c>
      <c r="N4384">
        <f>IF(L4384="", "", L4384-B4384)</f>
        <v/>
      </c>
      <c r="O4384">
        <f>IF(L4384="", "Pending", IF(N4384&lt;=30, "Met", "Breached"))</f>
        <v/>
      </c>
      <c r="P4384" s="8" t="n"/>
      <c r="Q4384" s="8" t="n"/>
      <c r="R4384" s="8" t="n"/>
      <c r="S4384" s="8" t="n"/>
      <c r="T4384" s="8" t="n"/>
      <c r="U4384" s="8" t="n"/>
      <c r="V4384" s="8" t="n"/>
      <c r="W4384" s="8" t="n"/>
      <c r="X4384" s="8" t="n"/>
      <c r="Y4384" s="8" t="n"/>
    </row>
    <row r="4385">
      <c r="A4385" s="8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9">
        <f>B4385+30</f>
        <v/>
      </c>
      <c r="N4385">
        <f>IF(L4385="", "", L4385-B4385)</f>
        <v/>
      </c>
      <c r="O4385">
        <f>IF(L4385="", "Pending", IF(N4385&lt;=30, "Met", "Breached"))</f>
        <v/>
      </c>
      <c r="P4385" s="8" t="n"/>
      <c r="Q4385" s="8" t="n"/>
      <c r="R4385" s="8" t="n"/>
      <c r="S4385" s="8" t="n"/>
      <c r="T4385" s="8" t="n"/>
      <c r="U4385" s="8" t="n"/>
      <c r="V4385" s="8" t="n"/>
      <c r="W4385" s="8" t="n"/>
      <c r="X4385" s="8" t="n"/>
      <c r="Y4385" s="8" t="n"/>
    </row>
    <row r="4386">
      <c r="A4386" s="8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9">
        <f>B4386+30</f>
        <v/>
      </c>
      <c r="N4386">
        <f>IF(L4386="", "", L4386-B4386)</f>
        <v/>
      </c>
      <c r="O4386">
        <f>IF(L4386="", "Pending", IF(N4386&lt;=30, "Met", "Breached"))</f>
        <v/>
      </c>
      <c r="P4386" s="8" t="n"/>
      <c r="Q4386" s="8" t="n"/>
      <c r="R4386" s="8" t="n"/>
      <c r="S4386" s="8" t="n"/>
      <c r="T4386" s="8" t="n"/>
      <c r="U4386" s="8" t="n"/>
      <c r="V4386" s="8" t="n"/>
      <c r="W4386" s="8" t="n"/>
      <c r="X4386" s="8" t="n"/>
      <c r="Y4386" s="8" t="n"/>
    </row>
    <row r="4387">
      <c r="A4387" s="8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9">
        <f>B4387+30</f>
        <v/>
      </c>
      <c r="N4387">
        <f>IF(L4387="", "", L4387-B4387)</f>
        <v/>
      </c>
      <c r="O4387">
        <f>IF(L4387="", "Pending", IF(N4387&lt;=30, "Met", "Breached"))</f>
        <v/>
      </c>
      <c r="P4387" s="8" t="n"/>
      <c r="Q4387" s="8" t="n"/>
      <c r="R4387" s="8" t="n"/>
      <c r="S4387" s="8" t="n"/>
      <c r="T4387" s="8" t="n"/>
      <c r="U4387" s="8" t="n"/>
      <c r="V4387" s="8" t="n"/>
      <c r="W4387" s="8" t="n"/>
      <c r="X4387" s="8" t="n"/>
      <c r="Y4387" s="8" t="n"/>
    </row>
    <row r="4388">
      <c r="A4388" s="8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9">
        <f>B4388+30</f>
        <v/>
      </c>
      <c r="N4388">
        <f>IF(L4388="", "", L4388-B4388)</f>
        <v/>
      </c>
      <c r="O4388">
        <f>IF(L4388="", "Pending", IF(N4388&lt;=30, "Met", "Breached"))</f>
        <v/>
      </c>
      <c r="P4388" s="8" t="n"/>
      <c r="Q4388" s="8" t="n"/>
      <c r="R4388" s="8" t="n"/>
      <c r="S4388" s="8" t="n"/>
      <c r="T4388" s="8" t="n"/>
      <c r="U4388" s="8" t="n"/>
      <c r="V4388" s="8" t="n"/>
      <c r="W4388" s="8" t="n"/>
      <c r="X4388" s="8" t="n"/>
      <c r="Y4388" s="8" t="n"/>
    </row>
    <row r="4389">
      <c r="A4389" s="8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9">
        <f>B4389+30</f>
        <v/>
      </c>
      <c r="N4389">
        <f>IF(L4389="", "", L4389-B4389)</f>
        <v/>
      </c>
      <c r="O4389">
        <f>IF(L4389="", "Pending", IF(N4389&lt;=30, "Met", "Breached"))</f>
        <v/>
      </c>
      <c r="P4389" s="8" t="n"/>
      <c r="Q4389" s="8" t="n"/>
      <c r="R4389" s="8" t="n"/>
      <c r="S4389" s="8" t="n"/>
      <c r="T4389" s="8" t="n"/>
      <c r="U4389" s="8" t="n"/>
      <c r="V4389" s="8" t="n"/>
      <c r="W4389" s="8" t="n"/>
      <c r="X4389" s="8" t="n"/>
      <c r="Y4389" s="8" t="n"/>
    </row>
    <row r="4390">
      <c r="A4390" s="8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9">
        <f>B4390+30</f>
        <v/>
      </c>
      <c r="N4390">
        <f>IF(L4390="", "", L4390-B4390)</f>
        <v/>
      </c>
      <c r="O4390">
        <f>IF(L4390="", "Pending", IF(N4390&lt;=30, "Met", "Breached"))</f>
        <v/>
      </c>
      <c r="P4390" s="8" t="n"/>
      <c r="Q4390" s="8" t="n"/>
      <c r="R4390" s="8" t="n"/>
      <c r="S4390" s="8" t="n"/>
      <c r="T4390" s="8" t="n"/>
      <c r="U4390" s="8" t="n"/>
      <c r="V4390" s="8" t="n"/>
      <c r="W4390" s="8" t="n"/>
      <c r="X4390" s="8" t="n"/>
      <c r="Y4390" s="8" t="n"/>
    </row>
    <row r="4391">
      <c r="A4391" s="8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9">
        <f>B4391+30</f>
        <v/>
      </c>
      <c r="N4391">
        <f>IF(L4391="", "", L4391-B4391)</f>
        <v/>
      </c>
      <c r="O4391">
        <f>IF(L4391="", "Pending", IF(N4391&lt;=30, "Met", "Breached"))</f>
        <v/>
      </c>
      <c r="P4391" s="8" t="n"/>
      <c r="Q4391" s="8" t="n"/>
      <c r="R4391" s="8" t="n"/>
      <c r="S4391" s="8" t="n"/>
      <c r="T4391" s="8" t="n"/>
      <c r="U4391" s="8" t="n"/>
      <c r="V4391" s="8" t="n"/>
      <c r="W4391" s="8" t="n"/>
      <c r="X4391" s="8" t="n"/>
      <c r="Y4391" s="8" t="n"/>
    </row>
    <row r="4392">
      <c r="A4392" s="8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9">
        <f>B4392+30</f>
        <v/>
      </c>
      <c r="N4392">
        <f>IF(L4392="", "", L4392-B4392)</f>
        <v/>
      </c>
      <c r="O4392">
        <f>IF(L4392="", "Pending", IF(N4392&lt;=30, "Met", "Breached"))</f>
        <v/>
      </c>
      <c r="P4392" s="8" t="n"/>
      <c r="Q4392" s="8" t="n"/>
      <c r="R4392" s="8" t="n"/>
      <c r="S4392" s="8" t="n"/>
      <c r="T4392" s="8" t="n"/>
      <c r="U4392" s="8" t="n"/>
      <c r="V4392" s="8" t="n"/>
      <c r="W4392" s="8" t="n"/>
      <c r="X4392" s="8" t="n"/>
      <c r="Y4392" s="8" t="n"/>
    </row>
    <row r="4393">
      <c r="A4393" s="8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9">
        <f>B4393+30</f>
        <v/>
      </c>
      <c r="N4393">
        <f>IF(L4393="", "", L4393-B4393)</f>
        <v/>
      </c>
      <c r="O4393">
        <f>IF(L4393="", "Pending", IF(N4393&lt;=30, "Met", "Breached"))</f>
        <v/>
      </c>
      <c r="P4393" s="8" t="n"/>
      <c r="Q4393" s="8" t="n"/>
      <c r="R4393" s="8" t="n"/>
      <c r="S4393" s="8" t="n"/>
      <c r="T4393" s="8" t="n"/>
      <c r="U4393" s="8" t="n"/>
      <c r="V4393" s="8" t="n"/>
      <c r="W4393" s="8" t="n"/>
      <c r="X4393" s="8" t="n"/>
      <c r="Y4393" s="8" t="n"/>
    </row>
    <row r="4394">
      <c r="A4394" s="8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9">
        <f>B4394+30</f>
        <v/>
      </c>
      <c r="N4394">
        <f>IF(L4394="", "", L4394-B4394)</f>
        <v/>
      </c>
      <c r="O4394">
        <f>IF(L4394="", "Pending", IF(N4394&lt;=30, "Met", "Breached"))</f>
        <v/>
      </c>
      <c r="P4394" s="8" t="n"/>
      <c r="Q4394" s="8" t="n"/>
      <c r="R4394" s="8" t="n"/>
      <c r="S4394" s="8" t="n"/>
      <c r="T4394" s="8" t="n"/>
      <c r="U4394" s="8" t="n"/>
      <c r="V4394" s="8" t="n"/>
      <c r="W4394" s="8" t="n"/>
      <c r="X4394" s="8" t="n"/>
      <c r="Y4394" s="8" t="n"/>
    </row>
    <row r="4395">
      <c r="A4395" s="8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9">
        <f>B4395+30</f>
        <v/>
      </c>
      <c r="N4395">
        <f>IF(L4395="", "", L4395-B4395)</f>
        <v/>
      </c>
      <c r="O4395">
        <f>IF(L4395="", "Pending", IF(N4395&lt;=30, "Met", "Breached"))</f>
        <v/>
      </c>
      <c r="P4395" s="8" t="n"/>
      <c r="Q4395" s="8" t="n"/>
      <c r="R4395" s="8" t="n"/>
      <c r="S4395" s="8" t="n"/>
      <c r="T4395" s="8" t="n"/>
      <c r="U4395" s="8" t="n"/>
      <c r="V4395" s="8" t="n"/>
      <c r="W4395" s="8" t="n"/>
      <c r="X4395" s="8" t="n"/>
      <c r="Y4395" s="8" t="n"/>
    </row>
    <row r="4396">
      <c r="A4396" s="8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9">
        <f>B4396+30</f>
        <v/>
      </c>
      <c r="N4396">
        <f>IF(L4396="", "", L4396-B4396)</f>
        <v/>
      </c>
      <c r="O4396">
        <f>IF(L4396="", "Pending", IF(N4396&lt;=30, "Met", "Breached"))</f>
        <v/>
      </c>
      <c r="P4396" s="8" t="n"/>
      <c r="Q4396" s="8" t="n"/>
      <c r="R4396" s="8" t="n"/>
      <c r="S4396" s="8" t="n"/>
      <c r="T4396" s="8" t="n"/>
      <c r="U4396" s="8" t="n"/>
      <c r="V4396" s="8" t="n"/>
      <c r="W4396" s="8" t="n"/>
      <c r="X4396" s="8" t="n"/>
      <c r="Y4396" s="8" t="n"/>
    </row>
    <row r="4397">
      <c r="A4397" s="8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9">
        <f>B4397+30</f>
        <v/>
      </c>
      <c r="N4397">
        <f>IF(L4397="", "", L4397-B4397)</f>
        <v/>
      </c>
      <c r="O4397">
        <f>IF(L4397="", "Pending", IF(N4397&lt;=30, "Met", "Breached"))</f>
        <v/>
      </c>
      <c r="P4397" s="8" t="n"/>
      <c r="Q4397" s="8" t="n"/>
      <c r="R4397" s="8" t="n"/>
      <c r="S4397" s="8" t="n"/>
      <c r="T4397" s="8" t="n"/>
      <c r="U4397" s="8" t="n"/>
      <c r="V4397" s="8" t="n"/>
      <c r="W4397" s="8" t="n"/>
      <c r="X4397" s="8" t="n"/>
      <c r="Y4397" s="8" t="n"/>
    </row>
    <row r="4398">
      <c r="A4398" s="8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9">
        <f>B4398+30</f>
        <v/>
      </c>
      <c r="N4398">
        <f>IF(L4398="", "", L4398-B4398)</f>
        <v/>
      </c>
      <c r="O4398">
        <f>IF(L4398="", "Pending", IF(N4398&lt;=30, "Met", "Breached"))</f>
        <v/>
      </c>
      <c r="P4398" s="8" t="n"/>
      <c r="Q4398" s="8" t="n"/>
      <c r="R4398" s="8" t="n"/>
      <c r="S4398" s="8" t="n"/>
      <c r="T4398" s="8" t="n"/>
      <c r="U4398" s="8" t="n"/>
      <c r="V4398" s="8" t="n"/>
      <c r="W4398" s="8" t="n"/>
      <c r="X4398" s="8" t="n"/>
      <c r="Y4398" s="8" t="n"/>
    </row>
    <row r="4399">
      <c r="A4399" s="8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9">
        <f>B4399+30</f>
        <v/>
      </c>
      <c r="N4399">
        <f>IF(L4399="", "", L4399-B4399)</f>
        <v/>
      </c>
      <c r="O4399">
        <f>IF(L4399="", "Pending", IF(N4399&lt;=30, "Met", "Breached"))</f>
        <v/>
      </c>
      <c r="P4399" s="8" t="n"/>
      <c r="Q4399" s="8" t="n"/>
      <c r="R4399" s="8" t="n"/>
      <c r="S4399" s="8" t="n"/>
      <c r="T4399" s="8" t="n"/>
      <c r="U4399" s="8" t="n"/>
      <c r="V4399" s="8" t="n"/>
      <c r="W4399" s="8" t="n"/>
      <c r="X4399" s="8" t="n"/>
      <c r="Y4399" s="8" t="n"/>
    </row>
    <row r="4400">
      <c r="A4400" s="8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9">
        <f>B4400+30</f>
        <v/>
      </c>
      <c r="N4400">
        <f>IF(L4400="", "", L4400-B4400)</f>
        <v/>
      </c>
      <c r="O4400">
        <f>IF(L4400="", "Pending", IF(N4400&lt;=30, "Met", "Breached"))</f>
        <v/>
      </c>
      <c r="P4400" s="8" t="n"/>
      <c r="Q4400" s="8" t="n"/>
      <c r="R4400" s="8" t="n"/>
      <c r="S4400" s="8" t="n"/>
      <c r="T4400" s="8" t="n"/>
      <c r="U4400" s="8" t="n"/>
      <c r="V4400" s="8" t="n"/>
      <c r="W4400" s="8" t="n"/>
      <c r="X4400" s="8" t="n"/>
      <c r="Y4400" s="8" t="n"/>
    </row>
    <row r="4401">
      <c r="A4401" s="8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9">
        <f>B4401+30</f>
        <v/>
      </c>
      <c r="N4401">
        <f>IF(L4401="", "", L4401-B4401)</f>
        <v/>
      </c>
      <c r="O4401">
        <f>IF(L4401="", "Pending", IF(N4401&lt;=30, "Met", "Breached"))</f>
        <v/>
      </c>
      <c r="P4401" s="8" t="n"/>
      <c r="Q4401" s="8" t="n"/>
      <c r="R4401" s="8" t="n"/>
      <c r="S4401" s="8" t="n"/>
      <c r="T4401" s="8" t="n"/>
      <c r="U4401" s="8" t="n"/>
      <c r="V4401" s="8" t="n"/>
      <c r="W4401" s="8" t="n"/>
      <c r="X4401" s="8" t="n"/>
      <c r="Y4401" s="8" t="n"/>
    </row>
    <row r="4402">
      <c r="A4402" s="8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9">
        <f>B4402+30</f>
        <v/>
      </c>
      <c r="N4402">
        <f>IF(L4402="", "", L4402-B4402)</f>
        <v/>
      </c>
      <c r="O4402">
        <f>IF(L4402="", "Pending", IF(N4402&lt;=30, "Met", "Breached"))</f>
        <v/>
      </c>
      <c r="P4402" s="8" t="n"/>
      <c r="Q4402" s="8" t="n"/>
      <c r="R4402" s="8" t="n"/>
      <c r="S4402" s="8" t="n"/>
      <c r="T4402" s="8" t="n"/>
      <c r="U4402" s="8" t="n"/>
      <c r="V4402" s="8" t="n"/>
      <c r="W4402" s="8" t="n"/>
      <c r="X4402" s="8" t="n"/>
      <c r="Y4402" s="8" t="n"/>
    </row>
    <row r="4403">
      <c r="A4403" s="8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9">
        <f>B4403+30</f>
        <v/>
      </c>
      <c r="N4403">
        <f>IF(L4403="", "", L4403-B4403)</f>
        <v/>
      </c>
      <c r="O4403">
        <f>IF(L4403="", "Pending", IF(N4403&lt;=30, "Met", "Breached"))</f>
        <v/>
      </c>
      <c r="P4403" s="8" t="n"/>
      <c r="Q4403" s="8" t="n"/>
      <c r="R4403" s="8" t="n"/>
      <c r="S4403" s="8" t="n"/>
      <c r="T4403" s="8" t="n"/>
      <c r="U4403" s="8" t="n"/>
      <c r="V4403" s="8" t="n"/>
      <c r="W4403" s="8" t="n"/>
      <c r="X4403" s="8" t="n"/>
      <c r="Y4403" s="8" t="n"/>
    </row>
    <row r="4404">
      <c r="A4404" s="8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9">
        <f>B4404+30</f>
        <v/>
      </c>
      <c r="N4404">
        <f>IF(L4404="", "", L4404-B4404)</f>
        <v/>
      </c>
      <c r="O4404">
        <f>IF(L4404="", "Pending", IF(N4404&lt;=30, "Met", "Breached"))</f>
        <v/>
      </c>
      <c r="P4404" s="8" t="n"/>
      <c r="Q4404" s="8" t="n"/>
      <c r="R4404" s="8" t="n"/>
      <c r="S4404" s="8" t="n"/>
      <c r="T4404" s="8" t="n"/>
      <c r="U4404" s="8" t="n"/>
      <c r="V4404" s="8" t="n"/>
      <c r="W4404" s="8" t="n"/>
      <c r="X4404" s="8" t="n"/>
      <c r="Y4404" s="8" t="n"/>
    </row>
    <row r="4405">
      <c r="A4405" s="8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9">
        <f>B4405+30</f>
        <v/>
      </c>
      <c r="N4405">
        <f>IF(L4405="", "", L4405-B4405)</f>
        <v/>
      </c>
      <c r="O4405">
        <f>IF(L4405="", "Pending", IF(N4405&lt;=30, "Met", "Breached"))</f>
        <v/>
      </c>
      <c r="P4405" s="8" t="n"/>
      <c r="Q4405" s="8" t="n"/>
      <c r="R4405" s="8" t="n"/>
      <c r="S4405" s="8" t="n"/>
      <c r="T4405" s="8" t="n"/>
      <c r="U4405" s="8" t="n"/>
      <c r="V4405" s="8" t="n"/>
      <c r="W4405" s="8" t="n"/>
      <c r="X4405" s="8" t="n"/>
      <c r="Y4405" s="8" t="n"/>
    </row>
    <row r="4406">
      <c r="A4406" s="8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9">
        <f>B4406+30</f>
        <v/>
      </c>
      <c r="N4406">
        <f>IF(L4406="", "", L4406-B4406)</f>
        <v/>
      </c>
      <c r="O4406">
        <f>IF(L4406="", "Pending", IF(N4406&lt;=30, "Met", "Breached"))</f>
        <v/>
      </c>
      <c r="P4406" s="8" t="n"/>
      <c r="Q4406" s="8" t="n"/>
      <c r="R4406" s="8" t="n"/>
      <c r="S4406" s="8" t="n"/>
      <c r="T4406" s="8" t="n"/>
      <c r="U4406" s="8" t="n"/>
      <c r="V4406" s="8" t="n"/>
      <c r="W4406" s="8" t="n"/>
      <c r="X4406" s="8" t="n"/>
      <c r="Y4406" s="8" t="n"/>
    </row>
    <row r="4407">
      <c r="A4407" s="8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9">
        <f>B4407+30</f>
        <v/>
      </c>
      <c r="N4407">
        <f>IF(L4407="", "", L4407-B4407)</f>
        <v/>
      </c>
      <c r="O4407">
        <f>IF(L4407="", "Pending", IF(N4407&lt;=30, "Met", "Breached"))</f>
        <v/>
      </c>
      <c r="P4407" s="8" t="n"/>
      <c r="Q4407" s="8" t="n"/>
      <c r="R4407" s="8" t="n"/>
      <c r="S4407" s="8" t="n"/>
      <c r="T4407" s="8" t="n"/>
      <c r="U4407" s="8" t="n"/>
      <c r="V4407" s="8" t="n"/>
      <c r="W4407" s="8" t="n"/>
      <c r="X4407" s="8" t="n"/>
      <c r="Y4407" s="8" t="n"/>
    </row>
    <row r="4408">
      <c r="A4408" s="8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9">
        <f>B4408+30</f>
        <v/>
      </c>
      <c r="N4408">
        <f>IF(L4408="", "", L4408-B4408)</f>
        <v/>
      </c>
      <c r="O4408">
        <f>IF(L4408="", "Pending", IF(N4408&lt;=30, "Met", "Breached"))</f>
        <v/>
      </c>
      <c r="P4408" s="8" t="n"/>
      <c r="Q4408" s="8" t="n"/>
      <c r="R4408" s="8" t="n"/>
      <c r="S4408" s="8" t="n"/>
      <c r="T4408" s="8" t="n"/>
      <c r="U4408" s="8" t="n"/>
      <c r="V4408" s="8" t="n"/>
      <c r="W4408" s="8" t="n"/>
      <c r="X4408" s="8" t="n"/>
      <c r="Y4408" s="8" t="n"/>
    </row>
    <row r="4409">
      <c r="A4409" s="8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9">
        <f>B4409+30</f>
        <v/>
      </c>
      <c r="N4409">
        <f>IF(L4409="", "", L4409-B4409)</f>
        <v/>
      </c>
      <c r="O4409">
        <f>IF(L4409="", "Pending", IF(N4409&lt;=30, "Met", "Breached"))</f>
        <v/>
      </c>
      <c r="P4409" s="8" t="n"/>
      <c r="Q4409" s="8" t="n"/>
      <c r="R4409" s="8" t="n"/>
      <c r="S4409" s="8" t="n"/>
      <c r="T4409" s="8" t="n"/>
      <c r="U4409" s="8" t="n"/>
      <c r="V4409" s="8" t="n"/>
      <c r="W4409" s="8" t="n"/>
      <c r="X4409" s="8" t="n"/>
      <c r="Y4409" s="8" t="n"/>
    </row>
    <row r="4410">
      <c r="A4410" s="8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9">
        <f>B4410+30</f>
        <v/>
      </c>
      <c r="N4410">
        <f>IF(L4410="", "", L4410-B4410)</f>
        <v/>
      </c>
      <c r="O4410">
        <f>IF(L4410="", "Pending", IF(N4410&lt;=30, "Met", "Breached"))</f>
        <v/>
      </c>
      <c r="P4410" s="8" t="n"/>
      <c r="Q4410" s="8" t="n"/>
      <c r="R4410" s="8" t="n"/>
      <c r="S4410" s="8" t="n"/>
      <c r="T4410" s="8" t="n"/>
      <c r="U4410" s="8" t="n"/>
      <c r="V4410" s="8" t="n"/>
      <c r="W4410" s="8" t="n"/>
      <c r="X4410" s="8" t="n"/>
      <c r="Y4410" s="8" t="n"/>
    </row>
    <row r="4411">
      <c r="A4411" s="8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9">
        <f>B4411+30</f>
        <v/>
      </c>
      <c r="N4411">
        <f>IF(L4411="", "", L4411-B4411)</f>
        <v/>
      </c>
      <c r="O4411">
        <f>IF(L4411="", "Pending", IF(N4411&lt;=30, "Met", "Breached"))</f>
        <v/>
      </c>
      <c r="P4411" s="8" t="n"/>
      <c r="Q4411" s="8" t="n"/>
      <c r="R4411" s="8" t="n"/>
      <c r="S4411" s="8" t="n"/>
      <c r="T4411" s="8" t="n"/>
      <c r="U4411" s="8" t="n"/>
      <c r="V4411" s="8" t="n"/>
      <c r="W4411" s="8" t="n"/>
      <c r="X4411" s="8" t="n"/>
      <c r="Y4411" s="8" t="n"/>
    </row>
    <row r="4412">
      <c r="A4412" s="8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9">
        <f>B4412+30</f>
        <v/>
      </c>
      <c r="N4412">
        <f>IF(L4412="", "", L4412-B4412)</f>
        <v/>
      </c>
      <c r="O4412">
        <f>IF(L4412="", "Pending", IF(N4412&lt;=30, "Met", "Breached"))</f>
        <v/>
      </c>
      <c r="P4412" s="8" t="n"/>
      <c r="Q4412" s="8" t="n"/>
      <c r="R4412" s="8" t="n"/>
      <c r="S4412" s="8" t="n"/>
      <c r="T4412" s="8" t="n"/>
      <c r="U4412" s="8" t="n"/>
      <c r="V4412" s="8" t="n"/>
      <c r="W4412" s="8" t="n"/>
      <c r="X4412" s="8" t="n"/>
      <c r="Y4412" s="8" t="n"/>
    </row>
    <row r="4413">
      <c r="A4413" s="8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9">
        <f>B4413+30</f>
        <v/>
      </c>
      <c r="N4413">
        <f>IF(L4413="", "", L4413-B4413)</f>
        <v/>
      </c>
      <c r="O4413">
        <f>IF(L4413="", "Pending", IF(N4413&lt;=30, "Met", "Breached"))</f>
        <v/>
      </c>
      <c r="P4413" s="8" t="n"/>
      <c r="Q4413" s="8" t="n"/>
      <c r="R4413" s="8" t="n"/>
      <c r="S4413" s="8" t="n"/>
      <c r="T4413" s="8" t="n"/>
      <c r="U4413" s="8" t="n"/>
      <c r="V4413" s="8" t="n"/>
      <c r="W4413" s="8" t="n"/>
      <c r="X4413" s="8" t="n"/>
      <c r="Y4413" s="8" t="n"/>
    </row>
    <row r="4414">
      <c r="A4414" s="8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9">
        <f>B4414+30</f>
        <v/>
      </c>
      <c r="N4414">
        <f>IF(L4414="", "", L4414-B4414)</f>
        <v/>
      </c>
      <c r="O4414">
        <f>IF(L4414="", "Pending", IF(N4414&lt;=30, "Met", "Breached"))</f>
        <v/>
      </c>
      <c r="P4414" s="8" t="n"/>
      <c r="Q4414" s="8" t="n"/>
      <c r="R4414" s="8" t="n"/>
      <c r="S4414" s="8" t="n"/>
      <c r="T4414" s="8" t="n"/>
      <c r="U4414" s="8" t="n"/>
      <c r="V4414" s="8" t="n"/>
      <c r="W4414" s="8" t="n"/>
      <c r="X4414" s="8" t="n"/>
      <c r="Y4414" s="8" t="n"/>
    </row>
    <row r="4415">
      <c r="A4415" s="8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9">
        <f>B4415+30</f>
        <v/>
      </c>
      <c r="N4415">
        <f>IF(L4415="", "", L4415-B4415)</f>
        <v/>
      </c>
      <c r="O4415">
        <f>IF(L4415="", "Pending", IF(N4415&lt;=30, "Met", "Breached"))</f>
        <v/>
      </c>
      <c r="P4415" s="8" t="n"/>
      <c r="Q4415" s="8" t="n"/>
      <c r="R4415" s="8" t="n"/>
      <c r="S4415" s="8" t="n"/>
      <c r="T4415" s="8" t="n"/>
      <c r="U4415" s="8" t="n"/>
      <c r="V4415" s="8" t="n"/>
      <c r="W4415" s="8" t="n"/>
      <c r="X4415" s="8" t="n"/>
      <c r="Y4415" s="8" t="n"/>
    </row>
    <row r="4416">
      <c r="A4416" s="8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9">
        <f>B4416+30</f>
        <v/>
      </c>
      <c r="N4416">
        <f>IF(L4416="", "", L4416-B4416)</f>
        <v/>
      </c>
      <c r="O4416">
        <f>IF(L4416="", "Pending", IF(N4416&lt;=30, "Met", "Breached"))</f>
        <v/>
      </c>
      <c r="P4416" s="8" t="n"/>
      <c r="Q4416" s="8" t="n"/>
      <c r="R4416" s="8" t="n"/>
      <c r="S4416" s="8" t="n"/>
      <c r="T4416" s="8" t="n"/>
      <c r="U4416" s="8" t="n"/>
      <c r="V4416" s="8" t="n"/>
      <c r="W4416" s="8" t="n"/>
      <c r="X4416" s="8" t="n"/>
      <c r="Y4416" s="8" t="n"/>
    </row>
    <row r="4417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9">
        <f>B4417+30</f>
        <v/>
      </c>
      <c r="N4417">
        <f>IF(L4417="", "", L4417-B4417)</f>
        <v/>
      </c>
      <c r="O4417">
        <f>IF(L4417="", "Pending", IF(N4417&lt;=30, "Met", "Breached"))</f>
        <v/>
      </c>
      <c r="P4417" s="8" t="n"/>
      <c r="Q4417" s="8" t="n"/>
      <c r="R4417" s="8" t="n"/>
      <c r="S4417" s="8" t="n"/>
      <c r="T4417" s="8" t="n"/>
      <c r="U4417" s="8" t="n"/>
      <c r="V4417" s="8" t="n"/>
      <c r="W4417" s="8" t="n"/>
      <c r="X4417" s="8" t="n"/>
      <c r="Y4417" s="8" t="n"/>
    </row>
    <row r="4418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9">
        <f>B4418+30</f>
        <v/>
      </c>
      <c r="N4418">
        <f>IF(L4418="", "", L4418-B4418)</f>
        <v/>
      </c>
      <c r="O4418">
        <f>IF(L4418="", "Pending", IF(N4418&lt;=30, "Met", "Breached"))</f>
        <v/>
      </c>
      <c r="P4418" s="8" t="n"/>
      <c r="Q4418" s="8" t="n"/>
      <c r="R4418" s="8" t="n"/>
      <c r="S4418" s="8" t="n"/>
      <c r="T4418" s="8" t="n"/>
      <c r="U4418" s="8" t="n"/>
      <c r="V4418" s="8" t="n"/>
      <c r="W4418" s="8" t="n"/>
      <c r="X4418" s="8" t="n"/>
      <c r="Y4418" s="8" t="n"/>
    </row>
    <row r="4419">
      <c r="A4419" s="8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9">
        <f>B4419+30</f>
        <v/>
      </c>
      <c r="N4419">
        <f>IF(L4419="", "", L4419-B4419)</f>
        <v/>
      </c>
      <c r="O4419">
        <f>IF(L4419="", "Pending", IF(N4419&lt;=30, "Met", "Breached"))</f>
        <v/>
      </c>
      <c r="P4419" s="8" t="n"/>
      <c r="Q4419" s="8" t="n"/>
      <c r="R4419" s="8" t="n"/>
      <c r="S4419" s="8" t="n"/>
      <c r="T4419" s="8" t="n"/>
      <c r="U4419" s="8" t="n"/>
      <c r="V4419" s="8" t="n"/>
      <c r="W4419" s="8" t="n"/>
      <c r="X4419" s="8" t="n"/>
      <c r="Y4419" s="8" t="n"/>
    </row>
    <row r="4420">
      <c r="A4420" s="8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9">
        <f>B4420+30</f>
        <v/>
      </c>
      <c r="N4420">
        <f>IF(L4420="", "", L4420-B4420)</f>
        <v/>
      </c>
      <c r="O4420">
        <f>IF(L4420="", "Pending", IF(N4420&lt;=30, "Met", "Breached"))</f>
        <v/>
      </c>
      <c r="P4420" s="8" t="n"/>
      <c r="Q4420" s="8" t="n"/>
      <c r="R4420" s="8" t="n"/>
      <c r="S4420" s="8" t="n"/>
      <c r="T4420" s="8" t="n"/>
      <c r="U4420" s="8" t="n"/>
      <c r="V4420" s="8" t="n"/>
      <c r="W4420" s="8" t="n"/>
      <c r="X4420" s="8" t="n"/>
      <c r="Y4420" s="8" t="n"/>
    </row>
    <row r="4421">
      <c r="A4421" s="8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9">
        <f>B4421+30</f>
        <v/>
      </c>
      <c r="N4421">
        <f>IF(L4421="", "", L4421-B4421)</f>
        <v/>
      </c>
      <c r="O4421">
        <f>IF(L4421="", "Pending", IF(N4421&lt;=30, "Met", "Breached"))</f>
        <v/>
      </c>
      <c r="P4421" s="8" t="n"/>
      <c r="Q4421" s="8" t="n"/>
      <c r="R4421" s="8" t="n"/>
      <c r="S4421" s="8" t="n"/>
      <c r="T4421" s="8" t="n"/>
      <c r="U4421" s="8" t="n"/>
      <c r="V4421" s="8" t="n"/>
      <c r="W4421" s="8" t="n"/>
      <c r="X4421" s="8" t="n"/>
      <c r="Y4421" s="8" t="n"/>
    </row>
    <row r="4422">
      <c r="A4422" s="8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9">
        <f>B4422+30</f>
        <v/>
      </c>
      <c r="N4422">
        <f>IF(L4422="", "", L4422-B4422)</f>
        <v/>
      </c>
      <c r="O4422">
        <f>IF(L4422="", "Pending", IF(N4422&lt;=30, "Met", "Breached"))</f>
        <v/>
      </c>
      <c r="P4422" s="8" t="n"/>
      <c r="Q4422" s="8" t="n"/>
      <c r="R4422" s="8" t="n"/>
      <c r="S4422" s="8" t="n"/>
      <c r="T4422" s="8" t="n"/>
      <c r="U4422" s="8" t="n"/>
      <c r="V4422" s="8" t="n"/>
      <c r="W4422" s="8" t="n"/>
      <c r="X4422" s="8" t="n"/>
      <c r="Y4422" s="8" t="n"/>
    </row>
    <row r="4423">
      <c r="A4423" s="8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9">
        <f>B4423+30</f>
        <v/>
      </c>
      <c r="N4423">
        <f>IF(L4423="", "", L4423-B4423)</f>
        <v/>
      </c>
      <c r="O4423">
        <f>IF(L4423="", "Pending", IF(N4423&lt;=30, "Met", "Breached"))</f>
        <v/>
      </c>
      <c r="P4423" s="8" t="n"/>
      <c r="Q4423" s="8" t="n"/>
      <c r="R4423" s="8" t="n"/>
      <c r="S4423" s="8" t="n"/>
      <c r="T4423" s="8" t="n"/>
      <c r="U4423" s="8" t="n"/>
      <c r="V4423" s="8" t="n"/>
      <c r="W4423" s="8" t="n"/>
      <c r="X4423" s="8" t="n"/>
      <c r="Y4423" s="8" t="n"/>
    </row>
    <row r="4424">
      <c r="A4424" s="8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9">
        <f>B4424+30</f>
        <v/>
      </c>
      <c r="N4424">
        <f>IF(L4424="", "", L4424-B4424)</f>
        <v/>
      </c>
      <c r="O4424">
        <f>IF(L4424="", "Pending", IF(N4424&lt;=30, "Met", "Breached"))</f>
        <v/>
      </c>
      <c r="P4424" s="8" t="n"/>
      <c r="Q4424" s="8" t="n"/>
      <c r="R4424" s="8" t="n"/>
      <c r="S4424" s="8" t="n"/>
      <c r="T4424" s="8" t="n"/>
      <c r="U4424" s="8" t="n"/>
      <c r="V4424" s="8" t="n"/>
      <c r="W4424" s="8" t="n"/>
      <c r="X4424" s="8" t="n"/>
      <c r="Y4424" s="8" t="n"/>
    </row>
    <row r="4425">
      <c r="A4425" s="8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9">
        <f>B4425+30</f>
        <v/>
      </c>
      <c r="N4425">
        <f>IF(L4425="", "", L4425-B4425)</f>
        <v/>
      </c>
      <c r="O4425">
        <f>IF(L4425="", "Pending", IF(N4425&lt;=30, "Met", "Breached"))</f>
        <v/>
      </c>
      <c r="P4425" s="8" t="n"/>
      <c r="Q4425" s="8" t="n"/>
      <c r="R4425" s="8" t="n"/>
      <c r="S4425" s="8" t="n"/>
      <c r="T4425" s="8" t="n"/>
      <c r="U4425" s="8" t="n"/>
      <c r="V4425" s="8" t="n"/>
      <c r="W4425" s="8" t="n"/>
      <c r="X4425" s="8" t="n"/>
      <c r="Y4425" s="8" t="n"/>
    </row>
    <row r="4426">
      <c r="A4426" s="8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9">
        <f>B4426+30</f>
        <v/>
      </c>
      <c r="N4426">
        <f>IF(L4426="", "", L4426-B4426)</f>
        <v/>
      </c>
      <c r="O4426">
        <f>IF(L4426="", "Pending", IF(N4426&lt;=30, "Met", "Breached"))</f>
        <v/>
      </c>
      <c r="P4426" s="8" t="n"/>
      <c r="Q4426" s="8" t="n"/>
      <c r="R4426" s="8" t="n"/>
      <c r="S4426" s="8" t="n"/>
      <c r="T4426" s="8" t="n"/>
      <c r="U4426" s="8" t="n"/>
      <c r="V4426" s="8" t="n"/>
      <c r="W4426" s="8" t="n"/>
      <c r="X4426" s="8" t="n"/>
      <c r="Y4426" s="8" t="n"/>
    </row>
    <row r="4427">
      <c r="A4427" s="8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9">
        <f>B4427+30</f>
        <v/>
      </c>
      <c r="N4427">
        <f>IF(L4427="", "", L4427-B4427)</f>
        <v/>
      </c>
      <c r="O4427">
        <f>IF(L4427="", "Pending", IF(N4427&lt;=30, "Met", "Breached"))</f>
        <v/>
      </c>
      <c r="P4427" s="8" t="n"/>
      <c r="Q4427" s="8" t="n"/>
      <c r="R4427" s="8" t="n"/>
      <c r="S4427" s="8" t="n"/>
      <c r="T4427" s="8" t="n"/>
      <c r="U4427" s="8" t="n"/>
      <c r="V4427" s="8" t="n"/>
      <c r="W4427" s="8" t="n"/>
      <c r="X4427" s="8" t="n"/>
      <c r="Y4427" s="8" t="n"/>
    </row>
    <row r="4428">
      <c r="A4428" s="8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9">
        <f>B4428+30</f>
        <v/>
      </c>
      <c r="N4428">
        <f>IF(L4428="", "", L4428-B4428)</f>
        <v/>
      </c>
      <c r="O4428">
        <f>IF(L4428="", "Pending", IF(N4428&lt;=30, "Met", "Breached"))</f>
        <v/>
      </c>
      <c r="P4428" s="8" t="n"/>
      <c r="Q4428" s="8" t="n"/>
      <c r="R4428" s="8" t="n"/>
      <c r="S4428" s="8" t="n"/>
      <c r="T4428" s="8" t="n"/>
      <c r="U4428" s="8" t="n"/>
      <c r="V4428" s="8" t="n"/>
      <c r="W4428" s="8" t="n"/>
      <c r="X4428" s="8" t="n"/>
      <c r="Y4428" s="8" t="n"/>
    </row>
    <row r="4429">
      <c r="A4429" s="8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9">
        <f>B4429+30</f>
        <v/>
      </c>
      <c r="N4429">
        <f>IF(L4429="", "", L4429-B4429)</f>
        <v/>
      </c>
      <c r="O4429">
        <f>IF(L4429="", "Pending", IF(N4429&lt;=30, "Met", "Breached"))</f>
        <v/>
      </c>
      <c r="P4429" s="8" t="n"/>
      <c r="Q4429" s="8" t="n"/>
      <c r="R4429" s="8" t="n"/>
      <c r="S4429" s="8" t="n"/>
      <c r="T4429" s="8" t="n"/>
      <c r="U4429" s="8" t="n"/>
      <c r="V4429" s="8" t="n"/>
      <c r="W4429" s="8" t="n"/>
      <c r="X4429" s="8" t="n"/>
      <c r="Y4429" s="8" t="n"/>
    </row>
    <row r="4430">
      <c r="A4430" s="8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9">
        <f>B4430+30</f>
        <v/>
      </c>
      <c r="N4430">
        <f>IF(L4430="", "", L4430-B4430)</f>
        <v/>
      </c>
      <c r="O4430">
        <f>IF(L4430="", "Pending", IF(N4430&lt;=30, "Met", "Breached"))</f>
        <v/>
      </c>
      <c r="P4430" s="8" t="n"/>
      <c r="Q4430" s="8" t="n"/>
      <c r="R4430" s="8" t="n"/>
      <c r="S4430" s="8" t="n"/>
      <c r="T4430" s="8" t="n"/>
      <c r="U4430" s="8" t="n"/>
      <c r="V4430" s="8" t="n"/>
      <c r="W4430" s="8" t="n"/>
      <c r="X4430" s="8" t="n"/>
      <c r="Y4430" s="8" t="n"/>
    </row>
    <row r="4431">
      <c r="A4431" s="8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9">
        <f>B4431+30</f>
        <v/>
      </c>
      <c r="N4431">
        <f>IF(L4431="", "", L4431-B4431)</f>
        <v/>
      </c>
      <c r="O4431">
        <f>IF(L4431="", "Pending", IF(N4431&lt;=30, "Met", "Breached"))</f>
        <v/>
      </c>
      <c r="P4431" s="8" t="n"/>
      <c r="Q4431" s="8" t="n"/>
      <c r="R4431" s="8" t="n"/>
      <c r="S4431" s="8" t="n"/>
      <c r="T4431" s="8" t="n"/>
      <c r="U4431" s="8" t="n"/>
      <c r="V4431" s="8" t="n"/>
      <c r="W4431" s="8" t="n"/>
      <c r="X4431" s="8" t="n"/>
      <c r="Y4431" s="8" t="n"/>
    </row>
    <row r="4432">
      <c r="A4432" s="8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9">
        <f>B4432+30</f>
        <v/>
      </c>
      <c r="N4432">
        <f>IF(L4432="", "", L4432-B4432)</f>
        <v/>
      </c>
      <c r="O4432">
        <f>IF(L4432="", "Pending", IF(N4432&lt;=30, "Met", "Breached"))</f>
        <v/>
      </c>
      <c r="P4432" s="8" t="n"/>
      <c r="Q4432" s="8" t="n"/>
      <c r="R4432" s="8" t="n"/>
      <c r="S4432" s="8" t="n"/>
      <c r="T4432" s="8" t="n"/>
      <c r="U4432" s="8" t="n"/>
      <c r="V4432" s="8" t="n"/>
      <c r="W4432" s="8" t="n"/>
      <c r="X4432" s="8" t="n"/>
      <c r="Y4432" s="8" t="n"/>
    </row>
    <row r="4433">
      <c r="A4433" s="8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9">
        <f>B4433+30</f>
        <v/>
      </c>
      <c r="N4433">
        <f>IF(L4433="", "", L4433-B4433)</f>
        <v/>
      </c>
      <c r="O4433">
        <f>IF(L4433="", "Pending", IF(N4433&lt;=30, "Met", "Breached"))</f>
        <v/>
      </c>
      <c r="P4433" s="8" t="n"/>
      <c r="Q4433" s="8" t="n"/>
      <c r="R4433" s="8" t="n"/>
      <c r="S4433" s="8" t="n"/>
      <c r="T4433" s="8" t="n"/>
      <c r="U4433" s="8" t="n"/>
      <c r="V4433" s="8" t="n"/>
      <c r="W4433" s="8" t="n"/>
      <c r="X4433" s="8" t="n"/>
      <c r="Y4433" s="8" t="n"/>
    </row>
    <row r="4434">
      <c r="A4434" s="8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9">
        <f>B4434+30</f>
        <v/>
      </c>
      <c r="N4434">
        <f>IF(L4434="", "", L4434-B4434)</f>
        <v/>
      </c>
      <c r="O4434">
        <f>IF(L4434="", "Pending", IF(N4434&lt;=30, "Met", "Breached"))</f>
        <v/>
      </c>
      <c r="P4434" s="8" t="n"/>
      <c r="Q4434" s="8" t="n"/>
      <c r="R4434" s="8" t="n"/>
      <c r="S4434" s="8" t="n"/>
      <c r="T4434" s="8" t="n"/>
      <c r="U4434" s="8" t="n"/>
      <c r="V4434" s="8" t="n"/>
      <c r="W4434" s="8" t="n"/>
      <c r="X4434" s="8" t="n"/>
      <c r="Y4434" s="8" t="n"/>
    </row>
    <row r="4435">
      <c r="A4435" s="8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9">
        <f>B4435+30</f>
        <v/>
      </c>
      <c r="N4435">
        <f>IF(L4435="", "", L4435-B4435)</f>
        <v/>
      </c>
      <c r="O4435">
        <f>IF(L4435="", "Pending", IF(N4435&lt;=30, "Met", "Breached"))</f>
        <v/>
      </c>
      <c r="P4435" s="8" t="n"/>
      <c r="Q4435" s="8" t="n"/>
      <c r="R4435" s="8" t="n"/>
      <c r="S4435" s="8" t="n"/>
      <c r="T4435" s="8" t="n"/>
      <c r="U4435" s="8" t="n"/>
      <c r="V4435" s="8" t="n"/>
      <c r="W4435" s="8" t="n"/>
      <c r="X4435" s="8" t="n"/>
      <c r="Y4435" s="8" t="n"/>
    </row>
    <row r="4436">
      <c r="A4436" s="8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9">
        <f>B4436+30</f>
        <v/>
      </c>
      <c r="N4436">
        <f>IF(L4436="", "", L4436-B4436)</f>
        <v/>
      </c>
      <c r="O4436">
        <f>IF(L4436="", "Pending", IF(N4436&lt;=30, "Met", "Breached"))</f>
        <v/>
      </c>
      <c r="P4436" s="8" t="n"/>
      <c r="Q4436" s="8" t="n"/>
      <c r="R4436" s="8" t="n"/>
      <c r="S4436" s="8" t="n"/>
      <c r="T4436" s="8" t="n"/>
      <c r="U4436" s="8" t="n"/>
      <c r="V4436" s="8" t="n"/>
      <c r="W4436" s="8" t="n"/>
      <c r="X4436" s="8" t="n"/>
      <c r="Y4436" s="8" t="n"/>
    </row>
    <row r="4437">
      <c r="A4437" s="8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9">
        <f>B4437+30</f>
        <v/>
      </c>
      <c r="N4437">
        <f>IF(L4437="", "", L4437-B4437)</f>
        <v/>
      </c>
      <c r="O4437">
        <f>IF(L4437="", "Pending", IF(N4437&lt;=30, "Met", "Breached"))</f>
        <v/>
      </c>
      <c r="P4437" s="8" t="n"/>
      <c r="Q4437" s="8" t="n"/>
      <c r="R4437" s="8" t="n"/>
      <c r="S4437" s="8" t="n"/>
      <c r="T4437" s="8" t="n"/>
      <c r="U4437" s="8" t="n"/>
      <c r="V4437" s="8" t="n"/>
      <c r="W4437" s="8" t="n"/>
      <c r="X4437" s="8" t="n"/>
      <c r="Y4437" s="8" t="n"/>
    </row>
    <row r="4438">
      <c r="A4438" s="8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9">
        <f>B4438+30</f>
        <v/>
      </c>
      <c r="N4438">
        <f>IF(L4438="", "", L4438-B4438)</f>
        <v/>
      </c>
      <c r="O4438">
        <f>IF(L4438="", "Pending", IF(N4438&lt;=30, "Met", "Breached"))</f>
        <v/>
      </c>
      <c r="P4438" s="8" t="n"/>
      <c r="Q4438" s="8" t="n"/>
      <c r="R4438" s="8" t="n"/>
      <c r="S4438" s="8" t="n"/>
      <c r="T4438" s="8" t="n"/>
      <c r="U4438" s="8" t="n"/>
      <c r="V4438" s="8" t="n"/>
      <c r="W4438" s="8" t="n"/>
      <c r="X4438" s="8" t="n"/>
      <c r="Y4438" s="8" t="n"/>
    </row>
    <row r="4439">
      <c r="A4439" s="8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9">
        <f>B4439+30</f>
        <v/>
      </c>
      <c r="N4439">
        <f>IF(L4439="", "", L4439-B4439)</f>
        <v/>
      </c>
      <c r="O4439">
        <f>IF(L4439="", "Pending", IF(N4439&lt;=30, "Met", "Breached"))</f>
        <v/>
      </c>
      <c r="P4439" s="8" t="n"/>
      <c r="Q4439" s="8" t="n"/>
      <c r="R4439" s="8" t="n"/>
      <c r="S4439" s="8" t="n"/>
      <c r="T4439" s="8" t="n"/>
      <c r="U4439" s="8" t="n"/>
      <c r="V4439" s="8" t="n"/>
      <c r="W4439" s="8" t="n"/>
      <c r="X4439" s="8" t="n"/>
      <c r="Y4439" s="8" t="n"/>
    </row>
    <row r="4440">
      <c r="A4440" s="8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9">
        <f>B4440+30</f>
        <v/>
      </c>
      <c r="N4440">
        <f>IF(L4440="", "", L4440-B4440)</f>
        <v/>
      </c>
      <c r="O4440">
        <f>IF(L4440="", "Pending", IF(N4440&lt;=30, "Met", "Breached"))</f>
        <v/>
      </c>
      <c r="P4440" s="8" t="n"/>
      <c r="Q4440" s="8" t="n"/>
      <c r="R4440" s="8" t="n"/>
      <c r="S4440" s="8" t="n"/>
      <c r="T4440" s="8" t="n"/>
      <c r="U4440" s="8" t="n"/>
      <c r="V4440" s="8" t="n"/>
      <c r="W4440" s="8" t="n"/>
      <c r="X4440" s="8" t="n"/>
      <c r="Y4440" s="8" t="n"/>
    </row>
    <row r="4441">
      <c r="A4441" s="8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9">
        <f>B4441+30</f>
        <v/>
      </c>
      <c r="N4441">
        <f>IF(L4441="", "", L4441-B4441)</f>
        <v/>
      </c>
      <c r="O4441">
        <f>IF(L4441="", "Pending", IF(N4441&lt;=30, "Met", "Breached"))</f>
        <v/>
      </c>
      <c r="P4441" s="8" t="n"/>
      <c r="Q4441" s="8" t="n"/>
      <c r="R4441" s="8" t="n"/>
      <c r="S4441" s="8" t="n"/>
      <c r="T4441" s="8" t="n"/>
      <c r="U4441" s="8" t="n"/>
      <c r="V4441" s="8" t="n"/>
      <c r="W4441" s="8" t="n"/>
      <c r="X4441" s="8" t="n"/>
      <c r="Y4441" s="8" t="n"/>
    </row>
    <row r="4442">
      <c r="A4442" s="8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9">
        <f>B4442+30</f>
        <v/>
      </c>
      <c r="N4442">
        <f>IF(L4442="", "", L4442-B4442)</f>
        <v/>
      </c>
      <c r="O4442">
        <f>IF(L4442="", "Pending", IF(N4442&lt;=30, "Met", "Breached"))</f>
        <v/>
      </c>
      <c r="P4442" s="8" t="n"/>
      <c r="Q4442" s="8" t="n"/>
      <c r="R4442" s="8" t="n"/>
      <c r="S4442" s="8" t="n"/>
      <c r="T4442" s="8" t="n"/>
      <c r="U4442" s="8" t="n"/>
      <c r="V4442" s="8" t="n"/>
      <c r="W4442" s="8" t="n"/>
      <c r="X4442" s="8" t="n"/>
      <c r="Y4442" s="8" t="n"/>
    </row>
    <row r="4443">
      <c r="A4443" s="8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9">
        <f>B4443+30</f>
        <v/>
      </c>
      <c r="N4443">
        <f>IF(L4443="", "", L4443-B4443)</f>
        <v/>
      </c>
      <c r="O4443">
        <f>IF(L4443="", "Pending", IF(N4443&lt;=30, "Met", "Breached"))</f>
        <v/>
      </c>
      <c r="P4443" s="8" t="n"/>
      <c r="Q4443" s="8" t="n"/>
      <c r="R4443" s="8" t="n"/>
      <c r="S4443" s="8" t="n"/>
      <c r="T4443" s="8" t="n"/>
      <c r="U4443" s="8" t="n"/>
      <c r="V4443" s="8" t="n"/>
      <c r="W4443" s="8" t="n"/>
      <c r="X4443" s="8" t="n"/>
      <c r="Y4443" s="8" t="n"/>
    </row>
    <row r="4444">
      <c r="A4444" s="8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9">
        <f>B4444+30</f>
        <v/>
      </c>
      <c r="N4444">
        <f>IF(L4444="", "", L4444-B4444)</f>
        <v/>
      </c>
      <c r="O4444">
        <f>IF(L4444="", "Pending", IF(N4444&lt;=30, "Met", "Breached"))</f>
        <v/>
      </c>
      <c r="P4444" s="8" t="n"/>
      <c r="Q4444" s="8" t="n"/>
      <c r="R4444" s="8" t="n"/>
      <c r="S4444" s="8" t="n"/>
      <c r="T4444" s="8" t="n"/>
      <c r="U4444" s="8" t="n"/>
      <c r="V4444" s="8" t="n"/>
      <c r="W4444" s="8" t="n"/>
      <c r="X4444" s="8" t="n"/>
      <c r="Y4444" s="8" t="n"/>
    </row>
    <row r="4445">
      <c r="A4445" s="8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9">
        <f>B4445+30</f>
        <v/>
      </c>
      <c r="N4445">
        <f>IF(L4445="", "", L4445-B4445)</f>
        <v/>
      </c>
      <c r="O4445">
        <f>IF(L4445="", "Pending", IF(N4445&lt;=30, "Met", "Breached"))</f>
        <v/>
      </c>
      <c r="P4445" s="8" t="n"/>
      <c r="Q4445" s="8" t="n"/>
      <c r="R4445" s="8" t="n"/>
      <c r="S4445" s="8" t="n"/>
      <c r="T4445" s="8" t="n"/>
      <c r="U4445" s="8" t="n"/>
      <c r="V4445" s="8" t="n"/>
      <c r="W4445" s="8" t="n"/>
      <c r="X4445" s="8" t="n"/>
      <c r="Y4445" s="8" t="n"/>
    </row>
    <row r="4446">
      <c r="A4446" s="8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9">
        <f>B4446+30</f>
        <v/>
      </c>
      <c r="N4446">
        <f>IF(L4446="", "", L4446-B4446)</f>
        <v/>
      </c>
      <c r="O4446">
        <f>IF(L4446="", "Pending", IF(N4446&lt;=30, "Met", "Breached"))</f>
        <v/>
      </c>
      <c r="P4446" s="8" t="n"/>
      <c r="Q4446" s="8" t="n"/>
      <c r="R4446" s="8" t="n"/>
      <c r="S4446" s="8" t="n"/>
      <c r="T4446" s="8" t="n"/>
      <c r="U4446" s="8" t="n"/>
      <c r="V4446" s="8" t="n"/>
      <c r="W4446" s="8" t="n"/>
      <c r="X4446" s="8" t="n"/>
      <c r="Y4446" s="8" t="n"/>
    </row>
    <row r="4447">
      <c r="A4447" s="8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9">
        <f>B4447+30</f>
        <v/>
      </c>
      <c r="N4447">
        <f>IF(L4447="", "", L4447-B4447)</f>
        <v/>
      </c>
      <c r="O4447">
        <f>IF(L4447="", "Pending", IF(N4447&lt;=30, "Met", "Breached"))</f>
        <v/>
      </c>
      <c r="P4447" s="8" t="n"/>
      <c r="Q4447" s="8" t="n"/>
      <c r="R4447" s="8" t="n"/>
      <c r="S4447" s="8" t="n"/>
      <c r="T4447" s="8" t="n"/>
      <c r="U4447" s="8" t="n"/>
      <c r="V4447" s="8" t="n"/>
      <c r="W4447" s="8" t="n"/>
      <c r="X4447" s="8" t="n"/>
      <c r="Y4447" s="8" t="n"/>
    </row>
    <row r="4448">
      <c r="A4448" s="8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9">
        <f>B4448+30</f>
        <v/>
      </c>
      <c r="N4448">
        <f>IF(L4448="", "", L4448-B4448)</f>
        <v/>
      </c>
      <c r="O4448">
        <f>IF(L4448="", "Pending", IF(N4448&lt;=30, "Met", "Breached"))</f>
        <v/>
      </c>
      <c r="P4448" s="8" t="n"/>
      <c r="Q4448" s="8" t="n"/>
      <c r="R4448" s="8" t="n"/>
      <c r="S4448" s="8" t="n"/>
      <c r="T4448" s="8" t="n"/>
      <c r="U4448" s="8" t="n"/>
      <c r="V4448" s="8" t="n"/>
      <c r="W4448" s="8" t="n"/>
      <c r="X4448" s="8" t="n"/>
      <c r="Y4448" s="8" t="n"/>
    </row>
    <row r="4449">
      <c r="A4449" s="8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9">
        <f>B4449+30</f>
        <v/>
      </c>
      <c r="N4449">
        <f>IF(L4449="", "", L4449-B4449)</f>
        <v/>
      </c>
      <c r="O4449">
        <f>IF(L4449="", "Pending", IF(N4449&lt;=30, "Met", "Breached"))</f>
        <v/>
      </c>
      <c r="P4449" s="8" t="n"/>
      <c r="Q4449" s="8" t="n"/>
      <c r="R4449" s="8" t="n"/>
      <c r="S4449" s="8" t="n"/>
      <c r="T4449" s="8" t="n"/>
      <c r="U4449" s="8" t="n"/>
      <c r="V4449" s="8" t="n"/>
      <c r="W4449" s="8" t="n"/>
      <c r="X4449" s="8" t="n"/>
      <c r="Y4449" s="8" t="n"/>
    </row>
    <row r="4450">
      <c r="A4450" s="8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9">
        <f>B4450+30</f>
        <v/>
      </c>
      <c r="N4450">
        <f>IF(L4450="", "", L4450-B4450)</f>
        <v/>
      </c>
      <c r="O4450">
        <f>IF(L4450="", "Pending", IF(N4450&lt;=30, "Met", "Breached"))</f>
        <v/>
      </c>
      <c r="P4450" s="8" t="n"/>
      <c r="Q4450" s="8" t="n"/>
      <c r="R4450" s="8" t="n"/>
      <c r="S4450" s="8" t="n"/>
      <c r="T4450" s="8" t="n"/>
      <c r="U4450" s="8" t="n"/>
      <c r="V4450" s="8" t="n"/>
      <c r="W4450" s="8" t="n"/>
      <c r="X4450" s="8" t="n"/>
      <c r="Y4450" s="8" t="n"/>
    </row>
    <row r="4451">
      <c r="A4451" s="8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9">
        <f>B4451+30</f>
        <v/>
      </c>
      <c r="N4451">
        <f>IF(L4451="", "", L4451-B4451)</f>
        <v/>
      </c>
      <c r="O4451">
        <f>IF(L4451="", "Pending", IF(N4451&lt;=30, "Met", "Breached"))</f>
        <v/>
      </c>
      <c r="P4451" s="8" t="n"/>
      <c r="Q4451" s="8" t="n"/>
      <c r="R4451" s="8" t="n"/>
      <c r="S4451" s="8" t="n"/>
      <c r="T4451" s="8" t="n"/>
      <c r="U4451" s="8" t="n"/>
      <c r="V4451" s="8" t="n"/>
      <c r="W4451" s="8" t="n"/>
      <c r="X4451" s="8" t="n"/>
      <c r="Y4451" s="8" t="n"/>
    </row>
    <row r="4452">
      <c r="A4452" s="8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9">
        <f>B4452+30</f>
        <v/>
      </c>
      <c r="N4452">
        <f>IF(L4452="", "", L4452-B4452)</f>
        <v/>
      </c>
      <c r="O4452">
        <f>IF(L4452="", "Pending", IF(N4452&lt;=30, "Met", "Breached"))</f>
        <v/>
      </c>
      <c r="P4452" s="8" t="n"/>
      <c r="Q4452" s="8" t="n"/>
      <c r="R4452" s="8" t="n"/>
      <c r="S4452" s="8" t="n"/>
      <c r="T4452" s="8" t="n"/>
      <c r="U4452" s="8" t="n"/>
      <c r="V4452" s="8" t="n"/>
      <c r="W4452" s="8" t="n"/>
      <c r="X4452" s="8" t="n"/>
      <c r="Y4452" s="8" t="n"/>
    </row>
    <row r="4453">
      <c r="A4453" s="8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9">
        <f>B4453+30</f>
        <v/>
      </c>
      <c r="N4453">
        <f>IF(L4453="", "", L4453-B4453)</f>
        <v/>
      </c>
      <c r="O4453">
        <f>IF(L4453="", "Pending", IF(N4453&lt;=30, "Met", "Breached"))</f>
        <v/>
      </c>
      <c r="P4453" s="8" t="n"/>
      <c r="Q4453" s="8" t="n"/>
      <c r="R4453" s="8" t="n"/>
      <c r="S4453" s="8" t="n"/>
      <c r="T4453" s="8" t="n"/>
      <c r="U4453" s="8" t="n"/>
      <c r="V4453" s="8" t="n"/>
      <c r="W4453" s="8" t="n"/>
      <c r="X4453" s="8" t="n"/>
      <c r="Y4453" s="8" t="n"/>
    </row>
    <row r="4454">
      <c r="A4454" s="8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9">
        <f>B4454+30</f>
        <v/>
      </c>
      <c r="N4454">
        <f>IF(L4454="", "", L4454-B4454)</f>
        <v/>
      </c>
      <c r="O4454">
        <f>IF(L4454="", "Pending", IF(N4454&lt;=30, "Met", "Breached"))</f>
        <v/>
      </c>
      <c r="P4454" s="8" t="n"/>
      <c r="Q4454" s="8" t="n"/>
      <c r="R4454" s="8" t="n"/>
      <c r="S4454" s="8" t="n"/>
      <c r="T4454" s="8" t="n"/>
      <c r="U4454" s="8" t="n"/>
      <c r="V4454" s="8" t="n"/>
      <c r="W4454" s="8" t="n"/>
      <c r="X4454" s="8" t="n"/>
      <c r="Y4454" s="8" t="n"/>
    </row>
    <row r="4455">
      <c r="A4455" s="8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9">
        <f>B4455+30</f>
        <v/>
      </c>
      <c r="N4455">
        <f>IF(L4455="", "", L4455-B4455)</f>
        <v/>
      </c>
      <c r="O4455">
        <f>IF(L4455="", "Pending", IF(N4455&lt;=30, "Met", "Breached"))</f>
        <v/>
      </c>
      <c r="P4455" s="8" t="n"/>
      <c r="Q4455" s="8" t="n"/>
      <c r="R4455" s="8" t="n"/>
      <c r="S4455" s="8" t="n"/>
      <c r="T4455" s="8" t="n"/>
      <c r="U4455" s="8" t="n"/>
      <c r="V4455" s="8" t="n"/>
      <c r="W4455" s="8" t="n"/>
      <c r="X4455" s="8" t="n"/>
      <c r="Y4455" s="8" t="n"/>
    </row>
    <row r="4456">
      <c r="A4456" s="8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9">
        <f>B4456+30</f>
        <v/>
      </c>
      <c r="N4456">
        <f>IF(L4456="", "", L4456-B4456)</f>
        <v/>
      </c>
      <c r="O4456">
        <f>IF(L4456="", "Pending", IF(N4456&lt;=30, "Met", "Breached"))</f>
        <v/>
      </c>
      <c r="P4456" s="8" t="n"/>
      <c r="Q4456" s="8" t="n"/>
      <c r="R4456" s="8" t="n"/>
      <c r="S4456" s="8" t="n"/>
      <c r="T4456" s="8" t="n"/>
      <c r="U4456" s="8" t="n"/>
      <c r="V4456" s="8" t="n"/>
      <c r="W4456" s="8" t="n"/>
      <c r="X4456" s="8" t="n"/>
      <c r="Y4456" s="8" t="n"/>
    </row>
    <row r="4457">
      <c r="A4457" s="8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9">
        <f>B4457+30</f>
        <v/>
      </c>
      <c r="N4457">
        <f>IF(L4457="", "", L4457-B4457)</f>
        <v/>
      </c>
      <c r="O4457">
        <f>IF(L4457="", "Pending", IF(N4457&lt;=30, "Met", "Breached"))</f>
        <v/>
      </c>
      <c r="P4457" s="8" t="n"/>
      <c r="Q4457" s="8" t="n"/>
      <c r="R4457" s="8" t="n"/>
      <c r="S4457" s="8" t="n"/>
      <c r="T4457" s="8" t="n"/>
      <c r="U4457" s="8" t="n"/>
      <c r="V4457" s="8" t="n"/>
      <c r="W4457" s="8" t="n"/>
      <c r="X4457" s="8" t="n"/>
      <c r="Y4457" s="8" t="n"/>
    </row>
    <row r="4458">
      <c r="A4458" s="8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9">
        <f>B4458+30</f>
        <v/>
      </c>
      <c r="N4458">
        <f>IF(L4458="", "", L4458-B4458)</f>
        <v/>
      </c>
      <c r="O4458">
        <f>IF(L4458="", "Pending", IF(N4458&lt;=30, "Met", "Breached"))</f>
        <v/>
      </c>
      <c r="P4458" s="8" t="n"/>
      <c r="Q4458" s="8" t="n"/>
      <c r="R4458" s="8" t="n"/>
      <c r="S4458" s="8" t="n"/>
      <c r="T4458" s="8" t="n"/>
      <c r="U4458" s="8" t="n"/>
      <c r="V4458" s="8" t="n"/>
      <c r="W4458" s="8" t="n"/>
      <c r="X4458" s="8" t="n"/>
      <c r="Y4458" s="8" t="n"/>
    </row>
    <row r="4459">
      <c r="A4459" s="8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9">
        <f>B4459+30</f>
        <v/>
      </c>
      <c r="N4459">
        <f>IF(L4459="", "", L4459-B4459)</f>
        <v/>
      </c>
      <c r="O4459">
        <f>IF(L4459="", "Pending", IF(N4459&lt;=30, "Met", "Breached"))</f>
        <v/>
      </c>
      <c r="P4459" s="8" t="n"/>
      <c r="Q4459" s="8" t="n"/>
      <c r="R4459" s="8" t="n"/>
      <c r="S4459" s="8" t="n"/>
      <c r="T4459" s="8" t="n"/>
      <c r="U4459" s="8" t="n"/>
      <c r="V4459" s="8" t="n"/>
      <c r="W4459" s="8" t="n"/>
      <c r="X4459" s="8" t="n"/>
      <c r="Y4459" s="8" t="n"/>
    </row>
    <row r="4460">
      <c r="A4460" s="8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9">
        <f>B4460+30</f>
        <v/>
      </c>
      <c r="N4460">
        <f>IF(L4460="", "", L4460-B4460)</f>
        <v/>
      </c>
      <c r="O4460">
        <f>IF(L4460="", "Pending", IF(N4460&lt;=30, "Met", "Breached"))</f>
        <v/>
      </c>
      <c r="P4460" s="8" t="n"/>
      <c r="Q4460" s="8" t="n"/>
      <c r="R4460" s="8" t="n"/>
      <c r="S4460" s="8" t="n"/>
      <c r="T4460" s="8" t="n"/>
      <c r="U4460" s="8" t="n"/>
      <c r="V4460" s="8" t="n"/>
      <c r="W4460" s="8" t="n"/>
      <c r="X4460" s="8" t="n"/>
      <c r="Y4460" s="8" t="n"/>
    </row>
    <row r="4461">
      <c r="A4461" s="8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9">
        <f>B4461+30</f>
        <v/>
      </c>
      <c r="N4461">
        <f>IF(L4461="", "", L4461-B4461)</f>
        <v/>
      </c>
      <c r="O4461">
        <f>IF(L4461="", "Pending", IF(N4461&lt;=30, "Met", "Breached"))</f>
        <v/>
      </c>
      <c r="P4461" s="8" t="n"/>
      <c r="Q4461" s="8" t="n"/>
      <c r="R4461" s="8" t="n"/>
      <c r="S4461" s="8" t="n"/>
      <c r="T4461" s="8" t="n"/>
      <c r="U4461" s="8" t="n"/>
      <c r="V4461" s="8" t="n"/>
      <c r="W4461" s="8" t="n"/>
      <c r="X4461" s="8" t="n"/>
      <c r="Y4461" s="8" t="n"/>
    </row>
    <row r="4462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9">
        <f>B4462+30</f>
        <v/>
      </c>
      <c r="N4462">
        <f>IF(L4462="", "", L4462-B4462)</f>
        <v/>
      </c>
      <c r="O4462">
        <f>IF(L4462="", "Pending", IF(N4462&lt;=30, "Met", "Breached"))</f>
        <v/>
      </c>
      <c r="P4462" s="8" t="n"/>
      <c r="Q4462" s="8" t="n"/>
      <c r="R4462" s="8" t="n"/>
      <c r="S4462" s="8" t="n"/>
      <c r="T4462" s="8" t="n"/>
      <c r="U4462" s="8" t="n"/>
      <c r="V4462" s="8" t="n"/>
      <c r="W4462" s="8" t="n"/>
      <c r="X4462" s="8" t="n"/>
      <c r="Y4462" s="8" t="n"/>
    </row>
    <row r="4463">
      <c r="A4463" s="8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9">
        <f>B4463+30</f>
        <v/>
      </c>
      <c r="N4463">
        <f>IF(L4463="", "", L4463-B4463)</f>
        <v/>
      </c>
      <c r="O4463">
        <f>IF(L4463="", "Pending", IF(N4463&lt;=30, "Met", "Breached"))</f>
        <v/>
      </c>
      <c r="P4463" s="8" t="n"/>
      <c r="Q4463" s="8" t="n"/>
      <c r="R4463" s="8" t="n"/>
      <c r="S4463" s="8" t="n"/>
      <c r="T4463" s="8" t="n"/>
      <c r="U4463" s="8" t="n"/>
      <c r="V4463" s="8" t="n"/>
      <c r="W4463" s="8" t="n"/>
      <c r="X4463" s="8" t="n"/>
      <c r="Y4463" s="8" t="n"/>
    </row>
    <row r="4464">
      <c r="A4464" s="8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9">
        <f>B4464+30</f>
        <v/>
      </c>
      <c r="N4464">
        <f>IF(L4464="", "", L4464-B4464)</f>
        <v/>
      </c>
      <c r="O4464">
        <f>IF(L4464="", "Pending", IF(N4464&lt;=30, "Met", "Breached"))</f>
        <v/>
      </c>
      <c r="P4464" s="8" t="n"/>
      <c r="Q4464" s="8" t="n"/>
      <c r="R4464" s="8" t="n"/>
      <c r="S4464" s="8" t="n"/>
      <c r="T4464" s="8" t="n"/>
      <c r="U4464" s="8" t="n"/>
      <c r="V4464" s="8" t="n"/>
      <c r="W4464" s="8" t="n"/>
      <c r="X4464" s="8" t="n"/>
      <c r="Y4464" s="8" t="n"/>
    </row>
    <row r="4465">
      <c r="A4465" s="8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9">
        <f>B4465+30</f>
        <v/>
      </c>
      <c r="N4465">
        <f>IF(L4465="", "", L4465-B4465)</f>
        <v/>
      </c>
      <c r="O4465">
        <f>IF(L4465="", "Pending", IF(N4465&lt;=30, "Met", "Breached"))</f>
        <v/>
      </c>
      <c r="P4465" s="8" t="n"/>
      <c r="Q4465" s="8" t="n"/>
      <c r="R4465" s="8" t="n"/>
      <c r="S4465" s="8" t="n"/>
      <c r="T4465" s="8" t="n"/>
      <c r="U4465" s="8" t="n"/>
      <c r="V4465" s="8" t="n"/>
      <c r="W4465" s="8" t="n"/>
      <c r="X4465" s="8" t="n"/>
      <c r="Y4465" s="8" t="n"/>
    </row>
    <row r="4466">
      <c r="A4466" s="8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9">
        <f>B4466+30</f>
        <v/>
      </c>
      <c r="N4466">
        <f>IF(L4466="", "", L4466-B4466)</f>
        <v/>
      </c>
      <c r="O4466">
        <f>IF(L4466="", "Pending", IF(N4466&lt;=30, "Met", "Breached"))</f>
        <v/>
      </c>
      <c r="P4466" s="8" t="n"/>
      <c r="Q4466" s="8" t="n"/>
      <c r="R4466" s="8" t="n"/>
      <c r="S4466" s="8" t="n"/>
      <c r="T4466" s="8" t="n"/>
      <c r="U4466" s="8" t="n"/>
      <c r="V4466" s="8" t="n"/>
      <c r="W4466" s="8" t="n"/>
      <c r="X4466" s="8" t="n"/>
      <c r="Y4466" s="8" t="n"/>
    </row>
    <row r="4467">
      <c r="A4467" s="8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9">
        <f>B4467+30</f>
        <v/>
      </c>
      <c r="N4467">
        <f>IF(L4467="", "", L4467-B4467)</f>
        <v/>
      </c>
      <c r="O4467">
        <f>IF(L4467="", "Pending", IF(N4467&lt;=30, "Met", "Breached"))</f>
        <v/>
      </c>
      <c r="P4467" s="8" t="n"/>
      <c r="Q4467" s="8" t="n"/>
      <c r="R4467" s="8" t="n"/>
      <c r="S4467" s="8" t="n"/>
      <c r="T4467" s="8" t="n"/>
      <c r="U4467" s="8" t="n"/>
      <c r="V4467" s="8" t="n"/>
      <c r="W4467" s="8" t="n"/>
      <c r="X4467" s="8" t="n"/>
      <c r="Y4467" s="8" t="n"/>
    </row>
    <row r="4468">
      <c r="A4468" s="8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9">
        <f>B4468+30</f>
        <v/>
      </c>
      <c r="N4468">
        <f>IF(L4468="", "", L4468-B4468)</f>
        <v/>
      </c>
      <c r="O4468">
        <f>IF(L4468="", "Pending", IF(N4468&lt;=30, "Met", "Breached"))</f>
        <v/>
      </c>
      <c r="P4468" s="8" t="n"/>
      <c r="Q4468" s="8" t="n"/>
      <c r="R4468" s="8" t="n"/>
      <c r="S4468" s="8" t="n"/>
      <c r="T4468" s="8" t="n"/>
      <c r="U4468" s="8" t="n"/>
      <c r="V4468" s="8" t="n"/>
      <c r="W4468" s="8" t="n"/>
      <c r="X4468" s="8" t="n"/>
      <c r="Y4468" s="8" t="n"/>
    </row>
    <row r="4469">
      <c r="A4469" s="8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9">
        <f>B4469+30</f>
        <v/>
      </c>
      <c r="N4469">
        <f>IF(L4469="", "", L4469-B4469)</f>
        <v/>
      </c>
      <c r="O4469">
        <f>IF(L4469="", "Pending", IF(N4469&lt;=30, "Met", "Breached"))</f>
        <v/>
      </c>
      <c r="P4469" s="8" t="n"/>
      <c r="Q4469" s="8" t="n"/>
      <c r="R4469" s="8" t="n"/>
      <c r="S4469" s="8" t="n"/>
      <c r="T4469" s="8" t="n"/>
      <c r="U4469" s="8" t="n"/>
      <c r="V4469" s="8" t="n"/>
      <c r="W4469" s="8" t="n"/>
      <c r="X4469" s="8" t="n"/>
      <c r="Y4469" s="8" t="n"/>
    </row>
    <row r="4470">
      <c r="A4470" s="8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9">
        <f>B4470+30</f>
        <v/>
      </c>
      <c r="N4470">
        <f>IF(L4470="", "", L4470-B4470)</f>
        <v/>
      </c>
      <c r="O4470">
        <f>IF(L4470="", "Pending", IF(N4470&lt;=30, "Met", "Breached"))</f>
        <v/>
      </c>
      <c r="P4470" s="8" t="n"/>
      <c r="Q4470" s="8" t="n"/>
      <c r="R4470" s="8" t="n"/>
      <c r="S4470" s="8" t="n"/>
      <c r="T4470" s="8" t="n"/>
      <c r="U4470" s="8" t="n"/>
      <c r="V4470" s="8" t="n"/>
      <c r="W4470" s="8" t="n"/>
      <c r="X4470" s="8" t="n"/>
      <c r="Y4470" s="8" t="n"/>
    </row>
    <row r="4471">
      <c r="A4471" s="8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9">
        <f>B4471+30</f>
        <v/>
      </c>
      <c r="N4471">
        <f>IF(L4471="", "", L4471-B4471)</f>
        <v/>
      </c>
      <c r="O4471">
        <f>IF(L4471="", "Pending", IF(N4471&lt;=30, "Met", "Breached"))</f>
        <v/>
      </c>
      <c r="P4471" s="8" t="n"/>
      <c r="Q4471" s="8" t="n"/>
      <c r="R4471" s="8" t="n"/>
      <c r="S4471" s="8" t="n"/>
      <c r="T4471" s="8" t="n"/>
      <c r="U4471" s="8" t="n"/>
      <c r="V4471" s="8" t="n"/>
      <c r="W4471" s="8" t="n"/>
      <c r="X4471" s="8" t="n"/>
      <c r="Y4471" s="8" t="n"/>
    </row>
    <row r="4472">
      <c r="A4472" s="8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9">
        <f>B4472+30</f>
        <v/>
      </c>
      <c r="N4472">
        <f>IF(L4472="", "", L4472-B4472)</f>
        <v/>
      </c>
      <c r="O4472">
        <f>IF(L4472="", "Pending", IF(N4472&lt;=30, "Met", "Breached"))</f>
        <v/>
      </c>
      <c r="P4472" s="8" t="n"/>
      <c r="Q4472" s="8" t="n"/>
      <c r="R4472" s="8" t="n"/>
      <c r="S4472" s="8" t="n"/>
      <c r="T4472" s="8" t="n"/>
      <c r="U4472" s="8" t="n"/>
      <c r="V4472" s="8" t="n"/>
      <c r="W4472" s="8" t="n"/>
      <c r="X4472" s="8" t="n"/>
      <c r="Y4472" s="8" t="n"/>
    </row>
    <row r="4473">
      <c r="A4473" s="8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9">
        <f>B4473+30</f>
        <v/>
      </c>
      <c r="N4473">
        <f>IF(L4473="", "", L4473-B4473)</f>
        <v/>
      </c>
      <c r="O4473">
        <f>IF(L4473="", "Pending", IF(N4473&lt;=30, "Met", "Breached"))</f>
        <v/>
      </c>
      <c r="P4473" s="8" t="n"/>
      <c r="Q4473" s="8" t="n"/>
      <c r="R4473" s="8" t="n"/>
      <c r="S4473" s="8" t="n"/>
      <c r="T4473" s="8" t="n"/>
      <c r="U4473" s="8" t="n"/>
      <c r="V4473" s="8" t="n"/>
      <c r="W4473" s="8" t="n"/>
      <c r="X4473" s="8" t="n"/>
      <c r="Y4473" s="8" t="n"/>
    </row>
    <row r="4474">
      <c r="A4474" s="8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9">
        <f>B4474+30</f>
        <v/>
      </c>
      <c r="N4474">
        <f>IF(L4474="", "", L4474-B4474)</f>
        <v/>
      </c>
      <c r="O4474">
        <f>IF(L4474="", "Pending", IF(N4474&lt;=30, "Met", "Breached"))</f>
        <v/>
      </c>
      <c r="P4474" s="8" t="n"/>
      <c r="Q4474" s="8" t="n"/>
      <c r="R4474" s="8" t="n"/>
      <c r="S4474" s="8" t="n"/>
      <c r="T4474" s="8" t="n"/>
      <c r="U4474" s="8" t="n"/>
      <c r="V4474" s="8" t="n"/>
      <c r="W4474" s="8" t="n"/>
      <c r="X4474" s="8" t="n"/>
      <c r="Y4474" s="8" t="n"/>
    </row>
    <row r="4475">
      <c r="A4475" s="8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9">
        <f>B4475+30</f>
        <v/>
      </c>
      <c r="N4475">
        <f>IF(L4475="", "", L4475-B4475)</f>
        <v/>
      </c>
      <c r="O4475">
        <f>IF(L4475="", "Pending", IF(N4475&lt;=30, "Met", "Breached"))</f>
        <v/>
      </c>
      <c r="P4475" s="8" t="n"/>
      <c r="Q4475" s="8" t="n"/>
      <c r="R4475" s="8" t="n"/>
      <c r="S4475" s="8" t="n"/>
      <c r="T4475" s="8" t="n"/>
      <c r="U4475" s="8" t="n"/>
      <c r="V4475" s="8" t="n"/>
      <c r="W4475" s="8" t="n"/>
      <c r="X4475" s="8" t="n"/>
      <c r="Y4475" s="8" t="n"/>
    </row>
    <row r="4476">
      <c r="A4476" s="8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9">
        <f>B4476+30</f>
        <v/>
      </c>
      <c r="N4476">
        <f>IF(L4476="", "", L4476-B4476)</f>
        <v/>
      </c>
      <c r="O4476">
        <f>IF(L4476="", "Pending", IF(N4476&lt;=30, "Met", "Breached"))</f>
        <v/>
      </c>
      <c r="P4476" s="8" t="n"/>
      <c r="Q4476" s="8" t="n"/>
      <c r="R4476" s="8" t="n"/>
      <c r="S4476" s="8" t="n"/>
      <c r="T4476" s="8" t="n"/>
      <c r="U4476" s="8" t="n"/>
      <c r="V4476" s="8" t="n"/>
      <c r="W4476" s="8" t="n"/>
      <c r="X4476" s="8" t="n"/>
      <c r="Y4476" s="8" t="n"/>
    </row>
    <row r="4477">
      <c r="A4477" s="8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9">
        <f>B4477+30</f>
        <v/>
      </c>
      <c r="N4477">
        <f>IF(L4477="", "", L4477-B4477)</f>
        <v/>
      </c>
      <c r="O4477">
        <f>IF(L4477="", "Pending", IF(N4477&lt;=30, "Met", "Breached"))</f>
        <v/>
      </c>
      <c r="P4477" s="8" t="n"/>
      <c r="Q4477" s="8" t="n"/>
      <c r="R4477" s="8" t="n"/>
      <c r="S4477" s="8" t="n"/>
      <c r="T4477" s="8" t="n"/>
      <c r="U4477" s="8" t="n"/>
      <c r="V4477" s="8" t="n"/>
      <c r="W4477" s="8" t="n"/>
      <c r="X4477" s="8" t="n"/>
      <c r="Y4477" s="8" t="n"/>
    </row>
    <row r="4478">
      <c r="A4478" s="8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9">
        <f>B4478+30</f>
        <v/>
      </c>
      <c r="N4478">
        <f>IF(L4478="", "", L4478-B4478)</f>
        <v/>
      </c>
      <c r="O4478">
        <f>IF(L4478="", "Pending", IF(N4478&lt;=30, "Met", "Breached"))</f>
        <v/>
      </c>
      <c r="P4478" s="8" t="n"/>
      <c r="Q4478" s="8" t="n"/>
      <c r="R4478" s="8" t="n"/>
      <c r="S4478" s="8" t="n"/>
      <c r="T4478" s="8" t="n"/>
      <c r="U4478" s="8" t="n"/>
      <c r="V4478" s="8" t="n"/>
      <c r="W4478" s="8" t="n"/>
      <c r="X4478" s="8" t="n"/>
      <c r="Y4478" s="8" t="n"/>
    </row>
    <row r="4479">
      <c r="A4479" s="8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9">
        <f>B4479+30</f>
        <v/>
      </c>
      <c r="N4479">
        <f>IF(L4479="", "", L4479-B4479)</f>
        <v/>
      </c>
      <c r="O4479">
        <f>IF(L4479="", "Pending", IF(N4479&lt;=30, "Met", "Breached"))</f>
        <v/>
      </c>
      <c r="P4479" s="8" t="n"/>
      <c r="Q4479" s="8" t="n"/>
      <c r="R4479" s="8" t="n"/>
      <c r="S4479" s="8" t="n"/>
      <c r="T4479" s="8" t="n"/>
      <c r="U4479" s="8" t="n"/>
      <c r="V4479" s="8" t="n"/>
      <c r="W4479" s="8" t="n"/>
      <c r="X4479" s="8" t="n"/>
      <c r="Y4479" s="8" t="n"/>
    </row>
    <row r="4480">
      <c r="A4480" s="8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9">
        <f>B4480+30</f>
        <v/>
      </c>
      <c r="N4480">
        <f>IF(L4480="", "", L4480-B4480)</f>
        <v/>
      </c>
      <c r="O4480">
        <f>IF(L4480="", "Pending", IF(N4480&lt;=30, "Met", "Breached"))</f>
        <v/>
      </c>
      <c r="P4480" s="8" t="n"/>
      <c r="Q4480" s="8" t="n"/>
      <c r="R4480" s="8" t="n"/>
      <c r="S4480" s="8" t="n"/>
      <c r="T4480" s="8" t="n"/>
      <c r="U4480" s="8" t="n"/>
      <c r="V4480" s="8" t="n"/>
      <c r="W4480" s="8" t="n"/>
      <c r="X4480" s="8" t="n"/>
      <c r="Y4480" s="8" t="n"/>
    </row>
    <row r="4481">
      <c r="A4481" s="8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9">
        <f>B4481+30</f>
        <v/>
      </c>
      <c r="N4481">
        <f>IF(L4481="", "", L4481-B4481)</f>
        <v/>
      </c>
      <c r="O4481">
        <f>IF(L4481="", "Pending", IF(N4481&lt;=30, "Met", "Breached"))</f>
        <v/>
      </c>
      <c r="P4481" s="8" t="n"/>
      <c r="Q4481" s="8" t="n"/>
      <c r="R4481" s="8" t="n"/>
      <c r="S4481" s="8" t="n"/>
      <c r="T4481" s="8" t="n"/>
      <c r="U4481" s="8" t="n"/>
      <c r="V4481" s="8" t="n"/>
      <c r="W4481" s="8" t="n"/>
      <c r="X4481" s="8" t="n"/>
      <c r="Y4481" s="8" t="n"/>
    </row>
    <row r="4482">
      <c r="A4482" s="8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9">
        <f>B4482+30</f>
        <v/>
      </c>
      <c r="N4482">
        <f>IF(L4482="", "", L4482-B4482)</f>
        <v/>
      </c>
      <c r="O4482">
        <f>IF(L4482="", "Pending", IF(N4482&lt;=30, "Met", "Breached"))</f>
        <v/>
      </c>
      <c r="P4482" s="8" t="n"/>
      <c r="Q4482" s="8" t="n"/>
      <c r="R4482" s="8" t="n"/>
      <c r="S4482" s="8" t="n"/>
      <c r="T4482" s="8" t="n"/>
      <c r="U4482" s="8" t="n"/>
      <c r="V4482" s="8" t="n"/>
      <c r="W4482" s="8" t="n"/>
      <c r="X4482" s="8" t="n"/>
      <c r="Y4482" s="8" t="n"/>
    </row>
    <row r="4483">
      <c r="A4483" s="8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9">
        <f>B4483+30</f>
        <v/>
      </c>
      <c r="N4483">
        <f>IF(L4483="", "", L4483-B4483)</f>
        <v/>
      </c>
      <c r="O4483">
        <f>IF(L4483="", "Pending", IF(N4483&lt;=30, "Met", "Breached"))</f>
        <v/>
      </c>
      <c r="P4483" s="8" t="n"/>
      <c r="Q4483" s="8" t="n"/>
      <c r="R4483" s="8" t="n"/>
      <c r="S4483" s="8" t="n"/>
      <c r="T4483" s="8" t="n"/>
      <c r="U4483" s="8" t="n"/>
      <c r="V4483" s="8" t="n"/>
      <c r="W4483" s="8" t="n"/>
      <c r="X4483" s="8" t="n"/>
      <c r="Y4483" s="8" t="n"/>
    </row>
    <row r="4484">
      <c r="A4484" s="8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9">
        <f>B4484+30</f>
        <v/>
      </c>
      <c r="N4484">
        <f>IF(L4484="", "", L4484-B4484)</f>
        <v/>
      </c>
      <c r="O4484">
        <f>IF(L4484="", "Pending", IF(N4484&lt;=30, "Met", "Breached"))</f>
        <v/>
      </c>
      <c r="P4484" s="8" t="n"/>
      <c r="Q4484" s="8" t="n"/>
      <c r="R4484" s="8" t="n"/>
      <c r="S4484" s="8" t="n"/>
      <c r="T4484" s="8" t="n"/>
      <c r="U4484" s="8" t="n"/>
      <c r="V4484" s="8" t="n"/>
      <c r="W4484" s="8" t="n"/>
      <c r="X4484" s="8" t="n"/>
      <c r="Y4484" s="8" t="n"/>
    </row>
    <row r="4485">
      <c r="A4485" s="8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9">
        <f>B4485+30</f>
        <v/>
      </c>
      <c r="N4485">
        <f>IF(L4485="", "", L4485-B4485)</f>
        <v/>
      </c>
      <c r="O4485">
        <f>IF(L4485="", "Pending", IF(N4485&lt;=30, "Met", "Breached"))</f>
        <v/>
      </c>
      <c r="P4485" s="8" t="n"/>
      <c r="Q4485" s="8" t="n"/>
      <c r="R4485" s="8" t="n"/>
      <c r="S4485" s="8" t="n"/>
      <c r="T4485" s="8" t="n"/>
      <c r="U4485" s="8" t="n"/>
      <c r="V4485" s="8" t="n"/>
      <c r="W4485" s="8" t="n"/>
      <c r="X4485" s="8" t="n"/>
      <c r="Y4485" s="8" t="n"/>
    </row>
    <row r="4486">
      <c r="A4486" s="8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9">
        <f>B4486+30</f>
        <v/>
      </c>
      <c r="N4486">
        <f>IF(L4486="", "", L4486-B4486)</f>
        <v/>
      </c>
      <c r="O4486">
        <f>IF(L4486="", "Pending", IF(N4486&lt;=30, "Met", "Breached"))</f>
        <v/>
      </c>
      <c r="P4486" s="8" t="n"/>
      <c r="Q4486" s="8" t="n"/>
      <c r="R4486" s="8" t="n"/>
      <c r="S4486" s="8" t="n"/>
      <c r="T4486" s="8" t="n"/>
      <c r="U4486" s="8" t="n"/>
      <c r="V4486" s="8" t="n"/>
      <c r="W4486" s="8" t="n"/>
      <c r="X4486" s="8" t="n"/>
      <c r="Y4486" s="8" t="n"/>
    </row>
    <row r="4487">
      <c r="A4487" s="8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9">
        <f>B4487+30</f>
        <v/>
      </c>
      <c r="N4487">
        <f>IF(L4487="", "", L4487-B4487)</f>
        <v/>
      </c>
      <c r="O4487">
        <f>IF(L4487="", "Pending", IF(N4487&lt;=30, "Met", "Breached"))</f>
        <v/>
      </c>
      <c r="P4487" s="8" t="n"/>
      <c r="Q4487" s="8" t="n"/>
      <c r="R4487" s="8" t="n"/>
      <c r="S4487" s="8" t="n"/>
      <c r="T4487" s="8" t="n"/>
      <c r="U4487" s="8" t="n"/>
      <c r="V4487" s="8" t="n"/>
      <c r="W4487" s="8" t="n"/>
      <c r="X4487" s="8" t="n"/>
      <c r="Y4487" s="8" t="n"/>
    </row>
    <row r="4488">
      <c r="A4488" s="8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9">
        <f>B4488+30</f>
        <v/>
      </c>
      <c r="N4488">
        <f>IF(L4488="", "", L4488-B4488)</f>
        <v/>
      </c>
      <c r="O4488">
        <f>IF(L4488="", "Pending", IF(N4488&lt;=30, "Met", "Breached"))</f>
        <v/>
      </c>
      <c r="P4488" s="8" t="n"/>
      <c r="Q4488" s="8" t="n"/>
      <c r="R4488" s="8" t="n"/>
      <c r="S4488" s="8" t="n"/>
      <c r="T4488" s="8" t="n"/>
      <c r="U4488" s="8" t="n"/>
      <c r="V4488" s="8" t="n"/>
      <c r="W4488" s="8" t="n"/>
      <c r="X4488" s="8" t="n"/>
      <c r="Y4488" s="8" t="n"/>
    </row>
    <row r="4489">
      <c r="A4489" s="8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9">
        <f>B4489+30</f>
        <v/>
      </c>
      <c r="N4489">
        <f>IF(L4489="", "", L4489-B4489)</f>
        <v/>
      </c>
      <c r="O4489">
        <f>IF(L4489="", "Pending", IF(N4489&lt;=30, "Met", "Breached"))</f>
        <v/>
      </c>
      <c r="P4489" s="8" t="n"/>
      <c r="Q4489" s="8" t="n"/>
      <c r="R4489" s="8" t="n"/>
      <c r="S4489" s="8" t="n"/>
      <c r="T4489" s="8" t="n"/>
      <c r="U4489" s="8" t="n"/>
      <c r="V4489" s="8" t="n"/>
      <c r="W4489" s="8" t="n"/>
      <c r="X4489" s="8" t="n"/>
      <c r="Y4489" s="8" t="n"/>
    </row>
    <row r="4490">
      <c r="A4490" s="8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9">
        <f>B4490+30</f>
        <v/>
      </c>
      <c r="N4490">
        <f>IF(L4490="", "", L4490-B4490)</f>
        <v/>
      </c>
      <c r="O4490">
        <f>IF(L4490="", "Pending", IF(N4490&lt;=30, "Met", "Breached"))</f>
        <v/>
      </c>
      <c r="P4490" s="8" t="n"/>
      <c r="Q4490" s="8" t="n"/>
      <c r="R4490" s="8" t="n"/>
      <c r="S4490" s="8" t="n"/>
      <c r="T4490" s="8" t="n"/>
      <c r="U4490" s="8" t="n"/>
      <c r="V4490" s="8" t="n"/>
      <c r="W4490" s="8" t="n"/>
      <c r="X4490" s="8" t="n"/>
      <c r="Y4490" s="8" t="n"/>
    </row>
    <row r="4491">
      <c r="A4491" s="8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9">
        <f>B4491+30</f>
        <v/>
      </c>
      <c r="N4491">
        <f>IF(L4491="", "", L4491-B4491)</f>
        <v/>
      </c>
      <c r="O4491">
        <f>IF(L4491="", "Pending", IF(N4491&lt;=30, "Met", "Breached"))</f>
        <v/>
      </c>
      <c r="P4491" s="8" t="n"/>
      <c r="Q4491" s="8" t="n"/>
      <c r="R4491" s="8" t="n"/>
      <c r="S4491" s="8" t="n"/>
      <c r="T4491" s="8" t="n"/>
      <c r="U4491" s="8" t="n"/>
      <c r="V4491" s="8" t="n"/>
      <c r="W4491" s="8" t="n"/>
      <c r="X4491" s="8" t="n"/>
      <c r="Y4491" s="8" t="n"/>
    </row>
    <row r="4492">
      <c r="A4492" s="8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9">
        <f>B4492+30</f>
        <v/>
      </c>
      <c r="N4492">
        <f>IF(L4492="", "", L4492-B4492)</f>
        <v/>
      </c>
      <c r="O4492">
        <f>IF(L4492="", "Pending", IF(N4492&lt;=30, "Met", "Breached"))</f>
        <v/>
      </c>
      <c r="P4492" s="8" t="n"/>
      <c r="Q4492" s="8" t="n"/>
      <c r="R4492" s="8" t="n"/>
      <c r="S4492" s="8" t="n"/>
      <c r="T4492" s="8" t="n"/>
      <c r="U4492" s="8" t="n"/>
      <c r="V4492" s="8" t="n"/>
      <c r="W4492" s="8" t="n"/>
      <c r="X4492" s="8" t="n"/>
      <c r="Y4492" s="8" t="n"/>
    </row>
    <row r="4493">
      <c r="A4493" s="8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9">
        <f>B4493+30</f>
        <v/>
      </c>
      <c r="N4493">
        <f>IF(L4493="", "", L4493-B4493)</f>
        <v/>
      </c>
      <c r="O4493">
        <f>IF(L4493="", "Pending", IF(N4493&lt;=30, "Met", "Breached"))</f>
        <v/>
      </c>
      <c r="P4493" s="8" t="n"/>
      <c r="Q4493" s="8" t="n"/>
      <c r="R4493" s="8" t="n"/>
      <c r="S4493" s="8" t="n"/>
      <c r="T4493" s="8" t="n"/>
      <c r="U4493" s="8" t="n"/>
      <c r="V4493" s="8" t="n"/>
      <c r="W4493" s="8" t="n"/>
      <c r="X4493" s="8" t="n"/>
      <c r="Y4493" s="8" t="n"/>
    </row>
    <row r="4494">
      <c r="A4494" s="8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9">
        <f>B4494+30</f>
        <v/>
      </c>
      <c r="N4494">
        <f>IF(L4494="", "", L4494-B4494)</f>
        <v/>
      </c>
      <c r="O4494">
        <f>IF(L4494="", "Pending", IF(N4494&lt;=30, "Met", "Breached"))</f>
        <v/>
      </c>
      <c r="P4494" s="8" t="n"/>
      <c r="Q4494" s="8" t="n"/>
      <c r="R4494" s="8" t="n"/>
      <c r="S4494" s="8" t="n"/>
      <c r="T4494" s="8" t="n"/>
      <c r="U4494" s="8" t="n"/>
      <c r="V4494" s="8" t="n"/>
      <c r="W4494" s="8" t="n"/>
      <c r="X4494" s="8" t="n"/>
      <c r="Y4494" s="8" t="n"/>
    </row>
    <row r="4495">
      <c r="A4495" s="8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9">
        <f>B4495+30</f>
        <v/>
      </c>
      <c r="N4495">
        <f>IF(L4495="", "", L4495-B4495)</f>
        <v/>
      </c>
      <c r="O4495">
        <f>IF(L4495="", "Pending", IF(N4495&lt;=30, "Met", "Breached"))</f>
        <v/>
      </c>
      <c r="P4495" s="8" t="n"/>
      <c r="Q4495" s="8" t="n"/>
      <c r="R4495" s="8" t="n"/>
      <c r="S4495" s="8" t="n"/>
      <c r="T4495" s="8" t="n"/>
      <c r="U4495" s="8" t="n"/>
      <c r="V4495" s="8" t="n"/>
      <c r="W4495" s="8" t="n"/>
      <c r="X4495" s="8" t="n"/>
      <c r="Y4495" s="8" t="n"/>
    </row>
    <row r="4496">
      <c r="A4496" s="8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9">
        <f>B4496+30</f>
        <v/>
      </c>
      <c r="N4496">
        <f>IF(L4496="", "", L4496-B4496)</f>
        <v/>
      </c>
      <c r="O4496">
        <f>IF(L4496="", "Pending", IF(N4496&lt;=30, "Met", "Breached"))</f>
        <v/>
      </c>
      <c r="P4496" s="8" t="n"/>
      <c r="Q4496" s="8" t="n"/>
      <c r="R4496" s="8" t="n"/>
      <c r="S4496" s="8" t="n"/>
      <c r="T4496" s="8" t="n"/>
      <c r="U4496" s="8" t="n"/>
      <c r="V4496" s="8" t="n"/>
      <c r="W4496" s="8" t="n"/>
      <c r="X4496" s="8" t="n"/>
      <c r="Y4496" s="8" t="n"/>
    </row>
    <row r="4497">
      <c r="A4497" s="8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9">
        <f>B4497+30</f>
        <v/>
      </c>
      <c r="N4497">
        <f>IF(L4497="", "", L4497-B4497)</f>
        <v/>
      </c>
      <c r="O4497">
        <f>IF(L4497="", "Pending", IF(N4497&lt;=30, "Met", "Breached"))</f>
        <v/>
      </c>
      <c r="P4497" s="8" t="n"/>
      <c r="Q4497" s="8" t="n"/>
      <c r="R4497" s="8" t="n"/>
      <c r="S4497" s="8" t="n"/>
      <c r="T4497" s="8" t="n"/>
      <c r="U4497" s="8" t="n"/>
      <c r="V4497" s="8" t="n"/>
      <c r="W4497" s="8" t="n"/>
      <c r="X4497" s="8" t="n"/>
      <c r="Y4497" s="8" t="n"/>
    </row>
    <row r="4498">
      <c r="A4498" s="8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9">
        <f>B4498+30</f>
        <v/>
      </c>
      <c r="N4498">
        <f>IF(L4498="", "", L4498-B4498)</f>
        <v/>
      </c>
      <c r="O4498">
        <f>IF(L4498="", "Pending", IF(N4498&lt;=30, "Met", "Breached"))</f>
        <v/>
      </c>
      <c r="P4498" s="8" t="n"/>
      <c r="Q4498" s="8" t="n"/>
      <c r="R4498" s="8" t="n"/>
      <c r="S4498" s="8" t="n"/>
      <c r="T4498" s="8" t="n"/>
      <c r="U4498" s="8" t="n"/>
      <c r="V4498" s="8" t="n"/>
      <c r="W4498" s="8" t="n"/>
      <c r="X4498" s="8" t="n"/>
      <c r="Y4498" s="8" t="n"/>
    </row>
    <row r="4499">
      <c r="A4499" s="8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9">
        <f>B4499+30</f>
        <v/>
      </c>
      <c r="N4499">
        <f>IF(L4499="", "", L4499-B4499)</f>
        <v/>
      </c>
      <c r="O4499">
        <f>IF(L4499="", "Pending", IF(N4499&lt;=30, "Met", "Breached"))</f>
        <v/>
      </c>
      <c r="P4499" s="8" t="n"/>
      <c r="Q4499" s="8" t="n"/>
      <c r="R4499" s="8" t="n"/>
      <c r="S4499" s="8" t="n"/>
      <c r="T4499" s="8" t="n"/>
      <c r="U4499" s="8" t="n"/>
      <c r="V4499" s="8" t="n"/>
      <c r="W4499" s="8" t="n"/>
      <c r="X4499" s="8" t="n"/>
      <c r="Y4499" s="8" t="n"/>
    </row>
    <row r="4500">
      <c r="A4500" s="8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9">
        <f>B4500+30</f>
        <v/>
      </c>
      <c r="N4500">
        <f>IF(L4500="", "", L4500-B4500)</f>
        <v/>
      </c>
      <c r="O4500">
        <f>IF(L4500="", "Pending", IF(N4500&lt;=30, "Met", "Breached"))</f>
        <v/>
      </c>
      <c r="P4500" s="8" t="n"/>
      <c r="Q4500" s="8" t="n"/>
      <c r="R4500" s="8" t="n"/>
      <c r="S4500" s="8" t="n"/>
      <c r="T4500" s="8" t="n"/>
      <c r="U4500" s="8" t="n"/>
      <c r="V4500" s="8" t="n"/>
      <c r="W4500" s="8" t="n"/>
      <c r="X4500" s="8" t="n"/>
      <c r="Y4500" s="8" t="n"/>
    </row>
    <row r="4501">
      <c r="A4501" s="8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9">
        <f>B4501+30</f>
        <v/>
      </c>
      <c r="N4501">
        <f>IF(L4501="", "", L4501-B4501)</f>
        <v/>
      </c>
      <c r="O4501">
        <f>IF(L4501="", "Pending", IF(N4501&lt;=30, "Met", "Breached"))</f>
        <v/>
      </c>
      <c r="P4501" s="8" t="n"/>
      <c r="Q4501" s="8" t="n"/>
      <c r="R4501" s="8" t="n"/>
      <c r="S4501" s="8" t="n"/>
      <c r="T4501" s="8" t="n"/>
      <c r="U4501" s="8" t="n"/>
      <c r="V4501" s="8" t="n"/>
      <c r="W4501" s="8" t="n"/>
      <c r="X4501" s="8" t="n"/>
      <c r="Y4501" s="8" t="n"/>
    </row>
    <row r="4502">
      <c r="A4502" s="8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9">
        <f>B4502+30</f>
        <v/>
      </c>
      <c r="N4502">
        <f>IF(L4502="", "", L4502-B4502)</f>
        <v/>
      </c>
      <c r="O4502">
        <f>IF(L4502="", "Pending", IF(N4502&lt;=30, "Met", "Breached"))</f>
        <v/>
      </c>
      <c r="P4502" s="8" t="n"/>
      <c r="Q4502" s="8" t="n"/>
      <c r="R4502" s="8" t="n"/>
      <c r="S4502" s="8" t="n"/>
      <c r="T4502" s="8" t="n"/>
      <c r="U4502" s="8" t="n"/>
      <c r="V4502" s="8" t="n"/>
      <c r="W4502" s="8" t="n"/>
      <c r="X4502" s="8" t="n"/>
      <c r="Y4502" s="8" t="n"/>
    </row>
    <row r="4503">
      <c r="A4503" s="8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9">
        <f>B4503+30</f>
        <v/>
      </c>
      <c r="N4503">
        <f>IF(L4503="", "", L4503-B4503)</f>
        <v/>
      </c>
      <c r="O4503">
        <f>IF(L4503="", "Pending", IF(N4503&lt;=30, "Met", "Breached"))</f>
        <v/>
      </c>
      <c r="P4503" s="8" t="n"/>
      <c r="Q4503" s="8" t="n"/>
      <c r="R4503" s="8" t="n"/>
      <c r="S4503" s="8" t="n"/>
      <c r="T4503" s="8" t="n"/>
      <c r="U4503" s="8" t="n"/>
      <c r="V4503" s="8" t="n"/>
      <c r="W4503" s="8" t="n"/>
      <c r="X4503" s="8" t="n"/>
      <c r="Y4503" s="8" t="n"/>
    </row>
    <row r="4504">
      <c r="A4504" s="8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9">
        <f>B4504+30</f>
        <v/>
      </c>
      <c r="N4504">
        <f>IF(L4504="", "", L4504-B4504)</f>
        <v/>
      </c>
      <c r="O4504">
        <f>IF(L4504="", "Pending", IF(N4504&lt;=30, "Met", "Breached"))</f>
        <v/>
      </c>
      <c r="P4504" s="8" t="n"/>
      <c r="Q4504" s="8" t="n"/>
      <c r="R4504" s="8" t="n"/>
      <c r="S4504" s="8" t="n"/>
      <c r="T4504" s="8" t="n"/>
      <c r="U4504" s="8" t="n"/>
      <c r="V4504" s="8" t="n"/>
      <c r="W4504" s="8" t="n"/>
      <c r="X4504" s="8" t="n"/>
      <c r="Y4504" s="8" t="n"/>
    </row>
    <row r="4505">
      <c r="A4505" s="8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9">
        <f>B4505+30</f>
        <v/>
      </c>
      <c r="N4505">
        <f>IF(L4505="", "", L4505-B4505)</f>
        <v/>
      </c>
      <c r="O4505">
        <f>IF(L4505="", "Pending", IF(N4505&lt;=30, "Met", "Breached"))</f>
        <v/>
      </c>
      <c r="P4505" s="8" t="n"/>
      <c r="Q4505" s="8" t="n"/>
      <c r="R4505" s="8" t="n"/>
      <c r="S4505" s="8" t="n"/>
      <c r="T4505" s="8" t="n"/>
      <c r="U4505" s="8" t="n"/>
      <c r="V4505" s="8" t="n"/>
      <c r="W4505" s="8" t="n"/>
      <c r="X4505" s="8" t="n"/>
      <c r="Y4505" s="8" t="n"/>
    </row>
    <row r="4506">
      <c r="A4506" s="8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9">
        <f>B4506+30</f>
        <v/>
      </c>
      <c r="N4506">
        <f>IF(L4506="", "", L4506-B4506)</f>
        <v/>
      </c>
      <c r="O4506">
        <f>IF(L4506="", "Pending", IF(N4506&lt;=30, "Met", "Breached"))</f>
        <v/>
      </c>
      <c r="P4506" s="8" t="n"/>
      <c r="Q4506" s="8" t="n"/>
      <c r="R4506" s="8" t="n"/>
      <c r="S4506" s="8" t="n"/>
      <c r="T4506" s="8" t="n"/>
      <c r="U4506" s="8" t="n"/>
      <c r="V4506" s="8" t="n"/>
      <c r="W4506" s="8" t="n"/>
      <c r="X4506" s="8" t="n"/>
      <c r="Y4506" s="8" t="n"/>
    </row>
    <row r="4507">
      <c r="A4507" s="8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9">
        <f>B4507+30</f>
        <v/>
      </c>
      <c r="N4507">
        <f>IF(L4507="", "", L4507-B4507)</f>
        <v/>
      </c>
      <c r="O4507">
        <f>IF(L4507="", "Pending", IF(N4507&lt;=30, "Met", "Breached"))</f>
        <v/>
      </c>
      <c r="P4507" s="8" t="n"/>
      <c r="Q4507" s="8" t="n"/>
      <c r="R4507" s="8" t="n"/>
      <c r="S4507" s="8" t="n"/>
      <c r="T4507" s="8" t="n"/>
      <c r="U4507" s="8" t="n"/>
      <c r="V4507" s="8" t="n"/>
      <c r="W4507" s="8" t="n"/>
      <c r="X4507" s="8" t="n"/>
      <c r="Y4507" s="8" t="n"/>
    </row>
    <row r="4508">
      <c r="A4508" s="8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9">
        <f>B4508+30</f>
        <v/>
      </c>
      <c r="N4508">
        <f>IF(L4508="", "", L4508-B4508)</f>
        <v/>
      </c>
      <c r="O4508">
        <f>IF(L4508="", "Pending", IF(N4508&lt;=30, "Met", "Breached"))</f>
        <v/>
      </c>
      <c r="P4508" s="8" t="n"/>
      <c r="Q4508" s="8" t="n"/>
      <c r="R4508" s="8" t="n"/>
      <c r="S4508" s="8" t="n"/>
      <c r="T4508" s="8" t="n"/>
      <c r="U4508" s="8" t="n"/>
      <c r="V4508" s="8" t="n"/>
      <c r="W4508" s="8" t="n"/>
      <c r="X4508" s="8" t="n"/>
      <c r="Y4508" s="8" t="n"/>
    </row>
    <row r="4509">
      <c r="A4509" s="8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9">
        <f>B4509+30</f>
        <v/>
      </c>
      <c r="N4509">
        <f>IF(L4509="", "", L4509-B4509)</f>
        <v/>
      </c>
      <c r="O4509">
        <f>IF(L4509="", "Pending", IF(N4509&lt;=30, "Met", "Breached"))</f>
        <v/>
      </c>
      <c r="P4509" s="8" t="n"/>
      <c r="Q4509" s="8" t="n"/>
      <c r="R4509" s="8" t="n"/>
      <c r="S4509" s="8" t="n"/>
      <c r="T4509" s="8" t="n"/>
      <c r="U4509" s="8" t="n"/>
      <c r="V4509" s="8" t="n"/>
      <c r="W4509" s="8" t="n"/>
      <c r="X4509" s="8" t="n"/>
      <c r="Y4509" s="8" t="n"/>
    </row>
    <row r="4510">
      <c r="A4510" s="8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9">
        <f>B4510+30</f>
        <v/>
      </c>
      <c r="N4510">
        <f>IF(L4510="", "", L4510-B4510)</f>
        <v/>
      </c>
      <c r="O4510">
        <f>IF(L4510="", "Pending", IF(N4510&lt;=30, "Met", "Breached"))</f>
        <v/>
      </c>
      <c r="P4510" s="8" t="n"/>
      <c r="Q4510" s="8" t="n"/>
      <c r="R4510" s="8" t="n"/>
      <c r="S4510" s="8" t="n"/>
      <c r="T4510" s="8" t="n"/>
      <c r="U4510" s="8" t="n"/>
      <c r="V4510" s="8" t="n"/>
      <c r="W4510" s="8" t="n"/>
      <c r="X4510" s="8" t="n"/>
      <c r="Y4510" s="8" t="n"/>
    </row>
    <row r="4511">
      <c r="A4511" s="8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9">
        <f>B4511+30</f>
        <v/>
      </c>
      <c r="N4511">
        <f>IF(L4511="", "", L4511-B4511)</f>
        <v/>
      </c>
      <c r="O4511">
        <f>IF(L4511="", "Pending", IF(N4511&lt;=30, "Met", "Breached"))</f>
        <v/>
      </c>
      <c r="P4511" s="8" t="n"/>
      <c r="Q4511" s="8" t="n"/>
      <c r="R4511" s="8" t="n"/>
      <c r="S4511" s="8" t="n"/>
      <c r="T4511" s="8" t="n"/>
      <c r="U4511" s="8" t="n"/>
      <c r="V4511" s="8" t="n"/>
      <c r="W4511" s="8" t="n"/>
      <c r="X4511" s="8" t="n"/>
      <c r="Y4511" s="8" t="n"/>
    </row>
    <row r="4512">
      <c r="A4512" s="8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9">
        <f>B4512+30</f>
        <v/>
      </c>
      <c r="N4512">
        <f>IF(L4512="", "", L4512-B4512)</f>
        <v/>
      </c>
      <c r="O4512">
        <f>IF(L4512="", "Pending", IF(N4512&lt;=30, "Met", "Breached"))</f>
        <v/>
      </c>
      <c r="P4512" s="8" t="n"/>
      <c r="Q4512" s="8" t="n"/>
      <c r="R4512" s="8" t="n"/>
      <c r="S4512" s="8" t="n"/>
      <c r="T4512" s="8" t="n"/>
      <c r="U4512" s="8" t="n"/>
      <c r="V4512" s="8" t="n"/>
      <c r="W4512" s="8" t="n"/>
      <c r="X4512" s="8" t="n"/>
      <c r="Y4512" s="8" t="n"/>
    </row>
    <row r="4513">
      <c r="A4513" s="8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9">
        <f>B4513+30</f>
        <v/>
      </c>
      <c r="N4513">
        <f>IF(L4513="", "", L4513-B4513)</f>
        <v/>
      </c>
      <c r="O4513">
        <f>IF(L4513="", "Pending", IF(N4513&lt;=30, "Met", "Breached"))</f>
        <v/>
      </c>
      <c r="P4513" s="8" t="n"/>
      <c r="Q4513" s="8" t="n"/>
      <c r="R4513" s="8" t="n"/>
      <c r="S4513" s="8" t="n"/>
      <c r="T4513" s="8" t="n"/>
      <c r="U4513" s="8" t="n"/>
      <c r="V4513" s="8" t="n"/>
      <c r="W4513" s="8" t="n"/>
      <c r="X4513" s="8" t="n"/>
      <c r="Y4513" s="8" t="n"/>
    </row>
    <row r="4514">
      <c r="A4514" s="8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9">
        <f>B4514+30</f>
        <v/>
      </c>
      <c r="N4514">
        <f>IF(L4514="", "", L4514-B4514)</f>
        <v/>
      </c>
      <c r="O4514">
        <f>IF(L4514="", "Pending", IF(N4514&lt;=30, "Met", "Breached"))</f>
        <v/>
      </c>
      <c r="P4514" s="8" t="n"/>
      <c r="Q4514" s="8" t="n"/>
      <c r="R4514" s="8" t="n"/>
      <c r="S4514" s="8" t="n"/>
      <c r="T4514" s="8" t="n"/>
      <c r="U4514" s="8" t="n"/>
      <c r="V4514" s="8" t="n"/>
      <c r="W4514" s="8" t="n"/>
      <c r="X4514" s="8" t="n"/>
      <c r="Y4514" s="8" t="n"/>
    </row>
    <row r="4515">
      <c r="A4515" s="8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9">
        <f>B4515+30</f>
        <v/>
      </c>
      <c r="N4515">
        <f>IF(L4515="", "", L4515-B4515)</f>
        <v/>
      </c>
      <c r="O4515">
        <f>IF(L4515="", "Pending", IF(N4515&lt;=30, "Met", "Breached"))</f>
        <v/>
      </c>
      <c r="P4515" s="8" t="n"/>
      <c r="Q4515" s="8" t="n"/>
      <c r="R4515" s="8" t="n"/>
      <c r="S4515" s="8" t="n"/>
      <c r="T4515" s="8" t="n"/>
      <c r="U4515" s="8" t="n"/>
      <c r="V4515" s="8" t="n"/>
      <c r="W4515" s="8" t="n"/>
      <c r="X4515" s="8" t="n"/>
      <c r="Y4515" s="8" t="n"/>
    </row>
    <row r="4516">
      <c r="A4516" s="8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9">
        <f>B4516+30</f>
        <v/>
      </c>
      <c r="N4516">
        <f>IF(L4516="", "", L4516-B4516)</f>
        <v/>
      </c>
      <c r="O4516">
        <f>IF(L4516="", "Pending", IF(N4516&lt;=30, "Met", "Breached"))</f>
        <v/>
      </c>
      <c r="P4516" s="8" t="n"/>
      <c r="Q4516" s="8" t="n"/>
      <c r="R4516" s="8" t="n"/>
      <c r="S4516" s="8" t="n"/>
      <c r="T4516" s="8" t="n"/>
      <c r="U4516" s="8" t="n"/>
      <c r="V4516" s="8" t="n"/>
      <c r="W4516" s="8" t="n"/>
      <c r="X4516" s="8" t="n"/>
      <c r="Y4516" s="8" t="n"/>
    </row>
    <row r="4517">
      <c r="A4517" s="8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9">
        <f>B4517+30</f>
        <v/>
      </c>
      <c r="N4517">
        <f>IF(L4517="", "", L4517-B4517)</f>
        <v/>
      </c>
      <c r="O4517">
        <f>IF(L4517="", "Pending", IF(N4517&lt;=30, "Met", "Breached"))</f>
        <v/>
      </c>
      <c r="P4517" s="8" t="n"/>
      <c r="Q4517" s="8" t="n"/>
      <c r="R4517" s="8" t="n"/>
      <c r="S4517" s="8" t="n"/>
      <c r="T4517" s="8" t="n"/>
      <c r="U4517" s="8" t="n"/>
      <c r="V4517" s="8" t="n"/>
      <c r="W4517" s="8" t="n"/>
      <c r="X4517" s="8" t="n"/>
      <c r="Y4517" s="8" t="n"/>
    </row>
    <row r="4518">
      <c r="A4518" s="8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9">
        <f>B4518+30</f>
        <v/>
      </c>
      <c r="N4518">
        <f>IF(L4518="", "", L4518-B4518)</f>
        <v/>
      </c>
      <c r="O4518">
        <f>IF(L4518="", "Pending", IF(N4518&lt;=30, "Met", "Breached"))</f>
        <v/>
      </c>
      <c r="P4518" s="8" t="n"/>
      <c r="Q4518" s="8" t="n"/>
      <c r="R4518" s="8" t="n"/>
      <c r="S4518" s="8" t="n"/>
      <c r="T4518" s="8" t="n"/>
      <c r="U4518" s="8" t="n"/>
      <c r="V4518" s="8" t="n"/>
      <c r="W4518" s="8" t="n"/>
      <c r="X4518" s="8" t="n"/>
      <c r="Y4518" s="8" t="n"/>
    </row>
    <row r="4519">
      <c r="A4519" s="8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9">
        <f>B4519+30</f>
        <v/>
      </c>
      <c r="N4519">
        <f>IF(L4519="", "", L4519-B4519)</f>
        <v/>
      </c>
      <c r="O4519">
        <f>IF(L4519="", "Pending", IF(N4519&lt;=30, "Met", "Breached"))</f>
        <v/>
      </c>
      <c r="P4519" s="8" t="n"/>
      <c r="Q4519" s="8" t="n"/>
      <c r="R4519" s="8" t="n"/>
      <c r="S4519" s="8" t="n"/>
      <c r="T4519" s="8" t="n"/>
      <c r="U4519" s="8" t="n"/>
      <c r="V4519" s="8" t="n"/>
      <c r="W4519" s="8" t="n"/>
      <c r="X4519" s="8" t="n"/>
      <c r="Y4519" s="8" t="n"/>
    </row>
    <row r="4520">
      <c r="A4520" s="8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9">
        <f>B4520+30</f>
        <v/>
      </c>
      <c r="N4520">
        <f>IF(L4520="", "", L4520-B4520)</f>
        <v/>
      </c>
      <c r="O4520">
        <f>IF(L4520="", "Pending", IF(N4520&lt;=30, "Met", "Breached"))</f>
        <v/>
      </c>
      <c r="P4520" s="8" t="n"/>
      <c r="Q4520" s="8" t="n"/>
      <c r="R4520" s="8" t="n"/>
      <c r="S4520" s="8" t="n"/>
      <c r="T4520" s="8" t="n"/>
      <c r="U4520" s="8" t="n"/>
      <c r="V4520" s="8" t="n"/>
      <c r="W4520" s="8" t="n"/>
      <c r="X4520" s="8" t="n"/>
      <c r="Y4520" s="8" t="n"/>
    </row>
    <row r="4521">
      <c r="A4521" s="8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9">
        <f>B4521+30</f>
        <v/>
      </c>
      <c r="N4521">
        <f>IF(L4521="", "", L4521-B4521)</f>
        <v/>
      </c>
      <c r="O4521">
        <f>IF(L4521="", "Pending", IF(N4521&lt;=30, "Met", "Breached"))</f>
        <v/>
      </c>
      <c r="P4521" s="8" t="n"/>
      <c r="Q4521" s="8" t="n"/>
      <c r="R4521" s="8" t="n"/>
      <c r="S4521" s="8" t="n"/>
      <c r="T4521" s="8" t="n"/>
      <c r="U4521" s="8" t="n"/>
      <c r="V4521" s="8" t="n"/>
      <c r="W4521" s="8" t="n"/>
      <c r="X4521" s="8" t="n"/>
      <c r="Y4521" s="8" t="n"/>
    </row>
    <row r="4522">
      <c r="A4522" s="8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9">
        <f>B4522+30</f>
        <v/>
      </c>
      <c r="N4522">
        <f>IF(L4522="", "", L4522-B4522)</f>
        <v/>
      </c>
      <c r="O4522">
        <f>IF(L4522="", "Pending", IF(N4522&lt;=30, "Met", "Breached"))</f>
        <v/>
      </c>
      <c r="P4522" s="8" t="n"/>
      <c r="Q4522" s="8" t="n"/>
      <c r="R4522" s="8" t="n"/>
      <c r="S4522" s="8" t="n"/>
      <c r="T4522" s="8" t="n"/>
      <c r="U4522" s="8" t="n"/>
      <c r="V4522" s="8" t="n"/>
      <c r="W4522" s="8" t="n"/>
      <c r="X4522" s="8" t="n"/>
      <c r="Y4522" s="8" t="n"/>
    </row>
    <row r="4523">
      <c r="A4523" s="8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9">
        <f>B4523+30</f>
        <v/>
      </c>
      <c r="N4523">
        <f>IF(L4523="", "", L4523-B4523)</f>
        <v/>
      </c>
      <c r="O4523">
        <f>IF(L4523="", "Pending", IF(N4523&lt;=30, "Met", "Breached"))</f>
        <v/>
      </c>
      <c r="P4523" s="8" t="n"/>
      <c r="Q4523" s="8" t="n"/>
      <c r="R4523" s="8" t="n"/>
      <c r="S4523" s="8" t="n"/>
      <c r="T4523" s="8" t="n"/>
      <c r="U4523" s="8" t="n"/>
      <c r="V4523" s="8" t="n"/>
      <c r="W4523" s="8" t="n"/>
      <c r="X4523" s="8" t="n"/>
      <c r="Y4523" s="8" t="n"/>
    </row>
    <row r="4524">
      <c r="A4524" s="8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9">
        <f>B4524+30</f>
        <v/>
      </c>
      <c r="N4524">
        <f>IF(L4524="", "", L4524-B4524)</f>
        <v/>
      </c>
      <c r="O4524">
        <f>IF(L4524="", "Pending", IF(N4524&lt;=30, "Met", "Breached"))</f>
        <v/>
      </c>
      <c r="P4524" s="8" t="n"/>
      <c r="Q4524" s="8" t="n"/>
      <c r="R4524" s="8" t="n"/>
      <c r="S4524" s="8" t="n"/>
      <c r="T4524" s="8" t="n"/>
      <c r="U4524" s="8" t="n"/>
      <c r="V4524" s="8" t="n"/>
      <c r="W4524" s="8" t="n"/>
      <c r="X4524" s="8" t="n"/>
      <c r="Y4524" s="8" t="n"/>
    </row>
    <row r="4525">
      <c r="A4525" s="8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9">
        <f>B4525+30</f>
        <v/>
      </c>
      <c r="N4525">
        <f>IF(L4525="", "", L4525-B4525)</f>
        <v/>
      </c>
      <c r="O4525">
        <f>IF(L4525="", "Pending", IF(N4525&lt;=30, "Met", "Breached"))</f>
        <v/>
      </c>
      <c r="P4525" s="8" t="n"/>
      <c r="Q4525" s="8" t="n"/>
      <c r="R4525" s="8" t="n"/>
      <c r="S4525" s="8" t="n"/>
      <c r="T4525" s="8" t="n"/>
      <c r="U4525" s="8" t="n"/>
      <c r="V4525" s="8" t="n"/>
      <c r="W4525" s="8" t="n"/>
      <c r="X4525" s="8" t="n"/>
      <c r="Y4525" s="8" t="n"/>
    </row>
    <row r="4526">
      <c r="A4526" s="8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9">
        <f>B4526+30</f>
        <v/>
      </c>
      <c r="N4526">
        <f>IF(L4526="", "", L4526-B4526)</f>
        <v/>
      </c>
      <c r="O4526">
        <f>IF(L4526="", "Pending", IF(N4526&lt;=30, "Met", "Breached"))</f>
        <v/>
      </c>
      <c r="P4526" s="8" t="n"/>
      <c r="Q4526" s="8" t="n"/>
      <c r="R4526" s="8" t="n"/>
      <c r="S4526" s="8" t="n"/>
      <c r="T4526" s="8" t="n"/>
      <c r="U4526" s="8" t="n"/>
      <c r="V4526" s="8" t="n"/>
      <c r="W4526" s="8" t="n"/>
      <c r="X4526" s="8" t="n"/>
      <c r="Y4526" s="8" t="n"/>
    </row>
    <row r="4527">
      <c r="A4527" s="8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9">
        <f>B4527+30</f>
        <v/>
      </c>
      <c r="N4527">
        <f>IF(L4527="", "", L4527-B4527)</f>
        <v/>
      </c>
      <c r="O4527">
        <f>IF(L4527="", "Pending", IF(N4527&lt;=30, "Met", "Breached"))</f>
        <v/>
      </c>
      <c r="P4527" s="8" t="n"/>
      <c r="Q4527" s="8" t="n"/>
      <c r="R4527" s="8" t="n"/>
      <c r="S4527" s="8" t="n"/>
      <c r="T4527" s="8" t="n"/>
      <c r="U4527" s="8" t="n"/>
      <c r="V4527" s="8" t="n"/>
      <c r="W4527" s="8" t="n"/>
      <c r="X4527" s="8" t="n"/>
      <c r="Y4527" s="8" t="n"/>
    </row>
    <row r="4528">
      <c r="A4528" s="8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9">
        <f>B4528+30</f>
        <v/>
      </c>
      <c r="N4528">
        <f>IF(L4528="", "", L4528-B4528)</f>
        <v/>
      </c>
      <c r="O4528">
        <f>IF(L4528="", "Pending", IF(N4528&lt;=30, "Met", "Breached"))</f>
        <v/>
      </c>
      <c r="P4528" s="8" t="n"/>
      <c r="Q4528" s="8" t="n"/>
      <c r="R4528" s="8" t="n"/>
      <c r="S4528" s="8" t="n"/>
      <c r="T4528" s="8" t="n"/>
      <c r="U4528" s="8" t="n"/>
      <c r="V4528" s="8" t="n"/>
      <c r="W4528" s="8" t="n"/>
      <c r="X4528" s="8" t="n"/>
      <c r="Y4528" s="8" t="n"/>
    </row>
    <row r="4529">
      <c r="A4529" s="8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9">
        <f>B4529+30</f>
        <v/>
      </c>
      <c r="N4529">
        <f>IF(L4529="", "", L4529-B4529)</f>
        <v/>
      </c>
      <c r="O4529">
        <f>IF(L4529="", "Pending", IF(N4529&lt;=30, "Met", "Breached"))</f>
        <v/>
      </c>
      <c r="P4529" s="8" t="n"/>
      <c r="Q4529" s="8" t="n"/>
      <c r="R4529" s="8" t="n"/>
      <c r="S4529" s="8" t="n"/>
      <c r="T4529" s="8" t="n"/>
      <c r="U4529" s="8" t="n"/>
      <c r="V4529" s="8" t="n"/>
      <c r="W4529" s="8" t="n"/>
      <c r="X4529" s="8" t="n"/>
      <c r="Y4529" s="8" t="n"/>
    </row>
    <row r="4530">
      <c r="A4530" s="8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9">
        <f>B4530+30</f>
        <v/>
      </c>
      <c r="N4530">
        <f>IF(L4530="", "", L4530-B4530)</f>
        <v/>
      </c>
      <c r="O4530">
        <f>IF(L4530="", "Pending", IF(N4530&lt;=30, "Met", "Breached"))</f>
        <v/>
      </c>
      <c r="P4530" s="8" t="n"/>
      <c r="Q4530" s="8" t="n"/>
      <c r="R4530" s="8" t="n"/>
      <c r="S4530" s="8" t="n"/>
      <c r="T4530" s="8" t="n"/>
      <c r="U4530" s="8" t="n"/>
      <c r="V4530" s="8" t="n"/>
      <c r="W4530" s="8" t="n"/>
      <c r="X4530" s="8" t="n"/>
      <c r="Y4530" s="8" t="n"/>
    </row>
    <row r="4531">
      <c r="A4531" s="8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9">
        <f>B4531+30</f>
        <v/>
      </c>
      <c r="N4531">
        <f>IF(L4531="", "", L4531-B4531)</f>
        <v/>
      </c>
      <c r="O4531">
        <f>IF(L4531="", "Pending", IF(N4531&lt;=30, "Met", "Breached"))</f>
        <v/>
      </c>
      <c r="P4531" s="8" t="n"/>
      <c r="Q4531" s="8" t="n"/>
      <c r="R4531" s="8" t="n"/>
      <c r="S4531" s="8" t="n"/>
      <c r="T4531" s="8" t="n"/>
      <c r="U4531" s="8" t="n"/>
      <c r="V4531" s="8" t="n"/>
      <c r="W4531" s="8" t="n"/>
      <c r="X4531" s="8" t="n"/>
      <c r="Y4531" s="8" t="n"/>
    </row>
    <row r="4532">
      <c r="A4532" s="8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9">
        <f>B4532+30</f>
        <v/>
      </c>
      <c r="N4532">
        <f>IF(L4532="", "", L4532-B4532)</f>
        <v/>
      </c>
      <c r="O4532">
        <f>IF(L4532="", "Pending", IF(N4532&lt;=30, "Met", "Breached"))</f>
        <v/>
      </c>
      <c r="P4532" s="8" t="n"/>
      <c r="Q4532" s="8" t="n"/>
      <c r="R4532" s="8" t="n"/>
      <c r="S4532" s="8" t="n"/>
      <c r="T4532" s="8" t="n"/>
      <c r="U4532" s="8" t="n"/>
      <c r="V4532" s="8" t="n"/>
      <c r="W4532" s="8" t="n"/>
      <c r="X4532" s="8" t="n"/>
      <c r="Y4532" s="8" t="n"/>
    </row>
    <row r="4533">
      <c r="A4533" s="8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9">
        <f>B4533+30</f>
        <v/>
      </c>
      <c r="N4533">
        <f>IF(L4533="", "", L4533-B4533)</f>
        <v/>
      </c>
      <c r="O4533">
        <f>IF(L4533="", "Pending", IF(N4533&lt;=30, "Met", "Breached"))</f>
        <v/>
      </c>
      <c r="P4533" s="8" t="n"/>
      <c r="Q4533" s="8" t="n"/>
      <c r="R4533" s="8" t="n"/>
      <c r="S4533" s="8" t="n"/>
      <c r="T4533" s="8" t="n"/>
      <c r="U4533" s="8" t="n"/>
      <c r="V4533" s="8" t="n"/>
      <c r="W4533" s="8" t="n"/>
      <c r="X4533" s="8" t="n"/>
      <c r="Y4533" s="8" t="n"/>
    </row>
    <row r="4534">
      <c r="A4534" s="8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9">
        <f>B4534+30</f>
        <v/>
      </c>
      <c r="N4534">
        <f>IF(L4534="", "", L4534-B4534)</f>
        <v/>
      </c>
      <c r="O4534">
        <f>IF(L4534="", "Pending", IF(N4534&lt;=30, "Met", "Breached"))</f>
        <v/>
      </c>
      <c r="P4534" s="8" t="n"/>
      <c r="Q4534" s="8" t="n"/>
      <c r="R4534" s="8" t="n"/>
      <c r="S4534" s="8" t="n"/>
      <c r="T4534" s="8" t="n"/>
      <c r="U4534" s="8" t="n"/>
      <c r="V4534" s="8" t="n"/>
      <c r="W4534" s="8" t="n"/>
      <c r="X4534" s="8" t="n"/>
      <c r="Y4534" s="8" t="n"/>
    </row>
    <row r="4535">
      <c r="A4535" s="8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9">
        <f>B4535+30</f>
        <v/>
      </c>
      <c r="N4535">
        <f>IF(L4535="", "", L4535-B4535)</f>
        <v/>
      </c>
      <c r="O4535">
        <f>IF(L4535="", "Pending", IF(N4535&lt;=30, "Met", "Breached"))</f>
        <v/>
      </c>
      <c r="P4535" s="8" t="n"/>
      <c r="Q4535" s="8" t="n"/>
      <c r="R4535" s="8" t="n"/>
      <c r="S4535" s="8" t="n"/>
      <c r="T4535" s="8" t="n"/>
      <c r="U4535" s="8" t="n"/>
      <c r="V4535" s="8" t="n"/>
      <c r="W4535" s="8" t="n"/>
      <c r="X4535" s="8" t="n"/>
      <c r="Y4535" s="8" t="n"/>
    </row>
    <row r="4536">
      <c r="A4536" s="8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9">
        <f>B4536+30</f>
        <v/>
      </c>
      <c r="N4536">
        <f>IF(L4536="", "", L4536-B4536)</f>
        <v/>
      </c>
      <c r="O4536">
        <f>IF(L4536="", "Pending", IF(N4536&lt;=30, "Met", "Breached"))</f>
        <v/>
      </c>
      <c r="P4536" s="8" t="n"/>
      <c r="Q4536" s="8" t="n"/>
      <c r="R4536" s="8" t="n"/>
      <c r="S4536" s="8" t="n"/>
      <c r="T4536" s="8" t="n"/>
      <c r="U4536" s="8" t="n"/>
      <c r="V4536" s="8" t="n"/>
      <c r="W4536" s="8" t="n"/>
      <c r="X4536" s="8" t="n"/>
      <c r="Y4536" s="8" t="n"/>
    </row>
    <row r="4537">
      <c r="A4537" s="8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9">
        <f>B4537+30</f>
        <v/>
      </c>
      <c r="N4537">
        <f>IF(L4537="", "", L4537-B4537)</f>
        <v/>
      </c>
      <c r="O4537">
        <f>IF(L4537="", "Pending", IF(N4537&lt;=30, "Met", "Breached"))</f>
        <v/>
      </c>
      <c r="P4537" s="8" t="n"/>
      <c r="Q4537" s="8" t="n"/>
      <c r="R4537" s="8" t="n"/>
      <c r="S4537" s="8" t="n"/>
      <c r="T4537" s="8" t="n"/>
      <c r="U4537" s="8" t="n"/>
      <c r="V4537" s="8" t="n"/>
      <c r="W4537" s="8" t="n"/>
      <c r="X4537" s="8" t="n"/>
      <c r="Y4537" s="8" t="n"/>
    </row>
    <row r="4538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9">
        <f>B4538+30</f>
        <v/>
      </c>
      <c r="N4538">
        <f>IF(L4538="", "", L4538-B4538)</f>
        <v/>
      </c>
      <c r="O4538">
        <f>IF(L4538="", "Pending", IF(N4538&lt;=30, "Met", "Breached"))</f>
        <v/>
      </c>
      <c r="P4538" s="8" t="n"/>
      <c r="Q4538" s="8" t="n"/>
      <c r="R4538" s="8" t="n"/>
      <c r="S4538" s="8" t="n"/>
      <c r="T4538" s="8" t="n"/>
      <c r="U4538" s="8" t="n"/>
      <c r="V4538" s="8" t="n"/>
      <c r="W4538" s="8" t="n"/>
      <c r="X4538" s="8" t="n"/>
      <c r="Y4538" s="8" t="n"/>
    </row>
    <row r="4539">
      <c r="A4539" s="8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9">
        <f>B4539+30</f>
        <v/>
      </c>
      <c r="N4539">
        <f>IF(L4539="", "", L4539-B4539)</f>
        <v/>
      </c>
      <c r="O4539">
        <f>IF(L4539="", "Pending", IF(N4539&lt;=30, "Met", "Breached"))</f>
        <v/>
      </c>
      <c r="P4539" s="8" t="n"/>
      <c r="Q4539" s="8" t="n"/>
      <c r="R4539" s="8" t="n"/>
      <c r="S4539" s="8" t="n"/>
      <c r="T4539" s="8" t="n"/>
      <c r="U4539" s="8" t="n"/>
      <c r="V4539" s="8" t="n"/>
      <c r="W4539" s="8" t="n"/>
      <c r="X4539" s="8" t="n"/>
      <c r="Y4539" s="8" t="n"/>
    </row>
    <row r="4540">
      <c r="A4540" s="8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9">
        <f>B4540+30</f>
        <v/>
      </c>
      <c r="N4540">
        <f>IF(L4540="", "", L4540-B4540)</f>
        <v/>
      </c>
      <c r="O4540">
        <f>IF(L4540="", "Pending", IF(N4540&lt;=30, "Met", "Breached"))</f>
        <v/>
      </c>
      <c r="P4540" s="8" t="n"/>
      <c r="Q4540" s="8" t="n"/>
      <c r="R4540" s="8" t="n"/>
      <c r="S4540" s="8" t="n"/>
      <c r="T4540" s="8" t="n"/>
      <c r="U4540" s="8" t="n"/>
      <c r="V4540" s="8" t="n"/>
      <c r="W4540" s="8" t="n"/>
      <c r="X4540" s="8" t="n"/>
      <c r="Y4540" s="8" t="n"/>
    </row>
    <row r="4541">
      <c r="A4541" s="8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9">
        <f>B4541+30</f>
        <v/>
      </c>
      <c r="N4541">
        <f>IF(L4541="", "", L4541-B4541)</f>
        <v/>
      </c>
      <c r="O4541">
        <f>IF(L4541="", "Pending", IF(N4541&lt;=30, "Met", "Breached"))</f>
        <v/>
      </c>
      <c r="P4541" s="8" t="n"/>
      <c r="Q4541" s="8" t="n"/>
      <c r="R4541" s="8" t="n"/>
      <c r="S4541" s="8" t="n"/>
      <c r="T4541" s="8" t="n"/>
      <c r="U4541" s="8" t="n"/>
      <c r="V4541" s="8" t="n"/>
      <c r="W4541" s="8" t="n"/>
      <c r="X4541" s="8" t="n"/>
      <c r="Y4541" s="8" t="n"/>
    </row>
    <row r="4542">
      <c r="A4542" s="8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9">
        <f>B4542+30</f>
        <v/>
      </c>
      <c r="N4542">
        <f>IF(L4542="", "", L4542-B4542)</f>
        <v/>
      </c>
      <c r="O4542">
        <f>IF(L4542="", "Pending", IF(N4542&lt;=30, "Met", "Breached"))</f>
        <v/>
      </c>
      <c r="P4542" s="8" t="n"/>
      <c r="Q4542" s="8" t="n"/>
      <c r="R4542" s="8" t="n"/>
      <c r="S4542" s="8" t="n"/>
      <c r="T4542" s="8" t="n"/>
      <c r="U4542" s="8" t="n"/>
      <c r="V4542" s="8" t="n"/>
      <c r="W4542" s="8" t="n"/>
      <c r="X4542" s="8" t="n"/>
      <c r="Y4542" s="8" t="n"/>
    </row>
    <row r="4543">
      <c r="A4543" s="8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9">
        <f>B4543+30</f>
        <v/>
      </c>
      <c r="N4543">
        <f>IF(L4543="", "", L4543-B4543)</f>
        <v/>
      </c>
      <c r="O4543">
        <f>IF(L4543="", "Pending", IF(N4543&lt;=30, "Met", "Breached"))</f>
        <v/>
      </c>
      <c r="P4543" s="8" t="n"/>
      <c r="Q4543" s="8" t="n"/>
      <c r="R4543" s="8" t="n"/>
      <c r="S4543" s="8" t="n"/>
      <c r="T4543" s="8" t="n"/>
      <c r="U4543" s="8" t="n"/>
      <c r="V4543" s="8" t="n"/>
      <c r="W4543" s="8" t="n"/>
      <c r="X4543" s="8" t="n"/>
      <c r="Y4543" s="8" t="n"/>
    </row>
    <row r="4544">
      <c r="A4544" s="8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9">
        <f>B4544+30</f>
        <v/>
      </c>
      <c r="N4544">
        <f>IF(L4544="", "", L4544-B4544)</f>
        <v/>
      </c>
      <c r="O4544">
        <f>IF(L4544="", "Pending", IF(N4544&lt;=30, "Met", "Breached"))</f>
        <v/>
      </c>
      <c r="P4544" s="8" t="n"/>
      <c r="Q4544" s="8" t="n"/>
      <c r="R4544" s="8" t="n"/>
      <c r="S4544" s="8" t="n"/>
      <c r="T4544" s="8" t="n"/>
      <c r="U4544" s="8" t="n"/>
      <c r="V4544" s="8" t="n"/>
      <c r="W4544" s="8" t="n"/>
      <c r="X4544" s="8" t="n"/>
      <c r="Y4544" s="8" t="n"/>
    </row>
    <row r="4545">
      <c r="A4545" s="8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9">
        <f>B4545+30</f>
        <v/>
      </c>
      <c r="N4545">
        <f>IF(L4545="", "", L4545-B4545)</f>
        <v/>
      </c>
      <c r="O4545">
        <f>IF(L4545="", "Pending", IF(N4545&lt;=30, "Met", "Breached"))</f>
        <v/>
      </c>
      <c r="P4545" s="8" t="n"/>
      <c r="Q4545" s="8" t="n"/>
      <c r="R4545" s="8" t="n"/>
      <c r="S4545" s="8" t="n"/>
      <c r="T4545" s="8" t="n"/>
      <c r="U4545" s="8" t="n"/>
      <c r="V4545" s="8" t="n"/>
      <c r="W4545" s="8" t="n"/>
      <c r="X4545" s="8" t="n"/>
      <c r="Y4545" s="8" t="n"/>
    </row>
    <row r="4546">
      <c r="A4546" s="8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9">
        <f>B4546+30</f>
        <v/>
      </c>
      <c r="N4546">
        <f>IF(L4546="", "", L4546-B4546)</f>
        <v/>
      </c>
      <c r="O4546">
        <f>IF(L4546="", "Pending", IF(N4546&lt;=30, "Met", "Breached"))</f>
        <v/>
      </c>
      <c r="P4546" s="8" t="n"/>
      <c r="Q4546" s="8" t="n"/>
      <c r="R4546" s="8" t="n"/>
      <c r="S4546" s="8" t="n"/>
      <c r="T4546" s="8" t="n"/>
      <c r="U4546" s="8" t="n"/>
      <c r="V4546" s="8" t="n"/>
      <c r="W4546" s="8" t="n"/>
      <c r="X4546" s="8" t="n"/>
      <c r="Y4546" s="8" t="n"/>
    </row>
    <row r="4547">
      <c r="A4547" s="8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9">
        <f>B4547+30</f>
        <v/>
      </c>
      <c r="N4547">
        <f>IF(L4547="", "", L4547-B4547)</f>
        <v/>
      </c>
      <c r="O4547">
        <f>IF(L4547="", "Pending", IF(N4547&lt;=30, "Met", "Breached"))</f>
        <v/>
      </c>
      <c r="P4547" s="8" t="n"/>
      <c r="Q4547" s="8" t="n"/>
      <c r="R4547" s="8" t="n"/>
      <c r="S4547" s="8" t="n"/>
      <c r="T4547" s="8" t="n"/>
      <c r="U4547" s="8" t="n"/>
      <c r="V4547" s="8" t="n"/>
      <c r="W4547" s="8" t="n"/>
      <c r="X4547" s="8" t="n"/>
      <c r="Y4547" s="8" t="n"/>
    </row>
    <row r="4548">
      <c r="A4548" s="8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9">
        <f>B4548+30</f>
        <v/>
      </c>
      <c r="N4548">
        <f>IF(L4548="", "", L4548-B4548)</f>
        <v/>
      </c>
      <c r="O4548">
        <f>IF(L4548="", "Pending", IF(N4548&lt;=30, "Met", "Breached"))</f>
        <v/>
      </c>
      <c r="P4548" s="8" t="n"/>
      <c r="Q4548" s="8" t="n"/>
      <c r="R4548" s="8" t="n"/>
      <c r="S4548" s="8" t="n"/>
      <c r="T4548" s="8" t="n"/>
      <c r="U4548" s="8" t="n"/>
      <c r="V4548" s="8" t="n"/>
      <c r="W4548" s="8" t="n"/>
      <c r="X4548" s="8" t="n"/>
      <c r="Y4548" s="8" t="n"/>
    </row>
    <row r="4549">
      <c r="A4549" s="8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9">
        <f>B4549+30</f>
        <v/>
      </c>
      <c r="N4549">
        <f>IF(L4549="", "", L4549-B4549)</f>
        <v/>
      </c>
      <c r="O4549">
        <f>IF(L4549="", "Pending", IF(N4549&lt;=30, "Met", "Breached"))</f>
        <v/>
      </c>
      <c r="P4549" s="8" t="n"/>
      <c r="Q4549" s="8" t="n"/>
      <c r="R4549" s="8" t="n"/>
      <c r="S4549" s="8" t="n"/>
      <c r="T4549" s="8" t="n"/>
      <c r="U4549" s="8" t="n"/>
      <c r="V4549" s="8" t="n"/>
      <c r="W4549" s="8" t="n"/>
      <c r="X4549" s="8" t="n"/>
      <c r="Y4549" s="8" t="n"/>
    </row>
    <row r="4550">
      <c r="A4550" s="8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9">
        <f>B4550+30</f>
        <v/>
      </c>
      <c r="N4550">
        <f>IF(L4550="", "", L4550-B4550)</f>
        <v/>
      </c>
      <c r="O4550">
        <f>IF(L4550="", "Pending", IF(N4550&lt;=30, "Met", "Breached"))</f>
        <v/>
      </c>
      <c r="P4550" s="8" t="n"/>
      <c r="Q4550" s="8" t="n"/>
      <c r="R4550" s="8" t="n"/>
      <c r="S4550" s="8" t="n"/>
      <c r="T4550" s="8" t="n"/>
      <c r="U4550" s="8" t="n"/>
      <c r="V4550" s="8" t="n"/>
      <c r="W4550" s="8" t="n"/>
      <c r="X4550" s="8" t="n"/>
      <c r="Y4550" s="8" t="n"/>
    </row>
    <row r="4551">
      <c r="A4551" s="8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9">
        <f>B4551+30</f>
        <v/>
      </c>
      <c r="N4551">
        <f>IF(L4551="", "", L4551-B4551)</f>
        <v/>
      </c>
      <c r="O4551">
        <f>IF(L4551="", "Pending", IF(N4551&lt;=30, "Met", "Breached"))</f>
        <v/>
      </c>
      <c r="P4551" s="8" t="n"/>
      <c r="Q4551" s="8" t="n"/>
      <c r="R4551" s="8" t="n"/>
      <c r="S4551" s="8" t="n"/>
      <c r="T4551" s="8" t="n"/>
      <c r="U4551" s="8" t="n"/>
      <c r="V4551" s="8" t="n"/>
      <c r="W4551" s="8" t="n"/>
      <c r="X4551" s="8" t="n"/>
      <c r="Y4551" s="8" t="n"/>
    </row>
    <row r="4552">
      <c r="A4552" s="8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9">
        <f>B4552+30</f>
        <v/>
      </c>
      <c r="N4552">
        <f>IF(L4552="", "", L4552-B4552)</f>
        <v/>
      </c>
      <c r="O4552">
        <f>IF(L4552="", "Pending", IF(N4552&lt;=30, "Met", "Breached"))</f>
        <v/>
      </c>
      <c r="P4552" s="8" t="n"/>
      <c r="Q4552" s="8" t="n"/>
      <c r="R4552" s="8" t="n"/>
      <c r="S4552" s="8" t="n"/>
      <c r="T4552" s="8" t="n"/>
      <c r="U4552" s="8" t="n"/>
      <c r="V4552" s="8" t="n"/>
      <c r="W4552" s="8" t="n"/>
      <c r="X4552" s="8" t="n"/>
      <c r="Y4552" s="8" t="n"/>
    </row>
    <row r="4553">
      <c r="A4553" s="8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9">
        <f>B4553+30</f>
        <v/>
      </c>
      <c r="N4553">
        <f>IF(L4553="", "", L4553-B4553)</f>
        <v/>
      </c>
      <c r="O4553">
        <f>IF(L4553="", "Pending", IF(N4553&lt;=30, "Met", "Breached"))</f>
        <v/>
      </c>
      <c r="P4553" s="8" t="n"/>
      <c r="Q4553" s="8" t="n"/>
      <c r="R4553" s="8" t="n"/>
      <c r="S4553" s="8" t="n"/>
      <c r="T4553" s="8" t="n"/>
      <c r="U4553" s="8" t="n"/>
      <c r="V4553" s="8" t="n"/>
      <c r="W4553" s="8" t="n"/>
      <c r="X4553" s="8" t="n"/>
      <c r="Y4553" s="8" t="n"/>
    </row>
    <row r="4554">
      <c r="A4554" s="8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9">
        <f>B4554+30</f>
        <v/>
      </c>
      <c r="N4554">
        <f>IF(L4554="", "", L4554-B4554)</f>
        <v/>
      </c>
      <c r="O4554">
        <f>IF(L4554="", "Pending", IF(N4554&lt;=30, "Met", "Breached"))</f>
        <v/>
      </c>
      <c r="P4554" s="8" t="n"/>
      <c r="Q4554" s="8" t="n"/>
      <c r="R4554" s="8" t="n"/>
      <c r="S4554" s="8" t="n"/>
      <c r="T4554" s="8" t="n"/>
      <c r="U4554" s="8" t="n"/>
      <c r="V4554" s="8" t="n"/>
      <c r="W4554" s="8" t="n"/>
      <c r="X4554" s="8" t="n"/>
      <c r="Y4554" s="8" t="n"/>
    </row>
    <row r="4555">
      <c r="A4555" s="8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9">
        <f>B4555+30</f>
        <v/>
      </c>
      <c r="N4555">
        <f>IF(L4555="", "", L4555-B4555)</f>
        <v/>
      </c>
      <c r="O4555">
        <f>IF(L4555="", "Pending", IF(N4555&lt;=30, "Met", "Breached"))</f>
        <v/>
      </c>
      <c r="P4555" s="8" t="n"/>
      <c r="Q4555" s="8" t="n"/>
      <c r="R4555" s="8" t="n"/>
      <c r="S4555" s="8" t="n"/>
      <c r="T4555" s="8" t="n"/>
      <c r="U4555" s="8" t="n"/>
      <c r="V4555" s="8" t="n"/>
      <c r="W4555" s="8" t="n"/>
      <c r="X4555" s="8" t="n"/>
      <c r="Y4555" s="8" t="n"/>
    </row>
    <row r="4556">
      <c r="A4556" s="8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9">
        <f>B4556+30</f>
        <v/>
      </c>
      <c r="N4556">
        <f>IF(L4556="", "", L4556-B4556)</f>
        <v/>
      </c>
      <c r="O4556">
        <f>IF(L4556="", "Pending", IF(N4556&lt;=30, "Met", "Breached"))</f>
        <v/>
      </c>
      <c r="P4556" s="8" t="n"/>
      <c r="Q4556" s="8" t="n"/>
      <c r="R4556" s="8" t="n"/>
      <c r="S4556" s="8" t="n"/>
      <c r="T4556" s="8" t="n"/>
      <c r="U4556" s="8" t="n"/>
      <c r="V4556" s="8" t="n"/>
      <c r="W4556" s="8" t="n"/>
      <c r="X4556" s="8" t="n"/>
      <c r="Y4556" s="8" t="n"/>
    </row>
    <row r="4557">
      <c r="A4557" s="8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9">
        <f>B4557+30</f>
        <v/>
      </c>
      <c r="N4557">
        <f>IF(L4557="", "", L4557-B4557)</f>
        <v/>
      </c>
      <c r="O4557">
        <f>IF(L4557="", "Pending", IF(N4557&lt;=30, "Met", "Breached"))</f>
        <v/>
      </c>
      <c r="P4557" s="8" t="n"/>
      <c r="Q4557" s="8" t="n"/>
      <c r="R4557" s="8" t="n"/>
      <c r="S4557" s="8" t="n"/>
      <c r="T4557" s="8" t="n"/>
      <c r="U4557" s="8" t="n"/>
      <c r="V4557" s="8" t="n"/>
      <c r="W4557" s="8" t="n"/>
      <c r="X4557" s="8" t="n"/>
      <c r="Y4557" s="8" t="n"/>
    </row>
    <row r="4558">
      <c r="A4558" s="8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9">
        <f>B4558+30</f>
        <v/>
      </c>
      <c r="N4558">
        <f>IF(L4558="", "", L4558-B4558)</f>
        <v/>
      </c>
      <c r="O4558">
        <f>IF(L4558="", "Pending", IF(N4558&lt;=30, "Met", "Breached"))</f>
        <v/>
      </c>
      <c r="P4558" s="8" t="n"/>
      <c r="Q4558" s="8" t="n"/>
      <c r="R4558" s="8" t="n"/>
      <c r="S4558" s="8" t="n"/>
      <c r="T4558" s="8" t="n"/>
      <c r="U4558" s="8" t="n"/>
      <c r="V4558" s="8" t="n"/>
      <c r="W4558" s="8" t="n"/>
      <c r="X4558" s="8" t="n"/>
      <c r="Y4558" s="8" t="n"/>
    </row>
    <row r="4559">
      <c r="A4559" s="8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9">
        <f>B4559+30</f>
        <v/>
      </c>
      <c r="N4559">
        <f>IF(L4559="", "", L4559-B4559)</f>
        <v/>
      </c>
      <c r="O4559">
        <f>IF(L4559="", "Pending", IF(N4559&lt;=30, "Met", "Breached"))</f>
        <v/>
      </c>
      <c r="P4559" s="8" t="n"/>
      <c r="Q4559" s="8" t="n"/>
      <c r="R4559" s="8" t="n"/>
      <c r="S4559" s="8" t="n"/>
      <c r="T4559" s="8" t="n"/>
      <c r="U4559" s="8" t="n"/>
      <c r="V4559" s="8" t="n"/>
      <c r="W4559" s="8" t="n"/>
      <c r="X4559" s="8" t="n"/>
      <c r="Y4559" s="8" t="n"/>
    </row>
    <row r="4560">
      <c r="A4560" s="8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9">
        <f>B4560+30</f>
        <v/>
      </c>
      <c r="N4560">
        <f>IF(L4560="", "", L4560-B4560)</f>
        <v/>
      </c>
      <c r="O4560">
        <f>IF(L4560="", "Pending", IF(N4560&lt;=30, "Met", "Breached"))</f>
        <v/>
      </c>
      <c r="P4560" s="8" t="n"/>
      <c r="Q4560" s="8" t="n"/>
      <c r="R4560" s="8" t="n"/>
      <c r="S4560" s="8" t="n"/>
      <c r="T4560" s="8" t="n"/>
      <c r="U4560" s="8" t="n"/>
      <c r="V4560" s="8" t="n"/>
      <c r="W4560" s="8" t="n"/>
      <c r="X4560" s="8" t="n"/>
      <c r="Y4560" s="8" t="n"/>
    </row>
    <row r="4561">
      <c r="A4561" s="8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9">
        <f>B4561+30</f>
        <v/>
      </c>
      <c r="N4561">
        <f>IF(L4561="", "", L4561-B4561)</f>
        <v/>
      </c>
      <c r="O4561">
        <f>IF(L4561="", "Pending", IF(N4561&lt;=30, "Met", "Breached"))</f>
        <v/>
      </c>
      <c r="P4561" s="8" t="n"/>
      <c r="Q4561" s="8" t="n"/>
      <c r="R4561" s="8" t="n"/>
      <c r="S4561" s="8" t="n"/>
      <c r="T4561" s="8" t="n"/>
      <c r="U4561" s="8" t="n"/>
      <c r="V4561" s="8" t="n"/>
      <c r="W4561" s="8" t="n"/>
      <c r="X4561" s="8" t="n"/>
      <c r="Y4561" s="8" t="n"/>
    </row>
    <row r="4562">
      <c r="A4562" s="8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9">
        <f>B4562+30</f>
        <v/>
      </c>
      <c r="N4562">
        <f>IF(L4562="", "", L4562-B4562)</f>
        <v/>
      </c>
      <c r="O4562">
        <f>IF(L4562="", "Pending", IF(N4562&lt;=30, "Met", "Breached"))</f>
        <v/>
      </c>
      <c r="P4562" s="8" t="n"/>
      <c r="Q4562" s="8" t="n"/>
      <c r="R4562" s="8" t="n"/>
      <c r="S4562" s="8" t="n"/>
      <c r="T4562" s="8" t="n"/>
      <c r="U4562" s="8" t="n"/>
      <c r="V4562" s="8" t="n"/>
      <c r="W4562" s="8" t="n"/>
      <c r="X4562" s="8" t="n"/>
      <c r="Y4562" s="8" t="n"/>
    </row>
    <row r="4563">
      <c r="A4563" s="8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9">
        <f>B4563+30</f>
        <v/>
      </c>
      <c r="N4563">
        <f>IF(L4563="", "", L4563-B4563)</f>
        <v/>
      </c>
      <c r="O4563">
        <f>IF(L4563="", "Pending", IF(N4563&lt;=30, "Met", "Breached"))</f>
        <v/>
      </c>
      <c r="P4563" s="8" t="n"/>
      <c r="Q4563" s="8" t="n"/>
      <c r="R4563" s="8" t="n"/>
      <c r="S4563" s="8" t="n"/>
      <c r="T4563" s="8" t="n"/>
      <c r="U4563" s="8" t="n"/>
      <c r="V4563" s="8" t="n"/>
      <c r="W4563" s="8" t="n"/>
      <c r="X4563" s="8" t="n"/>
      <c r="Y4563" s="8" t="n"/>
    </row>
    <row r="4564">
      <c r="A4564" s="8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9">
        <f>B4564+30</f>
        <v/>
      </c>
      <c r="N4564">
        <f>IF(L4564="", "", L4564-B4564)</f>
        <v/>
      </c>
      <c r="O4564">
        <f>IF(L4564="", "Pending", IF(N4564&lt;=30, "Met", "Breached"))</f>
        <v/>
      </c>
      <c r="P4564" s="8" t="n"/>
      <c r="Q4564" s="8" t="n"/>
      <c r="R4564" s="8" t="n"/>
      <c r="S4564" s="8" t="n"/>
      <c r="T4564" s="8" t="n"/>
      <c r="U4564" s="8" t="n"/>
      <c r="V4564" s="8" t="n"/>
      <c r="W4564" s="8" t="n"/>
      <c r="X4564" s="8" t="n"/>
      <c r="Y4564" s="8" t="n"/>
    </row>
    <row r="4565">
      <c r="A4565" s="8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9">
        <f>B4565+30</f>
        <v/>
      </c>
      <c r="N4565">
        <f>IF(L4565="", "", L4565-B4565)</f>
        <v/>
      </c>
      <c r="O4565">
        <f>IF(L4565="", "Pending", IF(N4565&lt;=30, "Met", "Breached"))</f>
        <v/>
      </c>
      <c r="P4565" s="8" t="n"/>
      <c r="Q4565" s="8" t="n"/>
      <c r="R4565" s="8" t="n"/>
      <c r="S4565" s="8" t="n"/>
      <c r="T4565" s="8" t="n"/>
      <c r="U4565" s="8" t="n"/>
      <c r="V4565" s="8" t="n"/>
      <c r="W4565" s="8" t="n"/>
      <c r="X4565" s="8" t="n"/>
      <c r="Y4565" s="8" t="n"/>
    </row>
    <row r="4566">
      <c r="A4566" s="8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9">
        <f>B4566+30</f>
        <v/>
      </c>
      <c r="N4566">
        <f>IF(L4566="", "", L4566-B4566)</f>
        <v/>
      </c>
      <c r="O4566">
        <f>IF(L4566="", "Pending", IF(N4566&lt;=30, "Met", "Breached"))</f>
        <v/>
      </c>
      <c r="P4566" s="8" t="n"/>
      <c r="Q4566" s="8" t="n"/>
      <c r="R4566" s="8" t="n"/>
      <c r="S4566" s="8" t="n"/>
      <c r="T4566" s="8" t="n"/>
      <c r="U4566" s="8" t="n"/>
      <c r="V4566" s="8" t="n"/>
      <c r="W4566" s="8" t="n"/>
      <c r="X4566" s="8" t="n"/>
      <c r="Y4566" s="8" t="n"/>
    </row>
    <row r="4567">
      <c r="A4567" s="8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9">
        <f>B4567+30</f>
        <v/>
      </c>
      <c r="N4567">
        <f>IF(L4567="", "", L4567-B4567)</f>
        <v/>
      </c>
      <c r="O4567">
        <f>IF(L4567="", "Pending", IF(N4567&lt;=30, "Met", "Breached"))</f>
        <v/>
      </c>
      <c r="P4567" s="8" t="n"/>
      <c r="Q4567" s="8" t="n"/>
      <c r="R4567" s="8" t="n"/>
      <c r="S4567" s="8" t="n"/>
      <c r="T4567" s="8" t="n"/>
      <c r="U4567" s="8" t="n"/>
      <c r="V4567" s="8" t="n"/>
      <c r="W4567" s="8" t="n"/>
      <c r="X4567" s="8" t="n"/>
      <c r="Y4567" s="8" t="n"/>
    </row>
    <row r="4568">
      <c r="A4568" s="8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9">
        <f>B4568+30</f>
        <v/>
      </c>
      <c r="N4568">
        <f>IF(L4568="", "", L4568-B4568)</f>
        <v/>
      </c>
      <c r="O4568">
        <f>IF(L4568="", "Pending", IF(N4568&lt;=30, "Met", "Breached"))</f>
        <v/>
      </c>
      <c r="P4568" s="8" t="n"/>
      <c r="Q4568" s="8" t="n"/>
      <c r="R4568" s="8" t="n"/>
      <c r="S4568" s="8" t="n"/>
      <c r="T4568" s="8" t="n"/>
      <c r="U4568" s="8" t="n"/>
      <c r="V4568" s="8" t="n"/>
      <c r="W4568" s="8" t="n"/>
      <c r="X4568" s="8" t="n"/>
      <c r="Y4568" s="8" t="n"/>
    </row>
    <row r="4569">
      <c r="A4569" s="8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9">
        <f>B4569+30</f>
        <v/>
      </c>
      <c r="N4569">
        <f>IF(L4569="", "", L4569-B4569)</f>
        <v/>
      </c>
      <c r="O4569">
        <f>IF(L4569="", "Pending", IF(N4569&lt;=30, "Met", "Breached"))</f>
        <v/>
      </c>
      <c r="P4569" s="8" t="n"/>
      <c r="Q4569" s="8" t="n"/>
      <c r="R4569" s="8" t="n"/>
      <c r="S4569" s="8" t="n"/>
      <c r="T4569" s="8" t="n"/>
      <c r="U4569" s="8" t="n"/>
      <c r="V4569" s="8" t="n"/>
      <c r="W4569" s="8" t="n"/>
      <c r="X4569" s="8" t="n"/>
      <c r="Y4569" s="8" t="n"/>
    </row>
    <row r="4570">
      <c r="A4570" s="8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9">
        <f>B4570+30</f>
        <v/>
      </c>
      <c r="N4570">
        <f>IF(L4570="", "", L4570-B4570)</f>
        <v/>
      </c>
      <c r="O4570">
        <f>IF(L4570="", "Pending", IF(N4570&lt;=30, "Met", "Breached"))</f>
        <v/>
      </c>
      <c r="P4570" s="8" t="n"/>
      <c r="Q4570" s="8" t="n"/>
      <c r="R4570" s="8" t="n"/>
      <c r="S4570" s="8" t="n"/>
      <c r="T4570" s="8" t="n"/>
      <c r="U4570" s="8" t="n"/>
      <c r="V4570" s="8" t="n"/>
      <c r="W4570" s="8" t="n"/>
      <c r="X4570" s="8" t="n"/>
      <c r="Y4570" s="8" t="n"/>
    </row>
    <row r="4571">
      <c r="A4571" s="8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9">
        <f>B4571+30</f>
        <v/>
      </c>
      <c r="N4571">
        <f>IF(L4571="", "", L4571-B4571)</f>
        <v/>
      </c>
      <c r="O4571">
        <f>IF(L4571="", "Pending", IF(N4571&lt;=30, "Met", "Breached"))</f>
        <v/>
      </c>
      <c r="P4571" s="8" t="n"/>
      <c r="Q4571" s="8" t="n"/>
      <c r="R4571" s="8" t="n"/>
      <c r="S4571" s="8" t="n"/>
      <c r="T4571" s="8" t="n"/>
      <c r="U4571" s="8" t="n"/>
      <c r="V4571" s="8" t="n"/>
      <c r="W4571" s="8" t="n"/>
      <c r="X4571" s="8" t="n"/>
      <c r="Y4571" s="8" t="n"/>
    </row>
    <row r="4572">
      <c r="A4572" s="8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9">
        <f>B4572+30</f>
        <v/>
      </c>
      <c r="N4572">
        <f>IF(L4572="", "", L4572-B4572)</f>
        <v/>
      </c>
      <c r="O4572">
        <f>IF(L4572="", "Pending", IF(N4572&lt;=30, "Met", "Breached"))</f>
        <v/>
      </c>
      <c r="P4572" s="8" t="n"/>
      <c r="Q4572" s="8" t="n"/>
      <c r="R4572" s="8" t="n"/>
      <c r="S4572" s="8" t="n"/>
      <c r="T4572" s="8" t="n"/>
      <c r="U4572" s="8" t="n"/>
      <c r="V4572" s="8" t="n"/>
      <c r="W4572" s="8" t="n"/>
      <c r="X4572" s="8" t="n"/>
      <c r="Y4572" s="8" t="n"/>
    </row>
    <row r="4573">
      <c r="A4573" s="8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9">
        <f>B4573+30</f>
        <v/>
      </c>
      <c r="N4573">
        <f>IF(L4573="", "", L4573-B4573)</f>
        <v/>
      </c>
      <c r="O4573">
        <f>IF(L4573="", "Pending", IF(N4573&lt;=30, "Met", "Breached"))</f>
        <v/>
      </c>
      <c r="P4573" s="8" t="n"/>
      <c r="Q4573" s="8" t="n"/>
      <c r="R4573" s="8" t="n"/>
      <c r="S4573" s="8" t="n"/>
      <c r="T4573" s="8" t="n"/>
      <c r="U4573" s="8" t="n"/>
      <c r="V4573" s="8" t="n"/>
      <c r="W4573" s="8" t="n"/>
      <c r="X4573" s="8" t="n"/>
      <c r="Y4573" s="8" t="n"/>
    </row>
    <row r="4574">
      <c r="A4574" s="8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9">
        <f>B4574+30</f>
        <v/>
      </c>
      <c r="N4574">
        <f>IF(L4574="", "", L4574-B4574)</f>
        <v/>
      </c>
      <c r="O4574">
        <f>IF(L4574="", "Pending", IF(N4574&lt;=30, "Met", "Breached"))</f>
        <v/>
      </c>
      <c r="P4574" s="8" t="n"/>
      <c r="Q4574" s="8" t="n"/>
      <c r="R4574" s="8" t="n"/>
      <c r="S4574" s="8" t="n"/>
      <c r="T4574" s="8" t="n"/>
      <c r="U4574" s="8" t="n"/>
      <c r="V4574" s="8" t="n"/>
      <c r="W4574" s="8" t="n"/>
      <c r="X4574" s="8" t="n"/>
      <c r="Y4574" s="8" t="n"/>
    </row>
    <row r="4575">
      <c r="A4575" s="8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9">
        <f>B4575+30</f>
        <v/>
      </c>
      <c r="N4575">
        <f>IF(L4575="", "", L4575-B4575)</f>
        <v/>
      </c>
      <c r="O4575">
        <f>IF(L4575="", "Pending", IF(N4575&lt;=30, "Met", "Breached"))</f>
        <v/>
      </c>
      <c r="P4575" s="8" t="n"/>
      <c r="Q4575" s="8" t="n"/>
      <c r="R4575" s="8" t="n"/>
      <c r="S4575" s="8" t="n"/>
      <c r="T4575" s="8" t="n"/>
      <c r="U4575" s="8" t="n"/>
      <c r="V4575" s="8" t="n"/>
      <c r="W4575" s="8" t="n"/>
      <c r="X4575" s="8" t="n"/>
      <c r="Y4575" s="8" t="n"/>
    </row>
    <row r="4576">
      <c r="A4576" s="8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9">
        <f>B4576+30</f>
        <v/>
      </c>
      <c r="N4576">
        <f>IF(L4576="", "", L4576-B4576)</f>
        <v/>
      </c>
      <c r="O4576">
        <f>IF(L4576="", "Pending", IF(N4576&lt;=30, "Met", "Breached"))</f>
        <v/>
      </c>
      <c r="P4576" s="8" t="n"/>
      <c r="Q4576" s="8" t="n"/>
      <c r="R4576" s="8" t="n"/>
      <c r="S4576" s="8" t="n"/>
      <c r="T4576" s="8" t="n"/>
      <c r="U4576" s="8" t="n"/>
      <c r="V4576" s="8" t="n"/>
      <c r="W4576" s="8" t="n"/>
      <c r="X4576" s="8" t="n"/>
      <c r="Y4576" s="8" t="n"/>
    </row>
    <row r="4577">
      <c r="A4577" s="8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9">
        <f>B4577+30</f>
        <v/>
      </c>
      <c r="N4577">
        <f>IF(L4577="", "", L4577-B4577)</f>
        <v/>
      </c>
      <c r="O4577">
        <f>IF(L4577="", "Pending", IF(N4577&lt;=30, "Met", "Breached"))</f>
        <v/>
      </c>
      <c r="P4577" s="8" t="n"/>
      <c r="Q4577" s="8" t="n"/>
      <c r="R4577" s="8" t="n"/>
      <c r="S4577" s="8" t="n"/>
      <c r="T4577" s="8" t="n"/>
      <c r="U4577" s="8" t="n"/>
      <c r="V4577" s="8" t="n"/>
      <c r="W4577" s="8" t="n"/>
      <c r="X4577" s="8" t="n"/>
      <c r="Y4577" s="8" t="n"/>
    </row>
    <row r="4578">
      <c r="A4578" s="8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9">
        <f>B4578+30</f>
        <v/>
      </c>
      <c r="N4578">
        <f>IF(L4578="", "", L4578-B4578)</f>
        <v/>
      </c>
      <c r="O4578">
        <f>IF(L4578="", "Pending", IF(N4578&lt;=30, "Met", "Breached"))</f>
        <v/>
      </c>
      <c r="P4578" s="8" t="n"/>
      <c r="Q4578" s="8" t="n"/>
      <c r="R4578" s="8" t="n"/>
      <c r="S4578" s="8" t="n"/>
      <c r="T4578" s="8" t="n"/>
      <c r="U4578" s="8" t="n"/>
      <c r="V4578" s="8" t="n"/>
      <c r="W4578" s="8" t="n"/>
      <c r="X4578" s="8" t="n"/>
      <c r="Y4578" s="8" t="n"/>
    </row>
    <row r="4579">
      <c r="A4579" s="8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9">
        <f>B4579+30</f>
        <v/>
      </c>
      <c r="N4579">
        <f>IF(L4579="", "", L4579-B4579)</f>
        <v/>
      </c>
      <c r="O4579">
        <f>IF(L4579="", "Pending", IF(N4579&lt;=30, "Met", "Breached"))</f>
        <v/>
      </c>
      <c r="P4579" s="8" t="n"/>
      <c r="Q4579" s="8" t="n"/>
      <c r="R4579" s="8" t="n"/>
      <c r="S4579" s="8" t="n"/>
      <c r="T4579" s="8" t="n"/>
      <c r="U4579" s="8" t="n"/>
      <c r="V4579" s="8" t="n"/>
      <c r="W4579" s="8" t="n"/>
      <c r="X4579" s="8" t="n"/>
      <c r="Y4579" s="8" t="n"/>
    </row>
    <row r="4580">
      <c r="A4580" s="8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9">
        <f>B4580+30</f>
        <v/>
      </c>
      <c r="N4580">
        <f>IF(L4580="", "", L4580-B4580)</f>
        <v/>
      </c>
      <c r="O4580">
        <f>IF(L4580="", "Pending", IF(N4580&lt;=30, "Met", "Breached"))</f>
        <v/>
      </c>
      <c r="P4580" s="8" t="n"/>
      <c r="Q4580" s="8" t="n"/>
      <c r="R4580" s="8" t="n"/>
      <c r="S4580" s="8" t="n"/>
      <c r="T4580" s="8" t="n"/>
      <c r="U4580" s="8" t="n"/>
      <c r="V4580" s="8" t="n"/>
      <c r="W4580" s="8" t="n"/>
      <c r="X4580" s="8" t="n"/>
      <c r="Y4580" s="8" t="n"/>
    </row>
    <row r="4581">
      <c r="A4581" s="8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9">
        <f>B4581+30</f>
        <v/>
      </c>
      <c r="N4581">
        <f>IF(L4581="", "", L4581-B4581)</f>
        <v/>
      </c>
      <c r="O4581">
        <f>IF(L4581="", "Pending", IF(N4581&lt;=30, "Met", "Breached"))</f>
        <v/>
      </c>
      <c r="P4581" s="8" t="n"/>
      <c r="Q4581" s="8" t="n"/>
      <c r="R4581" s="8" t="n"/>
      <c r="S4581" s="8" t="n"/>
      <c r="T4581" s="8" t="n"/>
      <c r="U4581" s="8" t="n"/>
      <c r="V4581" s="8" t="n"/>
      <c r="W4581" s="8" t="n"/>
      <c r="X4581" s="8" t="n"/>
      <c r="Y4581" s="8" t="n"/>
    </row>
    <row r="4582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9">
        <f>B4582+30</f>
        <v/>
      </c>
      <c r="N4582">
        <f>IF(L4582="", "", L4582-B4582)</f>
        <v/>
      </c>
      <c r="O4582">
        <f>IF(L4582="", "Pending", IF(N4582&lt;=30, "Met", "Breached"))</f>
        <v/>
      </c>
      <c r="P4582" s="8" t="n"/>
      <c r="Q4582" s="8" t="n"/>
      <c r="R4582" s="8" t="n"/>
      <c r="S4582" s="8" t="n"/>
      <c r="T4582" s="8" t="n"/>
      <c r="U4582" s="8" t="n"/>
      <c r="V4582" s="8" t="n"/>
      <c r="W4582" s="8" t="n"/>
      <c r="X4582" s="8" t="n"/>
      <c r="Y4582" s="8" t="n"/>
    </row>
    <row r="4583">
      <c r="A4583" s="8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9">
        <f>B4583+30</f>
        <v/>
      </c>
      <c r="N4583">
        <f>IF(L4583="", "", L4583-B4583)</f>
        <v/>
      </c>
      <c r="O4583">
        <f>IF(L4583="", "Pending", IF(N4583&lt;=30, "Met", "Breached"))</f>
        <v/>
      </c>
      <c r="P4583" s="8" t="n"/>
      <c r="Q4583" s="8" t="n"/>
      <c r="R4583" s="8" t="n"/>
      <c r="S4583" s="8" t="n"/>
      <c r="T4583" s="8" t="n"/>
      <c r="U4583" s="8" t="n"/>
      <c r="V4583" s="8" t="n"/>
      <c r="W4583" s="8" t="n"/>
      <c r="X4583" s="8" t="n"/>
      <c r="Y4583" s="8" t="n"/>
    </row>
    <row r="4584">
      <c r="A4584" s="8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9">
        <f>B4584+30</f>
        <v/>
      </c>
      <c r="N4584">
        <f>IF(L4584="", "", L4584-B4584)</f>
        <v/>
      </c>
      <c r="O4584">
        <f>IF(L4584="", "Pending", IF(N4584&lt;=30, "Met", "Breached"))</f>
        <v/>
      </c>
      <c r="P4584" s="8" t="n"/>
      <c r="Q4584" s="8" t="n"/>
      <c r="R4584" s="8" t="n"/>
      <c r="S4584" s="8" t="n"/>
      <c r="T4584" s="8" t="n"/>
      <c r="U4584" s="8" t="n"/>
      <c r="V4584" s="8" t="n"/>
      <c r="W4584" s="8" t="n"/>
      <c r="X4584" s="8" t="n"/>
      <c r="Y4584" s="8" t="n"/>
    </row>
    <row r="4585">
      <c r="A4585" s="8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9">
        <f>B4585+30</f>
        <v/>
      </c>
      <c r="N4585">
        <f>IF(L4585="", "", L4585-B4585)</f>
        <v/>
      </c>
      <c r="O4585">
        <f>IF(L4585="", "Pending", IF(N4585&lt;=30, "Met", "Breached"))</f>
        <v/>
      </c>
      <c r="P4585" s="8" t="n"/>
      <c r="Q4585" s="8" t="n"/>
      <c r="R4585" s="8" t="n"/>
      <c r="S4585" s="8" t="n"/>
      <c r="T4585" s="8" t="n"/>
      <c r="U4585" s="8" t="n"/>
      <c r="V4585" s="8" t="n"/>
      <c r="W4585" s="8" t="n"/>
      <c r="X4585" s="8" t="n"/>
      <c r="Y4585" s="8" t="n"/>
    </row>
    <row r="4586">
      <c r="A4586" s="8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9">
        <f>B4586+30</f>
        <v/>
      </c>
      <c r="N4586">
        <f>IF(L4586="", "", L4586-B4586)</f>
        <v/>
      </c>
      <c r="O4586">
        <f>IF(L4586="", "Pending", IF(N4586&lt;=30, "Met", "Breached"))</f>
        <v/>
      </c>
      <c r="P4586" s="8" t="n"/>
      <c r="Q4586" s="8" t="n"/>
      <c r="R4586" s="8" t="n"/>
      <c r="S4586" s="8" t="n"/>
      <c r="T4586" s="8" t="n"/>
      <c r="U4586" s="8" t="n"/>
      <c r="V4586" s="8" t="n"/>
      <c r="W4586" s="8" t="n"/>
      <c r="X4586" s="8" t="n"/>
      <c r="Y4586" s="8" t="n"/>
    </row>
    <row r="4587">
      <c r="A4587" s="8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9">
        <f>B4587+30</f>
        <v/>
      </c>
      <c r="N4587">
        <f>IF(L4587="", "", L4587-B4587)</f>
        <v/>
      </c>
      <c r="O4587">
        <f>IF(L4587="", "Pending", IF(N4587&lt;=30, "Met", "Breached"))</f>
        <v/>
      </c>
      <c r="P4587" s="8" t="n"/>
      <c r="Q4587" s="8" t="n"/>
      <c r="R4587" s="8" t="n"/>
      <c r="S4587" s="8" t="n"/>
      <c r="T4587" s="8" t="n"/>
      <c r="U4587" s="8" t="n"/>
      <c r="V4587" s="8" t="n"/>
      <c r="W4587" s="8" t="n"/>
      <c r="X4587" s="8" t="n"/>
      <c r="Y4587" s="8" t="n"/>
    </row>
    <row r="4588">
      <c r="A4588" s="8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9">
        <f>B4588+30</f>
        <v/>
      </c>
      <c r="N4588">
        <f>IF(L4588="", "", L4588-B4588)</f>
        <v/>
      </c>
      <c r="O4588">
        <f>IF(L4588="", "Pending", IF(N4588&lt;=30, "Met", "Breached"))</f>
        <v/>
      </c>
      <c r="P4588" s="8" t="n"/>
      <c r="Q4588" s="8" t="n"/>
      <c r="R4588" s="8" t="n"/>
      <c r="S4588" s="8" t="n"/>
      <c r="T4588" s="8" t="n"/>
      <c r="U4588" s="8" t="n"/>
      <c r="V4588" s="8" t="n"/>
      <c r="W4588" s="8" t="n"/>
      <c r="X4588" s="8" t="n"/>
      <c r="Y4588" s="8" t="n"/>
    </row>
    <row r="4589">
      <c r="A4589" s="8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9">
        <f>B4589+30</f>
        <v/>
      </c>
      <c r="N4589">
        <f>IF(L4589="", "", L4589-B4589)</f>
        <v/>
      </c>
      <c r="O4589">
        <f>IF(L4589="", "Pending", IF(N4589&lt;=30, "Met", "Breached"))</f>
        <v/>
      </c>
      <c r="P4589" s="8" t="n"/>
      <c r="Q4589" s="8" t="n"/>
      <c r="R4589" s="8" t="n"/>
      <c r="S4589" s="8" t="n"/>
      <c r="T4589" s="8" t="n"/>
      <c r="U4589" s="8" t="n"/>
      <c r="V4589" s="8" t="n"/>
      <c r="W4589" s="8" t="n"/>
      <c r="X4589" s="8" t="n"/>
      <c r="Y4589" s="8" t="n"/>
    </row>
    <row r="4590">
      <c r="A4590" s="8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9">
        <f>B4590+30</f>
        <v/>
      </c>
      <c r="N4590">
        <f>IF(L4590="", "", L4590-B4590)</f>
        <v/>
      </c>
      <c r="O4590">
        <f>IF(L4590="", "Pending", IF(N4590&lt;=30, "Met", "Breached"))</f>
        <v/>
      </c>
      <c r="P4590" s="8" t="n"/>
      <c r="Q4590" s="8" t="n"/>
      <c r="R4590" s="8" t="n"/>
      <c r="S4590" s="8" t="n"/>
      <c r="T4590" s="8" t="n"/>
      <c r="U4590" s="8" t="n"/>
      <c r="V4590" s="8" t="n"/>
      <c r="W4590" s="8" t="n"/>
      <c r="X4590" s="8" t="n"/>
      <c r="Y4590" s="8" t="n"/>
    </row>
    <row r="4591">
      <c r="A4591" s="8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9">
        <f>B4591+30</f>
        <v/>
      </c>
      <c r="N4591">
        <f>IF(L4591="", "", L4591-B4591)</f>
        <v/>
      </c>
      <c r="O4591">
        <f>IF(L4591="", "Pending", IF(N4591&lt;=30, "Met", "Breached"))</f>
        <v/>
      </c>
      <c r="P4591" s="8" t="n"/>
      <c r="Q4591" s="8" t="n"/>
      <c r="R4591" s="8" t="n"/>
      <c r="S4591" s="8" t="n"/>
      <c r="T4591" s="8" t="n"/>
      <c r="U4591" s="8" t="n"/>
      <c r="V4591" s="8" t="n"/>
      <c r="W4591" s="8" t="n"/>
      <c r="X4591" s="8" t="n"/>
      <c r="Y4591" s="8" t="n"/>
    </row>
    <row r="4592">
      <c r="A4592" s="8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9">
        <f>B4592+30</f>
        <v/>
      </c>
      <c r="N4592">
        <f>IF(L4592="", "", L4592-B4592)</f>
        <v/>
      </c>
      <c r="O4592">
        <f>IF(L4592="", "Pending", IF(N4592&lt;=30, "Met", "Breached"))</f>
        <v/>
      </c>
      <c r="P4592" s="8" t="n"/>
      <c r="Q4592" s="8" t="n"/>
      <c r="R4592" s="8" t="n"/>
      <c r="S4592" s="8" t="n"/>
      <c r="T4592" s="8" t="n"/>
      <c r="U4592" s="8" t="n"/>
      <c r="V4592" s="8" t="n"/>
      <c r="W4592" s="8" t="n"/>
      <c r="X4592" s="8" t="n"/>
      <c r="Y4592" s="8" t="n"/>
    </row>
    <row r="4593">
      <c r="A4593" s="8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9">
        <f>B4593+30</f>
        <v/>
      </c>
      <c r="N4593">
        <f>IF(L4593="", "", L4593-B4593)</f>
        <v/>
      </c>
      <c r="O4593">
        <f>IF(L4593="", "Pending", IF(N4593&lt;=30, "Met", "Breached"))</f>
        <v/>
      </c>
      <c r="P4593" s="8" t="n"/>
      <c r="Q4593" s="8" t="n"/>
      <c r="R4593" s="8" t="n"/>
      <c r="S4593" s="8" t="n"/>
      <c r="T4593" s="8" t="n"/>
      <c r="U4593" s="8" t="n"/>
      <c r="V4593" s="8" t="n"/>
      <c r="W4593" s="8" t="n"/>
      <c r="X4593" s="8" t="n"/>
      <c r="Y4593" s="8" t="n"/>
    </row>
    <row r="4594">
      <c r="A4594" s="8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9">
        <f>B4594+30</f>
        <v/>
      </c>
      <c r="N4594">
        <f>IF(L4594="", "", L4594-B4594)</f>
        <v/>
      </c>
      <c r="O4594">
        <f>IF(L4594="", "Pending", IF(N4594&lt;=30, "Met", "Breached"))</f>
        <v/>
      </c>
      <c r="P4594" s="8" t="n"/>
      <c r="Q4594" s="8" t="n"/>
      <c r="R4594" s="8" t="n"/>
      <c r="S4594" s="8" t="n"/>
      <c r="T4594" s="8" t="n"/>
      <c r="U4594" s="8" t="n"/>
      <c r="V4594" s="8" t="n"/>
      <c r="W4594" s="8" t="n"/>
      <c r="X4594" s="8" t="n"/>
      <c r="Y4594" s="8" t="n"/>
    </row>
    <row r="4595">
      <c r="A4595" s="8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9">
        <f>B4595+30</f>
        <v/>
      </c>
      <c r="N4595">
        <f>IF(L4595="", "", L4595-B4595)</f>
        <v/>
      </c>
      <c r="O4595">
        <f>IF(L4595="", "Pending", IF(N4595&lt;=30, "Met", "Breached"))</f>
        <v/>
      </c>
      <c r="P4595" s="8" t="n"/>
      <c r="Q4595" s="8" t="n"/>
      <c r="R4595" s="8" t="n"/>
      <c r="S4595" s="8" t="n"/>
      <c r="T4595" s="8" t="n"/>
      <c r="U4595" s="8" t="n"/>
      <c r="V4595" s="8" t="n"/>
      <c r="W4595" s="8" t="n"/>
      <c r="X4595" s="8" t="n"/>
      <c r="Y4595" s="8" t="n"/>
    </row>
    <row r="4596">
      <c r="A4596" s="8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9">
        <f>B4596+30</f>
        <v/>
      </c>
      <c r="N4596">
        <f>IF(L4596="", "", L4596-B4596)</f>
        <v/>
      </c>
      <c r="O4596">
        <f>IF(L4596="", "Pending", IF(N4596&lt;=30, "Met", "Breached"))</f>
        <v/>
      </c>
      <c r="P4596" s="8" t="n"/>
      <c r="Q4596" s="8" t="n"/>
      <c r="R4596" s="8" t="n"/>
      <c r="S4596" s="8" t="n"/>
      <c r="T4596" s="8" t="n"/>
      <c r="U4596" s="8" t="n"/>
      <c r="V4596" s="8" t="n"/>
      <c r="W4596" s="8" t="n"/>
      <c r="X4596" s="8" t="n"/>
      <c r="Y4596" s="8" t="n"/>
    </row>
    <row r="4597">
      <c r="A4597" s="8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9">
        <f>B4597+30</f>
        <v/>
      </c>
      <c r="N4597">
        <f>IF(L4597="", "", L4597-B4597)</f>
        <v/>
      </c>
      <c r="O4597">
        <f>IF(L4597="", "Pending", IF(N4597&lt;=30, "Met", "Breached"))</f>
        <v/>
      </c>
      <c r="P4597" s="8" t="n"/>
      <c r="Q4597" s="8" t="n"/>
      <c r="R4597" s="8" t="n"/>
      <c r="S4597" s="8" t="n"/>
      <c r="T4597" s="8" t="n"/>
      <c r="U4597" s="8" t="n"/>
      <c r="V4597" s="8" t="n"/>
      <c r="W4597" s="8" t="n"/>
      <c r="X4597" s="8" t="n"/>
      <c r="Y4597" s="8" t="n"/>
    </row>
    <row r="4598">
      <c r="A4598" s="8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9">
        <f>B4598+30</f>
        <v/>
      </c>
      <c r="N4598">
        <f>IF(L4598="", "", L4598-B4598)</f>
        <v/>
      </c>
      <c r="O4598">
        <f>IF(L4598="", "Pending", IF(N4598&lt;=30, "Met", "Breached"))</f>
        <v/>
      </c>
      <c r="P4598" s="8" t="n"/>
      <c r="Q4598" s="8" t="n"/>
      <c r="R4598" s="8" t="n"/>
      <c r="S4598" s="8" t="n"/>
      <c r="T4598" s="8" t="n"/>
      <c r="U4598" s="8" t="n"/>
      <c r="V4598" s="8" t="n"/>
      <c r="W4598" s="8" t="n"/>
      <c r="X4598" s="8" t="n"/>
      <c r="Y4598" s="8" t="n"/>
    </row>
    <row r="4599">
      <c r="A4599" s="8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9">
        <f>B4599+30</f>
        <v/>
      </c>
      <c r="N4599">
        <f>IF(L4599="", "", L4599-B4599)</f>
        <v/>
      </c>
      <c r="O4599">
        <f>IF(L4599="", "Pending", IF(N4599&lt;=30, "Met", "Breached"))</f>
        <v/>
      </c>
      <c r="P4599" s="8" t="n"/>
      <c r="Q4599" s="8" t="n"/>
      <c r="R4599" s="8" t="n"/>
      <c r="S4599" s="8" t="n"/>
      <c r="T4599" s="8" t="n"/>
      <c r="U4599" s="8" t="n"/>
      <c r="V4599" s="8" t="n"/>
      <c r="W4599" s="8" t="n"/>
      <c r="X4599" s="8" t="n"/>
      <c r="Y4599" s="8" t="n"/>
    </row>
    <row r="4600">
      <c r="A4600" s="8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9">
        <f>B4600+30</f>
        <v/>
      </c>
      <c r="N4600">
        <f>IF(L4600="", "", L4600-B4600)</f>
        <v/>
      </c>
      <c r="O4600">
        <f>IF(L4600="", "Pending", IF(N4600&lt;=30, "Met", "Breached"))</f>
        <v/>
      </c>
      <c r="P4600" s="8" t="n"/>
      <c r="Q4600" s="8" t="n"/>
      <c r="R4600" s="8" t="n"/>
      <c r="S4600" s="8" t="n"/>
      <c r="T4600" s="8" t="n"/>
      <c r="U4600" s="8" t="n"/>
      <c r="V4600" s="8" t="n"/>
      <c r="W4600" s="8" t="n"/>
      <c r="X4600" s="8" t="n"/>
      <c r="Y4600" s="8" t="n"/>
    </row>
    <row r="4601">
      <c r="A4601" s="8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9">
        <f>B4601+30</f>
        <v/>
      </c>
      <c r="N4601">
        <f>IF(L4601="", "", L4601-B4601)</f>
        <v/>
      </c>
      <c r="O4601">
        <f>IF(L4601="", "Pending", IF(N4601&lt;=30, "Met", "Breached"))</f>
        <v/>
      </c>
      <c r="P4601" s="8" t="n"/>
      <c r="Q4601" s="8" t="n"/>
      <c r="R4601" s="8" t="n"/>
      <c r="S4601" s="8" t="n"/>
      <c r="T4601" s="8" t="n"/>
      <c r="U4601" s="8" t="n"/>
      <c r="V4601" s="8" t="n"/>
      <c r="W4601" s="8" t="n"/>
      <c r="X4601" s="8" t="n"/>
      <c r="Y4601" s="8" t="n"/>
    </row>
    <row r="4602">
      <c r="A4602" s="8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9">
        <f>B4602+30</f>
        <v/>
      </c>
      <c r="N4602">
        <f>IF(L4602="", "", L4602-B4602)</f>
        <v/>
      </c>
      <c r="O4602">
        <f>IF(L4602="", "Pending", IF(N4602&lt;=30, "Met", "Breached"))</f>
        <v/>
      </c>
      <c r="P4602" s="8" t="n"/>
      <c r="Q4602" s="8" t="n"/>
      <c r="R4602" s="8" t="n"/>
      <c r="S4602" s="8" t="n"/>
      <c r="T4602" s="8" t="n"/>
      <c r="U4602" s="8" t="n"/>
      <c r="V4602" s="8" t="n"/>
      <c r="W4602" s="8" t="n"/>
      <c r="X4602" s="8" t="n"/>
      <c r="Y4602" s="8" t="n"/>
    </row>
    <row r="4603">
      <c r="A4603" s="8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9">
        <f>B4603+30</f>
        <v/>
      </c>
      <c r="N4603">
        <f>IF(L4603="", "", L4603-B4603)</f>
        <v/>
      </c>
      <c r="O4603">
        <f>IF(L4603="", "Pending", IF(N4603&lt;=30, "Met", "Breached"))</f>
        <v/>
      </c>
      <c r="P4603" s="8" t="n"/>
      <c r="Q4603" s="8" t="n"/>
      <c r="R4603" s="8" t="n"/>
      <c r="S4603" s="8" t="n"/>
      <c r="T4603" s="8" t="n"/>
      <c r="U4603" s="8" t="n"/>
      <c r="V4603" s="8" t="n"/>
      <c r="W4603" s="8" t="n"/>
      <c r="X4603" s="8" t="n"/>
      <c r="Y4603" s="8" t="n"/>
    </row>
    <row r="4604">
      <c r="A4604" s="8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9">
        <f>B4604+30</f>
        <v/>
      </c>
      <c r="N4604">
        <f>IF(L4604="", "", L4604-B4604)</f>
        <v/>
      </c>
      <c r="O4604">
        <f>IF(L4604="", "Pending", IF(N4604&lt;=30, "Met", "Breached"))</f>
        <v/>
      </c>
      <c r="P4604" s="8" t="n"/>
      <c r="Q4604" s="8" t="n"/>
      <c r="R4604" s="8" t="n"/>
      <c r="S4604" s="8" t="n"/>
      <c r="T4604" s="8" t="n"/>
      <c r="U4604" s="8" t="n"/>
      <c r="V4604" s="8" t="n"/>
      <c r="W4604" s="8" t="n"/>
      <c r="X4604" s="8" t="n"/>
      <c r="Y4604" s="8" t="n"/>
    </row>
    <row r="4605">
      <c r="A4605" s="8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9">
        <f>B4605+30</f>
        <v/>
      </c>
      <c r="N4605">
        <f>IF(L4605="", "", L4605-B4605)</f>
        <v/>
      </c>
      <c r="O4605">
        <f>IF(L4605="", "Pending", IF(N4605&lt;=30, "Met", "Breached"))</f>
        <v/>
      </c>
      <c r="P4605" s="8" t="n"/>
      <c r="Q4605" s="8" t="n"/>
      <c r="R4605" s="8" t="n"/>
      <c r="S4605" s="8" t="n"/>
      <c r="T4605" s="8" t="n"/>
      <c r="U4605" s="8" t="n"/>
      <c r="V4605" s="8" t="n"/>
      <c r="W4605" s="8" t="n"/>
      <c r="X4605" s="8" t="n"/>
      <c r="Y4605" s="8" t="n"/>
    </row>
    <row r="4606">
      <c r="A4606" s="8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9">
        <f>B4606+30</f>
        <v/>
      </c>
      <c r="N4606">
        <f>IF(L4606="", "", L4606-B4606)</f>
        <v/>
      </c>
      <c r="O4606">
        <f>IF(L4606="", "Pending", IF(N4606&lt;=30, "Met", "Breached"))</f>
        <v/>
      </c>
      <c r="P4606" s="8" t="n"/>
      <c r="Q4606" s="8" t="n"/>
      <c r="R4606" s="8" t="n"/>
      <c r="S4606" s="8" t="n"/>
      <c r="T4606" s="8" t="n"/>
      <c r="U4606" s="8" t="n"/>
      <c r="V4606" s="8" t="n"/>
      <c r="W4606" s="8" t="n"/>
      <c r="X4606" s="8" t="n"/>
      <c r="Y4606" s="8" t="n"/>
    </row>
    <row r="4607">
      <c r="A4607" s="8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9">
        <f>B4607+30</f>
        <v/>
      </c>
      <c r="N4607">
        <f>IF(L4607="", "", L4607-B4607)</f>
        <v/>
      </c>
      <c r="O4607">
        <f>IF(L4607="", "Pending", IF(N4607&lt;=30, "Met", "Breached"))</f>
        <v/>
      </c>
      <c r="P4607" s="8" t="n"/>
      <c r="Q4607" s="8" t="n"/>
      <c r="R4607" s="8" t="n"/>
      <c r="S4607" s="8" t="n"/>
      <c r="T4607" s="8" t="n"/>
      <c r="U4607" s="8" t="n"/>
      <c r="V4607" s="8" t="n"/>
      <c r="W4607" s="8" t="n"/>
      <c r="X4607" s="8" t="n"/>
      <c r="Y4607" s="8" t="n"/>
    </row>
    <row r="4608">
      <c r="A4608" s="8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9">
        <f>B4608+30</f>
        <v/>
      </c>
      <c r="N4608">
        <f>IF(L4608="", "", L4608-B4608)</f>
        <v/>
      </c>
      <c r="O4608">
        <f>IF(L4608="", "Pending", IF(N4608&lt;=30, "Met", "Breached"))</f>
        <v/>
      </c>
      <c r="P4608" s="8" t="n"/>
      <c r="Q4608" s="8" t="n"/>
      <c r="R4608" s="8" t="n"/>
      <c r="S4608" s="8" t="n"/>
      <c r="T4608" s="8" t="n"/>
      <c r="U4608" s="8" t="n"/>
      <c r="V4608" s="8" t="n"/>
      <c r="W4608" s="8" t="n"/>
      <c r="X4608" s="8" t="n"/>
      <c r="Y4608" s="8" t="n"/>
    </row>
    <row r="4609">
      <c r="A4609" s="8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9">
        <f>B4609+30</f>
        <v/>
      </c>
      <c r="N4609">
        <f>IF(L4609="", "", L4609-B4609)</f>
        <v/>
      </c>
      <c r="O4609">
        <f>IF(L4609="", "Pending", IF(N4609&lt;=30, "Met", "Breached"))</f>
        <v/>
      </c>
      <c r="P4609" s="8" t="n"/>
      <c r="Q4609" s="8" t="n"/>
      <c r="R4609" s="8" t="n"/>
      <c r="S4609" s="8" t="n"/>
      <c r="T4609" s="8" t="n"/>
      <c r="U4609" s="8" t="n"/>
      <c r="V4609" s="8" t="n"/>
      <c r="W4609" s="8" t="n"/>
      <c r="X4609" s="8" t="n"/>
      <c r="Y4609" s="8" t="n"/>
    </row>
    <row r="4610">
      <c r="A4610" s="8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9">
        <f>B4610+30</f>
        <v/>
      </c>
      <c r="N4610">
        <f>IF(L4610="", "", L4610-B4610)</f>
        <v/>
      </c>
      <c r="O4610">
        <f>IF(L4610="", "Pending", IF(N4610&lt;=30, "Met", "Breached"))</f>
        <v/>
      </c>
      <c r="P4610" s="8" t="n"/>
      <c r="Q4610" s="8" t="n"/>
      <c r="R4610" s="8" t="n"/>
      <c r="S4610" s="8" t="n"/>
      <c r="T4610" s="8" t="n"/>
      <c r="U4610" s="8" t="n"/>
      <c r="V4610" s="8" t="n"/>
      <c r="W4610" s="8" t="n"/>
      <c r="X4610" s="8" t="n"/>
      <c r="Y4610" s="8" t="n"/>
    </row>
    <row r="4611">
      <c r="A4611" s="8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9">
        <f>B4611+30</f>
        <v/>
      </c>
      <c r="N4611">
        <f>IF(L4611="", "", L4611-B4611)</f>
        <v/>
      </c>
      <c r="O4611">
        <f>IF(L4611="", "Pending", IF(N4611&lt;=30, "Met", "Breached"))</f>
        <v/>
      </c>
      <c r="P4611" s="8" t="n"/>
      <c r="Q4611" s="8" t="n"/>
      <c r="R4611" s="8" t="n"/>
      <c r="S4611" s="8" t="n"/>
      <c r="T4611" s="8" t="n"/>
      <c r="U4611" s="8" t="n"/>
      <c r="V4611" s="8" t="n"/>
      <c r="W4611" s="8" t="n"/>
      <c r="X4611" s="8" t="n"/>
      <c r="Y4611" s="8" t="n"/>
    </row>
    <row r="4612">
      <c r="A4612" s="8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9">
        <f>B4612+30</f>
        <v/>
      </c>
      <c r="N4612">
        <f>IF(L4612="", "", L4612-B4612)</f>
        <v/>
      </c>
      <c r="O4612">
        <f>IF(L4612="", "Pending", IF(N4612&lt;=30, "Met", "Breached"))</f>
        <v/>
      </c>
      <c r="P4612" s="8" t="n"/>
      <c r="Q4612" s="8" t="n"/>
      <c r="R4612" s="8" t="n"/>
      <c r="S4612" s="8" t="n"/>
      <c r="T4612" s="8" t="n"/>
      <c r="U4612" s="8" t="n"/>
      <c r="V4612" s="8" t="n"/>
      <c r="W4612" s="8" t="n"/>
      <c r="X4612" s="8" t="n"/>
      <c r="Y4612" s="8" t="n"/>
    </row>
    <row r="4613">
      <c r="A4613" s="8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9">
        <f>B4613+30</f>
        <v/>
      </c>
      <c r="N4613">
        <f>IF(L4613="", "", L4613-B4613)</f>
        <v/>
      </c>
      <c r="O4613">
        <f>IF(L4613="", "Pending", IF(N4613&lt;=30, "Met", "Breached"))</f>
        <v/>
      </c>
      <c r="P4613" s="8" t="n"/>
      <c r="Q4613" s="8" t="n"/>
      <c r="R4613" s="8" t="n"/>
      <c r="S4613" s="8" t="n"/>
      <c r="T4613" s="8" t="n"/>
      <c r="U4613" s="8" t="n"/>
      <c r="V4613" s="8" t="n"/>
      <c r="W4613" s="8" t="n"/>
      <c r="X4613" s="8" t="n"/>
      <c r="Y4613" s="8" t="n"/>
    </row>
    <row r="4614">
      <c r="A4614" s="8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9">
        <f>B4614+30</f>
        <v/>
      </c>
      <c r="N4614">
        <f>IF(L4614="", "", L4614-B4614)</f>
        <v/>
      </c>
      <c r="O4614">
        <f>IF(L4614="", "Pending", IF(N4614&lt;=30, "Met", "Breached"))</f>
        <v/>
      </c>
      <c r="P4614" s="8" t="n"/>
      <c r="Q4614" s="8" t="n"/>
      <c r="R4614" s="8" t="n"/>
      <c r="S4614" s="8" t="n"/>
      <c r="T4614" s="8" t="n"/>
      <c r="U4614" s="8" t="n"/>
      <c r="V4614" s="8" t="n"/>
      <c r="W4614" s="8" t="n"/>
      <c r="X4614" s="8" t="n"/>
      <c r="Y4614" s="8" t="n"/>
    </row>
    <row r="4615">
      <c r="A4615" s="8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9">
        <f>B4615+30</f>
        <v/>
      </c>
      <c r="N4615">
        <f>IF(L4615="", "", L4615-B4615)</f>
        <v/>
      </c>
      <c r="O4615">
        <f>IF(L4615="", "Pending", IF(N4615&lt;=30, "Met", "Breached"))</f>
        <v/>
      </c>
      <c r="P4615" s="8" t="n"/>
      <c r="Q4615" s="8" t="n"/>
      <c r="R4615" s="8" t="n"/>
      <c r="S4615" s="8" t="n"/>
      <c r="T4615" s="8" t="n"/>
      <c r="U4615" s="8" t="n"/>
      <c r="V4615" s="8" t="n"/>
      <c r="W4615" s="8" t="n"/>
      <c r="X4615" s="8" t="n"/>
      <c r="Y4615" s="8" t="n"/>
    </row>
    <row r="4616">
      <c r="A4616" s="8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9">
        <f>B4616+30</f>
        <v/>
      </c>
      <c r="N4616">
        <f>IF(L4616="", "", L4616-B4616)</f>
        <v/>
      </c>
      <c r="O4616">
        <f>IF(L4616="", "Pending", IF(N4616&lt;=30, "Met", "Breached"))</f>
        <v/>
      </c>
      <c r="P4616" s="8" t="n"/>
      <c r="Q4616" s="8" t="n"/>
      <c r="R4616" s="8" t="n"/>
      <c r="S4616" s="8" t="n"/>
      <c r="T4616" s="8" t="n"/>
      <c r="U4616" s="8" t="n"/>
      <c r="V4616" s="8" t="n"/>
      <c r="W4616" s="8" t="n"/>
      <c r="X4616" s="8" t="n"/>
      <c r="Y4616" s="8" t="n"/>
    </row>
    <row r="4617">
      <c r="A4617" s="8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9">
        <f>B4617+30</f>
        <v/>
      </c>
      <c r="N4617">
        <f>IF(L4617="", "", L4617-B4617)</f>
        <v/>
      </c>
      <c r="O4617">
        <f>IF(L4617="", "Pending", IF(N4617&lt;=30, "Met", "Breached"))</f>
        <v/>
      </c>
      <c r="P4617" s="8" t="n"/>
      <c r="Q4617" s="8" t="n"/>
      <c r="R4617" s="8" t="n"/>
      <c r="S4617" s="8" t="n"/>
      <c r="T4617" s="8" t="n"/>
      <c r="U4617" s="8" t="n"/>
      <c r="V4617" s="8" t="n"/>
      <c r="W4617" s="8" t="n"/>
      <c r="X4617" s="8" t="n"/>
      <c r="Y4617" s="8" t="n"/>
    </row>
    <row r="4618">
      <c r="A4618" s="8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9">
        <f>B4618+30</f>
        <v/>
      </c>
      <c r="N4618">
        <f>IF(L4618="", "", L4618-B4618)</f>
        <v/>
      </c>
      <c r="O4618">
        <f>IF(L4618="", "Pending", IF(N4618&lt;=30, "Met", "Breached"))</f>
        <v/>
      </c>
      <c r="P4618" s="8" t="n"/>
      <c r="Q4618" s="8" t="n"/>
      <c r="R4618" s="8" t="n"/>
      <c r="S4618" s="8" t="n"/>
      <c r="T4618" s="8" t="n"/>
      <c r="U4618" s="8" t="n"/>
      <c r="V4618" s="8" t="n"/>
      <c r="W4618" s="8" t="n"/>
      <c r="X4618" s="8" t="n"/>
      <c r="Y4618" s="8" t="n"/>
    </row>
    <row r="4619">
      <c r="A4619" s="8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9">
        <f>B4619+30</f>
        <v/>
      </c>
      <c r="N4619">
        <f>IF(L4619="", "", L4619-B4619)</f>
        <v/>
      </c>
      <c r="O4619">
        <f>IF(L4619="", "Pending", IF(N4619&lt;=30, "Met", "Breached"))</f>
        <v/>
      </c>
      <c r="P4619" s="8" t="n"/>
      <c r="Q4619" s="8" t="n"/>
      <c r="R4619" s="8" t="n"/>
      <c r="S4619" s="8" t="n"/>
      <c r="T4619" s="8" t="n"/>
      <c r="U4619" s="8" t="n"/>
      <c r="V4619" s="8" t="n"/>
      <c r="W4619" s="8" t="n"/>
      <c r="X4619" s="8" t="n"/>
      <c r="Y4619" s="8" t="n"/>
    </row>
    <row r="4620">
      <c r="A4620" s="8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9">
        <f>B4620+30</f>
        <v/>
      </c>
      <c r="N4620">
        <f>IF(L4620="", "", L4620-B4620)</f>
        <v/>
      </c>
      <c r="O4620">
        <f>IF(L4620="", "Pending", IF(N4620&lt;=30, "Met", "Breached"))</f>
        <v/>
      </c>
      <c r="P4620" s="8" t="n"/>
      <c r="Q4620" s="8" t="n"/>
      <c r="R4620" s="8" t="n"/>
      <c r="S4620" s="8" t="n"/>
      <c r="T4620" s="8" t="n"/>
      <c r="U4620" s="8" t="n"/>
      <c r="V4620" s="8" t="n"/>
      <c r="W4620" s="8" t="n"/>
      <c r="X4620" s="8" t="n"/>
      <c r="Y4620" s="8" t="n"/>
    </row>
    <row r="4621">
      <c r="A4621" s="8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9">
        <f>B4621+30</f>
        <v/>
      </c>
      <c r="N4621">
        <f>IF(L4621="", "", L4621-B4621)</f>
        <v/>
      </c>
      <c r="O4621">
        <f>IF(L4621="", "Pending", IF(N4621&lt;=30, "Met", "Breached"))</f>
        <v/>
      </c>
      <c r="P4621" s="8" t="n"/>
      <c r="Q4621" s="8" t="n"/>
      <c r="R4621" s="8" t="n"/>
      <c r="S4621" s="8" t="n"/>
      <c r="T4621" s="8" t="n"/>
      <c r="U4621" s="8" t="n"/>
      <c r="V4621" s="8" t="n"/>
      <c r="W4621" s="8" t="n"/>
      <c r="X4621" s="8" t="n"/>
      <c r="Y4621" s="8" t="n"/>
    </row>
    <row r="4622">
      <c r="A4622" s="8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9">
        <f>B4622+30</f>
        <v/>
      </c>
      <c r="N4622">
        <f>IF(L4622="", "", L4622-B4622)</f>
        <v/>
      </c>
      <c r="O4622">
        <f>IF(L4622="", "Pending", IF(N4622&lt;=30, "Met", "Breached"))</f>
        <v/>
      </c>
      <c r="P4622" s="8" t="n"/>
      <c r="Q4622" s="8" t="n"/>
      <c r="R4622" s="8" t="n"/>
      <c r="S4622" s="8" t="n"/>
      <c r="T4622" s="8" t="n"/>
      <c r="U4622" s="8" t="n"/>
      <c r="V4622" s="8" t="n"/>
      <c r="W4622" s="8" t="n"/>
      <c r="X4622" s="8" t="n"/>
      <c r="Y4622" s="8" t="n"/>
    </row>
    <row r="4623">
      <c r="A4623" s="8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9">
        <f>B4623+30</f>
        <v/>
      </c>
      <c r="N4623">
        <f>IF(L4623="", "", L4623-B4623)</f>
        <v/>
      </c>
      <c r="O4623">
        <f>IF(L4623="", "Pending", IF(N4623&lt;=30, "Met", "Breached"))</f>
        <v/>
      </c>
      <c r="P4623" s="8" t="n"/>
      <c r="Q4623" s="8" t="n"/>
      <c r="R4623" s="8" t="n"/>
      <c r="S4623" s="8" t="n"/>
      <c r="T4623" s="8" t="n"/>
      <c r="U4623" s="8" t="n"/>
      <c r="V4623" s="8" t="n"/>
      <c r="W4623" s="8" t="n"/>
      <c r="X4623" s="8" t="n"/>
      <c r="Y4623" s="8" t="n"/>
    </row>
    <row r="4624">
      <c r="A4624" s="8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9">
        <f>B4624+30</f>
        <v/>
      </c>
      <c r="N4624">
        <f>IF(L4624="", "", L4624-B4624)</f>
        <v/>
      </c>
      <c r="O4624">
        <f>IF(L4624="", "Pending", IF(N4624&lt;=30, "Met", "Breached"))</f>
        <v/>
      </c>
      <c r="P4624" s="8" t="n"/>
      <c r="Q4624" s="8" t="n"/>
      <c r="R4624" s="8" t="n"/>
      <c r="S4624" s="8" t="n"/>
      <c r="T4624" s="8" t="n"/>
      <c r="U4624" s="8" t="n"/>
      <c r="V4624" s="8" t="n"/>
      <c r="W4624" s="8" t="n"/>
      <c r="X4624" s="8" t="n"/>
      <c r="Y4624" s="8" t="n"/>
    </row>
    <row r="4625">
      <c r="A4625" s="8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9">
        <f>B4625+30</f>
        <v/>
      </c>
      <c r="N4625">
        <f>IF(L4625="", "", L4625-B4625)</f>
        <v/>
      </c>
      <c r="O4625">
        <f>IF(L4625="", "Pending", IF(N4625&lt;=30, "Met", "Breached"))</f>
        <v/>
      </c>
      <c r="P4625" s="8" t="n"/>
      <c r="Q4625" s="8" t="n"/>
      <c r="R4625" s="8" t="n"/>
      <c r="S4625" s="8" t="n"/>
      <c r="T4625" s="8" t="n"/>
      <c r="U4625" s="8" t="n"/>
      <c r="V4625" s="8" t="n"/>
      <c r="W4625" s="8" t="n"/>
      <c r="X4625" s="8" t="n"/>
      <c r="Y4625" s="8" t="n"/>
    </row>
    <row r="4626">
      <c r="A4626" s="8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9">
        <f>B4626+30</f>
        <v/>
      </c>
      <c r="N4626">
        <f>IF(L4626="", "", L4626-B4626)</f>
        <v/>
      </c>
      <c r="O4626">
        <f>IF(L4626="", "Pending", IF(N4626&lt;=30, "Met", "Breached"))</f>
        <v/>
      </c>
      <c r="P4626" s="8" t="n"/>
      <c r="Q4626" s="8" t="n"/>
      <c r="R4626" s="8" t="n"/>
      <c r="S4626" s="8" t="n"/>
      <c r="T4626" s="8" t="n"/>
      <c r="U4626" s="8" t="n"/>
      <c r="V4626" s="8" t="n"/>
      <c r="W4626" s="8" t="n"/>
      <c r="X4626" s="8" t="n"/>
      <c r="Y4626" s="8" t="n"/>
    </row>
    <row r="4627">
      <c r="A4627" s="8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9">
        <f>B4627+30</f>
        <v/>
      </c>
      <c r="N4627">
        <f>IF(L4627="", "", L4627-B4627)</f>
        <v/>
      </c>
      <c r="O4627">
        <f>IF(L4627="", "Pending", IF(N4627&lt;=30, "Met", "Breached"))</f>
        <v/>
      </c>
      <c r="P4627" s="8" t="n"/>
      <c r="Q4627" s="8" t="n"/>
      <c r="R4627" s="8" t="n"/>
      <c r="S4627" s="8" t="n"/>
      <c r="T4627" s="8" t="n"/>
      <c r="U4627" s="8" t="n"/>
      <c r="V4627" s="8" t="n"/>
      <c r="W4627" s="8" t="n"/>
      <c r="X4627" s="8" t="n"/>
      <c r="Y4627" s="8" t="n"/>
    </row>
    <row r="4628">
      <c r="A4628" s="8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9">
        <f>B4628+30</f>
        <v/>
      </c>
      <c r="N4628">
        <f>IF(L4628="", "", L4628-B4628)</f>
        <v/>
      </c>
      <c r="O4628">
        <f>IF(L4628="", "Pending", IF(N4628&lt;=30, "Met", "Breached"))</f>
        <v/>
      </c>
      <c r="P4628" s="8" t="n"/>
      <c r="Q4628" s="8" t="n"/>
      <c r="R4628" s="8" t="n"/>
      <c r="S4628" s="8" t="n"/>
      <c r="T4628" s="8" t="n"/>
      <c r="U4628" s="8" t="n"/>
      <c r="V4628" s="8" t="n"/>
      <c r="W4628" s="8" t="n"/>
      <c r="X4628" s="8" t="n"/>
      <c r="Y4628" s="8" t="n"/>
    </row>
    <row r="4629">
      <c r="A4629" s="8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9">
        <f>B4629+30</f>
        <v/>
      </c>
      <c r="N4629">
        <f>IF(L4629="", "", L4629-B4629)</f>
        <v/>
      </c>
      <c r="O4629">
        <f>IF(L4629="", "Pending", IF(N4629&lt;=30, "Met", "Breached"))</f>
        <v/>
      </c>
      <c r="P4629" s="8" t="n"/>
      <c r="Q4629" s="8" t="n"/>
      <c r="R4629" s="8" t="n"/>
      <c r="S4629" s="8" t="n"/>
      <c r="T4629" s="8" t="n"/>
      <c r="U4629" s="8" t="n"/>
      <c r="V4629" s="8" t="n"/>
      <c r="W4629" s="8" t="n"/>
      <c r="X4629" s="8" t="n"/>
      <c r="Y4629" s="8" t="n"/>
    </row>
    <row r="4630">
      <c r="A4630" s="8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9">
        <f>B4630+30</f>
        <v/>
      </c>
      <c r="N4630">
        <f>IF(L4630="", "", L4630-B4630)</f>
        <v/>
      </c>
      <c r="O4630">
        <f>IF(L4630="", "Pending", IF(N4630&lt;=30, "Met", "Breached"))</f>
        <v/>
      </c>
      <c r="P4630" s="8" t="n"/>
      <c r="Q4630" s="8" t="n"/>
      <c r="R4630" s="8" t="n"/>
      <c r="S4630" s="8" t="n"/>
      <c r="T4630" s="8" t="n"/>
      <c r="U4630" s="8" t="n"/>
      <c r="V4630" s="8" t="n"/>
      <c r="W4630" s="8" t="n"/>
      <c r="X4630" s="8" t="n"/>
      <c r="Y4630" s="8" t="n"/>
    </row>
    <row r="4631">
      <c r="A4631" s="8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9">
        <f>B4631+30</f>
        <v/>
      </c>
      <c r="N4631">
        <f>IF(L4631="", "", L4631-B4631)</f>
        <v/>
      </c>
      <c r="O4631">
        <f>IF(L4631="", "Pending", IF(N4631&lt;=30, "Met", "Breached"))</f>
        <v/>
      </c>
      <c r="P4631" s="8" t="n"/>
      <c r="Q4631" s="8" t="n"/>
      <c r="R4631" s="8" t="n"/>
      <c r="S4631" s="8" t="n"/>
      <c r="T4631" s="8" t="n"/>
      <c r="U4631" s="8" t="n"/>
      <c r="V4631" s="8" t="n"/>
      <c r="W4631" s="8" t="n"/>
      <c r="X4631" s="8" t="n"/>
      <c r="Y4631" s="8" t="n"/>
    </row>
    <row r="4632">
      <c r="A4632" s="8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9">
        <f>B4632+30</f>
        <v/>
      </c>
      <c r="N4632">
        <f>IF(L4632="", "", L4632-B4632)</f>
        <v/>
      </c>
      <c r="O4632">
        <f>IF(L4632="", "Pending", IF(N4632&lt;=30, "Met", "Breached"))</f>
        <v/>
      </c>
      <c r="P4632" s="8" t="n"/>
      <c r="Q4632" s="8" t="n"/>
      <c r="R4632" s="8" t="n"/>
      <c r="S4632" s="8" t="n"/>
      <c r="T4632" s="8" t="n"/>
      <c r="U4632" s="8" t="n"/>
      <c r="V4632" s="8" t="n"/>
      <c r="W4632" s="8" t="n"/>
      <c r="X4632" s="8" t="n"/>
      <c r="Y4632" s="8" t="n"/>
    </row>
    <row r="4633">
      <c r="A4633" s="8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9">
        <f>B4633+30</f>
        <v/>
      </c>
      <c r="N4633">
        <f>IF(L4633="", "", L4633-B4633)</f>
        <v/>
      </c>
      <c r="O4633">
        <f>IF(L4633="", "Pending", IF(N4633&lt;=30, "Met", "Breached"))</f>
        <v/>
      </c>
      <c r="P4633" s="8" t="n"/>
      <c r="Q4633" s="8" t="n"/>
      <c r="R4633" s="8" t="n"/>
      <c r="S4633" s="8" t="n"/>
      <c r="T4633" s="8" t="n"/>
      <c r="U4633" s="8" t="n"/>
      <c r="V4633" s="8" t="n"/>
      <c r="W4633" s="8" t="n"/>
      <c r="X4633" s="8" t="n"/>
      <c r="Y4633" s="8" t="n"/>
    </row>
    <row r="4634">
      <c r="A4634" s="8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9">
        <f>B4634+30</f>
        <v/>
      </c>
      <c r="N4634">
        <f>IF(L4634="", "", L4634-B4634)</f>
        <v/>
      </c>
      <c r="O4634">
        <f>IF(L4634="", "Pending", IF(N4634&lt;=30, "Met", "Breached"))</f>
        <v/>
      </c>
      <c r="P4634" s="8" t="n"/>
      <c r="Q4634" s="8" t="n"/>
      <c r="R4634" s="8" t="n"/>
      <c r="S4634" s="8" t="n"/>
      <c r="T4634" s="8" t="n"/>
      <c r="U4634" s="8" t="n"/>
      <c r="V4634" s="8" t="n"/>
      <c r="W4634" s="8" t="n"/>
      <c r="X4634" s="8" t="n"/>
      <c r="Y4634" s="8" t="n"/>
    </row>
    <row r="4635">
      <c r="A4635" s="8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9">
        <f>B4635+30</f>
        <v/>
      </c>
      <c r="N4635">
        <f>IF(L4635="", "", L4635-B4635)</f>
        <v/>
      </c>
      <c r="O4635">
        <f>IF(L4635="", "Pending", IF(N4635&lt;=30, "Met", "Breached"))</f>
        <v/>
      </c>
      <c r="P4635" s="8" t="n"/>
      <c r="Q4635" s="8" t="n"/>
      <c r="R4635" s="8" t="n"/>
      <c r="S4635" s="8" t="n"/>
      <c r="T4635" s="8" t="n"/>
      <c r="U4635" s="8" t="n"/>
      <c r="V4635" s="8" t="n"/>
      <c r="W4635" s="8" t="n"/>
      <c r="X4635" s="8" t="n"/>
      <c r="Y4635" s="8" t="n"/>
    </row>
    <row r="4636">
      <c r="A4636" s="8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9">
        <f>B4636+30</f>
        <v/>
      </c>
      <c r="N4636">
        <f>IF(L4636="", "", L4636-B4636)</f>
        <v/>
      </c>
      <c r="O4636">
        <f>IF(L4636="", "Pending", IF(N4636&lt;=30, "Met", "Breached"))</f>
        <v/>
      </c>
      <c r="P4636" s="8" t="n"/>
      <c r="Q4636" s="8" t="n"/>
      <c r="R4636" s="8" t="n"/>
      <c r="S4636" s="8" t="n"/>
      <c r="T4636" s="8" t="n"/>
      <c r="U4636" s="8" t="n"/>
      <c r="V4636" s="8" t="n"/>
      <c r="W4636" s="8" t="n"/>
      <c r="X4636" s="8" t="n"/>
      <c r="Y4636" s="8" t="n"/>
    </row>
    <row r="4637">
      <c r="A4637" s="8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9">
        <f>B4637+30</f>
        <v/>
      </c>
      <c r="N4637">
        <f>IF(L4637="", "", L4637-B4637)</f>
        <v/>
      </c>
      <c r="O4637">
        <f>IF(L4637="", "Pending", IF(N4637&lt;=30, "Met", "Breached"))</f>
        <v/>
      </c>
      <c r="P4637" s="8" t="n"/>
      <c r="Q4637" s="8" t="n"/>
      <c r="R4637" s="8" t="n"/>
      <c r="S4637" s="8" t="n"/>
      <c r="T4637" s="8" t="n"/>
      <c r="U4637" s="8" t="n"/>
      <c r="V4637" s="8" t="n"/>
      <c r="W4637" s="8" t="n"/>
      <c r="X4637" s="8" t="n"/>
      <c r="Y4637" s="8" t="n"/>
    </row>
    <row r="4638">
      <c r="A4638" s="8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9">
        <f>B4638+30</f>
        <v/>
      </c>
      <c r="N4638">
        <f>IF(L4638="", "", L4638-B4638)</f>
        <v/>
      </c>
      <c r="O4638">
        <f>IF(L4638="", "Pending", IF(N4638&lt;=30, "Met", "Breached"))</f>
        <v/>
      </c>
      <c r="P4638" s="8" t="n"/>
      <c r="Q4638" s="8" t="n"/>
      <c r="R4638" s="8" t="n"/>
      <c r="S4638" s="8" t="n"/>
      <c r="T4638" s="8" t="n"/>
      <c r="U4638" s="8" t="n"/>
      <c r="V4638" s="8" t="n"/>
      <c r="W4638" s="8" t="n"/>
      <c r="X4638" s="8" t="n"/>
      <c r="Y4638" s="8" t="n"/>
    </row>
    <row r="4639">
      <c r="A4639" s="8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9">
        <f>B4639+30</f>
        <v/>
      </c>
      <c r="N4639">
        <f>IF(L4639="", "", L4639-B4639)</f>
        <v/>
      </c>
      <c r="O4639">
        <f>IF(L4639="", "Pending", IF(N4639&lt;=30, "Met", "Breached"))</f>
        <v/>
      </c>
      <c r="P4639" s="8" t="n"/>
      <c r="Q4639" s="8" t="n"/>
      <c r="R4639" s="8" t="n"/>
      <c r="S4639" s="8" t="n"/>
      <c r="T4639" s="8" t="n"/>
      <c r="U4639" s="8" t="n"/>
      <c r="V4639" s="8" t="n"/>
      <c r="W4639" s="8" t="n"/>
      <c r="X4639" s="8" t="n"/>
      <c r="Y4639" s="8" t="n"/>
    </row>
    <row r="4640">
      <c r="A4640" s="8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9">
        <f>B4640+30</f>
        <v/>
      </c>
      <c r="N4640">
        <f>IF(L4640="", "", L4640-B4640)</f>
        <v/>
      </c>
      <c r="O4640">
        <f>IF(L4640="", "Pending", IF(N4640&lt;=30, "Met", "Breached"))</f>
        <v/>
      </c>
      <c r="P4640" s="8" t="n"/>
      <c r="Q4640" s="8" t="n"/>
      <c r="R4640" s="8" t="n"/>
      <c r="S4640" s="8" t="n"/>
      <c r="T4640" s="8" t="n"/>
      <c r="U4640" s="8" t="n"/>
      <c r="V4640" s="8" t="n"/>
      <c r="W4640" s="8" t="n"/>
      <c r="X4640" s="8" t="n"/>
      <c r="Y4640" s="8" t="n"/>
    </row>
    <row r="4641">
      <c r="A4641" s="8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9">
        <f>B4641+30</f>
        <v/>
      </c>
      <c r="N4641">
        <f>IF(L4641="", "", L4641-B4641)</f>
        <v/>
      </c>
      <c r="O4641">
        <f>IF(L4641="", "Pending", IF(N4641&lt;=30, "Met", "Breached"))</f>
        <v/>
      </c>
      <c r="P4641" s="8" t="n"/>
      <c r="Q4641" s="8" t="n"/>
      <c r="R4641" s="8" t="n"/>
      <c r="S4641" s="8" t="n"/>
      <c r="T4641" s="8" t="n"/>
      <c r="U4641" s="8" t="n"/>
      <c r="V4641" s="8" t="n"/>
      <c r="W4641" s="8" t="n"/>
      <c r="X4641" s="8" t="n"/>
      <c r="Y4641" s="8" t="n"/>
    </row>
    <row r="4642">
      <c r="A4642" s="8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9">
        <f>B4642+30</f>
        <v/>
      </c>
      <c r="N4642">
        <f>IF(L4642="", "", L4642-B4642)</f>
        <v/>
      </c>
      <c r="O4642">
        <f>IF(L4642="", "Pending", IF(N4642&lt;=30, "Met", "Breached"))</f>
        <v/>
      </c>
      <c r="P4642" s="8" t="n"/>
      <c r="Q4642" s="8" t="n"/>
      <c r="R4642" s="8" t="n"/>
      <c r="S4642" s="8" t="n"/>
      <c r="T4642" s="8" t="n"/>
      <c r="U4642" s="8" t="n"/>
      <c r="V4642" s="8" t="n"/>
      <c r="W4642" s="8" t="n"/>
      <c r="X4642" s="8" t="n"/>
      <c r="Y4642" s="8" t="n"/>
    </row>
    <row r="4643">
      <c r="A4643" s="8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9">
        <f>B4643+30</f>
        <v/>
      </c>
      <c r="N4643">
        <f>IF(L4643="", "", L4643-B4643)</f>
        <v/>
      </c>
      <c r="O4643">
        <f>IF(L4643="", "Pending", IF(N4643&lt;=30, "Met", "Breached"))</f>
        <v/>
      </c>
      <c r="P4643" s="8" t="n"/>
      <c r="Q4643" s="8" t="n"/>
      <c r="R4643" s="8" t="n"/>
      <c r="S4643" s="8" t="n"/>
      <c r="T4643" s="8" t="n"/>
      <c r="U4643" s="8" t="n"/>
      <c r="V4643" s="8" t="n"/>
      <c r="W4643" s="8" t="n"/>
      <c r="X4643" s="8" t="n"/>
      <c r="Y4643" s="8" t="n"/>
    </row>
    <row r="4644">
      <c r="A4644" s="8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9">
        <f>B4644+30</f>
        <v/>
      </c>
      <c r="N4644">
        <f>IF(L4644="", "", L4644-B4644)</f>
        <v/>
      </c>
      <c r="O4644">
        <f>IF(L4644="", "Pending", IF(N4644&lt;=30, "Met", "Breached"))</f>
        <v/>
      </c>
      <c r="P4644" s="8" t="n"/>
      <c r="Q4644" s="8" t="n"/>
      <c r="R4644" s="8" t="n"/>
      <c r="S4644" s="8" t="n"/>
      <c r="T4644" s="8" t="n"/>
      <c r="U4644" s="8" t="n"/>
      <c r="V4644" s="8" t="n"/>
      <c r="W4644" s="8" t="n"/>
      <c r="X4644" s="8" t="n"/>
      <c r="Y4644" s="8" t="n"/>
    </row>
    <row r="4645">
      <c r="A4645" s="8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9">
        <f>B4645+30</f>
        <v/>
      </c>
      <c r="N4645">
        <f>IF(L4645="", "", L4645-B4645)</f>
        <v/>
      </c>
      <c r="O4645">
        <f>IF(L4645="", "Pending", IF(N4645&lt;=30, "Met", "Breached"))</f>
        <v/>
      </c>
      <c r="P4645" s="8" t="n"/>
      <c r="Q4645" s="8" t="n"/>
      <c r="R4645" s="8" t="n"/>
      <c r="S4645" s="8" t="n"/>
      <c r="T4645" s="8" t="n"/>
      <c r="U4645" s="8" t="n"/>
      <c r="V4645" s="8" t="n"/>
      <c r="W4645" s="8" t="n"/>
      <c r="X4645" s="8" t="n"/>
      <c r="Y4645" s="8" t="n"/>
    </row>
    <row r="4646">
      <c r="A4646" s="8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9">
        <f>B4646+30</f>
        <v/>
      </c>
      <c r="N4646">
        <f>IF(L4646="", "", L4646-B4646)</f>
        <v/>
      </c>
      <c r="O4646">
        <f>IF(L4646="", "Pending", IF(N4646&lt;=30, "Met", "Breached"))</f>
        <v/>
      </c>
      <c r="P4646" s="8" t="n"/>
      <c r="Q4646" s="8" t="n"/>
      <c r="R4646" s="8" t="n"/>
      <c r="S4646" s="8" t="n"/>
      <c r="T4646" s="8" t="n"/>
      <c r="U4646" s="8" t="n"/>
      <c r="V4646" s="8" t="n"/>
      <c r="W4646" s="8" t="n"/>
      <c r="X4646" s="8" t="n"/>
      <c r="Y4646" s="8" t="n"/>
    </row>
    <row r="4647">
      <c r="A4647" s="8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9">
        <f>B4647+30</f>
        <v/>
      </c>
      <c r="N4647">
        <f>IF(L4647="", "", L4647-B4647)</f>
        <v/>
      </c>
      <c r="O4647">
        <f>IF(L4647="", "Pending", IF(N4647&lt;=30, "Met", "Breached"))</f>
        <v/>
      </c>
      <c r="P4647" s="8" t="n"/>
      <c r="Q4647" s="8" t="n"/>
      <c r="R4647" s="8" t="n"/>
      <c r="S4647" s="8" t="n"/>
      <c r="T4647" s="8" t="n"/>
      <c r="U4647" s="8" t="n"/>
      <c r="V4647" s="8" t="n"/>
      <c r="W4647" s="8" t="n"/>
      <c r="X4647" s="8" t="n"/>
      <c r="Y4647" s="8" t="n"/>
    </row>
    <row r="4648">
      <c r="A4648" s="8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9">
        <f>B4648+30</f>
        <v/>
      </c>
      <c r="N4648">
        <f>IF(L4648="", "", L4648-B4648)</f>
        <v/>
      </c>
      <c r="O4648">
        <f>IF(L4648="", "Pending", IF(N4648&lt;=30, "Met", "Breached"))</f>
        <v/>
      </c>
      <c r="P4648" s="8" t="n"/>
      <c r="Q4648" s="8" t="n"/>
      <c r="R4648" s="8" t="n"/>
      <c r="S4648" s="8" t="n"/>
      <c r="T4648" s="8" t="n"/>
      <c r="U4648" s="8" t="n"/>
      <c r="V4648" s="8" t="n"/>
      <c r="W4648" s="8" t="n"/>
      <c r="X4648" s="8" t="n"/>
      <c r="Y4648" s="8" t="n"/>
    </row>
    <row r="4649">
      <c r="A4649" s="8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9">
        <f>B4649+30</f>
        <v/>
      </c>
      <c r="N4649">
        <f>IF(L4649="", "", L4649-B4649)</f>
        <v/>
      </c>
      <c r="O4649">
        <f>IF(L4649="", "Pending", IF(N4649&lt;=30, "Met", "Breached"))</f>
        <v/>
      </c>
      <c r="P4649" s="8" t="n"/>
      <c r="Q4649" s="8" t="n"/>
      <c r="R4649" s="8" t="n"/>
      <c r="S4649" s="8" t="n"/>
      <c r="T4649" s="8" t="n"/>
      <c r="U4649" s="8" t="n"/>
      <c r="V4649" s="8" t="n"/>
      <c r="W4649" s="8" t="n"/>
      <c r="X4649" s="8" t="n"/>
      <c r="Y4649" s="8" t="n"/>
    </row>
    <row r="4650">
      <c r="A4650" s="8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9">
        <f>B4650+30</f>
        <v/>
      </c>
      <c r="N4650">
        <f>IF(L4650="", "", L4650-B4650)</f>
        <v/>
      </c>
      <c r="O4650">
        <f>IF(L4650="", "Pending", IF(N4650&lt;=30, "Met", "Breached"))</f>
        <v/>
      </c>
      <c r="P4650" s="8" t="n"/>
      <c r="Q4650" s="8" t="n"/>
      <c r="R4650" s="8" t="n"/>
      <c r="S4650" s="8" t="n"/>
      <c r="T4650" s="8" t="n"/>
      <c r="U4650" s="8" t="n"/>
      <c r="V4650" s="8" t="n"/>
      <c r="W4650" s="8" t="n"/>
      <c r="X4650" s="8" t="n"/>
      <c r="Y4650" s="8" t="n"/>
    </row>
    <row r="4651">
      <c r="A4651" s="8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9">
        <f>B4651+30</f>
        <v/>
      </c>
      <c r="N4651">
        <f>IF(L4651="", "", L4651-B4651)</f>
        <v/>
      </c>
      <c r="O4651">
        <f>IF(L4651="", "Pending", IF(N4651&lt;=30, "Met", "Breached"))</f>
        <v/>
      </c>
      <c r="P4651" s="8" t="n"/>
      <c r="Q4651" s="8" t="n"/>
      <c r="R4651" s="8" t="n"/>
      <c r="S4651" s="8" t="n"/>
      <c r="T4651" s="8" t="n"/>
      <c r="U4651" s="8" t="n"/>
      <c r="V4651" s="8" t="n"/>
      <c r="W4651" s="8" t="n"/>
      <c r="X4651" s="8" t="n"/>
      <c r="Y4651" s="8" t="n"/>
    </row>
    <row r="4652">
      <c r="A4652" s="8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9">
        <f>B4652+30</f>
        <v/>
      </c>
      <c r="N4652">
        <f>IF(L4652="", "", L4652-B4652)</f>
        <v/>
      </c>
      <c r="O4652">
        <f>IF(L4652="", "Pending", IF(N4652&lt;=30, "Met", "Breached"))</f>
        <v/>
      </c>
      <c r="P4652" s="8" t="n"/>
      <c r="Q4652" s="8" t="n"/>
      <c r="R4652" s="8" t="n"/>
      <c r="S4652" s="8" t="n"/>
      <c r="T4652" s="8" t="n"/>
      <c r="U4652" s="8" t="n"/>
      <c r="V4652" s="8" t="n"/>
      <c r="W4652" s="8" t="n"/>
      <c r="X4652" s="8" t="n"/>
      <c r="Y4652" s="8" t="n"/>
    </row>
    <row r="4653">
      <c r="A4653" s="8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9">
        <f>B4653+30</f>
        <v/>
      </c>
      <c r="N4653">
        <f>IF(L4653="", "", L4653-B4653)</f>
        <v/>
      </c>
      <c r="O4653">
        <f>IF(L4653="", "Pending", IF(N4653&lt;=30, "Met", "Breached"))</f>
        <v/>
      </c>
      <c r="P4653" s="8" t="n"/>
      <c r="Q4653" s="8" t="n"/>
      <c r="R4653" s="8" t="n"/>
      <c r="S4653" s="8" t="n"/>
      <c r="T4653" s="8" t="n"/>
      <c r="U4653" s="8" t="n"/>
      <c r="V4653" s="8" t="n"/>
      <c r="W4653" s="8" t="n"/>
      <c r="X4653" s="8" t="n"/>
      <c r="Y4653" s="8" t="n"/>
    </row>
    <row r="4654">
      <c r="A4654" s="8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9">
        <f>B4654+30</f>
        <v/>
      </c>
      <c r="N4654">
        <f>IF(L4654="", "", L4654-B4654)</f>
        <v/>
      </c>
      <c r="O4654">
        <f>IF(L4654="", "Pending", IF(N4654&lt;=30, "Met", "Breached"))</f>
        <v/>
      </c>
      <c r="P4654" s="8" t="n"/>
      <c r="Q4654" s="8" t="n"/>
      <c r="R4654" s="8" t="n"/>
      <c r="S4654" s="8" t="n"/>
      <c r="T4654" s="8" t="n"/>
      <c r="U4654" s="8" t="n"/>
      <c r="V4654" s="8" t="n"/>
      <c r="W4654" s="8" t="n"/>
      <c r="X4654" s="8" t="n"/>
      <c r="Y4654" s="8" t="n"/>
    </row>
    <row r="4655">
      <c r="A4655" s="8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9">
        <f>B4655+30</f>
        <v/>
      </c>
      <c r="N4655">
        <f>IF(L4655="", "", L4655-B4655)</f>
        <v/>
      </c>
      <c r="O4655">
        <f>IF(L4655="", "Pending", IF(N4655&lt;=30, "Met", "Breached"))</f>
        <v/>
      </c>
      <c r="P4655" s="8" t="n"/>
      <c r="Q4655" s="8" t="n"/>
      <c r="R4655" s="8" t="n"/>
      <c r="S4655" s="8" t="n"/>
      <c r="T4655" s="8" t="n"/>
      <c r="U4655" s="8" t="n"/>
      <c r="V4655" s="8" t="n"/>
      <c r="W4655" s="8" t="n"/>
      <c r="X4655" s="8" t="n"/>
      <c r="Y4655" s="8" t="n"/>
    </row>
    <row r="4656">
      <c r="A4656" s="8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9">
        <f>B4656+30</f>
        <v/>
      </c>
      <c r="N4656">
        <f>IF(L4656="", "", L4656-B4656)</f>
        <v/>
      </c>
      <c r="O4656">
        <f>IF(L4656="", "Pending", IF(N4656&lt;=30, "Met", "Breached"))</f>
        <v/>
      </c>
      <c r="P4656" s="8" t="n"/>
      <c r="Q4656" s="8" t="n"/>
      <c r="R4656" s="8" t="n"/>
      <c r="S4656" s="8" t="n"/>
      <c r="T4656" s="8" t="n"/>
      <c r="U4656" s="8" t="n"/>
      <c r="V4656" s="8" t="n"/>
      <c r="W4656" s="8" t="n"/>
      <c r="X4656" s="8" t="n"/>
      <c r="Y4656" s="8" t="n"/>
    </row>
    <row r="4657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9">
        <f>B4657+30</f>
        <v/>
      </c>
      <c r="N4657">
        <f>IF(L4657="", "", L4657-B4657)</f>
        <v/>
      </c>
      <c r="O4657">
        <f>IF(L4657="", "Pending", IF(N4657&lt;=30, "Met", "Breached"))</f>
        <v/>
      </c>
      <c r="P4657" s="8" t="n"/>
      <c r="Q4657" s="8" t="n"/>
      <c r="R4657" s="8" t="n"/>
      <c r="S4657" s="8" t="n"/>
      <c r="T4657" s="8" t="n"/>
      <c r="U4657" s="8" t="n"/>
      <c r="V4657" s="8" t="n"/>
      <c r="W4657" s="8" t="n"/>
      <c r="X4657" s="8" t="n"/>
      <c r="Y4657" s="8" t="n"/>
    </row>
    <row r="4658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9">
        <f>B4658+30</f>
        <v/>
      </c>
      <c r="N4658">
        <f>IF(L4658="", "", L4658-B4658)</f>
        <v/>
      </c>
      <c r="O4658">
        <f>IF(L4658="", "Pending", IF(N4658&lt;=30, "Met", "Breached"))</f>
        <v/>
      </c>
      <c r="P4658" s="8" t="n"/>
      <c r="Q4658" s="8" t="n"/>
      <c r="R4658" s="8" t="n"/>
      <c r="S4658" s="8" t="n"/>
      <c r="T4658" s="8" t="n"/>
      <c r="U4658" s="8" t="n"/>
      <c r="V4658" s="8" t="n"/>
      <c r="W4658" s="8" t="n"/>
      <c r="X4658" s="8" t="n"/>
      <c r="Y4658" s="8" t="n"/>
    </row>
    <row r="4659">
      <c r="A4659" s="8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9">
        <f>B4659+30</f>
        <v/>
      </c>
      <c r="N4659">
        <f>IF(L4659="", "", L4659-B4659)</f>
        <v/>
      </c>
      <c r="O4659">
        <f>IF(L4659="", "Pending", IF(N4659&lt;=30, "Met", "Breached"))</f>
        <v/>
      </c>
      <c r="P4659" s="8" t="n"/>
      <c r="Q4659" s="8" t="n"/>
      <c r="R4659" s="8" t="n"/>
      <c r="S4659" s="8" t="n"/>
      <c r="T4659" s="8" t="n"/>
      <c r="U4659" s="8" t="n"/>
      <c r="V4659" s="8" t="n"/>
      <c r="W4659" s="8" t="n"/>
      <c r="X4659" s="8" t="n"/>
      <c r="Y4659" s="8" t="n"/>
    </row>
    <row r="4660">
      <c r="A4660" s="8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9">
        <f>B4660+30</f>
        <v/>
      </c>
      <c r="N4660">
        <f>IF(L4660="", "", L4660-B4660)</f>
        <v/>
      </c>
      <c r="O4660">
        <f>IF(L4660="", "Pending", IF(N4660&lt;=30, "Met", "Breached"))</f>
        <v/>
      </c>
      <c r="P4660" s="8" t="n"/>
      <c r="Q4660" s="8" t="n"/>
      <c r="R4660" s="8" t="n"/>
      <c r="S4660" s="8" t="n"/>
      <c r="T4660" s="8" t="n"/>
      <c r="U4660" s="8" t="n"/>
      <c r="V4660" s="8" t="n"/>
      <c r="W4660" s="8" t="n"/>
      <c r="X4660" s="8" t="n"/>
      <c r="Y4660" s="8" t="n"/>
    </row>
    <row r="4661">
      <c r="A4661" s="8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9">
        <f>B4661+30</f>
        <v/>
      </c>
      <c r="N4661">
        <f>IF(L4661="", "", L4661-B4661)</f>
        <v/>
      </c>
      <c r="O4661">
        <f>IF(L4661="", "Pending", IF(N4661&lt;=30, "Met", "Breached"))</f>
        <v/>
      </c>
      <c r="P4661" s="8" t="n"/>
      <c r="Q4661" s="8" t="n"/>
      <c r="R4661" s="8" t="n"/>
      <c r="S4661" s="8" t="n"/>
      <c r="T4661" s="8" t="n"/>
      <c r="U4661" s="8" t="n"/>
      <c r="V4661" s="8" t="n"/>
      <c r="W4661" s="8" t="n"/>
      <c r="X4661" s="8" t="n"/>
      <c r="Y4661" s="8" t="n"/>
    </row>
    <row r="4662">
      <c r="A4662" s="8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9">
        <f>B4662+30</f>
        <v/>
      </c>
      <c r="N4662">
        <f>IF(L4662="", "", L4662-B4662)</f>
        <v/>
      </c>
      <c r="O4662">
        <f>IF(L4662="", "Pending", IF(N4662&lt;=30, "Met", "Breached"))</f>
        <v/>
      </c>
      <c r="P4662" s="8" t="n"/>
      <c r="Q4662" s="8" t="n"/>
      <c r="R4662" s="8" t="n"/>
      <c r="S4662" s="8" t="n"/>
      <c r="T4662" s="8" t="n"/>
      <c r="U4662" s="8" t="n"/>
      <c r="V4662" s="8" t="n"/>
      <c r="W4662" s="8" t="n"/>
      <c r="X4662" s="8" t="n"/>
      <c r="Y4662" s="8" t="n"/>
    </row>
    <row r="4663">
      <c r="A4663" s="8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9">
        <f>B4663+30</f>
        <v/>
      </c>
      <c r="N4663">
        <f>IF(L4663="", "", L4663-B4663)</f>
        <v/>
      </c>
      <c r="O4663">
        <f>IF(L4663="", "Pending", IF(N4663&lt;=30, "Met", "Breached"))</f>
        <v/>
      </c>
      <c r="P4663" s="8" t="n"/>
      <c r="Q4663" s="8" t="n"/>
      <c r="R4663" s="8" t="n"/>
      <c r="S4663" s="8" t="n"/>
      <c r="T4663" s="8" t="n"/>
      <c r="U4663" s="8" t="n"/>
      <c r="V4663" s="8" t="n"/>
      <c r="W4663" s="8" t="n"/>
      <c r="X4663" s="8" t="n"/>
      <c r="Y4663" s="8" t="n"/>
    </row>
    <row r="4664">
      <c r="A4664" s="8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9">
        <f>B4664+30</f>
        <v/>
      </c>
      <c r="N4664">
        <f>IF(L4664="", "", L4664-B4664)</f>
        <v/>
      </c>
      <c r="O4664">
        <f>IF(L4664="", "Pending", IF(N4664&lt;=30, "Met", "Breached"))</f>
        <v/>
      </c>
      <c r="P4664" s="8" t="n"/>
      <c r="Q4664" s="8" t="n"/>
      <c r="R4664" s="8" t="n"/>
      <c r="S4664" s="8" t="n"/>
      <c r="T4664" s="8" t="n"/>
      <c r="U4664" s="8" t="n"/>
      <c r="V4664" s="8" t="n"/>
      <c r="W4664" s="8" t="n"/>
      <c r="X4664" s="8" t="n"/>
      <c r="Y4664" s="8" t="n"/>
    </row>
    <row r="4665">
      <c r="A4665" s="8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9">
        <f>B4665+30</f>
        <v/>
      </c>
      <c r="N4665">
        <f>IF(L4665="", "", L4665-B4665)</f>
        <v/>
      </c>
      <c r="O4665">
        <f>IF(L4665="", "Pending", IF(N4665&lt;=30, "Met", "Breached"))</f>
        <v/>
      </c>
      <c r="P4665" s="8" t="n"/>
      <c r="Q4665" s="8" t="n"/>
      <c r="R4665" s="8" t="n"/>
      <c r="S4665" s="8" t="n"/>
      <c r="T4665" s="8" t="n"/>
      <c r="U4665" s="8" t="n"/>
      <c r="V4665" s="8" t="n"/>
      <c r="W4665" s="8" t="n"/>
      <c r="X4665" s="8" t="n"/>
      <c r="Y4665" s="8" t="n"/>
    </row>
    <row r="4666">
      <c r="A4666" s="8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9">
        <f>B4666+30</f>
        <v/>
      </c>
      <c r="N4666">
        <f>IF(L4666="", "", L4666-B4666)</f>
        <v/>
      </c>
      <c r="O4666">
        <f>IF(L4666="", "Pending", IF(N4666&lt;=30, "Met", "Breached"))</f>
        <v/>
      </c>
      <c r="P4666" s="8" t="n"/>
      <c r="Q4666" s="8" t="n"/>
      <c r="R4666" s="8" t="n"/>
      <c r="S4666" s="8" t="n"/>
      <c r="T4666" s="8" t="n"/>
      <c r="U4666" s="8" t="n"/>
      <c r="V4666" s="8" t="n"/>
      <c r="W4666" s="8" t="n"/>
      <c r="X4666" s="8" t="n"/>
      <c r="Y4666" s="8" t="n"/>
    </row>
    <row r="4667">
      <c r="A4667" s="8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9">
        <f>B4667+30</f>
        <v/>
      </c>
      <c r="N4667">
        <f>IF(L4667="", "", L4667-B4667)</f>
        <v/>
      </c>
      <c r="O4667">
        <f>IF(L4667="", "Pending", IF(N4667&lt;=30, "Met", "Breached"))</f>
        <v/>
      </c>
      <c r="P4667" s="8" t="n"/>
      <c r="Q4667" s="8" t="n"/>
      <c r="R4667" s="8" t="n"/>
      <c r="S4667" s="8" t="n"/>
      <c r="T4667" s="8" t="n"/>
      <c r="U4667" s="8" t="n"/>
      <c r="V4667" s="8" t="n"/>
      <c r="W4667" s="8" t="n"/>
      <c r="X4667" s="8" t="n"/>
      <c r="Y4667" s="8" t="n"/>
    </row>
    <row r="4668">
      <c r="A4668" s="8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9">
        <f>B4668+30</f>
        <v/>
      </c>
      <c r="N4668">
        <f>IF(L4668="", "", L4668-B4668)</f>
        <v/>
      </c>
      <c r="O4668">
        <f>IF(L4668="", "Pending", IF(N4668&lt;=30, "Met", "Breached"))</f>
        <v/>
      </c>
      <c r="P4668" s="8" t="n"/>
      <c r="Q4668" s="8" t="n"/>
      <c r="R4668" s="8" t="n"/>
      <c r="S4668" s="8" t="n"/>
      <c r="T4668" s="8" t="n"/>
      <c r="U4668" s="8" t="n"/>
      <c r="V4668" s="8" t="n"/>
      <c r="W4668" s="8" t="n"/>
      <c r="X4668" s="8" t="n"/>
      <c r="Y4668" s="8" t="n"/>
    </row>
    <row r="4669">
      <c r="A4669" s="8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9">
        <f>B4669+30</f>
        <v/>
      </c>
      <c r="N4669">
        <f>IF(L4669="", "", L4669-B4669)</f>
        <v/>
      </c>
      <c r="O4669">
        <f>IF(L4669="", "Pending", IF(N4669&lt;=30, "Met", "Breached"))</f>
        <v/>
      </c>
      <c r="P4669" s="8" t="n"/>
      <c r="Q4669" s="8" t="n"/>
      <c r="R4669" s="8" t="n"/>
      <c r="S4669" s="8" t="n"/>
      <c r="T4669" s="8" t="n"/>
      <c r="U4669" s="8" t="n"/>
      <c r="V4669" s="8" t="n"/>
      <c r="W4669" s="8" t="n"/>
      <c r="X4669" s="8" t="n"/>
      <c r="Y4669" s="8" t="n"/>
    </row>
    <row r="4670">
      <c r="A4670" s="8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9">
        <f>B4670+30</f>
        <v/>
      </c>
      <c r="N4670">
        <f>IF(L4670="", "", L4670-B4670)</f>
        <v/>
      </c>
      <c r="O4670">
        <f>IF(L4670="", "Pending", IF(N4670&lt;=30, "Met", "Breached"))</f>
        <v/>
      </c>
      <c r="P4670" s="8" t="n"/>
      <c r="Q4670" s="8" t="n"/>
      <c r="R4670" s="8" t="n"/>
      <c r="S4670" s="8" t="n"/>
      <c r="T4670" s="8" t="n"/>
      <c r="U4670" s="8" t="n"/>
      <c r="V4670" s="8" t="n"/>
      <c r="W4670" s="8" t="n"/>
      <c r="X4670" s="8" t="n"/>
      <c r="Y4670" s="8" t="n"/>
    </row>
    <row r="4671">
      <c r="A4671" s="8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9">
        <f>B4671+30</f>
        <v/>
      </c>
      <c r="N4671">
        <f>IF(L4671="", "", L4671-B4671)</f>
        <v/>
      </c>
      <c r="O4671">
        <f>IF(L4671="", "Pending", IF(N4671&lt;=30, "Met", "Breached"))</f>
        <v/>
      </c>
      <c r="P4671" s="8" t="n"/>
      <c r="Q4671" s="8" t="n"/>
      <c r="R4671" s="8" t="n"/>
      <c r="S4671" s="8" t="n"/>
      <c r="T4671" s="8" t="n"/>
      <c r="U4671" s="8" t="n"/>
      <c r="V4671" s="8" t="n"/>
      <c r="W4671" s="8" t="n"/>
      <c r="X4671" s="8" t="n"/>
      <c r="Y4671" s="8" t="n"/>
    </row>
    <row r="4672">
      <c r="A4672" s="8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9">
        <f>B4672+30</f>
        <v/>
      </c>
      <c r="N4672">
        <f>IF(L4672="", "", L4672-B4672)</f>
        <v/>
      </c>
      <c r="O4672">
        <f>IF(L4672="", "Pending", IF(N4672&lt;=30, "Met", "Breached"))</f>
        <v/>
      </c>
      <c r="P4672" s="8" t="n"/>
      <c r="Q4672" s="8" t="n"/>
      <c r="R4672" s="8" t="n"/>
      <c r="S4672" s="8" t="n"/>
      <c r="T4672" s="8" t="n"/>
      <c r="U4672" s="8" t="n"/>
      <c r="V4672" s="8" t="n"/>
      <c r="W4672" s="8" t="n"/>
      <c r="X4672" s="8" t="n"/>
      <c r="Y4672" s="8" t="n"/>
    </row>
    <row r="4673">
      <c r="A4673" s="8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9">
        <f>B4673+30</f>
        <v/>
      </c>
      <c r="N4673">
        <f>IF(L4673="", "", L4673-B4673)</f>
        <v/>
      </c>
      <c r="O4673">
        <f>IF(L4673="", "Pending", IF(N4673&lt;=30, "Met", "Breached"))</f>
        <v/>
      </c>
      <c r="P4673" s="8" t="n"/>
      <c r="Q4673" s="8" t="n"/>
      <c r="R4673" s="8" t="n"/>
      <c r="S4673" s="8" t="n"/>
      <c r="T4673" s="8" t="n"/>
      <c r="U4673" s="8" t="n"/>
      <c r="V4673" s="8" t="n"/>
      <c r="W4673" s="8" t="n"/>
      <c r="X4673" s="8" t="n"/>
      <c r="Y4673" s="8" t="n"/>
    </row>
    <row r="4674">
      <c r="A4674" s="8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9">
        <f>B4674+30</f>
        <v/>
      </c>
      <c r="N4674">
        <f>IF(L4674="", "", L4674-B4674)</f>
        <v/>
      </c>
      <c r="O4674">
        <f>IF(L4674="", "Pending", IF(N4674&lt;=30, "Met", "Breached"))</f>
        <v/>
      </c>
      <c r="P4674" s="8" t="n"/>
      <c r="Q4674" s="8" t="n"/>
      <c r="R4674" s="8" t="n"/>
      <c r="S4674" s="8" t="n"/>
      <c r="T4674" s="8" t="n"/>
      <c r="U4674" s="8" t="n"/>
      <c r="V4674" s="8" t="n"/>
      <c r="W4674" s="8" t="n"/>
      <c r="X4674" s="8" t="n"/>
      <c r="Y4674" s="8" t="n"/>
    </row>
    <row r="4675">
      <c r="A4675" s="8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9">
        <f>B4675+30</f>
        <v/>
      </c>
      <c r="N4675">
        <f>IF(L4675="", "", L4675-B4675)</f>
        <v/>
      </c>
      <c r="O4675">
        <f>IF(L4675="", "Pending", IF(N4675&lt;=30, "Met", "Breached"))</f>
        <v/>
      </c>
      <c r="P4675" s="8" t="n"/>
      <c r="Q4675" s="8" t="n"/>
      <c r="R4675" s="8" t="n"/>
      <c r="S4675" s="8" t="n"/>
      <c r="T4675" s="8" t="n"/>
      <c r="U4675" s="8" t="n"/>
      <c r="V4675" s="8" t="n"/>
      <c r="W4675" s="8" t="n"/>
      <c r="X4675" s="8" t="n"/>
      <c r="Y4675" s="8" t="n"/>
    </row>
    <row r="4676">
      <c r="A4676" s="8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9">
        <f>B4676+30</f>
        <v/>
      </c>
      <c r="N4676">
        <f>IF(L4676="", "", L4676-B4676)</f>
        <v/>
      </c>
      <c r="O4676">
        <f>IF(L4676="", "Pending", IF(N4676&lt;=30, "Met", "Breached"))</f>
        <v/>
      </c>
      <c r="P4676" s="8" t="n"/>
      <c r="Q4676" s="8" t="n"/>
      <c r="R4676" s="8" t="n"/>
      <c r="S4676" s="8" t="n"/>
      <c r="T4676" s="8" t="n"/>
      <c r="U4676" s="8" t="n"/>
      <c r="V4676" s="8" t="n"/>
      <c r="W4676" s="8" t="n"/>
      <c r="X4676" s="8" t="n"/>
      <c r="Y4676" s="8" t="n"/>
    </row>
    <row r="4677">
      <c r="A4677" s="8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9">
        <f>B4677+30</f>
        <v/>
      </c>
      <c r="N4677">
        <f>IF(L4677="", "", L4677-B4677)</f>
        <v/>
      </c>
      <c r="O4677">
        <f>IF(L4677="", "Pending", IF(N4677&lt;=30, "Met", "Breached"))</f>
        <v/>
      </c>
      <c r="P4677" s="8" t="n"/>
      <c r="Q4677" s="8" t="n"/>
      <c r="R4677" s="8" t="n"/>
      <c r="S4677" s="8" t="n"/>
      <c r="T4677" s="8" t="n"/>
      <c r="U4677" s="8" t="n"/>
      <c r="V4677" s="8" t="n"/>
      <c r="W4677" s="8" t="n"/>
      <c r="X4677" s="8" t="n"/>
      <c r="Y4677" s="8" t="n"/>
    </row>
    <row r="4678">
      <c r="A4678" s="8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9">
        <f>B4678+30</f>
        <v/>
      </c>
      <c r="N4678">
        <f>IF(L4678="", "", L4678-B4678)</f>
        <v/>
      </c>
      <c r="O4678">
        <f>IF(L4678="", "Pending", IF(N4678&lt;=30, "Met", "Breached"))</f>
        <v/>
      </c>
      <c r="P4678" s="8" t="n"/>
      <c r="Q4678" s="8" t="n"/>
      <c r="R4678" s="8" t="n"/>
      <c r="S4678" s="8" t="n"/>
      <c r="T4678" s="8" t="n"/>
      <c r="U4678" s="8" t="n"/>
      <c r="V4678" s="8" t="n"/>
      <c r="W4678" s="8" t="n"/>
      <c r="X4678" s="8" t="n"/>
      <c r="Y4678" s="8" t="n"/>
    </row>
    <row r="4679">
      <c r="A4679" s="8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9">
        <f>B4679+30</f>
        <v/>
      </c>
      <c r="N4679">
        <f>IF(L4679="", "", L4679-B4679)</f>
        <v/>
      </c>
      <c r="O4679">
        <f>IF(L4679="", "Pending", IF(N4679&lt;=30, "Met", "Breached"))</f>
        <v/>
      </c>
      <c r="P4679" s="8" t="n"/>
      <c r="Q4679" s="8" t="n"/>
      <c r="R4679" s="8" t="n"/>
      <c r="S4679" s="8" t="n"/>
      <c r="T4679" s="8" t="n"/>
      <c r="U4679" s="8" t="n"/>
      <c r="V4679" s="8" t="n"/>
      <c r="W4679" s="8" t="n"/>
      <c r="X4679" s="8" t="n"/>
      <c r="Y4679" s="8" t="n"/>
    </row>
    <row r="4680">
      <c r="A4680" s="8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9">
        <f>B4680+30</f>
        <v/>
      </c>
      <c r="N4680">
        <f>IF(L4680="", "", L4680-B4680)</f>
        <v/>
      </c>
      <c r="O4680">
        <f>IF(L4680="", "Pending", IF(N4680&lt;=30, "Met", "Breached"))</f>
        <v/>
      </c>
      <c r="P4680" s="8" t="n"/>
      <c r="Q4680" s="8" t="n"/>
      <c r="R4680" s="8" t="n"/>
      <c r="S4680" s="8" t="n"/>
      <c r="T4680" s="8" t="n"/>
      <c r="U4680" s="8" t="n"/>
      <c r="V4680" s="8" t="n"/>
      <c r="W4680" s="8" t="n"/>
      <c r="X4680" s="8" t="n"/>
      <c r="Y4680" s="8" t="n"/>
    </row>
    <row r="4681">
      <c r="A4681" s="8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9">
        <f>B4681+30</f>
        <v/>
      </c>
      <c r="N4681">
        <f>IF(L4681="", "", L4681-B4681)</f>
        <v/>
      </c>
      <c r="O4681">
        <f>IF(L4681="", "Pending", IF(N4681&lt;=30, "Met", "Breached"))</f>
        <v/>
      </c>
      <c r="P4681" s="8" t="n"/>
      <c r="Q4681" s="8" t="n"/>
      <c r="R4681" s="8" t="n"/>
      <c r="S4681" s="8" t="n"/>
      <c r="T4681" s="8" t="n"/>
      <c r="U4681" s="8" t="n"/>
      <c r="V4681" s="8" t="n"/>
      <c r="W4681" s="8" t="n"/>
      <c r="X4681" s="8" t="n"/>
      <c r="Y4681" s="8" t="n"/>
    </row>
    <row r="4682">
      <c r="A4682" s="8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9">
        <f>B4682+30</f>
        <v/>
      </c>
      <c r="N4682">
        <f>IF(L4682="", "", L4682-B4682)</f>
        <v/>
      </c>
      <c r="O4682">
        <f>IF(L4682="", "Pending", IF(N4682&lt;=30, "Met", "Breached"))</f>
        <v/>
      </c>
      <c r="P4682" s="8" t="n"/>
      <c r="Q4682" s="8" t="n"/>
      <c r="R4682" s="8" t="n"/>
      <c r="S4682" s="8" t="n"/>
      <c r="T4682" s="8" t="n"/>
      <c r="U4682" s="8" t="n"/>
      <c r="V4682" s="8" t="n"/>
      <c r="W4682" s="8" t="n"/>
      <c r="X4682" s="8" t="n"/>
      <c r="Y4682" s="8" t="n"/>
    </row>
    <row r="4683">
      <c r="A4683" s="8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9">
        <f>B4683+30</f>
        <v/>
      </c>
      <c r="N4683">
        <f>IF(L4683="", "", L4683-B4683)</f>
        <v/>
      </c>
      <c r="O4683">
        <f>IF(L4683="", "Pending", IF(N4683&lt;=30, "Met", "Breached"))</f>
        <v/>
      </c>
      <c r="P4683" s="8" t="n"/>
      <c r="Q4683" s="8" t="n"/>
      <c r="R4683" s="8" t="n"/>
      <c r="S4683" s="8" t="n"/>
      <c r="T4683" s="8" t="n"/>
      <c r="U4683" s="8" t="n"/>
      <c r="V4683" s="8" t="n"/>
      <c r="W4683" s="8" t="n"/>
      <c r="X4683" s="8" t="n"/>
      <c r="Y4683" s="8" t="n"/>
    </row>
    <row r="4684">
      <c r="A4684" s="8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9">
        <f>B4684+30</f>
        <v/>
      </c>
      <c r="N4684">
        <f>IF(L4684="", "", L4684-B4684)</f>
        <v/>
      </c>
      <c r="O4684">
        <f>IF(L4684="", "Pending", IF(N4684&lt;=30, "Met", "Breached"))</f>
        <v/>
      </c>
      <c r="P4684" s="8" t="n"/>
      <c r="Q4684" s="8" t="n"/>
      <c r="R4684" s="8" t="n"/>
      <c r="S4684" s="8" t="n"/>
      <c r="T4684" s="8" t="n"/>
      <c r="U4684" s="8" t="n"/>
      <c r="V4684" s="8" t="n"/>
      <c r="W4684" s="8" t="n"/>
      <c r="X4684" s="8" t="n"/>
      <c r="Y4684" s="8" t="n"/>
    </row>
    <row r="4685">
      <c r="A4685" s="8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9">
        <f>B4685+30</f>
        <v/>
      </c>
      <c r="N4685">
        <f>IF(L4685="", "", L4685-B4685)</f>
        <v/>
      </c>
      <c r="O4685">
        <f>IF(L4685="", "Pending", IF(N4685&lt;=30, "Met", "Breached"))</f>
        <v/>
      </c>
      <c r="P4685" s="8" t="n"/>
      <c r="Q4685" s="8" t="n"/>
      <c r="R4685" s="8" t="n"/>
      <c r="S4685" s="8" t="n"/>
      <c r="T4685" s="8" t="n"/>
      <c r="U4685" s="8" t="n"/>
      <c r="V4685" s="8" t="n"/>
      <c r="W4685" s="8" t="n"/>
      <c r="X4685" s="8" t="n"/>
      <c r="Y4685" s="8" t="n"/>
    </row>
    <row r="4686">
      <c r="A4686" s="8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9">
        <f>B4686+30</f>
        <v/>
      </c>
      <c r="N4686">
        <f>IF(L4686="", "", L4686-B4686)</f>
        <v/>
      </c>
      <c r="O4686">
        <f>IF(L4686="", "Pending", IF(N4686&lt;=30, "Met", "Breached"))</f>
        <v/>
      </c>
      <c r="P4686" s="8" t="n"/>
      <c r="Q4686" s="8" t="n"/>
      <c r="R4686" s="8" t="n"/>
      <c r="S4686" s="8" t="n"/>
      <c r="T4686" s="8" t="n"/>
      <c r="U4686" s="8" t="n"/>
      <c r="V4686" s="8" t="n"/>
      <c r="W4686" s="8" t="n"/>
      <c r="X4686" s="8" t="n"/>
      <c r="Y4686" s="8" t="n"/>
    </row>
    <row r="4687">
      <c r="A4687" s="8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9">
        <f>B4687+30</f>
        <v/>
      </c>
      <c r="N4687">
        <f>IF(L4687="", "", L4687-B4687)</f>
        <v/>
      </c>
      <c r="O4687">
        <f>IF(L4687="", "Pending", IF(N4687&lt;=30, "Met", "Breached"))</f>
        <v/>
      </c>
      <c r="P4687" s="8" t="n"/>
      <c r="Q4687" s="8" t="n"/>
      <c r="R4687" s="8" t="n"/>
      <c r="S4687" s="8" t="n"/>
      <c r="T4687" s="8" t="n"/>
      <c r="U4687" s="8" t="n"/>
      <c r="V4687" s="8" t="n"/>
      <c r="W4687" s="8" t="n"/>
      <c r="X4687" s="8" t="n"/>
      <c r="Y4687" s="8" t="n"/>
    </row>
    <row r="4688">
      <c r="A4688" s="8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9">
        <f>B4688+30</f>
        <v/>
      </c>
      <c r="N4688">
        <f>IF(L4688="", "", L4688-B4688)</f>
        <v/>
      </c>
      <c r="O4688">
        <f>IF(L4688="", "Pending", IF(N4688&lt;=30, "Met", "Breached"))</f>
        <v/>
      </c>
      <c r="P4688" s="8" t="n"/>
      <c r="Q4688" s="8" t="n"/>
      <c r="R4688" s="8" t="n"/>
      <c r="S4688" s="8" t="n"/>
      <c r="T4688" s="8" t="n"/>
      <c r="U4688" s="8" t="n"/>
      <c r="V4688" s="8" t="n"/>
      <c r="W4688" s="8" t="n"/>
      <c r="X4688" s="8" t="n"/>
      <c r="Y4688" s="8" t="n"/>
    </row>
    <row r="4689">
      <c r="A4689" s="8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9">
        <f>B4689+30</f>
        <v/>
      </c>
      <c r="N4689">
        <f>IF(L4689="", "", L4689-B4689)</f>
        <v/>
      </c>
      <c r="O4689">
        <f>IF(L4689="", "Pending", IF(N4689&lt;=30, "Met", "Breached"))</f>
        <v/>
      </c>
      <c r="P4689" s="8" t="n"/>
      <c r="Q4689" s="8" t="n"/>
      <c r="R4689" s="8" t="n"/>
      <c r="S4689" s="8" t="n"/>
      <c r="T4689" s="8" t="n"/>
      <c r="U4689" s="8" t="n"/>
      <c r="V4689" s="8" t="n"/>
      <c r="W4689" s="8" t="n"/>
      <c r="X4689" s="8" t="n"/>
      <c r="Y4689" s="8" t="n"/>
    </row>
    <row r="4690">
      <c r="A4690" s="8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9">
        <f>B4690+30</f>
        <v/>
      </c>
      <c r="N4690">
        <f>IF(L4690="", "", L4690-B4690)</f>
        <v/>
      </c>
      <c r="O4690">
        <f>IF(L4690="", "Pending", IF(N4690&lt;=30, "Met", "Breached"))</f>
        <v/>
      </c>
      <c r="P4690" s="8" t="n"/>
      <c r="Q4690" s="8" t="n"/>
      <c r="R4690" s="8" t="n"/>
      <c r="S4690" s="8" t="n"/>
      <c r="T4690" s="8" t="n"/>
      <c r="U4690" s="8" t="n"/>
      <c r="V4690" s="8" t="n"/>
      <c r="W4690" s="8" t="n"/>
      <c r="X4690" s="8" t="n"/>
      <c r="Y4690" s="8" t="n"/>
    </row>
    <row r="4691">
      <c r="A4691" s="8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9">
        <f>B4691+30</f>
        <v/>
      </c>
      <c r="N4691">
        <f>IF(L4691="", "", L4691-B4691)</f>
        <v/>
      </c>
      <c r="O4691">
        <f>IF(L4691="", "Pending", IF(N4691&lt;=30, "Met", "Breached"))</f>
        <v/>
      </c>
      <c r="P4691" s="8" t="n"/>
      <c r="Q4691" s="8" t="n"/>
      <c r="R4691" s="8" t="n"/>
      <c r="S4691" s="8" t="n"/>
      <c r="T4691" s="8" t="n"/>
      <c r="U4691" s="8" t="n"/>
      <c r="V4691" s="8" t="n"/>
      <c r="W4691" s="8" t="n"/>
      <c r="X4691" s="8" t="n"/>
      <c r="Y4691" s="8" t="n"/>
    </row>
    <row r="4692">
      <c r="A4692" s="8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9">
        <f>B4692+30</f>
        <v/>
      </c>
      <c r="N4692">
        <f>IF(L4692="", "", L4692-B4692)</f>
        <v/>
      </c>
      <c r="O4692">
        <f>IF(L4692="", "Pending", IF(N4692&lt;=30, "Met", "Breached"))</f>
        <v/>
      </c>
      <c r="P4692" s="8" t="n"/>
      <c r="Q4692" s="8" t="n"/>
      <c r="R4692" s="8" t="n"/>
      <c r="S4692" s="8" t="n"/>
      <c r="T4692" s="8" t="n"/>
      <c r="U4692" s="8" t="n"/>
      <c r="V4692" s="8" t="n"/>
      <c r="W4692" s="8" t="n"/>
      <c r="X4692" s="8" t="n"/>
      <c r="Y4692" s="8" t="n"/>
    </row>
    <row r="4693">
      <c r="A4693" s="8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9">
        <f>B4693+30</f>
        <v/>
      </c>
      <c r="N4693">
        <f>IF(L4693="", "", L4693-B4693)</f>
        <v/>
      </c>
      <c r="O4693">
        <f>IF(L4693="", "Pending", IF(N4693&lt;=30, "Met", "Breached"))</f>
        <v/>
      </c>
      <c r="P4693" s="8" t="n"/>
      <c r="Q4693" s="8" t="n"/>
      <c r="R4693" s="8" t="n"/>
      <c r="S4693" s="8" t="n"/>
      <c r="T4693" s="8" t="n"/>
      <c r="U4693" s="8" t="n"/>
      <c r="V4693" s="8" t="n"/>
      <c r="W4693" s="8" t="n"/>
      <c r="X4693" s="8" t="n"/>
      <c r="Y4693" s="8" t="n"/>
    </row>
    <row r="4694">
      <c r="A4694" s="8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9">
        <f>B4694+30</f>
        <v/>
      </c>
      <c r="N4694">
        <f>IF(L4694="", "", L4694-B4694)</f>
        <v/>
      </c>
      <c r="O4694">
        <f>IF(L4694="", "Pending", IF(N4694&lt;=30, "Met", "Breached"))</f>
        <v/>
      </c>
      <c r="P4694" s="8" t="n"/>
      <c r="Q4694" s="8" t="n"/>
      <c r="R4694" s="8" t="n"/>
      <c r="S4694" s="8" t="n"/>
      <c r="T4694" s="8" t="n"/>
      <c r="U4694" s="8" t="n"/>
      <c r="V4694" s="8" t="n"/>
      <c r="W4694" s="8" t="n"/>
      <c r="X4694" s="8" t="n"/>
      <c r="Y4694" s="8" t="n"/>
    </row>
    <row r="4695">
      <c r="A4695" s="8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9">
        <f>B4695+30</f>
        <v/>
      </c>
      <c r="N4695">
        <f>IF(L4695="", "", L4695-B4695)</f>
        <v/>
      </c>
      <c r="O4695">
        <f>IF(L4695="", "Pending", IF(N4695&lt;=30, "Met", "Breached"))</f>
        <v/>
      </c>
      <c r="P4695" s="8" t="n"/>
      <c r="Q4695" s="8" t="n"/>
      <c r="R4695" s="8" t="n"/>
      <c r="S4695" s="8" t="n"/>
      <c r="T4695" s="8" t="n"/>
      <c r="U4695" s="8" t="n"/>
      <c r="V4695" s="8" t="n"/>
      <c r="W4695" s="8" t="n"/>
      <c r="X4695" s="8" t="n"/>
      <c r="Y4695" s="8" t="n"/>
    </row>
    <row r="4696">
      <c r="A4696" s="8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9">
        <f>B4696+30</f>
        <v/>
      </c>
      <c r="N4696">
        <f>IF(L4696="", "", L4696-B4696)</f>
        <v/>
      </c>
      <c r="O4696">
        <f>IF(L4696="", "Pending", IF(N4696&lt;=30, "Met", "Breached"))</f>
        <v/>
      </c>
      <c r="P4696" s="8" t="n"/>
      <c r="Q4696" s="8" t="n"/>
      <c r="R4696" s="8" t="n"/>
      <c r="S4696" s="8" t="n"/>
      <c r="T4696" s="8" t="n"/>
      <c r="U4696" s="8" t="n"/>
      <c r="V4696" s="8" t="n"/>
      <c r="W4696" s="8" t="n"/>
      <c r="X4696" s="8" t="n"/>
      <c r="Y4696" s="8" t="n"/>
    </row>
    <row r="4697">
      <c r="A4697" s="8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9">
        <f>B4697+30</f>
        <v/>
      </c>
      <c r="N4697">
        <f>IF(L4697="", "", L4697-B4697)</f>
        <v/>
      </c>
      <c r="O4697">
        <f>IF(L4697="", "Pending", IF(N4697&lt;=30, "Met", "Breached"))</f>
        <v/>
      </c>
      <c r="P4697" s="8" t="n"/>
      <c r="Q4697" s="8" t="n"/>
      <c r="R4697" s="8" t="n"/>
      <c r="S4697" s="8" t="n"/>
      <c r="T4697" s="8" t="n"/>
      <c r="U4697" s="8" t="n"/>
      <c r="V4697" s="8" t="n"/>
      <c r="W4697" s="8" t="n"/>
      <c r="X4697" s="8" t="n"/>
      <c r="Y4697" s="8" t="n"/>
    </row>
    <row r="4698">
      <c r="A4698" s="8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9">
        <f>B4698+30</f>
        <v/>
      </c>
      <c r="N4698">
        <f>IF(L4698="", "", L4698-B4698)</f>
        <v/>
      </c>
      <c r="O4698">
        <f>IF(L4698="", "Pending", IF(N4698&lt;=30, "Met", "Breached"))</f>
        <v/>
      </c>
      <c r="P4698" s="8" t="n"/>
      <c r="Q4698" s="8" t="n"/>
      <c r="R4698" s="8" t="n"/>
      <c r="S4698" s="8" t="n"/>
      <c r="T4698" s="8" t="n"/>
      <c r="U4698" s="8" t="n"/>
      <c r="V4698" s="8" t="n"/>
      <c r="W4698" s="8" t="n"/>
      <c r="X4698" s="8" t="n"/>
      <c r="Y4698" s="8" t="n"/>
    </row>
    <row r="4699">
      <c r="A4699" s="8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9">
        <f>B4699+30</f>
        <v/>
      </c>
      <c r="N4699">
        <f>IF(L4699="", "", L4699-B4699)</f>
        <v/>
      </c>
      <c r="O4699">
        <f>IF(L4699="", "Pending", IF(N4699&lt;=30, "Met", "Breached"))</f>
        <v/>
      </c>
      <c r="P4699" s="8" t="n"/>
      <c r="Q4699" s="8" t="n"/>
      <c r="R4699" s="8" t="n"/>
      <c r="S4699" s="8" t="n"/>
      <c r="T4699" s="8" t="n"/>
      <c r="U4699" s="8" t="n"/>
      <c r="V4699" s="8" t="n"/>
      <c r="W4699" s="8" t="n"/>
      <c r="X4699" s="8" t="n"/>
      <c r="Y4699" s="8" t="n"/>
    </row>
    <row r="4700">
      <c r="A4700" s="8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9">
        <f>B4700+30</f>
        <v/>
      </c>
      <c r="N4700">
        <f>IF(L4700="", "", L4700-B4700)</f>
        <v/>
      </c>
      <c r="O4700">
        <f>IF(L4700="", "Pending", IF(N4700&lt;=30, "Met", "Breached"))</f>
        <v/>
      </c>
      <c r="P4700" s="8" t="n"/>
      <c r="Q4700" s="8" t="n"/>
      <c r="R4700" s="8" t="n"/>
      <c r="S4700" s="8" t="n"/>
      <c r="T4700" s="8" t="n"/>
      <c r="U4700" s="8" t="n"/>
      <c r="V4700" s="8" t="n"/>
      <c r="W4700" s="8" t="n"/>
      <c r="X4700" s="8" t="n"/>
      <c r="Y4700" s="8" t="n"/>
    </row>
    <row r="4701">
      <c r="A4701" s="8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9">
        <f>B4701+30</f>
        <v/>
      </c>
      <c r="N4701">
        <f>IF(L4701="", "", L4701-B4701)</f>
        <v/>
      </c>
      <c r="O4701">
        <f>IF(L4701="", "Pending", IF(N4701&lt;=30, "Met", "Breached"))</f>
        <v/>
      </c>
      <c r="P4701" s="8" t="n"/>
      <c r="Q4701" s="8" t="n"/>
      <c r="R4701" s="8" t="n"/>
      <c r="S4701" s="8" t="n"/>
      <c r="T4701" s="8" t="n"/>
      <c r="U4701" s="8" t="n"/>
      <c r="V4701" s="8" t="n"/>
      <c r="W4701" s="8" t="n"/>
      <c r="X4701" s="8" t="n"/>
      <c r="Y4701" s="8" t="n"/>
    </row>
    <row r="4702">
      <c r="A4702" s="8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9">
        <f>B4702+30</f>
        <v/>
      </c>
      <c r="N4702">
        <f>IF(L4702="", "", L4702-B4702)</f>
        <v/>
      </c>
      <c r="O4702">
        <f>IF(L4702="", "Pending", IF(N4702&lt;=30, "Met", "Breached"))</f>
        <v/>
      </c>
      <c r="P4702" s="8" t="n"/>
      <c r="Q4702" s="8" t="n"/>
      <c r="R4702" s="8" t="n"/>
      <c r="S4702" s="8" t="n"/>
      <c r="T4702" s="8" t="n"/>
      <c r="U4702" s="8" t="n"/>
      <c r="V4702" s="8" t="n"/>
      <c r="W4702" s="8" t="n"/>
      <c r="X4702" s="8" t="n"/>
      <c r="Y4702" s="8" t="n"/>
    </row>
    <row r="4703">
      <c r="A4703" s="8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9">
        <f>B4703+30</f>
        <v/>
      </c>
      <c r="N4703">
        <f>IF(L4703="", "", L4703-B4703)</f>
        <v/>
      </c>
      <c r="O4703">
        <f>IF(L4703="", "Pending", IF(N4703&lt;=30, "Met", "Breached"))</f>
        <v/>
      </c>
      <c r="P4703" s="8" t="n"/>
      <c r="Q4703" s="8" t="n"/>
      <c r="R4703" s="8" t="n"/>
      <c r="S4703" s="8" t="n"/>
      <c r="T4703" s="8" t="n"/>
      <c r="U4703" s="8" t="n"/>
      <c r="V4703" s="8" t="n"/>
      <c r="W4703" s="8" t="n"/>
      <c r="X4703" s="8" t="n"/>
      <c r="Y4703" s="8" t="n"/>
    </row>
    <row r="4704">
      <c r="A4704" s="8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9">
        <f>B4704+30</f>
        <v/>
      </c>
      <c r="N4704">
        <f>IF(L4704="", "", L4704-B4704)</f>
        <v/>
      </c>
      <c r="O4704">
        <f>IF(L4704="", "Pending", IF(N4704&lt;=30, "Met", "Breached"))</f>
        <v/>
      </c>
      <c r="P4704" s="8" t="n"/>
      <c r="Q4704" s="8" t="n"/>
      <c r="R4704" s="8" t="n"/>
      <c r="S4704" s="8" t="n"/>
      <c r="T4704" s="8" t="n"/>
      <c r="U4704" s="8" t="n"/>
      <c r="V4704" s="8" t="n"/>
      <c r="W4704" s="8" t="n"/>
      <c r="X4704" s="8" t="n"/>
      <c r="Y4704" s="8" t="n"/>
    </row>
    <row r="4705">
      <c r="A4705" s="8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9">
        <f>B4705+30</f>
        <v/>
      </c>
      <c r="N4705">
        <f>IF(L4705="", "", L4705-B4705)</f>
        <v/>
      </c>
      <c r="O4705">
        <f>IF(L4705="", "Pending", IF(N4705&lt;=30, "Met", "Breached"))</f>
        <v/>
      </c>
      <c r="P4705" s="8" t="n"/>
      <c r="Q4705" s="8" t="n"/>
      <c r="R4705" s="8" t="n"/>
      <c r="S4705" s="8" t="n"/>
      <c r="T4705" s="8" t="n"/>
      <c r="U4705" s="8" t="n"/>
      <c r="V4705" s="8" t="n"/>
      <c r="W4705" s="8" t="n"/>
      <c r="X4705" s="8" t="n"/>
      <c r="Y4705" s="8" t="n"/>
    </row>
    <row r="4706">
      <c r="A4706" s="8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9">
        <f>B4706+30</f>
        <v/>
      </c>
      <c r="N4706">
        <f>IF(L4706="", "", L4706-B4706)</f>
        <v/>
      </c>
      <c r="O4706">
        <f>IF(L4706="", "Pending", IF(N4706&lt;=30, "Met", "Breached"))</f>
        <v/>
      </c>
      <c r="P4706" s="8" t="n"/>
      <c r="Q4706" s="8" t="n"/>
      <c r="R4706" s="8" t="n"/>
      <c r="S4706" s="8" t="n"/>
      <c r="T4706" s="8" t="n"/>
      <c r="U4706" s="8" t="n"/>
      <c r="V4706" s="8" t="n"/>
      <c r="W4706" s="8" t="n"/>
      <c r="X4706" s="8" t="n"/>
      <c r="Y4706" s="8" t="n"/>
    </row>
    <row r="4707">
      <c r="A4707" s="8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9">
        <f>B4707+30</f>
        <v/>
      </c>
      <c r="N4707">
        <f>IF(L4707="", "", L4707-B4707)</f>
        <v/>
      </c>
      <c r="O4707">
        <f>IF(L4707="", "Pending", IF(N4707&lt;=30, "Met", "Breached"))</f>
        <v/>
      </c>
      <c r="P4707" s="8" t="n"/>
      <c r="Q4707" s="8" t="n"/>
      <c r="R4707" s="8" t="n"/>
      <c r="S4707" s="8" t="n"/>
      <c r="T4707" s="8" t="n"/>
      <c r="U4707" s="8" t="n"/>
      <c r="V4707" s="8" t="n"/>
      <c r="W4707" s="8" t="n"/>
      <c r="X4707" s="8" t="n"/>
      <c r="Y4707" s="8" t="n"/>
    </row>
    <row r="4708">
      <c r="A4708" s="8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9">
        <f>B4708+30</f>
        <v/>
      </c>
      <c r="N4708">
        <f>IF(L4708="", "", L4708-B4708)</f>
        <v/>
      </c>
      <c r="O4708">
        <f>IF(L4708="", "Pending", IF(N4708&lt;=30, "Met", "Breached"))</f>
        <v/>
      </c>
      <c r="P4708" s="8" t="n"/>
      <c r="Q4708" s="8" t="n"/>
      <c r="R4708" s="8" t="n"/>
      <c r="S4708" s="8" t="n"/>
      <c r="T4708" s="8" t="n"/>
      <c r="U4708" s="8" t="n"/>
      <c r="V4708" s="8" t="n"/>
      <c r="W4708" s="8" t="n"/>
      <c r="X4708" s="8" t="n"/>
      <c r="Y4708" s="8" t="n"/>
    </row>
    <row r="4709">
      <c r="A4709" s="8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9">
        <f>B4709+30</f>
        <v/>
      </c>
      <c r="N4709">
        <f>IF(L4709="", "", L4709-B4709)</f>
        <v/>
      </c>
      <c r="O4709">
        <f>IF(L4709="", "Pending", IF(N4709&lt;=30, "Met", "Breached"))</f>
        <v/>
      </c>
      <c r="P4709" s="8" t="n"/>
      <c r="Q4709" s="8" t="n"/>
      <c r="R4709" s="8" t="n"/>
      <c r="S4709" s="8" t="n"/>
      <c r="T4709" s="8" t="n"/>
      <c r="U4709" s="8" t="n"/>
      <c r="V4709" s="8" t="n"/>
      <c r="W4709" s="8" t="n"/>
      <c r="X4709" s="8" t="n"/>
      <c r="Y4709" s="8" t="n"/>
    </row>
    <row r="4710">
      <c r="A4710" s="8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9">
        <f>B4710+30</f>
        <v/>
      </c>
      <c r="N4710">
        <f>IF(L4710="", "", L4710-B4710)</f>
        <v/>
      </c>
      <c r="O4710">
        <f>IF(L4710="", "Pending", IF(N4710&lt;=30, "Met", "Breached"))</f>
        <v/>
      </c>
      <c r="P4710" s="8" t="n"/>
      <c r="Q4710" s="8" t="n"/>
      <c r="R4710" s="8" t="n"/>
      <c r="S4710" s="8" t="n"/>
      <c r="T4710" s="8" t="n"/>
      <c r="U4710" s="8" t="n"/>
      <c r="V4710" s="8" t="n"/>
      <c r="W4710" s="8" t="n"/>
      <c r="X4710" s="8" t="n"/>
      <c r="Y4710" s="8" t="n"/>
    </row>
    <row r="4711">
      <c r="A4711" s="8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9">
        <f>B4711+30</f>
        <v/>
      </c>
      <c r="N4711">
        <f>IF(L4711="", "", L4711-B4711)</f>
        <v/>
      </c>
      <c r="O4711">
        <f>IF(L4711="", "Pending", IF(N4711&lt;=30, "Met", "Breached"))</f>
        <v/>
      </c>
      <c r="P4711" s="8" t="n"/>
      <c r="Q4711" s="8" t="n"/>
      <c r="R4711" s="8" t="n"/>
      <c r="S4711" s="8" t="n"/>
      <c r="T4711" s="8" t="n"/>
      <c r="U4711" s="8" t="n"/>
      <c r="V4711" s="8" t="n"/>
      <c r="W4711" s="8" t="n"/>
      <c r="X4711" s="8" t="n"/>
      <c r="Y4711" s="8" t="n"/>
    </row>
    <row r="4712">
      <c r="A4712" s="8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9">
        <f>B4712+30</f>
        <v/>
      </c>
      <c r="N4712">
        <f>IF(L4712="", "", L4712-B4712)</f>
        <v/>
      </c>
      <c r="O4712">
        <f>IF(L4712="", "Pending", IF(N4712&lt;=30, "Met", "Breached"))</f>
        <v/>
      </c>
      <c r="P4712" s="8" t="n"/>
      <c r="Q4712" s="8" t="n"/>
      <c r="R4712" s="8" t="n"/>
      <c r="S4712" s="8" t="n"/>
      <c r="T4712" s="8" t="n"/>
      <c r="U4712" s="8" t="n"/>
      <c r="V4712" s="8" t="n"/>
      <c r="W4712" s="8" t="n"/>
      <c r="X4712" s="8" t="n"/>
      <c r="Y4712" s="8" t="n"/>
    </row>
    <row r="4713">
      <c r="A4713" s="8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9">
        <f>B4713+30</f>
        <v/>
      </c>
      <c r="N4713">
        <f>IF(L4713="", "", L4713-B4713)</f>
        <v/>
      </c>
      <c r="O4713">
        <f>IF(L4713="", "Pending", IF(N4713&lt;=30, "Met", "Breached"))</f>
        <v/>
      </c>
      <c r="P4713" s="8" t="n"/>
      <c r="Q4713" s="8" t="n"/>
      <c r="R4713" s="8" t="n"/>
      <c r="S4713" s="8" t="n"/>
      <c r="T4713" s="8" t="n"/>
      <c r="U4713" s="8" t="n"/>
      <c r="V4713" s="8" t="n"/>
      <c r="W4713" s="8" t="n"/>
      <c r="X4713" s="8" t="n"/>
      <c r="Y4713" s="8" t="n"/>
    </row>
    <row r="4714">
      <c r="A4714" s="8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9">
        <f>B4714+30</f>
        <v/>
      </c>
      <c r="N4714">
        <f>IF(L4714="", "", L4714-B4714)</f>
        <v/>
      </c>
      <c r="O4714">
        <f>IF(L4714="", "Pending", IF(N4714&lt;=30, "Met", "Breached"))</f>
        <v/>
      </c>
      <c r="P4714" s="8" t="n"/>
      <c r="Q4714" s="8" t="n"/>
      <c r="R4714" s="8" t="n"/>
      <c r="S4714" s="8" t="n"/>
      <c r="T4714" s="8" t="n"/>
      <c r="U4714" s="8" t="n"/>
      <c r="V4714" s="8" t="n"/>
      <c r="W4714" s="8" t="n"/>
      <c r="X4714" s="8" t="n"/>
      <c r="Y4714" s="8" t="n"/>
    </row>
    <row r="4715">
      <c r="A4715" s="8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9">
        <f>B4715+30</f>
        <v/>
      </c>
      <c r="N4715">
        <f>IF(L4715="", "", L4715-B4715)</f>
        <v/>
      </c>
      <c r="O4715">
        <f>IF(L4715="", "Pending", IF(N4715&lt;=30, "Met", "Breached"))</f>
        <v/>
      </c>
      <c r="P4715" s="8" t="n"/>
      <c r="Q4715" s="8" t="n"/>
      <c r="R4715" s="8" t="n"/>
      <c r="S4715" s="8" t="n"/>
      <c r="T4715" s="8" t="n"/>
      <c r="U4715" s="8" t="n"/>
      <c r="V4715" s="8" t="n"/>
      <c r="W4715" s="8" t="n"/>
      <c r="X4715" s="8" t="n"/>
      <c r="Y4715" s="8" t="n"/>
    </row>
    <row r="4716">
      <c r="A4716" s="8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9">
        <f>B4716+30</f>
        <v/>
      </c>
      <c r="N4716">
        <f>IF(L4716="", "", L4716-B4716)</f>
        <v/>
      </c>
      <c r="O4716">
        <f>IF(L4716="", "Pending", IF(N4716&lt;=30, "Met", "Breached"))</f>
        <v/>
      </c>
      <c r="P4716" s="8" t="n"/>
      <c r="Q4716" s="8" t="n"/>
      <c r="R4716" s="8" t="n"/>
      <c r="S4716" s="8" t="n"/>
      <c r="T4716" s="8" t="n"/>
      <c r="U4716" s="8" t="n"/>
      <c r="V4716" s="8" t="n"/>
      <c r="W4716" s="8" t="n"/>
      <c r="X4716" s="8" t="n"/>
      <c r="Y4716" s="8" t="n"/>
    </row>
    <row r="4717">
      <c r="A4717" s="8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9">
        <f>B4717+30</f>
        <v/>
      </c>
      <c r="N4717">
        <f>IF(L4717="", "", L4717-B4717)</f>
        <v/>
      </c>
      <c r="O4717">
        <f>IF(L4717="", "Pending", IF(N4717&lt;=30, "Met", "Breached"))</f>
        <v/>
      </c>
      <c r="P4717" s="8" t="n"/>
      <c r="Q4717" s="8" t="n"/>
      <c r="R4717" s="8" t="n"/>
      <c r="S4717" s="8" t="n"/>
      <c r="T4717" s="8" t="n"/>
      <c r="U4717" s="8" t="n"/>
      <c r="V4717" s="8" t="n"/>
      <c r="W4717" s="8" t="n"/>
      <c r="X4717" s="8" t="n"/>
      <c r="Y4717" s="8" t="n"/>
    </row>
    <row r="4718">
      <c r="A4718" s="8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9">
        <f>B4718+30</f>
        <v/>
      </c>
      <c r="N4718">
        <f>IF(L4718="", "", L4718-B4718)</f>
        <v/>
      </c>
      <c r="O4718">
        <f>IF(L4718="", "Pending", IF(N4718&lt;=30, "Met", "Breached"))</f>
        <v/>
      </c>
      <c r="P4718" s="8" t="n"/>
      <c r="Q4718" s="8" t="n"/>
      <c r="R4718" s="8" t="n"/>
      <c r="S4718" s="8" t="n"/>
      <c r="T4718" s="8" t="n"/>
      <c r="U4718" s="8" t="n"/>
      <c r="V4718" s="8" t="n"/>
      <c r="W4718" s="8" t="n"/>
      <c r="X4718" s="8" t="n"/>
      <c r="Y4718" s="8" t="n"/>
    </row>
    <row r="4719">
      <c r="A4719" s="8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9">
        <f>B4719+30</f>
        <v/>
      </c>
      <c r="N4719">
        <f>IF(L4719="", "", L4719-B4719)</f>
        <v/>
      </c>
      <c r="O4719">
        <f>IF(L4719="", "Pending", IF(N4719&lt;=30, "Met", "Breached"))</f>
        <v/>
      </c>
      <c r="P4719" s="8" t="n"/>
      <c r="Q4719" s="8" t="n"/>
      <c r="R4719" s="8" t="n"/>
      <c r="S4719" s="8" t="n"/>
      <c r="T4719" s="8" t="n"/>
      <c r="U4719" s="8" t="n"/>
      <c r="V4719" s="8" t="n"/>
      <c r="W4719" s="8" t="n"/>
      <c r="X4719" s="8" t="n"/>
      <c r="Y4719" s="8" t="n"/>
    </row>
    <row r="4720">
      <c r="A4720" s="8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9">
        <f>B4720+30</f>
        <v/>
      </c>
      <c r="N4720">
        <f>IF(L4720="", "", L4720-B4720)</f>
        <v/>
      </c>
      <c r="O4720">
        <f>IF(L4720="", "Pending", IF(N4720&lt;=30, "Met", "Breached"))</f>
        <v/>
      </c>
      <c r="P4720" s="8" t="n"/>
      <c r="Q4720" s="8" t="n"/>
      <c r="R4720" s="8" t="n"/>
      <c r="S4720" s="8" t="n"/>
      <c r="T4720" s="8" t="n"/>
      <c r="U4720" s="8" t="n"/>
      <c r="V4720" s="8" t="n"/>
      <c r="W4720" s="8" t="n"/>
      <c r="X4720" s="8" t="n"/>
      <c r="Y4720" s="8" t="n"/>
    </row>
    <row r="4721">
      <c r="A4721" s="8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9">
        <f>B4721+30</f>
        <v/>
      </c>
      <c r="N4721">
        <f>IF(L4721="", "", L4721-B4721)</f>
        <v/>
      </c>
      <c r="O4721">
        <f>IF(L4721="", "Pending", IF(N4721&lt;=30, "Met", "Breached"))</f>
        <v/>
      </c>
      <c r="P4721" s="8" t="n"/>
      <c r="Q4721" s="8" t="n"/>
      <c r="R4721" s="8" t="n"/>
      <c r="S4721" s="8" t="n"/>
      <c r="T4721" s="8" t="n"/>
      <c r="U4721" s="8" t="n"/>
      <c r="V4721" s="8" t="n"/>
      <c r="W4721" s="8" t="n"/>
      <c r="X4721" s="8" t="n"/>
      <c r="Y4721" s="8" t="n"/>
    </row>
    <row r="4722">
      <c r="A4722" s="8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9">
        <f>B4722+30</f>
        <v/>
      </c>
      <c r="N4722">
        <f>IF(L4722="", "", L4722-B4722)</f>
        <v/>
      </c>
      <c r="O4722">
        <f>IF(L4722="", "Pending", IF(N4722&lt;=30, "Met", "Breached"))</f>
        <v/>
      </c>
      <c r="P4722" s="8" t="n"/>
      <c r="Q4722" s="8" t="n"/>
      <c r="R4722" s="8" t="n"/>
      <c r="S4722" s="8" t="n"/>
      <c r="T4722" s="8" t="n"/>
      <c r="U4722" s="8" t="n"/>
      <c r="V4722" s="8" t="n"/>
      <c r="W4722" s="8" t="n"/>
      <c r="X4722" s="8" t="n"/>
      <c r="Y4722" s="8" t="n"/>
    </row>
    <row r="4723">
      <c r="A4723" s="8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9">
        <f>B4723+30</f>
        <v/>
      </c>
      <c r="N4723">
        <f>IF(L4723="", "", L4723-B4723)</f>
        <v/>
      </c>
      <c r="O4723">
        <f>IF(L4723="", "Pending", IF(N4723&lt;=30, "Met", "Breached"))</f>
        <v/>
      </c>
      <c r="P4723" s="8" t="n"/>
      <c r="Q4723" s="8" t="n"/>
      <c r="R4723" s="8" t="n"/>
      <c r="S4723" s="8" t="n"/>
      <c r="T4723" s="8" t="n"/>
      <c r="U4723" s="8" t="n"/>
      <c r="V4723" s="8" t="n"/>
      <c r="W4723" s="8" t="n"/>
      <c r="X4723" s="8" t="n"/>
      <c r="Y4723" s="8" t="n"/>
    </row>
    <row r="4724">
      <c r="A4724" s="8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9">
        <f>B4724+30</f>
        <v/>
      </c>
      <c r="N4724">
        <f>IF(L4724="", "", L4724-B4724)</f>
        <v/>
      </c>
      <c r="O4724">
        <f>IF(L4724="", "Pending", IF(N4724&lt;=30, "Met", "Breached"))</f>
        <v/>
      </c>
      <c r="P4724" s="8" t="n"/>
      <c r="Q4724" s="8" t="n"/>
      <c r="R4724" s="8" t="n"/>
      <c r="S4724" s="8" t="n"/>
      <c r="T4724" s="8" t="n"/>
      <c r="U4724" s="8" t="n"/>
      <c r="V4724" s="8" t="n"/>
      <c r="W4724" s="8" t="n"/>
      <c r="X4724" s="8" t="n"/>
      <c r="Y4724" s="8" t="n"/>
    </row>
    <row r="4725">
      <c r="A4725" s="8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9">
        <f>B4725+30</f>
        <v/>
      </c>
      <c r="N4725">
        <f>IF(L4725="", "", L4725-B4725)</f>
        <v/>
      </c>
      <c r="O4725">
        <f>IF(L4725="", "Pending", IF(N4725&lt;=30, "Met", "Breached"))</f>
        <v/>
      </c>
      <c r="P4725" s="8" t="n"/>
      <c r="Q4725" s="8" t="n"/>
      <c r="R4725" s="8" t="n"/>
      <c r="S4725" s="8" t="n"/>
      <c r="T4725" s="8" t="n"/>
      <c r="U4725" s="8" t="n"/>
      <c r="V4725" s="8" t="n"/>
      <c r="W4725" s="8" t="n"/>
      <c r="X4725" s="8" t="n"/>
      <c r="Y4725" s="8" t="n"/>
    </row>
    <row r="4726">
      <c r="A4726" s="8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9">
        <f>B4726+30</f>
        <v/>
      </c>
      <c r="N4726">
        <f>IF(L4726="", "", L4726-B4726)</f>
        <v/>
      </c>
      <c r="O4726">
        <f>IF(L4726="", "Pending", IF(N4726&lt;=30, "Met", "Breached"))</f>
        <v/>
      </c>
      <c r="P4726" s="8" t="n"/>
      <c r="Q4726" s="8" t="n"/>
      <c r="R4726" s="8" t="n"/>
      <c r="S4726" s="8" t="n"/>
      <c r="T4726" s="8" t="n"/>
      <c r="U4726" s="8" t="n"/>
      <c r="V4726" s="8" t="n"/>
      <c r="W4726" s="8" t="n"/>
      <c r="X4726" s="8" t="n"/>
      <c r="Y4726" s="8" t="n"/>
    </row>
    <row r="4727">
      <c r="A4727" s="8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9">
        <f>B4727+30</f>
        <v/>
      </c>
      <c r="N4727">
        <f>IF(L4727="", "", L4727-B4727)</f>
        <v/>
      </c>
      <c r="O4727">
        <f>IF(L4727="", "Pending", IF(N4727&lt;=30, "Met", "Breached"))</f>
        <v/>
      </c>
      <c r="P4727" s="8" t="n"/>
      <c r="Q4727" s="8" t="n"/>
      <c r="R4727" s="8" t="n"/>
      <c r="S4727" s="8" t="n"/>
      <c r="T4727" s="8" t="n"/>
      <c r="U4727" s="8" t="n"/>
      <c r="V4727" s="8" t="n"/>
      <c r="W4727" s="8" t="n"/>
      <c r="X4727" s="8" t="n"/>
      <c r="Y4727" s="8" t="n"/>
    </row>
    <row r="4728">
      <c r="A4728" s="8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9">
        <f>B4728+30</f>
        <v/>
      </c>
      <c r="N4728">
        <f>IF(L4728="", "", L4728-B4728)</f>
        <v/>
      </c>
      <c r="O4728">
        <f>IF(L4728="", "Pending", IF(N4728&lt;=30, "Met", "Breached"))</f>
        <v/>
      </c>
      <c r="P4728" s="8" t="n"/>
      <c r="Q4728" s="8" t="n"/>
      <c r="R4728" s="8" t="n"/>
      <c r="S4728" s="8" t="n"/>
      <c r="T4728" s="8" t="n"/>
      <c r="U4728" s="8" t="n"/>
      <c r="V4728" s="8" t="n"/>
      <c r="W4728" s="8" t="n"/>
      <c r="X4728" s="8" t="n"/>
      <c r="Y4728" s="8" t="n"/>
    </row>
    <row r="4729">
      <c r="A4729" s="8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9">
        <f>B4729+30</f>
        <v/>
      </c>
      <c r="N4729">
        <f>IF(L4729="", "", L4729-B4729)</f>
        <v/>
      </c>
      <c r="O4729">
        <f>IF(L4729="", "Pending", IF(N4729&lt;=30, "Met", "Breached"))</f>
        <v/>
      </c>
      <c r="P4729" s="8" t="n"/>
      <c r="Q4729" s="8" t="n"/>
      <c r="R4729" s="8" t="n"/>
      <c r="S4729" s="8" t="n"/>
      <c r="T4729" s="8" t="n"/>
      <c r="U4729" s="8" t="n"/>
      <c r="V4729" s="8" t="n"/>
      <c r="W4729" s="8" t="n"/>
      <c r="X4729" s="8" t="n"/>
      <c r="Y4729" s="8" t="n"/>
    </row>
    <row r="4730">
      <c r="A4730" s="8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9">
        <f>B4730+30</f>
        <v/>
      </c>
      <c r="N4730">
        <f>IF(L4730="", "", L4730-B4730)</f>
        <v/>
      </c>
      <c r="O4730">
        <f>IF(L4730="", "Pending", IF(N4730&lt;=30, "Met", "Breached"))</f>
        <v/>
      </c>
      <c r="P4730" s="8" t="n"/>
      <c r="Q4730" s="8" t="n"/>
      <c r="R4730" s="8" t="n"/>
      <c r="S4730" s="8" t="n"/>
      <c r="T4730" s="8" t="n"/>
      <c r="U4730" s="8" t="n"/>
      <c r="V4730" s="8" t="n"/>
      <c r="W4730" s="8" t="n"/>
      <c r="X4730" s="8" t="n"/>
      <c r="Y4730" s="8" t="n"/>
    </row>
    <row r="4731">
      <c r="A4731" s="8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9">
        <f>B4731+30</f>
        <v/>
      </c>
      <c r="N4731">
        <f>IF(L4731="", "", L4731-B4731)</f>
        <v/>
      </c>
      <c r="O4731">
        <f>IF(L4731="", "Pending", IF(N4731&lt;=30, "Met", "Breached"))</f>
        <v/>
      </c>
      <c r="P4731" s="8" t="n"/>
      <c r="Q4731" s="8" t="n"/>
      <c r="R4731" s="8" t="n"/>
      <c r="S4731" s="8" t="n"/>
      <c r="T4731" s="8" t="n"/>
      <c r="U4731" s="8" t="n"/>
      <c r="V4731" s="8" t="n"/>
      <c r="W4731" s="8" t="n"/>
      <c r="X4731" s="8" t="n"/>
      <c r="Y4731" s="8" t="n"/>
    </row>
    <row r="4732">
      <c r="A4732" s="8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9">
        <f>B4732+30</f>
        <v/>
      </c>
      <c r="N4732">
        <f>IF(L4732="", "", L4732-B4732)</f>
        <v/>
      </c>
      <c r="O4732">
        <f>IF(L4732="", "Pending", IF(N4732&lt;=30, "Met", "Breached"))</f>
        <v/>
      </c>
      <c r="P4732" s="8" t="n"/>
      <c r="Q4732" s="8" t="n"/>
      <c r="R4732" s="8" t="n"/>
      <c r="S4732" s="8" t="n"/>
      <c r="T4732" s="8" t="n"/>
      <c r="U4732" s="8" t="n"/>
      <c r="V4732" s="8" t="n"/>
      <c r="W4732" s="8" t="n"/>
      <c r="X4732" s="8" t="n"/>
      <c r="Y4732" s="8" t="n"/>
    </row>
    <row r="4733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9">
        <f>B4733+30</f>
        <v/>
      </c>
      <c r="N4733">
        <f>IF(L4733="", "", L4733-B4733)</f>
        <v/>
      </c>
      <c r="O4733">
        <f>IF(L4733="", "Pending", IF(N4733&lt;=30, "Met", "Breached"))</f>
        <v/>
      </c>
      <c r="P4733" s="8" t="n"/>
      <c r="Q4733" s="8" t="n"/>
      <c r="R4733" s="8" t="n"/>
      <c r="S4733" s="8" t="n"/>
      <c r="T4733" s="8" t="n"/>
      <c r="U4733" s="8" t="n"/>
      <c r="V4733" s="8" t="n"/>
      <c r="W4733" s="8" t="n"/>
      <c r="X4733" s="8" t="n"/>
      <c r="Y4733" s="8" t="n"/>
    </row>
    <row r="4734">
      <c r="A4734" s="8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9">
        <f>B4734+30</f>
        <v/>
      </c>
      <c r="N4734">
        <f>IF(L4734="", "", L4734-B4734)</f>
        <v/>
      </c>
      <c r="O4734">
        <f>IF(L4734="", "Pending", IF(N4734&lt;=30, "Met", "Breached"))</f>
        <v/>
      </c>
      <c r="P4734" s="8" t="n"/>
      <c r="Q4734" s="8" t="n"/>
      <c r="R4734" s="8" t="n"/>
      <c r="S4734" s="8" t="n"/>
      <c r="T4734" s="8" t="n"/>
      <c r="U4734" s="8" t="n"/>
      <c r="V4734" s="8" t="n"/>
      <c r="W4734" s="8" t="n"/>
      <c r="X4734" s="8" t="n"/>
      <c r="Y4734" s="8" t="n"/>
    </row>
    <row r="4735">
      <c r="A4735" s="8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9">
        <f>B4735+30</f>
        <v/>
      </c>
      <c r="N4735">
        <f>IF(L4735="", "", L4735-B4735)</f>
        <v/>
      </c>
      <c r="O4735">
        <f>IF(L4735="", "Pending", IF(N4735&lt;=30, "Met", "Breached"))</f>
        <v/>
      </c>
      <c r="P4735" s="8" t="n"/>
      <c r="Q4735" s="8" t="n"/>
      <c r="R4735" s="8" t="n"/>
      <c r="S4735" s="8" t="n"/>
      <c r="T4735" s="8" t="n"/>
      <c r="U4735" s="8" t="n"/>
      <c r="V4735" s="8" t="n"/>
      <c r="W4735" s="8" t="n"/>
      <c r="X4735" s="8" t="n"/>
      <c r="Y4735" s="8" t="n"/>
    </row>
    <row r="4736">
      <c r="A4736" s="8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9">
        <f>B4736+30</f>
        <v/>
      </c>
      <c r="N4736">
        <f>IF(L4736="", "", L4736-B4736)</f>
        <v/>
      </c>
      <c r="O4736">
        <f>IF(L4736="", "Pending", IF(N4736&lt;=30, "Met", "Breached"))</f>
        <v/>
      </c>
      <c r="P4736" s="8" t="n"/>
      <c r="Q4736" s="8" t="n"/>
      <c r="R4736" s="8" t="n"/>
      <c r="S4736" s="8" t="n"/>
      <c r="T4736" s="8" t="n"/>
      <c r="U4736" s="8" t="n"/>
      <c r="V4736" s="8" t="n"/>
      <c r="W4736" s="8" t="n"/>
      <c r="X4736" s="8" t="n"/>
      <c r="Y4736" s="8" t="n"/>
    </row>
    <row r="4737">
      <c r="A4737" s="8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9">
        <f>B4737+30</f>
        <v/>
      </c>
      <c r="N4737">
        <f>IF(L4737="", "", L4737-B4737)</f>
        <v/>
      </c>
      <c r="O4737">
        <f>IF(L4737="", "Pending", IF(N4737&lt;=30, "Met", "Breached"))</f>
        <v/>
      </c>
      <c r="P4737" s="8" t="n"/>
      <c r="Q4737" s="8" t="n"/>
      <c r="R4737" s="8" t="n"/>
      <c r="S4737" s="8" t="n"/>
      <c r="T4737" s="8" t="n"/>
      <c r="U4737" s="8" t="n"/>
      <c r="V4737" s="8" t="n"/>
      <c r="W4737" s="8" t="n"/>
      <c r="X4737" s="8" t="n"/>
      <c r="Y4737" s="8" t="n"/>
    </row>
    <row r="4738">
      <c r="A4738" s="8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9">
        <f>B4738+30</f>
        <v/>
      </c>
      <c r="N4738">
        <f>IF(L4738="", "", L4738-B4738)</f>
        <v/>
      </c>
      <c r="O4738">
        <f>IF(L4738="", "Pending", IF(N4738&lt;=30, "Met", "Breached"))</f>
        <v/>
      </c>
      <c r="P4738" s="8" t="n"/>
      <c r="Q4738" s="8" t="n"/>
      <c r="R4738" s="8" t="n"/>
      <c r="S4738" s="8" t="n"/>
      <c r="T4738" s="8" t="n"/>
      <c r="U4738" s="8" t="n"/>
      <c r="V4738" s="8" t="n"/>
      <c r="W4738" s="8" t="n"/>
      <c r="X4738" s="8" t="n"/>
      <c r="Y4738" s="8" t="n"/>
    </row>
    <row r="4739">
      <c r="A4739" s="8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9">
        <f>B4739+30</f>
        <v/>
      </c>
      <c r="N4739">
        <f>IF(L4739="", "", L4739-B4739)</f>
        <v/>
      </c>
      <c r="O4739">
        <f>IF(L4739="", "Pending", IF(N4739&lt;=30, "Met", "Breached"))</f>
        <v/>
      </c>
      <c r="P4739" s="8" t="n"/>
      <c r="Q4739" s="8" t="n"/>
      <c r="R4739" s="8" t="n"/>
      <c r="S4739" s="8" t="n"/>
      <c r="T4739" s="8" t="n"/>
      <c r="U4739" s="8" t="n"/>
      <c r="V4739" s="8" t="n"/>
      <c r="W4739" s="8" t="n"/>
      <c r="X4739" s="8" t="n"/>
      <c r="Y4739" s="8" t="n"/>
    </row>
    <row r="4740">
      <c r="A4740" s="8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9">
        <f>B4740+30</f>
        <v/>
      </c>
      <c r="N4740">
        <f>IF(L4740="", "", L4740-B4740)</f>
        <v/>
      </c>
      <c r="O4740">
        <f>IF(L4740="", "Pending", IF(N4740&lt;=30, "Met", "Breached"))</f>
        <v/>
      </c>
      <c r="P4740" s="8" t="n"/>
      <c r="Q4740" s="8" t="n"/>
      <c r="R4740" s="8" t="n"/>
      <c r="S4740" s="8" t="n"/>
      <c r="T4740" s="8" t="n"/>
      <c r="U4740" s="8" t="n"/>
      <c r="V4740" s="8" t="n"/>
      <c r="W4740" s="8" t="n"/>
      <c r="X4740" s="8" t="n"/>
      <c r="Y4740" s="8" t="n"/>
    </row>
    <row r="4741">
      <c r="A4741" s="8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9">
        <f>B4741+30</f>
        <v/>
      </c>
      <c r="N4741">
        <f>IF(L4741="", "", L4741-B4741)</f>
        <v/>
      </c>
      <c r="O4741">
        <f>IF(L4741="", "Pending", IF(N4741&lt;=30, "Met", "Breached"))</f>
        <v/>
      </c>
      <c r="P4741" s="8" t="n"/>
      <c r="Q4741" s="8" t="n"/>
      <c r="R4741" s="8" t="n"/>
      <c r="S4741" s="8" t="n"/>
      <c r="T4741" s="8" t="n"/>
      <c r="U4741" s="8" t="n"/>
      <c r="V4741" s="8" t="n"/>
      <c r="W4741" s="8" t="n"/>
      <c r="X4741" s="8" t="n"/>
      <c r="Y4741" s="8" t="n"/>
    </row>
    <row r="4742">
      <c r="A4742" s="8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9">
        <f>B4742+30</f>
        <v/>
      </c>
      <c r="N4742">
        <f>IF(L4742="", "", L4742-B4742)</f>
        <v/>
      </c>
      <c r="O4742">
        <f>IF(L4742="", "Pending", IF(N4742&lt;=30, "Met", "Breached"))</f>
        <v/>
      </c>
      <c r="P4742" s="8" t="n"/>
      <c r="Q4742" s="8" t="n"/>
      <c r="R4742" s="8" t="n"/>
      <c r="S4742" s="8" t="n"/>
      <c r="T4742" s="8" t="n"/>
      <c r="U4742" s="8" t="n"/>
      <c r="V4742" s="8" t="n"/>
      <c r="W4742" s="8" t="n"/>
      <c r="X4742" s="8" t="n"/>
      <c r="Y4742" s="8" t="n"/>
    </row>
    <row r="4743">
      <c r="A4743" s="8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9">
        <f>B4743+30</f>
        <v/>
      </c>
      <c r="N4743">
        <f>IF(L4743="", "", L4743-B4743)</f>
        <v/>
      </c>
      <c r="O4743">
        <f>IF(L4743="", "Pending", IF(N4743&lt;=30, "Met", "Breached"))</f>
        <v/>
      </c>
      <c r="P4743" s="8" t="n"/>
      <c r="Q4743" s="8" t="n"/>
      <c r="R4743" s="8" t="n"/>
      <c r="S4743" s="8" t="n"/>
      <c r="T4743" s="8" t="n"/>
      <c r="U4743" s="8" t="n"/>
      <c r="V4743" s="8" t="n"/>
      <c r="W4743" s="8" t="n"/>
      <c r="X4743" s="8" t="n"/>
      <c r="Y4743" s="8" t="n"/>
    </row>
    <row r="4744">
      <c r="A4744" s="8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9">
        <f>B4744+30</f>
        <v/>
      </c>
      <c r="N4744">
        <f>IF(L4744="", "", L4744-B4744)</f>
        <v/>
      </c>
      <c r="O4744">
        <f>IF(L4744="", "Pending", IF(N4744&lt;=30, "Met", "Breached"))</f>
        <v/>
      </c>
      <c r="P4744" s="8" t="n"/>
      <c r="Q4744" s="8" t="n"/>
      <c r="R4744" s="8" t="n"/>
      <c r="S4744" s="8" t="n"/>
      <c r="T4744" s="8" t="n"/>
      <c r="U4744" s="8" t="n"/>
      <c r="V4744" s="8" t="n"/>
      <c r="W4744" s="8" t="n"/>
      <c r="X4744" s="8" t="n"/>
      <c r="Y4744" s="8" t="n"/>
    </row>
    <row r="4745">
      <c r="A4745" s="8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9">
        <f>B4745+30</f>
        <v/>
      </c>
      <c r="N4745">
        <f>IF(L4745="", "", L4745-B4745)</f>
        <v/>
      </c>
      <c r="O4745">
        <f>IF(L4745="", "Pending", IF(N4745&lt;=30, "Met", "Breached"))</f>
        <v/>
      </c>
      <c r="P4745" s="8" t="n"/>
      <c r="Q4745" s="8" t="n"/>
      <c r="R4745" s="8" t="n"/>
      <c r="S4745" s="8" t="n"/>
      <c r="T4745" s="8" t="n"/>
      <c r="U4745" s="8" t="n"/>
      <c r="V4745" s="8" t="n"/>
      <c r="W4745" s="8" t="n"/>
      <c r="X4745" s="8" t="n"/>
      <c r="Y4745" s="8" t="n"/>
    </row>
    <row r="4746">
      <c r="A4746" s="8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9">
        <f>B4746+30</f>
        <v/>
      </c>
      <c r="N4746">
        <f>IF(L4746="", "", L4746-B4746)</f>
        <v/>
      </c>
      <c r="O4746">
        <f>IF(L4746="", "Pending", IF(N4746&lt;=30, "Met", "Breached"))</f>
        <v/>
      </c>
      <c r="P4746" s="8" t="n"/>
      <c r="Q4746" s="8" t="n"/>
      <c r="R4746" s="8" t="n"/>
      <c r="S4746" s="8" t="n"/>
      <c r="T4746" s="8" t="n"/>
      <c r="U4746" s="8" t="n"/>
      <c r="V4746" s="8" t="n"/>
      <c r="W4746" s="8" t="n"/>
      <c r="X4746" s="8" t="n"/>
      <c r="Y4746" s="8" t="n"/>
    </row>
    <row r="4747">
      <c r="A4747" s="8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9">
        <f>B4747+30</f>
        <v/>
      </c>
      <c r="N4747">
        <f>IF(L4747="", "", L4747-B4747)</f>
        <v/>
      </c>
      <c r="O4747">
        <f>IF(L4747="", "Pending", IF(N4747&lt;=30, "Met", "Breached"))</f>
        <v/>
      </c>
      <c r="P4747" s="8" t="n"/>
      <c r="Q4747" s="8" t="n"/>
      <c r="R4747" s="8" t="n"/>
      <c r="S4747" s="8" t="n"/>
      <c r="T4747" s="8" t="n"/>
      <c r="U4747" s="8" t="n"/>
      <c r="V4747" s="8" t="n"/>
      <c r="W4747" s="8" t="n"/>
      <c r="X4747" s="8" t="n"/>
      <c r="Y4747" s="8" t="n"/>
    </row>
    <row r="4748">
      <c r="A4748" s="8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9">
        <f>B4748+30</f>
        <v/>
      </c>
      <c r="N4748">
        <f>IF(L4748="", "", L4748-B4748)</f>
        <v/>
      </c>
      <c r="O4748">
        <f>IF(L4748="", "Pending", IF(N4748&lt;=30, "Met", "Breached"))</f>
        <v/>
      </c>
      <c r="P4748" s="8" t="n"/>
      <c r="Q4748" s="8" t="n"/>
      <c r="R4748" s="8" t="n"/>
      <c r="S4748" s="8" t="n"/>
      <c r="T4748" s="8" t="n"/>
      <c r="U4748" s="8" t="n"/>
      <c r="V4748" s="8" t="n"/>
      <c r="W4748" s="8" t="n"/>
      <c r="X4748" s="8" t="n"/>
      <c r="Y4748" s="8" t="n"/>
    </row>
    <row r="4749">
      <c r="A4749" s="8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9">
        <f>B4749+30</f>
        <v/>
      </c>
      <c r="N4749">
        <f>IF(L4749="", "", L4749-B4749)</f>
        <v/>
      </c>
      <c r="O4749">
        <f>IF(L4749="", "Pending", IF(N4749&lt;=30, "Met", "Breached"))</f>
        <v/>
      </c>
      <c r="P4749" s="8" t="n"/>
      <c r="Q4749" s="8" t="n"/>
      <c r="R4749" s="8" t="n"/>
      <c r="S4749" s="8" t="n"/>
      <c r="T4749" s="8" t="n"/>
      <c r="U4749" s="8" t="n"/>
      <c r="V4749" s="8" t="n"/>
      <c r="W4749" s="8" t="n"/>
      <c r="X4749" s="8" t="n"/>
      <c r="Y4749" s="8" t="n"/>
    </row>
    <row r="4750">
      <c r="A4750" s="8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9">
        <f>B4750+30</f>
        <v/>
      </c>
      <c r="N4750">
        <f>IF(L4750="", "", L4750-B4750)</f>
        <v/>
      </c>
      <c r="O4750">
        <f>IF(L4750="", "Pending", IF(N4750&lt;=30, "Met", "Breached"))</f>
        <v/>
      </c>
      <c r="P4750" s="8" t="n"/>
      <c r="Q4750" s="8" t="n"/>
      <c r="R4750" s="8" t="n"/>
      <c r="S4750" s="8" t="n"/>
      <c r="T4750" s="8" t="n"/>
      <c r="U4750" s="8" t="n"/>
      <c r="V4750" s="8" t="n"/>
      <c r="W4750" s="8" t="n"/>
      <c r="X4750" s="8" t="n"/>
      <c r="Y4750" s="8" t="n"/>
    </row>
    <row r="4751">
      <c r="A4751" s="8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9">
        <f>B4751+30</f>
        <v/>
      </c>
      <c r="N4751">
        <f>IF(L4751="", "", L4751-B4751)</f>
        <v/>
      </c>
      <c r="O4751">
        <f>IF(L4751="", "Pending", IF(N4751&lt;=30, "Met", "Breached"))</f>
        <v/>
      </c>
      <c r="P4751" s="8" t="n"/>
      <c r="Q4751" s="8" t="n"/>
      <c r="R4751" s="8" t="n"/>
      <c r="S4751" s="8" t="n"/>
      <c r="T4751" s="8" t="n"/>
      <c r="U4751" s="8" t="n"/>
      <c r="V4751" s="8" t="n"/>
      <c r="W4751" s="8" t="n"/>
      <c r="X4751" s="8" t="n"/>
      <c r="Y4751" s="8" t="n"/>
    </row>
    <row r="4752">
      <c r="A4752" s="8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9">
        <f>B4752+30</f>
        <v/>
      </c>
      <c r="N4752">
        <f>IF(L4752="", "", L4752-B4752)</f>
        <v/>
      </c>
      <c r="O4752">
        <f>IF(L4752="", "Pending", IF(N4752&lt;=30, "Met", "Breached"))</f>
        <v/>
      </c>
      <c r="P4752" s="8" t="n"/>
      <c r="Q4752" s="8" t="n"/>
      <c r="R4752" s="8" t="n"/>
      <c r="S4752" s="8" t="n"/>
      <c r="T4752" s="8" t="n"/>
      <c r="U4752" s="8" t="n"/>
      <c r="V4752" s="8" t="n"/>
      <c r="W4752" s="8" t="n"/>
      <c r="X4752" s="8" t="n"/>
      <c r="Y4752" s="8" t="n"/>
    </row>
    <row r="4753">
      <c r="A4753" s="8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9">
        <f>B4753+30</f>
        <v/>
      </c>
      <c r="N4753">
        <f>IF(L4753="", "", L4753-B4753)</f>
        <v/>
      </c>
      <c r="O4753">
        <f>IF(L4753="", "Pending", IF(N4753&lt;=30, "Met", "Breached"))</f>
        <v/>
      </c>
      <c r="P4753" s="8" t="n"/>
      <c r="Q4753" s="8" t="n"/>
      <c r="R4753" s="8" t="n"/>
      <c r="S4753" s="8" t="n"/>
      <c r="T4753" s="8" t="n"/>
      <c r="U4753" s="8" t="n"/>
      <c r="V4753" s="8" t="n"/>
      <c r="W4753" s="8" t="n"/>
      <c r="X4753" s="8" t="n"/>
      <c r="Y4753" s="8" t="n"/>
    </row>
    <row r="4754">
      <c r="A4754" s="8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9">
        <f>B4754+30</f>
        <v/>
      </c>
      <c r="N4754">
        <f>IF(L4754="", "", L4754-B4754)</f>
        <v/>
      </c>
      <c r="O4754">
        <f>IF(L4754="", "Pending", IF(N4754&lt;=30, "Met", "Breached"))</f>
        <v/>
      </c>
      <c r="P4754" s="8" t="n"/>
      <c r="Q4754" s="8" t="n"/>
      <c r="R4754" s="8" t="n"/>
      <c r="S4754" s="8" t="n"/>
      <c r="T4754" s="8" t="n"/>
      <c r="U4754" s="8" t="n"/>
      <c r="V4754" s="8" t="n"/>
      <c r="W4754" s="8" t="n"/>
      <c r="X4754" s="8" t="n"/>
      <c r="Y4754" s="8" t="n"/>
    </row>
    <row r="4755">
      <c r="A4755" s="8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9">
        <f>B4755+30</f>
        <v/>
      </c>
      <c r="N4755">
        <f>IF(L4755="", "", L4755-B4755)</f>
        <v/>
      </c>
      <c r="O4755">
        <f>IF(L4755="", "Pending", IF(N4755&lt;=30, "Met", "Breached"))</f>
        <v/>
      </c>
      <c r="P4755" s="8" t="n"/>
      <c r="Q4755" s="8" t="n"/>
      <c r="R4755" s="8" t="n"/>
      <c r="S4755" s="8" t="n"/>
      <c r="T4755" s="8" t="n"/>
      <c r="U4755" s="8" t="n"/>
      <c r="V4755" s="8" t="n"/>
      <c r="W4755" s="8" t="n"/>
      <c r="X4755" s="8" t="n"/>
      <c r="Y4755" s="8" t="n"/>
    </row>
    <row r="4756">
      <c r="A4756" s="8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9">
        <f>B4756+30</f>
        <v/>
      </c>
      <c r="N4756">
        <f>IF(L4756="", "", L4756-B4756)</f>
        <v/>
      </c>
      <c r="O4756">
        <f>IF(L4756="", "Pending", IF(N4756&lt;=30, "Met", "Breached"))</f>
        <v/>
      </c>
      <c r="P4756" s="8" t="n"/>
      <c r="Q4756" s="8" t="n"/>
      <c r="R4756" s="8" t="n"/>
      <c r="S4756" s="8" t="n"/>
      <c r="T4756" s="8" t="n"/>
      <c r="U4756" s="8" t="n"/>
      <c r="V4756" s="8" t="n"/>
      <c r="W4756" s="8" t="n"/>
      <c r="X4756" s="8" t="n"/>
      <c r="Y4756" s="8" t="n"/>
    </row>
    <row r="4757">
      <c r="A4757" s="8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9">
        <f>B4757+30</f>
        <v/>
      </c>
      <c r="N4757">
        <f>IF(L4757="", "", L4757-B4757)</f>
        <v/>
      </c>
      <c r="O4757">
        <f>IF(L4757="", "Pending", IF(N4757&lt;=30, "Met", "Breached"))</f>
        <v/>
      </c>
      <c r="P4757" s="8" t="n"/>
      <c r="Q4757" s="8" t="n"/>
      <c r="R4757" s="8" t="n"/>
      <c r="S4757" s="8" t="n"/>
      <c r="T4757" s="8" t="n"/>
      <c r="U4757" s="8" t="n"/>
      <c r="V4757" s="8" t="n"/>
      <c r="W4757" s="8" t="n"/>
      <c r="X4757" s="8" t="n"/>
      <c r="Y4757" s="8" t="n"/>
    </row>
    <row r="4758">
      <c r="A4758" s="8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9">
        <f>B4758+30</f>
        <v/>
      </c>
      <c r="N4758">
        <f>IF(L4758="", "", L4758-B4758)</f>
        <v/>
      </c>
      <c r="O4758">
        <f>IF(L4758="", "Pending", IF(N4758&lt;=30, "Met", "Breached"))</f>
        <v/>
      </c>
      <c r="P4758" s="8" t="n"/>
      <c r="Q4758" s="8" t="n"/>
      <c r="R4758" s="8" t="n"/>
      <c r="S4758" s="8" t="n"/>
      <c r="T4758" s="8" t="n"/>
      <c r="U4758" s="8" t="n"/>
      <c r="V4758" s="8" t="n"/>
      <c r="W4758" s="8" t="n"/>
      <c r="X4758" s="8" t="n"/>
      <c r="Y4758" s="8" t="n"/>
    </row>
    <row r="4759">
      <c r="A4759" s="8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9">
        <f>B4759+30</f>
        <v/>
      </c>
      <c r="N4759">
        <f>IF(L4759="", "", L4759-B4759)</f>
        <v/>
      </c>
      <c r="O4759">
        <f>IF(L4759="", "Pending", IF(N4759&lt;=30, "Met", "Breached"))</f>
        <v/>
      </c>
      <c r="P4759" s="8" t="n"/>
      <c r="Q4759" s="8" t="n"/>
      <c r="R4759" s="8" t="n"/>
      <c r="S4759" s="8" t="n"/>
      <c r="T4759" s="8" t="n"/>
      <c r="U4759" s="8" t="n"/>
      <c r="V4759" s="8" t="n"/>
      <c r="W4759" s="8" t="n"/>
      <c r="X4759" s="8" t="n"/>
      <c r="Y4759" s="8" t="n"/>
    </row>
    <row r="4760">
      <c r="A4760" s="8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9">
        <f>B4760+30</f>
        <v/>
      </c>
      <c r="N4760">
        <f>IF(L4760="", "", L4760-B4760)</f>
        <v/>
      </c>
      <c r="O4760">
        <f>IF(L4760="", "Pending", IF(N4760&lt;=30, "Met", "Breached"))</f>
        <v/>
      </c>
      <c r="P4760" s="8" t="n"/>
      <c r="Q4760" s="8" t="n"/>
      <c r="R4760" s="8" t="n"/>
      <c r="S4760" s="8" t="n"/>
      <c r="T4760" s="8" t="n"/>
      <c r="U4760" s="8" t="n"/>
      <c r="V4760" s="8" t="n"/>
      <c r="W4760" s="8" t="n"/>
      <c r="X4760" s="8" t="n"/>
      <c r="Y4760" s="8" t="n"/>
    </row>
    <row r="4761">
      <c r="A4761" s="8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9">
        <f>B4761+30</f>
        <v/>
      </c>
      <c r="N4761">
        <f>IF(L4761="", "", L4761-B4761)</f>
        <v/>
      </c>
      <c r="O4761">
        <f>IF(L4761="", "Pending", IF(N4761&lt;=30, "Met", "Breached"))</f>
        <v/>
      </c>
      <c r="P4761" s="8" t="n"/>
      <c r="Q4761" s="8" t="n"/>
      <c r="R4761" s="8" t="n"/>
      <c r="S4761" s="8" t="n"/>
      <c r="T4761" s="8" t="n"/>
      <c r="U4761" s="8" t="n"/>
      <c r="V4761" s="8" t="n"/>
      <c r="W4761" s="8" t="n"/>
      <c r="X4761" s="8" t="n"/>
      <c r="Y4761" s="8" t="n"/>
    </row>
    <row r="4762">
      <c r="A4762" s="8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9">
        <f>B4762+30</f>
        <v/>
      </c>
      <c r="N4762">
        <f>IF(L4762="", "", L4762-B4762)</f>
        <v/>
      </c>
      <c r="O4762">
        <f>IF(L4762="", "Pending", IF(N4762&lt;=30, "Met", "Breached"))</f>
        <v/>
      </c>
      <c r="P4762" s="8" t="n"/>
      <c r="Q4762" s="8" t="n"/>
      <c r="R4762" s="8" t="n"/>
      <c r="S4762" s="8" t="n"/>
      <c r="T4762" s="8" t="n"/>
      <c r="U4762" s="8" t="n"/>
      <c r="V4762" s="8" t="n"/>
      <c r="W4762" s="8" t="n"/>
      <c r="X4762" s="8" t="n"/>
      <c r="Y4762" s="8" t="n"/>
    </row>
    <row r="4763">
      <c r="A4763" s="8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9">
        <f>B4763+30</f>
        <v/>
      </c>
      <c r="N4763">
        <f>IF(L4763="", "", L4763-B4763)</f>
        <v/>
      </c>
      <c r="O4763">
        <f>IF(L4763="", "Pending", IF(N4763&lt;=30, "Met", "Breached"))</f>
        <v/>
      </c>
      <c r="P4763" s="8" t="n"/>
      <c r="Q4763" s="8" t="n"/>
      <c r="R4763" s="8" t="n"/>
      <c r="S4763" s="8" t="n"/>
      <c r="T4763" s="8" t="n"/>
      <c r="U4763" s="8" t="n"/>
      <c r="V4763" s="8" t="n"/>
      <c r="W4763" s="8" t="n"/>
      <c r="X4763" s="8" t="n"/>
      <c r="Y4763" s="8" t="n"/>
    </row>
    <row r="4764">
      <c r="A4764" s="8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9">
        <f>B4764+30</f>
        <v/>
      </c>
      <c r="N4764">
        <f>IF(L4764="", "", L4764-B4764)</f>
        <v/>
      </c>
      <c r="O4764">
        <f>IF(L4764="", "Pending", IF(N4764&lt;=30, "Met", "Breached"))</f>
        <v/>
      </c>
      <c r="P4764" s="8" t="n"/>
      <c r="Q4764" s="8" t="n"/>
      <c r="R4764" s="8" t="n"/>
      <c r="S4764" s="8" t="n"/>
      <c r="T4764" s="8" t="n"/>
      <c r="U4764" s="8" t="n"/>
      <c r="V4764" s="8" t="n"/>
      <c r="W4764" s="8" t="n"/>
      <c r="X4764" s="8" t="n"/>
      <c r="Y4764" s="8" t="n"/>
    </row>
    <row r="4765">
      <c r="A4765" s="8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9">
        <f>B4765+30</f>
        <v/>
      </c>
      <c r="N4765">
        <f>IF(L4765="", "", L4765-B4765)</f>
        <v/>
      </c>
      <c r="O4765">
        <f>IF(L4765="", "Pending", IF(N4765&lt;=30, "Met", "Breached"))</f>
        <v/>
      </c>
      <c r="P4765" s="8" t="n"/>
      <c r="Q4765" s="8" t="n"/>
      <c r="R4765" s="8" t="n"/>
      <c r="S4765" s="8" t="n"/>
      <c r="T4765" s="8" t="n"/>
      <c r="U4765" s="8" t="n"/>
      <c r="V4765" s="8" t="n"/>
      <c r="W4765" s="8" t="n"/>
      <c r="X4765" s="8" t="n"/>
      <c r="Y4765" s="8" t="n"/>
    </row>
    <row r="4766">
      <c r="A4766" s="8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9">
        <f>B4766+30</f>
        <v/>
      </c>
      <c r="N4766">
        <f>IF(L4766="", "", L4766-B4766)</f>
        <v/>
      </c>
      <c r="O4766">
        <f>IF(L4766="", "Pending", IF(N4766&lt;=30, "Met", "Breached"))</f>
        <v/>
      </c>
      <c r="P4766" s="8" t="n"/>
      <c r="Q4766" s="8" t="n"/>
      <c r="R4766" s="8" t="n"/>
      <c r="S4766" s="8" t="n"/>
      <c r="T4766" s="8" t="n"/>
      <c r="U4766" s="8" t="n"/>
      <c r="V4766" s="8" t="n"/>
      <c r="W4766" s="8" t="n"/>
      <c r="X4766" s="8" t="n"/>
      <c r="Y4766" s="8" t="n"/>
    </row>
    <row r="4767">
      <c r="A4767" s="8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9">
        <f>B4767+30</f>
        <v/>
      </c>
      <c r="N4767">
        <f>IF(L4767="", "", L4767-B4767)</f>
        <v/>
      </c>
      <c r="O4767">
        <f>IF(L4767="", "Pending", IF(N4767&lt;=30, "Met", "Breached"))</f>
        <v/>
      </c>
      <c r="P4767" s="8" t="n"/>
      <c r="Q4767" s="8" t="n"/>
      <c r="R4767" s="8" t="n"/>
      <c r="S4767" s="8" t="n"/>
      <c r="T4767" s="8" t="n"/>
      <c r="U4767" s="8" t="n"/>
      <c r="V4767" s="8" t="n"/>
      <c r="W4767" s="8" t="n"/>
      <c r="X4767" s="8" t="n"/>
      <c r="Y4767" s="8" t="n"/>
    </row>
    <row r="4768">
      <c r="A4768" s="8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9">
        <f>B4768+30</f>
        <v/>
      </c>
      <c r="N4768">
        <f>IF(L4768="", "", L4768-B4768)</f>
        <v/>
      </c>
      <c r="O4768">
        <f>IF(L4768="", "Pending", IF(N4768&lt;=30, "Met", "Breached"))</f>
        <v/>
      </c>
      <c r="P4768" s="8" t="n"/>
      <c r="Q4768" s="8" t="n"/>
      <c r="R4768" s="8" t="n"/>
      <c r="S4768" s="8" t="n"/>
      <c r="T4768" s="8" t="n"/>
      <c r="U4768" s="8" t="n"/>
      <c r="V4768" s="8" t="n"/>
      <c r="W4768" s="8" t="n"/>
      <c r="X4768" s="8" t="n"/>
      <c r="Y4768" s="8" t="n"/>
    </row>
    <row r="4769">
      <c r="A4769" s="8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9">
        <f>B4769+30</f>
        <v/>
      </c>
      <c r="N4769">
        <f>IF(L4769="", "", L4769-B4769)</f>
        <v/>
      </c>
      <c r="O4769">
        <f>IF(L4769="", "Pending", IF(N4769&lt;=30, "Met", "Breached"))</f>
        <v/>
      </c>
      <c r="P4769" s="8" t="n"/>
      <c r="Q4769" s="8" t="n"/>
      <c r="R4769" s="8" t="n"/>
      <c r="S4769" s="8" t="n"/>
      <c r="T4769" s="8" t="n"/>
      <c r="U4769" s="8" t="n"/>
      <c r="V4769" s="8" t="n"/>
      <c r="W4769" s="8" t="n"/>
      <c r="X4769" s="8" t="n"/>
      <c r="Y4769" s="8" t="n"/>
    </row>
    <row r="4770">
      <c r="A4770" s="8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9">
        <f>B4770+30</f>
        <v/>
      </c>
      <c r="N4770">
        <f>IF(L4770="", "", L4770-B4770)</f>
        <v/>
      </c>
      <c r="O4770">
        <f>IF(L4770="", "Pending", IF(N4770&lt;=30, "Met", "Breached"))</f>
        <v/>
      </c>
      <c r="P4770" s="8" t="n"/>
      <c r="Q4770" s="8" t="n"/>
      <c r="R4770" s="8" t="n"/>
      <c r="S4770" s="8" t="n"/>
      <c r="T4770" s="8" t="n"/>
      <c r="U4770" s="8" t="n"/>
      <c r="V4770" s="8" t="n"/>
      <c r="W4770" s="8" t="n"/>
      <c r="X4770" s="8" t="n"/>
      <c r="Y4770" s="8" t="n"/>
    </row>
    <row r="4771">
      <c r="A4771" s="8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9">
        <f>B4771+30</f>
        <v/>
      </c>
      <c r="N4771">
        <f>IF(L4771="", "", L4771-B4771)</f>
        <v/>
      </c>
      <c r="O4771">
        <f>IF(L4771="", "Pending", IF(N4771&lt;=30, "Met", "Breached"))</f>
        <v/>
      </c>
      <c r="P4771" s="8" t="n"/>
      <c r="Q4771" s="8" t="n"/>
      <c r="R4771" s="8" t="n"/>
      <c r="S4771" s="8" t="n"/>
      <c r="T4771" s="8" t="n"/>
      <c r="U4771" s="8" t="n"/>
      <c r="V4771" s="8" t="n"/>
      <c r="W4771" s="8" t="n"/>
      <c r="X4771" s="8" t="n"/>
      <c r="Y4771" s="8" t="n"/>
    </row>
    <row r="4772">
      <c r="A4772" s="8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9">
        <f>B4772+30</f>
        <v/>
      </c>
      <c r="N4772">
        <f>IF(L4772="", "", L4772-B4772)</f>
        <v/>
      </c>
      <c r="O4772">
        <f>IF(L4772="", "Pending", IF(N4772&lt;=30, "Met", "Breached"))</f>
        <v/>
      </c>
      <c r="P4772" s="8" t="n"/>
      <c r="Q4772" s="8" t="n"/>
      <c r="R4772" s="8" t="n"/>
      <c r="S4772" s="8" t="n"/>
      <c r="T4772" s="8" t="n"/>
      <c r="U4772" s="8" t="n"/>
      <c r="V4772" s="8" t="n"/>
      <c r="W4772" s="8" t="n"/>
      <c r="X4772" s="8" t="n"/>
      <c r="Y4772" s="8" t="n"/>
    </row>
    <row r="4773">
      <c r="A4773" s="8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9">
        <f>B4773+30</f>
        <v/>
      </c>
      <c r="N4773">
        <f>IF(L4773="", "", L4773-B4773)</f>
        <v/>
      </c>
      <c r="O4773">
        <f>IF(L4773="", "Pending", IF(N4773&lt;=30, "Met", "Breached"))</f>
        <v/>
      </c>
      <c r="P4773" s="8" t="n"/>
      <c r="Q4773" s="8" t="n"/>
      <c r="R4773" s="8" t="n"/>
      <c r="S4773" s="8" t="n"/>
      <c r="T4773" s="8" t="n"/>
      <c r="U4773" s="8" t="n"/>
      <c r="V4773" s="8" t="n"/>
      <c r="W4773" s="8" t="n"/>
      <c r="X4773" s="8" t="n"/>
      <c r="Y4773" s="8" t="n"/>
    </row>
    <row r="4774">
      <c r="A4774" s="8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9">
        <f>B4774+30</f>
        <v/>
      </c>
      <c r="N4774">
        <f>IF(L4774="", "", L4774-B4774)</f>
        <v/>
      </c>
      <c r="O4774">
        <f>IF(L4774="", "Pending", IF(N4774&lt;=30, "Met", "Breached"))</f>
        <v/>
      </c>
      <c r="P4774" s="8" t="n"/>
      <c r="Q4774" s="8" t="n"/>
      <c r="R4774" s="8" t="n"/>
      <c r="S4774" s="8" t="n"/>
      <c r="T4774" s="8" t="n"/>
      <c r="U4774" s="8" t="n"/>
      <c r="V4774" s="8" t="n"/>
      <c r="W4774" s="8" t="n"/>
      <c r="X4774" s="8" t="n"/>
      <c r="Y4774" s="8" t="n"/>
    </row>
    <row r="4775">
      <c r="A4775" s="8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9">
        <f>B4775+30</f>
        <v/>
      </c>
      <c r="N4775">
        <f>IF(L4775="", "", L4775-B4775)</f>
        <v/>
      </c>
      <c r="O4775">
        <f>IF(L4775="", "Pending", IF(N4775&lt;=30, "Met", "Breached"))</f>
        <v/>
      </c>
      <c r="P4775" s="8" t="n"/>
      <c r="Q4775" s="8" t="n"/>
      <c r="R4775" s="8" t="n"/>
      <c r="S4775" s="8" t="n"/>
      <c r="T4775" s="8" t="n"/>
      <c r="U4775" s="8" t="n"/>
      <c r="V4775" s="8" t="n"/>
      <c r="W4775" s="8" t="n"/>
      <c r="X4775" s="8" t="n"/>
      <c r="Y4775" s="8" t="n"/>
    </row>
    <row r="4776">
      <c r="A4776" s="8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9">
        <f>B4776+30</f>
        <v/>
      </c>
      <c r="N4776">
        <f>IF(L4776="", "", L4776-B4776)</f>
        <v/>
      </c>
      <c r="O4776">
        <f>IF(L4776="", "Pending", IF(N4776&lt;=30, "Met", "Breached"))</f>
        <v/>
      </c>
      <c r="P4776" s="8" t="n"/>
      <c r="Q4776" s="8" t="n"/>
      <c r="R4776" s="8" t="n"/>
      <c r="S4776" s="8" t="n"/>
      <c r="T4776" s="8" t="n"/>
      <c r="U4776" s="8" t="n"/>
      <c r="V4776" s="8" t="n"/>
      <c r="W4776" s="8" t="n"/>
      <c r="X4776" s="8" t="n"/>
      <c r="Y4776" s="8" t="n"/>
    </row>
    <row r="4777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9">
        <f>B4777+30</f>
        <v/>
      </c>
      <c r="N4777">
        <f>IF(L4777="", "", L4777-B4777)</f>
        <v/>
      </c>
      <c r="O4777">
        <f>IF(L4777="", "Pending", IF(N4777&lt;=30, "Met", "Breached"))</f>
        <v/>
      </c>
      <c r="P4777" s="8" t="n"/>
      <c r="Q4777" s="8" t="n"/>
      <c r="R4777" s="8" t="n"/>
      <c r="S4777" s="8" t="n"/>
      <c r="T4777" s="8" t="n"/>
      <c r="U4777" s="8" t="n"/>
      <c r="V4777" s="8" t="n"/>
      <c r="W4777" s="8" t="n"/>
      <c r="X4777" s="8" t="n"/>
      <c r="Y4777" s="8" t="n"/>
    </row>
    <row r="4778">
      <c r="A4778" s="8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9">
        <f>B4778+30</f>
        <v/>
      </c>
      <c r="N4778">
        <f>IF(L4778="", "", L4778-B4778)</f>
        <v/>
      </c>
      <c r="O4778">
        <f>IF(L4778="", "Pending", IF(N4778&lt;=30, "Met", "Breached"))</f>
        <v/>
      </c>
      <c r="P4778" s="8" t="n"/>
      <c r="Q4778" s="8" t="n"/>
      <c r="R4778" s="8" t="n"/>
      <c r="S4778" s="8" t="n"/>
      <c r="T4778" s="8" t="n"/>
      <c r="U4778" s="8" t="n"/>
      <c r="V4778" s="8" t="n"/>
      <c r="W4778" s="8" t="n"/>
      <c r="X4778" s="8" t="n"/>
      <c r="Y4778" s="8" t="n"/>
    </row>
    <row r="4779">
      <c r="A4779" s="8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9">
        <f>B4779+30</f>
        <v/>
      </c>
      <c r="N4779">
        <f>IF(L4779="", "", L4779-B4779)</f>
        <v/>
      </c>
      <c r="O4779">
        <f>IF(L4779="", "Pending", IF(N4779&lt;=30, "Met", "Breached"))</f>
        <v/>
      </c>
      <c r="P4779" s="8" t="n"/>
      <c r="Q4779" s="8" t="n"/>
      <c r="R4779" s="8" t="n"/>
      <c r="S4779" s="8" t="n"/>
      <c r="T4779" s="8" t="n"/>
      <c r="U4779" s="8" t="n"/>
      <c r="V4779" s="8" t="n"/>
      <c r="W4779" s="8" t="n"/>
      <c r="X4779" s="8" t="n"/>
      <c r="Y4779" s="8" t="n"/>
    </row>
    <row r="4780">
      <c r="A4780" s="8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9">
        <f>B4780+30</f>
        <v/>
      </c>
      <c r="N4780">
        <f>IF(L4780="", "", L4780-B4780)</f>
        <v/>
      </c>
      <c r="O4780">
        <f>IF(L4780="", "Pending", IF(N4780&lt;=30, "Met", "Breached"))</f>
        <v/>
      </c>
      <c r="P4780" s="8" t="n"/>
      <c r="Q4780" s="8" t="n"/>
      <c r="R4780" s="8" t="n"/>
      <c r="S4780" s="8" t="n"/>
      <c r="T4780" s="8" t="n"/>
      <c r="U4780" s="8" t="n"/>
      <c r="V4780" s="8" t="n"/>
      <c r="W4780" s="8" t="n"/>
      <c r="X4780" s="8" t="n"/>
      <c r="Y4780" s="8" t="n"/>
    </row>
    <row r="4781">
      <c r="A4781" s="8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9">
        <f>B4781+30</f>
        <v/>
      </c>
      <c r="N4781">
        <f>IF(L4781="", "", L4781-B4781)</f>
        <v/>
      </c>
      <c r="O4781">
        <f>IF(L4781="", "Pending", IF(N4781&lt;=30, "Met", "Breached"))</f>
        <v/>
      </c>
      <c r="P4781" s="8" t="n"/>
      <c r="Q4781" s="8" t="n"/>
      <c r="R4781" s="8" t="n"/>
      <c r="S4781" s="8" t="n"/>
      <c r="T4781" s="8" t="n"/>
      <c r="U4781" s="8" t="n"/>
      <c r="V4781" s="8" t="n"/>
      <c r="W4781" s="8" t="n"/>
      <c r="X4781" s="8" t="n"/>
      <c r="Y4781" s="8" t="n"/>
    </row>
    <row r="4782">
      <c r="A4782" s="8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9">
        <f>B4782+30</f>
        <v/>
      </c>
      <c r="N4782">
        <f>IF(L4782="", "", L4782-B4782)</f>
        <v/>
      </c>
      <c r="O4782">
        <f>IF(L4782="", "Pending", IF(N4782&lt;=30, "Met", "Breached"))</f>
        <v/>
      </c>
      <c r="P4782" s="8" t="n"/>
      <c r="Q4782" s="8" t="n"/>
      <c r="R4782" s="8" t="n"/>
      <c r="S4782" s="8" t="n"/>
      <c r="T4782" s="8" t="n"/>
      <c r="U4782" s="8" t="n"/>
      <c r="V4782" s="8" t="n"/>
      <c r="W4782" s="8" t="n"/>
      <c r="X4782" s="8" t="n"/>
      <c r="Y4782" s="8" t="n"/>
    </row>
    <row r="4783">
      <c r="A4783" s="8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9">
        <f>B4783+30</f>
        <v/>
      </c>
      <c r="N4783">
        <f>IF(L4783="", "", L4783-B4783)</f>
        <v/>
      </c>
      <c r="O4783">
        <f>IF(L4783="", "Pending", IF(N4783&lt;=30, "Met", "Breached"))</f>
        <v/>
      </c>
      <c r="P4783" s="8" t="n"/>
      <c r="Q4783" s="8" t="n"/>
      <c r="R4783" s="8" t="n"/>
      <c r="S4783" s="8" t="n"/>
      <c r="T4783" s="8" t="n"/>
      <c r="U4783" s="8" t="n"/>
      <c r="V4783" s="8" t="n"/>
      <c r="W4783" s="8" t="n"/>
      <c r="X4783" s="8" t="n"/>
      <c r="Y4783" s="8" t="n"/>
    </row>
    <row r="4784">
      <c r="A4784" s="8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9">
        <f>B4784+30</f>
        <v/>
      </c>
      <c r="N4784">
        <f>IF(L4784="", "", L4784-B4784)</f>
        <v/>
      </c>
      <c r="O4784">
        <f>IF(L4784="", "Pending", IF(N4784&lt;=30, "Met", "Breached"))</f>
        <v/>
      </c>
      <c r="P4784" s="8" t="n"/>
      <c r="Q4784" s="8" t="n"/>
      <c r="R4784" s="8" t="n"/>
      <c r="S4784" s="8" t="n"/>
      <c r="T4784" s="8" t="n"/>
      <c r="U4784" s="8" t="n"/>
      <c r="V4784" s="8" t="n"/>
      <c r="W4784" s="8" t="n"/>
      <c r="X4784" s="8" t="n"/>
      <c r="Y4784" s="8" t="n"/>
    </row>
    <row r="4785">
      <c r="A4785" s="8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9">
        <f>B4785+30</f>
        <v/>
      </c>
      <c r="N4785">
        <f>IF(L4785="", "", L4785-B4785)</f>
        <v/>
      </c>
      <c r="O4785">
        <f>IF(L4785="", "Pending", IF(N4785&lt;=30, "Met", "Breached"))</f>
        <v/>
      </c>
      <c r="P4785" s="8" t="n"/>
      <c r="Q4785" s="8" t="n"/>
      <c r="R4785" s="8" t="n"/>
      <c r="S4785" s="8" t="n"/>
      <c r="T4785" s="8" t="n"/>
      <c r="U4785" s="8" t="n"/>
      <c r="V4785" s="8" t="n"/>
      <c r="W4785" s="8" t="n"/>
      <c r="X4785" s="8" t="n"/>
      <c r="Y4785" s="8" t="n"/>
    </row>
    <row r="4786">
      <c r="A4786" s="8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9">
        <f>B4786+30</f>
        <v/>
      </c>
      <c r="N4786">
        <f>IF(L4786="", "", L4786-B4786)</f>
        <v/>
      </c>
      <c r="O4786">
        <f>IF(L4786="", "Pending", IF(N4786&lt;=30, "Met", "Breached"))</f>
        <v/>
      </c>
      <c r="P4786" s="8" t="n"/>
      <c r="Q4786" s="8" t="n"/>
      <c r="R4786" s="8" t="n"/>
      <c r="S4786" s="8" t="n"/>
      <c r="T4786" s="8" t="n"/>
      <c r="U4786" s="8" t="n"/>
      <c r="V4786" s="8" t="n"/>
      <c r="W4786" s="8" t="n"/>
      <c r="X4786" s="8" t="n"/>
      <c r="Y4786" s="8" t="n"/>
    </row>
    <row r="4787">
      <c r="A4787" s="8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9">
        <f>B4787+30</f>
        <v/>
      </c>
      <c r="N4787">
        <f>IF(L4787="", "", L4787-B4787)</f>
        <v/>
      </c>
      <c r="O4787">
        <f>IF(L4787="", "Pending", IF(N4787&lt;=30, "Met", "Breached"))</f>
        <v/>
      </c>
      <c r="P4787" s="8" t="n"/>
      <c r="Q4787" s="8" t="n"/>
      <c r="R4787" s="8" t="n"/>
      <c r="S4787" s="8" t="n"/>
      <c r="T4787" s="8" t="n"/>
      <c r="U4787" s="8" t="n"/>
      <c r="V4787" s="8" t="n"/>
      <c r="W4787" s="8" t="n"/>
      <c r="X4787" s="8" t="n"/>
      <c r="Y4787" s="8" t="n"/>
    </row>
    <row r="4788">
      <c r="A4788" s="8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9">
        <f>B4788+30</f>
        <v/>
      </c>
      <c r="N4788">
        <f>IF(L4788="", "", L4788-B4788)</f>
        <v/>
      </c>
      <c r="O4788">
        <f>IF(L4788="", "Pending", IF(N4788&lt;=30, "Met", "Breached"))</f>
        <v/>
      </c>
      <c r="P4788" s="8" t="n"/>
      <c r="Q4788" s="8" t="n"/>
      <c r="R4788" s="8" t="n"/>
      <c r="S4788" s="8" t="n"/>
      <c r="T4788" s="8" t="n"/>
      <c r="U4788" s="8" t="n"/>
      <c r="V4788" s="8" t="n"/>
      <c r="W4788" s="8" t="n"/>
      <c r="X4788" s="8" t="n"/>
      <c r="Y4788" s="8" t="n"/>
    </row>
    <row r="4789">
      <c r="A4789" s="8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9">
        <f>B4789+30</f>
        <v/>
      </c>
      <c r="N4789">
        <f>IF(L4789="", "", L4789-B4789)</f>
        <v/>
      </c>
      <c r="O4789">
        <f>IF(L4789="", "Pending", IF(N4789&lt;=30, "Met", "Breached"))</f>
        <v/>
      </c>
      <c r="P4789" s="8" t="n"/>
      <c r="Q4789" s="8" t="n"/>
      <c r="R4789" s="8" t="n"/>
      <c r="S4789" s="8" t="n"/>
      <c r="T4789" s="8" t="n"/>
      <c r="U4789" s="8" t="n"/>
      <c r="V4789" s="8" t="n"/>
      <c r="W4789" s="8" t="n"/>
      <c r="X4789" s="8" t="n"/>
      <c r="Y4789" s="8" t="n"/>
    </row>
    <row r="4790">
      <c r="A4790" s="8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9">
        <f>B4790+30</f>
        <v/>
      </c>
      <c r="N4790">
        <f>IF(L4790="", "", L4790-B4790)</f>
        <v/>
      </c>
      <c r="O4790">
        <f>IF(L4790="", "Pending", IF(N4790&lt;=30, "Met", "Breached"))</f>
        <v/>
      </c>
      <c r="P4790" s="8" t="n"/>
      <c r="Q4790" s="8" t="n"/>
      <c r="R4790" s="8" t="n"/>
      <c r="S4790" s="8" t="n"/>
      <c r="T4790" s="8" t="n"/>
      <c r="U4790" s="8" t="n"/>
      <c r="V4790" s="8" t="n"/>
      <c r="W4790" s="8" t="n"/>
      <c r="X4790" s="8" t="n"/>
      <c r="Y4790" s="8" t="n"/>
    </row>
    <row r="4791">
      <c r="A4791" s="8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9">
        <f>B4791+30</f>
        <v/>
      </c>
      <c r="N4791">
        <f>IF(L4791="", "", L4791-B4791)</f>
        <v/>
      </c>
      <c r="O4791">
        <f>IF(L4791="", "Pending", IF(N4791&lt;=30, "Met", "Breached"))</f>
        <v/>
      </c>
      <c r="P4791" s="8" t="n"/>
      <c r="Q4791" s="8" t="n"/>
      <c r="R4791" s="8" t="n"/>
      <c r="S4791" s="8" t="n"/>
      <c r="T4791" s="8" t="n"/>
      <c r="U4791" s="8" t="n"/>
      <c r="V4791" s="8" t="n"/>
      <c r="W4791" s="8" t="n"/>
      <c r="X4791" s="8" t="n"/>
      <c r="Y4791" s="8" t="n"/>
    </row>
    <row r="4792">
      <c r="A4792" s="8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9">
        <f>B4792+30</f>
        <v/>
      </c>
      <c r="N4792">
        <f>IF(L4792="", "", L4792-B4792)</f>
        <v/>
      </c>
      <c r="O4792">
        <f>IF(L4792="", "Pending", IF(N4792&lt;=30, "Met", "Breached"))</f>
        <v/>
      </c>
      <c r="P4792" s="8" t="n"/>
      <c r="Q4792" s="8" t="n"/>
      <c r="R4792" s="8" t="n"/>
      <c r="S4792" s="8" t="n"/>
      <c r="T4792" s="8" t="n"/>
      <c r="U4792" s="8" t="n"/>
      <c r="V4792" s="8" t="n"/>
      <c r="W4792" s="8" t="n"/>
      <c r="X4792" s="8" t="n"/>
      <c r="Y4792" s="8" t="n"/>
    </row>
    <row r="4793">
      <c r="A4793" s="8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9">
        <f>B4793+30</f>
        <v/>
      </c>
      <c r="N4793">
        <f>IF(L4793="", "", L4793-B4793)</f>
        <v/>
      </c>
      <c r="O4793">
        <f>IF(L4793="", "Pending", IF(N4793&lt;=30, "Met", "Breached"))</f>
        <v/>
      </c>
      <c r="P4793" s="8" t="n"/>
      <c r="Q4793" s="8" t="n"/>
      <c r="R4793" s="8" t="n"/>
      <c r="S4793" s="8" t="n"/>
      <c r="T4793" s="8" t="n"/>
      <c r="U4793" s="8" t="n"/>
      <c r="V4793" s="8" t="n"/>
      <c r="W4793" s="8" t="n"/>
      <c r="X4793" s="8" t="n"/>
      <c r="Y4793" s="8" t="n"/>
    </row>
    <row r="4794">
      <c r="A4794" s="8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9">
        <f>B4794+30</f>
        <v/>
      </c>
      <c r="N4794">
        <f>IF(L4794="", "", L4794-B4794)</f>
        <v/>
      </c>
      <c r="O4794">
        <f>IF(L4794="", "Pending", IF(N4794&lt;=30, "Met", "Breached"))</f>
        <v/>
      </c>
      <c r="P4794" s="8" t="n"/>
      <c r="Q4794" s="8" t="n"/>
      <c r="R4794" s="8" t="n"/>
      <c r="S4794" s="8" t="n"/>
      <c r="T4794" s="8" t="n"/>
      <c r="U4794" s="8" t="n"/>
      <c r="V4794" s="8" t="n"/>
      <c r="W4794" s="8" t="n"/>
      <c r="X4794" s="8" t="n"/>
      <c r="Y4794" s="8" t="n"/>
    </row>
    <row r="4795">
      <c r="A4795" s="8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9">
        <f>B4795+30</f>
        <v/>
      </c>
      <c r="N4795">
        <f>IF(L4795="", "", L4795-B4795)</f>
        <v/>
      </c>
      <c r="O4795">
        <f>IF(L4795="", "Pending", IF(N4795&lt;=30, "Met", "Breached"))</f>
        <v/>
      </c>
      <c r="P4795" s="8" t="n"/>
      <c r="Q4795" s="8" t="n"/>
      <c r="R4795" s="8" t="n"/>
      <c r="S4795" s="8" t="n"/>
      <c r="T4795" s="8" t="n"/>
      <c r="U4795" s="8" t="n"/>
      <c r="V4795" s="8" t="n"/>
      <c r="W4795" s="8" t="n"/>
      <c r="X4795" s="8" t="n"/>
      <c r="Y4795" s="8" t="n"/>
    </row>
    <row r="4796">
      <c r="A4796" s="8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9">
        <f>B4796+30</f>
        <v/>
      </c>
      <c r="N4796">
        <f>IF(L4796="", "", L4796-B4796)</f>
        <v/>
      </c>
      <c r="O4796">
        <f>IF(L4796="", "Pending", IF(N4796&lt;=30, "Met", "Breached"))</f>
        <v/>
      </c>
      <c r="P4796" s="8" t="n"/>
      <c r="Q4796" s="8" t="n"/>
      <c r="R4796" s="8" t="n"/>
      <c r="S4796" s="8" t="n"/>
      <c r="T4796" s="8" t="n"/>
      <c r="U4796" s="8" t="n"/>
      <c r="V4796" s="8" t="n"/>
      <c r="W4796" s="8" t="n"/>
      <c r="X4796" s="8" t="n"/>
      <c r="Y4796" s="8" t="n"/>
    </row>
    <row r="4797">
      <c r="A4797" s="8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9">
        <f>B4797+30</f>
        <v/>
      </c>
      <c r="N4797">
        <f>IF(L4797="", "", L4797-B4797)</f>
        <v/>
      </c>
      <c r="O4797">
        <f>IF(L4797="", "Pending", IF(N4797&lt;=30, "Met", "Breached"))</f>
        <v/>
      </c>
      <c r="P4797" s="8" t="n"/>
      <c r="Q4797" s="8" t="n"/>
      <c r="R4797" s="8" t="n"/>
      <c r="S4797" s="8" t="n"/>
      <c r="T4797" s="8" t="n"/>
      <c r="U4797" s="8" t="n"/>
      <c r="V4797" s="8" t="n"/>
      <c r="W4797" s="8" t="n"/>
      <c r="X4797" s="8" t="n"/>
      <c r="Y4797" s="8" t="n"/>
    </row>
    <row r="4798">
      <c r="A4798" s="8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9">
        <f>B4798+30</f>
        <v/>
      </c>
      <c r="N4798">
        <f>IF(L4798="", "", L4798-B4798)</f>
        <v/>
      </c>
      <c r="O4798">
        <f>IF(L4798="", "Pending", IF(N4798&lt;=30, "Met", "Breached"))</f>
        <v/>
      </c>
      <c r="P4798" s="8" t="n"/>
      <c r="Q4798" s="8" t="n"/>
      <c r="R4798" s="8" t="n"/>
      <c r="S4798" s="8" t="n"/>
      <c r="T4798" s="8" t="n"/>
      <c r="U4798" s="8" t="n"/>
      <c r="V4798" s="8" t="n"/>
      <c r="W4798" s="8" t="n"/>
      <c r="X4798" s="8" t="n"/>
      <c r="Y4798" s="8" t="n"/>
    </row>
    <row r="4799">
      <c r="A4799" s="8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9">
        <f>B4799+30</f>
        <v/>
      </c>
      <c r="N4799">
        <f>IF(L4799="", "", L4799-B4799)</f>
        <v/>
      </c>
      <c r="O4799">
        <f>IF(L4799="", "Pending", IF(N4799&lt;=30, "Met", "Breached"))</f>
        <v/>
      </c>
      <c r="P4799" s="8" t="n"/>
      <c r="Q4799" s="8" t="n"/>
      <c r="R4799" s="8" t="n"/>
      <c r="S4799" s="8" t="n"/>
      <c r="T4799" s="8" t="n"/>
      <c r="U4799" s="8" t="n"/>
      <c r="V4799" s="8" t="n"/>
      <c r="W4799" s="8" t="n"/>
      <c r="X4799" s="8" t="n"/>
      <c r="Y4799" s="8" t="n"/>
    </row>
    <row r="4800">
      <c r="A4800" s="8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9">
        <f>B4800+30</f>
        <v/>
      </c>
      <c r="N4800">
        <f>IF(L4800="", "", L4800-B4800)</f>
        <v/>
      </c>
      <c r="O4800">
        <f>IF(L4800="", "Pending", IF(N4800&lt;=30, "Met", "Breached"))</f>
        <v/>
      </c>
      <c r="P4800" s="8" t="n"/>
      <c r="Q4800" s="8" t="n"/>
      <c r="R4800" s="8" t="n"/>
      <c r="S4800" s="8" t="n"/>
      <c r="T4800" s="8" t="n"/>
      <c r="U4800" s="8" t="n"/>
      <c r="V4800" s="8" t="n"/>
      <c r="W4800" s="8" t="n"/>
      <c r="X4800" s="8" t="n"/>
      <c r="Y4800" s="8" t="n"/>
    </row>
    <row r="4801">
      <c r="A4801" s="8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9">
        <f>B4801+30</f>
        <v/>
      </c>
      <c r="N4801">
        <f>IF(L4801="", "", L4801-B4801)</f>
        <v/>
      </c>
      <c r="O4801">
        <f>IF(L4801="", "Pending", IF(N4801&lt;=30, "Met", "Breached"))</f>
        <v/>
      </c>
      <c r="P4801" s="8" t="n"/>
      <c r="Q4801" s="8" t="n"/>
      <c r="R4801" s="8" t="n"/>
      <c r="S4801" s="8" t="n"/>
      <c r="T4801" s="8" t="n"/>
      <c r="U4801" s="8" t="n"/>
      <c r="V4801" s="8" t="n"/>
      <c r="W4801" s="8" t="n"/>
      <c r="X4801" s="8" t="n"/>
      <c r="Y4801" s="8" t="n"/>
    </row>
    <row r="4802">
      <c r="A4802" s="8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9">
        <f>B4802+30</f>
        <v/>
      </c>
      <c r="N4802">
        <f>IF(L4802="", "", L4802-B4802)</f>
        <v/>
      </c>
      <c r="O4802">
        <f>IF(L4802="", "Pending", IF(N4802&lt;=30, "Met", "Breached"))</f>
        <v/>
      </c>
      <c r="P4802" s="8" t="n"/>
      <c r="Q4802" s="8" t="n"/>
      <c r="R4802" s="8" t="n"/>
      <c r="S4802" s="8" t="n"/>
      <c r="T4802" s="8" t="n"/>
      <c r="U4802" s="8" t="n"/>
      <c r="V4802" s="8" t="n"/>
      <c r="W4802" s="8" t="n"/>
      <c r="X4802" s="8" t="n"/>
      <c r="Y4802" s="8" t="n"/>
    </row>
    <row r="4803">
      <c r="A4803" s="8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9">
        <f>B4803+30</f>
        <v/>
      </c>
      <c r="N4803">
        <f>IF(L4803="", "", L4803-B4803)</f>
        <v/>
      </c>
      <c r="O4803">
        <f>IF(L4803="", "Pending", IF(N4803&lt;=30, "Met", "Breached"))</f>
        <v/>
      </c>
      <c r="P4803" s="8" t="n"/>
      <c r="Q4803" s="8" t="n"/>
      <c r="R4803" s="8" t="n"/>
      <c r="S4803" s="8" t="n"/>
      <c r="T4803" s="8" t="n"/>
      <c r="U4803" s="8" t="n"/>
      <c r="V4803" s="8" t="n"/>
      <c r="W4803" s="8" t="n"/>
      <c r="X4803" s="8" t="n"/>
      <c r="Y4803" s="8" t="n"/>
    </row>
    <row r="4804">
      <c r="A4804" s="8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9">
        <f>B4804+30</f>
        <v/>
      </c>
      <c r="N4804">
        <f>IF(L4804="", "", L4804-B4804)</f>
        <v/>
      </c>
      <c r="O4804">
        <f>IF(L4804="", "Pending", IF(N4804&lt;=30, "Met", "Breached"))</f>
        <v/>
      </c>
      <c r="P4804" s="8" t="n"/>
      <c r="Q4804" s="8" t="n"/>
      <c r="R4804" s="8" t="n"/>
      <c r="S4804" s="8" t="n"/>
      <c r="T4804" s="8" t="n"/>
      <c r="U4804" s="8" t="n"/>
      <c r="V4804" s="8" t="n"/>
      <c r="W4804" s="8" t="n"/>
      <c r="X4804" s="8" t="n"/>
      <c r="Y4804" s="8" t="n"/>
    </row>
    <row r="4805">
      <c r="A4805" s="8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9">
        <f>B4805+30</f>
        <v/>
      </c>
      <c r="N4805">
        <f>IF(L4805="", "", L4805-B4805)</f>
        <v/>
      </c>
      <c r="O4805">
        <f>IF(L4805="", "Pending", IF(N4805&lt;=30, "Met", "Breached"))</f>
        <v/>
      </c>
      <c r="P4805" s="8" t="n"/>
      <c r="Q4805" s="8" t="n"/>
      <c r="R4805" s="8" t="n"/>
      <c r="S4805" s="8" t="n"/>
      <c r="T4805" s="8" t="n"/>
      <c r="U4805" s="8" t="n"/>
      <c r="V4805" s="8" t="n"/>
      <c r="W4805" s="8" t="n"/>
      <c r="X4805" s="8" t="n"/>
      <c r="Y4805" s="8" t="n"/>
    </row>
    <row r="4806">
      <c r="A4806" s="8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9">
        <f>B4806+30</f>
        <v/>
      </c>
      <c r="N4806">
        <f>IF(L4806="", "", L4806-B4806)</f>
        <v/>
      </c>
      <c r="O4806">
        <f>IF(L4806="", "Pending", IF(N4806&lt;=30, "Met", "Breached"))</f>
        <v/>
      </c>
      <c r="P4806" s="8" t="n"/>
      <c r="Q4806" s="8" t="n"/>
      <c r="R4806" s="8" t="n"/>
      <c r="S4806" s="8" t="n"/>
      <c r="T4806" s="8" t="n"/>
      <c r="U4806" s="8" t="n"/>
      <c r="V4806" s="8" t="n"/>
      <c r="W4806" s="8" t="n"/>
      <c r="X4806" s="8" t="n"/>
      <c r="Y4806" s="8" t="n"/>
    </row>
    <row r="4807">
      <c r="A4807" s="8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9">
        <f>B4807+30</f>
        <v/>
      </c>
      <c r="N4807">
        <f>IF(L4807="", "", L4807-B4807)</f>
        <v/>
      </c>
      <c r="O4807">
        <f>IF(L4807="", "Pending", IF(N4807&lt;=30, "Met", "Breached"))</f>
        <v/>
      </c>
      <c r="P4807" s="8" t="n"/>
      <c r="Q4807" s="8" t="n"/>
      <c r="R4807" s="8" t="n"/>
      <c r="S4807" s="8" t="n"/>
      <c r="T4807" s="8" t="n"/>
      <c r="U4807" s="8" t="n"/>
      <c r="V4807" s="8" t="n"/>
      <c r="W4807" s="8" t="n"/>
      <c r="X4807" s="8" t="n"/>
      <c r="Y4807" s="8" t="n"/>
    </row>
    <row r="4808">
      <c r="A4808" s="8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9">
        <f>B4808+30</f>
        <v/>
      </c>
      <c r="N4808">
        <f>IF(L4808="", "", L4808-B4808)</f>
        <v/>
      </c>
      <c r="O4808">
        <f>IF(L4808="", "Pending", IF(N4808&lt;=30, "Met", "Breached"))</f>
        <v/>
      </c>
      <c r="P4808" s="8" t="n"/>
      <c r="Q4808" s="8" t="n"/>
      <c r="R4808" s="8" t="n"/>
      <c r="S4808" s="8" t="n"/>
      <c r="T4808" s="8" t="n"/>
      <c r="U4808" s="8" t="n"/>
      <c r="V4808" s="8" t="n"/>
      <c r="W4808" s="8" t="n"/>
      <c r="X4808" s="8" t="n"/>
      <c r="Y4808" s="8" t="n"/>
    </row>
    <row r="4809">
      <c r="A4809" s="8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9">
        <f>B4809+30</f>
        <v/>
      </c>
      <c r="N4809">
        <f>IF(L4809="", "", L4809-B4809)</f>
        <v/>
      </c>
      <c r="O4809">
        <f>IF(L4809="", "Pending", IF(N4809&lt;=30, "Met", "Breached"))</f>
        <v/>
      </c>
      <c r="P4809" s="8" t="n"/>
      <c r="Q4809" s="8" t="n"/>
      <c r="R4809" s="8" t="n"/>
      <c r="S4809" s="8" t="n"/>
      <c r="T4809" s="8" t="n"/>
      <c r="U4809" s="8" t="n"/>
      <c r="V4809" s="8" t="n"/>
      <c r="W4809" s="8" t="n"/>
      <c r="X4809" s="8" t="n"/>
      <c r="Y4809" s="8" t="n"/>
    </row>
    <row r="4810">
      <c r="A4810" s="8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9">
        <f>B4810+30</f>
        <v/>
      </c>
      <c r="N4810">
        <f>IF(L4810="", "", L4810-B4810)</f>
        <v/>
      </c>
      <c r="O4810">
        <f>IF(L4810="", "Pending", IF(N4810&lt;=30, "Met", "Breached"))</f>
        <v/>
      </c>
      <c r="P4810" s="8" t="n"/>
      <c r="Q4810" s="8" t="n"/>
      <c r="R4810" s="8" t="n"/>
      <c r="S4810" s="8" t="n"/>
      <c r="T4810" s="8" t="n"/>
      <c r="U4810" s="8" t="n"/>
      <c r="V4810" s="8" t="n"/>
      <c r="W4810" s="8" t="n"/>
      <c r="X4810" s="8" t="n"/>
      <c r="Y4810" s="8" t="n"/>
    </row>
    <row r="4811">
      <c r="A4811" s="8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9">
        <f>B4811+30</f>
        <v/>
      </c>
      <c r="N4811">
        <f>IF(L4811="", "", L4811-B4811)</f>
        <v/>
      </c>
      <c r="O4811">
        <f>IF(L4811="", "Pending", IF(N4811&lt;=30, "Met", "Breached"))</f>
        <v/>
      </c>
      <c r="P4811" s="8" t="n"/>
      <c r="Q4811" s="8" t="n"/>
      <c r="R4811" s="8" t="n"/>
      <c r="S4811" s="8" t="n"/>
      <c r="T4811" s="8" t="n"/>
      <c r="U4811" s="8" t="n"/>
      <c r="V4811" s="8" t="n"/>
      <c r="W4811" s="8" t="n"/>
      <c r="X4811" s="8" t="n"/>
      <c r="Y4811" s="8" t="n"/>
    </row>
    <row r="4812">
      <c r="A4812" s="8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9">
        <f>B4812+30</f>
        <v/>
      </c>
      <c r="N4812">
        <f>IF(L4812="", "", L4812-B4812)</f>
        <v/>
      </c>
      <c r="O4812">
        <f>IF(L4812="", "Pending", IF(N4812&lt;=30, "Met", "Breached"))</f>
        <v/>
      </c>
      <c r="P4812" s="8" t="n"/>
      <c r="Q4812" s="8" t="n"/>
      <c r="R4812" s="8" t="n"/>
      <c r="S4812" s="8" t="n"/>
      <c r="T4812" s="8" t="n"/>
      <c r="U4812" s="8" t="n"/>
      <c r="V4812" s="8" t="n"/>
      <c r="W4812" s="8" t="n"/>
      <c r="X4812" s="8" t="n"/>
      <c r="Y4812" s="8" t="n"/>
    </row>
    <row r="4813">
      <c r="A4813" s="8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9">
        <f>B4813+30</f>
        <v/>
      </c>
      <c r="N4813">
        <f>IF(L4813="", "", L4813-B4813)</f>
        <v/>
      </c>
      <c r="O4813">
        <f>IF(L4813="", "Pending", IF(N4813&lt;=30, "Met", "Breached"))</f>
        <v/>
      </c>
      <c r="P4813" s="8" t="n"/>
      <c r="Q4813" s="8" t="n"/>
      <c r="R4813" s="8" t="n"/>
      <c r="S4813" s="8" t="n"/>
      <c r="T4813" s="8" t="n"/>
      <c r="U4813" s="8" t="n"/>
      <c r="V4813" s="8" t="n"/>
      <c r="W4813" s="8" t="n"/>
      <c r="X4813" s="8" t="n"/>
      <c r="Y4813" s="8" t="n"/>
    </row>
    <row r="4814">
      <c r="A4814" s="8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9">
        <f>B4814+30</f>
        <v/>
      </c>
      <c r="N4814">
        <f>IF(L4814="", "", L4814-B4814)</f>
        <v/>
      </c>
      <c r="O4814">
        <f>IF(L4814="", "Pending", IF(N4814&lt;=30, "Met", "Breached"))</f>
        <v/>
      </c>
      <c r="P4814" s="8" t="n"/>
      <c r="Q4814" s="8" t="n"/>
      <c r="R4814" s="8" t="n"/>
      <c r="S4814" s="8" t="n"/>
      <c r="T4814" s="8" t="n"/>
      <c r="U4814" s="8" t="n"/>
      <c r="V4814" s="8" t="n"/>
      <c r="W4814" s="8" t="n"/>
      <c r="X4814" s="8" t="n"/>
      <c r="Y4814" s="8" t="n"/>
    </row>
    <row r="4815">
      <c r="A4815" s="8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9">
        <f>B4815+30</f>
        <v/>
      </c>
      <c r="N4815">
        <f>IF(L4815="", "", L4815-B4815)</f>
        <v/>
      </c>
      <c r="O4815">
        <f>IF(L4815="", "Pending", IF(N4815&lt;=30, "Met", "Breached"))</f>
        <v/>
      </c>
      <c r="P4815" s="8" t="n"/>
      <c r="Q4815" s="8" t="n"/>
      <c r="R4815" s="8" t="n"/>
      <c r="S4815" s="8" t="n"/>
      <c r="T4815" s="8" t="n"/>
      <c r="U4815" s="8" t="n"/>
      <c r="V4815" s="8" t="n"/>
      <c r="W4815" s="8" t="n"/>
      <c r="X4815" s="8" t="n"/>
      <c r="Y4815" s="8" t="n"/>
    </row>
    <row r="4816">
      <c r="A4816" s="8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9">
        <f>B4816+30</f>
        <v/>
      </c>
      <c r="N4816">
        <f>IF(L4816="", "", L4816-B4816)</f>
        <v/>
      </c>
      <c r="O4816">
        <f>IF(L4816="", "Pending", IF(N4816&lt;=30, "Met", "Breached"))</f>
        <v/>
      </c>
      <c r="P4816" s="8" t="n"/>
      <c r="Q4816" s="8" t="n"/>
      <c r="R4816" s="8" t="n"/>
      <c r="S4816" s="8" t="n"/>
      <c r="T4816" s="8" t="n"/>
      <c r="U4816" s="8" t="n"/>
      <c r="V4816" s="8" t="n"/>
      <c r="W4816" s="8" t="n"/>
      <c r="X4816" s="8" t="n"/>
      <c r="Y4816" s="8" t="n"/>
    </row>
    <row r="4817">
      <c r="A4817" s="8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9">
        <f>B4817+30</f>
        <v/>
      </c>
      <c r="N4817">
        <f>IF(L4817="", "", L4817-B4817)</f>
        <v/>
      </c>
      <c r="O4817">
        <f>IF(L4817="", "Pending", IF(N4817&lt;=30, "Met", "Breached"))</f>
        <v/>
      </c>
      <c r="P4817" s="8" t="n"/>
      <c r="Q4817" s="8" t="n"/>
      <c r="R4817" s="8" t="n"/>
      <c r="S4817" s="8" t="n"/>
      <c r="T4817" s="8" t="n"/>
      <c r="U4817" s="8" t="n"/>
      <c r="V4817" s="8" t="n"/>
      <c r="W4817" s="8" t="n"/>
      <c r="X4817" s="8" t="n"/>
      <c r="Y4817" s="8" t="n"/>
    </row>
    <row r="4818">
      <c r="A4818" s="8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9">
        <f>B4818+30</f>
        <v/>
      </c>
      <c r="N4818">
        <f>IF(L4818="", "", L4818-B4818)</f>
        <v/>
      </c>
      <c r="O4818">
        <f>IF(L4818="", "Pending", IF(N4818&lt;=30, "Met", "Breached"))</f>
        <v/>
      </c>
      <c r="P4818" s="8" t="n"/>
      <c r="Q4818" s="8" t="n"/>
      <c r="R4818" s="8" t="n"/>
      <c r="S4818" s="8" t="n"/>
      <c r="T4818" s="8" t="n"/>
      <c r="U4818" s="8" t="n"/>
      <c r="V4818" s="8" t="n"/>
      <c r="W4818" s="8" t="n"/>
      <c r="X4818" s="8" t="n"/>
      <c r="Y4818" s="8" t="n"/>
    </row>
    <row r="4819">
      <c r="A4819" s="8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9">
        <f>B4819+30</f>
        <v/>
      </c>
      <c r="N4819">
        <f>IF(L4819="", "", L4819-B4819)</f>
        <v/>
      </c>
      <c r="O4819">
        <f>IF(L4819="", "Pending", IF(N4819&lt;=30, "Met", "Breached"))</f>
        <v/>
      </c>
      <c r="P4819" s="8" t="n"/>
      <c r="Q4819" s="8" t="n"/>
      <c r="R4819" s="8" t="n"/>
      <c r="S4819" s="8" t="n"/>
      <c r="T4819" s="8" t="n"/>
      <c r="U4819" s="8" t="n"/>
      <c r="V4819" s="8" t="n"/>
      <c r="W4819" s="8" t="n"/>
      <c r="X4819" s="8" t="n"/>
      <c r="Y4819" s="8" t="n"/>
    </row>
    <row r="4820">
      <c r="A4820" s="8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9">
        <f>B4820+30</f>
        <v/>
      </c>
      <c r="N4820">
        <f>IF(L4820="", "", L4820-B4820)</f>
        <v/>
      </c>
      <c r="O4820">
        <f>IF(L4820="", "Pending", IF(N4820&lt;=30, "Met", "Breached"))</f>
        <v/>
      </c>
      <c r="P4820" s="8" t="n"/>
      <c r="Q4820" s="8" t="n"/>
      <c r="R4820" s="8" t="n"/>
      <c r="S4820" s="8" t="n"/>
      <c r="T4820" s="8" t="n"/>
      <c r="U4820" s="8" t="n"/>
      <c r="V4820" s="8" t="n"/>
      <c r="W4820" s="8" t="n"/>
      <c r="X4820" s="8" t="n"/>
      <c r="Y4820" s="8" t="n"/>
    </row>
    <row r="4821">
      <c r="A4821" s="8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9">
        <f>B4821+30</f>
        <v/>
      </c>
      <c r="N4821">
        <f>IF(L4821="", "", L4821-B4821)</f>
        <v/>
      </c>
      <c r="O4821">
        <f>IF(L4821="", "Pending", IF(N4821&lt;=30, "Met", "Breached"))</f>
        <v/>
      </c>
      <c r="P4821" s="8" t="n"/>
      <c r="Q4821" s="8" t="n"/>
      <c r="R4821" s="8" t="n"/>
      <c r="S4821" s="8" t="n"/>
      <c r="T4821" s="8" t="n"/>
      <c r="U4821" s="8" t="n"/>
      <c r="V4821" s="8" t="n"/>
      <c r="W4821" s="8" t="n"/>
      <c r="X4821" s="8" t="n"/>
      <c r="Y4821" s="8" t="n"/>
    </row>
    <row r="4822">
      <c r="A4822" s="8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9">
        <f>B4822+30</f>
        <v/>
      </c>
      <c r="N4822">
        <f>IF(L4822="", "", L4822-B4822)</f>
        <v/>
      </c>
      <c r="O4822">
        <f>IF(L4822="", "Pending", IF(N4822&lt;=30, "Met", "Breached"))</f>
        <v/>
      </c>
      <c r="P4822" s="8" t="n"/>
      <c r="Q4822" s="8" t="n"/>
      <c r="R4822" s="8" t="n"/>
      <c r="S4822" s="8" t="n"/>
      <c r="T4822" s="8" t="n"/>
      <c r="U4822" s="8" t="n"/>
      <c r="V4822" s="8" t="n"/>
      <c r="W4822" s="8" t="n"/>
      <c r="X4822" s="8" t="n"/>
      <c r="Y4822" s="8" t="n"/>
    </row>
    <row r="4823">
      <c r="A4823" s="8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9">
        <f>B4823+30</f>
        <v/>
      </c>
      <c r="N4823">
        <f>IF(L4823="", "", L4823-B4823)</f>
        <v/>
      </c>
      <c r="O4823">
        <f>IF(L4823="", "Pending", IF(N4823&lt;=30, "Met", "Breached"))</f>
        <v/>
      </c>
      <c r="P4823" s="8" t="n"/>
      <c r="Q4823" s="8" t="n"/>
      <c r="R4823" s="8" t="n"/>
      <c r="S4823" s="8" t="n"/>
      <c r="T4823" s="8" t="n"/>
      <c r="U4823" s="8" t="n"/>
      <c r="V4823" s="8" t="n"/>
      <c r="W4823" s="8" t="n"/>
      <c r="X4823" s="8" t="n"/>
      <c r="Y4823" s="8" t="n"/>
    </row>
    <row r="4824">
      <c r="A4824" s="8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9">
        <f>B4824+30</f>
        <v/>
      </c>
      <c r="N4824">
        <f>IF(L4824="", "", L4824-B4824)</f>
        <v/>
      </c>
      <c r="O4824">
        <f>IF(L4824="", "Pending", IF(N4824&lt;=30, "Met", "Breached"))</f>
        <v/>
      </c>
      <c r="P4824" s="8" t="n"/>
      <c r="Q4824" s="8" t="n"/>
      <c r="R4824" s="8" t="n"/>
      <c r="S4824" s="8" t="n"/>
      <c r="T4824" s="8" t="n"/>
      <c r="U4824" s="8" t="n"/>
      <c r="V4824" s="8" t="n"/>
      <c r="W4824" s="8" t="n"/>
      <c r="X4824" s="8" t="n"/>
      <c r="Y4824" s="8" t="n"/>
    </row>
    <row r="4825">
      <c r="A4825" s="8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9">
        <f>B4825+30</f>
        <v/>
      </c>
      <c r="N4825">
        <f>IF(L4825="", "", L4825-B4825)</f>
        <v/>
      </c>
      <c r="O4825">
        <f>IF(L4825="", "Pending", IF(N4825&lt;=30, "Met", "Breached"))</f>
        <v/>
      </c>
      <c r="P4825" s="8" t="n"/>
      <c r="Q4825" s="8" t="n"/>
      <c r="R4825" s="8" t="n"/>
      <c r="S4825" s="8" t="n"/>
      <c r="T4825" s="8" t="n"/>
      <c r="U4825" s="8" t="n"/>
      <c r="V4825" s="8" t="n"/>
      <c r="W4825" s="8" t="n"/>
      <c r="X4825" s="8" t="n"/>
      <c r="Y4825" s="8" t="n"/>
    </row>
    <row r="4826">
      <c r="A4826" s="8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9">
        <f>B4826+30</f>
        <v/>
      </c>
      <c r="N4826">
        <f>IF(L4826="", "", L4826-B4826)</f>
        <v/>
      </c>
      <c r="O4826">
        <f>IF(L4826="", "Pending", IF(N4826&lt;=30, "Met", "Breached"))</f>
        <v/>
      </c>
      <c r="P4826" s="8" t="n"/>
      <c r="Q4826" s="8" t="n"/>
      <c r="R4826" s="8" t="n"/>
      <c r="S4826" s="8" t="n"/>
      <c r="T4826" s="8" t="n"/>
      <c r="U4826" s="8" t="n"/>
      <c r="V4826" s="8" t="n"/>
      <c r="W4826" s="8" t="n"/>
      <c r="X4826" s="8" t="n"/>
      <c r="Y4826" s="8" t="n"/>
    </row>
    <row r="4827">
      <c r="A4827" s="8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9">
        <f>B4827+30</f>
        <v/>
      </c>
      <c r="N4827">
        <f>IF(L4827="", "", L4827-B4827)</f>
        <v/>
      </c>
      <c r="O4827">
        <f>IF(L4827="", "Pending", IF(N4827&lt;=30, "Met", "Breached"))</f>
        <v/>
      </c>
      <c r="P4827" s="8" t="n"/>
      <c r="Q4827" s="8" t="n"/>
      <c r="R4827" s="8" t="n"/>
      <c r="S4827" s="8" t="n"/>
      <c r="T4827" s="8" t="n"/>
      <c r="U4827" s="8" t="n"/>
      <c r="V4827" s="8" t="n"/>
      <c r="W4827" s="8" t="n"/>
      <c r="X4827" s="8" t="n"/>
      <c r="Y4827" s="8" t="n"/>
    </row>
    <row r="4828">
      <c r="A4828" s="8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9">
        <f>B4828+30</f>
        <v/>
      </c>
      <c r="N4828">
        <f>IF(L4828="", "", L4828-B4828)</f>
        <v/>
      </c>
      <c r="O4828">
        <f>IF(L4828="", "Pending", IF(N4828&lt;=30, "Met", "Breached"))</f>
        <v/>
      </c>
      <c r="P4828" s="8" t="n"/>
      <c r="Q4828" s="8" t="n"/>
      <c r="R4828" s="8" t="n"/>
      <c r="S4828" s="8" t="n"/>
      <c r="T4828" s="8" t="n"/>
      <c r="U4828" s="8" t="n"/>
      <c r="V4828" s="8" t="n"/>
      <c r="W4828" s="8" t="n"/>
      <c r="X4828" s="8" t="n"/>
      <c r="Y4828" s="8" t="n"/>
    </row>
    <row r="4829">
      <c r="A4829" s="8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9">
        <f>B4829+30</f>
        <v/>
      </c>
      <c r="N4829">
        <f>IF(L4829="", "", L4829-B4829)</f>
        <v/>
      </c>
      <c r="O4829">
        <f>IF(L4829="", "Pending", IF(N4829&lt;=30, "Met", "Breached"))</f>
        <v/>
      </c>
      <c r="P4829" s="8" t="n"/>
      <c r="Q4829" s="8" t="n"/>
      <c r="R4829" s="8" t="n"/>
      <c r="S4829" s="8" t="n"/>
      <c r="T4829" s="8" t="n"/>
      <c r="U4829" s="8" t="n"/>
      <c r="V4829" s="8" t="n"/>
      <c r="W4829" s="8" t="n"/>
      <c r="X4829" s="8" t="n"/>
      <c r="Y4829" s="8" t="n"/>
    </row>
    <row r="4830">
      <c r="A4830" s="8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9">
        <f>B4830+30</f>
        <v/>
      </c>
      <c r="N4830">
        <f>IF(L4830="", "", L4830-B4830)</f>
        <v/>
      </c>
      <c r="O4830">
        <f>IF(L4830="", "Pending", IF(N4830&lt;=30, "Met", "Breached"))</f>
        <v/>
      </c>
      <c r="P4830" s="8" t="n"/>
      <c r="Q4830" s="8" t="n"/>
      <c r="R4830" s="8" t="n"/>
      <c r="S4830" s="8" t="n"/>
      <c r="T4830" s="8" t="n"/>
      <c r="U4830" s="8" t="n"/>
      <c r="V4830" s="8" t="n"/>
      <c r="W4830" s="8" t="n"/>
      <c r="X4830" s="8" t="n"/>
      <c r="Y4830" s="8" t="n"/>
    </row>
    <row r="4831">
      <c r="A4831" s="8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9">
        <f>B4831+30</f>
        <v/>
      </c>
      <c r="N4831">
        <f>IF(L4831="", "", L4831-B4831)</f>
        <v/>
      </c>
      <c r="O4831">
        <f>IF(L4831="", "Pending", IF(N4831&lt;=30, "Met", "Breached"))</f>
        <v/>
      </c>
      <c r="P4831" s="8" t="n"/>
      <c r="Q4831" s="8" t="n"/>
      <c r="R4831" s="8" t="n"/>
      <c r="S4831" s="8" t="n"/>
      <c r="T4831" s="8" t="n"/>
      <c r="U4831" s="8" t="n"/>
      <c r="V4831" s="8" t="n"/>
      <c r="W4831" s="8" t="n"/>
      <c r="X4831" s="8" t="n"/>
      <c r="Y4831" s="8" t="n"/>
    </row>
    <row r="4832">
      <c r="A4832" s="8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9">
        <f>B4832+30</f>
        <v/>
      </c>
      <c r="N4832">
        <f>IF(L4832="", "", L4832-B4832)</f>
        <v/>
      </c>
      <c r="O4832">
        <f>IF(L4832="", "Pending", IF(N4832&lt;=30, "Met", "Breached"))</f>
        <v/>
      </c>
      <c r="P4832" s="8" t="n"/>
      <c r="Q4832" s="8" t="n"/>
      <c r="R4832" s="8" t="n"/>
      <c r="S4832" s="8" t="n"/>
      <c r="T4832" s="8" t="n"/>
      <c r="U4832" s="8" t="n"/>
      <c r="V4832" s="8" t="n"/>
      <c r="W4832" s="8" t="n"/>
      <c r="X4832" s="8" t="n"/>
      <c r="Y4832" s="8" t="n"/>
    </row>
    <row r="4833">
      <c r="A4833" s="8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9">
        <f>B4833+30</f>
        <v/>
      </c>
      <c r="N4833">
        <f>IF(L4833="", "", L4833-B4833)</f>
        <v/>
      </c>
      <c r="O4833">
        <f>IF(L4833="", "Pending", IF(N4833&lt;=30, "Met", "Breached"))</f>
        <v/>
      </c>
      <c r="P4833" s="8" t="n"/>
      <c r="Q4833" s="8" t="n"/>
      <c r="R4833" s="8" t="n"/>
      <c r="S4833" s="8" t="n"/>
      <c r="T4833" s="8" t="n"/>
      <c r="U4833" s="8" t="n"/>
      <c r="V4833" s="8" t="n"/>
      <c r="W4833" s="8" t="n"/>
      <c r="X4833" s="8" t="n"/>
      <c r="Y4833" s="8" t="n"/>
    </row>
    <row r="4834">
      <c r="A4834" s="8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9">
        <f>B4834+30</f>
        <v/>
      </c>
      <c r="N4834">
        <f>IF(L4834="", "", L4834-B4834)</f>
        <v/>
      </c>
      <c r="O4834">
        <f>IF(L4834="", "Pending", IF(N4834&lt;=30, "Met", "Breached"))</f>
        <v/>
      </c>
      <c r="P4834" s="8" t="n"/>
      <c r="Q4834" s="8" t="n"/>
      <c r="R4834" s="8" t="n"/>
      <c r="S4834" s="8" t="n"/>
      <c r="T4834" s="8" t="n"/>
      <c r="U4834" s="8" t="n"/>
      <c r="V4834" s="8" t="n"/>
      <c r="W4834" s="8" t="n"/>
      <c r="X4834" s="8" t="n"/>
      <c r="Y4834" s="8" t="n"/>
    </row>
    <row r="4835">
      <c r="A4835" s="8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9">
        <f>B4835+30</f>
        <v/>
      </c>
      <c r="N4835">
        <f>IF(L4835="", "", L4835-B4835)</f>
        <v/>
      </c>
      <c r="O4835">
        <f>IF(L4835="", "Pending", IF(N4835&lt;=30, "Met", "Breached"))</f>
        <v/>
      </c>
      <c r="P4835" s="8" t="n"/>
      <c r="Q4835" s="8" t="n"/>
      <c r="R4835" s="8" t="n"/>
      <c r="S4835" s="8" t="n"/>
      <c r="T4835" s="8" t="n"/>
      <c r="U4835" s="8" t="n"/>
      <c r="V4835" s="8" t="n"/>
      <c r="W4835" s="8" t="n"/>
      <c r="X4835" s="8" t="n"/>
      <c r="Y4835" s="8" t="n"/>
    </row>
    <row r="4836">
      <c r="A4836" s="8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9">
        <f>B4836+30</f>
        <v/>
      </c>
      <c r="N4836">
        <f>IF(L4836="", "", L4836-B4836)</f>
        <v/>
      </c>
      <c r="O4836">
        <f>IF(L4836="", "Pending", IF(N4836&lt;=30, "Met", "Breached"))</f>
        <v/>
      </c>
      <c r="P4836" s="8" t="n"/>
      <c r="Q4836" s="8" t="n"/>
      <c r="R4836" s="8" t="n"/>
      <c r="S4836" s="8" t="n"/>
      <c r="T4836" s="8" t="n"/>
      <c r="U4836" s="8" t="n"/>
      <c r="V4836" s="8" t="n"/>
      <c r="W4836" s="8" t="n"/>
      <c r="X4836" s="8" t="n"/>
      <c r="Y4836" s="8" t="n"/>
    </row>
    <row r="4837">
      <c r="A4837" s="8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9">
        <f>B4837+30</f>
        <v/>
      </c>
      <c r="N4837">
        <f>IF(L4837="", "", L4837-B4837)</f>
        <v/>
      </c>
      <c r="O4837">
        <f>IF(L4837="", "Pending", IF(N4837&lt;=30, "Met", "Breached"))</f>
        <v/>
      </c>
      <c r="P4837" s="8" t="n"/>
      <c r="Q4837" s="8" t="n"/>
      <c r="R4837" s="8" t="n"/>
      <c r="S4837" s="8" t="n"/>
      <c r="T4837" s="8" t="n"/>
      <c r="U4837" s="8" t="n"/>
      <c r="V4837" s="8" t="n"/>
      <c r="W4837" s="8" t="n"/>
      <c r="X4837" s="8" t="n"/>
      <c r="Y4837" s="8" t="n"/>
    </row>
    <row r="4838">
      <c r="A4838" s="8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9">
        <f>B4838+30</f>
        <v/>
      </c>
      <c r="N4838">
        <f>IF(L4838="", "", L4838-B4838)</f>
        <v/>
      </c>
      <c r="O4838">
        <f>IF(L4838="", "Pending", IF(N4838&lt;=30, "Met", "Breached"))</f>
        <v/>
      </c>
      <c r="P4838" s="8" t="n"/>
      <c r="Q4838" s="8" t="n"/>
      <c r="R4838" s="8" t="n"/>
      <c r="S4838" s="8" t="n"/>
      <c r="T4838" s="8" t="n"/>
      <c r="U4838" s="8" t="n"/>
      <c r="V4838" s="8" t="n"/>
      <c r="W4838" s="8" t="n"/>
      <c r="X4838" s="8" t="n"/>
      <c r="Y4838" s="8" t="n"/>
    </row>
    <row r="4839">
      <c r="A4839" s="8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9">
        <f>B4839+30</f>
        <v/>
      </c>
      <c r="N4839">
        <f>IF(L4839="", "", L4839-B4839)</f>
        <v/>
      </c>
      <c r="O4839">
        <f>IF(L4839="", "Pending", IF(N4839&lt;=30, "Met", "Breached"))</f>
        <v/>
      </c>
      <c r="P4839" s="8" t="n"/>
      <c r="Q4839" s="8" t="n"/>
      <c r="R4839" s="8" t="n"/>
      <c r="S4839" s="8" t="n"/>
      <c r="T4839" s="8" t="n"/>
      <c r="U4839" s="8" t="n"/>
      <c r="V4839" s="8" t="n"/>
      <c r="W4839" s="8" t="n"/>
      <c r="X4839" s="8" t="n"/>
      <c r="Y4839" s="8" t="n"/>
    </row>
    <row r="4840">
      <c r="A4840" s="8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9">
        <f>B4840+30</f>
        <v/>
      </c>
      <c r="N4840">
        <f>IF(L4840="", "", L4840-B4840)</f>
        <v/>
      </c>
      <c r="O4840">
        <f>IF(L4840="", "Pending", IF(N4840&lt;=30, "Met", "Breached"))</f>
        <v/>
      </c>
      <c r="P4840" s="8" t="n"/>
      <c r="Q4840" s="8" t="n"/>
      <c r="R4840" s="8" t="n"/>
      <c r="S4840" s="8" t="n"/>
      <c r="T4840" s="8" t="n"/>
      <c r="U4840" s="8" t="n"/>
      <c r="V4840" s="8" t="n"/>
      <c r="W4840" s="8" t="n"/>
      <c r="X4840" s="8" t="n"/>
      <c r="Y4840" s="8" t="n"/>
    </row>
    <row r="4841">
      <c r="A4841" s="8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9">
        <f>B4841+30</f>
        <v/>
      </c>
      <c r="N4841">
        <f>IF(L4841="", "", L4841-B4841)</f>
        <v/>
      </c>
      <c r="O4841">
        <f>IF(L4841="", "Pending", IF(N4841&lt;=30, "Met", "Breached"))</f>
        <v/>
      </c>
      <c r="P4841" s="8" t="n"/>
      <c r="Q4841" s="8" t="n"/>
      <c r="R4841" s="8" t="n"/>
      <c r="S4841" s="8" t="n"/>
      <c r="T4841" s="8" t="n"/>
      <c r="U4841" s="8" t="n"/>
      <c r="V4841" s="8" t="n"/>
      <c r="W4841" s="8" t="n"/>
      <c r="X4841" s="8" t="n"/>
      <c r="Y4841" s="8" t="n"/>
    </row>
    <row r="4842">
      <c r="A4842" s="8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9">
        <f>B4842+30</f>
        <v/>
      </c>
      <c r="N4842">
        <f>IF(L4842="", "", L4842-B4842)</f>
        <v/>
      </c>
      <c r="O4842">
        <f>IF(L4842="", "Pending", IF(N4842&lt;=30, "Met", "Breached"))</f>
        <v/>
      </c>
      <c r="P4842" s="8" t="n"/>
      <c r="Q4842" s="8" t="n"/>
      <c r="R4842" s="8" t="n"/>
      <c r="S4842" s="8" t="n"/>
      <c r="T4842" s="8" t="n"/>
      <c r="U4842" s="8" t="n"/>
      <c r="V4842" s="8" t="n"/>
      <c r="W4842" s="8" t="n"/>
      <c r="X4842" s="8" t="n"/>
      <c r="Y4842" s="8" t="n"/>
    </row>
    <row r="4843">
      <c r="A4843" s="8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9">
        <f>B4843+30</f>
        <v/>
      </c>
      <c r="N4843">
        <f>IF(L4843="", "", L4843-B4843)</f>
        <v/>
      </c>
      <c r="O4843">
        <f>IF(L4843="", "Pending", IF(N4843&lt;=30, "Met", "Breached"))</f>
        <v/>
      </c>
      <c r="P4843" s="8" t="n"/>
      <c r="Q4843" s="8" t="n"/>
      <c r="R4843" s="8" t="n"/>
      <c r="S4843" s="8" t="n"/>
      <c r="T4843" s="8" t="n"/>
      <c r="U4843" s="8" t="n"/>
      <c r="V4843" s="8" t="n"/>
      <c r="W4843" s="8" t="n"/>
      <c r="X4843" s="8" t="n"/>
      <c r="Y4843" s="8" t="n"/>
    </row>
    <row r="4844">
      <c r="A4844" s="8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9">
        <f>B4844+30</f>
        <v/>
      </c>
      <c r="N4844">
        <f>IF(L4844="", "", L4844-B4844)</f>
        <v/>
      </c>
      <c r="O4844">
        <f>IF(L4844="", "Pending", IF(N4844&lt;=30, "Met", "Breached"))</f>
        <v/>
      </c>
      <c r="P4844" s="8" t="n"/>
      <c r="Q4844" s="8" t="n"/>
      <c r="R4844" s="8" t="n"/>
      <c r="S4844" s="8" t="n"/>
      <c r="T4844" s="8" t="n"/>
      <c r="U4844" s="8" t="n"/>
      <c r="V4844" s="8" t="n"/>
      <c r="W4844" s="8" t="n"/>
      <c r="X4844" s="8" t="n"/>
      <c r="Y4844" s="8" t="n"/>
    </row>
    <row r="4845">
      <c r="A4845" s="8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9">
        <f>B4845+30</f>
        <v/>
      </c>
      <c r="N4845">
        <f>IF(L4845="", "", L4845-B4845)</f>
        <v/>
      </c>
      <c r="O4845">
        <f>IF(L4845="", "Pending", IF(N4845&lt;=30, "Met", "Breached"))</f>
        <v/>
      </c>
      <c r="P4845" s="8" t="n"/>
      <c r="Q4845" s="8" t="n"/>
      <c r="R4845" s="8" t="n"/>
      <c r="S4845" s="8" t="n"/>
      <c r="T4845" s="8" t="n"/>
      <c r="U4845" s="8" t="n"/>
      <c r="V4845" s="8" t="n"/>
      <c r="W4845" s="8" t="n"/>
      <c r="X4845" s="8" t="n"/>
      <c r="Y4845" s="8" t="n"/>
    </row>
    <row r="4846">
      <c r="A4846" s="8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9">
        <f>B4846+30</f>
        <v/>
      </c>
      <c r="N4846">
        <f>IF(L4846="", "", L4846-B4846)</f>
        <v/>
      </c>
      <c r="O4846">
        <f>IF(L4846="", "Pending", IF(N4846&lt;=30, "Met", "Breached"))</f>
        <v/>
      </c>
      <c r="P4846" s="8" t="n"/>
      <c r="Q4846" s="8" t="n"/>
      <c r="R4846" s="8" t="n"/>
      <c r="S4846" s="8" t="n"/>
      <c r="T4846" s="8" t="n"/>
      <c r="U4846" s="8" t="n"/>
      <c r="V4846" s="8" t="n"/>
      <c r="W4846" s="8" t="n"/>
      <c r="X4846" s="8" t="n"/>
      <c r="Y4846" s="8" t="n"/>
    </row>
    <row r="4847">
      <c r="A4847" s="8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9">
        <f>B4847+30</f>
        <v/>
      </c>
      <c r="N4847">
        <f>IF(L4847="", "", L4847-B4847)</f>
        <v/>
      </c>
      <c r="O4847">
        <f>IF(L4847="", "Pending", IF(N4847&lt;=30, "Met", "Breached"))</f>
        <v/>
      </c>
      <c r="P4847" s="8" t="n"/>
      <c r="Q4847" s="8" t="n"/>
      <c r="R4847" s="8" t="n"/>
      <c r="S4847" s="8" t="n"/>
      <c r="T4847" s="8" t="n"/>
      <c r="U4847" s="8" t="n"/>
      <c r="V4847" s="8" t="n"/>
      <c r="W4847" s="8" t="n"/>
      <c r="X4847" s="8" t="n"/>
      <c r="Y4847" s="8" t="n"/>
    </row>
    <row r="4848">
      <c r="A4848" s="8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9">
        <f>B4848+30</f>
        <v/>
      </c>
      <c r="N4848">
        <f>IF(L4848="", "", L4848-B4848)</f>
        <v/>
      </c>
      <c r="O4848">
        <f>IF(L4848="", "Pending", IF(N4848&lt;=30, "Met", "Breached"))</f>
        <v/>
      </c>
      <c r="P4848" s="8" t="n"/>
      <c r="Q4848" s="8" t="n"/>
      <c r="R4848" s="8" t="n"/>
      <c r="S4848" s="8" t="n"/>
      <c r="T4848" s="8" t="n"/>
      <c r="U4848" s="8" t="n"/>
      <c r="V4848" s="8" t="n"/>
      <c r="W4848" s="8" t="n"/>
      <c r="X4848" s="8" t="n"/>
      <c r="Y4848" s="8" t="n"/>
    </row>
    <row r="4849">
      <c r="A4849" s="8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9">
        <f>B4849+30</f>
        <v/>
      </c>
      <c r="N4849">
        <f>IF(L4849="", "", L4849-B4849)</f>
        <v/>
      </c>
      <c r="O4849">
        <f>IF(L4849="", "Pending", IF(N4849&lt;=30, "Met", "Breached"))</f>
        <v/>
      </c>
      <c r="P4849" s="8" t="n"/>
      <c r="Q4849" s="8" t="n"/>
      <c r="R4849" s="8" t="n"/>
      <c r="S4849" s="8" t="n"/>
      <c r="T4849" s="8" t="n"/>
      <c r="U4849" s="8" t="n"/>
      <c r="V4849" s="8" t="n"/>
      <c r="W4849" s="8" t="n"/>
      <c r="X4849" s="8" t="n"/>
      <c r="Y4849" s="8" t="n"/>
    </row>
    <row r="4850">
      <c r="A4850" s="8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9">
        <f>B4850+30</f>
        <v/>
      </c>
      <c r="N4850">
        <f>IF(L4850="", "", L4850-B4850)</f>
        <v/>
      </c>
      <c r="O4850">
        <f>IF(L4850="", "Pending", IF(N4850&lt;=30, "Met", "Breached"))</f>
        <v/>
      </c>
      <c r="P4850" s="8" t="n"/>
      <c r="Q4850" s="8" t="n"/>
      <c r="R4850" s="8" t="n"/>
      <c r="S4850" s="8" t="n"/>
      <c r="T4850" s="8" t="n"/>
      <c r="U4850" s="8" t="n"/>
      <c r="V4850" s="8" t="n"/>
      <c r="W4850" s="8" t="n"/>
      <c r="X4850" s="8" t="n"/>
      <c r="Y4850" s="8" t="n"/>
    </row>
    <row r="4851">
      <c r="A4851" s="8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9">
        <f>B4851+30</f>
        <v/>
      </c>
      <c r="N4851">
        <f>IF(L4851="", "", L4851-B4851)</f>
        <v/>
      </c>
      <c r="O4851">
        <f>IF(L4851="", "Pending", IF(N4851&lt;=30, "Met", "Breached"))</f>
        <v/>
      </c>
      <c r="P4851" s="8" t="n"/>
      <c r="Q4851" s="8" t="n"/>
      <c r="R4851" s="8" t="n"/>
      <c r="S4851" s="8" t="n"/>
      <c r="T4851" s="8" t="n"/>
      <c r="U4851" s="8" t="n"/>
      <c r="V4851" s="8" t="n"/>
      <c r="W4851" s="8" t="n"/>
      <c r="X4851" s="8" t="n"/>
      <c r="Y4851" s="8" t="n"/>
    </row>
    <row r="4852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9">
        <f>B4852+30</f>
        <v/>
      </c>
      <c r="N4852">
        <f>IF(L4852="", "", L4852-B4852)</f>
        <v/>
      </c>
      <c r="O4852">
        <f>IF(L4852="", "Pending", IF(N4852&lt;=30, "Met", "Breached"))</f>
        <v/>
      </c>
      <c r="P4852" s="8" t="n"/>
      <c r="Q4852" s="8" t="n"/>
      <c r="R4852" s="8" t="n"/>
      <c r="S4852" s="8" t="n"/>
      <c r="T4852" s="8" t="n"/>
      <c r="U4852" s="8" t="n"/>
      <c r="V4852" s="8" t="n"/>
      <c r="W4852" s="8" t="n"/>
      <c r="X4852" s="8" t="n"/>
      <c r="Y4852" s="8" t="n"/>
    </row>
    <row r="4853">
      <c r="A4853" s="8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9">
        <f>B4853+30</f>
        <v/>
      </c>
      <c r="N4853">
        <f>IF(L4853="", "", L4853-B4853)</f>
        <v/>
      </c>
      <c r="O4853">
        <f>IF(L4853="", "Pending", IF(N4853&lt;=30, "Met", "Breached"))</f>
        <v/>
      </c>
      <c r="P4853" s="8" t="n"/>
      <c r="Q4853" s="8" t="n"/>
      <c r="R4853" s="8" t="n"/>
      <c r="S4853" s="8" t="n"/>
      <c r="T4853" s="8" t="n"/>
      <c r="U4853" s="8" t="n"/>
      <c r="V4853" s="8" t="n"/>
      <c r="W4853" s="8" t="n"/>
      <c r="X4853" s="8" t="n"/>
      <c r="Y4853" s="8" t="n"/>
    </row>
    <row r="4854">
      <c r="A4854" s="8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9">
        <f>B4854+30</f>
        <v/>
      </c>
      <c r="N4854">
        <f>IF(L4854="", "", L4854-B4854)</f>
        <v/>
      </c>
      <c r="O4854">
        <f>IF(L4854="", "Pending", IF(N4854&lt;=30, "Met", "Breached"))</f>
        <v/>
      </c>
      <c r="P4854" s="8" t="n"/>
      <c r="Q4854" s="8" t="n"/>
      <c r="R4854" s="8" t="n"/>
      <c r="S4854" s="8" t="n"/>
      <c r="T4854" s="8" t="n"/>
      <c r="U4854" s="8" t="n"/>
      <c r="V4854" s="8" t="n"/>
      <c r="W4854" s="8" t="n"/>
      <c r="X4854" s="8" t="n"/>
      <c r="Y4854" s="8" t="n"/>
    </row>
    <row r="4855">
      <c r="A4855" s="8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9">
        <f>B4855+30</f>
        <v/>
      </c>
      <c r="N4855">
        <f>IF(L4855="", "", L4855-B4855)</f>
        <v/>
      </c>
      <c r="O4855">
        <f>IF(L4855="", "Pending", IF(N4855&lt;=30, "Met", "Breached"))</f>
        <v/>
      </c>
      <c r="P4855" s="8" t="n"/>
      <c r="Q4855" s="8" t="n"/>
      <c r="R4855" s="8" t="n"/>
      <c r="S4855" s="8" t="n"/>
      <c r="T4855" s="8" t="n"/>
      <c r="U4855" s="8" t="n"/>
      <c r="V4855" s="8" t="n"/>
      <c r="W4855" s="8" t="n"/>
      <c r="X4855" s="8" t="n"/>
      <c r="Y4855" s="8" t="n"/>
    </row>
    <row r="4856">
      <c r="A4856" s="8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9">
        <f>B4856+30</f>
        <v/>
      </c>
      <c r="N4856">
        <f>IF(L4856="", "", L4856-B4856)</f>
        <v/>
      </c>
      <c r="O4856">
        <f>IF(L4856="", "Pending", IF(N4856&lt;=30, "Met", "Breached"))</f>
        <v/>
      </c>
      <c r="P4856" s="8" t="n"/>
      <c r="Q4856" s="8" t="n"/>
      <c r="R4856" s="8" t="n"/>
      <c r="S4856" s="8" t="n"/>
      <c r="T4856" s="8" t="n"/>
      <c r="U4856" s="8" t="n"/>
      <c r="V4856" s="8" t="n"/>
      <c r="W4856" s="8" t="n"/>
      <c r="X4856" s="8" t="n"/>
      <c r="Y4856" s="8" t="n"/>
    </row>
    <row r="4857">
      <c r="A4857" s="8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9">
        <f>B4857+30</f>
        <v/>
      </c>
      <c r="N4857">
        <f>IF(L4857="", "", L4857-B4857)</f>
        <v/>
      </c>
      <c r="O4857">
        <f>IF(L4857="", "Pending", IF(N4857&lt;=30, "Met", "Breached"))</f>
        <v/>
      </c>
      <c r="P4857" s="8" t="n"/>
      <c r="Q4857" s="8" t="n"/>
      <c r="R4857" s="8" t="n"/>
      <c r="S4857" s="8" t="n"/>
      <c r="T4857" s="8" t="n"/>
      <c r="U4857" s="8" t="n"/>
      <c r="V4857" s="8" t="n"/>
      <c r="W4857" s="8" t="n"/>
      <c r="X4857" s="8" t="n"/>
      <c r="Y4857" s="8" t="n"/>
    </row>
    <row r="4858">
      <c r="A4858" s="8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9">
        <f>B4858+30</f>
        <v/>
      </c>
      <c r="N4858">
        <f>IF(L4858="", "", L4858-B4858)</f>
        <v/>
      </c>
      <c r="O4858">
        <f>IF(L4858="", "Pending", IF(N4858&lt;=30, "Met", "Breached"))</f>
        <v/>
      </c>
      <c r="P4858" s="8" t="n"/>
      <c r="Q4858" s="8" t="n"/>
      <c r="R4858" s="8" t="n"/>
      <c r="S4858" s="8" t="n"/>
      <c r="T4858" s="8" t="n"/>
      <c r="U4858" s="8" t="n"/>
      <c r="V4858" s="8" t="n"/>
      <c r="W4858" s="8" t="n"/>
      <c r="X4858" s="8" t="n"/>
      <c r="Y4858" s="8" t="n"/>
    </row>
    <row r="4859">
      <c r="A4859" s="8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9">
        <f>B4859+30</f>
        <v/>
      </c>
      <c r="N4859">
        <f>IF(L4859="", "", L4859-B4859)</f>
        <v/>
      </c>
      <c r="O4859">
        <f>IF(L4859="", "Pending", IF(N4859&lt;=30, "Met", "Breached"))</f>
        <v/>
      </c>
      <c r="P4859" s="8" t="n"/>
      <c r="Q4859" s="8" t="n"/>
      <c r="R4859" s="8" t="n"/>
      <c r="S4859" s="8" t="n"/>
      <c r="T4859" s="8" t="n"/>
      <c r="U4859" s="8" t="n"/>
      <c r="V4859" s="8" t="n"/>
      <c r="W4859" s="8" t="n"/>
      <c r="X4859" s="8" t="n"/>
      <c r="Y4859" s="8" t="n"/>
    </row>
    <row r="4860">
      <c r="A4860" s="8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9">
        <f>B4860+30</f>
        <v/>
      </c>
      <c r="N4860">
        <f>IF(L4860="", "", L4860-B4860)</f>
        <v/>
      </c>
      <c r="O4860">
        <f>IF(L4860="", "Pending", IF(N4860&lt;=30, "Met", "Breached"))</f>
        <v/>
      </c>
      <c r="P4860" s="8" t="n"/>
      <c r="Q4860" s="8" t="n"/>
      <c r="R4860" s="8" t="n"/>
      <c r="S4860" s="8" t="n"/>
      <c r="T4860" s="8" t="n"/>
      <c r="U4860" s="8" t="n"/>
      <c r="V4860" s="8" t="n"/>
      <c r="W4860" s="8" t="n"/>
      <c r="X4860" s="8" t="n"/>
      <c r="Y4860" s="8" t="n"/>
    </row>
    <row r="4861">
      <c r="A4861" s="8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9">
        <f>B4861+30</f>
        <v/>
      </c>
      <c r="N4861">
        <f>IF(L4861="", "", L4861-B4861)</f>
        <v/>
      </c>
      <c r="O4861">
        <f>IF(L4861="", "Pending", IF(N4861&lt;=30, "Met", "Breached"))</f>
        <v/>
      </c>
      <c r="P4861" s="8" t="n"/>
      <c r="Q4861" s="8" t="n"/>
      <c r="R4861" s="8" t="n"/>
      <c r="S4861" s="8" t="n"/>
      <c r="T4861" s="8" t="n"/>
      <c r="U4861" s="8" t="n"/>
      <c r="V4861" s="8" t="n"/>
      <c r="W4861" s="8" t="n"/>
      <c r="X4861" s="8" t="n"/>
      <c r="Y4861" s="8" t="n"/>
    </row>
    <row r="4862">
      <c r="A4862" s="8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9">
        <f>B4862+30</f>
        <v/>
      </c>
      <c r="N4862">
        <f>IF(L4862="", "", L4862-B4862)</f>
        <v/>
      </c>
      <c r="O4862">
        <f>IF(L4862="", "Pending", IF(N4862&lt;=30, "Met", "Breached"))</f>
        <v/>
      </c>
      <c r="P4862" s="8" t="n"/>
      <c r="Q4862" s="8" t="n"/>
      <c r="R4862" s="8" t="n"/>
      <c r="S4862" s="8" t="n"/>
      <c r="T4862" s="8" t="n"/>
      <c r="U4862" s="8" t="n"/>
      <c r="V4862" s="8" t="n"/>
      <c r="W4862" s="8" t="n"/>
      <c r="X4862" s="8" t="n"/>
      <c r="Y4862" s="8" t="n"/>
    </row>
    <row r="4863">
      <c r="A4863" s="8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9">
        <f>B4863+30</f>
        <v/>
      </c>
      <c r="N4863">
        <f>IF(L4863="", "", L4863-B4863)</f>
        <v/>
      </c>
      <c r="O4863">
        <f>IF(L4863="", "Pending", IF(N4863&lt;=30, "Met", "Breached"))</f>
        <v/>
      </c>
      <c r="P4863" s="8" t="n"/>
      <c r="Q4863" s="8" t="n"/>
      <c r="R4863" s="8" t="n"/>
      <c r="S4863" s="8" t="n"/>
      <c r="T4863" s="8" t="n"/>
      <c r="U4863" s="8" t="n"/>
      <c r="V4863" s="8" t="n"/>
      <c r="W4863" s="8" t="n"/>
      <c r="X4863" s="8" t="n"/>
      <c r="Y4863" s="8" t="n"/>
    </row>
    <row r="4864">
      <c r="A4864" s="8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9">
        <f>B4864+30</f>
        <v/>
      </c>
      <c r="N4864">
        <f>IF(L4864="", "", L4864-B4864)</f>
        <v/>
      </c>
      <c r="O4864">
        <f>IF(L4864="", "Pending", IF(N4864&lt;=30, "Met", "Breached"))</f>
        <v/>
      </c>
      <c r="P4864" s="8" t="n"/>
      <c r="Q4864" s="8" t="n"/>
      <c r="R4864" s="8" t="n"/>
      <c r="S4864" s="8" t="n"/>
      <c r="T4864" s="8" t="n"/>
      <c r="U4864" s="8" t="n"/>
      <c r="V4864" s="8" t="n"/>
      <c r="W4864" s="8" t="n"/>
      <c r="X4864" s="8" t="n"/>
      <c r="Y4864" s="8" t="n"/>
    </row>
    <row r="4865">
      <c r="A4865" s="8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9">
        <f>B4865+30</f>
        <v/>
      </c>
      <c r="N4865">
        <f>IF(L4865="", "", L4865-B4865)</f>
        <v/>
      </c>
      <c r="O4865">
        <f>IF(L4865="", "Pending", IF(N4865&lt;=30, "Met", "Breached"))</f>
        <v/>
      </c>
      <c r="P4865" s="8" t="n"/>
      <c r="Q4865" s="8" t="n"/>
      <c r="R4865" s="8" t="n"/>
      <c r="S4865" s="8" t="n"/>
      <c r="T4865" s="8" t="n"/>
      <c r="U4865" s="8" t="n"/>
      <c r="V4865" s="8" t="n"/>
      <c r="W4865" s="8" t="n"/>
      <c r="X4865" s="8" t="n"/>
      <c r="Y4865" s="8" t="n"/>
    </row>
    <row r="4866">
      <c r="A4866" s="8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9">
        <f>B4866+30</f>
        <v/>
      </c>
      <c r="N4866">
        <f>IF(L4866="", "", L4866-B4866)</f>
        <v/>
      </c>
      <c r="O4866">
        <f>IF(L4866="", "Pending", IF(N4866&lt;=30, "Met", "Breached"))</f>
        <v/>
      </c>
      <c r="P4866" s="8" t="n"/>
      <c r="Q4866" s="8" t="n"/>
      <c r="R4866" s="8" t="n"/>
      <c r="S4866" s="8" t="n"/>
      <c r="T4866" s="8" t="n"/>
      <c r="U4866" s="8" t="n"/>
      <c r="V4866" s="8" t="n"/>
      <c r="W4866" s="8" t="n"/>
      <c r="X4866" s="8" t="n"/>
      <c r="Y4866" s="8" t="n"/>
    </row>
    <row r="4867">
      <c r="A4867" s="8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9">
        <f>B4867+30</f>
        <v/>
      </c>
      <c r="N4867">
        <f>IF(L4867="", "", L4867-B4867)</f>
        <v/>
      </c>
      <c r="O4867">
        <f>IF(L4867="", "Pending", IF(N4867&lt;=30, "Met", "Breached"))</f>
        <v/>
      </c>
      <c r="P4867" s="8" t="n"/>
      <c r="Q4867" s="8" t="n"/>
      <c r="R4867" s="8" t="n"/>
      <c r="S4867" s="8" t="n"/>
      <c r="T4867" s="8" t="n"/>
      <c r="U4867" s="8" t="n"/>
      <c r="V4867" s="8" t="n"/>
      <c r="W4867" s="8" t="n"/>
      <c r="X4867" s="8" t="n"/>
      <c r="Y4867" s="8" t="n"/>
    </row>
    <row r="4868">
      <c r="A4868" s="8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9">
        <f>B4868+30</f>
        <v/>
      </c>
      <c r="N4868">
        <f>IF(L4868="", "", L4868-B4868)</f>
        <v/>
      </c>
      <c r="O4868">
        <f>IF(L4868="", "Pending", IF(N4868&lt;=30, "Met", "Breached"))</f>
        <v/>
      </c>
      <c r="P4868" s="8" t="n"/>
      <c r="Q4868" s="8" t="n"/>
      <c r="R4868" s="8" t="n"/>
      <c r="S4868" s="8" t="n"/>
      <c r="T4868" s="8" t="n"/>
      <c r="U4868" s="8" t="n"/>
      <c r="V4868" s="8" t="n"/>
      <c r="W4868" s="8" t="n"/>
      <c r="X4868" s="8" t="n"/>
      <c r="Y4868" s="8" t="n"/>
    </row>
    <row r="4869">
      <c r="A4869" s="8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9">
        <f>B4869+30</f>
        <v/>
      </c>
      <c r="N4869">
        <f>IF(L4869="", "", L4869-B4869)</f>
        <v/>
      </c>
      <c r="O4869">
        <f>IF(L4869="", "Pending", IF(N4869&lt;=30, "Met", "Breached"))</f>
        <v/>
      </c>
      <c r="P4869" s="8" t="n"/>
      <c r="Q4869" s="8" t="n"/>
      <c r="R4869" s="8" t="n"/>
      <c r="S4869" s="8" t="n"/>
      <c r="T4869" s="8" t="n"/>
      <c r="U4869" s="8" t="n"/>
      <c r="V4869" s="8" t="n"/>
      <c r="W4869" s="8" t="n"/>
      <c r="X4869" s="8" t="n"/>
      <c r="Y4869" s="8" t="n"/>
    </row>
    <row r="4870">
      <c r="A4870" s="8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9">
        <f>B4870+30</f>
        <v/>
      </c>
      <c r="N4870">
        <f>IF(L4870="", "", L4870-B4870)</f>
        <v/>
      </c>
      <c r="O4870">
        <f>IF(L4870="", "Pending", IF(N4870&lt;=30, "Met", "Breached"))</f>
        <v/>
      </c>
      <c r="P4870" s="8" t="n"/>
      <c r="Q4870" s="8" t="n"/>
      <c r="R4870" s="8" t="n"/>
      <c r="S4870" s="8" t="n"/>
      <c r="T4870" s="8" t="n"/>
      <c r="U4870" s="8" t="n"/>
      <c r="V4870" s="8" t="n"/>
      <c r="W4870" s="8" t="n"/>
      <c r="X4870" s="8" t="n"/>
      <c r="Y4870" s="8" t="n"/>
    </row>
    <row r="4871">
      <c r="A4871" s="8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9">
        <f>B4871+30</f>
        <v/>
      </c>
      <c r="N4871">
        <f>IF(L4871="", "", L4871-B4871)</f>
        <v/>
      </c>
      <c r="O4871">
        <f>IF(L4871="", "Pending", IF(N4871&lt;=30, "Met", "Breached"))</f>
        <v/>
      </c>
      <c r="P4871" s="8" t="n"/>
      <c r="Q4871" s="8" t="n"/>
      <c r="R4871" s="8" t="n"/>
      <c r="S4871" s="8" t="n"/>
      <c r="T4871" s="8" t="n"/>
      <c r="U4871" s="8" t="n"/>
      <c r="V4871" s="8" t="n"/>
      <c r="W4871" s="8" t="n"/>
      <c r="X4871" s="8" t="n"/>
      <c r="Y4871" s="8" t="n"/>
    </row>
    <row r="4872">
      <c r="A4872" s="8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9">
        <f>B4872+30</f>
        <v/>
      </c>
      <c r="N4872">
        <f>IF(L4872="", "", L4872-B4872)</f>
        <v/>
      </c>
      <c r="O4872">
        <f>IF(L4872="", "Pending", IF(N4872&lt;=30, "Met", "Breached"))</f>
        <v/>
      </c>
      <c r="P4872" s="8" t="n"/>
      <c r="Q4872" s="8" t="n"/>
      <c r="R4872" s="8" t="n"/>
      <c r="S4872" s="8" t="n"/>
      <c r="T4872" s="8" t="n"/>
      <c r="U4872" s="8" t="n"/>
      <c r="V4872" s="8" t="n"/>
      <c r="W4872" s="8" t="n"/>
      <c r="X4872" s="8" t="n"/>
      <c r="Y4872" s="8" t="n"/>
    </row>
    <row r="4873">
      <c r="A4873" s="8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9">
        <f>B4873+30</f>
        <v/>
      </c>
      <c r="N4873">
        <f>IF(L4873="", "", L4873-B4873)</f>
        <v/>
      </c>
      <c r="O4873">
        <f>IF(L4873="", "Pending", IF(N4873&lt;=30, "Met", "Breached"))</f>
        <v/>
      </c>
      <c r="P4873" s="8" t="n"/>
      <c r="Q4873" s="8" t="n"/>
      <c r="R4873" s="8" t="n"/>
      <c r="S4873" s="8" t="n"/>
      <c r="T4873" s="8" t="n"/>
      <c r="U4873" s="8" t="n"/>
      <c r="V4873" s="8" t="n"/>
      <c r="W4873" s="8" t="n"/>
      <c r="X4873" s="8" t="n"/>
      <c r="Y4873" s="8" t="n"/>
    </row>
    <row r="4874">
      <c r="A4874" s="8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9">
        <f>B4874+30</f>
        <v/>
      </c>
      <c r="N4874">
        <f>IF(L4874="", "", L4874-B4874)</f>
        <v/>
      </c>
      <c r="O4874">
        <f>IF(L4874="", "Pending", IF(N4874&lt;=30, "Met", "Breached"))</f>
        <v/>
      </c>
      <c r="P4874" s="8" t="n"/>
      <c r="Q4874" s="8" t="n"/>
      <c r="R4874" s="8" t="n"/>
      <c r="S4874" s="8" t="n"/>
      <c r="T4874" s="8" t="n"/>
      <c r="U4874" s="8" t="n"/>
      <c r="V4874" s="8" t="n"/>
      <c r="W4874" s="8" t="n"/>
      <c r="X4874" s="8" t="n"/>
      <c r="Y4874" s="8" t="n"/>
    </row>
    <row r="4875">
      <c r="A4875" s="8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9">
        <f>B4875+30</f>
        <v/>
      </c>
      <c r="N4875">
        <f>IF(L4875="", "", L4875-B4875)</f>
        <v/>
      </c>
      <c r="O4875">
        <f>IF(L4875="", "Pending", IF(N4875&lt;=30, "Met", "Breached"))</f>
        <v/>
      </c>
      <c r="P4875" s="8" t="n"/>
      <c r="Q4875" s="8" t="n"/>
      <c r="R4875" s="8" t="n"/>
      <c r="S4875" s="8" t="n"/>
      <c r="T4875" s="8" t="n"/>
      <c r="U4875" s="8" t="n"/>
      <c r="V4875" s="8" t="n"/>
      <c r="W4875" s="8" t="n"/>
      <c r="X4875" s="8" t="n"/>
      <c r="Y4875" s="8" t="n"/>
    </row>
    <row r="4876">
      <c r="A4876" s="8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9">
        <f>B4876+30</f>
        <v/>
      </c>
      <c r="N4876">
        <f>IF(L4876="", "", L4876-B4876)</f>
        <v/>
      </c>
      <c r="O4876">
        <f>IF(L4876="", "Pending", IF(N4876&lt;=30, "Met", "Breached"))</f>
        <v/>
      </c>
      <c r="P4876" s="8" t="n"/>
      <c r="Q4876" s="8" t="n"/>
      <c r="R4876" s="8" t="n"/>
      <c r="S4876" s="8" t="n"/>
      <c r="T4876" s="8" t="n"/>
      <c r="U4876" s="8" t="n"/>
      <c r="V4876" s="8" t="n"/>
      <c r="W4876" s="8" t="n"/>
      <c r="X4876" s="8" t="n"/>
      <c r="Y4876" s="8" t="n"/>
    </row>
    <row r="4877">
      <c r="A4877" s="8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9">
        <f>B4877+30</f>
        <v/>
      </c>
      <c r="N4877">
        <f>IF(L4877="", "", L4877-B4877)</f>
        <v/>
      </c>
      <c r="O4877">
        <f>IF(L4877="", "Pending", IF(N4877&lt;=30, "Met", "Breached"))</f>
        <v/>
      </c>
      <c r="P4877" s="8" t="n"/>
      <c r="Q4877" s="8" t="n"/>
      <c r="R4877" s="8" t="n"/>
      <c r="S4877" s="8" t="n"/>
      <c r="T4877" s="8" t="n"/>
      <c r="U4877" s="8" t="n"/>
      <c r="V4877" s="8" t="n"/>
      <c r="W4877" s="8" t="n"/>
      <c r="X4877" s="8" t="n"/>
      <c r="Y4877" s="8" t="n"/>
    </row>
    <row r="4878">
      <c r="A4878" s="8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9">
        <f>B4878+30</f>
        <v/>
      </c>
      <c r="N4878">
        <f>IF(L4878="", "", L4878-B4878)</f>
        <v/>
      </c>
      <c r="O4878">
        <f>IF(L4878="", "Pending", IF(N4878&lt;=30, "Met", "Breached"))</f>
        <v/>
      </c>
      <c r="P4878" s="8" t="n"/>
      <c r="Q4878" s="8" t="n"/>
      <c r="R4878" s="8" t="n"/>
      <c r="S4878" s="8" t="n"/>
      <c r="T4878" s="8" t="n"/>
      <c r="U4878" s="8" t="n"/>
      <c r="V4878" s="8" t="n"/>
      <c r="W4878" s="8" t="n"/>
      <c r="X4878" s="8" t="n"/>
      <c r="Y4878" s="8" t="n"/>
    </row>
    <row r="4879">
      <c r="A4879" s="8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9">
        <f>B4879+30</f>
        <v/>
      </c>
      <c r="N4879">
        <f>IF(L4879="", "", L4879-B4879)</f>
        <v/>
      </c>
      <c r="O4879">
        <f>IF(L4879="", "Pending", IF(N4879&lt;=30, "Met", "Breached"))</f>
        <v/>
      </c>
      <c r="P4879" s="8" t="n"/>
      <c r="Q4879" s="8" t="n"/>
      <c r="R4879" s="8" t="n"/>
      <c r="S4879" s="8" t="n"/>
      <c r="T4879" s="8" t="n"/>
      <c r="U4879" s="8" t="n"/>
      <c r="V4879" s="8" t="n"/>
      <c r="W4879" s="8" t="n"/>
      <c r="X4879" s="8" t="n"/>
      <c r="Y4879" s="8" t="n"/>
    </row>
    <row r="4880">
      <c r="A4880" s="8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9">
        <f>B4880+30</f>
        <v/>
      </c>
      <c r="N4880">
        <f>IF(L4880="", "", L4880-B4880)</f>
        <v/>
      </c>
      <c r="O4880">
        <f>IF(L4880="", "Pending", IF(N4880&lt;=30, "Met", "Breached"))</f>
        <v/>
      </c>
      <c r="P4880" s="8" t="n"/>
      <c r="Q4880" s="8" t="n"/>
      <c r="R4880" s="8" t="n"/>
      <c r="S4880" s="8" t="n"/>
      <c r="T4880" s="8" t="n"/>
      <c r="U4880" s="8" t="n"/>
      <c r="V4880" s="8" t="n"/>
      <c r="W4880" s="8" t="n"/>
      <c r="X4880" s="8" t="n"/>
      <c r="Y4880" s="8" t="n"/>
    </row>
    <row r="4881">
      <c r="A4881" s="8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9">
        <f>B4881+30</f>
        <v/>
      </c>
      <c r="N4881">
        <f>IF(L4881="", "", L4881-B4881)</f>
        <v/>
      </c>
      <c r="O4881">
        <f>IF(L4881="", "Pending", IF(N4881&lt;=30, "Met", "Breached"))</f>
        <v/>
      </c>
      <c r="P4881" s="8" t="n"/>
      <c r="Q4881" s="8" t="n"/>
      <c r="R4881" s="8" t="n"/>
      <c r="S4881" s="8" t="n"/>
      <c r="T4881" s="8" t="n"/>
      <c r="U4881" s="8" t="n"/>
      <c r="V4881" s="8" t="n"/>
      <c r="W4881" s="8" t="n"/>
      <c r="X4881" s="8" t="n"/>
      <c r="Y4881" s="8" t="n"/>
    </row>
    <row r="4882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9">
        <f>B4882+30</f>
        <v/>
      </c>
      <c r="N4882">
        <f>IF(L4882="", "", L4882-B4882)</f>
        <v/>
      </c>
      <c r="O4882">
        <f>IF(L4882="", "Pending", IF(N4882&lt;=30, "Met", "Breached"))</f>
        <v/>
      </c>
      <c r="P4882" s="8" t="n"/>
      <c r="Q4882" s="8" t="n"/>
      <c r="R4882" s="8" t="n"/>
      <c r="S4882" s="8" t="n"/>
      <c r="T4882" s="8" t="n"/>
      <c r="U4882" s="8" t="n"/>
      <c r="V4882" s="8" t="n"/>
      <c r="W4882" s="8" t="n"/>
      <c r="X4882" s="8" t="n"/>
      <c r="Y4882" s="8" t="n"/>
    </row>
    <row r="4883">
      <c r="A4883" s="8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9">
        <f>B4883+30</f>
        <v/>
      </c>
      <c r="N4883">
        <f>IF(L4883="", "", L4883-B4883)</f>
        <v/>
      </c>
      <c r="O4883">
        <f>IF(L4883="", "Pending", IF(N4883&lt;=30, "Met", "Breached"))</f>
        <v/>
      </c>
      <c r="P4883" s="8" t="n"/>
      <c r="Q4883" s="8" t="n"/>
      <c r="R4883" s="8" t="n"/>
      <c r="S4883" s="8" t="n"/>
      <c r="T4883" s="8" t="n"/>
      <c r="U4883" s="8" t="n"/>
      <c r="V4883" s="8" t="n"/>
      <c r="W4883" s="8" t="n"/>
      <c r="X4883" s="8" t="n"/>
      <c r="Y4883" s="8" t="n"/>
    </row>
    <row r="4884">
      <c r="A4884" s="8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9">
        <f>B4884+30</f>
        <v/>
      </c>
      <c r="N4884">
        <f>IF(L4884="", "", L4884-B4884)</f>
        <v/>
      </c>
      <c r="O4884">
        <f>IF(L4884="", "Pending", IF(N4884&lt;=30, "Met", "Breached"))</f>
        <v/>
      </c>
      <c r="P4884" s="8" t="n"/>
      <c r="Q4884" s="8" t="n"/>
      <c r="R4884" s="8" t="n"/>
      <c r="S4884" s="8" t="n"/>
      <c r="T4884" s="8" t="n"/>
      <c r="U4884" s="8" t="n"/>
      <c r="V4884" s="8" t="n"/>
      <c r="W4884" s="8" t="n"/>
      <c r="X4884" s="8" t="n"/>
      <c r="Y4884" s="8" t="n"/>
    </row>
    <row r="4885">
      <c r="A4885" s="8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9">
        <f>B4885+30</f>
        <v/>
      </c>
      <c r="N4885">
        <f>IF(L4885="", "", L4885-B4885)</f>
        <v/>
      </c>
      <c r="O4885">
        <f>IF(L4885="", "Pending", IF(N4885&lt;=30, "Met", "Breached"))</f>
        <v/>
      </c>
      <c r="P4885" s="8" t="n"/>
      <c r="Q4885" s="8" t="n"/>
      <c r="R4885" s="8" t="n"/>
      <c r="S4885" s="8" t="n"/>
      <c r="T4885" s="8" t="n"/>
      <c r="U4885" s="8" t="n"/>
      <c r="V4885" s="8" t="n"/>
      <c r="W4885" s="8" t="n"/>
      <c r="X4885" s="8" t="n"/>
      <c r="Y4885" s="8" t="n"/>
    </row>
    <row r="4886">
      <c r="A4886" s="8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9">
        <f>B4886+30</f>
        <v/>
      </c>
      <c r="N4886">
        <f>IF(L4886="", "", L4886-B4886)</f>
        <v/>
      </c>
      <c r="O4886">
        <f>IF(L4886="", "Pending", IF(N4886&lt;=30, "Met", "Breached"))</f>
        <v/>
      </c>
      <c r="P4886" s="8" t="n"/>
      <c r="Q4886" s="8" t="n"/>
      <c r="R4886" s="8" t="n"/>
      <c r="S4886" s="8" t="n"/>
      <c r="T4886" s="8" t="n"/>
      <c r="U4886" s="8" t="n"/>
      <c r="V4886" s="8" t="n"/>
      <c r="W4886" s="8" t="n"/>
      <c r="X4886" s="8" t="n"/>
      <c r="Y4886" s="8" t="n"/>
    </row>
    <row r="4887">
      <c r="A4887" s="8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9">
        <f>B4887+30</f>
        <v/>
      </c>
      <c r="N4887">
        <f>IF(L4887="", "", L4887-B4887)</f>
        <v/>
      </c>
      <c r="O4887">
        <f>IF(L4887="", "Pending", IF(N4887&lt;=30, "Met", "Breached"))</f>
        <v/>
      </c>
      <c r="P4887" s="8" t="n"/>
      <c r="Q4887" s="8" t="n"/>
      <c r="R4887" s="8" t="n"/>
      <c r="S4887" s="8" t="n"/>
      <c r="T4887" s="8" t="n"/>
      <c r="U4887" s="8" t="n"/>
      <c r="V4887" s="8" t="n"/>
      <c r="W4887" s="8" t="n"/>
      <c r="X4887" s="8" t="n"/>
      <c r="Y4887" s="8" t="n"/>
    </row>
    <row r="4888">
      <c r="A4888" s="8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9">
        <f>B4888+30</f>
        <v/>
      </c>
      <c r="N4888">
        <f>IF(L4888="", "", L4888-B4888)</f>
        <v/>
      </c>
      <c r="O4888">
        <f>IF(L4888="", "Pending", IF(N4888&lt;=30, "Met", "Breached"))</f>
        <v/>
      </c>
      <c r="P4888" s="8" t="n"/>
      <c r="Q4888" s="8" t="n"/>
      <c r="R4888" s="8" t="n"/>
      <c r="S4888" s="8" t="n"/>
      <c r="T4888" s="8" t="n"/>
      <c r="U4888" s="8" t="n"/>
      <c r="V4888" s="8" t="n"/>
      <c r="W4888" s="8" t="n"/>
      <c r="X4888" s="8" t="n"/>
      <c r="Y4888" s="8" t="n"/>
    </row>
    <row r="4889">
      <c r="A4889" s="8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9">
        <f>B4889+30</f>
        <v/>
      </c>
      <c r="N4889">
        <f>IF(L4889="", "", L4889-B4889)</f>
        <v/>
      </c>
      <c r="O4889">
        <f>IF(L4889="", "Pending", IF(N4889&lt;=30, "Met", "Breached"))</f>
        <v/>
      </c>
      <c r="P4889" s="8" t="n"/>
      <c r="Q4889" s="8" t="n"/>
      <c r="R4889" s="8" t="n"/>
      <c r="S4889" s="8" t="n"/>
      <c r="T4889" s="8" t="n"/>
      <c r="U4889" s="8" t="n"/>
      <c r="V4889" s="8" t="n"/>
      <c r="W4889" s="8" t="n"/>
      <c r="X4889" s="8" t="n"/>
      <c r="Y4889" s="8" t="n"/>
    </row>
    <row r="4890">
      <c r="A4890" s="8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9">
        <f>B4890+30</f>
        <v/>
      </c>
      <c r="N4890">
        <f>IF(L4890="", "", L4890-B4890)</f>
        <v/>
      </c>
      <c r="O4890">
        <f>IF(L4890="", "Pending", IF(N4890&lt;=30, "Met", "Breached"))</f>
        <v/>
      </c>
      <c r="P4890" s="8" t="n"/>
      <c r="Q4890" s="8" t="n"/>
      <c r="R4890" s="8" t="n"/>
      <c r="S4890" s="8" t="n"/>
      <c r="T4890" s="8" t="n"/>
      <c r="U4890" s="8" t="n"/>
      <c r="V4890" s="8" t="n"/>
      <c r="W4890" s="8" t="n"/>
      <c r="X4890" s="8" t="n"/>
      <c r="Y4890" s="8" t="n"/>
    </row>
    <row r="4891">
      <c r="A4891" s="8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9">
        <f>B4891+30</f>
        <v/>
      </c>
      <c r="N4891">
        <f>IF(L4891="", "", L4891-B4891)</f>
        <v/>
      </c>
      <c r="O4891">
        <f>IF(L4891="", "Pending", IF(N4891&lt;=30, "Met", "Breached"))</f>
        <v/>
      </c>
      <c r="P4891" s="8" t="n"/>
      <c r="Q4891" s="8" t="n"/>
      <c r="R4891" s="8" t="n"/>
      <c r="S4891" s="8" t="n"/>
      <c r="T4891" s="8" t="n"/>
      <c r="U4891" s="8" t="n"/>
      <c r="V4891" s="8" t="n"/>
      <c r="W4891" s="8" t="n"/>
      <c r="X4891" s="8" t="n"/>
      <c r="Y4891" s="8" t="n"/>
    </row>
    <row r="4892">
      <c r="A4892" s="8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9">
        <f>B4892+30</f>
        <v/>
      </c>
      <c r="N4892">
        <f>IF(L4892="", "", L4892-B4892)</f>
        <v/>
      </c>
      <c r="O4892">
        <f>IF(L4892="", "Pending", IF(N4892&lt;=30, "Met", "Breached"))</f>
        <v/>
      </c>
      <c r="P4892" s="8" t="n"/>
      <c r="Q4892" s="8" t="n"/>
      <c r="R4892" s="8" t="n"/>
      <c r="S4892" s="8" t="n"/>
      <c r="T4892" s="8" t="n"/>
      <c r="U4892" s="8" t="n"/>
      <c r="V4892" s="8" t="n"/>
      <c r="W4892" s="8" t="n"/>
      <c r="X4892" s="8" t="n"/>
      <c r="Y4892" s="8" t="n"/>
    </row>
    <row r="4893">
      <c r="A4893" s="8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9">
        <f>B4893+30</f>
        <v/>
      </c>
      <c r="N4893">
        <f>IF(L4893="", "", L4893-B4893)</f>
        <v/>
      </c>
      <c r="O4893">
        <f>IF(L4893="", "Pending", IF(N4893&lt;=30, "Met", "Breached"))</f>
        <v/>
      </c>
      <c r="P4893" s="8" t="n"/>
      <c r="Q4893" s="8" t="n"/>
      <c r="R4893" s="8" t="n"/>
      <c r="S4893" s="8" t="n"/>
      <c r="T4893" s="8" t="n"/>
      <c r="U4893" s="8" t="n"/>
      <c r="V4893" s="8" t="n"/>
      <c r="W4893" s="8" t="n"/>
      <c r="X4893" s="8" t="n"/>
      <c r="Y4893" s="8" t="n"/>
    </row>
    <row r="4894">
      <c r="A4894" s="8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9">
        <f>B4894+30</f>
        <v/>
      </c>
      <c r="N4894">
        <f>IF(L4894="", "", L4894-B4894)</f>
        <v/>
      </c>
      <c r="O4894">
        <f>IF(L4894="", "Pending", IF(N4894&lt;=30, "Met", "Breached"))</f>
        <v/>
      </c>
      <c r="P4894" s="8" t="n"/>
      <c r="Q4894" s="8" t="n"/>
      <c r="R4894" s="8" t="n"/>
      <c r="S4894" s="8" t="n"/>
      <c r="T4894" s="8" t="n"/>
      <c r="U4894" s="8" t="n"/>
      <c r="V4894" s="8" t="n"/>
      <c r="W4894" s="8" t="n"/>
      <c r="X4894" s="8" t="n"/>
      <c r="Y4894" s="8" t="n"/>
    </row>
    <row r="4895">
      <c r="A4895" s="8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9">
        <f>B4895+30</f>
        <v/>
      </c>
      <c r="N4895">
        <f>IF(L4895="", "", L4895-B4895)</f>
        <v/>
      </c>
      <c r="O4895">
        <f>IF(L4895="", "Pending", IF(N4895&lt;=30, "Met", "Breached"))</f>
        <v/>
      </c>
      <c r="P4895" s="8" t="n"/>
      <c r="Q4895" s="8" t="n"/>
      <c r="R4895" s="8" t="n"/>
      <c r="S4895" s="8" t="n"/>
      <c r="T4895" s="8" t="n"/>
      <c r="U4895" s="8" t="n"/>
      <c r="V4895" s="8" t="n"/>
      <c r="W4895" s="8" t="n"/>
      <c r="X4895" s="8" t="n"/>
      <c r="Y4895" s="8" t="n"/>
    </row>
    <row r="4896">
      <c r="A4896" s="8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9">
        <f>B4896+30</f>
        <v/>
      </c>
      <c r="N4896">
        <f>IF(L4896="", "", L4896-B4896)</f>
        <v/>
      </c>
      <c r="O4896">
        <f>IF(L4896="", "Pending", IF(N4896&lt;=30, "Met", "Breached"))</f>
        <v/>
      </c>
      <c r="P4896" s="8" t="n"/>
      <c r="Q4896" s="8" t="n"/>
      <c r="R4896" s="8" t="n"/>
      <c r="S4896" s="8" t="n"/>
      <c r="T4896" s="8" t="n"/>
      <c r="U4896" s="8" t="n"/>
      <c r="V4896" s="8" t="n"/>
      <c r="W4896" s="8" t="n"/>
      <c r="X4896" s="8" t="n"/>
      <c r="Y4896" s="8" t="n"/>
    </row>
    <row r="4897">
      <c r="A4897" s="8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9">
        <f>B4897+30</f>
        <v/>
      </c>
      <c r="N4897">
        <f>IF(L4897="", "", L4897-B4897)</f>
        <v/>
      </c>
      <c r="O4897">
        <f>IF(L4897="", "Pending", IF(N4897&lt;=30, "Met", "Breached"))</f>
        <v/>
      </c>
      <c r="P4897" s="8" t="n"/>
      <c r="Q4897" s="8" t="n"/>
      <c r="R4897" s="8" t="n"/>
      <c r="S4897" s="8" t="n"/>
      <c r="T4897" s="8" t="n"/>
      <c r="U4897" s="8" t="n"/>
      <c r="V4897" s="8" t="n"/>
      <c r="W4897" s="8" t="n"/>
      <c r="X4897" s="8" t="n"/>
      <c r="Y4897" s="8" t="n"/>
    </row>
    <row r="4898">
      <c r="A4898" s="8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9">
        <f>B4898+30</f>
        <v/>
      </c>
      <c r="N4898">
        <f>IF(L4898="", "", L4898-B4898)</f>
        <v/>
      </c>
      <c r="O4898">
        <f>IF(L4898="", "Pending", IF(N4898&lt;=30, "Met", "Breached"))</f>
        <v/>
      </c>
      <c r="P4898" s="8" t="n"/>
      <c r="Q4898" s="8" t="n"/>
      <c r="R4898" s="8" t="n"/>
      <c r="S4898" s="8" t="n"/>
      <c r="T4898" s="8" t="n"/>
      <c r="U4898" s="8" t="n"/>
      <c r="V4898" s="8" t="n"/>
      <c r="W4898" s="8" t="n"/>
      <c r="X4898" s="8" t="n"/>
      <c r="Y4898" s="8" t="n"/>
    </row>
    <row r="4899">
      <c r="A4899" s="8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9">
        <f>B4899+30</f>
        <v/>
      </c>
      <c r="N4899">
        <f>IF(L4899="", "", L4899-B4899)</f>
        <v/>
      </c>
      <c r="O4899">
        <f>IF(L4899="", "Pending", IF(N4899&lt;=30, "Met", "Breached"))</f>
        <v/>
      </c>
      <c r="P4899" s="8" t="n"/>
      <c r="Q4899" s="8" t="n"/>
      <c r="R4899" s="8" t="n"/>
      <c r="S4899" s="8" t="n"/>
      <c r="T4899" s="8" t="n"/>
      <c r="U4899" s="8" t="n"/>
      <c r="V4899" s="8" t="n"/>
      <c r="W4899" s="8" t="n"/>
      <c r="X4899" s="8" t="n"/>
      <c r="Y4899" s="8" t="n"/>
    </row>
    <row r="4900">
      <c r="A4900" s="8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9">
        <f>B4900+30</f>
        <v/>
      </c>
      <c r="N4900">
        <f>IF(L4900="", "", L4900-B4900)</f>
        <v/>
      </c>
      <c r="O4900">
        <f>IF(L4900="", "Pending", IF(N4900&lt;=30, "Met", "Breached"))</f>
        <v/>
      </c>
      <c r="P4900" s="8" t="n"/>
      <c r="Q4900" s="8" t="n"/>
      <c r="R4900" s="8" t="n"/>
      <c r="S4900" s="8" t="n"/>
      <c r="T4900" s="8" t="n"/>
      <c r="U4900" s="8" t="n"/>
      <c r="V4900" s="8" t="n"/>
      <c r="W4900" s="8" t="n"/>
      <c r="X4900" s="8" t="n"/>
      <c r="Y4900" s="8" t="n"/>
    </row>
    <row r="4901">
      <c r="A4901" s="8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9">
        <f>B4901+30</f>
        <v/>
      </c>
      <c r="N4901">
        <f>IF(L4901="", "", L4901-B4901)</f>
        <v/>
      </c>
      <c r="O4901">
        <f>IF(L4901="", "Pending", IF(N4901&lt;=30, "Met", "Breached"))</f>
        <v/>
      </c>
      <c r="P4901" s="8" t="n"/>
      <c r="Q4901" s="8" t="n"/>
      <c r="R4901" s="8" t="n"/>
      <c r="S4901" s="8" t="n"/>
      <c r="T4901" s="8" t="n"/>
      <c r="U4901" s="8" t="n"/>
      <c r="V4901" s="8" t="n"/>
      <c r="W4901" s="8" t="n"/>
      <c r="X4901" s="8" t="n"/>
      <c r="Y4901" s="8" t="n"/>
    </row>
    <row r="4902">
      <c r="A4902" s="8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9">
        <f>B4902+30</f>
        <v/>
      </c>
      <c r="N4902">
        <f>IF(L4902="", "", L4902-B4902)</f>
        <v/>
      </c>
      <c r="O4902">
        <f>IF(L4902="", "Pending", IF(N4902&lt;=30, "Met", "Breached"))</f>
        <v/>
      </c>
      <c r="P4902" s="8" t="n"/>
      <c r="Q4902" s="8" t="n"/>
      <c r="R4902" s="8" t="n"/>
      <c r="S4902" s="8" t="n"/>
      <c r="T4902" s="8" t="n"/>
      <c r="U4902" s="8" t="n"/>
      <c r="V4902" s="8" t="n"/>
      <c r="W4902" s="8" t="n"/>
      <c r="X4902" s="8" t="n"/>
      <c r="Y4902" s="8" t="n"/>
    </row>
    <row r="4903">
      <c r="A4903" s="8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9">
        <f>B4903+30</f>
        <v/>
      </c>
      <c r="N4903">
        <f>IF(L4903="", "", L4903-B4903)</f>
        <v/>
      </c>
      <c r="O4903">
        <f>IF(L4903="", "Pending", IF(N4903&lt;=30, "Met", "Breached"))</f>
        <v/>
      </c>
      <c r="P4903" s="8" t="n"/>
      <c r="Q4903" s="8" t="n"/>
      <c r="R4903" s="8" t="n"/>
      <c r="S4903" s="8" t="n"/>
      <c r="T4903" s="8" t="n"/>
      <c r="U4903" s="8" t="n"/>
      <c r="V4903" s="8" t="n"/>
      <c r="W4903" s="8" t="n"/>
      <c r="X4903" s="8" t="n"/>
      <c r="Y4903" s="8" t="n"/>
    </row>
    <row r="4904">
      <c r="A4904" s="8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9">
        <f>B4904+30</f>
        <v/>
      </c>
      <c r="N4904">
        <f>IF(L4904="", "", L4904-B4904)</f>
        <v/>
      </c>
      <c r="O4904">
        <f>IF(L4904="", "Pending", IF(N4904&lt;=30, "Met", "Breached"))</f>
        <v/>
      </c>
      <c r="P4904" s="8" t="n"/>
      <c r="Q4904" s="8" t="n"/>
      <c r="R4904" s="8" t="n"/>
      <c r="S4904" s="8" t="n"/>
      <c r="T4904" s="8" t="n"/>
      <c r="U4904" s="8" t="n"/>
      <c r="V4904" s="8" t="n"/>
      <c r="W4904" s="8" t="n"/>
      <c r="X4904" s="8" t="n"/>
      <c r="Y4904" s="8" t="n"/>
    </row>
    <row r="4905">
      <c r="A4905" s="8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9">
        <f>B4905+30</f>
        <v/>
      </c>
      <c r="N4905">
        <f>IF(L4905="", "", L4905-B4905)</f>
        <v/>
      </c>
      <c r="O4905">
        <f>IF(L4905="", "Pending", IF(N4905&lt;=30, "Met", "Breached"))</f>
        <v/>
      </c>
      <c r="P4905" s="8" t="n"/>
      <c r="Q4905" s="8" t="n"/>
      <c r="R4905" s="8" t="n"/>
      <c r="S4905" s="8" t="n"/>
      <c r="T4905" s="8" t="n"/>
      <c r="U4905" s="8" t="n"/>
      <c r="V4905" s="8" t="n"/>
      <c r="W4905" s="8" t="n"/>
      <c r="X4905" s="8" t="n"/>
      <c r="Y4905" s="8" t="n"/>
    </row>
    <row r="4906">
      <c r="A4906" s="8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9">
        <f>B4906+30</f>
        <v/>
      </c>
      <c r="N4906">
        <f>IF(L4906="", "", L4906-B4906)</f>
        <v/>
      </c>
      <c r="O4906">
        <f>IF(L4906="", "Pending", IF(N4906&lt;=30, "Met", "Breached"))</f>
        <v/>
      </c>
      <c r="P4906" s="8" t="n"/>
      <c r="Q4906" s="8" t="n"/>
      <c r="R4906" s="8" t="n"/>
      <c r="S4906" s="8" t="n"/>
      <c r="T4906" s="8" t="n"/>
      <c r="U4906" s="8" t="n"/>
      <c r="V4906" s="8" t="n"/>
      <c r="W4906" s="8" t="n"/>
      <c r="X4906" s="8" t="n"/>
      <c r="Y4906" s="8" t="n"/>
    </row>
    <row r="4907">
      <c r="A4907" s="8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9">
        <f>B4907+30</f>
        <v/>
      </c>
      <c r="N4907">
        <f>IF(L4907="", "", L4907-B4907)</f>
        <v/>
      </c>
      <c r="O4907">
        <f>IF(L4907="", "Pending", IF(N4907&lt;=30, "Met", "Breached"))</f>
        <v/>
      </c>
      <c r="P4907" s="8" t="n"/>
      <c r="Q4907" s="8" t="n"/>
      <c r="R4907" s="8" t="n"/>
      <c r="S4907" s="8" t="n"/>
      <c r="T4907" s="8" t="n"/>
      <c r="U4907" s="8" t="n"/>
      <c r="V4907" s="8" t="n"/>
      <c r="W4907" s="8" t="n"/>
      <c r="X4907" s="8" t="n"/>
      <c r="Y4907" s="8" t="n"/>
    </row>
    <row r="4908">
      <c r="A4908" s="8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9">
        <f>B4908+30</f>
        <v/>
      </c>
      <c r="N4908">
        <f>IF(L4908="", "", L4908-B4908)</f>
        <v/>
      </c>
      <c r="O4908">
        <f>IF(L4908="", "Pending", IF(N4908&lt;=30, "Met", "Breached"))</f>
        <v/>
      </c>
      <c r="P4908" s="8" t="n"/>
      <c r="Q4908" s="8" t="n"/>
      <c r="R4908" s="8" t="n"/>
      <c r="S4908" s="8" t="n"/>
      <c r="T4908" s="8" t="n"/>
      <c r="U4908" s="8" t="n"/>
      <c r="V4908" s="8" t="n"/>
      <c r="W4908" s="8" t="n"/>
      <c r="X4908" s="8" t="n"/>
      <c r="Y4908" s="8" t="n"/>
    </row>
    <row r="4909">
      <c r="A4909" s="8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9">
        <f>B4909+30</f>
        <v/>
      </c>
      <c r="N4909">
        <f>IF(L4909="", "", L4909-B4909)</f>
        <v/>
      </c>
      <c r="O4909">
        <f>IF(L4909="", "Pending", IF(N4909&lt;=30, "Met", "Breached"))</f>
        <v/>
      </c>
      <c r="P4909" s="8" t="n"/>
      <c r="Q4909" s="8" t="n"/>
      <c r="R4909" s="8" t="n"/>
      <c r="S4909" s="8" t="n"/>
      <c r="T4909" s="8" t="n"/>
      <c r="U4909" s="8" t="n"/>
      <c r="V4909" s="8" t="n"/>
      <c r="W4909" s="8" t="n"/>
      <c r="X4909" s="8" t="n"/>
      <c r="Y4909" s="8" t="n"/>
    </row>
    <row r="4910">
      <c r="A4910" s="8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9">
        <f>B4910+30</f>
        <v/>
      </c>
      <c r="N4910">
        <f>IF(L4910="", "", L4910-B4910)</f>
        <v/>
      </c>
      <c r="O4910">
        <f>IF(L4910="", "Pending", IF(N4910&lt;=30, "Met", "Breached"))</f>
        <v/>
      </c>
      <c r="P4910" s="8" t="n"/>
      <c r="Q4910" s="8" t="n"/>
      <c r="R4910" s="8" t="n"/>
      <c r="S4910" s="8" t="n"/>
      <c r="T4910" s="8" t="n"/>
      <c r="U4910" s="8" t="n"/>
      <c r="V4910" s="8" t="n"/>
      <c r="W4910" s="8" t="n"/>
      <c r="X4910" s="8" t="n"/>
      <c r="Y4910" s="8" t="n"/>
    </row>
    <row r="4911">
      <c r="A4911" s="8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9">
        <f>B4911+30</f>
        <v/>
      </c>
      <c r="N4911">
        <f>IF(L4911="", "", L4911-B4911)</f>
        <v/>
      </c>
      <c r="O4911">
        <f>IF(L4911="", "Pending", IF(N4911&lt;=30, "Met", "Breached"))</f>
        <v/>
      </c>
      <c r="P4911" s="8" t="n"/>
      <c r="Q4911" s="8" t="n"/>
      <c r="R4911" s="8" t="n"/>
      <c r="S4911" s="8" t="n"/>
      <c r="T4911" s="8" t="n"/>
      <c r="U4911" s="8" t="n"/>
      <c r="V4911" s="8" t="n"/>
      <c r="W4911" s="8" t="n"/>
      <c r="X4911" s="8" t="n"/>
      <c r="Y4911" s="8" t="n"/>
    </row>
    <row r="4912">
      <c r="A4912" s="8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9">
        <f>B4912+30</f>
        <v/>
      </c>
      <c r="N4912">
        <f>IF(L4912="", "", L4912-B4912)</f>
        <v/>
      </c>
      <c r="O4912">
        <f>IF(L4912="", "Pending", IF(N4912&lt;=30, "Met", "Breached"))</f>
        <v/>
      </c>
      <c r="P4912" s="8" t="n"/>
      <c r="Q4912" s="8" t="n"/>
      <c r="R4912" s="8" t="n"/>
      <c r="S4912" s="8" t="n"/>
      <c r="T4912" s="8" t="n"/>
      <c r="U4912" s="8" t="n"/>
      <c r="V4912" s="8" t="n"/>
      <c r="W4912" s="8" t="n"/>
      <c r="X4912" s="8" t="n"/>
      <c r="Y4912" s="8" t="n"/>
    </row>
    <row r="4913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9">
        <f>B4913+30</f>
        <v/>
      </c>
      <c r="N4913">
        <f>IF(L4913="", "", L4913-B4913)</f>
        <v/>
      </c>
      <c r="O4913">
        <f>IF(L4913="", "Pending", IF(N4913&lt;=30, "Met", "Breached"))</f>
        <v/>
      </c>
      <c r="P4913" s="8" t="n"/>
      <c r="Q4913" s="8" t="n"/>
      <c r="R4913" s="8" t="n"/>
      <c r="S4913" s="8" t="n"/>
      <c r="T4913" s="8" t="n"/>
      <c r="U4913" s="8" t="n"/>
      <c r="V4913" s="8" t="n"/>
      <c r="W4913" s="8" t="n"/>
      <c r="X4913" s="8" t="n"/>
      <c r="Y4913" s="8" t="n"/>
    </row>
    <row r="4914">
      <c r="A4914" s="8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9">
        <f>B4914+30</f>
        <v/>
      </c>
      <c r="N4914">
        <f>IF(L4914="", "", L4914-B4914)</f>
        <v/>
      </c>
      <c r="O4914">
        <f>IF(L4914="", "Pending", IF(N4914&lt;=30, "Met", "Breached"))</f>
        <v/>
      </c>
      <c r="P4914" s="8" t="n"/>
      <c r="Q4914" s="8" t="n"/>
      <c r="R4914" s="8" t="n"/>
      <c r="S4914" s="8" t="n"/>
      <c r="T4914" s="8" t="n"/>
      <c r="U4914" s="8" t="n"/>
      <c r="V4914" s="8" t="n"/>
      <c r="W4914" s="8" t="n"/>
      <c r="X4914" s="8" t="n"/>
      <c r="Y4914" s="8" t="n"/>
    </row>
    <row r="4915">
      <c r="A4915" s="8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9">
        <f>B4915+30</f>
        <v/>
      </c>
      <c r="N4915">
        <f>IF(L4915="", "", L4915-B4915)</f>
        <v/>
      </c>
      <c r="O4915">
        <f>IF(L4915="", "Pending", IF(N4915&lt;=30, "Met", "Breached"))</f>
        <v/>
      </c>
      <c r="P4915" s="8" t="n"/>
      <c r="Q4915" s="8" t="n"/>
      <c r="R4915" s="8" t="n"/>
      <c r="S4915" s="8" t="n"/>
      <c r="T4915" s="8" t="n"/>
      <c r="U4915" s="8" t="n"/>
      <c r="V4915" s="8" t="n"/>
      <c r="W4915" s="8" t="n"/>
      <c r="X4915" s="8" t="n"/>
      <c r="Y4915" s="8" t="n"/>
    </row>
    <row r="4916">
      <c r="A4916" s="8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9">
        <f>B4916+30</f>
        <v/>
      </c>
      <c r="N4916">
        <f>IF(L4916="", "", L4916-B4916)</f>
        <v/>
      </c>
      <c r="O4916">
        <f>IF(L4916="", "Pending", IF(N4916&lt;=30, "Met", "Breached"))</f>
        <v/>
      </c>
      <c r="P4916" s="8" t="n"/>
      <c r="Q4916" s="8" t="n"/>
      <c r="R4916" s="8" t="n"/>
      <c r="S4916" s="8" t="n"/>
      <c r="T4916" s="8" t="n"/>
      <c r="U4916" s="8" t="n"/>
      <c r="V4916" s="8" t="n"/>
      <c r="W4916" s="8" t="n"/>
      <c r="X4916" s="8" t="n"/>
      <c r="Y4916" s="8" t="n"/>
    </row>
    <row r="4917">
      <c r="A4917" s="8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9">
        <f>B4917+30</f>
        <v/>
      </c>
      <c r="N4917">
        <f>IF(L4917="", "", L4917-B4917)</f>
        <v/>
      </c>
      <c r="O4917">
        <f>IF(L4917="", "Pending", IF(N4917&lt;=30, "Met", "Breached"))</f>
        <v/>
      </c>
      <c r="P4917" s="8" t="n"/>
      <c r="Q4917" s="8" t="n"/>
      <c r="R4917" s="8" t="n"/>
      <c r="S4917" s="8" t="n"/>
      <c r="T4917" s="8" t="n"/>
      <c r="U4917" s="8" t="n"/>
      <c r="V4917" s="8" t="n"/>
      <c r="W4917" s="8" t="n"/>
      <c r="X4917" s="8" t="n"/>
      <c r="Y4917" s="8" t="n"/>
    </row>
    <row r="4918">
      <c r="A4918" s="8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9">
        <f>B4918+30</f>
        <v/>
      </c>
      <c r="N4918">
        <f>IF(L4918="", "", L4918-B4918)</f>
        <v/>
      </c>
      <c r="O4918">
        <f>IF(L4918="", "Pending", IF(N4918&lt;=30, "Met", "Breached"))</f>
        <v/>
      </c>
      <c r="P4918" s="8" t="n"/>
      <c r="Q4918" s="8" t="n"/>
      <c r="R4918" s="8" t="n"/>
      <c r="S4918" s="8" t="n"/>
      <c r="T4918" s="8" t="n"/>
      <c r="U4918" s="8" t="n"/>
      <c r="V4918" s="8" t="n"/>
      <c r="W4918" s="8" t="n"/>
      <c r="X4918" s="8" t="n"/>
      <c r="Y4918" s="8" t="n"/>
    </row>
    <row r="4919">
      <c r="A4919" s="8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9">
        <f>B4919+30</f>
        <v/>
      </c>
      <c r="N4919">
        <f>IF(L4919="", "", L4919-B4919)</f>
        <v/>
      </c>
      <c r="O4919">
        <f>IF(L4919="", "Pending", IF(N4919&lt;=30, "Met", "Breached"))</f>
        <v/>
      </c>
      <c r="P4919" s="8" t="n"/>
      <c r="Q4919" s="8" t="n"/>
      <c r="R4919" s="8" t="n"/>
      <c r="S4919" s="8" t="n"/>
      <c r="T4919" s="8" t="n"/>
      <c r="U4919" s="8" t="n"/>
      <c r="V4919" s="8" t="n"/>
      <c r="W4919" s="8" t="n"/>
      <c r="X4919" s="8" t="n"/>
      <c r="Y4919" s="8" t="n"/>
    </row>
    <row r="4920">
      <c r="A4920" s="8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9">
        <f>B4920+30</f>
        <v/>
      </c>
      <c r="N4920">
        <f>IF(L4920="", "", L4920-B4920)</f>
        <v/>
      </c>
      <c r="O4920">
        <f>IF(L4920="", "Pending", IF(N4920&lt;=30, "Met", "Breached"))</f>
        <v/>
      </c>
      <c r="P4920" s="8" t="n"/>
      <c r="Q4920" s="8" t="n"/>
      <c r="R4920" s="8" t="n"/>
      <c r="S4920" s="8" t="n"/>
      <c r="T4920" s="8" t="n"/>
      <c r="U4920" s="8" t="n"/>
      <c r="V4920" s="8" t="n"/>
      <c r="W4920" s="8" t="n"/>
      <c r="X4920" s="8" t="n"/>
      <c r="Y4920" s="8" t="n"/>
    </row>
    <row r="4921">
      <c r="A4921" s="8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9">
        <f>B4921+30</f>
        <v/>
      </c>
      <c r="N4921">
        <f>IF(L4921="", "", L4921-B4921)</f>
        <v/>
      </c>
      <c r="O4921">
        <f>IF(L4921="", "Pending", IF(N4921&lt;=30, "Met", "Breached"))</f>
        <v/>
      </c>
      <c r="P4921" s="8" t="n"/>
      <c r="Q4921" s="8" t="n"/>
      <c r="R4921" s="8" t="n"/>
      <c r="S4921" s="8" t="n"/>
      <c r="T4921" s="8" t="n"/>
      <c r="U4921" s="8" t="n"/>
      <c r="V4921" s="8" t="n"/>
      <c r="W4921" s="8" t="n"/>
      <c r="X4921" s="8" t="n"/>
      <c r="Y4921" s="8" t="n"/>
    </row>
    <row r="4922">
      <c r="A4922" s="8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9">
        <f>B4922+30</f>
        <v/>
      </c>
      <c r="N4922">
        <f>IF(L4922="", "", L4922-B4922)</f>
        <v/>
      </c>
      <c r="O4922">
        <f>IF(L4922="", "Pending", IF(N4922&lt;=30, "Met", "Breached"))</f>
        <v/>
      </c>
      <c r="P4922" s="8" t="n"/>
      <c r="Q4922" s="8" t="n"/>
      <c r="R4922" s="8" t="n"/>
      <c r="S4922" s="8" t="n"/>
      <c r="T4922" s="8" t="n"/>
      <c r="U4922" s="8" t="n"/>
      <c r="V4922" s="8" t="n"/>
      <c r="W4922" s="8" t="n"/>
      <c r="X4922" s="8" t="n"/>
      <c r="Y4922" s="8" t="n"/>
    </row>
    <row r="4923">
      <c r="A4923" s="8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9">
        <f>B4923+30</f>
        <v/>
      </c>
      <c r="N4923">
        <f>IF(L4923="", "", L4923-B4923)</f>
        <v/>
      </c>
      <c r="O4923">
        <f>IF(L4923="", "Pending", IF(N4923&lt;=30, "Met", "Breached"))</f>
        <v/>
      </c>
      <c r="P4923" s="8" t="n"/>
      <c r="Q4923" s="8" t="n"/>
      <c r="R4923" s="8" t="n"/>
      <c r="S4923" s="8" t="n"/>
      <c r="T4923" s="8" t="n"/>
      <c r="U4923" s="8" t="n"/>
      <c r="V4923" s="8" t="n"/>
      <c r="W4923" s="8" t="n"/>
      <c r="X4923" s="8" t="n"/>
      <c r="Y4923" s="8" t="n"/>
    </row>
    <row r="4924">
      <c r="A4924" s="8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9">
        <f>B4924+30</f>
        <v/>
      </c>
      <c r="N4924">
        <f>IF(L4924="", "", L4924-B4924)</f>
        <v/>
      </c>
      <c r="O4924">
        <f>IF(L4924="", "Pending", IF(N4924&lt;=30, "Met", "Breached"))</f>
        <v/>
      </c>
      <c r="P4924" s="8" t="n"/>
      <c r="Q4924" s="8" t="n"/>
      <c r="R4924" s="8" t="n"/>
      <c r="S4924" s="8" t="n"/>
      <c r="T4924" s="8" t="n"/>
      <c r="U4924" s="8" t="n"/>
      <c r="V4924" s="8" t="n"/>
      <c r="W4924" s="8" t="n"/>
      <c r="X4924" s="8" t="n"/>
      <c r="Y4924" s="8" t="n"/>
    </row>
    <row r="4925">
      <c r="A4925" s="8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9">
        <f>B4925+30</f>
        <v/>
      </c>
      <c r="N4925">
        <f>IF(L4925="", "", L4925-B4925)</f>
        <v/>
      </c>
      <c r="O4925">
        <f>IF(L4925="", "Pending", IF(N4925&lt;=30, "Met", "Breached"))</f>
        <v/>
      </c>
      <c r="P4925" s="8" t="n"/>
      <c r="Q4925" s="8" t="n"/>
      <c r="R4925" s="8" t="n"/>
      <c r="S4925" s="8" t="n"/>
      <c r="T4925" s="8" t="n"/>
      <c r="U4925" s="8" t="n"/>
      <c r="V4925" s="8" t="n"/>
      <c r="W4925" s="8" t="n"/>
      <c r="X4925" s="8" t="n"/>
      <c r="Y4925" s="8" t="n"/>
    </row>
    <row r="4926">
      <c r="A4926" s="8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9">
        <f>B4926+30</f>
        <v/>
      </c>
      <c r="N4926">
        <f>IF(L4926="", "", L4926-B4926)</f>
        <v/>
      </c>
      <c r="O4926">
        <f>IF(L4926="", "Pending", IF(N4926&lt;=30, "Met", "Breached"))</f>
        <v/>
      </c>
      <c r="P4926" s="8" t="n"/>
      <c r="Q4926" s="8" t="n"/>
      <c r="R4926" s="8" t="n"/>
      <c r="S4926" s="8" t="n"/>
      <c r="T4926" s="8" t="n"/>
      <c r="U4926" s="8" t="n"/>
      <c r="V4926" s="8" t="n"/>
      <c r="W4926" s="8" t="n"/>
      <c r="X4926" s="8" t="n"/>
      <c r="Y4926" s="8" t="n"/>
    </row>
    <row r="4927">
      <c r="A4927" s="8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9">
        <f>B4927+30</f>
        <v/>
      </c>
      <c r="N4927">
        <f>IF(L4927="", "", L4927-B4927)</f>
        <v/>
      </c>
      <c r="O4927">
        <f>IF(L4927="", "Pending", IF(N4927&lt;=30, "Met", "Breached"))</f>
        <v/>
      </c>
      <c r="P4927" s="8" t="n"/>
      <c r="Q4927" s="8" t="n"/>
      <c r="R4927" s="8" t="n"/>
      <c r="S4927" s="8" t="n"/>
      <c r="T4927" s="8" t="n"/>
      <c r="U4927" s="8" t="n"/>
      <c r="V4927" s="8" t="n"/>
      <c r="W4927" s="8" t="n"/>
      <c r="X4927" s="8" t="n"/>
      <c r="Y4927" s="8" t="n"/>
    </row>
    <row r="4928">
      <c r="A4928" s="8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9">
        <f>B4928+30</f>
        <v/>
      </c>
      <c r="N4928">
        <f>IF(L4928="", "", L4928-B4928)</f>
        <v/>
      </c>
      <c r="O4928">
        <f>IF(L4928="", "Pending", IF(N4928&lt;=30, "Met", "Breached"))</f>
        <v/>
      </c>
      <c r="P4928" s="8" t="n"/>
      <c r="Q4928" s="8" t="n"/>
      <c r="R4928" s="8" t="n"/>
      <c r="S4928" s="8" t="n"/>
      <c r="T4928" s="8" t="n"/>
      <c r="U4928" s="8" t="n"/>
      <c r="V4928" s="8" t="n"/>
      <c r="W4928" s="8" t="n"/>
      <c r="X4928" s="8" t="n"/>
      <c r="Y4928" s="8" t="n"/>
    </row>
    <row r="4929">
      <c r="A4929" s="8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9">
        <f>B4929+30</f>
        <v/>
      </c>
      <c r="N4929">
        <f>IF(L4929="", "", L4929-B4929)</f>
        <v/>
      </c>
      <c r="O4929">
        <f>IF(L4929="", "Pending", IF(N4929&lt;=30, "Met", "Breached"))</f>
        <v/>
      </c>
      <c r="P4929" s="8" t="n"/>
      <c r="Q4929" s="8" t="n"/>
      <c r="R4929" s="8" t="n"/>
      <c r="S4929" s="8" t="n"/>
      <c r="T4929" s="8" t="n"/>
      <c r="U4929" s="8" t="n"/>
      <c r="V4929" s="8" t="n"/>
      <c r="W4929" s="8" t="n"/>
      <c r="X4929" s="8" t="n"/>
      <c r="Y4929" s="8" t="n"/>
    </row>
    <row r="4930">
      <c r="A4930" s="8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9">
        <f>B4930+30</f>
        <v/>
      </c>
      <c r="N4930">
        <f>IF(L4930="", "", L4930-B4930)</f>
        <v/>
      </c>
      <c r="O4930">
        <f>IF(L4930="", "Pending", IF(N4930&lt;=30, "Met", "Breached"))</f>
        <v/>
      </c>
      <c r="P4930" s="8" t="n"/>
      <c r="Q4930" s="8" t="n"/>
      <c r="R4930" s="8" t="n"/>
      <c r="S4930" s="8" t="n"/>
      <c r="T4930" s="8" t="n"/>
      <c r="U4930" s="8" t="n"/>
      <c r="V4930" s="8" t="n"/>
      <c r="W4930" s="8" t="n"/>
      <c r="X4930" s="8" t="n"/>
      <c r="Y4930" s="8" t="n"/>
    </row>
    <row r="4931">
      <c r="A4931" s="8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9">
        <f>B4931+30</f>
        <v/>
      </c>
      <c r="N4931">
        <f>IF(L4931="", "", L4931-B4931)</f>
        <v/>
      </c>
      <c r="O4931">
        <f>IF(L4931="", "Pending", IF(N4931&lt;=30, "Met", "Breached"))</f>
        <v/>
      </c>
      <c r="P4931" s="8" t="n"/>
      <c r="Q4931" s="8" t="n"/>
      <c r="R4931" s="8" t="n"/>
      <c r="S4931" s="8" t="n"/>
      <c r="T4931" s="8" t="n"/>
      <c r="U4931" s="8" t="n"/>
      <c r="V4931" s="8" t="n"/>
      <c r="W4931" s="8" t="n"/>
      <c r="X4931" s="8" t="n"/>
      <c r="Y4931" s="8" t="n"/>
    </row>
    <row r="4932">
      <c r="A4932" s="8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9">
        <f>B4932+30</f>
        <v/>
      </c>
      <c r="N4932">
        <f>IF(L4932="", "", L4932-B4932)</f>
        <v/>
      </c>
      <c r="O4932">
        <f>IF(L4932="", "Pending", IF(N4932&lt;=30, "Met", "Breached"))</f>
        <v/>
      </c>
      <c r="P4932" s="8" t="n"/>
      <c r="Q4932" s="8" t="n"/>
      <c r="R4932" s="8" t="n"/>
      <c r="S4932" s="8" t="n"/>
      <c r="T4932" s="8" t="n"/>
      <c r="U4932" s="8" t="n"/>
      <c r="V4932" s="8" t="n"/>
      <c r="W4932" s="8" t="n"/>
      <c r="X4932" s="8" t="n"/>
      <c r="Y4932" s="8" t="n"/>
    </row>
    <row r="4933">
      <c r="A4933" s="8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9">
        <f>B4933+30</f>
        <v/>
      </c>
      <c r="N4933">
        <f>IF(L4933="", "", L4933-B4933)</f>
        <v/>
      </c>
      <c r="O4933">
        <f>IF(L4933="", "Pending", IF(N4933&lt;=30, "Met", "Breached"))</f>
        <v/>
      </c>
      <c r="P4933" s="8" t="n"/>
      <c r="Q4933" s="8" t="n"/>
      <c r="R4933" s="8" t="n"/>
      <c r="S4933" s="8" t="n"/>
      <c r="T4933" s="8" t="n"/>
      <c r="U4933" s="8" t="n"/>
      <c r="V4933" s="8" t="n"/>
      <c r="W4933" s="8" t="n"/>
      <c r="X4933" s="8" t="n"/>
      <c r="Y4933" s="8" t="n"/>
    </row>
    <row r="4934">
      <c r="A4934" s="8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9">
        <f>B4934+30</f>
        <v/>
      </c>
      <c r="N4934">
        <f>IF(L4934="", "", L4934-B4934)</f>
        <v/>
      </c>
      <c r="O4934">
        <f>IF(L4934="", "Pending", IF(N4934&lt;=30, "Met", "Breached"))</f>
        <v/>
      </c>
      <c r="P4934" s="8" t="n"/>
      <c r="Q4934" s="8" t="n"/>
      <c r="R4934" s="8" t="n"/>
      <c r="S4934" s="8" t="n"/>
      <c r="T4934" s="8" t="n"/>
      <c r="U4934" s="8" t="n"/>
      <c r="V4934" s="8" t="n"/>
      <c r="W4934" s="8" t="n"/>
      <c r="X4934" s="8" t="n"/>
      <c r="Y4934" s="8" t="n"/>
    </row>
    <row r="4935">
      <c r="A4935" s="8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9">
        <f>B4935+30</f>
        <v/>
      </c>
      <c r="N4935">
        <f>IF(L4935="", "", L4935-B4935)</f>
        <v/>
      </c>
      <c r="O4935">
        <f>IF(L4935="", "Pending", IF(N4935&lt;=30, "Met", "Breached"))</f>
        <v/>
      </c>
      <c r="P4935" s="8" t="n"/>
      <c r="Q4935" s="8" t="n"/>
      <c r="R4935" s="8" t="n"/>
      <c r="S4935" s="8" t="n"/>
      <c r="T4935" s="8" t="n"/>
      <c r="U4935" s="8" t="n"/>
      <c r="V4935" s="8" t="n"/>
      <c r="W4935" s="8" t="n"/>
      <c r="X4935" s="8" t="n"/>
      <c r="Y4935" s="8" t="n"/>
    </row>
    <row r="4936">
      <c r="A4936" s="8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9">
        <f>B4936+30</f>
        <v/>
      </c>
      <c r="N4936">
        <f>IF(L4936="", "", L4936-B4936)</f>
        <v/>
      </c>
      <c r="O4936">
        <f>IF(L4936="", "Pending", IF(N4936&lt;=30, "Met", "Breached"))</f>
        <v/>
      </c>
      <c r="P4936" s="8" t="n"/>
      <c r="Q4936" s="8" t="n"/>
      <c r="R4936" s="8" t="n"/>
      <c r="S4936" s="8" t="n"/>
      <c r="T4936" s="8" t="n"/>
      <c r="U4936" s="8" t="n"/>
      <c r="V4936" s="8" t="n"/>
      <c r="W4936" s="8" t="n"/>
      <c r="X4936" s="8" t="n"/>
      <c r="Y4936" s="8" t="n"/>
    </row>
    <row r="4937">
      <c r="A4937" s="8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9">
        <f>B4937+30</f>
        <v/>
      </c>
      <c r="N4937">
        <f>IF(L4937="", "", L4937-B4937)</f>
        <v/>
      </c>
      <c r="O4937">
        <f>IF(L4937="", "Pending", IF(N4937&lt;=30, "Met", "Breached"))</f>
        <v/>
      </c>
      <c r="P4937" s="8" t="n"/>
      <c r="Q4937" s="8" t="n"/>
      <c r="R4937" s="8" t="n"/>
      <c r="S4937" s="8" t="n"/>
      <c r="T4937" s="8" t="n"/>
      <c r="U4937" s="8" t="n"/>
      <c r="V4937" s="8" t="n"/>
      <c r="W4937" s="8" t="n"/>
      <c r="X4937" s="8" t="n"/>
      <c r="Y4937" s="8" t="n"/>
    </row>
    <row r="4938">
      <c r="A4938" s="8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9">
        <f>B4938+30</f>
        <v/>
      </c>
      <c r="N4938">
        <f>IF(L4938="", "", L4938-B4938)</f>
        <v/>
      </c>
      <c r="O4938">
        <f>IF(L4938="", "Pending", IF(N4938&lt;=30, "Met", "Breached"))</f>
        <v/>
      </c>
      <c r="P4938" s="8" t="n"/>
      <c r="Q4938" s="8" t="n"/>
      <c r="R4938" s="8" t="n"/>
      <c r="S4938" s="8" t="n"/>
      <c r="T4938" s="8" t="n"/>
      <c r="U4938" s="8" t="n"/>
      <c r="V4938" s="8" t="n"/>
      <c r="W4938" s="8" t="n"/>
      <c r="X4938" s="8" t="n"/>
      <c r="Y4938" s="8" t="n"/>
    </row>
    <row r="4939">
      <c r="A4939" s="8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9">
        <f>B4939+30</f>
        <v/>
      </c>
      <c r="N4939">
        <f>IF(L4939="", "", L4939-B4939)</f>
        <v/>
      </c>
      <c r="O4939">
        <f>IF(L4939="", "Pending", IF(N4939&lt;=30, "Met", "Breached"))</f>
        <v/>
      </c>
      <c r="P4939" s="8" t="n"/>
      <c r="Q4939" s="8" t="n"/>
      <c r="R4939" s="8" t="n"/>
      <c r="S4939" s="8" t="n"/>
      <c r="T4939" s="8" t="n"/>
      <c r="U4939" s="8" t="n"/>
      <c r="V4939" s="8" t="n"/>
      <c r="W4939" s="8" t="n"/>
      <c r="X4939" s="8" t="n"/>
      <c r="Y4939" s="8" t="n"/>
    </row>
    <row r="4940">
      <c r="A4940" s="8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9">
        <f>B4940+30</f>
        <v/>
      </c>
      <c r="N4940">
        <f>IF(L4940="", "", L4940-B4940)</f>
        <v/>
      </c>
      <c r="O4940">
        <f>IF(L4940="", "Pending", IF(N4940&lt;=30, "Met", "Breached"))</f>
        <v/>
      </c>
      <c r="P4940" s="8" t="n"/>
      <c r="Q4940" s="8" t="n"/>
      <c r="R4940" s="8" t="n"/>
      <c r="S4940" s="8" t="n"/>
      <c r="T4940" s="8" t="n"/>
      <c r="U4940" s="8" t="n"/>
      <c r="V4940" s="8" t="n"/>
      <c r="W4940" s="8" t="n"/>
      <c r="X4940" s="8" t="n"/>
      <c r="Y4940" s="8" t="n"/>
    </row>
    <row r="4941">
      <c r="A4941" s="8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9">
        <f>B4941+30</f>
        <v/>
      </c>
      <c r="N4941">
        <f>IF(L4941="", "", L4941-B4941)</f>
        <v/>
      </c>
      <c r="O4941">
        <f>IF(L4941="", "Pending", IF(N4941&lt;=30, "Met", "Breached"))</f>
        <v/>
      </c>
      <c r="P4941" s="8" t="n"/>
      <c r="Q4941" s="8" t="n"/>
      <c r="R4941" s="8" t="n"/>
      <c r="S4941" s="8" t="n"/>
      <c r="T4941" s="8" t="n"/>
      <c r="U4941" s="8" t="n"/>
      <c r="V4941" s="8" t="n"/>
      <c r="W4941" s="8" t="n"/>
      <c r="X4941" s="8" t="n"/>
      <c r="Y4941" s="8" t="n"/>
    </row>
    <row r="4942">
      <c r="A4942" s="8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9">
        <f>B4942+30</f>
        <v/>
      </c>
      <c r="N4942">
        <f>IF(L4942="", "", L4942-B4942)</f>
        <v/>
      </c>
      <c r="O4942">
        <f>IF(L4942="", "Pending", IF(N4942&lt;=30, "Met", "Breached"))</f>
        <v/>
      </c>
      <c r="P4942" s="8" t="n"/>
      <c r="Q4942" s="8" t="n"/>
      <c r="R4942" s="8" t="n"/>
      <c r="S4942" s="8" t="n"/>
      <c r="T4942" s="8" t="n"/>
      <c r="U4942" s="8" t="n"/>
      <c r="V4942" s="8" t="n"/>
      <c r="W4942" s="8" t="n"/>
      <c r="X4942" s="8" t="n"/>
      <c r="Y4942" s="8" t="n"/>
    </row>
    <row r="4943">
      <c r="A4943" s="8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9">
        <f>B4943+30</f>
        <v/>
      </c>
      <c r="N4943">
        <f>IF(L4943="", "", L4943-B4943)</f>
        <v/>
      </c>
      <c r="O4943">
        <f>IF(L4943="", "Pending", IF(N4943&lt;=30, "Met", "Breached"))</f>
        <v/>
      </c>
      <c r="P4943" s="8" t="n"/>
      <c r="Q4943" s="8" t="n"/>
      <c r="R4943" s="8" t="n"/>
      <c r="S4943" s="8" t="n"/>
      <c r="T4943" s="8" t="n"/>
      <c r="U4943" s="8" t="n"/>
      <c r="V4943" s="8" t="n"/>
      <c r="W4943" s="8" t="n"/>
      <c r="X4943" s="8" t="n"/>
      <c r="Y4943" s="8" t="n"/>
    </row>
    <row r="4944">
      <c r="A4944" s="8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9">
        <f>B4944+30</f>
        <v/>
      </c>
      <c r="N4944">
        <f>IF(L4944="", "", L4944-B4944)</f>
        <v/>
      </c>
      <c r="O4944">
        <f>IF(L4944="", "Pending", IF(N4944&lt;=30, "Met", "Breached"))</f>
        <v/>
      </c>
      <c r="P4944" s="8" t="n"/>
      <c r="Q4944" s="8" t="n"/>
      <c r="R4944" s="8" t="n"/>
      <c r="S4944" s="8" t="n"/>
      <c r="T4944" s="8" t="n"/>
      <c r="U4944" s="8" t="n"/>
      <c r="V4944" s="8" t="n"/>
      <c r="W4944" s="8" t="n"/>
      <c r="X4944" s="8" t="n"/>
      <c r="Y4944" s="8" t="n"/>
    </row>
    <row r="4945">
      <c r="A4945" s="8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9">
        <f>B4945+30</f>
        <v/>
      </c>
      <c r="N4945">
        <f>IF(L4945="", "", L4945-B4945)</f>
        <v/>
      </c>
      <c r="O4945">
        <f>IF(L4945="", "Pending", IF(N4945&lt;=30, "Met", "Breached"))</f>
        <v/>
      </c>
      <c r="P4945" s="8" t="n"/>
      <c r="Q4945" s="8" t="n"/>
      <c r="R4945" s="8" t="n"/>
      <c r="S4945" s="8" t="n"/>
      <c r="T4945" s="8" t="n"/>
      <c r="U4945" s="8" t="n"/>
      <c r="V4945" s="8" t="n"/>
      <c r="W4945" s="8" t="n"/>
      <c r="X4945" s="8" t="n"/>
      <c r="Y4945" s="8" t="n"/>
    </row>
    <row r="4946">
      <c r="A4946" s="8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9">
        <f>B4946+30</f>
        <v/>
      </c>
      <c r="N4946">
        <f>IF(L4946="", "", L4946-B4946)</f>
        <v/>
      </c>
      <c r="O4946">
        <f>IF(L4946="", "Pending", IF(N4946&lt;=30, "Met", "Breached"))</f>
        <v/>
      </c>
      <c r="P4946" s="8" t="n"/>
      <c r="Q4946" s="8" t="n"/>
      <c r="R4946" s="8" t="n"/>
      <c r="S4946" s="8" t="n"/>
      <c r="T4946" s="8" t="n"/>
      <c r="U4946" s="8" t="n"/>
      <c r="V4946" s="8" t="n"/>
      <c r="W4946" s="8" t="n"/>
      <c r="X4946" s="8" t="n"/>
      <c r="Y4946" s="8" t="n"/>
    </row>
    <row r="4947">
      <c r="A4947" s="8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9">
        <f>B4947+30</f>
        <v/>
      </c>
      <c r="N4947">
        <f>IF(L4947="", "", L4947-B4947)</f>
        <v/>
      </c>
      <c r="O4947">
        <f>IF(L4947="", "Pending", IF(N4947&lt;=30, "Met", "Breached"))</f>
        <v/>
      </c>
      <c r="P4947" s="8" t="n"/>
      <c r="Q4947" s="8" t="n"/>
      <c r="R4947" s="8" t="n"/>
      <c r="S4947" s="8" t="n"/>
      <c r="T4947" s="8" t="n"/>
      <c r="U4947" s="8" t="n"/>
      <c r="V4947" s="8" t="n"/>
      <c r="W4947" s="8" t="n"/>
      <c r="X4947" s="8" t="n"/>
      <c r="Y4947" s="8" t="n"/>
    </row>
    <row r="4948">
      <c r="A4948" s="8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9">
        <f>B4948+30</f>
        <v/>
      </c>
      <c r="N4948">
        <f>IF(L4948="", "", L4948-B4948)</f>
        <v/>
      </c>
      <c r="O4948">
        <f>IF(L4948="", "Pending", IF(N4948&lt;=30, "Met", "Breached"))</f>
        <v/>
      </c>
      <c r="P4948" s="8" t="n"/>
      <c r="Q4948" s="8" t="n"/>
      <c r="R4948" s="8" t="n"/>
      <c r="S4948" s="8" t="n"/>
      <c r="T4948" s="8" t="n"/>
      <c r="U4948" s="8" t="n"/>
      <c r="V4948" s="8" t="n"/>
      <c r="W4948" s="8" t="n"/>
      <c r="X4948" s="8" t="n"/>
      <c r="Y4948" s="8" t="n"/>
    </row>
    <row r="4949">
      <c r="A4949" s="8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9">
        <f>B4949+30</f>
        <v/>
      </c>
      <c r="N4949">
        <f>IF(L4949="", "", L4949-B4949)</f>
        <v/>
      </c>
      <c r="O4949">
        <f>IF(L4949="", "Pending", IF(N4949&lt;=30, "Met", "Breached"))</f>
        <v/>
      </c>
      <c r="P4949" s="8" t="n"/>
      <c r="Q4949" s="8" t="n"/>
      <c r="R4949" s="8" t="n"/>
      <c r="S4949" s="8" t="n"/>
      <c r="T4949" s="8" t="n"/>
      <c r="U4949" s="8" t="n"/>
      <c r="V4949" s="8" t="n"/>
      <c r="W4949" s="8" t="n"/>
      <c r="X4949" s="8" t="n"/>
      <c r="Y4949" s="8" t="n"/>
    </row>
    <row r="4950">
      <c r="A4950" s="8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9">
        <f>B4950+30</f>
        <v/>
      </c>
      <c r="N4950">
        <f>IF(L4950="", "", L4950-B4950)</f>
        <v/>
      </c>
      <c r="O4950">
        <f>IF(L4950="", "Pending", IF(N4950&lt;=30, "Met", "Breached"))</f>
        <v/>
      </c>
      <c r="P4950" s="8" t="n"/>
      <c r="Q4950" s="8" t="n"/>
      <c r="R4950" s="8" t="n"/>
      <c r="S4950" s="8" t="n"/>
      <c r="T4950" s="8" t="n"/>
      <c r="U4950" s="8" t="n"/>
      <c r="V4950" s="8" t="n"/>
      <c r="W4950" s="8" t="n"/>
      <c r="X4950" s="8" t="n"/>
      <c r="Y4950" s="8" t="n"/>
    </row>
    <row r="4951">
      <c r="A4951" s="8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9">
        <f>B4951+30</f>
        <v/>
      </c>
      <c r="N4951">
        <f>IF(L4951="", "", L4951-B4951)</f>
        <v/>
      </c>
      <c r="O4951">
        <f>IF(L4951="", "Pending", IF(N4951&lt;=30, "Met", "Breached"))</f>
        <v/>
      </c>
      <c r="P4951" s="8" t="n"/>
      <c r="Q4951" s="8" t="n"/>
      <c r="R4951" s="8" t="n"/>
      <c r="S4951" s="8" t="n"/>
      <c r="T4951" s="8" t="n"/>
      <c r="U4951" s="8" t="n"/>
      <c r="V4951" s="8" t="n"/>
      <c r="W4951" s="8" t="n"/>
      <c r="X4951" s="8" t="n"/>
      <c r="Y4951" s="8" t="n"/>
    </row>
    <row r="4952">
      <c r="A4952" s="8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9">
        <f>B4952+30</f>
        <v/>
      </c>
      <c r="N4952">
        <f>IF(L4952="", "", L4952-B4952)</f>
        <v/>
      </c>
      <c r="O4952">
        <f>IF(L4952="", "Pending", IF(N4952&lt;=30, "Met", "Breached"))</f>
        <v/>
      </c>
      <c r="P4952" s="8" t="n"/>
      <c r="Q4952" s="8" t="n"/>
      <c r="R4952" s="8" t="n"/>
      <c r="S4952" s="8" t="n"/>
      <c r="T4952" s="8" t="n"/>
      <c r="U4952" s="8" t="n"/>
      <c r="V4952" s="8" t="n"/>
      <c r="W4952" s="8" t="n"/>
      <c r="X4952" s="8" t="n"/>
      <c r="Y4952" s="8" t="n"/>
    </row>
    <row r="4953">
      <c r="A4953" s="8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9">
        <f>B4953+30</f>
        <v/>
      </c>
      <c r="N4953">
        <f>IF(L4953="", "", L4953-B4953)</f>
        <v/>
      </c>
      <c r="O4953">
        <f>IF(L4953="", "Pending", IF(N4953&lt;=30, "Met", "Breached"))</f>
        <v/>
      </c>
      <c r="P4953" s="8" t="n"/>
      <c r="Q4953" s="8" t="n"/>
      <c r="R4953" s="8" t="n"/>
      <c r="S4953" s="8" t="n"/>
      <c r="T4953" s="8" t="n"/>
      <c r="U4953" s="8" t="n"/>
      <c r="V4953" s="8" t="n"/>
      <c r="W4953" s="8" t="n"/>
      <c r="X4953" s="8" t="n"/>
      <c r="Y4953" s="8" t="n"/>
    </row>
    <row r="4954">
      <c r="A4954" s="8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9">
        <f>B4954+30</f>
        <v/>
      </c>
      <c r="N4954">
        <f>IF(L4954="", "", L4954-B4954)</f>
        <v/>
      </c>
      <c r="O4954">
        <f>IF(L4954="", "Pending", IF(N4954&lt;=30, "Met", "Breached"))</f>
        <v/>
      </c>
      <c r="P4954" s="8" t="n"/>
      <c r="Q4954" s="8" t="n"/>
      <c r="R4954" s="8" t="n"/>
      <c r="S4954" s="8" t="n"/>
      <c r="T4954" s="8" t="n"/>
      <c r="U4954" s="8" t="n"/>
      <c r="V4954" s="8" t="n"/>
      <c r="W4954" s="8" t="n"/>
      <c r="X4954" s="8" t="n"/>
      <c r="Y4954" s="8" t="n"/>
    </row>
    <row r="4955">
      <c r="A4955" s="8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9">
        <f>B4955+30</f>
        <v/>
      </c>
      <c r="N4955">
        <f>IF(L4955="", "", L4955-B4955)</f>
        <v/>
      </c>
      <c r="O4955">
        <f>IF(L4955="", "Pending", IF(N4955&lt;=30, "Met", "Breached"))</f>
        <v/>
      </c>
      <c r="P4955" s="8" t="n"/>
      <c r="Q4955" s="8" t="n"/>
      <c r="R4955" s="8" t="n"/>
      <c r="S4955" s="8" t="n"/>
      <c r="T4955" s="8" t="n"/>
      <c r="U4955" s="8" t="n"/>
      <c r="V4955" s="8" t="n"/>
      <c r="W4955" s="8" t="n"/>
      <c r="X4955" s="8" t="n"/>
      <c r="Y4955" s="8" t="n"/>
    </row>
    <row r="4956">
      <c r="A4956" s="8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9">
        <f>B4956+30</f>
        <v/>
      </c>
      <c r="N4956">
        <f>IF(L4956="", "", L4956-B4956)</f>
        <v/>
      </c>
      <c r="O4956">
        <f>IF(L4956="", "Pending", IF(N4956&lt;=30, "Met", "Breached"))</f>
        <v/>
      </c>
      <c r="P4956" s="8" t="n"/>
      <c r="Q4956" s="8" t="n"/>
      <c r="R4956" s="8" t="n"/>
      <c r="S4956" s="8" t="n"/>
      <c r="T4956" s="8" t="n"/>
      <c r="U4956" s="8" t="n"/>
      <c r="V4956" s="8" t="n"/>
      <c r="W4956" s="8" t="n"/>
      <c r="X4956" s="8" t="n"/>
      <c r="Y4956" s="8" t="n"/>
    </row>
    <row r="4957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9">
        <f>B4957+30</f>
        <v/>
      </c>
      <c r="N4957">
        <f>IF(L4957="", "", L4957-B4957)</f>
        <v/>
      </c>
      <c r="O4957">
        <f>IF(L4957="", "Pending", IF(N4957&lt;=30, "Met", "Breached"))</f>
        <v/>
      </c>
      <c r="P4957" s="8" t="n"/>
      <c r="Q4957" s="8" t="n"/>
      <c r="R4957" s="8" t="n"/>
      <c r="S4957" s="8" t="n"/>
      <c r="T4957" s="8" t="n"/>
      <c r="U4957" s="8" t="n"/>
      <c r="V4957" s="8" t="n"/>
      <c r="W4957" s="8" t="n"/>
      <c r="X4957" s="8" t="n"/>
      <c r="Y4957" s="8" t="n"/>
    </row>
    <row r="4958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9">
        <f>B4958+30</f>
        <v/>
      </c>
      <c r="N4958">
        <f>IF(L4958="", "", L4958-B4958)</f>
        <v/>
      </c>
      <c r="O4958">
        <f>IF(L4958="", "Pending", IF(N4958&lt;=30, "Met", "Breached"))</f>
        <v/>
      </c>
      <c r="P4958" s="8" t="n"/>
      <c r="Q4958" s="8" t="n"/>
      <c r="R4958" s="8" t="n"/>
      <c r="S4958" s="8" t="n"/>
      <c r="T4958" s="8" t="n"/>
      <c r="U4958" s="8" t="n"/>
      <c r="V4958" s="8" t="n"/>
      <c r="W4958" s="8" t="n"/>
      <c r="X4958" s="8" t="n"/>
      <c r="Y4958" s="8" t="n"/>
    </row>
    <row r="4959">
      <c r="A4959" s="8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9">
        <f>B4959+30</f>
        <v/>
      </c>
      <c r="N4959">
        <f>IF(L4959="", "", L4959-B4959)</f>
        <v/>
      </c>
      <c r="O4959">
        <f>IF(L4959="", "Pending", IF(N4959&lt;=30, "Met", "Breached"))</f>
        <v/>
      </c>
      <c r="P4959" s="8" t="n"/>
      <c r="Q4959" s="8" t="n"/>
      <c r="R4959" s="8" t="n"/>
      <c r="S4959" s="8" t="n"/>
      <c r="T4959" s="8" t="n"/>
      <c r="U4959" s="8" t="n"/>
      <c r="V4959" s="8" t="n"/>
      <c r="W4959" s="8" t="n"/>
      <c r="X4959" s="8" t="n"/>
      <c r="Y4959" s="8" t="n"/>
    </row>
    <row r="4960">
      <c r="A4960" s="8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9">
        <f>B4960+30</f>
        <v/>
      </c>
      <c r="N4960">
        <f>IF(L4960="", "", L4960-B4960)</f>
        <v/>
      </c>
      <c r="O4960">
        <f>IF(L4960="", "Pending", IF(N4960&lt;=30, "Met", "Breached"))</f>
        <v/>
      </c>
      <c r="P4960" s="8" t="n"/>
      <c r="Q4960" s="8" t="n"/>
      <c r="R4960" s="8" t="n"/>
      <c r="S4960" s="8" t="n"/>
      <c r="T4960" s="8" t="n"/>
      <c r="U4960" s="8" t="n"/>
      <c r="V4960" s="8" t="n"/>
      <c r="W4960" s="8" t="n"/>
      <c r="X4960" s="8" t="n"/>
      <c r="Y4960" s="8" t="n"/>
    </row>
    <row r="4961">
      <c r="A4961" s="8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9">
        <f>B4961+30</f>
        <v/>
      </c>
      <c r="N4961">
        <f>IF(L4961="", "", L4961-B4961)</f>
        <v/>
      </c>
      <c r="O4961">
        <f>IF(L4961="", "Pending", IF(N4961&lt;=30, "Met", "Breached"))</f>
        <v/>
      </c>
      <c r="P4961" s="8" t="n"/>
      <c r="Q4961" s="8" t="n"/>
      <c r="R4961" s="8" t="n"/>
      <c r="S4961" s="8" t="n"/>
      <c r="T4961" s="8" t="n"/>
      <c r="U4961" s="8" t="n"/>
      <c r="V4961" s="8" t="n"/>
      <c r="W4961" s="8" t="n"/>
      <c r="X4961" s="8" t="n"/>
      <c r="Y4961" s="8" t="n"/>
    </row>
    <row r="4962">
      <c r="A4962" s="8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9">
        <f>B4962+30</f>
        <v/>
      </c>
      <c r="N4962">
        <f>IF(L4962="", "", L4962-B4962)</f>
        <v/>
      </c>
      <c r="O4962">
        <f>IF(L4962="", "Pending", IF(N4962&lt;=30, "Met", "Breached"))</f>
        <v/>
      </c>
      <c r="P4962" s="8" t="n"/>
      <c r="Q4962" s="8" t="n"/>
      <c r="R4962" s="8" t="n"/>
      <c r="S4962" s="8" t="n"/>
      <c r="T4962" s="8" t="n"/>
      <c r="U4962" s="8" t="n"/>
      <c r="V4962" s="8" t="n"/>
      <c r="W4962" s="8" t="n"/>
      <c r="X4962" s="8" t="n"/>
      <c r="Y4962" s="8" t="n"/>
    </row>
    <row r="4963">
      <c r="A4963" s="8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9">
        <f>B4963+30</f>
        <v/>
      </c>
      <c r="N4963">
        <f>IF(L4963="", "", L4963-B4963)</f>
        <v/>
      </c>
      <c r="O4963">
        <f>IF(L4963="", "Pending", IF(N4963&lt;=30, "Met", "Breached"))</f>
        <v/>
      </c>
      <c r="P4963" s="8" t="n"/>
      <c r="Q4963" s="8" t="n"/>
      <c r="R4963" s="8" t="n"/>
      <c r="S4963" s="8" t="n"/>
      <c r="T4963" s="8" t="n"/>
      <c r="U4963" s="8" t="n"/>
      <c r="V4963" s="8" t="n"/>
      <c r="W4963" s="8" t="n"/>
      <c r="X4963" s="8" t="n"/>
      <c r="Y4963" s="8" t="n"/>
    </row>
    <row r="4964">
      <c r="A4964" s="8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9">
        <f>B4964+30</f>
        <v/>
      </c>
      <c r="N4964">
        <f>IF(L4964="", "", L4964-B4964)</f>
        <v/>
      </c>
      <c r="O4964">
        <f>IF(L4964="", "Pending", IF(N4964&lt;=30, "Met", "Breached"))</f>
        <v/>
      </c>
      <c r="P4964" s="8" t="n"/>
      <c r="Q4964" s="8" t="n"/>
      <c r="R4964" s="8" t="n"/>
      <c r="S4964" s="8" t="n"/>
      <c r="T4964" s="8" t="n"/>
      <c r="U4964" s="8" t="n"/>
      <c r="V4964" s="8" t="n"/>
      <c r="W4964" s="8" t="n"/>
      <c r="X4964" s="8" t="n"/>
      <c r="Y4964" s="8" t="n"/>
    </row>
    <row r="4965">
      <c r="A4965" s="8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9">
        <f>B4965+30</f>
        <v/>
      </c>
      <c r="N4965">
        <f>IF(L4965="", "", L4965-B4965)</f>
        <v/>
      </c>
      <c r="O4965">
        <f>IF(L4965="", "Pending", IF(N4965&lt;=30, "Met", "Breached"))</f>
        <v/>
      </c>
      <c r="P4965" s="8" t="n"/>
      <c r="Q4965" s="8" t="n"/>
      <c r="R4965" s="8" t="n"/>
      <c r="S4965" s="8" t="n"/>
      <c r="T4965" s="8" t="n"/>
      <c r="U4965" s="8" t="n"/>
      <c r="V4965" s="8" t="n"/>
      <c r="W4965" s="8" t="n"/>
      <c r="X4965" s="8" t="n"/>
      <c r="Y4965" s="8" t="n"/>
    </row>
    <row r="4966">
      <c r="A4966" s="8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9">
        <f>B4966+30</f>
        <v/>
      </c>
      <c r="N4966">
        <f>IF(L4966="", "", L4966-B4966)</f>
        <v/>
      </c>
      <c r="O4966">
        <f>IF(L4966="", "Pending", IF(N4966&lt;=30, "Met", "Breached"))</f>
        <v/>
      </c>
      <c r="P4966" s="8" t="n"/>
      <c r="Q4966" s="8" t="n"/>
      <c r="R4966" s="8" t="n"/>
      <c r="S4966" s="8" t="n"/>
      <c r="T4966" s="8" t="n"/>
      <c r="U4966" s="8" t="n"/>
      <c r="V4966" s="8" t="n"/>
      <c r="W4966" s="8" t="n"/>
      <c r="X4966" s="8" t="n"/>
      <c r="Y4966" s="8" t="n"/>
    </row>
    <row r="4967">
      <c r="A4967" s="8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9">
        <f>B4967+30</f>
        <v/>
      </c>
      <c r="N4967">
        <f>IF(L4967="", "", L4967-B4967)</f>
        <v/>
      </c>
      <c r="O4967">
        <f>IF(L4967="", "Pending", IF(N4967&lt;=30, "Met", "Breached"))</f>
        <v/>
      </c>
      <c r="P4967" s="8" t="n"/>
      <c r="Q4967" s="8" t="n"/>
      <c r="R4967" s="8" t="n"/>
      <c r="S4967" s="8" t="n"/>
      <c r="T4967" s="8" t="n"/>
      <c r="U4967" s="8" t="n"/>
      <c r="V4967" s="8" t="n"/>
      <c r="W4967" s="8" t="n"/>
      <c r="X4967" s="8" t="n"/>
      <c r="Y4967" s="8" t="n"/>
    </row>
    <row r="4968">
      <c r="A4968" s="8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9">
        <f>B4968+30</f>
        <v/>
      </c>
      <c r="N4968">
        <f>IF(L4968="", "", L4968-B4968)</f>
        <v/>
      </c>
      <c r="O4968">
        <f>IF(L4968="", "Pending", IF(N4968&lt;=30, "Met", "Breached"))</f>
        <v/>
      </c>
      <c r="P4968" s="8" t="n"/>
      <c r="Q4968" s="8" t="n"/>
      <c r="R4968" s="8" t="n"/>
      <c r="S4968" s="8" t="n"/>
      <c r="T4968" s="8" t="n"/>
      <c r="U4968" s="8" t="n"/>
      <c r="V4968" s="8" t="n"/>
      <c r="W4968" s="8" t="n"/>
      <c r="X4968" s="8" t="n"/>
      <c r="Y4968" s="8" t="n"/>
    </row>
    <row r="4969">
      <c r="A4969" s="8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9">
        <f>B4969+30</f>
        <v/>
      </c>
      <c r="N4969">
        <f>IF(L4969="", "", L4969-B4969)</f>
        <v/>
      </c>
      <c r="O4969">
        <f>IF(L4969="", "Pending", IF(N4969&lt;=30, "Met", "Breached"))</f>
        <v/>
      </c>
      <c r="P4969" s="8" t="n"/>
      <c r="Q4969" s="8" t="n"/>
      <c r="R4969" s="8" t="n"/>
      <c r="S4969" s="8" t="n"/>
      <c r="T4969" s="8" t="n"/>
      <c r="U4969" s="8" t="n"/>
      <c r="V4969" s="8" t="n"/>
      <c r="W4969" s="8" t="n"/>
      <c r="X4969" s="8" t="n"/>
      <c r="Y4969" s="8" t="n"/>
    </row>
    <row r="4970">
      <c r="A4970" s="8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9">
        <f>B4970+30</f>
        <v/>
      </c>
      <c r="N4970">
        <f>IF(L4970="", "", L4970-B4970)</f>
        <v/>
      </c>
      <c r="O4970">
        <f>IF(L4970="", "Pending", IF(N4970&lt;=30, "Met", "Breached"))</f>
        <v/>
      </c>
      <c r="P4970" s="8" t="n"/>
      <c r="Q4970" s="8" t="n"/>
      <c r="R4970" s="8" t="n"/>
      <c r="S4970" s="8" t="n"/>
      <c r="T4970" s="8" t="n"/>
      <c r="U4970" s="8" t="n"/>
      <c r="V4970" s="8" t="n"/>
      <c r="W4970" s="8" t="n"/>
      <c r="X4970" s="8" t="n"/>
      <c r="Y4970" s="8" t="n"/>
    </row>
    <row r="4971">
      <c r="A4971" s="8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9">
        <f>B4971+30</f>
        <v/>
      </c>
      <c r="N4971">
        <f>IF(L4971="", "", L4971-B4971)</f>
        <v/>
      </c>
      <c r="O4971">
        <f>IF(L4971="", "Pending", IF(N4971&lt;=30, "Met", "Breached"))</f>
        <v/>
      </c>
      <c r="P4971" s="8" t="n"/>
      <c r="Q4971" s="8" t="n"/>
      <c r="R4971" s="8" t="n"/>
      <c r="S4971" s="8" t="n"/>
      <c r="T4971" s="8" t="n"/>
      <c r="U4971" s="8" t="n"/>
      <c r="V4971" s="8" t="n"/>
      <c r="W4971" s="8" t="n"/>
      <c r="X4971" s="8" t="n"/>
      <c r="Y4971" s="8" t="n"/>
    </row>
    <row r="4972">
      <c r="A4972" s="8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9">
        <f>B4972+30</f>
        <v/>
      </c>
      <c r="N4972">
        <f>IF(L4972="", "", L4972-B4972)</f>
        <v/>
      </c>
      <c r="O4972">
        <f>IF(L4972="", "Pending", IF(N4972&lt;=30, "Met", "Breached"))</f>
        <v/>
      </c>
      <c r="P4972" s="8" t="n"/>
      <c r="Q4972" s="8" t="n"/>
      <c r="R4972" s="8" t="n"/>
      <c r="S4972" s="8" t="n"/>
      <c r="T4972" s="8" t="n"/>
      <c r="U4972" s="8" t="n"/>
      <c r="V4972" s="8" t="n"/>
      <c r="W4972" s="8" t="n"/>
      <c r="X4972" s="8" t="n"/>
      <c r="Y4972" s="8" t="n"/>
    </row>
    <row r="4973">
      <c r="A4973" s="8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9">
        <f>B4973+30</f>
        <v/>
      </c>
      <c r="N4973">
        <f>IF(L4973="", "", L4973-B4973)</f>
        <v/>
      </c>
      <c r="O4973">
        <f>IF(L4973="", "Pending", IF(N4973&lt;=30, "Met", "Breached"))</f>
        <v/>
      </c>
      <c r="P4973" s="8" t="n"/>
      <c r="Q4973" s="8" t="n"/>
      <c r="R4973" s="8" t="n"/>
      <c r="S4973" s="8" t="n"/>
      <c r="T4973" s="8" t="n"/>
      <c r="U4973" s="8" t="n"/>
      <c r="V4973" s="8" t="n"/>
      <c r="W4973" s="8" t="n"/>
      <c r="X4973" s="8" t="n"/>
      <c r="Y4973" s="8" t="n"/>
    </row>
    <row r="4974">
      <c r="A4974" s="8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9">
        <f>B4974+30</f>
        <v/>
      </c>
      <c r="N4974">
        <f>IF(L4974="", "", L4974-B4974)</f>
        <v/>
      </c>
      <c r="O4974">
        <f>IF(L4974="", "Pending", IF(N4974&lt;=30, "Met", "Breached"))</f>
        <v/>
      </c>
      <c r="P4974" s="8" t="n"/>
      <c r="Q4974" s="8" t="n"/>
      <c r="R4974" s="8" t="n"/>
      <c r="S4974" s="8" t="n"/>
      <c r="T4974" s="8" t="n"/>
      <c r="U4974" s="8" t="n"/>
      <c r="V4974" s="8" t="n"/>
      <c r="W4974" s="8" t="n"/>
      <c r="X4974" s="8" t="n"/>
      <c r="Y4974" s="8" t="n"/>
    </row>
    <row r="4975">
      <c r="A4975" s="8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9">
        <f>B4975+30</f>
        <v/>
      </c>
      <c r="N4975">
        <f>IF(L4975="", "", L4975-B4975)</f>
        <v/>
      </c>
      <c r="O4975">
        <f>IF(L4975="", "Pending", IF(N4975&lt;=30, "Met", "Breached"))</f>
        <v/>
      </c>
      <c r="P4975" s="8" t="n"/>
      <c r="Q4975" s="8" t="n"/>
      <c r="R4975" s="8" t="n"/>
      <c r="S4975" s="8" t="n"/>
      <c r="T4975" s="8" t="n"/>
      <c r="U4975" s="8" t="n"/>
      <c r="V4975" s="8" t="n"/>
      <c r="W4975" s="8" t="n"/>
      <c r="X4975" s="8" t="n"/>
      <c r="Y4975" s="8" t="n"/>
    </row>
    <row r="4976">
      <c r="A4976" s="8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9">
        <f>B4976+30</f>
        <v/>
      </c>
      <c r="N4976">
        <f>IF(L4976="", "", L4976-B4976)</f>
        <v/>
      </c>
      <c r="O4976">
        <f>IF(L4976="", "Pending", IF(N4976&lt;=30, "Met", "Breached"))</f>
        <v/>
      </c>
      <c r="P4976" s="8" t="n"/>
      <c r="Q4976" s="8" t="n"/>
      <c r="R4976" s="8" t="n"/>
      <c r="S4976" s="8" t="n"/>
      <c r="T4976" s="8" t="n"/>
      <c r="U4976" s="8" t="n"/>
      <c r="V4976" s="8" t="n"/>
      <c r="W4976" s="8" t="n"/>
      <c r="X4976" s="8" t="n"/>
      <c r="Y4976" s="8" t="n"/>
    </row>
    <row r="4977">
      <c r="A4977" s="8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9">
        <f>B4977+30</f>
        <v/>
      </c>
      <c r="N4977">
        <f>IF(L4977="", "", L4977-B4977)</f>
        <v/>
      </c>
      <c r="O4977">
        <f>IF(L4977="", "Pending", IF(N4977&lt;=30, "Met", "Breached"))</f>
        <v/>
      </c>
      <c r="P4977" s="8" t="n"/>
      <c r="Q4977" s="8" t="n"/>
      <c r="R4977" s="8" t="n"/>
      <c r="S4977" s="8" t="n"/>
      <c r="T4977" s="8" t="n"/>
      <c r="U4977" s="8" t="n"/>
      <c r="V4977" s="8" t="n"/>
      <c r="W4977" s="8" t="n"/>
      <c r="X4977" s="8" t="n"/>
      <c r="Y4977" s="8" t="n"/>
    </row>
    <row r="4978">
      <c r="A4978" s="8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9">
        <f>B4978+30</f>
        <v/>
      </c>
      <c r="N4978">
        <f>IF(L4978="", "", L4978-B4978)</f>
        <v/>
      </c>
      <c r="O4978">
        <f>IF(L4978="", "Pending", IF(N4978&lt;=30, "Met", "Breached"))</f>
        <v/>
      </c>
      <c r="P4978" s="8" t="n"/>
      <c r="Q4978" s="8" t="n"/>
      <c r="R4978" s="8" t="n"/>
      <c r="S4978" s="8" t="n"/>
      <c r="T4978" s="8" t="n"/>
      <c r="U4978" s="8" t="n"/>
      <c r="V4978" s="8" t="n"/>
      <c r="W4978" s="8" t="n"/>
      <c r="X4978" s="8" t="n"/>
      <c r="Y4978" s="8" t="n"/>
    </row>
    <row r="4979">
      <c r="A4979" s="8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9">
        <f>B4979+30</f>
        <v/>
      </c>
      <c r="N4979">
        <f>IF(L4979="", "", L4979-B4979)</f>
        <v/>
      </c>
      <c r="O4979">
        <f>IF(L4979="", "Pending", IF(N4979&lt;=30, "Met", "Breached"))</f>
        <v/>
      </c>
      <c r="P4979" s="8" t="n"/>
      <c r="Q4979" s="8" t="n"/>
      <c r="R4979" s="8" t="n"/>
      <c r="S4979" s="8" t="n"/>
      <c r="T4979" s="8" t="n"/>
      <c r="U4979" s="8" t="n"/>
      <c r="V4979" s="8" t="n"/>
      <c r="W4979" s="8" t="n"/>
      <c r="X4979" s="8" t="n"/>
      <c r="Y4979" s="8" t="n"/>
    </row>
    <row r="4980">
      <c r="A4980" s="8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9">
        <f>B4980+30</f>
        <v/>
      </c>
      <c r="N4980">
        <f>IF(L4980="", "", L4980-B4980)</f>
        <v/>
      </c>
      <c r="O4980">
        <f>IF(L4980="", "Pending", IF(N4980&lt;=30, "Met", "Breached"))</f>
        <v/>
      </c>
      <c r="P4980" s="8" t="n"/>
      <c r="Q4980" s="8" t="n"/>
      <c r="R4980" s="8" t="n"/>
      <c r="S4980" s="8" t="n"/>
      <c r="T4980" s="8" t="n"/>
      <c r="U4980" s="8" t="n"/>
      <c r="V4980" s="8" t="n"/>
      <c r="W4980" s="8" t="n"/>
      <c r="X4980" s="8" t="n"/>
      <c r="Y4980" s="8" t="n"/>
    </row>
    <row r="4981">
      <c r="A4981" s="8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9">
        <f>B4981+30</f>
        <v/>
      </c>
      <c r="N4981">
        <f>IF(L4981="", "", L4981-B4981)</f>
        <v/>
      </c>
      <c r="O4981">
        <f>IF(L4981="", "Pending", IF(N4981&lt;=30, "Met", "Breached"))</f>
        <v/>
      </c>
      <c r="P4981" s="8" t="n"/>
      <c r="Q4981" s="8" t="n"/>
      <c r="R4981" s="8" t="n"/>
      <c r="S4981" s="8" t="n"/>
      <c r="T4981" s="8" t="n"/>
      <c r="U4981" s="8" t="n"/>
      <c r="V4981" s="8" t="n"/>
      <c r="W4981" s="8" t="n"/>
      <c r="X4981" s="8" t="n"/>
      <c r="Y4981" s="8" t="n"/>
    </row>
    <row r="4982">
      <c r="A4982" s="8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9">
        <f>B4982+30</f>
        <v/>
      </c>
      <c r="N4982">
        <f>IF(L4982="", "", L4982-B4982)</f>
        <v/>
      </c>
      <c r="O4982">
        <f>IF(L4982="", "Pending", IF(N4982&lt;=30, "Met", "Breached"))</f>
        <v/>
      </c>
      <c r="P4982" s="8" t="n"/>
      <c r="Q4982" s="8" t="n"/>
      <c r="R4982" s="8" t="n"/>
      <c r="S4982" s="8" t="n"/>
      <c r="T4982" s="8" t="n"/>
      <c r="U4982" s="8" t="n"/>
      <c r="V4982" s="8" t="n"/>
      <c r="W4982" s="8" t="n"/>
      <c r="X4982" s="8" t="n"/>
      <c r="Y4982" s="8" t="n"/>
    </row>
    <row r="4983">
      <c r="A4983" s="8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9">
        <f>B4983+30</f>
        <v/>
      </c>
      <c r="N4983">
        <f>IF(L4983="", "", L4983-B4983)</f>
        <v/>
      </c>
      <c r="O4983">
        <f>IF(L4983="", "Pending", IF(N4983&lt;=30, "Met", "Breached"))</f>
        <v/>
      </c>
      <c r="P4983" s="8" t="n"/>
      <c r="Q4983" s="8" t="n"/>
      <c r="R4983" s="8" t="n"/>
      <c r="S4983" s="8" t="n"/>
      <c r="T4983" s="8" t="n"/>
      <c r="U4983" s="8" t="n"/>
      <c r="V4983" s="8" t="n"/>
      <c r="W4983" s="8" t="n"/>
      <c r="X4983" s="8" t="n"/>
      <c r="Y4983" s="8" t="n"/>
    </row>
    <row r="4984">
      <c r="A4984" s="8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9">
        <f>B4984+30</f>
        <v/>
      </c>
      <c r="N4984">
        <f>IF(L4984="", "", L4984-B4984)</f>
        <v/>
      </c>
      <c r="O4984">
        <f>IF(L4984="", "Pending", IF(N4984&lt;=30, "Met", "Breached"))</f>
        <v/>
      </c>
      <c r="P4984" s="8" t="n"/>
      <c r="Q4984" s="8" t="n"/>
      <c r="R4984" s="8" t="n"/>
      <c r="S4984" s="8" t="n"/>
      <c r="T4984" s="8" t="n"/>
      <c r="U4984" s="8" t="n"/>
      <c r="V4984" s="8" t="n"/>
      <c r="W4984" s="8" t="n"/>
      <c r="X4984" s="8" t="n"/>
      <c r="Y4984" s="8" t="n"/>
    </row>
    <row r="4985">
      <c r="A4985" s="8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9">
        <f>B4985+30</f>
        <v/>
      </c>
      <c r="N4985">
        <f>IF(L4985="", "", L4985-B4985)</f>
        <v/>
      </c>
      <c r="O4985">
        <f>IF(L4985="", "Pending", IF(N4985&lt;=30, "Met", "Breached"))</f>
        <v/>
      </c>
      <c r="P4985" s="8" t="n"/>
      <c r="Q4985" s="8" t="n"/>
      <c r="R4985" s="8" t="n"/>
      <c r="S4985" s="8" t="n"/>
      <c r="T4985" s="8" t="n"/>
      <c r="U4985" s="8" t="n"/>
      <c r="V4985" s="8" t="n"/>
      <c r="W4985" s="8" t="n"/>
      <c r="X4985" s="8" t="n"/>
      <c r="Y4985" s="8" t="n"/>
    </row>
    <row r="4986">
      <c r="A4986" s="8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9">
        <f>B4986+30</f>
        <v/>
      </c>
      <c r="N4986">
        <f>IF(L4986="", "", L4986-B4986)</f>
        <v/>
      </c>
      <c r="O4986">
        <f>IF(L4986="", "Pending", IF(N4986&lt;=30, "Met", "Breached"))</f>
        <v/>
      </c>
      <c r="P4986" s="8" t="n"/>
      <c r="Q4986" s="8" t="n"/>
      <c r="R4986" s="8" t="n"/>
      <c r="S4986" s="8" t="n"/>
      <c r="T4986" s="8" t="n"/>
      <c r="U4986" s="8" t="n"/>
      <c r="V4986" s="8" t="n"/>
      <c r="W4986" s="8" t="n"/>
      <c r="X4986" s="8" t="n"/>
      <c r="Y4986" s="8" t="n"/>
    </row>
    <row r="4987">
      <c r="A4987" s="8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9">
        <f>B4987+30</f>
        <v/>
      </c>
      <c r="N4987">
        <f>IF(L4987="", "", L4987-B4987)</f>
        <v/>
      </c>
      <c r="O4987">
        <f>IF(L4987="", "Pending", IF(N4987&lt;=30, "Met", "Breached"))</f>
        <v/>
      </c>
      <c r="P4987" s="8" t="n"/>
      <c r="Q4987" s="8" t="n"/>
      <c r="R4987" s="8" t="n"/>
      <c r="S4987" s="8" t="n"/>
      <c r="T4987" s="8" t="n"/>
      <c r="U4987" s="8" t="n"/>
      <c r="V4987" s="8" t="n"/>
      <c r="W4987" s="8" t="n"/>
      <c r="X4987" s="8" t="n"/>
      <c r="Y4987" s="8" t="n"/>
    </row>
    <row r="4988">
      <c r="A4988" s="8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9">
        <f>B4988+30</f>
        <v/>
      </c>
      <c r="N4988">
        <f>IF(L4988="", "", L4988-B4988)</f>
        <v/>
      </c>
      <c r="O4988">
        <f>IF(L4988="", "Pending", IF(N4988&lt;=30, "Met", "Breached"))</f>
        <v/>
      </c>
      <c r="P4988" s="8" t="n"/>
      <c r="Q4988" s="8" t="n"/>
      <c r="R4988" s="8" t="n"/>
      <c r="S4988" s="8" t="n"/>
      <c r="T4988" s="8" t="n"/>
      <c r="U4988" s="8" t="n"/>
      <c r="V4988" s="8" t="n"/>
      <c r="W4988" s="8" t="n"/>
      <c r="X4988" s="8" t="n"/>
      <c r="Y4988" s="8" t="n"/>
    </row>
    <row r="4989">
      <c r="A4989" s="8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9">
        <f>B4989+30</f>
        <v/>
      </c>
      <c r="N4989">
        <f>IF(L4989="", "", L4989-B4989)</f>
        <v/>
      </c>
      <c r="O4989">
        <f>IF(L4989="", "Pending", IF(N4989&lt;=30, "Met", "Breached"))</f>
        <v/>
      </c>
      <c r="P4989" s="8" t="n"/>
      <c r="Q4989" s="8" t="n"/>
      <c r="R4989" s="8" t="n"/>
      <c r="S4989" s="8" t="n"/>
      <c r="T4989" s="8" t="n"/>
      <c r="U4989" s="8" t="n"/>
      <c r="V4989" s="8" t="n"/>
      <c r="W4989" s="8" t="n"/>
      <c r="X4989" s="8" t="n"/>
      <c r="Y4989" s="8" t="n"/>
    </row>
    <row r="4990">
      <c r="A4990" s="8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9">
        <f>B4990+30</f>
        <v/>
      </c>
      <c r="N4990">
        <f>IF(L4990="", "", L4990-B4990)</f>
        <v/>
      </c>
      <c r="O4990">
        <f>IF(L4990="", "Pending", IF(N4990&lt;=30, "Met", "Breached"))</f>
        <v/>
      </c>
      <c r="P4990" s="8" t="n"/>
      <c r="Q4990" s="8" t="n"/>
      <c r="R4990" s="8" t="n"/>
      <c r="S4990" s="8" t="n"/>
      <c r="T4990" s="8" t="n"/>
      <c r="U4990" s="8" t="n"/>
      <c r="V4990" s="8" t="n"/>
      <c r="W4990" s="8" t="n"/>
      <c r="X4990" s="8" t="n"/>
      <c r="Y4990" s="8" t="n"/>
    </row>
    <row r="4991">
      <c r="A4991" s="8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9">
        <f>B4991+30</f>
        <v/>
      </c>
      <c r="N4991">
        <f>IF(L4991="", "", L4991-B4991)</f>
        <v/>
      </c>
      <c r="O4991">
        <f>IF(L4991="", "Pending", IF(N4991&lt;=30, "Met", "Breached"))</f>
        <v/>
      </c>
      <c r="P4991" s="8" t="n"/>
      <c r="Q4991" s="8" t="n"/>
      <c r="R4991" s="8" t="n"/>
      <c r="S4991" s="8" t="n"/>
      <c r="T4991" s="8" t="n"/>
      <c r="U4991" s="8" t="n"/>
      <c r="V4991" s="8" t="n"/>
      <c r="W4991" s="8" t="n"/>
      <c r="X4991" s="8" t="n"/>
      <c r="Y4991" s="8" t="n"/>
    </row>
    <row r="4992">
      <c r="A4992" s="8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9">
        <f>B4992+30</f>
        <v/>
      </c>
      <c r="N4992">
        <f>IF(L4992="", "", L4992-B4992)</f>
        <v/>
      </c>
      <c r="O4992">
        <f>IF(L4992="", "Pending", IF(N4992&lt;=30, "Met", "Breached"))</f>
        <v/>
      </c>
      <c r="P4992" s="8" t="n"/>
      <c r="Q4992" s="8" t="n"/>
      <c r="R4992" s="8" t="n"/>
      <c r="S4992" s="8" t="n"/>
      <c r="T4992" s="8" t="n"/>
      <c r="U4992" s="8" t="n"/>
      <c r="V4992" s="8" t="n"/>
      <c r="W4992" s="8" t="n"/>
      <c r="X4992" s="8" t="n"/>
      <c r="Y4992" s="8" t="n"/>
    </row>
    <row r="4993">
      <c r="A4993" s="8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9">
        <f>B4993+30</f>
        <v/>
      </c>
      <c r="N4993">
        <f>IF(L4993="", "", L4993-B4993)</f>
        <v/>
      </c>
      <c r="O4993">
        <f>IF(L4993="", "Pending", IF(N4993&lt;=30, "Met", "Breached"))</f>
        <v/>
      </c>
      <c r="P4993" s="8" t="n"/>
      <c r="Q4993" s="8" t="n"/>
      <c r="R4993" s="8" t="n"/>
      <c r="S4993" s="8" t="n"/>
      <c r="T4993" s="8" t="n"/>
      <c r="U4993" s="8" t="n"/>
      <c r="V4993" s="8" t="n"/>
      <c r="W4993" s="8" t="n"/>
      <c r="X4993" s="8" t="n"/>
      <c r="Y4993" s="8" t="n"/>
    </row>
    <row r="4994">
      <c r="A4994" s="8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9">
        <f>B4994+30</f>
        <v/>
      </c>
      <c r="N4994">
        <f>IF(L4994="", "", L4994-B4994)</f>
        <v/>
      </c>
      <c r="O4994">
        <f>IF(L4994="", "Pending", IF(N4994&lt;=30, "Met", "Breached"))</f>
        <v/>
      </c>
      <c r="P4994" s="8" t="n"/>
      <c r="Q4994" s="8" t="n"/>
      <c r="R4994" s="8" t="n"/>
      <c r="S4994" s="8" t="n"/>
      <c r="T4994" s="8" t="n"/>
      <c r="U4994" s="8" t="n"/>
      <c r="V4994" s="8" t="n"/>
      <c r="W4994" s="8" t="n"/>
      <c r="X4994" s="8" t="n"/>
      <c r="Y4994" s="8" t="n"/>
    </row>
    <row r="4995">
      <c r="A4995" s="8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9">
        <f>B4995+30</f>
        <v/>
      </c>
      <c r="N4995">
        <f>IF(L4995="", "", L4995-B4995)</f>
        <v/>
      </c>
      <c r="O4995">
        <f>IF(L4995="", "Pending", IF(N4995&lt;=30, "Met", "Breached"))</f>
        <v/>
      </c>
      <c r="P4995" s="8" t="n"/>
      <c r="Q4995" s="8" t="n"/>
      <c r="R4995" s="8" t="n"/>
      <c r="S4995" s="8" t="n"/>
      <c r="T4995" s="8" t="n"/>
      <c r="U4995" s="8" t="n"/>
      <c r="V4995" s="8" t="n"/>
      <c r="W4995" s="8" t="n"/>
      <c r="X4995" s="8" t="n"/>
      <c r="Y4995" s="8" t="n"/>
    </row>
    <row r="4996">
      <c r="A4996" s="8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9">
        <f>B4996+30</f>
        <v/>
      </c>
      <c r="N4996">
        <f>IF(L4996="", "", L4996-B4996)</f>
        <v/>
      </c>
      <c r="O4996">
        <f>IF(L4996="", "Pending", IF(N4996&lt;=30, "Met", "Breached"))</f>
        <v/>
      </c>
      <c r="P4996" s="8" t="n"/>
      <c r="Q4996" s="8" t="n"/>
      <c r="R4996" s="8" t="n"/>
      <c r="S4996" s="8" t="n"/>
      <c r="T4996" s="8" t="n"/>
      <c r="U4996" s="8" t="n"/>
      <c r="V4996" s="8" t="n"/>
      <c r="W4996" s="8" t="n"/>
      <c r="X4996" s="8" t="n"/>
      <c r="Y4996" s="8" t="n"/>
    </row>
    <row r="4997">
      <c r="A4997" s="8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9">
        <f>B4997+30</f>
        <v/>
      </c>
      <c r="N4997">
        <f>IF(L4997="", "", L4997-B4997)</f>
        <v/>
      </c>
      <c r="O4997">
        <f>IF(L4997="", "Pending", IF(N4997&lt;=30, "Met", "Breached"))</f>
        <v/>
      </c>
      <c r="P4997" s="8" t="n"/>
      <c r="Q4997" s="8" t="n"/>
      <c r="R4997" s="8" t="n"/>
      <c r="S4997" s="8" t="n"/>
      <c r="T4997" s="8" t="n"/>
      <c r="U4997" s="8" t="n"/>
      <c r="V4997" s="8" t="n"/>
      <c r="W4997" s="8" t="n"/>
      <c r="X4997" s="8" t="n"/>
      <c r="Y4997" s="8" t="n"/>
    </row>
    <row r="4998">
      <c r="A4998" s="8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9">
        <f>B4998+30</f>
        <v/>
      </c>
      <c r="N4998">
        <f>IF(L4998="", "", L4998-B4998)</f>
        <v/>
      </c>
      <c r="O4998">
        <f>IF(L4998="", "Pending", IF(N4998&lt;=30, "Met", "Breached"))</f>
        <v/>
      </c>
      <c r="P4998" s="8" t="n"/>
      <c r="Q4998" s="8" t="n"/>
      <c r="R4998" s="8" t="n"/>
      <c r="S4998" s="8" t="n"/>
      <c r="T4998" s="8" t="n"/>
      <c r="U4998" s="8" t="n"/>
      <c r="V4998" s="8" t="n"/>
      <c r="W4998" s="8" t="n"/>
      <c r="X4998" s="8" t="n"/>
      <c r="Y4998" s="8" t="n"/>
    </row>
    <row r="4999">
      <c r="A4999" s="8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9">
        <f>B4999+30</f>
        <v/>
      </c>
      <c r="N4999">
        <f>IF(L4999="", "", L4999-B4999)</f>
        <v/>
      </c>
      <c r="O4999">
        <f>IF(L4999="", "Pending", IF(N4999&lt;=30, "Met", "Breached"))</f>
        <v/>
      </c>
      <c r="P4999" s="8" t="n"/>
      <c r="Q4999" s="8" t="n"/>
      <c r="R4999" s="8" t="n"/>
      <c r="S4999" s="8" t="n"/>
      <c r="T4999" s="8" t="n"/>
      <c r="U4999" s="8" t="n"/>
      <c r="V4999" s="8" t="n"/>
      <c r="W4999" s="8" t="n"/>
      <c r="X4999" s="8" t="n"/>
      <c r="Y4999" s="8" t="n"/>
    </row>
    <row r="5000">
      <c r="A5000" s="8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9">
        <f>B5000+30</f>
        <v/>
      </c>
      <c r="N5000">
        <f>IF(L5000="", "", L5000-B5000)</f>
        <v/>
      </c>
      <c r="O5000">
        <f>IF(L5000="", "Pending", IF(N5000&lt;=30, "Met", "Breached"))</f>
        <v/>
      </c>
      <c r="P5000" s="8" t="n"/>
      <c r="Q5000" s="8" t="n"/>
      <c r="R5000" s="8" t="n"/>
      <c r="S5000" s="8" t="n"/>
      <c r="T5000" s="8" t="n"/>
      <c r="U5000" s="8" t="n"/>
      <c r="V5000" s="8" t="n"/>
      <c r="W5000" s="8" t="n"/>
      <c r="X5000" s="8" t="n"/>
      <c r="Y5000" s="8" t="n"/>
    </row>
    <row r="5001">
      <c r="A5001" s="8" t="n"/>
      <c r="B5001" s="8" t="n"/>
      <c r="C5001" s="8" t="n"/>
      <c r="D5001" s="8" t="n"/>
      <c r="E5001" s="8" t="n"/>
      <c r="F5001" s="8" t="n"/>
      <c r="G5001" s="8" t="n"/>
      <c r="H5001" s="8" t="n"/>
      <c r="I5001" s="8" t="n"/>
      <c r="J5001" s="8" t="n"/>
      <c r="K5001" s="8" t="n"/>
      <c r="L5001" s="8" t="n"/>
      <c r="M5001" s="9">
        <f>B5001+30</f>
        <v/>
      </c>
      <c r="N5001">
        <f>IF(L5001="", "", L5001-B5001)</f>
        <v/>
      </c>
      <c r="O5001">
        <f>IF(L5001="", "Pending", IF(N5001&lt;=30, "Met", "Breached"))</f>
        <v/>
      </c>
      <c r="P5001" s="8" t="n"/>
      <c r="Q5001" s="8" t="n"/>
      <c r="R5001" s="8" t="n"/>
      <c r="S5001" s="8" t="n"/>
      <c r="T5001" s="8" t="n"/>
      <c r="U5001" s="8" t="n"/>
      <c r="V5001" s="8" t="n"/>
      <c r="W5001" s="8" t="n"/>
      <c r="X5001" s="8" t="n"/>
      <c r="Y5001" s="8" t="n"/>
    </row>
    <row r="5002">
      <c r="A5002" s="8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8" t="n"/>
      <c r="K5002" s="8" t="n"/>
      <c r="L5002" s="8" t="n"/>
      <c r="M5002" s="9">
        <f>B5002+30</f>
        <v/>
      </c>
      <c r="N5002">
        <f>IF(L5002="", "", L5002-B5002)</f>
        <v/>
      </c>
      <c r="O5002">
        <f>IF(L5002="", "Pending", IF(N5002&lt;=30, "Met", "Breached"))</f>
        <v/>
      </c>
      <c r="P5002" s="8" t="n"/>
      <c r="Q5002" s="8" t="n"/>
      <c r="R5002" s="8" t="n"/>
      <c r="S5002" s="8" t="n"/>
      <c r="T5002" s="8" t="n"/>
      <c r="U5002" s="8" t="n"/>
      <c r="V5002" s="8" t="n"/>
      <c r="W5002" s="8" t="n"/>
      <c r="X5002" s="8" t="n"/>
      <c r="Y5002" s="8" t="n"/>
    </row>
    <row r="5003">
      <c r="A5003" s="8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8" t="n"/>
      <c r="K5003" s="8" t="n"/>
      <c r="L5003" s="8" t="n"/>
      <c r="M5003" s="9">
        <f>B5003+30</f>
        <v/>
      </c>
      <c r="N5003">
        <f>IF(L5003="", "", L5003-B5003)</f>
        <v/>
      </c>
      <c r="O5003">
        <f>IF(L5003="", "Pending", IF(N5003&lt;=30, "Met", "Breached"))</f>
        <v/>
      </c>
      <c r="P5003" s="8" t="n"/>
      <c r="Q5003" s="8" t="n"/>
      <c r="R5003" s="8" t="n"/>
      <c r="S5003" s="8" t="n"/>
      <c r="T5003" s="8" t="n"/>
      <c r="U5003" s="8" t="n"/>
      <c r="V5003" s="8" t="n"/>
      <c r="W5003" s="8" t="n"/>
      <c r="X5003" s="8" t="n"/>
      <c r="Y5003" s="8" t="n"/>
    </row>
    <row r="5004">
      <c r="A5004" s="8" t="n"/>
      <c r="B5004" s="8" t="n"/>
      <c r="C5004" s="8" t="n"/>
      <c r="D5004" s="8" t="n"/>
      <c r="E5004" s="8" t="n"/>
      <c r="F5004" s="8" t="n"/>
      <c r="G5004" s="8" t="n"/>
      <c r="H5004" s="8" t="n"/>
      <c r="I5004" s="8" t="n"/>
      <c r="J5004" s="8" t="n"/>
      <c r="K5004" s="8" t="n"/>
      <c r="L5004" s="8" t="n"/>
      <c r="M5004" s="9">
        <f>B5004+30</f>
        <v/>
      </c>
      <c r="N5004">
        <f>IF(L5004="", "", L5004-B5004)</f>
        <v/>
      </c>
      <c r="O5004">
        <f>IF(L5004="", "Pending", IF(N5004&lt;=30, "Met", "Breached"))</f>
        <v/>
      </c>
      <c r="P5004" s="8" t="n"/>
      <c r="Q5004" s="8" t="n"/>
      <c r="R5004" s="8" t="n"/>
      <c r="S5004" s="8" t="n"/>
      <c r="T5004" s="8" t="n"/>
      <c r="U5004" s="8" t="n"/>
      <c r="V5004" s="8" t="n"/>
      <c r="W5004" s="8" t="n"/>
      <c r="X5004" s="8" t="n"/>
      <c r="Y5004" s="8" t="n"/>
    </row>
    <row r="5005">
      <c r="A5005" s="8" t="n"/>
      <c r="B5005" s="8" t="n"/>
      <c r="C5005" s="8" t="n"/>
      <c r="D5005" s="8" t="n"/>
      <c r="E5005" s="8" t="n"/>
      <c r="F5005" s="8" t="n"/>
      <c r="G5005" s="8" t="n"/>
      <c r="H5005" s="8" t="n"/>
      <c r="I5005" s="8" t="n"/>
      <c r="J5005" s="8" t="n"/>
      <c r="K5005" s="8" t="n"/>
      <c r="L5005" s="8" t="n"/>
      <c r="M5005" s="9">
        <f>B5005+30</f>
        <v/>
      </c>
      <c r="N5005">
        <f>IF(L5005="", "", L5005-B5005)</f>
        <v/>
      </c>
      <c r="O5005">
        <f>IF(L5005="", "Pending", IF(N5005&lt;=30, "Met", "Breached"))</f>
        <v/>
      </c>
      <c r="P5005" s="8" t="n"/>
      <c r="Q5005" s="8" t="n"/>
      <c r="R5005" s="8" t="n"/>
      <c r="S5005" s="8" t="n"/>
      <c r="T5005" s="8" t="n"/>
      <c r="U5005" s="8" t="n"/>
      <c r="V5005" s="8" t="n"/>
      <c r="W5005" s="8" t="n"/>
      <c r="X5005" s="8" t="n"/>
      <c r="Y5005" s="8" t="n"/>
    </row>
    <row r="5006">
      <c r="A5006" s="8" t="n"/>
      <c r="B5006" s="8" t="n"/>
      <c r="C5006" s="8" t="n"/>
      <c r="D5006" s="8" t="n"/>
      <c r="E5006" s="8" t="n"/>
      <c r="F5006" s="8" t="n"/>
      <c r="G5006" s="8" t="n"/>
      <c r="H5006" s="8" t="n"/>
      <c r="I5006" s="8" t="n"/>
      <c r="J5006" s="8" t="n"/>
      <c r="K5006" s="8" t="n"/>
      <c r="L5006" s="8" t="n"/>
      <c r="M5006" s="9">
        <f>B5006+30</f>
        <v/>
      </c>
      <c r="N5006">
        <f>IF(L5006="", "", L5006-B5006)</f>
        <v/>
      </c>
      <c r="O5006">
        <f>IF(L5006="", "Pending", IF(N5006&lt;=30, "Met", "Breached"))</f>
        <v/>
      </c>
      <c r="P5006" s="8" t="n"/>
      <c r="Q5006" s="8" t="n"/>
      <c r="R5006" s="8" t="n"/>
      <c r="S5006" s="8" t="n"/>
      <c r="T5006" s="8" t="n"/>
      <c r="U5006" s="8" t="n"/>
      <c r="V5006" s="8" t="n"/>
      <c r="W5006" s="8" t="n"/>
      <c r="X5006" s="8" t="n"/>
      <c r="Y5006" s="8" t="n"/>
    </row>
    <row r="5007">
      <c r="A5007" s="8" t="n"/>
      <c r="B5007" s="8" t="n"/>
      <c r="C5007" s="8" t="n"/>
      <c r="D5007" s="8" t="n"/>
      <c r="E5007" s="8" t="n"/>
      <c r="F5007" s="8" t="n"/>
      <c r="G5007" s="8" t="n"/>
      <c r="H5007" s="8" t="n"/>
      <c r="I5007" s="8" t="n"/>
      <c r="J5007" s="8" t="n"/>
      <c r="K5007" s="8" t="n"/>
      <c r="L5007" s="8" t="n"/>
      <c r="M5007" s="9">
        <f>B5007+30</f>
        <v/>
      </c>
      <c r="N5007">
        <f>IF(L5007="", "", L5007-B5007)</f>
        <v/>
      </c>
      <c r="O5007">
        <f>IF(L5007="", "Pending", IF(N5007&lt;=30, "Met", "Breached"))</f>
        <v/>
      </c>
      <c r="P5007" s="8" t="n"/>
      <c r="Q5007" s="8" t="n"/>
      <c r="R5007" s="8" t="n"/>
      <c r="S5007" s="8" t="n"/>
      <c r="T5007" s="8" t="n"/>
      <c r="U5007" s="8" t="n"/>
      <c r="V5007" s="8" t="n"/>
      <c r="W5007" s="8" t="n"/>
      <c r="X5007" s="8" t="n"/>
      <c r="Y5007" s="8" t="n"/>
    </row>
    <row r="5008">
      <c r="A5008" s="8" t="n"/>
      <c r="B5008" s="8" t="n"/>
      <c r="C5008" s="8" t="n"/>
      <c r="D5008" s="8" t="n"/>
      <c r="E5008" s="8" t="n"/>
      <c r="F5008" s="8" t="n"/>
      <c r="G5008" s="8" t="n"/>
      <c r="H5008" s="8" t="n"/>
      <c r="I5008" s="8" t="n"/>
      <c r="J5008" s="8" t="n"/>
      <c r="K5008" s="8" t="n"/>
      <c r="L5008" s="8" t="n"/>
      <c r="M5008" s="9">
        <f>B5008+30</f>
        <v/>
      </c>
      <c r="N5008">
        <f>IF(L5008="", "", L5008-B5008)</f>
        <v/>
      </c>
      <c r="O5008">
        <f>IF(L5008="", "Pending", IF(N5008&lt;=30, "Met", "Breached"))</f>
        <v/>
      </c>
      <c r="P5008" s="8" t="n"/>
      <c r="Q5008" s="8" t="n"/>
      <c r="R5008" s="8" t="n"/>
      <c r="S5008" s="8" t="n"/>
      <c r="T5008" s="8" t="n"/>
      <c r="U5008" s="8" t="n"/>
      <c r="V5008" s="8" t="n"/>
      <c r="W5008" s="8" t="n"/>
      <c r="X5008" s="8" t="n"/>
      <c r="Y5008" s="8" t="n"/>
    </row>
    <row r="5009">
      <c r="A5009" s="8" t="n"/>
      <c r="B5009" s="8" t="n"/>
      <c r="C5009" s="8" t="n"/>
      <c r="D5009" s="8" t="n"/>
      <c r="E5009" s="8" t="n"/>
      <c r="F5009" s="8" t="n"/>
      <c r="G5009" s="8" t="n"/>
      <c r="H5009" s="8" t="n"/>
      <c r="I5009" s="8" t="n"/>
      <c r="J5009" s="8" t="n"/>
      <c r="K5009" s="8" t="n"/>
      <c r="L5009" s="8" t="n"/>
      <c r="M5009" s="9">
        <f>B5009+30</f>
        <v/>
      </c>
      <c r="N5009">
        <f>IF(L5009="", "", L5009-B5009)</f>
        <v/>
      </c>
      <c r="O5009">
        <f>IF(L5009="", "Pending", IF(N5009&lt;=30, "Met", "Breached"))</f>
        <v/>
      </c>
      <c r="P5009" s="8" t="n"/>
      <c r="Q5009" s="8" t="n"/>
      <c r="R5009" s="8" t="n"/>
      <c r="S5009" s="8" t="n"/>
      <c r="T5009" s="8" t="n"/>
      <c r="U5009" s="8" t="n"/>
      <c r="V5009" s="8" t="n"/>
      <c r="W5009" s="8" t="n"/>
      <c r="X5009" s="8" t="n"/>
      <c r="Y5009" s="8" t="n"/>
    </row>
    <row r="5010">
      <c r="A5010" s="8" t="n"/>
      <c r="B5010" s="8" t="n"/>
      <c r="C5010" s="8" t="n"/>
      <c r="D5010" s="8" t="n"/>
      <c r="E5010" s="8" t="n"/>
      <c r="F5010" s="8" t="n"/>
      <c r="G5010" s="8" t="n"/>
      <c r="H5010" s="8" t="n"/>
      <c r="I5010" s="8" t="n"/>
      <c r="J5010" s="8" t="n"/>
      <c r="K5010" s="8" t="n"/>
      <c r="L5010" s="8" t="n"/>
      <c r="M5010" s="9">
        <f>B5010+30</f>
        <v/>
      </c>
      <c r="N5010">
        <f>IF(L5010="", "", L5010-B5010)</f>
        <v/>
      </c>
      <c r="O5010">
        <f>IF(L5010="", "Pending", IF(N5010&lt;=30, "Met", "Breached"))</f>
        <v/>
      </c>
      <c r="P5010" s="8" t="n"/>
      <c r="Q5010" s="8" t="n"/>
      <c r="R5010" s="8" t="n"/>
      <c r="S5010" s="8" t="n"/>
      <c r="T5010" s="8" t="n"/>
      <c r="U5010" s="8" t="n"/>
      <c r="V5010" s="8" t="n"/>
      <c r="W5010" s="8" t="n"/>
      <c r="X5010" s="8" t="n"/>
      <c r="Y5010" s="8" t="n"/>
    </row>
    <row r="5011">
      <c r="A5011" s="8" t="n"/>
      <c r="B5011" s="8" t="n"/>
      <c r="C5011" s="8" t="n"/>
      <c r="D5011" s="8" t="n"/>
      <c r="E5011" s="8" t="n"/>
      <c r="F5011" s="8" t="n"/>
      <c r="G5011" s="8" t="n"/>
      <c r="H5011" s="8" t="n"/>
      <c r="I5011" s="8" t="n"/>
      <c r="J5011" s="8" t="n"/>
      <c r="K5011" s="8" t="n"/>
      <c r="L5011" s="8" t="n"/>
      <c r="M5011" s="9">
        <f>B5011+30</f>
        <v/>
      </c>
      <c r="N5011">
        <f>IF(L5011="", "", L5011-B5011)</f>
        <v/>
      </c>
      <c r="O5011">
        <f>IF(L5011="", "Pending", IF(N5011&lt;=30, "Met", "Breached"))</f>
        <v/>
      </c>
      <c r="P5011" s="8" t="n"/>
      <c r="Q5011" s="8" t="n"/>
      <c r="R5011" s="8" t="n"/>
      <c r="S5011" s="8" t="n"/>
      <c r="T5011" s="8" t="n"/>
      <c r="U5011" s="8" t="n"/>
      <c r="V5011" s="8" t="n"/>
      <c r="W5011" s="8" t="n"/>
      <c r="X5011" s="8" t="n"/>
      <c r="Y5011" s="8" t="n"/>
    </row>
    <row r="5012">
      <c r="A5012" s="8" t="n"/>
      <c r="B5012" s="8" t="n"/>
      <c r="C5012" s="8" t="n"/>
      <c r="D5012" s="8" t="n"/>
      <c r="E5012" s="8" t="n"/>
      <c r="F5012" s="8" t="n"/>
      <c r="G5012" s="8" t="n"/>
      <c r="H5012" s="8" t="n"/>
      <c r="I5012" s="8" t="n"/>
      <c r="J5012" s="8" t="n"/>
      <c r="K5012" s="8" t="n"/>
      <c r="L5012" s="8" t="n"/>
      <c r="M5012" s="9">
        <f>B5012+30</f>
        <v/>
      </c>
      <c r="N5012">
        <f>IF(L5012="", "", L5012-B5012)</f>
        <v/>
      </c>
      <c r="O5012">
        <f>IF(L5012="", "Pending", IF(N5012&lt;=30, "Met", "Breached"))</f>
        <v/>
      </c>
      <c r="P5012" s="8" t="n"/>
      <c r="Q5012" s="8" t="n"/>
      <c r="R5012" s="8" t="n"/>
      <c r="S5012" s="8" t="n"/>
      <c r="T5012" s="8" t="n"/>
      <c r="U5012" s="8" t="n"/>
      <c r="V5012" s="8" t="n"/>
      <c r="W5012" s="8" t="n"/>
      <c r="X5012" s="8" t="n"/>
      <c r="Y5012" s="8" t="n"/>
    </row>
    <row r="5013">
      <c r="A5013" s="8" t="n"/>
      <c r="B5013" s="8" t="n"/>
      <c r="C5013" s="8" t="n"/>
      <c r="D5013" s="8" t="n"/>
      <c r="E5013" s="8" t="n"/>
      <c r="F5013" s="8" t="n"/>
      <c r="G5013" s="8" t="n"/>
      <c r="H5013" s="8" t="n"/>
      <c r="I5013" s="8" t="n"/>
      <c r="J5013" s="8" t="n"/>
      <c r="K5013" s="8" t="n"/>
      <c r="L5013" s="8" t="n"/>
      <c r="M5013" s="9">
        <f>B5013+30</f>
        <v/>
      </c>
      <c r="N5013">
        <f>IF(L5013="", "", L5013-B5013)</f>
        <v/>
      </c>
      <c r="O5013">
        <f>IF(L5013="", "Pending", IF(N5013&lt;=30, "Met", "Breached"))</f>
        <v/>
      </c>
      <c r="P5013" s="8" t="n"/>
      <c r="Q5013" s="8" t="n"/>
      <c r="R5013" s="8" t="n"/>
      <c r="S5013" s="8" t="n"/>
      <c r="T5013" s="8" t="n"/>
      <c r="U5013" s="8" t="n"/>
      <c r="V5013" s="8" t="n"/>
      <c r="W5013" s="8" t="n"/>
      <c r="X5013" s="8" t="n"/>
      <c r="Y5013" s="8" t="n"/>
    </row>
    <row r="5014">
      <c r="A5014" s="8" t="n"/>
      <c r="B5014" s="8" t="n"/>
      <c r="C5014" s="8" t="n"/>
      <c r="D5014" s="8" t="n"/>
      <c r="E5014" s="8" t="n"/>
      <c r="F5014" s="8" t="n"/>
      <c r="G5014" s="8" t="n"/>
      <c r="H5014" s="8" t="n"/>
      <c r="I5014" s="8" t="n"/>
      <c r="J5014" s="8" t="n"/>
      <c r="K5014" s="8" t="n"/>
      <c r="L5014" s="8" t="n"/>
      <c r="M5014" s="9">
        <f>B5014+30</f>
        <v/>
      </c>
      <c r="N5014">
        <f>IF(L5014="", "", L5014-B5014)</f>
        <v/>
      </c>
      <c r="O5014">
        <f>IF(L5014="", "Pending", IF(N5014&lt;=30, "Met", "Breached"))</f>
        <v/>
      </c>
      <c r="P5014" s="8" t="n"/>
      <c r="Q5014" s="8" t="n"/>
      <c r="R5014" s="8" t="n"/>
      <c r="S5014" s="8" t="n"/>
      <c r="T5014" s="8" t="n"/>
      <c r="U5014" s="8" t="n"/>
      <c r="V5014" s="8" t="n"/>
      <c r="W5014" s="8" t="n"/>
      <c r="X5014" s="8" t="n"/>
      <c r="Y5014" s="8" t="n"/>
    </row>
    <row r="5015">
      <c r="A5015" s="8" t="n"/>
      <c r="B5015" s="8" t="n"/>
      <c r="C5015" s="8" t="n"/>
      <c r="D5015" s="8" t="n"/>
      <c r="E5015" s="8" t="n"/>
      <c r="F5015" s="8" t="n"/>
      <c r="G5015" s="8" t="n"/>
      <c r="H5015" s="8" t="n"/>
      <c r="I5015" s="8" t="n"/>
      <c r="J5015" s="8" t="n"/>
      <c r="K5015" s="8" t="n"/>
      <c r="L5015" s="8" t="n"/>
      <c r="M5015" s="9">
        <f>B5015+30</f>
        <v/>
      </c>
      <c r="N5015">
        <f>IF(L5015="", "", L5015-B5015)</f>
        <v/>
      </c>
      <c r="O5015">
        <f>IF(L5015="", "Pending", IF(N5015&lt;=30, "Met", "Breached"))</f>
        <v/>
      </c>
      <c r="P5015" s="8" t="n"/>
      <c r="Q5015" s="8" t="n"/>
      <c r="R5015" s="8" t="n"/>
      <c r="S5015" s="8" t="n"/>
      <c r="T5015" s="8" t="n"/>
      <c r="U5015" s="8" t="n"/>
      <c r="V5015" s="8" t="n"/>
      <c r="W5015" s="8" t="n"/>
      <c r="X5015" s="8" t="n"/>
      <c r="Y5015" s="8" t="n"/>
    </row>
    <row r="5016">
      <c r="A5016" s="8" t="n"/>
      <c r="B5016" s="8" t="n"/>
      <c r="C5016" s="8" t="n"/>
      <c r="D5016" s="8" t="n"/>
      <c r="E5016" s="8" t="n"/>
      <c r="F5016" s="8" t="n"/>
      <c r="G5016" s="8" t="n"/>
      <c r="H5016" s="8" t="n"/>
      <c r="I5016" s="8" t="n"/>
      <c r="J5016" s="8" t="n"/>
      <c r="K5016" s="8" t="n"/>
      <c r="L5016" s="8" t="n"/>
      <c r="M5016" s="9">
        <f>B5016+30</f>
        <v/>
      </c>
      <c r="N5016">
        <f>IF(L5016="", "", L5016-B5016)</f>
        <v/>
      </c>
      <c r="O5016">
        <f>IF(L5016="", "Pending", IF(N5016&lt;=30, "Met", "Breached"))</f>
        <v/>
      </c>
      <c r="P5016" s="8" t="n"/>
      <c r="Q5016" s="8" t="n"/>
      <c r="R5016" s="8" t="n"/>
      <c r="S5016" s="8" t="n"/>
      <c r="T5016" s="8" t="n"/>
      <c r="U5016" s="8" t="n"/>
      <c r="V5016" s="8" t="n"/>
      <c r="W5016" s="8" t="n"/>
      <c r="X5016" s="8" t="n"/>
      <c r="Y5016" s="8" t="n"/>
    </row>
    <row r="5017">
      <c r="A5017" s="8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8" t="n"/>
      <c r="K5017" s="8" t="n"/>
      <c r="L5017" s="8" t="n"/>
      <c r="M5017" s="9">
        <f>B5017+30</f>
        <v/>
      </c>
      <c r="N5017">
        <f>IF(L5017="", "", L5017-B5017)</f>
        <v/>
      </c>
      <c r="O5017">
        <f>IF(L5017="", "Pending", IF(N5017&lt;=30, "Met", "Breached"))</f>
        <v/>
      </c>
      <c r="P5017" s="8" t="n"/>
      <c r="Q5017" s="8" t="n"/>
      <c r="R5017" s="8" t="n"/>
      <c r="S5017" s="8" t="n"/>
      <c r="T5017" s="8" t="n"/>
      <c r="U5017" s="8" t="n"/>
      <c r="V5017" s="8" t="n"/>
      <c r="W5017" s="8" t="n"/>
      <c r="X5017" s="8" t="n"/>
      <c r="Y5017" s="8" t="n"/>
    </row>
    <row r="5018">
      <c r="A5018" s="8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8" t="n"/>
      <c r="K5018" s="8" t="n"/>
      <c r="L5018" s="8" t="n"/>
      <c r="M5018" s="9">
        <f>B5018+30</f>
        <v/>
      </c>
      <c r="N5018">
        <f>IF(L5018="", "", L5018-B5018)</f>
        <v/>
      </c>
      <c r="O5018">
        <f>IF(L5018="", "Pending", IF(N5018&lt;=30, "Met", "Breached"))</f>
        <v/>
      </c>
      <c r="P5018" s="8" t="n"/>
      <c r="Q5018" s="8" t="n"/>
      <c r="R5018" s="8" t="n"/>
      <c r="S5018" s="8" t="n"/>
      <c r="T5018" s="8" t="n"/>
      <c r="U5018" s="8" t="n"/>
      <c r="V5018" s="8" t="n"/>
      <c r="W5018" s="8" t="n"/>
      <c r="X5018" s="8" t="n"/>
      <c r="Y5018" s="8" t="n"/>
    </row>
    <row r="5019">
      <c r="A5019" s="8" t="n"/>
      <c r="B5019" s="8" t="n"/>
      <c r="C5019" s="8" t="n"/>
      <c r="D5019" s="8" t="n"/>
      <c r="E5019" s="8" t="n"/>
      <c r="F5019" s="8" t="n"/>
      <c r="G5019" s="8" t="n"/>
      <c r="H5019" s="8" t="n"/>
      <c r="I5019" s="8" t="n"/>
      <c r="J5019" s="8" t="n"/>
      <c r="K5019" s="8" t="n"/>
      <c r="L5019" s="8" t="n"/>
      <c r="M5019" s="9">
        <f>B5019+30</f>
        <v/>
      </c>
      <c r="N5019">
        <f>IF(L5019="", "", L5019-B5019)</f>
        <v/>
      </c>
      <c r="O5019">
        <f>IF(L5019="", "Pending", IF(N5019&lt;=30, "Met", "Breached"))</f>
        <v/>
      </c>
      <c r="P5019" s="8" t="n"/>
      <c r="Q5019" s="8" t="n"/>
      <c r="R5019" s="8" t="n"/>
      <c r="S5019" s="8" t="n"/>
      <c r="T5019" s="8" t="n"/>
      <c r="U5019" s="8" t="n"/>
      <c r="V5019" s="8" t="n"/>
      <c r="W5019" s="8" t="n"/>
      <c r="X5019" s="8" t="n"/>
      <c r="Y5019" s="8" t="n"/>
    </row>
    <row r="5020">
      <c r="A5020" s="8" t="n"/>
      <c r="B5020" s="8" t="n"/>
      <c r="C5020" s="8" t="n"/>
      <c r="D5020" s="8" t="n"/>
      <c r="E5020" s="8" t="n"/>
      <c r="F5020" s="8" t="n"/>
      <c r="G5020" s="8" t="n"/>
      <c r="H5020" s="8" t="n"/>
      <c r="I5020" s="8" t="n"/>
      <c r="J5020" s="8" t="n"/>
      <c r="K5020" s="8" t="n"/>
      <c r="L5020" s="8" t="n"/>
      <c r="M5020" s="9">
        <f>B5020+30</f>
        <v/>
      </c>
      <c r="N5020">
        <f>IF(L5020="", "", L5020-B5020)</f>
        <v/>
      </c>
      <c r="O5020">
        <f>IF(L5020="", "Pending", IF(N5020&lt;=30, "Met", "Breached"))</f>
        <v/>
      </c>
      <c r="P5020" s="8" t="n"/>
      <c r="Q5020" s="8" t="n"/>
      <c r="R5020" s="8" t="n"/>
      <c r="S5020" s="8" t="n"/>
      <c r="T5020" s="8" t="n"/>
      <c r="U5020" s="8" t="n"/>
      <c r="V5020" s="8" t="n"/>
      <c r="W5020" s="8" t="n"/>
      <c r="X5020" s="8" t="n"/>
      <c r="Y5020" s="8" t="n"/>
    </row>
    <row r="5021">
      <c r="A5021" s="8" t="n"/>
      <c r="B5021" s="8" t="n"/>
      <c r="C5021" s="8" t="n"/>
      <c r="D5021" s="8" t="n"/>
      <c r="E5021" s="8" t="n"/>
      <c r="F5021" s="8" t="n"/>
      <c r="G5021" s="8" t="n"/>
      <c r="H5021" s="8" t="n"/>
      <c r="I5021" s="8" t="n"/>
      <c r="J5021" s="8" t="n"/>
      <c r="K5021" s="8" t="n"/>
      <c r="L5021" s="8" t="n"/>
      <c r="M5021" s="9">
        <f>B5021+30</f>
        <v/>
      </c>
      <c r="N5021">
        <f>IF(L5021="", "", L5021-B5021)</f>
        <v/>
      </c>
      <c r="O5021">
        <f>IF(L5021="", "Pending", IF(N5021&lt;=30, "Met", "Breached"))</f>
        <v/>
      </c>
      <c r="P5021" s="8" t="n"/>
      <c r="Q5021" s="8" t="n"/>
      <c r="R5021" s="8" t="n"/>
      <c r="S5021" s="8" t="n"/>
      <c r="T5021" s="8" t="n"/>
      <c r="U5021" s="8" t="n"/>
      <c r="V5021" s="8" t="n"/>
      <c r="W5021" s="8" t="n"/>
      <c r="X5021" s="8" t="n"/>
      <c r="Y5021" s="8" t="n"/>
    </row>
    <row r="5022">
      <c r="A5022" s="8" t="n"/>
      <c r="B5022" s="8" t="n"/>
      <c r="C5022" s="8" t="n"/>
      <c r="D5022" s="8" t="n"/>
      <c r="E5022" s="8" t="n"/>
      <c r="F5022" s="8" t="n"/>
      <c r="G5022" s="8" t="n"/>
      <c r="H5022" s="8" t="n"/>
      <c r="I5022" s="8" t="n"/>
      <c r="J5022" s="8" t="n"/>
      <c r="K5022" s="8" t="n"/>
      <c r="L5022" s="8" t="n"/>
      <c r="M5022" s="9">
        <f>B5022+30</f>
        <v/>
      </c>
      <c r="N5022">
        <f>IF(L5022="", "", L5022-B5022)</f>
        <v/>
      </c>
      <c r="O5022">
        <f>IF(L5022="", "Pending", IF(N5022&lt;=30, "Met", "Breached"))</f>
        <v/>
      </c>
      <c r="P5022" s="8" t="n"/>
      <c r="Q5022" s="8" t="n"/>
      <c r="R5022" s="8" t="n"/>
      <c r="S5022" s="8" t="n"/>
      <c r="T5022" s="8" t="n"/>
      <c r="U5022" s="8" t="n"/>
      <c r="V5022" s="8" t="n"/>
      <c r="W5022" s="8" t="n"/>
      <c r="X5022" s="8" t="n"/>
      <c r="Y5022" s="8" t="n"/>
    </row>
    <row r="5023">
      <c r="A5023" s="8" t="n"/>
      <c r="B5023" s="8" t="n"/>
      <c r="C5023" s="8" t="n"/>
      <c r="D5023" s="8" t="n"/>
      <c r="E5023" s="8" t="n"/>
      <c r="F5023" s="8" t="n"/>
      <c r="G5023" s="8" t="n"/>
      <c r="H5023" s="8" t="n"/>
      <c r="I5023" s="8" t="n"/>
      <c r="J5023" s="8" t="n"/>
      <c r="K5023" s="8" t="n"/>
      <c r="L5023" s="8" t="n"/>
      <c r="M5023" s="9">
        <f>B5023+30</f>
        <v/>
      </c>
      <c r="N5023">
        <f>IF(L5023="", "", L5023-B5023)</f>
        <v/>
      </c>
      <c r="O5023">
        <f>IF(L5023="", "Pending", IF(N5023&lt;=30, "Met", "Breached"))</f>
        <v/>
      </c>
      <c r="P5023" s="8" t="n"/>
      <c r="Q5023" s="8" t="n"/>
      <c r="R5023" s="8" t="n"/>
      <c r="S5023" s="8" t="n"/>
      <c r="T5023" s="8" t="n"/>
      <c r="U5023" s="8" t="n"/>
      <c r="V5023" s="8" t="n"/>
      <c r="W5023" s="8" t="n"/>
      <c r="X5023" s="8" t="n"/>
      <c r="Y5023" s="8" t="n"/>
    </row>
    <row r="5024">
      <c r="A5024" s="8" t="n"/>
      <c r="B5024" s="8" t="n"/>
      <c r="C5024" s="8" t="n"/>
      <c r="D5024" s="8" t="n"/>
      <c r="E5024" s="8" t="n"/>
      <c r="F5024" s="8" t="n"/>
      <c r="G5024" s="8" t="n"/>
      <c r="H5024" s="8" t="n"/>
      <c r="I5024" s="8" t="n"/>
      <c r="J5024" s="8" t="n"/>
      <c r="K5024" s="8" t="n"/>
      <c r="L5024" s="8" t="n"/>
      <c r="M5024" s="9">
        <f>B5024+30</f>
        <v/>
      </c>
      <c r="N5024">
        <f>IF(L5024="", "", L5024-B5024)</f>
        <v/>
      </c>
      <c r="O5024">
        <f>IF(L5024="", "Pending", IF(N5024&lt;=30, "Met", "Breached"))</f>
        <v/>
      </c>
      <c r="P5024" s="8" t="n"/>
      <c r="Q5024" s="8" t="n"/>
      <c r="R5024" s="8" t="n"/>
      <c r="S5024" s="8" t="n"/>
      <c r="T5024" s="8" t="n"/>
      <c r="U5024" s="8" t="n"/>
      <c r="V5024" s="8" t="n"/>
      <c r="W5024" s="8" t="n"/>
      <c r="X5024" s="8" t="n"/>
      <c r="Y5024" s="8" t="n"/>
    </row>
    <row r="5025">
      <c r="A5025" s="8" t="n"/>
      <c r="B5025" s="8" t="n"/>
      <c r="C5025" s="8" t="n"/>
      <c r="D5025" s="8" t="n"/>
      <c r="E5025" s="8" t="n"/>
      <c r="F5025" s="8" t="n"/>
      <c r="G5025" s="8" t="n"/>
      <c r="H5025" s="8" t="n"/>
      <c r="I5025" s="8" t="n"/>
      <c r="J5025" s="8" t="n"/>
      <c r="K5025" s="8" t="n"/>
      <c r="L5025" s="8" t="n"/>
      <c r="M5025" s="9">
        <f>B5025+30</f>
        <v/>
      </c>
      <c r="N5025">
        <f>IF(L5025="", "", L5025-B5025)</f>
        <v/>
      </c>
      <c r="O5025">
        <f>IF(L5025="", "Pending", IF(N5025&lt;=30, "Met", "Breached"))</f>
        <v/>
      </c>
      <c r="P5025" s="8" t="n"/>
      <c r="Q5025" s="8" t="n"/>
      <c r="R5025" s="8" t="n"/>
      <c r="S5025" s="8" t="n"/>
      <c r="T5025" s="8" t="n"/>
      <c r="U5025" s="8" t="n"/>
      <c r="V5025" s="8" t="n"/>
      <c r="W5025" s="8" t="n"/>
      <c r="X5025" s="8" t="n"/>
      <c r="Y5025" s="8" t="n"/>
    </row>
    <row r="5026">
      <c r="A5026" s="8" t="n"/>
      <c r="B5026" s="8" t="n"/>
      <c r="C5026" s="8" t="n"/>
      <c r="D5026" s="8" t="n"/>
      <c r="E5026" s="8" t="n"/>
      <c r="F5026" s="8" t="n"/>
      <c r="G5026" s="8" t="n"/>
      <c r="H5026" s="8" t="n"/>
      <c r="I5026" s="8" t="n"/>
      <c r="J5026" s="8" t="n"/>
      <c r="K5026" s="8" t="n"/>
      <c r="L5026" s="8" t="n"/>
      <c r="M5026" s="9">
        <f>B5026+30</f>
        <v/>
      </c>
      <c r="N5026">
        <f>IF(L5026="", "", L5026-B5026)</f>
        <v/>
      </c>
      <c r="O5026">
        <f>IF(L5026="", "Pending", IF(N5026&lt;=30, "Met", "Breached"))</f>
        <v/>
      </c>
      <c r="P5026" s="8" t="n"/>
      <c r="Q5026" s="8" t="n"/>
      <c r="R5026" s="8" t="n"/>
      <c r="S5026" s="8" t="n"/>
      <c r="T5026" s="8" t="n"/>
      <c r="U5026" s="8" t="n"/>
      <c r="V5026" s="8" t="n"/>
      <c r="W5026" s="8" t="n"/>
      <c r="X5026" s="8" t="n"/>
      <c r="Y5026" s="8" t="n"/>
    </row>
    <row r="5027">
      <c r="A5027" s="8" t="n"/>
      <c r="B5027" s="8" t="n"/>
      <c r="C5027" s="8" t="n"/>
      <c r="D5027" s="8" t="n"/>
      <c r="E5027" s="8" t="n"/>
      <c r="F5027" s="8" t="n"/>
      <c r="G5027" s="8" t="n"/>
      <c r="H5027" s="8" t="n"/>
      <c r="I5027" s="8" t="n"/>
      <c r="J5027" s="8" t="n"/>
      <c r="K5027" s="8" t="n"/>
      <c r="L5027" s="8" t="n"/>
      <c r="M5027" s="9">
        <f>B5027+30</f>
        <v/>
      </c>
      <c r="N5027">
        <f>IF(L5027="", "", L5027-B5027)</f>
        <v/>
      </c>
      <c r="O5027">
        <f>IF(L5027="", "Pending", IF(N5027&lt;=30, "Met", "Breached"))</f>
        <v/>
      </c>
      <c r="P5027" s="8" t="n"/>
      <c r="Q5027" s="8" t="n"/>
      <c r="R5027" s="8" t="n"/>
      <c r="S5027" s="8" t="n"/>
      <c r="T5027" s="8" t="n"/>
      <c r="U5027" s="8" t="n"/>
      <c r="V5027" s="8" t="n"/>
      <c r="W5027" s="8" t="n"/>
      <c r="X5027" s="8" t="n"/>
      <c r="Y5027" s="8" t="n"/>
    </row>
    <row r="5028">
      <c r="A5028" s="8" t="n"/>
      <c r="B5028" s="8" t="n"/>
      <c r="C5028" s="8" t="n"/>
      <c r="D5028" s="8" t="n"/>
      <c r="E5028" s="8" t="n"/>
      <c r="F5028" s="8" t="n"/>
      <c r="G5028" s="8" t="n"/>
      <c r="H5028" s="8" t="n"/>
      <c r="I5028" s="8" t="n"/>
      <c r="J5028" s="8" t="n"/>
      <c r="K5028" s="8" t="n"/>
      <c r="L5028" s="8" t="n"/>
      <c r="M5028" s="9">
        <f>B5028+30</f>
        <v/>
      </c>
      <c r="N5028">
        <f>IF(L5028="", "", L5028-B5028)</f>
        <v/>
      </c>
      <c r="O5028">
        <f>IF(L5028="", "Pending", IF(N5028&lt;=30, "Met", "Breached"))</f>
        <v/>
      </c>
      <c r="P5028" s="8" t="n"/>
      <c r="Q5028" s="8" t="n"/>
      <c r="R5028" s="8" t="n"/>
      <c r="S5028" s="8" t="n"/>
      <c r="T5028" s="8" t="n"/>
      <c r="U5028" s="8" t="n"/>
      <c r="V5028" s="8" t="n"/>
      <c r="W5028" s="8" t="n"/>
      <c r="X5028" s="8" t="n"/>
      <c r="Y5028" s="8" t="n"/>
    </row>
    <row r="5029">
      <c r="A5029" s="8" t="n"/>
      <c r="B5029" s="8" t="n"/>
      <c r="C5029" s="8" t="n"/>
      <c r="D5029" s="8" t="n"/>
      <c r="E5029" s="8" t="n"/>
      <c r="F5029" s="8" t="n"/>
      <c r="G5029" s="8" t="n"/>
      <c r="H5029" s="8" t="n"/>
      <c r="I5029" s="8" t="n"/>
      <c r="J5029" s="8" t="n"/>
      <c r="K5029" s="8" t="n"/>
      <c r="L5029" s="8" t="n"/>
      <c r="M5029" s="9">
        <f>B5029+30</f>
        <v/>
      </c>
      <c r="N5029">
        <f>IF(L5029="", "", L5029-B5029)</f>
        <v/>
      </c>
      <c r="O5029">
        <f>IF(L5029="", "Pending", IF(N5029&lt;=30, "Met", "Breached"))</f>
        <v/>
      </c>
      <c r="P5029" s="8" t="n"/>
      <c r="Q5029" s="8" t="n"/>
      <c r="R5029" s="8" t="n"/>
      <c r="S5029" s="8" t="n"/>
      <c r="T5029" s="8" t="n"/>
      <c r="U5029" s="8" t="n"/>
      <c r="V5029" s="8" t="n"/>
      <c r="W5029" s="8" t="n"/>
      <c r="X5029" s="8" t="n"/>
      <c r="Y5029" s="8" t="n"/>
    </row>
    <row r="5030">
      <c r="A5030" s="8" t="n"/>
      <c r="B5030" s="8" t="n"/>
      <c r="C5030" s="8" t="n"/>
      <c r="D5030" s="8" t="n"/>
      <c r="E5030" s="8" t="n"/>
      <c r="F5030" s="8" t="n"/>
      <c r="G5030" s="8" t="n"/>
      <c r="H5030" s="8" t="n"/>
      <c r="I5030" s="8" t="n"/>
      <c r="J5030" s="8" t="n"/>
      <c r="K5030" s="8" t="n"/>
      <c r="L5030" s="8" t="n"/>
      <c r="M5030" s="9">
        <f>B5030+30</f>
        <v/>
      </c>
      <c r="N5030">
        <f>IF(L5030="", "", L5030-B5030)</f>
        <v/>
      </c>
      <c r="O5030">
        <f>IF(L5030="", "Pending", IF(N5030&lt;=30, "Met", "Breached"))</f>
        <v/>
      </c>
      <c r="P5030" s="8" t="n"/>
      <c r="Q5030" s="8" t="n"/>
      <c r="R5030" s="8" t="n"/>
      <c r="S5030" s="8" t="n"/>
      <c r="T5030" s="8" t="n"/>
      <c r="U5030" s="8" t="n"/>
      <c r="V5030" s="8" t="n"/>
      <c r="W5030" s="8" t="n"/>
      <c r="X5030" s="8" t="n"/>
      <c r="Y5030" s="8" t="n"/>
    </row>
    <row r="5031">
      <c r="A5031" s="8" t="n"/>
      <c r="B5031" s="8" t="n"/>
      <c r="C5031" s="8" t="n"/>
      <c r="D5031" s="8" t="n"/>
      <c r="E5031" s="8" t="n"/>
      <c r="F5031" s="8" t="n"/>
      <c r="G5031" s="8" t="n"/>
      <c r="H5031" s="8" t="n"/>
      <c r="I5031" s="8" t="n"/>
      <c r="J5031" s="8" t="n"/>
      <c r="K5031" s="8" t="n"/>
      <c r="L5031" s="8" t="n"/>
      <c r="M5031" s="9">
        <f>B5031+30</f>
        <v/>
      </c>
      <c r="N5031">
        <f>IF(L5031="", "", L5031-B5031)</f>
        <v/>
      </c>
      <c r="O5031">
        <f>IF(L5031="", "Pending", IF(N5031&lt;=30, "Met", "Breached"))</f>
        <v/>
      </c>
      <c r="P5031" s="8" t="n"/>
      <c r="Q5031" s="8" t="n"/>
      <c r="R5031" s="8" t="n"/>
      <c r="S5031" s="8" t="n"/>
      <c r="T5031" s="8" t="n"/>
      <c r="U5031" s="8" t="n"/>
      <c r="V5031" s="8" t="n"/>
      <c r="W5031" s="8" t="n"/>
      <c r="X5031" s="8" t="n"/>
      <c r="Y5031" s="8" t="n"/>
    </row>
    <row r="5032">
      <c r="A5032" s="8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8" t="n"/>
      <c r="K5032" s="8" t="n"/>
      <c r="L5032" s="8" t="n"/>
      <c r="M5032" s="9">
        <f>B5032+30</f>
        <v/>
      </c>
      <c r="N5032">
        <f>IF(L5032="", "", L5032-B5032)</f>
        <v/>
      </c>
      <c r="O5032">
        <f>IF(L5032="", "Pending", IF(N5032&lt;=30, "Met", "Breached"))</f>
        <v/>
      </c>
      <c r="P5032" s="8" t="n"/>
      <c r="Q5032" s="8" t="n"/>
      <c r="R5032" s="8" t="n"/>
      <c r="S5032" s="8" t="n"/>
      <c r="T5032" s="8" t="n"/>
      <c r="U5032" s="8" t="n"/>
      <c r="V5032" s="8" t="n"/>
      <c r="W5032" s="8" t="n"/>
      <c r="X5032" s="8" t="n"/>
      <c r="Y5032" s="8" t="n"/>
    </row>
    <row r="5033">
      <c r="A5033" s="8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8" t="n"/>
      <c r="K5033" s="8" t="n"/>
      <c r="L5033" s="8" t="n"/>
      <c r="M5033" s="9">
        <f>B5033+30</f>
        <v/>
      </c>
      <c r="N5033">
        <f>IF(L5033="", "", L5033-B5033)</f>
        <v/>
      </c>
      <c r="O5033">
        <f>IF(L5033="", "Pending", IF(N5033&lt;=30, "Met", "Breached"))</f>
        <v/>
      </c>
      <c r="P5033" s="8" t="n"/>
      <c r="Q5033" s="8" t="n"/>
      <c r="R5033" s="8" t="n"/>
      <c r="S5033" s="8" t="n"/>
      <c r="T5033" s="8" t="n"/>
      <c r="U5033" s="8" t="n"/>
      <c r="V5033" s="8" t="n"/>
      <c r="W5033" s="8" t="n"/>
      <c r="X5033" s="8" t="n"/>
      <c r="Y5033" s="8" t="n"/>
    </row>
    <row r="5034">
      <c r="A5034" s="8" t="n"/>
      <c r="B5034" s="8" t="n"/>
      <c r="C5034" s="8" t="n"/>
      <c r="D5034" s="8" t="n"/>
      <c r="E5034" s="8" t="n"/>
      <c r="F5034" s="8" t="n"/>
      <c r="G5034" s="8" t="n"/>
      <c r="H5034" s="8" t="n"/>
      <c r="I5034" s="8" t="n"/>
      <c r="J5034" s="8" t="n"/>
      <c r="K5034" s="8" t="n"/>
      <c r="L5034" s="8" t="n"/>
      <c r="M5034" s="9">
        <f>B5034+30</f>
        <v/>
      </c>
      <c r="N5034">
        <f>IF(L5034="", "", L5034-B5034)</f>
        <v/>
      </c>
      <c r="O5034">
        <f>IF(L5034="", "Pending", IF(N5034&lt;=30, "Met", "Breached"))</f>
        <v/>
      </c>
      <c r="P5034" s="8" t="n"/>
      <c r="Q5034" s="8" t="n"/>
      <c r="R5034" s="8" t="n"/>
      <c r="S5034" s="8" t="n"/>
      <c r="T5034" s="8" t="n"/>
      <c r="U5034" s="8" t="n"/>
      <c r="V5034" s="8" t="n"/>
      <c r="W5034" s="8" t="n"/>
      <c r="X5034" s="8" t="n"/>
      <c r="Y5034" s="8" t="n"/>
    </row>
    <row r="5035">
      <c r="A5035" s="8" t="n"/>
      <c r="B5035" s="8" t="n"/>
      <c r="C5035" s="8" t="n"/>
      <c r="D5035" s="8" t="n"/>
      <c r="E5035" s="8" t="n"/>
      <c r="F5035" s="8" t="n"/>
      <c r="G5035" s="8" t="n"/>
      <c r="H5035" s="8" t="n"/>
      <c r="I5035" s="8" t="n"/>
      <c r="J5035" s="8" t="n"/>
      <c r="K5035" s="8" t="n"/>
      <c r="L5035" s="8" t="n"/>
      <c r="M5035" s="9">
        <f>B5035+30</f>
        <v/>
      </c>
      <c r="N5035">
        <f>IF(L5035="", "", L5035-B5035)</f>
        <v/>
      </c>
      <c r="O5035">
        <f>IF(L5035="", "Pending", IF(N5035&lt;=30, "Met", "Breached"))</f>
        <v/>
      </c>
      <c r="P5035" s="8" t="n"/>
      <c r="Q5035" s="8" t="n"/>
      <c r="R5035" s="8" t="n"/>
      <c r="S5035" s="8" t="n"/>
      <c r="T5035" s="8" t="n"/>
      <c r="U5035" s="8" t="n"/>
      <c r="V5035" s="8" t="n"/>
      <c r="W5035" s="8" t="n"/>
      <c r="X5035" s="8" t="n"/>
      <c r="Y5035" s="8" t="n"/>
    </row>
    <row r="5036">
      <c r="A5036" s="8" t="n"/>
      <c r="B5036" s="8" t="n"/>
      <c r="C5036" s="8" t="n"/>
      <c r="D5036" s="8" t="n"/>
      <c r="E5036" s="8" t="n"/>
      <c r="F5036" s="8" t="n"/>
      <c r="G5036" s="8" t="n"/>
      <c r="H5036" s="8" t="n"/>
      <c r="I5036" s="8" t="n"/>
      <c r="J5036" s="8" t="n"/>
      <c r="K5036" s="8" t="n"/>
      <c r="L5036" s="8" t="n"/>
      <c r="M5036" s="9">
        <f>B5036+30</f>
        <v/>
      </c>
      <c r="N5036">
        <f>IF(L5036="", "", L5036-B5036)</f>
        <v/>
      </c>
      <c r="O5036">
        <f>IF(L5036="", "Pending", IF(N5036&lt;=30, "Met", "Breached"))</f>
        <v/>
      </c>
      <c r="P5036" s="8" t="n"/>
      <c r="Q5036" s="8" t="n"/>
      <c r="R5036" s="8" t="n"/>
      <c r="S5036" s="8" t="n"/>
      <c r="T5036" s="8" t="n"/>
      <c r="U5036" s="8" t="n"/>
      <c r="V5036" s="8" t="n"/>
      <c r="W5036" s="8" t="n"/>
      <c r="X5036" s="8" t="n"/>
      <c r="Y5036" s="8" t="n"/>
    </row>
    <row r="5037">
      <c r="A5037" s="8" t="n"/>
      <c r="B5037" s="8" t="n"/>
      <c r="C5037" s="8" t="n"/>
      <c r="D5037" s="8" t="n"/>
      <c r="E5037" s="8" t="n"/>
      <c r="F5037" s="8" t="n"/>
      <c r="G5037" s="8" t="n"/>
      <c r="H5037" s="8" t="n"/>
      <c r="I5037" s="8" t="n"/>
      <c r="J5037" s="8" t="n"/>
      <c r="K5037" s="8" t="n"/>
      <c r="L5037" s="8" t="n"/>
      <c r="M5037" s="9">
        <f>B5037+30</f>
        <v/>
      </c>
      <c r="N5037">
        <f>IF(L5037="", "", L5037-B5037)</f>
        <v/>
      </c>
      <c r="O5037">
        <f>IF(L5037="", "Pending", IF(N5037&lt;=30, "Met", "Breached"))</f>
        <v/>
      </c>
      <c r="P5037" s="8" t="n"/>
      <c r="Q5037" s="8" t="n"/>
      <c r="R5037" s="8" t="n"/>
      <c r="S5037" s="8" t="n"/>
      <c r="T5037" s="8" t="n"/>
      <c r="U5037" s="8" t="n"/>
      <c r="V5037" s="8" t="n"/>
      <c r="W5037" s="8" t="n"/>
      <c r="X5037" s="8" t="n"/>
      <c r="Y5037" s="8" t="n"/>
    </row>
    <row r="5038">
      <c r="A5038" s="8" t="n"/>
      <c r="B5038" s="8" t="n"/>
      <c r="C5038" s="8" t="n"/>
      <c r="D5038" s="8" t="n"/>
      <c r="E5038" s="8" t="n"/>
      <c r="F5038" s="8" t="n"/>
      <c r="G5038" s="8" t="n"/>
      <c r="H5038" s="8" t="n"/>
      <c r="I5038" s="8" t="n"/>
      <c r="J5038" s="8" t="n"/>
      <c r="K5038" s="8" t="n"/>
      <c r="L5038" s="8" t="n"/>
      <c r="M5038" s="9">
        <f>B5038+30</f>
        <v/>
      </c>
      <c r="N5038">
        <f>IF(L5038="", "", L5038-B5038)</f>
        <v/>
      </c>
      <c r="O5038">
        <f>IF(L5038="", "Pending", IF(N5038&lt;=30, "Met", "Breached"))</f>
        <v/>
      </c>
      <c r="P5038" s="8" t="n"/>
      <c r="Q5038" s="8" t="n"/>
      <c r="R5038" s="8" t="n"/>
      <c r="S5038" s="8" t="n"/>
      <c r="T5038" s="8" t="n"/>
      <c r="U5038" s="8" t="n"/>
      <c r="V5038" s="8" t="n"/>
      <c r="W5038" s="8" t="n"/>
      <c r="X5038" s="8" t="n"/>
      <c r="Y5038" s="8" t="n"/>
    </row>
    <row r="5039">
      <c r="A5039" s="8" t="n"/>
      <c r="B5039" s="8" t="n"/>
      <c r="C5039" s="8" t="n"/>
      <c r="D5039" s="8" t="n"/>
      <c r="E5039" s="8" t="n"/>
      <c r="F5039" s="8" t="n"/>
      <c r="G5039" s="8" t="n"/>
      <c r="H5039" s="8" t="n"/>
      <c r="I5039" s="8" t="n"/>
      <c r="J5039" s="8" t="n"/>
      <c r="K5039" s="8" t="n"/>
      <c r="L5039" s="8" t="n"/>
      <c r="M5039" s="9">
        <f>B5039+30</f>
        <v/>
      </c>
      <c r="N5039">
        <f>IF(L5039="", "", L5039-B5039)</f>
        <v/>
      </c>
      <c r="O5039">
        <f>IF(L5039="", "Pending", IF(N5039&lt;=30, "Met", "Breached"))</f>
        <v/>
      </c>
      <c r="P5039" s="8" t="n"/>
      <c r="Q5039" s="8" t="n"/>
      <c r="R5039" s="8" t="n"/>
      <c r="S5039" s="8" t="n"/>
      <c r="T5039" s="8" t="n"/>
      <c r="U5039" s="8" t="n"/>
      <c r="V5039" s="8" t="n"/>
      <c r="W5039" s="8" t="n"/>
      <c r="X5039" s="8" t="n"/>
      <c r="Y5039" s="8" t="n"/>
    </row>
    <row r="5040">
      <c r="A5040" s="8" t="n"/>
      <c r="B5040" s="8" t="n"/>
      <c r="C5040" s="8" t="n"/>
      <c r="D5040" s="8" t="n"/>
      <c r="E5040" s="8" t="n"/>
      <c r="F5040" s="8" t="n"/>
      <c r="G5040" s="8" t="n"/>
      <c r="H5040" s="8" t="n"/>
      <c r="I5040" s="8" t="n"/>
      <c r="J5040" s="8" t="n"/>
      <c r="K5040" s="8" t="n"/>
      <c r="L5040" s="8" t="n"/>
      <c r="M5040" s="9">
        <f>B5040+30</f>
        <v/>
      </c>
      <c r="N5040">
        <f>IF(L5040="", "", L5040-B5040)</f>
        <v/>
      </c>
      <c r="O5040">
        <f>IF(L5040="", "Pending", IF(N5040&lt;=30, "Met", "Breached"))</f>
        <v/>
      </c>
      <c r="P5040" s="8" t="n"/>
      <c r="Q5040" s="8" t="n"/>
      <c r="R5040" s="8" t="n"/>
      <c r="S5040" s="8" t="n"/>
      <c r="T5040" s="8" t="n"/>
      <c r="U5040" s="8" t="n"/>
      <c r="V5040" s="8" t="n"/>
      <c r="W5040" s="8" t="n"/>
      <c r="X5040" s="8" t="n"/>
      <c r="Y5040" s="8" t="n"/>
    </row>
    <row r="5041">
      <c r="A5041" s="8" t="n"/>
      <c r="B5041" s="8" t="n"/>
      <c r="C5041" s="8" t="n"/>
      <c r="D5041" s="8" t="n"/>
      <c r="E5041" s="8" t="n"/>
      <c r="F5041" s="8" t="n"/>
      <c r="G5041" s="8" t="n"/>
      <c r="H5041" s="8" t="n"/>
      <c r="I5041" s="8" t="n"/>
      <c r="J5041" s="8" t="n"/>
      <c r="K5041" s="8" t="n"/>
      <c r="L5041" s="8" t="n"/>
      <c r="M5041" s="9">
        <f>B5041+30</f>
        <v/>
      </c>
      <c r="N5041">
        <f>IF(L5041="", "", L5041-B5041)</f>
        <v/>
      </c>
      <c r="O5041">
        <f>IF(L5041="", "Pending", IF(N5041&lt;=30, "Met", "Breached"))</f>
        <v/>
      </c>
      <c r="P5041" s="8" t="n"/>
      <c r="Q5041" s="8" t="n"/>
      <c r="R5041" s="8" t="n"/>
      <c r="S5041" s="8" t="n"/>
      <c r="T5041" s="8" t="n"/>
      <c r="U5041" s="8" t="n"/>
      <c r="V5041" s="8" t="n"/>
      <c r="W5041" s="8" t="n"/>
      <c r="X5041" s="8" t="n"/>
      <c r="Y5041" s="8" t="n"/>
    </row>
    <row r="5042">
      <c r="A5042" s="8" t="n"/>
      <c r="B5042" s="8" t="n"/>
      <c r="C5042" s="8" t="n"/>
      <c r="D5042" s="8" t="n"/>
      <c r="E5042" s="8" t="n"/>
      <c r="F5042" s="8" t="n"/>
      <c r="G5042" s="8" t="n"/>
      <c r="H5042" s="8" t="n"/>
      <c r="I5042" s="8" t="n"/>
      <c r="J5042" s="8" t="n"/>
      <c r="K5042" s="8" t="n"/>
      <c r="L5042" s="8" t="n"/>
      <c r="M5042" s="9">
        <f>B5042+30</f>
        <v/>
      </c>
      <c r="N5042">
        <f>IF(L5042="", "", L5042-B5042)</f>
        <v/>
      </c>
      <c r="O5042">
        <f>IF(L5042="", "Pending", IF(N5042&lt;=30, "Met", "Breached"))</f>
        <v/>
      </c>
      <c r="P5042" s="8" t="n"/>
      <c r="Q5042" s="8" t="n"/>
      <c r="R5042" s="8" t="n"/>
      <c r="S5042" s="8" t="n"/>
      <c r="T5042" s="8" t="n"/>
      <c r="U5042" s="8" t="n"/>
      <c r="V5042" s="8" t="n"/>
      <c r="W5042" s="8" t="n"/>
      <c r="X5042" s="8" t="n"/>
      <c r="Y5042" s="8" t="n"/>
    </row>
    <row r="5043">
      <c r="A5043" s="8" t="n"/>
      <c r="B5043" s="8" t="n"/>
      <c r="C5043" s="8" t="n"/>
      <c r="D5043" s="8" t="n"/>
      <c r="E5043" s="8" t="n"/>
      <c r="F5043" s="8" t="n"/>
      <c r="G5043" s="8" t="n"/>
      <c r="H5043" s="8" t="n"/>
      <c r="I5043" s="8" t="n"/>
      <c r="J5043" s="8" t="n"/>
      <c r="K5043" s="8" t="n"/>
      <c r="L5043" s="8" t="n"/>
      <c r="M5043" s="9">
        <f>B5043+30</f>
        <v/>
      </c>
      <c r="N5043">
        <f>IF(L5043="", "", L5043-B5043)</f>
        <v/>
      </c>
      <c r="O5043">
        <f>IF(L5043="", "Pending", IF(N5043&lt;=30, "Met", "Breached"))</f>
        <v/>
      </c>
      <c r="P5043" s="8" t="n"/>
      <c r="Q5043" s="8" t="n"/>
      <c r="R5043" s="8" t="n"/>
      <c r="S5043" s="8" t="n"/>
      <c r="T5043" s="8" t="n"/>
      <c r="U5043" s="8" t="n"/>
      <c r="V5043" s="8" t="n"/>
      <c r="W5043" s="8" t="n"/>
      <c r="X5043" s="8" t="n"/>
      <c r="Y5043" s="8" t="n"/>
    </row>
    <row r="5044">
      <c r="A5044" s="8" t="n"/>
      <c r="B5044" s="8" t="n"/>
      <c r="C5044" s="8" t="n"/>
      <c r="D5044" s="8" t="n"/>
      <c r="E5044" s="8" t="n"/>
      <c r="F5044" s="8" t="n"/>
      <c r="G5044" s="8" t="n"/>
      <c r="H5044" s="8" t="n"/>
      <c r="I5044" s="8" t="n"/>
      <c r="J5044" s="8" t="n"/>
      <c r="K5044" s="8" t="n"/>
      <c r="L5044" s="8" t="n"/>
      <c r="M5044" s="9">
        <f>B5044+30</f>
        <v/>
      </c>
      <c r="N5044">
        <f>IF(L5044="", "", L5044-B5044)</f>
        <v/>
      </c>
      <c r="O5044">
        <f>IF(L5044="", "Pending", IF(N5044&lt;=30, "Met", "Breached"))</f>
        <v/>
      </c>
      <c r="P5044" s="8" t="n"/>
      <c r="Q5044" s="8" t="n"/>
      <c r="R5044" s="8" t="n"/>
      <c r="S5044" s="8" t="n"/>
      <c r="T5044" s="8" t="n"/>
      <c r="U5044" s="8" t="n"/>
      <c r="V5044" s="8" t="n"/>
      <c r="W5044" s="8" t="n"/>
      <c r="X5044" s="8" t="n"/>
      <c r="Y5044" s="8" t="n"/>
    </row>
    <row r="5045">
      <c r="A5045" s="8" t="n"/>
      <c r="B5045" s="8" t="n"/>
      <c r="C5045" s="8" t="n"/>
      <c r="D5045" s="8" t="n"/>
      <c r="E5045" s="8" t="n"/>
      <c r="F5045" s="8" t="n"/>
      <c r="G5045" s="8" t="n"/>
      <c r="H5045" s="8" t="n"/>
      <c r="I5045" s="8" t="n"/>
      <c r="J5045" s="8" t="n"/>
      <c r="K5045" s="8" t="n"/>
      <c r="L5045" s="8" t="n"/>
      <c r="M5045" s="9">
        <f>B5045+30</f>
        <v/>
      </c>
      <c r="N5045">
        <f>IF(L5045="", "", L5045-B5045)</f>
        <v/>
      </c>
      <c r="O5045">
        <f>IF(L5045="", "Pending", IF(N5045&lt;=30, "Met", "Breached"))</f>
        <v/>
      </c>
      <c r="P5045" s="8" t="n"/>
      <c r="Q5045" s="8" t="n"/>
      <c r="R5045" s="8" t="n"/>
      <c r="S5045" s="8" t="n"/>
      <c r="T5045" s="8" t="n"/>
      <c r="U5045" s="8" t="n"/>
      <c r="V5045" s="8" t="n"/>
      <c r="W5045" s="8" t="n"/>
      <c r="X5045" s="8" t="n"/>
      <c r="Y5045" s="8" t="n"/>
    </row>
    <row r="5046">
      <c r="A5046" s="8" t="n"/>
      <c r="B5046" s="8" t="n"/>
      <c r="C5046" s="8" t="n"/>
      <c r="D5046" s="8" t="n"/>
      <c r="E5046" s="8" t="n"/>
      <c r="F5046" s="8" t="n"/>
      <c r="G5046" s="8" t="n"/>
      <c r="H5046" s="8" t="n"/>
      <c r="I5046" s="8" t="n"/>
      <c r="J5046" s="8" t="n"/>
      <c r="K5046" s="8" t="n"/>
      <c r="L5046" s="8" t="n"/>
      <c r="M5046" s="9">
        <f>B5046+30</f>
        <v/>
      </c>
      <c r="N5046">
        <f>IF(L5046="", "", L5046-B5046)</f>
        <v/>
      </c>
      <c r="O5046">
        <f>IF(L5046="", "Pending", IF(N5046&lt;=30, "Met", "Breached"))</f>
        <v/>
      </c>
      <c r="P5046" s="8" t="n"/>
      <c r="Q5046" s="8" t="n"/>
      <c r="R5046" s="8" t="n"/>
      <c r="S5046" s="8" t="n"/>
      <c r="T5046" s="8" t="n"/>
      <c r="U5046" s="8" t="n"/>
      <c r="V5046" s="8" t="n"/>
      <c r="W5046" s="8" t="n"/>
      <c r="X5046" s="8" t="n"/>
      <c r="Y5046" s="8" t="n"/>
    </row>
    <row r="5047">
      <c r="A5047" s="8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8" t="n"/>
      <c r="K5047" s="8" t="n"/>
      <c r="L5047" s="8" t="n"/>
      <c r="M5047" s="9">
        <f>B5047+30</f>
        <v/>
      </c>
      <c r="N5047">
        <f>IF(L5047="", "", L5047-B5047)</f>
        <v/>
      </c>
      <c r="O5047">
        <f>IF(L5047="", "Pending", IF(N5047&lt;=30, "Met", "Breached"))</f>
        <v/>
      </c>
      <c r="P5047" s="8" t="n"/>
      <c r="Q5047" s="8" t="n"/>
      <c r="R5047" s="8" t="n"/>
      <c r="S5047" s="8" t="n"/>
      <c r="T5047" s="8" t="n"/>
      <c r="U5047" s="8" t="n"/>
      <c r="V5047" s="8" t="n"/>
      <c r="W5047" s="8" t="n"/>
      <c r="X5047" s="8" t="n"/>
      <c r="Y5047" s="8" t="n"/>
    </row>
    <row r="5048">
      <c r="A5048" s="8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8" t="n"/>
      <c r="K5048" s="8" t="n"/>
      <c r="L5048" s="8" t="n"/>
      <c r="M5048" s="9">
        <f>B5048+30</f>
        <v/>
      </c>
      <c r="N5048">
        <f>IF(L5048="", "", L5048-B5048)</f>
        <v/>
      </c>
      <c r="O5048">
        <f>IF(L5048="", "Pending", IF(N5048&lt;=30, "Met", "Breached"))</f>
        <v/>
      </c>
      <c r="P5048" s="8" t="n"/>
      <c r="Q5048" s="8" t="n"/>
      <c r="R5048" s="8" t="n"/>
      <c r="S5048" s="8" t="n"/>
      <c r="T5048" s="8" t="n"/>
      <c r="U5048" s="8" t="n"/>
      <c r="V5048" s="8" t="n"/>
      <c r="W5048" s="8" t="n"/>
      <c r="X5048" s="8" t="n"/>
      <c r="Y5048" s="8" t="n"/>
    </row>
    <row r="5049">
      <c r="A5049" s="8" t="n"/>
      <c r="B5049" s="8" t="n"/>
      <c r="C5049" s="8" t="n"/>
      <c r="D5049" s="8" t="n"/>
      <c r="E5049" s="8" t="n"/>
      <c r="F5049" s="8" t="n"/>
      <c r="G5049" s="8" t="n"/>
      <c r="H5049" s="8" t="n"/>
      <c r="I5049" s="8" t="n"/>
      <c r="J5049" s="8" t="n"/>
      <c r="K5049" s="8" t="n"/>
      <c r="L5049" s="8" t="n"/>
      <c r="M5049" s="9">
        <f>B5049+30</f>
        <v/>
      </c>
      <c r="N5049">
        <f>IF(L5049="", "", L5049-B5049)</f>
        <v/>
      </c>
      <c r="O5049">
        <f>IF(L5049="", "Pending", IF(N5049&lt;=30, "Met", "Breached"))</f>
        <v/>
      </c>
      <c r="P5049" s="8" t="n"/>
      <c r="Q5049" s="8" t="n"/>
      <c r="R5049" s="8" t="n"/>
      <c r="S5049" s="8" t="n"/>
      <c r="T5049" s="8" t="n"/>
      <c r="U5049" s="8" t="n"/>
      <c r="V5049" s="8" t="n"/>
      <c r="W5049" s="8" t="n"/>
      <c r="X5049" s="8" t="n"/>
      <c r="Y5049" s="8" t="n"/>
    </row>
    <row r="5050">
      <c r="A5050" s="8" t="n"/>
      <c r="B5050" s="8" t="n"/>
      <c r="C5050" s="8" t="n"/>
      <c r="D5050" s="8" t="n"/>
      <c r="E5050" s="8" t="n"/>
      <c r="F5050" s="8" t="n"/>
      <c r="G5050" s="8" t="n"/>
      <c r="H5050" s="8" t="n"/>
      <c r="I5050" s="8" t="n"/>
      <c r="J5050" s="8" t="n"/>
      <c r="K5050" s="8" t="n"/>
      <c r="L5050" s="8" t="n"/>
      <c r="M5050" s="9">
        <f>B5050+30</f>
        <v/>
      </c>
      <c r="N5050">
        <f>IF(L5050="", "", L5050-B5050)</f>
        <v/>
      </c>
      <c r="O5050">
        <f>IF(L5050="", "Pending", IF(N5050&lt;=30, "Met", "Breached"))</f>
        <v/>
      </c>
      <c r="P5050" s="8" t="n"/>
      <c r="Q5050" s="8" t="n"/>
      <c r="R5050" s="8" t="n"/>
      <c r="S5050" s="8" t="n"/>
      <c r="T5050" s="8" t="n"/>
      <c r="U5050" s="8" t="n"/>
      <c r="V5050" s="8" t="n"/>
      <c r="W5050" s="8" t="n"/>
      <c r="X5050" s="8" t="n"/>
      <c r="Y5050" s="8" t="n"/>
    </row>
    <row r="5051">
      <c r="A5051" s="8" t="n"/>
      <c r="B5051" s="8" t="n"/>
      <c r="C5051" s="8" t="n"/>
      <c r="D5051" s="8" t="n"/>
      <c r="E5051" s="8" t="n"/>
      <c r="F5051" s="8" t="n"/>
      <c r="G5051" s="8" t="n"/>
      <c r="H5051" s="8" t="n"/>
      <c r="I5051" s="8" t="n"/>
      <c r="J5051" s="8" t="n"/>
      <c r="K5051" s="8" t="n"/>
      <c r="L5051" s="8" t="n"/>
      <c r="M5051" s="9">
        <f>B5051+30</f>
        <v/>
      </c>
      <c r="N5051">
        <f>IF(L5051="", "", L5051-B5051)</f>
        <v/>
      </c>
      <c r="O5051">
        <f>IF(L5051="", "Pending", IF(N5051&lt;=30, "Met", "Breached"))</f>
        <v/>
      </c>
      <c r="P5051" s="8" t="n"/>
      <c r="Q5051" s="8" t="n"/>
      <c r="R5051" s="8" t="n"/>
      <c r="S5051" s="8" t="n"/>
      <c r="T5051" s="8" t="n"/>
      <c r="U5051" s="8" t="n"/>
      <c r="V5051" s="8" t="n"/>
      <c r="W5051" s="8" t="n"/>
      <c r="X5051" s="8" t="n"/>
      <c r="Y5051" s="8" t="n"/>
    </row>
    <row r="5052">
      <c r="A5052" s="8" t="n"/>
      <c r="B5052" s="8" t="n"/>
      <c r="C5052" s="8" t="n"/>
      <c r="D5052" s="8" t="n"/>
      <c r="E5052" s="8" t="n"/>
      <c r="F5052" s="8" t="n"/>
      <c r="G5052" s="8" t="n"/>
      <c r="H5052" s="8" t="n"/>
      <c r="I5052" s="8" t="n"/>
      <c r="J5052" s="8" t="n"/>
      <c r="K5052" s="8" t="n"/>
      <c r="L5052" s="8" t="n"/>
      <c r="M5052" s="9">
        <f>B5052+30</f>
        <v/>
      </c>
      <c r="N5052">
        <f>IF(L5052="", "", L5052-B5052)</f>
        <v/>
      </c>
      <c r="O5052">
        <f>IF(L5052="", "Pending", IF(N5052&lt;=30, "Met", "Breached"))</f>
        <v/>
      </c>
      <c r="P5052" s="8" t="n"/>
      <c r="Q5052" s="8" t="n"/>
      <c r="R5052" s="8" t="n"/>
      <c r="S5052" s="8" t="n"/>
      <c r="T5052" s="8" t="n"/>
      <c r="U5052" s="8" t="n"/>
      <c r="V5052" s="8" t="n"/>
      <c r="W5052" s="8" t="n"/>
      <c r="X5052" s="8" t="n"/>
      <c r="Y5052" s="8" t="n"/>
    </row>
    <row r="5053">
      <c r="A5053" s="8" t="n"/>
      <c r="B5053" s="8" t="n"/>
      <c r="C5053" s="8" t="n"/>
      <c r="D5053" s="8" t="n"/>
      <c r="E5053" s="8" t="n"/>
      <c r="F5053" s="8" t="n"/>
      <c r="G5053" s="8" t="n"/>
      <c r="H5053" s="8" t="n"/>
      <c r="I5053" s="8" t="n"/>
      <c r="J5053" s="8" t="n"/>
      <c r="K5053" s="8" t="n"/>
      <c r="L5053" s="8" t="n"/>
      <c r="M5053" s="9">
        <f>B5053+30</f>
        <v/>
      </c>
      <c r="N5053">
        <f>IF(L5053="", "", L5053-B5053)</f>
        <v/>
      </c>
      <c r="O5053">
        <f>IF(L5053="", "Pending", IF(N5053&lt;=30, "Met", "Breached"))</f>
        <v/>
      </c>
      <c r="P5053" s="8" t="n"/>
      <c r="Q5053" s="8" t="n"/>
      <c r="R5053" s="8" t="n"/>
      <c r="S5053" s="8" t="n"/>
      <c r="T5053" s="8" t="n"/>
      <c r="U5053" s="8" t="n"/>
      <c r="V5053" s="8" t="n"/>
      <c r="W5053" s="8" t="n"/>
      <c r="X5053" s="8" t="n"/>
      <c r="Y5053" s="8" t="n"/>
    </row>
    <row r="5054">
      <c r="A5054" s="8" t="n"/>
      <c r="B5054" s="8" t="n"/>
      <c r="C5054" s="8" t="n"/>
      <c r="D5054" s="8" t="n"/>
      <c r="E5054" s="8" t="n"/>
      <c r="F5054" s="8" t="n"/>
      <c r="G5054" s="8" t="n"/>
      <c r="H5054" s="8" t="n"/>
      <c r="I5054" s="8" t="n"/>
      <c r="J5054" s="8" t="n"/>
      <c r="K5054" s="8" t="n"/>
      <c r="L5054" s="8" t="n"/>
      <c r="M5054" s="9">
        <f>B5054+30</f>
        <v/>
      </c>
      <c r="N5054">
        <f>IF(L5054="", "", L5054-B5054)</f>
        <v/>
      </c>
      <c r="O5054">
        <f>IF(L5054="", "Pending", IF(N5054&lt;=30, "Met", "Breached"))</f>
        <v/>
      </c>
      <c r="P5054" s="8" t="n"/>
      <c r="Q5054" s="8" t="n"/>
      <c r="R5054" s="8" t="n"/>
      <c r="S5054" s="8" t="n"/>
      <c r="T5054" s="8" t="n"/>
      <c r="U5054" s="8" t="n"/>
      <c r="V5054" s="8" t="n"/>
      <c r="W5054" s="8" t="n"/>
      <c r="X5054" s="8" t="n"/>
      <c r="Y5054" s="8" t="n"/>
    </row>
    <row r="5055">
      <c r="A5055" s="8" t="n"/>
      <c r="B5055" s="8" t="n"/>
      <c r="C5055" s="8" t="n"/>
      <c r="D5055" s="8" t="n"/>
      <c r="E5055" s="8" t="n"/>
      <c r="F5055" s="8" t="n"/>
      <c r="G5055" s="8" t="n"/>
      <c r="H5055" s="8" t="n"/>
      <c r="I5055" s="8" t="n"/>
      <c r="J5055" s="8" t="n"/>
      <c r="K5055" s="8" t="n"/>
      <c r="L5055" s="8" t="n"/>
      <c r="M5055" s="9">
        <f>B5055+30</f>
        <v/>
      </c>
      <c r="N5055">
        <f>IF(L5055="", "", L5055-B5055)</f>
        <v/>
      </c>
      <c r="O5055">
        <f>IF(L5055="", "Pending", IF(N5055&lt;=30, "Met", "Breached"))</f>
        <v/>
      </c>
      <c r="P5055" s="8" t="n"/>
      <c r="Q5055" s="8" t="n"/>
      <c r="R5055" s="8" t="n"/>
      <c r="S5055" s="8" t="n"/>
      <c r="T5055" s="8" t="n"/>
      <c r="U5055" s="8" t="n"/>
      <c r="V5055" s="8" t="n"/>
      <c r="W5055" s="8" t="n"/>
      <c r="X5055" s="8" t="n"/>
      <c r="Y5055" s="8" t="n"/>
    </row>
    <row r="5056">
      <c r="A5056" s="8" t="n"/>
      <c r="B5056" s="8" t="n"/>
      <c r="C5056" s="8" t="n"/>
      <c r="D5056" s="8" t="n"/>
      <c r="E5056" s="8" t="n"/>
      <c r="F5056" s="8" t="n"/>
      <c r="G5056" s="8" t="n"/>
      <c r="H5056" s="8" t="n"/>
      <c r="I5056" s="8" t="n"/>
      <c r="J5056" s="8" t="n"/>
      <c r="K5056" s="8" t="n"/>
      <c r="L5056" s="8" t="n"/>
      <c r="M5056" s="9">
        <f>B5056+30</f>
        <v/>
      </c>
      <c r="N5056">
        <f>IF(L5056="", "", L5056-B5056)</f>
        <v/>
      </c>
      <c r="O5056">
        <f>IF(L5056="", "Pending", IF(N5056&lt;=30, "Met", "Breached"))</f>
        <v/>
      </c>
      <c r="P5056" s="8" t="n"/>
      <c r="Q5056" s="8" t="n"/>
      <c r="R5056" s="8" t="n"/>
      <c r="S5056" s="8" t="n"/>
      <c r="T5056" s="8" t="n"/>
      <c r="U5056" s="8" t="n"/>
      <c r="V5056" s="8" t="n"/>
      <c r="W5056" s="8" t="n"/>
      <c r="X5056" s="8" t="n"/>
      <c r="Y5056" s="8" t="n"/>
    </row>
    <row r="5057">
      <c r="A5057" s="8" t="n"/>
      <c r="B5057" s="8" t="n"/>
      <c r="C5057" s="8" t="n"/>
      <c r="D5057" s="8" t="n"/>
      <c r="E5057" s="8" t="n"/>
      <c r="F5057" s="8" t="n"/>
      <c r="G5057" s="8" t="n"/>
      <c r="H5057" s="8" t="n"/>
      <c r="I5057" s="8" t="n"/>
      <c r="J5057" s="8" t="n"/>
      <c r="K5057" s="8" t="n"/>
      <c r="L5057" s="8" t="n"/>
      <c r="M5057" s="9">
        <f>B5057+30</f>
        <v/>
      </c>
      <c r="N5057">
        <f>IF(L5057="", "", L5057-B5057)</f>
        <v/>
      </c>
      <c r="O5057">
        <f>IF(L5057="", "Pending", IF(N5057&lt;=30, "Met", "Breached"))</f>
        <v/>
      </c>
      <c r="P5057" s="8" t="n"/>
      <c r="Q5057" s="8" t="n"/>
      <c r="R5057" s="8" t="n"/>
      <c r="S5057" s="8" t="n"/>
      <c r="T5057" s="8" t="n"/>
      <c r="U5057" s="8" t="n"/>
      <c r="V5057" s="8" t="n"/>
      <c r="W5057" s="8" t="n"/>
      <c r="X5057" s="8" t="n"/>
      <c r="Y5057" s="8" t="n"/>
    </row>
    <row r="5058">
      <c r="A5058" s="8" t="n"/>
      <c r="B5058" s="8" t="n"/>
      <c r="C5058" s="8" t="n"/>
      <c r="D5058" s="8" t="n"/>
      <c r="E5058" s="8" t="n"/>
      <c r="F5058" s="8" t="n"/>
      <c r="G5058" s="8" t="n"/>
      <c r="H5058" s="8" t="n"/>
      <c r="I5058" s="8" t="n"/>
      <c r="J5058" s="8" t="n"/>
      <c r="K5058" s="8" t="n"/>
      <c r="L5058" s="8" t="n"/>
      <c r="M5058" s="9">
        <f>B5058+30</f>
        <v/>
      </c>
      <c r="N5058">
        <f>IF(L5058="", "", L5058-B5058)</f>
        <v/>
      </c>
      <c r="O5058">
        <f>IF(L5058="", "Pending", IF(N5058&lt;=30, "Met", "Breached"))</f>
        <v/>
      </c>
      <c r="P5058" s="8" t="n"/>
      <c r="Q5058" s="8" t="n"/>
      <c r="R5058" s="8" t="n"/>
      <c r="S5058" s="8" t="n"/>
      <c r="T5058" s="8" t="n"/>
      <c r="U5058" s="8" t="n"/>
      <c r="V5058" s="8" t="n"/>
      <c r="W5058" s="8" t="n"/>
      <c r="X5058" s="8" t="n"/>
      <c r="Y5058" s="8" t="n"/>
    </row>
    <row r="5059">
      <c r="A5059" s="8" t="n"/>
      <c r="B5059" s="8" t="n"/>
      <c r="C5059" s="8" t="n"/>
      <c r="D5059" s="8" t="n"/>
      <c r="E5059" s="8" t="n"/>
      <c r="F5059" s="8" t="n"/>
      <c r="G5059" s="8" t="n"/>
      <c r="H5059" s="8" t="n"/>
      <c r="I5059" s="8" t="n"/>
      <c r="J5059" s="8" t="n"/>
      <c r="K5059" s="8" t="n"/>
      <c r="L5059" s="8" t="n"/>
      <c r="M5059" s="9">
        <f>B5059+30</f>
        <v/>
      </c>
      <c r="N5059">
        <f>IF(L5059="", "", L5059-B5059)</f>
        <v/>
      </c>
      <c r="O5059">
        <f>IF(L5059="", "Pending", IF(N5059&lt;=30, "Met", "Breached"))</f>
        <v/>
      </c>
      <c r="P5059" s="8" t="n"/>
      <c r="Q5059" s="8" t="n"/>
      <c r="R5059" s="8" t="n"/>
      <c r="S5059" s="8" t="n"/>
      <c r="T5059" s="8" t="n"/>
      <c r="U5059" s="8" t="n"/>
      <c r="V5059" s="8" t="n"/>
      <c r="W5059" s="8" t="n"/>
      <c r="X5059" s="8" t="n"/>
      <c r="Y5059" s="8" t="n"/>
    </row>
    <row r="5060">
      <c r="A5060" s="8" t="n"/>
      <c r="B5060" s="8" t="n"/>
      <c r="C5060" s="8" t="n"/>
      <c r="D5060" s="8" t="n"/>
      <c r="E5060" s="8" t="n"/>
      <c r="F5060" s="8" t="n"/>
      <c r="G5060" s="8" t="n"/>
      <c r="H5060" s="8" t="n"/>
      <c r="I5060" s="8" t="n"/>
      <c r="J5060" s="8" t="n"/>
      <c r="K5060" s="8" t="n"/>
      <c r="L5060" s="8" t="n"/>
      <c r="M5060" s="9">
        <f>B5060+30</f>
        <v/>
      </c>
      <c r="N5060">
        <f>IF(L5060="", "", L5060-B5060)</f>
        <v/>
      </c>
      <c r="O5060">
        <f>IF(L5060="", "Pending", IF(N5060&lt;=30, "Met", "Breached"))</f>
        <v/>
      </c>
      <c r="P5060" s="8" t="n"/>
      <c r="Q5060" s="8" t="n"/>
      <c r="R5060" s="8" t="n"/>
      <c r="S5060" s="8" t="n"/>
      <c r="T5060" s="8" t="n"/>
      <c r="U5060" s="8" t="n"/>
      <c r="V5060" s="8" t="n"/>
      <c r="W5060" s="8" t="n"/>
      <c r="X5060" s="8" t="n"/>
      <c r="Y5060" s="8" t="n"/>
    </row>
    <row r="5061">
      <c r="A5061" s="8" t="n"/>
      <c r="B5061" s="8" t="n"/>
      <c r="C5061" s="8" t="n"/>
      <c r="D5061" s="8" t="n"/>
      <c r="E5061" s="8" t="n"/>
      <c r="F5061" s="8" t="n"/>
      <c r="G5061" s="8" t="n"/>
      <c r="H5061" s="8" t="n"/>
      <c r="I5061" s="8" t="n"/>
      <c r="J5061" s="8" t="n"/>
      <c r="K5061" s="8" t="n"/>
      <c r="L5061" s="8" t="n"/>
      <c r="M5061" s="9">
        <f>B5061+30</f>
        <v/>
      </c>
      <c r="N5061">
        <f>IF(L5061="", "", L5061-B5061)</f>
        <v/>
      </c>
      <c r="O5061">
        <f>IF(L5061="", "Pending", IF(N5061&lt;=30, "Met", "Breached"))</f>
        <v/>
      </c>
      <c r="P5061" s="8" t="n"/>
      <c r="Q5061" s="8" t="n"/>
      <c r="R5061" s="8" t="n"/>
      <c r="S5061" s="8" t="n"/>
      <c r="T5061" s="8" t="n"/>
      <c r="U5061" s="8" t="n"/>
      <c r="V5061" s="8" t="n"/>
      <c r="W5061" s="8" t="n"/>
      <c r="X5061" s="8" t="n"/>
      <c r="Y5061" s="8" t="n"/>
    </row>
    <row r="5062">
      <c r="A5062" s="8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8" t="n"/>
      <c r="K5062" s="8" t="n"/>
      <c r="L5062" s="8" t="n"/>
      <c r="M5062" s="9">
        <f>B5062+30</f>
        <v/>
      </c>
      <c r="N5062">
        <f>IF(L5062="", "", L5062-B5062)</f>
        <v/>
      </c>
      <c r="O5062">
        <f>IF(L5062="", "Pending", IF(N5062&lt;=30, "Met", "Breached"))</f>
        <v/>
      </c>
      <c r="P5062" s="8" t="n"/>
      <c r="Q5062" s="8" t="n"/>
      <c r="R5062" s="8" t="n"/>
      <c r="S5062" s="8" t="n"/>
      <c r="T5062" s="8" t="n"/>
      <c r="U5062" s="8" t="n"/>
      <c r="V5062" s="8" t="n"/>
      <c r="W5062" s="8" t="n"/>
      <c r="X5062" s="8" t="n"/>
      <c r="Y5062" s="8" t="n"/>
    </row>
    <row r="5063">
      <c r="A5063" s="8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8" t="n"/>
      <c r="K5063" s="8" t="n"/>
      <c r="L5063" s="8" t="n"/>
      <c r="M5063" s="9">
        <f>B5063+30</f>
        <v/>
      </c>
      <c r="N5063">
        <f>IF(L5063="", "", L5063-B5063)</f>
        <v/>
      </c>
      <c r="O5063">
        <f>IF(L5063="", "Pending", IF(N5063&lt;=30, "Met", "Breached"))</f>
        <v/>
      </c>
      <c r="P5063" s="8" t="n"/>
      <c r="Q5063" s="8" t="n"/>
      <c r="R5063" s="8" t="n"/>
      <c r="S5063" s="8" t="n"/>
      <c r="T5063" s="8" t="n"/>
      <c r="U5063" s="8" t="n"/>
      <c r="V5063" s="8" t="n"/>
      <c r="W5063" s="8" t="n"/>
      <c r="X5063" s="8" t="n"/>
      <c r="Y5063" s="8" t="n"/>
    </row>
    <row r="5064">
      <c r="A5064" s="8" t="n"/>
      <c r="B5064" s="8" t="n"/>
      <c r="C5064" s="8" t="n"/>
      <c r="D5064" s="8" t="n"/>
      <c r="E5064" s="8" t="n"/>
      <c r="F5064" s="8" t="n"/>
      <c r="G5064" s="8" t="n"/>
      <c r="H5064" s="8" t="n"/>
      <c r="I5064" s="8" t="n"/>
      <c r="J5064" s="8" t="n"/>
      <c r="K5064" s="8" t="n"/>
      <c r="L5064" s="8" t="n"/>
      <c r="M5064" s="9">
        <f>B5064+30</f>
        <v/>
      </c>
      <c r="N5064">
        <f>IF(L5064="", "", L5064-B5064)</f>
        <v/>
      </c>
      <c r="O5064">
        <f>IF(L5064="", "Pending", IF(N5064&lt;=30, "Met", "Breached"))</f>
        <v/>
      </c>
      <c r="P5064" s="8" t="n"/>
      <c r="Q5064" s="8" t="n"/>
      <c r="R5064" s="8" t="n"/>
      <c r="S5064" s="8" t="n"/>
      <c r="T5064" s="8" t="n"/>
      <c r="U5064" s="8" t="n"/>
      <c r="V5064" s="8" t="n"/>
      <c r="W5064" s="8" t="n"/>
      <c r="X5064" s="8" t="n"/>
      <c r="Y5064" s="8" t="n"/>
    </row>
    <row r="5065">
      <c r="A5065" s="8" t="n"/>
      <c r="B5065" s="8" t="n"/>
      <c r="C5065" s="8" t="n"/>
      <c r="D5065" s="8" t="n"/>
      <c r="E5065" s="8" t="n"/>
      <c r="F5065" s="8" t="n"/>
      <c r="G5065" s="8" t="n"/>
      <c r="H5065" s="8" t="n"/>
      <c r="I5065" s="8" t="n"/>
      <c r="J5065" s="8" t="n"/>
      <c r="K5065" s="8" t="n"/>
      <c r="L5065" s="8" t="n"/>
      <c r="M5065" s="9">
        <f>B5065+30</f>
        <v/>
      </c>
      <c r="N5065">
        <f>IF(L5065="", "", L5065-B5065)</f>
        <v/>
      </c>
      <c r="O5065">
        <f>IF(L5065="", "Pending", IF(N5065&lt;=30, "Met", "Breached"))</f>
        <v/>
      </c>
      <c r="P5065" s="8" t="n"/>
      <c r="Q5065" s="8" t="n"/>
      <c r="R5065" s="8" t="n"/>
      <c r="S5065" s="8" t="n"/>
      <c r="T5065" s="8" t="n"/>
      <c r="U5065" s="8" t="n"/>
      <c r="V5065" s="8" t="n"/>
      <c r="W5065" s="8" t="n"/>
      <c r="X5065" s="8" t="n"/>
      <c r="Y5065" s="8" t="n"/>
    </row>
    <row r="5066">
      <c r="A5066" s="8" t="n"/>
      <c r="B5066" s="8" t="n"/>
      <c r="C5066" s="8" t="n"/>
      <c r="D5066" s="8" t="n"/>
      <c r="E5066" s="8" t="n"/>
      <c r="F5066" s="8" t="n"/>
      <c r="G5066" s="8" t="n"/>
      <c r="H5066" s="8" t="n"/>
      <c r="I5066" s="8" t="n"/>
      <c r="J5066" s="8" t="n"/>
      <c r="K5066" s="8" t="n"/>
      <c r="L5066" s="8" t="n"/>
      <c r="M5066" s="9">
        <f>B5066+30</f>
        <v/>
      </c>
      <c r="N5066">
        <f>IF(L5066="", "", L5066-B5066)</f>
        <v/>
      </c>
      <c r="O5066">
        <f>IF(L5066="", "Pending", IF(N5066&lt;=30, "Met", "Breached"))</f>
        <v/>
      </c>
      <c r="P5066" s="8" t="n"/>
      <c r="Q5066" s="8" t="n"/>
      <c r="R5066" s="8" t="n"/>
      <c r="S5066" s="8" t="n"/>
      <c r="T5066" s="8" t="n"/>
      <c r="U5066" s="8" t="n"/>
      <c r="V5066" s="8" t="n"/>
      <c r="W5066" s="8" t="n"/>
      <c r="X5066" s="8" t="n"/>
      <c r="Y5066" s="8" t="n"/>
    </row>
    <row r="5067">
      <c r="A5067" s="8" t="n"/>
      <c r="B5067" s="8" t="n"/>
      <c r="C5067" s="8" t="n"/>
      <c r="D5067" s="8" t="n"/>
      <c r="E5067" s="8" t="n"/>
      <c r="F5067" s="8" t="n"/>
      <c r="G5067" s="8" t="n"/>
      <c r="H5067" s="8" t="n"/>
      <c r="I5067" s="8" t="n"/>
      <c r="J5067" s="8" t="n"/>
      <c r="K5067" s="8" t="n"/>
      <c r="L5067" s="8" t="n"/>
      <c r="M5067" s="9">
        <f>B5067+30</f>
        <v/>
      </c>
      <c r="N5067">
        <f>IF(L5067="", "", L5067-B5067)</f>
        <v/>
      </c>
      <c r="O5067">
        <f>IF(L5067="", "Pending", IF(N5067&lt;=30, "Met", "Breached"))</f>
        <v/>
      </c>
      <c r="P5067" s="8" t="n"/>
      <c r="Q5067" s="8" t="n"/>
      <c r="R5067" s="8" t="n"/>
      <c r="S5067" s="8" t="n"/>
      <c r="T5067" s="8" t="n"/>
      <c r="U5067" s="8" t="n"/>
      <c r="V5067" s="8" t="n"/>
      <c r="W5067" s="8" t="n"/>
      <c r="X5067" s="8" t="n"/>
      <c r="Y5067" s="8" t="n"/>
    </row>
    <row r="5068">
      <c r="A5068" s="8" t="n"/>
      <c r="B5068" s="8" t="n"/>
      <c r="C5068" s="8" t="n"/>
      <c r="D5068" s="8" t="n"/>
      <c r="E5068" s="8" t="n"/>
      <c r="F5068" s="8" t="n"/>
      <c r="G5068" s="8" t="n"/>
      <c r="H5068" s="8" t="n"/>
      <c r="I5068" s="8" t="n"/>
      <c r="J5068" s="8" t="n"/>
      <c r="K5068" s="8" t="n"/>
      <c r="L5068" s="8" t="n"/>
      <c r="M5068" s="9">
        <f>B5068+30</f>
        <v/>
      </c>
      <c r="N5068">
        <f>IF(L5068="", "", L5068-B5068)</f>
        <v/>
      </c>
      <c r="O5068">
        <f>IF(L5068="", "Pending", IF(N5068&lt;=30, "Met", "Breached"))</f>
        <v/>
      </c>
      <c r="P5068" s="8" t="n"/>
      <c r="Q5068" s="8" t="n"/>
      <c r="R5068" s="8" t="n"/>
      <c r="S5068" s="8" t="n"/>
      <c r="T5068" s="8" t="n"/>
      <c r="U5068" s="8" t="n"/>
      <c r="V5068" s="8" t="n"/>
      <c r="W5068" s="8" t="n"/>
      <c r="X5068" s="8" t="n"/>
      <c r="Y5068" s="8" t="n"/>
    </row>
    <row r="5069">
      <c r="A5069" s="8" t="n"/>
      <c r="B5069" s="8" t="n"/>
      <c r="C5069" s="8" t="n"/>
      <c r="D5069" s="8" t="n"/>
      <c r="E5069" s="8" t="n"/>
      <c r="F5069" s="8" t="n"/>
      <c r="G5069" s="8" t="n"/>
      <c r="H5069" s="8" t="n"/>
      <c r="I5069" s="8" t="n"/>
      <c r="J5069" s="8" t="n"/>
      <c r="K5069" s="8" t="n"/>
      <c r="L5069" s="8" t="n"/>
      <c r="M5069" s="9">
        <f>B5069+30</f>
        <v/>
      </c>
      <c r="N5069">
        <f>IF(L5069="", "", L5069-B5069)</f>
        <v/>
      </c>
      <c r="O5069">
        <f>IF(L5069="", "Pending", IF(N5069&lt;=30, "Met", "Breached"))</f>
        <v/>
      </c>
      <c r="P5069" s="8" t="n"/>
      <c r="Q5069" s="8" t="n"/>
      <c r="R5069" s="8" t="n"/>
      <c r="S5069" s="8" t="n"/>
      <c r="T5069" s="8" t="n"/>
      <c r="U5069" s="8" t="n"/>
      <c r="V5069" s="8" t="n"/>
      <c r="W5069" s="8" t="n"/>
      <c r="X5069" s="8" t="n"/>
      <c r="Y5069" s="8" t="n"/>
    </row>
    <row r="5070">
      <c r="A5070" s="8" t="n"/>
      <c r="B5070" s="8" t="n"/>
      <c r="C5070" s="8" t="n"/>
      <c r="D5070" s="8" t="n"/>
      <c r="E5070" s="8" t="n"/>
      <c r="F5070" s="8" t="n"/>
      <c r="G5070" s="8" t="n"/>
      <c r="H5070" s="8" t="n"/>
      <c r="I5070" s="8" t="n"/>
      <c r="J5070" s="8" t="n"/>
      <c r="K5070" s="8" t="n"/>
      <c r="L5070" s="8" t="n"/>
      <c r="M5070" s="9">
        <f>B5070+30</f>
        <v/>
      </c>
      <c r="N5070">
        <f>IF(L5070="", "", L5070-B5070)</f>
        <v/>
      </c>
      <c r="O5070">
        <f>IF(L5070="", "Pending", IF(N5070&lt;=30, "Met", "Breached"))</f>
        <v/>
      </c>
      <c r="P5070" s="8" t="n"/>
      <c r="Q5070" s="8" t="n"/>
      <c r="R5070" s="8" t="n"/>
      <c r="S5070" s="8" t="n"/>
      <c r="T5070" s="8" t="n"/>
      <c r="U5070" s="8" t="n"/>
      <c r="V5070" s="8" t="n"/>
      <c r="W5070" s="8" t="n"/>
      <c r="X5070" s="8" t="n"/>
      <c r="Y5070" s="8" t="n"/>
    </row>
    <row r="5071">
      <c r="A5071" s="8" t="n"/>
      <c r="B5071" s="8" t="n"/>
      <c r="C5071" s="8" t="n"/>
      <c r="D5071" s="8" t="n"/>
      <c r="E5071" s="8" t="n"/>
      <c r="F5071" s="8" t="n"/>
      <c r="G5071" s="8" t="n"/>
      <c r="H5071" s="8" t="n"/>
      <c r="I5071" s="8" t="n"/>
      <c r="J5071" s="8" t="n"/>
      <c r="K5071" s="8" t="n"/>
      <c r="L5071" s="8" t="n"/>
      <c r="M5071" s="9">
        <f>B5071+30</f>
        <v/>
      </c>
      <c r="N5071">
        <f>IF(L5071="", "", L5071-B5071)</f>
        <v/>
      </c>
      <c r="O5071">
        <f>IF(L5071="", "Pending", IF(N5071&lt;=30, "Met", "Breached"))</f>
        <v/>
      </c>
      <c r="P5071" s="8" t="n"/>
      <c r="Q5071" s="8" t="n"/>
      <c r="R5071" s="8" t="n"/>
      <c r="S5071" s="8" t="n"/>
      <c r="T5071" s="8" t="n"/>
      <c r="U5071" s="8" t="n"/>
      <c r="V5071" s="8" t="n"/>
      <c r="W5071" s="8" t="n"/>
      <c r="X5071" s="8" t="n"/>
      <c r="Y5071" s="8" t="n"/>
    </row>
    <row r="5072">
      <c r="A5072" s="8" t="n"/>
      <c r="B5072" s="8" t="n"/>
      <c r="C5072" s="8" t="n"/>
      <c r="D5072" s="8" t="n"/>
      <c r="E5072" s="8" t="n"/>
      <c r="F5072" s="8" t="n"/>
      <c r="G5072" s="8" t="n"/>
      <c r="H5072" s="8" t="n"/>
      <c r="I5072" s="8" t="n"/>
      <c r="J5072" s="8" t="n"/>
      <c r="K5072" s="8" t="n"/>
      <c r="L5072" s="8" t="n"/>
      <c r="M5072" s="9">
        <f>B5072+30</f>
        <v/>
      </c>
      <c r="N5072">
        <f>IF(L5072="", "", L5072-B5072)</f>
        <v/>
      </c>
      <c r="O5072">
        <f>IF(L5072="", "Pending", IF(N5072&lt;=30, "Met", "Breached"))</f>
        <v/>
      </c>
      <c r="P5072" s="8" t="n"/>
      <c r="Q5072" s="8" t="n"/>
      <c r="R5072" s="8" t="n"/>
      <c r="S5072" s="8" t="n"/>
      <c r="T5072" s="8" t="n"/>
      <c r="U5072" s="8" t="n"/>
      <c r="V5072" s="8" t="n"/>
      <c r="W5072" s="8" t="n"/>
      <c r="X5072" s="8" t="n"/>
      <c r="Y5072" s="8" t="n"/>
    </row>
    <row r="5073">
      <c r="A5073" s="8" t="n"/>
      <c r="B5073" s="8" t="n"/>
      <c r="C5073" s="8" t="n"/>
      <c r="D5073" s="8" t="n"/>
      <c r="E5073" s="8" t="n"/>
      <c r="F5073" s="8" t="n"/>
      <c r="G5073" s="8" t="n"/>
      <c r="H5073" s="8" t="n"/>
      <c r="I5073" s="8" t="n"/>
      <c r="J5073" s="8" t="n"/>
      <c r="K5073" s="8" t="n"/>
      <c r="L5073" s="8" t="n"/>
      <c r="M5073" s="9">
        <f>B5073+30</f>
        <v/>
      </c>
      <c r="N5073">
        <f>IF(L5073="", "", L5073-B5073)</f>
        <v/>
      </c>
      <c r="O5073">
        <f>IF(L5073="", "Pending", IF(N5073&lt;=30, "Met", "Breached"))</f>
        <v/>
      </c>
      <c r="P5073" s="8" t="n"/>
      <c r="Q5073" s="8" t="n"/>
      <c r="R5073" s="8" t="n"/>
      <c r="S5073" s="8" t="n"/>
      <c r="T5073" s="8" t="n"/>
      <c r="U5073" s="8" t="n"/>
      <c r="V5073" s="8" t="n"/>
      <c r="W5073" s="8" t="n"/>
      <c r="X5073" s="8" t="n"/>
      <c r="Y5073" s="8" t="n"/>
    </row>
    <row r="5074">
      <c r="A5074" s="8" t="n"/>
      <c r="B5074" s="8" t="n"/>
      <c r="C5074" s="8" t="n"/>
      <c r="D5074" s="8" t="n"/>
      <c r="E5074" s="8" t="n"/>
      <c r="F5074" s="8" t="n"/>
      <c r="G5074" s="8" t="n"/>
      <c r="H5074" s="8" t="n"/>
      <c r="I5074" s="8" t="n"/>
      <c r="J5074" s="8" t="n"/>
      <c r="K5074" s="8" t="n"/>
      <c r="L5074" s="8" t="n"/>
      <c r="M5074" s="9">
        <f>B5074+30</f>
        <v/>
      </c>
      <c r="N5074">
        <f>IF(L5074="", "", L5074-B5074)</f>
        <v/>
      </c>
      <c r="O5074">
        <f>IF(L5074="", "Pending", IF(N5074&lt;=30, "Met", "Breached"))</f>
        <v/>
      </c>
      <c r="P5074" s="8" t="n"/>
      <c r="Q5074" s="8" t="n"/>
      <c r="R5074" s="8" t="n"/>
      <c r="S5074" s="8" t="n"/>
      <c r="T5074" s="8" t="n"/>
      <c r="U5074" s="8" t="n"/>
      <c r="V5074" s="8" t="n"/>
      <c r="W5074" s="8" t="n"/>
      <c r="X5074" s="8" t="n"/>
      <c r="Y5074" s="8" t="n"/>
    </row>
    <row r="5075">
      <c r="A5075" s="8" t="n"/>
      <c r="B5075" s="8" t="n"/>
      <c r="C5075" s="8" t="n"/>
      <c r="D5075" s="8" t="n"/>
      <c r="E5075" s="8" t="n"/>
      <c r="F5075" s="8" t="n"/>
      <c r="G5075" s="8" t="n"/>
      <c r="H5075" s="8" t="n"/>
      <c r="I5075" s="8" t="n"/>
      <c r="J5075" s="8" t="n"/>
      <c r="K5075" s="8" t="n"/>
      <c r="L5075" s="8" t="n"/>
      <c r="M5075" s="9">
        <f>B5075+30</f>
        <v/>
      </c>
      <c r="N5075">
        <f>IF(L5075="", "", L5075-B5075)</f>
        <v/>
      </c>
      <c r="O5075">
        <f>IF(L5075="", "Pending", IF(N5075&lt;=30, "Met", "Breached"))</f>
        <v/>
      </c>
      <c r="P5075" s="8" t="n"/>
      <c r="Q5075" s="8" t="n"/>
      <c r="R5075" s="8" t="n"/>
      <c r="S5075" s="8" t="n"/>
      <c r="T5075" s="8" t="n"/>
      <c r="U5075" s="8" t="n"/>
      <c r="V5075" s="8" t="n"/>
      <c r="W5075" s="8" t="n"/>
      <c r="X5075" s="8" t="n"/>
      <c r="Y5075" s="8" t="n"/>
    </row>
    <row r="5076">
      <c r="A5076" s="8" t="n"/>
      <c r="B5076" s="8" t="n"/>
      <c r="C5076" s="8" t="n"/>
      <c r="D5076" s="8" t="n"/>
      <c r="E5076" s="8" t="n"/>
      <c r="F5076" s="8" t="n"/>
      <c r="G5076" s="8" t="n"/>
      <c r="H5076" s="8" t="n"/>
      <c r="I5076" s="8" t="n"/>
      <c r="J5076" s="8" t="n"/>
      <c r="K5076" s="8" t="n"/>
      <c r="L5076" s="8" t="n"/>
      <c r="M5076" s="9">
        <f>B5076+30</f>
        <v/>
      </c>
      <c r="N5076">
        <f>IF(L5076="", "", L5076-B5076)</f>
        <v/>
      </c>
      <c r="O5076">
        <f>IF(L5076="", "Pending", IF(N5076&lt;=30, "Met", "Breached"))</f>
        <v/>
      </c>
      <c r="P5076" s="8" t="n"/>
      <c r="Q5076" s="8" t="n"/>
      <c r="R5076" s="8" t="n"/>
      <c r="S5076" s="8" t="n"/>
      <c r="T5076" s="8" t="n"/>
      <c r="U5076" s="8" t="n"/>
      <c r="V5076" s="8" t="n"/>
      <c r="W5076" s="8" t="n"/>
      <c r="X5076" s="8" t="n"/>
      <c r="Y5076" s="8" t="n"/>
    </row>
    <row r="5077">
      <c r="A5077" s="8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8" t="n"/>
      <c r="K5077" s="8" t="n"/>
      <c r="L5077" s="8" t="n"/>
      <c r="M5077" s="9">
        <f>B5077+30</f>
        <v/>
      </c>
      <c r="N5077">
        <f>IF(L5077="", "", L5077-B5077)</f>
        <v/>
      </c>
      <c r="O5077">
        <f>IF(L5077="", "Pending", IF(N5077&lt;=30, "Met", "Breached"))</f>
        <v/>
      </c>
      <c r="P5077" s="8" t="n"/>
      <c r="Q5077" s="8" t="n"/>
      <c r="R5077" s="8" t="n"/>
      <c r="S5077" s="8" t="n"/>
      <c r="T5077" s="8" t="n"/>
      <c r="U5077" s="8" t="n"/>
      <c r="V5077" s="8" t="n"/>
      <c r="W5077" s="8" t="n"/>
      <c r="X5077" s="8" t="n"/>
      <c r="Y5077" s="8" t="n"/>
    </row>
    <row r="5078">
      <c r="A5078" s="8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8" t="n"/>
      <c r="K5078" s="8" t="n"/>
      <c r="L5078" s="8" t="n"/>
      <c r="M5078" s="9">
        <f>B5078+30</f>
        <v/>
      </c>
      <c r="N5078">
        <f>IF(L5078="", "", L5078-B5078)</f>
        <v/>
      </c>
      <c r="O5078">
        <f>IF(L5078="", "Pending", IF(N5078&lt;=30, "Met", "Breached"))</f>
        <v/>
      </c>
      <c r="P5078" s="8" t="n"/>
      <c r="Q5078" s="8" t="n"/>
      <c r="R5078" s="8" t="n"/>
      <c r="S5078" s="8" t="n"/>
      <c r="T5078" s="8" t="n"/>
      <c r="U5078" s="8" t="n"/>
      <c r="V5078" s="8" t="n"/>
      <c r="W5078" s="8" t="n"/>
      <c r="X5078" s="8" t="n"/>
      <c r="Y5078" s="8" t="n"/>
    </row>
    <row r="5079">
      <c r="A5079" s="8" t="n"/>
      <c r="B5079" s="8" t="n"/>
      <c r="C5079" s="8" t="n"/>
      <c r="D5079" s="8" t="n"/>
      <c r="E5079" s="8" t="n"/>
      <c r="F5079" s="8" t="n"/>
      <c r="G5079" s="8" t="n"/>
      <c r="H5079" s="8" t="n"/>
      <c r="I5079" s="8" t="n"/>
      <c r="J5079" s="8" t="n"/>
      <c r="K5079" s="8" t="n"/>
      <c r="L5079" s="8" t="n"/>
      <c r="M5079" s="9">
        <f>B5079+30</f>
        <v/>
      </c>
      <c r="N5079">
        <f>IF(L5079="", "", L5079-B5079)</f>
        <v/>
      </c>
      <c r="O5079">
        <f>IF(L5079="", "Pending", IF(N5079&lt;=30, "Met", "Breached"))</f>
        <v/>
      </c>
      <c r="P5079" s="8" t="n"/>
      <c r="Q5079" s="8" t="n"/>
      <c r="R5079" s="8" t="n"/>
      <c r="S5079" s="8" t="n"/>
      <c r="T5079" s="8" t="n"/>
      <c r="U5079" s="8" t="n"/>
      <c r="V5079" s="8" t="n"/>
      <c r="W5079" s="8" t="n"/>
      <c r="X5079" s="8" t="n"/>
      <c r="Y5079" s="8" t="n"/>
    </row>
    <row r="5080">
      <c r="A5080" s="8" t="n"/>
      <c r="B5080" s="8" t="n"/>
      <c r="C5080" s="8" t="n"/>
      <c r="D5080" s="8" t="n"/>
      <c r="E5080" s="8" t="n"/>
      <c r="F5080" s="8" t="n"/>
      <c r="G5080" s="8" t="n"/>
      <c r="H5080" s="8" t="n"/>
      <c r="I5080" s="8" t="n"/>
      <c r="J5080" s="8" t="n"/>
      <c r="K5080" s="8" t="n"/>
      <c r="L5080" s="8" t="n"/>
      <c r="M5080" s="9">
        <f>B5080+30</f>
        <v/>
      </c>
      <c r="N5080">
        <f>IF(L5080="", "", L5080-B5080)</f>
        <v/>
      </c>
      <c r="O5080">
        <f>IF(L5080="", "Pending", IF(N5080&lt;=30, "Met", "Breached"))</f>
        <v/>
      </c>
      <c r="P5080" s="8" t="n"/>
      <c r="Q5080" s="8" t="n"/>
      <c r="R5080" s="8" t="n"/>
      <c r="S5080" s="8" t="n"/>
      <c r="T5080" s="8" t="n"/>
      <c r="U5080" s="8" t="n"/>
      <c r="V5080" s="8" t="n"/>
      <c r="W5080" s="8" t="n"/>
      <c r="X5080" s="8" t="n"/>
      <c r="Y5080" s="8" t="n"/>
    </row>
    <row r="5081">
      <c r="A5081" s="8" t="n"/>
      <c r="B5081" s="8" t="n"/>
      <c r="C5081" s="8" t="n"/>
      <c r="D5081" s="8" t="n"/>
      <c r="E5081" s="8" t="n"/>
      <c r="F5081" s="8" t="n"/>
      <c r="G5081" s="8" t="n"/>
      <c r="H5081" s="8" t="n"/>
      <c r="I5081" s="8" t="n"/>
      <c r="J5081" s="8" t="n"/>
      <c r="K5081" s="8" t="n"/>
      <c r="L5081" s="8" t="n"/>
      <c r="M5081" s="9">
        <f>B5081+30</f>
        <v/>
      </c>
      <c r="N5081">
        <f>IF(L5081="", "", L5081-B5081)</f>
        <v/>
      </c>
      <c r="O5081">
        <f>IF(L5081="", "Pending", IF(N5081&lt;=30, "Met", "Breached"))</f>
        <v/>
      </c>
      <c r="P5081" s="8" t="n"/>
      <c r="Q5081" s="8" t="n"/>
      <c r="R5081" s="8" t="n"/>
      <c r="S5081" s="8" t="n"/>
      <c r="T5081" s="8" t="n"/>
      <c r="U5081" s="8" t="n"/>
      <c r="V5081" s="8" t="n"/>
      <c r="W5081" s="8" t="n"/>
      <c r="X5081" s="8" t="n"/>
      <c r="Y5081" s="8" t="n"/>
    </row>
    <row r="5082">
      <c r="A5082" s="8" t="n"/>
      <c r="B5082" s="8" t="n"/>
      <c r="C5082" s="8" t="n"/>
      <c r="D5082" s="8" t="n"/>
      <c r="E5082" s="8" t="n"/>
      <c r="F5082" s="8" t="n"/>
      <c r="G5082" s="8" t="n"/>
      <c r="H5082" s="8" t="n"/>
      <c r="I5082" s="8" t="n"/>
      <c r="J5082" s="8" t="n"/>
      <c r="K5082" s="8" t="n"/>
      <c r="L5082" s="8" t="n"/>
      <c r="M5082" s="9">
        <f>B5082+30</f>
        <v/>
      </c>
      <c r="N5082">
        <f>IF(L5082="", "", L5082-B5082)</f>
        <v/>
      </c>
      <c r="O5082">
        <f>IF(L5082="", "Pending", IF(N5082&lt;=30, "Met", "Breached"))</f>
        <v/>
      </c>
      <c r="P5082" s="8" t="n"/>
      <c r="Q5082" s="8" t="n"/>
      <c r="R5082" s="8" t="n"/>
      <c r="S5082" s="8" t="n"/>
      <c r="T5082" s="8" t="n"/>
      <c r="U5082" s="8" t="n"/>
      <c r="V5082" s="8" t="n"/>
      <c r="W5082" s="8" t="n"/>
      <c r="X5082" s="8" t="n"/>
      <c r="Y5082" s="8" t="n"/>
    </row>
    <row r="5083">
      <c r="A5083" s="8" t="n"/>
      <c r="B5083" s="8" t="n"/>
      <c r="C5083" s="8" t="n"/>
      <c r="D5083" s="8" t="n"/>
      <c r="E5083" s="8" t="n"/>
      <c r="F5083" s="8" t="n"/>
      <c r="G5083" s="8" t="n"/>
      <c r="H5083" s="8" t="n"/>
      <c r="I5083" s="8" t="n"/>
      <c r="J5083" s="8" t="n"/>
      <c r="K5083" s="8" t="n"/>
      <c r="L5083" s="8" t="n"/>
      <c r="M5083" s="9">
        <f>B5083+30</f>
        <v/>
      </c>
      <c r="N5083">
        <f>IF(L5083="", "", L5083-B5083)</f>
        <v/>
      </c>
      <c r="O5083">
        <f>IF(L5083="", "Pending", IF(N5083&lt;=30, "Met", "Breached"))</f>
        <v/>
      </c>
      <c r="P5083" s="8" t="n"/>
      <c r="Q5083" s="8" t="n"/>
      <c r="R5083" s="8" t="n"/>
      <c r="S5083" s="8" t="n"/>
      <c r="T5083" s="8" t="n"/>
      <c r="U5083" s="8" t="n"/>
      <c r="V5083" s="8" t="n"/>
      <c r="W5083" s="8" t="n"/>
      <c r="X5083" s="8" t="n"/>
      <c r="Y5083" s="8" t="n"/>
    </row>
    <row r="5084">
      <c r="A5084" s="8" t="n"/>
      <c r="B5084" s="8" t="n"/>
      <c r="C5084" s="8" t="n"/>
      <c r="D5084" s="8" t="n"/>
      <c r="E5084" s="8" t="n"/>
      <c r="F5084" s="8" t="n"/>
      <c r="G5084" s="8" t="n"/>
      <c r="H5084" s="8" t="n"/>
      <c r="I5084" s="8" t="n"/>
      <c r="J5084" s="8" t="n"/>
      <c r="K5084" s="8" t="n"/>
      <c r="L5084" s="8" t="n"/>
      <c r="M5084" s="9">
        <f>B5084+30</f>
        <v/>
      </c>
      <c r="N5084">
        <f>IF(L5084="", "", L5084-B5084)</f>
        <v/>
      </c>
      <c r="O5084">
        <f>IF(L5084="", "Pending", IF(N5084&lt;=30, "Met", "Breached"))</f>
        <v/>
      </c>
      <c r="P5084" s="8" t="n"/>
      <c r="Q5084" s="8" t="n"/>
      <c r="R5084" s="8" t="n"/>
      <c r="S5084" s="8" t="n"/>
      <c r="T5084" s="8" t="n"/>
      <c r="U5084" s="8" t="n"/>
      <c r="V5084" s="8" t="n"/>
      <c r="W5084" s="8" t="n"/>
      <c r="X5084" s="8" t="n"/>
      <c r="Y5084" s="8" t="n"/>
    </row>
    <row r="5085">
      <c r="A5085" s="8" t="n"/>
      <c r="B5085" s="8" t="n"/>
      <c r="C5085" s="8" t="n"/>
      <c r="D5085" s="8" t="n"/>
      <c r="E5085" s="8" t="n"/>
      <c r="F5085" s="8" t="n"/>
      <c r="G5085" s="8" t="n"/>
      <c r="H5085" s="8" t="n"/>
      <c r="I5085" s="8" t="n"/>
      <c r="J5085" s="8" t="n"/>
      <c r="K5085" s="8" t="n"/>
      <c r="L5085" s="8" t="n"/>
      <c r="M5085" s="9">
        <f>B5085+30</f>
        <v/>
      </c>
      <c r="N5085">
        <f>IF(L5085="", "", L5085-B5085)</f>
        <v/>
      </c>
      <c r="O5085">
        <f>IF(L5085="", "Pending", IF(N5085&lt;=30, "Met", "Breached"))</f>
        <v/>
      </c>
      <c r="P5085" s="8" t="n"/>
      <c r="Q5085" s="8" t="n"/>
      <c r="R5085" s="8" t="n"/>
      <c r="S5085" s="8" t="n"/>
      <c r="T5085" s="8" t="n"/>
      <c r="U5085" s="8" t="n"/>
      <c r="V5085" s="8" t="n"/>
      <c r="W5085" s="8" t="n"/>
      <c r="X5085" s="8" t="n"/>
      <c r="Y5085" s="8" t="n"/>
    </row>
    <row r="5086">
      <c r="A5086" s="8" t="n"/>
      <c r="B5086" s="8" t="n"/>
      <c r="C5086" s="8" t="n"/>
      <c r="D5086" s="8" t="n"/>
      <c r="E5086" s="8" t="n"/>
      <c r="F5086" s="8" t="n"/>
      <c r="G5086" s="8" t="n"/>
      <c r="H5086" s="8" t="n"/>
      <c r="I5086" s="8" t="n"/>
      <c r="J5086" s="8" t="n"/>
      <c r="K5086" s="8" t="n"/>
      <c r="L5086" s="8" t="n"/>
      <c r="M5086" s="9">
        <f>B5086+30</f>
        <v/>
      </c>
      <c r="N5086">
        <f>IF(L5086="", "", L5086-B5086)</f>
        <v/>
      </c>
      <c r="O5086">
        <f>IF(L5086="", "Pending", IF(N5086&lt;=30, "Met", "Breached"))</f>
        <v/>
      </c>
      <c r="P5086" s="8" t="n"/>
      <c r="Q5086" s="8" t="n"/>
      <c r="R5086" s="8" t="n"/>
      <c r="S5086" s="8" t="n"/>
      <c r="T5086" s="8" t="n"/>
      <c r="U5086" s="8" t="n"/>
      <c r="V5086" s="8" t="n"/>
      <c r="W5086" s="8" t="n"/>
      <c r="X5086" s="8" t="n"/>
      <c r="Y5086" s="8" t="n"/>
    </row>
    <row r="5087">
      <c r="A5087" s="8" t="n"/>
      <c r="B5087" s="8" t="n"/>
      <c r="C5087" s="8" t="n"/>
      <c r="D5087" s="8" t="n"/>
      <c r="E5087" s="8" t="n"/>
      <c r="F5087" s="8" t="n"/>
      <c r="G5087" s="8" t="n"/>
      <c r="H5087" s="8" t="n"/>
      <c r="I5087" s="8" t="n"/>
      <c r="J5087" s="8" t="n"/>
      <c r="K5087" s="8" t="n"/>
      <c r="L5087" s="8" t="n"/>
      <c r="M5087" s="9">
        <f>B5087+30</f>
        <v/>
      </c>
      <c r="N5087">
        <f>IF(L5087="", "", L5087-B5087)</f>
        <v/>
      </c>
      <c r="O5087">
        <f>IF(L5087="", "Pending", IF(N5087&lt;=30, "Met", "Breached"))</f>
        <v/>
      </c>
      <c r="P5087" s="8" t="n"/>
      <c r="Q5087" s="8" t="n"/>
      <c r="R5087" s="8" t="n"/>
      <c r="S5087" s="8" t="n"/>
      <c r="T5087" s="8" t="n"/>
      <c r="U5087" s="8" t="n"/>
      <c r="V5087" s="8" t="n"/>
      <c r="W5087" s="8" t="n"/>
      <c r="X5087" s="8" t="n"/>
      <c r="Y5087" s="8" t="n"/>
    </row>
    <row r="5088">
      <c r="A5088" s="8" t="n"/>
      <c r="B5088" s="8" t="n"/>
      <c r="C5088" s="8" t="n"/>
      <c r="D5088" s="8" t="n"/>
      <c r="E5088" s="8" t="n"/>
      <c r="F5088" s="8" t="n"/>
      <c r="G5088" s="8" t="n"/>
      <c r="H5088" s="8" t="n"/>
      <c r="I5088" s="8" t="n"/>
      <c r="J5088" s="8" t="n"/>
      <c r="K5088" s="8" t="n"/>
      <c r="L5088" s="8" t="n"/>
      <c r="M5088" s="9">
        <f>B5088+30</f>
        <v/>
      </c>
      <c r="N5088">
        <f>IF(L5088="", "", L5088-B5088)</f>
        <v/>
      </c>
      <c r="O5088">
        <f>IF(L5088="", "Pending", IF(N5088&lt;=30, "Met", "Breached"))</f>
        <v/>
      </c>
      <c r="P5088" s="8" t="n"/>
      <c r="Q5088" s="8" t="n"/>
      <c r="R5088" s="8" t="n"/>
      <c r="S5088" s="8" t="n"/>
      <c r="T5088" s="8" t="n"/>
      <c r="U5088" s="8" t="n"/>
      <c r="V5088" s="8" t="n"/>
      <c r="W5088" s="8" t="n"/>
      <c r="X5088" s="8" t="n"/>
      <c r="Y5088" s="8" t="n"/>
    </row>
    <row r="5089">
      <c r="A5089" s="8" t="n"/>
      <c r="B5089" s="8" t="n"/>
      <c r="C5089" s="8" t="n"/>
      <c r="D5089" s="8" t="n"/>
      <c r="E5089" s="8" t="n"/>
      <c r="F5089" s="8" t="n"/>
      <c r="G5089" s="8" t="n"/>
      <c r="H5089" s="8" t="n"/>
      <c r="I5089" s="8" t="n"/>
      <c r="J5089" s="8" t="n"/>
      <c r="K5089" s="8" t="n"/>
      <c r="L5089" s="8" t="n"/>
      <c r="M5089" s="9">
        <f>B5089+30</f>
        <v/>
      </c>
      <c r="N5089">
        <f>IF(L5089="", "", L5089-B5089)</f>
        <v/>
      </c>
      <c r="O5089">
        <f>IF(L5089="", "Pending", IF(N5089&lt;=30, "Met", "Breached"))</f>
        <v/>
      </c>
      <c r="P5089" s="8" t="n"/>
      <c r="Q5089" s="8" t="n"/>
      <c r="R5089" s="8" t="n"/>
      <c r="S5089" s="8" t="n"/>
      <c r="T5089" s="8" t="n"/>
      <c r="U5089" s="8" t="n"/>
      <c r="V5089" s="8" t="n"/>
      <c r="W5089" s="8" t="n"/>
      <c r="X5089" s="8" t="n"/>
      <c r="Y5089" s="8" t="n"/>
    </row>
    <row r="5090">
      <c r="A5090" s="8" t="n"/>
      <c r="B5090" s="8" t="n"/>
      <c r="C5090" s="8" t="n"/>
      <c r="D5090" s="8" t="n"/>
      <c r="E5090" s="8" t="n"/>
      <c r="F5090" s="8" t="n"/>
      <c r="G5090" s="8" t="n"/>
      <c r="H5090" s="8" t="n"/>
      <c r="I5090" s="8" t="n"/>
      <c r="J5090" s="8" t="n"/>
      <c r="K5090" s="8" t="n"/>
      <c r="L5090" s="8" t="n"/>
      <c r="M5090" s="9">
        <f>B5090+30</f>
        <v/>
      </c>
      <c r="N5090">
        <f>IF(L5090="", "", L5090-B5090)</f>
        <v/>
      </c>
      <c r="O5090">
        <f>IF(L5090="", "Pending", IF(N5090&lt;=30, "Met", "Breached"))</f>
        <v/>
      </c>
      <c r="P5090" s="8" t="n"/>
      <c r="Q5090" s="8" t="n"/>
      <c r="R5090" s="8" t="n"/>
      <c r="S5090" s="8" t="n"/>
      <c r="T5090" s="8" t="n"/>
      <c r="U5090" s="8" t="n"/>
      <c r="V5090" s="8" t="n"/>
      <c r="W5090" s="8" t="n"/>
      <c r="X5090" s="8" t="n"/>
      <c r="Y5090" s="8" t="n"/>
    </row>
    <row r="5091">
      <c r="A5091" s="8" t="n"/>
      <c r="B5091" s="8" t="n"/>
      <c r="C5091" s="8" t="n"/>
      <c r="D5091" s="8" t="n"/>
      <c r="E5091" s="8" t="n"/>
      <c r="F5091" s="8" t="n"/>
      <c r="G5091" s="8" t="n"/>
      <c r="H5091" s="8" t="n"/>
      <c r="I5091" s="8" t="n"/>
      <c r="J5091" s="8" t="n"/>
      <c r="K5091" s="8" t="n"/>
      <c r="L5091" s="8" t="n"/>
      <c r="M5091" s="9">
        <f>B5091+30</f>
        <v/>
      </c>
      <c r="N5091">
        <f>IF(L5091="", "", L5091-B5091)</f>
        <v/>
      </c>
      <c r="O5091">
        <f>IF(L5091="", "Pending", IF(N5091&lt;=30, "Met", "Breached"))</f>
        <v/>
      </c>
      <c r="P5091" s="8" t="n"/>
      <c r="Q5091" s="8" t="n"/>
      <c r="R5091" s="8" t="n"/>
      <c r="S5091" s="8" t="n"/>
      <c r="T5091" s="8" t="n"/>
      <c r="U5091" s="8" t="n"/>
      <c r="V5091" s="8" t="n"/>
      <c r="W5091" s="8" t="n"/>
      <c r="X5091" s="8" t="n"/>
      <c r="Y5091" s="8" t="n"/>
    </row>
    <row r="5092">
      <c r="A5092" s="8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8" t="n"/>
      <c r="K5092" s="8" t="n"/>
      <c r="L5092" s="8" t="n"/>
      <c r="M5092" s="9">
        <f>B5092+30</f>
        <v/>
      </c>
      <c r="N5092">
        <f>IF(L5092="", "", L5092-B5092)</f>
        <v/>
      </c>
      <c r="O5092">
        <f>IF(L5092="", "Pending", IF(N5092&lt;=30, "Met", "Breached"))</f>
        <v/>
      </c>
      <c r="P5092" s="8" t="n"/>
      <c r="Q5092" s="8" t="n"/>
      <c r="R5092" s="8" t="n"/>
      <c r="S5092" s="8" t="n"/>
      <c r="T5092" s="8" t="n"/>
      <c r="U5092" s="8" t="n"/>
      <c r="V5092" s="8" t="n"/>
      <c r="W5092" s="8" t="n"/>
      <c r="X5092" s="8" t="n"/>
      <c r="Y5092" s="8" t="n"/>
    </row>
    <row r="5093">
      <c r="A5093" s="8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8" t="n"/>
      <c r="K5093" s="8" t="n"/>
      <c r="L5093" s="8" t="n"/>
      <c r="M5093" s="9">
        <f>B5093+30</f>
        <v/>
      </c>
      <c r="N5093">
        <f>IF(L5093="", "", L5093-B5093)</f>
        <v/>
      </c>
      <c r="O5093">
        <f>IF(L5093="", "Pending", IF(N5093&lt;=30, "Met", "Breached"))</f>
        <v/>
      </c>
      <c r="P5093" s="8" t="n"/>
      <c r="Q5093" s="8" t="n"/>
      <c r="R5093" s="8" t="n"/>
      <c r="S5093" s="8" t="n"/>
      <c r="T5093" s="8" t="n"/>
      <c r="U5093" s="8" t="n"/>
      <c r="V5093" s="8" t="n"/>
      <c r="W5093" s="8" t="n"/>
      <c r="X5093" s="8" t="n"/>
      <c r="Y5093" s="8" t="n"/>
    </row>
    <row r="5094">
      <c r="A5094" s="8" t="n"/>
      <c r="B5094" s="8" t="n"/>
      <c r="C5094" s="8" t="n"/>
      <c r="D5094" s="8" t="n"/>
      <c r="E5094" s="8" t="n"/>
      <c r="F5094" s="8" t="n"/>
      <c r="G5094" s="8" t="n"/>
      <c r="H5094" s="8" t="n"/>
      <c r="I5094" s="8" t="n"/>
      <c r="J5094" s="8" t="n"/>
      <c r="K5094" s="8" t="n"/>
      <c r="L5094" s="8" t="n"/>
      <c r="M5094" s="9">
        <f>B5094+30</f>
        <v/>
      </c>
      <c r="N5094">
        <f>IF(L5094="", "", L5094-B5094)</f>
        <v/>
      </c>
      <c r="O5094">
        <f>IF(L5094="", "Pending", IF(N5094&lt;=30, "Met", "Breached"))</f>
        <v/>
      </c>
      <c r="P5094" s="8" t="n"/>
      <c r="Q5094" s="8" t="n"/>
      <c r="R5094" s="8" t="n"/>
      <c r="S5094" s="8" t="n"/>
      <c r="T5094" s="8" t="n"/>
      <c r="U5094" s="8" t="n"/>
      <c r="V5094" s="8" t="n"/>
      <c r="W5094" s="8" t="n"/>
      <c r="X5094" s="8" t="n"/>
      <c r="Y5094" s="8" t="n"/>
    </row>
    <row r="5095">
      <c r="A5095" s="8" t="n"/>
      <c r="B5095" s="8" t="n"/>
      <c r="C5095" s="8" t="n"/>
      <c r="D5095" s="8" t="n"/>
      <c r="E5095" s="8" t="n"/>
      <c r="F5095" s="8" t="n"/>
      <c r="G5095" s="8" t="n"/>
      <c r="H5095" s="8" t="n"/>
      <c r="I5095" s="8" t="n"/>
      <c r="J5095" s="8" t="n"/>
      <c r="K5095" s="8" t="n"/>
      <c r="L5095" s="8" t="n"/>
      <c r="M5095" s="9">
        <f>B5095+30</f>
        <v/>
      </c>
      <c r="N5095">
        <f>IF(L5095="", "", L5095-B5095)</f>
        <v/>
      </c>
      <c r="O5095">
        <f>IF(L5095="", "Pending", IF(N5095&lt;=30, "Met", "Breached"))</f>
        <v/>
      </c>
      <c r="P5095" s="8" t="n"/>
      <c r="Q5095" s="8" t="n"/>
      <c r="R5095" s="8" t="n"/>
      <c r="S5095" s="8" t="n"/>
      <c r="T5095" s="8" t="n"/>
      <c r="U5095" s="8" t="n"/>
      <c r="V5095" s="8" t="n"/>
      <c r="W5095" s="8" t="n"/>
      <c r="X5095" s="8" t="n"/>
      <c r="Y5095" s="8" t="n"/>
    </row>
    <row r="5096">
      <c r="A5096" s="8" t="n"/>
      <c r="B5096" s="8" t="n"/>
      <c r="C5096" s="8" t="n"/>
      <c r="D5096" s="8" t="n"/>
      <c r="E5096" s="8" t="n"/>
      <c r="F5096" s="8" t="n"/>
      <c r="G5096" s="8" t="n"/>
      <c r="H5096" s="8" t="n"/>
      <c r="I5096" s="8" t="n"/>
      <c r="J5096" s="8" t="n"/>
      <c r="K5096" s="8" t="n"/>
      <c r="L5096" s="8" t="n"/>
      <c r="M5096" s="9">
        <f>B5096+30</f>
        <v/>
      </c>
      <c r="N5096">
        <f>IF(L5096="", "", L5096-B5096)</f>
        <v/>
      </c>
      <c r="O5096">
        <f>IF(L5096="", "Pending", IF(N5096&lt;=30, "Met", "Breached"))</f>
        <v/>
      </c>
      <c r="P5096" s="8" t="n"/>
      <c r="Q5096" s="8" t="n"/>
      <c r="R5096" s="8" t="n"/>
      <c r="S5096" s="8" t="n"/>
      <c r="T5096" s="8" t="n"/>
      <c r="U5096" s="8" t="n"/>
      <c r="V5096" s="8" t="n"/>
      <c r="W5096" s="8" t="n"/>
      <c r="X5096" s="8" t="n"/>
      <c r="Y5096" s="8" t="n"/>
    </row>
    <row r="5097">
      <c r="A5097" s="8" t="n"/>
      <c r="B5097" s="8" t="n"/>
      <c r="C5097" s="8" t="n"/>
      <c r="D5097" s="8" t="n"/>
      <c r="E5097" s="8" t="n"/>
      <c r="F5097" s="8" t="n"/>
      <c r="G5097" s="8" t="n"/>
      <c r="H5097" s="8" t="n"/>
      <c r="I5097" s="8" t="n"/>
      <c r="J5097" s="8" t="n"/>
      <c r="K5097" s="8" t="n"/>
      <c r="L5097" s="8" t="n"/>
      <c r="M5097" s="9">
        <f>B5097+30</f>
        <v/>
      </c>
      <c r="N5097">
        <f>IF(L5097="", "", L5097-B5097)</f>
        <v/>
      </c>
      <c r="O5097">
        <f>IF(L5097="", "Pending", IF(N5097&lt;=30, "Met", "Breached"))</f>
        <v/>
      </c>
      <c r="P5097" s="8" t="n"/>
      <c r="Q5097" s="8" t="n"/>
      <c r="R5097" s="8" t="n"/>
      <c r="S5097" s="8" t="n"/>
      <c r="T5097" s="8" t="n"/>
      <c r="U5097" s="8" t="n"/>
      <c r="V5097" s="8" t="n"/>
      <c r="W5097" s="8" t="n"/>
      <c r="X5097" s="8" t="n"/>
      <c r="Y5097" s="8" t="n"/>
    </row>
    <row r="5098">
      <c r="A5098" s="8" t="n"/>
      <c r="B5098" s="8" t="n"/>
      <c r="C5098" s="8" t="n"/>
      <c r="D5098" s="8" t="n"/>
      <c r="E5098" s="8" t="n"/>
      <c r="F5098" s="8" t="n"/>
      <c r="G5098" s="8" t="n"/>
      <c r="H5098" s="8" t="n"/>
      <c r="I5098" s="8" t="n"/>
      <c r="J5098" s="8" t="n"/>
      <c r="K5098" s="8" t="n"/>
      <c r="L5098" s="8" t="n"/>
      <c r="M5098" s="9">
        <f>B5098+30</f>
        <v/>
      </c>
      <c r="N5098">
        <f>IF(L5098="", "", L5098-B5098)</f>
        <v/>
      </c>
      <c r="O5098">
        <f>IF(L5098="", "Pending", IF(N5098&lt;=30, "Met", "Breached"))</f>
        <v/>
      </c>
      <c r="P5098" s="8" t="n"/>
      <c r="Q5098" s="8" t="n"/>
      <c r="R5098" s="8" t="n"/>
      <c r="S5098" s="8" t="n"/>
      <c r="T5098" s="8" t="n"/>
      <c r="U5098" s="8" t="n"/>
      <c r="V5098" s="8" t="n"/>
      <c r="W5098" s="8" t="n"/>
      <c r="X5098" s="8" t="n"/>
      <c r="Y5098" s="8" t="n"/>
    </row>
    <row r="5099">
      <c r="A5099" s="8" t="n"/>
      <c r="B5099" s="8" t="n"/>
      <c r="C5099" s="8" t="n"/>
      <c r="D5099" s="8" t="n"/>
      <c r="E5099" s="8" t="n"/>
      <c r="F5099" s="8" t="n"/>
      <c r="G5099" s="8" t="n"/>
      <c r="H5099" s="8" t="n"/>
      <c r="I5099" s="8" t="n"/>
      <c r="J5099" s="8" t="n"/>
      <c r="K5099" s="8" t="n"/>
      <c r="L5099" s="8" t="n"/>
      <c r="M5099" s="9">
        <f>B5099+30</f>
        <v/>
      </c>
      <c r="N5099">
        <f>IF(L5099="", "", L5099-B5099)</f>
        <v/>
      </c>
      <c r="O5099">
        <f>IF(L5099="", "Pending", IF(N5099&lt;=30, "Met", "Breached"))</f>
        <v/>
      </c>
      <c r="P5099" s="8" t="n"/>
      <c r="Q5099" s="8" t="n"/>
      <c r="R5099" s="8" t="n"/>
      <c r="S5099" s="8" t="n"/>
      <c r="T5099" s="8" t="n"/>
      <c r="U5099" s="8" t="n"/>
      <c r="V5099" s="8" t="n"/>
      <c r="W5099" s="8" t="n"/>
      <c r="X5099" s="8" t="n"/>
      <c r="Y5099" s="8" t="n"/>
    </row>
    <row r="5100">
      <c r="A5100" s="8" t="n"/>
      <c r="B5100" s="8" t="n"/>
      <c r="C5100" s="8" t="n"/>
      <c r="D5100" s="8" t="n"/>
      <c r="E5100" s="8" t="n"/>
      <c r="F5100" s="8" t="n"/>
      <c r="G5100" s="8" t="n"/>
      <c r="H5100" s="8" t="n"/>
      <c r="I5100" s="8" t="n"/>
      <c r="J5100" s="8" t="n"/>
      <c r="K5100" s="8" t="n"/>
      <c r="L5100" s="8" t="n"/>
      <c r="M5100" s="9">
        <f>B5100+30</f>
        <v/>
      </c>
      <c r="N5100">
        <f>IF(L5100="", "", L5100-B5100)</f>
        <v/>
      </c>
      <c r="O5100">
        <f>IF(L5100="", "Pending", IF(N5100&lt;=30, "Met", "Breached"))</f>
        <v/>
      </c>
      <c r="P5100" s="8" t="n"/>
      <c r="Q5100" s="8" t="n"/>
      <c r="R5100" s="8" t="n"/>
      <c r="S5100" s="8" t="n"/>
      <c r="T5100" s="8" t="n"/>
      <c r="U5100" s="8" t="n"/>
      <c r="V5100" s="8" t="n"/>
      <c r="W5100" s="8" t="n"/>
      <c r="X5100" s="8" t="n"/>
      <c r="Y5100" s="8" t="n"/>
    </row>
    <row r="5101">
      <c r="A5101" s="8" t="n"/>
      <c r="B5101" s="8" t="n"/>
      <c r="C5101" s="8" t="n"/>
      <c r="D5101" s="8" t="n"/>
      <c r="E5101" s="8" t="n"/>
      <c r="F5101" s="8" t="n"/>
      <c r="G5101" s="8" t="n"/>
      <c r="H5101" s="8" t="n"/>
      <c r="I5101" s="8" t="n"/>
      <c r="J5101" s="8" t="n"/>
      <c r="K5101" s="8" t="n"/>
      <c r="L5101" s="8" t="n"/>
      <c r="M5101" s="9">
        <f>B5101+30</f>
        <v/>
      </c>
      <c r="N5101">
        <f>IF(L5101="", "", L5101-B5101)</f>
        <v/>
      </c>
      <c r="O5101">
        <f>IF(L5101="", "Pending", IF(N5101&lt;=30, "Met", "Breached"))</f>
        <v/>
      </c>
      <c r="P5101" s="8" t="n"/>
      <c r="Q5101" s="8" t="n"/>
      <c r="R5101" s="8" t="n"/>
      <c r="S5101" s="8" t="n"/>
      <c r="T5101" s="8" t="n"/>
      <c r="U5101" s="8" t="n"/>
      <c r="V5101" s="8" t="n"/>
      <c r="W5101" s="8" t="n"/>
      <c r="X5101" s="8" t="n"/>
      <c r="Y5101" s="8" t="n"/>
    </row>
    <row r="5102">
      <c r="A5102" s="8" t="n"/>
      <c r="B5102" s="8" t="n"/>
      <c r="C5102" s="8" t="n"/>
      <c r="D5102" s="8" t="n"/>
      <c r="E5102" s="8" t="n"/>
      <c r="F5102" s="8" t="n"/>
      <c r="G5102" s="8" t="n"/>
      <c r="H5102" s="8" t="n"/>
      <c r="I5102" s="8" t="n"/>
      <c r="J5102" s="8" t="n"/>
      <c r="K5102" s="8" t="n"/>
      <c r="L5102" s="8" t="n"/>
      <c r="M5102" s="9">
        <f>B5102+30</f>
        <v/>
      </c>
      <c r="N5102">
        <f>IF(L5102="", "", L5102-B5102)</f>
        <v/>
      </c>
      <c r="O5102">
        <f>IF(L5102="", "Pending", IF(N5102&lt;=30, "Met", "Breached"))</f>
        <v/>
      </c>
      <c r="P5102" s="8" t="n"/>
      <c r="Q5102" s="8" t="n"/>
      <c r="R5102" s="8" t="n"/>
      <c r="S5102" s="8" t="n"/>
      <c r="T5102" s="8" t="n"/>
      <c r="U5102" s="8" t="n"/>
      <c r="V5102" s="8" t="n"/>
      <c r="W5102" s="8" t="n"/>
      <c r="X5102" s="8" t="n"/>
      <c r="Y5102" s="8" t="n"/>
    </row>
    <row r="5103">
      <c r="A5103" s="8" t="n"/>
      <c r="B5103" s="8" t="n"/>
      <c r="C5103" s="8" t="n"/>
      <c r="D5103" s="8" t="n"/>
      <c r="E5103" s="8" t="n"/>
      <c r="F5103" s="8" t="n"/>
      <c r="G5103" s="8" t="n"/>
      <c r="H5103" s="8" t="n"/>
      <c r="I5103" s="8" t="n"/>
      <c r="J5103" s="8" t="n"/>
      <c r="K5103" s="8" t="n"/>
      <c r="L5103" s="8" t="n"/>
      <c r="M5103" s="9">
        <f>B5103+30</f>
        <v/>
      </c>
      <c r="N5103">
        <f>IF(L5103="", "", L5103-B5103)</f>
        <v/>
      </c>
      <c r="O5103">
        <f>IF(L5103="", "Pending", IF(N5103&lt;=30, "Met", "Breached"))</f>
        <v/>
      </c>
      <c r="P5103" s="8" t="n"/>
      <c r="Q5103" s="8" t="n"/>
      <c r="R5103" s="8" t="n"/>
      <c r="S5103" s="8" t="n"/>
      <c r="T5103" s="8" t="n"/>
      <c r="U5103" s="8" t="n"/>
      <c r="V5103" s="8" t="n"/>
      <c r="W5103" s="8" t="n"/>
      <c r="X5103" s="8" t="n"/>
      <c r="Y5103" s="8" t="n"/>
    </row>
    <row r="5104">
      <c r="A5104" s="8" t="n"/>
      <c r="B5104" s="8" t="n"/>
      <c r="C5104" s="8" t="n"/>
      <c r="D5104" s="8" t="n"/>
      <c r="E5104" s="8" t="n"/>
      <c r="F5104" s="8" t="n"/>
      <c r="G5104" s="8" t="n"/>
      <c r="H5104" s="8" t="n"/>
      <c r="I5104" s="8" t="n"/>
      <c r="J5104" s="8" t="n"/>
      <c r="K5104" s="8" t="n"/>
      <c r="L5104" s="8" t="n"/>
      <c r="M5104" s="9">
        <f>B5104+30</f>
        <v/>
      </c>
      <c r="N5104">
        <f>IF(L5104="", "", L5104-B5104)</f>
        <v/>
      </c>
      <c r="O5104">
        <f>IF(L5104="", "Pending", IF(N5104&lt;=30, "Met", "Breached"))</f>
        <v/>
      </c>
      <c r="P5104" s="8" t="n"/>
      <c r="Q5104" s="8" t="n"/>
      <c r="R5104" s="8" t="n"/>
      <c r="S5104" s="8" t="n"/>
      <c r="T5104" s="8" t="n"/>
      <c r="U5104" s="8" t="n"/>
      <c r="V5104" s="8" t="n"/>
      <c r="W5104" s="8" t="n"/>
      <c r="X5104" s="8" t="n"/>
      <c r="Y5104" s="8" t="n"/>
    </row>
    <row r="5105">
      <c r="A5105" s="8" t="n"/>
      <c r="B5105" s="8" t="n"/>
      <c r="C5105" s="8" t="n"/>
      <c r="D5105" s="8" t="n"/>
      <c r="E5105" s="8" t="n"/>
      <c r="F5105" s="8" t="n"/>
      <c r="G5105" s="8" t="n"/>
      <c r="H5105" s="8" t="n"/>
      <c r="I5105" s="8" t="n"/>
      <c r="J5105" s="8" t="n"/>
      <c r="K5105" s="8" t="n"/>
      <c r="L5105" s="8" t="n"/>
      <c r="M5105" s="9">
        <f>B5105+30</f>
        <v/>
      </c>
      <c r="N5105">
        <f>IF(L5105="", "", L5105-B5105)</f>
        <v/>
      </c>
      <c r="O5105">
        <f>IF(L5105="", "Pending", IF(N5105&lt;=30, "Met", "Breached"))</f>
        <v/>
      </c>
      <c r="P5105" s="8" t="n"/>
      <c r="Q5105" s="8" t="n"/>
      <c r="R5105" s="8" t="n"/>
      <c r="S5105" s="8" t="n"/>
      <c r="T5105" s="8" t="n"/>
      <c r="U5105" s="8" t="n"/>
      <c r="V5105" s="8" t="n"/>
      <c r="W5105" s="8" t="n"/>
      <c r="X5105" s="8" t="n"/>
      <c r="Y5105" s="8" t="n"/>
    </row>
    <row r="5106">
      <c r="A5106" s="8" t="n"/>
      <c r="B5106" s="8" t="n"/>
      <c r="C5106" s="8" t="n"/>
      <c r="D5106" s="8" t="n"/>
      <c r="E5106" s="8" t="n"/>
      <c r="F5106" s="8" t="n"/>
      <c r="G5106" s="8" t="n"/>
      <c r="H5106" s="8" t="n"/>
      <c r="I5106" s="8" t="n"/>
      <c r="J5106" s="8" t="n"/>
      <c r="K5106" s="8" t="n"/>
      <c r="L5106" s="8" t="n"/>
      <c r="M5106" s="9">
        <f>B5106+30</f>
        <v/>
      </c>
      <c r="N5106">
        <f>IF(L5106="", "", L5106-B5106)</f>
        <v/>
      </c>
      <c r="O5106">
        <f>IF(L5106="", "Pending", IF(N5106&lt;=30, "Met", "Breached"))</f>
        <v/>
      </c>
      <c r="P5106" s="8" t="n"/>
      <c r="Q5106" s="8" t="n"/>
      <c r="R5106" s="8" t="n"/>
      <c r="S5106" s="8" t="n"/>
      <c r="T5106" s="8" t="n"/>
      <c r="U5106" s="8" t="n"/>
      <c r="V5106" s="8" t="n"/>
      <c r="W5106" s="8" t="n"/>
      <c r="X5106" s="8" t="n"/>
      <c r="Y5106" s="8" t="n"/>
    </row>
    <row r="5107">
      <c r="A5107" s="8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8" t="n"/>
      <c r="K5107" s="8" t="n"/>
      <c r="L5107" s="8" t="n"/>
      <c r="M5107" s="9">
        <f>B5107+30</f>
        <v/>
      </c>
      <c r="N5107">
        <f>IF(L5107="", "", L5107-B5107)</f>
        <v/>
      </c>
      <c r="O5107">
        <f>IF(L5107="", "Pending", IF(N5107&lt;=30, "Met", "Breached"))</f>
        <v/>
      </c>
      <c r="P5107" s="8" t="n"/>
      <c r="Q5107" s="8" t="n"/>
      <c r="R5107" s="8" t="n"/>
      <c r="S5107" s="8" t="n"/>
      <c r="T5107" s="8" t="n"/>
      <c r="U5107" s="8" t="n"/>
      <c r="V5107" s="8" t="n"/>
      <c r="W5107" s="8" t="n"/>
      <c r="X5107" s="8" t="n"/>
      <c r="Y5107" s="8" t="n"/>
    </row>
    <row r="5108">
      <c r="A5108" s="8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8" t="n"/>
      <c r="K5108" s="8" t="n"/>
      <c r="L5108" s="8" t="n"/>
      <c r="M5108" s="9">
        <f>B5108+30</f>
        <v/>
      </c>
      <c r="N5108">
        <f>IF(L5108="", "", L5108-B5108)</f>
        <v/>
      </c>
      <c r="O5108">
        <f>IF(L5108="", "Pending", IF(N5108&lt;=30, "Met", "Breached"))</f>
        <v/>
      </c>
      <c r="P5108" s="8" t="n"/>
      <c r="Q5108" s="8" t="n"/>
      <c r="R5108" s="8" t="n"/>
      <c r="S5108" s="8" t="n"/>
      <c r="T5108" s="8" t="n"/>
      <c r="U5108" s="8" t="n"/>
      <c r="V5108" s="8" t="n"/>
      <c r="W5108" s="8" t="n"/>
      <c r="X5108" s="8" t="n"/>
      <c r="Y5108" s="8" t="n"/>
    </row>
    <row r="5109">
      <c r="A5109" s="8" t="n"/>
      <c r="B5109" s="8" t="n"/>
      <c r="C5109" s="8" t="n"/>
      <c r="D5109" s="8" t="n"/>
      <c r="E5109" s="8" t="n"/>
      <c r="F5109" s="8" t="n"/>
      <c r="G5109" s="8" t="n"/>
      <c r="H5109" s="8" t="n"/>
      <c r="I5109" s="8" t="n"/>
      <c r="J5109" s="8" t="n"/>
      <c r="K5109" s="8" t="n"/>
      <c r="L5109" s="8" t="n"/>
      <c r="M5109" s="9">
        <f>B5109+30</f>
        <v/>
      </c>
      <c r="N5109">
        <f>IF(L5109="", "", L5109-B5109)</f>
        <v/>
      </c>
      <c r="O5109">
        <f>IF(L5109="", "Pending", IF(N5109&lt;=30, "Met", "Breached"))</f>
        <v/>
      </c>
      <c r="P5109" s="8" t="n"/>
      <c r="Q5109" s="8" t="n"/>
      <c r="R5109" s="8" t="n"/>
      <c r="S5109" s="8" t="n"/>
      <c r="T5109" s="8" t="n"/>
      <c r="U5109" s="8" t="n"/>
      <c r="V5109" s="8" t="n"/>
      <c r="W5109" s="8" t="n"/>
      <c r="X5109" s="8" t="n"/>
      <c r="Y5109" s="8" t="n"/>
    </row>
    <row r="5110">
      <c r="A5110" s="8" t="n"/>
      <c r="B5110" s="8" t="n"/>
      <c r="C5110" s="8" t="n"/>
      <c r="D5110" s="8" t="n"/>
      <c r="E5110" s="8" t="n"/>
      <c r="F5110" s="8" t="n"/>
      <c r="G5110" s="8" t="n"/>
      <c r="H5110" s="8" t="n"/>
      <c r="I5110" s="8" t="n"/>
      <c r="J5110" s="8" t="n"/>
      <c r="K5110" s="8" t="n"/>
      <c r="L5110" s="8" t="n"/>
      <c r="M5110" s="9">
        <f>B5110+30</f>
        <v/>
      </c>
      <c r="N5110">
        <f>IF(L5110="", "", L5110-B5110)</f>
        <v/>
      </c>
      <c r="O5110">
        <f>IF(L5110="", "Pending", IF(N5110&lt;=30, "Met", "Breached"))</f>
        <v/>
      </c>
      <c r="P5110" s="8" t="n"/>
      <c r="Q5110" s="8" t="n"/>
      <c r="R5110" s="8" t="n"/>
      <c r="S5110" s="8" t="n"/>
      <c r="T5110" s="8" t="n"/>
      <c r="U5110" s="8" t="n"/>
      <c r="V5110" s="8" t="n"/>
      <c r="W5110" s="8" t="n"/>
      <c r="X5110" s="8" t="n"/>
      <c r="Y5110" s="8" t="n"/>
    </row>
    <row r="5111">
      <c r="A5111" s="8" t="n"/>
      <c r="B5111" s="8" t="n"/>
      <c r="C5111" s="8" t="n"/>
      <c r="D5111" s="8" t="n"/>
      <c r="E5111" s="8" t="n"/>
      <c r="F5111" s="8" t="n"/>
      <c r="G5111" s="8" t="n"/>
      <c r="H5111" s="8" t="n"/>
      <c r="I5111" s="8" t="n"/>
      <c r="J5111" s="8" t="n"/>
      <c r="K5111" s="8" t="n"/>
      <c r="L5111" s="8" t="n"/>
      <c r="M5111" s="9">
        <f>B5111+30</f>
        <v/>
      </c>
      <c r="N5111">
        <f>IF(L5111="", "", L5111-B5111)</f>
        <v/>
      </c>
      <c r="O5111">
        <f>IF(L5111="", "Pending", IF(N5111&lt;=30, "Met", "Breached"))</f>
        <v/>
      </c>
      <c r="P5111" s="8" t="n"/>
      <c r="Q5111" s="8" t="n"/>
      <c r="R5111" s="8" t="n"/>
      <c r="S5111" s="8" t="n"/>
      <c r="T5111" s="8" t="n"/>
      <c r="U5111" s="8" t="n"/>
      <c r="V5111" s="8" t="n"/>
      <c r="W5111" s="8" t="n"/>
      <c r="X5111" s="8" t="n"/>
      <c r="Y5111" s="8" t="n"/>
    </row>
    <row r="5112">
      <c r="A5112" s="8" t="n"/>
      <c r="B5112" s="8" t="n"/>
      <c r="C5112" s="8" t="n"/>
      <c r="D5112" s="8" t="n"/>
      <c r="E5112" s="8" t="n"/>
      <c r="F5112" s="8" t="n"/>
      <c r="G5112" s="8" t="n"/>
      <c r="H5112" s="8" t="n"/>
      <c r="I5112" s="8" t="n"/>
      <c r="J5112" s="8" t="n"/>
      <c r="K5112" s="8" t="n"/>
      <c r="L5112" s="8" t="n"/>
      <c r="M5112" s="9">
        <f>B5112+30</f>
        <v/>
      </c>
      <c r="N5112">
        <f>IF(L5112="", "", L5112-B5112)</f>
        <v/>
      </c>
      <c r="O5112">
        <f>IF(L5112="", "Pending", IF(N5112&lt;=30, "Met", "Breached"))</f>
        <v/>
      </c>
      <c r="P5112" s="8" t="n"/>
      <c r="Q5112" s="8" t="n"/>
      <c r="R5112" s="8" t="n"/>
      <c r="S5112" s="8" t="n"/>
      <c r="T5112" s="8" t="n"/>
      <c r="U5112" s="8" t="n"/>
      <c r="V5112" s="8" t="n"/>
      <c r="W5112" s="8" t="n"/>
      <c r="X5112" s="8" t="n"/>
      <c r="Y5112" s="8" t="n"/>
    </row>
    <row r="5113">
      <c r="A5113" s="8" t="n"/>
      <c r="B5113" s="8" t="n"/>
      <c r="C5113" s="8" t="n"/>
      <c r="D5113" s="8" t="n"/>
      <c r="E5113" s="8" t="n"/>
      <c r="F5113" s="8" t="n"/>
      <c r="G5113" s="8" t="n"/>
      <c r="H5113" s="8" t="n"/>
      <c r="I5113" s="8" t="n"/>
      <c r="J5113" s="8" t="n"/>
      <c r="K5113" s="8" t="n"/>
      <c r="L5113" s="8" t="n"/>
      <c r="M5113" s="9">
        <f>B5113+30</f>
        <v/>
      </c>
      <c r="N5113">
        <f>IF(L5113="", "", L5113-B5113)</f>
        <v/>
      </c>
      <c r="O5113">
        <f>IF(L5113="", "Pending", IF(N5113&lt;=30, "Met", "Breached"))</f>
        <v/>
      </c>
      <c r="P5113" s="8" t="n"/>
      <c r="Q5113" s="8" t="n"/>
      <c r="R5113" s="8" t="n"/>
      <c r="S5113" s="8" t="n"/>
      <c r="T5113" s="8" t="n"/>
      <c r="U5113" s="8" t="n"/>
      <c r="V5113" s="8" t="n"/>
      <c r="W5113" s="8" t="n"/>
      <c r="X5113" s="8" t="n"/>
      <c r="Y5113" s="8" t="n"/>
    </row>
    <row r="5114">
      <c r="A5114" s="8" t="n"/>
      <c r="B5114" s="8" t="n"/>
      <c r="C5114" s="8" t="n"/>
      <c r="D5114" s="8" t="n"/>
      <c r="E5114" s="8" t="n"/>
      <c r="F5114" s="8" t="n"/>
      <c r="G5114" s="8" t="n"/>
      <c r="H5114" s="8" t="n"/>
      <c r="I5114" s="8" t="n"/>
      <c r="J5114" s="8" t="n"/>
      <c r="K5114" s="8" t="n"/>
      <c r="L5114" s="8" t="n"/>
      <c r="M5114" s="9">
        <f>B5114+30</f>
        <v/>
      </c>
      <c r="N5114">
        <f>IF(L5114="", "", L5114-B5114)</f>
        <v/>
      </c>
      <c r="O5114">
        <f>IF(L5114="", "Pending", IF(N5114&lt;=30, "Met", "Breached"))</f>
        <v/>
      </c>
      <c r="P5114" s="8" t="n"/>
      <c r="Q5114" s="8" t="n"/>
      <c r="R5114" s="8" t="n"/>
      <c r="S5114" s="8" t="n"/>
      <c r="T5114" s="8" t="n"/>
      <c r="U5114" s="8" t="n"/>
      <c r="V5114" s="8" t="n"/>
      <c r="W5114" s="8" t="n"/>
      <c r="X5114" s="8" t="n"/>
      <c r="Y5114" s="8" t="n"/>
    </row>
    <row r="5115">
      <c r="A5115" s="8" t="n"/>
      <c r="B5115" s="8" t="n"/>
      <c r="C5115" s="8" t="n"/>
      <c r="D5115" s="8" t="n"/>
      <c r="E5115" s="8" t="n"/>
      <c r="F5115" s="8" t="n"/>
      <c r="G5115" s="8" t="n"/>
      <c r="H5115" s="8" t="n"/>
      <c r="I5115" s="8" t="n"/>
      <c r="J5115" s="8" t="n"/>
      <c r="K5115" s="8" t="n"/>
      <c r="L5115" s="8" t="n"/>
      <c r="M5115" s="9">
        <f>B5115+30</f>
        <v/>
      </c>
      <c r="N5115">
        <f>IF(L5115="", "", L5115-B5115)</f>
        <v/>
      </c>
      <c r="O5115">
        <f>IF(L5115="", "Pending", IF(N5115&lt;=30, "Met", "Breached"))</f>
        <v/>
      </c>
      <c r="P5115" s="8" t="n"/>
      <c r="Q5115" s="8" t="n"/>
      <c r="R5115" s="8" t="n"/>
      <c r="S5115" s="8" t="n"/>
      <c r="T5115" s="8" t="n"/>
      <c r="U5115" s="8" t="n"/>
      <c r="V5115" s="8" t="n"/>
      <c r="W5115" s="8" t="n"/>
      <c r="X5115" s="8" t="n"/>
      <c r="Y5115" s="8" t="n"/>
    </row>
    <row r="5116">
      <c r="A5116" s="8" t="n"/>
      <c r="B5116" s="8" t="n"/>
      <c r="C5116" s="8" t="n"/>
      <c r="D5116" s="8" t="n"/>
      <c r="E5116" s="8" t="n"/>
      <c r="F5116" s="8" t="n"/>
      <c r="G5116" s="8" t="n"/>
      <c r="H5116" s="8" t="n"/>
      <c r="I5116" s="8" t="n"/>
      <c r="J5116" s="8" t="n"/>
      <c r="K5116" s="8" t="n"/>
      <c r="L5116" s="8" t="n"/>
      <c r="M5116" s="9">
        <f>B5116+30</f>
        <v/>
      </c>
      <c r="N5116">
        <f>IF(L5116="", "", L5116-B5116)</f>
        <v/>
      </c>
      <c r="O5116">
        <f>IF(L5116="", "Pending", IF(N5116&lt;=30, "Met", "Breached"))</f>
        <v/>
      </c>
      <c r="P5116" s="8" t="n"/>
      <c r="Q5116" s="8" t="n"/>
      <c r="R5116" s="8" t="n"/>
      <c r="S5116" s="8" t="n"/>
      <c r="T5116" s="8" t="n"/>
      <c r="U5116" s="8" t="n"/>
      <c r="V5116" s="8" t="n"/>
      <c r="W5116" s="8" t="n"/>
      <c r="X5116" s="8" t="n"/>
      <c r="Y5116" s="8" t="n"/>
    </row>
    <row r="5117">
      <c r="A5117" s="8" t="n"/>
      <c r="B5117" s="8" t="n"/>
      <c r="C5117" s="8" t="n"/>
      <c r="D5117" s="8" t="n"/>
      <c r="E5117" s="8" t="n"/>
      <c r="F5117" s="8" t="n"/>
      <c r="G5117" s="8" t="n"/>
      <c r="H5117" s="8" t="n"/>
      <c r="I5117" s="8" t="n"/>
      <c r="J5117" s="8" t="n"/>
      <c r="K5117" s="8" t="n"/>
      <c r="L5117" s="8" t="n"/>
      <c r="M5117" s="9">
        <f>B5117+30</f>
        <v/>
      </c>
      <c r="N5117">
        <f>IF(L5117="", "", L5117-B5117)</f>
        <v/>
      </c>
      <c r="O5117">
        <f>IF(L5117="", "Pending", IF(N5117&lt;=30, "Met", "Breached"))</f>
        <v/>
      </c>
      <c r="P5117" s="8" t="n"/>
      <c r="Q5117" s="8" t="n"/>
      <c r="R5117" s="8" t="n"/>
      <c r="S5117" s="8" t="n"/>
      <c r="T5117" s="8" t="n"/>
      <c r="U5117" s="8" t="n"/>
      <c r="V5117" s="8" t="n"/>
      <c r="W5117" s="8" t="n"/>
      <c r="X5117" s="8" t="n"/>
      <c r="Y5117" s="8" t="n"/>
    </row>
    <row r="5118">
      <c r="A5118" s="8" t="n"/>
      <c r="B5118" s="8" t="n"/>
      <c r="C5118" s="8" t="n"/>
      <c r="D5118" s="8" t="n"/>
      <c r="E5118" s="8" t="n"/>
      <c r="F5118" s="8" t="n"/>
      <c r="G5118" s="8" t="n"/>
      <c r="H5118" s="8" t="n"/>
      <c r="I5118" s="8" t="n"/>
      <c r="J5118" s="8" t="n"/>
      <c r="K5118" s="8" t="n"/>
      <c r="L5118" s="8" t="n"/>
      <c r="M5118" s="9">
        <f>B5118+30</f>
        <v/>
      </c>
      <c r="N5118">
        <f>IF(L5118="", "", L5118-B5118)</f>
        <v/>
      </c>
      <c r="O5118">
        <f>IF(L5118="", "Pending", IF(N5118&lt;=30, "Met", "Breached"))</f>
        <v/>
      </c>
      <c r="P5118" s="8" t="n"/>
      <c r="Q5118" s="8" t="n"/>
      <c r="R5118" s="8" t="n"/>
      <c r="S5118" s="8" t="n"/>
      <c r="T5118" s="8" t="n"/>
      <c r="U5118" s="8" t="n"/>
      <c r="V5118" s="8" t="n"/>
      <c r="W5118" s="8" t="n"/>
      <c r="X5118" s="8" t="n"/>
      <c r="Y5118" s="8" t="n"/>
    </row>
    <row r="5119">
      <c r="A5119" s="8" t="n"/>
      <c r="B5119" s="8" t="n"/>
      <c r="C5119" s="8" t="n"/>
      <c r="D5119" s="8" t="n"/>
      <c r="E5119" s="8" t="n"/>
      <c r="F5119" s="8" t="n"/>
      <c r="G5119" s="8" t="n"/>
      <c r="H5119" s="8" t="n"/>
      <c r="I5119" s="8" t="n"/>
      <c r="J5119" s="8" t="n"/>
      <c r="K5119" s="8" t="n"/>
      <c r="L5119" s="8" t="n"/>
      <c r="M5119" s="9">
        <f>B5119+30</f>
        <v/>
      </c>
      <c r="N5119">
        <f>IF(L5119="", "", L5119-B5119)</f>
        <v/>
      </c>
      <c r="O5119">
        <f>IF(L5119="", "Pending", IF(N5119&lt;=30, "Met", "Breached"))</f>
        <v/>
      </c>
      <c r="P5119" s="8" t="n"/>
      <c r="Q5119" s="8" t="n"/>
      <c r="R5119" s="8" t="n"/>
      <c r="S5119" s="8" t="n"/>
      <c r="T5119" s="8" t="n"/>
      <c r="U5119" s="8" t="n"/>
      <c r="V5119" s="8" t="n"/>
      <c r="W5119" s="8" t="n"/>
      <c r="X5119" s="8" t="n"/>
      <c r="Y5119" s="8" t="n"/>
    </row>
    <row r="5120">
      <c r="A5120" s="8" t="n"/>
      <c r="B5120" s="8" t="n"/>
      <c r="C5120" s="8" t="n"/>
      <c r="D5120" s="8" t="n"/>
      <c r="E5120" s="8" t="n"/>
      <c r="F5120" s="8" t="n"/>
      <c r="G5120" s="8" t="n"/>
      <c r="H5120" s="8" t="n"/>
      <c r="I5120" s="8" t="n"/>
      <c r="J5120" s="8" t="n"/>
      <c r="K5120" s="8" t="n"/>
      <c r="L5120" s="8" t="n"/>
      <c r="M5120" s="9">
        <f>B5120+30</f>
        <v/>
      </c>
      <c r="N5120">
        <f>IF(L5120="", "", L5120-B5120)</f>
        <v/>
      </c>
      <c r="O5120">
        <f>IF(L5120="", "Pending", IF(N5120&lt;=30, "Met", "Breached"))</f>
        <v/>
      </c>
      <c r="P5120" s="8" t="n"/>
      <c r="Q5120" s="8" t="n"/>
      <c r="R5120" s="8" t="n"/>
      <c r="S5120" s="8" t="n"/>
      <c r="T5120" s="8" t="n"/>
      <c r="U5120" s="8" t="n"/>
      <c r="V5120" s="8" t="n"/>
      <c r="W5120" s="8" t="n"/>
      <c r="X5120" s="8" t="n"/>
      <c r="Y5120" s="8" t="n"/>
    </row>
    <row r="5121">
      <c r="A5121" s="8" t="n"/>
      <c r="B5121" s="8" t="n"/>
      <c r="C5121" s="8" t="n"/>
      <c r="D5121" s="8" t="n"/>
      <c r="E5121" s="8" t="n"/>
      <c r="F5121" s="8" t="n"/>
      <c r="G5121" s="8" t="n"/>
      <c r="H5121" s="8" t="n"/>
      <c r="I5121" s="8" t="n"/>
      <c r="J5121" s="8" t="n"/>
      <c r="K5121" s="8" t="n"/>
      <c r="L5121" s="8" t="n"/>
      <c r="M5121" s="9">
        <f>B5121+30</f>
        <v/>
      </c>
      <c r="N5121">
        <f>IF(L5121="", "", L5121-B5121)</f>
        <v/>
      </c>
      <c r="O5121">
        <f>IF(L5121="", "Pending", IF(N5121&lt;=30, "Met", "Breached"))</f>
        <v/>
      </c>
      <c r="P5121" s="8" t="n"/>
      <c r="Q5121" s="8" t="n"/>
      <c r="R5121" s="8" t="n"/>
      <c r="S5121" s="8" t="n"/>
      <c r="T5121" s="8" t="n"/>
      <c r="U5121" s="8" t="n"/>
      <c r="V5121" s="8" t="n"/>
      <c r="W5121" s="8" t="n"/>
      <c r="X5121" s="8" t="n"/>
      <c r="Y5121" s="8" t="n"/>
    </row>
    <row r="5122">
      <c r="A5122" s="8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8" t="n"/>
      <c r="K5122" s="8" t="n"/>
      <c r="L5122" s="8" t="n"/>
      <c r="M5122" s="9">
        <f>B5122+30</f>
        <v/>
      </c>
      <c r="N5122">
        <f>IF(L5122="", "", L5122-B5122)</f>
        <v/>
      </c>
      <c r="O5122">
        <f>IF(L5122="", "Pending", IF(N5122&lt;=30, "Met", "Breached"))</f>
        <v/>
      </c>
      <c r="P5122" s="8" t="n"/>
      <c r="Q5122" s="8" t="n"/>
      <c r="R5122" s="8" t="n"/>
      <c r="S5122" s="8" t="n"/>
      <c r="T5122" s="8" t="n"/>
      <c r="U5122" s="8" t="n"/>
      <c r="V5122" s="8" t="n"/>
      <c r="W5122" s="8" t="n"/>
      <c r="X5122" s="8" t="n"/>
      <c r="Y5122" s="8" t="n"/>
    </row>
    <row r="5123">
      <c r="A5123" s="8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8" t="n"/>
      <c r="K5123" s="8" t="n"/>
      <c r="L5123" s="8" t="n"/>
      <c r="M5123" s="9">
        <f>B5123+30</f>
        <v/>
      </c>
      <c r="N5123">
        <f>IF(L5123="", "", L5123-B5123)</f>
        <v/>
      </c>
      <c r="O5123">
        <f>IF(L5123="", "Pending", IF(N5123&lt;=30, "Met", "Breached"))</f>
        <v/>
      </c>
      <c r="P5123" s="8" t="n"/>
      <c r="Q5123" s="8" t="n"/>
      <c r="R5123" s="8" t="n"/>
      <c r="S5123" s="8" t="n"/>
      <c r="T5123" s="8" t="n"/>
      <c r="U5123" s="8" t="n"/>
      <c r="V5123" s="8" t="n"/>
      <c r="W5123" s="8" t="n"/>
      <c r="X5123" s="8" t="n"/>
      <c r="Y5123" s="8" t="n"/>
    </row>
    <row r="5124">
      <c r="A5124" s="8" t="n"/>
      <c r="B5124" s="8" t="n"/>
      <c r="C5124" s="8" t="n"/>
      <c r="D5124" s="8" t="n"/>
      <c r="E5124" s="8" t="n"/>
      <c r="F5124" s="8" t="n"/>
      <c r="G5124" s="8" t="n"/>
      <c r="H5124" s="8" t="n"/>
      <c r="I5124" s="8" t="n"/>
      <c r="J5124" s="8" t="n"/>
      <c r="K5124" s="8" t="n"/>
      <c r="L5124" s="8" t="n"/>
      <c r="M5124" s="9">
        <f>B5124+30</f>
        <v/>
      </c>
      <c r="N5124">
        <f>IF(L5124="", "", L5124-B5124)</f>
        <v/>
      </c>
      <c r="O5124">
        <f>IF(L5124="", "Pending", IF(N5124&lt;=30, "Met", "Breached"))</f>
        <v/>
      </c>
      <c r="P5124" s="8" t="n"/>
      <c r="Q5124" s="8" t="n"/>
      <c r="R5124" s="8" t="n"/>
      <c r="S5124" s="8" t="n"/>
      <c r="T5124" s="8" t="n"/>
      <c r="U5124" s="8" t="n"/>
      <c r="V5124" s="8" t="n"/>
      <c r="W5124" s="8" t="n"/>
      <c r="X5124" s="8" t="n"/>
      <c r="Y5124" s="8" t="n"/>
    </row>
    <row r="5125">
      <c r="A5125" s="8" t="n"/>
      <c r="B5125" s="8" t="n"/>
      <c r="C5125" s="8" t="n"/>
      <c r="D5125" s="8" t="n"/>
      <c r="E5125" s="8" t="n"/>
      <c r="F5125" s="8" t="n"/>
      <c r="G5125" s="8" t="n"/>
      <c r="H5125" s="8" t="n"/>
      <c r="I5125" s="8" t="n"/>
      <c r="J5125" s="8" t="n"/>
      <c r="K5125" s="8" t="n"/>
      <c r="L5125" s="8" t="n"/>
      <c r="M5125" s="9">
        <f>B5125+30</f>
        <v/>
      </c>
      <c r="N5125">
        <f>IF(L5125="", "", L5125-B5125)</f>
        <v/>
      </c>
      <c r="O5125">
        <f>IF(L5125="", "Pending", IF(N5125&lt;=30, "Met", "Breached"))</f>
        <v/>
      </c>
      <c r="P5125" s="8" t="n"/>
      <c r="Q5125" s="8" t="n"/>
      <c r="R5125" s="8" t="n"/>
      <c r="S5125" s="8" t="n"/>
      <c r="T5125" s="8" t="n"/>
      <c r="U5125" s="8" t="n"/>
      <c r="V5125" s="8" t="n"/>
      <c r="W5125" s="8" t="n"/>
      <c r="X5125" s="8" t="n"/>
      <c r="Y5125" s="8" t="n"/>
    </row>
    <row r="5126">
      <c r="A5126" s="8" t="n"/>
      <c r="B5126" s="8" t="n"/>
      <c r="C5126" s="8" t="n"/>
      <c r="D5126" s="8" t="n"/>
      <c r="E5126" s="8" t="n"/>
      <c r="F5126" s="8" t="n"/>
      <c r="G5126" s="8" t="n"/>
      <c r="H5126" s="8" t="n"/>
      <c r="I5126" s="8" t="n"/>
      <c r="J5126" s="8" t="n"/>
      <c r="K5126" s="8" t="n"/>
      <c r="L5126" s="8" t="n"/>
      <c r="M5126" s="9">
        <f>B5126+30</f>
        <v/>
      </c>
      <c r="N5126">
        <f>IF(L5126="", "", L5126-B5126)</f>
        <v/>
      </c>
      <c r="O5126">
        <f>IF(L5126="", "Pending", IF(N5126&lt;=30, "Met", "Breached"))</f>
        <v/>
      </c>
      <c r="P5126" s="8" t="n"/>
      <c r="Q5126" s="8" t="n"/>
      <c r="R5126" s="8" t="n"/>
      <c r="S5126" s="8" t="n"/>
      <c r="T5126" s="8" t="n"/>
      <c r="U5126" s="8" t="n"/>
      <c r="V5126" s="8" t="n"/>
      <c r="W5126" s="8" t="n"/>
      <c r="X5126" s="8" t="n"/>
      <c r="Y5126" s="8" t="n"/>
    </row>
    <row r="5127">
      <c r="A5127" s="8" t="n"/>
      <c r="B5127" s="8" t="n"/>
      <c r="C5127" s="8" t="n"/>
      <c r="D5127" s="8" t="n"/>
      <c r="E5127" s="8" t="n"/>
      <c r="F5127" s="8" t="n"/>
      <c r="G5127" s="8" t="n"/>
      <c r="H5127" s="8" t="n"/>
      <c r="I5127" s="8" t="n"/>
      <c r="J5127" s="8" t="n"/>
      <c r="K5127" s="8" t="n"/>
      <c r="L5127" s="8" t="n"/>
      <c r="M5127" s="9">
        <f>B5127+30</f>
        <v/>
      </c>
      <c r="N5127">
        <f>IF(L5127="", "", L5127-B5127)</f>
        <v/>
      </c>
      <c r="O5127">
        <f>IF(L5127="", "Pending", IF(N5127&lt;=30, "Met", "Breached"))</f>
        <v/>
      </c>
      <c r="P5127" s="8" t="n"/>
      <c r="Q5127" s="8" t="n"/>
      <c r="R5127" s="8" t="n"/>
      <c r="S5127" s="8" t="n"/>
      <c r="T5127" s="8" t="n"/>
      <c r="U5127" s="8" t="n"/>
      <c r="V5127" s="8" t="n"/>
      <c r="W5127" s="8" t="n"/>
      <c r="X5127" s="8" t="n"/>
      <c r="Y5127" s="8" t="n"/>
    </row>
    <row r="5128">
      <c r="A5128" s="8" t="n"/>
      <c r="B5128" s="8" t="n"/>
      <c r="C5128" s="8" t="n"/>
      <c r="D5128" s="8" t="n"/>
      <c r="E5128" s="8" t="n"/>
      <c r="F5128" s="8" t="n"/>
      <c r="G5128" s="8" t="n"/>
      <c r="H5128" s="8" t="n"/>
      <c r="I5128" s="8" t="n"/>
      <c r="J5128" s="8" t="n"/>
      <c r="K5128" s="8" t="n"/>
      <c r="L5128" s="8" t="n"/>
      <c r="M5128" s="9">
        <f>B5128+30</f>
        <v/>
      </c>
      <c r="N5128">
        <f>IF(L5128="", "", L5128-B5128)</f>
        <v/>
      </c>
      <c r="O5128">
        <f>IF(L5128="", "Pending", IF(N5128&lt;=30, "Met", "Breached"))</f>
        <v/>
      </c>
      <c r="P5128" s="8" t="n"/>
      <c r="Q5128" s="8" t="n"/>
      <c r="R5128" s="8" t="n"/>
      <c r="S5128" s="8" t="n"/>
      <c r="T5128" s="8" t="n"/>
      <c r="U5128" s="8" t="n"/>
      <c r="V5128" s="8" t="n"/>
      <c r="W5128" s="8" t="n"/>
      <c r="X5128" s="8" t="n"/>
      <c r="Y5128" s="8" t="n"/>
    </row>
    <row r="5129">
      <c r="A5129" s="8" t="n"/>
      <c r="B5129" s="8" t="n"/>
      <c r="C5129" s="8" t="n"/>
      <c r="D5129" s="8" t="n"/>
      <c r="E5129" s="8" t="n"/>
      <c r="F5129" s="8" t="n"/>
      <c r="G5129" s="8" t="n"/>
      <c r="H5129" s="8" t="n"/>
      <c r="I5129" s="8" t="n"/>
      <c r="J5129" s="8" t="n"/>
      <c r="K5129" s="8" t="n"/>
      <c r="L5129" s="8" t="n"/>
      <c r="M5129" s="9">
        <f>B5129+30</f>
        <v/>
      </c>
      <c r="N5129">
        <f>IF(L5129="", "", L5129-B5129)</f>
        <v/>
      </c>
      <c r="O5129">
        <f>IF(L5129="", "Pending", IF(N5129&lt;=30, "Met", "Breached"))</f>
        <v/>
      </c>
      <c r="P5129" s="8" t="n"/>
      <c r="Q5129" s="8" t="n"/>
      <c r="R5129" s="8" t="n"/>
      <c r="S5129" s="8" t="n"/>
      <c r="T5129" s="8" t="n"/>
      <c r="U5129" s="8" t="n"/>
      <c r="V5129" s="8" t="n"/>
      <c r="W5129" s="8" t="n"/>
      <c r="X5129" s="8" t="n"/>
      <c r="Y5129" s="8" t="n"/>
    </row>
    <row r="5130">
      <c r="A5130" s="8" t="n"/>
      <c r="B5130" s="8" t="n"/>
      <c r="C5130" s="8" t="n"/>
      <c r="D5130" s="8" t="n"/>
      <c r="E5130" s="8" t="n"/>
      <c r="F5130" s="8" t="n"/>
      <c r="G5130" s="8" t="n"/>
      <c r="H5130" s="8" t="n"/>
      <c r="I5130" s="8" t="n"/>
      <c r="J5130" s="8" t="n"/>
      <c r="K5130" s="8" t="n"/>
      <c r="L5130" s="8" t="n"/>
      <c r="M5130" s="9">
        <f>B5130+30</f>
        <v/>
      </c>
      <c r="N5130">
        <f>IF(L5130="", "", L5130-B5130)</f>
        <v/>
      </c>
      <c r="O5130">
        <f>IF(L5130="", "Pending", IF(N5130&lt;=30, "Met", "Breached"))</f>
        <v/>
      </c>
      <c r="P5130" s="8" t="n"/>
      <c r="Q5130" s="8" t="n"/>
      <c r="R5130" s="8" t="n"/>
      <c r="S5130" s="8" t="n"/>
      <c r="T5130" s="8" t="n"/>
      <c r="U5130" s="8" t="n"/>
      <c r="V5130" s="8" t="n"/>
      <c r="W5130" s="8" t="n"/>
      <c r="X5130" s="8" t="n"/>
      <c r="Y5130" s="8" t="n"/>
    </row>
    <row r="5131">
      <c r="A5131" s="8" t="n"/>
      <c r="B5131" s="8" t="n"/>
      <c r="C5131" s="8" t="n"/>
      <c r="D5131" s="8" t="n"/>
      <c r="E5131" s="8" t="n"/>
      <c r="F5131" s="8" t="n"/>
      <c r="G5131" s="8" t="n"/>
      <c r="H5131" s="8" t="n"/>
      <c r="I5131" s="8" t="n"/>
      <c r="J5131" s="8" t="n"/>
      <c r="K5131" s="8" t="n"/>
      <c r="L5131" s="8" t="n"/>
      <c r="M5131" s="9">
        <f>B5131+30</f>
        <v/>
      </c>
      <c r="N5131">
        <f>IF(L5131="", "", L5131-B5131)</f>
        <v/>
      </c>
      <c r="O5131">
        <f>IF(L5131="", "Pending", IF(N5131&lt;=30, "Met", "Breached"))</f>
        <v/>
      </c>
      <c r="P5131" s="8" t="n"/>
      <c r="Q5131" s="8" t="n"/>
      <c r="R5131" s="8" t="n"/>
      <c r="S5131" s="8" t="n"/>
      <c r="T5131" s="8" t="n"/>
      <c r="U5131" s="8" t="n"/>
      <c r="V5131" s="8" t="n"/>
      <c r="W5131" s="8" t="n"/>
      <c r="X5131" s="8" t="n"/>
      <c r="Y5131" s="8" t="n"/>
    </row>
    <row r="5132">
      <c r="A5132" s="8" t="n"/>
      <c r="B5132" s="8" t="n"/>
      <c r="C5132" s="8" t="n"/>
      <c r="D5132" s="8" t="n"/>
      <c r="E5132" s="8" t="n"/>
      <c r="F5132" s="8" t="n"/>
      <c r="G5132" s="8" t="n"/>
      <c r="H5132" s="8" t="n"/>
      <c r="I5132" s="8" t="n"/>
      <c r="J5132" s="8" t="n"/>
      <c r="K5132" s="8" t="n"/>
      <c r="L5132" s="8" t="n"/>
      <c r="M5132" s="9">
        <f>B5132+30</f>
        <v/>
      </c>
      <c r="N5132">
        <f>IF(L5132="", "", L5132-B5132)</f>
        <v/>
      </c>
      <c r="O5132">
        <f>IF(L5132="", "Pending", IF(N5132&lt;=30, "Met", "Breached"))</f>
        <v/>
      </c>
      <c r="P5132" s="8" t="n"/>
      <c r="Q5132" s="8" t="n"/>
      <c r="R5132" s="8" t="n"/>
      <c r="S5132" s="8" t="n"/>
      <c r="T5132" s="8" t="n"/>
      <c r="U5132" s="8" t="n"/>
      <c r="V5132" s="8" t="n"/>
      <c r="W5132" s="8" t="n"/>
      <c r="X5132" s="8" t="n"/>
      <c r="Y5132" s="8" t="n"/>
    </row>
    <row r="5133">
      <c r="A5133" s="8" t="n"/>
      <c r="B5133" s="8" t="n"/>
      <c r="C5133" s="8" t="n"/>
      <c r="D5133" s="8" t="n"/>
      <c r="E5133" s="8" t="n"/>
      <c r="F5133" s="8" t="n"/>
      <c r="G5133" s="8" t="n"/>
      <c r="H5133" s="8" t="n"/>
      <c r="I5133" s="8" t="n"/>
      <c r="J5133" s="8" t="n"/>
      <c r="K5133" s="8" t="n"/>
      <c r="L5133" s="8" t="n"/>
      <c r="M5133" s="9">
        <f>B5133+30</f>
        <v/>
      </c>
      <c r="N5133">
        <f>IF(L5133="", "", L5133-B5133)</f>
        <v/>
      </c>
      <c r="O5133">
        <f>IF(L5133="", "Pending", IF(N5133&lt;=30, "Met", "Breached"))</f>
        <v/>
      </c>
      <c r="P5133" s="8" t="n"/>
      <c r="Q5133" s="8" t="n"/>
      <c r="R5133" s="8" t="n"/>
      <c r="S5133" s="8" t="n"/>
      <c r="T5133" s="8" t="n"/>
      <c r="U5133" s="8" t="n"/>
      <c r="V5133" s="8" t="n"/>
      <c r="W5133" s="8" t="n"/>
      <c r="X5133" s="8" t="n"/>
      <c r="Y5133" s="8" t="n"/>
    </row>
    <row r="5134">
      <c r="A5134" s="8" t="n"/>
      <c r="B5134" s="8" t="n"/>
      <c r="C5134" s="8" t="n"/>
      <c r="D5134" s="8" t="n"/>
      <c r="E5134" s="8" t="n"/>
      <c r="F5134" s="8" t="n"/>
      <c r="G5134" s="8" t="n"/>
      <c r="H5134" s="8" t="n"/>
      <c r="I5134" s="8" t="n"/>
      <c r="J5134" s="8" t="n"/>
      <c r="K5134" s="8" t="n"/>
      <c r="L5134" s="8" t="n"/>
      <c r="M5134" s="9">
        <f>B5134+30</f>
        <v/>
      </c>
      <c r="N5134">
        <f>IF(L5134="", "", L5134-B5134)</f>
        <v/>
      </c>
      <c r="O5134">
        <f>IF(L5134="", "Pending", IF(N5134&lt;=30, "Met", "Breached"))</f>
        <v/>
      </c>
      <c r="P5134" s="8" t="n"/>
      <c r="Q5134" s="8" t="n"/>
      <c r="R5134" s="8" t="n"/>
      <c r="S5134" s="8" t="n"/>
      <c r="T5134" s="8" t="n"/>
      <c r="U5134" s="8" t="n"/>
      <c r="V5134" s="8" t="n"/>
      <c r="W5134" s="8" t="n"/>
      <c r="X5134" s="8" t="n"/>
      <c r="Y5134" s="8" t="n"/>
    </row>
    <row r="5135">
      <c r="A5135" s="8" t="n"/>
      <c r="B5135" s="8" t="n"/>
      <c r="C5135" s="8" t="n"/>
      <c r="D5135" s="8" t="n"/>
      <c r="E5135" s="8" t="n"/>
      <c r="F5135" s="8" t="n"/>
      <c r="G5135" s="8" t="n"/>
      <c r="H5135" s="8" t="n"/>
      <c r="I5135" s="8" t="n"/>
      <c r="J5135" s="8" t="n"/>
      <c r="K5135" s="8" t="n"/>
      <c r="L5135" s="8" t="n"/>
      <c r="M5135" s="9">
        <f>B5135+30</f>
        <v/>
      </c>
      <c r="N5135">
        <f>IF(L5135="", "", L5135-B5135)</f>
        <v/>
      </c>
      <c r="O5135">
        <f>IF(L5135="", "Pending", IF(N5135&lt;=30, "Met", "Breached"))</f>
        <v/>
      </c>
      <c r="P5135" s="8" t="n"/>
      <c r="Q5135" s="8" t="n"/>
      <c r="R5135" s="8" t="n"/>
      <c r="S5135" s="8" t="n"/>
      <c r="T5135" s="8" t="n"/>
      <c r="U5135" s="8" t="n"/>
      <c r="V5135" s="8" t="n"/>
      <c r="W5135" s="8" t="n"/>
      <c r="X5135" s="8" t="n"/>
      <c r="Y5135" s="8" t="n"/>
    </row>
    <row r="5136">
      <c r="A5136" s="8" t="n"/>
      <c r="B5136" s="8" t="n"/>
      <c r="C5136" s="8" t="n"/>
      <c r="D5136" s="8" t="n"/>
      <c r="E5136" s="8" t="n"/>
      <c r="F5136" s="8" t="n"/>
      <c r="G5136" s="8" t="n"/>
      <c r="H5136" s="8" t="n"/>
      <c r="I5136" s="8" t="n"/>
      <c r="J5136" s="8" t="n"/>
      <c r="K5136" s="8" t="n"/>
      <c r="L5136" s="8" t="n"/>
      <c r="M5136" s="9">
        <f>B5136+30</f>
        <v/>
      </c>
      <c r="N5136">
        <f>IF(L5136="", "", L5136-B5136)</f>
        <v/>
      </c>
      <c r="O5136">
        <f>IF(L5136="", "Pending", IF(N5136&lt;=30, "Met", "Breached"))</f>
        <v/>
      </c>
      <c r="P5136" s="8" t="n"/>
      <c r="Q5136" s="8" t="n"/>
      <c r="R5136" s="8" t="n"/>
      <c r="S5136" s="8" t="n"/>
      <c r="T5136" s="8" t="n"/>
      <c r="U5136" s="8" t="n"/>
      <c r="V5136" s="8" t="n"/>
      <c r="W5136" s="8" t="n"/>
      <c r="X5136" s="8" t="n"/>
      <c r="Y5136" s="8" t="n"/>
    </row>
    <row r="5137">
      <c r="A5137" s="8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8" t="n"/>
      <c r="K5137" s="8" t="n"/>
      <c r="L5137" s="8" t="n"/>
      <c r="M5137" s="9">
        <f>B5137+30</f>
        <v/>
      </c>
      <c r="N5137">
        <f>IF(L5137="", "", L5137-B5137)</f>
        <v/>
      </c>
      <c r="O5137">
        <f>IF(L5137="", "Pending", IF(N5137&lt;=30, "Met", "Breached"))</f>
        <v/>
      </c>
      <c r="P5137" s="8" t="n"/>
      <c r="Q5137" s="8" t="n"/>
      <c r="R5137" s="8" t="n"/>
      <c r="S5137" s="8" t="n"/>
      <c r="T5137" s="8" t="n"/>
      <c r="U5137" s="8" t="n"/>
      <c r="V5137" s="8" t="n"/>
      <c r="W5137" s="8" t="n"/>
      <c r="X5137" s="8" t="n"/>
      <c r="Y5137" s="8" t="n"/>
    </row>
    <row r="5138">
      <c r="A5138" s="8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8" t="n"/>
      <c r="K5138" s="8" t="n"/>
      <c r="L5138" s="8" t="n"/>
      <c r="M5138" s="9">
        <f>B5138+30</f>
        <v/>
      </c>
      <c r="N5138">
        <f>IF(L5138="", "", L5138-B5138)</f>
        <v/>
      </c>
      <c r="O5138">
        <f>IF(L5138="", "Pending", IF(N5138&lt;=30, "Met", "Breached"))</f>
        <v/>
      </c>
      <c r="P5138" s="8" t="n"/>
      <c r="Q5138" s="8" t="n"/>
      <c r="R5138" s="8" t="n"/>
      <c r="S5138" s="8" t="n"/>
      <c r="T5138" s="8" t="n"/>
      <c r="U5138" s="8" t="n"/>
      <c r="V5138" s="8" t="n"/>
      <c r="W5138" s="8" t="n"/>
      <c r="X5138" s="8" t="n"/>
      <c r="Y5138" s="8" t="n"/>
    </row>
    <row r="5139">
      <c r="A5139" s="8" t="n"/>
      <c r="B5139" s="8" t="n"/>
      <c r="C5139" s="8" t="n"/>
      <c r="D5139" s="8" t="n"/>
      <c r="E5139" s="8" t="n"/>
      <c r="F5139" s="8" t="n"/>
      <c r="G5139" s="8" t="n"/>
      <c r="H5139" s="8" t="n"/>
      <c r="I5139" s="8" t="n"/>
      <c r="J5139" s="8" t="n"/>
      <c r="K5139" s="8" t="n"/>
      <c r="L5139" s="8" t="n"/>
      <c r="M5139" s="9">
        <f>B5139+30</f>
        <v/>
      </c>
      <c r="N5139">
        <f>IF(L5139="", "", L5139-B5139)</f>
        <v/>
      </c>
      <c r="O5139">
        <f>IF(L5139="", "Pending", IF(N5139&lt;=30, "Met", "Breached"))</f>
        <v/>
      </c>
      <c r="P5139" s="8" t="n"/>
      <c r="Q5139" s="8" t="n"/>
      <c r="R5139" s="8" t="n"/>
      <c r="S5139" s="8" t="n"/>
      <c r="T5139" s="8" t="n"/>
      <c r="U5139" s="8" t="n"/>
      <c r="V5139" s="8" t="n"/>
      <c r="W5139" s="8" t="n"/>
      <c r="X5139" s="8" t="n"/>
      <c r="Y5139" s="8" t="n"/>
    </row>
    <row r="5140">
      <c r="A5140" s="8" t="n"/>
      <c r="B5140" s="8" t="n"/>
      <c r="C5140" s="8" t="n"/>
      <c r="D5140" s="8" t="n"/>
      <c r="E5140" s="8" t="n"/>
      <c r="F5140" s="8" t="n"/>
      <c r="G5140" s="8" t="n"/>
      <c r="H5140" s="8" t="n"/>
      <c r="I5140" s="8" t="n"/>
      <c r="J5140" s="8" t="n"/>
      <c r="K5140" s="8" t="n"/>
      <c r="L5140" s="8" t="n"/>
      <c r="M5140" s="9">
        <f>B5140+30</f>
        <v/>
      </c>
      <c r="N5140">
        <f>IF(L5140="", "", L5140-B5140)</f>
        <v/>
      </c>
      <c r="O5140">
        <f>IF(L5140="", "Pending", IF(N5140&lt;=30, "Met", "Breached"))</f>
        <v/>
      </c>
      <c r="P5140" s="8" t="n"/>
      <c r="Q5140" s="8" t="n"/>
      <c r="R5140" s="8" t="n"/>
      <c r="S5140" s="8" t="n"/>
      <c r="T5140" s="8" t="n"/>
      <c r="U5140" s="8" t="n"/>
      <c r="V5140" s="8" t="n"/>
      <c r="W5140" s="8" t="n"/>
      <c r="X5140" s="8" t="n"/>
      <c r="Y5140" s="8" t="n"/>
    </row>
    <row r="5141">
      <c r="A5141" s="8" t="n"/>
      <c r="B5141" s="8" t="n"/>
      <c r="C5141" s="8" t="n"/>
      <c r="D5141" s="8" t="n"/>
      <c r="E5141" s="8" t="n"/>
      <c r="F5141" s="8" t="n"/>
      <c r="G5141" s="8" t="n"/>
      <c r="H5141" s="8" t="n"/>
      <c r="I5141" s="8" t="n"/>
      <c r="J5141" s="8" t="n"/>
      <c r="K5141" s="8" t="n"/>
      <c r="L5141" s="8" t="n"/>
      <c r="M5141" s="9">
        <f>B5141+30</f>
        <v/>
      </c>
      <c r="N5141">
        <f>IF(L5141="", "", L5141-B5141)</f>
        <v/>
      </c>
      <c r="O5141">
        <f>IF(L5141="", "Pending", IF(N5141&lt;=30, "Met", "Breached"))</f>
        <v/>
      </c>
      <c r="P5141" s="8" t="n"/>
      <c r="Q5141" s="8" t="n"/>
      <c r="R5141" s="8" t="n"/>
      <c r="S5141" s="8" t="n"/>
      <c r="T5141" s="8" t="n"/>
      <c r="U5141" s="8" t="n"/>
      <c r="V5141" s="8" t="n"/>
      <c r="W5141" s="8" t="n"/>
      <c r="X5141" s="8" t="n"/>
      <c r="Y5141" s="8" t="n"/>
    </row>
    <row r="5142">
      <c r="A5142" s="8" t="n"/>
      <c r="B5142" s="8" t="n"/>
      <c r="C5142" s="8" t="n"/>
      <c r="D5142" s="8" t="n"/>
      <c r="E5142" s="8" t="n"/>
      <c r="F5142" s="8" t="n"/>
      <c r="G5142" s="8" t="n"/>
      <c r="H5142" s="8" t="n"/>
      <c r="I5142" s="8" t="n"/>
      <c r="J5142" s="8" t="n"/>
      <c r="K5142" s="8" t="n"/>
      <c r="L5142" s="8" t="n"/>
      <c r="M5142" s="9">
        <f>B5142+30</f>
        <v/>
      </c>
      <c r="N5142">
        <f>IF(L5142="", "", L5142-B5142)</f>
        <v/>
      </c>
      <c r="O5142">
        <f>IF(L5142="", "Pending", IF(N5142&lt;=30, "Met", "Breached"))</f>
        <v/>
      </c>
      <c r="P5142" s="8" t="n"/>
      <c r="Q5142" s="8" t="n"/>
      <c r="R5142" s="8" t="n"/>
      <c r="S5142" s="8" t="n"/>
      <c r="T5142" s="8" t="n"/>
      <c r="U5142" s="8" t="n"/>
      <c r="V5142" s="8" t="n"/>
      <c r="W5142" s="8" t="n"/>
      <c r="X5142" s="8" t="n"/>
      <c r="Y5142" s="8" t="n"/>
    </row>
    <row r="5143">
      <c r="A5143" s="8" t="n"/>
      <c r="B5143" s="8" t="n"/>
      <c r="C5143" s="8" t="n"/>
      <c r="D5143" s="8" t="n"/>
      <c r="E5143" s="8" t="n"/>
      <c r="F5143" s="8" t="n"/>
      <c r="G5143" s="8" t="n"/>
      <c r="H5143" s="8" t="n"/>
      <c r="I5143" s="8" t="n"/>
      <c r="J5143" s="8" t="n"/>
      <c r="K5143" s="8" t="n"/>
      <c r="L5143" s="8" t="n"/>
      <c r="M5143" s="9">
        <f>B5143+30</f>
        <v/>
      </c>
      <c r="N5143">
        <f>IF(L5143="", "", L5143-B5143)</f>
        <v/>
      </c>
      <c r="O5143">
        <f>IF(L5143="", "Pending", IF(N5143&lt;=30, "Met", "Breached"))</f>
        <v/>
      </c>
      <c r="P5143" s="8" t="n"/>
      <c r="Q5143" s="8" t="n"/>
      <c r="R5143" s="8" t="n"/>
      <c r="S5143" s="8" t="n"/>
      <c r="T5143" s="8" t="n"/>
      <c r="U5143" s="8" t="n"/>
      <c r="V5143" s="8" t="n"/>
      <c r="W5143" s="8" t="n"/>
      <c r="X5143" s="8" t="n"/>
      <c r="Y5143" s="8" t="n"/>
    </row>
    <row r="5144">
      <c r="A5144" s="8" t="n"/>
      <c r="B5144" s="8" t="n"/>
      <c r="C5144" s="8" t="n"/>
      <c r="D5144" s="8" t="n"/>
      <c r="E5144" s="8" t="n"/>
      <c r="F5144" s="8" t="n"/>
      <c r="G5144" s="8" t="n"/>
      <c r="H5144" s="8" t="n"/>
      <c r="I5144" s="8" t="n"/>
      <c r="J5144" s="8" t="n"/>
      <c r="K5144" s="8" t="n"/>
      <c r="L5144" s="8" t="n"/>
      <c r="M5144" s="9">
        <f>B5144+30</f>
        <v/>
      </c>
      <c r="N5144">
        <f>IF(L5144="", "", L5144-B5144)</f>
        <v/>
      </c>
      <c r="O5144">
        <f>IF(L5144="", "Pending", IF(N5144&lt;=30, "Met", "Breached"))</f>
        <v/>
      </c>
      <c r="P5144" s="8" t="n"/>
      <c r="Q5144" s="8" t="n"/>
      <c r="R5144" s="8" t="n"/>
      <c r="S5144" s="8" t="n"/>
      <c r="T5144" s="8" t="n"/>
      <c r="U5144" s="8" t="n"/>
      <c r="V5144" s="8" t="n"/>
      <c r="W5144" s="8" t="n"/>
      <c r="X5144" s="8" t="n"/>
      <c r="Y5144" s="8" t="n"/>
    </row>
    <row r="5145">
      <c r="A5145" s="8" t="n"/>
      <c r="B5145" s="8" t="n"/>
      <c r="C5145" s="8" t="n"/>
      <c r="D5145" s="8" t="n"/>
      <c r="E5145" s="8" t="n"/>
      <c r="F5145" s="8" t="n"/>
      <c r="G5145" s="8" t="n"/>
      <c r="H5145" s="8" t="n"/>
      <c r="I5145" s="8" t="n"/>
      <c r="J5145" s="8" t="n"/>
      <c r="K5145" s="8" t="n"/>
      <c r="L5145" s="8" t="n"/>
      <c r="M5145" s="9">
        <f>B5145+30</f>
        <v/>
      </c>
      <c r="N5145">
        <f>IF(L5145="", "", L5145-B5145)</f>
        <v/>
      </c>
      <c r="O5145">
        <f>IF(L5145="", "Pending", IF(N5145&lt;=30, "Met", "Breached"))</f>
        <v/>
      </c>
      <c r="P5145" s="8" t="n"/>
      <c r="Q5145" s="8" t="n"/>
      <c r="R5145" s="8" t="n"/>
      <c r="S5145" s="8" t="n"/>
      <c r="T5145" s="8" t="n"/>
      <c r="U5145" s="8" t="n"/>
      <c r="V5145" s="8" t="n"/>
      <c r="W5145" s="8" t="n"/>
      <c r="X5145" s="8" t="n"/>
      <c r="Y5145" s="8" t="n"/>
    </row>
    <row r="5146">
      <c r="A5146" s="8" t="n"/>
      <c r="B5146" s="8" t="n"/>
      <c r="C5146" s="8" t="n"/>
      <c r="D5146" s="8" t="n"/>
      <c r="E5146" s="8" t="n"/>
      <c r="F5146" s="8" t="n"/>
      <c r="G5146" s="8" t="n"/>
      <c r="H5146" s="8" t="n"/>
      <c r="I5146" s="8" t="n"/>
      <c r="J5146" s="8" t="n"/>
      <c r="K5146" s="8" t="n"/>
      <c r="L5146" s="8" t="n"/>
      <c r="M5146" s="9">
        <f>B5146+30</f>
        <v/>
      </c>
      <c r="N5146">
        <f>IF(L5146="", "", L5146-B5146)</f>
        <v/>
      </c>
      <c r="O5146">
        <f>IF(L5146="", "Pending", IF(N5146&lt;=30, "Met", "Breached"))</f>
        <v/>
      </c>
      <c r="P5146" s="8" t="n"/>
      <c r="Q5146" s="8" t="n"/>
      <c r="R5146" s="8" t="n"/>
      <c r="S5146" s="8" t="n"/>
      <c r="T5146" s="8" t="n"/>
      <c r="U5146" s="8" t="n"/>
      <c r="V5146" s="8" t="n"/>
      <c r="W5146" s="8" t="n"/>
      <c r="X5146" s="8" t="n"/>
      <c r="Y5146" s="8" t="n"/>
    </row>
    <row r="5147">
      <c r="A5147" s="8" t="n"/>
      <c r="B5147" s="8" t="n"/>
      <c r="C5147" s="8" t="n"/>
      <c r="D5147" s="8" t="n"/>
      <c r="E5147" s="8" t="n"/>
      <c r="F5147" s="8" t="n"/>
      <c r="G5147" s="8" t="n"/>
      <c r="H5147" s="8" t="n"/>
      <c r="I5147" s="8" t="n"/>
      <c r="J5147" s="8" t="n"/>
      <c r="K5147" s="8" t="n"/>
      <c r="L5147" s="8" t="n"/>
      <c r="M5147" s="9">
        <f>B5147+30</f>
        <v/>
      </c>
      <c r="N5147">
        <f>IF(L5147="", "", L5147-B5147)</f>
        <v/>
      </c>
      <c r="O5147">
        <f>IF(L5147="", "Pending", IF(N5147&lt;=30, "Met", "Breached"))</f>
        <v/>
      </c>
      <c r="P5147" s="8" t="n"/>
      <c r="Q5147" s="8" t="n"/>
      <c r="R5147" s="8" t="n"/>
      <c r="S5147" s="8" t="n"/>
      <c r="T5147" s="8" t="n"/>
      <c r="U5147" s="8" t="n"/>
      <c r="V5147" s="8" t="n"/>
      <c r="W5147" s="8" t="n"/>
      <c r="X5147" s="8" t="n"/>
      <c r="Y5147" s="8" t="n"/>
    </row>
    <row r="5148">
      <c r="A5148" s="8" t="n"/>
      <c r="B5148" s="8" t="n"/>
      <c r="C5148" s="8" t="n"/>
      <c r="D5148" s="8" t="n"/>
      <c r="E5148" s="8" t="n"/>
      <c r="F5148" s="8" t="n"/>
      <c r="G5148" s="8" t="n"/>
      <c r="H5148" s="8" t="n"/>
      <c r="I5148" s="8" t="n"/>
      <c r="J5148" s="8" t="n"/>
      <c r="K5148" s="8" t="n"/>
      <c r="L5148" s="8" t="n"/>
      <c r="M5148" s="9">
        <f>B5148+30</f>
        <v/>
      </c>
      <c r="N5148">
        <f>IF(L5148="", "", L5148-B5148)</f>
        <v/>
      </c>
      <c r="O5148">
        <f>IF(L5148="", "Pending", IF(N5148&lt;=30, "Met", "Breached"))</f>
        <v/>
      </c>
      <c r="P5148" s="8" t="n"/>
      <c r="Q5148" s="8" t="n"/>
      <c r="R5148" s="8" t="n"/>
      <c r="S5148" s="8" t="n"/>
      <c r="T5148" s="8" t="n"/>
      <c r="U5148" s="8" t="n"/>
      <c r="V5148" s="8" t="n"/>
      <c r="W5148" s="8" t="n"/>
      <c r="X5148" s="8" t="n"/>
      <c r="Y5148" s="8" t="n"/>
    </row>
    <row r="5149">
      <c r="A5149" s="8" t="n"/>
      <c r="B5149" s="8" t="n"/>
      <c r="C5149" s="8" t="n"/>
      <c r="D5149" s="8" t="n"/>
      <c r="E5149" s="8" t="n"/>
      <c r="F5149" s="8" t="n"/>
      <c r="G5149" s="8" t="n"/>
      <c r="H5149" s="8" t="n"/>
      <c r="I5149" s="8" t="n"/>
      <c r="J5149" s="8" t="n"/>
      <c r="K5149" s="8" t="n"/>
      <c r="L5149" s="8" t="n"/>
      <c r="M5149" s="9">
        <f>B5149+30</f>
        <v/>
      </c>
      <c r="N5149">
        <f>IF(L5149="", "", L5149-B5149)</f>
        <v/>
      </c>
      <c r="O5149">
        <f>IF(L5149="", "Pending", IF(N5149&lt;=30, "Met", "Breached"))</f>
        <v/>
      </c>
      <c r="P5149" s="8" t="n"/>
      <c r="Q5149" s="8" t="n"/>
      <c r="R5149" s="8" t="n"/>
      <c r="S5149" s="8" t="n"/>
      <c r="T5149" s="8" t="n"/>
      <c r="U5149" s="8" t="n"/>
      <c r="V5149" s="8" t="n"/>
      <c r="W5149" s="8" t="n"/>
      <c r="X5149" s="8" t="n"/>
      <c r="Y5149" s="8" t="n"/>
    </row>
    <row r="5150">
      <c r="A5150" s="8" t="n"/>
      <c r="B5150" s="8" t="n"/>
      <c r="C5150" s="8" t="n"/>
      <c r="D5150" s="8" t="n"/>
      <c r="E5150" s="8" t="n"/>
      <c r="F5150" s="8" t="n"/>
      <c r="G5150" s="8" t="n"/>
      <c r="H5150" s="8" t="n"/>
      <c r="I5150" s="8" t="n"/>
      <c r="J5150" s="8" t="n"/>
      <c r="K5150" s="8" t="n"/>
      <c r="L5150" s="8" t="n"/>
      <c r="M5150" s="9">
        <f>B5150+30</f>
        <v/>
      </c>
      <c r="N5150">
        <f>IF(L5150="", "", L5150-B5150)</f>
        <v/>
      </c>
      <c r="O5150">
        <f>IF(L5150="", "Pending", IF(N5150&lt;=30, "Met", "Breached"))</f>
        <v/>
      </c>
      <c r="P5150" s="8" t="n"/>
      <c r="Q5150" s="8" t="n"/>
      <c r="R5150" s="8" t="n"/>
      <c r="S5150" s="8" t="n"/>
      <c r="T5150" s="8" t="n"/>
      <c r="U5150" s="8" t="n"/>
      <c r="V5150" s="8" t="n"/>
      <c r="W5150" s="8" t="n"/>
      <c r="X5150" s="8" t="n"/>
      <c r="Y5150" s="8" t="n"/>
    </row>
    <row r="5151">
      <c r="A5151" s="8" t="n"/>
      <c r="B5151" s="8" t="n"/>
      <c r="C5151" s="8" t="n"/>
      <c r="D5151" s="8" t="n"/>
      <c r="E5151" s="8" t="n"/>
      <c r="F5151" s="8" t="n"/>
      <c r="G5151" s="8" t="n"/>
      <c r="H5151" s="8" t="n"/>
      <c r="I5151" s="8" t="n"/>
      <c r="J5151" s="8" t="n"/>
      <c r="K5151" s="8" t="n"/>
      <c r="L5151" s="8" t="n"/>
      <c r="M5151" s="9">
        <f>B5151+30</f>
        <v/>
      </c>
      <c r="N5151">
        <f>IF(L5151="", "", L5151-B5151)</f>
        <v/>
      </c>
      <c r="O5151">
        <f>IF(L5151="", "Pending", IF(N5151&lt;=30, "Met", "Breached"))</f>
        <v/>
      </c>
      <c r="P5151" s="8" t="n"/>
      <c r="Q5151" s="8" t="n"/>
      <c r="R5151" s="8" t="n"/>
      <c r="S5151" s="8" t="n"/>
      <c r="T5151" s="8" t="n"/>
      <c r="U5151" s="8" t="n"/>
      <c r="V5151" s="8" t="n"/>
      <c r="W5151" s="8" t="n"/>
      <c r="X5151" s="8" t="n"/>
      <c r="Y5151" s="8" t="n"/>
    </row>
    <row r="5152">
      <c r="A5152" s="8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8" t="n"/>
      <c r="K5152" s="8" t="n"/>
      <c r="L5152" s="8" t="n"/>
      <c r="M5152" s="9">
        <f>B5152+30</f>
        <v/>
      </c>
      <c r="N5152">
        <f>IF(L5152="", "", L5152-B5152)</f>
        <v/>
      </c>
      <c r="O5152">
        <f>IF(L5152="", "Pending", IF(N5152&lt;=30, "Met", "Breached"))</f>
        <v/>
      </c>
      <c r="P5152" s="8" t="n"/>
      <c r="Q5152" s="8" t="n"/>
      <c r="R5152" s="8" t="n"/>
      <c r="S5152" s="8" t="n"/>
      <c r="T5152" s="8" t="n"/>
      <c r="U5152" s="8" t="n"/>
      <c r="V5152" s="8" t="n"/>
      <c r="W5152" s="8" t="n"/>
      <c r="X5152" s="8" t="n"/>
      <c r="Y5152" s="8" t="n"/>
    </row>
    <row r="5153">
      <c r="A5153" s="8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8" t="n"/>
      <c r="K5153" s="8" t="n"/>
      <c r="L5153" s="8" t="n"/>
      <c r="M5153" s="9">
        <f>B5153+30</f>
        <v/>
      </c>
      <c r="N5153">
        <f>IF(L5153="", "", L5153-B5153)</f>
        <v/>
      </c>
      <c r="O5153">
        <f>IF(L5153="", "Pending", IF(N5153&lt;=30, "Met", "Breached"))</f>
        <v/>
      </c>
      <c r="P5153" s="8" t="n"/>
      <c r="Q5153" s="8" t="n"/>
      <c r="R5153" s="8" t="n"/>
      <c r="S5153" s="8" t="n"/>
      <c r="T5153" s="8" t="n"/>
      <c r="U5153" s="8" t="n"/>
      <c r="V5153" s="8" t="n"/>
      <c r="W5153" s="8" t="n"/>
      <c r="X5153" s="8" t="n"/>
      <c r="Y5153" s="8" t="n"/>
    </row>
    <row r="5154">
      <c r="A5154" s="8" t="n"/>
      <c r="B5154" s="8" t="n"/>
      <c r="C5154" s="8" t="n"/>
      <c r="D5154" s="8" t="n"/>
      <c r="E5154" s="8" t="n"/>
      <c r="F5154" s="8" t="n"/>
      <c r="G5154" s="8" t="n"/>
      <c r="H5154" s="8" t="n"/>
      <c r="I5154" s="8" t="n"/>
      <c r="J5154" s="8" t="n"/>
      <c r="K5154" s="8" t="n"/>
      <c r="L5154" s="8" t="n"/>
      <c r="M5154" s="9">
        <f>B5154+30</f>
        <v/>
      </c>
      <c r="N5154">
        <f>IF(L5154="", "", L5154-B5154)</f>
        <v/>
      </c>
      <c r="O5154">
        <f>IF(L5154="", "Pending", IF(N5154&lt;=30, "Met", "Breached"))</f>
        <v/>
      </c>
      <c r="P5154" s="8" t="n"/>
      <c r="Q5154" s="8" t="n"/>
      <c r="R5154" s="8" t="n"/>
      <c r="S5154" s="8" t="n"/>
      <c r="T5154" s="8" t="n"/>
      <c r="U5154" s="8" t="n"/>
      <c r="V5154" s="8" t="n"/>
      <c r="W5154" s="8" t="n"/>
      <c r="X5154" s="8" t="n"/>
      <c r="Y5154" s="8" t="n"/>
    </row>
    <row r="5155">
      <c r="A5155" s="8" t="n"/>
      <c r="B5155" s="8" t="n"/>
      <c r="C5155" s="8" t="n"/>
      <c r="D5155" s="8" t="n"/>
      <c r="E5155" s="8" t="n"/>
      <c r="F5155" s="8" t="n"/>
      <c r="G5155" s="8" t="n"/>
      <c r="H5155" s="8" t="n"/>
      <c r="I5155" s="8" t="n"/>
      <c r="J5155" s="8" t="n"/>
      <c r="K5155" s="8" t="n"/>
      <c r="L5155" s="8" t="n"/>
      <c r="M5155" s="9">
        <f>B5155+30</f>
        <v/>
      </c>
      <c r="N5155">
        <f>IF(L5155="", "", L5155-B5155)</f>
        <v/>
      </c>
      <c r="O5155">
        <f>IF(L5155="", "Pending", IF(N5155&lt;=30, "Met", "Breached"))</f>
        <v/>
      </c>
      <c r="P5155" s="8" t="n"/>
      <c r="Q5155" s="8" t="n"/>
      <c r="R5155" s="8" t="n"/>
      <c r="S5155" s="8" t="n"/>
      <c r="T5155" s="8" t="n"/>
      <c r="U5155" s="8" t="n"/>
      <c r="V5155" s="8" t="n"/>
      <c r="W5155" s="8" t="n"/>
      <c r="X5155" s="8" t="n"/>
      <c r="Y5155" s="8" t="n"/>
    </row>
    <row r="5156">
      <c r="A5156" s="8" t="n"/>
      <c r="B5156" s="8" t="n"/>
      <c r="C5156" s="8" t="n"/>
      <c r="D5156" s="8" t="n"/>
      <c r="E5156" s="8" t="n"/>
      <c r="F5156" s="8" t="n"/>
      <c r="G5156" s="8" t="n"/>
      <c r="H5156" s="8" t="n"/>
      <c r="I5156" s="8" t="n"/>
      <c r="J5156" s="8" t="n"/>
      <c r="K5156" s="8" t="n"/>
      <c r="L5156" s="8" t="n"/>
      <c r="M5156" s="9">
        <f>B5156+30</f>
        <v/>
      </c>
      <c r="N5156">
        <f>IF(L5156="", "", L5156-B5156)</f>
        <v/>
      </c>
      <c r="O5156">
        <f>IF(L5156="", "Pending", IF(N5156&lt;=30, "Met", "Breached"))</f>
        <v/>
      </c>
      <c r="P5156" s="8" t="n"/>
      <c r="Q5156" s="8" t="n"/>
      <c r="R5156" s="8" t="n"/>
      <c r="S5156" s="8" t="n"/>
      <c r="T5156" s="8" t="n"/>
      <c r="U5156" s="8" t="n"/>
      <c r="V5156" s="8" t="n"/>
      <c r="W5156" s="8" t="n"/>
      <c r="X5156" s="8" t="n"/>
      <c r="Y5156" s="8" t="n"/>
    </row>
    <row r="5157">
      <c r="A5157" s="8" t="n"/>
      <c r="B5157" s="8" t="n"/>
      <c r="C5157" s="8" t="n"/>
      <c r="D5157" s="8" t="n"/>
      <c r="E5157" s="8" t="n"/>
      <c r="F5157" s="8" t="n"/>
      <c r="G5157" s="8" t="n"/>
      <c r="H5157" s="8" t="n"/>
      <c r="I5157" s="8" t="n"/>
      <c r="J5157" s="8" t="n"/>
      <c r="K5157" s="8" t="n"/>
      <c r="L5157" s="8" t="n"/>
      <c r="M5157" s="9">
        <f>B5157+30</f>
        <v/>
      </c>
      <c r="N5157">
        <f>IF(L5157="", "", L5157-B5157)</f>
        <v/>
      </c>
      <c r="O5157">
        <f>IF(L5157="", "Pending", IF(N5157&lt;=30, "Met", "Breached"))</f>
        <v/>
      </c>
      <c r="P5157" s="8" t="n"/>
      <c r="Q5157" s="8" t="n"/>
      <c r="R5157" s="8" t="n"/>
      <c r="S5157" s="8" t="n"/>
      <c r="T5157" s="8" t="n"/>
      <c r="U5157" s="8" t="n"/>
      <c r="V5157" s="8" t="n"/>
      <c r="W5157" s="8" t="n"/>
      <c r="X5157" s="8" t="n"/>
      <c r="Y5157" s="8" t="n"/>
    </row>
    <row r="5158">
      <c r="A5158" s="8" t="n"/>
      <c r="B5158" s="8" t="n"/>
      <c r="C5158" s="8" t="n"/>
      <c r="D5158" s="8" t="n"/>
      <c r="E5158" s="8" t="n"/>
      <c r="F5158" s="8" t="n"/>
      <c r="G5158" s="8" t="n"/>
      <c r="H5158" s="8" t="n"/>
      <c r="I5158" s="8" t="n"/>
      <c r="J5158" s="8" t="n"/>
      <c r="K5158" s="8" t="n"/>
      <c r="L5158" s="8" t="n"/>
      <c r="M5158" s="9">
        <f>B5158+30</f>
        <v/>
      </c>
      <c r="N5158">
        <f>IF(L5158="", "", L5158-B5158)</f>
        <v/>
      </c>
      <c r="O5158">
        <f>IF(L5158="", "Pending", IF(N5158&lt;=30, "Met", "Breached"))</f>
        <v/>
      </c>
      <c r="P5158" s="8" t="n"/>
      <c r="Q5158" s="8" t="n"/>
      <c r="R5158" s="8" t="n"/>
      <c r="S5158" s="8" t="n"/>
      <c r="T5158" s="8" t="n"/>
      <c r="U5158" s="8" t="n"/>
      <c r="V5158" s="8" t="n"/>
      <c r="W5158" s="8" t="n"/>
      <c r="X5158" s="8" t="n"/>
      <c r="Y5158" s="8" t="n"/>
    </row>
    <row r="5159">
      <c r="A5159" s="8" t="n"/>
      <c r="B5159" s="8" t="n"/>
      <c r="C5159" s="8" t="n"/>
      <c r="D5159" s="8" t="n"/>
      <c r="E5159" s="8" t="n"/>
      <c r="F5159" s="8" t="n"/>
      <c r="G5159" s="8" t="n"/>
      <c r="H5159" s="8" t="n"/>
      <c r="I5159" s="8" t="n"/>
      <c r="J5159" s="8" t="n"/>
      <c r="K5159" s="8" t="n"/>
      <c r="L5159" s="8" t="n"/>
      <c r="M5159" s="9">
        <f>B5159+30</f>
        <v/>
      </c>
      <c r="N5159">
        <f>IF(L5159="", "", L5159-B5159)</f>
        <v/>
      </c>
      <c r="O5159">
        <f>IF(L5159="", "Pending", IF(N5159&lt;=30, "Met", "Breached"))</f>
        <v/>
      </c>
      <c r="P5159" s="8" t="n"/>
      <c r="Q5159" s="8" t="n"/>
      <c r="R5159" s="8" t="n"/>
      <c r="S5159" s="8" t="n"/>
      <c r="T5159" s="8" t="n"/>
      <c r="U5159" s="8" t="n"/>
      <c r="V5159" s="8" t="n"/>
      <c r="W5159" s="8" t="n"/>
      <c r="X5159" s="8" t="n"/>
      <c r="Y5159" s="8" t="n"/>
    </row>
    <row r="5160">
      <c r="A5160" s="8" t="n"/>
      <c r="B5160" s="8" t="n"/>
      <c r="C5160" s="8" t="n"/>
      <c r="D5160" s="8" t="n"/>
      <c r="E5160" s="8" t="n"/>
      <c r="F5160" s="8" t="n"/>
      <c r="G5160" s="8" t="n"/>
      <c r="H5160" s="8" t="n"/>
      <c r="I5160" s="8" t="n"/>
      <c r="J5160" s="8" t="n"/>
      <c r="K5160" s="8" t="n"/>
      <c r="L5160" s="8" t="n"/>
      <c r="M5160" s="9">
        <f>B5160+30</f>
        <v/>
      </c>
      <c r="N5160">
        <f>IF(L5160="", "", L5160-B5160)</f>
        <v/>
      </c>
      <c r="O5160">
        <f>IF(L5160="", "Pending", IF(N5160&lt;=30, "Met", "Breached"))</f>
        <v/>
      </c>
      <c r="P5160" s="8" t="n"/>
      <c r="Q5160" s="8" t="n"/>
      <c r="R5160" s="8" t="n"/>
      <c r="S5160" s="8" t="n"/>
      <c r="T5160" s="8" t="n"/>
      <c r="U5160" s="8" t="n"/>
      <c r="V5160" s="8" t="n"/>
      <c r="W5160" s="8" t="n"/>
      <c r="X5160" s="8" t="n"/>
      <c r="Y5160" s="8" t="n"/>
    </row>
    <row r="5161">
      <c r="A5161" s="8" t="n"/>
      <c r="B5161" s="8" t="n"/>
      <c r="C5161" s="8" t="n"/>
      <c r="D5161" s="8" t="n"/>
      <c r="E5161" s="8" t="n"/>
      <c r="F5161" s="8" t="n"/>
      <c r="G5161" s="8" t="n"/>
      <c r="H5161" s="8" t="n"/>
      <c r="I5161" s="8" t="n"/>
      <c r="J5161" s="8" t="n"/>
      <c r="K5161" s="8" t="n"/>
      <c r="L5161" s="8" t="n"/>
      <c r="M5161" s="9">
        <f>B5161+30</f>
        <v/>
      </c>
      <c r="N5161">
        <f>IF(L5161="", "", L5161-B5161)</f>
        <v/>
      </c>
      <c r="O5161">
        <f>IF(L5161="", "Pending", IF(N5161&lt;=30, "Met", "Breached"))</f>
        <v/>
      </c>
      <c r="P5161" s="8" t="n"/>
      <c r="Q5161" s="8" t="n"/>
      <c r="R5161" s="8" t="n"/>
      <c r="S5161" s="8" t="n"/>
      <c r="T5161" s="8" t="n"/>
      <c r="U5161" s="8" t="n"/>
      <c r="V5161" s="8" t="n"/>
      <c r="W5161" s="8" t="n"/>
      <c r="X5161" s="8" t="n"/>
      <c r="Y5161" s="8" t="n"/>
    </row>
    <row r="5162">
      <c r="A5162" s="8" t="n"/>
      <c r="B5162" s="8" t="n"/>
      <c r="C5162" s="8" t="n"/>
      <c r="D5162" s="8" t="n"/>
      <c r="E5162" s="8" t="n"/>
      <c r="F5162" s="8" t="n"/>
      <c r="G5162" s="8" t="n"/>
      <c r="H5162" s="8" t="n"/>
      <c r="I5162" s="8" t="n"/>
      <c r="J5162" s="8" t="n"/>
      <c r="K5162" s="8" t="n"/>
      <c r="L5162" s="8" t="n"/>
      <c r="M5162" s="9">
        <f>B5162+30</f>
        <v/>
      </c>
      <c r="N5162">
        <f>IF(L5162="", "", L5162-B5162)</f>
        <v/>
      </c>
      <c r="O5162">
        <f>IF(L5162="", "Pending", IF(N5162&lt;=30, "Met", "Breached"))</f>
        <v/>
      </c>
      <c r="P5162" s="8" t="n"/>
      <c r="Q5162" s="8" t="n"/>
      <c r="R5162" s="8" t="n"/>
      <c r="S5162" s="8" t="n"/>
      <c r="T5162" s="8" t="n"/>
      <c r="U5162" s="8" t="n"/>
      <c r="V5162" s="8" t="n"/>
      <c r="W5162" s="8" t="n"/>
      <c r="X5162" s="8" t="n"/>
      <c r="Y5162" s="8" t="n"/>
    </row>
    <row r="5163">
      <c r="A5163" s="8" t="n"/>
      <c r="B5163" s="8" t="n"/>
      <c r="C5163" s="8" t="n"/>
      <c r="D5163" s="8" t="n"/>
      <c r="E5163" s="8" t="n"/>
      <c r="F5163" s="8" t="n"/>
      <c r="G5163" s="8" t="n"/>
      <c r="H5163" s="8" t="n"/>
      <c r="I5163" s="8" t="n"/>
      <c r="J5163" s="8" t="n"/>
      <c r="K5163" s="8" t="n"/>
      <c r="L5163" s="8" t="n"/>
      <c r="M5163" s="9">
        <f>B5163+30</f>
        <v/>
      </c>
      <c r="N5163">
        <f>IF(L5163="", "", L5163-B5163)</f>
        <v/>
      </c>
      <c r="O5163">
        <f>IF(L5163="", "Pending", IF(N5163&lt;=30, "Met", "Breached"))</f>
        <v/>
      </c>
      <c r="P5163" s="8" t="n"/>
      <c r="Q5163" s="8" t="n"/>
      <c r="R5163" s="8" t="n"/>
      <c r="S5163" s="8" t="n"/>
      <c r="T5163" s="8" t="n"/>
      <c r="U5163" s="8" t="n"/>
      <c r="V5163" s="8" t="n"/>
      <c r="W5163" s="8" t="n"/>
      <c r="X5163" s="8" t="n"/>
      <c r="Y5163" s="8" t="n"/>
    </row>
    <row r="5164">
      <c r="A5164" s="8" t="n"/>
      <c r="B5164" s="8" t="n"/>
      <c r="C5164" s="8" t="n"/>
      <c r="D5164" s="8" t="n"/>
      <c r="E5164" s="8" t="n"/>
      <c r="F5164" s="8" t="n"/>
      <c r="G5164" s="8" t="n"/>
      <c r="H5164" s="8" t="n"/>
      <c r="I5164" s="8" t="n"/>
      <c r="J5164" s="8" t="n"/>
      <c r="K5164" s="8" t="n"/>
      <c r="L5164" s="8" t="n"/>
      <c r="M5164" s="9">
        <f>B5164+30</f>
        <v/>
      </c>
      <c r="N5164">
        <f>IF(L5164="", "", L5164-B5164)</f>
        <v/>
      </c>
      <c r="O5164">
        <f>IF(L5164="", "Pending", IF(N5164&lt;=30, "Met", "Breached"))</f>
        <v/>
      </c>
      <c r="P5164" s="8" t="n"/>
      <c r="Q5164" s="8" t="n"/>
      <c r="R5164" s="8" t="n"/>
      <c r="S5164" s="8" t="n"/>
      <c r="T5164" s="8" t="n"/>
      <c r="U5164" s="8" t="n"/>
      <c r="V5164" s="8" t="n"/>
      <c r="W5164" s="8" t="n"/>
      <c r="X5164" s="8" t="n"/>
      <c r="Y5164" s="8" t="n"/>
    </row>
    <row r="5165">
      <c r="A5165" s="8" t="n"/>
      <c r="B5165" s="8" t="n"/>
      <c r="C5165" s="8" t="n"/>
      <c r="D5165" s="8" t="n"/>
      <c r="E5165" s="8" t="n"/>
      <c r="F5165" s="8" t="n"/>
      <c r="G5165" s="8" t="n"/>
      <c r="H5165" s="8" t="n"/>
      <c r="I5165" s="8" t="n"/>
      <c r="J5165" s="8" t="n"/>
      <c r="K5165" s="8" t="n"/>
      <c r="L5165" s="8" t="n"/>
      <c r="M5165" s="9">
        <f>B5165+30</f>
        <v/>
      </c>
      <c r="N5165">
        <f>IF(L5165="", "", L5165-B5165)</f>
        <v/>
      </c>
      <c r="O5165">
        <f>IF(L5165="", "Pending", IF(N5165&lt;=30, "Met", "Breached"))</f>
        <v/>
      </c>
      <c r="P5165" s="8" t="n"/>
      <c r="Q5165" s="8" t="n"/>
      <c r="R5165" s="8" t="n"/>
      <c r="S5165" s="8" t="n"/>
      <c r="T5165" s="8" t="n"/>
      <c r="U5165" s="8" t="n"/>
      <c r="V5165" s="8" t="n"/>
      <c r="W5165" s="8" t="n"/>
      <c r="X5165" s="8" t="n"/>
      <c r="Y5165" s="8" t="n"/>
    </row>
    <row r="5166">
      <c r="A5166" s="8" t="n"/>
      <c r="B5166" s="8" t="n"/>
      <c r="C5166" s="8" t="n"/>
      <c r="D5166" s="8" t="n"/>
      <c r="E5166" s="8" t="n"/>
      <c r="F5166" s="8" t="n"/>
      <c r="G5166" s="8" t="n"/>
      <c r="H5166" s="8" t="n"/>
      <c r="I5166" s="8" t="n"/>
      <c r="J5166" s="8" t="n"/>
      <c r="K5166" s="8" t="n"/>
      <c r="L5166" s="8" t="n"/>
      <c r="M5166" s="9">
        <f>B5166+30</f>
        <v/>
      </c>
      <c r="N5166">
        <f>IF(L5166="", "", L5166-B5166)</f>
        <v/>
      </c>
      <c r="O5166">
        <f>IF(L5166="", "Pending", IF(N5166&lt;=30, "Met", "Breached"))</f>
        <v/>
      </c>
      <c r="P5166" s="8" t="n"/>
      <c r="Q5166" s="8" t="n"/>
      <c r="R5166" s="8" t="n"/>
      <c r="S5166" s="8" t="n"/>
      <c r="T5166" s="8" t="n"/>
      <c r="U5166" s="8" t="n"/>
      <c r="V5166" s="8" t="n"/>
      <c r="W5166" s="8" t="n"/>
      <c r="X5166" s="8" t="n"/>
      <c r="Y5166" s="8" t="n"/>
    </row>
    <row r="5167">
      <c r="A5167" s="8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8" t="n"/>
      <c r="K5167" s="8" t="n"/>
      <c r="L5167" s="8" t="n"/>
      <c r="M5167" s="9">
        <f>B5167+30</f>
        <v/>
      </c>
      <c r="N5167">
        <f>IF(L5167="", "", L5167-B5167)</f>
        <v/>
      </c>
      <c r="O5167">
        <f>IF(L5167="", "Pending", IF(N5167&lt;=30, "Met", "Breached"))</f>
        <v/>
      </c>
      <c r="P5167" s="8" t="n"/>
      <c r="Q5167" s="8" t="n"/>
      <c r="R5167" s="8" t="n"/>
      <c r="S5167" s="8" t="n"/>
      <c r="T5167" s="8" t="n"/>
      <c r="U5167" s="8" t="n"/>
      <c r="V5167" s="8" t="n"/>
      <c r="W5167" s="8" t="n"/>
      <c r="X5167" s="8" t="n"/>
      <c r="Y5167" s="8" t="n"/>
    </row>
    <row r="5168">
      <c r="A5168" s="8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8" t="n"/>
      <c r="K5168" s="8" t="n"/>
      <c r="L5168" s="8" t="n"/>
      <c r="M5168" s="9">
        <f>B5168+30</f>
        <v/>
      </c>
      <c r="N5168">
        <f>IF(L5168="", "", L5168-B5168)</f>
        <v/>
      </c>
      <c r="O5168">
        <f>IF(L5168="", "Pending", IF(N5168&lt;=30, "Met", "Breached"))</f>
        <v/>
      </c>
      <c r="P5168" s="8" t="n"/>
      <c r="Q5168" s="8" t="n"/>
      <c r="R5168" s="8" t="n"/>
      <c r="S5168" s="8" t="n"/>
      <c r="T5168" s="8" t="n"/>
      <c r="U5168" s="8" t="n"/>
      <c r="V5168" s="8" t="n"/>
      <c r="W5168" s="8" t="n"/>
      <c r="X5168" s="8" t="n"/>
      <c r="Y5168" s="8" t="n"/>
    </row>
    <row r="5169">
      <c r="A5169" s="8" t="n"/>
      <c r="B5169" s="8" t="n"/>
      <c r="C5169" s="8" t="n"/>
      <c r="D5169" s="8" t="n"/>
      <c r="E5169" s="8" t="n"/>
      <c r="F5169" s="8" t="n"/>
      <c r="G5169" s="8" t="n"/>
      <c r="H5169" s="8" t="n"/>
      <c r="I5169" s="8" t="n"/>
      <c r="J5169" s="8" t="n"/>
      <c r="K5169" s="8" t="n"/>
      <c r="L5169" s="8" t="n"/>
      <c r="M5169" s="9">
        <f>B5169+30</f>
        <v/>
      </c>
      <c r="N5169">
        <f>IF(L5169="", "", L5169-B5169)</f>
        <v/>
      </c>
      <c r="O5169">
        <f>IF(L5169="", "Pending", IF(N5169&lt;=30, "Met", "Breached"))</f>
        <v/>
      </c>
      <c r="P5169" s="8" t="n"/>
      <c r="Q5169" s="8" t="n"/>
      <c r="R5169" s="8" t="n"/>
      <c r="S5169" s="8" t="n"/>
      <c r="T5169" s="8" t="n"/>
      <c r="U5169" s="8" t="n"/>
      <c r="V5169" s="8" t="n"/>
      <c r="W5169" s="8" t="n"/>
      <c r="X5169" s="8" t="n"/>
      <c r="Y5169" s="8" t="n"/>
    </row>
    <row r="5170">
      <c r="A5170" s="8" t="n"/>
      <c r="B5170" s="8" t="n"/>
      <c r="C5170" s="8" t="n"/>
      <c r="D5170" s="8" t="n"/>
      <c r="E5170" s="8" t="n"/>
      <c r="F5170" s="8" t="n"/>
      <c r="G5170" s="8" t="n"/>
      <c r="H5170" s="8" t="n"/>
      <c r="I5170" s="8" t="n"/>
      <c r="J5170" s="8" t="n"/>
      <c r="K5170" s="8" t="n"/>
      <c r="L5170" s="8" t="n"/>
      <c r="M5170" s="9">
        <f>B5170+30</f>
        <v/>
      </c>
      <c r="N5170">
        <f>IF(L5170="", "", L5170-B5170)</f>
        <v/>
      </c>
      <c r="O5170">
        <f>IF(L5170="", "Pending", IF(N5170&lt;=30, "Met", "Breached"))</f>
        <v/>
      </c>
      <c r="P5170" s="8" t="n"/>
      <c r="Q5170" s="8" t="n"/>
      <c r="R5170" s="8" t="n"/>
      <c r="S5170" s="8" t="n"/>
      <c r="T5170" s="8" t="n"/>
      <c r="U5170" s="8" t="n"/>
      <c r="V5170" s="8" t="n"/>
      <c r="W5170" s="8" t="n"/>
      <c r="X5170" s="8" t="n"/>
      <c r="Y5170" s="8" t="n"/>
    </row>
    <row r="5171">
      <c r="A5171" s="8" t="n"/>
      <c r="B5171" s="8" t="n"/>
      <c r="C5171" s="8" t="n"/>
      <c r="D5171" s="8" t="n"/>
      <c r="E5171" s="8" t="n"/>
      <c r="F5171" s="8" t="n"/>
      <c r="G5171" s="8" t="n"/>
      <c r="H5171" s="8" t="n"/>
      <c r="I5171" s="8" t="n"/>
      <c r="J5171" s="8" t="n"/>
      <c r="K5171" s="8" t="n"/>
      <c r="L5171" s="8" t="n"/>
      <c r="M5171" s="9">
        <f>B5171+30</f>
        <v/>
      </c>
      <c r="N5171">
        <f>IF(L5171="", "", L5171-B5171)</f>
        <v/>
      </c>
      <c r="O5171">
        <f>IF(L5171="", "Pending", IF(N5171&lt;=30, "Met", "Breached"))</f>
        <v/>
      </c>
      <c r="P5171" s="8" t="n"/>
      <c r="Q5171" s="8" t="n"/>
      <c r="R5171" s="8" t="n"/>
      <c r="S5171" s="8" t="n"/>
      <c r="T5171" s="8" t="n"/>
      <c r="U5171" s="8" t="n"/>
      <c r="V5171" s="8" t="n"/>
      <c r="W5171" s="8" t="n"/>
      <c r="X5171" s="8" t="n"/>
      <c r="Y5171" s="8" t="n"/>
    </row>
    <row r="5172">
      <c r="A5172" s="8" t="n"/>
      <c r="B5172" s="8" t="n"/>
      <c r="C5172" s="8" t="n"/>
      <c r="D5172" s="8" t="n"/>
      <c r="E5172" s="8" t="n"/>
      <c r="F5172" s="8" t="n"/>
      <c r="G5172" s="8" t="n"/>
      <c r="H5172" s="8" t="n"/>
      <c r="I5172" s="8" t="n"/>
      <c r="J5172" s="8" t="n"/>
      <c r="K5172" s="8" t="n"/>
      <c r="L5172" s="8" t="n"/>
      <c r="M5172" s="9">
        <f>B5172+30</f>
        <v/>
      </c>
      <c r="N5172">
        <f>IF(L5172="", "", L5172-B5172)</f>
        <v/>
      </c>
      <c r="O5172">
        <f>IF(L5172="", "Pending", IF(N5172&lt;=30, "Met", "Breached"))</f>
        <v/>
      </c>
      <c r="P5172" s="8" t="n"/>
      <c r="Q5172" s="8" t="n"/>
      <c r="R5172" s="8" t="n"/>
      <c r="S5172" s="8" t="n"/>
      <c r="T5172" s="8" t="n"/>
      <c r="U5172" s="8" t="n"/>
      <c r="V5172" s="8" t="n"/>
      <c r="W5172" s="8" t="n"/>
      <c r="X5172" s="8" t="n"/>
      <c r="Y5172" s="8" t="n"/>
    </row>
    <row r="5173">
      <c r="A5173" s="8" t="n"/>
      <c r="B5173" s="8" t="n"/>
      <c r="C5173" s="8" t="n"/>
      <c r="D5173" s="8" t="n"/>
      <c r="E5173" s="8" t="n"/>
      <c r="F5173" s="8" t="n"/>
      <c r="G5173" s="8" t="n"/>
      <c r="H5173" s="8" t="n"/>
      <c r="I5173" s="8" t="n"/>
      <c r="J5173" s="8" t="n"/>
      <c r="K5173" s="8" t="n"/>
      <c r="L5173" s="8" t="n"/>
      <c r="M5173" s="9">
        <f>B5173+30</f>
        <v/>
      </c>
      <c r="N5173">
        <f>IF(L5173="", "", L5173-B5173)</f>
        <v/>
      </c>
      <c r="O5173">
        <f>IF(L5173="", "Pending", IF(N5173&lt;=30, "Met", "Breached"))</f>
        <v/>
      </c>
      <c r="P5173" s="8" t="n"/>
      <c r="Q5173" s="8" t="n"/>
      <c r="R5173" s="8" t="n"/>
      <c r="S5173" s="8" t="n"/>
      <c r="T5173" s="8" t="n"/>
      <c r="U5173" s="8" t="n"/>
      <c r="V5173" s="8" t="n"/>
      <c r="W5173" s="8" t="n"/>
      <c r="X5173" s="8" t="n"/>
      <c r="Y5173" s="8" t="n"/>
    </row>
    <row r="5174">
      <c r="A5174" s="8" t="n"/>
      <c r="B5174" s="8" t="n"/>
      <c r="C5174" s="8" t="n"/>
      <c r="D5174" s="8" t="n"/>
      <c r="E5174" s="8" t="n"/>
      <c r="F5174" s="8" t="n"/>
      <c r="G5174" s="8" t="n"/>
      <c r="H5174" s="8" t="n"/>
      <c r="I5174" s="8" t="n"/>
      <c r="J5174" s="8" t="n"/>
      <c r="K5174" s="8" t="n"/>
      <c r="L5174" s="8" t="n"/>
      <c r="M5174" s="9">
        <f>B5174+30</f>
        <v/>
      </c>
      <c r="N5174">
        <f>IF(L5174="", "", L5174-B5174)</f>
        <v/>
      </c>
      <c r="O5174">
        <f>IF(L5174="", "Pending", IF(N5174&lt;=30, "Met", "Breached"))</f>
        <v/>
      </c>
      <c r="P5174" s="8" t="n"/>
      <c r="Q5174" s="8" t="n"/>
      <c r="R5174" s="8" t="n"/>
      <c r="S5174" s="8" t="n"/>
      <c r="T5174" s="8" t="n"/>
      <c r="U5174" s="8" t="n"/>
      <c r="V5174" s="8" t="n"/>
      <c r="W5174" s="8" t="n"/>
      <c r="X5174" s="8" t="n"/>
      <c r="Y5174" s="8" t="n"/>
    </row>
    <row r="5175">
      <c r="A5175" s="8" t="n"/>
      <c r="B5175" s="8" t="n"/>
      <c r="C5175" s="8" t="n"/>
      <c r="D5175" s="8" t="n"/>
      <c r="E5175" s="8" t="n"/>
      <c r="F5175" s="8" t="n"/>
      <c r="G5175" s="8" t="n"/>
      <c r="H5175" s="8" t="n"/>
      <c r="I5175" s="8" t="n"/>
      <c r="J5175" s="8" t="n"/>
      <c r="K5175" s="8" t="n"/>
      <c r="L5175" s="8" t="n"/>
      <c r="M5175" s="9">
        <f>B5175+30</f>
        <v/>
      </c>
      <c r="N5175">
        <f>IF(L5175="", "", L5175-B5175)</f>
        <v/>
      </c>
      <c r="O5175">
        <f>IF(L5175="", "Pending", IF(N5175&lt;=30, "Met", "Breached"))</f>
        <v/>
      </c>
      <c r="P5175" s="8" t="n"/>
      <c r="Q5175" s="8" t="n"/>
      <c r="R5175" s="8" t="n"/>
      <c r="S5175" s="8" t="n"/>
      <c r="T5175" s="8" t="n"/>
      <c r="U5175" s="8" t="n"/>
      <c r="V5175" s="8" t="n"/>
      <c r="W5175" s="8" t="n"/>
      <c r="X5175" s="8" t="n"/>
      <c r="Y5175" s="8" t="n"/>
    </row>
    <row r="5176">
      <c r="A5176" s="8" t="n"/>
      <c r="B5176" s="8" t="n"/>
      <c r="C5176" s="8" t="n"/>
      <c r="D5176" s="8" t="n"/>
      <c r="E5176" s="8" t="n"/>
      <c r="F5176" s="8" t="n"/>
      <c r="G5176" s="8" t="n"/>
      <c r="H5176" s="8" t="n"/>
      <c r="I5176" s="8" t="n"/>
      <c r="J5176" s="8" t="n"/>
      <c r="K5176" s="8" t="n"/>
      <c r="L5176" s="8" t="n"/>
      <c r="M5176" s="9">
        <f>B5176+30</f>
        <v/>
      </c>
      <c r="N5176">
        <f>IF(L5176="", "", L5176-B5176)</f>
        <v/>
      </c>
      <c r="O5176">
        <f>IF(L5176="", "Pending", IF(N5176&lt;=30, "Met", "Breached"))</f>
        <v/>
      </c>
      <c r="P5176" s="8" t="n"/>
      <c r="Q5176" s="8" t="n"/>
      <c r="R5176" s="8" t="n"/>
      <c r="S5176" s="8" t="n"/>
      <c r="T5176" s="8" t="n"/>
      <c r="U5176" s="8" t="n"/>
      <c r="V5176" s="8" t="n"/>
      <c r="W5176" s="8" t="n"/>
      <c r="X5176" s="8" t="n"/>
      <c r="Y5176" s="8" t="n"/>
    </row>
    <row r="5177">
      <c r="A5177" s="8" t="n"/>
      <c r="B5177" s="8" t="n"/>
      <c r="C5177" s="8" t="n"/>
      <c r="D5177" s="8" t="n"/>
      <c r="E5177" s="8" t="n"/>
      <c r="F5177" s="8" t="n"/>
      <c r="G5177" s="8" t="n"/>
      <c r="H5177" s="8" t="n"/>
      <c r="I5177" s="8" t="n"/>
      <c r="J5177" s="8" t="n"/>
      <c r="K5177" s="8" t="n"/>
      <c r="L5177" s="8" t="n"/>
      <c r="M5177" s="9">
        <f>B5177+30</f>
        <v/>
      </c>
      <c r="N5177">
        <f>IF(L5177="", "", L5177-B5177)</f>
        <v/>
      </c>
      <c r="O5177">
        <f>IF(L5177="", "Pending", IF(N5177&lt;=30, "Met", "Breached"))</f>
        <v/>
      </c>
      <c r="P5177" s="8" t="n"/>
      <c r="Q5177" s="8" t="n"/>
      <c r="R5177" s="8" t="n"/>
      <c r="S5177" s="8" t="n"/>
      <c r="T5177" s="8" t="n"/>
      <c r="U5177" s="8" t="n"/>
      <c r="V5177" s="8" t="n"/>
      <c r="W5177" s="8" t="n"/>
      <c r="X5177" s="8" t="n"/>
      <c r="Y5177" s="8" t="n"/>
    </row>
    <row r="5178">
      <c r="A5178" s="8" t="n"/>
      <c r="B5178" s="8" t="n"/>
      <c r="C5178" s="8" t="n"/>
      <c r="D5178" s="8" t="n"/>
      <c r="E5178" s="8" t="n"/>
      <c r="F5178" s="8" t="n"/>
      <c r="G5178" s="8" t="n"/>
      <c r="H5178" s="8" t="n"/>
      <c r="I5178" s="8" t="n"/>
      <c r="J5178" s="8" t="n"/>
      <c r="K5178" s="8" t="n"/>
      <c r="L5178" s="8" t="n"/>
      <c r="M5178" s="9">
        <f>B5178+30</f>
        <v/>
      </c>
      <c r="N5178">
        <f>IF(L5178="", "", L5178-B5178)</f>
        <v/>
      </c>
      <c r="O5178">
        <f>IF(L5178="", "Pending", IF(N5178&lt;=30, "Met", "Breached"))</f>
        <v/>
      </c>
      <c r="P5178" s="8" t="n"/>
      <c r="Q5178" s="8" t="n"/>
      <c r="R5178" s="8" t="n"/>
      <c r="S5178" s="8" t="n"/>
      <c r="T5178" s="8" t="n"/>
      <c r="U5178" s="8" t="n"/>
      <c r="V5178" s="8" t="n"/>
      <c r="W5178" s="8" t="n"/>
      <c r="X5178" s="8" t="n"/>
      <c r="Y5178" s="8" t="n"/>
    </row>
    <row r="5179">
      <c r="A5179" s="8" t="n"/>
      <c r="B5179" s="8" t="n"/>
      <c r="C5179" s="8" t="n"/>
      <c r="D5179" s="8" t="n"/>
      <c r="E5179" s="8" t="n"/>
      <c r="F5179" s="8" t="n"/>
      <c r="G5179" s="8" t="n"/>
      <c r="H5179" s="8" t="n"/>
      <c r="I5179" s="8" t="n"/>
      <c r="J5179" s="8" t="n"/>
      <c r="K5179" s="8" t="n"/>
      <c r="L5179" s="8" t="n"/>
      <c r="M5179" s="9">
        <f>B5179+30</f>
        <v/>
      </c>
      <c r="N5179">
        <f>IF(L5179="", "", L5179-B5179)</f>
        <v/>
      </c>
      <c r="O5179">
        <f>IF(L5179="", "Pending", IF(N5179&lt;=30, "Met", "Breached"))</f>
        <v/>
      </c>
      <c r="P5179" s="8" t="n"/>
      <c r="Q5179" s="8" t="n"/>
      <c r="R5179" s="8" t="n"/>
      <c r="S5179" s="8" t="n"/>
      <c r="T5179" s="8" t="n"/>
      <c r="U5179" s="8" t="n"/>
      <c r="V5179" s="8" t="n"/>
      <c r="W5179" s="8" t="n"/>
      <c r="X5179" s="8" t="n"/>
      <c r="Y5179" s="8" t="n"/>
    </row>
    <row r="5180">
      <c r="A5180" s="8" t="n"/>
      <c r="B5180" s="8" t="n"/>
      <c r="C5180" s="8" t="n"/>
      <c r="D5180" s="8" t="n"/>
      <c r="E5180" s="8" t="n"/>
      <c r="F5180" s="8" t="n"/>
      <c r="G5180" s="8" t="n"/>
      <c r="H5180" s="8" t="n"/>
      <c r="I5180" s="8" t="n"/>
      <c r="J5180" s="8" t="n"/>
      <c r="K5180" s="8" t="n"/>
      <c r="L5180" s="8" t="n"/>
      <c r="M5180" s="9">
        <f>B5180+30</f>
        <v/>
      </c>
      <c r="N5180">
        <f>IF(L5180="", "", L5180-B5180)</f>
        <v/>
      </c>
      <c r="O5180">
        <f>IF(L5180="", "Pending", IF(N5180&lt;=30, "Met", "Breached"))</f>
        <v/>
      </c>
      <c r="P5180" s="8" t="n"/>
      <c r="Q5180" s="8" t="n"/>
      <c r="R5180" s="8" t="n"/>
      <c r="S5180" s="8" t="n"/>
      <c r="T5180" s="8" t="n"/>
      <c r="U5180" s="8" t="n"/>
      <c r="V5180" s="8" t="n"/>
      <c r="W5180" s="8" t="n"/>
      <c r="X5180" s="8" t="n"/>
      <c r="Y5180" s="8" t="n"/>
    </row>
    <row r="5181">
      <c r="A5181" s="8" t="n"/>
      <c r="B5181" s="8" t="n"/>
      <c r="C5181" s="8" t="n"/>
      <c r="D5181" s="8" t="n"/>
      <c r="E5181" s="8" t="n"/>
      <c r="F5181" s="8" t="n"/>
      <c r="G5181" s="8" t="n"/>
      <c r="H5181" s="8" t="n"/>
      <c r="I5181" s="8" t="n"/>
      <c r="J5181" s="8" t="n"/>
      <c r="K5181" s="8" t="n"/>
      <c r="L5181" s="8" t="n"/>
      <c r="M5181" s="9">
        <f>B5181+30</f>
        <v/>
      </c>
      <c r="N5181">
        <f>IF(L5181="", "", L5181-B5181)</f>
        <v/>
      </c>
      <c r="O5181">
        <f>IF(L5181="", "Pending", IF(N5181&lt;=30, "Met", "Breached"))</f>
        <v/>
      </c>
      <c r="P5181" s="8" t="n"/>
      <c r="Q5181" s="8" t="n"/>
      <c r="R5181" s="8" t="n"/>
      <c r="S5181" s="8" t="n"/>
      <c r="T5181" s="8" t="n"/>
      <c r="U5181" s="8" t="n"/>
      <c r="V5181" s="8" t="n"/>
      <c r="W5181" s="8" t="n"/>
      <c r="X5181" s="8" t="n"/>
      <c r="Y5181" s="8" t="n"/>
    </row>
    <row r="5182">
      <c r="A5182" s="8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8" t="n"/>
      <c r="K5182" s="8" t="n"/>
      <c r="L5182" s="8" t="n"/>
      <c r="M5182" s="9">
        <f>B5182+30</f>
        <v/>
      </c>
      <c r="N5182">
        <f>IF(L5182="", "", L5182-B5182)</f>
        <v/>
      </c>
      <c r="O5182">
        <f>IF(L5182="", "Pending", IF(N5182&lt;=30, "Met", "Breached"))</f>
        <v/>
      </c>
      <c r="P5182" s="8" t="n"/>
      <c r="Q5182" s="8" t="n"/>
      <c r="R5182" s="8" t="n"/>
      <c r="S5182" s="8" t="n"/>
      <c r="T5182" s="8" t="n"/>
      <c r="U5182" s="8" t="n"/>
      <c r="V5182" s="8" t="n"/>
      <c r="W5182" s="8" t="n"/>
      <c r="X5182" s="8" t="n"/>
      <c r="Y5182" s="8" t="n"/>
    </row>
    <row r="5183">
      <c r="A5183" s="8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8" t="n"/>
      <c r="K5183" s="8" t="n"/>
      <c r="L5183" s="8" t="n"/>
      <c r="M5183" s="9">
        <f>B5183+30</f>
        <v/>
      </c>
      <c r="N5183">
        <f>IF(L5183="", "", L5183-B5183)</f>
        <v/>
      </c>
      <c r="O5183">
        <f>IF(L5183="", "Pending", IF(N5183&lt;=30, "Met", "Breached"))</f>
        <v/>
      </c>
      <c r="P5183" s="8" t="n"/>
      <c r="Q5183" s="8" t="n"/>
      <c r="R5183" s="8" t="n"/>
      <c r="S5183" s="8" t="n"/>
      <c r="T5183" s="8" t="n"/>
      <c r="U5183" s="8" t="n"/>
      <c r="V5183" s="8" t="n"/>
      <c r="W5183" s="8" t="n"/>
      <c r="X5183" s="8" t="n"/>
      <c r="Y5183" s="8" t="n"/>
    </row>
    <row r="5184">
      <c r="A5184" s="8" t="n"/>
      <c r="B5184" s="8" t="n"/>
      <c r="C5184" s="8" t="n"/>
      <c r="D5184" s="8" t="n"/>
      <c r="E5184" s="8" t="n"/>
      <c r="F5184" s="8" t="n"/>
      <c r="G5184" s="8" t="n"/>
      <c r="H5184" s="8" t="n"/>
      <c r="I5184" s="8" t="n"/>
      <c r="J5184" s="8" t="n"/>
      <c r="K5184" s="8" t="n"/>
      <c r="L5184" s="8" t="n"/>
      <c r="M5184" s="9">
        <f>B5184+30</f>
        <v/>
      </c>
      <c r="N5184">
        <f>IF(L5184="", "", L5184-B5184)</f>
        <v/>
      </c>
      <c r="O5184">
        <f>IF(L5184="", "Pending", IF(N5184&lt;=30, "Met", "Breached"))</f>
        <v/>
      </c>
      <c r="P5184" s="8" t="n"/>
      <c r="Q5184" s="8" t="n"/>
      <c r="R5184" s="8" t="n"/>
      <c r="S5184" s="8" t="n"/>
      <c r="T5184" s="8" t="n"/>
      <c r="U5184" s="8" t="n"/>
      <c r="V5184" s="8" t="n"/>
      <c r="W5184" s="8" t="n"/>
      <c r="X5184" s="8" t="n"/>
      <c r="Y5184" s="8" t="n"/>
    </row>
    <row r="5185">
      <c r="A5185" s="8" t="n"/>
      <c r="B5185" s="8" t="n"/>
      <c r="C5185" s="8" t="n"/>
      <c r="D5185" s="8" t="n"/>
      <c r="E5185" s="8" t="n"/>
      <c r="F5185" s="8" t="n"/>
      <c r="G5185" s="8" t="n"/>
      <c r="H5185" s="8" t="n"/>
      <c r="I5185" s="8" t="n"/>
      <c r="J5185" s="8" t="n"/>
      <c r="K5185" s="8" t="n"/>
      <c r="L5185" s="8" t="n"/>
      <c r="M5185" s="9">
        <f>B5185+30</f>
        <v/>
      </c>
      <c r="N5185">
        <f>IF(L5185="", "", L5185-B5185)</f>
        <v/>
      </c>
      <c r="O5185">
        <f>IF(L5185="", "Pending", IF(N5185&lt;=30, "Met", "Breached"))</f>
        <v/>
      </c>
      <c r="P5185" s="8" t="n"/>
      <c r="Q5185" s="8" t="n"/>
      <c r="R5185" s="8" t="n"/>
      <c r="S5185" s="8" t="n"/>
      <c r="T5185" s="8" t="n"/>
      <c r="U5185" s="8" t="n"/>
      <c r="V5185" s="8" t="n"/>
      <c r="W5185" s="8" t="n"/>
      <c r="X5185" s="8" t="n"/>
      <c r="Y5185" s="8" t="n"/>
    </row>
    <row r="5186">
      <c r="A5186" s="8" t="n"/>
      <c r="B5186" s="8" t="n"/>
      <c r="C5186" s="8" t="n"/>
      <c r="D5186" s="8" t="n"/>
      <c r="E5186" s="8" t="n"/>
      <c r="F5186" s="8" t="n"/>
      <c r="G5186" s="8" t="n"/>
      <c r="H5186" s="8" t="n"/>
      <c r="I5186" s="8" t="n"/>
      <c r="J5186" s="8" t="n"/>
      <c r="K5186" s="8" t="n"/>
      <c r="L5186" s="8" t="n"/>
      <c r="M5186" s="9">
        <f>B5186+30</f>
        <v/>
      </c>
      <c r="N5186">
        <f>IF(L5186="", "", L5186-B5186)</f>
        <v/>
      </c>
      <c r="O5186">
        <f>IF(L5186="", "Pending", IF(N5186&lt;=30, "Met", "Breached"))</f>
        <v/>
      </c>
      <c r="P5186" s="8" t="n"/>
      <c r="Q5186" s="8" t="n"/>
      <c r="R5186" s="8" t="n"/>
      <c r="S5186" s="8" t="n"/>
      <c r="T5186" s="8" t="n"/>
      <c r="U5186" s="8" t="n"/>
      <c r="V5186" s="8" t="n"/>
      <c r="W5186" s="8" t="n"/>
      <c r="X5186" s="8" t="n"/>
      <c r="Y5186" s="8" t="n"/>
    </row>
    <row r="5187">
      <c r="A5187" s="8" t="n"/>
      <c r="B5187" s="8" t="n"/>
      <c r="C5187" s="8" t="n"/>
      <c r="D5187" s="8" t="n"/>
      <c r="E5187" s="8" t="n"/>
      <c r="F5187" s="8" t="n"/>
      <c r="G5187" s="8" t="n"/>
      <c r="H5187" s="8" t="n"/>
      <c r="I5187" s="8" t="n"/>
      <c r="J5187" s="8" t="n"/>
      <c r="K5187" s="8" t="n"/>
      <c r="L5187" s="8" t="n"/>
      <c r="M5187" s="9">
        <f>B5187+30</f>
        <v/>
      </c>
      <c r="N5187">
        <f>IF(L5187="", "", L5187-B5187)</f>
        <v/>
      </c>
      <c r="O5187">
        <f>IF(L5187="", "Pending", IF(N5187&lt;=30, "Met", "Breached"))</f>
        <v/>
      </c>
      <c r="P5187" s="8" t="n"/>
      <c r="Q5187" s="8" t="n"/>
      <c r="R5187" s="8" t="n"/>
      <c r="S5187" s="8" t="n"/>
      <c r="T5187" s="8" t="n"/>
      <c r="U5187" s="8" t="n"/>
      <c r="V5187" s="8" t="n"/>
      <c r="W5187" s="8" t="n"/>
      <c r="X5187" s="8" t="n"/>
      <c r="Y5187" s="8" t="n"/>
    </row>
    <row r="5188">
      <c r="A5188" s="8" t="n"/>
      <c r="B5188" s="8" t="n"/>
      <c r="C5188" s="8" t="n"/>
      <c r="D5188" s="8" t="n"/>
      <c r="E5188" s="8" t="n"/>
      <c r="F5188" s="8" t="n"/>
      <c r="G5188" s="8" t="n"/>
      <c r="H5188" s="8" t="n"/>
      <c r="I5188" s="8" t="n"/>
      <c r="J5188" s="8" t="n"/>
      <c r="K5188" s="8" t="n"/>
      <c r="L5188" s="8" t="n"/>
      <c r="M5188" s="9">
        <f>B5188+30</f>
        <v/>
      </c>
      <c r="N5188">
        <f>IF(L5188="", "", L5188-B5188)</f>
        <v/>
      </c>
      <c r="O5188">
        <f>IF(L5188="", "Pending", IF(N5188&lt;=30, "Met", "Breached"))</f>
        <v/>
      </c>
      <c r="P5188" s="8" t="n"/>
      <c r="Q5188" s="8" t="n"/>
      <c r="R5188" s="8" t="n"/>
      <c r="S5188" s="8" t="n"/>
      <c r="T5188" s="8" t="n"/>
      <c r="U5188" s="8" t="n"/>
      <c r="V5188" s="8" t="n"/>
      <c r="W5188" s="8" t="n"/>
      <c r="X5188" s="8" t="n"/>
      <c r="Y5188" s="8" t="n"/>
    </row>
    <row r="5189">
      <c r="A5189" s="8" t="n"/>
      <c r="B5189" s="8" t="n"/>
      <c r="C5189" s="8" t="n"/>
      <c r="D5189" s="8" t="n"/>
      <c r="E5189" s="8" t="n"/>
      <c r="F5189" s="8" t="n"/>
      <c r="G5189" s="8" t="n"/>
      <c r="H5189" s="8" t="n"/>
      <c r="I5189" s="8" t="n"/>
      <c r="J5189" s="8" t="n"/>
      <c r="K5189" s="8" t="n"/>
      <c r="L5189" s="8" t="n"/>
      <c r="M5189" s="9">
        <f>B5189+30</f>
        <v/>
      </c>
      <c r="N5189">
        <f>IF(L5189="", "", L5189-B5189)</f>
        <v/>
      </c>
      <c r="O5189">
        <f>IF(L5189="", "Pending", IF(N5189&lt;=30, "Met", "Breached"))</f>
        <v/>
      </c>
      <c r="P5189" s="8" t="n"/>
      <c r="Q5189" s="8" t="n"/>
      <c r="R5189" s="8" t="n"/>
      <c r="S5189" s="8" t="n"/>
      <c r="T5189" s="8" t="n"/>
      <c r="U5189" s="8" t="n"/>
      <c r="V5189" s="8" t="n"/>
      <c r="W5189" s="8" t="n"/>
      <c r="X5189" s="8" t="n"/>
      <c r="Y5189" s="8" t="n"/>
    </row>
    <row r="5190">
      <c r="A5190" s="8" t="n"/>
      <c r="B5190" s="8" t="n"/>
      <c r="C5190" s="8" t="n"/>
      <c r="D5190" s="8" t="n"/>
      <c r="E5190" s="8" t="n"/>
      <c r="F5190" s="8" t="n"/>
      <c r="G5190" s="8" t="n"/>
      <c r="H5190" s="8" t="n"/>
      <c r="I5190" s="8" t="n"/>
      <c r="J5190" s="8" t="n"/>
      <c r="K5190" s="8" t="n"/>
      <c r="L5190" s="8" t="n"/>
      <c r="M5190" s="9">
        <f>B5190+30</f>
        <v/>
      </c>
      <c r="N5190">
        <f>IF(L5190="", "", L5190-B5190)</f>
        <v/>
      </c>
      <c r="O5190">
        <f>IF(L5190="", "Pending", IF(N5190&lt;=30, "Met", "Breached"))</f>
        <v/>
      </c>
      <c r="P5190" s="8" t="n"/>
      <c r="Q5190" s="8" t="n"/>
      <c r="R5190" s="8" t="n"/>
      <c r="S5190" s="8" t="n"/>
      <c r="T5190" s="8" t="n"/>
      <c r="U5190" s="8" t="n"/>
      <c r="V5190" s="8" t="n"/>
      <c r="W5190" s="8" t="n"/>
      <c r="X5190" s="8" t="n"/>
      <c r="Y5190" s="8" t="n"/>
    </row>
    <row r="5191">
      <c r="A5191" s="8" t="n"/>
      <c r="B5191" s="8" t="n"/>
      <c r="C5191" s="8" t="n"/>
      <c r="D5191" s="8" t="n"/>
      <c r="E5191" s="8" t="n"/>
      <c r="F5191" s="8" t="n"/>
      <c r="G5191" s="8" t="n"/>
      <c r="H5191" s="8" t="n"/>
      <c r="I5191" s="8" t="n"/>
      <c r="J5191" s="8" t="n"/>
      <c r="K5191" s="8" t="n"/>
      <c r="L5191" s="8" t="n"/>
      <c r="M5191" s="9">
        <f>B5191+30</f>
        <v/>
      </c>
      <c r="N5191">
        <f>IF(L5191="", "", L5191-B5191)</f>
        <v/>
      </c>
      <c r="O5191">
        <f>IF(L5191="", "Pending", IF(N5191&lt;=30, "Met", "Breached"))</f>
        <v/>
      </c>
      <c r="P5191" s="8" t="n"/>
      <c r="Q5191" s="8" t="n"/>
      <c r="R5191" s="8" t="n"/>
      <c r="S5191" s="8" t="n"/>
      <c r="T5191" s="8" t="n"/>
      <c r="U5191" s="8" t="n"/>
      <c r="V5191" s="8" t="n"/>
      <c r="W5191" s="8" t="n"/>
      <c r="X5191" s="8" t="n"/>
      <c r="Y5191" s="8" t="n"/>
    </row>
    <row r="5192">
      <c r="A5192" s="8" t="n"/>
      <c r="B5192" s="8" t="n"/>
      <c r="C5192" s="8" t="n"/>
      <c r="D5192" s="8" t="n"/>
      <c r="E5192" s="8" t="n"/>
      <c r="F5192" s="8" t="n"/>
      <c r="G5192" s="8" t="n"/>
      <c r="H5192" s="8" t="n"/>
      <c r="I5192" s="8" t="n"/>
      <c r="J5192" s="8" t="n"/>
      <c r="K5192" s="8" t="n"/>
      <c r="L5192" s="8" t="n"/>
      <c r="M5192" s="9">
        <f>B5192+30</f>
        <v/>
      </c>
      <c r="N5192">
        <f>IF(L5192="", "", L5192-B5192)</f>
        <v/>
      </c>
      <c r="O5192">
        <f>IF(L5192="", "Pending", IF(N5192&lt;=30, "Met", "Breached"))</f>
        <v/>
      </c>
      <c r="P5192" s="8" t="n"/>
      <c r="Q5192" s="8" t="n"/>
      <c r="R5192" s="8" t="n"/>
      <c r="S5192" s="8" t="n"/>
      <c r="T5192" s="8" t="n"/>
      <c r="U5192" s="8" t="n"/>
      <c r="V5192" s="8" t="n"/>
      <c r="W5192" s="8" t="n"/>
      <c r="X5192" s="8" t="n"/>
      <c r="Y5192" s="8" t="n"/>
    </row>
    <row r="5193">
      <c r="A5193" s="8" t="n"/>
      <c r="B5193" s="8" t="n"/>
      <c r="C5193" s="8" t="n"/>
      <c r="D5193" s="8" t="n"/>
      <c r="E5193" s="8" t="n"/>
      <c r="F5193" s="8" t="n"/>
      <c r="G5193" s="8" t="n"/>
      <c r="H5193" s="8" t="n"/>
      <c r="I5193" s="8" t="n"/>
      <c r="J5193" s="8" t="n"/>
      <c r="K5193" s="8" t="n"/>
      <c r="L5193" s="8" t="n"/>
      <c r="M5193" s="9">
        <f>B5193+30</f>
        <v/>
      </c>
      <c r="N5193">
        <f>IF(L5193="", "", L5193-B5193)</f>
        <v/>
      </c>
      <c r="O5193">
        <f>IF(L5193="", "Pending", IF(N5193&lt;=30, "Met", "Breached"))</f>
        <v/>
      </c>
      <c r="P5193" s="8" t="n"/>
      <c r="Q5193" s="8" t="n"/>
      <c r="R5193" s="8" t="n"/>
      <c r="S5193" s="8" t="n"/>
      <c r="T5193" s="8" t="n"/>
      <c r="U5193" s="8" t="n"/>
      <c r="V5193" s="8" t="n"/>
      <c r="W5193" s="8" t="n"/>
      <c r="X5193" s="8" t="n"/>
      <c r="Y5193" s="8" t="n"/>
    </row>
    <row r="5194">
      <c r="A5194" s="8" t="n"/>
      <c r="B5194" s="8" t="n"/>
      <c r="C5194" s="8" t="n"/>
      <c r="D5194" s="8" t="n"/>
      <c r="E5194" s="8" t="n"/>
      <c r="F5194" s="8" t="n"/>
      <c r="G5194" s="8" t="n"/>
      <c r="H5194" s="8" t="n"/>
      <c r="I5194" s="8" t="n"/>
      <c r="J5194" s="8" t="n"/>
      <c r="K5194" s="8" t="n"/>
      <c r="L5194" s="8" t="n"/>
      <c r="M5194" s="9">
        <f>B5194+30</f>
        <v/>
      </c>
      <c r="N5194">
        <f>IF(L5194="", "", L5194-B5194)</f>
        <v/>
      </c>
      <c r="O5194">
        <f>IF(L5194="", "Pending", IF(N5194&lt;=30, "Met", "Breached"))</f>
        <v/>
      </c>
      <c r="P5194" s="8" t="n"/>
      <c r="Q5194" s="8" t="n"/>
      <c r="R5194" s="8" t="n"/>
      <c r="S5194" s="8" t="n"/>
      <c r="T5194" s="8" t="n"/>
      <c r="U5194" s="8" t="n"/>
      <c r="V5194" s="8" t="n"/>
      <c r="W5194" s="8" t="n"/>
      <c r="X5194" s="8" t="n"/>
      <c r="Y5194" s="8" t="n"/>
    </row>
    <row r="5195">
      <c r="A5195" s="8" t="n"/>
      <c r="B5195" s="8" t="n"/>
      <c r="C5195" s="8" t="n"/>
      <c r="D5195" s="8" t="n"/>
      <c r="E5195" s="8" t="n"/>
      <c r="F5195" s="8" t="n"/>
      <c r="G5195" s="8" t="n"/>
      <c r="H5195" s="8" t="n"/>
      <c r="I5195" s="8" t="n"/>
      <c r="J5195" s="8" t="n"/>
      <c r="K5195" s="8" t="n"/>
      <c r="L5195" s="8" t="n"/>
      <c r="M5195" s="9">
        <f>B5195+30</f>
        <v/>
      </c>
      <c r="N5195">
        <f>IF(L5195="", "", L5195-B5195)</f>
        <v/>
      </c>
      <c r="O5195">
        <f>IF(L5195="", "Pending", IF(N5195&lt;=30, "Met", "Breached"))</f>
        <v/>
      </c>
      <c r="P5195" s="8" t="n"/>
      <c r="Q5195" s="8" t="n"/>
      <c r="R5195" s="8" t="n"/>
      <c r="S5195" s="8" t="n"/>
      <c r="T5195" s="8" t="n"/>
      <c r="U5195" s="8" t="n"/>
      <c r="V5195" s="8" t="n"/>
      <c r="W5195" s="8" t="n"/>
      <c r="X5195" s="8" t="n"/>
      <c r="Y5195" s="8" t="n"/>
    </row>
    <row r="5196">
      <c r="A5196" s="8" t="n"/>
      <c r="B5196" s="8" t="n"/>
      <c r="C5196" s="8" t="n"/>
      <c r="D5196" s="8" t="n"/>
      <c r="E5196" s="8" t="n"/>
      <c r="F5196" s="8" t="n"/>
      <c r="G5196" s="8" t="n"/>
      <c r="H5196" s="8" t="n"/>
      <c r="I5196" s="8" t="n"/>
      <c r="J5196" s="8" t="n"/>
      <c r="K5196" s="8" t="n"/>
      <c r="L5196" s="8" t="n"/>
      <c r="M5196" s="9">
        <f>B5196+30</f>
        <v/>
      </c>
      <c r="N5196">
        <f>IF(L5196="", "", L5196-B5196)</f>
        <v/>
      </c>
      <c r="O5196">
        <f>IF(L5196="", "Pending", IF(N5196&lt;=30, "Met", "Breached"))</f>
        <v/>
      </c>
      <c r="P5196" s="8" t="n"/>
      <c r="Q5196" s="8" t="n"/>
      <c r="R5196" s="8" t="n"/>
      <c r="S5196" s="8" t="n"/>
      <c r="T5196" s="8" t="n"/>
      <c r="U5196" s="8" t="n"/>
      <c r="V5196" s="8" t="n"/>
      <c r="W5196" s="8" t="n"/>
      <c r="X5196" s="8" t="n"/>
      <c r="Y5196" s="8" t="n"/>
    </row>
    <row r="5197">
      <c r="A5197" s="8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8" t="n"/>
      <c r="K5197" s="8" t="n"/>
      <c r="L5197" s="8" t="n"/>
      <c r="M5197" s="9">
        <f>B5197+30</f>
        <v/>
      </c>
      <c r="N5197">
        <f>IF(L5197="", "", L5197-B5197)</f>
        <v/>
      </c>
      <c r="O5197">
        <f>IF(L5197="", "Pending", IF(N5197&lt;=30, "Met", "Breached"))</f>
        <v/>
      </c>
      <c r="P5197" s="8" t="n"/>
      <c r="Q5197" s="8" t="n"/>
      <c r="R5197" s="8" t="n"/>
      <c r="S5197" s="8" t="n"/>
      <c r="T5197" s="8" t="n"/>
      <c r="U5197" s="8" t="n"/>
      <c r="V5197" s="8" t="n"/>
      <c r="W5197" s="8" t="n"/>
      <c r="X5197" s="8" t="n"/>
      <c r="Y5197" s="8" t="n"/>
    </row>
    <row r="5198">
      <c r="A5198" s="8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8" t="n"/>
      <c r="K5198" s="8" t="n"/>
      <c r="L5198" s="8" t="n"/>
      <c r="M5198" s="9">
        <f>B5198+30</f>
        <v/>
      </c>
      <c r="N5198">
        <f>IF(L5198="", "", L5198-B5198)</f>
        <v/>
      </c>
      <c r="O5198">
        <f>IF(L5198="", "Pending", IF(N5198&lt;=30, "Met", "Breached"))</f>
        <v/>
      </c>
      <c r="P5198" s="8" t="n"/>
      <c r="Q5198" s="8" t="n"/>
      <c r="R5198" s="8" t="n"/>
      <c r="S5198" s="8" t="n"/>
      <c r="T5198" s="8" t="n"/>
      <c r="U5198" s="8" t="n"/>
      <c r="V5198" s="8" t="n"/>
      <c r="W5198" s="8" t="n"/>
      <c r="X5198" s="8" t="n"/>
      <c r="Y5198" s="8" t="n"/>
    </row>
    <row r="5199">
      <c r="A5199" s="8" t="n"/>
      <c r="B5199" s="8" t="n"/>
      <c r="C5199" s="8" t="n"/>
      <c r="D5199" s="8" t="n"/>
      <c r="E5199" s="8" t="n"/>
      <c r="F5199" s="8" t="n"/>
      <c r="G5199" s="8" t="n"/>
      <c r="H5199" s="8" t="n"/>
      <c r="I5199" s="8" t="n"/>
      <c r="J5199" s="8" t="n"/>
      <c r="K5199" s="8" t="n"/>
      <c r="L5199" s="8" t="n"/>
      <c r="M5199" s="9">
        <f>B5199+30</f>
        <v/>
      </c>
      <c r="N5199">
        <f>IF(L5199="", "", L5199-B5199)</f>
        <v/>
      </c>
      <c r="O5199">
        <f>IF(L5199="", "Pending", IF(N5199&lt;=30, "Met", "Breached"))</f>
        <v/>
      </c>
      <c r="P5199" s="8" t="n"/>
      <c r="Q5199" s="8" t="n"/>
      <c r="R5199" s="8" t="n"/>
      <c r="S5199" s="8" t="n"/>
      <c r="T5199" s="8" t="n"/>
      <c r="U5199" s="8" t="n"/>
      <c r="V5199" s="8" t="n"/>
      <c r="W5199" s="8" t="n"/>
      <c r="X5199" s="8" t="n"/>
      <c r="Y5199" s="8" t="n"/>
    </row>
    <row r="5200">
      <c r="A5200" s="8" t="n"/>
      <c r="B5200" s="8" t="n"/>
      <c r="C5200" s="8" t="n"/>
      <c r="D5200" s="8" t="n"/>
      <c r="E5200" s="8" t="n"/>
      <c r="F5200" s="8" t="n"/>
      <c r="G5200" s="8" t="n"/>
      <c r="H5200" s="8" t="n"/>
      <c r="I5200" s="8" t="n"/>
      <c r="J5200" s="8" t="n"/>
      <c r="K5200" s="8" t="n"/>
      <c r="L5200" s="8" t="n"/>
      <c r="M5200" s="9">
        <f>B5200+30</f>
        <v/>
      </c>
      <c r="N5200">
        <f>IF(L5200="", "", L5200-B5200)</f>
        <v/>
      </c>
      <c r="O5200">
        <f>IF(L5200="", "Pending", IF(N5200&lt;=30, "Met", "Breached"))</f>
        <v/>
      </c>
      <c r="P5200" s="8" t="n"/>
      <c r="Q5200" s="8" t="n"/>
      <c r="R5200" s="8" t="n"/>
      <c r="S5200" s="8" t="n"/>
      <c r="T5200" s="8" t="n"/>
      <c r="U5200" s="8" t="n"/>
      <c r="V5200" s="8" t="n"/>
      <c r="W5200" s="8" t="n"/>
      <c r="X5200" s="8" t="n"/>
      <c r="Y5200" s="8" t="n"/>
    </row>
    <row r="5201">
      <c r="A5201" s="8" t="n"/>
      <c r="B5201" s="8" t="n"/>
      <c r="C5201" s="8" t="n"/>
      <c r="D5201" s="8" t="n"/>
      <c r="E5201" s="8" t="n"/>
      <c r="F5201" s="8" t="n"/>
      <c r="G5201" s="8" t="n"/>
      <c r="H5201" s="8" t="n"/>
      <c r="I5201" s="8" t="n"/>
      <c r="J5201" s="8" t="n"/>
      <c r="K5201" s="8" t="n"/>
      <c r="L5201" s="8" t="n"/>
      <c r="M5201" s="9">
        <f>B5201+30</f>
        <v/>
      </c>
      <c r="N5201">
        <f>IF(L5201="", "", L5201-B5201)</f>
        <v/>
      </c>
      <c r="O5201">
        <f>IF(L5201="", "Pending", IF(N5201&lt;=30, "Met", "Breached"))</f>
        <v/>
      </c>
      <c r="P5201" s="8" t="n"/>
      <c r="Q5201" s="8" t="n"/>
      <c r="R5201" s="8" t="n"/>
      <c r="S5201" s="8" t="n"/>
      <c r="T5201" s="8" t="n"/>
      <c r="U5201" s="8" t="n"/>
      <c r="V5201" s="8" t="n"/>
      <c r="W5201" s="8" t="n"/>
      <c r="X5201" s="8" t="n"/>
      <c r="Y5201" s="8" t="n"/>
    </row>
    <row r="5202">
      <c r="A5202" s="8" t="n"/>
      <c r="B5202" s="8" t="n"/>
      <c r="C5202" s="8" t="n"/>
      <c r="D5202" s="8" t="n"/>
      <c r="E5202" s="8" t="n"/>
      <c r="F5202" s="8" t="n"/>
      <c r="G5202" s="8" t="n"/>
      <c r="H5202" s="8" t="n"/>
      <c r="I5202" s="8" t="n"/>
      <c r="J5202" s="8" t="n"/>
      <c r="K5202" s="8" t="n"/>
      <c r="L5202" s="8" t="n"/>
      <c r="M5202" s="9">
        <f>B5202+30</f>
        <v/>
      </c>
      <c r="N5202">
        <f>IF(L5202="", "", L5202-B5202)</f>
        <v/>
      </c>
      <c r="O5202">
        <f>IF(L5202="", "Pending", IF(N5202&lt;=30, "Met", "Breached"))</f>
        <v/>
      </c>
      <c r="P5202" s="8" t="n"/>
      <c r="Q5202" s="8" t="n"/>
      <c r="R5202" s="8" t="n"/>
      <c r="S5202" s="8" t="n"/>
      <c r="T5202" s="8" t="n"/>
      <c r="U5202" s="8" t="n"/>
      <c r="V5202" s="8" t="n"/>
      <c r="W5202" s="8" t="n"/>
      <c r="X5202" s="8" t="n"/>
      <c r="Y5202" s="8" t="n"/>
    </row>
    <row r="5203">
      <c r="A5203" s="8" t="n"/>
      <c r="B5203" s="8" t="n"/>
      <c r="C5203" s="8" t="n"/>
      <c r="D5203" s="8" t="n"/>
      <c r="E5203" s="8" t="n"/>
      <c r="F5203" s="8" t="n"/>
      <c r="G5203" s="8" t="n"/>
      <c r="H5203" s="8" t="n"/>
      <c r="I5203" s="8" t="n"/>
      <c r="J5203" s="8" t="n"/>
      <c r="K5203" s="8" t="n"/>
      <c r="L5203" s="8" t="n"/>
      <c r="M5203" s="9">
        <f>B5203+30</f>
        <v/>
      </c>
      <c r="N5203">
        <f>IF(L5203="", "", L5203-B5203)</f>
        <v/>
      </c>
      <c r="O5203">
        <f>IF(L5203="", "Pending", IF(N5203&lt;=30, "Met", "Breached"))</f>
        <v/>
      </c>
      <c r="P5203" s="8" t="n"/>
      <c r="Q5203" s="8" t="n"/>
      <c r="R5203" s="8" t="n"/>
      <c r="S5203" s="8" t="n"/>
      <c r="T5203" s="8" t="n"/>
      <c r="U5203" s="8" t="n"/>
      <c r="V5203" s="8" t="n"/>
      <c r="W5203" s="8" t="n"/>
      <c r="X5203" s="8" t="n"/>
      <c r="Y5203" s="8" t="n"/>
    </row>
    <row r="5204">
      <c r="A5204" s="8" t="n"/>
      <c r="B5204" s="8" t="n"/>
      <c r="C5204" s="8" t="n"/>
      <c r="D5204" s="8" t="n"/>
      <c r="E5204" s="8" t="n"/>
      <c r="F5204" s="8" t="n"/>
      <c r="G5204" s="8" t="n"/>
      <c r="H5204" s="8" t="n"/>
      <c r="I5204" s="8" t="n"/>
      <c r="J5204" s="8" t="n"/>
      <c r="K5204" s="8" t="n"/>
      <c r="L5204" s="8" t="n"/>
      <c r="M5204" s="9">
        <f>B5204+30</f>
        <v/>
      </c>
      <c r="N5204">
        <f>IF(L5204="", "", L5204-B5204)</f>
        <v/>
      </c>
      <c r="O5204">
        <f>IF(L5204="", "Pending", IF(N5204&lt;=30, "Met", "Breached"))</f>
        <v/>
      </c>
      <c r="P5204" s="8" t="n"/>
      <c r="Q5204" s="8" t="n"/>
      <c r="R5204" s="8" t="n"/>
      <c r="S5204" s="8" t="n"/>
      <c r="T5204" s="8" t="n"/>
      <c r="U5204" s="8" t="n"/>
      <c r="V5204" s="8" t="n"/>
      <c r="W5204" s="8" t="n"/>
      <c r="X5204" s="8" t="n"/>
      <c r="Y5204" s="8" t="n"/>
    </row>
    <row r="5205">
      <c r="A5205" s="8" t="n"/>
      <c r="B5205" s="8" t="n"/>
      <c r="C5205" s="8" t="n"/>
      <c r="D5205" s="8" t="n"/>
      <c r="E5205" s="8" t="n"/>
      <c r="F5205" s="8" t="n"/>
      <c r="G5205" s="8" t="n"/>
      <c r="H5205" s="8" t="n"/>
      <c r="I5205" s="8" t="n"/>
      <c r="J5205" s="8" t="n"/>
      <c r="K5205" s="8" t="n"/>
      <c r="L5205" s="8" t="n"/>
      <c r="M5205" s="9">
        <f>B5205+30</f>
        <v/>
      </c>
      <c r="N5205">
        <f>IF(L5205="", "", L5205-B5205)</f>
        <v/>
      </c>
      <c r="O5205">
        <f>IF(L5205="", "Pending", IF(N5205&lt;=30, "Met", "Breached"))</f>
        <v/>
      </c>
      <c r="P5205" s="8" t="n"/>
      <c r="Q5205" s="8" t="n"/>
      <c r="R5205" s="8" t="n"/>
      <c r="S5205" s="8" t="n"/>
      <c r="T5205" s="8" t="n"/>
      <c r="U5205" s="8" t="n"/>
      <c r="V5205" s="8" t="n"/>
      <c r="W5205" s="8" t="n"/>
      <c r="X5205" s="8" t="n"/>
      <c r="Y5205" s="8" t="n"/>
    </row>
    <row r="5206">
      <c r="A5206" s="8" t="n"/>
      <c r="B5206" s="8" t="n"/>
      <c r="C5206" s="8" t="n"/>
      <c r="D5206" s="8" t="n"/>
      <c r="E5206" s="8" t="n"/>
      <c r="F5206" s="8" t="n"/>
      <c r="G5206" s="8" t="n"/>
      <c r="H5206" s="8" t="n"/>
      <c r="I5206" s="8" t="n"/>
      <c r="J5206" s="8" t="n"/>
      <c r="K5206" s="8" t="n"/>
      <c r="L5206" s="8" t="n"/>
      <c r="M5206" s="9">
        <f>B5206+30</f>
        <v/>
      </c>
      <c r="N5206">
        <f>IF(L5206="", "", L5206-B5206)</f>
        <v/>
      </c>
      <c r="O5206">
        <f>IF(L5206="", "Pending", IF(N5206&lt;=30, "Met", "Breached"))</f>
        <v/>
      </c>
      <c r="P5206" s="8" t="n"/>
      <c r="Q5206" s="8" t="n"/>
      <c r="R5206" s="8" t="n"/>
      <c r="S5206" s="8" t="n"/>
      <c r="T5206" s="8" t="n"/>
      <c r="U5206" s="8" t="n"/>
      <c r="V5206" s="8" t="n"/>
      <c r="W5206" s="8" t="n"/>
      <c r="X5206" s="8" t="n"/>
      <c r="Y5206" s="8" t="n"/>
    </row>
    <row r="5207">
      <c r="A5207" s="8" t="n"/>
      <c r="B5207" s="8" t="n"/>
      <c r="C5207" s="8" t="n"/>
      <c r="D5207" s="8" t="n"/>
      <c r="E5207" s="8" t="n"/>
      <c r="F5207" s="8" t="n"/>
      <c r="G5207" s="8" t="n"/>
      <c r="H5207" s="8" t="n"/>
      <c r="I5207" s="8" t="n"/>
      <c r="J5207" s="8" t="n"/>
      <c r="K5207" s="8" t="n"/>
      <c r="L5207" s="8" t="n"/>
      <c r="M5207" s="9">
        <f>B5207+30</f>
        <v/>
      </c>
      <c r="N5207">
        <f>IF(L5207="", "", L5207-B5207)</f>
        <v/>
      </c>
      <c r="O5207">
        <f>IF(L5207="", "Pending", IF(N5207&lt;=30, "Met", "Breached"))</f>
        <v/>
      </c>
      <c r="P5207" s="8" t="n"/>
      <c r="Q5207" s="8" t="n"/>
      <c r="R5207" s="8" t="n"/>
      <c r="S5207" s="8" t="n"/>
      <c r="T5207" s="8" t="n"/>
      <c r="U5207" s="8" t="n"/>
      <c r="V5207" s="8" t="n"/>
      <c r="W5207" s="8" t="n"/>
      <c r="X5207" s="8" t="n"/>
      <c r="Y5207" s="8" t="n"/>
    </row>
    <row r="5208">
      <c r="A5208" s="8" t="n"/>
      <c r="B5208" s="8" t="n"/>
      <c r="C5208" s="8" t="n"/>
      <c r="D5208" s="8" t="n"/>
      <c r="E5208" s="8" t="n"/>
      <c r="F5208" s="8" t="n"/>
      <c r="G5208" s="8" t="n"/>
      <c r="H5208" s="8" t="n"/>
      <c r="I5208" s="8" t="n"/>
      <c r="J5208" s="8" t="n"/>
      <c r="K5208" s="8" t="n"/>
      <c r="L5208" s="8" t="n"/>
      <c r="M5208" s="9">
        <f>B5208+30</f>
        <v/>
      </c>
      <c r="N5208">
        <f>IF(L5208="", "", L5208-B5208)</f>
        <v/>
      </c>
      <c r="O5208">
        <f>IF(L5208="", "Pending", IF(N5208&lt;=30, "Met", "Breached"))</f>
        <v/>
      </c>
      <c r="P5208" s="8" t="n"/>
      <c r="Q5208" s="8" t="n"/>
      <c r="R5208" s="8" t="n"/>
      <c r="S5208" s="8" t="n"/>
      <c r="T5208" s="8" t="n"/>
      <c r="U5208" s="8" t="n"/>
      <c r="V5208" s="8" t="n"/>
      <c r="W5208" s="8" t="n"/>
      <c r="X5208" s="8" t="n"/>
      <c r="Y5208" s="8" t="n"/>
    </row>
    <row r="5209">
      <c r="A5209" s="8" t="n"/>
      <c r="B5209" s="8" t="n"/>
      <c r="C5209" s="8" t="n"/>
      <c r="D5209" s="8" t="n"/>
      <c r="E5209" s="8" t="n"/>
      <c r="F5209" s="8" t="n"/>
      <c r="G5209" s="8" t="n"/>
      <c r="H5209" s="8" t="n"/>
      <c r="I5209" s="8" t="n"/>
      <c r="J5209" s="8" t="n"/>
      <c r="K5209" s="8" t="n"/>
      <c r="L5209" s="8" t="n"/>
      <c r="M5209" s="9">
        <f>B5209+30</f>
        <v/>
      </c>
      <c r="N5209">
        <f>IF(L5209="", "", L5209-B5209)</f>
        <v/>
      </c>
      <c r="O5209">
        <f>IF(L5209="", "Pending", IF(N5209&lt;=30, "Met", "Breached"))</f>
        <v/>
      </c>
      <c r="P5209" s="8" t="n"/>
      <c r="Q5209" s="8" t="n"/>
      <c r="R5209" s="8" t="n"/>
      <c r="S5209" s="8" t="n"/>
      <c r="T5209" s="8" t="n"/>
      <c r="U5209" s="8" t="n"/>
      <c r="V5209" s="8" t="n"/>
      <c r="W5209" s="8" t="n"/>
      <c r="X5209" s="8" t="n"/>
      <c r="Y5209" s="8" t="n"/>
    </row>
    <row r="5210">
      <c r="A5210" s="8" t="n"/>
      <c r="B5210" s="8" t="n"/>
      <c r="C5210" s="8" t="n"/>
      <c r="D5210" s="8" t="n"/>
      <c r="E5210" s="8" t="n"/>
      <c r="F5210" s="8" t="n"/>
      <c r="G5210" s="8" t="n"/>
      <c r="H5210" s="8" t="n"/>
      <c r="I5210" s="8" t="n"/>
      <c r="J5210" s="8" t="n"/>
      <c r="K5210" s="8" t="n"/>
      <c r="L5210" s="8" t="n"/>
      <c r="M5210" s="9">
        <f>B5210+30</f>
        <v/>
      </c>
      <c r="N5210">
        <f>IF(L5210="", "", L5210-B5210)</f>
        <v/>
      </c>
      <c r="O5210">
        <f>IF(L5210="", "Pending", IF(N5210&lt;=30, "Met", "Breached"))</f>
        <v/>
      </c>
      <c r="P5210" s="8" t="n"/>
      <c r="Q5210" s="8" t="n"/>
      <c r="R5210" s="8" t="n"/>
      <c r="S5210" s="8" t="n"/>
      <c r="T5210" s="8" t="n"/>
      <c r="U5210" s="8" t="n"/>
      <c r="V5210" s="8" t="n"/>
      <c r="W5210" s="8" t="n"/>
      <c r="X5210" s="8" t="n"/>
      <c r="Y5210" s="8" t="n"/>
    </row>
    <row r="5211">
      <c r="A5211" s="8" t="n"/>
      <c r="B5211" s="8" t="n"/>
      <c r="C5211" s="8" t="n"/>
      <c r="D5211" s="8" t="n"/>
      <c r="E5211" s="8" t="n"/>
      <c r="F5211" s="8" t="n"/>
      <c r="G5211" s="8" t="n"/>
      <c r="H5211" s="8" t="n"/>
      <c r="I5211" s="8" t="n"/>
      <c r="J5211" s="8" t="n"/>
      <c r="K5211" s="8" t="n"/>
      <c r="L5211" s="8" t="n"/>
      <c r="M5211" s="9">
        <f>B5211+30</f>
        <v/>
      </c>
      <c r="N5211">
        <f>IF(L5211="", "", L5211-B5211)</f>
        <v/>
      </c>
      <c r="O5211">
        <f>IF(L5211="", "Pending", IF(N5211&lt;=30, "Met", "Breached"))</f>
        <v/>
      </c>
      <c r="P5211" s="8" t="n"/>
      <c r="Q5211" s="8" t="n"/>
      <c r="R5211" s="8" t="n"/>
      <c r="S5211" s="8" t="n"/>
      <c r="T5211" s="8" t="n"/>
      <c r="U5211" s="8" t="n"/>
      <c r="V5211" s="8" t="n"/>
      <c r="W5211" s="8" t="n"/>
      <c r="X5211" s="8" t="n"/>
      <c r="Y5211" s="8" t="n"/>
    </row>
    <row r="5212">
      <c r="A5212" s="8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8" t="n"/>
      <c r="K5212" s="8" t="n"/>
      <c r="L5212" s="8" t="n"/>
      <c r="M5212" s="9">
        <f>B5212+30</f>
        <v/>
      </c>
      <c r="N5212">
        <f>IF(L5212="", "", L5212-B5212)</f>
        <v/>
      </c>
      <c r="O5212">
        <f>IF(L5212="", "Pending", IF(N5212&lt;=30, "Met", "Breached"))</f>
        <v/>
      </c>
      <c r="P5212" s="8" t="n"/>
      <c r="Q5212" s="8" t="n"/>
      <c r="R5212" s="8" t="n"/>
      <c r="S5212" s="8" t="n"/>
      <c r="T5212" s="8" t="n"/>
      <c r="U5212" s="8" t="n"/>
      <c r="V5212" s="8" t="n"/>
      <c r="W5212" s="8" t="n"/>
      <c r="X5212" s="8" t="n"/>
      <c r="Y5212" s="8" t="n"/>
    </row>
    <row r="5213">
      <c r="A5213" s="8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8" t="n"/>
      <c r="K5213" s="8" t="n"/>
      <c r="L5213" s="8" t="n"/>
      <c r="M5213" s="9">
        <f>B5213+30</f>
        <v/>
      </c>
      <c r="N5213">
        <f>IF(L5213="", "", L5213-B5213)</f>
        <v/>
      </c>
      <c r="O5213">
        <f>IF(L5213="", "Pending", IF(N5213&lt;=30, "Met", "Breached"))</f>
        <v/>
      </c>
      <c r="P5213" s="8" t="n"/>
      <c r="Q5213" s="8" t="n"/>
      <c r="R5213" s="8" t="n"/>
      <c r="S5213" s="8" t="n"/>
      <c r="T5213" s="8" t="n"/>
      <c r="U5213" s="8" t="n"/>
      <c r="V5213" s="8" t="n"/>
      <c r="W5213" s="8" t="n"/>
      <c r="X5213" s="8" t="n"/>
      <c r="Y5213" s="8" t="n"/>
    </row>
    <row r="5214">
      <c r="A5214" s="8" t="n"/>
      <c r="B5214" s="8" t="n"/>
      <c r="C5214" s="8" t="n"/>
      <c r="D5214" s="8" t="n"/>
      <c r="E5214" s="8" t="n"/>
      <c r="F5214" s="8" t="n"/>
      <c r="G5214" s="8" t="n"/>
      <c r="H5214" s="8" t="n"/>
      <c r="I5214" s="8" t="n"/>
      <c r="J5214" s="8" t="n"/>
      <c r="K5214" s="8" t="n"/>
      <c r="L5214" s="8" t="n"/>
      <c r="M5214" s="9">
        <f>B5214+30</f>
        <v/>
      </c>
      <c r="N5214">
        <f>IF(L5214="", "", L5214-B5214)</f>
        <v/>
      </c>
      <c r="O5214">
        <f>IF(L5214="", "Pending", IF(N5214&lt;=30, "Met", "Breached"))</f>
        <v/>
      </c>
      <c r="P5214" s="8" t="n"/>
      <c r="Q5214" s="8" t="n"/>
      <c r="R5214" s="8" t="n"/>
      <c r="S5214" s="8" t="n"/>
      <c r="T5214" s="8" t="n"/>
      <c r="U5214" s="8" t="n"/>
      <c r="V5214" s="8" t="n"/>
      <c r="W5214" s="8" t="n"/>
      <c r="X5214" s="8" t="n"/>
      <c r="Y5214" s="8" t="n"/>
    </row>
    <row r="5215">
      <c r="A5215" s="8" t="n"/>
      <c r="B5215" s="8" t="n"/>
      <c r="C5215" s="8" t="n"/>
      <c r="D5215" s="8" t="n"/>
      <c r="E5215" s="8" t="n"/>
      <c r="F5215" s="8" t="n"/>
      <c r="G5215" s="8" t="n"/>
      <c r="H5215" s="8" t="n"/>
      <c r="I5215" s="8" t="n"/>
      <c r="J5215" s="8" t="n"/>
      <c r="K5215" s="8" t="n"/>
      <c r="L5215" s="8" t="n"/>
      <c r="M5215" s="9">
        <f>B5215+30</f>
        <v/>
      </c>
      <c r="N5215">
        <f>IF(L5215="", "", L5215-B5215)</f>
        <v/>
      </c>
      <c r="O5215">
        <f>IF(L5215="", "Pending", IF(N5215&lt;=30, "Met", "Breached"))</f>
        <v/>
      </c>
      <c r="P5215" s="8" t="n"/>
      <c r="Q5215" s="8" t="n"/>
      <c r="R5215" s="8" t="n"/>
      <c r="S5215" s="8" t="n"/>
      <c r="T5215" s="8" t="n"/>
      <c r="U5215" s="8" t="n"/>
      <c r="V5215" s="8" t="n"/>
      <c r="W5215" s="8" t="n"/>
      <c r="X5215" s="8" t="n"/>
      <c r="Y5215" s="8" t="n"/>
    </row>
    <row r="5216">
      <c r="A5216" s="8" t="n"/>
      <c r="B5216" s="8" t="n"/>
      <c r="C5216" s="8" t="n"/>
      <c r="D5216" s="8" t="n"/>
      <c r="E5216" s="8" t="n"/>
      <c r="F5216" s="8" t="n"/>
      <c r="G5216" s="8" t="n"/>
      <c r="H5216" s="8" t="n"/>
      <c r="I5216" s="8" t="n"/>
      <c r="J5216" s="8" t="n"/>
      <c r="K5216" s="8" t="n"/>
      <c r="L5216" s="8" t="n"/>
      <c r="M5216" s="9">
        <f>B5216+30</f>
        <v/>
      </c>
      <c r="N5216">
        <f>IF(L5216="", "", L5216-B5216)</f>
        <v/>
      </c>
      <c r="O5216">
        <f>IF(L5216="", "Pending", IF(N5216&lt;=30, "Met", "Breached"))</f>
        <v/>
      </c>
      <c r="P5216" s="8" t="n"/>
      <c r="Q5216" s="8" t="n"/>
      <c r="R5216" s="8" t="n"/>
      <c r="S5216" s="8" t="n"/>
      <c r="T5216" s="8" t="n"/>
      <c r="U5216" s="8" t="n"/>
      <c r="V5216" s="8" t="n"/>
      <c r="W5216" s="8" t="n"/>
      <c r="X5216" s="8" t="n"/>
      <c r="Y5216" s="8" t="n"/>
    </row>
    <row r="5217">
      <c r="A5217" s="8" t="n"/>
      <c r="B5217" s="8" t="n"/>
      <c r="C5217" s="8" t="n"/>
      <c r="D5217" s="8" t="n"/>
      <c r="E5217" s="8" t="n"/>
      <c r="F5217" s="8" t="n"/>
      <c r="G5217" s="8" t="n"/>
      <c r="H5217" s="8" t="n"/>
      <c r="I5217" s="8" t="n"/>
      <c r="J5217" s="8" t="n"/>
      <c r="K5217" s="8" t="n"/>
      <c r="L5217" s="8" t="n"/>
      <c r="M5217" s="9">
        <f>B5217+30</f>
        <v/>
      </c>
      <c r="N5217">
        <f>IF(L5217="", "", L5217-B5217)</f>
        <v/>
      </c>
      <c r="O5217">
        <f>IF(L5217="", "Pending", IF(N5217&lt;=30, "Met", "Breached"))</f>
        <v/>
      </c>
      <c r="P5217" s="8" t="n"/>
      <c r="Q5217" s="8" t="n"/>
      <c r="R5217" s="8" t="n"/>
      <c r="S5217" s="8" t="n"/>
      <c r="T5217" s="8" t="n"/>
      <c r="U5217" s="8" t="n"/>
      <c r="V5217" s="8" t="n"/>
      <c r="W5217" s="8" t="n"/>
      <c r="X5217" s="8" t="n"/>
      <c r="Y5217" s="8" t="n"/>
    </row>
    <row r="5218">
      <c r="A5218" s="8" t="n"/>
      <c r="B5218" s="8" t="n"/>
      <c r="C5218" s="8" t="n"/>
      <c r="D5218" s="8" t="n"/>
      <c r="E5218" s="8" t="n"/>
      <c r="F5218" s="8" t="n"/>
      <c r="G5218" s="8" t="n"/>
      <c r="H5218" s="8" t="n"/>
      <c r="I5218" s="8" t="n"/>
      <c r="J5218" s="8" t="n"/>
      <c r="K5218" s="8" t="n"/>
      <c r="L5218" s="8" t="n"/>
      <c r="M5218" s="9">
        <f>B5218+30</f>
        <v/>
      </c>
      <c r="N5218">
        <f>IF(L5218="", "", L5218-B5218)</f>
        <v/>
      </c>
      <c r="O5218">
        <f>IF(L5218="", "Pending", IF(N5218&lt;=30, "Met", "Breached"))</f>
        <v/>
      </c>
      <c r="P5218" s="8" t="n"/>
      <c r="Q5218" s="8" t="n"/>
      <c r="R5218" s="8" t="n"/>
      <c r="S5218" s="8" t="n"/>
      <c r="T5218" s="8" t="n"/>
      <c r="U5218" s="8" t="n"/>
      <c r="V5218" s="8" t="n"/>
      <c r="W5218" s="8" t="n"/>
      <c r="X5218" s="8" t="n"/>
      <c r="Y5218" s="8" t="n"/>
    </row>
    <row r="5219">
      <c r="A5219" s="8" t="n"/>
      <c r="B5219" s="8" t="n"/>
      <c r="C5219" s="8" t="n"/>
      <c r="D5219" s="8" t="n"/>
      <c r="E5219" s="8" t="n"/>
      <c r="F5219" s="8" t="n"/>
      <c r="G5219" s="8" t="n"/>
      <c r="H5219" s="8" t="n"/>
      <c r="I5219" s="8" t="n"/>
      <c r="J5219" s="8" t="n"/>
      <c r="K5219" s="8" t="n"/>
      <c r="L5219" s="8" t="n"/>
      <c r="M5219" s="9">
        <f>B5219+30</f>
        <v/>
      </c>
      <c r="N5219">
        <f>IF(L5219="", "", L5219-B5219)</f>
        <v/>
      </c>
      <c r="O5219">
        <f>IF(L5219="", "Pending", IF(N5219&lt;=30, "Met", "Breached"))</f>
        <v/>
      </c>
      <c r="P5219" s="8" t="n"/>
      <c r="Q5219" s="8" t="n"/>
      <c r="R5219" s="8" t="n"/>
      <c r="S5219" s="8" t="n"/>
      <c r="T5219" s="8" t="n"/>
      <c r="U5219" s="8" t="n"/>
      <c r="V5219" s="8" t="n"/>
      <c r="W5219" s="8" t="n"/>
      <c r="X5219" s="8" t="n"/>
      <c r="Y5219" s="8" t="n"/>
    </row>
    <row r="5220">
      <c r="A5220" s="8" t="n"/>
      <c r="B5220" s="8" t="n"/>
      <c r="C5220" s="8" t="n"/>
      <c r="D5220" s="8" t="n"/>
      <c r="E5220" s="8" t="n"/>
      <c r="F5220" s="8" t="n"/>
      <c r="G5220" s="8" t="n"/>
      <c r="H5220" s="8" t="n"/>
      <c r="I5220" s="8" t="n"/>
      <c r="J5220" s="8" t="n"/>
      <c r="K5220" s="8" t="n"/>
      <c r="L5220" s="8" t="n"/>
      <c r="M5220" s="9">
        <f>B5220+30</f>
        <v/>
      </c>
      <c r="N5220">
        <f>IF(L5220="", "", L5220-B5220)</f>
        <v/>
      </c>
      <c r="O5220">
        <f>IF(L5220="", "Pending", IF(N5220&lt;=30, "Met", "Breached"))</f>
        <v/>
      </c>
      <c r="P5220" s="8" t="n"/>
      <c r="Q5220" s="8" t="n"/>
      <c r="R5220" s="8" t="n"/>
      <c r="S5220" s="8" t="n"/>
      <c r="T5220" s="8" t="n"/>
      <c r="U5220" s="8" t="n"/>
      <c r="V5220" s="8" t="n"/>
      <c r="W5220" s="8" t="n"/>
      <c r="X5220" s="8" t="n"/>
      <c r="Y5220" s="8" t="n"/>
    </row>
    <row r="5221">
      <c r="A5221" s="8" t="n"/>
      <c r="B5221" s="8" t="n"/>
      <c r="C5221" s="8" t="n"/>
      <c r="D5221" s="8" t="n"/>
      <c r="E5221" s="8" t="n"/>
      <c r="F5221" s="8" t="n"/>
      <c r="G5221" s="8" t="n"/>
      <c r="H5221" s="8" t="n"/>
      <c r="I5221" s="8" t="n"/>
      <c r="J5221" s="8" t="n"/>
      <c r="K5221" s="8" t="n"/>
      <c r="L5221" s="8" t="n"/>
      <c r="M5221" s="9">
        <f>B5221+30</f>
        <v/>
      </c>
      <c r="N5221">
        <f>IF(L5221="", "", L5221-B5221)</f>
        <v/>
      </c>
      <c r="O5221">
        <f>IF(L5221="", "Pending", IF(N5221&lt;=30, "Met", "Breached"))</f>
        <v/>
      </c>
      <c r="P5221" s="8" t="n"/>
      <c r="Q5221" s="8" t="n"/>
      <c r="R5221" s="8" t="n"/>
      <c r="S5221" s="8" t="n"/>
      <c r="T5221" s="8" t="n"/>
      <c r="U5221" s="8" t="n"/>
      <c r="V5221" s="8" t="n"/>
      <c r="W5221" s="8" t="n"/>
      <c r="X5221" s="8" t="n"/>
      <c r="Y5221" s="8" t="n"/>
    </row>
    <row r="5222">
      <c r="A5222" s="8" t="n"/>
      <c r="B5222" s="8" t="n"/>
      <c r="C5222" s="8" t="n"/>
      <c r="D5222" s="8" t="n"/>
      <c r="E5222" s="8" t="n"/>
      <c r="F5222" s="8" t="n"/>
      <c r="G5222" s="8" t="n"/>
      <c r="H5222" s="8" t="n"/>
      <c r="I5222" s="8" t="n"/>
      <c r="J5222" s="8" t="n"/>
      <c r="K5222" s="8" t="n"/>
      <c r="L5222" s="8" t="n"/>
      <c r="M5222" s="9">
        <f>B5222+30</f>
        <v/>
      </c>
      <c r="N5222">
        <f>IF(L5222="", "", L5222-B5222)</f>
        <v/>
      </c>
      <c r="O5222">
        <f>IF(L5222="", "Pending", IF(N5222&lt;=30, "Met", "Breached"))</f>
        <v/>
      </c>
      <c r="P5222" s="8" t="n"/>
      <c r="Q5222" s="8" t="n"/>
      <c r="R5222" s="8" t="n"/>
      <c r="S5222" s="8" t="n"/>
      <c r="T5222" s="8" t="n"/>
      <c r="U5222" s="8" t="n"/>
      <c r="V5222" s="8" t="n"/>
      <c r="W5222" s="8" t="n"/>
      <c r="X5222" s="8" t="n"/>
      <c r="Y5222" s="8" t="n"/>
    </row>
    <row r="5223">
      <c r="A5223" s="8" t="n"/>
      <c r="B5223" s="8" t="n"/>
      <c r="C5223" s="8" t="n"/>
      <c r="D5223" s="8" t="n"/>
      <c r="E5223" s="8" t="n"/>
      <c r="F5223" s="8" t="n"/>
      <c r="G5223" s="8" t="n"/>
      <c r="H5223" s="8" t="n"/>
      <c r="I5223" s="8" t="n"/>
      <c r="J5223" s="8" t="n"/>
      <c r="K5223" s="8" t="n"/>
      <c r="L5223" s="8" t="n"/>
      <c r="M5223" s="9">
        <f>B5223+30</f>
        <v/>
      </c>
      <c r="N5223">
        <f>IF(L5223="", "", L5223-B5223)</f>
        <v/>
      </c>
      <c r="O5223">
        <f>IF(L5223="", "Pending", IF(N5223&lt;=30, "Met", "Breached"))</f>
        <v/>
      </c>
      <c r="P5223" s="8" t="n"/>
      <c r="Q5223" s="8" t="n"/>
      <c r="R5223" s="8" t="n"/>
      <c r="S5223" s="8" t="n"/>
      <c r="T5223" s="8" t="n"/>
      <c r="U5223" s="8" t="n"/>
      <c r="V5223" s="8" t="n"/>
      <c r="W5223" s="8" t="n"/>
      <c r="X5223" s="8" t="n"/>
      <c r="Y5223" s="8" t="n"/>
    </row>
    <row r="5224">
      <c r="A5224" s="8" t="n"/>
      <c r="B5224" s="8" t="n"/>
      <c r="C5224" s="8" t="n"/>
      <c r="D5224" s="8" t="n"/>
      <c r="E5224" s="8" t="n"/>
      <c r="F5224" s="8" t="n"/>
      <c r="G5224" s="8" t="n"/>
      <c r="H5224" s="8" t="n"/>
      <c r="I5224" s="8" t="n"/>
      <c r="J5224" s="8" t="n"/>
      <c r="K5224" s="8" t="n"/>
      <c r="L5224" s="8" t="n"/>
      <c r="M5224" s="9">
        <f>B5224+30</f>
        <v/>
      </c>
      <c r="N5224">
        <f>IF(L5224="", "", L5224-B5224)</f>
        <v/>
      </c>
      <c r="O5224">
        <f>IF(L5224="", "Pending", IF(N5224&lt;=30, "Met", "Breached"))</f>
        <v/>
      </c>
      <c r="P5224" s="8" t="n"/>
      <c r="Q5224" s="8" t="n"/>
      <c r="R5224" s="8" t="n"/>
      <c r="S5224" s="8" t="n"/>
      <c r="T5224" s="8" t="n"/>
      <c r="U5224" s="8" t="n"/>
      <c r="V5224" s="8" t="n"/>
      <c r="W5224" s="8" t="n"/>
      <c r="X5224" s="8" t="n"/>
      <c r="Y5224" s="8" t="n"/>
    </row>
    <row r="5225">
      <c r="A5225" s="8" t="n"/>
      <c r="B5225" s="8" t="n"/>
      <c r="C5225" s="8" t="n"/>
      <c r="D5225" s="8" t="n"/>
      <c r="E5225" s="8" t="n"/>
      <c r="F5225" s="8" t="n"/>
      <c r="G5225" s="8" t="n"/>
      <c r="H5225" s="8" t="n"/>
      <c r="I5225" s="8" t="n"/>
      <c r="J5225" s="8" t="n"/>
      <c r="K5225" s="8" t="n"/>
      <c r="L5225" s="8" t="n"/>
      <c r="M5225" s="9">
        <f>B5225+30</f>
        <v/>
      </c>
      <c r="N5225">
        <f>IF(L5225="", "", L5225-B5225)</f>
        <v/>
      </c>
      <c r="O5225">
        <f>IF(L5225="", "Pending", IF(N5225&lt;=30, "Met", "Breached"))</f>
        <v/>
      </c>
      <c r="P5225" s="8" t="n"/>
      <c r="Q5225" s="8" t="n"/>
      <c r="R5225" s="8" t="n"/>
      <c r="S5225" s="8" t="n"/>
      <c r="T5225" s="8" t="n"/>
      <c r="U5225" s="8" t="n"/>
      <c r="V5225" s="8" t="n"/>
      <c r="W5225" s="8" t="n"/>
      <c r="X5225" s="8" t="n"/>
      <c r="Y5225" s="8" t="n"/>
    </row>
    <row r="5226">
      <c r="A5226" s="8" t="n"/>
      <c r="B5226" s="8" t="n"/>
      <c r="C5226" s="8" t="n"/>
      <c r="D5226" s="8" t="n"/>
      <c r="E5226" s="8" t="n"/>
      <c r="F5226" s="8" t="n"/>
      <c r="G5226" s="8" t="n"/>
      <c r="H5226" s="8" t="n"/>
      <c r="I5226" s="8" t="n"/>
      <c r="J5226" s="8" t="n"/>
      <c r="K5226" s="8" t="n"/>
      <c r="L5226" s="8" t="n"/>
      <c r="M5226" s="9">
        <f>B5226+30</f>
        <v/>
      </c>
      <c r="N5226">
        <f>IF(L5226="", "", L5226-B5226)</f>
        <v/>
      </c>
      <c r="O5226">
        <f>IF(L5226="", "Pending", IF(N5226&lt;=30, "Met", "Breached"))</f>
        <v/>
      </c>
      <c r="P5226" s="8" t="n"/>
      <c r="Q5226" s="8" t="n"/>
      <c r="R5226" s="8" t="n"/>
      <c r="S5226" s="8" t="n"/>
      <c r="T5226" s="8" t="n"/>
      <c r="U5226" s="8" t="n"/>
      <c r="V5226" s="8" t="n"/>
      <c r="W5226" s="8" t="n"/>
      <c r="X5226" s="8" t="n"/>
      <c r="Y5226" s="8" t="n"/>
    </row>
    <row r="5227">
      <c r="A5227" s="8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8" t="n"/>
      <c r="K5227" s="8" t="n"/>
      <c r="L5227" s="8" t="n"/>
      <c r="M5227" s="9">
        <f>B5227+30</f>
        <v/>
      </c>
      <c r="N5227">
        <f>IF(L5227="", "", L5227-B5227)</f>
        <v/>
      </c>
      <c r="O5227">
        <f>IF(L5227="", "Pending", IF(N5227&lt;=30, "Met", "Breached"))</f>
        <v/>
      </c>
      <c r="P5227" s="8" t="n"/>
      <c r="Q5227" s="8" t="n"/>
      <c r="R5227" s="8" t="n"/>
      <c r="S5227" s="8" t="n"/>
      <c r="T5227" s="8" t="n"/>
      <c r="U5227" s="8" t="n"/>
      <c r="V5227" s="8" t="n"/>
      <c r="W5227" s="8" t="n"/>
      <c r="X5227" s="8" t="n"/>
      <c r="Y5227" s="8" t="n"/>
    </row>
    <row r="5228">
      <c r="A5228" s="8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8" t="n"/>
      <c r="K5228" s="8" t="n"/>
      <c r="L5228" s="8" t="n"/>
      <c r="M5228" s="9">
        <f>B5228+30</f>
        <v/>
      </c>
      <c r="N5228">
        <f>IF(L5228="", "", L5228-B5228)</f>
        <v/>
      </c>
      <c r="O5228">
        <f>IF(L5228="", "Pending", IF(N5228&lt;=30, "Met", "Breached"))</f>
        <v/>
      </c>
      <c r="P5228" s="8" t="n"/>
      <c r="Q5228" s="8" t="n"/>
      <c r="R5228" s="8" t="n"/>
      <c r="S5228" s="8" t="n"/>
      <c r="T5228" s="8" t="n"/>
      <c r="U5228" s="8" t="n"/>
      <c r="V5228" s="8" t="n"/>
      <c r="W5228" s="8" t="n"/>
      <c r="X5228" s="8" t="n"/>
      <c r="Y5228" s="8" t="n"/>
    </row>
    <row r="5229">
      <c r="A5229" s="8" t="n"/>
      <c r="B5229" s="8" t="n"/>
      <c r="C5229" s="8" t="n"/>
      <c r="D5229" s="8" t="n"/>
      <c r="E5229" s="8" t="n"/>
      <c r="F5229" s="8" t="n"/>
      <c r="G5229" s="8" t="n"/>
      <c r="H5229" s="8" t="n"/>
      <c r="I5229" s="8" t="n"/>
      <c r="J5229" s="8" t="n"/>
      <c r="K5229" s="8" t="n"/>
      <c r="L5229" s="8" t="n"/>
      <c r="M5229" s="9">
        <f>B5229+30</f>
        <v/>
      </c>
      <c r="N5229">
        <f>IF(L5229="", "", L5229-B5229)</f>
        <v/>
      </c>
      <c r="O5229">
        <f>IF(L5229="", "Pending", IF(N5229&lt;=30, "Met", "Breached"))</f>
        <v/>
      </c>
      <c r="P5229" s="8" t="n"/>
      <c r="Q5229" s="8" t="n"/>
      <c r="R5229" s="8" t="n"/>
      <c r="S5229" s="8" t="n"/>
      <c r="T5229" s="8" t="n"/>
      <c r="U5229" s="8" t="n"/>
      <c r="V5229" s="8" t="n"/>
      <c r="W5229" s="8" t="n"/>
      <c r="X5229" s="8" t="n"/>
      <c r="Y5229" s="8" t="n"/>
    </row>
    <row r="5230">
      <c r="A5230" s="8" t="n"/>
      <c r="B5230" s="8" t="n"/>
      <c r="C5230" s="8" t="n"/>
      <c r="D5230" s="8" t="n"/>
      <c r="E5230" s="8" t="n"/>
      <c r="F5230" s="8" t="n"/>
      <c r="G5230" s="8" t="n"/>
      <c r="H5230" s="8" t="n"/>
      <c r="I5230" s="8" t="n"/>
      <c r="J5230" s="8" t="n"/>
      <c r="K5230" s="8" t="n"/>
      <c r="L5230" s="8" t="n"/>
      <c r="M5230" s="9">
        <f>B5230+30</f>
        <v/>
      </c>
      <c r="N5230">
        <f>IF(L5230="", "", L5230-B5230)</f>
        <v/>
      </c>
      <c r="O5230">
        <f>IF(L5230="", "Pending", IF(N5230&lt;=30, "Met", "Breached"))</f>
        <v/>
      </c>
      <c r="P5230" s="8" t="n"/>
      <c r="Q5230" s="8" t="n"/>
      <c r="R5230" s="8" t="n"/>
      <c r="S5230" s="8" t="n"/>
      <c r="T5230" s="8" t="n"/>
      <c r="U5230" s="8" t="n"/>
      <c r="V5230" s="8" t="n"/>
      <c r="W5230" s="8" t="n"/>
      <c r="X5230" s="8" t="n"/>
      <c r="Y5230" s="8" t="n"/>
    </row>
    <row r="5231">
      <c r="A5231" s="8" t="n"/>
      <c r="B5231" s="8" t="n"/>
      <c r="C5231" s="8" t="n"/>
      <c r="D5231" s="8" t="n"/>
      <c r="E5231" s="8" t="n"/>
      <c r="F5231" s="8" t="n"/>
      <c r="G5231" s="8" t="n"/>
      <c r="H5231" s="8" t="n"/>
      <c r="I5231" s="8" t="n"/>
      <c r="J5231" s="8" t="n"/>
      <c r="K5231" s="8" t="n"/>
      <c r="L5231" s="8" t="n"/>
      <c r="M5231" s="9">
        <f>B5231+30</f>
        <v/>
      </c>
      <c r="N5231">
        <f>IF(L5231="", "", L5231-B5231)</f>
        <v/>
      </c>
      <c r="O5231">
        <f>IF(L5231="", "Pending", IF(N5231&lt;=30, "Met", "Breached"))</f>
        <v/>
      </c>
      <c r="P5231" s="8" t="n"/>
      <c r="Q5231" s="8" t="n"/>
      <c r="R5231" s="8" t="n"/>
      <c r="S5231" s="8" t="n"/>
      <c r="T5231" s="8" t="n"/>
      <c r="U5231" s="8" t="n"/>
      <c r="V5231" s="8" t="n"/>
      <c r="W5231" s="8" t="n"/>
      <c r="X5231" s="8" t="n"/>
      <c r="Y5231" s="8" t="n"/>
    </row>
    <row r="5232">
      <c r="A5232" s="8" t="n"/>
      <c r="B5232" s="8" t="n"/>
      <c r="C5232" s="8" t="n"/>
      <c r="D5232" s="8" t="n"/>
      <c r="E5232" s="8" t="n"/>
      <c r="F5232" s="8" t="n"/>
      <c r="G5232" s="8" t="n"/>
      <c r="H5232" s="8" t="n"/>
      <c r="I5232" s="8" t="n"/>
      <c r="J5232" s="8" t="n"/>
      <c r="K5232" s="8" t="n"/>
      <c r="L5232" s="8" t="n"/>
      <c r="M5232" s="9">
        <f>B5232+30</f>
        <v/>
      </c>
      <c r="N5232">
        <f>IF(L5232="", "", L5232-B5232)</f>
        <v/>
      </c>
      <c r="O5232">
        <f>IF(L5232="", "Pending", IF(N5232&lt;=30, "Met", "Breached"))</f>
        <v/>
      </c>
      <c r="P5232" s="8" t="n"/>
      <c r="Q5232" s="8" t="n"/>
      <c r="R5232" s="8" t="n"/>
      <c r="S5232" s="8" t="n"/>
      <c r="T5232" s="8" t="n"/>
      <c r="U5232" s="8" t="n"/>
      <c r="V5232" s="8" t="n"/>
      <c r="W5232" s="8" t="n"/>
      <c r="X5232" s="8" t="n"/>
      <c r="Y5232" s="8" t="n"/>
    </row>
    <row r="5233">
      <c r="A5233" s="8" t="n"/>
      <c r="B5233" s="8" t="n"/>
      <c r="C5233" s="8" t="n"/>
      <c r="D5233" s="8" t="n"/>
      <c r="E5233" s="8" t="n"/>
      <c r="F5233" s="8" t="n"/>
      <c r="G5233" s="8" t="n"/>
      <c r="H5233" s="8" t="n"/>
      <c r="I5233" s="8" t="n"/>
      <c r="J5233" s="8" t="n"/>
      <c r="K5233" s="8" t="n"/>
      <c r="L5233" s="8" t="n"/>
      <c r="M5233" s="9">
        <f>B5233+30</f>
        <v/>
      </c>
      <c r="N5233">
        <f>IF(L5233="", "", L5233-B5233)</f>
        <v/>
      </c>
      <c r="O5233">
        <f>IF(L5233="", "Pending", IF(N5233&lt;=30, "Met", "Breached"))</f>
        <v/>
      </c>
      <c r="P5233" s="8" t="n"/>
      <c r="Q5233" s="8" t="n"/>
      <c r="R5233" s="8" t="n"/>
      <c r="S5233" s="8" t="n"/>
      <c r="T5233" s="8" t="n"/>
      <c r="U5233" s="8" t="n"/>
      <c r="V5233" s="8" t="n"/>
      <c r="W5233" s="8" t="n"/>
      <c r="X5233" s="8" t="n"/>
      <c r="Y5233" s="8" t="n"/>
    </row>
    <row r="5234">
      <c r="A5234" s="8" t="n"/>
      <c r="B5234" s="8" t="n"/>
      <c r="C5234" s="8" t="n"/>
      <c r="D5234" s="8" t="n"/>
      <c r="E5234" s="8" t="n"/>
      <c r="F5234" s="8" t="n"/>
      <c r="G5234" s="8" t="n"/>
      <c r="H5234" s="8" t="n"/>
      <c r="I5234" s="8" t="n"/>
      <c r="J5234" s="8" t="n"/>
      <c r="K5234" s="8" t="n"/>
      <c r="L5234" s="8" t="n"/>
      <c r="M5234" s="9">
        <f>B5234+30</f>
        <v/>
      </c>
      <c r="N5234">
        <f>IF(L5234="", "", L5234-B5234)</f>
        <v/>
      </c>
      <c r="O5234">
        <f>IF(L5234="", "Pending", IF(N5234&lt;=30, "Met", "Breached"))</f>
        <v/>
      </c>
      <c r="P5234" s="8" t="n"/>
      <c r="Q5234" s="8" t="n"/>
      <c r="R5234" s="8" t="n"/>
      <c r="S5234" s="8" t="n"/>
      <c r="T5234" s="8" t="n"/>
      <c r="U5234" s="8" t="n"/>
      <c r="V5234" s="8" t="n"/>
      <c r="W5234" s="8" t="n"/>
      <c r="X5234" s="8" t="n"/>
      <c r="Y5234" s="8" t="n"/>
    </row>
    <row r="5235">
      <c r="A5235" s="8" t="n"/>
      <c r="B5235" s="8" t="n"/>
      <c r="C5235" s="8" t="n"/>
      <c r="D5235" s="8" t="n"/>
      <c r="E5235" s="8" t="n"/>
      <c r="F5235" s="8" t="n"/>
      <c r="G5235" s="8" t="n"/>
      <c r="H5235" s="8" t="n"/>
      <c r="I5235" s="8" t="n"/>
      <c r="J5235" s="8" t="n"/>
      <c r="K5235" s="8" t="n"/>
      <c r="L5235" s="8" t="n"/>
      <c r="M5235" s="9">
        <f>B5235+30</f>
        <v/>
      </c>
      <c r="N5235">
        <f>IF(L5235="", "", L5235-B5235)</f>
        <v/>
      </c>
      <c r="O5235">
        <f>IF(L5235="", "Pending", IF(N5235&lt;=30, "Met", "Breached"))</f>
        <v/>
      </c>
      <c r="P5235" s="8" t="n"/>
      <c r="Q5235" s="8" t="n"/>
      <c r="R5235" s="8" t="n"/>
      <c r="S5235" s="8" t="n"/>
      <c r="T5235" s="8" t="n"/>
      <c r="U5235" s="8" t="n"/>
      <c r="V5235" s="8" t="n"/>
      <c r="W5235" s="8" t="n"/>
      <c r="X5235" s="8" t="n"/>
      <c r="Y5235" s="8" t="n"/>
    </row>
    <row r="5236">
      <c r="A5236" s="8" t="n"/>
      <c r="B5236" s="8" t="n"/>
      <c r="C5236" s="8" t="n"/>
      <c r="D5236" s="8" t="n"/>
      <c r="E5236" s="8" t="n"/>
      <c r="F5236" s="8" t="n"/>
      <c r="G5236" s="8" t="n"/>
      <c r="H5236" s="8" t="n"/>
      <c r="I5236" s="8" t="n"/>
      <c r="J5236" s="8" t="n"/>
      <c r="K5236" s="8" t="n"/>
      <c r="L5236" s="8" t="n"/>
      <c r="M5236" s="9">
        <f>B5236+30</f>
        <v/>
      </c>
      <c r="N5236">
        <f>IF(L5236="", "", L5236-B5236)</f>
        <v/>
      </c>
      <c r="O5236">
        <f>IF(L5236="", "Pending", IF(N5236&lt;=30, "Met", "Breached"))</f>
        <v/>
      </c>
      <c r="P5236" s="8" t="n"/>
      <c r="Q5236" s="8" t="n"/>
      <c r="R5236" s="8" t="n"/>
      <c r="S5236" s="8" t="n"/>
      <c r="T5236" s="8" t="n"/>
      <c r="U5236" s="8" t="n"/>
      <c r="V5236" s="8" t="n"/>
      <c r="W5236" s="8" t="n"/>
      <c r="X5236" s="8" t="n"/>
      <c r="Y5236" s="8" t="n"/>
    </row>
    <row r="5237">
      <c r="A5237" s="8" t="n"/>
      <c r="B5237" s="8" t="n"/>
      <c r="C5237" s="8" t="n"/>
      <c r="D5237" s="8" t="n"/>
      <c r="E5237" s="8" t="n"/>
      <c r="F5237" s="8" t="n"/>
      <c r="G5237" s="8" t="n"/>
      <c r="H5237" s="8" t="n"/>
      <c r="I5237" s="8" t="n"/>
      <c r="J5237" s="8" t="n"/>
      <c r="K5237" s="8" t="n"/>
      <c r="L5237" s="8" t="n"/>
      <c r="M5237" s="9">
        <f>B5237+30</f>
        <v/>
      </c>
      <c r="N5237">
        <f>IF(L5237="", "", L5237-B5237)</f>
        <v/>
      </c>
      <c r="O5237">
        <f>IF(L5237="", "Pending", IF(N5237&lt;=30, "Met", "Breached"))</f>
        <v/>
      </c>
      <c r="P5237" s="8" t="n"/>
      <c r="Q5237" s="8" t="n"/>
      <c r="R5237" s="8" t="n"/>
      <c r="S5237" s="8" t="n"/>
      <c r="T5237" s="8" t="n"/>
      <c r="U5237" s="8" t="n"/>
      <c r="V5237" s="8" t="n"/>
      <c r="W5237" s="8" t="n"/>
      <c r="X5237" s="8" t="n"/>
      <c r="Y5237" s="8" t="n"/>
    </row>
    <row r="5238">
      <c r="A5238" s="8" t="n"/>
      <c r="B5238" s="8" t="n"/>
      <c r="C5238" s="8" t="n"/>
      <c r="D5238" s="8" t="n"/>
      <c r="E5238" s="8" t="n"/>
      <c r="F5238" s="8" t="n"/>
      <c r="G5238" s="8" t="n"/>
      <c r="H5238" s="8" t="n"/>
      <c r="I5238" s="8" t="n"/>
      <c r="J5238" s="8" t="n"/>
      <c r="K5238" s="8" t="n"/>
      <c r="L5238" s="8" t="n"/>
      <c r="M5238" s="9">
        <f>B5238+30</f>
        <v/>
      </c>
      <c r="N5238">
        <f>IF(L5238="", "", L5238-B5238)</f>
        <v/>
      </c>
      <c r="O5238">
        <f>IF(L5238="", "Pending", IF(N5238&lt;=30, "Met", "Breached"))</f>
        <v/>
      </c>
      <c r="P5238" s="8" t="n"/>
      <c r="Q5238" s="8" t="n"/>
      <c r="R5238" s="8" t="n"/>
      <c r="S5238" s="8" t="n"/>
      <c r="T5238" s="8" t="n"/>
      <c r="U5238" s="8" t="n"/>
      <c r="V5238" s="8" t="n"/>
      <c r="W5238" s="8" t="n"/>
      <c r="X5238" s="8" t="n"/>
      <c r="Y5238" s="8" t="n"/>
    </row>
    <row r="5239">
      <c r="A5239" s="8" t="n"/>
      <c r="B5239" s="8" t="n"/>
      <c r="C5239" s="8" t="n"/>
      <c r="D5239" s="8" t="n"/>
      <c r="E5239" s="8" t="n"/>
      <c r="F5239" s="8" t="n"/>
      <c r="G5239" s="8" t="n"/>
      <c r="H5239" s="8" t="n"/>
      <c r="I5239" s="8" t="n"/>
      <c r="J5239" s="8" t="n"/>
      <c r="K5239" s="8" t="n"/>
      <c r="L5239" s="8" t="n"/>
      <c r="M5239" s="9">
        <f>B5239+30</f>
        <v/>
      </c>
      <c r="N5239">
        <f>IF(L5239="", "", L5239-B5239)</f>
        <v/>
      </c>
      <c r="O5239">
        <f>IF(L5239="", "Pending", IF(N5239&lt;=30, "Met", "Breached"))</f>
        <v/>
      </c>
      <c r="P5239" s="8" t="n"/>
      <c r="Q5239" s="8" t="n"/>
      <c r="R5239" s="8" t="n"/>
      <c r="S5239" s="8" t="n"/>
      <c r="T5239" s="8" t="n"/>
      <c r="U5239" s="8" t="n"/>
      <c r="V5239" s="8" t="n"/>
      <c r="W5239" s="8" t="n"/>
      <c r="X5239" s="8" t="n"/>
      <c r="Y5239" s="8" t="n"/>
    </row>
    <row r="5240">
      <c r="A5240" s="8" t="n"/>
      <c r="B5240" s="8" t="n"/>
      <c r="C5240" s="8" t="n"/>
      <c r="D5240" s="8" t="n"/>
      <c r="E5240" s="8" t="n"/>
      <c r="F5240" s="8" t="n"/>
      <c r="G5240" s="8" t="n"/>
      <c r="H5240" s="8" t="n"/>
      <c r="I5240" s="8" t="n"/>
      <c r="J5240" s="8" t="n"/>
      <c r="K5240" s="8" t="n"/>
      <c r="L5240" s="8" t="n"/>
      <c r="M5240" s="9">
        <f>B5240+30</f>
        <v/>
      </c>
      <c r="N5240">
        <f>IF(L5240="", "", L5240-B5240)</f>
        <v/>
      </c>
      <c r="O5240">
        <f>IF(L5240="", "Pending", IF(N5240&lt;=30, "Met", "Breached"))</f>
        <v/>
      </c>
      <c r="P5240" s="8" t="n"/>
      <c r="Q5240" s="8" t="n"/>
      <c r="R5240" s="8" t="n"/>
      <c r="S5240" s="8" t="n"/>
      <c r="T5240" s="8" t="n"/>
      <c r="U5240" s="8" t="n"/>
      <c r="V5240" s="8" t="n"/>
      <c r="W5240" s="8" t="n"/>
      <c r="X5240" s="8" t="n"/>
      <c r="Y5240" s="8" t="n"/>
    </row>
    <row r="5241">
      <c r="A5241" s="8" t="n"/>
      <c r="B5241" s="8" t="n"/>
      <c r="C5241" s="8" t="n"/>
      <c r="D5241" s="8" t="n"/>
      <c r="E5241" s="8" t="n"/>
      <c r="F5241" s="8" t="n"/>
      <c r="G5241" s="8" t="n"/>
      <c r="H5241" s="8" t="n"/>
      <c r="I5241" s="8" t="n"/>
      <c r="J5241" s="8" t="n"/>
      <c r="K5241" s="8" t="n"/>
      <c r="L5241" s="8" t="n"/>
      <c r="M5241" s="9">
        <f>B5241+30</f>
        <v/>
      </c>
      <c r="N5241">
        <f>IF(L5241="", "", L5241-B5241)</f>
        <v/>
      </c>
      <c r="O5241">
        <f>IF(L5241="", "Pending", IF(N5241&lt;=30, "Met", "Breached"))</f>
        <v/>
      </c>
      <c r="P5241" s="8" t="n"/>
      <c r="Q5241" s="8" t="n"/>
      <c r="R5241" s="8" t="n"/>
      <c r="S5241" s="8" t="n"/>
      <c r="T5241" s="8" t="n"/>
      <c r="U5241" s="8" t="n"/>
      <c r="V5241" s="8" t="n"/>
      <c r="W5241" s="8" t="n"/>
      <c r="X5241" s="8" t="n"/>
      <c r="Y5241" s="8" t="n"/>
    </row>
    <row r="5242">
      <c r="A5242" s="8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8" t="n"/>
      <c r="K5242" s="8" t="n"/>
      <c r="L5242" s="8" t="n"/>
      <c r="M5242" s="9">
        <f>B5242+30</f>
        <v/>
      </c>
      <c r="N5242">
        <f>IF(L5242="", "", L5242-B5242)</f>
        <v/>
      </c>
      <c r="O5242">
        <f>IF(L5242="", "Pending", IF(N5242&lt;=30, "Met", "Breached"))</f>
        <v/>
      </c>
      <c r="P5242" s="8" t="n"/>
      <c r="Q5242" s="8" t="n"/>
      <c r="R5242" s="8" t="n"/>
      <c r="S5242" s="8" t="n"/>
      <c r="T5242" s="8" t="n"/>
      <c r="U5242" s="8" t="n"/>
      <c r="V5242" s="8" t="n"/>
      <c r="W5242" s="8" t="n"/>
      <c r="X5242" s="8" t="n"/>
      <c r="Y5242" s="8" t="n"/>
    </row>
    <row r="5243">
      <c r="A5243" s="8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8" t="n"/>
      <c r="K5243" s="8" t="n"/>
      <c r="L5243" s="8" t="n"/>
      <c r="M5243" s="9">
        <f>B5243+30</f>
        <v/>
      </c>
      <c r="N5243">
        <f>IF(L5243="", "", L5243-B5243)</f>
        <v/>
      </c>
      <c r="O5243">
        <f>IF(L5243="", "Pending", IF(N5243&lt;=30, "Met", "Breached"))</f>
        <v/>
      </c>
      <c r="P5243" s="8" t="n"/>
      <c r="Q5243" s="8" t="n"/>
      <c r="R5243" s="8" t="n"/>
      <c r="S5243" s="8" t="n"/>
      <c r="T5243" s="8" t="n"/>
      <c r="U5243" s="8" t="n"/>
      <c r="V5243" s="8" t="n"/>
      <c r="W5243" s="8" t="n"/>
      <c r="X5243" s="8" t="n"/>
      <c r="Y5243" s="8" t="n"/>
    </row>
    <row r="5244">
      <c r="A5244" s="8" t="n"/>
      <c r="B5244" s="8" t="n"/>
      <c r="C5244" s="8" t="n"/>
      <c r="D5244" s="8" t="n"/>
      <c r="E5244" s="8" t="n"/>
      <c r="F5244" s="8" t="n"/>
      <c r="G5244" s="8" t="n"/>
      <c r="H5244" s="8" t="n"/>
      <c r="I5244" s="8" t="n"/>
      <c r="J5244" s="8" t="n"/>
      <c r="K5244" s="8" t="n"/>
      <c r="L5244" s="8" t="n"/>
      <c r="M5244" s="9">
        <f>B5244+30</f>
        <v/>
      </c>
      <c r="N5244">
        <f>IF(L5244="", "", L5244-B5244)</f>
        <v/>
      </c>
      <c r="O5244">
        <f>IF(L5244="", "Pending", IF(N5244&lt;=30, "Met", "Breached"))</f>
        <v/>
      </c>
      <c r="P5244" s="8" t="n"/>
      <c r="Q5244" s="8" t="n"/>
      <c r="R5244" s="8" t="n"/>
      <c r="S5244" s="8" t="n"/>
      <c r="T5244" s="8" t="n"/>
      <c r="U5244" s="8" t="n"/>
      <c r="V5244" s="8" t="n"/>
      <c r="W5244" s="8" t="n"/>
      <c r="X5244" s="8" t="n"/>
      <c r="Y5244" s="8" t="n"/>
    </row>
    <row r="5245">
      <c r="A5245" s="8" t="n"/>
      <c r="B5245" s="8" t="n"/>
      <c r="C5245" s="8" t="n"/>
      <c r="D5245" s="8" t="n"/>
      <c r="E5245" s="8" t="n"/>
      <c r="F5245" s="8" t="n"/>
      <c r="G5245" s="8" t="n"/>
      <c r="H5245" s="8" t="n"/>
      <c r="I5245" s="8" t="n"/>
      <c r="J5245" s="8" t="n"/>
      <c r="K5245" s="8" t="n"/>
      <c r="L5245" s="8" t="n"/>
      <c r="M5245" s="9">
        <f>B5245+30</f>
        <v/>
      </c>
      <c r="N5245">
        <f>IF(L5245="", "", L5245-B5245)</f>
        <v/>
      </c>
      <c r="O5245">
        <f>IF(L5245="", "Pending", IF(N5245&lt;=30, "Met", "Breached"))</f>
        <v/>
      </c>
      <c r="P5245" s="8" t="n"/>
      <c r="Q5245" s="8" t="n"/>
      <c r="R5245" s="8" t="n"/>
      <c r="S5245" s="8" t="n"/>
      <c r="T5245" s="8" t="n"/>
      <c r="U5245" s="8" t="n"/>
      <c r="V5245" s="8" t="n"/>
      <c r="W5245" s="8" t="n"/>
      <c r="X5245" s="8" t="n"/>
      <c r="Y5245" s="8" t="n"/>
    </row>
    <row r="5246">
      <c r="A5246" s="8" t="n"/>
      <c r="B5246" s="8" t="n"/>
      <c r="C5246" s="8" t="n"/>
      <c r="D5246" s="8" t="n"/>
      <c r="E5246" s="8" t="n"/>
      <c r="F5246" s="8" t="n"/>
      <c r="G5246" s="8" t="n"/>
      <c r="H5246" s="8" t="n"/>
      <c r="I5246" s="8" t="n"/>
      <c r="J5246" s="8" t="n"/>
      <c r="K5246" s="8" t="n"/>
      <c r="L5246" s="8" t="n"/>
      <c r="M5246" s="9">
        <f>B5246+30</f>
        <v/>
      </c>
      <c r="N5246">
        <f>IF(L5246="", "", L5246-B5246)</f>
        <v/>
      </c>
      <c r="O5246">
        <f>IF(L5246="", "Pending", IF(N5246&lt;=30, "Met", "Breached"))</f>
        <v/>
      </c>
      <c r="P5246" s="8" t="n"/>
      <c r="Q5246" s="8" t="n"/>
      <c r="R5246" s="8" t="n"/>
      <c r="S5246" s="8" t="n"/>
      <c r="T5246" s="8" t="n"/>
      <c r="U5246" s="8" t="n"/>
      <c r="V5246" s="8" t="n"/>
      <c r="W5246" s="8" t="n"/>
      <c r="X5246" s="8" t="n"/>
      <c r="Y5246" s="8" t="n"/>
    </row>
    <row r="5247">
      <c r="A5247" s="8" t="n"/>
      <c r="B5247" s="8" t="n"/>
      <c r="C5247" s="8" t="n"/>
      <c r="D5247" s="8" t="n"/>
      <c r="E5247" s="8" t="n"/>
      <c r="F5247" s="8" t="n"/>
      <c r="G5247" s="8" t="n"/>
      <c r="H5247" s="8" t="n"/>
      <c r="I5247" s="8" t="n"/>
      <c r="J5247" s="8" t="n"/>
      <c r="K5247" s="8" t="n"/>
      <c r="L5247" s="8" t="n"/>
      <c r="M5247" s="9">
        <f>B5247+30</f>
        <v/>
      </c>
      <c r="N5247">
        <f>IF(L5247="", "", L5247-B5247)</f>
        <v/>
      </c>
      <c r="O5247">
        <f>IF(L5247="", "Pending", IF(N5247&lt;=30, "Met", "Breached"))</f>
        <v/>
      </c>
      <c r="P5247" s="8" t="n"/>
      <c r="Q5247" s="8" t="n"/>
      <c r="R5247" s="8" t="n"/>
      <c r="S5247" s="8" t="n"/>
      <c r="T5247" s="8" t="n"/>
      <c r="U5247" s="8" t="n"/>
      <c r="V5247" s="8" t="n"/>
      <c r="W5247" s="8" t="n"/>
      <c r="X5247" s="8" t="n"/>
      <c r="Y5247" s="8" t="n"/>
    </row>
    <row r="5248">
      <c r="A5248" s="8" t="n"/>
      <c r="B5248" s="8" t="n"/>
      <c r="C5248" s="8" t="n"/>
      <c r="D5248" s="8" t="n"/>
      <c r="E5248" s="8" t="n"/>
      <c r="F5248" s="8" t="n"/>
      <c r="G5248" s="8" t="n"/>
      <c r="H5248" s="8" t="n"/>
      <c r="I5248" s="8" t="n"/>
      <c r="J5248" s="8" t="n"/>
      <c r="K5248" s="8" t="n"/>
      <c r="L5248" s="8" t="n"/>
      <c r="M5248" s="9">
        <f>B5248+30</f>
        <v/>
      </c>
      <c r="N5248">
        <f>IF(L5248="", "", L5248-B5248)</f>
        <v/>
      </c>
      <c r="O5248">
        <f>IF(L5248="", "Pending", IF(N5248&lt;=30, "Met", "Breached"))</f>
        <v/>
      </c>
      <c r="P5248" s="8" t="n"/>
      <c r="Q5248" s="8" t="n"/>
      <c r="R5248" s="8" t="n"/>
      <c r="S5248" s="8" t="n"/>
      <c r="T5248" s="8" t="n"/>
      <c r="U5248" s="8" t="n"/>
      <c r="V5248" s="8" t="n"/>
      <c r="W5248" s="8" t="n"/>
      <c r="X5248" s="8" t="n"/>
      <c r="Y5248" s="8" t="n"/>
    </row>
    <row r="5249">
      <c r="A5249" s="8" t="n"/>
      <c r="B5249" s="8" t="n"/>
      <c r="C5249" s="8" t="n"/>
      <c r="D5249" s="8" t="n"/>
      <c r="E5249" s="8" t="n"/>
      <c r="F5249" s="8" t="n"/>
      <c r="G5249" s="8" t="n"/>
      <c r="H5249" s="8" t="n"/>
      <c r="I5249" s="8" t="n"/>
      <c r="J5249" s="8" t="n"/>
      <c r="K5249" s="8" t="n"/>
      <c r="L5249" s="8" t="n"/>
      <c r="M5249" s="9">
        <f>B5249+30</f>
        <v/>
      </c>
      <c r="N5249">
        <f>IF(L5249="", "", L5249-B5249)</f>
        <v/>
      </c>
      <c r="O5249">
        <f>IF(L5249="", "Pending", IF(N5249&lt;=30, "Met", "Breached"))</f>
        <v/>
      </c>
      <c r="P5249" s="8" t="n"/>
      <c r="Q5249" s="8" t="n"/>
      <c r="R5249" s="8" t="n"/>
      <c r="S5249" s="8" t="n"/>
      <c r="T5249" s="8" t="n"/>
      <c r="U5249" s="8" t="n"/>
      <c r="V5249" s="8" t="n"/>
      <c r="W5249" s="8" t="n"/>
      <c r="X5249" s="8" t="n"/>
      <c r="Y5249" s="8" t="n"/>
    </row>
    <row r="5250">
      <c r="A5250" s="8" t="n"/>
      <c r="B5250" s="8" t="n"/>
      <c r="C5250" s="8" t="n"/>
      <c r="D5250" s="8" t="n"/>
      <c r="E5250" s="8" t="n"/>
      <c r="F5250" s="8" t="n"/>
      <c r="G5250" s="8" t="n"/>
      <c r="H5250" s="8" t="n"/>
      <c r="I5250" s="8" t="n"/>
      <c r="J5250" s="8" t="n"/>
      <c r="K5250" s="8" t="n"/>
      <c r="L5250" s="8" t="n"/>
      <c r="M5250" s="9">
        <f>B5250+30</f>
        <v/>
      </c>
      <c r="N5250">
        <f>IF(L5250="", "", L5250-B5250)</f>
        <v/>
      </c>
      <c r="O5250">
        <f>IF(L5250="", "Pending", IF(N5250&lt;=30, "Met", "Breached"))</f>
        <v/>
      </c>
      <c r="P5250" s="8" t="n"/>
      <c r="Q5250" s="8" t="n"/>
      <c r="R5250" s="8" t="n"/>
      <c r="S5250" s="8" t="n"/>
      <c r="T5250" s="8" t="n"/>
      <c r="U5250" s="8" t="n"/>
      <c r="V5250" s="8" t="n"/>
      <c r="W5250" s="8" t="n"/>
      <c r="X5250" s="8" t="n"/>
      <c r="Y5250" s="8" t="n"/>
    </row>
    <row r="5251">
      <c r="A5251" s="8" t="n"/>
      <c r="B5251" s="8" t="n"/>
      <c r="C5251" s="8" t="n"/>
      <c r="D5251" s="8" t="n"/>
      <c r="E5251" s="8" t="n"/>
      <c r="F5251" s="8" t="n"/>
      <c r="G5251" s="8" t="n"/>
      <c r="H5251" s="8" t="n"/>
      <c r="I5251" s="8" t="n"/>
      <c r="J5251" s="8" t="n"/>
      <c r="K5251" s="8" t="n"/>
      <c r="L5251" s="8" t="n"/>
      <c r="M5251" s="9">
        <f>B5251+30</f>
        <v/>
      </c>
      <c r="N5251">
        <f>IF(L5251="", "", L5251-B5251)</f>
        <v/>
      </c>
      <c r="O5251">
        <f>IF(L5251="", "Pending", IF(N5251&lt;=30, "Met", "Breached"))</f>
        <v/>
      </c>
      <c r="P5251" s="8" t="n"/>
      <c r="Q5251" s="8" t="n"/>
      <c r="R5251" s="8" t="n"/>
      <c r="S5251" s="8" t="n"/>
      <c r="T5251" s="8" t="n"/>
      <c r="U5251" s="8" t="n"/>
      <c r="V5251" s="8" t="n"/>
      <c r="W5251" s="8" t="n"/>
      <c r="X5251" s="8" t="n"/>
      <c r="Y5251" s="8" t="n"/>
    </row>
    <row r="5252">
      <c r="A5252" s="8" t="n"/>
      <c r="B5252" s="8" t="n"/>
      <c r="C5252" s="8" t="n"/>
      <c r="D5252" s="8" t="n"/>
      <c r="E5252" s="8" t="n"/>
      <c r="F5252" s="8" t="n"/>
      <c r="G5252" s="8" t="n"/>
      <c r="H5252" s="8" t="n"/>
      <c r="I5252" s="8" t="n"/>
      <c r="J5252" s="8" t="n"/>
      <c r="K5252" s="8" t="n"/>
      <c r="L5252" s="8" t="n"/>
      <c r="M5252" s="9">
        <f>B5252+30</f>
        <v/>
      </c>
      <c r="N5252">
        <f>IF(L5252="", "", L5252-B5252)</f>
        <v/>
      </c>
      <c r="O5252">
        <f>IF(L5252="", "Pending", IF(N5252&lt;=30, "Met", "Breached"))</f>
        <v/>
      </c>
      <c r="P5252" s="8" t="n"/>
      <c r="Q5252" s="8" t="n"/>
      <c r="R5252" s="8" t="n"/>
      <c r="S5252" s="8" t="n"/>
      <c r="T5252" s="8" t="n"/>
      <c r="U5252" s="8" t="n"/>
      <c r="V5252" s="8" t="n"/>
      <c r="W5252" s="8" t="n"/>
      <c r="X5252" s="8" t="n"/>
      <c r="Y5252" s="8" t="n"/>
    </row>
    <row r="5253">
      <c r="A5253" s="8" t="n"/>
      <c r="B5253" s="8" t="n"/>
      <c r="C5253" s="8" t="n"/>
      <c r="D5253" s="8" t="n"/>
      <c r="E5253" s="8" t="n"/>
      <c r="F5253" s="8" t="n"/>
      <c r="G5253" s="8" t="n"/>
      <c r="H5253" s="8" t="n"/>
      <c r="I5253" s="8" t="n"/>
      <c r="J5253" s="8" t="n"/>
      <c r="K5253" s="8" t="n"/>
      <c r="L5253" s="8" t="n"/>
      <c r="M5253" s="9">
        <f>B5253+30</f>
        <v/>
      </c>
      <c r="N5253">
        <f>IF(L5253="", "", L5253-B5253)</f>
        <v/>
      </c>
      <c r="O5253">
        <f>IF(L5253="", "Pending", IF(N5253&lt;=30, "Met", "Breached"))</f>
        <v/>
      </c>
      <c r="P5253" s="8" t="n"/>
      <c r="Q5253" s="8" t="n"/>
      <c r="R5253" s="8" t="n"/>
      <c r="S5253" s="8" t="n"/>
      <c r="T5253" s="8" t="n"/>
      <c r="U5253" s="8" t="n"/>
      <c r="V5253" s="8" t="n"/>
      <c r="W5253" s="8" t="n"/>
      <c r="X5253" s="8" t="n"/>
      <c r="Y5253" s="8" t="n"/>
    </row>
    <row r="5254">
      <c r="A5254" s="8" t="n"/>
      <c r="B5254" s="8" t="n"/>
      <c r="C5254" s="8" t="n"/>
      <c r="D5254" s="8" t="n"/>
      <c r="E5254" s="8" t="n"/>
      <c r="F5254" s="8" t="n"/>
      <c r="G5254" s="8" t="n"/>
      <c r="H5254" s="8" t="n"/>
      <c r="I5254" s="8" t="n"/>
      <c r="J5254" s="8" t="n"/>
      <c r="K5254" s="8" t="n"/>
      <c r="L5254" s="8" t="n"/>
      <c r="M5254" s="9">
        <f>B5254+30</f>
        <v/>
      </c>
      <c r="N5254">
        <f>IF(L5254="", "", L5254-B5254)</f>
        <v/>
      </c>
      <c r="O5254">
        <f>IF(L5254="", "Pending", IF(N5254&lt;=30, "Met", "Breached"))</f>
        <v/>
      </c>
      <c r="P5254" s="8" t="n"/>
      <c r="Q5254" s="8" t="n"/>
      <c r="R5254" s="8" t="n"/>
      <c r="S5254" s="8" t="n"/>
      <c r="T5254" s="8" t="n"/>
      <c r="U5254" s="8" t="n"/>
      <c r="V5254" s="8" t="n"/>
      <c r="W5254" s="8" t="n"/>
      <c r="X5254" s="8" t="n"/>
      <c r="Y5254" s="8" t="n"/>
    </row>
    <row r="5255">
      <c r="A5255" s="8" t="n"/>
      <c r="B5255" s="8" t="n"/>
      <c r="C5255" s="8" t="n"/>
      <c r="D5255" s="8" t="n"/>
      <c r="E5255" s="8" t="n"/>
      <c r="F5255" s="8" t="n"/>
      <c r="G5255" s="8" t="n"/>
      <c r="H5255" s="8" t="n"/>
      <c r="I5255" s="8" t="n"/>
      <c r="J5255" s="8" t="n"/>
      <c r="K5255" s="8" t="n"/>
      <c r="L5255" s="8" t="n"/>
      <c r="M5255" s="9">
        <f>B5255+30</f>
        <v/>
      </c>
      <c r="N5255">
        <f>IF(L5255="", "", L5255-B5255)</f>
        <v/>
      </c>
      <c r="O5255">
        <f>IF(L5255="", "Pending", IF(N5255&lt;=30, "Met", "Breached"))</f>
        <v/>
      </c>
      <c r="P5255" s="8" t="n"/>
      <c r="Q5255" s="8" t="n"/>
      <c r="R5255" s="8" t="n"/>
      <c r="S5255" s="8" t="n"/>
      <c r="T5255" s="8" t="n"/>
      <c r="U5255" s="8" t="n"/>
      <c r="V5255" s="8" t="n"/>
      <c r="W5255" s="8" t="n"/>
      <c r="X5255" s="8" t="n"/>
      <c r="Y5255" s="8" t="n"/>
    </row>
    <row r="5256">
      <c r="A5256" s="8" t="n"/>
      <c r="B5256" s="8" t="n"/>
      <c r="C5256" s="8" t="n"/>
      <c r="D5256" s="8" t="n"/>
      <c r="E5256" s="8" t="n"/>
      <c r="F5256" s="8" t="n"/>
      <c r="G5256" s="8" t="n"/>
      <c r="H5256" s="8" t="n"/>
      <c r="I5256" s="8" t="n"/>
      <c r="J5256" s="8" t="n"/>
      <c r="K5256" s="8" t="n"/>
      <c r="L5256" s="8" t="n"/>
      <c r="M5256" s="9">
        <f>B5256+30</f>
        <v/>
      </c>
      <c r="N5256">
        <f>IF(L5256="", "", L5256-B5256)</f>
        <v/>
      </c>
      <c r="O5256">
        <f>IF(L5256="", "Pending", IF(N5256&lt;=30, "Met", "Breached"))</f>
        <v/>
      </c>
      <c r="P5256" s="8" t="n"/>
      <c r="Q5256" s="8" t="n"/>
      <c r="R5256" s="8" t="n"/>
      <c r="S5256" s="8" t="n"/>
      <c r="T5256" s="8" t="n"/>
      <c r="U5256" s="8" t="n"/>
      <c r="V5256" s="8" t="n"/>
      <c r="W5256" s="8" t="n"/>
      <c r="X5256" s="8" t="n"/>
      <c r="Y5256" s="8" t="n"/>
    </row>
    <row r="5257">
      <c r="A5257" s="8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8" t="n"/>
      <c r="K5257" s="8" t="n"/>
      <c r="L5257" s="8" t="n"/>
      <c r="M5257" s="9">
        <f>B5257+30</f>
        <v/>
      </c>
      <c r="N5257">
        <f>IF(L5257="", "", L5257-B5257)</f>
        <v/>
      </c>
      <c r="O5257">
        <f>IF(L5257="", "Pending", IF(N5257&lt;=30, "Met", "Breached"))</f>
        <v/>
      </c>
      <c r="P5257" s="8" t="n"/>
      <c r="Q5257" s="8" t="n"/>
      <c r="R5257" s="8" t="n"/>
      <c r="S5257" s="8" t="n"/>
      <c r="T5257" s="8" t="n"/>
      <c r="U5257" s="8" t="n"/>
      <c r="V5257" s="8" t="n"/>
      <c r="W5257" s="8" t="n"/>
      <c r="X5257" s="8" t="n"/>
      <c r="Y5257" s="8" t="n"/>
    </row>
    <row r="5258">
      <c r="A5258" s="8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8" t="n"/>
      <c r="K5258" s="8" t="n"/>
      <c r="L5258" s="8" t="n"/>
      <c r="M5258" s="9">
        <f>B5258+30</f>
        <v/>
      </c>
      <c r="N5258">
        <f>IF(L5258="", "", L5258-B5258)</f>
        <v/>
      </c>
      <c r="O5258">
        <f>IF(L5258="", "Pending", IF(N5258&lt;=30, "Met", "Breached"))</f>
        <v/>
      </c>
      <c r="P5258" s="8" t="n"/>
      <c r="Q5258" s="8" t="n"/>
      <c r="R5258" s="8" t="n"/>
      <c r="S5258" s="8" t="n"/>
      <c r="T5258" s="8" t="n"/>
      <c r="U5258" s="8" t="n"/>
      <c r="V5258" s="8" t="n"/>
      <c r="W5258" s="8" t="n"/>
      <c r="X5258" s="8" t="n"/>
      <c r="Y5258" s="8" t="n"/>
    </row>
    <row r="5259">
      <c r="A5259" s="8" t="n"/>
      <c r="B5259" s="8" t="n"/>
      <c r="C5259" s="8" t="n"/>
      <c r="D5259" s="8" t="n"/>
      <c r="E5259" s="8" t="n"/>
      <c r="F5259" s="8" t="n"/>
      <c r="G5259" s="8" t="n"/>
      <c r="H5259" s="8" t="n"/>
      <c r="I5259" s="8" t="n"/>
      <c r="J5259" s="8" t="n"/>
      <c r="K5259" s="8" t="n"/>
      <c r="L5259" s="8" t="n"/>
      <c r="M5259" s="9">
        <f>B5259+30</f>
        <v/>
      </c>
      <c r="N5259">
        <f>IF(L5259="", "", L5259-B5259)</f>
        <v/>
      </c>
      <c r="O5259">
        <f>IF(L5259="", "Pending", IF(N5259&lt;=30, "Met", "Breached"))</f>
        <v/>
      </c>
      <c r="P5259" s="8" t="n"/>
      <c r="Q5259" s="8" t="n"/>
      <c r="R5259" s="8" t="n"/>
      <c r="S5259" s="8" t="n"/>
      <c r="T5259" s="8" t="n"/>
      <c r="U5259" s="8" t="n"/>
      <c r="V5259" s="8" t="n"/>
      <c r="W5259" s="8" t="n"/>
      <c r="X5259" s="8" t="n"/>
      <c r="Y5259" s="8" t="n"/>
    </row>
    <row r="5260">
      <c r="A5260" s="8" t="n"/>
      <c r="B5260" s="8" t="n"/>
      <c r="C5260" s="8" t="n"/>
      <c r="D5260" s="8" t="n"/>
      <c r="E5260" s="8" t="n"/>
      <c r="F5260" s="8" t="n"/>
      <c r="G5260" s="8" t="n"/>
      <c r="H5260" s="8" t="n"/>
      <c r="I5260" s="8" t="n"/>
      <c r="J5260" s="8" t="n"/>
      <c r="K5260" s="8" t="n"/>
      <c r="L5260" s="8" t="n"/>
      <c r="M5260" s="9">
        <f>B5260+30</f>
        <v/>
      </c>
      <c r="N5260">
        <f>IF(L5260="", "", L5260-B5260)</f>
        <v/>
      </c>
      <c r="O5260">
        <f>IF(L5260="", "Pending", IF(N5260&lt;=30, "Met", "Breached"))</f>
        <v/>
      </c>
      <c r="P5260" s="8" t="n"/>
      <c r="Q5260" s="8" t="n"/>
      <c r="R5260" s="8" t="n"/>
      <c r="S5260" s="8" t="n"/>
      <c r="T5260" s="8" t="n"/>
      <c r="U5260" s="8" t="n"/>
      <c r="V5260" s="8" t="n"/>
      <c r="W5260" s="8" t="n"/>
      <c r="X5260" s="8" t="n"/>
      <c r="Y5260" s="8" t="n"/>
    </row>
    <row r="5261">
      <c r="A5261" s="8" t="n"/>
      <c r="B5261" s="8" t="n"/>
      <c r="C5261" s="8" t="n"/>
      <c r="D5261" s="8" t="n"/>
      <c r="E5261" s="8" t="n"/>
      <c r="F5261" s="8" t="n"/>
      <c r="G5261" s="8" t="n"/>
      <c r="H5261" s="8" t="n"/>
      <c r="I5261" s="8" t="n"/>
      <c r="J5261" s="8" t="n"/>
      <c r="K5261" s="8" t="n"/>
      <c r="L5261" s="8" t="n"/>
      <c r="M5261" s="9">
        <f>B5261+30</f>
        <v/>
      </c>
      <c r="N5261">
        <f>IF(L5261="", "", L5261-B5261)</f>
        <v/>
      </c>
      <c r="O5261">
        <f>IF(L5261="", "Pending", IF(N5261&lt;=30, "Met", "Breached"))</f>
        <v/>
      </c>
      <c r="P5261" s="8" t="n"/>
      <c r="Q5261" s="8" t="n"/>
      <c r="R5261" s="8" t="n"/>
      <c r="S5261" s="8" t="n"/>
      <c r="T5261" s="8" t="n"/>
      <c r="U5261" s="8" t="n"/>
      <c r="V5261" s="8" t="n"/>
      <c r="W5261" s="8" t="n"/>
      <c r="X5261" s="8" t="n"/>
      <c r="Y5261" s="8" t="n"/>
    </row>
    <row r="5262">
      <c r="A5262" s="8" t="n"/>
      <c r="B5262" s="8" t="n"/>
      <c r="C5262" s="8" t="n"/>
      <c r="D5262" s="8" t="n"/>
      <c r="E5262" s="8" t="n"/>
      <c r="F5262" s="8" t="n"/>
      <c r="G5262" s="8" t="n"/>
      <c r="H5262" s="8" t="n"/>
      <c r="I5262" s="8" t="n"/>
      <c r="J5262" s="8" t="n"/>
      <c r="K5262" s="8" t="n"/>
      <c r="L5262" s="8" t="n"/>
      <c r="M5262" s="9">
        <f>B5262+30</f>
        <v/>
      </c>
      <c r="N5262">
        <f>IF(L5262="", "", L5262-B5262)</f>
        <v/>
      </c>
      <c r="O5262">
        <f>IF(L5262="", "Pending", IF(N5262&lt;=30, "Met", "Breached"))</f>
        <v/>
      </c>
      <c r="P5262" s="8" t="n"/>
      <c r="Q5262" s="8" t="n"/>
      <c r="R5262" s="8" t="n"/>
      <c r="S5262" s="8" t="n"/>
      <c r="T5262" s="8" t="n"/>
      <c r="U5262" s="8" t="n"/>
      <c r="V5262" s="8" t="n"/>
      <c r="W5262" s="8" t="n"/>
      <c r="X5262" s="8" t="n"/>
      <c r="Y5262" s="8" t="n"/>
    </row>
    <row r="5263">
      <c r="A5263" s="8" t="n"/>
      <c r="B5263" s="8" t="n"/>
      <c r="C5263" s="8" t="n"/>
      <c r="D5263" s="8" t="n"/>
      <c r="E5263" s="8" t="n"/>
      <c r="F5263" s="8" t="n"/>
      <c r="G5263" s="8" t="n"/>
      <c r="H5263" s="8" t="n"/>
      <c r="I5263" s="8" t="n"/>
      <c r="J5263" s="8" t="n"/>
      <c r="K5263" s="8" t="n"/>
      <c r="L5263" s="8" t="n"/>
      <c r="M5263" s="9">
        <f>B5263+30</f>
        <v/>
      </c>
      <c r="N5263">
        <f>IF(L5263="", "", L5263-B5263)</f>
        <v/>
      </c>
      <c r="O5263">
        <f>IF(L5263="", "Pending", IF(N5263&lt;=30, "Met", "Breached"))</f>
        <v/>
      </c>
      <c r="P5263" s="8" t="n"/>
      <c r="Q5263" s="8" t="n"/>
      <c r="R5263" s="8" t="n"/>
      <c r="S5263" s="8" t="n"/>
      <c r="T5263" s="8" t="n"/>
      <c r="U5263" s="8" t="n"/>
      <c r="V5263" s="8" t="n"/>
      <c r="W5263" s="8" t="n"/>
      <c r="X5263" s="8" t="n"/>
      <c r="Y5263" s="8" t="n"/>
    </row>
    <row r="5264">
      <c r="A5264" s="8" t="n"/>
      <c r="B5264" s="8" t="n"/>
      <c r="C5264" s="8" t="n"/>
      <c r="D5264" s="8" t="n"/>
      <c r="E5264" s="8" t="n"/>
      <c r="F5264" s="8" t="n"/>
      <c r="G5264" s="8" t="n"/>
      <c r="H5264" s="8" t="n"/>
      <c r="I5264" s="8" t="n"/>
      <c r="J5264" s="8" t="n"/>
      <c r="K5264" s="8" t="n"/>
      <c r="L5264" s="8" t="n"/>
      <c r="M5264" s="9">
        <f>B5264+30</f>
        <v/>
      </c>
      <c r="N5264">
        <f>IF(L5264="", "", L5264-B5264)</f>
        <v/>
      </c>
      <c r="O5264">
        <f>IF(L5264="", "Pending", IF(N5264&lt;=30, "Met", "Breached"))</f>
        <v/>
      </c>
      <c r="P5264" s="8" t="n"/>
      <c r="Q5264" s="8" t="n"/>
      <c r="R5264" s="8" t="n"/>
      <c r="S5264" s="8" t="n"/>
      <c r="T5264" s="8" t="n"/>
      <c r="U5264" s="8" t="n"/>
      <c r="V5264" s="8" t="n"/>
      <c r="W5264" s="8" t="n"/>
      <c r="X5264" s="8" t="n"/>
      <c r="Y5264" s="8" t="n"/>
    </row>
    <row r="5265">
      <c r="A5265" s="8" t="n"/>
      <c r="B5265" s="8" t="n"/>
      <c r="C5265" s="8" t="n"/>
      <c r="D5265" s="8" t="n"/>
      <c r="E5265" s="8" t="n"/>
      <c r="F5265" s="8" t="n"/>
      <c r="G5265" s="8" t="n"/>
      <c r="H5265" s="8" t="n"/>
      <c r="I5265" s="8" t="n"/>
      <c r="J5265" s="8" t="n"/>
      <c r="K5265" s="8" t="n"/>
      <c r="L5265" s="8" t="n"/>
      <c r="M5265" s="9">
        <f>B5265+30</f>
        <v/>
      </c>
      <c r="N5265">
        <f>IF(L5265="", "", L5265-B5265)</f>
        <v/>
      </c>
      <c r="O5265">
        <f>IF(L5265="", "Pending", IF(N5265&lt;=30, "Met", "Breached"))</f>
        <v/>
      </c>
      <c r="P5265" s="8" t="n"/>
      <c r="Q5265" s="8" t="n"/>
      <c r="R5265" s="8" t="n"/>
      <c r="S5265" s="8" t="n"/>
      <c r="T5265" s="8" t="n"/>
      <c r="U5265" s="8" t="n"/>
      <c r="V5265" s="8" t="n"/>
      <c r="W5265" s="8" t="n"/>
      <c r="X5265" s="8" t="n"/>
      <c r="Y5265" s="8" t="n"/>
    </row>
    <row r="5266">
      <c r="A5266" s="8" t="n"/>
      <c r="B5266" s="8" t="n"/>
      <c r="C5266" s="8" t="n"/>
      <c r="D5266" s="8" t="n"/>
      <c r="E5266" s="8" t="n"/>
      <c r="F5266" s="8" t="n"/>
      <c r="G5266" s="8" t="n"/>
      <c r="H5266" s="8" t="n"/>
      <c r="I5266" s="8" t="n"/>
      <c r="J5266" s="8" t="n"/>
      <c r="K5266" s="8" t="n"/>
      <c r="L5266" s="8" t="n"/>
      <c r="M5266" s="9">
        <f>B5266+30</f>
        <v/>
      </c>
      <c r="N5266">
        <f>IF(L5266="", "", L5266-B5266)</f>
        <v/>
      </c>
      <c r="O5266">
        <f>IF(L5266="", "Pending", IF(N5266&lt;=30, "Met", "Breached"))</f>
        <v/>
      </c>
      <c r="P5266" s="8" t="n"/>
      <c r="Q5266" s="8" t="n"/>
      <c r="R5266" s="8" t="n"/>
      <c r="S5266" s="8" t="n"/>
      <c r="T5266" s="8" t="n"/>
      <c r="U5266" s="8" t="n"/>
      <c r="V5266" s="8" t="n"/>
      <c r="W5266" s="8" t="n"/>
      <c r="X5266" s="8" t="n"/>
      <c r="Y5266" s="8" t="n"/>
    </row>
    <row r="5267">
      <c r="A5267" s="8" t="n"/>
      <c r="B5267" s="8" t="n"/>
      <c r="C5267" s="8" t="n"/>
      <c r="D5267" s="8" t="n"/>
      <c r="E5267" s="8" t="n"/>
      <c r="F5267" s="8" t="n"/>
      <c r="G5267" s="8" t="n"/>
      <c r="H5267" s="8" t="n"/>
      <c r="I5267" s="8" t="n"/>
      <c r="J5267" s="8" t="n"/>
      <c r="K5267" s="8" t="n"/>
      <c r="L5267" s="8" t="n"/>
      <c r="M5267" s="9">
        <f>B5267+30</f>
        <v/>
      </c>
      <c r="N5267">
        <f>IF(L5267="", "", L5267-B5267)</f>
        <v/>
      </c>
      <c r="O5267">
        <f>IF(L5267="", "Pending", IF(N5267&lt;=30, "Met", "Breached"))</f>
        <v/>
      </c>
      <c r="P5267" s="8" t="n"/>
      <c r="Q5267" s="8" t="n"/>
      <c r="R5267" s="8" t="n"/>
      <c r="S5267" s="8" t="n"/>
      <c r="T5267" s="8" t="n"/>
      <c r="U5267" s="8" t="n"/>
      <c r="V5267" s="8" t="n"/>
      <c r="W5267" s="8" t="n"/>
      <c r="X5267" s="8" t="n"/>
      <c r="Y5267" s="8" t="n"/>
    </row>
    <row r="5268">
      <c r="A5268" s="8" t="n"/>
      <c r="B5268" s="8" t="n"/>
      <c r="C5268" s="8" t="n"/>
      <c r="D5268" s="8" t="n"/>
      <c r="E5268" s="8" t="n"/>
      <c r="F5268" s="8" t="n"/>
      <c r="G5268" s="8" t="n"/>
      <c r="H5268" s="8" t="n"/>
      <c r="I5268" s="8" t="n"/>
      <c r="J5268" s="8" t="n"/>
      <c r="K5268" s="8" t="n"/>
      <c r="L5268" s="8" t="n"/>
      <c r="M5268" s="9">
        <f>B5268+30</f>
        <v/>
      </c>
      <c r="N5268">
        <f>IF(L5268="", "", L5268-B5268)</f>
        <v/>
      </c>
      <c r="O5268">
        <f>IF(L5268="", "Pending", IF(N5268&lt;=30, "Met", "Breached"))</f>
        <v/>
      </c>
      <c r="P5268" s="8" t="n"/>
      <c r="Q5268" s="8" t="n"/>
      <c r="R5268" s="8" t="n"/>
      <c r="S5268" s="8" t="n"/>
      <c r="T5268" s="8" t="n"/>
      <c r="U5268" s="8" t="n"/>
      <c r="V5268" s="8" t="n"/>
      <c r="W5268" s="8" t="n"/>
      <c r="X5268" s="8" t="n"/>
      <c r="Y5268" s="8" t="n"/>
    </row>
    <row r="5269">
      <c r="A5269" s="8" t="n"/>
      <c r="B5269" s="8" t="n"/>
      <c r="C5269" s="8" t="n"/>
      <c r="D5269" s="8" t="n"/>
      <c r="E5269" s="8" t="n"/>
      <c r="F5269" s="8" t="n"/>
      <c r="G5269" s="8" t="n"/>
      <c r="H5269" s="8" t="n"/>
      <c r="I5269" s="8" t="n"/>
      <c r="J5269" s="8" t="n"/>
      <c r="K5269" s="8" t="n"/>
      <c r="L5269" s="8" t="n"/>
      <c r="M5269" s="9">
        <f>B5269+30</f>
        <v/>
      </c>
      <c r="N5269">
        <f>IF(L5269="", "", L5269-B5269)</f>
        <v/>
      </c>
      <c r="O5269">
        <f>IF(L5269="", "Pending", IF(N5269&lt;=30, "Met", "Breached"))</f>
        <v/>
      </c>
      <c r="P5269" s="8" t="n"/>
      <c r="Q5269" s="8" t="n"/>
      <c r="R5269" s="8" t="n"/>
      <c r="S5269" s="8" t="n"/>
      <c r="T5269" s="8" t="n"/>
      <c r="U5269" s="8" t="n"/>
      <c r="V5269" s="8" t="n"/>
      <c r="W5269" s="8" t="n"/>
      <c r="X5269" s="8" t="n"/>
      <c r="Y5269" s="8" t="n"/>
    </row>
    <row r="5270">
      <c r="A5270" s="8" t="n"/>
      <c r="B5270" s="8" t="n"/>
      <c r="C5270" s="8" t="n"/>
      <c r="D5270" s="8" t="n"/>
      <c r="E5270" s="8" t="n"/>
      <c r="F5270" s="8" t="n"/>
      <c r="G5270" s="8" t="n"/>
      <c r="H5270" s="8" t="n"/>
      <c r="I5270" s="8" t="n"/>
      <c r="J5270" s="8" t="n"/>
      <c r="K5270" s="8" t="n"/>
      <c r="L5270" s="8" t="n"/>
      <c r="M5270" s="9">
        <f>B5270+30</f>
        <v/>
      </c>
      <c r="N5270">
        <f>IF(L5270="", "", L5270-B5270)</f>
        <v/>
      </c>
      <c r="O5270">
        <f>IF(L5270="", "Pending", IF(N5270&lt;=30, "Met", "Breached"))</f>
        <v/>
      </c>
      <c r="P5270" s="8" t="n"/>
      <c r="Q5270" s="8" t="n"/>
      <c r="R5270" s="8" t="n"/>
      <c r="S5270" s="8" t="n"/>
      <c r="T5270" s="8" t="n"/>
      <c r="U5270" s="8" t="n"/>
      <c r="V5270" s="8" t="n"/>
      <c r="W5270" s="8" t="n"/>
      <c r="X5270" s="8" t="n"/>
      <c r="Y5270" s="8" t="n"/>
    </row>
    <row r="5271">
      <c r="A5271" s="8" t="n"/>
      <c r="B5271" s="8" t="n"/>
      <c r="C5271" s="8" t="n"/>
      <c r="D5271" s="8" t="n"/>
      <c r="E5271" s="8" t="n"/>
      <c r="F5271" s="8" t="n"/>
      <c r="G5271" s="8" t="n"/>
      <c r="H5271" s="8" t="n"/>
      <c r="I5271" s="8" t="n"/>
      <c r="J5271" s="8" t="n"/>
      <c r="K5271" s="8" t="n"/>
      <c r="L5271" s="8" t="n"/>
      <c r="M5271" s="9">
        <f>B5271+30</f>
        <v/>
      </c>
      <c r="N5271">
        <f>IF(L5271="", "", L5271-B5271)</f>
        <v/>
      </c>
      <c r="O5271">
        <f>IF(L5271="", "Pending", IF(N5271&lt;=30, "Met", "Breached"))</f>
        <v/>
      </c>
      <c r="P5271" s="8" t="n"/>
      <c r="Q5271" s="8" t="n"/>
      <c r="R5271" s="8" t="n"/>
      <c r="S5271" s="8" t="n"/>
      <c r="T5271" s="8" t="n"/>
      <c r="U5271" s="8" t="n"/>
      <c r="V5271" s="8" t="n"/>
      <c r="W5271" s="8" t="n"/>
      <c r="X5271" s="8" t="n"/>
      <c r="Y5271" s="8" t="n"/>
    </row>
    <row r="5272">
      <c r="A5272" s="8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8" t="n"/>
      <c r="K5272" s="8" t="n"/>
      <c r="L5272" s="8" t="n"/>
      <c r="M5272" s="9">
        <f>B5272+30</f>
        <v/>
      </c>
      <c r="N5272">
        <f>IF(L5272="", "", L5272-B5272)</f>
        <v/>
      </c>
      <c r="O5272">
        <f>IF(L5272="", "Pending", IF(N5272&lt;=30, "Met", "Breached"))</f>
        <v/>
      </c>
      <c r="P5272" s="8" t="n"/>
      <c r="Q5272" s="8" t="n"/>
      <c r="R5272" s="8" t="n"/>
      <c r="S5272" s="8" t="n"/>
      <c r="T5272" s="8" t="n"/>
      <c r="U5272" s="8" t="n"/>
      <c r="V5272" s="8" t="n"/>
      <c r="W5272" s="8" t="n"/>
      <c r="X5272" s="8" t="n"/>
      <c r="Y5272" s="8" t="n"/>
    </row>
    <row r="5273">
      <c r="A5273" s="8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8" t="n"/>
      <c r="K5273" s="8" t="n"/>
      <c r="L5273" s="8" t="n"/>
      <c r="M5273" s="9">
        <f>B5273+30</f>
        <v/>
      </c>
      <c r="N5273">
        <f>IF(L5273="", "", L5273-B5273)</f>
        <v/>
      </c>
      <c r="O5273">
        <f>IF(L5273="", "Pending", IF(N5273&lt;=30, "Met", "Breached"))</f>
        <v/>
      </c>
      <c r="P5273" s="8" t="n"/>
      <c r="Q5273" s="8" t="n"/>
      <c r="R5273" s="8" t="n"/>
      <c r="S5273" s="8" t="n"/>
      <c r="T5273" s="8" t="n"/>
      <c r="U5273" s="8" t="n"/>
      <c r="V5273" s="8" t="n"/>
      <c r="W5273" s="8" t="n"/>
      <c r="X5273" s="8" t="n"/>
      <c r="Y5273" s="8" t="n"/>
    </row>
    <row r="5274">
      <c r="A5274" s="8" t="n"/>
      <c r="B5274" s="8" t="n"/>
      <c r="C5274" s="8" t="n"/>
      <c r="D5274" s="8" t="n"/>
      <c r="E5274" s="8" t="n"/>
      <c r="F5274" s="8" t="n"/>
      <c r="G5274" s="8" t="n"/>
      <c r="H5274" s="8" t="n"/>
      <c r="I5274" s="8" t="n"/>
      <c r="J5274" s="8" t="n"/>
      <c r="K5274" s="8" t="n"/>
      <c r="L5274" s="8" t="n"/>
      <c r="M5274" s="9">
        <f>B5274+30</f>
        <v/>
      </c>
      <c r="N5274">
        <f>IF(L5274="", "", L5274-B5274)</f>
        <v/>
      </c>
      <c r="O5274">
        <f>IF(L5274="", "Pending", IF(N5274&lt;=30, "Met", "Breached"))</f>
        <v/>
      </c>
      <c r="P5274" s="8" t="n"/>
      <c r="Q5274" s="8" t="n"/>
      <c r="R5274" s="8" t="n"/>
      <c r="S5274" s="8" t="n"/>
      <c r="T5274" s="8" t="n"/>
      <c r="U5274" s="8" t="n"/>
      <c r="V5274" s="8" t="n"/>
      <c r="W5274" s="8" t="n"/>
      <c r="X5274" s="8" t="n"/>
      <c r="Y5274" s="8" t="n"/>
    </row>
    <row r="5275">
      <c r="A5275" s="8" t="n"/>
      <c r="B5275" s="8" t="n"/>
      <c r="C5275" s="8" t="n"/>
      <c r="D5275" s="8" t="n"/>
      <c r="E5275" s="8" t="n"/>
      <c r="F5275" s="8" t="n"/>
      <c r="G5275" s="8" t="n"/>
      <c r="H5275" s="8" t="n"/>
      <c r="I5275" s="8" t="n"/>
      <c r="J5275" s="8" t="n"/>
      <c r="K5275" s="8" t="n"/>
      <c r="L5275" s="8" t="n"/>
      <c r="M5275" s="9">
        <f>B5275+30</f>
        <v/>
      </c>
      <c r="N5275">
        <f>IF(L5275="", "", L5275-B5275)</f>
        <v/>
      </c>
      <c r="O5275">
        <f>IF(L5275="", "Pending", IF(N5275&lt;=30, "Met", "Breached"))</f>
        <v/>
      </c>
      <c r="P5275" s="8" t="n"/>
      <c r="Q5275" s="8" t="n"/>
      <c r="R5275" s="8" t="n"/>
      <c r="S5275" s="8" t="n"/>
      <c r="T5275" s="8" t="n"/>
      <c r="U5275" s="8" t="n"/>
      <c r="V5275" s="8" t="n"/>
      <c r="W5275" s="8" t="n"/>
      <c r="X5275" s="8" t="n"/>
      <c r="Y5275" s="8" t="n"/>
    </row>
    <row r="5276">
      <c r="A5276" s="8" t="n"/>
      <c r="B5276" s="8" t="n"/>
      <c r="C5276" s="8" t="n"/>
      <c r="D5276" s="8" t="n"/>
      <c r="E5276" s="8" t="n"/>
      <c r="F5276" s="8" t="n"/>
      <c r="G5276" s="8" t="n"/>
      <c r="H5276" s="8" t="n"/>
      <c r="I5276" s="8" t="n"/>
      <c r="J5276" s="8" t="n"/>
      <c r="K5276" s="8" t="n"/>
      <c r="L5276" s="8" t="n"/>
      <c r="M5276" s="9">
        <f>B5276+30</f>
        <v/>
      </c>
      <c r="N5276">
        <f>IF(L5276="", "", L5276-B5276)</f>
        <v/>
      </c>
      <c r="O5276">
        <f>IF(L5276="", "Pending", IF(N5276&lt;=30, "Met", "Breached"))</f>
        <v/>
      </c>
      <c r="P5276" s="8" t="n"/>
      <c r="Q5276" s="8" t="n"/>
      <c r="R5276" s="8" t="n"/>
      <c r="S5276" s="8" t="n"/>
      <c r="T5276" s="8" t="n"/>
      <c r="U5276" s="8" t="n"/>
      <c r="V5276" s="8" t="n"/>
      <c r="W5276" s="8" t="n"/>
      <c r="X5276" s="8" t="n"/>
      <c r="Y5276" s="8" t="n"/>
    </row>
    <row r="5277">
      <c r="A5277" s="8" t="n"/>
      <c r="B5277" s="8" t="n"/>
      <c r="C5277" s="8" t="n"/>
      <c r="D5277" s="8" t="n"/>
      <c r="E5277" s="8" t="n"/>
      <c r="F5277" s="8" t="n"/>
      <c r="G5277" s="8" t="n"/>
      <c r="H5277" s="8" t="n"/>
      <c r="I5277" s="8" t="n"/>
      <c r="J5277" s="8" t="n"/>
      <c r="K5277" s="8" t="n"/>
      <c r="L5277" s="8" t="n"/>
      <c r="M5277" s="9">
        <f>B5277+30</f>
        <v/>
      </c>
      <c r="N5277">
        <f>IF(L5277="", "", L5277-B5277)</f>
        <v/>
      </c>
      <c r="O5277">
        <f>IF(L5277="", "Pending", IF(N5277&lt;=30, "Met", "Breached"))</f>
        <v/>
      </c>
      <c r="P5277" s="8" t="n"/>
      <c r="Q5277" s="8" t="n"/>
      <c r="R5277" s="8" t="n"/>
      <c r="S5277" s="8" t="n"/>
      <c r="T5277" s="8" t="n"/>
      <c r="U5277" s="8" t="n"/>
      <c r="V5277" s="8" t="n"/>
      <c r="W5277" s="8" t="n"/>
      <c r="X5277" s="8" t="n"/>
      <c r="Y5277" s="8" t="n"/>
    </row>
    <row r="5278">
      <c r="A5278" s="8" t="n"/>
      <c r="B5278" s="8" t="n"/>
      <c r="C5278" s="8" t="n"/>
      <c r="D5278" s="8" t="n"/>
      <c r="E5278" s="8" t="n"/>
      <c r="F5278" s="8" t="n"/>
      <c r="G5278" s="8" t="n"/>
      <c r="H5278" s="8" t="n"/>
      <c r="I5278" s="8" t="n"/>
      <c r="J5278" s="8" t="n"/>
      <c r="K5278" s="8" t="n"/>
      <c r="L5278" s="8" t="n"/>
      <c r="M5278" s="9">
        <f>B5278+30</f>
        <v/>
      </c>
      <c r="N5278">
        <f>IF(L5278="", "", L5278-B5278)</f>
        <v/>
      </c>
      <c r="O5278">
        <f>IF(L5278="", "Pending", IF(N5278&lt;=30, "Met", "Breached"))</f>
        <v/>
      </c>
      <c r="P5278" s="8" t="n"/>
      <c r="Q5278" s="8" t="n"/>
      <c r="R5278" s="8" t="n"/>
      <c r="S5278" s="8" t="n"/>
      <c r="T5278" s="8" t="n"/>
      <c r="U5278" s="8" t="n"/>
      <c r="V5278" s="8" t="n"/>
      <c r="W5278" s="8" t="n"/>
      <c r="X5278" s="8" t="n"/>
      <c r="Y5278" s="8" t="n"/>
    </row>
    <row r="5279">
      <c r="A5279" s="8" t="n"/>
      <c r="B5279" s="8" t="n"/>
      <c r="C5279" s="8" t="n"/>
      <c r="D5279" s="8" t="n"/>
      <c r="E5279" s="8" t="n"/>
      <c r="F5279" s="8" t="n"/>
      <c r="G5279" s="8" t="n"/>
      <c r="H5279" s="8" t="n"/>
      <c r="I5279" s="8" t="n"/>
      <c r="J5279" s="8" t="n"/>
      <c r="K5279" s="8" t="n"/>
      <c r="L5279" s="8" t="n"/>
      <c r="M5279" s="9">
        <f>B5279+30</f>
        <v/>
      </c>
      <c r="N5279">
        <f>IF(L5279="", "", L5279-B5279)</f>
        <v/>
      </c>
      <c r="O5279">
        <f>IF(L5279="", "Pending", IF(N5279&lt;=30, "Met", "Breached"))</f>
        <v/>
      </c>
      <c r="P5279" s="8" t="n"/>
      <c r="Q5279" s="8" t="n"/>
      <c r="R5279" s="8" t="n"/>
      <c r="S5279" s="8" t="n"/>
      <c r="T5279" s="8" t="n"/>
      <c r="U5279" s="8" t="n"/>
      <c r="V5279" s="8" t="n"/>
      <c r="W5279" s="8" t="n"/>
      <c r="X5279" s="8" t="n"/>
      <c r="Y5279" s="8" t="n"/>
    </row>
    <row r="5280">
      <c r="A5280" s="8" t="n"/>
      <c r="B5280" s="8" t="n"/>
      <c r="C5280" s="8" t="n"/>
      <c r="D5280" s="8" t="n"/>
      <c r="E5280" s="8" t="n"/>
      <c r="F5280" s="8" t="n"/>
      <c r="G5280" s="8" t="n"/>
      <c r="H5280" s="8" t="n"/>
      <c r="I5280" s="8" t="n"/>
      <c r="J5280" s="8" t="n"/>
      <c r="K5280" s="8" t="n"/>
      <c r="L5280" s="8" t="n"/>
      <c r="M5280" s="9">
        <f>B5280+30</f>
        <v/>
      </c>
      <c r="N5280">
        <f>IF(L5280="", "", L5280-B5280)</f>
        <v/>
      </c>
      <c r="O5280">
        <f>IF(L5280="", "Pending", IF(N5280&lt;=30, "Met", "Breached"))</f>
        <v/>
      </c>
      <c r="P5280" s="8" t="n"/>
      <c r="Q5280" s="8" t="n"/>
      <c r="R5280" s="8" t="n"/>
      <c r="S5280" s="8" t="n"/>
      <c r="T5280" s="8" t="n"/>
      <c r="U5280" s="8" t="n"/>
      <c r="V5280" s="8" t="n"/>
      <c r="W5280" s="8" t="n"/>
      <c r="X5280" s="8" t="n"/>
      <c r="Y5280" s="8" t="n"/>
    </row>
    <row r="5281">
      <c r="A5281" s="8" t="n"/>
      <c r="B5281" s="8" t="n"/>
      <c r="C5281" s="8" t="n"/>
      <c r="D5281" s="8" t="n"/>
      <c r="E5281" s="8" t="n"/>
      <c r="F5281" s="8" t="n"/>
      <c r="G5281" s="8" t="n"/>
      <c r="H5281" s="8" t="n"/>
      <c r="I5281" s="8" t="n"/>
      <c r="J5281" s="8" t="n"/>
      <c r="K5281" s="8" t="n"/>
      <c r="L5281" s="8" t="n"/>
      <c r="M5281" s="9">
        <f>B5281+30</f>
        <v/>
      </c>
      <c r="N5281">
        <f>IF(L5281="", "", L5281-B5281)</f>
        <v/>
      </c>
      <c r="O5281">
        <f>IF(L5281="", "Pending", IF(N5281&lt;=30, "Met", "Breached"))</f>
        <v/>
      </c>
      <c r="P5281" s="8" t="n"/>
      <c r="Q5281" s="8" t="n"/>
      <c r="R5281" s="8" t="n"/>
      <c r="S5281" s="8" t="n"/>
      <c r="T5281" s="8" t="n"/>
      <c r="U5281" s="8" t="n"/>
      <c r="V5281" s="8" t="n"/>
      <c r="W5281" s="8" t="n"/>
      <c r="X5281" s="8" t="n"/>
      <c r="Y5281" s="8" t="n"/>
    </row>
    <row r="5282">
      <c r="A5282" s="8" t="n"/>
      <c r="B5282" s="8" t="n"/>
      <c r="C5282" s="8" t="n"/>
      <c r="D5282" s="8" t="n"/>
      <c r="E5282" s="8" t="n"/>
      <c r="F5282" s="8" t="n"/>
      <c r="G5282" s="8" t="n"/>
      <c r="H5282" s="8" t="n"/>
      <c r="I5282" s="8" t="n"/>
      <c r="J5282" s="8" t="n"/>
      <c r="K5282" s="8" t="n"/>
      <c r="L5282" s="8" t="n"/>
      <c r="M5282" s="9">
        <f>B5282+30</f>
        <v/>
      </c>
      <c r="N5282">
        <f>IF(L5282="", "", L5282-B5282)</f>
        <v/>
      </c>
      <c r="O5282">
        <f>IF(L5282="", "Pending", IF(N5282&lt;=30, "Met", "Breached"))</f>
        <v/>
      </c>
      <c r="P5282" s="8" t="n"/>
      <c r="Q5282" s="8" t="n"/>
      <c r="R5282" s="8" t="n"/>
      <c r="S5282" s="8" t="n"/>
      <c r="T5282" s="8" t="n"/>
      <c r="U5282" s="8" t="n"/>
      <c r="V5282" s="8" t="n"/>
      <c r="W5282" s="8" t="n"/>
      <c r="X5282" s="8" t="n"/>
      <c r="Y5282" s="8" t="n"/>
    </row>
    <row r="5283">
      <c r="A5283" s="8" t="n"/>
      <c r="B5283" s="8" t="n"/>
      <c r="C5283" s="8" t="n"/>
      <c r="D5283" s="8" t="n"/>
      <c r="E5283" s="8" t="n"/>
      <c r="F5283" s="8" t="n"/>
      <c r="G5283" s="8" t="n"/>
      <c r="H5283" s="8" t="n"/>
      <c r="I5283" s="8" t="n"/>
      <c r="J5283" s="8" t="n"/>
      <c r="K5283" s="8" t="n"/>
      <c r="L5283" s="8" t="n"/>
      <c r="M5283" s="9">
        <f>B5283+30</f>
        <v/>
      </c>
      <c r="N5283">
        <f>IF(L5283="", "", L5283-B5283)</f>
        <v/>
      </c>
      <c r="O5283">
        <f>IF(L5283="", "Pending", IF(N5283&lt;=30, "Met", "Breached"))</f>
        <v/>
      </c>
      <c r="P5283" s="8" t="n"/>
      <c r="Q5283" s="8" t="n"/>
      <c r="R5283" s="8" t="n"/>
      <c r="S5283" s="8" t="n"/>
      <c r="T5283" s="8" t="n"/>
      <c r="U5283" s="8" t="n"/>
      <c r="V5283" s="8" t="n"/>
      <c r="W5283" s="8" t="n"/>
      <c r="X5283" s="8" t="n"/>
      <c r="Y5283" s="8" t="n"/>
    </row>
    <row r="5284">
      <c r="A5284" s="8" t="n"/>
      <c r="B5284" s="8" t="n"/>
      <c r="C5284" s="8" t="n"/>
      <c r="D5284" s="8" t="n"/>
      <c r="E5284" s="8" t="n"/>
      <c r="F5284" s="8" t="n"/>
      <c r="G5284" s="8" t="n"/>
      <c r="H5284" s="8" t="n"/>
      <c r="I5284" s="8" t="n"/>
      <c r="J5284" s="8" t="n"/>
      <c r="K5284" s="8" t="n"/>
      <c r="L5284" s="8" t="n"/>
      <c r="M5284" s="9">
        <f>B5284+30</f>
        <v/>
      </c>
      <c r="N5284">
        <f>IF(L5284="", "", L5284-B5284)</f>
        <v/>
      </c>
      <c r="O5284">
        <f>IF(L5284="", "Pending", IF(N5284&lt;=30, "Met", "Breached"))</f>
        <v/>
      </c>
      <c r="P5284" s="8" t="n"/>
      <c r="Q5284" s="8" t="n"/>
      <c r="R5284" s="8" t="n"/>
      <c r="S5284" s="8" t="n"/>
      <c r="T5284" s="8" t="n"/>
      <c r="U5284" s="8" t="n"/>
      <c r="V5284" s="8" t="n"/>
      <c r="W5284" s="8" t="n"/>
      <c r="X5284" s="8" t="n"/>
      <c r="Y5284" s="8" t="n"/>
    </row>
    <row r="5285">
      <c r="A5285" s="8" t="n"/>
      <c r="B5285" s="8" t="n"/>
      <c r="C5285" s="8" t="n"/>
      <c r="D5285" s="8" t="n"/>
      <c r="E5285" s="8" t="n"/>
      <c r="F5285" s="8" t="n"/>
      <c r="G5285" s="8" t="n"/>
      <c r="H5285" s="8" t="n"/>
      <c r="I5285" s="8" t="n"/>
      <c r="J5285" s="8" t="n"/>
      <c r="K5285" s="8" t="n"/>
      <c r="L5285" s="8" t="n"/>
      <c r="M5285" s="9">
        <f>B5285+30</f>
        <v/>
      </c>
      <c r="N5285">
        <f>IF(L5285="", "", L5285-B5285)</f>
        <v/>
      </c>
      <c r="O5285">
        <f>IF(L5285="", "Pending", IF(N5285&lt;=30, "Met", "Breached"))</f>
        <v/>
      </c>
      <c r="P5285" s="8" t="n"/>
      <c r="Q5285" s="8" t="n"/>
      <c r="R5285" s="8" t="n"/>
      <c r="S5285" s="8" t="n"/>
      <c r="T5285" s="8" t="n"/>
      <c r="U5285" s="8" t="n"/>
      <c r="V5285" s="8" t="n"/>
      <c r="W5285" s="8" t="n"/>
      <c r="X5285" s="8" t="n"/>
      <c r="Y5285" s="8" t="n"/>
    </row>
    <row r="5286">
      <c r="A5286" s="8" t="n"/>
      <c r="B5286" s="8" t="n"/>
      <c r="C5286" s="8" t="n"/>
      <c r="D5286" s="8" t="n"/>
      <c r="E5286" s="8" t="n"/>
      <c r="F5286" s="8" t="n"/>
      <c r="G5286" s="8" t="n"/>
      <c r="H5286" s="8" t="n"/>
      <c r="I5286" s="8" t="n"/>
      <c r="J5286" s="8" t="n"/>
      <c r="K5286" s="8" t="n"/>
      <c r="L5286" s="8" t="n"/>
      <c r="M5286" s="9">
        <f>B5286+30</f>
        <v/>
      </c>
      <c r="N5286">
        <f>IF(L5286="", "", L5286-B5286)</f>
        <v/>
      </c>
      <c r="O5286">
        <f>IF(L5286="", "Pending", IF(N5286&lt;=30, "Met", "Breached"))</f>
        <v/>
      </c>
      <c r="P5286" s="8" t="n"/>
      <c r="Q5286" s="8" t="n"/>
      <c r="R5286" s="8" t="n"/>
      <c r="S5286" s="8" t="n"/>
      <c r="T5286" s="8" t="n"/>
      <c r="U5286" s="8" t="n"/>
      <c r="V5286" s="8" t="n"/>
      <c r="W5286" s="8" t="n"/>
      <c r="X5286" s="8" t="n"/>
      <c r="Y5286" s="8" t="n"/>
    </row>
    <row r="5287">
      <c r="A5287" s="8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8" t="n"/>
      <c r="K5287" s="8" t="n"/>
      <c r="L5287" s="8" t="n"/>
      <c r="M5287" s="9">
        <f>B5287+30</f>
        <v/>
      </c>
      <c r="N5287">
        <f>IF(L5287="", "", L5287-B5287)</f>
        <v/>
      </c>
      <c r="O5287">
        <f>IF(L5287="", "Pending", IF(N5287&lt;=30, "Met", "Breached"))</f>
        <v/>
      </c>
      <c r="P5287" s="8" t="n"/>
      <c r="Q5287" s="8" t="n"/>
      <c r="R5287" s="8" t="n"/>
      <c r="S5287" s="8" t="n"/>
      <c r="T5287" s="8" t="n"/>
      <c r="U5287" s="8" t="n"/>
      <c r="V5287" s="8" t="n"/>
      <c r="W5287" s="8" t="n"/>
      <c r="X5287" s="8" t="n"/>
      <c r="Y5287" s="8" t="n"/>
    </row>
    <row r="5288">
      <c r="A5288" s="8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8" t="n"/>
      <c r="K5288" s="8" t="n"/>
      <c r="L5288" s="8" t="n"/>
      <c r="M5288" s="9">
        <f>B5288+30</f>
        <v/>
      </c>
      <c r="N5288">
        <f>IF(L5288="", "", L5288-B5288)</f>
        <v/>
      </c>
      <c r="O5288">
        <f>IF(L5288="", "Pending", IF(N5288&lt;=30, "Met", "Breached"))</f>
        <v/>
      </c>
      <c r="P5288" s="8" t="n"/>
      <c r="Q5288" s="8" t="n"/>
      <c r="R5288" s="8" t="n"/>
      <c r="S5288" s="8" t="n"/>
      <c r="T5288" s="8" t="n"/>
      <c r="U5288" s="8" t="n"/>
      <c r="V5288" s="8" t="n"/>
      <c r="W5288" s="8" t="n"/>
      <c r="X5288" s="8" t="n"/>
      <c r="Y5288" s="8" t="n"/>
    </row>
    <row r="5289">
      <c r="A5289" s="8" t="n"/>
      <c r="B5289" s="8" t="n"/>
      <c r="C5289" s="8" t="n"/>
      <c r="D5289" s="8" t="n"/>
      <c r="E5289" s="8" t="n"/>
      <c r="F5289" s="8" t="n"/>
      <c r="G5289" s="8" t="n"/>
      <c r="H5289" s="8" t="n"/>
      <c r="I5289" s="8" t="n"/>
      <c r="J5289" s="8" t="n"/>
      <c r="K5289" s="8" t="n"/>
      <c r="L5289" s="8" t="n"/>
      <c r="M5289" s="9">
        <f>B5289+30</f>
        <v/>
      </c>
      <c r="N5289">
        <f>IF(L5289="", "", L5289-B5289)</f>
        <v/>
      </c>
      <c r="O5289">
        <f>IF(L5289="", "Pending", IF(N5289&lt;=30, "Met", "Breached"))</f>
        <v/>
      </c>
      <c r="P5289" s="8" t="n"/>
      <c r="Q5289" s="8" t="n"/>
      <c r="R5289" s="8" t="n"/>
      <c r="S5289" s="8" t="n"/>
      <c r="T5289" s="8" t="n"/>
      <c r="U5289" s="8" t="n"/>
      <c r="V5289" s="8" t="n"/>
      <c r="W5289" s="8" t="n"/>
      <c r="X5289" s="8" t="n"/>
      <c r="Y5289" s="8" t="n"/>
    </row>
    <row r="5290">
      <c r="A5290" s="8" t="n"/>
      <c r="B5290" s="8" t="n"/>
      <c r="C5290" s="8" t="n"/>
      <c r="D5290" s="8" t="n"/>
      <c r="E5290" s="8" t="n"/>
      <c r="F5290" s="8" t="n"/>
      <c r="G5290" s="8" t="n"/>
      <c r="H5290" s="8" t="n"/>
      <c r="I5290" s="8" t="n"/>
      <c r="J5290" s="8" t="n"/>
      <c r="K5290" s="8" t="n"/>
      <c r="L5290" s="8" t="n"/>
      <c r="M5290" s="9">
        <f>B5290+30</f>
        <v/>
      </c>
      <c r="N5290">
        <f>IF(L5290="", "", L5290-B5290)</f>
        <v/>
      </c>
      <c r="O5290">
        <f>IF(L5290="", "Pending", IF(N5290&lt;=30, "Met", "Breached"))</f>
        <v/>
      </c>
      <c r="P5290" s="8" t="n"/>
      <c r="Q5290" s="8" t="n"/>
      <c r="R5290" s="8" t="n"/>
      <c r="S5290" s="8" t="n"/>
      <c r="T5290" s="8" t="n"/>
      <c r="U5290" s="8" t="n"/>
      <c r="V5290" s="8" t="n"/>
      <c r="W5290" s="8" t="n"/>
      <c r="X5290" s="8" t="n"/>
      <c r="Y5290" s="8" t="n"/>
    </row>
    <row r="5291">
      <c r="A5291" s="8" t="n"/>
      <c r="B5291" s="8" t="n"/>
      <c r="C5291" s="8" t="n"/>
      <c r="D5291" s="8" t="n"/>
      <c r="E5291" s="8" t="n"/>
      <c r="F5291" s="8" t="n"/>
      <c r="G5291" s="8" t="n"/>
      <c r="H5291" s="8" t="n"/>
      <c r="I5291" s="8" t="n"/>
      <c r="J5291" s="8" t="n"/>
      <c r="K5291" s="8" t="n"/>
      <c r="L5291" s="8" t="n"/>
      <c r="M5291" s="9">
        <f>B5291+30</f>
        <v/>
      </c>
      <c r="N5291">
        <f>IF(L5291="", "", L5291-B5291)</f>
        <v/>
      </c>
      <c r="O5291">
        <f>IF(L5291="", "Pending", IF(N5291&lt;=30, "Met", "Breached"))</f>
        <v/>
      </c>
      <c r="P5291" s="8" t="n"/>
      <c r="Q5291" s="8" t="n"/>
      <c r="R5291" s="8" t="n"/>
      <c r="S5291" s="8" t="n"/>
      <c r="T5291" s="8" t="n"/>
      <c r="U5291" s="8" t="n"/>
      <c r="V5291" s="8" t="n"/>
      <c r="W5291" s="8" t="n"/>
      <c r="X5291" s="8" t="n"/>
      <c r="Y5291" s="8" t="n"/>
    </row>
    <row r="5292">
      <c r="A5292" s="8" t="n"/>
      <c r="B5292" s="8" t="n"/>
      <c r="C5292" s="8" t="n"/>
      <c r="D5292" s="8" t="n"/>
      <c r="E5292" s="8" t="n"/>
      <c r="F5292" s="8" t="n"/>
      <c r="G5292" s="8" t="n"/>
      <c r="H5292" s="8" t="n"/>
      <c r="I5292" s="8" t="n"/>
      <c r="J5292" s="8" t="n"/>
      <c r="K5292" s="8" t="n"/>
      <c r="L5292" s="8" t="n"/>
      <c r="M5292" s="9">
        <f>B5292+30</f>
        <v/>
      </c>
      <c r="N5292">
        <f>IF(L5292="", "", L5292-B5292)</f>
        <v/>
      </c>
      <c r="O5292">
        <f>IF(L5292="", "Pending", IF(N5292&lt;=30, "Met", "Breached"))</f>
        <v/>
      </c>
      <c r="P5292" s="8" t="n"/>
      <c r="Q5292" s="8" t="n"/>
      <c r="R5292" s="8" t="n"/>
      <c r="S5292" s="8" t="n"/>
      <c r="T5292" s="8" t="n"/>
      <c r="U5292" s="8" t="n"/>
      <c r="V5292" s="8" t="n"/>
      <c r="W5292" s="8" t="n"/>
      <c r="X5292" s="8" t="n"/>
      <c r="Y5292" s="8" t="n"/>
    </row>
    <row r="5293">
      <c r="A5293" s="8" t="n"/>
      <c r="B5293" s="8" t="n"/>
      <c r="C5293" s="8" t="n"/>
      <c r="D5293" s="8" t="n"/>
      <c r="E5293" s="8" t="n"/>
      <c r="F5293" s="8" t="n"/>
      <c r="G5293" s="8" t="n"/>
      <c r="H5293" s="8" t="n"/>
      <c r="I5293" s="8" t="n"/>
      <c r="J5293" s="8" t="n"/>
      <c r="K5293" s="8" t="n"/>
      <c r="L5293" s="8" t="n"/>
      <c r="M5293" s="9">
        <f>B5293+30</f>
        <v/>
      </c>
      <c r="N5293">
        <f>IF(L5293="", "", L5293-B5293)</f>
        <v/>
      </c>
      <c r="O5293">
        <f>IF(L5293="", "Pending", IF(N5293&lt;=30, "Met", "Breached"))</f>
        <v/>
      </c>
      <c r="P5293" s="8" t="n"/>
      <c r="Q5293" s="8" t="n"/>
      <c r="R5293" s="8" t="n"/>
      <c r="S5293" s="8" t="n"/>
      <c r="T5293" s="8" t="n"/>
      <c r="U5293" s="8" t="n"/>
      <c r="V5293" s="8" t="n"/>
      <c r="W5293" s="8" t="n"/>
      <c r="X5293" s="8" t="n"/>
      <c r="Y5293" s="8" t="n"/>
    </row>
    <row r="5294">
      <c r="A5294" s="8" t="n"/>
      <c r="B5294" s="8" t="n"/>
      <c r="C5294" s="8" t="n"/>
      <c r="D5294" s="8" t="n"/>
      <c r="E5294" s="8" t="n"/>
      <c r="F5294" s="8" t="n"/>
      <c r="G5294" s="8" t="n"/>
      <c r="H5294" s="8" t="n"/>
      <c r="I5294" s="8" t="n"/>
      <c r="J5294" s="8" t="n"/>
      <c r="K5294" s="8" t="n"/>
      <c r="L5294" s="8" t="n"/>
      <c r="M5294" s="9">
        <f>B5294+30</f>
        <v/>
      </c>
      <c r="N5294">
        <f>IF(L5294="", "", L5294-B5294)</f>
        <v/>
      </c>
      <c r="O5294">
        <f>IF(L5294="", "Pending", IF(N5294&lt;=30, "Met", "Breached"))</f>
        <v/>
      </c>
      <c r="P5294" s="8" t="n"/>
      <c r="Q5294" s="8" t="n"/>
      <c r="R5294" s="8" t="n"/>
      <c r="S5294" s="8" t="n"/>
      <c r="T5294" s="8" t="n"/>
      <c r="U5294" s="8" t="n"/>
      <c r="V5294" s="8" t="n"/>
      <c r="W5294" s="8" t="n"/>
      <c r="X5294" s="8" t="n"/>
      <c r="Y5294" s="8" t="n"/>
    </row>
    <row r="5295">
      <c r="A5295" s="8" t="n"/>
      <c r="B5295" s="8" t="n"/>
      <c r="C5295" s="8" t="n"/>
      <c r="D5295" s="8" t="n"/>
      <c r="E5295" s="8" t="n"/>
      <c r="F5295" s="8" t="n"/>
      <c r="G5295" s="8" t="n"/>
      <c r="H5295" s="8" t="n"/>
      <c r="I5295" s="8" t="n"/>
      <c r="J5295" s="8" t="n"/>
      <c r="K5295" s="8" t="n"/>
      <c r="L5295" s="8" t="n"/>
      <c r="M5295" s="9">
        <f>B5295+30</f>
        <v/>
      </c>
      <c r="N5295">
        <f>IF(L5295="", "", L5295-B5295)</f>
        <v/>
      </c>
      <c r="O5295">
        <f>IF(L5295="", "Pending", IF(N5295&lt;=30, "Met", "Breached"))</f>
        <v/>
      </c>
      <c r="P5295" s="8" t="n"/>
      <c r="Q5295" s="8" t="n"/>
      <c r="R5295" s="8" t="n"/>
      <c r="S5295" s="8" t="n"/>
      <c r="T5295" s="8" t="n"/>
      <c r="U5295" s="8" t="n"/>
      <c r="V5295" s="8" t="n"/>
      <c r="W5295" s="8" t="n"/>
      <c r="X5295" s="8" t="n"/>
      <c r="Y5295" s="8" t="n"/>
    </row>
    <row r="5296">
      <c r="A5296" s="8" t="n"/>
      <c r="B5296" s="8" t="n"/>
      <c r="C5296" s="8" t="n"/>
      <c r="D5296" s="8" t="n"/>
      <c r="E5296" s="8" t="n"/>
      <c r="F5296" s="8" t="n"/>
      <c r="G5296" s="8" t="n"/>
      <c r="H5296" s="8" t="n"/>
      <c r="I5296" s="8" t="n"/>
      <c r="J5296" s="8" t="n"/>
      <c r="K5296" s="8" t="n"/>
      <c r="L5296" s="8" t="n"/>
      <c r="M5296" s="9">
        <f>B5296+30</f>
        <v/>
      </c>
      <c r="N5296">
        <f>IF(L5296="", "", L5296-B5296)</f>
        <v/>
      </c>
      <c r="O5296">
        <f>IF(L5296="", "Pending", IF(N5296&lt;=30, "Met", "Breached"))</f>
        <v/>
      </c>
      <c r="P5296" s="8" t="n"/>
      <c r="Q5296" s="8" t="n"/>
      <c r="R5296" s="8" t="n"/>
      <c r="S5296" s="8" t="n"/>
      <c r="T5296" s="8" t="n"/>
      <c r="U5296" s="8" t="n"/>
      <c r="V5296" s="8" t="n"/>
      <c r="W5296" s="8" t="n"/>
      <c r="X5296" s="8" t="n"/>
      <c r="Y5296" s="8" t="n"/>
    </row>
    <row r="5297">
      <c r="A5297" s="8" t="n"/>
      <c r="B5297" s="8" t="n"/>
      <c r="C5297" s="8" t="n"/>
      <c r="D5297" s="8" t="n"/>
      <c r="E5297" s="8" t="n"/>
      <c r="F5297" s="8" t="n"/>
      <c r="G5297" s="8" t="n"/>
      <c r="H5297" s="8" t="n"/>
      <c r="I5297" s="8" t="n"/>
      <c r="J5297" s="8" t="n"/>
      <c r="K5297" s="8" t="n"/>
      <c r="L5297" s="8" t="n"/>
      <c r="M5297" s="9">
        <f>B5297+30</f>
        <v/>
      </c>
      <c r="N5297">
        <f>IF(L5297="", "", L5297-B5297)</f>
        <v/>
      </c>
      <c r="O5297">
        <f>IF(L5297="", "Pending", IF(N5297&lt;=30, "Met", "Breached"))</f>
        <v/>
      </c>
      <c r="P5297" s="8" t="n"/>
      <c r="Q5297" s="8" t="n"/>
      <c r="R5297" s="8" t="n"/>
      <c r="S5297" s="8" t="n"/>
      <c r="T5297" s="8" t="n"/>
      <c r="U5297" s="8" t="n"/>
      <c r="V5297" s="8" t="n"/>
      <c r="W5297" s="8" t="n"/>
      <c r="X5297" s="8" t="n"/>
      <c r="Y5297" s="8" t="n"/>
    </row>
    <row r="5298">
      <c r="A5298" s="8" t="n"/>
      <c r="B5298" s="8" t="n"/>
      <c r="C5298" s="8" t="n"/>
      <c r="D5298" s="8" t="n"/>
      <c r="E5298" s="8" t="n"/>
      <c r="F5298" s="8" t="n"/>
      <c r="G5298" s="8" t="n"/>
      <c r="H5298" s="8" t="n"/>
      <c r="I5298" s="8" t="n"/>
      <c r="J5298" s="8" t="n"/>
      <c r="K5298" s="8" t="n"/>
      <c r="L5298" s="8" t="n"/>
      <c r="M5298" s="9">
        <f>B5298+30</f>
        <v/>
      </c>
      <c r="N5298">
        <f>IF(L5298="", "", L5298-B5298)</f>
        <v/>
      </c>
      <c r="O5298">
        <f>IF(L5298="", "Pending", IF(N5298&lt;=30, "Met", "Breached"))</f>
        <v/>
      </c>
      <c r="P5298" s="8" t="n"/>
      <c r="Q5298" s="8" t="n"/>
      <c r="R5298" s="8" t="n"/>
      <c r="S5298" s="8" t="n"/>
      <c r="T5298" s="8" t="n"/>
      <c r="U5298" s="8" t="n"/>
      <c r="V5298" s="8" t="n"/>
      <c r="W5298" s="8" t="n"/>
      <c r="X5298" s="8" t="n"/>
      <c r="Y5298" s="8" t="n"/>
    </row>
    <row r="5299">
      <c r="A5299" s="8" t="n"/>
      <c r="B5299" s="8" t="n"/>
      <c r="C5299" s="8" t="n"/>
      <c r="D5299" s="8" t="n"/>
      <c r="E5299" s="8" t="n"/>
      <c r="F5299" s="8" t="n"/>
      <c r="G5299" s="8" t="n"/>
      <c r="H5299" s="8" t="n"/>
      <c r="I5299" s="8" t="n"/>
      <c r="J5299" s="8" t="n"/>
      <c r="K5299" s="8" t="n"/>
      <c r="L5299" s="8" t="n"/>
      <c r="M5299" s="9">
        <f>B5299+30</f>
        <v/>
      </c>
      <c r="N5299">
        <f>IF(L5299="", "", L5299-B5299)</f>
        <v/>
      </c>
      <c r="O5299">
        <f>IF(L5299="", "Pending", IF(N5299&lt;=30, "Met", "Breached"))</f>
        <v/>
      </c>
      <c r="P5299" s="8" t="n"/>
      <c r="Q5299" s="8" t="n"/>
      <c r="R5299" s="8" t="n"/>
      <c r="S5299" s="8" t="n"/>
      <c r="T5299" s="8" t="n"/>
      <c r="U5299" s="8" t="n"/>
      <c r="V5299" s="8" t="n"/>
      <c r="W5299" s="8" t="n"/>
      <c r="X5299" s="8" t="n"/>
      <c r="Y5299" s="8" t="n"/>
    </row>
    <row r="5300">
      <c r="A5300" s="8" t="n"/>
      <c r="B5300" s="8" t="n"/>
      <c r="C5300" s="8" t="n"/>
      <c r="D5300" s="8" t="n"/>
      <c r="E5300" s="8" t="n"/>
      <c r="F5300" s="8" t="n"/>
      <c r="G5300" s="8" t="n"/>
      <c r="H5300" s="8" t="n"/>
      <c r="I5300" s="8" t="n"/>
      <c r="J5300" s="8" t="n"/>
      <c r="K5300" s="8" t="n"/>
      <c r="L5300" s="8" t="n"/>
      <c r="M5300" s="9">
        <f>B5300+30</f>
        <v/>
      </c>
      <c r="N5300">
        <f>IF(L5300="", "", L5300-B5300)</f>
        <v/>
      </c>
      <c r="O5300">
        <f>IF(L5300="", "Pending", IF(N5300&lt;=30, "Met", "Breached"))</f>
        <v/>
      </c>
      <c r="P5300" s="8" t="n"/>
      <c r="Q5300" s="8" t="n"/>
      <c r="R5300" s="8" t="n"/>
      <c r="S5300" s="8" t="n"/>
      <c r="T5300" s="8" t="n"/>
      <c r="U5300" s="8" t="n"/>
      <c r="V5300" s="8" t="n"/>
      <c r="W5300" s="8" t="n"/>
      <c r="X5300" s="8" t="n"/>
      <c r="Y5300" s="8" t="n"/>
    </row>
    <row r="5301">
      <c r="A5301" s="8" t="n"/>
      <c r="B5301" s="8" t="n"/>
      <c r="C5301" s="8" t="n"/>
      <c r="D5301" s="8" t="n"/>
      <c r="E5301" s="8" t="n"/>
      <c r="F5301" s="8" t="n"/>
      <c r="G5301" s="8" t="n"/>
      <c r="H5301" s="8" t="n"/>
      <c r="I5301" s="8" t="n"/>
      <c r="J5301" s="8" t="n"/>
      <c r="K5301" s="8" t="n"/>
      <c r="L5301" s="8" t="n"/>
      <c r="M5301" s="9">
        <f>B5301+30</f>
        <v/>
      </c>
      <c r="N5301">
        <f>IF(L5301="", "", L5301-B5301)</f>
        <v/>
      </c>
      <c r="O5301">
        <f>IF(L5301="", "Pending", IF(N5301&lt;=30, "Met", "Breached"))</f>
        <v/>
      </c>
      <c r="P5301" s="8" t="n"/>
      <c r="Q5301" s="8" t="n"/>
      <c r="R5301" s="8" t="n"/>
      <c r="S5301" s="8" t="n"/>
      <c r="T5301" s="8" t="n"/>
      <c r="U5301" s="8" t="n"/>
      <c r="V5301" s="8" t="n"/>
      <c r="W5301" s="8" t="n"/>
      <c r="X5301" s="8" t="n"/>
      <c r="Y5301" s="8" t="n"/>
    </row>
    <row r="5302">
      <c r="A5302" s="8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8" t="n"/>
      <c r="K5302" s="8" t="n"/>
      <c r="L5302" s="8" t="n"/>
      <c r="M5302" s="9">
        <f>B5302+30</f>
        <v/>
      </c>
      <c r="N5302">
        <f>IF(L5302="", "", L5302-B5302)</f>
        <v/>
      </c>
      <c r="O5302">
        <f>IF(L5302="", "Pending", IF(N5302&lt;=30, "Met", "Breached"))</f>
        <v/>
      </c>
      <c r="P5302" s="8" t="n"/>
      <c r="Q5302" s="8" t="n"/>
      <c r="R5302" s="8" t="n"/>
      <c r="S5302" s="8" t="n"/>
      <c r="T5302" s="8" t="n"/>
      <c r="U5302" s="8" t="n"/>
      <c r="V5302" s="8" t="n"/>
      <c r="W5302" s="8" t="n"/>
      <c r="X5302" s="8" t="n"/>
      <c r="Y5302" s="8" t="n"/>
    </row>
    <row r="5303">
      <c r="A5303" s="8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8" t="n"/>
      <c r="K5303" s="8" t="n"/>
      <c r="L5303" s="8" t="n"/>
      <c r="M5303" s="9">
        <f>B5303+30</f>
        <v/>
      </c>
      <c r="N5303">
        <f>IF(L5303="", "", L5303-B5303)</f>
        <v/>
      </c>
      <c r="O5303">
        <f>IF(L5303="", "Pending", IF(N5303&lt;=30, "Met", "Breached"))</f>
        <v/>
      </c>
      <c r="P5303" s="8" t="n"/>
      <c r="Q5303" s="8" t="n"/>
      <c r="R5303" s="8" t="n"/>
      <c r="S5303" s="8" t="n"/>
      <c r="T5303" s="8" t="n"/>
      <c r="U5303" s="8" t="n"/>
      <c r="V5303" s="8" t="n"/>
      <c r="W5303" s="8" t="n"/>
      <c r="X5303" s="8" t="n"/>
      <c r="Y5303" s="8" t="n"/>
    </row>
    <row r="5304">
      <c r="A5304" s="8" t="n"/>
      <c r="B5304" s="8" t="n"/>
      <c r="C5304" s="8" t="n"/>
      <c r="D5304" s="8" t="n"/>
      <c r="E5304" s="8" t="n"/>
      <c r="F5304" s="8" t="n"/>
      <c r="G5304" s="8" t="n"/>
      <c r="H5304" s="8" t="n"/>
      <c r="I5304" s="8" t="n"/>
      <c r="J5304" s="8" t="n"/>
      <c r="K5304" s="8" t="n"/>
      <c r="L5304" s="8" t="n"/>
      <c r="M5304" s="9">
        <f>B5304+30</f>
        <v/>
      </c>
      <c r="N5304">
        <f>IF(L5304="", "", L5304-B5304)</f>
        <v/>
      </c>
      <c r="O5304">
        <f>IF(L5304="", "Pending", IF(N5304&lt;=30, "Met", "Breached"))</f>
        <v/>
      </c>
      <c r="P5304" s="8" t="n"/>
      <c r="Q5304" s="8" t="n"/>
      <c r="R5304" s="8" t="n"/>
      <c r="S5304" s="8" t="n"/>
      <c r="T5304" s="8" t="n"/>
      <c r="U5304" s="8" t="n"/>
      <c r="V5304" s="8" t="n"/>
      <c r="W5304" s="8" t="n"/>
      <c r="X5304" s="8" t="n"/>
      <c r="Y5304" s="8" t="n"/>
    </row>
    <row r="5305">
      <c r="A5305" s="8" t="n"/>
      <c r="B5305" s="8" t="n"/>
      <c r="C5305" s="8" t="n"/>
      <c r="D5305" s="8" t="n"/>
      <c r="E5305" s="8" t="n"/>
      <c r="F5305" s="8" t="n"/>
      <c r="G5305" s="8" t="n"/>
      <c r="H5305" s="8" t="n"/>
      <c r="I5305" s="8" t="n"/>
      <c r="J5305" s="8" t="n"/>
      <c r="K5305" s="8" t="n"/>
      <c r="L5305" s="8" t="n"/>
      <c r="M5305" s="9">
        <f>B5305+30</f>
        <v/>
      </c>
      <c r="N5305">
        <f>IF(L5305="", "", L5305-B5305)</f>
        <v/>
      </c>
      <c r="O5305">
        <f>IF(L5305="", "Pending", IF(N5305&lt;=30, "Met", "Breached"))</f>
        <v/>
      </c>
      <c r="P5305" s="8" t="n"/>
      <c r="Q5305" s="8" t="n"/>
      <c r="R5305" s="8" t="n"/>
      <c r="S5305" s="8" t="n"/>
      <c r="T5305" s="8" t="n"/>
      <c r="U5305" s="8" t="n"/>
      <c r="V5305" s="8" t="n"/>
      <c r="W5305" s="8" t="n"/>
      <c r="X5305" s="8" t="n"/>
      <c r="Y5305" s="8" t="n"/>
    </row>
    <row r="5306">
      <c r="A5306" s="8" t="n"/>
      <c r="B5306" s="8" t="n"/>
      <c r="C5306" s="8" t="n"/>
      <c r="D5306" s="8" t="n"/>
      <c r="E5306" s="8" t="n"/>
      <c r="F5306" s="8" t="n"/>
      <c r="G5306" s="8" t="n"/>
      <c r="H5306" s="8" t="n"/>
      <c r="I5306" s="8" t="n"/>
      <c r="J5306" s="8" t="n"/>
      <c r="K5306" s="8" t="n"/>
      <c r="L5306" s="8" t="n"/>
      <c r="M5306" s="9">
        <f>B5306+30</f>
        <v/>
      </c>
      <c r="N5306">
        <f>IF(L5306="", "", L5306-B5306)</f>
        <v/>
      </c>
      <c r="O5306">
        <f>IF(L5306="", "Pending", IF(N5306&lt;=30, "Met", "Breached"))</f>
        <v/>
      </c>
      <c r="P5306" s="8" t="n"/>
      <c r="Q5306" s="8" t="n"/>
      <c r="R5306" s="8" t="n"/>
      <c r="S5306" s="8" t="n"/>
      <c r="T5306" s="8" t="n"/>
      <c r="U5306" s="8" t="n"/>
      <c r="V5306" s="8" t="n"/>
      <c r="W5306" s="8" t="n"/>
      <c r="X5306" s="8" t="n"/>
      <c r="Y5306" s="8" t="n"/>
    </row>
    <row r="5307">
      <c r="A5307" s="8" t="n"/>
      <c r="B5307" s="8" t="n"/>
      <c r="C5307" s="8" t="n"/>
      <c r="D5307" s="8" t="n"/>
      <c r="E5307" s="8" t="n"/>
      <c r="F5307" s="8" t="n"/>
      <c r="G5307" s="8" t="n"/>
      <c r="H5307" s="8" t="n"/>
      <c r="I5307" s="8" t="n"/>
      <c r="J5307" s="8" t="n"/>
      <c r="K5307" s="8" t="n"/>
      <c r="L5307" s="8" t="n"/>
      <c r="M5307" s="9">
        <f>B5307+30</f>
        <v/>
      </c>
      <c r="N5307">
        <f>IF(L5307="", "", L5307-B5307)</f>
        <v/>
      </c>
      <c r="O5307">
        <f>IF(L5307="", "Pending", IF(N5307&lt;=30, "Met", "Breached"))</f>
        <v/>
      </c>
      <c r="P5307" s="8" t="n"/>
      <c r="Q5307" s="8" t="n"/>
      <c r="R5307" s="8" t="n"/>
      <c r="S5307" s="8" t="n"/>
      <c r="T5307" s="8" t="n"/>
      <c r="U5307" s="8" t="n"/>
      <c r="V5307" s="8" t="n"/>
      <c r="W5307" s="8" t="n"/>
      <c r="X5307" s="8" t="n"/>
      <c r="Y5307" s="8" t="n"/>
    </row>
    <row r="5308">
      <c r="A5308" s="8" t="n"/>
      <c r="B5308" s="8" t="n"/>
      <c r="C5308" s="8" t="n"/>
      <c r="D5308" s="8" t="n"/>
      <c r="E5308" s="8" t="n"/>
      <c r="F5308" s="8" t="n"/>
      <c r="G5308" s="8" t="n"/>
      <c r="H5308" s="8" t="n"/>
      <c r="I5308" s="8" t="n"/>
      <c r="J5308" s="8" t="n"/>
      <c r="K5308" s="8" t="n"/>
      <c r="L5308" s="8" t="n"/>
      <c r="M5308" s="9">
        <f>B5308+30</f>
        <v/>
      </c>
      <c r="N5308">
        <f>IF(L5308="", "", L5308-B5308)</f>
        <v/>
      </c>
      <c r="O5308">
        <f>IF(L5308="", "Pending", IF(N5308&lt;=30, "Met", "Breached"))</f>
        <v/>
      </c>
      <c r="P5308" s="8" t="n"/>
      <c r="Q5308" s="8" t="n"/>
      <c r="R5308" s="8" t="n"/>
      <c r="S5308" s="8" t="n"/>
      <c r="T5308" s="8" t="n"/>
      <c r="U5308" s="8" t="n"/>
      <c r="V5308" s="8" t="n"/>
      <c r="W5308" s="8" t="n"/>
      <c r="X5308" s="8" t="n"/>
      <c r="Y5308" s="8" t="n"/>
    </row>
    <row r="5309">
      <c r="A5309" s="8" t="n"/>
      <c r="B5309" s="8" t="n"/>
      <c r="C5309" s="8" t="n"/>
      <c r="D5309" s="8" t="n"/>
      <c r="E5309" s="8" t="n"/>
      <c r="F5309" s="8" t="n"/>
      <c r="G5309" s="8" t="n"/>
      <c r="H5309" s="8" t="n"/>
      <c r="I5309" s="8" t="n"/>
      <c r="J5309" s="8" t="n"/>
      <c r="K5309" s="8" t="n"/>
      <c r="L5309" s="8" t="n"/>
      <c r="M5309" s="9">
        <f>B5309+30</f>
        <v/>
      </c>
      <c r="N5309">
        <f>IF(L5309="", "", L5309-B5309)</f>
        <v/>
      </c>
      <c r="O5309">
        <f>IF(L5309="", "Pending", IF(N5309&lt;=30, "Met", "Breached"))</f>
        <v/>
      </c>
      <c r="P5309" s="8" t="n"/>
      <c r="Q5309" s="8" t="n"/>
      <c r="R5309" s="8" t="n"/>
      <c r="S5309" s="8" t="n"/>
      <c r="T5309" s="8" t="n"/>
      <c r="U5309" s="8" t="n"/>
      <c r="V5309" s="8" t="n"/>
      <c r="W5309" s="8" t="n"/>
      <c r="X5309" s="8" t="n"/>
      <c r="Y5309" s="8" t="n"/>
    </row>
    <row r="5310">
      <c r="A5310" s="8" t="n"/>
      <c r="B5310" s="8" t="n"/>
      <c r="C5310" s="8" t="n"/>
      <c r="D5310" s="8" t="n"/>
      <c r="E5310" s="8" t="n"/>
      <c r="F5310" s="8" t="n"/>
      <c r="G5310" s="8" t="n"/>
      <c r="H5310" s="8" t="n"/>
      <c r="I5310" s="8" t="n"/>
      <c r="J5310" s="8" t="n"/>
      <c r="K5310" s="8" t="n"/>
      <c r="L5310" s="8" t="n"/>
      <c r="M5310" s="9">
        <f>B5310+30</f>
        <v/>
      </c>
      <c r="N5310">
        <f>IF(L5310="", "", L5310-B5310)</f>
        <v/>
      </c>
      <c r="O5310">
        <f>IF(L5310="", "Pending", IF(N5310&lt;=30, "Met", "Breached"))</f>
        <v/>
      </c>
      <c r="P5310" s="8" t="n"/>
      <c r="Q5310" s="8" t="n"/>
      <c r="R5310" s="8" t="n"/>
      <c r="S5310" s="8" t="n"/>
      <c r="T5310" s="8" t="n"/>
      <c r="U5310" s="8" t="n"/>
      <c r="V5310" s="8" t="n"/>
      <c r="W5310" s="8" t="n"/>
      <c r="X5310" s="8" t="n"/>
      <c r="Y5310" s="8" t="n"/>
    </row>
    <row r="5311">
      <c r="A5311" s="8" t="n"/>
      <c r="B5311" s="8" t="n"/>
      <c r="C5311" s="8" t="n"/>
      <c r="D5311" s="8" t="n"/>
      <c r="E5311" s="8" t="n"/>
      <c r="F5311" s="8" t="n"/>
      <c r="G5311" s="8" t="n"/>
      <c r="H5311" s="8" t="n"/>
      <c r="I5311" s="8" t="n"/>
      <c r="J5311" s="8" t="n"/>
      <c r="K5311" s="8" t="n"/>
      <c r="L5311" s="8" t="n"/>
      <c r="M5311" s="9">
        <f>B5311+30</f>
        <v/>
      </c>
      <c r="N5311">
        <f>IF(L5311="", "", L5311-B5311)</f>
        <v/>
      </c>
      <c r="O5311">
        <f>IF(L5311="", "Pending", IF(N5311&lt;=30, "Met", "Breached"))</f>
        <v/>
      </c>
      <c r="P5311" s="8" t="n"/>
      <c r="Q5311" s="8" t="n"/>
      <c r="R5311" s="8" t="n"/>
      <c r="S5311" s="8" t="n"/>
      <c r="T5311" s="8" t="n"/>
      <c r="U5311" s="8" t="n"/>
      <c r="V5311" s="8" t="n"/>
      <c r="W5311" s="8" t="n"/>
      <c r="X5311" s="8" t="n"/>
      <c r="Y5311" s="8" t="n"/>
    </row>
    <row r="5312">
      <c r="A5312" s="8" t="n"/>
      <c r="B5312" s="8" t="n"/>
      <c r="C5312" s="8" t="n"/>
      <c r="D5312" s="8" t="n"/>
      <c r="E5312" s="8" t="n"/>
      <c r="F5312" s="8" t="n"/>
      <c r="G5312" s="8" t="n"/>
      <c r="H5312" s="8" t="n"/>
      <c r="I5312" s="8" t="n"/>
      <c r="J5312" s="8" t="n"/>
      <c r="K5312" s="8" t="n"/>
      <c r="L5312" s="8" t="n"/>
      <c r="M5312" s="9">
        <f>B5312+30</f>
        <v/>
      </c>
      <c r="N5312">
        <f>IF(L5312="", "", L5312-B5312)</f>
        <v/>
      </c>
      <c r="O5312">
        <f>IF(L5312="", "Pending", IF(N5312&lt;=30, "Met", "Breached"))</f>
        <v/>
      </c>
      <c r="P5312" s="8" t="n"/>
      <c r="Q5312" s="8" t="n"/>
      <c r="R5312" s="8" t="n"/>
      <c r="S5312" s="8" t="n"/>
      <c r="T5312" s="8" t="n"/>
      <c r="U5312" s="8" t="n"/>
      <c r="V5312" s="8" t="n"/>
      <c r="W5312" s="8" t="n"/>
      <c r="X5312" s="8" t="n"/>
      <c r="Y5312" s="8" t="n"/>
    </row>
    <row r="5313">
      <c r="A5313" s="8" t="n"/>
      <c r="B5313" s="8" t="n"/>
      <c r="C5313" s="8" t="n"/>
      <c r="D5313" s="8" t="n"/>
      <c r="E5313" s="8" t="n"/>
      <c r="F5313" s="8" t="n"/>
      <c r="G5313" s="8" t="n"/>
      <c r="H5313" s="8" t="n"/>
      <c r="I5313" s="8" t="n"/>
      <c r="J5313" s="8" t="n"/>
      <c r="K5313" s="8" t="n"/>
      <c r="L5313" s="8" t="n"/>
      <c r="M5313" s="9">
        <f>B5313+30</f>
        <v/>
      </c>
      <c r="N5313">
        <f>IF(L5313="", "", L5313-B5313)</f>
        <v/>
      </c>
      <c r="O5313">
        <f>IF(L5313="", "Pending", IF(N5313&lt;=30, "Met", "Breached"))</f>
        <v/>
      </c>
      <c r="P5313" s="8" t="n"/>
      <c r="Q5313" s="8" t="n"/>
      <c r="R5313" s="8" t="n"/>
      <c r="S5313" s="8" t="n"/>
      <c r="T5313" s="8" t="n"/>
      <c r="U5313" s="8" t="n"/>
      <c r="V5313" s="8" t="n"/>
      <c r="W5313" s="8" t="n"/>
      <c r="X5313" s="8" t="n"/>
      <c r="Y5313" s="8" t="n"/>
    </row>
    <row r="5314">
      <c r="A5314" s="8" t="n"/>
      <c r="B5314" s="8" t="n"/>
      <c r="C5314" s="8" t="n"/>
      <c r="D5314" s="8" t="n"/>
      <c r="E5314" s="8" t="n"/>
      <c r="F5314" s="8" t="n"/>
      <c r="G5314" s="8" t="n"/>
      <c r="H5314" s="8" t="n"/>
      <c r="I5314" s="8" t="n"/>
      <c r="J5314" s="8" t="n"/>
      <c r="K5314" s="8" t="n"/>
      <c r="L5314" s="8" t="n"/>
      <c r="M5314" s="9">
        <f>B5314+30</f>
        <v/>
      </c>
      <c r="N5314">
        <f>IF(L5314="", "", L5314-B5314)</f>
        <v/>
      </c>
      <c r="O5314">
        <f>IF(L5314="", "Pending", IF(N5314&lt;=30, "Met", "Breached"))</f>
        <v/>
      </c>
      <c r="P5314" s="8" t="n"/>
      <c r="Q5314" s="8" t="n"/>
      <c r="R5314" s="8" t="n"/>
      <c r="S5314" s="8" t="n"/>
      <c r="T5314" s="8" t="n"/>
      <c r="U5314" s="8" t="n"/>
      <c r="V5314" s="8" t="n"/>
      <c r="W5314" s="8" t="n"/>
      <c r="X5314" s="8" t="n"/>
      <c r="Y5314" s="8" t="n"/>
    </row>
    <row r="5315">
      <c r="A5315" s="8" t="n"/>
      <c r="B5315" s="8" t="n"/>
      <c r="C5315" s="8" t="n"/>
      <c r="D5315" s="8" t="n"/>
      <c r="E5315" s="8" t="n"/>
      <c r="F5315" s="8" t="n"/>
      <c r="G5315" s="8" t="n"/>
      <c r="H5315" s="8" t="n"/>
      <c r="I5315" s="8" t="n"/>
      <c r="J5315" s="8" t="n"/>
      <c r="K5315" s="8" t="n"/>
      <c r="L5315" s="8" t="n"/>
      <c r="M5315" s="9">
        <f>B5315+30</f>
        <v/>
      </c>
      <c r="N5315">
        <f>IF(L5315="", "", L5315-B5315)</f>
        <v/>
      </c>
      <c r="O5315">
        <f>IF(L5315="", "Pending", IF(N5315&lt;=30, "Met", "Breached"))</f>
        <v/>
      </c>
      <c r="P5315" s="8" t="n"/>
      <c r="Q5315" s="8" t="n"/>
      <c r="R5315" s="8" t="n"/>
      <c r="S5315" s="8" t="n"/>
      <c r="T5315" s="8" t="n"/>
      <c r="U5315" s="8" t="n"/>
      <c r="V5315" s="8" t="n"/>
      <c r="W5315" s="8" t="n"/>
      <c r="X5315" s="8" t="n"/>
      <c r="Y5315" s="8" t="n"/>
    </row>
    <row r="5316">
      <c r="A5316" s="8" t="n"/>
      <c r="B5316" s="8" t="n"/>
      <c r="C5316" s="8" t="n"/>
      <c r="D5316" s="8" t="n"/>
      <c r="E5316" s="8" t="n"/>
      <c r="F5316" s="8" t="n"/>
      <c r="G5316" s="8" t="n"/>
      <c r="H5316" s="8" t="n"/>
      <c r="I5316" s="8" t="n"/>
      <c r="J5316" s="8" t="n"/>
      <c r="K5316" s="8" t="n"/>
      <c r="L5316" s="8" t="n"/>
      <c r="M5316" s="9">
        <f>B5316+30</f>
        <v/>
      </c>
      <c r="N5316">
        <f>IF(L5316="", "", L5316-B5316)</f>
        <v/>
      </c>
      <c r="O5316">
        <f>IF(L5316="", "Pending", IF(N5316&lt;=30, "Met", "Breached"))</f>
        <v/>
      </c>
      <c r="P5316" s="8" t="n"/>
      <c r="Q5316" s="8" t="n"/>
      <c r="R5316" s="8" t="n"/>
      <c r="S5316" s="8" t="n"/>
      <c r="T5316" s="8" t="n"/>
      <c r="U5316" s="8" t="n"/>
      <c r="V5316" s="8" t="n"/>
      <c r="W5316" s="8" t="n"/>
      <c r="X5316" s="8" t="n"/>
      <c r="Y5316" s="8" t="n"/>
    </row>
    <row r="5317">
      <c r="A5317" s="8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8" t="n"/>
      <c r="K5317" s="8" t="n"/>
      <c r="L5317" s="8" t="n"/>
      <c r="M5317" s="9">
        <f>B5317+30</f>
        <v/>
      </c>
      <c r="N5317">
        <f>IF(L5317="", "", L5317-B5317)</f>
        <v/>
      </c>
      <c r="O5317">
        <f>IF(L5317="", "Pending", IF(N5317&lt;=30, "Met", "Breached"))</f>
        <v/>
      </c>
      <c r="P5317" s="8" t="n"/>
      <c r="Q5317" s="8" t="n"/>
      <c r="R5317" s="8" t="n"/>
      <c r="S5317" s="8" t="n"/>
      <c r="T5317" s="8" t="n"/>
      <c r="U5317" s="8" t="n"/>
      <c r="V5317" s="8" t="n"/>
      <c r="W5317" s="8" t="n"/>
      <c r="X5317" s="8" t="n"/>
      <c r="Y5317" s="8" t="n"/>
    </row>
    <row r="5318">
      <c r="A5318" s="8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8" t="n"/>
      <c r="K5318" s="8" t="n"/>
      <c r="L5318" s="8" t="n"/>
      <c r="M5318" s="9">
        <f>B5318+30</f>
        <v/>
      </c>
      <c r="N5318">
        <f>IF(L5318="", "", L5318-B5318)</f>
        <v/>
      </c>
      <c r="O5318">
        <f>IF(L5318="", "Pending", IF(N5318&lt;=30, "Met", "Breached"))</f>
        <v/>
      </c>
      <c r="P5318" s="8" t="n"/>
      <c r="Q5318" s="8" t="n"/>
      <c r="R5318" s="8" t="n"/>
      <c r="S5318" s="8" t="n"/>
      <c r="T5318" s="8" t="n"/>
      <c r="U5318" s="8" t="n"/>
      <c r="V5318" s="8" t="n"/>
      <c r="W5318" s="8" t="n"/>
      <c r="X5318" s="8" t="n"/>
      <c r="Y5318" s="8" t="n"/>
    </row>
    <row r="5319">
      <c r="A5319" s="8" t="n"/>
      <c r="B5319" s="8" t="n"/>
      <c r="C5319" s="8" t="n"/>
      <c r="D5319" s="8" t="n"/>
      <c r="E5319" s="8" t="n"/>
      <c r="F5319" s="8" t="n"/>
      <c r="G5319" s="8" t="n"/>
      <c r="H5319" s="8" t="n"/>
      <c r="I5319" s="8" t="n"/>
      <c r="J5319" s="8" t="n"/>
      <c r="K5319" s="8" t="n"/>
      <c r="L5319" s="8" t="n"/>
      <c r="M5319" s="9">
        <f>B5319+30</f>
        <v/>
      </c>
      <c r="N5319">
        <f>IF(L5319="", "", L5319-B5319)</f>
        <v/>
      </c>
      <c r="O5319">
        <f>IF(L5319="", "Pending", IF(N5319&lt;=30, "Met", "Breached"))</f>
        <v/>
      </c>
      <c r="P5319" s="8" t="n"/>
      <c r="Q5319" s="8" t="n"/>
      <c r="R5319" s="8" t="n"/>
      <c r="S5319" s="8" t="n"/>
      <c r="T5319" s="8" t="n"/>
      <c r="U5319" s="8" t="n"/>
      <c r="V5319" s="8" t="n"/>
      <c r="W5319" s="8" t="n"/>
      <c r="X5319" s="8" t="n"/>
      <c r="Y5319" s="8" t="n"/>
    </row>
    <row r="5320">
      <c r="A5320" s="8" t="n"/>
      <c r="B5320" s="8" t="n"/>
      <c r="C5320" s="8" t="n"/>
      <c r="D5320" s="8" t="n"/>
      <c r="E5320" s="8" t="n"/>
      <c r="F5320" s="8" t="n"/>
      <c r="G5320" s="8" t="n"/>
      <c r="H5320" s="8" t="n"/>
      <c r="I5320" s="8" t="n"/>
      <c r="J5320" s="8" t="n"/>
      <c r="K5320" s="8" t="n"/>
      <c r="L5320" s="8" t="n"/>
      <c r="M5320" s="9">
        <f>B5320+30</f>
        <v/>
      </c>
      <c r="N5320">
        <f>IF(L5320="", "", L5320-B5320)</f>
        <v/>
      </c>
      <c r="O5320">
        <f>IF(L5320="", "Pending", IF(N5320&lt;=30, "Met", "Breached"))</f>
        <v/>
      </c>
      <c r="P5320" s="8" t="n"/>
      <c r="Q5320" s="8" t="n"/>
      <c r="R5320" s="8" t="n"/>
      <c r="S5320" s="8" t="n"/>
      <c r="T5320" s="8" t="n"/>
      <c r="U5320" s="8" t="n"/>
      <c r="V5320" s="8" t="n"/>
      <c r="W5320" s="8" t="n"/>
      <c r="X5320" s="8" t="n"/>
      <c r="Y5320" s="8" t="n"/>
    </row>
    <row r="5321">
      <c r="A5321" s="8" t="n"/>
      <c r="B5321" s="8" t="n"/>
      <c r="C5321" s="8" t="n"/>
      <c r="D5321" s="8" t="n"/>
      <c r="E5321" s="8" t="n"/>
      <c r="F5321" s="8" t="n"/>
      <c r="G5321" s="8" t="n"/>
      <c r="H5321" s="8" t="n"/>
      <c r="I5321" s="8" t="n"/>
      <c r="J5321" s="8" t="n"/>
      <c r="K5321" s="8" t="n"/>
      <c r="L5321" s="8" t="n"/>
      <c r="M5321" s="9">
        <f>B5321+30</f>
        <v/>
      </c>
      <c r="N5321">
        <f>IF(L5321="", "", L5321-B5321)</f>
        <v/>
      </c>
      <c r="O5321">
        <f>IF(L5321="", "Pending", IF(N5321&lt;=30, "Met", "Breached"))</f>
        <v/>
      </c>
      <c r="P5321" s="8" t="n"/>
      <c r="Q5321" s="8" t="n"/>
      <c r="R5321" s="8" t="n"/>
      <c r="S5321" s="8" t="n"/>
      <c r="T5321" s="8" t="n"/>
      <c r="U5321" s="8" t="n"/>
      <c r="V5321" s="8" t="n"/>
      <c r="W5321" s="8" t="n"/>
      <c r="X5321" s="8" t="n"/>
      <c r="Y5321" s="8" t="n"/>
    </row>
    <row r="5322">
      <c r="A5322" s="8" t="n"/>
      <c r="B5322" s="8" t="n"/>
      <c r="C5322" s="8" t="n"/>
      <c r="D5322" s="8" t="n"/>
      <c r="E5322" s="8" t="n"/>
      <c r="F5322" s="8" t="n"/>
      <c r="G5322" s="8" t="n"/>
      <c r="H5322" s="8" t="n"/>
      <c r="I5322" s="8" t="n"/>
      <c r="J5322" s="8" t="n"/>
      <c r="K5322" s="8" t="n"/>
      <c r="L5322" s="8" t="n"/>
      <c r="M5322" s="9">
        <f>B5322+30</f>
        <v/>
      </c>
      <c r="N5322">
        <f>IF(L5322="", "", L5322-B5322)</f>
        <v/>
      </c>
      <c r="O5322">
        <f>IF(L5322="", "Pending", IF(N5322&lt;=30, "Met", "Breached"))</f>
        <v/>
      </c>
      <c r="P5322" s="8" t="n"/>
      <c r="Q5322" s="8" t="n"/>
      <c r="R5322" s="8" t="n"/>
      <c r="S5322" s="8" t="n"/>
      <c r="T5322" s="8" t="n"/>
      <c r="U5322" s="8" t="n"/>
      <c r="V5322" s="8" t="n"/>
      <c r="W5322" s="8" t="n"/>
      <c r="X5322" s="8" t="n"/>
      <c r="Y5322" s="8" t="n"/>
    </row>
    <row r="5323">
      <c r="A5323" s="8" t="n"/>
      <c r="B5323" s="8" t="n"/>
      <c r="C5323" s="8" t="n"/>
      <c r="D5323" s="8" t="n"/>
      <c r="E5323" s="8" t="n"/>
      <c r="F5323" s="8" t="n"/>
      <c r="G5323" s="8" t="n"/>
      <c r="H5323" s="8" t="n"/>
      <c r="I5323" s="8" t="n"/>
      <c r="J5323" s="8" t="n"/>
      <c r="K5323" s="8" t="n"/>
      <c r="L5323" s="8" t="n"/>
      <c r="M5323" s="9">
        <f>B5323+30</f>
        <v/>
      </c>
      <c r="N5323">
        <f>IF(L5323="", "", L5323-B5323)</f>
        <v/>
      </c>
      <c r="O5323">
        <f>IF(L5323="", "Pending", IF(N5323&lt;=30, "Met", "Breached"))</f>
        <v/>
      </c>
      <c r="P5323" s="8" t="n"/>
      <c r="Q5323" s="8" t="n"/>
      <c r="R5323" s="8" t="n"/>
      <c r="S5323" s="8" t="n"/>
      <c r="T5323" s="8" t="n"/>
      <c r="U5323" s="8" t="n"/>
      <c r="V5323" s="8" t="n"/>
      <c r="W5323" s="8" t="n"/>
      <c r="X5323" s="8" t="n"/>
      <c r="Y5323" s="8" t="n"/>
    </row>
    <row r="5324">
      <c r="A5324" s="8" t="n"/>
      <c r="B5324" s="8" t="n"/>
      <c r="C5324" s="8" t="n"/>
      <c r="D5324" s="8" t="n"/>
      <c r="E5324" s="8" t="n"/>
      <c r="F5324" s="8" t="n"/>
      <c r="G5324" s="8" t="n"/>
      <c r="H5324" s="8" t="n"/>
      <c r="I5324" s="8" t="n"/>
      <c r="J5324" s="8" t="n"/>
      <c r="K5324" s="8" t="n"/>
      <c r="L5324" s="8" t="n"/>
      <c r="M5324" s="9">
        <f>B5324+30</f>
        <v/>
      </c>
      <c r="N5324">
        <f>IF(L5324="", "", L5324-B5324)</f>
        <v/>
      </c>
      <c r="O5324">
        <f>IF(L5324="", "Pending", IF(N5324&lt;=30, "Met", "Breached"))</f>
        <v/>
      </c>
      <c r="P5324" s="8" t="n"/>
      <c r="Q5324" s="8" t="n"/>
      <c r="R5324" s="8" t="n"/>
      <c r="S5324" s="8" t="n"/>
      <c r="T5324" s="8" t="n"/>
      <c r="U5324" s="8" t="n"/>
      <c r="V5324" s="8" t="n"/>
      <c r="W5324" s="8" t="n"/>
      <c r="X5324" s="8" t="n"/>
      <c r="Y5324" s="8" t="n"/>
    </row>
    <row r="5325">
      <c r="A5325" s="8" t="n"/>
      <c r="B5325" s="8" t="n"/>
      <c r="C5325" s="8" t="n"/>
      <c r="D5325" s="8" t="n"/>
      <c r="E5325" s="8" t="n"/>
      <c r="F5325" s="8" t="n"/>
      <c r="G5325" s="8" t="n"/>
      <c r="H5325" s="8" t="n"/>
      <c r="I5325" s="8" t="n"/>
      <c r="J5325" s="8" t="n"/>
      <c r="K5325" s="8" t="n"/>
      <c r="L5325" s="8" t="n"/>
      <c r="M5325" s="9">
        <f>B5325+30</f>
        <v/>
      </c>
      <c r="N5325">
        <f>IF(L5325="", "", L5325-B5325)</f>
        <v/>
      </c>
      <c r="O5325">
        <f>IF(L5325="", "Pending", IF(N5325&lt;=30, "Met", "Breached"))</f>
        <v/>
      </c>
      <c r="P5325" s="8" t="n"/>
      <c r="Q5325" s="8" t="n"/>
      <c r="R5325" s="8" t="n"/>
      <c r="S5325" s="8" t="n"/>
      <c r="T5325" s="8" t="n"/>
      <c r="U5325" s="8" t="n"/>
      <c r="V5325" s="8" t="n"/>
      <c r="W5325" s="8" t="n"/>
      <c r="X5325" s="8" t="n"/>
      <c r="Y5325" s="8" t="n"/>
    </row>
    <row r="5326">
      <c r="A5326" s="8" t="n"/>
      <c r="B5326" s="8" t="n"/>
      <c r="C5326" s="8" t="n"/>
      <c r="D5326" s="8" t="n"/>
      <c r="E5326" s="8" t="n"/>
      <c r="F5326" s="8" t="n"/>
      <c r="G5326" s="8" t="n"/>
      <c r="H5326" s="8" t="n"/>
      <c r="I5326" s="8" t="n"/>
      <c r="J5326" s="8" t="n"/>
      <c r="K5326" s="8" t="n"/>
      <c r="L5326" s="8" t="n"/>
      <c r="M5326" s="9">
        <f>B5326+30</f>
        <v/>
      </c>
      <c r="N5326">
        <f>IF(L5326="", "", L5326-B5326)</f>
        <v/>
      </c>
      <c r="O5326">
        <f>IF(L5326="", "Pending", IF(N5326&lt;=30, "Met", "Breached"))</f>
        <v/>
      </c>
      <c r="P5326" s="8" t="n"/>
      <c r="Q5326" s="8" t="n"/>
      <c r="R5326" s="8" t="n"/>
      <c r="S5326" s="8" t="n"/>
      <c r="T5326" s="8" t="n"/>
      <c r="U5326" s="8" t="n"/>
      <c r="V5326" s="8" t="n"/>
      <c r="W5326" s="8" t="n"/>
      <c r="X5326" s="8" t="n"/>
      <c r="Y5326" s="8" t="n"/>
    </row>
    <row r="5327">
      <c r="A5327" s="8" t="n"/>
      <c r="B5327" s="8" t="n"/>
      <c r="C5327" s="8" t="n"/>
      <c r="D5327" s="8" t="n"/>
      <c r="E5327" s="8" t="n"/>
      <c r="F5327" s="8" t="n"/>
      <c r="G5327" s="8" t="n"/>
      <c r="H5327" s="8" t="n"/>
      <c r="I5327" s="8" t="n"/>
      <c r="J5327" s="8" t="n"/>
      <c r="K5327" s="8" t="n"/>
      <c r="L5327" s="8" t="n"/>
      <c r="M5327" s="9">
        <f>B5327+30</f>
        <v/>
      </c>
      <c r="N5327">
        <f>IF(L5327="", "", L5327-B5327)</f>
        <v/>
      </c>
      <c r="O5327">
        <f>IF(L5327="", "Pending", IF(N5327&lt;=30, "Met", "Breached"))</f>
        <v/>
      </c>
      <c r="P5327" s="8" t="n"/>
      <c r="Q5327" s="8" t="n"/>
      <c r="R5327" s="8" t="n"/>
      <c r="S5327" s="8" t="n"/>
      <c r="T5327" s="8" t="n"/>
      <c r="U5327" s="8" t="n"/>
      <c r="V5327" s="8" t="n"/>
      <c r="W5327" s="8" t="n"/>
      <c r="X5327" s="8" t="n"/>
      <c r="Y5327" s="8" t="n"/>
    </row>
    <row r="5328">
      <c r="A5328" s="8" t="n"/>
      <c r="B5328" s="8" t="n"/>
      <c r="C5328" s="8" t="n"/>
      <c r="D5328" s="8" t="n"/>
      <c r="E5328" s="8" t="n"/>
      <c r="F5328" s="8" t="n"/>
      <c r="G5328" s="8" t="n"/>
      <c r="H5328" s="8" t="n"/>
      <c r="I5328" s="8" t="n"/>
      <c r="J5328" s="8" t="n"/>
      <c r="K5328" s="8" t="n"/>
      <c r="L5328" s="8" t="n"/>
      <c r="M5328" s="9">
        <f>B5328+30</f>
        <v/>
      </c>
      <c r="N5328">
        <f>IF(L5328="", "", L5328-B5328)</f>
        <v/>
      </c>
      <c r="O5328">
        <f>IF(L5328="", "Pending", IF(N5328&lt;=30, "Met", "Breached"))</f>
        <v/>
      </c>
      <c r="P5328" s="8" t="n"/>
      <c r="Q5328" s="8" t="n"/>
      <c r="R5328" s="8" t="n"/>
      <c r="S5328" s="8" t="n"/>
      <c r="T5328" s="8" t="n"/>
      <c r="U5328" s="8" t="n"/>
      <c r="V5328" s="8" t="n"/>
      <c r="W5328" s="8" t="n"/>
      <c r="X5328" s="8" t="n"/>
      <c r="Y5328" s="8" t="n"/>
    </row>
    <row r="5329">
      <c r="A5329" s="8" t="n"/>
      <c r="B5329" s="8" t="n"/>
      <c r="C5329" s="8" t="n"/>
      <c r="D5329" s="8" t="n"/>
      <c r="E5329" s="8" t="n"/>
      <c r="F5329" s="8" t="n"/>
      <c r="G5329" s="8" t="n"/>
      <c r="H5329" s="8" t="n"/>
      <c r="I5329" s="8" t="n"/>
      <c r="J5329" s="8" t="n"/>
      <c r="K5329" s="8" t="n"/>
      <c r="L5329" s="8" t="n"/>
      <c r="M5329" s="9">
        <f>B5329+30</f>
        <v/>
      </c>
      <c r="N5329">
        <f>IF(L5329="", "", L5329-B5329)</f>
        <v/>
      </c>
      <c r="O5329">
        <f>IF(L5329="", "Pending", IF(N5329&lt;=30, "Met", "Breached"))</f>
        <v/>
      </c>
      <c r="P5329" s="8" t="n"/>
      <c r="Q5329" s="8" t="n"/>
      <c r="R5329" s="8" t="n"/>
      <c r="S5329" s="8" t="n"/>
      <c r="T5329" s="8" t="n"/>
      <c r="U5329" s="8" t="n"/>
      <c r="V5329" s="8" t="n"/>
      <c r="W5329" s="8" t="n"/>
      <c r="X5329" s="8" t="n"/>
      <c r="Y5329" s="8" t="n"/>
    </row>
    <row r="5330">
      <c r="A5330" s="8" t="n"/>
      <c r="B5330" s="8" t="n"/>
      <c r="C5330" s="8" t="n"/>
      <c r="D5330" s="8" t="n"/>
      <c r="E5330" s="8" t="n"/>
      <c r="F5330" s="8" t="n"/>
      <c r="G5330" s="8" t="n"/>
      <c r="H5330" s="8" t="n"/>
      <c r="I5330" s="8" t="n"/>
      <c r="J5330" s="8" t="n"/>
      <c r="K5330" s="8" t="n"/>
      <c r="L5330" s="8" t="n"/>
      <c r="M5330" s="9">
        <f>B5330+30</f>
        <v/>
      </c>
      <c r="N5330">
        <f>IF(L5330="", "", L5330-B5330)</f>
        <v/>
      </c>
      <c r="O5330">
        <f>IF(L5330="", "Pending", IF(N5330&lt;=30, "Met", "Breached"))</f>
        <v/>
      </c>
      <c r="P5330" s="8" t="n"/>
      <c r="Q5330" s="8" t="n"/>
      <c r="R5330" s="8" t="n"/>
      <c r="S5330" s="8" t="n"/>
      <c r="T5330" s="8" t="n"/>
      <c r="U5330" s="8" t="n"/>
      <c r="V5330" s="8" t="n"/>
      <c r="W5330" s="8" t="n"/>
      <c r="X5330" s="8" t="n"/>
      <c r="Y5330" s="8" t="n"/>
    </row>
    <row r="5331">
      <c r="A5331" s="8" t="n"/>
      <c r="B5331" s="8" t="n"/>
      <c r="C5331" s="8" t="n"/>
      <c r="D5331" s="8" t="n"/>
      <c r="E5331" s="8" t="n"/>
      <c r="F5331" s="8" t="n"/>
      <c r="G5331" s="8" t="n"/>
      <c r="H5331" s="8" t="n"/>
      <c r="I5331" s="8" t="n"/>
      <c r="J5331" s="8" t="n"/>
      <c r="K5331" s="8" t="n"/>
      <c r="L5331" s="8" t="n"/>
      <c r="M5331" s="9">
        <f>B5331+30</f>
        <v/>
      </c>
      <c r="N5331">
        <f>IF(L5331="", "", L5331-B5331)</f>
        <v/>
      </c>
      <c r="O5331">
        <f>IF(L5331="", "Pending", IF(N5331&lt;=30, "Met", "Breached"))</f>
        <v/>
      </c>
      <c r="P5331" s="8" t="n"/>
      <c r="Q5331" s="8" t="n"/>
      <c r="R5331" s="8" t="n"/>
      <c r="S5331" s="8" t="n"/>
      <c r="T5331" s="8" t="n"/>
      <c r="U5331" s="8" t="n"/>
      <c r="V5331" s="8" t="n"/>
      <c r="W5331" s="8" t="n"/>
      <c r="X5331" s="8" t="n"/>
      <c r="Y5331" s="8" t="n"/>
    </row>
    <row r="5332">
      <c r="A5332" s="8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8" t="n"/>
      <c r="K5332" s="8" t="n"/>
      <c r="L5332" s="8" t="n"/>
      <c r="M5332" s="9">
        <f>B5332+30</f>
        <v/>
      </c>
      <c r="N5332">
        <f>IF(L5332="", "", L5332-B5332)</f>
        <v/>
      </c>
      <c r="O5332">
        <f>IF(L5332="", "Pending", IF(N5332&lt;=30, "Met", "Breached"))</f>
        <v/>
      </c>
      <c r="P5332" s="8" t="n"/>
      <c r="Q5332" s="8" t="n"/>
      <c r="R5332" s="8" t="n"/>
      <c r="S5332" s="8" t="n"/>
      <c r="T5332" s="8" t="n"/>
      <c r="U5332" s="8" t="n"/>
      <c r="V5332" s="8" t="n"/>
      <c r="W5332" s="8" t="n"/>
      <c r="X5332" s="8" t="n"/>
      <c r="Y5332" s="8" t="n"/>
    </row>
    <row r="5333">
      <c r="A5333" s="8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8" t="n"/>
      <c r="K5333" s="8" t="n"/>
      <c r="L5333" s="8" t="n"/>
      <c r="M5333" s="9">
        <f>B5333+30</f>
        <v/>
      </c>
      <c r="N5333">
        <f>IF(L5333="", "", L5333-B5333)</f>
        <v/>
      </c>
      <c r="O5333">
        <f>IF(L5333="", "Pending", IF(N5333&lt;=30, "Met", "Breached"))</f>
        <v/>
      </c>
      <c r="P5333" s="8" t="n"/>
      <c r="Q5333" s="8" t="n"/>
      <c r="R5333" s="8" t="n"/>
      <c r="S5333" s="8" t="n"/>
      <c r="T5333" s="8" t="n"/>
      <c r="U5333" s="8" t="n"/>
      <c r="V5333" s="8" t="n"/>
      <c r="W5333" s="8" t="n"/>
      <c r="X5333" s="8" t="n"/>
      <c r="Y5333" s="8" t="n"/>
    </row>
    <row r="5334">
      <c r="A5334" s="8" t="n"/>
      <c r="B5334" s="8" t="n"/>
      <c r="C5334" s="8" t="n"/>
      <c r="D5334" s="8" t="n"/>
      <c r="E5334" s="8" t="n"/>
      <c r="F5334" s="8" t="n"/>
      <c r="G5334" s="8" t="n"/>
      <c r="H5334" s="8" t="n"/>
      <c r="I5334" s="8" t="n"/>
      <c r="J5334" s="8" t="n"/>
      <c r="K5334" s="8" t="n"/>
      <c r="L5334" s="8" t="n"/>
      <c r="M5334" s="9">
        <f>B5334+30</f>
        <v/>
      </c>
      <c r="N5334">
        <f>IF(L5334="", "", L5334-B5334)</f>
        <v/>
      </c>
      <c r="O5334">
        <f>IF(L5334="", "Pending", IF(N5334&lt;=30, "Met", "Breached"))</f>
        <v/>
      </c>
      <c r="P5334" s="8" t="n"/>
      <c r="Q5334" s="8" t="n"/>
      <c r="R5334" s="8" t="n"/>
      <c r="S5334" s="8" t="n"/>
      <c r="T5334" s="8" t="n"/>
      <c r="U5334" s="8" t="n"/>
      <c r="V5334" s="8" t="n"/>
      <c r="W5334" s="8" t="n"/>
      <c r="X5334" s="8" t="n"/>
      <c r="Y5334" s="8" t="n"/>
    </row>
    <row r="5335">
      <c r="A5335" s="8" t="n"/>
      <c r="B5335" s="8" t="n"/>
      <c r="C5335" s="8" t="n"/>
      <c r="D5335" s="8" t="n"/>
      <c r="E5335" s="8" t="n"/>
      <c r="F5335" s="8" t="n"/>
      <c r="G5335" s="8" t="n"/>
      <c r="H5335" s="8" t="n"/>
      <c r="I5335" s="8" t="n"/>
      <c r="J5335" s="8" t="n"/>
      <c r="K5335" s="8" t="n"/>
      <c r="L5335" s="8" t="n"/>
      <c r="M5335" s="9">
        <f>B5335+30</f>
        <v/>
      </c>
      <c r="N5335">
        <f>IF(L5335="", "", L5335-B5335)</f>
        <v/>
      </c>
      <c r="O5335">
        <f>IF(L5335="", "Pending", IF(N5335&lt;=30, "Met", "Breached"))</f>
        <v/>
      </c>
      <c r="P5335" s="8" t="n"/>
      <c r="Q5335" s="8" t="n"/>
      <c r="R5335" s="8" t="n"/>
      <c r="S5335" s="8" t="n"/>
      <c r="T5335" s="8" t="n"/>
      <c r="U5335" s="8" t="n"/>
      <c r="V5335" s="8" t="n"/>
      <c r="W5335" s="8" t="n"/>
      <c r="X5335" s="8" t="n"/>
      <c r="Y5335" s="8" t="n"/>
    </row>
    <row r="5336">
      <c r="A5336" s="8" t="n"/>
      <c r="B5336" s="8" t="n"/>
      <c r="C5336" s="8" t="n"/>
      <c r="D5336" s="8" t="n"/>
      <c r="E5336" s="8" t="n"/>
      <c r="F5336" s="8" t="n"/>
      <c r="G5336" s="8" t="n"/>
      <c r="H5336" s="8" t="n"/>
      <c r="I5336" s="8" t="n"/>
      <c r="J5336" s="8" t="n"/>
      <c r="K5336" s="8" t="n"/>
      <c r="L5336" s="8" t="n"/>
      <c r="M5336" s="9">
        <f>B5336+30</f>
        <v/>
      </c>
      <c r="N5336">
        <f>IF(L5336="", "", L5336-B5336)</f>
        <v/>
      </c>
      <c r="O5336">
        <f>IF(L5336="", "Pending", IF(N5336&lt;=30, "Met", "Breached"))</f>
        <v/>
      </c>
      <c r="P5336" s="8" t="n"/>
      <c r="Q5336" s="8" t="n"/>
      <c r="R5336" s="8" t="n"/>
      <c r="S5336" s="8" t="n"/>
      <c r="T5336" s="8" t="n"/>
      <c r="U5336" s="8" t="n"/>
      <c r="V5336" s="8" t="n"/>
      <c r="W5336" s="8" t="n"/>
      <c r="X5336" s="8" t="n"/>
      <c r="Y5336" s="8" t="n"/>
    </row>
    <row r="5337">
      <c r="A5337" s="8" t="n"/>
      <c r="B5337" s="8" t="n"/>
      <c r="C5337" s="8" t="n"/>
      <c r="D5337" s="8" t="n"/>
      <c r="E5337" s="8" t="n"/>
      <c r="F5337" s="8" t="n"/>
      <c r="G5337" s="8" t="n"/>
      <c r="H5337" s="8" t="n"/>
      <c r="I5337" s="8" t="n"/>
      <c r="J5337" s="8" t="n"/>
      <c r="K5337" s="8" t="n"/>
      <c r="L5337" s="8" t="n"/>
      <c r="M5337" s="9">
        <f>B5337+30</f>
        <v/>
      </c>
      <c r="N5337">
        <f>IF(L5337="", "", L5337-B5337)</f>
        <v/>
      </c>
      <c r="O5337">
        <f>IF(L5337="", "Pending", IF(N5337&lt;=30, "Met", "Breached"))</f>
        <v/>
      </c>
      <c r="P5337" s="8" t="n"/>
      <c r="Q5337" s="8" t="n"/>
      <c r="R5337" s="8" t="n"/>
      <c r="S5337" s="8" t="n"/>
      <c r="T5337" s="8" t="n"/>
      <c r="U5337" s="8" t="n"/>
      <c r="V5337" s="8" t="n"/>
      <c r="W5337" s="8" t="n"/>
      <c r="X5337" s="8" t="n"/>
      <c r="Y5337" s="8" t="n"/>
    </row>
    <row r="5338">
      <c r="A5338" s="8" t="n"/>
      <c r="B5338" s="8" t="n"/>
      <c r="C5338" s="8" t="n"/>
      <c r="D5338" s="8" t="n"/>
      <c r="E5338" s="8" t="n"/>
      <c r="F5338" s="8" t="n"/>
      <c r="G5338" s="8" t="n"/>
      <c r="H5338" s="8" t="n"/>
      <c r="I5338" s="8" t="n"/>
      <c r="J5338" s="8" t="n"/>
      <c r="K5338" s="8" t="n"/>
      <c r="L5338" s="8" t="n"/>
      <c r="M5338" s="9">
        <f>B5338+30</f>
        <v/>
      </c>
      <c r="N5338">
        <f>IF(L5338="", "", L5338-B5338)</f>
        <v/>
      </c>
      <c r="O5338">
        <f>IF(L5338="", "Pending", IF(N5338&lt;=30, "Met", "Breached"))</f>
        <v/>
      </c>
      <c r="P5338" s="8" t="n"/>
      <c r="Q5338" s="8" t="n"/>
      <c r="R5338" s="8" t="n"/>
      <c r="S5338" s="8" t="n"/>
      <c r="T5338" s="8" t="n"/>
      <c r="U5338" s="8" t="n"/>
      <c r="V5338" s="8" t="n"/>
      <c r="W5338" s="8" t="n"/>
      <c r="X5338" s="8" t="n"/>
      <c r="Y5338" s="8" t="n"/>
    </row>
    <row r="5339">
      <c r="A5339" s="8" t="n"/>
      <c r="B5339" s="8" t="n"/>
      <c r="C5339" s="8" t="n"/>
      <c r="D5339" s="8" t="n"/>
      <c r="E5339" s="8" t="n"/>
      <c r="F5339" s="8" t="n"/>
      <c r="G5339" s="8" t="n"/>
      <c r="H5339" s="8" t="n"/>
      <c r="I5339" s="8" t="n"/>
      <c r="J5339" s="8" t="n"/>
      <c r="K5339" s="8" t="n"/>
      <c r="L5339" s="8" t="n"/>
      <c r="M5339" s="9">
        <f>B5339+30</f>
        <v/>
      </c>
      <c r="N5339">
        <f>IF(L5339="", "", L5339-B5339)</f>
        <v/>
      </c>
      <c r="O5339">
        <f>IF(L5339="", "Pending", IF(N5339&lt;=30, "Met", "Breached"))</f>
        <v/>
      </c>
      <c r="P5339" s="8" t="n"/>
      <c r="Q5339" s="8" t="n"/>
      <c r="R5339" s="8" t="n"/>
      <c r="S5339" s="8" t="n"/>
      <c r="T5339" s="8" t="n"/>
      <c r="U5339" s="8" t="n"/>
      <c r="V5339" s="8" t="n"/>
      <c r="W5339" s="8" t="n"/>
      <c r="X5339" s="8" t="n"/>
      <c r="Y5339" s="8" t="n"/>
    </row>
    <row r="5340">
      <c r="A5340" s="8" t="n"/>
      <c r="B5340" s="8" t="n"/>
      <c r="C5340" s="8" t="n"/>
      <c r="D5340" s="8" t="n"/>
      <c r="E5340" s="8" t="n"/>
      <c r="F5340" s="8" t="n"/>
      <c r="G5340" s="8" t="n"/>
      <c r="H5340" s="8" t="n"/>
      <c r="I5340" s="8" t="n"/>
      <c r="J5340" s="8" t="n"/>
      <c r="K5340" s="8" t="n"/>
      <c r="L5340" s="8" t="n"/>
      <c r="M5340" s="9">
        <f>B5340+30</f>
        <v/>
      </c>
      <c r="N5340">
        <f>IF(L5340="", "", L5340-B5340)</f>
        <v/>
      </c>
      <c r="O5340">
        <f>IF(L5340="", "Pending", IF(N5340&lt;=30, "Met", "Breached"))</f>
        <v/>
      </c>
      <c r="P5340" s="8" t="n"/>
      <c r="Q5340" s="8" t="n"/>
      <c r="R5340" s="8" t="n"/>
      <c r="S5340" s="8" t="n"/>
      <c r="T5340" s="8" t="n"/>
      <c r="U5340" s="8" t="n"/>
      <c r="V5340" s="8" t="n"/>
      <c r="W5340" s="8" t="n"/>
      <c r="X5340" s="8" t="n"/>
      <c r="Y5340" s="8" t="n"/>
    </row>
    <row r="5341">
      <c r="A5341" s="8" t="n"/>
      <c r="B5341" s="8" t="n"/>
      <c r="C5341" s="8" t="n"/>
      <c r="D5341" s="8" t="n"/>
      <c r="E5341" s="8" t="n"/>
      <c r="F5341" s="8" t="n"/>
      <c r="G5341" s="8" t="n"/>
      <c r="H5341" s="8" t="n"/>
      <c r="I5341" s="8" t="n"/>
      <c r="J5341" s="8" t="n"/>
      <c r="K5341" s="8" t="n"/>
      <c r="L5341" s="8" t="n"/>
      <c r="M5341" s="9">
        <f>B5341+30</f>
        <v/>
      </c>
      <c r="N5341">
        <f>IF(L5341="", "", L5341-B5341)</f>
        <v/>
      </c>
      <c r="O5341">
        <f>IF(L5341="", "Pending", IF(N5341&lt;=30, "Met", "Breached"))</f>
        <v/>
      </c>
      <c r="P5341" s="8" t="n"/>
      <c r="Q5341" s="8" t="n"/>
      <c r="R5341" s="8" t="n"/>
      <c r="S5341" s="8" t="n"/>
      <c r="T5341" s="8" t="n"/>
      <c r="U5341" s="8" t="n"/>
      <c r="V5341" s="8" t="n"/>
      <c r="W5341" s="8" t="n"/>
      <c r="X5341" s="8" t="n"/>
      <c r="Y5341" s="8" t="n"/>
    </row>
    <row r="5342">
      <c r="A5342" s="8" t="n"/>
      <c r="B5342" s="8" t="n"/>
      <c r="C5342" s="8" t="n"/>
      <c r="D5342" s="8" t="n"/>
      <c r="E5342" s="8" t="n"/>
      <c r="F5342" s="8" t="n"/>
      <c r="G5342" s="8" t="n"/>
      <c r="H5342" s="8" t="n"/>
      <c r="I5342" s="8" t="n"/>
      <c r="J5342" s="8" t="n"/>
      <c r="K5342" s="8" t="n"/>
      <c r="L5342" s="8" t="n"/>
      <c r="M5342" s="9">
        <f>B5342+30</f>
        <v/>
      </c>
      <c r="N5342">
        <f>IF(L5342="", "", L5342-B5342)</f>
        <v/>
      </c>
      <c r="O5342">
        <f>IF(L5342="", "Pending", IF(N5342&lt;=30, "Met", "Breached"))</f>
        <v/>
      </c>
      <c r="P5342" s="8" t="n"/>
      <c r="Q5342" s="8" t="n"/>
      <c r="R5342" s="8" t="n"/>
      <c r="S5342" s="8" t="n"/>
      <c r="T5342" s="8" t="n"/>
      <c r="U5342" s="8" t="n"/>
      <c r="V5342" s="8" t="n"/>
      <c r="W5342" s="8" t="n"/>
      <c r="X5342" s="8" t="n"/>
      <c r="Y5342" s="8" t="n"/>
    </row>
    <row r="5343">
      <c r="A5343" s="8" t="n"/>
      <c r="B5343" s="8" t="n"/>
      <c r="C5343" s="8" t="n"/>
      <c r="D5343" s="8" t="n"/>
      <c r="E5343" s="8" t="n"/>
      <c r="F5343" s="8" t="n"/>
      <c r="G5343" s="8" t="n"/>
      <c r="H5343" s="8" t="n"/>
      <c r="I5343" s="8" t="n"/>
      <c r="J5343" s="8" t="n"/>
      <c r="K5343" s="8" t="n"/>
      <c r="L5343" s="8" t="n"/>
      <c r="M5343" s="9">
        <f>B5343+30</f>
        <v/>
      </c>
      <c r="N5343">
        <f>IF(L5343="", "", L5343-B5343)</f>
        <v/>
      </c>
      <c r="O5343">
        <f>IF(L5343="", "Pending", IF(N5343&lt;=30, "Met", "Breached"))</f>
        <v/>
      </c>
      <c r="P5343" s="8" t="n"/>
      <c r="Q5343" s="8" t="n"/>
      <c r="R5343" s="8" t="n"/>
      <c r="S5343" s="8" t="n"/>
      <c r="T5343" s="8" t="n"/>
      <c r="U5343" s="8" t="n"/>
      <c r="V5343" s="8" t="n"/>
      <c r="W5343" s="8" t="n"/>
      <c r="X5343" s="8" t="n"/>
      <c r="Y5343" s="8" t="n"/>
    </row>
    <row r="5344">
      <c r="A5344" s="8" t="n"/>
      <c r="B5344" s="8" t="n"/>
      <c r="C5344" s="8" t="n"/>
      <c r="D5344" s="8" t="n"/>
      <c r="E5344" s="8" t="n"/>
      <c r="F5344" s="8" t="n"/>
      <c r="G5344" s="8" t="n"/>
      <c r="H5344" s="8" t="n"/>
      <c r="I5344" s="8" t="n"/>
      <c r="J5344" s="8" t="n"/>
      <c r="K5344" s="8" t="n"/>
      <c r="L5344" s="8" t="n"/>
      <c r="M5344" s="9">
        <f>B5344+30</f>
        <v/>
      </c>
      <c r="N5344">
        <f>IF(L5344="", "", L5344-B5344)</f>
        <v/>
      </c>
      <c r="O5344">
        <f>IF(L5344="", "Pending", IF(N5344&lt;=30, "Met", "Breached"))</f>
        <v/>
      </c>
      <c r="P5344" s="8" t="n"/>
      <c r="Q5344" s="8" t="n"/>
      <c r="R5344" s="8" t="n"/>
      <c r="S5344" s="8" t="n"/>
      <c r="T5344" s="8" t="n"/>
      <c r="U5344" s="8" t="n"/>
      <c r="V5344" s="8" t="n"/>
      <c r="W5344" s="8" t="n"/>
      <c r="X5344" s="8" t="n"/>
      <c r="Y5344" s="8" t="n"/>
    </row>
    <row r="5345">
      <c r="A5345" s="8" t="n"/>
      <c r="B5345" s="8" t="n"/>
      <c r="C5345" s="8" t="n"/>
      <c r="D5345" s="8" t="n"/>
      <c r="E5345" s="8" t="n"/>
      <c r="F5345" s="8" t="n"/>
      <c r="G5345" s="8" t="n"/>
      <c r="H5345" s="8" t="n"/>
      <c r="I5345" s="8" t="n"/>
      <c r="J5345" s="8" t="n"/>
      <c r="K5345" s="8" t="n"/>
      <c r="L5345" s="8" t="n"/>
      <c r="M5345" s="9">
        <f>B5345+30</f>
        <v/>
      </c>
      <c r="N5345">
        <f>IF(L5345="", "", L5345-B5345)</f>
        <v/>
      </c>
      <c r="O5345">
        <f>IF(L5345="", "Pending", IF(N5345&lt;=30, "Met", "Breached"))</f>
        <v/>
      </c>
      <c r="P5345" s="8" t="n"/>
      <c r="Q5345" s="8" t="n"/>
      <c r="R5345" s="8" t="n"/>
      <c r="S5345" s="8" t="n"/>
      <c r="T5345" s="8" t="n"/>
      <c r="U5345" s="8" t="n"/>
      <c r="V5345" s="8" t="n"/>
      <c r="W5345" s="8" t="n"/>
      <c r="X5345" s="8" t="n"/>
      <c r="Y5345" s="8" t="n"/>
    </row>
    <row r="5346">
      <c r="A5346" s="8" t="n"/>
      <c r="B5346" s="8" t="n"/>
      <c r="C5346" s="8" t="n"/>
      <c r="D5346" s="8" t="n"/>
      <c r="E5346" s="8" t="n"/>
      <c r="F5346" s="8" t="n"/>
      <c r="G5346" s="8" t="n"/>
      <c r="H5346" s="8" t="n"/>
      <c r="I5346" s="8" t="n"/>
      <c r="J5346" s="8" t="n"/>
      <c r="K5346" s="8" t="n"/>
      <c r="L5346" s="8" t="n"/>
      <c r="M5346" s="9">
        <f>B5346+30</f>
        <v/>
      </c>
      <c r="N5346">
        <f>IF(L5346="", "", L5346-B5346)</f>
        <v/>
      </c>
      <c r="O5346">
        <f>IF(L5346="", "Pending", IF(N5346&lt;=30, "Met", "Breached"))</f>
        <v/>
      </c>
      <c r="P5346" s="8" t="n"/>
      <c r="Q5346" s="8" t="n"/>
      <c r="R5346" s="8" t="n"/>
      <c r="S5346" s="8" t="n"/>
      <c r="T5346" s="8" t="n"/>
      <c r="U5346" s="8" t="n"/>
      <c r="V5346" s="8" t="n"/>
      <c r="W5346" s="8" t="n"/>
      <c r="X5346" s="8" t="n"/>
      <c r="Y5346" s="8" t="n"/>
    </row>
    <row r="5347">
      <c r="A5347" s="8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8" t="n"/>
      <c r="K5347" s="8" t="n"/>
      <c r="L5347" s="8" t="n"/>
      <c r="M5347" s="9">
        <f>B5347+30</f>
        <v/>
      </c>
      <c r="N5347">
        <f>IF(L5347="", "", L5347-B5347)</f>
        <v/>
      </c>
      <c r="O5347">
        <f>IF(L5347="", "Pending", IF(N5347&lt;=30, "Met", "Breached"))</f>
        <v/>
      </c>
      <c r="P5347" s="8" t="n"/>
      <c r="Q5347" s="8" t="n"/>
      <c r="R5347" s="8" t="n"/>
      <c r="S5347" s="8" t="n"/>
      <c r="T5347" s="8" t="n"/>
      <c r="U5347" s="8" t="n"/>
      <c r="V5347" s="8" t="n"/>
      <c r="W5347" s="8" t="n"/>
      <c r="X5347" s="8" t="n"/>
      <c r="Y5347" s="8" t="n"/>
    </row>
    <row r="5348">
      <c r="A5348" s="8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8" t="n"/>
      <c r="K5348" s="8" t="n"/>
      <c r="L5348" s="8" t="n"/>
      <c r="M5348" s="9">
        <f>B5348+30</f>
        <v/>
      </c>
      <c r="N5348">
        <f>IF(L5348="", "", L5348-B5348)</f>
        <v/>
      </c>
      <c r="O5348">
        <f>IF(L5348="", "Pending", IF(N5348&lt;=30, "Met", "Breached"))</f>
        <v/>
      </c>
      <c r="P5348" s="8" t="n"/>
      <c r="Q5348" s="8" t="n"/>
      <c r="R5348" s="8" t="n"/>
      <c r="S5348" s="8" t="n"/>
      <c r="T5348" s="8" t="n"/>
      <c r="U5348" s="8" t="n"/>
      <c r="V5348" s="8" t="n"/>
      <c r="W5348" s="8" t="n"/>
      <c r="X5348" s="8" t="n"/>
      <c r="Y5348" s="8" t="n"/>
    </row>
    <row r="5349">
      <c r="A5349" s="8" t="n"/>
      <c r="B5349" s="8" t="n"/>
      <c r="C5349" s="8" t="n"/>
      <c r="D5349" s="8" t="n"/>
      <c r="E5349" s="8" t="n"/>
      <c r="F5349" s="8" t="n"/>
      <c r="G5349" s="8" t="n"/>
      <c r="H5349" s="8" t="n"/>
      <c r="I5349" s="8" t="n"/>
      <c r="J5349" s="8" t="n"/>
      <c r="K5349" s="8" t="n"/>
      <c r="L5349" s="8" t="n"/>
      <c r="M5349" s="9">
        <f>B5349+30</f>
        <v/>
      </c>
      <c r="N5349">
        <f>IF(L5349="", "", L5349-B5349)</f>
        <v/>
      </c>
      <c r="O5349">
        <f>IF(L5349="", "Pending", IF(N5349&lt;=30, "Met", "Breached"))</f>
        <v/>
      </c>
      <c r="P5349" s="8" t="n"/>
      <c r="Q5349" s="8" t="n"/>
      <c r="R5349" s="8" t="n"/>
      <c r="S5349" s="8" t="n"/>
      <c r="T5349" s="8" t="n"/>
      <c r="U5349" s="8" t="n"/>
      <c r="V5349" s="8" t="n"/>
      <c r="W5349" s="8" t="n"/>
      <c r="X5349" s="8" t="n"/>
      <c r="Y5349" s="8" t="n"/>
    </row>
    <row r="5350">
      <c r="A5350" s="8" t="n"/>
      <c r="B5350" s="8" t="n"/>
      <c r="C5350" s="8" t="n"/>
      <c r="D5350" s="8" t="n"/>
      <c r="E5350" s="8" t="n"/>
      <c r="F5350" s="8" t="n"/>
      <c r="G5350" s="8" t="n"/>
      <c r="H5350" s="8" t="n"/>
      <c r="I5350" s="8" t="n"/>
      <c r="J5350" s="8" t="n"/>
      <c r="K5350" s="8" t="n"/>
      <c r="L5350" s="8" t="n"/>
      <c r="M5350" s="9">
        <f>B5350+30</f>
        <v/>
      </c>
      <c r="N5350">
        <f>IF(L5350="", "", L5350-B5350)</f>
        <v/>
      </c>
      <c r="O5350">
        <f>IF(L5350="", "Pending", IF(N5350&lt;=30, "Met", "Breached"))</f>
        <v/>
      </c>
      <c r="P5350" s="8" t="n"/>
      <c r="Q5350" s="8" t="n"/>
      <c r="R5350" s="8" t="n"/>
      <c r="S5350" s="8" t="n"/>
      <c r="T5350" s="8" t="n"/>
      <c r="U5350" s="8" t="n"/>
      <c r="V5350" s="8" t="n"/>
      <c r="W5350" s="8" t="n"/>
      <c r="X5350" s="8" t="n"/>
      <c r="Y5350" s="8" t="n"/>
    </row>
    <row r="5351">
      <c r="A5351" s="8" t="n"/>
      <c r="B5351" s="8" t="n"/>
      <c r="C5351" s="8" t="n"/>
      <c r="D5351" s="8" t="n"/>
      <c r="E5351" s="8" t="n"/>
      <c r="F5351" s="8" t="n"/>
      <c r="G5351" s="8" t="n"/>
      <c r="H5351" s="8" t="n"/>
      <c r="I5351" s="8" t="n"/>
      <c r="J5351" s="8" t="n"/>
      <c r="K5351" s="8" t="n"/>
      <c r="L5351" s="8" t="n"/>
      <c r="M5351" s="9">
        <f>B5351+30</f>
        <v/>
      </c>
      <c r="N5351">
        <f>IF(L5351="", "", L5351-B5351)</f>
        <v/>
      </c>
      <c r="O5351">
        <f>IF(L5351="", "Pending", IF(N5351&lt;=30, "Met", "Breached"))</f>
        <v/>
      </c>
      <c r="P5351" s="8" t="n"/>
      <c r="Q5351" s="8" t="n"/>
      <c r="R5351" s="8" t="n"/>
      <c r="S5351" s="8" t="n"/>
      <c r="T5351" s="8" t="n"/>
      <c r="U5351" s="8" t="n"/>
      <c r="V5351" s="8" t="n"/>
      <c r="W5351" s="8" t="n"/>
      <c r="X5351" s="8" t="n"/>
      <c r="Y5351" s="8" t="n"/>
    </row>
    <row r="5352">
      <c r="A5352" s="8" t="n"/>
      <c r="B5352" s="8" t="n"/>
      <c r="C5352" s="8" t="n"/>
      <c r="D5352" s="8" t="n"/>
      <c r="E5352" s="8" t="n"/>
      <c r="F5352" s="8" t="n"/>
      <c r="G5352" s="8" t="n"/>
      <c r="H5352" s="8" t="n"/>
      <c r="I5352" s="8" t="n"/>
      <c r="J5352" s="8" t="n"/>
      <c r="K5352" s="8" t="n"/>
      <c r="L5352" s="8" t="n"/>
      <c r="M5352" s="9">
        <f>B5352+30</f>
        <v/>
      </c>
      <c r="N5352">
        <f>IF(L5352="", "", L5352-B5352)</f>
        <v/>
      </c>
      <c r="O5352">
        <f>IF(L5352="", "Pending", IF(N5352&lt;=30, "Met", "Breached"))</f>
        <v/>
      </c>
      <c r="P5352" s="8" t="n"/>
      <c r="Q5352" s="8" t="n"/>
      <c r="R5352" s="8" t="n"/>
      <c r="S5352" s="8" t="n"/>
      <c r="T5352" s="8" t="n"/>
      <c r="U5352" s="8" t="n"/>
      <c r="V5352" s="8" t="n"/>
      <c r="W5352" s="8" t="n"/>
      <c r="X5352" s="8" t="n"/>
      <c r="Y5352" s="8" t="n"/>
    </row>
    <row r="5353">
      <c r="A5353" s="8" t="n"/>
      <c r="B5353" s="8" t="n"/>
      <c r="C5353" s="8" t="n"/>
      <c r="D5353" s="8" t="n"/>
      <c r="E5353" s="8" t="n"/>
      <c r="F5353" s="8" t="n"/>
      <c r="G5353" s="8" t="n"/>
      <c r="H5353" s="8" t="n"/>
      <c r="I5353" s="8" t="n"/>
      <c r="J5353" s="8" t="n"/>
      <c r="K5353" s="8" t="n"/>
      <c r="L5353" s="8" t="n"/>
      <c r="M5353" s="9">
        <f>B5353+30</f>
        <v/>
      </c>
      <c r="N5353">
        <f>IF(L5353="", "", L5353-B5353)</f>
        <v/>
      </c>
      <c r="O5353">
        <f>IF(L5353="", "Pending", IF(N5353&lt;=30, "Met", "Breached"))</f>
        <v/>
      </c>
      <c r="P5353" s="8" t="n"/>
      <c r="Q5353" s="8" t="n"/>
      <c r="R5353" s="8" t="n"/>
      <c r="S5353" s="8" t="n"/>
      <c r="T5353" s="8" t="n"/>
      <c r="U5353" s="8" t="n"/>
      <c r="V5353" s="8" t="n"/>
      <c r="W5353" s="8" t="n"/>
      <c r="X5353" s="8" t="n"/>
      <c r="Y5353" s="8" t="n"/>
    </row>
    <row r="5354">
      <c r="A5354" s="8" t="n"/>
      <c r="B5354" s="8" t="n"/>
      <c r="C5354" s="8" t="n"/>
      <c r="D5354" s="8" t="n"/>
      <c r="E5354" s="8" t="n"/>
      <c r="F5354" s="8" t="n"/>
      <c r="G5354" s="8" t="n"/>
      <c r="H5354" s="8" t="n"/>
      <c r="I5354" s="8" t="n"/>
      <c r="J5354" s="8" t="n"/>
      <c r="K5354" s="8" t="n"/>
      <c r="L5354" s="8" t="n"/>
      <c r="M5354" s="9">
        <f>B5354+30</f>
        <v/>
      </c>
      <c r="N5354">
        <f>IF(L5354="", "", L5354-B5354)</f>
        <v/>
      </c>
      <c r="O5354">
        <f>IF(L5354="", "Pending", IF(N5354&lt;=30, "Met", "Breached"))</f>
        <v/>
      </c>
      <c r="P5354" s="8" t="n"/>
      <c r="Q5354" s="8" t="n"/>
      <c r="R5354" s="8" t="n"/>
      <c r="S5354" s="8" t="n"/>
      <c r="T5354" s="8" t="n"/>
      <c r="U5354" s="8" t="n"/>
      <c r="V5354" s="8" t="n"/>
      <c r="W5354" s="8" t="n"/>
      <c r="X5354" s="8" t="n"/>
      <c r="Y5354" s="8" t="n"/>
    </row>
    <row r="5355">
      <c r="A5355" s="8" t="n"/>
      <c r="B5355" s="8" t="n"/>
      <c r="C5355" s="8" t="n"/>
      <c r="D5355" s="8" t="n"/>
      <c r="E5355" s="8" t="n"/>
      <c r="F5355" s="8" t="n"/>
      <c r="G5355" s="8" t="n"/>
      <c r="H5355" s="8" t="n"/>
      <c r="I5355" s="8" t="n"/>
      <c r="J5355" s="8" t="n"/>
      <c r="K5355" s="8" t="n"/>
      <c r="L5355" s="8" t="n"/>
      <c r="M5355" s="9">
        <f>B5355+30</f>
        <v/>
      </c>
      <c r="N5355">
        <f>IF(L5355="", "", L5355-B5355)</f>
        <v/>
      </c>
      <c r="O5355">
        <f>IF(L5355="", "Pending", IF(N5355&lt;=30, "Met", "Breached"))</f>
        <v/>
      </c>
      <c r="P5355" s="8" t="n"/>
      <c r="Q5355" s="8" t="n"/>
      <c r="R5355" s="8" t="n"/>
      <c r="S5355" s="8" t="n"/>
      <c r="T5355" s="8" t="n"/>
      <c r="U5355" s="8" t="n"/>
      <c r="V5355" s="8" t="n"/>
      <c r="W5355" s="8" t="n"/>
      <c r="X5355" s="8" t="n"/>
      <c r="Y5355" s="8" t="n"/>
    </row>
    <row r="5356">
      <c r="A5356" s="8" t="n"/>
      <c r="B5356" s="8" t="n"/>
      <c r="C5356" s="8" t="n"/>
      <c r="D5356" s="8" t="n"/>
      <c r="E5356" s="8" t="n"/>
      <c r="F5356" s="8" t="n"/>
      <c r="G5356" s="8" t="n"/>
      <c r="H5356" s="8" t="n"/>
      <c r="I5356" s="8" t="n"/>
      <c r="J5356" s="8" t="n"/>
      <c r="K5356" s="8" t="n"/>
      <c r="L5356" s="8" t="n"/>
      <c r="M5356" s="9">
        <f>B5356+30</f>
        <v/>
      </c>
      <c r="N5356">
        <f>IF(L5356="", "", L5356-B5356)</f>
        <v/>
      </c>
      <c r="O5356">
        <f>IF(L5356="", "Pending", IF(N5356&lt;=30, "Met", "Breached"))</f>
        <v/>
      </c>
      <c r="P5356" s="8" t="n"/>
      <c r="Q5356" s="8" t="n"/>
      <c r="R5356" s="8" t="n"/>
      <c r="S5356" s="8" t="n"/>
      <c r="T5356" s="8" t="n"/>
      <c r="U5356" s="8" t="n"/>
      <c r="V5356" s="8" t="n"/>
      <c r="W5356" s="8" t="n"/>
      <c r="X5356" s="8" t="n"/>
      <c r="Y5356" s="8" t="n"/>
    </row>
    <row r="5357">
      <c r="A5357" s="8" t="n"/>
      <c r="B5357" s="8" t="n"/>
      <c r="C5357" s="8" t="n"/>
      <c r="D5357" s="8" t="n"/>
      <c r="E5357" s="8" t="n"/>
      <c r="F5357" s="8" t="n"/>
      <c r="G5357" s="8" t="n"/>
      <c r="H5357" s="8" t="n"/>
      <c r="I5357" s="8" t="n"/>
      <c r="J5357" s="8" t="n"/>
      <c r="K5357" s="8" t="n"/>
      <c r="L5357" s="8" t="n"/>
      <c r="M5357" s="9">
        <f>B5357+30</f>
        <v/>
      </c>
      <c r="N5357">
        <f>IF(L5357="", "", L5357-B5357)</f>
        <v/>
      </c>
      <c r="O5357">
        <f>IF(L5357="", "Pending", IF(N5357&lt;=30, "Met", "Breached"))</f>
        <v/>
      </c>
      <c r="P5357" s="8" t="n"/>
      <c r="Q5357" s="8" t="n"/>
      <c r="R5357" s="8" t="n"/>
      <c r="S5357" s="8" t="n"/>
      <c r="T5357" s="8" t="n"/>
      <c r="U5357" s="8" t="n"/>
      <c r="V5357" s="8" t="n"/>
      <c r="W5357" s="8" t="n"/>
      <c r="X5357" s="8" t="n"/>
      <c r="Y5357" s="8" t="n"/>
    </row>
    <row r="5358">
      <c r="A5358" s="8" t="n"/>
      <c r="B5358" s="8" t="n"/>
      <c r="C5358" s="8" t="n"/>
      <c r="D5358" s="8" t="n"/>
      <c r="E5358" s="8" t="n"/>
      <c r="F5358" s="8" t="n"/>
      <c r="G5358" s="8" t="n"/>
      <c r="H5358" s="8" t="n"/>
      <c r="I5358" s="8" t="n"/>
      <c r="J5358" s="8" t="n"/>
      <c r="K5358" s="8" t="n"/>
      <c r="L5358" s="8" t="n"/>
      <c r="M5358" s="9">
        <f>B5358+30</f>
        <v/>
      </c>
      <c r="N5358">
        <f>IF(L5358="", "", L5358-B5358)</f>
        <v/>
      </c>
      <c r="O5358">
        <f>IF(L5358="", "Pending", IF(N5358&lt;=30, "Met", "Breached"))</f>
        <v/>
      </c>
      <c r="P5358" s="8" t="n"/>
      <c r="Q5358" s="8" t="n"/>
      <c r="R5358" s="8" t="n"/>
      <c r="S5358" s="8" t="n"/>
      <c r="T5358" s="8" t="n"/>
      <c r="U5358" s="8" t="n"/>
      <c r="V5358" s="8" t="n"/>
      <c r="W5358" s="8" t="n"/>
      <c r="X5358" s="8" t="n"/>
      <c r="Y5358" s="8" t="n"/>
    </row>
    <row r="5359">
      <c r="A5359" s="8" t="n"/>
      <c r="B5359" s="8" t="n"/>
      <c r="C5359" s="8" t="n"/>
      <c r="D5359" s="8" t="n"/>
      <c r="E5359" s="8" t="n"/>
      <c r="F5359" s="8" t="n"/>
      <c r="G5359" s="8" t="n"/>
      <c r="H5359" s="8" t="n"/>
      <c r="I5359" s="8" t="n"/>
      <c r="J5359" s="8" t="n"/>
      <c r="K5359" s="8" t="n"/>
      <c r="L5359" s="8" t="n"/>
      <c r="M5359" s="9">
        <f>B5359+30</f>
        <v/>
      </c>
      <c r="N5359">
        <f>IF(L5359="", "", L5359-B5359)</f>
        <v/>
      </c>
      <c r="O5359">
        <f>IF(L5359="", "Pending", IF(N5359&lt;=30, "Met", "Breached"))</f>
        <v/>
      </c>
      <c r="P5359" s="8" t="n"/>
      <c r="Q5359" s="8" t="n"/>
      <c r="R5359" s="8" t="n"/>
      <c r="S5359" s="8" t="n"/>
      <c r="T5359" s="8" t="n"/>
      <c r="U5359" s="8" t="n"/>
      <c r="V5359" s="8" t="n"/>
      <c r="W5359" s="8" t="n"/>
      <c r="X5359" s="8" t="n"/>
      <c r="Y5359" s="8" t="n"/>
    </row>
    <row r="5360">
      <c r="A5360" s="8" t="n"/>
      <c r="B5360" s="8" t="n"/>
      <c r="C5360" s="8" t="n"/>
      <c r="D5360" s="8" t="n"/>
      <c r="E5360" s="8" t="n"/>
      <c r="F5360" s="8" t="n"/>
      <c r="G5360" s="8" t="n"/>
      <c r="H5360" s="8" t="n"/>
      <c r="I5360" s="8" t="n"/>
      <c r="J5360" s="8" t="n"/>
      <c r="K5360" s="8" t="n"/>
      <c r="L5360" s="8" t="n"/>
      <c r="M5360" s="9">
        <f>B5360+30</f>
        <v/>
      </c>
      <c r="N5360">
        <f>IF(L5360="", "", L5360-B5360)</f>
        <v/>
      </c>
      <c r="O5360">
        <f>IF(L5360="", "Pending", IF(N5360&lt;=30, "Met", "Breached"))</f>
        <v/>
      </c>
      <c r="P5360" s="8" t="n"/>
      <c r="Q5360" s="8" t="n"/>
      <c r="R5360" s="8" t="n"/>
      <c r="S5360" s="8" t="n"/>
      <c r="T5360" s="8" t="n"/>
      <c r="U5360" s="8" t="n"/>
      <c r="V5360" s="8" t="n"/>
      <c r="W5360" s="8" t="n"/>
      <c r="X5360" s="8" t="n"/>
      <c r="Y5360" s="8" t="n"/>
    </row>
    <row r="5361">
      <c r="A5361" s="8" t="n"/>
      <c r="B5361" s="8" t="n"/>
      <c r="C5361" s="8" t="n"/>
      <c r="D5361" s="8" t="n"/>
      <c r="E5361" s="8" t="n"/>
      <c r="F5361" s="8" t="n"/>
      <c r="G5361" s="8" t="n"/>
      <c r="H5361" s="8" t="n"/>
      <c r="I5361" s="8" t="n"/>
      <c r="J5361" s="8" t="n"/>
      <c r="K5361" s="8" t="n"/>
      <c r="L5361" s="8" t="n"/>
      <c r="M5361" s="9">
        <f>B5361+30</f>
        <v/>
      </c>
      <c r="N5361">
        <f>IF(L5361="", "", L5361-B5361)</f>
        <v/>
      </c>
      <c r="O5361">
        <f>IF(L5361="", "Pending", IF(N5361&lt;=30, "Met", "Breached"))</f>
        <v/>
      </c>
      <c r="P5361" s="8" t="n"/>
      <c r="Q5361" s="8" t="n"/>
      <c r="R5361" s="8" t="n"/>
      <c r="S5361" s="8" t="n"/>
      <c r="T5361" s="8" t="n"/>
      <c r="U5361" s="8" t="n"/>
      <c r="V5361" s="8" t="n"/>
      <c r="W5361" s="8" t="n"/>
      <c r="X5361" s="8" t="n"/>
      <c r="Y5361" s="8" t="n"/>
    </row>
    <row r="5362">
      <c r="A5362" s="8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8" t="n"/>
      <c r="K5362" s="8" t="n"/>
      <c r="L5362" s="8" t="n"/>
      <c r="M5362" s="9">
        <f>B5362+30</f>
        <v/>
      </c>
      <c r="N5362">
        <f>IF(L5362="", "", L5362-B5362)</f>
        <v/>
      </c>
      <c r="O5362">
        <f>IF(L5362="", "Pending", IF(N5362&lt;=30, "Met", "Breached"))</f>
        <v/>
      </c>
      <c r="P5362" s="8" t="n"/>
      <c r="Q5362" s="8" t="n"/>
      <c r="R5362" s="8" t="n"/>
      <c r="S5362" s="8" t="n"/>
      <c r="T5362" s="8" t="n"/>
      <c r="U5362" s="8" t="n"/>
      <c r="V5362" s="8" t="n"/>
      <c r="W5362" s="8" t="n"/>
      <c r="X5362" s="8" t="n"/>
      <c r="Y5362" s="8" t="n"/>
    </row>
    <row r="5363">
      <c r="A5363" s="8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8" t="n"/>
      <c r="K5363" s="8" t="n"/>
      <c r="L5363" s="8" t="n"/>
      <c r="M5363" s="9">
        <f>B5363+30</f>
        <v/>
      </c>
      <c r="N5363">
        <f>IF(L5363="", "", L5363-B5363)</f>
        <v/>
      </c>
      <c r="O5363">
        <f>IF(L5363="", "Pending", IF(N5363&lt;=30, "Met", "Breached"))</f>
        <v/>
      </c>
      <c r="P5363" s="8" t="n"/>
      <c r="Q5363" s="8" t="n"/>
      <c r="R5363" s="8" t="n"/>
      <c r="S5363" s="8" t="n"/>
      <c r="T5363" s="8" t="n"/>
      <c r="U5363" s="8" t="n"/>
      <c r="V5363" s="8" t="n"/>
      <c r="W5363" s="8" t="n"/>
      <c r="X5363" s="8" t="n"/>
      <c r="Y5363" s="8" t="n"/>
    </row>
    <row r="5364">
      <c r="A5364" s="8" t="n"/>
      <c r="B5364" s="8" t="n"/>
      <c r="C5364" s="8" t="n"/>
      <c r="D5364" s="8" t="n"/>
      <c r="E5364" s="8" t="n"/>
      <c r="F5364" s="8" t="n"/>
      <c r="G5364" s="8" t="n"/>
      <c r="H5364" s="8" t="n"/>
      <c r="I5364" s="8" t="n"/>
      <c r="J5364" s="8" t="n"/>
      <c r="K5364" s="8" t="n"/>
      <c r="L5364" s="8" t="n"/>
      <c r="M5364" s="9">
        <f>B5364+30</f>
        <v/>
      </c>
      <c r="N5364">
        <f>IF(L5364="", "", L5364-B5364)</f>
        <v/>
      </c>
      <c r="O5364">
        <f>IF(L5364="", "Pending", IF(N5364&lt;=30, "Met", "Breached"))</f>
        <v/>
      </c>
      <c r="P5364" s="8" t="n"/>
      <c r="Q5364" s="8" t="n"/>
      <c r="R5364" s="8" t="n"/>
      <c r="S5364" s="8" t="n"/>
      <c r="T5364" s="8" t="n"/>
      <c r="U5364" s="8" t="n"/>
      <c r="V5364" s="8" t="n"/>
      <c r="W5364" s="8" t="n"/>
      <c r="X5364" s="8" t="n"/>
      <c r="Y5364" s="8" t="n"/>
    </row>
    <row r="5365">
      <c r="A5365" s="8" t="n"/>
      <c r="B5365" s="8" t="n"/>
      <c r="C5365" s="8" t="n"/>
      <c r="D5365" s="8" t="n"/>
      <c r="E5365" s="8" t="n"/>
      <c r="F5365" s="8" t="n"/>
      <c r="G5365" s="8" t="n"/>
      <c r="H5365" s="8" t="n"/>
      <c r="I5365" s="8" t="n"/>
      <c r="J5365" s="8" t="n"/>
      <c r="K5365" s="8" t="n"/>
      <c r="L5365" s="8" t="n"/>
      <c r="M5365" s="9">
        <f>B5365+30</f>
        <v/>
      </c>
      <c r="N5365">
        <f>IF(L5365="", "", L5365-B5365)</f>
        <v/>
      </c>
      <c r="O5365">
        <f>IF(L5365="", "Pending", IF(N5365&lt;=30, "Met", "Breached"))</f>
        <v/>
      </c>
      <c r="P5365" s="8" t="n"/>
      <c r="Q5365" s="8" t="n"/>
      <c r="R5365" s="8" t="n"/>
      <c r="S5365" s="8" t="n"/>
      <c r="T5365" s="8" t="n"/>
      <c r="U5365" s="8" t="n"/>
      <c r="V5365" s="8" t="n"/>
      <c r="W5365" s="8" t="n"/>
      <c r="X5365" s="8" t="n"/>
      <c r="Y5365" s="8" t="n"/>
    </row>
    <row r="5366">
      <c r="A5366" s="8" t="n"/>
      <c r="B5366" s="8" t="n"/>
      <c r="C5366" s="8" t="n"/>
      <c r="D5366" s="8" t="n"/>
      <c r="E5366" s="8" t="n"/>
      <c r="F5366" s="8" t="n"/>
      <c r="G5366" s="8" t="n"/>
      <c r="H5366" s="8" t="n"/>
      <c r="I5366" s="8" t="n"/>
      <c r="J5366" s="8" t="n"/>
      <c r="K5366" s="8" t="n"/>
      <c r="L5366" s="8" t="n"/>
      <c r="M5366" s="9">
        <f>B5366+30</f>
        <v/>
      </c>
      <c r="N5366">
        <f>IF(L5366="", "", L5366-B5366)</f>
        <v/>
      </c>
      <c r="O5366">
        <f>IF(L5366="", "Pending", IF(N5366&lt;=30, "Met", "Breached"))</f>
        <v/>
      </c>
      <c r="P5366" s="8" t="n"/>
      <c r="Q5366" s="8" t="n"/>
      <c r="R5366" s="8" t="n"/>
      <c r="S5366" s="8" t="n"/>
      <c r="T5366" s="8" t="n"/>
      <c r="U5366" s="8" t="n"/>
      <c r="V5366" s="8" t="n"/>
      <c r="W5366" s="8" t="n"/>
      <c r="X5366" s="8" t="n"/>
      <c r="Y5366" s="8" t="n"/>
    </row>
    <row r="5367">
      <c r="A5367" s="8" t="n"/>
      <c r="B5367" s="8" t="n"/>
      <c r="C5367" s="8" t="n"/>
      <c r="D5367" s="8" t="n"/>
      <c r="E5367" s="8" t="n"/>
      <c r="F5367" s="8" t="n"/>
      <c r="G5367" s="8" t="n"/>
      <c r="H5367" s="8" t="n"/>
      <c r="I5367" s="8" t="n"/>
      <c r="J5367" s="8" t="n"/>
      <c r="K5367" s="8" t="n"/>
      <c r="L5367" s="8" t="n"/>
      <c r="M5367" s="9">
        <f>B5367+30</f>
        <v/>
      </c>
      <c r="N5367">
        <f>IF(L5367="", "", L5367-B5367)</f>
        <v/>
      </c>
      <c r="O5367">
        <f>IF(L5367="", "Pending", IF(N5367&lt;=30, "Met", "Breached"))</f>
        <v/>
      </c>
      <c r="P5367" s="8" t="n"/>
      <c r="Q5367" s="8" t="n"/>
      <c r="R5367" s="8" t="n"/>
      <c r="S5367" s="8" t="n"/>
      <c r="T5367" s="8" t="n"/>
      <c r="U5367" s="8" t="n"/>
      <c r="V5367" s="8" t="n"/>
      <c r="W5367" s="8" t="n"/>
      <c r="X5367" s="8" t="n"/>
      <c r="Y5367" s="8" t="n"/>
    </row>
    <row r="5368">
      <c r="A5368" s="8" t="n"/>
      <c r="B5368" s="8" t="n"/>
      <c r="C5368" s="8" t="n"/>
      <c r="D5368" s="8" t="n"/>
      <c r="E5368" s="8" t="n"/>
      <c r="F5368" s="8" t="n"/>
      <c r="G5368" s="8" t="n"/>
      <c r="H5368" s="8" t="n"/>
      <c r="I5368" s="8" t="n"/>
      <c r="J5368" s="8" t="n"/>
      <c r="K5368" s="8" t="n"/>
      <c r="L5368" s="8" t="n"/>
      <c r="M5368" s="9">
        <f>B5368+30</f>
        <v/>
      </c>
      <c r="N5368">
        <f>IF(L5368="", "", L5368-B5368)</f>
        <v/>
      </c>
      <c r="O5368">
        <f>IF(L5368="", "Pending", IF(N5368&lt;=30, "Met", "Breached"))</f>
        <v/>
      </c>
      <c r="P5368" s="8" t="n"/>
      <c r="Q5368" s="8" t="n"/>
      <c r="R5368" s="8" t="n"/>
      <c r="S5368" s="8" t="n"/>
      <c r="T5368" s="8" t="n"/>
      <c r="U5368" s="8" t="n"/>
      <c r="V5368" s="8" t="n"/>
      <c r="W5368" s="8" t="n"/>
      <c r="X5368" s="8" t="n"/>
      <c r="Y5368" s="8" t="n"/>
    </row>
    <row r="5369">
      <c r="A5369" s="8" t="n"/>
      <c r="B5369" s="8" t="n"/>
      <c r="C5369" s="8" t="n"/>
      <c r="D5369" s="8" t="n"/>
      <c r="E5369" s="8" t="n"/>
      <c r="F5369" s="8" t="n"/>
      <c r="G5369" s="8" t="n"/>
      <c r="H5369" s="8" t="n"/>
      <c r="I5369" s="8" t="n"/>
      <c r="J5369" s="8" t="n"/>
      <c r="K5369" s="8" t="n"/>
      <c r="L5369" s="8" t="n"/>
      <c r="M5369" s="9">
        <f>B5369+30</f>
        <v/>
      </c>
      <c r="N5369">
        <f>IF(L5369="", "", L5369-B5369)</f>
        <v/>
      </c>
      <c r="O5369">
        <f>IF(L5369="", "Pending", IF(N5369&lt;=30, "Met", "Breached"))</f>
        <v/>
      </c>
      <c r="P5369" s="8" t="n"/>
      <c r="Q5369" s="8" t="n"/>
      <c r="R5369" s="8" t="n"/>
      <c r="S5369" s="8" t="n"/>
      <c r="T5369" s="8" t="n"/>
      <c r="U5369" s="8" t="n"/>
      <c r="V5369" s="8" t="n"/>
      <c r="W5369" s="8" t="n"/>
      <c r="X5369" s="8" t="n"/>
      <c r="Y5369" s="8" t="n"/>
    </row>
    <row r="5370">
      <c r="A5370" s="8" t="n"/>
      <c r="B5370" s="8" t="n"/>
      <c r="C5370" s="8" t="n"/>
      <c r="D5370" s="8" t="n"/>
      <c r="E5370" s="8" t="n"/>
      <c r="F5370" s="8" t="n"/>
      <c r="G5370" s="8" t="n"/>
      <c r="H5370" s="8" t="n"/>
      <c r="I5370" s="8" t="n"/>
      <c r="J5370" s="8" t="n"/>
      <c r="K5370" s="8" t="n"/>
      <c r="L5370" s="8" t="n"/>
      <c r="M5370" s="9">
        <f>B5370+30</f>
        <v/>
      </c>
      <c r="N5370">
        <f>IF(L5370="", "", L5370-B5370)</f>
        <v/>
      </c>
      <c r="O5370">
        <f>IF(L5370="", "Pending", IF(N5370&lt;=30, "Met", "Breached"))</f>
        <v/>
      </c>
      <c r="P5370" s="8" t="n"/>
      <c r="Q5370" s="8" t="n"/>
      <c r="R5370" s="8" t="n"/>
      <c r="S5370" s="8" t="n"/>
      <c r="T5370" s="8" t="n"/>
      <c r="U5370" s="8" t="n"/>
      <c r="V5370" s="8" t="n"/>
      <c r="W5370" s="8" t="n"/>
      <c r="X5370" s="8" t="n"/>
      <c r="Y5370" s="8" t="n"/>
    </row>
    <row r="5371">
      <c r="A5371" s="8" t="n"/>
      <c r="B5371" s="8" t="n"/>
      <c r="C5371" s="8" t="n"/>
      <c r="D5371" s="8" t="n"/>
      <c r="E5371" s="8" t="n"/>
      <c r="F5371" s="8" t="n"/>
      <c r="G5371" s="8" t="n"/>
      <c r="H5371" s="8" t="n"/>
      <c r="I5371" s="8" t="n"/>
      <c r="J5371" s="8" t="n"/>
      <c r="K5371" s="8" t="n"/>
      <c r="L5371" s="8" t="n"/>
      <c r="M5371" s="9">
        <f>B5371+30</f>
        <v/>
      </c>
      <c r="N5371">
        <f>IF(L5371="", "", L5371-B5371)</f>
        <v/>
      </c>
      <c r="O5371">
        <f>IF(L5371="", "Pending", IF(N5371&lt;=30, "Met", "Breached"))</f>
        <v/>
      </c>
      <c r="P5371" s="8" t="n"/>
      <c r="Q5371" s="8" t="n"/>
      <c r="R5371" s="8" t="n"/>
      <c r="S5371" s="8" t="n"/>
      <c r="T5371" s="8" t="n"/>
      <c r="U5371" s="8" t="n"/>
      <c r="V5371" s="8" t="n"/>
      <c r="W5371" s="8" t="n"/>
      <c r="X5371" s="8" t="n"/>
      <c r="Y5371" s="8" t="n"/>
    </row>
    <row r="5372">
      <c r="A5372" s="8" t="n"/>
      <c r="B5372" s="8" t="n"/>
      <c r="C5372" s="8" t="n"/>
      <c r="D5372" s="8" t="n"/>
      <c r="E5372" s="8" t="n"/>
      <c r="F5372" s="8" t="n"/>
      <c r="G5372" s="8" t="n"/>
      <c r="H5372" s="8" t="n"/>
      <c r="I5372" s="8" t="n"/>
      <c r="J5372" s="8" t="n"/>
      <c r="K5372" s="8" t="n"/>
      <c r="L5372" s="8" t="n"/>
      <c r="M5372" s="9">
        <f>B5372+30</f>
        <v/>
      </c>
      <c r="N5372">
        <f>IF(L5372="", "", L5372-B5372)</f>
        <v/>
      </c>
      <c r="O5372">
        <f>IF(L5372="", "Pending", IF(N5372&lt;=30, "Met", "Breached"))</f>
        <v/>
      </c>
      <c r="P5372" s="8" t="n"/>
      <c r="Q5372" s="8" t="n"/>
      <c r="R5372" s="8" t="n"/>
      <c r="S5372" s="8" t="n"/>
      <c r="T5372" s="8" t="n"/>
      <c r="U5372" s="8" t="n"/>
      <c r="V5372" s="8" t="n"/>
      <c r="W5372" s="8" t="n"/>
      <c r="X5372" s="8" t="n"/>
      <c r="Y5372" s="8" t="n"/>
    </row>
    <row r="5373">
      <c r="A5373" s="8" t="n"/>
      <c r="B5373" s="8" t="n"/>
      <c r="C5373" s="8" t="n"/>
      <c r="D5373" s="8" t="n"/>
      <c r="E5373" s="8" t="n"/>
      <c r="F5373" s="8" t="n"/>
      <c r="G5373" s="8" t="n"/>
      <c r="H5373" s="8" t="n"/>
      <c r="I5373" s="8" t="n"/>
      <c r="J5373" s="8" t="n"/>
      <c r="K5373" s="8" t="n"/>
      <c r="L5373" s="8" t="n"/>
      <c r="M5373" s="9">
        <f>B5373+30</f>
        <v/>
      </c>
      <c r="N5373">
        <f>IF(L5373="", "", L5373-B5373)</f>
        <v/>
      </c>
      <c r="O5373">
        <f>IF(L5373="", "Pending", IF(N5373&lt;=30, "Met", "Breached"))</f>
        <v/>
      </c>
      <c r="P5373" s="8" t="n"/>
      <c r="Q5373" s="8" t="n"/>
      <c r="R5373" s="8" t="n"/>
      <c r="S5373" s="8" t="n"/>
      <c r="T5373" s="8" t="n"/>
      <c r="U5373" s="8" t="n"/>
      <c r="V5373" s="8" t="n"/>
      <c r="W5373" s="8" t="n"/>
      <c r="X5373" s="8" t="n"/>
      <c r="Y5373" s="8" t="n"/>
    </row>
    <row r="5374">
      <c r="A5374" s="8" t="n"/>
      <c r="B5374" s="8" t="n"/>
      <c r="C5374" s="8" t="n"/>
      <c r="D5374" s="8" t="n"/>
      <c r="E5374" s="8" t="n"/>
      <c r="F5374" s="8" t="n"/>
      <c r="G5374" s="8" t="n"/>
      <c r="H5374" s="8" t="n"/>
      <c r="I5374" s="8" t="n"/>
      <c r="J5374" s="8" t="n"/>
      <c r="K5374" s="8" t="n"/>
      <c r="L5374" s="8" t="n"/>
      <c r="M5374" s="9">
        <f>B5374+30</f>
        <v/>
      </c>
      <c r="N5374">
        <f>IF(L5374="", "", L5374-B5374)</f>
        <v/>
      </c>
      <c r="O5374">
        <f>IF(L5374="", "Pending", IF(N5374&lt;=30, "Met", "Breached"))</f>
        <v/>
      </c>
      <c r="P5374" s="8" t="n"/>
      <c r="Q5374" s="8" t="n"/>
      <c r="R5374" s="8" t="n"/>
      <c r="S5374" s="8" t="n"/>
      <c r="T5374" s="8" t="n"/>
      <c r="U5374" s="8" t="n"/>
      <c r="V5374" s="8" t="n"/>
      <c r="W5374" s="8" t="n"/>
      <c r="X5374" s="8" t="n"/>
      <c r="Y5374" s="8" t="n"/>
    </row>
    <row r="5375">
      <c r="A5375" s="8" t="n"/>
      <c r="B5375" s="8" t="n"/>
      <c r="C5375" s="8" t="n"/>
      <c r="D5375" s="8" t="n"/>
      <c r="E5375" s="8" t="n"/>
      <c r="F5375" s="8" t="n"/>
      <c r="G5375" s="8" t="n"/>
      <c r="H5375" s="8" t="n"/>
      <c r="I5375" s="8" t="n"/>
      <c r="J5375" s="8" t="n"/>
      <c r="K5375" s="8" t="n"/>
      <c r="L5375" s="8" t="n"/>
      <c r="M5375" s="9">
        <f>B5375+30</f>
        <v/>
      </c>
      <c r="N5375">
        <f>IF(L5375="", "", L5375-B5375)</f>
        <v/>
      </c>
      <c r="O5375">
        <f>IF(L5375="", "Pending", IF(N5375&lt;=30, "Met", "Breached"))</f>
        <v/>
      </c>
      <c r="P5375" s="8" t="n"/>
      <c r="Q5375" s="8" t="n"/>
      <c r="R5375" s="8" t="n"/>
      <c r="S5375" s="8" t="n"/>
      <c r="T5375" s="8" t="n"/>
      <c r="U5375" s="8" t="n"/>
      <c r="V5375" s="8" t="n"/>
      <c r="W5375" s="8" t="n"/>
      <c r="X5375" s="8" t="n"/>
      <c r="Y5375" s="8" t="n"/>
    </row>
    <row r="5376">
      <c r="A5376" s="8" t="n"/>
      <c r="B5376" s="8" t="n"/>
      <c r="C5376" s="8" t="n"/>
      <c r="D5376" s="8" t="n"/>
      <c r="E5376" s="8" t="n"/>
      <c r="F5376" s="8" t="n"/>
      <c r="G5376" s="8" t="n"/>
      <c r="H5376" s="8" t="n"/>
      <c r="I5376" s="8" t="n"/>
      <c r="J5376" s="8" t="n"/>
      <c r="K5376" s="8" t="n"/>
      <c r="L5376" s="8" t="n"/>
      <c r="M5376" s="9">
        <f>B5376+30</f>
        <v/>
      </c>
      <c r="N5376">
        <f>IF(L5376="", "", L5376-B5376)</f>
        <v/>
      </c>
      <c r="O5376">
        <f>IF(L5376="", "Pending", IF(N5376&lt;=30, "Met", "Breached"))</f>
        <v/>
      </c>
      <c r="P5376" s="8" t="n"/>
      <c r="Q5376" s="8" t="n"/>
      <c r="R5376" s="8" t="n"/>
      <c r="S5376" s="8" t="n"/>
      <c r="T5376" s="8" t="n"/>
      <c r="U5376" s="8" t="n"/>
      <c r="V5376" s="8" t="n"/>
      <c r="W5376" s="8" t="n"/>
      <c r="X5376" s="8" t="n"/>
      <c r="Y5376" s="8" t="n"/>
    </row>
    <row r="5377">
      <c r="A5377" s="8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8" t="n"/>
      <c r="K5377" s="8" t="n"/>
      <c r="L5377" s="8" t="n"/>
      <c r="M5377" s="9">
        <f>B5377+30</f>
        <v/>
      </c>
      <c r="N5377">
        <f>IF(L5377="", "", L5377-B5377)</f>
        <v/>
      </c>
      <c r="O5377">
        <f>IF(L5377="", "Pending", IF(N5377&lt;=30, "Met", "Breached"))</f>
        <v/>
      </c>
      <c r="P5377" s="8" t="n"/>
      <c r="Q5377" s="8" t="n"/>
      <c r="R5377" s="8" t="n"/>
      <c r="S5377" s="8" t="n"/>
      <c r="T5377" s="8" t="n"/>
      <c r="U5377" s="8" t="n"/>
      <c r="V5377" s="8" t="n"/>
      <c r="W5377" s="8" t="n"/>
      <c r="X5377" s="8" t="n"/>
      <c r="Y5377" s="8" t="n"/>
    </row>
    <row r="5378">
      <c r="A5378" s="8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8" t="n"/>
      <c r="K5378" s="8" t="n"/>
      <c r="L5378" s="8" t="n"/>
      <c r="M5378" s="9">
        <f>B5378+30</f>
        <v/>
      </c>
      <c r="N5378">
        <f>IF(L5378="", "", L5378-B5378)</f>
        <v/>
      </c>
      <c r="O5378">
        <f>IF(L5378="", "Pending", IF(N5378&lt;=30, "Met", "Breached"))</f>
        <v/>
      </c>
      <c r="P5378" s="8" t="n"/>
      <c r="Q5378" s="8" t="n"/>
      <c r="R5378" s="8" t="n"/>
      <c r="S5378" s="8" t="n"/>
      <c r="T5378" s="8" t="n"/>
      <c r="U5378" s="8" t="n"/>
      <c r="V5378" s="8" t="n"/>
      <c r="W5378" s="8" t="n"/>
      <c r="X5378" s="8" t="n"/>
      <c r="Y5378" s="8" t="n"/>
    </row>
    <row r="5379">
      <c r="A5379" s="8" t="n"/>
      <c r="B5379" s="8" t="n"/>
      <c r="C5379" s="8" t="n"/>
      <c r="D5379" s="8" t="n"/>
      <c r="E5379" s="8" t="n"/>
      <c r="F5379" s="8" t="n"/>
      <c r="G5379" s="8" t="n"/>
      <c r="H5379" s="8" t="n"/>
      <c r="I5379" s="8" t="n"/>
      <c r="J5379" s="8" t="n"/>
      <c r="K5379" s="8" t="n"/>
      <c r="L5379" s="8" t="n"/>
      <c r="M5379" s="9">
        <f>B5379+30</f>
        <v/>
      </c>
      <c r="N5379">
        <f>IF(L5379="", "", L5379-B5379)</f>
        <v/>
      </c>
      <c r="O5379">
        <f>IF(L5379="", "Pending", IF(N5379&lt;=30, "Met", "Breached"))</f>
        <v/>
      </c>
      <c r="P5379" s="8" t="n"/>
      <c r="Q5379" s="8" t="n"/>
      <c r="R5379" s="8" t="n"/>
      <c r="S5379" s="8" t="n"/>
      <c r="T5379" s="8" t="n"/>
      <c r="U5379" s="8" t="n"/>
      <c r="V5379" s="8" t="n"/>
      <c r="W5379" s="8" t="n"/>
      <c r="X5379" s="8" t="n"/>
      <c r="Y5379" s="8" t="n"/>
    </row>
    <row r="5380">
      <c r="A5380" s="8" t="n"/>
      <c r="B5380" s="8" t="n"/>
      <c r="C5380" s="8" t="n"/>
      <c r="D5380" s="8" t="n"/>
      <c r="E5380" s="8" t="n"/>
      <c r="F5380" s="8" t="n"/>
      <c r="G5380" s="8" t="n"/>
      <c r="H5380" s="8" t="n"/>
      <c r="I5380" s="8" t="n"/>
      <c r="J5380" s="8" t="n"/>
      <c r="K5380" s="8" t="n"/>
      <c r="L5380" s="8" t="n"/>
      <c r="M5380" s="9">
        <f>B5380+30</f>
        <v/>
      </c>
      <c r="N5380">
        <f>IF(L5380="", "", L5380-B5380)</f>
        <v/>
      </c>
      <c r="O5380">
        <f>IF(L5380="", "Pending", IF(N5380&lt;=30, "Met", "Breached"))</f>
        <v/>
      </c>
      <c r="P5380" s="8" t="n"/>
      <c r="Q5380" s="8" t="n"/>
      <c r="R5380" s="8" t="n"/>
      <c r="S5380" s="8" t="n"/>
      <c r="T5380" s="8" t="n"/>
      <c r="U5380" s="8" t="n"/>
      <c r="V5380" s="8" t="n"/>
      <c r="W5380" s="8" t="n"/>
      <c r="X5380" s="8" t="n"/>
      <c r="Y5380" s="8" t="n"/>
    </row>
    <row r="5381">
      <c r="A5381" s="8" t="n"/>
      <c r="B5381" s="8" t="n"/>
      <c r="C5381" s="8" t="n"/>
      <c r="D5381" s="8" t="n"/>
      <c r="E5381" s="8" t="n"/>
      <c r="F5381" s="8" t="n"/>
      <c r="G5381" s="8" t="n"/>
      <c r="H5381" s="8" t="n"/>
      <c r="I5381" s="8" t="n"/>
      <c r="J5381" s="8" t="n"/>
      <c r="K5381" s="8" t="n"/>
      <c r="L5381" s="8" t="n"/>
      <c r="M5381" s="9">
        <f>B5381+30</f>
        <v/>
      </c>
      <c r="N5381">
        <f>IF(L5381="", "", L5381-B5381)</f>
        <v/>
      </c>
      <c r="O5381">
        <f>IF(L5381="", "Pending", IF(N5381&lt;=30, "Met", "Breached"))</f>
        <v/>
      </c>
      <c r="P5381" s="8" t="n"/>
      <c r="Q5381" s="8" t="n"/>
      <c r="R5381" s="8" t="n"/>
      <c r="S5381" s="8" t="n"/>
      <c r="T5381" s="8" t="n"/>
      <c r="U5381" s="8" t="n"/>
      <c r="V5381" s="8" t="n"/>
      <c r="W5381" s="8" t="n"/>
      <c r="X5381" s="8" t="n"/>
      <c r="Y5381" s="8" t="n"/>
    </row>
    <row r="5382">
      <c r="A5382" s="8" t="n"/>
      <c r="B5382" s="8" t="n"/>
      <c r="C5382" s="8" t="n"/>
      <c r="D5382" s="8" t="n"/>
      <c r="E5382" s="8" t="n"/>
      <c r="F5382" s="8" t="n"/>
      <c r="G5382" s="8" t="n"/>
      <c r="H5382" s="8" t="n"/>
      <c r="I5382" s="8" t="n"/>
      <c r="J5382" s="8" t="n"/>
      <c r="K5382" s="8" t="n"/>
      <c r="L5382" s="8" t="n"/>
      <c r="M5382" s="9">
        <f>B5382+30</f>
        <v/>
      </c>
      <c r="N5382">
        <f>IF(L5382="", "", L5382-B5382)</f>
        <v/>
      </c>
      <c r="O5382">
        <f>IF(L5382="", "Pending", IF(N5382&lt;=30, "Met", "Breached"))</f>
        <v/>
      </c>
      <c r="P5382" s="8" t="n"/>
      <c r="Q5382" s="8" t="n"/>
      <c r="R5382" s="8" t="n"/>
      <c r="S5382" s="8" t="n"/>
      <c r="T5382" s="8" t="n"/>
      <c r="U5382" s="8" t="n"/>
      <c r="V5382" s="8" t="n"/>
      <c r="W5382" s="8" t="n"/>
      <c r="X5382" s="8" t="n"/>
      <c r="Y5382" s="8" t="n"/>
    </row>
    <row r="5383">
      <c r="A5383" s="8" t="n"/>
      <c r="B5383" s="8" t="n"/>
      <c r="C5383" s="8" t="n"/>
      <c r="D5383" s="8" t="n"/>
      <c r="E5383" s="8" t="n"/>
      <c r="F5383" s="8" t="n"/>
      <c r="G5383" s="8" t="n"/>
      <c r="H5383" s="8" t="n"/>
      <c r="I5383" s="8" t="n"/>
      <c r="J5383" s="8" t="n"/>
      <c r="K5383" s="8" t="n"/>
      <c r="L5383" s="8" t="n"/>
      <c r="M5383" s="9">
        <f>B5383+30</f>
        <v/>
      </c>
      <c r="N5383">
        <f>IF(L5383="", "", L5383-B5383)</f>
        <v/>
      </c>
      <c r="O5383">
        <f>IF(L5383="", "Pending", IF(N5383&lt;=30, "Met", "Breached"))</f>
        <v/>
      </c>
      <c r="P5383" s="8" t="n"/>
      <c r="Q5383" s="8" t="n"/>
      <c r="R5383" s="8" t="n"/>
      <c r="S5383" s="8" t="n"/>
      <c r="T5383" s="8" t="n"/>
      <c r="U5383" s="8" t="n"/>
      <c r="V5383" s="8" t="n"/>
      <c r="W5383" s="8" t="n"/>
      <c r="X5383" s="8" t="n"/>
      <c r="Y5383" s="8" t="n"/>
    </row>
    <row r="5384">
      <c r="A5384" s="8" t="n"/>
      <c r="B5384" s="8" t="n"/>
      <c r="C5384" s="8" t="n"/>
      <c r="D5384" s="8" t="n"/>
      <c r="E5384" s="8" t="n"/>
      <c r="F5384" s="8" t="n"/>
      <c r="G5384" s="8" t="n"/>
      <c r="H5384" s="8" t="n"/>
      <c r="I5384" s="8" t="n"/>
      <c r="J5384" s="8" t="n"/>
      <c r="K5384" s="8" t="n"/>
      <c r="L5384" s="8" t="n"/>
      <c r="M5384" s="9">
        <f>B5384+30</f>
        <v/>
      </c>
      <c r="N5384">
        <f>IF(L5384="", "", L5384-B5384)</f>
        <v/>
      </c>
      <c r="O5384">
        <f>IF(L5384="", "Pending", IF(N5384&lt;=30, "Met", "Breached"))</f>
        <v/>
      </c>
      <c r="P5384" s="8" t="n"/>
      <c r="Q5384" s="8" t="n"/>
      <c r="R5384" s="8" t="n"/>
      <c r="S5384" s="8" t="n"/>
      <c r="T5384" s="8" t="n"/>
      <c r="U5384" s="8" t="n"/>
      <c r="V5384" s="8" t="n"/>
      <c r="W5384" s="8" t="n"/>
      <c r="X5384" s="8" t="n"/>
      <c r="Y5384" s="8" t="n"/>
    </row>
    <row r="5385">
      <c r="A5385" s="8" t="n"/>
      <c r="B5385" s="8" t="n"/>
      <c r="C5385" s="8" t="n"/>
      <c r="D5385" s="8" t="n"/>
      <c r="E5385" s="8" t="n"/>
      <c r="F5385" s="8" t="n"/>
      <c r="G5385" s="8" t="n"/>
      <c r="H5385" s="8" t="n"/>
      <c r="I5385" s="8" t="n"/>
      <c r="J5385" s="8" t="n"/>
      <c r="K5385" s="8" t="n"/>
      <c r="L5385" s="8" t="n"/>
      <c r="M5385" s="9">
        <f>B5385+30</f>
        <v/>
      </c>
      <c r="N5385">
        <f>IF(L5385="", "", L5385-B5385)</f>
        <v/>
      </c>
      <c r="O5385">
        <f>IF(L5385="", "Pending", IF(N5385&lt;=30, "Met", "Breached"))</f>
        <v/>
      </c>
      <c r="P5385" s="8" t="n"/>
      <c r="Q5385" s="8" t="n"/>
      <c r="R5385" s="8" t="n"/>
      <c r="S5385" s="8" t="n"/>
      <c r="T5385" s="8" t="n"/>
      <c r="U5385" s="8" t="n"/>
      <c r="V5385" s="8" t="n"/>
      <c r="W5385" s="8" t="n"/>
      <c r="X5385" s="8" t="n"/>
      <c r="Y5385" s="8" t="n"/>
    </row>
    <row r="5386">
      <c r="A5386" s="8" t="n"/>
      <c r="B5386" s="8" t="n"/>
      <c r="C5386" s="8" t="n"/>
      <c r="D5386" s="8" t="n"/>
      <c r="E5386" s="8" t="n"/>
      <c r="F5386" s="8" t="n"/>
      <c r="G5386" s="8" t="n"/>
      <c r="H5386" s="8" t="n"/>
      <c r="I5386" s="8" t="n"/>
      <c r="J5386" s="8" t="n"/>
      <c r="K5386" s="8" t="n"/>
      <c r="L5386" s="8" t="n"/>
      <c r="M5386" s="9">
        <f>B5386+30</f>
        <v/>
      </c>
      <c r="N5386">
        <f>IF(L5386="", "", L5386-B5386)</f>
        <v/>
      </c>
      <c r="O5386">
        <f>IF(L5386="", "Pending", IF(N5386&lt;=30, "Met", "Breached"))</f>
        <v/>
      </c>
      <c r="P5386" s="8" t="n"/>
      <c r="Q5386" s="8" t="n"/>
      <c r="R5386" s="8" t="n"/>
      <c r="S5386" s="8" t="n"/>
      <c r="T5386" s="8" t="n"/>
      <c r="U5386" s="8" t="n"/>
      <c r="V5386" s="8" t="n"/>
      <c r="W5386" s="8" t="n"/>
      <c r="X5386" s="8" t="n"/>
      <c r="Y5386" s="8" t="n"/>
    </row>
    <row r="5387">
      <c r="A5387" s="8" t="n"/>
      <c r="B5387" s="8" t="n"/>
      <c r="C5387" s="8" t="n"/>
      <c r="D5387" s="8" t="n"/>
      <c r="E5387" s="8" t="n"/>
      <c r="F5387" s="8" t="n"/>
      <c r="G5387" s="8" t="n"/>
      <c r="H5387" s="8" t="n"/>
      <c r="I5387" s="8" t="n"/>
      <c r="J5387" s="8" t="n"/>
      <c r="K5387" s="8" t="n"/>
      <c r="L5387" s="8" t="n"/>
      <c r="M5387" s="9">
        <f>B5387+30</f>
        <v/>
      </c>
      <c r="N5387">
        <f>IF(L5387="", "", L5387-B5387)</f>
        <v/>
      </c>
      <c r="O5387">
        <f>IF(L5387="", "Pending", IF(N5387&lt;=30, "Met", "Breached"))</f>
        <v/>
      </c>
      <c r="P5387" s="8" t="n"/>
      <c r="Q5387" s="8" t="n"/>
      <c r="R5387" s="8" t="n"/>
      <c r="S5387" s="8" t="n"/>
      <c r="T5387" s="8" t="n"/>
      <c r="U5387" s="8" t="n"/>
      <c r="V5387" s="8" t="n"/>
      <c r="W5387" s="8" t="n"/>
      <c r="X5387" s="8" t="n"/>
      <c r="Y5387" s="8" t="n"/>
    </row>
    <row r="5388">
      <c r="A5388" s="8" t="n"/>
      <c r="B5388" s="8" t="n"/>
      <c r="C5388" s="8" t="n"/>
      <c r="D5388" s="8" t="n"/>
      <c r="E5388" s="8" t="n"/>
      <c r="F5388" s="8" t="n"/>
      <c r="G5388" s="8" t="n"/>
      <c r="H5388" s="8" t="n"/>
      <c r="I5388" s="8" t="n"/>
      <c r="J5388" s="8" t="n"/>
      <c r="K5388" s="8" t="n"/>
      <c r="L5388" s="8" t="n"/>
      <c r="M5388" s="9">
        <f>B5388+30</f>
        <v/>
      </c>
      <c r="N5388">
        <f>IF(L5388="", "", L5388-B5388)</f>
        <v/>
      </c>
      <c r="O5388">
        <f>IF(L5388="", "Pending", IF(N5388&lt;=30, "Met", "Breached"))</f>
        <v/>
      </c>
      <c r="P5388" s="8" t="n"/>
      <c r="Q5388" s="8" t="n"/>
      <c r="R5388" s="8" t="n"/>
      <c r="S5388" s="8" t="n"/>
      <c r="T5388" s="8" t="n"/>
      <c r="U5388" s="8" t="n"/>
      <c r="V5388" s="8" t="n"/>
      <c r="W5388" s="8" t="n"/>
      <c r="X5388" s="8" t="n"/>
      <c r="Y5388" s="8" t="n"/>
    </row>
    <row r="5389">
      <c r="A5389" s="8" t="n"/>
      <c r="B5389" s="8" t="n"/>
      <c r="C5389" s="8" t="n"/>
      <c r="D5389" s="8" t="n"/>
      <c r="E5389" s="8" t="n"/>
      <c r="F5389" s="8" t="n"/>
      <c r="G5389" s="8" t="n"/>
      <c r="H5389" s="8" t="n"/>
      <c r="I5389" s="8" t="n"/>
      <c r="J5389" s="8" t="n"/>
      <c r="K5389" s="8" t="n"/>
      <c r="L5389" s="8" t="n"/>
      <c r="M5389" s="9">
        <f>B5389+30</f>
        <v/>
      </c>
      <c r="N5389">
        <f>IF(L5389="", "", L5389-B5389)</f>
        <v/>
      </c>
      <c r="O5389">
        <f>IF(L5389="", "Pending", IF(N5389&lt;=30, "Met", "Breached"))</f>
        <v/>
      </c>
      <c r="P5389" s="8" t="n"/>
      <c r="Q5389" s="8" t="n"/>
      <c r="R5389" s="8" t="n"/>
      <c r="S5389" s="8" t="n"/>
      <c r="T5389" s="8" t="n"/>
      <c r="U5389" s="8" t="n"/>
      <c r="V5389" s="8" t="n"/>
      <c r="W5389" s="8" t="n"/>
      <c r="X5389" s="8" t="n"/>
      <c r="Y5389" s="8" t="n"/>
    </row>
    <row r="5390">
      <c r="A5390" s="8" t="n"/>
      <c r="B5390" s="8" t="n"/>
      <c r="C5390" s="8" t="n"/>
      <c r="D5390" s="8" t="n"/>
      <c r="E5390" s="8" t="n"/>
      <c r="F5390" s="8" t="n"/>
      <c r="G5390" s="8" t="n"/>
      <c r="H5390" s="8" t="n"/>
      <c r="I5390" s="8" t="n"/>
      <c r="J5390" s="8" t="n"/>
      <c r="K5390" s="8" t="n"/>
      <c r="L5390" s="8" t="n"/>
      <c r="M5390" s="9">
        <f>B5390+30</f>
        <v/>
      </c>
      <c r="N5390">
        <f>IF(L5390="", "", L5390-B5390)</f>
        <v/>
      </c>
      <c r="O5390">
        <f>IF(L5390="", "Pending", IF(N5390&lt;=30, "Met", "Breached"))</f>
        <v/>
      </c>
      <c r="P5390" s="8" t="n"/>
      <c r="Q5390" s="8" t="n"/>
      <c r="R5390" s="8" t="n"/>
      <c r="S5390" s="8" t="n"/>
      <c r="T5390" s="8" t="n"/>
      <c r="U5390" s="8" t="n"/>
      <c r="V5390" s="8" t="n"/>
      <c r="W5390" s="8" t="n"/>
      <c r="X5390" s="8" t="n"/>
      <c r="Y5390" s="8" t="n"/>
    </row>
    <row r="5391">
      <c r="A5391" s="8" t="n"/>
      <c r="B5391" s="8" t="n"/>
      <c r="C5391" s="8" t="n"/>
      <c r="D5391" s="8" t="n"/>
      <c r="E5391" s="8" t="n"/>
      <c r="F5391" s="8" t="n"/>
      <c r="G5391" s="8" t="n"/>
      <c r="H5391" s="8" t="n"/>
      <c r="I5391" s="8" t="n"/>
      <c r="J5391" s="8" t="n"/>
      <c r="K5391" s="8" t="n"/>
      <c r="L5391" s="8" t="n"/>
      <c r="M5391" s="9">
        <f>B5391+30</f>
        <v/>
      </c>
      <c r="N5391">
        <f>IF(L5391="", "", L5391-B5391)</f>
        <v/>
      </c>
      <c r="O5391">
        <f>IF(L5391="", "Pending", IF(N5391&lt;=30, "Met", "Breached"))</f>
        <v/>
      </c>
      <c r="P5391" s="8" t="n"/>
      <c r="Q5391" s="8" t="n"/>
      <c r="R5391" s="8" t="n"/>
      <c r="S5391" s="8" t="n"/>
      <c r="T5391" s="8" t="n"/>
      <c r="U5391" s="8" t="n"/>
      <c r="V5391" s="8" t="n"/>
      <c r="W5391" s="8" t="n"/>
      <c r="X5391" s="8" t="n"/>
      <c r="Y5391" s="8" t="n"/>
    </row>
    <row r="5392">
      <c r="A5392" s="8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8" t="n"/>
      <c r="K5392" s="8" t="n"/>
      <c r="L5392" s="8" t="n"/>
      <c r="M5392" s="9">
        <f>B5392+30</f>
        <v/>
      </c>
      <c r="N5392">
        <f>IF(L5392="", "", L5392-B5392)</f>
        <v/>
      </c>
      <c r="O5392">
        <f>IF(L5392="", "Pending", IF(N5392&lt;=30, "Met", "Breached"))</f>
        <v/>
      </c>
      <c r="P5392" s="8" t="n"/>
      <c r="Q5392" s="8" t="n"/>
      <c r="R5392" s="8" t="n"/>
      <c r="S5392" s="8" t="n"/>
      <c r="T5392" s="8" t="n"/>
      <c r="U5392" s="8" t="n"/>
      <c r="V5392" s="8" t="n"/>
      <c r="W5392" s="8" t="n"/>
      <c r="X5392" s="8" t="n"/>
      <c r="Y5392" s="8" t="n"/>
    </row>
    <row r="5393">
      <c r="A5393" s="8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8" t="n"/>
      <c r="K5393" s="8" t="n"/>
      <c r="L5393" s="8" t="n"/>
      <c r="M5393" s="9">
        <f>B5393+30</f>
        <v/>
      </c>
      <c r="N5393">
        <f>IF(L5393="", "", L5393-B5393)</f>
        <v/>
      </c>
      <c r="O5393">
        <f>IF(L5393="", "Pending", IF(N5393&lt;=30, "Met", "Breached"))</f>
        <v/>
      </c>
      <c r="P5393" s="8" t="n"/>
      <c r="Q5393" s="8" t="n"/>
      <c r="R5393" s="8" t="n"/>
      <c r="S5393" s="8" t="n"/>
      <c r="T5393" s="8" t="n"/>
      <c r="U5393" s="8" t="n"/>
      <c r="V5393" s="8" t="n"/>
      <c r="W5393" s="8" t="n"/>
      <c r="X5393" s="8" t="n"/>
      <c r="Y5393" s="8" t="n"/>
    </row>
    <row r="5394">
      <c r="A5394" s="8" t="n"/>
      <c r="B5394" s="8" t="n"/>
      <c r="C5394" s="8" t="n"/>
      <c r="D5394" s="8" t="n"/>
      <c r="E5394" s="8" t="n"/>
      <c r="F5394" s="8" t="n"/>
      <c r="G5394" s="8" t="n"/>
      <c r="H5394" s="8" t="n"/>
      <c r="I5394" s="8" t="n"/>
      <c r="J5394" s="8" t="n"/>
      <c r="K5394" s="8" t="n"/>
      <c r="L5394" s="8" t="n"/>
      <c r="M5394" s="9">
        <f>B5394+30</f>
        <v/>
      </c>
      <c r="N5394">
        <f>IF(L5394="", "", L5394-B5394)</f>
        <v/>
      </c>
      <c r="O5394">
        <f>IF(L5394="", "Pending", IF(N5394&lt;=30, "Met", "Breached"))</f>
        <v/>
      </c>
      <c r="P5394" s="8" t="n"/>
      <c r="Q5394" s="8" t="n"/>
      <c r="R5394" s="8" t="n"/>
      <c r="S5394" s="8" t="n"/>
      <c r="T5394" s="8" t="n"/>
      <c r="U5394" s="8" t="n"/>
      <c r="V5394" s="8" t="n"/>
      <c r="W5394" s="8" t="n"/>
      <c r="X5394" s="8" t="n"/>
      <c r="Y5394" s="8" t="n"/>
    </row>
    <row r="5395">
      <c r="A5395" s="8" t="n"/>
      <c r="B5395" s="8" t="n"/>
      <c r="C5395" s="8" t="n"/>
      <c r="D5395" s="8" t="n"/>
      <c r="E5395" s="8" t="n"/>
      <c r="F5395" s="8" t="n"/>
      <c r="G5395" s="8" t="n"/>
      <c r="H5395" s="8" t="n"/>
      <c r="I5395" s="8" t="n"/>
      <c r="J5395" s="8" t="n"/>
      <c r="K5395" s="8" t="n"/>
      <c r="L5395" s="8" t="n"/>
      <c r="M5395" s="9">
        <f>B5395+30</f>
        <v/>
      </c>
      <c r="N5395">
        <f>IF(L5395="", "", L5395-B5395)</f>
        <v/>
      </c>
      <c r="O5395">
        <f>IF(L5395="", "Pending", IF(N5395&lt;=30, "Met", "Breached"))</f>
        <v/>
      </c>
      <c r="P5395" s="8" t="n"/>
      <c r="Q5395" s="8" t="n"/>
      <c r="R5395" s="8" t="n"/>
      <c r="S5395" s="8" t="n"/>
      <c r="T5395" s="8" t="n"/>
      <c r="U5395" s="8" t="n"/>
      <c r="V5395" s="8" t="n"/>
      <c r="W5395" s="8" t="n"/>
      <c r="X5395" s="8" t="n"/>
      <c r="Y5395" s="8" t="n"/>
    </row>
    <row r="5396">
      <c r="A5396" s="8" t="n"/>
      <c r="B5396" s="8" t="n"/>
      <c r="C5396" s="8" t="n"/>
      <c r="D5396" s="8" t="n"/>
      <c r="E5396" s="8" t="n"/>
      <c r="F5396" s="8" t="n"/>
      <c r="G5396" s="8" t="n"/>
      <c r="H5396" s="8" t="n"/>
      <c r="I5396" s="8" t="n"/>
      <c r="J5396" s="8" t="n"/>
      <c r="K5396" s="8" t="n"/>
      <c r="L5396" s="8" t="n"/>
      <c r="M5396" s="9">
        <f>B5396+30</f>
        <v/>
      </c>
      <c r="N5396">
        <f>IF(L5396="", "", L5396-B5396)</f>
        <v/>
      </c>
      <c r="O5396">
        <f>IF(L5396="", "Pending", IF(N5396&lt;=30, "Met", "Breached"))</f>
        <v/>
      </c>
      <c r="P5396" s="8" t="n"/>
      <c r="Q5396" s="8" t="n"/>
      <c r="R5396" s="8" t="n"/>
      <c r="S5396" s="8" t="n"/>
      <c r="T5396" s="8" t="n"/>
      <c r="U5396" s="8" t="n"/>
      <c r="V5396" s="8" t="n"/>
      <c r="W5396" s="8" t="n"/>
      <c r="X5396" s="8" t="n"/>
      <c r="Y5396" s="8" t="n"/>
    </row>
    <row r="5397">
      <c r="A5397" s="8" t="n"/>
      <c r="B5397" s="8" t="n"/>
      <c r="C5397" s="8" t="n"/>
      <c r="D5397" s="8" t="n"/>
      <c r="E5397" s="8" t="n"/>
      <c r="F5397" s="8" t="n"/>
      <c r="G5397" s="8" t="n"/>
      <c r="H5397" s="8" t="n"/>
      <c r="I5397" s="8" t="n"/>
      <c r="J5397" s="8" t="n"/>
      <c r="K5397" s="8" t="n"/>
      <c r="L5397" s="8" t="n"/>
      <c r="M5397" s="9">
        <f>B5397+30</f>
        <v/>
      </c>
      <c r="N5397">
        <f>IF(L5397="", "", L5397-B5397)</f>
        <v/>
      </c>
      <c r="O5397">
        <f>IF(L5397="", "Pending", IF(N5397&lt;=30, "Met", "Breached"))</f>
        <v/>
      </c>
      <c r="P5397" s="8" t="n"/>
      <c r="Q5397" s="8" t="n"/>
      <c r="R5397" s="8" t="n"/>
      <c r="S5397" s="8" t="n"/>
      <c r="T5397" s="8" t="n"/>
      <c r="U5397" s="8" t="n"/>
      <c r="V5397" s="8" t="n"/>
      <c r="W5397" s="8" t="n"/>
      <c r="X5397" s="8" t="n"/>
      <c r="Y5397" s="8" t="n"/>
    </row>
    <row r="5398">
      <c r="A5398" s="8" t="n"/>
      <c r="B5398" s="8" t="n"/>
      <c r="C5398" s="8" t="n"/>
      <c r="D5398" s="8" t="n"/>
      <c r="E5398" s="8" t="n"/>
      <c r="F5398" s="8" t="n"/>
      <c r="G5398" s="8" t="n"/>
      <c r="H5398" s="8" t="n"/>
      <c r="I5398" s="8" t="n"/>
      <c r="J5398" s="8" t="n"/>
      <c r="K5398" s="8" t="n"/>
      <c r="L5398" s="8" t="n"/>
      <c r="M5398" s="9">
        <f>B5398+30</f>
        <v/>
      </c>
      <c r="N5398">
        <f>IF(L5398="", "", L5398-B5398)</f>
        <v/>
      </c>
      <c r="O5398">
        <f>IF(L5398="", "Pending", IF(N5398&lt;=30, "Met", "Breached"))</f>
        <v/>
      </c>
      <c r="P5398" s="8" t="n"/>
      <c r="Q5398" s="8" t="n"/>
      <c r="R5398" s="8" t="n"/>
      <c r="S5398" s="8" t="n"/>
      <c r="T5398" s="8" t="n"/>
      <c r="U5398" s="8" t="n"/>
      <c r="V5398" s="8" t="n"/>
      <c r="W5398" s="8" t="n"/>
      <c r="X5398" s="8" t="n"/>
      <c r="Y5398" s="8" t="n"/>
    </row>
    <row r="5399">
      <c r="A5399" s="8" t="n"/>
      <c r="B5399" s="8" t="n"/>
      <c r="C5399" s="8" t="n"/>
      <c r="D5399" s="8" t="n"/>
      <c r="E5399" s="8" t="n"/>
      <c r="F5399" s="8" t="n"/>
      <c r="G5399" s="8" t="n"/>
      <c r="H5399" s="8" t="n"/>
      <c r="I5399" s="8" t="n"/>
      <c r="J5399" s="8" t="n"/>
      <c r="K5399" s="8" t="n"/>
      <c r="L5399" s="8" t="n"/>
      <c r="M5399" s="9">
        <f>B5399+30</f>
        <v/>
      </c>
      <c r="N5399">
        <f>IF(L5399="", "", L5399-B5399)</f>
        <v/>
      </c>
      <c r="O5399">
        <f>IF(L5399="", "Pending", IF(N5399&lt;=30, "Met", "Breached"))</f>
        <v/>
      </c>
      <c r="P5399" s="8" t="n"/>
      <c r="Q5399" s="8" t="n"/>
      <c r="R5399" s="8" t="n"/>
      <c r="S5399" s="8" t="n"/>
      <c r="T5399" s="8" t="n"/>
      <c r="U5399" s="8" t="n"/>
      <c r="V5399" s="8" t="n"/>
      <c r="W5399" s="8" t="n"/>
      <c r="X5399" s="8" t="n"/>
      <c r="Y5399" s="8" t="n"/>
    </row>
    <row r="5400">
      <c r="A5400" s="8" t="n"/>
      <c r="B5400" s="8" t="n"/>
      <c r="C5400" s="8" t="n"/>
      <c r="D5400" s="8" t="n"/>
      <c r="E5400" s="8" t="n"/>
      <c r="F5400" s="8" t="n"/>
      <c r="G5400" s="8" t="n"/>
      <c r="H5400" s="8" t="n"/>
      <c r="I5400" s="8" t="n"/>
      <c r="J5400" s="8" t="n"/>
      <c r="K5400" s="8" t="n"/>
      <c r="L5400" s="8" t="n"/>
      <c r="M5400" s="9">
        <f>B5400+30</f>
        <v/>
      </c>
      <c r="N5400">
        <f>IF(L5400="", "", L5400-B5400)</f>
        <v/>
      </c>
      <c r="O5400">
        <f>IF(L5400="", "Pending", IF(N5400&lt;=30, "Met", "Breached"))</f>
        <v/>
      </c>
      <c r="P5400" s="8" t="n"/>
      <c r="Q5400" s="8" t="n"/>
      <c r="R5400" s="8" t="n"/>
      <c r="S5400" s="8" t="n"/>
      <c r="T5400" s="8" t="n"/>
      <c r="U5400" s="8" t="n"/>
      <c r="V5400" s="8" t="n"/>
      <c r="W5400" s="8" t="n"/>
      <c r="X5400" s="8" t="n"/>
      <c r="Y5400" s="8" t="n"/>
    </row>
    <row r="5401">
      <c r="A5401" s="8" t="n"/>
      <c r="B5401" s="8" t="n"/>
      <c r="C5401" s="8" t="n"/>
      <c r="D5401" s="8" t="n"/>
      <c r="E5401" s="8" t="n"/>
      <c r="F5401" s="8" t="n"/>
      <c r="G5401" s="8" t="n"/>
      <c r="H5401" s="8" t="n"/>
      <c r="I5401" s="8" t="n"/>
      <c r="J5401" s="8" t="n"/>
      <c r="K5401" s="8" t="n"/>
      <c r="L5401" s="8" t="n"/>
      <c r="M5401" s="9">
        <f>B5401+30</f>
        <v/>
      </c>
      <c r="N5401">
        <f>IF(L5401="", "", L5401-B5401)</f>
        <v/>
      </c>
      <c r="O5401">
        <f>IF(L5401="", "Pending", IF(N5401&lt;=30, "Met", "Breached"))</f>
        <v/>
      </c>
      <c r="P5401" s="8" t="n"/>
      <c r="Q5401" s="8" t="n"/>
      <c r="R5401" s="8" t="n"/>
      <c r="S5401" s="8" t="n"/>
      <c r="T5401" s="8" t="n"/>
      <c r="U5401" s="8" t="n"/>
      <c r="V5401" s="8" t="n"/>
      <c r="W5401" s="8" t="n"/>
      <c r="X5401" s="8" t="n"/>
      <c r="Y5401" s="8" t="n"/>
    </row>
    <row r="5402">
      <c r="A5402" s="8" t="n"/>
      <c r="B5402" s="8" t="n"/>
      <c r="C5402" s="8" t="n"/>
      <c r="D5402" s="8" t="n"/>
      <c r="E5402" s="8" t="n"/>
      <c r="F5402" s="8" t="n"/>
      <c r="G5402" s="8" t="n"/>
      <c r="H5402" s="8" t="n"/>
      <c r="I5402" s="8" t="n"/>
      <c r="J5402" s="8" t="n"/>
      <c r="K5402" s="8" t="n"/>
      <c r="L5402" s="8" t="n"/>
      <c r="M5402" s="9">
        <f>B5402+30</f>
        <v/>
      </c>
      <c r="N5402">
        <f>IF(L5402="", "", L5402-B5402)</f>
        <v/>
      </c>
      <c r="O5402">
        <f>IF(L5402="", "Pending", IF(N5402&lt;=30, "Met", "Breached"))</f>
        <v/>
      </c>
      <c r="P5402" s="8" t="n"/>
      <c r="Q5402" s="8" t="n"/>
      <c r="R5402" s="8" t="n"/>
      <c r="S5402" s="8" t="n"/>
      <c r="T5402" s="8" t="n"/>
      <c r="U5402" s="8" t="n"/>
      <c r="V5402" s="8" t="n"/>
      <c r="W5402" s="8" t="n"/>
      <c r="X5402" s="8" t="n"/>
      <c r="Y5402" s="8" t="n"/>
    </row>
    <row r="5403">
      <c r="A5403" s="8" t="n"/>
      <c r="B5403" s="8" t="n"/>
      <c r="C5403" s="8" t="n"/>
      <c r="D5403" s="8" t="n"/>
      <c r="E5403" s="8" t="n"/>
      <c r="F5403" s="8" t="n"/>
      <c r="G5403" s="8" t="n"/>
      <c r="H5403" s="8" t="n"/>
      <c r="I5403" s="8" t="n"/>
      <c r="J5403" s="8" t="n"/>
      <c r="K5403" s="8" t="n"/>
      <c r="L5403" s="8" t="n"/>
      <c r="M5403" s="9">
        <f>B5403+30</f>
        <v/>
      </c>
      <c r="N5403">
        <f>IF(L5403="", "", L5403-B5403)</f>
        <v/>
      </c>
      <c r="O5403">
        <f>IF(L5403="", "Pending", IF(N5403&lt;=30, "Met", "Breached"))</f>
        <v/>
      </c>
      <c r="P5403" s="8" t="n"/>
      <c r="Q5403" s="8" t="n"/>
      <c r="R5403" s="8" t="n"/>
      <c r="S5403" s="8" t="n"/>
      <c r="T5403" s="8" t="n"/>
      <c r="U5403" s="8" t="n"/>
      <c r="V5403" s="8" t="n"/>
      <c r="W5403" s="8" t="n"/>
      <c r="X5403" s="8" t="n"/>
      <c r="Y5403" s="8" t="n"/>
    </row>
    <row r="5404">
      <c r="A5404" s="8" t="n"/>
      <c r="B5404" s="8" t="n"/>
      <c r="C5404" s="8" t="n"/>
      <c r="D5404" s="8" t="n"/>
      <c r="E5404" s="8" t="n"/>
      <c r="F5404" s="8" t="n"/>
      <c r="G5404" s="8" t="n"/>
      <c r="H5404" s="8" t="n"/>
      <c r="I5404" s="8" t="n"/>
      <c r="J5404" s="8" t="n"/>
      <c r="K5404" s="8" t="n"/>
      <c r="L5404" s="8" t="n"/>
      <c r="M5404" s="9">
        <f>B5404+30</f>
        <v/>
      </c>
      <c r="N5404">
        <f>IF(L5404="", "", L5404-B5404)</f>
        <v/>
      </c>
      <c r="O5404">
        <f>IF(L5404="", "Pending", IF(N5404&lt;=30, "Met", "Breached"))</f>
        <v/>
      </c>
      <c r="P5404" s="8" t="n"/>
      <c r="Q5404" s="8" t="n"/>
      <c r="R5404" s="8" t="n"/>
      <c r="S5404" s="8" t="n"/>
      <c r="T5404" s="8" t="n"/>
      <c r="U5404" s="8" t="n"/>
      <c r="V5404" s="8" t="n"/>
      <c r="W5404" s="8" t="n"/>
      <c r="X5404" s="8" t="n"/>
      <c r="Y5404" s="8" t="n"/>
    </row>
    <row r="5405">
      <c r="A5405" s="8" t="n"/>
      <c r="B5405" s="8" t="n"/>
      <c r="C5405" s="8" t="n"/>
      <c r="D5405" s="8" t="n"/>
      <c r="E5405" s="8" t="n"/>
      <c r="F5405" s="8" t="n"/>
      <c r="G5405" s="8" t="n"/>
      <c r="H5405" s="8" t="n"/>
      <c r="I5405" s="8" t="n"/>
      <c r="J5405" s="8" t="n"/>
      <c r="K5405" s="8" t="n"/>
      <c r="L5405" s="8" t="n"/>
      <c r="M5405" s="9">
        <f>B5405+30</f>
        <v/>
      </c>
      <c r="N5405">
        <f>IF(L5405="", "", L5405-B5405)</f>
        <v/>
      </c>
      <c r="O5405">
        <f>IF(L5405="", "Pending", IF(N5405&lt;=30, "Met", "Breached"))</f>
        <v/>
      </c>
      <c r="P5405" s="8" t="n"/>
      <c r="Q5405" s="8" t="n"/>
      <c r="R5405" s="8" t="n"/>
      <c r="S5405" s="8" t="n"/>
      <c r="T5405" s="8" t="n"/>
      <c r="U5405" s="8" t="n"/>
      <c r="V5405" s="8" t="n"/>
      <c r="W5405" s="8" t="n"/>
      <c r="X5405" s="8" t="n"/>
      <c r="Y5405" s="8" t="n"/>
    </row>
    <row r="5406">
      <c r="A5406" s="8" t="n"/>
      <c r="B5406" s="8" t="n"/>
      <c r="C5406" s="8" t="n"/>
      <c r="D5406" s="8" t="n"/>
      <c r="E5406" s="8" t="n"/>
      <c r="F5406" s="8" t="n"/>
      <c r="G5406" s="8" t="n"/>
      <c r="H5406" s="8" t="n"/>
      <c r="I5406" s="8" t="n"/>
      <c r="J5406" s="8" t="n"/>
      <c r="K5406" s="8" t="n"/>
      <c r="L5406" s="8" t="n"/>
      <c r="M5406" s="9">
        <f>B5406+30</f>
        <v/>
      </c>
      <c r="N5406">
        <f>IF(L5406="", "", L5406-B5406)</f>
        <v/>
      </c>
      <c r="O5406">
        <f>IF(L5406="", "Pending", IF(N5406&lt;=30, "Met", "Breached"))</f>
        <v/>
      </c>
      <c r="P5406" s="8" t="n"/>
      <c r="Q5406" s="8" t="n"/>
      <c r="R5406" s="8" t="n"/>
      <c r="S5406" s="8" t="n"/>
      <c r="T5406" s="8" t="n"/>
      <c r="U5406" s="8" t="n"/>
      <c r="V5406" s="8" t="n"/>
      <c r="W5406" s="8" t="n"/>
      <c r="X5406" s="8" t="n"/>
      <c r="Y5406" s="8" t="n"/>
    </row>
    <row r="5407">
      <c r="A5407" s="8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8" t="n"/>
      <c r="K5407" s="8" t="n"/>
      <c r="L5407" s="8" t="n"/>
      <c r="M5407" s="9">
        <f>B5407+30</f>
        <v/>
      </c>
      <c r="N5407">
        <f>IF(L5407="", "", L5407-B5407)</f>
        <v/>
      </c>
      <c r="O5407">
        <f>IF(L5407="", "Pending", IF(N5407&lt;=30, "Met", "Breached"))</f>
        <v/>
      </c>
      <c r="P5407" s="8" t="n"/>
      <c r="Q5407" s="8" t="n"/>
      <c r="R5407" s="8" t="n"/>
      <c r="S5407" s="8" t="n"/>
      <c r="T5407" s="8" t="n"/>
      <c r="U5407" s="8" t="n"/>
      <c r="V5407" s="8" t="n"/>
      <c r="W5407" s="8" t="n"/>
      <c r="X5407" s="8" t="n"/>
      <c r="Y5407" s="8" t="n"/>
    </row>
    <row r="5408">
      <c r="A5408" s="8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8" t="n"/>
      <c r="K5408" s="8" t="n"/>
      <c r="L5408" s="8" t="n"/>
      <c r="M5408" s="9">
        <f>B5408+30</f>
        <v/>
      </c>
      <c r="N5408">
        <f>IF(L5408="", "", L5408-B5408)</f>
        <v/>
      </c>
      <c r="O5408">
        <f>IF(L5408="", "Pending", IF(N5408&lt;=30, "Met", "Breached"))</f>
        <v/>
      </c>
      <c r="P5408" s="8" t="n"/>
      <c r="Q5408" s="8" t="n"/>
      <c r="R5408" s="8" t="n"/>
      <c r="S5408" s="8" t="n"/>
      <c r="T5408" s="8" t="n"/>
      <c r="U5408" s="8" t="n"/>
      <c r="V5408" s="8" t="n"/>
      <c r="W5408" s="8" t="n"/>
      <c r="X5408" s="8" t="n"/>
      <c r="Y5408" s="8" t="n"/>
    </row>
    <row r="5409">
      <c r="A5409" s="8" t="n"/>
      <c r="B5409" s="8" t="n"/>
      <c r="C5409" s="8" t="n"/>
      <c r="D5409" s="8" t="n"/>
      <c r="E5409" s="8" t="n"/>
      <c r="F5409" s="8" t="n"/>
      <c r="G5409" s="8" t="n"/>
      <c r="H5409" s="8" t="n"/>
      <c r="I5409" s="8" t="n"/>
      <c r="J5409" s="8" t="n"/>
      <c r="K5409" s="8" t="n"/>
      <c r="L5409" s="8" t="n"/>
      <c r="M5409" s="9">
        <f>B5409+30</f>
        <v/>
      </c>
      <c r="N5409">
        <f>IF(L5409="", "", L5409-B5409)</f>
        <v/>
      </c>
      <c r="O5409">
        <f>IF(L5409="", "Pending", IF(N5409&lt;=30, "Met", "Breached"))</f>
        <v/>
      </c>
      <c r="P5409" s="8" t="n"/>
      <c r="Q5409" s="8" t="n"/>
      <c r="R5409" s="8" t="n"/>
      <c r="S5409" s="8" t="n"/>
      <c r="T5409" s="8" t="n"/>
      <c r="U5409" s="8" t="n"/>
      <c r="V5409" s="8" t="n"/>
      <c r="W5409" s="8" t="n"/>
      <c r="X5409" s="8" t="n"/>
      <c r="Y5409" s="8" t="n"/>
    </row>
    <row r="5410">
      <c r="A5410" s="8" t="n"/>
      <c r="B5410" s="8" t="n"/>
      <c r="C5410" s="8" t="n"/>
      <c r="D5410" s="8" t="n"/>
      <c r="E5410" s="8" t="n"/>
      <c r="F5410" s="8" t="n"/>
      <c r="G5410" s="8" t="n"/>
      <c r="H5410" s="8" t="n"/>
      <c r="I5410" s="8" t="n"/>
      <c r="J5410" s="8" t="n"/>
      <c r="K5410" s="8" t="n"/>
      <c r="L5410" s="8" t="n"/>
      <c r="M5410" s="9">
        <f>B5410+30</f>
        <v/>
      </c>
      <c r="N5410">
        <f>IF(L5410="", "", L5410-B5410)</f>
        <v/>
      </c>
      <c r="O5410">
        <f>IF(L5410="", "Pending", IF(N5410&lt;=30, "Met", "Breached"))</f>
        <v/>
      </c>
      <c r="P5410" s="8" t="n"/>
      <c r="Q5410" s="8" t="n"/>
      <c r="R5410" s="8" t="n"/>
      <c r="S5410" s="8" t="n"/>
      <c r="T5410" s="8" t="n"/>
      <c r="U5410" s="8" t="n"/>
      <c r="V5410" s="8" t="n"/>
      <c r="W5410" s="8" t="n"/>
      <c r="X5410" s="8" t="n"/>
      <c r="Y5410" s="8" t="n"/>
    </row>
    <row r="5411">
      <c r="A5411" s="8" t="n"/>
      <c r="B5411" s="8" t="n"/>
      <c r="C5411" s="8" t="n"/>
      <c r="D5411" s="8" t="n"/>
      <c r="E5411" s="8" t="n"/>
      <c r="F5411" s="8" t="n"/>
      <c r="G5411" s="8" t="n"/>
      <c r="H5411" s="8" t="n"/>
      <c r="I5411" s="8" t="n"/>
      <c r="J5411" s="8" t="n"/>
      <c r="K5411" s="8" t="n"/>
      <c r="L5411" s="8" t="n"/>
      <c r="M5411" s="9">
        <f>B5411+30</f>
        <v/>
      </c>
      <c r="N5411">
        <f>IF(L5411="", "", L5411-B5411)</f>
        <v/>
      </c>
      <c r="O5411">
        <f>IF(L5411="", "Pending", IF(N5411&lt;=30, "Met", "Breached"))</f>
        <v/>
      </c>
      <c r="P5411" s="8" t="n"/>
      <c r="Q5411" s="8" t="n"/>
      <c r="R5411" s="8" t="n"/>
      <c r="S5411" s="8" t="n"/>
      <c r="T5411" s="8" t="n"/>
      <c r="U5411" s="8" t="n"/>
      <c r="V5411" s="8" t="n"/>
      <c r="W5411" s="8" t="n"/>
      <c r="X5411" s="8" t="n"/>
      <c r="Y5411" s="8" t="n"/>
    </row>
    <row r="5412">
      <c r="A5412" s="8" t="n"/>
      <c r="B5412" s="8" t="n"/>
      <c r="C5412" s="8" t="n"/>
      <c r="D5412" s="8" t="n"/>
      <c r="E5412" s="8" t="n"/>
      <c r="F5412" s="8" t="n"/>
      <c r="G5412" s="8" t="n"/>
      <c r="H5412" s="8" t="n"/>
      <c r="I5412" s="8" t="n"/>
      <c r="J5412" s="8" t="n"/>
      <c r="K5412" s="8" t="n"/>
      <c r="L5412" s="8" t="n"/>
      <c r="M5412" s="9">
        <f>B5412+30</f>
        <v/>
      </c>
      <c r="N5412">
        <f>IF(L5412="", "", L5412-B5412)</f>
        <v/>
      </c>
      <c r="O5412">
        <f>IF(L5412="", "Pending", IF(N5412&lt;=30, "Met", "Breached"))</f>
        <v/>
      </c>
      <c r="P5412" s="8" t="n"/>
      <c r="Q5412" s="8" t="n"/>
      <c r="R5412" s="8" t="n"/>
      <c r="S5412" s="8" t="n"/>
      <c r="T5412" s="8" t="n"/>
      <c r="U5412" s="8" t="n"/>
      <c r="V5412" s="8" t="n"/>
      <c r="W5412" s="8" t="n"/>
      <c r="X5412" s="8" t="n"/>
      <c r="Y5412" s="8" t="n"/>
    </row>
    <row r="5413">
      <c r="A5413" s="8" t="n"/>
      <c r="B5413" s="8" t="n"/>
      <c r="C5413" s="8" t="n"/>
      <c r="D5413" s="8" t="n"/>
      <c r="E5413" s="8" t="n"/>
      <c r="F5413" s="8" t="n"/>
      <c r="G5413" s="8" t="n"/>
      <c r="H5413" s="8" t="n"/>
      <c r="I5413" s="8" t="n"/>
      <c r="J5413" s="8" t="n"/>
      <c r="K5413" s="8" t="n"/>
      <c r="L5413" s="8" t="n"/>
      <c r="M5413" s="9">
        <f>B5413+30</f>
        <v/>
      </c>
      <c r="N5413">
        <f>IF(L5413="", "", L5413-B5413)</f>
        <v/>
      </c>
      <c r="O5413">
        <f>IF(L5413="", "Pending", IF(N5413&lt;=30, "Met", "Breached"))</f>
        <v/>
      </c>
      <c r="P5413" s="8" t="n"/>
      <c r="Q5413" s="8" t="n"/>
      <c r="R5413" s="8" t="n"/>
      <c r="S5413" s="8" t="n"/>
      <c r="T5413" s="8" t="n"/>
      <c r="U5413" s="8" t="n"/>
      <c r="V5413" s="8" t="n"/>
      <c r="W5413" s="8" t="n"/>
      <c r="X5413" s="8" t="n"/>
      <c r="Y5413" s="8" t="n"/>
    </row>
    <row r="5414">
      <c r="A5414" s="8" t="n"/>
      <c r="B5414" s="8" t="n"/>
      <c r="C5414" s="8" t="n"/>
      <c r="D5414" s="8" t="n"/>
      <c r="E5414" s="8" t="n"/>
      <c r="F5414" s="8" t="n"/>
      <c r="G5414" s="8" t="n"/>
      <c r="H5414" s="8" t="n"/>
      <c r="I5414" s="8" t="n"/>
      <c r="J5414" s="8" t="n"/>
      <c r="K5414" s="8" t="n"/>
      <c r="L5414" s="8" t="n"/>
      <c r="M5414" s="9">
        <f>B5414+30</f>
        <v/>
      </c>
      <c r="N5414">
        <f>IF(L5414="", "", L5414-B5414)</f>
        <v/>
      </c>
      <c r="O5414">
        <f>IF(L5414="", "Pending", IF(N5414&lt;=30, "Met", "Breached"))</f>
        <v/>
      </c>
      <c r="P5414" s="8" t="n"/>
      <c r="Q5414" s="8" t="n"/>
      <c r="R5414" s="8" t="n"/>
      <c r="S5414" s="8" t="n"/>
      <c r="T5414" s="8" t="n"/>
      <c r="U5414" s="8" t="n"/>
      <c r="V5414" s="8" t="n"/>
      <c r="W5414" s="8" t="n"/>
      <c r="X5414" s="8" t="n"/>
      <c r="Y5414" s="8" t="n"/>
    </row>
    <row r="5415">
      <c r="A5415" s="8" t="n"/>
      <c r="B5415" s="8" t="n"/>
      <c r="C5415" s="8" t="n"/>
      <c r="D5415" s="8" t="n"/>
      <c r="E5415" s="8" t="n"/>
      <c r="F5415" s="8" t="n"/>
      <c r="G5415" s="8" t="n"/>
      <c r="H5415" s="8" t="n"/>
      <c r="I5415" s="8" t="n"/>
      <c r="J5415" s="8" t="n"/>
      <c r="K5415" s="8" t="n"/>
      <c r="L5415" s="8" t="n"/>
      <c r="M5415" s="9">
        <f>B5415+30</f>
        <v/>
      </c>
      <c r="N5415">
        <f>IF(L5415="", "", L5415-B5415)</f>
        <v/>
      </c>
      <c r="O5415">
        <f>IF(L5415="", "Pending", IF(N5415&lt;=30, "Met", "Breached"))</f>
        <v/>
      </c>
      <c r="P5415" s="8" t="n"/>
      <c r="Q5415" s="8" t="n"/>
      <c r="R5415" s="8" t="n"/>
      <c r="S5415" s="8" t="n"/>
      <c r="T5415" s="8" t="n"/>
      <c r="U5415" s="8" t="n"/>
      <c r="V5415" s="8" t="n"/>
      <c r="W5415" s="8" t="n"/>
      <c r="X5415" s="8" t="n"/>
      <c r="Y5415" s="8" t="n"/>
    </row>
    <row r="5416">
      <c r="A5416" s="8" t="n"/>
      <c r="B5416" s="8" t="n"/>
      <c r="C5416" s="8" t="n"/>
      <c r="D5416" s="8" t="n"/>
      <c r="E5416" s="8" t="n"/>
      <c r="F5416" s="8" t="n"/>
      <c r="G5416" s="8" t="n"/>
      <c r="H5416" s="8" t="n"/>
      <c r="I5416" s="8" t="n"/>
      <c r="J5416" s="8" t="n"/>
      <c r="K5416" s="8" t="n"/>
      <c r="L5416" s="8" t="n"/>
      <c r="M5416" s="9">
        <f>B5416+30</f>
        <v/>
      </c>
      <c r="N5416">
        <f>IF(L5416="", "", L5416-B5416)</f>
        <v/>
      </c>
      <c r="O5416">
        <f>IF(L5416="", "Pending", IF(N5416&lt;=30, "Met", "Breached"))</f>
        <v/>
      </c>
      <c r="P5416" s="8" t="n"/>
      <c r="Q5416" s="8" t="n"/>
      <c r="R5416" s="8" t="n"/>
      <c r="S5416" s="8" t="n"/>
      <c r="T5416" s="8" t="n"/>
      <c r="U5416" s="8" t="n"/>
      <c r="V5416" s="8" t="n"/>
      <c r="W5416" s="8" t="n"/>
      <c r="X5416" s="8" t="n"/>
      <c r="Y5416" s="8" t="n"/>
    </row>
    <row r="5417">
      <c r="A5417" s="8" t="n"/>
      <c r="B5417" s="8" t="n"/>
      <c r="C5417" s="8" t="n"/>
      <c r="D5417" s="8" t="n"/>
      <c r="E5417" s="8" t="n"/>
      <c r="F5417" s="8" t="n"/>
      <c r="G5417" s="8" t="n"/>
      <c r="H5417" s="8" t="n"/>
      <c r="I5417" s="8" t="n"/>
      <c r="J5417" s="8" t="n"/>
      <c r="K5417" s="8" t="n"/>
      <c r="L5417" s="8" t="n"/>
      <c r="M5417" s="9">
        <f>B5417+30</f>
        <v/>
      </c>
      <c r="N5417">
        <f>IF(L5417="", "", L5417-B5417)</f>
        <v/>
      </c>
      <c r="O5417">
        <f>IF(L5417="", "Pending", IF(N5417&lt;=30, "Met", "Breached"))</f>
        <v/>
      </c>
      <c r="P5417" s="8" t="n"/>
      <c r="Q5417" s="8" t="n"/>
      <c r="R5417" s="8" t="n"/>
      <c r="S5417" s="8" t="n"/>
      <c r="T5417" s="8" t="n"/>
      <c r="U5417" s="8" t="n"/>
      <c r="V5417" s="8" t="n"/>
      <c r="W5417" s="8" t="n"/>
      <c r="X5417" s="8" t="n"/>
      <c r="Y5417" s="8" t="n"/>
    </row>
    <row r="5418">
      <c r="A5418" s="8" t="n"/>
      <c r="B5418" s="8" t="n"/>
      <c r="C5418" s="8" t="n"/>
      <c r="D5418" s="8" t="n"/>
      <c r="E5418" s="8" t="n"/>
      <c r="F5418" s="8" t="n"/>
      <c r="G5418" s="8" t="n"/>
      <c r="H5418" s="8" t="n"/>
      <c r="I5418" s="8" t="n"/>
      <c r="J5418" s="8" t="n"/>
      <c r="K5418" s="8" t="n"/>
      <c r="L5418" s="8" t="n"/>
      <c r="M5418" s="9">
        <f>B5418+30</f>
        <v/>
      </c>
      <c r="N5418">
        <f>IF(L5418="", "", L5418-B5418)</f>
        <v/>
      </c>
      <c r="O5418">
        <f>IF(L5418="", "Pending", IF(N5418&lt;=30, "Met", "Breached"))</f>
        <v/>
      </c>
      <c r="P5418" s="8" t="n"/>
      <c r="Q5418" s="8" t="n"/>
      <c r="R5418" s="8" t="n"/>
      <c r="S5418" s="8" t="n"/>
      <c r="T5418" s="8" t="n"/>
      <c r="U5418" s="8" t="n"/>
      <c r="V5418" s="8" t="n"/>
      <c r="W5418" s="8" t="n"/>
      <c r="X5418" s="8" t="n"/>
      <c r="Y5418" s="8" t="n"/>
    </row>
    <row r="5419">
      <c r="A5419" s="8" t="n"/>
      <c r="B5419" s="8" t="n"/>
      <c r="C5419" s="8" t="n"/>
      <c r="D5419" s="8" t="n"/>
      <c r="E5419" s="8" t="n"/>
      <c r="F5419" s="8" t="n"/>
      <c r="G5419" s="8" t="n"/>
      <c r="H5419" s="8" t="n"/>
      <c r="I5419" s="8" t="n"/>
      <c r="J5419" s="8" t="n"/>
      <c r="K5419" s="8" t="n"/>
      <c r="L5419" s="8" t="n"/>
      <c r="M5419" s="9">
        <f>B5419+30</f>
        <v/>
      </c>
      <c r="N5419">
        <f>IF(L5419="", "", L5419-B5419)</f>
        <v/>
      </c>
      <c r="O5419">
        <f>IF(L5419="", "Pending", IF(N5419&lt;=30, "Met", "Breached"))</f>
        <v/>
      </c>
      <c r="P5419" s="8" t="n"/>
      <c r="Q5419" s="8" t="n"/>
      <c r="R5419" s="8" t="n"/>
      <c r="S5419" s="8" t="n"/>
      <c r="T5419" s="8" t="n"/>
      <c r="U5419" s="8" t="n"/>
      <c r="V5419" s="8" t="n"/>
      <c r="W5419" s="8" t="n"/>
      <c r="X5419" s="8" t="n"/>
      <c r="Y5419" s="8" t="n"/>
    </row>
    <row r="5420">
      <c r="A5420" s="8" t="n"/>
      <c r="B5420" s="8" t="n"/>
      <c r="C5420" s="8" t="n"/>
      <c r="D5420" s="8" t="n"/>
      <c r="E5420" s="8" t="n"/>
      <c r="F5420" s="8" t="n"/>
      <c r="G5420" s="8" t="n"/>
      <c r="H5420" s="8" t="n"/>
      <c r="I5420" s="8" t="n"/>
      <c r="J5420" s="8" t="n"/>
      <c r="K5420" s="8" t="n"/>
      <c r="L5420" s="8" t="n"/>
      <c r="M5420" s="9">
        <f>B5420+30</f>
        <v/>
      </c>
      <c r="N5420">
        <f>IF(L5420="", "", L5420-B5420)</f>
        <v/>
      </c>
      <c r="O5420">
        <f>IF(L5420="", "Pending", IF(N5420&lt;=30, "Met", "Breached"))</f>
        <v/>
      </c>
      <c r="P5420" s="8" t="n"/>
      <c r="Q5420" s="8" t="n"/>
      <c r="R5420" s="8" t="n"/>
      <c r="S5420" s="8" t="n"/>
      <c r="T5420" s="8" t="n"/>
      <c r="U5420" s="8" t="n"/>
      <c r="V5420" s="8" t="n"/>
      <c r="W5420" s="8" t="n"/>
      <c r="X5420" s="8" t="n"/>
      <c r="Y5420" s="8" t="n"/>
    </row>
    <row r="5421">
      <c r="A5421" s="8" t="n"/>
      <c r="B5421" s="8" t="n"/>
      <c r="C5421" s="8" t="n"/>
      <c r="D5421" s="8" t="n"/>
      <c r="E5421" s="8" t="n"/>
      <c r="F5421" s="8" t="n"/>
      <c r="G5421" s="8" t="n"/>
      <c r="H5421" s="8" t="n"/>
      <c r="I5421" s="8" t="n"/>
      <c r="J5421" s="8" t="n"/>
      <c r="K5421" s="8" t="n"/>
      <c r="L5421" s="8" t="n"/>
      <c r="M5421" s="9">
        <f>B5421+30</f>
        <v/>
      </c>
      <c r="N5421">
        <f>IF(L5421="", "", L5421-B5421)</f>
        <v/>
      </c>
      <c r="O5421">
        <f>IF(L5421="", "Pending", IF(N5421&lt;=30, "Met", "Breached"))</f>
        <v/>
      </c>
      <c r="P5421" s="8" t="n"/>
      <c r="Q5421" s="8" t="n"/>
      <c r="R5421" s="8" t="n"/>
      <c r="S5421" s="8" t="n"/>
      <c r="T5421" s="8" t="n"/>
      <c r="U5421" s="8" t="n"/>
      <c r="V5421" s="8" t="n"/>
      <c r="W5421" s="8" t="n"/>
      <c r="X5421" s="8" t="n"/>
      <c r="Y5421" s="8" t="n"/>
    </row>
    <row r="5422">
      <c r="A5422" s="8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8" t="n"/>
      <c r="K5422" s="8" t="n"/>
      <c r="L5422" s="8" t="n"/>
      <c r="M5422" s="9">
        <f>B5422+30</f>
        <v/>
      </c>
      <c r="N5422">
        <f>IF(L5422="", "", L5422-B5422)</f>
        <v/>
      </c>
      <c r="O5422">
        <f>IF(L5422="", "Pending", IF(N5422&lt;=30, "Met", "Breached"))</f>
        <v/>
      </c>
      <c r="P5422" s="8" t="n"/>
      <c r="Q5422" s="8" t="n"/>
      <c r="R5422" s="8" t="n"/>
      <c r="S5422" s="8" t="n"/>
      <c r="T5422" s="8" t="n"/>
      <c r="U5422" s="8" t="n"/>
      <c r="V5422" s="8" t="n"/>
      <c r="W5422" s="8" t="n"/>
      <c r="X5422" s="8" t="n"/>
      <c r="Y5422" s="8" t="n"/>
    </row>
    <row r="5423">
      <c r="A5423" s="8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8" t="n"/>
      <c r="K5423" s="8" t="n"/>
      <c r="L5423" s="8" t="n"/>
      <c r="M5423" s="9">
        <f>B5423+30</f>
        <v/>
      </c>
      <c r="N5423">
        <f>IF(L5423="", "", L5423-B5423)</f>
        <v/>
      </c>
      <c r="O5423">
        <f>IF(L5423="", "Pending", IF(N5423&lt;=30, "Met", "Breached"))</f>
        <v/>
      </c>
      <c r="P5423" s="8" t="n"/>
      <c r="Q5423" s="8" t="n"/>
      <c r="R5423" s="8" t="n"/>
      <c r="S5423" s="8" t="n"/>
      <c r="T5423" s="8" t="n"/>
      <c r="U5423" s="8" t="n"/>
      <c r="V5423" s="8" t="n"/>
      <c r="W5423" s="8" t="n"/>
      <c r="X5423" s="8" t="n"/>
      <c r="Y5423" s="8" t="n"/>
    </row>
    <row r="5424">
      <c r="A5424" s="8" t="n"/>
      <c r="B5424" s="8" t="n"/>
      <c r="C5424" s="8" t="n"/>
      <c r="D5424" s="8" t="n"/>
      <c r="E5424" s="8" t="n"/>
      <c r="F5424" s="8" t="n"/>
      <c r="G5424" s="8" t="n"/>
      <c r="H5424" s="8" t="n"/>
      <c r="I5424" s="8" t="n"/>
      <c r="J5424" s="8" t="n"/>
      <c r="K5424" s="8" t="n"/>
      <c r="L5424" s="8" t="n"/>
      <c r="M5424" s="9">
        <f>B5424+30</f>
        <v/>
      </c>
      <c r="N5424">
        <f>IF(L5424="", "", L5424-B5424)</f>
        <v/>
      </c>
      <c r="O5424">
        <f>IF(L5424="", "Pending", IF(N5424&lt;=30, "Met", "Breached"))</f>
        <v/>
      </c>
      <c r="P5424" s="8" t="n"/>
      <c r="Q5424" s="8" t="n"/>
      <c r="R5424" s="8" t="n"/>
      <c r="S5424" s="8" t="n"/>
      <c r="T5424" s="8" t="n"/>
      <c r="U5424" s="8" t="n"/>
      <c r="V5424" s="8" t="n"/>
      <c r="W5424" s="8" t="n"/>
      <c r="X5424" s="8" t="n"/>
      <c r="Y5424" s="8" t="n"/>
    </row>
    <row r="5425">
      <c r="A5425" s="8" t="n"/>
      <c r="B5425" s="8" t="n"/>
      <c r="C5425" s="8" t="n"/>
      <c r="D5425" s="8" t="n"/>
      <c r="E5425" s="8" t="n"/>
      <c r="F5425" s="8" t="n"/>
      <c r="G5425" s="8" t="n"/>
      <c r="H5425" s="8" t="n"/>
      <c r="I5425" s="8" t="n"/>
      <c r="J5425" s="8" t="n"/>
      <c r="K5425" s="8" t="n"/>
      <c r="L5425" s="8" t="n"/>
      <c r="M5425" s="9">
        <f>B5425+30</f>
        <v/>
      </c>
      <c r="N5425">
        <f>IF(L5425="", "", L5425-B5425)</f>
        <v/>
      </c>
      <c r="O5425">
        <f>IF(L5425="", "Pending", IF(N5425&lt;=30, "Met", "Breached"))</f>
        <v/>
      </c>
      <c r="P5425" s="8" t="n"/>
      <c r="Q5425" s="8" t="n"/>
      <c r="R5425" s="8" t="n"/>
      <c r="S5425" s="8" t="n"/>
      <c r="T5425" s="8" t="n"/>
      <c r="U5425" s="8" t="n"/>
      <c r="V5425" s="8" t="n"/>
      <c r="W5425" s="8" t="n"/>
      <c r="X5425" s="8" t="n"/>
      <c r="Y5425" s="8" t="n"/>
    </row>
    <row r="5426">
      <c r="A5426" s="8" t="n"/>
      <c r="B5426" s="8" t="n"/>
      <c r="C5426" s="8" t="n"/>
      <c r="D5426" s="8" t="n"/>
      <c r="E5426" s="8" t="n"/>
      <c r="F5426" s="8" t="n"/>
      <c r="G5426" s="8" t="n"/>
      <c r="H5426" s="8" t="n"/>
      <c r="I5426" s="8" t="n"/>
      <c r="J5426" s="8" t="n"/>
      <c r="K5426" s="8" t="n"/>
      <c r="L5426" s="8" t="n"/>
      <c r="M5426" s="9">
        <f>B5426+30</f>
        <v/>
      </c>
      <c r="N5426">
        <f>IF(L5426="", "", L5426-B5426)</f>
        <v/>
      </c>
      <c r="O5426">
        <f>IF(L5426="", "Pending", IF(N5426&lt;=30, "Met", "Breached"))</f>
        <v/>
      </c>
      <c r="P5426" s="8" t="n"/>
      <c r="Q5426" s="8" t="n"/>
      <c r="R5426" s="8" t="n"/>
      <c r="S5426" s="8" t="n"/>
      <c r="T5426" s="8" t="n"/>
      <c r="U5426" s="8" t="n"/>
      <c r="V5426" s="8" t="n"/>
      <c r="W5426" s="8" t="n"/>
      <c r="X5426" s="8" t="n"/>
      <c r="Y5426" s="8" t="n"/>
    </row>
    <row r="5427">
      <c r="A5427" s="8" t="n"/>
      <c r="B5427" s="8" t="n"/>
      <c r="C5427" s="8" t="n"/>
      <c r="D5427" s="8" t="n"/>
      <c r="E5427" s="8" t="n"/>
      <c r="F5427" s="8" t="n"/>
      <c r="G5427" s="8" t="n"/>
      <c r="H5427" s="8" t="n"/>
      <c r="I5427" s="8" t="n"/>
      <c r="J5427" s="8" t="n"/>
      <c r="K5427" s="8" t="n"/>
      <c r="L5427" s="8" t="n"/>
      <c r="M5427" s="9">
        <f>B5427+30</f>
        <v/>
      </c>
      <c r="N5427">
        <f>IF(L5427="", "", L5427-B5427)</f>
        <v/>
      </c>
      <c r="O5427">
        <f>IF(L5427="", "Pending", IF(N5427&lt;=30, "Met", "Breached"))</f>
        <v/>
      </c>
      <c r="P5427" s="8" t="n"/>
      <c r="Q5427" s="8" t="n"/>
      <c r="R5427" s="8" t="n"/>
      <c r="S5427" s="8" t="n"/>
      <c r="T5427" s="8" t="n"/>
      <c r="U5427" s="8" t="n"/>
      <c r="V5427" s="8" t="n"/>
      <c r="W5427" s="8" t="n"/>
      <c r="X5427" s="8" t="n"/>
      <c r="Y5427" s="8" t="n"/>
    </row>
    <row r="5428">
      <c r="A5428" s="8" t="n"/>
      <c r="B5428" s="8" t="n"/>
      <c r="C5428" s="8" t="n"/>
      <c r="D5428" s="8" t="n"/>
      <c r="E5428" s="8" t="n"/>
      <c r="F5428" s="8" t="n"/>
      <c r="G5428" s="8" t="n"/>
      <c r="H5428" s="8" t="n"/>
      <c r="I5428" s="8" t="n"/>
      <c r="J5428" s="8" t="n"/>
      <c r="K5428" s="8" t="n"/>
      <c r="L5428" s="8" t="n"/>
      <c r="M5428" s="9">
        <f>B5428+30</f>
        <v/>
      </c>
      <c r="N5428">
        <f>IF(L5428="", "", L5428-B5428)</f>
        <v/>
      </c>
      <c r="O5428">
        <f>IF(L5428="", "Pending", IF(N5428&lt;=30, "Met", "Breached"))</f>
        <v/>
      </c>
      <c r="P5428" s="8" t="n"/>
      <c r="Q5428" s="8" t="n"/>
      <c r="R5428" s="8" t="n"/>
      <c r="S5428" s="8" t="n"/>
      <c r="T5428" s="8" t="n"/>
      <c r="U5428" s="8" t="n"/>
      <c r="V5428" s="8" t="n"/>
      <c r="W5428" s="8" t="n"/>
      <c r="X5428" s="8" t="n"/>
      <c r="Y5428" s="8" t="n"/>
    </row>
    <row r="5429">
      <c r="A5429" s="8" t="n"/>
      <c r="B5429" s="8" t="n"/>
      <c r="C5429" s="8" t="n"/>
      <c r="D5429" s="8" t="n"/>
      <c r="E5429" s="8" t="n"/>
      <c r="F5429" s="8" t="n"/>
      <c r="G5429" s="8" t="n"/>
      <c r="H5429" s="8" t="n"/>
      <c r="I5429" s="8" t="n"/>
      <c r="J5429" s="8" t="n"/>
      <c r="K5429" s="8" t="n"/>
      <c r="L5429" s="8" t="n"/>
      <c r="M5429" s="9">
        <f>B5429+30</f>
        <v/>
      </c>
      <c r="N5429">
        <f>IF(L5429="", "", L5429-B5429)</f>
        <v/>
      </c>
      <c r="O5429">
        <f>IF(L5429="", "Pending", IF(N5429&lt;=30, "Met", "Breached"))</f>
        <v/>
      </c>
      <c r="P5429" s="8" t="n"/>
      <c r="Q5429" s="8" t="n"/>
      <c r="R5429" s="8" t="n"/>
      <c r="S5429" s="8" t="n"/>
      <c r="T5429" s="8" t="n"/>
      <c r="U5429" s="8" t="n"/>
      <c r="V5429" s="8" t="n"/>
      <c r="W5429" s="8" t="n"/>
      <c r="X5429" s="8" t="n"/>
      <c r="Y5429" s="8" t="n"/>
    </row>
    <row r="5430">
      <c r="A5430" s="8" t="n"/>
      <c r="B5430" s="8" t="n"/>
      <c r="C5430" s="8" t="n"/>
      <c r="D5430" s="8" t="n"/>
      <c r="E5430" s="8" t="n"/>
      <c r="F5430" s="8" t="n"/>
      <c r="G5430" s="8" t="n"/>
      <c r="H5430" s="8" t="n"/>
      <c r="I5430" s="8" t="n"/>
      <c r="J5430" s="8" t="n"/>
      <c r="K5430" s="8" t="n"/>
      <c r="L5430" s="8" t="n"/>
      <c r="M5430" s="9">
        <f>B5430+30</f>
        <v/>
      </c>
      <c r="N5430">
        <f>IF(L5430="", "", L5430-B5430)</f>
        <v/>
      </c>
      <c r="O5430">
        <f>IF(L5430="", "Pending", IF(N5430&lt;=30, "Met", "Breached"))</f>
        <v/>
      </c>
      <c r="P5430" s="8" t="n"/>
      <c r="Q5430" s="8" t="n"/>
      <c r="R5430" s="8" t="n"/>
      <c r="S5430" s="8" t="n"/>
      <c r="T5430" s="8" t="n"/>
      <c r="U5430" s="8" t="n"/>
      <c r="V5430" s="8" t="n"/>
      <c r="W5430" s="8" t="n"/>
      <c r="X5430" s="8" t="n"/>
      <c r="Y5430" s="8" t="n"/>
    </row>
    <row r="5431">
      <c r="A5431" s="8" t="n"/>
      <c r="B5431" s="8" t="n"/>
      <c r="C5431" s="8" t="n"/>
      <c r="D5431" s="8" t="n"/>
      <c r="E5431" s="8" t="n"/>
      <c r="F5431" s="8" t="n"/>
      <c r="G5431" s="8" t="n"/>
      <c r="H5431" s="8" t="n"/>
      <c r="I5431" s="8" t="n"/>
      <c r="J5431" s="8" t="n"/>
      <c r="K5431" s="8" t="n"/>
      <c r="L5431" s="8" t="n"/>
      <c r="M5431" s="9">
        <f>B5431+30</f>
        <v/>
      </c>
      <c r="N5431">
        <f>IF(L5431="", "", L5431-B5431)</f>
        <v/>
      </c>
      <c r="O5431">
        <f>IF(L5431="", "Pending", IF(N5431&lt;=30, "Met", "Breached"))</f>
        <v/>
      </c>
      <c r="P5431" s="8" t="n"/>
      <c r="Q5431" s="8" t="n"/>
      <c r="R5431" s="8" t="n"/>
      <c r="S5431" s="8" t="n"/>
      <c r="T5431" s="8" t="n"/>
      <c r="U5431" s="8" t="n"/>
      <c r="V5431" s="8" t="n"/>
      <c r="W5431" s="8" t="n"/>
      <c r="X5431" s="8" t="n"/>
      <c r="Y5431" s="8" t="n"/>
    </row>
    <row r="5432">
      <c r="A5432" s="8" t="n"/>
      <c r="B5432" s="8" t="n"/>
      <c r="C5432" s="8" t="n"/>
      <c r="D5432" s="8" t="n"/>
      <c r="E5432" s="8" t="n"/>
      <c r="F5432" s="8" t="n"/>
      <c r="G5432" s="8" t="n"/>
      <c r="H5432" s="8" t="n"/>
      <c r="I5432" s="8" t="n"/>
      <c r="J5432" s="8" t="n"/>
      <c r="K5432" s="8" t="n"/>
      <c r="L5432" s="8" t="n"/>
      <c r="M5432" s="9">
        <f>B5432+30</f>
        <v/>
      </c>
      <c r="N5432">
        <f>IF(L5432="", "", L5432-B5432)</f>
        <v/>
      </c>
      <c r="O5432">
        <f>IF(L5432="", "Pending", IF(N5432&lt;=30, "Met", "Breached"))</f>
        <v/>
      </c>
      <c r="P5432" s="8" t="n"/>
      <c r="Q5432" s="8" t="n"/>
      <c r="R5432" s="8" t="n"/>
      <c r="S5432" s="8" t="n"/>
      <c r="T5432" s="8" t="n"/>
      <c r="U5432" s="8" t="n"/>
      <c r="V5432" s="8" t="n"/>
      <c r="W5432" s="8" t="n"/>
      <c r="X5432" s="8" t="n"/>
      <c r="Y5432" s="8" t="n"/>
    </row>
    <row r="5433">
      <c r="A5433" s="8" t="n"/>
      <c r="B5433" s="8" t="n"/>
      <c r="C5433" s="8" t="n"/>
      <c r="D5433" s="8" t="n"/>
      <c r="E5433" s="8" t="n"/>
      <c r="F5433" s="8" t="n"/>
      <c r="G5433" s="8" t="n"/>
      <c r="H5433" s="8" t="n"/>
      <c r="I5433" s="8" t="n"/>
      <c r="J5433" s="8" t="n"/>
      <c r="K5433" s="8" t="n"/>
      <c r="L5433" s="8" t="n"/>
      <c r="M5433" s="9">
        <f>B5433+30</f>
        <v/>
      </c>
      <c r="N5433">
        <f>IF(L5433="", "", L5433-B5433)</f>
        <v/>
      </c>
      <c r="O5433">
        <f>IF(L5433="", "Pending", IF(N5433&lt;=30, "Met", "Breached"))</f>
        <v/>
      </c>
      <c r="P5433" s="8" t="n"/>
      <c r="Q5433" s="8" t="n"/>
      <c r="R5433" s="8" t="n"/>
      <c r="S5433" s="8" t="n"/>
      <c r="T5433" s="8" t="n"/>
      <c r="U5433" s="8" t="n"/>
      <c r="V5433" s="8" t="n"/>
      <c r="W5433" s="8" t="n"/>
      <c r="X5433" s="8" t="n"/>
      <c r="Y5433" s="8" t="n"/>
    </row>
    <row r="5434">
      <c r="A5434" s="8" t="n"/>
      <c r="B5434" s="8" t="n"/>
      <c r="C5434" s="8" t="n"/>
      <c r="D5434" s="8" t="n"/>
      <c r="E5434" s="8" t="n"/>
      <c r="F5434" s="8" t="n"/>
      <c r="G5434" s="8" t="n"/>
      <c r="H5434" s="8" t="n"/>
      <c r="I5434" s="8" t="n"/>
      <c r="J5434" s="8" t="n"/>
      <c r="K5434" s="8" t="n"/>
      <c r="L5434" s="8" t="n"/>
      <c r="M5434" s="9">
        <f>B5434+30</f>
        <v/>
      </c>
      <c r="N5434">
        <f>IF(L5434="", "", L5434-B5434)</f>
        <v/>
      </c>
      <c r="O5434">
        <f>IF(L5434="", "Pending", IF(N5434&lt;=30, "Met", "Breached"))</f>
        <v/>
      </c>
      <c r="P5434" s="8" t="n"/>
      <c r="Q5434" s="8" t="n"/>
      <c r="R5434" s="8" t="n"/>
      <c r="S5434" s="8" t="n"/>
      <c r="T5434" s="8" t="n"/>
      <c r="U5434" s="8" t="n"/>
      <c r="V5434" s="8" t="n"/>
      <c r="W5434" s="8" t="n"/>
      <c r="X5434" s="8" t="n"/>
      <c r="Y5434" s="8" t="n"/>
    </row>
    <row r="5435">
      <c r="A5435" s="8" t="n"/>
      <c r="B5435" s="8" t="n"/>
      <c r="C5435" s="8" t="n"/>
      <c r="D5435" s="8" t="n"/>
      <c r="E5435" s="8" t="n"/>
      <c r="F5435" s="8" t="n"/>
      <c r="G5435" s="8" t="n"/>
      <c r="H5435" s="8" t="n"/>
      <c r="I5435" s="8" t="n"/>
      <c r="J5435" s="8" t="n"/>
      <c r="K5435" s="8" t="n"/>
      <c r="L5435" s="8" t="n"/>
      <c r="M5435" s="9">
        <f>B5435+30</f>
        <v/>
      </c>
      <c r="N5435">
        <f>IF(L5435="", "", L5435-B5435)</f>
        <v/>
      </c>
      <c r="O5435">
        <f>IF(L5435="", "Pending", IF(N5435&lt;=30, "Met", "Breached"))</f>
        <v/>
      </c>
      <c r="P5435" s="8" t="n"/>
      <c r="Q5435" s="8" t="n"/>
      <c r="R5435" s="8" t="n"/>
      <c r="S5435" s="8" t="n"/>
      <c r="T5435" s="8" t="n"/>
      <c r="U5435" s="8" t="n"/>
      <c r="V5435" s="8" t="n"/>
      <c r="W5435" s="8" t="n"/>
      <c r="X5435" s="8" t="n"/>
      <c r="Y5435" s="8" t="n"/>
    </row>
    <row r="5436">
      <c r="A5436" s="8" t="n"/>
      <c r="B5436" s="8" t="n"/>
      <c r="C5436" s="8" t="n"/>
      <c r="D5436" s="8" t="n"/>
      <c r="E5436" s="8" t="n"/>
      <c r="F5436" s="8" t="n"/>
      <c r="G5436" s="8" t="n"/>
      <c r="H5436" s="8" t="n"/>
      <c r="I5436" s="8" t="n"/>
      <c r="J5436" s="8" t="n"/>
      <c r="K5436" s="8" t="n"/>
      <c r="L5436" s="8" t="n"/>
      <c r="M5436" s="9">
        <f>B5436+30</f>
        <v/>
      </c>
      <c r="N5436">
        <f>IF(L5436="", "", L5436-B5436)</f>
        <v/>
      </c>
      <c r="O5436">
        <f>IF(L5436="", "Pending", IF(N5436&lt;=30, "Met", "Breached"))</f>
        <v/>
      </c>
      <c r="P5436" s="8" t="n"/>
      <c r="Q5436" s="8" t="n"/>
      <c r="R5436" s="8" t="n"/>
      <c r="S5436" s="8" t="n"/>
      <c r="T5436" s="8" t="n"/>
      <c r="U5436" s="8" t="n"/>
      <c r="V5436" s="8" t="n"/>
      <c r="W5436" s="8" t="n"/>
      <c r="X5436" s="8" t="n"/>
      <c r="Y5436" s="8" t="n"/>
    </row>
    <row r="5437">
      <c r="A5437" s="8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8" t="n"/>
      <c r="K5437" s="8" t="n"/>
      <c r="L5437" s="8" t="n"/>
      <c r="M5437" s="9">
        <f>B5437+30</f>
        <v/>
      </c>
      <c r="N5437">
        <f>IF(L5437="", "", L5437-B5437)</f>
        <v/>
      </c>
      <c r="O5437">
        <f>IF(L5437="", "Pending", IF(N5437&lt;=30, "Met", "Breached"))</f>
        <v/>
      </c>
      <c r="P5437" s="8" t="n"/>
      <c r="Q5437" s="8" t="n"/>
      <c r="R5437" s="8" t="n"/>
      <c r="S5437" s="8" t="n"/>
      <c r="T5437" s="8" t="n"/>
      <c r="U5437" s="8" t="n"/>
      <c r="V5437" s="8" t="n"/>
      <c r="W5437" s="8" t="n"/>
      <c r="X5437" s="8" t="n"/>
      <c r="Y5437" s="8" t="n"/>
    </row>
    <row r="5438">
      <c r="A5438" s="8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8" t="n"/>
      <c r="K5438" s="8" t="n"/>
      <c r="L5438" s="8" t="n"/>
      <c r="M5438" s="9">
        <f>B5438+30</f>
        <v/>
      </c>
      <c r="N5438">
        <f>IF(L5438="", "", L5438-B5438)</f>
        <v/>
      </c>
      <c r="O5438">
        <f>IF(L5438="", "Pending", IF(N5438&lt;=30, "Met", "Breached"))</f>
        <v/>
      </c>
      <c r="P5438" s="8" t="n"/>
      <c r="Q5438" s="8" t="n"/>
      <c r="R5438" s="8" t="n"/>
      <c r="S5438" s="8" t="n"/>
      <c r="T5438" s="8" t="n"/>
      <c r="U5438" s="8" t="n"/>
      <c r="V5438" s="8" t="n"/>
      <c r="W5438" s="8" t="n"/>
      <c r="X5438" s="8" t="n"/>
      <c r="Y5438" s="8" t="n"/>
    </row>
    <row r="5439">
      <c r="A5439" s="8" t="n"/>
      <c r="B5439" s="8" t="n"/>
      <c r="C5439" s="8" t="n"/>
      <c r="D5439" s="8" t="n"/>
      <c r="E5439" s="8" t="n"/>
      <c r="F5439" s="8" t="n"/>
      <c r="G5439" s="8" t="n"/>
      <c r="H5439" s="8" t="n"/>
      <c r="I5439" s="8" t="n"/>
      <c r="J5439" s="8" t="n"/>
      <c r="K5439" s="8" t="n"/>
      <c r="L5439" s="8" t="n"/>
      <c r="M5439" s="9">
        <f>B5439+30</f>
        <v/>
      </c>
      <c r="N5439">
        <f>IF(L5439="", "", L5439-B5439)</f>
        <v/>
      </c>
      <c r="O5439">
        <f>IF(L5439="", "Pending", IF(N5439&lt;=30, "Met", "Breached"))</f>
        <v/>
      </c>
      <c r="P5439" s="8" t="n"/>
      <c r="Q5439" s="8" t="n"/>
      <c r="R5439" s="8" t="n"/>
      <c r="S5439" s="8" t="n"/>
      <c r="T5439" s="8" t="n"/>
      <c r="U5439" s="8" t="n"/>
      <c r="V5439" s="8" t="n"/>
      <c r="W5439" s="8" t="n"/>
      <c r="X5439" s="8" t="n"/>
      <c r="Y5439" s="8" t="n"/>
    </row>
    <row r="5440">
      <c r="A5440" s="8" t="n"/>
      <c r="B5440" s="8" t="n"/>
      <c r="C5440" s="8" t="n"/>
      <c r="D5440" s="8" t="n"/>
      <c r="E5440" s="8" t="n"/>
      <c r="F5440" s="8" t="n"/>
      <c r="G5440" s="8" t="n"/>
      <c r="H5440" s="8" t="n"/>
      <c r="I5440" s="8" t="n"/>
      <c r="J5440" s="8" t="n"/>
      <c r="K5440" s="8" t="n"/>
      <c r="L5440" s="8" t="n"/>
      <c r="M5440" s="9">
        <f>B5440+30</f>
        <v/>
      </c>
      <c r="N5440">
        <f>IF(L5440="", "", L5440-B5440)</f>
        <v/>
      </c>
      <c r="O5440">
        <f>IF(L5440="", "Pending", IF(N5440&lt;=30, "Met", "Breached"))</f>
        <v/>
      </c>
      <c r="P5440" s="8" t="n"/>
      <c r="Q5440" s="8" t="n"/>
      <c r="R5440" s="8" t="n"/>
      <c r="S5440" s="8" t="n"/>
      <c r="T5440" s="8" t="n"/>
      <c r="U5440" s="8" t="n"/>
      <c r="V5440" s="8" t="n"/>
      <c r="W5440" s="8" t="n"/>
      <c r="X5440" s="8" t="n"/>
      <c r="Y5440" s="8" t="n"/>
    </row>
    <row r="5441">
      <c r="A5441" s="8" t="n"/>
      <c r="B5441" s="8" t="n"/>
      <c r="C5441" s="8" t="n"/>
      <c r="D5441" s="8" t="n"/>
      <c r="E5441" s="8" t="n"/>
      <c r="F5441" s="8" t="n"/>
      <c r="G5441" s="8" t="n"/>
      <c r="H5441" s="8" t="n"/>
      <c r="I5441" s="8" t="n"/>
      <c r="J5441" s="8" t="n"/>
      <c r="K5441" s="8" t="n"/>
      <c r="L5441" s="8" t="n"/>
      <c r="M5441" s="9">
        <f>B5441+30</f>
        <v/>
      </c>
      <c r="N5441">
        <f>IF(L5441="", "", L5441-B5441)</f>
        <v/>
      </c>
      <c r="O5441">
        <f>IF(L5441="", "Pending", IF(N5441&lt;=30, "Met", "Breached"))</f>
        <v/>
      </c>
      <c r="P5441" s="8" t="n"/>
      <c r="Q5441" s="8" t="n"/>
      <c r="R5441" s="8" t="n"/>
      <c r="S5441" s="8" t="n"/>
      <c r="T5441" s="8" t="n"/>
      <c r="U5441" s="8" t="n"/>
      <c r="V5441" s="8" t="n"/>
      <c r="W5441" s="8" t="n"/>
      <c r="X5441" s="8" t="n"/>
      <c r="Y5441" s="8" t="n"/>
    </row>
    <row r="5442">
      <c r="A5442" s="8" t="n"/>
      <c r="B5442" s="8" t="n"/>
      <c r="C5442" s="8" t="n"/>
      <c r="D5442" s="8" t="n"/>
      <c r="E5442" s="8" t="n"/>
      <c r="F5442" s="8" t="n"/>
      <c r="G5442" s="8" t="n"/>
      <c r="H5442" s="8" t="n"/>
      <c r="I5442" s="8" t="n"/>
      <c r="J5442" s="8" t="n"/>
      <c r="K5442" s="8" t="n"/>
      <c r="L5442" s="8" t="n"/>
      <c r="M5442" s="9">
        <f>B5442+30</f>
        <v/>
      </c>
      <c r="N5442">
        <f>IF(L5442="", "", L5442-B5442)</f>
        <v/>
      </c>
      <c r="O5442">
        <f>IF(L5442="", "Pending", IF(N5442&lt;=30, "Met", "Breached"))</f>
        <v/>
      </c>
      <c r="P5442" s="8" t="n"/>
      <c r="Q5442" s="8" t="n"/>
      <c r="R5442" s="8" t="n"/>
      <c r="S5442" s="8" t="n"/>
      <c r="T5442" s="8" t="n"/>
      <c r="U5442" s="8" t="n"/>
      <c r="V5442" s="8" t="n"/>
      <c r="W5442" s="8" t="n"/>
      <c r="X5442" s="8" t="n"/>
      <c r="Y5442" s="8" t="n"/>
    </row>
    <row r="5443">
      <c r="A5443" s="8" t="n"/>
      <c r="B5443" s="8" t="n"/>
      <c r="C5443" s="8" t="n"/>
      <c r="D5443" s="8" t="n"/>
      <c r="E5443" s="8" t="n"/>
      <c r="F5443" s="8" t="n"/>
      <c r="G5443" s="8" t="n"/>
      <c r="H5443" s="8" t="n"/>
      <c r="I5443" s="8" t="n"/>
      <c r="J5443" s="8" t="n"/>
      <c r="K5443" s="8" t="n"/>
      <c r="L5443" s="8" t="n"/>
      <c r="M5443" s="9">
        <f>B5443+30</f>
        <v/>
      </c>
      <c r="N5443">
        <f>IF(L5443="", "", L5443-B5443)</f>
        <v/>
      </c>
      <c r="O5443">
        <f>IF(L5443="", "Pending", IF(N5443&lt;=30, "Met", "Breached"))</f>
        <v/>
      </c>
      <c r="P5443" s="8" t="n"/>
      <c r="Q5443" s="8" t="n"/>
      <c r="R5443" s="8" t="n"/>
      <c r="S5443" s="8" t="n"/>
      <c r="T5443" s="8" t="n"/>
      <c r="U5443" s="8" t="n"/>
      <c r="V5443" s="8" t="n"/>
      <c r="W5443" s="8" t="n"/>
      <c r="X5443" s="8" t="n"/>
      <c r="Y5443" s="8" t="n"/>
    </row>
    <row r="5444">
      <c r="A5444" s="8" t="n"/>
      <c r="B5444" s="8" t="n"/>
      <c r="C5444" s="8" t="n"/>
      <c r="D5444" s="8" t="n"/>
      <c r="E5444" s="8" t="n"/>
      <c r="F5444" s="8" t="n"/>
      <c r="G5444" s="8" t="n"/>
      <c r="H5444" s="8" t="n"/>
      <c r="I5444" s="8" t="n"/>
      <c r="J5444" s="8" t="n"/>
      <c r="K5444" s="8" t="n"/>
      <c r="L5444" s="8" t="n"/>
      <c r="M5444" s="9">
        <f>B5444+30</f>
        <v/>
      </c>
      <c r="N5444">
        <f>IF(L5444="", "", L5444-B5444)</f>
        <v/>
      </c>
      <c r="O5444">
        <f>IF(L5444="", "Pending", IF(N5444&lt;=30, "Met", "Breached"))</f>
        <v/>
      </c>
      <c r="P5444" s="8" t="n"/>
      <c r="Q5444" s="8" t="n"/>
      <c r="R5444" s="8" t="n"/>
      <c r="S5444" s="8" t="n"/>
      <c r="T5444" s="8" t="n"/>
      <c r="U5444" s="8" t="n"/>
      <c r="V5444" s="8" t="n"/>
      <c r="W5444" s="8" t="n"/>
      <c r="X5444" s="8" t="n"/>
      <c r="Y5444" s="8" t="n"/>
    </row>
    <row r="5445">
      <c r="A5445" s="8" t="n"/>
      <c r="B5445" s="8" t="n"/>
      <c r="C5445" s="8" t="n"/>
      <c r="D5445" s="8" t="n"/>
      <c r="E5445" s="8" t="n"/>
      <c r="F5445" s="8" t="n"/>
      <c r="G5445" s="8" t="n"/>
      <c r="H5445" s="8" t="n"/>
      <c r="I5445" s="8" t="n"/>
      <c r="J5445" s="8" t="n"/>
      <c r="K5445" s="8" t="n"/>
      <c r="L5445" s="8" t="n"/>
      <c r="M5445" s="9">
        <f>B5445+30</f>
        <v/>
      </c>
      <c r="N5445">
        <f>IF(L5445="", "", L5445-B5445)</f>
        <v/>
      </c>
      <c r="O5445">
        <f>IF(L5445="", "Pending", IF(N5445&lt;=30, "Met", "Breached"))</f>
        <v/>
      </c>
      <c r="P5445" s="8" t="n"/>
      <c r="Q5445" s="8" t="n"/>
      <c r="R5445" s="8" t="n"/>
      <c r="S5445" s="8" t="n"/>
      <c r="T5445" s="8" t="n"/>
      <c r="U5445" s="8" t="n"/>
      <c r="V5445" s="8" t="n"/>
      <c r="W5445" s="8" t="n"/>
      <c r="X5445" s="8" t="n"/>
      <c r="Y5445" s="8" t="n"/>
    </row>
    <row r="5446">
      <c r="A5446" s="8" t="n"/>
      <c r="B5446" s="8" t="n"/>
      <c r="C5446" s="8" t="n"/>
      <c r="D5446" s="8" t="n"/>
      <c r="E5446" s="8" t="n"/>
      <c r="F5446" s="8" t="n"/>
      <c r="G5446" s="8" t="n"/>
      <c r="H5446" s="8" t="n"/>
      <c r="I5446" s="8" t="n"/>
      <c r="J5446" s="8" t="n"/>
      <c r="K5446" s="8" t="n"/>
      <c r="L5446" s="8" t="n"/>
      <c r="M5446" s="9">
        <f>B5446+30</f>
        <v/>
      </c>
      <c r="N5446">
        <f>IF(L5446="", "", L5446-B5446)</f>
        <v/>
      </c>
      <c r="O5446">
        <f>IF(L5446="", "Pending", IF(N5446&lt;=30, "Met", "Breached"))</f>
        <v/>
      </c>
      <c r="P5446" s="8" t="n"/>
      <c r="Q5446" s="8" t="n"/>
      <c r="R5446" s="8" t="n"/>
      <c r="S5446" s="8" t="n"/>
      <c r="T5446" s="8" t="n"/>
      <c r="U5446" s="8" t="n"/>
      <c r="V5446" s="8" t="n"/>
      <c r="W5446" s="8" t="n"/>
      <c r="X5446" s="8" t="n"/>
      <c r="Y5446" s="8" t="n"/>
    </row>
    <row r="5447">
      <c r="A5447" s="8" t="n"/>
      <c r="B5447" s="8" t="n"/>
      <c r="C5447" s="8" t="n"/>
      <c r="D5447" s="8" t="n"/>
      <c r="E5447" s="8" t="n"/>
      <c r="F5447" s="8" t="n"/>
      <c r="G5447" s="8" t="n"/>
      <c r="H5447" s="8" t="n"/>
      <c r="I5447" s="8" t="n"/>
      <c r="J5447" s="8" t="n"/>
      <c r="K5447" s="8" t="n"/>
      <c r="L5447" s="8" t="n"/>
      <c r="M5447" s="9">
        <f>B5447+30</f>
        <v/>
      </c>
      <c r="N5447">
        <f>IF(L5447="", "", L5447-B5447)</f>
        <v/>
      </c>
      <c r="O5447">
        <f>IF(L5447="", "Pending", IF(N5447&lt;=30, "Met", "Breached"))</f>
        <v/>
      </c>
      <c r="P5447" s="8" t="n"/>
      <c r="Q5447" s="8" t="n"/>
      <c r="R5447" s="8" t="n"/>
      <c r="S5447" s="8" t="n"/>
      <c r="T5447" s="8" t="n"/>
      <c r="U5447" s="8" t="n"/>
      <c r="V5447" s="8" t="n"/>
      <c r="W5447" s="8" t="n"/>
      <c r="X5447" s="8" t="n"/>
      <c r="Y5447" s="8" t="n"/>
    </row>
    <row r="5448">
      <c r="A5448" s="8" t="n"/>
      <c r="B5448" s="8" t="n"/>
      <c r="C5448" s="8" t="n"/>
      <c r="D5448" s="8" t="n"/>
      <c r="E5448" s="8" t="n"/>
      <c r="F5448" s="8" t="n"/>
      <c r="G5448" s="8" t="n"/>
      <c r="H5448" s="8" t="n"/>
      <c r="I5448" s="8" t="n"/>
      <c r="J5448" s="8" t="n"/>
      <c r="K5448" s="8" t="n"/>
      <c r="L5448" s="8" t="n"/>
      <c r="M5448" s="9">
        <f>B5448+30</f>
        <v/>
      </c>
      <c r="N5448">
        <f>IF(L5448="", "", L5448-B5448)</f>
        <v/>
      </c>
      <c r="O5448">
        <f>IF(L5448="", "Pending", IF(N5448&lt;=30, "Met", "Breached"))</f>
        <v/>
      </c>
      <c r="P5448" s="8" t="n"/>
      <c r="Q5448" s="8" t="n"/>
      <c r="R5448" s="8" t="n"/>
      <c r="S5448" s="8" t="n"/>
      <c r="T5448" s="8" t="n"/>
      <c r="U5448" s="8" t="n"/>
      <c r="V5448" s="8" t="n"/>
      <c r="W5448" s="8" t="n"/>
      <c r="X5448" s="8" t="n"/>
      <c r="Y5448" s="8" t="n"/>
    </row>
    <row r="5449">
      <c r="A5449" s="8" t="n"/>
      <c r="B5449" s="8" t="n"/>
      <c r="C5449" s="8" t="n"/>
      <c r="D5449" s="8" t="n"/>
      <c r="E5449" s="8" t="n"/>
      <c r="F5449" s="8" t="n"/>
      <c r="G5449" s="8" t="n"/>
      <c r="H5449" s="8" t="n"/>
      <c r="I5449" s="8" t="n"/>
      <c r="J5449" s="8" t="n"/>
      <c r="K5449" s="8" t="n"/>
      <c r="L5449" s="8" t="n"/>
      <c r="M5449" s="9">
        <f>B5449+30</f>
        <v/>
      </c>
      <c r="N5449">
        <f>IF(L5449="", "", L5449-B5449)</f>
        <v/>
      </c>
      <c r="O5449">
        <f>IF(L5449="", "Pending", IF(N5449&lt;=30, "Met", "Breached"))</f>
        <v/>
      </c>
      <c r="P5449" s="8" t="n"/>
      <c r="Q5449" s="8" t="n"/>
      <c r="R5449" s="8" t="n"/>
      <c r="S5449" s="8" t="n"/>
      <c r="T5449" s="8" t="n"/>
      <c r="U5449" s="8" t="n"/>
      <c r="V5449" s="8" t="n"/>
      <c r="W5449" s="8" t="n"/>
      <c r="X5449" s="8" t="n"/>
      <c r="Y5449" s="8" t="n"/>
    </row>
    <row r="5450">
      <c r="A5450" s="8" t="n"/>
      <c r="B5450" s="8" t="n"/>
      <c r="C5450" s="8" t="n"/>
      <c r="D5450" s="8" t="n"/>
      <c r="E5450" s="8" t="n"/>
      <c r="F5450" s="8" t="n"/>
      <c r="G5450" s="8" t="n"/>
      <c r="H5450" s="8" t="n"/>
      <c r="I5450" s="8" t="n"/>
      <c r="J5450" s="8" t="n"/>
      <c r="K5450" s="8" t="n"/>
      <c r="L5450" s="8" t="n"/>
      <c r="M5450" s="9">
        <f>B5450+30</f>
        <v/>
      </c>
      <c r="N5450">
        <f>IF(L5450="", "", L5450-B5450)</f>
        <v/>
      </c>
      <c r="O5450">
        <f>IF(L5450="", "Pending", IF(N5450&lt;=30, "Met", "Breached"))</f>
        <v/>
      </c>
      <c r="P5450" s="8" t="n"/>
      <c r="Q5450" s="8" t="n"/>
      <c r="R5450" s="8" t="n"/>
      <c r="S5450" s="8" t="n"/>
      <c r="T5450" s="8" t="n"/>
      <c r="U5450" s="8" t="n"/>
      <c r="V5450" s="8" t="n"/>
      <c r="W5450" s="8" t="n"/>
      <c r="X5450" s="8" t="n"/>
      <c r="Y5450" s="8" t="n"/>
    </row>
    <row r="5451">
      <c r="A5451" s="8" t="n"/>
      <c r="B5451" s="8" t="n"/>
      <c r="C5451" s="8" t="n"/>
      <c r="D5451" s="8" t="n"/>
      <c r="E5451" s="8" t="n"/>
      <c r="F5451" s="8" t="n"/>
      <c r="G5451" s="8" t="n"/>
      <c r="H5451" s="8" t="n"/>
      <c r="I5451" s="8" t="n"/>
      <c r="J5451" s="8" t="n"/>
      <c r="K5451" s="8" t="n"/>
      <c r="L5451" s="8" t="n"/>
      <c r="M5451" s="9">
        <f>B5451+30</f>
        <v/>
      </c>
      <c r="N5451">
        <f>IF(L5451="", "", L5451-B5451)</f>
        <v/>
      </c>
      <c r="O5451">
        <f>IF(L5451="", "Pending", IF(N5451&lt;=30, "Met", "Breached"))</f>
        <v/>
      </c>
      <c r="P5451" s="8" t="n"/>
      <c r="Q5451" s="8" t="n"/>
      <c r="R5451" s="8" t="n"/>
      <c r="S5451" s="8" t="n"/>
      <c r="T5451" s="8" t="n"/>
      <c r="U5451" s="8" t="n"/>
      <c r="V5451" s="8" t="n"/>
      <c r="W5451" s="8" t="n"/>
      <c r="X5451" s="8" t="n"/>
      <c r="Y5451" s="8" t="n"/>
    </row>
    <row r="5452">
      <c r="A5452" s="8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8" t="n"/>
      <c r="K5452" s="8" t="n"/>
      <c r="L5452" s="8" t="n"/>
      <c r="M5452" s="9">
        <f>B5452+30</f>
        <v/>
      </c>
      <c r="N5452">
        <f>IF(L5452="", "", L5452-B5452)</f>
        <v/>
      </c>
      <c r="O5452">
        <f>IF(L5452="", "Pending", IF(N5452&lt;=30, "Met", "Breached"))</f>
        <v/>
      </c>
      <c r="P5452" s="8" t="n"/>
      <c r="Q5452" s="8" t="n"/>
      <c r="R5452" s="8" t="n"/>
      <c r="S5452" s="8" t="n"/>
      <c r="T5452" s="8" t="n"/>
      <c r="U5452" s="8" t="n"/>
      <c r="V5452" s="8" t="n"/>
      <c r="W5452" s="8" t="n"/>
      <c r="X5452" s="8" t="n"/>
      <c r="Y5452" s="8" t="n"/>
    </row>
    <row r="5453">
      <c r="A5453" s="8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8" t="n"/>
      <c r="K5453" s="8" t="n"/>
      <c r="L5453" s="8" t="n"/>
      <c r="M5453" s="9">
        <f>B5453+30</f>
        <v/>
      </c>
      <c r="N5453">
        <f>IF(L5453="", "", L5453-B5453)</f>
        <v/>
      </c>
      <c r="O5453">
        <f>IF(L5453="", "Pending", IF(N5453&lt;=30, "Met", "Breached"))</f>
        <v/>
      </c>
      <c r="P5453" s="8" t="n"/>
      <c r="Q5453" s="8" t="n"/>
      <c r="R5453" s="8" t="n"/>
      <c r="S5453" s="8" t="n"/>
      <c r="T5453" s="8" t="n"/>
      <c r="U5453" s="8" t="n"/>
      <c r="V5453" s="8" t="n"/>
      <c r="W5453" s="8" t="n"/>
      <c r="X5453" s="8" t="n"/>
      <c r="Y5453" s="8" t="n"/>
    </row>
    <row r="5454">
      <c r="A5454" s="8" t="n"/>
      <c r="B5454" s="8" t="n"/>
      <c r="C5454" s="8" t="n"/>
      <c r="D5454" s="8" t="n"/>
      <c r="E5454" s="8" t="n"/>
      <c r="F5454" s="8" t="n"/>
      <c r="G5454" s="8" t="n"/>
      <c r="H5454" s="8" t="n"/>
      <c r="I5454" s="8" t="n"/>
      <c r="J5454" s="8" t="n"/>
      <c r="K5454" s="8" t="n"/>
      <c r="L5454" s="8" t="n"/>
      <c r="M5454" s="9">
        <f>B5454+30</f>
        <v/>
      </c>
      <c r="N5454">
        <f>IF(L5454="", "", L5454-B5454)</f>
        <v/>
      </c>
      <c r="O5454">
        <f>IF(L5454="", "Pending", IF(N5454&lt;=30, "Met", "Breached"))</f>
        <v/>
      </c>
      <c r="P5454" s="8" t="n"/>
      <c r="Q5454" s="8" t="n"/>
      <c r="R5454" s="8" t="n"/>
      <c r="S5454" s="8" t="n"/>
      <c r="T5454" s="8" t="n"/>
      <c r="U5454" s="8" t="n"/>
      <c r="V5454" s="8" t="n"/>
      <c r="W5454" s="8" t="n"/>
      <c r="X5454" s="8" t="n"/>
      <c r="Y5454" s="8" t="n"/>
    </row>
    <row r="5455">
      <c r="A5455" s="8" t="n"/>
      <c r="B5455" s="8" t="n"/>
      <c r="C5455" s="8" t="n"/>
      <c r="D5455" s="8" t="n"/>
      <c r="E5455" s="8" t="n"/>
      <c r="F5455" s="8" t="n"/>
      <c r="G5455" s="8" t="n"/>
      <c r="H5455" s="8" t="n"/>
      <c r="I5455" s="8" t="n"/>
      <c r="J5455" s="8" t="n"/>
      <c r="K5455" s="8" t="n"/>
      <c r="L5455" s="8" t="n"/>
      <c r="M5455" s="9">
        <f>B5455+30</f>
        <v/>
      </c>
      <c r="N5455">
        <f>IF(L5455="", "", L5455-B5455)</f>
        <v/>
      </c>
      <c r="O5455">
        <f>IF(L5455="", "Pending", IF(N5455&lt;=30, "Met", "Breached"))</f>
        <v/>
      </c>
      <c r="P5455" s="8" t="n"/>
      <c r="Q5455" s="8" t="n"/>
      <c r="R5455" s="8" t="n"/>
      <c r="S5455" s="8" t="n"/>
      <c r="T5455" s="8" t="n"/>
      <c r="U5455" s="8" t="n"/>
      <c r="V5455" s="8" t="n"/>
      <c r="W5455" s="8" t="n"/>
      <c r="X5455" s="8" t="n"/>
      <c r="Y5455" s="8" t="n"/>
    </row>
    <row r="5456">
      <c r="A5456" s="8" t="n"/>
      <c r="B5456" s="8" t="n"/>
      <c r="C5456" s="8" t="n"/>
      <c r="D5456" s="8" t="n"/>
      <c r="E5456" s="8" t="n"/>
      <c r="F5456" s="8" t="n"/>
      <c r="G5456" s="8" t="n"/>
      <c r="H5456" s="8" t="n"/>
      <c r="I5456" s="8" t="n"/>
      <c r="J5456" s="8" t="n"/>
      <c r="K5456" s="8" t="n"/>
      <c r="L5456" s="8" t="n"/>
      <c r="M5456" s="9">
        <f>B5456+30</f>
        <v/>
      </c>
      <c r="N5456">
        <f>IF(L5456="", "", L5456-B5456)</f>
        <v/>
      </c>
      <c r="O5456">
        <f>IF(L5456="", "Pending", IF(N5456&lt;=30, "Met", "Breached"))</f>
        <v/>
      </c>
      <c r="P5456" s="8" t="n"/>
      <c r="Q5456" s="8" t="n"/>
      <c r="R5456" s="8" t="n"/>
      <c r="S5456" s="8" t="n"/>
      <c r="T5456" s="8" t="n"/>
      <c r="U5456" s="8" t="n"/>
      <c r="V5456" s="8" t="n"/>
      <c r="W5456" s="8" t="n"/>
      <c r="X5456" s="8" t="n"/>
      <c r="Y5456" s="8" t="n"/>
    </row>
    <row r="5457">
      <c r="A5457" s="8" t="n"/>
      <c r="B5457" s="8" t="n"/>
      <c r="C5457" s="8" t="n"/>
      <c r="D5457" s="8" t="n"/>
      <c r="E5457" s="8" t="n"/>
      <c r="F5457" s="8" t="n"/>
      <c r="G5457" s="8" t="n"/>
      <c r="H5457" s="8" t="n"/>
      <c r="I5457" s="8" t="n"/>
      <c r="J5457" s="8" t="n"/>
      <c r="K5457" s="8" t="n"/>
      <c r="L5457" s="8" t="n"/>
      <c r="M5457" s="9">
        <f>B5457+30</f>
        <v/>
      </c>
      <c r="N5457">
        <f>IF(L5457="", "", L5457-B5457)</f>
        <v/>
      </c>
      <c r="O5457">
        <f>IF(L5457="", "Pending", IF(N5457&lt;=30, "Met", "Breached"))</f>
        <v/>
      </c>
      <c r="P5457" s="8" t="n"/>
      <c r="Q5457" s="8" t="n"/>
      <c r="R5457" s="8" t="n"/>
      <c r="S5457" s="8" t="n"/>
      <c r="T5457" s="8" t="n"/>
      <c r="U5457" s="8" t="n"/>
      <c r="V5457" s="8" t="n"/>
      <c r="W5457" s="8" t="n"/>
      <c r="X5457" s="8" t="n"/>
      <c r="Y5457" s="8" t="n"/>
    </row>
    <row r="5458">
      <c r="A5458" s="8" t="n"/>
      <c r="B5458" s="8" t="n"/>
      <c r="C5458" s="8" t="n"/>
      <c r="D5458" s="8" t="n"/>
      <c r="E5458" s="8" t="n"/>
      <c r="F5458" s="8" t="n"/>
      <c r="G5458" s="8" t="n"/>
      <c r="H5458" s="8" t="n"/>
      <c r="I5458" s="8" t="n"/>
      <c r="J5458" s="8" t="n"/>
      <c r="K5458" s="8" t="n"/>
      <c r="L5458" s="8" t="n"/>
      <c r="M5458" s="9">
        <f>B5458+30</f>
        <v/>
      </c>
      <c r="N5458">
        <f>IF(L5458="", "", L5458-B5458)</f>
        <v/>
      </c>
      <c r="O5458">
        <f>IF(L5458="", "Pending", IF(N5458&lt;=30, "Met", "Breached"))</f>
        <v/>
      </c>
      <c r="P5458" s="8" t="n"/>
      <c r="Q5458" s="8" t="n"/>
      <c r="R5458" s="8" t="n"/>
      <c r="S5458" s="8" t="n"/>
      <c r="T5458" s="8" t="n"/>
      <c r="U5458" s="8" t="n"/>
      <c r="V5458" s="8" t="n"/>
      <c r="W5458" s="8" t="n"/>
      <c r="X5458" s="8" t="n"/>
      <c r="Y5458" s="8" t="n"/>
    </row>
    <row r="5459">
      <c r="A5459" s="8" t="n"/>
      <c r="B5459" s="8" t="n"/>
      <c r="C5459" s="8" t="n"/>
      <c r="D5459" s="8" t="n"/>
      <c r="E5459" s="8" t="n"/>
      <c r="F5459" s="8" t="n"/>
      <c r="G5459" s="8" t="n"/>
      <c r="H5459" s="8" t="n"/>
      <c r="I5459" s="8" t="n"/>
      <c r="J5459" s="8" t="n"/>
      <c r="K5459" s="8" t="n"/>
      <c r="L5459" s="8" t="n"/>
      <c r="M5459" s="9">
        <f>B5459+30</f>
        <v/>
      </c>
      <c r="N5459">
        <f>IF(L5459="", "", L5459-B5459)</f>
        <v/>
      </c>
      <c r="O5459">
        <f>IF(L5459="", "Pending", IF(N5459&lt;=30, "Met", "Breached"))</f>
        <v/>
      </c>
      <c r="P5459" s="8" t="n"/>
      <c r="Q5459" s="8" t="n"/>
      <c r="R5459" s="8" t="n"/>
      <c r="S5459" s="8" t="n"/>
      <c r="T5459" s="8" t="n"/>
      <c r="U5459" s="8" t="n"/>
      <c r="V5459" s="8" t="n"/>
      <c r="W5459" s="8" t="n"/>
      <c r="X5459" s="8" t="n"/>
      <c r="Y5459" s="8" t="n"/>
    </row>
    <row r="5460">
      <c r="A5460" s="8" t="n"/>
      <c r="B5460" s="8" t="n"/>
      <c r="C5460" s="8" t="n"/>
      <c r="D5460" s="8" t="n"/>
      <c r="E5460" s="8" t="n"/>
      <c r="F5460" s="8" t="n"/>
      <c r="G5460" s="8" t="n"/>
      <c r="H5460" s="8" t="n"/>
      <c r="I5460" s="8" t="n"/>
      <c r="J5460" s="8" t="n"/>
      <c r="K5460" s="8" t="n"/>
      <c r="L5460" s="8" t="n"/>
      <c r="M5460" s="9">
        <f>B5460+30</f>
        <v/>
      </c>
      <c r="N5460">
        <f>IF(L5460="", "", L5460-B5460)</f>
        <v/>
      </c>
      <c r="O5460">
        <f>IF(L5460="", "Pending", IF(N5460&lt;=30, "Met", "Breached"))</f>
        <v/>
      </c>
      <c r="P5460" s="8" t="n"/>
      <c r="Q5460" s="8" t="n"/>
      <c r="R5460" s="8" t="n"/>
      <c r="S5460" s="8" t="n"/>
      <c r="T5460" s="8" t="n"/>
      <c r="U5460" s="8" t="n"/>
      <c r="V5460" s="8" t="n"/>
      <c r="W5460" s="8" t="n"/>
      <c r="X5460" s="8" t="n"/>
      <c r="Y5460" s="8" t="n"/>
    </row>
    <row r="5461">
      <c r="A5461" s="8" t="n"/>
      <c r="B5461" s="8" t="n"/>
      <c r="C5461" s="8" t="n"/>
      <c r="D5461" s="8" t="n"/>
      <c r="E5461" s="8" t="n"/>
      <c r="F5461" s="8" t="n"/>
      <c r="G5461" s="8" t="n"/>
      <c r="H5461" s="8" t="n"/>
      <c r="I5461" s="8" t="n"/>
      <c r="J5461" s="8" t="n"/>
      <c r="K5461" s="8" t="n"/>
      <c r="L5461" s="8" t="n"/>
      <c r="M5461" s="9">
        <f>B5461+30</f>
        <v/>
      </c>
      <c r="N5461">
        <f>IF(L5461="", "", L5461-B5461)</f>
        <v/>
      </c>
      <c r="O5461">
        <f>IF(L5461="", "Pending", IF(N5461&lt;=30, "Met", "Breached"))</f>
        <v/>
      </c>
      <c r="P5461" s="8" t="n"/>
      <c r="Q5461" s="8" t="n"/>
      <c r="R5461" s="8" t="n"/>
      <c r="S5461" s="8" t="n"/>
      <c r="T5461" s="8" t="n"/>
      <c r="U5461" s="8" t="n"/>
      <c r="V5461" s="8" t="n"/>
      <c r="W5461" s="8" t="n"/>
      <c r="X5461" s="8" t="n"/>
      <c r="Y5461" s="8" t="n"/>
    </row>
    <row r="5462">
      <c r="A5462" s="8" t="n"/>
      <c r="B5462" s="8" t="n"/>
      <c r="C5462" s="8" t="n"/>
      <c r="D5462" s="8" t="n"/>
      <c r="E5462" s="8" t="n"/>
      <c r="F5462" s="8" t="n"/>
      <c r="G5462" s="8" t="n"/>
      <c r="H5462" s="8" t="n"/>
      <c r="I5462" s="8" t="n"/>
      <c r="J5462" s="8" t="n"/>
      <c r="K5462" s="8" t="n"/>
      <c r="L5462" s="8" t="n"/>
      <c r="M5462" s="9">
        <f>B5462+30</f>
        <v/>
      </c>
      <c r="N5462">
        <f>IF(L5462="", "", L5462-B5462)</f>
        <v/>
      </c>
      <c r="O5462">
        <f>IF(L5462="", "Pending", IF(N5462&lt;=30, "Met", "Breached"))</f>
        <v/>
      </c>
      <c r="P5462" s="8" t="n"/>
      <c r="Q5462" s="8" t="n"/>
      <c r="R5462" s="8" t="n"/>
      <c r="S5462" s="8" t="n"/>
      <c r="T5462" s="8" t="n"/>
      <c r="U5462" s="8" t="n"/>
      <c r="V5462" s="8" t="n"/>
      <c r="W5462" s="8" t="n"/>
      <c r="X5462" s="8" t="n"/>
      <c r="Y5462" s="8" t="n"/>
    </row>
    <row r="5463">
      <c r="A5463" s="8" t="n"/>
      <c r="B5463" s="8" t="n"/>
      <c r="C5463" s="8" t="n"/>
      <c r="D5463" s="8" t="n"/>
      <c r="E5463" s="8" t="n"/>
      <c r="F5463" s="8" t="n"/>
      <c r="G5463" s="8" t="n"/>
      <c r="H5463" s="8" t="n"/>
      <c r="I5463" s="8" t="n"/>
      <c r="J5463" s="8" t="n"/>
      <c r="K5463" s="8" t="n"/>
      <c r="L5463" s="8" t="n"/>
      <c r="M5463" s="9">
        <f>B5463+30</f>
        <v/>
      </c>
      <c r="N5463">
        <f>IF(L5463="", "", L5463-B5463)</f>
        <v/>
      </c>
      <c r="O5463">
        <f>IF(L5463="", "Pending", IF(N5463&lt;=30, "Met", "Breached"))</f>
        <v/>
      </c>
      <c r="P5463" s="8" t="n"/>
      <c r="Q5463" s="8" t="n"/>
      <c r="R5463" s="8" t="n"/>
      <c r="S5463" s="8" t="n"/>
      <c r="T5463" s="8" t="n"/>
      <c r="U5463" s="8" t="n"/>
      <c r="V5463" s="8" t="n"/>
      <c r="W5463" s="8" t="n"/>
      <c r="X5463" s="8" t="n"/>
      <c r="Y5463" s="8" t="n"/>
    </row>
    <row r="5464">
      <c r="A5464" s="8" t="n"/>
      <c r="B5464" s="8" t="n"/>
      <c r="C5464" s="8" t="n"/>
      <c r="D5464" s="8" t="n"/>
      <c r="E5464" s="8" t="n"/>
      <c r="F5464" s="8" t="n"/>
      <c r="G5464" s="8" t="n"/>
      <c r="H5464" s="8" t="n"/>
      <c r="I5464" s="8" t="n"/>
      <c r="J5464" s="8" t="n"/>
      <c r="K5464" s="8" t="n"/>
      <c r="L5464" s="8" t="n"/>
      <c r="M5464" s="9">
        <f>B5464+30</f>
        <v/>
      </c>
      <c r="N5464">
        <f>IF(L5464="", "", L5464-B5464)</f>
        <v/>
      </c>
      <c r="O5464">
        <f>IF(L5464="", "Pending", IF(N5464&lt;=30, "Met", "Breached"))</f>
        <v/>
      </c>
      <c r="P5464" s="8" t="n"/>
      <c r="Q5464" s="8" t="n"/>
      <c r="R5464" s="8" t="n"/>
      <c r="S5464" s="8" t="n"/>
      <c r="T5464" s="8" t="n"/>
      <c r="U5464" s="8" t="n"/>
      <c r="V5464" s="8" t="n"/>
      <c r="W5464" s="8" t="n"/>
      <c r="X5464" s="8" t="n"/>
      <c r="Y5464" s="8" t="n"/>
    </row>
    <row r="5465">
      <c r="A5465" s="8" t="n"/>
      <c r="B5465" s="8" t="n"/>
      <c r="C5465" s="8" t="n"/>
      <c r="D5465" s="8" t="n"/>
      <c r="E5465" s="8" t="n"/>
      <c r="F5465" s="8" t="n"/>
      <c r="G5465" s="8" t="n"/>
      <c r="H5465" s="8" t="n"/>
      <c r="I5465" s="8" t="n"/>
      <c r="J5465" s="8" t="n"/>
      <c r="K5465" s="8" t="n"/>
      <c r="L5465" s="8" t="n"/>
      <c r="M5465" s="9">
        <f>B5465+30</f>
        <v/>
      </c>
      <c r="N5465">
        <f>IF(L5465="", "", L5465-B5465)</f>
        <v/>
      </c>
      <c r="O5465">
        <f>IF(L5465="", "Pending", IF(N5465&lt;=30, "Met", "Breached"))</f>
        <v/>
      </c>
      <c r="P5465" s="8" t="n"/>
      <c r="Q5465" s="8" t="n"/>
      <c r="R5465" s="8" t="n"/>
      <c r="S5465" s="8" t="n"/>
      <c r="T5465" s="8" t="n"/>
      <c r="U5465" s="8" t="n"/>
      <c r="V5465" s="8" t="n"/>
      <c r="W5465" s="8" t="n"/>
      <c r="X5465" s="8" t="n"/>
      <c r="Y5465" s="8" t="n"/>
    </row>
    <row r="5466">
      <c r="A5466" s="8" t="n"/>
      <c r="B5466" s="8" t="n"/>
      <c r="C5466" s="8" t="n"/>
      <c r="D5466" s="8" t="n"/>
      <c r="E5466" s="8" t="n"/>
      <c r="F5466" s="8" t="n"/>
      <c r="G5466" s="8" t="n"/>
      <c r="H5466" s="8" t="n"/>
      <c r="I5466" s="8" t="n"/>
      <c r="J5466" s="8" t="n"/>
      <c r="K5466" s="8" t="n"/>
      <c r="L5466" s="8" t="n"/>
      <c r="M5466" s="9">
        <f>B5466+30</f>
        <v/>
      </c>
      <c r="N5466">
        <f>IF(L5466="", "", L5466-B5466)</f>
        <v/>
      </c>
      <c r="O5466">
        <f>IF(L5466="", "Pending", IF(N5466&lt;=30, "Met", "Breached"))</f>
        <v/>
      </c>
      <c r="P5466" s="8" t="n"/>
      <c r="Q5466" s="8" t="n"/>
      <c r="R5466" s="8" t="n"/>
      <c r="S5466" s="8" t="n"/>
      <c r="T5466" s="8" t="n"/>
      <c r="U5466" s="8" t="n"/>
      <c r="V5466" s="8" t="n"/>
      <c r="W5466" s="8" t="n"/>
      <c r="X5466" s="8" t="n"/>
      <c r="Y5466" s="8" t="n"/>
    </row>
    <row r="5467">
      <c r="A5467" s="8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8" t="n"/>
      <c r="K5467" s="8" t="n"/>
      <c r="L5467" s="8" t="n"/>
      <c r="M5467" s="9">
        <f>B5467+30</f>
        <v/>
      </c>
      <c r="N5467">
        <f>IF(L5467="", "", L5467-B5467)</f>
        <v/>
      </c>
      <c r="O5467">
        <f>IF(L5467="", "Pending", IF(N5467&lt;=30, "Met", "Breached"))</f>
        <v/>
      </c>
      <c r="P5467" s="8" t="n"/>
      <c r="Q5467" s="8" t="n"/>
      <c r="R5467" s="8" t="n"/>
      <c r="S5467" s="8" t="n"/>
      <c r="T5467" s="8" t="n"/>
      <c r="U5467" s="8" t="n"/>
      <c r="V5467" s="8" t="n"/>
      <c r="W5467" s="8" t="n"/>
      <c r="X5467" s="8" t="n"/>
      <c r="Y5467" s="8" t="n"/>
    </row>
    <row r="5468">
      <c r="A5468" s="8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8" t="n"/>
      <c r="K5468" s="8" t="n"/>
      <c r="L5468" s="8" t="n"/>
      <c r="M5468" s="9">
        <f>B5468+30</f>
        <v/>
      </c>
      <c r="N5468">
        <f>IF(L5468="", "", L5468-B5468)</f>
        <v/>
      </c>
      <c r="O5468">
        <f>IF(L5468="", "Pending", IF(N5468&lt;=30, "Met", "Breached"))</f>
        <v/>
      </c>
      <c r="P5468" s="8" t="n"/>
      <c r="Q5468" s="8" t="n"/>
      <c r="R5468" s="8" t="n"/>
      <c r="S5468" s="8" t="n"/>
      <c r="T5468" s="8" t="n"/>
      <c r="U5468" s="8" t="n"/>
      <c r="V5468" s="8" t="n"/>
      <c r="W5468" s="8" t="n"/>
      <c r="X5468" s="8" t="n"/>
      <c r="Y5468" s="8" t="n"/>
    </row>
    <row r="5469">
      <c r="A5469" s="8" t="n"/>
      <c r="B5469" s="8" t="n"/>
      <c r="C5469" s="8" t="n"/>
      <c r="D5469" s="8" t="n"/>
      <c r="E5469" s="8" t="n"/>
      <c r="F5469" s="8" t="n"/>
      <c r="G5469" s="8" t="n"/>
      <c r="H5469" s="8" t="n"/>
      <c r="I5469" s="8" t="n"/>
      <c r="J5469" s="8" t="n"/>
      <c r="K5469" s="8" t="n"/>
      <c r="L5469" s="8" t="n"/>
      <c r="M5469" s="9">
        <f>B5469+30</f>
        <v/>
      </c>
      <c r="N5469">
        <f>IF(L5469="", "", L5469-B5469)</f>
        <v/>
      </c>
      <c r="O5469">
        <f>IF(L5469="", "Pending", IF(N5469&lt;=30, "Met", "Breached"))</f>
        <v/>
      </c>
      <c r="P5469" s="8" t="n"/>
      <c r="Q5469" s="8" t="n"/>
      <c r="R5469" s="8" t="n"/>
      <c r="S5469" s="8" t="n"/>
      <c r="T5469" s="8" t="n"/>
      <c r="U5469" s="8" t="n"/>
      <c r="V5469" s="8" t="n"/>
      <c r="W5469" s="8" t="n"/>
      <c r="X5469" s="8" t="n"/>
      <c r="Y5469" s="8" t="n"/>
    </row>
    <row r="5470">
      <c r="A5470" s="8" t="n"/>
      <c r="B5470" s="8" t="n"/>
      <c r="C5470" s="8" t="n"/>
      <c r="D5470" s="8" t="n"/>
      <c r="E5470" s="8" t="n"/>
      <c r="F5470" s="8" t="n"/>
      <c r="G5470" s="8" t="n"/>
      <c r="H5470" s="8" t="n"/>
      <c r="I5470" s="8" t="n"/>
      <c r="J5470" s="8" t="n"/>
      <c r="K5470" s="8" t="n"/>
      <c r="L5470" s="8" t="n"/>
      <c r="M5470" s="9">
        <f>B5470+30</f>
        <v/>
      </c>
      <c r="N5470">
        <f>IF(L5470="", "", L5470-B5470)</f>
        <v/>
      </c>
      <c r="O5470">
        <f>IF(L5470="", "Pending", IF(N5470&lt;=30, "Met", "Breached"))</f>
        <v/>
      </c>
      <c r="P5470" s="8" t="n"/>
      <c r="Q5470" s="8" t="n"/>
      <c r="R5470" s="8" t="n"/>
      <c r="S5470" s="8" t="n"/>
      <c r="T5470" s="8" t="n"/>
      <c r="U5470" s="8" t="n"/>
      <c r="V5470" s="8" t="n"/>
      <c r="W5470" s="8" t="n"/>
      <c r="X5470" s="8" t="n"/>
      <c r="Y5470" s="8" t="n"/>
    </row>
    <row r="5471">
      <c r="A5471" s="8" t="n"/>
      <c r="B5471" s="8" t="n"/>
      <c r="C5471" s="8" t="n"/>
      <c r="D5471" s="8" t="n"/>
      <c r="E5471" s="8" t="n"/>
      <c r="F5471" s="8" t="n"/>
      <c r="G5471" s="8" t="n"/>
      <c r="H5471" s="8" t="n"/>
      <c r="I5471" s="8" t="n"/>
      <c r="J5471" s="8" t="n"/>
      <c r="K5471" s="8" t="n"/>
      <c r="L5471" s="8" t="n"/>
      <c r="M5471" s="9">
        <f>B5471+30</f>
        <v/>
      </c>
      <c r="N5471">
        <f>IF(L5471="", "", L5471-B5471)</f>
        <v/>
      </c>
      <c r="O5471">
        <f>IF(L5471="", "Pending", IF(N5471&lt;=30, "Met", "Breached"))</f>
        <v/>
      </c>
      <c r="P5471" s="8" t="n"/>
      <c r="Q5471" s="8" t="n"/>
      <c r="R5471" s="8" t="n"/>
      <c r="S5471" s="8" t="n"/>
      <c r="T5471" s="8" t="n"/>
      <c r="U5471" s="8" t="n"/>
      <c r="V5471" s="8" t="n"/>
      <c r="W5471" s="8" t="n"/>
      <c r="X5471" s="8" t="n"/>
      <c r="Y5471" s="8" t="n"/>
    </row>
    <row r="5472">
      <c r="A5472" s="8" t="n"/>
      <c r="B5472" s="8" t="n"/>
      <c r="C5472" s="8" t="n"/>
      <c r="D5472" s="8" t="n"/>
      <c r="E5472" s="8" t="n"/>
      <c r="F5472" s="8" t="n"/>
      <c r="G5472" s="8" t="n"/>
      <c r="H5472" s="8" t="n"/>
      <c r="I5472" s="8" t="n"/>
      <c r="J5472" s="8" t="n"/>
      <c r="K5472" s="8" t="n"/>
      <c r="L5472" s="8" t="n"/>
      <c r="M5472" s="9">
        <f>B5472+30</f>
        <v/>
      </c>
      <c r="N5472">
        <f>IF(L5472="", "", L5472-B5472)</f>
        <v/>
      </c>
      <c r="O5472">
        <f>IF(L5472="", "Pending", IF(N5472&lt;=30, "Met", "Breached"))</f>
        <v/>
      </c>
      <c r="P5472" s="8" t="n"/>
      <c r="Q5472" s="8" t="n"/>
      <c r="R5472" s="8" t="n"/>
      <c r="S5472" s="8" t="n"/>
      <c r="T5472" s="8" t="n"/>
      <c r="U5472" s="8" t="n"/>
      <c r="V5472" s="8" t="n"/>
      <c r="W5472" s="8" t="n"/>
      <c r="X5472" s="8" t="n"/>
      <c r="Y5472" s="8" t="n"/>
    </row>
    <row r="5473">
      <c r="A5473" s="8" t="n"/>
      <c r="B5473" s="8" t="n"/>
      <c r="C5473" s="8" t="n"/>
      <c r="D5473" s="8" t="n"/>
      <c r="E5473" s="8" t="n"/>
      <c r="F5473" s="8" t="n"/>
      <c r="G5473" s="8" t="n"/>
      <c r="H5473" s="8" t="n"/>
      <c r="I5473" s="8" t="n"/>
      <c r="J5473" s="8" t="n"/>
      <c r="K5473" s="8" t="n"/>
      <c r="L5473" s="8" t="n"/>
      <c r="M5473" s="9">
        <f>B5473+30</f>
        <v/>
      </c>
      <c r="N5473">
        <f>IF(L5473="", "", L5473-B5473)</f>
        <v/>
      </c>
      <c r="O5473">
        <f>IF(L5473="", "Pending", IF(N5473&lt;=30, "Met", "Breached"))</f>
        <v/>
      </c>
      <c r="P5473" s="8" t="n"/>
      <c r="Q5473" s="8" t="n"/>
      <c r="R5473" s="8" t="n"/>
      <c r="S5473" s="8" t="n"/>
      <c r="T5473" s="8" t="n"/>
      <c r="U5473" s="8" t="n"/>
      <c r="V5473" s="8" t="n"/>
      <c r="W5473" s="8" t="n"/>
      <c r="X5473" s="8" t="n"/>
      <c r="Y5473" s="8" t="n"/>
    </row>
    <row r="5474">
      <c r="A5474" s="8" t="n"/>
      <c r="B5474" s="8" t="n"/>
      <c r="C5474" s="8" t="n"/>
      <c r="D5474" s="8" t="n"/>
      <c r="E5474" s="8" t="n"/>
      <c r="F5474" s="8" t="n"/>
      <c r="G5474" s="8" t="n"/>
      <c r="H5474" s="8" t="n"/>
      <c r="I5474" s="8" t="n"/>
      <c r="J5474" s="8" t="n"/>
      <c r="K5474" s="8" t="n"/>
      <c r="L5474" s="8" t="n"/>
      <c r="M5474" s="9">
        <f>B5474+30</f>
        <v/>
      </c>
      <c r="N5474">
        <f>IF(L5474="", "", L5474-B5474)</f>
        <v/>
      </c>
      <c r="O5474">
        <f>IF(L5474="", "Pending", IF(N5474&lt;=30, "Met", "Breached"))</f>
        <v/>
      </c>
      <c r="P5474" s="8" t="n"/>
      <c r="Q5474" s="8" t="n"/>
      <c r="R5474" s="8" t="n"/>
      <c r="S5474" s="8" t="n"/>
      <c r="T5474" s="8" t="n"/>
      <c r="U5474" s="8" t="n"/>
      <c r="V5474" s="8" t="n"/>
      <c r="W5474" s="8" t="n"/>
      <c r="X5474" s="8" t="n"/>
      <c r="Y5474" s="8" t="n"/>
    </row>
    <row r="5475">
      <c r="A5475" s="8" t="n"/>
      <c r="B5475" s="8" t="n"/>
      <c r="C5475" s="8" t="n"/>
      <c r="D5475" s="8" t="n"/>
      <c r="E5475" s="8" t="n"/>
      <c r="F5475" s="8" t="n"/>
      <c r="G5475" s="8" t="n"/>
      <c r="H5475" s="8" t="n"/>
      <c r="I5475" s="8" t="n"/>
      <c r="J5475" s="8" t="n"/>
      <c r="K5475" s="8" t="n"/>
      <c r="L5475" s="8" t="n"/>
      <c r="M5475" s="9">
        <f>B5475+30</f>
        <v/>
      </c>
      <c r="N5475">
        <f>IF(L5475="", "", L5475-B5475)</f>
        <v/>
      </c>
      <c r="O5475">
        <f>IF(L5475="", "Pending", IF(N5475&lt;=30, "Met", "Breached"))</f>
        <v/>
      </c>
      <c r="P5475" s="8" t="n"/>
      <c r="Q5475" s="8" t="n"/>
      <c r="R5475" s="8" t="n"/>
      <c r="S5475" s="8" t="n"/>
      <c r="T5475" s="8" t="n"/>
      <c r="U5475" s="8" t="n"/>
      <c r="V5475" s="8" t="n"/>
      <c r="W5475" s="8" t="n"/>
      <c r="X5475" s="8" t="n"/>
      <c r="Y5475" s="8" t="n"/>
    </row>
    <row r="5476">
      <c r="A5476" s="8" t="n"/>
      <c r="B5476" s="8" t="n"/>
      <c r="C5476" s="8" t="n"/>
      <c r="D5476" s="8" t="n"/>
      <c r="E5476" s="8" t="n"/>
      <c r="F5476" s="8" t="n"/>
      <c r="G5476" s="8" t="n"/>
      <c r="H5476" s="8" t="n"/>
      <c r="I5476" s="8" t="n"/>
      <c r="J5476" s="8" t="n"/>
      <c r="K5476" s="8" t="n"/>
      <c r="L5476" s="8" t="n"/>
      <c r="M5476" s="9">
        <f>B5476+30</f>
        <v/>
      </c>
      <c r="N5476">
        <f>IF(L5476="", "", L5476-B5476)</f>
        <v/>
      </c>
      <c r="O5476">
        <f>IF(L5476="", "Pending", IF(N5476&lt;=30, "Met", "Breached"))</f>
        <v/>
      </c>
      <c r="P5476" s="8" t="n"/>
      <c r="Q5476" s="8" t="n"/>
      <c r="R5476" s="8" t="n"/>
      <c r="S5476" s="8" t="n"/>
      <c r="T5476" s="8" t="n"/>
      <c r="U5476" s="8" t="n"/>
      <c r="V5476" s="8" t="n"/>
      <c r="W5476" s="8" t="n"/>
      <c r="X5476" s="8" t="n"/>
      <c r="Y5476" s="8" t="n"/>
    </row>
    <row r="5477">
      <c r="A5477" s="8" t="n"/>
      <c r="B5477" s="8" t="n"/>
      <c r="C5477" s="8" t="n"/>
      <c r="D5477" s="8" t="n"/>
      <c r="E5477" s="8" t="n"/>
      <c r="F5477" s="8" t="n"/>
      <c r="G5477" s="8" t="n"/>
      <c r="H5477" s="8" t="n"/>
      <c r="I5477" s="8" t="n"/>
      <c r="J5477" s="8" t="n"/>
      <c r="K5477" s="8" t="n"/>
      <c r="L5477" s="8" t="n"/>
      <c r="M5477" s="9">
        <f>B5477+30</f>
        <v/>
      </c>
      <c r="N5477">
        <f>IF(L5477="", "", L5477-B5477)</f>
        <v/>
      </c>
      <c r="O5477">
        <f>IF(L5477="", "Pending", IF(N5477&lt;=30, "Met", "Breached"))</f>
        <v/>
      </c>
      <c r="P5477" s="8" t="n"/>
      <c r="Q5477" s="8" t="n"/>
      <c r="R5477" s="8" t="n"/>
      <c r="S5477" s="8" t="n"/>
      <c r="T5477" s="8" t="n"/>
      <c r="U5477" s="8" t="n"/>
      <c r="V5477" s="8" t="n"/>
      <c r="W5477" s="8" t="n"/>
      <c r="X5477" s="8" t="n"/>
      <c r="Y5477" s="8" t="n"/>
    </row>
    <row r="5478">
      <c r="A5478" s="8" t="n"/>
      <c r="B5478" s="8" t="n"/>
      <c r="C5478" s="8" t="n"/>
      <c r="D5478" s="8" t="n"/>
      <c r="E5478" s="8" t="n"/>
      <c r="F5478" s="8" t="n"/>
      <c r="G5478" s="8" t="n"/>
      <c r="H5478" s="8" t="n"/>
      <c r="I5478" s="8" t="n"/>
      <c r="J5478" s="8" t="n"/>
      <c r="K5478" s="8" t="n"/>
      <c r="L5478" s="8" t="n"/>
      <c r="M5478" s="9">
        <f>B5478+30</f>
        <v/>
      </c>
      <c r="N5478">
        <f>IF(L5478="", "", L5478-B5478)</f>
        <v/>
      </c>
      <c r="O5478">
        <f>IF(L5478="", "Pending", IF(N5478&lt;=30, "Met", "Breached"))</f>
        <v/>
      </c>
      <c r="P5478" s="8" t="n"/>
      <c r="Q5478" s="8" t="n"/>
      <c r="R5478" s="8" t="n"/>
      <c r="S5478" s="8" t="n"/>
      <c r="T5478" s="8" t="n"/>
      <c r="U5478" s="8" t="n"/>
      <c r="V5478" s="8" t="n"/>
      <c r="W5478" s="8" t="n"/>
      <c r="X5478" s="8" t="n"/>
      <c r="Y5478" s="8" t="n"/>
    </row>
    <row r="5479">
      <c r="A5479" s="8" t="n"/>
      <c r="B5479" s="8" t="n"/>
      <c r="C5479" s="8" t="n"/>
      <c r="D5479" s="8" t="n"/>
      <c r="E5479" s="8" t="n"/>
      <c r="F5479" s="8" t="n"/>
      <c r="G5479" s="8" t="n"/>
      <c r="H5479" s="8" t="n"/>
      <c r="I5479" s="8" t="n"/>
      <c r="J5479" s="8" t="n"/>
      <c r="K5479" s="8" t="n"/>
      <c r="L5479" s="8" t="n"/>
      <c r="M5479" s="9">
        <f>B5479+30</f>
        <v/>
      </c>
      <c r="N5479">
        <f>IF(L5479="", "", L5479-B5479)</f>
        <v/>
      </c>
      <c r="O5479">
        <f>IF(L5479="", "Pending", IF(N5479&lt;=30, "Met", "Breached"))</f>
        <v/>
      </c>
      <c r="P5479" s="8" t="n"/>
      <c r="Q5479" s="8" t="n"/>
      <c r="R5479" s="8" t="n"/>
      <c r="S5479" s="8" t="n"/>
      <c r="T5479" s="8" t="n"/>
      <c r="U5479" s="8" t="n"/>
      <c r="V5479" s="8" t="n"/>
      <c r="W5479" s="8" t="n"/>
      <c r="X5479" s="8" t="n"/>
      <c r="Y5479" s="8" t="n"/>
    </row>
    <row r="5480">
      <c r="A5480" s="8" t="n"/>
      <c r="B5480" s="8" t="n"/>
      <c r="C5480" s="8" t="n"/>
      <c r="D5480" s="8" t="n"/>
      <c r="E5480" s="8" t="n"/>
      <c r="F5480" s="8" t="n"/>
      <c r="G5480" s="8" t="n"/>
      <c r="H5480" s="8" t="n"/>
      <c r="I5480" s="8" t="n"/>
      <c r="J5480" s="8" t="n"/>
      <c r="K5480" s="8" t="n"/>
      <c r="L5480" s="8" t="n"/>
      <c r="M5480" s="9">
        <f>B5480+30</f>
        <v/>
      </c>
      <c r="N5480">
        <f>IF(L5480="", "", L5480-B5480)</f>
        <v/>
      </c>
      <c r="O5480">
        <f>IF(L5480="", "Pending", IF(N5480&lt;=30, "Met", "Breached"))</f>
        <v/>
      </c>
      <c r="P5480" s="8" t="n"/>
      <c r="Q5480" s="8" t="n"/>
      <c r="R5480" s="8" t="n"/>
      <c r="S5480" s="8" t="n"/>
      <c r="T5480" s="8" t="n"/>
      <c r="U5480" s="8" t="n"/>
      <c r="V5480" s="8" t="n"/>
      <c r="W5480" s="8" t="n"/>
      <c r="X5480" s="8" t="n"/>
      <c r="Y5480" s="8" t="n"/>
    </row>
    <row r="5481">
      <c r="A5481" s="8" t="n"/>
      <c r="B5481" s="8" t="n"/>
      <c r="C5481" s="8" t="n"/>
      <c r="D5481" s="8" t="n"/>
      <c r="E5481" s="8" t="n"/>
      <c r="F5481" s="8" t="n"/>
      <c r="G5481" s="8" t="n"/>
      <c r="H5481" s="8" t="n"/>
      <c r="I5481" s="8" t="n"/>
      <c r="J5481" s="8" t="n"/>
      <c r="K5481" s="8" t="n"/>
      <c r="L5481" s="8" t="n"/>
      <c r="M5481" s="9">
        <f>B5481+30</f>
        <v/>
      </c>
      <c r="N5481">
        <f>IF(L5481="", "", L5481-B5481)</f>
        <v/>
      </c>
      <c r="O5481">
        <f>IF(L5481="", "Pending", IF(N5481&lt;=30, "Met", "Breached"))</f>
        <v/>
      </c>
      <c r="P5481" s="8" t="n"/>
      <c r="Q5481" s="8" t="n"/>
      <c r="R5481" s="8" t="n"/>
      <c r="S5481" s="8" t="n"/>
      <c r="T5481" s="8" t="n"/>
      <c r="U5481" s="8" t="n"/>
      <c r="V5481" s="8" t="n"/>
      <c r="W5481" s="8" t="n"/>
      <c r="X5481" s="8" t="n"/>
      <c r="Y5481" s="8" t="n"/>
    </row>
    <row r="5482">
      <c r="A5482" s="8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8" t="n"/>
      <c r="K5482" s="8" t="n"/>
      <c r="L5482" s="8" t="n"/>
      <c r="M5482" s="9">
        <f>B5482+30</f>
        <v/>
      </c>
      <c r="N5482">
        <f>IF(L5482="", "", L5482-B5482)</f>
        <v/>
      </c>
      <c r="O5482">
        <f>IF(L5482="", "Pending", IF(N5482&lt;=30, "Met", "Breached"))</f>
        <v/>
      </c>
      <c r="P5482" s="8" t="n"/>
      <c r="Q5482" s="8" t="n"/>
      <c r="R5482" s="8" t="n"/>
      <c r="S5482" s="8" t="n"/>
      <c r="T5482" s="8" t="n"/>
      <c r="U5482" s="8" t="n"/>
      <c r="V5482" s="8" t="n"/>
      <c r="W5482" s="8" t="n"/>
      <c r="X5482" s="8" t="n"/>
      <c r="Y5482" s="8" t="n"/>
    </row>
    <row r="5483">
      <c r="A5483" s="8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8" t="n"/>
      <c r="K5483" s="8" t="n"/>
      <c r="L5483" s="8" t="n"/>
      <c r="M5483" s="9">
        <f>B5483+30</f>
        <v/>
      </c>
      <c r="N5483">
        <f>IF(L5483="", "", L5483-B5483)</f>
        <v/>
      </c>
      <c r="O5483">
        <f>IF(L5483="", "Pending", IF(N5483&lt;=30, "Met", "Breached"))</f>
        <v/>
      </c>
      <c r="P5483" s="8" t="n"/>
      <c r="Q5483" s="8" t="n"/>
      <c r="R5483" s="8" t="n"/>
      <c r="S5483" s="8" t="n"/>
      <c r="T5483" s="8" t="n"/>
      <c r="U5483" s="8" t="n"/>
      <c r="V5483" s="8" t="n"/>
      <c r="W5483" s="8" t="n"/>
      <c r="X5483" s="8" t="n"/>
      <c r="Y5483" s="8" t="n"/>
    </row>
    <row r="5484">
      <c r="A5484" s="8" t="n"/>
      <c r="B5484" s="8" t="n"/>
      <c r="C5484" s="8" t="n"/>
      <c r="D5484" s="8" t="n"/>
      <c r="E5484" s="8" t="n"/>
      <c r="F5484" s="8" t="n"/>
      <c r="G5484" s="8" t="n"/>
      <c r="H5484" s="8" t="n"/>
      <c r="I5484" s="8" t="n"/>
      <c r="J5484" s="8" t="n"/>
      <c r="K5484" s="8" t="n"/>
      <c r="L5484" s="8" t="n"/>
      <c r="M5484" s="9">
        <f>B5484+30</f>
        <v/>
      </c>
      <c r="N5484">
        <f>IF(L5484="", "", L5484-B5484)</f>
        <v/>
      </c>
      <c r="O5484">
        <f>IF(L5484="", "Pending", IF(N5484&lt;=30, "Met", "Breached"))</f>
        <v/>
      </c>
      <c r="P5484" s="8" t="n"/>
      <c r="Q5484" s="8" t="n"/>
      <c r="R5484" s="8" t="n"/>
      <c r="S5484" s="8" t="n"/>
      <c r="T5484" s="8" t="n"/>
      <c r="U5484" s="8" t="n"/>
      <c r="V5484" s="8" t="n"/>
      <c r="W5484" s="8" t="n"/>
      <c r="X5484" s="8" t="n"/>
      <c r="Y5484" s="8" t="n"/>
    </row>
    <row r="5485">
      <c r="A5485" s="8" t="n"/>
      <c r="B5485" s="8" t="n"/>
      <c r="C5485" s="8" t="n"/>
      <c r="D5485" s="8" t="n"/>
      <c r="E5485" s="8" t="n"/>
      <c r="F5485" s="8" t="n"/>
      <c r="G5485" s="8" t="n"/>
      <c r="H5485" s="8" t="n"/>
      <c r="I5485" s="8" t="n"/>
      <c r="J5485" s="8" t="n"/>
      <c r="K5485" s="8" t="n"/>
      <c r="L5485" s="8" t="n"/>
      <c r="M5485" s="9">
        <f>B5485+30</f>
        <v/>
      </c>
      <c r="N5485">
        <f>IF(L5485="", "", L5485-B5485)</f>
        <v/>
      </c>
      <c r="O5485">
        <f>IF(L5485="", "Pending", IF(N5485&lt;=30, "Met", "Breached"))</f>
        <v/>
      </c>
      <c r="P5485" s="8" t="n"/>
      <c r="Q5485" s="8" t="n"/>
      <c r="R5485" s="8" t="n"/>
      <c r="S5485" s="8" t="n"/>
      <c r="T5485" s="8" t="n"/>
      <c r="U5485" s="8" t="n"/>
      <c r="V5485" s="8" t="n"/>
      <c r="W5485" s="8" t="n"/>
      <c r="X5485" s="8" t="n"/>
      <c r="Y5485" s="8" t="n"/>
    </row>
    <row r="5486">
      <c r="A5486" s="8" t="n"/>
      <c r="B5486" s="8" t="n"/>
      <c r="C5486" s="8" t="n"/>
      <c r="D5486" s="8" t="n"/>
      <c r="E5486" s="8" t="n"/>
      <c r="F5486" s="8" t="n"/>
      <c r="G5486" s="8" t="n"/>
      <c r="H5486" s="8" t="n"/>
      <c r="I5486" s="8" t="n"/>
      <c r="J5486" s="8" t="n"/>
      <c r="K5486" s="8" t="n"/>
      <c r="L5486" s="8" t="n"/>
      <c r="M5486" s="9">
        <f>B5486+30</f>
        <v/>
      </c>
      <c r="N5486">
        <f>IF(L5486="", "", L5486-B5486)</f>
        <v/>
      </c>
      <c r="O5486">
        <f>IF(L5486="", "Pending", IF(N5486&lt;=30, "Met", "Breached"))</f>
        <v/>
      </c>
      <c r="P5486" s="8" t="n"/>
      <c r="Q5486" s="8" t="n"/>
      <c r="R5486" s="8" t="n"/>
      <c r="S5486" s="8" t="n"/>
      <c r="T5486" s="8" t="n"/>
      <c r="U5486" s="8" t="n"/>
      <c r="V5486" s="8" t="n"/>
      <c r="W5486" s="8" t="n"/>
      <c r="X5486" s="8" t="n"/>
      <c r="Y5486" s="8" t="n"/>
    </row>
    <row r="5487">
      <c r="A5487" s="8" t="n"/>
      <c r="B5487" s="8" t="n"/>
      <c r="C5487" s="8" t="n"/>
      <c r="D5487" s="8" t="n"/>
      <c r="E5487" s="8" t="n"/>
      <c r="F5487" s="8" t="n"/>
      <c r="G5487" s="8" t="n"/>
      <c r="H5487" s="8" t="n"/>
      <c r="I5487" s="8" t="n"/>
      <c r="J5487" s="8" t="n"/>
      <c r="K5487" s="8" t="n"/>
      <c r="L5487" s="8" t="n"/>
      <c r="M5487" s="9">
        <f>B5487+30</f>
        <v/>
      </c>
      <c r="N5487">
        <f>IF(L5487="", "", L5487-B5487)</f>
        <v/>
      </c>
      <c r="O5487">
        <f>IF(L5487="", "Pending", IF(N5487&lt;=30, "Met", "Breached"))</f>
        <v/>
      </c>
      <c r="P5487" s="8" t="n"/>
      <c r="Q5487" s="8" t="n"/>
      <c r="R5487" s="8" t="n"/>
      <c r="S5487" s="8" t="n"/>
      <c r="T5487" s="8" t="n"/>
      <c r="U5487" s="8" t="n"/>
      <c r="V5487" s="8" t="n"/>
      <c r="W5487" s="8" t="n"/>
      <c r="X5487" s="8" t="n"/>
      <c r="Y5487" s="8" t="n"/>
    </row>
    <row r="5488">
      <c r="A5488" s="8" t="n"/>
      <c r="B5488" s="8" t="n"/>
      <c r="C5488" s="8" t="n"/>
      <c r="D5488" s="8" t="n"/>
      <c r="E5488" s="8" t="n"/>
      <c r="F5488" s="8" t="n"/>
      <c r="G5488" s="8" t="n"/>
      <c r="H5488" s="8" t="n"/>
      <c r="I5488" s="8" t="n"/>
      <c r="J5488" s="8" t="n"/>
      <c r="K5488" s="8" t="n"/>
      <c r="L5488" s="8" t="n"/>
      <c r="M5488" s="9">
        <f>B5488+30</f>
        <v/>
      </c>
      <c r="N5488">
        <f>IF(L5488="", "", L5488-B5488)</f>
        <v/>
      </c>
      <c r="O5488">
        <f>IF(L5488="", "Pending", IF(N5488&lt;=30, "Met", "Breached"))</f>
        <v/>
      </c>
      <c r="P5488" s="8" t="n"/>
      <c r="Q5488" s="8" t="n"/>
      <c r="R5488" s="8" t="n"/>
      <c r="S5488" s="8" t="n"/>
      <c r="T5488" s="8" t="n"/>
      <c r="U5488" s="8" t="n"/>
      <c r="V5488" s="8" t="n"/>
      <c r="W5488" s="8" t="n"/>
      <c r="X5488" s="8" t="n"/>
      <c r="Y5488" s="8" t="n"/>
    </row>
    <row r="5489">
      <c r="A5489" s="8" t="n"/>
      <c r="B5489" s="8" t="n"/>
      <c r="C5489" s="8" t="n"/>
      <c r="D5489" s="8" t="n"/>
      <c r="E5489" s="8" t="n"/>
      <c r="F5489" s="8" t="n"/>
      <c r="G5489" s="8" t="n"/>
      <c r="H5489" s="8" t="n"/>
      <c r="I5489" s="8" t="n"/>
      <c r="J5489" s="8" t="n"/>
      <c r="K5489" s="8" t="n"/>
      <c r="L5489" s="8" t="n"/>
      <c r="M5489" s="9">
        <f>B5489+30</f>
        <v/>
      </c>
      <c r="N5489">
        <f>IF(L5489="", "", L5489-B5489)</f>
        <v/>
      </c>
      <c r="O5489">
        <f>IF(L5489="", "Pending", IF(N5489&lt;=30, "Met", "Breached"))</f>
        <v/>
      </c>
      <c r="P5489" s="8" t="n"/>
      <c r="Q5489" s="8" t="n"/>
      <c r="R5489" s="8" t="n"/>
      <c r="S5489" s="8" t="n"/>
      <c r="T5489" s="8" t="n"/>
      <c r="U5489" s="8" t="n"/>
      <c r="V5489" s="8" t="n"/>
      <c r="W5489" s="8" t="n"/>
      <c r="X5489" s="8" t="n"/>
      <c r="Y5489" s="8" t="n"/>
    </row>
    <row r="5490">
      <c r="A5490" s="8" t="n"/>
      <c r="B5490" s="8" t="n"/>
      <c r="C5490" s="8" t="n"/>
      <c r="D5490" s="8" t="n"/>
      <c r="E5490" s="8" t="n"/>
      <c r="F5490" s="8" t="n"/>
      <c r="G5490" s="8" t="n"/>
      <c r="H5490" s="8" t="n"/>
      <c r="I5490" s="8" t="n"/>
      <c r="J5490" s="8" t="n"/>
      <c r="K5490" s="8" t="n"/>
      <c r="L5490" s="8" t="n"/>
      <c r="M5490" s="9">
        <f>B5490+30</f>
        <v/>
      </c>
      <c r="N5490">
        <f>IF(L5490="", "", L5490-B5490)</f>
        <v/>
      </c>
      <c r="O5490">
        <f>IF(L5490="", "Pending", IF(N5490&lt;=30, "Met", "Breached"))</f>
        <v/>
      </c>
      <c r="P5490" s="8" t="n"/>
      <c r="Q5490" s="8" t="n"/>
      <c r="R5490" s="8" t="n"/>
      <c r="S5490" s="8" t="n"/>
      <c r="T5490" s="8" t="n"/>
      <c r="U5490" s="8" t="n"/>
      <c r="V5490" s="8" t="n"/>
      <c r="W5490" s="8" t="n"/>
      <c r="X5490" s="8" t="n"/>
      <c r="Y5490" s="8" t="n"/>
    </row>
    <row r="5491">
      <c r="A5491" s="8" t="n"/>
      <c r="B5491" s="8" t="n"/>
      <c r="C5491" s="8" t="n"/>
      <c r="D5491" s="8" t="n"/>
      <c r="E5491" s="8" t="n"/>
      <c r="F5491" s="8" t="n"/>
      <c r="G5491" s="8" t="n"/>
      <c r="H5491" s="8" t="n"/>
      <c r="I5491" s="8" t="n"/>
      <c r="J5491" s="8" t="n"/>
      <c r="K5491" s="8" t="n"/>
      <c r="L5491" s="8" t="n"/>
      <c r="M5491" s="9">
        <f>B5491+30</f>
        <v/>
      </c>
      <c r="N5491">
        <f>IF(L5491="", "", L5491-B5491)</f>
        <v/>
      </c>
      <c r="O5491">
        <f>IF(L5491="", "Pending", IF(N5491&lt;=30, "Met", "Breached"))</f>
        <v/>
      </c>
      <c r="P5491" s="8" t="n"/>
      <c r="Q5491" s="8" t="n"/>
      <c r="R5491" s="8" t="n"/>
      <c r="S5491" s="8" t="n"/>
      <c r="T5491" s="8" t="n"/>
      <c r="U5491" s="8" t="n"/>
      <c r="V5491" s="8" t="n"/>
      <c r="W5491" s="8" t="n"/>
      <c r="X5491" s="8" t="n"/>
      <c r="Y5491" s="8" t="n"/>
    </row>
    <row r="5492">
      <c r="A5492" s="8" t="n"/>
      <c r="B5492" s="8" t="n"/>
      <c r="C5492" s="8" t="n"/>
      <c r="D5492" s="8" t="n"/>
      <c r="E5492" s="8" t="n"/>
      <c r="F5492" s="8" t="n"/>
      <c r="G5492" s="8" t="n"/>
      <c r="H5492" s="8" t="n"/>
      <c r="I5492" s="8" t="n"/>
      <c r="J5492" s="8" t="n"/>
      <c r="K5492" s="8" t="n"/>
      <c r="L5492" s="8" t="n"/>
      <c r="M5492" s="9">
        <f>B5492+30</f>
        <v/>
      </c>
      <c r="N5492">
        <f>IF(L5492="", "", L5492-B5492)</f>
        <v/>
      </c>
      <c r="O5492">
        <f>IF(L5492="", "Pending", IF(N5492&lt;=30, "Met", "Breached"))</f>
        <v/>
      </c>
      <c r="P5492" s="8" t="n"/>
      <c r="Q5492" s="8" t="n"/>
      <c r="R5492" s="8" t="n"/>
      <c r="S5492" s="8" t="n"/>
      <c r="T5492" s="8" t="n"/>
      <c r="U5492" s="8" t="n"/>
      <c r="V5492" s="8" t="n"/>
      <c r="W5492" s="8" t="n"/>
      <c r="X5492" s="8" t="n"/>
      <c r="Y5492" s="8" t="n"/>
    </row>
    <row r="5493">
      <c r="A5493" s="8" t="n"/>
      <c r="B5493" s="8" t="n"/>
      <c r="C5493" s="8" t="n"/>
      <c r="D5493" s="8" t="n"/>
      <c r="E5493" s="8" t="n"/>
      <c r="F5493" s="8" t="n"/>
      <c r="G5493" s="8" t="n"/>
      <c r="H5493" s="8" t="n"/>
      <c r="I5493" s="8" t="n"/>
      <c r="J5493" s="8" t="n"/>
      <c r="K5493" s="8" t="n"/>
      <c r="L5493" s="8" t="n"/>
      <c r="M5493" s="9">
        <f>B5493+30</f>
        <v/>
      </c>
      <c r="N5493">
        <f>IF(L5493="", "", L5493-B5493)</f>
        <v/>
      </c>
      <c r="O5493">
        <f>IF(L5493="", "Pending", IF(N5493&lt;=30, "Met", "Breached"))</f>
        <v/>
      </c>
      <c r="P5493" s="8" t="n"/>
      <c r="Q5493" s="8" t="n"/>
      <c r="R5493" s="8" t="n"/>
      <c r="S5493" s="8" t="n"/>
      <c r="T5493" s="8" t="n"/>
      <c r="U5493" s="8" t="n"/>
      <c r="V5493" s="8" t="n"/>
      <c r="W5493" s="8" t="n"/>
      <c r="X5493" s="8" t="n"/>
      <c r="Y5493" s="8" t="n"/>
    </row>
    <row r="5494">
      <c r="A5494" s="8" t="n"/>
      <c r="B5494" s="8" t="n"/>
      <c r="C5494" s="8" t="n"/>
      <c r="D5494" s="8" t="n"/>
      <c r="E5494" s="8" t="n"/>
      <c r="F5494" s="8" t="n"/>
      <c r="G5494" s="8" t="n"/>
      <c r="H5494" s="8" t="n"/>
      <c r="I5494" s="8" t="n"/>
      <c r="J5494" s="8" t="n"/>
      <c r="K5494" s="8" t="n"/>
      <c r="L5494" s="8" t="n"/>
      <c r="M5494" s="9">
        <f>B5494+30</f>
        <v/>
      </c>
      <c r="N5494">
        <f>IF(L5494="", "", L5494-B5494)</f>
        <v/>
      </c>
      <c r="O5494">
        <f>IF(L5494="", "Pending", IF(N5494&lt;=30, "Met", "Breached"))</f>
        <v/>
      </c>
      <c r="P5494" s="8" t="n"/>
      <c r="Q5494" s="8" t="n"/>
      <c r="R5494" s="8" t="n"/>
      <c r="S5494" s="8" t="n"/>
      <c r="T5494" s="8" t="n"/>
      <c r="U5494" s="8" t="n"/>
      <c r="V5494" s="8" t="n"/>
      <c r="W5494" s="8" t="n"/>
      <c r="X5494" s="8" t="n"/>
      <c r="Y5494" s="8" t="n"/>
    </row>
    <row r="5495">
      <c r="A5495" s="8" t="n"/>
      <c r="B5495" s="8" t="n"/>
      <c r="C5495" s="8" t="n"/>
      <c r="D5495" s="8" t="n"/>
      <c r="E5495" s="8" t="n"/>
      <c r="F5495" s="8" t="n"/>
      <c r="G5495" s="8" t="n"/>
      <c r="H5495" s="8" t="n"/>
      <c r="I5495" s="8" t="n"/>
      <c r="J5495" s="8" t="n"/>
      <c r="K5495" s="8" t="n"/>
      <c r="L5495" s="8" t="n"/>
      <c r="M5495" s="9">
        <f>B5495+30</f>
        <v/>
      </c>
      <c r="N5495">
        <f>IF(L5495="", "", L5495-B5495)</f>
        <v/>
      </c>
      <c r="O5495">
        <f>IF(L5495="", "Pending", IF(N5495&lt;=30, "Met", "Breached"))</f>
        <v/>
      </c>
      <c r="P5495" s="8" t="n"/>
      <c r="Q5495" s="8" t="n"/>
      <c r="R5495" s="8" t="n"/>
      <c r="S5495" s="8" t="n"/>
      <c r="T5495" s="8" t="n"/>
      <c r="U5495" s="8" t="n"/>
      <c r="V5495" s="8" t="n"/>
      <c r="W5495" s="8" t="n"/>
      <c r="X5495" s="8" t="n"/>
      <c r="Y5495" s="8" t="n"/>
    </row>
    <row r="5496">
      <c r="A5496" s="8" t="n"/>
      <c r="B5496" s="8" t="n"/>
      <c r="C5496" s="8" t="n"/>
      <c r="D5496" s="8" t="n"/>
      <c r="E5496" s="8" t="n"/>
      <c r="F5496" s="8" t="n"/>
      <c r="G5496" s="8" t="n"/>
      <c r="H5496" s="8" t="n"/>
      <c r="I5496" s="8" t="n"/>
      <c r="J5496" s="8" t="n"/>
      <c r="K5496" s="8" t="n"/>
      <c r="L5496" s="8" t="n"/>
      <c r="M5496" s="9">
        <f>B5496+30</f>
        <v/>
      </c>
      <c r="N5496">
        <f>IF(L5496="", "", L5496-B5496)</f>
        <v/>
      </c>
      <c r="O5496">
        <f>IF(L5496="", "Pending", IF(N5496&lt;=30, "Met", "Breached"))</f>
        <v/>
      </c>
      <c r="P5496" s="8" t="n"/>
      <c r="Q5496" s="8" t="n"/>
      <c r="R5496" s="8" t="n"/>
      <c r="S5496" s="8" t="n"/>
      <c r="T5496" s="8" t="n"/>
      <c r="U5496" s="8" t="n"/>
      <c r="V5496" s="8" t="n"/>
      <c r="W5496" s="8" t="n"/>
      <c r="X5496" s="8" t="n"/>
      <c r="Y5496" s="8" t="n"/>
    </row>
    <row r="5497">
      <c r="A5497" s="8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8" t="n"/>
      <c r="K5497" s="8" t="n"/>
      <c r="L5497" s="8" t="n"/>
      <c r="M5497" s="9">
        <f>B5497+30</f>
        <v/>
      </c>
      <c r="N5497">
        <f>IF(L5497="", "", L5497-B5497)</f>
        <v/>
      </c>
      <c r="O5497">
        <f>IF(L5497="", "Pending", IF(N5497&lt;=30, "Met", "Breached"))</f>
        <v/>
      </c>
      <c r="P5497" s="8" t="n"/>
      <c r="Q5497" s="8" t="n"/>
      <c r="R5497" s="8" t="n"/>
      <c r="S5497" s="8" t="n"/>
      <c r="T5497" s="8" t="n"/>
      <c r="U5497" s="8" t="n"/>
      <c r="V5497" s="8" t="n"/>
      <c r="W5497" s="8" t="n"/>
      <c r="X5497" s="8" t="n"/>
      <c r="Y5497" s="8" t="n"/>
    </row>
    <row r="5498">
      <c r="A5498" s="8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8" t="n"/>
      <c r="K5498" s="8" t="n"/>
      <c r="L5498" s="8" t="n"/>
      <c r="M5498" s="9">
        <f>B5498+30</f>
        <v/>
      </c>
      <c r="N5498">
        <f>IF(L5498="", "", L5498-B5498)</f>
        <v/>
      </c>
      <c r="O5498">
        <f>IF(L5498="", "Pending", IF(N5498&lt;=30, "Met", "Breached"))</f>
        <v/>
      </c>
      <c r="P5498" s="8" t="n"/>
      <c r="Q5498" s="8" t="n"/>
      <c r="R5498" s="8" t="n"/>
      <c r="S5498" s="8" t="n"/>
      <c r="T5498" s="8" t="n"/>
      <c r="U5498" s="8" t="n"/>
      <c r="V5498" s="8" t="n"/>
      <c r="W5498" s="8" t="n"/>
      <c r="X5498" s="8" t="n"/>
      <c r="Y5498" s="8" t="n"/>
    </row>
    <row r="5499">
      <c r="A5499" s="8" t="n"/>
      <c r="B5499" s="8" t="n"/>
      <c r="C5499" s="8" t="n"/>
      <c r="D5499" s="8" t="n"/>
      <c r="E5499" s="8" t="n"/>
      <c r="F5499" s="8" t="n"/>
      <c r="G5499" s="8" t="n"/>
      <c r="H5499" s="8" t="n"/>
      <c r="I5499" s="8" t="n"/>
      <c r="J5499" s="8" t="n"/>
      <c r="K5499" s="8" t="n"/>
      <c r="L5499" s="8" t="n"/>
      <c r="M5499" s="9">
        <f>B5499+30</f>
        <v/>
      </c>
      <c r="N5499">
        <f>IF(L5499="", "", L5499-B5499)</f>
        <v/>
      </c>
      <c r="O5499">
        <f>IF(L5499="", "Pending", IF(N5499&lt;=30, "Met", "Breached"))</f>
        <v/>
      </c>
      <c r="P5499" s="8" t="n"/>
      <c r="Q5499" s="8" t="n"/>
      <c r="R5499" s="8" t="n"/>
      <c r="S5499" s="8" t="n"/>
      <c r="T5499" s="8" t="n"/>
      <c r="U5499" s="8" t="n"/>
      <c r="V5499" s="8" t="n"/>
      <c r="W5499" s="8" t="n"/>
      <c r="X5499" s="8" t="n"/>
      <c r="Y5499" s="8" t="n"/>
    </row>
    <row r="5500">
      <c r="A5500" s="8" t="n"/>
      <c r="B5500" s="8" t="n"/>
      <c r="C5500" s="8" t="n"/>
      <c r="D5500" s="8" t="n"/>
      <c r="E5500" s="8" t="n"/>
      <c r="F5500" s="8" t="n"/>
      <c r="G5500" s="8" t="n"/>
      <c r="H5500" s="8" t="n"/>
      <c r="I5500" s="8" t="n"/>
      <c r="J5500" s="8" t="n"/>
      <c r="K5500" s="8" t="n"/>
      <c r="L5500" s="8" t="n"/>
      <c r="M5500" s="9">
        <f>B5500+30</f>
        <v/>
      </c>
      <c r="N5500">
        <f>IF(L5500="", "", L5500-B5500)</f>
        <v/>
      </c>
      <c r="O5500">
        <f>IF(L5500="", "Pending", IF(N5500&lt;=30, "Met", "Breached"))</f>
        <v/>
      </c>
      <c r="P5500" s="8" t="n"/>
      <c r="Q5500" s="8" t="n"/>
      <c r="R5500" s="8" t="n"/>
      <c r="S5500" s="8" t="n"/>
      <c r="T5500" s="8" t="n"/>
      <c r="U5500" s="8" t="n"/>
      <c r="V5500" s="8" t="n"/>
      <c r="W5500" s="8" t="n"/>
      <c r="X5500" s="8" t="n"/>
      <c r="Y5500" s="8" t="n"/>
    </row>
    <row r="5501">
      <c r="A5501" s="8" t="n"/>
      <c r="B5501" s="8" t="n"/>
      <c r="C5501" s="8" t="n"/>
      <c r="D5501" s="8" t="n"/>
      <c r="E5501" s="8" t="n"/>
      <c r="F5501" s="8" t="n"/>
      <c r="G5501" s="8" t="n"/>
      <c r="H5501" s="8" t="n"/>
      <c r="I5501" s="8" t="n"/>
      <c r="J5501" s="8" t="n"/>
      <c r="K5501" s="8" t="n"/>
      <c r="L5501" s="8" t="n"/>
      <c r="M5501" s="9">
        <f>B5501+30</f>
        <v/>
      </c>
      <c r="N5501">
        <f>IF(L5501="", "", L5501-B5501)</f>
        <v/>
      </c>
      <c r="O5501">
        <f>IF(L5501="", "Pending", IF(N5501&lt;=30, "Met", "Breached"))</f>
        <v/>
      </c>
      <c r="P5501" s="8" t="n"/>
      <c r="Q5501" s="8" t="n"/>
      <c r="R5501" s="8" t="n"/>
      <c r="S5501" s="8" t="n"/>
      <c r="T5501" s="8" t="n"/>
      <c r="U5501" s="8" t="n"/>
      <c r="V5501" s="8" t="n"/>
      <c r="W5501" s="8" t="n"/>
      <c r="X5501" s="8" t="n"/>
      <c r="Y5501" s="8" t="n"/>
    </row>
    <row r="5502">
      <c r="A5502" s="8" t="n"/>
      <c r="B5502" s="8" t="n"/>
      <c r="C5502" s="8" t="n"/>
      <c r="D5502" s="8" t="n"/>
      <c r="E5502" s="8" t="n"/>
      <c r="F5502" s="8" t="n"/>
      <c r="G5502" s="8" t="n"/>
      <c r="H5502" s="8" t="n"/>
      <c r="I5502" s="8" t="n"/>
      <c r="J5502" s="8" t="n"/>
      <c r="K5502" s="8" t="n"/>
      <c r="L5502" s="8" t="n"/>
      <c r="M5502" s="9">
        <f>B5502+30</f>
        <v/>
      </c>
      <c r="N5502">
        <f>IF(L5502="", "", L5502-B5502)</f>
        <v/>
      </c>
      <c r="O5502">
        <f>IF(L5502="", "Pending", IF(N5502&lt;=30, "Met", "Breached"))</f>
        <v/>
      </c>
      <c r="P5502" s="8" t="n"/>
      <c r="Q5502" s="8" t="n"/>
      <c r="R5502" s="8" t="n"/>
      <c r="S5502" s="8" t="n"/>
      <c r="T5502" s="8" t="n"/>
      <c r="U5502" s="8" t="n"/>
      <c r="V5502" s="8" t="n"/>
      <c r="W5502" s="8" t="n"/>
      <c r="X5502" s="8" t="n"/>
      <c r="Y5502" s="8" t="n"/>
    </row>
    <row r="5503">
      <c r="A5503" s="8" t="n"/>
      <c r="B5503" s="8" t="n"/>
      <c r="C5503" s="8" t="n"/>
      <c r="D5503" s="8" t="n"/>
      <c r="E5503" s="8" t="n"/>
      <c r="F5503" s="8" t="n"/>
      <c r="G5503" s="8" t="n"/>
      <c r="H5503" s="8" t="n"/>
      <c r="I5503" s="8" t="n"/>
      <c r="J5503" s="8" t="n"/>
      <c r="K5503" s="8" t="n"/>
      <c r="L5503" s="8" t="n"/>
      <c r="M5503" s="9">
        <f>B5503+30</f>
        <v/>
      </c>
      <c r="N5503">
        <f>IF(L5503="", "", L5503-B5503)</f>
        <v/>
      </c>
      <c r="O5503">
        <f>IF(L5503="", "Pending", IF(N5503&lt;=30, "Met", "Breached"))</f>
        <v/>
      </c>
      <c r="P5503" s="8" t="n"/>
      <c r="Q5503" s="8" t="n"/>
      <c r="R5503" s="8" t="n"/>
      <c r="S5503" s="8" t="n"/>
      <c r="T5503" s="8" t="n"/>
      <c r="U5503" s="8" t="n"/>
      <c r="V5503" s="8" t="n"/>
      <c r="W5503" s="8" t="n"/>
      <c r="X5503" s="8" t="n"/>
      <c r="Y5503" s="8" t="n"/>
    </row>
    <row r="5504">
      <c r="A5504" s="8" t="n"/>
      <c r="B5504" s="8" t="n"/>
      <c r="C5504" s="8" t="n"/>
      <c r="D5504" s="8" t="n"/>
      <c r="E5504" s="8" t="n"/>
      <c r="F5504" s="8" t="n"/>
      <c r="G5504" s="8" t="n"/>
      <c r="H5504" s="8" t="n"/>
      <c r="I5504" s="8" t="n"/>
      <c r="J5504" s="8" t="n"/>
      <c r="K5504" s="8" t="n"/>
      <c r="L5504" s="8" t="n"/>
      <c r="M5504" s="9">
        <f>B5504+30</f>
        <v/>
      </c>
      <c r="N5504">
        <f>IF(L5504="", "", L5504-B5504)</f>
        <v/>
      </c>
      <c r="O5504">
        <f>IF(L5504="", "Pending", IF(N5504&lt;=30, "Met", "Breached"))</f>
        <v/>
      </c>
      <c r="P5504" s="8" t="n"/>
      <c r="Q5504" s="8" t="n"/>
      <c r="R5504" s="8" t="n"/>
      <c r="S5504" s="8" t="n"/>
      <c r="T5504" s="8" t="n"/>
      <c r="U5504" s="8" t="n"/>
      <c r="V5504" s="8" t="n"/>
      <c r="W5504" s="8" t="n"/>
      <c r="X5504" s="8" t="n"/>
      <c r="Y5504" s="8" t="n"/>
    </row>
    <row r="5505">
      <c r="A5505" s="8" t="n"/>
      <c r="B5505" s="8" t="n"/>
      <c r="C5505" s="8" t="n"/>
      <c r="D5505" s="8" t="n"/>
      <c r="E5505" s="8" t="n"/>
      <c r="F5505" s="8" t="n"/>
      <c r="G5505" s="8" t="n"/>
      <c r="H5505" s="8" t="n"/>
      <c r="I5505" s="8" t="n"/>
      <c r="J5505" s="8" t="n"/>
      <c r="K5505" s="8" t="n"/>
      <c r="L5505" s="8" t="n"/>
      <c r="M5505" s="9">
        <f>B5505+30</f>
        <v/>
      </c>
      <c r="N5505">
        <f>IF(L5505="", "", L5505-B5505)</f>
        <v/>
      </c>
      <c r="O5505">
        <f>IF(L5505="", "Pending", IF(N5505&lt;=30, "Met", "Breached"))</f>
        <v/>
      </c>
      <c r="P5505" s="8" t="n"/>
      <c r="Q5505" s="8" t="n"/>
      <c r="R5505" s="8" t="n"/>
      <c r="S5505" s="8" t="n"/>
      <c r="T5505" s="8" t="n"/>
      <c r="U5505" s="8" t="n"/>
      <c r="V5505" s="8" t="n"/>
      <c r="W5505" s="8" t="n"/>
      <c r="X5505" s="8" t="n"/>
      <c r="Y5505" s="8" t="n"/>
    </row>
    <row r="5506">
      <c r="A5506" s="8" t="n"/>
      <c r="B5506" s="8" t="n"/>
      <c r="C5506" s="8" t="n"/>
      <c r="D5506" s="8" t="n"/>
      <c r="E5506" s="8" t="n"/>
      <c r="F5506" s="8" t="n"/>
      <c r="G5506" s="8" t="n"/>
      <c r="H5506" s="8" t="n"/>
      <c r="I5506" s="8" t="n"/>
      <c r="J5506" s="8" t="n"/>
      <c r="K5506" s="8" t="n"/>
      <c r="L5506" s="8" t="n"/>
      <c r="M5506" s="9">
        <f>B5506+30</f>
        <v/>
      </c>
      <c r="N5506">
        <f>IF(L5506="", "", L5506-B5506)</f>
        <v/>
      </c>
      <c r="O5506">
        <f>IF(L5506="", "Pending", IF(N5506&lt;=30, "Met", "Breached"))</f>
        <v/>
      </c>
      <c r="P5506" s="8" t="n"/>
      <c r="Q5506" s="8" t="n"/>
      <c r="R5506" s="8" t="n"/>
      <c r="S5506" s="8" t="n"/>
      <c r="T5506" s="8" t="n"/>
      <c r="U5506" s="8" t="n"/>
      <c r="V5506" s="8" t="n"/>
      <c r="W5506" s="8" t="n"/>
      <c r="X5506" s="8" t="n"/>
      <c r="Y5506" s="8" t="n"/>
    </row>
    <row r="5507">
      <c r="A5507" s="8" t="n"/>
      <c r="B5507" s="8" t="n"/>
      <c r="C5507" s="8" t="n"/>
      <c r="D5507" s="8" t="n"/>
      <c r="E5507" s="8" t="n"/>
      <c r="F5507" s="8" t="n"/>
      <c r="G5507" s="8" t="n"/>
      <c r="H5507" s="8" t="n"/>
      <c r="I5507" s="8" t="n"/>
      <c r="J5507" s="8" t="n"/>
      <c r="K5507" s="8" t="n"/>
      <c r="L5507" s="8" t="n"/>
      <c r="M5507" s="9">
        <f>B5507+30</f>
        <v/>
      </c>
      <c r="N5507">
        <f>IF(L5507="", "", L5507-B5507)</f>
        <v/>
      </c>
      <c r="O5507">
        <f>IF(L5507="", "Pending", IF(N5507&lt;=30, "Met", "Breached"))</f>
        <v/>
      </c>
      <c r="P5507" s="8" t="n"/>
      <c r="Q5507" s="8" t="n"/>
      <c r="R5507" s="8" t="n"/>
      <c r="S5507" s="8" t="n"/>
      <c r="T5507" s="8" t="n"/>
      <c r="U5507" s="8" t="n"/>
      <c r="V5507" s="8" t="n"/>
      <c r="W5507" s="8" t="n"/>
      <c r="X5507" s="8" t="n"/>
      <c r="Y5507" s="8" t="n"/>
    </row>
    <row r="5508">
      <c r="A5508" s="8" t="n"/>
      <c r="B5508" s="8" t="n"/>
      <c r="C5508" s="8" t="n"/>
      <c r="D5508" s="8" t="n"/>
      <c r="E5508" s="8" t="n"/>
      <c r="F5508" s="8" t="n"/>
      <c r="G5508" s="8" t="n"/>
      <c r="H5508" s="8" t="n"/>
      <c r="I5508" s="8" t="n"/>
      <c r="J5508" s="8" t="n"/>
      <c r="K5508" s="8" t="n"/>
      <c r="L5508" s="8" t="n"/>
      <c r="M5508" s="9">
        <f>B5508+30</f>
        <v/>
      </c>
      <c r="N5508">
        <f>IF(L5508="", "", L5508-B5508)</f>
        <v/>
      </c>
      <c r="O5508">
        <f>IF(L5508="", "Pending", IF(N5508&lt;=30, "Met", "Breached"))</f>
        <v/>
      </c>
      <c r="P5508" s="8" t="n"/>
      <c r="Q5508" s="8" t="n"/>
      <c r="R5508" s="8" t="n"/>
      <c r="S5508" s="8" t="n"/>
      <c r="T5508" s="8" t="n"/>
      <c r="U5508" s="8" t="n"/>
      <c r="V5508" s="8" t="n"/>
      <c r="W5508" s="8" t="n"/>
      <c r="X5508" s="8" t="n"/>
      <c r="Y5508" s="8" t="n"/>
    </row>
    <row r="5509">
      <c r="A5509" s="8" t="n"/>
      <c r="B5509" s="8" t="n"/>
      <c r="C5509" s="8" t="n"/>
      <c r="D5509" s="8" t="n"/>
      <c r="E5509" s="8" t="n"/>
      <c r="F5509" s="8" t="n"/>
      <c r="G5509" s="8" t="n"/>
      <c r="H5509" s="8" t="n"/>
      <c r="I5509" s="8" t="n"/>
      <c r="J5509" s="8" t="n"/>
      <c r="K5509" s="8" t="n"/>
      <c r="L5509" s="8" t="n"/>
      <c r="M5509" s="9">
        <f>B5509+30</f>
        <v/>
      </c>
      <c r="N5509">
        <f>IF(L5509="", "", L5509-B5509)</f>
        <v/>
      </c>
      <c r="O5509">
        <f>IF(L5509="", "Pending", IF(N5509&lt;=30, "Met", "Breached"))</f>
        <v/>
      </c>
      <c r="P5509" s="8" t="n"/>
      <c r="Q5509" s="8" t="n"/>
      <c r="R5509" s="8" t="n"/>
      <c r="S5509" s="8" t="n"/>
      <c r="T5509" s="8" t="n"/>
      <c r="U5509" s="8" t="n"/>
      <c r="V5509" s="8" t="n"/>
      <c r="W5509" s="8" t="n"/>
      <c r="X5509" s="8" t="n"/>
      <c r="Y5509" s="8" t="n"/>
    </row>
    <row r="5510">
      <c r="A5510" s="8" t="n"/>
      <c r="B5510" s="8" t="n"/>
      <c r="C5510" s="8" t="n"/>
      <c r="D5510" s="8" t="n"/>
      <c r="E5510" s="8" t="n"/>
      <c r="F5510" s="8" t="n"/>
      <c r="G5510" s="8" t="n"/>
      <c r="H5510" s="8" t="n"/>
      <c r="I5510" s="8" t="n"/>
      <c r="J5510" s="8" t="n"/>
      <c r="K5510" s="8" t="n"/>
      <c r="L5510" s="8" t="n"/>
      <c r="M5510" s="9">
        <f>B5510+30</f>
        <v/>
      </c>
      <c r="N5510">
        <f>IF(L5510="", "", L5510-B5510)</f>
        <v/>
      </c>
      <c r="O5510">
        <f>IF(L5510="", "Pending", IF(N5510&lt;=30, "Met", "Breached"))</f>
        <v/>
      </c>
      <c r="P5510" s="8" t="n"/>
      <c r="Q5510" s="8" t="n"/>
      <c r="R5510" s="8" t="n"/>
      <c r="S5510" s="8" t="n"/>
      <c r="T5510" s="8" t="n"/>
      <c r="U5510" s="8" t="n"/>
      <c r="V5510" s="8" t="n"/>
      <c r="W5510" s="8" t="n"/>
      <c r="X5510" s="8" t="n"/>
      <c r="Y5510" s="8" t="n"/>
    </row>
    <row r="5511">
      <c r="A5511" s="8" t="n"/>
      <c r="B5511" s="8" t="n"/>
      <c r="C5511" s="8" t="n"/>
      <c r="D5511" s="8" t="n"/>
      <c r="E5511" s="8" t="n"/>
      <c r="F5511" s="8" t="n"/>
      <c r="G5511" s="8" t="n"/>
      <c r="H5511" s="8" t="n"/>
      <c r="I5511" s="8" t="n"/>
      <c r="J5511" s="8" t="n"/>
      <c r="K5511" s="8" t="n"/>
      <c r="L5511" s="8" t="n"/>
      <c r="M5511" s="9">
        <f>B5511+30</f>
        <v/>
      </c>
      <c r="N5511">
        <f>IF(L5511="", "", L5511-B5511)</f>
        <v/>
      </c>
      <c r="O5511">
        <f>IF(L5511="", "Pending", IF(N5511&lt;=30, "Met", "Breached"))</f>
        <v/>
      </c>
      <c r="P5511" s="8" t="n"/>
      <c r="Q5511" s="8" t="n"/>
      <c r="R5511" s="8" t="n"/>
      <c r="S5511" s="8" t="n"/>
      <c r="T5511" s="8" t="n"/>
      <c r="U5511" s="8" t="n"/>
      <c r="V5511" s="8" t="n"/>
      <c r="W5511" s="8" t="n"/>
      <c r="X5511" s="8" t="n"/>
      <c r="Y5511" s="8" t="n"/>
    </row>
    <row r="5512">
      <c r="A5512" s="8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8" t="n"/>
      <c r="K5512" s="8" t="n"/>
      <c r="L5512" s="8" t="n"/>
      <c r="M5512" s="9">
        <f>B5512+30</f>
        <v/>
      </c>
      <c r="N5512">
        <f>IF(L5512="", "", L5512-B5512)</f>
        <v/>
      </c>
      <c r="O5512">
        <f>IF(L5512="", "Pending", IF(N5512&lt;=30, "Met", "Breached"))</f>
        <v/>
      </c>
      <c r="P5512" s="8" t="n"/>
      <c r="Q5512" s="8" t="n"/>
      <c r="R5512" s="8" t="n"/>
      <c r="S5512" s="8" t="n"/>
      <c r="T5512" s="8" t="n"/>
      <c r="U5512" s="8" t="n"/>
      <c r="V5512" s="8" t="n"/>
      <c r="W5512" s="8" t="n"/>
      <c r="X5512" s="8" t="n"/>
      <c r="Y5512" s="8" t="n"/>
    </row>
    <row r="5513">
      <c r="A5513" s="8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8" t="n"/>
      <c r="K5513" s="8" t="n"/>
      <c r="L5513" s="8" t="n"/>
      <c r="M5513" s="9">
        <f>B5513+30</f>
        <v/>
      </c>
      <c r="N5513">
        <f>IF(L5513="", "", L5513-B5513)</f>
        <v/>
      </c>
      <c r="O5513">
        <f>IF(L5513="", "Pending", IF(N5513&lt;=30, "Met", "Breached"))</f>
        <v/>
      </c>
      <c r="P5513" s="8" t="n"/>
      <c r="Q5513" s="8" t="n"/>
      <c r="R5513" s="8" t="n"/>
      <c r="S5513" s="8" t="n"/>
      <c r="T5513" s="8" t="n"/>
      <c r="U5513" s="8" t="n"/>
      <c r="V5513" s="8" t="n"/>
      <c r="W5513" s="8" t="n"/>
      <c r="X5513" s="8" t="n"/>
      <c r="Y5513" s="8" t="n"/>
    </row>
    <row r="5514">
      <c r="A5514" s="8" t="n"/>
      <c r="B5514" s="8" t="n"/>
      <c r="C5514" s="8" t="n"/>
      <c r="D5514" s="8" t="n"/>
      <c r="E5514" s="8" t="n"/>
      <c r="F5514" s="8" t="n"/>
      <c r="G5514" s="8" t="n"/>
      <c r="H5514" s="8" t="n"/>
      <c r="I5514" s="8" t="n"/>
      <c r="J5514" s="8" t="n"/>
      <c r="K5514" s="8" t="n"/>
      <c r="L5514" s="8" t="n"/>
      <c r="M5514" s="9">
        <f>B5514+30</f>
        <v/>
      </c>
      <c r="N5514">
        <f>IF(L5514="", "", L5514-B5514)</f>
        <v/>
      </c>
      <c r="O5514">
        <f>IF(L5514="", "Pending", IF(N5514&lt;=30, "Met", "Breached"))</f>
        <v/>
      </c>
      <c r="P5514" s="8" t="n"/>
      <c r="Q5514" s="8" t="n"/>
      <c r="R5514" s="8" t="n"/>
      <c r="S5514" s="8" t="n"/>
      <c r="T5514" s="8" t="n"/>
      <c r="U5514" s="8" t="n"/>
      <c r="V5514" s="8" t="n"/>
      <c r="W5514" s="8" t="n"/>
      <c r="X5514" s="8" t="n"/>
      <c r="Y5514" s="8" t="n"/>
    </row>
    <row r="5515">
      <c r="A5515" s="8" t="n"/>
      <c r="B5515" s="8" t="n"/>
      <c r="C5515" s="8" t="n"/>
      <c r="D5515" s="8" t="n"/>
      <c r="E5515" s="8" t="n"/>
      <c r="F5515" s="8" t="n"/>
      <c r="G5515" s="8" t="n"/>
      <c r="H5515" s="8" t="n"/>
      <c r="I5515" s="8" t="n"/>
      <c r="J5515" s="8" t="n"/>
      <c r="K5515" s="8" t="n"/>
      <c r="L5515" s="8" t="n"/>
      <c r="M5515" s="9">
        <f>B5515+30</f>
        <v/>
      </c>
      <c r="N5515">
        <f>IF(L5515="", "", L5515-B5515)</f>
        <v/>
      </c>
      <c r="O5515">
        <f>IF(L5515="", "Pending", IF(N5515&lt;=30, "Met", "Breached"))</f>
        <v/>
      </c>
      <c r="P5515" s="8" t="n"/>
      <c r="Q5515" s="8" t="n"/>
      <c r="R5515" s="8" t="n"/>
      <c r="S5515" s="8" t="n"/>
      <c r="T5515" s="8" t="n"/>
      <c r="U5515" s="8" t="n"/>
      <c r="V5515" s="8" t="n"/>
      <c r="W5515" s="8" t="n"/>
      <c r="X5515" s="8" t="n"/>
      <c r="Y5515" s="8" t="n"/>
    </row>
    <row r="5516">
      <c r="A5516" s="8" t="n"/>
      <c r="B5516" s="8" t="n"/>
      <c r="C5516" s="8" t="n"/>
      <c r="D5516" s="8" t="n"/>
      <c r="E5516" s="8" t="n"/>
      <c r="F5516" s="8" t="n"/>
      <c r="G5516" s="8" t="n"/>
      <c r="H5516" s="8" t="n"/>
      <c r="I5516" s="8" t="n"/>
      <c r="J5516" s="8" t="n"/>
      <c r="K5516" s="8" t="n"/>
      <c r="L5516" s="8" t="n"/>
      <c r="M5516" s="9">
        <f>B5516+30</f>
        <v/>
      </c>
      <c r="N5516">
        <f>IF(L5516="", "", L5516-B5516)</f>
        <v/>
      </c>
      <c r="O5516">
        <f>IF(L5516="", "Pending", IF(N5516&lt;=30, "Met", "Breached"))</f>
        <v/>
      </c>
      <c r="P5516" s="8" t="n"/>
      <c r="Q5516" s="8" t="n"/>
      <c r="R5516" s="8" t="n"/>
      <c r="S5516" s="8" t="n"/>
      <c r="T5516" s="8" t="n"/>
      <c r="U5516" s="8" t="n"/>
      <c r="V5516" s="8" t="n"/>
      <c r="W5516" s="8" t="n"/>
      <c r="X5516" s="8" t="n"/>
      <c r="Y5516" s="8" t="n"/>
    </row>
    <row r="5517">
      <c r="A5517" s="8" t="n"/>
      <c r="B5517" s="8" t="n"/>
      <c r="C5517" s="8" t="n"/>
      <c r="D5517" s="8" t="n"/>
      <c r="E5517" s="8" t="n"/>
      <c r="F5517" s="8" t="n"/>
      <c r="G5517" s="8" t="n"/>
      <c r="H5517" s="8" t="n"/>
      <c r="I5517" s="8" t="n"/>
      <c r="J5517" s="8" t="n"/>
      <c r="K5517" s="8" t="n"/>
      <c r="L5517" s="8" t="n"/>
      <c r="M5517" s="9">
        <f>B5517+30</f>
        <v/>
      </c>
      <c r="N5517">
        <f>IF(L5517="", "", L5517-B5517)</f>
        <v/>
      </c>
      <c r="O5517">
        <f>IF(L5517="", "Pending", IF(N5517&lt;=30, "Met", "Breached"))</f>
        <v/>
      </c>
      <c r="P5517" s="8" t="n"/>
      <c r="Q5517" s="8" t="n"/>
      <c r="R5517" s="8" t="n"/>
      <c r="S5517" s="8" t="n"/>
      <c r="T5517" s="8" t="n"/>
      <c r="U5517" s="8" t="n"/>
      <c r="V5517" s="8" t="n"/>
      <c r="W5517" s="8" t="n"/>
      <c r="X5517" s="8" t="n"/>
      <c r="Y5517" s="8" t="n"/>
    </row>
    <row r="5518">
      <c r="A5518" s="8" t="n"/>
      <c r="B5518" s="8" t="n"/>
      <c r="C5518" s="8" t="n"/>
      <c r="D5518" s="8" t="n"/>
      <c r="E5518" s="8" t="n"/>
      <c r="F5518" s="8" t="n"/>
      <c r="G5518" s="8" t="n"/>
      <c r="H5518" s="8" t="n"/>
      <c r="I5518" s="8" t="n"/>
      <c r="J5518" s="8" t="n"/>
      <c r="K5518" s="8" t="n"/>
      <c r="L5518" s="8" t="n"/>
      <c r="M5518" s="9">
        <f>B5518+30</f>
        <v/>
      </c>
      <c r="N5518">
        <f>IF(L5518="", "", L5518-B5518)</f>
        <v/>
      </c>
      <c r="O5518">
        <f>IF(L5518="", "Pending", IF(N5518&lt;=30, "Met", "Breached"))</f>
        <v/>
      </c>
      <c r="P5518" s="8" t="n"/>
      <c r="Q5518" s="8" t="n"/>
      <c r="R5518" s="8" t="n"/>
      <c r="S5518" s="8" t="n"/>
      <c r="T5518" s="8" t="n"/>
      <c r="U5518" s="8" t="n"/>
      <c r="V5518" s="8" t="n"/>
      <c r="W5518" s="8" t="n"/>
      <c r="X5518" s="8" t="n"/>
      <c r="Y5518" s="8" t="n"/>
    </row>
    <row r="5519">
      <c r="A5519" s="8" t="n"/>
      <c r="B5519" s="8" t="n"/>
      <c r="C5519" s="8" t="n"/>
      <c r="D5519" s="8" t="n"/>
      <c r="E5519" s="8" t="n"/>
      <c r="F5519" s="8" t="n"/>
      <c r="G5519" s="8" t="n"/>
      <c r="H5519" s="8" t="n"/>
      <c r="I5519" s="8" t="n"/>
      <c r="J5519" s="8" t="n"/>
      <c r="K5519" s="8" t="n"/>
      <c r="L5519" s="8" t="n"/>
      <c r="M5519" s="9">
        <f>B5519+30</f>
        <v/>
      </c>
      <c r="N5519">
        <f>IF(L5519="", "", L5519-B5519)</f>
        <v/>
      </c>
      <c r="O5519">
        <f>IF(L5519="", "Pending", IF(N5519&lt;=30, "Met", "Breached"))</f>
        <v/>
      </c>
      <c r="P5519" s="8" t="n"/>
      <c r="Q5519" s="8" t="n"/>
      <c r="R5519" s="8" t="n"/>
      <c r="S5519" s="8" t="n"/>
      <c r="T5519" s="8" t="n"/>
      <c r="U5519" s="8" t="n"/>
      <c r="V5519" s="8" t="n"/>
      <c r="W5519" s="8" t="n"/>
      <c r="X5519" s="8" t="n"/>
      <c r="Y5519" s="8" t="n"/>
    </row>
    <row r="5520">
      <c r="A5520" s="8" t="n"/>
      <c r="B5520" s="8" t="n"/>
      <c r="C5520" s="8" t="n"/>
      <c r="D5520" s="8" t="n"/>
      <c r="E5520" s="8" t="n"/>
      <c r="F5520" s="8" t="n"/>
      <c r="G5520" s="8" t="n"/>
      <c r="H5520" s="8" t="n"/>
      <c r="I5520" s="8" t="n"/>
      <c r="J5520" s="8" t="n"/>
      <c r="K5520" s="8" t="n"/>
      <c r="L5520" s="8" t="n"/>
      <c r="M5520" s="9">
        <f>B5520+30</f>
        <v/>
      </c>
      <c r="N5520">
        <f>IF(L5520="", "", L5520-B5520)</f>
        <v/>
      </c>
      <c r="O5520">
        <f>IF(L5520="", "Pending", IF(N5520&lt;=30, "Met", "Breached"))</f>
        <v/>
      </c>
      <c r="P5520" s="8" t="n"/>
      <c r="Q5520" s="8" t="n"/>
      <c r="R5520" s="8" t="n"/>
      <c r="S5520" s="8" t="n"/>
      <c r="T5520" s="8" t="n"/>
      <c r="U5520" s="8" t="n"/>
      <c r="V5520" s="8" t="n"/>
      <c r="W5520" s="8" t="n"/>
      <c r="X5520" s="8" t="n"/>
      <c r="Y5520" s="8" t="n"/>
    </row>
    <row r="5521">
      <c r="A5521" s="8" t="n"/>
      <c r="B5521" s="8" t="n"/>
      <c r="C5521" s="8" t="n"/>
      <c r="D5521" s="8" t="n"/>
      <c r="E5521" s="8" t="n"/>
      <c r="F5521" s="8" t="n"/>
      <c r="G5521" s="8" t="n"/>
      <c r="H5521" s="8" t="n"/>
      <c r="I5521" s="8" t="n"/>
      <c r="J5521" s="8" t="n"/>
      <c r="K5521" s="8" t="n"/>
      <c r="L5521" s="8" t="n"/>
      <c r="M5521" s="9">
        <f>B5521+30</f>
        <v/>
      </c>
      <c r="N5521">
        <f>IF(L5521="", "", L5521-B5521)</f>
        <v/>
      </c>
      <c r="O5521">
        <f>IF(L5521="", "Pending", IF(N5521&lt;=30, "Met", "Breached"))</f>
        <v/>
      </c>
      <c r="P5521" s="8" t="n"/>
      <c r="Q5521" s="8" t="n"/>
      <c r="R5521" s="8" t="n"/>
      <c r="S5521" s="8" t="n"/>
      <c r="T5521" s="8" t="n"/>
      <c r="U5521" s="8" t="n"/>
      <c r="V5521" s="8" t="n"/>
      <c r="W5521" s="8" t="n"/>
      <c r="X5521" s="8" t="n"/>
      <c r="Y5521" s="8" t="n"/>
    </row>
    <row r="5522">
      <c r="A5522" s="8" t="n"/>
      <c r="B5522" s="8" t="n"/>
      <c r="C5522" s="8" t="n"/>
      <c r="D5522" s="8" t="n"/>
      <c r="E5522" s="8" t="n"/>
      <c r="F5522" s="8" t="n"/>
      <c r="G5522" s="8" t="n"/>
      <c r="H5522" s="8" t="n"/>
      <c r="I5522" s="8" t="n"/>
      <c r="J5522" s="8" t="n"/>
      <c r="K5522" s="8" t="n"/>
      <c r="L5522" s="8" t="n"/>
      <c r="M5522" s="9">
        <f>B5522+30</f>
        <v/>
      </c>
      <c r="N5522">
        <f>IF(L5522="", "", L5522-B5522)</f>
        <v/>
      </c>
      <c r="O5522">
        <f>IF(L5522="", "Pending", IF(N5522&lt;=30, "Met", "Breached"))</f>
        <v/>
      </c>
      <c r="P5522" s="8" t="n"/>
      <c r="Q5522" s="8" t="n"/>
      <c r="R5522" s="8" t="n"/>
      <c r="S5522" s="8" t="n"/>
      <c r="T5522" s="8" t="n"/>
      <c r="U5522" s="8" t="n"/>
      <c r="V5522" s="8" t="n"/>
      <c r="W5522" s="8" t="n"/>
      <c r="X5522" s="8" t="n"/>
      <c r="Y5522" s="8" t="n"/>
    </row>
    <row r="5523">
      <c r="A5523" s="8" t="n"/>
      <c r="B5523" s="8" t="n"/>
      <c r="C5523" s="8" t="n"/>
      <c r="D5523" s="8" t="n"/>
      <c r="E5523" s="8" t="n"/>
      <c r="F5523" s="8" t="n"/>
      <c r="G5523" s="8" t="n"/>
      <c r="H5523" s="8" t="n"/>
      <c r="I5523" s="8" t="n"/>
      <c r="J5523" s="8" t="n"/>
      <c r="K5523" s="8" t="n"/>
      <c r="L5523" s="8" t="n"/>
      <c r="M5523" s="9">
        <f>B5523+30</f>
        <v/>
      </c>
      <c r="N5523">
        <f>IF(L5523="", "", L5523-B5523)</f>
        <v/>
      </c>
      <c r="O5523">
        <f>IF(L5523="", "Pending", IF(N5523&lt;=30, "Met", "Breached"))</f>
        <v/>
      </c>
      <c r="P5523" s="8" t="n"/>
      <c r="Q5523" s="8" t="n"/>
      <c r="R5523" s="8" t="n"/>
      <c r="S5523" s="8" t="n"/>
      <c r="T5523" s="8" t="n"/>
      <c r="U5523" s="8" t="n"/>
      <c r="V5523" s="8" t="n"/>
      <c r="W5523" s="8" t="n"/>
      <c r="X5523" s="8" t="n"/>
      <c r="Y5523" s="8" t="n"/>
    </row>
    <row r="5524">
      <c r="A5524" s="8" t="n"/>
      <c r="B5524" s="8" t="n"/>
      <c r="C5524" s="8" t="n"/>
      <c r="D5524" s="8" t="n"/>
      <c r="E5524" s="8" t="n"/>
      <c r="F5524" s="8" t="n"/>
      <c r="G5524" s="8" t="n"/>
      <c r="H5524" s="8" t="n"/>
      <c r="I5524" s="8" t="n"/>
      <c r="J5524" s="8" t="n"/>
      <c r="K5524" s="8" t="n"/>
      <c r="L5524" s="8" t="n"/>
      <c r="M5524" s="9">
        <f>B5524+30</f>
        <v/>
      </c>
      <c r="N5524">
        <f>IF(L5524="", "", L5524-B5524)</f>
        <v/>
      </c>
      <c r="O5524">
        <f>IF(L5524="", "Pending", IF(N5524&lt;=30, "Met", "Breached"))</f>
        <v/>
      </c>
      <c r="P5524" s="8" t="n"/>
      <c r="Q5524" s="8" t="n"/>
      <c r="R5524" s="8" t="n"/>
      <c r="S5524" s="8" t="n"/>
      <c r="T5524" s="8" t="n"/>
      <c r="U5524" s="8" t="n"/>
      <c r="V5524" s="8" t="n"/>
      <c r="W5524" s="8" t="n"/>
      <c r="X5524" s="8" t="n"/>
      <c r="Y5524" s="8" t="n"/>
    </row>
    <row r="5525">
      <c r="A5525" s="8" t="n"/>
      <c r="B5525" s="8" t="n"/>
      <c r="C5525" s="8" t="n"/>
      <c r="D5525" s="8" t="n"/>
      <c r="E5525" s="8" t="n"/>
      <c r="F5525" s="8" t="n"/>
      <c r="G5525" s="8" t="n"/>
      <c r="H5525" s="8" t="n"/>
      <c r="I5525" s="8" t="n"/>
      <c r="J5525" s="8" t="n"/>
      <c r="K5525" s="8" t="n"/>
      <c r="L5525" s="8" t="n"/>
      <c r="M5525" s="9">
        <f>B5525+30</f>
        <v/>
      </c>
      <c r="N5525">
        <f>IF(L5525="", "", L5525-B5525)</f>
        <v/>
      </c>
      <c r="O5525">
        <f>IF(L5525="", "Pending", IF(N5525&lt;=30, "Met", "Breached"))</f>
        <v/>
      </c>
      <c r="P5525" s="8" t="n"/>
      <c r="Q5525" s="8" t="n"/>
      <c r="R5525" s="8" t="n"/>
      <c r="S5525" s="8" t="n"/>
      <c r="T5525" s="8" t="n"/>
      <c r="U5525" s="8" t="n"/>
      <c r="V5525" s="8" t="n"/>
      <c r="W5525" s="8" t="n"/>
      <c r="X5525" s="8" t="n"/>
      <c r="Y5525" s="8" t="n"/>
    </row>
    <row r="5526">
      <c r="A5526" s="8" t="n"/>
      <c r="B5526" s="8" t="n"/>
      <c r="C5526" s="8" t="n"/>
      <c r="D5526" s="8" t="n"/>
      <c r="E5526" s="8" t="n"/>
      <c r="F5526" s="8" t="n"/>
      <c r="G5526" s="8" t="n"/>
      <c r="H5526" s="8" t="n"/>
      <c r="I5526" s="8" t="n"/>
      <c r="J5526" s="8" t="n"/>
      <c r="K5526" s="8" t="n"/>
      <c r="L5526" s="8" t="n"/>
      <c r="M5526" s="9">
        <f>B5526+30</f>
        <v/>
      </c>
      <c r="N5526">
        <f>IF(L5526="", "", L5526-B5526)</f>
        <v/>
      </c>
      <c r="O5526">
        <f>IF(L5526="", "Pending", IF(N5526&lt;=30, "Met", "Breached"))</f>
        <v/>
      </c>
      <c r="P5526" s="8" t="n"/>
      <c r="Q5526" s="8" t="n"/>
      <c r="R5526" s="8" t="n"/>
      <c r="S5526" s="8" t="n"/>
      <c r="T5526" s="8" t="n"/>
      <c r="U5526" s="8" t="n"/>
      <c r="V5526" s="8" t="n"/>
      <c r="W5526" s="8" t="n"/>
      <c r="X5526" s="8" t="n"/>
      <c r="Y5526" s="8" t="n"/>
    </row>
    <row r="5527">
      <c r="A5527" s="8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8" t="n"/>
      <c r="K5527" s="8" t="n"/>
      <c r="L5527" s="8" t="n"/>
      <c r="M5527" s="9">
        <f>B5527+30</f>
        <v/>
      </c>
      <c r="N5527">
        <f>IF(L5527="", "", L5527-B5527)</f>
        <v/>
      </c>
      <c r="O5527">
        <f>IF(L5527="", "Pending", IF(N5527&lt;=30, "Met", "Breached"))</f>
        <v/>
      </c>
      <c r="P5527" s="8" t="n"/>
      <c r="Q5527" s="8" t="n"/>
      <c r="R5527" s="8" t="n"/>
      <c r="S5527" s="8" t="n"/>
      <c r="T5527" s="8" t="n"/>
      <c r="U5527" s="8" t="n"/>
      <c r="V5527" s="8" t="n"/>
      <c r="W5527" s="8" t="n"/>
      <c r="X5527" s="8" t="n"/>
      <c r="Y5527" s="8" t="n"/>
    </row>
    <row r="5528">
      <c r="A5528" s="8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8" t="n"/>
      <c r="K5528" s="8" t="n"/>
      <c r="L5528" s="8" t="n"/>
      <c r="M5528" s="9">
        <f>B5528+30</f>
        <v/>
      </c>
      <c r="N5528">
        <f>IF(L5528="", "", L5528-B5528)</f>
        <v/>
      </c>
      <c r="O5528">
        <f>IF(L5528="", "Pending", IF(N5528&lt;=30, "Met", "Breached"))</f>
        <v/>
      </c>
      <c r="P5528" s="8" t="n"/>
      <c r="Q5528" s="8" t="n"/>
      <c r="R5528" s="8" t="n"/>
      <c r="S5528" s="8" t="n"/>
      <c r="T5528" s="8" t="n"/>
      <c r="U5528" s="8" t="n"/>
      <c r="V5528" s="8" t="n"/>
      <c r="W5528" s="8" t="n"/>
      <c r="X5528" s="8" t="n"/>
      <c r="Y5528" s="8" t="n"/>
    </row>
    <row r="5529">
      <c r="A5529" s="8" t="n"/>
      <c r="B5529" s="8" t="n"/>
      <c r="C5529" s="8" t="n"/>
      <c r="D5529" s="8" t="n"/>
      <c r="E5529" s="8" t="n"/>
      <c r="F5529" s="8" t="n"/>
      <c r="G5529" s="8" t="n"/>
      <c r="H5529" s="8" t="n"/>
      <c r="I5529" s="8" t="n"/>
      <c r="J5529" s="8" t="n"/>
      <c r="K5529" s="8" t="n"/>
      <c r="L5529" s="8" t="n"/>
      <c r="M5529" s="9">
        <f>B5529+30</f>
        <v/>
      </c>
      <c r="N5529">
        <f>IF(L5529="", "", L5529-B5529)</f>
        <v/>
      </c>
      <c r="O5529">
        <f>IF(L5529="", "Pending", IF(N5529&lt;=30, "Met", "Breached"))</f>
        <v/>
      </c>
      <c r="P5529" s="8" t="n"/>
      <c r="Q5529" s="8" t="n"/>
      <c r="R5529" s="8" t="n"/>
      <c r="S5529" s="8" t="n"/>
      <c r="T5529" s="8" t="n"/>
      <c r="U5529" s="8" t="n"/>
      <c r="V5529" s="8" t="n"/>
      <c r="W5529" s="8" t="n"/>
      <c r="X5529" s="8" t="n"/>
      <c r="Y5529" s="8" t="n"/>
    </row>
    <row r="5530">
      <c r="A5530" s="8" t="n"/>
      <c r="B5530" s="8" t="n"/>
      <c r="C5530" s="8" t="n"/>
      <c r="D5530" s="8" t="n"/>
      <c r="E5530" s="8" t="n"/>
      <c r="F5530" s="8" t="n"/>
      <c r="G5530" s="8" t="n"/>
      <c r="H5530" s="8" t="n"/>
      <c r="I5530" s="8" t="n"/>
      <c r="J5530" s="8" t="n"/>
      <c r="K5530" s="8" t="n"/>
      <c r="L5530" s="8" t="n"/>
      <c r="M5530" s="9">
        <f>B5530+30</f>
        <v/>
      </c>
      <c r="N5530">
        <f>IF(L5530="", "", L5530-B5530)</f>
        <v/>
      </c>
      <c r="O5530">
        <f>IF(L5530="", "Pending", IF(N5530&lt;=30, "Met", "Breached"))</f>
        <v/>
      </c>
      <c r="P5530" s="8" t="n"/>
      <c r="Q5530" s="8" t="n"/>
      <c r="R5530" s="8" t="n"/>
      <c r="S5530" s="8" t="n"/>
      <c r="T5530" s="8" t="n"/>
      <c r="U5530" s="8" t="n"/>
      <c r="V5530" s="8" t="n"/>
      <c r="W5530" s="8" t="n"/>
      <c r="X5530" s="8" t="n"/>
      <c r="Y5530" s="8" t="n"/>
    </row>
    <row r="5531">
      <c r="A5531" s="8" t="n"/>
      <c r="B5531" s="8" t="n"/>
      <c r="C5531" s="8" t="n"/>
      <c r="D5531" s="8" t="n"/>
      <c r="E5531" s="8" t="n"/>
      <c r="F5531" s="8" t="n"/>
      <c r="G5531" s="8" t="n"/>
      <c r="H5531" s="8" t="n"/>
      <c r="I5531" s="8" t="n"/>
      <c r="J5531" s="8" t="n"/>
      <c r="K5531" s="8" t="n"/>
      <c r="L5531" s="8" t="n"/>
      <c r="M5531" s="9">
        <f>B5531+30</f>
        <v/>
      </c>
      <c r="N5531">
        <f>IF(L5531="", "", L5531-B5531)</f>
        <v/>
      </c>
      <c r="O5531">
        <f>IF(L5531="", "Pending", IF(N5531&lt;=30, "Met", "Breached"))</f>
        <v/>
      </c>
      <c r="P5531" s="8" t="n"/>
      <c r="Q5531" s="8" t="n"/>
      <c r="R5531" s="8" t="n"/>
      <c r="S5531" s="8" t="n"/>
      <c r="T5531" s="8" t="n"/>
      <c r="U5531" s="8" t="n"/>
      <c r="V5531" s="8" t="n"/>
      <c r="W5531" s="8" t="n"/>
      <c r="X5531" s="8" t="n"/>
      <c r="Y5531" s="8" t="n"/>
    </row>
    <row r="5532">
      <c r="A5532" s="8" t="n"/>
      <c r="B5532" s="8" t="n"/>
      <c r="C5532" s="8" t="n"/>
      <c r="D5532" s="8" t="n"/>
      <c r="E5532" s="8" t="n"/>
      <c r="F5532" s="8" t="n"/>
      <c r="G5532" s="8" t="n"/>
      <c r="H5532" s="8" t="n"/>
      <c r="I5532" s="8" t="n"/>
      <c r="J5532" s="8" t="n"/>
      <c r="K5532" s="8" t="n"/>
      <c r="L5532" s="8" t="n"/>
      <c r="M5532" s="9">
        <f>B5532+30</f>
        <v/>
      </c>
      <c r="N5532">
        <f>IF(L5532="", "", L5532-B5532)</f>
        <v/>
      </c>
      <c r="O5532">
        <f>IF(L5532="", "Pending", IF(N5532&lt;=30, "Met", "Breached"))</f>
        <v/>
      </c>
      <c r="P5532" s="8" t="n"/>
      <c r="Q5532" s="8" t="n"/>
      <c r="R5532" s="8" t="n"/>
      <c r="S5532" s="8" t="n"/>
      <c r="T5532" s="8" t="n"/>
      <c r="U5532" s="8" t="n"/>
      <c r="V5532" s="8" t="n"/>
      <c r="W5532" s="8" t="n"/>
      <c r="X5532" s="8" t="n"/>
      <c r="Y5532" s="8" t="n"/>
    </row>
    <row r="5533">
      <c r="A5533" s="8" t="n"/>
      <c r="B5533" s="8" t="n"/>
      <c r="C5533" s="8" t="n"/>
      <c r="D5533" s="8" t="n"/>
      <c r="E5533" s="8" t="n"/>
      <c r="F5533" s="8" t="n"/>
      <c r="G5533" s="8" t="n"/>
      <c r="H5533" s="8" t="n"/>
      <c r="I5533" s="8" t="n"/>
      <c r="J5533" s="8" t="n"/>
      <c r="K5533" s="8" t="n"/>
      <c r="L5533" s="8" t="n"/>
      <c r="M5533" s="9">
        <f>B5533+30</f>
        <v/>
      </c>
      <c r="N5533">
        <f>IF(L5533="", "", L5533-B5533)</f>
        <v/>
      </c>
      <c r="O5533">
        <f>IF(L5533="", "Pending", IF(N5533&lt;=30, "Met", "Breached"))</f>
        <v/>
      </c>
      <c r="P5533" s="8" t="n"/>
      <c r="Q5533" s="8" t="n"/>
      <c r="R5533" s="8" t="n"/>
      <c r="S5533" s="8" t="n"/>
      <c r="T5533" s="8" t="n"/>
      <c r="U5533" s="8" t="n"/>
      <c r="V5533" s="8" t="n"/>
      <c r="W5533" s="8" t="n"/>
      <c r="X5533" s="8" t="n"/>
      <c r="Y5533" s="8" t="n"/>
    </row>
    <row r="5534">
      <c r="A5534" s="8" t="n"/>
      <c r="B5534" s="8" t="n"/>
      <c r="C5534" s="8" t="n"/>
      <c r="D5534" s="8" t="n"/>
      <c r="E5534" s="8" t="n"/>
      <c r="F5534" s="8" t="n"/>
      <c r="G5534" s="8" t="n"/>
      <c r="H5534" s="8" t="n"/>
      <c r="I5534" s="8" t="n"/>
      <c r="J5534" s="8" t="n"/>
      <c r="K5534" s="8" t="n"/>
      <c r="L5534" s="8" t="n"/>
      <c r="M5534" s="9">
        <f>B5534+30</f>
        <v/>
      </c>
      <c r="N5534">
        <f>IF(L5534="", "", L5534-B5534)</f>
        <v/>
      </c>
      <c r="O5534">
        <f>IF(L5534="", "Pending", IF(N5534&lt;=30, "Met", "Breached"))</f>
        <v/>
      </c>
      <c r="P5534" s="8" t="n"/>
      <c r="Q5534" s="8" t="n"/>
      <c r="R5534" s="8" t="n"/>
      <c r="S5534" s="8" t="n"/>
      <c r="T5534" s="8" t="n"/>
      <c r="U5534" s="8" t="n"/>
      <c r="V5534" s="8" t="n"/>
      <c r="W5534" s="8" t="n"/>
      <c r="X5534" s="8" t="n"/>
      <c r="Y5534" s="8" t="n"/>
    </row>
    <row r="5535">
      <c r="A5535" s="8" t="n"/>
      <c r="B5535" s="8" t="n"/>
      <c r="C5535" s="8" t="n"/>
      <c r="D5535" s="8" t="n"/>
      <c r="E5535" s="8" t="n"/>
      <c r="F5535" s="8" t="n"/>
      <c r="G5535" s="8" t="n"/>
      <c r="H5535" s="8" t="n"/>
      <c r="I5535" s="8" t="n"/>
      <c r="J5535" s="8" t="n"/>
      <c r="K5535" s="8" t="n"/>
      <c r="L5535" s="8" t="n"/>
      <c r="M5535" s="9">
        <f>B5535+30</f>
        <v/>
      </c>
      <c r="N5535">
        <f>IF(L5535="", "", L5535-B5535)</f>
        <v/>
      </c>
      <c r="O5535">
        <f>IF(L5535="", "Pending", IF(N5535&lt;=30, "Met", "Breached"))</f>
        <v/>
      </c>
      <c r="P5535" s="8" t="n"/>
      <c r="Q5535" s="8" t="n"/>
      <c r="R5535" s="8" t="n"/>
      <c r="S5535" s="8" t="n"/>
      <c r="T5535" s="8" t="n"/>
      <c r="U5535" s="8" t="n"/>
      <c r="V5535" s="8" t="n"/>
      <c r="W5535" s="8" t="n"/>
      <c r="X5535" s="8" t="n"/>
      <c r="Y5535" s="8" t="n"/>
    </row>
    <row r="5536">
      <c r="A5536" s="8" t="n"/>
      <c r="B5536" s="8" t="n"/>
      <c r="C5536" s="8" t="n"/>
      <c r="D5536" s="8" t="n"/>
      <c r="E5536" s="8" t="n"/>
      <c r="F5536" s="8" t="n"/>
      <c r="G5536" s="8" t="n"/>
      <c r="H5536" s="8" t="n"/>
      <c r="I5536" s="8" t="n"/>
      <c r="J5536" s="8" t="n"/>
      <c r="K5536" s="8" t="n"/>
      <c r="L5536" s="8" t="n"/>
      <c r="M5536" s="9">
        <f>B5536+30</f>
        <v/>
      </c>
      <c r="N5536">
        <f>IF(L5536="", "", L5536-B5536)</f>
        <v/>
      </c>
      <c r="O5536">
        <f>IF(L5536="", "Pending", IF(N5536&lt;=30, "Met", "Breached"))</f>
        <v/>
      </c>
      <c r="P5536" s="8" t="n"/>
      <c r="Q5536" s="8" t="n"/>
      <c r="R5536" s="8" t="n"/>
      <c r="S5536" s="8" t="n"/>
      <c r="T5536" s="8" t="n"/>
      <c r="U5536" s="8" t="n"/>
      <c r="V5536" s="8" t="n"/>
      <c r="W5536" s="8" t="n"/>
      <c r="X5536" s="8" t="n"/>
      <c r="Y5536" s="8" t="n"/>
    </row>
    <row r="5537">
      <c r="A5537" s="8" t="n"/>
      <c r="B5537" s="8" t="n"/>
      <c r="C5537" s="8" t="n"/>
      <c r="D5537" s="8" t="n"/>
      <c r="E5537" s="8" t="n"/>
      <c r="F5537" s="8" t="n"/>
      <c r="G5537" s="8" t="n"/>
      <c r="H5537" s="8" t="n"/>
      <c r="I5537" s="8" t="n"/>
      <c r="J5537" s="8" t="n"/>
      <c r="K5537" s="8" t="n"/>
      <c r="L5537" s="8" t="n"/>
      <c r="M5537" s="9">
        <f>B5537+30</f>
        <v/>
      </c>
      <c r="N5537">
        <f>IF(L5537="", "", L5537-B5537)</f>
        <v/>
      </c>
      <c r="O5537">
        <f>IF(L5537="", "Pending", IF(N5537&lt;=30, "Met", "Breached"))</f>
        <v/>
      </c>
      <c r="P5537" s="8" t="n"/>
      <c r="Q5537" s="8" t="n"/>
      <c r="R5537" s="8" t="n"/>
      <c r="S5537" s="8" t="n"/>
      <c r="T5537" s="8" t="n"/>
      <c r="U5537" s="8" t="n"/>
      <c r="V5537" s="8" t="n"/>
      <c r="W5537" s="8" t="n"/>
      <c r="X5537" s="8" t="n"/>
      <c r="Y5537" s="8" t="n"/>
    </row>
    <row r="5538">
      <c r="A5538" s="8" t="n"/>
      <c r="B5538" s="8" t="n"/>
      <c r="C5538" s="8" t="n"/>
      <c r="D5538" s="8" t="n"/>
      <c r="E5538" s="8" t="n"/>
      <c r="F5538" s="8" t="n"/>
      <c r="G5538" s="8" t="n"/>
      <c r="H5538" s="8" t="n"/>
      <c r="I5538" s="8" t="n"/>
      <c r="J5538" s="8" t="n"/>
      <c r="K5538" s="8" t="n"/>
      <c r="L5538" s="8" t="n"/>
      <c r="M5538" s="9">
        <f>B5538+30</f>
        <v/>
      </c>
      <c r="N5538">
        <f>IF(L5538="", "", L5538-B5538)</f>
        <v/>
      </c>
      <c r="O5538">
        <f>IF(L5538="", "Pending", IF(N5538&lt;=30, "Met", "Breached"))</f>
        <v/>
      </c>
      <c r="P5538" s="8" t="n"/>
      <c r="Q5538" s="8" t="n"/>
      <c r="R5538" s="8" t="n"/>
      <c r="S5538" s="8" t="n"/>
      <c r="T5538" s="8" t="n"/>
      <c r="U5538" s="8" t="n"/>
      <c r="V5538" s="8" t="n"/>
      <c r="W5538" s="8" t="n"/>
      <c r="X5538" s="8" t="n"/>
      <c r="Y5538" s="8" t="n"/>
    </row>
    <row r="5539">
      <c r="A5539" s="8" t="n"/>
      <c r="B5539" s="8" t="n"/>
      <c r="C5539" s="8" t="n"/>
      <c r="D5539" s="8" t="n"/>
      <c r="E5539" s="8" t="n"/>
      <c r="F5539" s="8" t="n"/>
      <c r="G5539" s="8" t="n"/>
      <c r="H5539" s="8" t="n"/>
      <c r="I5539" s="8" t="n"/>
      <c r="J5539" s="8" t="n"/>
      <c r="K5539" s="8" t="n"/>
      <c r="L5539" s="8" t="n"/>
      <c r="M5539" s="9">
        <f>B5539+30</f>
        <v/>
      </c>
      <c r="N5539">
        <f>IF(L5539="", "", L5539-B5539)</f>
        <v/>
      </c>
      <c r="O5539">
        <f>IF(L5539="", "Pending", IF(N5539&lt;=30, "Met", "Breached"))</f>
        <v/>
      </c>
      <c r="P5539" s="8" t="n"/>
      <c r="Q5539" s="8" t="n"/>
      <c r="R5539" s="8" t="n"/>
      <c r="S5539" s="8" t="n"/>
      <c r="T5539" s="8" t="n"/>
      <c r="U5539" s="8" t="n"/>
      <c r="V5539" s="8" t="n"/>
      <c r="W5539" s="8" t="n"/>
      <c r="X5539" s="8" t="n"/>
      <c r="Y5539" s="8" t="n"/>
    </row>
    <row r="5540">
      <c r="A5540" s="8" t="n"/>
      <c r="B5540" s="8" t="n"/>
      <c r="C5540" s="8" t="n"/>
      <c r="D5540" s="8" t="n"/>
      <c r="E5540" s="8" t="n"/>
      <c r="F5540" s="8" t="n"/>
      <c r="G5540" s="8" t="n"/>
      <c r="H5540" s="8" t="n"/>
      <c r="I5540" s="8" t="n"/>
      <c r="J5540" s="8" t="n"/>
      <c r="K5540" s="8" t="n"/>
      <c r="L5540" s="8" t="n"/>
      <c r="M5540" s="9">
        <f>B5540+30</f>
        <v/>
      </c>
      <c r="N5540">
        <f>IF(L5540="", "", L5540-B5540)</f>
        <v/>
      </c>
      <c r="O5540">
        <f>IF(L5540="", "Pending", IF(N5540&lt;=30, "Met", "Breached"))</f>
        <v/>
      </c>
      <c r="P5540" s="8" t="n"/>
      <c r="Q5540" s="8" t="n"/>
      <c r="R5540" s="8" t="n"/>
      <c r="S5540" s="8" t="n"/>
      <c r="T5540" s="8" t="n"/>
      <c r="U5540" s="8" t="n"/>
      <c r="V5540" s="8" t="n"/>
      <c r="W5540" s="8" t="n"/>
      <c r="X5540" s="8" t="n"/>
      <c r="Y5540" s="8" t="n"/>
    </row>
    <row r="5541">
      <c r="A5541" s="8" t="n"/>
      <c r="B5541" s="8" t="n"/>
      <c r="C5541" s="8" t="n"/>
      <c r="D5541" s="8" t="n"/>
      <c r="E5541" s="8" t="n"/>
      <c r="F5541" s="8" t="n"/>
      <c r="G5541" s="8" t="n"/>
      <c r="H5541" s="8" t="n"/>
      <c r="I5541" s="8" t="n"/>
      <c r="J5541" s="8" t="n"/>
      <c r="K5541" s="8" t="n"/>
      <c r="L5541" s="8" t="n"/>
      <c r="M5541" s="9">
        <f>B5541+30</f>
        <v/>
      </c>
      <c r="N5541">
        <f>IF(L5541="", "", L5541-B5541)</f>
        <v/>
      </c>
      <c r="O5541">
        <f>IF(L5541="", "Pending", IF(N5541&lt;=30, "Met", "Breached"))</f>
        <v/>
      </c>
      <c r="P5541" s="8" t="n"/>
      <c r="Q5541" s="8" t="n"/>
      <c r="R5541" s="8" t="n"/>
      <c r="S5541" s="8" t="n"/>
      <c r="T5541" s="8" t="n"/>
      <c r="U5541" s="8" t="n"/>
      <c r="V5541" s="8" t="n"/>
      <c r="W5541" s="8" t="n"/>
      <c r="X5541" s="8" t="n"/>
      <c r="Y5541" s="8" t="n"/>
    </row>
    <row r="5542">
      <c r="A5542" s="8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8" t="n"/>
      <c r="K5542" s="8" t="n"/>
      <c r="L5542" s="8" t="n"/>
      <c r="M5542" s="9">
        <f>B5542+30</f>
        <v/>
      </c>
      <c r="N5542">
        <f>IF(L5542="", "", L5542-B5542)</f>
        <v/>
      </c>
      <c r="O5542">
        <f>IF(L5542="", "Pending", IF(N5542&lt;=30, "Met", "Breached"))</f>
        <v/>
      </c>
      <c r="P5542" s="8" t="n"/>
      <c r="Q5542" s="8" t="n"/>
      <c r="R5542" s="8" t="n"/>
      <c r="S5542" s="8" t="n"/>
      <c r="T5542" s="8" t="n"/>
      <c r="U5542" s="8" t="n"/>
      <c r="V5542" s="8" t="n"/>
      <c r="W5542" s="8" t="n"/>
      <c r="X5542" s="8" t="n"/>
      <c r="Y5542" s="8" t="n"/>
    </row>
    <row r="5543">
      <c r="A5543" s="8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8" t="n"/>
      <c r="K5543" s="8" t="n"/>
      <c r="L5543" s="8" t="n"/>
      <c r="M5543" s="9">
        <f>B5543+30</f>
        <v/>
      </c>
      <c r="N5543">
        <f>IF(L5543="", "", L5543-B5543)</f>
        <v/>
      </c>
      <c r="O5543">
        <f>IF(L5543="", "Pending", IF(N5543&lt;=30, "Met", "Breached"))</f>
        <v/>
      </c>
      <c r="P5543" s="8" t="n"/>
      <c r="Q5543" s="8" t="n"/>
      <c r="R5543" s="8" t="n"/>
      <c r="S5543" s="8" t="n"/>
      <c r="T5543" s="8" t="n"/>
      <c r="U5543" s="8" t="n"/>
      <c r="V5543" s="8" t="n"/>
      <c r="W5543" s="8" t="n"/>
      <c r="X5543" s="8" t="n"/>
      <c r="Y5543" s="8" t="n"/>
    </row>
    <row r="5544">
      <c r="A5544" s="8" t="n"/>
      <c r="B5544" s="8" t="n"/>
      <c r="C5544" s="8" t="n"/>
      <c r="D5544" s="8" t="n"/>
      <c r="E5544" s="8" t="n"/>
      <c r="F5544" s="8" t="n"/>
      <c r="G5544" s="8" t="n"/>
      <c r="H5544" s="8" t="n"/>
      <c r="I5544" s="8" t="n"/>
      <c r="J5544" s="8" t="n"/>
      <c r="K5544" s="8" t="n"/>
      <c r="L5544" s="8" t="n"/>
      <c r="M5544" s="9">
        <f>B5544+30</f>
        <v/>
      </c>
      <c r="N5544">
        <f>IF(L5544="", "", L5544-B5544)</f>
        <v/>
      </c>
      <c r="O5544">
        <f>IF(L5544="", "Pending", IF(N5544&lt;=30, "Met", "Breached"))</f>
        <v/>
      </c>
      <c r="P5544" s="8" t="n"/>
      <c r="Q5544" s="8" t="n"/>
      <c r="R5544" s="8" t="n"/>
      <c r="S5544" s="8" t="n"/>
      <c r="T5544" s="8" t="n"/>
      <c r="U5544" s="8" t="n"/>
      <c r="V5544" s="8" t="n"/>
      <c r="W5544" s="8" t="n"/>
      <c r="X5544" s="8" t="n"/>
      <c r="Y5544" s="8" t="n"/>
    </row>
    <row r="5545">
      <c r="A5545" s="8" t="n"/>
      <c r="B5545" s="8" t="n"/>
      <c r="C5545" s="8" t="n"/>
      <c r="D5545" s="8" t="n"/>
      <c r="E5545" s="8" t="n"/>
      <c r="F5545" s="8" t="n"/>
      <c r="G5545" s="8" t="n"/>
      <c r="H5545" s="8" t="n"/>
      <c r="I5545" s="8" t="n"/>
      <c r="J5545" s="8" t="n"/>
      <c r="K5545" s="8" t="n"/>
      <c r="L5545" s="8" t="n"/>
      <c r="M5545" s="9">
        <f>B5545+30</f>
        <v/>
      </c>
      <c r="N5545">
        <f>IF(L5545="", "", L5545-B5545)</f>
        <v/>
      </c>
      <c r="O5545">
        <f>IF(L5545="", "Pending", IF(N5545&lt;=30, "Met", "Breached"))</f>
        <v/>
      </c>
      <c r="P5545" s="8" t="n"/>
      <c r="Q5545" s="8" t="n"/>
      <c r="R5545" s="8" t="n"/>
      <c r="S5545" s="8" t="n"/>
      <c r="T5545" s="8" t="n"/>
      <c r="U5545" s="8" t="n"/>
      <c r="V5545" s="8" t="n"/>
      <c r="W5545" s="8" t="n"/>
      <c r="X5545" s="8" t="n"/>
      <c r="Y5545" s="8" t="n"/>
    </row>
    <row r="5546">
      <c r="A5546" s="8" t="n"/>
      <c r="B5546" s="8" t="n"/>
      <c r="C5546" s="8" t="n"/>
      <c r="D5546" s="8" t="n"/>
      <c r="E5546" s="8" t="n"/>
      <c r="F5546" s="8" t="n"/>
      <c r="G5546" s="8" t="n"/>
      <c r="H5546" s="8" t="n"/>
      <c r="I5546" s="8" t="n"/>
      <c r="J5546" s="8" t="n"/>
      <c r="K5546" s="8" t="n"/>
      <c r="L5546" s="8" t="n"/>
      <c r="M5546" s="9">
        <f>B5546+30</f>
        <v/>
      </c>
      <c r="N5546">
        <f>IF(L5546="", "", L5546-B5546)</f>
        <v/>
      </c>
      <c r="O5546">
        <f>IF(L5546="", "Pending", IF(N5546&lt;=30, "Met", "Breached"))</f>
        <v/>
      </c>
      <c r="P5546" s="8" t="n"/>
      <c r="Q5546" s="8" t="n"/>
      <c r="R5546" s="8" t="n"/>
      <c r="S5546" s="8" t="n"/>
      <c r="T5546" s="8" t="n"/>
      <c r="U5546" s="8" t="n"/>
      <c r="V5546" s="8" t="n"/>
      <c r="W5546" s="8" t="n"/>
      <c r="X5546" s="8" t="n"/>
      <c r="Y5546" s="8" t="n"/>
    </row>
    <row r="5547">
      <c r="A5547" s="8" t="n"/>
      <c r="B5547" s="8" t="n"/>
      <c r="C5547" s="8" t="n"/>
      <c r="D5547" s="8" t="n"/>
      <c r="E5547" s="8" t="n"/>
      <c r="F5547" s="8" t="n"/>
      <c r="G5547" s="8" t="n"/>
      <c r="H5547" s="8" t="n"/>
      <c r="I5547" s="8" t="n"/>
      <c r="J5547" s="8" t="n"/>
      <c r="K5547" s="8" t="n"/>
      <c r="L5547" s="8" t="n"/>
      <c r="M5547" s="9">
        <f>B5547+30</f>
        <v/>
      </c>
      <c r="N5547">
        <f>IF(L5547="", "", L5547-B5547)</f>
        <v/>
      </c>
      <c r="O5547">
        <f>IF(L5547="", "Pending", IF(N5547&lt;=30, "Met", "Breached"))</f>
        <v/>
      </c>
      <c r="P5547" s="8" t="n"/>
      <c r="Q5547" s="8" t="n"/>
      <c r="R5547" s="8" t="n"/>
      <c r="S5547" s="8" t="n"/>
      <c r="T5547" s="8" t="n"/>
      <c r="U5547" s="8" t="n"/>
      <c r="V5547" s="8" t="n"/>
      <c r="W5547" s="8" t="n"/>
      <c r="X5547" s="8" t="n"/>
      <c r="Y5547" s="8" t="n"/>
    </row>
    <row r="5548">
      <c r="A5548" s="8" t="n"/>
      <c r="B5548" s="8" t="n"/>
      <c r="C5548" s="8" t="n"/>
      <c r="D5548" s="8" t="n"/>
      <c r="E5548" s="8" t="n"/>
      <c r="F5548" s="8" t="n"/>
      <c r="G5548" s="8" t="n"/>
      <c r="H5548" s="8" t="n"/>
      <c r="I5548" s="8" t="n"/>
      <c r="J5548" s="8" t="n"/>
      <c r="K5548" s="8" t="n"/>
      <c r="L5548" s="8" t="n"/>
      <c r="M5548" s="9">
        <f>B5548+30</f>
        <v/>
      </c>
      <c r="N5548">
        <f>IF(L5548="", "", L5548-B5548)</f>
        <v/>
      </c>
      <c r="O5548">
        <f>IF(L5548="", "Pending", IF(N5548&lt;=30, "Met", "Breached"))</f>
        <v/>
      </c>
      <c r="P5548" s="8" t="n"/>
      <c r="Q5548" s="8" t="n"/>
      <c r="R5548" s="8" t="n"/>
      <c r="S5548" s="8" t="n"/>
      <c r="T5548" s="8" t="n"/>
      <c r="U5548" s="8" t="n"/>
      <c r="V5548" s="8" t="n"/>
      <c r="W5548" s="8" t="n"/>
      <c r="X5548" s="8" t="n"/>
      <c r="Y5548" s="8" t="n"/>
    </row>
    <row r="5549">
      <c r="A5549" s="8" t="n"/>
      <c r="B5549" s="8" t="n"/>
      <c r="C5549" s="8" t="n"/>
      <c r="D5549" s="8" t="n"/>
      <c r="E5549" s="8" t="n"/>
      <c r="F5549" s="8" t="n"/>
      <c r="G5549" s="8" t="n"/>
      <c r="H5549" s="8" t="n"/>
      <c r="I5549" s="8" t="n"/>
      <c r="J5549" s="8" t="n"/>
      <c r="K5549" s="8" t="n"/>
      <c r="L5549" s="8" t="n"/>
      <c r="M5549" s="9">
        <f>B5549+30</f>
        <v/>
      </c>
      <c r="N5549">
        <f>IF(L5549="", "", L5549-B5549)</f>
        <v/>
      </c>
      <c r="O5549">
        <f>IF(L5549="", "Pending", IF(N5549&lt;=30, "Met", "Breached"))</f>
        <v/>
      </c>
      <c r="P5549" s="8" t="n"/>
      <c r="Q5549" s="8" t="n"/>
      <c r="R5549" s="8" t="n"/>
      <c r="S5549" s="8" t="n"/>
      <c r="T5549" s="8" t="n"/>
      <c r="U5549" s="8" t="n"/>
      <c r="V5549" s="8" t="n"/>
      <c r="W5549" s="8" t="n"/>
      <c r="X5549" s="8" t="n"/>
      <c r="Y5549" s="8" t="n"/>
    </row>
    <row r="5550">
      <c r="A5550" s="8" t="n"/>
      <c r="B5550" s="8" t="n"/>
      <c r="C5550" s="8" t="n"/>
      <c r="D5550" s="8" t="n"/>
      <c r="E5550" s="8" t="n"/>
      <c r="F5550" s="8" t="n"/>
      <c r="G5550" s="8" t="n"/>
      <c r="H5550" s="8" t="n"/>
      <c r="I5550" s="8" t="n"/>
      <c r="J5550" s="8" t="n"/>
      <c r="K5550" s="8" t="n"/>
      <c r="L5550" s="8" t="n"/>
      <c r="M5550" s="9">
        <f>B5550+30</f>
        <v/>
      </c>
      <c r="N5550">
        <f>IF(L5550="", "", L5550-B5550)</f>
        <v/>
      </c>
      <c r="O5550">
        <f>IF(L5550="", "Pending", IF(N5550&lt;=30, "Met", "Breached"))</f>
        <v/>
      </c>
      <c r="P5550" s="8" t="n"/>
      <c r="Q5550" s="8" t="n"/>
      <c r="R5550" s="8" t="n"/>
      <c r="S5550" s="8" t="n"/>
      <c r="T5550" s="8" t="n"/>
      <c r="U5550" s="8" t="n"/>
      <c r="V5550" s="8" t="n"/>
      <c r="W5550" s="8" t="n"/>
      <c r="X5550" s="8" t="n"/>
      <c r="Y5550" s="8" t="n"/>
    </row>
    <row r="5551">
      <c r="A5551" s="8" t="n"/>
      <c r="B5551" s="8" t="n"/>
      <c r="C5551" s="8" t="n"/>
      <c r="D5551" s="8" t="n"/>
      <c r="E5551" s="8" t="n"/>
      <c r="F5551" s="8" t="n"/>
      <c r="G5551" s="8" t="n"/>
      <c r="H5551" s="8" t="n"/>
      <c r="I5551" s="8" t="n"/>
      <c r="J5551" s="8" t="n"/>
      <c r="K5551" s="8" t="n"/>
      <c r="L5551" s="8" t="n"/>
      <c r="M5551" s="9">
        <f>B5551+30</f>
        <v/>
      </c>
      <c r="N5551">
        <f>IF(L5551="", "", L5551-B5551)</f>
        <v/>
      </c>
      <c r="O5551">
        <f>IF(L5551="", "Pending", IF(N5551&lt;=30, "Met", "Breached"))</f>
        <v/>
      </c>
      <c r="P5551" s="8" t="n"/>
      <c r="Q5551" s="8" t="n"/>
      <c r="R5551" s="8" t="n"/>
      <c r="S5551" s="8" t="n"/>
      <c r="T5551" s="8" t="n"/>
      <c r="U5551" s="8" t="n"/>
      <c r="V5551" s="8" t="n"/>
      <c r="W5551" s="8" t="n"/>
      <c r="X5551" s="8" t="n"/>
      <c r="Y5551" s="8" t="n"/>
    </row>
    <row r="5552">
      <c r="A5552" s="8" t="n"/>
      <c r="B5552" s="8" t="n"/>
      <c r="C5552" s="8" t="n"/>
      <c r="D5552" s="8" t="n"/>
      <c r="E5552" s="8" t="n"/>
      <c r="F5552" s="8" t="n"/>
      <c r="G5552" s="8" t="n"/>
      <c r="H5552" s="8" t="n"/>
      <c r="I5552" s="8" t="n"/>
      <c r="J5552" s="8" t="n"/>
      <c r="K5552" s="8" t="n"/>
      <c r="L5552" s="8" t="n"/>
      <c r="M5552" s="9">
        <f>B5552+30</f>
        <v/>
      </c>
      <c r="N5552">
        <f>IF(L5552="", "", L5552-B5552)</f>
        <v/>
      </c>
      <c r="O5552">
        <f>IF(L5552="", "Pending", IF(N5552&lt;=30, "Met", "Breached"))</f>
        <v/>
      </c>
      <c r="P5552" s="8" t="n"/>
      <c r="Q5552" s="8" t="n"/>
      <c r="R5552" s="8" t="n"/>
      <c r="S5552" s="8" t="n"/>
      <c r="T5552" s="8" t="n"/>
      <c r="U5552" s="8" t="n"/>
      <c r="V5552" s="8" t="n"/>
      <c r="W5552" s="8" t="n"/>
      <c r="X5552" s="8" t="n"/>
      <c r="Y5552" s="8" t="n"/>
    </row>
    <row r="5553">
      <c r="A5553" s="8" t="n"/>
      <c r="B5553" s="8" t="n"/>
      <c r="C5553" s="8" t="n"/>
      <c r="D5553" s="8" t="n"/>
      <c r="E5553" s="8" t="n"/>
      <c r="F5553" s="8" t="n"/>
      <c r="G5553" s="8" t="n"/>
      <c r="H5553" s="8" t="n"/>
      <c r="I5553" s="8" t="n"/>
      <c r="J5553" s="8" t="n"/>
      <c r="K5553" s="8" t="n"/>
      <c r="L5553" s="8" t="n"/>
      <c r="M5553" s="9">
        <f>B5553+30</f>
        <v/>
      </c>
      <c r="N5553">
        <f>IF(L5553="", "", L5553-B5553)</f>
        <v/>
      </c>
      <c r="O5553">
        <f>IF(L5553="", "Pending", IF(N5553&lt;=30, "Met", "Breached"))</f>
        <v/>
      </c>
      <c r="P5553" s="8" t="n"/>
      <c r="Q5553" s="8" t="n"/>
      <c r="R5553" s="8" t="n"/>
      <c r="S5553" s="8" t="n"/>
      <c r="T5553" s="8" t="n"/>
      <c r="U5553" s="8" t="n"/>
      <c r="V5553" s="8" t="n"/>
      <c r="W5553" s="8" t="n"/>
      <c r="X5553" s="8" t="n"/>
      <c r="Y5553" s="8" t="n"/>
    </row>
    <row r="5554">
      <c r="A5554" s="8" t="n"/>
      <c r="B5554" s="8" t="n"/>
      <c r="C5554" s="8" t="n"/>
      <c r="D5554" s="8" t="n"/>
      <c r="E5554" s="8" t="n"/>
      <c r="F5554" s="8" t="n"/>
      <c r="G5554" s="8" t="n"/>
      <c r="H5554" s="8" t="n"/>
      <c r="I5554" s="8" t="n"/>
      <c r="J5554" s="8" t="n"/>
      <c r="K5554" s="8" t="n"/>
      <c r="L5554" s="8" t="n"/>
      <c r="M5554" s="9">
        <f>B5554+30</f>
        <v/>
      </c>
      <c r="N5554">
        <f>IF(L5554="", "", L5554-B5554)</f>
        <v/>
      </c>
      <c r="O5554">
        <f>IF(L5554="", "Pending", IF(N5554&lt;=30, "Met", "Breached"))</f>
        <v/>
      </c>
      <c r="P5554" s="8" t="n"/>
      <c r="Q5554" s="8" t="n"/>
      <c r="R5554" s="8" t="n"/>
      <c r="S5554" s="8" t="n"/>
      <c r="T5554" s="8" t="n"/>
      <c r="U5554" s="8" t="n"/>
      <c r="V5554" s="8" t="n"/>
      <c r="W5554" s="8" t="n"/>
      <c r="X5554" s="8" t="n"/>
      <c r="Y5554" s="8" t="n"/>
    </row>
    <row r="5555">
      <c r="A5555" s="8" t="n"/>
      <c r="B5555" s="8" t="n"/>
      <c r="C5555" s="8" t="n"/>
      <c r="D5555" s="8" t="n"/>
      <c r="E5555" s="8" t="n"/>
      <c r="F5555" s="8" t="n"/>
      <c r="G5555" s="8" t="n"/>
      <c r="H5555" s="8" t="n"/>
      <c r="I5555" s="8" t="n"/>
      <c r="J5555" s="8" t="n"/>
      <c r="K5555" s="8" t="n"/>
      <c r="L5555" s="8" t="n"/>
      <c r="M5555" s="9">
        <f>B5555+30</f>
        <v/>
      </c>
      <c r="N5555">
        <f>IF(L5555="", "", L5555-B5555)</f>
        <v/>
      </c>
      <c r="O5555">
        <f>IF(L5555="", "Pending", IF(N5555&lt;=30, "Met", "Breached"))</f>
        <v/>
      </c>
      <c r="P5555" s="8" t="n"/>
      <c r="Q5555" s="8" t="n"/>
      <c r="R5555" s="8" t="n"/>
      <c r="S5555" s="8" t="n"/>
      <c r="T5555" s="8" t="n"/>
      <c r="U5555" s="8" t="n"/>
      <c r="V5555" s="8" t="n"/>
      <c r="W5555" s="8" t="n"/>
      <c r="X5555" s="8" t="n"/>
      <c r="Y5555" s="8" t="n"/>
    </row>
    <row r="5556">
      <c r="A5556" s="8" t="n"/>
      <c r="B5556" s="8" t="n"/>
      <c r="C5556" s="8" t="n"/>
      <c r="D5556" s="8" t="n"/>
      <c r="E5556" s="8" t="n"/>
      <c r="F5556" s="8" t="n"/>
      <c r="G5556" s="8" t="n"/>
      <c r="H5556" s="8" t="n"/>
      <c r="I5556" s="8" t="n"/>
      <c r="J5556" s="8" t="n"/>
      <c r="K5556" s="8" t="n"/>
      <c r="L5556" s="8" t="n"/>
      <c r="M5556" s="9">
        <f>B5556+30</f>
        <v/>
      </c>
      <c r="N5556">
        <f>IF(L5556="", "", L5556-B5556)</f>
        <v/>
      </c>
      <c r="O5556">
        <f>IF(L5556="", "Pending", IF(N5556&lt;=30, "Met", "Breached"))</f>
        <v/>
      </c>
      <c r="P5556" s="8" t="n"/>
      <c r="Q5556" s="8" t="n"/>
      <c r="R5556" s="8" t="n"/>
      <c r="S5556" s="8" t="n"/>
      <c r="T5556" s="8" t="n"/>
      <c r="U5556" s="8" t="n"/>
      <c r="V5556" s="8" t="n"/>
      <c r="W5556" s="8" t="n"/>
      <c r="X5556" s="8" t="n"/>
      <c r="Y5556" s="8" t="n"/>
    </row>
    <row r="5557">
      <c r="A5557" s="8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8" t="n"/>
      <c r="K5557" s="8" t="n"/>
      <c r="L5557" s="8" t="n"/>
      <c r="M5557" s="9">
        <f>B5557+30</f>
        <v/>
      </c>
      <c r="N5557">
        <f>IF(L5557="", "", L5557-B5557)</f>
        <v/>
      </c>
      <c r="O5557">
        <f>IF(L5557="", "Pending", IF(N5557&lt;=30, "Met", "Breached"))</f>
        <v/>
      </c>
      <c r="P5557" s="8" t="n"/>
      <c r="Q5557" s="8" t="n"/>
      <c r="R5557" s="8" t="n"/>
      <c r="S5557" s="8" t="n"/>
      <c r="T5557" s="8" t="n"/>
      <c r="U5557" s="8" t="n"/>
      <c r="V5557" s="8" t="n"/>
      <c r="W5557" s="8" t="n"/>
      <c r="X5557" s="8" t="n"/>
      <c r="Y5557" s="8" t="n"/>
    </row>
    <row r="5558">
      <c r="A5558" s="8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8" t="n"/>
      <c r="K5558" s="8" t="n"/>
      <c r="L5558" s="8" t="n"/>
      <c r="M5558" s="9">
        <f>B5558+30</f>
        <v/>
      </c>
      <c r="N5558">
        <f>IF(L5558="", "", L5558-B5558)</f>
        <v/>
      </c>
      <c r="O5558">
        <f>IF(L5558="", "Pending", IF(N5558&lt;=30, "Met", "Breached"))</f>
        <v/>
      </c>
      <c r="P5558" s="8" t="n"/>
      <c r="Q5558" s="8" t="n"/>
      <c r="R5558" s="8" t="n"/>
      <c r="S5558" s="8" t="n"/>
      <c r="T5558" s="8" t="n"/>
      <c r="U5558" s="8" t="n"/>
      <c r="V5558" s="8" t="n"/>
      <c r="W5558" s="8" t="n"/>
      <c r="X5558" s="8" t="n"/>
      <c r="Y5558" s="8" t="n"/>
    </row>
    <row r="5559">
      <c r="A5559" s="8" t="n"/>
      <c r="B5559" s="8" t="n"/>
      <c r="C5559" s="8" t="n"/>
      <c r="D5559" s="8" t="n"/>
      <c r="E5559" s="8" t="n"/>
      <c r="F5559" s="8" t="n"/>
      <c r="G5559" s="8" t="n"/>
      <c r="H5559" s="8" t="n"/>
      <c r="I5559" s="8" t="n"/>
      <c r="J5559" s="8" t="n"/>
      <c r="K5559" s="8" t="n"/>
      <c r="L5559" s="8" t="n"/>
      <c r="M5559" s="9">
        <f>B5559+30</f>
        <v/>
      </c>
      <c r="N5559">
        <f>IF(L5559="", "", L5559-B5559)</f>
        <v/>
      </c>
      <c r="O5559">
        <f>IF(L5559="", "Pending", IF(N5559&lt;=30, "Met", "Breached"))</f>
        <v/>
      </c>
      <c r="P5559" s="8" t="n"/>
      <c r="Q5559" s="8" t="n"/>
      <c r="R5559" s="8" t="n"/>
      <c r="S5559" s="8" t="n"/>
      <c r="T5559" s="8" t="n"/>
      <c r="U5559" s="8" t="n"/>
      <c r="V5559" s="8" t="n"/>
      <c r="W5559" s="8" t="n"/>
      <c r="X5559" s="8" t="n"/>
      <c r="Y5559" s="8" t="n"/>
    </row>
    <row r="5560">
      <c r="A5560" s="8" t="n"/>
      <c r="B5560" s="8" t="n"/>
      <c r="C5560" s="8" t="n"/>
      <c r="D5560" s="8" t="n"/>
      <c r="E5560" s="8" t="n"/>
      <c r="F5560" s="8" t="n"/>
      <c r="G5560" s="8" t="n"/>
      <c r="H5560" s="8" t="n"/>
      <c r="I5560" s="8" t="n"/>
      <c r="J5560" s="8" t="n"/>
      <c r="K5560" s="8" t="n"/>
      <c r="L5560" s="8" t="n"/>
      <c r="M5560" s="9">
        <f>B5560+30</f>
        <v/>
      </c>
      <c r="N5560">
        <f>IF(L5560="", "", L5560-B5560)</f>
        <v/>
      </c>
      <c r="O5560">
        <f>IF(L5560="", "Pending", IF(N5560&lt;=30, "Met", "Breached"))</f>
        <v/>
      </c>
      <c r="P5560" s="8" t="n"/>
      <c r="Q5560" s="8" t="n"/>
      <c r="R5560" s="8" t="n"/>
      <c r="S5560" s="8" t="n"/>
      <c r="T5560" s="8" t="n"/>
      <c r="U5560" s="8" t="n"/>
      <c r="V5560" s="8" t="n"/>
      <c r="W5560" s="8" t="n"/>
      <c r="X5560" s="8" t="n"/>
      <c r="Y5560" s="8" t="n"/>
    </row>
    <row r="5561">
      <c r="A5561" s="8" t="n"/>
      <c r="B5561" s="8" t="n"/>
      <c r="C5561" s="8" t="n"/>
      <c r="D5561" s="8" t="n"/>
      <c r="E5561" s="8" t="n"/>
      <c r="F5561" s="8" t="n"/>
      <c r="G5561" s="8" t="n"/>
      <c r="H5561" s="8" t="n"/>
      <c r="I5561" s="8" t="n"/>
      <c r="J5561" s="8" t="n"/>
      <c r="K5561" s="8" t="n"/>
      <c r="L5561" s="8" t="n"/>
      <c r="M5561" s="9">
        <f>B5561+30</f>
        <v/>
      </c>
      <c r="N5561">
        <f>IF(L5561="", "", L5561-B5561)</f>
        <v/>
      </c>
      <c r="O5561">
        <f>IF(L5561="", "Pending", IF(N5561&lt;=30, "Met", "Breached"))</f>
        <v/>
      </c>
      <c r="P5561" s="8" t="n"/>
      <c r="Q5561" s="8" t="n"/>
      <c r="R5561" s="8" t="n"/>
      <c r="S5561" s="8" t="n"/>
      <c r="T5561" s="8" t="n"/>
      <c r="U5561" s="8" t="n"/>
      <c r="V5561" s="8" t="n"/>
      <c r="W5561" s="8" t="n"/>
      <c r="X5561" s="8" t="n"/>
      <c r="Y5561" s="8" t="n"/>
    </row>
    <row r="5562">
      <c r="A5562" s="8" t="n"/>
      <c r="B5562" s="8" t="n"/>
      <c r="C5562" s="8" t="n"/>
      <c r="D5562" s="8" t="n"/>
      <c r="E5562" s="8" t="n"/>
      <c r="F5562" s="8" t="n"/>
      <c r="G5562" s="8" t="n"/>
      <c r="H5562" s="8" t="n"/>
      <c r="I5562" s="8" t="n"/>
      <c r="J5562" s="8" t="n"/>
      <c r="K5562" s="8" t="n"/>
      <c r="L5562" s="8" t="n"/>
      <c r="M5562" s="9">
        <f>B5562+30</f>
        <v/>
      </c>
      <c r="N5562">
        <f>IF(L5562="", "", L5562-B5562)</f>
        <v/>
      </c>
      <c r="O5562">
        <f>IF(L5562="", "Pending", IF(N5562&lt;=30, "Met", "Breached"))</f>
        <v/>
      </c>
      <c r="P5562" s="8" t="n"/>
      <c r="Q5562" s="8" t="n"/>
      <c r="R5562" s="8" t="n"/>
      <c r="S5562" s="8" t="n"/>
      <c r="T5562" s="8" t="n"/>
      <c r="U5562" s="8" t="n"/>
      <c r="V5562" s="8" t="n"/>
      <c r="W5562" s="8" t="n"/>
      <c r="X5562" s="8" t="n"/>
      <c r="Y5562" s="8" t="n"/>
    </row>
    <row r="5563">
      <c r="A5563" s="8" t="n"/>
      <c r="B5563" s="8" t="n"/>
      <c r="C5563" s="8" t="n"/>
      <c r="D5563" s="8" t="n"/>
      <c r="E5563" s="8" t="n"/>
      <c r="F5563" s="8" t="n"/>
      <c r="G5563" s="8" t="n"/>
      <c r="H5563" s="8" t="n"/>
      <c r="I5563" s="8" t="n"/>
      <c r="J5563" s="8" t="n"/>
      <c r="K5563" s="8" t="n"/>
      <c r="L5563" s="8" t="n"/>
      <c r="M5563" s="9">
        <f>B5563+30</f>
        <v/>
      </c>
      <c r="N5563">
        <f>IF(L5563="", "", L5563-B5563)</f>
        <v/>
      </c>
      <c r="O5563">
        <f>IF(L5563="", "Pending", IF(N5563&lt;=30, "Met", "Breached"))</f>
        <v/>
      </c>
      <c r="P5563" s="8" t="n"/>
      <c r="Q5563" s="8" t="n"/>
      <c r="R5563" s="8" t="n"/>
      <c r="S5563" s="8" t="n"/>
      <c r="T5563" s="8" t="n"/>
      <c r="U5563" s="8" t="n"/>
      <c r="V5563" s="8" t="n"/>
      <c r="W5563" s="8" t="n"/>
      <c r="X5563" s="8" t="n"/>
      <c r="Y5563" s="8" t="n"/>
    </row>
    <row r="5564">
      <c r="A5564" s="8" t="n"/>
      <c r="B5564" s="8" t="n"/>
      <c r="C5564" s="8" t="n"/>
      <c r="D5564" s="8" t="n"/>
      <c r="E5564" s="8" t="n"/>
      <c r="F5564" s="8" t="n"/>
      <c r="G5564" s="8" t="n"/>
      <c r="H5564" s="8" t="n"/>
      <c r="I5564" s="8" t="n"/>
      <c r="J5564" s="8" t="n"/>
      <c r="K5564" s="8" t="n"/>
      <c r="L5564" s="8" t="n"/>
      <c r="M5564" s="9">
        <f>B5564+30</f>
        <v/>
      </c>
      <c r="N5564">
        <f>IF(L5564="", "", L5564-B5564)</f>
        <v/>
      </c>
      <c r="O5564">
        <f>IF(L5564="", "Pending", IF(N5564&lt;=30, "Met", "Breached"))</f>
        <v/>
      </c>
      <c r="P5564" s="8" t="n"/>
      <c r="Q5564" s="8" t="n"/>
      <c r="R5564" s="8" t="n"/>
      <c r="S5564" s="8" t="n"/>
      <c r="T5564" s="8" t="n"/>
      <c r="U5564" s="8" t="n"/>
      <c r="V5564" s="8" t="n"/>
      <c r="W5564" s="8" t="n"/>
      <c r="X5564" s="8" t="n"/>
      <c r="Y5564" s="8" t="n"/>
    </row>
    <row r="5565">
      <c r="A5565" s="8" t="n"/>
      <c r="B5565" s="8" t="n"/>
      <c r="C5565" s="8" t="n"/>
      <c r="D5565" s="8" t="n"/>
      <c r="E5565" s="8" t="n"/>
      <c r="F5565" s="8" t="n"/>
      <c r="G5565" s="8" t="n"/>
      <c r="H5565" s="8" t="n"/>
      <c r="I5565" s="8" t="n"/>
      <c r="J5565" s="8" t="n"/>
      <c r="K5565" s="8" t="n"/>
      <c r="L5565" s="8" t="n"/>
      <c r="M5565" s="9">
        <f>B5565+30</f>
        <v/>
      </c>
      <c r="N5565">
        <f>IF(L5565="", "", L5565-B5565)</f>
        <v/>
      </c>
      <c r="O5565">
        <f>IF(L5565="", "Pending", IF(N5565&lt;=30, "Met", "Breached"))</f>
        <v/>
      </c>
      <c r="P5565" s="8" t="n"/>
      <c r="Q5565" s="8" t="n"/>
      <c r="R5565" s="8" t="n"/>
      <c r="S5565" s="8" t="n"/>
      <c r="T5565" s="8" t="n"/>
      <c r="U5565" s="8" t="n"/>
      <c r="V5565" s="8" t="n"/>
      <c r="W5565" s="8" t="n"/>
      <c r="X5565" s="8" t="n"/>
      <c r="Y5565" s="8" t="n"/>
    </row>
    <row r="5566">
      <c r="A5566" s="8" t="n"/>
      <c r="B5566" s="8" t="n"/>
      <c r="C5566" s="8" t="n"/>
      <c r="D5566" s="8" t="n"/>
      <c r="E5566" s="8" t="n"/>
      <c r="F5566" s="8" t="n"/>
      <c r="G5566" s="8" t="n"/>
      <c r="H5566" s="8" t="n"/>
      <c r="I5566" s="8" t="n"/>
      <c r="J5566" s="8" t="n"/>
      <c r="K5566" s="8" t="n"/>
      <c r="L5566" s="8" t="n"/>
      <c r="M5566" s="9">
        <f>B5566+30</f>
        <v/>
      </c>
      <c r="N5566">
        <f>IF(L5566="", "", L5566-B5566)</f>
        <v/>
      </c>
      <c r="O5566">
        <f>IF(L5566="", "Pending", IF(N5566&lt;=30, "Met", "Breached"))</f>
        <v/>
      </c>
      <c r="P5566" s="8" t="n"/>
      <c r="Q5566" s="8" t="n"/>
      <c r="R5566" s="8" t="n"/>
      <c r="S5566" s="8" t="n"/>
      <c r="T5566" s="8" t="n"/>
      <c r="U5566" s="8" t="n"/>
      <c r="V5566" s="8" t="n"/>
      <c r="W5566" s="8" t="n"/>
      <c r="X5566" s="8" t="n"/>
      <c r="Y5566" s="8" t="n"/>
    </row>
    <row r="5567">
      <c r="A5567" s="8" t="n"/>
      <c r="B5567" s="8" t="n"/>
      <c r="C5567" s="8" t="n"/>
      <c r="D5567" s="8" t="n"/>
      <c r="E5567" s="8" t="n"/>
      <c r="F5567" s="8" t="n"/>
      <c r="G5567" s="8" t="n"/>
      <c r="H5567" s="8" t="n"/>
      <c r="I5567" s="8" t="n"/>
      <c r="J5567" s="8" t="n"/>
      <c r="K5567" s="8" t="n"/>
      <c r="L5567" s="8" t="n"/>
      <c r="M5567" s="9">
        <f>B5567+30</f>
        <v/>
      </c>
      <c r="N5567">
        <f>IF(L5567="", "", L5567-B5567)</f>
        <v/>
      </c>
      <c r="O5567">
        <f>IF(L5567="", "Pending", IF(N5567&lt;=30, "Met", "Breached"))</f>
        <v/>
      </c>
      <c r="P5567" s="8" t="n"/>
      <c r="Q5567" s="8" t="n"/>
      <c r="R5567" s="8" t="n"/>
      <c r="S5567" s="8" t="n"/>
      <c r="T5567" s="8" t="n"/>
      <c r="U5567" s="8" t="n"/>
      <c r="V5567" s="8" t="n"/>
      <c r="W5567" s="8" t="n"/>
      <c r="X5567" s="8" t="n"/>
      <c r="Y5567" s="8" t="n"/>
    </row>
    <row r="5568">
      <c r="A5568" s="8" t="n"/>
      <c r="B5568" s="8" t="n"/>
      <c r="C5568" s="8" t="n"/>
      <c r="D5568" s="8" t="n"/>
      <c r="E5568" s="8" t="n"/>
      <c r="F5568" s="8" t="n"/>
      <c r="G5568" s="8" t="n"/>
      <c r="H5568" s="8" t="n"/>
      <c r="I5568" s="8" t="n"/>
      <c r="J5568" s="8" t="n"/>
      <c r="K5568" s="8" t="n"/>
      <c r="L5568" s="8" t="n"/>
      <c r="M5568" s="9">
        <f>B5568+30</f>
        <v/>
      </c>
      <c r="N5568">
        <f>IF(L5568="", "", L5568-B5568)</f>
        <v/>
      </c>
      <c r="O5568">
        <f>IF(L5568="", "Pending", IF(N5568&lt;=30, "Met", "Breached"))</f>
        <v/>
      </c>
      <c r="P5568" s="8" t="n"/>
      <c r="Q5568" s="8" t="n"/>
      <c r="R5568" s="8" t="n"/>
      <c r="S5568" s="8" t="n"/>
      <c r="T5568" s="8" t="n"/>
      <c r="U5568" s="8" t="n"/>
      <c r="V5568" s="8" t="n"/>
      <c r="W5568" s="8" t="n"/>
      <c r="X5568" s="8" t="n"/>
      <c r="Y5568" s="8" t="n"/>
    </row>
    <row r="5569">
      <c r="A5569" s="8" t="n"/>
      <c r="B5569" s="8" t="n"/>
      <c r="C5569" s="8" t="n"/>
      <c r="D5569" s="8" t="n"/>
      <c r="E5569" s="8" t="n"/>
      <c r="F5569" s="8" t="n"/>
      <c r="G5569" s="8" t="n"/>
      <c r="H5569" s="8" t="n"/>
      <c r="I5569" s="8" t="n"/>
      <c r="J5569" s="8" t="n"/>
      <c r="K5569" s="8" t="n"/>
      <c r="L5569" s="8" t="n"/>
      <c r="M5569" s="9">
        <f>B5569+30</f>
        <v/>
      </c>
      <c r="N5569">
        <f>IF(L5569="", "", L5569-B5569)</f>
        <v/>
      </c>
      <c r="O5569">
        <f>IF(L5569="", "Pending", IF(N5569&lt;=30, "Met", "Breached"))</f>
        <v/>
      </c>
      <c r="P5569" s="8" t="n"/>
      <c r="Q5569" s="8" t="n"/>
      <c r="R5569" s="8" t="n"/>
      <c r="S5569" s="8" t="n"/>
      <c r="T5569" s="8" t="n"/>
      <c r="U5569" s="8" t="n"/>
      <c r="V5569" s="8" t="n"/>
      <c r="W5569" s="8" t="n"/>
      <c r="X5569" s="8" t="n"/>
      <c r="Y5569" s="8" t="n"/>
    </row>
    <row r="5570">
      <c r="A5570" s="8" t="n"/>
      <c r="B5570" s="8" t="n"/>
      <c r="C5570" s="8" t="n"/>
      <c r="D5570" s="8" t="n"/>
      <c r="E5570" s="8" t="n"/>
      <c r="F5570" s="8" t="n"/>
      <c r="G5570" s="8" t="n"/>
      <c r="H5570" s="8" t="n"/>
      <c r="I5570" s="8" t="n"/>
      <c r="J5570" s="8" t="n"/>
      <c r="K5570" s="8" t="n"/>
      <c r="L5570" s="8" t="n"/>
      <c r="M5570" s="9">
        <f>B5570+30</f>
        <v/>
      </c>
      <c r="N5570">
        <f>IF(L5570="", "", L5570-B5570)</f>
        <v/>
      </c>
      <c r="O5570">
        <f>IF(L5570="", "Pending", IF(N5570&lt;=30, "Met", "Breached"))</f>
        <v/>
      </c>
      <c r="P5570" s="8" t="n"/>
      <c r="Q5570" s="8" t="n"/>
      <c r="R5570" s="8" t="n"/>
      <c r="S5570" s="8" t="n"/>
      <c r="T5570" s="8" t="n"/>
      <c r="U5570" s="8" t="n"/>
      <c r="V5570" s="8" t="n"/>
      <c r="W5570" s="8" t="n"/>
      <c r="X5570" s="8" t="n"/>
      <c r="Y5570" s="8" t="n"/>
    </row>
    <row r="5571">
      <c r="A5571" s="8" t="n"/>
      <c r="B5571" s="8" t="n"/>
      <c r="C5571" s="8" t="n"/>
      <c r="D5571" s="8" t="n"/>
      <c r="E5571" s="8" t="n"/>
      <c r="F5571" s="8" t="n"/>
      <c r="G5571" s="8" t="n"/>
      <c r="H5571" s="8" t="n"/>
      <c r="I5571" s="8" t="n"/>
      <c r="J5571" s="8" t="n"/>
      <c r="K5571" s="8" t="n"/>
      <c r="L5571" s="8" t="n"/>
      <c r="M5571" s="9">
        <f>B5571+30</f>
        <v/>
      </c>
      <c r="N5571">
        <f>IF(L5571="", "", L5571-B5571)</f>
        <v/>
      </c>
      <c r="O5571">
        <f>IF(L5571="", "Pending", IF(N5571&lt;=30, "Met", "Breached"))</f>
        <v/>
      </c>
      <c r="P5571" s="8" t="n"/>
      <c r="Q5571" s="8" t="n"/>
      <c r="R5571" s="8" t="n"/>
      <c r="S5571" s="8" t="n"/>
      <c r="T5571" s="8" t="n"/>
      <c r="U5571" s="8" t="n"/>
      <c r="V5571" s="8" t="n"/>
      <c r="W5571" s="8" t="n"/>
      <c r="X5571" s="8" t="n"/>
      <c r="Y5571" s="8" t="n"/>
    </row>
    <row r="5572">
      <c r="A5572" s="8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8" t="n"/>
      <c r="K5572" s="8" t="n"/>
      <c r="L5572" s="8" t="n"/>
      <c r="M5572" s="9">
        <f>B5572+30</f>
        <v/>
      </c>
      <c r="N5572">
        <f>IF(L5572="", "", L5572-B5572)</f>
        <v/>
      </c>
      <c r="O5572">
        <f>IF(L5572="", "Pending", IF(N5572&lt;=30, "Met", "Breached"))</f>
        <v/>
      </c>
      <c r="P5572" s="8" t="n"/>
      <c r="Q5572" s="8" t="n"/>
      <c r="R5572" s="8" t="n"/>
      <c r="S5572" s="8" t="n"/>
      <c r="T5572" s="8" t="n"/>
      <c r="U5572" s="8" t="n"/>
      <c r="V5572" s="8" t="n"/>
      <c r="W5572" s="8" t="n"/>
      <c r="X5572" s="8" t="n"/>
      <c r="Y5572" s="8" t="n"/>
    </row>
    <row r="5573">
      <c r="A5573" s="8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8" t="n"/>
      <c r="K5573" s="8" t="n"/>
      <c r="L5573" s="8" t="n"/>
      <c r="M5573" s="9">
        <f>B5573+30</f>
        <v/>
      </c>
      <c r="N5573">
        <f>IF(L5573="", "", L5573-B5573)</f>
        <v/>
      </c>
      <c r="O5573">
        <f>IF(L5573="", "Pending", IF(N5573&lt;=30, "Met", "Breached"))</f>
        <v/>
      </c>
      <c r="P5573" s="8" t="n"/>
      <c r="Q5573" s="8" t="n"/>
      <c r="R5573" s="8" t="n"/>
      <c r="S5573" s="8" t="n"/>
      <c r="T5573" s="8" t="n"/>
      <c r="U5573" s="8" t="n"/>
      <c r="V5573" s="8" t="n"/>
      <c r="W5573" s="8" t="n"/>
      <c r="X5573" s="8" t="n"/>
      <c r="Y5573" s="8" t="n"/>
    </row>
    <row r="5574">
      <c r="A5574" s="8" t="n"/>
      <c r="B5574" s="8" t="n"/>
      <c r="C5574" s="8" t="n"/>
      <c r="D5574" s="8" t="n"/>
      <c r="E5574" s="8" t="n"/>
      <c r="F5574" s="8" t="n"/>
      <c r="G5574" s="8" t="n"/>
      <c r="H5574" s="8" t="n"/>
      <c r="I5574" s="8" t="n"/>
      <c r="J5574" s="8" t="n"/>
      <c r="K5574" s="8" t="n"/>
      <c r="L5574" s="8" t="n"/>
      <c r="M5574" s="9">
        <f>B5574+30</f>
        <v/>
      </c>
      <c r="N5574">
        <f>IF(L5574="", "", L5574-B5574)</f>
        <v/>
      </c>
      <c r="O5574">
        <f>IF(L5574="", "Pending", IF(N5574&lt;=30, "Met", "Breached"))</f>
        <v/>
      </c>
      <c r="P5574" s="8" t="n"/>
      <c r="Q5574" s="8" t="n"/>
      <c r="R5574" s="8" t="n"/>
      <c r="S5574" s="8" t="n"/>
      <c r="T5574" s="8" t="n"/>
      <c r="U5574" s="8" t="n"/>
      <c r="V5574" s="8" t="n"/>
      <c r="W5574" s="8" t="n"/>
      <c r="X5574" s="8" t="n"/>
      <c r="Y5574" s="8" t="n"/>
    </row>
    <row r="5575">
      <c r="A5575" s="8" t="n"/>
      <c r="B5575" s="8" t="n"/>
      <c r="C5575" s="8" t="n"/>
      <c r="D5575" s="8" t="n"/>
      <c r="E5575" s="8" t="n"/>
      <c r="F5575" s="8" t="n"/>
      <c r="G5575" s="8" t="n"/>
      <c r="H5575" s="8" t="n"/>
      <c r="I5575" s="8" t="n"/>
      <c r="J5575" s="8" t="n"/>
      <c r="K5575" s="8" t="n"/>
      <c r="L5575" s="8" t="n"/>
      <c r="M5575" s="9">
        <f>B5575+30</f>
        <v/>
      </c>
      <c r="N5575">
        <f>IF(L5575="", "", L5575-B5575)</f>
        <v/>
      </c>
      <c r="O5575">
        <f>IF(L5575="", "Pending", IF(N5575&lt;=30, "Met", "Breached"))</f>
        <v/>
      </c>
      <c r="P5575" s="8" t="n"/>
      <c r="Q5575" s="8" t="n"/>
      <c r="R5575" s="8" t="n"/>
      <c r="S5575" s="8" t="n"/>
      <c r="T5575" s="8" t="n"/>
      <c r="U5575" s="8" t="n"/>
      <c r="V5575" s="8" t="n"/>
      <c r="W5575" s="8" t="n"/>
      <c r="X5575" s="8" t="n"/>
      <c r="Y5575" s="8" t="n"/>
    </row>
    <row r="5576">
      <c r="A5576" s="8" t="n"/>
      <c r="B5576" s="8" t="n"/>
      <c r="C5576" s="8" t="n"/>
      <c r="D5576" s="8" t="n"/>
      <c r="E5576" s="8" t="n"/>
      <c r="F5576" s="8" t="n"/>
      <c r="G5576" s="8" t="n"/>
      <c r="H5576" s="8" t="n"/>
      <c r="I5576" s="8" t="n"/>
      <c r="J5576" s="8" t="n"/>
      <c r="K5576" s="8" t="n"/>
      <c r="L5576" s="8" t="n"/>
      <c r="M5576" s="9">
        <f>B5576+30</f>
        <v/>
      </c>
      <c r="N5576">
        <f>IF(L5576="", "", L5576-B5576)</f>
        <v/>
      </c>
      <c r="O5576">
        <f>IF(L5576="", "Pending", IF(N5576&lt;=30, "Met", "Breached"))</f>
        <v/>
      </c>
      <c r="P5576" s="8" t="n"/>
      <c r="Q5576" s="8" t="n"/>
      <c r="R5576" s="8" t="n"/>
      <c r="S5576" s="8" t="n"/>
      <c r="T5576" s="8" t="n"/>
      <c r="U5576" s="8" t="n"/>
      <c r="V5576" s="8" t="n"/>
      <c r="W5576" s="8" t="n"/>
      <c r="X5576" s="8" t="n"/>
      <c r="Y5576" s="8" t="n"/>
    </row>
    <row r="5577">
      <c r="A5577" s="8" t="n"/>
      <c r="B5577" s="8" t="n"/>
      <c r="C5577" s="8" t="n"/>
      <c r="D5577" s="8" t="n"/>
      <c r="E5577" s="8" t="n"/>
      <c r="F5577" s="8" t="n"/>
      <c r="G5577" s="8" t="n"/>
      <c r="H5577" s="8" t="n"/>
      <c r="I5577" s="8" t="n"/>
      <c r="J5577" s="8" t="n"/>
      <c r="K5577" s="8" t="n"/>
      <c r="L5577" s="8" t="n"/>
      <c r="M5577" s="9">
        <f>B5577+30</f>
        <v/>
      </c>
      <c r="N5577">
        <f>IF(L5577="", "", L5577-B5577)</f>
        <v/>
      </c>
      <c r="O5577">
        <f>IF(L5577="", "Pending", IF(N5577&lt;=30, "Met", "Breached"))</f>
        <v/>
      </c>
      <c r="P5577" s="8" t="n"/>
      <c r="Q5577" s="8" t="n"/>
      <c r="R5577" s="8" t="n"/>
      <c r="S5577" s="8" t="n"/>
      <c r="T5577" s="8" t="n"/>
      <c r="U5577" s="8" t="n"/>
      <c r="V5577" s="8" t="n"/>
      <c r="W5577" s="8" t="n"/>
      <c r="X5577" s="8" t="n"/>
      <c r="Y5577" s="8" t="n"/>
    </row>
    <row r="5578">
      <c r="A5578" s="8" t="n"/>
      <c r="B5578" s="8" t="n"/>
      <c r="C5578" s="8" t="n"/>
      <c r="D5578" s="8" t="n"/>
      <c r="E5578" s="8" t="n"/>
      <c r="F5578" s="8" t="n"/>
      <c r="G5578" s="8" t="n"/>
      <c r="H5578" s="8" t="n"/>
      <c r="I5578" s="8" t="n"/>
      <c r="J5578" s="8" t="n"/>
      <c r="K5578" s="8" t="n"/>
      <c r="L5578" s="8" t="n"/>
      <c r="M5578" s="9">
        <f>B5578+30</f>
        <v/>
      </c>
      <c r="N5578">
        <f>IF(L5578="", "", L5578-B5578)</f>
        <v/>
      </c>
      <c r="O5578">
        <f>IF(L5578="", "Pending", IF(N5578&lt;=30, "Met", "Breached"))</f>
        <v/>
      </c>
      <c r="P5578" s="8" t="n"/>
      <c r="Q5578" s="8" t="n"/>
      <c r="R5578" s="8" t="n"/>
      <c r="S5578" s="8" t="n"/>
      <c r="T5578" s="8" t="n"/>
      <c r="U5578" s="8" t="n"/>
      <c r="V5578" s="8" t="n"/>
      <c r="W5578" s="8" t="n"/>
      <c r="X5578" s="8" t="n"/>
      <c r="Y5578" s="8" t="n"/>
    </row>
    <row r="5579">
      <c r="A5579" s="8" t="n"/>
      <c r="B5579" s="8" t="n"/>
      <c r="C5579" s="8" t="n"/>
      <c r="D5579" s="8" t="n"/>
      <c r="E5579" s="8" t="n"/>
      <c r="F5579" s="8" t="n"/>
      <c r="G5579" s="8" t="n"/>
      <c r="H5579" s="8" t="n"/>
      <c r="I5579" s="8" t="n"/>
      <c r="J5579" s="8" t="n"/>
      <c r="K5579" s="8" t="n"/>
      <c r="L5579" s="8" t="n"/>
      <c r="M5579" s="9">
        <f>B5579+30</f>
        <v/>
      </c>
      <c r="N5579">
        <f>IF(L5579="", "", L5579-B5579)</f>
        <v/>
      </c>
      <c r="O5579">
        <f>IF(L5579="", "Pending", IF(N5579&lt;=30, "Met", "Breached"))</f>
        <v/>
      </c>
      <c r="P5579" s="8" t="n"/>
      <c r="Q5579" s="8" t="n"/>
      <c r="R5579" s="8" t="n"/>
      <c r="S5579" s="8" t="n"/>
      <c r="T5579" s="8" t="n"/>
      <c r="U5579" s="8" t="n"/>
      <c r="V5579" s="8" t="n"/>
      <c r="W5579" s="8" t="n"/>
      <c r="X5579" s="8" t="n"/>
      <c r="Y5579" s="8" t="n"/>
    </row>
    <row r="5580">
      <c r="A5580" s="8" t="n"/>
      <c r="B5580" s="8" t="n"/>
      <c r="C5580" s="8" t="n"/>
      <c r="D5580" s="8" t="n"/>
      <c r="E5580" s="8" t="n"/>
      <c r="F5580" s="8" t="n"/>
      <c r="G5580" s="8" t="n"/>
      <c r="H5580" s="8" t="n"/>
      <c r="I5580" s="8" t="n"/>
      <c r="J5580" s="8" t="n"/>
      <c r="K5580" s="8" t="n"/>
      <c r="L5580" s="8" t="n"/>
      <c r="M5580" s="9">
        <f>B5580+30</f>
        <v/>
      </c>
      <c r="N5580">
        <f>IF(L5580="", "", L5580-B5580)</f>
        <v/>
      </c>
      <c r="O5580">
        <f>IF(L5580="", "Pending", IF(N5580&lt;=30, "Met", "Breached"))</f>
        <v/>
      </c>
      <c r="P5580" s="8" t="n"/>
      <c r="Q5580" s="8" t="n"/>
      <c r="R5580" s="8" t="n"/>
      <c r="S5580" s="8" t="n"/>
      <c r="T5580" s="8" t="n"/>
      <c r="U5580" s="8" t="n"/>
      <c r="V5580" s="8" t="n"/>
      <c r="W5580" s="8" t="n"/>
      <c r="X5580" s="8" t="n"/>
      <c r="Y5580" s="8" t="n"/>
    </row>
    <row r="5581">
      <c r="A5581" s="8" t="n"/>
      <c r="B5581" s="8" t="n"/>
      <c r="C5581" s="8" t="n"/>
      <c r="D5581" s="8" t="n"/>
      <c r="E5581" s="8" t="n"/>
      <c r="F5581" s="8" t="n"/>
      <c r="G5581" s="8" t="n"/>
      <c r="H5581" s="8" t="n"/>
      <c r="I5581" s="8" t="n"/>
      <c r="J5581" s="8" t="n"/>
      <c r="K5581" s="8" t="n"/>
      <c r="L5581" s="8" t="n"/>
      <c r="M5581" s="9">
        <f>B5581+30</f>
        <v/>
      </c>
      <c r="N5581">
        <f>IF(L5581="", "", L5581-B5581)</f>
        <v/>
      </c>
      <c r="O5581">
        <f>IF(L5581="", "Pending", IF(N5581&lt;=30, "Met", "Breached"))</f>
        <v/>
      </c>
      <c r="P5581" s="8" t="n"/>
      <c r="Q5581" s="8" t="n"/>
      <c r="R5581" s="8" t="n"/>
      <c r="S5581" s="8" t="n"/>
      <c r="T5581" s="8" t="n"/>
      <c r="U5581" s="8" t="n"/>
      <c r="V5581" s="8" t="n"/>
      <c r="W5581" s="8" t="n"/>
      <c r="X5581" s="8" t="n"/>
      <c r="Y5581" s="8" t="n"/>
    </row>
    <row r="5582">
      <c r="A5582" s="8" t="n"/>
      <c r="B5582" s="8" t="n"/>
      <c r="C5582" s="8" t="n"/>
      <c r="D5582" s="8" t="n"/>
      <c r="E5582" s="8" t="n"/>
      <c r="F5582" s="8" t="n"/>
      <c r="G5582" s="8" t="n"/>
      <c r="H5582" s="8" t="n"/>
      <c r="I5582" s="8" t="n"/>
      <c r="J5582" s="8" t="n"/>
      <c r="K5582" s="8" t="n"/>
      <c r="L5582" s="8" t="n"/>
      <c r="M5582" s="9">
        <f>B5582+30</f>
        <v/>
      </c>
      <c r="N5582">
        <f>IF(L5582="", "", L5582-B5582)</f>
        <v/>
      </c>
      <c r="O5582">
        <f>IF(L5582="", "Pending", IF(N5582&lt;=30, "Met", "Breached"))</f>
        <v/>
      </c>
      <c r="P5582" s="8" t="n"/>
      <c r="Q5582" s="8" t="n"/>
      <c r="R5582" s="8" t="n"/>
      <c r="S5582" s="8" t="n"/>
      <c r="T5582" s="8" t="n"/>
      <c r="U5582" s="8" t="n"/>
      <c r="V5582" s="8" t="n"/>
      <c r="W5582" s="8" t="n"/>
      <c r="X5582" s="8" t="n"/>
      <c r="Y5582" s="8" t="n"/>
    </row>
    <row r="5583">
      <c r="A5583" s="8" t="n"/>
      <c r="B5583" s="8" t="n"/>
      <c r="C5583" s="8" t="n"/>
      <c r="D5583" s="8" t="n"/>
      <c r="E5583" s="8" t="n"/>
      <c r="F5583" s="8" t="n"/>
      <c r="G5583" s="8" t="n"/>
      <c r="H5583" s="8" t="n"/>
      <c r="I5583" s="8" t="n"/>
      <c r="J5583" s="8" t="n"/>
      <c r="K5583" s="8" t="n"/>
      <c r="L5583" s="8" t="n"/>
      <c r="M5583" s="9">
        <f>B5583+30</f>
        <v/>
      </c>
      <c r="N5583">
        <f>IF(L5583="", "", L5583-B5583)</f>
        <v/>
      </c>
      <c r="O5583">
        <f>IF(L5583="", "Pending", IF(N5583&lt;=30, "Met", "Breached"))</f>
        <v/>
      </c>
      <c r="P5583" s="8" t="n"/>
      <c r="Q5583" s="8" t="n"/>
      <c r="R5583" s="8" t="n"/>
      <c r="S5583" s="8" t="n"/>
      <c r="T5583" s="8" t="n"/>
      <c r="U5583" s="8" t="n"/>
      <c r="V5583" s="8" t="n"/>
      <c r="W5583" s="8" t="n"/>
      <c r="X5583" s="8" t="n"/>
      <c r="Y5583" s="8" t="n"/>
    </row>
    <row r="5584">
      <c r="A5584" s="8" t="n"/>
      <c r="B5584" s="8" t="n"/>
      <c r="C5584" s="8" t="n"/>
      <c r="D5584" s="8" t="n"/>
      <c r="E5584" s="8" t="n"/>
      <c r="F5584" s="8" t="n"/>
      <c r="G5584" s="8" t="n"/>
      <c r="H5584" s="8" t="n"/>
      <c r="I5584" s="8" t="n"/>
      <c r="J5584" s="8" t="n"/>
      <c r="K5584" s="8" t="n"/>
      <c r="L5584" s="8" t="n"/>
      <c r="M5584" s="9">
        <f>B5584+30</f>
        <v/>
      </c>
      <c r="N5584">
        <f>IF(L5584="", "", L5584-B5584)</f>
        <v/>
      </c>
      <c r="O5584">
        <f>IF(L5584="", "Pending", IF(N5584&lt;=30, "Met", "Breached"))</f>
        <v/>
      </c>
      <c r="P5584" s="8" t="n"/>
      <c r="Q5584" s="8" t="n"/>
      <c r="R5584" s="8" t="n"/>
      <c r="S5584" s="8" t="n"/>
      <c r="T5584" s="8" t="n"/>
      <c r="U5584" s="8" t="n"/>
      <c r="V5584" s="8" t="n"/>
      <c r="W5584" s="8" t="n"/>
      <c r="X5584" s="8" t="n"/>
      <c r="Y5584" s="8" t="n"/>
    </row>
    <row r="5585">
      <c r="A5585" s="8" t="n"/>
      <c r="B5585" s="8" t="n"/>
      <c r="C5585" s="8" t="n"/>
      <c r="D5585" s="8" t="n"/>
      <c r="E5585" s="8" t="n"/>
      <c r="F5585" s="8" t="n"/>
      <c r="G5585" s="8" t="n"/>
      <c r="H5585" s="8" t="n"/>
      <c r="I5585" s="8" t="n"/>
      <c r="J5585" s="8" t="n"/>
      <c r="K5585" s="8" t="n"/>
      <c r="L5585" s="8" t="n"/>
      <c r="M5585" s="9">
        <f>B5585+30</f>
        <v/>
      </c>
      <c r="N5585">
        <f>IF(L5585="", "", L5585-B5585)</f>
        <v/>
      </c>
      <c r="O5585">
        <f>IF(L5585="", "Pending", IF(N5585&lt;=30, "Met", "Breached"))</f>
        <v/>
      </c>
      <c r="P5585" s="8" t="n"/>
      <c r="Q5585" s="8" t="n"/>
      <c r="R5585" s="8" t="n"/>
      <c r="S5585" s="8" t="n"/>
      <c r="T5585" s="8" t="n"/>
      <c r="U5585" s="8" t="n"/>
      <c r="V5585" s="8" t="n"/>
      <c r="W5585" s="8" t="n"/>
      <c r="X5585" s="8" t="n"/>
      <c r="Y5585" s="8" t="n"/>
    </row>
    <row r="5586">
      <c r="A5586" s="8" t="n"/>
      <c r="B5586" s="8" t="n"/>
      <c r="C5586" s="8" t="n"/>
      <c r="D5586" s="8" t="n"/>
      <c r="E5586" s="8" t="n"/>
      <c r="F5586" s="8" t="n"/>
      <c r="G5586" s="8" t="n"/>
      <c r="H5586" s="8" t="n"/>
      <c r="I5586" s="8" t="n"/>
      <c r="J5586" s="8" t="n"/>
      <c r="K5586" s="8" t="n"/>
      <c r="L5586" s="8" t="n"/>
      <c r="M5586" s="9">
        <f>B5586+30</f>
        <v/>
      </c>
      <c r="N5586">
        <f>IF(L5586="", "", L5586-B5586)</f>
        <v/>
      </c>
      <c r="O5586">
        <f>IF(L5586="", "Pending", IF(N5586&lt;=30, "Met", "Breached"))</f>
        <v/>
      </c>
      <c r="P5586" s="8" t="n"/>
      <c r="Q5586" s="8" t="n"/>
      <c r="R5586" s="8" t="n"/>
      <c r="S5586" s="8" t="n"/>
      <c r="T5586" s="8" t="n"/>
      <c r="U5586" s="8" t="n"/>
      <c r="V5586" s="8" t="n"/>
      <c r="W5586" s="8" t="n"/>
      <c r="X5586" s="8" t="n"/>
      <c r="Y5586" s="8" t="n"/>
    </row>
    <row r="5587">
      <c r="A5587" s="8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8" t="n"/>
      <c r="K5587" s="8" t="n"/>
      <c r="L5587" s="8" t="n"/>
      <c r="M5587" s="9">
        <f>B5587+30</f>
        <v/>
      </c>
      <c r="N5587">
        <f>IF(L5587="", "", L5587-B5587)</f>
        <v/>
      </c>
      <c r="O5587">
        <f>IF(L5587="", "Pending", IF(N5587&lt;=30, "Met", "Breached"))</f>
        <v/>
      </c>
      <c r="P5587" s="8" t="n"/>
      <c r="Q5587" s="8" t="n"/>
      <c r="R5587" s="8" t="n"/>
      <c r="S5587" s="8" t="n"/>
      <c r="T5587" s="8" t="n"/>
      <c r="U5587" s="8" t="n"/>
      <c r="V5587" s="8" t="n"/>
      <c r="W5587" s="8" t="n"/>
      <c r="X5587" s="8" t="n"/>
      <c r="Y5587" s="8" t="n"/>
    </row>
    <row r="5588">
      <c r="A5588" s="8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8" t="n"/>
      <c r="K5588" s="8" t="n"/>
      <c r="L5588" s="8" t="n"/>
      <c r="M5588" s="9">
        <f>B5588+30</f>
        <v/>
      </c>
      <c r="N5588">
        <f>IF(L5588="", "", L5588-B5588)</f>
        <v/>
      </c>
      <c r="O5588">
        <f>IF(L5588="", "Pending", IF(N5588&lt;=30, "Met", "Breached"))</f>
        <v/>
      </c>
      <c r="P5588" s="8" t="n"/>
      <c r="Q5588" s="8" t="n"/>
      <c r="R5588" s="8" t="n"/>
      <c r="S5588" s="8" t="n"/>
      <c r="T5588" s="8" t="n"/>
      <c r="U5588" s="8" t="n"/>
      <c r="V5588" s="8" t="n"/>
      <c r="W5588" s="8" t="n"/>
      <c r="X5588" s="8" t="n"/>
      <c r="Y5588" s="8" t="n"/>
    </row>
    <row r="5589">
      <c r="A5589" s="8" t="n"/>
      <c r="B5589" s="8" t="n"/>
      <c r="C5589" s="8" t="n"/>
      <c r="D5589" s="8" t="n"/>
      <c r="E5589" s="8" t="n"/>
      <c r="F5589" s="8" t="n"/>
      <c r="G5589" s="8" t="n"/>
      <c r="H5589" s="8" t="n"/>
      <c r="I5589" s="8" t="n"/>
      <c r="J5589" s="8" t="n"/>
      <c r="K5589" s="8" t="n"/>
      <c r="L5589" s="8" t="n"/>
      <c r="M5589" s="9">
        <f>B5589+30</f>
        <v/>
      </c>
      <c r="N5589">
        <f>IF(L5589="", "", L5589-B5589)</f>
        <v/>
      </c>
      <c r="O5589">
        <f>IF(L5589="", "Pending", IF(N5589&lt;=30, "Met", "Breached"))</f>
        <v/>
      </c>
      <c r="P5589" s="8" t="n"/>
      <c r="Q5589" s="8" t="n"/>
      <c r="R5589" s="8" t="n"/>
      <c r="S5589" s="8" t="n"/>
      <c r="T5589" s="8" t="n"/>
      <c r="U5589" s="8" t="n"/>
      <c r="V5589" s="8" t="n"/>
      <c r="W5589" s="8" t="n"/>
      <c r="X5589" s="8" t="n"/>
      <c r="Y5589" s="8" t="n"/>
    </row>
    <row r="5590">
      <c r="A5590" s="8" t="n"/>
      <c r="B5590" s="8" t="n"/>
      <c r="C5590" s="8" t="n"/>
      <c r="D5590" s="8" t="n"/>
      <c r="E5590" s="8" t="n"/>
      <c r="F5590" s="8" t="n"/>
      <c r="G5590" s="8" t="n"/>
      <c r="H5590" s="8" t="n"/>
      <c r="I5590" s="8" t="n"/>
      <c r="J5590" s="8" t="n"/>
      <c r="K5590" s="8" t="n"/>
      <c r="L5590" s="8" t="n"/>
      <c r="M5590" s="9">
        <f>B5590+30</f>
        <v/>
      </c>
      <c r="N5590">
        <f>IF(L5590="", "", L5590-B5590)</f>
        <v/>
      </c>
      <c r="O5590">
        <f>IF(L5590="", "Pending", IF(N5590&lt;=30, "Met", "Breached"))</f>
        <v/>
      </c>
      <c r="P5590" s="8" t="n"/>
      <c r="Q5590" s="8" t="n"/>
      <c r="R5590" s="8" t="n"/>
      <c r="S5590" s="8" t="n"/>
      <c r="T5590" s="8" t="n"/>
      <c r="U5590" s="8" t="n"/>
      <c r="V5590" s="8" t="n"/>
      <c r="W5590" s="8" t="n"/>
      <c r="X5590" s="8" t="n"/>
      <c r="Y5590" s="8" t="n"/>
    </row>
    <row r="5591">
      <c r="A5591" s="8" t="n"/>
      <c r="B5591" s="8" t="n"/>
      <c r="C5591" s="8" t="n"/>
      <c r="D5591" s="8" t="n"/>
      <c r="E5591" s="8" t="n"/>
      <c r="F5591" s="8" t="n"/>
      <c r="G5591" s="8" t="n"/>
      <c r="H5591" s="8" t="n"/>
      <c r="I5591" s="8" t="n"/>
      <c r="J5591" s="8" t="n"/>
      <c r="K5591" s="8" t="n"/>
      <c r="L5591" s="8" t="n"/>
      <c r="M5591" s="9">
        <f>B5591+30</f>
        <v/>
      </c>
      <c r="N5591">
        <f>IF(L5591="", "", L5591-B5591)</f>
        <v/>
      </c>
      <c r="O5591">
        <f>IF(L5591="", "Pending", IF(N5591&lt;=30, "Met", "Breached"))</f>
        <v/>
      </c>
      <c r="P5591" s="8" t="n"/>
      <c r="Q5591" s="8" t="n"/>
      <c r="R5591" s="8" t="n"/>
      <c r="S5591" s="8" t="n"/>
      <c r="T5591" s="8" t="n"/>
      <c r="U5591" s="8" t="n"/>
      <c r="V5591" s="8" t="n"/>
      <c r="W5591" s="8" t="n"/>
      <c r="X5591" s="8" t="n"/>
      <c r="Y5591" s="8" t="n"/>
    </row>
    <row r="5592">
      <c r="A5592" s="8" t="n"/>
      <c r="B5592" s="8" t="n"/>
      <c r="C5592" s="8" t="n"/>
      <c r="D5592" s="8" t="n"/>
      <c r="E5592" s="8" t="n"/>
      <c r="F5592" s="8" t="n"/>
      <c r="G5592" s="8" t="n"/>
      <c r="H5592" s="8" t="n"/>
      <c r="I5592" s="8" t="n"/>
      <c r="J5592" s="8" t="n"/>
      <c r="K5592" s="8" t="n"/>
      <c r="L5592" s="8" t="n"/>
      <c r="M5592" s="9">
        <f>B5592+30</f>
        <v/>
      </c>
      <c r="N5592">
        <f>IF(L5592="", "", L5592-B5592)</f>
        <v/>
      </c>
      <c r="O5592">
        <f>IF(L5592="", "Pending", IF(N5592&lt;=30, "Met", "Breached"))</f>
        <v/>
      </c>
      <c r="P5592" s="8" t="n"/>
      <c r="Q5592" s="8" t="n"/>
      <c r="R5592" s="8" t="n"/>
      <c r="S5592" s="8" t="n"/>
      <c r="T5592" s="8" t="n"/>
      <c r="U5592" s="8" t="n"/>
      <c r="V5592" s="8" t="n"/>
      <c r="W5592" s="8" t="n"/>
      <c r="X5592" s="8" t="n"/>
      <c r="Y5592" s="8" t="n"/>
    </row>
    <row r="5593">
      <c r="A5593" s="8" t="n"/>
      <c r="B5593" s="8" t="n"/>
      <c r="C5593" s="8" t="n"/>
      <c r="D5593" s="8" t="n"/>
      <c r="E5593" s="8" t="n"/>
      <c r="F5593" s="8" t="n"/>
      <c r="G5593" s="8" t="n"/>
      <c r="H5593" s="8" t="n"/>
      <c r="I5593" s="8" t="n"/>
      <c r="J5593" s="8" t="n"/>
      <c r="K5593" s="8" t="n"/>
      <c r="L5593" s="8" t="n"/>
      <c r="M5593" s="9">
        <f>B5593+30</f>
        <v/>
      </c>
      <c r="N5593">
        <f>IF(L5593="", "", L5593-B5593)</f>
        <v/>
      </c>
      <c r="O5593">
        <f>IF(L5593="", "Pending", IF(N5593&lt;=30, "Met", "Breached"))</f>
        <v/>
      </c>
      <c r="P5593" s="8" t="n"/>
      <c r="Q5593" s="8" t="n"/>
      <c r="R5593" s="8" t="n"/>
      <c r="S5593" s="8" t="n"/>
      <c r="T5593" s="8" t="n"/>
      <c r="U5593" s="8" t="n"/>
      <c r="V5593" s="8" t="n"/>
      <c r="W5593" s="8" t="n"/>
      <c r="X5593" s="8" t="n"/>
      <c r="Y5593" s="8" t="n"/>
    </row>
    <row r="5594">
      <c r="A5594" s="8" t="n"/>
      <c r="B5594" s="8" t="n"/>
      <c r="C5594" s="8" t="n"/>
      <c r="D5594" s="8" t="n"/>
      <c r="E5594" s="8" t="n"/>
      <c r="F5594" s="8" t="n"/>
      <c r="G5594" s="8" t="n"/>
      <c r="H5594" s="8" t="n"/>
      <c r="I5594" s="8" t="n"/>
      <c r="J5594" s="8" t="n"/>
      <c r="K5594" s="8" t="n"/>
      <c r="L5594" s="8" t="n"/>
      <c r="M5594" s="9">
        <f>B5594+30</f>
        <v/>
      </c>
      <c r="N5594">
        <f>IF(L5594="", "", L5594-B5594)</f>
        <v/>
      </c>
      <c r="O5594">
        <f>IF(L5594="", "Pending", IF(N5594&lt;=30, "Met", "Breached"))</f>
        <v/>
      </c>
      <c r="P5594" s="8" t="n"/>
      <c r="Q5594" s="8" t="n"/>
      <c r="R5594" s="8" t="n"/>
      <c r="S5594" s="8" t="n"/>
      <c r="T5594" s="8" t="n"/>
      <c r="U5594" s="8" t="n"/>
      <c r="V5594" s="8" t="n"/>
      <c r="W5594" s="8" t="n"/>
      <c r="X5594" s="8" t="n"/>
      <c r="Y5594" s="8" t="n"/>
    </row>
    <row r="5595">
      <c r="A5595" s="8" t="n"/>
      <c r="B5595" s="8" t="n"/>
      <c r="C5595" s="8" t="n"/>
      <c r="D5595" s="8" t="n"/>
      <c r="E5595" s="8" t="n"/>
      <c r="F5595" s="8" t="n"/>
      <c r="G5595" s="8" t="n"/>
      <c r="H5595" s="8" t="n"/>
      <c r="I5595" s="8" t="n"/>
      <c r="J5595" s="8" t="n"/>
      <c r="K5595" s="8" t="n"/>
      <c r="L5595" s="8" t="n"/>
      <c r="M5595" s="9">
        <f>B5595+30</f>
        <v/>
      </c>
      <c r="N5595">
        <f>IF(L5595="", "", L5595-B5595)</f>
        <v/>
      </c>
      <c r="O5595">
        <f>IF(L5595="", "Pending", IF(N5595&lt;=30, "Met", "Breached"))</f>
        <v/>
      </c>
      <c r="P5595" s="8" t="n"/>
      <c r="Q5595" s="8" t="n"/>
      <c r="R5595" s="8" t="n"/>
      <c r="S5595" s="8" t="n"/>
      <c r="T5595" s="8" t="n"/>
      <c r="U5595" s="8" t="n"/>
      <c r="V5595" s="8" t="n"/>
      <c r="W5595" s="8" t="n"/>
      <c r="X5595" s="8" t="n"/>
      <c r="Y5595" s="8" t="n"/>
    </row>
    <row r="5596">
      <c r="A5596" s="8" t="n"/>
      <c r="B5596" s="8" t="n"/>
      <c r="C5596" s="8" t="n"/>
      <c r="D5596" s="8" t="n"/>
      <c r="E5596" s="8" t="n"/>
      <c r="F5596" s="8" t="n"/>
      <c r="G5596" s="8" t="n"/>
      <c r="H5596" s="8" t="n"/>
      <c r="I5596" s="8" t="n"/>
      <c r="J5596" s="8" t="n"/>
      <c r="K5596" s="8" t="n"/>
      <c r="L5596" s="8" t="n"/>
      <c r="M5596" s="9">
        <f>B5596+30</f>
        <v/>
      </c>
      <c r="N5596">
        <f>IF(L5596="", "", L5596-B5596)</f>
        <v/>
      </c>
      <c r="O5596">
        <f>IF(L5596="", "Pending", IF(N5596&lt;=30, "Met", "Breached"))</f>
        <v/>
      </c>
      <c r="P5596" s="8" t="n"/>
      <c r="Q5596" s="8" t="n"/>
      <c r="R5596" s="8" t="n"/>
      <c r="S5596" s="8" t="n"/>
      <c r="T5596" s="8" t="n"/>
      <c r="U5596" s="8" t="n"/>
      <c r="V5596" s="8" t="n"/>
      <c r="W5596" s="8" t="n"/>
      <c r="X5596" s="8" t="n"/>
      <c r="Y5596" s="8" t="n"/>
    </row>
    <row r="5597">
      <c r="A5597" s="8" t="n"/>
      <c r="B5597" s="8" t="n"/>
      <c r="C5597" s="8" t="n"/>
      <c r="D5597" s="8" t="n"/>
      <c r="E5597" s="8" t="n"/>
      <c r="F5597" s="8" t="n"/>
      <c r="G5597" s="8" t="n"/>
      <c r="H5597" s="8" t="n"/>
      <c r="I5597" s="8" t="n"/>
      <c r="J5597" s="8" t="n"/>
      <c r="K5597" s="8" t="n"/>
      <c r="L5597" s="8" t="n"/>
      <c r="M5597" s="9">
        <f>B5597+30</f>
        <v/>
      </c>
      <c r="N5597">
        <f>IF(L5597="", "", L5597-B5597)</f>
        <v/>
      </c>
      <c r="O5597">
        <f>IF(L5597="", "Pending", IF(N5597&lt;=30, "Met", "Breached"))</f>
        <v/>
      </c>
      <c r="P5597" s="8" t="n"/>
      <c r="Q5597" s="8" t="n"/>
      <c r="R5597" s="8" t="n"/>
      <c r="S5597" s="8" t="n"/>
      <c r="T5597" s="8" t="n"/>
      <c r="U5597" s="8" t="n"/>
      <c r="V5597" s="8" t="n"/>
      <c r="W5597" s="8" t="n"/>
      <c r="X5597" s="8" t="n"/>
      <c r="Y5597" s="8" t="n"/>
    </row>
    <row r="5598">
      <c r="A5598" s="8" t="n"/>
      <c r="B5598" s="8" t="n"/>
      <c r="C5598" s="8" t="n"/>
      <c r="D5598" s="8" t="n"/>
      <c r="E5598" s="8" t="n"/>
      <c r="F5598" s="8" t="n"/>
      <c r="G5598" s="8" t="n"/>
      <c r="H5598" s="8" t="n"/>
      <c r="I5598" s="8" t="n"/>
      <c r="J5598" s="8" t="n"/>
      <c r="K5598" s="8" t="n"/>
      <c r="L5598" s="8" t="n"/>
      <c r="M5598" s="9">
        <f>B5598+30</f>
        <v/>
      </c>
      <c r="N5598">
        <f>IF(L5598="", "", L5598-B5598)</f>
        <v/>
      </c>
      <c r="O5598">
        <f>IF(L5598="", "Pending", IF(N5598&lt;=30, "Met", "Breached"))</f>
        <v/>
      </c>
      <c r="P5598" s="8" t="n"/>
      <c r="Q5598" s="8" t="n"/>
      <c r="R5598" s="8" t="n"/>
      <c r="S5598" s="8" t="n"/>
      <c r="T5598" s="8" t="n"/>
      <c r="U5598" s="8" t="n"/>
      <c r="V5598" s="8" t="n"/>
      <c r="W5598" s="8" t="n"/>
      <c r="X5598" s="8" t="n"/>
      <c r="Y5598" s="8" t="n"/>
    </row>
    <row r="5599">
      <c r="A5599" s="8" t="n"/>
      <c r="B5599" s="8" t="n"/>
      <c r="C5599" s="8" t="n"/>
      <c r="D5599" s="8" t="n"/>
      <c r="E5599" s="8" t="n"/>
      <c r="F5599" s="8" t="n"/>
      <c r="G5599" s="8" t="n"/>
      <c r="H5599" s="8" t="n"/>
      <c r="I5599" s="8" t="n"/>
      <c r="J5599" s="8" t="n"/>
      <c r="K5599" s="8" t="n"/>
      <c r="L5599" s="8" t="n"/>
      <c r="M5599" s="9">
        <f>B5599+30</f>
        <v/>
      </c>
      <c r="N5599">
        <f>IF(L5599="", "", L5599-B5599)</f>
        <v/>
      </c>
      <c r="O5599">
        <f>IF(L5599="", "Pending", IF(N5599&lt;=30, "Met", "Breached"))</f>
        <v/>
      </c>
      <c r="P5599" s="8" t="n"/>
      <c r="Q5599" s="8" t="n"/>
      <c r="R5599" s="8" t="n"/>
      <c r="S5599" s="8" t="n"/>
      <c r="T5599" s="8" t="n"/>
      <c r="U5599" s="8" t="n"/>
      <c r="V5599" s="8" t="n"/>
      <c r="W5599" s="8" t="n"/>
      <c r="X5599" s="8" t="n"/>
      <c r="Y5599" s="8" t="n"/>
    </row>
    <row r="5600">
      <c r="A5600" s="8" t="n"/>
      <c r="B5600" s="8" t="n"/>
      <c r="C5600" s="8" t="n"/>
      <c r="D5600" s="8" t="n"/>
      <c r="E5600" s="8" t="n"/>
      <c r="F5600" s="8" t="n"/>
      <c r="G5600" s="8" t="n"/>
      <c r="H5600" s="8" t="n"/>
      <c r="I5600" s="8" t="n"/>
      <c r="J5600" s="8" t="n"/>
      <c r="K5600" s="8" t="n"/>
      <c r="L5600" s="8" t="n"/>
      <c r="M5600" s="9">
        <f>B5600+30</f>
        <v/>
      </c>
      <c r="N5600">
        <f>IF(L5600="", "", L5600-B5600)</f>
        <v/>
      </c>
      <c r="O5600">
        <f>IF(L5600="", "Pending", IF(N5600&lt;=30, "Met", "Breached"))</f>
        <v/>
      </c>
      <c r="P5600" s="8" t="n"/>
      <c r="Q5600" s="8" t="n"/>
      <c r="R5600" s="8" t="n"/>
      <c r="S5600" s="8" t="n"/>
      <c r="T5600" s="8" t="n"/>
      <c r="U5600" s="8" t="n"/>
      <c r="V5600" s="8" t="n"/>
      <c r="W5600" s="8" t="n"/>
      <c r="X5600" s="8" t="n"/>
      <c r="Y5600" s="8" t="n"/>
    </row>
    <row r="5601">
      <c r="A5601" s="8" t="n"/>
      <c r="B5601" s="8" t="n"/>
      <c r="C5601" s="8" t="n"/>
      <c r="D5601" s="8" t="n"/>
      <c r="E5601" s="8" t="n"/>
      <c r="F5601" s="8" t="n"/>
      <c r="G5601" s="8" t="n"/>
      <c r="H5601" s="8" t="n"/>
      <c r="I5601" s="8" t="n"/>
      <c r="J5601" s="8" t="n"/>
      <c r="K5601" s="8" t="n"/>
      <c r="L5601" s="8" t="n"/>
      <c r="M5601" s="9">
        <f>B5601+30</f>
        <v/>
      </c>
      <c r="N5601">
        <f>IF(L5601="", "", L5601-B5601)</f>
        <v/>
      </c>
      <c r="O5601">
        <f>IF(L5601="", "Pending", IF(N5601&lt;=30, "Met", "Breached"))</f>
        <v/>
      </c>
      <c r="P5601" s="8" t="n"/>
      <c r="Q5601" s="8" t="n"/>
      <c r="R5601" s="8" t="n"/>
      <c r="S5601" s="8" t="n"/>
      <c r="T5601" s="8" t="n"/>
      <c r="U5601" s="8" t="n"/>
      <c r="V5601" s="8" t="n"/>
      <c r="W5601" s="8" t="n"/>
      <c r="X5601" s="8" t="n"/>
      <c r="Y5601" s="8" t="n"/>
    </row>
    <row r="5602">
      <c r="A5602" s="8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8" t="n"/>
      <c r="K5602" s="8" t="n"/>
      <c r="L5602" s="8" t="n"/>
      <c r="M5602" s="9">
        <f>B5602+30</f>
        <v/>
      </c>
      <c r="N5602">
        <f>IF(L5602="", "", L5602-B5602)</f>
        <v/>
      </c>
      <c r="O5602">
        <f>IF(L5602="", "Pending", IF(N5602&lt;=30, "Met", "Breached"))</f>
        <v/>
      </c>
      <c r="P5602" s="8" t="n"/>
      <c r="Q5602" s="8" t="n"/>
      <c r="R5602" s="8" t="n"/>
      <c r="S5602" s="8" t="n"/>
      <c r="T5602" s="8" t="n"/>
      <c r="U5602" s="8" t="n"/>
      <c r="V5602" s="8" t="n"/>
      <c r="W5602" s="8" t="n"/>
      <c r="X5602" s="8" t="n"/>
      <c r="Y5602" s="8" t="n"/>
    </row>
    <row r="5603">
      <c r="A5603" s="8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8" t="n"/>
      <c r="K5603" s="8" t="n"/>
      <c r="L5603" s="8" t="n"/>
      <c r="M5603" s="9">
        <f>B5603+30</f>
        <v/>
      </c>
      <c r="N5603">
        <f>IF(L5603="", "", L5603-B5603)</f>
        <v/>
      </c>
      <c r="O5603">
        <f>IF(L5603="", "Pending", IF(N5603&lt;=30, "Met", "Breached"))</f>
        <v/>
      </c>
      <c r="P5603" s="8" t="n"/>
      <c r="Q5603" s="8" t="n"/>
      <c r="R5603" s="8" t="n"/>
      <c r="S5603" s="8" t="n"/>
      <c r="T5603" s="8" t="n"/>
      <c r="U5603" s="8" t="n"/>
      <c r="V5603" s="8" t="n"/>
      <c r="W5603" s="8" t="n"/>
      <c r="X5603" s="8" t="n"/>
      <c r="Y5603" s="8" t="n"/>
    </row>
    <row r="5604">
      <c r="A5604" s="8" t="n"/>
      <c r="B5604" s="8" t="n"/>
      <c r="C5604" s="8" t="n"/>
      <c r="D5604" s="8" t="n"/>
      <c r="E5604" s="8" t="n"/>
      <c r="F5604" s="8" t="n"/>
      <c r="G5604" s="8" t="n"/>
      <c r="H5604" s="8" t="n"/>
      <c r="I5604" s="8" t="n"/>
      <c r="J5604" s="8" t="n"/>
      <c r="K5604" s="8" t="n"/>
      <c r="L5604" s="8" t="n"/>
      <c r="M5604" s="9">
        <f>B5604+30</f>
        <v/>
      </c>
      <c r="N5604">
        <f>IF(L5604="", "", L5604-B5604)</f>
        <v/>
      </c>
      <c r="O5604">
        <f>IF(L5604="", "Pending", IF(N5604&lt;=30, "Met", "Breached"))</f>
        <v/>
      </c>
      <c r="P5604" s="8" t="n"/>
      <c r="Q5604" s="8" t="n"/>
      <c r="R5604" s="8" t="n"/>
      <c r="S5604" s="8" t="n"/>
      <c r="T5604" s="8" t="n"/>
      <c r="U5604" s="8" t="n"/>
      <c r="V5604" s="8" t="n"/>
      <c r="W5604" s="8" t="n"/>
      <c r="X5604" s="8" t="n"/>
      <c r="Y5604" s="8" t="n"/>
    </row>
    <row r="5605">
      <c r="A5605" s="8" t="n"/>
      <c r="B5605" s="8" t="n"/>
      <c r="C5605" s="8" t="n"/>
      <c r="D5605" s="8" t="n"/>
      <c r="E5605" s="8" t="n"/>
      <c r="F5605" s="8" t="n"/>
      <c r="G5605" s="8" t="n"/>
      <c r="H5605" s="8" t="n"/>
      <c r="I5605" s="8" t="n"/>
      <c r="J5605" s="8" t="n"/>
      <c r="K5605" s="8" t="n"/>
      <c r="L5605" s="8" t="n"/>
      <c r="M5605" s="9">
        <f>B5605+30</f>
        <v/>
      </c>
      <c r="N5605">
        <f>IF(L5605="", "", L5605-B5605)</f>
        <v/>
      </c>
      <c r="O5605">
        <f>IF(L5605="", "Pending", IF(N5605&lt;=30, "Met", "Breached"))</f>
        <v/>
      </c>
      <c r="P5605" s="8" t="n"/>
      <c r="Q5605" s="8" t="n"/>
      <c r="R5605" s="8" t="n"/>
      <c r="S5605" s="8" t="n"/>
      <c r="T5605" s="8" t="n"/>
      <c r="U5605" s="8" t="n"/>
      <c r="V5605" s="8" t="n"/>
      <c r="W5605" s="8" t="n"/>
      <c r="X5605" s="8" t="n"/>
      <c r="Y5605" s="8" t="n"/>
    </row>
    <row r="5606">
      <c r="A5606" s="8" t="n"/>
      <c r="B5606" s="8" t="n"/>
      <c r="C5606" s="8" t="n"/>
      <c r="D5606" s="8" t="n"/>
      <c r="E5606" s="8" t="n"/>
      <c r="F5606" s="8" t="n"/>
      <c r="G5606" s="8" t="n"/>
      <c r="H5606" s="8" t="n"/>
      <c r="I5606" s="8" t="n"/>
      <c r="J5606" s="8" t="n"/>
      <c r="K5606" s="8" t="n"/>
      <c r="L5606" s="8" t="n"/>
      <c r="M5606" s="9">
        <f>B5606+30</f>
        <v/>
      </c>
      <c r="N5606">
        <f>IF(L5606="", "", L5606-B5606)</f>
        <v/>
      </c>
      <c r="O5606">
        <f>IF(L5606="", "Pending", IF(N5606&lt;=30, "Met", "Breached"))</f>
        <v/>
      </c>
      <c r="P5606" s="8" t="n"/>
      <c r="Q5606" s="8" t="n"/>
      <c r="R5606" s="8" t="n"/>
      <c r="S5606" s="8" t="n"/>
      <c r="T5606" s="8" t="n"/>
      <c r="U5606" s="8" t="n"/>
      <c r="V5606" s="8" t="n"/>
      <c r="W5606" s="8" t="n"/>
      <c r="X5606" s="8" t="n"/>
      <c r="Y5606" s="8" t="n"/>
    </row>
    <row r="5607">
      <c r="A5607" s="8" t="n"/>
      <c r="B5607" s="8" t="n"/>
      <c r="C5607" s="8" t="n"/>
      <c r="D5607" s="8" t="n"/>
      <c r="E5607" s="8" t="n"/>
      <c r="F5607" s="8" t="n"/>
      <c r="G5607" s="8" t="n"/>
      <c r="H5607" s="8" t="n"/>
      <c r="I5607" s="8" t="n"/>
      <c r="J5607" s="8" t="n"/>
      <c r="K5607" s="8" t="n"/>
      <c r="L5607" s="8" t="n"/>
      <c r="M5607" s="9">
        <f>B5607+30</f>
        <v/>
      </c>
      <c r="N5607">
        <f>IF(L5607="", "", L5607-B5607)</f>
        <v/>
      </c>
      <c r="O5607">
        <f>IF(L5607="", "Pending", IF(N5607&lt;=30, "Met", "Breached"))</f>
        <v/>
      </c>
      <c r="P5607" s="8" t="n"/>
      <c r="Q5607" s="8" t="n"/>
      <c r="R5607" s="8" t="n"/>
      <c r="S5607" s="8" t="n"/>
      <c r="T5607" s="8" t="n"/>
      <c r="U5607" s="8" t="n"/>
      <c r="V5607" s="8" t="n"/>
      <c r="W5607" s="8" t="n"/>
      <c r="X5607" s="8" t="n"/>
      <c r="Y5607" s="8" t="n"/>
    </row>
    <row r="5608">
      <c r="A5608" s="8" t="n"/>
      <c r="B5608" s="8" t="n"/>
      <c r="C5608" s="8" t="n"/>
      <c r="D5608" s="8" t="n"/>
      <c r="E5608" s="8" t="n"/>
      <c r="F5608" s="8" t="n"/>
      <c r="G5608" s="8" t="n"/>
      <c r="H5608" s="8" t="n"/>
      <c r="I5608" s="8" t="n"/>
      <c r="J5608" s="8" t="n"/>
      <c r="K5608" s="8" t="n"/>
      <c r="L5608" s="8" t="n"/>
      <c r="M5608" s="9">
        <f>B5608+30</f>
        <v/>
      </c>
      <c r="N5608">
        <f>IF(L5608="", "", L5608-B5608)</f>
        <v/>
      </c>
      <c r="O5608">
        <f>IF(L5608="", "Pending", IF(N5608&lt;=30, "Met", "Breached"))</f>
        <v/>
      </c>
      <c r="P5608" s="8" t="n"/>
      <c r="Q5608" s="8" t="n"/>
      <c r="R5608" s="8" t="n"/>
      <c r="S5608" s="8" t="n"/>
      <c r="T5608" s="8" t="n"/>
      <c r="U5608" s="8" t="n"/>
      <c r="V5608" s="8" t="n"/>
      <c r="W5608" s="8" t="n"/>
      <c r="X5608" s="8" t="n"/>
      <c r="Y5608" s="8" t="n"/>
    </row>
    <row r="5609">
      <c r="A5609" s="8" t="n"/>
      <c r="B5609" s="8" t="n"/>
      <c r="C5609" s="8" t="n"/>
      <c r="D5609" s="8" t="n"/>
      <c r="E5609" s="8" t="n"/>
      <c r="F5609" s="8" t="n"/>
      <c r="G5609" s="8" t="n"/>
      <c r="H5609" s="8" t="n"/>
      <c r="I5609" s="8" t="n"/>
      <c r="J5609" s="8" t="n"/>
      <c r="K5609" s="8" t="n"/>
      <c r="L5609" s="8" t="n"/>
      <c r="M5609" s="9">
        <f>B5609+30</f>
        <v/>
      </c>
      <c r="N5609">
        <f>IF(L5609="", "", L5609-B5609)</f>
        <v/>
      </c>
      <c r="O5609">
        <f>IF(L5609="", "Pending", IF(N5609&lt;=30, "Met", "Breached"))</f>
        <v/>
      </c>
      <c r="P5609" s="8" t="n"/>
      <c r="Q5609" s="8" t="n"/>
      <c r="R5609" s="8" t="n"/>
      <c r="S5609" s="8" t="n"/>
      <c r="T5609" s="8" t="n"/>
      <c r="U5609" s="8" t="n"/>
      <c r="V5609" s="8" t="n"/>
      <c r="W5609" s="8" t="n"/>
      <c r="X5609" s="8" t="n"/>
      <c r="Y5609" s="8" t="n"/>
    </row>
    <row r="5610">
      <c r="A5610" s="8" t="n"/>
      <c r="B5610" s="8" t="n"/>
      <c r="C5610" s="8" t="n"/>
      <c r="D5610" s="8" t="n"/>
      <c r="E5610" s="8" t="n"/>
      <c r="F5610" s="8" t="n"/>
      <c r="G5610" s="8" t="n"/>
      <c r="H5610" s="8" t="n"/>
      <c r="I5610" s="8" t="n"/>
      <c r="J5610" s="8" t="n"/>
      <c r="K5610" s="8" t="n"/>
      <c r="L5610" s="8" t="n"/>
      <c r="M5610" s="9">
        <f>B5610+30</f>
        <v/>
      </c>
      <c r="N5610">
        <f>IF(L5610="", "", L5610-B5610)</f>
        <v/>
      </c>
      <c r="O5610">
        <f>IF(L5610="", "Pending", IF(N5610&lt;=30, "Met", "Breached"))</f>
        <v/>
      </c>
      <c r="P5610" s="8" t="n"/>
      <c r="Q5610" s="8" t="n"/>
      <c r="R5610" s="8" t="n"/>
      <c r="S5610" s="8" t="n"/>
      <c r="T5610" s="8" t="n"/>
      <c r="U5610" s="8" t="n"/>
      <c r="V5610" s="8" t="n"/>
      <c r="W5610" s="8" t="n"/>
      <c r="X5610" s="8" t="n"/>
      <c r="Y5610" s="8" t="n"/>
    </row>
    <row r="5611">
      <c r="A5611" s="8" t="n"/>
      <c r="B5611" s="8" t="n"/>
      <c r="C5611" s="8" t="n"/>
      <c r="D5611" s="8" t="n"/>
      <c r="E5611" s="8" t="n"/>
      <c r="F5611" s="8" t="n"/>
      <c r="G5611" s="8" t="n"/>
      <c r="H5611" s="8" t="n"/>
      <c r="I5611" s="8" t="n"/>
      <c r="J5611" s="8" t="n"/>
      <c r="K5611" s="8" t="n"/>
      <c r="L5611" s="8" t="n"/>
      <c r="M5611" s="9">
        <f>B5611+30</f>
        <v/>
      </c>
      <c r="N5611">
        <f>IF(L5611="", "", L5611-B5611)</f>
        <v/>
      </c>
      <c r="O5611">
        <f>IF(L5611="", "Pending", IF(N5611&lt;=30, "Met", "Breached"))</f>
        <v/>
      </c>
      <c r="P5611" s="8" t="n"/>
      <c r="Q5611" s="8" t="n"/>
      <c r="R5611" s="8" t="n"/>
      <c r="S5611" s="8" t="n"/>
      <c r="T5611" s="8" t="n"/>
      <c r="U5611" s="8" t="n"/>
      <c r="V5611" s="8" t="n"/>
      <c r="W5611" s="8" t="n"/>
      <c r="X5611" s="8" t="n"/>
      <c r="Y5611" s="8" t="n"/>
    </row>
    <row r="5612">
      <c r="A5612" s="8" t="n"/>
      <c r="B5612" s="8" t="n"/>
      <c r="C5612" s="8" t="n"/>
      <c r="D5612" s="8" t="n"/>
      <c r="E5612" s="8" t="n"/>
      <c r="F5612" s="8" t="n"/>
      <c r="G5612" s="8" t="n"/>
      <c r="H5612" s="8" t="n"/>
      <c r="I5612" s="8" t="n"/>
      <c r="J5612" s="8" t="n"/>
      <c r="K5612" s="8" t="n"/>
      <c r="L5612" s="8" t="n"/>
      <c r="M5612" s="9">
        <f>B5612+30</f>
        <v/>
      </c>
      <c r="N5612">
        <f>IF(L5612="", "", L5612-B5612)</f>
        <v/>
      </c>
      <c r="O5612">
        <f>IF(L5612="", "Pending", IF(N5612&lt;=30, "Met", "Breached"))</f>
        <v/>
      </c>
      <c r="P5612" s="8" t="n"/>
      <c r="Q5612" s="8" t="n"/>
      <c r="R5612" s="8" t="n"/>
      <c r="S5612" s="8" t="n"/>
      <c r="T5612" s="8" t="n"/>
      <c r="U5612" s="8" t="n"/>
      <c r="V5612" s="8" t="n"/>
      <c r="W5612" s="8" t="n"/>
      <c r="X5612" s="8" t="n"/>
      <c r="Y5612" s="8" t="n"/>
    </row>
    <row r="5613">
      <c r="A5613" s="8" t="n"/>
      <c r="B5613" s="8" t="n"/>
      <c r="C5613" s="8" t="n"/>
      <c r="D5613" s="8" t="n"/>
      <c r="E5613" s="8" t="n"/>
      <c r="F5613" s="8" t="n"/>
      <c r="G5613" s="8" t="n"/>
      <c r="H5613" s="8" t="n"/>
      <c r="I5613" s="8" t="n"/>
      <c r="J5613" s="8" t="n"/>
      <c r="K5613" s="8" t="n"/>
      <c r="L5613" s="8" t="n"/>
      <c r="M5613" s="9">
        <f>B5613+30</f>
        <v/>
      </c>
      <c r="N5613">
        <f>IF(L5613="", "", L5613-B5613)</f>
        <v/>
      </c>
      <c r="O5613">
        <f>IF(L5613="", "Pending", IF(N5613&lt;=30, "Met", "Breached"))</f>
        <v/>
      </c>
      <c r="P5613" s="8" t="n"/>
      <c r="Q5613" s="8" t="n"/>
      <c r="R5613" s="8" t="n"/>
      <c r="S5613" s="8" t="n"/>
      <c r="T5613" s="8" t="n"/>
      <c r="U5613" s="8" t="n"/>
      <c r="V5613" s="8" t="n"/>
      <c r="W5613" s="8" t="n"/>
      <c r="X5613" s="8" t="n"/>
      <c r="Y5613" s="8" t="n"/>
    </row>
    <row r="5614">
      <c r="A5614" s="8" t="n"/>
      <c r="B5614" s="8" t="n"/>
      <c r="C5614" s="8" t="n"/>
      <c r="D5614" s="8" t="n"/>
      <c r="E5614" s="8" t="n"/>
      <c r="F5614" s="8" t="n"/>
      <c r="G5614" s="8" t="n"/>
      <c r="H5614" s="8" t="n"/>
      <c r="I5614" s="8" t="n"/>
      <c r="J5614" s="8" t="n"/>
      <c r="K5614" s="8" t="n"/>
      <c r="L5614" s="8" t="n"/>
      <c r="M5614" s="9">
        <f>B5614+30</f>
        <v/>
      </c>
      <c r="N5614">
        <f>IF(L5614="", "", L5614-B5614)</f>
        <v/>
      </c>
      <c r="O5614">
        <f>IF(L5614="", "Pending", IF(N5614&lt;=30, "Met", "Breached"))</f>
        <v/>
      </c>
      <c r="P5614" s="8" t="n"/>
      <c r="Q5614" s="8" t="n"/>
      <c r="R5614" s="8" t="n"/>
      <c r="S5614" s="8" t="n"/>
      <c r="T5614" s="8" t="n"/>
      <c r="U5614" s="8" t="n"/>
      <c r="V5614" s="8" t="n"/>
      <c r="W5614" s="8" t="n"/>
      <c r="X5614" s="8" t="n"/>
      <c r="Y5614" s="8" t="n"/>
    </row>
    <row r="5615">
      <c r="A5615" s="8" t="n"/>
      <c r="B5615" s="8" t="n"/>
      <c r="C5615" s="8" t="n"/>
      <c r="D5615" s="8" t="n"/>
      <c r="E5615" s="8" t="n"/>
      <c r="F5615" s="8" t="n"/>
      <c r="G5615" s="8" t="n"/>
      <c r="H5615" s="8" t="n"/>
      <c r="I5615" s="8" t="n"/>
      <c r="J5615" s="8" t="n"/>
      <c r="K5615" s="8" t="n"/>
      <c r="L5615" s="8" t="n"/>
      <c r="M5615" s="9">
        <f>B5615+30</f>
        <v/>
      </c>
      <c r="N5615">
        <f>IF(L5615="", "", L5615-B5615)</f>
        <v/>
      </c>
      <c r="O5615">
        <f>IF(L5615="", "Pending", IF(N5615&lt;=30, "Met", "Breached"))</f>
        <v/>
      </c>
      <c r="P5615" s="8" t="n"/>
      <c r="Q5615" s="8" t="n"/>
      <c r="R5615" s="8" t="n"/>
      <c r="S5615" s="8" t="n"/>
      <c r="T5615" s="8" t="n"/>
      <c r="U5615" s="8" t="n"/>
      <c r="V5615" s="8" t="n"/>
      <c r="W5615" s="8" t="n"/>
      <c r="X5615" s="8" t="n"/>
      <c r="Y5615" s="8" t="n"/>
    </row>
    <row r="5616">
      <c r="A5616" s="8" t="n"/>
      <c r="B5616" s="8" t="n"/>
      <c r="C5616" s="8" t="n"/>
      <c r="D5616" s="8" t="n"/>
      <c r="E5616" s="8" t="n"/>
      <c r="F5616" s="8" t="n"/>
      <c r="G5616" s="8" t="n"/>
      <c r="H5616" s="8" t="n"/>
      <c r="I5616" s="8" t="n"/>
      <c r="J5616" s="8" t="n"/>
      <c r="K5616" s="8" t="n"/>
      <c r="L5616" s="8" t="n"/>
      <c r="M5616" s="9">
        <f>B5616+30</f>
        <v/>
      </c>
      <c r="N5616">
        <f>IF(L5616="", "", L5616-B5616)</f>
        <v/>
      </c>
      <c r="O5616">
        <f>IF(L5616="", "Pending", IF(N5616&lt;=30, "Met", "Breached"))</f>
        <v/>
      </c>
      <c r="P5616" s="8" t="n"/>
      <c r="Q5616" s="8" t="n"/>
      <c r="R5616" s="8" t="n"/>
      <c r="S5616" s="8" t="n"/>
      <c r="T5616" s="8" t="n"/>
      <c r="U5616" s="8" t="n"/>
      <c r="V5616" s="8" t="n"/>
      <c r="W5616" s="8" t="n"/>
      <c r="X5616" s="8" t="n"/>
      <c r="Y5616" s="8" t="n"/>
    </row>
    <row r="5617">
      <c r="A5617" s="8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8" t="n"/>
      <c r="K5617" s="8" t="n"/>
      <c r="L5617" s="8" t="n"/>
      <c r="M5617" s="9">
        <f>B5617+30</f>
        <v/>
      </c>
      <c r="N5617">
        <f>IF(L5617="", "", L5617-B5617)</f>
        <v/>
      </c>
      <c r="O5617">
        <f>IF(L5617="", "Pending", IF(N5617&lt;=30, "Met", "Breached"))</f>
        <v/>
      </c>
      <c r="P5617" s="8" t="n"/>
      <c r="Q5617" s="8" t="n"/>
      <c r="R5617" s="8" t="n"/>
      <c r="S5617" s="8" t="n"/>
      <c r="T5617" s="8" t="n"/>
      <c r="U5617" s="8" t="n"/>
      <c r="V5617" s="8" t="n"/>
      <c r="W5617" s="8" t="n"/>
      <c r="X5617" s="8" t="n"/>
      <c r="Y5617" s="8" t="n"/>
    </row>
    <row r="5618">
      <c r="A5618" s="8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8" t="n"/>
      <c r="K5618" s="8" t="n"/>
      <c r="L5618" s="8" t="n"/>
      <c r="M5618" s="9">
        <f>B5618+30</f>
        <v/>
      </c>
      <c r="N5618">
        <f>IF(L5618="", "", L5618-B5618)</f>
        <v/>
      </c>
      <c r="O5618">
        <f>IF(L5618="", "Pending", IF(N5618&lt;=30, "Met", "Breached"))</f>
        <v/>
      </c>
      <c r="P5618" s="8" t="n"/>
      <c r="Q5618" s="8" t="n"/>
      <c r="R5618" s="8" t="n"/>
      <c r="S5618" s="8" t="n"/>
      <c r="T5618" s="8" t="n"/>
      <c r="U5618" s="8" t="n"/>
      <c r="V5618" s="8" t="n"/>
      <c r="W5618" s="8" t="n"/>
      <c r="X5618" s="8" t="n"/>
      <c r="Y5618" s="8" t="n"/>
    </row>
    <row r="5619">
      <c r="A5619" s="8" t="n"/>
      <c r="B5619" s="8" t="n"/>
      <c r="C5619" s="8" t="n"/>
      <c r="D5619" s="8" t="n"/>
      <c r="E5619" s="8" t="n"/>
      <c r="F5619" s="8" t="n"/>
      <c r="G5619" s="8" t="n"/>
      <c r="H5619" s="8" t="n"/>
      <c r="I5619" s="8" t="n"/>
      <c r="J5619" s="8" t="n"/>
      <c r="K5619" s="8" t="n"/>
      <c r="L5619" s="8" t="n"/>
      <c r="M5619" s="9">
        <f>B5619+30</f>
        <v/>
      </c>
      <c r="N5619">
        <f>IF(L5619="", "", L5619-B5619)</f>
        <v/>
      </c>
      <c r="O5619">
        <f>IF(L5619="", "Pending", IF(N5619&lt;=30, "Met", "Breached"))</f>
        <v/>
      </c>
      <c r="P5619" s="8" t="n"/>
      <c r="Q5619" s="8" t="n"/>
      <c r="R5619" s="8" t="n"/>
      <c r="S5619" s="8" t="n"/>
      <c r="T5619" s="8" t="n"/>
      <c r="U5619" s="8" t="n"/>
      <c r="V5619" s="8" t="n"/>
      <c r="W5619" s="8" t="n"/>
      <c r="X5619" s="8" t="n"/>
      <c r="Y5619" s="8" t="n"/>
    </row>
    <row r="5620">
      <c r="A5620" s="8" t="n"/>
      <c r="B5620" s="8" t="n"/>
      <c r="C5620" s="8" t="n"/>
      <c r="D5620" s="8" t="n"/>
      <c r="E5620" s="8" t="n"/>
      <c r="F5620" s="8" t="n"/>
      <c r="G5620" s="8" t="n"/>
      <c r="H5620" s="8" t="n"/>
      <c r="I5620" s="8" t="n"/>
      <c r="J5620" s="8" t="n"/>
      <c r="K5620" s="8" t="n"/>
      <c r="L5620" s="8" t="n"/>
      <c r="M5620" s="9">
        <f>B5620+30</f>
        <v/>
      </c>
      <c r="N5620">
        <f>IF(L5620="", "", L5620-B5620)</f>
        <v/>
      </c>
      <c r="O5620">
        <f>IF(L5620="", "Pending", IF(N5620&lt;=30, "Met", "Breached"))</f>
        <v/>
      </c>
      <c r="P5620" s="8" t="n"/>
      <c r="Q5620" s="8" t="n"/>
      <c r="R5620" s="8" t="n"/>
      <c r="S5620" s="8" t="n"/>
      <c r="T5620" s="8" t="n"/>
      <c r="U5620" s="8" t="n"/>
      <c r="V5620" s="8" t="n"/>
      <c r="W5620" s="8" t="n"/>
      <c r="X5620" s="8" t="n"/>
      <c r="Y5620" s="8" t="n"/>
    </row>
    <row r="5621">
      <c r="A5621" s="8" t="n"/>
      <c r="B5621" s="8" t="n"/>
      <c r="C5621" s="8" t="n"/>
      <c r="D5621" s="8" t="n"/>
      <c r="E5621" s="8" t="n"/>
      <c r="F5621" s="8" t="n"/>
      <c r="G5621" s="8" t="n"/>
      <c r="H5621" s="8" t="n"/>
      <c r="I5621" s="8" t="n"/>
      <c r="J5621" s="8" t="n"/>
      <c r="K5621" s="8" t="n"/>
      <c r="L5621" s="8" t="n"/>
      <c r="M5621" s="9">
        <f>B5621+30</f>
        <v/>
      </c>
      <c r="N5621">
        <f>IF(L5621="", "", L5621-B5621)</f>
        <v/>
      </c>
      <c r="O5621">
        <f>IF(L5621="", "Pending", IF(N5621&lt;=30, "Met", "Breached"))</f>
        <v/>
      </c>
      <c r="P5621" s="8" t="n"/>
      <c r="Q5621" s="8" t="n"/>
      <c r="R5621" s="8" t="n"/>
      <c r="S5621" s="8" t="n"/>
      <c r="T5621" s="8" t="n"/>
      <c r="U5621" s="8" t="n"/>
      <c r="V5621" s="8" t="n"/>
      <c r="W5621" s="8" t="n"/>
      <c r="X5621" s="8" t="n"/>
      <c r="Y5621" s="8" t="n"/>
    </row>
    <row r="5622">
      <c r="A5622" s="8" t="n"/>
      <c r="B5622" s="8" t="n"/>
      <c r="C5622" s="8" t="n"/>
      <c r="D5622" s="8" t="n"/>
      <c r="E5622" s="8" t="n"/>
      <c r="F5622" s="8" t="n"/>
      <c r="G5622" s="8" t="n"/>
      <c r="H5622" s="8" t="n"/>
      <c r="I5622" s="8" t="n"/>
      <c r="J5622" s="8" t="n"/>
      <c r="K5622" s="8" t="n"/>
      <c r="L5622" s="8" t="n"/>
      <c r="M5622" s="9">
        <f>B5622+30</f>
        <v/>
      </c>
      <c r="N5622">
        <f>IF(L5622="", "", L5622-B5622)</f>
        <v/>
      </c>
      <c r="O5622">
        <f>IF(L5622="", "Pending", IF(N5622&lt;=30, "Met", "Breached"))</f>
        <v/>
      </c>
      <c r="P5622" s="8" t="n"/>
      <c r="Q5622" s="8" t="n"/>
      <c r="R5622" s="8" t="n"/>
      <c r="S5622" s="8" t="n"/>
      <c r="T5622" s="8" t="n"/>
      <c r="U5622" s="8" t="n"/>
      <c r="V5622" s="8" t="n"/>
      <c r="W5622" s="8" t="n"/>
      <c r="X5622" s="8" t="n"/>
      <c r="Y5622" s="8" t="n"/>
    </row>
    <row r="5623">
      <c r="A5623" s="8" t="n"/>
      <c r="B5623" s="8" t="n"/>
      <c r="C5623" s="8" t="n"/>
      <c r="D5623" s="8" t="n"/>
      <c r="E5623" s="8" t="n"/>
      <c r="F5623" s="8" t="n"/>
      <c r="G5623" s="8" t="n"/>
      <c r="H5623" s="8" t="n"/>
      <c r="I5623" s="8" t="n"/>
      <c r="J5623" s="8" t="n"/>
      <c r="K5623" s="8" t="n"/>
      <c r="L5623" s="8" t="n"/>
      <c r="M5623" s="9">
        <f>B5623+30</f>
        <v/>
      </c>
      <c r="N5623">
        <f>IF(L5623="", "", L5623-B5623)</f>
        <v/>
      </c>
      <c r="O5623">
        <f>IF(L5623="", "Pending", IF(N5623&lt;=30, "Met", "Breached"))</f>
        <v/>
      </c>
      <c r="P5623" s="8" t="n"/>
      <c r="Q5623" s="8" t="n"/>
      <c r="R5623" s="8" t="n"/>
      <c r="S5623" s="8" t="n"/>
      <c r="T5623" s="8" t="n"/>
      <c r="U5623" s="8" t="n"/>
      <c r="V5623" s="8" t="n"/>
      <c r="W5623" s="8" t="n"/>
      <c r="X5623" s="8" t="n"/>
      <c r="Y5623" s="8" t="n"/>
    </row>
    <row r="5624">
      <c r="A5624" s="8" t="n"/>
      <c r="B5624" s="8" t="n"/>
      <c r="C5624" s="8" t="n"/>
      <c r="D5624" s="8" t="n"/>
      <c r="E5624" s="8" t="n"/>
      <c r="F5624" s="8" t="n"/>
      <c r="G5624" s="8" t="n"/>
      <c r="H5624" s="8" t="n"/>
      <c r="I5624" s="8" t="n"/>
      <c r="J5624" s="8" t="n"/>
      <c r="K5624" s="8" t="n"/>
      <c r="L5624" s="8" t="n"/>
      <c r="M5624" s="9">
        <f>B5624+30</f>
        <v/>
      </c>
      <c r="N5624">
        <f>IF(L5624="", "", L5624-B5624)</f>
        <v/>
      </c>
      <c r="O5624">
        <f>IF(L5624="", "Pending", IF(N5624&lt;=30, "Met", "Breached"))</f>
        <v/>
      </c>
      <c r="P5624" s="8" t="n"/>
      <c r="Q5624" s="8" t="n"/>
      <c r="R5624" s="8" t="n"/>
      <c r="S5624" s="8" t="n"/>
      <c r="T5624" s="8" t="n"/>
      <c r="U5624" s="8" t="n"/>
      <c r="V5624" s="8" t="n"/>
      <c r="W5624" s="8" t="n"/>
      <c r="X5624" s="8" t="n"/>
      <c r="Y5624" s="8" t="n"/>
    </row>
    <row r="5625">
      <c r="A5625" s="8" t="n"/>
      <c r="B5625" s="8" t="n"/>
      <c r="C5625" s="8" t="n"/>
      <c r="D5625" s="8" t="n"/>
      <c r="E5625" s="8" t="n"/>
      <c r="F5625" s="8" t="n"/>
      <c r="G5625" s="8" t="n"/>
      <c r="H5625" s="8" t="n"/>
      <c r="I5625" s="8" t="n"/>
      <c r="J5625" s="8" t="n"/>
      <c r="K5625" s="8" t="n"/>
      <c r="L5625" s="8" t="n"/>
      <c r="M5625" s="9">
        <f>B5625+30</f>
        <v/>
      </c>
      <c r="N5625">
        <f>IF(L5625="", "", L5625-B5625)</f>
        <v/>
      </c>
      <c r="O5625">
        <f>IF(L5625="", "Pending", IF(N5625&lt;=30, "Met", "Breached"))</f>
        <v/>
      </c>
      <c r="P5625" s="8" t="n"/>
      <c r="Q5625" s="8" t="n"/>
      <c r="R5625" s="8" t="n"/>
      <c r="S5625" s="8" t="n"/>
      <c r="T5625" s="8" t="n"/>
      <c r="U5625" s="8" t="n"/>
      <c r="V5625" s="8" t="n"/>
      <c r="W5625" s="8" t="n"/>
      <c r="X5625" s="8" t="n"/>
      <c r="Y5625" s="8" t="n"/>
    </row>
    <row r="5626">
      <c r="A5626" s="8" t="n"/>
      <c r="B5626" s="8" t="n"/>
      <c r="C5626" s="8" t="n"/>
      <c r="D5626" s="8" t="n"/>
      <c r="E5626" s="8" t="n"/>
      <c r="F5626" s="8" t="n"/>
      <c r="G5626" s="8" t="n"/>
      <c r="H5626" s="8" t="n"/>
      <c r="I5626" s="8" t="n"/>
      <c r="J5626" s="8" t="n"/>
      <c r="K5626" s="8" t="n"/>
      <c r="L5626" s="8" t="n"/>
      <c r="M5626" s="9">
        <f>B5626+30</f>
        <v/>
      </c>
      <c r="N5626">
        <f>IF(L5626="", "", L5626-B5626)</f>
        <v/>
      </c>
      <c r="O5626">
        <f>IF(L5626="", "Pending", IF(N5626&lt;=30, "Met", "Breached"))</f>
        <v/>
      </c>
      <c r="P5626" s="8" t="n"/>
      <c r="Q5626" s="8" t="n"/>
      <c r="R5626" s="8" t="n"/>
      <c r="S5626" s="8" t="n"/>
      <c r="T5626" s="8" t="n"/>
      <c r="U5626" s="8" t="n"/>
      <c r="V5626" s="8" t="n"/>
      <c r="W5626" s="8" t="n"/>
      <c r="X5626" s="8" t="n"/>
      <c r="Y5626" s="8" t="n"/>
    </row>
    <row r="5627">
      <c r="A5627" s="8" t="n"/>
      <c r="B5627" s="8" t="n"/>
      <c r="C5627" s="8" t="n"/>
      <c r="D5627" s="8" t="n"/>
      <c r="E5627" s="8" t="n"/>
      <c r="F5627" s="8" t="n"/>
      <c r="G5627" s="8" t="n"/>
      <c r="H5627" s="8" t="n"/>
      <c r="I5627" s="8" t="n"/>
      <c r="J5627" s="8" t="n"/>
      <c r="K5627" s="8" t="n"/>
      <c r="L5627" s="8" t="n"/>
      <c r="M5627" s="9">
        <f>B5627+30</f>
        <v/>
      </c>
      <c r="N5627">
        <f>IF(L5627="", "", L5627-B5627)</f>
        <v/>
      </c>
      <c r="O5627">
        <f>IF(L5627="", "Pending", IF(N5627&lt;=30, "Met", "Breached"))</f>
        <v/>
      </c>
      <c r="P5627" s="8" t="n"/>
      <c r="Q5627" s="8" t="n"/>
      <c r="R5627" s="8" t="n"/>
      <c r="S5627" s="8" t="n"/>
      <c r="T5627" s="8" t="n"/>
      <c r="U5627" s="8" t="n"/>
      <c r="V5627" s="8" t="n"/>
      <c r="W5627" s="8" t="n"/>
      <c r="X5627" s="8" t="n"/>
      <c r="Y5627" s="8" t="n"/>
    </row>
    <row r="5628">
      <c r="A5628" s="8" t="n"/>
      <c r="B5628" s="8" t="n"/>
      <c r="C5628" s="8" t="n"/>
      <c r="D5628" s="8" t="n"/>
      <c r="E5628" s="8" t="n"/>
      <c r="F5628" s="8" t="n"/>
      <c r="G5628" s="8" t="n"/>
      <c r="H5628" s="8" t="n"/>
      <c r="I5628" s="8" t="n"/>
      <c r="J5628" s="8" t="n"/>
      <c r="K5628" s="8" t="n"/>
      <c r="L5628" s="8" t="n"/>
      <c r="M5628" s="9">
        <f>B5628+30</f>
        <v/>
      </c>
      <c r="N5628">
        <f>IF(L5628="", "", L5628-B5628)</f>
        <v/>
      </c>
      <c r="O5628">
        <f>IF(L5628="", "Pending", IF(N5628&lt;=30, "Met", "Breached"))</f>
        <v/>
      </c>
      <c r="P5628" s="8" t="n"/>
      <c r="Q5628" s="8" t="n"/>
      <c r="R5628" s="8" t="n"/>
      <c r="S5628" s="8" t="n"/>
      <c r="T5628" s="8" t="n"/>
      <c r="U5628" s="8" t="n"/>
      <c r="V5628" s="8" t="n"/>
      <c r="W5628" s="8" t="n"/>
      <c r="X5628" s="8" t="n"/>
      <c r="Y5628" s="8" t="n"/>
    </row>
    <row r="5629">
      <c r="A5629" s="8" t="n"/>
      <c r="B5629" s="8" t="n"/>
      <c r="C5629" s="8" t="n"/>
      <c r="D5629" s="8" t="n"/>
      <c r="E5629" s="8" t="n"/>
      <c r="F5629" s="8" t="n"/>
      <c r="G5629" s="8" t="n"/>
      <c r="H5629" s="8" t="n"/>
      <c r="I5629" s="8" t="n"/>
      <c r="J5629" s="8" t="n"/>
      <c r="K5629" s="8" t="n"/>
      <c r="L5629" s="8" t="n"/>
      <c r="M5629" s="9">
        <f>B5629+30</f>
        <v/>
      </c>
      <c r="N5629">
        <f>IF(L5629="", "", L5629-B5629)</f>
        <v/>
      </c>
      <c r="O5629">
        <f>IF(L5629="", "Pending", IF(N5629&lt;=30, "Met", "Breached"))</f>
        <v/>
      </c>
      <c r="P5629" s="8" t="n"/>
      <c r="Q5629" s="8" t="n"/>
      <c r="R5629" s="8" t="n"/>
      <c r="S5629" s="8" t="n"/>
      <c r="T5629" s="8" t="n"/>
      <c r="U5629" s="8" t="n"/>
      <c r="V5629" s="8" t="n"/>
      <c r="W5629" s="8" t="n"/>
      <c r="X5629" s="8" t="n"/>
      <c r="Y5629" s="8" t="n"/>
    </row>
    <row r="5630">
      <c r="A5630" s="8" t="n"/>
      <c r="B5630" s="8" t="n"/>
      <c r="C5630" s="8" t="n"/>
      <c r="D5630" s="8" t="n"/>
      <c r="E5630" s="8" t="n"/>
      <c r="F5630" s="8" t="n"/>
      <c r="G5630" s="8" t="n"/>
      <c r="H5630" s="8" t="n"/>
      <c r="I5630" s="8" t="n"/>
      <c r="J5630" s="8" t="n"/>
      <c r="K5630" s="8" t="n"/>
      <c r="L5630" s="8" t="n"/>
      <c r="M5630" s="9">
        <f>B5630+30</f>
        <v/>
      </c>
      <c r="N5630">
        <f>IF(L5630="", "", L5630-B5630)</f>
        <v/>
      </c>
      <c r="O5630">
        <f>IF(L5630="", "Pending", IF(N5630&lt;=30, "Met", "Breached"))</f>
        <v/>
      </c>
      <c r="P5630" s="8" t="n"/>
      <c r="Q5630" s="8" t="n"/>
      <c r="R5630" s="8" t="n"/>
      <c r="S5630" s="8" t="n"/>
      <c r="T5630" s="8" t="n"/>
      <c r="U5630" s="8" t="n"/>
      <c r="V5630" s="8" t="n"/>
      <c r="W5630" s="8" t="n"/>
      <c r="X5630" s="8" t="n"/>
      <c r="Y5630" s="8" t="n"/>
    </row>
    <row r="5631">
      <c r="A5631" s="8" t="n"/>
      <c r="B5631" s="8" t="n"/>
      <c r="C5631" s="8" t="n"/>
      <c r="D5631" s="8" t="n"/>
      <c r="E5631" s="8" t="n"/>
      <c r="F5631" s="8" t="n"/>
      <c r="G5631" s="8" t="n"/>
      <c r="H5631" s="8" t="n"/>
      <c r="I5631" s="8" t="n"/>
      <c r="J5631" s="8" t="n"/>
      <c r="K5631" s="8" t="n"/>
      <c r="L5631" s="8" t="n"/>
      <c r="M5631" s="9">
        <f>B5631+30</f>
        <v/>
      </c>
      <c r="N5631">
        <f>IF(L5631="", "", L5631-B5631)</f>
        <v/>
      </c>
      <c r="O5631">
        <f>IF(L5631="", "Pending", IF(N5631&lt;=30, "Met", "Breached"))</f>
        <v/>
      </c>
      <c r="P5631" s="8" t="n"/>
      <c r="Q5631" s="8" t="n"/>
      <c r="R5631" s="8" t="n"/>
      <c r="S5631" s="8" t="n"/>
      <c r="T5631" s="8" t="n"/>
      <c r="U5631" s="8" t="n"/>
      <c r="V5631" s="8" t="n"/>
      <c r="W5631" s="8" t="n"/>
      <c r="X5631" s="8" t="n"/>
      <c r="Y5631" s="8" t="n"/>
    </row>
    <row r="5632">
      <c r="A5632" s="8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8" t="n"/>
      <c r="K5632" s="8" t="n"/>
      <c r="L5632" s="8" t="n"/>
      <c r="M5632" s="9">
        <f>B5632+30</f>
        <v/>
      </c>
      <c r="N5632">
        <f>IF(L5632="", "", L5632-B5632)</f>
        <v/>
      </c>
      <c r="O5632">
        <f>IF(L5632="", "Pending", IF(N5632&lt;=30, "Met", "Breached"))</f>
        <v/>
      </c>
      <c r="P5632" s="8" t="n"/>
      <c r="Q5632" s="8" t="n"/>
      <c r="R5632" s="8" t="n"/>
      <c r="S5632" s="8" t="n"/>
      <c r="T5632" s="8" t="n"/>
      <c r="U5632" s="8" t="n"/>
      <c r="V5632" s="8" t="n"/>
      <c r="W5632" s="8" t="n"/>
      <c r="X5632" s="8" t="n"/>
      <c r="Y5632" s="8" t="n"/>
    </row>
    <row r="5633">
      <c r="A5633" s="8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8" t="n"/>
      <c r="K5633" s="8" t="n"/>
      <c r="L5633" s="8" t="n"/>
      <c r="M5633" s="9">
        <f>B5633+30</f>
        <v/>
      </c>
      <c r="N5633">
        <f>IF(L5633="", "", L5633-B5633)</f>
        <v/>
      </c>
      <c r="O5633">
        <f>IF(L5633="", "Pending", IF(N5633&lt;=30, "Met", "Breached"))</f>
        <v/>
      </c>
      <c r="P5633" s="8" t="n"/>
      <c r="Q5633" s="8" t="n"/>
      <c r="R5633" s="8" t="n"/>
      <c r="S5633" s="8" t="n"/>
      <c r="T5633" s="8" t="n"/>
      <c r="U5633" s="8" t="n"/>
      <c r="V5633" s="8" t="n"/>
      <c r="W5633" s="8" t="n"/>
      <c r="X5633" s="8" t="n"/>
      <c r="Y5633" s="8" t="n"/>
    </row>
    <row r="5634">
      <c r="A5634" s="8" t="n"/>
      <c r="B5634" s="8" t="n"/>
      <c r="C5634" s="8" t="n"/>
      <c r="D5634" s="8" t="n"/>
      <c r="E5634" s="8" t="n"/>
      <c r="F5634" s="8" t="n"/>
      <c r="G5634" s="8" t="n"/>
      <c r="H5634" s="8" t="n"/>
      <c r="I5634" s="8" t="n"/>
      <c r="J5634" s="8" t="n"/>
      <c r="K5634" s="8" t="n"/>
      <c r="L5634" s="8" t="n"/>
      <c r="M5634" s="9">
        <f>B5634+30</f>
        <v/>
      </c>
      <c r="N5634">
        <f>IF(L5634="", "", L5634-B5634)</f>
        <v/>
      </c>
      <c r="O5634">
        <f>IF(L5634="", "Pending", IF(N5634&lt;=30, "Met", "Breached"))</f>
        <v/>
      </c>
      <c r="P5634" s="8" t="n"/>
      <c r="Q5634" s="8" t="n"/>
      <c r="R5634" s="8" t="n"/>
      <c r="S5634" s="8" t="n"/>
      <c r="T5634" s="8" t="n"/>
      <c r="U5634" s="8" t="n"/>
      <c r="V5634" s="8" t="n"/>
      <c r="W5634" s="8" t="n"/>
      <c r="X5634" s="8" t="n"/>
      <c r="Y5634" s="8" t="n"/>
    </row>
    <row r="5635">
      <c r="A5635" s="8" t="n"/>
      <c r="B5635" s="8" t="n"/>
      <c r="C5635" s="8" t="n"/>
      <c r="D5635" s="8" t="n"/>
      <c r="E5635" s="8" t="n"/>
      <c r="F5635" s="8" t="n"/>
      <c r="G5635" s="8" t="n"/>
      <c r="H5635" s="8" t="n"/>
      <c r="I5635" s="8" t="n"/>
      <c r="J5635" s="8" t="n"/>
      <c r="K5635" s="8" t="n"/>
      <c r="L5635" s="8" t="n"/>
      <c r="M5635" s="9">
        <f>B5635+30</f>
        <v/>
      </c>
      <c r="N5635">
        <f>IF(L5635="", "", L5635-B5635)</f>
        <v/>
      </c>
      <c r="O5635">
        <f>IF(L5635="", "Pending", IF(N5635&lt;=30, "Met", "Breached"))</f>
        <v/>
      </c>
      <c r="P5635" s="8" t="n"/>
      <c r="Q5635" s="8" t="n"/>
      <c r="R5635" s="8" t="n"/>
      <c r="S5635" s="8" t="n"/>
      <c r="T5635" s="8" t="n"/>
      <c r="U5635" s="8" t="n"/>
      <c r="V5635" s="8" t="n"/>
      <c r="W5635" s="8" t="n"/>
      <c r="X5635" s="8" t="n"/>
      <c r="Y5635" s="8" t="n"/>
    </row>
    <row r="5636">
      <c r="A5636" s="8" t="n"/>
      <c r="B5636" s="8" t="n"/>
      <c r="C5636" s="8" t="n"/>
      <c r="D5636" s="8" t="n"/>
      <c r="E5636" s="8" t="n"/>
      <c r="F5636" s="8" t="n"/>
      <c r="G5636" s="8" t="n"/>
      <c r="H5636" s="8" t="n"/>
      <c r="I5636" s="8" t="n"/>
      <c r="J5636" s="8" t="n"/>
      <c r="K5636" s="8" t="n"/>
      <c r="L5636" s="8" t="n"/>
      <c r="M5636" s="9">
        <f>B5636+30</f>
        <v/>
      </c>
      <c r="N5636">
        <f>IF(L5636="", "", L5636-B5636)</f>
        <v/>
      </c>
      <c r="O5636">
        <f>IF(L5636="", "Pending", IF(N5636&lt;=30, "Met", "Breached"))</f>
        <v/>
      </c>
      <c r="P5636" s="8" t="n"/>
      <c r="Q5636" s="8" t="n"/>
      <c r="R5636" s="8" t="n"/>
      <c r="S5636" s="8" t="n"/>
      <c r="T5636" s="8" t="n"/>
      <c r="U5636" s="8" t="n"/>
      <c r="V5636" s="8" t="n"/>
      <c r="W5636" s="8" t="n"/>
      <c r="X5636" s="8" t="n"/>
      <c r="Y5636" s="8" t="n"/>
    </row>
    <row r="5637">
      <c r="A5637" s="8" t="n"/>
      <c r="B5637" s="8" t="n"/>
      <c r="C5637" s="8" t="n"/>
      <c r="D5637" s="8" t="n"/>
      <c r="E5637" s="8" t="n"/>
      <c r="F5637" s="8" t="n"/>
      <c r="G5637" s="8" t="n"/>
      <c r="H5637" s="8" t="n"/>
      <c r="I5637" s="8" t="n"/>
      <c r="J5637" s="8" t="n"/>
      <c r="K5637" s="8" t="n"/>
      <c r="L5637" s="8" t="n"/>
      <c r="M5637" s="9">
        <f>B5637+30</f>
        <v/>
      </c>
      <c r="N5637">
        <f>IF(L5637="", "", L5637-B5637)</f>
        <v/>
      </c>
      <c r="O5637">
        <f>IF(L5637="", "Pending", IF(N5637&lt;=30, "Met", "Breached"))</f>
        <v/>
      </c>
      <c r="P5637" s="8" t="n"/>
      <c r="Q5637" s="8" t="n"/>
      <c r="R5637" s="8" t="n"/>
      <c r="S5637" s="8" t="n"/>
      <c r="T5637" s="8" t="n"/>
      <c r="U5637" s="8" t="n"/>
      <c r="V5637" s="8" t="n"/>
      <c r="W5637" s="8" t="n"/>
      <c r="X5637" s="8" t="n"/>
      <c r="Y5637" s="8" t="n"/>
    </row>
    <row r="5638">
      <c r="A5638" s="8" t="n"/>
      <c r="B5638" s="8" t="n"/>
      <c r="C5638" s="8" t="n"/>
      <c r="D5638" s="8" t="n"/>
      <c r="E5638" s="8" t="n"/>
      <c r="F5638" s="8" t="n"/>
      <c r="G5638" s="8" t="n"/>
      <c r="H5638" s="8" t="n"/>
      <c r="I5638" s="8" t="n"/>
      <c r="J5638" s="8" t="n"/>
      <c r="K5638" s="8" t="n"/>
      <c r="L5638" s="8" t="n"/>
      <c r="M5638" s="9">
        <f>B5638+30</f>
        <v/>
      </c>
      <c r="N5638">
        <f>IF(L5638="", "", L5638-B5638)</f>
        <v/>
      </c>
      <c r="O5638">
        <f>IF(L5638="", "Pending", IF(N5638&lt;=30, "Met", "Breached"))</f>
        <v/>
      </c>
      <c r="P5638" s="8" t="n"/>
      <c r="Q5638" s="8" t="n"/>
      <c r="R5638" s="8" t="n"/>
      <c r="S5638" s="8" t="n"/>
      <c r="T5638" s="8" t="n"/>
      <c r="U5638" s="8" t="n"/>
      <c r="V5638" s="8" t="n"/>
      <c r="W5638" s="8" t="n"/>
      <c r="X5638" s="8" t="n"/>
      <c r="Y5638" s="8" t="n"/>
    </row>
    <row r="5639">
      <c r="A5639" s="8" t="n"/>
      <c r="B5639" s="8" t="n"/>
      <c r="C5639" s="8" t="n"/>
      <c r="D5639" s="8" t="n"/>
      <c r="E5639" s="8" t="n"/>
      <c r="F5639" s="8" t="n"/>
      <c r="G5639" s="8" t="n"/>
      <c r="H5639" s="8" t="n"/>
      <c r="I5639" s="8" t="n"/>
      <c r="J5639" s="8" t="n"/>
      <c r="K5639" s="8" t="n"/>
      <c r="L5639" s="8" t="n"/>
      <c r="M5639" s="9">
        <f>B5639+30</f>
        <v/>
      </c>
      <c r="N5639">
        <f>IF(L5639="", "", L5639-B5639)</f>
        <v/>
      </c>
      <c r="O5639">
        <f>IF(L5639="", "Pending", IF(N5639&lt;=30, "Met", "Breached"))</f>
        <v/>
      </c>
      <c r="P5639" s="8" t="n"/>
      <c r="Q5639" s="8" t="n"/>
      <c r="R5639" s="8" t="n"/>
      <c r="S5639" s="8" t="n"/>
      <c r="T5639" s="8" t="n"/>
      <c r="U5639" s="8" t="n"/>
      <c r="V5639" s="8" t="n"/>
      <c r="W5639" s="8" t="n"/>
      <c r="X5639" s="8" t="n"/>
      <c r="Y5639" s="8" t="n"/>
    </row>
    <row r="5640">
      <c r="A5640" s="8" t="n"/>
      <c r="B5640" s="8" t="n"/>
      <c r="C5640" s="8" t="n"/>
      <c r="D5640" s="8" t="n"/>
      <c r="E5640" s="8" t="n"/>
      <c r="F5640" s="8" t="n"/>
      <c r="G5640" s="8" t="n"/>
      <c r="H5640" s="8" t="n"/>
      <c r="I5640" s="8" t="n"/>
      <c r="J5640" s="8" t="n"/>
      <c r="K5640" s="8" t="n"/>
      <c r="L5640" s="8" t="n"/>
      <c r="M5640" s="9">
        <f>B5640+30</f>
        <v/>
      </c>
      <c r="N5640">
        <f>IF(L5640="", "", L5640-B5640)</f>
        <v/>
      </c>
      <c r="O5640">
        <f>IF(L5640="", "Pending", IF(N5640&lt;=30, "Met", "Breached"))</f>
        <v/>
      </c>
      <c r="P5640" s="8" t="n"/>
      <c r="Q5640" s="8" t="n"/>
      <c r="R5640" s="8" t="n"/>
      <c r="S5640" s="8" t="n"/>
      <c r="T5640" s="8" t="n"/>
      <c r="U5640" s="8" t="n"/>
      <c r="V5640" s="8" t="n"/>
      <c r="W5640" s="8" t="n"/>
      <c r="X5640" s="8" t="n"/>
      <c r="Y5640" s="8" t="n"/>
    </row>
    <row r="5641">
      <c r="A5641" s="8" t="n"/>
      <c r="B5641" s="8" t="n"/>
      <c r="C5641" s="8" t="n"/>
      <c r="D5641" s="8" t="n"/>
      <c r="E5641" s="8" t="n"/>
      <c r="F5641" s="8" t="n"/>
      <c r="G5641" s="8" t="n"/>
      <c r="H5641" s="8" t="n"/>
      <c r="I5641" s="8" t="n"/>
      <c r="J5641" s="8" t="n"/>
      <c r="K5641" s="8" t="n"/>
      <c r="L5641" s="8" t="n"/>
      <c r="M5641" s="9">
        <f>B5641+30</f>
        <v/>
      </c>
      <c r="N5641">
        <f>IF(L5641="", "", L5641-B5641)</f>
        <v/>
      </c>
      <c r="O5641">
        <f>IF(L5641="", "Pending", IF(N5641&lt;=30, "Met", "Breached"))</f>
        <v/>
      </c>
      <c r="P5641" s="8" t="n"/>
      <c r="Q5641" s="8" t="n"/>
      <c r="R5641" s="8" t="n"/>
      <c r="S5641" s="8" t="n"/>
      <c r="T5641" s="8" t="n"/>
      <c r="U5641" s="8" t="n"/>
      <c r="V5641" s="8" t="n"/>
      <c r="W5641" s="8" t="n"/>
      <c r="X5641" s="8" t="n"/>
      <c r="Y5641" s="8" t="n"/>
    </row>
    <row r="5642">
      <c r="A5642" s="8" t="n"/>
      <c r="B5642" s="8" t="n"/>
      <c r="C5642" s="8" t="n"/>
      <c r="D5642" s="8" t="n"/>
      <c r="E5642" s="8" t="n"/>
      <c r="F5642" s="8" t="n"/>
      <c r="G5642" s="8" t="n"/>
      <c r="H5642" s="8" t="n"/>
      <c r="I5642" s="8" t="n"/>
      <c r="J5642" s="8" t="n"/>
      <c r="K5642" s="8" t="n"/>
      <c r="L5642" s="8" t="n"/>
      <c r="M5642" s="9">
        <f>B5642+30</f>
        <v/>
      </c>
      <c r="N5642">
        <f>IF(L5642="", "", L5642-B5642)</f>
        <v/>
      </c>
      <c r="O5642">
        <f>IF(L5642="", "Pending", IF(N5642&lt;=30, "Met", "Breached"))</f>
        <v/>
      </c>
      <c r="P5642" s="8" t="n"/>
      <c r="Q5642" s="8" t="n"/>
      <c r="R5642" s="8" t="n"/>
      <c r="S5642" s="8" t="n"/>
      <c r="T5642" s="8" t="n"/>
      <c r="U5642" s="8" t="n"/>
      <c r="V5642" s="8" t="n"/>
      <c r="W5642" s="8" t="n"/>
      <c r="X5642" s="8" t="n"/>
      <c r="Y5642" s="8" t="n"/>
    </row>
    <row r="5643">
      <c r="A5643" s="8" t="n"/>
      <c r="B5643" s="8" t="n"/>
      <c r="C5643" s="8" t="n"/>
      <c r="D5643" s="8" t="n"/>
      <c r="E5643" s="8" t="n"/>
      <c r="F5643" s="8" t="n"/>
      <c r="G5643" s="8" t="n"/>
      <c r="H5643" s="8" t="n"/>
      <c r="I5643" s="8" t="n"/>
      <c r="J5643" s="8" t="n"/>
      <c r="K5643" s="8" t="n"/>
      <c r="L5643" s="8" t="n"/>
      <c r="M5643" s="9">
        <f>B5643+30</f>
        <v/>
      </c>
      <c r="N5643">
        <f>IF(L5643="", "", L5643-B5643)</f>
        <v/>
      </c>
      <c r="O5643">
        <f>IF(L5643="", "Pending", IF(N5643&lt;=30, "Met", "Breached"))</f>
        <v/>
      </c>
      <c r="P5643" s="8" t="n"/>
      <c r="Q5643" s="8" t="n"/>
      <c r="R5643" s="8" t="n"/>
      <c r="S5643" s="8" t="n"/>
      <c r="T5643" s="8" t="n"/>
      <c r="U5643" s="8" t="n"/>
      <c r="V5643" s="8" t="n"/>
      <c r="W5643" s="8" t="n"/>
      <c r="X5643" s="8" t="n"/>
      <c r="Y5643" s="8" t="n"/>
    </row>
    <row r="5644">
      <c r="A5644" s="8" t="n"/>
      <c r="B5644" s="8" t="n"/>
      <c r="C5644" s="8" t="n"/>
      <c r="D5644" s="8" t="n"/>
      <c r="E5644" s="8" t="n"/>
      <c r="F5644" s="8" t="n"/>
      <c r="G5644" s="8" t="n"/>
      <c r="H5644" s="8" t="n"/>
      <c r="I5644" s="8" t="n"/>
      <c r="J5644" s="8" t="n"/>
      <c r="K5644" s="8" t="n"/>
      <c r="L5644" s="8" t="n"/>
      <c r="M5644" s="9">
        <f>B5644+30</f>
        <v/>
      </c>
      <c r="N5644">
        <f>IF(L5644="", "", L5644-B5644)</f>
        <v/>
      </c>
      <c r="O5644">
        <f>IF(L5644="", "Pending", IF(N5644&lt;=30, "Met", "Breached"))</f>
        <v/>
      </c>
      <c r="P5644" s="8" t="n"/>
      <c r="Q5644" s="8" t="n"/>
      <c r="R5644" s="8" t="n"/>
      <c r="S5644" s="8" t="n"/>
      <c r="T5644" s="8" t="n"/>
      <c r="U5644" s="8" t="n"/>
      <c r="V5644" s="8" t="n"/>
      <c r="W5644" s="8" t="n"/>
      <c r="X5644" s="8" t="n"/>
      <c r="Y5644" s="8" t="n"/>
    </row>
    <row r="5645">
      <c r="A5645" s="8" t="n"/>
      <c r="B5645" s="8" t="n"/>
      <c r="C5645" s="8" t="n"/>
      <c r="D5645" s="8" t="n"/>
      <c r="E5645" s="8" t="n"/>
      <c r="F5645" s="8" t="n"/>
      <c r="G5645" s="8" t="n"/>
      <c r="H5645" s="8" t="n"/>
      <c r="I5645" s="8" t="n"/>
      <c r="J5645" s="8" t="n"/>
      <c r="K5645" s="8" t="n"/>
      <c r="L5645" s="8" t="n"/>
      <c r="M5645" s="9">
        <f>B5645+30</f>
        <v/>
      </c>
      <c r="N5645">
        <f>IF(L5645="", "", L5645-B5645)</f>
        <v/>
      </c>
      <c r="O5645">
        <f>IF(L5645="", "Pending", IF(N5645&lt;=30, "Met", "Breached"))</f>
        <v/>
      </c>
      <c r="P5645" s="8" t="n"/>
      <c r="Q5645" s="8" t="n"/>
      <c r="R5645" s="8" t="n"/>
      <c r="S5645" s="8" t="n"/>
      <c r="T5645" s="8" t="n"/>
      <c r="U5645" s="8" t="n"/>
      <c r="V5645" s="8" t="n"/>
      <c r="W5645" s="8" t="n"/>
      <c r="X5645" s="8" t="n"/>
      <c r="Y5645" s="8" t="n"/>
    </row>
    <row r="5646">
      <c r="A5646" s="8" t="n"/>
      <c r="B5646" s="8" t="n"/>
      <c r="C5646" s="8" t="n"/>
      <c r="D5646" s="8" t="n"/>
      <c r="E5646" s="8" t="n"/>
      <c r="F5646" s="8" t="n"/>
      <c r="G5646" s="8" t="n"/>
      <c r="H5646" s="8" t="n"/>
      <c r="I5646" s="8" t="n"/>
      <c r="J5646" s="8" t="n"/>
      <c r="K5646" s="8" t="n"/>
      <c r="L5646" s="8" t="n"/>
      <c r="M5646" s="9">
        <f>B5646+30</f>
        <v/>
      </c>
      <c r="N5646">
        <f>IF(L5646="", "", L5646-B5646)</f>
        <v/>
      </c>
      <c r="O5646">
        <f>IF(L5646="", "Pending", IF(N5646&lt;=30, "Met", "Breached"))</f>
        <v/>
      </c>
      <c r="P5646" s="8" t="n"/>
      <c r="Q5646" s="8" t="n"/>
      <c r="R5646" s="8" t="n"/>
      <c r="S5646" s="8" t="n"/>
      <c r="T5646" s="8" t="n"/>
      <c r="U5646" s="8" t="n"/>
      <c r="V5646" s="8" t="n"/>
      <c r="W5646" s="8" t="n"/>
      <c r="X5646" s="8" t="n"/>
      <c r="Y5646" s="8" t="n"/>
    </row>
    <row r="5647">
      <c r="A5647" s="8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8" t="n"/>
      <c r="K5647" s="8" t="n"/>
      <c r="L5647" s="8" t="n"/>
      <c r="M5647" s="9">
        <f>B5647+30</f>
        <v/>
      </c>
      <c r="N5647">
        <f>IF(L5647="", "", L5647-B5647)</f>
        <v/>
      </c>
      <c r="O5647">
        <f>IF(L5647="", "Pending", IF(N5647&lt;=30, "Met", "Breached"))</f>
        <v/>
      </c>
      <c r="P5647" s="8" t="n"/>
      <c r="Q5647" s="8" t="n"/>
      <c r="R5647" s="8" t="n"/>
      <c r="S5647" s="8" t="n"/>
      <c r="T5647" s="8" t="n"/>
      <c r="U5647" s="8" t="n"/>
      <c r="V5647" s="8" t="n"/>
      <c r="W5647" s="8" t="n"/>
      <c r="X5647" s="8" t="n"/>
      <c r="Y5647" s="8" t="n"/>
    </row>
    <row r="5648">
      <c r="A5648" s="8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8" t="n"/>
      <c r="K5648" s="8" t="n"/>
      <c r="L5648" s="8" t="n"/>
      <c r="M5648" s="9">
        <f>B5648+30</f>
        <v/>
      </c>
      <c r="N5648">
        <f>IF(L5648="", "", L5648-B5648)</f>
        <v/>
      </c>
      <c r="O5648">
        <f>IF(L5648="", "Pending", IF(N5648&lt;=30, "Met", "Breached"))</f>
        <v/>
      </c>
      <c r="P5648" s="8" t="n"/>
      <c r="Q5648" s="8" t="n"/>
      <c r="R5648" s="8" t="n"/>
      <c r="S5648" s="8" t="n"/>
      <c r="T5648" s="8" t="n"/>
      <c r="U5648" s="8" t="n"/>
      <c r="V5648" s="8" t="n"/>
      <c r="W5648" s="8" t="n"/>
      <c r="X5648" s="8" t="n"/>
      <c r="Y5648" s="8" t="n"/>
    </row>
    <row r="5649">
      <c r="A5649" s="8" t="n"/>
      <c r="B5649" s="8" t="n"/>
      <c r="C5649" s="8" t="n"/>
      <c r="D5649" s="8" t="n"/>
      <c r="E5649" s="8" t="n"/>
      <c r="F5649" s="8" t="n"/>
      <c r="G5649" s="8" t="n"/>
      <c r="H5649" s="8" t="n"/>
      <c r="I5649" s="8" t="n"/>
      <c r="J5649" s="8" t="n"/>
      <c r="K5649" s="8" t="n"/>
      <c r="L5649" s="8" t="n"/>
      <c r="M5649" s="9">
        <f>B5649+30</f>
        <v/>
      </c>
      <c r="N5649">
        <f>IF(L5649="", "", L5649-B5649)</f>
        <v/>
      </c>
      <c r="O5649">
        <f>IF(L5649="", "Pending", IF(N5649&lt;=30, "Met", "Breached"))</f>
        <v/>
      </c>
      <c r="P5649" s="8" t="n"/>
      <c r="Q5649" s="8" t="n"/>
      <c r="R5649" s="8" t="n"/>
      <c r="S5649" s="8" t="n"/>
      <c r="T5649" s="8" t="n"/>
      <c r="U5649" s="8" t="n"/>
      <c r="V5649" s="8" t="n"/>
      <c r="W5649" s="8" t="n"/>
      <c r="X5649" s="8" t="n"/>
      <c r="Y5649" s="8" t="n"/>
    </row>
    <row r="5650">
      <c r="A5650" s="8" t="n"/>
      <c r="B5650" s="8" t="n"/>
      <c r="C5650" s="8" t="n"/>
      <c r="D5650" s="8" t="n"/>
      <c r="E5650" s="8" t="n"/>
      <c r="F5650" s="8" t="n"/>
      <c r="G5650" s="8" t="n"/>
      <c r="H5650" s="8" t="n"/>
      <c r="I5650" s="8" t="n"/>
      <c r="J5650" s="8" t="n"/>
      <c r="K5650" s="8" t="n"/>
      <c r="L5650" s="8" t="n"/>
      <c r="M5650" s="9">
        <f>B5650+30</f>
        <v/>
      </c>
      <c r="N5650">
        <f>IF(L5650="", "", L5650-B5650)</f>
        <v/>
      </c>
      <c r="O5650">
        <f>IF(L5650="", "Pending", IF(N5650&lt;=30, "Met", "Breached"))</f>
        <v/>
      </c>
      <c r="P5650" s="8" t="n"/>
      <c r="Q5650" s="8" t="n"/>
      <c r="R5650" s="8" t="n"/>
      <c r="S5650" s="8" t="n"/>
      <c r="T5650" s="8" t="n"/>
      <c r="U5650" s="8" t="n"/>
      <c r="V5650" s="8" t="n"/>
      <c r="W5650" s="8" t="n"/>
      <c r="X5650" s="8" t="n"/>
      <c r="Y5650" s="8" t="n"/>
    </row>
    <row r="5651">
      <c r="A5651" s="8" t="n"/>
      <c r="B5651" s="8" t="n"/>
      <c r="C5651" s="8" t="n"/>
      <c r="D5651" s="8" t="n"/>
      <c r="E5651" s="8" t="n"/>
      <c r="F5651" s="8" t="n"/>
      <c r="G5651" s="8" t="n"/>
      <c r="H5651" s="8" t="n"/>
      <c r="I5651" s="8" t="n"/>
      <c r="J5651" s="8" t="n"/>
      <c r="K5651" s="8" t="n"/>
      <c r="L5651" s="8" t="n"/>
      <c r="M5651" s="9">
        <f>B5651+30</f>
        <v/>
      </c>
      <c r="N5651">
        <f>IF(L5651="", "", L5651-B5651)</f>
        <v/>
      </c>
      <c r="O5651">
        <f>IF(L5651="", "Pending", IF(N5651&lt;=30, "Met", "Breached"))</f>
        <v/>
      </c>
      <c r="P5651" s="8" t="n"/>
      <c r="Q5651" s="8" t="n"/>
      <c r="R5651" s="8" t="n"/>
      <c r="S5651" s="8" t="n"/>
      <c r="T5651" s="8" t="n"/>
      <c r="U5651" s="8" t="n"/>
      <c r="V5651" s="8" t="n"/>
      <c r="W5651" s="8" t="n"/>
      <c r="X5651" s="8" t="n"/>
      <c r="Y5651" s="8" t="n"/>
    </row>
    <row r="5652">
      <c r="A5652" s="8" t="n"/>
      <c r="B5652" s="8" t="n"/>
      <c r="C5652" s="8" t="n"/>
      <c r="D5652" s="8" t="n"/>
      <c r="E5652" s="8" t="n"/>
      <c r="F5652" s="8" t="n"/>
      <c r="G5652" s="8" t="n"/>
      <c r="H5652" s="8" t="n"/>
      <c r="I5652" s="8" t="n"/>
      <c r="J5652" s="8" t="n"/>
      <c r="K5652" s="8" t="n"/>
      <c r="L5652" s="8" t="n"/>
      <c r="M5652" s="9">
        <f>B5652+30</f>
        <v/>
      </c>
      <c r="N5652">
        <f>IF(L5652="", "", L5652-B5652)</f>
        <v/>
      </c>
      <c r="O5652">
        <f>IF(L5652="", "Pending", IF(N5652&lt;=30, "Met", "Breached"))</f>
        <v/>
      </c>
      <c r="P5652" s="8" t="n"/>
      <c r="Q5652" s="8" t="n"/>
      <c r="R5652" s="8" t="n"/>
      <c r="S5652" s="8" t="n"/>
      <c r="T5652" s="8" t="n"/>
      <c r="U5652" s="8" t="n"/>
      <c r="V5652" s="8" t="n"/>
      <c r="W5652" s="8" t="n"/>
      <c r="X5652" s="8" t="n"/>
      <c r="Y5652" s="8" t="n"/>
    </row>
    <row r="5653">
      <c r="A5653" s="8" t="n"/>
      <c r="B5653" s="8" t="n"/>
      <c r="C5653" s="8" t="n"/>
      <c r="D5653" s="8" t="n"/>
      <c r="E5653" s="8" t="n"/>
      <c r="F5653" s="8" t="n"/>
      <c r="G5653" s="8" t="n"/>
      <c r="H5653" s="8" t="n"/>
      <c r="I5653" s="8" t="n"/>
      <c r="J5653" s="8" t="n"/>
      <c r="K5653" s="8" t="n"/>
      <c r="L5653" s="8" t="n"/>
      <c r="M5653" s="9">
        <f>B5653+30</f>
        <v/>
      </c>
      <c r="N5653">
        <f>IF(L5653="", "", L5653-B5653)</f>
        <v/>
      </c>
      <c r="O5653">
        <f>IF(L5653="", "Pending", IF(N5653&lt;=30, "Met", "Breached"))</f>
        <v/>
      </c>
      <c r="P5653" s="8" t="n"/>
      <c r="Q5653" s="8" t="n"/>
      <c r="R5653" s="8" t="n"/>
      <c r="S5653" s="8" t="n"/>
      <c r="T5653" s="8" t="n"/>
      <c r="U5653" s="8" t="n"/>
      <c r="V5653" s="8" t="n"/>
      <c r="W5653" s="8" t="n"/>
      <c r="X5653" s="8" t="n"/>
      <c r="Y5653" s="8" t="n"/>
    </row>
    <row r="5654">
      <c r="A5654" s="8" t="n"/>
      <c r="B5654" s="8" t="n"/>
      <c r="C5654" s="8" t="n"/>
      <c r="D5654" s="8" t="n"/>
      <c r="E5654" s="8" t="n"/>
      <c r="F5654" s="8" t="n"/>
      <c r="G5654" s="8" t="n"/>
      <c r="H5654" s="8" t="n"/>
      <c r="I5654" s="8" t="n"/>
      <c r="J5654" s="8" t="n"/>
      <c r="K5654" s="8" t="n"/>
      <c r="L5654" s="8" t="n"/>
      <c r="M5654" s="9">
        <f>B5654+30</f>
        <v/>
      </c>
      <c r="N5654">
        <f>IF(L5654="", "", L5654-B5654)</f>
        <v/>
      </c>
      <c r="O5654">
        <f>IF(L5654="", "Pending", IF(N5654&lt;=30, "Met", "Breached"))</f>
        <v/>
      </c>
      <c r="P5654" s="8" t="n"/>
      <c r="Q5654" s="8" t="n"/>
      <c r="R5654" s="8" t="n"/>
      <c r="S5654" s="8" t="n"/>
      <c r="T5654" s="8" t="n"/>
      <c r="U5654" s="8" t="n"/>
      <c r="V5654" s="8" t="n"/>
      <c r="W5654" s="8" t="n"/>
      <c r="X5654" s="8" t="n"/>
      <c r="Y5654" s="8" t="n"/>
    </row>
    <row r="5655">
      <c r="A5655" s="8" t="n"/>
      <c r="B5655" s="8" t="n"/>
      <c r="C5655" s="8" t="n"/>
      <c r="D5655" s="8" t="n"/>
      <c r="E5655" s="8" t="n"/>
      <c r="F5655" s="8" t="n"/>
      <c r="G5655" s="8" t="n"/>
      <c r="H5655" s="8" t="n"/>
      <c r="I5655" s="8" t="n"/>
      <c r="J5655" s="8" t="n"/>
      <c r="K5655" s="8" t="n"/>
      <c r="L5655" s="8" t="n"/>
      <c r="M5655" s="9">
        <f>B5655+30</f>
        <v/>
      </c>
      <c r="N5655">
        <f>IF(L5655="", "", L5655-B5655)</f>
        <v/>
      </c>
      <c r="O5655">
        <f>IF(L5655="", "Pending", IF(N5655&lt;=30, "Met", "Breached"))</f>
        <v/>
      </c>
      <c r="P5655" s="8" t="n"/>
      <c r="Q5655" s="8" t="n"/>
      <c r="R5655" s="8" t="n"/>
      <c r="S5655" s="8" t="n"/>
      <c r="T5655" s="8" t="n"/>
      <c r="U5655" s="8" t="n"/>
      <c r="V5655" s="8" t="n"/>
      <c r="W5655" s="8" t="n"/>
      <c r="X5655" s="8" t="n"/>
      <c r="Y5655" s="8" t="n"/>
    </row>
    <row r="5656">
      <c r="A5656" s="8" t="n"/>
      <c r="B5656" s="8" t="n"/>
      <c r="C5656" s="8" t="n"/>
      <c r="D5656" s="8" t="n"/>
      <c r="E5656" s="8" t="n"/>
      <c r="F5656" s="8" t="n"/>
      <c r="G5656" s="8" t="n"/>
      <c r="H5656" s="8" t="n"/>
      <c r="I5656" s="8" t="n"/>
      <c r="J5656" s="8" t="n"/>
      <c r="K5656" s="8" t="n"/>
      <c r="L5656" s="8" t="n"/>
      <c r="M5656" s="9">
        <f>B5656+30</f>
        <v/>
      </c>
      <c r="N5656">
        <f>IF(L5656="", "", L5656-B5656)</f>
        <v/>
      </c>
      <c r="O5656">
        <f>IF(L5656="", "Pending", IF(N5656&lt;=30, "Met", "Breached"))</f>
        <v/>
      </c>
      <c r="P5656" s="8" t="n"/>
      <c r="Q5656" s="8" t="n"/>
      <c r="R5656" s="8" t="n"/>
      <c r="S5656" s="8" t="n"/>
      <c r="T5656" s="8" t="n"/>
      <c r="U5656" s="8" t="n"/>
      <c r="V5656" s="8" t="n"/>
      <c r="W5656" s="8" t="n"/>
      <c r="X5656" s="8" t="n"/>
      <c r="Y5656" s="8" t="n"/>
    </row>
    <row r="5657">
      <c r="A5657" s="8" t="n"/>
      <c r="B5657" s="8" t="n"/>
      <c r="C5657" s="8" t="n"/>
      <c r="D5657" s="8" t="n"/>
      <c r="E5657" s="8" t="n"/>
      <c r="F5657" s="8" t="n"/>
      <c r="G5657" s="8" t="n"/>
      <c r="H5657" s="8" t="n"/>
      <c r="I5657" s="8" t="n"/>
      <c r="J5657" s="8" t="n"/>
      <c r="K5657" s="8" t="n"/>
      <c r="L5657" s="8" t="n"/>
      <c r="M5657" s="9">
        <f>B5657+30</f>
        <v/>
      </c>
      <c r="N5657">
        <f>IF(L5657="", "", L5657-B5657)</f>
        <v/>
      </c>
      <c r="O5657">
        <f>IF(L5657="", "Pending", IF(N5657&lt;=30, "Met", "Breached"))</f>
        <v/>
      </c>
      <c r="P5657" s="8" t="n"/>
      <c r="Q5657" s="8" t="n"/>
      <c r="R5657" s="8" t="n"/>
      <c r="S5657" s="8" t="n"/>
      <c r="T5657" s="8" t="n"/>
      <c r="U5657" s="8" t="n"/>
      <c r="V5657" s="8" t="n"/>
      <c r="W5657" s="8" t="n"/>
      <c r="X5657" s="8" t="n"/>
      <c r="Y5657" s="8" t="n"/>
    </row>
    <row r="5658">
      <c r="A5658" s="8" t="n"/>
      <c r="B5658" s="8" t="n"/>
      <c r="C5658" s="8" t="n"/>
      <c r="D5658" s="8" t="n"/>
      <c r="E5658" s="8" t="n"/>
      <c r="F5658" s="8" t="n"/>
      <c r="G5658" s="8" t="n"/>
      <c r="H5658" s="8" t="n"/>
      <c r="I5658" s="8" t="n"/>
      <c r="J5658" s="8" t="n"/>
      <c r="K5658" s="8" t="n"/>
      <c r="L5658" s="8" t="n"/>
      <c r="M5658" s="9">
        <f>B5658+30</f>
        <v/>
      </c>
      <c r="N5658">
        <f>IF(L5658="", "", L5658-B5658)</f>
        <v/>
      </c>
      <c r="O5658">
        <f>IF(L5658="", "Pending", IF(N5658&lt;=30, "Met", "Breached"))</f>
        <v/>
      </c>
      <c r="P5658" s="8" t="n"/>
      <c r="Q5658" s="8" t="n"/>
      <c r="R5658" s="8" t="n"/>
      <c r="S5658" s="8" t="n"/>
      <c r="T5658" s="8" t="n"/>
      <c r="U5658" s="8" t="n"/>
      <c r="V5658" s="8" t="n"/>
      <c r="W5658" s="8" t="n"/>
      <c r="X5658" s="8" t="n"/>
      <c r="Y5658" s="8" t="n"/>
    </row>
    <row r="5659">
      <c r="A5659" s="8" t="n"/>
      <c r="B5659" s="8" t="n"/>
      <c r="C5659" s="8" t="n"/>
      <c r="D5659" s="8" t="n"/>
      <c r="E5659" s="8" t="n"/>
      <c r="F5659" s="8" t="n"/>
      <c r="G5659" s="8" t="n"/>
      <c r="H5659" s="8" t="n"/>
      <c r="I5659" s="8" t="n"/>
      <c r="J5659" s="8" t="n"/>
      <c r="K5659" s="8" t="n"/>
      <c r="L5659" s="8" t="n"/>
      <c r="M5659" s="9">
        <f>B5659+30</f>
        <v/>
      </c>
      <c r="N5659">
        <f>IF(L5659="", "", L5659-B5659)</f>
        <v/>
      </c>
      <c r="O5659">
        <f>IF(L5659="", "Pending", IF(N5659&lt;=30, "Met", "Breached"))</f>
        <v/>
      </c>
      <c r="P5659" s="8" t="n"/>
      <c r="Q5659" s="8" t="n"/>
      <c r="R5659" s="8" t="n"/>
      <c r="S5659" s="8" t="n"/>
      <c r="T5659" s="8" t="n"/>
      <c r="U5659" s="8" t="n"/>
      <c r="V5659" s="8" t="n"/>
      <c r="W5659" s="8" t="n"/>
      <c r="X5659" s="8" t="n"/>
      <c r="Y5659" s="8" t="n"/>
    </row>
    <row r="5660">
      <c r="A5660" s="8" t="n"/>
      <c r="B5660" s="8" t="n"/>
      <c r="C5660" s="8" t="n"/>
      <c r="D5660" s="8" t="n"/>
      <c r="E5660" s="8" t="n"/>
      <c r="F5660" s="8" t="n"/>
      <c r="G5660" s="8" t="n"/>
      <c r="H5660" s="8" t="n"/>
      <c r="I5660" s="8" t="n"/>
      <c r="J5660" s="8" t="n"/>
      <c r="K5660" s="8" t="n"/>
      <c r="L5660" s="8" t="n"/>
      <c r="M5660" s="9">
        <f>B5660+30</f>
        <v/>
      </c>
      <c r="N5660">
        <f>IF(L5660="", "", L5660-B5660)</f>
        <v/>
      </c>
      <c r="O5660">
        <f>IF(L5660="", "Pending", IF(N5660&lt;=30, "Met", "Breached"))</f>
        <v/>
      </c>
      <c r="P5660" s="8" t="n"/>
      <c r="Q5660" s="8" t="n"/>
      <c r="R5660" s="8" t="n"/>
      <c r="S5660" s="8" t="n"/>
      <c r="T5660" s="8" t="n"/>
      <c r="U5660" s="8" t="n"/>
      <c r="V5660" s="8" t="n"/>
      <c r="W5660" s="8" t="n"/>
      <c r="X5660" s="8" t="n"/>
      <c r="Y5660" s="8" t="n"/>
    </row>
    <row r="5661">
      <c r="A5661" s="8" t="n"/>
      <c r="B5661" s="8" t="n"/>
      <c r="C5661" s="8" t="n"/>
      <c r="D5661" s="8" t="n"/>
      <c r="E5661" s="8" t="n"/>
      <c r="F5661" s="8" t="n"/>
      <c r="G5661" s="8" t="n"/>
      <c r="H5661" s="8" t="n"/>
      <c r="I5661" s="8" t="n"/>
      <c r="J5661" s="8" t="n"/>
      <c r="K5661" s="8" t="n"/>
      <c r="L5661" s="8" t="n"/>
      <c r="M5661" s="9">
        <f>B5661+30</f>
        <v/>
      </c>
      <c r="N5661">
        <f>IF(L5661="", "", L5661-B5661)</f>
        <v/>
      </c>
      <c r="O5661">
        <f>IF(L5661="", "Pending", IF(N5661&lt;=30, "Met", "Breached"))</f>
        <v/>
      </c>
      <c r="P5661" s="8" t="n"/>
      <c r="Q5661" s="8" t="n"/>
      <c r="R5661" s="8" t="n"/>
      <c r="S5661" s="8" t="n"/>
      <c r="T5661" s="8" t="n"/>
      <c r="U5661" s="8" t="n"/>
      <c r="V5661" s="8" t="n"/>
      <c r="W5661" s="8" t="n"/>
      <c r="X5661" s="8" t="n"/>
      <c r="Y5661" s="8" t="n"/>
    </row>
    <row r="5662">
      <c r="A5662" s="8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8" t="n"/>
      <c r="K5662" s="8" t="n"/>
      <c r="L5662" s="8" t="n"/>
      <c r="M5662" s="9">
        <f>B5662+30</f>
        <v/>
      </c>
      <c r="N5662">
        <f>IF(L5662="", "", L5662-B5662)</f>
        <v/>
      </c>
      <c r="O5662">
        <f>IF(L5662="", "Pending", IF(N5662&lt;=30, "Met", "Breached"))</f>
        <v/>
      </c>
      <c r="P5662" s="8" t="n"/>
      <c r="Q5662" s="8" t="n"/>
      <c r="R5662" s="8" t="n"/>
      <c r="S5662" s="8" t="n"/>
      <c r="T5662" s="8" t="n"/>
      <c r="U5662" s="8" t="n"/>
      <c r="V5662" s="8" t="n"/>
      <c r="W5662" s="8" t="n"/>
      <c r="X5662" s="8" t="n"/>
      <c r="Y5662" s="8" t="n"/>
    </row>
    <row r="5663">
      <c r="A5663" s="8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8" t="n"/>
      <c r="K5663" s="8" t="n"/>
      <c r="L5663" s="8" t="n"/>
      <c r="M5663" s="9">
        <f>B5663+30</f>
        <v/>
      </c>
      <c r="N5663">
        <f>IF(L5663="", "", L5663-B5663)</f>
        <v/>
      </c>
      <c r="O5663">
        <f>IF(L5663="", "Pending", IF(N5663&lt;=30, "Met", "Breached"))</f>
        <v/>
      </c>
      <c r="P5663" s="8" t="n"/>
      <c r="Q5663" s="8" t="n"/>
      <c r="R5663" s="8" t="n"/>
      <c r="S5663" s="8" t="n"/>
      <c r="T5663" s="8" t="n"/>
      <c r="U5663" s="8" t="n"/>
      <c r="V5663" s="8" t="n"/>
      <c r="W5663" s="8" t="n"/>
      <c r="X5663" s="8" t="n"/>
      <c r="Y5663" s="8" t="n"/>
    </row>
    <row r="5664">
      <c r="A5664" s="8" t="n"/>
      <c r="B5664" s="8" t="n"/>
      <c r="C5664" s="8" t="n"/>
      <c r="D5664" s="8" t="n"/>
      <c r="E5664" s="8" t="n"/>
      <c r="F5664" s="8" t="n"/>
      <c r="G5664" s="8" t="n"/>
      <c r="H5664" s="8" t="n"/>
      <c r="I5664" s="8" t="n"/>
      <c r="J5664" s="8" t="n"/>
      <c r="K5664" s="8" t="n"/>
      <c r="L5664" s="8" t="n"/>
      <c r="M5664" s="9">
        <f>B5664+30</f>
        <v/>
      </c>
      <c r="N5664">
        <f>IF(L5664="", "", L5664-B5664)</f>
        <v/>
      </c>
      <c r="O5664">
        <f>IF(L5664="", "Pending", IF(N5664&lt;=30, "Met", "Breached"))</f>
        <v/>
      </c>
      <c r="P5664" s="8" t="n"/>
      <c r="Q5664" s="8" t="n"/>
      <c r="R5664" s="8" t="n"/>
      <c r="S5664" s="8" t="n"/>
      <c r="T5664" s="8" t="n"/>
      <c r="U5664" s="8" t="n"/>
      <c r="V5664" s="8" t="n"/>
      <c r="W5664" s="8" t="n"/>
      <c r="X5664" s="8" t="n"/>
      <c r="Y5664" s="8" t="n"/>
    </row>
    <row r="5665">
      <c r="A5665" s="8" t="n"/>
      <c r="B5665" s="8" t="n"/>
      <c r="C5665" s="8" t="n"/>
      <c r="D5665" s="8" t="n"/>
      <c r="E5665" s="8" t="n"/>
      <c r="F5665" s="8" t="n"/>
      <c r="G5665" s="8" t="n"/>
      <c r="H5665" s="8" t="n"/>
      <c r="I5665" s="8" t="n"/>
      <c r="J5665" s="8" t="n"/>
      <c r="K5665" s="8" t="n"/>
      <c r="L5665" s="8" t="n"/>
      <c r="M5665" s="9">
        <f>B5665+30</f>
        <v/>
      </c>
      <c r="N5665">
        <f>IF(L5665="", "", L5665-B5665)</f>
        <v/>
      </c>
      <c r="O5665">
        <f>IF(L5665="", "Pending", IF(N5665&lt;=30, "Met", "Breached"))</f>
        <v/>
      </c>
      <c r="P5665" s="8" t="n"/>
      <c r="Q5665" s="8" t="n"/>
      <c r="R5665" s="8" t="n"/>
      <c r="S5665" s="8" t="n"/>
      <c r="T5665" s="8" t="n"/>
      <c r="U5665" s="8" t="n"/>
      <c r="V5665" s="8" t="n"/>
      <c r="W5665" s="8" t="n"/>
      <c r="X5665" s="8" t="n"/>
      <c r="Y5665" s="8" t="n"/>
    </row>
    <row r="5666">
      <c r="A5666" s="8" t="n"/>
      <c r="B5666" s="8" t="n"/>
      <c r="C5666" s="8" t="n"/>
      <c r="D5666" s="8" t="n"/>
      <c r="E5666" s="8" t="n"/>
      <c r="F5666" s="8" t="n"/>
      <c r="G5666" s="8" t="n"/>
      <c r="H5666" s="8" t="n"/>
      <c r="I5666" s="8" t="n"/>
      <c r="J5666" s="8" t="n"/>
      <c r="K5666" s="8" t="n"/>
      <c r="L5666" s="8" t="n"/>
      <c r="M5666" s="9">
        <f>B5666+30</f>
        <v/>
      </c>
      <c r="N5666">
        <f>IF(L5666="", "", L5666-B5666)</f>
        <v/>
      </c>
      <c r="O5666">
        <f>IF(L5666="", "Pending", IF(N5666&lt;=30, "Met", "Breached"))</f>
        <v/>
      </c>
      <c r="P5666" s="8" t="n"/>
      <c r="Q5666" s="8" t="n"/>
      <c r="R5666" s="8" t="n"/>
      <c r="S5666" s="8" t="n"/>
      <c r="T5666" s="8" t="n"/>
      <c r="U5666" s="8" t="n"/>
      <c r="V5666" s="8" t="n"/>
      <c r="W5666" s="8" t="n"/>
      <c r="X5666" s="8" t="n"/>
      <c r="Y5666" s="8" t="n"/>
    </row>
    <row r="5667">
      <c r="A5667" s="8" t="n"/>
      <c r="B5667" s="8" t="n"/>
      <c r="C5667" s="8" t="n"/>
      <c r="D5667" s="8" t="n"/>
      <c r="E5667" s="8" t="n"/>
      <c r="F5667" s="8" t="n"/>
      <c r="G5667" s="8" t="n"/>
      <c r="H5667" s="8" t="n"/>
      <c r="I5667" s="8" t="n"/>
      <c r="J5667" s="8" t="n"/>
      <c r="K5667" s="8" t="n"/>
      <c r="L5667" s="8" t="n"/>
      <c r="M5667" s="9">
        <f>B5667+30</f>
        <v/>
      </c>
      <c r="N5667">
        <f>IF(L5667="", "", L5667-B5667)</f>
        <v/>
      </c>
      <c r="O5667">
        <f>IF(L5667="", "Pending", IF(N5667&lt;=30, "Met", "Breached"))</f>
        <v/>
      </c>
      <c r="P5667" s="8" t="n"/>
      <c r="Q5667" s="8" t="n"/>
      <c r="R5667" s="8" t="n"/>
      <c r="S5667" s="8" t="n"/>
      <c r="T5667" s="8" t="n"/>
      <c r="U5667" s="8" t="n"/>
      <c r="V5667" s="8" t="n"/>
      <c r="W5667" s="8" t="n"/>
      <c r="X5667" s="8" t="n"/>
      <c r="Y5667" s="8" t="n"/>
    </row>
    <row r="5668">
      <c r="A5668" s="8" t="n"/>
      <c r="B5668" s="8" t="n"/>
      <c r="C5668" s="8" t="n"/>
      <c r="D5668" s="8" t="n"/>
      <c r="E5668" s="8" t="n"/>
      <c r="F5668" s="8" t="n"/>
      <c r="G5668" s="8" t="n"/>
      <c r="H5668" s="8" t="n"/>
      <c r="I5668" s="8" t="n"/>
      <c r="J5668" s="8" t="n"/>
      <c r="K5668" s="8" t="n"/>
      <c r="L5668" s="8" t="n"/>
      <c r="M5668" s="9">
        <f>B5668+30</f>
        <v/>
      </c>
      <c r="N5668">
        <f>IF(L5668="", "", L5668-B5668)</f>
        <v/>
      </c>
      <c r="O5668">
        <f>IF(L5668="", "Pending", IF(N5668&lt;=30, "Met", "Breached"))</f>
        <v/>
      </c>
      <c r="P5668" s="8" t="n"/>
      <c r="Q5668" s="8" t="n"/>
      <c r="R5668" s="8" t="n"/>
      <c r="S5668" s="8" t="n"/>
      <c r="T5668" s="8" t="n"/>
      <c r="U5668" s="8" t="n"/>
      <c r="V5668" s="8" t="n"/>
      <c r="W5668" s="8" t="n"/>
      <c r="X5668" s="8" t="n"/>
      <c r="Y5668" s="8" t="n"/>
    </row>
    <row r="5669">
      <c r="A5669" s="8" t="n"/>
      <c r="B5669" s="8" t="n"/>
      <c r="C5669" s="8" t="n"/>
      <c r="D5669" s="8" t="n"/>
      <c r="E5669" s="8" t="n"/>
      <c r="F5669" s="8" t="n"/>
      <c r="G5669" s="8" t="n"/>
      <c r="H5669" s="8" t="n"/>
      <c r="I5669" s="8" t="n"/>
      <c r="J5669" s="8" t="n"/>
      <c r="K5669" s="8" t="n"/>
      <c r="L5669" s="8" t="n"/>
      <c r="M5669" s="9">
        <f>B5669+30</f>
        <v/>
      </c>
      <c r="N5669">
        <f>IF(L5669="", "", L5669-B5669)</f>
        <v/>
      </c>
      <c r="O5669">
        <f>IF(L5669="", "Pending", IF(N5669&lt;=30, "Met", "Breached"))</f>
        <v/>
      </c>
      <c r="P5669" s="8" t="n"/>
      <c r="Q5669" s="8" t="n"/>
      <c r="R5669" s="8" t="n"/>
      <c r="S5669" s="8" t="n"/>
      <c r="T5669" s="8" t="n"/>
      <c r="U5669" s="8" t="n"/>
      <c r="V5669" s="8" t="n"/>
      <c r="W5669" s="8" t="n"/>
      <c r="X5669" s="8" t="n"/>
      <c r="Y5669" s="8" t="n"/>
    </row>
    <row r="5670">
      <c r="A5670" s="8" t="n"/>
      <c r="B5670" s="8" t="n"/>
      <c r="C5670" s="8" t="n"/>
      <c r="D5670" s="8" t="n"/>
      <c r="E5670" s="8" t="n"/>
      <c r="F5670" s="8" t="n"/>
      <c r="G5670" s="8" t="n"/>
      <c r="H5670" s="8" t="n"/>
      <c r="I5670" s="8" t="n"/>
      <c r="J5670" s="8" t="n"/>
      <c r="K5670" s="8" t="n"/>
      <c r="L5670" s="8" t="n"/>
      <c r="M5670" s="9">
        <f>B5670+30</f>
        <v/>
      </c>
      <c r="N5670">
        <f>IF(L5670="", "", L5670-B5670)</f>
        <v/>
      </c>
      <c r="O5670">
        <f>IF(L5670="", "Pending", IF(N5670&lt;=30, "Met", "Breached"))</f>
        <v/>
      </c>
      <c r="P5670" s="8" t="n"/>
      <c r="Q5670" s="8" t="n"/>
      <c r="R5670" s="8" t="n"/>
      <c r="S5670" s="8" t="n"/>
      <c r="T5670" s="8" t="n"/>
      <c r="U5670" s="8" t="n"/>
      <c r="V5670" s="8" t="n"/>
      <c r="W5670" s="8" t="n"/>
      <c r="X5670" s="8" t="n"/>
      <c r="Y5670" s="8" t="n"/>
    </row>
    <row r="5671">
      <c r="A5671" s="8" t="n"/>
      <c r="B5671" s="8" t="n"/>
      <c r="C5671" s="8" t="n"/>
      <c r="D5671" s="8" t="n"/>
      <c r="E5671" s="8" t="n"/>
      <c r="F5671" s="8" t="n"/>
      <c r="G5671" s="8" t="n"/>
      <c r="H5671" s="8" t="n"/>
      <c r="I5671" s="8" t="n"/>
      <c r="J5671" s="8" t="n"/>
      <c r="K5671" s="8" t="n"/>
      <c r="L5671" s="8" t="n"/>
      <c r="M5671" s="9">
        <f>B5671+30</f>
        <v/>
      </c>
      <c r="N5671">
        <f>IF(L5671="", "", L5671-B5671)</f>
        <v/>
      </c>
      <c r="O5671">
        <f>IF(L5671="", "Pending", IF(N5671&lt;=30, "Met", "Breached"))</f>
        <v/>
      </c>
      <c r="P5671" s="8" t="n"/>
      <c r="Q5671" s="8" t="n"/>
      <c r="R5671" s="8" t="n"/>
      <c r="S5671" s="8" t="n"/>
      <c r="T5671" s="8" t="n"/>
      <c r="U5671" s="8" t="n"/>
      <c r="V5671" s="8" t="n"/>
      <c r="W5671" s="8" t="n"/>
      <c r="X5671" s="8" t="n"/>
      <c r="Y5671" s="8" t="n"/>
    </row>
    <row r="5672">
      <c r="A5672" s="8" t="n"/>
      <c r="B5672" s="8" t="n"/>
      <c r="C5672" s="8" t="n"/>
      <c r="D5672" s="8" t="n"/>
      <c r="E5672" s="8" t="n"/>
      <c r="F5672" s="8" t="n"/>
      <c r="G5672" s="8" t="n"/>
      <c r="H5672" s="8" t="n"/>
      <c r="I5672" s="8" t="n"/>
      <c r="J5672" s="8" t="n"/>
      <c r="K5672" s="8" t="n"/>
      <c r="L5672" s="8" t="n"/>
      <c r="M5672" s="9">
        <f>B5672+30</f>
        <v/>
      </c>
      <c r="N5672">
        <f>IF(L5672="", "", L5672-B5672)</f>
        <v/>
      </c>
      <c r="O5672">
        <f>IF(L5672="", "Pending", IF(N5672&lt;=30, "Met", "Breached"))</f>
        <v/>
      </c>
      <c r="P5672" s="8" t="n"/>
      <c r="Q5672" s="8" t="n"/>
      <c r="R5672" s="8" t="n"/>
      <c r="S5672" s="8" t="n"/>
      <c r="T5672" s="8" t="n"/>
      <c r="U5672" s="8" t="n"/>
      <c r="V5672" s="8" t="n"/>
      <c r="W5672" s="8" t="n"/>
      <c r="X5672" s="8" t="n"/>
      <c r="Y5672" s="8" t="n"/>
    </row>
    <row r="5673">
      <c r="A5673" s="8" t="n"/>
      <c r="B5673" s="8" t="n"/>
      <c r="C5673" s="8" t="n"/>
      <c r="D5673" s="8" t="n"/>
      <c r="E5673" s="8" t="n"/>
      <c r="F5673" s="8" t="n"/>
      <c r="G5673" s="8" t="n"/>
      <c r="H5673" s="8" t="n"/>
      <c r="I5673" s="8" t="n"/>
      <c r="J5673" s="8" t="n"/>
      <c r="K5673" s="8" t="n"/>
      <c r="L5673" s="8" t="n"/>
      <c r="M5673" s="9">
        <f>B5673+30</f>
        <v/>
      </c>
      <c r="N5673">
        <f>IF(L5673="", "", L5673-B5673)</f>
        <v/>
      </c>
      <c r="O5673">
        <f>IF(L5673="", "Pending", IF(N5673&lt;=30, "Met", "Breached"))</f>
        <v/>
      </c>
      <c r="P5673" s="8" t="n"/>
      <c r="Q5673" s="8" t="n"/>
      <c r="R5673" s="8" t="n"/>
      <c r="S5673" s="8" t="n"/>
      <c r="T5673" s="8" t="n"/>
      <c r="U5673" s="8" t="n"/>
      <c r="V5673" s="8" t="n"/>
      <c r="W5673" s="8" t="n"/>
      <c r="X5673" s="8" t="n"/>
      <c r="Y5673" s="8" t="n"/>
    </row>
    <row r="5674">
      <c r="A5674" s="8" t="n"/>
      <c r="B5674" s="8" t="n"/>
      <c r="C5674" s="8" t="n"/>
      <c r="D5674" s="8" t="n"/>
      <c r="E5674" s="8" t="n"/>
      <c r="F5674" s="8" t="n"/>
      <c r="G5674" s="8" t="n"/>
      <c r="H5674" s="8" t="n"/>
      <c r="I5674" s="8" t="n"/>
      <c r="J5674" s="8" t="n"/>
      <c r="K5674" s="8" t="n"/>
      <c r="L5674" s="8" t="n"/>
      <c r="M5674" s="9">
        <f>B5674+30</f>
        <v/>
      </c>
      <c r="N5674">
        <f>IF(L5674="", "", L5674-B5674)</f>
        <v/>
      </c>
      <c r="O5674">
        <f>IF(L5674="", "Pending", IF(N5674&lt;=30, "Met", "Breached"))</f>
        <v/>
      </c>
      <c r="P5674" s="8" t="n"/>
      <c r="Q5674" s="8" t="n"/>
      <c r="R5674" s="8" t="n"/>
      <c r="S5674" s="8" t="n"/>
      <c r="T5674" s="8" t="n"/>
      <c r="U5674" s="8" t="n"/>
      <c r="V5674" s="8" t="n"/>
      <c r="W5674" s="8" t="n"/>
      <c r="X5674" s="8" t="n"/>
      <c r="Y5674" s="8" t="n"/>
    </row>
    <row r="5675">
      <c r="A5675" s="8" t="n"/>
      <c r="B5675" s="8" t="n"/>
      <c r="C5675" s="8" t="n"/>
      <c r="D5675" s="8" t="n"/>
      <c r="E5675" s="8" t="n"/>
      <c r="F5675" s="8" t="n"/>
      <c r="G5675" s="8" t="n"/>
      <c r="H5675" s="8" t="n"/>
      <c r="I5675" s="8" t="n"/>
      <c r="J5675" s="8" t="n"/>
      <c r="K5675" s="8" t="n"/>
      <c r="L5675" s="8" t="n"/>
      <c r="M5675" s="9">
        <f>B5675+30</f>
        <v/>
      </c>
      <c r="N5675">
        <f>IF(L5675="", "", L5675-B5675)</f>
        <v/>
      </c>
      <c r="O5675">
        <f>IF(L5675="", "Pending", IF(N5675&lt;=30, "Met", "Breached"))</f>
        <v/>
      </c>
      <c r="P5675" s="8" t="n"/>
      <c r="Q5675" s="8" t="n"/>
      <c r="R5675" s="8" t="n"/>
      <c r="S5675" s="8" t="n"/>
      <c r="T5675" s="8" t="n"/>
      <c r="U5675" s="8" t="n"/>
      <c r="V5675" s="8" t="n"/>
      <c r="W5675" s="8" t="n"/>
      <c r="X5675" s="8" t="n"/>
      <c r="Y5675" s="8" t="n"/>
    </row>
    <row r="5676">
      <c r="A5676" s="8" t="n"/>
      <c r="B5676" s="8" t="n"/>
      <c r="C5676" s="8" t="n"/>
      <c r="D5676" s="8" t="n"/>
      <c r="E5676" s="8" t="n"/>
      <c r="F5676" s="8" t="n"/>
      <c r="G5676" s="8" t="n"/>
      <c r="H5676" s="8" t="n"/>
      <c r="I5676" s="8" t="n"/>
      <c r="J5676" s="8" t="n"/>
      <c r="K5676" s="8" t="n"/>
      <c r="L5676" s="8" t="n"/>
      <c r="M5676" s="9">
        <f>B5676+30</f>
        <v/>
      </c>
      <c r="N5676">
        <f>IF(L5676="", "", L5676-B5676)</f>
        <v/>
      </c>
      <c r="O5676">
        <f>IF(L5676="", "Pending", IF(N5676&lt;=30, "Met", "Breached"))</f>
        <v/>
      </c>
      <c r="P5676" s="8" t="n"/>
      <c r="Q5676" s="8" t="n"/>
      <c r="R5676" s="8" t="n"/>
      <c r="S5676" s="8" t="n"/>
      <c r="T5676" s="8" t="n"/>
      <c r="U5676" s="8" t="n"/>
      <c r="V5676" s="8" t="n"/>
      <c r="W5676" s="8" t="n"/>
      <c r="X5676" s="8" t="n"/>
      <c r="Y5676" s="8" t="n"/>
    </row>
    <row r="5677">
      <c r="A5677" s="8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8" t="n"/>
      <c r="K5677" s="8" t="n"/>
      <c r="L5677" s="8" t="n"/>
      <c r="M5677" s="9">
        <f>B5677+30</f>
        <v/>
      </c>
      <c r="N5677">
        <f>IF(L5677="", "", L5677-B5677)</f>
        <v/>
      </c>
      <c r="O5677">
        <f>IF(L5677="", "Pending", IF(N5677&lt;=30, "Met", "Breached"))</f>
        <v/>
      </c>
      <c r="P5677" s="8" t="n"/>
      <c r="Q5677" s="8" t="n"/>
      <c r="R5677" s="8" t="n"/>
      <c r="S5677" s="8" t="n"/>
      <c r="T5677" s="8" t="n"/>
      <c r="U5677" s="8" t="n"/>
      <c r="V5677" s="8" t="n"/>
      <c r="W5677" s="8" t="n"/>
      <c r="X5677" s="8" t="n"/>
      <c r="Y5677" s="8" t="n"/>
    </row>
    <row r="5678">
      <c r="A5678" s="8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8" t="n"/>
      <c r="K5678" s="8" t="n"/>
      <c r="L5678" s="8" t="n"/>
      <c r="M5678" s="9">
        <f>B5678+30</f>
        <v/>
      </c>
      <c r="N5678">
        <f>IF(L5678="", "", L5678-B5678)</f>
        <v/>
      </c>
      <c r="O5678">
        <f>IF(L5678="", "Pending", IF(N5678&lt;=30, "Met", "Breached"))</f>
        <v/>
      </c>
      <c r="P5678" s="8" t="n"/>
      <c r="Q5678" s="8" t="n"/>
      <c r="R5678" s="8" t="n"/>
      <c r="S5678" s="8" t="n"/>
      <c r="T5678" s="8" t="n"/>
      <c r="U5678" s="8" t="n"/>
      <c r="V5678" s="8" t="n"/>
      <c r="W5678" s="8" t="n"/>
      <c r="X5678" s="8" t="n"/>
      <c r="Y5678" s="8" t="n"/>
    </row>
    <row r="5679">
      <c r="A5679" s="8" t="n"/>
      <c r="B5679" s="8" t="n"/>
      <c r="C5679" s="8" t="n"/>
      <c r="D5679" s="8" t="n"/>
      <c r="E5679" s="8" t="n"/>
      <c r="F5679" s="8" t="n"/>
      <c r="G5679" s="8" t="n"/>
      <c r="H5679" s="8" t="n"/>
      <c r="I5679" s="8" t="n"/>
      <c r="J5679" s="8" t="n"/>
      <c r="K5679" s="8" t="n"/>
      <c r="L5679" s="8" t="n"/>
      <c r="M5679" s="9">
        <f>B5679+30</f>
        <v/>
      </c>
      <c r="N5679">
        <f>IF(L5679="", "", L5679-B5679)</f>
        <v/>
      </c>
      <c r="O5679">
        <f>IF(L5679="", "Pending", IF(N5679&lt;=30, "Met", "Breached"))</f>
        <v/>
      </c>
      <c r="P5679" s="8" t="n"/>
      <c r="Q5679" s="8" t="n"/>
      <c r="R5679" s="8" t="n"/>
      <c r="S5679" s="8" t="n"/>
      <c r="T5679" s="8" t="n"/>
      <c r="U5679" s="8" t="n"/>
      <c r="V5679" s="8" t="n"/>
      <c r="W5679" s="8" t="n"/>
      <c r="X5679" s="8" t="n"/>
      <c r="Y5679" s="8" t="n"/>
    </row>
    <row r="5680">
      <c r="A5680" s="8" t="n"/>
      <c r="B5680" s="8" t="n"/>
      <c r="C5680" s="8" t="n"/>
      <c r="D5680" s="8" t="n"/>
      <c r="E5680" s="8" t="n"/>
      <c r="F5680" s="8" t="n"/>
      <c r="G5680" s="8" t="n"/>
      <c r="H5680" s="8" t="n"/>
      <c r="I5680" s="8" t="n"/>
      <c r="J5680" s="8" t="n"/>
      <c r="K5680" s="8" t="n"/>
      <c r="L5680" s="8" t="n"/>
      <c r="M5680" s="9">
        <f>B5680+30</f>
        <v/>
      </c>
      <c r="N5680">
        <f>IF(L5680="", "", L5680-B5680)</f>
        <v/>
      </c>
      <c r="O5680">
        <f>IF(L5680="", "Pending", IF(N5680&lt;=30, "Met", "Breached"))</f>
        <v/>
      </c>
      <c r="P5680" s="8" t="n"/>
      <c r="Q5680" s="8" t="n"/>
      <c r="R5680" s="8" t="n"/>
      <c r="S5680" s="8" t="n"/>
      <c r="T5680" s="8" t="n"/>
      <c r="U5680" s="8" t="n"/>
      <c r="V5680" s="8" t="n"/>
      <c r="W5680" s="8" t="n"/>
      <c r="X5680" s="8" t="n"/>
      <c r="Y5680" s="8" t="n"/>
    </row>
    <row r="5681">
      <c r="A5681" s="8" t="n"/>
      <c r="B5681" s="8" t="n"/>
      <c r="C5681" s="8" t="n"/>
      <c r="D5681" s="8" t="n"/>
      <c r="E5681" s="8" t="n"/>
      <c r="F5681" s="8" t="n"/>
      <c r="G5681" s="8" t="n"/>
      <c r="H5681" s="8" t="n"/>
      <c r="I5681" s="8" t="n"/>
      <c r="J5681" s="8" t="n"/>
      <c r="K5681" s="8" t="n"/>
      <c r="L5681" s="8" t="n"/>
      <c r="M5681" s="9">
        <f>B5681+30</f>
        <v/>
      </c>
      <c r="N5681">
        <f>IF(L5681="", "", L5681-B5681)</f>
        <v/>
      </c>
      <c r="O5681">
        <f>IF(L5681="", "Pending", IF(N5681&lt;=30, "Met", "Breached"))</f>
        <v/>
      </c>
      <c r="P5681" s="8" t="n"/>
      <c r="Q5681" s="8" t="n"/>
      <c r="R5681" s="8" t="n"/>
      <c r="S5681" s="8" t="n"/>
      <c r="T5681" s="8" t="n"/>
      <c r="U5681" s="8" t="n"/>
      <c r="V5681" s="8" t="n"/>
      <c r="W5681" s="8" t="n"/>
      <c r="X5681" s="8" t="n"/>
      <c r="Y5681" s="8" t="n"/>
    </row>
    <row r="5682">
      <c r="A5682" s="8" t="n"/>
      <c r="B5682" s="8" t="n"/>
      <c r="C5682" s="8" t="n"/>
      <c r="D5682" s="8" t="n"/>
      <c r="E5682" s="8" t="n"/>
      <c r="F5682" s="8" t="n"/>
      <c r="G5682" s="8" t="n"/>
      <c r="H5682" s="8" t="n"/>
      <c r="I5682" s="8" t="n"/>
      <c r="J5682" s="8" t="n"/>
      <c r="K5682" s="8" t="n"/>
      <c r="L5682" s="8" t="n"/>
      <c r="M5682" s="9">
        <f>B5682+30</f>
        <v/>
      </c>
      <c r="N5682">
        <f>IF(L5682="", "", L5682-B5682)</f>
        <v/>
      </c>
      <c r="O5682">
        <f>IF(L5682="", "Pending", IF(N5682&lt;=30, "Met", "Breached"))</f>
        <v/>
      </c>
      <c r="P5682" s="8" t="n"/>
      <c r="Q5682" s="8" t="n"/>
      <c r="R5682" s="8" t="n"/>
      <c r="S5682" s="8" t="n"/>
      <c r="T5682" s="8" t="n"/>
      <c r="U5682" s="8" t="n"/>
      <c r="V5682" s="8" t="n"/>
      <c r="W5682" s="8" t="n"/>
      <c r="X5682" s="8" t="n"/>
      <c r="Y5682" s="8" t="n"/>
    </row>
    <row r="5683">
      <c r="A5683" s="8" t="n"/>
      <c r="B5683" s="8" t="n"/>
      <c r="C5683" s="8" t="n"/>
      <c r="D5683" s="8" t="n"/>
      <c r="E5683" s="8" t="n"/>
      <c r="F5683" s="8" t="n"/>
      <c r="G5683" s="8" t="n"/>
      <c r="H5683" s="8" t="n"/>
      <c r="I5683" s="8" t="n"/>
      <c r="J5683" s="8" t="n"/>
      <c r="K5683" s="8" t="n"/>
      <c r="L5683" s="8" t="n"/>
      <c r="M5683" s="9">
        <f>B5683+30</f>
        <v/>
      </c>
      <c r="N5683">
        <f>IF(L5683="", "", L5683-B5683)</f>
        <v/>
      </c>
      <c r="O5683">
        <f>IF(L5683="", "Pending", IF(N5683&lt;=30, "Met", "Breached"))</f>
        <v/>
      </c>
      <c r="P5683" s="8" t="n"/>
      <c r="Q5683" s="8" t="n"/>
      <c r="R5683" s="8" t="n"/>
      <c r="S5683" s="8" t="n"/>
      <c r="T5683" s="8" t="n"/>
      <c r="U5683" s="8" t="n"/>
      <c r="V5683" s="8" t="n"/>
      <c r="W5683" s="8" t="n"/>
      <c r="X5683" s="8" t="n"/>
      <c r="Y5683" s="8" t="n"/>
    </row>
    <row r="5684">
      <c r="A5684" s="8" t="n"/>
      <c r="B5684" s="8" t="n"/>
      <c r="C5684" s="8" t="n"/>
      <c r="D5684" s="8" t="n"/>
      <c r="E5684" s="8" t="n"/>
      <c r="F5684" s="8" t="n"/>
      <c r="G5684" s="8" t="n"/>
      <c r="H5684" s="8" t="n"/>
      <c r="I5684" s="8" t="n"/>
      <c r="J5684" s="8" t="n"/>
      <c r="K5684" s="8" t="n"/>
      <c r="L5684" s="8" t="n"/>
      <c r="M5684" s="9">
        <f>B5684+30</f>
        <v/>
      </c>
      <c r="N5684">
        <f>IF(L5684="", "", L5684-B5684)</f>
        <v/>
      </c>
      <c r="O5684">
        <f>IF(L5684="", "Pending", IF(N5684&lt;=30, "Met", "Breached"))</f>
        <v/>
      </c>
      <c r="P5684" s="8" t="n"/>
      <c r="Q5684" s="8" t="n"/>
      <c r="R5684" s="8" t="n"/>
      <c r="S5684" s="8" t="n"/>
      <c r="T5684" s="8" t="n"/>
      <c r="U5684" s="8" t="n"/>
      <c r="V5684" s="8" t="n"/>
      <c r="W5684" s="8" t="n"/>
      <c r="X5684" s="8" t="n"/>
      <c r="Y5684" s="8" t="n"/>
    </row>
    <row r="5685">
      <c r="A5685" s="8" t="n"/>
      <c r="B5685" s="8" t="n"/>
      <c r="C5685" s="8" t="n"/>
      <c r="D5685" s="8" t="n"/>
      <c r="E5685" s="8" t="n"/>
      <c r="F5685" s="8" t="n"/>
      <c r="G5685" s="8" t="n"/>
      <c r="H5685" s="8" t="n"/>
      <c r="I5685" s="8" t="n"/>
      <c r="J5685" s="8" t="n"/>
      <c r="K5685" s="8" t="n"/>
      <c r="L5685" s="8" t="n"/>
      <c r="M5685" s="9">
        <f>B5685+30</f>
        <v/>
      </c>
      <c r="N5685">
        <f>IF(L5685="", "", L5685-B5685)</f>
        <v/>
      </c>
      <c r="O5685">
        <f>IF(L5685="", "Pending", IF(N5685&lt;=30, "Met", "Breached"))</f>
        <v/>
      </c>
      <c r="P5685" s="8" t="n"/>
      <c r="Q5685" s="8" t="n"/>
      <c r="R5685" s="8" t="n"/>
      <c r="S5685" s="8" t="n"/>
      <c r="T5685" s="8" t="n"/>
      <c r="U5685" s="8" t="n"/>
      <c r="V5685" s="8" t="n"/>
      <c r="W5685" s="8" t="n"/>
      <c r="X5685" s="8" t="n"/>
      <c r="Y5685" s="8" t="n"/>
    </row>
    <row r="5686">
      <c r="A5686" s="8" t="n"/>
      <c r="B5686" s="8" t="n"/>
      <c r="C5686" s="8" t="n"/>
      <c r="D5686" s="8" t="n"/>
      <c r="E5686" s="8" t="n"/>
      <c r="F5686" s="8" t="n"/>
      <c r="G5686" s="8" t="n"/>
      <c r="H5686" s="8" t="n"/>
      <c r="I5686" s="8" t="n"/>
      <c r="J5686" s="8" t="n"/>
      <c r="K5686" s="8" t="n"/>
      <c r="L5686" s="8" t="n"/>
      <c r="M5686" s="9">
        <f>B5686+30</f>
        <v/>
      </c>
      <c r="N5686">
        <f>IF(L5686="", "", L5686-B5686)</f>
        <v/>
      </c>
      <c r="O5686">
        <f>IF(L5686="", "Pending", IF(N5686&lt;=30, "Met", "Breached"))</f>
        <v/>
      </c>
      <c r="P5686" s="8" t="n"/>
      <c r="Q5686" s="8" t="n"/>
      <c r="R5686" s="8" t="n"/>
      <c r="S5686" s="8" t="n"/>
      <c r="T5686" s="8" t="n"/>
      <c r="U5686" s="8" t="n"/>
      <c r="V5686" s="8" t="n"/>
      <c r="W5686" s="8" t="n"/>
      <c r="X5686" s="8" t="n"/>
      <c r="Y5686" s="8" t="n"/>
    </row>
    <row r="5687">
      <c r="A5687" s="8" t="n"/>
      <c r="B5687" s="8" t="n"/>
      <c r="C5687" s="8" t="n"/>
      <c r="D5687" s="8" t="n"/>
      <c r="E5687" s="8" t="n"/>
      <c r="F5687" s="8" t="n"/>
      <c r="G5687" s="8" t="n"/>
      <c r="H5687" s="8" t="n"/>
      <c r="I5687" s="8" t="n"/>
      <c r="J5687" s="8" t="n"/>
      <c r="K5687" s="8" t="n"/>
      <c r="L5687" s="8" t="n"/>
      <c r="M5687" s="9">
        <f>B5687+30</f>
        <v/>
      </c>
      <c r="N5687">
        <f>IF(L5687="", "", L5687-B5687)</f>
        <v/>
      </c>
      <c r="O5687">
        <f>IF(L5687="", "Pending", IF(N5687&lt;=30, "Met", "Breached"))</f>
        <v/>
      </c>
      <c r="P5687" s="8" t="n"/>
      <c r="Q5687" s="8" t="n"/>
      <c r="R5687" s="8" t="n"/>
      <c r="S5687" s="8" t="n"/>
      <c r="T5687" s="8" t="n"/>
      <c r="U5687" s="8" t="n"/>
      <c r="V5687" s="8" t="n"/>
      <c r="W5687" s="8" t="n"/>
      <c r="X5687" s="8" t="n"/>
      <c r="Y5687" s="8" t="n"/>
    </row>
    <row r="5688">
      <c r="A5688" s="8" t="n"/>
      <c r="B5688" s="8" t="n"/>
      <c r="C5688" s="8" t="n"/>
      <c r="D5688" s="8" t="n"/>
      <c r="E5688" s="8" t="n"/>
      <c r="F5688" s="8" t="n"/>
      <c r="G5688" s="8" t="n"/>
      <c r="H5688" s="8" t="n"/>
      <c r="I5688" s="8" t="n"/>
      <c r="J5688" s="8" t="n"/>
      <c r="K5688" s="8" t="n"/>
      <c r="L5688" s="8" t="n"/>
      <c r="M5688" s="9">
        <f>B5688+30</f>
        <v/>
      </c>
      <c r="N5688">
        <f>IF(L5688="", "", L5688-B5688)</f>
        <v/>
      </c>
      <c r="O5688">
        <f>IF(L5688="", "Pending", IF(N5688&lt;=30, "Met", "Breached"))</f>
        <v/>
      </c>
      <c r="P5688" s="8" t="n"/>
      <c r="Q5688" s="8" t="n"/>
      <c r="R5688" s="8" t="n"/>
      <c r="S5688" s="8" t="n"/>
      <c r="T5688" s="8" t="n"/>
      <c r="U5688" s="8" t="n"/>
      <c r="V5688" s="8" t="n"/>
      <c r="W5688" s="8" t="n"/>
      <c r="X5688" s="8" t="n"/>
      <c r="Y5688" s="8" t="n"/>
    </row>
    <row r="5689">
      <c r="A5689" s="8" t="n"/>
      <c r="B5689" s="8" t="n"/>
      <c r="C5689" s="8" t="n"/>
      <c r="D5689" s="8" t="n"/>
      <c r="E5689" s="8" t="n"/>
      <c r="F5689" s="8" t="n"/>
      <c r="G5689" s="8" t="n"/>
      <c r="H5689" s="8" t="n"/>
      <c r="I5689" s="8" t="n"/>
      <c r="J5689" s="8" t="n"/>
      <c r="K5689" s="8" t="n"/>
      <c r="L5689" s="8" t="n"/>
      <c r="M5689" s="9">
        <f>B5689+30</f>
        <v/>
      </c>
      <c r="N5689">
        <f>IF(L5689="", "", L5689-B5689)</f>
        <v/>
      </c>
      <c r="O5689">
        <f>IF(L5689="", "Pending", IF(N5689&lt;=30, "Met", "Breached"))</f>
        <v/>
      </c>
      <c r="P5689" s="8" t="n"/>
      <c r="Q5689" s="8" t="n"/>
      <c r="R5689" s="8" t="n"/>
      <c r="S5689" s="8" t="n"/>
      <c r="T5689" s="8" t="n"/>
      <c r="U5689" s="8" t="n"/>
      <c r="V5689" s="8" t="n"/>
      <c r="W5689" s="8" t="n"/>
      <c r="X5689" s="8" t="n"/>
      <c r="Y5689" s="8" t="n"/>
    </row>
    <row r="5690">
      <c r="A5690" s="8" t="n"/>
      <c r="B5690" s="8" t="n"/>
      <c r="C5690" s="8" t="n"/>
      <c r="D5690" s="8" t="n"/>
      <c r="E5690" s="8" t="n"/>
      <c r="F5690" s="8" t="n"/>
      <c r="G5690" s="8" t="n"/>
      <c r="H5690" s="8" t="n"/>
      <c r="I5690" s="8" t="n"/>
      <c r="J5690" s="8" t="n"/>
      <c r="K5690" s="8" t="n"/>
      <c r="L5690" s="8" t="n"/>
      <c r="M5690" s="9">
        <f>B5690+30</f>
        <v/>
      </c>
      <c r="N5690">
        <f>IF(L5690="", "", L5690-B5690)</f>
        <v/>
      </c>
      <c r="O5690">
        <f>IF(L5690="", "Pending", IF(N5690&lt;=30, "Met", "Breached"))</f>
        <v/>
      </c>
      <c r="P5690" s="8" t="n"/>
      <c r="Q5690" s="8" t="n"/>
      <c r="R5690" s="8" t="n"/>
      <c r="S5690" s="8" t="n"/>
      <c r="T5690" s="8" t="n"/>
      <c r="U5690" s="8" t="n"/>
      <c r="V5690" s="8" t="n"/>
      <c r="W5690" s="8" t="n"/>
      <c r="X5690" s="8" t="n"/>
      <c r="Y5690" s="8" t="n"/>
    </row>
    <row r="5691">
      <c r="A5691" s="8" t="n"/>
      <c r="B5691" s="8" t="n"/>
      <c r="C5691" s="8" t="n"/>
      <c r="D5691" s="8" t="n"/>
      <c r="E5691" s="8" t="n"/>
      <c r="F5691" s="8" t="n"/>
      <c r="G5691" s="8" t="n"/>
      <c r="H5691" s="8" t="n"/>
      <c r="I5691" s="8" t="n"/>
      <c r="J5691" s="8" t="n"/>
      <c r="K5691" s="8" t="n"/>
      <c r="L5691" s="8" t="n"/>
      <c r="M5691" s="9">
        <f>B5691+30</f>
        <v/>
      </c>
      <c r="N5691">
        <f>IF(L5691="", "", L5691-B5691)</f>
        <v/>
      </c>
      <c r="O5691">
        <f>IF(L5691="", "Pending", IF(N5691&lt;=30, "Met", "Breached"))</f>
        <v/>
      </c>
      <c r="P5691" s="8" t="n"/>
      <c r="Q5691" s="8" t="n"/>
      <c r="R5691" s="8" t="n"/>
      <c r="S5691" s="8" t="n"/>
      <c r="T5691" s="8" t="n"/>
      <c r="U5691" s="8" t="n"/>
      <c r="V5691" s="8" t="n"/>
      <c r="W5691" s="8" t="n"/>
      <c r="X5691" s="8" t="n"/>
      <c r="Y5691" s="8" t="n"/>
    </row>
    <row r="5692">
      <c r="A5692" s="8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8" t="n"/>
      <c r="K5692" s="8" t="n"/>
      <c r="L5692" s="8" t="n"/>
      <c r="M5692" s="9">
        <f>B5692+30</f>
        <v/>
      </c>
      <c r="N5692">
        <f>IF(L5692="", "", L5692-B5692)</f>
        <v/>
      </c>
      <c r="O5692">
        <f>IF(L5692="", "Pending", IF(N5692&lt;=30, "Met", "Breached"))</f>
        <v/>
      </c>
      <c r="P5692" s="8" t="n"/>
      <c r="Q5692" s="8" t="n"/>
      <c r="R5692" s="8" t="n"/>
      <c r="S5692" s="8" t="n"/>
      <c r="T5692" s="8" t="n"/>
      <c r="U5692" s="8" t="n"/>
      <c r="V5692" s="8" t="n"/>
      <c r="W5692" s="8" t="n"/>
      <c r="X5692" s="8" t="n"/>
      <c r="Y5692" s="8" t="n"/>
    </row>
    <row r="5693">
      <c r="A5693" s="8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8" t="n"/>
      <c r="K5693" s="8" t="n"/>
      <c r="L5693" s="8" t="n"/>
      <c r="M5693" s="9">
        <f>B5693+30</f>
        <v/>
      </c>
      <c r="N5693">
        <f>IF(L5693="", "", L5693-B5693)</f>
        <v/>
      </c>
      <c r="O5693">
        <f>IF(L5693="", "Pending", IF(N5693&lt;=30, "Met", "Breached"))</f>
        <v/>
      </c>
      <c r="P5693" s="8" t="n"/>
      <c r="Q5693" s="8" t="n"/>
      <c r="R5693" s="8" t="n"/>
      <c r="S5693" s="8" t="n"/>
      <c r="T5693" s="8" t="n"/>
      <c r="U5693" s="8" t="n"/>
      <c r="V5693" s="8" t="n"/>
      <c r="W5693" s="8" t="n"/>
      <c r="X5693" s="8" t="n"/>
      <c r="Y5693" s="8" t="n"/>
    </row>
    <row r="5694">
      <c r="A5694" s="8" t="n"/>
      <c r="B5694" s="8" t="n"/>
      <c r="C5694" s="8" t="n"/>
      <c r="D5694" s="8" t="n"/>
      <c r="E5694" s="8" t="n"/>
      <c r="F5694" s="8" t="n"/>
      <c r="G5694" s="8" t="n"/>
      <c r="H5694" s="8" t="n"/>
      <c r="I5694" s="8" t="n"/>
      <c r="J5694" s="8" t="n"/>
      <c r="K5694" s="8" t="n"/>
      <c r="L5694" s="8" t="n"/>
      <c r="M5694" s="9">
        <f>B5694+30</f>
        <v/>
      </c>
      <c r="N5694">
        <f>IF(L5694="", "", L5694-B5694)</f>
        <v/>
      </c>
      <c r="O5694">
        <f>IF(L5694="", "Pending", IF(N5694&lt;=30, "Met", "Breached"))</f>
        <v/>
      </c>
      <c r="P5694" s="8" t="n"/>
      <c r="Q5694" s="8" t="n"/>
      <c r="R5694" s="8" t="n"/>
      <c r="S5694" s="8" t="n"/>
      <c r="T5694" s="8" t="n"/>
      <c r="U5694" s="8" t="n"/>
      <c r="V5694" s="8" t="n"/>
      <c r="W5694" s="8" t="n"/>
      <c r="X5694" s="8" t="n"/>
      <c r="Y5694" s="8" t="n"/>
    </row>
    <row r="5695">
      <c r="A5695" s="8" t="n"/>
      <c r="B5695" s="8" t="n"/>
      <c r="C5695" s="8" t="n"/>
      <c r="D5695" s="8" t="n"/>
      <c r="E5695" s="8" t="n"/>
      <c r="F5695" s="8" t="n"/>
      <c r="G5695" s="8" t="n"/>
      <c r="H5695" s="8" t="n"/>
      <c r="I5695" s="8" t="n"/>
      <c r="J5695" s="8" t="n"/>
      <c r="K5695" s="8" t="n"/>
      <c r="L5695" s="8" t="n"/>
      <c r="M5695" s="9">
        <f>B5695+30</f>
        <v/>
      </c>
      <c r="N5695">
        <f>IF(L5695="", "", L5695-B5695)</f>
        <v/>
      </c>
      <c r="O5695">
        <f>IF(L5695="", "Pending", IF(N5695&lt;=30, "Met", "Breached"))</f>
        <v/>
      </c>
      <c r="P5695" s="8" t="n"/>
      <c r="Q5695" s="8" t="n"/>
      <c r="R5695" s="8" t="n"/>
      <c r="S5695" s="8" t="n"/>
      <c r="T5695" s="8" t="n"/>
      <c r="U5695" s="8" t="n"/>
      <c r="V5695" s="8" t="n"/>
      <c r="W5695" s="8" t="n"/>
      <c r="X5695" s="8" t="n"/>
      <c r="Y5695" s="8" t="n"/>
    </row>
    <row r="5696">
      <c r="A5696" s="8" t="n"/>
      <c r="B5696" s="8" t="n"/>
      <c r="C5696" s="8" t="n"/>
      <c r="D5696" s="8" t="n"/>
      <c r="E5696" s="8" t="n"/>
      <c r="F5696" s="8" t="n"/>
      <c r="G5696" s="8" t="n"/>
      <c r="H5696" s="8" t="n"/>
      <c r="I5696" s="8" t="n"/>
      <c r="J5696" s="8" t="n"/>
      <c r="K5696" s="8" t="n"/>
      <c r="L5696" s="8" t="n"/>
      <c r="M5696" s="9">
        <f>B5696+30</f>
        <v/>
      </c>
      <c r="N5696">
        <f>IF(L5696="", "", L5696-B5696)</f>
        <v/>
      </c>
      <c r="O5696">
        <f>IF(L5696="", "Pending", IF(N5696&lt;=30, "Met", "Breached"))</f>
        <v/>
      </c>
      <c r="P5696" s="8" t="n"/>
      <c r="Q5696" s="8" t="n"/>
      <c r="R5696" s="8" t="n"/>
      <c r="S5696" s="8" t="n"/>
      <c r="T5696" s="8" t="n"/>
      <c r="U5696" s="8" t="n"/>
      <c r="V5696" s="8" t="n"/>
      <c r="W5696" s="8" t="n"/>
      <c r="X5696" s="8" t="n"/>
      <c r="Y5696" s="8" t="n"/>
    </row>
    <row r="5697">
      <c r="A5697" s="8" t="n"/>
      <c r="B5697" s="8" t="n"/>
      <c r="C5697" s="8" t="n"/>
      <c r="D5697" s="8" t="n"/>
      <c r="E5697" s="8" t="n"/>
      <c r="F5697" s="8" t="n"/>
      <c r="G5697" s="8" t="n"/>
      <c r="H5697" s="8" t="n"/>
      <c r="I5697" s="8" t="n"/>
      <c r="J5697" s="8" t="n"/>
      <c r="K5697" s="8" t="n"/>
      <c r="L5697" s="8" t="n"/>
      <c r="M5697" s="9">
        <f>B5697+30</f>
        <v/>
      </c>
      <c r="N5697">
        <f>IF(L5697="", "", L5697-B5697)</f>
        <v/>
      </c>
      <c r="O5697">
        <f>IF(L5697="", "Pending", IF(N5697&lt;=30, "Met", "Breached"))</f>
        <v/>
      </c>
      <c r="P5697" s="8" t="n"/>
      <c r="Q5697" s="8" t="n"/>
      <c r="R5697" s="8" t="n"/>
      <c r="S5697" s="8" t="n"/>
      <c r="T5697" s="8" t="n"/>
      <c r="U5697" s="8" t="n"/>
      <c r="V5697" s="8" t="n"/>
      <c r="W5697" s="8" t="n"/>
      <c r="X5697" s="8" t="n"/>
      <c r="Y5697" s="8" t="n"/>
    </row>
    <row r="5698">
      <c r="A5698" s="8" t="n"/>
      <c r="B5698" s="8" t="n"/>
      <c r="C5698" s="8" t="n"/>
      <c r="D5698" s="8" t="n"/>
      <c r="E5698" s="8" t="n"/>
      <c r="F5698" s="8" t="n"/>
      <c r="G5698" s="8" t="n"/>
      <c r="H5698" s="8" t="n"/>
      <c r="I5698" s="8" t="n"/>
      <c r="J5698" s="8" t="n"/>
      <c r="K5698" s="8" t="n"/>
      <c r="L5698" s="8" t="n"/>
      <c r="M5698" s="9">
        <f>B5698+30</f>
        <v/>
      </c>
      <c r="N5698">
        <f>IF(L5698="", "", L5698-B5698)</f>
        <v/>
      </c>
      <c r="O5698">
        <f>IF(L5698="", "Pending", IF(N5698&lt;=30, "Met", "Breached"))</f>
        <v/>
      </c>
      <c r="P5698" s="8" t="n"/>
      <c r="Q5698" s="8" t="n"/>
      <c r="R5698" s="8" t="n"/>
      <c r="S5698" s="8" t="n"/>
      <c r="T5698" s="8" t="n"/>
      <c r="U5698" s="8" t="n"/>
      <c r="V5698" s="8" t="n"/>
      <c r="W5698" s="8" t="n"/>
      <c r="X5698" s="8" t="n"/>
      <c r="Y5698" s="8" t="n"/>
    </row>
    <row r="5699">
      <c r="A5699" s="8" t="n"/>
      <c r="B5699" s="8" t="n"/>
      <c r="C5699" s="8" t="n"/>
      <c r="D5699" s="8" t="n"/>
      <c r="E5699" s="8" t="n"/>
      <c r="F5699" s="8" t="n"/>
      <c r="G5699" s="8" t="n"/>
      <c r="H5699" s="8" t="n"/>
      <c r="I5699" s="8" t="n"/>
      <c r="J5699" s="8" t="n"/>
      <c r="K5699" s="8" t="n"/>
      <c r="L5699" s="8" t="n"/>
      <c r="M5699" s="9">
        <f>B5699+30</f>
        <v/>
      </c>
      <c r="N5699">
        <f>IF(L5699="", "", L5699-B5699)</f>
        <v/>
      </c>
      <c r="O5699">
        <f>IF(L5699="", "Pending", IF(N5699&lt;=30, "Met", "Breached"))</f>
        <v/>
      </c>
      <c r="P5699" s="8" t="n"/>
      <c r="Q5699" s="8" t="n"/>
      <c r="R5699" s="8" t="n"/>
      <c r="S5699" s="8" t="n"/>
      <c r="T5699" s="8" t="n"/>
      <c r="U5699" s="8" t="n"/>
      <c r="V5699" s="8" t="n"/>
      <c r="W5699" s="8" t="n"/>
      <c r="X5699" s="8" t="n"/>
      <c r="Y5699" s="8" t="n"/>
    </row>
    <row r="5700">
      <c r="A5700" s="8" t="n"/>
      <c r="B5700" s="8" t="n"/>
      <c r="C5700" s="8" t="n"/>
      <c r="D5700" s="8" t="n"/>
      <c r="E5700" s="8" t="n"/>
      <c r="F5700" s="8" t="n"/>
      <c r="G5700" s="8" t="n"/>
      <c r="H5700" s="8" t="n"/>
      <c r="I5700" s="8" t="n"/>
      <c r="J5700" s="8" t="n"/>
      <c r="K5700" s="8" t="n"/>
      <c r="L5700" s="8" t="n"/>
      <c r="M5700" s="9">
        <f>B5700+30</f>
        <v/>
      </c>
      <c r="N5700">
        <f>IF(L5700="", "", L5700-B5700)</f>
        <v/>
      </c>
      <c r="O5700">
        <f>IF(L5700="", "Pending", IF(N5700&lt;=30, "Met", "Breached"))</f>
        <v/>
      </c>
      <c r="P5700" s="8" t="n"/>
      <c r="Q5700" s="8" t="n"/>
      <c r="R5700" s="8" t="n"/>
      <c r="S5700" s="8" t="n"/>
      <c r="T5700" s="8" t="n"/>
      <c r="U5700" s="8" t="n"/>
      <c r="V5700" s="8" t="n"/>
      <c r="W5700" s="8" t="n"/>
      <c r="X5700" s="8" t="n"/>
      <c r="Y5700" s="8" t="n"/>
    </row>
    <row r="5701">
      <c r="A5701" s="8" t="n"/>
      <c r="B5701" s="8" t="n"/>
      <c r="C5701" s="8" t="n"/>
      <c r="D5701" s="8" t="n"/>
      <c r="E5701" s="8" t="n"/>
      <c r="F5701" s="8" t="n"/>
      <c r="G5701" s="8" t="n"/>
      <c r="H5701" s="8" t="n"/>
      <c r="I5701" s="8" t="n"/>
      <c r="J5701" s="8" t="n"/>
      <c r="K5701" s="8" t="n"/>
      <c r="L5701" s="8" t="n"/>
      <c r="M5701" s="9">
        <f>B5701+30</f>
        <v/>
      </c>
      <c r="N5701">
        <f>IF(L5701="", "", L5701-B5701)</f>
        <v/>
      </c>
      <c r="O5701">
        <f>IF(L5701="", "Pending", IF(N5701&lt;=30, "Met", "Breached"))</f>
        <v/>
      </c>
      <c r="P5701" s="8" t="n"/>
      <c r="Q5701" s="8" t="n"/>
      <c r="R5701" s="8" t="n"/>
      <c r="S5701" s="8" t="n"/>
      <c r="T5701" s="8" t="n"/>
      <c r="U5701" s="8" t="n"/>
      <c r="V5701" s="8" t="n"/>
      <c r="W5701" s="8" t="n"/>
      <c r="X5701" s="8" t="n"/>
      <c r="Y5701" s="8" t="n"/>
    </row>
    <row r="5702">
      <c r="A5702" s="8" t="n"/>
      <c r="B5702" s="8" t="n"/>
      <c r="C5702" s="8" t="n"/>
      <c r="D5702" s="8" t="n"/>
      <c r="E5702" s="8" t="n"/>
      <c r="F5702" s="8" t="n"/>
      <c r="G5702" s="8" t="n"/>
      <c r="H5702" s="8" t="n"/>
      <c r="I5702" s="8" t="n"/>
      <c r="J5702" s="8" t="n"/>
      <c r="K5702" s="8" t="n"/>
      <c r="L5702" s="8" t="n"/>
      <c r="M5702" s="9">
        <f>B5702+30</f>
        <v/>
      </c>
      <c r="N5702">
        <f>IF(L5702="", "", L5702-B5702)</f>
        <v/>
      </c>
      <c r="O5702">
        <f>IF(L5702="", "Pending", IF(N5702&lt;=30, "Met", "Breached"))</f>
        <v/>
      </c>
      <c r="P5702" s="8" t="n"/>
      <c r="Q5702" s="8" t="n"/>
      <c r="R5702" s="8" t="n"/>
      <c r="S5702" s="8" t="n"/>
      <c r="T5702" s="8" t="n"/>
      <c r="U5702" s="8" t="n"/>
      <c r="V5702" s="8" t="n"/>
      <c r="W5702" s="8" t="n"/>
      <c r="X5702" s="8" t="n"/>
      <c r="Y5702" s="8" t="n"/>
    </row>
    <row r="5703">
      <c r="A5703" s="8" t="n"/>
      <c r="B5703" s="8" t="n"/>
      <c r="C5703" s="8" t="n"/>
      <c r="D5703" s="8" t="n"/>
      <c r="E5703" s="8" t="n"/>
      <c r="F5703" s="8" t="n"/>
      <c r="G5703" s="8" t="n"/>
      <c r="H5703" s="8" t="n"/>
      <c r="I5703" s="8" t="n"/>
      <c r="J5703" s="8" t="n"/>
      <c r="K5703" s="8" t="n"/>
      <c r="L5703" s="8" t="n"/>
      <c r="M5703" s="9">
        <f>B5703+30</f>
        <v/>
      </c>
      <c r="N5703">
        <f>IF(L5703="", "", L5703-B5703)</f>
        <v/>
      </c>
      <c r="O5703">
        <f>IF(L5703="", "Pending", IF(N5703&lt;=30, "Met", "Breached"))</f>
        <v/>
      </c>
      <c r="P5703" s="8" t="n"/>
      <c r="Q5703" s="8" t="n"/>
      <c r="R5703" s="8" t="n"/>
      <c r="S5703" s="8" t="n"/>
      <c r="T5703" s="8" t="n"/>
      <c r="U5703" s="8" t="n"/>
      <c r="V5703" s="8" t="n"/>
      <c r="W5703" s="8" t="n"/>
      <c r="X5703" s="8" t="n"/>
      <c r="Y5703" s="8" t="n"/>
    </row>
    <row r="5704">
      <c r="A5704" s="8" t="n"/>
      <c r="B5704" s="8" t="n"/>
      <c r="C5704" s="8" t="n"/>
      <c r="D5704" s="8" t="n"/>
      <c r="E5704" s="8" t="n"/>
      <c r="F5704" s="8" t="n"/>
      <c r="G5704" s="8" t="n"/>
      <c r="H5704" s="8" t="n"/>
      <c r="I5704" s="8" t="n"/>
      <c r="J5704" s="8" t="n"/>
      <c r="K5704" s="8" t="n"/>
      <c r="L5704" s="8" t="n"/>
      <c r="M5704" s="9">
        <f>B5704+30</f>
        <v/>
      </c>
      <c r="N5704">
        <f>IF(L5704="", "", L5704-B5704)</f>
        <v/>
      </c>
      <c r="O5704">
        <f>IF(L5704="", "Pending", IF(N5704&lt;=30, "Met", "Breached"))</f>
        <v/>
      </c>
      <c r="P5704" s="8" t="n"/>
      <c r="Q5704" s="8" t="n"/>
      <c r="R5704" s="8" t="n"/>
      <c r="S5704" s="8" t="n"/>
      <c r="T5704" s="8" t="n"/>
      <c r="U5704" s="8" t="n"/>
      <c r="V5704" s="8" t="n"/>
      <c r="W5704" s="8" t="n"/>
      <c r="X5704" s="8" t="n"/>
      <c r="Y5704" s="8" t="n"/>
    </row>
    <row r="5705">
      <c r="A5705" s="8" t="n"/>
      <c r="B5705" s="8" t="n"/>
      <c r="C5705" s="8" t="n"/>
      <c r="D5705" s="8" t="n"/>
      <c r="E5705" s="8" t="n"/>
      <c r="F5705" s="8" t="n"/>
      <c r="G5705" s="8" t="n"/>
      <c r="H5705" s="8" t="n"/>
      <c r="I5705" s="8" t="n"/>
      <c r="J5705" s="8" t="n"/>
      <c r="K5705" s="8" t="n"/>
      <c r="L5705" s="8" t="n"/>
      <c r="M5705" s="9">
        <f>B5705+30</f>
        <v/>
      </c>
      <c r="N5705">
        <f>IF(L5705="", "", L5705-B5705)</f>
        <v/>
      </c>
      <c r="O5705">
        <f>IF(L5705="", "Pending", IF(N5705&lt;=30, "Met", "Breached"))</f>
        <v/>
      </c>
      <c r="P5705" s="8" t="n"/>
      <c r="Q5705" s="8" t="n"/>
      <c r="R5705" s="8" t="n"/>
      <c r="S5705" s="8" t="n"/>
      <c r="T5705" s="8" t="n"/>
      <c r="U5705" s="8" t="n"/>
      <c r="V5705" s="8" t="n"/>
      <c r="W5705" s="8" t="n"/>
      <c r="X5705" s="8" t="n"/>
      <c r="Y5705" s="8" t="n"/>
    </row>
    <row r="5706">
      <c r="A5706" s="8" t="n"/>
      <c r="B5706" s="8" t="n"/>
      <c r="C5706" s="8" t="n"/>
      <c r="D5706" s="8" t="n"/>
      <c r="E5706" s="8" t="n"/>
      <c r="F5706" s="8" t="n"/>
      <c r="G5706" s="8" t="n"/>
      <c r="H5706" s="8" t="n"/>
      <c r="I5706" s="8" t="n"/>
      <c r="J5706" s="8" t="n"/>
      <c r="K5706" s="8" t="n"/>
      <c r="L5706" s="8" t="n"/>
      <c r="M5706" s="9">
        <f>B5706+30</f>
        <v/>
      </c>
      <c r="N5706">
        <f>IF(L5706="", "", L5706-B5706)</f>
        <v/>
      </c>
      <c r="O5706">
        <f>IF(L5706="", "Pending", IF(N5706&lt;=30, "Met", "Breached"))</f>
        <v/>
      </c>
      <c r="P5706" s="8" t="n"/>
      <c r="Q5706" s="8" t="n"/>
      <c r="R5706" s="8" t="n"/>
      <c r="S5706" s="8" t="n"/>
      <c r="T5706" s="8" t="n"/>
      <c r="U5706" s="8" t="n"/>
      <c r="V5706" s="8" t="n"/>
      <c r="W5706" s="8" t="n"/>
      <c r="X5706" s="8" t="n"/>
      <c r="Y5706" s="8" t="n"/>
    </row>
    <row r="5707">
      <c r="A5707" s="8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8" t="n"/>
      <c r="K5707" s="8" t="n"/>
      <c r="L5707" s="8" t="n"/>
      <c r="M5707" s="9">
        <f>B5707+30</f>
        <v/>
      </c>
      <c r="N5707">
        <f>IF(L5707="", "", L5707-B5707)</f>
        <v/>
      </c>
      <c r="O5707">
        <f>IF(L5707="", "Pending", IF(N5707&lt;=30, "Met", "Breached"))</f>
        <v/>
      </c>
      <c r="P5707" s="8" t="n"/>
      <c r="Q5707" s="8" t="n"/>
      <c r="R5707" s="8" t="n"/>
      <c r="S5707" s="8" t="n"/>
      <c r="T5707" s="8" t="n"/>
      <c r="U5707" s="8" t="n"/>
      <c r="V5707" s="8" t="n"/>
      <c r="W5707" s="8" t="n"/>
      <c r="X5707" s="8" t="n"/>
      <c r="Y5707" s="8" t="n"/>
    </row>
    <row r="5708">
      <c r="A5708" s="8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8" t="n"/>
      <c r="K5708" s="8" t="n"/>
      <c r="L5708" s="8" t="n"/>
      <c r="M5708" s="9">
        <f>B5708+30</f>
        <v/>
      </c>
      <c r="N5708">
        <f>IF(L5708="", "", L5708-B5708)</f>
        <v/>
      </c>
      <c r="O5708">
        <f>IF(L5708="", "Pending", IF(N5708&lt;=30, "Met", "Breached"))</f>
        <v/>
      </c>
      <c r="P5708" s="8" t="n"/>
      <c r="Q5708" s="8" t="n"/>
      <c r="R5708" s="8" t="n"/>
      <c r="S5708" s="8" t="n"/>
      <c r="T5708" s="8" t="n"/>
      <c r="U5708" s="8" t="n"/>
      <c r="V5708" s="8" t="n"/>
      <c r="W5708" s="8" t="n"/>
      <c r="X5708" s="8" t="n"/>
      <c r="Y5708" s="8" t="n"/>
    </row>
    <row r="5709">
      <c r="A5709" s="8" t="n"/>
      <c r="B5709" s="8" t="n"/>
      <c r="C5709" s="8" t="n"/>
      <c r="D5709" s="8" t="n"/>
      <c r="E5709" s="8" t="n"/>
      <c r="F5709" s="8" t="n"/>
      <c r="G5709" s="8" t="n"/>
      <c r="H5709" s="8" t="n"/>
      <c r="I5709" s="8" t="n"/>
      <c r="J5709" s="8" t="n"/>
      <c r="K5709" s="8" t="n"/>
      <c r="L5709" s="8" t="n"/>
      <c r="M5709" s="9">
        <f>B5709+30</f>
        <v/>
      </c>
      <c r="N5709">
        <f>IF(L5709="", "", L5709-B5709)</f>
        <v/>
      </c>
      <c r="O5709">
        <f>IF(L5709="", "Pending", IF(N5709&lt;=30, "Met", "Breached"))</f>
        <v/>
      </c>
      <c r="P5709" s="8" t="n"/>
      <c r="Q5709" s="8" t="n"/>
      <c r="R5709" s="8" t="n"/>
      <c r="S5709" s="8" t="n"/>
      <c r="T5709" s="8" t="n"/>
      <c r="U5709" s="8" t="n"/>
      <c r="V5709" s="8" t="n"/>
      <c r="W5709" s="8" t="n"/>
      <c r="X5709" s="8" t="n"/>
      <c r="Y5709" s="8" t="n"/>
    </row>
    <row r="5710">
      <c r="A5710" s="8" t="n"/>
      <c r="B5710" s="8" t="n"/>
      <c r="C5710" s="8" t="n"/>
      <c r="D5710" s="8" t="n"/>
      <c r="E5710" s="8" t="n"/>
      <c r="F5710" s="8" t="n"/>
      <c r="G5710" s="8" t="n"/>
      <c r="H5710" s="8" t="n"/>
      <c r="I5710" s="8" t="n"/>
      <c r="J5710" s="8" t="n"/>
      <c r="K5710" s="8" t="n"/>
      <c r="L5710" s="8" t="n"/>
      <c r="M5710" s="9">
        <f>B5710+30</f>
        <v/>
      </c>
      <c r="N5710">
        <f>IF(L5710="", "", L5710-B5710)</f>
        <v/>
      </c>
      <c r="O5710">
        <f>IF(L5710="", "Pending", IF(N5710&lt;=30, "Met", "Breached"))</f>
        <v/>
      </c>
      <c r="P5710" s="8" t="n"/>
      <c r="Q5710" s="8" t="n"/>
      <c r="R5710" s="8" t="n"/>
      <c r="S5710" s="8" t="n"/>
      <c r="T5710" s="8" t="n"/>
      <c r="U5710" s="8" t="n"/>
      <c r="V5710" s="8" t="n"/>
      <c r="W5710" s="8" t="n"/>
      <c r="X5710" s="8" t="n"/>
      <c r="Y5710" s="8" t="n"/>
    </row>
    <row r="5711">
      <c r="A5711" s="8" t="n"/>
      <c r="B5711" s="8" t="n"/>
      <c r="C5711" s="8" t="n"/>
      <c r="D5711" s="8" t="n"/>
      <c r="E5711" s="8" t="n"/>
      <c r="F5711" s="8" t="n"/>
      <c r="G5711" s="8" t="n"/>
      <c r="H5711" s="8" t="n"/>
      <c r="I5711" s="8" t="n"/>
      <c r="J5711" s="8" t="n"/>
      <c r="K5711" s="8" t="n"/>
      <c r="L5711" s="8" t="n"/>
      <c r="M5711" s="9">
        <f>B5711+30</f>
        <v/>
      </c>
      <c r="N5711">
        <f>IF(L5711="", "", L5711-B5711)</f>
        <v/>
      </c>
      <c r="O5711">
        <f>IF(L5711="", "Pending", IF(N5711&lt;=30, "Met", "Breached"))</f>
        <v/>
      </c>
      <c r="P5711" s="8" t="n"/>
      <c r="Q5711" s="8" t="n"/>
      <c r="R5711" s="8" t="n"/>
      <c r="S5711" s="8" t="n"/>
      <c r="T5711" s="8" t="n"/>
      <c r="U5711" s="8" t="n"/>
      <c r="V5711" s="8" t="n"/>
      <c r="W5711" s="8" t="n"/>
      <c r="X5711" s="8" t="n"/>
      <c r="Y5711" s="8" t="n"/>
    </row>
    <row r="5712">
      <c r="A5712" s="8" t="n"/>
      <c r="B5712" s="8" t="n"/>
      <c r="C5712" s="8" t="n"/>
      <c r="D5712" s="8" t="n"/>
      <c r="E5712" s="8" t="n"/>
      <c r="F5712" s="8" t="n"/>
      <c r="G5712" s="8" t="n"/>
      <c r="H5712" s="8" t="n"/>
      <c r="I5712" s="8" t="n"/>
      <c r="J5712" s="8" t="n"/>
      <c r="K5712" s="8" t="n"/>
      <c r="L5712" s="8" t="n"/>
      <c r="M5712" s="9">
        <f>B5712+30</f>
        <v/>
      </c>
      <c r="N5712">
        <f>IF(L5712="", "", L5712-B5712)</f>
        <v/>
      </c>
      <c r="O5712">
        <f>IF(L5712="", "Pending", IF(N5712&lt;=30, "Met", "Breached"))</f>
        <v/>
      </c>
      <c r="P5712" s="8" t="n"/>
      <c r="Q5712" s="8" t="n"/>
      <c r="R5712" s="8" t="n"/>
      <c r="S5712" s="8" t="n"/>
      <c r="T5712" s="8" t="n"/>
      <c r="U5712" s="8" t="n"/>
      <c r="V5712" s="8" t="n"/>
      <c r="W5712" s="8" t="n"/>
      <c r="X5712" s="8" t="n"/>
      <c r="Y5712" s="8" t="n"/>
    </row>
    <row r="5713">
      <c r="A5713" s="8" t="n"/>
      <c r="B5713" s="8" t="n"/>
      <c r="C5713" s="8" t="n"/>
      <c r="D5713" s="8" t="n"/>
      <c r="E5713" s="8" t="n"/>
      <c r="F5713" s="8" t="n"/>
      <c r="G5713" s="8" t="n"/>
      <c r="H5713" s="8" t="n"/>
      <c r="I5713" s="8" t="n"/>
      <c r="J5713" s="8" t="n"/>
      <c r="K5713" s="8" t="n"/>
      <c r="L5713" s="8" t="n"/>
      <c r="M5713" s="9">
        <f>B5713+30</f>
        <v/>
      </c>
      <c r="N5713">
        <f>IF(L5713="", "", L5713-B5713)</f>
        <v/>
      </c>
      <c r="O5713">
        <f>IF(L5713="", "Pending", IF(N5713&lt;=30, "Met", "Breached"))</f>
        <v/>
      </c>
      <c r="P5713" s="8" t="n"/>
      <c r="Q5713" s="8" t="n"/>
      <c r="R5713" s="8" t="n"/>
      <c r="S5713" s="8" t="n"/>
      <c r="T5713" s="8" t="n"/>
      <c r="U5713" s="8" t="n"/>
      <c r="V5713" s="8" t="n"/>
      <c r="W5713" s="8" t="n"/>
      <c r="X5713" s="8" t="n"/>
      <c r="Y5713" s="8" t="n"/>
    </row>
    <row r="5714">
      <c r="A5714" s="8" t="n"/>
      <c r="B5714" s="8" t="n"/>
      <c r="C5714" s="8" t="n"/>
      <c r="D5714" s="8" t="n"/>
      <c r="E5714" s="8" t="n"/>
      <c r="F5714" s="8" t="n"/>
      <c r="G5714" s="8" t="n"/>
      <c r="H5714" s="8" t="n"/>
      <c r="I5714" s="8" t="n"/>
      <c r="J5714" s="8" t="n"/>
      <c r="K5714" s="8" t="n"/>
      <c r="L5714" s="8" t="n"/>
      <c r="M5714" s="9">
        <f>B5714+30</f>
        <v/>
      </c>
      <c r="N5714">
        <f>IF(L5714="", "", L5714-B5714)</f>
        <v/>
      </c>
      <c r="O5714">
        <f>IF(L5714="", "Pending", IF(N5714&lt;=30, "Met", "Breached"))</f>
        <v/>
      </c>
      <c r="P5714" s="8" t="n"/>
      <c r="Q5714" s="8" t="n"/>
      <c r="R5714" s="8" t="n"/>
      <c r="S5714" s="8" t="n"/>
      <c r="T5714" s="8" t="n"/>
      <c r="U5714" s="8" t="n"/>
      <c r="V5714" s="8" t="n"/>
      <c r="W5714" s="8" t="n"/>
      <c r="X5714" s="8" t="n"/>
      <c r="Y5714" s="8" t="n"/>
    </row>
    <row r="5715">
      <c r="A5715" s="8" t="n"/>
      <c r="B5715" s="8" t="n"/>
      <c r="C5715" s="8" t="n"/>
      <c r="D5715" s="8" t="n"/>
      <c r="E5715" s="8" t="n"/>
      <c r="F5715" s="8" t="n"/>
      <c r="G5715" s="8" t="n"/>
      <c r="H5715" s="8" t="n"/>
      <c r="I5715" s="8" t="n"/>
      <c r="J5715" s="8" t="n"/>
      <c r="K5715" s="8" t="n"/>
      <c r="L5715" s="8" t="n"/>
      <c r="M5715" s="9">
        <f>B5715+30</f>
        <v/>
      </c>
      <c r="N5715">
        <f>IF(L5715="", "", L5715-B5715)</f>
        <v/>
      </c>
      <c r="O5715">
        <f>IF(L5715="", "Pending", IF(N5715&lt;=30, "Met", "Breached"))</f>
        <v/>
      </c>
      <c r="P5715" s="8" t="n"/>
      <c r="Q5715" s="8" t="n"/>
      <c r="R5715" s="8" t="n"/>
      <c r="S5715" s="8" t="n"/>
      <c r="T5715" s="8" t="n"/>
      <c r="U5715" s="8" t="n"/>
      <c r="V5715" s="8" t="n"/>
      <c r="W5715" s="8" t="n"/>
      <c r="X5715" s="8" t="n"/>
      <c r="Y5715" s="8" t="n"/>
    </row>
    <row r="5716">
      <c r="A5716" s="8" t="n"/>
      <c r="B5716" s="8" t="n"/>
      <c r="C5716" s="8" t="n"/>
      <c r="D5716" s="8" t="n"/>
      <c r="E5716" s="8" t="n"/>
      <c r="F5716" s="8" t="n"/>
      <c r="G5716" s="8" t="n"/>
      <c r="H5716" s="8" t="n"/>
      <c r="I5716" s="8" t="n"/>
      <c r="J5716" s="8" t="n"/>
      <c r="K5716" s="8" t="n"/>
      <c r="L5716" s="8" t="n"/>
      <c r="M5716" s="9">
        <f>B5716+30</f>
        <v/>
      </c>
      <c r="N5716">
        <f>IF(L5716="", "", L5716-B5716)</f>
        <v/>
      </c>
      <c r="O5716">
        <f>IF(L5716="", "Pending", IF(N5716&lt;=30, "Met", "Breached"))</f>
        <v/>
      </c>
      <c r="P5716" s="8" t="n"/>
      <c r="Q5716" s="8" t="n"/>
      <c r="R5716" s="8" t="n"/>
      <c r="S5716" s="8" t="n"/>
      <c r="T5716" s="8" t="n"/>
      <c r="U5716" s="8" t="n"/>
      <c r="V5716" s="8" t="n"/>
      <c r="W5716" s="8" t="n"/>
      <c r="X5716" s="8" t="n"/>
      <c r="Y5716" s="8" t="n"/>
    </row>
    <row r="5717">
      <c r="A5717" s="8" t="n"/>
      <c r="B5717" s="8" t="n"/>
      <c r="C5717" s="8" t="n"/>
      <c r="D5717" s="8" t="n"/>
      <c r="E5717" s="8" t="n"/>
      <c r="F5717" s="8" t="n"/>
      <c r="G5717" s="8" t="n"/>
      <c r="H5717" s="8" t="n"/>
      <c r="I5717" s="8" t="n"/>
      <c r="J5717" s="8" t="n"/>
      <c r="K5717" s="8" t="n"/>
      <c r="L5717" s="8" t="n"/>
      <c r="M5717" s="9">
        <f>B5717+30</f>
        <v/>
      </c>
      <c r="N5717">
        <f>IF(L5717="", "", L5717-B5717)</f>
        <v/>
      </c>
      <c r="O5717">
        <f>IF(L5717="", "Pending", IF(N5717&lt;=30, "Met", "Breached"))</f>
        <v/>
      </c>
      <c r="P5717" s="8" t="n"/>
      <c r="Q5717" s="8" t="n"/>
      <c r="R5717" s="8" t="n"/>
      <c r="S5717" s="8" t="n"/>
      <c r="T5717" s="8" t="n"/>
      <c r="U5717" s="8" t="n"/>
      <c r="V5717" s="8" t="n"/>
      <c r="W5717" s="8" t="n"/>
      <c r="X5717" s="8" t="n"/>
      <c r="Y5717" s="8" t="n"/>
    </row>
    <row r="5718">
      <c r="A5718" s="8" t="n"/>
      <c r="B5718" s="8" t="n"/>
      <c r="C5718" s="8" t="n"/>
      <c r="D5718" s="8" t="n"/>
      <c r="E5718" s="8" t="n"/>
      <c r="F5718" s="8" t="n"/>
      <c r="G5718" s="8" t="n"/>
      <c r="H5718" s="8" t="n"/>
      <c r="I5718" s="8" t="n"/>
      <c r="J5718" s="8" t="n"/>
      <c r="K5718" s="8" t="n"/>
      <c r="L5718" s="8" t="n"/>
      <c r="M5718" s="9">
        <f>B5718+30</f>
        <v/>
      </c>
      <c r="N5718">
        <f>IF(L5718="", "", L5718-B5718)</f>
        <v/>
      </c>
      <c r="O5718">
        <f>IF(L5718="", "Pending", IF(N5718&lt;=30, "Met", "Breached"))</f>
        <v/>
      </c>
      <c r="P5718" s="8" t="n"/>
      <c r="Q5718" s="8" t="n"/>
      <c r="R5718" s="8" t="n"/>
      <c r="S5718" s="8" t="n"/>
      <c r="T5718" s="8" t="n"/>
      <c r="U5718" s="8" t="n"/>
      <c r="V5718" s="8" t="n"/>
      <c r="W5718" s="8" t="n"/>
      <c r="X5718" s="8" t="n"/>
      <c r="Y5718" s="8" t="n"/>
    </row>
    <row r="5719">
      <c r="A5719" s="8" t="n"/>
      <c r="B5719" s="8" t="n"/>
      <c r="C5719" s="8" t="n"/>
      <c r="D5719" s="8" t="n"/>
      <c r="E5719" s="8" t="n"/>
      <c r="F5719" s="8" t="n"/>
      <c r="G5719" s="8" t="n"/>
      <c r="H5719" s="8" t="n"/>
      <c r="I5719" s="8" t="n"/>
      <c r="J5719" s="8" t="n"/>
      <c r="K5719" s="8" t="n"/>
      <c r="L5719" s="8" t="n"/>
      <c r="M5719" s="9">
        <f>B5719+30</f>
        <v/>
      </c>
      <c r="N5719">
        <f>IF(L5719="", "", L5719-B5719)</f>
        <v/>
      </c>
      <c r="O5719">
        <f>IF(L5719="", "Pending", IF(N5719&lt;=30, "Met", "Breached"))</f>
        <v/>
      </c>
      <c r="P5719" s="8" t="n"/>
      <c r="Q5719" s="8" t="n"/>
      <c r="R5719" s="8" t="n"/>
      <c r="S5719" s="8" t="n"/>
      <c r="T5719" s="8" t="n"/>
      <c r="U5719" s="8" t="n"/>
      <c r="V5719" s="8" t="n"/>
      <c r="W5719" s="8" t="n"/>
      <c r="X5719" s="8" t="n"/>
      <c r="Y5719" s="8" t="n"/>
    </row>
    <row r="5720">
      <c r="A5720" s="8" t="n"/>
      <c r="B5720" s="8" t="n"/>
      <c r="C5720" s="8" t="n"/>
      <c r="D5720" s="8" t="n"/>
      <c r="E5720" s="8" t="n"/>
      <c r="F5720" s="8" t="n"/>
      <c r="G5720" s="8" t="n"/>
      <c r="H5720" s="8" t="n"/>
      <c r="I5720" s="8" t="n"/>
      <c r="J5720" s="8" t="n"/>
      <c r="K5720" s="8" t="n"/>
      <c r="L5720" s="8" t="n"/>
      <c r="M5720" s="9">
        <f>B5720+30</f>
        <v/>
      </c>
      <c r="N5720">
        <f>IF(L5720="", "", L5720-B5720)</f>
        <v/>
      </c>
      <c r="O5720">
        <f>IF(L5720="", "Pending", IF(N5720&lt;=30, "Met", "Breached"))</f>
        <v/>
      </c>
      <c r="P5720" s="8" t="n"/>
      <c r="Q5720" s="8" t="n"/>
      <c r="R5720" s="8" t="n"/>
      <c r="S5720" s="8" t="n"/>
      <c r="T5720" s="8" t="n"/>
      <c r="U5720" s="8" t="n"/>
      <c r="V5720" s="8" t="n"/>
      <c r="W5720" s="8" t="n"/>
      <c r="X5720" s="8" t="n"/>
      <c r="Y5720" s="8" t="n"/>
    </row>
    <row r="5721">
      <c r="A5721" s="8" t="n"/>
      <c r="B5721" s="8" t="n"/>
      <c r="C5721" s="8" t="n"/>
      <c r="D5721" s="8" t="n"/>
      <c r="E5721" s="8" t="n"/>
      <c r="F5721" s="8" t="n"/>
      <c r="G5721" s="8" t="n"/>
      <c r="H5721" s="8" t="n"/>
      <c r="I5721" s="8" t="n"/>
      <c r="J5721" s="8" t="n"/>
      <c r="K5721" s="8" t="n"/>
      <c r="L5721" s="8" t="n"/>
      <c r="M5721" s="9">
        <f>B5721+30</f>
        <v/>
      </c>
      <c r="N5721">
        <f>IF(L5721="", "", L5721-B5721)</f>
        <v/>
      </c>
      <c r="O5721">
        <f>IF(L5721="", "Pending", IF(N5721&lt;=30, "Met", "Breached"))</f>
        <v/>
      </c>
      <c r="P5721" s="8" t="n"/>
      <c r="Q5721" s="8" t="n"/>
      <c r="R5721" s="8" t="n"/>
      <c r="S5721" s="8" t="n"/>
      <c r="T5721" s="8" t="n"/>
      <c r="U5721" s="8" t="n"/>
      <c r="V5721" s="8" t="n"/>
      <c r="W5721" s="8" t="n"/>
      <c r="X5721" s="8" t="n"/>
      <c r="Y5721" s="8" t="n"/>
    </row>
    <row r="5722">
      <c r="A5722" s="8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8" t="n"/>
      <c r="K5722" s="8" t="n"/>
      <c r="L5722" s="8" t="n"/>
      <c r="M5722" s="9">
        <f>B5722+30</f>
        <v/>
      </c>
      <c r="N5722">
        <f>IF(L5722="", "", L5722-B5722)</f>
        <v/>
      </c>
      <c r="O5722">
        <f>IF(L5722="", "Pending", IF(N5722&lt;=30, "Met", "Breached"))</f>
        <v/>
      </c>
      <c r="P5722" s="8" t="n"/>
      <c r="Q5722" s="8" t="n"/>
      <c r="R5722" s="8" t="n"/>
      <c r="S5722" s="8" t="n"/>
      <c r="T5722" s="8" t="n"/>
      <c r="U5722" s="8" t="n"/>
      <c r="V5722" s="8" t="n"/>
      <c r="W5722" s="8" t="n"/>
      <c r="X5722" s="8" t="n"/>
      <c r="Y5722" s="8" t="n"/>
    </row>
    <row r="5723">
      <c r="A5723" s="8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8" t="n"/>
      <c r="K5723" s="8" t="n"/>
      <c r="L5723" s="8" t="n"/>
      <c r="M5723" s="9">
        <f>B5723+30</f>
        <v/>
      </c>
      <c r="N5723">
        <f>IF(L5723="", "", L5723-B5723)</f>
        <v/>
      </c>
      <c r="O5723">
        <f>IF(L5723="", "Pending", IF(N5723&lt;=30, "Met", "Breached"))</f>
        <v/>
      </c>
      <c r="P5723" s="8" t="n"/>
      <c r="Q5723" s="8" t="n"/>
      <c r="R5723" s="8" t="n"/>
      <c r="S5723" s="8" t="n"/>
      <c r="T5723" s="8" t="n"/>
      <c r="U5723" s="8" t="n"/>
      <c r="V5723" s="8" t="n"/>
      <c r="W5723" s="8" t="n"/>
      <c r="X5723" s="8" t="n"/>
      <c r="Y5723" s="8" t="n"/>
    </row>
    <row r="5724">
      <c r="A5724" s="8" t="n"/>
      <c r="B5724" s="8" t="n"/>
      <c r="C5724" s="8" t="n"/>
      <c r="D5724" s="8" t="n"/>
      <c r="E5724" s="8" t="n"/>
      <c r="F5724" s="8" t="n"/>
      <c r="G5724" s="8" t="n"/>
      <c r="H5724" s="8" t="n"/>
      <c r="I5724" s="8" t="n"/>
      <c r="J5724" s="8" t="n"/>
      <c r="K5724" s="8" t="n"/>
      <c r="L5724" s="8" t="n"/>
      <c r="M5724" s="9">
        <f>B5724+30</f>
        <v/>
      </c>
      <c r="N5724">
        <f>IF(L5724="", "", L5724-B5724)</f>
        <v/>
      </c>
      <c r="O5724">
        <f>IF(L5724="", "Pending", IF(N5724&lt;=30, "Met", "Breached"))</f>
        <v/>
      </c>
      <c r="P5724" s="8" t="n"/>
      <c r="Q5724" s="8" t="n"/>
      <c r="R5724" s="8" t="n"/>
      <c r="S5724" s="8" t="n"/>
      <c r="T5724" s="8" t="n"/>
      <c r="U5724" s="8" t="n"/>
      <c r="V5724" s="8" t="n"/>
      <c r="W5724" s="8" t="n"/>
      <c r="X5724" s="8" t="n"/>
      <c r="Y5724" s="8" t="n"/>
    </row>
    <row r="5725">
      <c r="A5725" s="8" t="n"/>
      <c r="B5725" s="8" t="n"/>
      <c r="C5725" s="8" t="n"/>
      <c r="D5725" s="8" t="n"/>
      <c r="E5725" s="8" t="n"/>
      <c r="F5725" s="8" t="n"/>
      <c r="G5725" s="8" t="n"/>
      <c r="H5725" s="8" t="n"/>
      <c r="I5725" s="8" t="n"/>
      <c r="J5725" s="8" t="n"/>
      <c r="K5725" s="8" t="n"/>
      <c r="L5725" s="8" t="n"/>
      <c r="M5725" s="9">
        <f>B5725+30</f>
        <v/>
      </c>
      <c r="N5725">
        <f>IF(L5725="", "", L5725-B5725)</f>
        <v/>
      </c>
      <c r="O5725">
        <f>IF(L5725="", "Pending", IF(N5725&lt;=30, "Met", "Breached"))</f>
        <v/>
      </c>
      <c r="P5725" s="8" t="n"/>
      <c r="Q5725" s="8" t="n"/>
      <c r="R5725" s="8" t="n"/>
      <c r="S5725" s="8" t="n"/>
      <c r="T5725" s="8" t="n"/>
      <c r="U5725" s="8" t="n"/>
      <c r="V5725" s="8" t="n"/>
      <c r="W5725" s="8" t="n"/>
      <c r="X5725" s="8" t="n"/>
      <c r="Y5725" s="8" t="n"/>
    </row>
    <row r="5726">
      <c r="A5726" s="8" t="n"/>
      <c r="B5726" s="8" t="n"/>
      <c r="C5726" s="8" t="n"/>
      <c r="D5726" s="8" t="n"/>
      <c r="E5726" s="8" t="n"/>
      <c r="F5726" s="8" t="n"/>
      <c r="G5726" s="8" t="n"/>
      <c r="H5726" s="8" t="n"/>
      <c r="I5726" s="8" t="n"/>
      <c r="J5726" s="8" t="n"/>
      <c r="K5726" s="8" t="n"/>
      <c r="L5726" s="8" t="n"/>
      <c r="M5726" s="9">
        <f>B5726+30</f>
        <v/>
      </c>
      <c r="N5726">
        <f>IF(L5726="", "", L5726-B5726)</f>
        <v/>
      </c>
      <c r="O5726">
        <f>IF(L5726="", "Pending", IF(N5726&lt;=30, "Met", "Breached"))</f>
        <v/>
      </c>
      <c r="P5726" s="8" t="n"/>
      <c r="Q5726" s="8" t="n"/>
      <c r="R5726" s="8" t="n"/>
      <c r="S5726" s="8" t="n"/>
      <c r="T5726" s="8" t="n"/>
      <c r="U5726" s="8" t="n"/>
      <c r="V5726" s="8" t="n"/>
      <c r="W5726" s="8" t="n"/>
      <c r="X5726" s="8" t="n"/>
      <c r="Y5726" s="8" t="n"/>
    </row>
    <row r="5727">
      <c r="A5727" s="8" t="n"/>
      <c r="B5727" s="8" t="n"/>
      <c r="C5727" s="8" t="n"/>
      <c r="D5727" s="8" t="n"/>
      <c r="E5727" s="8" t="n"/>
      <c r="F5727" s="8" t="n"/>
      <c r="G5727" s="8" t="n"/>
      <c r="H5727" s="8" t="n"/>
      <c r="I5727" s="8" t="n"/>
      <c r="J5727" s="8" t="n"/>
      <c r="K5727" s="8" t="n"/>
      <c r="L5727" s="8" t="n"/>
      <c r="M5727" s="9">
        <f>B5727+30</f>
        <v/>
      </c>
      <c r="N5727">
        <f>IF(L5727="", "", L5727-B5727)</f>
        <v/>
      </c>
      <c r="O5727">
        <f>IF(L5727="", "Pending", IF(N5727&lt;=30, "Met", "Breached"))</f>
        <v/>
      </c>
      <c r="P5727" s="8" t="n"/>
      <c r="Q5727" s="8" t="n"/>
      <c r="R5727" s="8" t="n"/>
      <c r="S5727" s="8" t="n"/>
      <c r="T5727" s="8" t="n"/>
      <c r="U5727" s="8" t="n"/>
      <c r="V5727" s="8" t="n"/>
      <c r="W5727" s="8" t="n"/>
      <c r="X5727" s="8" t="n"/>
      <c r="Y5727" s="8" t="n"/>
    </row>
    <row r="5728">
      <c r="A5728" s="8" t="n"/>
      <c r="B5728" s="8" t="n"/>
      <c r="C5728" s="8" t="n"/>
      <c r="D5728" s="8" t="n"/>
      <c r="E5728" s="8" t="n"/>
      <c r="F5728" s="8" t="n"/>
      <c r="G5728" s="8" t="n"/>
      <c r="H5728" s="8" t="n"/>
      <c r="I5728" s="8" t="n"/>
      <c r="J5728" s="8" t="n"/>
      <c r="K5728" s="8" t="n"/>
      <c r="L5728" s="8" t="n"/>
      <c r="M5728" s="9">
        <f>B5728+30</f>
        <v/>
      </c>
      <c r="N5728">
        <f>IF(L5728="", "", L5728-B5728)</f>
        <v/>
      </c>
      <c r="O5728">
        <f>IF(L5728="", "Pending", IF(N5728&lt;=30, "Met", "Breached"))</f>
        <v/>
      </c>
      <c r="P5728" s="8" t="n"/>
      <c r="Q5728" s="8" t="n"/>
      <c r="R5728" s="8" t="n"/>
      <c r="S5728" s="8" t="n"/>
      <c r="T5728" s="8" t="n"/>
      <c r="U5728" s="8" t="n"/>
      <c r="V5728" s="8" t="n"/>
      <c r="W5728" s="8" t="n"/>
      <c r="X5728" s="8" t="n"/>
      <c r="Y5728" s="8" t="n"/>
    </row>
    <row r="5729">
      <c r="A5729" s="8" t="n"/>
      <c r="B5729" s="8" t="n"/>
      <c r="C5729" s="8" t="n"/>
      <c r="D5729" s="8" t="n"/>
      <c r="E5729" s="8" t="n"/>
      <c r="F5729" s="8" t="n"/>
      <c r="G5729" s="8" t="n"/>
      <c r="H5729" s="8" t="n"/>
      <c r="I5729" s="8" t="n"/>
      <c r="J5729" s="8" t="n"/>
      <c r="K5729" s="8" t="n"/>
      <c r="L5729" s="8" t="n"/>
      <c r="M5729" s="9">
        <f>B5729+30</f>
        <v/>
      </c>
      <c r="N5729">
        <f>IF(L5729="", "", L5729-B5729)</f>
        <v/>
      </c>
      <c r="O5729">
        <f>IF(L5729="", "Pending", IF(N5729&lt;=30, "Met", "Breached"))</f>
        <v/>
      </c>
      <c r="P5729" s="8" t="n"/>
      <c r="Q5729" s="8" t="n"/>
      <c r="R5729" s="8" t="n"/>
      <c r="S5729" s="8" t="n"/>
      <c r="T5729" s="8" t="n"/>
      <c r="U5729" s="8" t="n"/>
      <c r="V5729" s="8" t="n"/>
      <c r="W5729" s="8" t="n"/>
      <c r="X5729" s="8" t="n"/>
      <c r="Y5729" s="8" t="n"/>
    </row>
    <row r="5730">
      <c r="A5730" s="8" t="n"/>
      <c r="B5730" s="8" t="n"/>
      <c r="C5730" s="8" t="n"/>
      <c r="D5730" s="8" t="n"/>
      <c r="E5730" s="8" t="n"/>
      <c r="F5730" s="8" t="n"/>
      <c r="G5730" s="8" t="n"/>
      <c r="H5730" s="8" t="n"/>
      <c r="I5730" s="8" t="n"/>
      <c r="J5730" s="8" t="n"/>
      <c r="K5730" s="8" t="n"/>
      <c r="L5730" s="8" t="n"/>
      <c r="M5730" s="9">
        <f>B5730+30</f>
        <v/>
      </c>
      <c r="N5730">
        <f>IF(L5730="", "", L5730-B5730)</f>
        <v/>
      </c>
      <c r="O5730">
        <f>IF(L5730="", "Pending", IF(N5730&lt;=30, "Met", "Breached"))</f>
        <v/>
      </c>
      <c r="P5730" s="8" t="n"/>
      <c r="Q5730" s="8" t="n"/>
      <c r="R5730" s="8" t="n"/>
      <c r="S5730" s="8" t="n"/>
      <c r="T5730" s="8" t="n"/>
      <c r="U5730" s="8" t="n"/>
      <c r="V5730" s="8" t="n"/>
      <c r="W5730" s="8" t="n"/>
      <c r="X5730" s="8" t="n"/>
      <c r="Y5730" s="8" t="n"/>
    </row>
    <row r="5731">
      <c r="A5731" s="8" t="n"/>
      <c r="B5731" s="8" t="n"/>
      <c r="C5731" s="8" t="n"/>
      <c r="D5731" s="8" t="n"/>
      <c r="E5731" s="8" t="n"/>
      <c r="F5731" s="8" t="n"/>
      <c r="G5731" s="8" t="n"/>
      <c r="H5731" s="8" t="n"/>
      <c r="I5731" s="8" t="n"/>
      <c r="J5731" s="8" t="n"/>
      <c r="K5731" s="8" t="n"/>
      <c r="L5731" s="8" t="n"/>
      <c r="M5731" s="9">
        <f>B5731+30</f>
        <v/>
      </c>
      <c r="N5731">
        <f>IF(L5731="", "", L5731-B5731)</f>
        <v/>
      </c>
      <c r="O5731">
        <f>IF(L5731="", "Pending", IF(N5731&lt;=30, "Met", "Breached"))</f>
        <v/>
      </c>
      <c r="P5731" s="8" t="n"/>
      <c r="Q5731" s="8" t="n"/>
      <c r="R5731" s="8" t="n"/>
      <c r="S5731" s="8" t="n"/>
      <c r="T5731" s="8" t="n"/>
      <c r="U5731" s="8" t="n"/>
      <c r="V5731" s="8" t="n"/>
      <c r="W5731" s="8" t="n"/>
      <c r="X5731" s="8" t="n"/>
      <c r="Y5731" s="8" t="n"/>
    </row>
    <row r="5732">
      <c r="A5732" s="8" t="n"/>
      <c r="B5732" s="8" t="n"/>
      <c r="C5732" s="8" t="n"/>
      <c r="D5732" s="8" t="n"/>
      <c r="E5732" s="8" t="n"/>
      <c r="F5732" s="8" t="n"/>
      <c r="G5732" s="8" t="n"/>
      <c r="H5732" s="8" t="n"/>
      <c r="I5732" s="8" t="n"/>
      <c r="J5732" s="8" t="n"/>
      <c r="K5732" s="8" t="n"/>
      <c r="L5732" s="8" t="n"/>
      <c r="M5732" s="9">
        <f>B5732+30</f>
        <v/>
      </c>
      <c r="N5732">
        <f>IF(L5732="", "", L5732-B5732)</f>
        <v/>
      </c>
      <c r="O5732">
        <f>IF(L5732="", "Pending", IF(N5732&lt;=30, "Met", "Breached"))</f>
        <v/>
      </c>
      <c r="P5732" s="8" t="n"/>
      <c r="Q5732" s="8" t="n"/>
      <c r="R5732" s="8" t="n"/>
      <c r="S5732" s="8" t="n"/>
      <c r="T5732" s="8" t="n"/>
      <c r="U5732" s="8" t="n"/>
      <c r="V5732" s="8" t="n"/>
      <c r="W5732" s="8" t="n"/>
      <c r="X5732" s="8" t="n"/>
      <c r="Y5732" s="8" t="n"/>
    </row>
    <row r="5733">
      <c r="A5733" s="8" t="n"/>
      <c r="B5733" s="8" t="n"/>
      <c r="C5733" s="8" t="n"/>
      <c r="D5733" s="8" t="n"/>
      <c r="E5733" s="8" t="n"/>
      <c r="F5733" s="8" t="n"/>
      <c r="G5733" s="8" t="n"/>
      <c r="H5733" s="8" t="n"/>
      <c r="I5733" s="8" t="n"/>
      <c r="J5733" s="8" t="n"/>
      <c r="K5733" s="8" t="n"/>
      <c r="L5733" s="8" t="n"/>
      <c r="M5733" s="9">
        <f>B5733+30</f>
        <v/>
      </c>
      <c r="N5733">
        <f>IF(L5733="", "", L5733-B5733)</f>
        <v/>
      </c>
      <c r="O5733">
        <f>IF(L5733="", "Pending", IF(N5733&lt;=30, "Met", "Breached"))</f>
        <v/>
      </c>
      <c r="P5733" s="8" t="n"/>
      <c r="Q5733" s="8" t="n"/>
      <c r="R5733" s="8" t="n"/>
      <c r="S5733" s="8" t="n"/>
      <c r="T5733" s="8" t="n"/>
      <c r="U5733" s="8" t="n"/>
      <c r="V5733" s="8" t="n"/>
      <c r="W5733" s="8" t="n"/>
      <c r="X5733" s="8" t="n"/>
      <c r="Y5733" s="8" t="n"/>
    </row>
    <row r="5734">
      <c r="A5734" s="8" t="n"/>
      <c r="B5734" s="8" t="n"/>
      <c r="C5734" s="8" t="n"/>
      <c r="D5734" s="8" t="n"/>
      <c r="E5734" s="8" t="n"/>
      <c r="F5734" s="8" t="n"/>
      <c r="G5734" s="8" t="n"/>
      <c r="H5734" s="8" t="n"/>
      <c r="I5734" s="8" t="n"/>
      <c r="J5734" s="8" t="n"/>
      <c r="K5734" s="8" t="n"/>
      <c r="L5734" s="8" t="n"/>
      <c r="M5734" s="9">
        <f>B5734+30</f>
        <v/>
      </c>
      <c r="N5734">
        <f>IF(L5734="", "", L5734-B5734)</f>
        <v/>
      </c>
      <c r="O5734">
        <f>IF(L5734="", "Pending", IF(N5734&lt;=30, "Met", "Breached"))</f>
        <v/>
      </c>
      <c r="P5734" s="8" t="n"/>
      <c r="Q5734" s="8" t="n"/>
      <c r="R5734" s="8" t="n"/>
      <c r="S5734" s="8" t="n"/>
      <c r="T5734" s="8" t="n"/>
      <c r="U5734" s="8" t="n"/>
      <c r="V5734" s="8" t="n"/>
      <c r="W5734" s="8" t="n"/>
      <c r="X5734" s="8" t="n"/>
      <c r="Y5734" s="8" t="n"/>
    </row>
    <row r="5735">
      <c r="A5735" s="8" t="n"/>
      <c r="B5735" s="8" t="n"/>
      <c r="C5735" s="8" t="n"/>
      <c r="D5735" s="8" t="n"/>
      <c r="E5735" s="8" t="n"/>
      <c r="F5735" s="8" t="n"/>
      <c r="G5735" s="8" t="n"/>
      <c r="H5735" s="8" t="n"/>
      <c r="I5735" s="8" t="n"/>
      <c r="J5735" s="8" t="n"/>
      <c r="K5735" s="8" t="n"/>
      <c r="L5735" s="8" t="n"/>
      <c r="M5735" s="9">
        <f>B5735+30</f>
        <v/>
      </c>
      <c r="N5735">
        <f>IF(L5735="", "", L5735-B5735)</f>
        <v/>
      </c>
      <c r="O5735">
        <f>IF(L5735="", "Pending", IF(N5735&lt;=30, "Met", "Breached"))</f>
        <v/>
      </c>
      <c r="P5735" s="8" t="n"/>
      <c r="Q5735" s="8" t="n"/>
      <c r="R5735" s="8" t="n"/>
      <c r="S5735" s="8" t="n"/>
      <c r="T5735" s="8" t="n"/>
      <c r="U5735" s="8" t="n"/>
      <c r="V5735" s="8" t="n"/>
      <c r="W5735" s="8" t="n"/>
      <c r="X5735" s="8" t="n"/>
      <c r="Y5735" s="8" t="n"/>
    </row>
    <row r="5736">
      <c r="A5736" s="8" t="n"/>
      <c r="B5736" s="8" t="n"/>
      <c r="C5736" s="8" t="n"/>
      <c r="D5736" s="8" t="n"/>
      <c r="E5736" s="8" t="n"/>
      <c r="F5736" s="8" t="n"/>
      <c r="G5736" s="8" t="n"/>
      <c r="H5736" s="8" t="n"/>
      <c r="I5736" s="8" t="n"/>
      <c r="J5736" s="8" t="n"/>
      <c r="K5736" s="8" t="n"/>
      <c r="L5736" s="8" t="n"/>
      <c r="M5736" s="9">
        <f>B5736+30</f>
        <v/>
      </c>
      <c r="N5736">
        <f>IF(L5736="", "", L5736-B5736)</f>
        <v/>
      </c>
      <c r="O5736">
        <f>IF(L5736="", "Pending", IF(N5736&lt;=30, "Met", "Breached"))</f>
        <v/>
      </c>
      <c r="P5736" s="8" t="n"/>
      <c r="Q5736" s="8" t="n"/>
      <c r="R5736" s="8" t="n"/>
      <c r="S5736" s="8" t="n"/>
      <c r="T5736" s="8" t="n"/>
      <c r="U5736" s="8" t="n"/>
      <c r="V5736" s="8" t="n"/>
      <c r="W5736" s="8" t="n"/>
      <c r="X5736" s="8" t="n"/>
      <c r="Y5736" s="8" t="n"/>
    </row>
    <row r="5737">
      <c r="A5737" s="8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8" t="n"/>
      <c r="K5737" s="8" t="n"/>
      <c r="L5737" s="8" t="n"/>
      <c r="M5737" s="9">
        <f>B5737+30</f>
        <v/>
      </c>
      <c r="N5737">
        <f>IF(L5737="", "", L5737-B5737)</f>
        <v/>
      </c>
      <c r="O5737">
        <f>IF(L5737="", "Pending", IF(N5737&lt;=30, "Met", "Breached"))</f>
        <v/>
      </c>
      <c r="P5737" s="8" t="n"/>
      <c r="Q5737" s="8" t="n"/>
      <c r="R5737" s="8" t="n"/>
      <c r="S5737" s="8" t="n"/>
      <c r="T5737" s="8" t="n"/>
      <c r="U5737" s="8" t="n"/>
      <c r="V5737" s="8" t="n"/>
      <c r="W5737" s="8" t="n"/>
      <c r="X5737" s="8" t="n"/>
      <c r="Y5737" s="8" t="n"/>
    </row>
    <row r="5738">
      <c r="A5738" s="8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8" t="n"/>
      <c r="K5738" s="8" t="n"/>
      <c r="L5738" s="8" t="n"/>
      <c r="M5738" s="9">
        <f>B5738+30</f>
        <v/>
      </c>
      <c r="N5738">
        <f>IF(L5738="", "", L5738-B5738)</f>
        <v/>
      </c>
      <c r="O5738">
        <f>IF(L5738="", "Pending", IF(N5738&lt;=30, "Met", "Breached"))</f>
        <v/>
      </c>
      <c r="P5738" s="8" t="n"/>
      <c r="Q5738" s="8" t="n"/>
      <c r="R5738" s="8" t="n"/>
      <c r="S5738" s="8" t="n"/>
      <c r="T5738" s="8" t="n"/>
      <c r="U5738" s="8" t="n"/>
      <c r="V5738" s="8" t="n"/>
      <c r="W5738" s="8" t="n"/>
      <c r="X5738" s="8" t="n"/>
      <c r="Y5738" s="8" t="n"/>
    </row>
    <row r="5739">
      <c r="A5739" s="8" t="n"/>
      <c r="B5739" s="8" t="n"/>
      <c r="C5739" s="8" t="n"/>
      <c r="D5739" s="8" t="n"/>
      <c r="E5739" s="8" t="n"/>
      <c r="F5739" s="8" t="n"/>
      <c r="G5739" s="8" t="n"/>
      <c r="H5739" s="8" t="n"/>
      <c r="I5739" s="8" t="n"/>
      <c r="J5739" s="8" t="n"/>
      <c r="K5739" s="8" t="n"/>
      <c r="L5739" s="8" t="n"/>
      <c r="M5739" s="9">
        <f>B5739+30</f>
        <v/>
      </c>
      <c r="N5739">
        <f>IF(L5739="", "", L5739-B5739)</f>
        <v/>
      </c>
      <c r="O5739">
        <f>IF(L5739="", "Pending", IF(N5739&lt;=30, "Met", "Breached"))</f>
        <v/>
      </c>
      <c r="P5739" s="8" t="n"/>
      <c r="Q5739" s="8" t="n"/>
      <c r="R5739" s="8" t="n"/>
      <c r="S5739" s="8" t="n"/>
      <c r="T5739" s="8" t="n"/>
      <c r="U5739" s="8" t="n"/>
      <c r="V5739" s="8" t="n"/>
      <c r="W5739" s="8" t="n"/>
      <c r="X5739" s="8" t="n"/>
      <c r="Y5739" s="8" t="n"/>
    </row>
    <row r="5740">
      <c r="A5740" s="8" t="n"/>
      <c r="B5740" s="8" t="n"/>
      <c r="C5740" s="8" t="n"/>
      <c r="D5740" s="8" t="n"/>
      <c r="E5740" s="8" t="n"/>
      <c r="F5740" s="8" t="n"/>
      <c r="G5740" s="8" t="n"/>
      <c r="H5740" s="8" t="n"/>
      <c r="I5740" s="8" t="n"/>
      <c r="J5740" s="8" t="n"/>
      <c r="K5740" s="8" t="n"/>
      <c r="L5740" s="8" t="n"/>
      <c r="M5740" s="9">
        <f>B5740+30</f>
        <v/>
      </c>
      <c r="N5740">
        <f>IF(L5740="", "", L5740-B5740)</f>
        <v/>
      </c>
      <c r="O5740">
        <f>IF(L5740="", "Pending", IF(N5740&lt;=30, "Met", "Breached"))</f>
        <v/>
      </c>
      <c r="P5740" s="8" t="n"/>
      <c r="Q5740" s="8" t="n"/>
      <c r="R5740" s="8" t="n"/>
      <c r="S5740" s="8" t="n"/>
      <c r="T5740" s="8" t="n"/>
      <c r="U5740" s="8" t="n"/>
      <c r="V5740" s="8" t="n"/>
      <c r="W5740" s="8" t="n"/>
      <c r="X5740" s="8" t="n"/>
      <c r="Y5740" s="8" t="n"/>
    </row>
    <row r="5741">
      <c r="A5741" s="8" t="n"/>
      <c r="B5741" s="8" t="n"/>
      <c r="C5741" s="8" t="n"/>
      <c r="D5741" s="8" t="n"/>
      <c r="E5741" s="8" t="n"/>
      <c r="F5741" s="8" t="n"/>
      <c r="G5741" s="8" t="n"/>
      <c r="H5741" s="8" t="n"/>
      <c r="I5741" s="8" t="n"/>
      <c r="J5741" s="8" t="n"/>
      <c r="K5741" s="8" t="n"/>
      <c r="L5741" s="8" t="n"/>
      <c r="M5741" s="9">
        <f>B5741+30</f>
        <v/>
      </c>
      <c r="N5741">
        <f>IF(L5741="", "", L5741-B5741)</f>
        <v/>
      </c>
      <c r="O5741">
        <f>IF(L5741="", "Pending", IF(N5741&lt;=30, "Met", "Breached"))</f>
        <v/>
      </c>
      <c r="P5741" s="8" t="n"/>
      <c r="Q5741" s="8" t="n"/>
      <c r="R5741" s="8" t="n"/>
      <c r="S5741" s="8" t="n"/>
      <c r="T5741" s="8" t="n"/>
      <c r="U5741" s="8" t="n"/>
      <c r="V5741" s="8" t="n"/>
      <c r="W5741" s="8" t="n"/>
      <c r="X5741" s="8" t="n"/>
      <c r="Y5741" s="8" t="n"/>
    </row>
    <row r="5742">
      <c r="A5742" s="8" t="n"/>
      <c r="B5742" s="8" t="n"/>
      <c r="C5742" s="8" t="n"/>
      <c r="D5742" s="8" t="n"/>
      <c r="E5742" s="8" t="n"/>
      <c r="F5742" s="8" t="n"/>
      <c r="G5742" s="8" t="n"/>
      <c r="H5742" s="8" t="n"/>
      <c r="I5742" s="8" t="n"/>
      <c r="J5742" s="8" t="n"/>
      <c r="K5742" s="8" t="n"/>
      <c r="L5742" s="8" t="n"/>
      <c r="M5742" s="9">
        <f>B5742+30</f>
        <v/>
      </c>
      <c r="N5742">
        <f>IF(L5742="", "", L5742-B5742)</f>
        <v/>
      </c>
      <c r="O5742">
        <f>IF(L5742="", "Pending", IF(N5742&lt;=30, "Met", "Breached"))</f>
        <v/>
      </c>
      <c r="P5742" s="8" t="n"/>
      <c r="Q5742" s="8" t="n"/>
      <c r="R5742" s="8" t="n"/>
      <c r="S5742" s="8" t="n"/>
      <c r="T5742" s="8" t="n"/>
      <c r="U5742" s="8" t="n"/>
      <c r="V5742" s="8" t="n"/>
      <c r="W5742" s="8" t="n"/>
      <c r="X5742" s="8" t="n"/>
      <c r="Y5742" s="8" t="n"/>
    </row>
    <row r="5743">
      <c r="A5743" s="8" t="n"/>
      <c r="B5743" s="8" t="n"/>
      <c r="C5743" s="8" t="n"/>
      <c r="D5743" s="8" t="n"/>
      <c r="E5743" s="8" t="n"/>
      <c r="F5743" s="8" t="n"/>
      <c r="G5743" s="8" t="n"/>
      <c r="H5743" s="8" t="n"/>
      <c r="I5743" s="8" t="n"/>
      <c r="J5743" s="8" t="n"/>
      <c r="K5743" s="8" t="n"/>
      <c r="L5743" s="8" t="n"/>
      <c r="M5743" s="9">
        <f>B5743+30</f>
        <v/>
      </c>
      <c r="N5743">
        <f>IF(L5743="", "", L5743-B5743)</f>
        <v/>
      </c>
      <c r="O5743">
        <f>IF(L5743="", "Pending", IF(N5743&lt;=30, "Met", "Breached"))</f>
        <v/>
      </c>
      <c r="P5743" s="8" t="n"/>
      <c r="Q5743" s="8" t="n"/>
      <c r="R5743" s="8" t="n"/>
      <c r="S5743" s="8" t="n"/>
      <c r="T5743" s="8" t="n"/>
      <c r="U5743" s="8" t="n"/>
      <c r="V5743" s="8" t="n"/>
      <c r="W5743" s="8" t="n"/>
      <c r="X5743" s="8" t="n"/>
      <c r="Y5743" s="8" t="n"/>
    </row>
    <row r="5744">
      <c r="A5744" s="8" t="n"/>
      <c r="B5744" s="8" t="n"/>
      <c r="C5744" s="8" t="n"/>
      <c r="D5744" s="8" t="n"/>
      <c r="E5744" s="8" t="n"/>
      <c r="F5744" s="8" t="n"/>
      <c r="G5744" s="8" t="n"/>
      <c r="H5744" s="8" t="n"/>
      <c r="I5744" s="8" t="n"/>
      <c r="J5744" s="8" t="n"/>
      <c r="K5744" s="8" t="n"/>
      <c r="L5744" s="8" t="n"/>
      <c r="M5744" s="9">
        <f>B5744+30</f>
        <v/>
      </c>
      <c r="N5744">
        <f>IF(L5744="", "", L5744-B5744)</f>
        <v/>
      </c>
      <c r="O5744">
        <f>IF(L5744="", "Pending", IF(N5744&lt;=30, "Met", "Breached"))</f>
        <v/>
      </c>
      <c r="P5744" s="8" t="n"/>
      <c r="Q5744" s="8" t="n"/>
      <c r="R5744" s="8" t="n"/>
      <c r="S5744" s="8" t="n"/>
      <c r="T5744" s="8" t="n"/>
      <c r="U5744" s="8" t="n"/>
      <c r="V5744" s="8" t="n"/>
      <c r="W5744" s="8" t="n"/>
      <c r="X5744" s="8" t="n"/>
      <c r="Y5744" s="8" t="n"/>
    </row>
    <row r="5745">
      <c r="A5745" s="8" t="n"/>
      <c r="B5745" s="8" t="n"/>
      <c r="C5745" s="8" t="n"/>
      <c r="D5745" s="8" t="n"/>
      <c r="E5745" s="8" t="n"/>
      <c r="F5745" s="8" t="n"/>
      <c r="G5745" s="8" t="n"/>
      <c r="H5745" s="8" t="n"/>
      <c r="I5745" s="8" t="n"/>
      <c r="J5745" s="8" t="n"/>
      <c r="K5745" s="8" t="n"/>
      <c r="L5745" s="8" t="n"/>
      <c r="M5745" s="9">
        <f>B5745+30</f>
        <v/>
      </c>
      <c r="N5745">
        <f>IF(L5745="", "", L5745-B5745)</f>
        <v/>
      </c>
      <c r="O5745">
        <f>IF(L5745="", "Pending", IF(N5745&lt;=30, "Met", "Breached"))</f>
        <v/>
      </c>
      <c r="P5745" s="8" t="n"/>
      <c r="Q5745" s="8" t="n"/>
      <c r="R5745" s="8" t="n"/>
      <c r="S5745" s="8" t="n"/>
      <c r="T5745" s="8" t="n"/>
      <c r="U5745" s="8" t="n"/>
      <c r="V5745" s="8" t="n"/>
      <c r="W5745" s="8" t="n"/>
      <c r="X5745" s="8" t="n"/>
      <c r="Y5745" s="8" t="n"/>
    </row>
    <row r="5746">
      <c r="A5746" s="8" t="n"/>
      <c r="B5746" s="8" t="n"/>
      <c r="C5746" s="8" t="n"/>
      <c r="D5746" s="8" t="n"/>
      <c r="E5746" s="8" t="n"/>
      <c r="F5746" s="8" t="n"/>
      <c r="G5746" s="8" t="n"/>
      <c r="H5746" s="8" t="n"/>
      <c r="I5746" s="8" t="n"/>
      <c r="J5746" s="8" t="n"/>
      <c r="K5746" s="8" t="n"/>
      <c r="L5746" s="8" t="n"/>
      <c r="M5746" s="9">
        <f>B5746+30</f>
        <v/>
      </c>
      <c r="N5746">
        <f>IF(L5746="", "", L5746-B5746)</f>
        <v/>
      </c>
      <c r="O5746">
        <f>IF(L5746="", "Pending", IF(N5746&lt;=30, "Met", "Breached"))</f>
        <v/>
      </c>
      <c r="P5746" s="8" t="n"/>
      <c r="Q5746" s="8" t="n"/>
      <c r="R5746" s="8" t="n"/>
      <c r="S5746" s="8" t="n"/>
      <c r="T5746" s="8" t="n"/>
      <c r="U5746" s="8" t="n"/>
      <c r="V5746" s="8" t="n"/>
      <c r="W5746" s="8" t="n"/>
      <c r="X5746" s="8" t="n"/>
      <c r="Y5746" s="8" t="n"/>
    </row>
    <row r="5747">
      <c r="A5747" s="8" t="n"/>
      <c r="B5747" s="8" t="n"/>
      <c r="C5747" s="8" t="n"/>
      <c r="D5747" s="8" t="n"/>
      <c r="E5747" s="8" t="n"/>
      <c r="F5747" s="8" t="n"/>
      <c r="G5747" s="8" t="n"/>
      <c r="H5747" s="8" t="n"/>
      <c r="I5747" s="8" t="n"/>
      <c r="J5747" s="8" t="n"/>
      <c r="K5747" s="8" t="n"/>
      <c r="L5747" s="8" t="n"/>
      <c r="M5747" s="9">
        <f>B5747+30</f>
        <v/>
      </c>
      <c r="N5747">
        <f>IF(L5747="", "", L5747-B5747)</f>
        <v/>
      </c>
      <c r="O5747">
        <f>IF(L5747="", "Pending", IF(N5747&lt;=30, "Met", "Breached"))</f>
        <v/>
      </c>
      <c r="P5747" s="8" t="n"/>
      <c r="Q5747" s="8" t="n"/>
      <c r="R5747" s="8" t="n"/>
      <c r="S5747" s="8" t="n"/>
      <c r="T5747" s="8" t="n"/>
      <c r="U5747" s="8" t="n"/>
      <c r="V5747" s="8" t="n"/>
      <c r="W5747" s="8" t="n"/>
      <c r="X5747" s="8" t="n"/>
      <c r="Y5747" s="8" t="n"/>
    </row>
    <row r="5748">
      <c r="A5748" s="8" t="n"/>
      <c r="B5748" s="8" t="n"/>
      <c r="C5748" s="8" t="n"/>
      <c r="D5748" s="8" t="n"/>
      <c r="E5748" s="8" t="n"/>
      <c r="F5748" s="8" t="n"/>
      <c r="G5748" s="8" t="n"/>
      <c r="H5748" s="8" t="n"/>
      <c r="I5748" s="8" t="n"/>
      <c r="J5748" s="8" t="n"/>
      <c r="K5748" s="8" t="n"/>
      <c r="L5748" s="8" t="n"/>
      <c r="M5748" s="9">
        <f>B5748+30</f>
        <v/>
      </c>
      <c r="N5748">
        <f>IF(L5748="", "", L5748-B5748)</f>
        <v/>
      </c>
      <c r="O5748">
        <f>IF(L5748="", "Pending", IF(N5748&lt;=30, "Met", "Breached"))</f>
        <v/>
      </c>
      <c r="P5748" s="8" t="n"/>
      <c r="Q5748" s="8" t="n"/>
      <c r="R5748" s="8" t="n"/>
      <c r="S5748" s="8" t="n"/>
      <c r="T5748" s="8" t="n"/>
      <c r="U5748" s="8" t="n"/>
      <c r="V5748" s="8" t="n"/>
      <c r="W5748" s="8" t="n"/>
      <c r="X5748" s="8" t="n"/>
      <c r="Y5748" s="8" t="n"/>
    </row>
    <row r="5749">
      <c r="A5749" s="8" t="n"/>
      <c r="B5749" s="8" t="n"/>
      <c r="C5749" s="8" t="n"/>
      <c r="D5749" s="8" t="n"/>
      <c r="E5749" s="8" t="n"/>
      <c r="F5749" s="8" t="n"/>
      <c r="G5749" s="8" t="n"/>
      <c r="H5749" s="8" t="n"/>
      <c r="I5749" s="8" t="n"/>
      <c r="J5749" s="8" t="n"/>
      <c r="K5749" s="8" t="n"/>
      <c r="L5749" s="8" t="n"/>
      <c r="M5749" s="9">
        <f>B5749+30</f>
        <v/>
      </c>
      <c r="N5749">
        <f>IF(L5749="", "", L5749-B5749)</f>
        <v/>
      </c>
      <c r="O5749">
        <f>IF(L5749="", "Pending", IF(N5749&lt;=30, "Met", "Breached"))</f>
        <v/>
      </c>
      <c r="P5749" s="8" t="n"/>
      <c r="Q5749" s="8" t="n"/>
      <c r="R5749" s="8" t="n"/>
      <c r="S5749" s="8" t="n"/>
      <c r="T5749" s="8" t="n"/>
      <c r="U5749" s="8" t="n"/>
      <c r="V5749" s="8" t="n"/>
      <c r="W5749" s="8" t="n"/>
      <c r="X5749" s="8" t="n"/>
      <c r="Y5749" s="8" t="n"/>
    </row>
    <row r="5750">
      <c r="A5750" s="8" t="n"/>
      <c r="B5750" s="8" t="n"/>
      <c r="C5750" s="8" t="n"/>
      <c r="D5750" s="8" t="n"/>
      <c r="E5750" s="8" t="n"/>
      <c r="F5750" s="8" t="n"/>
      <c r="G5750" s="8" t="n"/>
      <c r="H5750" s="8" t="n"/>
      <c r="I5750" s="8" t="n"/>
      <c r="J5750" s="8" t="n"/>
      <c r="K5750" s="8" t="n"/>
      <c r="L5750" s="8" t="n"/>
      <c r="M5750" s="9">
        <f>B5750+30</f>
        <v/>
      </c>
      <c r="N5750">
        <f>IF(L5750="", "", L5750-B5750)</f>
        <v/>
      </c>
      <c r="O5750">
        <f>IF(L5750="", "Pending", IF(N5750&lt;=30, "Met", "Breached"))</f>
        <v/>
      </c>
      <c r="P5750" s="8" t="n"/>
      <c r="Q5750" s="8" t="n"/>
      <c r="R5750" s="8" t="n"/>
      <c r="S5750" s="8" t="n"/>
      <c r="T5750" s="8" t="n"/>
      <c r="U5750" s="8" t="n"/>
      <c r="V5750" s="8" t="n"/>
      <c r="W5750" s="8" t="n"/>
      <c r="X5750" s="8" t="n"/>
      <c r="Y5750" s="8" t="n"/>
    </row>
    <row r="5751">
      <c r="A5751" s="8" t="n"/>
      <c r="B5751" s="8" t="n"/>
      <c r="C5751" s="8" t="n"/>
      <c r="D5751" s="8" t="n"/>
      <c r="E5751" s="8" t="n"/>
      <c r="F5751" s="8" t="n"/>
      <c r="G5751" s="8" t="n"/>
      <c r="H5751" s="8" t="n"/>
      <c r="I5751" s="8" t="n"/>
      <c r="J5751" s="8" t="n"/>
      <c r="K5751" s="8" t="n"/>
      <c r="L5751" s="8" t="n"/>
      <c r="M5751" s="9">
        <f>B5751+30</f>
        <v/>
      </c>
      <c r="N5751">
        <f>IF(L5751="", "", L5751-B5751)</f>
        <v/>
      </c>
      <c r="O5751">
        <f>IF(L5751="", "Pending", IF(N5751&lt;=30, "Met", "Breached"))</f>
        <v/>
      </c>
      <c r="P5751" s="8" t="n"/>
      <c r="Q5751" s="8" t="n"/>
      <c r="R5751" s="8" t="n"/>
      <c r="S5751" s="8" t="n"/>
      <c r="T5751" s="8" t="n"/>
      <c r="U5751" s="8" t="n"/>
      <c r="V5751" s="8" t="n"/>
      <c r="W5751" s="8" t="n"/>
      <c r="X5751" s="8" t="n"/>
      <c r="Y5751" s="8" t="n"/>
    </row>
    <row r="5752">
      <c r="A5752" s="8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8" t="n"/>
      <c r="K5752" s="8" t="n"/>
      <c r="L5752" s="8" t="n"/>
      <c r="M5752" s="9">
        <f>B5752+30</f>
        <v/>
      </c>
      <c r="N5752">
        <f>IF(L5752="", "", L5752-B5752)</f>
        <v/>
      </c>
      <c r="O5752">
        <f>IF(L5752="", "Pending", IF(N5752&lt;=30, "Met", "Breached"))</f>
        <v/>
      </c>
      <c r="P5752" s="8" t="n"/>
      <c r="Q5752" s="8" t="n"/>
      <c r="R5752" s="8" t="n"/>
      <c r="S5752" s="8" t="n"/>
      <c r="T5752" s="8" t="n"/>
      <c r="U5752" s="8" t="n"/>
      <c r="V5752" s="8" t="n"/>
      <c r="W5752" s="8" t="n"/>
      <c r="X5752" s="8" t="n"/>
      <c r="Y5752" s="8" t="n"/>
    </row>
    <row r="5753">
      <c r="A5753" s="8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8" t="n"/>
      <c r="K5753" s="8" t="n"/>
      <c r="L5753" s="8" t="n"/>
      <c r="M5753" s="9">
        <f>B5753+30</f>
        <v/>
      </c>
      <c r="N5753">
        <f>IF(L5753="", "", L5753-B5753)</f>
        <v/>
      </c>
      <c r="O5753">
        <f>IF(L5753="", "Pending", IF(N5753&lt;=30, "Met", "Breached"))</f>
        <v/>
      </c>
      <c r="P5753" s="8" t="n"/>
      <c r="Q5753" s="8" t="n"/>
      <c r="R5753" s="8" t="n"/>
      <c r="S5753" s="8" t="n"/>
      <c r="T5753" s="8" t="n"/>
      <c r="U5753" s="8" t="n"/>
      <c r="V5753" s="8" t="n"/>
      <c r="W5753" s="8" t="n"/>
      <c r="X5753" s="8" t="n"/>
      <c r="Y5753" s="8" t="n"/>
    </row>
    <row r="5754">
      <c r="A5754" s="8" t="n"/>
      <c r="B5754" s="8" t="n"/>
      <c r="C5754" s="8" t="n"/>
      <c r="D5754" s="8" t="n"/>
      <c r="E5754" s="8" t="n"/>
      <c r="F5754" s="8" t="n"/>
      <c r="G5754" s="8" t="n"/>
      <c r="H5754" s="8" t="n"/>
      <c r="I5754" s="8" t="n"/>
      <c r="J5754" s="8" t="n"/>
      <c r="K5754" s="8" t="n"/>
      <c r="L5754" s="8" t="n"/>
      <c r="M5754" s="9">
        <f>B5754+30</f>
        <v/>
      </c>
      <c r="N5754">
        <f>IF(L5754="", "", L5754-B5754)</f>
        <v/>
      </c>
      <c r="O5754">
        <f>IF(L5754="", "Pending", IF(N5754&lt;=30, "Met", "Breached"))</f>
        <v/>
      </c>
      <c r="P5754" s="8" t="n"/>
      <c r="Q5754" s="8" t="n"/>
      <c r="R5754" s="8" t="n"/>
      <c r="S5754" s="8" t="n"/>
      <c r="T5754" s="8" t="n"/>
      <c r="U5754" s="8" t="n"/>
      <c r="V5754" s="8" t="n"/>
      <c r="W5754" s="8" t="n"/>
      <c r="X5754" s="8" t="n"/>
      <c r="Y5754" s="8" t="n"/>
    </row>
    <row r="5755">
      <c r="A5755" s="8" t="n"/>
      <c r="B5755" s="8" t="n"/>
      <c r="C5755" s="8" t="n"/>
      <c r="D5755" s="8" t="n"/>
      <c r="E5755" s="8" t="n"/>
      <c r="F5755" s="8" t="n"/>
      <c r="G5755" s="8" t="n"/>
      <c r="H5755" s="8" t="n"/>
      <c r="I5755" s="8" t="n"/>
      <c r="J5755" s="8" t="n"/>
      <c r="K5755" s="8" t="n"/>
      <c r="L5755" s="8" t="n"/>
      <c r="M5755" s="9">
        <f>B5755+30</f>
        <v/>
      </c>
      <c r="N5755">
        <f>IF(L5755="", "", L5755-B5755)</f>
        <v/>
      </c>
      <c r="O5755">
        <f>IF(L5755="", "Pending", IF(N5755&lt;=30, "Met", "Breached"))</f>
        <v/>
      </c>
      <c r="P5755" s="8" t="n"/>
      <c r="Q5755" s="8" t="n"/>
      <c r="R5755" s="8" t="n"/>
      <c r="S5755" s="8" t="n"/>
      <c r="T5755" s="8" t="n"/>
      <c r="U5755" s="8" t="n"/>
      <c r="V5755" s="8" t="n"/>
      <c r="W5755" s="8" t="n"/>
      <c r="X5755" s="8" t="n"/>
      <c r="Y5755" s="8" t="n"/>
    </row>
    <row r="5756">
      <c r="A5756" s="8" t="n"/>
      <c r="B5756" s="8" t="n"/>
      <c r="C5756" s="8" t="n"/>
      <c r="D5756" s="8" t="n"/>
      <c r="E5756" s="8" t="n"/>
      <c r="F5756" s="8" t="n"/>
      <c r="G5756" s="8" t="n"/>
      <c r="H5756" s="8" t="n"/>
      <c r="I5756" s="8" t="n"/>
      <c r="J5756" s="8" t="n"/>
      <c r="K5756" s="8" t="n"/>
      <c r="L5756" s="8" t="n"/>
      <c r="M5756" s="9">
        <f>B5756+30</f>
        <v/>
      </c>
      <c r="N5756">
        <f>IF(L5756="", "", L5756-B5756)</f>
        <v/>
      </c>
      <c r="O5756">
        <f>IF(L5756="", "Pending", IF(N5756&lt;=30, "Met", "Breached"))</f>
        <v/>
      </c>
      <c r="P5756" s="8" t="n"/>
      <c r="Q5756" s="8" t="n"/>
      <c r="R5756" s="8" t="n"/>
      <c r="S5756" s="8" t="n"/>
      <c r="T5756" s="8" t="n"/>
      <c r="U5756" s="8" t="n"/>
      <c r="V5756" s="8" t="n"/>
      <c r="W5756" s="8" t="n"/>
      <c r="X5756" s="8" t="n"/>
      <c r="Y5756" s="8" t="n"/>
    </row>
    <row r="5757">
      <c r="A5757" s="8" t="n"/>
      <c r="B5757" s="8" t="n"/>
      <c r="C5757" s="8" t="n"/>
      <c r="D5757" s="8" t="n"/>
      <c r="E5757" s="8" t="n"/>
      <c r="F5757" s="8" t="n"/>
      <c r="G5757" s="8" t="n"/>
      <c r="H5757" s="8" t="n"/>
      <c r="I5757" s="8" t="n"/>
      <c r="J5757" s="8" t="n"/>
      <c r="K5757" s="8" t="n"/>
      <c r="L5757" s="8" t="n"/>
      <c r="M5757" s="9">
        <f>B5757+30</f>
        <v/>
      </c>
      <c r="N5757">
        <f>IF(L5757="", "", L5757-B5757)</f>
        <v/>
      </c>
      <c r="O5757">
        <f>IF(L5757="", "Pending", IF(N5757&lt;=30, "Met", "Breached"))</f>
        <v/>
      </c>
      <c r="P5757" s="8" t="n"/>
      <c r="Q5757" s="8" t="n"/>
      <c r="R5757" s="8" t="n"/>
      <c r="S5757" s="8" t="n"/>
      <c r="T5757" s="8" t="n"/>
      <c r="U5757" s="8" t="n"/>
      <c r="V5757" s="8" t="n"/>
      <c r="W5757" s="8" t="n"/>
      <c r="X5757" s="8" t="n"/>
      <c r="Y5757" s="8" t="n"/>
    </row>
    <row r="5758">
      <c r="A5758" s="8" t="n"/>
      <c r="B5758" s="8" t="n"/>
      <c r="C5758" s="8" t="n"/>
      <c r="D5758" s="8" t="n"/>
      <c r="E5758" s="8" t="n"/>
      <c r="F5758" s="8" t="n"/>
      <c r="G5758" s="8" t="n"/>
      <c r="H5758" s="8" t="n"/>
      <c r="I5758" s="8" t="n"/>
      <c r="J5758" s="8" t="n"/>
      <c r="K5758" s="8" t="n"/>
      <c r="L5758" s="8" t="n"/>
      <c r="M5758" s="9">
        <f>B5758+30</f>
        <v/>
      </c>
      <c r="N5758">
        <f>IF(L5758="", "", L5758-B5758)</f>
        <v/>
      </c>
      <c r="O5758">
        <f>IF(L5758="", "Pending", IF(N5758&lt;=30, "Met", "Breached"))</f>
        <v/>
      </c>
      <c r="P5758" s="8" t="n"/>
      <c r="Q5758" s="8" t="n"/>
      <c r="R5758" s="8" t="n"/>
      <c r="S5758" s="8" t="n"/>
      <c r="T5758" s="8" t="n"/>
      <c r="U5758" s="8" t="n"/>
      <c r="V5758" s="8" t="n"/>
      <c r="W5758" s="8" t="n"/>
      <c r="X5758" s="8" t="n"/>
      <c r="Y5758" s="8" t="n"/>
    </row>
    <row r="5759">
      <c r="A5759" s="8" t="n"/>
      <c r="B5759" s="8" t="n"/>
      <c r="C5759" s="8" t="n"/>
      <c r="D5759" s="8" t="n"/>
      <c r="E5759" s="8" t="n"/>
      <c r="F5759" s="8" t="n"/>
      <c r="G5759" s="8" t="n"/>
      <c r="H5759" s="8" t="n"/>
      <c r="I5759" s="8" t="n"/>
      <c r="J5759" s="8" t="n"/>
      <c r="K5759" s="8" t="n"/>
      <c r="L5759" s="8" t="n"/>
      <c r="M5759" s="9">
        <f>B5759+30</f>
        <v/>
      </c>
      <c r="N5759">
        <f>IF(L5759="", "", L5759-B5759)</f>
        <v/>
      </c>
      <c r="O5759">
        <f>IF(L5759="", "Pending", IF(N5759&lt;=30, "Met", "Breached"))</f>
        <v/>
      </c>
      <c r="P5759" s="8" t="n"/>
      <c r="Q5759" s="8" t="n"/>
      <c r="R5759" s="8" t="n"/>
      <c r="S5759" s="8" t="n"/>
      <c r="T5759" s="8" t="n"/>
      <c r="U5759" s="8" t="n"/>
      <c r="V5759" s="8" t="n"/>
      <c r="W5759" s="8" t="n"/>
      <c r="X5759" s="8" t="n"/>
      <c r="Y5759" s="8" t="n"/>
    </row>
    <row r="5760">
      <c r="A5760" s="8" t="n"/>
      <c r="B5760" s="8" t="n"/>
      <c r="C5760" s="8" t="n"/>
      <c r="D5760" s="8" t="n"/>
      <c r="E5760" s="8" t="n"/>
      <c r="F5760" s="8" t="n"/>
      <c r="G5760" s="8" t="n"/>
      <c r="H5760" s="8" t="n"/>
      <c r="I5760" s="8" t="n"/>
      <c r="J5760" s="8" t="n"/>
      <c r="K5760" s="8" t="n"/>
      <c r="L5760" s="8" t="n"/>
      <c r="M5760" s="9">
        <f>B5760+30</f>
        <v/>
      </c>
      <c r="N5760">
        <f>IF(L5760="", "", L5760-B5760)</f>
        <v/>
      </c>
      <c r="O5760">
        <f>IF(L5760="", "Pending", IF(N5760&lt;=30, "Met", "Breached"))</f>
        <v/>
      </c>
      <c r="P5760" s="8" t="n"/>
      <c r="Q5760" s="8" t="n"/>
      <c r="R5760" s="8" t="n"/>
      <c r="S5760" s="8" t="n"/>
      <c r="T5760" s="8" t="n"/>
      <c r="U5760" s="8" t="n"/>
      <c r="V5760" s="8" t="n"/>
      <c r="W5760" s="8" t="n"/>
      <c r="X5760" s="8" t="n"/>
      <c r="Y5760" s="8" t="n"/>
    </row>
    <row r="5761">
      <c r="A5761" s="8" t="n"/>
      <c r="B5761" s="8" t="n"/>
      <c r="C5761" s="8" t="n"/>
      <c r="D5761" s="8" t="n"/>
      <c r="E5761" s="8" t="n"/>
      <c r="F5761" s="8" t="n"/>
      <c r="G5761" s="8" t="n"/>
      <c r="H5761" s="8" t="n"/>
      <c r="I5761" s="8" t="n"/>
      <c r="J5761" s="8" t="n"/>
      <c r="K5761" s="8" t="n"/>
      <c r="L5761" s="8" t="n"/>
      <c r="M5761" s="9">
        <f>B5761+30</f>
        <v/>
      </c>
      <c r="N5761">
        <f>IF(L5761="", "", L5761-B5761)</f>
        <v/>
      </c>
      <c r="O5761">
        <f>IF(L5761="", "Pending", IF(N5761&lt;=30, "Met", "Breached"))</f>
        <v/>
      </c>
      <c r="P5761" s="8" t="n"/>
      <c r="Q5761" s="8" t="n"/>
      <c r="R5761" s="8" t="n"/>
      <c r="S5761" s="8" t="n"/>
      <c r="T5761" s="8" t="n"/>
      <c r="U5761" s="8" t="n"/>
      <c r="V5761" s="8" t="n"/>
      <c r="W5761" s="8" t="n"/>
      <c r="X5761" s="8" t="n"/>
      <c r="Y5761" s="8" t="n"/>
    </row>
    <row r="5762">
      <c r="A5762" s="8" t="n"/>
      <c r="B5762" s="8" t="n"/>
      <c r="C5762" s="8" t="n"/>
      <c r="D5762" s="8" t="n"/>
      <c r="E5762" s="8" t="n"/>
      <c r="F5762" s="8" t="n"/>
      <c r="G5762" s="8" t="n"/>
      <c r="H5762" s="8" t="n"/>
      <c r="I5762" s="8" t="n"/>
      <c r="J5762" s="8" t="n"/>
      <c r="K5762" s="8" t="n"/>
      <c r="L5762" s="8" t="n"/>
      <c r="M5762" s="9">
        <f>B5762+30</f>
        <v/>
      </c>
      <c r="N5762">
        <f>IF(L5762="", "", L5762-B5762)</f>
        <v/>
      </c>
      <c r="O5762">
        <f>IF(L5762="", "Pending", IF(N5762&lt;=30, "Met", "Breached"))</f>
        <v/>
      </c>
      <c r="P5762" s="8" t="n"/>
      <c r="Q5762" s="8" t="n"/>
      <c r="R5762" s="8" t="n"/>
      <c r="S5762" s="8" t="n"/>
      <c r="T5762" s="8" t="n"/>
      <c r="U5762" s="8" t="n"/>
      <c r="V5762" s="8" t="n"/>
      <c r="W5762" s="8" t="n"/>
      <c r="X5762" s="8" t="n"/>
      <c r="Y5762" s="8" t="n"/>
    </row>
    <row r="5763">
      <c r="A5763" s="8" t="n"/>
      <c r="B5763" s="8" t="n"/>
      <c r="C5763" s="8" t="n"/>
      <c r="D5763" s="8" t="n"/>
      <c r="E5763" s="8" t="n"/>
      <c r="F5763" s="8" t="n"/>
      <c r="G5763" s="8" t="n"/>
      <c r="H5763" s="8" t="n"/>
      <c r="I5763" s="8" t="n"/>
      <c r="J5763" s="8" t="n"/>
      <c r="K5763" s="8" t="n"/>
      <c r="L5763" s="8" t="n"/>
      <c r="M5763" s="9">
        <f>B5763+30</f>
        <v/>
      </c>
      <c r="N5763">
        <f>IF(L5763="", "", L5763-B5763)</f>
        <v/>
      </c>
      <c r="O5763">
        <f>IF(L5763="", "Pending", IF(N5763&lt;=30, "Met", "Breached"))</f>
        <v/>
      </c>
      <c r="P5763" s="8" t="n"/>
      <c r="Q5763" s="8" t="n"/>
      <c r="R5763" s="8" t="n"/>
      <c r="S5763" s="8" t="n"/>
      <c r="T5763" s="8" t="n"/>
      <c r="U5763" s="8" t="n"/>
      <c r="V5763" s="8" t="n"/>
      <c r="W5763" s="8" t="n"/>
      <c r="X5763" s="8" t="n"/>
      <c r="Y5763" s="8" t="n"/>
    </row>
    <row r="5764">
      <c r="A5764" s="8" t="n"/>
      <c r="B5764" s="8" t="n"/>
      <c r="C5764" s="8" t="n"/>
      <c r="D5764" s="8" t="n"/>
      <c r="E5764" s="8" t="n"/>
      <c r="F5764" s="8" t="n"/>
      <c r="G5764" s="8" t="n"/>
      <c r="H5764" s="8" t="n"/>
      <c r="I5764" s="8" t="n"/>
      <c r="J5764" s="8" t="n"/>
      <c r="K5764" s="8" t="n"/>
      <c r="L5764" s="8" t="n"/>
      <c r="M5764" s="9">
        <f>B5764+30</f>
        <v/>
      </c>
      <c r="N5764">
        <f>IF(L5764="", "", L5764-B5764)</f>
        <v/>
      </c>
      <c r="O5764">
        <f>IF(L5764="", "Pending", IF(N5764&lt;=30, "Met", "Breached"))</f>
        <v/>
      </c>
      <c r="P5764" s="8" t="n"/>
      <c r="Q5764" s="8" t="n"/>
      <c r="R5764" s="8" t="n"/>
      <c r="S5764" s="8" t="n"/>
      <c r="T5764" s="8" t="n"/>
      <c r="U5764" s="8" t="n"/>
      <c r="V5764" s="8" t="n"/>
      <c r="W5764" s="8" t="n"/>
      <c r="X5764" s="8" t="n"/>
      <c r="Y5764" s="8" t="n"/>
    </row>
    <row r="5765">
      <c r="A5765" s="8" t="n"/>
      <c r="B5765" s="8" t="n"/>
      <c r="C5765" s="8" t="n"/>
      <c r="D5765" s="8" t="n"/>
      <c r="E5765" s="8" t="n"/>
      <c r="F5765" s="8" t="n"/>
      <c r="G5765" s="8" t="n"/>
      <c r="H5765" s="8" t="n"/>
      <c r="I5765" s="8" t="n"/>
      <c r="J5765" s="8" t="n"/>
      <c r="K5765" s="8" t="n"/>
      <c r="L5765" s="8" t="n"/>
      <c r="M5765" s="9">
        <f>B5765+30</f>
        <v/>
      </c>
      <c r="N5765">
        <f>IF(L5765="", "", L5765-B5765)</f>
        <v/>
      </c>
      <c r="O5765">
        <f>IF(L5765="", "Pending", IF(N5765&lt;=30, "Met", "Breached"))</f>
        <v/>
      </c>
      <c r="P5765" s="8" t="n"/>
      <c r="Q5765" s="8" t="n"/>
      <c r="R5765" s="8" t="n"/>
      <c r="S5765" s="8" t="n"/>
      <c r="T5765" s="8" t="n"/>
      <c r="U5765" s="8" t="n"/>
      <c r="V5765" s="8" t="n"/>
      <c r="W5765" s="8" t="n"/>
      <c r="X5765" s="8" t="n"/>
      <c r="Y5765" s="8" t="n"/>
    </row>
    <row r="5766">
      <c r="A5766" s="8" t="n"/>
      <c r="B5766" s="8" t="n"/>
      <c r="C5766" s="8" t="n"/>
      <c r="D5766" s="8" t="n"/>
      <c r="E5766" s="8" t="n"/>
      <c r="F5766" s="8" t="n"/>
      <c r="G5766" s="8" t="n"/>
      <c r="H5766" s="8" t="n"/>
      <c r="I5766" s="8" t="n"/>
      <c r="J5766" s="8" t="n"/>
      <c r="K5766" s="8" t="n"/>
      <c r="L5766" s="8" t="n"/>
      <c r="M5766" s="9">
        <f>B5766+30</f>
        <v/>
      </c>
      <c r="N5766">
        <f>IF(L5766="", "", L5766-B5766)</f>
        <v/>
      </c>
      <c r="O5766">
        <f>IF(L5766="", "Pending", IF(N5766&lt;=30, "Met", "Breached"))</f>
        <v/>
      </c>
      <c r="P5766" s="8" t="n"/>
      <c r="Q5766" s="8" t="n"/>
      <c r="R5766" s="8" t="n"/>
      <c r="S5766" s="8" t="n"/>
      <c r="T5766" s="8" t="n"/>
      <c r="U5766" s="8" t="n"/>
      <c r="V5766" s="8" t="n"/>
      <c r="W5766" s="8" t="n"/>
      <c r="X5766" s="8" t="n"/>
      <c r="Y5766" s="8" t="n"/>
    </row>
    <row r="5767">
      <c r="A5767" s="8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8" t="n"/>
      <c r="K5767" s="8" t="n"/>
      <c r="L5767" s="8" t="n"/>
      <c r="M5767" s="9">
        <f>B5767+30</f>
        <v/>
      </c>
      <c r="N5767">
        <f>IF(L5767="", "", L5767-B5767)</f>
        <v/>
      </c>
      <c r="O5767">
        <f>IF(L5767="", "Pending", IF(N5767&lt;=30, "Met", "Breached"))</f>
        <v/>
      </c>
      <c r="P5767" s="8" t="n"/>
      <c r="Q5767" s="8" t="n"/>
      <c r="R5767" s="8" t="n"/>
      <c r="S5767" s="8" t="n"/>
      <c r="T5767" s="8" t="n"/>
      <c r="U5767" s="8" t="n"/>
      <c r="V5767" s="8" t="n"/>
      <c r="W5767" s="8" t="n"/>
      <c r="X5767" s="8" t="n"/>
      <c r="Y5767" s="8" t="n"/>
    </row>
    <row r="5768">
      <c r="A5768" s="8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8" t="n"/>
      <c r="K5768" s="8" t="n"/>
      <c r="L5768" s="8" t="n"/>
      <c r="M5768" s="9">
        <f>B5768+30</f>
        <v/>
      </c>
      <c r="N5768">
        <f>IF(L5768="", "", L5768-B5768)</f>
        <v/>
      </c>
      <c r="O5768">
        <f>IF(L5768="", "Pending", IF(N5768&lt;=30, "Met", "Breached"))</f>
        <v/>
      </c>
      <c r="P5768" s="8" t="n"/>
      <c r="Q5768" s="8" t="n"/>
      <c r="R5768" s="8" t="n"/>
      <c r="S5768" s="8" t="n"/>
      <c r="T5768" s="8" t="n"/>
      <c r="U5768" s="8" t="n"/>
      <c r="V5768" s="8" t="n"/>
      <c r="W5768" s="8" t="n"/>
      <c r="X5768" s="8" t="n"/>
      <c r="Y5768" s="8" t="n"/>
    </row>
    <row r="5769">
      <c r="A5769" s="8" t="n"/>
      <c r="B5769" s="8" t="n"/>
      <c r="C5769" s="8" t="n"/>
      <c r="D5769" s="8" t="n"/>
      <c r="E5769" s="8" t="n"/>
      <c r="F5769" s="8" t="n"/>
      <c r="G5769" s="8" t="n"/>
      <c r="H5769" s="8" t="n"/>
      <c r="I5769" s="8" t="n"/>
      <c r="J5769" s="8" t="n"/>
      <c r="K5769" s="8" t="n"/>
      <c r="L5769" s="8" t="n"/>
      <c r="M5769" s="9">
        <f>B5769+30</f>
        <v/>
      </c>
      <c r="N5769">
        <f>IF(L5769="", "", L5769-B5769)</f>
        <v/>
      </c>
      <c r="O5769">
        <f>IF(L5769="", "Pending", IF(N5769&lt;=30, "Met", "Breached"))</f>
        <v/>
      </c>
      <c r="P5769" s="8" t="n"/>
      <c r="Q5769" s="8" t="n"/>
      <c r="R5769" s="8" t="n"/>
      <c r="S5769" s="8" t="n"/>
      <c r="T5769" s="8" t="n"/>
      <c r="U5769" s="8" t="n"/>
      <c r="V5769" s="8" t="n"/>
      <c r="W5769" s="8" t="n"/>
      <c r="X5769" s="8" t="n"/>
      <c r="Y5769" s="8" t="n"/>
    </row>
    <row r="5770">
      <c r="A5770" s="8" t="n"/>
      <c r="B5770" s="8" t="n"/>
      <c r="C5770" s="8" t="n"/>
      <c r="D5770" s="8" t="n"/>
      <c r="E5770" s="8" t="n"/>
      <c r="F5770" s="8" t="n"/>
      <c r="G5770" s="8" t="n"/>
      <c r="H5770" s="8" t="n"/>
      <c r="I5770" s="8" t="n"/>
      <c r="J5770" s="8" t="n"/>
      <c r="K5770" s="8" t="n"/>
      <c r="L5770" s="8" t="n"/>
      <c r="M5770" s="9">
        <f>B5770+30</f>
        <v/>
      </c>
      <c r="N5770">
        <f>IF(L5770="", "", L5770-B5770)</f>
        <v/>
      </c>
      <c r="O5770">
        <f>IF(L5770="", "Pending", IF(N5770&lt;=30, "Met", "Breached"))</f>
        <v/>
      </c>
      <c r="P5770" s="8" t="n"/>
      <c r="Q5770" s="8" t="n"/>
      <c r="R5770" s="8" t="n"/>
      <c r="S5770" s="8" t="n"/>
      <c r="T5770" s="8" t="n"/>
      <c r="U5770" s="8" t="n"/>
      <c r="V5770" s="8" t="n"/>
      <c r="W5770" s="8" t="n"/>
      <c r="X5770" s="8" t="n"/>
      <c r="Y5770" s="8" t="n"/>
    </row>
    <row r="5771">
      <c r="A5771" s="8" t="n"/>
      <c r="B5771" s="8" t="n"/>
      <c r="C5771" s="8" t="n"/>
      <c r="D5771" s="8" t="n"/>
      <c r="E5771" s="8" t="n"/>
      <c r="F5771" s="8" t="n"/>
      <c r="G5771" s="8" t="n"/>
      <c r="H5771" s="8" t="n"/>
      <c r="I5771" s="8" t="n"/>
      <c r="J5771" s="8" t="n"/>
      <c r="K5771" s="8" t="n"/>
      <c r="L5771" s="8" t="n"/>
      <c r="M5771" s="9">
        <f>B5771+30</f>
        <v/>
      </c>
      <c r="N5771">
        <f>IF(L5771="", "", L5771-B5771)</f>
        <v/>
      </c>
      <c r="O5771">
        <f>IF(L5771="", "Pending", IF(N5771&lt;=30, "Met", "Breached"))</f>
        <v/>
      </c>
      <c r="P5771" s="8" t="n"/>
      <c r="Q5771" s="8" t="n"/>
      <c r="R5771" s="8" t="n"/>
      <c r="S5771" s="8" t="n"/>
      <c r="T5771" s="8" t="n"/>
      <c r="U5771" s="8" t="n"/>
      <c r="V5771" s="8" t="n"/>
      <c r="W5771" s="8" t="n"/>
      <c r="X5771" s="8" t="n"/>
      <c r="Y5771" s="8" t="n"/>
    </row>
    <row r="5772">
      <c r="A5772" s="8" t="n"/>
      <c r="B5772" s="8" t="n"/>
      <c r="C5772" s="8" t="n"/>
      <c r="D5772" s="8" t="n"/>
      <c r="E5772" s="8" t="n"/>
      <c r="F5772" s="8" t="n"/>
      <c r="G5772" s="8" t="n"/>
      <c r="H5772" s="8" t="n"/>
      <c r="I5772" s="8" t="n"/>
      <c r="J5772" s="8" t="n"/>
      <c r="K5772" s="8" t="n"/>
      <c r="L5772" s="8" t="n"/>
      <c r="M5772" s="9">
        <f>B5772+30</f>
        <v/>
      </c>
      <c r="N5772">
        <f>IF(L5772="", "", L5772-B5772)</f>
        <v/>
      </c>
      <c r="O5772">
        <f>IF(L5772="", "Pending", IF(N5772&lt;=30, "Met", "Breached"))</f>
        <v/>
      </c>
      <c r="P5772" s="8" t="n"/>
      <c r="Q5772" s="8" t="n"/>
      <c r="R5772" s="8" t="n"/>
      <c r="S5772" s="8" t="n"/>
      <c r="T5772" s="8" t="n"/>
      <c r="U5772" s="8" t="n"/>
      <c r="V5772" s="8" t="n"/>
      <c r="W5772" s="8" t="n"/>
      <c r="X5772" s="8" t="n"/>
      <c r="Y5772" s="8" t="n"/>
    </row>
    <row r="5773">
      <c r="A5773" s="8" t="n"/>
      <c r="B5773" s="8" t="n"/>
      <c r="C5773" s="8" t="n"/>
      <c r="D5773" s="8" t="n"/>
      <c r="E5773" s="8" t="n"/>
      <c r="F5773" s="8" t="n"/>
      <c r="G5773" s="8" t="n"/>
      <c r="H5773" s="8" t="n"/>
      <c r="I5773" s="8" t="n"/>
      <c r="J5773" s="8" t="n"/>
      <c r="K5773" s="8" t="n"/>
      <c r="L5773" s="8" t="n"/>
      <c r="M5773" s="9">
        <f>B5773+30</f>
        <v/>
      </c>
      <c r="N5773">
        <f>IF(L5773="", "", L5773-B5773)</f>
        <v/>
      </c>
      <c r="O5773">
        <f>IF(L5773="", "Pending", IF(N5773&lt;=30, "Met", "Breached"))</f>
        <v/>
      </c>
      <c r="P5773" s="8" t="n"/>
      <c r="Q5773" s="8" t="n"/>
      <c r="R5773" s="8" t="n"/>
      <c r="S5773" s="8" t="n"/>
      <c r="T5773" s="8" t="n"/>
      <c r="U5773" s="8" t="n"/>
      <c r="V5773" s="8" t="n"/>
      <c r="W5773" s="8" t="n"/>
      <c r="X5773" s="8" t="n"/>
      <c r="Y5773" s="8" t="n"/>
    </row>
    <row r="5774">
      <c r="A5774" s="8" t="n"/>
      <c r="B5774" s="8" t="n"/>
      <c r="C5774" s="8" t="n"/>
      <c r="D5774" s="8" t="n"/>
      <c r="E5774" s="8" t="n"/>
      <c r="F5774" s="8" t="n"/>
      <c r="G5774" s="8" t="n"/>
      <c r="H5774" s="8" t="n"/>
      <c r="I5774" s="8" t="n"/>
      <c r="J5774" s="8" t="n"/>
      <c r="K5774" s="8" t="n"/>
      <c r="L5774" s="8" t="n"/>
      <c r="M5774" s="9">
        <f>B5774+30</f>
        <v/>
      </c>
      <c r="N5774">
        <f>IF(L5774="", "", L5774-B5774)</f>
        <v/>
      </c>
      <c r="O5774">
        <f>IF(L5774="", "Pending", IF(N5774&lt;=30, "Met", "Breached"))</f>
        <v/>
      </c>
      <c r="P5774" s="8" t="n"/>
      <c r="Q5774" s="8" t="n"/>
      <c r="R5774" s="8" t="n"/>
      <c r="S5774" s="8" t="n"/>
      <c r="T5774" s="8" t="n"/>
      <c r="U5774" s="8" t="n"/>
      <c r="V5774" s="8" t="n"/>
      <c r="W5774" s="8" t="n"/>
      <c r="X5774" s="8" t="n"/>
      <c r="Y5774" s="8" t="n"/>
    </row>
    <row r="5775">
      <c r="A5775" s="8" t="n"/>
      <c r="B5775" s="8" t="n"/>
      <c r="C5775" s="8" t="n"/>
      <c r="D5775" s="8" t="n"/>
      <c r="E5775" s="8" t="n"/>
      <c r="F5775" s="8" t="n"/>
      <c r="G5775" s="8" t="n"/>
      <c r="H5775" s="8" t="n"/>
      <c r="I5775" s="8" t="n"/>
      <c r="J5775" s="8" t="n"/>
      <c r="K5775" s="8" t="n"/>
      <c r="L5775" s="8" t="n"/>
      <c r="M5775" s="9">
        <f>B5775+30</f>
        <v/>
      </c>
      <c r="N5775">
        <f>IF(L5775="", "", L5775-B5775)</f>
        <v/>
      </c>
      <c r="O5775">
        <f>IF(L5775="", "Pending", IF(N5775&lt;=30, "Met", "Breached"))</f>
        <v/>
      </c>
      <c r="P5775" s="8" t="n"/>
      <c r="Q5775" s="8" t="n"/>
      <c r="R5775" s="8" t="n"/>
      <c r="S5775" s="8" t="n"/>
      <c r="T5775" s="8" t="n"/>
      <c r="U5775" s="8" t="n"/>
      <c r="V5775" s="8" t="n"/>
      <c r="W5775" s="8" t="n"/>
      <c r="X5775" s="8" t="n"/>
      <c r="Y5775" s="8" t="n"/>
    </row>
    <row r="5776">
      <c r="A5776" s="8" t="n"/>
      <c r="B5776" s="8" t="n"/>
      <c r="C5776" s="8" t="n"/>
      <c r="D5776" s="8" t="n"/>
      <c r="E5776" s="8" t="n"/>
      <c r="F5776" s="8" t="n"/>
      <c r="G5776" s="8" t="n"/>
      <c r="H5776" s="8" t="n"/>
      <c r="I5776" s="8" t="n"/>
      <c r="J5776" s="8" t="n"/>
      <c r="K5776" s="8" t="n"/>
      <c r="L5776" s="8" t="n"/>
      <c r="M5776" s="9">
        <f>B5776+30</f>
        <v/>
      </c>
      <c r="N5776">
        <f>IF(L5776="", "", L5776-B5776)</f>
        <v/>
      </c>
      <c r="O5776">
        <f>IF(L5776="", "Pending", IF(N5776&lt;=30, "Met", "Breached"))</f>
        <v/>
      </c>
      <c r="P5776" s="8" t="n"/>
      <c r="Q5776" s="8" t="n"/>
      <c r="R5776" s="8" t="n"/>
      <c r="S5776" s="8" t="n"/>
      <c r="T5776" s="8" t="n"/>
      <c r="U5776" s="8" t="n"/>
      <c r="V5776" s="8" t="n"/>
      <c r="W5776" s="8" t="n"/>
      <c r="X5776" s="8" t="n"/>
      <c r="Y5776" s="8" t="n"/>
    </row>
    <row r="5777">
      <c r="A5777" s="8" t="n"/>
      <c r="B5777" s="8" t="n"/>
      <c r="C5777" s="8" t="n"/>
      <c r="D5777" s="8" t="n"/>
      <c r="E5777" s="8" t="n"/>
      <c r="F5777" s="8" t="n"/>
      <c r="G5777" s="8" t="n"/>
      <c r="H5777" s="8" t="n"/>
      <c r="I5777" s="8" t="n"/>
      <c r="J5777" s="8" t="n"/>
      <c r="K5777" s="8" t="n"/>
      <c r="L5777" s="8" t="n"/>
      <c r="M5777" s="9">
        <f>B5777+30</f>
        <v/>
      </c>
      <c r="N5777">
        <f>IF(L5777="", "", L5777-B5777)</f>
        <v/>
      </c>
      <c r="O5777">
        <f>IF(L5777="", "Pending", IF(N5777&lt;=30, "Met", "Breached"))</f>
        <v/>
      </c>
      <c r="P5777" s="8" t="n"/>
      <c r="Q5777" s="8" t="n"/>
      <c r="R5777" s="8" t="n"/>
      <c r="S5777" s="8" t="n"/>
      <c r="T5777" s="8" t="n"/>
      <c r="U5777" s="8" t="n"/>
      <c r="V5777" s="8" t="n"/>
      <c r="W5777" s="8" t="n"/>
      <c r="X5777" s="8" t="n"/>
      <c r="Y5777" s="8" t="n"/>
    </row>
    <row r="5778">
      <c r="A5778" s="8" t="n"/>
      <c r="B5778" s="8" t="n"/>
      <c r="C5778" s="8" t="n"/>
      <c r="D5778" s="8" t="n"/>
      <c r="E5778" s="8" t="n"/>
      <c r="F5778" s="8" t="n"/>
      <c r="G5778" s="8" t="n"/>
      <c r="H5778" s="8" t="n"/>
      <c r="I5778" s="8" t="n"/>
      <c r="J5778" s="8" t="n"/>
      <c r="K5778" s="8" t="n"/>
      <c r="L5778" s="8" t="n"/>
      <c r="M5778" s="9">
        <f>B5778+30</f>
        <v/>
      </c>
      <c r="N5778">
        <f>IF(L5778="", "", L5778-B5778)</f>
        <v/>
      </c>
      <c r="O5778">
        <f>IF(L5778="", "Pending", IF(N5778&lt;=30, "Met", "Breached"))</f>
        <v/>
      </c>
      <c r="P5778" s="8" t="n"/>
      <c r="Q5778" s="8" t="n"/>
      <c r="R5778" s="8" t="n"/>
      <c r="S5778" s="8" t="n"/>
      <c r="T5778" s="8" t="n"/>
      <c r="U5778" s="8" t="n"/>
      <c r="V5778" s="8" t="n"/>
      <c r="W5778" s="8" t="n"/>
      <c r="X5778" s="8" t="n"/>
      <c r="Y5778" s="8" t="n"/>
    </row>
    <row r="5779">
      <c r="A5779" s="8" t="n"/>
      <c r="B5779" s="8" t="n"/>
      <c r="C5779" s="8" t="n"/>
      <c r="D5779" s="8" t="n"/>
      <c r="E5779" s="8" t="n"/>
      <c r="F5779" s="8" t="n"/>
      <c r="G5779" s="8" t="n"/>
      <c r="H5779" s="8" t="n"/>
      <c r="I5779" s="8" t="n"/>
      <c r="J5779" s="8" t="n"/>
      <c r="K5779" s="8" t="n"/>
      <c r="L5779" s="8" t="n"/>
      <c r="M5779" s="9">
        <f>B5779+30</f>
        <v/>
      </c>
      <c r="N5779">
        <f>IF(L5779="", "", L5779-B5779)</f>
        <v/>
      </c>
      <c r="O5779">
        <f>IF(L5779="", "Pending", IF(N5779&lt;=30, "Met", "Breached"))</f>
        <v/>
      </c>
      <c r="P5779" s="8" t="n"/>
      <c r="Q5779" s="8" t="n"/>
      <c r="R5779" s="8" t="n"/>
      <c r="S5779" s="8" t="n"/>
      <c r="T5779" s="8" t="n"/>
      <c r="U5779" s="8" t="n"/>
      <c r="V5779" s="8" t="n"/>
      <c r="W5779" s="8" t="n"/>
      <c r="X5779" s="8" t="n"/>
      <c r="Y5779" s="8" t="n"/>
    </row>
    <row r="5780">
      <c r="A5780" s="8" t="n"/>
      <c r="B5780" s="8" t="n"/>
      <c r="C5780" s="8" t="n"/>
      <c r="D5780" s="8" t="n"/>
      <c r="E5780" s="8" t="n"/>
      <c r="F5780" s="8" t="n"/>
      <c r="G5780" s="8" t="n"/>
      <c r="H5780" s="8" t="n"/>
      <c r="I5780" s="8" t="n"/>
      <c r="J5780" s="8" t="n"/>
      <c r="K5780" s="8" t="n"/>
      <c r="L5780" s="8" t="n"/>
      <c r="M5780" s="9">
        <f>B5780+30</f>
        <v/>
      </c>
      <c r="N5780">
        <f>IF(L5780="", "", L5780-B5780)</f>
        <v/>
      </c>
      <c r="O5780">
        <f>IF(L5780="", "Pending", IF(N5780&lt;=30, "Met", "Breached"))</f>
        <v/>
      </c>
      <c r="P5780" s="8" t="n"/>
      <c r="Q5780" s="8" t="n"/>
      <c r="R5780" s="8" t="n"/>
      <c r="S5780" s="8" t="n"/>
      <c r="T5780" s="8" t="n"/>
      <c r="U5780" s="8" t="n"/>
      <c r="V5780" s="8" t="n"/>
      <c r="W5780" s="8" t="n"/>
      <c r="X5780" s="8" t="n"/>
      <c r="Y5780" s="8" t="n"/>
    </row>
    <row r="5781">
      <c r="A5781" s="8" t="n"/>
      <c r="B5781" s="8" t="n"/>
      <c r="C5781" s="8" t="n"/>
      <c r="D5781" s="8" t="n"/>
      <c r="E5781" s="8" t="n"/>
      <c r="F5781" s="8" t="n"/>
      <c r="G5781" s="8" t="n"/>
      <c r="H5781" s="8" t="n"/>
      <c r="I5781" s="8" t="n"/>
      <c r="J5781" s="8" t="n"/>
      <c r="K5781" s="8" t="n"/>
      <c r="L5781" s="8" t="n"/>
      <c r="M5781" s="9">
        <f>B5781+30</f>
        <v/>
      </c>
      <c r="N5781">
        <f>IF(L5781="", "", L5781-B5781)</f>
        <v/>
      </c>
      <c r="O5781">
        <f>IF(L5781="", "Pending", IF(N5781&lt;=30, "Met", "Breached"))</f>
        <v/>
      </c>
      <c r="P5781" s="8" t="n"/>
      <c r="Q5781" s="8" t="n"/>
      <c r="R5781" s="8" t="n"/>
      <c r="S5781" s="8" t="n"/>
      <c r="T5781" s="8" t="n"/>
      <c r="U5781" s="8" t="n"/>
      <c r="V5781" s="8" t="n"/>
      <c r="W5781" s="8" t="n"/>
      <c r="X5781" s="8" t="n"/>
      <c r="Y5781" s="8" t="n"/>
    </row>
    <row r="5782">
      <c r="A5782" s="8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8" t="n"/>
      <c r="K5782" s="8" t="n"/>
      <c r="L5782" s="8" t="n"/>
      <c r="M5782" s="9">
        <f>B5782+30</f>
        <v/>
      </c>
      <c r="N5782">
        <f>IF(L5782="", "", L5782-B5782)</f>
        <v/>
      </c>
      <c r="O5782">
        <f>IF(L5782="", "Pending", IF(N5782&lt;=30, "Met", "Breached"))</f>
        <v/>
      </c>
      <c r="P5782" s="8" t="n"/>
      <c r="Q5782" s="8" t="n"/>
      <c r="R5782" s="8" t="n"/>
      <c r="S5782" s="8" t="n"/>
      <c r="T5782" s="8" t="n"/>
      <c r="U5782" s="8" t="n"/>
      <c r="V5782" s="8" t="n"/>
      <c r="W5782" s="8" t="n"/>
      <c r="X5782" s="8" t="n"/>
      <c r="Y5782" s="8" t="n"/>
    </row>
    <row r="5783">
      <c r="A5783" s="8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8" t="n"/>
      <c r="K5783" s="8" t="n"/>
      <c r="L5783" s="8" t="n"/>
      <c r="M5783" s="9">
        <f>B5783+30</f>
        <v/>
      </c>
      <c r="N5783">
        <f>IF(L5783="", "", L5783-B5783)</f>
        <v/>
      </c>
      <c r="O5783">
        <f>IF(L5783="", "Pending", IF(N5783&lt;=30, "Met", "Breached"))</f>
        <v/>
      </c>
      <c r="P5783" s="8" t="n"/>
      <c r="Q5783" s="8" t="n"/>
      <c r="R5783" s="8" t="n"/>
      <c r="S5783" s="8" t="n"/>
      <c r="T5783" s="8" t="n"/>
      <c r="U5783" s="8" t="n"/>
      <c r="V5783" s="8" t="n"/>
      <c r="W5783" s="8" t="n"/>
      <c r="X5783" s="8" t="n"/>
      <c r="Y5783" s="8" t="n"/>
    </row>
    <row r="5784">
      <c r="A5784" s="8" t="n"/>
      <c r="B5784" s="8" t="n"/>
      <c r="C5784" s="8" t="n"/>
      <c r="D5784" s="8" t="n"/>
      <c r="E5784" s="8" t="n"/>
      <c r="F5784" s="8" t="n"/>
      <c r="G5784" s="8" t="n"/>
      <c r="H5784" s="8" t="n"/>
      <c r="I5784" s="8" t="n"/>
      <c r="J5784" s="8" t="n"/>
      <c r="K5784" s="8" t="n"/>
      <c r="L5784" s="8" t="n"/>
      <c r="M5784" s="9">
        <f>B5784+30</f>
        <v/>
      </c>
      <c r="N5784">
        <f>IF(L5784="", "", L5784-B5784)</f>
        <v/>
      </c>
      <c r="O5784">
        <f>IF(L5784="", "Pending", IF(N5784&lt;=30, "Met", "Breached"))</f>
        <v/>
      </c>
      <c r="P5784" s="8" t="n"/>
      <c r="Q5784" s="8" t="n"/>
      <c r="R5784" s="8" t="n"/>
      <c r="S5784" s="8" t="n"/>
      <c r="T5784" s="8" t="n"/>
      <c r="U5784" s="8" t="n"/>
      <c r="V5784" s="8" t="n"/>
      <c r="W5784" s="8" t="n"/>
      <c r="X5784" s="8" t="n"/>
      <c r="Y5784" s="8" t="n"/>
    </row>
    <row r="5785">
      <c r="A5785" s="8" t="n"/>
      <c r="B5785" s="8" t="n"/>
      <c r="C5785" s="8" t="n"/>
      <c r="D5785" s="8" t="n"/>
      <c r="E5785" s="8" t="n"/>
      <c r="F5785" s="8" t="n"/>
      <c r="G5785" s="8" t="n"/>
      <c r="H5785" s="8" t="n"/>
      <c r="I5785" s="8" t="n"/>
      <c r="J5785" s="8" t="n"/>
      <c r="K5785" s="8" t="n"/>
      <c r="L5785" s="8" t="n"/>
      <c r="M5785" s="9">
        <f>B5785+30</f>
        <v/>
      </c>
      <c r="N5785">
        <f>IF(L5785="", "", L5785-B5785)</f>
        <v/>
      </c>
      <c r="O5785">
        <f>IF(L5785="", "Pending", IF(N5785&lt;=30, "Met", "Breached"))</f>
        <v/>
      </c>
      <c r="P5785" s="8" t="n"/>
      <c r="Q5785" s="8" t="n"/>
      <c r="R5785" s="8" t="n"/>
      <c r="S5785" s="8" t="n"/>
      <c r="T5785" s="8" t="n"/>
      <c r="U5785" s="8" t="n"/>
      <c r="V5785" s="8" t="n"/>
      <c r="W5785" s="8" t="n"/>
      <c r="X5785" s="8" t="n"/>
      <c r="Y5785" s="8" t="n"/>
    </row>
    <row r="5786">
      <c r="A5786" s="8" t="n"/>
      <c r="B5786" s="8" t="n"/>
      <c r="C5786" s="8" t="n"/>
      <c r="D5786" s="8" t="n"/>
      <c r="E5786" s="8" t="n"/>
      <c r="F5786" s="8" t="n"/>
      <c r="G5786" s="8" t="n"/>
      <c r="H5786" s="8" t="n"/>
      <c r="I5786" s="8" t="n"/>
      <c r="J5786" s="8" t="n"/>
      <c r="K5786" s="8" t="n"/>
      <c r="L5786" s="8" t="n"/>
      <c r="M5786" s="9">
        <f>B5786+30</f>
        <v/>
      </c>
      <c r="N5786">
        <f>IF(L5786="", "", L5786-B5786)</f>
        <v/>
      </c>
      <c r="O5786">
        <f>IF(L5786="", "Pending", IF(N5786&lt;=30, "Met", "Breached"))</f>
        <v/>
      </c>
      <c r="P5786" s="8" t="n"/>
      <c r="Q5786" s="8" t="n"/>
      <c r="R5786" s="8" t="n"/>
      <c r="S5786" s="8" t="n"/>
      <c r="T5786" s="8" t="n"/>
      <c r="U5786" s="8" t="n"/>
      <c r="V5786" s="8" t="n"/>
      <c r="W5786" s="8" t="n"/>
      <c r="X5786" s="8" t="n"/>
      <c r="Y5786" s="8" t="n"/>
    </row>
    <row r="5787">
      <c r="A5787" s="8" t="n"/>
      <c r="B5787" s="8" t="n"/>
      <c r="C5787" s="8" t="n"/>
      <c r="D5787" s="8" t="n"/>
      <c r="E5787" s="8" t="n"/>
      <c r="F5787" s="8" t="n"/>
      <c r="G5787" s="8" t="n"/>
      <c r="H5787" s="8" t="n"/>
      <c r="I5787" s="8" t="n"/>
      <c r="J5787" s="8" t="n"/>
      <c r="K5787" s="8" t="n"/>
      <c r="L5787" s="8" t="n"/>
      <c r="M5787" s="9">
        <f>B5787+30</f>
        <v/>
      </c>
      <c r="N5787">
        <f>IF(L5787="", "", L5787-B5787)</f>
        <v/>
      </c>
      <c r="O5787">
        <f>IF(L5787="", "Pending", IF(N5787&lt;=30, "Met", "Breached"))</f>
        <v/>
      </c>
      <c r="P5787" s="8" t="n"/>
      <c r="Q5787" s="8" t="n"/>
      <c r="R5787" s="8" t="n"/>
      <c r="S5787" s="8" t="n"/>
      <c r="T5787" s="8" t="n"/>
      <c r="U5787" s="8" t="n"/>
      <c r="V5787" s="8" t="n"/>
      <c r="W5787" s="8" t="n"/>
      <c r="X5787" s="8" t="n"/>
      <c r="Y5787" s="8" t="n"/>
    </row>
    <row r="5788">
      <c r="A5788" s="8" t="n"/>
      <c r="B5788" s="8" t="n"/>
      <c r="C5788" s="8" t="n"/>
      <c r="D5788" s="8" t="n"/>
      <c r="E5788" s="8" t="n"/>
      <c r="F5788" s="8" t="n"/>
      <c r="G5788" s="8" t="n"/>
      <c r="H5788" s="8" t="n"/>
      <c r="I5788" s="8" t="n"/>
      <c r="J5788" s="8" t="n"/>
      <c r="K5788" s="8" t="n"/>
      <c r="L5788" s="8" t="n"/>
      <c r="M5788" s="9">
        <f>B5788+30</f>
        <v/>
      </c>
      <c r="N5788">
        <f>IF(L5788="", "", L5788-B5788)</f>
        <v/>
      </c>
      <c r="O5788">
        <f>IF(L5788="", "Pending", IF(N5788&lt;=30, "Met", "Breached"))</f>
        <v/>
      </c>
      <c r="P5788" s="8" t="n"/>
      <c r="Q5788" s="8" t="n"/>
      <c r="R5788" s="8" t="n"/>
      <c r="S5788" s="8" t="n"/>
      <c r="T5788" s="8" t="n"/>
      <c r="U5788" s="8" t="n"/>
      <c r="V5788" s="8" t="n"/>
      <c r="W5788" s="8" t="n"/>
      <c r="X5788" s="8" t="n"/>
      <c r="Y5788" s="8" t="n"/>
    </row>
    <row r="5789">
      <c r="A5789" s="8" t="n"/>
      <c r="B5789" s="8" t="n"/>
      <c r="C5789" s="8" t="n"/>
      <c r="D5789" s="8" t="n"/>
      <c r="E5789" s="8" t="n"/>
      <c r="F5789" s="8" t="n"/>
      <c r="G5789" s="8" t="n"/>
      <c r="H5789" s="8" t="n"/>
      <c r="I5789" s="8" t="n"/>
      <c r="J5789" s="8" t="n"/>
      <c r="K5789" s="8" t="n"/>
      <c r="L5789" s="8" t="n"/>
      <c r="M5789" s="9">
        <f>B5789+30</f>
        <v/>
      </c>
      <c r="N5789">
        <f>IF(L5789="", "", L5789-B5789)</f>
        <v/>
      </c>
      <c r="O5789">
        <f>IF(L5789="", "Pending", IF(N5789&lt;=30, "Met", "Breached"))</f>
        <v/>
      </c>
      <c r="P5789" s="8" t="n"/>
      <c r="Q5789" s="8" t="n"/>
      <c r="R5789" s="8" t="n"/>
      <c r="S5789" s="8" t="n"/>
      <c r="T5789" s="8" t="n"/>
      <c r="U5789" s="8" t="n"/>
      <c r="V5789" s="8" t="n"/>
      <c r="W5789" s="8" t="n"/>
      <c r="X5789" s="8" t="n"/>
      <c r="Y5789" s="8" t="n"/>
    </row>
    <row r="5790">
      <c r="A5790" s="8" t="n"/>
      <c r="B5790" s="8" t="n"/>
      <c r="C5790" s="8" t="n"/>
      <c r="D5790" s="8" t="n"/>
      <c r="E5790" s="8" t="n"/>
      <c r="F5790" s="8" t="n"/>
      <c r="G5790" s="8" t="n"/>
      <c r="H5790" s="8" t="n"/>
      <c r="I5790" s="8" t="n"/>
      <c r="J5790" s="8" t="n"/>
      <c r="K5790" s="8" t="n"/>
      <c r="L5790" s="8" t="n"/>
      <c r="M5790" s="9">
        <f>B5790+30</f>
        <v/>
      </c>
      <c r="N5790">
        <f>IF(L5790="", "", L5790-B5790)</f>
        <v/>
      </c>
      <c r="O5790">
        <f>IF(L5790="", "Pending", IF(N5790&lt;=30, "Met", "Breached"))</f>
        <v/>
      </c>
      <c r="P5790" s="8" t="n"/>
      <c r="Q5790" s="8" t="n"/>
      <c r="R5790" s="8" t="n"/>
      <c r="S5790" s="8" t="n"/>
      <c r="T5790" s="8" t="n"/>
      <c r="U5790" s="8" t="n"/>
      <c r="V5790" s="8" t="n"/>
      <c r="W5790" s="8" t="n"/>
      <c r="X5790" s="8" t="n"/>
      <c r="Y5790" s="8" t="n"/>
    </row>
    <row r="5791">
      <c r="A5791" s="8" t="n"/>
      <c r="B5791" s="8" t="n"/>
      <c r="C5791" s="8" t="n"/>
      <c r="D5791" s="8" t="n"/>
      <c r="E5791" s="8" t="n"/>
      <c r="F5791" s="8" t="n"/>
      <c r="G5791" s="8" t="n"/>
      <c r="H5791" s="8" t="n"/>
      <c r="I5791" s="8" t="n"/>
      <c r="J5791" s="8" t="n"/>
      <c r="K5791" s="8" t="n"/>
      <c r="L5791" s="8" t="n"/>
      <c r="M5791" s="9">
        <f>B5791+30</f>
        <v/>
      </c>
      <c r="N5791">
        <f>IF(L5791="", "", L5791-B5791)</f>
        <v/>
      </c>
      <c r="O5791">
        <f>IF(L5791="", "Pending", IF(N5791&lt;=30, "Met", "Breached"))</f>
        <v/>
      </c>
      <c r="P5791" s="8" t="n"/>
      <c r="Q5791" s="8" t="n"/>
      <c r="R5791" s="8" t="n"/>
      <c r="S5791" s="8" t="n"/>
      <c r="T5791" s="8" t="n"/>
      <c r="U5791" s="8" t="n"/>
      <c r="V5791" s="8" t="n"/>
      <c r="W5791" s="8" t="n"/>
      <c r="X5791" s="8" t="n"/>
      <c r="Y5791" s="8" t="n"/>
    </row>
    <row r="5792">
      <c r="A5792" s="8" t="n"/>
      <c r="B5792" s="8" t="n"/>
      <c r="C5792" s="8" t="n"/>
      <c r="D5792" s="8" t="n"/>
      <c r="E5792" s="8" t="n"/>
      <c r="F5792" s="8" t="n"/>
      <c r="G5792" s="8" t="n"/>
      <c r="H5792" s="8" t="n"/>
      <c r="I5792" s="8" t="n"/>
      <c r="J5792" s="8" t="n"/>
      <c r="K5792" s="8" t="n"/>
      <c r="L5792" s="8" t="n"/>
      <c r="M5792" s="9">
        <f>B5792+30</f>
        <v/>
      </c>
      <c r="N5792">
        <f>IF(L5792="", "", L5792-B5792)</f>
        <v/>
      </c>
      <c r="O5792">
        <f>IF(L5792="", "Pending", IF(N5792&lt;=30, "Met", "Breached"))</f>
        <v/>
      </c>
      <c r="P5792" s="8" t="n"/>
      <c r="Q5792" s="8" t="n"/>
      <c r="R5792" s="8" t="n"/>
      <c r="S5792" s="8" t="n"/>
      <c r="T5792" s="8" t="n"/>
      <c r="U5792" s="8" t="n"/>
      <c r="V5792" s="8" t="n"/>
      <c r="W5792" s="8" t="n"/>
      <c r="X5792" s="8" t="n"/>
      <c r="Y5792" s="8" t="n"/>
    </row>
    <row r="5793">
      <c r="A5793" s="8" t="n"/>
      <c r="B5793" s="8" t="n"/>
      <c r="C5793" s="8" t="n"/>
      <c r="D5793" s="8" t="n"/>
      <c r="E5793" s="8" t="n"/>
      <c r="F5793" s="8" t="n"/>
      <c r="G5793" s="8" t="n"/>
      <c r="H5793" s="8" t="n"/>
      <c r="I5793" s="8" t="n"/>
      <c r="J5793" s="8" t="n"/>
      <c r="K5793" s="8" t="n"/>
      <c r="L5793" s="8" t="n"/>
      <c r="M5793" s="9">
        <f>B5793+30</f>
        <v/>
      </c>
      <c r="N5793">
        <f>IF(L5793="", "", L5793-B5793)</f>
        <v/>
      </c>
      <c r="O5793">
        <f>IF(L5793="", "Pending", IF(N5793&lt;=30, "Met", "Breached"))</f>
        <v/>
      </c>
      <c r="P5793" s="8" t="n"/>
      <c r="Q5793" s="8" t="n"/>
      <c r="R5793" s="8" t="n"/>
      <c r="S5793" s="8" t="n"/>
      <c r="T5793" s="8" t="n"/>
      <c r="U5793" s="8" t="n"/>
      <c r="V5793" s="8" t="n"/>
      <c r="W5793" s="8" t="n"/>
      <c r="X5793" s="8" t="n"/>
      <c r="Y5793" s="8" t="n"/>
    </row>
    <row r="5794">
      <c r="A5794" s="8" t="n"/>
      <c r="B5794" s="8" t="n"/>
      <c r="C5794" s="8" t="n"/>
      <c r="D5794" s="8" t="n"/>
      <c r="E5794" s="8" t="n"/>
      <c r="F5794" s="8" t="n"/>
      <c r="G5794" s="8" t="n"/>
      <c r="H5794" s="8" t="n"/>
      <c r="I5794" s="8" t="n"/>
      <c r="J5794" s="8" t="n"/>
      <c r="K5794" s="8" t="n"/>
      <c r="L5794" s="8" t="n"/>
      <c r="M5794" s="9">
        <f>B5794+30</f>
        <v/>
      </c>
      <c r="N5794">
        <f>IF(L5794="", "", L5794-B5794)</f>
        <v/>
      </c>
      <c r="O5794">
        <f>IF(L5794="", "Pending", IF(N5794&lt;=30, "Met", "Breached"))</f>
        <v/>
      </c>
      <c r="P5794" s="8" t="n"/>
      <c r="Q5794" s="8" t="n"/>
      <c r="R5794" s="8" t="n"/>
      <c r="S5794" s="8" t="n"/>
      <c r="T5794" s="8" t="n"/>
      <c r="U5794" s="8" t="n"/>
      <c r="V5794" s="8" t="n"/>
      <c r="W5794" s="8" t="n"/>
      <c r="X5794" s="8" t="n"/>
      <c r="Y5794" s="8" t="n"/>
    </row>
    <row r="5795">
      <c r="A5795" s="8" t="n"/>
      <c r="B5795" s="8" t="n"/>
      <c r="C5795" s="8" t="n"/>
      <c r="D5795" s="8" t="n"/>
      <c r="E5795" s="8" t="n"/>
      <c r="F5795" s="8" t="n"/>
      <c r="G5795" s="8" t="n"/>
      <c r="H5795" s="8" t="n"/>
      <c r="I5795" s="8" t="n"/>
      <c r="J5795" s="8" t="n"/>
      <c r="K5795" s="8" t="n"/>
      <c r="L5795" s="8" t="n"/>
      <c r="M5795" s="9">
        <f>B5795+30</f>
        <v/>
      </c>
      <c r="N5795">
        <f>IF(L5795="", "", L5795-B5795)</f>
        <v/>
      </c>
      <c r="O5795">
        <f>IF(L5795="", "Pending", IF(N5795&lt;=30, "Met", "Breached"))</f>
        <v/>
      </c>
      <c r="P5795" s="8" t="n"/>
      <c r="Q5795" s="8" t="n"/>
      <c r="R5795" s="8" t="n"/>
      <c r="S5795" s="8" t="n"/>
      <c r="T5795" s="8" t="n"/>
      <c r="U5795" s="8" t="n"/>
      <c r="V5795" s="8" t="n"/>
      <c r="W5795" s="8" t="n"/>
      <c r="X5795" s="8" t="n"/>
      <c r="Y5795" s="8" t="n"/>
    </row>
    <row r="5796">
      <c r="A5796" s="8" t="n"/>
      <c r="B5796" s="8" t="n"/>
      <c r="C5796" s="8" t="n"/>
      <c r="D5796" s="8" t="n"/>
      <c r="E5796" s="8" t="n"/>
      <c r="F5796" s="8" t="n"/>
      <c r="G5796" s="8" t="n"/>
      <c r="H5796" s="8" t="n"/>
      <c r="I5796" s="8" t="n"/>
      <c r="J5796" s="8" t="n"/>
      <c r="K5796" s="8" t="n"/>
      <c r="L5796" s="8" t="n"/>
      <c r="M5796" s="9">
        <f>B5796+30</f>
        <v/>
      </c>
      <c r="N5796">
        <f>IF(L5796="", "", L5796-B5796)</f>
        <v/>
      </c>
      <c r="O5796">
        <f>IF(L5796="", "Pending", IF(N5796&lt;=30, "Met", "Breached"))</f>
        <v/>
      </c>
      <c r="P5796" s="8" t="n"/>
      <c r="Q5796" s="8" t="n"/>
      <c r="R5796" s="8" t="n"/>
      <c r="S5796" s="8" t="n"/>
      <c r="T5796" s="8" t="n"/>
      <c r="U5796" s="8" t="n"/>
      <c r="V5796" s="8" t="n"/>
      <c r="W5796" s="8" t="n"/>
      <c r="X5796" s="8" t="n"/>
      <c r="Y5796" s="8" t="n"/>
    </row>
    <row r="5797">
      <c r="A5797" s="8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8" t="n"/>
      <c r="K5797" s="8" t="n"/>
      <c r="L5797" s="8" t="n"/>
      <c r="M5797" s="9">
        <f>B5797+30</f>
        <v/>
      </c>
      <c r="N5797">
        <f>IF(L5797="", "", L5797-B5797)</f>
        <v/>
      </c>
      <c r="O5797">
        <f>IF(L5797="", "Pending", IF(N5797&lt;=30, "Met", "Breached"))</f>
        <v/>
      </c>
      <c r="P5797" s="8" t="n"/>
      <c r="Q5797" s="8" t="n"/>
      <c r="R5797" s="8" t="n"/>
      <c r="S5797" s="8" t="n"/>
      <c r="T5797" s="8" t="n"/>
      <c r="U5797" s="8" t="n"/>
      <c r="V5797" s="8" t="n"/>
      <c r="W5797" s="8" t="n"/>
      <c r="X5797" s="8" t="n"/>
      <c r="Y5797" s="8" t="n"/>
    </row>
    <row r="5798">
      <c r="A5798" s="8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8" t="n"/>
      <c r="K5798" s="8" t="n"/>
      <c r="L5798" s="8" t="n"/>
      <c r="M5798" s="9">
        <f>B5798+30</f>
        <v/>
      </c>
      <c r="N5798">
        <f>IF(L5798="", "", L5798-B5798)</f>
        <v/>
      </c>
      <c r="O5798">
        <f>IF(L5798="", "Pending", IF(N5798&lt;=30, "Met", "Breached"))</f>
        <v/>
      </c>
      <c r="P5798" s="8" t="n"/>
      <c r="Q5798" s="8" t="n"/>
      <c r="R5798" s="8" t="n"/>
      <c r="S5798" s="8" t="n"/>
      <c r="T5798" s="8" t="n"/>
      <c r="U5798" s="8" t="n"/>
      <c r="V5798" s="8" t="n"/>
      <c r="W5798" s="8" t="n"/>
      <c r="X5798" s="8" t="n"/>
      <c r="Y5798" s="8" t="n"/>
    </row>
    <row r="5799">
      <c r="A5799" s="8" t="n"/>
      <c r="B5799" s="8" t="n"/>
      <c r="C5799" s="8" t="n"/>
      <c r="D5799" s="8" t="n"/>
      <c r="E5799" s="8" t="n"/>
      <c r="F5799" s="8" t="n"/>
      <c r="G5799" s="8" t="n"/>
      <c r="H5799" s="8" t="n"/>
      <c r="I5799" s="8" t="n"/>
      <c r="J5799" s="8" t="n"/>
      <c r="K5799" s="8" t="n"/>
      <c r="L5799" s="8" t="n"/>
      <c r="M5799" s="9">
        <f>B5799+30</f>
        <v/>
      </c>
      <c r="N5799">
        <f>IF(L5799="", "", L5799-B5799)</f>
        <v/>
      </c>
      <c r="O5799">
        <f>IF(L5799="", "Pending", IF(N5799&lt;=30, "Met", "Breached"))</f>
        <v/>
      </c>
      <c r="P5799" s="8" t="n"/>
      <c r="Q5799" s="8" t="n"/>
      <c r="R5799" s="8" t="n"/>
      <c r="S5799" s="8" t="n"/>
      <c r="T5799" s="8" t="n"/>
      <c r="U5799" s="8" t="n"/>
      <c r="V5799" s="8" t="n"/>
      <c r="W5799" s="8" t="n"/>
      <c r="X5799" s="8" t="n"/>
      <c r="Y5799" s="8" t="n"/>
    </row>
    <row r="5800">
      <c r="A5800" s="8" t="n"/>
      <c r="B5800" s="8" t="n"/>
      <c r="C5800" s="8" t="n"/>
      <c r="D5800" s="8" t="n"/>
      <c r="E5800" s="8" t="n"/>
      <c r="F5800" s="8" t="n"/>
      <c r="G5800" s="8" t="n"/>
      <c r="H5800" s="8" t="n"/>
      <c r="I5800" s="8" t="n"/>
      <c r="J5800" s="8" t="n"/>
      <c r="K5800" s="8" t="n"/>
      <c r="L5800" s="8" t="n"/>
      <c r="M5800" s="9">
        <f>B5800+30</f>
        <v/>
      </c>
      <c r="N5800">
        <f>IF(L5800="", "", L5800-B5800)</f>
        <v/>
      </c>
      <c r="O5800">
        <f>IF(L5800="", "Pending", IF(N5800&lt;=30, "Met", "Breached"))</f>
        <v/>
      </c>
      <c r="P5800" s="8" t="n"/>
      <c r="Q5800" s="8" t="n"/>
      <c r="R5800" s="8" t="n"/>
      <c r="S5800" s="8" t="n"/>
      <c r="T5800" s="8" t="n"/>
      <c r="U5800" s="8" t="n"/>
      <c r="V5800" s="8" t="n"/>
      <c r="W5800" s="8" t="n"/>
      <c r="X5800" s="8" t="n"/>
      <c r="Y5800" s="8" t="n"/>
    </row>
    <row r="5801">
      <c r="A5801" s="8" t="n"/>
      <c r="B5801" s="8" t="n"/>
      <c r="C5801" s="8" t="n"/>
      <c r="D5801" s="8" t="n"/>
      <c r="E5801" s="8" t="n"/>
      <c r="F5801" s="8" t="n"/>
      <c r="G5801" s="8" t="n"/>
      <c r="H5801" s="8" t="n"/>
      <c r="I5801" s="8" t="n"/>
      <c r="J5801" s="8" t="n"/>
      <c r="K5801" s="8" t="n"/>
      <c r="L5801" s="8" t="n"/>
      <c r="M5801" s="9">
        <f>B5801+30</f>
        <v/>
      </c>
      <c r="N5801">
        <f>IF(L5801="", "", L5801-B5801)</f>
        <v/>
      </c>
      <c r="O5801">
        <f>IF(L5801="", "Pending", IF(N5801&lt;=30, "Met", "Breached"))</f>
        <v/>
      </c>
      <c r="P5801" s="8" t="n"/>
      <c r="Q5801" s="8" t="n"/>
      <c r="R5801" s="8" t="n"/>
      <c r="S5801" s="8" t="n"/>
      <c r="T5801" s="8" t="n"/>
      <c r="U5801" s="8" t="n"/>
      <c r="V5801" s="8" t="n"/>
      <c r="W5801" s="8" t="n"/>
      <c r="X5801" s="8" t="n"/>
      <c r="Y5801" s="8" t="n"/>
    </row>
    <row r="5802">
      <c r="A5802" s="8" t="n"/>
      <c r="B5802" s="8" t="n"/>
      <c r="C5802" s="8" t="n"/>
      <c r="D5802" s="8" t="n"/>
      <c r="E5802" s="8" t="n"/>
      <c r="F5802" s="8" t="n"/>
      <c r="G5802" s="8" t="n"/>
      <c r="H5802" s="8" t="n"/>
      <c r="I5802" s="8" t="n"/>
      <c r="J5802" s="8" t="n"/>
      <c r="K5802" s="8" t="n"/>
      <c r="L5802" s="8" t="n"/>
      <c r="M5802" s="9">
        <f>B5802+30</f>
        <v/>
      </c>
      <c r="N5802">
        <f>IF(L5802="", "", L5802-B5802)</f>
        <v/>
      </c>
      <c r="O5802">
        <f>IF(L5802="", "Pending", IF(N5802&lt;=30, "Met", "Breached"))</f>
        <v/>
      </c>
      <c r="P5802" s="8" t="n"/>
      <c r="Q5802" s="8" t="n"/>
      <c r="R5802" s="8" t="n"/>
      <c r="S5802" s="8" t="n"/>
      <c r="T5802" s="8" t="n"/>
      <c r="U5802" s="8" t="n"/>
      <c r="V5802" s="8" t="n"/>
      <c r="W5802" s="8" t="n"/>
      <c r="X5802" s="8" t="n"/>
      <c r="Y5802" s="8" t="n"/>
    </row>
    <row r="5803">
      <c r="A5803" s="8" t="n"/>
      <c r="B5803" s="8" t="n"/>
      <c r="C5803" s="8" t="n"/>
      <c r="D5803" s="8" t="n"/>
      <c r="E5803" s="8" t="n"/>
      <c r="F5803" s="8" t="n"/>
      <c r="G5803" s="8" t="n"/>
      <c r="H5803" s="8" t="n"/>
      <c r="I5803" s="8" t="n"/>
      <c r="J5803" s="8" t="n"/>
      <c r="K5803" s="8" t="n"/>
      <c r="L5803" s="8" t="n"/>
      <c r="M5803" s="9">
        <f>B5803+30</f>
        <v/>
      </c>
      <c r="N5803">
        <f>IF(L5803="", "", L5803-B5803)</f>
        <v/>
      </c>
      <c r="O5803">
        <f>IF(L5803="", "Pending", IF(N5803&lt;=30, "Met", "Breached"))</f>
        <v/>
      </c>
      <c r="P5803" s="8" t="n"/>
      <c r="Q5803" s="8" t="n"/>
      <c r="R5803" s="8" t="n"/>
      <c r="S5803" s="8" t="n"/>
      <c r="T5803" s="8" t="n"/>
      <c r="U5803" s="8" t="n"/>
      <c r="V5803" s="8" t="n"/>
      <c r="W5803" s="8" t="n"/>
      <c r="X5803" s="8" t="n"/>
      <c r="Y5803" s="8" t="n"/>
    </row>
    <row r="5804">
      <c r="A5804" s="8" t="n"/>
      <c r="B5804" s="8" t="n"/>
      <c r="C5804" s="8" t="n"/>
      <c r="D5804" s="8" t="n"/>
      <c r="E5804" s="8" t="n"/>
      <c r="F5804" s="8" t="n"/>
      <c r="G5804" s="8" t="n"/>
      <c r="H5804" s="8" t="n"/>
      <c r="I5804" s="8" t="n"/>
      <c r="J5804" s="8" t="n"/>
      <c r="K5804" s="8" t="n"/>
      <c r="L5804" s="8" t="n"/>
      <c r="M5804" s="9">
        <f>B5804+30</f>
        <v/>
      </c>
      <c r="N5804">
        <f>IF(L5804="", "", L5804-B5804)</f>
        <v/>
      </c>
      <c r="O5804">
        <f>IF(L5804="", "Pending", IF(N5804&lt;=30, "Met", "Breached"))</f>
        <v/>
      </c>
      <c r="P5804" s="8" t="n"/>
      <c r="Q5804" s="8" t="n"/>
      <c r="R5804" s="8" t="n"/>
      <c r="S5804" s="8" t="n"/>
      <c r="T5804" s="8" t="n"/>
      <c r="U5804" s="8" t="n"/>
      <c r="V5804" s="8" t="n"/>
      <c r="W5804" s="8" t="n"/>
      <c r="X5804" s="8" t="n"/>
      <c r="Y5804" s="8" t="n"/>
    </row>
    <row r="5805">
      <c r="A5805" s="8" t="n"/>
      <c r="B5805" s="8" t="n"/>
      <c r="C5805" s="8" t="n"/>
      <c r="D5805" s="8" t="n"/>
      <c r="E5805" s="8" t="n"/>
      <c r="F5805" s="8" t="n"/>
      <c r="G5805" s="8" t="n"/>
      <c r="H5805" s="8" t="n"/>
      <c r="I5805" s="8" t="n"/>
      <c r="J5805" s="8" t="n"/>
      <c r="K5805" s="8" t="n"/>
      <c r="L5805" s="8" t="n"/>
      <c r="M5805" s="9">
        <f>B5805+30</f>
        <v/>
      </c>
      <c r="N5805">
        <f>IF(L5805="", "", L5805-B5805)</f>
        <v/>
      </c>
      <c r="O5805">
        <f>IF(L5805="", "Pending", IF(N5805&lt;=30, "Met", "Breached"))</f>
        <v/>
      </c>
      <c r="P5805" s="8" t="n"/>
      <c r="Q5805" s="8" t="n"/>
      <c r="R5805" s="8" t="n"/>
      <c r="S5805" s="8" t="n"/>
      <c r="T5805" s="8" t="n"/>
      <c r="U5805" s="8" t="n"/>
      <c r="V5805" s="8" t="n"/>
      <c r="W5805" s="8" t="n"/>
      <c r="X5805" s="8" t="n"/>
      <c r="Y5805" s="8" t="n"/>
    </row>
    <row r="5806">
      <c r="A5806" s="8" t="n"/>
      <c r="B5806" s="8" t="n"/>
      <c r="C5806" s="8" t="n"/>
      <c r="D5806" s="8" t="n"/>
      <c r="E5806" s="8" t="n"/>
      <c r="F5806" s="8" t="n"/>
      <c r="G5806" s="8" t="n"/>
      <c r="H5806" s="8" t="n"/>
      <c r="I5806" s="8" t="n"/>
      <c r="J5806" s="8" t="n"/>
      <c r="K5806" s="8" t="n"/>
      <c r="L5806" s="8" t="n"/>
      <c r="M5806" s="9">
        <f>B5806+30</f>
        <v/>
      </c>
      <c r="N5806">
        <f>IF(L5806="", "", L5806-B5806)</f>
        <v/>
      </c>
      <c r="O5806">
        <f>IF(L5806="", "Pending", IF(N5806&lt;=30, "Met", "Breached"))</f>
        <v/>
      </c>
      <c r="P5806" s="8" t="n"/>
      <c r="Q5806" s="8" t="n"/>
      <c r="R5806" s="8" t="n"/>
      <c r="S5806" s="8" t="n"/>
      <c r="T5806" s="8" t="n"/>
      <c r="U5806" s="8" t="n"/>
      <c r="V5806" s="8" t="n"/>
      <c r="W5806" s="8" t="n"/>
      <c r="X5806" s="8" t="n"/>
      <c r="Y5806" s="8" t="n"/>
    </row>
    <row r="5807">
      <c r="A5807" s="8" t="n"/>
      <c r="B5807" s="8" t="n"/>
      <c r="C5807" s="8" t="n"/>
      <c r="D5807" s="8" t="n"/>
      <c r="E5807" s="8" t="n"/>
      <c r="F5807" s="8" t="n"/>
      <c r="G5807" s="8" t="n"/>
      <c r="H5807" s="8" t="n"/>
      <c r="I5807" s="8" t="n"/>
      <c r="J5807" s="8" t="n"/>
      <c r="K5807" s="8" t="n"/>
      <c r="L5807" s="8" t="n"/>
      <c r="M5807" s="9">
        <f>B5807+30</f>
        <v/>
      </c>
      <c r="N5807">
        <f>IF(L5807="", "", L5807-B5807)</f>
        <v/>
      </c>
      <c r="O5807">
        <f>IF(L5807="", "Pending", IF(N5807&lt;=30, "Met", "Breached"))</f>
        <v/>
      </c>
      <c r="P5807" s="8" t="n"/>
      <c r="Q5807" s="8" t="n"/>
      <c r="R5807" s="8" t="n"/>
      <c r="S5807" s="8" t="n"/>
      <c r="T5807" s="8" t="n"/>
      <c r="U5807" s="8" t="n"/>
      <c r="V5807" s="8" t="n"/>
      <c r="W5807" s="8" t="n"/>
      <c r="X5807" s="8" t="n"/>
      <c r="Y5807" s="8" t="n"/>
    </row>
    <row r="5808">
      <c r="A5808" s="8" t="n"/>
      <c r="B5808" s="8" t="n"/>
      <c r="C5808" s="8" t="n"/>
      <c r="D5808" s="8" t="n"/>
      <c r="E5808" s="8" t="n"/>
      <c r="F5808" s="8" t="n"/>
      <c r="G5808" s="8" t="n"/>
      <c r="H5808" s="8" t="n"/>
      <c r="I5808" s="8" t="n"/>
      <c r="J5808" s="8" t="n"/>
      <c r="K5808" s="8" t="n"/>
      <c r="L5808" s="8" t="n"/>
      <c r="M5808" s="9">
        <f>B5808+30</f>
        <v/>
      </c>
      <c r="N5808">
        <f>IF(L5808="", "", L5808-B5808)</f>
        <v/>
      </c>
      <c r="O5808">
        <f>IF(L5808="", "Pending", IF(N5808&lt;=30, "Met", "Breached"))</f>
        <v/>
      </c>
      <c r="P5808" s="8" t="n"/>
      <c r="Q5808" s="8" t="n"/>
      <c r="R5808" s="8" t="n"/>
      <c r="S5808" s="8" t="n"/>
      <c r="T5808" s="8" t="n"/>
      <c r="U5808" s="8" t="n"/>
      <c r="V5808" s="8" t="n"/>
      <c r="W5808" s="8" t="n"/>
      <c r="X5808" s="8" t="n"/>
      <c r="Y5808" s="8" t="n"/>
    </row>
    <row r="5809">
      <c r="A5809" s="8" t="n"/>
      <c r="B5809" s="8" t="n"/>
      <c r="C5809" s="8" t="n"/>
      <c r="D5809" s="8" t="n"/>
      <c r="E5809" s="8" t="n"/>
      <c r="F5809" s="8" t="n"/>
      <c r="G5809" s="8" t="n"/>
      <c r="H5809" s="8" t="n"/>
      <c r="I5809" s="8" t="n"/>
      <c r="J5809" s="8" t="n"/>
      <c r="K5809" s="8" t="n"/>
      <c r="L5809" s="8" t="n"/>
      <c r="M5809" s="9">
        <f>B5809+30</f>
        <v/>
      </c>
      <c r="N5809">
        <f>IF(L5809="", "", L5809-B5809)</f>
        <v/>
      </c>
      <c r="O5809">
        <f>IF(L5809="", "Pending", IF(N5809&lt;=30, "Met", "Breached"))</f>
        <v/>
      </c>
      <c r="P5809" s="8" t="n"/>
      <c r="Q5809" s="8" t="n"/>
      <c r="R5809" s="8" t="n"/>
      <c r="S5809" s="8" t="n"/>
      <c r="T5809" s="8" t="n"/>
      <c r="U5809" s="8" t="n"/>
      <c r="V5809" s="8" t="n"/>
      <c r="W5809" s="8" t="n"/>
      <c r="X5809" s="8" t="n"/>
      <c r="Y5809" s="8" t="n"/>
    </row>
    <row r="5810">
      <c r="A5810" s="8" t="n"/>
      <c r="B5810" s="8" t="n"/>
      <c r="C5810" s="8" t="n"/>
      <c r="D5810" s="8" t="n"/>
      <c r="E5810" s="8" t="n"/>
      <c r="F5810" s="8" t="n"/>
      <c r="G5810" s="8" t="n"/>
      <c r="H5810" s="8" t="n"/>
      <c r="I5810" s="8" t="n"/>
      <c r="J5810" s="8" t="n"/>
      <c r="K5810" s="8" t="n"/>
      <c r="L5810" s="8" t="n"/>
      <c r="M5810" s="9">
        <f>B5810+30</f>
        <v/>
      </c>
      <c r="N5810">
        <f>IF(L5810="", "", L5810-B5810)</f>
        <v/>
      </c>
      <c r="O5810">
        <f>IF(L5810="", "Pending", IF(N5810&lt;=30, "Met", "Breached"))</f>
        <v/>
      </c>
      <c r="P5810" s="8" t="n"/>
      <c r="Q5810" s="8" t="n"/>
      <c r="R5810" s="8" t="n"/>
      <c r="S5810" s="8" t="n"/>
      <c r="T5810" s="8" t="n"/>
      <c r="U5810" s="8" t="n"/>
      <c r="V5810" s="8" t="n"/>
      <c r="W5810" s="8" t="n"/>
      <c r="X5810" s="8" t="n"/>
      <c r="Y5810" s="8" t="n"/>
    </row>
    <row r="5811">
      <c r="A5811" s="8" t="n"/>
      <c r="B5811" s="8" t="n"/>
      <c r="C5811" s="8" t="n"/>
      <c r="D5811" s="8" t="n"/>
      <c r="E5811" s="8" t="n"/>
      <c r="F5811" s="8" t="n"/>
      <c r="G5811" s="8" t="n"/>
      <c r="H5811" s="8" t="n"/>
      <c r="I5811" s="8" t="n"/>
      <c r="J5811" s="8" t="n"/>
      <c r="K5811" s="8" t="n"/>
      <c r="L5811" s="8" t="n"/>
      <c r="M5811" s="9">
        <f>B5811+30</f>
        <v/>
      </c>
      <c r="N5811">
        <f>IF(L5811="", "", L5811-B5811)</f>
        <v/>
      </c>
      <c r="O5811">
        <f>IF(L5811="", "Pending", IF(N5811&lt;=30, "Met", "Breached"))</f>
        <v/>
      </c>
      <c r="P5811" s="8" t="n"/>
      <c r="Q5811" s="8" t="n"/>
      <c r="R5811" s="8" t="n"/>
      <c r="S5811" s="8" t="n"/>
      <c r="T5811" s="8" t="n"/>
      <c r="U5811" s="8" t="n"/>
      <c r="V5811" s="8" t="n"/>
      <c r="W5811" s="8" t="n"/>
      <c r="X5811" s="8" t="n"/>
      <c r="Y5811" s="8" t="n"/>
    </row>
    <row r="5812">
      <c r="A5812" s="8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8" t="n"/>
      <c r="K5812" s="8" t="n"/>
      <c r="L5812" s="8" t="n"/>
      <c r="M5812" s="9">
        <f>B5812+30</f>
        <v/>
      </c>
      <c r="N5812">
        <f>IF(L5812="", "", L5812-B5812)</f>
        <v/>
      </c>
      <c r="O5812">
        <f>IF(L5812="", "Pending", IF(N5812&lt;=30, "Met", "Breached"))</f>
        <v/>
      </c>
      <c r="P5812" s="8" t="n"/>
      <c r="Q5812" s="8" t="n"/>
      <c r="R5812" s="8" t="n"/>
      <c r="S5812" s="8" t="n"/>
      <c r="T5812" s="8" t="n"/>
      <c r="U5812" s="8" t="n"/>
      <c r="V5812" s="8" t="n"/>
      <c r="W5812" s="8" t="n"/>
      <c r="X5812" s="8" t="n"/>
      <c r="Y5812" s="8" t="n"/>
    </row>
    <row r="5813">
      <c r="A5813" s="8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8" t="n"/>
      <c r="K5813" s="8" t="n"/>
      <c r="L5813" s="8" t="n"/>
      <c r="M5813" s="9">
        <f>B5813+30</f>
        <v/>
      </c>
      <c r="N5813">
        <f>IF(L5813="", "", L5813-B5813)</f>
        <v/>
      </c>
      <c r="O5813">
        <f>IF(L5813="", "Pending", IF(N5813&lt;=30, "Met", "Breached"))</f>
        <v/>
      </c>
      <c r="P5813" s="8" t="n"/>
      <c r="Q5813" s="8" t="n"/>
      <c r="R5813" s="8" t="n"/>
      <c r="S5813" s="8" t="n"/>
      <c r="T5813" s="8" t="n"/>
      <c r="U5813" s="8" t="n"/>
      <c r="V5813" s="8" t="n"/>
      <c r="W5813" s="8" t="n"/>
      <c r="X5813" s="8" t="n"/>
      <c r="Y5813" s="8" t="n"/>
    </row>
    <row r="5814">
      <c r="A5814" s="8" t="n"/>
      <c r="B5814" s="8" t="n"/>
      <c r="C5814" s="8" t="n"/>
      <c r="D5814" s="8" t="n"/>
      <c r="E5814" s="8" t="n"/>
      <c r="F5814" s="8" t="n"/>
      <c r="G5814" s="8" t="n"/>
      <c r="H5814" s="8" t="n"/>
      <c r="I5814" s="8" t="n"/>
      <c r="J5814" s="8" t="n"/>
      <c r="K5814" s="8" t="n"/>
      <c r="L5814" s="8" t="n"/>
      <c r="M5814" s="9">
        <f>B5814+30</f>
        <v/>
      </c>
      <c r="N5814">
        <f>IF(L5814="", "", L5814-B5814)</f>
        <v/>
      </c>
      <c r="O5814">
        <f>IF(L5814="", "Pending", IF(N5814&lt;=30, "Met", "Breached"))</f>
        <v/>
      </c>
      <c r="P5814" s="8" t="n"/>
      <c r="Q5814" s="8" t="n"/>
      <c r="R5814" s="8" t="n"/>
      <c r="S5814" s="8" t="n"/>
      <c r="T5814" s="8" t="n"/>
      <c r="U5814" s="8" t="n"/>
      <c r="V5814" s="8" t="n"/>
      <c r="W5814" s="8" t="n"/>
      <c r="X5814" s="8" t="n"/>
      <c r="Y5814" s="8" t="n"/>
    </row>
    <row r="5815">
      <c r="A5815" s="8" t="n"/>
      <c r="B5815" s="8" t="n"/>
      <c r="C5815" s="8" t="n"/>
      <c r="D5815" s="8" t="n"/>
      <c r="E5815" s="8" t="n"/>
      <c r="F5815" s="8" t="n"/>
      <c r="G5815" s="8" t="n"/>
      <c r="H5815" s="8" t="n"/>
      <c r="I5815" s="8" t="n"/>
      <c r="J5815" s="8" t="n"/>
      <c r="K5815" s="8" t="n"/>
      <c r="L5815" s="8" t="n"/>
      <c r="M5815" s="9">
        <f>B5815+30</f>
        <v/>
      </c>
      <c r="N5815">
        <f>IF(L5815="", "", L5815-B5815)</f>
        <v/>
      </c>
      <c r="O5815">
        <f>IF(L5815="", "Pending", IF(N5815&lt;=30, "Met", "Breached"))</f>
        <v/>
      </c>
      <c r="P5815" s="8" t="n"/>
      <c r="Q5815" s="8" t="n"/>
      <c r="R5815" s="8" t="n"/>
      <c r="S5815" s="8" t="n"/>
      <c r="T5815" s="8" t="n"/>
      <c r="U5815" s="8" t="n"/>
      <c r="V5815" s="8" t="n"/>
      <c r="W5815" s="8" t="n"/>
      <c r="X5815" s="8" t="n"/>
      <c r="Y5815" s="8" t="n"/>
    </row>
    <row r="5816">
      <c r="A5816" s="8" t="n"/>
      <c r="B5816" s="8" t="n"/>
      <c r="C5816" s="8" t="n"/>
      <c r="D5816" s="8" t="n"/>
      <c r="E5816" s="8" t="n"/>
      <c r="F5816" s="8" t="n"/>
      <c r="G5816" s="8" t="n"/>
      <c r="H5816" s="8" t="n"/>
      <c r="I5816" s="8" t="n"/>
      <c r="J5816" s="8" t="n"/>
      <c r="K5816" s="8" t="n"/>
      <c r="L5816" s="8" t="n"/>
      <c r="M5816" s="9">
        <f>B5816+30</f>
        <v/>
      </c>
      <c r="N5816">
        <f>IF(L5816="", "", L5816-B5816)</f>
        <v/>
      </c>
      <c r="O5816">
        <f>IF(L5816="", "Pending", IF(N5816&lt;=30, "Met", "Breached"))</f>
        <v/>
      </c>
      <c r="P5816" s="8" t="n"/>
      <c r="Q5816" s="8" t="n"/>
      <c r="R5816" s="8" t="n"/>
      <c r="S5816" s="8" t="n"/>
      <c r="T5816" s="8" t="n"/>
      <c r="U5816" s="8" t="n"/>
      <c r="V5816" s="8" t="n"/>
      <c r="W5816" s="8" t="n"/>
      <c r="X5816" s="8" t="n"/>
      <c r="Y5816" s="8" t="n"/>
    </row>
    <row r="5817">
      <c r="A5817" s="8" t="n"/>
      <c r="B5817" s="8" t="n"/>
      <c r="C5817" s="8" t="n"/>
      <c r="D5817" s="8" t="n"/>
      <c r="E5817" s="8" t="n"/>
      <c r="F5817" s="8" t="n"/>
      <c r="G5817" s="8" t="n"/>
      <c r="H5817" s="8" t="n"/>
      <c r="I5817" s="8" t="n"/>
      <c r="J5817" s="8" t="n"/>
      <c r="K5817" s="8" t="n"/>
      <c r="L5817" s="8" t="n"/>
      <c r="M5817" s="9">
        <f>B5817+30</f>
        <v/>
      </c>
      <c r="N5817">
        <f>IF(L5817="", "", L5817-B5817)</f>
        <v/>
      </c>
      <c r="O5817">
        <f>IF(L5817="", "Pending", IF(N5817&lt;=30, "Met", "Breached"))</f>
        <v/>
      </c>
      <c r="P5817" s="8" t="n"/>
      <c r="Q5817" s="8" t="n"/>
      <c r="R5817" s="8" t="n"/>
      <c r="S5817" s="8" t="n"/>
      <c r="T5817" s="8" t="n"/>
      <c r="U5817" s="8" t="n"/>
      <c r="V5817" s="8" t="n"/>
      <c r="W5817" s="8" t="n"/>
      <c r="X5817" s="8" t="n"/>
      <c r="Y5817" s="8" t="n"/>
    </row>
    <row r="5818">
      <c r="A5818" s="8" t="n"/>
      <c r="B5818" s="8" t="n"/>
      <c r="C5818" s="8" t="n"/>
      <c r="D5818" s="8" t="n"/>
      <c r="E5818" s="8" t="n"/>
      <c r="F5818" s="8" t="n"/>
      <c r="G5818" s="8" t="n"/>
      <c r="H5818" s="8" t="n"/>
      <c r="I5818" s="8" t="n"/>
      <c r="J5818" s="8" t="n"/>
      <c r="K5818" s="8" t="n"/>
      <c r="L5818" s="8" t="n"/>
      <c r="M5818" s="9">
        <f>B5818+30</f>
        <v/>
      </c>
      <c r="N5818">
        <f>IF(L5818="", "", L5818-B5818)</f>
        <v/>
      </c>
      <c r="O5818">
        <f>IF(L5818="", "Pending", IF(N5818&lt;=30, "Met", "Breached"))</f>
        <v/>
      </c>
      <c r="P5818" s="8" t="n"/>
      <c r="Q5818" s="8" t="n"/>
      <c r="R5818" s="8" t="n"/>
      <c r="S5818" s="8" t="n"/>
      <c r="T5818" s="8" t="n"/>
      <c r="U5818" s="8" t="n"/>
      <c r="V5818" s="8" t="n"/>
      <c r="W5818" s="8" t="n"/>
      <c r="X5818" s="8" t="n"/>
      <c r="Y5818" s="8" t="n"/>
    </row>
    <row r="5819">
      <c r="A5819" s="8" t="n"/>
      <c r="B5819" s="8" t="n"/>
      <c r="C5819" s="8" t="n"/>
      <c r="D5819" s="8" t="n"/>
      <c r="E5819" s="8" t="n"/>
      <c r="F5819" s="8" t="n"/>
      <c r="G5819" s="8" t="n"/>
      <c r="H5819" s="8" t="n"/>
      <c r="I5819" s="8" t="n"/>
      <c r="J5819" s="8" t="n"/>
      <c r="K5819" s="8" t="n"/>
      <c r="L5819" s="8" t="n"/>
      <c r="M5819" s="9">
        <f>B5819+30</f>
        <v/>
      </c>
      <c r="N5819">
        <f>IF(L5819="", "", L5819-B5819)</f>
        <v/>
      </c>
      <c r="O5819">
        <f>IF(L5819="", "Pending", IF(N5819&lt;=30, "Met", "Breached"))</f>
        <v/>
      </c>
      <c r="P5819" s="8" t="n"/>
      <c r="Q5819" s="8" t="n"/>
      <c r="R5819" s="8" t="n"/>
      <c r="S5819" s="8" t="n"/>
      <c r="T5819" s="8" t="n"/>
      <c r="U5819" s="8" t="n"/>
      <c r="V5819" s="8" t="n"/>
      <c r="W5819" s="8" t="n"/>
      <c r="X5819" s="8" t="n"/>
      <c r="Y5819" s="8" t="n"/>
    </row>
    <row r="5820">
      <c r="A5820" s="8" t="n"/>
      <c r="B5820" s="8" t="n"/>
      <c r="C5820" s="8" t="n"/>
      <c r="D5820" s="8" t="n"/>
      <c r="E5820" s="8" t="n"/>
      <c r="F5820" s="8" t="n"/>
      <c r="G5820" s="8" t="n"/>
      <c r="H5820" s="8" t="n"/>
      <c r="I5820" s="8" t="n"/>
      <c r="J5820" s="8" t="n"/>
      <c r="K5820" s="8" t="n"/>
      <c r="L5820" s="8" t="n"/>
      <c r="M5820" s="9">
        <f>B5820+30</f>
        <v/>
      </c>
      <c r="N5820">
        <f>IF(L5820="", "", L5820-B5820)</f>
        <v/>
      </c>
      <c r="O5820">
        <f>IF(L5820="", "Pending", IF(N5820&lt;=30, "Met", "Breached"))</f>
        <v/>
      </c>
      <c r="P5820" s="8" t="n"/>
      <c r="Q5820" s="8" t="n"/>
      <c r="R5820" s="8" t="n"/>
      <c r="S5820" s="8" t="n"/>
      <c r="T5820" s="8" t="n"/>
      <c r="U5820" s="8" t="n"/>
      <c r="V5820" s="8" t="n"/>
      <c r="W5820" s="8" t="n"/>
      <c r="X5820" s="8" t="n"/>
      <c r="Y5820" s="8" t="n"/>
    </row>
    <row r="5821">
      <c r="A5821" s="8" t="n"/>
      <c r="B5821" s="8" t="n"/>
      <c r="C5821" s="8" t="n"/>
      <c r="D5821" s="8" t="n"/>
      <c r="E5821" s="8" t="n"/>
      <c r="F5821" s="8" t="n"/>
      <c r="G5821" s="8" t="n"/>
      <c r="H5821" s="8" t="n"/>
      <c r="I5821" s="8" t="n"/>
      <c r="J5821" s="8" t="n"/>
      <c r="K5821" s="8" t="n"/>
      <c r="L5821" s="8" t="n"/>
      <c r="M5821" s="9">
        <f>B5821+30</f>
        <v/>
      </c>
      <c r="N5821">
        <f>IF(L5821="", "", L5821-B5821)</f>
        <v/>
      </c>
      <c r="O5821">
        <f>IF(L5821="", "Pending", IF(N5821&lt;=30, "Met", "Breached"))</f>
        <v/>
      </c>
      <c r="P5821" s="8" t="n"/>
      <c r="Q5821" s="8" t="n"/>
      <c r="R5821" s="8" t="n"/>
      <c r="S5821" s="8" t="n"/>
      <c r="T5821" s="8" t="n"/>
      <c r="U5821" s="8" t="n"/>
      <c r="V5821" s="8" t="n"/>
      <c r="W5821" s="8" t="n"/>
      <c r="X5821" s="8" t="n"/>
      <c r="Y5821" s="8" t="n"/>
    </row>
    <row r="5822">
      <c r="A5822" s="8" t="n"/>
      <c r="B5822" s="8" t="n"/>
      <c r="C5822" s="8" t="n"/>
      <c r="D5822" s="8" t="n"/>
      <c r="E5822" s="8" t="n"/>
      <c r="F5822" s="8" t="n"/>
      <c r="G5822" s="8" t="n"/>
      <c r="H5822" s="8" t="n"/>
      <c r="I5822" s="8" t="n"/>
      <c r="J5822" s="8" t="n"/>
      <c r="K5822" s="8" t="n"/>
      <c r="L5822" s="8" t="n"/>
      <c r="M5822" s="9">
        <f>B5822+30</f>
        <v/>
      </c>
      <c r="N5822">
        <f>IF(L5822="", "", L5822-B5822)</f>
        <v/>
      </c>
      <c r="O5822">
        <f>IF(L5822="", "Pending", IF(N5822&lt;=30, "Met", "Breached"))</f>
        <v/>
      </c>
      <c r="P5822" s="8" t="n"/>
      <c r="Q5822" s="8" t="n"/>
      <c r="R5822" s="8" t="n"/>
      <c r="S5822" s="8" t="n"/>
      <c r="T5822" s="8" t="n"/>
      <c r="U5822" s="8" t="n"/>
      <c r="V5822" s="8" t="n"/>
      <c r="W5822" s="8" t="n"/>
      <c r="X5822" s="8" t="n"/>
      <c r="Y5822" s="8" t="n"/>
    </row>
    <row r="5823">
      <c r="A5823" s="8" t="n"/>
      <c r="B5823" s="8" t="n"/>
      <c r="C5823" s="8" t="n"/>
      <c r="D5823" s="8" t="n"/>
      <c r="E5823" s="8" t="n"/>
      <c r="F5823" s="8" t="n"/>
      <c r="G5823" s="8" t="n"/>
      <c r="H5823" s="8" t="n"/>
      <c r="I5823" s="8" t="n"/>
      <c r="J5823" s="8" t="n"/>
      <c r="K5823" s="8" t="n"/>
      <c r="L5823" s="8" t="n"/>
      <c r="M5823" s="9">
        <f>B5823+30</f>
        <v/>
      </c>
      <c r="N5823">
        <f>IF(L5823="", "", L5823-B5823)</f>
        <v/>
      </c>
      <c r="O5823">
        <f>IF(L5823="", "Pending", IF(N5823&lt;=30, "Met", "Breached"))</f>
        <v/>
      </c>
      <c r="P5823" s="8" t="n"/>
      <c r="Q5823" s="8" t="n"/>
      <c r="R5823" s="8" t="n"/>
      <c r="S5823" s="8" t="n"/>
      <c r="T5823" s="8" t="n"/>
      <c r="U5823" s="8" t="n"/>
      <c r="V5823" s="8" t="n"/>
      <c r="W5823" s="8" t="n"/>
      <c r="X5823" s="8" t="n"/>
      <c r="Y5823" s="8" t="n"/>
    </row>
    <row r="5824">
      <c r="A5824" s="8" t="n"/>
      <c r="B5824" s="8" t="n"/>
      <c r="C5824" s="8" t="n"/>
      <c r="D5824" s="8" t="n"/>
      <c r="E5824" s="8" t="n"/>
      <c r="F5824" s="8" t="n"/>
      <c r="G5824" s="8" t="n"/>
      <c r="H5824" s="8" t="n"/>
      <c r="I5824" s="8" t="n"/>
      <c r="J5824" s="8" t="n"/>
      <c r="K5824" s="8" t="n"/>
      <c r="L5824" s="8" t="n"/>
      <c r="M5824" s="9">
        <f>B5824+30</f>
        <v/>
      </c>
      <c r="N5824">
        <f>IF(L5824="", "", L5824-B5824)</f>
        <v/>
      </c>
      <c r="O5824">
        <f>IF(L5824="", "Pending", IF(N5824&lt;=30, "Met", "Breached"))</f>
        <v/>
      </c>
      <c r="P5824" s="8" t="n"/>
      <c r="Q5824" s="8" t="n"/>
      <c r="R5824" s="8" t="n"/>
      <c r="S5824" s="8" t="n"/>
      <c r="T5824" s="8" t="n"/>
      <c r="U5824" s="8" t="n"/>
      <c r="V5824" s="8" t="n"/>
      <c r="W5824" s="8" t="n"/>
      <c r="X5824" s="8" t="n"/>
      <c r="Y5824" s="8" t="n"/>
    </row>
    <row r="5825">
      <c r="A5825" s="8" t="n"/>
      <c r="B5825" s="8" t="n"/>
      <c r="C5825" s="8" t="n"/>
      <c r="D5825" s="8" t="n"/>
      <c r="E5825" s="8" t="n"/>
      <c r="F5825" s="8" t="n"/>
      <c r="G5825" s="8" t="n"/>
      <c r="H5825" s="8" t="n"/>
      <c r="I5825" s="8" t="n"/>
      <c r="J5825" s="8" t="n"/>
      <c r="K5825" s="8" t="n"/>
      <c r="L5825" s="8" t="n"/>
      <c r="M5825" s="9">
        <f>B5825+30</f>
        <v/>
      </c>
      <c r="N5825">
        <f>IF(L5825="", "", L5825-B5825)</f>
        <v/>
      </c>
      <c r="O5825">
        <f>IF(L5825="", "Pending", IF(N5825&lt;=30, "Met", "Breached"))</f>
        <v/>
      </c>
      <c r="P5825" s="8" t="n"/>
      <c r="Q5825" s="8" t="n"/>
      <c r="R5825" s="8" t="n"/>
      <c r="S5825" s="8" t="n"/>
      <c r="T5825" s="8" t="n"/>
      <c r="U5825" s="8" t="n"/>
      <c r="V5825" s="8" t="n"/>
      <c r="W5825" s="8" t="n"/>
      <c r="X5825" s="8" t="n"/>
      <c r="Y5825" s="8" t="n"/>
    </row>
    <row r="5826">
      <c r="A5826" s="8" t="n"/>
      <c r="B5826" s="8" t="n"/>
      <c r="C5826" s="8" t="n"/>
      <c r="D5826" s="8" t="n"/>
      <c r="E5826" s="8" t="n"/>
      <c r="F5826" s="8" t="n"/>
      <c r="G5826" s="8" t="n"/>
      <c r="H5826" s="8" t="n"/>
      <c r="I5826" s="8" t="n"/>
      <c r="J5826" s="8" t="n"/>
      <c r="K5826" s="8" t="n"/>
      <c r="L5826" s="8" t="n"/>
      <c r="M5826" s="9">
        <f>B5826+30</f>
        <v/>
      </c>
      <c r="N5826">
        <f>IF(L5826="", "", L5826-B5826)</f>
        <v/>
      </c>
      <c r="O5826">
        <f>IF(L5826="", "Pending", IF(N5826&lt;=30, "Met", "Breached"))</f>
        <v/>
      </c>
      <c r="P5826" s="8" t="n"/>
      <c r="Q5826" s="8" t="n"/>
      <c r="R5826" s="8" t="n"/>
      <c r="S5826" s="8" t="n"/>
      <c r="T5826" s="8" t="n"/>
      <c r="U5826" s="8" t="n"/>
      <c r="V5826" s="8" t="n"/>
      <c r="W5826" s="8" t="n"/>
      <c r="X5826" s="8" t="n"/>
      <c r="Y5826" s="8" t="n"/>
    </row>
    <row r="5827">
      <c r="A5827" s="8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8" t="n"/>
      <c r="K5827" s="8" t="n"/>
      <c r="L5827" s="8" t="n"/>
      <c r="M5827" s="9">
        <f>B5827+30</f>
        <v/>
      </c>
      <c r="N5827">
        <f>IF(L5827="", "", L5827-B5827)</f>
        <v/>
      </c>
      <c r="O5827">
        <f>IF(L5827="", "Pending", IF(N5827&lt;=30, "Met", "Breached"))</f>
        <v/>
      </c>
      <c r="P5827" s="8" t="n"/>
      <c r="Q5827" s="8" t="n"/>
      <c r="R5827" s="8" t="n"/>
      <c r="S5827" s="8" t="n"/>
      <c r="T5827" s="8" t="n"/>
      <c r="U5827" s="8" t="n"/>
      <c r="V5827" s="8" t="n"/>
      <c r="W5827" s="8" t="n"/>
      <c r="X5827" s="8" t="n"/>
      <c r="Y5827" s="8" t="n"/>
    </row>
    <row r="5828">
      <c r="A5828" s="8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8" t="n"/>
      <c r="K5828" s="8" t="n"/>
      <c r="L5828" s="8" t="n"/>
      <c r="M5828" s="9">
        <f>B5828+30</f>
        <v/>
      </c>
      <c r="N5828">
        <f>IF(L5828="", "", L5828-B5828)</f>
        <v/>
      </c>
      <c r="O5828">
        <f>IF(L5828="", "Pending", IF(N5828&lt;=30, "Met", "Breached"))</f>
        <v/>
      </c>
      <c r="P5828" s="8" t="n"/>
      <c r="Q5828" s="8" t="n"/>
      <c r="R5828" s="8" t="n"/>
      <c r="S5828" s="8" t="n"/>
      <c r="T5828" s="8" t="n"/>
      <c r="U5828" s="8" t="n"/>
      <c r="V5828" s="8" t="n"/>
      <c r="W5828" s="8" t="n"/>
      <c r="X5828" s="8" t="n"/>
      <c r="Y5828" s="8" t="n"/>
    </row>
    <row r="5829">
      <c r="A5829" s="8" t="n"/>
      <c r="B5829" s="8" t="n"/>
      <c r="C5829" s="8" t="n"/>
      <c r="D5829" s="8" t="n"/>
      <c r="E5829" s="8" t="n"/>
      <c r="F5829" s="8" t="n"/>
      <c r="G5829" s="8" t="n"/>
      <c r="H5829" s="8" t="n"/>
      <c r="I5829" s="8" t="n"/>
      <c r="J5829" s="8" t="n"/>
      <c r="K5829" s="8" t="n"/>
      <c r="L5829" s="8" t="n"/>
      <c r="M5829" s="9">
        <f>B5829+30</f>
        <v/>
      </c>
      <c r="N5829">
        <f>IF(L5829="", "", L5829-B5829)</f>
        <v/>
      </c>
      <c r="O5829">
        <f>IF(L5829="", "Pending", IF(N5829&lt;=30, "Met", "Breached"))</f>
        <v/>
      </c>
      <c r="P5829" s="8" t="n"/>
      <c r="Q5829" s="8" t="n"/>
      <c r="R5829" s="8" t="n"/>
      <c r="S5829" s="8" t="n"/>
      <c r="T5829" s="8" t="n"/>
      <c r="U5829" s="8" t="n"/>
      <c r="V5829" s="8" t="n"/>
      <c r="W5829" s="8" t="n"/>
      <c r="X5829" s="8" t="n"/>
      <c r="Y5829" s="8" t="n"/>
    </row>
    <row r="5830">
      <c r="A5830" s="8" t="n"/>
      <c r="B5830" s="8" t="n"/>
      <c r="C5830" s="8" t="n"/>
      <c r="D5830" s="8" t="n"/>
      <c r="E5830" s="8" t="n"/>
      <c r="F5830" s="8" t="n"/>
      <c r="G5830" s="8" t="n"/>
      <c r="H5830" s="8" t="n"/>
      <c r="I5830" s="8" t="n"/>
      <c r="J5830" s="8" t="n"/>
      <c r="K5830" s="8" t="n"/>
      <c r="L5830" s="8" t="n"/>
      <c r="M5830" s="9">
        <f>B5830+30</f>
        <v/>
      </c>
      <c r="N5830">
        <f>IF(L5830="", "", L5830-B5830)</f>
        <v/>
      </c>
      <c r="O5830">
        <f>IF(L5830="", "Pending", IF(N5830&lt;=30, "Met", "Breached"))</f>
        <v/>
      </c>
      <c r="P5830" s="8" t="n"/>
      <c r="Q5830" s="8" t="n"/>
      <c r="R5830" s="8" t="n"/>
      <c r="S5830" s="8" t="n"/>
      <c r="T5830" s="8" t="n"/>
      <c r="U5830" s="8" t="n"/>
      <c r="V5830" s="8" t="n"/>
      <c r="W5830" s="8" t="n"/>
      <c r="X5830" s="8" t="n"/>
      <c r="Y5830" s="8" t="n"/>
    </row>
    <row r="5831">
      <c r="A5831" s="8" t="n"/>
      <c r="B5831" s="8" t="n"/>
      <c r="C5831" s="8" t="n"/>
      <c r="D5831" s="8" t="n"/>
      <c r="E5831" s="8" t="n"/>
      <c r="F5831" s="8" t="n"/>
      <c r="G5831" s="8" t="n"/>
      <c r="H5831" s="8" t="n"/>
      <c r="I5831" s="8" t="n"/>
      <c r="J5831" s="8" t="n"/>
      <c r="K5831" s="8" t="n"/>
      <c r="L5831" s="8" t="n"/>
      <c r="M5831" s="9">
        <f>B5831+30</f>
        <v/>
      </c>
      <c r="N5831">
        <f>IF(L5831="", "", L5831-B5831)</f>
        <v/>
      </c>
      <c r="O5831">
        <f>IF(L5831="", "Pending", IF(N5831&lt;=30, "Met", "Breached"))</f>
        <v/>
      </c>
      <c r="P5831" s="8" t="n"/>
      <c r="Q5831" s="8" t="n"/>
      <c r="R5831" s="8" t="n"/>
      <c r="S5831" s="8" t="n"/>
      <c r="T5831" s="8" t="n"/>
      <c r="U5831" s="8" t="n"/>
      <c r="V5831" s="8" t="n"/>
      <c r="W5831" s="8" t="n"/>
      <c r="X5831" s="8" t="n"/>
      <c r="Y5831" s="8" t="n"/>
    </row>
    <row r="5832">
      <c r="A5832" s="8" t="n"/>
      <c r="B5832" s="8" t="n"/>
      <c r="C5832" s="8" t="n"/>
      <c r="D5832" s="8" t="n"/>
      <c r="E5832" s="8" t="n"/>
      <c r="F5832" s="8" t="n"/>
      <c r="G5832" s="8" t="n"/>
      <c r="H5832" s="8" t="n"/>
      <c r="I5832" s="8" t="n"/>
      <c r="J5832" s="8" t="n"/>
      <c r="K5832" s="8" t="n"/>
      <c r="L5832" s="8" t="n"/>
      <c r="M5832" s="9">
        <f>B5832+30</f>
        <v/>
      </c>
      <c r="N5832">
        <f>IF(L5832="", "", L5832-B5832)</f>
        <v/>
      </c>
      <c r="O5832">
        <f>IF(L5832="", "Pending", IF(N5832&lt;=30, "Met", "Breached"))</f>
        <v/>
      </c>
      <c r="P5832" s="8" t="n"/>
      <c r="Q5832" s="8" t="n"/>
      <c r="R5832" s="8" t="n"/>
      <c r="S5832" s="8" t="n"/>
      <c r="T5832" s="8" t="n"/>
      <c r="U5832" s="8" t="n"/>
      <c r="V5832" s="8" t="n"/>
      <c r="W5832" s="8" t="n"/>
      <c r="X5832" s="8" t="n"/>
      <c r="Y5832" s="8" t="n"/>
    </row>
    <row r="5833">
      <c r="A5833" s="8" t="n"/>
      <c r="B5833" s="8" t="n"/>
      <c r="C5833" s="8" t="n"/>
      <c r="D5833" s="8" t="n"/>
      <c r="E5833" s="8" t="n"/>
      <c r="F5833" s="8" t="n"/>
      <c r="G5833" s="8" t="n"/>
      <c r="H5833" s="8" t="n"/>
      <c r="I5833" s="8" t="n"/>
      <c r="J5833" s="8" t="n"/>
      <c r="K5833" s="8" t="n"/>
      <c r="L5833" s="8" t="n"/>
      <c r="M5833" s="9">
        <f>B5833+30</f>
        <v/>
      </c>
      <c r="N5833">
        <f>IF(L5833="", "", L5833-B5833)</f>
        <v/>
      </c>
      <c r="O5833">
        <f>IF(L5833="", "Pending", IF(N5833&lt;=30, "Met", "Breached"))</f>
        <v/>
      </c>
      <c r="P5833" s="8" t="n"/>
      <c r="Q5833" s="8" t="n"/>
      <c r="R5833" s="8" t="n"/>
      <c r="S5833" s="8" t="n"/>
      <c r="T5833" s="8" t="n"/>
      <c r="U5833" s="8" t="n"/>
      <c r="V5833" s="8" t="n"/>
      <c r="W5833" s="8" t="n"/>
      <c r="X5833" s="8" t="n"/>
      <c r="Y5833" s="8" t="n"/>
    </row>
    <row r="5834">
      <c r="A5834" s="8" t="n"/>
      <c r="B5834" s="8" t="n"/>
      <c r="C5834" s="8" t="n"/>
      <c r="D5834" s="8" t="n"/>
      <c r="E5834" s="8" t="n"/>
      <c r="F5834" s="8" t="n"/>
      <c r="G5834" s="8" t="n"/>
      <c r="H5834" s="8" t="n"/>
      <c r="I5834" s="8" t="n"/>
      <c r="J5834" s="8" t="n"/>
      <c r="K5834" s="8" t="n"/>
      <c r="L5834" s="8" t="n"/>
      <c r="M5834" s="9">
        <f>B5834+30</f>
        <v/>
      </c>
      <c r="N5834">
        <f>IF(L5834="", "", L5834-B5834)</f>
        <v/>
      </c>
      <c r="O5834">
        <f>IF(L5834="", "Pending", IF(N5834&lt;=30, "Met", "Breached"))</f>
        <v/>
      </c>
      <c r="P5834" s="8" t="n"/>
      <c r="Q5834" s="8" t="n"/>
      <c r="R5834" s="8" t="n"/>
      <c r="S5834" s="8" t="n"/>
      <c r="T5834" s="8" t="n"/>
      <c r="U5834" s="8" t="n"/>
      <c r="V5834" s="8" t="n"/>
      <c r="W5834" s="8" t="n"/>
      <c r="X5834" s="8" t="n"/>
      <c r="Y5834" s="8" t="n"/>
    </row>
    <row r="5835">
      <c r="A5835" s="8" t="n"/>
      <c r="B5835" s="8" t="n"/>
      <c r="C5835" s="8" t="n"/>
      <c r="D5835" s="8" t="n"/>
      <c r="E5835" s="8" t="n"/>
      <c r="F5835" s="8" t="n"/>
      <c r="G5835" s="8" t="n"/>
      <c r="H5835" s="8" t="n"/>
      <c r="I5835" s="8" t="n"/>
      <c r="J5835" s="8" t="n"/>
      <c r="K5835" s="8" t="n"/>
      <c r="L5835" s="8" t="n"/>
      <c r="M5835" s="9">
        <f>B5835+30</f>
        <v/>
      </c>
      <c r="N5835">
        <f>IF(L5835="", "", L5835-B5835)</f>
        <v/>
      </c>
      <c r="O5835">
        <f>IF(L5835="", "Pending", IF(N5835&lt;=30, "Met", "Breached"))</f>
        <v/>
      </c>
      <c r="P5835" s="8" t="n"/>
      <c r="Q5835" s="8" t="n"/>
      <c r="R5835" s="8" t="n"/>
      <c r="S5835" s="8" t="n"/>
      <c r="T5835" s="8" t="n"/>
      <c r="U5835" s="8" t="n"/>
      <c r="V5835" s="8" t="n"/>
      <c r="W5835" s="8" t="n"/>
      <c r="X5835" s="8" t="n"/>
      <c r="Y5835" s="8" t="n"/>
    </row>
    <row r="5836">
      <c r="A5836" s="8" t="n"/>
      <c r="B5836" s="8" t="n"/>
      <c r="C5836" s="8" t="n"/>
      <c r="D5836" s="8" t="n"/>
      <c r="E5836" s="8" t="n"/>
      <c r="F5836" s="8" t="n"/>
      <c r="G5836" s="8" t="n"/>
      <c r="H5836" s="8" t="n"/>
      <c r="I5836" s="8" t="n"/>
      <c r="J5836" s="8" t="n"/>
      <c r="K5836" s="8" t="n"/>
      <c r="L5836" s="8" t="n"/>
      <c r="M5836" s="9">
        <f>B5836+30</f>
        <v/>
      </c>
      <c r="N5836">
        <f>IF(L5836="", "", L5836-B5836)</f>
        <v/>
      </c>
      <c r="O5836">
        <f>IF(L5836="", "Pending", IF(N5836&lt;=30, "Met", "Breached"))</f>
        <v/>
      </c>
      <c r="P5836" s="8" t="n"/>
      <c r="Q5836" s="8" t="n"/>
      <c r="R5836" s="8" t="n"/>
      <c r="S5836" s="8" t="n"/>
      <c r="T5836" s="8" t="n"/>
      <c r="U5836" s="8" t="n"/>
      <c r="V5836" s="8" t="n"/>
      <c r="W5836" s="8" t="n"/>
      <c r="X5836" s="8" t="n"/>
      <c r="Y5836" s="8" t="n"/>
    </row>
    <row r="5837">
      <c r="A5837" s="8" t="n"/>
      <c r="B5837" s="8" t="n"/>
      <c r="C5837" s="8" t="n"/>
      <c r="D5837" s="8" t="n"/>
      <c r="E5837" s="8" t="n"/>
      <c r="F5837" s="8" t="n"/>
      <c r="G5837" s="8" t="n"/>
      <c r="H5837" s="8" t="n"/>
      <c r="I5837" s="8" t="n"/>
      <c r="J5837" s="8" t="n"/>
      <c r="K5837" s="8" t="n"/>
      <c r="L5837" s="8" t="n"/>
      <c r="M5837" s="9">
        <f>B5837+30</f>
        <v/>
      </c>
      <c r="N5837">
        <f>IF(L5837="", "", L5837-B5837)</f>
        <v/>
      </c>
      <c r="O5837">
        <f>IF(L5837="", "Pending", IF(N5837&lt;=30, "Met", "Breached"))</f>
        <v/>
      </c>
      <c r="P5837" s="8" t="n"/>
      <c r="Q5837" s="8" t="n"/>
      <c r="R5837" s="8" t="n"/>
      <c r="S5837" s="8" t="n"/>
      <c r="T5837" s="8" t="n"/>
      <c r="U5837" s="8" t="n"/>
      <c r="V5837" s="8" t="n"/>
      <c r="W5837" s="8" t="n"/>
      <c r="X5837" s="8" t="n"/>
      <c r="Y5837" s="8" t="n"/>
    </row>
    <row r="5838">
      <c r="A5838" s="8" t="n"/>
      <c r="B5838" s="8" t="n"/>
      <c r="C5838" s="8" t="n"/>
      <c r="D5838" s="8" t="n"/>
      <c r="E5838" s="8" t="n"/>
      <c r="F5838" s="8" t="n"/>
      <c r="G5838" s="8" t="n"/>
      <c r="H5838" s="8" t="n"/>
      <c r="I5838" s="8" t="n"/>
      <c r="J5838" s="8" t="n"/>
      <c r="K5838" s="8" t="n"/>
      <c r="L5838" s="8" t="n"/>
      <c r="M5838" s="9">
        <f>B5838+30</f>
        <v/>
      </c>
      <c r="N5838">
        <f>IF(L5838="", "", L5838-B5838)</f>
        <v/>
      </c>
      <c r="O5838">
        <f>IF(L5838="", "Pending", IF(N5838&lt;=30, "Met", "Breached"))</f>
        <v/>
      </c>
      <c r="P5838" s="8" t="n"/>
      <c r="Q5838" s="8" t="n"/>
      <c r="R5838" s="8" t="n"/>
      <c r="S5838" s="8" t="n"/>
      <c r="T5838" s="8" t="n"/>
      <c r="U5838" s="8" t="n"/>
      <c r="V5838" s="8" t="n"/>
      <c r="W5838" s="8" t="n"/>
      <c r="X5838" s="8" t="n"/>
      <c r="Y5838" s="8" t="n"/>
    </row>
    <row r="5839">
      <c r="A5839" s="8" t="n"/>
      <c r="B5839" s="8" t="n"/>
      <c r="C5839" s="8" t="n"/>
      <c r="D5839" s="8" t="n"/>
      <c r="E5839" s="8" t="n"/>
      <c r="F5839" s="8" t="n"/>
      <c r="G5839" s="8" t="n"/>
      <c r="H5839" s="8" t="n"/>
      <c r="I5839" s="8" t="n"/>
      <c r="J5839" s="8" t="n"/>
      <c r="K5839" s="8" t="n"/>
      <c r="L5839" s="8" t="n"/>
      <c r="M5839" s="9">
        <f>B5839+30</f>
        <v/>
      </c>
      <c r="N5839">
        <f>IF(L5839="", "", L5839-B5839)</f>
        <v/>
      </c>
      <c r="O5839">
        <f>IF(L5839="", "Pending", IF(N5839&lt;=30, "Met", "Breached"))</f>
        <v/>
      </c>
      <c r="P5839" s="8" t="n"/>
      <c r="Q5839" s="8" t="n"/>
      <c r="R5839" s="8" t="n"/>
      <c r="S5839" s="8" t="n"/>
      <c r="T5839" s="8" t="n"/>
      <c r="U5839" s="8" t="n"/>
      <c r="V5839" s="8" t="n"/>
      <c r="W5839" s="8" t="n"/>
      <c r="X5839" s="8" t="n"/>
      <c r="Y5839" s="8" t="n"/>
    </row>
    <row r="5840">
      <c r="A5840" s="8" t="n"/>
      <c r="B5840" s="8" t="n"/>
      <c r="C5840" s="8" t="n"/>
      <c r="D5840" s="8" t="n"/>
      <c r="E5840" s="8" t="n"/>
      <c r="F5840" s="8" t="n"/>
      <c r="G5840" s="8" t="n"/>
      <c r="H5840" s="8" t="n"/>
      <c r="I5840" s="8" t="n"/>
      <c r="J5840" s="8" t="n"/>
      <c r="K5840" s="8" t="n"/>
      <c r="L5840" s="8" t="n"/>
      <c r="M5840" s="9">
        <f>B5840+30</f>
        <v/>
      </c>
      <c r="N5840">
        <f>IF(L5840="", "", L5840-B5840)</f>
        <v/>
      </c>
      <c r="O5840">
        <f>IF(L5840="", "Pending", IF(N5840&lt;=30, "Met", "Breached"))</f>
        <v/>
      </c>
      <c r="P5840" s="8" t="n"/>
      <c r="Q5840" s="8" t="n"/>
      <c r="R5840" s="8" t="n"/>
      <c r="S5840" s="8" t="n"/>
      <c r="T5840" s="8" t="n"/>
      <c r="U5840" s="8" t="n"/>
      <c r="V5840" s="8" t="n"/>
      <c r="W5840" s="8" t="n"/>
      <c r="X5840" s="8" t="n"/>
      <c r="Y5840" s="8" t="n"/>
    </row>
    <row r="5841">
      <c r="A5841" s="8" t="n"/>
      <c r="B5841" s="8" t="n"/>
      <c r="C5841" s="8" t="n"/>
      <c r="D5841" s="8" t="n"/>
      <c r="E5841" s="8" t="n"/>
      <c r="F5841" s="8" t="n"/>
      <c r="G5841" s="8" t="n"/>
      <c r="H5841" s="8" t="n"/>
      <c r="I5841" s="8" t="n"/>
      <c r="J5841" s="8" t="n"/>
      <c r="K5841" s="8" t="n"/>
      <c r="L5841" s="8" t="n"/>
      <c r="M5841" s="9">
        <f>B5841+30</f>
        <v/>
      </c>
      <c r="N5841">
        <f>IF(L5841="", "", L5841-B5841)</f>
        <v/>
      </c>
      <c r="O5841">
        <f>IF(L5841="", "Pending", IF(N5841&lt;=30, "Met", "Breached"))</f>
        <v/>
      </c>
      <c r="P5841" s="8" t="n"/>
      <c r="Q5841" s="8" t="n"/>
      <c r="R5841" s="8" t="n"/>
      <c r="S5841" s="8" t="n"/>
      <c r="T5841" s="8" t="n"/>
      <c r="U5841" s="8" t="n"/>
      <c r="V5841" s="8" t="n"/>
      <c r="W5841" s="8" t="n"/>
      <c r="X5841" s="8" t="n"/>
      <c r="Y5841" s="8" t="n"/>
    </row>
    <row r="5842">
      <c r="A5842" s="8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8" t="n"/>
      <c r="K5842" s="8" t="n"/>
      <c r="L5842" s="8" t="n"/>
      <c r="M5842" s="9">
        <f>B5842+30</f>
        <v/>
      </c>
      <c r="N5842">
        <f>IF(L5842="", "", L5842-B5842)</f>
        <v/>
      </c>
      <c r="O5842">
        <f>IF(L5842="", "Pending", IF(N5842&lt;=30, "Met", "Breached"))</f>
        <v/>
      </c>
      <c r="P5842" s="8" t="n"/>
      <c r="Q5842" s="8" t="n"/>
      <c r="R5842" s="8" t="n"/>
      <c r="S5842" s="8" t="n"/>
      <c r="T5842" s="8" t="n"/>
      <c r="U5842" s="8" t="n"/>
      <c r="V5842" s="8" t="n"/>
      <c r="W5842" s="8" t="n"/>
      <c r="X5842" s="8" t="n"/>
      <c r="Y5842" s="8" t="n"/>
    </row>
    <row r="5843">
      <c r="A5843" s="8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8" t="n"/>
      <c r="K5843" s="8" t="n"/>
      <c r="L5843" s="8" t="n"/>
      <c r="M5843" s="9">
        <f>B5843+30</f>
        <v/>
      </c>
      <c r="N5843">
        <f>IF(L5843="", "", L5843-B5843)</f>
        <v/>
      </c>
      <c r="O5843">
        <f>IF(L5843="", "Pending", IF(N5843&lt;=30, "Met", "Breached"))</f>
        <v/>
      </c>
      <c r="P5843" s="8" t="n"/>
      <c r="Q5843" s="8" t="n"/>
      <c r="R5843" s="8" t="n"/>
      <c r="S5843" s="8" t="n"/>
      <c r="T5843" s="8" t="n"/>
      <c r="U5843" s="8" t="n"/>
      <c r="V5843" s="8" t="n"/>
      <c r="W5843" s="8" t="n"/>
      <c r="X5843" s="8" t="n"/>
      <c r="Y5843" s="8" t="n"/>
    </row>
    <row r="5844">
      <c r="A5844" s="8" t="n"/>
      <c r="B5844" s="8" t="n"/>
      <c r="C5844" s="8" t="n"/>
      <c r="D5844" s="8" t="n"/>
      <c r="E5844" s="8" t="n"/>
      <c r="F5844" s="8" t="n"/>
      <c r="G5844" s="8" t="n"/>
      <c r="H5844" s="8" t="n"/>
      <c r="I5844" s="8" t="n"/>
      <c r="J5844" s="8" t="n"/>
      <c r="K5844" s="8" t="n"/>
      <c r="L5844" s="8" t="n"/>
      <c r="M5844" s="9">
        <f>B5844+30</f>
        <v/>
      </c>
      <c r="N5844">
        <f>IF(L5844="", "", L5844-B5844)</f>
        <v/>
      </c>
      <c r="O5844">
        <f>IF(L5844="", "Pending", IF(N5844&lt;=30, "Met", "Breached"))</f>
        <v/>
      </c>
      <c r="P5844" s="8" t="n"/>
      <c r="Q5844" s="8" t="n"/>
      <c r="R5844" s="8" t="n"/>
      <c r="S5844" s="8" t="n"/>
      <c r="T5844" s="8" t="n"/>
      <c r="U5844" s="8" t="n"/>
      <c r="V5844" s="8" t="n"/>
      <c r="W5844" s="8" t="n"/>
      <c r="X5844" s="8" t="n"/>
      <c r="Y5844" s="8" t="n"/>
    </row>
    <row r="5845">
      <c r="A5845" s="8" t="n"/>
      <c r="B5845" s="8" t="n"/>
      <c r="C5845" s="8" t="n"/>
      <c r="D5845" s="8" t="n"/>
      <c r="E5845" s="8" t="n"/>
      <c r="F5845" s="8" t="n"/>
      <c r="G5845" s="8" t="n"/>
      <c r="H5845" s="8" t="n"/>
      <c r="I5845" s="8" t="n"/>
      <c r="J5845" s="8" t="n"/>
      <c r="K5845" s="8" t="n"/>
      <c r="L5845" s="8" t="n"/>
      <c r="M5845" s="9">
        <f>B5845+30</f>
        <v/>
      </c>
      <c r="N5845">
        <f>IF(L5845="", "", L5845-B5845)</f>
        <v/>
      </c>
      <c r="O5845">
        <f>IF(L5845="", "Pending", IF(N5845&lt;=30, "Met", "Breached"))</f>
        <v/>
      </c>
      <c r="P5845" s="8" t="n"/>
      <c r="Q5845" s="8" t="n"/>
      <c r="R5845" s="8" t="n"/>
      <c r="S5845" s="8" t="n"/>
      <c r="T5845" s="8" t="n"/>
      <c r="U5845" s="8" t="n"/>
      <c r="V5845" s="8" t="n"/>
      <c r="W5845" s="8" t="n"/>
      <c r="X5845" s="8" t="n"/>
      <c r="Y5845" s="8" t="n"/>
    </row>
    <row r="5846">
      <c r="A5846" s="8" t="n"/>
      <c r="B5846" s="8" t="n"/>
      <c r="C5846" s="8" t="n"/>
      <c r="D5846" s="8" t="n"/>
      <c r="E5846" s="8" t="n"/>
      <c r="F5846" s="8" t="n"/>
      <c r="G5846" s="8" t="n"/>
      <c r="H5846" s="8" t="n"/>
      <c r="I5846" s="8" t="n"/>
      <c r="J5846" s="8" t="n"/>
      <c r="K5846" s="8" t="n"/>
      <c r="L5846" s="8" t="n"/>
      <c r="M5846" s="9">
        <f>B5846+30</f>
        <v/>
      </c>
      <c r="N5846">
        <f>IF(L5846="", "", L5846-B5846)</f>
        <v/>
      </c>
      <c r="O5846">
        <f>IF(L5846="", "Pending", IF(N5846&lt;=30, "Met", "Breached"))</f>
        <v/>
      </c>
      <c r="P5846" s="8" t="n"/>
      <c r="Q5846" s="8" t="n"/>
      <c r="R5846" s="8" t="n"/>
      <c r="S5846" s="8" t="n"/>
      <c r="T5846" s="8" t="n"/>
      <c r="U5846" s="8" t="n"/>
      <c r="V5846" s="8" t="n"/>
      <c r="W5846" s="8" t="n"/>
      <c r="X5846" s="8" t="n"/>
      <c r="Y5846" s="8" t="n"/>
    </row>
    <row r="5847">
      <c r="A5847" s="8" t="n"/>
      <c r="B5847" s="8" t="n"/>
      <c r="C5847" s="8" t="n"/>
      <c r="D5847" s="8" t="n"/>
      <c r="E5847" s="8" t="n"/>
      <c r="F5847" s="8" t="n"/>
      <c r="G5847" s="8" t="n"/>
      <c r="H5847" s="8" t="n"/>
      <c r="I5847" s="8" t="n"/>
      <c r="J5847" s="8" t="n"/>
      <c r="K5847" s="8" t="n"/>
      <c r="L5847" s="8" t="n"/>
      <c r="M5847" s="9">
        <f>B5847+30</f>
        <v/>
      </c>
      <c r="N5847">
        <f>IF(L5847="", "", L5847-B5847)</f>
        <v/>
      </c>
      <c r="O5847">
        <f>IF(L5847="", "Pending", IF(N5847&lt;=30, "Met", "Breached"))</f>
        <v/>
      </c>
      <c r="P5847" s="8" t="n"/>
      <c r="Q5847" s="8" t="n"/>
      <c r="R5847" s="8" t="n"/>
      <c r="S5847" s="8" t="n"/>
      <c r="T5847" s="8" t="n"/>
      <c r="U5847" s="8" t="n"/>
      <c r="V5847" s="8" t="n"/>
      <c r="W5847" s="8" t="n"/>
      <c r="X5847" s="8" t="n"/>
      <c r="Y5847" s="8" t="n"/>
    </row>
    <row r="5848">
      <c r="A5848" s="8" t="n"/>
      <c r="B5848" s="8" t="n"/>
      <c r="C5848" s="8" t="n"/>
      <c r="D5848" s="8" t="n"/>
      <c r="E5848" s="8" t="n"/>
      <c r="F5848" s="8" t="n"/>
      <c r="G5848" s="8" t="n"/>
      <c r="H5848" s="8" t="n"/>
      <c r="I5848" s="8" t="n"/>
      <c r="J5848" s="8" t="n"/>
      <c r="K5848" s="8" t="n"/>
      <c r="L5848" s="8" t="n"/>
      <c r="M5848" s="9">
        <f>B5848+30</f>
        <v/>
      </c>
      <c r="N5848">
        <f>IF(L5848="", "", L5848-B5848)</f>
        <v/>
      </c>
      <c r="O5848">
        <f>IF(L5848="", "Pending", IF(N5848&lt;=30, "Met", "Breached"))</f>
        <v/>
      </c>
      <c r="P5848" s="8" t="n"/>
      <c r="Q5848" s="8" t="n"/>
      <c r="R5848" s="8" t="n"/>
      <c r="S5848" s="8" t="n"/>
      <c r="T5848" s="8" t="n"/>
      <c r="U5848" s="8" t="n"/>
      <c r="V5848" s="8" t="n"/>
      <c r="W5848" s="8" t="n"/>
      <c r="X5848" s="8" t="n"/>
      <c r="Y5848" s="8" t="n"/>
    </row>
    <row r="5849">
      <c r="A5849" s="8" t="n"/>
      <c r="B5849" s="8" t="n"/>
      <c r="C5849" s="8" t="n"/>
      <c r="D5849" s="8" t="n"/>
      <c r="E5849" s="8" t="n"/>
      <c r="F5849" s="8" t="n"/>
      <c r="G5849" s="8" t="n"/>
      <c r="H5849" s="8" t="n"/>
      <c r="I5849" s="8" t="n"/>
      <c r="J5849" s="8" t="n"/>
      <c r="K5849" s="8" t="n"/>
      <c r="L5849" s="8" t="n"/>
      <c r="M5849" s="9">
        <f>B5849+30</f>
        <v/>
      </c>
      <c r="N5849">
        <f>IF(L5849="", "", L5849-B5849)</f>
        <v/>
      </c>
      <c r="O5849">
        <f>IF(L5849="", "Pending", IF(N5849&lt;=30, "Met", "Breached"))</f>
        <v/>
      </c>
      <c r="P5849" s="8" t="n"/>
      <c r="Q5849" s="8" t="n"/>
      <c r="R5849" s="8" t="n"/>
      <c r="S5849" s="8" t="n"/>
      <c r="T5849" s="8" t="n"/>
      <c r="U5849" s="8" t="n"/>
      <c r="V5849" s="8" t="n"/>
      <c r="W5849" s="8" t="n"/>
      <c r="X5849" s="8" t="n"/>
      <c r="Y5849" s="8" t="n"/>
    </row>
    <row r="5850">
      <c r="A5850" s="8" t="n"/>
      <c r="B5850" s="8" t="n"/>
      <c r="C5850" s="8" t="n"/>
      <c r="D5850" s="8" t="n"/>
      <c r="E5850" s="8" t="n"/>
      <c r="F5850" s="8" t="n"/>
      <c r="G5850" s="8" t="n"/>
      <c r="H5850" s="8" t="n"/>
      <c r="I5850" s="8" t="n"/>
      <c r="J5850" s="8" t="n"/>
      <c r="K5850" s="8" t="n"/>
      <c r="L5850" s="8" t="n"/>
      <c r="M5850" s="9">
        <f>B5850+30</f>
        <v/>
      </c>
      <c r="N5850">
        <f>IF(L5850="", "", L5850-B5850)</f>
        <v/>
      </c>
      <c r="O5850">
        <f>IF(L5850="", "Pending", IF(N5850&lt;=30, "Met", "Breached"))</f>
        <v/>
      </c>
      <c r="P5850" s="8" t="n"/>
      <c r="Q5850" s="8" t="n"/>
      <c r="R5850" s="8" t="n"/>
      <c r="S5850" s="8" t="n"/>
      <c r="T5850" s="8" t="n"/>
      <c r="U5850" s="8" t="n"/>
      <c r="V5850" s="8" t="n"/>
      <c r="W5850" s="8" t="n"/>
      <c r="X5850" s="8" t="n"/>
      <c r="Y5850" s="8" t="n"/>
    </row>
    <row r="5851">
      <c r="A5851" s="8" t="n"/>
      <c r="B5851" s="8" t="n"/>
      <c r="C5851" s="8" t="n"/>
      <c r="D5851" s="8" t="n"/>
      <c r="E5851" s="8" t="n"/>
      <c r="F5851" s="8" t="n"/>
      <c r="G5851" s="8" t="n"/>
      <c r="H5851" s="8" t="n"/>
      <c r="I5851" s="8" t="n"/>
      <c r="J5851" s="8" t="n"/>
      <c r="K5851" s="8" t="n"/>
      <c r="L5851" s="8" t="n"/>
      <c r="M5851" s="9">
        <f>B5851+30</f>
        <v/>
      </c>
      <c r="N5851">
        <f>IF(L5851="", "", L5851-B5851)</f>
        <v/>
      </c>
      <c r="O5851">
        <f>IF(L5851="", "Pending", IF(N5851&lt;=30, "Met", "Breached"))</f>
        <v/>
      </c>
      <c r="P5851" s="8" t="n"/>
      <c r="Q5851" s="8" t="n"/>
      <c r="R5851" s="8" t="n"/>
      <c r="S5851" s="8" t="n"/>
      <c r="T5851" s="8" t="n"/>
      <c r="U5851" s="8" t="n"/>
      <c r="V5851" s="8" t="n"/>
      <c r="W5851" s="8" t="n"/>
      <c r="X5851" s="8" t="n"/>
      <c r="Y5851" s="8" t="n"/>
    </row>
    <row r="5852">
      <c r="A5852" s="8" t="n"/>
      <c r="B5852" s="8" t="n"/>
      <c r="C5852" s="8" t="n"/>
      <c r="D5852" s="8" t="n"/>
      <c r="E5852" s="8" t="n"/>
      <c r="F5852" s="8" t="n"/>
      <c r="G5852" s="8" t="n"/>
      <c r="H5852" s="8" t="n"/>
      <c r="I5852" s="8" t="n"/>
      <c r="J5852" s="8" t="n"/>
      <c r="K5852" s="8" t="n"/>
      <c r="L5852" s="8" t="n"/>
      <c r="M5852" s="9">
        <f>B5852+30</f>
        <v/>
      </c>
      <c r="N5852">
        <f>IF(L5852="", "", L5852-B5852)</f>
        <v/>
      </c>
      <c r="O5852">
        <f>IF(L5852="", "Pending", IF(N5852&lt;=30, "Met", "Breached"))</f>
        <v/>
      </c>
      <c r="P5852" s="8" t="n"/>
      <c r="Q5852" s="8" t="n"/>
      <c r="R5852" s="8" t="n"/>
      <c r="S5852" s="8" t="n"/>
      <c r="T5852" s="8" t="n"/>
      <c r="U5852" s="8" t="n"/>
      <c r="V5852" s="8" t="n"/>
      <c r="W5852" s="8" t="n"/>
      <c r="X5852" s="8" t="n"/>
      <c r="Y5852" s="8" t="n"/>
    </row>
    <row r="5853">
      <c r="A5853" s="8" t="n"/>
      <c r="B5853" s="8" t="n"/>
      <c r="C5853" s="8" t="n"/>
      <c r="D5853" s="8" t="n"/>
      <c r="E5853" s="8" t="n"/>
      <c r="F5853" s="8" t="n"/>
      <c r="G5853" s="8" t="n"/>
      <c r="H5853" s="8" t="n"/>
      <c r="I5853" s="8" t="n"/>
      <c r="J5853" s="8" t="n"/>
      <c r="K5853" s="8" t="n"/>
      <c r="L5853" s="8" t="n"/>
      <c r="M5853" s="9">
        <f>B5853+30</f>
        <v/>
      </c>
      <c r="N5853">
        <f>IF(L5853="", "", L5853-B5853)</f>
        <v/>
      </c>
      <c r="O5853">
        <f>IF(L5853="", "Pending", IF(N5853&lt;=30, "Met", "Breached"))</f>
        <v/>
      </c>
      <c r="P5853" s="8" t="n"/>
      <c r="Q5853" s="8" t="n"/>
      <c r="R5853" s="8" t="n"/>
      <c r="S5853" s="8" t="n"/>
      <c r="T5853" s="8" t="n"/>
      <c r="U5853" s="8" t="n"/>
      <c r="V5853" s="8" t="n"/>
      <c r="W5853" s="8" t="n"/>
      <c r="X5853" s="8" t="n"/>
      <c r="Y5853" s="8" t="n"/>
    </row>
    <row r="5854">
      <c r="A5854" s="8" t="n"/>
      <c r="B5854" s="8" t="n"/>
      <c r="C5854" s="8" t="n"/>
      <c r="D5854" s="8" t="n"/>
      <c r="E5854" s="8" t="n"/>
      <c r="F5854" s="8" t="n"/>
      <c r="G5854" s="8" t="n"/>
      <c r="H5854" s="8" t="n"/>
      <c r="I5854" s="8" t="n"/>
      <c r="J5854" s="8" t="n"/>
      <c r="K5854" s="8" t="n"/>
      <c r="L5854" s="8" t="n"/>
      <c r="M5854" s="9">
        <f>B5854+30</f>
        <v/>
      </c>
      <c r="N5854">
        <f>IF(L5854="", "", L5854-B5854)</f>
        <v/>
      </c>
      <c r="O5854">
        <f>IF(L5854="", "Pending", IF(N5854&lt;=30, "Met", "Breached"))</f>
        <v/>
      </c>
      <c r="P5854" s="8" t="n"/>
      <c r="Q5854" s="8" t="n"/>
      <c r="R5854" s="8" t="n"/>
      <c r="S5854" s="8" t="n"/>
      <c r="T5854" s="8" t="n"/>
      <c r="U5854" s="8" t="n"/>
      <c r="V5854" s="8" t="n"/>
      <c r="W5854" s="8" t="n"/>
      <c r="X5854" s="8" t="n"/>
      <c r="Y5854" s="8" t="n"/>
    </row>
    <row r="5855">
      <c r="A5855" s="8" t="n"/>
      <c r="B5855" s="8" t="n"/>
      <c r="C5855" s="8" t="n"/>
      <c r="D5855" s="8" t="n"/>
      <c r="E5855" s="8" t="n"/>
      <c r="F5855" s="8" t="n"/>
      <c r="G5855" s="8" t="n"/>
      <c r="H5855" s="8" t="n"/>
      <c r="I5855" s="8" t="n"/>
      <c r="J5855" s="8" t="n"/>
      <c r="K5855" s="8" t="n"/>
      <c r="L5855" s="8" t="n"/>
      <c r="M5855" s="9">
        <f>B5855+30</f>
        <v/>
      </c>
      <c r="N5855">
        <f>IF(L5855="", "", L5855-B5855)</f>
        <v/>
      </c>
      <c r="O5855">
        <f>IF(L5855="", "Pending", IF(N5855&lt;=30, "Met", "Breached"))</f>
        <v/>
      </c>
      <c r="P5855" s="8" t="n"/>
      <c r="Q5855" s="8" t="n"/>
      <c r="R5855" s="8" t="n"/>
      <c r="S5855" s="8" t="n"/>
      <c r="T5855" s="8" t="n"/>
      <c r="U5855" s="8" t="n"/>
      <c r="V5855" s="8" t="n"/>
      <c r="W5855" s="8" t="n"/>
      <c r="X5855" s="8" t="n"/>
      <c r="Y5855" s="8" t="n"/>
    </row>
    <row r="5856">
      <c r="A5856" s="8" t="n"/>
      <c r="B5856" s="8" t="n"/>
      <c r="C5856" s="8" t="n"/>
      <c r="D5856" s="8" t="n"/>
      <c r="E5856" s="8" t="n"/>
      <c r="F5856" s="8" t="n"/>
      <c r="G5856" s="8" t="n"/>
      <c r="H5856" s="8" t="n"/>
      <c r="I5856" s="8" t="n"/>
      <c r="J5856" s="8" t="n"/>
      <c r="K5856" s="8" t="n"/>
      <c r="L5856" s="8" t="n"/>
      <c r="M5856" s="9">
        <f>B5856+30</f>
        <v/>
      </c>
      <c r="N5856">
        <f>IF(L5856="", "", L5856-B5856)</f>
        <v/>
      </c>
      <c r="O5856">
        <f>IF(L5856="", "Pending", IF(N5856&lt;=30, "Met", "Breached"))</f>
        <v/>
      </c>
      <c r="P5856" s="8" t="n"/>
      <c r="Q5856" s="8" t="n"/>
      <c r="R5856" s="8" t="n"/>
      <c r="S5856" s="8" t="n"/>
      <c r="T5856" s="8" t="n"/>
      <c r="U5856" s="8" t="n"/>
      <c r="V5856" s="8" t="n"/>
      <c r="W5856" s="8" t="n"/>
      <c r="X5856" s="8" t="n"/>
      <c r="Y5856" s="8" t="n"/>
    </row>
    <row r="5857">
      <c r="A5857" s="8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8" t="n"/>
      <c r="K5857" s="8" t="n"/>
      <c r="L5857" s="8" t="n"/>
      <c r="M5857" s="9">
        <f>B5857+30</f>
        <v/>
      </c>
      <c r="N5857">
        <f>IF(L5857="", "", L5857-B5857)</f>
        <v/>
      </c>
      <c r="O5857">
        <f>IF(L5857="", "Pending", IF(N5857&lt;=30, "Met", "Breached"))</f>
        <v/>
      </c>
      <c r="P5857" s="8" t="n"/>
      <c r="Q5857" s="8" t="n"/>
      <c r="R5857" s="8" t="n"/>
      <c r="S5857" s="8" t="n"/>
      <c r="T5857" s="8" t="n"/>
      <c r="U5857" s="8" t="n"/>
      <c r="V5857" s="8" t="n"/>
      <c r="W5857" s="8" t="n"/>
      <c r="X5857" s="8" t="n"/>
      <c r="Y5857" s="8" t="n"/>
    </row>
    <row r="5858">
      <c r="A5858" s="8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8" t="n"/>
      <c r="K5858" s="8" t="n"/>
      <c r="L5858" s="8" t="n"/>
      <c r="M5858" s="9">
        <f>B5858+30</f>
        <v/>
      </c>
      <c r="N5858">
        <f>IF(L5858="", "", L5858-B5858)</f>
        <v/>
      </c>
      <c r="O5858">
        <f>IF(L5858="", "Pending", IF(N5858&lt;=30, "Met", "Breached"))</f>
        <v/>
      </c>
      <c r="P5858" s="8" t="n"/>
      <c r="Q5858" s="8" t="n"/>
      <c r="R5858" s="8" t="n"/>
      <c r="S5858" s="8" t="n"/>
      <c r="T5858" s="8" t="n"/>
      <c r="U5858" s="8" t="n"/>
      <c r="V5858" s="8" t="n"/>
      <c r="W5858" s="8" t="n"/>
      <c r="X5858" s="8" t="n"/>
      <c r="Y5858" s="8" t="n"/>
    </row>
    <row r="5859">
      <c r="A5859" s="8" t="n"/>
      <c r="B5859" s="8" t="n"/>
      <c r="C5859" s="8" t="n"/>
      <c r="D5859" s="8" t="n"/>
      <c r="E5859" s="8" t="n"/>
      <c r="F5859" s="8" t="n"/>
      <c r="G5859" s="8" t="n"/>
      <c r="H5859" s="8" t="n"/>
      <c r="I5859" s="8" t="n"/>
      <c r="J5859" s="8" t="n"/>
      <c r="K5859" s="8" t="n"/>
      <c r="L5859" s="8" t="n"/>
      <c r="M5859" s="9">
        <f>B5859+30</f>
        <v/>
      </c>
      <c r="N5859">
        <f>IF(L5859="", "", L5859-B5859)</f>
        <v/>
      </c>
      <c r="O5859">
        <f>IF(L5859="", "Pending", IF(N5859&lt;=30, "Met", "Breached"))</f>
        <v/>
      </c>
      <c r="P5859" s="8" t="n"/>
      <c r="Q5859" s="8" t="n"/>
      <c r="R5859" s="8" t="n"/>
      <c r="S5859" s="8" t="n"/>
      <c r="T5859" s="8" t="n"/>
      <c r="U5859" s="8" t="n"/>
      <c r="V5859" s="8" t="n"/>
      <c r="W5859" s="8" t="n"/>
      <c r="X5859" s="8" t="n"/>
      <c r="Y5859" s="8" t="n"/>
    </row>
    <row r="5860">
      <c r="A5860" s="8" t="n"/>
      <c r="B5860" s="8" t="n"/>
      <c r="C5860" s="8" t="n"/>
      <c r="D5860" s="8" t="n"/>
      <c r="E5860" s="8" t="n"/>
      <c r="F5860" s="8" t="n"/>
      <c r="G5860" s="8" t="n"/>
      <c r="H5860" s="8" t="n"/>
      <c r="I5860" s="8" t="n"/>
      <c r="J5860" s="8" t="n"/>
      <c r="K5860" s="8" t="n"/>
      <c r="L5860" s="8" t="n"/>
      <c r="M5860" s="9">
        <f>B5860+30</f>
        <v/>
      </c>
      <c r="N5860">
        <f>IF(L5860="", "", L5860-B5860)</f>
        <v/>
      </c>
      <c r="O5860">
        <f>IF(L5860="", "Pending", IF(N5860&lt;=30, "Met", "Breached"))</f>
        <v/>
      </c>
      <c r="P5860" s="8" t="n"/>
      <c r="Q5860" s="8" t="n"/>
      <c r="R5860" s="8" t="n"/>
      <c r="S5860" s="8" t="n"/>
      <c r="T5860" s="8" t="n"/>
      <c r="U5860" s="8" t="n"/>
      <c r="V5860" s="8" t="n"/>
      <c r="W5860" s="8" t="n"/>
      <c r="X5860" s="8" t="n"/>
      <c r="Y5860" s="8" t="n"/>
    </row>
    <row r="5861">
      <c r="A5861" s="8" t="n"/>
      <c r="B5861" s="8" t="n"/>
      <c r="C5861" s="8" t="n"/>
      <c r="D5861" s="8" t="n"/>
      <c r="E5861" s="8" t="n"/>
      <c r="F5861" s="8" t="n"/>
      <c r="G5861" s="8" t="n"/>
      <c r="H5861" s="8" t="n"/>
      <c r="I5861" s="8" t="n"/>
      <c r="J5861" s="8" t="n"/>
      <c r="K5861" s="8" t="n"/>
      <c r="L5861" s="8" t="n"/>
      <c r="M5861" s="9">
        <f>B5861+30</f>
        <v/>
      </c>
      <c r="N5861">
        <f>IF(L5861="", "", L5861-B5861)</f>
        <v/>
      </c>
      <c r="O5861">
        <f>IF(L5861="", "Pending", IF(N5861&lt;=30, "Met", "Breached"))</f>
        <v/>
      </c>
      <c r="P5861" s="8" t="n"/>
      <c r="Q5861" s="8" t="n"/>
      <c r="R5861" s="8" t="n"/>
      <c r="S5861" s="8" t="n"/>
      <c r="T5861" s="8" t="n"/>
      <c r="U5861" s="8" t="n"/>
      <c r="V5861" s="8" t="n"/>
      <c r="W5861" s="8" t="n"/>
      <c r="X5861" s="8" t="n"/>
      <c r="Y5861" s="8" t="n"/>
    </row>
    <row r="5862">
      <c r="A5862" s="8" t="n"/>
      <c r="B5862" s="8" t="n"/>
      <c r="C5862" s="8" t="n"/>
      <c r="D5862" s="8" t="n"/>
      <c r="E5862" s="8" t="n"/>
      <c r="F5862" s="8" t="n"/>
      <c r="G5862" s="8" t="n"/>
      <c r="H5862" s="8" t="n"/>
      <c r="I5862" s="8" t="n"/>
      <c r="J5862" s="8" t="n"/>
      <c r="K5862" s="8" t="n"/>
      <c r="L5862" s="8" t="n"/>
      <c r="M5862" s="9">
        <f>B5862+30</f>
        <v/>
      </c>
      <c r="N5862">
        <f>IF(L5862="", "", L5862-B5862)</f>
        <v/>
      </c>
      <c r="O5862">
        <f>IF(L5862="", "Pending", IF(N5862&lt;=30, "Met", "Breached"))</f>
        <v/>
      </c>
      <c r="P5862" s="8" t="n"/>
      <c r="Q5862" s="8" t="n"/>
      <c r="R5862" s="8" t="n"/>
      <c r="S5862" s="8" t="n"/>
      <c r="T5862" s="8" t="n"/>
      <c r="U5862" s="8" t="n"/>
      <c r="V5862" s="8" t="n"/>
      <c r="W5862" s="8" t="n"/>
      <c r="X5862" s="8" t="n"/>
      <c r="Y5862" s="8" t="n"/>
    </row>
    <row r="5863">
      <c r="A5863" s="8" t="n"/>
      <c r="B5863" s="8" t="n"/>
      <c r="C5863" s="8" t="n"/>
      <c r="D5863" s="8" t="n"/>
      <c r="E5863" s="8" t="n"/>
      <c r="F5863" s="8" t="n"/>
      <c r="G5863" s="8" t="n"/>
      <c r="H5863" s="8" t="n"/>
      <c r="I5863" s="8" t="n"/>
      <c r="J5863" s="8" t="n"/>
      <c r="K5863" s="8" t="n"/>
      <c r="L5863" s="8" t="n"/>
      <c r="M5863" s="9">
        <f>B5863+30</f>
        <v/>
      </c>
      <c r="N5863">
        <f>IF(L5863="", "", L5863-B5863)</f>
        <v/>
      </c>
      <c r="O5863">
        <f>IF(L5863="", "Pending", IF(N5863&lt;=30, "Met", "Breached"))</f>
        <v/>
      </c>
      <c r="P5863" s="8" t="n"/>
      <c r="Q5863" s="8" t="n"/>
      <c r="R5863" s="8" t="n"/>
      <c r="S5863" s="8" t="n"/>
      <c r="T5863" s="8" t="n"/>
      <c r="U5863" s="8" t="n"/>
      <c r="V5863" s="8" t="n"/>
      <c r="W5863" s="8" t="n"/>
      <c r="X5863" s="8" t="n"/>
      <c r="Y5863" s="8" t="n"/>
    </row>
    <row r="5864">
      <c r="A5864" s="8" t="n"/>
      <c r="B5864" s="8" t="n"/>
      <c r="C5864" s="8" t="n"/>
      <c r="D5864" s="8" t="n"/>
      <c r="E5864" s="8" t="n"/>
      <c r="F5864" s="8" t="n"/>
      <c r="G5864" s="8" t="n"/>
      <c r="H5864" s="8" t="n"/>
      <c r="I5864" s="8" t="n"/>
      <c r="J5864" s="8" t="n"/>
      <c r="K5864" s="8" t="n"/>
      <c r="L5864" s="8" t="n"/>
      <c r="M5864" s="9">
        <f>B5864+30</f>
        <v/>
      </c>
      <c r="N5864">
        <f>IF(L5864="", "", L5864-B5864)</f>
        <v/>
      </c>
      <c r="O5864">
        <f>IF(L5864="", "Pending", IF(N5864&lt;=30, "Met", "Breached"))</f>
        <v/>
      </c>
      <c r="P5864" s="8" t="n"/>
      <c r="Q5864" s="8" t="n"/>
      <c r="R5864" s="8" t="n"/>
      <c r="S5864" s="8" t="n"/>
      <c r="T5864" s="8" t="n"/>
      <c r="U5864" s="8" t="n"/>
      <c r="V5864" s="8" t="n"/>
      <c r="W5864" s="8" t="n"/>
      <c r="X5864" s="8" t="n"/>
      <c r="Y5864" s="8" t="n"/>
    </row>
    <row r="5865">
      <c r="A5865" s="8" t="n"/>
      <c r="B5865" s="8" t="n"/>
      <c r="C5865" s="8" t="n"/>
      <c r="D5865" s="8" t="n"/>
      <c r="E5865" s="8" t="n"/>
      <c r="F5865" s="8" t="n"/>
      <c r="G5865" s="8" t="n"/>
      <c r="H5865" s="8" t="n"/>
      <c r="I5865" s="8" t="n"/>
      <c r="J5865" s="8" t="n"/>
      <c r="K5865" s="8" t="n"/>
      <c r="L5865" s="8" t="n"/>
      <c r="M5865" s="9">
        <f>B5865+30</f>
        <v/>
      </c>
      <c r="N5865">
        <f>IF(L5865="", "", L5865-B5865)</f>
        <v/>
      </c>
      <c r="O5865">
        <f>IF(L5865="", "Pending", IF(N5865&lt;=30, "Met", "Breached"))</f>
        <v/>
      </c>
      <c r="P5865" s="8" t="n"/>
      <c r="Q5865" s="8" t="n"/>
      <c r="R5865" s="8" t="n"/>
      <c r="S5865" s="8" t="n"/>
      <c r="T5865" s="8" t="n"/>
      <c r="U5865" s="8" t="n"/>
      <c r="V5865" s="8" t="n"/>
      <c r="W5865" s="8" t="n"/>
      <c r="X5865" s="8" t="n"/>
      <c r="Y5865" s="8" t="n"/>
    </row>
    <row r="5866">
      <c r="A5866" s="8" t="n"/>
      <c r="B5866" s="8" t="n"/>
      <c r="C5866" s="8" t="n"/>
      <c r="D5866" s="8" t="n"/>
      <c r="E5866" s="8" t="n"/>
      <c r="F5866" s="8" t="n"/>
      <c r="G5866" s="8" t="n"/>
      <c r="H5866" s="8" t="n"/>
      <c r="I5866" s="8" t="n"/>
      <c r="J5866" s="8" t="n"/>
      <c r="K5866" s="8" t="n"/>
      <c r="L5866" s="8" t="n"/>
      <c r="M5866" s="9">
        <f>B5866+30</f>
        <v/>
      </c>
      <c r="N5866">
        <f>IF(L5866="", "", L5866-B5866)</f>
        <v/>
      </c>
      <c r="O5866">
        <f>IF(L5866="", "Pending", IF(N5866&lt;=30, "Met", "Breached"))</f>
        <v/>
      </c>
      <c r="P5866" s="8" t="n"/>
      <c r="Q5866" s="8" t="n"/>
      <c r="R5866" s="8" t="n"/>
      <c r="S5866" s="8" t="n"/>
      <c r="T5866" s="8" t="n"/>
      <c r="U5866" s="8" t="n"/>
      <c r="V5866" s="8" t="n"/>
      <c r="W5866" s="8" t="n"/>
      <c r="X5866" s="8" t="n"/>
      <c r="Y5866" s="8" t="n"/>
    </row>
    <row r="5867">
      <c r="A5867" s="8" t="n"/>
      <c r="B5867" s="8" t="n"/>
      <c r="C5867" s="8" t="n"/>
      <c r="D5867" s="8" t="n"/>
      <c r="E5867" s="8" t="n"/>
      <c r="F5867" s="8" t="n"/>
      <c r="G5867" s="8" t="n"/>
      <c r="H5867" s="8" t="n"/>
      <c r="I5867" s="8" t="n"/>
      <c r="J5867" s="8" t="n"/>
      <c r="K5867" s="8" t="n"/>
      <c r="L5867" s="8" t="n"/>
      <c r="M5867" s="9">
        <f>B5867+30</f>
        <v/>
      </c>
      <c r="N5867">
        <f>IF(L5867="", "", L5867-B5867)</f>
        <v/>
      </c>
      <c r="O5867">
        <f>IF(L5867="", "Pending", IF(N5867&lt;=30, "Met", "Breached"))</f>
        <v/>
      </c>
      <c r="P5867" s="8" t="n"/>
      <c r="Q5867" s="8" t="n"/>
      <c r="R5867" s="8" t="n"/>
      <c r="S5867" s="8" t="n"/>
      <c r="T5867" s="8" t="n"/>
      <c r="U5867" s="8" t="n"/>
      <c r="V5867" s="8" t="n"/>
      <c r="W5867" s="8" t="n"/>
      <c r="X5867" s="8" t="n"/>
      <c r="Y5867" s="8" t="n"/>
    </row>
    <row r="5868">
      <c r="A5868" s="8" t="n"/>
      <c r="B5868" s="8" t="n"/>
      <c r="C5868" s="8" t="n"/>
      <c r="D5868" s="8" t="n"/>
      <c r="E5868" s="8" t="n"/>
      <c r="F5868" s="8" t="n"/>
      <c r="G5868" s="8" t="n"/>
      <c r="H5868" s="8" t="n"/>
      <c r="I5868" s="8" t="n"/>
      <c r="J5868" s="8" t="n"/>
      <c r="K5868" s="8" t="n"/>
      <c r="L5868" s="8" t="n"/>
      <c r="M5868" s="9">
        <f>B5868+30</f>
        <v/>
      </c>
      <c r="N5868">
        <f>IF(L5868="", "", L5868-B5868)</f>
        <v/>
      </c>
      <c r="O5868">
        <f>IF(L5868="", "Pending", IF(N5868&lt;=30, "Met", "Breached"))</f>
        <v/>
      </c>
      <c r="P5868" s="8" t="n"/>
      <c r="Q5868" s="8" t="n"/>
      <c r="R5868" s="8" t="n"/>
      <c r="S5868" s="8" t="n"/>
      <c r="T5868" s="8" t="n"/>
      <c r="U5868" s="8" t="n"/>
      <c r="V5868" s="8" t="n"/>
      <c r="W5868" s="8" t="n"/>
      <c r="X5868" s="8" t="n"/>
      <c r="Y5868" s="8" t="n"/>
    </row>
    <row r="5869">
      <c r="A5869" s="8" t="n"/>
      <c r="B5869" s="8" t="n"/>
      <c r="C5869" s="8" t="n"/>
      <c r="D5869" s="8" t="n"/>
      <c r="E5869" s="8" t="n"/>
      <c r="F5869" s="8" t="n"/>
      <c r="G5869" s="8" t="n"/>
      <c r="H5869" s="8" t="n"/>
      <c r="I5869" s="8" t="n"/>
      <c r="J5869" s="8" t="n"/>
      <c r="K5869" s="8" t="n"/>
      <c r="L5869" s="8" t="n"/>
      <c r="M5869" s="9">
        <f>B5869+30</f>
        <v/>
      </c>
      <c r="N5869">
        <f>IF(L5869="", "", L5869-B5869)</f>
        <v/>
      </c>
      <c r="O5869">
        <f>IF(L5869="", "Pending", IF(N5869&lt;=30, "Met", "Breached"))</f>
        <v/>
      </c>
      <c r="P5869" s="8" t="n"/>
      <c r="Q5869" s="8" t="n"/>
      <c r="R5869" s="8" t="n"/>
      <c r="S5869" s="8" t="n"/>
      <c r="T5869" s="8" t="n"/>
      <c r="U5869" s="8" t="n"/>
      <c r="V5869" s="8" t="n"/>
      <c r="W5869" s="8" t="n"/>
      <c r="X5869" s="8" t="n"/>
      <c r="Y5869" s="8" t="n"/>
    </row>
    <row r="5870">
      <c r="A5870" s="8" t="n"/>
      <c r="B5870" s="8" t="n"/>
      <c r="C5870" s="8" t="n"/>
      <c r="D5870" s="8" t="n"/>
      <c r="E5870" s="8" t="n"/>
      <c r="F5870" s="8" t="n"/>
      <c r="G5870" s="8" t="n"/>
      <c r="H5870" s="8" t="n"/>
      <c r="I5870" s="8" t="n"/>
      <c r="J5870" s="8" t="n"/>
      <c r="K5870" s="8" t="n"/>
      <c r="L5870" s="8" t="n"/>
      <c r="M5870" s="9">
        <f>B5870+30</f>
        <v/>
      </c>
      <c r="N5870">
        <f>IF(L5870="", "", L5870-B5870)</f>
        <v/>
      </c>
      <c r="O5870">
        <f>IF(L5870="", "Pending", IF(N5870&lt;=30, "Met", "Breached"))</f>
        <v/>
      </c>
      <c r="P5870" s="8" t="n"/>
      <c r="Q5870" s="8" t="n"/>
      <c r="R5870" s="8" t="n"/>
      <c r="S5870" s="8" t="n"/>
      <c r="T5870" s="8" t="n"/>
      <c r="U5870" s="8" t="n"/>
      <c r="V5870" s="8" t="n"/>
      <c r="W5870" s="8" t="n"/>
      <c r="X5870" s="8" t="n"/>
      <c r="Y5870" s="8" t="n"/>
    </row>
    <row r="5871">
      <c r="A5871" s="8" t="n"/>
      <c r="B5871" s="8" t="n"/>
      <c r="C5871" s="8" t="n"/>
      <c r="D5871" s="8" t="n"/>
      <c r="E5871" s="8" t="n"/>
      <c r="F5871" s="8" t="n"/>
      <c r="G5871" s="8" t="n"/>
      <c r="H5871" s="8" t="n"/>
      <c r="I5871" s="8" t="n"/>
      <c r="J5871" s="8" t="n"/>
      <c r="K5871" s="8" t="n"/>
      <c r="L5871" s="8" t="n"/>
      <c r="M5871" s="9">
        <f>B5871+30</f>
        <v/>
      </c>
      <c r="N5871">
        <f>IF(L5871="", "", L5871-B5871)</f>
        <v/>
      </c>
      <c r="O5871">
        <f>IF(L5871="", "Pending", IF(N5871&lt;=30, "Met", "Breached"))</f>
        <v/>
      </c>
      <c r="P5871" s="8" t="n"/>
      <c r="Q5871" s="8" t="n"/>
      <c r="R5871" s="8" t="n"/>
      <c r="S5871" s="8" t="n"/>
      <c r="T5871" s="8" t="n"/>
      <c r="U5871" s="8" t="n"/>
      <c r="V5871" s="8" t="n"/>
      <c r="W5871" s="8" t="n"/>
      <c r="X5871" s="8" t="n"/>
      <c r="Y5871" s="8" t="n"/>
    </row>
    <row r="5872">
      <c r="A5872" s="8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8" t="n"/>
      <c r="K5872" s="8" t="n"/>
      <c r="L5872" s="8" t="n"/>
      <c r="M5872" s="9">
        <f>B5872+30</f>
        <v/>
      </c>
      <c r="N5872">
        <f>IF(L5872="", "", L5872-B5872)</f>
        <v/>
      </c>
      <c r="O5872">
        <f>IF(L5872="", "Pending", IF(N5872&lt;=30, "Met", "Breached"))</f>
        <v/>
      </c>
      <c r="P5872" s="8" t="n"/>
      <c r="Q5872" s="8" t="n"/>
      <c r="R5872" s="8" t="n"/>
      <c r="S5872" s="8" t="n"/>
      <c r="T5872" s="8" t="n"/>
      <c r="U5872" s="8" t="n"/>
      <c r="V5872" s="8" t="n"/>
      <c r="W5872" s="8" t="n"/>
      <c r="X5872" s="8" t="n"/>
      <c r="Y5872" s="8" t="n"/>
    </row>
    <row r="5873">
      <c r="A5873" s="8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8" t="n"/>
      <c r="K5873" s="8" t="n"/>
      <c r="L5873" s="8" t="n"/>
      <c r="M5873" s="9">
        <f>B5873+30</f>
        <v/>
      </c>
      <c r="N5873">
        <f>IF(L5873="", "", L5873-B5873)</f>
        <v/>
      </c>
      <c r="O5873">
        <f>IF(L5873="", "Pending", IF(N5873&lt;=30, "Met", "Breached"))</f>
        <v/>
      </c>
      <c r="P5873" s="8" t="n"/>
      <c r="Q5873" s="8" t="n"/>
      <c r="R5873" s="8" t="n"/>
      <c r="S5873" s="8" t="n"/>
      <c r="T5873" s="8" t="n"/>
      <c r="U5873" s="8" t="n"/>
      <c r="V5873" s="8" t="n"/>
      <c r="W5873" s="8" t="n"/>
      <c r="X5873" s="8" t="n"/>
      <c r="Y5873" s="8" t="n"/>
    </row>
    <row r="5874">
      <c r="A5874" s="8" t="n"/>
      <c r="B5874" s="8" t="n"/>
      <c r="C5874" s="8" t="n"/>
      <c r="D5874" s="8" t="n"/>
      <c r="E5874" s="8" t="n"/>
      <c r="F5874" s="8" t="n"/>
      <c r="G5874" s="8" t="n"/>
      <c r="H5874" s="8" t="n"/>
      <c r="I5874" s="8" t="n"/>
      <c r="J5874" s="8" t="n"/>
      <c r="K5874" s="8" t="n"/>
      <c r="L5874" s="8" t="n"/>
      <c r="M5874" s="9">
        <f>B5874+30</f>
        <v/>
      </c>
      <c r="N5874">
        <f>IF(L5874="", "", L5874-B5874)</f>
        <v/>
      </c>
      <c r="O5874">
        <f>IF(L5874="", "Pending", IF(N5874&lt;=30, "Met", "Breached"))</f>
        <v/>
      </c>
      <c r="P5874" s="8" t="n"/>
      <c r="Q5874" s="8" t="n"/>
      <c r="R5874" s="8" t="n"/>
      <c r="S5874" s="8" t="n"/>
      <c r="T5874" s="8" t="n"/>
      <c r="U5874" s="8" t="n"/>
      <c r="V5874" s="8" t="n"/>
      <c r="W5874" s="8" t="n"/>
      <c r="X5874" s="8" t="n"/>
      <c r="Y5874" s="8" t="n"/>
    </row>
    <row r="5875">
      <c r="A5875" s="8" t="n"/>
      <c r="B5875" s="8" t="n"/>
      <c r="C5875" s="8" t="n"/>
      <c r="D5875" s="8" t="n"/>
      <c r="E5875" s="8" t="n"/>
      <c r="F5875" s="8" t="n"/>
      <c r="G5875" s="8" t="n"/>
      <c r="H5875" s="8" t="n"/>
      <c r="I5875" s="8" t="n"/>
      <c r="J5875" s="8" t="n"/>
      <c r="K5875" s="8" t="n"/>
      <c r="L5875" s="8" t="n"/>
      <c r="M5875" s="9">
        <f>B5875+30</f>
        <v/>
      </c>
      <c r="N5875">
        <f>IF(L5875="", "", L5875-B5875)</f>
        <v/>
      </c>
      <c r="O5875">
        <f>IF(L5875="", "Pending", IF(N5875&lt;=30, "Met", "Breached"))</f>
        <v/>
      </c>
      <c r="P5875" s="8" t="n"/>
      <c r="Q5875" s="8" t="n"/>
      <c r="R5875" s="8" t="n"/>
      <c r="S5875" s="8" t="n"/>
      <c r="T5875" s="8" t="n"/>
      <c r="U5875" s="8" t="n"/>
      <c r="V5875" s="8" t="n"/>
      <c r="W5875" s="8" t="n"/>
      <c r="X5875" s="8" t="n"/>
      <c r="Y5875" s="8" t="n"/>
    </row>
    <row r="5876">
      <c r="A5876" s="8" t="n"/>
      <c r="B5876" s="8" t="n"/>
      <c r="C5876" s="8" t="n"/>
      <c r="D5876" s="8" t="n"/>
      <c r="E5876" s="8" t="n"/>
      <c r="F5876" s="8" t="n"/>
      <c r="G5876" s="8" t="n"/>
      <c r="H5876" s="8" t="n"/>
      <c r="I5876" s="8" t="n"/>
      <c r="J5876" s="8" t="n"/>
      <c r="K5876" s="8" t="n"/>
      <c r="L5876" s="8" t="n"/>
      <c r="M5876" s="9">
        <f>B5876+30</f>
        <v/>
      </c>
      <c r="N5876">
        <f>IF(L5876="", "", L5876-B5876)</f>
        <v/>
      </c>
      <c r="O5876">
        <f>IF(L5876="", "Pending", IF(N5876&lt;=30, "Met", "Breached"))</f>
        <v/>
      </c>
      <c r="P5876" s="8" t="n"/>
      <c r="Q5876" s="8" t="n"/>
      <c r="R5876" s="8" t="n"/>
      <c r="S5876" s="8" t="n"/>
      <c r="T5876" s="8" t="n"/>
      <c r="U5876" s="8" t="n"/>
      <c r="V5876" s="8" t="n"/>
      <c r="W5876" s="8" t="n"/>
      <c r="X5876" s="8" t="n"/>
      <c r="Y5876" s="8" t="n"/>
    </row>
    <row r="5877">
      <c r="A5877" s="8" t="n"/>
      <c r="B5877" s="8" t="n"/>
      <c r="C5877" s="8" t="n"/>
      <c r="D5877" s="8" t="n"/>
      <c r="E5877" s="8" t="n"/>
      <c r="F5877" s="8" t="n"/>
      <c r="G5877" s="8" t="n"/>
      <c r="H5877" s="8" t="n"/>
      <c r="I5877" s="8" t="n"/>
      <c r="J5877" s="8" t="n"/>
      <c r="K5877" s="8" t="n"/>
      <c r="L5877" s="8" t="n"/>
      <c r="M5877" s="9">
        <f>B5877+30</f>
        <v/>
      </c>
      <c r="N5877">
        <f>IF(L5877="", "", L5877-B5877)</f>
        <v/>
      </c>
      <c r="O5877">
        <f>IF(L5877="", "Pending", IF(N5877&lt;=30, "Met", "Breached"))</f>
        <v/>
      </c>
      <c r="P5877" s="8" t="n"/>
      <c r="Q5877" s="8" t="n"/>
      <c r="R5877" s="8" t="n"/>
      <c r="S5877" s="8" t="n"/>
      <c r="T5877" s="8" t="n"/>
      <c r="U5877" s="8" t="n"/>
      <c r="V5877" s="8" t="n"/>
      <c r="W5877" s="8" t="n"/>
      <c r="X5877" s="8" t="n"/>
      <c r="Y5877" s="8" t="n"/>
    </row>
    <row r="5878">
      <c r="A5878" s="8" t="n"/>
      <c r="B5878" s="8" t="n"/>
      <c r="C5878" s="8" t="n"/>
      <c r="D5878" s="8" t="n"/>
      <c r="E5878" s="8" t="n"/>
      <c r="F5878" s="8" t="n"/>
      <c r="G5878" s="8" t="n"/>
      <c r="H5878" s="8" t="n"/>
      <c r="I5878" s="8" t="n"/>
      <c r="J5878" s="8" t="n"/>
      <c r="K5878" s="8" t="n"/>
      <c r="L5878" s="8" t="n"/>
      <c r="M5878" s="9">
        <f>B5878+30</f>
        <v/>
      </c>
      <c r="N5878">
        <f>IF(L5878="", "", L5878-B5878)</f>
        <v/>
      </c>
      <c r="O5878">
        <f>IF(L5878="", "Pending", IF(N5878&lt;=30, "Met", "Breached"))</f>
        <v/>
      </c>
      <c r="P5878" s="8" t="n"/>
      <c r="Q5878" s="8" t="n"/>
      <c r="R5878" s="8" t="n"/>
      <c r="S5878" s="8" t="n"/>
      <c r="T5878" s="8" t="n"/>
      <c r="U5878" s="8" t="n"/>
      <c r="V5878" s="8" t="n"/>
      <c r="W5878" s="8" t="n"/>
      <c r="X5878" s="8" t="n"/>
      <c r="Y5878" s="8" t="n"/>
    </row>
    <row r="5879">
      <c r="A5879" s="8" t="n"/>
      <c r="B5879" s="8" t="n"/>
      <c r="C5879" s="8" t="n"/>
      <c r="D5879" s="8" t="n"/>
      <c r="E5879" s="8" t="n"/>
      <c r="F5879" s="8" t="n"/>
      <c r="G5879" s="8" t="n"/>
      <c r="H5879" s="8" t="n"/>
      <c r="I5879" s="8" t="n"/>
      <c r="J5879" s="8" t="n"/>
      <c r="K5879" s="8" t="n"/>
      <c r="L5879" s="8" t="n"/>
      <c r="M5879" s="9">
        <f>B5879+30</f>
        <v/>
      </c>
      <c r="N5879">
        <f>IF(L5879="", "", L5879-B5879)</f>
        <v/>
      </c>
      <c r="O5879">
        <f>IF(L5879="", "Pending", IF(N5879&lt;=30, "Met", "Breached"))</f>
        <v/>
      </c>
      <c r="P5879" s="8" t="n"/>
      <c r="Q5879" s="8" t="n"/>
      <c r="R5879" s="8" t="n"/>
      <c r="S5879" s="8" t="n"/>
      <c r="T5879" s="8" t="n"/>
      <c r="U5879" s="8" t="n"/>
      <c r="V5879" s="8" t="n"/>
      <c r="W5879" s="8" t="n"/>
      <c r="X5879" s="8" t="n"/>
      <c r="Y5879" s="8" t="n"/>
    </row>
    <row r="5880">
      <c r="A5880" s="8" t="n"/>
      <c r="B5880" s="8" t="n"/>
      <c r="C5880" s="8" t="n"/>
      <c r="D5880" s="8" t="n"/>
      <c r="E5880" s="8" t="n"/>
      <c r="F5880" s="8" t="n"/>
      <c r="G5880" s="8" t="n"/>
      <c r="H5880" s="8" t="n"/>
      <c r="I5880" s="8" t="n"/>
      <c r="J5880" s="8" t="n"/>
      <c r="K5880" s="8" t="n"/>
      <c r="L5880" s="8" t="n"/>
      <c r="M5880" s="9">
        <f>B5880+30</f>
        <v/>
      </c>
      <c r="N5880">
        <f>IF(L5880="", "", L5880-B5880)</f>
        <v/>
      </c>
      <c r="O5880">
        <f>IF(L5880="", "Pending", IF(N5880&lt;=30, "Met", "Breached"))</f>
        <v/>
      </c>
      <c r="P5880" s="8" t="n"/>
      <c r="Q5880" s="8" t="n"/>
      <c r="R5880" s="8" t="n"/>
      <c r="S5880" s="8" t="n"/>
      <c r="T5880" s="8" t="n"/>
      <c r="U5880" s="8" t="n"/>
      <c r="V5880" s="8" t="n"/>
      <c r="W5880" s="8" t="n"/>
      <c r="X5880" s="8" t="n"/>
      <c r="Y5880" s="8" t="n"/>
    </row>
    <row r="5881">
      <c r="A5881" s="8" t="n"/>
      <c r="B5881" s="8" t="n"/>
      <c r="C5881" s="8" t="n"/>
      <c r="D5881" s="8" t="n"/>
      <c r="E5881" s="8" t="n"/>
      <c r="F5881" s="8" t="n"/>
      <c r="G5881" s="8" t="n"/>
      <c r="H5881" s="8" t="n"/>
      <c r="I5881" s="8" t="n"/>
      <c r="J5881" s="8" t="n"/>
      <c r="K5881" s="8" t="n"/>
      <c r="L5881" s="8" t="n"/>
      <c r="M5881" s="9">
        <f>B5881+30</f>
        <v/>
      </c>
      <c r="N5881">
        <f>IF(L5881="", "", L5881-B5881)</f>
        <v/>
      </c>
      <c r="O5881">
        <f>IF(L5881="", "Pending", IF(N5881&lt;=30, "Met", "Breached"))</f>
        <v/>
      </c>
      <c r="P5881" s="8" t="n"/>
      <c r="Q5881" s="8" t="n"/>
      <c r="R5881" s="8" t="n"/>
      <c r="S5881" s="8" t="n"/>
      <c r="T5881" s="8" t="n"/>
      <c r="U5881" s="8" t="n"/>
      <c r="V5881" s="8" t="n"/>
      <c r="W5881" s="8" t="n"/>
      <c r="X5881" s="8" t="n"/>
      <c r="Y5881" s="8" t="n"/>
    </row>
    <row r="5882">
      <c r="A5882" s="8" t="n"/>
      <c r="B5882" s="8" t="n"/>
      <c r="C5882" s="8" t="n"/>
      <c r="D5882" s="8" t="n"/>
      <c r="E5882" s="8" t="n"/>
      <c r="F5882" s="8" t="n"/>
      <c r="G5882" s="8" t="n"/>
      <c r="H5882" s="8" t="n"/>
      <c r="I5882" s="8" t="n"/>
      <c r="J5882" s="8" t="n"/>
      <c r="K5882" s="8" t="n"/>
      <c r="L5882" s="8" t="n"/>
      <c r="M5882" s="9">
        <f>B5882+30</f>
        <v/>
      </c>
      <c r="N5882">
        <f>IF(L5882="", "", L5882-B5882)</f>
        <v/>
      </c>
      <c r="O5882">
        <f>IF(L5882="", "Pending", IF(N5882&lt;=30, "Met", "Breached"))</f>
        <v/>
      </c>
      <c r="P5882" s="8" t="n"/>
      <c r="Q5882" s="8" t="n"/>
      <c r="R5882" s="8" t="n"/>
      <c r="S5882" s="8" t="n"/>
      <c r="T5882" s="8" t="n"/>
      <c r="U5882" s="8" t="n"/>
      <c r="V5882" s="8" t="n"/>
      <c r="W5882" s="8" t="n"/>
      <c r="X5882" s="8" t="n"/>
      <c r="Y5882" s="8" t="n"/>
    </row>
    <row r="5883">
      <c r="A5883" s="8" t="n"/>
      <c r="B5883" s="8" t="n"/>
      <c r="C5883" s="8" t="n"/>
      <c r="D5883" s="8" t="n"/>
      <c r="E5883" s="8" t="n"/>
      <c r="F5883" s="8" t="n"/>
      <c r="G5883" s="8" t="n"/>
      <c r="H5883" s="8" t="n"/>
      <c r="I5883" s="8" t="n"/>
      <c r="J5883" s="8" t="n"/>
      <c r="K5883" s="8" t="n"/>
      <c r="L5883" s="8" t="n"/>
      <c r="M5883" s="9">
        <f>B5883+30</f>
        <v/>
      </c>
      <c r="N5883">
        <f>IF(L5883="", "", L5883-B5883)</f>
        <v/>
      </c>
      <c r="O5883">
        <f>IF(L5883="", "Pending", IF(N5883&lt;=30, "Met", "Breached"))</f>
        <v/>
      </c>
      <c r="P5883" s="8" t="n"/>
      <c r="Q5883" s="8" t="n"/>
      <c r="R5883" s="8" t="n"/>
      <c r="S5883" s="8" t="n"/>
      <c r="T5883" s="8" t="n"/>
      <c r="U5883" s="8" t="n"/>
      <c r="V5883" s="8" t="n"/>
      <c r="W5883" s="8" t="n"/>
      <c r="X5883" s="8" t="n"/>
      <c r="Y5883" s="8" t="n"/>
    </row>
    <row r="5884">
      <c r="A5884" s="8" t="n"/>
      <c r="B5884" s="8" t="n"/>
      <c r="C5884" s="8" t="n"/>
      <c r="D5884" s="8" t="n"/>
      <c r="E5884" s="8" t="n"/>
      <c r="F5884" s="8" t="n"/>
      <c r="G5884" s="8" t="n"/>
      <c r="H5884" s="8" t="n"/>
      <c r="I5884" s="8" t="n"/>
      <c r="J5884" s="8" t="n"/>
      <c r="K5884" s="8" t="n"/>
      <c r="L5884" s="8" t="n"/>
      <c r="M5884" s="9">
        <f>B5884+30</f>
        <v/>
      </c>
      <c r="N5884">
        <f>IF(L5884="", "", L5884-B5884)</f>
        <v/>
      </c>
      <c r="O5884">
        <f>IF(L5884="", "Pending", IF(N5884&lt;=30, "Met", "Breached"))</f>
        <v/>
      </c>
      <c r="P5884" s="8" t="n"/>
      <c r="Q5884" s="8" t="n"/>
      <c r="R5884" s="8" t="n"/>
      <c r="S5884" s="8" t="n"/>
      <c r="T5884" s="8" t="n"/>
      <c r="U5884" s="8" t="n"/>
      <c r="V5884" s="8" t="n"/>
      <c r="W5884" s="8" t="n"/>
      <c r="X5884" s="8" t="n"/>
      <c r="Y5884" s="8" t="n"/>
    </row>
    <row r="5885">
      <c r="A5885" s="8" t="n"/>
      <c r="B5885" s="8" t="n"/>
      <c r="C5885" s="8" t="n"/>
      <c r="D5885" s="8" t="n"/>
      <c r="E5885" s="8" t="n"/>
      <c r="F5885" s="8" t="n"/>
      <c r="G5885" s="8" t="n"/>
      <c r="H5885" s="8" t="n"/>
      <c r="I5885" s="8" t="n"/>
      <c r="J5885" s="8" t="n"/>
      <c r="K5885" s="8" t="n"/>
      <c r="L5885" s="8" t="n"/>
      <c r="M5885" s="9">
        <f>B5885+30</f>
        <v/>
      </c>
      <c r="N5885">
        <f>IF(L5885="", "", L5885-B5885)</f>
        <v/>
      </c>
      <c r="O5885">
        <f>IF(L5885="", "Pending", IF(N5885&lt;=30, "Met", "Breached"))</f>
        <v/>
      </c>
      <c r="P5885" s="8" t="n"/>
      <c r="Q5885" s="8" t="n"/>
      <c r="R5885" s="8" t="n"/>
      <c r="S5885" s="8" t="n"/>
      <c r="T5885" s="8" t="n"/>
      <c r="U5885" s="8" t="n"/>
      <c r="V5885" s="8" t="n"/>
      <c r="W5885" s="8" t="n"/>
      <c r="X5885" s="8" t="n"/>
      <c r="Y5885" s="8" t="n"/>
    </row>
    <row r="5886">
      <c r="A5886" s="8" t="n"/>
      <c r="B5886" s="8" t="n"/>
      <c r="C5886" s="8" t="n"/>
      <c r="D5886" s="8" t="n"/>
      <c r="E5886" s="8" t="n"/>
      <c r="F5886" s="8" t="n"/>
      <c r="G5886" s="8" t="n"/>
      <c r="H5886" s="8" t="n"/>
      <c r="I5886" s="8" t="n"/>
      <c r="J5886" s="8" t="n"/>
      <c r="K5886" s="8" t="n"/>
      <c r="L5886" s="8" t="n"/>
      <c r="M5886" s="9">
        <f>B5886+30</f>
        <v/>
      </c>
      <c r="N5886">
        <f>IF(L5886="", "", L5886-B5886)</f>
        <v/>
      </c>
      <c r="O5886">
        <f>IF(L5886="", "Pending", IF(N5886&lt;=30, "Met", "Breached"))</f>
        <v/>
      </c>
      <c r="P5886" s="8" t="n"/>
      <c r="Q5886" s="8" t="n"/>
      <c r="R5886" s="8" t="n"/>
      <c r="S5886" s="8" t="n"/>
      <c r="T5886" s="8" t="n"/>
      <c r="U5886" s="8" t="n"/>
      <c r="V5886" s="8" t="n"/>
      <c r="W5886" s="8" t="n"/>
      <c r="X5886" s="8" t="n"/>
      <c r="Y5886" s="8" t="n"/>
    </row>
    <row r="5887">
      <c r="A5887" s="8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8" t="n"/>
      <c r="K5887" s="8" t="n"/>
      <c r="L5887" s="8" t="n"/>
      <c r="M5887" s="9">
        <f>B5887+30</f>
        <v/>
      </c>
      <c r="N5887">
        <f>IF(L5887="", "", L5887-B5887)</f>
        <v/>
      </c>
      <c r="O5887">
        <f>IF(L5887="", "Pending", IF(N5887&lt;=30, "Met", "Breached"))</f>
        <v/>
      </c>
      <c r="P5887" s="8" t="n"/>
      <c r="Q5887" s="8" t="n"/>
      <c r="R5887" s="8" t="n"/>
      <c r="S5887" s="8" t="n"/>
      <c r="T5887" s="8" t="n"/>
      <c r="U5887" s="8" t="n"/>
      <c r="V5887" s="8" t="n"/>
      <c r="W5887" s="8" t="n"/>
      <c r="X5887" s="8" t="n"/>
      <c r="Y5887" s="8" t="n"/>
    </row>
    <row r="5888">
      <c r="A5888" s="8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8" t="n"/>
      <c r="K5888" s="8" t="n"/>
      <c r="L5888" s="8" t="n"/>
      <c r="M5888" s="9">
        <f>B5888+30</f>
        <v/>
      </c>
      <c r="N5888">
        <f>IF(L5888="", "", L5888-B5888)</f>
        <v/>
      </c>
      <c r="O5888">
        <f>IF(L5888="", "Pending", IF(N5888&lt;=30, "Met", "Breached"))</f>
        <v/>
      </c>
      <c r="P5888" s="8" t="n"/>
      <c r="Q5888" s="8" t="n"/>
      <c r="R5888" s="8" t="n"/>
      <c r="S5888" s="8" t="n"/>
      <c r="T5888" s="8" t="n"/>
      <c r="U5888" s="8" t="n"/>
      <c r="V5888" s="8" t="n"/>
      <c r="W5888" s="8" t="n"/>
      <c r="X5888" s="8" t="n"/>
      <c r="Y5888" s="8" t="n"/>
    </row>
    <row r="5889">
      <c r="A5889" s="8" t="n"/>
      <c r="B5889" s="8" t="n"/>
      <c r="C5889" s="8" t="n"/>
      <c r="D5889" s="8" t="n"/>
      <c r="E5889" s="8" t="n"/>
      <c r="F5889" s="8" t="n"/>
      <c r="G5889" s="8" t="n"/>
      <c r="H5889" s="8" t="n"/>
      <c r="I5889" s="8" t="n"/>
      <c r="J5889" s="8" t="n"/>
      <c r="K5889" s="8" t="n"/>
      <c r="L5889" s="8" t="n"/>
      <c r="M5889" s="9">
        <f>B5889+30</f>
        <v/>
      </c>
      <c r="N5889">
        <f>IF(L5889="", "", L5889-B5889)</f>
        <v/>
      </c>
      <c r="O5889">
        <f>IF(L5889="", "Pending", IF(N5889&lt;=30, "Met", "Breached"))</f>
        <v/>
      </c>
      <c r="P5889" s="8" t="n"/>
      <c r="Q5889" s="8" t="n"/>
      <c r="R5889" s="8" t="n"/>
      <c r="S5889" s="8" t="n"/>
      <c r="T5889" s="8" t="n"/>
      <c r="U5889" s="8" t="n"/>
      <c r="V5889" s="8" t="n"/>
      <c r="W5889" s="8" t="n"/>
      <c r="X5889" s="8" t="n"/>
      <c r="Y5889" s="8" t="n"/>
    </row>
    <row r="5890">
      <c r="A5890" s="8" t="n"/>
      <c r="B5890" s="8" t="n"/>
      <c r="C5890" s="8" t="n"/>
      <c r="D5890" s="8" t="n"/>
      <c r="E5890" s="8" t="n"/>
      <c r="F5890" s="8" t="n"/>
      <c r="G5890" s="8" t="n"/>
      <c r="H5890" s="8" t="n"/>
      <c r="I5890" s="8" t="n"/>
      <c r="J5890" s="8" t="n"/>
      <c r="K5890" s="8" t="n"/>
      <c r="L5890" s="8" t="n"/>
      <c r="M5890" s="9">
        <f>B5890+30</f>
        <v/>
      </c>
      <c r="N5890">
        <f>IF(L5890="", "", L5890-B5890)</f>
        <v/>
      </c>
      <c r="O5890">
        <f>IF(L5890="", "Pending", IF(N5890&lt;=30, "Met", "Breached"))</f>
        <v/>
      </c>
      <c r="P5890" s="8" t="n"/>
      <c r="Q5890" s="8" t="n"/>
      <c r="R5890" s="8" t="n"/>
      <c r="S5890" s="8" t="n"/>
      <c r="T5890" s="8" t="n"/>
      <c r="U5890" s="8" t="n"/>
      <c r="V5890" s="8" t="n"/>
      <c r="W5890" s="8" t="n"/>
      <c r="X5890" s="8" t="n"/>
      <c r="Y5890" s="8" t="n"/>
    </row>
    <row r="5891">
      <c r="A5891" s="8" t="n"/>
      <c r="B5891" s="8" t="n"/>
      <c r="C5891" s="8" t="n"/>
      <c r="D5891" s="8" t="n"/>
      <c r="E5891" s="8" t="n"/>
      <c r="F5891" s="8" t="n"/>
      <c r="G5891" s="8" t="n"/>
      <c r="H5891" s="8" t="n"/>
      <c r="I5891" s="8" t="n"/>
      <c r="J5891" s="8" t="n"/>
      <c r="K5891" s="8" t="n"/>
      <c r="L5891" s="8" t="n"/>
      <c r="M5891" s="9">
        <f>B5891+30</f>
        <v/>
      </c>
      <c r="N5891">
        <f>IF(L5891="", "", L5891-B5891)</f>
        <v/>
      </c>
      <c r="O5891">
        <f>IF(L5891="", "Pending", IF(N5891&lt;=30, "Met", "Breached"))</f>
        <v/>
      </c>
      <c r="P5891" s="8" t="n"/>
      <c r="Q5891" s="8" t="n"/>
      <c r="R5891" s="8" t="n"/>
      <c r="S5891" s="8" t="n"/>
      <c r="T5891" s="8" t="n"/>
      <c r="U5891" s="8" t="n"/>
      <c r="V5891" s="8" t="n"/>
      <c r="W5891" s="8" t="n"/>
      <c r="X5891" s="8" t="n"/>
      <c r="Y5891" s="8" t="n"/>
    </row>
    <row r="5892">
      <c r="A5892" s="8" t="n"/>
      <c r="B5892" s="8" t="n"/>
      <c r="C5892" s="8" t="n"/>
      <c r="D5892" s="8" t="n"/>
      <c r="E5892" s="8" t="n"/>
      <c r="F5892" s="8" t="n"/>
      <c r="G5892" s="8" t="n"/>
      <c r="H5892" s="8" t="n"/>
      <c r="I5892" s="8" t="n"/>
      <c r="J5892" s="8" t="n"/>
      <c r="K5892" s="8" t="n"/>
      <c r="L5892" s="8" t="n"/>
      <c r="M5892" s="9">
        <f>B5892+30</f>
        <v/>
      </c>
      <c r="N5892">
        <f>IF(L5892="", "", L5892-B5892)</f>
        <v/>
      </c>
      <c r="O5892">
        <f>IF(L5892="", "Pending", IF(N5892&lt;=30, "Met", "Breached"))</f>
        <v/>
      </c>
      <c r="P5892" s="8" t="n"/>
      <c r="Q5892" s="8" t="n"/>
      <c r="R5892" s="8" t="n"/>
      <c r="S5892" s="8" t="n"/>
      <c r="T5892" s="8" t="n"/>
      <c r="U5892" s="8" t="n"/>
      <c r="V5892" s="8" t="n"/>
      <c r="W5892" s="8" t="n"/>
      <c r="X5892" s="8" t="n"/>
      <c r="Y5892" s="8" t="n"/>
    </row>
    <row r="5893">
      <c r="A5893" s="8" t="n"/>
      <c r="B5893" s="8" t="n"/>
      <c r="C5893" s="8" t="n"/>
      <c r="D5893" s="8" t="n"/>
      <c r="E5893" s="8" t="n"/>
      <c r="F5893" s="8" t="n"/>
      <c r="G5893" s="8" t="n"/>
      <c r="H5893" s="8" t="n"/>
      <c r="I5893" s="8" t="n"/>
      <c r="J5893" s="8" t="n"/>
      <c r="K5893" s="8" t="n"/>
      <c r="L5893" s="8" t="n"/>
      <c r="M5893" s="9">
        <f>B5893+30</f>
        <v/>
      </c>
      <c r="N5893">
        <f>IF(L5893="", "", L5893-B5893)</f>
        <v/>
      </c>
      <c r="O5893">
        <f>IF(L5893="", "Pending", IF(N5893&lt;=30, "Met", "Breached"))</f>
        <v/>
      </c>
      <c r="P5893" s="8" t="n"/>
      <c r="Q5893" s="8" t="n"/>
      <c r="R5893" s="8" t="n"/>
      <c r="S5893" s="8" t="n"/>
      <c r="T5893" s="8" t="n"/>
      <c r="U5893" s="8" t="n"/>
      <c r="V5893" s="8" t="n"/>
      <c r="W5893" s="8" t="n"/>
      <c r="X5893" s="8" t="n"/>
      <c r="Y5893" s="8" t="n"/>
    </row>
    <row r="5894">
      <c r="A5894" s="8" t="n"/>
      <c r="B5894" s="8" t="n"/>
      <c r="C5894" s="8" t="n"/>
      <c r="D5894" s="8" t="n"/>
      <c r="E5894" s="8" t="n"/>
      <c r="F5894" s="8" t="n"/>
      <c r="G5894" s="8" t="n"/>
      <c r="H5894" s="8" t="n"/>
      <c r="I5894" s="8" t="n"/>
      <c r="J5894" s="8" t="n"/>
      <c r="K5894" s="8" t="n"/>
      <c r="L5894" s="8" t="n"/>
      <c r="M5894" s="9">
        <f>B5894+30</f>
        <v/>
      </c>
      <c r="N5894">
        <f>IF(L5894="", "", L5894-B5894)</f>
        <v/>
      </c>
      <c r="O5894">
        <f>IF(L5894="", "Pending", IF(N5894&lt;=30, "Met", "Breached"))</f>
        <v/>
      </c>
      <c r="P5894" s="8" t="n"/>
      <c r="Q5894" s="8" t="n"/>
      <c r="R5894" s="8" t="n"/>
      <c r="S5894" s="8" t="n"/>
      <c r="T5894" s="8" t="n"/>
      <c r="U5894" s="8" t="n"/>
      <c r="V5894" s="8" t="n"/>
      <c r="W5894" s="8" t="n"/>
      <c r="X5894" s="8" t="n"/>
      <c r="Y5894" s="8" t="n"/>
    </row>
    <row r="5895">
      <c r="A5895" s="8" t="n"/>
      <c r="B5895" s="8" t="n"/>
      <c r="C5895" s="8" t="n"/>
      <c r="D5895" s="8" t="n"/>
      <c r="E5895" s="8" t="n"/>
      <c r="F5895" s="8" t="n"/>
      <c r="G5895" s="8" t="n"/>
      <c r="H5895" s="8" t="n"/>
      <c r="I5895" s="8" t="n"/>
      <c r="J5895" s="8" t="n"/>
      <c r="K5895" s="8" t="n"/>
      <c r="L5895" s="8" t="n"/>
      <c r="M5895" s="9">
        <f>B5895+30</f>
        <v/>
      </c>
      <c r="N5895">
        <f>IF(L5895="", "", L5895-B5895)</f>
        <v/>
      </c>
      <c r="O5895">
        <f>IF(L5895="", "Pending", IF(N5895&lt;=30, "Met", "Breached"))</f>
        <v/>
      </c>
      <c r="P5895" s="8" t="n"/>
      <c r="Q5895" s="8" t="n"/>
      <c r="R5895" s="8" t="n"/>
      <c r="S5895" s="8" t="n"/>
      <c r="T5895" s="8" t="n"/>
      <c r="U5895" s="8" t="n"/>
      <c r="V5895" s="8" t="n"/>
      <c r="W5895" s="8" t="n"/>
      <c r="X5895" s="8" t="n"/>
      <c r="Y5895" s="8" t="n"/>
    </row>
    <row r="5896">
      <c r="A5896" s="8" t="n"/>
      <c r="B5896" s="8" t="n"/>
      <c r="C5896" s="8" t="n"/>
      <c r="D5896" s="8" t="n"/>
      <c r="E5896" s="8" t="n"/>
      <c r="F5896" s="8" t="n"/>
      <c r="G5896" s="8" t="n"/>
      <c r="H5896" s="8" t="n"/>
      <c r="I5896" s="8" t="n"/>
      <c r="J5896" s="8" t="n"/>
      <c r="K5896" s="8" t="n"/>
      <c r="L5896" s="8" t="n"/>
      <c r="M5896" s="9">
        <f>B5896+30</f>
        <v/>
      </c>
      <c r="N5896">
        <f>IF(L5896="", "", L5896-B5896)</f>
        <v/>
      </c>
      <c r="O5896">
        <f>IF(L5896="", "Pending", IF(N5896&lt;=30, "Met", "Breached"))</f>
        <v/>
      </c>
      <c r="P5896" s="8" t="n"/>
      <c r="Q5896" s="8" t="n"/>
      <c r="R5896" s="8" t="n"/>
      <c r="S5896" s="8" t="n"/>
      <c r="T5896" s="8" t="n"/>
      <c r="U5896" s="8" t="n"/>
      <c r="V5896" s="8" t="n"/>
      <c r="W5896" s="8" t="n"/>
      <c r="X5896" s="8" t="n"/>
      <c r="Y5896" s="8" t="n"/>
    </row>
    <row r="5897">
      <c r="A5897" s="8" t="n"/>
      <c r="B5897" s="8" t="n"/>
      <c r="C5897" s="8" t="n"/>
      <c r="D5897" s="8" t="n"/>
      <c r="E5897" s="8" t="n"/>
      <c r="F5897" s="8" t="n"/>
      <c r="G5897" s="8" t="n"/>
      <c r="H5897" s="8" t="n"/>
      <c r="I5897" s="8" t="n"/>
      <c r="J5897" s="8" t="n"/>
      <c r="K5897" s="8" t="n"/>
      <c r="L5897" s="8" t="n"/>
      <c r="M5897" s="9">
        <f>B5897+30</f>
        <v/>
      </c>
      <c r="N5897">
        <f>IF(L5897="", "", L5897-B5897)</f>
        <v/>
      </c>
      <c r="O5897">
        <f>IF(L5897="", "Pending", IF(N5897&lt;=30, "Met", "Breached"))</f>
        <v/>
      </c>
      <c r="P5897" s="8" t="n"/>
      <c r="Q5897" s="8" t="n"/>
      <c r="R5897" s="8" t="n"/>
      <c r="S5897" s="8" t="n"/>
      <c r="T5897" s="8" t="n"/>
      <c r="U5897" s="8" t="n"/>
      <c r="V5897" s="8" t="n"/>
      <c r="W5897" s="8" t="n"/>
      <c r="X5897" s="8" t="n"/>
      <c r="Y5897" s="8" t="n"/>
    </row>
    <row r="5898">
      <c r="A5898" s="8" t="n"/>
      <c r="B5898" s="8" t="n"/>
      <c r="C5898" s="8" t="n"/>
      <c r="D5898" s="8" t="n"/>
      <c r="E5898" s="8" t="n"/>
      <c r="F5898" s="8" t="n"/>
      <c r="G5898" s="8" t="n"/>
      <c r="H5898" s="8" t="n"/>
      <c r="I5898" s="8" t="n"/>
      <c r="J5898" s="8" t="n"/>
      <c r="K5898" s="8" t="n"/>
      <c r="L5898" s="8" t="n"/>
      <c r="M5898" s="9">
        <f>B5898+30</f>
        <v/>
      </c>
      <c r="N5898">
        <f>IF(L5898="", "", L5898-B5898)</f>
        <v/>
      </c>
      <c r="O5898">
        <f>IF(L5898="", "Pending", IF(N5898&lt;=30, "Met", "Breached"))</f>
        <v/>
      </c>
      <c r="P5898" s="8" t="n"/>
      <c r="Q5898" s="8" t="n"/>
      <c r="R5898" s="8" t="n"/>
      <c r="S5898" s="8" t="n"/>
      <c r="T5898" s="8" t="n"/>
      <c r="U5898" s="8" t="n"/>
      <c r="V5898" s="8" t="n"/>
      <c r="W5898" s="8" t="n"/>
      <c r="X5898" s="8" t="n"/>
      <c r="Y5898" s="8" t="n"/>
    </row>
    <row r="5899">
      <c r="A5899" s="8" t="n"/>
      <c r="B5899" s="8" t="n"/>
      <c r="C5899" s="8" t="n"/>
      <c r="D5899" s="8" t="n"/>
      <c r="E5899" s="8" t="n"/>
      <c r="F5899" s="8" t="n"/>
      <c r="G5899" s="8" t="n"/>
      <c r="H5899" s="8" t="n"/>
      <c r="I5899" s="8" t="n"/>
      <c r="J5899" s="8" t="n"/>
      <c r="K5899" s="8" t="n"/>
      <c r="L5899" s="8" t="n"/>
      <c r="M5899" s="9">
        <f>B5899+30</f>
        <v/>
      </c>
      <c r="N5899">
        <f>IF(L5899="", "", L5899-B5899)</f>
        <v/>
      </c>
      <c r="O5899">
        <f>IF(L5899="", "Pending", IF(N5899&lt;=30, "Met", "Breached"))</f>
        <v/>
      </c>
      <c r="P5899" s="8" t="n"/>
      <c r="Q5899" s="8" t="n"/>
      <c r="R5899" s="8" t="n"/>
      <c r="S5899" s="8" t="n"/>
      <c r="T5899" s="8" t="n"/>
      <c r="U5899" s="8" t="n"/>
      <c r="V5899" s="8" t="n"/>
      <c r="W5899" s="8" t="n"/>
      <c r="X5899" s="8" t="n"/>
      <c r="Y5899" s="8" t="n"/>
    </row>
    <row r="5900">
      <c r="A5900" s="8" t="n"/>
      <c r="B5900" s="8" t="n"/>
      <c r="C5900" s="8" t="n"/>
      <c r="D5900" s="8" t="n"/>
      <c r="E5900" s="8" t="n"/>
      <c r="F5900" s="8" t="n"/>
      <c r="G5900" s="8" t="n"/>
      <c r="H5900" s="8" t="n"/>
      <c r="I5900" s="8" t="n"/>
      <c r="J5900" s="8" t="n"/>
      <c r="K5900" s="8" t="n"/>
      <c r="L5900" s="8" t="n"/>
      <c r="M5900" s="9">
        <f>B5900+30</f>
        <v/>
      </c>
      <c r="N5900">
        <f>IF(L5900="", "", L5900-B5900)</f>
        <v/>
      </c>
      <c r="O5900">
        <f>IF(L5900="", "Pending", IF(N5900&lt;=30, "Met", "Breached"))</f>
        <v/>
      </c>
      <c r="P5900" s="8" t="n"/>
      <c r="Q5900" s="8" t="n"/>
      <c r="R5900" s="8" t="n"/>
      <c r="S5900" s="8" t="n"/>
      <c r="T5900" s="8" t="n"/>
      <c r="U5900" s="8" t="n"/>
      <c r="V5900" s="8" t="n"/>
      <c r="W5900" s="8" t="n"/>
      <c r="X5900" s="8" t="n"/>
      <c r="Y5900" s="8" t="n"/>
    </row>
    <row r="5901">
      <c r="A5901" s="8" t="n"/>
      <c r="B5901" s="8" t="n"/>
      <c r="C5901" s="8" t="n"/>
      <c r="D5901" s="8" t="n"/>
      <c r="E5901" s="8" t="n"/>
      <c r="F5901" s="8" t="n"/>
      <c r="G5901" s="8" t="n"/>
      <c r="H5901" s="8" t="n"/>
      <c r="I5901" s="8" t="n"/>
      <c r="J5901" s="8" t="n"/>
      <c r="K5901" s="8" t="n"/>
      <c r="L5901" s="8" t="n"/>
      <c r="M5901" s="9">
        <f>B5901+30</f>
        <v/>
      </c>
      <c r="N5901">
        <f>IF(L5901="", "", L5901-B5901)</f>
        <v/>
      </c>
      <c r="O5901">
        <f>IF(L5901="", "Pending", IF(N5901&lt;=30, "Met", "Breached"))</f>
        <v/>
      </c>
      <c r="P5901" s="8" t="n"/>
      <c r="Q5901" s="8" t="n"/>
      <c r="R5901" s="8" t="n"/>
      <c r="S5901" s="8" t="n"/>
      <c r="T5901" s="8" t="n"/>
      <c r="U5901" s="8" t="n"/>
      <c r="V5901" s="8" t="n"/>
      <c r="W5901" s="8" t="n"/>
      <c r="X5901" s="8" t="n"/>
      <c r="Y5901" s="8" t="n"/>
    </row>
    <row r="5902">
      <c r="A5902" s="8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8" t="n"/>
      <c r="K5902" s="8" t="n"/>
      <c r="L5902" s="8" t="n"/>
      <c r="M5902" s="9">
        <f>B5902+30</f>
        <v/>
      </c>
      <c r="N5902">
        <f>IF(L5902="", "", L5902-B5902)</f>
        <v/>
      </c>
      <c r="O5902">
        <f>IF(L5902="", "Pending", IF(N5902&lt;=30, "Met", "Breached"))</f>
        <v/>
      </c>
      <c r="P5902" s="8" t="n"/>
      <c r="Q5902" s="8" t="n"/>
      <c r="R5902" s="8" t="n"/>
      <c r="S5902" s="8" t="n"/>
      <c r="T5902" s="8" t="n"/>
      <c r="U5902" s="8" t="n"/>
      <c r="V5902" s="8" t="n"/>
      <c r="W5902" s="8" t="n"/>
      <c r="X5902" s="8" t="n"/>
      <c r="Y5902" s="8" t="n"/>
    </row>
    <row r="5903">
      <c r="A5903" s="8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8" t="n"/>
      <c r="K5903" s="8" t="n"/>
      <c r="L5903" s="8" t="n"/>
      <c r="M5903" s="9">
        <f>B5903+30</f>
        <v/>
      </c>
      <c r="N5903">
        <f>IF(L5903="", "", L5903-B5903)</f>
        <v/>
      </c>
      <c r="O5903">
        <f>IF(L5903="", "Pending", IF(N5903&lt;=30, "Met", "Breached"))</f>
        <v/>
      </c>
      <c r="P5903" s="8" t="n"/>
      <c r="Q5903" s="8" t="n"/>
      <c r="R5903" s="8" t="n"/>
      <c r="S5903" s="8" t="n"/>
      <c r="T5903" s="8" t="n"/>
      <c r="U5903" s="8" t="n"/>
      <c r="V5903" s="8" t="n"/>
      <c r="W5903" s="8" t="n"/>
      <c r="X5903" s="8" t="n"/>
      <c r="Y5903" s="8" t="n"/>
    </row>
    <row r="5904">
      <c r="A5904" s="8" t="n"/>
      <c r="B5904" s="8" t="n"/>
      <c r="C5904" s="8" t="n"/>
      <c r="D5904" s="8" t="n"/>
      <c r="E5904" s="8" t="n"/>
      <c r="F5904" s="8" t="n"/>
      <c r="G5904" s="8" t="n"/>
      <c r="H5904" s="8" t="n"/>
      <c r="I5904" s="8" t="n"/>
      <c r="J5904" s="8" t="n"/>
      <c r="K5904" s="8" t="n"/>
      <c r="L5904" s="8" t="n"/>
      <c r="M5904" s="9">
        <f>B5904+30</f>
        <v/>
      </c>
      <c r="N5904">
        <f>IF(L5904="", "", L5904-B5904)</f>
        <v/>
      </c>
      <c r="O5904">
        <f>IF(L5904="", "Pending", IF(N5904&lt;=30, "Met", "Breached"))</f>
        <v/>
      </c>
      <c r="P5904" s="8" t="n"/>
      <c r="Q5904" s="8" t="n"/>
      <c r="R5904" s="8" t="n"/>
      <c r="S5904" s="8" t="n"/>
      <c r="T5904" s="8" t="n"/>
      <c r="U5904" s="8" t="n"/>
      <c r="V5904" s="8" t="n"/>
      <c r="W5904" s="8" t="n"/>
      <c r="X5904" s="8" t="n"/>
      <c r="Y5904" s="8" t="n"/>
    </row>
    <row r="5905">
      <c r="A5905" s="8" t="n"/>
      <c r="B5905" s="8" t="n"/>
      <c r="C5905" s="8" t="n"/>
      <c r="D5905" s="8" t="n"/>
      <c r="E5905" s="8" t="n"/>
      <c r="F5905" s="8" t="n"/>
      <c r="G5905" s="8" t="n"/>
      <c r="H5905" s="8" t="n"/>
      <c r="I5905" s="8" t="n"/>
      <c r="J5905" s="8" t="n"/>
      <c r="K5905" s="8" t="n"/>
      <c r="L5905" s="8" t="n"/>
      <c r="M5905" s="9">
        <f>B5905+30</f>
        <v/>
      </c>
      <c r="N5905">
        <f>IF(L5905="", "", L5905-B5905)</f>
        <v/>
      </c>
      <c r="O5905">
        <f>IF(L5905="", "Pending", IF(N5905&lt;=30, "Met", "Breached"))</f>
        <v/>
      </c>
      <c r="P5905" s="8" t="n"/>
      <c r="Q5905" s="8" t="n"/>
      <c r="R5905" s="8" t="n"/>
      <c r="S5905" s="8" t="n"/>
      <c r="T5905" s="8" t="n"/>
      <c r="U5905" s="8" t="n"/>
      <c r="V5905" s="8" t="n"/>
      <c r="W5905" s="8" t="n"/>
      <c r="X5905" s="8" t="n"/>
      <c r="Y5905" s="8" t="n"/>
    </row>
    <row r="5906">
      <c r="A5906" s="8" t="n"/>
      <c r="B5906" s="8" t="n"/>
      <c r="C5906" s="8" t="n"/>
      <c r="D5906" s="8" t="n"/>
      <c r="E5906" s="8" t="n"/>
      <c r="F5906" s="8" t="n"/>
      <c r="G5906" s="8" t="n"/>
      <c r="H5906" s="8" t="n"/>
      <c r="I5906" s="8" t="n"/>
      <c r="J5906" s="8" t="n"/>
      <c r="K5906" s="8" t="n"/>
      <c r="L5906" s="8" t="n"/>
      <c r="M5906" s="9">
        <f>B5906+30</f>
        <v/>
      </c>
      <c r="N5906">
        <f>IF(L5906="", "", L5906-B5906)</f>
        <v/>
      </c>
      <c r="O5906">
        <f>IF(L5906="", "Pending", IF(N5906&lt;=30, "Met", "Breached"))</f>
        <v/>
      </c>
      <c r="P5906" s="8" t="n"/>
      <c r="Q5906" s="8" t="n"/>
      <c r="R5906" s="8" t="n"/>
      <c r="S5906" s="8" t="n"/>
      <c r="T5906" s="8" t="n"/>
      <c r="U5906" s="8" t="n"/>
      <c r="V5906" s="8" t="n"/>
      <c r="W5906" s="8" t="n"/>
      <c r="X5906" s="8" t="n"/>
      <c r="Y5906" s="8" t="n"/>
    </row>
    <row r="5907">
      <c r="A5907" s="8" t="n"/>
      <c r="B5907" s="8" t="n"/>
      <c r="C5907" s="8" t="n"/>
      <c r="D5907" s="8" t="n"/>
      <c r="E5907" s="8" t="n"/>
      <c r="F5907" s="8" t="n"/>
      <c r="G5907" s="8" t="n"/>
      <c r="H5907" s="8" t="n"/>
      <c r="I5907" s="8" t="n"/>
      <c r="J5907" s="8" t="n"/>
      <c r="K5907" s="8" t="n"/>
      <c r="L5907" s="8" t="n"/>
      <c r="M5907" s="9">
        <f>B5907+30</f>
        <v/>
      </c>
      <c r="N5907">
        <f>IF(L5907="", "", L5907-B5907)</f>
        <v/>
      </c>
      <c r="O5907">
        <f>IF(L5907="", "Pending", IF(N5907&lt;=30, "Met", "Breached"))</f>
        <v/>
      </c>
      <c r="P5907" s="8" t="n"/>
      <c r="Q5907" s="8" t="n"/>
      <c r="R5907" s="8" t="n"/>
      <c r="S5907" s="8" t="n"/>
      <c r="T5907" s="8" t="n"/>
      <c r="U5907" s="8" t="n"/>
      <c r="V5907" s="8" t="n"/>
      <c r="W5907" s="8" t="n"/>
      <c r="X5907" s="8" t="n"/>
      <c r="Y5907" s="8" t="n"/>
    </row>
    <row r="5908">
      <c r="A5908" s="8" t="n"/>
      <c r="B5908" s="8" t="n"/>
      <c r="C5908" s="8" t="n"/>
      <c r="D5908" s="8" t="n"/>
      <c r="E5908" s="8" t="n"/>
      <c r="F5908" s="8" t="n"/>
      <c r="G5908" s="8" t="n"/>
      <c r="H5908" s="8" t="n"/>
      <c r="I5908" s="8" t="n"/>
      <c r="J5908" s="8" t="n"/>
      <c r="K5908" s="8" t="n"/>
      <c r="L5908" s="8" t="n"/>
      <c r="M5908" s="9">
        <f>B5908+30</f>
        <v/>
      </c>
      <c r="N5908">
        <f>IF(L5908="", "", L5908-B5908)</f>
        <v/>
      </c>
      <c r="O5908">
        <f>IF(L5908="", "Pending", IF(N5908&lt;=30, "Met", "Breached"))</f>
        <v/>
      </c>
      <c r="P5908" s="8" t="n"/>
      <c r="Q5908" s="8" t="n"/>
      <c r="R5908" s="8" t="n"/>
      <c r="S5908" s="8" t="n"/>
      <c r="T5908" s="8" t="n"/>
      <c r="U5908" s="8" t="n"/>
      <c r="V5908" s="8" t="n"/>
      <c r="W5908" s="8" t="n"/>
      <c r="X5908" s="8" t="n"/>
      <c r="Y5908" s="8" t="n"/>
    </row>
    <row r="5909">
      <c r="A5909" s="8" t="n"/>
      <c r="B5909" s="8" t="n"/>
      <c r="C5909" s="8" t="n"/>
      <c r="D5909" s="8" t="n"/>
      <c r="E5909" s="8" t="n"/>
      <c r="F5909" s="8" t="n"/>
      <c r="G5909" s="8" t="n"/>
      <c r="H5909" s="8" t="n"/>
      <c r="I5909" s="8" t="n"/>
      <c r="J5909" s="8" t="n"/>
      <c r="K5909" s="8" t="n"/>
      <c r="L5909" s="8" t="n"/>
      <c r="M5909" s="9">
        <f>B5909+30</f>
        <v/>
      </c>
      <c r="N5909">
        <f>IF(L5909="", "", L5909-B5909)</f>
        <v/>
      </c>
      <c r="O5909">
        <f>IF(L5909="", "Pending", IF(N5909&lt;=30, "Met", "Breached"))</f>
        <v/>
      </c>
      <c r="P5909" s="8" t="n"/>
      <c r="Q5909" s="8" t="n"/>
      <c r="R5909" s="8" t="n"/>
      <c r="S5909" s="8" t="n"/>
      <c r="T5909" s="8" t="n"/>
      <c r="U5909" s="8" t="n"/>
      <c r="V5909" s="8" t="n"/>
      <c r="W5909" s="8" t="n"/>
      <c r="X5909" s="8" t="n"/>
      <c r="Y5909" s="8" t="n"/>
    </row>
    <row r="5910">
      <c r="A5910" s="8" t="n"/>
      <c r="B5910" s="8" t="n"/>
      <c r="C5910" s="8" t="n"/>
      <c r="D5910" s="8" t="n"/>
      <c r="E5910" s="8" t="n"/>
      <c r="F5910" s="8" t="n"/>
      <c r="G5910" s="8" t="n"/>
      <c r="H5910" s="8" t="n"/>
      <c r="I5910" s="8" t="n"/>
      <c r="J5910" s="8" t="n"/>
      <c r="K5910" s="8" t="n"/>
      <c r="L5910" s="8" t="n"/>
      <c r="M5910" s="9">
        <f>B5910+30</f>
        <v/>
      </c>
      <c r="N5910">
        <f>IF(L5910="", "", L5910-B5910)</f>
        <v/>
      </c>
      <c r="O5910">
        <f>IF(L5910="", "Pending", IF(N5910&lt;=30, "Met", "Breached"))</f>
        <v/>
      </c>
      <c r="P5910" s="8" t="n"/>
      <c r="Q5910" s="8" t="n"/>
      <c r="R5910" s="8" t="n"/>
      <c r="S5910" s="8" t="n"/>
      <c r="T5910" s="8" t="n"/>
      <c r="U5910" s="8" t="n"/>
      <c r="V5910" s="8" t="n"/>
      <c r="W5910" s="8" t="n"/>
      <c r="X5910" s="8" t="n"/>
      <c r="Y5910" s="8" t="n"/>
    </row>
    <row r="5911">
      <c r="A5911" s="8" t="n"/>
      <c r="B5911" s="8" t="n"/>
      <c r="C5911" s="8" t="n"/>
      <c r="D5911" s="8" t="n"/>
      <c r="E5911" s="8" t="n"/>
      <c r="F5911" s="8" t="n"/>
      <c r="G5911" s="8" t="n"/>
      <c r="H5911" s="8" t="n"/>
      <c r="I5911" s="8" t="n"/>
      <c r="J5911" s="8" t="n"/>
      <c r="K5911" s="8" t="n"/>
      <c r="L5911" s="8" t="n"/>
      <c r="M5911" s="9">
        <f>B5911+30</f>
        <v/>
      </c>
      <c r="N5911">
        <f>IF(L5911="", "", L5911-B5911)</f>
        <v/>
      </c>
      <c r="O5911">
        <f>IF(L5911="", "Pending", IF(N5911&lt;=30, "Met", "Breached"))</f>
        <v/>
      </c>
      <c r="P5911" s="8" t="n"/>
      <c r="Q5911" s="8" t="n"/>
      <c r="R5911" s="8" t="n"/>
      <c r="S5911" s="8" t="n"/>
      <c r="T5911" s="8" t="n"/>
      <c r="U5911" s="8" t="n"/>
      <c r="V5911" s="8" t="n"/>
      <c r="W5911" s="8" t="n"/>
      <c r="X5911" s="8" t="n"/>
      <c r="Y5911" s="8" t="n"/>
    </row>
    <row r="5912">
      <c r="A5912" s="8" t="n"/>
      <c r="B5912" s="8" t="n"/>
      <c r="C5912" s="8" t="n"/>
      <c r="D5912" s="8" t="n"/>
      <c r="E5912" s="8" t="n"/>
      <c r="F5912" s="8" t="n"/>
      <c r="G5912" s="8" t="n"/>
      <c r="H5912" s="8" t="n"/>
      <c r="I5912" s="8" t="n"/>
      <c r="J5912" s="8" t="n"/>
      <c r="K5912" s="8" t="n"/>
      <c r="L5912" s="8" t="n"/>
      <c r="M5912" s="9">
        <f>B5912+30</f>
        <v/>
      </c>
      <c r="N5912">
        <f>IF(L5912="", "", L5912-B5912)</f>
        <v/>
      </c>
      <c r="O5912">
        <f>IF(L5912="", "Pending", IF(N5912&lt;=30, "Met", "Breached"))</f>
        <v/>
      </c>
      <c r="P5912" s="8" t="n"/>
      <c r="Q5912" s="8" t="n"/>
      <c r="R5912" s="8" t="n"/>
      <c r="S5912" s="8" t="n"/>
      <c r="T5912" s="8" t="n"/>
      <c r="U5912" s="8" t="n"/>
      <c r="V5912" s="8" t="n"/>
      <c r="W5912" s="8" t="n"/>
      <c r="X5912" s="8" t="n"/>
      <c r="Y5912" s="8" t="n"/>
    </row>
    <row r="5913">
      <c r="A5913" s="8" t="n"/>
      <c r="B5913" s="8" t="n"/>
      <c r="C5913" s="8" t="n"/>
      <c r="D5913" s="8" t="n"/>
      <c r="E5913" s="8" t="n"/>
      <c r="F5913" s="8" t="n"/>
      <c r="G5913" s="8" t="n"/>
      <c r="H5913" s="8" t="n"/>
      <c r="I5913" s="8" t="n"/>
      <c r="J5913" s="8" t="n"/>
      <c r="K5913" s="8" t="n"/>
      <c r="L5913" s="8" t="n"/>
      <c r="M5913" s="9">
        <f>B5913+30</f>
        <v/>
      </c>
      <c r="N5913">
        <f>IF(L5913="", "", L5913-B5913)</f>
        <v/>
      </c>
      <c r="O5913">
        <f>IF(L5913="", "Pending", IF(N5913&lt;=30, "Met", "Breached"))</f>
        <v/>
      </c>
      <c r="P5913" s="8" t="n"/>
      <c r="Q5913" s="8" t="n"/>
      <c r="R5913" s="8" t="n"/>
      <c r="S5913" s="8" t="n"/>
      <c r="T5913" s="8" t="n"/>
      <c r="U5913" s="8" t="n"/>
      <c r="V5913" s="8" t="n"/>
      <c r="W5913" s="8" t="n"/>
      <c r="X5913" s="8" t="n"/>
      <c r="Y5913" s="8" t="n"/>
    </row>
    <row r="5914">
      <c r="A5914" s="8" t="n"/>
      <c r="B5914" s="8" t="n"/>
      <c r="C5914" s="8" t="n"/>
      <c r="D5914" s="8" t="n"/>
      <c r="E5914" s="8" t="n"/>
      <c r="F5914" s="8" t="n"/>
      <c r="G5914" s="8" t="n"/>
      <c r="H5914" s="8" t="n"/>
      <c r="I5914" s="8" t="n"/>
      <c r="J5914" s="8" t="n"/>
      <c r="K5914" s="8" t="n"/>
      <c r="L5914" s="8" t="n"/>
      <c r="M5914" s="9">
        <f>B5914+30</f>
        <v/>
      </c>
      <c r="N5914">
        <f>IF(L5914="", "", L5914-B5914)</f>
        <v/>
      </c>
      <c r="O5914">
        <f>IF(L5914="", "Pending", IF(N5914&lt;=30, "Met", "Breached"))</f>
        <v/>
      </c>
      <c r="P5914" s="8" t="n"/>
      <c r="Q5914" s="8" t="n"/>
      <c r="R5914" s="8" t="n"/>
      <c r="S5914" s="8" t="n"/>
      <c r="T5914" s="8" t="n"/>
      <c r="U5914" s="8" t="n"/>
      <c r="V5914" s="8" t="n"/>
      <c r="W5914" s="8" t="n"/>
      <c r="X5914" s="8" t="n"/>
      <c r="Y5914" s="8" t="n"/>
    </row>
    <row r="5915">
      <c r="A5915" s="8" t="n"/>
      <c r="B5915" s="8" t="n"/>
      <c r="C5915" s="8" t="n"/>
      <c r="D5915" s="8" t="n"/>
      <c r="E5915" s="8" t="n"/>
      <c r="F5915" s="8" t="n"/>
      <c r="G5915" s="8" t="n"/>
      <c r="H5915" s="8" t="n"/>
      <c r="I5915" s="8" t="n"/>
      <c r="J5915" s="8" t="n"/>
      <c r="K5915" s="8" t="n"/>
      <c r="L5915" s="8" t="n"/>
      <c r="M5915" s="9">
        <f>B5915+30</f>
        <v/>
      </c>
      <c r="N5915">
        <f>IF(L5915="", "", L5915-B5915)</f>
        <v/>
      </c>
      <c r="O5915">
        <f>IF(L5915="", "Pending", IF(N5915&lt;=30, "Met", "Breached"))</f>
        <v/>
      </c>
      <c r="P5915" s="8" t="n"/>
      <c r="Q5915" s="8" t="n"/>
      <c r="R5915" s="8" t="n"/>
      <c r="S5915" s="8" t="n"/>
      <c r="T5915" s="8" t="n"/>
      <c r="U5915" s="8" t="n"/>
      <c r="V5915" s="8" t="n"/>
      <c r="W5915" s="8" t="n"/>
      <c r="X5915" s="8" t="n"/>
      <c r="Y5915" s="8" t="n"/>
    </row>
    <row r="5916">
      <c r="A5916" s="8" t="n"/>
      <c r="B5916" s="8" t="n"/>
      <c r="C5916" s="8" t="n"/>
      <c r="D5916" s="8" t="n"/>
      <c r="E5916" s="8" t="n"/>
      <c r="F5916" s="8" t="n"/>
      <c r="G5916" s="8" t="n"/>
      <c r="H5916" s="8" t="n"/>
      <c r="I5916" s="8" t="n"/>
      <c r="J5916" s="8" t="n"/>
      <c r="K5916" s="8" t="n"/>
      <c r="L5916" s="8" t="n"/>
      <c r="M5916" s="9">
        <f>B5916+30</f>
        <v/>
      </c>
      <c r="N5916">
        <f>IF(L5916="", "", L5916-B5916)</f>
        <v/>
      </c>
      <c r="O5916">
        <f>IF(L5916="", "Pending", IF(N5916&lt;=30, "Met", "Breached"))</f>
        <v/>
      </c>
      <c r="P5916" s="8" t="n"/>
      <c r="Q5916" s="8" t="n"/>
      <c r="R5916" s="8" t="n"/>
      <c r="S5916" s="8" t="n"/>
      <c r="T5916" s="8" t="n"/>
      <c r="U5916" s="8" t="n"/>
      <c r="V5916" s="8" t="n"/>
      <c r="W5916" s="8" t="n"/>
      <c r="X5916" s="8" t="n"/>
      <c r="Y5916" s="8" t="n"/>
    </row>
    <row r="5917">
      <c r="A5917" s="8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8" t="n"/>
      <c r="K5917" s="8" t="n"/>
      <c r="L5917" s="8" t="n"/>
      <c r="M5917" s="9">
        <f>B5917+30</f>
        <v/>
      </c>
      <c r="N5917">
        <f>IF(L5917="", "", L5917-B5917)</f>
        <v/>
      </c>
      <c r="O5917">
        <f>IF(L5917="", "Pending", IF(N5917&lt;=30, "Met", "Breached"))</f>
        <v/>
      </c>
      <c r="P5917" s="8" t="n"/>
      <c r="Q5917" s="8" t="n"/>
      <c r="R5917" s="8" t="n"/>
      <c r="S5917" s="8" t="n"/>
      <c r="T5917" s="8" t="n"/>
      <c r="U5917" s="8" t="n"/>
      <c r="V5917" s="8" t="n"/>
      <c r="W5917" s="8" t="n"/>
      <c r="X5917" s="8" t="n"/>
      <c r="Y5917" s="8" t="n"/>
    </row>
    <row r="5918">
      <c r="A5918" s="8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8" t="n"/>
      <c r="K5918" s="8" t="n"/>
      <c r="L5918" s="8" t="n"/>
      <c r="M5918" s="9">
        <f>B5918+30</f>
        <v/>
      </c>
      <c r="N5918">
        <f>IF(L5918="", "", L5918-B5918)</f>
        <v/>
      </c>
      <c r="O5918">
        <f>IF(L5918="", "Pending", IF(N5918&lt;=30, "Met", "Breached"))</f>
        <v/>
      </c>
      <c r="P5918" s="8" t="n"/>
      <c r="Q5918" s="8" t="n"/>
      <c r="R5918" s="8" t="n"/>
      <c r="S5918" s="8" t="n"/>
      <c r="T5918" s="8" t="n"/>
      <c r="U5918" s="8" t="n"/>
      <c r="V5918" s="8" t="n"/>
      <c r="W5918" s="8" t="n"/>
      <c r="X5918" s="8" t="n"/>
      <c r="Y5918" s="8" t="n"/>
    </row>
    <row r="5919">
      <c r="A5919" s="8" t="n"/>
      <c r="B5919" s="8" t="n"/>
      <c r="C5919" s="8" t="n"/>
      <c r="D5919" s="8" t="n"/>
      <c r="E5919" s="8" t="n"/>
      <c r="F5919" s="8" t="n"/>
      <c r="G5919" s="8" t="n"/>
      <c r="H5919" s="8" t="n"/>
      <c r="I5919" s="8" t="n"/>
      <c r="J5919" s="8" t="n"/>
      <c r="K5919" s="8" t="n"/>
      <c r="L5919" s="8" t="n"/>
      <c r="M5919" s="9">
        <f>B5919+30</f>
        <v/>
      </c>
      <c r="N5919">
        <f>IF(L5919="", "", L5919-B5919)</f>
        <v/>
      </c>
      <c r="O5919">
        <f>IF(L5919="", "Pending", IF(N5919&lt;=30, "Met", "Breached"))</f>
        <v/>
      </c>
      <c r="P5919" s="8" t="n"/>
      <c r="Q5919" s="8" t="n"/>
      <c r="R5919" s="8" t="n"/>
      <c r="S5919" s="8" t="n"/>
      <c r="T5919" s="8" t="n"/>
      <c r="U5919" s="8" t="n"/>
      <c r="V5919" s="8" t="n"/>
      <c r="W5919" s="8" t="n"/>
      <c r="X5919" s="8" t="n"/>
      <c r="Y5919" s="8" t="n"/>
    </row>
    <row r="5920">
      <c r="A5920" s="8" t="n"/>
      <c r="B5920" s="8" t="n"/>
      <c r="C5920" s="8" t="n"/>
      <c r="D5920" s="8" t="n"/>
      <c r="E5920" s="8" t="n"/>
      <c r="F5920" s="8" t="n"/>
      <c r="G5920" s="8" t="n"/>
      <c r="H5920" s="8" t="n"/>
      <c r="I5920" s="8" t="n"/>
      <c r="J5920" s="8" t="n"/>
      <c r="K5920" s="8" t="n"/>
      <c r="L5920" s="8" t="n"/>
      <c r="M5920" s="9">
        <f>B5920+30</f>
        <v/>
      </c>
      <c r="N5920">
        <f>IF(L5920="", "", L5920-B5920)</f>
        <v/>
      </c>
      <c r="O5920">
        <f>IF(L5920="", "Pending", IF(N5920&lt;=30, "Met", "Breached"))</f>
        <v/>
      </c>
      <c r="P5920" s="8" t="n"/>
      <c r="Q5920" s="8" t="n"/>
      <c r="R5920" s="8" t="n"/>
      <c r="S5920" s="8" t="n"/>
      <c r="T5920" s="8" t="n"/>
      <c r="U5920" s="8" t="n"/>
      <c r="V5920" s="8" t="n"/>
      <c r="W5920" s="8" t="n"/>
      <c r="X5920" s="8" t="n"/>
      <c r="Y5920" s="8" t="n"/>
    </row>
    <row r="5921">
      <c r="A5921" s="8" t="n"/>
      <c r="B5921" s="8" t="n"/>
      <c r="C5921" s="8" t="n"/>
      <c r="D5921" s="8" t="n"/>
      <c r="E5921" s="8" t="n"/>
      <c r="F5921" s="8" t="n"/>
      <c r="G5921" s="8" t="n"/>
      <c r="H5921" s="8" t="n"/>
      <c r="I5921" s="8" t="n"/>
      <c r="J5921" s="8" t="n"/>
      <c r="K5921" s="8" t="n"/>
      <c r="L5921" s="8" t="n"/>
      <c r="M5921" s="9">
        <f>B5921+30</f>
        <v/>
      </c>
      <c r="N5921">
        <f>IF(L5921="", "", L5921-B5921)</f>
        <v/>
      </c>
      <c r="O5921">
        <f>IF(L5921="", "Pending", IF(N5921&lt;=30, "Met", "Breached"))</f>
        <v/>
      </c>
      <c r="P5921" s="8" t="n"/>
      <c r="Q5921" s="8" t="n"/>
      <c r="R5921" s="8" t="n"/>
      <c r="S5921" s="8" t="n"/>
      <c r="T5921" s="8" t="n"/>
      <c r="U5921" s="8" t="n"/>
      <c r="V5921" s="8" t="n"/>
      <c r="W5921" s="8" t="n"/>
      <c r="X5921" s="8" t="n"/>
      <c r="Y5921" s="8" t="n"/>
    </row>
    <row r="5922">
      <c r="A5922" s="8" t="n"/>
      <c r="B5922" s="8" t="n"/>
      <c r="C5922" s="8" t="n"/>
      <c r="D5922" s="8" t="n"/>
      <c r="E5922" s="8" t="n"/>
      <c r="F5922" s="8" t="n"/>
      <c r="G5922" s="8" t="n"/>
      <c r="H5922" s="8" t="n"/>
      <c r="I5922" s="8" t="n"/>
      <c r="J5922" s="8" t="n"/>
      <c r="K5922" s="8" t="n"/>
      <c r="L5922" s="8" t="n"/>
      <c r="M5922" s="9">
        <f>B5922+30</f>
        <v/>
      </c>
      <c r="N5922">
        <f>IF(L5922="", "", L5922-B5922)</f>
        <v/>
      </c>
      <c r="O5922">
        <f>IF(L5922="", "Pending", IF(N5922&lt;=30, "Met", "Breached"))</f>
        <v/>
      </c>
      <c r="P5922" s="8" t="n"/>
      <c r="Q5922" s="8" t="n"/>
      <c r="R5922" s="8" t="n"/>
      <c r="S5922" s="8" t="n"/>
      <c r="T5922" s="8" t="n"/>
      <c r="U5922" s="8" t="n"/>
      <c r="V5922" s="8" t="n"/>
      <c r="W5922" s="8" t="n"/>
      <c r="X5922" s="8" t="n"/>
      <c r="Y5922" s="8" t="n"/>
    </row>
    <row r="5923">
      <c r="A5923" s="8" t="n"/>
      <c r="B5923" s="8" t="n"/>
      <c r="C5923" s="8" t="n"/>
      <c r="D5923" s="8" t="n"/>
      <c r="E5923" s="8" t="n"/>
      <c r="F5923" s="8" t="n"/>
      <c r="G5923" s="8" t="n"/>
      <c r="H5923" s="8" t="n"/>
      <c r="I5923" s="8" t="n"/>
      <c r="J5923" s="8" t="n"/>
      <c r="K5923" s="8" t="n"/>
      <c r="L5923" s="8" t="n"/>
      <c r="M5923" s="9">
        <f>B5923+30</f>
        <v/>
      </c>
      <c r="N5923">
        <f>IF(L5923="", "", L5923-B5923)</f>
        <v/>
      </c>
      <c r="O5923">
        <f>IF(L5923="", "Pending", IF(N5923&lt;=30, "Met", "Breached"))</f>
        <v/>
      </c>
      <c r="P5923" s="8" t="n"/>
      <c r="Q5923" s="8" t="n"/>
      <c r="R5923" s="8" t="n"/>
      <c r="S5923" s="8" t="n"/>
      <c r="T5923" s="8" t="n"/>
      <c r="U5923" s="8" t="n"/>
      <c r="V5923" s="8" t="n"/>
      <c r="W5923" s="8" t="n"/>
      <c r="X5923" s="8" t="n"/>
      <c r="Y5923" s="8" t="n"/>
    </row>
    <row r="5924">
      <c r="A5924" s="8" t="n"/>
      <c r="B5924" s="8" t="n"/>
      <c r="C5924" s="8" t="n"/>
      <c r="D5924" s="8" t="n"/>
      <c r="E5924" s="8" t="n"/>
      <c r="F5924" s="8" t="n"/>
      <c r="G5924" s="8" t="n"/>
      <c r="H5924" s="8" t="n"/>
      <c r="I5924" s="8" t="n"/>
      <c r="J5924" s="8" t="n"/>
      <c r="K5924" s="8" t="n"/>
      <c r="L5924" s="8" t="n"/>
      <c r="M5924" s="9">
        <f>B5924+30</f>
        <v/>
      </c>
      <c r="N5924">
        <f>IF(L5924="", "", L5924-B5924)</f>
        <v/>
      </c>
      <c r="O5924">
        <f>IF(L5924="", "Pending", IF(N5924&lt;=30, "Met", "Breached"))</f>
        <v/>
      </c>
      <c r="P5924" s="8" t="n"/>
      <c r="Q5924" s="8" t="n"/>
      <c r="R5924" s="8" t="n"/>
      <c r="S5924" s="8" t="n"/>
      <c r="T5924" s="8" t="n"/>
      <c r="U5924" s="8" t="n"/>
      <c r="V5924" s="8" t="n"/>
      <c r="W5924" s="8" t="n"/>
      <c r="X5924" s="8" t="n"/>
      <c r="Y5924" s="8" t="n"/>
    </row>
    <row r="5925">
      <c r="A5925" s="8" t="n"/>
      <c r="B5925" s="8" t="n"/>
      <c r="C5925" s="8" t="n"/>
      <c r="D5925" s="8" t="n"/>
      <c r="E5925" s="8" t="n"/>
      <c r="F5925" s="8" t="n"/>
      <c r="G5925" s="8" t="n"/>
      <c r="H5925" s="8" t="n"/>
      <c r="I5925" s="8" t="n"/>
      <c r="J5925" s="8" t="n"/>
      <c r="K5925" s="8" t="n"/>
      <c r="L5925" s="8" t="n"/>
      <c r="M5925" s="9">
        <f>B5925+30</f>
        <v/>
      </c>
      <c r="N5925">
        <f>IF(L5925="", "", L5925-B5925)</f>
        <v/>
      </c>
      <c r="O5925">
        <f>IF(L5925="", "Pending", IF(N5925&lt;=30, "Met", "Breached"))</f>
        <v/>
      </c>
      <c r="P5925" s="8" t="n"/>
      <c r="Q5925" s="8" t="n"/>
      <c r="R5925" s="8" t="n"/>
      <c r="S5925" s="8" t="n"/>
      <c r="T5925" s="8" t="n"/>
      <c r="U5925" s="8" t="n"/>
      <c r="V5925" s="8" t="n"/>
      <c r="W5925" s="8" t="n"/>
      <c r="X5925" s="8" t="n"/>
      <c r="Y5925" s="8" t="n"/>
    </row>
    <row r="5926">
      <c r="A5926" s="8" t="n"/>
      <c r="B5926" s="8" t="n"/>
      <c r="C5926" s="8" t="n"/>
      <c r="D5926" s="8" t="n"/>
      <c r="E5926" s="8" t="n"/>
      <c r="F5926" s="8" t="n"/>
      <c r="G5926" s="8" t="n"/>
      <c r="H5926" s="8" t="n"/>
      <c r="I5926" s="8" t="n"/>
      <c r="J5926" s="8" t="n"/>
      <c r="K5926" s="8" t="n"/>
      <c r="L5926" s="8" t="n"/>
      <c r="M5926" s="9">
        <f>B5926+30</f>
        <v/>
      </c>
      <c r="N5926">
        <f>IF(L5926="", "", L5926-B5926)</f>
        <v/>
      </c>
      <c r="O5926">
        <f>IF(L5926="", "Pending", IF(N5926&lt;=30, "Met", "Breached"))</f>
        <v/>
      </c>
      <c r="P5926" s="8" t="n"/>
      <c r="Q5926" s="8" t="n"/>
      <c r="R5926" s="8" t="n"/>
      <c r="S5926" s="8" t="n"/>
      <c r="T5926" s="8" t="n"/>
      <c r="U5926" s="8" t="n"/>
      <c r="V5926" s="8" t="n"/>
      <c r="W5926" s="8" t="n"/>
      <c r="X5926" s="8" t="n"/>
      <c r="Y5926" s="8" t="n"/>
    </row>
    <row r="5927">
      <c r="A5927" s="8" t="n"/>
      <c r="B5927" s="8" t="n"/>
      <c r="C5927" s="8" t="n"/>
      <c r="D5927" s="8" t="n"/>
      <c r="E5927" s="8" t="n"/>
      <c r="F5927" s="8" t="n"/>
      <c r="G5927" s="8" t="n"/>
      <c r="H5927" s="8" t="n"/>
      <c r="I5927" s="8" t="n"/>
      <c r="J5927" s="8" t="n"/>
      <c r="K5927" s="8" t="n"/>
      <c r="L5927" s="8" t="n"/>
      <c r="M5927" s="9">
        <f>B5927+30</f>
        <v/>
      </c>
      <c r="N5927">
        <f>IF(L5927="", "", L5927-B5927)</f>
        <v/>
      </c>
      <c r="O5927">
        <f>IF(L5927="", "Pending", IF(N5927&lt;=30, "Met", "Breached"))</f>
        <v/>
      </c>
      <c r="P5927" s="8" t="n"/>
      <c r="Q5927" s="8" t="n"/>
      <c r="R5927" s="8" t="n"/>
      <c r="S5927" s="8" t="n"/>
      <c r="T5927" s="8" t="n"/>
      <c r="U5927" s="8" t="n"/>
      <c r="V5927" s="8" t="n"/>
      <c r="W5927" s="8" t="n"/>
      <c r="X5927" s="8" t="n"/>
      <c r="Y5927" s="8" t="n"/>
    </row>
    <row r="5928">
      <c r="A5928" s="8" t="n"/>
      <c r="B5928" s="8" t="n"/>
      <c r="C5928" s="8" t="n"/>
      <c r="D5928" s="8" t="n"/>
      <c r="E5928" s="8" t="n"/>
      <c r="F5928" s="8" t="n"/>
      <c r="G5928" s="8" t="n"/>
      <c r="H5928" s="8" t="n"/>
      <c r="I5928" s="8" t="n"/>
      <c r="J5928" s="8" t="n"/>
      <c r="K5928" s="8" t="n"/>
      <c r="L5928" s="8" t="n"/>
      <c r="M5928" s="9">
        <f>B5928+30</f>
        <v/>
      </c>
      <c r="N5928">
        <f>IF(L5928="", "", L5928-B5928)</f>
        <v/>
      </c>
      <c r="O5928">
        <f>IF(L5928="", "Pending", IF(N5928&lt;=30, "Met", "Breached"))</f>
        <v/>
      </c>
      <c r="P5928" s="8" t="n"/>
      <c r="Q5928" s="8" t="n"/>
      <c r="R5928" s="8" t="n"/>
      <c r="S5928" s="8" t="n"/>
      <c r="T5928" s="8" t="n"/>
      <c r="U5928" s="8" t="n"/>
      <c r="V5928" s="8" t="n"/>
      <c r="W5928" s="8" t="n"/>
      <c r="X5928" s="8" t="n"/>
      <c r="Y5928" s="8" t="n"/>
    </row>
    <row r="5929">
      <c r="A5929" s="8" t="n"/>
      <c r="B5929" s="8" t="n"/>
      <c r="C5929" s="8" t="n"/>
      <c r="D5929" s="8" t="n"/>
      <c r="E5929" s="8" t="n"/>
      <c r="F5929" s="8" t="n"/>
      <c r="G5929" s="8" t="n"/>
      <c r="H5929" s="8" t="n"/>
      <c r="I5929" s="8" t="n"/>
      <c r="J5929" s="8" t="n"/>
      <c r="K5929" s="8" t="n"/>
      <c r="L5929" s="8" t="n"/>
      <c r="M5929" s="9">
        <f>B5929+30</f>
        <v/>
      </c>
      <c r="N5929">
        <f>IF(L5929="", "", L5929-B5929)</f>
        <v/>
      </c>
      <c r="O5929">
        <f>IF(L5929="", "Pending", IF(N5929&lt;=30, "Met", "Breached"))</f>
        <v/>
      </c>
      <c r="P5929" s="8" t="n"/>
      <c r="Q5929" s="8" t="n"/>
      <c r="R5929" s="8" t="n"/>
      <c r="S5929" s="8" t="n"/>
      <c r="T5929" s="8" t="n"/>
      <c r="U5929" s="8" t="n"/>
      <c r="V5929" s="8" t="n"/>
      <c r="W5929" s="8" t="n"/>
      <c r="X5929" s="8" t="n"/>
      <c r="Y5929" s="8" t="n"/>
    </row>
    <row r="5930">
      <c r="A5930" s="8" t="n"/>
      <c r="B5930" s="8" t="n"/>
      <c r="C5930" s="8" t="n"/>
      <c r="D5930" s="8" t="n"/>
      <c r="E5930" s="8" t="n"/>
      <c r="F5930" s="8" t="n"/>
      <c r="G5930" s="8" t="n"/>
      <c r="H5930" s="8" t="n"/>
      <c r="I5930" s="8" t="n"/>
      <c r="J5930" s="8" t="n"/>
      <c r="K5930" s="8" t="n"/>
      <c r="L5930" s="8" t="n"/>
      <c r="M5930" s="9">
        <f>B5930+30</f>
        <v/>
      </c>
      <c r="N5930">
        <f>IF(L5930="", "", L5930-B5930)</f>
        <v/>
      </c>
      <c r="O5930">
        <f>IF(L5930="", "Pending", IF(N5930&lt;=30, "Met", "Breached"))</f>
        <v/>
      </c>
      <c r="P5930" s="8" t="n"/>
      <c r="Q5930" s="8" t="n"/>
      <c r="R5930" s="8" t="n"/>
      <c r="S5930" s="8" t="n"/>
      <c r="T5930" s="8" t="n"/>
      <c r="U5930" s="8" t="n"/>
      <c r="V5930" s="8" t="n"/>
      <c r="W5930" s="8" t="n"/>
      <c r="X5930" s="8" t="n"/>
      <c r="Y5930" s="8" t="n"/>
    </row>
    <row r="5931">
      <c r="A5931" s="8" t="n"/>
      <c r="B5931" s="8" t="n"/>
      <c r="C5931" s="8" t="n"/>
      <c r="D5931" s="8" t="n"/>
      <c r="E5931" s="8" t="n"/>
      <c r="F5931" s="8" t="n"/>
      <c r="G5931" s="8" t="n"/>
      <c r="H5931" s="8" t="n"/>
      <c r="I5931" s="8" t="n"/>
      <c r="J5931" s="8" t="n"/>
      <c r="K5931" s="8" t="n"/>
      <c r="L5931" s="8" t="n"/>
      <c r="M5931" s="9">
        <f>B5931+30</f>
        <v/>
      </c>
      <c r="N5931">
        <f>IF(L5931="", "", L5931-B5931)</f>
        <v/>
      </c>
      <c r="O5931">
        <f>IF(L5931="", "Pending", IF(N5931&lt;=30, "Met", "Breached"))</f>
        <v/>
      </c>
      <c r="P5931" s="8" t="n"/>
      <c r="Q5931" s="8" t="n"/>
      <c r="R5931" s="8" t="n"/>
      <c r="S5931" s="8" t="n"/>
      <c r="T5931" s="8" t="n"/>
      <c r="U5931" s="8" t="n"/>
      <c r="V5931" s="8" t="n"/>
      <c r="W5931" s="8" t="n"/>
      <c r="X5931" s="8" t="n"/>
      <c r="Y5931" s="8" t="n"/>
    </row>
    <row r="5932">
      <c r="A5932" s="8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8" t="n"/>
      <c r="K5932" s="8" t="n"/>
      <c r="L5932" s="8" t="n"/>
      <c r="M5932" s="9">
        <f>B5932+30</f>
        <v/>
      </c>
      <c r="N5932">
        <f>IF(L5932="", "", L5932-B5932)</f>
        <v/>
      </c>
      <c r="O5932">
        <f>IF(L5932="", "Pending", IF(N5932&lt;=30, "Met", "Breached"))</f>
        <v/>
      </c>
      <c r="P5932" s="8" t="n"/>
      <c r="Q5932" s="8" t="n"/>
      <c r="R5932" s="8" t="n"/>
      <c r="S5932" s="8" t="n"/>
      <c r="T5932" s="8" t="n"/>
      <c r="U5932" s="8" t="n"/>
      <c r="V5932" s="8" t="n"/>
      <c r="W5932" s="8" t="n"/>
      <c r="X5932" s="8" t="n"/>
      <c r="Y5932" s="8" t="n"/>
    </row>
    <row r="5933">
      <c r="A5933" s="8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8" t="n"/>
      <c r="K5933" s="8" t="n"/>
      <c r="L5933" s="8" t="n"/>
      <c r="M5933" s="9">
        <f>B5933+30</f>
        <v/>
      </c>
      <c r="N5933">
        <f>IF(L5933="", "", L5933-B5933)</f>
        <v/>
      </c>
      <c r="O5933">
        <f>IF(L5933="", "Pending", IF(N5933&lt;=30, "Met", "Breached"))</f>
        <v/>
      </c>
      <c r="P5933" s="8" t="n"/>
      <c r="Q5933" s="8" t="n"/>
      <c r="R5933" s="8" t="n"/>
      <c r="S5933" s="8" t="n"/>
      <c r="T5933" s="8" t="n"/>
      <c r="U5933" s="8" t="n"/>
      <c r="V5933" s="8" t="n"/>
      <c r="W5933" s="8" t="n"/>
      <c r="X5933" s="8" t="n"/>
      <c r="Y5933" s="8" t="n"/>
    </row>
    <row r="5934">
      <c r="A5934" s="8" t="n"/>
      <c r="B5934" s="8" t="n"/>
      <c r="C5934" s="8" t="n"/>
      <c r="D5934" s="8" t="n"/>
      <c r="E5934" s="8" t="n"/>
      <c r="F5934" s="8" t="n"/>
      <c r="G5934" s="8" t="n"/>
      <c r="H5934" s="8" t="n"/>
      <c r="I5934" s="8" t="n"/>
      <c r="J5934" s="8" t="n"/>
      <c r="K5934" s="8" t="n"/>
      <c r="L5934" s="8" t="n"/>
      <c r="M5934" s="9">
        <f>B5934+30</f>
        <v/>
      </c>
      <c r="N5934">
        <f>IF(L5934="", "", L5934-B5934)</f>
        <v/>
      </c>
      <c r="O5934">
        <f>IF(L5934="", "Pending", IF(N5934&lt;=30, "Met", "Breached"))</f>
        <v/>
      </c>
      <c r="P5934" s="8" t="n"/>
      <c r="Q5934" s="8" t="n"/>
      <c r="R5934" s="8" t="n"/>
      <c r="S5934" s="8" t="n"/>
      <c r="T5934" s="8" t="n"/>
      <c r="U5934" s="8" t="n"/>
      <c r="V5934" s="8" t="n"/>
      <c r="W5934" s="8" t="n"/>
      <c r="X5934" s="8" t="n"/>
      <c r="Y5934" s="8" t="n"/>
    </row>
    <row r="5935">
      <c r="A5935" s="8" t="n"/>
      <c r="B5935" s="8" t="n"/>
      <c r="C5935" s="8" t="n"/>
      <c r="D5935" s="8" t="n"/>
      <c r="E5935" s="8" t="n"/>
      <c r="F5935" s="8" t="n"/>
      <c r="G5935" s="8" t="n"/>
      <c r="H5935" s="8" t="n"/>
      <c r="I5935" s="8" t="n"/>
      <c r="J5935" s="8" t="n"/>
      <c r="K5935" s="8" t="n"/>
      <c r="L5935" s="8" t="n"/>
      <c r="M5935" s="9">
        <f>B5935+30</f>
        <v/>
      </c>
      <c r="N5935">
        <f>IF(L5935="", "", L5935-B5935)</f>
        <v/>
      </c>
      <c r="O5935">
        <f>IF(L5935="", "Pending", IF(N5935&lt;=30, "Met", "Breached"))</f>
        <v/>
      </c>
      <c r="P5935" s="8" t="n"/>
      <c r="Q5935" s="8" t="n"/>
      <c r="R5935" s="8" t="n"/>
      <c r="S5935" s="8" t="n"/>
      <c r="T5935" s="8" t="n"/>
      <c r="U5935" s="8" t="n"/>
      <c r="V5935" s="8" t="n"/>
      <c r="W5935" s="8" t="n"/>
      <c r="X5935" s="8" t="n"/>
      <c r="Y5935" s="8" t="n"/>
    </row>
    <row r="5936">
      <c r="A5936" s="8" t="n"/>
      <c r="B5936" s="8" t="n"/>
      <c r="C5936" s="8" t="n"/>
      <c r="D5936" s="8" t="n"/>
      <c r="E5936" s="8" t="n"/>
      <c r="F5936" s="8" t="n"/>
      <c r="G5936" s="8" t="n"/>
      <c r="H5936" s="8" t="n"/>
      <c r="I5936" s="8" t="n"/>
      <c r="J5936" s="8" t="n"/>
      <c r="K5936" s="8" t="n"/>
      <c r="L5936" s="8" t="n"/>
      <c r="M5936" s="9">
        <f>B5936+30</f>
        <v/>
      </c>
      <c r="N5936">
        <f>IF(L5936="", "", L5936-B5936)</f>
        <v/>
      </c>
      <c r="O5936">
        <f>IF(L5936="", "Pending", IF(N5936&lt;=30, "Met", "Breached"))</f>
        <v/>
      </c>
      <c r="P5936" s="8" t="n"/>
      <c r="Q5936" s="8" t="n"/>
      <c r="R5936" s="8" t="n"/>
      <c r="S5936" s="8" t="n"/>
      <c r="T5936" s="8" t="n"/>
      <c r="U5936" s="8" t="n"/>
      <c r="V5936" s="8" t="n"/>
      <c r="W5936" s="8" t="n"/>
      <c r="X5936" s="8" t="n"/>
      <c r="Y5936" s="8" t="n"/>
    </row>
    <row r="5937">
      <c r="A5937" s="8" t="n"/>
      <c r="B5937" s="8" t="n"/>
      <c r="C5937" s="8" t="n"/>
      <c r="D5937" s="8" t="n"/>
      <c r="E5937" s="8" t="n"/>
      <c r="F5937" s="8" t="n"/>
      <c r="G5937" s="8" t="n"/>
      <c r="H5937" s="8" t="n"/>
      <c r="I5937" s="8" t="n"/>
      <c r="J5937" s="8" t="n"/>
      <c r="K5937" s="8" t="n"/>
      <c r="L5937" s="8" t="n"/>
      <c r="M5937" s="9">
        <f>B5937+30</f>
        <v/>
      </c>
      <c r="N5937">
        <f>IF(L5937="", "", L5937-B5937)</f>
        <v/>
      </c>
      <c r="O5937">
        <f>IF(L5937="", "Pending", IF(N5937&lt;=30, "Met", "Breached"))</f>
        <v/>
      </c>
      <c r="P5937" s="8" t="n"/>
      <c r="Q5937" s="8" t="n"/>
      <c r="R5937" s="8" t="n"/>
      <c r="S5937" s="8" t="n"/>
      <c r="T5937" s="8" t="n"/>
      <c r="U5937" s="8" t="n"/>
      <c r="V5937" s="8" t="n"/>
      <c r="W5937" s="8" t="n"/>
      <c r="X5937" s="8" t="n"/>
      <c r="Y5937" s="8" t="n"/>
    </row>
    <row r="5938">
      <c r="A5938" s="8" t="n"/>
      <c r="B5938" s="8" t="n"/>
      <c r="C5938" s="8" t="n"/>
      <c r="D5938" s="8" t="n"/>
      <c r="E5938" s="8" t="n"/>
      <c r="F5938" s="8" t="n"/>
      <c r="G5938" s="8" t="n"/>
      <c r="H5938" s="8" t="n"/>
      <c r="I5938" s="8" t="n"/>
      <c r="J5938" s="8" t="n"/>
      <c r="K5938" s="8" t="n"/>
      <c r="L5938" s="8" t="n"/>
      <c r="M5938" s="9">
        <f>B5938+30</f>
        <v/>
      </c>
      <c r="N5938">
        <f>IF(L5938="", "", L5938-B5938)</f>
        <v/>
      </c>
      <c r="O5938">
        <f>IF(L5938="", "Pending", IF(N5938&lt;=30, "Met", "Breached"))</f>
        <v/>
      </c>
      <c r="P5938" s="8" t="n"/>
      <c r="Q5938" s="8" t="n"/>
      <c r="R5938" s="8" t="n"/>
      <c r="S5938" s="8" t="n"/>
      <c r="T5938" s="8" t="n"/>
      <c r="U5938" s="8" t="n"/>
      <c r="V5938" s="8" t="n"/>
      <c r="W5938" s="8" t="n"/>
      <c r="X5938" s="8" t="n"/>
      <c r="Y5938" s="8" t="n"/>
    </row>
    <row r="5939">
      <c r="A5939" s="8" t="n"/>
      <c r="B5939" s="8" t="n"/>
      <c r="C5939" s="8" t="n"/>
      <c r="D5939" s="8" t="n"/>
      <c r="E5939" s="8" t="n"/>
      <c r="F5939" s="8" t="n"/>
      <c r="G5939" s="8" t="n"/>
      <c r="H5939" s="8" t="n"/>
      <c r="I5939" s="8" t="n"/>
      <c r="J5939" s="8" t="n"/>
      <c r="K5939" s="8" t="n"/>
      <c r="L5939" s="8" t="n"/>
      <c r="M5939" s="9">
        <f>B5939+30</f>
        <v/>
      </c>
      <c r="N5939">
        <f>IF(L5939="", "", L5939-B5939)</f>
        <v/>
      </c>
      <c r="O5939">
        <f>IF(L5939="", "Pending", IF(N5939&lt;=30, "Met", "Breached"))</f>
        <v/>
      </c>
      <c r="P5939" s="8" t="n"/>
      <c r="Q5939" s="8" t="n"/>
      <c r="R5939" s="8" t="n"/>
      <c r="S5939" s="8" t="n"/>
      <c r="T5939" s="8" t="n"/>
      <c r="U5939" s="8" t="n"/>
      <c r="V5939" s="8" t="n"/>
      <c r="W5939" s="8" t="n"/>
      <c r="X5939" s="8" t="n"/>
      <c r="Y5939" s="8" t="n"/>
    </row>
    <row r="5940">
      <c r="A5940" s="8" t="n"/>
      <c r="B5940" s="8" t="n"/>
      <c r="C5940" s="8" t="n"/>
      <c r="D5940" s="8" t="n"/>
      <c r="E5940" s="8" t="n"/>
      <c r="F5940" s="8" t="n"/>
      <c r="G5940" s="8" t="n"/>
      <c r="H5940" s="8" t="n"/>
      <c r="I5940" s="8" t="n"/>
      <c r="J5940" s="8" t="n"/>
      <c r="K5940" s="8" t="n"/>
      <c r="L5940" s="8" t="n"/>
      <c r="M5940" s="9">
        <f>B5940+30</f>
        <v/>
      </c>
      <c r="N5940">
        <f>IF(L5940="", "", L5940-B5940)</f>
        <v/>
      </c>
      <c r="O5940">
        <f>IF(L5940="", "Pending", IF(N5940&lt;=30, "Met", "Breached"))</f>
        <v/>
      </c>
      <c r="P5940" s="8" t="n"/>
      <c r="Q5940" s="8" t="n"/>
      <c r="R5940" s="8" t="n"/>
      <c r="S5940" s="8" t="n"/>
      <c r="T5940" s="8" t="n"/>
      <c r="U5940" s="8" t="n"/>
      <c r="V5940" s="8" t="n"/>
      <c r="W5940" s="8" t="n"/>
      <c r="X5940" s="8" t="n"/>
      <c r="Y5940" s="8" t="n"/>
    </row>
    <row r="5941">
      <c r="A5941" s="8" t="n"/>
      <c r="B5941" s="8" t="n"/>
      <c r="C5941" s="8" t="n"/>
      <c r="D5941" s="8" t="n"/>
      <c r="E5941" s="8" t="n"/>
      <c r="F5941" s="8" t="n"/>
      <c r="G5941" s="8" t="n"/>
      <c r="H5941" s="8" t="n"/>
      <c r="I5941" s="8" t="n"/>
      <c r="J5941" s="8" t="n"/>
      <c r="K5941" s="8" t="n"/>
      <c r="L5941" s="8" t="n"/>
      <c r="M5941" s="9">
        <f>B5941+30</f>
        <v/>
      </c>
      <c r="N5941">
        <f>IF(L5941="", "", L5941-B5941)</f>
        <v/>
      </c>
      <c r="O5941">
        <f>IF(L5941="", "Pending", IF(N5941&lt;=30, "Met", "Breached"))</f>
        <v/>
      </c>
      <c r="P5941" s="8" t="n"/>
      <c r="Q5941" s="8" t="n"/>
      <c r="R5941" s="8" t="n"/>
      <c r="S5941" s="8" t="n"/>
      <c r="T5941" s="8" t="n"/>
      <c r="U5941" s="8" t="n"/>
      <c r="V5941" s="8" t="n"/>
      <c r="W5941" s="8" t="n"/>
      <c r="X5941" s="8" t="n"/>
      <c r="Y5941" s="8" t="n"/>
    </row>
    <row r="5942">
      <c r="A5942" s="8" t="n"/>
      <c r="B5942" s="8" t="n"/>
      <c r="C5942" s="8" t="n"/>
      <c r="D5942" s="8" t="n"/>
      <c r="E5942" s="8" t="n"/>
      <c r="F5942" s="8" t="n"/>
      <c r="G5942" s="8" t="n"/>
      <c r="H5942" s="8" t="n"/>
      <c r="I5942" s="8" t="n"/>
      <c r="J5942" s="8" t="n"/>
      <c r="K5942" s="8" t="n"/>
      <c r="L5942" s="8" t="n"/>
      <c r="M5942" s="9">
        <f>B5942+30</f>
        <v/>
      </c>
      <c r="N5942">
        <f>IF(L5942="", "", L5942-B5942)</f>
        <v/>
      </c>
      <c r="O5942">
        <f>IF(L5942="", "Pending", IF(N5942&lt;=30, "Met", "Breached"))</f>
        <v/>
      </c>
      <c r="P5942" s="8" t="n"/>
      <c r="Q5942" s="8" t="n"/>
      <c r="R5942" s="8" t="n"/>
      <c r="S5942" s="8" t="n"/>
      <c r="T5942" s="8" t="n"/>
      <c r="U5942" s="8" t="n"/>
      <c r="V5942" s="8" t="n"/>
      <c r="W5942" s="8" t="n"/>
      <c r="X5942" s="8" t="n"/>
      <c r="Y5942" s="8" t="n"/>
    </row>
    <row r="5943">
      <c r="A5943" s="8" t="n"/>
      <c r="B5943" s="8" t="n"/>
      <c r="C5943" s="8" t="n"/>
      <c r="D5943" s="8" t="n"/>
      <c r="E5943" s="8" t="n"/>
      <c r="F5943" s="8" t="n"/>
      <c r="G5943" s="8" t="n"/>
      <c r="H5943" s="8" t="n"/>
      <c r="I5943" s="8" t="n"/>
      <c r="J5943" s="8" t="n"/>
      <c r="K5943" s="8" t="n"/>
      <c r="L5943" s="8" t="n"/>
      <c r="M5943" s="9">
        <f>B5943+30</f>
        <v/>
      </c>
      <c r="N5943">
        <f>IF(L5943="", "", L5943-B5943)</f>
        <v/>
      </c>
      <c r="O5943">
        <f>IF(L5943="", "Pending", IF(N5943&lt;=30, "Met", "Breached"))</f>
        <v/>
      </c>
      <c r="P5943" s="8" t="n"/>
      <c r="Q5943" s="8" t="n"/>
      <c r="R5943" s="8" t="n"/>
      <c r="S5943" s="8" t="n"/>
      <c r="T5943" s="8" t="n"/>
      <c r="U5943" s="8" t="n"/>
      <c r="V5943" s="8" t="n"/>
      <c r="W5943" s="8" t="n"/>
      <c r="X5943" s="8" t="n"/>
      <c r="Y5943" s="8" t="n"/>
    </row>
    <row r="5944">
      <c r="A5944" s="8" t="n"/>
      <c r="B5944" s="8" t="n"/>
      <c r="C5944" s="8" t="n"/>
      <c r="D5944" s="8" t="n"/>
      <c r="E5944" s="8" t="n"/>
      <c r="F5944" s="8" t="n"/>
      <c r="G5944" s="8" t="n"/>
      <c r="H5944" s="8" t="n"/>
      <c r="I5944" s="8" t="n"/>
      <c r="J5944" s="8" t="n"/>
      <c r="K5944" s="8" t="n"/>
      <c r="L5944" s="8" t="n"/>
      <c r="M5944" s="9">
        <f>B5944+30</f>
        <v/>
      </c>
      <c r="N5944">
        <f>IF(L5944="", "", L5944-B5944)</f>
        <v/>
      </c>
      <c r="O5944">
        <f>IF(L5944="", "Pending", IF(N5944&lt;=30, "Met", "Breached"))</f>
        <v/>
      </c>
      <c r="P5944" s="8" t="n"/>
      <c r="Q5944" s="8" t="n"/>
      <c r="R5944" s="8" t="n"/>
      <c r="S5944" s="8" t="n"/>
      <c r="T5944" s="8" t="n"/>
      <c r="U5944" s="8" t="n"/>
      <c r="V5944" s="8" t="n"/>
      <c r="W5944" s="8" t="n"/>
      <c r="X5944" s="8" t="n"/>
      <c r="Y5944" s="8" t="n"/>
    </row>
    <row r="5945">
      <c r="A5945" s="8" t="n"/>
      <c r="B5945" s="8" t="n"/>
      <c r="C5945" s="8" t="n"/>
      <c r="D5945" s="8" t="n"/>
      <c r="E5945" s="8" t="n"/>
      <c r="F5945" s="8" t="n"/>
      <c r="G5945" s="8" t="n"/>
      <c r="H5945" s="8" t="n"/>
      <c r="I5945" s="8" t="n"/>
      <c r="J5945" s="8" t="n"/>
      <c r="K5945" s="8" t="n"/>
      <c r="L5945" s="8" t="n"/>
      <c r="M5945" s="9">
        <f>B5945+30</f>
        <v/>
      </c>
      <c r="N5945">
        <f>IF(L5945="", "", L5945-B5945)</f>
        <v/>
      </c>
      <c r="O5945">
        <f>IF(L5945="", "Pending", IF(N5945&lt;=30, "Met", "Breached"))</f>
        <v/>
      </c>
      <c r="P5945" s="8" t="n"/>
      <c r="Q5945" s="8" t="n"/>
      <c r="R5945" s="8" t="n"/>
      <c r="S5945" s="8" t="n"/>
      <c r="T5945" s="8" t="n"/>
      <c r="U5945" s="8" t="n"/>
      <c r="V5945" s="8" t="n"/>
      <c r="W5945" s="8" t="n"/>
      <c r="X5945" s="8" t="n"/>
      <c r="Y5945" s="8" t="n"/>
    </row>
    <row r="5946">
      <c r="A5946" s="8" t="n"/>
      <c r="B5946" s="8" t="n"/>
      <c r="C5946" s="8" t="n"/>
      <c r="D5946" s="8" t="n"/>
      <c r="E5946" s="8" t="n"/>
      <c r="F5946" s="8" t="n"/>
      <c r="G5946" s="8" t="n"/>
      <c r="H5946" s="8" t="n"/>
      <c r="I5946" s="8" t="n"/>
      <c r="J5946" s="8" t="n"/>
      <c r="K5946" s="8" t="n"/>
      <c r="L5946" s="8" t="n"/>
      <c r="M5946" s="9">
        <f>B5946+30</f>
        <v/>
      </c>
      <c r="N5946">
        <f>IF(L5946="", "", L5946-B5946)</f>
        <v/>
      </c>
      <c r="O5946">
        <f>IF(L5946="", "Pending", IF(N5946&lt;=30, "Met", "Breached"))</f>
        <v/>
      </c>
      <c r="P5946" s="8" t="n"/>
      <c r="Q5946" s="8" t="n"/>
      <c r="R5946" s="8" t="n"/>
      <c r="S5946" s="8" t="n"/>
      <c r="T5946" s="8" t="n"/>
      <c r="U5946" s="8" t="n"/>
      <c r="V5946" s="8" t="n"/>
      <c r="W5946" s="8" t="n"/>
      <c r="X5946" s="8" t="n"/>
      <c r="Y5946" s="8" t="n"/>
    </row>
    <row r="5947">
      <c r="A5947" s="8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8" t="n"/>
      <c r="K5947" s="8" t="n"/>
      <c r="L5947" s="8" t="n"/>
      <c r="M5947" s="9">
        <f>B5947+30</f>
        <v/>
      </c>
      <c r="N5947">
        <f>IF(L5947="", "", L5947-B5947)</f>
        <v/>
      </c>
      <c r="O5947">
        <f>IF(L5947="", "Pending", IF(N5947&lt;=30, "Met", "Breached"))</f>
        <v/>
      </c>
      <c r="P5947" s="8" t="n"/>
      <c r="Q5947" s="8" t="n"/>
      <c r="R5947" s="8" t="n"/>
      <c r="S5947" s="8" t="n"/>
      <c r="T5947" s="8" t="n"/>
      <c r="U5947" s="8" t="n"/>
      <c r="V5947" s="8" t="n"/>
      <c r="W5947" s="8" t="n"/>
      <c r="X5947" s="8" t="n"/>
      <c r="Y5947" s="8" t="n"/>
    </row>
    <row r="5948">
      <c r="A5948" s="8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8" t="n"/>
      <c r="K5948" s="8" t="n"/>
      <c r="L5948" s="8" t="n"/>
      <c r="M5948" s="9">
        <f>B5948+30</f>
        <v/>
      </c>
      <c r="N5948">
        <f>IF(L5948="", "", L5948-B5948)</f>
        <v/>
      </c>
      <c r="O5948">
        <f>IF(L5948="", "Pending", IF(N5948&lt;=30, "Met", "Breached"))</f>
        <v/>
      </c>
      <c r="P5948" s="8" t="n"/>
      <c r="Q5948" s="8" t="n"/>
      <c r="R5948" s="8" t="n"/>
      <c r="S5948" s="8" t="n"/>
      <c r="T5948" s="8" t="n"/>
      <c r="U5948" s="8" t="n"/>
      <c r="V5948" s="8" t="n"/>
      <c r="W5948" s="8" t="n"/>
      <c r="X5948" s="8" t="n"/>
      <c r="Y5948" s="8" t="n"/>
    </row>
    <row r="5949">
      <c r="A5949" s="8" t="n"/>
      <c r="B5949" s="8" t="n"/>
      <c r="C5949" s="8" t="n"/>
      <c r="D5949" s="8" t="n"/>
      <c r="E5949" s="8" t="n"/>
      <c r="F5949" s="8" t="n"/>
      <c r="G5949" s="8" t="n"/>
      <c r="H5949" s="8" t="n"/>
      <c r="I5949" s="8" t="n"/>
      <c r="J5949" s="8" t="n"/>
      <c r="K5949" s="8" t="n"/>
      <c r="L5949" s="8" t="n"/>
      <c r="M5949" s="9">
        <f>B5949+30</f>
        <v/>
      </c>
      <c r="N5949">
        <f>IF(L5949="", "", L5949-B5949)</f>
        <v/>
      </c>
      <c r="O5949">
        <f>IF(L5949="", "Pending", IF(N5949&lt;=30, "Met", "Breached"))</f>
        <v/>
      </c>
      <c r="P5949" s="8" t="n"/>
      <c r="Q5949" s="8" t="n"/>
      <c r="R5949" s="8" t="n"/>
      <c r="S5949" s="8" t="n"/>
      <c r="T5949" s="8" t="n"/>
      <c r="U5949" s="8" t="n"/>
      <c r="V5949" s="8" t="n"/>
      <c r="W5949" s="8" t="n"/>
      <c r="X5949" s="8" t="n"/>
      <c r="Y5949" s="8" t="n"/>
    </row>
    <row r="5950">
      <c r="A5950" s="8" t="n"/>
      <c r="B5950" s="8" t="n"/>
      <c r="C5950" s="8" t="n"/>
      <c r="D5950" s="8" t="n"/>
      <c r="E5950" s="8" t="n"/>
      <c r="F5950" s="8" t="n"/>
      <c r="G5950" s="8" t="n"/>
      <c r="H5950" s="8" t="n"/>
      <c r="I5950" s="8" t="n"/>
      <c r="J5950" s="8" t="n"/>
      <c r="K5950" s="8" t="n"/>
      <c r="L5950" s="8" t="n"/>
      <c r="M5950" s="9">
        <f>B5950+30</f>
        <v/>
      </c>
      <c r="N5950">
        <f>IF(L5950="", "", L5950-B5950)</f>
        <v/>
      </c>
      <c r="O5950">
        <f>IF(L5950="", "Pending", IF(N5950&lt;=30, "Met", "Breached"))</f>
        <v/>
      </c>
      <c r="P5950" s="8" t="n"/>
      <c r="Q5950" s="8" t="n"/>
      <c r="R5950" s="8" t="n"/>
      <c r="S5950" s="8" t="n"/>
      <c r="T5950" s="8" t="n"/>
      <c r="U5950" s="8" t="n"/>
      <c r="V5950" s="8" t="n"/>
      <c r="W5950" s="8" t="n"/>
      <c r="X5950" s="8" t="n"/>
      <c r="Y5950" s="8" t="n"/>
    </row>
    <row r="5951">
      <c r="A5951" s="8" t="n"/>
      <c r="B5951" s="8" t="n"/>
      <c r="C5951" s="8" t="n"/>
      <c r="D5951" s="8" t="n"/>
      <c r="E5951" s="8" t="n"/>
      <c r="F5951" s="8" t="n"/>
      <c r="G5951" s="8" t="n"/>
      <c r="H5951" s="8" t="n"/>
      <c r="I5951" s="8" t="n"/>
      <c r="J5951" s="8" t="n"/>
      <c r="K5951" s="8" t="n"/>
      <c r="L5951" s="8" t="n"/>
      <c r="M5951" s="9">
        <f>B5951+30</f>
        <v/>
      </c>
      <c r="N5951">
        <f>IF(L5951="", "", L5951-B5951)</f>
        <v/>
      </c>
      <c r="O5951">
        <f>IF(L5951="", "Pending", IF(N5951&lt;=30, "Met", "Breached"))</f>
        <v/>
      </c>
      <c r="P5951" s="8" t="n"/>
      <c r="Q5951" s="8" t="n"/>
      <c r="R5951" s="8" t="n"/>
      <c r="S5951" s="8" t="n"/>
      <c r="T5951" s="8" t="n"/>
      <c r="U5951" s="8" t="n"/>
      <c r="V5951" s="8" t="n"/>
      <c r="W5951" s="8" t="n"/>
      <c r="X5951" s="8" t="n"/>
      <c r="Y5951" s="8" t="n"/>
    </row>
    <row r="5952">
      <c r="A5952" s="8" t="n"/>
      <c r="B5952" s="8" t="n"/>
      <c r="C5952" s="8" t="n"/>
      <c r="D5952" s="8" t="n"/>
      <c r="E5952" s="8" t="n"/>
      <c r="F5952" s="8" t="n"/>
      <c r="G5952" s="8" t="n"/>
      <c r="H5952" s="8" t="n"/>
      <c r="I5952" s="8" t="n"/>
      <c r="J5952" s="8" t="n"/>
      <c r="K5952" s="8" t="n"/>
      <c r="L5952" s="8" t="n"/>
      <c r="M5952" s="9">
        <f>B5952+30</f>
        <v/>
      </c>
      <c r="N5952">
        <f>IF(L5952="", "", L5952-B5952)</f>
        <v/>
      </c>
      <c r="O5952">
        <f>IF(L5952="", "Pending", IF(N5952&lt;=30, "Met", "Breached"))</f>
        <v/>
      </c>
      <c r="P5952" s="8" t="n"/>
      <c r="Q5952" s="8" t="n"/>
      <c r="R5952" s="8" t="n"/>
      <c r="S5952" s="8" t="n"/>
      <c r="T5952" s="8" t="n"/>
      <c r="U5952" s="8" t="n"/>
      <c r="V5952" s="8" t="n"/>
      <c r="W5952" s="8" t="n"/>
      <c r="X5952" s="8" t="n"/>
      <c r="Y5952" s="8" t="n"/>
    </row>
    <row r="5953">
      <c r="A5953" s="8" t="n"/>
      <c r="B5953" s="8" t="n"/>
      <c r="C5953" s="8" t="n"/>
      <c r="D5953" s="8" t="n"/>
      <c r="E5953" s="8" t="n"/>
      <c r="F5953" s="8" t="n"/>
      <c r="G5953" s="8" t="n"/>
      <c r="H5953" s="8" t="n"/>
      <c r="I5953" s="8" t="n"/>
      <c r="J5953" s="8" t="n"/>
      <c r="K5953" s="8" t="n"/>
      <c r="L5953" s="8" t="n"/>
      <c r="M5953" s="9">
        <f>B5953+30</f>
        <v/>
      </c>
      <c r="N5953">
        <f>IF(L5953="", "", L5953-B5953)</f>
        <v/>
      </c>
      <c r="O5953">
        <f>IF(L5953="", "Pending", IF(N5953&lt;=30, "Met", "Breached"))</f>
        <v/>
      </c>
      <c r="P5953" s="8" t="n"/>
      <c r="Q5953" s="8" t="n"/>
      <c r="R5953" s="8" t="n"/>
      <c r="S5953" s="8" t="n"/>
      <c r="T5953" s="8" t="n"/>
      <c r="U5953" s="8" t="n"/>
      <c r="V5953" s="8" t="n"/>
      <c r="W5953" s="8" t="n"/>
      <c r="X5953" s="8" t="n"/>
      <c r="Y5953" s="8" t="n"/>
    </row>
    <row r="5954">
      <c r="A5954" s="8" t="n"/>
      <c r="B5954" s="8" t="n"/>
      <c r="C5954" s="8" t="n"/>
      <c r="D5954" s="8" t="n"/>
      <c r="E5954" s="8" t="n"/>
      <c r="F5954" s="8" t="n"/>
      <c r="G5954" s="8" t="n"/>
      <c r="H5954" s="8" t="n"/>
      <c r="I5954" s="8" t="n"/>
      <c r="J5954" s="8" t="n"/>
      <c r="K5954" s="8" t="n"/>
      <c r="L5954" s="8" t="n"/>
      <c r="M5954" s="9">
        <f>B5954+30</f>
        <v/>
      </c>
      <c r="N5954">
        <f>IF(L5954="", "", L5954-B5954)</f>
        <v/>
      </c>
      <c r="O5954">
        <f>IF(L5954="", "Pending", IF(N5954&lt;=30, "Met", "Breached"))</f>
        <v/>
      </c>
      <c r="P5954" s="8" t="n"/>
      <c r="Q5954" s="8" t="n"/>
      <c r="R5954" s="8" t="n"/>
      <c r="S5954" s="8" t="n"/>
      <c r="T5954" s="8" t="n"/>
      <c r="U5954" s="8" t="n"/>
      <c r="V5954" s="8" t="n"/>
      <c r="W5954" s="8" t="n"/>
      <c r="X5954" s="8" t="n"/>
      <c r="Y5954" s="8" t="n"/>
    </row>
    <row r="5955">
      <c r="A5955" s="8" t="n"/>
      <c r="B5955" s="8" t="n"/>
      <c r="C5955" s="8" t="n"/>
      <c r="D5955" s="8" t="n"/>
      <c r="E5955" s="8" t="n"/>
      <c r="F5955" s="8" t="n"/>
      <c r="G5955" s="8" t="n"/>
      <c r="H5955" s="8" t="n"/>
      <c r="I5955" s="8" t="n"/>
      <c r="J5955" s="8" t="n"/>
      <c r="K5955" s="8" t="n"/>
      <c r="L5955" s="8" t="n"/>
      <c r="M5955" s="9">
        <f>B5955+30</f>
        <v/>
      </c>
      <c r="N5955">
        <f>IF(L5955="", "", L5955-B5955)</f>
        <v/>
      </c>
      <c r="O5955">
        <f>IF(L5955="", "Pending", IF(N5955&lt;=30, "Met", "Breached"))</f>
        <v/>
      </c>
      <c r="P5955" s="8" t="n"/>
      <c r="Q5955" s="8" t="n"/>
      <c r="R5955" s="8" t="n"/>
      <c r="S5955" s="8" t="n"/>
      <c r="T5955" s="8" t="n"/>
      <c r="U5955" s="8" t="n"/>
      <c r="V5955" s="8" t="n"/>
      <c r="W5955" s="8" t="n"/>
      <c r="X5955" s="8" t="n"/>
      <c r="Y5955" s="8" t="n"/>
    </row>
    <row r="5956">
      <c r="A5956" s="8" t="n"/>
      <c r="B5956" s="8" t="n"/>
      <c r="C5956" s="8" t="n"/>
      <c r="D5956" s="8" t="n"/>
      <c r="E5956" s="8" t="n"/>
      <c r="F5956" s="8" t="n"/>
      <c r="G5956" s="8" t="n"/>
      <c r="H5956" s="8" t="n"/>
      <c r="I5956" s="8" t="n"/>
      <c r="J5956" s="8" t="n"/>
      <c r="K5956" s="8" t="n"/>
      <c r="L5956" s="8" t="n"/>
      <c r="M5956" s="9">
        <f>B5956+30</f>
        <v/>
      </c>
      <c r="N5956">
        <f>IF(L5956="", "", L5956-B5956)</f>
        <v/>
      </c>
      <c r="O5956">
        <f>IF(L5956="", "Pending", IF(N5956&lt;=30, "Met", "Breached"))</f>
        <v/>
      </c>
      <c r="P5956" s="8" t="n"/>
      <c r="Q5956" s="8" t="n"/>
      <c r="R5956" s="8" t="n"/>
      <c r="S5956" s="8" t="n"/>
      <c r="T5956" s="8" t="n"/>
      <c r="U5956" s="8" t="n"/>
      <c r="V5956" s="8" t="n"/>
      <c r="W5956" s="8" t="n"/>
      <c r="X5956" s="8" t="n"/>
      <c r="Y5956" s="8" t="n"/>
    </row>
    <row r="5957">
      <c r="A5957" s="8" t="n"/>
      <c r="B5957" s="8" t="n"/>
      <c r="C5957" s="8" t="n"/>
      <c r="D5957" s="8" t="n"/>
      <c r="E5957" s="8" t="n"/>
      <c r="F5957" s="8" t="n"/>
      <c r="G5957" s="8" t="n"/>
      <c r="H5957" s="8" t="n"/>
      <c r="I5957" s="8" t="n"/>
      <c r="J5957" s="8" t="n"/>
      <c r="K5957" s="8" t="n"/>
      <c r="L5957" s="8" t="n"/>
      <c r="M5957" s="9">
        <f>B5957+30</f>
        <v/>
      </c>
      <c r="N5957">
        <f>IF(L5957="", "", L5957-B5957)</f>
        <v/>
      </c>
      <c r="O5957">
        <f>IF(L5957="", "Pending", IF(N5957&lt;=30, "Met", "Breached"))</f>
        <v/>
      </c>
      <c r="P5957" s="8" t="n"/>
      <c r="Q5957" s="8" t="n"/>
      <c r="R5957" s="8" t="n"/>
      <c r="S5957" s="8" t="n"/>
      <c r="T5957" s="8" t="n"/>
      <c r="U5957" s="8" t="n"/>
      <c r="V5957" s="8" t="n"/>
      <c r="W5957" s="8" t="n"/>
      <c r="X5957" s="8" t="n"/>
      <c r="Y5957" s="8" t="n"/>
    </row>
    <row r="5958">
      <c r="A5958" s="8" t="n"/>
      <c r="B5958" s="8" t="n"/>
      <c r="C5958" s="8" t="n"/>
      <c r="D5958" s="8" t="n"/>
      <c r="E5958" s="8" t="n"/>
      <c r="F5958" s="8" t="n"/>
      <c r="G5958" s="8" t="n"/>
      <c r="H5958" s="8" t="n"/>
      <c r="I5958" s="8" t="n"/>
      <c r="J5958" s="8" t="n"/>
      <c r="K5958" s="8" t="n"/>
      <c r="L5958" s="8" t="n"/>
      <c r="M5958" s="9">
        <f>B5958+30</f>
        <v/>
      </c>
      <c r="N5958">
        <f>IF(L5958="", "", L5958-B5958)</f>
        <v/>
      </c>
      <c r="O5958">
        <f>IF(L5958="", "Pending", IF(N5958&lt;=30, "Met", "Breached"))</f>
        <v/>
      </c>
      <c r="P5958" s="8" t="n"/>
      <c r="Q5958" s="8" t="n"/>
      <c r="R5958" s="8" t="n"/>
      <c r="S5958" s="8" t="n"/>
      <c r="T5958" s="8" t="n"/>
      <c r="U5958" s="8" t="n"/>
      <c r="V5958" s="8" t="n"/>
      <c r="W5958" s="8" t="n"/>
      <c r="X5958" s="8" t="n"/>
      <c r="Y5958" s="8" t="n"/>
    </row>
    <row r="5959">
      <c r="A5959" s="8" t="n"/>
      <c r="B5959" s="8" t="n"/>
      <c r="C5959" s="8" t="n"/>
      <c r="D5959" s="8" t="n"/>
      <c r="E5959" s="8" t="n"/>
      <c r="F5959" s="8" t="n"/>
      <c r="G5959" s="8" t="n"/>
      <c r="H5959" s="8" t="n"/>
      <c r="I5959" s="8" t="n"/>
      <c r="J5959" s="8" t="n"/>
      <c r="K5959" s="8" t="n"/>
      <c r="L5959" s="8" t="n"/>
      <c r="M5959" s="9">
        <f>B5959+30</f>
        <v/>
      </c>
      <c r="N5959">
        <f>IF(L5959="", "", L5959-B5959)</f>
        <v/>
      </c>
      <c r="O5959">
        <f>IF(L5959="", "Pending", IF(N5959&lt;=30, "Met", "Breached"))</f>
        <v/>
      </c>
      <c r="P5959" s="8" t="n"/>
      <c r="Q5959" s="8" t="n"/>
      <c r="R5959" s="8" t="n"/>
      <c r="S5959" s="8" t="n"/>
      <c r="T5959" s="8" t="n"/>
      <c r="U5959" s="8" t="n"/>
      <c r="V5959" s="8" t="n"/>
      <c r="W5959" s="8" t="n"/>
      <c r="X5959" s="8" t="n"/>
      <c r="Y5959" s="8" t="n"/>
    </row>
    <row r="5960">
      <c r="A5960" s="8" t="n"/>
      <c r="B5960" s="8" t="n"/>
      <c r="C5960" s="8" t="n"/>
      <c r="D5960" s="8" t="n"/>
      <c r="E5960" s="8" t="n"/>
      <c r="F5960" s="8" t="n"/>
      <c r="G5960" s="8" t="n"/>
      <c r="H5960" s="8" t="n"/>
      <c r="I5960" s="8" t="n"/>
      <c r="J5960" s="8" t="n"/>
      <c r="K5960" s="8" t="n"/>
      <c r="L5960" s="8" t="n"/>
      <c r="M5960" s="9">
        <f>B5960+30</f>
        <v/>
      </c>
      <c r="N5960">
        <f>IF(L5960="", "", L5960-B5960)</f>
        <v/>
      </c>
      <c r="O5960">
        <f>IF(L5960="", "Pending", IF(N5960&lt;=30, "Met", "Breached"))</f>
        <v/>
      </c>
      <c r="P5960" s="8" t="n"/>
      <c r="Q5960" s="8" t="n"/>
      <c r="R5960" s="8" t="n"/>
      <c r="S5960" s="8" t="n"/>
      <c r="T5960" s="8" t="n"/>
      <c r="U5960" s="8" t="n"/>
      <c r="V5960" s="8" t="n"/>
      <c r="W5960" s="8" t="n"/>
      <c r="X5960" s="8" t="n"/>
      <c r="Y5960" s="8" t="n"/>
    </row>
    <row r="5961">
      <c r="A5961" s="8" t="n"/>
      <c r="B5961" s="8" t="n"/>
      <c r="C5961" s="8" t="n"/>
      <c r="D5961" s="8" t="n"/>
      <c r="E5961" s="8" t="n"/>
      <c r="F5961" s="8" t="n"/>
      <c r="G5961" s="8" t="n"/>
      <c r="H5961" s="8" t="n"/>
      <c r="I5961" s="8" t="n"/>
      <c r="J5961" s="8" t="n"/>
      <c r="K5961" s="8" t="n"/>
      <c r="L5961" s="8" t="n"/>
      <c r="M5961" s="9">
        <f>B5961+30</f>
        <v/>
      </c>
      <c r="N5961">
        <f>IF(L5961="", "", L5961-B5961)</f>
        <v/>
      </c>
      <c r="O5961">
        <f>IF(L5961="", "Pending", IF(N5961&lt;=30, "Met", "Breached"))</f>
        <v/>
      </c>
      <c r="P5961" s="8" t="n"/>
      <c r="Q5961" s="8" t="n"/>
      <c r="R5961" s="8" t="n"/>
      <c r="S5961" s="8" t="n"/>
      <c r="T5961" s="8" t="n"/>
      <c r="U5961" s="8" t="n"/>
      <c r="V5961" s="8" t="n"/>
      <c r="W5961" s="8" t="n"/>
      <c r="X5961" s="8" t="n"/>
      <c r="Y5961" s="8" t="n"/>
    </row>
    <row r="5962">
      <c r="A5962" s="8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8" t="n"/>
      <c r="K5962" s="8" t="n"/>
      <c r="L5962" s="8" t="n"/>
      <c r="M5962" s="9">
        <f>B5962+30</f>
        <v/>
      </c>
      <c r="N5962">
        <f>IF(L5962="", "", L5962-B5962)</f>
        <v/>
      </c>
      <c r="O5962">
        <f>IF(L5962="", "Pending", IF(N5962&lt;=30, "Met", "Breached"))</f>
        <v/>
      </c>
      <c r="P5962" s="8" t="n"/>
      <c r="Q5962" s="8" t="n"/>
      <c r="R5962" s="8" t="n"/>
      <c r="S5962" s="8" t="n"/>
      <c r="T5962" s="8" t="n"/>
      <c r="U5962" s="8" t="n"/>
      <c r="V5962" s="8" t="n"/>
      <c r="W5962" s="8" t="n"/>
      <c r="X5962" s="8" t="n"/>
      <c r="Y5962" s="8" t="n"/>
    </row>
    <row r="5963">
      <c r="A5963" s="8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8" t="n"/>
      <c r="K5963" s="8" t="n"/>
      <c r="L5963" s="8" t="n"/>
      <c r="M5963" s="9">
        <f>B5963+30</f>
        <v/>
      </c>
      <c r="N5963">
        <f>IF(L5963="", "", L5963-B5963)</f>
        <v/>
      </c>
      <c r="O5963">
        <f>IF(L5963="", "Pending", IF(N5963&lt;=30, "Met", "Breached"))</f>
        <v/>
      </c>
      <c r="P5963" s="8" t="n"/>
      <c r="Q5963" s="8" t="n"/>
      <c r="R5963" s="8" t="n"/>
      <c r="S5963" s="8" t="n"/>
      <c r="T5963" s="8" t="n"/>
      <c r="U5963" s="8" t="n"/>
      <c r="V5963" s="8" t="n"/>
      <c r="W5963" s="8" t="n"/>
      <c r="X5963" s="8" t="n"/>
      <c r="Y5963" s="8" t="n"/>
    </row>
    <row r="5964">
      <c r="A5964" s="8" t="n"/>
      <c r="B5964" s="8" t="n"/>
      <c r="C5964" s="8" t="n"/>
      <c r="D5964" s="8" t="n"/>
      <c r="E5964" s="8" t="n"/>
      <c r="F5964" s="8" t="n"/>
      <c r="G5964" s="8" t="n"/>
      <c r="H5964" s="8" t="n"/>
      <c r="I5964" s="8" t="n"/>
      <c r="J5964" s="8" t="n"/>
      <c r="K5964" s="8" t="n"/>
      <c r="L5964" s="8" t="n"/>
      <c r="M5964" s="9">
        <f>B5964+30</f>
        <v/>
      </c>
      <c r="N5964">
        <f>IF(L5964="", "", L5964-B5964)</f>
        <v/>
      </c>
      <c r="O5964">
        <f>IF(L5964="", "Pending", IF(N5964&lt;=30, "Met", "Breached"))</f>
        <v/>
      </c>
      <c r="P5964" s="8" t="n"/>
      <c r="Q5964" s="8" t="n"/>
      <c r="R5964" s="8" t="n"/>
      <c r="S5964" s="8" t="n"/>
      <c r="T5964" s="8" t="n"/>
      <c r="U5964" s="8" t="n"/>
      <c r="V5964" s="8" t="n"/>
      <c r="W5964" s="8" t="n"/>
      <c r="X5964" s="8" t="n"/>
      <c r="Y5964" s="8" t="n"/>
    </row>
    <row r="5965">
      <c r="A5965" s="8" t="n"/>
      <c r="B5965" s="8" t="n"/>
      <c r="C5965" s="8" t="n"/>
      <c r="D5965" s="8" t="n"/>
      <c r="E5965" s="8" t="n"/>
      <c r="F5965" s="8" t="n"/>
      <c r="G5965" s="8" t="n"/>
      <c r="H5965" s="8" t="n"/>
      <c r="I5965" s="8" t="n"/>
      <c r="J5965" s="8" t="n"/>
      <c r="K5965" s="8" t="n"/>
      <c r="L5965" s="8" t="n"/>
      <c r="M5965" s="9">
        <f>B5965+30</f>
        <v/>
      </c>
      <c r="N5965">
        <f>IF(L5965="", "", L5965-B5965)</f>
        <v/>
      </c>
      <c r="O5965">
        <f>IF(L5965="", "Pending", IF(N5965&lt;=30, "Met", "Breached"))</f>
        <v/>
      </c>
      <c r="P5965" s="8" t="n"/>
      <c r="Q5965" s="8" t="n"/>
      <c r="R5965" s="8" t="n"/>
      <c r="S5965" s="8" t="n"/>
      <c r="T5965" s="8" t="n"/>
      <c r="U5965" s="8" t="n"/>
      <c r="V5965" s="8" t="n"/>
      <c r="W5965" s="8" t="n"/>
      <c r="X5965" s="8" t="n"/>
      <c r="Y5965" s="8" t="n"/>
    </row>
    <row r="5966">
      <c r="A5966" s="8" t="n"/>
      <c r="B5966" s="8" t="n"/>
      <c r="C5966" s="8" t="n"/>
      <c r="D5966" s="8" t="n"/>
      <c r="E5966" s="8" t="n"/>
      <c r="F5966" s="8" t="n"/>
      <c r="G5966" s="8" t="n"/>
      <c r="H5966" s="8" t="n"/>
      <c r="I5966" s="8" t="n"/>
      <c r="J5966" s="8" t="n"/>
      <c r="K5966" s="8" t="n"/>
      <c r="L5966" s="8" t="n"/>
      <c r="M5966" s="9">
        <f>B5966+30</f>
        <v/>
      </c>
      <c r="N5966">
        <f>IF(L5966="", "", L5966-B5966)</f>
        <v/>
      </c>
      <c r="O5966">
        <f>IF(L5966="", "Pending", IF(N5966&lt;=30, "Met", "Breached"))</f>
        <v/>
      </c>
      <c r="P5966" s="8" t="n"/>
      <c r="Q5966" s="8" t="n"/>
      <c r="R5966" s="8" t="n"/>
      <c r="S5966" s="8" t="n"/>
      <c r="T5966" s="8" t="n"/>
      <c r="U5966" s="8" t="n"/>
      <c r="V5966" s="8" t="n"/>
      <c r="W5966" s="8" t="n"/>
      <c r="X5966" s="8" t="n"/>
      <c r="Y5966" s="8" t="n"/>
    </row>
    <row r="5967">
      <c r="A5967" s="8" t="n"/>
      <c r="B5967" s="8" t="n"/>
      <c r="C5967" s="8" t="n"/>
      <c r="D5967" s="8" t="n"/>
      <c r="E5967" s="8" t="n"/>
      <c r="F5967" s="8" t="n"/>
      <c r="G5967" s="8" t="n"/>
      <c r="H5967" s="8" t="n"/>
      <c r="I5967" s="8" t="n"/>
      <c r="J5967" s="8" t="n"/>
      <c r="K5967" s="8" t="n"/>
      <c r="L5967" s="8" t="n"/>
      <c r="M5967" s="9">
        <f>B5967+30</f>
        <v/>
      </c>
      <c r="N5967">
        <f>IF(L5967="", "", L5967-B5967)</f>
        <v/>
      </c>
      <c r="O5967">
        <f>IF(L5967="", "Pending", IF(N5967&lt;=30, "Met", "Breached"))</f>
        <v/>
      </c>
      <c r="P5967" s="8" t="n"/>
      <c r="Q5967" s="8" t="n"/>
      <c r="R5967" s="8" t="n"/>
      <c r="S5967" s="8" t="n"/>
      <c r="T5967" s="8" t="n"/>
      <c r="U5967" s="8" t="n"/>
      <c r="V5967" s="8" t="n"/>
      <c r="W5967" s="8" t="n"/>
      <c r="X5967" s="8" t="n"/>
      <c r="Y5967" s="8" t="n"/>
    </row>
    <row r="5968">
      <c r="A5968" s="8" t="n"/>
      <c r="B5968" s="8" t="n"/>
      <c r="C5968" s="8" t="n"/>
      <c r="D5968" s="8" t="n"/>
      <c r="E5968" s="8" t="n"/>
      <c r="F5968" s="8" t="n"/>
      <c r="G5968" s="8" t="n"/>
      <c r="H5968" s="8" t="n"/>
      <c r="I5968" s="8" t="n"/>
      <c r="J5968" s="8" t="n"/>
      <c r="K5968" s="8" t="n"/>
      <c r="L5968" s="8" t="n"/>
      <c r="M5968" s="9">
        <f>B5968+30</f>
        <v/>
      </c>
      <c r="N5968">
        <f>IF(L5968="", "", L5968-B5968)</f>
        <v/>
      </c>
      <c r="O5968">
        <f>IF(L5968="", "Pending", IF(N5968&lt;=30, "Met", "Breached"))</f>
        <v/>
      </c>
      <c r="P5968" s="8" t="n"/>
      <c r="Q5968" s="8" t="n"/>
      <c r="R5968" s="8" t="n"/>
      <c r="S5968" s="8" t="n"/>
      <c r="T5968" s="8" t="n"/>
      <c r="U5968" s="8" t="n"/>
      <c r="V5968" s="8" t="n"/>
      <c r="W5968" s="8" t="n"/>
      <c r="X5968" s="8" t="n"/>
      <c r="Y5968" s="8" t="n"/>
    </row>
    <row r="5969">
      <c r="A5969" s="8" t="n"/>
      <c r="B5969" s="8" t="n"/>
      <c r="C5969" s="8" t="n"/>
      <c r="D5969" s="8" t="n"/>
      <c r="E5969" s="8" t="n"/>
      <c r="F5969" s="8" t="n"/>
      <c r="G5969" s="8" t="n"/>
      <c r="H5969" s="8" t="n"/>
      <c r="I5969" s="8" t="n"/>
      <c r="J5969" s="8" t="n"/>
      <c r="K5969" s="8" t="n"/>
      <c r="L5969" s="8" t="n"/>
      <c r="M5969" s="9">
        <f>B5969+30</f>
        <v/>
      </c>
      <c r="N5969">
        <f>IF(L5969="", "", L5969-B5969)</f>
        <v/>
      </c>
      <c r="O5969">
        <f>IF(L5969="", "Pending", IF(N5969&lt;=30, "Met", "Breached"))</f>
        <v/>
      </c>
      <c r="P5969" s="8" t="n"/>
      <c r="Q5969" s="8" t="n"/>
      <c r="R5969" s="8" t="n"/>
      <c r="S5969" s="8" t="n"/>
      <c r="T5969" s="8" t="n"/>
      <c r="U5969" s="8" t="n"/>
      <c r="V5969" s="8" t="n"/>
      <c r="W5969" s="8" t="n"/>
      <c r="X5969" s="8" t="n"/>
      <c r="Y5969" s="8" t="n"/>
    </row>
    <row r="5970">
      <c r="A5970" s="8" t="n"/>
      <c r="B5970" s="8" t="n"/>
      <c r="C5970" s="8" t="n"/>
      <c r="D5970" s="8" t="n"/>
      <c r="E5970" s="8" t="n"/>
      <c r="F5970" s="8" t="n"/>
      <c r="G5970" s="8" t="n"/>
      <c r="H5970" s="8" t="n"/>
      <c r="I5970" s="8" t="n"/>
      <c r="J5970" s="8" t="n"/>
      <c r="K5970" s="8" t="n"/>
      <c r="L5970" s="8" t="n"/>
      <c r="M5970" s="9">
        <f>B5970+30</f>
        <v/>
      </c>
      <c r="N5970">
        <f>IF(L5970="", "", L5970-B5970)</f>
        <v/>
      </c>
      <c r="O5970">
        <f>IF(L5970="", "Pending", IF(N5970&lt;=30, "Met", "Breached"))</f>
        <v/>
      </c>
      <c r="P5970" s="8" t="n"/>
      <c r="Q5970" s="8" t="n"/>
      <c r="R5970" s="8" t="n"/>
      <c r="S5970" s="8" t="n"/>
      <c r="T5970" s="8" t="n"/>
      <c r="U5970" s="8" t="n"/>
      <c r="V5970" s="8" t="n"/>
      <c r="W5970" s="8" t="n"/>
      <c r="X5970" s="8" t="n"/>
      <c r="Y5970" s="8" t="n"/>
    </row>
    <row r="5971">
      <c r="A5971" s="8" t="n"/>
      <c r="B5971" s="8" t="n"/>
      <c r="C5971" s="8" t="n"/>
      <c r="D5971" s="8" t="n"/>
      <c r="E5971" s="8" t="n"/>
      <c r="F5971" s="8" t="n"/>
      <c r="G5971" s="8" t="n"/>
      <c r="H5971" s="8" t="n"/>
      <c r="I5971" s="8" t="n"/>
      <c r="J5971" s="8" t="n"/>
      <c r="K5971" s="8" t="n"/>
      <c r="L5971" s="8" t="n"/>
      <c r="M5971" s="9">
        <f>B5971+30</f>
        <v/>
      </c>
      <c r="N5971">
        <f>IF(L5971="", "", L5971-B5971)</f>
        <v/>
      </c>
      <c r="O5971">
        <f>IF(L5971="", "Pending", IF(N5971&lt;=30, "Met", "Breached"))</f>
        <v/>
      </c>
      <c r="P5971" s="8" t="n"/>
      <c r="Q5971" s="8" t="n"/>
      <c r="R5971" s="8" t="n"/>
      <c r="S5971" s="8" t="n"/>
      <c r="T5971" s="8" t="n"/>
      <c r="U5971" s="8" t="n"/>
      <c r="V5971" s="8" t="n"/>
      <c r="W5971" s="8" t="n"/>
      <c r="X5971" s="8" t="n"/>
      <c r="Y5971" s="8" t="n"/>
    </row>
    <row r="5972">
      <c r="A5972" s="8" t="n"/>
      <c r="B5972" s="8" t="n"/>
      <c r="C5972" s="8" t="n"/>
      <c r="D5972" s="8" t="n"/>
      <c r="E5972" s="8" t="n"/>
      <c r="F5972" s="8" t="n"/>
      <c r="G5972" s="8" t="n"/>
      <c r="H5972" s="8" t="n"/>
      <c r="I5972" s="8" t="n"/>
      <c r="J5972" s="8" t="n"/>
      <c r="K5972" s="8" t="n"/>
      <c r="L5972" s="8" t="n"/>
      <c r="M5972" s="9">
        <f>B5972+30</f>
        <v/>
      </c>
      <c r="N5972">
        <f>IF(L5972="", "", L5972-B5972)</f>
        <v/>
      </c>
      <c r="O5972">
        <f>IF(L5972="", "Pending", IF(N5972&lt;=30, "Met", "Breached"))</f>
        <v/>
      </c>
      <c r="P5972" s="8" t="n"/>
      <c r="Q5972" s="8" t="n"/>
      <c r="R5972" s="8" t="n"/>
      <c r="S5972" s="8" t="n"/>
      <c r="T5972" s="8" t="n"/>
      <c r="U5972" s="8" t="n"/>
      <c r="V5972" s="8" t="n"/>
      <c r="W5972" s="8" t="n"/>
      <c r="X5972" s="8" t="n"/>
      <c r="Y5972" s="8" t="n"/>
    </row>
    <row r="5973">
      <c r="A5973" s="8" t="n"/>
      <c r="B5973" s="8" t="n"/>
      <c r="C5973" s="8" t="n"/>
      <c r="D5973" s="8" t="n"/>
      <c r="E5973" s="8" t="n"/>
      <c r="F5973" s="8" t="n"/>
      <c r="G5973" s="8" t="n"/>
      <c r="H5973" s="8" t="n"/>
      <c r="I5973" s="8" t="n"/>
      <c r="J5973" s="8" t="n"/>
      <c r="K5973" s="8" t="n"/>
      <c r="L5973" s="8" t="n"/>
      <c r="M5973" s="9">
        <f>B5973+30</f>
        <v/>
      </c>
      <c r="N5973">
        <f>IF(L5973="", "", L5973-B5973)</f>
        <v/>
      </c>
      <c r="O5973">
        <f>IF(L5973="", "Pending", IF(N5973&lt;=30, "Met", "Breached"))</f>
        <v/>
      </c>
      <c r="P5973" s="8" t="n"/>
      <c r="Q5973" s="8" t="n"/>
      <c r="R5973" s="8" t="n"/>
      <c r="S5973" s="8" t="n"/>
      <c r="T5973" s="8" t="n"/>
      <c r="U5973" s="8" t="n"/>
      <c r="V5973" s="8" t="n"/>
      <c r="W5973" s="8" t="n"/>
      <c r="X5973" s="8" t="n"/>
      <c r="Y5973" s="8" t="n"/>
    </row>
    <row r="5974">
      <c r="A5974" s="8" t="n"/>
      <c r="B5974" s="8" t="n"/>
      <c r="C5974" s="8" t="n"/>
      <c r="D5974" s="8" t="n"/>
      <c r="E5974" s="8" t="n"/>
      <c r="F5974" s="8" t="n"/>
      <c r="G5974" s="8" t="n"/>
      <c r="H5974" s="8" t="n"/>
      <c r="I5974" s="8" t="n"/>
      <c r="J5974" s="8" t="n"/>
      <c r="K5974" s="8" t="n"/>
      <c r="L5974" s="8" t="n"/>
      <c r="M5974" s="9">
        <f>B5974+30</f>
        <v/>
      </c>
      <c r="N5974">
        <f>IF(L5974="", "", L5974-B5974)</f>
        <v/>
      </c>
      <c r="O5974">
        <f>IF(L5974="", "Pending", IF(N5974&lt;=30, "Met", "Breached"))</f>
        <v/>
      </c>
      <c r="P5974" s="8" t="n"/>
      <c r="Q5974" s="8" t="n"/>
      <c r="R5974" s="8" t="n"/>
      <c r="S5974" s="8" t="n"/>
      <c r="T5974" s="8" t="n"/>
      <c r="U5974" s="8" t="n"/>
      <c r="V5974" s="8" t="n"/>
      <c r="W5974" s="8" t="n"/>
      <c r="X5974" s="8" t="n"/>
      <c r="Y5974" s="8" t="n"/>
    </row>
    <row r="5975">
      <c r="A5975" s="8" t="n"/>
      <c r="B5975" s="8" t="n"/>
      <c r="C5975" s="8" t="n"/>
      <c r="D5975" s="8" t="n"/>
      <c r="E5975" s="8" t="n"/>
      <c r="F5975" s="8" t="n"/>
      <c r="G5975" s="8" t="n"/>
      <c r="H5975" s="8" t="n"/>
      <c r="I5975" s="8" t="n"/>
      <c r="J5975" s="8" t="n"/>
      <c r="K5975" s="8" t="n"/>
      <c r="L5975" s="8" t="n"/>
      <c r="M5975" s="9">
        <f>B5975+30</f>
        <v/>
      </c>
      <c r="N5975">
        <f>IF(L5975="", "", L5975-B5975)</f>
        <v/>
      </c>
      <c r="O5975">
        <f>IF(L5975="", "Pending", IF(N5975&lt;=30, "Met", "Breached"))</f>
        <v/>
      </c>
      <c r="P5975" s="8" t="n"/>
      <c r="Q5975" s="8" t="n"/>
      <c r="R5975" s="8" t="n"/>
      <c r="S5975" s="8" t="n"/>
      <c r="T5975" s="8" t="n"/>
      <c r="U5975" s="8" t="n"/>
      <c r="V5975" s="8" t="n"/>
      <c r="W5975" s="8" t="n"/>
      <c r="X5975" s="8" t="n"/>
      <c r="Y5975" s="8" t="n"/>
    </row>
    <row r="5976">
      <c r="A5976" s="8" t="n"/>
      <c r="B5976" s="8" t="n"/>
      <c r="C5976" s="8" t="n"/>
      <c r="D5976" s="8" t="n"/>
      <c r="E5976" s="8" t="n"/>
      <c r="F5976" s="8" t="n"/>
      <c r="G5976" s="8" t="n"/>
      <c r="H5976" s="8" t="n"/>
      <c r="I5976" s="8" t="n"/>
      <c r="J5976" s="8" t="n"/>
      <c r="K5976" s="8" t="n"/>
      <c r="L5976" s="8" t="n"/>
      <c r="M5976" s="9">
        <f>B5976+30</f>
        <v/>
      </c>
      <c r="N5976">
        <f>IF(L5976="", "", L5976-B5976)</f>
        <v/>
      </c>
      <c r="O5976">
        <f>IF(L5976="", "Pending", IF(N5976&lt;=30, "Met", "Breached"))</f>
        <v/>
      </c>
      <c r="P5976" s="8" t="n"/>
      <c r="Q5976" s="8" t="n"/>
      <c r="R5976" s="8" t="n"/>
      <c r="S5976" s="8" t="n"/>
      <c r="T5976" s="8" t="n"/>
      <c r="U5976" s="8" t="n"/>
      <c r="V5976" s="8" t="n"/>
      <c r="W5976" s="8" t="n"/>
      <c r="X5976" s="8" t="n"/>
      <c r="Y5976" s="8" t="n"/>
    </row>
    <row r="5977">
      <c r="A5977" s="8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8" t="n"/>
      <c r="K5977" s="8" t="n"/>
      <c r="L5977" s="8" t="n"/>
      <c r="M5977" s="9">
        <f>B5977+30</f>
        <v/>
      </c>
      <c r="N5977">
        <f>IF(L5977="", "", L5977-B5977)</f>
        <v/>
      </c>
      <c r="O5977">
        <f>IF(L5977="", "Pending", IF(N5977&lt;=30, "Met", "Breached"))</f>
        <v/>
      </c>
      <c r="P5977" s="8" t="n"/>
      <c r="Q5977" s="8" t="n"/>
      <c r="R5977" s="8" t="n"/>
      <c r="S5977" s="8" t="n"/>
      <c r="T5977" s="8" t="n"/>
      <c r="U5977" s="8" t="n"/>
      <c r="V5977" s="8" t="n"/>
      <c r="W5977" s="8" t="n"/>
      <c r="X5977" s="8" t="n"/>
      <c r="Y5977" s="8" t="n"/>
    </row>
    <row r="5978">
      <c r="A5978" s="8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8" t="n"/>
      <c r="K5978" s="8" t="n"/>
      <c r="L5978" s="8" t="n"/>
      <c r="M5978" s="9">
        <f>B5978+30</f>
        <v/>
      </c>
      <c r="N5978">
        <f>IF(L5978="", "", L5978-B5978)</f>
        <v/>
      </c>
      <c r="O5978">
        <f>IF(L5978="", "Pending", IF(N5978&lt;=30, "Met", "Breached"))</f>
        <v/>
      </c>
      <c r="P5978" s="8" t="n"/>
      <c r="Q5978" s="8" t="n"/>
      <c r="R5978" s="8" t="n"/>
      <c r="S5978" s="8" t="n"/>
      <c r="T5978" s="8" t="n"/>
      <c r="U5978" s="8" t="n"/>
      <c r="V5978" s="8" t="n"/>
      <c r="W5978" s="8" t="n"/>
      <c r="X5978" s="8" t="n"/>
      <c r="Y5978" s="8" t="n"/>
    </row>
    <row r="5979">
      <c r="A5979" s="8" t="n"/>
      <c r="B5979" s="8" t="n"/>
      <c r="C5979" s="8" t="n"/>
      <c r="D5979" s="8" t="n"/>
      <c r="E5979" s="8" t="n"/>
      <c r="F5979" s="8" t="n"/>
      <c r="G5979" s="8" t="n"/>
      <c r="H5979" s="8" t="n"/>
      <c r="I5979" s="8" t="n"/>
      <c r="J5979" s="8" t="n"/>
      <c r="K5979" s="8" t="n"/>
      <c r="L5979" s="8" t="n"/>
      <c r="M5979" s="9">
        <f>B5979+30</f>
        <v/>
      </c>
      <c r="N5979">
        <f>IF(L5979="", "", L5979-B5979)</f>
        <v/>
      </c>
      <c r="O5979">
        <f>IF(L5979="", "Pending", IF(N5979&lt;=30, "Met", "Breached"))</f>
        <v/>
      </c>
      <c r="P5979" s="8" t="n"/>
      <c r="Q5979" s="8" t="n"/>
      <c r="R5979" s="8" t="n"/>
      <c r="S5979" s="8" t="n"/>
      <c r="T5979" s="8" t="n"/>
      <c r="U5979" s="8" t="n"/>
      <c r="V5979" s="8" t="n"/>
      <c r="W5979" s="8" t="n"/>
      <c r="X5979" s="8" t="n"/>
      <c r="Y5979" s="8" t="n"/>
    </row>
    <row r="5980">
      <c r="A5980" s="8" t="n"/>
      <c r="B5980" s="8" t="n"/>
      <c r="C5980" s="8" t="n"/>
      <c r="D5980" s="8" t="n"/>
      <c r="E5980" s="8" t="n"/>
      <c r="F5980" s="8" t="n"/>
      <c r="G5980" s="8" t="n"/>
      <c r="H5980" s="8" t="n"/>
      <c r="I5980" s="8" t="n"/>
      <c r="J5980" s="8" t="n"/>
      <c r="K5980" s="8" t="n"/>
      <c r="L5980" s="8" t="n"/>
      <c r="M5980" s="9">
        <f>B5980+30</f>
        <v/>
      </c>
      <c r="N5980">
        <f>IF(L5980="", "", L5980-B5980)</f>
        <v/>
      </c>
      <c r="O5980">
        <f>IF(L5980="", "Pending", IF(N5980&lt;=30, "Met", "Breached"))</f>
        <v/>
      </c>
      <c r="P5980" s="8" t="n"/>
      <c r="Q5980" s="8" t="n"/>
      <c r="R5980" s="8" t="n"/>
      <c r="S5980" s="8" t="n"/>
      <c r="T5980" s="8" t="n"/>
      <c r="U5980" s="8" t="n"/>
      <c r="V5980" s="8" t="n"/>
      <c r="W5980" s="8" t="n"/>
      <c r="X5980" s="8" t="n"/>
      <c r="Y5980" s="8" t="n"/>
    </row>
    <row r="5981">
      <c r="A5981" s="8" t="n"/>
      <c r="B5981" s="8" t="n"/>
      <c r="C5981" s="8" t="n"/>
      <c r="D5981" s="8" t="n"/>
      <c r="E5981" s="8" t="n"/>
      <c r="F5981" s="8" t="n"/>
      <c r="G5981" s="8" t="n"/>
      <c r="H5981" s="8" t="n"/>
      <c r="I5981" s="8" t="n"/>
      <c r="J5981" s="8" t="n"/>
      <c r="K5981" s="8" t="n"/>
      <c r="L5981" s="8" t="n"/>
      <c r="M5981" s="9">
        <f>B5981+30</f>
        <v/>
      </c>
      <c r="N5981">
        <f>IF(L5981="", "", L5981-B5981)</f>
        <v/>
      </c>
      <c r="O5981">
        <f>IF(L5981="", "Pending", IF(N5981&lt;=30, "Met", "Breached"))</f>
        <v/>
      </c>
      <c r="P5981" s="8" t="n"/>
      <c r="Q5981" s="8" t="n"/>
      <c r="R5981" s="8" t="n"/>
      <c r="S5981" s="8" t="n"/>
      <c r="T5981" s="8" t="n"/>
      <c r="U5981" s="8" t="n"/>
      <c r="V5981" s="8" t="n"/>
      <c r="W5981" s="8" t="n"/>
      <c r="X5981" s="8" t="n"/>
      <c r="Y5981" s="8" t="n"/>
    </row>
    <row r="5982">
      <c r="A5982" s="8" t="n"/>
      <c r="B5982" s="8" t="n"/>
      <c r="C5982" s="8" t="n"/>
      <c r="D5982" s="8" t="n"/>
      <c r="E5982" s="8" t="n"/>
      <c r="F5982" s="8" t="n"/>
      <c r="G5982" s="8" t="n"/>
      <c r="H5982" s="8" t="n"/>
      <c r="I5982" s="8" t="n"/>
      <c r="J5982" s="8" t="n"/>
      <c r="K5982" s="8" t="n"/>
      <c r="L5982" s="8" t="n"/>
      <c r="M5982" s="9">
        <f>B5982+30</f>
        <v/>
      </c>
      <c r="N5982">
        <f>IF(L5982="", "", L5982-B5982)</f>
        <v/>
      </c>
      <c r="O5982">
        <f>IF(L5982="", "Pending", IF(N5982&lt;=30, "Met", "Breached"))</f>
        <v/>
      </c>
      <c r="P5982" s="8" t="n"/>
      <c r="Q5982" s="8" t="n"/>
      <c r="R5982" s="8" t="n"/>
      <c r="S5982" s="8" t="n"/>
      <c r="T5982" s="8" t="n"/>
      <c r="U5982" s="8" t="n"/>
      <c r="V5982" s="8" t="n"/>
      <c r="W5982" s="8" t="n"/>
      <c r="X5982" s="8" t="n"/>
      <c r="Y5982" s="8" t="n"/>
    </row>
    <row r="5983">
      <c r="A5983" s="8" t="n"/>
      <c r="B5983" s="8" t="n"/>
      <c r="C5983" s="8" t="n"/>
      <c r="D5983" s="8" t="n"/>
      <c r="E5983" s="8" t="n"/>
      <c r="F5983" s="8" t="n"/>
      <c r="G5983" s="8" t="n"/>
      <c r="H5983" s="8" t="n"/>
      <c r="I5983" s="8" t="n"/>
      <c r="J5983" s="8" t="n"/>
      <c r="K5983" s="8" t="n"/>
      <c r="L5983" s="8" t="n"/>
      <c r="M5983" s="9">
        <f>B5983+30</f>
        <v/>
      </c>
      <c r="N5983">
        <f>IF(L5983="", "", L5983-B5983)</f>
        <v/>
      </c>
      <c r="O5983">
        <f>IF(L5983="", "Pending", IF(N5983&lt;=30, "Met", "Breached"))</f>
        <v/>
      </c>
      <c r="P5983" s="8" t="n"/>
      <c r="Q5983" s="8" t="n"/>
      <c r="R5983" s="8" t="n"/>
      <c r="S5983" s="8" t="n"/>
      <c r="T5983" s="8" t="n"/>
      <c r="U5983" s="8" t="n"/>
      <c r="V5983" s="8" t="n"/>
      <c r="W5983" s="8" t="n"/>
      <c r="X5983" s="8" t="n"/>
      <c r="Y5983" s="8" t="n"/>
    </row>
    <row r="5984">
      <c r="A5984" s="8" t="n"/>
      <c r="B5984" s="8" t="n"/>
      <c r="C5984" s="8" t="n"/>
      <c r="D5984" s="8" t="n"/>
      <c r="E5984" s="8" t="n"/>
      <c r="F5984" s="8" t="n"/>
      <c r="G5984" s="8" t="n"/>
      <c r="H5984" s="8" t="n"/>
      <c r="I5984" s="8" t="n"/>
      <c r="J5984" s="8" t="n"/>
      <c r="K5984" s="8" t="n"/>
      <c r="L5984" s="8" t="n"/>
      <c r="M5984" s="9">
        <f>B5984+30</f>
        <v/>
      </c>
      <c r="N5984">
        <f>IF(L5984="", "", L5984-B5984)</f>
        <v/>
      </c>
      <c r="O5984">
        <f>IF(L5984="", "Pending", IF(N5984&lt;=30, "Met", "Breached"))</f>
        <v/>
      </c>
      <c r="P5984" s="8" t="n"/>
      <c r="Q5984" s="8" t="n"/>
      <c r="R5984" s="8" t="n"/>
      <c r="S5984" s="8" t="n"/>
      <c r="T5984" s="8" t="n"/>
      <c r="U5984" s="8" t="n"/>
      <c r="V5984" s="8" t="n"/>
      <c r="W5984" s="8" t="n"/>
      <c r="X5984" s="8" t="n"/>
      <c r="Y5984" s="8" t="n"/>
    </row>
    <row r="5985">
      <c r="A5985" s="8" t="n"/>
      <c r="B5985" s="8" t="n"/>
      <c r="C5985" s="8" t="n"/>
      <c r="D5985" s="8" t="n"/>
      <c r="E5985" s="8" t="n"/>
      <c r="F5985" s="8" t="n"/>
      <c r="G5985" s="8" t="n"/>
      <c r="H5985" s="8" t="n"/>
      <c r="I5985" s="8" t="n"/>
      <c r="J5985" s="8" t="n"/>
      <c r="K5985" s="8" t="n"/>
      <c r="L5985" s="8" t="n"/>
      <c r="M5985" s="9">
        <f>B5985+30</f>
        <v/>
      </c>
      <c r="N5985">
        <f>IF(L5985="", "", L5985-B5985)</f>
        <v/>
      </c>
      <c r="O5985">
        <f>IF(L5985="", "Pending", IF(N5985&lt;=30, "Met", "Breached"))</f>
        <v/>
      </c>
      <c r="P5985" s="8" t="n"/>
      <c r="Q5985" s="8" t="n"/>
      <c r="R5985" s="8" t="n"/>
      <c r="S5985" s="8" t="n"/>
      <c r="T5985" s="8" t="n"/>
      <c r="U5985" s="8" t="n"/>
      <c r="V5985" s="8" t="n"/>
      <c r="W5985" s="8" t="n"/>
      <c r="X5985" s="8" t="n"/>
      <c r="Y5985" s="8" t="n"/>
    </row>
    <row r="5986">
      <c r="A5986" s="8" t="n"/>
      <c r="B5986" s="8" t="n"/>
      <c r="C5986" s="8" t="n"/>
      <c r="D5986" s="8" t="n"/>
      <c r="E5986" s="8" t="n"/>
      <c r="F5986" s="8" t="n"/>
      <c r="G5986" s="8" t="n"/>
      <c r="H5986" s="8" t="n"/>
      <c r="I5986" s="8" t="n"/>
      <c r="J5986" s="8" t="n"/>
      <c r="K5986" s="8" t="n"/>
      <c r="L5986" s="8" t="n"/>
      <c r="M5986" s="9">
        <f>B5986+30</f>
        <v/>
      </c>
      <c r="N5986">
        <f>IF(L5986="", "", L5986-B5986)</f>
        <v/>
      </c>
      <c r="O5986">
        <f>IF(L5986="", "Pending", IF(N5986&lt;=30, "Met", "Breached"))</f>
        <v/>
      </c>
      <c r="P5986" s="8" t="n"/>
      <c r="Q5986" s="8" t="n"/>
      <c r="R5986" s="8" t="n"/>
      <c r="S5986" s="8" t="n"/>
      <c r="T5986" s="8" t="n"/>
      <c r="U5986" s="8" t="n"/>
      <c r="V5986" s="8" t="n"/>
      <c r="W5986" s="8" t="n"/>
      <c r="X5986" s="8" t="n"/>
      <c r="Y5986" s="8" t="n"/>
    </row>
    <row r="5987">
      <c r="A5987" s="8" t="n"/>
      <c r="B5987" s="8" t="n"/>
      <c r="C5987" s="8" t="n"/>
      <c r="D5987" s="8" t="n"/>
      <c r="E5987" s="8" t="n"/>
      <c r="F5987" s="8" t="n"/>
      <c r="G5987" s="8" t="n"/>
      <c r="H5987" s="8" t="n"/>
      <c r="I5987" s="8" t="n"/>
      <c r="J5987" s="8" t="n"/>
      <c r="K5987" s="8" t="n"/>
      <c r="L5987" s="8" t="n"/>
      <c r="M5987" s="9">
        <f>B5987+30</f>
        <v/>
      </c>
      <c r="N5987">
        <f>IF(L5987="", "", L5987-B5987)</f>
        <v/>
      </c>
      <c r="O5987">
        <f>IF(L5987="", "Pending", IF(N5987&lt;=30, "Met", "Breached"))</f>
        <v/>
      </c>
      <c r="P5987" s="8" t="n"/>
      <c r="Q5987" s="8" t="n"/>
      <c r="R5987" s="8" t="n"/>
      <c r="S5987" s="8" t="n"/>
      <c r="T5987" s="8" t="n"/>
      <c r="U5987" s="8" t="n"/>
      <c r="V5987" s="8" t="n"/>
      <c r="W5987" s="8" t="n"/>
      <c r="X5987" s="8" t="n"/>
      <c r="Y5987" s="8" t="n"/>
    </row>
    <row r="5988">
      <c r="A5988" s="8" t="n"/>
      <c r="B5988" s="8" t="n"/>
      <c r="C5988" s="8" t="n"/>
      <c r="D5988" s="8" t="n"/>
      <c r="E5988" s="8" t="n"/>
      <c r="F5988" s="8" t="n"/>
      <c r="G5988" s="8" t="n"/>
      <c r="H5988" s="8" t="n"/>
      <c r="I5988" s="8" t="n"/>
      <c r="J5988" s="8" t="n"/>
      <c r="K5988" s="8" t="n"/>
      <c r="L5988" s="8" t="n"/>
      <c r="M5988" s="9">
        <f>B5988+30</f>
        <v/>
      </c>
      <c r="N5988">
        <f>IF(L5988="", "", L5988-B5988)</f>
        <v/>
      </c>
      <c r="O5988">
        <f>IF(L5988="", "Pending", IF(N5988&lt;=30, "Met", "Breached"))</f>
        <v/>
      </c>
      <c r="P5988" s="8" t="n"/>
      <c r="Q5988" s="8" t="n"/>
      <c r="R5988" s="8" t="n"/>
      <c r="S5988" s="8" t="n"/>
      <c r="T5988" s="8" t="n"/>
      <c r="U5988" s="8" t="n"/>
      <c r="V5988" s="8" t="n"/>
      <c r="W5988" s="8" t="n"/>
      <c r="X5988" s="8" t="n"/>
      <c r="Y5988" s="8" t="n"/>
    </row>
    <row r="5989">
      <c r="A5989" s="8" t="n"/>
      <c r="B5989" s="8" t="n"/>
      <c r="C5989" s="8" t="n"/>
      <c r="D5989" s="8" t="n"/>
      <c r="E5989" s="8" t="n"/>
      <c r="F5989" s="8" t="n"/>
      <c r="G5989" s="8" t="n"/>
      <c r="H5989" s="8" t="n"/>
      <c r="I5989" s="8" t="n"/>
      <c r="J5989" s="8" t="n"/>
      <c r="K5989" s="8" t="n"/>
      <c r="L5989" s="8" t="n"/>
      <c r="M5989" s="9">
        <f>B5989+30</f>
        <v/>
      </c>
      <c r="N5989">
        <f>IF(L5989="", "", L5989-B5989)</f>
        <v/>
      </c>
      <c r="O5989">
        <f>IF(L5989="", "Pending", IF(N5989&lt;=30, "Met", "Breached"))</f>
        <v/>
      </c>
      <c r="P5989" s="8" t="n"/>
      <c r="Q5989" s="8" t="n"/>
      <c r="R5989" s="8" t="n"/>
      <c r="S5989" s="8" t="n"/>
      <c r="T5989" s="8" t="n"/>
      <c r="U5989" s="8" t="n"/>
      <c r="V5989" s="8" t="n"/>
      <c r="W5989" s="8" t="n"/>
      <c r="X5989" s="8" t="n"/>
      <c r="Y5989" s="8" t="n"/>
    </row>
    <row r="5990">
      <c r="A5990" s="8" t="n"/>
      <c r="B5990" s="8" t="n"/>
      <c r="C5990" s="8" t="n"/>
      <c r="D5990" s="8" t="n"/>
      <c r="E5990" s="8" t="n"/>
      <c r="F5990" s="8" t="n"/>
      <c r="G5990" s="8" t="n"/>
      <c r="H5990" s="8" t="n"/>
      <c r="I5990" s="8" t="n"/>
      <c r="J5990" s="8" t="n"/>
      <c r="K5990" s="8" t="n"/>
      <c r="L5990" s="8" t="n"/>
      <c r="M5990" s="9">
        <f>B5990+30</f>
        <v/>
      </c>
      <c r="N5990">
        <f>IF(L5990="", "", L5990-B5990)</f>
        <v/>
      </c>
      <c r="O5990">
        <f>IF(L5990="", "Pending", IF(N5990&lt;=30, "Met", "Breached"))</f>
        <v/>
      </c>
      <c r="P5990" s="8" t="n"/>
      <c r="Q5990" s="8" t="n"/>
      <c r="R5990" s="8" t="n"/>
      <c r="S5990" s="8" t="n"/>
      <c r="T5990" s="8" t="n"/>
      <c r="U5990" s="8" t="n"/>
      <c r="V5990" s="8" t="n"/>
      <c r="W5990" s="8" t="n"/>
      <c r="X5990" s="8" t="n"/>
      <c r="Y5990" s="8" t="n"/>
    </row>
    <row r="5991">
      <c r="A5991" s="8" t="n"/>
      <c r="B5991" s="8" t="n"/>
      <c r="C5991" s="8" t="n"/>
      <c r="D5991" s="8" t="n"/>
      <c r="E5991" s="8" t="n"/>
      <c r="F5991" s="8" t="n"/>
      <c r="G5991" s="8" t="n"/>
      <c r="H5991" s="8" t="n"/>
      <c r="I5991" s="8" t="n"/>
      <c r="J5991" s="8" t="n"/>
      <c r="K5991" s="8" t="n"/>
      <c r="L5991" s="8" t="n"/>
      <c r="M5991" s="9">
        <f>B5991+30</f>
        <v/>
      </c>
      <c r="N5991">
        <f>IF(L5991="", "", L5991-B5991)</f>
        <v/>
      </c>
      <c r="O5991">
        <f>IF(L5991="", "Pending", IF(N5991&lt;=30, "Met", "Breached"))</f>
        <v/>
      </c>
      <c r="P5991" s="8" t="n"/>
      <c r="Q5991" s="8" t="n"/>
      <c r="R5991" s="8" t="n"/>
      <c r="S5991" s="8" t="n"/>
      <c r="T5991" s="8" t="n"/>
      <c r="U5991" s="8" t="n"/>
      <c r="V5991" s="8" t="n"/>
      <c r="W5991" s="8" t="n"/>
      <c r="X5991" s="8" t="n"/>
      <c r="Y5991" s="8" t="n"/>
    </row>
    <row r="5992">
      <c r="A5992" s="8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8" t="n"/>
      <c r="K5992" s="8" t="n"/>
      <c r="L5992" s="8" t="n"/>
      <c r="M5992" s="9">
        <f>B5992+30</f>
        <v/>
      </c>
      <c r="N5992">
        <f>IF(L5992="", "", L5992-B5992)</f>
        <v/>
      </c>
      <c r="O5992">
        <f>IF(L5992="", "Pending", IF(N5992&lt;=30, "Met", "Breached"))</f>
        <v/>
      </c>
      <c r="P5992" s="8" t="n"/>
      <c r="Q5992" s="8" t="n"/>
      <c r="R5992" s="8" t="n"/>
      <c r="S5992" s="8" t="n"/>
      <c r="T5992" s="8" t="n"/>
      <c r="U5992" s="8" t="n"/>
      <c r="V5992" s="8" t="n"/>
      <c r="W5992" s="8" t="n"/>
      <c r="X5992" s="8" t="n"/>
      <c r="Y5992" s="8" t="n"/>
    </row>
    <row r="5993">
      <c r="A5993" s="8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8" t="n"/>
      <c r="K5993" s="8" t="n"/>
      <c r="L5993" s="8" t="n"/>
      <c r="M5993" s="9">
        <f>B5993+30</f>
        <v/>
      </c>
      <c r="N5993">
        <f>IF(L5993="", "", L5993-B5993)</f>
        <v/>
      </c>
      <c r="O5993">
        <f>IF(L5993="", "Pending", IF(N5993&lt;=30, "Met", "Breached"))</f>
        <v/>
      </c>
      <c r="P5993" s="8" t="n"/>
      <c r="Q5993" s="8" t="n"/>
      <c r="R5993" s="8" t="n"/>
      <c r="S5993" s="8" t="n"/>
      <c r="T5993" s="8" t="n"/>
      <c r="U5993" s="8" t="n"/>
      <c r="V5993" s="8" t="n"/>
      <c r="W5993" s="8" t="n"/>
      <c r="X5993" s="8" t="n"/>
      <c r="Y5993" s="8" t="n"/>
    </row>
    <row r="5994">
      <c r="A5994" s="8" t="n"/>
      <c r="B5994" s="8" t="n"/>
      <c r="C5994" s="8" t="n"/>
      <c r="D5994" s="8" t="n"/>
      <c r="E5994" s="8" t="n"/>
      <c r="F5994" s="8" t="n"/>
      <c r="G5994" s="8" t="n"/>
      <c r="H5994" s="8" t="n"/>
      <c r="I5994" s="8" t="n"/>
      <c r="J5994" s="8" t="n"/>
      <c r="K5994" s="8" t="n"/>
      <c r="L5994" s="8" t="n"/>
      <c r="M5994" s="9">
        <f>B5994+30</f>
        <v/>
      </c>
      <c r="N5994">
        <f>IF(L5994="", "", L5994-B5994)</f>
        <v/>
      </c>
      <c r="O5994">
        <f>IF(L5994="", "Pending", IF(N5994&lt;=30, "Met", "Breached"))</f>
        <v/>
      </c>
      <c r="P5994" s="8" t="n"/>
      <c r="Q5994" s="8" t="n"/>
      <c r="R5994" s="8" t="n"/>
      <c r="S5994" s="8" t="n"/>
      <c r="T5994" s="8" t="n"/>
      <c r="U5994" s="8" t="n"/>
      <c r="V5994" s="8" t="n"/>
      <c r="W5994" s="8" t="n"/>
      <c r="X5994" s="8" t="n"/>
      <c r="Y5994" s="8" t="n"/>
    </row>
    <row r="5995">
      <c r="A5995" s="8" t="n"/>
      <c r="B5995" s="8" t="n"/>
      <c r="C5995" s="8" t="n"/>
      <c r="D5995" s="8" t="n"/>
      <c r="E5995" s="8" t="n"/>
      <c r="F5995" s="8" t="n"/>
      <c r="G5995" s="8" t="n"/>
      <c r="H5995" s="8" t="n"/>
      <c r="I5995" s="8" t="n"/>
      <c r="J5995" s="8" t="n"/>
      <c r="K5995" s="8" t="n"/>
      <c r="L5995" s="8" t="n"/>
      <c r="M5995" s="9">
        <f>B5995+30</f>
        <v/>
      </c>
      <c r="N5995">
        <f>IF(L5995="", "", L5995-B5995)</f>
        <v/>
      </c>
      <c r="O5995">
        <f>IF(L5995="", "Pending", IF(N5995&lt;=30, "Met", "Breached"))</f>
        <v/>
      </c>
      <c r="P5995" s="8" t="n"/>
      <c r="Q5995" s="8" t="n"/>
      <c r="R5995" s="8" t="n"/>
      <c r="S5995" s="8" t="n"/>
      <c r="T5995" s="8" t="n"/>
      <c r="U5995" s="8" t="n"/>
      <c r="V5995" s="8" t="n"/>
      <c r="W5995" s="8" t="n"/>
      <c r="X5995" s="8" t="n"/>
      <c r="Y5995" s="8" t="n"/>
    </row>
    <row r="5996">
      <c r="A5996" s="8" t="n"/>
      <c r="B5996" s="8" t="n"/>
      <c r="C5996" s="8" t="n"/>
      <c r="D5996" s="8" t="n"/>
      <c r="E5996" s="8" t="n"/>
      <c r="F5996" s="8" t="n"/>
      <c r="G5996" s="8" t="n"/>
      <c r="H5996" s="8" t="n"/>
      <c r="I5996" s="8" t="n"/>
      <c r="J5996" s="8" t="n"/>
      <c r="K5996" s="8" t="n"/>
      <c r="L5996" s="8" t="n"/>
      <c r="M5996" s="9">
        <f>B5996+30</f>
        <v/>
      </c>
      <c r="N5996">
        <f>IF(L5996="", "", L5996-B5996)</f>
        <v/>
      </c>
      <c r="O5996">
        <f>IF(L5996="", "Pending", IF(N5996&lt;=30, "Met", "Breached"))</f>
        <v/>
      </c>
      <c r="P5996" s="8" t="n"/>
      <c r="Q5996" s="8" t="n"/>
      <c r="R5996" s="8" t="n"/>
      <c r="S5996" s="8" t="n"/>
      <c r="T5996" s="8" t="n"/>
      <c r="U5996" s="8" t="n"/>
      <c r="V5996" s="8" t="n"/>
      <c r="W5996" s="8" t="n"/>
      <c r="X5996" s="8" t="n"/>
      <c r="Y5996" s="8" t="n"/>
    </row>
    <row r="5997">
      <c r="A5997" s="8" t="n"/>
      <c r="B5997" s="8" t="n"/>
      <c r="C5997" s="8" t="n"/>
      <c r="D5997" s="8" t="n"/>
      <c r="E5997" s="8" t="n"/>
      <c r="F5997" s="8" t="n"/>
      <c r="G5997" s="8" t="n"/>
      <c r="H5997" s="8" t="n"/>
      <c r="I5997" s="8" t="n"/>
      <c r="J5997" s="8" t="n"/>
      <c r="K5997" s="8" t="n"/>
      <c r="L5997" s="8" t="n"/>
      <c r="M5997" s="9">
        <f>B5997+30</f>
        <v/>
      </c>
      <c r="N5997">
        <f>IF(L5997="", "", L5997-B5997)</f>
        <v/>
      </c>
      <c r="O5997">
        <f>IF(L5997="", "Pending", IF(N5997&lt;=30, "Met", "Breached"))</f>
        <v/>
      </c>
      <c r="P5997" s="8" t="n"/>
      <c r="Q5997" s="8" t="n"/>
      <c r="R5997" s="8" t="n"/>
      <c r="S5997" s="8" t="n"/>
      <c r="T5997" s="8" t="n"/>
      <c r="U5997" s="8" t="n"/>
      <c r="V5997" s="8" t="n"/>
      <c r="W5997" s="8" t="n"/>
      <c r="X5997" s="8" t="n"/>
      <c r="Y5997" s="8" t="n"/>
    </row>
    <row r="5998">
      <c r="A5998" s="8" t="n"/>
      <c r="B5998" s="8" t="n"/>
      <c r="C5998" s="8" t="n"/>
      <c r="D5998" s="8" t="n"/>
      <c r="E5998" s="8" t="n"/>
      <c r="F5998" s="8" t="n"/>
      <c r="G5998" s="8" t="n"/>
      <c r="H5998" s="8" t="n"/>
      <c r="I5998" s="8" t="n"/>
      <c r="J5998" s="8" t="n"/>
      <c r="K5998" s="8" t="n"/>
      <c r="L5998" s="8" t="n"/>
      <c r="M5998" s="9">
        <f>B5998+30</f>
        <v/>
      </c>
      <c r="N5998">
        <f>IF(L5998="", "", L5998-B5998)</f>
        <v/>
      </c>
      <c r="O5998">
        <f>IF(L5998="", "Pending", IF(N5998&lt;=30, "Met", "Breached"))</f>
        <v/>
      </c>
      <c r="P5998" s="8" t="n"/>
      <c r="Q5998" s="8" t="n"/>
      <c r="R5998" s="8" t="n"/>
      <c r="S5998" s="8" t="n"/>
      <c r="T5998" s="8" t="n"/>
      <c r="U5998" s="8" t="n"/>
      <c r="V5998" s="8" t="n"/>
      <c r="W5998" s="8" t="n"/>
      <c r="X5998" s="8" t="n"/>
      <c r="Y5998" s="8" t="n"/>
    </row>
    <row r="5999">
      <c r="A5999" s="8" t="n"/>
      <c r="B5999" s="8" t="n"/>
      <c r="C5999" s="8" t="n"/>
      <c r="D5999" s="8" t="n"/>
      <c r="E5999" s="8" t="n"/>
      <c r="F5999" s="8" t="n"/>
      <c r="G5999" s="8" t="n"/>
      <c r="H5999" s="8" t="n"/>
      <c r="I5999" s="8" t="n"/>
      <c r="J5999" s="8" t="n"/>
      <c r="K5999" s="8" t="n"/>
      <c r="L5999" s="8" t="n"/>
      <c r="M5999" s="9">
        <f>B5999+30</f>
        <v/>
      </c>
      <c r="N5999">
        <f>IF(L5999="", "", L5999-B5999)</f>
        <v/>
      </c>
      <c r="O5999">
        <f>IF(L5999="", "Pending", IF(N5999&lt;=30, "Met", "Breached"))</f>
        <v/>
      </c>
      <c r="P5999" s="8" t="n"/>
      <c r="Q5999" s="8" t="n"/>
      <c r="R5999" s="8" t="n"/>
      <c r="S5999" s="8" t="n"/>
      <c r="T5999" s="8" t="n"/>
      <c r="U5999" s="8" t="n"/>
      <c r="V5999" s="8" t="n"/>
      <c r="W5999" s="8" t="n"/>
      <c r="X5999" s="8" t="n"/>
      <c r="Y5999" s="8" t="n"/>
    </row>
    <row r="6000">
      <c r="A6000" s="8" t="n"/>
      <c r="B6000" s="8" t="n"/>
      <c r="C6000" s="8" t="n"/>
      <c r="D6000" s="8" t="n"/>
      <c r="E6000" s="8" t="n"/>
      <c r="F6000" s="8" t="n"/>
      <c r="G6000" s="8" t="n"/>
      <c r="H6000" s="8" t="n"/>
      <c r="I6000" s="8" t="n"/>
      <c r="J6000" s="8" t="n"/>
      <c r="K6000" s="8" t="n"/>
      <c r="L6000" s="8" t="n"/>
      <c r="M6000" s="9">
        <f>B6000+30</f>
        <v/>
      </c>
      <c r="N6000">
        <f>IF(L6000="", "", L6000-B6000)</f>
        <v/>
      </c>
      <c r="O6000">
        <f>IF(L6000="", "Pending", IF(N6000&lt;=30, "Met", "Breached"))</f>
        <v/>
      </c>
      <c r="P6000" s="8" t="n"/>
      <c r="Q6000" s="8" t="n"/>
      <c r="R6000" s="8" t="n"/>
      <c r="S6000" s="8" t="n"/>
      <c r="T6000" s="8" t="n"/>
      <c r="U6000" s="8" t="n"/>
      <c r="V6000" s="8" t="n"/>
      <c r="W6000" s="8" t="n"/>
      <c r="X6000" s="8" t="n"/>
      <c r="Y6000" s="8" t="n"/>
    </row>
    <row r="6001">
      <c r="A6001" s="8" t="n"/>
      <c r="B6001" s="8" t="n"/>
      <c r="C6001" s="8" t="n"/>
      <c r="D6001" s="8" t="n"/>
      <c r="E6001" s="8" t="n"/>
      <c r="F6001" s="8" t="n"/>
      <c r="G6001" s="8" t="n"/>
      <c r="H6001" s="8" t="n"/>
      <c r="I6001" s="8" t="n"/>
      <c r="J6001" s="8" t="n"/>
      <c r="K6001" s="8" t="n"/>
      <c r="L6001" s="8" t="n"/>
      <c r="M6001" s="9">
        <f>B6001+30</f>
        <v/>
      </c>
      <c r="N6001">
        <f>IF(L6001="", "", L6001-B6001)</f>
        <v/>
      </c>
      <c r="O6001">
        <f>IF(L6001="", "Pending", IF(N6001&lt;=30, "Met", "Breached"))</f>
        <v/>
      </c>
      <c r="P6001" s="8" t="n"/>
      <c r="Q6001" s="8" t="n"/>
      <c r="R6001" s="8" t="n"/>
      <c r="S6001" s="8" t="n"/>
      <c r="T6001" s="8" t="n"/>
      <c r="U6001" s="8" t="n"/>
      <c r="V6001" s="8" t="n"/>
      <c r="W6001" s="8" t="n"/>
      <c r="X6001" s="8" t="n"/>
      <c r="Y6001" s="8" t="n"/>
    </row>
    <row r="6002">
      <c r="A6002" s="8" t="n"/>
      <c r="B6002" s="8" t="n"/>
      <c r="C6002" s="8" t="n"/>
      <c r="D6002" s="8" t="n"/>
      <c r="E6002" s="8" t="n"/>
      <c r="F6002" s="8" t="n"/>
      <c r="G6002" s="8" t="n"/>
      <c r="H6002" s="8" t="n"/>
      <c r="I6002" s="8" t="n"/>
      <c r="J6002" s="8" t="n"/>
      <c r="K6002" s="8" t="n"/>
      <c r="L6002" s="8" t="n"/>
      <c r="M6002" s="9">
        <f>B6002+30</f>
        <v/>
      </c>
      <c r="N6002">
        <f>IF(L6002="", "", L6002-B6002)</f>
        <v/>
      </c>
      <c r="O6002">
        <f>IF(L6002="", "Pending", IF(N6002&lt;=30, "Met", "Breached"))</f>
        <v/>
      </c>
      <c r="P6002" s="8" t="n"/>
      <c r="Q6002" s="8" t="n"/>
      <c r="R6002" s="8" t="n"/>
      <c r="S6002" s="8" t="n"/>
      <c r="T6002" s="8" t="n"/>
      <c r="U6002" s="8" t="n"/>
      <c r="V6002" s="8" t="n"/>
      <c r="W6002" s="8" t="n"/>
      <c r="X6002" s="8" t="n"/>
      <c r="Y6002" s="8" t="n"/>
    </row>
    <row r="6003">
      <c r="A6003" s="8" t="n"/>
      <c r="B6003" s="8" t="n"/>
      <c r="C6003" s="8" t="n"/>
      <c r="D6003" s="8" t="n"/>
      <c r="E6003" s="8" t="n"/>
      <c r="F6003" s="8" t="n"/>
      <c r="G6003" s="8" t="n"/>
      <c r="H6003" s="8" t="n"/>
      <c r="I6003" s="8" t="n"/>
      <c r="J6003" s="8" t="n"/>
      <c r="K6003" s="8" t="n"/>
      <c r="L6003" s="8" t="n"/>
      <c r="M6003" s="9">
        <f>B6003+30</f>
        <v/>
      </c>
      <c r="N6003">
        <f>IF(L6003="", "", L6003-B6003)</f>
        <v/>
      </c>
      <c r="O6003">
        <f>IF(L6003="", "Pending", IF(N6003&lt;=30, "Met", "Breached"))</f>
        <v/>
      </c>
      <c r="P6003" s="8" t="n"/>
      <c r="Q6003" s="8" t="n"/>
      <c r="R6003" s="8" t="n"/>
      <c r="S6003" s="8" t="n"/>
      <c r="T6003" s="8" t="n"/>
      <c r="U6003" s="8" t="n"/>
      <c r="V6003" s="8" t="n"/>
      <c r="W6003" s="8" t="n"/>
      <c r="X6003" s="8" t="n"/>
      <c r="Y6003" s="8" t="n"/>
    </row>
    <row r="6004">
      <c r="A6004" s="8" t="n"/>
      <c r="B6004" s="8" t="n"/>
      <c r="C6004" s="8" t="n"/>
      <c r="D6004" s="8" t="n"/>
      <c r="E6004" s="8" t="n"/>
      <c r="F6004" s="8" t="n"/>
      <c r="G6004" s="8" t="n"/>
      <c r="H6004" s="8" t="n"/>
      <c r="I6004" s="8" t="n"/>
      <c r="J6004" s="8" t="n"/>
      <c r="K6004" s="8" t="n"/>
      <c r="L6004" s="8" t="n"/>
      <c r="M6004" s="9">
        <f>B6004+30</f>
        <v/>
      </c>
      <c r="N6004">
        <f>IF(L6004="", "", L6004-B6004)</f>
        <v/>
      </c>
      <c r="O6004">
        <f>IF(L6004="", "Pending", IF(N6004&lt;=30, "Met", "Breached"))</f>
        <v/>
      </c>
      <c r="P6004" s="8" t="n"/>
      <c r="Q6004" s="8" t="n"/>
      <c r="R6004" s="8" t="n"/>
      <c r="S6004" s="8" t="n"/>
      <c r="T6004" s="8" t="n"/>
      <c r="U6004" s="8" t="n"/>
      <c r="V6004" s="8" t="n"/>
      <c r="W6004" s="8" t="n"/>
      <c r="X6004" s="8" t="n"/>
      <c r="Y6004" s="8" t="n"/>
    </row>
    <row r="6005">
      <c r="A6005" s="8" t="n"/>
      <c r="B6005" s="8" t="n"/>
      <c r="C6005" s="8" t="n"/>
      <c r="D6005" s="8" t="n"/>
      <c r="E6005" s="8" t="n"/>
      <c r="F6005" s="8" t="n"/>
      <c r="G6005" s="8" t="n"/>
      <c r="H6005" s="8" t="n"/>
      <c r="I6005" s="8" t="n"/>
      <c r="J6005" s="8" t="n"/>
      <c r="K6005" s="8" t="n"/>
      <c r="L6005" s="8" t="n"/>
      <c r="M6005" s="9">
        <f>B6005+30</f>
        <v/>
      </c>
      <c r="N6005">
        <f>IF(L6005="", "", L6005-B6005)</f>
        <v/>
      </c>
      <c r="O6005">
        <f>IF(L6005="", "Pending", IF(N6005&lt;=30, "Met", "Breached"))</f>
        <v/>
      </c>
      <c r="P6005" s="8" t="n"/>
      <c r="Q6005" s="8" t="n"/>
      <c r="R6005" s="8" t="n"/>
      <c r="S6005" s="8" t="n"/>
      <c r="T6005" s="8" t="n"/>
      <c r="U6005" s="8" t="n"/>
      <c r="V6005" s="8" t="n"/>
      <c r="W6005" s="8" t="n"/>
      <c r="X6005" s="8" t="n"/>
      <c r="Y6005" s="8" t="n"/>
    </row>
    <row r="6006">
      <c r="A6006" s="8" t="n"/>
      <c r="B6006" s="8" t="n"/>
      <c r="C6006" s="8" t="n"/>
      <c r="D6006" s="8" t="n"/>
      <c r="E6006" s="8" t="n"/>
      <c r="F6006" s="8" t="n"/>
      <c r="G6006" s="8" t="n"/>
      <c r="H6006" s="8" t="n"/>
      <c r="I6006" s="8" t="n"/>
      <c r="J6006" s="8" t="n"/>
      <c r="K6006" s="8" t="n"/>
      <c r="L6006" s="8" t="n"/>
      <c r="M6006" s="9">
        <f>B6006+30</f>
        <v/>
      </c>
      <c r="N6006">
        <f>IF(L6006="", "", L6006-B6006)</f>
        <v/>
      </c>
      <c r="O6006">
        <f>IF(L6006="", "Pending", IF(N6006&lt;=30, "Met", "Breached"))</f>
        <v/>
      </c>
      <c r="P6006" s="8" t="n"/>
      <c r="Q6006" s="8" t="n"/>
      <c r="R6006" s="8" t="n"/>
      <c r="S6006" s="8" t="n"/>
      <c r="T6006" s="8" t="n"/>
      <c r="U6006" s="8" t="n"/>
      <c r="V6006" s="8" t="n"/>
      <c r="W6006" s="8" t="n"/>
      <c r="X6006" s="8" t="n"/>
      <c r="Y6006" s="8" t="n"/>
    </row>
    <row r="6007">
      <c r="A6007" s="8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8" t="n"/>
      <c r="K6007" s="8" t="n"/>
      <c r="L6007" s="8" t="n"/>
      <c r="M6007" s="9">
        <f>B6007+30</f>
        <v/>
      </c>
      <c r="N6007">
        <f>IF(L6007="", "", L6007-B6007)</f>
        <v/>
      </c>
      <c r="O6007">
        <f>IF(L6007="", "Pending", IF(N6007&lt;=30, "Met", "Breached"))</f>
        <v/>
      </c>
      <c r="P6007" s="8" t="n"/>
      <c r="Q6007" s="8" t="n"/>
      <c r="R6007" s="8" t="n"/>
      <c r="S6007" s="8" t="n"/>
      <c r="T6007" s="8" t="n"/>
      <c r="U6007" s="8" t="n"/>
      <c r="V6007" s="8" t="n"/>
      <c r="W6007" s="8" t="n"/>
      <c r="X6007" s="8" t="n"/>
      <c r="Y6007" s="8" t="n"/>
    </row>
    <row r="6008">
      <c r="A6008" s="8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8" t="n"/>
      <c r="K6008" s="8" t="n"/>
      <c r="L6008" s="8" t="n"/>
      <c r="M6008" s="9">
        <f>B6008+30</f>
        <v/>
      </c>
      <c r="N6008">
        <f>IF(L6008="", "", L6008-B6008)</f>
        <v/>
      </c>
      <c r="O6008">
        <f>IF(L6008="", "Pending", IF(N6008&lt;=30, "Met", "Breached"))</f>
        <v/>
      </c>
      <c r="P6008" s="8" t="n"/>
      <c r="Q6008" s="8" t="n"/>
      <c r="R6008" s="8" t="n"/>
      <c r="S6008" s="8" t="n"/>
      <c r="T6008" s="8" t="n"/>
      <c r="U6008" s="8" t="n"/>
      <c r="V6008" s="8" t="n"/>
      <c r="W6008" s="8" t="n"/>
      <c r="X6008" s="8" t="n"/>
      <c r="Y6008" s="8" t="n"/>
    </row>
    <row r="6009">
      <c r="A6009" s="8" t="n"/>
      <c r="B6009" s="8" t="n"/>
      <c r="C6009" s="8" t="n"/>
      <c r="D6009" s="8" t="n"/>
      <c r="E6009" s="8" t="n"/>
      <c r="F6009" s="8" t="n"/>
      <c r="G6009" s="8" t="n"/>
      <c r="H6009" s="8" t="n"/>
      <c r="I6009" s="8" t="n"/>
      <c r="J6009" s="8" t="n"/>
      <c r="K6009" s="8" t="n"/>
      <c r="L6009" s="8" t="n"/>
      <c r="M6009" s="9">
        <f>B6009+30</f>
        <v/>
      </c>
      <c r="N6009">
        <f>IF(L6009="", "", L6009-B6009)</f>
        <v/>
      </c>
      <c r="O6009">
        <f>IF(L6009="", "Pending", IF(N6009&lt;=30, "Met", "Breached"))</f>
        <v/>
      </c>
      <c r="P6009" s="8" t="n"/>
      <c r="Q6009" s="8" t="n"/>
      <c r="R6009" s="8" t="n"/>
      <c r="S6009" s="8" t="n"/>
      <c r="T6009" s="8" t="n"/>
      <c r="U6009" s="8" t="n"/>
      <c r="V6009" s="8" t="n"/>
      <c r="W6009" s="8" t="n"/>
      <c r="X6009" s="8" t="n"/>
      <c r="Y6009" s="8" t="n"/>
    </row>
    <row r="6010">
      <c r="A6010" s="8" t="n"/>
      <c r="B6010" s="8" t="n"/>
      <c r="C6010" s="8" t="n"/>
      <c r="D6010" s="8" t="n"/>
      <c r="E6010" s="8" t="n"/>
      <c r="F6010" s="8" t="n"/>
      <c r="G6010" s="8" t="n"/>
      <c r="H6010" s="8" t="n"/>
      <c r="I6010" s="8" t="n"/>
      <c r="J6010" s="8" t="n"/>
      <c r="K6010" s="8" t="n"/>
      <c r="L6010" s="8" t="n"/>
      <c r="M6010" s="9">
        <f>B6010+30</f>
        <v/>
      </c>
      <c r="N6010">
        <f>IF(L6010="", "", L6010-B6010)</f>
        <v/>
      </c>
      <c r="O6010">
        <f>IF(L6010="", "Pending", IF(N6010&lt;=30, "Met", "Breached"))</f>
        <v/>
      </c>
      <c r="P6010" s="8" t="n"/>
      <c r="Q6010" s="8" t="n"/>
      <c r="R6010" s="8" t="n"/>
      <c r="S6010" s="8" t="n"/>
      <c r="T6010" s="8" t="n"/>
      <c r="U6010" s="8" t="n"/>
      <c r="V6010" s="8" t="n"/>
      <c r="W6010" s="8" t="n"/>
      <c r="X6010" s="8" t="n"/>
      <c r="Y6010" s="8" t="n"/>
    </row>
    <row r="6011">
      <c r="A6011" s="8" t="n"/>
      <c r="B6011" s="8" t="n"/>
      <c r="C6011" s="8" t="n"/>
      <c r="D6011" s="8" t="n"/>
      <c r="E6011" s="8" t="n"/>
      <c r="F6011" s="8" t="n"/>
      <c r="G6011" s="8" t="n"/>
      <c r="H6011" s="8" t="n"/>
      <c r="I6011" s="8" t="n"/>
      <c r="J6011" s="8" t="n"/>
      <c r="K6011" s="8" t="n"/>
      <c r="L6011" s="8" t="n"/>
      <c r="M6011" s="9">
        <f>B6011+30</f>
        <v/>
      </c>
      <c r="N6011">
        <f>IF(L6011="", "", L6011-B6011)</f>
        <v/>
      </c>
      <c r="O6011">
        <f>IF(L6011="", "Pending", IF(N6011&lt;=30, "Met", "Breached"))</f>
        <v/>
      </c>
      <c r="P6011" s="8" t="n"/>
      <c r="Q6011" s="8" t="n"/>
      <c r="R6011" s="8" t="n"/>
      <c r="S6011" s="8" t="n"/>
      <c r="T6011" s="8" t="n"/>
      <c r="U6011" s="8" t="n"/>
      <c r="V6011" s="8" t="n"/>
      <c r="W6011" s="8" t="n"/>
      <c r="X6011" s="8" t="n"/>
      <c r="Y6011" s="8" t="n"/>
    </row>
    <row r="6012">
      <c r="A6012" s="8" t="n"/>
      <c r="B6012" s="8" t="n"/>
      <c r="C6012" s="8" t="n"/>
      <c r="D6012" s="8" t="n"/>
      <c r="E6012" s="8" t="n"/>
      <c r="F6012" s="8" t="n"/>
      <c r="G6012" s="8" t="n"/>
      <c r="H6012" s="8" t="n"/>
      <c r="I6012" s="8" t="n"/>
      <c r="J6012" s="8" t="n"/>
      <c r="K6012" s="8" t="n"/>
      <c r="L6012" s="8" t="n"/>
      <c r="M6012" s="9">
        <f>B6012+30</f>
        <v/>
      </c>
      <c r="N6012">
        <f>IF(L6012="", "", L6012-B6012)</f>
        <v/>
      </c>
      <c r="O6012">
        <f>IF(L6012="", "Pending", IF(N6012&lt;=30, "Met", "Breached"))</f>
        <v/>
      </c>
      <c r="P6012" s="8" t="n"/>
      <c r="Q6012" s="8" t="n"/>
      <c r="R6012" s="8" t="n"/>
      <c r="S6012" s="8" t="n"/>
      <c r="T6012" s="8" t="n"/>
      <c r="U6012" s="8" t="n"/>
      <c r="V6012" s="8" t="n"/>
      <c r="W6012" s="8" t="n"/>
      <c r="X6012" s="8" t="n"/>
      <c r="Y6012" s="8" t="n"/>
    </row>
    <row r="6013">
      <c r="A6013" s="8" t="n"/>
      <c r="B6013" s="8" t="n"/>
      <c r="C6013" s="8" t="n"/>
      <c r="D6013" s="8" t="n"/>
      <c r="E6013" s="8" t="n"/>
      <c r="F6013" s="8" t="n"/>
      <c r="G6013" s="8" t="n"/>
      <c r="H6013" s="8" t="n"/>
      <c r="I6013" s="8" t="n"/>
      <c r="J6013" s="8" t="n"/>
      <c r="K6013" s="8" t="n"/>
      <c r="L6013" s="8" t="n"/>
      <c r="M6013" s="9">
        <f>B6013+30</f>
        <v/>
      </c>
      <c r="N6013">
        <f>IF(L6013="", "", L6013-B6013)</f>
        <v/>
      </c>
      <c r="O6013">
        <f>IF(L6013="", "Pending", IF(N6013&lt;=30, "Met", "Breached"))</f>
        <v/>
      </c>
      <c r="P6013" s="8" t="n"/>
      <c r="Q6013" s="8" t="n"/>
      <c r="R6013" s="8" t="n"/>
      <c r="S6013" s="8" t="n"/>
      <c r="T6013" s="8" t="n"/>
      <c r="U6013" s="8" t="n"/>
      <c r="V6013" s="8" t="n"/>
      <c r="W6013" s="8" t="n"/>
      <c r="X6013" s="8" t="n"/>
      <c r="Y6013" s="8" t="n"/>
    </row>
    <row r="6014">
      <c r="A6014" s="8" t="n"/>
      <c r="B6014" s="8" t="n"/>
      <c r="C6014" s="8" t="n"/>
      <c r="D6014" s="8" t="n"/>
      <c r="E6014" s="8" t="n"/>
      <c r="F6014" s="8" t="n"/>
      <c r="G6014" s="8" t="n"/>
      <c r="H6014" s="8" t="n"/>
      <c r="I6014" s="8" t="n"/>
      <c r="J6014" s="8" t="n"/>
      <c r="K6014" s="8" t="n"/>
      <c r="L6014" s="8" t="n"/>
      <c r="M6014" s="9">
        <f>B6014+30</f>
        <v/>
      </c>
      <c r="N6014">
        <f>IF(L6014="", "", L6014-B6014)</f>
        <v/>
      </c>
      <c r="O6014">
        <f>IF(L6014="", "Pending", IF(N6014&lt;=30, "Met", "Breached"))</f>
        <v/>
      </c>
      <c r="P6014" s="8" t="n"/>
      <c r="Q6014" s="8" t="n"/>
      <c r="R6014" s="8" t="n"/>
      <c r="S6014" s="8" t="n"/>
      <c r="T6014" s="8" t="n"/>
      <c r="U6014" s="8" t="n"/>
      <c r="V6014" s="8" t="n"/>
      <c r="W6014" s="8" t="n"/>
      <c r="X6014" s="8" t="n"/>
      <c r="Y6014" s="8" t="n"/>
    </row>
    <row r="6015">
      <c r="A6015" s="8" t="n"/>
      <c r="B6015" s="8" t="n"/>
      <c r="C6015" s="8" t="n"/>
      <c r="D6015" s="8" t="n"/>
      <c r="E6015" s="8" t="n"/>
      <c r="F6015" s="8" t="n"/>
      <c r="G6015" s="8" t="n"/>
      <c r="H6015" s="8" t="n"/>
      <c r="I6015" s="8" t="n"/>
      <c r="J6015" s="8" t="n"/>
      <c r="K6015" s="8" t="n"/>
      <c r="L6015" s="8" t="n"/>
      <c r="M6015" s="9">
        <f>B6015+30</f>
        <v/>
      </c>
      <c r="N6015">
        <f>IF(L6015="", "", L6015-B6015)</f>
        <v/>
      </c>
      <c r="O6015">
        <f>IF(L6015="", "Pending", IF(N6015&lt;=30, "Met", "Breached"))</f>
        <v/>
      </c>
      <c r="P6015" s="8" t="n"/>
      <c r="Q6015" s="8" t="n"/>
      <c r="R6015" s="8" t="n"/>
      <c r="S6015" s="8" t="n"/>
      <c r="T6015" s="8" t="n"/>
      <c r="U6015" s="8" t="n"/>
      <c r="V6015" s="8" t="n"/>
      <c r="W6015" s="8" t="n"/>
      <c r="X6015" s="8" t="n"/>
      <c r="Y6015" s="8" t="n"/>
    </row>
    <row r="6016">
      <c r="A6016" s="8" t="n"/>
      <c r="B6016" s="8" t="n"/>
      <c r="C6016" s="8" t="n"/>
      <c r="D6016" s="8" t="n"/>
      <c r="E6016" s="8" t="n"/>
      <c r="F6016" s="8" t="n"/>
      <c r="G6016" s="8" t="n"/>
      <c r="H6016" s="8" t="n"/>
      <c r="I6016" s="8" t="n"/>
      <c r="J6016" s="8" t="n"/>
      <c r="K6016" s="8" t="n"/>
      <c r="L6016" s="8" t="n"/>
      <c r="M6016" s="9">
        <f>B6016+30</f>
        <v/>
      </c>
      <c r="N6016">
        <f>IF(L6016="", "", L6016-B6016)</f>
        <v/>
      </c>
      <c r="O6016">
        <f>IF(L6016="", "Pending", IF(N6016&lt;=30, "Met", "Breached"))</f>
        <v/>
      </c>
      <c r="P6016" s="8" t="n"/>
      <c r="Q6016" s="8" t="n"/>
      <c r="R6016" s="8" t="n"/>
      <c r="S6016" s="8" t="n"/>
      <c r="T6016" s="8" t="n"/>
      <c r="U6016" s="8" t="n"/>
      <c r="V6016" s="8" t="n"/>
      <c r="W6016" s="8" t="n"/>
      <c r="X6016" s="8" t="n"/>
      <c r="Y6016" s="8" t="n"/>
    </row>
    <row r="6017">
      <c r="A6017" s="8" t="n"/>
      <c r="B6017" s="8" t="n"/>
      <c r="C6017" s="8" t="n"/>
      <c r="D6017" s="8" t="n"/>
      <c r="E6017" s="8" t="n"/>
      <c r="F6017" s="8" t="n"/>
      <c r="G6017" s="8" t="n"/>
      <c r="H6017" s="8" t="n"/>
      <c r="I6017" s="8" t="n"/>
      <c r="J6017" s="8" t="n"/>
      <c r="K6017" s="8" t="n"/>
      <c r="L6017" s="8" t="n"/>
      <c r="M6017" s="9">
        <f>B6017+30</f>
        <v/>
      </c>
      <c r="N6017">
        <f>IF(L6017="", "", L6017-B6017)</f>
        <v/>
      </c>
      <c r="O6017">
        <f>IF(L6017="", "Pending", IF(N6017&lt;=30, "Met", "Breached"))</f>
        <v/>
      </c>
      <c r="P6017" s="8" t="n"/>
      <c r="Q6017" s="8" t="n"/>
      <c r="R6017" s="8" t="n"/>
      <c r="S6017" s="8" t="n"/>
      <c r="T6017" s="8" t="n"/>
      <c r="U6017" s="8" t="n"/>
      <c r="V6017" s="8" t="n"/>
      <c r="W6017" s="8" t="n"/>
      <c r="X6017" s="8" t="n"/>
      <c r="Y6017" s="8" t="n"/>
    </row>
    <row r="6018">
      <c r="A6018" s="8" t="n"/>
      <c r="B6018" s="8" t="n"/>
      <c r="C6018" s="8" t="n"/>
      <c r="D6018" s="8" t="n"/>
      <c r="E6018" s="8" t="n"/>
      <c r="F6018" s="8" t="n"/>
      <c r="G6018" s="8" t="n"/>
      <c r="H6018" s="8" t="n"/>
      <c r="I6018" s="8" t="n"/>
      <c r="J6018" s="8" t="n"/>
      <c r="K6018" s="8" t="n"/>
      <c r="L6018" s="8" t="n"/>
      <c r="M6018" s="9">
        <f>B6018+30</f>
        <v/>
      </c>
      <c r="N6018">
        <f>IF(L6018="", "", L6018-B6018)</f>
        <v/>
      </c>
      <c r="O6018">
        <f>IF(L6018="", "Pending", IF(N6018&lt;=30, "Met", "Breached"))</f>
        <v/>
      </c>
      <c r="P6018" s="8" t="n"/>
      <c r="Q6018" s="8" t="n"/>
      <c r="R6018" s="8" t="n"/>
      <c r="S6018" s="8" t="n"/>
      <c r="T6018" s="8" t="n"/>
      <c r="U6018" s="8" t="n"/>
      <c r="V6018" s="8" t="n"/>
      <c r="W6018" s="8" t="n"/>
      <c r="X6018" s="8" t="n"/>
      <c r="Y6018" s="8" t="n"/>
    </row>
    <row r="6019">
      <c r="A6019" s="8" t="n"/>
      <c r="B6019" s="8" t="n"/>
      <c r="C6019" s="8" t="n"/>
      <c r="D6019" s="8" t="n"/>
      <c r="E6019" s="8" t="n"/>
      <c r="F6019" s="8" t="n"/>
      <c r="G6019" s="8" t="n"/>
      <c r="H6019" s="8" t="n"/>
      <c r="I6019" s="8" t="n"/>
      <c r="J6019" s="8" t="n"/>
      <c r="K6019" s="8" t="n"/>
      <c r="L6019" s="8" t="n"/>
      <c r="M6019" s="9">
        <f>B6019+30</f>
        <v/>
      </c>
      <c r="N6019">
        <f>IF(L6019="", "", L6019-B6019)</f>
        <v/>
      </c>
      <c r="O6019">
        <f>IF(L6019="", "Pending", IF(N6019&lt;=30, "Met", "Breached"))</f>
        <v/>
      </c>
      <c r="P6019" s="8" t="n"/>
      <c r="Q6019" s="8" t="n"/>
      <c r="R6019" s="8" t="n"/>
      <c r="S6019" s="8" t="n"/>
      <c r="T6019" s="8" t="n"/>
      <c r="U6019" s="8" t="n"/>
      <c r="V6019" s="8" t="n"/>
      <c r="W6019" s="8" t="n"/>
      <c r="X6019" s="8" t="n"/>
      <c r="Y6019" s="8" t="n"/>
    </row>
    <row r="6020">
      <c r="A6020" s="8" t="n"/>
      <c r="B6020" s="8" t="n"/>
      <c r="C6020" s="8" t="n"/>
      <c r="D6020" s="8" t="n"/>
      <c r="E6020" s="8" t="n"/>
      <c r="F6020" s="8" t="n"/>
      <c r="G6020" s="8" t="n"/>
      <c r="H6020" s="8" t="n"/>
      <c r="I6020" s="8" t="n"/>
      <c r="J6020" s="8" t="n"/>
      <c r="K6020" s="8" t="n"/>
      <c r="L6020" s="8" t="n"/>
      <c r="M6020" s="9">
        <f>B6020+30</f>
        <v/>
      </c>
      <c r="N6020">
        <f>IF(L6020="", "", L6020-B6020)</f>
        <v/>
      </c>
      <c r="O6020">
        <f>IF(L6020="", "Pending", IF(N6020&lt;=30, "Met", "Breached"))</f>
        <v/>
      </c>
      <c r="P6020" s="8" t="n"/>
      <c r="Q6020" s="8" t="n"/>
      <c r="R6020" s="8" t="n"/>
      <c r="S6020" s="8" t="n"/>
      <c r="T6020" s="8" t="n"/>
      <c r="U6020" s="8" t="n"/>
      <c r="V6020" s="8" t="n"/>
      <c r="W6020" s="8" t="n"/>
      <c r="X6020" s="8" t="n"/>
      <c r="Y6020" s="8" t="n"/>
    </row>
    <row r="6021">
      <c r="A6021" s="8" t="n"/>
      <c r="B6021" s="8" t="n"/>
      <c r="C6021" s="8" t="n"/>
      <c r="D6021" s="8" t="n"/>
      <c r="E6021" s="8" t="n"/>
      <c r="F6021" s="8" t="n"/>
      <c r="G6021" s="8" t="n"/>
      <c r="H6021" s="8" t="n"/>
      <c r="I6021" s="8" t="n"/>
      <c r="J6021" s="8" t="n"/>
      <c r="K6021" s="8" t="n"/>
      <c r="L6021" s="8" t="n"/>
      <c r="M6021" s="9">
        <f>B6021+30</f>
        <v/>
      </c>
      <c r="N6021">
        <f>IF(L6021="", "", L6021-B6021)</f>
        <v/>
      </c>
      <c r="O6021">
        <f>IF(L6021="", "Pending", IF(N6021&lt;=30, "Met", "Breached"))</f>
        <v/>
      </c>
      <c r="P6021" s="8" t="n"/>
      <c r="Q6021" s="8" t="n"/>
      <c r="R6021" s="8" t="n"/>
      <c r="S6021" s="8" t="n"/>
      <c r="T6021" s="8" t="n"/>
      <c r="U6021" s="8" t="n"/>
      <c r="V6021" s="8" t="n"/>
      <c r="W6021" s="8" t="n"/>
      <c r="X6021" s="8" t="n"/>
      <c r="Y6021" s="8" t="n"/>
    </row>
    <row r="6022">
      <c r="A6022" s="8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8" t="n"/>
      <c r="K6022" s="8" t="n"/>
      <c r="L6022" s="8" t="n"/>
      <c r="M6022" s="9">
        <f>B6022+30</f>
        <v/>
      </c>
      <c r="N6022">
        <f>IF(L6022="", "", L6022-B6022)</f>
        <v/>
      </c>
      <c r="O6022">
        <f>IF(L6022="", "Pending", IF(N6022&lt;=30, "Met", "Breached"))</f>
        <v/>
      </c>
      <c r="P6022" s="8" t="n"/>
      <c r="Q6022" s="8" t="n"/>
      <c r="R6022" s="8" t="n"/>
      <c r="S6022" s="8" t="n"/>
      <c r="T6022" s="8" t="n"/>
      <c r="U6022" s="8" t="n"/>
      <c r="V6022" s="8" t="n"/>
      <c r="W6022" s="8" t="n"/>
      <c r="X6022" s="8" t="n"/>
      <c r="Y6022" s="8" t="n"/>
    </row>
    <row r="6023">
      <c r="A6023" s="8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8" t="n"/>
      <c r="K6023" s="8" t="n"/>
      <c r="L6023" s="8" t="n"/>
      <c r="M6023" s="9">
        <f>B6023+30</f>
        <v/>
      </c>
      <c r="N6023">
        <f>IF(L6023="", "", L6023-B6023)</f>
        <v/>
      </c>
      <c r="O6023">
        <f>IF(L6023="", "Pending", IF(N6023&lt;=30, "Met", "Breached"))</f>
        <v/>
      </c>
      <c r="P6023" s="8" t="n"/>
      <c r="Q6023" s="8" t="n"/>
      <c r="R6023" s="8" t="n"/>
      <c r="S6023" s="8" t="n"/>
      <c r="T6023" s="8" t="n"/>
      <c r="U6023" s="8" t="n"/>
      <c r="V6023" s="8" t="n"/>
      <c r="W6023" s="8" t="n"/>
      <c r="X6023" s="8" t="n"/>
      <c r="Y6023" s="8" t="n"/>
    </row>
    <row r="6024">
      <c r="A6024" s="8" t="n"/>
      <c r="B6024" s="8" t="n"/>
      <c r="C6024" s="8" t="n"/>
      <c r="D6024" s="8" t="n"/>
      <c r="E6024" s="8" t="n"/>
      <c r="F6024" s="8" t="n"/>
      <c r="G6024" s="8" t="n"/>
      <c r="H6024" s="8" t="n"/>
      <c r="I6024" s="8" t="n"/>
      <c r="J6024" s="8" t="n"/>
      <c r="K6024" s="8" t="n"/>
      <c r="L6024" s="8" t="n"/>
      <c r="M6024" s="9">
        <f>B6024+30</f>
        <v/>
      </c>
      <c r="N6024">
        <f>IF(L6024="", "", L6024-B6024)</f>
        <v/>
      </c>
      <c r="O6024">
        <f>IF(L6024="", "Pending", IF(N6024&lt;=30, "Met", "Breached"))</f>
        <v/>
      </c>
      <c r="P6024" s="8" t="n"/>
      <c r="Q6024" s="8" t="n"/>
      <c r="R6024" s="8" t="n"/>
      <c r="S6024" s="8" t="n"/>
      <c r="T6024" s="8" t="n"/>
      <c r="U6024" s="8" t="n"/>
      <c r="V6024" s="8" t="n"/>
      <c r="W6024" s="8" t="n"/>
      <c r="X6024" s="8" t="n"/>
      <c r="Y6024" s="8" t="n"/>
    </row>
    <row r="6025">
      <c r="A6025" s="8" t="n"/>
      <c r="B6025" s="8" t="n"/>
      <c r="C6025" s="8" t="n"/>
      <c r="D6025" s="8" t="n"/>
      <c r="E6025" s="8" t="n"/>
      <c r="F6025" s="8" t="n"/>
      <c r="G6025" s="8" t="n"/>
      <c r="H6025" s="8" t="n"/>
      <c r="I6025" s="8" t="n"/>
      <c r="J6025" s="8" t="n"/>
      <c r="K6025" s="8" t="n"/>
      <c r="L6025" s="8" t="n"/>
      <c r="M6025" s="9">
        <f>B6025+30</f>
        <v/>
      </c>
      <c r="N6025">
        <f>IF(L6025="", "", L6025-B6025)</f>
        <v/>
      </c>
      <c r="O6025">
        <f>IF(L6025="", "Pending", IF(N6025&lt;=30, "Met", "Breached"))</f>
        <v/>
      </c>
      <c r="P6025" s="8" t="n"/>
      <c r="Q6025" s="8" t="n"/>
      <c r="R6025" s="8" t="n"/>
      <c r="S6025" s="8" t="n"/>
      <c r="T6025" s="8" t="n"/>
      <c r="U6025" s="8" t="n"/>
      <c r="V6025" s="8" t="n"/>
      <c r="W6025" s="8" t="n"/>
      <c r="X6025" s="8" t="n"/>
      <c r="Y6025" s="8" t="n"/>
    </row>
    <row r="6026">
      <c r="A6026" s="8" t="n"/>
      <c r="B6026" s="8" t="n"/>
      <c r="C6026" s="8" t="n"/>
      <c r="D6026" s="8" t="n"/>
      <c r="E6026" s="8" t="n"/>
      <c r="F6026" s="8" t="n"/>
      <c r="G6026" s="8" t="n"/>
      <c r="H6026" s="8" t="n"/>
      <c r="I6026" s="8" t="n"/>
      <c r="J6026" s="8" t="n"/>
      <c r="K6026" s="8" t="n"/>
      <c r="L6026" s="8" t="n"/>
      <c r="M6026" s="9">
        <f>B6026+30</f>
        <v/>
      </c>
      <c r="N6026">
        <f>IF(L6026="", "", L6026-B6026)</f>
        <v/>
      </c>
      <c r="O6026">
        <f>IF(L6026="", "Pending", IF(N6026&lt;=30, "Met", "Breached"))</f>
        <v/>
      </c>
      <c r="P6026" s="8" t="n"/>
      <c r="Q6026" s="8" t="n"/>
      <c r="R6026" s="8" t="n"/>
      <c r="S6026" s="8" t="n"/>
      <c r="T6026" s="8" t="n"/>
      <c r="U6026" s="8" t="n"/>
      <c r="V6026" s="8" t="n"/>
      <c r="W6026" s="8" t="n"/>
      <c r="X6026" s="8" t="n"/>
      <c r="Y6026" s="8" t="n"/>
    </row>
    <row r="6027">
      <c r="A6027" s="8" t="n"/>
      <c r="B6027" s="8" t="n"/>
      <c r="C6027" s="8" t="n"/>
      <c r="D6027" s="8" t="n"/>
      <c r="E6027" s="8" t="n"/>
      <c r="F6027" s="8" t="n"/>
      <c r="G6027" s="8" t="n"/>
      <c r="H6027" s="8" t="n"/>
      <c r="I6027" s="8" t="n"/>
      <c r="J6027" s="8" t="n"/>
      <c r="K6027" s="8" t="n"/>
      <c r="L6027" s="8" t="n"/>
      <c r="M6027" s="9">
        <f>B6027+30</f>
        <v/>
      </c>
      <c r="N6027">
        <f>IF(L6027="", "", L6027-B6027)</f>
        <v/>
      </c>
      <c r="O6027">
        <f>IF(L6027="", "Pending", IF(N6027&lt;=30, "Met", "Breached"))</f>
        <v/>
      </c>
      <c r="P6027" s="8" t="n"/>
      <c r="Q6027" s="8" t="n"/>
      <c r="R6027" s="8" t="n"/>
      <c r="S6027" s="8" t="n"/>
      <c r="T6027" s="8" t="n"/>
      <c r="U6027" s="8" t="n"/>
      <c r="V6027" s="8" t="n"/>
      <c r="W6027" s="8" t="n"/>
      <c r="X6027" s="8" t="n"/>
      <c r="Y6027" s="8" t="n"/>
    </row>
    <row r="6028">
      <c r="A6028" s="8" t="n"/>
      <c r="B6028" s="8" t="n"/>
      <c r="C6028" s="8" t="n"/>
      <c r="D6028" s="8" t="n"/>
      <c r="E6028" s="8" t="n"/>
      <c r="F6028" s="8" t="n"/>
      <c r="G6028" s="8" t="n"/>
      <c r="H6028" s="8" t="n"/>
      <c r="I6028" s="8" t="n"/>
      <c r="J6028" s="8" t="n"/>
      <c r="K6028" s="8" t="n"/>
      <c r="L6028" s="8" t="n"/>
      <c r="M6028" s="9">
        <f>B6028+30</f>
        <v/>
      </c>
      <c r="N6028">
        <f>IF(L6028="", "", L6028-B6028)</f>
        <v/>
      </c>
      <c r="O6028">
        <f>IF(L6028="", "Pending", IF(N6028&lt;=30, "Met", "Breached"))</f>
        <v/>
      </c>
      <c r="P6028" s="8" t="n"/>
      <c r="Q6028" s="8" t="n"/>
      <c r="R6028" s="8" t="n"/>
      <c r="S6028" s="8" t="n"/>
      <c r="T6028" s="8" t="n"/>
      <c r="U6028" s="8" t="n"/>
      <c r="V6028" s="8" t="n"/>
      <c r="W6028" s="8" t="n"/>
      <c r="X6028" s="8" t="n"/>
      <c r="Y6028" s="8" t="n"/>
    </row>
    <row r="6029">
      <c r="A6029" s="8" t="n"/>
      <c r="B6029" s="8" t="n"/>
      <c r="C6029" s="8" t="n"/>
      <c r="D6029" s="8" t="n"/>
      <c r="E6029" s="8" t="n"/>
      <c r="F6029" s="8" t="n"/>
      <c r="G6029" s="8" t="n"/>
      <c r="H6029" s="8" t="n"/>
      <c r="I6029" s="8" t="n"/>
      <c r="J6029" s="8" t="n"/>
      <c r="K6029" s="8" t="n"/>
      <c r="L6029" s="8" t="n"/>
      <c r="M6029" s="9">
        <f>B6029+30</f>
        <v/>
      </c>
      <c r="N6029">
        <f>IF(L6029="", "", L6029-B6029)</f>
        <v/>
      </c>
      <c r="O6029">
        <f>IF(L6029="", "Pending", IF(N6029&lt;=30, "Met", "Breached"))</f>
        <v/>
      </c>
      <c r="P6029" s="8" t="n"/>
      <c r="Q6029" s="8" t="n"/>
      <c r="R6029" s="8" t="n"/>
      <c r="S6029" s="8" t="n"/>
      <c r="T6029" s="8" t="n"/>
      <c r="U6029" s="8" t="n"/>
      <c r="V6029" s="8" t="n"/>
      <c r="W6029" s="8" t="n"/>
      <c r="X6029" s="8" t="n"/>
      <c r="Y6029" s="8" t="n"/>
    </row>
    <row r="6030">
      <c r="A6030" s="8" t="n"/>
      <c r="B6030" s="8" t="n"/>
      <c r="C6030" s="8" t="n"/>
      <c r="D6030" s="8" t="n"/>
      <c r="E6030" s="8" t="n"/>
      <c r="F6030" s="8" t="n"/>
      <c r="G6030" s="8" t="n"/>
      <c r="H6030" s="8" t="n"/>
      <c r="I6030" s="8" t="n"/>
      <c r="J6030" s="8" t="n"/>
      <c r="K6030" s="8" t="n"/>
      <c r="L6030" s="8" t="n"/>
      <c r="M6030" s="9">
        <f>B6030+30</f>
        <v/>
      </c>
      <c r="N6030">
        <f>IF(L6030="", "", L6030-B6030)</f>
        <v/>
      </c>
      <c r="O6030">
        <f>IF(L6030="", "Pending", IF(N6030&lt;=30, "Met", "Breached"))</f>
        <v/>
      </c>
      <c r="P6030" s="8" t="n"/>
      <c r="Q6030" s="8" t="n"/>
      <c r="R6030" s="8" t="n"/>
      <c r="S6030" s="8" t="n"/>
      <c r="T6030" s="8" t="n"/>
      <c r="U6030" s="8" t="n"/>
      <c r="V6030" s="8" t="n"/>
      <c r="W6030" s="8" t="n"/>
      <c r="X6030" s="8" t="n"/>
      <c r="Y6030" s="8" t="n"/>
    </row>
    <row r="6031">
      <c r="A6031" s="8" t="n"/>
      <c r="B6031" s="8" t="n"/>
      <c r="C6031" s="8" t="n"/>
      <c r="D6031" s="8" t="n"/>
      <c r="E6031" s="8" t="n"/>
      <c r="F6031" s="8" t="n"/>
      <c r="G6031" s="8" t="n"/>
      <c r="H6031" s="8" t="n"/>
      <c r="I6031" s="8" t="n"/>
      <c r="J6031" s="8" t="n"/>
      <c r="K6031" s="8" t="n"/>
      <c r="L6031" s="8" t="n"/>
      <c r="M6031" s="9">
        <f>B6031+30</f>
        <v/>
      </c>
      <c r="N6031">
        <f>IF(L6031="", "", L6031-B6031)</f>
        <v/>
      </c>
      <c r="O6031">
        <f>IF(L6031="", "Pending", IF(N6031&lt;=30, "Met", "Breached"))</f>
        <v/>
      </c>
      <c r="P6031" s="8" t="n"/>
      <c r="Q6031" s="8" t="n"/>
      <c r="R6031" s="8" t="n"/>
      <c r="S6031" s="8" t="n"/>
      <c r="T6031" s="8" t="n"/>
      <c r="U6031" s="8" t="n"/>
      <c r="V6031" s="8" t="n"/>
      <c r="W6031" s="8" t="n"/>
      <c r="X6031" s="8" t="n"/>
      <c r="Y6031" s="8" t="n"/>
    </row>
    <row r="6032">
      <c r="A6032" s="8" t="n"/>
      <c r="B6032" s="8" t="n"/>
      <c r="C6032" s="8" t="n"/>
      <c r="D6032" s="8" t="n"/>
      <c r="E6032" s="8" t="n"/>
      <c r="F6032" s="8" t="n"/>
      <c r="G6032" s="8" t="n"/>
      <c r="H6032" s="8" t="n"/>
      <c r="I6032" s="8" t="n"/>
      <c r="J6032" s="8" t="n"/>
      <c r="K6032" s="8" t="n"/>
      <c r="L6032" s="8" t="n"/>
      <c r="M6032" s="9">
        <f>B6032+30</f>
        <v/>
      </c>
      <c r="N6032">
        <f>IF(L6032="", "", L6032-B6032)</f>
        <v/>
      </c>
      <c r="O6032">
        <f>IF(L6032="", "Pending", IF(N6032&lt;=30, "Met", "Breached"))</f>
        <v/>
      </c>
      <c r="P6032" s="8" t="n"/>
      <c r="Q6032" s="8" t="n"/>
      <c r="R6032" s="8" t="n"/>
      <c r="S6032" s="8" t="n"/>
      <c r="T6032" s="8" t="n"/>
      <c r="U6032" s="8" t="n"/>
      <c r="V6032" s="8" t="n"/>
      <c r="W6032" s="8" t="n"/>
      <c r="X6032" s="8" t="n"/>
      <c r="Y6032" s="8" t="n"/>
    </row>
    <row r="6033">
      <c r="A6033" s="8" t="n"/>
      <c r="B6033" s="8" t="n"/>
      <c r="C6033" s="8" t="n"/>
      <c r="D6033" s="8" t="n"/>
      <c r="E6033" s="8" t="n"/>
      <c r="F6033" s="8" t="n"/>
      <c r="G6033" s="8" t="n"/>
      <c r="H6033" s="8" t="n"/>
      <c r="I6033" s="8" t="n"/>
      <c r="J6033" s="8" t="n"/>
      <c r="K6033" s="8" t="n"/>
      <c r="L6033" s="8" t="n"/>
      <c r="M6033" s="9">
        <f>B6033+30</f>
        <v/>
      </c>
      <c r="N6033">
        <f>IF(L6033="", "", L6033-B6033)</f>
        <v/>
      </c>
      <c r="O6033">
        <f>IF(L6033="", "Pending", IF(N6033&lt;=30, "Met", "Breached"))</f>
        <v/>
      </c>
      <c r="P6033" s="8" t="n"/>
      <c r="Q6033" s="8" t="n"/>
      <c r="R6033" s="8" t="n"/>
      <c r="S6033" s="8" t="n"/>
      <c r="T6033" s="8" t="n"/>
      <c r="U6033" s="8" t="n"/>
      <c r="V6033" s="8" t="n"/>
      <c r="W6033" s="8" t="n"/>
      <c r="X6033" s="8" t="n"/>
      <c r="Y6033" s="8" t="n"/>
    </row>
    <row r="6034">
      <c r="A6034" s="8" t="n"/>
      <c r="B6034" s="8" t="n"/>
      <c r="C6034" s="8" t="n"/>
      <c r="D6034" s="8" t="n"/>
      <c r="E6034" s="8" t="n"/>
      <c r="F6034" s="8" t="n"/>
      <c r="G6034" s="8" t="n"/>
      <c r="H6034" s="8" t="n"/>
      <c r="I6034" s="8" t="n"/>
      <c r="J6034" s="8" t="n"/>
      <c r="K6034" s="8" t="n"/>
      <c r="L6034" s="8" t="n"/>
      <c r="M6034" s="9">
        <f>B6034+30</f>
        <v/>
      </c>
      <c r="N6034">
        <f>IF(L6034="", "", L6034-B6034)</f>
        <v/>
      </c>
      <c r="O6034">
        <f>IF(L6034="", "Pending", IF(N6034&lt;=30, "Met", "Breached"))</f>
        <v/>
      </c>
      <c r="P6034" s="8" t="n"/>
      <c r="Q6034" s="8" t="n"/>
      <c r="R6034" s="8" t="n"/>
      <c r="S6034" s="8" t="n"/>
      <c r="T6034" s="8" t="n"/>
      <c r="U6034" s="8" t="n"/>
      <c r="V6034" s="8" t="n"/>
      <c r="W6034" s="8" t="n"/>
      <c r="X6034" s="8" t="n"/>
      <c r="Y6034" s="8" t="n"/>
    </row>
    <row r="6035">
      <c r="A6035" s="8" t="n"/>
      <c r="B6035" s="8" t="n"/>
      <c r="C6035" s="8" t="n"/>
      <c r="D6035" s="8" t="n"/>
      <c r="E6035" s="8" t="n"/>
      <c r="F6035" s="8" t="n"/>
      <c r="G6035" s="8" t="n"/>
      <c r="H6035" s="8" t="n"/>
      <c r="I6035" s="8" t="n"/>
      <c r="J6035" s="8" t="n"/>
      <c r="K6035" s="8" t="n"/>
      <c r="L6035" s="8" t="n"/>
      <c r="M6035" s="9">
        <f>B6035+30</f>
        <v/>
      </c>
      <c r="N6035">
        <f>IF(L6035="", "", L6035-B6035)</f>
        <v/>
      </c>
      <c r="O6035">
        <f>IF(L6035="", "Pending", IF(N6035&lt;=30, "Met", "Breached"))</f>
        <v/>
      </c>
      <c r="P6035" s="8" t="n"/>
      <c r="Q6035" s="8" t="n"/>
      <c r="R6035" s="8" t="n"/>
      <c r="S6035" s="8" t="n"/>
      <c r="T6035" s="8" t="n"/>
      <c r="U6035" s="8" t="n"/>
      <c r="V6035" s="8" t="n"/>
      <c r="W6035" s="8" t="n"/>
      <c r="X6035" s="8" t="n"/>
      <c r="Y6035" s="8" t="n"/>
    </row>
    <row r="6036">
      <c r="A6036" s="8" t="n"/>
      <c r="B6036" s="8" t="n"/>
      <c r="C6036" s="8" t="n"/>
      <c r="D6036" s="8" t="n"/>
      <c r="E6036" s="8" t="n"/>
      <c r="F6036" s="8" t="n"/>
      <c r="G6036" s="8" t="n"/>
      <c r="H6036" s="8" t="n"/>
      <c r="I6036" s="8" t="n"/>
      <c r="J6036" s="8" t="n"/>
      <c r="K6036" s="8" t="n"/>
      <c r="L6036" s="8" t="n"/>
      <c r="M6036" s="9">
        <f>B6036+30</f>
        <v/>
      </c>
      <c r="N6036">
        <f>IF(L6036="", "", L6036-B6036)</f>
        <v/>
      </c>
      <c r="O6036">
        <f>IF(L6036="", "Pending", IF(N6036&lt;=30, "Met", "Breached"))</f>
        <v/>
      </c>
      <c r="P6036" s="8" t="n"/>
      <c r="Q6036" s="8" t="n"/>
      <c r="R6036" s="8" t="n"/>
      <c r="S6036" s="8" t="n"/>
      <c r="T6036" s="8" t="n"/>
      <c r="U6036" s="8" t="n"/>
      <c r="V6036" s="8" t="n"/>
      <c r="W6036" s="8" t="n"/>
      <c r="X6036" s="8" t="n"/>
      <c r="Y6036" s="8" t="n"/>
    </row>
    <row r="6037">
      <c r="A6037" s="8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8" t="n"/>
      <c r="K6037" s="8" t="n"/>
      <c r="L6037" s="8" t="n"/>
      <c r="M6037" s="9">
        <f>B6037+30</f>
        <v/>
      </c>
      <c r="N6037">
        <f>IF(L6037="", "", L6037-B6037)</f>
        <v/>
      </c>
      <c r="O6037">
        <f>IF(L6037="", "Pending", IF(N6037&lt;=30, "Met", "Breached"))</f>
        <v/>
      </c>
      <c r="P6037" s="8" t="n"/>
      <c r="Q6037" s="8" t="n"/>
      <c r="R6037" s="8" t="n"/>
      <c r="S6037" s="8" t="n"/>
      <c r="T6037" s="8" t="n"/>
      <c r="U6037" s="8" t="n"/>
      <c r="V6037" s="8" t="n"/>
      <c r="W6037" s="8" t="n"/>
      <c r="X6037" s="8" t="n"/>
      <c r="Y6037" s="8" t="n"/>
    </row>
    <row r="6038">
      <c r="A6038" s="8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8" t="n"/>
      <c r="K6038" s="8" t="n"/>
      <c r="L6038" s="8" t="n"/>
      <c r="M6038" s="9">
        <f>B6038+30</f>
        <v/>
      </c>
      <c r="N6038">
        <f>IF(L6038="", "", L6038-B6038)</f>
        <v/>
      </c>
      <c r="O6038">
        <f>IF(L6038="", "Pending", IF(N6038&lt;=30, "Met", "Breached"))</f>
        <v/>
      </c>
      <c r="P6038" s="8" t="n"/>
      <c r="Q6038" s="8" t="n"/>
      <c r="R6038" s="8" t="n"/>
      <c r="S6038" s="8" t="n"/>
      <c r="T6038" s="8" t="n"/>
      <c r="U6038" s="8" t="n"/>
      <c r="V6038" s="8" t="n"/>
      <c r="W6038" s="8" t="n"/>
      <c r="X6038" s="8" t="n"/>
      <c r="Y6038" s="8" t="n"/>
    </row>
    <row r="6039">
      <c r="A6039" s="8" t="n"/>
      <c r="B6039" s="8" t="n"/>
      <c r="C6039" s="8" t="n"/>
      <c r="D6039" s="8" t="n"/>
      <c r="E6039" s="8" t="n"/>
      <c r="F6039" s="8" t="n"/>
      <c r="G6039" s="8" t="n"/>
      <c r="H6039" s="8" t="n"/>
      <c r="I6039" s="8" t="n"/>
      <c r="J6039" s="8" t="n"/>
      <c r="K6039" s="8" t="n"/>
      <c r="L6039" s="8" t="n"/>
      <c r="M6039" s="9">
        <f>B6039+30</f>
        <v/>
      </c>
      <c r="N6039">
        <f>IF(L6039="", "", L6039-B6039)</f>
        <v/>
      </c>
      <c r="O6039">
        <f>IF(L6039="", "Pending", IF(N6039&lt;=30, "Met", "Breached"))</f>
        <v/>
      </c>
      <c r="P6039" s="8" t="n"/>
      <c r="Q6039" s="8" t="n"/>
      <c r="R6039" s="8" t="n"/>
      <c r="S6039" s="8" t="n"/>
      <c r="T6039" s="8" t="n"/>
      <c r="U6039" s="8" t="n"/>
      <c r="V6039" s="8" t="n"/>
      <c r="W6039" s="8" t="n"/>
      <c r="X6039" s="8" t="n"/>
      <c r="Y6039" s="8" t="n"/>
    </row>
    <row r="6040">
      <c r="A6040" s="8" t="n"/>
      <c r="B6040" s="8" t="n"/>
      <c r="C6040" s="8" t="n"/>
      <c r="D6040" s="8" t="n"/>
      <c r="E6040" s="8" t="n"/>
      <c r="F6040" s="8" t="n"/>
      <c r="G6040" s="8" t="n"/>
      <c r="H6040" s="8" t="n"/>
      <c r="I6040" s="8" t="n"/>
      <c r="J6040" s="8" t="n"/>
      <c r="K6040" s="8" t="n"/>
      <c r="L6040" s="8" t="n"/>
      <c r="M6040" s="9">
        <f>B6040+30</f>
        <v/>
      </c>
      <c r="N6040">
        <f>IF(L6040="", "", L6040-B6040)</f>
        <v/>
      </c>
      <c r="O6040">
        <f>IF(L6040="", "Pending", IF(N6040&lt;=30, "Met", "Breached"))</f>
        <v/>
      </c>
      <c r="P6040" s="8" t="n"/>
      <c r="Q6040" s="8" t="n"/>
      <c r="R6040" s="8" t="n"/>
      <c r="S6040" s="8" t="n"/>
      <c r="T6040" s="8" t="n"/>
      <c r="U6040" s="8" t="n"/>
      <c r="V6040" s="8" t="n"/>
      <c r="W6040" s="8" t="n"/>
      <c r="X6040" s="8" t="n"/>
      <c r="Y6040" s="8" t="n"/>
    </row>
    <row r="6041">
      <c r="A6041" s="8" t="n"/>
      <c r="B6041" s="8" t="n"/>
      <c r="C6041" s="8" t="n"/>
      <c r="D6041" s="8" t="n"/>
      <c r="E6041" s="8" t="n"/>
      <c r="F6041" s="8" t="n"/>
      <c r="G6041" s="8" t="n"/>
      <c r="H6041" s="8" t="n"/>
      <c r="I6041" s="8" t="n"/>
      <c r="J6041" s="8" t="n"/>
      <c r="K6041" s="8" t="n"/>
      <c r="L6041" s="8" t="n"/>
      <c r="M6041" s="9">
        <f>B6041+30</f>
        <v/>
      </c>
      <c r="N6041">
        <f>IF(L6041="", "", L6041-B6041)</f>
        <v/>
      </c>
      <c r="O6041">
        <f>IF(L6041="", "Pending", IF(N6041&lt;=30, "Met", "Breached"))</f>
        <v/>
      </c>
      <c r="P6041" s="8" t="n"/>
      <c r="Q6041" s="8" t="n"/>
      <c r="R6041" s="8" t="n"/>
      <c r="S6041" s="8" t="n"/>
      <c r="T6041" s="8" t="n"/>
      <c r="U6041" s="8" t="n"/>
      <c r="V6041" s="8" t="n"/>
      <c r="W6041" s="8" t="n"/>
      <c r="X6041" s="8" t="n"/>
      <c r="Y6041" s="8" t="n"/>
    </row>
    <row r="6042">
      <c r="A6042" s="8" t="n"/>
      <c r="B6042" s="8" t="n"/>
      <c r="C6042" s="8" t="n"/>
      <c r="D6042" s="8" t="n"/>
      <c r="E6042" s="8" t="n"/>
      <c r="F6042" s="8" t="n"/>
      <c r="G6042" s="8" t="n"/>
      <c r="H6042" s="8" t="n"/>
      <c r="I6042" s="8" t="n"/>
      <c r="J6042" s="8" t="n"/>
      <c r="K6042" s="8" t="n"/>
      <c r="L6042" s="8" t="n"/>
      <c r="M6042" s="9">
        <f>B6042+30</f>
        <v/>
      </c>
      <c r="N6042">
        <f>IF(L6042="", "", L6042-B6042)</f>
        <v/>
      </c>
      <c r="O6042">
        <f>IF(L6042="", "Pending", IF(N6042&lt;=30, "Met", "Breached"))</f>
        <v/>
      </c>
      <c r="P6042" s="8" t="n"/>
      <c r="Q6042" s="8" t="n"/>
      <c r="R6042" s="8" t="n"/>
      <c r="S6042" s="8" t="n"/>
      <c r="T6042" s="8" t="n"/>
      <c r="U6042" s="8" t="n"/>
      <c r="V6042" s="8" t="n"/>
      <c r="W6042" s="8" t="n"/>
      <c r="X6042" s="8" t="n"/>
      <c r="Y6042" s="8" t="n"/>
    </row>
    <row r="6043">
      <c r="A6043" s="8" t="n"/>
      <c r="B6043" s="8" t="n"/>
      <c r="C6043" s="8" t="n"/>
      <c r="D6043" s="8" t="n"/>
      <c r="E6043" s="8" t="n"/>
      <c r="F6043" s="8" t="n"/>
      <c r="G6043" s="8" t="n"/>
      <c r="H6043" s="8" t="n"/>
      <c r="I6043" s="8" t="n"/>
      <c r="J6043" s="8" t="n"/>
      <c r="K6043" s="8" t="n"/>
      <c r="L6043" s="8" t="n"/>
      <c r="M6043" s="9">
        <f>B6043+30</f>
        <v/>
      </c>
      <c r="N6043">
        <f>IF(L6043="", "", L6043-B6043)</f>
        <v/>
      </c>
      <c r="O6043">
        <f>IF(L6043="", "Pending", IF(N6043&lt;=30, "Met", "Breached"))</f>
        <v/>
      </c>
      <c r="P6043" s="8" t="n"/>
      <c r="Q6043" s="8" t="n"/>
      <c r="R6043" s="8" t="n"/>
      <c r="S6043" s="8" t="n"/>
      <c r="T6043" s="8" t="n"/>
      <c r="U6043" s="8" t="n"/>
      <c r="V6043" s="8" t="n"/>
      <c r="W6043" s="8" t="n"/>
      <c r="X6043" s="8" t="n"/>
      <c r="Y6043" s="8" t="n"/>
    </row>
    <row r="6044">
      <c r="A6044" s="8" t="n"/>
      <c r="B6044" s="8" t="n"/>
      <c r="C6044" s="8" t="n"/>
      <c r="D6044" s="8" t="n"/>
      <c r="E6044" s="8" t="n"/>
      <c r="F6044" s="8" t="n"/>
      <c r="G6044" s="8" t="n"/>
      <c r="H6044" s="8" t="n"/>
      <c r="I6044" s="8" t="n"/>
      <c r="J6044" s="8" t="n"/>
      <c r="K6044" s="8" t="n"/>
      <c r="L6044" s="8" t="n"/>
      <c r="M6044" s="9">
        <f>B6044+30</f>
        <v/>
      </c>
      <c r="N6044">
        <f>IF(L6044="", "", L6044-B6044)</f>
        <v/>
      </c>
      <c r="O6044">
        <f>IF(L6044="", "Pending", IF(N6044&lt;=30, "Met", "Breached"))</f>
        <v/>
      </c>
      <c r="P6044" s="8" t="n"/>
      <c r="Q6044" s="8" t="n"/>
      <c r="R6044" s="8" t="n"/>
      <c r="S6044" s="8" t="n"/>
      <c r="T6044" s="8" t="n"/>
      <c r="U6044" s="8" t="n"/>
      <c r="V6044" s="8" t="n"/>
      <c r="W6044" s="8" t="n"/>
      <c r="X6044" s="8" t="n"/>
      <c r="Y6044" s="8" t="n"/>
    </row>
    <row r="6045">
      <c r="A6045" s="8" t="n"/>
      <c r="B6045" s="8" t="n"/>
      <c r="C6045" s="8" t="n"/>
      <c r="D6045" s="8" t="n"/>
      <c r="E6045" s="8" t="n"/>
      <c r="F6045" s="8" t="n"/>
      <c r="G6045" s="8" t="n"/>
      <c r="H6045" s="8" t="n"/>
      <c r="I6045" s="8" t="n"/>
      <c r="J6045" s="8" t="n"/>
      <c r="K6045" s="8" t="n"/>
      <c r="L6045" s="8" t="n"/>
      <c r="M6045" s="9">
        <f>B6045+30</f>
        <v/>
      </c>
      <c r="N6045">
        <f>IF(L6045="", "", L6045-B6045)</f>
        <v/>
      </c>
      <c r="O6045">
        <f>IF(L6045="", "Pending", IF(N6045&lt;=30, "Met", "Breached"))</f>
        <v/>
      </c>
      <c r="P6045" s="8" t="n"/>
      <c r="Q6045" s="8" t="n"/>
      <c r="R6045" s="8" t="n"/>
      <c r="S6045" s="8" t="n"/>
      <c r="T6045" s="8" t="n"/>
      <c r="U6045" s="8" t="n"/>
      <c r="V6045" s="8" t="n"/>
      <c r="W6045" s="8" t="n"/>
      <c r="X6045" s="8" t="n"/>
      <c r="Y6045" s="8" t="n"/>
    </row>
    <row r="6046">
      <c r="A6046" s="8" t="n"/>
      <c r="B6046" s="8" t="n"/>
      <c r="C6046" s="8" t="n"/>
      <c r="D6046" s="8" t="n"/>
      <c r="E6046" s="8" t="n"/>
      <c r="F6046" s="8" t="n"/>
      <c r="G6046" s="8" t="n"/>
      <c r="H6046" s="8" t="n"/>
      <c r="I6046" s="8" t="n"/>
      <c r="J6046" s="8" t="n"/>
      <c r="K6046" s="8" t="n"/>
      <c r="L6046" s="8" t="n"/>
      <c r="M6046" s="9">
        <f>B6046+30</f>
        <v/>
      </c>
      <c r="N6046">
        <f>IF(L6046="", "", L6046-B6046)</f>
        <v/>
      </c>
      <c r="O6046">
        <f>IF(L6046="", "Pending", IF(N6046&lt;=30, "Met", "Breached"))</f>
        <v/>
      </c>
      <c r="P6046" s="8" t="n"/>
      <c r="Q6046" s="8" t="n"/>
      <c r="R6046" s="8" t="n"/>
      <c r="S6046" s="8" t="n"/>
      <c r="T6046" s="8" t="n"/>
      <c r="U6046" s="8" t="n"/>
      <c r="V6046" s="8" t="n"/>
      <c r="W6046" s="8" t="n"/>
      <c r="X6046" s="8" t="n"/>
      <c r="Y6046" s="8" t="n"/>
    </row>
    <row r="6047">
      <c r="A6047" s="8" t="n"/>
      <c r="B6047" s="8" t="n"/>
      <c r="C6047" s="8" t="n"/>
      <c r="D6047" s="8" t="n"/>
      <c r="E6047" s="8" t="n"/>
      <c r="F6047" s="8" t="n"/>
      <c r="G6047" s="8" t="n"/>
      <c r="H6047" s="8" t="n"/>
      <c r="I6047" s="8" t="n"/>
      <c r="J6047" s="8" t="n"/>
      <c r="K6047" s="8" t="n"/>
      <c r="L6047" s="8" t="n"/>
      <c r="M6047" s="9">
        <f>B6047+30</f>
        <v/>
      </c>
      <c r="N6047">
        <f>IF(L6047="", "", L6047-B6047)</f>
        <v/>
      </c>
      <c r="O6047">
        <f>IF(L6047="", "Pending", IF(N6047&lt;=30, "Met", "Breached"))</f>
        <v/>
      </c>
      <c r="P6047" s="8" t="n"/>
      <c r="Q6047" s="8" t="n"/>
      <c r="R6047" s="8" t="n"/>
      <c r="S6047" s="8" t="n"/>
      <c r="T6047" s="8" t="n"/>
      <c r="U6047" s="8" t="n"/>
      <c r="V6047" s="8" t="n"/>
      <c r="W6047" s="8" t="n"/>
      <c r="X6047" s="8" t="n"/>
      <c r="Y6047" s="8" t="n"/>
    </row>
    <row r="6048">
      <c r="A6048" s="8" t="n"/>
      <c r="B6048" s="8" t="n"/>
      <c r="C6048" s="8" t="n"/>
      <c r="D6048" s="8" t="n"/>
      <c r="E6048" s="8" t="n"/>
      <c r="F6048" s="8" t="n"/>
      <c r="G6048" s="8" t="n"/>
      <c r="H6048" s="8" t="n"/>
      <c r="I6048" s="8" t="n"/>
      <c r="J6048" s="8" t="n"/>
      <c r="K6048" s="8" t="n"/>
      <c r="L6048" s="8" t="n"/>
      <c r="M6048" s="9">
        <f>B6048+30</f>
        <v/>
      </c>
      <c r="N6048">
        <f>IF(L6048="", "", L6048-B6048)</f>
        <v/>
      </c>
      <c r="O6048">
        <f>IF(L6048="", "Pending", IF(N6048&lt;=30, "Met", "Breached"))</f>
        <v/>
      </c>
      <c r="P6048" s="8" t="n"/>
      <c r="Q6048" s="8" t="n"/>
      <c r="R6048" s="8" t="n"/>
      <c r="S6048" s="8" t="n"/>
      <c r="T6048" s="8" t="n"/>
      <c r="U6048" s="8" t="n"/>
      <c r="V6048" s="8" t="n"/>
      <c r="W6048" s="8" t="n"/>
      <c r="X6048" s="8" t="n"/>
      <c r="Y6048" s="8" t="n"/>
    </row>
    <row r="6049">
      <c r="A6049" s="8" t="n"/>
      <c r="B6049" s="8" t="n"/>
      <c r="C6049" s="8" t="n"/>
      <c r="D6049" s="8" t="n"/>
      <c r="E6049" s="8" t="n"/>
      <c r="F6049" s="8" t="n"/>
      <c r="G6049" s="8" t="n"/>
      <c r="H6049" s="8" t="n"/>
      <c r="I6049" s="8" t="n"/>
      <c r="J6049" s="8" t="n"/>
      <c r="K6049" s="8" t="n"/>
      <c r="L6049" s="8" t="n"/>
      <c r="M6049" s="9">
        <f>B6049+30</f>
        <v/>
      </c>
      <c r="N6049">
        <f>IF(L6049="", "", L6049-B6049)</f>
        <v/>
      </c>
      <c r="O6049">
        <f>IF(L6049="", "Pending", IF(N6049&lt;=30, "Met", "Breached"))</f>
        <v/>
      </c>
      <c r="P6049" s="8" t="n"/>
      <c r="Q6049" s="8" t="n"/>
      <c r="R6049" s="8" t="n"/>
      <c r="S6049" s="8" t="n"/>
      <c r="T6049" s="8" t="n"/>
      <c r="U6049" s="8" t="n"/>
      <c r="V6049" s="8" t="n"/>
      <c r="W6049" s="8" t="n"/>
      <c r="X6049" s="8" t="n"/>
      <c r="Y6049" s="8" t="n"/>
    </row>
    <row r="6050">
      <c r="A6050" s="8" t="n"/>
      <c r="B6050" s="8" t="n"/>
      <c r="C6050" s="8" t="n"/>
      <c r="D6050" s="8" t="n"/>
      <c r="E6050" s="8" t="n"/>
      <c r="F6050" s="8" t="n"/>
      <c r="G6050" s="8" t="n"/>
      <c r="H6050" s="8" t="n"/>
      <c r="I6050" s="8" t="n"/>
      <c r="J6050" s="8" t="n"/>
      <c r="K6050" s="8" t="n"/>
      <c r="L6050" s="8" t="n"/>
      <c r="M6050" s="9">
        <f>B6050+30</f>
        <v/>
      </c>
      <c r="N6050">
        <f>IF(L6050="", "", L6050-B6050)</f>
        <v/>
      </c>
      <c r="O6050">
        <f>IF(L6050="", "Pending", IF(N6050&lt;=30, "Met", "Breached"))</f>
        <v/>
      </c>
      <c r="P6050" s="8" t="n"/>
      <c r="Q6050" s="8" t="n"/>
      <c r="R6050" s="8" t="n"/>
      <c r="S6050" s="8" t="n"/>
      <c r="T6050" s="8" t="n"/>
      <c r="U6050" s="8" t="n"/>
      <c r="V6050" s="8" t="n"/>
      <c r="W6050" s="8" t="n"/>
      <c r="X6050" s="8" t="n"/>
      <c r="Y6050" s="8" t="n"/>
    </row>
    <row r="6051">
      <c r="A6051" s="8" t="n"/>
      <c r="B6051" s="8" t="n"/>
      <c r="C6051" s="8" t="n"/>
      <c r="D6051" s="8" t="n"/>
      <c r="E6051" s="8" t="n"/>
      <c r="F6051" s="8" t="n"/>
      <c r="G6051" s="8" t="n"/>
      <c r="H6051" s="8" t="n"/>
      <c r="I6051" s="8" t="n"/>
      <c r="J6051" s="8" t="n"/>
      <c r="K6051" s="8" t="n"/>
      <c r="L6051" s="8" t="n"/>
      <c r="M6051" s="9">
        <f>B6051+30</f>
        <v/>
      </c>
      <c r="N6051">
        <f>IF(L6051="", "", L6051-B6051)</f>
        <v/>
      </c>
      <c r="O6051">
        <f>IF(L6051="", "Pending", IF(N6051&lt;=30, "Met", "Breached"))</f>
        <v/>
      </c>
      <c r="P6051" s="8" t="n"/>
      <c r="Q6051" s="8" t="n"/>
      <c r="R6051" s="8" t="n"/>
      <c r="S6051" s="8" t="n"/>
      <c r="T6051" s="8" t="n"/>
      <c r="U6051" s="8" t="n"/>
      <c r="V6051" s="8" t="n"/>
      <c r="W6051" s="8" t="n"/>
      <c r="X6051" s="8" t="n"/>
      <c r="Y6051" s="8" t="n"/>
    </row>
    <row r="6052">
      <c r="A6052" s="8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8" t="n"/>
      <c r="K6052" s="8" t="n"/>
      <c r="L6052" s="8" t="n"/>
      <c r="M6052" s="9">
        <f>B6052+30</f>
        <v/>
      </c>
      <c r="N6052">
        <f>IF(L6052="", "", L6052-B6052)</f>
        <v/>
      </c>
      <c r="O6052">
        <f>IF(L6052="", "Pending", IF(N6052&lt;=30, "Met", "Breached"))</f>
        <v/>
      </c>
      <c r="P6052" s="8" t="n"/>
      <c r="Q6052" s="8" t="n"/>
      <c r="R6052" s="8" t="n"/>
      <c r="S6052" s="8" t="n"/>
      <c r="T6052" s="8" t="n"/>
      <c r="U6052" s="8" t="n"/>
      <c r="V6052" s="8" t="n"/>
      <c r="W6052" s="8" t="n"/>
      <c r="X6052" s="8" t="n"/>
      <c r="Y6052" s="8" t="n"/>
    </row>
    <row r="6053">
      <c r="A6053" s="8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8" t="n"/>
      <c r="K6053" s="8" t="n"/>
      <c r="L6053" s="8" t="n"/>
      <c r="M6053" s="9">
        <f>B6053+30</f>
        <v/>
      </c>
      <c r="N6053">
        <f>IF(L6053="", "", L6053-B6053)</f>
        <v/>
      </c>
      <c r="O6053">
        <f>IF(L6053="", "Pending", IF(N6053&lt;=30, "Met", "Breached"))</f>
        <v/>
      </c>
      <c r="P6053" s="8" t="n"/>
      <c r="Q6053" s="8" t="n"/>
      <c r="R6053" s="8" t="n"/>
      <c r="S6053" s="8" t="n"/>
      <c r="T6053" s="8" t="n"/>
      <c r="U6053" s="8" t="n"/>
      <c r="V6053" s="8" t="n"/>
      <c r="W6053" s="8" t="n"/>
      <c r="X6053" s="8" t="n"/>
      <c r="Y6053" s="8" t="n"/>
    </row>
    <row r="6054">
      <c r="A6054" s="8" t="n"/>
      <c r="B6054" s="8" t="n"/>
      <c r="C6054" s="8" t="n"/>
      <c r="D6054" s="8" t="n"/>
      <c r="E6054" s="8" t="n"/>
      <c r="F6054" s="8" t="n"/>
      <c r="G6054" s="8" t="n"/>
      <c r="H6054" s="8" t="n"/>
      <c r="I6054" s="8" t="n"/>
      <c r="J6054" s="8" t="n"/>
      <c r="K6054" s="8" t="n"/>
      <c r="L6054" s="8" t="n"/>
      <c r="M6054" s="9">
        <f>B6054+30</f>
        <v/>
      </c>
      <c r="N6054">
        <f>IF(L6054="", "", L6054-B6054)</f>
        <v/>
      </c>
      <c r="O6054">
        <f>IF(L6054="", "Pending", IF(N6054&lt;=30, "Met", "Breached"))</f>
        <v/>
      </c>
      <c r="P6054" s="8" t="n"/>
      <c r="Q6054" s="8" t="n"/>
      <c r="R6054" s="8" t="n"/>
      <c r="S6054" s="8" t="n"/>
      <c r="T6054" s="8" t="n"/>
      <c r="U6054" s="8" t="n"/>
      <c r="V6054" s="8" t="n"/>
      <c r="W6054" s="8" t="n"/>
      <c r="X6054" s="8" t="n"/>
      <c r="Y6054" s="8" t="n"/>
    </row>
    <row r="6055">
      <c r="A6055" s="8" t="n"/>
      <c r="B6055" s="8" t="n"/>
      <c r="C6055" s="8" t="n"/>
      <c r="D6055" s="8" t="n"/>
      <c r="E6055" s="8" t="n"/>
      <c r="F6055" s="8" t="n"/>
      <c r="G6055" s="8" t="n"/>
      <c r="H6055" s="8" t="n"/>
      <c r="I6055" s="8" t="n"/>
      <c r="J6055" s="8" t="n"/>
      <c r="K6055" s="8" t="n"/>
      <c r="L6055" s="8" t="n"/>
      <c r="M6055" s="9">
        <f>B6055+30</f>
        <v/>
      </c>
      <c r="N6055">
        <f>IF(L6055="", "", L6055-B6055)</f>
        <v/>
      </c>
      <c r="O6055">
        <f>IF(L6055="", "Pending", IF(N6055&lt;=30, "Met", "Breached"))</f>
        <v/>
      </c>
      <c r="P6055" s="8" t="n"/>
      <c r="Q6055" s="8" t="n"/>
      <c r="R6055" s="8" t="n"/>
      <c r="S6055" s="8" t="n"/>
      <c r="T6055" s="8" t="n"/>
      <c r="U6055" s="8" t="n"/>
      <c r="V6055" s="8" t="n"/>
      <c r="W6055" s="8" t="n"/>
      <c r="X6055" s="8" t="n"/>
      <c r="Y6055" s="8" t="n"/>
    </row>
    <row r="6056">
      <c r="A6056" s="8" t="n"/>
      <c r="B6056" s="8" t="n"/>
      <c r="C6056" s="8" t="n"/>
      <c r="D6056" s="8" t="n"/>
      <c r="E6056" s="8" t="n"/>
      <c r="F6056" s="8" t="n"/>
      <c r="G6056" s="8" t="n"/>
      <c r="H6056" s="8" t="n"/>
      <c r="I6056" s="8" t="n"/>
      <c r="J6056" s="8" t="n"/>
      <c r="K6056" s="8" t="n"/>
      <c r="L6056" s="8" t="n"/>
      <c r="M6056" s="9">
        <f>B6056+30</f>
        <v/>
      </c>
      <c r="N6056">
        <f>IF(L6056="", "", L6056-B6056)</f>
        <v/>
      </c>
      <c r="O6056">
        <f>IF(L6056="", "Pending", IF(N6056&lt;=30, "Met", "Breached"))</f>
        <v/>
      </c>
      <c r="P6056" s="8" t="n"/>
      <c r="Q6056" s="8" t="n"/>
      <c r="R6056" s="8" t="n"/>
      <c r="S6056" s="8" t="n"/>
      <c r="T6056" s="8" t="n"/>
      <c r="U6056" s="8" t="n"/>
      <c r="V6056" s="8" t="n"/>
      <c r="W6056" s="8" t="n"/>
      <c r="X6056" s="8" t="n"/>
      <c r="Y6056" s="8" t="n"/>
    </row>
    <row r="6057">
      <c r="A6057" s="8" t="n"/>
      <c r="B6057" s="8" t="n"/>
      <c r="C6057" s="8" t="n"/>
      <c r="D6057" s="8" t="n"/>
      <c r="E6057" s="8" t="n"/>
      <c r="F6057" s="8" t="n"/>
      <c r="G6057" s="8" t="n"/>
      <c r="H6057" s="8" t="n"/>
      <c r="I6057" s="8" t="n"/>
      <c r="J6057" s="8" t="n"/>
      <c r="K6057" s="8" t="n"/>
      <c r="L6057" s="8" t="n"/>
      <c r="M6057" s="9">
        <f>B6057+30</f>
        <v/>
      </c>
      <c r="N6057">
        <f>IF(L6057="", "", L6057-B6057)</f>
        <v/>
      </c>
      <c r="O6057">
        <f>IF(L6057="", "Pending", IF(N6057&lt;=30, "Met", "Breached"))</f>
        <v/>
      </c>
      <c r="P6057" s="8" t="n"/>
      <c r="Q6057" s="8" t="n"/>
      <c r="R6057" s="8" t="n"/>
      <c r="S6057" s="8" t="n"/>
      <c r="T6057" s="8" t="n"/>
      <c r="U6057" s="8" t="n"/>
      <c r="V6057" s="8" t="n"/>
      <c r="W6057" s="8" t="n"/>
      <c r="X6057" s="8" t="n"/>
      <c r="Y6057" s="8" t="n"/>
    </row>
    <row r="6058">
      <c r="A6058" s="8" t="n"/>
      <c r="B6058" s="8" t="n"/>
      <c r="C6058" s="8" t="n"/>
      <c r="D6058" s="8" t="n"/>
      <c r="E6058" s="8" t="n"/>
      <c r="F6058" s="8" t="n"/>
      <c r="G6058" s="8" t="n"/>
      <c r="H6058" s="8" t="n"/>
      <c r="I6058" s="8" t="n"/>
      <c r="J6058" s="8" t="n"/>
      <c r="K6058" s="8" t="n"/>
      <c r="L6058" s="8" t="n"/>
      <c r="M6058" s="9">
        <f>B6058+30</f>
        <v/>
      </c>
      <c r="N6058">
        <f>IF(L6058="", "", L6058-B6058)</f>
        <v/>
      </c>
      <c r="O6058">
        <f>IF(L6058="", "Pending", IF(N6058&lt;=30, "Met", "Breached"))</f>
        <v/>
      </c>
      <c r="P6058" s="8" t="n"/>
      <c r="Q6058" s="8" t="n"/>
      <c r="R6058" s="8" t="n"/>
      <c r="S6058" s="8" t="n"/>
      <c r="T6058" s="8" t="n"/>
      <c r="U6058" s="8" t="n"/>
      <c r="V6058" s="8" t="n"/>
      <c r="W6058" s="8" t="n"/>
      <c r="X6058" s="8" t="n"/>
      <c r="Y6058" s="8" t="n"/>
    </row>
    <row r="6059">
      <c r="A6059" s="8" t="n"/>
      <c r="B6059" s="8" t="n"/>
      <c r="C6059" s="8" t="n"/>
      <c r="D6059" s="8" t="n"/>
      <c r="E6059" s="8" t="n"/>
      <c r="F6059" s="8" t="n"/>
      <c r="G6059" s="8" t="n"/>
      <c r="H6059" s="8" t="n"/>
      <c r="I6059" s="8" t="n"/>
      <c r="J6059" s="8" t="n"/>
      <c r="K6059" s="8" t="n"/>
      <c r="L6059" s="8" t="n"/>
      <c r="M6059" s="9">
        <f>B6059+30</f>
        <v/>
      </c>
      <c r="N6059">
        <f>IF(L6059="", "", L6059-B6059)</f>
        <v/>
      </c>
      <c r="O6059">
        <f>IF(L6059="", "Pending", IF(N6059&lt;=30, "Met", "Breached"))</f>
        <v/>
      </c>
      <c r="P6059" s="8" t="n"/>
      <c r="Q6059" s="8" t="n"/>
      <c r="R6059" s="8" t="n"/>
      <c r="S6059" s="8" t="n"/>
      <c r="T6059" s="8" t="n"/>
      <c r="U6059" s="8" t="n"/>
      <c r="V6059" s="8" t="n"/>
      <c r="W6059" s="8" t="n"/>
      <c r="X6059" s="8" t="n"/>
      <c r="Y6059" s="8" t="n"/>
    </row>
    <row r="6060">
      <c r="A6060" s="8" t="n"/>
      <c r="B6060" s="8" t="n"/>
      <c r="C6060" s="8" t="n"/>
      <c r="D6060" s="8" t="n"/>
      <c r="E6060" s="8" t="n"/>
      <c r="F6060" s="8" t="n"/>
      <c r="G6060" s="8" t="n"/>
      <c r="H6060" s="8" t="n"/>
      <c r="I6060" s="8" t="n"/>
      <c r="J6060" s="8" t="n"/>
      <c r="K6060" s="8" t="n"/>
      <c r="L6060" s="8" t="n"/>
      <c r="M6060" s="9">
        <f>B6060+30</f>
        <v/>
      </c>
      <c r="N6060">
        <f>IF(L6060="", "", L6060-B6060)</f>
        <v/>
      </c>
      <c r="O6060">
        <f>IF(L6060="", "Pending", IF(N6060&lt;=30, "Met", "Breached"))</f>
        <v/>
      </c>
      <c r="P6060" s="8" t="n"/>
      <c r="Q6060" s="8" t="n"/>
      <c r="R6060" s="8" t="n"/>
      <c r="S6060" s="8" t="n"/>
      <c r="T6060" s="8" t="n"/>
      <c r="U6060" s="8" t="n"/>
      <c r="V6060" s="8" t="n"/>
      <c r="W6060" s="8" t="n"/>
      <c r="X6060" s="8" t="n"/>
      <c r="Y6060" s="8" t="n"/>
    </row>
    <row r="6061">
      <c r="A6061" s="8" t="n"/>
      <c r="B6061" s="8" t="n"/>
      <c r="C6061" s="8" t="n"/>
      <c r="D6061" s="8" t="n"/>
      <c r="E6061" s="8" t="n"/>
      <c r="F6061" s="8" t="n"/>
      <c r="G6061" s="8" t="n"/>
      <c r="H6061" s="8" t="n"/>
      <c r="I6061" s="8" t="n"/>
      <c r="J6061" s="8" t="n"/>
      <c r="K6061" s="8" t="n"/>
      <c r="L6061" s="8" t="n"/>
      <c r="M6061" s="9">
        <f>B6061+30</f>
        <v/>
      </c>
      <c r="N6061">
        <f>IF(L6061="", "", L6061-B6061)</f>
        <v/>
      </c>
      <c r="O6061">
        <f>IF(L6061="", "Pending", IF(N6061&lt;=30, "Met", "Breached"))</f>
        <v/>
      </c>
      <c r="P6061" s="8" t="n"/>
      <c r="Q6061" s="8" t="n"/>
      <c r="R6061" s="8" t="n"/>
      <c r="S6061" s="8" t="n"/>
      <c r="T6061" s="8" t="n"/>
      <c r="U6061" s="8" t="n"/>
      <c r="V6061" s="8" t="n"/>
      <c r="W6061" s="8" t="n"/>
      <c r="X6061" s="8" t="n"/>
      <c r="Y6061" s="8" t="n"/>
    </row>
    <row r="6062">
      <c r="A6062" s="8" t="n"/>
      <c r="B6062" s="8" t="n"/>
      <c r="C6062" s="8" t="n"/>
      <c r="D6062" s="8" t="n"/>
      <c r="E6062" s="8" t="n"/>
      <c r="F6062" s="8" t="n"/>
      <c r="G6062" s="8" t="n"/>
      <c r="H6062" s="8" t="n"/>
      <c r="I6062" s="8" t="n"/>
      <c r="J6062" s="8" t="n"/>
      <c r="K6062" s="8" t="n"/>
      <c r="L6062" s="8" t="n"/>
      <c r="M6062" s="9">
        <f>B6062+30</f>
        <v/>
      </c>
      <c r="N6062">
        <f>IF(L6062="", "", L6062-B6062)</f>
        <v/>
      </c>
      <c r="O6062">
        <f>IF(L6062="", "Pending", IF(N6062&lt;=30, "Met", "Breached"))</f>
        <v/>
      </c>
      <c r="P6062" s="8" t="n"/>
      <c r="Q6062" s="8" t="n"/>
      <c r="R6062" s="8" t="n"/>
      <c r="S6062" s="8" t="n"/>
      <c r="T6062" s="8" t="n"/>
      <c r="U6062" s="8" t="n"/>
      <c r="V6062" s="8" t="n"/>
      <c r="W6062" s="8" t="n"/>
      <c r="X6062" s="8" t="n"/>
      <c r="Y6062" s="8" t="n"/>
    </row>
    <row r="6063">
      <c r="A6063" s="8" t="n"/>
      <c r="B6063" s="8" t="n"/>
      <c r="C6063" s="8" t="n"/>
      <c r="D6063" s="8" t="n"/>
      <c r="E6063" s="8" t="n"/>
      <c r="F6063" s="8" t="n"/>
      <c r="G6063" s="8" t="n"/>
      <c r="H6063" s="8" t="n"/>
      <c r="I6063" s="8" t="n"/>
      <c r="J6063" s="8" t="n"/>
      <c r="K6063" s="8" t="n"/>
      <c r="L6063" s="8" t="n"/>
      <c r="M6063" s="9">
        <f>B6063+30</f>
        <v/>
      </c>
      <c r="N6063">
        <f>IF(L6063="", "", L6063-B6063)</f>
        <v/>
      </c>
      <c r="O6063">
        <f>IF(L6063="", "Pending", IF(N6063&lt;=30, "Met", "Breached"))</f>
        <v/>
      </c>
      <c r="P6063" s="8" t="n"/>
      <c r="Q6063" s="8" t="n"/>
      <c r="R6063" s="8" t="n"/>
      <c r="S6063" s="8" t="n"/>
      <c r="T6063" s="8" t="n"/>
      <c r="U6063" s="8" t="n"/>
      <c r="V6063" s="8" t="n"/>
      <c r="W6063" s="8" t="n"/>
      <c r="X6063" s="8" t="n"/>
      <c r="Y6063" s="8" t="n"/>
    </row>
    <row r="6064">
      <c r="A6064" s="8" t="n"/>
      <c r="B6064" s="8" t="n"/>
      <c r="C6064" s="8" t="n"/>
      <c r="D6064" s="8" t="n"/>
      <c r="E6064" s="8" t="n"/>
      <c r="F6064" s="8" t="n"/>
      <c r="G6064" s="8" t="n"/>
      <c r="H6064" s="8" t="n"/>
      <c r="I6064" s="8" t="n"/>
      <c r="J6064" s="8" t="n"/>
      <c r="K6064" s="8" t="n"/>
      <c r="L6064" s="8" t="n"/>
      <c r="M6064" s="9">
        <f>B6064+30</f>
        <v/>
      </c>
      <c r="N6064">
        <f>IF(L6064="", "", L6064-B6064)</f>
        <v/>
      </c>
      <c r="O6064">
        <f>IF(L6064="", "Pending", IF(N6064&lt;=30, "Met", "Breached"))</f>
        <v/>
      </c>
      <c r="P6064" s="8" t="n"/>
      <c r="Q6064" s="8" t="n"/>
      <c r="R6064" s="8" t="n"/>
      <c r="S6064" s="8" t="n"/>
      <c r="T6064" s="8" t="n"/>
      <c r="U6064" s="8" t="n"/>
      <c r="V6064" s="8" t="n"/>
      <c r="W6064" s="8" t="n"/>
      <c r="X6064" s="8" t="n"/>
      <c r="Y6064" s="8" t="n"/>
    </row>
    <row r="6065">
      <c r="A6065" s="8" t="n"/>
      <c r="B6065" s="8" t="n"/>
      <c r="C6065" s="8" t="n"/>
      <c r="D6065" s="8" t="n"/>
      <c r="E6065" s="8" t="n"/>
      <c r="F6065" s="8" t="n"/>
      <c r="G6065" s="8" t="n"/>
      <c r="H6065" s="8" t="n"/>
      <c r="I6065" s="8" t="n"/>
      <c r="J6065" s="8" t="n"/>
      <c r="K6065" s="8" t="n"/>
      <c r="L6065" s="8" t="n"/>
      <c r="M6065" s="9">
        <f>B6065+30</f>
        <v/>
      </c>
      <c r="N6065">
        <f>IF(L6065="", "", L6065-B6065)</f>
        <v/>
      </c>
      <c r="O6065">
        <f>IF(L6065="", "Pending", IF(N6065&lt;=30, "Met", "Breached"))</f>
        <v/>
      </c>
      <c r="P6065" s="8" t="n"/>
      <c r="Q6065" s="8" t="n"/>
      <c r="R6065" s="8" t="n"/>
      <c r="S6065" s="8" t="n"/>
      <c r="T6065" s="8" t="n"/>
      <c r="U6065" s="8" t="n"/>
      <c r="V6065" s="8" t="n"/>
      <c r="W6065" s="8" t="n"/>
      <c r="X6065" s="8" t="n"/>
      <c r="Y6065" s="8" t="n"/>
    </row>
    <row r="6066">
      <c r="A6066" s="8" t="n"/>
      <c r="B6066" s="8" t="n"/>
      <c r="C6066" s="8" t="n"/>
      <c r="D6066" s="8" t="n"/>
      <c r="E6066" s="8" t="n"/>
      <c r="F6066" s="8" t="n"/>
      <c r="G6066" s="8" t="n"/>
      <c r="H6066" s="8" t="n"/>
      <c r="I6066" s="8" t="n"/>
      <c r="J6066" s="8" t="n"/>
      <c r="K6066" s="8" t="n"/>
      <c r="L6066" s="8" t="n"/>
      <c r="M6066" s="9">
        <f>B6066+30</f>
        <v/>
      </c>
      <c r="N6066">
        <f>IF(L6066="", "", L6066-B6066)</f>
        <v/>
      </c>
      <c r="O6066">
        <f>IF(L6066="", "Pending", IF(N6066&lt;=30, "Met", "Breached"))</f>
        <v/>
      </c>
      <c r="P6066" s="8" t="n"/>
      <c r="Q6066" s="8" t="n"/>
      <c r="R6066" s="8" t="n"/>
      <c r="S6066" s="8" t="n"/>
      <c r="T6066" s="8" t="n"/>
      <c r="U6066" s="8" t="n"/>
      <c r="V6066" s="8" t="n"/>
      <c r="W6066" s="8" t="n"/>
      <c r="X6066" s="8" t="n"/>
      <c r="Y6066" s="8" t="n"/>
    </row>
    <row r="6067">
      <c r="A6067" s="8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8" t="n"/>
      <c r="K6067" s="8" t="n"/>
      <c r="L6067" s="8" t="n"/>
      <c r="M6067" s="9">
        <f>B6067+30</f>
        <v/>
      </c>
      <c r="N6067">
        <f>IF(L6067="", "", L6067-B6067)</f>
        <v/>
      </c>
      <c r="O6067">
        <f>IF(L6067="", "Pending", IF(N6067&lt;=30, "Met", "Breached"))</f>
        <v/>
      </c>
      <c r="P6067" s="8" t="n"/>
      <c r="Q6067" s="8" t="n"/>
      <c r="R6067" s="8" t="n"/>
      <c r="S6067" s="8" t="n"/>
      <c r="T6067" s="8" t="n"/>
      <c r="U6067" s="8" t="n"/>
      <c r="V6067" s="8" t="n"/>
      <c r="W6067" s="8" t="n"/>
      <c r="X6067" s="8" t="n"/>
      <c r="Y6067" s="8" t="n"/>
    </row>
    <row r="6068">
      <c r="A6068" s="8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8" t="n"/>
      <c r="K6068" s="8" t="n"/>
      <c r="L6068" s="8" t="n"/>
      <c r="M6068" s="9">
        <f>B6068+30</f>
        <v/>
      </c>
      <c r="N6068">
        <f>IF(L6068="", "", L6068-B6068)</f>
        <v/>
      </c>
      <c r="O6068">
        <f>IF(L6068="", "Pending", IF(N6068&lt;=30, "Met", "Breached"))</f>
        <v/>
      </c>
      <c r="P6068" s="8" t="n"/>
      <c r="Q6068" s="8" t="n"/>
      <c r="R6068" s="8" t="n"/>
      <c r="S6068" s="8" t="n"/>
      <c r="T6068" s="8" t="n"/>
      <c r="U6068" s="8" t="n"/>
      <c r="V6068" s="8" t="n"/>
      <c r="W6068" s="8" t="n"/>
      <c r="X6068" s="8" t="n"/>
      <c r="Y6068" s="8" t="n"/>
    </row>
    <row r="6069">
      <c r="A6069" s="8" t="n"/>
      <c r="B6069" s="8" t="n"/>
      <c r="C6069" s="8" t="n"/>
      <c r="D6069" s="8" t="n"/>
      <c r="E6069" s="8" t="n"/>
      <c r="F6069" s="8" t="n"/>
      <c r="G6069" s="8" t="n"/>
      <c r="H6069" s="8" t="n"/>
      <c r="I6069" s="8" t="n"/>
      <c r="J6069" s="8" t="n"/>
      <c r="K6069" s="8" t="n"/>
      <c r="L6069" s="8" t="n"/>
      <c r="M6069" s="9">
        <f>B6069+30</f>
        <v/>
      </c>
      <c r="N6069">
        <f>IF(L6069="", "", L6069-B6069)</f>
        <v/>
      </c>
      <c r="O6069">
        <f>IF(L6069="", "Pending", IF(N6069&lt;=30, "Met", "Breached"))</f>
        <v/>
      </c>
      <c r="P6069" s="8" t="n"/>
      <c r="Q6069" s="8" t="n"/>
      <c r="R6069" s="8" t="n"/>
      <c r="S6069" s="8" t="n"/>
      <c r="T6069" s="8" t="n"/>
      <c r="U6069" s="8" t="n"/>
      <c r="V6069" s="8" t="n"/>
      <c r="W6069" s="8" t="n"/>
      <c r="X6069" s="8" t="n"/>
      <c r="Y6069" s="8" t="n"/>
    </row>
    <row r="6070">
      <c r="A6070" s="8" t="n"/>
      <c r="B6070" s="8" t="n"/>
      <c r="C6070" s="8" t="n"/>
      <c r="D6070" s="8" t="n"/>
      <c r="E6070" s="8" t="n"/>
      <c r="F6070" s="8" t="n"/>
      <c r="G6070" s="8" t="n"/>
      <c r="H6070" s="8" t="n"/>
      <c r="I6070" s="8" t="n"/>
      <c r="J6070" s="8" t="n"/>
      <c r="K6070" s="8" t="n"/>
      <c r="L6070" s="8" t="n"/>
      <c r="M6070" s="9">
        <f>B6070+30</f>
        <v/>
      </c>
      <c r="N6070">
        <f>IF(L6070="", "", L6070-B6070)</f>
        <v/>
      </c>
      <c r="O6070">
        <f>IF(L6070="", "Pending", IF(N6070&lt;=30, "Met", "Breached"))</f>
        <v/>
      </c>
      <c r="P6070" s="8" t="n"/>
      <c r="Q6070" s="8" t="n"/>
      <c r="R6070" s="8" t="n"/>
      <c r="S6070" s="8" t="n"/>
      <c r="T6070" s="8" t="n"/>
      <c r="U6070" s="8" t="n"/>
      <c r="V6070" s="8" t="n"/>
      <c r="W6070" s="8" t="n"/>
      <c r="X6070" s="8" t="n"/>
      <c r="Y6070" s="8" t="n"/>
    </row>
    <row r="6071">
      <c r="A6071" s="8" t="n"/>
      <c r="B6071" s="8" t="n"/>
      <c r="C6071" s="8" t="n"/>
      <c r="D6071" s="8" t="n"/>
      <c r="E6071" s="8" t="n"/>
      <c r="F6071" s="8" t="n"/>
      <c r="G6071" s="8" t="n"/>
      <c r="H6071" s="8" t="n"/>
      <c r="I6071" s="8" t="n"/>
      <c r="J6071" s="8" t="n"/>
      <c r="K6071" s="8" t="n"/>
      <c r="L6071" s="8" t="n"/>
      <c r="M6071" s="9">
        <f>B6071+30</f>
        <v/>
      </c>
      <c r="N6071">
        <f>IF(L6071="", "", L6071-B6071)</f>
        <v/>
      </c>
      <c r="O6071">
        <f>IF(L6071="", "Pending", IF(N6071&lt;=30, "Met", "Breached"))</f>
        <v/>
      </c>
      <c r="P6071" s="8" t="n"/>
      <c r="Q6071" s="8" t="n"/>
      <c r="R6071" s="8" t="n"/>
      <c r="S6071" s="8" t="n"/>
      <c r="T6071" s="8" t="n"/>
      <c r="U6071" s="8" t="n"/>
      <c r="V6071" s="8" t="n"/>
      <c r="W6071" s="8" t="n"/>
      <c r="X6071" s="8" t="n"/>
      <c r="Y6071" s="8" t="n"/>
    </row>
    <row r="6072">
      <c r="A6072" s="8" t="n"/>
      <c r="B6072" s="8" t="n"/>
      <c r="C6072" s="8" t="n"/>
      <c r="D6072" s="8" t="n"/>
      <c r="E6072" s="8" t="n"/>
      <c r="F6072" s="8" t="n"/>
      <c r="G6072" s="8" t="n"/>
      <c r="H6072" s="8" t="n"/>
      <c r="I6072" s="8" t="n"/>
      <c r="J6072" s="8" t="n"/>
      <c r="K6072" s="8" t="n"/>
      <c r="L6072" s="8" t="n"/>
      <c r="M6072" s="9">
        <f>B6072+30</f>
        <v/>
      </c>
      <c r="N6072">
        <f>IF(L6072="", "", L6072-B6072)</f>
        <v/>
      </c>
      <c r="O6072">
        <f>IF(L6072="", "Pending", IF(N6072&lt;=30, "Met", "Breached"))</f>
        <v/>
      </c>
      <c r="P6072" s="8" t="n"/>
      <c r="Q6072" s="8" t="n"/>
      <c r="R6072" s="8" t="n"/>
      <c r="S6072" s="8" t="n"/>
      <c r="T6072" s="8" t="n"/>
      <c r="U6072" s="8" t="n"/>
      <c r="V6072" s="8" t="n"/>
      <c r="W6072" s="8" t="n"/>
      <c r="X6072" s="8" t="n"/>
      <c r="Y6072" s="8" t="n"/>
    </row>
    <row r="6073">
      <c r="A6073" s="8" t="n"/>
      <c r="B6073" s="8" t="n"/>
      <c r="C6073" s="8" t="n"/>
      <c r="D6073" s="8" t="n"/>
      <c r="E6073" s="8" t="n"/>
      <c r="F6073" s="8" t="n"/>
      <c r="G6073" s="8" t="n"/>
      <c r="H6073" s="8" t="n"/>
      <c r="I6073" s="8" t="n"/>
      <c r="J6073" s="8" t="n"/>
      <c r="K6073" s="8" t="n"/>
      <c r="L6073" s="8" t="n"/>
      <c r="M6073" s="9">
        <f>B6073+30</f>
        <v/>
      </c>
      <c r="N6073">
        <f>IF(L6073="", "", L6073-B6073)</f>
        <v/>
      </c>
      <c r="O6073">
        <f>IF(L6073="", "Pending", IF(N6073&lt;=30, "Met", "Breached"))</f>
        <v/>
      </c>
      <c r="P6073" s="8" t="n"/>
      <c r="Q6073" s="8" t="n"/>
      <c r="R6073" s="8" t="n"/>
      <c r="S6073" s="8" t="n"/>
      <c r="T6073" s="8" t="n"/>
      <c r="U6073" s="8" t="n"/>
      <c r="V6073" s="8" t="n"/>
      <c r="W6073" s="8" t="n"/>
      <c r="X6073" s="8" t="n"/>
      <c r="Y6073" s="8" t="n"/>
    </row>
    <row r="6074">
      <c r="A6074" s="8" t="n"/>
      <c r="B6074" s="8" t="n"/>
      <c r="C6074" s="8" t="n"/>
      <c r="D6074" s="8" t="n"/>
      <c r="E6074" s="8" t="n"/>
      <c r="F6074" s="8" t="n"/>
      <c r="G6074" s="8" t="n"/>
      <c r="H6074" s="8" t="n"/>
      <c r="I6074" s="8" t="n"/>
      <c r="J6074" s="8" t="n"/>
      <c r="K6074" s="8" t="n"/>
      <c r="L6074" s="8" t="n"/>
      <c r="M6074" s="9">
        <f>B6074+30</f>
        <v/>
      </c>
      <c r="N6074">
        <f>IF(L6074="", "", L6074-B6074)</f>
        <v/>
      </c>
      <c r="O6074">
        <f>IF(L6074="", "Pending", IF(N6074&lt;=30, "Met", "Breached"))</f>
        <v/>
      </c>
      <c r="P6074" s="8" t="n"/>
      <c r="Q6074" s="8" t="n"/>
      <c r="R6074" s="8" t="n"/>
      <c r="S6074" s="8" t="n"/>
      <c r="T6074" s="8" t="n"/>
      <c r="U6074" s="8" t="n"/>
      <c r="V6074" s="8" t="n"/>
      <c r="W6074" s="8" t="n"/>
      <c r="X6074" s="8" t="n"/>
      <c r="Y6074" s="8" t="n"/>
    </row>
    <row r="6075">
      <c r="A6075" s="8" t="n"/>
      <c r="B6075" s="8" t="n"/>
      <c r="C6075" s="8" t="n"/>
      <c r="D6075" s="8" t="n"/>
      <c r="E6075" s="8" t="n"/>
      <c r="F6075" s="8" t="n"/>
      <c r="G6075" s="8" t="n"/>
      <c r="H6075" s="8" t="n"/>
      <c r="I6075" s="8" t="n"/>
      <c r="J6075" s="8" t="n"/>
      <c r="K6075" s="8" t="n"/>
      <c r="L6075" s="8" t="n"/>
      <c r="M6075" s="9">
        <f>B6075+30</f>
        <v/>
      </c>
      <c r="N6075">
        <f>IF(L6075="", "", L6075-B6075)</f>
        <v/>
      </c>
      <c r="O6075">
        <f>IF(L6075="", "Pending", IF(N6075&lt;=30, "Met", "Breached"))</f>
        <v/>
      </c>
      <c r="P6075" s="8" t="n"/>
      <c r="Q6075" s="8" t="n"/>
      <c r="R6075" s="8" t="n"/>
      <c r="S6075" s="8" t="n"/>
      <c r="T6075" s="8" t="n"/>
      <c r="U6075" s="8" t="n"/>
      <c r="V6075" s="8" t="n"/>
      <c r="W6075" s="8" t="n"/>
      <c r="X6075" s="8" t="n"/>
      <c r="Y6075" s="8" t="n"/>
    </row>
    <row r="6076">
      <c r="A6076" s="8" t="n"/>
      <c r="B6076" s="8" t="n"/>
      <c r="C6076" s="8" t="n"/>
      <c r="D6076" s="8" t="n"/>
      <c r="E6076" s="8" t="n"/>
      <c r="F6076" s="8" t="n"/>
      <c r="G6076" s="8" t="n"/>
      <c r="H6076" s="8" t="n"/>
      <c r="I6076" s="8" t="n"/>
      <c r="J6076" s="8" t="n"/>
      <c r="K6076" s="8" t="n"/>
      <c r="L6076" s="8" t="n"/>
      <c r="M6076" s="9">
        <f>B6076+30</f>
        <v/>
      </c>
      <c r="N6076">
        <f>IF(L6076="", "", L6076-B6076)</f>
        <v/>
      </c>
      <c r="O6076">
        <f>IF(L6076="", "Pending", IF(N6076&lt;=30, "Met", "Breached"))</f>
        <v/>
      </c>
      <c r="P6076" s="8" t="n"/>
      <c r="Q6076" s="8" t="n"/>
      <c r="R6076" s="8" t="n"/>
      <c r="S6076" s="8" t="n"/>
      <c r="T6076" s="8" t="n"/>
      <c r="U6076" s="8" t="n"/>
      <c r="V6076" s="8" t="n"/>
      <c r="W6076" s="8" t="n"/>
      <c r="X6076" s="8" t="n"/>
      <c r="Y6076" s="8" t="n"/>
    </row>
    <row r="6077">
      <c r="A6077" s="8" t="n"/>
      <c r="B6077" s="8" t="n"/>
      <c r="C6077" s="8" t="n"/>
      <c r="D6077" s="8" t="n"/>
      <c r="E6077" s="8" t="n"/>
      <c r="F6077" s="8" t="n"/>
      <c r="G6077" s="8" t="n"/>
      <c r="H6077" s="8" t="n"/>
      <c r="I6077" s="8" t="n"/>
      <c r="J6077" s="8" t="n"/>
      <c r="K6077" s="8" t="n"/>
      <c r="L6077" s="8" t="n"/>
      <c r="M6077" s="9">
        <f>B6077+30</f>
        <v/>
      </c>
      <c r="N6077">
        <f>IF(L6077="", "", L6077-B6077)</f>
        <v/>
      </c>
      <c r="O6077">
        <f>IF(L6077="", "Pending", IF(N6077&lt;=30, "Met", "Breached"))</f>
        <v/>
      </c>
      <c r="P6077" s="8" t="n"/>
      <c r="Q6077" s="8" t="n"/>
      <c r="R6077" s="8" t="n"/>
      <c r="S6077" s="8" t="n"/>
      <c r="T6077" s="8" t="n"/>
      <c r="U6077" s="8" t="n"/>
      <c r="V6077" s="8" t="n"/>
      <c r="W6077" s="8" t="n"/>
      <c r="X6077" s="8" t="n"/>
      <c r="Y6077" s="8" t="n"/>
    </row>
    <row r="6078">
      <c r="A6078" s="8" t="n"/>
      <c r="B6078" s="8" t="n"/>
      <c r="C6078" s="8" t="n"/>
      <c r="D6078" s="8" t="n"/>
      <c r="E6078" s="8" t="n"/>
      <c r="F6078" s="8" t="n"/>
      <c r="G6078" s="8" t="n"/>
      <c r="H6078" s="8" t="n"/>
      <c r="I6078" s="8" t="n"/>
      <c r="J6078" s="8" t="n"/>
      <c r="K6078" s="8" t="n"/>
      <c r="L6078" s="8" t="n"/>
      <c r="M6078" s="9">
        <f>B6078+30</f>
        <v/>
      </c>
      <c r="N6078">
        <f>IF(L6078="", "", L6078-B6078)</f>
        <v/>
      </c>
      <c r="O6078">
        <f>IF(L6078="", "Pending", IF(N6078&lt;=30, "Met", "Breached"))</f>
        <v/>
      </c>
      <c r="P6078" s="8" t="n"/>
      <c r="Q6078" s="8" t="n"/>
      <c r="R6078" s="8" t="n"/>
      <c r="S6078" s="8" t="n"/>
      <c r="T6078" s="8" t="n"/>
      <c r="U6078" s="8" t="n"/>
      <c r="V6078" s="8" t="n"/>
      <c r="W6078" s="8" t="n"/>
      <c r="X6078" s="8" t="n"/>
      <c r="Y6078" s="8" t="n"/>
    </row>
    <row r="6079">
      <c r="A6079" s="8" t="n"/>
      <c r="B6079" s="8" t="n"/>
      <c r="C6079" s="8" t="n"/>
      <c r="D6079" s="8" t="n"/>
      <c r="E6079" s="8" t="n"/>
      <c r="F6079" s="8" t="n"/>
      <c r="G6079" s="8" t="n"/>
      <c r="H6079" s="8" t="n"/>
      <c r="I6079" s="8" t="n"/>
      <c r="J6079" s="8" t="n"/>
      <c r="K6079" s="8" t="n"/>
      <c r="L6079" s="8" t="n"/>
      <c r="M6079" s="9">
        <f>B6079+30</f>
        <v/>
      </c>
      <c r="N6079">
        <f>IF(L6079="", "", L6079-B6079)</f>
        <v/>
      </c>
      <c r="O6079">
        <f>IF(L6079="", "Pending", IF(N6079&lt;=30, "Met", "Breached"))</f>
        <v/>
      </c>
      <c r="P6079" s="8" t="n"/>
      <c r="Q6079" s="8" t="n"/>
      <c r="R6079" s="8" t="n"/>
      <c r="S6079" s="8" t="n"/>
      <c r="T6079" s="8" t="n"/>
      <c r="U6079" s="8" t="n"/>
      <c r="V6079" s="8" t="n"/>
      <c r="W6079" s="8" t="n"/>
      <c r="X6079" s="8" t="n"/>
      <c r="Y6079" s="8" t="n"/>
    </row>
    <row r="6080">
      <c r="A6080" s="8" t="n"/>
      <c r="B6080" s="8" t="n"/>
      <c r="C6080" s="8" t="n"/>
      <c r="D6080" s="8" t="n"/>
      <c r="E6080" s="8" t="n"/>
      <c r="F6080" s="8" t="n"/>
      <c r="G6080" s="8" t="n"/>
      <c r="H6080" s="8" t="n"/>
      <c r="I6080" s="8" t="n"/>
      <c r="J6080" s="8" t="n"/>
      <c r="K6080" s="8" t="n"/>
      <c r="L6080" s="8" t="n"/>
      <c r="M6080" s="9">
        <f>B6080+30</f>
        <v/>
      </c>
      <c r="N6080">
        <f>IF(L6080="", "", L6080-B6080)</f>
        <v/>
      </c>
      <c r="O6080">
        <f>IF(L6080="", "Pending", IF(N6080&lt;=30, "Met", "Breached"))</f>
        <v/>
      </c>
      <c r="P6080" s="8" t="n"/>
      <c r="Q6080" s="8" t="n"/>
      <c r="R6080" s="8" t="n"/>
      <c r="S6080" s="8" t="n"/>
      <c r="T6080" s="8" t="n"/>
      <c r="U6080" s="8" t="n"/>
      <c r="V6080" s="8" t="n"/>
      <c r="W6080" s="8" t="n"/>
      <c r="X6080" s="8" t="n"/>
      <c r="Y6080" s="8" t="n"/>
    </row>
    <row r="6081">
      <c r="A6081" s="8" t="n"/>
      <c r="B6081" s="8" t="n"/>
      <c r="C6081" s="8" t="n"/>
      <c r="D6081" s="8" t="n"/>
      <c r="E6081" s="8" t="n"/>
      <c r="F6081" s="8" t="n"/>
      <c r="G6081" s="8" t="n"/>
      <c r="H6081" s="8" t="n"/>
      <c r="I6081" s="8" t="n"/>
      <c r="J6081" s="8" t="n"/>
      <c r="K6081" s="8" t="n"/>
      <c r="L6081" s="8" t="n"/>
      <c r="M6081" s="9">
        <f>B6081+30</f>
        <v/>
      </c>
      <c r="N6081">
        <f>IF(L6081="", "", L6081-B6081)</f>
        <v/>
      </c>
      <c r="O6081">
        <f>IF(L6081="", "Pending", IF(N6081&lt;=30, "Met", "Breached"))</f>
        <v/>
      </c>
      <c r="P6081" s="8" t="n"/>
      <c r="Q6081" s="8" t="n"/>
      <c r="R6081" s="8" t="n"/>
      <c r="S6081" s="8" t="n"/>
      <c r="T6081" s="8" t="n"/>
      <c r="U6081" s="8" t="n"/>
      <c r="V6081" s="8" t="n"/>
      <c r="W6081" s="8" t="n"/>
      <c r="X6081" s="8" t="n"/>
      <c r="Y6081" s="8" t="n"/>
    </row>
    <row r="6082">
      <c r="A6082" s="8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8" t="n"/>
      <c r="K6082" s="8" t="n"/>
      <c r="L6082" s="8" t="n"/>
      <c r="M6082" s="9">
        <f>B6082+30</f>
        <v/>
      </c>
      <c r="N6082">
        <f>IF(L6082="", "", L6082-B6082)</f>
        <v/>
      </c>
      <c r="O6082">
        <f>IF(L6082="", "Pending", IF(N6082&lt;=30, "Met", "Breached"))</f>
        <v/>
      </c>
      <c r="P6082" s="8" t="n"/>
      <c r="Q6082" s="8" t="n"/>
      <c r="R6082" s="8" t="n"/>
      <c r="S6082" s="8" t="n"/>
      <c r="T6082" s="8" t="n"/>
      <c r="U6082" s="8" t="n"/>
      <c r="V6082" s="8" t="n"/>
      <c r="W6082" s="8" t="n"/>
      <c r="X6082" s="8" t="n"/>
      <c r="Y6082" s="8" t="n"/>
    </row>
    <row r="6083">
      <c r="A6083" s="8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8" t="n"/>
      <c r="K6083" s="8" t="n"/>
      <c r="L6083" s="8" t="n"/>
      <c r="M6083" s="9">
        <f>B6083+30</f>
        <v/>
      </c>
      <c r="N6083">
        <f>IF(L6083="", "", L6083-B6083)</f>
        <v/>
      </c>
      <c r="O6083">
        <f>IF(L6083="", "Pending", IF(N6083&lt;=30, "Met", "Breached"))</f>
        <v/>
      </c>
      <c r="P6083" s="8" t="n"/>
      <c r="Q6083" s="8" t="n"/>
      <c r="R6083" s="8" t="n"/>
      <c r="S6083" s="8" t="n"/>
      <c r="T6083" s="8" t="n"/>
      <c r="U6083" s="8" t="n"/>
      <c r="V6083" s="8" t="n"/>
      <c r="W6083" s="8" t="n"/>
      <c r="X6083" s="8" t="n"/>
      <c r="Y6083" s="8" t="n"/>
    </row>
    <row r="6084">
      <c r="A6084" s="8" t="n"/>
      <c r="B6084" s="8" t="n"/>
      <c r="C6084" s="8" t="n"/>
      <c r="D6084" s="8" t="n"/>
      <c r="E6084" s="8" t="n"/>
      <c r="F6084" s="8" t="n"/>
      <c r="G6084" s="8" t="n"/>
      <c r="H6084" s="8" t="n"/>
      <c r="I6084" s="8" t="n"/>
      <c r="J6084" s="8" t="n"/>
      <c r="K6084" s="8" t="n"/>
      <c r="L6084" s="8" t="n"/>
      <c r="M6084" s="9">
        <f>B6084+30</f>
        <v/>
      </c>
      <c r="N6084">
        <f>IF(L6084="", "", L6084-B6084)</f>
        <v/>
      </c>
      <c r="O6084">
        <f>IF(L6084="", "Pending", IF(N6084&lt;=30, "Met", "Breached"))</f>
        <v/>
      </c>
      <c r="P6084" s="8" t="n"/>
      <c r="Q6084" s="8" t="n"/>
      <c r="R6084" s="8" t="n"/>
      <c r="S6084" s="8" t="n"/>
      <c r="T6084" s="8" t="n"/>
      <c r="U6084" s="8" t="n"/>
      <c r="V6084" s="8" t="n"/>
      <c r="W6084" s="8" t="n"/>
      <c r="X6084" s="8" t="n"/>
      <c r="Y6084" s="8" t="n"/>
    </row>
    <row r="6085">
      <c r="A6085" s="8" t="n"/>
      <c r="B6085" s="8" t="n"/>
      <c r="C6085" s="8" t="n"/>
      <c r="D6085" s="8" t="n"/>
      <c r="E6085" s="8" t="n"/>
      <c r="F6085" s="8" t="n"/>
      <c r="G6085" s="8" t="n"/>
      <c r="H6085" s="8" t="n"/>
      <c r="I6085" s="8" t="n"/>
      <c r="J6085" s="8" t="n"/>
      <c r="K6085" s="8" t="n"/>
      <c r="L6085" s="8" t="n"/>
      <c r="M6085" s="9">
        <f>B6085+30</f>
        <v/>
      </c>
      <c r="N6085">
        <f>IF(L6085="", "", L6085-B6085)</f>
        <v/>
      </c>
      <c r="O6085">
        <f>IF(L6085="", "Pending", IF(N6085&lt;=30, "Met", "Breached"))</f>
        <v/>
      </c>
      <c r="P6085" s="8" t="n"/>
      <c r="Q6085" s="8" t="n"/>
      <c r="R6085" s="8" t="n"/>
      <c r="S6085" s="8" t="n"/>
      <c r="T6085" s="8" t="n"/>
      <c r="U6085" s="8" t="n"/>
      <c r="V6085" s="8" t="n"/>
      <c r="W6085" s="8" t="n"/>
      <c r="X6085" s="8" t="n"/>
      <c r="Y6085" s="8" t="n"/>
    </row>
    <row r="6086">
      <c r="A6086" s="8" t="n"/>
      <c r="B6086" s="8" t="n"/>
      <c r="C6086" s="8" t="n"/>
      <c r="D6086" s="8" t="n"/>
      <c r="E6086" s="8" t="n"/>
      <c r="F6086" s="8" t="n"/>
      <c r="G6086" s="8" t="n"/>
      <c r="H6086" s="8" t="n"/>
      <c r="I6086" s="8" t="n"/>
      <c r="J6086" s="8" t="n"/>
      <c r="K6086" s="8" t="n"/>
      <c r="L6086" s="8" t="n"/>
      <c r="M6086" s="9">
        <f>B6086+30</f>
        <v/>
      </c>
      <c r="N6086">
        <f>IF(L6086="", "", L6086-B6086)</f>
        <v/>
      </c>
      <c r="O6086">
        <f>IF(L6086="", "Pending", IF(N6086&lt;=30, "Met", "Breached"))</f>
        <v/>
      </c>
      <c r="P6086" s="8" t="n"/>
      <c r="Q6086" s="8" t="n"/>
      <c r="R6086" s="8" t="n"/>
      <c r="S6086" s="8" t="n"/>
      <c r="T6086" s="8" t="n"/>
      <c r="U6086" s="8" t="n"/>
      <c r="V6086" s="8" t="n"/>
      <c r="W6086" s="8" t="n"/>
      <c r="X6086" s="8" t="n"/>
      <c r="Y6086" s="8" t="n"/>
    </row>
    <row r="6087">
      <c r="A6087" s="8" t="n"/>
      <c r="B6087" s="8" t="n"/>
      <c r="C6087" s="8" t="n"/>
      <c r="D6087" s="8" t="n"/>
      <c r="E6087" s="8" t="n"/>
      <c r="F6087" s="8" t="n"/>
      <c r="G6087" s="8" t="n"/>
      <c r="H6087" s="8" t="n"/>
      <c r="I6087" s="8" t="n"/>
      <c r="J6087" s="8" t="n"/>
      <c r="K6087" s="8" t="n"/>
      <c r="L6087" s="8" t="n"/>
      <c r="M6087" s="9">
        <f>B6087+30</f>
        <v/>
      </c>
      <c r="N6087">
        <f>IF(L6087="", "", L6087-B6087)</f>
        <v/>
      </c>
      <c r="O6087">
        <f>IF(L6087="", "Pending", IF(N6087&lt;=30, "Met", "Breached"))</f>
        <v/>
      </c>
      <c r="P6087" s="8" t="n"/>
      <c r="Q6087" s="8" t="n"/>
      <c r="R6087" s="8" t="n"/>
      <c r="S6087" s="8" t="n"/>
      <c r="T6087" s="8" t="n"/>
      <c r="U6087" s="8" t="n"/>
      <c r="V6087" s="8" t="n"/>
      <c r="W6087" s="8" t="n"/>
      <c r="X6087" s="8" t="n"/>
      <c r="Y6087" s="8" t="n"/>
    </row>
    <row r="6088">
      <c r="A6088" s="8" t="n"/>
      <c r="B6088" s="8" t="n"/>
      <c r="C6088" s="8" t="n"/>
      <c r="D6088" s="8" t="n"/>
      <c r="E6088" s="8" t="n"/>
      <c r="F6088" s="8" t="n"/>
      <c r="G6088" s="8" t="n"/>
      <c r="H6088" s="8" t="n"/>
      <c r="I6088" s="8" t="n"/>
      <c r="J6088" s="8" t="n"/>
      <c r="K6088" s="8" t="n"/>
      <c r="L6088" s="8" t="n"/>
      <c r="M6088" s="9">
        <f>B6088+30</f>
        <v/>
      </c>
      <c r="N6088">
        <f>IF(L6088="", "", L6088-B6088)</f>
        <v/>
      </c>
      <c r="O6088">
        <f>IF(L6088="", "Pending", IF(N6088&lt;=30, "Met", "Breached"))</f>
        <v/>
      </c>
      <c r="P6088" s="8" t="n"/>
      <c r="Q6088" s="8" t="n"/>
      <c r="R6088" s="8" t="n"/>
      <c r="S6088" s="8" t="n"/>
      <c r="T6088" s="8" t="n"/>
      <c r="U6088" s="8" t="n"/>
      <c r="V6088" s="8" t="n"/>
      <c r="W6088" s="8" t="n"/>
      <c r="X6088" s="8" t="n"/>
      <c r="Y6088" s="8" t="n"/>
    </row>
    <row r="6089">
      <c r="A6089" s="8" t="n"/>
      <c r="B6089" s="8" t="n"/>
      <c r="C6089" s="8" t="n"/>
      <c r="D6089" s="8" t="n"/>
      <c r="E6089" s="8" t="n"/>
      <c r="F6089" s="8" t="n"/>
      <c r="G6089" s="8" t="n"/>
      <c r="H6089" s="8" t="n"/>
      <c r="I6089" s="8" t="n"/>
      <c r="J6089" s="8" t="n"/>
      <c r="K6089" s="8" t="n"/>
      <c r="L6089" s="8" t="n"/>
      <c r="M6089" s="9">
        <f>B6089+30</f>
        <v/>
      </c>
      <c r="N6089">
        <f>IF(L6089="", "", L6089-B6089)</f>
        <v/>
      </c>
      <c r="O6089">
        <f>IF(L6089="", "Pending", IF(N6089&lt;=30, "Met", "Breached"))</f>
        <v/>
      </c>
      <c r="P6089" s="8" t="n"/>
      <c r="Q6089" s="8" t="n"/>
      <c r="R6089" s="8" t="n"/>
      <c r="S6089" s="8" t="n"/>
      <c r="T6089" s="8" t="n"/>
      <c r="U6089" s="8" t="n"/>
      <c r="V6089" s="8" t="n"/>
      <c r="W6089" s="8" t="n"/>
      <c r="X6089" s="8" t="n"/>
      <c r="Y6089" s="8" t="n"/>
    </row>
    <row r="6090">
      <c r="A6090" s="8" t="n"/>
      <c r="B6090" s="8" t="n"/>
      <c r="C6090" s="8" t="n"/>
      <c r="D6090" s="8" t="n"/>
      <c r="E6090" s="8" t="n"/>
      <c r="F6090" s="8" t="n"/>
      <c r="G6090" s="8" t="n"/>
      <c r="H6090" s="8" t="n"/>
      <c r="I6090" s="8" t="n"/>
      <c r="J6090" s="8" t="n"/>
      <c r="K6090" s="8" t="n"/>
      <c r="L6090" s="8" t="n"/>
      <c r="M6090" s="9">
        <f>B6090+30</f>
        <v/>
      </c>
      <c r="N6090">
        <f>IF(L6090="", "", L6090-B6090)</f>
        <v/>
      </c>
      <c r="O6090">
        <f>IF(L6090="", "Pending", IF(N6090&lt;=30, "Met", "Breached"))</f>
        <v/>
      </c>
      <c r="P6090" s="8" t="n"/>
      <c r="Q6090" s="8" t="n"/>
      <c r="R6090" s="8" t="n"/>
      <c r="S6090" s="8" t="n"/>
      <c r="T6090" s="8" t="n"/>
      <c r="U6090" s="8" t="n"/>
      <c r="V6090" s="8" t="n"/>
      <c r="W6090" s="8" t="n"/>
      <c r="X6090" s="8" t="n"/>
      <c r="Y6090" s="8" t="n"/>
    </row>
    <row r="6091">
      <c r="A6091" s="8" t="n"/>
      <c r="B6091" s="8" t="n"/>
      <c r="C6091" s="8" t="n"/>
      <c r="D6091" s="8" t="n"/>
      <c r="E6091" s="8" t="n"/>
      <c r="F6091" s="8" t="n"/>
      <c r="G6091" s="8" t="n"/>
      <c r="H6091" s="8" t="n"/>
      <c r="I6091" s="8" t="n"/>
      <c r="J6091" s="8" t="n"/>
      <c r="K6091" s="8" t="n"/>
      <c r="L6091" s="8" t="n"/>
      <c r="M6091" s="9">
        <f>B6091+30</f>
        <v/>
      </c>
      <c r="N6091">
        <f>IF(L6091="", "", L6091-B6091)</f>
        <v/>
      </c>
      <c r="O6091">
        <f>IF(L6091="", "Pending", IF(N6091&lt;=30, "Met", "Breached"))</f>
        <v/>
      </c>
      <c r="P6091" s="8" t="n"/>
      <c r="Q6091" s="8" t="n"/>
      <c r="R6091" s="8" t="n"/>
      <c r="S6091" s="8" t="n"/>
      <c r="T6091" s="8" t="n"/>
      <c r="U6091" s="8" t="n"/>
      <c r="V6091" s="8" t="n"/>
      <c r="W6091" s="8" t="n"/>
      <c r="X6091" s="8" t="n"/>
      <c r="Y6091" s="8" t="n"/>
    </row>
    <row r="6092">
      <c r="A6092" s="8" t="n"/>
      <c r="B6092" s="8" t="n"/>
      <c r="C6092" s="8" t="n"/>
      <c r="D6092" s="8" t="n"/>
      <c r="E6092" s="8" t="n"/>
      <c r="F6092" s="8" t="n"/>
      <c r="G6092" s="8" t="n"/>
      <c r="H6092" s="8" t="n"/>
      <c r="I6092" s="8" t="n"/>
      <c r="J6092" s="8" t="n"/>
      <c r="K6092" s="8" t="n"/>
      <c r="L6092" s="8" t="n"/>
      <c r="M6092" s="9">
        <f>B6092+30</f>
        <v/>
      </c>
      <c r="N6092">
        <f>IF(L6092="", "", L6092-B6092)</f>
        <v/>
      </c>
      <c r="O6092">
        <f>IF(L6092="", "Pending", IF(N6092&lt;=30, "Met", "Breached"))</f>
        <v/>
      </c>
      <c r="P6092" s="8" t="n"/>
      <c r="Q6092" s="8" t="n"/>
      <c r="R6092" s="8" t="n"/>
      <c r="S6092" s="8" t="n"/>
      <c r="T6092" s="8" t="n"/>
      <c r="U6092" s="8" t="n"/>
      <c r="V6092" s="8" t="n"/>
      <c r="W6092" s="8" t="n"/>
      <c r="X6092" s="8" t="n"/>
      <c r="Y6092" s="8" t="n"/>
    </row>
    <row r="6093">
      <c r="A6093" s="8" t="n"/>
      <c r="B6093" s="8" t="n"/>
      <c r="C6093" s="8" t="n"/>
      <c r="D6093" s="8" t="n"/>
      <c r="E6093" s="8" t="n"/>
      <c r="F6093" s="8" t="n"/>
      <c r="G6093" s="8" t="n"/>
      <c r="H6093" s="8" t="n"/>
      <c r="I6093" s="8" t="n"/>
      <c r="J6093" s="8" t="n"/>
      <c r="K6093" s="8" t="n"/>
      <c r="L6093" s="8" t="n"/>
      <c r="M6093" s="9">
        <f>B6093+30</f>
        <v/>
      </c>
      <c r="N6093">
        <f>IF(L6093="", "", L6093-B6093)</f>
        <v/>
      </c>
      <c r="O6093">
        <f>IF(L6093="", "Pending", IF(N6093&lt;=30, "Met", "Breached"))</f>
        <v/>
      </c>
      <c r="P6093" s="8" t="n"/>
      <c r="Q6093" s="8" t="n"/>
      <c r="R6093" s="8" t="n"/>
      <c r="S6093" s="8" t="n"/>
      <c r="T6093" s="8" t="n"/>
      <c r="U6093" s="8" t="n"/>
      <c r="V6093" s="8" t="n"/>
      <c r="W6093" s="8" t="n"/>
      <c r="X6093" s="8" t="n"/>
      <c r="Y6093" s="8" t="n"/>
    </row>
    <row r="6094">
      <c r="A6094" s="8" t="n"/>
      <c r="B6094" s="8" t="n"/>
      <c r="C6094" s="8" t="n"/>
      <c r="D6094" s="8" t="n"/>
      <c r="E6094" s="8" t="n"/>
      <c r="F6094" s="8" t="n"/>
      <c r="G6094" s="8" t="n"/>
      <c r="H6094" s="8" t="n"/>
      <c r="I6094" s="8" t="n"/>
      <c r="J6094" s="8" t="n"/>
      <c r="K6094" s="8" t="n"/>
      <c r="L6094" s="8" t="n"/>
      <c r="M6094" s="9">
        <f>B6094+30</f>
        <v/>
      </c>
      <c r="N6094">
        <f>IF(L6094="", "", L6094-B6094)</f>
        <v/>
      </c>
      <c r="O6094">
        <f>IF(L6094="", "Pending", IF(N6094&lt;=30, "Met", "Breached"))</f>
        <v/>
      </c>
      <c r="P6094" s="8" t="n"/>
      <c r="Q6094" s="8" t="n"/>
      <c r="R6094" s="8" t="n"/>
      <c r="S6094" s="8" t="n"/>
      <c r="T6094" s="8" t="n"/>
      <c r="U6094" s="8" t="n"/>
      <c r="V6094" s="8" t="n"/>
      <c r="W6094" s="8" t="n"/>
      <c r="X6094" s="8" t="n"/>
      <c r="Y6094" s="8" t="n"/>
    </row>
    <row r="6095">
      <c r="A6095" s="8" t="n"/>
      <c r="B6095" s="8" t="n"/>
      <c r="C6095" s="8" t="n"/>
      <c r="D6095" s="8" t="n"/>
      <c r="E6095" s="8" t="n"/>
      <c r="F6095" s="8" t="n"/>
      <c r="G6095" s="8" t="n"/>
      <c r="H6095" s="8" t="n"/>
      <c r="I6095" s="8" t="n"/>
      <c r="J6095" s="8" t="n"/>
      <c r="K6095" s="8" t="n"/>
      <c r="L6095" s="8" t="n"/>
      <c r="M6095" s="9">
        <f>B6095+30</f>
        <v/>
      </c>
      <c r="N6095">
        <f>IF(L6095="", "", L6095-B6095)</f>
        <v/>
      </c>
      <c r="O6095">
        <f>IF(L6095="", "Pending", IF(N6095&lt;=30, "Met", "Breached"))</f>
        <v/>
      </c>
      <c r="P6095" s="8" t="n"/>
      <c r="Q6095" s="8" t="n"/>
      <c r="R6095" s="8" t="n"/>
      <c r="S6095" s="8" t="n"/>
      <c r="T6095" s="8" t="n"/>
      <c r="U6095" s="8" t="n"/>
      <c r="V6095" s="8" t="n"/>
      <c r="W6095" s="8" t="n"/>
      <c r="X6095" s="8" t="n"/>
      <c r="Y6095" s="8" t="n"/>
    </row>
    <row r="6096">
      <c r="A6096" s="8" t="n"/>
      <c r="B6096" s="8" t="n"/>
      <c r="C6096" s="8" t="n"/>
      <c r="D6096" s="8" t="n"/>
      <c r="E6096" s="8" t="n"/>
      <c r="F6096" s="8" t="n"/>
      <c r="G6096" s="8" t="n"/>
      <c r="H6096" s="8" t="n"/>
      <c r="I6096" s="8" t="n"/>
      <c r="J6096" s="8" t="n"/>
      <c r="K6096" s="8" t="n"/>
      <c r="L6096" s="8" t="n"/>
      <c r="M6096" s="9">
        <f>B6096+30</f>
        <v/>
      </c>
      <c r="N6096">
        <f>IF(L6096="", "", L6096-B6096)</f>
        <v/>
      </c>
      <c r="O6096">
        <f>IF(L6096="", "Pending", IF(N6096&lt;=30, "Met", "Breached"))</f>
        <v/>
      </c>
      <c r="P6096" s="8" t="n"/>
      <c r="Q6096" s="8" t="n"/>
      <c r="R6096" s="8" t="n"/>
      <c r="S6096" s="8" t="n"/>
      <c r="T6096" s="8" t="n"/>
      <c r="U6096" s="8" t="n"/>
      <c r="V6096" s="8" t="n"/>
      <c r="W6096" s="8" t="n"/>
      <c r="X6096" s="8" t="n"/>
      <c r="Y6096" s="8" t="n"/>
    </row>
    <row r="6097">
      <c r="A6097" s="8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8" t="n"/>
      <c r="K6097" s="8" t="n"/>
      <c r="L6097" s="8" t="n"/>
      <c r="M6097" s="9">
        <f>B6097+30</f>
        <v/>
      </c>
      <c r="N6097">
        <f>IF(L6097="", "", L6097-B6097)</f>
        <v/>
      </c>
      <c r="O6097">
        <f>IF(L6097="", "Pending", IF(N6097&lt;=30, "Met", "Breached"))</f>
        <v/>
      </c>
      <c r="P6097" s="8" t="n"/>
      <c r="Q6097" s="8" t="n"/>
      <c r="R6097" s="8" t="n"/>
      <c r="S6097" s="8" t="n"/>
      <c r="T6097" s="8" t="n"/>
      <c r="U6097" s="8" t="n"/>
      <c r="V6097" s="8" t="n"/>
      <c r="W6097" s="8" t="n"/>
      <c r="X6097" s="8" t="n"/>
      <c r="Y6097" s="8" t="n"/>
    </row>
    <row r="6098">
      <c r="A6098" s="8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8" t="n"/>
      <c r="K6098" s="8" t="n"/>
      <c r="L6098" s="8" t="n"/>
      <c r="M6098" s="9">
        <f>B6098+30</f>
        <v/>
      </c>
      <c r="N6098">
        <f>IF(L6098="", "", L6098-B6098)</f>
        <v/>
      </c>
      <c r="O6098">
        <f>IF(L6098="", "Pending", IF(N6098&lt;=30, "Met", "Breached"))</f>
        <v/>
      </c>
      <c r="P6098" s="8" t="n"/>
      <c r="Q6098" s="8" t="n"/>
      <c r="R6098" s="8" t="n"/>
      <c r="S6098" s="8" t="n"/>
      <c r="T6098" s="8" t="n"/>
      <c r="U6098" s="8" t="n"/>
      <c r="V6098" s="8" t="n"/>
      <c r="W6098" s="8" t="n"/>
      <c r="X6098" s="8" t="n"/>
      <c r="Y6098" s="8" t="n"/>
    </row>
    <row r="6099">
      <c r="A6099" s="8" t="n"/>
      <c r="B6099" s="8" t="n"/>
      <c r="C6099" s="8" t="n"/>
      <c r="D6099" s="8" t="n"/>
      <c r="E6099" s="8" t="n"/>
      <c r="F6099" s="8" t="n"/>
      <c r="G6099" s="8" t="n"/>
      <c r="H6099" s="8" t="n"/>
      <c r="I6099" s="8" t="n"/>
      <c r="J6099" s="8" t="n"/>
      <c r="K6099" s="8" t="n"/>
      <c r="L6099" s="8" t="n"/>
      <c r="M6099" s="9">
        <f>B6099+30</f>
        <v/>
      </c>
      <c r="N6099">
        <f>IF(L6099="", "", L6099-B6099)</f>
        <v/>
      </c>
      <c r="O6099">
        <f>IF(L6099="", "Pending", IF(N6099&lt;=30, "Met", "Breached"))</f>
        <v/>
      </c>
      <c r="P6099" s="8" t="n"/>
      <c r="Q6099" s="8" t="n"/>
      <c r="R6099" s="8" t="n"/>
      <c r="S6099" s="8" t="n"/>
      <c r="T6099" s="8" t="n"/>
      <c r="U6099" s="8" t="n"/>
      <c r="V6099" s="8" t="n"/>
      <c r="W6099" s="8" t="n"/>
      <c r="X6099" s="8" t="n"/>
      <c r="Y6099" s="8" t="n"/>
    </row>
    <row r="6100">
      <c r="A6100" s="8" t="n"/>
      <c r="B6100" s="8" t="n"/>
      <c r="C6100" s="8" t="n"/>
      <c r="D6100" s="8" t="n"/>
      <c r="E6100" s="8" t="n"/>
      <c r="F6100" s="8" t="n"/>
      <c r="G6100" s="8" t="n"/>
      <c r="H6100" s="8" t="n"/>
      <c r="I6100" s="8" t="n"/>
      <c r="J6100" s="8" t="n"/>
      <c r="K6100" s="8" t="n"/>
      <c r="L6100" s="8" t="n"/>
      <c r="M6100" s="9">
        <f>B6100+30</f>
        <v/>
      </c>
      <c r="N6100">
        <f>IF(L6100="", "", L6100-B6100)</f>
        <v/>
      </c>
      <c r="O6100">
        <f>IF(L6100="", "Pending", IF(N6100&lt;=30, "Met", "Breached"))</f>
        <v/>
      </c>
      <c r="P6100" s="8" t="n"/>
      <c r="Q6100" s="8" t="n"/>
      <c r="R6100" s="8" t="n"/>
      <c r="S6100" s="8" t="n"/>
      <c r="T6100" s="8" t="n"/>
      <c r="U6100" s="8" t="n"/>
      <c r="V6100" s="8" t="n"/>
      <c r="W6100" s="8" t="n"/>
      <c r="X6100" s="8" t="n"/>
      <c r="Y6100" s="8" t="n"/>
    </row>
    <row r="6101">
      <c r="A6101" s="8" t="n"/>
      <c r="B6101" s="8" t="n"/>
      <c r="C6101" s="8" t="n"/>
      <c r="D6101" s="8" t="n"/>
      <c r="E6101" s="8" t="n"/>
      <c r="F6101" s="8" t="n"/>
      <c r="G6101" s="8" t="n"/>
      <c r="H6101" s="8" t="n"/>
      <c r="I6101" s="8" t="n"/>
      <c r="J6101" s="8" t="n"/>
      <c r="K6101" s="8" t="n"/>
      <c r="L6101" s="8" t="n"/>
      <c r="M6101" s="9">
        <f>B6101+30</f>
        <v/>
      </c>
      <c r="N6101">
        <f>IF(L6101="", "", L6101-B6101)</f>
        <v/>
      </c>
      <c r="O6101">
        <f>IF(L6101="", "Pending", IF(N6101&lt;=30, "Met", "Breached"))</f>
        <v/>
      </c>
      <c r="P6101" s="8" t="n"/>
      <c r="Q6101" s="8" t="n"/>
      <c r="R6101" s="8" t="n"/>
      <c r="S6101" s="8" t="n"/>
      <c r="T6101" s="8" t="n"/>
      <c r="U6101" s="8" t="n"/>
      <c r="V6101" s="8" t="n"/>
      <c r="W6101" s="8" t="n"/>
      <c r="X6101" s="8" t="n"/>
      <c r="Y6101" s="8" t="n"/>
    </row>
    <row r="6102">
      <c r="A6102" s="8" t="n"/>
      <c r="B6102" s="8" t="n"/>
      <c r="C6102" s="8" t="n"/>
      <c r="D6102" s="8" t="n"/>
      <c r="E6102" s="8" t="n"/>
      <c r="F6102" s="8" t="n"/>
      <c r="G6102" s="8" t="n"/>
      <c r="H6102" s="8" t="n"/>
      <c r="I6102" s="8" t="n"/>
      <c r="J6102" s="8" t="n"/>
      <c r="K6102" s="8" t="n"/>
      <c r="L6102" s="8" t="n"/>
      <c r="M6102" s="9">
        <f>B6102+30</f>
        <v/>
      </c>
      <c r="N6102">
        <f>IF(L6102="", "", L6102-B6102)</f>
        <v/>
      </c>
      <c r="O6102">
        <f>IF(L6102="", "Pending", IF(N6102&lt;=30, "Met", "Breached"))</f>
        <v/>
      </c>
      <c r="P6102" s="8" t="n"/>
      <c r="Q6102" s="8" t="n"/>
      <c r="R6102" s="8" t="n"/>
      <c r="S6102" s="8" t="n"/>
      <c r="T6102" s="8" t="n"/>
      <c r="U6102" s="8" t="n"/>
      <c r="V6102" s="8" t="n"/>
      <c r="W6102" s="8" t="n"/>
      <c r="X6102" s="8" t="n"/>
      <c r="Y6102" s="8" t="n"/>
    </row>
    <row r="6103">
      <c r="A6103" s="8" t="n"/>
      <c r="B6103" s="8" t="n"/>
      <c r="C6103" s="8" t="n"/>
      <c r="D6103" s="8" t="n"/>
      <c r="E6103" s="8" t="n"/>
      <c r="F6103" s="8" t="n"/>
      <c r="G6103" s="8" t="n"/>
      <c r="H6103" s="8" t="n"/>
      <c r="I6103" s="8" t="n"/>
      <c r="J6103" s="8" t="n"/>
      <c r="K6103" s="8" t="n"/>
      <c r="L6103" s="8" t="n"/>
      <c r="M6103" s="9">
        <f>B6103+30</f>
        <v/>
      </c>
      <c r="N6103">
        <f>IF(L6103="", "", L6103-B6103)</f>
        <v/>
      </c>
      <c r="O6103">
        <f>IF(L6103="", "Pending", IF(N6103&lt;=30, "Met", "Breached"))</f>
        <v/>
      </c>
      <c r="P6103" s="8" t="n"/>
      <c r="Q6103" s="8" t="n"/>
      <c r="R6103" s="8" t="n"/>
      <c r="S6103" s="8" t="n"/>
      <c r="T6103" s="8" t="n"/>
      <c r="U6103" s="8" t="n"/>
      <c r="V6103" s="8" t="n"/>
      <c r="W6103" s="8" t="n"/>
      <c r="X6103" s="8" t="n"/>
      <c r="Y6103" s="8" t="n"/>
    </row>
    <row r="6104">
      <c r="A6104" s="8" t="n"/>
      <c r="B6104" s="8" t="n"/>
      <c r="C6104" s="8" t="n"/>
      <c r="D6104" s="8" t="n"/>
      <c r="E6104" s="8" t="n"/>
      <c r="F6104" s="8" t="n"/>
      <c r="G6104" s="8" t="n"/>
      <c r="H6104" s="8" t="n"/>
      <c r="I6104" s="8" t="n"/>
      <c r="J6104" s="8" t="n"/>
      <c r="K6104" s="8" t="n"/>
      <c r="L6104" s="8" t="n"/>
      <c r="M6104" s="9">
        <f>B6104+30</f>
        <v/>
      </c>
      <c r="N6104">
        <f>IF(L6104="", "", L6104-B6104)</f>
        <v/>
      </c>
      <c r="O6104">
        <f>IF(L6104="", "Pending", IF(N6104&lt;=30, "Met", "Breached"))</f>
        <v/>
      </c>
      <c r="P6104" s="8" t="n"/>
      <c r="Q6104" s="8" t="n"/>
      <c r="R6104" s="8" t="n"/>
      <c r="S6104" s="8" t="n"/>
      <c r="T6104" s="8" t="n"/>
      <c r="U6104" s="8" t="n"/>
      <c r="V6104" s="8" t="n"/>
      <c r="W6104" s="8" t="n"/>
      <c r="X6104" s="8" t="n"/>
      <c r="Y6104" s="8" t="n"/>
    </row>
    <row r="6105">
      <c r="A6105" s="8" t="n"/>
      <c r="B6105" s="8" t="n"/>
      <c r="C6105" s="8" t="n"/>
      <c r="D6105" s="8" t="n"/>
      <c r="E6105" s="8" t="n"/>
      <c r="F6105" s="8" t="n"/>
      <c r="G6105" s="8" t="n"/>
      <c r="H6105" s="8" t="n"/>
      <c r="I6105" s="8" t="n"/>
      <c r="J6105" s="8" t="n"/>
      <c r="K6105" s="8" t="n"/>
      <c r="L6105" s="8" t="n"/>
      <c r="M6105" s="9">
        <f>B6105+30</f>
        <v/>
      </c>
      <c r="N6105">
        <f>IF(L6105="", "", L6105-B6105)</f>
        <v/>
      </c>
      <c r="O6105">
        <f>IF(L6105="", "Pending", IF(N6105&lt;=30, "Met", "Breached"))</f>
        <v/>
      </c>
      <c r="P6105" s="8" t="n"/>
      <c r="Q6105" s="8" t="n"/>
      <c r="R6105" s="8" t="n"/>
      <c r="S6105" s="8" t="n"/>
      <c r="T6105" s="8" t="n"/>
      <c r="U6105" s="8" t="n"/>
      <c r="V6105" s="8" t="n"/>
      <c r="W6105" s="8" t="n"/>
      <c r="X6105" s="8" t="n"/>
      <c r="Y6105" s="8" t="n"/>
    </row>
    <row r="6106">
      <c r="A6106" s="8" t="n"/>
      <c r="B6106" s="8" t="n"/>
      <c r="C6106" s="8" t="n"/>
      <c r="D6106" s="8" t="n"/>
      <c r="E6106" s="8" t="n"/>
      <c r="F6106" s="8" t="n"/>
      <c r="G6106" s="8" t="n"/>
      <c r="H6106" s="8" t="n"/>
      <c r="I6106" s="8" t="n"/>
      <c r="J6106" s="8" t="n"/>
      <c r="K6106" s="8" t="n"/>
      <c r="L6106" s="8" t="n"/>
      <c r="M6106" s="9">
        <f>B6106+30</f>
        <v/>
      </c>
      <c r="N6106">
        <f>IF(L6106="", "", L6106-B6106)</f>
        <v/>
      </c>
      <c r="O6106">
        <f>IF(L6106="", "Pending", IF(N6106&lt;=30, "Met", "Breached"))</f>
        <v/>
      </c>
      <c r="P6106" s="8" t="n"/>
      <c r="Q6106" s="8" t="n"/>
      <c r="R6106" s="8" t="n"/>
      <c r="S6106" s="8" t="n"/>
      <c r="T6106" s="8" t="n"/>
      <c r="U6106" s="8" t="n"/>
      <c r="V6106" s="8" t="n"/>
      <c r="W6106" s="8" t="n"/>
      <c r="X6106" s="8" t="n"/>
      <c r="Y6106" s="8" t="n"/>
    </row>
    <row r="6107">
      <c r="A6107" s="8" t="n"/>
      <c r="B6107" s="8" t="n"/>
      <c r="C6107" s="8" t="n"/>
      <c r="D6107" s="8" t="n"/>
      <c r="E6107" s="8" t="n"/>
      <c r="F6107" s="8" t="n"/>
      <c r="G6107" s="8" t="n"/>
      <c r="H6107" s="8" t="n"/>
      <c r="I6107" s="8" t="n"/>
      <c r="J6107" s="8" t="n"/>
      <c r="K6107" s="8" t="n"/>
      <c r="L6107" s="8" t="n"/>
      <c r="M6107" s="9">
        <f>B6107+30</f>
        <v/>
      </c>
      <c r="N6107">
        <f>IF(L6107="", "", L6107-B6107)</f>
        <v/>
      </c>
      <c r="O6107">
        <f>IF(L6107="", "Pending", IF(N6107&lt;=30, "Met", "Breached"))</f>
        <v/>
      </c>
      <c r="P6107" s="8" t="n"/>
      <c r="Q6107" s="8" t="n"/>
      <c r="R6107" s="8" t="n"/>
      <c r="S6107" s="8" t="n"/>
      <c r="T6107" s="8" t="n"/>
      <c r="U6107" s="8" t="n"/>
      <c r="V6107" s="8" t="n"/>
      <c r="W6107" s="8" t="n"/>
      <c r="X6107" s="8" t="n"/>
      <c r="Y6107" s="8" t="n"/>
    </row>
    <row r="6108">
      <c r="A6108" s="8" t="n"/>
      <c r="B6108" s="8" t="n"/>
      <c r="C6108" s="8" t="n"/>
      <c r="D6108" s="8" t="n"/>
      <c r="E6108" s="8" t="n"/>
      <c r="F6108" s="8" t="n"/>
      <c r="G6108" s="8" t="n"/>
      <c r="H6108" s="8" t="n"/>
      <c r="I6108" s="8" t="n"/>
      <c r="J6108" s="8" t="n"/>
      <c r="K6108" s="8" t="n"/>
      <c r="L6108" s="8" t="n"/>
      <c r="M6108" s="9">
        <f>B6108+30</f>
        <v/>
      </c>
      <c r="N6108">
        <f>IF(L6108="", "", L6108-B6108)</f>
        <v/>
      </c>
      <c r="O6108">
        <f>IF(L6108="", "Pending", IF(N6108&lt;=30, "Met", "Breached"))</f>
        <v/>
      </c>
      <c r="P6108" s="8" t="n"/>
      <c r="Q6108" s="8" t="n"/>
      <c r="R6108" s="8" t="n"/>
      <c r="S6108" s="8" t="n"/>
      <c r="T6108" s="8" t="n"/>
      <c r="U6108" s="8" t="n"/>
      <c r="V6108" s="8" t="n"/>
      <c r="W6108" s="8" t="n"/>
      <c r="X6108" s="8" t="n"/>
      <c r="Y6108" s="8" t="n"/>
    </row>
    <row r="6109">
      <c r="A6109" s="8" t="n"/>
      <c r="B6109" s="8" t="n"/>
      <c r="C6109" s="8" t="n"/>
      <c r="D6109" s="8" t="n"/>
      <c r="E6109" s="8" t="n"/>
      <c r="F6109" s="8" t="n"/>
      <c r="G6109" s="8" t="n"/>
      <c r="H6109" s="8" t="n"/>
      <c r="I6109" s="8" t="n"/>
      <c r="J6109" s="8" t="n"/>
      <c r="K6109" s="8" t="n"/>
      <c r="L6109" s="8" t="n"/>
      <c r="M6109" s="9">
        <f>B6109+30</f>
        <v/>
      </c>
      <c r="N6109">
        <f>IF(L6109="", "", L6109-B6109)</f>
        <v/>
      </c>
      <c r="O6109">
        <f>IF(L6109="", "Pending", IF(N6109&lt;=30, "Met", "Breached"))</f>
        <v/>
      </c>
      <c r="P6109" s="8" t="n"/>
      <c r="Q6109" s="8" t="n"/>
      <c r="R6109" s="8" t="n"/>
      <c r="S6109" s="8" t="n"/>
      <c r="T6109" s="8" t="n"/>
      <c r="U6109" s="8" t="n"/>
      <c r="V6109" s="8" t="n"/>
      <c r="W6109" s="8" t="n"/>
      <c r="X6109" s="8" t="n"/>
      <c r="Y6109" s="8" t="n"/>
    </row>
    <row r="6110">
      <c r="A6110" s="8" t="n"/>
      <c r="B6110" s="8" t="n"/>
      <c r="C6110" s="8" t="n"/>
      <c r="D6110" s="8" t="n"/>
      <c r="E6110" s="8" t="n"/>
      <c r="F6110" s="8" t="n"/>
      <c r="G6110" s="8" t="n"/>
      <c r="H6110" s="8" t="n"/>
      <c r="I6110" s="8" t="n"/>
      <c r="J6110" s="8" t="n"/>
      <c r="K6110" s="8" t="n"/>
      <c r="L6110" s="8" t="n"/>
      <c r="M6110" s="9">
        <f>B6110+30</f>
        <v/>
      </c>
      <c r="N6110">
        <f>IF(L6110="", "", L6110-B6110)</f>
        <v/>
      </c>
      <c r="O6110">
        <f>IF(L6110="", "Pending", IF(N6110&lt;=30, "Met", "Breached"))</f>
        <v/>
      </c>
      <c r="P6110" s="8" t="n"/>
      <c r="Q6110" s="8" t="n"/>
      <c r="R6110" s="8" t="n"/>
      <c r="S6110" s="8" t="n"/>
      <c r="T6110" s="8" t="n"/>
      <c r="U6110" s="8" t="n"/>
      <c r="V6110" s="8" t="n"/>
      <c r="W6110" s="8" t="n"/>
      <c r="X6110" s="8" t="n"/>
      <c r="Y6110" s="8" t="n"/>
    </row>
    <row r="6111">
      <c r="A6111" s="8" t="n"/>
      <c r="B6111" s="8" t="n"/>
      <c r="C6111" s="8" t="n"/>
      <c r="D6111" s="8" t="n"/>
      <c r="E6111" s="8" t="n"/>
      <c r="F6111" s="8" t="n"/>
      <c r="G6111" s="8" t="n"/>
      <c r="H6111" s="8" t="n"/>
      <c r="I6111" s="8" t="n"/>
      <c r="J6111" s="8" t="n"/>
      <c r="K6111" s="8" t="n"/>
      <c r="L6111" s="8" t="n"/>
      <c r="M6111" s="9">
        <f>B6111+30</f>
        <v/>
      </c>
      <c r="N6111">
        <f>IF(L6111="", "", L6111-B6111)</f>
        <v/>
      </c>
      <c r="O6111">
        <f>IF(L6111="", "Pending", IF(N6111&lt;=30, "Met", "Breached"))</f>
        <v/>
      </c>
      <c r="P6111" s="8" t="n"/>
      <c r="Q6111" s="8" t="n"/>
      <c r="R6111" s="8" t="n"/>
      <c r="S6111" s="8" t="n"/>
      <c r="T6111" s="8" t="n"/>
      <c r="U6111" s="8" t="n"/>
      <c r="V6111" s="8" t="n"/>
      <c r="W6111" s="8" t="n"/>
      <c r="X6111" s="8" t="n"/>
      <c r="Y6111" s="8" t="n"/>
    </row>
    <row r="6112">
      <c r="A6112" s="8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8" t="n"/>
      <c r="K6112" s="8" t="n"/>
      <c r="L6112" s="8" t="n"/>
      <c r="M6112" s="9">
        <f>B6112+30</f>
        <v/>
      </c>
      <c r="N6112">
        <f>IF(L6112="", "", L6112-B6112)</f>
        <v/>
      </c>
      <c r="O6112">
        <f>IF(L6112="", "Pending", IF(N6112&lt;=30, "Met", "Breached"))</f>
        <v/>
      </c>
      <c r="P6112" s="8" t="n"/>
      <c r="Q6112" s="8" t="n"/>
      <c r="R6112" s="8" t="n"/>
      <c r="S6112" s="8" t="n"/>
      <c r="T6112" s="8" t="n"/>
      <c r="U6112" s="8" t="n"/>
      <c r="V6112" s="8" t="n"/>
      <c r="W6112" s="8" t="n"/>
      <c r="X6112" s="8" t="n"/>
      <c r="Y6112" s="8" t="n"/>
    </row>
    <row r="6113">
      <c r="A6113" s="8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8" t="n"/>
      <c r="K6113" s="8" t="n"/>
      <c r="L6113" s="8" t="n"/>
      <c r="M6113" s="9">
        <f>B6113+30</f>
        <v/>
      </c>
      <c r="N6113">
        <f>IF(L6113="", "", L6113-B6113)</f>
        <v/>
      </c>
      <c r="O6113">
        <f>IF(L6113="", "Pending", IF(N6113&lt;=30, "Met", "Breached"))</f>
        <v/>
      </c>
      <c r="P6113" s="8" t="n"/>
      <c r="Q6113" s="8" t="n"/>
      <c r="R6113" s="8" t="n"/>
      <c r="S6113" s="8" t="n"/>
      <c r="T6113" s="8" t="n"/>
      <c r="U6113" s="8" t="n"/>
      <c r="V6113" s="8" t="n"/>
      <c r="W6113" s="8" t="n"/>
      <c r="X6113" s="8" t="n"/>
      <c r="Y6113" s="8" t="n"/>
    </row>
    <row r="6114">
      <c r="A6114" s="8" t="n"/>
      <c r="B6114" s="8" t="n"/>
      <c r="C6114" s="8" t="n"/>
      <c r="D6114" s="8" t="n"/>
      <c r="E6114" s="8" t="n"/>
      <c r="F6114" s="8" t="n"/>
      <c r="G6114" s="8" t="n"/>
      <c r="H6114" s="8" t="n"/>
      <c r="I6114" s="8" t="n"/>
      <c r="J6114" s="8" t="n"/>
      <c r="K6114" s="8" t="n"/>
      <c r="L6114" s="8" t="n"/>
      <c r="M6114" s="9">
        <f>B6114+30</f>
        <v/>
      </c>
      <c r="N6114">
        <f>IF(L6114="", "", L6114-B6114)</f>
        <v/>
      </c>
      <c r="O6114">
        <f>IF(L6114="", "Pending", IF(N6114&lt;=30, "Met", "Breached"))</f>
        <v/>
      </c>
      <c r="P6114" s="8" t="n"/>
      <c r="Q6114" s="8" t="n"/>
      <c r="R6114" s="8" t="n"/>
      <c r="S6114" s="8" t="n"/>
      <c r="T6114" s="8" t="n"/>
      <c r="U6114" s="8" t="n"/>
      <c r="V6114" s="8" t="n"/>
      <c r="W6114" s="8" t="n"/>
      <c r="X6114" s="8" t="n"/>
      <c r="Y6114" s="8" t="n"/>
    </row>
    <row r="6115">
      <c r="A6115" s="8" t="n"/>
      <c r="B6115" s="8" t="n"/>
      <c r="C6115" s="8" t="n"/>
      <c r="D6115" s="8" t="n"/>
      <c r="E6115" s="8" t="n"/>
      <c r="F6115" s="8" t="n"/>
      <c r="G6115" s="8" t="n"/>
      <c r="H6115" s="8" t="n"/>
      <c r="I6115" s="8" t="n"/>
      <c r="J6115" s="8" t="n"/>
      <c r="K6115" s="8" t="n"/>
      <c r="L6115" s="8" t="n"/>
      <c r="M6115" s="9">
        <f>B6115+30</f>
        <v/>
      </c>
      <c r="N6115">
        <f>IF(L6115="", "", L6115-B6115)</f>
        <v/>
      </c>
      <c r="O6115">
        <f>IF(L6115="", "Pending", IF(N6115&lt;=30, "Met", "Breached"))</f>
        <v/>
      </c>
      <c r="P6115" s="8" t="n"/>
      <c r="Q6115" s="8" t="n"/>
      <c r="R6115" s="8" t="n"/>
      <c r="S6115" s="8" t="n"/>
      <c r="T6115" s="8" t="n"/>
      <c r="U6115" s="8" t="n"/>
      <c r="V6115" s="8" t="n"/>
      <c r="W6115" s="8" t="n"/>
      <c r="X6115" s="8" t="n"/>
      <c r="Y6115" s="8" t="n"/>
    </row>
    <row r="6116">
      <c r="A6116" s="8" t="n"/>
      <c r="B6116" s="8" t="n"/>
      <c r="C6116" s="8" t="n"/>
      <c r="D6116" s="8" t="n"/>
      <c r="E6116" s="8" t="n"/>
      <c r="F6116" s="8" t="n"/>
      <c r="G6116" s="8" t="n"/>
      <c r="H6116" s="8" t="n"/>
      <c r="I6116" s="8" t="n"/>
      <c r="J6116" s="8" t="n"/>
      <c r="K6116" s="8" t="n"/>
      <c r="L6116" s="8" t="n"/>
      <c r="M6116" s="9">
        <f>B6116+30</f>
        <v/>
      </c>
      <c r="N6116">
        <f>IF(L6116="", "", L6116-B6116)</f>
        <v/>
      </c>
      <c r="O6116">
        <f>IF(L6116="", "Pending", IF(N6116&lt;=30, "Met", "Breached"))</f>
        <v/>
      </c>
      <c r="P6116" s="8" t="n"/>
      <c r="Q6116" s="8" t="n"/>
      <c r="R6116" s="8" t="n"/>
      <c r="S6116" s="8" t="n"/>
      <c r="T6116" s="8" t="n"/>
      <c r="U6116" s="8" t="n"/>
      <c r="V6116" s="8" t="n"/>
      <c r="W6116" s="8" t="n"/>
      <c r="X6116" s="8" t="n"/>
      <c r="Y6116" s="8" t="n"/>
    </row>
    <row r="6117">
      <c r="A6117" s="8" t="n"/>
      <c r="B6117" s="8" t="n"/>
      <c r="C6117" s="8" t="n"/>
      <c r="D6117" s="8" t="n"/>
      <c r="E6117" s="8" t="n"/>
      <c r="F6117" s="8" t="n"/>
      <c r="G6117" s="8" t="n"/>
      <c r="H6117" s="8" t="n"/>
      <c r="I6117" s="8" t="n"/>
      <c r="J6117" s="8" t="n"/>
      <c r="K6117" s="8" t="n"/>
      <c r="L6117" s="8" t="n"/>
      <c r="M6117" s="9">
        <f>B6117+30</f>
        <v/>
      </c>
      <c r="N6117">
        <f>IF(L6117="", "", L6117-B6117)</f>
        <v/>
      </c>
      <c r="O6117">
        <f>IF(L6117="", "Pending", IF(N6117&lt;=30, "Met", "Breached"))</f>
        <v/>
      </c>
      <c r="P6117" s="8" t="n"/>
      <c r="Q6117" s="8" t="n"/>
      <c r="R6117" s="8" t="n"/>
      <c r="S6117" s="8" t="n"/>
      <c r="T6117" s="8" t="n"/>
      <c r="U6117" s="8" t="n"/>
      <c r="V6117" s="8" t="n"/>
      <c r="W6117" s="8" t="n"/>
      <c r="X6117" s="8" t="n"/>
      <c r="Y6117" s="8" t="n"/>
    </row>
    <row r="6118">
      <c r="A6118" s="8" t="n"/>
      <c r="B6118" s="8" t="n"/>
      <c r="C6118" s="8" t="n"/>
      <c r="D6118" s="8" t="n"/>
      <c r="E6118" s="8" t="n"/>
      <c r="F6118" s="8" t="n"/>
      <c r="G6118" s="8" t="n"/>
      <c r="H6118" s="8" t="n"/>
      <c r="I6118" s="8" t="n"/>
      <c r="J6118" s="8" t="n"/>
      <c r="K6118" s="8" t="n"/>
      <c r="L6118" s="8" t="n"/>
      <c r="M6118" s="9">
        <f>B6118+30</f>
        <v/>
      </c>
      <c r="N6118">
        <f>IF(L6118="", "", L6118-B6118)</f>
        <v/>
      </c>
      <c r="O6118">
        <f>IF(L6118="", "Pending", IF(N6118&lt;=30, "Met", "Breached"))</f>
        <v/>
      </c>
      <c r="P6118" s="8" t="n"/>
      <c r="Q6118" s="8" t="n"/>
      <c r="R6118" s="8" t="n"/>
      <c r="S6118" s="8" t="n"/>
      <c r="T6118" s="8" t="n"/>
      <c r="U6118" s="8" t="n"/>
      <c r="V6118" s="8" t="n"/>
      <c r="W6118" s="8" t="n"/>
      <c r="X6118" s="8" t="n"/>
      <c r="Y6118" s="8" t="n"/>
    </row>
    <row r="6119">
      <c r="A6119" s="8" t="n"/>
      <c r="B6119" s="8" t="n"/>
      <c r="C6119" s="8" t="n"/>
      <c r="D6119" s="8" t="n"/>
      <c r="E6119" s="8" t="n"/>
      <c r="F6119" s="8" t="n"/>
      <c r="G6119" s="8" t="n"/>
      <c r="H6119" s="8" t="n"/>
      <c r="I6119" s="8" t="n"/>
      <c r="J6119" s="8" t="n"/>
      <c r="K6119" s="8" t="n"/>
      <c r="L6119" s="8" t="n"/>
      <c r="M6119" s="9">
        <f>B6119+30</f>
        <v/>
      </c>
      <c r="N6119">
        <f>IF(L6119="", "", L6119-B6119)</f>
        <v/>
      </c>
      <c r="O6119">
        <f>IF(L6119="", "Pending", IF(N6119&lt;=30, "Met", "Breached"))</f>
        <v/>
      </c>
      <c r="P6119" s="8" t="n"/>
      <c r="Q6119" s="8" t="n"/>
      <c r="R6119" s="8" t="n"/>
      <c r="S6119" s="8" t="n"/>
      <c r="T6119" s="8" t="n"/>
      <c r="U6119" s="8" t="n"/>
      <c r="V6119" s="8" t="n"/>
      <c r="W6119" s="8" t="n"/>
      <c r="X6119" s="8" t="n"/>
      <c r="Y6119" s="8" t="n"/>
    </row>
    <row r="6120">
      <c r="A6120" s="8" t="n"/>
      <c r="B6120" s="8" t="n"/>
      <c r="C6120" s="8" t="n"/>
      <c r="D6120" s="8" t="n"/>
      <c r="E6120" s="8" t="n"/>
      <c r="F6120" s="8" t="n"/>
      <c r="G6120" s="8" t="n"/>
      <c r="H6120" s="8" t="n"/>
      <c r="I6120" s="8" t="n"/>
      <c r="J6120" s="8" t="n"/>
      <c r="K6120" s="8" t="n"/>
      <c r="L6120" s="8" t="n"/>
      <c r="M6120" s="9">
        <f>B6120+30</f>
        <v/>
      </c>
      <c r="N6120">
        <f>IF(L6120="", "", L6120-B6120)</f>
        <v/>
      </c>
      <c r="O6120">
        <f>IF(L6120="", "Pending", IF(N6120&lt;=30, "Met", "Breached"))</f>
        <v/>
      </c>
      <c r="P6120" s="8" t="n"/>
      <c r="Q6120" s="8" t="n"/>
      <c r="R6120" s="8" t="n"/>
      <c r="S6120" s="8" t="n"/>
      <c r="T6120" s="8" t="n"/>
      <c r="U6120" s="8" t="n"/>
      <c r="V6120" s="8" t="n"/>
      <c r="W6120" s="8" t="n"/>
      <c r="X6120" s="8" t="n"/>
      <c r="Y6120" s="8" t="n"/>
    </row>
    <row r="6121">
      <c r="A6121" s="8" t="n"/>
      <c r="B6121" s="8" t="n"/>
      <c r="C6121" s="8" t="n"/>
      <c r="D6121" s="8" t="n"/>
      <c r="E6121" s="8" t="n"/>
      <c r="F6121" s="8" t="n"/>
      <c r="G6121" s="8" t="n"/>
      <c r="H6121" s="8" t="n"/>
      <c r="I6121" s="8" t="n"/>
      <c r="J6121" s="8" t="n"/>
      <c r="K6121" s="8" t="n"/>
      <c r="L6121" s="8" t="n"/>
      <c r="M6121" s="9">
        <f>B6121+30</f>
        <v/>
      </c>
      <c r="N6121">
        <f>IF(L6121="", "", L6121-B6121)</f>
        <v/>
      </c>
      <c r="O6121">
        <f>IF(L6121="", "Pending", IF(N6121&lt;=30, "Met", "Breached"))</f>
        <v/>
      </c>
      <c r="P6121" s="8" t="n"/>
      <c r="Q6121" s="8" t="n"/>
      <c r="R6121" s="8" t="n"/>
      <c r="S6121" s="8" t="n"/>
      <c r="T6121" s="8" t="n"/>
      <c r="U6121" s="8" t="n"/>
      <c r="V6121" s="8" t="n"/>
      <c r="W6121" s="8" t="n"/>
      <c r="X6121" s="8" t="n"/>
      <c r="Y6121" s="8" t="n"/>
    </row>
    <row r="6122">
      <c r="A6122" s="8" t="n"/>
      <c r="B6122" s="8" t="n"/>
      <c r="C6122" s="8" t="n"/>
      <c r="D6122" s="8" t="n"/>
      <c r="E6122" s="8" t="n"/>
      <c r="F6122" s="8" t="n"/>
      <c r="G6122" s="8" t="n"/>
      <c r="H6122" s="8" t="n"/>
      <c r="I6122" s="8" t="n"/>
      <c r="J6122" s="8" t="n"/>
      <c r="K6122" s="8" t="n"/>
      <c r="L6122" s="8" t="n"/>
      <c r="M6122" s="9">
        <f>B6122+30</f>
        <v/>
      </c>
      <c r="N6122">
        <f>IF(L6122="", "", L6122-B6122)</f>
        <v/>
      </c>
      <c r="O6122">
        <f>IF(L6122="", "Pending", IF(N6122&lt;=30, "Met", "Breached"))</f>
        <v/>
      </c>
      <c r="P6122" s="8" t="n"/>
      <c r="Q6122" s="8" t="n"/>
      <c r="R6122" s="8" t="n"/>
      <c r="S6122" s="8" t="n"/>
      <c r="T6122" s="8" t="n"/>
      <c r="U6122" s="8" t="n"/>
      <c r="V6122" s="8" t="n"/>
      <c r="W6122" s="8" t="n"/>
      <c r="X6122" s="8" t="n"/>
      <c r="Y6122" s="8" t="n"/>
    </row>
    <row r="6123">
      <c r="A6123" s="8" t="n"/>
      <c r="B6123" s="8" t="n"/>
      <c r="C6123" s="8" t="n"/>
      <c r="D6123" s="8" t="n"/>
      <c r="E6123" s="8" t="n"/>
      <c r="F6123" s="8" t="n"/>
      <c r="G6123" s="8" t="n"/>
      <c r="H6123" s="8" t="n"/>
      <c r="I6123" s="8" t="n"/>
      <c r="J6123" s="8" t="n"/>
      <c r="K6123" s="8" t="n"/>
      <c r="L6123" s="8" t="n"/>
      <c r="M6123" s="9">
        <f>B6123+30</f>
        <v/>
      </c>
      <c r="N6123">
        <f>IF(L6123="", "", L6123-B6123)</f>
        <v/>
      </c>
      <c r="O6123">
        <f>IF(L6123="", "Pending", IF(N6123&lt;=30, "Met", "Breached"))</f>
        <v/>
      </c>
      <c r="P6123" s="8" t="n"/>
      <c r="Q6123" s="8" t="n"/>
      <c r="R6123" s="8" t="n"/>
      <c r="S6123" s="8" t="n"/>
      <c r="T6123" s="8" t="n"/>
      <c r="U6123" s="8" t="n"/>
      <c r="V6123" s="8" t="n"/>
      <c r="W6123" s="8" t="n"/>
      <c r="X6123" s="8" t="n"/>
      <c r="Y6123" s="8" t="n"/>
    </row>
    <row r="6124">
      <c r="A6124" s="8" t="n"/>
      <c r="B6124" s="8" t="n"/>
      <c r="C6124" s="8" t="n"/>
      <c r="D6124" s="8" t="n"/>
      <c r="E6124" s="8" t="n"/>
      <c r="F6124" s="8" t="n"/>
      <c r="G6124" s="8" t="n"/>
      <c r="H6124" s="8" t="n"/>
      <c r="I6124" s="8" t="n"/>
      <c r="J6124" s="8" t="n"/>
      <c r="K6124" s="8" t="n"/>
      <c r="L6124" s="8" t="n"/>
      <c r="M6124" s="9">
        <f>B6124+30</f>
        <v/>
      </c>
      <c r="N6124">
        <f>IF(L6124="", "", L6124-B6124)</f>
        <v/>
      </c>
      <c r="O6124">
        <f>IF(L6124="", "Pending", IF(N6124&lt;=30, "Met", "Breached"))</f>
        <v/>
      </c>
      <c r="P6124" s="8" t="n"/>
      <c r="Q6124" s="8" t="n"/>
      <c r="R6124" s="8" t="n"/>
      <c r="S6124" s="8" t="n"/>
      <c r="T6124" s="8" t="n"/>
      <c r="U6124" s="8" t="n"/>
      <c r="V6124" s="8" t="n"/>
      <c r="W6124" s="8" t="n"/>
      <c r="X6124" s="8" t="n"/>
      <c r="Y6124" s="8" t="n"/>
    </row>
    <row r="6125">
      <c r="A6125" s="8" t="n"/>
      <c r="B6125" s="8" t="n"/>
      <c r="C6125" s="8" t="n"/>
      <c r="D6125" s="8" t="n"/>
      <c r="E6125" s="8" t="n"/>
      <c r="F6125" s="8" t="n"/>
      <c r="G6125" s="8" t="n"/>
      <c r="H6125" s="8" t="n"/>
      <c r="I6125" s="8" t="n"/>
      <c r="J6125" s="8" t="n"/>
      <c r="K6125" s="8" t="n"/>
      <c r="L6125" s="8" t="n"/>
      <c r="M6125" s="9">
        <f>B6125+30</f>
        <v/>
      </c>
      <c r="N6125">
        <f>IF(L6125="", "", L6125-B6125)</f>
        <v/>
      </c>
      <c r="O6125">
        <f>IF(L6125="", "Pending", IF(N6125&lt;=30, "Met", "Breached"))</f>
        <v/>
      </c>
      <c r="P6125" s="8" t="n"/>
      <c r="Q6125" s="8" t="n"/>
      <c r="R6125" s="8" t="n"/>
      <c r="S6125" s="8" t="n"/>
      <c r="T6125" s="8" t="n"/>
      <c r="U6125" s="8" t="n"/>
      <c r="V6125" s="8" t="n"/>
      <c r="W6125" s="8" t="n"/>
      <c r="X6125" s="8" t="n"/>
      <c r="Y6125" s="8" t="n"/>
    </row>
    <row r="6126">
      <c r="A6126" s="8" t="n"/>
      <c r="B6126" s="8" t="n"/>
      <c r="C6126" s="8" t="n"/>
      <c r="D6126" s="8" t="n"/>
      <c r="E6126" s="8" t="n"/>
      <c r="F6126" s="8" t="n"/>
      <c r="G6126" s="8" t="n"/>
      <c r="H6126" s="8" t="n"/>
      <c r="I6126" s="8" t="n"/>
      <c r="J6126" s="8" t="n"/>
      <c r="K6126" s="8" t="n"/>
      <c r="L6126" s="8" t="n"/>
      <c r="M6126" s="9">
        <f>B6126+30</f>
        <v/>
      </c>
      <c r="N6126">
        <f>IF(L6126="", "", L6126-B6126)</f>
        <v/>
      </c>
      <c r="O6126">
        <f>IF(L6126="", "Pending", IF(N6126&lt;=30, "Met", "Breached"))</f>
        <v/>
      </c>
      <c r="P6126" s="8" t="n"/>
      <c r="Q6126" s="8" t="n"/>
      <c r="R6126" s="8" t="n"/>
      <c r="S6126" s="8" t="n"/>
      <c r="T6126" s="8" t="n"/>
      <c r="U6126" s="8" t="n"/>
      <c r="V6126" s="8" t="n"/>
      <c r="W6126" s="8" t="n"/>
      <c r="X6126" s="8" t="n"/>
      <c r="Y6126" s="8" t="n"/>
    </row>
    <row r="6127">
      <c r="A6127" s="8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8" t="n"/>
      <c r="K6127" s="8" t="n"/>
      <c r="L6127" s="8" t="n"/>
      <c r="M6127" s="9">
        <f>B6127+30</f>
        <v/>
      </c>
      <c r="N6127">
        <f>IF(L6127="", "", L6127-B6127)</f>
        <v/>
      </c>
      <c r="O6127">
        <f>IF(L6127="", "Pending", IF(N6127&lt;=30, "Met", "Breached"))</f>
        <v/>
      </c>
      <c r="P6127" s="8" t="n"/>
      <c r="Q6127" s="8" t="n"/>
      <c r="R6127" s="8" t="n"/>
      <c r="S6127" s="8" t="n"/>
      <c r="T6127" s="8" t="n"/>
      <c r="U6127" s="8" t="n"/>
      <c r="V6127" s="8" t="n"/>
      <c r="W6127" s="8" t="n"/>
      <c r="X6127" s="8" t="n"/>
      <c r="Y6127" s="8" t="n"/>
    </row>
    <row r="6128">
      <c r="A6128" s="8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8" t="n"/>
      <c r="K6128" s="8" t="n"/>
      <c r="L6128" s="8" t="n"/>
      <c r="M6128" s="9">
        <f>B6128+30</f>
        <v/>
      </c>
      <c r="N6128">
        <f>IF(L6128="", "", L6128-B6128)</f>
        <v/>
      </c>
      <c r="O6128">
        <f>IF(L6128="", "Pending", IF(N6128&lt;=30, "Met", "Breached"))</f>
        <v/>
      </c>
      <c r="P6128" s="8" t="n"/>
      <c r="Q6128" s="8" t="n"/>
      <c r="R6128" s="8" t="n"/>
      <c r="S6128" s="8" t="n"/>
      <c r="T6128" s="8" t="n"/>
      <c r="U6128" s="8" t="n"/>
      <c r="V6128" s="8" t="n"/>
      <c r="W6128" s="8" t="n"/>
      <c r="X6128" s="8" t="n"/>
      <c r="Y6128" s="8" t="n"/>
    </row>
    <row r="6129">
      <c r="A6129" s="8" t="n"/>
      <c r="B6129" s="8" t="n"/>
      <c r="C6129" s="8" t="n"/>
      <c r="D6129" s="8" t="n"/>
      <c r="E6129" s="8" t="n"/>
      <c r="F6129" s="8" t="n"/>
      <c r="G6129" s="8" t="n"/>
      <c r="H6129" s="8" t="n"/>
      <c r="I6129" s="8" t="n"/>
      <c r="J6129" s="8" t="n"/>
      <c r="K6129" s="8" t="n"/>
      <c r="L6129" s="8" t="n"/>
      <c r="M6129" s="9">
        <f>B6129+30</f>
        <v/>
      </c>
      <c r="N6129">
        <f>IF(L6129="", "", L6129-B6129)</f>
        <v/>
      </c>
      <c r="O6129">
        <f>IF(L6129="", "Pending", IF(N6129&lt;=30, "Met", "Breached"))</f>
        <v/>
      </c>
      <c r="P6129" s="8" t="n"/>
      <c r="Q6129" s="8" t="n"/>
      <c r="R6129" s="8" t="n"/>
      <c r="S6129" s="8" t="n"/>
      <c r="T6129" s="8" t="n"/>
      <c r="U6129" s="8" t="n"/>
      <c r="V6129" s="8" t="n"/>
      <c r="W6129" s="8" t="n"/>
      <c r="X6129" s="8" t="n"/>
      <c r="Y6129" s="8" t="n"/>
    </row>
    <row r="6130">
      <c r="A6130" s="8" t="n"/>
      <c r="B6130" s="8" t="n"/>
      <c r="C6130" s="8" t="n"/>
      <c r="D6130" s="8" t="n"/>
      <c r="E6130" s="8" t="n"/>
      <c r="F6130" s="8" t="n"/>
      <c r="G6130" s="8" t="n"/>
      <c r="H6130" s="8" t="n"/>
      <c r="I6130" s="8" t="n"/>
      <c r="J6130" s="8" t="n"/>
      <c r="K6130" s="8" t="n"/>
      <c r="L6130" s="8" t="n"/>
      <c r="M6130" s="9">
        <f>B6130+30</f>
        <v/>
      </c>
      <c r="N6130">
        <f>IF(L6130="", "", L6130-B6130)</f>
        <v/>
      </c>
      <c r="O6130">
        <f>IF(L6130="", "Pending", IF(N6130&lt;=30, "Met", "Breached"))</f>
        <v/>
      </c>
      <c r="P6130" s="8" t="n"/>
      <c r="Q6130" s="8" t="n"/>
      <c r="R6130" s="8" t="n"/>
      <c r="S6130" s="8" t="n"/>
      <c r="T6130" s="8" t="n"/>
      <c r="U6130" s="8" t="n"/>
      <c r="V6130" s="8" t="n"/>
      <c r="W6130" s="8" t="n"/>
      <c r="X6130" s="8" t="n"/>
      <c r="Y6130" s="8" t="n"/>
    </row>
    <row r="6131">
      <c r="A6131" s="8" t="n"/>
      <c r="B6131" s="8" t="n"/>
      <c r="C6131" s="8" t="n"/>
      <c r="D6131" s="8" t="n"/>
      <c r="E6131" s="8" t="n"/>
      <c r="F6131" s="8" t="n"/>
      <c r="G6131" s="8" t="n"/>
      <c r="H6131" s="8" t="n"/>
      <c r="I6131" s="8" t="n"/>
      <c r="J6131" s="8" t="n"/>
      <c r="K6131" s="8" t="n"/>
      <c r="L6131" s="8" t="n"/>
      <c r="M6131" s="9">
        <f>B6131+30</f>
        <v/>
      </c>
      <c r="N6131">
        <f>IF(L6131="", "", L6131-B6131)</f>
        <v/>
      </c>
      <c r="O6131">
        <f>IF(L6131="", "Pending", IF(N6131&lt;=30, "Met", "Breached"))</f>
        <v/>
      </c>
      <c r="P6131" s="8" t="n"/>
      <c r="Q6131" s="8" t="n"/>
      <c r="R6131" s="8" t="n"/>
      <c r="S6131" s="8" t="n"/>
      <c r="T6131" s="8" t="n"/>
      <c r="U6131" s="8" t="n"/>
      <c r="V6131" s="8" t="n"/>
      <c r="W6131" s="8" t="n"/>
      <c r="X6131" s="8" t="n"/>
      <c r="Y6131" s="8" t="n"/>
    </row>
    <row r="6132">
      <c r="A6132" s="8" t="n"/>
      <c r="B6132" s="8" t="n"/>
      <c r="C6132" s="8" t="n"/>
      <c r="D6132" s="8" t="n"/>
      <c r="E6132" s="8" t="n"/>
      <c r="F6132" s="8" t="n"/>
      <c r="G6132" s="8" t="n"/>
      <c r="H6132" s="8" t="n"/>
      <c r="I6132" s="8" t="n"/>
      <c r="J6132" s="8" t="n"/>
      <c r="K6132" s="8" t="n"/>
      <c r="L6132" s="8" t="n"/>
      <c r="M6132" s="9">
        <f>B6132+30</f>
        <v/>
      </c>
      <c r="N6132">
        <f>IF(L6132="", "", L6132-B6132)</f>
        <v/>
      </c>
      <c r="O6132">
        <f>IF(L6132="", "Pending", IF(N6132&lt;=30, "Met", "Breached"))</f>
        <v/>
      </c>
      <c r="P6132" s="8" t="n"/>
      <c r="Q6132" s="8" t="n"/>
      <c r="R6132" s="8" t="n"/>
      <c r="S6132" s="8" t="n"/>
      <c r="T6132" s="8" t="n"/>
      <c r="U6132" s="8" t="n"/>
      <c r="V6132" s="8" t="n"/>
      <c r="W6132" s="8" t="n"/>
      <c r="X6132" s="8" t="n"/>
      <c r="Y6132" s="8" t="n"/>
    </row>
    <row r="6133">
      <c r="A6133" s="8" t="n"/>
      <c r="B6133" s="8" t="n"/>
      <c r="C6133" s="8" t="n"/>
      <c r="D6133" s="8" t="n"/>
      <c r="E6133" s="8" t="n"/>
      <c r="F6133" s="8" t="n"/>
      <c r="G6133" s="8" t="n"/>
      <c r="H6133" s="8" t="n"/>
      <c r="I6133" s="8" t="n"/>
      <c r="J6133" s="8" t="n"/>
      <c r="K6133" s="8" t="n"/>
      <c r="L6133" s="8" t="n"/>
      <c r="M6133" s="9">
        <f>B6133+30</f>
        <v/>
      </c>
      <c r="N6133">
        <f>IF(L6133="", "", L6133-B6133)</f>
        <v/>
      </c>
      <c r="O6133">
        <f>IF(L6133="", "Pending", IF(N6133&lt;=30, "Met", "Breached"))</f>
        <v/>
      </c>
      <c r="P6133" s="8" t="n"/>
      <c r="Q6133" s="8" t="n"/>
      <c r="R6133" s="8" t="n"/>
      <c r="S6133" s="8" t="n"/>
      <c r="T6133" s="8" t="n"/>
      <c r="U6133" s="8" t="n"/>
      <c r="V6133" s="8" t="n"/>
      <c r="W6133" s="8" t="n"/>
      <c r="X6133" s="8" t="n"/>
      <c r="Y6133" s="8" t="n"/>
    </row>
    <row r="6134">
      <c r="A6134" s="8" t="n"/>
      <c r="B6134" s="8" t="n"/>
      <c r="C6134" s="8" t="n"/>
      <c r="D6134" s="8" t="n"/>
      <c r="E6134" s="8" t="n"/>
      <c r="F6134" s="8" t="n"/>
      <c r="G6134" s="8" t="n"/>
      <c r="H6134" s="8" t="n"/>
      <c r="I6134" s="8" t="n"/>
      <c r="J6134" s="8" t="n"/>
      <c r="K6134" s="8" t="n"/>
      <c r="L6134" s="8" t="n"/>
      <c r="M6134" s="9">
        <f>B6134+30</f>
        <v/>
      </c>
      <c r="N6134">
        <f>IF(L6134="", "", L6134-B6134)</f>
        <v/>
      </c>
      <c r="O6134">
        <f>IF(L6134="", "Pending", IF(N6134&lt;=30, "Met", "Breached"))</f>
        <v/>
      </c>
      <c r="P6134" s="8" t="n"/>
      <c r="Q6134" s="8" t="n"/>
      <c r="R6134" s="8" t="n"/>
      <c r="S6134" s="8" t="n"/>
      <c r="T6134" s="8" t="n"/>
      <c r="U6134" s="8" t="n"/>
      <c r="V6134" s="8" t="n"/>
      <c r="W6134" s="8" t="n"/>
      <c r="X6134" s="8" t="n"/>
      <c r="Y6134" s="8" t="n"/>
    </row>
    <row r="6135">
      <c r="A6135" s="8" t="n"/>
      <c r="B6135" s="8" t="n"/>
      <c r="C6135" s="8" t="n"/>
      <c r="D6135" s="8" t="n"/>
      <c r="E6135" s="8" t="n"/>
      <c r="F6135" s="8" t="n"/>
      <c r="G6135" s="8" t="n"/>
      <c r="H6135" s="8" t="n"/>
      <c r="I6135" s="8" t="n"/>
      <c r="J6135" s="8" t="n"/>
      <c r="K6135" s="8" t="n"/>
      <c r="L6135" s="8" t="n"/>
      <c r="M6135" s="9">
        <f>B6135+30</f>
        <v/>
      </c>
      <c r="N6135">
        <f>IF(L6135="", "", L6135-B6135)</f>
        <v/>
      </c>
      <c r="O6135">
        <f>IF(L6135="", "Pending", IF(N6135&lt;=30, "Met", "Breached"))</f>
        <v/>
      </c>
      <c r="P6135" s="8" t="n"/>
      <c r="Q6135" s="8" t="n"/>
      <c r="R6135" s="8" t="n"/>
      <c r="S6135" s="8" t="n"/>
      <c r="T6135" s="8" t="n"/>
      <c r="U6135" s="8" t="n"/>
      <c r="V6135" s="8" t="n"/>
      <c r="W6135" s="8" t="n"/>
      <c r="X6135" s="8" t="n"/>
      <c r="Y6135" s="8" t="n"/>
    </row>
    <row r="6136">
      <c r="A6136" s="8" t="n"/>
      <c r="B6136" s="8" t="n"/>
      <c r="C6136" s="8" t="n"/>
      <c r="D6136" s="8" t="n"/>
      <c r="E6136" s="8" t="n"/>
      <c r="F6136" s="8" t="n"/>
      <c r="G6136" s="8" t="n"/>
      <c r="H6136" s="8" t="n"/>
      <c r="I6136" s="8" t="n"/>
      <c r="J6136" s="8" t="n"/>
      <c r="K6136" s="8" t="n"/>
      <c r="L6136" s="8" t="n"/>
      <c r="M6136" s="9">
        <f>B6136+30</f>
        <v/>
      </c>
      <c r="N6136">
        <f>IF(L6136="", "", L6136-B6136)</f>
        <v/>
      </c>
      <c r="O6136">
        <f>IF(L6136="", "Pending", IF(N6136&lt;=30, "Met", "Breached"))</f>
        <v/>
      </c>
      <c r="P6136" s="8" t="n"/>
      <c r="Q6136" s="8" t="n"/>
      <c r="R6136" s="8" t="n"/>
      <c r="S6136" s="8" t="n"/>
      <c r="T6136" s="8" t="n"/>
      <c r="U6136" s="8" t="n"/>
      <c r="V6136" s="8" t="n"/>
      <c r="W6136" s="8" t="n"/>
      <c r="X6136" s="8" t="n"/>
      <c r="Y6136" s="8" t="n"/>
    </row>
    <row r="6137">
      <c r="A6137" s="8" t="n"/>
      <c r="B6137" s="8" t="n"/>
      <c r="C6137" s="8" t="n"/>
      <c r="D6137" s="8" t="n"/>
      <c r="E6137" s="8" t="n"/>
      <c r="F6137" s="8" t="n"/>
      <c r="G6137" s="8" t="n"/>
      <c r="H6137" s="8" t="n"/>
      <c r="I6137" s="8" t="n"/>
      <c r="J6137" s="8" t="n"/>
      <c r="K6137" s="8" t="n"/>
      <c r="L6137" s="8" t="n"/>
      <c r="M6137" s="9">
        <f>B6137+30</f>
        <v/>
      </c>
      <c r="N6137">
        <f>IF(L6137="", "", L6137-B6137)</f>
        <v/>
      </c>
      <c r="O6137">
        <f>IF(L6137="", "Pending", IF(N6137&lt;=30, "Met", "Breached"))</f>
        <v/>
      </c>
      <c r="P6137" s="8" t="n"/>
      <c r="Q6137" s="8" t="n"/>
      <c r="R6137" s="8" t="n"/>
      <c r="S6137" s="8" t="n"/>
      <c r="T6137" s="8" t="n"/>
      <c r="U6137" s="8" t="n"/>
      <c r="V6137" s="8" t="n"/>
      <c r="W6137" s="8" t="n"/>
      <c r="X6137" s="8" t="n"/>
      <c r="Y6137" s="8" t="n"/>
    </row>
    <row r="6138">
      <c r="A6138" s="8" t="n"/>
      <c r="B6138" s="8" t="n"/>
      <c r="C6138" s="8" t="n"/>
      <c r="D6138" s="8" t="n"/>
      <c r="E6138" s="8" t="n"/>
      <c r="F6138" s="8" t="n"/>
      <c r="G6138" s="8" t="n"/>
      <c r="H6138" s="8" t="n"/>
      <c r="I6138" s="8" t="n"/>
      <c r="J6138" s="8" t="n"/>
      <c r="K6138" s="8" t="n"/>
      <c r="L6138" s="8" t="n"/>
      <c r="M6138" s="9">
        <f>B6138+30</f>
        <v/>
      </c>
      <c r="N6138">
        <f>IF(L6138="", "", L6138-B6138)</f>
        <v/>
      </c>
      <c r="O6138">
        <f>IF(L6138="", "Pending", IF(N6138&lt;=30, "Met", "Breached"))</f>
        <v/>
      </c>
      <c r="P6138" s="8" t="n"/>
      <c r="Q6138" s="8" t="n"/>
      <c r="R6138" s="8" t="n"/>
      <c r="S6138" s="8" t="n"/>
      <c r="T6138" s="8" t="n"/>
      <c r="U6138" s="8" t="n"/>
      <c r="V6138" s="8" t="n"/>
      <c r="W6138" s="8" t="n"/>
      <c r="X6138" s="8" t="n"/>
      <c r="Y6138" s="8" t="n"/>
    </row>
    <row r="6139">
      <c r="A6139" s="8" t="n"/>
      <c r="B6139" s="8" t="n"/>
      <c r="C6139" s="8" t="n"/>
      <c r="D6139" s="8" t="n"/>
      <c r="E6139" s="8" t="n"/>
      <c r="F6139" s="8" t="n"/>
      <c r="G6139" s="8" t="n"/>
      <c r="H6139" s="8" t="n"/>
      <c r="I6139" s="8" t="n"/>
      <c r="J6139" s="8" t="n"/>
      <c r="K6139" s="8" t="n"/>
      <c r="L6139" s="8" t="n"/>
      <c r="M6139" s="9">
        <f>B6139+30</f>
        <v/>
      </c>
      <c r="N6139">
        <f>IF(L6139="", "", L6139-B6139)</f>
        <v/>
      </c>
      <c r="O6139">
        <f>IF(L6139="", "Pending", IF(N6139&lt;=30, "Met", "Breached"))</f>
        <v/>
      </c>
      <c r="P6139" s="8" t="n"/>
      <c r="Q6139" s="8" t="n"/>
      <c r="R6139" s="8" t="n"/>
      <c r="S6139" s="8" t="n"/>
      <c r="T6139" s="8" t="n"/>
      <c r="U6139" s="8" t="n"/>
      <c r="V6139" s="8" t="n"/>
      <c r="W6139" s="8" t="n"/>
      <c r="X6139" s="8" t="n"/>
      <c r="Y6139" s="8" t="n"/>
    </row>
    <row r="6140">
      <c r="A6140" s="8" t="n"/>
      <c r="B6140" s="8" t="n"/>
      <c r="C6140" s="8" t="n"/>
      <c r="D6140" s="8" t="n"/>
      <c r="E6140" s="8" t="n"/>
      <c r="F6140" s="8" t="n"/>
      <c r="G6140" s="8" t="n"/>
      <c r="H6140" s="8" t="n"/>
      <c r="I6140" s="8" t="n"/>
      <c r="J6140" s="8" t="n"/>
      <c r="K6140" s="8" t="n"/>
      <c r="L6140" s="8" t="n"/>
      <c r="M6140" s="9">
        <f>B6140+30</f>
        <v/>
      </c>
      <c r="N6140">
        <f>IF(L6140="", "", L6140-B6140)</f>
        <v/>
      </c>
      <c r="O6140">
        <f>IF(L6140="", "Pending", IF(N6140&lt;=30, "Met", "Breached"))</f>
        <v/>
      </c>
      <c r="P6140" s="8" t="n"/>
      <c r="Q6140" s="8" t="n"/>
      <c r="R6140" s="8" t="n"/>
      <c r="S6140" s="8" t="n"/>
      <c r="T6140" s="8" t="n"/>
      <c r="U6140" s="8" t="n"/>
      <c r="V6140" s="8" t="n"/>
      <c r="W6140" s="8" t="n"/>
      <c r="X6140" s="8" t="n"/>
      <c r="Y6140" s="8" t="n"/>
    </row>
    <row r="6141">
      <c r="A6141" s="8" t="n"/>
      <c r="B6141" s="8" t="n"/>
      <c r="C6141" s="8" t="n"/>
      <c r="D6141" s="8" t="n"/>
      <c r="E6141" s="8" t="n"/>
      <c r="F6141" s="8" t="n"/>
      <c r="G6141" s="8" t="n"/>
      <c r="H6141" s="8" t="n"/>
      <c r="I6141" s="8" t="n"/>
      <c r="J6141" s="8" t="n"/>
      <c r="K6141" s="8" t="n"/>
      <c r="L6141" s="8" t="n"/>
      <c r="M6141" s="9">
        <f>B6141+30</f>
        <v/>
      </c>
      <c r="N6141">
        <f>IF(L6141="", "", L6141-B6141)</f>
        <v/>
      </c>
      <c r="O6141">
        <f>IF(L6141="", "Pending", IF(N6141&lt;=30, "Met", "Breached"))</f>
        <v/>
      </c>
      <c r="P6141" s="8" t="n"/>
      <c r="Q6141" s="8" t="n"/>
      <c r="R6141" s="8" t="n"/>
      <c r="S6141" s="8" t="n"/>
      <c r="T6141" s="8" t="n"/>
      <c r="U6141" s="8" t="n"/>
      <c r="V6141" s="8" t="n"/>
      <c r="W6141" s="8" t="n"/>
      <c r="X6141" s="8" t="n"/>
      <c r="Y6141" s="8" t="n"/>
    </row>
    <row r="6142">
      <c r="A6142" s="8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8" t="n"/>
      <c r="K6142" s="8" t="n"/>
      <c r="L6142" s="8" t="n"/>
      <c r="M6142" s="9">
        <f>B6142+30</f>
        <v/>
      </c>
      <c r="N6142">
        <f>IF(L6142="", "", L6142-B6142)</f>
        <v/>
      </c>
      <c r="O6142">
        <f>IF(L6142="", "Pending", IF(N6142&lt;=30, "Met", "Breached"))</f>
        <v/>
      </c>
      <c r="P6142" s="8" t="n"/>
      <c r="Q6142" s="8" t="n"/>
      <c r="R6142" s="8" t="n"/>
      <c r="S6142" s="8" t="n"/>
      <c r="T6142" s="8" t="n"/>
      <c r="U6142" s="8" t="n"/>
      <c r="V6142" s="8" t="n"/>
      <c r="W6142" s="8" t="n"/>
      <c r="X6142" s="8" t="n"/>
      <c r="Y6142" s="8" t="n"/>
    </row>
    <row r="6143">
      <c r="A6143" s="8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8" t="n"/>
      <c r="K6143" s="8" t="n"/>
      <c r="L6143" s="8" t="n"/>
      <c r="M6143" s="9">
        <f>B6143+30</f>
        <v/>
      </c>
      <c r="N6143">
        <f>IF(L6143="", "", L6143-B6143)</f>
        <v/>
      </c>
      <c r="O6143">
        <f>IF(L6143="", "Pending", IF(N6143&lt;=30, "Met", "Breached"))</f>
        <v/>
      </c>
      <c r="P6143" s="8" t="n"/>
      <c r="Q6143" s="8" t="n"/>
      <c r="R6143" s="8" t="n"/>
      <c r="S6143" s="8" t="n"/>
      <c r="T6143" s="8" t="n"/>
      <c r="U6143" s="8" t="n"/>
      <c r="V6143" s="8" t="n"/>
      <c r="W6143" s="8" t="n"/>
      <c r="X6143" s="8" t="n"/>
      <c r="Y6143" s="8" t="n"/>
    </row>
    <row r="6144">
      <c r="A6144" s="8" t="n"/>
      <c r="B6144" s="8" t="n"/>
      <c r="C6144" s="8" t="n"/>
      <c r="D6144" s="8" t="n"/>
      <c r="E6144" s="8" t="n"/>
      <c r="F6144" s="8" t="n"/>
      <c r="G6144" s="8" t="n"/>
      <c r="H6144" s="8" t="n"/>
      <c r="I6144" s="8" t="n"/>
      <c r="J6144" s="8" t="n"/>
      <c r="K6144" s="8" t="n"/>
      <c r="L6144" s="8" t="n"/>
      <c r="M6144" s="9">
        <f>B6144+30</f>
        <v/>
      </c>
      <c r="N6144">
        <f>IF(L6144="", "", L6144-B6144)</f>
        <v/>
      </c>
      <c r="O6144">
        <f>IF(L6144="", "Pending", IF(N6144&lt;=30, "Met", "Breached"))</f>
        <v/>
      </c>
      <c r="P6144" s="8" t="n"/>
      <c r="Q6144" s="8" t="n"/>
      <c r="R6144" s="8" t="n"/>
      <c r="S6144" s="8" t="n"/>
      <c r="T6144" s="8" t="n"/>
      <c r="U6144" s="8" t="n"/>
      <c r="V6144" s="8" t="n"/>
      <c r="W6144" s="8" t="n"/>
      <c r="X6144" s="8" t="n"/>
      <c r="Y6144" s="8" t="n"/>
    </row>
    <row r="6145">
      <c r="A6145" s="8" t="n"/>
      <c r="B6145" s="8" t="n"/>
      <c r="C6145" s="8" t="n"/>
      <c r="D6145" s="8" t="n"/>
      <c r="E6145" s="8" t="n"/>
      <c r="F6145" s="8" t="n"/>
      <c r="G6145" s="8" t="n"/>
      <c r="H6145" s="8" t="n"/>
      <c r="I6145" s="8" t="n"/>
      <c r="J6145" s="8" t="n"/>
      <c r="K6145" s="8" t="n"/>
      <c r="L6145" s="8" t="n"/>
      <c r="M6145" s="9">
        <f>B6145+30</f>
        <v/>
      </c>
      <c r="N6145">
        <f>IF(L6145="", "", L6145-B6145)</f>
        <v/>
      </c>
      <c r="O6145">
        <f>IF(L6145="", "Pending", IF(N6145&lt;=30, "Met", "Breached"))</f>
        <v/>
      </c>
      <c r="P6145" s="8" t="n"/>
      <c r="Q6145" s="8" t="n"/>
      <c r="R6145" s="8" t="n"/>
      <c r="S6145" s="8" t="n"/>
      <c r="T6145" s="8" t="n"/>
      <c r="U6145" s="8" t="n"/>
      <c r="V6145" s="8" t="n"/>
      <c r="W6145" s="8" t="n"/>
      <c r="X6145" s="8" t="n"/>
      <c r="Y6145" s="8" t="n"/>
    </row>
    <row r="6146">
      <c r="A6146" s="8" t="n"/>
      <c r="B6146" s="8" t="n"/>
      <c r="C6146" s="8" t="n"/>
      <c r="D6146" s="8" t="n"/>
      <c r="E6146" s="8" t="n"/>
      <c r="F6146" s="8" t="n"/>
      <c r="G6146" s="8" t="n"/>
      <c r="H6146" s="8" t="n"/>
      <c r="I6146" s="8" t="n"/>
      <c r="J6146" s="8" t="n"/>
      <c r="K6146" s="8" t="n"/>
      <c r="L6146" s="8" t="n"/>
      <c r="M6146" s="9">
        <f>B6146+30</f>
        <v/>
      </c>
      <c r="N6146">
        <f>IF(L6146="", "", L6146-B6146)</f>
        <v/>
      </c>
      <c r="O6146">
        <f>IF(L6146="", "Pending", IF(N6146&lt;=30, "Met", "Breached"))</f>
        <v/>
      </c>
      <c r="P6146" s="8" t="n"/>
      <c r="Q6146" s="8" t="n"/>
      <c r="R6146" s="8" t="n"/>
      <c r="S6146" s="8" t="n"/>
      <c r="T6146" s="8" t="n"/>
      <c r="U6146" s="8" t="n"/>
      <c r="V6146" s="8" t="n"/>
      <c r="W6146" s="8" t="n"/>
      <c r="X6146" s="8" t="n"/>
      <c r="Y6146" s="8" t="n"/>
    </row>
    <row r="6147">
      <c r="A6147" s="8" t="n"/>
      <c r="B6147" s="8" t="n"/>
      <c r="C6147" s="8" t="n"/>
      <c r="D6147" s="8" t="n"/>
      <c r="E6147" s="8" t="n"/>
      <c r="F6147" s="8" t="n"/>
      <c r="G6147" s="8" t="n"/>
      <c r="H6147" s="8" t="n"/>
      <c r="I6147" s="8" t="n"/>
      <c r="J6147" s="8" t="n"/>
      <c r="K6147" s="8" t="n"/>
      <c r="L6147" s="8" t="n"/>
      <c r="M6147" s="9">
        <f>B6147+30</f>
        <v/>
      </c>
      <c r="N6147">
        <f>IF(L6147="", "", L6147-B6147)</f>
        <v/>
      </c>
      <c r="O6147">
        <f>IF(L6147="", "Pending", IF(N6147&lt;=30, "Met", "Breached"))</f>
        <v/>
      </c>
      <c r="P6147" s="8" t="n"/>
      <c r="Q6147" s="8" t="n"/>
      <c r="R6147" s="8" t="n"/>
      <c r="S6147" s="8" t="n"/>
      <c r="T6147" s="8" t="n"/>
      <c r="U6147" s="8" t="n"/>
      <c r="V6147" s="8" t="n"/>
      <c r="W6147" s="8" t="n"/>
      <c r="X6147" s="8" t="n"/>
      <c r="Y6147" s="8" t="n"/>
    </row>
    <row r="6148">
      <c r="A6148" s="8" t="n"/>
      <c r="B6148" s="8" t="n"/>
      <c r="C6148" s="8" t="n"/>
      <c r="D6148" s="8" t="n"/>
      <c r="E6148" s="8" t="n"/>
      <c r="F6148" s="8" t="n"/>
      <c r="G6148" s="8" t="n"/>
      <c r="H6148" s="8" t="n"/>
      <c r="I6148" s="8" t="n"/>
      <c r="J6148" s="8" t="n"/>
      <c r="K6148" s="8" t="n"/>
      <c r="L6148" s="8" t="n"/>
      <c r="M6148" s="9">
        <f>B6148+30</f>
        <v/>
      </c>
      <c r="N6148">
        <f>IF(L6148="", "", L6148-B6148)</f>
        <v/>
      </c>
      <c r="O6148">
        <f>IF(L6148="", "Pending", IF(N6148&lt;=30, "Met", "Breached"))</f>
        <v/>
      </c>
      <c r="P6148" s="8" t="n"/>
      <c r="Q6148" s="8" t="n"/>
      <c r="R6148" s="8" t="n"/>
      <c r="S6148" s="8" t="n"/>
      <c r="T6148" s="8" t="n"/>
      <c r="U6148" s="8" t="n"/>
      <c r="V6148" s="8" t="n"/>
      <c r="W6148" s="8" t="n"/>
      <c r="X6148" s="8" t="n"/>
      <c r="Y6148" s="8" t="n"/>
    </row>
    <row r="6149">
      <c r="A6149" s="8" t="n"/>
      <c r="B6149" s="8" t="n"/>
      <c r="C6149" s="8" t="n"/>
      <c r="D6149" s="8" t="n"/>
      <c r="E6149" s="8" t="n"/>
      <c r="F6149" s="8" t="n"/>
      <c r="G6149" s="8" t="n"/>
      <c r="H6149" s="8" t="n"/>
      <c r="I6149" s="8" t="n"/>
      <c r="J6149" s="8" t="n"/>
      <c r="K6149" s="8" t="n"/>
      <c r="L6149" s="8" t="n"/>
      <c r="M6149" s="9">
        <f>B6149+30</f>
        <v/>
      </c>
      <c r="N6149">
        <f>IF(L6149="", "", L6149-B6149)</f>
        <v/>
      </c>
      <c r="O6149">
        <f>IF(L6149="", "Pending", IF(N6149&lt;=30, "Met", "Breached"))</f>
        <v/>
      </c>
      <c r="P6149" s="8" t="n"/>
      <c r="Q6149" s="8" t="n"/>
      <c r="R6149" s="8" t="n"/>
      <c r="S6149" s="8" t="n"/>
      <c r="T6149" s="8" t="n"/>
      <c r="U6149" s="8" t="n"/>
      <c r="V6149" s="8" t="n"/>
      <c r="W6149" s="8" t="n"/>
      <c r="X6149" s="8" t="n"/>
      <c r="Y6149" s="8" t="n"/>
    </row>
    <row r="6150">
      <c r="A6150" s="8" t="n"/>
      <c r="B6150" s="8" t="n"/>
      <c r="C6150" s="8" t="n"/>
      <c r="D6150" s="8" t="n"/>
      <c r="E6150" s="8" t="n"/>
      <c r="F6150" s="8" t="n"/>
      <c r="G6150" s="8" t="n"/>
      <c r="H6150" s="8" t="n"/>
      <c r="I6150" s="8" t="n"/>
      <c r="J6150" s="8" t="n"/>
      <c r="K6150" s="8" t="n"/>
      <c r="L6150" s="8" t="n"/>
      <c r="M6150" s="9">
        <f>B6150+30</f>
        <v/>
      </c>
      <c r="N6150">
        <f>IF(L6150="", "", L6150-B6150)</f>
        <v/>
      </c>
      <c r="O6150">
        <f>IF(L6150="", "Pending", IF(N6150&lt;=30, "Met", "Breached"))</f>
        <v/>
      </c>
      <c r="P6150" s="8" t="n"/>
      <c r="Q6150" s="8" t="n"/>
      <c r="R6150" s="8" t="n"/>
      <c r="S6150" s="8" t="n"/>
      <c r="T6150" s="8" t="n"/>
      <c r="U6150" s="8" t="n"/>
      <c r="V6150" s="8" t="n"/>
      <c r="W6150" s="8" t="n"/>
      <c r="X6150" s="8" t="n"/>
      <c r="Y6150" s="8" t="n"/>
    </row>
    <row r="6151">
      <c r="A6151" s="8" t="n"/>
      <c r="B6151" s="8" t="n"/>
      <c r="C6151" s="8" t="n"/>
      <c r="D6151" s="8" t="n"/>
      <c r="E6151" s="8" t="n"/>
      <c r="F6151" s="8" t="n"/>
      <c r="G6151" s="8" t="n"/>
      <c r="H6151" s="8" t="n"/>
      <c r="I6151" s="8" t="n"/>
      <c r="J6151" s="8" t="n"/>
      <c r="K6151" s="8" t="n"/>
      <c r="L6151" s="8" t="n"/>
      <c r="M6151" s="9">
        <f>B6151+30</f>
        <v/>
      </c>
      <c r="N6151">
        <f>IF(L6151="", "", L6151-B6151)</f>
        <v/>
      </c>
      <c r="O6151">
        <f>IF(L6151="", "Pending", IF(N6151&lt;=30, "Met", "Breached"))</f>
        <v/>
      </c>
      <c r="P6151" s="8" t="n"/>
      <c r="Q6151" s="8" t="n"/>
      <c r="R6151" s="8" t="n"/>
      <c r="S6151" s="8" t="n"/>
      <c r="T6151" s="8" t="n"/>
      <c r="U6151" s="8" t="n"/>
      <c r="V6151" s="8" t="n"/>
      <c r="W6151" s="8" t="n"/>
      <c r="X6151" s="8" t="n"/>
      <c r="Y6151" s="8" t="n"/>
    </row>
    <row r="6152">
      <c r="A6152" s="8" t="n"/>
      <c r="B6152" s="8" t="n"/>
      <c r="C6152" s="8" t="n"/>
      <c r="D6152" s="8" t="n"/>
      <c r="E6152" s="8" t="n"/>
      <c r="F6152" s="8" t="n"/>
      <c r="G6152" s="8" t="n"/>
      <c r="H6152" s="8" t="n"/>
      <c r="I6152" s="8" t="n"/>
      <c r="J6152" s="8" t="n"/>
      <c r="K6152" s="8" t="n"/>
      <c r="L6152" s="8" t="n"/>
      <c r="M6152" s="9">
        <f>B6152+30</f>
        <v/>
      </c>
      <c r="N6152">
        <f>IF(L6152="", "", L6152-B6152)</f>
        <v/>
      </c>
      <c r="O6152">
        <f>IF(L6152="", "Pending", IF(N6152&lt;=30, "Met", "Breached"))</f>
        <v/>
      </c>
      <c r="P6152" s="8" t="n"/>
      <c r="Q6152" s="8" t="n"/>
      <c r="R6152" s="8" t="n"/>
      <c r="S6152" s="8" t="n"/>
      <c r="T6152" s="8" t="n"/>
      <c r="U6152" s="8" t="n"/>
      <c r="V6152" s="8" t="n"/>
      <c r="W6152" s="8" t="n"/>
      <c r="X6152" s="8" t="n"/>
      <c r="Y6152" s="8" t="n"/>
    </row>
    <row r="6153">
      <c r="A6153" s="8" t="n"/>
      <c r="B6153" s="8" t="n"/>
      <c r="C6153" s="8" t="n"/>
      <c r="D6153" s="8" t="n"/>
      <c r="E6153" s="8" t="n"/>
      <c r="F6153" s="8" t="n"/>
      <c r="G6153" s="8" t="n"/>
      <c r="H6153" s="8" t="n"/>
      <c r="I6153" s="8" t="n"/>
      <c r="J6153" s="8" t="n"/>
      <c r="K6153" s="8" t="n"/>
      <c r="L6153" s="8" t="n"/>
      <c r="M6153" s="9">
        <f>B6153+30</f>
        <v/>
      </c>
      <c r="N6153">
        <f>IF(L6153="", "", L6153-B6153)</f>
        <v/>
      </c>
      <c r="O6153">
        <f>IF(L6153="", "Pending", IF(N6153&lt;=30, "Met", "Breached"))</f>
        <v/>
      </c>
      <c r="P6153" s="8" t="n"/>
      <c r="Q6153" s="8" t="n"/>
      <c r="R6153" s="8" t="n"/>
      <c r="S6153" s="8" t="n"/>
      <c r="T6153" s="8" t="n"/>
      <c r="U6153" s="8" t="n"/>
      <c r="V6153" s="8" t="n"/>
      <c r="W6153" s="8" t="n"/>
      <c r="X6153" s="8" t="n"/>
      <c r="Y6153" s="8" t="n"/>
    </row>
    <row r="6154">
      <c r="A6154" s="8" t="n"/>
      <c r="B6154" s="8" t="n"/>
      <c r="C6154" s="8" t="n"/>
      <c r="D6154" s="8" t="n"/>
      <c r="E6154" s="8" t="n"/>
      <c r="F6154" s="8" t="n"/>
      <c r="G6154" s="8" t="n"/>
      <c r="H6154" s="8" t="n"/>
      <c r="I6154" s="8" t="n"/>
      <c r="J6154" s="8" t="n"/>
      <c r="K6154" s="8" t="n"/>
      <c r="L6154" s="8" t="n"/>
      <c r="M6154" s="9">
        <f>B6154+30</f>
        <v/>
      </c>
      <c r="N6154">
        <f>IF(L6154="", "", L6154-B6154)</f>
        <v/>
      </c>
      <c r="O6154">
        <f>IF(L6154="", "Pending", IF(N6154&lt;=30, "Met", "Breached"))</f>
        <v/>
      </c>
      <c r="P6154" s="8" t="n"/>
      <c r="Q6154" s="8" t="n"/>
      <c r="R6154" s="8" t="n"/>
      <c r="S6154" s="8" t="n"/>
      <c r="T6154" s="8" t="n"/>
      <c r="U6154" s="8" t="n"/>
      <c r="V6154" s="8" t="n"/>
      <c r="W6154" s="8" t="n"/>
      <c r="X6154" s="8" t="n"/>
      <c r="Y6154" s="8" t="n"/>
    </row>
    <row r="6155">
      <c r="A6155" s="8" t="n"/>
      <c r="B6155" s="8" t="n"/>
      <c r="C6155" s="8" t="n"/>
      <c r="D6155" s="8" t="n"/>
      <c r="E6155" s="8" t="n"/>
      <c r="F6155" s="8" t="n"/>
      <c r="G6155" s="8" t="n"/>
      <c r="H6155" s="8" t="n"/>
      <c r="I6155" s="8" t="n"/>
      <c r="J6155" s="8" t="n"/>
      <c r="K6155" s="8" t="n"/>
      <c r="L6155" s="8" t="n"/>
      <c r="M6155" s="9">
        <f>B6155+30</f>
        <v/>
      </c>
      <c r="N6155">
        <f>IF(L6155="", "", L6155-B6155)</f>
        <v/>
      </c>
      <c r="O6155">
        <f>IF(L6155="", "Pending", IF(N6155&lt;=30, "Met", "Breached"))</f>
        <v/>
      </c>
      <c r="P6155" s="8" t="n"/>
      <c r="Q6155" s="8" t="n"/>
      <c r="R6155" s="8" t="n"/>
      <c r="S6155" s="8" t="n"/>
      <c r="T6155" s="8" t="n"/>
      <c r="U6155" s="8" t="n"/>
      <c r="V6155" s="8" t="n"/>
      <c r="W6155" s="8" t="n"/>
      <c r="X6155" s="8" t="n"/>
      <c r="Y6155" s="8" t="n"/>
    </row>
    <row r="6156">
      <c r="A6156" s="8" t="n"/>
      <c r="B6156" s="8" t="n"/>
      <c r="C6156" s="8" t="n"/>
      <c r="D6156" s="8" t="n"/>
      <c r="E6156" s="8" t="n"/>
      <c r="F6156" s="8" t="n"/>
      <c r="G6156" s="8" t="n"/>
      <c r="H6156" s="8" t="n"/>
      <c r="I6156" s="8" t="n"/>
      <c r="J6156" s="8" t="n"/>
      <c r="K6156" s="8" t="n"/>
      <c r="L6156" s="8" t="n"/>
      <c r="M6156" s="9">
        <f>B6156+30</f>
        <v/>
      </c>
      <c r="N6156">
        <f>IF(L6156="", "", L6156-B6156)</f>
        <v/>
      </c>
      <c r="O6156">
        <f>IF(L6156="", "Pending", IF(N6156&lt;=30, "Met", "Breached"))</f>
        <v/>
      </c>
      <c r="P6156" s="8" t="n"/>
      <c r="Q6156" s="8" t="n"/>
      <c r="R6156" s="8" t="n"/>
      <c r="S6156" s="8" t="n"/>
      <c r="T6156" s="8" t="n"/>
      <c r="U6156" s="8" t="n"/>
      <c r="V6156" s="8" t="n"/>
      <c r="W6156" s="8" t="n"/>
      <c r="X6156" s="8" t="n"/>
      <c r="Y6156" s="8" t="n"/>
    </row>
    <row r="6157">
      <c r="A6157" s="8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8" t="n"/>
      <c r="K6157" s="8" t="n"/>
      <c r="L6157" s="8" t="n"/>
      <c r="M6157" s="9">
        <f>B6157+30</f>
        <v/>
      </c>
      <c r="N6157">
        <f>IF(L6157="", "", L6157-B6157)</f>
        <v/>
      </c>
      <c r="O6157">
        <f>IF(L6157="", "Pending", IF(N6157&lt;=30, "Met", "Breached"))</f>
        <v/>
      </c>
      <c r="P6157" s="8" t="n"/>
      <c r="Q6157" s="8" t="n"/>
      <c r="R6157" s="8" t="n"/>
      <c r="S6157" s="8" t="n"/>
      <c r="T6157" s="8" t="n"/>
      <c r="U6157" s="8" t="n"/>
      <c r="V6157" s="8" t="n"/>
      <c r="W6157" s="8" t="n"/>
      <c r="X6157" s="8" t="n"/>
      <c r="Y6157" s="8" t="n"/>
    </row>
    <row r="6158">
      <c r="A6158" s="8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8" t="n"/>
      <c r="K6158" s="8" t="n"/>
      <c r="L6158" s="8" t="n"/>
      <c r="M6158" s="9">
        <f>B6158+30</f>
        <v/>
      </c>
      <c r="N6158">
        <f>IF(L6158="", "", L6158-B6158)</f>
        <v/>
      </c>
      <c r="O6158">
        <f>IF(L6158="", "Pending", IF(N6158&lt;=30, "Met", "Breached"))</f>
        <v/>
      </c>
      <c r="P6158" s="8" t="n"/>
      <c r="Q6158" s="8" t="n"/>
      <c r="R6158" s="8" t="n"/>
      <c r="S6158" s="8" t="n"/>
      <c r="T6158" s="8" t="n"/>
      <c r="U6158" s="8" t="n"/>
      <c r="V6158" s="8" t="n"/>
      <c r="W6158" s="8" t="n"/>
      <c r="X6158" s="8" t="n"/>
      <c r="Y6158" s="8" t="n"/>
    </row>
    <row r="6159">
      <c r="A6159" s="8" t="n"/>
      <c r="B6159" s="8" t="n"/>
      <c r="C6159" s="8" t="n"/>
      <c r="D6159" s="8" t="n"/>
      <c r="E6159" s="8" t="n"/>
      <c r="F6159" s="8" t="n"/>
      <c r="G6159" s="8" t="n"/>
      <c r="H6159" s="8" t="n"/>
      <c r="I6159" s="8" t="n"/>
      <c r="J6159" s="8" t="n"/>
      <c r="K6159" s="8" t="n"/>
      <c r="L6159" s="8" t="n"/>
      <c r="M6159" s="9">
        <f>B6159+30</f>
        <v/>
      </c>
      <c r="N6159">
        <f>IF(L6159="", "", L6159-B6159)</f>
        <v/>
      </c>
      <c r="O6159">
        <f>IF(L6159="", "Pending", IF(N6159&lt;=30, "Met", "Breached"))</f>
        <v/>
      </c>
      <c r="P6159" s="8" t="n"/>
      <c r="Q6159" s="8" t="n"/>
      <c r="R6159" s="8" t="n"/>
      <c r="S6159" s="8" t="n"/>
      <c r="T6159" s="8" t="n"/>
      <c r="U6159" s="8" t="n"/>
      <c r="V6159" s="8" t="n"/>
      <c r="W6159" s="8" t="n"/>
      <c r="X6159" s="8" t="n"/>
      <c r="Y6159" s="8" t="n"/>
    </row>
    <row r="6160">
      <c r="A6160" s="8" t="n"/>
      <c r="B6160" s="8" t="n"/>
      <c r="C6160" s="8" t="n"/>
      <c r="D6160" s="8" t="n"/>
      <c r="E6160" s="8" t="n"/>
      <c r="F6160" s="8" t="n"/>
      <c r="G6160" s="8" t="n"/>
      <c r="H6160" s="8" t="n"/>
      <c r="I6160" s="8" t="n"/>
      <c r="J6160" s="8" t="n"/>
      <c r="K6160" s="8" t="n"/>
      <c r="L6160" s="8" t="n"/>
      <c r="M6160" s="9">
        <f>B6160+30</f>
        <v/>
      </c>
      <c r="N6160">
        <f>IF(L6160="", "", L6160-B6160)</f>
        <v/>
      </c>
      <c r="O6160">
        <f>IF(L6160="", "Pending", IF(N6160&lt;=30, "Met", "Breached"))</f>
        <v/>
      </c>
      <c r="P6160" s="8" t="n"/>
      <c r="Q6160" s="8" t="n"/>
      <c r="R6160" s="8" t="n"/>
      <c r="S6160" s="8" t="n"/>
      <c r="T6160" s="8" t="n"/>
      <c r="U6160" s="8" t="n"/>
      <c r="V6160" s="8" t="n"/>
      <c r="W6160" s="8" t="n"/>
      <c r="X6160" s="8" t="n"/>
      <c r="Y6160" s="8" t="n"/>
    </row>
    <row r="6161">
      <c r="A6161" s="8" t="n"/>
      <c r="B6161" s="8" t="n"/>
      <c r="C6161" s="8" t="n"/>
      <c r="D6161" s="8" t="n"/>
      <c r="E6161" s="8" t="n"/>
      <c r="F6161" s="8" t="n"/>
      <c r="G6161" s="8" t="n"/>
      <c r="H6161" s="8" t="n"/>
      <c r="I6161" s="8" t="n"/>
      <c r="J6161" s="8" t="n"/>
      <c r="K6161" s="8" t="n"/>
      <c r="L6161" s="8" t="n"/>
      <c r="M6161" s="9">
        <f>B6161+30</f>
        <v/>
      </c>
      <c r="N6161">
        <f>IF(L6161="", "", L6161-B6161)</f>
        <v/>
      </c>
      <c r="O6161">
        <f>IF(L6161="", "Pending", IF(N6161&lt;=30, "Met", "Breached"))</f>
        <v/>
      </c>
      <c r="P6161" s="8" t="n"/>
      <c r="Q6161" s="8" t="n"/>
      <c r="R6161" s="8" t="n"/>
      <c r="S6161" s="8" t="n"/>
      <c r="T6161" s="8" t="n"/>
      <c r="U6161" s="8" t="n"/>
      <c r="V6161" s="8" t="n"/>
      <c r="W6161" s="8" t="n"/>
      <c r="X6161" s="8" t="n"/>
      <c r="Y6161" s="8" t="n"/>
    </row>
    <row r="6162">
      <c r="A6162" s="8" t="n"/>
      <c r="B6162" s="8" t="n"/>
      <c r="C6162" s="8" t="n"/>
      <c r="D6162" s="8" t="n"/>
      <c r="E6162" s="8" t="n"/>
      <c r="F6162" s="8" t="n"/>
      <c r="G6162" s="8" t="n"/>
      <c r="H6162" s="8" t="n"/>
      <c r="I6162" s="8" t="n"/>
      <c r="J6162" s="8" t="n"/>
      <c r="K6162" s="8" t="n"/>
      <c r="L6162" s="8" t="n"/>
      <c r="M6162" s="9">
        <f>B6162+30</f>
        <v/>
      </c>
      <c r="N6162">
        <f>IF(L6162="", "", L6162-B6162)</f>
        <v/>
      </c>
      <c r="O6162">
        <f>IF(L6162="", "Pending", IF(N6162&lt;=30, "Met", "Breached"))</f>
        <v/>
      </c>
      <c r="P6162" s="8" t="n"/>
      <c r="Q6162" s="8" t="n"/>
      <c r="R6162" s="8" t="n"/>
      <c r="S6162" s="8" t="n"/>
      <c r="T6162" s="8" t="n"/>
      <c r="U6162" s="8" t="n"/>
      <c r="V6162" s="8" t="n"/>
      <c r="W6162" s="8" t="n"/>
      <c r="X6162" s="8" t="n"/>
      <c r="Y6162" s="8" t="n"/>
    </row>
    <row r="6163">
      <c r="A6163" s="8" t="n"/>
      <c r="B6163" s="8" t="n"/>
      <c r="C6163" s="8" t="n"/>
      <c r="D6163" s="8" t="n"/>
      <c r="E6163" s="8" t="n"/>
      <c r="F6163" s="8" t="n"/>
      <c r="G6163" s="8" t="n"/>
      <c r="H6163" s="8" t="n"/>
      <c r="I6163" s="8" t="n"/>
      <c r="J6163" s="8" t="n"/>
      <c r="K6163" s="8" t="n"/>
      <c r="L6163" s="8" t="n"/>
      <c r="M6163" s="9">
        <f>B6163+30</f>
        <v/>
      </c>
      <c r="N6163">
        <f>IF(L6163="", "", L6163-B6163)</f>
        <v/>
      </c>
      <c r="O6163">
        <f>IF(L6163="", "Pending", IF(N6163&lt;=30, "Met", "Breached"))</f>
        <v/>
      </c>
      <c r="P6163" s="8" t="n"/>
      <c r="Q6163" s="8" t="n"/>
      <c r="R6163" s="8" t="n"/>
      <c r="S6163" s="8" t="n"/>
      <c r="T6163" s="8" t="n"/>
      <c r="U6163" s="8" t="n"/>
      <c r="V6163" s="8" t="n"/>
      <c r="W6163" s="8" t="n"/>
      <c r="X6163" s="8" t="n"/>
      <c r="Y6163" s="8" t="n"/>
    </row>
    <row r="6164">
      <c r="A6164" s="8" t="n"/>
      <c r="B6164" s="8" t="n"/>
      <c r="C6164" s="8" t="n"/>
      <c r="D6164" s="8" t="n"/>
      <c r="E6164" s="8" t="n"/>
      <c r="F6164" s="8" t="n"/>
      <c r="G6164" s="8" t="n"/>
      <c r="H6164" s="8" t="n"/>
      <c r="I6164" s="8" t="n"/>
      <c r="J6164" s="8" t="n"/>
      <c r="K6164" s="8" t="n"/>
      <c r="L6164" s="8" t="n"/>
      <c r="M6164" s="9">
        <f>B6164+30</f>
        <v/>
      </c>
      <c r="N6164">
        <f>IF(L6164="", "", L6164-B6164)</f>
        <v/>
      </c>
      <c r="O6164">
        <f>IF(L6164="", "Pending", IF(N6164&lt;=30, "Met", "Breached"))</f>
        <v/>
      </c>
      <c r="P6164" s="8" t="n"/>
      <c r="Q6164" s="8" t="n"/>
      <c r="R6164" s="8" t="n"/>
      <c r="S6164" s="8" t="n"/>
      <c r="T6164" s="8" t="n"/>
      <c r="U6164" s="8" t="n"/>
      <c r="V6164" s="8" t="n"/>
      <c r="W6164" s="8" t="n"/>
      <c r="X6164" s="8" t="n"/>
      <c r="Y6164" s="8" t="n"/>
    </row>
    <row r="6165">
      <c r="A6165" s="8" t="n"/>
      <c r="B6165" s="8" t="n"/>
      <c r="C6165" s="8" t="n"/>
      <c r="D6165" s="8" t="n"/>
      <c r="E6165" s="8" t="n"/>
      <c r="F6165" s="8" t="n"/>
      <c r="G6165" s="8" t="n"/>
      <c r="H6165" s="8" t="n"/>
      <c r="I6165" s="8" t="n"/>
      <c r="J6165" s="8" t="n"/>
      <c r="K6165" s="8" t="n"/>
      <c r="L6165" s="8" t="n"/>
      <c r="M6165" s="9">
        <f>B6165+30</f>
        <v/>
      </c>
      <c r="N6165">
        <f>IF(L6165="", "", L6165-B6165)</f>
        <v/>
      </c>
      <c r="O6165">
        <f>IF(L6165="", "Pending", IF(N6165&lt;=30, "Met", "Breached"))</f>
        <v/>
      </c>
      <c r="P6165" s="8" t="n"/>
      <c r="Q6165" s="8" t="n"/>
      <c r="R6165" s="8" t="n"/>
      <c r="S6165" s="8" t="n"/>
      <c r="T6165" s="8" t="n"/>
      <c r="U6165" s="8" t="n"/>
      <c r="V6165" s="8" t="n"/>
      <c r="W6165" s="8" t="n"/>
      <c r="X6165" s="8" t="n"/>
      <c r="Y6165" s="8" t="n"/>
    </row>
    <row r="6166">
      <c r="A6166" s="8" t="n"/>
      <c r="B6166" s="8" t="n"/>
      <c r="C6166" s="8" t="n"/>
      <c r="D6166" s="8" t="n"/>
      <c r="E6166" s="8" t="n"/>
      <c r="F6166" s="8" t="n"/>
      <c r="G6166" s="8" t="n"/>
      <c r="H6166" s="8" t="n"/>
      <c r="I6166" s="8" t="n"/>
      <c r="J6166" s="8" t="n"/>
      <c r="K6166" s="8" t="n"/>
      <c r="L6166" s="8" t="n"/>
      <c r="M6166" s="9">
        <f>B6166+30</f>
        <v/>
      </c>
      <c r="N6166">
        <f>IF(L6166="", "", L6166-B6166)</f>
        <v/>
      </c>
      <c r="O6166">
        <f>IF(L6166="", "Pending", IF(N6166&lt;=30, "Met", "Breached"))</f>
        <v/>
      </c>
      <c r="P6166" s="8" t="n"/>
      <c r="Q6166" s="8" t="n"/>
      <c r="R6166" s="8" t="n"/>
      <c r="S6166" s="8" t="n"/>
      <c r="T6166" s="8" t="n"/>
      <c r="U6166" s="8" t="n"/>
      <c r="V6166" s="8" t="n"/>
      <c r="W6166" s="8" t="n"/>
      <c r="X6166" s="8" t="n"/>
      <c r="Y6166" s="8" t="n"/>
    </row>
    <row r="6167">
      <c r="A6167" s="8" t="n"/>
      <c r="B6167" s="8" t="n"/>
      <c r="C6167" s="8" t="n"/>
      <c r="D6167" s="8" t="n"/>
      <c r="E6167" s="8" t="n"/>
      <c r="F6167" s="8" t="n"/>
      <c r="G6167" s="8" t="n"/>
      <c r="H6167" s="8" t="n"/>
      <c r="I6167" s="8" t="n"/>
      <c r="J6167" s="8" t="n"/>
      <c r="K6167" s="8" t="n"/>
      <c r="L6167" s="8" t="n"/>
      <c r="M6167" s="9">
        <f>B6167+30</f>
        <v/>
      </c>
      <c r="N6167">
        <f>IF(L6167="", "", L6167-B6167)</f>
        <v/>
      </c>
      <c r="O6167">
        <f>IF(L6167="", "Pending", IF(N6167&lt;=30, "Met", "Breached"))</f>
        <v/>
      </c>
      <c r="P6167" s="8" t="n"/>
      <c r="Q6167" s="8" t="n"/>
      <c r="R6167" s="8" t="n"/>
      <c r="S6167" s="8" t="n"/>
      <c r="T6167" s="8" t="n"/>
      <c r="U6167" s="8" t="n"/>
      <c r="V6167" s="8" t="n"/>
      <c r="W6167" s="8" t="n"/>
      <c r="X6167" s="8" t="n"/>
      <c r="Y6167" s="8" t="n"/>
    </row>
    <row r="6168">
      <c r="A6168" s="8" t="n"/>
      <c r="B6168" s="8" t="n"/>
      <c r="C6168" s="8" t="n"/>
      <c r="D6168" s="8" t="n"/>
      <c r="E6168" s="8" t="n"/>
      <c r="F6168" s="8" t="n"/>
      <c r="G6168" s="8" t="n"/>
      <c r="H6168" s="8" t="n"/>
      <c r="I6168" s="8" t="n"/>
      <c r="J6168" s="8" t="n"/>
      <c r="K6168" s="8" t="n"/>
      <c r="L6168" s="8" t="n"/>
      <c r="M6168" s="9">
        <f>B6168+30</f>
        <v/>
      </c>
      <c r="N6168">
        <f>IF(L6168="", "", L6168-B6168)</f>
        <v/>
      </c>
      <c r="O6168">
        <f>IF(L6168="", "Pending", IF(N6168&lt;=30, "Met", "Breached"))</f>
        <v/>
      </c>
      <c r="P6168" s="8" t="n"/>
      <c r="Q6168" s="8" t="n"/>
      <c r="R6168" s="8" t="n"/>
      <c r="S6168" s="8" t="n"/>
      <c r="T6168" s="8" t="n"/>
      <c r="U6168" s="8" t="n"/>
      <c r="V6168" s="8" t="n"/>
      <c r="W6168" s="8" t="n"/>
      <c r="X6168" s="8" t="n"/>
      <c r="Y6168" s="8" t="n"/>
    </row>
    <row r="6169">
      <c r="A6169" s="8" t="n"/>
      <c r="B6169" s="8" t="n"/>
      <c r="C6169" s="8" t="n"/>
      <c r="D6169" s="8" t="n"/>
      <c r="E6169" s="8" t="n"/>
      <c r="F6169" s="8" t="n"/>
      <c r="G6169" s="8" t="n"/>
      <c r="H6169" s="8" t="n"/>
      <c r="I6169" s="8" t="n"/>
      <c r="J6169" s="8" t="n"/>
      <c r="K6169" s="8" t="n"/>
      <c r="L6169" s="8" t="n"/>
      <c r="M6169" s="9">
        <f>B6169+30</f>
        <v/>
      </c>
      <c r="N6169">
        <f>IF(L6169="", "", L6169-B6169)</f>
        <v/>
      </c>
      <c r="O6169">
        <f>IF(L6169="", "Pending", IF(N6169&lt;=30, "Met", "Breached"))</f>
        <v/>
      </c>
      <c r="P6169" s="8" t="n"/>
      <c r="Q6169" s="8" t="n"/>
      <c r="R6169" s="8" t="n"/>
      <c r="S6169" s="8" t="n"/>
      <c r="T6169" s="8" t="n"/>
      <c r="U6169" s="8" t="n"/>
      <c r="V6169" s="8" t="n"/>
      <c r="W6169" s="8" t="n"/>
      <c r="X6169" s="8" t="n"/>
      <c r="Y6169" s="8" t="n"/>
    </row>
    <row r="6170">
      <c r="A6170" s="8" t="n"/>
      <c r="B6170" s="8" t="n"/>
      <c r="C6170" s="8" t="n"/>
      <c r="D6170" s="8" t="n"/>
      <c r="E6170" s="8" t="n"/>
      <c r="F6170" s="8" t="n"/>
      <c r="G6170" s="8" t="n"/>
      <c r="H6170" s="8" t="n"/>
      <c r="I6170" s="8" t="n"/>
      <c r="J6170" s="8" t="n"/>
      <c r="K6170" s="8" t="n"/>
      <c r="L6170" s="8" t="n"/>
      <c r="M6170" s="9">
        <f>B6170+30</f>
        <v/>
      </c>
      <c r="N6170">
        <f>IF(L6170="", "", L6170-B6170)</f>
        <v/>
      </c>
      <c r="O6170">
        <f>IF(L6170="", "Pending", IF(N6170&lt;=30, "Met", "Breached"))</f>
        <v/>
      </c>
      <c r="P6170" s="8" t="n"/>
      <c r="Q6170" s="8" t="n"/>
      <c r="R6170" s="8" t="n"/>
      <c r="S6170" s="8" t="n"/>
      <c r="T6170" s="8" t="n"/>
      <c r="U6170" s="8" t="n"/>
      <c r="V6170" s="8" t="n"/>
      <c r="W6170" s="8" t="n"/>
      <c r="X6170" s="8" t="n"/>
      <c r="Y6170" s="8" t="n"/>
    </row>
    <row r="6171">
      <c r="A6171" s="8" t="n"/>
      <c r="B6171" s="8" t="n"/>
      <c r="C6171" s="8" t="n"/>
      <c r="D6171" s="8" t="n"/>
      <c r="E6171" s="8" t="n"/>
      <c r="F6171" s="8" t="n"/>
      <c r="G6171" s="8" t="n"/>
      <c r="H6171" s="8" t="n"/>
      <c r="I6171" s="8" t="n"/>
      <c r="J6171" s="8" t="n"/>
      <c r="K6171" s="8" t="n"/>
      <c r="L6171" s="8" t="n"/>
      <c r="M6171" s="9">
        <f>B6171+30</f>
        <v/>
      </c>
      <c r="N6171">
        <f>IF(L6171="", "", L6171-B6171)</f>
        <v/>
      </c>
      <c r="O6171">
        <f>IF(L6171="", "Pending", IF(N6171&lt;=30, "Met", "Breached"))</f>
        <v/>
      </c>
      <c r="P6171" s="8" t="n"/>
      <c r="Q6171" s="8" t="n"/>
      <c r="R6171" s="8" t="n"/>
      <c r="S6171" s="8" t="n"/>
      <c r="T6171" s="8" t="n"/>
      <c r="U6171" s="8" t="n"/>
      <c r="V6171" s="8" t="n"/>
      <c r="W6171" s="8" t="n"/>
      <c r="X6171" s="8" t="n"/>
      <c r="Y6171" s="8" t="n"/>
    </row>
    <row r="6172">
      <c r="A6172" s="8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8" t="n"/>
      <c r="K6172" s="8" t="n"/>
      <c r="L6172" s="8" t="n"/>
      <c r="M6172" s="9">
        <f>B6172+30</f>
        <v/>
      </c>
      <c r="N6172">
        <f>IF(L6172="", "", L6172-B6172)</f>
        <v/>
      </c>
      <c r="O6172">
        <f>IF(L6172="", "Pending", IF(N6172&lt;=30, "Met", "Breached"))</f>
        <v/>
      </c>
      <c r="P6172" s="8" t="n"/>
      <c r="Q6172" s="8" t="n"/>
      <c r="R6172" s="8" t="n"/>
      <c r="S6172" s="8" t="n"/>
      <c r="T6172" s="8" t="n"/>
      <c r="U6172" s="8" t="n"/>
      <c r="V6172" s="8" t="n"/>
      <c r="W6172" s="8" t="n"/>
      <c r="X6172" s="8" t="n"/>
      <c r="Y6172" s="8" t="n"/>
    </row>
    <row r="6173">
      <c r="A6173" s="8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8" t="n"/>
      <c r="K6173" s="8" t="n"/>
      <c r="L6173" s="8" t="n"/>
      <c r="M6173" s="9">
        <f>B6173+30</f>
        <v/>
      </c>
      <c r="N6173">
        <f>IF(L6173="", "", L6173-B6173)</f>
        <v/>
      </c>
      <c r="O6173">
        <f>IF(L6173="", "Pending", IF(N6173&lt;=30, "Met", "Breached"))</f>
        <v/>
      </c>
      <c r="P6173" s="8" t="n"/>
      <c r="Q6173" s="8" t="n"/>
      <c r="R6173" s="8" t="n"/>
      <c r="S6173" s="8" t="n"/>
      <c r="T6173" s="8" t="n"/>
      <c r="U6173" s="8" t="n"/>
      <c r="V6173" s="8" t="n"/>
      <c r="W6173" s="8" t="n"/>
      <c r="X6173" s="8" t="n"/>
      <c r="Y6173" s="8" t="n"/>
    </row>
    <row r="6174">
      <c r="A6174" s="8" t="n"/>
      <c r="B6174" s="8" t="n"/>
      <c r="C6174" s="8" t="n"/>
      <c r="D6174" s="8" t="n"/>
      <c r="E6174" s="8" t="n"/>
      <c r="F6174" s="8" t="n"/>
      <c r="G6174" s="8" t="n"/>
      <c r="H6174" s="8" t="n"/>
      <c r="I6174" s="8" t="n"/>
      <c r="J6174" s="8" t="n"/>
      <c r="K6174" s="8" t="n"/>
      <c r="L6174" s="8" t="n"/>
      <c r="M6174" s="9">
        <f>B6174+30</f>
        <v/>
      </c>
      <c r="N6174">
        <f>IF(L6174="", "", L6174-B6174)</f>
        <v/>
      </c>
      <c r="O6174">
        <f>IF(L6174="", "Pending", IF(N6174&lt;=30, "Met", "Breached"))</f>
        <v/>
      </c>
      <c r="P6174" s="8" t="n"/>
      <c r="Q6174" s="8" t="n"/>
      <c r="R6174" s="8" t="n"/>
      <c r="S6174" s="8" t="n"/>
      <c r="T6174" s="8" t="n"/>
      <c r="U6174" s="8" t="n"/>
      <c r="V6174" s="8" t="n"/>
      <c r="W6174" s="8" t="n"/>
      <c r="X6174" s="8" t="n"/>
      <c r="Y6174" s="8" t="n"/>
    </row>
    <row r="6175">
      <c r="A6175" s="8" t="n"/>
      <c r="B6175" s="8" t="n"/>
      <c r="C6175" s="8" t="n"/>
      <c r="D6175" s="8" t="n"/>
      <c r="E6175" s="8" t="n"/>
      <c r="F6175" s="8" t="n"/>
      <c r="G6175" s="8" t="n"/>
      <c r="H6175" s="8" t="n"/>
      <c r="I6175" s="8" t="n"/>
      <c r="J6175" s="8" t="n"/>
      <c r="K6175" s="8" t="n"/>
      <c r="L6175" s="8" t="n"/>
      <c r="M6175" s="9">
        <f>B6175+30</f>
        <v/>
      </c>
      <c r="N6175">
        <f>IF(L6175="", "", L6175-B6175)</f>
        <v/>
      </c>
      <c r="O6175">
        <f>IF(L6175="", "Pending", IF(N6175&lt;=30, "Met", "Breached"))</f>
        <v/>
      </c>
      <c r="P6175" s="8" t="n"/>
      <c r="Q6175" s="8" t="n"/>
      <c r="R6175" s="8" t="n"/>
      <c r="S6175" s="8" t="n"/>
      <c r="T6175" s="8" t="n"/>
      <c r="U6175" s="8" t="n"/>
      <c r="V6175" s="8" t="n"/>
      <c r="W6175" s="8" t="n"/>
      <c r="X6175" s="8" t="n"/>
      <c r="Y6175" s="8" t="n"/>
    </row>
    <row r="6176">
      <c r="A6176" s="8" t="n"/>
      <c r="B6176" s="8" t="n"/>
      <c r="C6176" s="8" t="n"/>
      <c r="D6176" s="8" t="n"/>
      <c r="E6176" s="8" t="n"/>
      <c r="F6176" s="8" t="n"/>
      <c r="G6176" s="8" t="n"/>
      <c r="H6176" s="8" t="n"/>
      <c r="I6176" s="8" t="n"/>
      <c r="J6176" s="8" t="n"/>
      <c r="K6176" s="8" t="n"/>
      <c r="L6176" s="8" t="n"/>
      <c r="M6176" s="9">
        <f>B6176+30</f>
        <v/>
      </c>
      <c r="N6176">
        <f>IF(L6176="", "", L6176-B6176)</f>
        <v/>
      </c>
      <c r="O6176">
        <f>IF(L6176="", "Pending", IF(N6176&lt;=30, "Met", "Breached"))</f>
        <v/>
      </c>
      <c r="P6176" s="8" t="n"/>
      <c r="Q6176" s="8" t="n"/>
      <c r="R6176" s="8" t="n"/>
      <c r="S6176" s="8" t="n"/>
      <c r="T6176" s="8" t="n"/>
      <c r="U6176" s="8" t="n"/>
      <c r="V6176" s="8" t="n"/>
      <c r="W6176" s="8" t="n"/>
      <c r="X6176" s="8" t="n"/>
      <c r="Y6176" s="8" t="n"/>
    </row>
    <row r="6177">
      <c r="A6177" s="8" t="n"/>
      <c r="B6177" s="8" t="n"/>
      <c r="C6177" s="8" t="n"/>
      <c r="D6177" s="8" t="n"/>
      <c r="E6177" s="8" t="n"/>
      <c r="F6177" s="8" t="n"/>
      <c r="G6177" s="8" t="n"/>
      <c r="H6177" s="8" t="n"/>
      <c r="I6177" s="8" t="n"/>
      <c r="J6177" s="8" t="n"/>
      <c r="K6177" s="8" t="n"/>
      <c r="L6177" s="8" t="n"/>
      <c r="M6177" s="9">
        <f>B6177+30</f>
        <v/>
      </c>
      <c r="N6177">
        <f>IF(L6177="", "", L6177-B6177)</f>
        <v/>
      </c>
      <c r="O6177">
        <f>IF(L6177="", "Pending", IF(N6177&lt;=30, "Met", "Breached"))</f>
        <v/>
      </c>
      <c r="P6177" s="8" t="n"/>
      <c r="Q6177" s="8" t="n"/>
      <c r="R6177" s="8" t="n"/>
      <c r="S6177" s="8" t="n"/>
      <c r="T6177" s="8" t="n"/>
      <c r="U6177" s="8" t="n"/>
      <c r="V6177" s="8" t="n"/>
      <c r="W6177" s="8" t="n"/>
      <c r="X6177" s="8" t="n"/>
      <c r="Y6177" s="8" t="n"/>
    </row>
    <row r="6178">
      <c r="A6178" s="8" t="n"/>
      <c r="B6178" s="8" t="n"/>
      <c r="C6178" s="8" t="n"/>
      <c r="D6178" s="8" t="n"/>
      <c r="E6178" s="8" t="n"/>
      <c r="F6178" s="8" t="n"/>
      <c r="G6178" s="8" t="n"/>
      <c r="H6178" s="8" t="n"/>
      <c r="I6178" s="8" t="n"/>
      <c r="J6178" s="8" t="n"/>
      <c r="K6178" s="8" t="n"/>
      <c r="L6178" s="8" t="n"/>
      <c r="M6178" s="9">
        <f>B6178+30</f>
        <v/>
      </c>
      <c r="N6178">
        <f>IF(L6178="", "", L6178-B6178)</f>
        <v/>
      </c>
      <c r="O6178">
        <f>IF(L6178="", "Pending", IF(N6178&lt;=30, "Met", "Breached"))</f>
        <v/>
      </c>
      <c r="P6178" s="8" t="n"/>
      <c r="Q6178" s="8" t="n"/>
      <c r="R6178" s="8" t="n"/>
      <c r="S6178" s="8" t="n"/>
      <c r="T6178" s="8" t="n"/>
      <c r="U6178" s="8" t="n"/>
      <c r="V6178" s="8" t="n"/>
      <c r="W6178" s="8" t="n"/>
      <c r="X6178" s="8" t="n"/>
      <c r="Y6178" s="8" t="n"/>
    </row>
    <row r="6179">
      <c r="A6179" s="8" t="n"/>
      <c r="B6179" s="8" t="n"/>
      <c r="C6179" s="8" t="n"/>
      <c r="D6179" s="8" t="n"/>
      <c r="E6179" s="8" t="n"/>
      <c r="F6179" s="8" t="n"/>
      <c r="G6179" s="8" t="n"/>
      <c r="H6179" s="8" t="n"/>
      <c r="I6179" s="8" t="n"/>
      <c r="J6179" s="8" t="n"/>
      <c r="K6179" s="8" t="n"/>
      <c r="L6179" s="8" t="n"/>
      <c r="M6179" s="9">
        <f>B6179+30</f>
        <v/>
      </c>
      <c r="N6179">
        <f>IF(L6179="", "", L6179-B6179)</f>
        <v/>
      </c>
      <c r="O6179">
        <f>IF(L6179="", "Pending", IF(N6179&lt;=30, "Met", "Breached"))</f>
        <v/>
      </c>
      <c r="P6179" s="8" t="n"/>
      <c r="Q6179" s="8" t="n"/>
      <c r="R6179" s="8" t="n"/>
      <c r="S6179" s="8" t="n"/>
      <c r="T6179" s="8" t="n"/>
      <c r="U6179" s="8" t="n"/>
      <c r="V6179" s="8" t="n"/>
      <c r="W6179" s="8" t="n"/>
      <c r="X6179" s="8" t="n"/>
      <c r="Y6179" s="8" t="n"/>
    </row>
    <row r="6180">
      <c r="A6180" s="8" t="n"/>
      <c r="B6180" s="8" t="n"/>
      <c r="C6180" s="8" t="n"/>
      <c r="D6180" s="8" t="n"/>
      <c r="E6180" s="8" t="n"/>
      <c r="F6180" s="8" t="n"/>
      <c r="G6180" s="8" t="n"/>
      <c r="H6180" s="8" t="n"/>
      <c r="I6180" s="8" t="n"/>
      <c r="J6180" s="8" t="n"/>
      <c r="K6180" s="8" t="n"/>
      <c r="L6180" s="8" t="n"/>
      <c r="M6180" s="9">
        <f>B6180+30</f>
        <v/>
      </c>
      <c r="N6180">
        <f>IF(L6180="", "", L6180-B6180)</f>
        <v/>
      </c>
      <c r="O6180">
        <f>IF(L6180="", "Pending", IF(N6180&lt;=30, "Met", "Breached"))</f>
        <v/>
      </c>
      <c r="P6180" s="8" t="n"/>
      <c r="Q6180" s="8" t="n"/>
      <c r="R6180" s="8" t="n"/>
      <c r="S6180" s="8" t="n"/>
      <c r="T6180" s="8" t="n"/>
      <c r="U6180" s="8" t="n"/>
      <c r="V6180" s="8" t="n"/>
      <c r="W6180" s="8" t="n"/>
      <c r="X6180" s="8" t="n"/>
      <c r="Y6180" s="8" t="n"/>
    </row>
    <row r="6181">
      <c r="A6181" s="8" t="n"/>
      <c r="B6181" s="8" t="n"/>
      <c r="C6181" s="8" t="n"/>
      <c r="D6181" s="8" t="n"/>
      <c r="E6181" s="8" t="n"/>
      <c r="F6181" s="8" t="n"/>
      <c r="G6181" s="8" t="n"/>
      <c r="H6181" s="8" t="n"/>
      <c r="I6181" s="8" t="n"/>
      <c r="J6181" s="8" t="n"/>
      <c r="K6181" s="8" t="n"/>
      <c r="L6181" s="8" t="n"/>
      <c r="M6181" s="9">
        <f>B6181+30</f>
        <v/>
      </c>
      <c r="N6181">
        <f>IF(L6181="", "", L6181-B6181)</f>
        <v/>
      </c>
      <c r="O6181">
        <f>IF(L6181="", "Pending", IF(N6181&lt;=30, "Met", "Breached"))</f>
        <v/>
      </c>
      <c r="P6181" s="8" t="n"/>
      <c r="Q6181" s="8" t="n"/>
      <c r="R6181" s="8" t="n"/>
      <c r="S6181" s="8" t="n"/>
      <c r="T6181" s="8" t="n"/>
      <c r="U6181" s="8" t="n"/>
      <c r="V6181" s="8" t="n"/>
      <c r="W6181" s="8" t="n"/>
      <c r="X6181" s="8" t="n"/>
      <c r="Y6181" s="8" t="n"/>
    </row>
    <row r="6182">
      <c r="A6182" s="8" t="n"/>
      <c r="B6182" s="8" t="n"/>
      <c r="C6182" s="8" t="n"/>
      <c r="D6182" s="8" t="n"/>
      <c r="E6182" s="8" t="n"/>
      <c r="F6182" s="8" t="n"/>
      <c r="G6182" s="8" t="n"/>
      <c r="H6182" s="8" t="n"/>
      <c r="I6182" s="8" t="n"/>
      <c r="J6182" s="8" t="n"/>
      <c r="K6182" s="8" t="n"/>
      <c r="L6182" s="8" t="n"/>
      <c r="M6182" s="9">
        <f>B6182+30</f>
        <v/>
      </c>
      <c r="N6182">
        <f>IF(L6182="", "", L6182-B6182)</f>
        <v/>
      </c>
      <c r="O6182">
        <f>IF(L6182="", "Pending", IF(N6182&lt;=30, "Met", "Breached"))</f>
        <v/>
      </c>
      <c r="P6182" s="8" t="n"/>
      <c r="Q6182" s="8" t="n"/>
      <c r="R6182" s="8" t="n"/>
      <c r="S6182" s="8" t="n"/>
      <c r="T6182" s="8" t="n"/>
      <c r="U6182" s="8" t="n"/>
      <c r="V6182" s="8" t="n"/>
      <c r="W6182" s="8" t="n"/>
      <c r="X6182" s="8" t="n"/>
      <c r="Y6182" s="8" t="n"/>
    </row>
    <row r="6183">
      <c r="A6183" s="8" t="n"/>
      <c r="B6183" s="8" t="n"/>
      <c r="C6183" s="8" t="n"/>
      <c r="D6183" s="8" t="n"/>
      <c r="E6183" s="8" t="n"/>
      <c r="F6183" s="8" t="n"/>
      <c r="G6183" s="8" t="n"/>
      <c r="H6183" s="8" t="n"/>
      <c r="I6183" s="8" t="n"/>
      <c r="J6183" s="8" t="n"/>
      <c r="K6183" s="8" t="n"/>
      <c r="L6183" s="8" t="n"/>
      <c r="M6183" s="9">
        <f>B6183+30</f>
        <v/>
      </c>
      <c r="N6183">
        <f>IF(L6183="", "", L6183-B6183)</f>
        <v/>
      </c>
      <c r="O6183">
        <f>IF(L6183="", "Pending", IF(N6183&lt;=30, "Met", "Breached"))</f>
        <v/>
      </c>
      <c r="P6183" s="8" t="n"/>
      <c r="Q6183" s="8" t="n"/>
      <c r="R6183" s="8" t="n"/>
      <c r="S6183" s="8" t="n"/>
      <c r="T6183" s="8" t="n"/>
      <c r="U6183" s="8" t="n"/>
      <c r="V6183" s="8" t="n"/>
      <c r="W6183" s="8" t="n"/>
      <c r="X6183" s="8" t="n"/>
      <c r="Y6183" s="8" t="n"/>
    </row>
    <row r="6184">
      <c r="A6184" s="8" t="n"/>
      <c r="B6184" s="8" t="n"/>
      <c r="C6184" s="8" t="n"/>
      <c r="D6184" s="8" t="n"/>
      <c r="E6184" s="8" t="n"/>
      <c r="F6184" s="8" t="n"/>
      <c r="G6184" s="8" t="n"/>
      <c r="H6184" s="8" t="n"/>
      <c r="I6184" s="8" t="n"/>
      <c r="J6184" s="8" t="n"/>
      <c r="K6184" s="8" t="n"/>
      <c r="L6184" s="8" t="n"/>
      <c r="M6184" s="9">
        <f>B6184+30</f>
        <v/>
      </c>
      <c r="N6184">
        <f>IF(L6184="", "", L6184-B6184)</f>
        <v/>
      </c>
      <c r="O6184">
        <f>IF(L6184="", "Pending", IF(N6184&lt;=30, "Met", "Breached"))</f>
        <v/>
      </c>
      <c r="P6184" s="8" t="n"/>
      <c r="Q6184" s="8" t="n"/>
      <c r="R6184" s="8" t="n"/>
      <c r="S6184" s="8" t="n"/>
      <c r="T6184" s="8" t="n"/>
      <c r="U6184" s="8" t="n"/>
      <c r="V6184" s="8" t="n"/>
      <c r="W6184" s="8" t="n"/>
      <c r="X6184" s="8" t="n"/>
      <c r="Y6184" s="8" t="n"/>
    </row>
    <row r="6185">
      <c r="A6185" s="8" t="n"/>
      <c r="B6185" s="8" t="n"/>
      <c r="C6185" s="8" t="n"/>
      <c r="D6185" s="8" t="n"/>
      <c r="E6185" s="8" t="n"/>
      <c r="F6185" s="8" t="n"/>
      <c r="G6185" s="8" t="n"/>
      <c r="H6185" s="8" t="n"/>
      <c r="I6185" s="8" t="n"/>
      <c r="J6185" s="8" t="n"/>
      <c r="K6185" s="8" t="n"/>
      <c r="L6185" s="8" t="n"/>
      <c r="M6185" s="9">
        <f>B6185+30</f>
        <v/>
      </c>
      <c r="N6185">
        <f>IF(L6185="", "", L6185-B6185)</f>
        <v/>
      </c>
      <c r="O6185">
        <f>IF(L6185="", "Pending", IF(N6185&lt;=30, "Met", "Breached"))</f>
        <v/>
      </c>
      <c r="P6185" s="8" t="n"/>
      <c r="Q6185" s="8" t="n"/>
      <c r="R6185" s="8" t="n"/>
      <c r="S6185" s="8" t="n"/>
      <c r="T6185" s="8" t="n"/>
      <c r="U6185" s="8" t="n"/>
      <c r="V6185" s="8" t="n"/>
      <c r="W6185" s="8" t="n"/>
      <c r="X6185" s="8" t="n"/>
      <c r="Y6185" s="8" t="n"/>
    </row>
    <row r="6186">
      <c r="A6186" s="8" t="n"/>
      <c r="B6186" s="8" t="n"/>
      <c r="C6186" s="8" t="n"/>
      <c r="D6186" s="8" t="n"/>
      <c r="E6186" s="8" t="n"/>
      <c r="F6186" s="8" t="n"/>
      <c r="G6186" s="8" t="n"/>
      <c r="H6186" s="8" t="n"/>
      <c r="I6186" s="8" t="n"/>
      <c r="J6186" s="8" t="n"/>
      <c r="K6186" s="8" t="n"/>
      <c r="L6186" s="8" t="n"/>
      <c r="M6186" s="9">
        <f>B6186+30</f>
        <v/>
      </c>
      <c r="N6186">
        <f>IF(L6186="", "", L6186-B6186)</f>
        <v/>
      </c>
      <c r="O6186">
        <f>IF(L6186="", "Pending", IF(N6186&lt;=30, "Met", "Breached"))</f>
        <v/>
      </c>
      <c r="P6186" s="8" t="n"/>
      <c r="Q6186" s="8" t="n"/>
      <c r="R6186" s="8" t="n"/>
      <c r="S6186" s="8" t="n"/>
      <c r="T6186" s="8" t="n"/>
      <c r="U6186" s="8" t="n"/>
      <c r="V6186" s="8" t="n"/>
      <c r="W6186" s="8" t="n"/>
      <c r="X6186" s="8" t="n"/>
      <c r="Y6186" s="8" t="n"/>
    </row>
    <row r="6187">
      <c r="A6187" s="8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8" t="n"/>
      <c r="K6187" s="8" t="n"/>
      <c r="L6187" s="8" t="n"/>
      <c r="M6187" s="9">
        <f>B6187+30</f>
        <v/>
      </c>
      <c r="N6187">
        <f>IF(L6187="", "", L6187-B6187)</f>
        <v/>
      </c>
      <c r="O6187">
        <f>IF(L6187="", "Pending", IF(N6187&lt;=30, "Met", "Breached"))</f>
        <v/>
      </c>
      <c r="P6187" s="8" t="n"/>
      <c r="Q6187" s="8" t="n"/>
      <c r="R6187" s="8" t="n"/>
      <c r="S6187" s="8" t="n"/>
      <c r="T6187" s="8" t="n"/>
      <c r="U6187" s="8" t="n"/>
      <c r="V6187" s="8" t="n"/>
      <c r="W6187" s="8" t="n"/>
      <c r="X6187" s="8" t="n"/>
      <c r="Y6187" s="8" t="n"/>
    </row>
    <row r="6188">
      <c r="A6188" s="8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8" t="n"/>
      <c r="K6188" s="8" t="n"/>
      <c r="L6188" s="8" t="n"/>
      <c r="M6188" s="9">
        <f>B6188+30</f>
        <v/>
      </c>
      <c r="N6188">
        <f>IF(L6188="", "", L6188-B6188)</f>
        <v/>
      </c>
      <c r="O6188">
        <f>IF(L6188="", "Pending", IF(N6188&lt;=30, "Met", "Breached"))</f>
        <v/>
      </c>
      <c r="P6188" s="8" t="n"/>
      <c r="Q6188" s="8" t="n"/>
      <c r="R6188" s="8" t="n"/>
      <c r="S6188" s="8" t="n"/>
      <c r="T6188" s="8" t="n"/>
      <c r="U6188" s="8" t="n"/>
      <c r="V6188" s="8" t="n"/>
      <c r="W6188" s="8" t="n"/>
      <c r="X6188" s="8" t="n"/>
      <c r="Y6188" s="8" t="n"/>
    </row>
    <row r="6189">
      <c r="A6189" s="8" t="n"/>
      <c r="B6189" s="8" t="n"/>
      <c r="C6189" s="8" t="n"/>
      <c r="D6189" s="8" t="n"/>
      <c r="E6189" s="8" t="n"/>
      <c r="F6189" s="8" t="n"/>
      <c r="G6189" s="8" t="n"/>
      <c r="H6189" s="8" t="n"/>
      <c r="I6189" s="8" t="n"/>
      <c r="J6189" s="8" t="n"/>
      <c r="K6189" s="8" t="n"/>
      <c r="L6189" s="8" t="n"/>
      <c r="M6189" s="9">
        <f>B6189+30</f>
        <v/>
      </c>
      <c r="N6189">
        <f>IF(L6189="", "", L6189-B6189)</f>
        <v/>
      </c>
      <c r="O6189">
        <f>IF(L6189="", "Pending", IF(N6189&lt;=30, "Met", "Breached"))</f>
        <v/>
      </c>
      <c r="P6189" s="8" t="n"/>
      <c r="Q6189" s="8" t="n"/>
      <c r="R6189" s="8" t="n"/>
      <c r="S6189" s="8" t="n"/>
      <c r="T6189" s="8" t="n"/>
      <c r="U6189" s="8" t="n"/>
      <c r="V6189" s="8" t="n"/>
      <c r="W6189" s="8" t="n"/>
      <c r="X6189" s="8" t="n"/>
      <c r="Y6189" s="8" t="n"/>
    </row>
    <row r="6190">
      <c r="A6190" s="8" t="n"/>
      <c r="B6190" s="8" t="n"/>
      <c r="C6190" s="8" t="n"/>
      <c r="D6190" s="8" t="n"/>
      <c r="E6190" s="8" t="n"/>
      <c r="F6190" s="8" t="n"/>
      <c r="G6190" s="8" t="n"/>
      <c r="H6190" s="8" t="n"/>
      <c r="I6190" s="8" t="n"/>
      <c r="J6190" s="8" t="n"/>
      <c r="K6190" s="8" t="n"/>
      <c r="L6190" s="8" t="n"/>
      <c r="M6190" s="9">
        <f>B6190+30</f>
        <v/>
      </c>
      <c r="N6190">
        <f>IF(L6190="", "", L6190-B6190)</f>
        <v/>
      </c>
      <c r="O6190">
        <f>IF(L6190="", "Pending", IF(N6190&lt;=30, "Met", "Breached"))</f>
        <v/>
      </c>
      <c r="P6190" s="8" t="n"/>
      <c r="Q6190" s="8" t="n"/>
      <c r="R6190" s="8" t="n"/>
      <c r="S6190" s="8" t="n"/>
      <c r="T6190" s="8" t="n"/>
      <c r="U6190" s="8" t="n"/>
      <c r="V6190" s="8" t="n"/>
      <c r="W6190" s="8" t="n"/>
      <c r="X6190" s="8" t="n"/>
      <c r="Y6190" s="8" t="n"/>
    </row>
    <row r="6191">
      <c r="A6191" s="8" t="n"/>
      <c r="B6191" s="8" t="n"/>
      <c r="C6191" s="8" t="n"/>
      <c r="D6191" s="8" t="n"/>
      <c r="E6191" s="8" t="n"/>
      <c r="F6191" s="8" t="n"/>
      <c r="G6191" s="8" t="n"/>
      <c r="H6191" s="8" t="n"/>
      <c r="I6191" s="8" t="n"/>
      <c r="J6191" s="8" t="n"/>
      <c r="K6191" s="8" t="n"/>
      <c r="L6191" s="8" t="n"/>
      <c r="M6191" s="9">
        <f>B6191+30</f>
        <v/>
      </c>
      <c r="N6191">
        <f>IF(L6191="", "", L6191-B6191)</f>
        <v/>
      </c>
      <c r="O6191">
        <f>IF(L6191="", "Pending", IF(N6191&lt;=30, "Met", "Breached"))</f>
        <v/>
      </c>
      <c r="P6191" s="8" t="n"/>
      <c r="Q6191" s="8" t="n"/>
      <c r="R6191" s="8" t="n"/>
      <c r="S6191" s="8" t="n"/>
      <c r="T6191" s="8" t="n"/>
      <c r="U6191" s="8" t="n"/>
      <c r="V6191" s="8" t="n"/>
      <c r="W6191" s="8" t="n"/>
      <c r="X6191" s="8" t="n"/>
      <c r="Y6191" s="8" t="n"/>
    </row>
    <row r="6192">
      <c r="A6192" s="8" t="n"/>
      <c r="B6192" s="8" t="n"/>
      <c r="C6192" s="8" t="n"/>
      <c r="D6192" s="8" t="n"/>
      <c r="E6192" s="8" t="n"/>
      <c r="F6192" s="8" t="n"/>
      <c r="G6192" s="8" t="n"/>
      <c r="H6192" s="8" t="n"/>
      <c r="I6192" s="8" t="n"/>
      <c r="J6192" s="8" t="n"/>
      <c r="K6192" s="8" t="n"/>
      <c r="L6192" s="8" t="n"/>
      <c r="M6192" s="9">
        <f>B6192+30</f>
        <v/>
      </c>
      <c r="N6192">
        <f>IF(L6192="", "", L6192-B6192)</f>
        <v/>
      </c>
      <c r="O6192">
        <f>IF(L6192="", "Pending", IF(N6192&lt;=30, "Met", "Breached"))</f>
        <v/>
      </c>
      <c r="P6192" s="8" t="n"/>
      <c r="Q6192" s="8" t="n"/>
      <c r="R6192" s="8" t="n"/>
      <c r="S6192" s="8" t="n"/>
      <c r="T6192" s="8" t="n"/>
      <c r="U6192" s="8" t="n"/>
      <c r="V6192" s="8" t="n"/>
      <c r="W6192" s="8" t="n"/>
      <c r="X6192" s="8" t="n"/>
      <c r="Y6192" s="8" t="n"/>
    </row>
    <row r="6193">
      <c r="A6193" s="8" t="n"/>
      <c r="B6193" s="8" t="n"/>
      <c r="C6193" s="8" t="n"/>
      <c r="D6193" s="8" t="n"/>
      <c r="E6193" s="8" t="n"/>
      <c r="F6193" s="8" t="n"/>
      <c r="G6193" s="8" t="n"/>
      <c r="H6193" s="8" t="n"/>
      <c r="I6193" s="8" t="n"/>
      <c r="J6193" s="8" t="n"/>
      <c r="K6193" s="8" t="n"/>
      <c r="L6193" s="8" t="n"/>
      <c r="M6193" s="9">
        <f>B6193+30</f>
        <v/>
      </c>
      <c r="N6193">
        <f>IF(L6193="", "", L6193-B6193)</f>
        <v/>
      </c>
      <c r="O6193">
        <f>IF(L6193="", "Pending", IF(N6193&lt;=30, "Met", "Breached"))</f>
        <v/>
      </c>
      <c r="P6193" s="8" t="n"/>
      <c r="Q6193" s="8" t="n"/>
      <c r="R6193" s="8" t="n"/>
      <c r="S6193" s="8" t="n"/>
      <c r="T6193" s="8" t="n"/>
      <c r="U6193" s="8" t="n"/>
      <c r="V6193" s="8" t="n"/>
      <c r="W6193" s="8" t="n"/>
      <c r="X6193" s="8" t="n"/>
      <c r="Y6193" s="8" t="n"/>
    </row>
    <row r="6194">
      <c r="A6194" s="8" t="n"/>
      <c r="B6194" s="8" t="n"/>
      <c r="C6194" s="8" t="n"/>
      <c r="D6194" s="8" t="n"/>
      <c r="E6194" s="8" t="n"/>
      <c r="F6194" s="8" t="n"/>
      <c r="G6194" s="8" t="n"/>
      <c r="H6194" s="8" t="n"/>
      <c r="I6194" s="8" t="n"/>
      <c r="J6194" s="8" t="n"/>
      <c r="K6194" s="8" t="n"/>
      <c r="L6194" s="8" t="n"/>
      <c r="M6194" s="9">
        <f>B6194+30</f>
        <v/>
      </c>
      <c r="N6194">
        <f>IF(L6194="", "", L6194-B6194)</f>
        <v/>
      </c>
      <c r="O6194">
        <f>IF(L6194="", "Pending", IF(N6194&lt;=30, "Met", "Breached"))</f>
        <v/>
      </c>
      <c r="P6194" s="8" t="n"/>
      <c r="Q6194" s="8" t="n"/>
      <c r="R6194" s="8" t="n"/>
      <c r="S6194" s="8" t="n"/>
      <c r="T6194" s="8" t="n"/>
      <c r="U6194" s="8" t="n"/>
      <c r="V6194" s="8" t="n"/>
      <c r="W6194" s="8" t="n"/>
      <c r="X6194" s="8" t="n"/>
      <c r="Y6194" s="8" t="n"/>
    </row>
    <row r="6195">
      <c r="A6195" s="8" t="n"/>
      <c r="B6195" s="8" t="n"/>
      <c r="C6195" s="8" t="n"/>
      <c r="D6195" s="8" t="n"/>
      <c r="E6195" s="8" t="n"/>
      <c r="F6195" s="8" t="n"/>
      <c r="G6195" s="8" t="n"/>
      <c r="H6195" s="8" t="n"/>
      <c r="I6195" s="8" t="n"/>
      <c r="J6195" s="8" t="n"/>
      <c r="K6195" s="8" t="n"/>
      <c r="L6195" s="8" t="n"/>
      <c r="M6195" s="9">
        <f>B6195+30</f>
        <v/>
      </c>
      <c r="N6195">
        <f>IF(L6195="", "", L6195-B6195)</f>
        <v/>
      </c>
      <c r="O6195">
        <f>IF(L6195="", "Pending", IF(N6195&lt;=30, "Met", "Breached"))</f>
        <v/>
      </c>
      <c r="P6195" s="8" t="n"/>
      <c r="Q6195" s="8" t="n"/>
      <c r="R6195" s="8" t="n"/>
      <c r="S6195" s="8" t="n"/>
      <c r="T6195" s="8" t="n"/>
      <c r="U6195" s="8" t="n"/>
      <c r="V6195" s="8" t="n"/>
      <c r="W6195" s="8" t="n"/>
      <c r="X6195" s="8" t="n"/>
      <c r="Y6195" s="8" t="n"/>
    </row>
    <row r="6196">
      <c r="A6196" s="8" t="n"/>
      <c r="B6196" s="8" t="n"/>
      <c r="C6196" s="8" t="n"/>
      <c r="D6196" s="8" t="n"/>
      <c r="E6196" s="8" t="n"/>
      <c r="F6196" s="8" t="n"/>
      <c r="G6196" s="8" t="n"/>
      <c r="H6196" s="8" t="n"/>
      <c r="I6196" s="8" t="n"/>
      <c r="J6196" s="8" t="n"/>
      <c r="K6196" s="8" t="n"/>
      <c r="L6196" s="8" t="n"/>
      <c r="M6196" s="9">
        <f>B6196+30</f>
        <v/>
      </c>
      <c r="N6196">
        <f>IF(L6196="", "", L6196-B6196)</f>
        <v/>
      </c>
      <c r="O6196">
        <f>IF(L6196="", "Pending", IF(N6196&lt;=30, "Met", "Breached"))</f>
        <v/>
      </c>
      <c r="P6196" s="8" t="n"/>
      <c r="Q6196" s="8" t="n"/>
      <c r="R6196" s="8" t="n"/>
      <c r="S6196" s="8" t="n"/>
      <c r="T6196" s="8" t="n"/>
      <c r="U6196" s="8" t="n"/>
      <c r="V6196" s="8" t="n"/>
      <c r="W6196" s="8" t="n"/>
      <c r="X6196" s="8" t="n"/>
      <c r="Y6196" s="8" t="n"/>
    </row>
    <row r="6197">
      <c r="A6197" s="8" t="n"/>
      <c r="B6197" s="8" t="n"/>
      <c r="C6197" s="8" t="n"/>
      <c r="D6197" s="8" t="n"/>
      <c r="E6197" s="8" t="n"/>
      <c r="F6197" s="8" t="n"/>
      <c r="G6197" s="8" t="n"/>
      <c r="H6197" s="8" t="n"/>
      <c r="I6197" s="8" t="n"/>
      <c r="J6197" s="8" t="n"/>
      <c r="K6197" s="8" t="n"/>
      <c r="L6197" s="8" t="n"/>
      <c r="M6197" s="9">
        <f>B6197+30</f>
        <v/>
      </c>
      <c r="N6197">
        <f>IF(L6197="", "", L6197-B6197)</f>
        <v/>
      </c>
      <c r="O6197">
        <f>IF(L6197="", "Pending", IF(N6197&lt;=30, "Met", "Breached"))</f>
        <v/>
      </c>
      <c r="P6197" s="8" t="n"/>
      <c r="Q6197" s="8" t="n"/>
      <c r="R6197" s="8" t="n"/>
      <c r="S6197" s="8" t="n"/>
      <c r="T6197" s="8" t="n"/>
      <c r="U6197" s="8" t="n"/>
      <c r="V6197" s="8" t="n"/>
      <c r="W6197" s="8" t="n"/>
      <c r="X6197" s="8" t="n"/>
      <c r="Y6197" s="8" t="n"/>
    </row>
    <row r="6198">
      <c r="A6198" s="8" t="n"/>
      <c r="B6198" s="8" t="n"/>
      <c r="C6198" s="8" t="n"/>
      <c r="D6198" s="8" t="n"/>
      <c r="E6198" s="8" t="n"/>
      <c r="F6198" s="8" t="n"/>
      <c r="G6198" s="8" t="n"/>
      <c r="H6198" s="8" t="n"/>
      <c r="I6198" s="8" t="n"/>
      <c r="J6198" s="8" t="n"/>
      <c r="K6198" s="8" t="n"/>
      <c r="L6198" s="8" t="n"/>
      <c r="M6198" s="9">
        <f>B6198+30</f>
        <v/>
      </c>
      <c r="N6198">
        <f>IF(L6198="", "", L6198-B6198)</f>
        <v/>
      </c>
      <c r="O6198">
        <f>IF(L6198="", "Pending", IF(N6198&lt;=30, "Met", "Breached"))</f>
        <v/>
      </c>
      <c r="P6198" s="8" t="n"/>
      <c r="Q6198" s="8" t="n"/>
      <c r="R6198" s="8" t="n"/>
      <c r="S6198" s="8" t="n"/>
      <c r="T6198" s="8" t="n"/>
      <c r="U6198" s="8" t="n"/>
      <c r="V6198" s="8" t="n"/>
      <c r="W6198" s="8" t="n"/>
      <c r="X6198" s="8" t="n"/>
      <c r="Y6198" s="8" t="n"/>
    </row>
    <row r="6199">
      <c r="A6199" s="8" t="n"/>
      <c r="B6199" s="8" t="n"/>
      <c r="C6199" s="8" t="n"/>
      <c r="D6199" s="8" t="n"/>
      <c r="E6199" s="8" t="n"/>
      <c r="F6199" s="8" t="n"/>
      <c r="G6199" s="8" t="n"/>
      <c r="H6199" s="8" t="n"/>
      <c r="I6199" s="8" t="n"/>
      <c r="J6199" s="8" t="n"/>
      <c r="K6199" s="8" t="n"/>
      <c r="L6199" s="8" t="n"/>
      <c r="M6199" s="9">
        <f>B6199+30</f>
        <v/>
      </c>
      <c r="N6199">
        <f>IF(L6199="", "", L6199-B6199)</f>
        <v/>
      </c>
      <c r="O6199">
        <f>IF(L6199="", "Pending", IF(N6199&lt;=30, "Met", "Breached"))</f>
        <v/>
      </c>
      <c r="P6199" s="8" t="n"/>
      <c r="Q6199" s="8" t="n"/>
      <c r="R6199" s="8" t="n"/>
      <c r="S6199" s="8" t="n"/>
      <c r="T6199" s="8" t="n"/>
      <c r="U6199" s="8" t="n"/>
      <c r="V6199" s="8" t="n"/>
      <c r="W6199" s="8" t="n"/>
      <c r="X6199" s="8" t="n"/>
      <c r="Y6199" s="8" t="n"/>
    </row>
    <row r="6200">
      <c r="A6200" s="8" t="n"/>
      <c r="B6200" s="8" t="n"/>
      <c r="C6200" s="8" t="n"/>
      <c r="D6200" s="8" t="n"/>
      <c r="E6200" s="8" t="n"/>
      <c r="F6200" s="8" t="n"/>
      <c r="G6200" s="8" t="n"/>
      <c r="H6200" s="8" t="n"/>
      <c r="I6200" s="8" t="n"/>
      <c r="J6200" s="8" t="n"/>
      <c r="K6200" s="8" t="n"/>
      <c r="L6200" s="8" t="n"/>
      <c r="M6200" s="9">
        <f>B6200+30</f>
        <v/>
      </c>
      <c r="N6200">
        <f>IF(L6200="", "", L6200-B6200)</f>
        <v/>
      </c>
      <c r="O6200">
        <f>IF(L6200="", "Pending", IF(N6200&lt;=30, "Met", "Breached"))</f>
        <v/>
      </c>
      <c r="P6200" s="8" t="n"/>
      <c r="Q6200" s="8" t="n"/>
      <c r="R6200" s="8" t="n"/>
      <c r="S6200" s="8" t="n"/>
      <c r="T6200" s="8" t="n"/>
      <c r="U6200" s="8" t="n"/>
      <c r="V6200" s="8" t="n"/>
      <c r="W6200" s="8" t="n"/>
      <c r="X6200" s="8" t="n"/>
      <c r="Y6200" s="8" t="n"/>
    </row>
    <row r="6201">
      <c r="A6201" s="8" t="n"/>
      <c r="B6201" s="8" t="n"/>
      <c r="C6201" s="8" t="n"/>
      <c r="D6201" s="8" t="n"/>
      <c r="E6201" s="8" t="n"/>
      <c r="F6201" s="8" t="n"/>
      <c r="G6201" s="8" t="n"/>
      <c r="H6201" s="8" t="n"/>
      <c r="I6201" s="8" t="n"/>
      <c r="J6201" s="8" t="n"/>
      <c r="K6201" s="8" t="n"/>
      <c r="L6201" s="8" t="n"/>
      <c r="M6201" s="9">
        <f>B6201+30</f>
        <v/>
      </c>
      <c r="N6201">
        <f>IF(L6201="", "", L6201-B6201)</f>
        <v/>
      </c>
      <c r="O6201">
        <f>IF(L6201="", "Pending", IF(N6201&lt;=30, "Met", "Breached"))</f>
        <v/>
      </c>
      <c r="P6201" s="8" t="n"/>
      <c r="Q6201" s="8" t="n"/>
      <c r="R6201" s="8" t="n"/>
      <c r="S6201" s="8" t="n"/>
      <c r="T6201" s="8" t="n"/>
      <c r="U6201" s="8" t="n"/>
      <c r="V6201" s="8" t="n"/>
      <c r="W6201" s="8" t="n"/>
      <c r="X6201" s="8" t="n"/>
      <c r="Y6201" s="8" t="n"/>
    </row>
    <row r="6202">
      <c r="A6202" s="8" t="n"/>
      <c r="B6202" s="8" t="n"/>
      <c r="C6202" s="8" t="n"/>
      <c r="D6202" s="8" t="n"/>
      <c r="E6202" s="8" t="n"/>
      <c r="F6202" s="8" t="n"/>
      <c r="G6202" s="8" t="n"/>
      <c r="H6202" s="8" t="n"/>
      <c r="I6202" s="8" t="n"/>
      <c r="J6202" s="8" t="n"/>
      <c r="K6202" s="8" t="n"/>
      <c r="L6202" s="8" t="n"/>
      <c r="M6202" s="9">
        <f>B6202+30</f>
        <v/>
      </c>
      <c r="N6202">
        <f>IF(L6202="", "", L6202-B6202)</f>
        <v/>
      </c>
      <c r="O6202">
        <f>IF(L6202="", "Pending", IF(N6202&lt;=30, "Met", "Breached"))</f>
        <v/>
      </c>
      <c r="P6202" s="8" t="n"/>
      <c r="Q6202" s="8" t="n"/>
      <c r="R6202" s="8" t="n"/>
      <c r="S6202" s="8" t="n"/>
      <c r="T6202" s="8" t="n"/>
      <c r="U6202" s="8" t="n"/>
      <c r="V6202" s="8" t="n"/>
      <c r="W6202" s="8" t="n"/>
      <c r="X6202" s="8" t="n"/>
      <c r="Y6202" s="8" t="n"/>
    </row>
    <row r="6203">
      <c r="A6203" s="8" t="n"/>
      <c r="B6203" s="8" t="n"/>
      <c r="C6203" s="8" t="n"/>
      <c r="D6203" s="8" t="n"/>
      <c r="E6203" s="8" t="n"/>
      <c r="F6203" s="8" t="n"/>
      <c r="G6203" s="8" t="n"/>
      <c r="H6203" s="8" t="n"/>
      <c r="I6203" s="8" t="n"/>
      <c r="J6203" s="8" t="n"/>
      <c r="K6203" s="8" t="n"/>
      <c r="L6203" s="8" t="n"/>
      <c r="M6203" s="9">
        <f>B6203+30</f>
        <v/>
      </c>
      <c r="N6203">
        <f>IF(L6203="", "", L6203-B6203)</f>
        <v/>
      </c>
      <c r="O6203">
        <f>IF(L6203="", "Pending", IF(N6203&lt;=30, "Met", "Breached"))</f>
        <v/>
      </c>
      <c r="P6203" s="8" t="n"/>
      <c r="Q6203" s="8" t="n"/>
      <c r="R6203" s="8" t="n"/>
      <c r="S6203" s="8" t="n"/>
      <c r="T6203" s="8" t="n"/>
      <c r="U6203" s="8" t="n"/>
      <c r="V6203" s="8" t="n"/>
      <c r="W6203" s="8" t="n"/>
      <c r="X6203" s="8" t="n"/>
      <c r="Y6203" s="8" t="n"/>
    </row>
    <row r="6204">
      <c r="A6204" s="8" t="n"/>
      <c r="B6204" s="8" t="n"/>
      <c r="C6204" s="8" t="n"/>
      <c r="D6204" s="8" t="n"/>
      <c r="E6204" s="8" t="n"/>
      <c r="F6204" s="8" t="n"/>
      <c r="G6204" s="8" t="n"/>
      <c r="H6204" s="8" t="n"/>
      <c r="I6204" s="8" t="n"/>
      <c r="J6204" s="8" t="n"/>
      <c r="K6204" s="8" t="n"/>
      <c r="L6204" s="8" t="n"/>
      <c r="M6204" s="9">
        <f>B6204+30</f>
        <v/>
      </c>
      <c r="N6204">
        <f>IF(L6204="", "", L6204-B6204)</f>
        <v/>
      </c>
      <c r="O6204">
        <f>IF(L6204="", "Pending", IF(N6204&lt;=30, "Met", "Breached"))</f>
        <v/>
      </c>
      <c r="P6204" s="8" t="n"/>
      <c r="Q6204" s="8" t="n"/>
      <c r="R6204" s="8" t="n"/>
      <c r="S6204" s="8" t="n"/>
      <c r="T6204" s="8" t="n"/>
      <c r="U6204" s="8" t="n"/>
      <c r="V6204" s="8" t="n"/>
      <c r="W6204" s="8" t="n"/>
      <c r="X6204" s="8" t="n"/>
      <c r="Y6204" s="8" t="n"/>
    </row>
    <row r="6205">
      <c r="A6205" s="8" t="n"/>
      <c r="B6205" s="8" t="n"/>
      <c r="C6205" s="8" t="n"/>
      <c r="D6205" s="8" t="n"/>
      <c r="E6205" s="8" t="n"/>
      <c r="F6205" s="8" t="n"/>
      <c r="G6205" s="8" t="n"/>
      <c r="H6205" s="8" t="n"/>
      <c r="I6205" s="8" t="n"/>
      <c r="J6205" s="8" t="n"/>
      <c r="K6205" s="8" t="n"/>
      <c r="L6205" s="8" t="n"/>
      <c r="M6205" s="9">
        <f>B6205+30</f>
        <v/>
      </c>
      <c r="N6205">
        <f>IF(L6205="", "", L6205-B6205)</f>
        <v/>
      </c>
      <c r="O6205">
        <f>IF(L6205="", "Pending", IF(N6205&lt;=30, "Met", "Breached"))</f>
        <v/>
      </c>
      <c r="P6205" s="8" t="n"/>
      <c r="Q6205" s="8" t="n"/>
      <c r="R6205" s="8" t="n"/>
      <c r="S6205" s="8" t="n"/>
      <c r="T6205" s="8" t="n"/>
      <c r="U6205" s="8" t="n"/>
      <c r="V6205" s="8" t="n"/>
      <c r="W6205" s="8" t="n"/>
      <c r="X6205" s="8" t="n"/>
      <c r="Y6205" s="8" t="n"/>
    </row>
    <row r="6206">
      <c r="A6206" s="8" t="n"/>
      <c r="B6206" s="8" t="n"/>
      <c r="C6206" s="8" t="n"/>
      <c r="D6206" s="8" t="n"/>
      <c r="E6206" s="8" t="n"/>
      <c r="F6206" s="8" t="n"/>
      <c r="G6206" s="8" t="n"/>
      <c r="H6206" s="8" t="n"/>
      <c r="I6206" s="8" t="n"/>
      <c r="J6206" s="8" t="n"/>
      <c r="K6206" s="8" t="n"/>
      <c r="L6206" s="8" t="n"/>
      <c r="M6206" s="9">
        <f>B6206+30</f>
        <v/>
      </c>
      <c r="N6206">
        <f>IF(L6206="", "", L6206-B6206)</f>
        <v/>
      </c>
      <c r="O6206">
        <f>IF(L6206="", "Pending", IF(N6206&lt;=30, "Met", "Breached"))</f>
        <v/>
      </c>
      <c r="P6206" s="8" t="n"/>
      <c r="Q6206" s="8" t="n"/>
      <c r="R6206" s="8" t="n"/>
      <c r="S6206" s="8" t="n"/>
      <c r="T6206" s="8" t="n"/>
      <c r="U6206" s="8" t="n"/>
      <c r="V6206" s="8" t="n"/>
      <c r="W6206" s="8" t="n"/>
      <c r="X6206" s="8" t="n"/>
      <c r="Y6206" s="8" t="n"/>
    </row>
    <row r="6207">
      <c r="A6207" s="8" t="n"/>
      <c r="B6207" s="8" t="n"/>
      <c r="C6207" s="8" t="n"/>
      <c r="D6207" s="8" t="n"/>
      <c r="E6207" s="8" t="n"/>
      <c r="F6207" s="8" t="n"/>
      <c r="G6207" s="8" t="n"/>
      <c r="H6207" s="8" t="n"/>
      <c r="I6207" s="8" t="n"/>
      <c r="J6207" s="8" t="n"/>
      <c r="K6207" s="8" t="n"/>
      <c r="L6207" s="8" t="n"/>
      <c r="M6207" s="9">
        <f>B6207+30</f>
        <v/>
      </c>
      <c r="N6207">
        <f>IF(L6207="", "", L6207-B6207)</f>
        <v/>
      </c>
      <c r="O6207">
        <f>IF(L6207="", "Pending", IF(N6207&lt;=30, "Met", "Breached"))</f>
        <v/>
      </c>
      <c r="P6207" s="8" t="n"/>
      <c r="Q6207" s="8" t="n"/>
      <c r="R6207" s="8" t="n"/>
      <c r="S6207" s="8" t="n"/>
      <c r="T6207" s="8" t="n"/>
      <c r="U6207" s="8" t="n"/>
      <c r="V6207" s="8" t="n"/>
      <c r="W6207" s="8" t="n"/>
      <c r="X6207" s="8" t="n"/>
      <c r="Y6207" s="8" t="n"/>
    </row>
    <row r="6208">
      <c r="A6208" s="8" t="n"/>
      <c r="B6208" s="8" t="n"/>
      <c r="C6208" s="8" t="n"/>
      <c r="D6208" s="8" t="n"/>
      <c r="E6208" s="8" t="n"/>
      <c r="F6208" s="8" t="n"/>
      <c r="G6208" s="8" t="n"/>
      <c r="H6208" s="8" t="n"/>
      <c r="I6208" s="8" t="n"/>
      <c r="J6208" s="8" t="n"/>
      <c r="K6208" s="8" t="n"/>
      <c r="L6208" s="8" t="n"/>
      <c r="M6208" s="9">
        <f>B6208+30</f>
        <v/>
      </c>
      <c r="N6208">
        <f>IF(L6208="", "", L6208-B6208)</f>
        <v/>
      </c>
      <c r="O6208">
        <f>IF(L6208="", "Pending", IF(N6208&lt;=30, "Met", "Breached"))</f>
        <v/>
      </c>
      <c r="P6208" s="8" t="n"/>
      <c r="Q6208" s="8" t="n"/>
      <c r="R6208" s="8" t="n"/>
      <c r="S6208" s="8" t="n"/>
      <c r="T6208" s="8" t="n"/>
      <c r="U6208" s="8" t="n"/>
      <c r="V6208" s="8" t="n"/>
      <c r="W6208" s="8" t="n"/>
      <c r="X6208" s="8" t="n"/>
      <c r="Y6208" s="8" t="n"/>
    </row>
    <row r="6209">
      <c r="A6209" s="8" t="n"/>
      <c r="B6209" s="8" t="n"/>
      <c r="C6209" s="8" t="n"/>
      <c r="D6209" s="8" t="n"/>
      <c r="E6209" s="8" t="n"/>
      <c r="F6209" s="8" t="n"/>
      <c r="G6209" s="8" t="n"/>
      <c r="H6209" s="8" t="n"/>
      <c r="I6209" s="8" t="n"/>
      <c r="J6209" s="8" t="n"/>
      <c r="K6209" s="8" t="n"/>
      <c r="L6209" s="8" t="n"/>
      <c r="M6209" s="9">
        <f>B6209+30</f>
        <v/>
      </c>
      <c r="N6209">
        <f>IF(L6209="", "", L6209-B6209)</f>
        <v/>
      </c>
      <c r="O6209">
        <f>IF(L6209="", "Pending", IF(N6209&lt;=30, "Met", "Breached"))</f>
        <v/>
      </c>
      <c r="P6209" s="8" t="n"/>
      <c r="Q6209" s="8" t="n"/>
      <c r="R6209" s="8" t="n"/>
      <c r="S6209" s="8" t="n"/>
      <c r="T6209" s="8" t="n"/>
      <c r="U6209" s="8" t="n"/>
      <c r="V6209" s="8" t="n"/>
      <c r="W6209" s="8" t="n"/>
      <c r="X6209" s="8" t="n"/>
      <c r="Y6209" s="8" t="n"/>
    </row>
    <row r="6210">
      <c r="A6210" s="8" t="n"/>
      <c r="B6210" s="8" t="n"/>
      <c r="C6210" s="8" t="n"/>
      <c r="D6210" s="8" t="n"/>
      <c r="E6210" s="8" t="n"/>
      <c r="F6210" s="8" t="n"/>
      <c r="G6210" s="8" t="n"/>
      <c r="H6210" s="8" t="n"/>
      <c r="I6210" s="8" t="n"/>
      <c r="J6210" s="8" t="n"/>
      <c r="K6210" s="8" t="n"/>
      <c r="L6210" s="8" t="n"/>
      <c r="M6210" s="9">
        <f>B6210+30</f>
        <v/>
      </c>
      <c r="N6210">
        <f>IF(L6210="", "", L6210-B6210)</f>
        <v/>
      </c>
      <c r="O6210">
        <f>IF(L6210="", "Pending", IF(N6210&lt;=30, "Met", "Breached"))</f>
        <v/>
      </c>
      <c r="P6210" s="8" t="n"/>
      <c r="Q6210" s="8" t="n"/>
      <c r="R6210" s="8" t="n"/>
      <c r="S6210" s="8" t="n"/>
      <c r="T6210" s="8" t="n"/>
      <c r="U6210" s="8" t="n"/>
      <c r="V6210" s="8" t="n"/>
      <c r="W6210" s="8" t="n"/>
      <c r="X6210" s="8" t="n"/>
      <c r="Y6210" s="8" t="n"/>
    </row>
    <row r="6211">
      <c r="A6211" s="8" t="n"/>
      <c r="B6211" s="8" t="n"/>
      <c r="C6211" s="8" t="n"/>
      <c r="D6211" s="8" t="n"/>
      <c r="E6211" s="8" t="n"/>
      <c r="F6211" s="8" t="n"/>
      <c r="G6211" s="8" t="n"/>
      <c r="H6211" s="8" t="n"/>
      <c r="I6211" s="8" t="n"/>
      <c r="J6211" s="8" t="n"/>
      <c r="K6211" s="8" t="n"/>
      <c r="L6211" s="8" t="n"/>
      <c r="M6211" s="9">
        <f>B6211+30</f>
        <v/>
      </c>
      <c r="N6211">
        <f>IF(L6211="", "", L6211-B6211)</f>
        <v/>
      </c>
      <c r="O6211">
        <f>IF(L6211="", "Pending", IF(N6211&lt;=30, "Met", "Breached"))</f>
        <v/>
      </c>
      <c r="P6211" s="8" t="n"/>
      <c r="Q6211" s="8" t="n"/>
      <c r="R6211" s="8" t="n"/>
      <c r="S6211" s="8" t="n"/>
      <c r="T6211" s="8" t="n"/>
      <c r="U6211" s="8" t="n"/>
      <c r="V6211" s="8" t="n"/>
      <c r="W6211" s="8" t="n"/>
      <c r="X6211" s="8" t="n"/>
      <c r="Y6211" s="8" t="n"/>
    </row>
    <row r="6212">
      <c r="A6212" s="8" t="n"/>
      <c r="B6212" s="8" t="n"/>
      <c r="C6212" s="8" t="n"/>
      <c r="D6212" s="8" t="n"/>
      <c r="E6212" s="8" t="n"/>
      <c r="F6212" s="8" t="n"/>
      <c r="G6212" s="8" t="n"/>
      <c r="H6212" s="8" t="n"/>
      <c r="I6212" s="8" t="n"/>
      <c r="J6212" s="8" t="n"/>
      <c r="K6212" s="8" t="n"/>
      <c r="L6212" s="8" t="n"/>
      <c r="M6212" s="9">
        <f>B6212+30</f>
        <v/>
      </c>
      <c r="N6212">
        <f>IF(L6212="", "", L6212-B6212)</f>
        <v/>
      </c>
      <c r="O6212">
        <f>IF(L6212="", "Pending", IF(N6212&lt;=30, "Met", "Breached"))</f>
        <v/>
      </c>
      <c r="P6212" s="8" t="n"/>
      <c r="Q6212" s="8" t="n"/>
      <c r="R6212" s="8" t="n"/>
      <c r="S6212" s="8" t="n"/>
      <c r="T6212" s="8" t="n"/>
      <c r="U6212" s="8" t="n"/>
      <c r="V6212" s="8" t="n"/>
      <c r="W6212" s="8" t="n"/>
      <c r="X6212" s="8" t="n"/>
      <c r="Y6212" s="8" t="n"/>
    </row>
    <row r="6213">
      <c r="A6213" s="8" t="n"/>
      <c r="B6213" s="8" t="n"/>
      <c r="C6213" s="8" t="n"/>
      <c r="D6213" s="8" t="n"/>
      <c r="E6213" s="8" t="n"/>
      <c r="F6213" s="8" t="n"/>
      <c r="G6213" s="8" t="n"/>
      <c r="H6213" s="8" t="n"/>
      <c r="I6213" s="8" t="n"/>
      <c r="J6213" s="8" t="n"/>
      <c r="K6213" s="8" t="n"/>
      <c r="L6213" s="8" t="n"/>
      <c r="M6213" s="9">
        <f>B6213+30</f>
        <v/>
      </c>
      <c r="N6213">
        <f>IF(L6213="", "", L6213-B6213)</f>
        <v/>
      </c>
      <c r="O6213">
        <f>IF(L6213="", "Pending", IF(N6213&lt;=30, "Met", "Breached"))</f>
        <v/>
      </c>
      <c r="P6213" s="8" t="n"/>
      <c r="Q6213" s="8" t="n"/>
      <c r="R6213" s="8" t="n"/>
      <c r="S6213" s="8" t="n"/>
      <c r="T6213" s="8" t="n"/>
      <c r="U6213" s="8" t="n"/>
      <c r="V6213" s="8" t="n"/>
      <c r="W6213" s="8" t="n"/>
      <c r="X6213" s="8" t="n"/>
      <c r="Y6213" s="8" t="n"/>
    </row>
    <row r="6214">
      <c r="A6214" s="8" t="n"/>
      <c r="B6214" s="8" t="n"/>
      <c r="C6214" s="8" t="n"/>
      <c r="D6214" s="8" t="n"/>
      <c r="E6214" s="8" t="n"/>
      <c r="F6214" s="8" t="n"/>
      <c r="G6214" s="8" t="n"/>
      <c r="H6214" s="8" t="n"/>
      <c r="I6214" s="8" t="n"/>
      <c r="J6214" s="8" t="n"/>
      <c r="K6214" s="8" t="n"/>
      <c r="L6214" s="8" t="n"/>
      <c r="M6214" s="9">
        <f>B6214+30</f>
        <v/>
      </c>
      <c r="N6214">
        <f>IF(L6214="", "", L6214-B6214)</f>
        <v/>
      </c>
      <c r="O6214">
        <f>IF(L6214="", "Pending", IF(N6214&lt;=30, "Met", "Breached"))</f>
        <v/>
      </c>
      <c r="P6214" s="8" t="n"/>
      <c r="Q6214" s="8" t="n"/>
      <c r="R6214" s="8" t="n"/>
      <c r="S6214" s="8" t="n"/>
      <c r="T6214" s="8" t="n"/>
      <c r="U6214" s="8" t="n"/>
      <c r="V6214" s="8" t="n"/>
      <c r="W6214" s="8" t="n"/>
      <c r="X6214" s="8" t="n"/>
      <c r="Y6214" s="8" t="n"/>
    </row>
    <row r="6215">
      <c r="A6215" s="8" t="n"/>
      <c r="B6215" s="8" t="n"/>
      <c r="C6215" s="8" t="n"/>
      <c r="D6215" s="8" t="n"/>
      <c r="E6215" s="8" t="n"/>
      <c r="F6215" s="8" t="n"/>
      <c r="G6215" s="8" t="n"/>
      <c r="H6215" s="8" t="n"/>
      <c r="I6215" s="8" t="n"/>
      <c r="J6215" s="8" t="n"/>
      <c r="K6215" s="8" t="n"/>
      <c r="L6215" s="8" t="n"/>
      <c r="M6215" s="9">
        <f>B6215+30</f>
        <v/>
      </c>
      <c r="N6215">
        <f>IF(L6215="", "", L6215-B6215)</f>
        <v/>
      </c>
      <c r="O6215">
        <f>IF(L6215="", "Pending", IF(N6215&lt;=30, "Met", "Breached"))</f>
        <v/>
      </c>
      <c r="P6215" s="8" t="n"/>
      <c r="Q6215" s="8" t="n"/>
      <c r="R6215" s="8" t="n"/>
      <c r="S6215" s="8" t="n"/>
      <c r="T6215" s="8" t="n"/>
      <c r="U6215" s="8" t="n"/>
      <c r="V6215" s="8" t="n"/>
      <c r="W6215" s="8" t="n"/>
      <c r="X6215" s="8" t="n"/>
      <c r="Y6215" s="8" t="n"/>
    </row>
    <row r="6216">
      <c r="A6216" s="8" t="n"/>
      <c r="B6216" s="8" t="n"/>
      <c r="C6216" s="8" t="n"/>
      <c r="D6216" s="8" t="n"/>
      <c r="E6216" s="8" t="n"/>
      <c r="F6216" s="8" t="n"/>
      <c r="G6216" s="8" t="n"/>
      <c r="H6216" s="8" t="n"/>
      <c r="I6216" s="8" t="n"/>
      <c r="J6216" s="8" t="n"/>
      <c r="K6216" s="8" t="n"/>
      <c r="L6216" s="8" t="n"/>
      <c r="M6216" s="9">
        <f>B6216+30</f>
        <v/>
      </c>
      <c r="N6216">
        <f>IF(L6216="", "", L6216-B6216)</f>
        <v/>
      </c>
      <c r="O6216">
        <f>IF(L6216="", "Pending", IF(N6216&lt;=30, "Met", "Breached"))</f>
        <v/>
      </c>
      <c r="P6216" s="8" t="n"/>
      <c r="Q6216" s="8" t="n"/>
      <c r="R6216" s="8" t="n"/>
      <c r="S6216" s="8" t="n"/>
      <c r="T6216" s="8" t="n"/>
      <c r="U6216" s="8" t="n"/>
      <c r="V6216" s="8" t="n"/>
      <c r="W6216" s="8" t="n"/>
      <c r="X6216" s="8" t="n"/>
      <c r="Y6216" s="8" t="n"/>
    </row>
    <row r="6217">
      <c r="A6217" s="8" t="n"/>
      <c r="B6217" s="8" t="n"/>
      <c r="C6217" s="8" t="n"/>
      <c r="D6217" s="8" t="n"/>
      <c r="E6217" s="8" t="n"/>
      <c r="F6217" s="8" t="n"/>
      <c r="G6217" s="8" t="n"/>
      <c r="H6217" s="8" t="n"/>
      <c r="I6217" s="8" t="n"/>
      <c r="J6217" s="8" t="n"/>
      <c r="K6217" s="8" t="n"/>
      <c r="L6217" s="8" t="n"/>
      <c r="M6217" s="9">
        <f>B6217+30</f>
        <v/>
      </c>
      <c r="N6217">
        <f>IF(L6217="", "", L6217-B6217)</f>
        <v/>
      </c>
      <c r="O6217">
        <f>IF(L6217="", "Pending", IF(N6217&lt;=30, "Met", "Breached"))</f>
        <v/>
      </c>
      <c r="P6217" s="8" t="n"/>
      <c r="Q6217" s="8" t="n"/>
      <c r="R6217" s="8" t="n"/>
      <c r="S6217" s="8" t="n"/>
      <c r="T6217" s="8" t="n"/>
      <c r="U6217" s="8" t="n"/>
      <c r="V6217" s="8" t="n"/>
      <c r="W6217" s="8" t="n"/>
      <c r="X6217" s="8" t="n"/>
      <c r="Y6217" s="8" t="n"/>
    </row>
    <row r="6218">
      <c r="A6218" s="8" t="n"/>
      <c r="B6218" s="8" t="n"/>
      <c r="C6218" s="8" t="n"/>
      <c r="D6218" s="8" t="n"/>
      <c r="E6218" s="8" t="n"/>
      <c r="F6218" s="8" t="n"/>
      <c r="G6218" s="8" t="n"/>
      <c r="H6218" s="8" t="n"/>
      <c r="I6218" s="8" t="n"/>
      <c r="J6218" s="8" t="n"/>
      <c r="K6218" s="8" t="n"/>
      <c r="L6218" s="8" t="n"/>
      <c r="M6218" s="9">
        <f>B6218+30</f>
        <v/>
      </c>
      <c r="N6218">
        <f>IF(L6218="", "", L6218-B6218)</f>
        <v/>
      </c>
      <c r="O6218">
        <f>IF(L6218="", "Pending", IF(N6218&lt;=30, "Met", "Breached"))</f>
        <v/>
      </c>
      <c r="P6218" s="8" t="n"/>
      <c r="Q6218" s="8" t="n"/>
      <c r="R6218" s="8" t="n"/>
      <c r="S6218" s="8" t="n"/>
      <c r="T6218" s="8" t="n"/>
      <c r="U6218" s="8" t="n"/>
      <c r="V6218" s="8" t="n"/>
      <c r="W6218" s="8" t="n"/>
      <c r="X6218" s="8" t="n"/>
      <c r="Y6218" s="8" t="n"/>
    </row>
    <row r="6219">
      <c r="A6219" s="8" t="n"/>
      <c r="B6219" s="8" t="n"/>
      <c r="C6219" s="8" t="n"/>
      <c r="D6219" s="8" t="n"/>
      <c r="E6219" s="8" t="n"/>
      <c r="F6219" s="8" t="n"/>
      <c r="G6219" s="8" t="n"/>
      <c r="H6219" s="8" t="n"/>
      <c r="I6219" s="8" t="n"/>
      <c r="J6219" s="8" t="n"/>
      <c r="K6219" s="8" t="n"/>
      <c r="L6219" s="8" t="n"/>
      <c r="M6219" s="9">
        <f>B6219+30</f>
        <v/>
      </c>
      <c r="N6219">
        <f>IF(L6219="", "", L6219-B6219)</f>
        <v/>
      </c>
      <c r="O6219">
        <f>IF(L6219="", "Pending", IF(N6219&lt;=30, "Met", "Breached"))</f>
        <v/>
      </c>
      <c r="P6219" s="8" t="n"/>
      <c r="Q6219" s="8" t="n"/>
      <c r="R6219" s="8" t="n"/>
      <c r="S6219" s="8" t="n"/>
      <c r="T6219" s="8" t="n"/>
      <c r="U6219" s="8" t="n"/>
      <c r="V6219" s="8" t="n"/>
      <c r="W6219" s="8" t="n"/>
      <c r="X6219" s="8" t="n"/>
      <c r="Y6219" s="8" t="n"/>
    </row>
    <row r="6220">
      <c r="A6220" s="8" t="n"/>
      <c r="B6220" s="8" t="n"/>
      <c r="C6220" s="8" t="n"/>
      <c r="D6220" s="8" t="n"/>
      <c r="E6220" s="8" t="n"/>
      <c r="F6220" s="8" t="n"/>
      <c r="G6220" s="8" t="n"/>
      <c r="H6220" s="8" t="n"/>
      <c r="I6220" s="8" t="n"/>
      <c r="J6220" s="8" t="n"/>
      <c r="K6220" s="8" t="n"/>
      <c r="L6220" s="8" t="n"/>
      <c r="M6220" s="9">
        <f>B6220+30</f>
        <v/>
      </c>
      <c r="N6220">
        <f>IF(L6220="", "", L6220-B6220)</f>
        <v/>
      </c>
      <c r="O6220">
        <f>IF(L6220="", "Pending", IF(N6220&lt;=30, "Met", "Breached"))</f>
        <v/>
      </c>
      <c r="P6220" s="8" t="n"/>
      <c r="Q6220" s="8" t="n"/>
      <c r="R6220" s="8" t="n"/>
      <c r="S6220" s="8" t="n"/>
      <c r="T6220" s="8" t="n"/>
      <c r="U6220" s="8" t="n"/>
      <c r="V6220" s="8" t="n"/>
      <c r="W6220" s="8" t="n"/>
      <c r="X6220" s="8" t="n"/>
      <c r="Y6220" s="8" t="n"/>
    </row>
    <row r="6221">
      <c r="A6221" s="8" t="n"/>
      <c r="B6221" s="8" t="n"/>
      <c r="C6221" s="8" t="n"/>
      <c r="D6221" s="8" t="n"/>
      <c r="E6221" s="8" t="n"/>
      <c r="F6221" s="8" t="n"/>
      <c r="G6221" s="8" t="n"/>
      <c r="H6221" s="8" t="n"/>
      <c r="I6221" s="8" t="n"/>
      <c r="J6221" s="8" t="n"/>
      <c r="K6221" s="8" t="n"/>
      <c r="L6221" s="8" t="n"/>
      <c r="M6221" s="9">
        <f>B6221+30</f>
        <v/>
      </c>
      <c r="N6221">
        <f>IF(L6221="", "", L6221-B6221)</f>
        <v/>
      </c>
      <c r="O6221">
        <f>IF(L6221="", "Pending", IF(N6221&lt;=30, "Met", "Breached"))</f>
        <v/>
      </c>
      <c r="P6221" s="8" t="n"/>
      <c r="Q6221" s="8" t="n"/>
      <c r="R6221" s="8" t="n"/>
      <c r="S6221" s="8" t="n"/>
      <c r="T6221" s="8" t="n"/>
      <c r="U6221" s="8" t="n"/>
      <c r="V6221" s="8" t="n"/>
      <c r="W6221" s="8" t="n"/>
      <c r="X6221" s="8" t="n"/>
      <c r="Y6221" s="8" t="n"/>
    </row>
    <row r="6222">
      <c r="A6222" s="8" t="n"/>
      <c r="B6222" s="8" t="n"/>
      <c r="C6222" s="8" t="n"/>
      <c r="D6222" s="8" t="n"/>
      <c r="E6222" s="8" t="n"/>
      <c r="F6222" s="8" t="n"/>
      <c r="G6222" s="8" t="n"/>
      <c r="H6222" s="8" t="n"/>
      <c r="I6222" s="8" t="n"/>
      <c r="J6222" s="8" t="n"/>
      <c r="K6222" s="8" t="n"/>
      <c r="L6222" s="8" t="n"/>
      <c r="M6222" s="9">
        <f>B6222+30</f>
        <v/>
      </c>
      <c r="N6222">
        <f>IF(L6222="", "", L6222-B6222)</f>
        <v/>
      </c>
      <c r="O6222">
        <f>IF(L6222="", "Pending", IF(N6222&lt;=30, "Met", "Breached"))</f>
        <v/>
      </c>
      <c r="P6222" s="8" t="n"/>
      <c r="Q6222" s="8" t="n"/>
      <c r="R6222" s="8" t="n"/>
      <c r="S6222" s="8" t="n"/>
      <c r="T6222" s="8" t="n"/>
      <c r="U6222" s="8" t="n"/>
      <c r="V6222" s="8" t="n"/>
      <c r="W6222" s="8" t="n"/>
      <c r="X6222" s="8" t="n"/>
      <c r="Y6222" s="8" t="n"/>
    </row>
    <row r="6223">
      <c r="A6223" s="8" t="n"/>
      <c r="B6223" s="8" t="n"/>
      <c r="C6223" s="8" t="n"/>
      <c r="D6223" s="8" t="n"/>
      <c r="E6223" s="8" t="n"/>
      <c r="F6223" s="8" t="n"/>
      <c r="G6223" s="8" t="n"/>
      <c r="H6223" s="8" t="n"/>
      <c r="I6223" s="8" t="n"/>
      <c r="J6223" s="8" t="n"/>
      <c r="K6223" s="8" t="n"/>
      <c r="L6223" s="8" t="n"/>
      <c r="M6223" s="9">
        <f>B6223+30</f>
        <v/>
      </c>
      <c r="N6223">
        <f>IF(L6223="", "", L6223-B6223)</f>
        <v/>
      </c>
      <c r="O6223">
        <f>IF(L6223="", "Pending", IF(N6223&lt;=30, "Met", "Breached"))</f>
        <v/>
      </c>
      <c r="P6223" s="8" t="n"/>
      <c r="Q6223" s="8" t="n"/>
      <c r="R6223" s="8" t="n"/>
      <c r="S6223" s="8" t="n"/>
      <c r="T6223" s="8" t="n"/>
      <c r="U6223" s="8" t="n"/>
      <c r="V6223" s="8" t="n"/>
      <c r="W6223" s="8" t="n"/>
      <c r="X6223" s="8" t="n"/>
      <c r="Y6223" s="8" t="n"/>
    </row>
    <row r="6224">
      <c r="A6224" s="8" t="n"/>
      <c r="B6224" s="8" t="n"/>
      <c r="C6224" s="8" t="n"/>
      <c r="D6224" s="8" t="n"/>
      <c r="E6224" s="8" t="n"/>
      <c r="F6224" s="8" t="n"/>
      <c r="G6224" s="8" t="n"/>
      <c r="H6224" s="8" t="n"/>
      <c r="I6224" s="8" t="n"/>
      <c r="J6224" s="8" t="n"/>
      <c r="K6224" s="8" t="n"/>
      <c r="L6224" s="8" t="n"/>
      <c r="M6224" s="9">
        <f>B6224+30</f>
        <v/>
      </c>
      <c r="N6224">
        <f>IF(L6224="", "", L6224-B6224)</f>
        <v/>
      </c>
      <c r="O6224">
        <f>IF(L6224="", "Pending", IF(N6224&lt;=30, "Met", "Breached"))</f>
        <v/>
      </c>
      <c r="P6224" s="8" t="n"/>
      <c r="Q6224" s="8" t="n"/>
      <c r="R6224" s="8" t="n"/>
      <c r="S6224" s="8" t="n"/>
      <c r="T6224" s="8" t="n"/>
      <c r="U6224" s="8" t="n"/>
      <c r="V6224" s="8" t="n"/>
      <c r="W6224" s="8" t="n"/>
      <c r="X6224" s="8" t="n"/>
      <c r="Y6224" s="8" t="n"/>
    </row>
    <row r="6225">
      <c r="A6225" s="8" t="n"/>
      <c r="B6225" s="8" t="n"/>
      <c r="C6225" s="8" t="n"/>
      <c r="D6225" s="8" t="n"/>
      <c r="E6225" s="8" t="n"/>
      <c r="F6225" s="8" t="n"/>
      <c r="G6225" s="8" t="n"/>
      <c r="H6225" s="8" t="n"/>
      <c r="I6225" s="8" t="n"/>
      <c r="J6225" s="8" t="n"/>
      <c r="K6225" s="8" t="n"/>
      <c r="L6225" s="8" t="n"/>
      <c r="M6225" s="9">
        <f>B6225+30</f>
        <v/>
      </c>
      <c r="N6225">
        <f>IF(L6225="", "", L6225-B6225)</f>
        <v/>
      </c>
      <c r="O6225">
        <f>IF(L6225="", "Pending", IF(N6225&lt;=30, "Met", "Breached"))</f>
        <v/>
      </c>
      <c r="P6225" s="8" t="n"/>
      <c r="Q6225" s="8" t="n"/>
      <c r="R6225" s="8" t="n"/>
      <c r="S6225" s="8" t="n"/>
      <c r="T6225" s="8" t="n"/>
      <c r="U6225" s="8" t="n"/>
      <c r="V6225" s="8" t="n"/>
      <c r="W6225" s="8" t="n"/>
      <c r="X6225" s="8" t="n"/>
      <c r="Y6225" s="8" t="n"/>
    </row>
    <row r="6226">
      <c r="A6226" s="8" t="n"/>
      <c r="B6226" s="8" t="n"/>
      <c r="C6226" s="8" t="n"/>
      <c r="D6226" s="8" t="n"/>
      <c r="E6226" s="8" t="n"/>
      <c r="F6226" s="8" t="n"/>
      <c r="G6226" s="8" t="n"/>
      <c r="H6226" s="8" t="n"/>
      <c r="I6226" s="8" t="n"/>
      <c r="J6226" s="8" t="n"/>
      <c r="K6226" s="8" t="n"/>
      <c r="L6226" s="8" t="n"/>
      <c r="M6226" s="9">
        <f>B6226+30</f>
        <v/>
      </c>
      <c r="N6226">
        <f>IF(L6226="", "", L6226-B6226)</f>
        <v/>
      </c>
      <c r="O6226">
        <f>IF(L6226="", "Pending", IF(N6226&lt;=30, "Met", "Breached"))</f>
        <v/>
      </c>
      <c r="P6226" s="8" t="n"/>
      <c r="Q6226" s="8" t="n"/>
      <c r="R6226" s="8" t="n"/>
      <c r="S6226" s="8" t="n"/>
      <c r="T6226" s="8" t="n"/>
      <c r="U6226" s="8" t="n"/>
      <c r="V6226" s="8" t="n"/>
      <c r="W6226" s="8" t="n"/>
      <c r="X6226" s="8" t="n"/>
      <c r="Y6226" s="8" t="n"/>
    </row>
    <row r="6227">
      <c r="A6227" s="8" t="n"/>
      <c r="B6227" s="8" t="n"/>
      <c r="C6227" s="8" t="n"/>
      <c r="D6227" s="8" t="n"/>
      <c r="E6227" s="8" t="n"/>
      <c r="F6227" s="8" t="n"/>
      <c r="G6227" s="8" t="n"/>
      <c r="H6227" s="8" t="n"/>
      <c r="I6227" s="8" t="n"/>
      <c r="J6227" s="8" t="n"/>
      <c r="K6227" s="8" t="n"/>
      <c r="L6227" s="8" t="n"/>
      <c r="M6227" s="9">
        <f>B6227+30</f>
        <v/>
      </c>
      <c r="N6227">
        <f>IF(L6227="", "", L6227-B6227)</f>
        <v/>
      </c>
      <c r="O6227">
        <f>IF(L6227="", "Pending", IF(N6227&lt;=30, "Met", "Breached"))</f>
        <v/>
      </c>
      <c r="P6227" s="8" t="n"/>
      <c r="Q6227" s="8" t="n"/>
      <c r="R6227" s="8" t="n"/>
      <c r="S6227" s="8" t="n"/>
      <c r="T6227" s="8" t="n"/>
      <c r="U6227" s="8" t="n"/>
      <c r="V6227" s="8" t="n"/>
      <c r="W6227" s="8" t="n"/>
      <c r="X6227" s="8" t="n"/>
      <c r="Y6227" s="8" t="n"/>
    </row>
    <row r="6228">
      <c r="A6228" s="8" t="n"/>
      <c r="B6228" s="8" t="n"/>
      <c r="C6228" s="8" t="n"/>
      <c r="D6228" s="8" t="n"/>
      <c r="E6228" s="8" t="n"/>
      <c r="F6228" s="8" t="n"/>
      <c r="G6228" s="8" t="n"/>
      <c r="H6228" s="8" t="n"/>
      <c r="I6228" s="8" t="n"/>
      <c r="J6228" s="8" t="n"/>
      <c r="K6228" s="8" t="n"/>
      <c r="L6228" s="8" t="n"/>
      <c r="M6228" s="9">
        <f>B6228+30</f>
        <v/>
      </c>
      <c r="N6228">
        <f>IF(L6228="", "", L6228-B6228)</f>
        <v/>
      </c>
      <c r="O6228">
        <f>IF(L6228="", "Pending", IF(N6228&lt;=30, "Met", "Breached"))</f>
        <v/>
      </c>
      <c r="P6228" s="8" t="n"/>
      <c r="Q6228" s="8" t="n"/>
      <c r="R6228" s="8" t="n"/>
      <c r="S6228" s="8" t="n"/>
      <c r="T6228" s="8" t="n"/>
      <c r="U6228" s="8" t="n"/>
      <c r="V6228" s="8" t="n"/>
      <c r="W6228" s="8" t="n"/>
      <c r="X6228" s="8" t="n"/>
      <c r="Y6228" s="8" t="n"/>
    </row>
    <row r="6229">
      <c r="A6229" s="8" t="n"/>
      <c r="B6229" s="8" t="n"/>
      <c r="C6229" s="8" t="n"/>
      <c r="D6229" s="8" t="n"/>
      <c r="E6229" s="8" t="n"/>
      <c r="F6229" s="8" t="n"/>
      <c r="G6229" s="8" t="n"/>
      <c r="H6229" s="8" t="n"/>
      <c r="I6229" s="8" t="n"/>
      <c r="J6229" s="8" t="n"/>
      <c r="K6229" s="8" t="n"/>
      <c r="L6229" s="8" t="n"/>
      <c r="M6229" s="9">
        <f>B6229+30</f>
        <v/>
      </c>
      <c r="N6229">
        <f>IF(L6229="", "", L6229-B6229)</f>
        <v/>
      </c>
      <c r="O6229">
        <f>IF(L6229="", "Pending", IF(N6229&lt;=30, "Met", "Breached"))</f>
        <v/>
      </c>
      <c r="P6229" s="8" t="n"/>
      <c r="Q6229" s="8" t="n"/>
      <c r="R6229" s="8" t="n"/>
      <c r="S6229" s="8" t="n"/>
      <c r="T6229" s="8" t="n"/>
      <c r="U6229" s="8" t="n"/>
      <c r="V6229" s="8" t="n"/>
      <c r="W6229" s="8" t="n"/>
      <c r="X6229" s="8" t="n"/>
      <c r="Y6229" s="8" t="n"/>
    </row>
    <row r="6230">
      <c r="A6230" s="8" t="n"/>
      <c r="B6230" s="8" t="n"/>
      <c r="C6230" s="8" t="n"/>
      <c r="D6230" s="8" t="n"/>
      <c r="E6230" s="8" t="n"/>
      <c r="F6230" s="8" t="n"/>
      <c r="G6230" s="8" t="n"/>
      <c r="H6230" s="8" t="n"/>
      <c r="I6230" s="8" t="n"/>
      <c r="J6230" s="8" t="n"/>
      <c r="K6230" s="8" t="n"/>
      <c r="L6230" s="8" t="n"/>
      <c r="M6230" s="9">
        <f>B6230+30</f>
        <v/>
      </c>
      <c r="N6230">
        <f>IF(L6230="", "", L6230-B6230)</f>
        <v/>
      </c>
      <c r="O6230">
        <f>IF(L6230="", "Pending", IF(N6230&lt;=30, "Met", "Breached"))</f>
        <v/>
      </c>
      <c r="P6230" s="8" t="n"/>
      <c r="Q6230" s="8" t="n"/>
      <c r="R6230" s="8" t="n"/>
      <c r="S6230" s="8" t="n"/>
      <c r="T6230" s="8" t="n"/>
      <c r="U6230" s="8" t="n"/>
      <c r="V6230" s="8" t="n"/>
      <c r="W6230" s="8" t="n"/>
      <c r="X6230" s="8" t="n"/>
      <c r="Y6230" s="8" t="n"/>
    </row>
    <row r="6231">
      <c r="A6231" s="8" t="n"/>
      <c r="B6231" s="8" t="n"/>
      <c r="C6231" s="8" t="n"/>
      <c r="D6231" s="8" t="n"/>
      <c r="E6231" s="8" t="n"/>
      <c r="F6231" s="8" t="n"/>
      <c r="G6231" s="8" t="n"/>
      <c r="H6231" s="8" t="n"/>
      <c r="I6231" s="8" t="n"/>
      <c r="J6231" s="8" t="n"/>
      <c r="K6231" s="8" t="n"/>
      <c r="L6231" s="8" t="n"/>
      <c r="M6231" s="9">
        <f>B6231+30</f>
        <v/>
      </c>
      <c r="N6231">
        <f>IF(L6231="", "", L6231-B6231)</f>
        <v/>
      </c>
      <c r="O6231">
        <f>IF(L6231="", "Pending", IF(N6231&lt;=30, "Met", "Breached"))</f>
        <v/>
      </c>
      <c r="P6231" s="8" t="n"/>
      <c r="Q6231" s="8" t="n"/>
      <c r="R6231" s="8" t="n"/>
      <c r="S6231" s="8" t="n"/>
      <c r="T6231" s="8" t="n"/>
      <c r="U6231" s="8" t="n"/>
      <c r="V6231" s="8" t="n"/>
      <c r="W6231" s="8" t="n"/>
      <c r="X6231" s="8" t="n"/>
      <c r="Y6231" s="8" t="n"/>
    </row>
    <row r="6232">
      <c r="A6232" s="8" t="n"/>
      <c r="B6232" s="8" t="n"/>
      <c r="C6232" s="8" t="n"/>
      <c r="D6232" s="8" t="n"/>
      <c r="E6232" s="8" t="n"/>
      <c r="F6232" s="8" t="n"/>
      <c r="G6232" s="8" t="n"/>
      <c r="H6232" s="8" t="n"/>
      <c r="I6232" s="8" t="n"/>
      <c r="J6232" s="8" t="n"/>
      <c r="K6232" s="8" t="n"/>
      <c r="L6232" s="8" t="n"/>
      <c r="M6232" s="9">
        <f>B6232+30</f>
        <v/>
      </c>
      <c r="N6232">
        <f>IF(L6232="", "", L6232-B6232)</f>
        <v/>
      </c>
      <c r="O6232">
        <f>IF(L6232="", "Pending", IF(N6232&lt;=30, "Met", "Breached"))</f>
        <v/>
      </c>
      <c r="P6232" s="8" t="n"/>
      <c r="Q6232" s="8" t="n"/>
      <c r="R6232" s="8" t="n"/>
      <c r="S6232" s="8" t="n"/>
      <c r="T6232" s="8" t="n"/>
      <c r="U6232" s="8" t="n"/>
      <c r="V6232" s="8" t="n"/>
      <c r="W6232" s="8" t="n"/>
      <c r="X6232" s="8" t="n"/>
      <c r="Y6232" s="8" t="n"/>
    </row>
    <row r="6233">
      <c r="A6233" s="8" t="n"/>
      <c r="B6233" s="8" t="n"/>
      <c r="C6233" s="8" t="n"/>
      <c r="D6233" s="8" t="n"/>
      <c r="E6233" s="8" t="n"/>
      <c r="F6233" s="8" t="n"/>
      <c r="G6233" s="8" t="n"/>
      <c r="H6233" s="8" t="n"/>
      <c r="I6233" s="8" t="n"/>
      <c r="J6233" s="8" t="n"/>
      <c r="K6233" s="8" t="n"/>
      <c r="L6233" s="8" t="n"/>
      <c r="M6233" s="9">
        <f>B6233+30</f>
        <v/>
      </c>
      <c r="N6233">
        <f>IF(L6233="", "", L6233-B6233)</f>
        <v/>
      </c>
      <c r="O6233">
        <f>IF(L6233="", "Pending", IF(N6233&lt;=30, "Met", "Breached"))</f>
        <v/>
      </c>
      <c r="P6233" s="8" t="n"/>
      <c r="Q6233" s="8" t="n"/>
      <c r="R6233" s="8" t="n"/>
      <c r="S6233" s="8" t="n"/>
      <c r="T6233" s="8" t="n"/>
      <c r="U6233" s="8" t="n"/>
      <c r="V6233" s="8" t="n"/>
      <c r="W6233" s="8" t="n"/>
      <c r="X6233" s="8" t="n"/>
      <c r="Y6233" s="8" t="n"/>
    </row>
    <row r="6234">
      <c r="A6234" s="8" t="n"/>
      <c r="B6234" s="8" t="n"/>
      <c r="C6234" s="8" t="n"/>
      <c r="D6234" s="8" t="n"/>
      <c r="E6234" s="8" t="n"/>
      <c r="F6234" s="8" t="n"/>
      <c r="G6234" s="8" t="n"/>
      <c r="H6234" s="8" t="n"/>
      <c r="I6234" s="8" t="n"/>
      <c r="J6234" s="8" t="n"/>
      <c r="K6234" s="8" t="n"/>
      <c r="L6234" s="8" t="n"/>
      <c r="M6234" s="9">
        <f>B6234+30</f>
        <v/>
      </c>
      <c r="N6234">
        <f>IF(L6234="", "", L6234-B6234)</f>
        <v/>
      </c>
      <c r="O6234">
        <f>IF(L6234="", "Pending", IF(N6234&lt;=30, "Met", "Breached"))</f>
        <v/>
      </c>
      <c r="P6234" s="8" t="n"/>
      <c r="Q6234" s="8" t="n"/>
      <c r="R6234" s="8" t="n"/>
      <c r="S6234" s="8" t="n"/>
      <c r="T6234" s="8" t="n"/>
      <c r="U6234" s="8" t="n"/>
      <c r="V6234" s="8" t="n"/>
      <c r="W6234" s="8" t="n"/>
      <c r="X6234" s="8" t="n"/>
      <c r="Y6234" s="8" t="n"/>
    </row>
    <row r="6235">
      <c r="A6235" s="8" t="n"/>
      <c r="B6235" s="8" t="n"/>
      <c r="C6235" s="8" t="n"/>
      <c r="D6235" s="8" t="n"/>
      <c r="E6235" s="8" t="n"/>
      <c r="F6235" s="8" t="n"/>
      <c r="G6235" s="8" t="n"/>
      <c r="H6235" s="8" t="n"/>
      <c r="I6235" s="8" t="n"/>
      <c r="J6235" s="8" t="n"/>
      <c r="K6235" s="8" t="n"/>
      <c r="L6235" s="8" t="n"/>
      <c r="M6235" s="9">
        <f>B6235+30</f>
        <v/>
      </c>
      <c r="N6235">
        <f>IF(L6235="", "", L6235-B6235)</f>
        <v/>
      </c>
      <c r="O6235">
        <f>IF(L6235="", "Pending", IF(N6235&lt;=30, "Met", "Breached"))</f>
        <v/>
      </c>
      <c r="P6235" s="8" t="n"/>
      <c r="Q6235" s="8" t="n"/>
      <c r="R6235" s="8" t="n"/>
      <c r="S6235" s="8" t="n"/>
      <c r="T6235" s="8" t="n"/>
      <c r="U6235" s="8" t="n"/>
      <c r="V6235" s="8" t="n"/>
      <c r="W6235" s="8" t="n"/>
      <c r="X6235" s="8" t="n"/>
      <c r="Y6235" s="8" t="n"/>
    </row>
    <row r="6236">
      <c r="A6236" s="8" t="n"/>
      <c r="B6236" s="8" t="n"/>
      <c r="C6236" s="8" t="n"/>
      <c r="D6236" s="8" t="n"/>
      <c r="E6236" s="8" t="n"/>
      <c r="F6236" s="8" t="n"/>
      <c r="G6236" s="8" t="n"/>
      <c r="H6236" s="8" t="n"/>
      <c r="I6236" s="8" t="n"/>
      <c r="J6236" s="8" t="n"/>
      <c r="K6236" s="8" t="n"/>
      <c r="L6236" s="8" t="n"/>
      <c r="M6236" s="9">
        <f>B6236+30</f>
        <v/>
      </c>
      <c r="N6236">
        <f>IF(L6236="", "", L6236-B6236)</f>
        <v/>
      </c>
      <c r="O6236">
        <f>IF(L6236="", "Pending", IF(N6236&lt;=30, "Met", "Breached"))</f>
        <v/>
      </c>
      <c r="P6236" s="8" t="n"/>
      <c r="Q6236" s="8" t="n"/>
      <c r="R6236" s="8" t="n"/>
      <c r="S6236" s="8" t="n"/>
      <c r="T6236" s="8" t="n"/>
      <c r="U6236" s="8" t="n"/>
      <c r="V6236" s="8" t="n"/>
      <c r="W6236" s="8" t="n"/>
      <c r="X6236" s="8" t="n"/>
      <c r="Y6236" s="8" t="n"/>
    </row>
    <row r="6237">
      <c r="A6237" s="8" t="n"/>
      <c r="B6237" s="8" t="n"/>
      <c r="C6237" s="8" t="n"/>
      <c r="D6237" s="8" t="n"/>
      <c r="E6237" s="8" t="n"/>
      <c r="F6237" s="8" t="n"/>
      <c r="G6237" s="8" t="n"/>
      <c r="H6237" s="8" t="n"/>
      <c r="I6237" s="8" t="n"/>
      <c r="J6237" s="8" t="n"/>
      <c r="K6237" s="8" t="n"/>
      <c r="L6237" s="8" t="n"/>
      <c r="M6237" s="9">
        <f>B6237+30</f>
        <v/>
      </c>
      <c r="N6237">
        <f>IF(L6237="", "", L6237-B6237)</f>
        <v/>
      </c>
      <c r="O6237">
        <f>IF(L6237="", "Pending", IF(N6237&lt;=30, "Met", "Breached"))</f>
        <v/>
      </c>
      <c r="P6237" s="8" t="n"/>
      <c r="Q6237" s="8" t="n"/>
      <c r="R6237" s="8" t="n"/>
      <c r="S6237" s="8" t="n"/>
      <c r="T6237" s="8" t="n"/>
      <c r="U6237" s="8" t="n"/>
      <c r="V6237" s="8" t="n"/>
      <c r="W6237" s="8" t="n"/>
      <c r="X6237" s="8" t="n"/>
      <c r="Y6237" s="8" t="n"/>
    </row>
    <row r="6238">
      <c r="A6238" s="8" t="n"/>
      <c r="B6238" s="8" t="n"/>
      <c r="C6238" s="8" t="n"/>
      <c r="D6238" s="8" t="n"/>
      <c r="E6238" s="8" t="n"/>
      <c r="F6238" s="8" t="n"/>
      <c r="G6238" s="8" t="n"/>
      <c r="H6238" s="8" t="n"/>
      <c r="I6238" s="8" t="n"/>
      <c r="J6238" s="8" t="n"/>
      <c r="K6238" s="8" t="n"/>
      <c r="L6238" s="8" t="n"/>
      <c r="M6238" s="9">
        <f>B6238+30</f>
        <v/>
      </c>
      <c r="N6238">
        <f>IF(L6238="", "", L6238-B6238)</f>
        <v/>
      </c>
      <c r="O6238">
        <f>IF(L6238="", "Pending", IF(N6238&lt;=30, "Met", "Breached"))</f>
        <v/>
      </c>
      <c r="P6238" s="8" t="n"/>
      <c r="Q6238" s="8" t="n"/>
      <c r="R6238" s="8" t="n"/>
      <c r="S6238" s="8" t="n"/>
      <c r="T6238" s="8" t="n"/>
      <c r="U6238" s="8" t="n"/>
      <c r="V6238" s="8" t="n"/>
      <c r="W6238" s="8" t="n"/>
      <c r="X6238" s="8" t="n"/>
      <c r="Y6238" s="8" t="n"/>
    </row>
    <row r="6239">
      <c r="A6239" s="8" t="n"/>
      <c r="B6239" s="8" t="n"/>
      <c r="C6239" s="8" t="n"/>
      <c r="D6239" s="8" t="n"/>
      <c r="E6239" s="8" t="n"/>
      <c r="F6239" s="8" t="n"/>
      <c r="G6239" s="8" t="n"/>
      <c r="H6239" s="8" t="n"/>
      <c r="I6239" s="8" t="n"/>
      <c r="J6239" s="8" t="n"/>
      <c r="K6239" s="8" t="n"/>
      <c r="L6239" s="8" t="n"/>
      <c r="M6239" s="9">
        <f>B6239+30</f>
        <v/>
      </c>
      <c r="N6239">
        <f>IF(L6239="", "", L6239-B6239)</f>
        <v/>
      </c>
      <c r="O6239">
        <f>IF(L6239="", "Pending", IF(N6239&lt;=30, "Met", "Breached"))</f>
        <v/>
      </c>
      <c r="P6239" s="8" t="n"/>
      <c r="Q6239" s="8" t="n"/>
      <c r="R6239" s="8" t="n"/>
      <c r="S6239" s="8" t="n"/>
      <c r="T6239" s="8" t="n"/>
      <c r="U6239" s="8" t="n"/>
      <c r="V6239" s="8" t="n"/>
      <c r="W6239" s="8" t="n"/>
      <c r="X6239" s="8" t="n"/>
      <c r="Y6239" s="8" t="n"/>
    </row>
    <row r="6240">
      <c r="A6240" s="8" t="n"/>
      <c r="B6240" s="8" t="n"/>
      <c r="C6240" s="8" t="n"/>
      <c r="D6240" s="8" t="n"/>
      <c r="E6240" s="8" t="n"/>
      <c r="F6240" s="8" t="n"/>
      <c r="G6240" s="8" t="n"/>
      <c r="H6240" s="8" t="n"/>
      <c r="I6240" s="8" t="n"/>
      <c r="J6240" s="8" t="n"/>
      <c r="K6240" s="8" t="n"/>
      <c r="L6240" s="8" t="n"/>
      <c r="M6240" s="9">
        <f>B6240+30</f>
        <v/>
      </c>
      <c r="N6240">
        <f>IF(L6240="", "", L6240-B6240)</f>
        <v/>
      </c>
      <c r="O6240">
        <f>IF(L6240="", "Pending", IF(N6240&lt;=30, "Met", "Breached"))</f>
        <v/>
      </c>
      <c r="P6240" s="8" t="n"/>
      <c r="Q6240" s="8" t="n"/>
      <c r="R6240" s="8" t="n"/>
      <c r="S6240" s="8" t="n"/>
      <c r="T6240" s="8" t="n"/>
      <c r="U6240" s="8" t="n"/>
      <c r="V6240" s="8" t="n"/>
      <c r="W6240" s="8" t="n"/>
      <c r="X6240" s="8" t="n"/>
      <c r="Y6240" s="8" t="n"/>
    </row>
    <row r="6241">
      <c r="A6241" s="8" t="n"/>
      <c r="B6241" s="8" t="n"/>
      <c r="C6241" s="8" t="n"/>
      <c r="D6241" s="8" t="n"/>
      <c r="E6241" s="8" t="n"/>
      <c r="F6241" s="8" t="n"/>
      <c r="G6241" s="8" t="n"/>
      <c r="H6241" s="8" t="n"/>
      <c r="I6241" s="8" t="n"/>
      <c r="J6241" s="8" t="n"/>
      <c r="K6241" s="8" t="n"/>
      <c r="L6241" s="8" t="n"/>
      <c r="M6241" s="9">
        <f>B6241+30</f>
        <v/>
      </c>
      <c r="N6241">
        <f>IF(L6241="", "", L6241-B6241)</f>
        <v/>
      </c>
      <c r="O6241">
        <f>IF(L6241="", "Pending", IF(N6241&lt;=30, "Met", "Breached"))</f>
        <v/>
      </c>
      <c r="P6241" s="8" t="n"/>
      <c r="Q6241" s="8" t="n"/>
      <c r="R6241" s="8" t="n"/>
      <c r="S6241" s="8" t="n"/>
      <c r="T6241" s="8" t="n"/>
      <c r="U6241" s="8" t="n"/>
      <c r="V6241" s="8" t="n"/>
      <c r="W6241" s="8" t="n"/>
      <c r="X6241" s="8" t="n"/>
      <c r="Y6241" s="8" t="n"/>
    </row>
    <row r="6242">
      <c r="A6242" s="8" t="n"/>
      <c r="B6242" s="8" t="n"/>
      <c r="C6242" s="8" t="n"/>
      <c r="D6242" s="8" t="n"/>
      <c r="E6242" s="8" t="n"/>
      <c r="F6242" s="8" t="n"/>
      <c r="G6242" s="8" t="n"/>
      <c r="H6242" s="8" t="n"/>
      <c r="I6242" s="8" t="n"/>
      <c r="J6242" s="8" t="n"/>
      <c r="K6242" s="8" t="n"/>
      <c r="L6242" s="8" t="n"/>
      <c r="M6242" s="9">
        <f>B6242+30</f>
        <v/>
      </c>
      <c r="N6242">
        <f>IF(L6242="", "", L6242-B6242)</f>
        <v/>
      </c>
      <c r="O6242">
        <f>IF(L6242="", "Pending", IF(N6242&lt;=30, "Met", "Breached"))</f>
        <v/>
      </c>
      <c r="P6242" s="8" t="n"/>
      <c r="Q6242" s="8" t="n"/>
      <c r="R6242" s="8" t="n"/>
      <c r="S6242" s="8" t="n"/>
      <c r="T6242" s="8" t="n"/>
      <c r="U6242" s="8" t="n"/>
      <c r="V6242" s="8" t="n"/>
      <c r="W6242" s="8" t="n"/>
      <c r="X6242" s="8" t="n"/>
      <c r="Y6242" s="8" t="n"/>
    </row>
    <row r="6243">
      <c r="A6243" s="8" t="n"/>
      <c r="B6243" s="8" t="n"/>
      <c r="C6243" s="8" t="n"/>
      <c r="D6243" s="8" t="n"/>
      <c r="E6243" s="8" t="n"/>
      <c r="F6243" s="8" t="n"/>
      <c r="G6243" s="8" t="n"/>
      <c r="H6243" s="8" t="n"/>
      <c r="I6243" s="8" t="n"/>
      <c r="J6243" s="8" t="n"/>
      <c r="K6243" s="8" t="n"/>
      <c r="L6243" s="8" t="n"/>
      <c r="M6243" s="9">
        <f>B6243+30</f>
        <v/>
      </c>
      <c r="N6243">
        <f>IF(L6243="", "", L6243-B6243)</f>
        <v/>
      </c>
      <c r="O6243">
        <f>IF(L6243="", "Pending", IF(N6243&lt;=30, "Met", "Breached"))</f>
        <v/>
      </c>
      <c r="P6243" s="8" t="n"/>
      <c r="Q6243" s="8" t="n"/>
      <c r="R6243" s="8" t="n"/>
      <c r="S6243" s="8" t="n"/>
      <c r="T6243" s="8" t="n"/>
      <c r="U6243" s="8" t="n"/>
      <c r="V6243" s="8" t="n"/>
      <c r="W6243" s="8" t="n"/>
      <c r="X6243" s="8" t="n"/>
      <c r="Y6243" s="8" t="n"/>
    </row>
    <row r="6244">
      <c r="A6244" s="8" t="n"/>
      <c r="B6244" s="8" t="n"/>
      <c r="C6244" s="8" t="n"/>
      <c r="D6244" s="8" t="n"/>
      <c r="E6244" s="8" t="n"/>
      <c r="F6244" s="8" t="n"/>
      <c r="G6244" s="8" t="n"/>
      <c r="H6244" s="8" t="n"/>
      <c r="I6244" s="8" t="n"/>
      <c r="J6244" s="8" t="n"/>
      <c r="K6244" s="8" t="n"/>
      <c r="L6244" s="8" t="n"/>
      <c r="M6244" s="9">
        <f>B6244+30</f>
        <v/>
      </c>
      <c r="N6244">
        <f>IF(L6244="", "", L6244-B6244)</f>
        <v/>
      </c>
      <c r="O6244">
        <f>IF(L6244="", "Pending", IF(N6244&lt;=30, "Met", "Breached"))</f>
        <v/>
      </c>
      <c r="P6244" s="8" t="n"/>
      <c r="Q6244" s="8" t="n"/>
      <c r="R6244" s="8" t="n"/>
      <c r="S6244" s="8" t="n"/>
      <c r="T6244" s="8" t="n"/>
      <c r="U6244" s="8" t="n"/>
      <c r="V6244" s="8" t="n"/>
      <c r="W6244" s="8" t="n"/>
      <c r="X6244" s="8" t="n"/>
      <c r="Y6244" s="8" t="n"/>
    </row>
    <row r="6245">
      <c r="A6245" s="8" t="n"/>
      <c r="B6245" s="8" t="n"/>
      <c r="C6245" s="8" t="n"/>
      <c r="D6245" s="8" t="n"/>
      <c r="E6245" s="8" t="n"/>
      <c r="F6245" s="8" t="n"/>
      <c r="G6245" s="8" t="n"/>
      <c r="H6245" s="8" t="n"/>
      <c r="I6245" s="8" t="n"/>
      <c r="J6245" s="8" t="n"/>
      <c r="K6245" s="8" t="n"/>
      <c r="L6245" s="8" t="n"/>
      <c r="M6245" s="9">
        <f>B6245+30</f>
        <v/>
      </c>
      <c r="N6245">
        <f>IF(L6245="", "", L6245-B6245)</f>
        <v/>
      </c>
      <c r="O6245">
        <f>IF(L6245="", "Pending", IF(N6245&lt;=30, "Met", "Breached"))</f>
        <v/>
      </c>
      <c r="P6245" s="8" t="n"/>
      <c r="Q6245" s="8" t="n"/>
      <c r="R6245" s="8" t="n"/>
      <c r="S6245" s="8" t="n"/>
      <c r="T6245" s="8" t="n"/>
      <c r="U6245" s="8" t="n"/>
      <c r="V6245" s="8" t="n"/>
      <c r="W6245" s="8" t="n"/>
      <c r="X6245" s="8" t="n"/>
      <c r="Y6245" s="8" t="n"/>
    </row>
    <row r="6246">
      <c r="A6246" s="8" t="n"/>
      <c r="B6246" s="8" t="n"/>
      <c r="C6246" s="8" t="n"/>
      <c r="D6246" s="8" t="n"/>
      <c r="E6246" s="8" t="n"/>
      <c r="F6246" s="8" t="n"/>
      <c r="G6246" s="8" t="n"/>
      <c r="H6246" s="8" t="n"/>
      <c r="I6246" s="8" t="n"/>
      <c r="J6246" s="8" t="n"/>
      <c r="K6246" s="8" t="n"/>
      <c r="L6246" s="8" t="n"/>
      <c r="M6246" s="9">
        <f>B6246+30</f>
        <v/>
      </c>
      <c r="N6246">
        <f>IF(L6246="", "", L6246-B6246)</f>
        <v/>
      </c>
      <c r="O6246">
        <f>IF(L6246="", "Pending", IF(N6246&lt;=30, "Met", "Breached"))</f>
        <v/>
      </c>
      <c r="P6246" s="8" t="n"/>
      <c r="Q6246" s="8" t="n"/>
      <c r="R6246" s="8" t="n"/>
      <c r="S6246" s="8" t="n"/>
      <c r="T6246" s="8" t="n"/>
      <c r="U6246" s="8" t="n"/>
      <c r="V6246" s="8" t="n"/>
      <c r="W6246" s="8" t="n"/>
      <c r="X6246" s="8" t="n"/>
      <c r="Y6246" s="8" t="n"/>
    </row>
    <row r="6247">
      <c r="A6247" s="8" t="n"/>
      <c r="B6247" s="8" t="n"/>
      <c r="C6247" s="8" t="n"/>
      <c r="D6247" s="8" t="n"/>
      <c r="E6247" s="8" t="n"/>
      <c r="F6247" s="8" t="n"/>
      <c r="G6247" s="8" t="n"/>
      <c r="H6247" s="8" t="n"/>
      <c r="I6247" s="8" t="n"/>
      <c r="J6247" s="8" t="n"/>
      <c r="K6247" s="8" t="n"/>
      <c r="L6247" s="8" t="n"/>
      <c r="M6247" s="9">
        <f>B6247+30</f>
        <v/>
      </c>
      <c r="N6247">
        <f>IF(L6247="", "", L6247-B6247)</f>
        <v/>
      </c>
      <c r="O6247">
        <f>IF(L6247="", "Pending", IF(N6247&lt;=30, "Met", "Breached"))</f>
        <v/>
      </c>
      <c r="P6247" s="8" t="n"/>
      <c r="Q6247" s="8" t="n"/>
      <c r="R6247" s="8" t="n"/>
      <c r="S6247" s="8" t="n"/>
      <c r="T6247" s="8" t="n"/>
      <c r="U6247" s="8" t="n"/>
      <c r="V6247" s="8" t="n"/>
      <c r="W6247" s="8" t="n"/>
      <c r="X6247" s="8" t="n"/>
      <c r="Y6247" s="8" t="n"/>
    </row>
    <row r="6248">
      <c r="A6248" s="8" t="n"/>
      <c r="B6248" s="8" t="n"/>
      <c r="C6248" s="8" t="n"/>
      <c r="D6248" s="8" t="n"/>
      <c r="E6248" s="8" t="n"/>
      <c r="F6248" s="8" t="n"/>
      <c r="G6248" s="8" t="n"/>
      <c r="H6248" s="8" t="n"/>
      <c r="I6248" s="8" t="n"/>
      <c r="J6248" s="8" t="n"/>
      <c r="K6248" s="8" t="n"/>
      <c r="L6248" s="8" t="n"/>
      <c r="M6248" s="9">
        <f>B6248+30</f>
        <v/>
      </c>
      <c r="N6248">
        <f>IF(L6248="", "", L6248-B6248)</f>
        <v/>
      </c>
      <c r="O6248">
        <f>IF(L6248="", "Pending", IF(N6248&lt;=30, "Met", "Breached"))</f>
        <v/>
      </c>
      <c r="P6248" s="8" t="n"/>
      <c r="Q6248" s="8" t="n"/>
      <c r="R6248" s="8" t="n"/>
      <c r="S6248" s="8" t="n"/>
      <c r="T6248" s="8" t="n"/>
      <c r="U6248" s="8" t="n"/>
      <c r="V6248" s="8" t="n"/>
      <c r="W6248" s="8" t="n"/>
      <c r="X6248" s="8" t="n"/>
      <c r="Y6248" s="8" t="n"/>
    </row>
    <row r="6249">
      <c r="A6249" s="8" t="n"/>
      <c r="B6249" s="8" t="n"/>
      <c r="C6249" s="8" t="n"/>
      <c r="D6249" s="8" t="n"/>
      <c r="E6249" s="8" t="n"/>
      <c r="F6249" s="8" t="n"/>
      <c r="G6249" s="8" t="n"/>
      <c r="H6249" s="8" t="n"/>
      <c r="I6249" s="8" t="n"/>
      <c r="J6249" s="8" t="n"/>
      <c r="K6249" s="8" t="n"/>
      <c r="L6249" s="8" t="n"/>
      <c r="M6249" s="9">
        <f>B6249+30</f>
        <v/>
      </c>
      <c r="N6249">
        <f>IF(L6249="", "", L6249-B6249)</f>
        <v/>
      </c>
      <c r="O6249">
        <f>IF(L6249="", "Pending", IF(N6249&lt;=30, "Met", "Breached"))</f>
        <v/>
      </c>
      <c r="P6249" s="8" t="n"/>
      <c r="Q6249" s="8" t="n"/>
      <c r="R6249" s="8" t="n"/>
      <c r="S6249" s="8" t="n"/>
      <c r="T6249" s="8" t="n"/>
      <c r="U6249" s="8" t="n"/>
      <c r="V6249" s="8" t="n"/>
      <c r="W6249" s="8" t="n"/>
      <c r="X6249" s="8" t="n"/>
      <c r="Y6249" s="8" t="n"/>
    </row>
    <row r="6250">
      <c r="A6250" s="8" t="n"/>
      <c r="B6250" s="8" t="n"/>
      <c r="C6250" s="8" t="n"/>
      <c r="D6250" s="8" t="n"/>
      <c r="E6250" s="8" t="n"/>
      <c r="F6250" s="8" t="n"/>
      <c r="G6250" s="8" t="n"/>
      <c r="H6250" s="8" t="n"/>
      <c r="I6250" s="8" t="n"/>
      <c r="J6250" s="8" t="n"/>
      <c r="K6250" s="8" t="n"/>
      <c r="L6250" s="8" t="n"/>
      <c r="M6250" s="9">
        <f>B6250+30</f>
        <v/>
      </c>
      <c r="N6250">
        <f>IF(L6250="", "", L6250-B6250)</f>
        <v/>
      </c>
      <c r="O6250">
        <f>IF(L6250="", "Pending", IF(N6250&lt;=30, "Met", "Breached"))</f>
        <v/>
      </c>
      <c r="P6250" s="8" t="n"/>
      <c r="Q6250" s="8" t="n"/>
      <c r="R6250" s="8" t="n"/>
      <c r="S6250" s="8" t="n"/>
      <c r="T6250" s="8" t="n"/>
      <c r="U6250" s="8" t="n"/>
      <c r="V6250" s="8" t="n"/>
      <c r="W6250" s="8" t="n"/>
      <c r="X6250" s="8" t="n"/>
      <c r="Y6250" s="8" t="n"/>
    </row>
    <row r="6251">
      <c r="A6251" s="8" t="n"/>
      <c r="B6251" s="8" t="n"/>
      <c r="C6251" s="8" t="n"/>
      <c r="D6251" s="8" t="n"/>
      <c r="E6251" s="8" t="n"/>
      <c r="F6251" s="8" t="n"/>
      <c r="G6251" s="8" t="n"/>
      <c r="H6251" s="8" t="n"/>
      <c r="I6251" s="8" t="n"/>
      <c r="J6251" s="8" t="n"/>
      <c r="K6251" s="8" t="n"/>
      <c r="L6251" s="8" t="n"/>
      <c r="M6251" s="9">
        <f>B6251+30</f>
        <v/>
      </c>
      <c r="N6251">
        <f>IF(L6251="", "", L6251-B6251)</f>
        <v/>
      </c>
      <c r="O6251">
        <f>IF(L6251="", "Pending", IF(N6251&lt;=30, "Met", "Breached"))</f>
        <v/>
      </c>
      <c r="P6251" s="8" t="n"/>
      <c r="Q6251" s="8" t="n"/>
      <c r="R6251" s="8" t="n"/>
      <c r="S6251" s="8" t="n"/>
      <c r="T6251" s="8" t="n"/>
      <c r="U6251" s="8" t="n"/>
      <c r="V6251" s="8" t="n"/>
      <c r="W6251" s="8" t="n"/>
      <c r="X6251" s="8" t="n"/>
      <c r="Y6251" s="8" t="n"/>
    </row>
    <row r="6252">
      <c r="A6252" s="8" t="n"/>
      <c r="B6252" s="8" t="n"/>
      <c r="C6252" s="8" t="n"/>
      <c r="D6252" s="8" t="n"/>
      <c r="E6252" s="8" t="n"/>
      <c r="F6252" s="8" t="n"/>
      <c r="G6252" s="8" t="n"/>
      <c r="H6252" s="8" t="n"/>
      <c r="I6252" s="8" t="n"/>
      <c r="J6252" s="8" t="n"/>
      <c r="K6252" s="8" t="n"/>
      <c r="L6252" s="8" t="n"/>
      <c r="M6252" s="9">
        <f>B6252+30</f>
        <v/>
      </c>
      <c r="N6252">
        <f>IF(L6252="", "", L6252-B6252)</f>
        <v/>
      </c>
      <c r="O6252">
        <f>IF(L6252="", "Pending", IF(N6252&lt;=30, "Met", "Breached"))</f>
        <v/>
      </c>
      <c r="P6252" s="8" t="n"/>
      <c r="Q6252" s="8" t="n"/>
      <c r="R6252" s="8" t="n"/>
      <c r="S6252" s="8" t="n"/>
      <c r="T6252" s="8" t="n"/>
      <c r="U6252" s="8" t="n"/>
      <c r="V6252" s="8" t="n"/>
      <c r="W6252" s="8" t="n"/>
      <c r="X6252" s="8" t="n"/>
      <c r="Y6252" s="8" t="n"/>
    </row>
    <row r="6253">
      <c r="A6253" s="8" t="n"/>
      <c r="B6253" s="8" t="n"/>
      <c r="C6253" s="8" t="n"/>
      <c r="D6253" s="8" t="n"/>
      <c r="E6253" s="8" t="n"/>
      <c r="F6253" s="8" t="n"/>
      <c r="G6253" s="8" t="n"/>
      <c r="H6253" s="8" t="n"/>
      <c r="I6253" s="8" t="n"/>
      <c r="J6253" s="8" t="n"/>
      <c r="K6253" s="8" t="n"/>
      <c r="L6253" s="8" t="n"/>
      <c r="M6253" s="9">
        <f>B6253+30</f>
        <v/>
      </c>
      <c r="N6253">
        <f>IF(L6253="", "", L6253-B6253)</f>
        <v/>
      </c>
      <c r="O6253">
        <f>IF(L6253="", "Pending", IF(N6253&lt;=30, "Met", "Breached"))</f>
        <v/>
      </c>
      <c r="P6253" s="8" t="n"/>
      <c r="Q6253" s="8" t="n"/>
      <c r="R6253" s="8" t="n"/>
      <c r="S6253" s="8" t="n"/>
      <c r="T6253" s="8" t="n"/>
      <c r="U6253" s="8" t="n"/>
      <c r="V6253" s="8" t="n"/>
      <c r="W6253" s="8" t="n"/>
      <c r="X6253" s="8" t="n"/>
      <c r="Y6253" s="8" t="n"/>
    </row>
    <row r="6254">
      <c r="A6254" s="8" t="n"/>
      <c r="B6254" s="8" t="n"/>
      <c r="C6254" s="8" t="n"/>
      <c r="D6254" s="8" t="n"/>
      <c r="E6254" s="8" t="n"/>
      <c r="F6254" s="8" t="n"/>
      <c r="G6254" s="8" t="n"/>
      <c r="H6254" s="8" t="n"/>
      <c r="I6254" s="8" t="n"/>
      <c r="J6254" s="8" t="n"/>
      <c r="K6254" s="8" t="n"/>
      <c r="L6254" s="8" t="n"/>
      <c r="M6254" s="9">
        <f>B6254+30</f>
        <v/>
      </c>
      <c r="N6254">
        <f>IF(L6254="", "", L6254-B6254)</f>
        <v/>
      </c>
      <c r="O6254">
        <f>IF(L6254="", "Pending", IF(N6254&lt;=30, "Met", "Breached"))</f>
        <v/>
      </c>
      <c r="P6254" s="8" t="n"/>
      <c r="Q6254" s="8" t="n"/>
      <c r="R6254" s="8" t="n"/>
      <c r="S6254" s="8" t="n"/>
      <c r="T6254" s="8" t="n"/>
      <c r="U6254" s="8" t="n"/>
      <c r="V6254" s="8" t="n"/>
      <c r="W6254" s="8" t="n"/>
      <c r="X6254" s="8" t="n"/>
      <c r="Y6254" s="8" t="n"/>
    </row>
    <row r="6255">
      <c r="A6255" s="8" t="n"/>
      <c r="B6255" s="8" t="n"/>
      <c r="C6255" s="8" t="n"/>
      <c r="D6255" s="8" t="n"/>
      <c r="E6255" s="8" t="n"/>
      <c r="F6255" s="8" t="n"/>
      <c r="G6255" s="8" t="n"/>
      <c r="H6255" s="8" t="n"/>
      <c r="I6255" s="8" t="n"/>
      <c r="J6255" s="8" t="n"/>
      <c r="K6255" s="8" t="n"/>
      <c r="L6255" s="8" t="n"/>
      <c r="M6255" s="9">
        <f>B6255+30</f>
        <v/>
      </c>
      <c r="N6255">
        <f>IF(L6255="", "", L6255-B6255)</f>
        <v/>
      </c>
      <c r="O6255">
        <f>IF(L6255="", "Pending", IF(N6255&lt;=30, "Met", "Breached"))</f>
        <v/>
      </c>
      <c r="P6255" s="8" t="n"/>
      <c r="Q6255" s="8" t="n"/>
      <c r="R6255" s="8" t="n"/>
      <c r="S6255" s="8" t="n"/>
      <c r="T6255" s="8" t="n"/>
      <c r="U6255" s="8" t="n"/>
      <c r="V6255" s="8" t="n"/>
      <c r="W6255" s="8" t="n"/>
      <c r="X6255" s="8" t="n"/>
      <c r="Y6255" s="8" t="n"/>
    </row>
    <row r="6256">
      <c r="A6256" s="8" t="n"/>
      <c r="B6256" s="8" t="n"/>
      <c r="C6256" s="8" t="n"/>
      <c r="D6256" s="8" t="n"/>
      <c r="E6256" s="8" t="n"/>
      <c r="F6256" s="8" t="n"/>
      <c r="G6256" s="8" t="n"/>
      <c r="H6256" s="8" t="n"/>
      <c r="I6256" s="8" t="n"/>
      <c r="J6256" s="8" t="n"/>
      <c r="K6256" s="8" t="n"/>
      <c r="L6256" s="8" t="n"/>
      <c r="M6256" s="9">
        <f>B6256+30</f>
        <v/>
      </c>
      <c r="N6256">
        <f>IF(L6256="", "", L6256-B6256)</f>
        <v/>
      </c>
      <c r="O6256">
        <f>IF(L6256="", "Pending", IF(N6256&lt;=30, "Met", "Breached"))</f>
        <v/>
      </c>
      <c r="P6256" s="8" t="n"/>
      <c r="Q6256" s="8" t="n"/>
      <c r="R6256" s="8" t="n"/>
      <c r="S6256" s="8" t="n"/>
      <c r="T6256" s="8" t="n"/>
      <c r="U6256" s="8" t="n"/>
      <c r="V6256" s="8" t="n"/>
      <c r="W6256" s="8" t="n"/>
      <c r="X6256" s="8" t="n"/>
      <c r="Y6256" s="8" t="n"/>
    </row>
    <row r="6257">
      <c r="A6257" s="8" t="n"/>
      <c r="B6257" s="8" t="n"/>
      <c r="C6257" s="8" t="n"/>
      <c r="D6257" s="8" t="n"/>
      <c r="E6257" s="8" t="n"/>
      <c r="F6257" s="8" t="n"/>
      <c r="G6257" s="8" t="n"/>
      <c r="H6257" s="8" t="n"/>
      <c r="I6257" s="8" t="n"/>
      <c r="J6257" s="8" t="n"/>
      <c r="K6257" s="8" t="n"/>
      <c r="L6257" s="8" t="n"/>
      <c r="M6257" s="9">
        <f>B6257+30</f>
        <v/>
      </c>
      <c r="N6257">
        <f>IF(L6257="", "", L6257-B6257)</f>
        <v/>
      </c>
      <c r="O6257">
        <f>IF(L6257="", "Pending", IF(N6257&lt;=30, "Met", "Breached"))</f>
        <v/>
      </c>
      <c r="P6257" s="8" t="n"/>
      <c r="Q6257" s="8" t="n"/>
      <c r="R6257" s="8" t="n"/>
      <c r="S6257" s="8" t="n"/>
      <c r="T6257" s="8" t="n"/>
      <c r="U6257" s="8" t="n"/>
      <c r="V6257" s="8" t="n"/>
      <c r="W6257" s="8" t="n"/>
      <c r="X6257" s="8" t="n"/>
      <c r="Y6257" s="8" t="n"/>
    </row>
    <row r="6258">
      <c r="A6258" s="8" t="n"/>
      <c r="B6258" s="8" t="n"/>
      <c r="C6258" s="8" t="n"/>
      <c r="D6258" s="8" t="n"/>
      <c r="E6258" s="8" t="n"/>
      <c r="F6258" s="8" t="n"/>
      <c r="G6258" s="8" t="n"/>
      <c r="H6258" s="8" t="n"/>
      <c r="I6258" s="8" t="n"/>
      <c r="J6258" s="8" t="n"/>
      <c r="K6258" s="8" t="n"/>
      <c r="L6258" s="8" t="n"/>
      <c r="M6258" s="9">
        <f>B6258+30</f>
        <v/>
      </c>
      <c r="N6258">
        <f>IF(L6258="", "", L6258-B6258)</f>
        <v/>
      </c>
      <c r="O6258">
        <f>IF(L6258="", "Pending", IF(N6258&lt;=30, "Met", "Breached"))</f>
        <v/>
      </c>
      <c r="P6258" s="8" t="n"/>
      <c r="Q6258" s="8" t="n"/>
      <c r="R6258" s="8" t="n"/>
      <c r="S6258" s="8" t="n"/>
      <c r="T6258" s="8" t="n"/>
      <c r="U6258" s="8" t="n"/>
      <c r="V6258" s="8" t="n"/>
      <c r="W6258" s="8" t="n"/>
      <c r="X6258" s="8" t="n"/>
      <c r="Y6258" s="8" t="n"/>
    </row>
    <row r="6259">
      <c r="A6259" s="8" t="n"/>
      <c r="B6259" s="8" t="n"/>
      <c r="C6259" s="8" t="n"/>
      <c r="D6259" s="8" t="n"/>
      <c r="E6259" s="8" t="n"/>
      <c r="F6259" s="8" t="n"/>
      <c r="G6259" s="8" t="n"/>
      <c r="H6259" s="8" t="n"/>
      <c r="I6259" s="8" t="n"/>
      <c r="J6259" s="8" t="n"/>
      <c r="K6259" s="8" t="n"/>
      <c r="L6259" s="8" t="n"/>
      <c r="M6259" s="9">
        <f>B6259+30</f>
        <v/>
      </c>
      <c r="N6259">
        <f>IF(L6259="", "", L6259-B6259)</f>
        <v/>
      </c>
      <c r="O6259">
        <f>IF(L6259="", "Pending", IF(N6259&lt;=30, "Met", "Breached"))</f>
        <v/>
      </c>
      <c r="P6259" s="8" t="n"/>
      <c r="Q6259" s="8" t="n"/>
      <c r="R6259" s="8" t="n"/>
      <c r="S6259" s="8" t="n"/>
      <c r="T6259" s="8" t="n"/>
      <c r="U6259" s="8" t="n"/>
      <c r="V6259" s="8" t="n"/>
      <c r="W6259" s="8" t="n"/>
      <c r="X6259" s="8" t="n"/>
      <c r="Y6259" s="8" t="n"/>
    </row>
    <row r="6260">
      <c r="A6260" s="8" t="n"/>
      <c r="B6260" s="8" t="n"/>
      <c r="C6260" s="8" t="n"/>
      <c r="D6260" s="8" t="n"/>
      <c r="E6260" s="8" t="n"/>
      <c r="F6260" s="8" t="n"/>
      <c r="G6260" s="8" t="n"/>
      <c r="H6260" s="8" t="n"/>
      <c r="I6260" s="8" t="n"/>
      <c r="J6260" s="8" t="n"/>
      <c r="K6260" s="8" t="n"/>
      <c r="L6260" s="8" t="n"/>
      <c r="M6260" s="9">
        <f>B6260+30</f>
        <v/>
      </c>
      <c r="N6260">
        <f>IF(L6260="", "", L6260-B6260)</f>
        <v/>
      </c>
      <c r="O6260">
        <f>IF(L6260="", "Pending", IF(N6260&lt;=30, "Met", "Breached"))</f>
        <v/>
      </c>
      <c r="P6260" s="8" t="n"/>
      <c r="Q6260" s="8" t="n"/>
      <c r="R6260" s="8" t="n"/>
      <c r="S6260" s="8" t="n"/>
      <c r="T6260" s="8" t="n"/>
      <c r="U6260" s="8" t="n"/>
      <c r="V6260" s="8" t="n"/>
      <c r="W6260" s="8" t="n"/>
      <c r="X6260" s="8" t="n"/>
      <c r="Y6260" s="8" t="n"/>
    </row>
    <row r="6261">
      <c r="A6261" s="8" t="n"/>
      <c r="B6261" s="8" t="n"/>
      <c r="C6261" s="8" t="n"/>
      <c r="D6261" s="8" t="n"/>
      <c r="E6261" s="8" t="n"/>
      <c r="F6261" s="8" t="n"/>
      <c r="G6261" s="8" t="n"/>
      <c r="H6261" s="8" t="n"/>
      <c r="I6261" s="8" t="n"/>
      <c r="J6261" s="8" t="n"/>
      <c r="K6261" s="8" t="n"/>
      <c r="L6261" s="8" t="n"/>
      <c r="M6261" s="9">
        <f>B6261+30</f>
        <v/>
      </c>
      <c r="N6261">
        <f>IF(L6261="", "", L6261-B6261)</f>
        <v/>
      </c>
      <c r="O6261">
        <f>IF(L6261="", "Pending", IF(N6261&lt;=30, "Met", "Breached"))</f>
        <v/>
      </c>
      <c r="P6261" s="8" t="n"/>
      <c r="Q6261" s="8" t="n"/>
      <c r="R6261" s="8" t="n"/>
      <c r="S6261" s="8" t="n"/>
      <c r="T6261" s="8" t="n"/>
      <c r="U6261" s="8" t="n"/>
      <c r="V6261" s="8" t="n"/>
      <c r="W6261" s="8" t="n"/>
      <c r="X6261" s="8" t="n"/>
      <c r="Y6261" s="8" t="n"/>
    </row>
    <row r="6262">
      <c r="A6262" s="8" t="n"/>
      <c r="B6262" s="8" t="n"/>
      <c r="C6262" s="8" t="n"/>
      <c r="D6262" s="8" t="n"/>
      <c r="E6262" s="8" t="n"/>
      <c r="F6262" s="8" t="n"/>
      <c r="G6262" s="8" t="n"/>
      <c r="H6262" s="8" t="n"/>
      <c r="I6262" s="8" t="n"/>
      <c r="J6262" s="8" t="n"/>
      <c r="K6262" s="8" t="n"/>
      <c r="L6262" s="8" t="n"/>
      <c r="M6262" s="9">
        <f>B6262+30</f>
        <v/>
      </c>
      <c r="N6262">
        <f>IF(L6262="", "", L6262-B6262)</f>
        <v/>
      </c>
      <c r="O6262">
        <f>IF(L6262="", "Pending", IF(N6262&lt;=30, "Met", "Breached"))</f>
        <v/>
      </c>
      <c r="P6262" s="8" t="n"/>
      <c r="Q6262" s="8" t="n"/>
      <c r="R6262" s="8" t="n"/>
      <c r="S6262" s="8" t="n"/>
      <c r="T6262" s="8" t="n"/>
      <c r="U6262" s="8" t="n"/>
      <c r="V6262" s="8" t="n"/>
      <c r="W6262" s="8" t="n"/>
      <c r="X6262" s="8" t="n"/>
      <c r="Y6262" s="8" t="n"/>
    </row>
    <row r="6263">
      <c r="A6263" s="8" t="n"/>
      <c r="B6263" s="8" t="n"/>
      <c r="C6263" s="8" t="n"/>
      <c r="D6263" s="8" t="n"/>
      <c r="E6263" s="8" t="n"/>
      <c r="F6263" s="8" t="n"/>
      <c r="G6263" s="8" t="n"/>
      <c r="H6263" s="8" t="n"/>
      <c r="I6263" s="8" t="n"/>
      <c r="J6263" s="8" t="n"/>
      <c r="K6263" s="8" t="n"/>
      <c r="L6263" s="8" t="n"/>
      <c r="M6263" s="9">
        <f>B6263+30</f>
        <v/>
      </c>
      <c r="N6263">
        <f>IF(L6263="", "", L6263-B6263)</f>
        <v/>
      </c>
      <c r="O6263">
        <f>IF(L6263="", "Pending", IF(N6263&lt;=30, "Met", "Breached"))</f>
        <v/>
      </c>
      <c r="P6263" s="8" t="n"/>
      <c r="Q6263" s="8" t="n"/>
      <c r="R6263" s="8" t="n"/>
      <c r="S6263" s="8" t="n"/>
      <c r="T6263" s="8" t="n"/>
      <c r="U6263" s="8" t="n"/>
      <c r="V6263" s="8" t="n"/>
      <c r="W6263" s="8" t="n"/>
      <c r="X6263" s="8" t="n"/>
      <c r="Y6263" s="8" t="n"/>
    </row>
    <row r="6264">
      <c r="A6264" s="8" t="n"/>
      <c r="B6264" s="8" t="n"/>
      <c r="C6264" s="8" t="n"/>
      <c r="D6264" s="8" t="n"/>
      <c r="E6264" s="8" t="n"/>
      <c r="F6264" s="8" t="n"/>
      <c r="G6264" s="8" t="n"/>
      <c r="H6264" s="8" t="n"/>
      <c r="I6264" s="8" t="n"/>
      <c r="J6264" s="8" t="n"/>
      <c r="K6264" s="8" t="n"/>
      <c r="L6264" s="8" t="n"/>
      <c r="M6264" s="9">
        <f>B6264+30</f>
        <v/>
      </c>
      <c r="N6264">
        <f>IF(L6264="", "", L6264-B6264)</f>
        <v/>
      </c>
      <c r="O6264">
        <f>IF(L6264="", "Pending", IF(N6264&lt;=30, "Met", "Breached"))</f>
        <v/>
      </c>
      <c r="P6264" s="8" t="n"/>
      <c r="Q6264" s="8" t="n"/>
      <c r="R6264" s="8" t="n"/>
      <c r="S6264" s="8" t="n"/>
      <c r="T6264" s="8" t="n"/>
      <c r="U6264" s="8" t="n"/>
      <c r="V6264" s="8" t="n"/>
      <c r="W6264" s="8" t="n"/>
      <c r="X6264" s="8" t="n"/>
      <c r="Y6264" s="8" t="n"/>
    </row>
    <row r="6265">
      <c r="A6265" s="8" t="n"/>
      <c r="B6265" s="8" t="n"/>
      <c r="C6265" s="8" t="n"/>
      <c r="D6265" s="8" t="n"/>
      <c r="E6265" s="8" t="n"/>
      <c r="F6265" s="8" t="n"/>
      <c r="G6265" s="8" t="n"/>
      <c r="H6265" s="8" t="n"/>
      <c r="I6265" s="8" t="n"/>
      <c r="J6265" s="8" t="n"/>
      <c r="K6265" s="8" t="n"/>
      <c r="L6265" s="8" t="n"/>
      <c r="M6265" s="9">
        <f>B6265+30</f>
        <v/>
      </c>
      <c r="N6265">
        <f>IF(L6265="", "", L6265-B6265)</f>
        <v/>
      </c>
      <c r="O6265">
        <f>IF(L6265="", "Pending", IF(N6265&lt;=30, "Met", "Breached"))</f>
        <v/>
      </c>
      <c r="P6265" s="8" t="n"/>
      <c r="Q6265" s="8" t="n"/>
      <c r="R6265" s="8" t="n"/>
      <c r="S6265" s="8" t="n"/>
      <c r="T6265" s="8" t="n"/>
      <c r="U6265" s="8" t="n"/>
      <c r="V6265" s="8" t="n"/>
      <c r="W6265" s="8" t="n"/>
      <c r="X6265" s="8" t="n"/>
      <c r="Y6265" s="8" t="n"/>
    </row>
    <row r="6266">
      <c r="A6266" s="8" t="n"/>
      <c r="B6266" s="8" t="n"/>
      <c r="C6266" s="8" t="n"/>
      <c r="D6266" s="8" t="n"/>
      <c r="E6266" s="8" t="n"/>
      <c r="F6266" s="8" t="n"/>
      <c r="G6266" s="8" t="n"/>
      <c r="H6266" s="8" t="n"/>
      <c r="I6266" s="8" t="n"/>
      <c r="J6266" s="8" t="n"/>
      <c r="K6266" s="8" t="n"/>
      <c r="L6266" s="8" t="n"/>
      <c r="M6266" s="9">
        <f>B6266+30</f>
        <v/>
      </c>
      <c r="N6266">
        <f>IF(L6266="", "", L6266-B6266)</f>
        <v/>
      </c>
      <c r="O6266">
        <f>IF(L6266="", "Pending", IF(N6266&lt;=30, "Met", "Breached"))</f>
        <v/>
      </c>
      <c r="P6266" s="8" t="n"/>
      <c r="Q6266" s="8" t="n"/>
      <c r="R6266" s="8" t="n"/>
      <c r="S6266" s="8" t="n"/>
      <c r="T6266" s="8" t="n"/>
      <c r="U6266" s="8" t="n"/>
      <c r="V6266" s="8" t="n"/>
      <c r="W6266" s="8" t="n"/>
      <c r="X6266" s="8" t="n"/>
      <c r="Y6266" s="8" t="n"/>
    </row>
    <row r="6267">
      <c r="A6267" s="8" t="n"/>
      <c r="B6267" s="8" t="n"/>
      <c r="C6267" s="8" t="n"/>
      <c r="D6267" s="8" t="n"/>
      <c r="E6267" s="8" t="n"/>
      <c r="F6267" s="8" t="n"/>
      <c r="G6267" s="8" t="n"/>
      <c r="H6267" s="8" t="n"/>
      <c r="I6267" s="8" t="n"/>
      <c r="J6267" s="8" t="n"/>
      <c r="K6267" s="8" t="n"/>
      <c r="L6267" s="8" t="n"/>
      <c r="M6267" s="9">
        <f>B6267+30</f>
        <v/>
      </c>
      <c r="N6267">
        <f>IF(L6267="", "", L6267-B6267)</f>
        <v/>
      </c>
      <c r="O6267">
        <f>IF(L6267="", "Pending", IF(N6267&lt;=30, "Met", "Breached"))</f>
        <v/>
      </c>
      <c r="P6267" s="8" t="n"/>
      <c r="Q6267" s="8" t="n"/>
      <c r="R6267" s="8" t="n"/>
      <c r="S6267" s="8" t="n"/>
      <c r="T6267" s="8" t="n"/>
      <c r="U6267" s="8" t="n"/>
      <c r="V6267" s="8" t="n"/>
      <c r="W6267" s="8" t="n"/>
      <c r="X6267" s="8" t="n"/>
      <c r="Y6267" s="8" t="n"/>
    </row>
    <row r="6268">
      <c r="A6268" s="8" t="n"/>
      <c r="B6268" s="8" t="n"/>
      <c r="C6268" s="8" t="n"/>
      <c r="D6268" s="8" t="n"/>
      <c r="E6268" s="8" t="n"/>
      <c r="F6268" s="8" t="n"/>
      <c r="G6268" s="8" t="n"/>
      <c r="H6268" s="8" t="n"/>
      <c r="I6268" s="8" t="n"/>
      <c r="J6268" s="8" t="n"/>
      <c r="K6268" s="8" t="n"/>
      <c r="L6268" s="8" t="n"/>
      <c r="M6268" s="9">
        <f>B6268+30</f>
        <v/>
      </c>
      <c r="N6268">
        <f>IF(L6268="", "", L6268-B6268)</f>
        <v/>
      </c>
      <c r="O6268">
        <f>IF(L6268="", "Pending", IF(N6268&lt;=30, "Met", "Breached"))</f>
        <v/>
      </c>
      <c r="P6268" s="8" t="n"/>
      <c r="Q6268" s="8" t="n"/>
      <c r="R6268" s="8" t="n"/>
      <c r="S6268" s="8" t="n"/>
      <c r="T6268" s="8" t="n"/>
      <c r="U6268" s="8" t="n"/>
      <c r="V6268" s="8" t="n"/>
      <c r="W6268" s="8" t="n"/>
      <c r="X6268" s="8" t="n"/>
      <c r="Y6268" s="8" t="n"/>
    </row>
    <row r="6269">
      <c r="A6269" s="8" t="n"/>
      <c r="B6269" s="8" t="n"/>
      <c r="C6269" s="8" t="n"/>
      <c r="D6269" s="8" t="n"/>
      <c r="E6269" s="8" t="n"/>
      <c r="F6269" s="8" t="n"/>
      <c r="G6269" s="8" t="n"/>
      <c r="H6269" s="8" t="n"/>
      <c r="I6269" s="8" t="n"/>
      <c r="J6269" s="8" t="n"/>
      <c r="K6269" s="8" t="n"/>
      <c r="L6269" s="8" t="n"/>
      <c r="M6269" s="9">
        <f>B6269+30</f>
        <v/>
      </c>
      <c r="N6269">
        <f>IF(L6269="", "", L6269-B6269)</f>
        <v/>
      </c>
      <c r="O6269">
        <f>IF(L6269="", "Pending", IF(N6269&lt;=30, "Met", "Breached"))</f>
        <v/>
      </c>
      <c r="P6269" s="8" t="n"/>
      <c r="Q6269" s="8" t="n"/>
      <c r="R6269" s="8" t="n"/>
      <c r="S6269" s="8" t="n"/>
      <c r="T6269" s="8" t="n"/>
      <c r="U6269" s="8" t="n"/>
      <c r="V6269" s="8" t="n"/>
      <c r="W6269" s="8" t="n"/>
      <c r="X6269" s="8" t="n"/>
      <c r="Y6269" s="8" t="n"/>
    </row>
    <row r="6270">
      <c r="A6270" s="8" t="n"/>
      <c r="B6270" s="8" t="n"/>
      <c r="C6270" s="8" t="n"/>
      <c r="D6270" s="8" t="n"/>
      <c r="E6270" s="8" t="n"/>
      <c r="F6270" s="8" t="n"/>
      <c r="G6270" s="8" t="n"/>
      <c r="H6270" s="8" t="n"/>
      <c r="I6270" s="8" t="n"/>
      <c r="J6270" s="8" t="n"/>
      <c r="K6270" s="8" t="n"/>
      <c r="L6270" s="8" t="n"/>
      <c r="M6270" s="9">
        <f>B6270+30</f>
        <v/>
      </c>
      <c r="N6270">
        <f>IF(L6270="", "", L6270-B6270)</f>
        <v/>
      </c>
      <c r="O6270">
        <f>IF(L6270="", "Pending", IF(N6270&lt;=30, "Met", "Breached"))</f>
        <v/>
      </c>
      <c r="P6270" s="8" t="n"/>
      <c r="Q6270" s="8" t="n"/>
      <c r="R6270" s="8" t="n"/>
      <c r="S6270" s="8" t="n"/>
      <c r="T6270" s="8" t="n"/>
      <c r="U6270" s="8" t="n"/>
      <c r="V6270" s="8" t="n"/>
      <c r="W6270" s="8" t="n"/>
      <c r="X6270" s="8" t="n"/>
      <c r="Y6270" s="8" t="n"/>
    </row>
    <row r="6271">
      <c r="A6271" s="8" t="n"/>
      <c r="B6271" s="8" t="n"/>
      <c r="C6271" s="8" t="n"/>
      <c r="D6271" s="8" t="n"/>
      <c r="E6271" s="8" t="n"/>
      <c r="F6271" s="8" t="n"/>
      <c r="G6271" s="8" t="n"/>
      <c r="H6271" s="8" t="n"/>
      <c r="I6271" s="8" t="n"/>
      <c r="J6271" s="8" t="n"/>
      <c r="K6271" s="8" t="n"/>
      <c r="L6271" s="8" t="n"/>
      <c r="M6271" s="9">
        <f>B6271+30</f>
        <v/>
      </c>
      <c r="N6271">
        <f>IF(L6271="", "", L6271-B6271)</f>
        <v/>
      </c>
      <c r="O6271">
        <f>IF(L6271="", "Pending", IF(N6271&lt;=30, "Met", "Breached"))</f>
        <v/>
      </c>
      <c r="P6271" s="8" t="n"/>
      <c r="Q6271" s="8" t="n"/>
      <c r="R6271" s="8" t="n"/>
      <c r="S6271" s="8" t="n"/>
      <c r="T6271" s="8" t="n"/>
      <c r="U6271" s="8" t="n"/>
      <c r="V6271" s="8" t="n"/>
      <c r="W6271" s="8" t="n"/>
      <c r="X6271" s="8" t="n"/>
      <c r="Y6271" s="8" t="n"/>
    </row>
    <row r="6272">
      <c r="A6272" s="8" t="n"/>
      <c r="B6272" s="8" t="n"/>
      <c r="C6272" s="8" t="n"/>
      <c r="D6272" s="8" t="n"/>
      <c r="E6272" s="8" t="n"/>
      <c r="F6272" s="8" t="n"/>
      <c r="G6272" s="8" t="n"/>
      <c r="H6272" s="8" t="n"/>
      <c r="I6272" s="8" t="n"/>
      <c r="J6272" s="8" t="n"/>
      <c r="K6272" s="8" t="n"/>
      <c r="L6272" s="8" t="n"/>
      <c r="M6272" s="9">
        <f>B6272+30</f>
        <v/>
      </c>
      <c r="N6272">
        <f>IF(L6272="", "", L6272-B6272)</f>
        <v/>
      </c>
      <c r="O6272">
        <f>IF(L6272="", "Pending", IF(N6272&lt;=30, "Met", "Breached"))</f>
        <v/>
      </c>
      <c r="P6272" s="8" t="n"/>
      <c r="Q6272" s="8" t="n"/>
      <c r="R6272" s="8" t="n"/>
      <c r="S6272" s="8" t="n"/>
      <c r="T6272" s="8" t="n"/>
      <c r="U6272" s="8" t="n"/>
      <c r="V6272" s="8" t="n"/>
      <c r="W6272" s="8" t="n"/>
      <c r="X6272" s="8" t="n"/>
      <c r="Y6272" s="8" t="n"/>
    </row>
    <row r="6273">
      <c r="A6273" s="8" t="n"/>
      <c r="B6273" s="8" t="n"/>
      <c r="C6273" s="8" t="n"/>
      <c r="D6273" s="8" t="n"/>
      <c r="E6273" s="8" t="n"/>
      <c r="F6273" s="8" t="n"/>
      <c r="G6273" s="8" t="n"/>
      <c r="H6273" s="8" t="n"/>
      <c r="I6273" s="8" t="n"/>
      <c r="J6273" s="8" t="n"/>
      <c r="K6273" s="8" t="n"/>
      <c r="L6273" s="8" t="n"/>
      <c r="M6273" s="9">
        <f>B6273+30</f>
        <v/>
      </c>
      <c r="N6273">
        <f>IF(L6273="", "", L6273-B6273)</f>
        <v/>
      </c>
      <c r="O6273">
        <f>IF(L6273="", "Pending", IF(N6273&lt;=30, "Met", "Breached"))</f>
        <v/>
      </c>
      <c r="P6273" s="8" t="n"/>
      <c r="Q6273" s="8" t="n"/>
      <c r="R6273" s="8" t="n"/>
      <c r="S6273" s="8" t="n"/>
      <c r="T6273" s="8" t="n"/>
      <c r="U6273" s="8" t="n"/>
      <c r="V6273" s="8" t="n"/>
      <c r="W6273" s="8" t="n"/>
      <c r="X6273" s="8" t="n"/>
      <c r="Y6273" s="8" t="n"/>
    </row>
    <row r="6274">
      <c r="A6274" s="8" t="n"/>
      <c r="B6274" s="8" t="n"/>
      <c r="C6274" s="8" t="n"/>
      <c r="D6274" s="8" t="n"/>
      <c r="E6274" s="8" t="n"/>
      <c r="F6274" s="8" t="n"/>
      <c r="G6274" s="8" t="n"/>
      <c r="H6274" s="8" t="n"/>
      <c r="I6274" s="8" t="n"/>
      <c r="J6274" s="8" t="n"/>
      <c r="K6274" s="8" t="n"/>
      <c r="L6274" s="8" t="n"/>
      <c r="M6274" s="9">
        <f>B6274+30</f>
        <v/>
      </c>
      <c r="N6274">
        <f>IF(L6274="", "", L6274-B6274)</f>
        <v/>
      </c>
      <c r="O6274">
        <f>IF(L6274="", "Pending", IF(N6274&lt;=30, "Met", "Breached"))</f>
        <v/>
      </c>
      <c r="P6274" s="8" t="n"/>
      <c r="Q6274" s="8" t="n"/>
      <c r="R6274" s="8" t="n"/>
      <c r="S6274" s="8" t="n"/>
      <c r="T6274" s="8" t="n"/>
      <c r="U6274" s="8" t="n"/>
      <c r="V6274" s="8" t="n"/>
      <c r="W6274" s="8" t="n"/>
      <c r="X6274" s="8" t="n"/>
      <c r="Y6274" s="8" t="n"/>
    </row>
    <row r="6275">
      <c r="A6275" s="8" t="n"/>
      <c r="B6275" s="8" t="n"/>
      <c r="C6275" s="8" t="n"/>
      <c r="D6275" s="8" t="n"/>
      <c r="E6275" s="8" t="n"/>
      <c r="F6275" s="8" t="n"/>
      <c r="G6275" s="8" t="n"/>
      <c r="H6275" s="8" t="n"/>
      <c r="I6275" s="8" t="n"/>
      <c r="J6275" s="8" t="n"/>
      <c r="K6275" s="8" t="n"/>
      <c r="L6275" s="8" t="n"/>
      <c r="M6275" s="9">
        <f>B6275+30</f>
        <v/>
      </c>
      <c r="N6275">
        <f>IF(L6275="", "", L6275-B6275)</f>
        <v/>
      </c>
      <c r="O6275">
        <f>IF(L6275="", "Pending", IF(N6275&lt;=30, "Met", "Breached"))</f>
        <v/>
      </c>
      <c r="P6275" s="8" t="n"/>
      <c r="Q6275" s="8" t="n"/>
      <c r="R6275" s="8" t="n"/>
      <c r="S6275" s="8" t="n"/>
      <c r="T6275" s="8" t="n"/>
      <c r="U6275" s="8" t="n"/>
      <c r="V6275" s="8" t="n"/>
      <c r="W6275" s="8" t="n"/>
      <c r="X6275" s="8" t="n"/>
      <c r="Y6275" s="8" t="n"/>
    </row>
    <row r="6276">
      <c r="A6276" s="8" t="n"/>
      <c r="B6276" s="8" t="n"/>
      <c r="C6276" s="8" t="n"/>
      <c r="D6276" s="8" t="n"/>
      <c r="E6276" s="8" t="n"/>
      <c r="F6276" s="8" t="n"/>
      <c r="G6276" s="8" t="n"/>
      <c r="H6276" s="8" t="n"/>
      <c r="I6276" s="8" t="n"/>
      <c r="J6276" s="8" t="n"/>
      <c r="K6276" s="8" t="n"/>
      <c r="L6276" s="8" t="n"/>
      <c r="M6276" s="9">
        <f>B6276+30</f>
        <v/>
      </c>
      <c r="N6276">
        <f>IF(L6276="", "", L6276-B6276)</f>
        <v/>
      </c>
      <c r="O6276">
        <f>IF(L6276="", "Pending", IF(N6276&lt;=30, "Met", "Breached"))</f>
        <v/>
      </c>
      <c r="P6276" s="8" t="n"/>
      <c r="Q6276" s="8" t="n"/>
      <c r="R6276" s="8" t="n"/>
      <c r="S6276" s="8" t="n"/>
      <c r="T6276" s="8" t="n"/>
      <c r="U6276" s="8" t="n"/>
      <c r="V6276" s="8" t="n"/>
      <c r="W6276" s="8" t="n"/>
      <c r="X6276" s="8" t="n"/>
      <c r="Y6276" s="8" t="n"/>
    </row>
    <row r="6277">
      <c r="A6277" s="8" t="n"/>
      <c r="B6277" s="8" t="n"/>
      <c r="C6277" s="8" t="n"/>
      <c r="D6277" s="8" t="n"/>
      <c r="E6277" s="8" t="n"/>
      <c r="F6277" s="8" t="n"/>
      <c r="G6277" s="8" t="n"/>
      <c r="H6277" s="8" t="n"/>
      <c r="I6277" s="8" t="n"/>
      <c r="J6277" s="8" t="n"/>
      <c r="K6277" s="8" t="n"/>
      <c r="L6277" s="8" t="n"/>
      <c r="M6277" s="9">
        <f>B6277+30</f>
        <v/>
      </c>
      <c r="N6277">
        <f>IF(L6277="", "", L6277-B6277)</f>
        <v/>
      </c>
      <c r="O6277">
        <f>IF(L6277="", "Pending", IF(N6277&lt;=30, "Met", "Breached"))</f>
        <v/>
      </c>
      <c r="P6277" s="8" t="n"/>
      <c r="Q6277" s="8" t="n"/>
      <c r="R6277" s="8" t="n"/>
      <c r="S6277" s="8" t="n"/>
      <c r="T6277" s="8" t="n"/>
      <c r="U6277" s="8" t="n"/>
      <c r="V6277" s="8" t="n"/>
      <c r="W6277" s="8" t="n"/>
      <c r="X6277" s="8" t="n"/>
      <c r="Y6277" s="8" t="n"/>
    </row>
    <row r="6278">
      <c r="A6278" s="8" t="n"/>
      <c r="B6278" s="8" t="n"/>
      <c r="C6278" s="8" t="n"/>
      <c r="D6278" s="8" t="n"/>
      <c r="E6278" s="8" t="n"/>
      <c r="F6278" s="8" t="n"/>
      <c r="G6278" s="8" t="n"/>
      <c r="H6278" s="8" t="n"/>
      <c r="I6278" s="8" t="n"/>
      <c r="J6278" s="8" t="n"/>
      <c r="K6278" s="8" t="n"/>
      <c r="L6278" s="8" t="n"/>
      <c r="M6278" s="9">
        <f>B6278+30</f>
        <v/>
      </c>
      <c r="N6278">
        <f>IF(L6278="", "", L6278-B6278)</f>
        <v/>
      </c>
      <c r="O6278">
        <f>IF(L6278="", "Pending", IF(N6278&lt;=30, "Met", "Breached"))</f>
        <v/>
      </c>
      <c r="P6278" s="8" t="n"/>
      <c r="Q6278" s="8" t="n"/>
      <c r="R6278" s="8" t="n"/>
      <c r="S6278" s="8" t="n"/>
      <c r="T6278" s="8" t="n"/>
      <c r="U6278" s="8" t="n"/>
      <c r="V6278" s="8" t="n"/>
      <c r="W6278" s="8" t="n"/>
      <c r="X6278" s="8" t="n"/>
      <c r="Y6278" s="8" t="n"/>
    </row>
    <row r="6279">
      <c r="A6279" s="8" t="n"/>
      <c r="B6279" s="8" t="n"/>
      <c r="C6279" s="8" t="n"/>
      <c r="D6279" s="8" t="n"/>
      <c r="E6279" s="8" t="n"/>
      <c r="F6279" s="8" t="n"/>
      <c r="G6279" s="8" t="n"/>
      <c r="H6279" s="8" t="n"/>
      <c r="I6279" s="8" t="n"/>
      <c r="J6279" s="8" t="n"/>
      <c r="K6279" s="8" t="n"/>
      <c r="L6279" s="8" t="n"/>
      <c r="M6279" s="9">
        <f>B6279+30</f>
        <v/>
      </c>
      <c r="N6279">
        <f>IF(L6279="", "", L6279-B6279)</f>
        <v/>
      </c>
      <c r="O6279">
        <f>IF(L6279="", "Pending", IF(N6279&lt;=30, "Met", "Breached"))</f>
        <v/>
      </c>
      <c r="P6279" s="8" t="n"/>
      <c r="Q6279" s="8" t="n"/>
      <c r="R6279" s="8" t="n"/>
      <c r="S6279" s="8" t="n"/>
      <c r="T6279" s="8" t="n"/>
      <c r="U6279" s="8" t="n"/>
      <c r="V6279" s="8" t="n"/>
      <c r="W6279" s="8" t="n"/>
      <c r="X6279" s="8" t="n"/>
      <c r="Y6279" s="8" t="n"/>
    </row>
    <row r="6280">
      <c r="A6280" s="8" t="n"/>
      <c r="B6280" s="8" t="n"/>
      <c r="C6280" s="8" t="n"/>
      <c r="D6280" s="8" t="n"/>
      <c r="E6280" s="8" t="n"/>
      <c r="F6280" s="8" t="n"/>
      <c r="G6280" s="8" t="n"/>
      <c r="H6280" s="8" t="n"/>
      <c r="I6280" s="8" t="n"/>
      <c r="J6280" s="8" t="n"/>
      <c r="K6280" s="8" t="n"/>
      <c r="L6280" s="8" t="n"/>
      <c r="M6280" s="9">
        <f>B6280+30</f>
        <v/>
      </c>
      <c r="N6280">
        <f>IF(L6280="", "", L6280-B6280)</f>
        <v/>
      </c>
      <c r="O6280">
        <f>IF(L6280="", "Pending", IF(N6280&lt;=30, "Met", "Breached"))</f>
        <v/>
      </c>
      <c r="P6280" s="8" t="n"/>
      <c r="Q6280" s="8" t="n"/>
      <c r="R6280" s="8" t="n"/>
      <c r="S6280" s="8" t="n"/>
      <c r="T6280" s="8" t="n"/>
      <c r="U6280" s="8" t="n"/>
      <c r="V6280" s="8" t="n"/>
      <c r="W6280" s="8" t="n"/>
      <c r="X6280" s="8" t="n"/>
      <c r="Y6280" s="8" t="n"/>
    </row>
    <row r="6281">
      <c r="A6281" s="8" t="n"/>
      <c r="B6281" s="8" t="n"/>
      <c r="C6281" s="8" t="n"/>
      <c r="D6281" s="8" t="n"/>
      <c r="E6281" s="8" t="n"/>
      <c r="F6281" s="8" t="n"/>
      <c r="G6281" s="8" t="n"/>
      <c r="H6281" s="8" t="n"/>
      <c r="I6281" s="8" t="n"/>
      <c r="J6281" s="8" t="n"/>
      <c r="K6281" s="8" t="n"/>
      <c r="L6281" s="8" t="n"/>
      <c r="M6281" s="9">
        <f>B6281+30</f>
        <v/>
      </c>
      <c r="N6281">
        <f>IF(L6281="", "", L6281-B6281)</f>
        <v/>
      </c>
      <c r="O6281">
        <f>IF(L6281="", "Pending", IF(N6281&lt;=30, "Met", "Breached"))</f>
        <v/>
      </c>
      <c r="P6281" s="8" t="n"/>
      <c r="Q6281" s="8" t="n"/>
      <c r="R6281" s="8" t="n"/>
      <c r="S6281" s="8" t="n"/>
      <c r="T6281" s="8" t="n"/>
      <c r="U6281" s="8" t="n"/>
      <c r="V6281" s="8" t="n"/>
      <c r="W6281" s="8" t="n"/>
      <c r="X6281" s="8" t="n"/>
      <c r="Y6281" s="8" t="n"/>
    </row>
    <row r="6282">
      <c r="A6282" s="8" t="n"/>
      <c r="B6282" s="8" t="n"/>
      <c r="C6282" s="8" t="n"/>
      <c r="D6282" s="8" t="n"/>
      <c r="E6282" s="8" t="n"/>
      <c r="F6282" s="8" t="n"/>
      <c r="G6282" s="8" t="n"/>
      <c r="H6282" s="8" t="n"/>
      <c r="I6282" s="8" t="n"/>
      <c r="J6282" s="8" t="n"/>
      <c r="K6282" s="8" t="n"/>
      <c r="L6282" s="8" t="n"/>
      <c r="M6282" s="9">
        <f>B6282+30</f>
        <v/>
      </c>
      <c r="N6282">
        <f>IF(L6282="", "", L6282-B6282)</f>
        <v/>
      </c>
      <c r="O6282">
        <f>IF(L6282="", "Pending", IF(N6282&lt;=30, "Met", "Breached"))</f>
        <v/>
      </c>
      <c r="P6282" s="8" t="n"/>
      <c r="Q6282" s="8" t="n"/>
      <c r="R6282" s="8" t="n"/>
      <c r="S6282" s="8" t="n"/>
      <c r="T6282" s="8" t="n"/>
      <c r="U6282" s="8" t="n"/>
      <c r="V6282" s="8" t="n"/>
      <c r="W6282" s="8" t="n"/>
      <c r="X6282" s="8" t="n"/>
      <c r="Y6282" s="8" t="n"/>
    </row>
    <row r="6283">
      <c r="A6283" s="8" t="n"/>
      <c r="B6283" s="8" t="n"/>
      <c r="C6283" s="8" t="n"/>
      <c r="D6283" s="8" t="n"/>
      <c r="E6283" s="8" t="n"/>
      <c r="F6283" s="8" t="n"/>
      <c r="G6283" s="8" t="n"/>
      <c r="H6283" s="8" t="n"/>
      <c r="I6283" s="8" t="n"/>
      <c r="J6283" s="8" t="n"/>
      <c r="K6283" s="8" t="n"/>
      <c r="L6283" s="8" t="n"/>
      <c r="M6283" s="9">
        <f>B6283+30</f>
        <v/>
      </c>
      <c r="N6283">
        <f>IF(L6283="", "", L6283-B6283)</f>
        <v/>
      </c>
      <c r="O6283">
        <f>IF(L6283="", "Pending", IF(N6283&lt;=30, "Met", "Breached"))</f>
        <v/>
      </c>
      <c r="P6283" s="8" t="n"/>
      <c r="Q6283" s="8" t="n"/>
      <c r="R6283" s="8" t="n"/>
      <c r="S6283" s="8" t="n"/>
      <c r="T6283" s="8" t="n"/>
      <c r="U6283" s="8" t="n"/>
      <c r="V6283" s="8" t="n"/>
      <c r="W6283" s="8" t="n"/>
      <c r="X6283" s="8" t="n"/>
      <c r="Y6283" s="8" t="n"/>
    </row>
    <row r="6284">
      <c r="A6284" s="8" t="n"/>
      <c r="B6284" s="8" t="n"/>
      <c r="C6284" s="8" t="n"/>
      <c r="D6284" s="8" t="n"/>
      <c r="E6284" s="8" t="n"/>
      <c r="F6284" s="8" t="n"/>
      <c r="G6284" s="8" t="n"/>
      <c r="H6284" s="8" t="n"/>
      <c r="I6284" s="8" t="n"/>
      <c r="J6284" s="8" t="n"/>
      <c r="K6284" s="8" t="n"/>
      <c r="L6284" s="8" t="n"/>
      <c r="M6284" s="9">
        <f>B6284+30</f>
        <v/>
      </c>
      <c r="N6284">
        <f>IF(L6284="", "", L6284-B6284)</f>
        <v/>
      </c>
      <c r="O6284">
        <f>IF(L6284="", "Pending", IF(N6284&lt;=30, "Met", "Breached"))</f>
        <v/>
      </c>
      <c r="P6284" s="8" t="n"/>
      <c r="Q6284" s="8" t="n"/>
      <c r="R6284" s="8" t="n"/>
      <c r="S6284" s="8" t="n"/>
      <c r="T6284" s="8" t="n"/>
      <c r="U6284" s="8" t="n"/>
      <c r="V6284" s="8" t="n"/>
      <c r="W6284" s="8" t="n"/>
      <c r="X6284" s="8" t="n"/>
      <c r="Y6284" s="8" t="n"/>
    </row>
    <row r="6285">
      <c r="A6285" s="8" t="n"/>
      <c r="B6285" s="8" t="n"/>
      <c r="C6285" s="8" t="n"/>
      <c r="D6285" s="8" t="n"/>
      <c r="E6285" s="8" t="n"/>
      <c r="F6285" s="8" t="n"/>
      <c r="G6285" s="8" t="n"/>
      <c r="H6285" s="8" t="n"/>
      <c r="I6285" s="8" t="n"/>
      <c r="J6285" s="8" t="n"/>
      <c r="K6285" s="8" t="n"/>
      <c r="L6285" s="8" t="n"/>
      <c r="M6285" s="9">
        <f>B6285+30</f>
        <v/>
      </c>
      <c r="N6285">
        <f>IF(L6285="", "", L6285-B6285)</f>
        <v/>
      </c>
      <c r="O6285">
        <f>IF(L6285="", "Pending", IF(N6285&lt;=30, "Met", "Breached"))</f>
        <v/>
      </c>
      <c r="P6285" s="8" t="n"/>
      <c r="Q6285" s="8" t="n"/>
      <c r="R6285" s="8" t="n"/>
      <c r="S6285" s="8" t="n"/>
      <c r="T6285" s="8" t="n"/>
      <c r="U6285" s="8" t="n"/>
      <c r="V6285" s="8" t="n"/>
      <c r="W6285" s="8" t="n"/>
      <c r="X6285" s="8" t="n"/>
      <c r="Y6285" s="8" t="n"/>
    </row>
    <row r="6286">
      <c r="A6286" s="8" t="n"/>
      <c r="B6286" s="8" t="n"/>
      <c r="C6286" s="8" t="n"/>
      <c r="D6286" s="8" t="n"/>
      <c r="E6286" s="8" t="n"/>
      <c r="F6286" s="8" t="n"/>
      <c r="G6286" s="8" t="n"/>
      <c r="H6286" s="8" t="n"/>
      <c r="I6286" s="8" t="n"/>
      <c r="J6286" s="8" t="n"/>
      <c r="K6286" s="8" t="n"/>
      <c r="L6286" s="8" t="n"/>
      <c r="M6286" s="9">
        <f>B6286+30</f>
        <v/>
      </c>
      <c r="N6286">
        <f>IF(L6286="", "", L6286-B6286)</f>
        <v/>
      </c>
      <c r="O6286">
        <f>IF(L6286="", "Pending", IF(N6286&lt;=30, "Met", "Breached"))</f>
        <v/>
      </c>
      <c r="P6286" s="8" t="n"/>
      <c r="Q6286" s="8" t="n"/>
      <c r="R6286" s="8" t="n"/>
      <c r="S6286" s="8" t="n"/>
      <c r="T6286" s="8" t="n"/>
      <c r="U6286" s="8" t="n"/>
      <c r="V6286" s="8" t="n"/>
      <c r="W6286" s="8" t="n"/>
      <c r="X6286" s="8" t="n"/>
      <c r="Y6286" s="8" t="n"/>
    </row>
    <row r="6287">
      <c r="A6287" s="8" t="n"/>
      <c r="B6287" s="8" t="n"/>
      <c r="C6287" s="8" t="n"/>
      <c r="D6287" s="8" t="n"/>
      <c r="E6287" s="8" t="n"/>
      <c r="F6287" s="8" t="n"/>
      <c r="G6287" s="8" t="n"/>
      <c r="H6287" s="8" t="n"/>
      <c r="I6287" s="8" t="n"/>
      <c r="J6287" s="8" t="n"/>
      <c r="K6287" s="8" t="n"/>
      <c r="L6287" s="8" t="n"/>
      <c r="M6287" s="9">
        <f>B6287+30</f>
        <v/>
      </c>
      <c r="N6287">
        <f>IF(L6287="", "", L6287-B6287)</f>
        <v/>
      </c>
      <c r="O6287">
        <f>IF(L6287="", "Pending", IF(N6287&lt;=30, "Met", "Breached"))</f>
        <v/>
      </c>
      <c r="P6287" s="8" t="n"/>
      <c r="Q6287" s="8" t="n"/>
      <c r="R6287" s="8" t="n"/>
      <c r="S6287" s="8" t="n"/>
      <c r="T6287" s="8" t="n"/>
      <c r="U6287" s="8" t="n"/>
      <c r="V6287" s="8" t="n"/>
      <c r="W6287" s="8" t="n"/>
      <c r="X6287" s="8" t="n"/>
      <c r="Y6287" s="8" t="n"/>
    </row>
    <row r="6288">
      <c r="A6288" s="8" t="n"/>
      <c r="B6288" s="8" t="n"/>
      <c r="C6288" s="8" t="n"/>
      <c r="D6288" s="8" t="n"/>
      <c r="E6288" s="8" t="n"/>
      <c r="F6288" s="8" t="n"/>
      <c r="G6288" s="8" t="n"/>
      <c r="H6288" s="8" t="n"/>
      <c r="I6288" s="8" t="n"/>
      <c r="J6288" s="8" t="n"/>
      <c r="K6288" s="8" t="n"/>
      <c r="L6288" s="8" t="n"/>
      <c r="M6288" s="9">
        <f>B6288+30</f>
        <v/>
      </c>
      <c r="N6288">
        <f>IF(L6288="", "", L6288-B6288)</f>
        <v/>
      </c>
      <c r="O6288">
        <f>IF(L6288="", "Pending", IF(N6288&lt;=30, "Met", "Breached"))</f>
        <v/>
      </c>
      <c r="P6288" s="8" t="n"/>
      <c r="Q6288" s="8" t="n"/>
      <c r="R6288" s="8" t="n"/>
      <c r="S6288" s="8" t="n"/>
      <c r="T6288" s="8" t="n"/>
      <c r="U6288" s="8" t="n"/>
      <c r="V6288" s="8" t="n"/>
      <c r="W6288" s="8" t="n"/>
      <c r="X6288" s="8" t="n"/>
      <c r="Y6288" s="8" t="n"/>
    </row>
    <row r="6289">
      <c r="A6289" s="8" t="n"/>
      <c r="B6289" s="8" t="n"/>
      <c r="C6289" s="8" t="n"/>
      <c r="D6289" s="8" t="n"/>
      <c r="E6289" s="8" t="n"/>
      <c r="F6289" s="8" t="n"/>
      <c r="G6289" s="8" t="n"/>
      <c r="H6289" s="8" t="n"/>
      <c r="I6289" s="8" t="n"/>
      <c r="J6289" s="8" t="n"/>
      <c r="K6289" s="8" t="n"/>
      <c r="L6289" s="8" t="n"/>
      <c r="M6289" s="9">
        <f>B6289+30</f>
        <v/>
      </c>
      <c r="N6289">
        <f>IF(L6289="", "", L6289-B6289)</f>
        <v/>
      </c>
      <c r="O6289">
        <f>IF(L6289="", "Pending", IF(N6289&lt;=30, "Met", "Breached"))</f>
        <v/>
      </c>
      <c r="P6289" s="8" t="n"/>
      <c r="Q6289" s="8" t="n"/>
      <c r="R6289" s="8" t="n"/>
      <c r="S6289" s="8" t="n"/>
      <c r="T6289" s="8" t="n"/>
      <c r="U6289" s="8" t="n"/>
      <c r="V6289" s="8" t="n"/>
      <c r="W6289" s="8" t="n"/>
      <c r="X6289" s="8" t="n"/>
      <c r="Y6289" s="8" t="n"/>
    </row>
    <row r="6290">
      <c r="A6290" s="8" t="n"/>
      <c r="B6290" s="8" t="n"/>
      <c r="C6290" s="8" t="n"/>
      <c r="D6290" s="8" t="n"/>
      <c r="E6290" s="8" t="n"/>
      <c r="F6290" s="8" t="n"/>
      <c r="G6290" s="8" t="n"/>
      <c r="H6290" s="8" t="n"/>
      <c r="I6290" s="8" t="n"/>
      <c r="J6290" s="8" t="n"/>
      <c r="K6290" s="8" t="n"/>
      <c r="L6290" s="8" t="n"/>
      <c r="M6290" s="9">
        <f>B6290+30</f>
        <v/>
      </c>
      <c r="N6290">
        <f>IF(L6290="", "", L6290-B6290)</f>
        <v/>
      </c>
      <c r="O6290">
        <f>IF(L6290="", "Pending", IF(N6290&lt;=30, "Met", "Breached"))</f>
        <v/>
      </c>
      <c r="P6290" s="8" t="n"/>
      <c r="Q6290" s="8" t="n"/>
      <c r="R6290" s="8" t="n"/>
      <c r="S6290" s="8" t="n"/>
      <c r="T6290" s="8" t="n"/>
      <c r="U6290" s="8" t="n"/>
      <c r="V6290" s="8" t="n"/>
      <c r="W6290" s="8" t="n"/>
      <c r="X6290" s="8" t="n"/>
      <c r="Y6290" s="8" t="n"/>
    </row>
    <row r="6291">
      <c r="A6291" s="8" t="n"/>
      <c r="B6291" s="8" t="n"/>
      <c r="C6291" s="8" t="n"/>
      <c r="D6291" s="8" t="n"/>
      <c r="E6291" s="8" t="n"/>
      <c r="F6291" s="8" t="n"/>
      <c r="G6291" s="8" t="n"/>
      <c r="H6291" s="8" t="n"/>
      <c r="I6291" s="8" t="n"/>
      <c r="J6291" s="8" t="n"/>
      <c r="K6291" s="8" t="n"/>
      <c r="L6291" s="8" t="n"/>
      <c r="M6291" s="9">
        <f>B6291+30</f>
        <v/>
      </c>
      <c r="N6291">
        <f>IF(L6291="", "", L6291-B6291)</f>
        <v/>
      </c>
      <c r="O6291">
        <f>IF(L6291="", "Pending", IF(N6291&lt;=30, "Met", "Breached"))</f>
        <v/>
      </c>
      <c r="P6291" s="8" t="n"/>
      <c r="Q6291" s="8" t="n"/>
      <c r="R6291" s="8" t="n"/>
      <c r="S6291" s="8" t="n"/>
      <c r="T6291" s="8" t="n"/>
      <c r="U6291" s="8" t="n"/>
      <c r="V6291" s="8" t="n"/>
      <c r="W6291" s="8" t="n"/>
      <c r="X6291" s="8" t="n"/>
      <c r="Y6291" s="8" t="n"/>
    </row>
    <row r="6292">
      <c r="A6292" s="8" t="n"/>
      <c r="B6292" s="8" t="n"/>
      <c r="C6292" s="8" t="n"/>
      <c r="D6292" s="8" t="n"/>
      <c r="E6292" s="8" t="n"/>
      <c r="F6292" s="8" t="n"/>
      <c r="G6292" s="8" t="n"/>
      <c r="H6292" s="8" t="n"/>
      <c r="I6292" s="8" t="n"/>
      <c r="J6292" s="8" t="n"/>
      <c r="K6292" s="8" t="n"/>
      <c r="L6292" s="8" t="n"/>
      <c r="M6292" s="9">
        <f>B6292+30</f>
        <v/>
      </c>
      <c r="N6292">
        <f>IF(L6292="", "", L6292-B6292)</f>
        <v/>
      </c>
      <c r="O6292">
        <f>IF(L6292="", "Pending", IF(N6292&lt;=30, "Met", "Breached"))</f>
        <v/>
      </c>
      <c r="P6292" s="8" t="n"/>
      <c r="Q6292" s="8" t="n"/>
      <c r="R6292" s="8" t="n"/>
      <c r="S6292" s="8" t="n"/>
      <c r="T6292" s="8" t="n"/>
      <c r="U6292" s="8" t="n"/>
      <c r="V6292" s="8" t="n"/>
      <c r="W6292" s="8" t="n"/>
      <c r="X6292" s="8" t="n"/>
      <c r="Y6292" s="8" t="n"/>
    </row>
    <row r="6293">
      <c r="A6293" s="8" t="n"/>
      <c r="B6293" s="8" t="n"/>
      <c r="C6293" s="8" t="n"/>
      <c r="D6293" s="8" t="n"/>
      <c r="E6293" s="8" t="n"/>
      <c r="F6293" s="8" t="n"/>
      <c r="G6293" s="8" t="n"/>
      <c r="H6293" s="8" t="n"/>
      <c r="I6293" s="8" t="n"/>
      <c r="J6293" s="8" t="n"/>
      <c r="K6293" s="8" t="n"/>
      <c r="L6293" s="8" t="n"/>
      <c r="M6293" s="9">
        <f>B6293+30</f>
        <v/>
      </c>
      <c r="N6293">
        <f>IF(L6293="", "", L6293-B6293)</f>
        <v/>
      </c>
      <c r="O6293">
        <f>IF(L6293="", "Pending", IF(N6293&lt;=30, "Met", "Breached"))</f>
        <v/>
      </c>
      <c r="P6293" s="8" t="n"/>
      <c r="Q6293" s="8" t="n"/>
      <c r="R6293" s="8" t="n"/>
      <c r="S6293" s="8" t="n"/>
      <c r="T6293" s="8" t="n"/>
      <c r="U6293" s="8" t="n"/>
      <c r="V6293" s="8" t="n"/>
      <c r="W6293" s="8" t="n"/>
      <c r="X6293" s="8" t="n"/>
      <c r="Y6293" s="8" t="n"/>
    </row>
    <row r="6294">
      <c r="A6294" s="8" t="n"/>
      <c r="B6294" s="8" t="n"/>
      <c r="C6294" s="8" t="n"/>
      <c r="D6294" s="8" t="n"/>
      <c r="E6294" s="8" t="n"/>
      <c r="F6294" s="8" t="n"/>
      <c r="G6294" s="8" t="n"/>
      <c r="H6294" s="8" t="n"/>
      <c r="I6294" s="8" t="n"/>
      <c r="J6294" s="8" t="n"/>
      <c r="K6294" s="8" t="n"/>
      <c r="L6294" s="8" t="n"/>
      <c r="M6294" s="9">
        <f>B6294+30</f>
        <v/>
      </c>
      <c r="N6294">
        <f>IF(L6294="", "", L6294-B6294)</f>
        <v/>
      </c>
      <c r="O6294">
        <f>IF(L6294="", "Pending", IF(N6294&lt;=30, "Met", "Breached"))</f>
        <v/>
      </c>
      <c r="P6294" s="8" t="n"/>
      <c r="Q6294" s="8" t="n"/>
      <c r="R6294" s="8" t="n"/>
      <c r="S6294" s="8" t="n"/>
      <c r="T6294" s="8" t="n"/>
      <c r="U6294" s="8" t="n"/>
      <c r="V6294" s="8" t="n"/>
      <c r="W6294" s="8" t="n"/>
      <c r="X6294" s="8" t="n"/>
      <c r="Y6294" s="8" t="n"/>
    </row>
    <row r="6295">
      <c r="A6295" s="8" t="n"/>
      <c r="B6295" s="8" t="n"/>
      <c r="C6295" s="8" t="n"/>
      <c r="D6295" s="8" t="n"/>
      <c r="E6295" s="8" t="n"/>
      <c r="F6295" s="8" t="n"/>
      <c r="G6295" s="8" t="n"/>
      <c r="H6295" s="8" t="n"/>
      <c r="I6295" s="8" t="n"/>
      <c r="J6295" s="8" t="n"/>
      <c r="K6295" s="8" t="n"/>
      <c r="L6295" s="8" t="n"/>
      <c r="M6295" s="9">
        <f>B6295+30</f>
        <v/>
      </c>
      <c r="N6295">
        <f>IF(L6295="", "", L6295-B6295)</f>
        <v/>
      </c>
      <c r="O6295">
        <f>IF(L6295="", "Pending", IF(N6295&lt;=30, "Met", "Breached"))</f>
        <v/>
      </c>
      <c r="P6295" s="8" t="n"/>
      <c r="Q6295" s="8" t="n"/>
      <c r="R6295" s="8" t="n"/>
      <c r="S6295" s="8" t="n"/>
      <c r="T6295" s="8" t="n"/>
      <c r="U6295" s="8" t="n"/>
      <c r="V6295" s="8" t="n"/>
      <c r="W6295" s="8" t="n"/>
      <c r="X6295" s="8" t="n"/>
      <c r="Y6295" s="8" t="n"/>
    </row>
    <row r="6296">
      <c r="A6296" s="8" t="n"/>
      <c r="B6296" s="8" t="n"/>
      <c r="C6296" s="8" t="n"/>
      <c r="D6296" s="8" t="n"/>
      <c r="E6296" s="8" t="n"/>
      <c r="F6296" s="8" t="n"/>
      <c r="G6296" s="8" t="n"/>
      <c r="H6296" s="8" t="n"/>
      <c r="I6296" s="8" t="n"/>
      <c r="J6296" s="8" t="n"/>
      <c r="K6296" s="8" t="n"/>
      <c r="L6296" s="8" t="n"/>
      <c r="M6296" s="9">
        <f>B6296+30</f>
        <v/>
      </c>
      <c r="N6296">
        <f>IF(L6296="", "", L6296-B6296)</f>
        <v/>
      </c>
      <c r="O6296">
        <f>IF(L6296="", "Pending", IF(N6296&lt;=30, "Met", "Breached"))</f>
        <v/>
      </c>
      <c r="P6296" s="8" t="n"/>
      <c r="Q6296" s="8" t="n"/>
      <c r="R6296" s="8" t="n"/>
      <c r="S6296" s="8" t="n"/>
      <c r="T6296" s="8" t="n"/>
      <c r="U6296" s="8" t="n"/>
      <c r="V6296" s="8" t="n"/>
      <c r="W6296" s="8" t="n"/>
      <c r="X6296" s="8" t="n"/>
      <c r="Y6296" s="8" t="n"/>
    </row>
    <row r="6297">
      <c r="A6297" s="8" t="n"/>
      <c r="B6297" s="8" t="n"/>
      <c r="C6297" s="8" t="n"/>
      <c r="D6297" s="8" t="n"/>
      <c r="E6297" s="8" t="n"/>
      <c r="F6297" s="8" t="n"/>
      <c r="G6297" s="8" t="n"/>
      <c r="H6297" s="8" t="n"/>
      <c r="I6297" s="8" t="n"/>
      <c r="J6297" s="8" t="n"/>
      <c r="K6297" s="8" t="n"/>
      <c r="L6297" s="8" t="n"/>
      <c r="M6297" s="9">
        <f>B6297+30</f>
        <v/>
      </c>
      <c r="N6297">
        <f>IF(L6297="", "", L6297-B6297)</f>
        <v/>
      </c>
      <c r="O6297">
        <f>IF(L6297="", "Pending", IF(N6297&lt;=30, "Met", "Breached"))</f>
        <v/>
      </c>
      <c r="P6297" s="8" t="n"/>
      <c r="Q6297" s="8" t="n"/>
      <c r="R6297" s="8" t="n"/>
      <c r="S6297" s="8" t="n"/>
      <c r="T6297" s="8" t="n"/>
      <c r="U6297" s="8" t="n"/>
      <c r="V6297" s="8" t="n"/>
      <c r="W6297" s="8" t="n"/>
      <c r="X6297" s="8" t="n"/>
      <c r="Y6297" s="8" t="n"/>
    </row>
    <row r="6298">
      <c r="A6298" s="8" t="n"/>
      <c r="B6298" s="8" t="n"/>
      <c r="C6298" s="8" t="n"/>
      <c r="D6298" s="8" t="n"/>
      <c r="E6298" s="8" t="n"/>
      <c r="F6298" s="8" t="n"/>
      <c r="G6298" s="8" t="n"/>
      <c r="H6298" s="8" t="n"/>
      <c r="I6298" s="8" t="n"/>
      <c r="J6298" s="8" t="n"/>
      <c r="K6298" s="8" t="n"/>
      <c r="L6298" s="8" t="n"/>
      <c r="M6298" s="9">
        <f>B6298+30</f>
        <v/>
      </c>
      <c r="N6298">
        <f>IF(L6298="", "", L6298-B6298)</f>
        <v/>
      </c>
      <c r="O6298">
        <f>IF(L6298="", "Pending", IF(N6298&lt;=30, "Met", "Breached"))</f>
        <v/>
      </c>
      <c r="P6298" s="8" t="n"/>
      <c r="Q6298" s="8" t="n"/>
      <c r="R6298" s="8" t="n"/>
      <c r="S6298" s="8" t="n"/>
      <c r="T6298" s="8" t="n"/>
      <c r="U6298" s="8" t="n"/>
      <c r="V6298" s="8" t="n"/>
      <c r="W6298" s="8" t="n"/>
      <c r="X6298" s="8" t="n"/>
      <c r="Y6298" s="8" t="n"/>
    </row>
    <row r="6299">
      <c r="A6299" s="8" t="n"/>
      <c r="B6299" s="8" t="n"/>
      <c r="C6299" s="8" t="n"/>
      <c r="D6299" s="8" t="n"/>
      <c r="E6299" s="8" t="n"/>
      <c r="F6299" s="8" t="n"/>
      <c r="G6299" s="8" t="n"/>
      <c r="H6299" s="8" t="n"/>
      <c r="I6299" s="8" t="n"/>
      <c r="J6299" s="8" t="n"/>
      <c r="K6299" s="8" t="n"/>
      <c r="L6299" s="8" t="n"/>
      <c r="M6299" s="9">
        <f>B6299+30</f>
        <v/>
      </c>
      <c r="N6299">
        <f>IF(L6299="", "", L6299-B6299)</f>
        <v/>
      </c>
      <c r="O6299">
        <f>IF(L6299="", "Pending", IF(N6299&lt;=30, "Met", "Breached"))</f>
        <v/>
      </c>
      <c r="P6299" s="8" t="n"/>
      <c r="Q6299" s="8" t="n"/>
      <c r="R6299" s="8" t="n"/>
      <c r="S6299" s="8" t="n"/>
      <c r="T6299" s="8" t="n"/>
      <c r="U6299" s="8" t="n"/>
      <c r="V6299" s="8" t="n"/>
      <c r="W6299" s="8" t="n"/>
      <c r="X6299" s="8" t="n"/>
      <c r="Y6299" s="8" t="n"/>
    </row>
    <row r="6300">
      <c r="A6300" s="8" t="n"/>
      <c r="B6300" s="8" t="n"/>
      <c r="C6300" s="8" t="n"/>
      <c r="D6300" s="8" t="n"/>
      <c r="E6300" s="8" t="n"/>
      <c r="F6300" s="8" t="n"/>
      <c r="G6300" s="8" t="n"/>
      <c r="H6300" s="8" t="n"/>
      <c r="I6300" s="8" t="n"/>
      <c r="J6300" s="8" t="n"/>
      <c r="K6300" s="8" t="n"/>
      <c r="L6300" s="8" t="n"/>
      <c r="M6300" s="9">
        <f>B6300+30</f>
        <v/>
      </c>
      <c r="N6300">
        <f>IF(L6300="", "", L6300-B6300)</f>
        <v/>
      </c>
      <c r="O6300">
        <f>IF(L6300="", "Pending", IF(N6300&lt;=30, "Met", "Breached"))</f>
        <v/>
      </c>
      <c r="P6300" s="8" t="n"/>
      <c r="Q6300" s="8" t="n"/>
      <c r="R6300" s="8" t="n"/>
      <c r="S6300" s="8" t="n"/>
      <c r="T6300" s="8" t="n"/>
      <c r="U6300" s="8" t="n"/>
      <c r="V6300" s="8" t="n"/>
      <c r="W6300" s="8" t="n"/>
      <c r="X6300" s="8" t="n"/>
      <c r="Y6300" s="8" t="n"/>
    </row>
    <row r="6301">
      <c r="A6301" s="8" t="n"/>
      <c r="B6301" s="8" t="n"/>
      <c r="C6301" s="8" t="n"/>
      <c r="D6301" s="8" t="n"/>
      <c r="E6301" s="8" t="n"/>
      <c r="F6301" s="8" t="n"/>
      <c r="G6301" s="8" t="n"/>
      <c r="H6301" s="8" t="n"/>
      <c r="I6301" s="8" t="n"/>
      <c r="J6301" s="8" t="n"/>
      <c r="K6301" s="8" t="n"/>
      <c r="L6301" s="8" t="n"/>
      <c r="M6301" s="9">
        <f>B6301+30</f>
        <v/>
      </c>
      <c r="N6301">
        <f>IF(L6301="", "", L6301-B6301)</f>
        <v/>
      </c>
      <c r="O6301">
        <f>IF(L6301="", "Pending", IF(N6301&lt;=30, "Met", "Breached"))</f>
        <v/>
      </c>
      <c r="P6301" s="8" t="n"/>
      <c r="Q6301" s="8" t="n"/>
      <c r="R6301" s="8" t="n"/>
      <c r="S6301" s="8" t="n"/>
      <c r="T6301" s="8" t="n"/>
      <c r="U6301" s="8" t="n"/>
      <c r="V6301" s="8" t="n"/>
      <c r="W6301" s="8" t="n"/>
      <c r="X6301" s="8" t="n"/>
      <c r="Y6301" s="8" t="n"/>
    </row>
    <row r="6302">
      <c r="A6302" s="8" t="n"/>
      <c r="B6302" s="8" t="n"/>
      <c r="C6302" s="8" t="n"/>
      <c r="D6302" s="8" t="n"/>
      <c r="E6302" s="8" t="n"/>
      <c r="F6302" s="8" t="n"/>
      <c r="G6302" s="8" t="n"/>
      <c r="H6302" s="8" t="n"/>
      <c r="I6302" s="8" t="n"/>
      <c r="J6302" s="8" t="n"/>
      <c r="K6302" s="8" t="n"/>
      <c r="L6302" s="8" t="n"/>
      <c r="M6302" s="9">
        <f>B6302+30</f>
        <v/>
      </c>
      <c r="N6302">
        <f>IF(L6302="", "", L6302-B6302)</f>
        <v/>
      </c>
      <c r="O6302">
        <f>IF(L6302="", "Pending", IF(N6302&lt;=30, "Met", "Breached"))</f>
        <v/>
      </c>
      <c r="P6302" s="8" t="n"/>
      <c r="Q6302" s="8" t="n"/>
      <c r="R6302" s="8" t="n"/>
      <c r="S6302" s="8" t="n"/>
      <c r="T6302" s="8" t="n"/>
      <c r="U6302" s="8" t="n"/>
      <c r="V6302" s="8" t="n"/>
      <c r="W6302" s="8" t="n"/>
      <c r="X6302" s="8" t="n"/>
      <c r="Y6302" s="8" t="n"/>
    </row>
    <row r="6303">
      <c r="A6303" s="8" t="n"/>
      <c r="B6303" s="8" t="n"/>
      <c r="C6303" s="8" t="n"/>
      <c r="D6303" s="8" t="n"/>
      <c r="E6303" s="8" t="n"/>
      <c r="F6303" s="8" t="n"/>
      <c r="G6303" s="8" t="n"/>
      <c r="H6303" s="8" t="n"/>
      <c r="I6303" s="8" t="n"/>
      <c r="J6303" s="8" t="n"/>
      <c r="K6303" s="8" t="n"/>
      <c r="L6303" s="8" t="n"/>
      <c r="M6303" s="9">
        <f>B6303+30</f>
        <v/>
      </c>
      <c r="N6303">
        <f>IF(L6303="", "", L6303-B6303)</f>
        <v/>
      </c>
      <c r="O6303">
        <f>IF(L6303="", "Pending", IF(N6303&lt;=30, "Met", "Breached"))</f>
        <v/>
      </c>
      <c r="P6303" s="8" t="n"/>
      <c r="Q6303" s="8" t="n"/>
      <c r="R6303" s="8" t="n"/>
      <c r="S6303" s="8" t="n"/>
      <c r="T6303" s="8" t="n"/>
      <c r="U6303" s="8" t="n"/>
      <c r="V6303" s="8" t="n"/>
      <c r="W6303" s="8" t="n"/>
      <c r="X6303" s="8" t="n"/>
      <c r="Y6303" s="8" t="n"/>
    </row>
    <row r="6304">
      <c r="A6304" s="8" t="n"/>
      <c r="B6304" s="8" t="n"/>
      <c r="C6304" s="8" t="n"/>
      <c r="D6304" s="8" t="n"/>
      <c r="E6304" s="8" t="n"/>
      <c r="F6304" s="8" t="n"/>
      <c r="G6304" s="8" t="n"/>
      <c r="H6304" s="8" t="n"/>
      <c r="I6304" s="8" t="n"/>
      <c r="J6304" s="8" t="n"/>
      <c r="K6304" s="8" t="n"/>
      <c r="L6304" s="8" t="n"/>
      <c r="M6304" s="9">
        <f>B6304+30</f>
        <v/>
      </c>
      <c r="N6304">
        <f>IF(L6304="", "", L6304-B6304)</f>
        <v/>
      </c>
      <c r="O6304">
        <f>IF(L6304="", "Pending", IF(N6304&lt;=30, "Met", "Breached"))</f>
        <v/>
      </c>
      <c r="P6304" s="8" t="n"/>
      <c r="Q6304" s="8" t="n"/>
      <c r="R6304" s="8" t="n"/>
      <c r="S6304" s="8" t="n"/>
      <c r="T6304" s="8" t="n"/>
      <c r="U6304" s="8" t="n"/>
      <c r="V6304" s="8" t="n"/>
      <c r="W6304" s="8" t="n"/>
      <c r="X6304" s="8" t="n"/>
      <c r="Y6304" s="8" t="n"/>
    </row>
    <row r="6305">
      <c r="A6305" s="8" t="n"/>
      <c r="B6305" s="8" t="n"/>
      <c r="C6305" s="8" t="n"/>
      <c r="D6305" s="8" t="n"/>
      <c r="E6305" s="8" t="n"/>
      <c r="F6305" s="8" t="n"/>
      <c r="G6305" s="8" t="n"/>
      <c r="H6305" s="8" t="n"/>
      <c r="I6305" s="8" t="n"/>
      <c r="J6305" s="8" t="n"/>
      <c r="K6305" s="8" t="n"/>
      <c r="L6305" s="8" t="n"/>
      <c r="M6305" s="9">
        <f>B6305+30</f>
        <v/>
      </c>
      <c r="N6305">
        <f>IF(L6305="", "", L6305-B6305)</f>
        <v/>
      </c>
      <c r="O6305">
        <f>IF(L6305="", "Pending", IF(N6305&lt;=30, "Met", "Breached"))</f>
        <v/>
      </c>
      <c r="P6305" s="8" t="n"/>
      <c r="Q6305" s="8" t="n"/>
      <c r="R6305" s="8" t="n"/>
      <c r="S6305" s="8" t="n"/>
      <c r="T6305" s="8" t="n"/>
      <c r="U6305" s="8" t="n"/>
      <c r="V6305" s="8" t="n"/>
      <c r="W6305" s="8" t="n"/>
      <c r="X6305" s="8" t="n"/>
      <c r="Y6305" s="8" t="n"/>
    </row>
    <row r="6306">
      <c r="A6306" s="8" t="n"/>
      <c r="B6306" s="8" t="n"/>
      <c r="C6306" s="8" t="n"/>
      <c r="D6306" s="8" t="n"/>
      <c r="E6306" s="8" t="n"/>
      <c r="F6306" s="8" t="n"/>
      <c r="G6306" s="8" t="n"/>
      <c r="H6306" s="8" t="n"/>
      <c r="I6306" s="8" t="n"/>
      <c r="J6306" s="8" t="n"/>
      <c r="K6306" s="8" t="n"/>
      <c r="L6306" s="8" t="n"/>
      <c r="M6306" s="9">
        <f>B6306+30</f>
        <v/>
      </c>
      <c r="N6306">
        <f>IF(L6306="", "", L6306-B6306)</f>
        <v/>
      </c>
      <c r="O6306">
        <f>IF(L6306="", "Pending", IF(N6306&lt;=30, "Met", "Breached"))</f>
        <v/>
      </c>
      <c r="P6306" s="8" t="n"/>
      <c r="Q6306" s="8" t="n"/>
      <c r="R6306" s="8" t="n"/>
      <c r="S6306" s="8" t="n"/>
      <c r="T6306" s="8" t="n"/>
      <c r="U6306" s="8" t="n"/>
      <c r="V6306" s="8" t="n"/>
      <c r="W6306" s="8" t="n"/>
      <c r="X6306" s="8" t="n"/>
      <c r="Y6306" s="8" t="n"/>
    </row>
    <row r="6307">
      <c r="A6307" s="8" t="n"/>
      <c r="B6307" s="8" t="n"/>
      <c r="C6307" s="8" t="n"/>
      <c r="D6307" s="8" t="n"/>
      <c r="E6307" s="8" t="n"/>
      <c r="F6307" s="8" t="n"/>
      <c r="G6307" s="8" t="n"/>
      <c r="H6307" s="8" t="n"/>
      <c r="I6307" s="8" t="n"/>
      <c r="J6307" s="8" t="n"/>
      <c r="K6307" s="8" t="n"/>
      <c r="L6307" s="8" t="n"/>
      <c r="M6307" s="9">
        <f>B6307+30</f>
        <v/>
      </c>
      <c r="N6307">
        <f>IF(L6307="", "", L6307-B6307)</f>
        <v/>
      </c>
      <c r="O6307">
        <f>IF(L6307="", "Pending", IF(N6307&lt;=30, "Met", "Breached"))</f>
        <v/>
      </c>
      <c r="P6307" s="8" t="n"/>
      <c r="Q6307" s="8" t="n"/>
      <c r="R6307" s="8" t="n"/>
      <c r="S6307" s="8" t="n"/>
      <c r="T6307" s="8" t="n"/>
      <c r="U6307" s="8" t="n"/>
      <c r="V6307" s="8" t="n"/>
      <c r="W6307" s="8" t="n"/>
      <c r="X6307" s="8" t="n"/>
      <c r="Y6307" s="8" t="n"/>
    </row>
    <row r="6308">
      <c r="A6308" s="8" t="n"/>
      <c r="B6308" s="8" t="n"/>
      <c r="C6308" s="8" t="n"/>
      <c r="D6308" s="8" t="n"/>
      <c r="E6308" s="8" t="n"/>
      <c r="F6308" s="8" t="n"/>
      <c r="G6308" s="8" t="n"/>
      <c r="H6308" s="8" t="n"/>
      <c r="I6308" s="8" t="n"/>
      <c r="J6308" s="8" t="n"/>
      <c r="K6308" s="8" t="n"/>
      <c r="L6308" s="8" t="n"/>
      <c r="M6308" s="9">
        <f>B6308+30</f>
        <v/>
      </c>
      <c r="N6308">
        <f>IF(L6308="", "", L6308-B6308)</f>
        <v/>
      </c>
      <c r="O6308">
        <f>IF(L6308="", "Pending", IF(N6308&lt;=30, "Met", "Breached"))</f>
        <v/>
      </c>
      <c r="P6308" s="8" t="n"/>
      <c r="Q6308" s="8" t="n"/>
      <c r="R6308" s="8" t="n"/>
      <c r="S6308" s="8" t="n"/>
      <c r="T6308" s="8" t="n"/>
      <c r="U6308" s="8" t="n"/>
      <c r="V6308" s="8" t="n"/>
      <c r="W6308" s="8" t="n"/>
      <c r="X6308" s="8" t="n"/>
      <c r="Y6308" s="8" t="n"/>
    </row>
    <row r="6309">
      <c r="A6309" s="8" t="n"/>
      <c r="B6309" s="8" t="n"/>
      <c r="C6309" s="8" t="n"/>
      <c r="D6309" s="8" t="n"/>
      <c r="E6309" s="8" t="n"/>
      <c r="F6309" s="8" t="n"/>
      <c r="G6309" s="8" t="n"/>
      <c r="H6309" s="8" t="n"/>
      <c r="I6309" s="8" t="n"/>
      <c r="J6309" s="8" t="n"/>
      <c r="K6309" s="8" t="n"/>
      <c r="L6309" s="8" t="n"/>
      <c r="M6309" s="9">
        <f>B6309+30</f>
        <v/>
      </c>
      <c r="N6309">
        <f>IF(L6309="", "", L6309-B6309)</f>
        <v/>
      </c>
      <c r="O6309">
        <f>IF(L6309="", "Pending", IF(N6309&lt;=30, "Met", "Breached"))</f>
        <v/>
      </c>
      <c r="P6309" s="8" t="n"/>
      <c r="Q6309" s="8" t="n"/>
      <c r="R6309" s="8" t="n"/>
      <c r="S6309" s="8" t="n"/>
      <c r="T6309" s="8" t="n"/>
      <c r="U6309" s="8" t="n"/>
      <c r="V6309" s="8" t="n"/>
      <c r="W6309" s="8" t="n"/>
      <c r="X6309" s="8" t="n"/>
      <c r="Y6309" s="8" t="n"/>
    </row>
    <row r="6310">
      <c r="A6310" s="8" t="n"/>
      <c r="B6310" s="8" t="n"/>
      <c r="C6310" s="8" t="n"/>
      <c r="D6310" s="8" t="n"/>
      <c r="E6310" s="8" t="n"/>
      <c r="F6310" s="8" t="n"/>
      <c r="G6310" s="8" t="n"/>
      <c r="H6310" s="8" t="n"/>
      <c r="I6310" s="8" t="n"/>
      <c r="J6310" s="8" t="n"/>
      <c r="K6310" s="8" t="n"/>
      <c r="L6310" s="8" t="n"/>
      <c r="M6310" s="9">
        <f>B6310+30</f>
        <v/>
      </c>
      <c r="N6310">
        <f>IF(L6310="", "", L6310-B6310)</f>
        <v/>
      </c>
      <c r="O6310">
        <f>IF(L6310="", "Pending", IF(N6310&lt;=30, "Met", "Breached"))</f>
        <v/>
      </c>
      <c r="P6310" s="8" t="n"/>
      <c r="Q6310" s="8" t="n"/>
      <c r="R6310" s="8" t="n"/>
      <c r="S6310" s="8" t="n"/>
      <c r="T6310" s="8" t="n"/>
      <c r="U6310" s="8" t="n"/>
      <c r="V6310" s="8" t="n"/>
      <c r="W6310" s="8" t="n"/>
      <c r="X6310" s="8" t="n"/>
      <c r="Y6310" s="8" t="n"/>
    </row>
    <row r="6311">
      <c r="A6311" s="8" t="n"/>
      <c r="B6311" s="8" t="n"/>
      <c r="C6311" s="8" t="n"/>
      <c r="D6311" s="8" t="n"/>
      <c r="E6311" s="8" t="n"/>
      <c r="F6311" s="8" t="n"/>
      <c r="G6311" s="8" t="n"/>
      <c r="H6311" s="8" t="n"/>
      <c r="I6311" s="8" t="n"/>
      <c r="J6311" s="8" t="n"/>
      <c r="K6311" s="8" t="n"/>
      <c r="L6311" s="8" t="n"/>
      <c r="M6311" s="9">
        <f>B6311+30</f>
        <v/>
      </c>
      <c r="N6311">
        <f>IF(L6311="", "", L6311-B6311)</f>
        <v/>
      </c>
      <c r="O6311">
        <f>IF(L6311="", "Pending", IF(N6311&lt;=30, "Met", "Breached"))</f>
        <v/>
      </c>
      <c r="P6311" s="8" t="n"/>
      <c r="Q6311" s="8" t="n"/>
      <c r="R6311" s="8" t="n"/>
      <c r="S6311" s="8" t="n"/>
      <c r="T6311" s="8" t="n"/>
      <c r="U6311" s="8" t="n"/>
      <c r="V6311" s="8" t="n"/>
      <c r="W6311" s="8" t="n"/>
      <c r="X6311" s="8" t="n"/>
      <c r="Y6311" s="8" t="n"/>
    </row>
    <row r="6312">
      <c r="A6312" s="8" t="n"/>
      <c r="B6312" s="8" t="n"/>
      <c r="C6312" s="8" t="n"/>
      <c r="D6312" s="8" t="n"/>
      <c r="E6312" s="8" t="n"/>
      <c r="F6312" s="8" t="n"/>
      <c r="G6312" s="8" t="n"/>
      <c r="H6312" s="8" t="n"/>
      <c r="I6312" s="8" t="n"/>
      <c r="J6312" s="8" t="n"/>
      <c r="K6312" s="8" t="n"/>
      <c r="L6312" s="8" t="n"/>
      <c r="M6312" s="9">
        <f>B6312+30</f>
        <v/>
      </c>
      <c r="N6312">
        <f>IF(L6312="", "", L6312-B6312)</f>
        <v/>
      </c>
      <c r="O6312">
        <f>IF(L6312="", "Pending", IF(N6312&lt;=30, "Met", "Breached"))</f>
        <v/>
      </c>
      <c r="P6312" s="8" t="n"/>
      <c r="Q6312" s="8" t="n"/>
      <c r="R6312" s="8" t="n"/>
      <c r="S6312" s="8" t="n"/>
      <c r="T6312" s="8" t="n"/>
      <c r="U6312" s="8" t="n"/>
      <c r="V6312" s="8" t="n"/>
      <c r="W6312" s="8" t="n"/>
      <c r="X6312" s="8" t="n"/>
      <c r="Y6312" s="8" t="n"/>
    </row>
    <row r="6313">
      <c r="A6313" s="8" t="n"/>
      <c r="B6313" s="8" t="n"/>
      <c r="C6313" s="8" t="n"/>
      <c r="D6313" s="8" t="n"/>
      <c r="E6313" s="8" t="n"/>
      <c r="F6313" s="8" t="n"/>
      <c r="G6313" s="8" t="n"/>
      <c r="H6313" s="8" t="n"/>
      <c r="I6313" s="8" t="n"/>
      <c r="J6313" s="8" t="n"/>
      <c r="K6313" s="8" t="n"/>
      <c r="L6313" s="8" t="n"/>
      <c r="M6313" s="9">
        <f>B6313+30</f>
        <v/>
      </c>
      <c r="N6313">
        <f>IF(L6313="", "", L6313-B6313)</f>
        <v/>
      </c>
      <c r="O6313">
        <f>IF(L6313="", "Pending", IF(N6313&lt;=30, "Met", "Breached"))</f>
        <v/>
      </c>
      <c r="P6313" s="8" t="n"/>
      <c r="Q6313" s="8" t="n"/>
      <c r="R6313" s="8" t="n"/>
      <c r="S6313" s="8" t="n"/>
      <c r="T6313" s="8" t="n"/>
      <c r="U6313" s="8" t="n"/>
      <c r="V6313" s="8" t="n"/>
      <c r="W6313" s="8" t="n"/>
      <c r="X6313" s="8" t="n"/>
      <c r="Y6313" s="8" t="n"/>
    </row>
    <row r="6314">
      <c r="A6314" s="8" t="n"/>
      <c r="B6314" s="8" t="n"/>
      <c r="C6314" s="8" t="n"/>
      <c r="D6314" s="8" t="n"/>
      <c r="E6314" s="8" t="n"/>
      <c r="F6314" s="8" t="n"/>
      <c r="G6314" s="8" t="n"/>
      <c r="H6314" s="8" t="n"/>
      <c r="I6314" s="8" t="n"/>
      <c r="J6314" s="8" t="n"/>
      <c r="K6314" s="8" t="n"/>
      <c r="L6314" s="8" t="n"/>
      <c r="M6314" s="9">
        <f>B6314+30</f>
        <v/>
      </c>
      <c r="N6314">
        <f>IF(L6314="", "", L6314-B6314)</f>
        <v/>
      </c>
      <c r="O6314">
        <f>IF(L6314="", "Pending", IF(N6314&lt;=30, "Met", "Breached"))</f>
        <v/>
      </c>
      <c r="P6314" s="8" t="n"/>
      <c r="Q6314" s="8" t="n"/>
      <c r="R6314" s="8" t="n"/>
      <c r="S6314" s="8" t="n"/>
      <c r="T6314" s="8" t="n"/>
      <c r="U6314" s="8" t="n"/>
      <c r="V6314" s="8" t="n"/>
      <c r="W6314" s="8" t="n"/>
      <c r="X6314" s="8" t="n"/>
      <c r="Y6314" s="8" t="n"/>
    </row>
    <row r="6315">
      <c r="A6315" s="8" t="n"/>
      <c r="B6315" s="8" t="n"/>
      <c r="C6315" s="8" t="n"/>
      <c r="D6315" s="8" t="n"/>
      <c r="E6315" s="8" t="n"/>
      <c r="F6315" s="8" t="n"/>
      <c r="G6315" s="8" t="n"/>
      <c r="H6315" s="8" t="n"/>
      <c r="I6315" s="8" t="n"/>
      <c r="J6315" s="8" t="n"/>
      <c r="K6315" s="8" t="n"/>
      <c r="L6315" s="8" t="n"/>
      <c r="M6315" s="9">
        <f>B6315+30</f>
        <v/>
      </c>
      <c r="N6315">
        <f>IF(L6315="", "", L6315-B6315)</f>
        <v/>
      </c>
      <c r="O6315">
        <f>IF(L6315="", "Pending", IF(N6315&lt;=30, "Met", "Breached"))</f>
        <v/>
      </c>
      <c r="P6315" s="8" t="n"/>
      <c r="Q6315" s="8" t="n"/>
      <c r="R6315" s="8" t="n"/>
      <c r="S6315" s="8" t="n"/>
      <c r="T6315" s="8" t="n"/>
      <c r="U6315" s="8" t="n"/>
      <c r="V6315" s="8" t="n"/>
      <c r="W6315" s="8" t="n"/>
      <c r="X6315" s="8" t="n"/>
      <c r="Y6315" s="8" t="n"/>
    </row>
    <row r="6316">
      <c r="A6316" s="8" t="n"/>
      <c r="B6316" s="8" t="n"/>
      <c r="C6316" s="8" t="n"/>
      <c r="D6316" s="8" t="n"/>
      <c r="E6316" s="8" t="n"/>
      <c r="F6316" s="8" t="n"/>
      <c r="G6316" s="8" t="n"/>
      <c r="H6316" s="8" t="n"/>
      <c r="I6316" s="8" t="n"/>
      <c r="J6316" s="8" t="n"/>
      <c r="K6316" s="8" t="n"/>
      <c r="L6316" s="8" t="n"/>
      <c r="M6316" s="9">
        <f>B6316+30</f>
        <v/>
      </c>
      <c r="N6316">
        <f>IF(L6316="", "", L6316-B6316)</f>
        <v/>
      </c>
      <c r="O6316">
        <f>IF(L6316="", "Pending", IF(N6316&lt;=30, "Met", "Breached"))</f>
        <v/>
      </c>
      <c r="P6316" s="8" t="n"/>
      <c r="Q6316" s="8" t="n"/>
      <c r="R6316" s="8" t="n"/>
      <c r="S6316" s="8" t="n"/>
      <c r="T6316" s="8" t="n"/>
      <c r="U6316" s="8" t="n"/>
      <c r="V6316" s="8" t="n"/>
      <c r="W6316" s="8" t="n"/>
      <c r="X6316" s="8" t="n"/>
      <c r="Y6316" s="8" t="n"/>
    </row>
    <row r="6317">
      <c r="A6317" s="8" t="n"/>
      <c r="B6317" s="8" t="n"/>
      <c r="C6317" s="8" t="n"/>
      <c r="D6317" s="8" t="n"/>
      <c r="E6317" s="8" t="n"/>
      <c r="F6317" s="8" t="n"/>
      <c r="G6317" s="8" t="n"/>
      <c r="H6317" s="8" t="n"/>
      <c r="I6317" s="8" t="n"/>
      <c r="J6317" s="8" t="n"/>
      <c r="K6317" s="8" t="n"/>
      <c r="L6317" s="8" t="n"/>
      <c r="M6317" s="9">
        <f>B6317+30</f>
        <v/>
      </c>
      <c r="N6317">
        <f>IF(L6317="", "", L6317-B6317)</f>
        <v/>
      </c>
      <c r="O6317">
        <f>IF(L6317="", "Pending", IF(N6317&lt;=30, "Met", "Breached"))</f>
        <v/>
      </c>
      <c r="P6317" s="8" t="n"/>
      <c r="Q6317" s="8" t="n"/>
      <c r="R6317" s="8" t="n"/>
      <c r="S6317" s="8" t="n"/>
      <c r="T6317" s="8" t="n"/>
      <c r="U6317" s="8" t="n"/>
      <c r="V6317" s="8" t="n"/>
      <c r="W6317" s="8" t="n"/>
      <c r="X6317" s="8" t="n"/>
      <c r="Y6317" s="8" t="n"/>
    </row>
    <row r="6318">
      <c r="A6318" s="8" t="n"/>
      <c r="B6318" s="8" t="n"/>
      <c r="C6318" s="8" t="n"/>
      <c r="D6318" s="8" t="n"/>
      <c r="E6318" s="8" t="n"/>
      <c r="F6318" s="8" t="n"/>
      <c r="G6318" s="8" t="n"/>
      <c r="H6318" s="8" t="n"/>
      <c r="I6318" s="8" t="n"/>
      <c r="J6318" s="8" t="n"/>
      <c r="K6318" s="8" t="n"/>
      <c r="L6318" s="8" t="n"/>
      <c r="M6318" s="9">
        <f>B6318+30</f>
        <v/>
      </c>
      <c r="N6318">
        <f>IF(L6318="", "", L6318-B6318)</f>
        <v/>
      </c>
      <c r="O6318">
        <f>IF(L6318="", "Pending", IF(N6318&lt;=30, "Met", "Breached"))</f>
        <v/>
      </c>
      <c r="P6318" s="8" t="n"/>
      <c r="Q6318" s="8" t="n"/>
      <c r="R6318" s="8" t="n"/>
      <c r="S6318" s="8" t="n"/>
      <c r="T6318" s="8" t="n"/>
      <c r="U6318" s="8" t="n"/>
      <c r="V6318" s="8" t="n"/>
      <c r="W6318" s="8" t="n"/>
      <c r="X6318" s="8" t="n"/>
      <c r="Y6318" s="8" t="n"/>
    </row>
    <row r="6319">
      <c r="A6319" s="8" t="n"/>
      <c r="B6319" s="8" t="n"/>
      <c r="C6319" s="8" t="n"/>
      <c r="D6319" s="8" t="n"/>
      <c r="E6319" s="8" t="n"/>
      <c r="F6319" s="8" t="n"/>
      <c r="G6319" s="8" t="n"/>
      <c r="H6319" s="8" t="n"/>
      <c r="I6319" s="8" t="n"/>
      <c r="J6319" s="8" t="n"/>
      <c r="K6319" s="8" t="n"/>
      <c r="L6319" s="8" t="n"/>
      <c r="M6319" s="9">
        <f>B6319+30</f>
        <v/>
      </c>
      <c r="N6319">
        <f>IF(L6319="", "", L6319-B6319)</f>
        <v/>
      </c>
      <c r="O6319">
        <f>IF(L6319="", "Pending", IF(N6319&lt;=30, "Met", "Breached"))</f>
        <v/>
      </c>
      <c r="P6319" s="8" t="n"/>
      <c r="Q6319" s="8" t="n"/>
      <c r="R6319" s="8" t="n"/>
      <c r="S6319" s="8" t="n"/>
      <c r="T6319" s="8" t="n"/>
      <c r="U6319" s="8" t="n"/>
      <c r="V6319" s="8" t="n"/>
      <c r="W6319" s="8" t="n"/>
      <c r="X6319" s="8" t="n"/>
      <c r="Y6319" s="8" t="n"/>
    </row>
    <row r="6320">
      <c r="A6320" s="8" t="n"/>
      <c r="B6320" s="8" t="n"/>
      <c r="C6320" s="8" t="n"/>
      <c r="D6320" s="8" t="n"/>
      <c r="E6320" s="8" t="n"/>
      <c r="F6320" s="8" t="n"/>
      <c r="G6320" s="8" t="n"/>
      <c r="H6320" s="8" t="n"/>
      <c r="I6320" s="8" t="n"/>
      <c r="J6320" s="8" t="n"/>
      <c r="K6320" s="8" t="n"/>
      <c r="L6320" s="8" t="n"/>
      <c r="M6320" s="9">
        <f>B6320+30</f>
        <v/>
      </c>
      <c r="N6320">
        <f>IF(L6320="", "", L6320-B6320)</f>
        <v/>
      </c>
      <c r="O6320">
        <f>IF(L6320="", "Pending", IF(N6320&lt;=30, "Met", "Breached"))</f>
        <v/>
      </c>
      <c r="P6320" s="8" t="n"/>
      <c r="Q6320" s="8" t="n"/>
      <c r="R6320" s="8" t="n"/>
      <c r="S6320" s="8" t="n"/>
      <c r="T6320" s="8" t="n"/>
      <c r="U6320" s="8" t="n"/>
      <c r="V6320" s="8" t="n"/>
      <c r="W6320" s="8" t="n"/>
      <c r="X6320" s="8" t="n"/>
      <c r="Y6320" s="8" t="n"/>
    </row>
    <row r="6321">
      <c r="A6321" s="8" t="n"/>
      <c r="B6321" s="8" t="n"/>
      <c r="C6321" s="8" t="n"/>
      <c r="D6321" s="8" t="n"/>
      <c r="E6321" s="8" t="n"/>
      <c r="F6321" s="8" t="n"/>
      <c r="G6321" s="8" t="n"/>
      <c r="H6321" s="8" t="n"/>
      <c r="I6321" s="8" t="n"/>
      <c r="J6321" s="8" t="n"/>
      <c r="K6321" s="8" t="n"/>
      <c r="L6321" s="8" t="n"/>
      <c r="M6321" s="9">
        <f>B6321+30</f>
        <v/>
      </c>
      <c r="N6321">
        <f>IF(L6321="", "", L6321-B6321)</f>
        <v/>
      </c>
      <c r="O6321">
        <f>IF(L6321="", "Pending", IF(N6321&lt;=30, "Met", "Breached"))</f>
        <v/>
      </c>
      <c r="P6321" s="8" t="n"/>
      <c r="Q6321" s="8" t="n"/>
      <c r="R6321" s="8" t="n"/>
      <c r="S6321" s="8" t="n"/>
      <c r="T6321" s="8" t="n"/>
      <c r="U6321" s="8" t="n"/>
      <c r="V6321" s="8" t="n"/>
      <c r="W6321" s="8" t="n"/>
      <c r="X6321" s="8" t="n"/>
      <c r="Y6321" s="8" t="n"/>
    </row>
    <row r="6322">
      <c r="A6322" s="8" t="n"/>
      <c r="B6322" s="8" t="n"/>
      <c r="C6322" s="8" t="n"/>
      <c r="D6322" s="8" t="n"/>
      <c r="E6322" s="8" t="n"/>
      <c r="F6322" s="8" t="n"/>
      <c r="G6322" s="8" t="n"/>
      <c r="H6322" s="8" t="n"/>
      <c r="I6322" s="8" t="n"/>
      <c r="J6322" s="8" t="n"/>
      <c r="K6322" s="8" t="n"/>
      <c r="L6322" s="8" t="n"/>
      <c r="M6322" s="9">
        <f>B6322+30</f>
        <v/>
      </c>
      <c r="N6322">
        <f>IF(L6322="", "", L6322-B6322)</f>
        <v/>
      </c>
      <c r="O6322">
        <f>IF(L6322="", "Pending", IF(N6322&lt;=30, "Met", "Breached"))</f>
        <v/>
      </c>
      <c r="P6322" s="8" t="n"/>
      <c r="Q6322" s="8" t="n"/>
      <c r="R6322" s="8" t="n"/>
      <c r="S6322" s="8" t="n"/>
      <c r="T6322" s="8" t="n"/>
      <c r="U6322" s="8" t="n"/>
      <c r="V6322" s="8" t="n"/>
      <c r="W6322" s="8" t="n"/>
      <c r="X6322" s="8" t="n"/>
      <c r="Y6322" s="8" t="n"/>
    </row>
    <row r="6323">
      <c r="A6323" s="8" t="n"/>
      <c r="B6323" s="8" t="n"/>
      <c r="C6323" s="8" t="n"/>
      <c r="D6323" s="8" t="n"/>
      <c r="E6323" s="8" t="n"/>
      <c r="F6323" s="8" t="n"/>
      <c r="G6323" s="8" t="n"/>
      <c r="H6323" s="8" t="n"/>
      <c r="I6323" s="8" t="n"/>
      <c r="J6323" s="8" t="n"/>
      <c r="K6323" s="8" t="n"/>
      <c r="L6323" s="8" t="n"/>
      <c r="M6323" s="9">
        <f>B6323+30</f>
        <v/>
      </c>
      <c r="N6323">
        <f>IF(L6323="", "", L6323-B6323)</f>
        <v/>
      </c>
      <c r="O6323">
        <f>IF(L6323="", "Pending", IF(N6323&lt;=30, "Met", "Breached"))</f>
        <v/>
      </c>
      <c r="P6323" s="8" t="n"/>
      <c r="Q6323" s="8" t="n"/>
      <c r="R6323" s="8" t="n"/>
      <c r="S6323" s="8" t="n"/>
      <c r="T6323" s="8" t="n"/>
      <c r="U6323" s="8" t="n"/>
      <c r="V6323" s="8" t="n"/>
      <c r="W6323" s="8" t="n"/>
      <c r="X6323" s="8" t="n"/>
      <c r="Y6323" s="8" t="n"/>
    </row>
    <row r="6324">
      <c r="A6324" s="8" t="n"/>
      <c r="B6324" s="8" t="n"/>
      <c r="C6324" s="8" t="n"/>
      <c r="D6324" s="8" t="n"/>
      <c r="E6324" s="8" t="n"/>
      <c r="F6324" s="8" t="n"/>
      <c r="G6324" s="8" t="n"/>
      <c r="H6324" s="8" t="n"/>
      <c r="I6324" s="8" t="n"/>
      <c r="J6324" s="8" t="n"/>
      <c r="K6324" s="8" t="n"/>
      <c r="L6324" s="8" t="n"/>
      <c r="M6324" s="9">
        <f>B6324+30</f>
        <v/>
      </c>
      <c r="N6324">
        <f>IF(L6324="", "", L6324-B6324)</f>
        <v/>
      </c>
      <c r="O6324">
        <f>IF(L6324="", "Pending", IF(N6324&lt;=30, "Met", "Breached"))</f>
        <v/>
      </c>
      <c r="P6324" s="8" t="n"/>
      <c r="Q6324" s="8" t="n"/>
      <c r="R6324" s="8" t="n"/>
      <c r="S6324" s="8" t="n"/>
      <c r="T6324" s="8" t="n"/>
      <c r="U6324" s="8" t="n"/>
      <c r="V6324" s="8" t="n"/>
      <c r="W6324" s="8" t="n"/>
      <c r="X6324" s="8" t="n"/>
      <c r="Y6324" s="8" t="n"/>
    </row>
    <row r="6325">
      <c r="A6325" s="8" t="n"/>
      <c r="B6325" s="8" t="n"/>
      <c r="C6325" s="8" t="n"/>
      <c r="D6325" s="8" t="n"/>
      <c r="E6325" s="8" t="n"/>
      <c r="F6325" s="8" t="n"/>
      <c r="G6325" s="8" t="n"/>
      <c r="H6325" s="8" t="n"/>
      <c r="I6325" s="8" t="n"/>
      <c r="J6325" s="8" t="n"/>
      <c r="K6325" s="8" t="n"/>
      <c r="L6325" s="8" t="n"/>
      <c r="M6325" s="9">
        <f>B6325+30</f>
        <v/>
      </c>
      <c r="N6325">
        <f>IF(L6325="", "", L6325-B6325)</f>
        <v/>
      </c>
      <c r="O6325">
        <f>IF(L6325="", "Pending", IF(N6325&lt;=30, "Met", "Breached"))</f>
        <v/>
      </c>
      <c r="P6325" s="8" t="n"/>
      <c r="Q6325" s="8" t="n"/>
      <c r="R6325" s="8" t="n"/>
      <c r="S6325" s="8" t="n"/>
      <c r="T6325" s="8" t="n"/>
      <c r="U6325" s="8" t="n"/>
      <c r="V6325" s="8" t="n"/>
      <c r="W6325" s="8" t="n"/>
      <c r="X6325" s="8" t="n"/>
      <c r="Y6325" s="8" t="n"/>
    </row>
    <row r="6326">
      <c r="A6326" s="8" t="n"/>
      <c r="B6326" s="8" t="n"/>
      <c r="C6326" s="8" t="n"/>
      <c r="D6326" s="8" t="n"/>
      <c r="E6326" s="8" t="n"/>
      <c r="F6326" s="8" t="n"/>
      <c r="G6326" s="8" t="n"/>
      <c r="H6326" s="8" t="n"/>
      <c r="I6326" s="8" t="n"/>
      <c r="J6326" s="8" t="n"/>
      <c r="K6326" s="8" t="n"/>
      <c r="L6326" s="8" t="n"/>
      <c r="M6326" s="9">
        <f>B6326+30</f>
        <v/>
      </c>
      <c r="N6326">
        <f>IF(L6326="", "", L6326-B6326)</f>
        <v/>
      </c>
      <c r="O6326">
        <f>IF(L6326="", "Pending", IF(N6326&lt;=30, "Met", "Breached"))</f>
        <v/>
      </c>
      <c r="P6326" s="8" t="n"/>
      <c r="Q6326" s="8" t="n"/>
      <c r="R6326" s="8" t="n"/>
      <c r="S6326" s="8" t="n"/>
      <c r="T6326" s="8" t="n"/>
      <c r="U6326" s="8" t="n"/>
      <c r="V6326" s="8" t="n"/>
      <c r="W6326" s="8" t="n"/>
      <c r="X6326" s="8" t="n"/>
      <c r="Y6326" s="8" t="n"/>
    </row>
    <row r="6327">
      <c r="A6327" s="8" t="n"/>
      <c r="B6327" s="8" t="n"/>
      <c r="C6327" s="8" t="n"/>
      <c r="D6327" s="8" t="n"/>
      <c r="E6327" s="8" t="n"/>
      <c r="F6327" s="8" t="n"/>
      <c r="G6327" s="8" t="n"/>
      <c r="H6327" s="8" t="n"/>
      <c r="I6327" s="8" t="n"/>
      <c r="J6327" s="8" t="n"/>
      <c r="K6327" s="8" t="n"/>
      <c r="L6327" s="8" t="n"/>
      <c r="M6327" s="9">
        <f>B6327+30</f>
        <v/>
      </c>
      <c r="N6327">
        <f>IF(L6327="", "", L6327-B6327)</f>
        <v/>
      </c>
      <c r="O6327">
        <f>IF(L6327="", "Pending", IF(N6327&lt;=30, "Met", "Breached"))</f>
        <v/>
      </c>
      <c r="P6327" s="8" t="n"/>
      <c r="Q6327" s="8" t="n"/>
      <c r="R6327" s="8" t="n"/>
      <c r="S6327" s="8" t="n"/>
      <c r="T6327" s="8" t="n"/>
      <c r="U6327" s="8" t="n"/>
      <c r="V6327" s="8" t="n"/>
      <c r="W6327" s="8" t="n"/>
      <c r="X6327" s="8" t="n"/>
      <c r="Y6327" s="8" t="n"/>
    </row>
    <row r="6328">
      <c r="A6328" s="8" t="n"/>
      <c r="B6328" s="8" t="n"/>
      <c r="C6328" s="8" t="n"/>
      <c r="D6328" s="8" t="n"/>
      <c r="E6328" s="8" t="n"/>
      <c r="F6328" s="8" t="n"/>
      <c r="G6328" s="8" t="n"/>
      <c r="H6328" s="8" t="n"/>
      <c r="I6328" s="8" t="n"/>
      <c r="J6328" s="8" t="n"/>
      <c r="K6328" s="8" t="n"/>
      <c r="L6328" s="8" t="n"/>
      <c r="M6328" s="9">
        <f>B6328+30</f>
        <v/>
      </c>
      <c r="N6328">
        <f>IF(L6328="", "", L6328-B6328)</f>
        <v/>
      </c>
      <c r="O6328">
        <f>IF(L6328="", "Pending", IF(N6328&lt;=30, "Met", "Breached"))</f>
        <v/>
      </c>
      <c r="P6328" s="8" t="n"/>
      <c r="Q6328" s="8" t="n"/>
      <c r="R6328" s="8" t="n"/>
      <c r="S6328" s="8" t="n"/>
      <c r="T6328" s="8" t="n"/>
      <c r="U6328" s="8" t="n"/>
      <c r="V6328" s="8" t="n"/>
      <c r="W6328" s="8" t="n"/>
      <c r="X6328" s="8" t="n"/>
      <c r="Y6328" s="8" t="n"/>
    </row>
    <row r="6329">
      <c r="A6329" s="8" t="n"/>
      <c r="B6329" s="8" t="n"/>
      <c r="C6329" s="8" t="n"/>
      <c r="D6329" s="8" t="n"/>
      <c r="E6329" s="8" t="n"/>
      <c r="F6329" s="8" t="n"/>
      <c r="G6329" s="8" t="n"/>
      <c r="H6329" s="8" t="n"/>
      <c r="I6329" s="8" t="n"/>
      <c r="J6329" s="8" t="n"/>
      <c r="K6329" s="8" t="n"/>
      <c r="L6329" s="8" t="n"/>
      <c r="M6329" s="9">
        <f>B6329+30</f>
        <v/>
      </c>
      <c r="N6329">
        <f>IF(L6329="", "", L6329-B6329)</f>
        <v/>
      </c>
      <c r="O6329">
        <f>IF(L6329="", "Pending", IF(N6329&lt;=30, "Met", "Breached"))</f>
        <v/>
      </c>
      <c r="P6329" s="8" t="n"/>
      <c r="Q6329" s="8" t="n"/>
      <c r="R6329" s="8" t="n"/>
      <c r="S6329" s="8" t="n"/>
      <c r="T6329" s="8" t="n"/>
      <c r="U6329" s="8" t="n"/>
      <c r="V6329" s="8" t="n"/>
      <c r="W6329" s="8" t="n"/>
      <c r="X6329" s="8" t="n"/>
      <c r="Y6329" s="8" t="n"/>
    </row>
    <row r="6330">
      <c r="A6330" s="8" t="n"/>
      <c r="B6330" s="8" t="n"/>
      <c r="C6330" s="8" t="n"/>
      <c r="D6330" s="8" t="n"/>
      <c r="E6330" s="8" t="n"/>
      <c r="F6330" s="8" t="n"/>
      <c r="G6330" s="8" t="n"/>
      <c r="H6330" s="8" t="n"/>
      <c r="I6330" s="8" t="n"/>
      <c r="J6330" s="8" t="n"/>
      <c r="K6330" s="8" t="n"/>
      <c r="L6330" s="8" t="n"/>
      <c r="M6330" s="9">
        <f>B6330+30</f>
        <v/>
      </c>
      <c r="N6330">
        <f>IF(L6330="", "", L6330-B6330)</f>
        <v/>
      </c>
      <c r="O6330">
        <f>IF(L6330="", "Pending", IF(N6330&lt;=30, "Met", "Breached"))</f>
        <v/>
      </c>
      <c r="P6330" s="8" t="n"/>
      <c r="Q6330" s="8" t="n"/>
      <c r="R6330" s="8" t="n"/>
      <c r="S6330" s="8" t="n"/>
      <c r="T6330" s="8" t="n"/>
      <c r="U6330" s="8" t="n"/>
      <c r="V6330" s="8" t="n"/>
      <c r="W6330" s="8" t="n"/>
      <c r="X6330" s="8" t="n"/>
      <c r="Y6330" s="8" t="n"/>
    </row>
    <row r="6331">
      <c r="A6331" s="8" t="n"/>
      <c r="B6331" s="8" t="n"/>
      <c r="C6331" s="8" t="n"/>
      <c r="D6331" s="8" t="n"/>
      <c r="E6331" s="8" t="n"/>
      <c r="F6331" s="8" t="n"/>
      <c r="G6331" s="8" t="n"/>
      <c r="H6331" s="8" t="n"/>
      <c r="I6331" s="8" t="n"/>
      <c r="J6331" s="8" t="n"/>
      <c r="K6331" s="8" t="n"/>
      <c r="L6331" s="8" t="n"/>
      <c r="M6331" s="9">
        <f>B6331+30</f>
        <v/>
      </c>
      <c r="N6331">
        <f>IF(L6331="", "", L6331-B6331)</f>
        <v/>
      </c>
      <c r="O6331">
        <f>IF(L6331="", "Pending", IF(N6331&lt;=30, "Met", "Breached"))</f>
        <v/>
      </c>
      <c r="P6331" s="8" t="n"/>
      <c r="Q6331" s="8" t="n"/>
      <c r="R6331" s="8" t="n"/>
      <c r="S6331" s="8" t="n"/>
      <c r="T6331" s="8" t="n"/>
      <c r="U6331" s="8" t="n"/>
      <c r="V6331" s="8" t="n"/>
      <c r="W6331" s="8" t="n"/>
      <c r="X6331" s="8" t="n"/>
      <c r="Y6331" s="8" t="n"/>
    </row>
    <row r="6332">
      <c r="A6332" s="8" t="n"/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8" t="n"/>
      <c r="K6332" s="8" t="n"/>
      <c r="L6332" s="8" t="n"/>
      <c r="M6332" s="9">
        <f>B6332+30</f>
        <v/>
      </c>
      <c r="N6332">
        <f>IF(L6332="", "", L6332-B6332)</f>
        <v/>
      </c>
      <c r="O6332">
        <f>IF(L6332="", "Pending", IF(N6332&lt;=30, "Met", "Breached"))</f>
        <v/>
      </c>
      <c r="P6332" s="8" t="n"/>
      <c r="Q6332" s="8" t="n"/>
      <c r="R6332" s="8" t="n"/>
      <c r="S6332" s="8" t="n"/>
      <c r="T6332" s="8" t="n"/>
      <c r="U6332" s="8" t="n"/>
      <c r="V6332" s="8" t="n"/>
      <c r="W6332" s="8" t="n"/>
      <c r="X6332" s="8" t="n"/>
      <c r="Y6332" s="8" t="n"/>
    </row>
    <row r="6333">
      <c r="A6333" s="8" t="n"/>
      <c r="B6333" s="8" t="n"/>
      <c r="C6333" s="8" t="n"/>
      <c r="D6333" s="8" t="n"/>
      <c r="E6333" s="8" t="n"/>
      <c r="F6333" s="8" t="n"/>
      <c r="G6333" s="8" t="n"/>
      <c r="H6333" s="8" t="n"/>
      <c r="I6333" s="8" t="n"/>
      <c r="J6333" s="8" t="n"/>
      <c r="K6333" s="8" t="n"/>
      <c r="L6333" s="8" t="n"/>
      <c r="M6333" s="9">
        <f>B6333+30</f>
        <v/>
      </c>
      <c r="N6333">
        <f>IF(L6333="", "", L6333-B6333)</f>
        <v/>
      </c>
      <c r="O6333">
        <f>IF(L6333="", "Pending", IF(N6333&lt;=30, "Met", "Breached"))</f>
        <v/>
      </c>
      <c r="P6333" s="8" t="n"/>
      <c r="Q6333" s="8" t="n"/>
      <c r="R6333" s="8" t="n"/>
      <c r="S6333" s="8" t="n"/>
      <c r="T6333" s="8" t="n"/>
      <c r="U6333" s="8" t="n"/>
      <c r="V6333" s="8" t="n"/>
      <c r="W6333" s="8" t="n"/>
      <c r="X6333" s="8" t="n"/>
      <c r="Y6333" s="8" t="n"/>
    </row>
    <row r="6334">
      <c r="A6334" s="8" t="n"/>
      <c r="B6334" s="8" t="n"/>
      <c r="C6334" s="8" t="n"/>
      <c r="D6334" s="8" t="n"/>
      <c r="E6334" s="8" t="n"/>
      <c r="F6334" s="8" t="n"/>
      <c r="G6334" s="8" t="n"/>
      <c r="H6334" s="8" t="n"/>
      <c r="I6334" s="8" t="n"/>
      <c r="J6334" s="8" t="n"/>
      <c r="K6334" s="8" t="n"/>
      <c r="L6334" s="8" t="n"/>
      <c r="M6334" s="9">
        <f>B6334+30</f>
        <v/>
      </c>
      <c r="N6334">
        <f>IF(L6334="", "", L6334-B6334)</f>
        <v/>
      </c>
      <c r="O6334">
        <f>IF(L6334="", "Pending", IF(N6334&lt;=30, "Met", "Breached"))</f>
        <v/>
      </c>
      <c r="P6334" s="8" t="n"/>
      <c r="Q6334" s="8" t="n"/>
      <c r="R6334" s="8" t="n"/>
      <c r="S6334" s="8" t="n"/>
      <c r="T6334" s="8" t="n"/>
      <c r="U6334" s="8" t="n"/>
      <c r="V6334" s="8" t="n"/>
      <c r="W6334" s="8" t="n"/>
      <c r="X6334" s="8" t="n"/>
      <c r="Y6334" s="8" t="n"/>
    </row>
    <row r="6335">
      <c r="A6335" s="8" t="n"/>
      <c r="B6335" s="8" t="n"/>
      <c r="C6335" s="8" t="n"/>
      <c r="D6335" s="8" t="n"/>
      <c r="E6335" s="8" t="n"/>
      <c r="F6335" s="8" t="n"/>
      <c r="G6335" s="8" t="n"/>
      <c r="H6335" s="8" t="n"/>
      <c r="I6335" s="8" t="n"/>
      <c r="J6335" s="8" t="n"/>
      <c r="K6335" s="8" t="n"/>
      <c r="L6335" s="8" t="n"/>
      <c r="M6335" s="9">
        <f>B6335+30</f>
        <v/>
      </c>
      <c r="N6335">
        <f>IF(L6335="", "", L6335-B6335)</f>
        <v/>
      </c>
      <c r="O6335">
        <f>IF(L6335="", "Pending", IF(N6335&lt;=30, "Met", "Breached"))</f>
        <v/>
      </c>
      <c r="P6335" s="8" t="n"/>
      <c r="Q6335" s="8" t="n"/>
      <c r="R6335" s="8" t="n"/>
      <c r="S6335" s="8" t="n"/>
      <c r="T6335" s="8" t="n"/>
      <c r="U6335" s="8" t="n"/>
      <c r="V6335" s="8" t="n"/>
      <c r="W6335" s="8" t="n"/>
      <c r="X6335" s="8" t="n"/>
      <c r="Y6335" s="8" t="n"/>
    </row>
    <row r="6336">
      <c r="A6336" s="8" t="n"/>
      <c r="B6336" s="8" t="n"/>
      <c r="C6336" s="8" t="n"/>
      <c r="D6336" s="8" t="n"/>
      <c r="E6336" s="8" t="n"/>
      <c r="F6336" s="8" t="n"/>
      <c r="G6336" s="8" t="n"/>
      <c r="H6336" s="8" t="n"/>
      <c r="I6336" s="8" t="n"/>
      <c r="J6336" s="8" t="n"/>
      <c r="K6336" s="8" t="n"/>
      <c r="L6336" s="8" t="n"/>
      <c r="M6336" s="9">
        <f>B6336+30</f>
        <v/>
      </c>
      <c r="N6336">
        <f>IF(L6336="", "", L6336-B6336)</f>
        <v/>
      </c>
      <c r="O6336">
        <f>IF(L6336="", "Pending", IF(N6336&lt;=30, "Met", "Breached"))</f>
        <v/>
      </c>
      <c r="P6336" s="8" t="n"/>
      <c r="Q6336" s="8" t="n"/>
      <c r="R6336" s="8" t="n"/>
      <c r="S6336" s="8" t="n"/>
      <c r="T6336" s="8" t="n"/>
      <c r="U6336" s="8" t="n"/>
      <c r="V6336" s="8" t="n"/>
      <c r="W6336" s="8" t="n"/>
      <c r="X6336" s="8" t="n"/>
      <c r="Y6336" s="8" t="n"/>
    </row>
    <row r="6337">
      <c r="A6337" s="8" t="n"/>
      <c r="B6337" s="8" t="n"/>
      <c r="C6337" s="8" t="n"/>
      <c r="D6337" s="8" t="n"/>
      <c r="E6337" s="8" t="n"/>
      <c r="F6337" s="8" t="n"/>
      <c r="G6337" s="8" t="n"/>
      <c r="H6337" s="8" t="n"/>
      <c r="I6337" s="8" t="n"/>
      <c r="J6337" s="8" t="n"/>
      <c r="K6337" s="8" t="n"/>
      <c r="L6337" s="8" t="n"/>
      <c r="M6337" s="9">
        <f>B6337+30</f>
        <v/>
      </c>
      <c r="N6337">
        <f>IF(L6337="", "", L6337-B6337)</f>
        <v/>
      </c>
      <c r="O6337">
        <f>IF(L6337="", "Pending", IF(N6337&lt;=30, "Met", "Breached"))</f>
        <v/>
      </c>
      <c r="P6337" s="8" t="n"/>
      <c r="Q6337" s="8" t="n"/>
      <c r="R6337" s="8" t="n"/>
      <c r="S6337" s="8" t="n"/>
      <c r="T6337" s="8" t="n"/>
      <c r="U6337" s="8" t="n"/>
      <c r="V6337" s="8" t="n"/>
      <c r="W6337" s="8" t="n"/>
      <c r="X6337" s="8" t="n"/>
      <c r="Y6337" s="8" t="n"/>
    </row>
    <row r="6338">
      <c r="A6338" s="8" t="n"/>
      <c r="B6338" s="8" t="n"/>
      <c r="C6338" s="8" t="n"/>
      <c r="D6338" s="8" t="n"/>
      <c r="E6338" s="8" t="n"/>
      <c r="F6338" s="8" t="n"/>
      <c r="G6338" s="8" t="n"/>
      <c r="H6338" s="8" t="n"/>
      <c r="I6338" s="8" t="n"/>
      <c r="J6338" s="8" t="n"/>
      <c r="K6338" s="8" t="n"/>
      <c r="L6338" s="8" t="n"/>
      <c r="M6338" s="9">
        <f>B6338+30</f>
        <v/>
      </c>
      <c r="N6338">
        <f>IF(L6338="", "", L6338-B6338)</f>
        <v/>
      </c>
      <c r="O6338">
        <f>IF(L6338="", "Pending", IF(N6338&lt;=30, "Met", "Breached"))</f>
        <v/>
      </c>
      <c r="P6338" s="8" t="n"/>
      <c r="Q6338" s="8" t="n"/>
      <c r="R6338" s="8" t="n"/>
      <c r="S6338" s="8" t="n"/>
      <c r="T6338" s="8" t="n"/>
      <c r="U6338" s="8" t="n"/>
      <c r="V6338" s="8" t="n"/>
      <c r="W6338" s="8" t="n"/>
      <c r="X6338" s="8" t="n"/>
      <c r="Y6338" s="8" t="n"/>
    </row>
    <row r="6339">
      <c r="A6339" s="8" t="n"/>
      <c r="B6339" s="8" t="n"/>
      <c r="C6339" s="8" t="n"/>
      <c r="D6339" s="8" t="n"/>
      <c r="E6339" s="8" t="n"/>
      <c r="F6339" s="8" t="n"/>
      <c r="G6339" s="8" t="n"/>
      <c r="H6339" s="8" t="n"/>
      <c r="I6339" s="8" t="n"/>
      <c r="J6339" s="8" t="n"/>
      <c r="K6339" s="8" t="n"/>
      <c r="L6339" s="8" t="n"/>
      <c r="M6339" s="9">
        <f>B6339+30</f>
        <v/>
      </c>
      <c r="N6339">
        <f>IF(L6339="", "", L6339-B6339)</f>
        <v/>
      </c>
      <c r="O6339">
        <f>IF(L6339="", "Pending", IF(N6339&lt;=30, "Met", "Breached"))</f>
        <v/>
      </c>
      <c r="P6339" s="8" t="n"/>
      <c r="Q6339" s="8" t="n"/>
      <c r="R6339" s="8" t="n"/>
      <c r="S6339" s="8" t="n"/>
      <c r="T6339" s="8" t="n"/>
      <c r="U6339" s="8" t="n"/>
      <c r="V6339" s="8" t="n"/>
      <c r="W6339" s="8" t="n"/>
      <c r="X6339" s="8" t="n"/>
      <c r="Y6339" s="8" t="n"/>
    </row>
    <row r="6340">
      <c r="A6340" s="8" t="n"/>
      <c r="B6340" s="8" t="n"/>
      <c r="C6340" s="8" t="n"/>
      <c r="D6340" s="8" t="n"/>
      <c r="E6340" s="8" t="n"/>
      <c r="F6340" s="8" t="n"/>
      <c r="G6340" s="8" t="n"/>
      <c r="H6340" s="8" t="n"/>
      <c r="I6340" s="8" t="n"/>
      <c r="J6340" s="8" t="n"/>
      <c r="K6340" s="8" t="n"/>
      <c r="L6340" s="8" t="n"/>
      <c r="M6340" s="9">
        <f>B6340+30</f>
        <v/>
      </c>
      <c r="N6340">
        <f>IF(L6340="", "", L6340-B6340)</f>
        <v/>
      </c>
      <c r="O6340">
        <f>IF(L6340="", "Pending", IF(N6340&lt;=30, "Met", "Breached"))</f>
        <v/>
      </c>
      <c r="P6340" s="8" t="n"/>
      <c r="Q6340" s="8" t="n"/>
      <c r="R6340" s="8" t="n"/>
      <c r="S6340" s="8" t="n"/>
      <c r="T6340" s="8" t="n"/>
      <c r="U6340" s="8" t="n"/>
      <c r="V6340" s="8" t="n"/>
      <c r="W6340" s="8" t="n"/>
      <c r="X6340" s="8" t="n"/>
      <c r="Y6340" s="8" t="n"/>
    </row>
    <row r="6341">
      <c r="A6341" s="8" t="n"/>
      <c r="B6341" s="8" t="n"/>
      <c r="C6341" s="8" t="n"/>
      <c r="D6341" s="8" t="n"/>
      <c r="E6341" s="8" t="n"/>
      <c r="F6341" s="8" t="n"/>
      <c r="G6341" s="8" t="n"/>
      <c r="H6341" s="8" t="n"/>
      <c r="I6341" s="8" t="n"/>
      <c r="J6341" s="8" t="n"/>
      <c r="K6341" s="8" t="n"/>
      <c r="L6341" s="8" t="n"/>
      <c r="M6341" s="9">
        <f>B6341+30</f>
        <v/>
      </c>
      <c r="N6341">
        <f>IF(L6341="", "", L6341-B6341)</f>
        <v/>
      </c>
      <c r="O6341">
        <f>IF(L6341="", "Pending", IF(N6341&lt;=30, "Met", "Breached"))</f>
        <v/>
      </c>
      <c r="P6341" s="8" t="n"/>
      <c r="Q6341" s="8" t="n"/>
      <c r="R6341" s="8" t="n"/>
      <c r="S6341" s="8" t="n"/>
      <c r="T6341" s="8" t="n"/>
      <c r="U6341" s="8" t="n"/>
      <c r="V6341" s="8" t="n"/>
      <c r="W6341" s="8" t="n"/>
      <c r="X6341" s="8" t="n"/>
      <c r="Y6341" s="8" t="n"/>
    </row>
    <row r="6342">
      <c r="A6342" s="8" t="n"/>
      <c r="B6342" s="8" t="n"/>
      <c r="C6342" s="8" t="n"/>
      <c r="D6342" s="8" t="n"/>
      <c r="E6342" s="8" t="n"/>
      <c r="F6342" s="8" t="n"/>
      <c r="G6342" s="8" t="n"/>
      <c r="H6342" s="8" t="n"/>
      <c r="I6342" s="8" t="n"/>
      <c r="J6342" s="8" t="n"/>
      <c r="K6342" s="8" t="n"/>
      <c r="L6342" s="8" t="n"/>
      <c r="M6342" s="9">
        <f>B6342+30</f>
        <v/>
      </c>
      <c r="N6342">
        <f>IF(L6342="", "", L6342-B6342)</f>
        <v/>
      </c>
      <c r="O6342">
        <f>IF(L6342="", "Pending", IF(N6342&lt;=30, "Met", "Breached"))</f>
        <v/>
      </c>
      <c r="P6342" s="8" t="n"/>
      <c r="Q6342" s="8" t="n"/>
      <c r="R6342" s="8" t="n"/>
      <c r="S6342" s="8" t="n"/>
      <c r="T6342" s="8" t="n"/>
      <c r="U6342" s="8" t="n"/>
      <c r="V6342" s="8" t="n"/>
      <c r="W6342" s="8" t="n"/>
      <c r="X6342" s="8" t="n"/>
      <c r="Y6342" s="8" t="n"/>
    </row>
    <row r="6343">
      <c r="A6343" s="8" t="n"/>
      <c r="B6343" s="8" t="n"/>
      <c r="C6343" s="8" t="n"/>
      <c r="D6343" s="8" t="n"/>
      <c r="E6343" s="8" t="n"/>
      <c r="F6343" s="8" t="n"/>
      <c r="G6343" s="8" t="n"/>
      <c r="H6343" s="8" t="n"/>
      <c r="I6343" s="8" t="n"/>
      <c r="J6343" s="8" t="n"/>
      <c r="K6343" s="8" t="n"/>
      <c r="L6343" s="8" t="n"/>
      <c r="M6343" s="9">
        <f>B6343+30</f>
        <v/>
      </c>
      <c r="N6343">
        <f>IF(L6343="", "", L6343-B6343)</f>
        <v/>
      </c>
      <c r="O6343">
        <f>IF(L6343="", "Pending", IF(N6343&lt;=30, "Met", "Breached"))</f>
        <v/>
      </c>
      <c r="P6343" s="8" t="n"/>
      <c r="Q6343" s="8" t="n"/>
      <c r="R6343" s="8" t="n"/>
      <c r="S6343" s="8" t="n"/>
      <c r="T6343" s="8" t="n"/>
      <c r="U6343" s="8" t="n"/>
      <c r="V6343" s="8" t="n"/>
      <c r="W6343" s="8" t="n"/>
      <c r="X6343" s="8" t="n"/>
      <c r="Y6343" s="8" t="n"/>
    </row>
    <row r="6344">
      <c r="A6344" s="8" t="n"/>
      <c r="B6344" s="8" t="n"/>
      <c r="C6344" s="8" t="n"/>
      <c r="D6344" s="8" t="n"/>
      <c r="E6344" s="8" t="n"/>
      <c r="F6344" s="8" t="n"/>
      <c r="G6344" s="8" t="n"/>
      <c r="H6344" s="8" t="n"/>
      <c r="I6344" s="8" t="n"/>
      <c r="J6344" s="8" t="n"/>
      <c r="K6344" s="8" t="n"/>
      <c r="L6344" s="8" t="n"/>
      <c r="M6344" s="9">
        <f>B6344+30</f>
        <v/>
      </c>
      <c r="N6344">
        <f>IF(L6344="", "", L6344-B6344)</f>
        <v/>
      </c>
      <c r="O6344">
        <f>IF(L6344="", "Pending", IF(N6344&lt;=30, "Met", "Breached"))</f>
        <v/>
      </c>
      <c r="P6344" s="8" t="n"/>
      <c r="Q6344" s="8" t="n"/>
      <c r="R6344" s="8" t="n"/>
      <c r="S6344" s="8" t="n"/>
      <c r="T6344" s="8" t="n"/>
      <c r="U6344" s="8" t="n"/>
      <c r="V6344" s="8" t="n"/>
      <c r="W6344" s="8" t="n"/>
      <c r="X6344" s="8" t="n"/>
      <c r="Y6344" s="8" t="n"/>
    </row>
    <row r="6345">
      <c r="A6345" s="8" t="n"/>
      <c r="B6345" s="8" t="n"/>
      <c r="C6345" s="8" t="n"/>
      <c r="D6345" s="8" t="n"/>
      <c r="E6345" s="8" t="n"/>
      <c r="F6345" s="8" t="n"/>
      <c r="G6345" s="8" t="n"/>
      <c r="H6345" s="8" t="n"/>
      <c r="I6345" s="8" t="n"/>
      <c r="J6345" s="8" t="n"/>
      <c r="K6345" s="8" t="n"/>
      <c r="L6345" s="8" t="n"/>
      <c r="M6345" s="9">
        <f>B6345+30</f>
        <v/>
      </c>
      <c r="N6345">
        <f>IF(L6345="", "", L6345-B6345)</f>
        <v/>
      </c>
      <c r="O6345">
        <f>IF(L6345="", "Pending", IF(N6345&lt;=30, "Met", "Breached"))</f>
        <v/>
      </c>
      <c r="P6345" s="8" t="n"/>
      <c r="Q6345" s="8" t="n"/>
      <c r="R6345" s="8" t="n"/>
      <c r="S6345" s="8" t="n"/>
      <c r="T6345" s="8" t="n"/>
      <c r="U6345" s="8" t="n"/>
      <c r="V6345" s="8" t="n"/>
      <c r="W6345" s="8" t="n"/>
      <c r="X6345" s="8" t="n"/>
      <c r="Y6345" s="8" t="n"/>
    </row>
    <row r="6346">
      <c r="A6346" s="8" t="n"/>
      <c r="B6346" s="8" t="n"/>
      <c r="C6346" s="8" t="n"/>
      <c r="D6346" s="8" t="n"/>
      <c r="E6346" s="8" t="n"/>
      <c r="F6346" s="8" t="n"/>
      <c r="G6346" s="8" t="n"/>
      <c r="H6346" s="8" t="n"/>
      <c r="I6346" s="8" t="n"/>
      <c r="J6346" s="8" t="n"/>
      <c r="K6346" s="8" t="n"/>
      <c r="L6346" s="8" t="n"/>
      <c r="M6346" s="9">
        <f>B6346+30</f>
        <v/>
      </c>
      <c r="N6346">
        <f>IF(L6346="", "", L6346-B6346)</f>
        <v/>
      </c>
      <c r="O6346">
        <f>IF(L6346="", "Pending", IF(N6346&lt;=30, "Met", "Breached"))</f>
        <v/>
      </c>
      <c r="P6346" s="8" t="n"/>
      <c r="Q6346" s="8" t="n"/>
      <c r="R6346" s="8" t="n"/>
      <c r="S6346" s="8" t="n"/>
      <c r="T6346" s="8" t="n"/>
      <c r="U6346" s="8" t="n"/>
      <c r="V6346" s="8" t="n"/>
      <c r="W6346" s="8" t="n"/>
      <c r="X6346" s="8" t="n"/>
      <c r="Y6346" s="8" t="n"/>
    </row>
    <row r="6347">
      <c r="A6347" s="8" t="n"/>
      <c r="B6347" s="8" t="n"/>
      <c r="C6347" s="8" t="n"/>
      <c r="D6347" s="8" t="n"/>
      <c r="E6347" s="8" t="n"/>
      <c r="F6347" s="8" t="n"/>
      <c r="G6347" s="8" t="n"/>
      <c r="H6347" s="8" t="n"/>
      <c r="I6347" s="8" t="n"/>
      <c r="J6347" s="8" t="n"/>
      <c r="K6347" s="8" t="n"/>
      <c r="L6347" s="8" t="n"/>
      <c r="M6347" s="9">
        <f>B6347+30</f>
        <v/>
      </c>
      <c r="N6347">
        <f>IF(L6347="", "", L6347-B6347)</f>
        <v/>
      </c>
      <c r="O6347">
        <f>IF(L6347="", "Pending", IF(N6347&lt;=30, "Met", "Breached"))</f>
        <v/>
      </c>
      <c r="P6347" s="8" t="n"/>
      <c r="Q6347" s="8" t="n"/>
      <c r="R6347" s="8" t="n"/>
      <c r="S6347" s="8" t="n"/>
      <c r="T6347" s="8" t="n"/>
      <c r="U6347" s="8" t="n"/>
      <c r="V6347" s="8" t="n"/>
      <c r="W6347" s="8" t="n"/>
      <c r="X6347" s="8" t="n"/>
      <c r="Y6347" s="8" t="n"/>
    </row>
    <row r="6348">
      <c r="A6348" s="8" t="n"/>
      <c r="B6348" s="8" t="n"/>
      <c r="C6348" s="8" t="n"/>
      <c r="D6348" s="8" t="n"/>
      <c r="E6348" s="8" t="n"/>
      <c r="F6348" s="8" t="n"/>
      <c r="G6348" s="8" t="n"/>
      <c r="H6348" s="8" t="n"/>
      <c r="I6348" s="8" t="n"/>
      <c r="J6348" s="8" t="n"/>
      <c r="K6348" s="8" t="n"/>
      <c r="L6348" s="8" t="n"/>
      <c r="M6348" s="9">
        <f>B6348+30</f>
        <v/>
      </c>
      <c r="N6348">
        <f>IF(L6348="", "", L6348-B6348)</f>
        <v/>
      </c>
      <c r="O6348">
        <f>IF(L6348="", "Pending", IF(N6348&lt;=30, "Met", "Breached"))</f>
        <v/>
      </c>
      <c r="P6348" s="8" t="n"/>
      <c r="Q6348" s="8" t="n"/>
      <c r="R6348" s="8" t="n"/>
      <c r="S6348" s="8" t="n"/>
      <c r="T6348" s="8" t="n"/>
      <c r="U6348" s="8" t="n"/>
      <c r="V6348" s="8" t="n"/>
      <c r="W6348" s="8" t="n"/>
      <c r="X6348" s="8" t="n"/>
      <c r="Y6348" s="8" t="n"/>
    </row>
    <row r="6349">
      <c r="A6349" s="8" t="n"/>
      <c r="B6349" s="8" t="n"/>
      <c r="C6349" s="8" t="n"/>
      <c r="D6349" s="8" t="n"/>
      <c r="E6349" s="8" t="n"/>
      <c r="F6349" s="8" t="n"/>
      <c r="G6349" s="8" t="n"/>
      <c r="H6349" s="8" t="n"/>
      <c r="I6349" s="8" t="n"/>
      <c r="J6349" s="8" t="n"/>
      <c r="K6349" s="8" t="n"/>
      <c r="L6349" s="8" t="n"/>
      <c r="M6349" s="9">
        <f>B6349+30</f>
        <v/>
      </c>
      <c r="N6349">
        <f>IF(L6349="", "", L6349-B6349)</f>
        <v/>
      </c>
      <c r="O6349">
        <f>IF(L6349="", "Pending", IF(N6349&lt;=30, "Met", "Breached"))</f>
        <v/>
      </c>
      <c r="P6349" s="8" t="n"/>
      <c r="Q6349" s="8" t="n"/>
      <c r="R6349" s="8" t="n"/>
      <c r="S6349" s="8" t="n"/>
      <c r="T6349" s="8" t="n"/>
      <c r="U6349" s="8" t="n"/>
      <c r="V6349" s="8" t="n"/>
      <c r="W6349" s="8" t="n"/>
      <c r="X6349" s="8" t="n"/>
      <c r="Y6349" s="8" t="n"/>
    </row>
    <row r="6350">
      <c r="A6350" s="8" t="n"/>
      <c r="B6350" s="8" t="n"/>
      <c r="C6350" s="8" t="n"/>
      <c r="D6350" s="8" t="n"/>
      <c r="E6350" s="8" t="n"/>
      <c r="F6350" s="8" t="n"/>
      <c r="G6350" s="8" t="n"/>
      <c r="H6350" s="8" t="n"/>
      <c r="I6350" s="8" t="n"/>
      <c r="J6350" s="8" t="n"/>
      <c r="K6350" s="8" t="n"/>
      <c r="L6350" s="8" t="n"/>
      <c r="M6350" s="9">
        <f>B6350+30</f>
        <v/>
      </c>
      <c r="N6350">
        <f>IF(L6350="", "", L6350-B6350)</f>
        <v/>
      </c>
      <c r="O6350">
        <f>IF(L6350="", "Pending", IF(N6350&lt;=30, "Met", "Breached"))</f>
        <v/>
      </c>
      <c r="P6350" s="8" t="n"/>
      <c r="Q6350" s="8" t="n"/>
      <c r="R6350" s="8" t="n"/>
      <c r="S6350" s="8" t="n"/>
      <c r="T6350" s="8" t="n"/>
      <c r="U6350" s="8" t="n"/>
      <c r="V6350" s="8" t="n"/>
      <c r="W6350" s="8" t="n"/>
      <c r="X6350" s="8" t="n"/>
      <c r="Y6350" s="8" t="n"/>
    </row>
    <row r="6351">
      <c r="A6351" s="8" t="n"/>
      <c r="B6351" s="8" t="n"/>
      <c r="C6351" s="8" t="n"/>
      <c r="D6351" s="8" t="n"/>
      <c r="E6351" s="8" t="n"/>
      <c r="F6351" s="8" t="n"/>
      <c r="G6351" s="8" t="n"/>
      <c r="H6351" s="8" t="n"/>
      <c r="I6351" s="8" t="n"/>
      <c r="J6351" s="8" t="n"/>
      <c r="K6351" s="8" t="n"/>
      <c r="L6351" s="8" t="n"/>
      <c r="M6351" s="9">
        <f>B6351+30</f>
        <v/>
      </c>
      <c r="N6351">
        <f>IF(L6351="", "", L6351-B6351)</f>
        <v/>
      </c>
      <c r="O6351">
        <f>IF(L6351="", "Pending", IF(N6351&lt;=30, "Met", "Breached"))</f>
        <v/>
      </c>
      <c r="P6351" s="8" t="n"/>
      <c r="Q6351" s="8" t="n"/>
      <c r="R6351" s="8" t="n"/>
      <c r="S6351" s="8" t="n"/>
      <c r="T6351" s="8" t="n"/>
      <c r="U6351" s="8" t="n"/>
      <c r="V6351" s="8" t="n"/>
      <c r="W6351" s="8" t="n"/>
      <c r="X6351" s="8" t="n"/>
      <c r="Y6351" s="8" t="n"/>
    </row>
    <row r="6352">
      <c r="A6352" s="8" t="n"/>
      <c r="B6352" s="8" t="n"/>
      <c r="C6352" s="8" t="n"/>
      <c r="D6352" s="8" t="n"/>
      <c r="E6352" s="8" t="n"/>
      <c r="F6352" s="8" t="n"/>
      <c r="G6352" s="8" t="n"/>
      <c r="H6352" s="8" t="n"/>
      <c r="I6352" s="8" t="n"/>
      <c r="J6352" s="8" t="n"/>
      <c r="K6352" s="8" t="n"/>
      <c r="L6352" s="8" t="n"/>
      <c r="M6352" s="9">
        <f>B6352+30</f>
        <v/>
      </c>
      <c r="N6352">
        <f>IF(L6352="", "", L6352-B6352)</f>
        <v/>
      </c>
      <c r="O6352">
        <f>IF(L6352="", "Pending", IF(N6352&lt;=30, "Met", "Breached"))</f>
        <v/>
      </c>
      <c r="P6352" s="8" t="n"/>
      <c r="Q6352" s="8" t="n"/>
      <c r="R6352" s="8" t="n"/>
      <c r="S6352" s="8" t="n"/>
      <c r="T6352" s="8" t="n"/>
      <c r="U6352" s="8" t="n"/>
      <c r="V6352" s="8" t="n"/>
      <c r="W6352" s="8" t="n"/>
      <c r="X6352" s="8" t="n"/>
      <c r="Y6352" s="8" t="n"/>
    </row>
    <row r="6353">
      <c r="A6353" s="8" t="n"/>
      <c r="B6353" s="8" t="n"/>
      <c r="C6353" s="8" t="n"/>
      <c r="D6353" s="8" t="n"/>
      <c r="E6353" s="8" t="n"/>
      <c r="F6353" s="8" t="n"/>
      <c r="G6353" s="8" t="n"/>
      <c r="H6353" s="8" t="n"/>
      <c r="I6353" s="8" t="n"/>
      <c r="J6353" s="8" t="n"/>
      <c r="K6353" s="8" t="n"/>
      <c r="L6353" s="8" t="n"/>
      <c r="M6353" s="9">
        <f>B6353+30</f>
        <v/>
      </c>
      <c r="N6353">
        <f>IF(L6353="", "", L6353-B6353)</f>
        <v/>
      </c>
      <c r="O6353">
        <f>IF(L6353="", "Pending", IF(N6353&lt;=30, "Met", "Breached"))</f>
        <v/>
      </c>
      <c r="P6353" s="8" t="n"/>
      <c r="Q6353" s="8" t="n"/>
      <c r="R6353" s="8" t="n"/>
      <c r="S6353" s="8" t="n"/>
      <c r="T6353" s="8" t="n"/>
      <c r="U6353" s="8" t="n"/>
      <c r="V6353" s="8" t="n"/>
      <c r="W6353" s="8" t="n"/>
      <c r="X6353" s="8" t="n"/>
      <c r="Y6353" s="8" t="n"/>
    </row>
    <row r="6354">
      <c r="A6354" s="8" t="n"/>
      <c r="B6354" s="8" t="n"/>
      <c r="C6354" s="8" t="n"/>
      <c r="D6354" s="8" t="n"/>
      <c r="E6354" s="8" t="n"/>
      <c r="F6354" s="8" t="n"/>
      <c r="G6354" s="8" t="n"/>
      <c r="H6354" s="8" t="n"/>
      <c r="I6354" s="8" t="n"/>
      <c r="J6354" s="8" t="n"/>
      <c r="K6354" s="8" t="n"/>
      <c r="L6354" s="8" t="n"/>
      <c r="M6354" s="9">
        <f>B6354+30</f>
        <v/>
      </c>
      <c r="N6354">
        <f>IF(L6354="", "", L6354-B6354)</f>
        <v/>
      </c>
      <c r="O6354">
        <f>IF(L6354="", "Pending", IF(N6354&lt;=30, "Met", "Breached"))</f>
        <v/>
      </c>
      <c r="P6354" s="8" t="n"/>
      <c r="Q6354" s="8" t="n"/>
      <c r="R6354" s="8" t="n"/>
      <c r="S6354" s="8" t="n"/>
      <c r="T6354" s="8" t="n"/>
      <c r="U6354" s="8" t="n"/>
      <c r="V6354" s="8" t="n"/>
      <c r="W6354" s="8" t="n"/>
      <c r="X6354" s="8" t="n"/>
      <c r="Y6354" s="8" t="n"/>
    </row>
    <row r="6355">
      <c r="A6355" s="8" t="n"/>
      <c r="B6355" s="8" t="n"/>
      <c r="C6355" s="8" t="n"/>
      <c r="D6355" s="8" t="n"/>
      <c r="E6355" s="8" t="n"/>
      <c r="F6355" s="8" t="n"/>
      <c r="G6355" s="8" t="n"/>
      <c r="H6355" s="8" t="n"/>
      <c r="I6355" s="8" t="n"/>
      <c r="J6355" s="8" t="n"/>
      <c r="K6355" s="8" t="n"/>
      <c r="L6355" s="8" t="n"/>
      <c r="M6355" s="9">
        <f>B6355+30</f>
        <v/>
      </c>
      <c r="N6355">
        <f>IF(L6355="", "", L6355-B6355)</f>
        <v/>
      </c>
      <c r="O6355">
        <f>IF(L6355="", "Pending", IF(N6355&lt;=30, "Met", "Breached"))</f>
        <v/>
      </c>
      <c r="P6355" s="8" t="n"/>
      <c r="Q6355" s="8" t="n"/>
      <c r="R6355" s="8" t="n"/>
      <c r="S6355" s="8" t="n"/>
      <c r="T6355" s="8" t="n"/>
      <c r="U6355" s="8" t="n"/>
      <c r="V6355" s="8" t="n"/>
      <c r="W6355" s="8" t="n"/>
      <c r="X6355" s="8" t="n"/>
      <c r="Y6355" s="8" t="n"/>
    </row>
    <row r="6356">
      <c r="A6356" s="8" t="n"/>
      <c r="B6356" s="8" t="n"/>
      <c r="C6356" s="8" t="n"/>
      <c r="D6356" s="8" t="n"/>
      <c r="E6356" s="8" t="n"/>
      <c r="F6356" s="8" t="n"/>
      <c r="G6356" s="8" t="n"/>
      <c r="H6356" s="8" t="n"/>
      <c r="I6356" s="8" t="n"/>
      <c r="J6356" s="8" t="n"/>
      <c r="K6356" s="8" t="n"/>
      <c r="L6356" s="8" t="n"/>
      <c r="M6356" s="9">
        <f>B6356+30</f>
        <v/>
      </c>
      <c r="N6356">
        <f>IF(L6356="", "", L6356-B6356)</f>
        <v/>
      </c>
      <c r="O6356">
        <f>IF(L6356="", "Pending", IF(N6356&lt;=30, "Met", "Breached"))</f>
        <v/>
      </c>
      <c r="P6356" s="8" t="n"/>
      <c r="Q6356" s="8" t="n"/>
      <c r="R6356" s="8" t="n"/>
      <c r="S6356" s="8" t="n"/>
      <c r="T6356" s="8" t="n"/>
      <c r="U6356" s="8" t="n"/>
      <c r="V6356" s="8" t="n"/>
      <c r="W6356" s="8" t="n"/>
      <c r="X6356" s="8" t="n"/>
      <c r="Y6356" s="8" t="n"/>
    </row>
    <row r="6357">
      <c r="A6357" s="8" t="n"/>
      <c r="B6357" s="8" t="n"/>
      <c r="C6357" s="8" t="n"/>
      <c r="D6357" s="8" t="n"/>
      <c r="E6357" s="8" t="n"/>
      <c r="F6357" s="8" t="n"/>
      <c r="G6357" s="8" t="n"/>
      <c r="H6357" s="8" t="n"/>
      <c r="I6357" s="8" t="n"/>
      <c r="J6357" s="8" t="n"/>
      <c r="K6357" s="8" t="n"/>
      <c r="L6357" s="8" t="n"/>
      <c r="M6357" s="9">
        <f>B6357+30</f>
        <v/>
      </c>
      <c r="N6357">
        <f>IF(L6357="", "", L6357-B6357)</f>
        <v/>
      </c>
      <c r="O6357">
        <f>IF(L6357="", "Pending", IF(N6357&lt;=30, "Met", "Breached"))</f>
        <v/>
      </c>
      <c r="P6357" s="8" t="n"/>
      <c r="Q6357" s="8" t="n"/>
      <c r="R6357" s="8" t="n"/>
      <c r="S6357" s="8" t="n"/>
      <c r="T6357" s="8" t="n"/>
      <c r="U6357" s="8" t="n"/>
      <c r="V6357" s="8" t="n"/>
      <c r="W6357" s="8" t="n"/>
      <c r="X6357" s="8" t="n"/>
      <c r="Y6357" s="8" t="n"/>
    </row>
    <row r="6358">
      <c r="A6358" s="8" t="n"/>
      <c r="B6358" s="8" t="n"/>
      <c r="C6358" s="8" t="n"/>
      <c r="D6358" s="8" t="n"/>
      <c r="E6358" s="8" t="n"/>
      <c r="F6358" s="8" t="n"/>
      <c r="G6358" s="8" t="n"/>
      <c r="H6358" s="8" t="n"/>
      <c r="I6358" s="8" t="n"/>
      <c r="J6358" s="8" t="n"/>
      <c r="K6358" s="8" t="n"/>
      <c r="L6358" s="8" t="n"/>
      <c r="M6358" s="9">
        <f>B6358+30</f>
        <v/>
      </c>
      <c r="N6358">
        <f>IF(L6358="", "", L6358-B6358)</f>
        <v/>
      </c>
      <c r="O6358">
        <f>IF(L6358="", "Pending", IF(N6358&lt;=30, "Met", "Breached"))</f>
        <v/>
      </c>
      <c r="P6358" s="8" t="n"/>
      <c r="Q6358" s="8" t="n"/>
      <c r="R6358" s="8" t="n"/>
      <c r="S6358" s="8" t="n"/>
      <c r="T6358" s="8" t="n"/>
      <c r="U6358" s="8" t="n"/>
      <c r="V6358" s="8" t="n"/>
      <c r="W6358" s="8" t="n"/>
      <c r="X6358" s="8" t="n"/>
      <c r="Y6358" s="8" t="n"/>
    </row>
    <row r="6359">
      <c r="A6359" s="8" t="n"/>
      <c r="B6359" s="8" t="n"/>
      <c r="C6359" s="8" t="n"/>
      <c r="D6359" s="8" t="n"/>
      <c r="E6359" s="8" t="n"/>
      <c r="F6359" s="8" t="n"/>
      <c r="G6359" s="8" t="n"/>
      <c r="H6359" s="8" t="n"/>
      <c r="I6359" s="8" t="n"/>
      <c r="J6359" s="8" t="n"/>
      <c r="K6359" s="8" t="n"/>
      <c r="L6359" s="8" t="n"/>
      <c r="M6359" s="9">
        <f>B6359+30</f>
        <v/>
      </c>
      <c r="N6359">
        <f>IF(L6359="", "", L6359-B6359)</f>
        <v/>
      </c>
      <c r="O6359">
        <f>IF(L6359="", "Pending", IF(N6359&lt;=30, "Met", "Breached"))</f>
        <v/>
      </c>
      <c r="P6359" s="8" t="n"/>
      <c r="Q6359" s="8" t="n"/>
      <c r="R6359" s="8" t="n"/>
      <c r="S6359" s="8" t="n"/>
      <c r="T6359" s="8" t="n"/>
      <c r="U6359" s="8" t="n"/>
      <c r="V6359" s="8" t="n"/>
      <c r="W6359" s="8" t="n"/>
      <c r="X6359" s="8" t="n"/>
      <c r="Y6359" s="8" t="n"/>
    </row>
    <row r="6360">
      <c r="A6360" s="8" t="n"/>
      <c r="B6360" s="8" t="n"/>
      <c r="C6360" s="8" t="n"/>
      <c r="D6360" s="8" t="n"/>
      <c r="E6360" s="8" t="n"/>
      <c r="F6360" s="8" t="n"/>
      <c r="G6360" s="8" t="n"/>
      <c r="H6360" s="8" t="n"/>
      <c r="I6360" s="8" t="n"/>
      <c r="J6360" s="8" t="n"/>
      <c r="K6360" s="8" t="n"/>
      <c r="L6360" s="8" t="n"/>
      <c r="M6360" s="9">
        <f>B6360+30</f>
        <v/>
      </c>
      <c r="N6360">
        <f>IF(L6360="", "", L6360-B6360)</f>
        <v/>
      </c>
      <c r="O6360">
        <f>IF(L6360="", "Pending", IF(N6360&lt;=30, "Met", "Breached"))</f>
        <v/>
      </c>
      <c r="P6360" s="8" t="n"/>
      <c r="Q6360" s="8" t="n"/>
      <c r="R6360" s="8" t="n"/>
      <c r="S6360" s="8" t="n"/>
      <c r="T6360" s="8" t="n"/>
      <c r="U6360" s="8" t="n"/>
      <c r="V6360" s="8" t="n"/>
      <c r="W6360" s="8" t="n"/>
      <c r="X6360" s="8" t="n"/>
      <c r="Y6360" s="8" t="n"/>
    </row>
    <row r="6361">
      <c r="A6361" s="8" t="n"/>
      <c r="B6361" s="8" t="n"/>
      <c r="C6361" s="8" t="n"/>
      <c r="D6361" s="8" t="n"/>
      <c r="E6361" s="8" t="n"/>
      <c r="F6361" s="8" t="n"/>
      <c r="G6361" s="8" t="n"/>
      <c r="H6361" s="8" t="n"/>
      <c r="I6361" s="8" t="n"/>
      <c r="J6361" s="8" t="n"/>
      <c r="K6361" s="8" t="n"/>
      <c r="L6361" s="8" t="n"/>
      <c r="M6361" s="9">
        <f>B6361+30</f>
        <v/>
      </c>
      <c r="N6361">
        <f>IF(L6361="", "", L6361-B6361)</f>
        <v/>
      </c>
      <c r="O6361">
        <f>IF(L6361="", "Pending", IF(N6361&lt;=30, "Met", "Breached"))</f>
        <v/>
      </c>
      <c r="P6361" s="8" t="n"/>
      <c r="Q6361" s="8" t="n"/>
      <c r="R6361" s="8" t="n"/>
      <c r="S6361" s="8" t="n"/>
      <c r="T6361" s="8" t="n"/>
      <c r="U6361" s="8" t="n"/>
      <c r="V6361" s="8" t="n"/>
      <c r="W6361" s="8" t="n"/>
      <c r="X6361" s="8" t="n"/>
      <c r="Y6361" s="8" t="n"/>
    </row>
    <row r="6362">
      <c r="A6362" s="8" t="n"/>
      <c r="B6362" s="8" t="n"/>
      <c r="C6362" s="8" t="n"/>
      <c r="D6362" s="8" t="n"/>
      <c r="E6362" s="8" t="n"/>
      <c r="F6362" s="8" t="n"/>
      <c r="G6362" s="8" t="n"/>
      <c r="H6362" s="8" t="n"/>
      <c r="I6362" s="8" t="n"/>
      <c r="J6362" s="8" t="n"/>
      <c r="K6362" s="8" t="n"/>
      <c r="L6362" s="8" t="n"/>
      <c r="M6362" s="9">
        <f>B6362+30</f>
        <v/>
      </c>
      <c r="N6362">
        <f>IF(L6362="", "", L6362-B6362)</f>
        <v/>
      </c>
      <c r="O6362">
        <f>IF(L6362="", "Pending", IF(N6362&lt;=30, "Met", "Breached"))</f>
        <v/>
      </c>
      <c r="P6362" s="8" t="n"/>
      <c r="Q6362" s="8" t="n"/>
      <c r="R6362" s="8" t="n"/>
      <c r="S6362" s="8" t="n"/>
      <c r="T6362" s="8" t="n"/>
      <c r="U6362" s="8" t="n"/>
      <c r="V6362" s="8" t="n"/>
      <c r="W6362" s="8" t="n"/>
      <c r="X6362" s="8" t="n"/>
      <c r="Y6362" s="8" t="n"/>
    </row>
    <row r="6363">
      <c r="A6363" s="8" t="n"/>
      <c r="B6363" s="8" t="n"/>
      <c r="C6363" s="8" t="n"/>
      <c r="D6363" s="8" t="n"/>
      <c r="E6363" s="8" t="n"/>
      <c r="F6363" s="8" t="n"/>
      <c r="G6363" s="8" t="n"/>
      <c r="H6363" s="8" t="n"/>
      <c r="I6363" s="8" t="n"/>
      <c r="J6363" s="8" t="n"/>
      <c r="K6363" s="8" t="n"/>
      <c r="L6363" s="8" t="n"/>
      <c r="M6363" s="9">
        <f>B6363+30</f>
        <v/>
      </c>
      <c r="N6363">
        <f>IF(L6363="", "", L6363-B6363)</f>
        <v/>
      </c>
      <c r="O6363">
        <f>IF(L6363="", "Pending", IF(N6363&lt;=30, "Met", "Breached"))</f>
        <v/>
      </c>
      <c r="P6363" s="8" t="n"/>
      <c r="Q6363" s="8" t="n"/>
      <c r="R6363" s="8" t="n"/>
      <c r="S6363" s="8" t="n"/>
      <c r="T6363" s="8" t="n"/>
      <c r="U6363" s="8" t="n"/>
      <c r="V6363" s="8" t="n"/>
      <c r="W6363" s="8" t="n"/>
      <c r="X6363" s="8" t="n"/>
      <c r="Y6363" s="8" t="n"/>
    </row>
    <row r="6364">
      <c r="A6364" s="8" t="n"/>
      <c r="B6364" s="8" t="n"/>
      <c r="C6364" s="8" t="n"/>
      <c r="D6364" s="8" t="n"/>
      <c r="E6364" s="8" t="n"/>
      <c r="F6364" s="8" t="n"/>
      <c r="G6364" s="8" t="n"/>
      <c r="H6364" s="8" t="n"/>
      <c r="I6364" s="8" t="n"/>
      <c r="J6364" s="8" t="n"/>
      <c r="K6364" s="8" t="n"/>
      <c r="L6364" s="8" t="n"/>
      <c r="M6364" s="9">
        <f>B6364+30</f>
        <v/>
      </c>
      <c r="N6364">
        <f>IF(L6364="", "", L6364-B6364)</f>
        <v/>
      </c>
      <c r="O6364">
        <f>IF(L6364="", "Pending", IF(N6364&lt;=30, "Met", "Breached"))</f>
        <v/>
      </c>
      <c r="P6364" s="8" t="n"/>
      <c r="Q6364" s="8" t="n"/>
      <c r="R6364" s="8" t="n"/>
      <c r="S6364" s="8" t="n"/>
      <c r="T6364" s="8" t="n"/>
      <c r="U6364" s="8" t="n"/>
      <c r="V6364" s="8" t="n"/>
      <c r="W6364" s="8" t="n"/>
      <c r="X6364" s="8" t="n"/>
      <c r="Y6364" s="8" t="n"/>
    </row>
    <row r="6365">
      <c r="A6365" s="8" t="n"/>
      <c r="B6365" s="8" t="n"/>
      <c r="C6365" s="8" t="n"/>
      <c r="D6365" s="8" t="n"/>
      <c r="E6365" s="8" t="n"/>
      <c r="F6365" s="8" t="n"/>
      <c r="G6365" s="8" t="n"/>
      <c r="H6365" s="8" t="n"/>
      <c r="I6365" s="8" t="n"/>
      <c r="J6365" s="8" t="n"/>
      <c r="K6365" s="8" t="n"/>
      <c r="L6365" s="8" t="n"/>
      <c r="M6365" s="9">
        <f>B6365+30</f>
        <v/>
      </c>
      <c r="N6365">
        <f>IF(L6365="", "", L6365-B6365)</f>
        <v/>
      </c>
      <c r="O6365">
        <f>IF(L6365="", "Pending", IF(N6365&lt;=30, "Met", "Breached"))</f>
        <v/>
      </c>
      <c r="P6365" s="8" t="n"/>
      <c r="Q6365" s="8" t="n"/>
      <c r="R6365" s="8" t="n"/>
      <c r="S6365" s="8" t="n"/>
      <c r="T6365" s="8" t="n"/>
      <c r="U6365" s="8" t="n"/>
      <c r="V6365" s="8" t="n"/>
      <c r="W6365" s="8" t="n"/>
      <c r="X6365" s="8" t="n"/>
      <c r="Y6365" s="8" t="n"/>
    </row>
    <row r="6366">
      <c r="A6366" s="8" t="n"/>
      <c r="B6366" s="8" t="n"/>
      <c r="C6366" s="8" t="n"/>
      <c r="D6366" s="8" t="n"/>
      <c r="E6366" s="8" t="n"/>
      <c r="F6366" s="8" t="n"/>
      <c r="G6366" s="8" t="n"/>
      <c r="H6366" s="8" t="n"/>
      <c r="I6366" s="8" t="n"/>
      <c r="J6366" s="8" t="n"/>
      <c r="K6366" s="8" t="n"/>
      <c r="L6366" s="8" t="n"/>
      <c r="M6366" s="9">
        <f>B6366+30</f>
        <v/>
      </c>
      <c r="N6366">
        <f>IF(L6366="", "", L6366-B6366)</f>
        <v/>
      </c>
      <c r="O6366">
        <f>IF(L6366="", "Pending", IF(N6366&lt;=30, "Met", "Breached"))</f>
        <v/>
      </c>
      <c r="P6366" s="8" t="n"/>
      <c r="Q6366" s="8" t="n"/>
      <c r="R6366" s="8" t="n"/>
      <c r="S6366" s="8" t="n"/>
      <c r="T6366" s="8" t="n"/>
      <c r="U6366" s="8" t="n"/>
      <c r="V6366" s="8" t="n"/>
      <c r="W6366" s="8" t="n"/>
      <c r="X6366" s="8" t="n"/>
      <c r="Y6366" s="8" t="n"/>
    </row>
    <row r="6367">
      <c r="A6367" s="8" t="n"/>
      <c r="B6367" s="8" t="n"/>
      <c r="C6367" s="8" t="n"/>
      <c r="D6367" s="8" t="n"/>
      <c r="E6367" s="8" t="n"/>
      <c r="F6367" s="8" t="n"/>
      <c r="G6367" s="8" t="n"/>
      <c r="H6367" s="8" t="n"/>
      <c r="I6367" s="8" t="n"/>
      <c r="J6367" s="8" t="n"/>
      <c r="K6367" s="8" t="n"/>
      <c r="L6367" s="8" t="n"/>
      <c r="M6367" s="9">
        <f>B6367+30</f>
        <v/>
      </c>
      <c r="N6367">
        <f>IF(L6367="", "", L6367-B6367)</f>
        <v/>
      </c>
      <c r="O6367">
        <f>IF(L6367="", "Pending", IF(N6367&lt;=30, "Met", "Breached"))</f>
        <v/>
      </c>
      <c r="P6367" s="8" t="n"/>
      <c r="Q6367" s="8" t="n"/>
      <c r="R6367" s="8" t="n"/>
      <c r="S6367" s="8" t="n"/>
      <c r="T6367" s="8" t="n"/>
      <c r="U6367" s="8" t="n"/>
      <c r="V6367" s="8" t="n"/>
      <c r="W6367" s="8" t="n"/>
      <c r="X6367" s="8" t="n"/>
      <c r="Y6367" s="8" t="n"/>
    </row>
    <row r="6368">
      <c r="A6368" s="8" t="n"/>
      <c r="B6368" s="8" t="n"/>
      <c r="C6368" s="8" t="n"/>
      <c r="D6368" s="8" t="n"/>
      <c r="E6368" s="8" t="n"/>
      <c r="F6368" s="8" t="n"/>
      <c r="G6368" s="8" t="n"/>
      <c r="H6368" s="8" t="n"/>
      <c r="I6368" s="8" t="n"/>
      <c r="J6368" s="8" t="n"/>
      <c r="K6368" s="8" t="n"/>
      <c r="L6368" s="8" t="n"/>
      <c r="M6368" s="9">
        <f>B6368+30</f>
        <v/>
      </c>
      <c r="N6368">
        <f>IF(L6368="", "", L6368-B6368)</f>
        <v/>
      </c>
      <c r="O6368">
        <f>IF(L6368="", "Pending", IF(N6368&lt;=30, "Met", "Breached"))</f>
        <v/>
      </c>
      <c r="P6368" s="8" t="n"/>
      <c r="Q6368" s="8" t="n"/>
      <c r="R6368" s="8" t="n"/>
      <c r="S6368" s="8" t="n"/>
      <c r="T6368" s="8" t="n"/>
      <c r="U6368" s="8" t="n"/>
      <c r="V6368" s="8" t="n"/>
      <c r="W6368" s="8" t="n"/>
      <c r="X6368" s="8" t="n"/>
      <c r="Y6368" s="8" t="n"/>
    </row>
    <row r="6369">
      <c r="A6369" s="8" t="n"/>
      <c r="B6369" s="8" t="n"/>
      <c r="C6369" s="8" t="n"/>
      <c r="D6369" s="8" t="n"/>
      <c r="E6369" s="8" t="n"/>
      <c r="F6369" s="8" t="n"/>
      <c r="G6369" s="8" t="n"/>
      <c r="H6369" s="8" t="n"/>
      <c r="I6369" s="8" t="n"/>
      <c r="J6369" s="8" t="n"/>
      <c r="K6369" s="8" t="n"/>
      <c r="L6369" s="8" t="n"/>
      <c r="M6369" s="9">
        <f>B6369+30</f>
        <v/>
      </c>
      <c r="N6369">
        <f>IF(L6369="", "", L6369-B6369)</f>
        <v/>
      </c>
      <c r="O6369">
        <f>IF(L6369="", "Pending", IF(N6369&lt;=30, "Met", "Breached"))</f>
        <v/>
      </c>
      <c r="P6369" s="8" t="n"/>
      <c r="Q6369" s="8" t="n"/>
      <c r="R6369" s="8" t="n"/>
      <c r="S6369" s="8" t="n"/>
      <c r="T6369" s="8" t="n"/>
      <c r="U6369" s="8" t="n"/>
      <c r="V6369" s="8" t="n"/>
      <c r="W6369" s="8" t="n"/>
      <c r="X6369" s="8" t="n"/>
      <c r="Y6369" s="8" t="n"/>
    </row>
    <row r="6370">
      <c r="A6370" s="8" t="n"/>
      <c r="B6370" s="8" t="n"/>
      <c r="C6370" s="8" t="n"/>
      <c r="D6370" s="8" t="n"/>
      <c r="E6370" s="8" t="n"/>
      <c r="F6370" s="8" t="n"/>
      <c r="G6370" s="8" t="n"/>
      <c r="H6370" s="8" t="n"/>
      <c r="I6370" s="8" t="n"/>
      <c r="J6370" s="8" t="n"/>
      <c r="K6370" s="8" t="n"/>
      <c r="L6370" s="8" t="n"/>
      <c r="M6370" s="9">
        <f>B6370+30</f>
        <v/>
      </c>
      <c r="N6370">
        <f>IF(L6370="", "", L6370-B6370)</f>
        <v/>
      </c>
      <c r="O6370">
        <f>IF(L6370="", "Pending", IF(N6370&lt;=30, "Met", "Breached"))</f>
        <v/>
      </c>
      <c r="P6370" s="8" t="n"/>
      <c r="Q6370" s="8" t="n"/>
      <c r="R6370" s="8" t="n"/>
      <c r="S6370" s="8" t="n"/>
      <c r="T6370" s="8" t="n"/>
      <c r="U6370" s="8" t="n"/>
      <c r="V6370" s="8" t="n"/>
      <c r="W6370" s="8" t="n"/>
      <c r="X6370" s="8" t="n"/>
      <c r="Y6370" s="8" t="n"/>
    </row>
    <row r="6371">
      <c r="A6371" s="8" t="n"/>
      <c r="B6371" s="8" t="n"/>
      <c r="C6371" s="8" t="n"/>
      <c r="D6371" s="8" t="n"/>
      <c r="E6371" s="8" t="n"/>
      <c r="F6371" s="8" t="n"/>
      <c r="G6371" s="8" t="n"/>
      <c r="H6371" s="8" t="n"/>
      <c r="I6371" s="8" t="n"/>
      <c r="J6371" s="8" t="n"/>
      <c r="K6371" s="8" t="n"/>
      <c r="L6371" s="8" t="n"/>
      <c r="M6371" s="9">
        <f>B6371+30</f>
        <v/>
      </c>
      <c r="N6371">
        <f>IF(L6371="", "", L6371-B6371)</f>
        <v/>
      </c>
      <c r="O6371">
        <f>IF(L6371="", "Pending", IF(N6371&lt;=30, "Met", "Breached"))</f>
        <v/>
      </c>
      <c r="P6371" s="8" t="n"/>
      <c r="Q6371" s="8" t="n"/>
      <c r="R6371" s="8" t="n"/>
      <c r="S6371" s="8" t="n"/>
      <c r="T6371" s="8" t="n"/>
      <c r="U6371" s="8" t="n"/>
      <c r="V6371" s="8" t="n"/>
      <c r="W6371" s="8" t="n"/>
      <c r="X6371" s="8" t="n"/>
      <c r="Y6371" s="8" t="n"/>
    </row>
    <row r="6372">
      <c r="A6372" s="8" t="n"/>
      <c r="B6372" s="8" t="n"/>
      <c r="C6372" s="8" t="n"/>
      <c r="D6372" s="8" t="n"/>
      <c r="E6372" s="8" t="n"/>
      <c r="F6372" s="8" t="n"/>
      <c r="G6372" s="8" t="n"/>
      <c r="H6372" s="8" t="n"/>
      <c r="I6372" s="8" t="n"/>
      <c r="J6372" s="8" t="n"/>
      <c r="K6372" s="8" t="n"/>
      <c r="L6372" s="8" t="n"/>
      <c r="M6372" s="9">
        <f>B6372+30</f>
        <v/>
      </c>
      <c r="N6372">
        <f>IF(L6372="", "", L6372-B6372)</f>
        <v/>
      </c>
      <c r="O6372">
        <f>IF(L6372="", "Pending", IF(N6372&lt;=30, "Met", "Breached"))</f>
        <v/>
      </c>
      <c r="P6372" s="8" t="n"/>
      <c r="Q6372" s="8" t="n"/>
      <c r="R6372" s="8" t="n"/>
      <c r="S6372" s="8" t="n"/>
      <c r="T6372" s="8" t="n"/>
      <c r="U6372" s="8" t="n"/>
      <c r="V6372" s="8" t="n"/>
      <c r="W6372" s="8" t="n"/>
      <c r="X6372" s="8" t="n"/>
      <c r="Y6372" s="8" t="n"/>
    </row>
    <row r="6373">
      <c r="A6373" s="8" t="n"/>
      <c r="B6373" s="8" t="n"/>
      <c r="C6373" s="8" t="n"/>
      <c r="D6373" s="8" t="n"/>
      <c r="E6373" s="8" t="n"/>
      <c r="F6373" s="8" t="n"/>
      <c r="G6373" s="8" t="n"/>
      <c r="H6373" s="8" t="n"/>
      <c r="I6373" s="8" t="n"/>
      <c r="J6373" s="8" t="n"/>
      <c r="K6373" s="8" t="n"/>
      <c r="L6373" s="8" t="n"/>
      <c r="M6373" s="9">
        <f>B6373+30</f>
        <v/>
      </c>
      <c r="N6373">
        <f>IF(L6373="", "", L6373-B6373)</f>
        <v/>
      </c>
      <c r="O6373">
        <f>IF(L6373="", "Pending", IF(N6373&lt;=30, "Met", "Breached"))</f>
        <v/>
      </c>
      <c r="P6373" s="8" t="n"/>
      <c r="Q6373" s="8" t="n"/>
      <c r="R6373" s="8" t="n"/>
      <c r="S6373" s="8" t="n"/>
      <c r="T6373" s="8" t="n"/>
      <c r="U6373" s="8" t="n"/>
      <c r="V6373" s="8" t="n"/>
      <c r="W6373" s="8" t="n"/>
      <c r="X6373" s="8" t="n"/>
      <c r="Y6373" s="8" t="n"/>
    </row>
    <row r="6374">
      <c r="A6374" s="8" t="n"/>
      <c r="B6374" s="8" t="n"/>
      <c r="C6374" s="8" t="n"/>
      <c r="D6374" s="8" t="n"/>
      <c r="E6374" s="8" t="n"/>
      <c r="F6374" s="8" t="n"/>
      <c r="G6374" s="8" t="n"/>
      <c r="H6374" s="8" t="n"/>
      <c r="I6374" s="8" t="n"/>
      <c r="J6374" s="8" t="n"/>
      <c r="K6374" s="8" t="n"/>
      <c r="L6374" s="8" t="n"/>
      <c r="M6374" s="9">
        <f>B6374+30</f>
        <v/>
      </c>
      <c r="N6374">
        <f>IF(L6374="", "", L6374-B6374)</f>
        <v/>
      </c>
      <c r="O6374">
        <f>IF(L6374="", "Pending", IF(N6374&lt;=30, "Met", "Breached"))</f>
        <v/>
      </c>
      <c r="P6374" s="8" t="n"/>
      <c r="Q6374" s="8" t="n"/>
      <c r="R6374" s="8" t="n"/>
      <c r="S6374" s="8" t="n"/>
      <c r="T6374" s="8" t="n"/>
      <c r="U6374" s="8" t="n"/>
      <c r="V6374" s="8" t="n"/>
      <c r="W6374" s="8" t="n"/>
      <c r="X6374" s="8" t="n"/>
      <c r="Y6374" s="8" t="n"/>
    </row>
    <row r="6375">
      <c r="A6375" s="8" t="n"/>
      <c r="B6375" s="8" t="n"/>
      <c r="C6375" s="8" t="n"/>
      <c r="D6375" s="8" t="n"/>
      <c r="E6375" s="8" t="n"/>
      <c r="F6375" s="8" t="n"/>
      <c r="G6375" s="8" t="n"/>
      <c r="H6375" s="8" t="n"/>
      <c r="I6375" s="8" t="n"/>
      <c r="J6375" s="8" t="n"/>
      <c r="K6375" s="8" t="n"/>
      <c r="L6375" s="8" t="n"/>
      <c r="M6375" s="9">
        <f>B6375+30</f>
        <v/>
      </c>
      <c r="N6375">
        <f>IF(L6375="", "", L6375-B6375)</f>
        <v/>
      </c>
      <c r="O6375">
        <f>IF(L6375="", "Pending", IF(N6375&lt;=30, "Met", "Breached"))</f>
        <v/>
      </c>
      <c r="P6375" s="8" t="n"/>
      <c r="Q6375" s="8" t="n"/>
      <c r="R6375" s="8" t="n"/>
      <c r="S6375" s="8" t="n"/>
      <c r="T6375" s="8" t="n"/>
      <c r="U6375" s="8" t="n"/>
      <c r="V6375" s="8" t="n"/>
      <c r="W6375" s="8" t="n"/>
      <c r="X6375" s="8" t="n"/>
      <c r="Y6375" s="8" t="n"/>
    </row>
    <row r="6376">
      <c r="A6376" s="8" t="n"/>
      <c r="B6376" s="8" t="n"/>
      <c r="C6376" s="8" t="n"/>
      <c r="D6376" s="8" t="n"/>
      <c r="E6376" s="8" t="n"/>
      <c r="F6376" s="8" t="n"/>
      <c r="G6376" s="8" t="n"/>
      <c r="H6376" s="8" t="n"/>
      <c r="I6376" s="8" t="n"/>
      <c r="J6376" s="8" t="n"/>
      <c r="K6376" s="8" t="n"/>
      <c r="L6376" s="8" t="n"/>
      <c r="M6376" s="9">
        <f>B6376+30</f>
        <v/>
      </c>
      <c r="N6376">
        <f>IF(L6376="", "", L6376-B6376)</f>
        <v/>
      </c>
      <c r="O6376">
        <f>IF(L6376="", "Pending", IF(N6376&lt;=30, "Met", "Breached"))</f>
        <v/>
      </c>
      <c r="P6376" s="8" t="n"/>
      <c r="Q6376" s="8" t="n"/>
      <c r="R6376" s="8" t="n"/>
      <c r="S6376" s="8" t="n"/>
      <c r="T6376" s="8" t="n"/>
      <c r="U6376" s="8" t="n"/>
      <c r="V6376" s="8" t="n"/>
      <c r="W6376" s="8" t="n"/>
      <c r="X6376" s="8" t="n"/>
      <c r="Y6376" s="8" t="n"/>
    </row>
    <row r="6377">
      <c r="A6377" s="8" t="n"/>
      <c r="B6377" s="8" t="n"/>
      <c r="C6377" s="8" t="n"/>
      <c r="D6377" s="8" t="n"/>
      <c r="E6377" s="8" t="n"/>
      <c r="F6377" s="8" t="n"/>
      <c r="G6377" s="8" t="n"/>
      <c r="H6377" s="8" t="n"/>
      <c r="I6377" s="8" t="n"/>
      <c r="J6377" s="8" t="n"/>
      <c r="K6377" s="8" t="n"/>
      <c r="L6377" s="8" t="n"/>
      <c r="M6377" s="9">
        <f>B6377+30</f>
        <v/>
      </c>
      <c r="N6377">
        <f>IF(L6377="", "", L6377-B6377)</f>
        <v/>
      </c>
      <c r="O6377">
        <f>IF(L6377="", "Pending", IF(N6377&lt;=30, "Met", "Breached"))</f>
        <v/>
      </c>
      <c r="P6377" s="8" t="n"/>
      <c r="Q6377" s="8" t="n"/>
      <c r="R6377" s="8" t="n"/>
      <c r="S6377" s="8" t="n"/>
      <c r="T6377" s="8" t="n"/>
      <c r="U6377" s="8" t="n"/>
      <c r="V6377" s="8" t="n"/>
      <c r="W6377" s="8" t="n"/>
      <c r="X6377" s="8" t="n"/>
      <c r="Y6377" s="8" t="n"/>
    </row>
    <row r="6378">
      <c r="A6378" s="8" t="n"/>
      <c r="B6378" s="8" t="n"/>
      <c r="C6378" s="8" t="n"/>
      <c r="D6378" s="8" t="n"/>
      <c r="E6378" s="8" t="n"/>
      <c r="F6378" s="8" t="n"/>
      <c r="G6378" s="8" t="n"/>
      <c r="H6378" s="8" t="n"/>
      <c r="I6378" s="8" t="n"/>
      <c r="J6378" s="8" t="n"/>
      <c r="K6378" s="8" t="n"/>
      <c r="L6378" s="8" t="n"/>
      <c r="M6378" s="9">
        <f>B6378+30</f>
        <v/>
      </c>
      <c r="N6378">
        <f>IF(L6378="", "", L6378-B6378)</f>
        <v/>
      </c>
      <c r="O6378">
        <f>IF(L6378="", "Pending", IF(N6378&lt;=30, "Met", "Breached"))</f>
        <v/>
      </c>
      <c r="P6378" s="8" t="n"/>
      <c r="Q6378" s="8" t="n"/>
      <c r="R6378" s="8" t="n"/>
      <c r="S6378" s="8" t="n"/>
      <c r="T6378" s="8" t="n"/>
      <c r="U6378" s="8" t="n"/>
      <c r="V6378" s="8" t="n"/>
      <c r="W6378" s="8" t="n"/>
      <c r="X6378" s="8" t="n"/>
      <c r="Y6378" s="8" t="n"/>
    </row>
    <row r="6379">
      <c r="A6379" s="8" t="n"/>
      <c r="B6379" s="8" t="n"/>
      <c r="C6379" s="8" t="n"/>
      <c r="D6379" s="8" t="n"/>
      <c r="E6379" s="8" t="n"/>
      <c r="F6379" s="8" t="n"/>
      <c r="G6379" s="8" t="n"/>
      <c r="H6379" s="8" t="n"/>
      <c r="I6379" s="8" t="n"/>
      <c r="J6379" s="8" t="n"/>
      <c r="K6379" s="8" t="n"/>
      <c r="L6379" s="8" t="n"/>
      <c r="M6379" s="9">
        <f>B6379+30</f>
        <v/>
      </c>
      <c r="N6379">
        <f>IF(L6379="", "", L6379-B6379)</f>
        <v/>
      </c>
      <c r="O6379">
        <f>IF(L6379="", "Pending", IF(N6379&lt;=30, "Met", "Breached"))</f>
        <v/>
      </c>
      <c r="P6379" s="8" t="n"/>
      <c r="Q6379" s="8" t="n"/>
      <c r="R6379" s="8" t="n"/>
      <c r="S6379" s="8" t="n"/>
      <c r="T6379" s="8" t="n"/>
      <c r="U6379" s="8" t="n"/>
      <c r="V6379" s="8" t="n"/>
      <c r="W6379" s="8" t="n"/>
      <c r="X6379" s="8" t="n"/>
      <c r="Y6379" s="8" t="n"/>
    </row>
    <row r="6380">
      <c r="A6380" s="8" t="n"/>
      <c r="B6380" s="8" t="n"/>
      <c r="C6380" s="8" t="n"/>
      <c r="D6380" s="8" t="n"/>
      <c r="E6380" s="8" t="n"/>
      <c r="F6380" s="8" t="n"/>
      <c r="G6380" s="8" t="n"/>
      <c r="H6380" s="8" t="n"/>
      <c r="I6380" s="8" t="n"/>
      <c r="J6380" s="8" t="n"/>
      <c r="K6380" s="8" t="n"/>
      <c r="L6380" s="8" t="n"/>
      <c r="M6380" s="9">
        <f>B6380+30</f>
        <v/>
      </c>
      <c r="N6380">
        <f>IF(L6380="", "", L6380-B6380)</f>
        <v/>
      </c>
      <c r="O6380">
        <f>IF(L6380="", "Pending", IF(N6380&lt;=30, "Met", "Breached"))</f>
        <v/>
      </c>
      <c r="P6380" s="8" t="n"/>
      <c r="Q6380" s="8" t="n"/>
      <c r="R6380" s="8" t="n"/>
      <c r="S6380" s="8" t="n"/>
      <c r="T6380" s="8" t="n"/>
      <c r="U6380" s="8" t="n"/>
      <c r="V6380" s="8" t="n"/>
      <c r="W6380" s="8" t="n"/>
      <c r="X6380" s="8" t="n"/>
      <c r="Y6380" s="8" t="n"/>
    </row>
    <row r="6381">
      <c r="A6381" s="8" t="n"/>
      <c r="B6381" s="8" t="n"/>
      <c r="C6381" s="8" t="n"/>
      <c r="D6381" s="8" t="n"/>
      <c r="E6381" s="8" t="n"/>
      <c r="F6381" s="8" t="n"/>
      <c r="G6381" s="8" t="n"/>
      <c r="H6381" s="8" t="n"/>
      <c r="I6381" s="8" t="n"/>
      <c r="J6381" s="8" t="n"/>
      <c r="K6381" s="8" t="n"/>
      <c r="L6381" s="8" t="n"/>
      <c r="M6381" s="9">
        <f>B6381+30</f>
        <v/>
      </c>
      <c r="N6381">
        <f>IF(L6381="", "", L6381-B6381)</f>
        <v/>
      </c>
      <c r="O6381">
        <f>IF(L6381="", "Pending", IF(N6381&lt;=30, "Met", "Breached"))</f>
        <v/>
      </c>
      <c r="P6381" s="8" t="n"/>
      <c r="Q6381" s="8" t="n"/>
      <c r="R6381" s="8" t="n"/>
      <c r="S6381" s="8" t="n"/>
      <c r="T6381" s="8" t="n"/>
      <c r="U6381" s="8" t="n"/>
      <c r="V6381" s="8" t="n"/>
      <c r="W6381" s="8" t="n"/>
      <c r="X6381" s="8" t="n"/>
      <c r="Y6381" s="8" t="n"/>
    </row>
    <row r="6382">
      <c r="A6382" s="8" t="n"/>
      <c r="B6382" s="8" t="n"/>
      <c r="C6382" s="8" t="n"/>
      <c r="D6382" s="8" t="n"/>
      <c r="E6382" s="8" t="n"/>
      <c r="F6382" s="8" t="n"/>
      <c r="G6382" s="8" t="n"/>
      <c r="H6382" s="8" t="n"/>
      <c r="I6382" s="8" t="n"/>
      <c r="J6382" s="8" t="n"/>
      <c r="K6382" s="8" t="n"/>
      <c r="L6382" s="8" t="n"/>
      <c r="M6382" s="9">
        <f>B6382+30</f>
        <v/>
      </c>
      <c r="N6382">
        <f>IF(L6382="", "", L6382-B6382)</f>
        <v/>
      </c>
      <c r="O6382">
        <f>IF(L6382="", "Pending", IF(N6382&lt;=30, "Met", "Breached"))</f>
        <v/>
      </c>
      <c r="P6382" s="8" t="n"/>
      <c r="Q6382" s="8" t="n"/>
      <c r="R6382" s="8" t="n"/>
      <c r="S6382" s="8" t="n"/>
      <c r="T6382" s="8" t="n"/>
      <c r="U6382" s="8" t="n"/>
      <c r="V6382" s="8" t="n"/>
      <c r="W6382" s="8" t="n"/>
      <c r="X6382" s="8" t="n"/>
      <c r="Y6382" s="8" t="n"/>
    </row>
    <row r="6383">
      <c r="A6383" s="8" t="n"/>
      <c r="B6383" s="8" t="n"/>
      <c r="C6383" s="8" t="n"/>
      <c r="D6383" s="8" t="n"/>
      <c r="E6383" s="8" t="n"/>
      <c r="F6383" s="8" t="n"/>
      <c r="G6383" s="8" t="n"/>
      <c r="H6383" s="8" t="n"/>
      <c r="I6383" s="8" t="n"/>
      <c r="J6383" s="8" t="n"/>
      <c r="K6383" s="8" t="n"/>
      <c r="L6383" s="8" t="n"/>
      <c r="M6383" s="9">
        <f>B6383+30</f>
        <v/>
      </c>
      <c r="N6383">
        <f>IF(L6383="", "", L6383-B6383)</f>
        <v/>
      </c>
      <c r="O6383">
        <f>IF(L6383="", "Pending", IF(N6383&lt;=30, "Met", "Breached"))</f>
        <v/>
      </c>
      <c r="P6383" s="8" t="n"/>
      <c r="Q6383" s="8" t="n"/>
      <c r="R6383" s="8" t="n"/>
      <c r="S6383" s="8" t="n"/>
      <c r="T6383" s="8" t="n"/>
      <c r="U6383" s="8" t="n"/>
      <c r="V6383" s="8" t="n"/>
      <c r="W6383" s="8" t="n"/>
      <c r="X6383" s="8" t="n"/>
      <c r="Y6383" s="8" t="n"/>
    </row>
    <row r="6384">
      <c r="A6384" s="8" t="n"/>
      <c r="B6384" s="8" t="n"/>
      <c r="C6384" s="8" t="n"/>
      <c r="D6384" s="8" t="n"/>
      <c r="E6384" s="8" t="n"/>
      <c r="F6384" s="8" t="n"/>
      <c r="G6384" s="8" t="n"/>
      <c r="H6384" s="8" t="n"/>
      <c r="I6384" s="8" t="n"/>
      <c r="J6384" s="8" t="n"/>
      <c r="K6384" s="8" t="n"/>
      <c r="L6384" s="8" t="n"/>
      <c r="M6384" s="9">
        <f>B6384+30</f>
        <v/>
      </c>
      <c r="N6384">
        <f>IF(L6384="", "", L6384-B6384)</f>
        <v/>
      </c>
      <c r="O6384">
        <f>IF(L6384="", "Pending", IF(N6384&lt;=30, "Met", "Breached"))</f>
        <v/>
      </c>
      <c r="P6384" s="8" t="n"/>
      <c r="Q6384" s="8" t="n"/>
      <c r="R6384" s="8" t="n"/>
      <c r="S6384" s="8" t="n"/>
      <c r="T6384" s="8" t="n"/>
      <c r="U6384" s="8" t="n"/>
      <c r="V6384" s="8" t="n"/>
      <c r="W6384" s="8" t="n"/>
      <c r="X6384" s="8" t="n"/>
      <c r="Y6384" s="8" t="n"/>
    </row>
    <row r="6385">
      <c r="A6385" s="8" t="n"/>
      <c r="B6385" s="8" t="n"/>
      <c r="C6385" s="8" t="n"/>
      <c r="D6385" s="8" t="n"/>
      <c r="E6385" s="8" t="n"/>
      <c r="F6385" s="8" t="n"/>
      <c r="G6385" s="8" t="n"/>
      <c r="H6385" s="8" t="n"/>
      <c r="I6385" s="8" t="n"/>
      <c r="J6385" s="8" t="n"/>
      <c r="K6385" s="8" t="n"/>
      <c r="L6385" s="8" t="n"/>
      <c r="M6385" s="9">
        <f>B6385+30</f>
        <v/>
      </c>
      <c r="N6385">
        <f>IF(L6385="", "", L6385-B6385)</f>
        <v/>
      </c>
      <c r="O6385">
        <f>IF(L6385="", "Pending", IF(N6385&lt;=30, "Met", "Breached"))</f>
        <v/>
      </c>
      <c r="P6385" s="8" t="n"/>
      <c r="Q6385" s="8" t="n"/>
      <c r="R6385" s="8" t="n"/>
      <c r="S6385" s="8" t="n"/>
      <c r="T6385" s="8" t="n"/>
      <c r="U6385" s="8" t="n"/>
      <c r="V6385" s="8" t="n"/>
      <c r="W6385" s="8" t="n"/>
      <c r="X6385" s="8" t="n"/>
      <c r="Y6385" s="8" t="n"/>
    </row>
    <row r="6386">
      <c r="A6386" s="8" t="n"/>
      <c r="B6386" s="8" t="n"/>
      <c r="C6386" s="8" t="n"/>
      <c r="D6386" s="8" t="n"/>
      <c r="E6386" s="8" t="n"/>
      <c r="F6386" s="8" t="n"/>
      <c r="G6386" s="8" t="n"/>
      <c r="H6386" s="8" t="n"/>
      <c r="I6386" s="8" t="n"/>
      <c r="J6386" s="8" t="n"/>
      <c r="K6386" s="8" t="n"/>
      <c r="L6386" s="8" t="n"/>
      <c r="M6386" s="9">
        <f>B6386+30</f>
        <v/>
      </c>
      <c r="N6386">
        <f>IF(L6386="", "", L6386-B6386)</f>
        <v/>
      </c>
      <c r="O6386">
        <f>IF(L6386="", "Pending", IF(N6386&lt;=30, "Met", "Breached"))</f>
        <v/>
      </c>
      <c r="P6386" s="8" t="n"/>
      <c r="Q6386" s="8" t="n"/>
      <c r="R6386" s="8" t="n"/>
      <c r="S6386" s="8" t="n"/>
      <c r="T6386" s="8" t="n"/>
      <c r="U6386" s="8" t="n"/>
      <c r="V6386" s="8" t="n"/>
      <c r="W6386" s="8" t="n"/>
      <c r="X6386" s="8" t="n"/>
      <c r="Y6386" s="8" t="n"/>
    </row>
    <row r="6387">
      <c r="A6387" s="8" t="n"/>
      <c r="B6387" s="8" t="n"/>
      <c r="C6387" s="8" t="n"/>
      <c r="D6387" s="8" t="n"/>
      <c r="E6387" s="8" t="n"/>
      <c r="F6387" s="8" t="n"/>
      <c r="G6387" s="8" t="n"/>
      <c r="H6387" s="8" t="n"/>
      <c r="I6387" s="8" t="n"/>
      <c r="J6387" s="8" t="n"/>
      <c r="K6387" s="8" t="n"/>
      <c r="L6387" s="8" t="n"/>
      <c r="M6387" s="9">
        <f>B6387+30</f>
        <v/>
      </c>
      <c r="N6387">
        <f>IF(L6387="", "", L6387-B6387)</f>
        <v/>
      </c>
      <c r="O6387">
        <f>IF(L6387="", "Pending", IF(N6387&lt;=30, "Met", "Breached"))</f>
        <v/>
      </c>
      <c r="P6387" s="8" t="n"/>
      <c r="Q6387" s="8" t="n"/>
      <c r="R6387" s="8" t="n"/>
      <c r="S6387" s="8" t="n"/>
      <c r="T6387" s="8" t="n"/>
      <c r="U6387" s="8" t="n"/>
      <c r="V6387" s="8" t="n"/>
      <c r="W6387" s="8" t="n"/>
      <c r="X6387" s="8" t="n"/>
      <c r="Y6387" s="8" t="n"/>
    </row>
    <row r="6388">
      <c r="A6388" s="8" t="n"/>
      <c r="B6388" s="8" t="n"/>
      <c r="C6388" s="8" t="n"/>
      <c r="D6388" s="8" t="n"/>
      <c r="E6388" s="8" t="n"/>
      <c r="F6388" s="8" t="n"/>
      <c r="G6388" s="8" t="n"/>
      <c r="H6388" s="8" t="n"/>
      <c r="I6388" s="8" t="n"/>
      <c r="J6388" s="8" t="n"/>
      <c r="K6388" s="8" t="n"/>
      <c r="L6388" s="8" t="n"/>
      <c r="M6388" s="9">
        <f>B6388+30</f>
        <v/>
      </c>
      <c r="N6388">
        <f>IF(L6388="", "", L6388-B6388)</f>
        <v/>
      </c>
      <c r="O6388">
        <f>IF(L6388="", "Pending", IF(N6388&lt;=30, "Met", "Breached"))</f>
        <v/>
      </c>
      <c r="P6388" s="8" t="n"/>
      <c r="Q6388" s="8" t="n"/>
      <c r="R6388" s="8" t="n"/>
      <c r="S6388" s="8" t="n"/>
      <c r="T6388" s="8" t="n"/>
      <c r="U6388" s="8" t="n"/>
      <c r="V6388" s="8" t="n"/>
      <c r="W6388" s="8" t="n"/>
      <c r="X6388" s="8" t="n"/>
      <c r="Y6388" s="8" t="n"/>
    </row>
    <row r="6389">
      <c r="A6389" s="8" t="n"/>
      <c r="B6389" s="8" t="n"/>
      <c r="C6389" s="8" t="n"/>
      <c r="D6389" s="8" t="n"/>
      <c r="E6389" s="8" t="n"/>
      <c r="F6389" s="8" t="n"/>
      <c r="G6389" s="8" t="n"/>
      <c r="H6389" s="8" t="n"/>
      <c r="I6389" s="8" t="n"/>
      <c r="J6389" s="8" t="n"/>
      <c r="K6389" s="8" t="n"/>
      <c r="L6389" s="8" t="n"/>
      <c r="M6389" s="9">
        <f>B6389+30</f>
        <v/>
      </c>
      <c r="N6389">
        <f>IF(L6389="", "", L6389-B6389)</f>
        <v/>
      </c>
      <c r="O6389">
        <f>IF(L6389="", "Pending", IF(N6389&lt;=30, "Met", "Breached"))</f>
        <v/>
      </c>
      <c r="P6389" s="8" t="n"/>
      <c r="Q6389" s="8" t="n"/>
      <c r="R6389" s="8" t="n"/>
      <c r="S6389" s="8" t="n"/>
      <c r="T6389" s="8" t="n"/>
      <c r="U6389" s="8" t="n"/>
      <c r="V6389" s="8" t="n"/>
      <c r="W6389" s="8" t="n"/>
      <c r="X6389" s="8" t="n"/>
      <c r="Y6389" s="8" t="n"/>
    </row>
    <row r="6390">
      <c r="A6390" s="8" t="n"/>
      <c r="B6390" s="8" t="n"/>
      <c r="C6390" s="8" t="n"/>
      <c r="D6390" s="8" t="n"/>
      <c r="E6390" s="8" t="n"/>
      <c r="F6390" s="8" t="n"/>
      <c r="G6390" s="8" t="n"/>
      <c r="H6390" s="8" t="n"/>
      <c r="I6390" s="8" t="n"/>
      <c r="J6390" s="8" t="n"/>
      <c r="K6390" s="8" t="n"/>
      <c r="L6390" s="8" t="n"/>
      <c r="M6390" s="9">
        <f>B6390+30</f>
        <v/>
      </c>
      <c r="N6390">
        <f>IF(L6390="", "", L6390-B6390)</f>
        <v/>
      </c>
      <c r="O6390">
        <f>IF(L6390="", "Pending", IF(N6390&lt;=30, "Met", "Breached"))</f>
        <v/>
      </c>
      <c r="P6390" s="8" t="n"/>
      <c r="Q6390" s="8" t="n"/>
      <c r="R6390" s="8" t="n"/>
      <c r="S6390" s="8" t="n"/>
      <c r="T6390" s="8" t="n"/>
      <c r="U6390" s="8" t="n"/>
      <c r="V6390" s="8" t="n"/>
      <c r="W6390" s="8" t="n"/>
      <c r="X6390" s="8" t="n"/>
      <c r="Y6390" s="8" t="n"/>
    </row>
    <row r="6391">
      <c r="A6391" s="8" t="n"/>
      <c r="B6391" s="8" t="n"/>
      <c r="C6391" s="8" t="n"/>
      <c r="D6391" s="8" t="n"/>
      <c r="E6391" s="8" t="n"/>
      <c r="F6391" s="8" t="n"/>
      <c r="G6391" s="8" t="n"/>
      <c r="H6391" s="8" t="n"/>
      <c r="I6391" s="8" t="n"/>
      <c r="J6391" s="8" t="n"/>
      <c r="K6391" s="8" t="n"/>
      <c r="L6391" s="8" t="n"/>
      <c r="M6391" s="9">
        <f>B6391+30</f>
        <v/>
      </c>
      <c r="N6391">
        <f>IF(L6391="", "", L6391-B6391)</f>
        <v/>
      </c>
      <c r="O6391">
        <f>IF(L6391="", "Pending", IF(N6391&lt;=30, "Met", "Breached"))</f>
        <v/>
      </c>
      <c r="P6391" s="8" t="n"/>
      <c r="Q6391" s="8" t="n"/>
      <c r="R6391" s="8" t="n"/>
      <c r="S6391" s="8" t="n"/>
      <c r="T6391" s="8" t="n"/>
      <c r="U6391" s="8" t="n"/>
      <c r="V6391" s="8" t="n"/>
      <c r="W6391" s="8" t="n"/>
      <c r="X6391" s="8" t="n"/>
      <c r="Y6391" s="8" t="n"/>
    </row>
    <row r="6392">
      <c r="A6392" s="8" t="n"/>
      <c r="B6392" s="8" t="n"/>
      <c r="C6392" s="8" t="n"/>
      <c r="D6392" s="8" t="n"/>
      <c r="E6392" s="8" t="n"/>
      <c r="F6392" s="8" t="n"/>
      <c r="G6392" s="8" t="n"/>
      <c r="H6392" s="8" t="n"/>
      <c r="I6392" s="8" t="n"/>
      <c r="J6392" s="8" t="n"/>
      <c r="K6392" s="8" t="n"/>
      <c r="L6392" s="8" t="n"/>
      <c r="M6392" s="9">
        <f>B6392+30</f>
        <v/>
      </c>
      <c r="N6392">
        <f>IF(L6392="", "", L6392-B6392)</f>
        <v/>
      </c>
      <c r="O6392">
        <f>IF(L6392="", "Pending", IF(N6392&lt;=30, "Met", "Breached"))</f>
        <v/>
      </c>
      <c r="P6392" s="8" t="n"/>
      <c r="Q6392" s="8" t="n"/>
      <c r="R6392" s="8" t="n"/>
      <c r="S6392" s="8" t="n"/>
      <c r="T6392" s="8" t="n"/>
      <c r="U6392" s="8" t="n"/>
      <c r="V6392" s="8" t="n"/>
      <c r="W6392" s="8" t="n"/>
      <c r="X6392" s="8" t="n"/>
      <c r="Y6392" s="8" t="n"/>
    </row>
    <row r="6393">
      <c r="A6393" s="8" t="n"/>
      <c r="B6393" s="8" t="n"/>
      <c r="C6393" s="8" t="n"/>
      <c r="D6393" s="8" t="n"/>
      <c r="E6393" s="8" t="n"/>
      <c r="F6393" s="8" t="n"/>
      <c r="G6393" s="8" t="n"/>
      <c r="H6393" s="8" t="n"/>
      <c r="I6393" s="8" t="n"/>
      <c r="J6393" s="8" t="n"/>
      <c r="K6393" s="8" t="n"/>
      <c r="L6393" s="8" t="n"/>
      <c r="M6393" s="9">
        <f>B6393+30</f>
        <v/>
      </c>
      <c r="N6393">
        <f>IF(L6393="", "", L6393-B6393)</f>
        <v/>
      </c>
      <c r="O6393">
        <f>IF(L6393="", "Pending", IF(N6393&lt;=30, "Met", "Breached"))</f>
        <v/>
      </c>
      <c r="P6393" s="8" t="n"/>
      <c r="Q6393" s="8" t="n"/>
      <c r="R6393" s="8" t="n"/>
      <c r="S6393" s="8" t="n"/>
      <c r="T6393" s="8" t="n"/>
      <c r="U6393" s="8" t="n"/>
      <c r="V6393" s="8" t="n"/>
      <c r="W6393" s="8" t="n"/>
      <c r="X6393" s="8" t="n"/>
      <c r="Y6393" s="8" t="n"/>
    </row>
    <row r="6394">
      <c r="A6394" s="8" t="n"/>
      <c r="B6394" s="8" t="n"/>
      <c r="C6394" s="8" t="n"/>
      <c r="D6394" s="8" t="n"/>
      <c r="E6394" s="8" t="n"/>
      <c r="F6394" s="8" t="n"/>
      <c r="G6394" s="8" t="n"/>
      <c r="H6394" s="8" t="n"/>
      <c r="I6394" s="8" t="n"/>
      <c r="J6394" s="8" t="n"/>
      <c r="K6394" s="8" t="n"/>
      <c r="L6394" s="8" t="n"/>
      <c r="M6394" s="9">
        <f>B6394+30</f>
        <v/>
      </c>
      <c r="N6394">
        <f>IF(L6394="", "", L6394-B6394)</f>
        <v/>
      </c>
      <c r="O6394">
        <f>IF(L6394="", "Pending", IF(N6394&lt;=30, "Met", "Breached"))</f>
        <v/>
      </c>
      <c r="P6394" s="8" t="n"/>
      <c r="Q6394" s="8" t="n"/>
      <c r="R6394" s="8" t="n"/>
      <c r="S6394" s="8" t="n"/>
      <c r="T6394" s="8" t="n"/>
      <c r="U6394" s="8" t="n"/>
      <c r="V6394" s="8" t="n"/>
      <c r="W6394" s="8" t="n"/>
      <c r="X6394" s="8" t="n"/>
      <c r="Y6394" s="8" t="n"/>
    </row>
    <row r="6395">
      <c r="A6395" s="8" t="n"/>
      <c r="B6395" s="8" t="n"/>
      <c r="C6395" s="8" t="n"/>
      <c r="D6395" s="8" t="n"/>
      <c r="E6395" s="8" t="n"/>
      <c r="F6395" s="8" t="n"/>
      <c r="G6395" s="8" t="n"/>
      <c r="H6395" s="8" t="n"/>
      <c r="I6395" s="8" t="n"/>
      <c r="J6395" s="8" t="n"/>
      <c r="K6395" s="8" t="n"/>
      <c r="L6395" s="8" t="n"/>
      <c r="M6395" s="9">
        <f>B6395+30</f>
        <v/>
      </c>
      <c r="N6395">
        <f>IF(L6395="", "", L6395-B6395)</f>
        <v/>
      </c>
      <c r="O6395">
        <f>IF(L6395="", "Pending", IF(N6395&lt;=30, "Met", "Breached"))</f>
        <v/>
      </c>
      <c r="P6395" s="8" t="n"/>
      <c r="Q6395" s="8" t="n"/>
      <c r="R6395" s="8" t="n"/>
      <c r="S6395" s="8" t="n"/>
      <c r="T6395" s="8" t="n"/>
      <c r="U6395" s="8" t="n"/>
      <c r="V6395" s="8" t="n"/>
      <c r="W6395" s="8" t="n"/>
      <c r="X6395" s="8" t="n"/>
      <c r="Y6395" s="8" t="n"/>
    </row>
    <row r="6396">
      <c r="A6396" s="8" t="n"/>
      <c r="B6396" s="8" t="n"/>
      <c r="C6396" s="8" t="n"/>
      <c r="D6396" s="8" t="n"/>
      <c r="E6396" s="8" t="n"/>
      <c r="F6396" s="8" t="n"/>
      <c r="G6396" s="8" t="n"/>
      <c r="H6396" s="8" t="n"/>
      <c r="I6396" s="8" t="n"/>
      <c r="J6396" s="8" t="n"/>
      <c r="K6396" s="8" t="n"/>
      <c r="L6396" s="8" t="n"/>
      <c r="M6396" s="9">
        <f>B6396+30</f>
        <v/>
      </c>
      <c r="N6396">
        <f>IF(L6396="", "", L6396-B6396)</f>
        <v/>
      </c>
      <c r="O6396">
        <f>IF(L6396="", "Pending", IF(N6396&lt;=30, "Met", "Breached"))</f>
        <v/>
      </c>
      <c r="P6396" s="8" t="n"/>
      <c r="Q6396" s="8" t="n"/>
      <c r="R6396" s="8" t="n"/>
      <c r="S6396" s="8" t="n"/>
      <c r="T6396" s="8" t="n"/>
      <c r="U6396" s="8" t="n"/>
      <c r="V6396" s="8" t="n"/>
      <c r="W6396" s="8" t="n"/>
      <c r="X6396" s="8" t="n"/>
      <c r="Y6396" s="8" t="n"/>
    </row>
    <row r="6397">
      <c r="A6397" s="8" t="n"/>
      <c r="B6397" s="8" t="n"/>
      <c r="C6397" s="8" t="n"/>
      <c r="D6397" s="8" t="n"/>
      <c r="E6397" s="8" t="n"/>
      <c r="F6397" s="8" t="n"/>
      <c r="G6397" s="8" t="n"/>
      <c r="H6397" s="8" t="n"/>
      <c r="I6397" s="8" t="n"/>
      <c r="J6397" s="8" t="n"/>
      <c r="K6397" s="8" t="n"/>
      <c r="L6397" s="8" t="n"/>
      <c r="M6397" s="9">
        <f>B6397+30</f>
        <v/>
      </c>
      <c r="N6397">
        <f>IF(L6397="", "", L6397-B6397)</f>
        <v/>
      </c>
      <c r="O6397">
        <f>IF(L6397="", "Pending", IF(N6397&lt;=30, "Met", "Breached"))</f>
        <v/>
      </c>
      <c r="P6397" s="8" t="n"/>
      <c r="Q6397" s="8" t="n"/>
      <c r="R6397" s="8" t="n"/>
      <c r="S6397" s="8" t="n"/>
      <c r="T6397" s="8" t="n"/>
      <c r="U6397" s="8" t="n"/>
      <c r="V6397" s="8" t="n"/>
      <c r="W6397" s="8" t="n"/>
      <c r="X6397" s="8" t="n"/>
      <c r="Y6397" s="8" t="n"/>
    </row>
    <row r="6398">
      <c r="A6398" s="8" t="n"/>
      <c r="B6398" s="8" t="n"/>
      <c r="C6398" s="8" t="n"/>
      <c r="D6398" s="8" t="n"/>
      <c r="E6398" s="8" t="n"/>
      <c r="F6398" s="8" t="n"/>
      <c r="G6398" s="8" t="n"/>
      <c r="H6398" s="8" t="n"/>
      <c r="I6398" s="8" t="n"/>
      <c r="J6398" s="8" t="n"/>
      <c r="K6398" s="8" t="n"/>
      <c r="L6398" s="8" t="n"/>
      <c r="M6398" s="9">
        <f>B6398+30</f>
        <v/>
      </c>
      <c r="N6398">
        <f>IF(L6398="", "", L6398-B6398)</f>
        <v/>
      </c>
      <c r="O6398">
        <f>IF(L6398="", "Pending", IF(N6398&lt;=30, "Met", "Breached"))</f>
        <v/>
      </c>
      <c r="P6398" s="8" t="n"/>
      <c r="Q6398" s="8" t="n"/>
      <c r="R6398" s="8" t="n"/>
      <c r="S6398" s="8" t="n"/>
      <c r="T6398" s="8" t="n"/>
      <c r="U6398" s="8" t="n"/>
      <c r="V6398" s="8" t="n"/>
      <c r="W6398" s="8" t="n"/>
      <c r="X6398" s="8" t="n"/>
      <c r="Y6398" s="8" t="n"/>
    </row>
    <row r="6399">
      <c r="A6399" s="8" t="n"/>
      <c r="B6399" s="8" t="n"/>
      <c r="C6399" s="8" t="n"/>
      <c r="D6399" s="8" t="n"/>
      <c r="E6399" s="8" t="n"/>
      <c r="F6399" s="8" t="n"/>
      <c r="G6399" s="8" t="n"/>
      <c r="H6399" s="8" t="n"/>
      <c r="I6399" s="8" t="n"/>
      <c r="J6399" s="8" t="n"/>
      <c r="K6399" s="8" t="n"/>
      <c r="L6399" s="8" t="n"/>
      <c r="M6399" s="9">
        <f>B6399+30</f>
        <v/>
      </c>
      <c r="N6399">
        <f>IF(L6399="", "", L6399-B6399)</f>
        <v/>
      </c>
      <c r="O6399">
        <f>IF(L6399="", "Pending", IF(N6399&lt;=30, "Met", "Breached"))</f>
        <v/>
      </c>
      <c r="P6399" s="8" t="n"/>
      <c r="Q6399" s="8" t="n"/>
      <c r="R6399" s="8" t="n"/>
      <c r="S6399" s="8" t="n"/>
      <c r="T6399" s="8" t="n"/>
      <c r="U6399" s="8" t="n"/>
      <c r="V6399" s="8" t="n"/>
      <c r="W6399" s="8" t="n"/>
      <c r="X6399" s="8" t="n"/>
      <c r="Y6399" s="8" t="n"/>
    </row>
    <row r="6400">
      <c r="A6400" s="8" t="n"/>
      <c r="B6400" s="8" t="n"/>
      <c r="C6400" s="8" t="n"/>
      <c r="D6400" s="8" t="n"/>
      <c r="E6400" s="8" t="n"/>
      <c r="F6400" s="8" t="n"/>
      <c r="G6400" s="8" t="n"/>
      <c r="H6400" s="8" t="n"/>
      <c r="I6400" s="8" t="n"/>
      <c r="J6400" s="8" t="n"/>
      <c r="K6400" s="8" t="n"/>
      <c r="L6400" s="8" t="n"/>
      <c r="M6400" s="9">
        <f>B6400+30</f>
        <v/>
      </c>
      <c r="N6400">
        <f>IF(L6400="", "", L6400-B6400)</f>
        <v/>
      </c>
      <c r="O6400">
        <f>IF(L6400="", "Pending", IF(N6400&lt;=30, "Met", "Breached"))</f>
        <v/>
      </c>
      <c r="P6400" s="8" t="n"/>
      <c r="Q6400" s="8" t="n"/>
      <c r="R6400" s="8" t="n"/>
      <c r="S6400" s="8" t="n"/>
      <c r="T6400" s="8" t="n"/>
      <c r="U6400" s="8" t="n"/>
      <c r="V6400" s="8" t="n"/>
      <c r="W6400" s="8" t="n"/>
      <c r="X6400" s="8" t="n"/>
      <c r="Y6400" s="8" t="n"/>
    </row>
    <row r="6401">
      <c r="A6401" s="8" t="n"/>
      <c r="B6401" s="8" t="n"/>
      <c r="C6401" s="8" t="n"/>
      <c r="D6401" s="8" t="n"/>
      <c r="E6401" s="8" t="n"/>
      <c r="F6401" s="8" t="n"/>
      <c r="G6401" s="8" t="n"/>
      <c r="H6401" s="8" t="n"/>
      <c r="I6401" s="8" t="n"/>
      <c r="J6401" s="8" t="n"/>
      <c r="K6401" s="8" t="n"/>
      <c r="L6401" s="8" t="n"/>
      <c r="M6401" s="9">
        <f>B6401+30</f>
        <v/>
      </c>
      <c r="N6401">
        <f>IF(L6401="", "", L6401-B6401)</f>
        <v/>
      </c>
      <c r="O6401">
        <f>IF(L6401="", "Pending", IF(N6401&lt;=30, "Met", "Breached"))</f>
        <v/>
      </c>
      <c r="P6401" s="8" t="n"/>
      <c r="Q6401" s="8" t="n"/>
      <c r="R6401" s="8" t="n"/>
      <c r="S6401" s="8" t="n"/>
      <c r="T6401" s="8" t="n"/>
      <c r="U6401" s="8" t="n"/>
      <c r="V6401" s="8" t="n"/>
      <c r="W6401" s="8" t="n"/>
      <c r="X6401" s="8" t="n"/>
      <c r="Y6401" s="8" t="n"/>
    </row>
    <row r="6402">
      <c r="A6402" s="8" t="n"/>
      <c r="B6402" s="8" t="n"/>
      <c r="C6402" s="8" t="n"/>
      <c r="D6402" s="8" t="n"/>
      <c r="E6402" s="8" t="n"/>
      <c r="F6402" s="8" t="n"/>
      <c r="G6402" s="8" t="n"/>
      <c r="H6402" s="8" t="n"/>
      <c r="I6402" s="8" t="n"/>
      <c r="J6402" s="8" t="n"/>
      <c r="K6402" s="8" t="n"/>
      <c r="L6402" s="8" t="n"/>
      <c r="M6402" s="9">
        <f>B6402+30</f>
        <v/>
      </c>
      <c r="N6402">
        <f>IF(L6402="", "", L6402-B6402)</f>
        <v/>
      </c>
      <c r="O6402">
        <f>IF(L6402="", "Pending", IF(N6402&lt;=30, "Met", "Breached"))</f>
        <v/>
      </c>
      <c r="P6402" s="8" t="n"/>
      <c r="Q6402" s="8" t="n"/>
      <c r="R6402" s="8" t="n"/>
      <c r="S6402" s="8" t="n"/>
      <c r="T6402" s="8" t="n"/>
      <c r="U6402" s="8" t="n"/>
      <c r="V6402" s="8" t="n"/>
      <c r="W6402" s="8" t="n"/>
      <c r="X6402" s="8" t="n"/>
      <c r="Y6402" s="8" t="n"/>
    </row>
    <row r="6403">
      <c r="A6403" s="8" t="n"/>
      <c r="B6403" s="8" t="n"/>
      <c r="C6403" s="8" t="n"/>
      <c r="D6403" s="8" t="n"/>
      <c r="E6403" s="8" t="n"/>
      <c r="F6403" s="8" t="n"/>
      <c r="G6403" s="8" t="n"/>
      <c r="H6403" s="8" t="n"/>
      <c r="I6403" s="8" t="n"/>
      <c r="J6403" s="8" t="n"/>
      <c r="K6403" s="8" t="n"/>
      <c r="L6403" s="8" t="n"/>
      <c r="M6403" s="9">
        <f>B6403+30</f>
        <v/>
      </c>
      <c r="N6403">
        <f>IF(L6403="", "", L6403-B6403)</f>
        <v/>
      </c>
      <c r="O6403">
        <f>IF(L6403="", "Pending", IF(N6403&lt;=30, "Met", "Breached"))</f>
        <v/>
      </c>
      <c r="P6403" s="8" t="n"/>
      <c r="Q6403" s="8" t="n"/>
      <c r="R6403" s="8" t="n"/>
      <c r="S6403" s="8" t="n"/>
      <c r="T6403" s="8" t="n"/>
      <c r="U6403" s="8" t="n"/>
      <c r="V6403" s="8" t="n"/>
      <c r="W6403" s="8" t="n"/>
      <c r="X6403" s="8" t="n"/>
      <c r="Y6403" s="8" t="n"/>
    </row>
    <row r="6404">
      <c r="A6404" s="8" t="n"/>
      <c r="B6404" s="8" t="n"/>
      <c r="C6404" s="8" t="n"/>
      <c r="D6404" s="8" t="n"/>
      <c r="E6404" s="8" t="n"/>
      <c r="F6404" s="8" t="n"/>
      <c r="G6404" s="8" t="n"/>
      <c r="H6404" s="8" t="n"/>
      <c r="I6404" s="8" t="n"/>
      <c r="J6404" s="8" t="n"/>
      <c r="K6404" s="8" t="n"/>
      <c r="L6404" s="8" t="n"/>
      <c r="M6404" s="9">
        <f>B6404+30</f>
        <v/>
      </c>
      <c r="N6404">
        <f>IF(L6404="", "", L6404-B6404)</f>
        <v/>
      </c>
      <c r="O6404">
        <f>IF(L6404="", "Pending", IF(N6404&lt;=30, "Met", "Breached"))</f>
        <v/>
      </c>
      <c r="P6404" s="8" t="n"/>
      <c r="Q6404" s="8" t="n"/>
      <c r="R6404" s="8" t="n"/>
      <c r="S6404" s="8" t="n"/>
      <c r="T6404" s="8" t="n"/>
      <c r="U6404" s="8" t="n"/>
      <c r="V6404" s="8" t="n"/>
      <c r="W6404" s="8" t="n"/>
      <c r="X6404" s="8" t="n"/>
      <c r="Y6404" s="8" t="n"/>
    </row>
    <row r="6405">
      <c r="A6405" s="8" t="n"/>
      <c r="B6405" s="8" t="n"/>
      <c r="C6405" s="8" t="n"/>
      <c r="D6405" s="8" t="n"/>
      <c r="E6405" s="8" t="n"/>
      <c r="F6405" s="8" t="n"/>
      <c r="G6405" s="8" t="n"/>
      <c r="H6405" s="8" t="n"/>
      <c r="I6405" s="8" t="n"/>
      <c r="J6405" s="8" t="n"/>
      <c r="K6405" s="8" t="n"/>
      <c r="L6405" s="8" t="n"/>
      <c r="M6405" s="9">
        <f>B6405+30</f>
        <v/>
      </c>
      <c r="N6405">
        <f>IF(L6405="", "", L6405-B6405)</f>
        <v/>
      </c>
      <c r="O6405">
        <f>IF(L6405="", "Pending", IF(N6405&lt;=30, "Met", "Breached"))</f>
        <v/>
      </c>
      <c r="P6405" s="8" t="n"/>
      <c r="Q6405" s="8" t="n"/>
      <c r="R6405" s="8" t="n"/>
      <c r="S6405" s="8" t="n"/>
      <c r="T6405" s="8" t="n"/>
      <c r="U6405" s="8" t="n"/>
      <c r="V6405" s="8" t="n"/>
      <c r="W6405" s="8" t="n"/>
      <c r="X6405" s="8" t="n"/>
      <c r="Y6405" s="8" t="n"/>
    </row>
    <row r="6406">
      <c r="A6406" s="8" t="n"/>
      <c r="B6406" s="8" t="n"/>
      <c r="C6406" s="8" t="n"/>
      <c r="D6406" s="8" t="n"/>
      <c r="E6406" s="8" t="n"/>
      <c r="F6406" s="8" t="n"/>
      <c r="G6406" s="8" t="n"/>
      <c r="H6406" s="8" t="n"/>
      <c r="I6406" s="8" t="n"/>
      <c r="J6406" s="8" t="n"/>
      <c r="K6406" s="8" t="n"/>
      <c r="L6406" s="8" t="n"/>
      <c r="M6406" s="9">
        <f>B6406+30</f>
        <v/>
      </c>
      <c r="N6406">
        <f>IF(L6406="", "", L6406-B6406)</f>
        <v/>
      </c>
      <c r="O6406">
        <f>IF(L6406="", "Pending", IF(N6406&lt;=30, "Met", "Breached"))</f>
        <v/>
      </c>
      <c r="P6406" s="8" t="n"/>
      <c r="Q6406" s="8" t="n"/>
      <c r="R6406" s="8" t="n"/>
      <c r="S6406" s="8" t="n"/>
      <c r="T6406" s="8" t="n"/>
      <c r="U6406" s="8" t="n"/>
      <c r="V6406" s="8" t="n"/>
      <c r="W6406" s="8" t="n"/>
      <c r="X6406" s="8" t="n"/>
      <c r="Y6406" s="8" t="n"/>
    </row>
    <row r="6407">
      <c r="A6407" s="8" t="n"/>
      <c r="B6407" s="8" t="n"/>
      <c r="C6407" s="8" t="n"/>
      <c r="D6407" s="8" t="n"/>
      <c r="E6407" s="8" t="n"/>
      <c r="F6407" s="8" t="n"/>
      <c r="G6407" s="8" t="n"/>
      <c r="H6407" s="8" t="n"/>
      <c r="I6407" s="8" t="n"/>
      <c r="J6407" s="8" t="n"/>
      <c r="K6407" s="8" t="n"/>
      <c r="L6407" s="8" t="n"/>
      <c r="M6407" s="9">
        <f>B6407+30</f>
        <v/>
      </c>
      <c r="N6407">
        <f>IF(L6407="", "", L6407-B6407)</f>
        <v/>
      </c>
      <c r="O6407">
        <f>IF(L6407="", "Pending", IF(N6407&lt;=30, "Met", "Breached"))</f>
        <v/>
      </c>
      <c r="P6407" s="8" t="n"/>
      <c r="Q6407" s="8" t="n"/>
      <c r="R6407" s="8" t="n"/>
      <c r="S6407" s="8" t="n"/>
      <c r="T6407" s="8" t="n"/>
      <c r="U6407" s="8" t="n"/>
      <c r="V6407" s="8" t="n"/>
      <c r="W6407" s="8" t="n"/>
      <c r="X6407" s="8" t="n"/>
      <c r="Y6407" s="8" t="n"/>
    </row>
    <row r="6408">
      <c r="A6408" s="8" t="n"/>
      <c r="B6408" s="8" t="n"/>
      <c r="C6408" s="8" t="n"/>
      <c r="D6408" s="8" t="n"/>
      <c r="E6408" s="8" t="n"/>
      <c r="F6408" s="8" t="n"/>
      <c r="G6408" s="8" t="n"/>
      <c r="H6408" s="8" t="n"/>
      <c r="I6408" s="8" t="n"/>
      <c r="J6408" s="8" t="n"/>
      <c r="K6408" s="8" t="n"/>
      <c r="L6408" s="8" t="n"/>
      <c r="M6408" s="9">
        <f>B6408+30</f>
        <v/>
      </c>
      <c r="N6408">
        <f>IF(L6408="", "", L6408-B6408)</f>
        <v/>
      </c>
      <c r="O6408">
        <f>IF(L6408="", "Pending", IF(N6408&lt;=30, "Met", "Breached"))</f>
        <v/>
      </c>
      <c r="P6408" s="8" t="n"/>
      <c r="Q6408" s="8" t="n"/>
      <c r="R6408" s="8" t="n"/>
      <c r="S6408" s="8" t="n"/>
      <c r="T6408" s="8" t="n"/>
      <c r="U6408" s="8" t="n"/>
      <c r="V6408" s="8" t="n"/>
      <c r="W6408" s="8" t="n"/>
      <c r="X6408" s="8" t="n"/>
      <c r="Y6408" s="8" t="n"/>
    </row>
    <row r="6409">
      <c r="A6409" s="8" t="n"/>
      <c r="B6409" s="8" t="n"/>
      <c r="C6409" s="8" t="n"/>
      <c r="D6409" s="8" t="n"/>
      <c r="E6409" s="8" t="n"/>
      <c r="F6409" s="8" t="n"/>
      <c r="G6409" s="8" t="n"/>
      <c r="H6409" s="8" t="n"/>
      <c r="I6409" s="8" t="n"/>
      <c r="J6409" s="8" t="n"/>
      <c r="K6409" s="8" t="n"/>
      <c r="L6409" s="8" t="n"/>
      <c r="M6409" s="9">
        <f>B6409+30</f>
        <v/>
      </c>
      <c r="N6409">
        <f>IF(L6409="", "", L6409-B6409)</f>
        <v/>
      </c>
      <c r="O6409">
        <f>IF(L6409="", "Pending", IF(N6409&lt;=30, "Met", "Breached"))</f>
        <v/>
      </c>
      <c r="P6409" s="8" t="n"/>
      <c r="Q6409" s="8" t="n"/>
      <c r="R6409" s="8" t="n"/>
      <c r="S6409" s="8" t="n"/>
      <c r="T6409" s="8" t="n"/>
      <c r="U6409" s="8" t="n"/>
      <c r="V6409" s="8" t="n"/>
      <c r="W6409" s="8" t="n"/>
      <c r="X6409" s="8" t="n"/>
      <c r="Y6409" s="8" t="n"/>
    </row>
    <row r="6410">
      <c r="A6410" s="8" t="n"/>
      <c r="B6410" s="8" t="n"/>
      <c r="C6410" s="8" t="n"/>
      <c r="D6410" s="8" t="n"/>
      <c r="E6410" s="8" t="n"/>
      <c r="F6410" s="8" t="n"/>
      <c r="G6410" s="8" t="n"/>
      <c r="H6410" s="8" t="n"/>
      <c r="I6410" s="8" t="n"/>
      <c r="J6410" s="8" t="n"/>
      <c r="K6410" s="8" t="n"/>
      <c r="L6410" s="8" t="n"/>
      <c r="M6410" s="9">
        <f>B6410+30</f>
        <v/>
      </c>
      <c r="N6410">
        <f>IF(L6410="", "", L6410-B6410)</f>
        <v/>
      </c>
      <c r="O6410">
        <f>IF(L6410="", "Pending", IF(N6410&lt;=30, "Met", "Breached"))</f>
        <v/>
      </c>
      <c r="P6410" s="8" t="n"/>
      <c r="Q6410" s="8" t="n"/>
      <c r="R6410" s="8" t="n"/>
      <c r="S6410" s="8" t="n"/>
      <c r="T6410" s="8" t="n"/>
      <c r="U6410" s="8" t="n"/>
      <c r="V6410" s="8" t="n"/>
      <c r="W6410" s="8" t="n"/>
      <c r="X6410" s="8" t="n"/>
      <c r="Y6410" s="8" t="n"/>
    </row>
    <row r="6411">
      <c r="A6411" s="8" t="n"/>
      <c r="B6411" s="8" t="n"/>
      <c r="C6411" s="8" t="n"/>
      <c r="D6411" s="8" t="n"/>
      <c r="E6411" s="8" t="n"/>
      <c r="F6411" s="8" t="n"/>
      <c r="G6411" s="8" t="n"/>
      <c r="H6411" s="8" t="n"/>
      <c r="I6411" s="8" t="n"/>
      <c r="J6411" s="8" t="n"/>
      <c r="K6411" s="8" t="n"/>
      <c r="L6411" s="8" t="n"/>
      <c r="M6411" s="9">
        <f>B6411+30</f>
        <v/>
      </c>
      <c r="N6411">
        <f>IF(L6411="", "", L6411-B6411)</f>
        <v/>
      </c>
      <c r="O6411">
        <f>IF(L6411="", "Pending", IF(N6411&lt;=30, "Met", "Breached"))</f>
        <v/>
      </c>
      <c r="P6411" s="8" t="n"/>
      <c r="Q6411" s="8" t="n"/>
      <c r="R6411" s="8" t="n"/>
      <c r="S6411" s="8" t="n"/>
      <c r="T6411" s="8" t="n"/>
      <c r="U6411" s="8" t="n"/>
      <c r="V6411" s="8" t="n"/>
      <c r="W6411" s="8" t="n"/>
      <c r="X6411" s="8" t="n"/>
      <c r="Y6411" s="8" t="n"/>
    </row>
    <row r="6412">
      <c r="A6412" s="8" t="n"/>
      <c r="B6412" s="8" t="n"/>
      <c r="C6412" s="8" t="n"/>
      <c r="D6412" s="8" t="n"/>
      <c r="E6412" s="8" t="n"/>
      <c r="F6412" s="8" t="n"/>
      <c r="G6412" s="8" t="n"/>
      <c r="H6412" s="8" t="n"/>
      <c r="I6412" s="8" t="n"/>
      <c r="J6412" s="8" t="n"/>
      <c r="K6412" s="8" t="n"/>
      <c r="L6412" s="8" t="n"/>
      <c r="M6412" s="9">
        <f>B6412+30</f>
        <v/>
      </c>
      <c r="N6412">
        <f>IF(L6412="", "", L6412-B6412)</f>
        <v/>
      </c>
      <c r="O6412">
        <f>IF(L6412="", "Pending", IF(N6412&lt;=30, "Met", "Breached"))</f>
        <v/>
      </c>
      <c r="P6412" s="8" t="n"/>
      <c r="Q6412" s="8" t="n"/>
      <c r="R6412" s="8" t="n"/>
      <c r="S6412" s="8" t="n"/>
      <c r="T6412" s="8" t="n"/>
      <c r="U6412" s="8" t="n"/>
      <c r="V6412" s="8" t="n"/>
      <c r="W6412" s="8" t="n"/>
      <c r="X6412" s="8" t="n"/>
      <c r="Y6412" s="8" t="n"/>
    </row>
    <row r="6413">
      <c r="A6413" s="8" t="n"/>
      <c r="B6413" s="8" t="n"/>
      <c r="C6413" s="8" t="n"/>
      <c r="D6413" s="8" t="n"/>
      <c r="E6413" s="8" t="n"/>
      <c r="F6413" s="8" t="n"/>
      <c r="G6413" s="8" t="n"/>
      <c r="H6413" s="8" t="n"/>
      <c r="I6413" s="8" t="n"/>
      <c r="J6413" s="8" t="n"/>
      <c r="K6413" s="8" t="n"/>
      <c r="L6413" s="8" t="n"/>
      <c r="M6413" s="9">
        <f>B6413+30</f>
        <v/>
      </c>
      <c r="N6413">
        <f>IF(L6413="", "", L6413-B6413)</f>
        <v/>
      </c>
      <c r="O6413">
        <f>IF(L6413="", "Pending", IF(N6413&lt;=30, "Met", "Breached"))</f>
        <v/>
      </c>
      <c r="P6413" s="8" t="n"/>
      <c r="Q6413" s="8" t="n"/>
      <c r="R6413" s="8" t="n"/>
      <c r="S6413" s="8" t="n"/>
      <c r="T6413" s="8" t="n"/>
      <c r="U6413" s="8" t="n"/>
      <c r="V6413" s="8" t="n"/>
      <c r="W6413" s="8" t="n"/>
      <c r="X6413" s="8" t="n"/>
      <c r="Y6413" s="8" t="n"/>
    </row>
    <row r="6414">
      <c r="A6414" s="8" t="n"/>
      <c r="B6414" s="8" t="n"/>
      <c r="C6414" s="8" t="n"/>
      <c r="D6414" s="8" t="n"/>
      <c r="E6414" s="8" t="n"/>
      <c r="F6414" s="8" t="n"/>
      <c r="G6414" s="8" t="n"/>
      <c r="H6414" s="8" t="n"/>
      <c r="I6414" s="8" t="n"/>
      <c r="J6414" s="8" t="n"/>
      <c r="K6414" s="8" t="n"/>
      <c r="L6414" s="8" t="n"/>
      <c r="M6414" s="9">
        <f>B6414+30</f>
        <v/>
      </c>
      <c r="N6414">
        <f>IF(L6414="", "", L6414-B6414)</f>
        <v/>
      </c>
      <c r="O6414">
        <f>IF(L6414="", "Pending", IF(N6414&lt;=30, "Met", "Breached"))</f>
        <v/>
      </c>
      <c r="P6414" s="8" t="n"/>
      <c r="Q6414" s="8" t="n"/>
      <c r="R6414" s="8" t="n"/>
      <c r="S6414" s="8" t="n"/>
      <c r="T6414" s="8" t="n"/>
      <c r="U6414" s="8" t="n"/>
      <c r="V6414" s="8" t="n"/>
      <c r="W6414" s="8" t="n"/>
      <c r="X6414" s="8" t="n"/>
      <c r="Y6414" s="8" t="n"/>
    </row>
    <row r="6415">
      <c r="A6415" s="8" t="n"/>
      <c r="B6415" s="8" t="n"/>
      <c r="C6415" s="8" t="n"/>
      <c r="D6415" s="8" t="n"/>
      <c r="E6415" s="8" t="n"/>
      <c r="F6415" s="8" t="n"/>
      <c r="G6415" s="8" t="n"/>
      <c r="H6415" s="8" t="n"/>
      <c r="I6415" s="8" t="n"/>
      <c r="J6415" s="8" t="n"/>
      <c r="K6415" s="8" t="n"/>
      <c r="L6415" s="8" t="n"/>
      <c r="M6415" s="9">
        <f>B6415+30</f>
        <v/>
      </c>
      <c r="N6415">
        <f>IF(L6415="", "", L6415-B6415)</f>
        <v/>
      </c>
      <c r="O6415">
        <f>IF(L6415="", "Pending", IF(N6415&lt;=30, "Met", "Breached"))</f>
        <v/>
      </c>
      <c r="P6415" s="8" t="n"/>
      <c r="Q6415" s="8" t="n"/>
      <c r="R6415" s="8" t="n"/>
      <c r="S6415" s="8" t="n"/>
      <c r="T6415" s="8" t="n"/>
      <c r="U6415" s="8" t="n"/>
      <c r="V6415" s="8" t="n"/>
      <c r="W6415" s="8" t="n"/>
      <c r="X6415" s="8" t="n"/>
      <c r="Y6415" s="8" t="n"/>
    </row>
    <row r="6416">
      <c r="A6416" s="8" t="n"/>
      <c r="B6416" s="8" t="n"/>
      <c r="C6416" s="8" t="n"/>
      <c r="D6416" s="8" t="n"/>
      <c r="E6416" s="8" t="n"/>
      <c r="F6416" s="8" t="n"/>
      <c r="G6416" s="8" t="n"/>
      <c r="H6416" s="8" t="n"/>
      <c r="I6416" s="8" t="n"/>
      <c r="J6416" s="8" t="n"/>
      <c r="K6416" s="8" t="n"/>
      <c r="L6416" s="8" t="n"/>
      <c r="M6416" s="9">
        <f>B6416+30</f>
        <v/>
      </c>
      <c r="N6416">
        <f>IF(L6416="", "", L6416-B6416)</f>
        <v/>
      </c>
      <c r="O6416">
        <f>IF(L6416="", "Pending", IF(N6416&lt;=30, "Met", "Breached"))</f>
        <v/>
      </c>
      <c r="P6416" s="8" t="n"/>
      <c r="Q6416" s="8" t="n"/>
      <c r="R6416" s="8" t="n"/>
      <c r="S6416" s="8" t="n"/>
      <c r="T6416" s="8" t="n"/>
      <c r="U6416" s="8" t="n"/>
      <c r="V6416" s="8" t="n"/>
      <c r="W6416" s="8" t="n"/>
      <c r="X6416" s="8" t="n"/>
      <c r="Y6416" s="8" t="n"/>
    </row>
    <row r="6417">
      <c r="A6417" s="8" t="n"/>
      <c r="B6417" s="8" t="n"/>
      <c r="C6417" s="8" t="n"/>
      <c r="D6417" s="8" t="n"/>
      <c r="E6417" s="8" t="n"/>
      <c r="F6417" s="8" t="n"/>
      <c r="G6417" s="8" t="n"/>
      <c r="H6417" s="8" t="n"/>
      <c r="I6417" s="8" t="n"/>
      <c r="J6417" s="8" t="n"/>
      <c r="K6417" s="8" t="n"/>
      <c r="L6417" s="8" t="n"/>
      <c r="M6417" s="9">
        <f>B6417+30</f>
        <v/>
      </c>
      <c r="N6417">
        <f>IF(L6417="", "", L6417-B6417)</f>
        <v/>
      </c>
      <c r="O6417">
        <f>IF(L6417="", "Pending", IF(N6417&lt;=30, "Met", "Breached"))</f>
        <v/>
      </c>
      <c r="P6417" s="8" t="n"/>
      <c r="Q6417" s="8" t="n"/>
      <c r="R6417" s="8" t="n"/>
      <c r="S6417" s="8" t="n"/>
      <c r="T6417" s="8" t="n"/>
      <c r="U6417" s="8" t="n"/>
      <c r="V6417" s="8" t="n"/>
      <c r="W6417" s="8" t="n"/>
      <c r="X6417" s="8" t="n"/>
      <c r="Y6417" s="8" t="n"/>
    </row>
    <row r="6418">
      <c r="A6418" s="8" t="n"/>
      <c r="B6418" s="8" t="n"/>
      <c r="C6418" s="8" t="n"/>
      <c r="D6418" s="8" t="n"/>
      <c r="E6418" s="8" t="n"/>
      <c r="F6418" s="8" t="n"/>
      <c r="G6418" s="8" t="n"/>
      <c r="H6418" s="8" t="n"/>
      <c r="I6418" s="8" t="n"/>
      <c r="J6418" s="8" t="n"/>
      <c r="K6418" s="8" t="n"/>
      <c r="L6418" s="8" t="n"/>
      <c r="M6418" s="9">
        <f>B6418+30</f>
        <v/>
      </c>
      <c r="N6418">
        <f>IF(L6418="", "", L6418-B6418)</f>
        <v/>
      </c>
      <c r="O6418">
        <f>IF(L6418="", "Pending", IF(N6418&lt;=30, "Met", "Breached"))</f>
        <v/>
      </c>
      <c r="P6418" s="8" t="n"/>
      <c r="Q6418" s="8" t="n"/>
      <c r="R6418" s="8" t="n"/>
      <c r="S6418" s="8" t="n"/>
      <c r="T6418" s="8" t="n"/>
      <c r="U6418" s="8" t="n"/>
      <c r="V6418" s="8" t="n"/>
      <c r="W6418" s="8" t="n"/>
      <c r="X6418" s="8" t="n"/>
      <c r="Y6418" s="8" t="n"/>
    </row>
    <row r="6419">
      <c r="A6419" s="8" t="n"/>
      <c r="B6419" s="8" t="n"/>
      <c r="C6419" s="8" t="n"/>
      <c r="D6419" s="8" t="n"/>
      <c r="E6419" s="8" t="n"/>
      <c r="F6419" s="8" t="n"/>
      <c r="G6419" s="8" t="n"/>
      <c r="H6419" s="8" t="n"/>
      <c r="I6419" s="8" t="n"/>
      <c r="J6419" s="8" t="n"/>
      <c r="K6419" s="8" t="n"/>
      <c r="L6419" s="8" t="n"/>
      <c r="M6419" s="9">
        <f>B6419+30</f>
        <v/>
      </c>
      <c r="N6419">
        <f>IF(L6419="", "", L6419-B6419)</f>
        <v/>
      </c>
      <c r="O6419">
        <f>IF(L6419="", "Pending", IF(N6419&lt;=30, "Met", "Breached"))</f>
        <v/>
      </c>
      <c r="P6419" s="8" t="n"/>
      <c r="Q6419" s="8" t="n"/>
      <c r="R6419" s="8" t="n"/>
      <c r="S6419" s="8" t="n"/>
      <c r="T6419" s="8" t="n"/>
      <c r="U6419" s="8" t="n"/>
      <c r="V6419" s="8" t="n"/>
      <c r="W6419" s="8" t="n"/>
      <c r="X6419" s="8" t="n"/>
      <c r="Y6419" s="8" t="n"/>
    </row>
    <row r="6420">
      <c r="A6420" s="8" t="n"/>
      <c r="B6420" s="8" t="n"/>
      <c r="C6420" s="8" t="n"/>
      <c r="D6420" s="8" t="n"/>
      <c r="E6420" s="8" t="n"/>
      <c r="F6420" s="8" t="n"/>
      <c r="G6420" s="8" t="n"/>
      <c r="H6420" s="8" t="n"/>
      <c r="I6420" s="8" t="n"/>
      <c r="J6420" s="8" t="n"/>
      <c r="K6420" s="8" t="n"/>
      <c r="L6420" s="8" t="n"/>
      <c r="M6420" s="9">
        <f>B6420+30</f>
        <v/>
      </c>
      <c r="N6420">
        <f>IF(L6420="", "", L6420-B6420)</f>
        <v/>
      </c>
      <c r="O6420">
        <f>IF(L6420="", "Pending", IF(N6420&lt;=30, "Met", "Breached"))</f>
        <v/>
      </c>
      <c r="P6420" s="8" t="n"/>
      <c r="Q6420" s="8" t="n"/>
      <c r="R6420" s="8" t="n"/>
      <c r="S6420" s="8" t="n"/>
      <c r="T6420" s="8" t="n"/>
      <c r="U6420" s="8" t="n"/>
      <c r="V6420" s="8" t="n"/>
      <c r="W6420" s="8" t="n"/>
      <c r="X6420" s="8" t="n"/>
      <c r="Y6420" s="8" t="n"/>
    </row>
    <row r="6421">
      <c r="A6421" s="8" t="n"/>
      <c r="B6421" s="8" t="n"/>
      <c r="C6421" s="8" t="n"/>
      <c r="D6421" s="8" t="n"/>
      <c r="E6421" s="8" t="n"/>
      <c r="F6421" s="8" t="n"/>
      <c r="G6421" s="8" t="n"/>
      <c r="H6421" s="8" t="n"/>
      <c r="I6421" s="8" t="n"/>
      <c r="J6421" s="8" t="n"/>
      <c r="K6421" s="8" t="n"/>
      <c r="L6421" s="8" t="n"/>
      <c r="M6421" s="9">
        <f>B6421+30</f>
        <v/>
      </c>
      <c r="N6421">
        <f>IF(L6421="", "", L6421-B6421)</f>
        <v/>
      </c>
      <c r="O6421">
        <f>IF(L6421="", "Pending", IF(N6421&lt;=30, "Met", "Breached"))</f>
        <v/>
      </c>
      <c r="P6421" s="8" t="n"/>
      <c r="Q6421" s="8" t="n"/>
      <c r="R6421" s="8" t="n"/>
      <c r="S6421" s="8" t="n"/>
      <c r="T6421" s="8" t="n"/>
      <c r="U6421" s="8" t="n"/>
      <c r="V6421" s="8" t="n"/>
      <c r="W6421" s="8" t="n"/>
      <c r="X6421" s="8" t="n"/>
      <c r="Y6421" s="8" t="n"/>
    </row>
    <row r="6422">
      <c r="A6422" s="8" t="n"/>
      <c r="B6422" s="8" t="n"/>
      <c r="C6422" s="8" t="n"/>
      <c r="D6422" s="8" t="n"/>
      <c r="E6422" s="8" t="n"/>
      <c r="F6422" s="8" t="n"/>
      <c r="G6422" s="8" t="n"/>
      <c r="H6422" s="8" t="n"/>
      <c r="I6422" s="8" t="n"/>
      <c r="J6422" s="8" t="n"/>
      <c r="K6422" s="8" t="n"/>
      <c r="L6422" s="8" t="n"/>
      <c r="M6422" s="9">
        <f>B6422+30</f>
        <v/>
      </c>
      <c r="N6422">
        <f>IF(L6422="", "", L6422-B6422)</f>
        <v/>
      </c>
      <c r="O6422">
        <f>IF(L6422="", "Pending", IF(N6422&lt;=30, "Met", "Breached"))</f>
        <v/>
      </c>
      <c r="P6422" s="8" t="n"/>
      <c r="Q6422" s="8" t="n"/>
      <c r="R6422" s="8" t="n"/>
      <c r="S6422" s="8" t="n"/>
      <c r="T6422" s="8" t="n"/>
      <c r="U6422" s="8" t="n"/>
      <c r="V6422" s="8" t="n"/>
      <c r="W6422" s="8" t="n"/>
      <c r="X6422" s="8" t="n"/>
      <c r="Y6422" s="8" t="n"/>
    </row>
    <row r="6423">
      <c r="A6423" s="8" t="n"/>
      <c r="B6423" s="8" t="n"/>
      <c r="C6423" s="8" t="n"/>
      <c r="D6423" s="8" t="n"/>
      <c r="E6423" s="8" t="n"/>
      <c r="F6423" s="8" t="n"/>
      <c r="G6423" s="8" t="n"/>
      <c r="H6423" s="8" t="n"/>
      <c r="I6423" s="8" t="n"/>
      <c r="J6423" s="8" t="n"/>
      <c r="K6423" s="8" t="n"/>
      <c r="L6423" s="8" t="n"/>
      <c r="M6423" s="9">
        <f>B6423+30</f>
        <v/>
      </c>
      <c r="N6423">
        <f>IF(L6423="", "", L6423-B6423)</f>
        <v/>
      </c>
      <c r="O6423">
        <f>IF(L6423="", "Pending", IF(N6423&lt;=30, "Met", "Breached"))</f>
        <v/>
      </c>
      <c r="P6423" s="8" t="n"/>
      <c r="Q6423" s="8" t="n"/>
      <c r="R6423" s="8" t="n"/>
      <c r="S6423" s="8" t="n"/>
      <c r="T6423" s="8" t="n"/>
      <c r="U6423" s="8" t="n"/>
      <c r="V6423" s="8" t="n"/>
      <c r="W6423" s="8" t="n"/>
      <c r="X6423" s="8" t="n"/>
      <c r="Y6423" s="8" t="n"/>
    </row>
    <row r="6424">
      <c r="A6424" s="8" t="n"/>
      <c r="B6424" s="8" t="n"/>
      <c r="C6424" s="8" t="n"/>
      <c r="D6424" s="8" t="n"/>
      <c r="E6424" s="8" t="n"/>
      <c r="F6424" s="8" t="n"/>
      <c r="G6424" s="8" t="n"/>
      <c r="H6424" s="8" t="n"/>
      <c r="I6424" s="8" t="n"/>
      <c r="J6424" s="8" t="n"/>
      <c r="K6424" s="8" t="n"/>
      <c r="L6424" s="8" t="n"/>
      <c r="M6424" s="9">
        <f>B6424+30</f>
        <v/>
      </c>
      <c r="N6424">
        <f>IF(L6424="", "", L6424-B6424)</f>
        <v/>
      </c>
      <c r="O6424">
        <f>IF(L6424="", "Pending", IF(N6424&lt;=30, "Met", "Breached"))</f>
        <v/>
      </c>
      <c r="P6424" s="8" t="n"/>
      <c r="Q6424" s="8" t="n"/>
      <c r="R6424" s="8" t="n"/>
      <c r="S6424" s="8" t="n"/>
      <c r="T6424" s="8" t="n"/>
      <c r="U6424" s="8" t="n"/>
      <c r="V6424" s="8" t="n"/>
      <c r="W6424" s="8" t="n"/>
      <c r="X6424" s="8" t="n"/>
      <c r="Y6424" s="8" t="n"/>
    </row>
    <row r="6425">
      <c r="A6425" s="8" t="n"/>
      <c r="B6425" s="8" t="n"/>
      <c r="C6425" s="8" t="n"/>
      <c r="D6425" s="8" t="n"/>
      <c r="E6425" s="8" t="n"/>
      <c r="F6425" s="8" t="n"/>
      <c r="G6425" s="8" t="n"/>
      <c r="H6425" s="8" t="n"/>
      <c r="I6425" s="8" t="n"/>
      <c r="J6425" s="8" t="n"/>
      <c r="K6425" s="8" t="n"/>
      <c r="L6425" s="8" t="n"/>
      <c r="M6425" s="9">
        <f>B6425+30</f>
        <v/>
      </c>
      <c r="N6425">
        <f>IF(L6425="", "", L6425-B6425)</f>
        <v/>
      </c>
      <c r="O6425">
        <f>IF(L6425="", "Pending", IF(N6425&lt;=30, "Met", "Breached"))</f>
        <v/>
      </c>
      <c r="P6425" s="8" t="n"/>
      <c r="Q6425" s="8" t="n"/>
      <c r="R6425" s="8" t="n"/>
      <c r="S6425" s="8" t="n"/>
      <c r="T6425" s="8" t="n"/>
      <c r="U6425" s="8" t="n"/>
      <c r="V6425" s="8" t="n"/>
      <c r="W6425" s="8" t="n"/>
      <c r="X6425" s="8" t="n"/>
      <c r="Y6425" s="8" t="n"/>
    </row>
    <row r="6426">
      <c r="A6426" s="8" t="n"/>
      <c r="B6426" s="8" t="n"/>
      <c r="C6426" s="8" t="n"/>
      <c r="D6426" s="8" t="n"/>
      <c r="E6426" s="8" t="n"/>
      <c r="F6426" s="8" t="n"/>
      <c r="G6426" s="8" t="n"/>
      <c r="H6426" s="8" t="n"/>
      <c r="I6426" s="8" t="n"/>
      <c r="J6426" s="8" t="n"/>
      <c r="K6426" s="8" t="n"/>
      <c r="L6426" s="8" t="n"/>
      <c r="M6426" s="9">
        <f>B6426+30</f>
        <v/>
      </c>
      <c r="N6426">
        <f>IF(L6426="", "", L6426-B6426)</f>
        <v/>
      </c>
      <c r="O6426">
        <f>IF(L6426="", "Pending", IF(N6426&lt;=30, "Met", "Breached"))</f>
        <v/>
      </c>
      <c r="P6426" s="8" t="n"/>
      <c r="Q6426" s="8" t="n"/>
      <c r="R6426" s="8" t="n"/>
      <c r="S6426" s="8" t="n"/>
      <c r="T6426" s="8" t="n"/>
      <c r="U6426" s="8" t="n"/>
      <c r="V6426" s="8" t="n"/>
      <c r="W6426" s="8" t="n"/>
      <c r="X6426" s="8" t="n"/>
      <c r="Y6426" s="8" t="n"/>
    </row>
    <row r="6427">
      <c r="A6427" s="8" t="n"/>
      <c r="B6427" s="8" t="n"/>
      <c r="C6427" s="8" t="n"/>
      <c r="D6427" s="8" t="n"/>
      <c r="E6427" s="8" t="n"/>
      <c r="F6427" s="8" t="n"/>
      <c r="G6427" s="8" t="n"/>
      <c r="H6427" s="8" t="n"/>
      <c r="I6427" s="8" t="n"/>
      <c r="J6427" s="8" t="n"/>
      <c r="K6427" s="8" t="n"/>
      <c r="L6427" s="8" t="n"/>
      <c r="M6427" s="9">
        <f>B6427+30</f>
        <v/>
      </c>
      <c r="N6427">
        <f>IF(L6427="", "", L6427-B6427)</f>
        <v/>
      </c>
      <c r="O6427">
        <f>IF(L6427="", "Pending", IF(N6427&lt;=30, "Met", "Breached"))</f>
        <v/>
      </c>
      <c r="P6427" s="8" t="n"/>
      <c r="Q6427" s="8" t="n"/>
      <c r="R6427" s="8" t="n"/>
      <c r="S6427" s="8" t="n"/>
      <c r="T6427" s="8" t="n"/>
      <c r="U6427" s="8" t="n"/>
      <c r="V6427" s="8" t="n"/>
      <c r="W6427" s="8" t="n"/>
      <c r="X6427" s="8" t="n"/>
      <c r="Y6427" s="8" t="n"/>
    </row>
    <row r="6428">
      <c r="A6428" s="8" t="n"/>
      <c r="B6428" s="8" t="n"/>
      <c r="C6428" s="8" t="n"/>
      <c r="D6428" s="8" t="n"/>
      <c r="E6428" s="8" t="n"/>
      <c r="F6428" s="8" t="n"/>
      <c r="G6428" s="8" t="n"/>
      <c r="H6428" s="8" t="n"/>
      <c r="I6428" s="8" t="n"/>
      <c r="J6428" s="8" t="n"/>
      <c r="K6428" s="8" t="n"/>
      <c r="L6428" s="8" t="n"/>
      <c r="M6428" s="9">
        <f>B6428+30</f>
        <v/>
      </c>
      <c r="N6428">
        <f>IF(L6428="", "", L6428-B6428)</f>
        <v/>
      </c>
      <c r="O6428">
        <f>IF(L6428="", "Pending", IF(N6428&lt;=30, "Met", "Breached"))</f>
        <v/>
      </c>
      <c r="P6428" s="8" t="n"/>
      <c r="Q6428" s="8" t="n"/>
      <c r="R6428" s="8" t="n"/>
      <c r="S6428" s="8" t="n"/>
      <c r="T6428" s="8" t="n"/>
      <c r="U6428" s="8" t="n"/>
      <c r="V6428" s="8" t="n"/>
      <c r="W6428" s="8" t="n"/>
      <c r="X6428" s="8" t="n"/>
      <c r="Y6428" s="8" t="n"/>
    </row>
    <row r="6429">
      <c r="A6429" s="8" t="n"/>
      <c r="B6429" s="8" t="n"/>
      <c r="C6429" s="8" t="n"/>
      <c r="D6429" s="8" t="n"/>
      <c r="E6429" s="8" t="n"/>
      <c r="F6429" s="8" t="n"/>
      <c r="G6429" s="8" t="n"/>
      <c r="H6429" s="8" t="n"/>
      <c r="I6429" s="8" t="n"/>
      <c r="J6429" s="8" t="n"/>
      <c r="K6429" s="8" t="n"/>
      <c r="L6429" s="8" t="n"/>
      <c r="M6429" s="9">
        <f>B6429+30</f>
        <v/>
      </c>
      <c r="N6429">
        <f>IF(L6429="", "", L6429-B6429)</f>
        <v/>
      </c>
      <c r="O6429">
        <f>IF(L6429="", "Pending", IF(N6429&lt;=30, "Met", "Breached"))</f>
        <v/>
      </c>
      <c r="P6429" s="8" t="n"/>
      <c r="Q6429" s="8" t="n"/>
      <c r="R6429" s="8" t="n"/>
      <c r="S6429" s="8" t="n"/>
      <c r="T6429" s="8" t="n"/>
      <c r="U6429" s="8" t="n"/>
      <c r="V6429" s="8" t="n"/>
      <c r="W6429" s="8" t="n"/>
      <c r="X6429" s="8" t="n"/>
      <c r="Y6429" s="8" t="n"/>
    </row>
    <row r="6430">
      <c r="A6430" s="8" t="n"/>
      <c r="B6430" s="8" t="n"/>
      <c r="C6430" s="8" t="n"/>
      <c r="D6430" s="8" t="n"/>
      <c r="E6430" s="8" t="n"/>
      <c r="F6430" s="8" t="n"/>
      <c r="G6430" s="8" t="n"/>
      <c r="H6430" s="8" t="n"/>
      <c r="I6430" s="8" t="n"/>
      <c r="J6430" s="8" t="n"/>
      <c r="K6430" s="8" t="n"/>
      <c r="L6430" s="8" t="n"/>
      <c r="M6430" s="9">
        <f>B6430+30</f>
        <v/>
      </c>
      <c r="N6430">
        <f>IF(L6430="", "", L6430-B6430)</f>
        <v/>
      </c>
      <c r="O6430">
        <f>IF(L6430="", "Pending", IF(N6430&lt;=30, "Met", "Breached"))</f>
        <v/>
      </c>
      <c r="P6430" s="8" t="n"/>
      <c r="Q6430" s="8" t="n"/>
      <c r="R6430" s="8" t="n"/>
      <c r="S6430" s="8" t="n"/>
      <c r="T6430" s="8" t="n"/>
      <c r="U6430" s="8" t="n"/>
      <c r="V6430" s="8" t="n"/>
      <c r="W6430" s="8" t="n"/>
      <c r="X6430" s="8" t="n"/>
      <c r="Y6430" s="8" t="n"/>
    </row>
    <row r="6431">
      <c r="A6431" s="8" t="n"/>
      <c r="B6431" s="8" t="n"/>
      <c r="C6431" s="8" t="n"/>
      <c r="D6431" s="8" t="n"/>
      <c r="E6431" s="8" t="n"/>
      <c r="F6431" s="8" t="n"/>
      <c r="G6431" s="8" t="n"/>
      <c r="H6431" s="8" t="n"/>
      <c r="I6431" s="8" t="n"/>
      <c r="J6431" s="8" t="n"/>
      <c r="K6431" s="8" t="n"/>
      <c r="L6431" s="8" t="n"/>
      <c r="M6431" s="9">
        <f>B6431+30</f>
        <v/>
      </c>
      <c r="N6431">
        <f>IF(L6431="", "", L6431-B6431)</f>
        <v/>
      </c>
      <c r="O6431">
        <f>IF(L6431="", "Pending", IF(N6431&lt;=30, "Met", "Breached"))</f>
        <v/>
      </c>
      <c r="P6431" s="8" t="n"/>
      <c r="Q6431" s="8" t="n"/>
      <c r="R6431" s="8" t="n"/>
      <c r="S6431" s="8" t="n"/>
      <c r="T6431" s="8" t="n"/>
      <c r="U6431" s="8" t="n"/>
      <c r="V6431" s="8" t="n"/>
      <c r="W6431" s="8" t="n"/>
      <c r="X6431" s="8" t="n"/>
      <c r="Y6431" s="8" t="n"/>
    </row>
    <row r="6432">
      <c r="A6432" s="8" t="n"/>
      <c r="B6432" s="8" t="n"/>
      <c r="C6432" s="8" t="n"/>
      <c r="D6432" s="8" t="n"/>
      <c r="E6432" s="8" t="n"/>
      <c r="F6432" s="8" t="n"/>
      <c r="G6432" s="8" t="n"/>
      <c r="H6432" s="8" t="n"/>
      <c r="I6432" s="8" t="n"/>
      <c r="J6432" s="8" t="n"/>
      <c r="K6432" s="8" t="n"/>
      <c r="L6432" s="8" t="n"/>
      <c r="M6432" s="9">
        <f>B6432+30</f>
        <v/>
      </c>
      <c r="N6432">
        <f>IF(L6432="", "", L6432-B6432)</f>
        <v/>
      </c>
      <c r="O6432">
        <f>IF(L6432="", "Pending", IF(N6432&lt;=30, "Met", "Breached"))</f>
        <v/>
      </c>
      <c r="P6432" s="8" t="n"/>
      <c r="Q6432" s="8" t="n"/>
      <c r="R6432" s="8" t="n"/>
      <c r="S6432" s="8" t="n"/>
      <c r="T6432" s="8" t="n"/>
      <c r="U6432" s="8" t="n"/>
      <c r="V6432" s="8" t="n"/>
      <c r="W6432" s="8" t="n"/>
      <c r="X6432" s="8" t="n"/>
      <c r="Y6432" s="8" t="n"/>
    </row>
    <row r="6433">
      <c r="A6433" s="8" t="n"/>
      <c r="B6433" s="8" t="n"/>
      <c r="C6433" s="8" t="n"/>
      <c r="D6433" s="8" t="n"/>
      <c r="E6433" s="8" t="n"/>
      <c r="F6433" s="8" t="n"/>
      <c r="G6433" s="8" t="n"/>
      <c r="H6433" s="8" t="n"/>
      <c r="I6433" s="8" t="n"/>
      <c r="J6433" s="8" t="n"/>
      <c r="K6433" s="8" t="n"/>
      <c r="L6433" s="8" t="n"/>
      <c r="M6433" s="9">
        <f>B6433+30</f>
        <v/>
      </c>
      <c r="N6433">
        <f>IF(L6433="", "", L6433-B6433)</f>
        <v/>
      </c>
      <c r="O6433">
        <f>IF(L6433="", "Pending", IF(N6433&lt;=30, "Met", "Breached"))</f>
        <v/>
      </c>
      <c r="P6433" s="8" t="n"/>
      <c r="Q6433" s="8" t="n"/>
      <c r="R6433" s="8" t="n"/>
      <c r="S6433" s="8" t="n"/>
      <c r="T6433" s="8" t="n"/>
      <c r="U6433" s="8" t="n"/>
      <c r="V6433" s="8" t="n"/>
      <c r="W6433" s="8" t="n"/>
      <c r="X6433" s="8" t="n"/>
      <c r="Y6433" s="8" t="n"/>
    </row>
    <row r="6434">
      <c r="A6434" s="8" t="n"/>
      <c r="B6434" s="8" t="n"/>
      <c r="C6434" s="8" t="n"/>
      <c r="D6434" s="8" t="n"/>
      <c r="E6434" s="8" t="n"/>
      <c r="F6434" s="8" t="n"/>
      <c r="G6434" s="8" t="n"/>
      <c r="H6434" s="8" t="n"/>
      <c r="I6434" s="8" t="n"/>
      <c r="J6434" s="8" t="n"/>
      <c r="K6434" s="8" t="n"/>
      <c r="L6434" s="8" t="n"/>
      <c r="M6434" s="9">
        <f>B6434+30</f>
        <v/>
      </c>
      <c r="N6434">
        <f>IF(L6434="", "", L6434-B6434)</f>
        <v/>
      </c>
      <c r="O6434">
        <f>IF(L6434="", "Pending", IF(N6434&lt;=30, "Met", "Breached"))</f>
        <v/>
      </c>
      <c r="P6434" s="8" t="n"/>
      <c r="Q6434" s="8" t="n"/>
      <c r="R6434" s="8" t="n"/>
      <c r="S6434" s="8" t="n"/>
      <c r="T6434" s="8" t="n"/>
      <c r="U6434" s="8" t="n"/>
      <c r="V6434" s="8" t="n"/>
      <c r="W6434" s="8" t="n"/>
      <c r="X6434" s="8" t="n"/>
      <c r="Y6434" s="8" t="n"/>
    </row>
    <row r="6435">
      <c r="A6435" s="8" t="n"/>
      <c r="B6435" s="8" t="n"/>
      <c r="C6435" s="8" t="n"/>
      <c r="D6435" s="8" t="n"/>
      <c r="E6435" s="8" t="n"/>
      <c r="F6435" s="8" t="n"/>
      <c r="G6435" s="8" t="n"/>
      <c r="H6435" s="8" t="n"/>
      <c r="I6435" s="8" t="n"/>
      <c r="J6435" s="8" t="n"/>
      <c r="K6435" s="8" t="n"/>
      <c r="L6435" s="8" t="n"/>
      <c r="M6435" s="9">
        <f>B6435+30</f>
        <v/>
      </c>
      <c r="N6435">
        <f>IF(L6435="", "", L6435-B6435)</f>
        <v/>
      </c>
      <c r="O6435">
        <f>IF(L6435="", "Pending", IF(N6435&lt;=30, "Met", "Breached"))</f>
        <v/>
      </c>
      <c r="P6435" s="8" t="n"/>
      <c r="Q6435" s="8" t="n"/>
      <c r="R6435" s="8" t="n"/>
      <c r="S6435" s="8" t="n"/>
      <c r="T6435" s="8" t="n"/>
      <c r="U6435" s="8" t="n"/>
      <c r="V6435" s="8" t="n"/>
      <c r="W6435" s="8" t="n"/>
      <c r="X6435" s="8" t="n"/>
      <c r="Y6435" s="8" t="n"/>
    </row>
    <row r="6436">
      <c r="A6436" s="8" t="n"/>
      <c r="B6436" s="8" t="n"/>
      <c r="C6436" s="8" t="n"/>
      <c r="D6436" s="8" t="n"/>
      <c r="E6436" s="8" t="n"/>
      <c r="F6436" s="8" t="n"/>
      <c r="G6436" s="8" t="n"/>
      <c r="H6436" s="8" t="n"/>
      <c r="I6436" s="8" t="n"/>
      <c r="J6436" s="8" t="n"/>
      <c r="K6436" s="8" t="n"/>
      <c r="L6436" s="8" t="n"/>
      <c r="M6436" s="9">
        <f>B6436+30</f>
        <v/>
      </c>
      <c r="N6436">
        <f>IF(L6436="", "", L6436-B6436)</f>
        <v/>
      </c>
      <c r="O6436">
        <f>IF(L6436="", "Pending", IF(N6436&lt;=30, "Met", "Breached"))</f>
        <v/>
      </c>
      <c r="P6436" s="8" t="n"/>
      <c r="Q6436" s="8" t="n"/>
      <c r="R6436" s="8" t="n"/>
      <c r="S6436" s="8" t="n"/>
      <c r="T6436" s="8" t="n"/>
      <c r="U6436" s="8" t="n"/>
      <c r="V6436" s="8" t="n"/>
      <c r="W6436" s="8" t="n"/>
      <c r="X6436" s="8" t="n"/>
      <c r="Y6436" s="8" t="n"/>
    </row>
    <row r="6437">
      <c r="A6437" s="8" t="n"/>
      <c r="B6437" s="8" t="n"/>
      <c r="C6437" s="8" t="n"/>
      <c r="D6437" s="8" t="n"/>
      <c r="E6437" s="8" t="n"/>
      <c r="F6437" s="8" t="n"/>
      <c r="G6437" s="8" t="n"/>
      <c r="H6437" s="8" t="n"/>
      <c r="I6437" s="8" t="n"/>
      <c r="J6437" s="8" t="n"/>
      <c r="K6437" s="8" t="n"/>
      <c r="L6437" s="8" t="n"/>
      <c r="M6437" s="9">
        <f>B6437+30</f>
        <v/>
      </c>
      <c r="N6437">
        <f>IF(L6437="", "", L6437-B6437)</f>
        <v/>
      </c>
      <c r="O6437">
        <f>IF(L6437="", "Pending", IF(N6437&lt;=30, "Met", "Breached"))</f>
        <v/>
      </c>
      <c r="P6437" s="8" t="n"/>
      <c r="Q6437" s="8" t="n"/>
      <c r="R6437" s="8" t="n"/>
      <c r="S6437" s="8" t="n"/>
      <c r="T6437" s="8" t="n"/>
      <c r="U6437" s="8" t="n"/>
      <c r="V6437" s="8" t="n"/>
      <c r="W6437" s="8" t="n"/>
      <c r="X6437" s="8" t="n"/>
      <c r="Y6437" s="8" t="n"/>
    </row>
    <row r="6438">
      <c r="A6438" s="8" t="n"/>
      <c r="B6438" s="8" t="n"/>
      <c r="C6438" s="8" t="n"/>
      <c r="D6438" s="8" t="n"/>
      <c r="E6438" s="8" t="n"/>
      <c r="F6438" s="8" t="n"/>
      <c r="G6438" s="8" t="n"/>
      <c r="H6438" s="8" t="n"/>
      <c r="I6438" s="8" t="n"/>
      <c r="J6438" s="8" t="n"/>
      <c r="K6438" s="8" t="n"/>
      <c r="L6438" s="8" t="n"/>
      <c r="M6438" s="9">
        <f>B6438+30</f>
        <v/>
      </c>
      <c r="N6438">
        <f>IF(L6438="", "", L6438-B6438)</f>
        <v/>
      </c>
      <c r="O6438">
        <f>IF(L6438="", "Pending", IF(N6438&lt;=30, "Met", "Breached"))</f>
        <v/>
      </c>
      <c r="P6438" s="8" t="n"/>
      <c r="Q6438" s="8" t="n"/>
      <c r="R6438" s="8" t="n"/>
      <c r="S6438" s="8" t="n"/>
      <c r="T6438" s="8" t="n"/>
      <c r="U6438" s="8" t="n"/>
      <c r="V6438" s="8" t="n"/>
      <c r="W6438" s="8" t="n"/>
      <c r="X6438" s="8" t="n"/>
      <c r="Y6438" s="8" t="n"/>
    </row>
    <row r="6439">
      <c r="A6439" s="8" t="n"/>
      <c r="B6439" s="8" t="n"/>
      <c r="C6439" s="8" t="n"/>
      <c r="D6439" s="8" t="n"/>
      <c r="E6439" s="8" t="n"/>
      <c r="F6439" s="8" t="n"/>
      <c r="G6439" s="8" t="n"/>
      <c r="H6439" s="8" t="n"/>
      <c r="I6439" s="8" t="n"/>
      <c r="J6439" s="8" t="n"/>
      <c r="K6439" s="8" t="n"/>
      <c r="L6439" s="8" t="n"/>
      <c r="M6439" s="9">
        <f>B6439+30</f>
        <v/>
      </c>
      <c r="N6439">
        <f>IF(L6439="", "", L6439-B6439)</f>
        <v/>
      </c>
      <c r="O6439">
        <f>IF(L6439="", "Pending", IF(N6439&lt;=30, "Met", "Breached"))</f>
        <v/>
      </c>
      <c r="P6439" s="8" t="n"/>
      <c r="Q6439" s="8" t="n"/>
      <c r="R6439" s="8" t="n"/>
      <c r="S6439" s="8" t="n"/>
      <c r="T6439" s="8" t="n"/>
      <c r="U6439" s="8" t="n"/>
      <c r="V6439" s="8" t="n"/>
      <c r="W6439" s="8" t="n"/>
      <c r="X6439" s="8" t="n"/>
      <c r="Y6439" s="8" t="n"/>
    </row>
    <row r="6440">
      <c r="A6440" s="8" t="n"/>
      <c r="B6440" s="8" t="n"/>
      <c r="C6440" s="8" t="n"/>
      <c r="D6440" s="8" t="n"/>
      <c r="E6440" s="8" t="n"/>
      <c r="F6440" s="8" t="n"/>
      <c r="G6440" s="8" t="n"/>
      <c r="H6440" s="8" t="n"/>
      <c r="I6440" s="8" t="n"/>
      <c r="J6440" s="8" t="n"/>
      <c r="K6440" s="8" t="n"/>
      <c r="L6440" s="8" t="n"/>
      <c r="M6440" s="9">
        <f>B6440+30</f>
        <v/>
      </c>
      <c r="N6440">
        <f>IF(L6440="", "", L6440-B6440)</f>
        <v/>
      </c>
      <c r="O6440">
        <f>IF(L6440="", "Pending", IF(N6440&lt;=30, "Met", "Breached"))</f>
        <v/>
      </c>
      <c r="P6440" s="8" t="n"/>
      <c r="Q6440" s="8" t="n"/>
      <c r="R6440" s="8" t="n"/>
      <c r="S6440" s="8" t="n"/>
      <c r="T6440" s="8" t="n"/>
      <c r="U6440" s="8" t="n"/>
      <c r="V6440" s="8" t="n"/>
      <c r="W6440" s="8" t="n"/>
      <c r="X6440" s="8" t="n"/>
      <c r="Y6440" s="8" t="n"/>
    </row>
    <row r="6441">
      <c r="A6441" s="8" t="n"/>
      <c r="B6441" s="8" t="n"/>
      <c r="C6441" s="8" t="n"/>
      <c r="D6441" s="8" t="n"/>
      <c r="E6441" s="8" t="n"/>
      <c r="F6441" s="8" t="n"/>
      <c r="G6441" s="8" t="n"/>
      <c r="H6441" s="8" t="n"/>
      <c r="I6441" s="8" t="n"/>
      <c r="J6441" s="8" t="n"/>
      <c r="K6441" s="8" t="n"/>
      <c r="L6441" s="8" t="n"/>
      <c r="M6441" s="9">
        <f>B6441+30</f>
        <v/>
      </c>
      <c r="N6441">
        <f>IF(L6441="", "", L6441-B6441)</f>
        <v/>
      </c>
      <c r="O6441">
        <f>IF(L6441="", "Pending", IF(N6441&lt;=30, "Met", "Breached"))</f>
        <v/>
      </c>
      <c r="P6441" s="8" t="n"/>
      <c r="Q6441" s="8" t="n"/>
      <c r="R6441" s="8" t="n"/>
      <c r="S6441" s="8" t="n"/>
      <c r="T6441" s="8" t="n"/>
      <c r="U6441" s="8" t="n"/>
      <c r="V6441" s="8" t="n"/>
      <c r="W6441" s="8" t="n"/>
      <c r="X6441" s="8" t="n"/>
      <c r="Y6441" s="8" t="n"/>
    </row>
    <row r="6442">
      <c r="A6442" s="8" t="n"/>
      <c r="B6442" s="8" t="n"/>
      <c r="C6442" s="8" t="n"/>
      <c r="D6442" s="8" t="n"/>
      <c r="E6442" s="8" t="n"/>
      <c r="F6442" s="8" t="n"/>
      <c r="G6442" s="8" t="n"/>
      <c r="H6442" s="8" t="n"/>
      <c r="I6442" s="8" t="n"/>
      <c r="J6442" s="8" t="n"/>
      <c r="K6442" s="8" t="n"/>
      <c r="L6442" s="8" t="n"/>
      <c r="M6442" s="9">
        <f>B6442+30</f>
        <v/>
      </c>
      <c r="N6442">
        <f>IF(L6442="", "", L6442-B6442)</f>
        <v/>
      </c>
      <c r="O6442">
        <f>IF(L6442="", "Pending", IF(N6442&lt;=30, "Met", "Breached"))</f>
        <v/>
      </c>
      <c r="P6442" s="8" t="n"/>
      <c r="Q6442" s="8" t="n"/>
      <c r="R6442" s="8" t="n"/>
      <c r="S6442" s="8" t="n"/>
      <c r="T6442" s="8" t="n"/>
      <c r="U6442" s="8" t="n"/>
      <c r="V6442" s="8" t="n"/>
      <c r="W6442" s="8" t="n"/>
      <c r="X6442" s="8" t="n"/>
      <c r="Y6442" s="8" t="n"/>
    </row>
    <row r="6443">
      <c r="A6443" s="8" t="n"/>
      <c r="B6443" s="8" t="n"/>
      <c r="C6443" s="8" t="n"/>
      <c r="D6443" s="8" t="n"/>
      <c r="E6443" s="8" t="n"/>
      <c r="F6443" s="8" t="n"/>
      <c r="G6443" s="8" t="n"/>
      <c r="H6443" s="8" t="n"/>
      <c r="I6443" s="8" t="n"/>
      <c r="J6443" s="8" t="n"/>
      <c r="K6443" s="8" t="n"/>
      <c r="L6443" s="8" t="n"/>
      <c r="M6443" s="9">
        <f>B6443+30</f>
        <v/>
      </c>
      <c r="N6443">
        <f>IF(L6443="", "", L6443-B6443)</f>
        <v/>
      </c>
      <c r="O6443">
        <f>IF(L6443="", "Pending", IF(N6443&lt;=30, "Met", "Breached"))</f>
        <v/>
      </c>
      <c r="P6443" s="8" t="n"/>
      <c r="Q6443" s="8" t="n"/>
      <c r="R6443" s="8" t="n"/>
      <c r="S6443" s="8" t="n"/>
      <c r="T6443" s="8" t="n"/>
      <c r="U6443" s="8" t="n"/>
      <c r="V6443" s="8" t="n"/>
      <c r="W6443" s="8" t="n"/>
      <c r="X6443" s="8" t="n"/>
      <c r="Y6443" s="8" t="n"/>
    </row>
    <row r="6444">
      <c r="A6444" s="8" t="n"/>
      <c r="B6444" s="8" t="n"/>
      <c r="C6444" s="8" t="n"/>
      <c r="D6444" s="8" t="n"/>
      <c r="E6444" s="8" t="n"/>
      <c r="F6444" s="8" t="n"/>
      <c r="G6444" s="8" t="n"/>
      <c r="H6444" s="8" t="n"/>
      <c r="I6444" s="8" t="n"/>
      <c r="J6444" s="8" t="n"/>
      <c r="K6444" s="8" t="n"/>
      <c r="L6444" s="8" t="n"/>
      <c r="M6444" s="9">
        <f>B6444+30</f>
        <v/>
      </c>
      <c r="N6444">
        <f>IF(L6444="", "", L6444-B6444)</f>
        <v/>
      </c>
      <c r="O6444">
        <f>IF(L6444="", "Pending", IF(N6444&lt;=30, "Met", "Breached"))</f>
        <v/>
      </c>
      <c r="P6444" s="8" t="n"/>
      <c r="Q6444" s="8" t="n"/>
      <c r="R6444" s="8" t="n"/>
      <c r="S6444" s="8" t="n"/>
      <c r="T6444" s="8" t="n"/>
      <c r="U6444" s="8" t="n"/>
      <c r="V6444" s="8" t="n"/>
      <c r="W6444" s="8" t="n"/>
      <c r="X6444" s="8" t="n"/>
      <c r="Y6444" s="8" t="n"/>
    </row>
    <row r="6445">
      <c r="A6445" s="8" t="n"/>
      <c r="B6445" s="8" t="n"/>
      <c r="C6445" s="8" t="n"/>
      <c r="D6445" s="8" t="n"/>
      <c r="E6445" s="8" t="n"/>
      <c r="F6445" s="8" t="n"/>
      <c r="G6445" s="8" t="n"/>
      <c r="H6445" s="8" t="n"/>
      <c r="I6445" s="8" t="n"/>
      <c r="J6445" s="8" t="n"/>
      <c r="K6445" s="8" t="n"/>
      <c r="L6445" s="8" t="n"/>
      <c r="M6445" s="9">
        <f>B6445+30</f>
        <v/>
      </c>
      <c r="N6445">
        <f>IF(L6445="", "", L6445-B6445)</f>
        <v/>
      </c>
      <c r="O6445">
        <f>IF(L6445="", "Pending", IF(N6445&lt;=30, "Met", "Breached"))</f>
        <v/>
      </c>
      <c r="P6445" s="8" t="n"/>
      <c r="Q6445" s="8" t="n"/>
      <c r="R6445" s="8" t="n"/>
      <c r="S6445" s="8" t="n"/>
      <c r="T6445" s="8" t="n"/>
      <c r="U6445" s="8" t="n"/>
      <c r="V6445" s="8" t="n"/>
      <c r="W6445" s="8" t="n"/>
      <c r="X6445" s="8" t="n"/>
      <c r="Y6445" s="8" t="n"/>
    </row>
    <row r="6446">
      <c r="A6446" s="8" t="n"/>
      <c r="B6446" s="8" t="n"/>
      <c r="C6446" s="8" t="n"/>
      <c r="D6446" s="8" t="n"/>
      <c r="E6446" s="8" t="n"/>
      <c r="F6446" s="8" t="n"/>
      <c r="G6446" s="8" t="n"/>
      <c r="H6446" s="8" t="n"/>
      <c r="I6446" s="8" t="n"/>
      <c r="J6446" s="8" t="n"/>
      <c r="K6446" s="8" t="n"/>
      <c r="L6446" s="8" t="n"/>
      <c r="M6446" s="9">
        <f>B6446+30</f>
        <v/>
      </c>
      <c r="N6446">
        <f>IF(L6446="", "", L6446-B6446)</f>
        <v/>
      </c>
      <c r="O6446">
        <f>IF(L6446="", "Pending", IF(N6446&lt;=30, "Met", "Breached"))</f>
        <v/>
      </c>
      <c r="P6446" s="8" t="n"/>
      <c r="Q6446" s="8" t="n"/>
      <c r="R6446" s="8" t="n"/>
      <c r="S6446" s="8" t="n"/>
      <c r="T6446" s="8" t="n"/>
      <c r="U6446" s="8" t="n"/>
      <c r="V6446" s="8" t="n"/>
      <c r="W6446" s="8" t="n"/>
      <c r="X6446" s="8" t="n"/>
      <c r="Y6446" s="8" t="n"/>
    </row>
    <row r="6447">
      <c r="A6447" s="8" t="n"/>
      <c r="B6447" s="8" t="n"/>
      <c r="C6447" s="8" t="n"/>
      <c r="D6447" s="8" t="n"/>
      <c r="E6447" s="8" t="n"/>
      <c r="F6447" s="8" t="n"/>
      <c r="G6447" s="8" t="n"/>
      <c r="H6447" s="8" t="n"/>
      <c r="I6447" s="8" t="n"/>
      <c r="J6447" s="8" t="n"/>
      <c r="K6447" s="8" t="n"/>
      <c r="L6447" s="8" t="n"/>
      <c r="M6447" s="9">
        <f>B6447+30</f>
        <v/>
      </c>
      <c r="N6447">
        <f>IF(L6447="", "", L6447-B6447)</f>
        <v/>
      </c>
      <c r="O6447">
        <f>IF(L6447="", "Pending", IF(N6447&lt;=30, "Met", "Breached"))</f>
        <v/>
      </c>
      <c r="P6447" s="8" t="n"/>
      <c r="Q6447" s="8" t="n"/>
      <c r="R6447" s="8" t="n"/>
      <c r="S6447" s="8" t="n"/>
      <c r="T6447" s="8" t="n"/>
      <c r="U6447" s="8" t="n"/>
      <c r="V6447" s="8" t="n"/>
      <c r="W6447" s="8" t="n"/>
      <c r="X6447" s="8" t="n"/>
      <c r="Y6447" s="8" t="n"/>
    </row>
    <row r="6448">
      <c r="A6448" s="8" t="n"/>
      <c r="B6448" s="8" t="n"/>
      <c r="C6448" s="8" t="n"/>
      <c r="D6448" s="8" t="n"/>
      <c r="E6448" s="8" t="n"/>
      <c r="F6448" s="8" t="n"/>
      <c r="G6448" s="8" t="n"/>
      <c r="H6448" s="8" t="n"/>
      <c r="I6448" s="8" t="n"/>
      <c r="J6448" s="8" t="n"/>
      <c r="K6448" s="8" t="n"/>
      <c r="L6448" s="8" t="n"/>
      <c r="M6448" s="9">
        <f>B6448+30</f>
        <v/>
      </c>
      <c r="N6448">
        <f>IF(L6448="", "", L6448-B6448)</f>
        <v/>
      </c>
      <c r="O6448">
        <f>IF(L6448="", "Pending", IF(N6448&lt;=30, "Met", "Breached"))</f>
        <v/>
      </c>
      <c r="P6448" s="8" t="n"/>
      <c r="Q6448" s="8" t="n"/>
      <c r="R6448" s="8" t="n"/>
      <c r="S6448" s="8" t="n"/>
      <c r="T6448" s="8" t="n"/>
      <c r="U6448" s="8" t="n"/>
      <c r="V6448" s="8" t="n"/>
      <c r="W6448" s="8" t="n"/>
      <c r="X6448" s="8" t="n"/>
      <c r="Y6448" s="8" t="n"/>
    </row>
    <row r="6449">
      <c r="A6449" s="8" t="n"/>
      <c r="B6449" s="8" t="n"/>
      <c r="C6449" s="8" t="n"/>
      <c r="D6449" s="8" t="n"/>
      <c r="E6449" s="8" t="n"/>
      <c r="F6449" s="8" t="n"/>
      <c r="G6449" s="8" t="n"/>
      <c r="H6449" s="8" t="n"/>
      <c r="I6449" s="8" t="n"/>
      <c r="J6449" s="8" t="n"/>
      <c r="K6449" s="8" t="n"/>
      <c r="L6449" s="8" t="n"/>
      <c r="M6449" s="9">
        <f>B6449+30</f>
        <v/>
      </c>
      <c r="N6449">
        <f>IF(L6449="", "", L6449-B6449)</f>
        <v/>
      </c>
      <c r="O6449">
        <f>IF(L6449="", "Pending", IF(N6449&lt;=30, "Met", "Breached"))</f>
        <v/>
      </c>
      <c r="P6449" s="8" t="n"/>
      <c r="Q6449" s="8" t="n"/>
      <c r="R6449" s="8" t="n"/>
      <c r="S6449" s="8" t="n"/>
      <c r="T6449" s="8" t="n"/>
      <c r="U6449" s="8" t="n"/>
      <c r="V6449" s="8" t="n"/>
      <c r="W6449" s="8" t="n"/>
      <c r="X6449" s="8" t="n"/>
      <c r="Y6449" s="8" t="n"/>
    </row>
    <row r="6450">
      <c r="A6450" s="8" t="n"/>
      <c r="B6450" s="8" t="n"/>
      <c r="C6450" s="8" t="n"/>
      <c r="D6450" s="8" t="n"/>
      <c r="E6450" s="8" t="n"/>
      <c r="F6450" s="8" t="n"/>
      <c r="G6450" s="8" t="n"/>
      <c r="H6450" s="8" t="n"/>
      <c r="I6450" s="8" t="n"/>
      <c r="J6450" s="8" t="n"/>
      <c r="K6450" s="8" t="n"/>
      <c r="L6450" s="8" t="n"/>
      <c r="M6450" s="9">
        <f>B6450+30</f>
        <v/>
      </c>
      <c r="N6450">
        <f>IF(L6450="", "", L6450-B6450)</f>
        <v/>
      </c>
      <c r="O6450">
        <f>IF(L6450="", "Pending", IF(N6450&lt;=30, "Met", "Breached"))</f>
        <v/>
      </c>
      <c r="P6450" s="8" t="n"/>
      <c r="Q6450" s="8" t="n"/>
      <c r="R6450" s="8" t="n"/>
      <c r="S6450" s="8" t="n"/>
      <c r="T6450" s="8" t="n"/>
      <c r="U6450" s="8" t="n"/>
      <c r="V6450" s="8" t="n"/>
      <c r="W6450" s="8" t="n"/>
      <c r="X6450" s="8" t="n"/>
      <c r="Y6450" s="8" t="n"/>
    </row>
    <row r="6451">
      <c r="A6451" s="8" t="n"/>
      <c r="B6451" s="8" t="n"/>
      <c r="C6451" s="8" t="n"/>
      <c r="D6451" s="8" t="n"/>
      <c r="E6451" s="8" t="n"/>
      <c r="F6451" s="8" t="n"/>
      <c r="G6451" s="8" t="n"/>
      <c r="H6451" s="8" t="n"/>
      <c r="I6451" s="8" t="n"/>
      <c r="J6451" s="8" t="n"/>
      <c r="K6451" s="8" t="n"/>
      <c r="L6451" s="8" t="n"/>
      <c r="M6451" s="9">
        <f>B6451+30</f>
        <v/>
      </c>
      <c r="N6451">
        <f>IF(L6451="", "", L6451-B6451)</f>
        <v/>
      </c>
      <c r="O6451">
        <f>IF(L6451="", "Pending", IF(N6451&lt;=30, "Met", "Breached"))</f>
        <v/>
      </c>
      <c r="P6451" s="8" t="n"/>
      <c r="Q6451" s="8" t="n"/>
      <c r="R6451" s="8" t="n"/>
      <c r="S6451" s="8" t="n"/>
      <c r="T6451" s="8" t="n"/>
      <c r="U6451" s="8" t="n"/>
      <c r="V6451" s="8" t="n"/>
      <c r="W6451" s="8" t="n"/>
      <c r="X6451" s="8" t="n"/>
      <c r="Y6451" s="8" t="n"/>
    </row>
    <row r="6452">
      <c r="A6452" s="8" t="n"/>
      <c r="B6452" s="8" t="n"/>
      <c r="C6452" s="8" t="n"/>
      <c r="D6452" s="8" t="n"/>
      <c r="E6452" s="8" t="n"/>
      <c r="F6452" s="8" t="n"/>
      <c r="G6452" s="8" t="n"/>
      <c r="H6452" s="8" t="n"/>
      <c r="I6452" s="8" t="n"/>
      <c r="J6452" s="8" t="n"/>
      <c r="K6452" s="8" t="n"/>
      <c r="L6452" s="8" t="n"/>
      <c r="M6452" s="9">
        <f>B6452+30</f>
        <v/>
      </c>
      <c r="N6452">
        <f>IF(L6452="", "", L6452-B6452)</f>
        <v/>
      </c>
      <c r="O6452">
        <f>IF(L6452="", "Pending", IF(N6452&lt;=30, "Met", "Breached"))</f>
        <v/>
      </c>
      <c r="P6452" s="8" t="n"/>
      <c r="Q6452" s="8" t="n"/>
      <c r="R6452" s="8" t="n"/>
      <c r="S6452" s="8" t="n"/>
      <c r="T6452" s="8" t="n"/>
      <c r="U6452" s="8" t="n"/>
      <c r="V6452" s="8" t="n"/>
      <c r="W6452" s="8" t="n"/>
      <c r="X6452" s="8" t="n"/>
      <c r="Y6452" s="8" t="n"/>
    </row>
    <row r="6453">
      <c r="A6453" s="8" t="n"/>
      <c r="B6453" s="8" t="n"/>
      <c r="C6453" s="8" t="n"/>
      <c r="D6453" s="8" t="n"/>
      <c r="E6453" s="8" t="n"/>
      <c r="F6453" s="8" t="n"/>
      <c r="G6453" s="8" t="n"/>
      <c r="H6453" s="8" t="n"/>
      <c r="I6453" s="8" t="n"/>
      <c r="J6453" s="8" t="n"/>
      <c r="K6453" s="8" t="n"/>
      <c r="L6453" s="8" t="n"/>
      <c r="M6453" s="9">
        <f>B6453+30</f>
        <v/>
      </c>
      <c r="N6453">
        <f>IF(L6453="", "", L6453-B6453)</f>
        <v/>
      </c>
      <c r="O6453">
        <f>IF(L6453="", "Pending", IF(N6453&lt;=30, "Met", "Breached"))</f>
        <v/>
      </c>
      <c r="P6453" s="8" t="n"/>
      <c r="Q6453" s="8" t="n"/>
      <c r="R6453" s="8" t="n"/>
      <c r="S6453" s="8" t="n"/>
      <c r="T6453" s="8" t="n"/>
      <c r="U6453" s="8" t="n"/>
      <c r="V6453" s="8" t="n"/>
      <c r="W6453" s="8" t="n"/>
      <c r="X6453" s="8" t="n"/>
      <c r="Y6453" s="8" t="n"/>
    </row>
    <row r="6454">
      <c r="A6454" s="8" t="n"/>
      <c r="B6454" s="8" t="n"/>
      <c r="C6454" s="8" t="n"/>
      <c r="D6454" s="8" t="n"/>
      <c r="E6454" s="8" t="n"/>
      <c r="F6454" s="8" t="n"/>
      <c r="G6454" s="8" t="n"/>
      <c r="H6454" s="8" t="n"/>
      <c r="I6454" s="8" t="n"/>
      <c r="J6454" s="8" t="n"/>
      <c r="K6454" s="8" t="n"/>
      <c r="L6454" s="8" t="n"/>
      <c r="M6454" s="9">
        <f>B6454+30</f>
        <v/>
      </c>
      <c r="N6454">
        <f>IF(L6454="", "", L6454-B6454)</f>
        <v/>
      </c>
      <c r="O6454">
        <f>IF(L6454="", "Pending", IF(N6454&lt;=30, "Met", "Breached"))</f>
        <v/>
      </c>
      <c r="P6454" s="8" t="n"/>
      <c r="Q6454" s="8" t="n"/>
      <c r="R6454" s="8" t="n"/>
      <c r="S6454" s="8" t="n"/>
      <c r="T6454" s="8" t="n"/>
      <c r="U6454" s="8" t="n"/>
      <c r="V6454" s="8" t="n"/>
      <c r="W6454" s="8" t="n"/>
      <c r="X6454" s="8" t="n"/>
      <c r="Y6454" s="8" t="n"/>
    </row>
    <row r="6455">
      <c r="A6455" s="8" t="n"/>
      <c r="B6455" s="8" t="n"/>
      <c r="C6455" s="8" t="n"/>
      <c r="D6455" s="8" t="n"/>
      <c r="E6455" s="8" t="n"/>
      <c r="F6455" s="8" t="n"/>
      <c r="G6455" s="8" t="n"/>
      <c r="H6455" s="8" t="n"/>
      <c r="I6455" s="8" t="n"/>
      <c r="J6455" s="8" t="n"/>
      <c r="K6455" s="8" t="n"/>
      <c r="L6455" s="8" t="n"/>
      <c r="M6455" s="9">
        <f>B6455+30</f>
        <v/>
      </c>
      <c r="N6455">
        <f>IF(L6455="", "", L6455-B6455)</f>
        <v/>
      </c>
      <c r="O6455">
        <f>IF(L6455="", "Pending", IF(N6455&lt;=30, "Met", "Breached"))</f>
        <v/>
      </c>
      <c r="P6455" s="8" t="n"/>
      <c r="Q6455" s="8" t="n"/>
      <c r="R6455" s="8" t="n"/>
      <c r="S6455" s="8" t="n"/>
      <c r="T6455" s="8" t="n"/>
      <c r="U6455" s="8" t="n"/>
      <c r="V6455" s="8" t="n"/>
      <c r="W6455" s="8" t="n"/>
      <c r="X6455" s="8" t="n"/>
      <c r="Y6455" s="8" t="n"/>
    </row>
    <row r="6456">
      <c r="A6456" s="8" t="n"/>
      <c r="B6456" s="8" t="n"/>
      <c r="C6456" s="8" t="n"/>
      <c r="D6456" s="8" t="n"/>
      <c r="E6456" s="8" t="n"/>
      <c r="F6456" s="8" t="n"/>
      <c r="G6456" s="8" t="n"/>
      <c r="H6456" s="8" t="n"/>
      <c r="I6456" s="8" t="n"/>
      <c r="J6456" s="8" t="n"/>
      <c r="K6456" s="8" t="n"/>
      <c r="L6456" s="8" t="n"/>
      <c r="M6456" s="9">
        <f>B6456+30</f>
        <v/>
      </c>
      <c r="N6456">
        <f>IF(L6456="", "", L6456-B6456)</f>
        <v/>
      </c>
      <c r="O6456">
        <f>IF(L6456="", "Pending", IF(N6456&lt;=30, "Met", "Breached"))</f>
        <v/>
      </c>
      <c r="P6456" s="8" t="n"/>
      <c r="Q6456" s="8" t="n"/>
      <c r="R6456" s="8" t="n"/>
      <c r="S6456" s="8" t="n"/>
      <c r="T6456" s="8" t="n"/>
      <c r="U6456" s="8" t="n"/>
      <c r="V6456" s="8" t="n"/>
      <c r="W6456" s="8" t="n"/>
      <c r="X6456" s="8" t="n"/>
      <c r="Y6456" s="8" t="n"/>
    </row>
    <row r="6457">
      <c r="A6457" s="8" t="n"/>
      <c r="B6457" s="8" t="n"/>
      <c r="C6457" s="8" t="n"/>
      <c r="D6457" s="8" t="n"/>
      <c r="E6457" s="8" t="n"/>
      <c r="F6457" s="8" t="n"/>
      <c r="G6457" s="8" t="n"/>
      <c r="H6457" s="8" t="n"/>
      <c r="I6457" s="8" t="n"/>
      <c r="J6457" s="8" t="n"/>
      <c r="K6457" s="8" t="n"/>
      <c r="L6457" s="8" t="n"/>
      <c r="M6457" s="9">
        <f>B6457+30</f>
        <v/>
      </c>
      <c r="N6457">
        <f>IF(L6457="", "", L6457-B6457)</f>
        <v/>
      </c>
      <c r="O6457">
        <f>IF(L6457="", "Pending", IF(N6457&lt;=30, "Met", "Breached"))</f>
        <v/>
      </c>
      <c r="P6457" s="8" t="n"/>
      <c r="Q6457" s="8" t="n"/>
      <c r="R6457" s="8" t="n"/>
      <c r="S6457" s="8" t="n"/>
      <c r="T6457" s="8" t="n"/>
      <c r="U6457" s="8" t="n"/>
      <c r="V6457" s="8" t="n"/>
      <c r="W6457" s="8" t="n"/>
      <c r="X6457" s="8" t="n"/>
      <c r="Y6457" s="8" t="n"/>
    </row>
    <row r="6458">
      <c r="A6458" s="8" t="n"/>
      <c r="B6458" s="8" t="n"/>
      <c r="C6458" s="8" t="n"/>
      <c r="D6458" s="8" t="n"/>
      <c r="E6458" s="8" t="n"/>
      <c r="F6458" s="8" t="n"/>
      <c r="G6458" s="8" t="n"/>
      <c r="H6458" s="8" t="n"/>
      <c r="I6458" s="8" t="n"/>
      <c r="J6458" s="8" t="n"/>
      <c r="K6458" s="8" t="n"/>
      <c r="L6458" s="8" t="n"/>
      <c r="M6458" s="9">
        <f>B6458+30</f>
        <v/>
      </c>
      <c r="N6458">
        <f>IF(L6458="", "", L6458-B6458)</f>
        <v/>
      </c>
      <c r="O6458">
        <f>IF(L6458="", "Pending", IF(N6458&lt;=30, "Met", "Breached"))</f>
        <v/>
      </c>
      <c r="P6458" s="8" t="n"/>
      <c r="Q6458" s="8" t="n"/>
      <c r="R6458" s="8" t="n"/>
      <c r="S6458" s="8" t="n"/>
      <c r="T6458" s="8" t="n"/>
      <c r="U6458" s="8" t="n"/>
      <c r="V6458" s="8" t="n"/>
      <c r="W6458" s="8" t="n"/>
      <c r="X6458" s="8" t="n"/>
      <c r="Y6458" s="8" t="n"/>
    </row>
    <row r="6459">
      <c r="A6459" s="8" t="n"/>
      <c r="B6459" s="8" t="n"/>
      <c r="C6459" s="8" t="n"/>
      <c r="D6459" s="8" t="n"/>
      <c r="E6459" s="8" t="n"/>
      <c r="F6459" s="8" t="n"/>
      <c r="G6459" s="8" t="n"/>
      <c r="H6459" s="8" t="n"/>
      <c r="I6459" s="8" t="n"/>
      <c r="J6459" s="8" t="n"/>
      <c r="K6459" s="8" t="n"/>
      <c r="L6459" s="8" t="n"/>
      <c r="M6459" s="9">
        <f>B6459+30</f>
        <v/>
      </c>
      <c r="N6459">
        <f>IF(L6459="", "", L6459-B6459)</f>
        <v/>
      </c>
      <c r="O6459">
        <f>IF(L6459="", "Pending", IF(N6459&lt;=30, "Met", "Breached"))</f>
        <v/>
      </c>
      <c r="P6459" s="8" t="n"/>
      <c r="Q6459" s="8" t="n"/>
      <c r="R6459" s="8" t="n"/>
      <c r="S6459" s="8" t="n"/>
      <c r="T6459" s="8" t="n"/>
      <c r="U6459" s="8" t="n"/>
      <c r="V6459" s="8" t="n"/>
      <c r="W6459" s="8" t="n"/>
      <c r="X6459" s="8" t="n"/>
      <c r="Y6459" s="8" t="n"/>
    </row>
    <row r="6460">
      <c r="A6460" s="8" t="n"/>
      <c r="B6460" s="8" t="n"/>
      <c r="C6460" s="8" t="n"/>
      <c r="D6460" s="8" t="n"/>
      <c r="E6460" s="8" t="n"/>
      <c r="F6460" s="8" t="n"/>
      <c r="G6460" s="8" t="n"/>
      <c r="H6460" s="8" t="n"/>
      <c r="I6460" s="8" t="n"/>
      <c r="J6460" s="8" t="n"/>
      <c r="K6460" s="8" t="n"/>
      <c r="L6460" s="8" t="n"/>
      <c r="M6460" s="9">
        <f>B6460+30</f>
        <v/>
      </c>
      <c r="N6460">
        <f>IF(L6460="", "", L6460-B6460)</f>
        <v/>
      </c>
      <c r="O6460">
        <f>IF(L6460="", "Pending", IF(N6460&lt;=30, "Met", "Breached"))</f>
        <v/>
      </c>
      <c r="P6460" s="8" t="n"/>
      <c r="Q6460" s="8" t="n"/>
      <c r="R6460" s="8" t="n"/>
      <c r="S6460" s="8" t="n"/>
      <c r="T6460" s="8" t="n"/>
      <c r="U6460" s="8" t="n"/>
      <c r="V6460" s="8" t="n"/>
      <c r="W6460" s="8" t="n"/>
      <c r="X6460" s="8" t="n"/>
      <c r="Y6460" s="8" t="n"/>
    </row>
    <row r="6461">
      <c r="A6461" s="8" t="n"/>
      <c r="B6461" s="8" t="n"/>
      <c r="C6461" s="8" t="n"/>
      <c r="D6461" s="8" t="n"/>
      <c r="E6461" s="8" t="n"/>
      <c r="F6461" s="8" t="n"/>
      <c r="G6461" s="8" t="n"/>
      <c r="H6461" s="8" t="n"/>
      <c r="I6461" s="8" t="n"/>
      <c r="J6461" s="8" t="n"/>
      <c r="K6461" s="8" t="n"/>
      <c r="L6461" s="8" t="n"/>
      <c r="M6461" s="9">
        <f>B6461+30</f>
        <v/>
      </c>
      <c r="N6461">
        <f>IF(L6461="", "", L6461-B6461)</f>
        <v/>
      </c>
      <c r="O6461">
        <f>IF(L6461="", "Pending", IF(N6461&lt;=30, "Met", "Breached"))</f>
        <v/>
      </c>
      <c r="P6461" s="8" t="n"/>
      <c r="Q6461" s="8" t="n"/>
      <c r="R6461" s="8" t="n"/>
      <c r="S6461" s="8" t="n"/>
      <c r="T6461" s="8" t="n"/>
      <c r="U6461" s="8" t="n"/>
      <c r="V6461" s="8" t="n"/>
      <c r="W6461" s="8" t="n"/>
      <c r="X6461" s="8" t="n"/>
      <c r="Y6461" s="8" t="n"/>
    </row>
    <row r="6462">
      <c r="A6462" s="8" t="n"/>
      <c r="B6462" s="8" t="n"/>
      <c r="C6462" s="8" t="n"/>
      <c r="D6462" s="8" t="n"/>
      <c r="E6462" s="8" t="n"/>
      <c r="F6462" s="8" t="n"/>
      <c r="G6462" s="8" t="n"/>
      <c r="H6462" s="8" t="n"/>
      <c r="I6462" s="8" t="n"/>
      <c r="J6462" s="8" t="n"/>
      <c r="K6462" s="8" t="n"/>
      <c r="L6462" s="8" t="n"/>
      <c r="M6462" s="9">
        <f>B6462+30</f>
        <v/>
      </c>
      <c r="N6462">
        <f>IF(L6462="", "", L6462-B6462)</f>
        <v/>
      </c>
      <c r="O6462">
        <f>IF(L6462="", "Pending", IF(N6462&lt;=30, "Met", "Breached"))</f>
        <v/>
      </c>
      <c r="P6462" s="8" t="n"/>
      <c r="Q6462" s="8" t="n"/>
      <c r="R6462" s="8" t="n"/>
      <c r="S6462" s="8" t="n"/>
      <c r="T6462" s="8" t="n"/>
      <c r="U6462" s="8" t="n"/>
      <c r="V6462" s="8" t="n"/>
      <c r="W6462" s="8" t="n"/>
      <c r="X6462" s="8" t="n"/>
      <c r="Y6462" s="8" t="n"/>
    </row>
    <row r="6463">
      <c r="A6463" s="8" t="n"/>
      <c r="B6463" s="8" t="n"/>
      <c r="C6463" s="8" t="n"/>
      <c r="D6463" s="8" t="n"/>
      <c r="E6463" s="8" t="n"/>
      <c r="F6463" s="8" t="n"/>
      <c r="G6463" s="8" t="n"/>
      <c r="H6463" s="8" t="n"/>
      <c r="I6463" s="8" t="n"/>
      <c r="J6463" s="8" t="n"/>
      <c r="K6463" s="8" t="n"/>
      <c r="L6463" s="8" t="n"/>
      <c r="M6463" s="9">
        <f>B6463+30</f>
        <v/>
      </c>
      <c r="N6463">
        <f>IF(L6463="", "", L6463-B6463)</f>
        <v/>
      </c>
      <c r="O6463">
        <f>IF(L6463="", "Pending", IF(N6463&lt;=30, "Met", "Breached"))</f>
        <v/>
      </c>
      <c r="P6463" s="8" t="n"/>
      <c r="Q6463" s="8" t="n"/>
      <c r="R6463" s="8" t="n"/>
      <c r="S6463" s="8" t="n"/>
      <c r="T6463" s="8" t="n"/>
      <c r="U6463" s="8" t="n"/>
      <c r="V6463" s="8" t="n"/>
      <c r="W6463" s="8" t="n"/>
      <c r="X6463" s="8" t="n"/>
      <c r="Y6463" s="8" t="n"/>
    </row>
    <row r="6464">
      <c r="A6464" s="8" t="n"/>
      <c r="B6464" s="8" t="n"/>
      <c r="C6464" s="8" t="n"/>
      <c r="D6464" s="8" t="n"/>
      <c r="E6464" s="8" t="n"/>
      <c r="F6464" s="8" t="n"/>
      <c r="G6464" s="8" t="n"/>
      <c r="H6464" s="8" t="n"/>
      <c r="I6464" s="8" t="n"/>
      <c r="J6464" s="8" t="n"/>
      <c r="K6464" s="8" t="n"/>
      <c r="L6464" s="8" t="n"/>
      <c r="M6464" s="9">
        <f>B6464+30</f>
        <v/>
      </c>
      <c r="N6464">
        <f>IF(L6464="", "", L6464-B6464)</f>
        <v/>
      </c>
      <c r="O6464">
        <f>IF(L6464="", "Pending", IF(N6464&lt;=30, "Met", "Breached"))</f>
        <v/>
      </c>
      <c r="P6464" s="8" t="n"/>
      <c r="Q6464" s="8" t="n"/>
      <c r="R6464" s="8" t="n"/>
      <c r="S6464" s="8" t="n"/>
      <c r="T6464" s="8" t="n"/>
      <c r="U6464" s="8" t="n"/>
      <c r="V6464" s="8" t="n"/>
      <c r="W6464" s="8" t="n"/>
      <c r="X6464" s="8" t="n"/>
      <c r="Y6464" s="8" t="n"/>
    </row>
    <row r="6465">
      <c r="A6465" s="8" t="n"/>
      <c r="B6465" s="8" t="n"/>
      <c r="C6465" s="8" t="n"/>
      <c r="D6465" s="8" t="n"/>
      <c r="E6465" s="8" t="n"/>
      <c r="F6465" s="8" t="n"/>
      <c r="G6465" s="8" t="n"/>
      <c r="H6465" s="8" t="n"/>
      <c r="I6465" s="8" t="n"/>
      <c r="J6465" s="8" t="n"/>
      <c r="K6465" s="8" t="n"/>
      <c r="L6465" s="8" t="n"/>
      <c r="M6465" s="9">
        <f>B6465+30</f>
        <v/>
      </c>
      <c r="N6465">
        <f>IF(L6465="", "", L6465-B6465)</f>
        <v/>
      </c>
      <c r="O6465">
        <f>IF(L6465="", "Pending", IF(N6465&lt;=30, "Met", "Breached"))</f>
        <v/>
      </c>
      <c r="P6465" s="8" t="n"/>
      <c r="Q6465" s="8" t="n"/>
      <c r="R6465" s="8" t="n"/>
      <c r="S6465" s="8" t="n"/>
      <c r="T6465" s="8" t="n"/>
      <c r="U6465" s="8" t="n"/>
      <c r="V6465" s="8" t="n"/>
      <c r="W6465" s="8" t="n"/>
      <c r="X6465" s="8" t="n"/>
      <c r="Y6465" s="8" t="n"/>
    </row>
    <row r="6466">
      <c r="A6466" s="8" t="n"/>
      <c r="B6466" s="8" t="n"/>
      <c r="C6466" s="8" t="n"/>
      <c r="D6466" s="8" t="n"/>
      <c r="E6466" s="8" t="n"/>
      <c r="F6466" s="8" t="n"/>
      <c r="G6466" s="8" t="n"/>
      <c r="H6466" s="8" t="n"/>
      <c r="I6466" s="8" t="n"/>
      <c r="J6466" s="8" t="n"/>
      <c r="K6466" s="8" t="n"/>
      <c r="L6466" s="8" t="n"/>
      <c r="M6466" s="9">
        <f>B6466+30</f>
        <v/>
      </c>
      <c r="N6466">
        <f>IF(L6466="", "", L6466-B6466)</f>
        <v/>
      </c>
      <c r="O6466">
        <f>IF(L6466="", "Pending", IF(N6466&lt;=30, "Met", "Breached"))</f>
        <v/>
      </c>
      <c r="P6466" s="8" t="n"/>
      <c r="Q6466" s="8" t="n"/>
      <c r="R6466" s="8" t="n"/>
      <c r="S6466" s="8" t="n"/>
      <c r="T6466" s="8" t="n"/>
      <c r="U6466" s="8" t="n"/>
      <c r="V6466" s="8" t="n"/>
      <c r="W6466" s="8" t="n"/>
      <c r="X6466" s="8" t="n"/>
      <c r="Y6466" s="8" t="n"/>
    </row>
    <row r="6467">
      <c r="A6467" s="8" t="n"/>
      <c r="B6467" s="8" t="n"/>
      <c r="C6467" s="8" t="n"/>
      <c r="D6467" s="8" t="n"/>
      <c r="E6467" s="8" t="n"/>
      <c r="F6467" s="8" t="n"/>
      <c r="G6467" s="8" t="n"/>
      <c r="H6467" s="8" t="n"/>
      <c r="I6467" s="8" t="n"/>
      <c r="J6467" s="8" t="n"/>
      <c r="K6467" s="8" t="n"/>
      <c r="L6467" s="8" t="n"/>
      <c r="M6467" s="9">
        <f>B6467+30</f>
        <v/>
      </c>
      <c r="N6467">
        <f>IF(L6467="", "", L6467-B6467)</f>
        <v/>
      </c>
      <c r="O6467">
        <f>IF(L6467="", "Pending", IF(N6467&lt;=30, "Met", "Breached"))</f>
        <v/>
      </c>
      <c r="P6467" s="8" t="n"/>
      <c r="Q6467" s="8" t="n"/>
      <c r="R6467" s="8" t="n"/>
      <c r="S6467" s="8" t="n"/>
      <c r="T6467" s="8" t="n"/>
      <c r="U6467" s="8" t="n"/>
      <c r="V6467" s="8" t="n"/>
      <c r="W6467" s="8" t="n"/>
      <c r="X6467" s="8" t="n"/>
      <c r="Y6467" s="8" t="n"/>
    </row>
    <row r="6468">
      <c r="A6468" s="8" t="n"/>
      <c r="B6468" s="8" t="n"/>
      <c r="C6468" s="8" t="n"/>
      <c r="D6468" s="8" t="n"/>
      <c r="E6468" s="8" t="n"/>
      <c r="F6468" s="8" t="n"/>
      <c r="G6468" s="8" t="n"/>
      <c r="H6468" s="8" t="n"/>
      <c r="I6468" s="8" t="n"/>
      <c r="J6468" s="8" t="n"/>
      <c r="K6468" s="8" t="n"/>
      <c r="L6468" s="8" t="n"/>
      <c r="M6468" s="9">
        <f>B6468+30</f>
        <v/>
      </c>
      <c r="N6468">
        <f>IF(L6468="", "", L6468-B6468)</f>
        <v/>
      </c>
      <c r="O6468">
        <f>IF(L6468="", "Pending", IF(N6468&lt;=30, "Met", "Breached"))</f>
        <v/>
      </c>
      <c r="P6468" s="8" t="n"/>
      <c r="Q6468" s="8" t="n"/>
      <c r="R6468" s="8" t="n"/>
      <c r="S6468" s="8" t="n"/>
      <c r="T6468" s="8" t="n"/>
      <c r="U6468" s="8" t="n"/>
      <c r="V6468" s="8" t="n"/>
      <c r="W6468" s="8" t="n"/>
      <c r="X6468" s="8" t="n"/>
      <c r="Y6468" s="8" t="n"/>
    </row>
    <row r="6469">
      <c r="A6469" s="8" t="n"/>
      <c r="B6469" s="8" t="n"/>
      <c r="C6469" s="8" t="n"/>
      <c r="D6469" s="8" t="n"/>
      <c r="E6469" s="8" t="n"/>
      <c r="F6469" s="8" t="n"/>
      <c r="G6469" s="8" t="n"/>
      <c r="H6469" s="8" t="n"/>
      <c r="I6469" s="8" t="n"/>
      <c r="J6469" s="8" t="n"/>
      <c r="K6469" s="8" t="n"/>
      <c r="L6469" s="8" t="n"/>
      <c r="M6469" s="9">
        <f>B6469+30</f>
        <v/>
      </c>
      <c r="N6469">
        <f>IF(L6469="", "", L6469-B6469)</f>
        <v/>
      </c>
      <c r="O6469">
        <f>IF(L6469="", "Pending", IF(N6469&lt;=30, "Met", "Breached"))</f>
        <v/>
      </c>
      <c r="P6469" s="8" t="n"/>
      <c r="Q6469" s="8" t="n"/>
      <c r="R6469" s="8" t="n"/>
      <c r="S6469" s="8" t="n"/>
      <c r="T6469" s="8" t="n"/>
      <c r="U6469" s="8" t="n"/>
      <c r="V6469" s="8" t="n"/>
      <c r="W6469" s="8" t="n"/>
      <c r="X6469" s="8" t="n"/>
      <c r="Y6469" s="8" t="n"/>
    </row>
    <row r="6470">
      <c r="A6470" s="8" t="n"/>
      <c r="B6470" s="8" t="n"/>
      <c r="C6470" s="8" t="n"/>
      <c r="D6470" s="8" t="n"/>
      <c r="E6470" s="8" t="n"/>
      <c r="F6470" s="8" t="n"/>
      <c r="G6470" s="8" t="n"/>
      <c r="H6470" s="8" t="n"/>
      <c r="I6470" s="8" t="n"/>
      <c r="J6470" s="8" t="n"/>
      <c r="K6470" s="8" t="n"/>
      <c r="L6470" s="8" t="n"/>
      <c r="M6470" s="9">
        <f>B6470+30</f>
        <v/>
      </c>
      <c r="N6470">
        <f>IF(L6470="", "", L6470-B6470)</f>
        <v/>
      </c>
      <c r="O6470">
        <f>IF(L6470="", "Pending", IF(N6470&lt;=30, "Met", "Breached"))</f>
        <v/>
      </c>
      <c r="P6470" s="8" t="n"/>
      <c r="Q6470" s="8" t="n"/>
      <c r="R6470" s="8" t="n"/>
      <c r="S6470" s="8" t="n"/>
      <c r="T6470" s="8" t="n"/>
      <c r="U6470" s="8" t="n"/>
      <c r="V6470" s="8" t="n"/>
      <c r="W6470" s="8" t="n"/>
      <c r="X6470" s="8" t="n"/>
      <c r="Y6470" s="8" t="n"/>
    </row>
    <row r="6471">
      <c r="A6471" s="8" t="n"/>
      <c r="B6471" s="8" t="n"/>
      <c r="C6471" s="8" t="n"/>
      <c r="D6471" s="8" t="n"/>
      <c r="E6471" s="8" t="n"/>
      <c r="F6471" s="8" t="n"/>
      <c r="G6471" s="8" t="n"/>
      <c r="H6471" s="8" t="n"/>
      <c r="I6471" s="8" t="n"/>
      <c r="J6471" s="8" t="n"/>
      <c r="K6471" s="8" t="n"/>
      <c r="L6471" s="8" t="n"/>
      <c r="M6471" s="9">
        <f>B6471+30</f>
        <v/>
      </c>
      <c r="N6471">
        <f>IF(L6471="", "", L6471-B6471)</f>
        <v/>
      </c>
      <c r="O6471">
        <f>IF(L6471="", "Pending", IF(N6471&lt;=30, "Met", "Breached"))</f>
        <v/>
      </c>
      <c r="P6471" s="8" t="n"/>
      <c r="Q6471" s="8" t="n"/>
      <c r="R6471" s="8" t="n"/>
      <c r="S6471" s="8" t="n"/>
      <c r="T6471" s="8" t="n"/>
      <c r="U6471" s="8" t="n"/>
      <c r="V6471" s="8" t="n"/>
      <c r="W6471" s="8" t="n"/>
      <c r="X6471" s="8" t="n"/>
      <c r="Y6471" s="8" t="n"/>
    </row>
    <row r="6472">
      <c r="A6472" s="8" t="n"/>
      <c r="B6472" s="8" t="n"/>
      <c r="C6472" s="8" t="n"/>
      <c r="D6472" s="8" t="n"/>
      <c r="E6472" s="8" t="n"/>
      <c r="F6472" s="8" t="n"/>
      <c r="G6472" s="8" t="n"/>
      <c r="H6472" s="8" t="n"/>
      <c r="I6472" s="8" t="n"/>
      <c r="J6472" s="8" t="n"/>
      <c r="K6472" s="8" t="n"/>
      <c r="L6472" s="8" t="n"/>
      <c r="M6472" s="9">
        <f>B6472+30</f>
        <v/>
      </c>
      <c r="N6472">
        <f>IF(L6472="", "", L6472-B6472)</f>
        <v/>
      </c>
      <c r="O6472">
        <f>IF(L6472="", "Pending", IF(N6472&lt;=30, "Met", "Breached"))</f>
        <v/>
      </c>
      <c r="P6472" s="8" t="n"/>
      <c r="Q6472" s="8" t="n"/>
      <c r="R6472" s="8" t="n"/>
      <c r="S6472" s="8" t="n"/>
      <c r="T6472" s="8" t="n"/>
      <c r="U6472" s="8" t="n"/>
      <c r="V6472" s="8" t="n"/>
      <c r="W6472" s="8" t="n"/>
      <c r="X6472" s="8" t="n"/>
      <c r="Y6472" s="8" t="n"/>
    </row>
    <row r="6473">
      <c r="A6473" s="8" t="n"/>
      <c r="B6473" s="8" t="n"/>
      <c r="C6473" s="8" t="n"/>
      <c r="D6473" s="8" t="n"/>
      <c r="E6473" s="8" t="n"/>
      <c r="F6473" s="8" t="n"/>
      <c r="G6473" s="8" t="n"/>
      <c r="H6473" s="8" t="n"/>
      <c r="I6473" s="8" t="n"/>
      <c r="J6473" s="8" t="n"/>
      <c r="K6473" s="8" t="n"/>
      <c r="L6473" s="8" t="n"/>
      <c r="M6473" s="9">
        <f>B6473+30</f>
        <v/>
      </c>
      <c r="N6473">
        <f>IF(L6473="", "", L6473-B6473)</f>
        <v/>
      </c>
      <c r="O6473">
        <f>IF(L6473="", "Pending", IF(N6473&lt;=30, "Met", "Breached"))</f>
        <v/>
      </c>
      <c r="P6473" s="8" t="n"/>
      <c r="Q6473" s="8" t="n"/>
      <c r="R6473" s="8" t="n"/>
      <c r="S6473" s="8" t="n"/>
      <c r="T6473" s="8" t="n"/>
      <c r="U6473" s="8" t="n"/>
      <c r="V6473" s="8" t="n"/>
      <c r="W6473" s="8" t="n"/>
      <c r="X6473" s="8" t="n"/>
      <c r="Y6473" s="8" t="n"/>
    </row>
    <row r="6474">
      <c r="A6474" s="8" t="n"/>
      <c r="B6474" s="8" t="n"/>
      <c r="C6474" s="8" t="n"/>
      <c r="D6474" s="8" t="n"/>
      <c r="E6474" s="8" t="n"/>
      <c r="F6474" s="8" t="n"/>
      <c r="G6474" s="8" t="n"/>
      <c r="H6474" s="8" t="n"/>
      <c r="I6474" s="8" t="n"/>
      <c r="J6474" s="8" t="n"/>
      <c r="K6474" s="8" t="n"/>
      <c r="L6474" s="8" t="n"/>
      <c r="M6474" s="9">
        <f>B6474+30</f>
        <v/>
      </c>
      <c r="N6474">
        <f>IF(L6474="", "", L6474-B6474)</f>
        <v/>
      </c>
      <c r="O6474">
        <f>IF(L6474="", "Pending", IF(N6474&lt;=30, "Met", "Breached"))</f>
        <v/>
      </c>
      <c r="P6474" s="8" t="n"/>
      <c r="Q6474" s="8" t="n"/>
      <c r="R6474" s="8" t="n"/>
      <c r="S6474" s="8" t="n"/>
      <c r="T6474" s="8" t="n"/>
      <c r="U6474" s="8" t="n"/>
      <c r="V6474" s="8" t="n"/>
      <c r="W6474" s="8" t="n"/>
      <c r="X6474" s="8" t="n"/>
      <c r="Y6474" s="8" t="n"/>
    </row>
    <row r="6475">
      <c r="A6475" s="8" t="n"/>
      <c r="B6475" s="8" t="n"/>
      <c r="C6475" s="8" t="n"/>
      <c r="D6475" s="8" t="n"/>
      <c r="E6475" s="8" t="n"/>
      <c r="F6475" s="8" t="n"/>
      <c r="G6475" s="8" t="n"/>
      <c r="H6475" s="8" t="n"/>
      <c r="I6475" s="8" t="n"/>
      <c r="J6475" s="8" t="n"/>
      <c r="K6475" s="8" t="n"/>
      <c r="L6475" s="8" t="n"/>
      <c r="M6475" s="9">
        <f>B6475+30</f>
        <v/>
      </c>
      <c r="N6475">
        <f>IF(L6475="", "", L6475-B6475)</f>
        <v/>
      </c>
      <c r="O6475">
        <f>IF(L6475="", "Pending", IF(N6475&lt;=30, "Met", "Breached"))</f>
        <v/>
      </c>
      <c r="P6475" s="8" t="n"/>
      <c r="Q6475" s="8" t="n"/>
      <c r="R6475" s="8" t="n"/>
      <c r="S6475" s="8" t="n"/>
      <c r="T6475" s="8" t="n"/>
      <c r="U6475" s="8" t="n"/>
      <c r="V6475" s="8" t="n"/>
      <c r="W6475" s="8" t="n"/>
      <c r="X6475" s="8" t="n"/>
      <c r="Y6475" s="8" t="n"/>
    </row>
    <row r="6476">
      <c r="A6476" s="8" t="n"/>
      <c r="B6476" s="8" t="n"/>
      <c r="C6476" s="8" t="n"/>
      <c r="D6476" s="8" t="n"/>
      <c r="E6476" s="8" t="n"/>
      <c r="F6476" s="8" t="n"/>
      <c r="G6476" s="8" t="n"/>
      <c r="H6476" s="8" t="n"/>
      <c r="I6476" s="8" t="n"/>
      <c r="J6476" s="8" t="n"/>
      <c r="K6476" s="8" t="n"/>
      <c r="L6476" s="8" t="n"/>
      <c r="M6476" s="9">
        <f>B6476+30</f>
        <v/>
      </c>
      <c r="N6476">
        <f>IF(L6476="", "", L6476-B6476)</f>
        <v/>
      </c>
      <c r="O6476">
        <f>IF(L6476="", "Pending", IF(N6476&lt;=30, "Met", "Breached"))</f>
        <v/>
      </c>
      <c r="P6476" s="8" t="n"/>
      <c r="Q6476" s="8" t="n"/>
      <c r="R6476" s="8" t="n"/>
      <c r="S6476" s="8" t="n"/>
      <c r="T6476" s="8" t="n"/>
      <c r="U6476" s="8" t="n"/>
      <c r="V6476" s="8" t="n"/>
      <c r="W6476" s="8" t="n"/>
      <c r="X6476" s="8" t="n"/>
      <c r="Y6476" s="8" t="n"/>
    </row>
    <row r="6477">
      <c r="A6477" s="8" t="n"/>
      <c r="B6477" s="8" t="n"/>
      <c r="C6477" s="8" t="n"/>
      <c r="D6477" s="8" t="n"/>
      <c r="E6477" s="8" t="n"/>
      <c r="F6477" s="8" t="n"/>
      <c r="G6477" s="8" t="n"/>
      <c r="H6477" s="8" t="n"/>
      <c r="I6477" s="8" t="n"/>
      <c r="J6477" s="8" t="n"/>
      <c r="K6477" s="8" t="n"/>
      <c r="L6477" s="8" t="n"/>
      <c r="M6477" s="9">
        <f>B6477+30</f>
        <v/>
      </c>
      <c r="N6477">
        <f>IF(L6477="", "", L6477-B6477)</f>
        <v/>
      </c>
      <c r="O6477">
        <f>IF(L6477="", "Pending", IF(N6477&lt;=30, "Met", "Breached"))</f>
        <v/>
      </c>
      <c r="P6477" s="8" t="n"/>
      <c r="Q6477" s="8" t="n"/>
      <c r="R6477" s="8" t="n"/>
      <c r="S6477" s="8" t="n"/>
      <c r="T6477" s="8" t="n"/>
      <c r="U6477" s="8" t="n"/>
      <c r="V6477" s="8" t="n"/>
      <c r="W6477" s="8" t="n"/>
      <c r="X6477" s="8" t="n"/>
      <c r="Y6477" s="8" t="n"/>
    </row>
    <row r="6478">
      <c r="A6478" s="8" t="n"/>
      <c r="B6478" s="8" t="n"/>
      <c r="C6478" s="8" t="n"/>
      <c r="D6478" s="8" t="n"/>
      <c r="E6478" s="8" t="n"/>
      <c r="F6478" s="8" t="n"/>
      <c r="G6478" s="8" t="n"/>
      <c r="H6478" s="8" t="n"/>
      <c r="I6478" s="8" t="n"/>
      <c r="J6478" s="8" t="n"/>
      <c r="K6478" s="8" t="n"/>
      <c r="L6478" s="8" t="n"/>
      <c r="M6478" s="9">
        <f>B6478+30</f>
        <v/>
      </c>
      <c r="N6478">
        <f>IF(L6478="", "", L6478-B6478)</f>
        <v/>
      </c>
      <c r="O6478">
        <f>IF(L6478="", "Pending", IF(N6478&lt;=30, "Met", "Breached"))</f>
        <v/>
      </c>
      <c r="P6478" s="8" t="n"/>
      <c r="Q6478" s="8" t="n"/>
      <c r="R6478" s="8" t="n"/>
      <c r="S6478" s="8" t="n"/>
      <c r="T6478" s="8" t="n"/>
      <c r="U6478" s="8" t="n"/>
      <c r="V6478" s="8" t="n"/>
      <c r="W6478" s="8" t="n"/>
      <c r="X6478" s="8" t="n"/>
      <c r="Y6478" s="8" t="n"/>
    </row>
    <row r="6479">
      <c r="A6479" s="8" t="n"/>
      <c r="B6479" s="8" t="n"/>
      <c r="C6479" s="8" t="n"/>
      <c r="D6479" s="8" t="n"/>
      <c r="E6479" s="8" t="n"/>
      <c r="F6479" s="8" t="n"/>
      <c r="G6479" s="8" t="n"/>
      <c r="H6479" s="8" t="n"/>
      <c r="I6479" s="8" t="n"/>
      <c r="J6479" s="8" t="n"/>
      <c r="K6479" s="8" t="n"/>
      <c r="L6479" s="8" t="n"/>
      <c r="M6479" s="9">
        <f>B6479+30</f>
        <v/>
      </c>
      <c r="N6479">
        <f>IF(L6479="", "", L6479-B6479)</f>
        <v/>
      </c>
      <c r="O6479">
        <f>IF(L6479="", "Pending", IF(N6479&lt;=30, "Met", "Breached"))</f>
        <v/>
      </c>
      <c r="P6479" s="8" t="n"/>
      <c r="Q6479" s="8" t="n"/>
      <c r="R6479" s="8" t="n"/>
      <c r="S6479" s="8" t="n"/>
      <c r="T6479" s="8" t="n"/>
      <c r="U6479" s="8" t="n"/>
      <c r="V6479" s="8" t="n"/>
      <c r="W6479" s="8" t="n"/>
      <c r="X6479" s="8" t="n"/>
      <c r="Y6479" s="8" t="n"/>
    </row>
    <row r="6480">
      <c r="A6480" s="8" t="n"/>
      <c r="B6480" s="8" t="n"/>
      <c r="C6480" s="8" t="n"/>
      <c r="D6480" s="8" t="n"/>
      <c r="E6480" s="8" t="n"/>
      <c r="F6480" s="8" t="n"/>
      <c r="G6480" s="8" t="n"/>
      <c r="H6480" s="8" t="n"/>
      <c r="I6480" s="8" t="n"/>
      <c r="J6480" s="8" t="n"/>
      <c r="K6480" s="8" t="n"/>
      <c r="L6480" s="8" t="n"/>
      <c r="M6480" s="9">
        <f>B6480+30</f>
        <v/>
      </c>
      <c r="N6480">
        <f>IF(L6480="", "", L6480-B6480)</f>
        <v/>
      </c>
      <c r="O6480">
        <f>IF(L6480="", "Pending", IF(N6480&lt;=30, "Met", "Breached"))</f>
        <v/>
      </c>
      <c r="P6480" s="8" t="n"/>
      <c r="Q6480" s="8" t="n"/>
      <c r="R6480" s="8" t="n"/>
      <c r="S6480" s="8" t="n"/>
      <c r="T6480" s="8" t="n"/>
      <c r="U6480" s="8" t="n"/>
      <c r="V6480" s="8" t="n"/>
      <c r="W6480" s="8" t="n"/>
      <c r="X6480" s="8" t="n"/>
      <c r="Y6480" s="8" t="n"/>
    </row>
    <row r="6481">
      <c r="A6481" s="8" t="n"/>
      <c r="B6481" s="8" t="n"/>
      <c r="C6481" s="8" t="n"/>
      <c r="D6481" s="8" t="n"/>
      <c r="E6481" s="8" t="n"/>
      <c r="F6481" s="8" t="n"/>
      <c r="G6481" s="8" t="n"/>
      <c r="H6481" s="8" t="n"/>
      <c r="I6481" s="8" t="n"/>
      <c r="J6481" s="8" t="n"/>
      <c r="K6481" s="8" t="n"/>
      <c r="L6481" s="8" t="n"/>
      <c r="M6481" s="9">
        <f>B6481+30</f>
        <v/>
      </c>
      <c r="N6481">
        <f>IF(L6481="", "", L6481-B6481)</f>
        <v/>
      </c>
      <c r="O6481">
        <f>IF(L6481="", "Pending", IF(N6481&lt;=30, "Met", "Breached"))</f>
        <v/>
      </c>
      <c r="P6481" s="8" t="n"/>
      <c r="Q6481" s="8" t="n"/>
      <c r="R6481" s="8" t="n"/>
      <c r="S6481" s="8" t="n"/>
      <c r="T6481" s="8" t="n"/>
      <c r="U6481" s="8" t="n"/>
      <c r="V6481" s="8" t="n"/>
      <c r="W6481" s="8" t="n"/>
      <c r="X6481" s="8" t="n"/>
      <c r="Y6481" s="8" t="n"/>
    </row>
    <row r="6482">
      <c r="A6482" s="8" t="n"/>
      <c r="B6482" s="8" t="n"/>
      <c r="C6482" s="8" t="n"/>
      <c r="D6482" s="8" t="n"/>
      <c r="E6482" s="8" t="n"/>
      <c r="F6482" s="8" t="n"/>
      <c r="G6482" s="8" t="n"/>
      <c r="H6482" s="8" t="n"/>
      <c r="I6482" s="8" t="n"/>
      <c r="J6482" s="8" t="n"/>
      <c r="K6482" s="8" t="n"/>
      <c r="L6482" s="8" t="n"/>
      <c r="M6482" s="9">
        <f>B6482+30</f>
        <v/>
      </c>
      <c r="N6482">
        <f>IF(L6482="", "", L6482-B6482)</f>
        <v/>
      </c>
      <c r="O6482">
        <f>IF(L6482="", "Pending", IF(N6482&lt;=30, "Met", "Breached"))</f>
        <v/>
      </c>
      <c r="P6482" s="8" t="n"/>
      <c r="Q6482" s="8" t="n"/>
      <c r="R6482" s="8" t="n"/>
      <c r="S6482" s="8" t="n"/>
      <c r="T6482" s="8" t="n"/>
      <c r="U6482" s="8" t="n"/>
      <c r="V6482" s="8" t="n"/>
      <c r="W6482" s="8" t="n"/>
      <c r="X6482" s="8" t="n"/>
      <c r="Y6482" s="8" t="n"/>
    </row>
    <row r="6483">
      <c r="A6483" s="8" t="n"/>
      <c r="B6483" s="8" t="n"/>
      <c r="C6483" s="8" t="n"/>
      <c r="D6483" s="8" t="n"/>
      <c r="E6483" s="8" t="n"/>
      <c r="F6483" s="8" t="n"/>
      <c r="G6483" s="8" t="n"/>
      <c r="H6483" s="8" t="n"/>
      <c r="I6483" s="8" t="n"/>
      <c r="J6483" s="8" t="n"/>
      <c r="K6483" s="8" t="n"/>
      <c r="L6483" s="8" t="n"/>
      <c r="M6483" s="9">
        <f>B6483+30</f>
        <v/>
      </c>
      <c r="N6483">
        <f>IF(L6483="", "", L6483-B6483)</f>
        <v/>
      </c>
      <c r="O6483">
        <f>IF(L6483="", "Pending", IF(N6483&lt;=30, "Met", "Breached"))</f>
        <v/>
      </c>
      <c r="P6483" s="8" t="n"/>
      <c r="Q6483" s="8" t="n"/>
      <c r="R6483" s="8" t="n"/>
      <c r="S6483" s="8" t="n"/>
      <c r="T6483" s="8" t="n"/>
      <c r="U6483" s="8" t="n"/>
      <c r="V6483" s="8" t="n"/>
      <c r="W6483" s="8" t="n"/>
      <c r="X6483" s="8" t="n"/>
      <c r="Y6483" s="8" t="n"/>
    </row>
    <row r="6484">
      <c r="A6484" s="8" t="n"/>
      <c r="B6484" s="8" t="n"/>
      <c r="C6484" s="8" t="n"/>
      <c r="D6484" s="8" t="n"/>
      <c r="E6484" s="8" t="n"/>
      <c r="F6484" s="8" t="n"/>
      <c r="G6484" s="8" t="n"/>
      <c r="H6484" s="8" t="n"/>
      <c r="I6484" s="8" t="n"/>
      <c r="J6484" s="8" t="n"/>
      <c r="K6484" s="8" t="n"/>
      <c r="L6484" s="8" t="n"/>
      <c r="M6484" s="9">
        <f>B6484+30</f>
        <v/>
      </c>
      <c r="N6484">
        <f>IF(L6484="", "", L6484-B6484)</f>
        <v/>
      </c>
      <c r="O6484">
        <f>IF(L6484="", "Pending", IF(N6484&lt;=30, "Met", "Breached"))</f>
        <v/>
      </c>
      <c r="P6484" s="8" t="n"/>
      <c r="Q6484" s="8" t="n"/>
      <c r="R6484" s="8" t="n"/>
      <c r="S6484" s="8" t="n"/>
      <c r="T6484" s="8" t="n"/>
      <c r="U6484" s="8" t="n"/>
      <c r="V6484" s="8" t="n"/>
      <c r="W6484" s="8" t="n"/>
      <c r="X6484" s="8" t="n"/>
      <c r="Y6484" s="8" t="n"/>
    </row>
    <row r="6485">
      <c r="A6485" s="8" t="n"/>
      <c r="B6485" s="8" t="n"/>
      <c r="C6485" s="8" t="n"/>
      <c r="D6485" s="8" t="n"/>
      <c r="E6485" s="8" t="n"/>
      <c r="F6485" s="8" t="n"/>
      <c r="G6485" s="8" t="n"/>
      <c r="H6485" s="8" t="n"/>
      <c r="I6485" s="8" t="n"/>
      <c r="J6485" s="8" t="n"/>
      <c r="K6485" s="8" t="n"/>
      <c r="L6485" s="8" t="n"/>
      <c r="M6485" s="9">
        <f>B6485+30</f>
        <v/>
      </c>
      <c r="N6485">
        <f>IF(L6485="", "", L6485-B6485)</f>
        <v/>
      </c>
      <c r="O6485">
        <f>IF(L6485="", "Pending", IF(N6485&lt;=30, "Met", "Breached"))</f>
        <v/>
      </c>
      <c r="P6485" s="8" t="n"/>
      <c r="Q6485" s="8" t="n"/>
      <c r="R6485" s="8" t="n"/>
      <c r="S6485" s="8" t="n"/>
      <c r="T6485" s="8" t="n"/>
      <c r="U6485" s="8" t="n"/>
      <c r="V6485" s="8" t="n"/>
      <c r="W6485" s="8" t="n"/>
      <c r="X6485" s="8" t="n"/>
      <c r="Y6485" s="8" t="n"/>
    </row>
    <row r="6486">
      <c r="A6486" s="8" t="n"/>
      <c r="B6486" s="8" t="n"/>
      <c r="C6486" s="8" t="n"/>
      <c r="D6486" s="8" t="n"/>
      <c r="E6486" s="8" t="n"/>
      <c r="F6486" s="8" t="n"/>
      <c r="G6486" s="8" t="n"/>
      <c r="H6486" s="8" t="n"/>
      <c r="I6486" s="8" t="n"/>
      <c r="J6486" s="8" t="n"/>
      <c r="K6486" s="8" t="n"/>
      <c r="L6486" s="8" t="n"/>
      <c r="M6486" s="9">
        <f>B6486+30</f>
        <v/>
      </c>
      <c r="N6486">
        <f>IF(L6486="", "", L6486-B6486)</f>
        <v/>
      </c>
      <c r="O6486">
        <f>IF(L6486="", "Pending", IF(N6486&lt;=30, "Met", "Breached"))</f>
        <v/>
      </c>
      <c r="P6486" s="8" t="n"/>
      <c r="Q6486" s="8" t="n"/>
      <c r="R6486" s="8" t="n"/>
      <c r="S6486" s="8" t="n"/>
      <c r="T6486" s="8" t="n"/>
      <c r="U6486" s="8" t="n"/>
      <c r="V6486" s="8" t="n"/>
      <c r="W6486" s="8" t="n"/>
      <c r="X6486" s="8" t="n"/>
      <c r="Y6486" s="8" t="n"/>
    </row>
    <row r="6487">
      <c r="A6487" s="8" t="n"/>
      <c r="B6487" s="8" t="n"/>
      <c r="C6487" s="8" t="n"/>
      <c r="D6487" s="8" t="n"/>
      <c r="E6487" s="8" t="n"/>
      <c r="F6487" s="8" t="n"/>
      <c r="G6487" s="8" t="n"/>
      <c r="H6487" s="8" t="n"/>
      <c r="I6487" s="8" t="n"/>
      <c r="J6487" s="8" t="n"/>
      <c r="K6487" s="8" t="n"/>
      <c r="L6487" s="8" t="n"/>
      <c r="M6487" s="9">
        <f>B6487+30</f>
        <v/>
      </c>
      <c r="N6487">
        <f>IF(L6487="", "", L6487-B6487)</f>
        <v/>
      </c>
      <c r="O6487">
        <f>IF(L6487="", "Pending", IF(N6487&lt;=30, "Met", "Breached"))</f>
        <v/>
      </c>
      <c r="P6487" s="8" t="n"/>
      <c r="Q6487" s="8" t="n"/>
      <c r="R6487" s="8" t="n"/>
      <c r="S6487" s="8" t="n"/>
      <c r="T6487" s="8" t="n"/>
      <c r="U6487" s="8" t="n"/>
      <c r="V6487" s="8" t="n"/>
      <c r="W6487" s="8" t="n"/>
      <c r="X6487" s="8" t="n"/>
      <c r="Y6487" s="8" t="n"/>
    </row>
    <row r="6488">
      <c r="A6488" s="8" t="n"/>
      <c r="B6488" s="8" t="n"/>
      <c r="C6488" s="8" t="n"/>
      <c r="D6488" s="8" t="n"/>
      <c r="E6488" s="8" t="n"/>
      <c r="F6488" s="8" t="n"/>
      <c r="G6488" s="8" t="n"/>
      <c r="H6488" s="8" t="n"/>
      <c r="I6488" s="8" t="n"/>
      <c r="J6488" s="8" t="n"/>
      <c r="K6488" s="8" t="n"/>
      <c r="L6488" s="8" t="n"/>
      <c r="M6488" s="9">
        <f>B6488+30</f>
        <v/>
      </c>
      <c r="N6488">
        <f>IF(L6488="", "", L6488-B6488)</f>
        <v/>
      </c>
      <c r="O6488">
        <f>IF(L6488="", "Pending", IF(N6488&lt;=30, "Met", "Breached"))</f>
        <v/>
      </c>
      <c r="P6488" s="8" t="n"/>
      <c r="Q6488" s="8" t="n"/>
      <c r="R6488" s="8" t="n"/>
      <c r="S6488" s="8" t="n"/>
      <c r="T6488" s="8" t="n"/>
      <c r="U6488" s="8" t="n"/>
      <c r="V6488" s="8" t="n"/>
      <c r="W6488" s="8" t="n"/>
      <c r="X6488" s="8" t="n"/>
      <c r="Y6488" s="8" t="n"/>
    </row>
    <row r="6489">
      <c r="A6489" s="8" t="n"/>
      <c r="B6489" s="8" t="n"/>
      <c r="C6489" s="8" t="n"/>
      <c r="D6489" s="8" t="n"/>
      <c r="E6489" s="8" t="n"/>
      <c r="F6489" s="8" t="n"/>
      <c r="G6489" s="8" t="n"/>
      <c r="H6489" s="8" t="n"/>
      <c r="I6489" s="8" t="n"/>
      <c r="J6489" s="8" t="n"/>
      <c r="K6489" s="8" t="n"/>
      <c r="L6489" s="8" t="n"/>
      <c r="M6489" s="9">
        <f>B6489+30</f>
        <v/>
      </c>
      <c r="N6489">
        <f>IF(L6489="", "", L6489-B6489)</f>
        <v/>
      </c>
      <c r="O6489">
        <f>IF(L6489="", "Pending", IF(N6489&lt;=30, "Met", "Breached"))</f>
        <v/>
      </c>
      <c r="P6489" s="8" t="n"/>
      <c r="Q6489" s="8" t="n"/>
      <c r="R6489" s="8" t="n"/>
      <c r="S6489" s="8" t="n"/>
      <c r="T6489" s="8" t="n"/>
      <c r="U6489" s="8" t="n"/>
      <c r="V6489" s="8" t="n"/>
      <c r="W6489" s="8" t="n"/>
      <c r="X6489" s="8" t="n"/>
      <c r="Y6489" s="8" t="n"/>
    </row>
    <row r="6490">
      <c r="A6490" s="8" t="n"/>
      <c r="B6490" s="8" t="n"/>
      <c r="C6490" s="8" t="n"/>
      <c r="D6490" s="8" t="n"/>
      <c r="E6490" s="8" t="n"/>
      <c r="F6490" s="8" t="n"/>
      <c r="G6490" s="8" t="n"/>
      <c r="H6490" s="8" t="n"/>
      <c r="I6490" s="8" t="n"/>
      <c r="J6490" s="8" t="n"/>
      <c r="K6490" s="8" t="n"/>
      <c r="L6490" s="8" t="n"/>
      <c r="M6490" s="9">
        <f>B6490+30</f>
        <v/>
      </c>
      <c r="N6490">
        <f>IF(L6490="", "", L6490-B6490)</f>
        <v/>
      </c>
      <c r="O6490">
        <f>IF(L6490="", "Pending", IF(N6490&lt;=30, "Met", "Breached"))</f>
        <v/>
      </c>
      <c r="P6490" s="8" t="n"/>
      <c r="Q6490" s="8" t="n"/>
      <c r="R6490" s="8" t="n"/>
      <c r="S6490" s="8" t="n"/>
      <c r="T6490" s="8" t="n"/>
      <c r="U6490" s="8" t="n"/>
      <c r="V6490" s="8" t="n"/>
      <c r="W6490" s="8" t="n"/>
      <c r="X6490" s="8" t="n"/>
      <c r="Y6490" s="8" t="n"/>
    </row>
    <row r="6491">
      <c r="A6491" s="8" t="n"/>
      <c r="B6491" s="8" t="n"/>
      <c r="C6491" s="8" t="n"/>
      <c r="D6491" s="8" t="n"/>
      <c r="E6491" s="8" t="n"/>
      <c r="F6491" s="8" t="n"/>
      <c r="G6491" s="8" t="n"/>
      <c r="H6491" s="8" t="n"/>
      <c r="I6491" s="8" t="n"/>
      <c r="J6491" s="8" t="n"/>
      <c r="K6491" s="8" t="n"/>
      <c r="L6491" s="8" t="n"/>
      <c r="M6491" s="9">
        <f>B6491+30</f>
        <v/>
      </c>
      <c r="N6491">
        <f>IF(L6491="", "", L6491-B6491)</f>
        <v/>
      </c>
      <c r="O6491">
        <f>IF(L6491="", "Pending", IF(N6491&lt;=30, "Met", "Breached"))</f>
        <v/>
      </c>
      <c r="P6491" s="8" t="n"/>
      <c r="Q6491" s="8" t="n"/>
      <c r="R6491" s="8" t="n"/>
      <c r="S6491" s="8" t="n"/>
      <c r="T6491" s="8" t="n"/>
      <c r="U6491" s="8" t="n"/>
      <c r="V6491" s="8" t="n"/>
      <c r="W6491" s="8" t="n"/>
      <c r="X6491" s="8" t="n"/>
      <c r="Y6491" s="8" t="n"/>
    </row>
    <row r="6492">
      <c r="A6492" s="8" t="n"/>
      <c r="B6492" s="8" t="n"/>
      <c r="C6492" s="8" t="n"/>
      <c r="D6492" s="8" t="n"/>
      <c r="E6492" s="8" t="n"/>
      <c r="F6492" s="8" t="n"/>
      <c r="G6492" s="8" t="n"/>
      <c r="H6492" s="8" t="n"/>
      <c r="I6492" s="8" t="n"/>
      <c r="J6492" s="8" t="n"/>
      <c r="K6492" s="8" t="n"/>
      <c r="L6492" s="8" t="n"/>
      <c r="M6492" s="9">
        <f>B6492+30</f>
        <v/>
      </c>
      <c r="N6492">
        <f>IF(L6492="", "", L6492-B6492)</f>
        <v/>
      </c>
      <c r="O6492">
        <f>IF(L6492="", "Pending", IF(N6492&lt;=30, "Met", "Breached"))</f>
        <v/>
      </c>
      <c r="P6492" s="8" t="n"/>
      <c r="Q6492" s="8" t="n"/>
      <c r="R6492" s="8" t="n"/>
      <c r="S6492" s="8" t="n"/>
      <c r="T6492" s="8" t="n"/>
      <c r="U6492" s="8" t="n"/>
      <c r="V6492" s="8" t="n"/>
      <c r="W6492" s="8" t="n"/>
      <c r="X6492" s="8" t="n"/>
      <c r="Y6492" s="8" t="n"/>
    </row>
    <row r="6493">
      <c r="A6493" s="8" t="n"/>
      <c r="B6493" s="8" t="n"/>
      <c r="C6493" s="8" t="n"/>
      <c r="D6493" s="8" t="n"/>
      <c r="E6493" s="8" t="n"/>
      <c r="F6493" s="8" t="n"/>
      <c r="G6493" s="8" t="n"/>
      <c r="H6493" s="8" t="n"/>
      <c r="I6493" s="8" t="n"/>
      <c r="J6493" s="8" t="n"/>
      <c r="K6493" s="8" t="n"/>
      <c r="L6493" s="8" t="n"/>
      <c r="M6493" s="9">
        <f>B6493+30</f>
        <v/>
      </c>
      <c r="N6493">
        <f>IF(L6493="", "", L6493-B6493)</f>
        <v/>
      </c>
      <c r="O6493">
        <f>IF(L6493="", "Pending", IF(N6493&lt;=30, "Met", "Breached"))</f>
        <v/>
      </c>
      <c r="P6493" s="8" t="n"/>
      <c r="Q6493" s="8" t="n"/>
      <c r="R6493" s="8" t="n"/>
      <c r="S6493" s="8" t="n"/>
      <c r="T6493" s="8" t="n"/>
      <c r="U6493" s="8" t="n"/>
      <c r="V6493" s="8" t="n"/>
      <c r="W6493" s="8" t="n"/>
      <c r="X6493" s="8" t="n"/>
      <c r="Y6493" s="8" t="n"/>
    </row>
    <row r="6494">
      <c r="A6494" s="8" t="n"/>
      <c r="B6494" s="8" t="n"/>
      <c r="C6494" s="8" t="n"/>
      <c r="D6494" s="8" t="n"/>
      <c r="E6494" s="8" t="n"/>
      <c r="F6494" s="8" t="n"/>
      <c r="G6494" s="8" t="n"/>
      <c r="H6494" s="8" t="n"/>
      <c r="I6494" s="8" t="n"/>
      <c r="J6494" s="8" t="n"/>
      <c r="K6494" s="8" t="n"/>
      <c r="L6494" s="8" t="n"/>
      <c r="M6494" s="9">
        <f>B6494+30</f>
        <v/>
      </c>
      <c r="N6494">
        <f>IF(L6494="", "", L6494-B6494)</f>
        <v/>
      </c>
      <c r="O6494">
        <f>IF(L6494="", "Pending", IF(N6494&lt;=30, "Met", "Breached"))</f>
        <v/>
      </c>
      <c r="P6494" s="8" t="n"/>
      <c r="Q6494" s="8" t="n"/>
      <c r="R6494" s="8" t="n"/>
      <c r="S6494" s="8" t="n"/>
      <c r="T6494" s="8" t="n"/>
      <c r="U6494" s="8" t="n"/>
      <c r="V6494" s="8" t="n"/>
      <c r="W6494" s="8" t="n"/>
      <c r="X6494" s="8" t="n"/>
      <c r="Y6494" s="8" t="n"/>
    </row>
    <row r="6495">
      <c r="A6495" s="8" t="n"/>
      <c r="B6495" s="8" t="n"/>
      <c r="C6495" s="8" t="n"/>
      <c r="D6495" s="8" t="n"/>
      <c r="E6495" s="8" t="n"/>
      <c r="F6495" s="8" t="n"/>
      <c r="G6495" s="8" t="n"/>
      <c r="H6495" s="8" t="n"/>
      <c r="I6495" s="8" t="n"/>
      <c r="J6495" s="8" t="n"/>
      <c r="K6495" s="8" t="n"/>
      <c r="L6495" s="8" t="n"/>
      <c r="M6495" s="9">
        <f>B6495+30</f>
        <v/>
      </c>
      <c r="N6495">
        <f>IF(L6495="", "", L6495-B6495)</f>
        <v/>
      </c>
      <c r="O6495">
        <f>IF(L6495="", "Pending", IF(N6495&lt;=30, "Met", "Breached"))</f>
        <v/>
      </c>
      <c r="P6495" s="8" t="n"/>
      <c r="Q6495" s="8" t="n"/>
      <c r="R6495" s="8" t="n"/>
      <c r="S6495" s="8" t="n"/>
      <c r="T6495" s="8" t="n"/>
      <c r="U6495" s="8" t="n"/>
      <c r="V6495" s="8" t="n"/>
      <c r="W6495" s="8" t="n"/>
      <c r="X6495" s="8" t="n"/>
      <c r="Y6495" s="8" t="n"/>
    </row>
    <row r="6496">
      <c r="A6496" s="8" t="n"/>
      <c r="B6496" s="8" t="n"/>
      <c r="C6496" s="8" t="n"/>
      <c r="D6496" s="8" t="n"/>
      <c r="E6496" s="8" t="n"/>
      <c r="F6496" s="8" t="n"/>
      <c r="G6496" s="8" t="n"/>
      <c r="H6496" s="8" t="n"/>
      <c r="I6496" s="8" t="n"/>
      <c r="J6496" s="8" t="n"/>
      <c r="K6496" s="8" t="n"/>
      <c r="L6496" s="8" t="n"/>
      <c r="M6496" s="9">
        <f>B6496+30</f>
        <v/>
      </c>
      <c r="N6496">
        <f>IF(L6496="", "", L6496-B6496)</f>
        <v/>
      </c>
      <c r="O6496">
        <f>IF(L6496="", "Pending", IF(N6496&lt;=30, "Met", "Breached"))</f>
        <v/>
      </c>
      <c r="P6496" s="8" t="n"/>
      <c r="Q6496" s="8" t="n"/>
      <c r="R6496" s="8" t="n"/>
      <c r="S6496" s="8" t="n"/>
      <c r="T6496" s="8" t="n"/>
      <c r="U6496" s="8" t="n"/>
      <c r="V6496" s="8" t="n"/>
      <c r="W6496" s="8" t="n"/>
      <c r="X6496" s="8" t="n"/>
      <c r="Y6496" s="8" t="n"/>
    </row>
    <row r="6497">
      <c r="A6497" s="8" t="n"/>
      <c r="B6497" s="8" t="n"/>
      <c r="C6497" s="8" t="n"/>
      <c r="D6497" s="8" t="n"/>
      <c r="E6497" s="8" t="n"/>
      <c r="F6497" s="8" t="n"/>
      <c r="G6497" s="8" t="n"/>
      <c r="H6497" s="8" t="n"/>
      <c r="I6497" s="8" t="n"/>
      <c r="J6497" s="8" t="n"/>
      <c r="K6497" s="8" t="n"/>
      <c r="L6497" s="8" t="n"/>
      <c r="M6497" s="9">
        <f>B6497+30</f>
        <v/>
      </c>
      <c r="N6497">
        <f>IF(L6497="", "", L6497-B6497)</f>
        <v/>
      </c>
      <c r="O6497">
        <f>IF(L6497="", "Pending", IF(N6497&lt;=30, "Met", "Breached"))</f>
        <v/>
      </c>
      <c r="P6497" s="8" t="n"/>
      <c r="Q6497" s="8" t="n"/>
      <c r="R6497" s="8" t="n"/>
      <c r="S6497" s="8" t="n"/>
      <c r="T6497" s="8" t="n"/>
      <c r="U6497" s="8" t="n"/>
      <c r="V6497" s="8" t="n"/>
      <c r="W6497" s="8" t="n"/>
      <c r="X6497" s="8" t="n"/>
      <c r="Y6497" s="8" t="n"/>
    </row>
    <row r="6498">
      <c r="A6498" s="8" t="n"/>
      <c r="B6498" s="8" t="n"/>
      <c r="C6498" s="8" t="n"/>
      <c r="D6498" s="8" t="n"/>
      <c r="E6498" s="8" t="n"/>
      <c r="F6498" s="8" t="n"/>
      <c r="G6498" s="8" t="n"/>
      <c r="H6498" s="8" t="n"/>
      <c r="I6498" s="8" t="n"/>
      <c r="J6498" s="8" t="n"/>
      <c r="K6498" s="8" t="n"/>
      <c r="L6498" s="8" t="n"/>
      <c r="M6498" s="9">
        <f>B6498+30</f>
        <v/>
      </c>
      <c r="N6498">
        <f>IF(L6498="", "", L6498-B6498)</f>
        <v/>
      </c>
      <c r="O6498">
        <f>IF(L6498="", "Pending", IF(N6498&lt;=30, "Met", "Breached"))</f>
        <v/>
      </c>
      <c r="P6498" s="8" t="n"/>
      <c r="Q6498" s="8" t="n"/>
      <c r="R6498" s="8" t="n"/>
      <c r="S6498" s="8" t="n"/>
      <c r="T6498" s="8" t="n"/>
      <c r="U6498" s="8" t="n"/>
      <c r="V6498" s="8" t="n"/>
      <c r="W6498" s="8" t="n"/>
      <c r="X6498" s="8" t="n"/>
      <c r="Y6498" s="8" t="n"/>
    </row>
    <row r="6499">
      <c r="A6499" s="8" t="n"/>
      <c r="B6499" s="8" t="n"/>
      <c r="C6499" s="8" t="n"/>
      <c r="D6499" s="8" t="n"/>
      <c r="E6499" s="8" t="n"/>
      <c r="F6499" s="8" t="n"/>
      <c r="G6499" s="8" t="n"/>
      <c r="H6499" s="8" t="n"/>
      <c r="I6499" s="8" t="n"/>
      <c r="J6499" s="8" t="n"/>
      <c r="K6499" s="8" t="n"/>
      <c r="L6499" s="8" t="n"/>
      <c r="M6499" s="9">
        <f>B6499+30</f>
        <v/>
      </c>
      <c r="N6499">
        <f>IF(L6499="", "", L6499-B6499)</f>
        <v/>
      </c>
      <c r="O6499">
        <f>IF(L6499="", "Pending", IF(N6499&lt;=30, "Met", "Breached"))</f>
        <v/>
      </c>
      <c r="P6499" s="8" t="n"/>
      <c r="Q6499" s="8" t="n"/>
      <c r="R6499" s="8" t="n"/>
      <c r="S6499" s="8" t="n"/>
      <c r="T6499" s="8" t="n"/>
      <c r="U6499" s="8" t="n"/>
      <c r="V6499" s="8" t="n"/>
      <c r="W6499" s="8" t="n"/>
      <c r="X6499" s="8" t="n"/>
      <c r="Y6499" s="8" t="n"/>
    </row>
    <row r="6500">
      <c r="A6500" s="8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8" t="n"/>
      <c r="K6500" s="8" t="n"/>
      <c r="L6500" s="8" t="n"/>
      <c r="M6500" s="9">
        <f>B6500+30</f>
        <v/>
      </c>
      <c r="N6500">
        <f>IF(L6500="", "", L6500-B6500)</f>
        <v/>
      </c>
      <c r="O6500">
        <f>IF(L6500="", "Pending", IF(N6500&lt;=30, "Met", "Breached"))</f>
        <v/>
      </c>
      <c r="P6500" s="8" t="n"/>
      <c r="Q6500" s="8" t="n"/>
      <c r="R6500" s="8" t="n"/>
      <c r="S6500" s="8" t="n"/>
      <c r="T6500" s="8" t="n"/>
      <c r="U6500" s="8" t="n"/>
      <c r="V6500" s="8" t="n"/>
      <c r="W6500" s="8" t="n"/>
      <c r="X6500" s="8" t="n"/>
      <c r="Y6500" s="8" t="n"/>
    </row>
    <row r="6501">
      <c r="A6501" s="8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8" t="n"/>
      <c r="K6501" s="8" t="n"/>
      <c r="L6501" s="8" t="n"/>
      <c r="M6501" s="9">
        <f>B6501+30</f>
        <v/>
      </c>
      <c r="N6501">
        <f>IF(L6501="", "", L6501-B6501)</f>
        <v/>
      </c>
      <c r="O6501">
        <f>IF(L6501="", "Pending", IF(N6501&lt;=30, "Met", "Breached"))</f>
        <v/>
      </c>
      <c r="P6501" s="8" t="n"/>
      <c r="Q6501" s="8" t="n"/>
      <c r="R6501" s="8" t="n"/>
      <c r="S6501" s="8" t="n"/>
      <c r="T6501" s="8" t="n"/>
      <c r="U6501" s="8" t="n"/>
      <c r="V6501" s="8" t="n"/>
      <c r="W6501" s="8" t="n"/>
      <c r="X6501" s="8" t="n"/>
      <c r="Y6501" s="8" t="n"/>
    </row>
    <row r="6502">
      <c r="A6502" s="8" t="n"/>
      <c r="B6502" s="8" t="n"/>
      <c r="C6502" s="8" t="n"/>
      <c r="D6502" s="8" t="n"/>
      <c r="E6502" s="8" t="n"/>
      <c r="F6502" s="8" t="n"/>
      <c r="G6502" s="8" t="n"/>
      <c r="H6502" s="8" t="n"/>
      <c r="I6502" s="8" t="n"/>
      <c r="J6502" s="8" t="n"/>
      <c r="K6502" s="8" t="n"/>
      <c r="L6502" s="8" t="n"/>
      <c r="M6502" s="9">
        <f>B6502+30</f>
        <v/>
      </c>
      <c r="N6502">
        <f>IF(L6502="", "", L6502-B6502)</f>
        <v/>
      </c>
      <c r="O6502">
        <f>IF(L6502="", "Pending", IF(N6502&lt;=30, "Met", "Breached"))</f>
        <v/>
      </c>
      <c r="P6502" s="8" t="n"/>
      <c r="Q6502" s="8" t="n"/>
      <c r="R6502" s="8" t="n"/>
      <c r="S6502" s="8" t="n"/>
      <c r="T6502" s="8" t="n"/>
      <c r="U6502" s="8" t="n"/>
      <c r="V6502" s="8" t="n"/>
      <c r="W6502" s="8" t="n"/>
      <c r="X6502" s="8" t="n"/>
      <c r="Y6502" s="8" t="n"/>
    </row>
    <row r="6503">
      <c r="A6503" s="8" t="n"/>
      <c r="B6503" s="8" t="n"/>
      <c r="C6503" s="8" t="n"/>
      <c r="D6503" s="8" t="n"/>
      <c r="E6503" s="8" t="n"/>
      <c r="F6503" s="8" t="n"/>
      <c r="G6503" s="8" t="n"/>
      <c r="H6503" s="8" t="n"/>
      <c r="I6503" s="8" t="n"/>
      <c r="J6503" s="8" t="n"/>
      <c r="K6503" s="8" t="n"/>
      <c r="L6503" s="8" t="n"/>
      <c r="M6503" s="9">
        <f>B6503+30</f>
        <v/>
      </c>
      <c r="N6503">
        <f>IF(L6503="", "", L6503-B6503)</f>
        <v/>
      </c>
      <c r="O6503">
        <f>IF(L6503="", "Pending", IF(N6503&lt;=30, "Met", "Breached"))</f>
        <v/>
      </c>
      <c r="P6503" s="8" t="n"/>
      <c r="Q6503" s="8" t="n"/>
      <c r="R6503" s="8" t="n"/>
      <c r="S6503" s="8" t="n"/>
      <c r="T6503" s="8" t="n"/>
      <c r="U6503" s="8" t="n"/>
      <c r="V6503" s="8" t="n"/>
      <c r="W6503" s="8" t="n"/>
      <c r="X6503" s="8" t="n"/>
      <c r="Y6503" s="8" t="n"/>
    </row>
    <row r="6504">
      <c r="A6504" s="8" t="n"/>
      <c r="B6504" s="8" t="n"/>
      <c r="C6504" s="8" t="n"/>
      <c r="D6504" s="8" t="n"/>
      <c r="E6504" s="8" t="n"/>
      <c r="F6504" s="8" t="n"/>
      <c r="G6504" s="8" t="n"/>
      <c r="H6504" s="8" t="n"/>
      <c r="I6504" s="8" t="n"/>
      <c r="J6504" s="8" t="n"/>
      <c r="K6504" s="8" t="n"/>
      <c r="L6504" s="8" t="n"/>
      <c r="M6504" s="9">
        <f>B6504+30</f>
        <v/>
      </c>
      <c r="N6504">
        <f>IF(L6504="", "", L6504-B6504)</f>
        <v/>
      </c>
      <c r="O6504">
        <f>IF(L6504="", "Pending", IF(N6504&lt;=30, "Met", "Breached"))</f>
        <v/>
      </c>
      <c r="P6504" s="8" t="n"/>
      <c r="Q6504" s="8" t="n"/>
      <c r="R6504" s="8" t="n"/>
      <c r="S6504" s="8" t="n"/>
      <c r="T6504" s="8" t="n"/>
      <c r="U6504" s="8" t="n"/>
      <c r="V6504" s="8" t="n"/>
      <c r="W6504" s="8" t="n"/>
      <c r="X6504" s="8" t="n"/>
      <c r="Y6504" s="8" t="n"/>
    </row>
    <row r="6505">
      <c r="A6505" s="8" t="n"/>
      <c r="B6505" s="8" t="n"/>
      <c r="C6505" s="8" t="n"/>
      <c r="D6505" s="8" t="n"/>
      <c r="E6505" s="8" t="n"/>
      <c r="F6505" s="8" t="n"/>
      <c r="G6505" s="8" t="n"/>
      <c r="H6505" s="8" t="n"/>
      <c r="I6505" s="8" t="n"/>
      <c r="J6505" s="8" t="n"/>
      <c r="K6505" s="8" t="n"/>
      <c r="L6505" s="8" t="n"/>
      <c r="M6505" s="9">
        <f>B6505+30</f>
        <v/>
      </c>
      <c r="N6505">
        <f>IF(L6505="", "", L6505-B6505)</f>
        <v/>
      </c>
      <c r="O6505">
        <f>IF(L6505="", "Pending", IF(N6505&lt;=30, "Met", "Breached"))</f>
        <v/>
      </c>
      <c r="P6505" s="8" t="n"/>
      <c r="Q6505" s="8" t="n"/>
      <c r="R6505" s="8" t="n"/>
      <c r="S6505" s="8" t="n"/>
      <c r="T6505" s="8" t="n"/>
      <c r="U6505" s="8" t="n"/>
      <c r="V6505" s="8" t="n"/>
      <c r="W6505" s="8" t="n"/>
      <c r="X6505" s="8" t="n"/>
      <c r="Y6505" s="8" t="n"/>
    </row>
    <row r="6506">
      <c r="A6506" s="8" t="n"/>
      <c r="B6506" s="8" t="n"/>
      <c r="C6506" s="8" t="n"/>
      <c r="D6506" s="8" t="n"/>
      <c r="E6506" s="8" t="n"/>
      <c r="F6506" s="8" t="n"/>
      <c r="G6506" s="8" t="n"/>
      <c r="H6506" s="8" t="n"/>
      <c r="I6506" s="8" t="n"/>
      <c r="J6506" s="8" t="n"/>
      <c r="K6506" s="8" t="n"/>
      <c r="L6506" s="8" t="n"/>
      <c r="M6506" s="9">
        <f>B6506+30</f>
        <v/>
      </c>
      <c r="N6506">
        <f>IF(L6506="", "", L6506-B6506)</f>
        <v/>
      </c>
      <c r="O6506">
        <f>IF(L6506="", "Pending", IF(N6506&lt;=30, "Met", "Breached"))</f>
        <v/>
      </c>
      <c r="P6506" s="8" t="n"/>
      <c r="Q6506" s="8" t="n"/>
      <c r="R6506" s="8" t="n"/>
      <c r="S6506" s="8" t="n"/>
      <c r="T6506" s="8" t="n"/>
      <c r="U6506" s="8" t="n"/>
      <c r="V6506" s="8" t="n"/>
      <c r="W6506" s="8" t="n"/>
      <c r="X6506" s="8" t="n"/>
      <c r="Y6506" s="8" t="n"/>
    </row>
    <row r="6507">
      <c r="A6507" s="8" t="n"/>
      <c r="B6507" s="8" t="n"/>
      <c r="C6507" s="8" t="n"/>
      <c r="D6507" s="8" t="n"/>
      <c r="E6507" s="8" t="n"/>
      <c r="F6507" s="8" t="n"/>
      <c r="G6507" s="8" t="n"/>
      <c r="H6507" s="8" t="n"/>
      <c r="I6507" s="8" t="n"/>
      <c r="J6507" s="8" t="n"/>
      <c r="K6507" s="8" t="n"/>
      <c r="L6507" s="8" t="n"/>
      <c r="M6507" s="9">
        <f>B6507+30</f>
        <v/>
      </c>
      <c r="N6507">
        <f>IF(L6507="", "", L6507-B6507)</f>
        <v/>
      </c>
      <c r="O6507">
        <f>IF(L6507="", "Pending", IF(N6507&lt;=30, "Met", "Breached"))</f>
        <v/>
      </c>
      <c r="P6507" s="8" t="n"/>
      <c r="Q6507" s="8" t="n"/>
      <c r="R6507" s="8" t="n"/>
      <c r="S6507" s="8" t="n"/>
      <c r="T6507" s="8" t="n"/>
      <c r="U6507" s="8" t="n"/>
      <c r="V6507" s="8" t="n"/>
      <c r="W6507" s="8" t="n"/>
      <c r="X6507" s="8" t="n"/>
      <c r="Y6507" s="8" t="n"/>
    </row>
    <row r="6508">
      <c r="A6508" s="8" t="n"/>
      <c r="B6508" s="8" t="n"/>
      <c r="C6508" s="8" t="n"/>
      <c r="D6508" s="8" t="n"/>
      <c r="E6508" s="8" t="n"/>
      <c r="F6508" s="8" t="n"/>
      <c r="G6508" s="8" t="n"/>
      <c r="H6508" s="8" t="n"/>
      <c r="I6508" s="8" t="n"/>
      <c r="J6508" s="8" t="n"/>
      <c r="K6508" s="8" t="n"/>
      <c r="L6508" s="8" t="n"/>
      <c r="M6508" s="9">
        <f>B6508+30</f>
        <v/>
      </c>
      <c r="N6508">
        <f>IF(L6508="", "", L6508-B6508)</f>
        <v/>
      </c>
      <c r="O6508">
        <f>IF(L6508="", "Pending", IF(N6508&lt;=30, "Met", "Breached"))</f>
        <v/>
      </c>
      <c r="P6508" s="8" t="n"/>
      <c r="Q6508" s="8" t="n"/>
      <c r="R6508" s="8" t="n"/>
      <c r="S6508" s="8" t="n"/>
      <c r="T6508" s="8" t="n"/>
      <c r="U6508" s="8" t="n"/>
      <c r="V6508" s="8" t="n"/>
      <c r="W6508" s="8" t="n"/>
      <c r="X6508" s="8" t="n"/>
      <c r="Y6508" s="8" t="n"/>
    </row>
    <row r="6509">
      <c r="A6509" s="8" t="n"/>
      <c r="B6509" s="8" t="n"/>
      <c r="C6509" s="8" t="n"/>
      <c r="D6509" s="8" t="n"/>
      <c r="E6509" s="8" t="n"/>
      <c r="F6509" s="8" t="n"/>
      <c r="G6509" s="8" t="n"/>
      <c r="H6509" s="8" t="n"/>
      <c r="I6509" s="8" t="n"/>
      <c r="J6509" s="8" t="n"/>
      <c r="K6509" s="8" t="n"/>
      <c r="L6509" s="8" t="n"/>
      <c r="M6509" s="9">
        <f>B6509+30</f>
        <v/>
      </c>
      <c r="N6509">
        <f>IF(L6509="", "", L6509-B6509)</f>
        <v/>
      </c>
      <c r="O6509">
        <f>IF(L6509="", "Pending", IF(N6509&lt;=30, "Met", "Breached"))</f>
        <v/>
      </c>
      <c r="P6509" s="8" t="n"/>
      <c r="Q6509" s="8" t="n"/>
      <c r="R6509" s="8" t="n"/>
      <c r="S6509" s="8" t="n"/>
      <c r="T6509" s="8" t="n"/>
      <c r="U6509" s="8" t="n"/>
      <c r="V6509" s="8" t="n"/>
      <c r="W6509" s="8" t="n"/>
      <c r="X6509" s="8" t="n"/>
      <c r="Y6509" s="8" t="n"/>
    </row>
    <row r="6510">
      <c r="A6510" s="8" t="n"/>
      <c r="B6510" s="8" t="n"/>
      <c r="C6510" s="8" t="n"/>
      <c r="D6510" s="8" t="n"/>
      <c r="E6510" s="8" t="n"/>
      <c r="F6510" s="8" t="n"/>
      <c r="G6510" s="8" t="n"/>
      <c r="H6510" s="8" t="n"/>
      <c r="I6510" s="8" t="n"/>
      <c r="J6510" s="8" t="n"/>
      <c r="K6510" s="8" t="n"/>
      <c r="L6510" s="8" t="n"/>
      <c r="M6510" s="9">
        <f>B6510+30</f>
        <v/>
      </c>
      <c r="N6510">
        <f>IF(L6510="", "", L6510-B6510)</f>
        <v/>
      </c>
      <c r="O6510">
        <f>IF(L6510="", "Pending", IF(N6510&lt;=30, "Met", "Breached"))</f>
        <v/>
      </c>
      <c r="P6510" s="8" t="n"/>
      <c r="Q6510" s="8" t="n"/>
      <c r="R6510" s="8" t="n"/>
      <c r="S6510" s="8" t="n"/>
      <c r="T6510" s="8" t="n"/>
      <c r="U6510" s="8" t="n"/>
      <c r="V6510" s="8" t="n"/>
      <c r="W6510" s="8" t="n"/>
      <c r="X6510" s="8" t="n"/>
      <c r="Y6510" s="8" t="n"/>
    </row>
    <row r="6511">
      <c r="A6511" s="8" t="n"/>
      <c r="B6511" s="8" t="n"/>
      <c r="C6511" s="8" t="n"/>
      <c r="D6511" s="8" t="n"/>
      <c r="E6511" s="8" t="n"/>
      <c r="F6511" s="8" t="n"/>
      <c r="G6511" s="8" t="n"/>
      <c r="H6511" s="8" t="n"/>
      <c r="I6511" s="8" t="n"/>
      <c r="J6511" s="8" t="n"/>
      <c r="K6511" s="8" t="n"/>
      <c r="L6511" s="8" t="n"/>
      <c r="M6511" s="9">
        <f>B6511+30</f>
        <v/>
      </c>
      <c r="N6511">
        <f>IF(L6511="", "", L6511-B6511)</f>
        <v/>
      </c>
      <c r="O6511">
        <f>IF(L6511="", "Pending", IF(N6511&lt;=30, "Met", "Breached"))</f>
        <v/>
      </c>
      <c r="P6511" s="8" t="n"/>
      <c r="Q6511" s="8" t="n"/>
      <c r="R6511" s="8" t="n"/>
      <c r="S6511" s="8" t="n"/>
      <c r="T6511" s="8" t="n"/>
      <c r="U6511" s="8" t="n"/>
      <c r="V6511" s="8" t="n"/>
      <c r="W6511" s="8" t="n"/>
      <c r="X6511" s="8" t="n"/>
      <c r="Y6511" s="8" t="n"/>
    </row>
    <row r="6512">
      <c r="A6512" s="8" t="n"/>
      <c r="B6512" s="8" t="n"/>
      <c r="C6512" s="8" t="n"/>
      <c r="D6512" s="8" t="n"/>
      <c r="E6512" s="8" t="n"/>
      <c r="F6512" s="8" t="n"/>
      <c r="G6512" s="8" t="n"/>
      <c r="H6512" s="8" t="n"/>
      <c r="I6512" s="8" t="n"/>
      <c r="J6512" s="8" t="n"/>
      <c r="K6512" s="8" t="n"/>
      <c r="L6512" s="8" t="n"/>
      <c r="M6512" s="9">
        <f>B6512+30</f>
        <v/>
      </c>
      <c r="N6512">
        <f>IF(L6512="", "", L6512-B6512)</f>
        <v/>
      </c>
      <c r="O6512">
        <f>IF(L6512="", "Pending", IF(N6512&lt;=30, "Met", "Breached"))</f>
        <v/>
      </c>
      <c r="P6512" s="8" t="n"/>
      <c r="Q6512" s="8" t="n"/>
      <c r="R6512" s="8" t="n"/>
      <c r="S6512" s="8" t="n"/>
      <c r="T6512" s="8" t="n"/>
      <c r="U6512" s="8" t="n"/>
      <c r="V6512" s="8" t="n"/>
      <c r="W6512" s="8" t="n"/>
      <c r="X6512" s="8" t="n"/>
      <c r="Y6512" s="8" t="n"/>
    </row>
    <row r="6513">
      <c r="A6513" s="8" t="n"/>
      <c r="B6513" s="8" t="n"/>
      <c r="C6513" s="8" t="n"/>
      <c r="D6513" s="8" t="n"/>
      <c r="E6513" s="8" t="n"/>
      <c r="F6513" s="8" t="n"/>
      <c r="G6513" s="8" t="n"/>
      <c r="H6513" s="8" t="n"/>
      <c r="I6513" s="8" t="n"/>
      <c r="J6513" s="8" t="n"/>
      <c r="K6513" s="8" t="n"/>
      <c r="L6513" s="8" t="n"/>
      <c r="M6513" s="9">
        <f>B6513+30</f>
        <v/>
      </c>
      <c r="N6513">
        <f>IF(L6513="", "", L6513-B6513)</f>
        <v/>
      </c>
      <c r="O6513">
        <f>IF(L6513="", "Pending", IF(N6513&lt;=30, "Met", "Breached"))</f>
        <v/>
      </c>
      <c r="P6513" s="8" t="n"/>
      <c r="Q6513" s="8" t="n"/>
      <c r="R6513" s="8" t="n"/>
      <c r="S6513" s="8" t="n"/>
      <c r="T6513" s="8" t="n"/>
      <c r="U6513" s="8" t="n"/>
      <c r="V6513" s="8" t="n"/>
      <c r="W6513" s="8" t="n"/>
      <c r="X6513" s="8" t="n"/>
      <c r="Y6513" s="8" t="n"/>
    </row>
    <row r="6514">
      <c r="A6514" s="8" t="n"/>
      <c r="B6514" s="8" t="n"/>
      <c r="C6514" s="8" t="n"/>
      <c r="D6514" s="8" t="n"/>
      <c r="E6514" s="8" t="n"/>
      <c r="F6514" s="8" t="n"/>
      <c r="G6514" s="8" t="n"/>
      <c r="H6514" s="8" t="n"/>
      <c r="I6514" s="8" t="n"/>
      <c r="J6514" s="8" t="n"/>
      <c r="K6514" s="8" t="n"/>
      <c r="L6514" s="8" t="n"/>
      <c r="M6514" s="9">
        <f>B6514+30</f>
        <v/>
      </c>
      <c r="N6514">
        <f>IF(L6514="", "", L6514-B6514)</f>
        <v/>
      </c>
      <c r="O6514">
        <f>IF(L6514="", "Pending", IF(N6514&lt;=30, "Met", "Breached"))</f>
        <v/>
      </c>
      <c r="P6514" s="8" t="n"/>
      <c r="Q6514" s="8" t="n"/>
      <c r="R6514" s="8" t="n"/>
      <c r="S6514" s="8" t="n"/>
      <c r="T6514" s="8" t="n"/>
      <c r="U6514" s="8" t="n"/>
      <c r="V6514" s="8" t="n"/>
      <c r="W6514" s="8" t="n"/>
      <c r="X6514" s="8" t="n"/>
      <c r="Y6514" s="8" t="n"/>
    </row>
    <row r="6515">
      <c r="A6515" s="8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8" t="n"/>
      <c r="K6515" s="8" t="n"/>
      <c r="L6515" s="8" t="n"/>
      <c r="M6515" s="9">
        <f>B6515+30</f>
        <v/>
      </c>
      <c r="N6515">
        <f>IF(L6515="", "", L6515-B6515)</f>
        <v/>
      </c>
      <c r="O6515">
        <f>IF(L6515="", "Pending", IF(N6515&lt;=30, "Met", "Breached"))</f>
        <v/>
      </c>
      <c r="P6515" s="8" t="n"/>
      <c r="Q6515" s="8" t="n"/>
      <c r="R6515" s="8" t="n"/>
      <c r="S6515" s="8" t="n"/>
      <c r="T6515" s="8" t="n"/>
      <c r="U6515" s="8" t="n"/>
      <c r="V6515" s="8" t="n"/>
      <c r="W6515" s="8" t="n"/>
      <c r="X6515" s="8" t="n"/>
      <c r="Y6515" s="8" t="n"/>
    </row>
    <row r="6516">
      <c r="A6516" s="8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8" t="n"/>
      <c r="K6516" s="8" t="n"/>
      <c r="L6516" s="8" t="n"/>
      <c r="M6516" s="9">
        <f>B6516+30</f>
        <v/>
      </c>
      <c r="N6516">
        <f>IF(L6516="", "", L6516-B6516)</f>
        <v/>
      </c>
      <c r="O6516">
        <f>IF(L6516="", "Pending", IF(N6516&lt;=30, "Met", "Breached"))</f>
        <v/>
      </c>
      <c r="P6516" s="8" t="n"/>
      <c r="Q6516" s="8" t="n"/>
      <c r="R6516" s="8" t="n"/>
      <c r="S6516" s="8" t="n"/>
      <c r="T6516" s="8" t="n"/>
      <c r="U6516" s="8" t="n"/>
      <c r="V6516" s="8" t="n"/>
      <c r="W6516" s="8" t="n"/>
      <c r="X6516" s="8" t="n"/>
      <c r="Y6516" s="8" t="n"/>
    </row>
    <row r="6517">
      <c r="A6517" s="8" t="n"/>
      <c r="B6517" s="8" t="n"/>
      <c r="C6517" s="8" t="n"/>
      <c r="D6517" s="8" t="n"/>
      <c r="E6517" s="8" t="n"/>
      <c r="F6517" s="8" t="n"/>
      <c r="G6517" s="8" t="n"/>
      <c r="H6517" s="8" t="n"/>
      <c r="I6517" s="8" t="n"/>
      <c r="J6517" s="8" t="n"/>
      <c r="K6517" s="8" t="n"/>
      <c r="L6517" s="8" t="n"/>
      <c r="M6517" s="9">
        <f>B6517+30</f>
        <v/>
      </c>
      <c r="N6517">
        <f>IF(L6517="", "", L6517-B6517)</f>
        <v/>
      </c>
      <c r="O6517">
        <f>IF(L6517="", "Pending", IF(N6517&lt;=30, "Met", "Breached"))</f>
        <v/>
      </c>
      <c r="P6517" s="8" t="n"/>
      <c r="Q6517" s="8" t="n"/>
      <c r="R6517" s="8" t="n"/>
      <c r="S6517" s="8" t="n"/>
      <c r="T6517" s="8" t="n"/>
      <c r="U6517" s="8" t="n"/>
      <c r="V6517" s="8" t="n"/>
      <c r="W6517" s="8" t="n"/>
      <c r="X6517" s="8" t="n"/>
      <c r="Y6517" s="8" t="n"/>
    </row>
    <row r="6518">
      <c r="A6518" s="8" t="n"/>
      <c r="B6518" s="8" t="n"/>
      <c r="C6518" s="8" t="n"/>
      <c r="D6518" s="8" t="n"/>
      <c r="E6518" s="8" t="n"/>
      <c r="F6518" s="8" t="n"/>
      <c r="G6518" s="8" t="n"/>
      <c r="H6518" s="8" t="n"/>
      <c r="I6518" s="8" t="n"/>
      <c r="J6518" s="8" t="n"/>
      <c r="K6518" s="8" t="n"/>
      <c r="L6518" s="8" t="n"/>
      <c r="M6518" s="9">
        <f>B6518+30</f>
        <v/>
      </c>
      <c r="N6518">
        <f>IF(L6518="", "", L6518-B6518)</f>
        <v/>
      </c>
      <c r="O6518">
        <f>IF(L6518="", "Pending", IF(N6518&lt;=30, "Met", "Breached"))</f>
        <v/>
      </c>
      <c r="P6518" s="8" t="n"/>
      <c r="Q6518" s="8" t="n"/>
      <c r="R6518" s="8" t="n"/>
      <c r="S6518" s="8" t="n"/>
      <c r="T6518" s="8" t="n"/>
      <c r="U6518" s="8" t="n"/>
      <c r="V6518" s="8" t="n"/>
      <c r="W6518" s="8" t="n"/>
      <c r="X6518" s="8" t="n"/>
      <c r="Y6518" s="8" t="n"/>
    </row>
    <row r="6519">
      <c r="A6519" s="8" t="n"/>
      <c r="B6519" s="8" t="n"/>
      <c r="C6519" s="8" t="n"/>
      <c r="D6519" s="8" t="n"/>
      <c r="E6519" s="8" t="n"/>
      <c r="F6519" s="8" t="n"/>
      <c r="G6519" s="8" t="n"/>
      <c r="H6519" s="8" t="n"/>
      <c r="I6519" s="8" t="n"/>
      <c r="J6519" s="8" t="n"/>
      <c r="K6519" s="8" t="n"/>
      <c r="L6519" s="8" t="n"/>
      <c r="M6519" s="9">
        <f>B6519+30</f>
        <v/>
      </c>
      <c r="N6519">
        <f>IF(L6519="", "", L6519-B6519)</f>
        <v/>
      </c>
      <c r="O6519">
        <f>IF(L6519="", "Pending", IF(N6519&lt;=30, "Met", "Breached"))</f>
        <v/>
      </c>
      <c r="P6519" s="8" t="n"/>
      <c r="Q6519" s="8" t="n"/>
      <c r="R6519" s="8" t="n"/>
      <c r="S6519" s="8" t="n"/>
      <c r="T6519" s="8" t="n"/>
      <c r="U6519" s="8" t="n"/>
      <c r="V6519" s="8" t="n"/>
      <c r="W6519" s="8" t="n"/>
      <c r="X6519" s="8" t="n"/>
      <c r="Y6519" s="8" t="n"/>
    </row>
    <row r="6520">
      <c r="A6520" s="8" t="n"/>
      <c r="B6520" s="8" t="n"/>
      <c r="C6520" s="8" t="n"/>
      <c r="D6520" s="8" t="n"/>
      <c r="E6520" s="8" t="n"/>
      <c r="F6520" s="8" t="n"/>
      <c r="G6520" s="8" t="n"/>
      <c r="H6520" s="8" t="n"/>
      <c r="I6520" s="8" t="n"/>
      <c r="J6520" s="8" t="n"/>
      <c r="K6520" s="8" t="n"/>
      <c r="L6520" s="8" t="n"/>
      <c r="M6520" s="9">
        <f>B6520+30</f>
        <v/>
      </c>
      <c r="N6520">
        <f>IF(L6520="", "", L6520-B6520)</f>
        <v/>
      </c>
      <c r="O6520">
        <f>IF(L6520="", "Pending", IF(N6520&lt;=30, "Met", "Breached"))</f>
        <v/>
      </c>
      <c r="P6520" s="8" t="n"/>
      <c r="Q6520" s="8" t="n"/>
      <c r="R6520" s="8" t="n"/>
      <c r="S6520" s="8" t="n"/>
      <c r="T6520" s="8" t="n"/>
      <c r="U6520" s="8" t="n"/>
      <c r="V6520" s="8" t="n"/>
      <c r="W6520" s="8" t="n"/>
      <c r="X6520" s="8" t="n"/>
      <c r="Y6520" s="8" t="n"/>
    </row>
    <row r="6521">
      <c r="A6521" s="8" t="n"/>
      <c r="B6521" s="8" t="n"/>
      <c r="C6521" s="8" t="n"/>
      <c r="D6521" s="8" t="n"/>
      <c r="E6521" s="8" t="n"/>
      <c r="F6521" s="8" t="n"/>
      <c r="G6521" s="8" t="n"/>
      <c r="H6521" s="8" t="n"/>
      <c r="I6521" s="8" t="n"/>
      <c r="J6521" s="8" t="n"/>
      <c r="K6521" s="8" t="n"/>
      <c r="L6521" s="8" t="n"/>
      <c r="M6521" s="9">
        <f>B6521+30</f>
        <v/>
      </c>
      <c r="N6521">
        <f>IF(L6521="", "", L6521-B6521)</f>
        <v/>
      </c>
      <c r="O6521">
        <f>IF(L6521="", "Pending", IF(N6521&lt;=30, "Met", "Breached"))</f>
        <v/>
      </c>
      <c r="P6521" s="8" t="n"/>
      <c r="Q6521" s="8" t="n"/>
      <c r="R6521" s="8" t="n"/>
      <c r="S6521" s="8" t="n"/>
      <c r="T6521" s="8" t="n"/>
      <c r="U6521" s="8" t="n"/>
      <c r="V6521" s="8" t="n"/>
      <c r="W6521" s="8" t="n"/>
      <c r="X6521" s="8" t="n"/>
      <c r="Y6521" s="8" t="n"/>
    </row>
    <row r="6522">
      <c r="A6522" s="8" t="n"/>
      <c r="B6522" s="8" t="n"/>
      <c r="C6522" s="8" t="n"/>
      <c r="D6522" s="8" t="n"/>
      <c r="E6522" s="8" t="n"/>
      <c r="F6522" s="8" t="n"/>
      <c r="G6522" s="8" t="n"/>
      <c r="H6522" s="8" t="n"/>
      <c r="I6522" s="8" t="n"/>
      <c r="J6522" s="8" t="n"/>
      <c r="K6522" s="8" t="n"/>
      <c r="L6522" s="8" t="n"/>
      <c r="M6522" s="9">
        <f>B6522+30</f>
        <v/>
      </c>
      <c r="N6522">
        <f>IF(L6522="", "", L6522-B6522)</f>
        <v/>
      </c>
      <c r="O6522">
        <f>IF(L6522="", "Pending", IF(N6522&lt;=30, "Met", "Breached"))</f>
        <v/>
      </c>
      <c r="P6522" s="8" t="n"/>
      <c r="Q6522" s="8" t="n"/>
      <c r="R6522" s="8" t="n"/>
      <c r="S6522" s="8" t="n"/>
      <c r="T6522" s="8" t="n"/>
      <c r="U6522" s="8" t="n"/>
      <c r="V6522" s="8" t="n"/>
      <c r="W6522" s="8" t="n"/>
      <c r="X6522" s="8" t="n"/>
      <c r="Y6522" s="8" t="n"/>
    </row>
    <row r="6523">
      <c r="A6523" s="8" t="n"/>
      <c r="B6523" s="8" t="n"/>
      <c r="C6523" s="8" t="n"/>
      <c r="D6523" s="8" t="n"/>
      <c r="E6523" s="8" t="n"/>
      <c r="F6523" s="8" t="n"/>
      <c r="G6523" s="8" t="n"/>
      <c r="H6523" s="8" t="n"/>
      <c r="I6523" s="8" t="n"/>
      <c r="J6523" s="8" t="n"/>
      <c r="K6523" s="8" t="n"/>
      <c r="L6523" s="8" t="n"/>
      <c r="M6523" s="9">
        <f>B6523+30</f>
        <v/>
      </c>
      <c r="N6523">
        <f>IF(L6523="", "", L6523-B6523)</f>
        <v/>
      </c>
      <c r="O6523">
        <f>IF(L6523="", "Pending", IF(N6523&lt;=30, "Met", "Breached"))</f>
        <v/>
      </c>
      <c r="P6523" s="8" t="n"/>
      <c r="Q6523" s="8" t="n"/>
      <c r="R6523" s="8" t="n"/>
      <c r="S6523" s="8" t="n"/>
      <c r="T6523" s="8" t="n"/>
      <c r="U6523" s="8" t="n"/>
      <c r="V6523" s="8" t="n"/>
      <c r="W6523" s="8" t="n"/>
      <c r="X6523" s="8" t="n"/>
      <c r="Y6523" s="8" t="n"/>
    </row>
    <row r="6524">
      <c r="A6524" s="8" t="n"/>
      <c r="B6524" s="8" t="n"/>
      <c r="C6524" s="8" t="n"/>
      <c r="D6524" s="8" t="n"/>
      <c r="E6524" s="8" t="n"/>
      <c r="F6524" s="8" t="n"/>
      <c r="G6524" s="8" t="n"/>
      <c r="H6524" s="8" t="n"/>
      <c r="I6524" s="8" t="n"/>
      <c r="J6524" s="8" t="n"/>
      <c r="K6524" s="8" t="n"/>
      <c r="L6524" s="8" t="n"/>
      <c r="M6524" s="9">
        <f>B6524+30</f>
        <v/>
      </c>
      <c r="N6524">
        <f>IF(L6524="", "", L6524-B6524)</f>
        <v/>
      </c>
      <c r="O6524">
        <f>IF(L6524="", "Pending", IF(N6524&lt;=30, "Met", "Breached"))</f>
        <v/>
      </c>
      <c r="P6524" s="8" t="n"/>
      <c r="Q6524" s="8" t="n"/>
      <c r="R6524" s="8" t="n"/>
      <c r="S6524" s="8" t="n"/>
      <c r="T6524" s="8" t="n"/>
      <c r="U6524" s="8" t="n"/>
      <c r="V6524" s="8" t="n"/>
      <c r="W6524" s="8" t="n"/>
      <c r="X6524" s="8" t="n"/>
      <c r="Y6524" s="8" t="n"/>
    </row>
    <row r="6525">
      <c r="A6525" s="8" t="n"/>
      <c r="B6525" s="8" t="n"/>
      <c r="C6525" s="8" t="n"/>
      <c r="D6525" s="8" t="n"/>
      <c r="E6525" s="8" t="n"/>
      <c r="F6525" s="8" t="n"/>
      <c r="G6525" s="8" t="n"/>
      <c r="H6525" s="8" t="n"/>
      <c r="I6525" s="8" t="n"/>
      <c r="J6525" s="8" t="n"/>
      <c r="K6525" s="8" t="n"/>
      <c r="L6525" s="8" t="n"/>
      <c r="M6525" s="9">
        <f>B6525+30</f>
        <v/>
      </c>
      <c r="N6525">
        <f>IF(L6525="", "", L6525-B6525)</f>
        <v/>
      </c>
      <c r="O6525">
        <f>IF(L6525="", "Pending", IF(N6525&lt;=30, "Met", "Breached"))</f>
        <v/>
      </c>
      <c r="P6525" s="8" t="n"/>
      <c r="Q6525" s="8" t="n"/>
      <c r="R6525" s="8" t="n"/>
      <c r="S6525" s="8" t="n"/>
      <c r="T6525" s="8" t="n"/>
      <c r="U6525" s="8" t="n"/>
      <c r="V6525" s="8" t="n"/>
      <c r="W6525" s="8" t="n"/>
      <c r="X6525" s="8" t="n"/>
      <c r="Y6525" s="8" t="n"/>
    </row>
    <row r="6526">
      <c r="A6526" s="8" t="n"/>
      <c r="B6526" s="8" t="n"/>
      <c r="C6526" s="8" t="n"/>
      <c r="D6526" s="8" t="n"/>
      <c r="E6526" s="8" t="n"/>
      <c r="F6526" s="8" t="n"/>
      <c r="G6526" s="8" t="n"/>
      <c r="H6526" s="8" t="n"/>
      <c r="I6526" s="8" t="n"/>
      <c r="J6526" s="8" t="n"/>
      <c r="K6526" s="8" t="n"/>
      <c r="L6526" s="8" t="n"/>
      <c r="M6526" s="9">
        <f>B6526+30</f>
        <v/>
      </c>
      <c r="N6526">
        <f>IF(L6526="", "", L6526-B6526)</f>
        <v/>
      </c>
      <c r="O6526">
        <f>IF(L6526="", "Pending", IF(N6526&lt;=30, "Met", "Breached"))</f>
        <v/>
      </c>
      <c r="P6526" s="8" t="n"/>
      <c r="Q6526" s="8" t="n"/>
      <c r="R6526" s="8" t="n"/>
      <c r="S6526" s="8" t="n"/>
      <c r="T6526" s="8" t="n"/>
      <c r="U6526" s="8" t="n"/>
      <c r="V6526" s="8" t="n"/>
      <c r="W6526" s="8" t="n"/>
      <c r="X6526" s="8" t="n"/>
      <c r="Y6526" s="8" t="n"/>
    </row>
    <row r="6527">
      <c r="A6527" s="8" t="n"/>
      <c r="B6527" s="8" t="n"/>
      <c r="C6527" s="8" t="n"/>
      <c r="D6527" s="8" t="n"/>
      <c r="E6527" s="8" t="n"/>
      <c r="F6527" s="8" t="n"/>
      <c r="G6527" s="8" t="n"/>
      <c r="H6527" s="8" t="n"/>
      <c r="I6527" s="8" t="n"/>
      <c r="J6527" s="8" t="n"/>
      <c r="K6527" s="8" t="n"/>
      <c r="L6527" s="8" t="n"/>
      <c r="M6527" s="9">
        <f>B6527+30</f>
        <v/>
      </c>
      <c r="N6527">
        <f>IF(L6527="", "", L6527-B6527)</f>
        <v/>
      </c>
      <c r="O6527">
        <f>IF(L6527="", "Pending", IF(N6527&lt;=30, "Met", "Breached"))</f>
        <v/>
      </c>
      <c r="P6527" s="8" t="n"/>
      <c r="Q6527" s="8" t="n"/>
      <c r="R6527" s="8" t="n"/>
      <c r="S6527" s="8" t="n"/>
      <c r="T6527" s="8" t="n"/>
      <c r="U6527" s="8" t="n"/>
      <c r="V6527" s="8" t="n"/>
      <c r="W6527" s="8" t="n"/>
      <c r="X6527" s="8" t="n"/>
      <c r="Y6527" s="8" t="n"/>
    </row>
    <row r="6528">
      <c r="A6528" s="8" t="n"/>
      <c r="B6528" s="8" t="n"/>
      <c r="C6528" s="8" t="n"/>
      <c r="D6528" s="8" t="n"/>
      <c r="E6528" s="8" t="n"/>
      <c r="F6528" s="8" t="n"/>
      <c r="G6528" s="8" t="n"/>
      <c r="H6528" s="8" t="n"/>
      <c r="I6528" s="8" t="n"/>
      <c r="J6528" s="8" t="n"/>
      <c r="K6528" s="8" t="n"/>
      <c r="L6528" s="8" t="n"/>
      <c r="M6528" s="9">
        <f>B6528+30</f>
        <v/>
      </c>
      <c r="N6528">
        <f>IF(L6528="", "", L6528-B6528)</f>
        <v/>
      </c>
      <c r="O6528">
        <f>IF(L6528="", "Pending", IF(N6528&lt;=30, "Met", "Breached"))</f>
        <v/>
      </c>
      <c r="P6528" s="8" t="n"/>
      <c r="Q6528" s="8" t="n"/>
      <c r="R6528" s="8" t="n"/>
      <c r="S6528" s="8" t="n"/>
      <c r="T6528" s="8" t="n"/>
      <c r="U6528" s="8" t="n"/>
      <c r="V6528" s="8" t="n"/>
      <c r="W6528" s="8" t="n"/>
      <c r="X6528" s="8" t="n"/>
      <c r="Y6528" s="8" t="n"/>
    </row>
    <row r="6529">
      <c r="A6529" s="8" t="n"/>
      <c r="B6529" s="8" t="n"/>
      <c r="C6529" s="8" t="n"/>
      <c r="D6529" s="8" t="n"/>
      <c r="E6529" s="8" t="n"/>
      <c r="F6529" s="8" t="n"/>
      <c r="G6529" s="8" t="n"/>
      <c r="H6529" s="8" t="n"/>
      <c r="I6529" s="8" t="n"/>
      <c r="J6529" s="8" t="n"/>
      <c r="K6529" s="8" t="n"/>
      <c r="L6529" s="8" t="n"/>
      <c r="M6529" s="9">
        <f>B6529+30</f>
        <v/>
      </c>
      <c r="N6529">
        <f>IF(L6529="", "", L6529-B6529)</f>
        <v/>
      </c>
      <c r="O6529">
        <f>IF(L6529="", "Pending", IF(N6529&lt;=30, "Met", "Breached"))</f>
        <v/>
      </c>
      <c r="P6529" s="8" t="n"/>
      <c r="Q6529" s="8" t="n"/>
      <c r="R6529" s="8" t="n"/>
      <c r="S6529" s="8" t="n"/>
      <c r="T6529" s="8" t="n"/>
      <c r="U6529" s="8" t="n"/>
      <c r="V6529" s="8" t="n"/>
      <c r="W6529" s="8" t="n"/>
      <c r="X6529" s="8" t="n"/>
      <c r="Y6529" s="8" t="n"/>
    </row>
    <row r="6530">
      <c r="A6530" s="8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8" t="n"/>
      <c r="K6530" s="8" t="n"/>
      <c r="L6530" s="8" t="n"/>
      <c r="M6530" s="9">
        <f>B6530+30</f>
        <v/>
      </c>
      <c r="N6530">
        <f>IF(L6530="", "", L6530-B6530)</f>
        <v/>
      </c>
      <c r="O6530">
        <f>IF(L6530="", "Pending", IF(N6530&lt;=30, "Met", "Breached"))</f>
        <v/>
      </c>
      <c r="P6530" s="8" t="n"/>
      <c r="Q6530" s="8" t="n"/>
      <c r="R6530" s="8" t="n"/>
      <c r="S6530" s="8" t="n"/>
      <c r="T6530" s="8" t="n"/>
      <c r="U6530" s="8" t="n"/>
      <c r="V6530" s="8" t="n"/>
      <c r="W6530" s="8" t="n"/>
      <c r="X6530" s="8" t="n"/>
      <c r="Y6530" s="8" t="n"/>
    </row>
    <row r="6531">
      <c r="A6531" s="8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8" t="n"/>
      <c r="K6531" s="8" t="n"/>
      <c r="L6531" s="8" t="n"/>
      <c r="M6531" s="9">
        <f>B6531+30</f>
        <v/>
      </c>
      <c r="N6531">
        <f>IF(L6531="", "", L6531-B6531)</f>
        <v/>
      </c>
      <c r="O6531">
        <f>IF(L6531="", "Pending", IF(N6531&lt;=30, "Met", "Breached"))</f>
        <v/>
      </c>
      <c r="P6531" s="8" t="n"/>
      <c r="Q6531" s="8" t="n"/>
      <c r="R6531" s="8" t="n"/>
      <c r="S6531" s="8" t="n"/>
      <c r="T6531" s="8" t="n"/>
      <c r="U6531" s="8" t="n"/>
      <c r="V6531" s="8" t="n"/>
      <c r="W6531" s="8" t="n"/>
      <c r="X6531" s="8" t="n"/>
      <c r="Y6531" s="8" t="n"/>
    </row>
    <row r="6532">
      <c r="A6532" s="8" t="n"/>
      <c r="B6532" s="8" t="n"/>
      <c r="C6532" s="8" t="n"/>
      <c r="D6532" s="8" t="n"/>
      <c r="E6532" s="8" t="n"/>
      <c r="F6532" s="8" t="n"/>
      <c r="G6532" s="8" t="n"/>
      <c r="H6532" s="8" t="n"/>
      <c r="I6532" s="8" t="n"/>
      <c r="J6532" s="8" t="n"/>
      <c r="K6532" s="8" t="n"/>
      <c r="L6532" s="8" t="n"/>
      <c r="M6532" s="9">
        <f>B6532+30</f>
        <v/>
      </c>
      <c r="N6532">
        <f>IF(L6532="", "", L6532-B6532)</f>
        <v/>
      </c>
      <c r="O6532">
        <f>IF(L6532="", "Pending", IF(N6532&lt;=30, "Met", "Breached"))</f>
        <v/>
      </c>
      <c r="P6532" s="8" t="n"/>
      <c r="Q6532" s="8" t="n"/>
      <c r="R6532" s="8" t="n"/>
      <c r="S6532" s="8" t="n"/>
      <c r="T6532" s="8" t="n"/>
      <c r="U6532" s="8" t="n"/>
      <c r="V6532" s="8" t="n"/>
      <c r="W6532" s="8" t="n"/>
      <c r="X6532" s="8" t="n"/>
      <c r="Y6532" s="8" t="n"/>
    </row>
    <row r="6533">
      <c r="A6533" s="8" t="n"/>
      <c r="B6533" s="8" t="n"/>
      <c r="C6533" s="8" t="n"/>
      <c r="D6533" s="8" t="n"/>
      <c r="E6533" s="8" t="n"/>
      <c r="F6533" s="8" t="n"/>
      <c r="G6533" s="8" t="n"/>
      <c r="H6533" s="8" t="n"/>
      <c r="I6533" s="8" t="n"/>
      <c r="J6533" s="8" t="n"/>
      <c r="K6533" s="8" t="n"/>
      <c r="L6533" s="8" t="n"/>
      <c r="M6533" s="9">
        <f>B6533+30</f>
        <v/>
      </c>
      <c r="N6533">
        <f>IF(L6533="", "", L6533-B6533)</f>
        <v/>
      </c>
      <c r="O6533">
        <f>IF(L6533="", "Pending", IF(N6533&lt;=30, "Met", "Breached"))</f>
        <v/>
      </c>
      <c r="P6533" s="8" t="n"/>
      <c r="Q6533" s="8" t="n"/>
      <c r="R6533" s="8" t="n"/>
      <c r="S6533" s="8" t="n"/>
      <c r="T6533" s="8" t="n"/>
      <c r="U6533" s="8" t="n"/>
      <c r="V6533" s="8" t="n"/>
      <c r="W6533" s="8" t="n"/>
      <c r="X6533" s="8" t="n"/>
      <c r="Y6533" s="8" t="n"/>
    </row>
    <row r="6534">
      <c r="A6534" s="8" t="n"/>
      <c r="B6534" s="8" t="n"/>
      <c r="C6534" s="8" t="n"/>
      <c r="D6534" s="8" t="n"/>
      <c r="E6534" s="8" t="n"/>
      <c r="F6534" s="8" t="n"/>
      <c r="G6534" s="8" t="n"/>
      <c r="H6534" s="8" t="n"/>
      <c r="I6534" s="8" t="n"/>
      <c r="J6534" s="8" t="n"/>
      <c r="K6534" s="8" t="n"/>
      <c r="L6534" s="8" t="n"/>
      <c r="M6534" s="9">
        <f>B6534+30</f>
        <v/>
      </c>
      <c r="N6534">
        <f>IF(L6534="", "", L6534-B6534)</f>
        <v/>
      </c>
      <c r="O6534">
        <f>IF(L6534="", "Pending", IF(N6534&lt;=30, "Met", "Breached"))</f>
        <v/>
      </c>
      <c r="P6534" s="8" t="n"/>
      <c r="Q6534" s="8" t="n"/>
      <c r="R6534" s="8" t="n"/>
      <c r="S6534" s="8" t="n"/>
      <c r="T6534" s="8" t="n"/>
      <c r="U6534" s="8" t="n"/>
      <c r="V6534" s="8" t="n"/>
      <c r="W6534" s="8" t="n"/>
      <c r="X6534" s="8" t="n"/>
      <c r="Y6534" s="8" t="n"/>
    </row>
    <row r="6535">
      <c r="A6535" s="8" t="n"/>
      <c r="B6535" s="8" t="n"/>
      <c r="C6535" s="8" t="n"/>
      <c r="D6535" s="8" t="n"/>
      <c r="E6535" s="8" t="n"/>
      <c r="F6535" s="8" t="n"/>
      <c r="G6535" s="8" t="n"/>
      <c r="H6535" s="8" t="n"/>
      <c r="I6535" s="8" t="n"/>
      <c r="J6535" s="8" t="n"/>
      <c r="K6535" s="8" t="n"/>
      <c r="L6535" s="8" t="n"/>
      <c r="M6535" s="9">
        <f>B6535+30</f>
        <v/>
      </c>
      <c r="N6535">
        <f>IF(L6535="", "", L6535-B6535)</f>
        <v/>
      </c>
      <c r="O6535">
        <f>IF(L6535="", "Pending", IF(N6535&lt;=30, "Met", "Breached"))</f>
        <v/>
      </c>
      <c r="P6535" s="8" t="n"/>
      <c r="Q6535" s="8" t="n"/>
      <c r="R6535" s="8" t="n"/>
      <c r="S6535" s="8" t="n"/>
      <c r="T6535" s="8" t="n"/>
      <c r="U6535" s="8" t="n"/>
      <c r="V6535" s="8" t="n"/>
      <c r="W6535" s="8" t="n"/>
      <c r="X6535" s="8" t="n"/>
      <c r="Y6535" s="8" t="n"/>
    </row>
    <row r="6536">
      <c r="A6536" s="8" t="n"/>
      <c r="B6536" s="8" t="n"/>
      <c r="C6536" s="8" t="n"/>
      <c r="D6536" s="8" t="n"/>
      <c r="E6536" s="8" t="n"/>
      <c r="F6536" s="8" t="n"/>
      <c r="G6536" s="8" t="n"/>
      <c r="H6536" s="8" t="n"/>
      <c r="I6536" s="8" t="n"/>
      <c r="J6536" s="8" t="n"/>
      <c r="K6536" s="8" t="n"/>
      <c r="L6536" s="8" t="n"/>
      <c r="M6536" s="9">
        <f>B6536+30</f>
        <v/>
      </c>
      <c r="N6536">
        <f>IF(L6536="", "", L6536-B6536)</f>
        <v/>
      </c>
      <c r="O6536">
        <f>IF(L6536="", "Pending", IF(N6536&lt;=30, "Met", "Breached"))</f>
        <v/>
      </c>
      <c r="P6536" s="8" t="n"/>
      <c r="Q6536" s="8" t="n"/>
      <c r="R6536" s="8" t="n"/>
      <c r="S6536" s="8" t="n"/>
      <c r="T6536" s="8" t="n"/>
      <c r="U6536" s="8" t="n"/>
      <c r="V6536" s="8" t="n"/>
      <c r="W6536" s="8" t="n"/>
      <c r="X6536" s="8" t="n"/>
      <c r="Y6536" s="8" t="n"/>
    </row>
    <row r="6537">
      <c r="A6537" s="8" t="n"/>
      <c r="B6537" s="8" t="n"/>
      <c r="C6537" s="8" t="n"/>
      <c r="D6537" s="8" t="n"/>
      <c r="E6537" s="8" t="n"/>
      <c r="F6537" s="8" t="n"/>
      <c r="G6537" s="8" t="n"/>
      <c r="H6537" s="8" t="n"/>
      <c r="I6537" s="8" t="n"/>
      <c r="J6537" s="8" t="n"/>
      <c r="K6537" s="8" t="n"/>
      <c r="L6537" s="8" t="n"/>
      <c r="M6537" s="9">
        <f>B6537+30</f>
        <v/>
      </c>
      <c r="N6537">
        <f>IF(L6537="", "", L6537-B6537)</f>
        <v/>
      </c>
      <c r="O6537">
        <f>IF(L6537="", "Pending", IF(N6537&lt;=30, "Met", "Breached"))</f>
        <v/>
      </c>
      <c r="P6537" s="8" t="n"/>
      <c r="Q6537" s="8" t="n"/>
      <c r="R6537" s="8" t="n"/>
      <c r="S6537" s="8" t="n"/>
      <c r="T6537" s="8" t="n"/>
      <c r="U6537" s="8" t="n"/>
      <c r="V6537" s="8" t="n"/>
      <c r="W6537" s="8" t="n"/>
      <c r="X6537" s="8" t="n"/>
      <c r="Y6537" s="8" t="n"/>
    </row>
    <row r="6538">
      <c r="A6538" s="8" t="n"/>
      <c r="B6538" s="8" t="n"/>
      <c r="C6538" s="8" t="n"/>
      <c r="D6538" s="8" t="n"/>
      <c r="E6538" s="8" t="n"/>
      <c r="F6538" s="8" t="n"/>
      <c r="G6538" s="8" t="n"/>
      <c r="H6538" s="8" t="n"/>
      <c r="I6538" s="8" t="n"/>
      <c r="J6538" s="8" t="n"/>
      <c r="K6538" s="8" t="n"/>
      <c r="L6538" s="8" t="n"/>
      <c r="M6538" s="9">
        <f>B6538+30</f>
        <v/>
      </c>
      <c r="N6538">
        <f>IF(L6538="", "", L6538-B6538)</f>
        <v/>
      </c>
      <c r="O6538">
        <f>IF(L6538="", "Pending", IF(N6538&lt;=30, "Met", "Breached"))</f>
        <v/>
      </c>
      <c r="P6538" s="8" t="n"/>
      <c r="Q6538" s="8" t="n"/>
      <c r="R6538" s="8" t="n"/>
      <c r="S6538" s="8" t="n"/>
      <c r="T6538" s="8" t="n"/>
      <c r="U6538" s="8" t="n"/>
      <c r="V6538" s="8" t="n"/>
      <c r="W6538" s="8" t="n"/>
      <c r="X6538" s="8" t="n"/>
      <c r="Y6538" s="8" t="n"/>
    </row>
    <row r="6539">
      <c r="A6539" s="8" t="n"/>
      <c r="B6539" s="8" t="n"/>
      <c r="C6539" s="8" t="n"/>
      <c r="D6539" s="8" t="n"/>
      <c r="E6539" s="8" t="n"/>
      <c r="F6539" s="8" t="n"/>
      <c r="G6539" s="8" t="n"/>
      <c r="H6539" s="8" t="n"/>
      <c r="I6539" s="8" t="n"/>
      <c r="J6539" s="8" t="n"/>
      <c r="K6539" s="8" t="n"/>
      <c r="L6539" s="8" t="n"/>
      <c r="M6539" s="9">
        <f>B6539+30</f>
        <v/>
      </c>
      <c r="N6539">
        <f>IF(L6539="", "", L6539-B6539)</f>
        <v/>
      </c>
      <c r="O6539">
        <f>IF(L6539="", "Pending", IF(N6539&lt;=30, "Met", "Breached"))</f>
        <v/>
      </c>
      <c r="P6539" s="8" t="n"/>
      <c r="Q6539" s="8" t="n"/>
      <c r="R6539" s="8" t="n"/>
      <c r="S6539" s="8" t="n"/>
      <c r="T6539" s="8" t="n"/>
      <c r="U6539" s="8" t="n"/>
      <c r="V6539" s="8" t="n"/>
      <c r="W6539" s="8" t="n"/>
      <c r="X6539" s="8" t="n"/>
      <c r="Y6539" s="8" t="n"/>
    </row>
    <row r="6540">
      <c r="A6540" s="8" t="n"/>
      <c r="B6540" s="8" t="n"/>
      <c r="C6540" s="8" t="n"/>
      <c r="D6540" s="8" t="n"/>
      <c r="E6540" s="8" t="n"/>
      <c r="F6540" s="8" t="n"/>
      <c r="G6540" s="8" t="n"/>
      <c r="H6540" s="8" t="n"/>
      <c r="I6540" s="8" t="n"/>
      <c r="J6540" s="8" t="n"/>
      <c r="K6540" s="8" t="n"/>
      <c r="L6540" s="8" t="n"/>
      <c r="M6540" s="9">
        <f>B6540+30</f>
        <v/>
      </c>
      <c r="N6540">
        <f>IF(L6540="", "", L6540-B6540)</f>
        <v/>
      </c>
      <c r="O6540">
        <f>IF(L6540="", "Pending", IF(N6540&lt;=30, "Met", "Breached"))</f>
        <v/>
      </c>
      <c r="P6540" s="8" t="n"/>
      <c r="Q6540" s="8" t="n"/>
      <c r="R6540" s="8" t="n"/>
      <c r="S6540" s="8" t="n"/>
      <c r="T6540" s="8" t="n"/>
      <c r="U6540" s="8" t="n"/>
      <c r="V6540" s="8" t="n"/>
      <c r="W6540" s="8" t="n"/>
      <c r="X6540" s="8" t="n"/>
      <c r="Y6540" s="8" t="n"/>
    </row>
    <row r="6541">
      <c r="A6541" s="8" t="n"/>
      <c r="B6541" s="8" t="n"/>
      <c r="C6541" s="8" t="n"/>
      <c r="D6541" s="8" t="n"/>
      <c r="E6541" s="8" t="n"/>
      <c r="F6541" s="8" t="n"/>
      <c r="G6541" s="8" t="n"/>
      <c r="H6541" s="8" t="n"/>
      <c r="I6541" s="8" t="n"/>
      <c r="J6541" s="8" t="n"/>
      <c r="K6541" s="8" t="n"/>
      <c r="L6541" s="8" t="n"/>
      <c r="M6541" s="9">
        <f>B6541+30</f>
        <v/>
      </c>
      <c r="N6541">
        <f>IF(L6541="", "", L6541-B6541)</f>
        <v/>
      </c>
      <c r="O6541">
        <f>IF(L6541="", "Pending", IF(N6541&lt;=30, "Met", "Breached"))</f>
        <v/>
      </c>
      <c r="P6541" s="8" t="n"/>
      <c r="Q6541" s="8" t="n"/>
      <c r="R6541" s="8" t="n"/>
      <c r="S6541" s="8" t="n"/>
      <c r="T6541" s="8" t="n"/>
      <c r="U6541" s="8" t="n"/>
      <c r="V6541" s="8" t="n"/>
      <c r="W6541" s="8" t="n"/>
      <c r="X6541" s="8" t="n"/>
      <c r="Y6541" s="8" t="n"/>
    </row>
    <row r="6542">
      <c r="A6542" s="8" t="n"/>
      <c r="B6542" s="8" t="n"/>
      <c r="C6542" s="8" t="n"/>
      <c r="D6542" s="8" t="n"/>
      <c r="E6542" s="8" t="n"/>
      <c r="F6542" s="8" t="n"/>
      <c r="G6542" s="8" t="n"/>
      <c r="H6542" s="8" t="n"/>
      <c r="I6542" s="8" t="n"/>
      <c r="J6542" s="8" t="n"/>
      <c r="K6542" s="8" t="n"/>
      <c r="L6542" s="8" t="n"/>
      <c r="M6542" s="9">
        <f>B6542+30</f>
        <v/>
      </c>
      <c r="N6542">
        <f>IF(L6542="", "", L6542-B6542)</f>
        <v/>
      </c>
      <c r="O6542">
        <f>IF(L6542="", "Pending", IF(N6542&lt;=30, "Met", "Breached"))</f>
        <v/>
      </c>
      <c r="P6542" s="8" t="n"/>
      <c r="Q6542" s="8" t="n"/>
      <c r="R6542" s="8" t="n"/>
      <c r="S6542" s="8" t="n"/>
      <c r="T6542" s="8" t="n"/>
      <c r="U6542" s="8" t="n"/>
      <c r="V6542" s="8" t="n"/>
      <c r="W6542" s="8" t="n"/>
      <c r="X6542" s="8" t="n"/>
      <c r="Y6542" s="8" t="n"/>
    </row>
    <row r="6543">
      <c r="A6543" s="8" t="n"/>
      <c r="B6543" s="8" t="n"/>
      <c r="C6543" s="8" t="n"/>
      <c r="D6543" s="8" t="n"/>
      <c r="E6543" s="8" t="n"/>
      <c r="F6543" s="8" t="n"/>
      <c r="G6543" s="8" t="n"/>
      <c r="H6543" s="8" t="n"/>
      <c r="I6543" s="8" t="n"/>
      <c r="J6543" s="8" t="n"/>
      <c r="K6543" s="8" t="n"/>
      <c r="L6543" s="8" t="n"/>
      <c r="M6543" s="9">
        <f>B6543+30</f>
        <v/>
      </c>
      <c r="N6543">
        <f>IF(L6543="", "", L6543-B6543)</f>
        <v/>
      </c>
      <c r="O6543">
        <f>IF(L6543="", "Pending", IF(N6543&lt;=30, "Met", "Breached"))</f>
        <v/>
      </c>
      <c r="P6543" s="8" t="n"/>
      <c r="Q6543" s="8" t="n"/>
      <c r="R6543" s="8" t="n"/>
      <c r="S6543" s="8" t="n"/>
      <c r="T6543" s="8" t="n"/>
      <c r="U6543" s="8" t="n"/>
      <c r="V6543" s="8" t="n"/>
      <c r="W6543" s="8" t="n"/>
      <c r="X6543" s="8" t="n"/>
      <c r="Y6543" s="8" t="n"/>
    </row>
    <row r="6544">
      <c r="A6544" s="8" t="n"/>
      <c r="B6544" s="8" t="n"/>
      <c r="C6544" s="8" t="n"/>
      <c r="D6544" s="8" t="n"/>
      <c r="E6544" s="8" t="n"/>
      <c r="F6544" s="8" t="n"/>
      <c r="G6544" s="8" t="n"/>
      <c r="H6544" s="8" t="n"/>
      <c r="I6544" s="8" t="n"/>
      <c r="J6544" s="8" t="n"/>
      <c r="K6544" s="8" t="n"/>
      <c r="L6544" s="8" t="n"/>
      <c r="M6544" s="9">
        <f>B6544+30</f>
        <v/>
      </c>
      <c r="N6544">
        <f>IF(L6544="", "", L6544-B6544)</f>
        <v/>
      </c>
      <c r="O6544">
        <f>IF(L6544="", "Pending", IF(N6544&lt;=30, "Met", "Breached"))</f>
        <v/>
      </c>
      <c r="P6544" s="8" t="n"/>
      <c r="Q6544" s="8" t="n"/>
      <c r="R6544" s="8" t="n"/>
      <c r="S6544" s="8" t="n"/>
      <c r="T6544" s="8" t="n"/>
      <c r="U6544" s="8" t="n"/>
      <c r="V6544" s="8" t="n"/>
      <c r="W6544" s="8" t="n"/>
      <c r="X6544" s="8" t="n"/>
      <c r="Y6544" s="8" t="n"/>
    </row>
    <row r="6545">
      <c r="A6545" s="8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8" t="n"/>
      <c r="K6545" s="8" t="n"/>
      <c r="L6545" s="8" t="n"/>
      <c r="M6545" s="9">
        <f>B6545+30</f>
        <v/>
      </c>
      <c r="N6545">
        <f>IF(L6545="", "", L6545-B6545)</f>
        <v/>
      </c>
      <c r="O6545">
        <f>IF(L6545="", "Pending", IF(N6545&lt;=30, "Met", "Breached"))</f>
        <v/>
      </c>
      <c r="P6545" s="8" t="n"/>
      <c r="Q6545" s="8" t="n"/>
      <c r="R6545" s="8" t="n"/>
      <c r="S6545" s="8" t="n"/>
      <c r="T6545" s="8" t="n"/>
      <c r="U6545" s="8" t="n"/>
      <c r="V6545" s="8" t="n"/>
      <c r="W6545" s="8" t="n"/>
      <c r="X6545" s="8" t="n"/>
      <c r="Y6545" s="8" t="n"/>
    </row>
    <row r="6546">
      <c r="A6546" s="8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8" t="n"/>
      <c r="K6546" s="8" t="n"/>
      <c r="L6546" s="8" t="n"/>
      <c r="M6546" s="9">
        <f>B6546+30</f>
        <v/>
      </c>
      <c r="N6546">
        <f>IF(L6546="", "", L6546-B6546)</f>
        <v/>
      </c>
      <c r="O6546">
        <f>IF(L6546="", "Pending", IF(N6546&lt;=30, "Met", "Breached"))</f>
        <v/>
      </c>
      <c r="P6546" s="8" t="n"/>
      <c r="Q6546" s="8" t="n"/>
      <c r="R6546" s="8" t="n"/>
      <c r="S6546" s="8" t="n"/>
      <c r="T6546" s="8" t="n"/>
      <c r="U6546" s="8" t="n"/>
      <c r="V6546" s="8" t="n"/>
      <c r="W6546" s="8" t="n"/>
      <c r="X6546" s="8" t="n"/>
      <c r="Y6546" s="8" t="n"/>
    </row>
    <row r="6547">
      <c r="A6547" s="8" t="n"/>
      <c r="B6547" s="8" t="n"/>
      <c r="C6547" s="8" t="n"/>
      <c r="D6547" s="8" t="n"/>
      <c r="E6547" s="8" t="n"/>
      <c r="F6547" s="8" t="n"/>
      <c r="G6547" s="8" t="n"/>
      <c r="H6547" s="8" t="n"/>
      <c r="I6547" s="8" t="n"/>
      <c r="J6547" s="8" t="n"/>
      <c r="K6547" s="8" t="n"/>
      <c r="L6547" s="8" t="n"/>
      <c r="M6547" s="9">
        <f>B6547+30</f>
        <v/>
      </c>
      <c r="N6547">
        <f>IF(L6547="", "", L6547-B6547)</f>
        <v/>
      </c>
      <c r="O6547">
        <f>IF(L6547="", "Pending", IF(N6547&lt;=30, "Met", "Breached"))</f>
        <v/>
      </c>
      <c r="P6547" s="8" t="n"/>
      <c r="Q6547" s="8" t="n"/>
      <c r="R6547" s="8" t="n"/>
      <c r="S6547" s="8" t="n"/>
      <c r="T6547" s="8" t="n"/>
      <c r="U6547" s="8" t="n"/>
      <c r="V6547" s="8" t="n"/>
      <c r="W6547" s="8" t="n"/>
      <c r="X6547" s="8" t="n"/>
      <c r="Y6547" s="8" t="n"/>
    </row>
    <row r="6548">
      <c r="A6548" s="8" t="n"/>
      <c r="B6548" s="8" t="n"/>
      <c r="C6548" s="8" t="n"/>
      <c r="D6548" s="8" t="n"/>
      <c r="E6548" s="8" t="n"/>
      <c r="F6548" s="8" t="n"/>
      <c r="G6548" s="8" t="n"/>
      <c r="H6548" s="8" t="n"/>
      <c r="I6548" s="8" t="n"/>
      <c r="J6548" s="8" t="n"/>
      <c r="K6548" s="8" t="n"/>
      <c r="L6548" s="8" t="n"/>
      <c r="M6548" s="9">
        <f>B6548+30</f>
        <v/>
      </c>
      <c r="N6548">
        <f>IF(L6548="", "", L6548-B6548)</f>
        <v/>
      </c>
      <c r="O6548">
        <f>IF(L6548="", "Pending", IF(N6548&lt;=30, "Met", "Breached"))</f>
        <v/>
      </c>
      <c r="P6548" s="8" t="n"/>
      <c r="Q6548" s="8" t="n"/>
      <c r="R6548" s="8" t="n"/>
      <c r="S6548" s="8" t="n"/>
      <c r="T6548" s="8" t="n"/>
      <c r="U6548" s="8" t="n"/>
      <c r="V6548" s="8" t="n"/>
      <c r="W6548" s="8" t="n"/>
      <c r="X6548" s="8" t="n"/>
      <c r="Y6548" s="8" t="n"/>
    </row>
    <row r="6549">
      <c r="A6549" s="8" t="n"/>
      <c r="B6549" s="8" t="n"/>
      <c r="C6549" s="8" t="n"/>
      <c r="D6549" s="8" t="n"/>
      <c r="E6549" s="8" t="n"/>
      <c r="F6549" s="8" t="n"/>
      <c r="G6549" s="8" t="n"/>
      <c r="H6549" s="8" t="n"/>
      <c r="I6549" s="8" t="n"/>
      <c r="J6549" s="8" t="n"/>
      <c r="K6549" s="8" t="n"/>
      <c r="L6549" s="8" t="n"/>
      <c r="M6549" s="9">
        <f>B6549+30</f>
        <v/>
      </c>
      <c r="N6549">
        <f>IF(L6549="", "", L6549-B6549)</f>
        <v/>
      </c>
      <c r="O6549">
        <f>IF(L6549="", "Pending", IF(N6549&lt;=30, "Met", "Breached"))</f>
        <v/>
      </c>
      <c r="P6549" s="8" t="n"/>
      <c r="Q6549" s="8" t="n"/>
      <c r="R6549" s="8" t="n"/>
      <c r="S6549" s="8" t="n"/>
      <c r="T6549" s="8" t="n"/>
      <c r="U6549" s="8" t="n"/>
      <c r="V6549" s="8" t="n"/>
      <c r="W6549" s="8" t="n"/>
      <c r="X6549" s="8" t="n"/>
      <c r="Y6549" s="8" t="n"/>
    </row>
    <row r="6550">
      <c r="A6550" s="8" t="n"/>
      <c r="B6550" s="8" t="n"/>
      <c r="C6550" s="8" t="n"/>
      <c r="D6550" s="8" t="n"/>
      <c r="E6550" s="8" t="n"/>
      <c r="F6550" s="8" t="n"/>
      <c r="G6550" s="8" t="n"/>
      <c r="H6550" s="8" t="n"/>
      <c r="I6550" s="8" t="n"/>
      <c r="J6550" s="8" t="n"/>
      <c r="K6550" s="8" t="n"/>
      <c r="L6550" s="8" t="n"/>
      <c r="M6550" s="9">
        <f>B6550+30</f>
        <v/>
      </c>
      <c r="N6550">
        <f>IF(L6550="", "", L6550-B6550)</f>
        <v/>
      </c>
      <c r="O6550">
        <f>IF(L6550="", "Pending", IF(N6550&lt;=30, "Met", "Breached"))</f>
        <v/>
      </c>
      <c r="P6550" s="8" t="n"/>
      <c r="Q6550" s="8" t="n"/>
      <c r="R6550" s="8" t="n"/>
      <c r="S6550" s="8" t="n"/>
      <c r="T6550" s="8" t="n"/>
      <c r="U6550" s="8" t="n"/>
      <c r="V6550" s="8" t="n"/>
      <c r="W6550" s="8" t="n"/>
      <c r="X6550" s="8" t="n"/>
      <c r="Y6550" s="8" t="n"/>
    </row>
    <row r="6551">
      <c r="A6551" s="8" t="n"/>
      <c r="B6551" s="8" t="n"/>
      <c r="C6551" s="8" t="n"/>
      <c r="D6551" s="8" t="n"/>
      <c r="E6551" s="8" t="n"/>
      <c r="F6551" s="8" t="n"/>
      <c r="G6551" s="8" t="n"/>
      <c r="H6551" s="8" t="n"/>
      <c r="I6551" s="8" t="n"/>
      <c r="J6551" s="8" t="n"/>
      <c r="K6551" s="8" t="n"/>
      <c r="L6551" s="8" t="n"/>
      <c r="M6551" s="9">
        <f>B6551+30</f>
        <v/>
      </c>
      <c r="N6551">
        <f>IF(L6551="", "", L6551-B6551)</f>
        <v/>
      </c>
      <c r="O6551">
        <f>IF(L6551="", "Pending", IF(N6551&lt;=30, "Met", "Breached"))</f>
        <v/>
      </c>
      <c r="P6551" s="8" t="n"/>
      <c r="Q6551" s="8" t="n"/>
      <c r="R6551" s="8" t="n"/>
      <c r="S6551" s="8" t="n"/>
      <c r="T6551" s="8" t="n"/>
      <c r="U6551" s="8" t="n"/>
      <c r="V6551" s="8" t="n"/>
      <c r="W6551" s="8" t="n"/>
      <c r="X6551" s="8" t="n"/>
      <c r="Y6551" s="8" t="n"/>
    </row>
    <row r="6552">
      <c r="A6552" s="8" t="n"/>
      <c r="B6552" s="8" t="n"/>
      <c r="C6552" s="8" t="n"/>
      <c r="D6552" s="8" t="n"/>
      <c r="E6552" s="8" t="n"/>
      <c r="F6552" s="8" t="n"/>
      <c r="G6552" s="8" t="n"/>
      <c r="H6552" s="8" t="n"/>
      <c r="I6552" s="8" t="n"/>
      <c r="J6552" s="8" t="n"/>
      <c r="K6552" s="8" t="n"/>
      <c r="L6552" s="8" t="n"/>
      <c r="M6552" s="9">
        <f>B6552+30</f>
        <v/>
      </c>
      <c r="N6552">
        <f>IF(L6552="", "", L6552-B6552)</f>
        <v/>
      </c>
      <c r="O6552">
        <f>IF(L6552="", "Pending", IF(N6552&lt;=30, "Met", "Breached"))</f>
        <v/>
      </c>
      <c r="P6552" s="8" t="n"/>
      <c r="Q6552" s="8" t="n"/>
      <c r="R6552" s="8" t="n"/>
      <c r="S6552" s="8" t="n"/>
      <c r="T6552" s="8" t="n"/>
      <c r="U6552" s="8" t="n"/>
      <c r="V6552" s="8" t="n"/>
      <c r="W6552" s="8" t="n"/>
      <c r="X6552" s="8" t="n"/>
      <c r="Y6552" s="8" t="n"/>
    </row>
    <row r="6553">
      <c r="A6553" s="8" t="n"/>
      <c r="B6553" s="8" t="n"/>
      <c r="C6553" s="8" t="n"/>
      <c r="D6553" s="8" t="n"/>
      <c r="E6553" s="8" t="n"/>
      <c r="F6553" s="8" t="n"/>
      <c r="G6553" s="8" t="n"/>
      <c r="H6553" s="8" t="n"/>
      <c r="I6553" s="8" t="n"/>
      <c r="J6553" s="8" t="n"/>
      <c r="K6553" s="8" t="n"/>
      <c r="L6553" s="8" t="n"/>
      <c r="M6553" s="9">
        <f>B6553+30</f>
        <v/>
      </c>
      <c r="N6553">
        <f>IF(L6553="", "", L6553-B6553)</f>
        <v/>
      </c>
      <c r="O6553">
        <f>IF(L6553="", "Pending", IF(N6553&lt;=30, "Met", "Breached"))</f>
        <v/>
      </c>
      <c r="P6553" s="8" t="n"/>
      <c r="Q6553" s="8" t="n"/>
      <c r="R6553" s="8" t="n"/>
      <c r="S6553" s="8" t="n"/>
      <c r="T6553" s="8" t="n"/>
      <c r="U6553" s="8" t="n"/>
      <c r="V6553" s="8" t="n"/>
      <c r="W6553" s="8" t="n"/>
      <c r="X6553" s="8" t="n"/>
      <c r="Y6553" s="8" t="n"/>
    </row>
    <row r="6554">
      <c r="A6554" s="8" t="n"/>
      <c r="B6554" s="8" t="n"/>
      <c r="C6554" s="8" t="n"/>
      <c r="D6554" s="8" t="n"/>
      <c r="E6554" s="8" t="n"/>
      <c r="F6554" s="8" t="n"/>
      <c r="G6554" s="8" t="n"/>
      <c r="H6554" s="8" t="n"/>
      <c r="I6554" s="8" t="n"/>
      <c r="J6554" s="8" t="n"/>
      <c r="K6554" s="8" t="n"/>
      <c r="L6554" s="8" t="n"/>
      <c r="M6554" s="9">
        <f>B6554+30</f>
        <v/>
      </c>
      <c r="N6554">
        <f>IF(L6554="", "", L6554-B6554)</f>
        <v/>
      </c>
      <c r="O6554">
        <f>IF(L6554="", "Pending", IF(N6554&lt;=30, "Met", "Breached"))</f>
        <v/>
      </c>
      <c r="P6554" s="8" t="n"/>
      <c r="Q6554" s="8" t="n"/>
      <c r="R6554" s="8" t="n"/>
      <c r="S6554" s="8" t="n"/>
      <c r="T6554" s="8" t="n"/>
      <c r="U6554" s="8" t="n"/>
      <c r="V6554" s="8" t="n"/>
      <c r="W6554" s="8" t="n"/>
      <c r="X6554" s="8" t="n"/>
      <c r="Y6554" s="8" t="n"/>
    </row>
    <row r="6555">
      <c r="A6555" s="8" t="n"/>
      <c r="B6555" s="8" t="n"/>
      <c r="C6555" s="8" t="n"/>
      <c r="D6555" s="8" t="n"/>
      <c r="E6555" s="8" t="n"/>
      <c r="F6555" s="8" t="n"/>
      <c r="G6555" s="8" t="n"/>
      <c r="H6555" s="8" t="n"/>
      <c r="I6555" s="8" t="n"/>
      <c r="J6555" s="8" t="n"/>
      <c r="K6555" s="8" t="n"/>
      <c r="L6555" s="8" t="n"/>
      <c r="M6555" s="9">
        <f>B6555+30</f>
        <v/>
      </c>
      <c r="N6555">
        <f>IF(L6555="", "", L6555-B6555)</f>
        <v/>
      </c>
      <c r="O6555">
        <f>IF(L6555="", "Pending", IF(N6555&lt;=30, "Met", "Breached"))</f>
        <v/>
      </c>
      <c r="P6555" s="8" t="n"/>
      <c r="Q6555" s="8" t="n"/>
      <c r="R6555" s="8" t="n"/>
      <c r="S6555" s="8" t="n"/>
      <c r="T6555" s="8" t="n"/>
      <c r="U6555" s="8" t="n"/>
      <c r="V6555" s="8" t="n"/>
      <c r="W6555" s="8" t="n"/>
      <c r="X6555" s="8" t="n"/>
      <c r="Y6555" s="8" t="n"/>
    </row>
    <row r="6556">
      <c r="A6556" s="8" t="n"/>
      <c r="B6556" s="8" t="n"/>
      <c r="C6556" s="8" t="n"/>
      <c r="D6556" s="8" t="n"/>
      <c r="E6556" s="8" t="n"/>
      <c r="F6556" s="8" t="n"/>
      <c r="G6556" s="8" t="n"/>
      <c r="H6556" s="8" t="n"/>
      <c r="I6556" s="8" t="n"/>
      <c r="J6556" s="8" t="n"/>
      <c r="K6556" s="8" t="n"/>
      <c r="L6556" s="8" t="n"/>
      <c r="M6556" s="9">
        <f>B6556+30</f>
        <v/>
      </c>
      <c r="N6556">
        <f>IF(L6556="", "", L6556-B6556)</f>
        <v/>
      </c>
      <c r="O6556">
        <f>IF(L6556="", "Pending", IF(N6556&lt;=30, "Met", "Breached"))</f>
        <v/>
      </c>
      <c r="P6556" s="8" t="n"/>
      <c r="Q6556" s="8" t="n"/>
      <c r="R6556" s="8" t="n"/>
      <c r="S6556" s="8" t="n"/>
      <c r="T6556" s="8" t="n"/>
      <c r="U6556" s="8" t="n"/>
      <c r="V6556" s="8" t="n"/>
      <c r="W6556" s="8" t="n"/>
      <c r="X6556" s="8" t="n"/>
      <c r="Y6556" s="8" t="n"/>
    </row>
    <row r="6557">
      <c r="A6557" s="8" t="n"/>
      <c r="B6557" s="8" t="n"/>
      <c r="C6557" s="8" t="n"/>
      <c r="D6557" s="8" t="n"/>
      <c r="E6557" s="8" t="n"/>
      <c r="F6557" s="8" t="n"/>
      <c r="G6557" s="8" t="n"/>
      <c r="H6557" s="8" t="n"/>
      <c r="I6557" s="8" t="n"/>
      <c r="J6557" s="8" t="n"/>
      <c r="K6557" s="8" t="n"/>
      <c r="L6557" s="8" t="n"/>
      <c r="M6557" s="9">
        <f>B6557+30</f>
        <v/>
      </c>
      <c r="N6557">
        <f>IF(L6557="", "", L6557-B6557)</f>
        <v/>
      </c>
      <c r="O6557">
        <f>IF(L6557="", "Pending", IF(N6557&lt;=30, "Met", "Breached"))</f>
        <v/>
      </c>
      <c r="P6557" s="8" t="n"/>
      <c r="Q6557" s="8" t="n"/>
      <c r="R6557" s="8" t="n"/>
      <c r="S6557" s="8" t="n"/>
      <c r="T6557" s="8" t="n"/>
      <c r="U6557" s="8" t="n"/>
      <c r="V6557" s="8" t="n"/>
      <c r="W6557" s="8" t="n"/>
      <c r="X6557" s="8" t="n"/>
      <c r="Y6557" s="8" t="n"/>
    </row>
    <row r="6558">
      <c r="A6558" s="8" t="n"/>
      <c r="B6558" s="8" t="n"/>
      <c r="C6558" s="8" t="n"/>
      <c r="D6558" s="8" t="n"/>
      <c r="E6558" s="8" t="n"/>
      <c r="F6558" s="8" t="n"/>
      <c r="G6558" s="8" t="n"/>
      <c r="H6558" s="8" t="n"/>
      <c r="I6558" s="8" t="n"/>
      <c r="J6558" s="8" t="n"/>
      <c r="K6558" s="8" t="n"/>
      <c r="L6558" s="8" t="n"/>
      <c r="M6558" s="9">
        <f>B6558+30</f>
        <v/>
      </c>
      <c r="N6558">
        <f>IF(L6558="", "", L6558-B6558)</f>
        <v/>
      </c>
      <c r="O6558">
        <f>IF(L6558="", "Pending", IF(N6558&lt;=30, "Met", "Breached"))</f>
        <v/>
      </c>
      <c r="P6558" s="8" t="n"/>
      <c r="Q6558" s="8" t="n"/>
      <c r="R6558" s="8" t="n"/>
      <c r="S6558" s="8" t="n"/>
      <c r="T6558" s="8" t="n"/>
      <c r="U6558" s="8" t="n"/>
      <c r="V6558" s="8" t="n"/>
      <c r="W6558" s="8" t="n"/>
      <c r="X6558" s="8" t="n"/>
      <c r="Y6558" s="8" t="n"/>
    </row>
    <row r="6559">
      <c r="A6559" s="8" t="n"/>
      <c r="B6559" s="8" t="n"/>
      <c r="C6559" s="8" t="n"/>
      <c r="D6559" s="8" t="n"/>
      <c r="E6559" s="8" t="n"/>
      <c r="F6559" s="8" t="n"/>
      <c r="G6559" s="8" t="n"/>
      <c r="H6559" s="8" t="n"/>
      <c r="I6559" s="8" t="n"/>
      <c r="J6559" s="8" t="n"/>
      <c r="K6559" s="8" t="n"/>
      <c r="L6559" s="8" t="n"/>
      <c r="M6559" s="9">
        <f>B6559+30</f>
        <v/>
      </c>
      <c r="N6559">
        <f>IF(L6559="", "", L6559-B6559)</f>
        <v/>
      </c>
      <c r="O6559">
        <f>IF(L6559="", "Pending", IF(N6559&lt;=30, "Met", "Breached"))</f>
        <v/>
      </c>
      <c r="P6559" s="8" t="n"/>
      <c r="Q6559" s="8" t="n"/>
      <c r="R6559" s="8" t="n"/>
      <c r="S6559" s="8" t="n"/>
      <c r="T6559" s="8" t="n"/>
      <c r="U6559" s="8" t="n"/>
      <c r="V6559" s="8" t="n"/>
      <c r="W6559" s="8" t="n"/>
      <c r="X6559" s="8" t="n"/>
      <c r="Y6559" s="8" t="n"/>
    </row>
    <row r="6560">
      <c r="A6560" s="8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8" t="n"/>
      <c r="K6560" s="8" t="n"/>
      <c r="L6560" s="8" t="n"/>
      <c r="M6560" s="9">
        <f>B6560+30</f>
        <v/>
      </c>
      <c r="N6560">
        <f>IF(L6560="", "", L6560-B6560)</f>
        <v/>
      </c>
      <c r="O6560">
        <f>IF(L6560="", "Pending", IF(N6560&lt;=30, "Met", "Breached"))</f>
        <v/>
      </c>
      <c r="P6560" s="8" t="n"/>
      <c r="Q6560" s="8" t="n"/>
      <c r="R6560" s="8" t="n"/>
      <c r="S6560" s="8" t="n"/>
      <c r="T6560" s="8" t="n"/>
      <c r="U6560" s="8" t="n"/>
      <c r="V6560" s="8" t="n"/>
      <c r="W6560" s="8" t="n"/>
      <c r="X6560" s="8" t="n"/>
      <c r="Y6560" s="8" t="n"/>
    </row>
    <row r="6561">
      <c r="A6561" s="8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8" t="n"/>
      <c r="K6561" s="8" t="n"/>
      <c r="L6561" s="8" t="n"/>
      <c r="M6561" s="9">
        <f>B6561+30</f>
        <v/>
      </c>
      <c r="N6561">
        <f>IF(L6561="", "", L6561-B6561)</f>
        <v/>
      </c>
      <c r="O6561">
        <f>IF(L6561="", "Pending", IF(N6561&lt;=30, "Met", "Breached"))</f>
        <v/>
      </c>
      <c r="P6561" s="8" t="n"/>
      <c r="Q6561" s="8" t="n"/>
      <c r="R6561" s="8" t="n"/>
      <c r="S6561" s="8" t="n"/>
      <c r="T6561" s="8" t="n"/>
      <c r="U6561" s="8" t="n"/>
      <c r="V6561" s="8" t="n"/>
      <c r="W6561" s="8" t="n"/>
      <c r="X6561" s="8" t="n"/>
      <c r="Y6561" s="8" t="n"/>
    </row>
    <row r="6562">
      <c r="A6562" s="8" t="n"/>
      <c r="B6562" s="8" t="n"/>
      <c r="C6562" s="8" t="n"/>
      <c r="D6562" s="8" t="n"/>
      <c r="E6562" s="8" t="n"/>
      <c r="F6562" s="8" t="n"/>
      <c r="G6562" s="8" t="n"/>
      <c r="H6562" s="8" t="n"/>
      <c r="I6562" s="8" t="n"/>
      <c r="J6562" s="8" t="n"/>
      <c r="K6562" s="8" t="n"/>
      <c r="L6562" s="8" t="n"/>
      <c r="M6562" s="9">
        <f>B6562+30</f>
        <v/>
      </c>
      <c r="N6562">
        <f>IF(L6562="", "", L6562-B6562)</f>
        <v/>
      </c>
      <c r="O6562">
        <f>IF(L6562="", "Pending", IF(N6562&lt;=30, "Met", "Breached"))</f>
        <v/>
      </c>
      <c r="P6562" s="8" t="n"/>
      <c r="Q6562" s="8" t="n"/>
      <c r="R6562" s="8" t="n"/>
      <c r="S6562" s="8" t="n"/>
      <c r="T6562" s="8" t="n"/>
      <c r="U6562" s="8" t="n"/>
      <c r="V6562" s="8" t="n"/>
      <c r="W6562" s="8" t="n"/>
      <c r="X6562" s="8" t="n"/>
      <c r="Y6562" s="8" t="n"/>
    </row>
    <row r="6563">
      <c r="A6563" s="8" t="n"/>
      <c r="B6563" s="8" t="n"/>
      <c r="C6563" s="8" t="n"/>
      <c r="D6563" s="8" t="n"/>
      <c r="E6563" s="8" t="n"/>
      <c r="F6563" s="8" t="n"/>
      <c r="G6563" s="8" t="n"/>
      <c r="H6563" s="8" t="n"/>
      <c r="I6563" s="8" t="n"/>
      <c r="J6563" s="8" t="n"/>
      <c r="K6563" s="8" t="n"/>
      <c r="L6563" s="8" t="n"/>
      <c r="M6563" s="9">
        <f>B6563+30</f>
        <v/>
      </c>
      <c r="N6563">
        <f>IF(L6563="", "", L6563-B6563)</f>
        <v/>
      </c>
      <c r="O6563">
        <f>IF(L6563="", "Pending", IF(N6563&lt;=30, "Met", "Breached"))</f>
        <v/>
      </c>
      <c r="P6563" s="8" t="n"/>
      <c r="Q6563" s="8" t="n"/>
      <c r="R6563" s="8" t="n"/>
      <c r="S6563" s="8" t="n"/>
      <c r="T6563" s="8" t="n"/>
      <c r="U6563" s="8" t="n"/>
      <c r="V6563" s="8" t="n"/>
      <c r="W6563" s="8" t="n"/>
      <c r="X6563" s="8" t="n"/>
      <c r="Y6563" s="8" t="n"/>
    </row>
    <row r="6564">
      <c r="A6564" s="8" t="n"/>
      <c r="B6564" s="8" t="n"/>
      <c r="C6564" s="8" t="n"/>
      <c r="D6564" s="8" t="n"/>
      <c r="E6564" s="8" t="n"/>
      <c r="F6564" s="8" t="n"/>
      <c r="G6564" s="8" t="n"/>
      <c r="H6564" s="8" t="n"/>
      <c r="I6564" s="8" t="n"/>
      <c r="J6564" s="8" t="n"/>
      <c r="K6564" s="8" t="n"/>
      <c r="L6564" s="8" t="n"/>
      <c r="M6564" s="9">
        <f>B6564+30</f>
        <v/>
      </c>
      <c r="N6564">
        <f>IF(L6564="", "", L6564-B6564)</f>
        <v/>
      </c>
      <c r="O6564">
        <f>IF(L6564="", "Pending", IF(N6564&lt;=30, "Met", "Breached"))</f>
        <v/>
      </c>
      <c r="P6564" s="8" t="n"/>
      <c r="Q6564" s="8" t="n"/>
      <c r="R6564" s="8" t="n"/>
      <c r="S6564" s="8" t="n"/>
      <c r="T6564" s="8" t="n"/>
      <c r="U6564" s="8" t="n"/>
      <c r="V6564" s="8" t="n"/>
      <c r="W6564" s="8" t="n"/>
      <c r="X6564" s="8" t="n"/>
      <c r="Y6564" s="8" t="n"/>
    </row>
    <row r="6565">
      <c r="A6565" s="8" t="n"/>
      <c r="B6565" s="8" t="n"/>
      <c r="C6565" s="8" t="n"/>
      <c r="D6565" s="8" t="n"/>
      <c r="E6565" s="8" t="n"/>
      <c r="F6565" s="8" t="n"/>
      <c r="G6565" s="8" t="n"/>
      <c r="H6565" s="8" t="n"/>
      <c r="I6565" s="8" t="n"/>
      <c r="J6565" s="8" t="n"/>
      <c r="K6565" s="8" t="n"/>
      <c r="L6565" s="8" t="n"/>
      <c r="M6565" s="9">
        <f>B6565+30</f>
        <v/>
      </c>
      <c r="N6565">
        <f>IF(L6565="", "", L6565-B6565)</f>
        <v/>
      </c>
      <c r="O6565">
        <f>IF(L6565="", "Pending", IF(N6565&lt;=30, "Met", "Breached"))</f>
        <v/>
      </c>
      <c r="P6565" s="8" t="n"/>
      <c r="Q6565" s="8" t="n"/>
      <c r="R6565" s="8" t="n"/>
      <c r="S6565" s="8" t="n"/>
      <c r="T6565" s="8" t="n"/>
      <c r="U6565" s="8" t="n"/>
      <c r="V6565" s="8" t="n"/>
      <c r="W6565" s="8" t="n"/>
      <c r="X6565" s="8" t="n"/>
      <c r="Y6565" s="8" t="n"/>
    </row>
    <row r="6566">
      <c r="A6566" s="8" t="n"/>
      <c r="B6566" s="8" t="n"/>
      <c r="C6566" s="8" t="n"/>
      <c r="D6566" s="8" t="n"/>
      <c r="E6566" s="8" t="n"/>
      <c r="F6566" s="8" t="n"/>
      <c r="G6566" s="8" t="n"/>
      <c r="H6566" s="8" t="n"/>
      <c r="I6566" s="8" t="n"/>
      <c r="J6566" s="8" t="n"/>
      <c r="K6566" s="8" t="n"/>
      <c r="L6566" s="8" t="n"/>
      <c r="M6566" s="9">
        <f>B6566+30</f>
        <v/>
      </c>
      <c r="N6566">
        <f>IF(L6566="", "", L6566-B6566)</f>
        <v/>
      </c>
      <c r="O6566">
        <f>IF(L6566="", "Pending", IF(N6566&lt;=30, "Met", "Breached"))</f>
        <v/>
      </c>
      <c r="P6566" s="8" t="n"/>
      <c r="Q6566" s="8" t="n"/>
      <c r="R6566" s="8" t="n"/>
      <c r="S6566" s="8" t="n"/>
      <c r="T6566" s="8" t="n"/>
      <c r="U6566" s="8" t="n"/>
      <c r="V6566" s="8" t="n"/>
      <c r="W6566" s="8" t="n"/>
      <c r="X6566" s="8" t="n"/>
      <c r="Y6566" s="8" t="n"/>
    </row>
    <row r="6567">
      <c r="A6567" s="8" t="n"/>
      <c r="B6567" s="8" t="n"/>
      <c r="C6567" s="8" t="n"/>
      <c r="D6567" s="8" t="n"/>
      <c r="E6567" s="8" t="n"/>
      <c r="F6567" s="8" t="n"/>
      <c r="G6567" s="8" t="n"/>
      <c r="H6567" s="8" t="n"/>
      <c r="I6567" s="8" t="n"/>
      <c r="J6567" s="8" t="n"/>
      <c r="K6567" s="8" t="n"/>
      <c r="L6567" s="8" t="n"/>
      <c r="M6567" s="9">
        <f>B6567+30</f>
        <v/>
      </c>
      <c r="N6567">
        <f>IF(L6567="", "", L6567-B6567)</f>
        <v/>
      </c>
      <c r="O6567">
        <f>IF(L6567="", "Pending", IF(N6567&lt;=30, "Met", "Breached"))</f>
        <v/>
      </c>
      <c r="P6567" s="8" t="n"/>
      <c r="Q6567" s="8" t="n"/>
      <c r="R6567" s="8" t="n"/>
      <c r="S6567" s="8" t="n"/>
      <c r="T6567" s="8" t="n"/>
      <c r="U6567" s="8" t="n"/>
      <c r="V6567" s="8" t="n"/>
      <c r="W6567" s="8" t="n"/>
      <c r="X6567" s="8" t="n"/>
      <c r="Y6567" s="8" t="n"/>
    </row>
    <row r="6568">
      <c r="A6568" s="8" t="n"/>
      <c r="B6568" s="8" t="n"/>
      <c r="C6568" s="8" t="n"/>
      <c r="D6568" s="8" t="n"/>
      <c r="E6568" s="8" t="n"/>
      <c r="F6568" s="8" t="n"/>
      <c r="G6568" s="8" t="n"/>
      <c r="H6568" s="8" t="n"/>
      <c r="I6568" s="8" t="n"/>
      <c r="J6568" s="8" t="n"/>
      <c r="K6568" s="8" t="n"/>
      <c r="L6568" s="8" t="n"/>
      <c r="M6568" s="9">
        <f>B6568+30</f>
        <v/>
      </c>
      <c r="N6568">
        <f>IF(L6568="", "", L6568-B6568)</f>
        <v/>
      </c>
      <c r="O6568">
        <f>IF(L6568="", "Pending", IF(N6568&lt;=30, "Met", "Breached"))</f>
        <v/>
      </c>
      <c r="P6568" s="8" t="n"/>
      <c r="Q6568" s="8" t="n"/>
      <c r="R6568" s="8" t="n"/>
      <c r="S6568" s="8" t="n"/>
      <c r="T6568" s="8" t="n"/>
      <c r="U6568" s="8" t="n"/>
      <c r="V6568" s="8" t="n"/>
      <c r="W6568" s="8" t="n"/>
      <c r="X6568" s="8" t="n"/>
      <c r="Y6568" s="8" t="n"/>
    </row>
    <row r="6569">
      <c r="A6569" s="8" t="n"/>
      <c r="B6569" s="8" t="n"/>
      <c r="C6569" s="8" t="n"/>
      <c r="D6569" s="8" t="n"/>
      <c r="E6569" s="8" t="n"/>
      <c r="F6569" s="8" t="n"/>
      <c r="G6569" s="8" t="n"/>
      <c r="H6569" s="8" t="n"/>
      <c r="I6569" s="8" t="n"/>
      <c r="J6569" s="8" t="n"/>
      <c r="K6569" s="8" t="n"/>
      <c r="L6569" s="8" t="n"/>
      <c r="M6569" s="9">
        <f>B6569+30</f>
        <v/>
      </c>
      <c r="N6569">
        <f>IF(L6569="", "", L6569-B6569)</f>
        <v/>
      </c>
      <c r="O6569">
        <f>IF(L6569="", "Pending", IF(N6569&lt;=30, "Met", "Breached"))</f>
        <v/>
      </c>
      <c r="P6569" s="8" t="n"/>
      <c r="Q6569" s="8" t="n"/>
      <c r="R6569" s="8" t="n"/>
      <c r="S6569" s="8" t="n"/>
      <c r="T6569" s="8" t="n"/>
      <c r="U6569" s="8" t="n"/>
      <c r="V6569" s="8" t="n"/>
      <c r="W6569" s="8" t="n"/>
      <c r="X6569" s="8" t="n"/>
      <c r="Y6569" s="8" t="n"/>
    </row>
    <row r="6570">
      <c r="A6570" s="8" t="n"/>
      <c r="B6570" s="8" t="n"/>
      <c r="C6570" s="8" t="n"/>
      <c r="D6570" s="8" t="n"/>
      <c r="E6570" s="8" t="n"/>
      <c r="F6570" s="8" t="n"/>
      <c r="G6570" s="8" t="n"/>
      <c r="H6570" s="8" t="n"/>
      <c r="I6570" s="8" t="n"/>
      <c r="J6570" s="8" t="n"/>
      <c r="K6570" s="8" t="n"/>
      <c r="L6570" s="8" t="n"/>
      <c r="M6570" s="9">
        <f>B6570+30</f>
        <v/>
      </c>
      <c r="N6570">
        <f>IF(L6570="", "", L6570-B6570)</f>
        <v/>
      </c>
      <c r="O6570">
        <f>IF(L6570="", "Pending", IF(N6570&lt;=30, "Met", "Breached"))</f>
        <v/>
      </c>
      <c r="P6570" s="8" t="n"/>
      <c r="Q6570" s="8" t="n"/>
      <c r="R6570" s="8" t="n"/>
      <c r="S6570" s="8" t="n"/>
      <c r="T6570" s="8" t="n"/>
      <c r="U6570" s="8" t="n"/>
      <c r="V6570" s="8" t="n"/>
      <c r="W6570" s="8" t="n"/>
      <c r="X6570" s="8" t="n"/>
      <c r="Y6570" s="8" t="n"/>
    </row>
    <row r="6571">
      <c r="A6571" s="8" t="n"/>
      <c r="B6571" s="8" t="n"/>
      <c r="C6571" s="8" t="n"/>
      <c r="D6571" s="8" t="n"/>
      <c r="E6571" s="8" t="n"/>
      <c r="F6571" s="8" t="n"/>
      <c r="G6571" s="8" t="n"/>
      <c r="H6571" s="8" t="n"/>
      <c r="I6571" s="8" t="n"/>
      <c r="J6571" s="8" t="n"/>
      <c r="K6571" s="8" t="n"/>
      <c r="L6571" s="8" t="n"/>
      <c r="M6571" s="9">
        <f>B6571+30</f>
        <v/>
      </c>
      <c r="N6571">
        <f>IF(L6571="", "", L6571-B6571)</f>
        <v/>
      </c>
      <c r="O6571">
        <f>IF(L6571="", "Pending", IF(N6571&lt;=30, "Met", "Breached"))</f>
        <v/>
      </c>
      <c r="P6571" s="8" t="n"/>
      <c r="Q6571" s="8" t="n"/>
      <c r="R6571" s="8" t="n"/>
      <c r="S6571" s="8" t="n"/>
      <c r="T6571" s="8" t="n"/>
      <c r="U6571" s="8" t="n"/>
      <c r="V6571" s="8" t="n"/>
      <c r="W6571" s="8" t="n"/>
      <c r="X6571" s="8" t="n"/>
      <c r="Y6571" s="8" t="n"/>
    </row>
    <row r="6572">
      <c r="A6572" s="8" t="n"/>
      <c r="B6572" s="8" t="n"/>
      <c r="C6572" s="8" t="n"/>
      <c r="D6572" s="8" t="n"/>
      <c r="E6572" s="8" t="n"/>
      <c r="F6572" s="8" t="n"/>
      <c r="G6572" s="8" t="n"/>
      <c r="H6572" s="8" t="n"/>
      <c r="I6572" s="8" t="n"/>
      <c r="J6572" s="8" t="n"/>
      <c r="K6572" s="8" t="n"/>
      <c r="L6572" s="8" t="n"/>
      <c r="M6572" s="9">
        <f>B6572+30</f>
        <v/>
      </c>
      <c r="N6572">
        <f>IF(L6572="", "", L6572-B6572)</f>
        <v/>
      </c>
      <c r="O6572">
        <f>IF(L6572="", "Pending", IF(N6572&lt;=30, "Met", "Breached"))</f>
        <v/>
      </c>
      <c r="P6572" s="8" t="n"/>
      <c r="Q6572" s="8" t="n"/>
      <c r="R6572" s="8" t="n"/>
      <c r="S6572" s="8" t="n"/>
      <c r="T6572" s="8" t="n"/>
      <c r="U6572" s="8" t="n"/>
      <c r="V6572" s="8" t="n"/>
      <c r="W6572" s="8" t="n"/>
      <c r="X6572" s="8" t="n"/>
      <c r="Y6572" s="8" t="n"/>
    </row>
    <row r="6573">
      <c r="A6573" s="8" t="n"/>
      <c r="B6573" s="8" t="n"/>
      <c r="C6573" s="8" t="n"/>
      <c r="D6573" s="8" t="n"/>
      <c r="E6573" s="8" t="n"/>
      <c r="F6573" s="8" t="n"/>
      <c r="G6573" s="8" t="n"/>
      <c r="H6573" s="8" t="n"/>
      <c r="I6573" s="8" t="n"/>
      <c r="J6573" s="8" t="n"/>
      <c r="K6573" s="8" t="n"/>
      <c r="L6573" s="8" t="n"/>
      <c r="M6573" s="9">
        <f>B6573+30</f>
        <v/>
      </c>
      <c r="N6573">
        <f>IF(L6573="", "", L6573-B6573)</f>
        <v/>
      </c>
      <c r="O6573">
        <f>IF(L6573="", "Pending", IF(N6573&lt;=30, "Met", "Breached"))</f>
        <v/>
      </c>
      <c r="P6573" s="8" t="n"/>
      <c r="Q6573" s="8" t="n"/>
      <c r="R6573" s="8" t="n"/>
      <c r="S6573" s="8" t="n"/>
      <c r="T6573" s="8" t="n"/>
      <c r="U6573" s="8" t="n"/>
      <c r="V6573" s="8" t="n"/>
      <c r="W6573" s="8" t="n"/>
      <c r="X6573" s="8" t="n"/>
      <c r="Y6573" s="8" t="n"/>
    </row>
    <row r="6574">
      <c r="A6574" s="8" t="n"/>
      <c r="B6574" s="8" t="n"/>
      <c r="C6574" s="8" t="n"/>
      <c r="D6574" s="8" t="n"/>
      <c r="E6574" s="8" t="n"/>
      <c r="F6574" s="8" t="n"/>
      <c r="G6574" s="8" t="n"/>
      <c r="H6574" s="8" t="n"/>
      <c r="I6574" s="8" t="n"/>
      <c r="J6574" s="8" t="n"/>
      <c r="K6574" s="8" t="n"/>
      <c r="L6574" s="8" t="n"/>
      <c r="M6574" s="9">
        <f>B6574+30</f>
        <v/>
      </c>
      <c r="N6574">
        <f>IF(L6574="", "", L6574-B6574)</f>
        <v/>
      </c>
      <c r="O6574">
        <f>IF(L6574="", "Pending", IF(N6574&lt;=30, "Met", "Breached"))</f>
        <v/>
      </c>
      <c r="P6574" s="8" t="n"/>
      <c r="Q6574" s="8" t="n"/>
      <c r="R6574" s="8" t="n"/>
      <c r="S6574" s="8" t="n"/>
      <c r="T6574" s="8" t="n"/>
      <c r="U6574" s="8" t="n"/>
      <c r="V6574" s="8" t="n"/>
      <c r="W6574" s="8" t="n"/>
      <c r="X6574" s="8" t="n"/>
      <c r="Y6574" s="8" t="n"/>
    </row>
    <row r="6575">
      <c r="A6575" s="8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8" t="n"/>
      <c r="K6575" s="8" t="n"/>
      <c r="L6575" s="8" t="n"/>
      <c r="M6575" s="9">
        <f>B6575+30</f>
        <v/>
      </c>
      <c r="N6575">
        <f>IF(L6575="", "", L6575-B6575)</f>
        <v/>
      </c>
      <c r="O6575">
        <f>IF(L6575="", "Pending", IF(N6575&lt;=30, "Met", "Breached"))</f>
        <v/>
      </c>
      <c r="P6575" s="8" t="n"/>
      <c r="Q6575" s="8" t="n"/>
      <c r="R6575" s="8" t="n"/>
      <c r="S6575" s="8" t="n"/>
      <c r="T6575" s="8" t="n"/>
      <c r="U6575" s="8" t="n"/>
      <c r="V6575" s="8" t="n"/>
      <c r="W6575" s="8" t="n"/>
      <c r="X6575" s="8" t="n"/>
      <c r="Y6575" s="8" t="n"/>
    </row>
    <row r="6576">
      <c r="A6576" s="8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8" t="n"/>
      <c r="K6576" s="8" t="n"/>
      <c r="L6576" s="8" t="n"/>
      <c r="M6576" s="9">
        <f>B6576+30</f>
        <v/>
      </c>
      <c r="N6576">
        <f>IF(L6576="", "", L6576-B6576)</f>
        <v/>
      </c>
      <c r="O6576">
        <f>IF(L6576="", "Pending", IF(N6576&lt;=30, "Met", "Breached"))</f>
        <v/>
      </c>
      <c r="P6576" s="8" t="n"/>
      <c r="Q6576" s="8" t="n"/>
      <c r="R6576" s="8" t="n"/>
      <c r="S6576" s="8" t="n"/>
      <c r="T6576" s="8" t="n"/>
      <c r="U6576" s="8" t="n"/>
      <c r="V6576" s="8" t="n"/>
      <c r="W6576" s="8" t="n"/>
      <c r="X6576" s="8" t="n"/>
      <c r="Y6576" s="8" t="n"/>
    </row>
    <row r="6577">
      <c r="A6577" s="8" t="n"/>
      <c r="B6577" s="8" t="n"/>
      <c r="C6577" s="8" t="n"/>
      <c r="D6577" s="8" t="n"/>
      <c r="E6577" s="8" t="n"/>
      <c r="F6577" s="8" t="n"/>
      <c r="G6577" s="8" t="n"/>
      <c r="H6577" s="8" t="n"/>
      <c r="I6577" s="8" t="n"/>
      <c r="J6577" s="8" t="n"/>
      <c r="K6577" s="8" t="n"/>
      <c r="L6577" s="8" t="n"/>
      <c r="M6577" s="9">
        <f>B6577+30</f>
        <v/>
      </c>
      <c r="N6577">
        <f>IF(L6577="", "", L6577-B6577)</f>
        <v/>
      </c>
      <c r="O6577">
        <f>IF(L6577="", "Pending", IF(N6577&lt;=30, "Met", "Breached"))</f>
        <v/>
      </c>
      <c r="P6577" s="8" t="n"/>
      <c r="Q6577" s="8" t="n"/>
      <c r="R6577" s="8" t="n"/>
      <c r="S6577" s="8" t="n"/>
      <c r="T6577" s="8" t="n"/>
      <c r="U6577" s="8" t="n"/>
      <c r="V6577" s="8" t="n"/>
      <c r="W6577" s="8" t="n"/>
      <c r="X6577" s="8" t="n"/>
      <c r="Y6577" s="8" t="n"/>
    </row>
    <row r="6578">
      <c r="A6578" s="8" t="n"/>
      <c r="B6578" s="8" t="n"/>
      <c r="C6578" s="8" t="n"/>
      <c r="D6578" s="8" t="n"/>
      <c r="E6578" s="8" t="n"/>
      <c r="F6578" s="8" t="n"/>
      <c r="G6578" s="8" t="n"/>
      <c r="H6578" s="8" t="n"/>
      <c r="I6578" s="8" t="n"/>
      <c r="J6578" s="8" t="n"/>
      <c r="K6578" s="8" t="n"/>
      <c r="L6578" s="8" t="n"/>
      <c r="M6578" s="9">
        <f>B6578+30</f>
        <v/>
      </c>
      <c r="N6578">
        <f>IF(L6578="", "", L6578-B6578)</f>
        <v/>
      </c>
      <c r="O6578">
        <f>IF(L6578="", "Pending", IF(N6578&lt;=30, "Met", "Breached"))</f>
        <v/>
      </c>
      <c r="P6578" s="8" t="n"/>
      <c r="Q6578" s="8" t="n"/>
      <c r="R6578" s="8" t="n"/>
      <c r="S6578" s="8" t="n"/>
      <c r="T6578" s="8" t="n"/>
      <c r="U6578" s="8" t="n"/>
      <c r="V6578" s="8" t="n"/>
      <c r="W6578" s="8" t="n"/>
      <c r="X6578" s="8" t="n"/>
      <c r="Y6578" s="8" t="n"/>
    </row>
    <row r="6579">
      <c r="A6579" s="8" t="n"/>
      <c r="B6579" s="8" t="n"/>
      <c r="C6579" s="8" t="n"/>
      <c r="D6579" s="8" t="n"/>
      <c r="E6579" s="8" t="n"/>
      <c r="F6579" s="8" t="n"/>
      <c r="G6579" s="8" t="n"/>
      <c r="H6579" s="8" t="n"/>
      <c r="I6579" s="8" t="n"/>
      <c r="J6579" s="8" t="n"/>
      <c r="K6579" s="8" t="n"/>
      <c r="L6579" s="8" t="n"/>
      <c r="M6579" s="9">
        <f>B6579+30</f>
        <v/>
      </c>
      <c r="N6579">
        <f>IF(L6579="", "", L6579-B6579)</f>
        <v/>
      </c>
      <c r="O6579">
        <f>IF(L6579="", "Pending", IF(N6579&lt;=30, "Met", "Breached"))</f>
        <v/>
      </c>
      <c r="P6579" s="8" t="n"/>
      <c r="Q6579" s="8" t="n"/>
      <c r="R6579" s="8" t="n"/>
      <c r="S6579" s="8" t="n"/>
      <c r="T6579" s="8" t="n"/>
      <c r="U6579" s="8" t="n"/>
      <c r="V6579" s="8" t="n"/>
      <c r="W6579" s="8" t="n"/>
      <c r="X6579" s="8" t="n"/>
      <c r="Y6579" s="8" t="n"/>
    </row>
    <row r="6580">
      <c r="A6580" s="8" t="n"/>
      <c r="B6580" s="8" t="n"/>
      <c r="C6580" s="8" t="n"/>
      <c r="D6580" s="8" t="n"/>
      <c r="E6580" s="8" t="n"/>
      <c r="F6580" s="8" t="n"/>
      <c r="G6580" s="8" t="n"/>
      <c r="H6580" s="8" t="n"/>
      <c r="I6580" s="8" t="n"/>
      <c r="J6580" s="8" t="n"/>
      <c r="K6580" s="8" t="n"/>
      <c r="L6580" s="8" t="n"/>
      <c r="M6580" s="9">
        <f>B6580+30</f>
        <v/>
      </c>
      <c r="N6580">
        <f>IF(L6580="", "", L6580-B6580)</f>
        <v/>
      </c>
      <c r="O6580">
        <f>IF(L6580="", "Pending", IF(N6580&lt;=30, "Met", "Breached"))</f>
        <v/>
      </c>
      <c r="P6580" s="8" t="n"/>
      <c r="Q6580" s="8" t="n"/>
      <c r="R6580" s="8" t="n"/>
      <c r="S6580" s="8" t="n"/>
      <c r="T6580" s="8" t="n"/>
      <c r="U6580" s="8" t="n"/>
      <c r="V6580" s="8" t="n"/>
      <c r="W6580" s="8" t="n"/>
      <c r="X6580" s="8" t="n"/>
      <c r="Y6580" s="8" t="n"/>
    </row>
    <row r="6581">
      <c r="A6581" s="8" t="n"/>
      <c r="B6581" s="8" t="n"/>
      <c r="C6581" s="8" t="n"/>
      <c r="D6581" s="8" t="n"/>
      <c r="E6581" s="8" t="n"/>
      <c r="F6581" s="8" t="n"/>
      <c r="G6581" s="8" t="n"/>
      <c r="H6581" s="8" t="n"/>
      <c r="I6581" s="8" t="n"/>
      <c r="J6581" s="8" t="n"/>
      <c r="K6581" s="8" t="n"/>
      <c r="L6581" s="8" t="n"/>
      <c r="M6581" s="9">
        <f>B6581+30</f>
        <v/>
      </c>
      <c r="N6581">
        <f>IF(L6581="", "", L6581-B6581)</f>
        <v/>
      </c>
      <c r="O6581">
        <f>IF(L6581="", "Pending", IF(N6581&lt;=30, "Met", "Breached"))</f>
        <v/>
      </c>
      <c r="P6581" s="8" t="n"/>
      <c r="Q6581" s="8" t="n"/>
      <c r="R6581" s="8" t="n"/>
      <c r="S6581" s="8" t="n"/>
      <c r="T6581" s="8" t="n"/>
      <c r="U6581" s="8" t="n"/>
      <c r="V6581" s="8" t="n"/>
      <c r="W6581" s="8" t="n"/>
      <c r="X6581" s="8" t="n"/>
      <c r="Y6581" s="8" t="n"/>
    </row>
    <row r="6582">
      <c r="A6582" s="8" t="n"/>
      <c r="B6582" s="8" t="n"/>
      <c r="C6582" s="8" t="n"/>
      <c r="D6582" s="8" t="n"/>
      <c r="E6582" s="8" t="n"/>
      <c r="F6582" s="8" t="n"/>
      <c r="G6582" s="8" t="n"/>
      <c r="H6582" s="8" t="n"/>
      <c r="I6582" s="8" t="n"/>
      <c r="J6582" s="8" t="n"/>
      <c r="K6582" s="8" t="n"/>
      <c r="L6582" s="8" t="n"/>
      <c r="M6582" s="9">
        <f>B6582+30</f>
        <v/>
      </c>
      <c r="N6582">
        <f>IF(L6582="", "", L6582-B6582)</f>
        <v/>
      </c>
      <c r="O6582">
        <f>IF(L6582="", "Pending", IF(N6582&lt;=30, "Met", "Breached"))</f>
        <v/>
      </c>
      <c r="P6582" s="8" t="n"/>
      <c r="Q6582" s="8" t="n"/>
      <c r="R6582" s="8" t="n"/>
      <c r="S6582" s="8" t="n"/>
      <c r="T6582" s="8" t="n"/>
      <c r="U6582" s="8" t="n"/>
      <c r="V6582" s="8" t="n"/>
      <c r="W6582" s="8" t="n"/>
      <c r="X6582" s="8" t="n"/>
      <c r="Y6582" s="8" t="n"/>
    </row>
    <row r="6583">
      <c r="A6583" s="8" t="n"/>
      <c r="B6583" s="8" t="n"/>
      <c r="C6583" s="8" t="n"/>
      <c r="D6583" s="8" t="n"/>
      <c r="E6583" s="8" t="n"/>
      <c r="F6583" s="8" t="n"/>
      <c r="G6583" s="8" t="n"/>
      <c r="H6583" s="8" t="n"/>
      <c r="I6583" s="8" t="n"/>
      <c r="J6583" s="8" t="n"/>
      <c r="K6583" s="8" t="n"/>
      <c r="L6583" s="8" t="n"/>
      <c r="M6583" s="9">
        <f>B6583+30</f>
        <v/>
      </c>
      <c r="N6583">
        <f>IF(L6583="", "", L6583-B6583)</f>
        <v/>
      </c>
      <c r="O6583">
        <f>IF(L6583="", "Pending", IF(N6583&lt;=30, "Met", "Breached"))</f>
        <v/>
      </c>
      <c r="P6583" s="8" t="n"/>
      <c r="Q6583" s="8" t="n"/>
      <c r="R6583" s="8" t="n"/>
      <c r="S6583" s="8" t="n"/>
      <c r="T6583" s="8" t="n"/>
      <c r="U6583" s="8" t="n"/>
      <c r="V6583" s="8" t="n"/>
      <c r="W6583" s="8" t="n"/>
      <c r="X6583" s="8" t="n"/>
      <c r="Y6583" s="8" t="n"/>
    </row>
    <row r="6584">
      <c r="A6584" s="8" t="n"/>
      <c r="B6584" s="8" t="n"/>
      <c r="C6584" s="8" t="n"/>
      <c r="D6584" s="8" t="n"/>
      <c r="E6584" s="8" t="n"/>
      <c r="F6584" s="8" t="n"/>
      <c r="G6584" s="8" t="n"/>
      <c r="H6584" s="8" t="n"/>
      <c r="I6584" s="8" t="n"/>
      <c r="J6584" s="8" t="n"/>
      <c r="K6584" s="8" t="n"/>
      <c r="L6584" s="8" t="n"/>
      <c r="M6584" s="9">
        <f>B6584+30</f>
        <v/>
      </c>
      <c r="N6584">
        <f>IF(L6584="", "", L6584-B6584)</f>
        <v/>
      </c>
      <c r="O6584">
        <f>IF(L6584="", "Pending", IF(N6584&lt;=30, "Met", "Breached"))</f>
        <v/>
      </c>
      <c r="P6584" s="8" t="n"/>
      <c r="Q6584" s="8" t="n"/>
      <c r="R6584" s="8" t="n"/>
      <c r="S6584" s="8" t="n"/>
      <c r="T6584" s="8" t="n"/>
      <c r="U6584" s="8" t="n"/>
      <c r="V6584" s="8" t="n"/>
      <c r="W6584" s="8" t="n"/>
      <c r="X6584" s="8" t="n"/>
      <c r="Y6584" s="8" t="n"/>
    </row>
    <row r="6585">
      <c r="A6585" s="8" t="n"/>
      <c r="B6585" s="8" t="n"/>
      <c r="C6585" s="8" t="n"/>
      <c r="D6585" s="8" t="n"/>
      <c r="E6585" s="8" t="n"/>
      <c r="F6585" s="8" t="n"/>
      <c r="G6585" s="8" t="n"/>
      <c r="H6585" s="8" t="n"/>
      <c r="I6585" s="8" t="n"/>
      <c r="J6585" s="8" t="n"/>
      <c r="K6585" s="8" t="n"/>
      <c r="L6585" s="8" t="n"/>
      <c r="M6585" s="9">
        <f>B6585+30</f>
        <v/>
      </c>
      <c r="N6585">
        <f>IF(L6585="", "", L6585-B6585)</f>
        <v/>
      </c>
      <c r="O6585">
        <f>IF(L6585="", "Pending", IF(N6585&lt;=30, "Met", "Breached"))</f>
        <v/>
      </c>
      <c r="P6585" s="8" t="n"/>
      <c r="Q6585" s="8" t="n"/>
      <c r="R6585" s="8" t="n"/>
      <c r="S6585" s="8" t="n"/>
      <c r="T6585" s="8" t="n"/>
      <c r="U6585" s="8" t="n"/>
      <c r="V6585" s="8" t="n"/>
      <c r="W6585" s="8" t="n"/>
      <c r="X6585" s="8" t="n"/>
      <c r="Y6585" s="8" t="n"/>
    </row>
    <row r="6586">
      <c r="A6586" s="8" t="n"/>
      <c r="B6586" s="8" t="n"/>
      <c r="C6586" s="8" t="n"/>
      <c r="D6586" s="8" t="n"/>
      <c r="E6586" s="8" t="n"/>
      <c r="F6586" s="8" t="n"/>
      <c r="G6586" s="8" t="n"/>
      <c r="H6586" s="8" t="n"/>
      <c r="I6586" s="8" t="n"/>
      <c r="J6586" s="8" t="n"/>
      <c r="K6586" s="8" t="n"/>
      <c r="L6586" s="8" t="n"/>
      <c r="M6586" s="9">
        <f>B6586+30</f>
        <v/>
      </c>
      <c r="N6586">
        <f>IF(L6586="", "", L6586-B6586)</f>
        <v/>
      </c>
      <c r="O6586">
        <f>IF(L6586="", "Pending", IF(N6586&lt;=30, "Met", "Breached"))</f>
        <v/>
      </c>
      <c r="P6586" s="8" t="n"/>
      <c r="Q6586" s="8" t="n"/>
      <c r="R6586" s="8" t="n"/>
      <c r="S6586" s="8" t="n"/>
      <c r="T6586" s="8" t="n"/>
      <c r="U6586" s="8" t="n"/>
      <c r="V6586" s="8" t="n"/>
      <c r="W6586" s="8" t="n"/>
      <c r="X6586" s="8" t="n"/>
      <c r="Y6586" s="8" t="n"/>
    </row>
    <row r="6587">
      <c r="A6587" s="8" t="n"/>
      <c r="B6587" s="8" t="n"/>
      <c r="C6587" s="8" t="n"/>
      <c r="D6587" s="8" t="n"/>
      <c r="E6587" s="8" t="n"/>
      <c r="F6587" s="8" t="n"/>
      <c r="G6587" s="8" t="n"/>
      <c r="H6587" s="8" t="n"/>
      <c r="I6587" s="8" t="n"/>
      <c r="J6587" s="8" t="n"/>
      <c r="K6587" s="8" t="n"/>
      <c r="L6587" s="8" t="n"/>
      <c r="M6587" s="9">
        <f>B6587+30</f>
        <v/>
      </c>
      <c r="N6587">
        <f>IF(L6587="", "", L6587-B6587)</f>
        <v/>
      </c>
      <c r="O6587">
        <f>IF(L6587="", "Pending", IF(N6587&lt;=30, "Met", "Breached"))</f>
        <v/>
      </c>
      <c r="P6587" s="8" t="n"/>
      <c r="Q6587" s="8" t="n"/>
      <c r="R6587" s="8" t="n"/>
      <c r="S6587" s="8" t="n"/>
      <c r="T6587" s="8" t="n"/>
      <c r="U6587" s="8" t="n"/>
      <c r="V6587" s="8" t="n"/>
      <c r="W6587" s="8" t="n"/>
      <c r="X6587" s="8" t="n"/>
      <c r="Y6587" s="8" t="n"/>
    </row>
    <row r="6588">
      <c r="A6588" s="8" t="n"/>
      <c r="B6588" s="8" t="n"/>
      <c r="C6588" s="8" t="n"/>
      <c r="D6588" s="8" t="n"/>
      <c r="E6588" s="8" t="n"/>
      <c r="F6588" s="8" t="n"/>
      <c r="G6588" s="8" t="n"/>
      <c r="H6588" s="8" t="n"/>
      <c r="I6588" s="8" t="n"/>
      <c r="J6588" s="8" t="n"/>
      <c r="K6588" s="8" t="n"/>
      <c r="L6588" s="8" t="n"/>
      <c r="M6588" s="9">
        <f>B6588+30</f>
        <v/>
      </c>
      <c r="N6588">
        <f>IF(L6588="", "", L6588-B6588)</f>
        <v/>
      </c>
      <c r="O6588">
        <f>IF(L6588="", "Pending", IF(N6588&lt;=30, "Met", "Breached"))</f>
        <v/>
      </c>
      <c r="P6588" s="8" t="n"/>
      <c r="Q6588" s="8" t="n"/>
      <c r="R6588" s="8" t="n"/>
      <c r="S6588" s="8" t="n"/>
      <c r="T6588" s="8" t="n"/>
      <c r="U6588" s="8" t="n"/>
      <c r="V6588" s="8" t="n"/>
      <c r="W6588" s="8" t="n"/>
      <c r="X6588" s="8" t="n"/>
      <c r="Y6588" s="8" t="n"/>
    </row>
    <row r="6589">
      <c r="A6589" s="8" t="n"/>
      <c r="B6589" s="8" t="n"/>
      <c r="C6589" s="8" t="n"/>
      <c r="D6589" s="8" t="n"/>
      <c r="E6589" s="8" t="n"/>
      <c r="F6589" s="8" t="n"/>
      <c r="G6589" s="8" t="n"/>
      <c r="H6589" s="8" t="n"/>
      <c r="I6589" s="8" t="n"/>
      <c r="J6589" s="8" t="n"/>
      <c r="K6589" s="8" t="n"/>
      <c r="L6589" s="8" t="n"/>
      <c r="M6589" s="9">
        <f>B6589+30</f>
        <v/>
      </c>
      <c r="N6589">
        <f>IF(L6589="", "", L6589-B6589)</f>
        <v/>
      </c>
      <c r="O6589">
        <f>IF(L6589="", "Pending", IF(N6589&lt;=30, "Met", "Breached"))</f>
        <v/>
      </c>
      <c r="P6589" s="8" t="n"/>
      <c r="Q6589" s="8" t="n"/>
      <c r="R6589" s="8" t="n"/>
      <c r="S6589" s="8" t="n"/>
      <c r="T6589" s="8" t="n"/>
      <c r="U6589" s="8" t="n"/>
      <c r="V6589" s="8" t="n"/>
      <c r="W6589" s="8" t="n"/>
      <c r="X6589" s="8" t="n"/>
      <c r="Y6589" s="8" t="n"/>
    </row>
    <row r="6590">
      <c r="A6590" s="8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8" t="n"/>
      <c r="K6590" s="8" t="n"/>
      <c r="L6590" s="8" t="n"/>
      <c r="M6590" s="9">
        <f>B6590+30</f>
        <v/>
      </c>
      <c r="N6590">
        <f>IF(L6590="", "", L6590-B6590)</f>
        <v/>
      </c>
      <c r="O6590">
        <f>IF(L6590="", "Pending", IF(N6590&lt;=30, "Met", "Breached"))</f>
        <v/>
      </c>
      <c r="P6590" s="8" t="n"/>
      <c r="Q6590" s="8" t="n"/>
      <c r="R6590" s="8" t="n"/>
      <c r="S6590" s="8" t="n"/>
      <c r="T6590" s="8" t="n"/>
      <c r="U6590" s="8" t="n"/>
      <c r="V6590" s="8" t="n"/>
      <c r="W6590" s="8" t="n"/>
      <c r="X6590" s="8" t="n"/>
      <c r="Y6590" s="8" t="n"/>
    </row>
    <row r="6591">
      <c r="A6591" s="8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8" t="n"/>
      <c r="K6591" s="8" t="n"/>
      <c r="L6591" s="8" t="n"/>
      <c r="M6591" s="9">
        <f>B6591+30</f>
        <v/>
      </c>
      <c r="N6591">
        <f>IF(L6591="", "", L6591-B6591)</f>
        <v/>
      </c>
      <c r="O6591">
        <f>IF(L6591="", "Pending", IF(N6591&lt;=30, "Met", "Breached"))</f>
        <v/>
      </c>
      <c r="P6591" s="8" t="n"/>
      <c r="Q6591" s="8" t="n"/>
      <c r="R6591" s="8" t="n"/>
      <c r="S6591" s="8" t="n"/>
      <c r="T6591" s="8" t="n"/>
      <c r="U6591" s="8" t="n"/>
      <c r="V6591" s="8" t="n"/>
      <c r="W6591" s="8" t="n"/>
      <c r="X6591" s="8" t="n"/>
      <c r="Y6591" s="8" t="n"/>
    </row>
    <row r="6592">
      <c r="A6592" s="8" t="n"/>
      <c r="B6592" s="8" t="n"/>
      <c r="C6592" s="8" t="n"/>
      <c r="D6592" s="8" t="n"/>
      <c r="E6592" s="8" t="n"/>
      <c r="F6592" s="8" t="n"/>
      <c r="G6592" s="8" t="n"/>
      <c r="H6592" s="8" t="n"/>
      <c r="I6592" s="8" t="n"/>
      <c r="J6592" s="8" t="n"/>
      <c r="K6592" s="8" t="n"/>
      <c r="L6592" s="8" t="n"/>
      <c r="M6592" s="9">
        <f>B6592+30</f>
        <v/>
      </c>
      <c r="N6592">
        <f>IF(L6592="", "", L6592-B6592)</f>
        <v/>
      </c>
      <c r="O6592">
        <f>IF(L6592="", "Pending", IF(N6592&lt;=30, "Met", "Breached"))</f>
        <v/>
      </c>
      <c r="P6592" s="8" t="n"/>
      <c r="Q6592" s="8" t="n"/>
      <c r="R6592" s="8" t="n"/>
      <c r="S6592" s="8" t="n"/>
      <c r="T6592" s="8" t="n"/>
      <c r="U6592" s="8" t="n"/>
      <c r="V6592" s="8" t="n"/>
      <c r="W6592" s="8" t="n"/>
      <c r="X6592" s="8" t="n"/>
      <c r="Y6592" s="8" t="n"/>
    </row>
    <row r="6593">
      <c r="A6593" s="8" t="n"/>
      <c r="B6593" s="8" t="n"/>
      <c r="C6593" s="8" t="n"/>
      <c r="D6593" s="8" t="n"/>
      <c r="E6593" s="8" t="n"/>
      <c r="F6593" s="8" t="n"/>
      <c r="G6593" s="8" t="n"/>
      <c r="H6593" s="8" t="n"/>
      <c r="I6593" s="8" t="n"/>
      <c r="J6593" s="8" t="n"/>
      <c r="K6593" s="8" t="n"/>
      <c r="L6593" s="8" t="n"/>
      <c r="M6593" s="9">
        <f>B6593+30</f>
        <v/>
      </c>
      <c r="N6593">
        <f>IF(L6593="", "", L6593-B6593)</f>
        <v/>
      </c>
      <c r="O6593">
        <f>IF(L6593="", "Pending", IF(N6593&lt;=30, "Met", "Breached"))</f>
        <v/>
      </c>
      <c r="P6593" s="8" t="n"/>
      <c r="Q6593" s="8" t="n"/>
      <c r="R6593" s="8" t="n"/>
      <c r="S6593" s="8" t="n"/>
      <c r="T6593" s="8" t="n"/>
      <c r="U6593" s="8" t="n"/>
      <c r="V6593" s="8" t="n"/>
      <c r="W6593" s="8" t="n"/>
      <c r="X6593" s="8" t="n"/>
      <c r="Y6593" s="8" t="n"/>
    </row>
    <row r="6594">
      <c r="A6594" s="8" t="n"/>
      <c r="B6594" s="8" t="n"/>
      <c r="C6594" s="8" t="n"/>
      <c r="D6594" s="8" t="n"/>
      <c r="E6594" s="8" t="n"/>
      <c r="F6594" s="8" t="n"/>
      <c r="G6594" s="8" t="n"/>
      <c r="H6594" s="8" t="n"/>
      <c r="I6594" s="8" t="n"/>
      <c r="J6594" s="8" t="n"/>
      <c r="K6594" s="8" t="n"/>
      <c r="L6594" s="8" t="n"/>
      <c r="M6594" s="9">
        <f>B6594+30</f>
        <v/>
      </c>
      <c r="N6594">
        <f>IF(L6594="", "", L6594-B6594)</f>
        <v/>
      </c>
      <c r="O6594">
        <f>IF(L6594="", "Pending", IF(N6594&lt;=30, "Met", "Breached"))</f>
        <v/>
      </c>
      <c r="P6594" s="8" t="n"/>
      <c r="Q6594" s="8" t="n"/>
      <c r="R6594" s="8" t="n"/>
      <c r="S6594" s="8" t="n"/>
      <c r="T6594" s="8" t="n"/>
      <c r="U6594" s="8" t="n"/>
      <c r="V6594" s="8" t="n"/>
      <c r="W6594" s="8" t="n"/>
      <c r="X6594" s="8" t="n"/>
      <c r="Y6594" s="8" t="n"/>
    </row>
    <row r="6595">
      <c r="A6595" s="8" t="n"/>
      <c r="B6595" s="8" t="n"/>
      <c r="C6595" s="8" t="n"/>
      <c r="D6595" s="8" t="n"/>
      <c r="E6595" s="8" t="n"/>
      <c r="F6595" s="8" t="n"/>
      <c r="G6595" s="8" t="n"/>
      <c r="H6595" s="8" t="n"/>
      <c r="I6595" s="8" t="n"/>
      <c r="J6595" s="8" t="n"/>
      <c r="K6595" s="8" t="n"/>
      <c r="L6595" s="8" t="n"/>
      <c r="M6595" s="9">
        <f>B6595+30</f>
        <v/>
      </c>
      <c r="N6595">
        <f>IF(L6595="", "", L6595-B6595)</f>
        <v/>
      </c>
      <c r="O6595">
        <f>IF(L6595="", "Pending", IF(N6595&lt;=30, "Met", "Breached"))</f>
        <v/>
      </c>
      <c r="P6595" s="8" t="n"/>
      <c r="Q6595" s="8" t="n"/>
      <c r="R6595" s="8" t="n"/>
      <c r="S6595" s="8" t="n"/>
      <c r="T6595" s="8" t="n"/>
      <c r="U6595" s="8" t="n"/>
      <c r="V6595" s="8" t="n"/>
      <c r="W6595" s="8" t="n"/>
      <c r="X6595" s="8" t="n"/>
      <c r="Y6595" s="8" t="n"/>
    </row>
    <row r="6596">
      <c r="A6596" s="8" t="n"/>
      <c r="B6596" s="8" t="n"/>
      <c r="C6596" s="8" t="n"/>
      <c r="D6596" s="8" t="n"/>
      <c r="E6596" s="8" t="n"/>
      <c r="F6596" s="8" t="n"/>
      <c r="G6596" s="8" t="n"/>
      <c r="H6596" s="8" t="n"/>
      <c r="I6596" s="8" t="n"/>
      <c r="J6596" s="8" t="n"/>
      <c r="K6596" s="8" t="n"/>
      <c r="L6596" s="8" t="n"/>
      <c r="M6596" s="9">
        <f>B6596+30</f>
        <v/>
      </c>
      <c r="N6596">
        <f>IF(L6596="", "", L6596-B6596)</f>
        <v/>
      </c>
      <c r="O6596">
        <f>IF(L6596="", "Pending", IF(N6596&lt;=30, "Met", "Breached"))</f>
        <v/>
      </c>
      <c r="P6596" s="8" t="n"/>
      <c r="Q6596" s="8" t="n"/>
      <c r="R6596" s="8" t="n"/>
      <c r="S6596" s="8" t="n"/>
      <c r="T6596" s="8" t="n"/>
      <c r="U6596" s="8" t="n"/>
      <c r="V6596" s="8" t="n"/>
      <c r="W6596" s="8" t="n"/>
      <c r="X6596" s="8" t="n"/>
      <c r="Y6596" s="8" t="n"/>
    </row>
    <row r="6597">
      <c r="A6597" s="8" t="n"/>
      <c r="B6597" s="8" t="n"/>
      <c r="C6597" s="8" t="n"/>
      <c r="D6597" s="8" t="n"/>
      <c r="E6597" s="8" t="n"/>
      <c r="F6597" s="8" t="n"/>
      <c r="G6597" s="8" t="n"/>
      <c r="H6597" s="8" t="n"/>
      <c r="I6597" s="8" t="n"/>
      <c r="J6597" s="8" t="n"/>
      <c r="K6597" s="8" t="n"/>
      <c r="L6597" s="8" t="n"/>
      <c r="M6597" s="9">
        <f>B6597+30</f>
        <v/>
      </c>
      <c r="N6597">
        <f>IF(L6597="", "", L6597-B6597)</f>
        <v/>
      </c>
      <c r="O6597">
        <f>IF(L6597="", "Pending", IF(N6597&lt;=30, "Met", "Breached"))</f>
        <v/>
      </c>
      <c r="P6597" s="8" t="n"/>
      <c r="Q6597" s="8" t="n"/>
      <c r="R6597" s="8" t="n"/>
      <c r="S6597" s="8" t="n"/>
      <c r="T6597" s="8" t="n"/>
      <c r="U6597" s="8" t="n"/>
      <c r="V6597" s="8" t="n"/>
      <c r="W6597" s="8" t="n"/>
      <c r="X6597" s="8" t="n"/>
      <c r="Y6597" s="8" t="n"/>
    </row>
    <row r="6598">
      <c r="A6598" s="8" t="n"/>
      <c r="B6598" s="8" t="n"/>
      <c r="C6598" s="8" t="n"/>
      <c r="D6598" s="8" t="n"/>
      <c r="E6598" s="8" t="n"/>
      <c r="F6598" s="8" t="n"/>
      <c r="G6598" s="8" t="n"/>
      <c r="H6598" s="8" t="n"/>
      <c r="I6598" s="8" t="n"/>
      <c r="J6598" s="8" t="n"/>
      <c r="K6598" s="8" t="n"/>
      <c r="L6598" s="8" t="n"/>
      <c r="M6598" s="9">
        <f>B6598+30</f>
        <v/>
      </c>
      <c r="N6598">
        <f>IF(L6598="", "", L6598-B6598)</f>
        <v/>
      </c>
      <c r="O6598">
        <f>IF(L6598="", "Pending", IF(N6598&lt;=30, "Met", "Breached"))</f>
        <v/>
      </c>
      <c r="P6598" s="8" t="n"/>
      <c r="Q6598" s="8" t="n"/>
      <c r="R6598" s="8" t="n"/>
      <c r="S6598" s="8" t="n"/>
      <c r="T6598" s="8" t="n"/>
      <c r="U6598" s="8" t="n"/>
      <c r="V6598" s="8" t="n"/>
      <c r="W6598" s="8" t="n"/>
      <c r="X6598" s="8" t="n"/>
      <c r="Y6598" s="8" t="n"/>
    </row>
    <row r="6599">
      <c r="A6599" s="8" t="n"/>
      <c r="B6599" s="8" t="n"/>
      <c r="C6599" s="8" t="n"/>
      <c r="D6599" s="8" t="n"/>
      <c r="E6599" s="8" t="n"/>
      <c r="F6599" s="8" t="n"/>
      <c r="G6599" s="8" t="n"/>
      <c r="H6599" s="8" t="n"/>
      <c r="I6599" s="8" t="n"/>
      <c r="J6599" s="8" t="n"/>
      <c r="K6599" s="8" t="n"/>
      <c r="L6599" s="8" t="n"/>
      <c r="M6599" s="9">
        <f>B6599+30</f>
        <v/>
      </c>
      <c r="N6599">
        <f>IF(L6599="", "", L6599-B6599)</f>
        <v/>
      </c>
      <c r="O6599">
        <f>IF(L6599="", "Pending", IF(N6599&lt;=30, "Met", "Breached"))</f>
        <v/>
      </c>
      <c r="P6599" s="8" t="n"/>
      <c r="Q6599" s="8" t="n"/>
      <c r="R6599" s="8" t="n"/>
      <c r="S6599" s="8" t="n"/>
      <c r="T6599" s="8" t="n"/>
      <c r="U6599" s="8" t="n"/>
      <c r="V6599" s="8" t="n"/>
      <c r="W6599" s="8" t="n"/>
      <c r="X6599" s="8" t="n"/>
      <c r="Y6599" s="8" t="n"/>
    </row>
    <row r="6600">
      <c r="A6600" s="8" t="n"/>
      <c r="B6600" s="8" t="n"/>
      <c r="C6600" s="8" t="n"/>
      <c r="D6600" s="8" t="n"/>
      <c r="E6600" s="8" t="n"/>
      <c r="F6600" s="8" t="n"/>
      <c r="G6600" s="8" t="n"/>
      <c r="H6600" s="8" t="n"/>
      <c r="I6600" s="8" t="n"/>
      <c r="J6600" s="8" t="n"/>
      <c r="K6600" s="8" t="n"/>
      <c r="L6600" s="8" t="n"/>
      <c r="M6600" s="9">
        <f>B6600+30</f>
        <v/>
      </c>
      <c r="N6600">
        <f>IF(L6600="", "", L6600-B6600)</f>
        <v/>
      </c>
      <c r="O6600">
        <f>IF(L6600="", "Pending", IF(N6600&lt;=30, "Met", "Breached"))</f>
        <v/>
      </c>
      <c r="P6600" s="8" t="n"/>
      <c r="Q6600" s="8" t="n"/>
      <c r="R6600" s="8" t="n"/>
      <c r="S6600" s="8" t="n"/>
      <c r="T6600" s="8" t="n"/>
      <c r="U6600" s="8" t="n"/>
      <c r="V6600" s="8" t="n"/>
      <c r="W6600" s="8" t="n"/>
      <c r="X6600" s="8" t="n"/>
      <c r="Y6600" s="8" t="n"/>
    </row>
    <row r="6601">
      <c r="A6601" s="8" t="n"/>
      <c r="B6601" s="8" t="n"/>
      <c r="C6601" s="8" t="n"/>
      <c r="D6601" s="8" t="n"/>
      <c r="E6601" s="8" t="n"/>
      <c r="F6601" s="8" t="n"/>
      <c r="G6601" s="8" t="n"/>
      <c r="H6601" s="8" t="n"/>
      <c r="I6601" s="8" t="n"/>
      <c r="J6601" s="8" t="n"/>
      <c r="K6601" s="8" t="n"/>
      <c r="L6601" s="8" t="n"/>
      <c r="M6601" s="9">
        <f>B6601+30</f>
        <v/>
      </c>
      <c r="N6601">
        <f>IF(L6601="", "", L6601-B6601)</f>
        <v/>
      </c>
      <c r="O6601">
        <f>IF(L6601="", "Pending", IF(N6601&lt;=30, "Met", "Breached"))</f>
        <v/>
      </c>
      <c r="P6601" s="8" t="n"/>
      <c r="Q6601" s="8" t="n"/>
      <c r="R6601" s="8" t="n"/>
      <c r="S6601" s="8" t="n"/>
      <c r="T6601" s="8" t="n"/>
      <c r="U6601" s="8" t="n"/>
      <c r="V6601" s="8" t="n"/>
      <c r="W6601" s="8" t="n"/>
      <c r="X6601" s="8" t="n"/>
      <c r="Y6601" s="8" t="n"/>
    </row>
    <row r="6602">
      <c r="A6602" s="8" t="n"/>
      <c r="B6602" s="8" t="n"/>
      <c r="C6602" s="8" t="n"/>
      <c r="D6602" s="8" t="n"/>
      <c r="E6602" s="8" t="n"/>
      <c r="F6602" s="8" t="n"/>
      <c r="G6602" s="8" t="n"/>
      <c r="H6602" s="8" t="n"/>
      <c r="I6602" s="8" t="n"/>
      <c r="J6602" s="8" t="n"/>
      <c r="K6602" s="8" t="n"/>
      <c r="L6602" s="8" t="n"/>
      <c r="M6602" s="9">
        <f>B6602+30</f>
        <v/>
      </c>
      <c r="N6602">
        <f>IF(L6602="", "", L6602-B6602)</f>
        <v/>
      </c>
      <c r="O6602">
        <f>IF(L6602="", "Pending", IF(N6602&lt;=30, "Met", "Breached"))</f>
        <v/>
      </c>
      <c r="P6602" s="8" t="n"/>
      <c r="Q6602" s="8" t="n"/>
      <c r="R6602" s="8" t="n"/>
      <c r="S6602" s="8" t="n"/>
      <c r="T6602" s="8" t="n"/>
      <c r="U6602" s="8" t="n"/>
      <c r="V6602" s="8" t="n"/>
      <c r="W6602" s="8" t="n"/>
      <c r="X6602" s="8" t="n"/>
      <c r="Y6602" s="8" t="n"/>
    </row>
    <row r="6603">
      <c r="A6603" s="8" t="n"/>
      <c r="B6603" s="8" t="n"/>
      <c r="C6603" s="8" t="n"/>
      <c r="D6603" s="8" t="n"/>
      <c r="E6603" s="8" t="n"/>
      <c r="F6603" s="8" t="n"/>
      <c r="G6603" s="8" t="n"/>
      <c r="H6603" s="8" t="n"/>
      <c r="I6603" s="8" t="n"/>
      <c r="J6603" s="8" t="n"/>
      <c r="K6603" s="8" t="n"/>
      <c r="L6603" s="8" t="n"/>
      <c r="M6603" s="9">
        <f>B6603+30</f>
        <v/>
      </c>
      <c r="N6603">
        <f>IF(L6603="", "", L6603-B6603)</f>
        <v/>
      </c>
      <c r="O6603">
        <f>IF(L6603="", "Pending", IF(N6603&lt;=30, "Met", "Breached"))</f>
        <v/>
      </c>
      <c r="P6603" s="8" t="n"/>
      <c r="Q6603" s="8" t="n"/>
      <c r="R6603" s="8" t="n"/>
      <c r="S6603" s="8" t="n"/>
      <c r="T6603" s="8" t="n"/>
      <c r="U6603" s="8" t="n"/>
      <c r="V6603" s="8" t="n"/>
      <c r="W6603" s="8" t="n"/>
      <c r="X6603" s="8" t="n"/>
      <c r="Y6603" s="8" t="n"/>
    </row>
    <row r="6604">
      <c r="A6604" s="8" t="n"/>
      <c r="B6604" s="8" t="n"/>
      <c r="C6604" s="8" t="n"/>
      <c r="D6604" s="8" t="n"/>
      <c r="E6604" s="8" t="n"/>
      <c r="F6604" s="8" t="n"/>
      <c r="G6604" s="8" t="n"/>
      <c r="H6604" s="8" t="n"/>
      <c r="I6604" s="8" t="n"/>
      <c r="J6604" s="8" t="n"/>
      <c r="K6604" s="8" t="n"/>
      <c r="L6604" s="8" t="n"/>
      <c r="M6604" s="9">
        <f>B6604+30</f>
        <v/>
      </c>
      <c r="N6604">
        <f>IF(L6604="", "", L6604-B6604)</f>
        <v/>
      </c>
      <c r="O6604">
        <f>IF(L6604="", "Pending", IF(N6604&lt;=30, "Met", "Breached"))</f>
        <v/>
      </c>
      <c r="P6604" s="8" t="n"/>
      <c r="Q6604" s="8" t="n"/>
      <c r="R6604" s="8" t="n"/>
      <c r="S6604" s="8" t="n"/>
      <c r="T6604" s="8" t="n"/>
      <c r="U6604" s="8" t="n"/>
      <c r="V6604" s="8" t="n"/>
      <c r="W6604" s="8" t="n"/>
      <c r="X6604" s="8" t="n"/>
      <c r="Y6604" s="8" t="n"/>
    </row>
    <row r="6605">
      <c r="A6605" s="8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8" t="n"/>
      <c r="K6605" s="8" t="n"/>
      <c r="L6605" s="8" t="n"/>
      <c r="M6605" s="9">
        <f>B6605+30</f>
        <v/>
      </c>
      <c r="N6605">
        <f>IF(L6605="", "", L6605-B6605)</f>
        <v/>
      </c>
      <c r="O6605">
        <f>IF(L6605="", "Pending", IF(N6605&lt;=30, "Met", "Breached"))</f>
        <v/>
      </c>
      <c r="P6605" s="8" t="n"/>
      <c r="Q6605" s="8" t="n"/>
      <c r="R6605" s="8" t="n"/>
      <c r="S6605" s="8" t="n"/>
      <c r="T6605" s="8" t="n"/>
      <c r="U6605" s="8" t="n"/>
      <c r="V6605" s="8" t="n"/>
      <c r="W6605" s="8" t="n"/>
      <c r="X6605" s="8" t="n"/>
      <c r="Y6605" s="8" t="n"/>
    </row>
    <row r="6606">
      <c r="A6606" s="8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8" t="n"/>
      <c r="K6606" s="8" t="n"/>
      <c r="L6606" s="8" t="n"/>
      <c r="M6606" s="9">
        <f>B6606+30</f>
        <v/>
      </c>
      <c r="N6606">
        <f>IF(L6606="", "", L6606-B6606)</f>
        <v/>
      </c>
      <c r="O6606">
        <f>IF(L6606="", "Pending", IF(N6606&lt;=30, "Met", "Breached"))</f>
        <v/>
      </c>
      <c r="P6606" s="8" t="n"/>
      <c r="Q6606" s="8" t="n"/>
      <c r="R6606" s="8" t="n"/>
      <c r="S6606" s="8" t="n"/>
      <c r="T6606" s="8" t="n"/>
      <c r="U6606" s="8" t="n"/>
      <c r="V6606" s="8" t="n"/>
      <c r="W6606" s="8" t="n"/>
      <c r="X6606" s="8" t="n"/>
      <c r="Y6606" s="8" t="n"/>
    </row>
    <row r="6607">
      <c r="A6607" s="8" t="n"/>
      <c r="B6607" s="8" t="n"/>
      <c r="C6607" s="8" t="n"/>
      <c r="D6607" s="8" t="n"/>
      <c r="E6607" s="8" t="n"/>
      <c r="F6607" s="8" t="n"/>
      <c r="G6607" s="8" t="n"/>
      <c r="H6607" s="8" t="n"/>
      <c r="I6607" s="8" t="n"/>
      <c r="J6607" s="8" t="n"/>
      <c r="K6607" s="8" t="n"/>
      <c r="L6607" s="8" t="n"/>
      <c r="M6607" s="9">
        <f>B6607+30</f>
        <v/>
      </c>
      <c r="N6607">
        <f>IF(L6607="", "", L6607-B6607)</f>
        <v/>
      </c>
      <c r="O6607">
        <f>IF(L6607="", "Pending", IF(N6607&lt;=30, "Met", "Breached"))</f>
        <v/>
      </c>
      <c r="P6607" s="8" t="n"/>
      <c r="Q6607" s="8" t="n"/>
      <c r="R6607" s="8" t="n"/>
      <c r="S6607" s="8" t="n"/>
      <c r="T6607" s="8" t="n"/>
      <c r="U6607" s="8" t="n"/>
      <c r="V6607" s="8" t="n"/>
      <c r="W6607" s="8" t="n"/>
      <c r="X6607" s="8" t="n"/>
      <c r="Y6607" s="8" t="n"/>
    </row>
    <row r="6608">
      <c r="A6608" s="8" t="n"/>
      <c r="B6608" s="8" t="n"/>
      <c r="C6608" s="8" t="n"/>
      <c r="D6608" s="8" t="n"/>
      <c r="E6608" s="8" t="n"/>
      <c r="F6608" s="8" t="n"/>
      <c r="G6608" s="8" t="n"/>
      <c r="H6608" s="8" t="n"/>
      <c r="I6608" s="8" t="n"/>
      <c r="J6608" s="8" t="n"/>
      <c r="K6608" s="8" t="n"/>
      <c r="L6608" s="8" t="n"/>
      <c r="M6608" s="9">
        <f>B6608+30</f>
        <v/>
      </c>
      <c r="N6608">
        <f>IF(L6608="", "", L6608-B6608)</f>
        <v/>
      </c>
      <c r="O6608">
        <f>IF(L6608="", "Pending", IF(N6608&lt;=30, "Met", "Breached"))</f>
        <v/>
      </c>
      <c r="P6608" s="8" t="n"/>
      <c r="Q6608" s="8" t="n"/>
      <c r="R6608" s="8" t="n"/>
      <c r="S6608" s="8" t="n"/>
      <c r="T6608" s="8" t="n"/>
      <c r="U6608" s="8" t="n"/>
      <c r="V6608" s="8" t="n"/>
      <c r="W6608" s="8" t="n"/>
      <c r="X6608" s="8" t="n"/>
      <c r="Y6608" s="8" t="n"/>
    </row>
    <row r="6609">
      <c r="A6609" s="8" t="n"/>
      <c r="B6609" s="8" t="n"/>
      <c r="C6609" s="8" t="n"/>
      <c r="D6609" s="8" t="n"/>
      <c r="E6609" s="8" t="n"/>
      <c r="F6609" s="8" t="n"/>
      <c r="G6609" s="8" t="n"/>
      <c r="H6609" s="8" t="n"/>
      <c r="I6609" s="8" t="n"/>
      <c r="J6609" s="8" t="n"/>
      <c r="K6609" s="8" t="n"/>
      <c r="L6609" s="8" t="n"/>
      <c r="M6609" s="9">
        <f>B6609+30</f>
        <v/>
      </c>
      <c r="N6609">
        <f>IF(L6609="", "", L6609-B6609)</f>
        <v/>
      </c>
      <c r="O6609">
        <f>IF(L6609="", "Pending", IF(N6609&lt;=30, "Met", "Breached"))</f>
        <v/>
      </c>
      <c r="P6609" s="8" t="n"/>
      <c r="Q6609" s="8" t="n"/>
      <c r="R6609" s="8" t="n"/>
      <c r="S6609" s="8" t="n"/>
      <c r="T6609" s="8" t="n"/>
      <c r="U6609" s="8" t="n"/>
      <c r="V6609" s="8" t="n"/>
      <c r="W6609" s="8" t="n"/>
      <c r="X6609" s="8" t="n"/>
      <c r="Y6609" s="8" t="n"/>
    </row>
    <row r="6610">
      <c r="A6610" s="8" t="n"/>
      <c r="B6610" s="8" t="n"/>
      <c r="C6610" s="8" t="n"/>
      <c r="D6610" s="8" t="n"/>
      <c r="E6610" s="8" t="n"/>
      <c r="F6610" s="8" t="n"/>
      <c r="G6610" s="8" t="n"/>
      <c r="H6610" s="8" t="n"/>
      <c r="I6610" s="8" t="n"/>
      <c r="J6610" s="8" t="n"/>
      <c r="K6610" s="8" t="n"/>
      <c r="L6610" s="8" t="n"/>
      <c r="M6610" s="9">
        <f>B6610+30</f>
        <v/>
      </c>
      <c r="N6610">
        <f>IF(L6610="", "", L6610-B6610)</f>
        <v/>
      </c>
      <c r="O6610">
        <f>IF(L6610="", "Pending", IF(N6610&lt;=30, "Met", "Breached"))</f>
        <v/>
      </c>
      <c r="P6610" s="8" t="n"/>
      <c r="Q6610" s="8" t="n"/>
      <c r="R6610" s="8" t="n"/>
      <c r="S6610" s="8" t="n"/>
      <c r="T6610" s="8" t="n"/>
      <c r="U6610" s="8" t="n"/>
      <c r="V6610" s="8" t="n"/>
      <c r="W6610" s="8" t="n"/>
      <c r="X6610" s="8" t="n"/>
      <c r="Y6610" s="8" t="n"/>
    </row>
    <row r="6611">
      <c r="A6611" s="8" t="n"/>
      <c r="B6611" s="8" t="n"/>
      <c r="C6611" s="8" t="n"/>
      <c r="D6611" s="8" t="n"/>
      <c r="E6611" s="8" t="n"/>
      <c r="F6611" s="8" t="n"/>
      <c r="G6611" s="8" t="n"/>
      <c r="H6611" s="8" t="n"/>
      <c r="I6611" s="8" t="n"/>
      <c r="J6611" s="8" t="n"/>
      <c r="K6611" s="8" t="n"/>
      <c r="L6611" s="8" t="n"/>
      <c r="M6611" s="9">
        <f>B6611+30</f>
        <v/>
      </c>
      <c r="N6611">
        <f>IF(L6611="", "", L6611-B6611)</f>
        <v/>
      </c>
      <c r="O6611">
        <f>IF(L6611="", "Pending", IF(N6611&lt;=30, "Met", "Breached"))</f>
        <v/>
      </c>
      <c r="P6611" s="8" t="n"/>
      <c r="Q6611" s="8" t="n"/>
      <c r="R6611" s="8" t="n"/>
      <c r="S6611" s="8" t="n"/>
      <c r="T6611" s="8" t="n"/>
      <c r="U6611" s="8" t="n"/>
      <c r="V6611" s="8" t="n"/>
      <c r="W6611" s="8" t="n"/>
      <c r="X6611" s="8" t="n"/>
      <c r="Y6611" s="8" t="n"/>
    </row>
    <row r="6612">
      <c r="A6612" s="8" t="n"/>
      <c r="B6612" s="8" t="n"/>
      <c r="C6612" s="8" t="n"/>
      <c r="D6612" s="8" t="n"/>
      <c r="E6612" s="8" t="n"/>
      <c r="F6612" s="8" t="n"/>
      <c r="G6612" s="8" t="n"/>
      <c r="H6612" s="8" t="n"/>
      <c r="I6612" s="8" t="n"/>
      <c r="J6612" s="8" t="n"/>
      <c r="K6612" s="8" t="n"/>
      <c r="L6612" s="8" t="n"/>
      <c r="M6612" s="9">
        <f>B6612+30</f>
        <v/>
      </c>
      <c r="N6612">
        <f>IF(L6612="", "", L6612-B6612)</f>
        <v/>
      </c>
      <c r="O6612">
        <f>IF(L6612="", "Pending", IF(N6612&lt;=30, "Met", "Breached"))</f>
        <v/>
      </c>
      <c r="P6612" s="8" t="n"/>
      <c r="Q6612" s="8" t="n"/>
      <c r="R6612" s="8" t="n"/>
      <c r="S6612" s="8" t="n"/>
      <c r="T6612" s="8" t="n"/>
      <c r="U6612" s="8" t="n"/>
      <c r="V6612" s="8" t="n"/>
      <c r="W6612" s="8" t="n"/>
      <c r="X6612" s="8" t="n"/>
      <c r="Y6612" s="8" t="n"/>
    </row>
    <row r="6613">
      <c r="A6613" s="8" t="n"/>
      <c r="B6613" s="8" t="n"/>
      <c r="C6613" s="8" t="n"/>
      <c r="D6613" s="8" t="n"/>
      <c r="E6613" s="8" t="n"/>
      <c r="F6613" s="8" t="n"/>
      <c r="G6613" s="8" t="n"/>
      <c r="H6613" s="8" t="n"/>
      <c r="I6613" s="8" t="n"/>
      <c r="J6613" s="8" t="n"/>
      <c r="K6613" s="8" t="n"/>
      <c r="L6613" s="8" t="n"/>
      <c r="M6613" s="9">
        <f>B6613+30</f>
        <v/>
      </c>
      <c r="N6613">
        <f>IF(L6613="", "", L6613-B6613)</f>
        <v/>
      </c>
      <c r="O6613">
        <f>IF(L6613="", "Pending", IF(N6613&lt;=30, "Met", "Breached"))</f>
        <v/>
      </c>
      <c r="P6613" s="8" t="n"/>
      <c r="Q6613" s="8" t="n"/>
      <c r="R6613" s="8" t="n"/>
      <c r="S6613" s="8" t="n"/>
      <c r="T6613" s="8" t="n"/>
      <c r="U6613" s="8" t="n"/>
      <c r="V6613" s="8" t="n"/>
      <c r="W6613" s="8" t="n"/>
      <c r="X6613" s="8" t="n"/>
      <c r="Y6613" s="8" t="n"/>
    </row>
    <row r="6614">
      <c r="A6614" s="8" t="n"/>
      <c r="B6614" s="8" t="n"/>
      <c r="C6614" s="8" t="n"/>
      <c r="D6614" s="8" t="n"/>
      <c r="E6614" s="8" t="n"/>
      <c r="F6614" s="8" t="n"/>
      <c r="G6614" s="8" t="n"/>
      <c r="H6614" s="8" t="n"/>
      <c r="I6614" s="8" t="n"/>
      <c r="J6614" s="8" t="n"/>
      <c r="K6614" s="8" t="n"/>
      <c r="L6614" s="8" t="n"/>
      <c r="M6614" s="9">
        <f>B6614+30</f>
        <v/>
      </c>
      <c r="N6614">
        <f>IF(L6614="", "", L6614-B6614)</f>
        <v/>
      </c>
      <c r="O6614">
        <f>IF(L6614="", "Pending", IF(N6614&lt;=30, "Met", "Breached"))</f>
        <v/>
      </c>
      <c r="P6614" s="8" t="n"/>
      <c r="Q6614" s="8" t="n"/>
      <c r="R6614" s="8" t="n"/>
      <c r="S6614" s="8" t="n"/>
      <c r="T6614" s="8" t="n"/>
      <c r="U6614" s="8" t="n"/>
      <c r="V6614" s="8" t="n"/>
      <c r="W6614" s="8" t="n"/>
      <c r="X6614" s="8" t="n"/>
      <c r="Y6614" s="8" t="n"/>
    </row>
    <row r="6615">
      <c r="A6615" s="8" t="n"/>
      <c r="B6615" s="8" t="n"/>
      <c r="C6615" s="8" t="n"/>
      <c r="D6615" s="8" t="n"/>
      <c r="E6615" s="8" t="n"/>
      <c r="F6615" s="8" t="n"/>
      <c r="G6615" s="8" t="n"/>
      <c r="H6615" s="8" t="n"/>
      <c r="I6615" s="8" t="n"/>
      <c r="J6615" s="8" t="n"/>
      <c r="K6615" s="8" t="n"/>
      <c r="L6615" s="8" t="n"/>
      <c r="M6615" s="9">
        <f>B6615+30</f>
        <v/>
      </c>
      <c r="N6615">
        <f>IF(L6615="", "", L6615-B6615)</f>
        <v/>
      </c>
      <c r="O6615">
        <f>IF(L6615="", "Pending", IF(N6615&lt;=30, "Met", "Breached"))</f>
        <v/>
      </c>
      <c r="P6615" s="8" t="n"/>
      <c r="Q6615" s="8" t="n"/>
      <c r="R6615" s="8" t="n"/>
      <c r="S6615" s="8" t="n"/>
      <c r="T6615" s="8" t="n"/>
      <c r="U6615" s="8" t="n"/>
      <c r="V6615" s="8" t="n"/>
      <c r="W6615" s="8" t="n"/>
      <c r="X6615" s="8" t="n"/>
      <c r="Y6615" s="8" t="n"/>
    </row>
    <row r="6616">
      <c r="A6616" s="8" t="n"/>
      <c r="B6616" s="8" t="n"/>
      <c r="C6616" s="8" t="n"/>
      <c r="D6616" s="8" t="n"/>
      <c r="E6616" s="8" t="n"/>
      <c r="F6616" s="8" t="n"/>
      <c r="G6616" s="8" t="n"/>
      <c r="H6616" s="8" t="n"/>
      <c r="I6616" s="8" t="n"/>
      <c r="J6616" s="8" t="n"/>
      <c r="K6616" s="8" t="n"/>
      <c r="L6616" s="8" t="n"/>
      <c r="M6616" s="9">
        <f>B6616+30</f>
        <v/>
      </c>
      <c r="N6616">
        <f>IF(L6616="", "", L6616-B6616)</f>
        <v/>
      </c>
      <c r="O6616">
        <f>IF(L6616="", "Pending", IF(N6616&lt;=30, "Met", "Breached"))</f>
        <v/>
      </c>
      <c r="P6616" s="8" t="n"/>
      <c r="Q6616" s="8" t="n"/>
      <c r="R6616" s="8" t="n"/>
      <c r="S6616" s="8" t="n"/>
      <c r="T6616" s="8" t="n"/>
      <c r="U6616" s="8" t="n"/>
      <c r="V6616" s="8" t="n"/>
      <c r="W6616" s="8" t="n"/>
      <c r="X6616" s="8" t="n"/>
      <c r="Y6616" s="8" t="n"/>
    </row>
    <row r="6617">
      <c r="A6617" s="8" t="n"/>
      <c r="B6617" s="8" t="n"/>
      <c r="C6617" s="8" t="n"/>
      <c r="D6617" s="8" t="n"/>
      <c r="E6617" s="8" t="n"/>
      <c r="F6617" s="8" t="n"/>
      <c r="G6617" s="8" t="n"/>
      <c r="H6617" s="8" t="n"/>
      <c r="I6617" s="8" t="n"/>
      <c r="J6617" s="8" t="n"/>
      <c r="K6617" s="8" t="n"/>
      <c r="L6617" s="8" t="n"/>
      <c r="M6617" s="9">
        <f>B6617+30</f>
        <v/>
      </c>
      <c r="N6617">
        <f>IF(L6617="", "", L6617-B6617)</f>
        <v/>
      </c>
      <c r="O6617">
        <f>IF(L6617="", "Pending", IF(N6617&lt;=30, "Met", "Breached"))</f>
        <v/>
      </c>
      <c r="P6617" s="8" t="n"/>
      <c r="Q6617" s="8" t="n"/>
      <c r="R6617" s="8" t="n"/>
      <c r="S6617" s="8" t="n"/>
      <c r="T6617" s="8" t="n"/>
      <c r="U6617" s="8" t="n"/>
      <c r="V6617" s="8" t="n"/>
      <c r="W6617" s="8" t="n"/>
      <c r="X6617" s="8" t="n"/>
      <c r="Y6617" s="8" t="n"/>
    </row>
    <row r="6618">
      <c r="A6618" s="8" t="n"/>
      <c r="B6618" s="8" t="n"/>
      <c r="C6618" s="8" t="n"/>
      <c r="D6618" s="8" t="n"/>
      <c r="E6618" s="8" t="n"/>
      <c r="F6618" s="8" t="n"/>
      <c r="G6618" s="8" t="n"/>
      <c r="H6618" s="8" t="n"/>
      <c r="I6618" s="8" t="n"/>
      <c r="J6618" s="8" t="n"/>
      <c r="K6618" s="8" t="n"/>
      <c r="L6618" s="8" t="n"/>
      <c r="M6618" s="9">
        <f>B6618+30</f>
        <v/>
      </c>
      <c r="N6618">
        <f>IF(L6618="", "", L6618-B6618)</f>
        <v/>
      </c>
      <c r="O6618">
        <f>IF(L6618="", "Pending", IF(N6618&lt;=30, "Met", "Breached"))</f>
        <v/>
      </c>
      <c r="P6618" s="8" t="n"/>
      <c r="Q6618" s="8" t="n"/>
      <c r="R6618" s="8" t="n"/>
      <c r="S6618" s="8" t="n"/>
      <c r="T6618" s="8" t="n"/>
      <c r="U6618" s="8" t="n"/>
      <c r="V6618" s="8" t="n"/>
      <c r="W6618" s="8" t="n"/>
      <c r="X6618" s="8" t="n"/>
      <c r="Y6618" s="8" t="n"/>
    </row>
    <row r="6619">
      <c r="A6619" s="8" t="n"/>
      <c r="B6619" s="8" t="n"/>
      <c r="C6619" s="8" t="n"/>
      <c r="D6619" s="8" t="n"/>
      <c r="E6619" s="8" t="n"/>
      <c r="F6619" s="8" t="n"/>
      <c r="G6619" s="8" t="n"/>
      <c r="H6619" s="8" t="n"/>
      <c r="I6619" s="8" t="n"/>
      <c r="J6619" s="8" t="n"/>
      <c r="K6619" s="8" t="n"/>
      <c r="L6619" s="8" t="n"/>
      <c r="M6619" s="9">
        <f>B6619+30</f>
        <v/>
      </c>
      <c r="N6619">
        <f>IF(L6619="", "", L6619-B6619)</f>
        <v/>
      </c>
      <c r="O6619">
        <f>IF(L6619="", "Pending", IF(N6619&lt;=30, "Met", "Breached"))</f>
        <v/>
      </c>
      <c r="P6619" s="8" t="n"/>
      <c r="Q6619" s="8" t="n"/>
      <c r="R6619" s="8" t="n"/>
      <c r="S6619" s="8" t="n"/>
      <c r="T6619" s="8" t="n"/>
      <c r="U6619" s="8" t="n"/>
      <c r="V6619" s="8" t="n"/>
      <c r="W6619" s="8" t="n"/>
      <c r="X6619" s="8" t="n"/>
      <c r="Y6619" s="8" t="n"/>
    </row>
    <row r="6620">
      <c r="A6620" s="8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8" t="n"/>
      <c r="K6620" s="8" t="n"/>
      <c r="L6620" s="8" t="n"/>
      <c r="M6620" s="9">
        <f>B6620+30</f>
        <v/>
      </c>
      <c r="N6620">
        <f>IF(L6620="", "", L6620-B6620)</f>
        <v/>
      </c>
      <c r="O6620">
        <f>IF(L6620="", "Pending", IF(N6620&lt;=30, "Met", "Breached"))</f>
        <v/>
      </c>
      <c r="P6620" s="8" t="n"/>
      <c r="Q6620" s="8" t="n"/>
      <c r="R6620" s="8" t="n"/>
      <c r="S6620" s="8" t="n"/>
      <c r="T6620" s="8" t="n"/>
      <c r="U6620" s="8" t="n"/>
      <c r="V6620" s="8" t="n"/>
      <c r="W6620" s="8" t="n"/>
      <c r="X6620" s="8" t="n"/>
      <c r="Y6620" s="8" t="n"/>
    </row>
    <row r="6621">
      <c r="A6621" s="8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8" t="n"/>
      <c r="K6621" s="8" t="n"/>
      <c r="L6621" s="8" t="n"/>
      <c r="M6621" s="9">
        <f>B6621+30</f>
        <v/>
      </c>
      <c r="N6621">
        <f>IF(L6621="", "", L6621-B6621)</f>
        <v/>
      </c>
      <c r="O6621">
        <f>IF(L6621="", "Pending", IF(N6621&lt;=30, "Met", "Breached"))</f>
        <v/>
      </c>
      <c r="P6621" s="8" t="n"/>
      <c r="Q6621" s="8" t="n"/>
      <c r="R6621" s="8" t="n"/>
      <c r="S6621" s="8" t="n"/>
      <c r="T6621" s="8" t="n"/>
      <c r="U6621" s="8" t="n"/>
      <c r="V6621" s="8" t="n"/>
      <c r="W6621" s="8" t="n"/>
      <c r="X6621" s="8" t="n"/>
      <c r="Y6621" s="8" t="n"/>
    </row>
    <row r="6622">
      <c r="A6622" s="8" t="n"/>
      <c r="B6622" s="8" t="n"/>
      <c r="C6622" s="8" t="n"/>
      <c r="D6622" s="8" t="n"/>
      <c r="E6622" s="8" t="n"/>
      <c r="F6622" s="8" t="n"/>
      <c r="G6622" s="8" t="n"/>
      <c r="H6622" s="8" t="n"/>
      <c r="I6622" s="8" t="n"/>
      <c r="J6622" s="8" t="n"/>
      <c r="K6622" s="8" t="n"/>
      <c r="L6622" s="8" t="n"/>
      <c r="M6622" s="9">
        <f>B6622+30</f>
        <v/>
      </c>
      <c r="N6622">
        <f>IF(L6622="", "", L6622-B6622)</f>
        <v/>
      </c>
      <c r="O6622">
        <f>IF(L6622="", "Pending", IF(N6622&lt;=30, "Met", "Breached"))</f>
        <v/>
      </c>
      <c r="P6622" s="8" t="n"/>
      <c r="Q6622" s="8" t="n"/>
      <c r="R6622" s="8" t="n"/>
      <c r="S6622" s="8" t="n"/>
      <c r="T6622" s="8" t="n"/>
      <c r="U6622" s="8" t="n"/>
      <c r="V6622" s="8" t="n"/>
      <c r="W6622" s="8" t="n"/>
      <c r="X6622" s="8" t="n"/>
      <c r="Y6622" s="8" t="n"/>
    </row>
    <row r="6623">
      <c r="A6623" s="8" t="n"/>
      <c r="B6623" s="8" t="n"/>
      <c r="C6623" s="8" t="n"/>
      <c r="D6623" s="8" t="n"/>
      <c r="E6623" s="8" t="n"/>
      <c r="F6623" s="8" t="n"/>
      <c r="G6623" s="8" t="n"/>
      <c r="H6623" s="8" t="n"/>
      <c r="I6623" s="8" t="n"/>
      <c r="J6623" s="8" t="n"/>
      <c r="K6623" s="8" t="n"/>
      <c r="L6623" s="8" t="n"/>
      <c r="M6623" s="9">
        <f>B6623+30</f>
        <v/>
      </c>
      <c r="N6623">
        <f>IF(L6623="", "", L6623-B6623)</f>
        <v/>
      </c>
      <c r="O6623">
        <f>IF(L6623="", "Pending", IF(N6623&lt;=30, "Met", "Breached"))</f>
        <v/>
      </c>
      <c r="P6623" s="8" t="n"/>
      <c r="Q6623" s="8" t="n"/>
      <c r="R6623" s="8" t="n"/>
      <c r="S6623" s="8" t="n"/>
      <c r="T6623" s="8" t="n"/>
      <c r="U6623" s="8" t="n"/>
      <c r="V6623" s="8" t="n"/>
      <c r="W6623" s="8" t="n"/>
      <c r="X6623" s="8" t="n"/>
      <c r="Y6623" s="8" t="n"/>
    </row>
    <row r="6624">
      <c r="A6624" s="8" t="n"/>
      <c r="B6624" s="8" t="n"/>
      <c r="C6624" s="8" t="n"/>
      <c r="D6624" s="8" t="n"/>
      <c r="E6624" s="8" t="n"/>
      <c r="F6624" s="8" t="n"/>
      <c r="G6624" s="8" t="n"/>
      <c r="H6624" s="8" t="n"/>
      <c r="I6624" s="8" t="n"/>
      <c r="J6624" s="8" t="n"/>
      <c r="K6624" s="8" t="n"/>
      <c r="L6624" s="8" t="n"/>
      <c r="M6624" s="9">
        <f>B6624+30</f>
        <v/>
      </c>
      <c r="N6624">
        <f>IF(L6624="", "", L6624-B6624)</f>
        <v/>
      </c>
      <c r="O6624">
        <f>IF(L6624="", "Pending", IF(N6624&lt;=30, "Met", "Breached"))</f>
        <v/>
      </c>
      <c r="P6624" s="8" t="n"/>
      <c r="Q6624" s="8" t="n"/>
      <c r="R6624" s="8" t="n"/>
      <c r="S6624" s="8" t="n"/>
      <c r="T6624" s="8" t="n"/>
      <c r="U6624" s="8" t="n"/>
      <c r="V6624" s="8" t="n"/>
      <c r="W6624" s="8" t="n"/>
      <c r="X6624" s="8" t="n"/>
      <c r="Y6624" s="8" t="n"/>
    </row>
    <row r="6625">
      <c r="A6625" s="8" t="n"/>
      <c r="B6625" s="8" t="n"/>
      <c r="C6625" s="8" t="n"/>
      <c r="D6625" s="8" t="n"/>
      <c r="E6625" s="8" t="n"/>
      <c r="F6625" s="8" t="n"/>
      <c r="G6625" s="8" t="n"/>
      <c r="H6625" s="8" t="n"/>
      <c r="I6625" s="8" t="n"/>
      <c r="J6625" s="8" t="n"/>
      <c r="K6625" s="8" t="n"/>
      <c r="L6625" s="8" t="n"/>
      <c r="M6625" s="9">
        <f>B6625+30</f>
        <v/>
      </c>
      <c r="N6625">
        <f>IF(L6625="", "", L6625-B6625)</f>
        <v/>
      </c>
      <c r="O6625">
        <f>IF(L6625="", "Pending", IF(N6625&lt;=30, "Met", "Breached"))</f>
        <v/>
      </c>
      <c r="P6625" s="8" t="n"/>
      <c r="Q6625" s="8" t="n"/>
      <c r="R6625" s="8" t="n"/>
      <c r="S6625" s="8" t="n"/>
      <c r="T6625" s="8" t="n"/>
      <c r="U6625" s="8" t="n"/>
      <c r="V6625" s="8" t="n"/>
      <c r="W6625" s="8" t="n"/>
      <c r="X6625" s="8" t="n"/>
      <c r="Y6625" s="8" t="n"/>
    </row>
    <row r="6626">
      <c r="A6626" s="8" t="n"/>
      <c r="B6626" s="8" t="n"/>
      <c r="C6626" s="8" t="n"/>
      <c r="D6626" s="8" t="n"/>
      <c r="E6626" s="8" t="n"/>
      <c r="F6626" s="8" t="n"/>
      <c r="G6626" s="8" t="n"/>
      <c r="H6626" s="8" t="n"/>
      <c r="I6626" s="8" t="n"/>
      <c r="J6626" s="8" t="n"/>
      <c r="K6626" s="8" t="n"/>
      <c r="L6626" s="8" t="n"/>
      <c r="M6626" s="9">
        <f>B6626+30</f>
        <v/>
      </c>
      <c r="N6626">
        <f>IF(L6626="", "", L6626-B6626)</f>
        <v/>
      </c>
      <c r="O6626">
        <f>IF(L6626="", "Pending", IF(N6626&lt;=30, "Met", "Breached"))</f>
        <v/>
      </c>
      <c r="P6626" s="8" t="n"/>
      <c r="Q6626" s="8" t="n"/>
      <c r="R6626" s="8" t="n"/>
      <c r="S6626" s="8" t="n"/>
      <c r="T6626" s="8" t="n"/>
      <c r="U6626" s="8" t="n"/>
      <c r="V6626" s="8" t="n"/>
      <c r="W6626" s="8" t="n"/>
      <c r="X6626" s="8" t="n"/>
      <c r="Y6626" s="8" t="n"/>
    </row>
    <row r="6627">
      <c r="A6627" s="8" t="n"/>
      <c r="B6627" s="8" t="n"/>
      <c r="C6627" s="8" t="n"/>
      <c r="D6627" s="8" t="n"/>
      <c r="E6627" s="8" t="n"/>
      <c r="F6627" s="8" t="n"/>
      <c r="G6627" s="8" t="n"/>
      <c r="H6627" s="8" t="n"/>
      <c r="I6627" s="8" t="n"/>
      <c r="J6627" s="8" t="n"/>
      <c r="K6627" s="8" t="n"/>
      <c r="L6627" s="8" t="n"/>
      <c r="M6627" s="9">
        <f>B6627+30</f>
        <v/>
      </c>
      <c r="N6627">
        <f>IF(L6627="", "", L6627-B6627)</f>
        <v/>
      </c>
      <c r="O6627">
        <f>IF(L6627="", "Pending", IF(N6627&lt;=30, "Met", "Breached"))</f>
        <v/>
      </c>
      <c r="P6627" s="8" t="n"/>
      <c r="Q6627" s="8" t="n"/>
      <c r="R6627" s="8" t="n"/>
      <c r="S6627" s="8" t="n"/>
      <c r="T6627" s="8" t="n"/>
      <c r="U6627" s="8" t="n"/>
      <c r="V6627" s="8" t="n"/>
      <c r="W6627" s="8" t="n"/>
      <c r="X6627" s="8" t="n"/>
      <c r="Y6627" s="8" t="n"/>
    </row>
    <row r="6628">
      <c r="A6628" s="8" t="n"/>
      <c r="B6628" s="8" t="n"/>
      <c r="C6628" s="8" t="n"/>
      <c r="D6628" s="8" t="n"/>
      <c r="E6628" s="8" t="n"/>
      <c r="F6628" s="8" t="n"/>
      <c r="G6628" s="8" t="n"/>
      <c r="H6628" s="8" t="n"/>
      <c r="I6628" s="8" t="n"/>
      <c r="J6628" s="8" t="n"/>
      <c r="K6628" s="8" t="n"/>
      <c r="L6628" s="8" t="n"/>
      <c r="M6628" s="9">
        <f>B6628+30</f>
        <v/>
      </c>
      <c r="N6628">
        <f>IF(L6628="", "", L6628-B6628)</f>
        <v/>
      </c>
      <c r="O6628">
        <f>IF(L6628="", "Pending", IF(N6628&lt;=30, "Met", "Breached"))</f>
        <v/>
      </c>
      <c r="P6628" s="8" t="n"/>
      <c r="Q6628" s="8" t="n"/>
      <c r="R6628" s="8" t="n"/>
      <c r="S6628" s="8" t="n"/>
      <c r="T6628" s="8" t="n"/>
      <c r="U6628" s="8" t="n"/>
      <c r="V6628" s="8" t="n"/>
      <c r="W6628" s="8" t="n"/>
      <c r="X6628" s="8" t="n"/>
      <c r="Y6628" s="8" t="n"/>
    </row>
    <row r="6629">
      <c r="A6629" s="8" t="n"/>
      <c r="B6629" s="8" t="n"/>
      <c r="C6629" s="8" t="n"/>
      <c r="D6629" s="8" t="n"/>
      <c r="E6629" s="8" t="n"/>
      <c r="F6629" s="8" t="n"/>
      <c r="G6629" s="8" t="n"/>
      <c r="H6629" s="8" t="n"/>
      <c r="I6629" s="8" t="n"/>
      <c r="J6629" s="8" t="n"/>
      <c r="K6629" s="8" t="n"/>
      <c r="L6629" s="8" t="n"/>
      <c r="M6629" s="9">
        <f>B6629+30</f>
        <v/>
      </c>
      <c r="N6629">
        <f>IF(L6629="", "", L6629-B6629)</f>
        <v/>
      </c>
      <c r="O6629">
        <f>IF(L6629="", "Pending", IF(N6629&lt;=30, "Met", "Breached"))</f>
        <v/>
      </c>
      <c r="P6629" s="8" t="n"/>
      <c r="Q6629" s="8" t="n"/>
      <c r="R6629" s="8" t="n"/>
      <c r="S6629" s="8" t="n"/>
      <c r="T6629" s="8" t="n"/>
      <c r="U6629" s="8" t="n"/>
      <c r="V6629" s="8" t="n"/>
      <c r="W6629" s="8" t="n"/>
      <c r="X6629" s="8" t="n"/>
      <c r="Y6629" s="8" t="n"/>
    </row>
    <row r="6630">
      <c r="A6630" s="8" t="n"/>
      <c r="B6630" s="8" t="n"/>
      <c r="C6630" s="8" t="n"/>
      <c r="D6630" s="8" t="n"/>
      <c r="E6630" s="8" t="n"/>
      <c r="F6630" s="8" t="n"/>
      <c r="G6630" s="8" t="n"/>
      <c r="H6630" s="8" t="n"/>
      <c r="I6630" s="8" t="n"/>
      <c r="J6630" s="8" t="n"/>
      <c r="K6630" s="8" t="n"/>
      <c r="L6630" s="8" t="n"/>
      <c r="M6630" s="9">
        <f>B6630+30</f>
        <v/>
      </c>
      <c r="N6630">
        <f>IF(L6630="", "", L6630-B6630)</f>
        <v/>
      </c>
      <c r="O6630">
        <f>IF(L6630="", "Pending", IF(N6630&lt;=30, "Met", "Breached"))</f>
        <v/>
      </c>
      <c r="P6630" s="8" t="n"/>
      <c r="Q6630" s="8" t="n"/>
      <c r="R6630" s="8" t="n"/>
      <c r="S6630" s="8" t="n"/>
      <c r="T6630" s="8" t="n"/>
      <c r="U6630" s="8" t="n"/>
      <c r="V6630" s="8" t="n"/>
      <c r="W6630" s="8" t="n"/>
      <c r="X6630" s="8" t="n"/>
      <c r="Y6630" s="8" t="n"/>
    </row>
    <row r="6631">
      <c r="A6631" s="8" t="n"/>
      <c r="B6631" s="8" t="n"/>
      <c r="C6631" s="8" t="n"/>
      <c r="D6631" s="8" t="n"/>
      <c r="E6631" s="8" t="n"/>
      <c r="F6631" s="8" t="n"/>
      <c r="G6631" s="8" t="n"/>
      <c r="H6631" s="8" t="n"/>
      <c r="I6631" s="8" t="n"/>
      <c r="J6631" s="8" t="n"/>
      <c r="K6631" s="8" t="n"/>
      <c r="L6631" s="8" t="n"/>
      <c r="M6631" s="9">
        <f>B6631+30</f>
        <v/>
      </c>
      <c r="N6631">
        <f>IF(L6631="", "", L6631-B6631)</f>
        <v/>
      </c>
      <c r="O6631">
        <f>IF(L6631="", "Pending", IF(N6631&lt;=30, "Met", "Breached"))</f>
        <v/>
      </c>
      <c r="P6631" s="8" t="n"/>
      <c r="Q6631" s="8" t="n"/>
      <c r="R6631" s="8" t="n"/>
      <c r="S6631" s="8" t="n"/>
      <c r="T6631" s="8" t="n"/>
      <c r="U6631" s="8" t="n"/>
      <c r="V6631" s="8" t="n"/>
      <c r="W6631" s="8" t="n"/>
      <c r="X6631" s="8" t="n"/>
      <c r="Y6631" s="8" t="n"/>
    </row>
    <row r="6632">
      <c r="A6632" s="8" t="n"/>
      <c r="B6632" s="8" t="n"/>
      <c r="C6632" s="8" t="n"/>
      <c r="D6632" s="8" t="n"/>
      <c r="E6632" s="8" t="n"/>
      <c r="F6632" s="8" t="n"/>
      <c r="G6632" s="8" t="n"/>
      <c r="H6632" s="8" t="n"/>
      <c r="I6632" s="8" t="n"/>
      <c r="J6632" s="8" t="n"/>
      <c r="K6632" s="8" t="n"/>
      <c r="L6632" s="8" t="n"/>
      <c r="M6632" s="9">
        <f>B6632+30</f>
        <v/>
      </c>
      <c r="N6632">
        <f>IF(L6632="", "", L6632-B6632)</f>
        <v/>
      </c>
      <c r="O6632">
        <f>IF(L6632="", "Pending", IF(N6632&lt;=30, "Met", "Breached"))</f>
        <v/>
      </c>
      <c r="P6632" s="8" t="n"/>
      <c r="Q6632" s="8" t="n"/>
      <c r="R6632" s="8" t="n"/>
      <c r="S6632" s="8" t="n"/>
      <c r="T6632" s="8" t="n"/>
      <c r="U6632" s="8" t="n"/>
      <c r="V6632" s="8" t="n"/>
      <c r="W6632" s="8" t="n"/>
      <c r="X6632" s="8" t="n"/>
      <c r="Y6632" s="8" t="n"/>
    </row>
    <row r="6633">
      <c r="A6633" s="8" t="n"/>
      <c r="B6633" s="8" t="n"/>
      <c r="C6633" s="8" t="n"/>
      <c r="D6633" s="8" t="n"/>
      <c r="E6633" s="8" t="n"/>
      <c r="F6633" s="8" t="n"/>
      <c r="G6633" s="8" t="n"/>
      <c r="H6633" s="8" t="n"/>
      <c r="I6633" s="8" t="n"/>
      <c r="J6633" s="8" t="n"/>
      <c r="K6633" s="8" t="n"/>
      <c r="L6633" s="8" t="n"/>
      <c r="M6633" s="9">
        <f>B6633+30</f>
        <v/>
      </c>
      <c r="N6633">
        <f>IF(L6633="", "", L6633-B6633)</f>
        <v/>
      </c>
      <c r="O6633">
        <f>IF(L6633="", "Pending", IF(N6633&lt;=30, "Met", "Breached"))</f>
        <v/>
      </c>
      <c r="P6633" s="8" t="n"/>
      <c r="Q6633" s="8" t="n"/>
      <c r="R6633" s="8" t="n"/>
      <c r="S6633" s="8" t="n"/>
      <c r="T6633" s="8" t="n"/>
      <c r="U6633" s="8" t="n"/>
      <c r="V6633" s="8" t="n"/>
      <c r="W6633" s="8" t="n"/>
      <c r="X6633" s="8" t="n"/>
      <c r="Y6633" s="8" t="n"/>
    </row>
    <row r="6634">
      <c r="A6634" s="8" t="n"/>
      <c r="B6634" s="8" t="n"/>
      <c r="C6634" s="8" t="n"/>
      <c r="D6634" s="8" t="n"/>
      <c r="E6634" s="8" t="n"/>
      <c r="F6634" s="8" t="n"/>
      <c r="G6634" s="8" t="n"/>
      <c r="H6634" s="8" t="n"/>
      <c r="I6634" s="8" t="n"/>
      <c r="J6634" s="8" t="n"/>
      <c r="K6634" s="8" t="n"/>
      <c r="L6634" s="8" t="n"/>
      <c r="M6634" s="9">
        <f>B6634+30</f>
        <v/>
      </c>
      <c r="N6634">
        <f>IF(L6634="", "", L6634-B6634)</f>
        <v/>
      </c>
      <c r="O6634">
        <f>IF(L6634="", "Pending", IF(N6634&lt;=30, "Met", "Breached"))</f>
        <v/>
      </c>
      <c r="P6634" s="8" t="n"/>
      <c r="Q6634" s="8" t="n"/>
      <c r="R6634" s="8" t="n"/>
      <c r="S6634" s="8" t="n"/>
      <c r="T6634" s="8" t="n"/>
      <c r="U6634" s="8" t="n"/>
      <c r="V6634" s="8" t="n"/>
      <c r="W6634" s="8" t="n"/>
      <c r="X6634" s="8" t="n"/>
      <c r="Y6634" s="8" t="n"/>
    </row>
    <row r="6635">
      <c r="A6635" s="8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8" t="n"/>
      <c r="K6635" s="8" t="n"/>
      <c r="L6635" s="8" t="n"/>
      <c r="M6635" s="9">
        <f>B6635+30</f>
        <v/>
      </c>
      <c r="N6635">
        <f>IF(L6635="", "", L6635-B6635)</f>
        <v/>
      </c>
      <c r="O6635">
        <f>IF(L6635="", "Pending", IF(N6635&lt;=30, "Met", "Breached"))</f>
        <v/>
      </c>
      <c r="P6635" s="8" t="n"/>
      <c r="Q6635" s="8" t="n"/>
      <c r="R6635" s="8" t="n"/>
      <c r="S6635" s="8" t="n"/>
      <c r="T6635" s="8" t="n"/>
      <c r="U6635" s="8" t="n"/>
      <c r="V6635" s="8" t="n"/>
      <c r="W6635" s="8" t="n"/>
      <c r="X6635" s="8" t="n"/>
      <c r="Y6635" s="8" t="n"/>
    </row>
    <row r="6636">
      <c r="A6636" s="8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8" t="n"/>
      <c r="K6636" s="8" t="n"/>
      <c r="L6636" s="8" t="n"/>
      <c r="M6636" s="9">
        <f>B6636+30</f>
        <v/>
      </c>
      <c r="N6636">
        <f>IF(L6636="", "", L6636-B6636)</f>
        <v/>
      </c>
      <c r="O6636">
        <f>IF(L6636="", "Pending", IF(N6636&lt;=30, "Met", "Breached"))</f>
        <v/>
      </c>
      <c r="P6636" s="8" t="n"/>
      <c r="Q6636" s="8" t="n"/>
      <c r="R6636" s="8" t="n"/>
      <c r="S6636" s="8" t="n"/>
      <c r="T6636" s="8" t="n"/>
      <c r="U6636" s="8" t="n"/>
      <c r="V6636" s="8" t="n"/>
      <c r="W6636" s="8" t="n"/>
      <c r="X6636" s="8" t="n"/>
      <c r="Y6636" s="8" t="n"/>
    </row>
    <row r="6637">
      <c r="A6637" s="8" t="n"/>
      <c r="B6637" s="8" t="n"/>
      <c r="C6637" s="8" t="n"/>
      <c r="D6637" s="8" t="n"/>
      <c r="E6637" s="8" t="n"/>
      <c r="F6637" s="8" t="n"/>
      <c r="G6637" s="8" t="n"/>
      <c r="H6637" s="8" t="n"/>
      <c r="I6637" s="8" t="n"/>
      <c r="J6637" s="8" t="n"/>
      <c r="K6637" s="8" t="n"/>
      <c r="L6637" s="8" t="n"/>
      <c r="M6637" s="9">
        <f>B6637+30</f>
        <v/>
      </c>
      <c r="N6637">
        <f>IF(L6637="", "", L6637-B6637)</f>
        <v/>
      </c>
      <c r="O6637">
        <f>IF(L6637="", "Pending", IF(N6637&lt;=30, "Met", "Breached"))</f>
        <v/>
      </c>
      <c r="P6637" s="8" t="n"/>
      <c r="Q6637" s="8" t="n"/>
      <c r="R6637" s="8" t="n"/>
      <c r="S6637" s="8" t="n"/>
      <c r="T6637" s="8" t="n"/>
      <c r="U6637" s="8" t="n"/>
      <c r="V6637" s="8" t="n"/>
      <c r="W6637" s="8" t="n"/>
      <c r="X6637" s="8" t="n"/>
      <c r="Y6637" s="8" t="n"/>
    </row>
    <row r="6638">
      <c r="A6638" s="8" t="n"/>
      <c r="B6638" s="8" t="n"/>
      <c r="C6638" s="8" t="n"/>
      <c r="D6638" s="8" t="n"/>
      <c r="E6638" s="8" t="n"/>
      <c r="F6638" s="8" t="n"/>
      <c r="G6638" s="8" t="n"/>
      <c r="H6638" s="8" t="n"/>
      <c r="I6638" s="8" t="n"/>
      <c r="J6638" s="8" t="n"/>
      <c r="K6638" s="8" t="n"/>
      <c r="L6638" s="8" t="n"/>
      <c r="M6638" s="9">
        <f>B6638+30</f>
        <v/>
      </c>
      <c r="N6638">
        <f>IF(L6638="", "", L6638-B6638)</f>
        <v/>
      </c>
      <c r="O6638">
        <f>IF(L6638="", "Pending", IF(N6638&lt;=30, "Met", "Breached"))</f>
        <v/>
      </c>
      <c r="P6638" s="8" t="n"/>
      <c r="Q6638" s="8" t="n"/>
      <c r="R6638" s="8" t="n"/>
      <c r="S6638" s="8" t="n"/>
      <c r="T6638" s="8" t="n"/>
      <c r="U6638" s="8" t="n"/>
      <c r="V6638" s="8" t="n"/>
      <c r="W6638" s="8" t="n"/>
      <c r="X6638" s="8" t="n"/>
      <c r="Y6638" s="8" t="n"/>
    </row>
    <row r="6639">
      <c r="A6639" s="8" t="n"/>
      <c r="B6639" s="8" t="n"/>
      <c r="C6639" s="8" t="n"/>
      <c r="D6639" s="8" t="n"/>
      <c r="E6639" s="8" t="n"/>
      <c r="F6639" s="8" t="n"/>
      <c r="G6639" s="8" t="n"/>
      <c r="H6639" s="8" t="n"/>
      <c r="I6639" s="8" t="n"/>
      <c r="J6639" s="8" t="n"/>
      <c r="K6639" s="8" t="n"/>
      <c r="L6639" s="8" t="n"/>
      <c r="M6639" s="9">
        <f>B6639+30</f>
        <v/>
      </c>
      <c r="N6639">
        <f>IF(L6639="", "", L6639-B6639)</f>
        <v/>
      </c>
      <c r="O6639">
        <f>IF(L6639="", "Pending", IF(N6639&lt;=30, "Met", "Breached"))</f>
        <v/>
      </c>
      <c r="P6639" s="8" t="n"/>
      <c r="Q6639" s="8" t="n"/>
      <c r="R6639" s="8" t="n"/>
      <c r="S6639" s="8" t="n"/>
      <c r="T6639" s="8" t="n"/>
      <c r="U6639" s="8" t="n"/>
      <c r="V6639" s="8" t="n"/>
      <c r="W6639" s="8" t="n"/>
      <c r="X6639" s="8" t="n"/>
      <c r="Y6639" s="8" t="n"/>
    </row>
    <row r="6640">
      <c r="A6640" s="8" t="n"/>
      <c r="B6640" s="8" t="n"/>
      <c r="C6640" s="8" t="n"/>
      <c r="D6640" s="8" t="n"/>
      <c r="E6640" s="8" t="n"/>
      <c r="F6640" s="8" t="n"/>
      <c r="G6640" s="8" t="n"/>
      <c r="H6640" s="8" t="n"/>
      <c r="I6640" s="8" t="n"/>
      <c r="J6640" s="8" t="n"/>
      <c r="K6640" s="8" t="n"/>
      <c r="L6640" s="8" t="n"/>
      <c r="M6640" s="9">
        <f>B6640+30</f>
        <v/>
      </c>
      <c r="N6640">
        <f>IF(L6640="", "", L6640-B6640)</f>
        <v/>
      </c>
      <c r="O6640">
        <f>IF(L6640="", "Pending", IF(N6640&lt;=30, "Met", "Breached"))</f>
        <v/>
      </c>
      <c r="P6640" s="8" t="n"/>
      <c r="Q6640" s="8" t="n"/>
      <c r="R6640" s="8" t="n"/>
      <c r="S6640" s="8" t="n"/>
      <c r="T6640" s="8" t="n"/>
      <c r="U6640" s="8" t="n"/>
      <c r="V6640" s="8" t="n"/>
      <c r="W6640" s="8" t="n"/>
      <c r="X6640" s="8" t="n"/>
      <c r="Y6640" s="8" t="n"/>
    </row>
    <row r="6641">
      <c r="A6641" s="8" t="n"/>
      <c r="B6641" s="8" t="n"/>
      <c r="C6641" s="8" t="n"/>
      <c r="D6641" s="8" t="n"/>
      <c r="E6641" s="8" t="n"/>
      <c r="F6641" s="8" t="n"/>
      <c r="G6641" s="8" t="n"/>
      <c r="H6641" s="8" t="n"/>
      <c r="I6641" s="8" t="n"/>
      <c r="J6641" s="8" t="n"/>
      <c r="K6641" s="8" t="n"/>
      <c r="L6641" s="8" t="n"/>
      <c r="M6641" s="9">
        <f>B6641+30</f>
        <v/>
      </c>
      <c r="N6641">
        <f>IF(L6641="", "", L6641-B6641)</f>
        <v/>
      </c>
      <c r="O6641">
        <f>IF(L6641="", "Pending", IF(N6641&lt;=30, "Met", "Breached"))</f>
        <v/>
      </c>
      <c r="P6641" s="8" t="n"/>
      <c r="Q6641" s="8" t="n"/>
      <c r="R6641" s="8" t="n"/>
      <c r="S6641" s="8" t="n"/>
      <c r="T6641" s="8" t="n"/>
      <c r="U6641" s="8" t="n"/>
      <c r="V6641" s="8" t="n"/>
      <c r="W6641" s="8" t="n"/>
      <c r="X6641" s="8" t="n"/>
      <c r="Y6641" s="8" t="n"/>
    </row>
    <row r="6642">
      <c r="A6642" s="8" t="n"/>
      <c r="B6642" s="8" t="n"/>
      <c r="C6642" s="8" t="n"/>
      <c r="D6642" s="8" t="n"/>
      <c r="E6642" s="8" t="n"/>
      <c r="F6642" s="8" t="n"/>
      <c r="G6642" s="8" t="n"/>
      <c r="H6642" s="8" t="n"/>
      <c r="I6642" s="8" t="n"/>
      <c r="J6642" s="8" t="n"/>
      <c r="K6642" s="8" t="n"/>
      <c r="L6642" s="8" t="n"/>
      <c r="M6642" s="9">
        <f>B6642+30</f>
        <v/>
      </c>
      <c r="N6642">
        <f>IF(L6642="", "", L6642-B6642)</f>
        <v/>
      </c>
      <c r="O6642">
        <f>IF(L6642="", "Pending", IF(N6642&lt;=30, "Met", "Breached"))</f>
        <v/>
      </c>
      <c r="P6642" s="8" t="n"/>
      <c r="Q6642" s="8" t="n"/>
      <c r="R6642" s="8" t="n"/>
      <c r="S6642" s="8" t="n"/>
      <c r="T6642" s="8" t="n"/>
      <c r="U6642" s="8" t="n"/>
      <c r="V6642" s="8" t="n"/>
      <c r="W6642" s="8" t="n"/>
      <c r="X6642" s="8" t="n"/>
      <c r="Y6642" s="8" t="n"/>
    </row>
    <row r="6643">
      <c r="A6643" s="8" t="n"/>
      <c r="B6643" s="8" t="n"/>
      <c r="C6643" s="8" t="n"/>
      <c r="D6643" s="8" t="n"/>
      <c r="E6643" s="8" t="n"/>
      <c r="F6643" s="8" t="n"/>
      <c r="G6643" s="8" t="n"/>
      <c r="H6643" s="8" t="n"/>
      <c r="I6643" s="8" t="n"/>
      <c r="J6643" s="8" t="n"/>
      <c r="K6643" s="8" t="n"/>
      <c r="L6643" s="8" t="n"/>
      <c r="M6643" s="9">
        <f>B6643+30</f>
        <v/>
      </c>
      <c r="N6643">
        <f>IF(L6643="", "", L6643-B6643)</f>
        <v/>
      </c>
      <c r="O6643">
        <f>IF(L6643="", "Pending", IF(N6643&lt;=30, "Met", "Breached"))</f>
        <v/>
      </c>
      <c r="P6643" s="8" t="n"/>
      <c r="Q6643" s="8" t="n"/>
      <c r="R6643" s="8" t="n"/>
      <c r="S6643" s="8" t="n"/>
      <c r="T6643" s="8" t="n"/>
      <c r="U6643" s="8" t="n"/>
      <c r="V6643" s="8" t="n"/>
      <c r="W6643" s="8" t="n"/>
      <c r="X6643" s="8" t="n"/>
      <c r="Y6643" s="8" t="n"/>
    </row>
    <row r="6644">
      <c r="A6644" s="8" t="n"/>
      <c r="B6644" s="8" t="n"/>
      <c r="C6644" s="8" t="n"/>
      <c r="D6644" s="8" t="n"/>
      <c r="E6644" s="8" t="n"/>
      <c r="F6644" s="8" t="n"/>
      <c r="G6644" s="8" t="n"/>
      <c r="H6644" s="8" t="n"/>
      <c r="I6644" s="8" t="n"/>
      <c r="J6644" s="8" t="n"/>
      <c r="K6644" s="8" t="n"/>
      <c r="L6644" s="8" t="n"/>
      <c r="M6644" s="9">
        <f>B6644+30</f>
        <v/>
      </c>
      <c r="N6644">
        <f>IF(L6644="", "", L6644-B6644)</f>
        <v/>
      </c>
      <c r="O6644">
        <f>IF(L6644="", "Pending", IF(N6644&lt;=30, "Met", "Breached"))</f>
        <v/>
      </c>
      <c r="P6644" s="8" t="n"/>
      <c r="Q6644" s="8" t="n"/>
      <c r="R6644" s="8" t="n"/>
      <c r="S6644" s="8" t="n"/>
      <c r="T6644" s="8" t="n"/>
      <c r="U6644" s="8" t="n"/>
      <c r="V6644" s="8" t="n"/>
      <c r="W6644" s="8" t="n"/>
      <c r="X6644" s="8" t="n"/>
      <c r="Y6644" s="8" t="n"/>
    </row>
    <row r="6645">
      <c r="A6645" s="8" t="n"/>
      <c r="B6645" s="8" t="n"/>
      <c r="C6645" s="8" t="n"/>
      <c r="D6645" s="8" t="n"/>
      <c r="E6645" s="8" t="n"/>
      <c r="F6645" s="8" t="n"/>
      <c r="G6645" s="8" t="n"/>
      <c r="H6645" s="8" t="n"/>
      <c r="I6645" s="8" t="n"/>
      <c r="J6645" s="8" t="n"/>
      <c r="K6645" s="8" t="n"/>
      <c r="L6645" s="8" t="n"/>
      <c r="M6645" s="9">
        <f>B6645+30</f>
        <v/>
      </c>
      <c r="N6645">
        <f>IF(L6645="", "", L6645-B6645)</f>
        <v/>
      </c>
      <c r="O6645">
        <f>IF(L6645="", "Pending", IF(N6645&lt;=30, "Met", "Breached"))</f>
        <v/>
      </c>
      <c r="P6645" s="8" t="n"/>
      <c r="Q6645" s="8" t="n"/>
      <c r="R6645" s="8" t="n"/>
      <c r="S6645" s="8" t="n"/>
      <c r="T6645" s="8" t="n"/>
      <c r="U6645" s="8" t="n"/>
      <c r="V6645" s="8" t="n"/>
      <c r="W6645" s="8" t="n"/>
      <c r="X6645" s="8" t="n"/>
      <c r="Y6645" s="8" t="n"/>
    </row>
    <row r="6646">
      <c r="A6646" s="8" t="n"/>
      <c r="B6646" s="8" t="n"/>
      <c r="C6646" s="8" t="n"/>
      <c r="D6646" s="8" t="n"/>
      <c r="E6646" s="8" t="n"/>
      <c r="F6646" s="8" t="n"/>
      <c r="G6646" s="8" t="n"/>
      <c r="H6646" s="8" t="n"/>
      <c r="I6646" s="8" t="n"/>
      <c r="J6646" s="8" t="n"/>
      <c r="K6646" s="8" t="n"/>
      <c r="L6646" s="8" t="n"/>
      <c r="M6646" s="9">
        <f>B6646+30</f>
        <v/>
      </c>
      <c r="N6646">
        <f>IF(L6646="", "", L6646-B6646)</f>
        <v/>
      </c>
      <c r="O6646">
        <f>IF(L6646="", "Pending", IF(N6646&lt;=30, "Met", "Breached"))</f>
        <v/>
      </c>
      <c r="P6646" s="8" t="n"/>
      <c r="Q6646" s="8" t="n"/>
      <c r="R6646" s="8" t="n"/>
      <c r="S6646" s="8" t="n"/>
      <c r="T6646" s="8" t="n"/>
      <c r="U6646" s="8" t="n"/>
      <c r="V6646" s="8" t="n"/>
      <c r="W6646" s="8" t="n"/>
      <c r="X6646" s="8" t="n"/>
      <c r="Y6646" s="8" t="n"/>
    </row>
    <row r="6647">
      <c r="A6647" s="8" t="n"/>
      <c r="B6647" s="8" t="n"/>
      <c r="C6647" s="8" t="n"/>
      <c r="D6647" s="8" t="n"/>
      <c r="E6647" s="8" t="n"/>
      <c r="F6647" s="8" t="n"/>
      <c r="G6647" s="8" t="n"/>
      <c r="H6647" s="8" t="n"/>
      <c r="I6647" s="8" t="n"/>
      <c r="J6647" s="8" t="n"/>
      <c r="K6647" s="8" t="n"/>
      <c r="L6647" s="8" t="n"/>
      <c r="M6647" s="9">
        <f>B6647+30</f>
        <v/>
      </c>
      <c r="N6647">
        <f>IF(L6647="", "", L6647-B6647)</f>
        <v/>
      </c>
      <c r="O6647">
        <f>IF(L6647="", "Pending", IF(N6647&lt;=30, "Met", "Breached"))</f>
        <v/>
      </c>
      <c r="P6647" s="8" t="n"/>
      <c r="Q6647" s="8" t="n"/>
      <c r="R6647" s="8" t="n"/>
      <c r="S6647" s="8" t="n"/>
      <c r="T6647" s="8" t="n"/>
      <c r="U6647" s="8" t="n"/>
      <c r="V6647" s="8" t="n"/>
      <c r="W6647" s="8" t="n"/>
      <c r="X6647" s="8" t="n"/>
      <c r="Y6647" s="8" t="n"/>
    </row>
    <row r="6648">
      <c r="A6648" s="8" t="n"/>
      <c r="B6648" s="8" t="n"/>
      <c r="C6648" s="8" t="n"/>
      <c r="D6648" s="8" t="n"/>
      <c r="E6648" s="8" t="n"/>
      <c r="F6648" s="8" t="n"/>
      <c r="G6648" s="8" t="n"/>
      <c r="H6648" s="8" t="n"/>
      <c r="I6648" s="8" t="n"/>
      <c r="J6648" s="8" t="n"/>
      <c r="K6648" s="8" t="n"/>
      <c r="L6648" s="8" t="n"/>
      <c r="M6648" s="9">
        <f>B6648+30</f>
        <v/>
      </c>
      <c r="N6648">
        <f>IF(L6648="", "", L6648-B6648)</f>
        <v/>
      </c>
      <c r="O6648">
        <f>IF(L6648="", "Pending", IF(N6648&lt;=30, "Met", "Breached"))</f>
        <v/>
      </c>
      <c r="P6648" s="8" t="n"/>
      <c r="Q6648" s="8" t="n"/>
      <c r="R6648" s="8" t="n"/>
      <c r="S6648" s="8" t="n"/>
      <c r="T6648" s="8" t="n"/>
      <c r="U6648" s="8" t="n"/>
      <c r="V6648" s="8" t="n"/>
      <c r="W6648" s="8" t="n"/>
      <c r="X6648" s="8" t="n"/>
      <c r="Y6648" s="8" t="n"/>
    </row>
    <row r="6649">
      <c r="A6649" s="8" t="n"/>
      <c r="B6649" s="8" t="n"/>
      <c r="C6649" s="8" t="n"/>
      <c r="D6649" s="8" t="n"/>
      <c r="E6649" s="8" t="n"/>
      <c r="F6649" s="8" t="n"/>
      <c r="G6649" s="8" t="n"/>
      <c r="H6649" s="8" t="n"/>
      <c r="I6649" s="8" t="n"/>
      <c r="J6649" s="8" t="n"/>
      <c r="K6649" s="8" t="n"/>
      <c r="L6649" s="8" t="n"/>
      <c r="M6649" s="9">
        <f>B6649+30</f>
        <v/>
      </c>
      <c r="N6649">
        <f>IF(L6649="", "", L6649-B6649)</f>
        <v/>
      </c>
      <c r="O6649">
        <f>IF(L6649="", "Pending", IF(N6649&lt;=30, "Met", "Breached"))</f>
        <v/>
      </c>
      <c r="P6649" s="8" t="n"/>
      <c r="Q6649" s="8" t="n"/>
      <c r="R6649" s="8" t="n"/>
      <c r="S6649" s="8" t="n"/>
      <c r="T6649" s="8" t="n"/>
      <c r="U6649" s="8" t="n"/>
      <c r="V6649" s="8" t="n"/>
      <c r="W6649" s="8" t="n"/>
      <c r="X6649" s="8" t="n"/>
      <c r="Y6649" s="8" t="n"/>
    </row>
    <row r="6650">
      <c r="A6650" s="8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8" t="n"/>
      <c r="K6650" s="8" t="n"/>
      <c r="L6650" s="8" t="n"/>
      <c r="M6650" s="9">
        <f>B6650+30</f>
        <v/>
      </c>
      <c r="N6650">
        <f>IF(L6650="", "", L6650-B6650)</f>
        <v/>
      </c>
      <c r="O6650">
        <f>IF(L6650="", "Pending", IF(N6650&lt;=30, "Met", "Breached"))</f>
        <v/>
      </c>
      <c r="P6650" s="8" t="n"/>
      <c r="Q6650" s="8" t="n"/>
      <c r="R6650" s="8" t="n"/>
      <c r="S6650" s="8" t="n"/>
      <c r="T6650" s="8" t="n"/>
      <c r="U6650" s="8" t="n"/>
      <c r="V6650" s="8" t="n"/>
      <c r="W6650" s="8" t="n"/>
      <c r="X6650" s="8" t="n"/>
      <c r="Y6650" s="8" t="n"/>
    </row>
    <row r="6651">
      <c r="A6651" s="8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8" t="n"/>
      <c r="K6651" s="8" t="n"/>
      <c r="L6651" s="8" t="n"/>
      <c r="M6651" s="9">
        <f>B6651+30</f>
        <v/>
      </c>
      <c r="N6651">
        <f>IF(L6651="", "", L6651-B6651)</f>
        <v/>
      </c>
      <c r="O6651">
        <f>IF(L6651="", "Pending", IF(N6651&lt;=30, "Met", "Breached"))</f>
        <v/>
      </c>
      <c r="P6651" s="8" t="n"/>
      <c r="Q6651" s="8" t="n"/>
      <c r="R6651" s="8" t="n"/>
      <c r="S6651" s="8" t="n"/>
      <c r="T6651" s="8" t="n"/>
      <c r="U6651" s="8" t="n"/>
      <c r="V6651" s="8" t="n"/>
      <c r="W6651" s="8" t="n"/>
      <c r="X6651" s="8" t="n"/>
      <c r="Y6651" s="8" t="n"/>
    </row>
    <row r="6652">
      <c r="A6652" s="8" t="n"/>
      <c r="B6652" s="8" t="n"/>
      <c r="C6652" s="8" t="n"/>
      <c r="D6652" s="8" t="n"/>
      <c r="E6652" s="8" t="n"/>
      <c r="F6652" s="8" t="n"/>
      <c r="G6652" s="8" t="n"/>
      <c r="H6652" s="8" t="n"/>
      <c r="I6652" s="8" t="n"/>
      <c r="J6652" s="8" t="n"/>
      <c r="K6652" s="8" t="n"/>
      <c r="L6652" s="8" t="n"/>
      <c r="M6652" s="9">
        <f>B6652+30</f>
        <v/>
      </c>
      <c r="N6652">
        <f>IF(L6652="", "", L6652-B6652)</f>
        <v/>
      </c>
      <c r="O6652">
        <f>IF(L6652="", "Pending", IF(N6652&lt;=30, "Met", "Breached"))</f>
        <v/>
      </c>
      <c r="P6652" s="8" t="n"/>
      <c r="Q6652" s="8" t="n"/>
      <c r="R6652" s="8" t="n"/>
      <c r="S6652" s="8" t="n"/>
      <c r="T6652" s="8" t="n"/>
      <c r="U6652" s="8" t="n"/>
      <c r="V6652" s="8" t="n"/>
      <c r="W6652" s="8" t="n"/>
      <c r="X6652" s="8" t="n"/>
      <c r="Y6652" s="8" t="n"/>
    </row>
    <row r="6653">
      <c r="A6653" s="8" t="n"/>
      <c r="B6653" s="8" t="n"/>
      <c r="C6653" s="8" t="n"/>
      <c r="D6653" s="8" t="n"/>
      <c r="E6653" s="8" t="n"/>
      <c r="F6653" s="8" t="n"/>
      <c r="G6653" s="8" t="n"/>
      <c r="H6653" s="8" t="n"/>
      <c r="I6653" s="8" t="n"/>
      <c r="J6653" s="8" t="n"/>
      <c r="K6653" s="8" t="n"/>
      <c r="L6653" s="8" t="n"/>
      <c r="M6653" s="9">
        <f>B6653+30</f>
        <v/>
      </c>
      <c r="N6653">
        <f>IF(L6653="", "", L6653-B6653)</f>
        <v/>
      </c>
      <c r="O6653">
        <f>IF(L6653="", "Pending", IF(N6653&lt;=30, "Met", "Breached"))</f>
        <v/>
      </c>
      <c r="P6653" s="8" t="n"/>
      <c r="Q6653" s="8" t="n"/>
      <c r="R6653" s="8" t="n"/>
      <c r="S6653" s="8" t="n"/>
      <c r="T6653" s="8" t="n"/>
      <c r="U6653" s="8" t="n"/>
      <c r="V6653" s="8" t="n"/>
      <c r="W6653" s="8" t="n"/>
      <c r="X6653" s="8" t="n"/>
      <c r="Y6653" s="8" t="n"/>
    </row>
    <row r="6654">
      <c r="A6654" s="8" t="n"/>
      <c r="B6654" s="8" t="n"/>
      <c r="C6654" s="8" t="n"/>
      <c r="D6654" s="8" t="n"/>
      <c r="E6654" s="8" t="n"/>
      <c r="F6654" s="8" t="n"/>
      <c r="G6654" s="8" t="n"/>
      <c r="H6654" s="8" t="n"/>
      <c r="I6654" s="8" t="n"/>
      <c r="J6654" s="8" t="n"/>
      <c r="K6654" s="8" t="n"/>
      <c r="L6654" s="8" t="n"/>
      <c r="M6654" s="9">
        <f>B6654+30</f>
        <v/>
      </c>
      <c r="N6654">
        <f>IF(L6654="", "", L6654-B6654)</f>
        <v/>
      </c>
      <c r="O6654">
        <f>IF(L6654="", "Pending", IF(N6654&lt;=30, "Met", "Breached"))</f>
        <v/>
      </c>
      <c r="P6654" s="8" t="n"/>
      <c r="Q6654" s="8" t="n"/>
      <c r="R6654" s="8" t="n"/>
      <c r="S6654" s="8" t="n"/>
      <c r="T6654" s="8" t="n"/>
      <c r="U6654" s="8" t="n"/>
      <c r="V6654" s="8" t="n"/>
      <c r="W6654" s="8" t="n"/>
      <c r="X6654" s="8" t="n"/>
      <c r="Y6654" s="8" t="n"/>
    </row>
    <row r="6655">
      <c r="A6655" s="8" t="n"/>
      <c r="B6655" s="8" t="n"/>
      <c r="C6655" s="8" t="n"/>
      <c r="D6655" s="8" t="n"/>
      <c r="E6655" s="8" t="n"/>
      <c r="F6655" s="8" t="n"/>
      <c r="G6655" s="8" t="n"/>
      <c r="H6655" s="8" t="n"/>
      <c r="I6655" s="8" t="n"/>
      <c r="J6655" s="8" t="n"/>
      <c r="K6655" s="8" t="n"/>
      <c r="L6655" s="8" t="n"/>
      <c r="M6655" s="9">
        <f>B6655+30</f>
        <v/>
      </c>
      <c r="N6655">
        <f>IF(L6655="", "", L6655-B6655)</f>
        <v/>
      </c>
      <c r="O6655">
        <f>IF(L6655="", "Pending", IF(N6655&lt;=30, "Met", "Breached"))</f>
        <v/>
      </c>
      <c r="P6655" s="8" t="n"/>
      <c r="Q6655" s="8" t="n"/>
      <c r="R6655" s="8" t="n"/>
      <c r="S6655" s="8" t="n"/>
      <c r="T6655" s="8" t="n"/>
      <c r="U6655" s="8" t="n"/>
      <c r="V6655" s="8" t="n"/>
      <c r="W6655" s="8" t="n"/>
      <c r="X6655" s="8" t="n"/>
      <c r="Y6655" s="8" t="n"/>
    </row>
    <row r="6656">
      <c r="A6656" s="8" t="n"/>
      <c r="B6656" s="8" t="n"/>
      <c r="C6656" s="8" t="n"/>
      <c r="D6656" s="8" t="n"/>
      <c r="E6656" s="8" t="n"/>
      <c r="F6656" s="8" t="n"/>
      <c r="G6656" s="8" t="n"/>
      <c r="H6656" s="8" t="n"/>
      <c r="I6656" s="8" t="n"/>
      <c r="J6656" s="8" t="n"/>
      <c r="K6656" s="8" t="n"/>
      <c r="L6656" s="8" t="n"/>
      <c r="M6656" s="9">
        <f>B6656+30</f>
        <v/>
      </c>
      <c r="N6656">
        <f>IF(L6656="", "", L6656-B6656)</f>
        <v/>
      </c>
      <c r="O6656">
        <f>IF(L6656="", "Pending", IF(N6656&lt;=30, "Met", "Breached"))</f>
        <v/>
      </c>
      <c r="P6656" s="8" t="n"/>
      <c r="Q6656" s="8" t="n"/>
      <c r="R6656" s="8" t="n"/>
      <c r="S6656" s="8" t="n"/>
      <c r="T6656" s="8" t="n"/>
      <c r="U6656" s="8" t="n"/>
      <c r="V6656" s="8" t="n"/>
      <c r="W6656" s="8" t="n"/>
      <c r="X6656" s="8" t="n"/>
      <c r="Y6656" s="8" t="n"/>
    </row>
    <row r="6657">
      <c r="A6657" s="8" t="n"/>
      <c r="B6657" s="8" t="n"/>
      <c r="C6657" s="8" t="n"/>
      <c r="D6657" s="8" t="n"/>
      <c r="E6657" s="8" t="n"/>
      <c r="F6657" s="8" t="n"/>
      <c r="G6657" s="8" t="n"/>
      <c r="H6657" s="8" t="n"/>
      <c r="I6657" s="8" t="n"/>
      <c r="J6657" s="8" t="n"/>
      <c r="K6657" s="8" t="n"/>
      <c r="L6657" s="8" t="n"/>
      <c r="M6657" s="9">
        <f>B6657+30</f>
        <v/>
      </c>
      <c r="N6657">
        <f>IF(L6657="", "", L6657-B6657)</f>
        <v/>
      </c>
      <c r="O6657">
        <f>IF(L6657="", "Pending", IF(N6657&lt;=30, "Met", "Breached"))</f>
        <v/>
      </c>
      <c r="P6657" s="8" t="n"/>
      <c r="Q6657" s="8" t="n"/>
      <c r="R6657" s="8" t="n"/>
      <c r="S6657" s="8" t="n"/>
      <c r="T6657" s="8" t="n"/>
      <c r="U6657" s="8" t="n"/>
      <c r="V6657" s="8" t="n"/>
      <c r="W6657" s="8" t="n"/>
      <c r="X6657" s="8" t="n"/>
      <c r="Y6657" s="8" t="n"/>
    </row>
    <row r="6658">
      <c r="A6658" s="8" t="n"/>
      <c r="B6658" s="8" t="n"/>
      <c r="C6658" s="8" t="n"/>
      <c r="D6658" s="8" t="n"/>
      <c r="E6658" s="8" t="n"/>
      <c r="F6658" s="8" t="n"/>
      <c r="G6658" s="8" t="n"/>
      <c r="H6658" s="8" t="n"/>
      <c r="I6658" s="8" t="n"/>
      <c r="J6658" s="8" t="n"/>
      <c r="K6658" s="8" t="n"/>
      <c r="L6658" s="8" t="n"/>
      <c r="M6658" s="9">
        <f>B6658+30</f>
        <v/>
      </c>
      <c r="N6658">
        <f>IF(L6658="", "", L6658-B6658)</f>
        <v/>
      </c>
      <c r="O6658">
        <f>IF(L6658="", "Pending", IF(N6658&lt;=30, "Met", "Breached"))</f>
        <v/>
      </c>
      <c r="P6658" s="8" t="n"/>
      <c r="Q6658" s="8" t="n"/>
      <c r="R6658" s="8" t="n"/>
      <c r="S6658" s="8" t="n"/>
      <c r="T6658" s="8" t="n"/>
      <c r="U6658" s="8" t="n"/>
      <c r="V6658" s="8" t="n"/>
      <c r="W6658" s="8" t="n"/>
      <c r="X6658" s="8" t="n"/>
      <c r="Y6658" s="8" t="n"/>
    </row>
    <row r="6659">
      <c r="A6659" s="8" t="n"/>
      <c r="B6659" s="8" t="n"/>
      <c r="C6659" s="8" t="n"/>
      <c r="D6659" s="8" t="n"/>
      <c r="E6659" s="8" t="n"/>
      <c r="F6659" s="8" t="n"/>
      <c r="G6659" s="8" t="n"/>
      <c r="H6659" s="8" t="n"/>
      <c r="I6659" s="8" t="n"/>
      <c r="J6659" s="8" t="n"/>
      <c r="K6659" s="8" t="n"/>
      <c r="L6659" s="8" t="n"/>
      <c r="M6659" s="9">
        <f>B6659+30</f>
        <v/>
      </c>
      <c r="N6659">
        <f>IF(L6659="", "", L6659-B6659)</f>
        <v/>
      </c>
      <c r="O6659">
        <f>IF(L6659="", "Pending", IF(N6659&lt;=30, "Met", "Breached"))</f>
        <v/>
      </c>
      <c r="P6659" s="8" t="n"/>
      <c r="Q6659" s="8" t="n"/>
      <c r="R6659" s="8" t="n"/>
      <c r="S6659" s="8" t="n"/>
      <c r="T6659" s="8" t="n"/>
      <c r="U6659" s="8" t="n"/>
      <c r="V6659" s="8" t="n"/>
      <c r="W6659" s="8" t="n"/>
      <c r="X6659" s="8" t="n"/>
      <c r="Y6659" s="8" t="n"/>
    </row>
    <row r="6660">
      <c r="A6660" s="8" t="n"/>
      <c r="B6660" s="8" t="n"/>
      <c r="C6660" s="8" t="n"/>
      <c r="D6660" s="8" t="n"/>
      <c r="E6660" s="8" t="n"/>
      <c r="F6660" s="8" t="n"/>
      <c r="G6660" s="8" t="n"/>
      <c r="H6660" s="8" t="n"/>
      <c r="I6660" s="8" t="n"/>
      <c r="J6660" s="8" t="n"/>
      <c r="K6660" s="8" t="n"/>
      <c r="L6660" s="8" t="n"/>
      <c r="M6660" s="9">
        <f>B6660+30</f>
        <v/>
      </c>
      <c r="N6660">
        <f>IF(L6660="", "", L6660-B6660)</f>
        <v/>
      </c>
      <c r="O6660">
        <f>IF(L6660="", "Pending", IF(N6660&lt;=30, "Met", "Breached"))</f>
        <v/>
      </c>
      <c r="P6660" s="8" t="n"/>
      <c r="Q6660" s="8" t="n"/>
      <c r="R6660" s="8" t="n"/>
      <c r="S6660" s="8" t="n"/>
      <c r="T6660" s="8" t="n"/>
      <c r="U6660" s="8" t="n"/>
      <c r="V6660" s="8" t="n"/>
      <c r="W6660" s="8" t="n"/>
      <c r="X6660" s="8" t="n"/>
      <c r="Y6660" s="8" t="n"/>
    </row>
    <row r="6661">
      <c r="A6661" s="8" t="n"/>
      <c r="B6661" s="8" t="n"/>
      <c r="C6661" s="8" t="n"/>
      <c r="D6661" s="8" t="n"/>
      <c r="E6661" s="8" t="n"/>
      <c r="F6661" s="8" t="n"/>
      <c r="G6661" s="8" t="n"/>
      <c r="H6661" s="8" t="n"/>
      <c r="I6661" s="8" t="n"/>
      <c r="J6661" s="8" t="n"/>
      <c r="K6661" s="8" t="n"/>
      <c r="L6661" s="8" t="n"/>
      <c r="M6661" s="9">
        <f>B6661+30</f>
        <v/>
      </c>
      <c r="N6661">
        <f>IF(L6661="", "", L6661-B6661)</f>
        <v/>
      </c>
      <c r="O6661">
        <f>IF(L6661="", "Pending", IF(N6661&lt;=30, "Met", "Breached"))</f>
        <v/>
      </c>
      <c r="P6661" s="8" t="n"/>
      <c r="Q6661" s="8" t="n"/>
      <c r="R6661" s="8" t="n"/>
      <c r="S6661" s="8" t="n"/>
      <c r="T6661" s="8" t="n"/>
      <c r="U6661" s="8" t="n"/>
      <c r="V6661" s="8" t="n"/>
      <c r="W6661" s="8" t="n"/>
      <c r="X6661" s="8" t="n"/>
      <c r="Y6661" s="8" t="n"/>
    </row>
    <row r="6662">
      <c r="A6662" s="8" t="n"/>
      <c r="B6662" s="8" t="n"/>
      <c r="C6662" s="8" t="n"/>
      <c r="D6662" s="8" t="n"/>
      <c r="E6662" s="8" t="n"/>
      <c r="F6662" s="8" t="n"/>
      <c r="G6662" s="8" t="n"/>
      <c r="H6662" s="8" t="n"/>
      <c r="I6662" s="8" t="n"/>
      <c r="J6662" s="8" t="n"/>
      <c r="K6662" s="8" t="n"/>
      <c r="L6662" s="8" t="n"/>
      <c r="M6662" s="9">
        <f>B6662+30</f>
        <v/>
      </c>
      <c r="N6662">
        <f>IF(L6662="", "", L6662-B6662)</f>
        <v/>
      </c>
      <c r="O6662">
        <f>IF(L6662="", "Pending", IF(N6662&lt;=30, "Met", "Breached"))</f>
        <v/>
      </c>
      <c r="P6662" s="8" t="n"/>
      <c r="Q6662" s="8" t="n"/>
      <c r="R6662" s="8" t="n"/>
      <c r="S6662" s="8" t="n"/>
      <c r="T6662" s="8" t="n"/>
      <c r="U6662" s="8" t="n"/>
      <c r="V6662" s="8" t="n"/>
      <c r="W6662" s="8" t="n"/>
      <c r="X6662" s="8" t="n"/>
      <c r="Y6662" s="8" t="n"/>
    </row>
    <row r="6663">
      <c r="A6663" s="8" t="n"/>
      <c r="B6663" s="8" t="n"/>
      <c r="C6663" s="8" t="n"/>
      <c r="D6663" s="8" t="n"/>
      <c r="E6663" s="8" t="n"/>
      <c r="F6663" s="8" t="n"/>
      <c r="G6663" s="8" t="n"/>
      <c r="H6663" s="8" t="n"/>
      <c r="I6663" s="8" t="n"/>
      <c r="J6663" s="8" t="n"/>
      <c r="K6663" s="8" t="n"/>
      <c r="L6663" s="8" t="n"/>
      <c r="M6663" s="9">
        <f>B6663+30</f>
        <v/>
      </c>
      <c r="N6663">
        <f>IF(L6663="", "", L6663-B6663)</f>
        <v/>
      </c>
      <c r="O6663">
        <f>IF(L6663="", "Pending", IF(N6663&lt;=30, "Met", "Breached"))</f>
        <v/>
      </c>
      <c r="P6663" s="8" t="n"/>
      <c r="Q6663" s="8" t="n"/>
      <c r="R6663" s="8" t="n"/>
      <c r="S6663" s="8" t="n"/>
      <c r="T6663" s="8" t="n"/>
      <c r="U6663" s="8" t="n"/>
      <c r="V6663" s="8" t="n"/>
      <c r="W6663" s="8" t="n"/>
      <c r="X6663" s="8" t="n"/>
      <c r="Y6663" s="8" t="n"/>
    </row>
    <row r="6664">
      <c r="A6664" s="8" t="n"/>
      <c r="B6664" s="8" t="n"/>
      <c r="C6664" s="8" t="n"/>
      <c r="D6664" s="8" t="n"/>
      <c r="E6664" s="8" t="n"/>
      <c r="F6664" s="8" t="n"/>
      <c r="G6664" s="8" t="n"/>
      <c r="H6664" s="8" t="n"/>
      <c r="I6664" s="8" t="n"/>
      <c r="J6664" s="8" t="n"/>
      <c r="K6664" s="8" t="n"/>
      <c r="L6664" s="8" t="n"/>
      <c r="M6664" s="9">
        <f>B6664+30</f>
        <v/>
      </c>
      <c r="N6664">
        <f>IF(L6664="", "", L6664-B6664)</f>
        <v/>
      </c>
      <c r="O6664">
        <f>IF(L6664="", "Pending", IF(N6664&lt;=30, "Met", "Breached"))</f>
        <v/>
      </c>
      <c r="P6664" s="8" t="n"/>
      <c r="Q6664" s="8" t="n"/>
      <c r="R6664" s="8" t="n"/>
      <c r="S6664" s="8" t="n"/>
      <c r="T6664" s="8" t="n"/>
      <c r="U6664" s="8" t="n"/>
      <c r="V6664" s="8" t="n"/>
      <c r="W6664" s="8" t="n"/>
      <c r="X6664" s="8" t="n"/>
      <c r="Y6664" s="8" t="n"/>
    </row>
    <row r="6665">
      <c r="A6665" s="8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8" t="n"/>
      <c r="K6665" s="8" t="n"/>
      <c r="L6665" s="8" t="n"/>
      <c r="M6665" s="9">
        <f>B6665+30</f>
        <v/>
      </c>
      <c r="N6665">
        <f>IF(L6665="", "", L6665-B6665)</f>
        <v/>
      </c>
      <c r="O6665">
        <f>IF(L6665="", "Pending", IF(N6665&lt;=30, "Met", "Breached"))</f>
        <v/>
      </c>
      <c r="P6665" s="8" t="n"/>
      <c r="Q6665" s="8" t="n"/>
      <c r="R6665" s="8" t="n"/>
      <c r="S6665" s="8" t="n"/>
      <c r="T6665" s="8" t="n"/>
      <c r="U6665" s="8" t="n"/>
      <c r="V6665" s="8" t="n"/>
      <c r="W6665" s="8" t="n"/>
      <c r="X6665" s="8" t="n"/>
      <c r="Y6665" s="8" t="n"/>
    </row>
    <row r="6666">
      <c r="A6666" s="8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8" t="n"/>
      <c r="K6666" s="8" t="n"/>
      <c r="L6666" s="8" t="n"/>
      <c r="M6666" s="9">
        <f>B6666+30</f>
        <v/>
      </c>
      <c r="N6666">
        <f>IF(L6666="", "", L6666-B6666)</f>
        <v/>
      </c>
      <c r="O6666">
        <f>IF(L6666="", "Pending", IF(N6666&lt;=30, "Met", "Breached"))</f>
        <v/>
      </c>
      <c r="P6666" s="8" t="n"/>
      <c r="Q6666" s="8" t="n"/>
      <c r="R6666" s="8" t="n"/>
      <c r="S6666" s="8" t="n"/>
      <c r="T6666" s="8" t="n"/>
      <c r="U6666" s="8" t="n"/>
      <c r="V6666" s="8" t="n"/>
      <c r="W6666" s="8" t="n"/>
      <c r="X6666" s="8" t="n"/>
      <c r="Y6666" s="8" t="n"/>
    </row>
    <row r="6667">
      <c r="A6667" s="8" t="n"/>
      <c r="B6667" s="8" t="n"/>
      <c r="C6667" s="8" t="n"/>
      <c r="D6667" s="8" t="n"/>
      <c r="E6667" s="8" t="n"/>
      <c r="F6667" s="8" t="n"/>
      <c r="G6667" s="8" t="n"/>
      <c r="H6667" s="8" t="n"/>
      <c r="I6667" s="8" t="n"/>
      <c r="J6667" s="8" t="n"/>
      <c r="K6667" s="8" t="n"/>
      <c r="L6667" s="8" t="n"/>
      <c r="M6667" s="9">
        <f>B6667+30</f>
        <v/>
      </c>
      <c r="N6667">
        <f>IF(L6667="", "", L6667-B6667)</f>
        <v/>
      </c>
      <c r="O6667">
        <f>IF(L6667="", "Pending", IF(N6667&lt;=30, "Met", "Breached"))</f>
        <v/>
      </c>
      <c r="P6667" s="8" t="n"/>
      <c r="Q6667" s="8" t="n"/>
      <c r="R6667" s="8" t="n"/>
      <c r="S6667" s="8" t="n"/>
      <c r="T6667" s="8" t="n"/>
      <c r="U6667" s="8" t="n"/>
      <c r="V6667" s="8" t="n"/>
      <c r="W6667" s="8" t="n"/>
      <c r="X6667" s="8" t="n"/>
      <c r="Y6667" s="8" t="n"/>
    </row>
    <row r="6668">
      <c r="A6668" s="8" t="n"/>
      <c r="B6668" s="8" t="n"/>
      <c r="C6668" s="8" t="n"/>
      <c r="D6668" s="8" t="n"/>
      <c r="E6668" s="8" t="n"/>
      <c r="F6668" s="8" t="n"/>
      <c r="G6668" s="8" t="n"/>
      <c r="H6668" s="8" t="n"/>
      <c r="I6668" s="8" t="n"/>
      <c r="J6668" s="8" t="n"/>
      <c r="K6668" s="8" t="n"/>
      <c r="L6668" s="8" t="n"/>
      <c r="M6668" s="9">
        <f>B6668+30</f>
        <v/>
      </c>
      <c r="N6668">
        <f>IF(L6668="", "", L6668-B6668)</f>
        <v/>
      </c>
      <c r="O6668">
        <f>IF(L6668="", "Pending", IF(N6668&lt;=30, "Met", "Breached"))</f>
        <v/>
      </c>
      <c r="P6668" s="8" t="n"/>
      <c r="Q6668" s="8" t="n"/>
      <c r="R6668" s="8" t="n"/>
      <c r="S6668" s="8" t="n"/>
      <c r="T6668" s="8" t="n"/>
      <c r="U6668" s="8" t="n"/>
      <c r="V6668" s="8" t="n"/>
      <c r="W6668" s="8" t="n"/>
      <c r="X6668" s="8" t="n"/>
      <c r="Y6668" s="8" t="n"/>
    </row>
    <row r="6669">
      <c r="A6669" s="8" t="n"/>
      <c r="B6669" s="8" t="n"/>
      <c r="C6669" s="8" t="n"/>
      <c r="D6669" s="8" t="n"/>
      <c r="E6669" s="8" t="n"/>
      <c r="F6669" s="8" t="n"/>
      <c r="G6669" s="8" t="n"/>
      <c r="H6669" s="8" t="n"/>
      <c r="I6669" s="8" t="n"/>
      <c r="J6669" s="8" t="n"/>
      <c r="K6669" s="8" t="n"/>
      <c r="L6669" s="8" t="n"/>
      <c r="M6669" s="9">
        <f>B6669+30</f>
        <v/>
      </c>
      <c r="N6669">
        <f>IF(L6669="", "", L6669-B6669)</f>
        <v/>
      </c>
      <c r="O6669">
        <f>IF(L6669="", "Pending", IF(N6669&lt;=30, "Met", "Breached"))</f>
        <v/>
      </c>
      <c r="P6669" s="8" t="n"/>
      <c r="Q6669" s="8" t="n"/>
      <c r="R6669" s="8" t="n"/>
      <c r="S6669" s="8" t="n"/>
      <c r="T6669" s="8" t="n"/>
      <c r="U6669" s="8" t="n"/>
      <c r="V6669" s="8" t="n"/>
      <c r="W6669" s="8" t="n"/>
      <c r="X6669" s="8" t="n"/>
      <c r="Y6669" s="8" t="n"/>
    </row>
    <row r="6670">
      <c r="A6670" s="8" t="n"/>
      <c r="B6670" s="8" t="n"/>
      <c r="C6670" s="8" t="n"/>
      <c r="D6670" s="8" t="n"/>
      <c r="E6670" s="8" t="n"/>
      <c r="F6670" s="8" t="n"/>
      <c r="G6670" s="8" t="n"/>
      <c r="H6670" s="8" t="n"/>
      <c r="I6670" s="8" t="n"/>
      <c r="J6670" s="8" t="n"/>
      <c r="K6670" s="8" t="n"/>
      <c r="L6670" s="8" t="n"/>
      <c r="M6670" s="9">
        <f>B6670+30</f>
        <v/>
      </c>
      <c r="N6670">
        <f>IF(L6670="", "", L6670-B6670)</f>
        <v/>
      </c>
      <c r="O6670">
        <f>IF(L6670="", "Pending", IF(N6670&lt;=30, "Met", "Breached"))</f>
        <v/>
      </c>
      <c r="P6670" s="8" t="n"/>
      <c r="Q6670" s="8" t="n"/>
      <c r="R6670" s="8" t="n"/>
      <c r="S6670" s="8" t="n"/>
      <c r="T6670" s="8" t="n"/>
      <c r="U6670" s="8" t="n"/>
      <c r="V6670" s="8" t="n"/>
      <c r="W6670" s="8" t="n"/>
      <c r="X6670" s="8" t="n"/>
      <c r="Y6670" s="8" t="n"/>
    </row>
    <row r="6671">
      <c r="A6671" s="8" t="n"/>
      <c r="B6671" s="8" t="n"/>
      <c r="C6671" s="8" t="n"/>
      <c r="D6671" s="8" t="n"/>
      <c r="E6671" s="8" t="n"/>
      <c r="F6671" s="8" t="n"/>
      <c r="G6671" s="8" t="n"/>
      <c r="H6671" s="8" t="n"/>
      <c r="I6671" s="8" t="n"/>
      <c r="J6671" s="8" t="n"/>
      <c r="K6671" s="8" t="n"/>
      <c r="L6671" s="8" t="n"/>
      <c r="M6671" s="9">
        <f>B6671+30</f>
        <v/>
      </c>
      <c r="N6671">
        <f>IF(L6671="", "", L6671-B6671)</f>
        <v/>
      </c>
      <c r="O6671">
        <f>IF(L6671="", "Pending", IF(N6671&lt;=30, "Met", "Breached"))</f>
        <v/>
      </c>
      <c r="P6671" s="8" t="n"/>
      <c r="Q6671" s="8" t="n"/>
      <c r="R6671" s="8" t="n"/>
      <c r="S6671" s="8" t="n"/>
      <c r="T6671" s="8" t="n"/>
      <c r="U6671" s="8" t="n"/>
      <c r="V6671" s="8" t="n"/>
      <c r="W6671" s="8" t="n"/>
      <c r="X6671" s="8" t="n"/>
      <c r="Y6671" s="8" t="n"/>
    </row>
    <row r="6672">
      <c r="A6672" s="8" t="n"/>
      <c r="B6672" s="8" t="n"/>
      <c r="C6672" s="8" t="n"/>
      <c r="D6672" s="8" t="n"/>
      <c r="E6672" s="8" t="n"/>
      <c r="F6672" s="8" t="n"/>
      <c r="G6672" s="8" t="n"/>
      <c r="H6672" s="8" t="n"/>
      <c r="I6672" s="8" t="n"/>
      <c r="J6672" s="8" t="n"/>
      <c r="K6672" s="8" t="n"/>
      <c r="L6672" s="8" t="n"/>
      <c r="M6672" s="9">
        <f>B6672+30</f>
        <v/>
      </c>
      <c r="N6672">
        <f>IF(L6672="", "", L6672-B6672)</f>
        <v/>
      </c>
      <c r="O6672">
        <f>IF(L6672="", "Pending", IF(N6672&lt;=30, "Met", "Breached"))</f>
        <v/>
      </c>
      <c r="P6672" s="8" t="n"/>
      <c r="Q6672" s="8" t="n"/>
      <c r="R6672" s="8" t="n"/>
      <c r="S6672" s="8" t="n"/>
      <c r="T6672" s="8" t="n"/>
      <c r="U6672" s="8" t="n"/>
      <c r="V6672" s="8" t="n"/>
      <c r="W6672" s="8" t="n"/>
      <c r="X6672" s="8" t="n"/>
      <c r="Y6672" s="8" t="n"/>
    </row>
    <row r="6673">
      <c r="A6673" s="8" t="n"/>
      <c r="B6673" s="8" t="n"/>
      <c r="C6673" s="8" t="n"/>
      <c r="D6673" s="8" t="n"/>
      <c r="E6673" s="8" t="n"/>
      <c r="F6673" s="8" t="n"/>
      <c r="G6673" s="8" t="n"/>
      <c r="H6673" s="8" t="n"/>
      <c r="I6673" s="8" t="n"/>
      <c r="J6673" s="8" t="n"/>
      <c r="K6673" s="8" t="n"/>
      <c r="L6673" s="8" t="n"/>
      <c r="M6673" s="9">
        <f>B6673+30</f>
        <v/>
      </c>
      <c r="N6673">
        <f>IF(L6673="", "", L6673-B6673)</f>
        <v/>
      </c>
      <c r="O6673">
        <f>IF(L6673="", "Pending", IF(N6673&lt;=30, "Met", "Breached"))</f>
        <v/>
      </c>
      <c r="P6673" s="8" t="n"/>
      <c r="Q6673" s="8" t="n"/>
      <c r="R6673" s="8" t="n"/>
      <c r="S6673" s="8" t="n"/>
      <c r="T6673" s="8" t="n"/>
      <c r="U6673" s="8" t="n"/>
      <c r="V6673" s="8" t="n"/>
      <c r="W6673" s="8" t="n"/>
      <c r="X6673" s="8" t="n"/>
      <c r="Y6673" s="8" t="n"/>
    </row>
    <row r="6674">
      <c r="A6674" s="8" t="n"/>
      <c r="B6674" s="8" t="n"/>
      <c r="C6674" s="8" t="n"/>
      <c r="D6674" s="8" t="n"/>
      <c r="E6674" s="8" t="n"/>
      <c r="F6674" s="8" t="n"/>
      <c r="G6674" s="8" t="n"/>
      <c r="H6674" s="8" t="n"/>
      <c r="I6674" s="8" t="n"/>
      <c r="J6674" s="8" t="n"/>
      <c r="K6674" s="8" t="n"/>
      <c r="L6674" s="8" t="n"/>
      <c r="M6674" s="9">
        <f>B6674+30</f>
        <v/>
      </c>
      <c r="N6674">
        <f>IF(L6674="", "", L6674-B6674)</f>
        <v/>
      </c>
      <c r="O6674">
        <f>IF(L6674="", "Pending", IF(N6674&lt;=30, "Met", "Breached"))</f>
        <v/>
      </c>
      <c r="P6674" s="8" t="n"/>
      <c r="Q6674" s="8" t="n"/>
      <c r="R6674" s="8" t="n"/>
      <c r="S6674" s="8" t="n"/>
      <c r="T6674" s="8" t="n"/>
      <c r="U6674" s="8" t="n"/>
      <c r="V6674" s="8" t="n"/>
      <c r="W6674" s="8" t="n"/>
      <c r="X6674" s="8" t="n"/>
      <c r="Y6674" s="8" t="n"/>
    </row>
    <row r="6675">
      <c r="A6675" s="8" t="n"/>
      <c r="B6675" s="8" t="n"/>
      <c r="C6675" s="8" t="n"/>
      <c r="D6675" s="8" t="n"/>
      <c r="E6675" s="8" t="n"/>
      <c r="F6675" s="8" t="n"/>
      <c r="G6675" s="8" t="n"/>
      <c r="H6675" s="8" t="n"/>
      <c r="I6675" s="8" t="n"/>
      <c r="J6675" s="8" t="n"/>
      <c r="K6675" s="8" t="n"/>
      <c r="L6675" s="8" t="n"/>
      <c r="M6675" s="9">
        <f>B6675+30</f>
        <v/>
      </c>
      <c r="N6675">
        <f>IF(L6675="", "", L6675-B6675)</f>
        <v/>
      </c>
      <c r="O6675">
        <f>IF(L6675="", "Pending", IF(N6675&lt;=30, "Met", "Breached"))</f>
        <v/>
      </c>
      <c r="P6675" s="8" t="n"/>
      <c r="Q6675" s="8" t="n"/>
      <c r="R6675" s="8" t="n"/>
      <c r="S6675" s="8" t="n"/>
      <c r="T6675" s="8" t="n"/>
      <c r="U6675" s="8" t="n"/>
      <c r="V6675" s="8" t="n"/>
      <c r="W6675" s="8" t="n"/>
      <c r="X6675" s="8" t="n"/>
      <c r="Y6675" s="8" t="n"/>
    </row>
    <row r="6676">
      <c r="A6676" s="8" t="n"/>
      <c r="B6676" s="8" t="n"/>
      <c r="C6676" s="8" t="n"/>
      <c r="D6676" s="8" t="n"/>
      <c r="E6676" s="8" t="n"/>
      <c r="F6676" s="8" t="n"/>
      <c r="G6676" s="8" t="n"/>
      <c r="H6676" s="8" t="n"/>
      <c r="I6676" s="8" t="n"/>
      <c r="J6676" s="8" t="n"/>
      <c r="K6676" s="8" t="n"/>
      <c r="L6676" s="8" t="n"/>
      <c r="M6676" s="9">
        <f>B6676+30</f>
        <v/>
      </c>
      <c r="N6676">
        <f>IF(L6676="", "", L6676-B6676)</f>
        <v/>
      </c>
      <c r="O6676">
        <f>IF(L6676="", "Pending", IF(N6676&lt;=30, "Met", "Breached"))</f>
        <v/>
      </c>
      <c r="P6676" s="8" t="n"/>
      <c r="Q6676" s="8" t="n"/>
      <c r="R6676" s="8" t="n"/>
      <c r="S6676" s="8" t="n"/>
      <c r="T6676" s="8" t="n"/>
      <c r="U6676" s="8" t="n"/>
      <c r="V6676" s="8" t="n"/>
      <c r="W6676" s="8" t="n"/>
      <c r="X6676" s="8" t="n"/>
      <c r="Y6676" s="8" t="n"/>
    </row>
    <row r="6677">
      <c r="A6677" s="8" t="n"/>
      <c r="B6677" s="8" t="n"/>
      <c r="C6677" s="8" t="n"/>
      <c r="D6677" s="8" t="n"/>
      <c r="E6677" s="8" t="n"/>
      <c r="F6677" s="8" t="n"/>
      <c r="G6677" s="8" t="n"/>
      <c r="H6677" s="8" t="n"/>
      <c r="I6677" s="8" t="n"/>
      <c r="J6677" s="8" t="n"/>
      <c r="K6677" s="8" t="n"/>
      <c r="L6677" s="8" t="n"/>
      <c r="M6677" s="9">
        <f>B6677+30</f>
        <v/>
      </c>
      <c r="N6677">
        <f>IF(L6677="", "", L6677-B6677)</f>
        <v/>
      </c>
      <c r="O6677">
        <f>IF(L6677="", "Pending", IF(N6677&lt;=30, "Met", "Breached"))</f>
        <v/>
      </c>
      <c r="P6677" s="8" t="n"/>
      <c r="Q6677" s="8" t="n"/>
      <c r="R6677" s="8" t="n"/>
      <c r="S6677" s="8" t="n"/>
      <c r="T6677" s="8" t="n"/>
      <c r="U6677" s="8" t="n"/>
      <c r="V6677" s="8" t="n"/>
      <c r="W6677" s="8" t="n"/>
      <c r="X6677" s="8" t="n"/>
      <c r="Y6677" s="8" t="n"/>
    </row>
    <row r="6678">
      <c r="A6678" s="8" t="n"/>
      <c r="B6678" s="8" t="n"/>
      <c r="C6678" s="8" t="n"/>
      <c r="D6678" s="8" t="n"/>
      <c r="E6678" s="8" t="n"/>
      <c r="F6678" s="8" t="n"/>
      <c r="G6678" s="8" t="n"/>
      <c r="H6678" s="8" t="n"/>
      <c r="I6678" s="8" t="n"/>
      <c r="J6678" s="8" t="n"/>
      <c r="K6678" s="8" t="n"/>
      <c r="L6678" s="8" t="n"/>
      <c r="M6678" s="9">
        <f>B6678+30</f>
        <v/>
      </c>
      <c r="N6678">
        <f>IF(L6678="", "", L6678-B6678)</f>
        <v/>
      </c>
      <c r="O6678">
        <f>IF(L6678="", "Pending", IF(N6678&lt;=30, "Met", "Breached"))</f>
        <v/>
      </c>
      <c r="P6678" s="8" t="n"/>
      <c r="Q6678" s="8" t="n"/>
      <c r="R6678" s="8" t="n"/>
      <c r="S6678" s="8" t="n"/>
      <c r="T6678" s="8" t="n"/>
      <c r="U6678" s="8" t="n"/>
      <c r="V6678" s="8" t="n"/>
      <c r="W6678" s="8" t="n"/>
      <c r="X6678" s="8" t="n"/>
      <c r="Y6678" s="8" t="n"/>
    </row>
    <row r="6679">
      <c r="A6679" s="8" t="n"/>
      <c r="B6679" s="8" t="n"/>
      <c r="C6679" s="8" t="n"/>
      <c r="D6679" s="8" t="n"/>
      <c r="E6679" s="8" t="n"/>
      <c r="F6679" s="8" t="n"/>
      <c r="G6679" s="8" t="n"/>
      <c r="H6679" s="8" t="n"/>
      <c r="I6679" s="8" t="n"/>
      <c r="J6679" s="8" t="n"/>
      <c r="K6679" s="8" t="n"/>
      <c r="L6679" s="8" t="n"/>
      <c r="M6679" s="9">
        <f>B6679+30</f>
        <v/>
      </c>
      <c r="N6679">
        <f>IF(L6679="", "", L6679-B6679)</f>
        <v/>
      </c>
      <c r="O6679">
        <f>IF(L6679="", "Pending", IF(N6679&lt;=30, "Met", "Breached"))</f>
        <v/>
      </c>
      <c r="P6679" s="8" t="n"/>
      <c r="Q6679" s="8" t="n"/>
      <c r="R6679" s="8" t="n"/>
      <c r="S6679" s="8" t="n"/>
      <c r="T6679" s="8" t="n"/>
      <c r="U6679" s="8" t="n"/>
      <c r="V6679" s="8" t="n"/>
      <c r="W6679" s="8" t="n"/>
      <c r="X6679" s="8" t="n"/>
      <c r="Y6679" s="8" t="n"/>
    </row>
    <row r="6680">
      <c r="A6680" s="8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8" t="n"/>
      <c r="K6680" s="8" t="n"/>
      <c r="L6680" s="8" t="n"/>
      <c r="M6680" s="9">
        <f>B6680+30</f>
        <v/>
      </c>
      <c r="N6680">
        <f>IF(L6680="", "", L6680-B6680)</f>
        <v/>
      </c>
      <c r="O6680">
        <f>IF(L6680="", "Pending", IF(N6680&lt;=30, "Met", "Breached"))</f>
        <v/>
      </c>
      <c r="P6680" s="8" t="n"/>
      <c r="Q6680" s="8" t="n"/>
      <c r="R6680" s="8" t="n"/>
      <c r="S6680" s="8" t="n"/>
      <c r="T6680" s="8" t="n"/>
      <c r="U6680" s="8" t="n"/>
      <c r="V6680" s="8" t="n"/>
      <c r="W6680" s="8" t="n"/>
      <c r="X6680" s="8" t="n"/>
      <c r="Y6680" s="8" t="n"/>
    </row>
    <row r="6681">
      <c r="A6681" s="8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8" t="n"/>
      <c r="K6681" s="8" t="n"/>
      <c r="L6681" s="8" t="n"/>
      <c r="M6681" s="9">
        <f>B6681+30</f>
        <v/>
      </c>
      <c r="N6681">
        <f>IF(L6681="", "", L6681-B6681)</f>
        <v/>
      </c>
      <c r="O6681">
        <f>IF(L6681="", "Pending", IF(N6681&lt;=30, "Met", "Breached"))</f>
        <v/>
      </c>
      <c r="P6681" s="8" t="n"/>
      <c r="Q6681" s="8" t="n"/>
      <c r="R6681" s="8" t="n"/>
      <c r="S6681" s="8" t="n"/>
      <c r="T6681" s="8" t="n"/>
      <c r="U6681" s="8" t="n"/>
      <c r="V6681" s="8" t="n"/>
      <c r="W6681" s="8" t="n"/>
      <c r="X6681" s="8" t="n"/>
      <c r="Y6681" s="8" t="n"/>
    </row>
    <row r="6682">
      <c r="A6682" s="8" t="n"/>
      <c r="B6682" s="8" t="n"/>
      <c r="C6682" s="8" t="n"/>
      <c r="D6682" s="8" t="n"/>
      <c r="E6682" s="8" t="n"/>
      <c r="F6682" s="8" t="n"/>
      <c r="G6682" s="8" t="n"/>
      <c r="H6682" s="8" t="n"/>
      <c r="I6682" s="8" t="n"/>
      <c r="J6682" s="8" t="n"/>
      <c r="K6682" s="8" t="n"/>
      <c r="L6682" s="8" t="n"/>
      <c r="M6682" s="9">
        <f>B6682+30</f>
        <v/>
      </c>
      <c r="N6682">
        <f>IF(L6682="", "", L6682-B6682)</f>
        <v/>
      </c>
      <c r="O6682">
        <f>IF(L6682="", "Pending", IF(N6682&lt;=30, "Met", "Breached"))</f>
        <v/>
      </c>
      <c r="P6682" s="8" t="n"/>
      <c r="Q6682" s="8" t="n"/>
      <c r="R6682" s="8" t="n"/>
      <c r="S6682" s="8" t="n"/>
      <c r="T6682" s="8" t="n"/>
      <c r="U6682" s="8" t="n"/>
      <c r="V6682" s="8" t="n"/>
      <c r="W6682" s="8" t="n"/>
      <c r="X6682" s="8" t="n"/>
      <c r="Y6682" s="8" t="n"/>
    </row>
    <row r="6683">
      <c r="A6683" s="8" t="n"/>
      <c r="B6683" s="8" t="n"/>
      <c r="C6683" s="8" t="n"/>
      <c r="D6683" s="8" t="n"/>
      <c r="E6683" s="8" t="n"/>
      <c r="F6683" s="8" t="n"/>
      <c r="G6683" s="8" t="n"/>
      <c r="H6683" s="8" t="n"/>
      <c r="I6683" s="8" t="n"/>
      <c r="J6683" s="8" t="n"/>
      <c r="K6683" s="8" t="n"/>
      <c r="L6683" s="8" t="n"/>
      <c r="M6683" s="9">
        <f>B6683+30</f>
        <v/>
      </c>
      <c r="N6683">
        <f>IF(L6683="", "", L6683-B6683)</f>
        <v/>
      </c>
      <c r="O6683">
        <f>IF(L6683="", "Pending", IF(N6683&lt;=30, "Met", "Breached"))</f>
        <v/>
      </c>
      <c r="P6683" s="8" t="n"/>
      <c r="Q6683" s="8" t="n"/>
      <c r="R6683" s="8" t="n"/>
      <c r="S6683" s="8" t="n"/>
      <c r="T6683" s="8" t="n"/>
      <c r="U6683" s="8" t="n"/>
      <c r="V6683" s="8" t="n"/>
      <c r="W6683" s="8" t="n"/>
      <c r="X6683" s="8" t="n"/>
      <c r="Y6683" s="8" t="n"/>
    </row>
    <row r="6684">
      <c r="A6684" s="8" t="n"/>
      <c r="B6684" s="8" t="n"/>
      <c r="C6684" s="8" t="n"/>
      <c r="D6684" s="8" t="n"/>
      <c r="E6684" s="8" t="n"/>
      <c r="F6684" s="8" t="n"/>
      <c r="G6684" s="8" t="n"/>
      <c r="H6684" s="8" t="n"/>
      <c r="I6684" s="8" t="n"/>
      <c r="J6684" s="8" t="n"/>
      <c r="K6684" s="8" t="n"/>
      <c r="L6684" s="8" t="n"/>
      <c r="M6684" s="9">
        <f>B6684+30</f>
        <v/>
      </c>
      <c r="N6684">
        <f>IF(L6684="", "", L6684-B6684)</f>
        <v/>
      </c>
      <c r="O6684">
        <f>IF(L6684="", "Pending", IF(N6684&lt;=30, "Met", "Breached"))</f>
        <v/>
      </c>
      <c r="P6684" s="8" t="n"/>
      <c r="Q6684" s="8" t="n"/>
      <c r="R6684" s="8" t="n"/>
      <c r="S6684" s="8" t="n"/>
      <c r="T6684" s="8" t="n"/>
      <c r="U6684" s="8" t="n"/>
      <c r="V6684" s="8" t="n"/>
      <c r="W6684" s="8" t="n"/>
      <c r="X6684" s="8" t="n"/>
      <c r="Y6684" s="8" t="n"/>
    </row>
    <row r="6685">
      <c r="A6685" s="8" t="n"/>
      <c r="B6685" s="8" t="n"/>
      <c r="C6685" s="8" t="n"/>
      <c r="D6685" s="8" t="n"/>
      <c r="E6685" s="8" t="n"/>
      <c r="F6685" s="8" t="n"/>
      <c r="G6685" s="8" t="n"/>
      <c r="H6685" s="8" t="n"/>
      <c r="I6685" s="8" t="n"/>
      <c r="J6685" s="8" t="n"/>
      <c r="K6685" s="8" t="n"/>
      <c r="L6685" s="8" t="n"/>
      <c r="M6685" s="9">
        <f>B6685+30</f>
        <v/>
      </c>
      <c r="N6685">
        <f>IF(L6685="", "", L6685-B6685)</f>
        <v/>
      </c>
      <c r="O6685">
        <f>IF(L6685="", "Pending", IF(N6685&lt;=30, "Met", "Breached"))</f>
        <v/>
      </c>
      <c r="P6685" s="8" t="n"/>
      <c r="Q6685" s="8" t="n"/>
      <c r="R6685" s="8" t="n"/>
      <c r="S6685" s="8" t="n"/>
      <c r="T6685" s="8" t="n"/>
      <c r="U6685" s="8" t="n"/>
      <c r="V6685" s="8" t="n"/>
      <c r="W6685" s="8" t="n"/>
      <c r="X6685" s="8" t="n"/>
      <c r="Y6685" s="8" t="n"/>
    </row>
    <row r="6686">
      <c r="A6686" s="8" t="n"/>
      <c r="B6686" s="8" t="n"/>
      <c r="C6686" s="8" t="n"/>
      <c r="D6686" s="8" t="n"/>
      <c r="E6686" s="8" t="n"/>
      <c r="F6686" s="8" t="n"/>
      <c r="G6686" s="8" t="n"/>
      <c r="H6686" s="8" t="n"/>
      <c r="I6686" s="8" t="n"/>
      <c r="J6686" s="8" t="n"/>
      <c r="K6686" s="8" t="n"/>
      <c r="L6686" s="8" t="n"/>
      <c r="M6686" s="9">
        <f>B6686+30</f>
        <v/>
      </c>
      <c r="N6686">
        <f>IF(L6686="", "", L6686-B6686)</f>
        <v/>
      </c>
      <c r="O6686">
        <f>IF(L6686="", "Pending", IF(N6686&lt;=30, "Met", "Breached"))</f>
        <v/>
      </c>
      <c r="P6686" s="8" t="n"/>
      <c r="Q6686" s="8" t="n"/>
      <c r="R6686" s="8" t="n"/>
      <c r="S6686" s="8" t="n"/>
      <c r="T6686" s="8" t="n"/>
      <c r="U6686" s="8" t="n"/>
      <c r="V6686" s="8" t="n"/>
      <c r="W6686" s="8" t="n"/>
      <c r="X6686" s="8" t="n"/>
      <c r="Y6686" s="8" t="n"/>
    </row>
    <row r="6687">
      <c r="A6687" s="8" t="n"/>
      <c r="B6687" s="8" t="n"/>
      <c r="C6687" s="8" t="n"/>
      <c r="D6687" s="8" t="n"/>
      <c r="E6687" s="8" t="n"/>
      <c r="F6687" s="8" t="n"/>
      <c r="G6687" s="8" t="n"/>
      <c r="H6687" s="8" t="n"/>
      <c r="I6687" s="8" t="n"/>
      <c r="J6687" s="8" t="n"/>
      <c r="K6687" s="8" t="n"/>
      <c r="L6687" s="8" t="n"/>
      <c r="M6687" s="9">
        <f>B6687+30</f>
        <v/>
      </c>
      <c r="N6687">
        <f>IF(L6687="", "", L6687-B6687)</f>
        <v/>
      </c>
      <c r="O6687">
        <f>IF(L6687="", "Pending", IF(N6687&lt;=30, "Met", "Breached"))</f>
        <v/>
      </c>
      <c r="P6687" s="8" t="n"/>
      <c r="Q6687" s="8" t="n"/>
      <c r="R6687" s="8" t="n"/>
      <c r="S6687" s="8" t="n"/>
      <c r="T6687" s="8" t="n"/>
      <c r="U6687" s="8" t="n"/>
      <c r="V6687" s="8" t="n"/>
      <c r="W6687" s="8" t="n"/>
      <c r="X6687" s="8" t="n"/>
      <c r="Y6687" s="8" t="n"/>
    </row>
    <row r="6688">
      <c r="A6688" s="8" t="n"/>
      <c r="B6688" s="8" t="n"/>
      <c r="C6688" s="8" t="n"/>
      <c r="D6688" s="8" t="n"/>
      <c r="E6688" s="8" t="n"/>
      <c r="F6688" s="8" t="n"/>
      <c r="G6688" s="8" t="n"/>
      <c r="H6688" s="8" t="n"/>
      <c r="I6688" s="8" t="n"/>
      <c r="J6688" s="8" t="n"/>
      <c r="K6688" s="8" t="n"/>
      <c r="L6688" s="8" t="n"/>
      <c r="M6688" s="9">
        <f>B6688+30</f>
        <v/>
      </c>
      <c r="N6688">
        <f>IF(L6688="", "", L6688-B6688)</f>
        <v/>
      </c>
      <c r="O6688">
        <f>IF(L6688="", "Pending", IF(N6688&lt;=30, "Met", "Breached"))</f>
        <v/>
      </c>
      <c r="P6688" s="8" t="n"/>
      <c r="Q6688" s="8" t="n"/>
      <c r="R6688" s="8" t="n"/>
      <c r="S6688" s="8" t="n"/>
      <c r="T6688" s="8" t="n"/>
      <c r="U6688" s="8" t="n"/>
      <c r="V6688" s="8" t="n"/>
      <c r="W6688" s="8" t="n"/>
      <c r="X6688" s="8" t="n"/>
      <c r="Y6688" s="8" t="n"/>
    </row>
    <row r="6689">
      <c r="A6689" s="8" t="n"/>
      <c r="B6689" s="8" t="n"/>
      <c r="C6689" s="8" t="n"/>
      <c r="D6689" s="8" t="n"/>
      <c r="E6689" s="8" t="n"/>
      <c r="F6689" s="8" t="n"/>
      <c r="G6689" s="8" t="n"/>
      <c r="H6689" s="8" t="n"/>
      <c r="I6689" s="8" t="n"/>
      <c r="J6689" s="8" t="n"/>
      <c r="K6689" s="8" t="n"/>
      <c r="L6689" s="8" t="n"/>
      <c r="M6689" s="9">
        <f>B6689+30</f>
        <v/>
      </c>
      <c r="N6689">
        <f>IF(L6689="", "", L6689-B6689)</f>
        <v/>
      </c>
      <c r="O6689">
        <f>IF(L6689="", "Pending", IF(N6689&lt;=30, "Met", "Breached"))</f>
        <v/>
      </c>
      <c r="P6689" s="8" t="n"/>
      <c r="Q6689" s="8" t="n"/>
      <c r="R6689" s="8" t="n"/>
      <c r="S6689" s="8" t="n"/>
      <c r="T6689" s="8" t="n"/>
      <c r="U6689" s="8" t="n"/>
      <c r="V6689" s="8" t="n"/>
      <c r="W6689" s="8" t="n"/>
      <c r="X6689" s="8" t="n"/>
      <c r="Y6689" s="8" t="n"/>
    </row>
    <row r="6690">
      <c r="A6690" s="8" t="n"/>
      <c r="B6690" s="8" t="n"/>
      <c r="C6690" s="8" t="n"/>
      <c r="D6690" s="8" t="n"/>
      <c r="E6690" s="8" t="n"/>
      <c r="F6690" s="8" t="n"/>
      <c r="G6690" s="8" t="n"/>
      <c r="H6690" s="8" t="n"/>
      <c r="I6690" s="8" t="n"/>
      <c r="J6690" s="8" t="n"/>
      <c r="K6690" s="8" t="n"/>
      <c r="L6690" s="8" t="n"/>
      <c r="M6690" s="9">
        <f>B6690+30</f>
        <v/>
      </c>
      <c r="N6690">
        <f>IF(L6690="", "", L6690-B6690)</f>
        <v/>
      </c>
      <c r="O6690">
        <f>IF(L6690="", "Pending", IF(N6690&lt;=30, "Met", "Breached"))</f>
        <v/>
      </c>
      <c r="P6690" s="8" t="n"/>
      <c r="Q6690" s="8" t="n"/>
      <c r="R6690" s="8" t="n"/>
      <c r="S6690" s="8" t="n"/>
      <c r="T6690" s="8" t="n"/>
      <c r="U6690" s="8" t="n"/>
      <c r="V6690" s="8" t="n"/>
      <c r="W6690" s="8" t="n"/>
      <c r="X6690" s="8" t="n"/>
      <c r="Y6690" s="8" t="n"/>
    </row>
    <row r="6691">
      <c r="A6691" s="8" t="n"/>
      <c r="B6691" s="8" t="n"/>
      <c r="C6691" s="8" t="n"/>
      <c r="D6691" s="8" t="n"/>
      <c r="E6691" s="8" t="n"/>
      <c r="F6691" s="8" t="n"/>
      <c r="G6691" s="8" t="n"/>
      <c r="H6691" s="8" t="n"/>
      <c r="I6691" s="8" t="n"/>
      <c r="J6691" s="8" t="n"/>
      <c r="K6691" s="8" t="n"/>
      <c r="L6691" s="8" t="n"/>
      <c r="M6691" s="9">
        <f>B6691+30</f>
        <v/>
      </c>
      <c r="N6691">
        <f>IF(L6691="", "", L6691-B6691)</f>
        <v/>
      </c>
      <c r="O6691">
        <f>IF(L6691="", "Pending", IF(N6691&lt;=30, "Met", "Breached"))</f>
        <v/>
      </c>
      <c r="P6691" s="8" t="n"/>
      <c r="Q6691" s="8" t="n"/>
      <c r="R6691" s="8" t="n"/>
      <c r="S6691" s="8" t="n"/>
      <c r="T6691" s="8" t="n"/>
      <c r="U6691" s="8" t="n"/>
      <c r="V6691" s="8" t="n"/>
      <c r="W6691" s="8" t="n"/>
      <c r="X6691" s="8" t="n"/>
      <c r="Y6691" s="8" t="n"/>
    </row>
    <row r="6692">
      <c r="A6692" s="8" t="n"/>
      <c r="B6692" s="8" t="n"/>
      <c r="C6692" s="8" t="n"/>
      <c r="D6692" s="8" t="n"/>
      <c r="E6692" s="8" t="n"/>
      <c r="F6692" s="8" t="n"/>
      <c r="G6692" s="8" t="n"/>
      <c r="H6692" s="8" t="n"/>
      <c r="I6692" s="8" t="n"/>
      <c r="J6692" s="8" t="n"/>
      <c r="K6692" s="8" t="n"/>
      <c r="L6692" s="8" t="n"/>
      <c r="M6692" s="9">
        <f>B6692+30</f>
        <v/>
      </c>
      <c r="N6692">
        <f>IF(L6692="", "", L6692-B6692)</f>
        <v/>
      </c>
      <c r="O6692">
        <f>IF(L6692="", "Pending", IF(N6692&lt;=30, "Met", "Breached"))</f>
        <v/>
      </c>
      <c r="P6692" s="8" t="n"/>
      <c r="Q6692" s="8" t="n"/>
      <c r="R6692" s="8" t="n"/>
      <c r="S6692" s="8" t="n"/>
      <c r="T6692" s="8" t="n"/>
      <c r="U6692" s="8" t="n"/>
      <c r="V6692" s="8" t="n"/>
      <c r="W6692" s="8" t="n"/>
      <c r="X6692" s="8" t="n"/>
      <c r="Y6692" s="8" t="n"/>
    </row>
    <row r="6693">
      <c r="A6693" s="8" t="n"/>
      <c r="B6693" s="8" t="n"/>
      <c r="C6693" s="8" t="n"/>
      <c r="D6693" s="8" t="n"/>
      <c r="E6693" s="8" t="n"/>
      <c r="F6693" s="8" t="n"/>
      <c r="G6693" s="8" t="n"/>
      <c r="H6693" s="8" t="n"/>
      <c r="I6693" s="8" t="n"/>
      <c r="J6693" s="8" t="n"/>
      <c r="K6693" s="8" t="n"/>
      <c r="L6693" s="8" t="n"/>
      <c r="M6693" s="9">
        <f>B6693+30</f>
        <v/>
      </c>
      <c r="N6693">
        <f>IF(L6693="", "", L6693-B6693)</f>
        <v/>
      </c>
      <c r="O6693">
        <f>IF(L6693="", "Pending", IF(N6693&lt;=30, "Met", "Breached"))</f>
        <v/>
      </c>
      <c r="P6693" s="8" t="n"/>
      <c r="Q6693" s="8" t="n"/>
      <c r="R6693" s="8" t="n"/>
      <c r="S6693" s="8" t="n"/>
      <c r="T6693" s="8" t="n"/>
      <c r="U6693" s="8" t="n"/>
      <c r="V6693" s="8" t="n"/>
      <c r="W6693" s="8" t="n"/>
      <c r="X6693" s="8" t="n"/>
      <c r="Y6693" s="8" t="n"/>
    </row>
    <row r="6694">
      <c r="A6694" s="8" t="n"/>
      <c r="B6694" s="8" t="n"/>
      <c r="C6694" s="8" t="n"/>
      <c r="D6694" s="8" t="n"/>
      <c r="E6694" s="8" t="n"/>
      <c r="F6694" s="8" t="n"/>
      <c r="G6694" s="8" t="n"/>
      <c r="H6694" s="8" t="n"/>
      <c r="I6694" s="8" t="n"/>
      <c r="J6694" s="8" t="n"/>
      <c r="K6694" s="8" t="n"/>
      <c r="L6694" s="8" t="n"/>
      <c r="M6694" s="9">
        <f>B6694+30</f>
        <v/>
      </c>
      <c r="N6694">
        <f>IF(L6694="", "", L6694-B6694)</f>
        <v/>
      </c>
      <c r="O6694">
        <f>IF(L6694="", "Pending", IF(N6694&lt;=30, "Met", "Breached"))</f>
        <v/>
      </c>
      <c r="P6694" s="8" t="n"/>
      <c r="Q6694" s="8" t="n"/>
      <c r="R6694" s="8" t="n"/>
      <c r="S6694" s="8" t="n"/>
      <c r="T6694" s="8" t="n"/>
      <c r="U6694" s="8" t="n"/>
      <c r="V6694" s="8" t="n"/>
      <c r="W6694" s="8" t="n"/>
      <c r="X6694" s="8" t="n"/>
      <c r="Y6694" s="8" t="n"/>
    </row>
    <row r="6695">
      <c r="A6695" s="8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8" t="n"/>
      <c r="K6695" s="8" t="n"/>
      <c r="L6695" s="8" t="n"/>
      <c r="M6695" s="9">
        <f>B6695+30</f>
        <v/>
      </c>
      <c r="N6695">
        <f>IF(L6695="", "", L6695-B6695)</f>
        <v/>
      </c>
      <c r="O6695">
        <f>IF(L6695="", "Pending", IF(N6695&lt;=30, "Met", "Breached"))</f>
        <v/>
      </c>
      <c r="P6695" s="8" t="n"/>
      <c r="Q6695" s="8" t="n"/>
      <c r="R6695" s="8" t="n"/>
      <c r="S6695" s="8" t="n"/>
      <c r="T6695" s="8" t="n"/>
      <c r="U6695" s="8" t="n"/>
      <c r="V6695" s="8" t="n"/>
      <c r="W6695" s="8" t="n"/>
      <c r="X6695" s="8" t="n"/>
      <c r="Y6695" s="8" t="n"/>
    </row>
    <row r="6696">
      <c r="A6696" s="8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8" t="n"/>
      <c r="K6696" s="8" t="n"/>
      <c r="L6696" s="8" t="n"/>
      <c r="M6696" s="9">
        <f>B6696+30</f>
        <v/>
      </c>
      <c r="N6696">
        <f>IF(L6696="", "", L6696-B6696)</f>
        <v/>
      </c>
      <c r="O6696">
        <f>IF(L6696="", "Pending", IF(N6696&lt;=30, "Met", "Breached"))</f>
        <v/>
      </c>
      <c r="P6696" s="8" t="n"/>
      <c r="Q6696" s="8" t="n"/>
      <c r="R6696" s="8" t="n"/>
      <c r="S6696" s="8" t="n"/>
      <c r="T6696" s="8" t="n"/>
      <c r="U6696" s="8" t="n"/>
      <c r="V6696" s="8" t="n"/>
      <c r="W6696" s="8" t="n"/>
      <c r="X6696" s="8" t="n"/>
      <c r="Y6696" s="8" t="n"/>
    </row>
    <row r="6697">
      <c r="A6697" s="8" t="n"/>
      <c r="B6697" s="8" t="n"/>
      <c r="C6697" s="8" t="n"/>
      <c r="D6697" s="8" t="n"/>
      <c r="E6697" s="8" t="n"/>
      <c r="F6697" s="8" t="n"/>
      <c r="G6697" s="8" t="n"/>
      <c r="H6697" s="8" t="n"/>
      <c r="I6697" s="8" t="n"/>
      <c r="J6697" s="8" t="n"/>
      <c r="K6697" s="8" t="n"/>
      <c r="L6697" s="8" t="n"/>
      <c r="M6697" s="9">
        <f>B6697+30</f>
        <v/>
      </c>
      <c r="N6697">
        <f>IF(L6697="", "", L6697-B6697)</f>
        <v/>
      </c>
      <c r="O6697">
        <f>IF(L6697="", "Pending", IF(N6697&lt;=30, "Met", "Breached"))</f>
        <v/>
      </c>
      <c r="P6697" s="8" t="n"/>
      <c r="Q6697" s="8" t="n"/>
      <c r="R6697" s="8" t="n"/>
      <c r="S6697" s="8" t="n"/>
      <c r="T6697" s="8" t="n"/>
      <c r="U6697" s="8" t="n"/>
      <c r="V6697" s="8" t="n"/>
      <c r="W6697" s="8" t="n"/>
      <c r="X6697" s="8" t="n"/>
      <c r="Y6697" s="8" t="n"/>
    </row>
    <row r="6698">
      <c r="A6698" s="8" t="n"/>
      <c r="B6698" s="8" t="n"/>
      <c r="C6698" s="8" t="n"/>
      <c r="D6698" s="8" t="n"/>
      <c r="E6698" s="8" t="n"/>
      <c r="F6698" s="8" t="n"/>
      <c r="G6698" s="8" t="n"/>
      <c r="H6698" s="8" t="n"/>
      <c r="I6698" s="8" t="n"/>
      <c r="J6698" s="8" t="n"/>
      <c r="K6698" s="8" t="n"/>
      <c r="L6698" s="8" t="n"/>
      <c r="M6698" s="9">
        <f>B6698+30</f>
        <v/>
      </c>
      <c r="N6698">
        <f>IF(L6698="", "", L6698-B6698)</f>
        <v/>
      </c>
      <c r="O6698">
        <f>IF(L6698="", "Pending", IF(N6698&lt;=30, "Met", "Breached"))</f>
        <v/>
      </c>
      <c r="P6698" s="8" t="n"/>
      <c r="Q6698" s="8" t="n"/>
      <c r="R6698" s="8" t="n"/>
      <c r="S6698" s="8" t="n"/>
      <c r="T6698" s="8" t="n"/>
      <c r="U6698" s="8" t="n"/>
      <c r="V6698" s="8" t="n"/>
      <c r="W6698" s="8" t="n"/>
      <c r="X6698" s="8" t="n"/>
      <c r="Y6698" s="8" t="n"/>
    </row>
    <row r="6699">
      <c r="A6699" s="8" t="n"/>
      <c r="B6699" s="8" t="n"/>
      <c r="C6699" s="8" t="n"/>
      <c r="D6699" s="8" t="n"/>
      <c r="E6699" s="8" t="n"/>
      <c r="F6699" s="8" t="n"/>
      <c r="G6699" s="8" t="n"/>
      <c r="H6699" s="8" t="n"/>
      <c r="I6699" s="8" t="n"/>
      <c r="J6699" s="8" t="n"/>
      <c r="K6699" s="8" t="n"/>
      <c r="L6699" s="8" t="n"/>
      <c r="M6699" s="9">
        <f>B6699+30</f>
        <v/>
      </c>
      <c r="N6699">
        <f>IF(L6699="", "", L6699-B6699)</f>
        <v/>
      </c>
      <c r="O6699">
        <f>IF(L6699="", "Pending", IF(N6699&lt;=30, "Met", "Breached"))</f>
        <v/>
      </c>
      <c r="P6699" s="8" t="n"/>
      <c r="Q6699" s="8" t="n"/>
      <c r="R6699" s="8" t="n"/>
      <c r="S6699" s="8" t="n"/>
      <c r="T6699" s="8" t="n"/>
      <c r="U6699" s="8" t="n"/>
      <c r="V6699" s="8" t="n"/>
      <c r="W6699" s="8" t="n"/>
      <c r="X6699" s="8" t="n"/>
      <c r="Y6699" s="8" t="n"/>
    </row>
    <row r="6700">
      <c r="A6700" s="8" t="n"/>
      <c r="B6700" s="8" t="n"/>
      <c r="C6700" s="8" t="n"/>
      <c r="D6700" s="8" t="n"/>
      <c r="E6700" s="8" t="n"/>
      <c r="F6700" s="8" t="n"/>
      <c r="G6700" s="8" t="n"/>
      <c r="H6700" s="8" t="n"/>
      <c r="I6700" s="8" t="n"/>
      <c r="J6700" s="8" t="n"/>
      <c r="K6700" s="8" t="n"/>
      <c r="L6700" s="8" t="n"/>
      <c r="M6700" s="9">
        <f>B6700+30</f>
        <v/>
      </c>
      <c r="N6700">
        <f>IF(L6700="", "", L6700-B6700)</f>
        <v/>
      </c>
      <c r="O6700">
        <f>IF(L6700="", "Pending", IF(N6700&lt;=30, "Met", "Breached"))</f>
        <v/>
      </c>
      <c r="P6700" s="8" t="n"/>
      <c r="Q6700" s="8" t="n"/>
      <c r="R6700" s="8" t="n"/>
      <c r="S6700" s="8" t="n"/>
      <c r="T6700" s="8" t="n"/>
      <c r="U6700" s="8" t="n"/>
      <c r="V6700" s="8" t="n"/>
      <c r="W6700" s="8" t="n"/>
      <c r="X6700" s="8" t="n"/>
      <c r="Y6700" s="8" t="n"/>
    </row>
    <row r="6701">
      <c r="A6701" s="8" t="n"/>
      <c r="B6701" s="8" t="n"/>
      <c r="C6701" s="8" t="n"/>
      <c r="D6701" s="8" t="n"/>
      <c r="E6701" s="8" t="n"/>
      <c r="F6701" s="8" t="n"/>
      <c r="G6701" s="8" t="n"/>
      <c r="H6701" s="8" t="n"/>
      <c r="I6701" s="8" t="n"/>
      <c r="J6701" s="8" t="n"/>
      <c r="K6701" s="8" t="n"/>
      <c r="L6701" s="8" t="n"/>
      <c r="M6701" s="9">
        <f>B6701+30</f>
        <v/>
      </c>
      <c r="N6701">
        <f>IF(L6701="", "", L6701-B6701)</f>
        <v/>
      </c>
      <c r="O6701">
        <f>IF(L6701="", "Pending", IF(N6701&lt;=30, "Met", "Breached"))</f>
        <v/>
      </c>
      <c r="P6701" s="8" t="n"/>
      <c r="Q6701" s="8" t="n"/>
      <c r="R6701" s="8" t="n"/>
      <c r="S6701" s="8" t="n"/>
      <c r="T6701" s="8" t="n"/>
      <c r="U6701" s="8" t="n"/>
      <c r="V6701" s="8" t="n"/>
      <c r="W6701" s="8" t="n"/>
      <c r="X6701" s="8" t="n"/>
      <c r="Y6701" s="8" t="n"/>
    </row>
    <row r="6702">
      <c r="A6702" s="8" t="n"/>
      <c r="B6702" s="8" t="n"/>
      <c r="C6702" s="8" t="n"/>
      <c r="D6702" s="8" t="n"/>
      <c r="E6702" s="8" t="n"/>
      <c r="F6702" s="8" t="n"/>
      <c r="G6702" s="8" t="n"/>
      <c r="H6702" s="8" t="n"/>
      <c r="I6702" s="8" t="n"/>
      <c r="J6702" s="8" t="n"/>
      <c r="K6702" s="8" t="n"/>
      <c r="L6702" s="8" t="n"/>
      <c r="M6702" s="9">
        <f>B6702+30</f>
        <v/>
      </c>
      <c r="N6702">
        <f>IF(L6702="", "", L6702-B6702)</f>
        <v/>
      </c>
      <c r="O6702">
        <f>IF(L6702="", "Pending", IF(N6702&lt;=30, "Met", "Breached"))</f>
        <v/>
      </c>
      <c r="P6702" s="8" t="n"/>
      <c r="Q6702" s="8" t="n"/>
      <c r="R6702" s="8" t="n"/>
      <c r="S6702" s="8" t="n"/>
      <c r="T6702" s="8" t="n"/>
      <c r="U6702" s="8" t="n"/>
      <c r="V6702" s="8" t="n"/>
      <c r="W6702" s="8" t="n"/>
      <c r="X6702" s="8" t="n"/>
      <c r="Y6702" s="8" t="n"/>
    </row>
    <row r="6703">
      <c r="A6703" s="8" t="n"/>
      <c r="B6703" s="8" t="n"/>
      <c r="C6703" s="8" t="n"/>
      <c r="D6703" s="8" t="n"/>
      <c r="E6703" s="8" t="n"/>
      <c r="F6703" s="8" t="n"/>
      <c r="G6703" s="8" t="n"/>
      <c r="H6703" s="8" t="n"/>
      <c r="I6703" s="8" t="n"/>
      <c r="J6703" s="8" t="n"/>
      <c r="K6703" s="8" t="n"/>
      <c r="L6703" s="8" t="n"/>
      <c r="M6703" s="9">
        <f>B6703+30</f>
        <v/>
      </c>
      <c r="N6703">
        <f>IF(L6703="", "", L6703-B6703)</f>
        <v/>
      </c>
      <c r="O6703">
        <f>IF(L6703="", "Pending", IF(N6703&lt;=30, "Met", "Breached"))</f>
        <v/>
      </c>
      <c r="P6703" s="8" t="n"/>
      <c r="Q6703" s="8" t="n"/>
      <c r="R6703" s="8" t="n"/>
      <c r="S6703" s="8" t="n"/>
      <c r="T6703" s="8" t="n"/>
      <c r="U6703" s="8" t="n"/>
      <c r="V6703" s="8" t="n"/>
      <c r="W6703" s="8" t="n"/>
      <c r="X6703" s="8" t="n"/>
      <c r="Y6703" s="8" t="n"/>
    </row>
    <row r="6704">
      <c r="A6704" s="8" t="n"/>
      <c r="B6704" s="8" t="n"/>
      <c r="C6704" s="8" t="n"/>
      <c r="D6704" s="8" t="n"/>
      <c r="E6704" s="8" t="n"/>
      <c r="F6704" s="8" t="n"/>
      <c r="G6704" s="8" t="n"/>
      <c r="H6704" s="8" t="n"/>
      <c r="I6704" s="8" t="n"/>
      <c r="J6704" s="8" t="n"/>
      <c r="K6704" s="8" t="n"/>
      <c r="L6704" s="8" t="n"/>
      <c r="M6704" s="9">
        <f>B6704+30</f>
        <v/>
      </c>
      <c r="N6704">
        <f>IF(L6704="", "", L6704-B6704)</f>
        <v/>
      </c>
      <c r="O6704">
        <f>IF(L6704="", "Pending", IF(N6704&lt;=30, "Met", "Breached"))</f>
        <v/>
      </c>
      <c r="P6704" s="8" t="n"/>
      <c r="Q6704" s="8" t="n"/>
      <c r="R6704" s="8" t="n"/>
      <c r="S6704" s="8" t="n"/>
      <c r="T6704" s="8" t="n"/>
      <c r="U6704" s="8" t="n"/>
      <c r="V6704" s="8" t="n"/>
      <c r="W6704" s="8" t="n"/>
      <c r="X6704" s="8" t="n"/>
      <c r="Y6704" s="8" t="n"/>
    </row>
    <row r="6705">
      <c r="A6705" s="8" t="n"/>
      <c r="B6705" s="8" t="n"/>
      <c r="C6705" s="8" t="n"/>
      <c r="D6705" s="8" t="n"/>
      <c r="E6705" s="8" t="n"/>
      <c r="F6705" s="8" t="n"/>
      <c r="G6705" s="8" t="n"/>
      <c r="H6705" s="8" t="n"/>
      <c r="I6705" s="8" t="n"/>
      <c r="J6705" s="8" t="n"/>
      <c r="K6705" s="8" t="n"/>
      <c r="L6705" s="8" t="n"/>
      <c r="M6705" s="9">
        <f>B6705+30</f>
        <v/>
      </c>
      <c r="N6705">
        <f>IF(L6705="", "", L6705-B6705)</f>
        <v/>
      </c>
      <c r="O6705">
        <f>IF(L6705="", "Pending", IF(N6705&lt;=30, "Met", "Breached"))</f>
        <v/>
      </c>
      <c r="P6705" s="8" t="n"/>
      <c r="Q6705" s="8" t="n"/>
      <c r="R6705" s="8" t="n"/>
      <c r="S6705" s="8" t="n"/>
      <c r="T6705" s="8" t="n"/>
      <c r="U6705" s="8" t="n"/>
      <c r="V6705" s="8" t="n"/>
      <c r="W6705" s="8" t="n"/>
      <c r="X6705" s="8" t="n"/>
      <c r="Y6705" s="8" t="n"/>
    </row>
    <row r="6706">
      <c r="A6706" s="8" t="n"/>
      <c r="B6706" s="8" t="n"/>
      <c r="C6706" s="8" t="n"/>
      <c r="D6706" s="8" t="n"/>
      <c r="E6706" s="8" t="n"/>
      <c r="F6706" s="8" t="n"/>
      <c r="G6706" s="8" t="n"/>
      <c r="H6706" s="8" t="n"/>
      <c r="I6706" s="8" t="n"/>
      <c r="J6706" s="8" t="n"/>
      <c r="K6706" s="8" t="n"/>
      <c r="L6706" s="8" t="n"/>
      <c r="M6706" s="9">
        <f>B6706+30</f>
        <v/>
      </c>
      <c r="N6706">
        <f>IF(L6706="", "", L6706-B6706)</f>
        <v/>
      </c>
      <c r="O6706">
        <f>IF(L6706="", "Pending", IF(N6706&lt;=30, "Met", "Breached"))</f>
        <v/>
      </c>
      <c r="P6706" s="8" t="n"/>
      <c r="Q6706" s="8" t="n"/>
      <c r="R6706" s="8" t="n"/>
      <c r="S6706" s="8" t="n"/>
      <c r="T6706" s="8" t="n"/>
      <c r="U6706" s="8" t="n"/>
      <c r="V6706" s="8" t="n"/>
      <c r="W6706" s="8" t="n"/>
      <c r="X6706" s="8" t="n"/>
      <c r="Y6706" s="8" t="n"/>
    </row>
    <row r="6707">
      <c r="A6707" s="8" t="n"/>
      <c r="B6707" s="8" t="n"/>
      <c r="C6707" s="8" t="n"/>
      <c r="D6707" s="8" t="n"/>
      <c r="E6707" s="8" t="n"/>
      <c r="F6707" s="8" t="n"/>
      <c r="G6707" s="8" t="n"/>
      <c r="H6707" s="8" t="n"/>
      <c r="I6707" s="8" t="n"/>
      <c r="J6707" s="8" t="n"/>
      <c r="K6707" s="8" t="n"/>
      <c r="L6707" s="8" t="n"/>
      <c r="M6707" s="9">
        <f>B6707+30</f>
        <v/>
      </c>
      <c r="N6707">
        <f>IF(L6707="", "", L6707-B6707)</f>
        <v/>
      </c>
      <c r="O6707">
        <f>IF(L6707="", "Pending", IF(N6707&lt;=30, "Met", "Breached"))</f>
        <v/>
      </c>
      <c r="P6707" s="8" t="n"/>
      <c r="Q6707" s="8" t="n"/>
      <c r="R6707" s="8" t="n"/>
      <c r="S6707" s="8" t="n"/>
      <c r="T6707" s="8" t="n"/>
      <c r="U6707" s="8" t="n"/>
      <c r="V6707" s="8" t="n"/>
      <c r="W6707" s="8" t="n"/>
      <c r="X6707" s="8" t="n"/>
      <c r="Y6707" s="8" t="n"/>
    </row>
    <row r="6708">
      <c r="A6708" s="8" t="n"/>
      <c r="B6708" s="8" t="n"/>
      <c r="C6708" s="8" t="n"/>
      <c r="D6708" s="8" t="n"/>
      <c r="E6708" s="8" t="n"/>
      <c r="F6708" s="8" t="n"/>
      <c r="G6708" s="8" t="n"/>
      <c r="H6708" s="8" t="n"/>
      <c r="I6708" s="8" t="n"/>
      <c r="J6708" s="8" t="n"/>
      <c r="K6708" s="8" t="n"/>
      <c r="L6708" s="8" t="n"/>
      <c r="M6708" s="9">
        <f>B6708+30</f>
        <v/>
      </c>
      <c r="N6708">
        <f>IF(L6708="", "", L6708-B6708)</f>
        <v/>
      </c>
      <c r="O6708">
        <f>IF(L6708="", "Pending", IF(N6708&lt;=30, "Met", "Breached"))</f>
        <v/>
      </c>
      <c r="P6708" s="8" t="n"/>
      <c r="Q6708" s="8" t="n"/>
      <c r="R6708" s="8" t="n"/>
      <c r="S6708" s="8" t="n"/>
      <c r="T6708" s="8" t="n"/>
      <c r="U6708" s="8" t="n"/>
      <c r="V6708" s="8" t="n"/>
      <c r="W6708" s="8" t="n"/>
      <c r="X6708" s="8" t="n"/>
      <c r="Y6708" s="8" t="n"/>
    </row>
    <row r="6709">
      <c r="A6709" s="8" t="n"/>
      <c r="B6709" s="8" t="n"/>
      <c r="C6709" s="8" t="n"/>
      <c r="D6709" s="8" t="n"/>
      <c r="E6709" s="8" t="n"/>
      <c r="F6709" s="8" t="n"/>
      <c r="G6709" s="8" t="n"/>
      <c r="H6709" s="8" t="n"/>
      <c r="I6709" s="8" t="n"/>
      <c r="J6709" s="8" t="n"/>
      <c r="K6709" s="8" t="n"/>
      <c r="L6709" s="8" t="n"/>
      <c r="M6709" s="9">
        <f>B6709+30</f>
        <v/>
      </c>
      <c r="N6709">
        <f>IF(L6709="", "", L6709-B6709)</f>
        <v/>
      </c>
      <c r="O6709">
        <f>IF(L6709="", "Pending", IF(N6709&lt;=30, "Met", "Breached"))</f>
        <v/>
      </c>
      <c r="P6709" s="8" t="n"/>
      <c r="Q6709" s="8" t="n"/>
      <c r="R6709" s="8" t="n"/>
      <c r="S6709" s="8" t="n"/>
      <c r="T6709" s="8" t="n"/>
      <c r="U6709" s="8" t="n"/>
      <c r="V6709" s="8" t="n"/>
      <c r="W6709" s="8" t="n"/>
      <c r="X6709" s="8" t="n"/>
      <c r="Y6709" s="8" t="n"/>
    </row>
    <row r="6710">
      <c r="A6710" s="8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8" t="n"/>
      <c r="K6710" s="8" t="n"/>
      <c r="L6710" s="8" t="n"/>
      <c r="M6710" s="9">
        <f>B6710+30</f>
        <v/>
      </c>
      <c r="N6710">
        <f>IF(L6710="", "", L6710-B6710)</f>
        <v/>
      </c>
      <c r="O6710">
        <f>IF(L6710="", "Pending", IF(N6710&lt;=30, "Met", "Breached"))</f>
        <v/>
      </c>
      <c r="P6710" s="8" t="n"/>
      <c r="Q6710" s="8" t="n"/>
      <c r="R6710" s="8" t="n"/>
      <c r="S6710" s="8" t="n"/>
      <c r="T6710" s="8" t="n"/>
      <c r="U6710" s="8" t="n"/>
      <c r="V6710" s="8" t="n"/>
      <c r="W6710" s="8" t="n"/>
      <c r="X6710" s="8" t="n"/>
      <c r="Y6710" s="8" t="n"/>
    </row>
    <row r="6711">
      <c r="A6711" s="8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8" t="n"/>
      <c r="K6711" s="8" t="n"/>
      <c r="L6711" s="8" t="n"/>
      <c r="M6711" s="9">
        <f>B6711+30</f>
        <v/>
      </c>
      <c r="N6711">
        <f>IF(L6711="", "", L6711-B6711)</f>
        <v/>
      </c>
      <c r="O6711">
        <f>IF(L6711="", "Pending", IF(N6711&lt;=30, "Met", "Breached"))</f>
        <v/>
      </c>
      <c r="P6711" s="8" t="n"/>
      <c r="Q6711" s="8" t="n"/>
      <c r="R6711" s="8" t="n"/>
      <c r="S6711" s="8" t="n"/>
      <c r="T6711" s="8" t="n"/>
      <c r="U6711" s="8" t="n"/>
      <c r="V6711" s="8" t="n"/>
      <c r="W6711" s="8" t="n"/>
      <c r="X6711" s="8" t="n"/>
      <c r="Y6711" s="8" t="n"/>
    </row>
    <row r="6712">
      <c r="A6712" s="8" t="n"/>
      <c r="B6712" s="8" t="n"/>
      <c r="C6712" s="8" t="n"/>
      <c r="D6712" s="8" t="n"/>
      <c r="E6712" s="8" t="n"/>
      <c r="F6712" s="8" t="n"/>
      <c r="G6712" s="8" t="n"/>
      <c r="H6712" s="8" t="n"/>
      <c r="I6712" s="8" t="n"/>
      <c r="J6712" s="8" t="n"/>
      <c r="K6712" s="8" t="n"/>
      <c r="L6712" s="8" t="n"/>
      <c r="M6712" s="9">
        <f>B6712+30</f>
        <v/>
      </c>
      <c r="N6712">
        <f>IF(L6712="", "", L6712-B6712)</f>
        <v/>
      </c>
      <c r="O6712">
        <f>IF(L6712="", "Pending", IF(N6712&lt;=30, "Met", "Breached"))</f>
        <v/>
      </c>
      <c r="P6712" s="8" t="n"/>
      <c r="Q6712" s="8" t="n"/>
      <c r="R6712" s="8" t="n"/>
      <c r="S6712" s="8" t="n"/>
      <c r="T6712" s="8" t="n"/>
      <c r="U6712" s="8" t="n"/>
      <c r="V6712" s="8" t="n"/>
      <c r="W6712" s="8" t="n"/>
      <c r="X6712" s="8" t="n"/>
      <c r="Y6712" s="8" t="n"/>
    </row>
    <row r="6713">
      <c r="A6713" s="8" t="n"/>
      <c r="B6713" s="8" t="n"/>
      <c r="C6713" s="8" t="n"/>
      <c r="D6713" s="8" t="n"/>
      <c r="E6713" s="8" t="n"/>
      <c r="F6713" s="8" t="n"/>
      <c r="G6713" s="8" t="n"/>
      <c r="H6713" s="8" t="n"/>
      <c r="I6713" s="8" t="n"/>
      <c r="J6713" s="8" t="n"/>
      <c r="K6713" s="8" t="n"/>
      <c r="L6713" s="8" t="n"/>
      <c r="M6713" s="9">
        <f>B6713+30</f>
        <v/>
      </c>
      <c r="N6713">
        <f>IF(L6713="", "", L6713-B6713)</f>
        <v/>
      </c>
      <c r="O6713">
        <f>IF(L6713="", "Pending", IF(N6713&lt;=30, "Met", "Breached"))</f>
        <v/>
      </c>
      <c r="P6713" s="8" t="n"/>
      <c r="Q6713" s="8" t="n"/>
      <c r="R6713" s="8" t="n"/>
      <c r="S6713" s="8" t="n"/>
      <c r="T6713" s="8" t="n"/>
      <c r="U6713" s="8" t="n"/>
      <c r="V6713" s="8" t="n"/>
      <c r="W6713" s="8" t="n"/>
      <c r="X6713" s="8" t="n"/>
      <c r="Y6713" s="8" t="n"/>
    </row>
    <row r="6714">
      <c r="A6714" s="8" t="n"/>
      <c r="B6714" s="8" t="n"/>
      <c r="C6714" s="8" t="n"/>
      <c r="D6714" s="8" t="n"/>
      <c r="E6714" s="8" t="n"/>
      <c r="F6714" s="8" t="n"/>
      <c r="G6714" s="8" t="n"/>
      <c r="H6714" s="8" t="n"/>
      <c r="I6714" s="8" t="n"/>
      <c r="J6714" s="8" t="n"/>
      <c r="K6714" s="8" t="n"/>
      <c r="L6714" s="8" t="n"/>
      <c r="M6714" s="9">
        <f>B6714+30</f>
        <v/>
      </c>
      <c r="N6714">
        <f>IF(L6714="", "", L6714-B6714)</f>
        <v/>
      </c>
      <c r="O6714">
        <f>IF(L6714="", "Pending", IF(N6714&lt;=30, "Met", "Breached"))</f>
        <v/>
      </c>
      <c r="P6714" s="8" t="n"/>
      <c r="Q6714" s="8" t="n"/>
      <c r="R6714" s="8" t="n"/>
      <c r="S6714" s="8" t="n"/>
      <c r="T6714" s="8" t="n"/>
      <c r="U6714" s="8" t="n"/>
      <c r="V6714" s="8" t="n"/>
      <c r="W6714" s="8" t="n"/>
      <c r="X6714" s="8" t="n"/>
      <c r="Y6714" s="8" t="n"/>
    </row>
    <row r="6715">
      <c r="A6715" s="8" t="n"/>
      <c r="B6715" s="8" t="n"/>
      <c r="C6715" s="8" t="n"/>
      <c r="D6715" s="8" t="n"/>
      <c r="E6715" s="8" t="n"/>
      <c r="F6715" s="8" t="n"/>
      <c r="G6715" s="8" t="n"/>
      <c r="H6715" s="8" t="n"/>
      <c r="I6715" s="8" t="n"/>
      <c r="J6715" s="8" t="n"/>
      <c r="K6715" s="8" t="n"/>
      <c r="L6715" s="8" t="n"/>
      <c r="M6715" s="9">
        <f>B6715+30</f>
        <v/>
      </c>
      <c r="N6715">
        <f>IF(L6715="", "", L6715-B6715)</f>
        <v/>
      </c>
      <c r="O6715">
        <f>IF(L6715="", "Pending", IF(N6715&lt;=30, "Met", "Breached"))</f>
        <v/>
      </c>
      <c r="P6715" s="8" t="n"/>
      <c r="Q6715" s="8" t="n"/>
      <c r="R6715" s="8" t="n"/>
      <c r="S6715" s="8" t="n"/>
      <c r="T6715" s="8" t="n"/>
      <c r="U6715" s="8" t="n"/>
      <c r="V6715" s="8" t="n"/>
      <c r="W6715" s="8" t="n"/>
      <c r="X6715" s="8" t="n"/>
      <c r="Y6715" s="8" t="n"/>
    </row>
    <row r="6716">
      <c r="A6716" s="8" t="n"/>
      <c r="B6716" s="8" t="n"/>
      <c r="C6716" s="8" t="n"/>
      <c r="D6716" s="8" t="n"/>
      <c r="E6716" s="8" t="n"/>
      <c r="F6716" s="8" t="n"/>
      <c r="G6716" s="8" t="n"/>
      <c r="H6716" s="8" t="n"/>
      <c r="I6716" s="8" t="n"/>
      <c r="J6716" s="8" t="n"/>
      <c r="K6716" s="8" t="n"/>
      <c r="L6716" s="8" t="n"/>
      <c r="M6716" s="9">
        <f>B6716+30</f>
        <v/>
      </c>
      <c r="N6716">
        <f>IF(L6716="", "", L6716-B6716)</f>
        <v/>
      </c>
      <c r="O6716">
        <f>IF(L6716="", "Pending", IF(N6716&lt;=30, "Met", "Breached"))</f>
        <v/>
      </c>
      <c r="P6716" s="8" t="n"/>
      <c r="Q6716" s="8" t="n"/>
      <c r="R6716" s="8" t="n"/>
      <c r="S6716" s="8" t="n"/>
      <c r="T6716" s="8" t="n"/>
      <c r="U6716" s="8" t="n"/>
      <c r="V6716" s="8" t="n"/>
      <c r="W6716" s="8" t="n"/>
      <c r="X6716" s="8" t="n"/>
      <c r="Y6716" s="8" t="n"/>
    </row>
    <row r="6717">
      <c r="A6717" s="8" t="n"/>
      <c r="B6717" s="8" t="n"/>
      <c r="C6717" s="8" t="n"/>
      <c r="D6717" s="8" t="n"/>
      <c r="E6717" s="8" t="n"/>
      <c r="F6717" s="8" t="n"/>
      <c r="G6717" s="8" t="n"/>
      <c r="H6717" s="8" t="n"/>
      <c r="I6717" s="8" t="n"/>
      <c r="J6717" s="8" t="n"/>
      <c r="K6717" s="8" t="n"/>
      <c r="L6717" s="8" t="n"/>
      <c r="M6717" s="9">
        <f>B6717+30</f>
        <v/>
      </c>
      <c r="N6717">
        <f>IF(L6717="", "", L6717-B6717)</f>
        <v/>
      </c>
      <c r="O6717">
        <f>IF(L6717="", "Pending", IF(N6717&lt;=30, "Met", "Breached"))</f>
        <v/>
      </c>
      <c r="P6717" s="8" t="n"/>
      <c r="Q6717" s="8" t="n"/>
      <c r="R6717" s="8" t="n"/>
      <c r="S6717" s="8" t="n"/>
      <c r="T6717" s="8" t="n"/>
      <c r="U6717" s="8" t="n"/>
      <c r="V6717" s="8" t="n"/>
      <c r="W6717" s="8" t="n"/>
      <c r="X6717" s="8" t="n"/>
      <c r="Y6717" s="8" t="n"/>
    </row>
    <row r="6718">
      <c r="A6718" s="8" t="n"/>
      <c r="B6718" s="8" t="n"/>
      <c r="C6718" s="8" t="n"/>
      <c r="D6718" s="8" t="n"/>
      <c r="E6718" s="8" t="n"/>
      <c r="F6718" s="8" t="n"/>
      <c r="G6718" s="8" t="n"/>
      <c r="H6718" s="8" t="n"/>
      <c r="I6718" s="8" t="n"/>
      <c r="J6718" s="8" t="n"/>
      <c r="K6718" s="8" t="n"/>
      <c r="L6718" s="8" t="n"/>
      <c r="M6718" s="9">
        <f>B6718+30</f>
        <v/>
      </c>
      <c r="N6718">
        <f>IF(L6718="", "", L6718-B6718)</f>
        <v/>
      </c>
      <c r="O6718">
        <f>IF(L6718="", "Pending", IF(N6718&lt;=30, "Met", "Breached"))</f>
        <v/>
      </c>
      <c r="P6718" s="8" t="n"/>
      <c r="Q6718" s="8" t="n"/>
      <c r="R6718" s="8" t="n"/>
      <c r="S6718" s="8" t="n"/>
      <c r="T6718" s="8" t="n"/>
      <c r="U6718" s="8" t="n"/>
      <c r="V6718" s="8" t="n"/>
      <c r="W6718" s="8" t="n"/>
      <c r="X6718" s="8" t="n"/>
      <c r="Y6718" s="8" t="n"/>
    </row>
    <row r="6719">
      <c r="A6719" s="8" t="n"/>
      <c r="B6719" s="8" t="n"/>
      <c r="C6719" s="8" t="n"/>
      <c r="D6719" s="8" t="n"/>
      <c r="E6719" s="8" t="n"/>
      <c r="F6719" s="8" t="n"/>
      <c r="G6719" s="8" t="n"/>
      <c r="H6719" s="8" t="n"/>
      <c r="I6719" s="8" t="n"/>
      <c r="J6719" s="8" t="n"/>
      <c r="K6719" s="8" t="n"/>
      <c r="L6719" s="8" t="n"/>
      <c r="M6719" s="9">
        <f>B6719+30</f>
        <v/>
      </c>
      <c r="N6719">
        <f>IF(L6719="", "", L6719-B6719)</f>
        <v/>
      </c>
      <c r="O6719">
        <f>IF(L6719="", "Pending", IF(N6719&lt;=30, "Met", "Breached"))</f>
        <v/>
      </c>
      <c r="P6719" s="8" t="n"/>
      <c r="Q6719" s="8" t="n"/>
      <c r="R6719" s="8" t="n"/>
      <c r="S6719" s="8" t="n"/>
      <c r="T6719" s="8" t="n"/>
      <c r="U6719" s="8" t="n"/>
      <c r="V6719" s="8" t="n"/>
      <c r="W6719" s="8" t="n"/>
      <c r="X6719" s="8" t="n"/>
      <c r="Y6719" s="8" t="n"/>
    </row>
    <row r="6720">
      <c r="A6720" s="8" t="n"/>
      <c r="B6720" s="8" t="n"/>
      <c r="C6720" s="8" t="n"/>
      <c r="D6720" s="8" t="n"/>
      <c r="E6720" s="8" t="n"/>
      <c r="F6720" s="8" t="n"/>
      <c r="G6720" s="8" t="n"/>
      <c r="H6720" s="8" t="n"/>
      <c r="I6720" s="8" t="n"/>
      <c r="J6720" s="8" t="n"/>
      <c r="K6720" s="8" t="n"/>
      <c r="L6720" s="8" t="n"/>
      <c r="M6720" s="9">
        <f>B6720+30</f>
        <v/>
      </c>
      <c r="N6720">
        <f>IF(L6720="", "", L6720-B6720)</f>
        <v/>
      </c>
      <c r="O6720">
        <f>IF(L6720="", "Pending", IF(N6720&lt;=30, "Met", "Breached"))</f>
        <v/>
      </c>
      <c r="P6720" s="8" t="n"/>
      <c r="Q6720" s="8" t="n"/>
      <c r="R6720" s="8" t="n"/>
      <c r="S6720" s="8" t="n"/>
      <c r="T6720" s="8" t="n"/>
      <c r="U6720" s="8" t="n"/>
      <c r="V6720" s="8" t="n"/>
      <c r="W6720" s="8" t="n"/>
      <c r="X6720" s="8" t="n"/>
      <c r="Y6720" s="8" t="n"/>
    </row>
    <row r="6721">
      <c r="A6721" s="8" t="n"/>
      <c r="B6721" s="8" t="n"/>
      <c r="C6721" s="8" t="n"/>
      <c r="D6721" s="8" t="n"/>
      <c r="E6721" s="8" t="n"/>
      <c r="F6721" s="8" t="n"/>
      <c r="G6721" s="8" t="n"/>
      <c r="H6721" s="8" t="n"/>
      <c r="I6721" s="8" t="n"/>
      <c r="J6721" s="8" t="n"/>
      <c r="K6721" s="8" t="n"/>
      <c r="L6721" s="8" t="n"/>
      <c r="M6721" s="9">
        <f>B6721+30</f>
        <v/>
      </c>
      <c r="N6721">
        <f>IF(L6721="", "", L6721-B6721)</f>
        <v/>
      </c>
      <c r="O6721">
        <f>IF(L6721="", "Pending", IF(N6721&lt;=30, "Met", "Breached"))</f>
        <v/>
      </c>
      <c r="P6721" s="8" t="n"/>
      <c r="Q6721" s="8" t="n"/>
      <c r="R6721" s="8" t="n"/>
      <c r="S6721" s="8" t="n"/>
      <c r="T6721" s="8" t="n"/>
      <c r="U6721" s="8" t="n"/>
      <c r="V6721" s="8" t="n"/>
      <c r="W6721" s="8" t="n"/>
      <c r="X6721" s="8" t="n"/>
      <c r="Y6721" s="8" t="n"/>
    </row>
    <row r="6722">
      <c r="A6722" s="8" t="n"/>
      <c r="B6722" s="8" t="n"/>
      <c r="C6722" s="8" t="n"/>
      <c r="D6722" s="8" t="n"/>
      <c r="E6722" s="8" t="n"/>
      <c r="F6722" s="8" t="n"/>
      <c r="G6722" s="8" t="n"/>
      <c r="H6722" s="8" t="n"/>
      <c r="I6722" s="8" t="n"/>
      <c r="J6722" s="8" t="n"/>
      <c r="K6722" s="8" t="n"/>
      <c r="L6722" s="8" t="n"/>
      <c r="M6722" s="9">
        <f>B6722+30</f>
        <v/>
      </c>
      <c r="N6722">
        <f>IF(L6722="", "", L6722-B6722)</f>
        <v/>
      </c>
      <c r="O6722">
        <f>IF(L6722="", "Pending", IF(N6722&lt;=30, "Met", "Breached"))</f>
        <v/>
      </c>
      <c r="P6722" s="8" t="n"/>
      <c r="Q6722" s="8" t="n"/>
      <c r="R6722" s="8" t="n"/>
      <c r="S6722" s="8" t="n"/>
      <c r="T6722" s="8" t="n"/>
      <c r="U6722" s="8" t="n"/>
      <c r="V6722" s="8" t="n"/>
      <c r="W6722" s="8" t="n"/>
      <c r="X6722" s="8" t="n"/>
      <c r="Y6722" s="8" t="n"/>
    </row>
    <row r="6723">
      <c r="A6723" s="8" t="n"/>
      <c r="B6723" s="8" t="n"/>
      <c r="C6723" s="8" t="n"/>
      <c r="D6723" s="8" t="n"/>
      <c r="E6723" s="8" t="n"/>
      <c r="F6723" s="8" t="n"/>
      <c r="G6723" s="8" t="n"/>
      <c r="H6723" s="8" t="n"/>
      <c r="I6723" s="8" t="n"/>
      <c r="J6723" s="8" t="n"/>
      <c r="K6723" s="8" t="n"/>
      <c r="L6723" s="8" t="n"/>
      <c r="M6723" s="9">
        <f>B6723+30</f>
        <v/>
      </c>
      <c r="N6723">
        <f>IF(L6723="", "", L6723-B6723)</f>
        <v/>
      </c>
      <c r="O6723">
        <f>IF(L6723="", "Pending", IF(N6723&lt;=30, "Met", "Breached"))</f>
        <v/>
      </c>
      <c r="P6723" s="8" t="n"/>
      <c r="Q6723" s="8" t="n"/>
      <c r="R6723" s="8" t="n"/>
      <c r="S6723" s="8" t="n"/>
      <c r="T6723" s="8" t="n"/>
      <c r="U6723" s="8" t="n"/>
      <c r="V6723" s="8" t="n"/>
      <c r="W6723" s="8" t="n"/>
      <c r="X6723" s="8" t="n"/>
      <c r="Y6723" s="8" t="n"/>
    </row>
    <row r="6724">
      <c r="A6724" s="8" t="n"/>
      <c r="B6724" s="8" t="n"/>
      <c r="C6724" s="8" t="n"/>
      <c r="D6724" s="8" t="n"/>
      <c r="E6724" s="8" t="n"/>
      <c r="F6724" s="8" t="n"/>
      <c r="G6724" s="8" t="n"/>
      <c r="H6724" s="8" t="n"/>
      <c r="I6724" s="8" t="n"/>
      <c r="J6724" s="8" t="n"/>
      <c r="K6724" s="8" t="n"/>
      <c r="L6724" s="8" t="n"/>
      <c r="M6724" s="9">
        <f>B6724+30</f>
        <v/>
      </c>
      <c r="N6724">
        <f>IF(L6724="", "", L6724-B6724)</f>
        <v/>
      </c>
      <c r="O6724">
        <f>IF(L6724="", "Pending", IF(N6724&lt;=30, "Met", "Breached"))</f>
        <v/>
      </c>
      <c r="P6724" s="8" t="n"/>
      <c r="Q6724" s="8" t="n"/>
      <c r="R6724" s="8" t="n"/>
      <c r="S6724" s="8" t="n"/>
      <c r="T6724" s="8" t="n"/>
      <c r="U6724" s="8" t="n"/>
      <c r="V6724" s="8" t="n"/>
      <c r="W6724" s="8" t="n"/>
      <c r="X6724" s="8" t="n"/>
      <c r="Y6724" s="8" t="n"/>
    </row>
    <row r="6725">
      <c r="A6725" s="8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8" t="n"/>
      <c r="K6725" s="8" t="n"/>
      <c r="L6725" s="8" t="n"/>
      <c r="M6725" s="9">
        <f>B6725+30</f>
        <v/>
      </c>
      <c r="N6725">
        <f>IF(L6725="", "", L6725-B6725)</f>
        <v/>
      </c>
      <c r="O6725">
        <f>IF(L6725="", "Pending", IF(N6725&lt;=30, "Met", "Breached"))</f>
        <v/>
      </c>
      <c r="P6725" s="8" t="n"/>
      <c r="Q6725" s="8" t="n"/>
      <c r="R6725" s="8" t="n"/>
      <c r="S6725" s="8" t="n"/>
      <c r="T6725" s="8" t="n"/>
      <c r="U6725" s="8" t="n"/>
      <c r="V6725" s="8" t="n"/>
      <c r="W6725" s="8" t="n"/>
      <c r="X6725" s="8" t="n"/>
      <c r="Y6725" s="8" t="n"/>
    </row>
    <row r="6726">
      <c r="A6726" s="8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8" t="n"/>
      <c r="K6726" s="8" t="n"/>
      <c r="L6726" s="8" t="n"/>
      <c r="M6726" s="9">
        <f>B6726+30</f>
        <v/>
      </c>
      <c r="N6726">
        <f>IF(L6726="", "", L6726-B6726)</f>
        <v/>
      </c>
      <c r="O6726">
        <f>IF(L6726="", "Pending", IF(N6726&lt;=30, "Met", "Breached"))</f>
        <v/>
      </c>
      <c r="P6726" s="8" t="n"/>
      <c r="Q6726" s="8" t="n"/>
      <c r="R6726" s="8" t="n"/>
      <c r="S6726" s="8" t="n"/>
      <c r="T6726" s="8" t="n"/>
      <c r="U6726" s="8" t="n"/>
      <c r="V6726" s="8" t="n"/>
      <c r="W6726" s="8" t="n"/>
      <c r="X6726" s="8" t="n"/>
      <c r="Y6726" s="8" t="n"/>
    </row>
    <row r="6727">
      <c r="A6727" s="8" t="n"/>
      <c r="B6727" s="8" t="n"/>
      <c r="C6727" s="8" t="n"/>
      <c r="D6727" s="8" t="n"/>
      <c r="E6727" s="8" t="n"/>
      <c r="F6727" s="8" t="n"/>
      <c r="G6727" s="8" t="n"/>
      <c r="H6727" s="8" t="n"/>
      <c r="I6727" s="8" t="n"/>
      <c r="J6727" s="8" t="n"/>
      <c r="K6727" s="8" t="n"/>
      <c r="L6727" s="8" t="n"/>
      <c r="M6727" s="9">
        <f>B6727+30</f>
        <v/>
      </c>
      <c r="N6727">
        <f>IF(L6727="", "", L6727-B6727)</f>
        <v/>
      </c>
      <c r="O6727">
        <f>IF(L6727="", "Pending", IF(N6727&lt;=30, "Met", "Breached"))</f>
        <v/>
      </c>
      <c r="P6727" s="8" t="n"/>
      <c r="Q6727" s="8" t="n"/>
      <c r="R6727" s="8" t="n"/>
      <c r="S6727" s="8" t="n"/>
      <c r="T6727" s="8" t="n"/>
      <c r="U6727" s="8" t="n"/>
      <c r="V6727" s="8" t="n"/>
      <c r="W6727" s="8" t="n"/>
      <c r="X6727" s="8" t="n"/>
      <c r="Y6727" s="8" t="n"/>
    </row>
    <row r="6728">
      <c r="A6728" s="8" t="n"/>
      <c r="B6728" s="8" t="n"/>
      <c r="C6728" s="8" t="n"/>
      <c r="D6728" s="8" t="n"/>
      <c r="E6728" s="8" t="n"/>
      <c r="F6728" s="8" t="n"/>
      <c r="G6728" s="8" t="n"/>
      <c r="H6728" s="8" t="n"/>
      <c r="I6728" s="8" t="n"/>
      <c r="J6728" s="8" t="n"/>
      <c r="K6728" s="8" t="n"/>
      <c r="L6728" s="8" t="n"/>
      <c r="M6728" s="9">
        <f>B6728+30</f>
        <v/>
      </c>
      <c r="N6728">
        <f>IF(L6728="", "", L6728-B6728)</f>
        <v/>
      </c>
      <c r="O6728">
        <f>IF(L6728="", "Pending", IF(N6728&lt;=30, "Met", "Breached"))</f>
        <v/>
      </c>
      <c r="P6728" s="8" t="n"/>
      <c r="Q6728" s="8" t="n"/>
      <c r="R6728" s="8" t="n"/>
      <c r="S6728" s="8" t="n"/>
      <c r="T6728" s="8" t="n"/>
      <c r="U6728" s="8" t="n"/>
      <c r="V6728" s="8" t="n"/>
      <c r="W6728" s="8" t="n"/>
      <c r="X6728" s="8" t="n"/>
      <c r="Y6728" s="8" t="n"/>
    </row>
    <row r="6729">
      <c r="A6729" s="8" t="n"/>
      <c r="B6729" s="8" t="n"/>
      <c r="C6729" s="8" t="n"/>
      <c r="D6729" s="8" t="n"/>
      <c r="E6729" s="8" t="n"/>
      <c r="F6729" s="8" t="n"/>
      <c r="G6729" s="8" t="n"/>
      <c r="H6729" s="8" t="n"/>
      <c r="I6729" s="8" t="n"/>
      <c r="J6729" s="8" t="n"/>
      <c r="K6729" s="8" t="n"/>
      <c r="L6729" s="8" t="n"/>
      <c r="M6729" s="9">
        <f>B6729+30</f>
        <v/>
      </c>
      <c r="N6729">
        <f>IF(L6729="", "", L6729-B6729)</f>
        <v/>
      </c>
      <c r="O6729">
        <f>IF(L6729="", "Pending", IF(N6729&lt;=30, "Met", "Breached"))</f>
        <v/>
      </c>
      <c r="P6729" s="8" t="n"/>
      <c r="Q6729" s="8" t="n"/>
      <c r="R6729" s="8" t="n"/>
      <c r="S6729" s="8" t="n"/>
      <c r="T6729" s="8" t="n"/>
      <c r="U6729" s="8" t="n"/>
      <c r="V6729" s="8" t="n"/>
      <c r="W6729" s="8" t="n"/>
      <c r="X6729" s="8" t="n"/>
      <c r="Y6729" s="8" t="n"/>
    </row>
    <row r="6730">
      <c r="A6730" s="8" t="n"/>
      <c r="B6730" s="8" t="n"/>
      <c r="C6730" s="8" t="n"/>
      <c r="D6730" s="8" t="n"/>
      <c r="E6730" s="8" t="n"/>
      <c r="F6730" s="8" t="n"/>
      <c r="G6730" s="8" t="n"/>
      <c r="H6730" s="8" t="n"/>
      <c r="I6730" s="8" t="n"/>
      <c r="J6730" s="8" t="n"/>
      <c r="K6730" s="8" t="n"/>
      <c r="L6730" s="8" t="n"/>
      <c r="M6730" s="9">
        <f>B6730+30</f>
        <v/>
      </c>
      <c r="N6730">
        <f>IF(L6730="", "", L6730-B6730)</f>
        <v/>
      </c>
      <c r="O6730">
        <f>IF(L6730="", "Pending", IF(N6730&lt;=30, "Met", "Breached"))</f>
        <v/>
      </c>
      <c r="P6730" s="8" t="n"/>
      <c r="Q6730" s="8" t="n"/>
      <c r="R6730" s="8" t="n"/>
      <c r="S6730" s="8" t="n"/>
      <c r="T6730" s="8" t="n"/>
      <c r="U6730" s="8" t="n"/>
      <c r="V6730" s="8" t="n"/>
      <c r="W6730" s="8" t="n"/>
      <c r="X6730" s="8" t="n"/>
      <c r="Y6730" s="8" t="n"/>
    </row>
    <row r="6731">
      <c r="A6731" s="8" t="n"/>
      <c r="B6731" s="8" t="n"/>
      <c r="C6731" s="8" t="n"/>
      <c r="D6731" s="8" t="n"/>
      <c r="E6731" s="8" t="n"/>
      <c r="F6731" s="8" t="n"/>
      <c r="G6731" s="8" t="n"/>
      <c r="H6731" s="8" t="n"/>
      <c r="I6731" s="8" t="n"/>
      <c r="J6731" s="8" t="n"/>
      <c r="K6731" s="8" t="n"/>
      <c r="L6731" s="8" t="n"/>
      <c r="M6731" s="9">
        <f>B6731+30</f>
        <v/>
      </c>
      <c r="N6731">
        <f>IF(L6731="", "", L6731-B6731)</f>
        <v/>
      </c>
      <c r="O6731">
        <f>IF(L6731="", "Pending", IF(N6731&lt;=30, "Met", "Breached"))</f>
        <v/>
      </c>
      <c r="P6731" s="8" t="n"/>
      <c r="Q6731" s="8" t="n"/>
      <c r="R6731" s="8" t="n"/>
      <c r="S6731" s="8" t="n"/>
      <c r="T6731" s="8" t="n"/>
      <c r="U6731" s="8" t="n"/>
      <c r="V6731" s="8" t="n"/>
      <c r="W6731" s="8" t="n"/>
      <c r="X6731" s="8" t="n"/>
      <c r="Y6731" s="8" t="n"/>
    </row>
    <row r="6732">
      <c r="A6732" s="8" t="n"/>
      <c r="B6732" s="8" t="n"/>
      <c r="C6732" s="8" t="n"/>
      <c r="D6732" s="8" t="n"/>
      <c r="E6732" s="8" t="n"/>
      <c r="F6732" s="8" t="n"/>
      <c r="G6732" s="8" t="n"/>
      <c r="H6732" s="8" t="n"/>
      <c r="I6732" s="8" t="n"/>
      <c r="J6732" s="8" t="n"/>
      <c r="K6732" s="8" t="n"/>
      <c r="L6732" s="8" t="n"/>
      <c r="M6732" s="9">
        <f>B6732+30</f>
        <v/>
      </c>
      <c r="N6732">
        <f>IF(L6732="", "", L6732-B6732)</f>
        <v/>
      </c>
      <c r="O6732">
        <f>IF(L6732="", "Pending", IF(N6732&lt;=30, "Met", "Breached"))</f>
        <v/>
      </c>
      <c r="P6732" s="8" t="n"/>
      <c r="Q6732" s="8" t="n"/>
      <c r="R6732" s="8" t="n"/>
      <c r="S6732" s="8" t="n"/>
      <c r="T6732" s="8" t="n"/>
      <c r="U6732" s="8" t="n"/>
      <c r="V6732" s="8" t="n"/>
      <c r="W6732" s="8" t="n"/>
      <c r="X6732" s="8" t="n"/>
      <c r="Y6732" s="8" t="n"/>
    </row>
    <row r="6733">
      <c r="A6733" s="8" t="n"/>
      <c r="B6733" s="8" t="n"/>
      <c r="C6733" s="8" t="n"/>
      <c r="D6733" s="8" t="n"/>
      <c r="E6733" s="8" t="n"/>
      <c r="F6733" s="8" t="n"/>
      <c r="G6733" s="8" t="n"/>
      <c r="H6733" s="8" t="n"/>
      <c r="I6733" s="8" t="n"/>
      <c r="J6733" s="8" t="n"/>
      <c r="K6733" s="8" t="n"/>
      <c r="L6733" s="8" t="n"/>
      <c r="M6733" s="9">
        <f>B6733+30</f>
        <v/>
      </c>
      <c r="N6733">
        <f>IF(L6733="", "", L6733-B6733)</f>
        <v/>
      </c>
      <c r="O6733">
        <f>IF(L6733="", "Pending", IF(N6733&lt;=30, "Met", "Breached"))</f>
        <v/>
      </c>
      <c r="P6733" s="8" t="n"/>
      <c r="Q6733" s="8" t="n"/>
      <c r="R6733" s="8" t="n"/>
      <c r="S6733" s="8" t="n"/>
      <c r="T6733" s="8" t="n"/>
      <c r="U6733" s="8" t="n"/>
      <c r="V6733" s="8" t="n"/>
      <c r="W6733" s="8" t="n"/>
      <c r="X6733" s="8" t="n"/>
      <c r="Y6733" s="8" t="n"/>
    </row>
    <row r="6734">
      <c r="A6734" s="8" t="n"/>
      <c r="B6734" s="8" t="n"/>
      <c r="C6734" s="8" t="n"/>
      <c r="D6734" s="8" t="n"/>
      <c r="E6734" s="8" t="n"/>
      <c r="F6734" s="8" t="n"/>
      <c r="G6734" s="8" t="n"/>
      <c r="H6734" s="8" t="n"/>
      <c r="I6734" s="8" t="n"/>
      <c r="J6734" s="8" t="n"/>
      <c r="K6734" s="8" t="n"/>
      <c r="L6734" s="8" t="n"/>
      <c r="M6734" s="9">
        <f>B6734+30</f>
        <v/>
      </c>
      <c r="N6734">
        <f>IF(L6734="", "", L6734-B6734)</f>
        <v/>
      </c>
      <c r="O6734">
        <f>IF(L6734="", "Pending", IF(N6734&lt;=30, "Met", "Breached"))</f>
        <v/>
      </c>
      <c r="P6734" s="8" t="n"/>
      <c r="Q6734" s="8" t="n"/>
      <c r="R6734" s="8" t="n"/>
      <c r="S6734" s="8" t="n"/>
      <c r="T6734" s="8" t="n"/>
      <c r="U6734" s="8" t="n"/>
      <c r="V6734" s="8" t="n"/>
      <c r="W6734" s="8" t="n"/>
      <c r="X6734" s="8" t="n"/>
      <c r="Y6734" s="8" t="n"/>
    </row>
    <row r="6735">
      <c r="A6735" s="8" t="n"/>
      <c r="B6735" s="8" t="n"/>
      <c r="C6735" s="8" t="n"/>
      <c r="D6735" s="8" t="n"/>
      <c r="E6735" s="8" t="n"/>
      <c r="F6735" s="8" t="n"/>
      <c r="G6735" s="8" t="n"/>
      <c r="H6735" s="8" t="n"/>
      <c r="I6735" s="8" t="n"/>
      <c r="J6735" s="8" t="n"/>
      <c r="K6735" s="8" t="n"/>
      <c r="L6735" s="8" t="n"/>
      <c r="M6735" s="9">
        <f>B6735+30</f>
        <v/>
      </c>
      <c r="N6735">
        <f>IF(L6735="", "", L6735-B6735)</f>
        <v/>
      </c>
      <c r="O6735">
        <f>IF(L6735="", "Pending", IF(N6735&lt;=30, "Met", "Breached"))</f>
        <v/>
      </c>
      <c r="P6735" s="8" t="n"/>
      <c r="Q6735" s="8" t="n"/>
      <c r="R6735" s="8" t="n"/>
      <c r="S6735" s="8" t="n"/>
      <c r="T6735" s="8" t="n"/>
      <c r="U6735" s="8" t="n"/>
      <c r="V6735" s="8" t="n"/>
      <c r="W6735" s="8" t="n"/>
      <c r="X6735" s="8" t="n"/>
      <c r="Y6735" s="8" t="n"/>
    </row>
    <row r="6736">
      <c r="A6736" s="8" t="n"/>
      <c r="B6736" s="8" t="n"/>
      <c r="C6736" s="8" t="n"/>
      <c r="D6736" s="8" t="n"/>
      <c r="E6736" s="8" t="n"/>
      <c r="F6736" s="8" t="n"/>
      <c r="G6736" s="8" t="n"/>
      <c r="H6736" s="8" t="n"/>
      <c r="I6736" s="8" t="n"/>
      <c r="J6736" s="8" t="n"/>
      <c r="K6736" s="8" t="n"/>
      <c r="L6736" s="8" t="n"/>
      <c r="M6736" s="9">
        <f>B6736+30</f>
        <v/>
      </c>
      <c r="N6736">
        <f>IF(L6736="", "", L6736-B6736)</f>
        <v/>
      </c>
      <c r="O6736">
        <f>IF(L6736="", "Pending", IF(N6736&lt;=30, "Met", "Breached"))</f>
        <v/>
      </c>
      <c r="P6736" s="8" t="n"/>
      <c r="Q6736" s="8" t="n"/>
      <c r="R6736" s="8" t="n"/>
      <c r="S6736" s="8" t="n"/>
      <c r="T6736" s="8" t="n"/>
      <c r="U6736" s="8" t="n"/>
      <c r="V6736" s="8" t="n"/>
      <c r="W6736" s="8" t="n"/>
      <c r="X6736" s="8" t="n"/>
      <c r="Y6736" s="8" t="n"/>
    </row>
    <row r="6737">
      <c r="A6737" s="8" t="n"/>
      <c r="B6737" s="8" t="n"/>
      <c r="C6737" s="8" t="n"/>
      <c r="D6737" s="8" t="n"/>
      <c r="E6737" s="8" t="n"/>
      <c r="F6737" s="8" t="n"/>
      <c r="G6737" s="8" t="n"/>
      <c r="H6737" s="8" t="n"/>
      <c r="I6737" s="8" t="n"/>
      <c r="J6737" s="8" t="n"/>
      <c r="K6737" s="8" t="n"/>
      <c r="L6737" s="8" t="n"/>
      <c r="M6737" s="9">
        <f>B6737+30</f>
        <v/>
      </c>
      <c r="N6737">
        <f>IF(L6737="", "", L6737-B6737)</f>
        <v/>
      </c>
      <c r="O6737">
        <f>IF(L6737="", "Pending", IF(N6737&lt;=30, "Met", "Breached"))</f>
        <v/>
      </c>
      <c r="P6737" s="8" t="n"/>
      <c r="Q6737" s="8" t="n"/>
      <c r="R6737" s="8" t="n"/>
      <c r="S6737" s="8" t="n"/>
      <c r="T6737" s="8" t="n"/>
      <c r="U6737" s="8" t="n"/>
      <c r="V6737" s="8" t="n"/>
      <c r="W6737" s="8" t="n"/>
      <c r="X6737" s="8" t="n"/>
      <c r="Y6737" s="8" t="n"/>
    </row>
    <row r="6738">
      <c r="A6738" s="8" t="n"/>
      <c r="B6738" s="8" t="n"/>
      <c r="C6738" s="8" t="n"/>
      <c r="D6738" s="8" t="n"/>
      <c r="E6738" s="8" t="n"/>
      <c r="F6738" s="8" t="n"/>
      <c r="G6738" s="8" t="n"/>
      <c r="H6738" s="8" t="n"/>
      <c r="I6738" s="8" t="n"/>
      <c r="J6738" s="8" t="n"/>
      <c r="K6738" s="8" t="n"/>
      <c r="L6738" s="8" t="n"/>
      <c r="M6738" s="9">
        <f>B6738+30</f>
        <v/>
      </c>
      <c r="N6738">
        <f>IF(L6738="", "", L6738-B6738)</f>
        <v/>
      </c>
      <c r="O6738">
        <f>IF(L6738="", "Pending", IF(N6738&lt;=30, "Met", "Breached"))</f>
        <v/>
      </c>
      <c r="P6738" s="8" t="n"/>
      <c r="Q6738" s="8" t="n"/>
      <c r="R6738" s="8" t="n"/>
      <c r="S6738" s="8" t="n"/>
      <c r="T6738" s="8" t="n"/>
      <c r="U6738" s="8" t="n"/>
      <c r="V6738" s="8" t="n"/>
      <c r="W6738" s="8" t="n"/>
      <c r="X6738" s="8" t="n"/>
      <c r="Y6738" s="8" t="n"/>
    </row>
    <row r="6739">
      <c r="A6739" s="8" t="n"/>
      <c r="B6739" s="8" t="n"/>
      <c r="C6739" s="8" t="n"/>
      <c r="D6739" s="8" t="n"/>
      <c r="E6739" s="8" t="n"/>
      <c r="F6739" s="8" t="n"/>
      <c r="G6739" s="8" t="n"/>
      <c r="H6739" s="8" t="n"/>
      <c r="I6739" s="8" t="n"/>
      <c r="J6739" s="8" t="n"/>
      <c r="K6739" s="8" t="n"/>
      <c r="L6739" s="8" t="n"/>
      <c r="M6739" s="9">
        <f>B6739+30</f>
        <v/>
      </c>
      <c r="N6739">
        <f>IF(L6739="", "", L6739-B6739)</f>
        <v/>
      </c>
      <c r="O6739">
        <f>IF(L6739="", "Pending", IF(N6739&lt;=30, "Met", "Breached"))</f>
        <v/>
      </c>
      <c r="P6739" s="8" t="n"/>
      <c r="Q6739" s="8" t="n"/>
      <c r="R6739" s="8" t="n"/>
      <c r="S6739" s="8" t="n"/>
      <c r="T6739" s="8" t="n"/>
      <c r="U6739" s="8" t="n"/>
      <c r="V6739" s="8" t="n"/>
      <c r="W6739" s="8" t="n"/>
      <c r="X6739" s="8" t="n"/>
      <c r="Y6739" s="8" t="n"/>
    </row>
    <row r="6740">
      <c r="A6740" s="8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8" t="n"/>
      <c r="K6740" s="8" t="n"/>
      <c r="L6740" s="8" t="n"/>
      <c r="M6740" s="9">
        <f>B6740+30</f>
        <v/>
      </c>
      <c r="N6740">
        <f>IF(L6740="", "", L6740-B6740)</f>
        <v/>
      </c>
      <c r="O6740">
        <f>IF(L6740="", "Pending", IF(N6740&lt;=30, "Met", "Breached"))</f>
        <v/>
      </c>
      <c r="P6740" s="8" t="n"/>
      <c r="Q6740" s="8" t="n"/>
      <c r="R6740" s="8" t="n"/>
      <c r="S6740" s="8" t="n"/>
      <c r="T6740" s="8" t="n"/>
      <c r="U6740" s="8" t="n"/>
      <c r="V6740" s="8" t="n"/>
      <c r="W6740" s="8" t="n"/>
      <c r="X6740" s="8" t="n"/>
      <c r="Y6740" s="8" t="n"/>
    </row>
    <row r="6741">
      <c r="A6741" s="8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8" t="n"/>
      <c r="K6741" s="8" t="n"/>
      <c r="L6741" s="8" t="n"/>
      <c r="M6741" s="9">
        <f>B6741+30</f>
        <v/>
      </c>
      <c r="N6741">
        <f>IF(L6741="", "", L6741-B6741)</f>
        <v/>
      </c>
      <c r="O6741">
        <f>IF(L6741="", "Pending", IF(N6741&lt;=30, "Met", "Breached"))</f>
        <v/>
      </c>
      <c r="P6741" s="8" t="n"/>
      <c r="Q6741" s="8" t="n"/>
      <c r="R6741" s="8" t="n"/>
      <c r="S6741" s="8" t="n"/>
      <c r="T6741" s="8" t="n"/>
      <c r="U6741" s="8" t="n"/>
      <c r="V6741" s="8" t="n"/>
      <c r="W6741" s="8" t="n"/>
      <c r="X6741" s="8" t="n"/>
      <c r="Y6741" s="8" t="n"/>
    </row>
    <row r="6742">
      <c r="A6742" s="8" t="n"/>
      <c r="B6742" s="8" t="n"/>
      <c r="C6742" s="8" t="n"/>
      <c r="D6742" s="8" t="n"/>
      <c r="E6742" s="8" t="n"/>
      <c r="F6742" s="8" t="n"/>
      <c r="G6742" s="8" t="n"/>
      <c r="H6742" s="8" t="n"/>
      <c r="I6742" s="8" t="n"/>
      <c r="J6742" s="8" t="n"/>
      <c r="K6742" s="8" t="n"/>
      <c r="L6742" s="8" t="n"/>
      <c r="M6742" s="9">
        <f>B6742+30</f>
        <v/>
      </c>
      <c r="N6742">
        <f>IF(L6742="", "", L6742-B6742)</f>
        <v/>
      </c>
      <c r="O6742">
        <f>IF(L6742="", "Pending", IF(N6742&lt;=30, "Met", "Breached"))</f>
        <v/>
      </c>
      <c r="P6742" s="8" t="n"/>
      <c r="Q6742" s="8" t="n"/>
      <c r="R6742" s="8" t="n"/>
      <c r="S6742" s="8" t="n"/>
      <c r="T6742" s="8" t="n"/>
      <c r="U6742" s="8" t="n"/>
      <c r="V6742" s="8" t="n"/>
      <c r="W6742" s="8" t="n"/>
      <c r="X6742" s="8" t="n"/>
      <c r="Y6742" s="8" t="n"/>
    </row>
    <row r="6743">
      <c r="A6743" s="8" t="n"/>
      <c r="B6743" s="8" t="n"/>
      <c r="C6743" s="8" t="n"/>
      <c r="D6743" s="8" t="n"/>
      <c r="E6743" s="8" t="n"/>
      <c r="F6743" s="8" t="n"/>
      <c r="G6743" s="8" t="n"/>
      <c r="H6743" s="8" t="n"/>
      <c r="I6743" s="8" t="n"/>
      <c r="J6743" s="8" t="n"/>
      <c r="K6743" s="8" t="n"/>
      <c r="L6743" s="8" t="n"/>
      <c r="M6743" s="9">
        <f>B6743+30</f>
        <v/>
      </c>
      <c r="N6743">
        <f>IF(L6743="", "", L6743-B6743)</f>
        <v/>
      </c>
      <c r="O6743">
        <f>IF(L6743="", "Pending", IF(N6743&lt;=30, "Met", "Breached"))</f>
        <v/>
      </c>
      <c r="P6743" s="8" t="n"/>
      <c r="Q6743" s="8" t="n"/>
      <c r="R6743" s="8" t="n"/>
      <c r="S6743" s="8" t="n"/>
      <c r="T6743" s="8" t="n"/>
      <c r="U6743" s="8" t="n"/>
      <c r="V6743" s="8" t="n"/>
      <c r="W6743" s="8" t="n"/>
      <c r="X6743" s="8" t="n"/>
      <c r="Y6743" s="8" t="n"/>
    </row>
    <row r="6744">
      <c r="A6744" s="8" t="n"/>
      <c r="B6744" s="8" t="n"/>
      <c r="C6744" s="8" t="n"/>
      <c r="D6744" s="8" t="n"/>
      <c r="E6744" s="8" t="n"/>
      <c r="F6744" s="8" t="n"/>
      <c r="G6744" s="8" t="n"/>
      <c r="H6744" s="8" t="n"/>
      <c r="I6744" s="8" t="n"/>
      <c r="J6744" s="8" t="n"/>
      <c r="K6744" s="8" t="n"/>
      <c r="L6744" s="8" t="n"/>
      <c r="M6744" s="9">
        <f>B6744+30</f>
        <v/>
      </c>
      <c r="N6744">
        <f>IF(L6744="", "", L6744-B6744)</f>
        <v/>
      </c>
      <c r="O6744">
        <f>IF(L6744="", "Pending", IF(N6744&lt;=30, "Met", "Breached"))</f>
        <v/>
      </c>
      <c r="P6744" s="8" t="n"/>
      <c r="Q6744" s="8" t="n"/>
      <c r="R6744" s="8" t="n"/>
      <c r="S6744" s="8" t="n"/>
      <c r="T6744" s="8" t="n"/>
      <c r="U6744" s="8" t="n"/>
      <c r="V6744" s="8" t="n"/>
      <c r="W6744" s="8" t="n"/>
      <c r="X6744" s="8" t="n"/>
      <c r="Y6744" s="8" t="n"/>
    </row>
    <row r="6745">
      <c r="A6745" s="8" t="n"/>
      <c r="B6745" s="8" t="n"/>
      <c r="C6745" s="8" t="n"/>
      <c r="D6745" s="8" t="n"/>
      <c r="E6745" s="8" t="n"/>
      <c r="F6745" s="8" t="n"/>
      <c r="G6745" s="8" t="n"/>
      <c r="H6745" s="8" t="n"/>
      <c r="I6745" s="8" t="n"/>
      <c r="J6745" s="8" t="n"/>
      <c r="K6745" s="8" t="n"/>
      <c r="L6745" s="8" t="n"/>
      <c r="M6745" s="9">
        <f>B6745+30</f>
        <v/>
      </c>
      <c r="N6745">
        <f>IF(L6745="", "", L6745-B6745)</f>
        <v/>
      </c>
      <c r="O6745">
        <f>IF(L6745="", "Pending", IF(N6745&lt;=30, "Met", "Breached"))</f>
        <v/>
      </c>
      <c r="P6745" s="8" t="n"/>
      <c r="Q6745" s="8" t="n"/>
      <c r="R6745" s="8" t="n"/>
      <c r="S6745" s="8" t="n"/>
      <c r="T6745" s="8" t="n"/>
      <c r="U6745" s="8" t="n"/>
      <c r="V6745" s="8" t="n"/>
      <c r="W6745" s="8" t="n"/>
      <c r="X6745" s="8" t="n"/>
      <c r="Y6745" s="8" t="n"/>
    </row>
    <row r="6746">
      <c r="A6746" s="8" t="n"/>
      <c r="B6746" s="8" t="n"/>
      <c r="C6746" s="8" t="n"/>
      <c r="D6746" s="8" t="n"/>
      <c r="E6746" s="8" t="n"/>
      <c r="F6746" s="8" t="n"/>
      <c r="G6746" s="8" t="n"/>
      <c r="H6746" s="8" t="n"/>
      <c r="I6746" s="8" t="n"/>
      <c r="J6746" s="8" t="n"/>
      <c r="K6746" s="8" t="n"/>
      <c r="L6746" s="8" t="n"/>
      <c r="M6746" s="9">
        <f>B6746+30</f>
        <v/>
      </c>
      <c r="N6746">
        <f>IF(L6746="", "", L6746-B6746)</f>
        <v/>
      </c>
      <c r="O6746">
        <f>IF(L6746="", "Pending", IF(N6746&lt;=30, "Met", "Breached"))</f>
        <v/>
      </c>
      <c r="P6746" s="8" t="n"/>
      <c r="Q6746" s="8" t="n"/>
      <c r="R6746" s="8" t="n"/>
      <c r="S6746" s="8" t="n"/>
      <c r="T6746" s="8" t="n"/>
      <c r="U6746" s="8" t="n"/>
      <c r="V6746" s="8" t="n"/>
      <c r="W6746" s="8" t="n"/>
      <c r="X6746" s="8" t="n"/>
      <c r="Y6746" s="8" t="n"/>
    </row>
    <row r="6747">
      <c r="A6747" s="8" t="n"/>
      <c r="B6747" s="8" t="n"/>
      <c r="C6747" s="8" t="n"/>
      <c r="D6747" s="8" t="n"/>
      <c r="E6747" s="8" t="n"/>
      <c r="F6747" s="8" t="n"/>
      <c r="G6747" s="8" t="n"/>
      <c r="H6747" s="8" t="n"/>
      <c r="I6747" s="8" t="n"/>
      <c r="J6747" s="8" t="n"/>
      <c r="K6747" s="8" t="n"/>
      <c r="L6747" s="8" t="n"/>
      <c r="M6747" s="9">
        <f>B6747+30</f>
        <v/>
      </c>
      <c r="N6747">
        <f>IF(L6747="", "", L6747-B6747)</f>
        <v/>
      </c>
      <c r="O6747">
        <f>IF(L6747="", "Pending", IF(N6747&lt;=30, "Met", "Breached"))</f>
        <v/>
      </c>
      <c r="P6747" s="8" t="n"/>
      <c r="Q6747" s="8" t="n"/>
      <c r="R6747" s="8" t="n"/>
      <c r="S6747" s="8" t="n"/>
      <c r="T6747" s="8" t="n"/>
      <c r="U6747" s="8" t="n"/>
      <c r="V6747" s="8" t="n"/>
      <c r="W6747" s="8" t="n"/>
      <c r="X6747" s="8" t="n"/>
      <c r="Y6747" s="8" t="n"/>
    </row>
    <row r="6748">
      <c r="A6748" s="8" t="n"/>
      <c r="B6748" s="8" t="n"/>
      <c r="C6748" s="8" t="n"/>
      <c r="D6748" s="8" t="n"/>
      <c r="E6748" s="8" t="n"/>
      <c r="F6748" s="8" t="n"/>
      <c r="G6748" s="8" t="n"/>
      <c r="H6748" s="8" t="n"/>
      <c r="I6748" s="8" t="n"/>
      <c r="J6748" s="8" t="n"/>
      <c r="K6748" s="8" t="n"/>
      <c r="L6748" s="8" t="n"/>
      <c r="M6748" s="9">
        <f>B6748+30</f>
        <v/>
      </c>
      <c r="N6748">
        <f>IF(L6748="", "", L6748-B6748)</f>
        <v/>
      </c>
      <c r="O6748">
        <f>IF(L6748="", "Pending", IF(N6748&lt;=30, "Met", "Breached"))</f>
        <v/>
      </c>
      <c r="P6748" s="8" t="n"/>
      <c r="Q6748" s="8" t="n"/>
      <c r="R6748" s="8" t="n"/>
      <c r="S6748" s="8" t="n"/>
      <c r="T6748" s="8" t="n"/>
      <c r="U6748" s="8" t="n"/>
      <c r="V6748" s="8" t="n"/>
      <c r="W6748" s="8" t="n"/>
      <c r="X6748" s="8" t="n"/>
      <c r="Y6748" s="8" t="n"/>
    </row>
    <row r="6749">
      <c r="A6749" s="8" t="n"/>
      <c r="B6749" s="8" t="n"/>
      <c r="C6749" s="8" t="n"/>
      <c r="D6749" s="8" t="n"/>
      <c r="E6749" s="8" t="n"/>
      <c r="F6749" s="8" t="n"/>
      <c r="G6749" s="8" t="n"/>
      <c r="H6749" s="8" t="n"/>
      <c r="I6749" s="8" t="n"/>
      <c r="J6749" s="8" t="n"/>
      <c r="K6749" s="8" t="n"/>
      <c r="L6749" s="8" t="n"/>
      <c r="M6749" s="9">
        <f>B6749+30</f>
        <v/>
      </c>
      <c r="N6749">
        <f>IF(L6749="", "", L6749-B6749)</f>
        <v/>
      </c>
      <c r="O6749">
        <f>IF(L6749="", "Pending", IF(N6749&lt;=30, "Met", "Breached"))</f>
        <v/>
      </c>
      <c r="P6749" s="8" t="n"/>
      <c r="Q6749" s="8" t="n"/>
      <c r="R6749" s="8" t="n"/>
      <c r="S6749" s="8" t="n"/>
      <c r="T6749" s="8" t="n"/>
      <c r="U6749" s="8" t="n"/>
      <c r="V6749" s="8" t="n"/>
      <c r="W6749" s="8" t="n"/>
      <c r="X6749" s="8" t="n"/>
      <c r="Y6749" s="8" t="n"/>
    </row>
    <row r="6750">
      <c r="A6750" s="8" t="n"/>
      <c r="B6750" s="8" t="n"/>
      <c r="C6750" s="8" t="n"/>
      <c r="D6750" s="8" t="n"/>
      <c r="E6750" s="8" t="n"/>
      <c r="F6750" s="8" t="n"/>
      <c r="G6750" s="8" t="n"/>
      <c r="H6750" s="8" t="n"/>
      <c r="I6750" s="8" t="n"/>
      <c r="J6750" s="8" t="n"/>
      <c r="K6750" s="8" t="n"/>
      <c r="L6750" s="8" t="n"/>
      <c r="M6750" s="9">
        <f>B6750+30</f>
        <v/>
      </c>
      <c r="N6750">
        <f>IF(L6750="", "", L6750-B6750)</f>
        <v/>
      </c>
      <c r="O6750">
        <f>IF(L6750="", "Pending", IF(N6750&lt;=30, "Met", "Breached"))</f>
        <v/>
      </c>
      <c r="P6750" s="8" t="n"/>
      <c r="Q6750" s="8" t="n"/>
      <c r="R6750" s="8" t="n"/>
      <c r="S6750" s="8" t="n"/>
      <c r="T6750" s="8" t="n"/>
      <c r="U6750" s="8" t="n"/>
      <c r="V6750" s="8" t="n"/>
      <c r="W6750" s="8" t="n"/>
      <c r="X6750" s="8" t="n"/>
      <c r="Y6750" s="8" t="n"/>
    </row>
    <row r="6751">
      <c r="A6751" s="8" t="n"/>
      <c r="B6751" s="8" t="n"/>
      <c r="C6751" s="8" t="n"/>
      <c r="D6751" s="8" t="n"/>
      <c r="E6751" s="8" t="n"/>
      <c r="F6751" s="8" t="n"/>
      <c r="G6751" s="8" t="n"/>
      <c r="H6751" s="8" t="n"/>
      <c r="I6751" s="8" t="n"/>
      <c r="J6751" s="8" t="n"/>
      <c r="K6751" s="8" t="n"/>
      <c r="L6751" s="8" t="n"/>
      <c r="M6751" s="9">
        <f>B6751+30</f>
        <v/>
      </c>
      <c r="N6751">
        <f>IF(L6751="", "", L6751-B6751)</f>
        <v/>
      </c>
      <c r="O6751">
        <f>IF(L6751="", "Pending", IF(N6751&lt;=30, "Met", "Breached"))</f>
        <v/>
      </c>
      <c r="P6751" s="8" t="n"/>
      <c r="Q6751" s="8" t="n"/>
      <c r="R6751" s="8" t="n"/>
      <c r="S6751" s="8" t="n"/>
      <c r="T6751" s="8" t="n"/>
      <c r="U6751" s="8" t="n"/>
      <c r="V6751" s="8" t="n"/>
      <c r="W6751" s="8" t="n"/>
      <c r="X6751" s="8" t="n"/>
      <c r="Y6751" s="8" t="n"/>
    </row>
    <row r="6752">
      <c r="A6752" s="8" t="n"/>
      <c r="B6752" s="8" t="n"/>
      <c r="C6752" s="8" t="n"/>
      <c r="D6752" s="8" t="n"/>
      <c r="E6752" s="8" t="n"/>
      <c r="F6752" s="8" t="n"/>
      <c r="G6752" s="8" t="n"/>
      <c r="H6752" s="8" t="n"/>
      <c r="I6752" s="8" t="n"/>
      <c r="J6752" s="8" t="n"/>
      <c r="K6752" s="8" t="n"/>
      <c r="L6752" s="8" t="n"/>
      <c r="M6752" s="9">
        <f>B6752+30</f>
        <v/>
      </c>
      <c r="N6752">
        <f>IF(L6752="", "", L6752-B6752)</f>
        <v/>
      </c>
      <c r="O6752">
        <f>IF(L6752="", "Pending", IF(N6752&lt;=30, "Met", "Breached"))</f>
        <v/>
      </c>
      <c r="P6752" s="8" t="n"/>
      <c r="Q6752" s="8" t="n"/>
      <c r="R6752" s="8" t="n"/>
      <c r="S6752" s="8" t="n"/>
      <c r="T6752" s="8" t="n"/>
      <c r="U6752" s="8" t="n"/>
      <c r="V6752" s="8" t="n"/>
      <c r="W6752" s="8" t="n"/>
      <c r="X6752" s="8" t="n"/>
      <c r="Y6752" s="8" t="n"/>
    </row>
    <row r="6753">
      <c r="A6753" s="8" t="n"/>
      <c r="B6753" s="8" t="n"/>
      <c r="C6753" s="8" t="n"/>
      <c r="D6753" s="8" t="n"/>
      <c r="E6753" s="8" t="n"/>
      <c r="F6753" s="8" t="n"/>
      <c r="G6753" s="8" t="n"/>
      <c r="H6753" s="8" t="n"/>
      <c r="I6753" s="8" t="n"/>
      <c r="J6753" s="8" t="n"/>
      <c r="K6753" s="8" t="n"/>
      <c r="L6753" s="8" t="n"/>
      <c r="M6753" s="9">
        <f>B6753+30</f>
        <v/>
      </c>
      <c r="N6753">
        <f>IF(L6753="", "", L6753-B6753)</f>
        <v/>
      </c>
      <c r="O6753">
        <f>IF(L6753="", "Pending", IF(N6753&lt;=30, "Met", "Breached"))</f>
        <v/>
      </c>
      <c r="P6753" s="8" t="n"/>
      <c r="Q6753" s="8" t="n"/>
      <c r="R6753" s="8" t="n"/>
      <c r="S6753" s="8" t="n"/>
      <c r="T6753" s="8" t="n"/>
      <c r="U6753" s="8" t="n"/>
      <c r="V6753" s="8" t="n"/>
      <c r="W6753" s="8" t="n"/>
      <c r="X6753" s="8" t="n"/>
      <c r="Y6753" s="8" t="n"/>
    </row>
    <row r="6754">
      <c r="A6754" s="8" t="n"/>
      <c r="B6754" s="8" t="n"/>
      <c r="C6754" s="8" t="n"/>
      <c r="D6754" s="8" t="n"/>
      <c r="E6754" s="8" t="n"/>
      <c r="F6754" s="8" t="n"/>
      <c r="G6754" s="8" t="n"/>
      <c r="H6754" s="8" t="n"/>
      <c r="I6754" s="8" t="n"/>
      <c r="J6754" s="8" t="n"/>
      <c r="K6754" s="8" t="n"/>
      <c r="L6754" s="8" t="n"/>
      <c r="M6754" s="9">
        <f>B6754+30</f>
        <v/>
      </c>
      <c r="N6754">
        <f>IF(L6754="", "", L6754-B6754)</f>
        <v/>
      </c>
      <c r="O6754">
        <f>IF(L6754="", "Pending", IF(N6754&lt;=30, "Met", "Breached"))</f>
        <v/>
      </c>
      <c r="P6754" s="8" t="n"/>
      <c r="Q6754" s="8" t="n"/>
      <c r="R6754" s="8" t="n"/>
      <c r="S6754" s="8" t="n"/>
      <c r="T6754" s="8" t="n"/>
      <c r="U6754" s="8" t="n"/>
      <c r="V6754" s="8" t="n"/>
      <c r="W6754" s="8" t="n"/>
      <c r="X6754" s="8" t="n"/>
      <c r="Y6754" s="8" t="n"/>
    </row>
    <row r="6755">
      <c r="A6755" s="8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8" t="n"/>
      <c r="K6755" s="8" t="n"/>
      <c r="L6755" s="8" t="n"/>
      <c r="M6755" s="9">
        <f>B6755+30</f>
        <v/>
      </c>
      <c r="N6755">
        <f>IF(L6755="", "", L6755-B6755)</f>
        <v/>
      </c>
      <c r="O6755">
        <f>IF(L6755="", "Pending", IF(N6755&lt;=30, "Met", "Breached"))</f>
        <v/>
      </c>
      <c r="P6755" s="8" t="n"/>
      <c r="Q6755" s="8" t="n"/>
      <c r="R6755" s="8" t="n"/>
      <c r="S6755" s="8" t="n"/>
      <c r="T6755" s="8" t="n"/>
      <c r="U6755" s="8" t="n"/>
      <c r="V6755" s="8" t="n"/>
      <c r="W6755" s="8" t="n"/>
      <c r="X6755" s="8" t="n"/>
      <c r="Y6755" s="8" t="n"/>
    </row>
    <row r="6756">
      <c r="A6756" s="8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8" t="n"/>
      <c r="K6756" s="8" t="n"/>
      <c r="L6756" s="8" t="n"/>
      <c r="M6756" s="9">
        <f>B6756+30</f>
        <v/>
      </c>
      <c r="N6756">
        <f>IF(L6756="", "", L6756-B6756)</f>
        <v/>
      </c>
      <c r="O6756">
        <f>IF(L6756="", "Pending", IF(N6756&lt;=30, "Met", "Breached"))</f>
        <v/>
      </c>
      <c r="P6756" s="8" t="n"/>
      <c r="Q6756" s="8" t="n"/>
      <c r="R6756" s="8" t="n"/>
      <c r="S6756" s="8" t="n"/>
      <c r="T6756" s="8" t="n"/>
      <c r="U6756" s="8" t="n"/>
      <c r="V6756" s="8" t="n"/>
      <c r="W6756" s="8" t="n"/>
      <c r="X6756" s="8" t="n"/>
      <c r="Y6756" s="8" t="n"/>
    </row>
    <row r="6757">
      <c r="A6757" s="8" t="n"/>
      <c r="B6757" s="8" t="n"/>
      <c r="C6757" s="8" t="n"/>
      <c r="D6757" s="8" t="n"/>
      <c r="E6757" s="8" t="n"/>
      <c r="F6757" s="8" t="n"/>
      <c r="G6757" s="8" t="n"/>
      <c r="H6757" s="8" t="n"/>
      <c r="I6757" s="8" t="n"/>
      <c r="J6757" s="8" t="n"/>
      <c r="K6757" s="8" t="n"/>
      <c r="L6757" s="8" t="n"/>
      <c r="M6757" s="9">
        <f>B6757+30</f>
        <v/>
      </c>
      <c r="N6757">
        <f>IF(L6757="", "", L6757-B6757)</f>
        <v/>
      </c>
      <c r="O6757">
        <f>IF(L6757="", "Pending", IF(N6757&lt;=30, "Met", "Breached"))</f>
        <v/>
      </c>
      <c r="P6757" s="8" t="n"/>
      <c r="Q6757" s="8" t="n"/>
      <c r="R6757" s="8" t="n"/>
      <c r="S6757" s="8" t="n"/>
      <c r="T6757" s="8" t="n"/>
      <c r="U6757" s="8" t="n"/>
      <c r="V6757" s="8" t="n"/>
      <c r="W6757" s="8" t="n"/>
      <c r="X6757" s="8" t="n"/>
      <c r="Y6757" s="8" t="n"/>
    </row>
    <row r="6758">
      <c r="A6758" s="8" t="n"/>
      <c r="B6758" s="8" t="n"/>
      <c r="C6758" s="8" t="n"/>
      <c r="D6758" s="8" t="n"/>
      <c r="E6758" s="8" t="n"/>
      <c r="F6758" s="8" t="n"/>
      <c r="G6758" s="8" t="n"/>
      <c r="H6758" s="8" t="n"/>
      <c r="I6758" s="8" t="n"/>
      <c r="J6758" s="8" t="n"/>
      <c r="K6758" s="8" t="n"/>
      <c r="L6758" s="8" t="n"/>
      <c r="M6758" s="9">
        <f>B6758+30</f>
        <v/>
      </c>
      <c r="N6758">
        <f>IF(L6758="", "", L6758-B6758)</f>
        <v/>
      </c>
      <c r="O6758">
        <f>IF(L6758="", "Pending", IF(N6758&lt;=30, "Met", "Breached"))</f>
        <v/>
      </c>
      <c r="P6758" s="8" t="n"/>
      <c r="Q6758" s="8" t="n"/>
      <c r="R6758" s="8" t="n"/>
      <c r="S6758" s="8" t="n"/>
      <c r="T6758" s="8" t="n"/>
      <c r="U6758" s="8" t="n"/>
      <c r="V6758" s="8" t="n"/>
      <c r="W6758" s="8" t="n"/>
      <c r="X6758" s="8" t="n"/>
      <c r="Y6758" s="8" t="n"/>
    </row>
    <row r="6759">
      <c r="A6759" s="8" t="n"/>
      <c r="B6759" s="8" t="n"/>
      <c r="C6759" s="8" t="n"/>
      <c r="D6759" s="8" t="n"/>
      <c r="E6759" s="8" t="n"/>
      <c r="F6759" s="8" t="n"/>
      <c r="G6759" s="8" t="n"/>
      <c r="H6759" s="8" t="n"/>
      <c r="I6759" s="8" t="n"/>
      <c r="J6759" s="8" t="n"/>
      <c r="K6759" s="8" t="n"/>
      <c r="L6759" s="8" t="n"/>
      <c r="M6759" s="9">
        <f>B6759+30</f>
        <v/>
      </c>
      <c r="N6759">
        <f>IF(L6759="", "", L6759-B6759)</f>
        <v/>
      </c>
      <c r="O6759">
        <f>IF(L6759="", "Pending", IF(N6759&lt;=30, "Met", "Breached"))</f>
        <v/>
      </c>
      <c r="P6759" s="8" t="n"/>
      <c r="Q6759" s="8" t="n"/>
      <c r="R6759" s="8" t="n"/>
      <c r="S6759" s="8" t="n"/>
      <c r="T6759" s="8" t="n"/>
      <c r="U6759" s="8" t="n"/>
      <c r="V6759" s="8" t="n"/>
      <c r="W6759" s="8" t="n"/>
      <c r="X6759" s="8" t="n"/>
      <c r="Y6759" s="8" t="n"/>
    </row>
    <row r="6760">
      <c r="A6760" s="8" t="n"/>
      <c r="B6760" s="8" t="n"/>
      <c r="C6760" s="8" t="n"/>
      <c r="D6760" s="8" t="n"/>
      <c r="E6760" s="8" t="n"/>
      <c r="F6760" s="8" t="n"/>
      <c r="G6760" s="8" t="n"/>
      <c r="H6760" s="8" t="n"/>
      <c r="I6760" s="8" t="n"/>
      <c r="J6760" s="8" t="n"/>
      <c r="K6760" s="8" t="n"/>
      <c r="L6760" s="8" t="n"/>
      <c r="M6760" s="9">
        <f>B6760+30</f>
        <v/>
      </c>
      <c r="N6760">
        <f>IF(L6760="", "", L6760-B6760)</f>
        <v/>
      </c>
      <c r="O6760">
        <f>IF(L6760="", "Pending", IF(N6760&lt;=30, "Met", "Breached"))</f>
        <v/>
      </c>
      <c r="P6760" s="8" t="n"/>
      <c r="Q6760" s="8" t="n"/>
      <c r="R6760" s="8" t="n"/>
      <c r="S6760" s="8" t="n"/>
      <c r="T6760" s="8" t="n"/>
      <c r="U6760" s="8" t="n"/>
      <c r="V6760" s="8" t="n"/>
      <c r="W6760" s="8" t="n"/>
      <c r="X6760" s="8" t="n"/>
      <c r="Y6760" s="8" t="n"/>
    </row>
    <row r="6761">
      <c r="A6761" s="8" t="n"/>
      <c r="B6761" s="8" t="n"/>
      <c r="C6761" s="8" t="n"/>
      <c r="D6761" s="8" t="n"/>
      <c r="E6761" s="8" t="n"/>
      <c r="F6761" s="8" t="n"/>
      <c r="G6761" s="8" t="n"/>
      <c r="H6761" s="8" t="n"/>
      <c r="I6761" s="8" t="n"/>
      <c r="J6761" s="8" t="n"/>
      <c r="K6761" s="8" t="n"/>
      <c r="L6761" s="8" t="n"/>
      <c r="M6761" s="9">
        <f>B6761+30</f>
        <v/>
      </c>
      <c r="N6761">
        <f>IF(L6761="", "", L6761-B6761)</f>
        <v/>
      </c>
      <c r="O6761">
        <f>IF(L6761="", "Pending", IF(N6761&lt;=30, "Met", "Breached"))</f>
        <v/>
      </c>
      <c r="P6761" s="8" t="n"/>
      <c r="Q6761" s="8" t="n"/>
      <c r="R6761" s="8" t="n"/>
      <c r="S6761" s="8" t="n"/>
      <c r="T6761" s="8" t="n"/>
      <c r="U6761" s="8" t="n"/>
      <c r="V6761" s="8" t="n"/>
      <c r="W6761" s="8" t="n"/>
      <c r="X6761" s="8" t="n"/>
      <c r="Y6761" s="8" t="n"/>
    </row>
    <row r="6762">
      <c r="A6762" s="8" t="n"/>
      <c r="B6762" s="8" t="n"/>
      <c r="C6762" s="8" t="n"/>
      <c r="D6762" s="8" t="n"/>
      <c r="E6762" s="8" t="n"/>
      <c r="F6762" s="8" t="n"/>
      <c r="G6762" s="8" t="n"/>
      <c r="H6762" s="8" t="n"/>
      <c r="I6762" s="8" t="n"/>
      <c r="J6762" s="8" t="n"/>
      <c r="K6762" s="8" t="n"/>
      <c r="L6762" s="8" t="n"/>
      <c r="M6762" s="9">
        <f>B6762+30</f>
        <v/>
      </c>
      <c r="N6762">
        <f>IF(L6762="", "", L6762-B6762)</f>
        <v/>
      </c>
      <c r="O6762">
        <f>IF(L6762="", "Pending", IF(N6762&lt;=30, "Met", "Breached"))</f>
        <v/>
      </c>
      <c r="P6762" s="8" t="n"/>
      <c r="Q6762" s="8" t="n"/>
      <c r="R6762" s="8" t="n"/>
      <c r="S6762" s="8" t="n"/>
      <c r="T6762" s="8" t="n"/>
      <c r="U6762" s="8" t="n"/>
      <c r="V6762" s="8" t="n"/>
      <c r="W6762" s="8" t="n"/>
      <c r="X6762" s="8" t="n"/>
      <c r="Y6762" s="8" t="n"/>
    </row>
    <row r="6763">
      <c r="A6763" s="8" t="n"/>
      <c r="B6763" s="8" t="n"/>
      <c r="C6763" s="8" t="n"/>
      <c r="D6763" s="8" t="n"/>
      <c r="E6763" s="8" t="n"/>
      <c r="F6763" s="8" t="n"/>
      <c r="G6763" s="8" t="n"/>
      <c r="H6763" s="8" t="n"/>
      <c r="I6763" s="8" t="n"/>
      <c r="J6763" s="8" t="n"/>
      <c r="K6763" s="8" t="n"/>
      <c r="L6763" s="8" t="n"/>
      <c r="M6763" s="9">
        <f>B6763+30</f>
        <v/>
      </c>
      <c r="N6763">
        <f>IF(L6763="", "", L6763-B6763)</f>
        <v/>
      </c>
      <c r="O6763">
        <f>IF(L6763="", "Pending", IF(N6763&lt;=30, "Met", "Breached"))</f>
        <v/>
      </c>
      <c r="P6763" s="8" t="n"/>
      <c r="Q6763" s="8" t="n"/>
      <c r="R6763" s="8" t="n"/>
      <c r="S6763" s="8" t="n"/>
      <c r="T6763" s="8" t="n"/>
      <c r="U6763" s="8" t="n"/>
      <c r="V6763" s="8" t="n"/>
      <c r="W6763" s="8" t="n"/>
      <c r="X6763" s="8" t="n"/>
      <c r="Y6763" s="8" t="n"/>
    </row>
    <row r="6764">
      <c r="A6764" s="8" t="n"/>
      <c r="B6764" s="8" t="n"/>
      <c r="C6764" s="8" t="n"/>
      <c r="D6764" s="8" t="n"/>
      <c r="E6764" s="8" t="n"/>
      <c r="F6764" s="8" t="n"/>
      <c r="G6764" s="8" t="n"/>
      <c r="H6764" s="8" t="n"/>
      <c r="I6764" s="8" t="n"/>
      <c r="J6764" s="8" t="n"/>
      <c r="K6764" s="8" t="n"/>
      <c r="L6764" s="8" t="n"/>
      <c r="M6764" s="9">
        <f>B6764+30</f>
        <v/>
      </c>
      <c r="N6764">
        <f>IF(L6764="", "", L6764-B6764)</f>
        <v/>
      </c>
      <c r="O6764">
        <f>IF(L6764="", "Pending", IF(N6764&lt;=30, "Met", "Breached"))</f>
        <v/>
      </c>
      <c r="P6764" s="8" t="n"/>
      <c r="Q6764" s="8" t="n"/>
      <c r="R6764" s="8" t="n"/>
      <c r="S6764" s="8" t="n"/>
      <c r="T6764" s="8" t="n"/>
      <c r="U6764" s="8" t="n"/>
      <c r="V6764" s="8" t="n"/>
      <c r="W6764" s="8" t="n"/>
      <c r="X6764" s="8" t="n"/>
      <c r="Y6764" s="8" t="n"/>
    </row>
    <row r="6765">
      <c r="A6765" s="8" t="n"/>
      <c r="B6765" s="8" t="n"/>
      <c r="C6765" s="8" t="n"/>
      <c r="D6765" s="8" t="n"/>
      <c r="E6765" s="8" t="n"/>
      <c r="F6765" s="8" t="n"/>
      <c r="G6765" s="8" t="n"/>
      <c r="H6765" s="8" t="n"/>
      <c r="I6765" s="8" t="n"/>
      <c r="J6765" s="8" t="n"/>
      <c r="K6765" s="8" t="n"/>
      <c r="L6765" s="8" t="n"/>
      <c r="M6765" s="9">
        <f>B6765+30</f>
        <v/>
      </c>
      <c r="N6765">
        <f>IF(L6765="", "", L6765-B6765)</f>
        <v/>
      </c>
      <c r="O6765">
        <f>IF(L6765="", "Pending", IF(N6765&lt;=30, "Met", "Breached"))</f>
        <v/>
      </c>
      <c r="P6765" s="8" t="n"/>
      <c r="Q6765" s="8" t="n"/>
      <c r="R6765" s="8" t="n"/>
      <c r="S6765" s="8" t="n"/>
      <c r="T6765" s="8" t="n"/>
      <c r="U6765" s="8" t="n"/>
      <c r="V6765" s="8" t="n"/>
      <c r="W6765" s="8" t="n"/>
      <c r="X6765" s="8" t="n"/>
      <c r="Y6765" s="8" t="n"/>
    </row>
    <row r="6766">
      <c r="A6766" s="8" t="n"/>
      <c r="B6766" s="8" t="n"/>
      <c r="C6766" s="8" t="n"/>
      <c r="D6766" s="8" t="n"/>
      <c r="E6766" s="8" t="n"/>
      <c r="F6766" s="8" t="n"/>
      <c r="G6766" s="8" t="n"/>
      <c r="H6766" s="8" t="n"/>
      <c r="I6766" s="8" t="n"/>
      <c r="J6766" s="8" t="n"/>
      <c r="K6766" s="8" t="n"/>
      <c r="L6766" s="8" t="n"/>
      <c r="M6766" s="9">
        <f>B6766+30</f>
        <v/>
      </c>
      <c r="N6766">
        <f>IF(L6766="", "", L6766-B6766)</f>
        <v/>
      </c>
      <c r="O6766">
        <f>IF(L6766="", "Pending", IF(N6766&lt;=30, "Met", "Breached"))</f>
        <v/>
      </c>
      <c r="P6766" s="8" t="n"/>
      <c r="Q6766" s="8" t="n"/>
      <c r="R6766" s="8" t="n"/>
      <c r="S6766" s="8" t="n"/>
      <c r="T6766" s="8" t="n"/>
      <c r="U6766" s="8" t="n"/>
      <c r="V6766" s="8" t="n"/>
      <c r="W6766" s="8" t="n"/>
      <c r="X6766" s="8" t="n"/>
      <c r="Y6766" s="8" t="n"/>
    </row>
    <row r="6767">
      <c r="A6767" s="8" t="n"/>
      <c r="B6767" s="8" t="n"/>
      <c r="C6767" s="8" t="n"/>
      <c r="D6767" s="8" t="n"/>
      <c r="E6767" s="8" t="n"/>
      <c r="F6767" s="8" t="n"/>
      <c r="G6767" s="8" t="n"/>
      <c r="H6767" s="8" t="n"/>
      <c r="I6767" s="8" t="n"/>
      <c r="J6767" s="8" t="n"/>
      <c r="K6767" s="8" t="n"/>
      <c r="L6767" s="8" t="n"/>
      <c r="M6767" s="9">
        <f>B6767+30</f>
        <v/>
      </c>
      <c r="N6767">
        <f>IF(L6767="", "", L6767-B6767)</f>
        <v/>
      </c>
      <c r="O6767">
        <f>IF(L6767="", "Pending", IF(N6767&lt;=30, "Met", "Breached"))</f>
        <v/>
      </c>
      <c r="P6767" s="8" t="n"/>
      <c r="Q6767" s="8" t="n"/>
      <c r="R6767" s="8" t="n"/>
      <c r="S6767" s="8" t="n"/>
      <c r="T6767" s="8" t="n"/>
      <c r="U6767" s="8" t="n"/>
      <c r="V6767" s="8" t="n"/>
      <c r="W6767" s="8" t="n"/>
      <c r="X6767" s="8" t="n"/>
      <c r="Y6767" s="8" t="n"/>
    </row>
    <row r="6768">
      <c r="A6768" s="8" t="n"/>
      <c r="B6768" s="8" t="n"/>
      <c r="C6768" s="8" t="n"/>
      <c r="D6768" s="8" t="n"/>
      <c r="E6768" s="8" t="n"/>
      <c r="F6768" s="8" t="n"/>
      <c r="G6768" s="8" t="n"/>
      <c r="H6768" s="8" t="n"/>
      <c r="I6768" s="8" t="n"/>
      <c r="J6768" s="8" t="n"/>
      <c r="K6768" s="8" t="n"/>
      <c r="L6768" s="8" t="n"/>
      <c r="M6768" s="9">
        <f>B6768+30</f>
        <v/>
      </c>
      <c r="N6768">
        <f>IF(L6768="", "", L6768-B6768)</f>
        <v/>
      </c>
      <c r="O6768">
        <f>IF(L6768="", "Pending", IF(N6768&lt;=30, "Met", "Breached"))</f>
        <v/>
      </c>
      <c r="P6768" s="8" t="n"/>
      <c r="Q6768" s="8" t="n"/>
      <c r="R6768" s="8" t="n"/>
      <c r="S6768" s="8" t="n"/>
      <c r="T6768" s="8" t="n"/>
      <c r="U6768" s="8" t="n"/>
      <c r="V6768" s="8" t="n"/>
      <c r="W6768" s="8" t="n"/>
      <c r="X6768" s="8" t="n"/>
      <c r="Y6768" s="8" t="n"/>
    </row>
    <row r="6769">
      <c r="A6769" s="8" t="n"/>
      <c r="B6769" s="8" t="n"/>
      <c r="C6769" s="8" t="n"/>
      <c r="D6769" s="8" t="n"/>
      <c r="E6769" s="8" t="n"/>
      <c r="F6769" s="8" t="n"/>
      <c r="G6769" s="8" t="n"/>
      <c r="H6769" s="8" t="n"/>
      <c r="I6769" s="8" t="n"/>
      <c r="J6769" s="8" t="n"/>
      <c r="K6769" s="8" t="n"/>
      <c r="L6769" s="8" t="n"/>
      <c r="M6769" s="9">
        <f>B6769+30</f>
        <v/>
      </c>
      <c r="N6769">
        <f>IF(L6769="", "", L6769-B6769)</f>
        <v/>
      </c>
      <c r="O6769">
        <f>IF(L6769="", "Pending", IF(N6769&lt;=30, "Met", "Breached"))</f>
        <v/>
      </c>
      <c r="P6769" s="8" t="n"/>
      <c r="Q6769" s="8" t="n"/>
      <c r="R6769" s="8" t="n"/>
      <c r="S6769" s="8" t="n"/>
      <c r="T6769" s="8" t="n"/>
      <c r="U6769" s="8" t="n"/>
      <c r="V6769" s="8" t="n"/>
      <c r="W6769" s="8" t="n"/>
      <c r="X6769" s="8" t="n"/>
      <c r="Y6769" s="8" t="n"/>
    </row>
    <row r="6770">
      <c r="A6770" s="8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8" t="n"/>
      <c r="K6770" s="8" t="n"/>
      <c r="L6770" s="8" t="n"/>
      <c r="M6770" s="9">
        <f>B6770+30</f>
        <v/>
      </c>
      <c r="N6770">
        <f>IF(L6770="", "", L6770-B6770)</f>
        <v/>
      </c>
      <c r="O6770">
        <f>IF(L6770="", "Pending", IF(N6770&lt;=30, "Met", "Breached"))</f>
        <v/>
      </c>
      <c r="P6770" s="8" t="n"/>
      <c r="Q6770" s="8" t="n"/>
      <c r="R6770" s="8" t="n"/>
      <c r="S6770" s="8" t="n"/>
      <c r="T6770" s="8" t="n"/>
      <c r="U6770" s="8" t="n"/>
      <c r="V6770" s="8" t="n"/>
      <c r="W6770" s="8" t="n"/>
      <c r="X6770" s="8" t="n"/>
      <c r="Y6770" s="8" t="n"/>
    </row>
    <row r="6771">
      <c r="A6771" s="8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8" t="n"/>
      <c r="K6771" s="8" t="n"/>
      <c r="L6771" s="8" t="n"/>
      <c r="M6771" s="9">
        <f>B6771+30</f>
        <v/>
      </c>
      <c r="N6771">
        <f>IF(L6771="", "", L6771-B6771)</f>
        <v/>
      </c>
      <c r="O6771">
        <f>IF(L6771="", "Pending", IF(N6771&lt;=30, "Met", "Breached"))</f>
        <v/>
      </c>
      <c r="P6771" s="8" t="n"/>
      <c r="Q6771" s="8" t="n"/>
      <c r="R6771" s="8" t="n"/>
      <c r="S6771" s="8" t="n"/>
      <c r="T6771" s="8" t="n"/>
      <c r="U6771" s="8" t="n"/>
      <c r="V6771" s="8" t="n"/>
      <c r="W6771" s="8" t="n"/>
      <c r="X6771" s="8" t="n"/>
      <c r="Y6771" s="8" t="n"/>
    </row>
    <row r="6772">
      <c r="A6772" s="8" t="n"/>
      <c r="B6772" s="8" t="n"/>
      <c r="C6772" s="8" t="n"/>
      <c r="D6772" s="8" t="n"/>
      <c r="E6772" s="8" t="n"/>
      <c r="F6772" s="8" t="n"/>
      <c r="G6772" s="8" t="n"/>
      <c r="H6772" s="8" t="n"/>
      <c r="I6772" s="8" t="n"/>
      <c r="J6772" s="8" t="n"/>
      <c r="K6772" s="8" t="n"/>
      <c r="L6772" s="8" t="n"/>
      <c r="M6772" s="9">
        <f>B6772+30</f>
        <v/>
      </c>
      <c r="N6772">
        <f>IF(L6772="", "", L6772-B6772)</f>
        <v/>
      </c>
      <c r="O6772">
        <f>IF(L6772="", "Pending", IF(N6772&lt;=30, "Met", "Breached"))</f>
        <v/>
      </c>
      <c r="P6772" s="8" t="n"/>
      <c r="Q6772" s="8" t="n"/>
      <c r="R6772" s="8" t="n"/>
      <c r="S6772" s="8" t="n"/>
      <c r="T6772" s="8" t="n"/>
      <c r="U6772" s="8" t="n"/>
      <c r="V6772" s="8" t="n"/>
      <c r="W6772" s="8" t="n"/>
      <c r="X6772" s="8" t="n"/>
      <c r="Y6772" s="8" t="n"/>
    </row>
    <row r="6773">
      <c r="A6773" s="8" t="n"/>
      <c r="B6773" s="8" t="n"/>
      <c r="C6773" s="8" t="n"/>
      <c r="D6773" s="8" t="n"/>
      <c r="E6773" s="8" t="n"/>
      <c r="F6773" s="8" t="n"/>
      <c r="G6773" s="8" t="n"/>
      <c r="H6773" s="8" t="n"/>
      <c r="I6773" s="8" t="n"/>
      <c r="J6773" s="8" t="n"/>
      <c r="K6773" s="8" t="n"/>
      <c r="L6773" s="8" t="n"/>
      <c r="M6773" s="9">
        <f>B6773+30</f>
        <v/>
      </c>
      <c r="N6773">
        <f>IF(L6773="", "", L6773-B6773)</f>
        <v/>
      </c>
      <c r="O6773">
        <f>IF(L6773="", "Pending", IF(N6773&lt;=30, "Met", "Breached"))</f>
        <v/>
      </c>
      <c r="P6773" s="8" t="n"/>
      <c r="Q6773" s="8" t="n"/>
      <c r="R6773" s="8" t="n"/>
      <c r="S6773" s="8" t="n"/>
      <c r="T6773" s="8" t="n"/>
      <c r="U6773" s="8" t="n"/>
      <c r="V6773" s="8" t="n"/>
      <c r="W6773" s="8" t="n"/>
      <c r="X6773" s="8" t="n"/>
      <c r="Y6773" s="8" t="n"/>
    </row>
    <row r="6774">
      <c r="A6774" s="8" t="n"/>
      <c r="B6774" s="8" t="n"/>
      <c r="C6774" s="8" t="n"/>
      <c r="D6774" s="8" t="n"/>
      <c r="E6774" s="8" t="n"/>
      <c r="F6774" s="8" t="n"/>
      <c r="G6774" s="8" t="n"/>
      <c r="H6774" s="8" t="n"/>
      <c r="I6774" s="8" t="n"/>
      <c r="J6774" s="8" t="n"/>
      <c r="K6774" s="8" t="n"/>
      <c r="L6774" s="8" t="n"/>
      <c r="M6774" s="9">
        <f>B6774+30</f>
        <v/>
      </c>
      <c r="N6774">
        <f>IF(L6774="", "", L6774-B6774)</f>
        <v/>
      </c>
      <c r="O6774">
        <f>IF(L6774="", "Pending", IF(N6774&lt;=30, "Met", "Breached"))</f>
        <v/>
      </c>
      <c r="P6774" s="8" t="n"/>
      <c r="Q6774" s="8" t="n"/>
      <c r="R6774" s="8" t="n"/>
      <c r="S6774" s="8" t="n"/>
      <c r="T6774" s="8" t="n"/>
      <c r="U6774" s="8" t="n"/>
      <c r="V6774" s="8" t="n"/>
      <c r="W6774" s="8" t="n"/>
      <c r="X6774" s="8" t="n"/>
      <c r="Y6774" s="8" t="n"/>
    </row>
    <row r="6775">
      <c r="A6775" s="8" t="n"/>
      <c r="B6775" s="8" t="n"/>
      <c r="C6775" s="8" t="n"/>
      <c r="D6775" s="8" t="n"/>
      <c r="E6775" s="8" t="n"/>
      <c r="F6775" s="8" t="n"/>
      <c r="G6775" s="8" t="n"/>
      <c r="H6775" s="8" t="n"/>
      <c r="I6775" s="8" t="n"/>
      <c r="J6775" s="8" t="n"/>
      <c r="K6775" s="8" t="n"/>
      <c r="L6775" s="8" t="n"/>
      <c r="M6775" s="9">
        <f>B6775+30</f>
        <v/>
      </c>
      <c r="N6775">
        <f>IF(L6775="", "", L6775-B6775)</f>
        <v/>
      </c>
      <c r="O6775">
        <f>IF(L6775="", "Pending", IF(N6775&lt;=30, "Met", "Breached"))</f>
        <v/>
      </c>
      <c r="P6775" s="8" t="n"/>
      <c r="Q6775" s="8" t="n"/>
      <c r="R6775" s="8" t="n"/>
      <c r="S6775" s="8" t="n"/>
      <c r="T6775" s="8" t="n"/>
      <c r="U6775" s="8" t="n"/>
      <c r="V6775" s="8" t="n"/>
      <c r="W6775" s="8" t="n"/>
      <c r="X6775" s="8" t="n"/>
      <c r="Y6775" s="8" t="n"/>
    </row>
    <row r="6776">
      <c r="A6776" s="8" t="n"/>
      <c r="B6776" s="8" t="n"/>
      <c r="C6776" s="8" t="n"/>
      <c r="D6776" s="8" t="n"/>
      <c r="E6776" s="8" t="n"/>
      <c r="F6776" s="8" t="n"/>
      <c r="G6776" s="8" t="n"/>
      <c r="H6776" s="8" t="n"/>
      <c r="I6776" s="8" t="n"/>
      <c r="J6776" s="8" t="n"/>
      <c r="K6776" s="8" t="n"/>
      <c r="L6776" s="8" t="n"/>
      <c r="M6776" s="9">
        <f>B6776+30</f>
        <v/>
      </c>
      <c r="N6776">
        <f>IF(L6776="", "", L6776-B6776)</f>
        <v/>
      </c>
      <c r="O6776">
        <f>IF(L6776="", "Pending", IF(N6776&lt;=30, "Met", "Breached"))</f>
        <v/>
      </c>
      <c r="P6776" s="8" t="n"/>
      <c r="Q6776" s="8" t="n"/>
      <c r="R6776" s="8" t="n"/>
      <c r="S6776" s="8" t="n"/>
      <c r="T6776" s="8" t="n"/>
      <c r="U6776" s="8" t="n"/>
      <c r="V6776" s="8" t="n"/>
      <c r="W6776" s="8" t="n"/>
      <c r="X6776" s="8" t="n"/>
      <c r="Y6776" s="8" t="n"/>
    </row>
    <row r="6777">
      <c r="A6777" s="8" t="n"/>
      <c r="B6777" s="8" t="n"/>
      <c r="C6777" s="8" t="n"/>
      <c r="D6777" s="8" t="n"/>
      <c r="E6777" s="8" t="n"/>
      <c r="F6777" s="8" t="n"/>
      <c r="G6777" s="8" t="n"/>
      <c r="H6777" s="8" t="n"/>
      <c r="I6777" s="8" t="n"/>
      <c r="J6777" s="8" t="n"/>
      <c r="K6777" s="8" t="n"/>
      <c r="L6777" s="8" t="n"/>
      <c r="M6777" s="9">
        <f>B6777+30</f>
        <v/>
      </c>
      <c r="N6777">
        <f>IF(L6777="", "", L6777-B6777)</f>
        <v/>
      </c>
      <c r="O6777">
        <f>IF(L6777="", "Pending", IF(N6777&lt;=30, "Met", "Breached"))</f>
        <v/>
      </c>
      <c r="P6777" s="8" t="n"/>
      <c r="Q6777" s="8" t="n"/>
      <c r="R6777" s="8" t="n"/>
      <c r="S6777" s="8" t="n"/>
      <c r="T6777" s="8" t="n"/>
      <c r="U6777" s="8" t="n"/>
      <c r="V6777" s="8" t="n"/>
      <c r="W6777" s="8" t="n"/>
      <c r="X6777" s="8" t="n"/>
      <c r="Y6777" s="8" t="n"/>
    </row>
    <row r="6778">
      <c r="A6778" s="8" t="n"/>
      <c r="B6778" s="8" t="n"/>
      <c r="C6778" s="8" t="n"/>
      <c r="D6778" s="8" t="n"/>
      <c r="E6778" s="8" t="n"/>
      <c r="F6778" s="8" t="n"/>
      <c r="G6778" s="8" t="n"/>
      <c r="H6778" s="8" t="n"/>
      <c r="I6778" s="8" t="n"/>
      <c r="J6778" s="8" t="n"/>
      <c r="K6778" s="8" t="n"/>
      <c r="L6778" s="8" t="n"/>
      <c r="M6778" s="9">
        <f>B6778+30</f>
        <v/>
      </c>
      <c r="N6778">
        <f>IF(L6778="", "", L6778-B6778)</f>
        <v/>
      </c>
      <c r="O6778">
        <f>IF(L6778="", "Pending", IF(N6778&lt;=30, "Met", "Breached"))</f>
        <v/>
      </c>
      <c r="P6778" s="8" t="n"/>
      <c r="Q6778" s="8" t="n"/>
      <c r="R6778" s="8" t="n"/>
      <c r="S6778" s="8" t="n"/>
      <c r="T6778" s="8" t="n"/>
      <c r="U6778" s="8" t="n"/>
      <c r="V6778" s="8" t="n"/>
      <c r="W6778" s="8" t="n"/>
      <c r="X6778" s="8" t="n"/>
      <c r="Y6778" s="8" t="n"/>
    </row>
    <row r="6779">
      <c r="A6779" s="8" t="n"/>
      <c r="B6779" s="8" t="n"/>
      <c r="C6779" s="8" t="n"/>
      <c r="D6779" s="8" t="n"/>
      <c r="E6779" s="8" t="n"/>
      <c r="F6779" s="8" t="n"/>
      <c r="G6779" s="8" t="n"/>
      <c r="H6779" s="8" t="n"/>
      <c r="I6779" s="8" t="n"/>
      <c r="J6779" s="8" t="n"/>
      <c r="K6779" s="8" t="n"/>
      <c r="L6779" s="8" t="n"/>
      <c r="M6779" s="9">
        <f>B6779+30</f>
        <v/>
      </c>
      <c r="N6779">
        <f>IF(L6779="", "", L6779-B6779)</f>
        <v/>
      </c>
      <c r="O6779">
        <f>IF(L6779="", "Pending", IF(N6779&lt;=30, "Met", "Breached"))</f>
        <v/>
      </c>
      <c r="P6779" s="8" t="n"/>
      <c r="Q6779" s="8" t="n"/>
      <c r="R6779" s="8" t="n"/>
      <c r="S6779" s="8" t="n"/>
      <c r="T6779" s="8" t="n"/>
      <c r="U6779" s="8" t="n"/>
      <c r="V6779" s="8" t="n"/>
      <c r="W6779" s="8" t="n"/>
      <c r="X6779" s="8" t="n"/>
      <c r="Y6779" s="8" t="n"/>
    </row>
    <row r="6780">
      <c r="A6780" s="8" t="n"/>
      <c r="B6780" s="8" t="n"/>
      <c r="C6780" s="8" t="n"/>
      <c r="D6780" s="8" t="n"/>
      <c r="E6780" s="8" t="n"/>
      <c r="F6780" s="8" t="n"/>
      <c r="G6780" s="8" t="n"/>
      <c r="H6780" s="8" t="n"/>
      <c r="I6780" s="8" t="n"/>
      <c r="J6780" s="8" t="n"/>
      <c r="K6780" s="8" t="n"/>
      <c r="L6780" s="8" t="n"/>
      <c r="M6780" s="9">
        <f>B6780+30</f>
        <v/>
      </c>
      <c r="N6780">
        <f>IF(L6780="", "", L6780-B6780)</f>
        <v/>
      </c>
      <c r="O6780">
        <f>IF(L6780="", "Pending", IF(N6780&lt;=30, "Met", "Breached"))</f>
        <v/>
      </c>
      <c r="P6780" s="8" t="n"/>
      <c r="Q6780" s="8" t="n"/>
      <c r="R6780" s="8" t="n"/>
      <c r="S6780" s="8" t="n"/>
      <c r="T6780" s="8" t="n"/>
      <c r="U6780" s="8" t="n"/>
      <c r="V6780" s="8" t="n"/>
      <c r="W6780" s="8" t="n"/>
      <c r="X6780" s="8" t="n"/>
      <c r="Y6780" s="8" t="n"/>
    </row>
    <row r="6781">
      <c r="A6781" s="8" t="n"/>
      <c r="B6781" s="8" t="n"/>
      <c r="C6781" s="8" t="n"/>
      <c r="D6781" s="8" t="n"/>
      <c r="E6781" s="8" t="n"/>
      <c r="F6781" s="8" t="n"/>
      <c r="G6781" s="8" t="n"/>
      <c r="H6781" s="8" t="n"/>
      <c r="I6781" s="8" t="n"/>
      <c r="J6781" s="8" t="n"/>
      <c r="K6781" s="8" t="n"/>
      <c r="L6781" s="8" t="n"/>
      <c r="M6781" s="9">
        <f>B6781+30</f>
        <v/>
      </c>
      <c r="N6781">
        <f>IF(L6781="", "", L6781-B6781)</f>
        <v/>
      </c>
      <c r="O6781">
        <f>IF(L6781="", "Pending", IF(N6781&lt;=30, "Met", "Breached"))</f>
        <v/>
      </c>
      <c r="P6781" s="8" t="n"/>
      <c r="Q6781" s="8" t="n"/>
      <c r="R6781" s="8" t="n"/>
      <c r="S6781" s="8" t="n"/>
      <c r="T6781" s="8" t="n"/>
      <c r="U6781" s="8" t="n"/>
      <c r="V6781" s="8" t="n"/>
      <c r="W6781" s="8" t="n"/>
      <c r="X6781" s="8" t="n"/>
      <c r="Y6781" s="8" t="n"/>
    </row>
    <row r="6782">
      <c r="A6782" s="8" t="n"/>
      <c r="B6782" s="8" t="n"/>
      <c r="C6782" s="8" t="n"/>
      <c r="D6782" s="8" t="n"/>
      <c r="E6782" s="8" t="n"/>
      <c r="F6782" s="8" t="n"/>
      <c r="G6782" s="8" t="n"/>
      <c r="H6782" s="8" t="n"/>
      <c r="I6782" s="8" t="n"/>
      <c r="J6782" s="8" t="n"/>
      <c r="K6782" s="8" t="n"/>
      <c r="L6782" s="8" t="n"/>
      <c r="M6782" s="9">
        <f>B6782+30</f>
        <v/>
      </c>
      <c r="N6782">
        <f>IF(L6782="", "", L6782-B6782)</f>
        <v/>
      </c>
      <c r="O6782">
        <f>IF(L6782="", "Pending", IF(N6782&lt;=30, "Met", "Breached"))</f>
        <v/>
      </c>
      <c r="P6782" s="8" t="n"/>
      <c r="Q6782" s="8" t="n"/>
      <c r="R6782" s="8" t="n"/>
      <c r="S6782" s="8" t="n"/>
      <c r="T6782" s="8" t="n"/>
      <c r="U6782" s="8" t="n"/>
      <c r="V6782" s="8" t="n"/>
      <c r="W6782" s="8" t="n"/>
      <c r="X6782" s="8" t="n"/>
      <c r="Y6782" s="8" t="n"/>
    </row>
    <row r="6783">
      <c r="A6783" s="8" t="n"/>
      <c r="B6783" s="8" t="n"/>
      <c r="C6783" s="8" t="n"/>
      <c r="D6783" s="8" t="n"/>
      <c r="E6783" s="8" t="n"/>
      <c r="F6783" s="8" t="n"/>
      <c r="G6783" s="8" t="n"/>
      <c r="H6783" s="8" t="n"/>
      <c r="I6783" s="8" t="n"/>
      <c r="J6783" s="8" t="n"/>
      <c r="K6783" s="8" t="n"/>
      <c r="L6783" s="8" t="n"/>
      <c r="M6783" s="9">
        <f>B6783+30</f>
        <v/>
      </c>
      <c r="N6783">
        <f>IF(L6783="", "", L6783-B6783)</f>
        <v/>
      </c>
      <c r="O6783">
        <f>IF(L6783="", "Pending", IF(N6783&lt;=30, "Met", "Breached"))</f>
        <v/>
      </c>
      <c r="P6783" s="8" t="n"/>
      <c r="Q6783" s="8" t="n"/>
      <c r="R6783" s="8" t="n"/>
      <c r="S6783" s="8" t="n"/>
      <c r="T6783" s="8" t="n"/>
      <c r="U6783" s="8" t="n"/>
      <c r="V6783" s="8" t="n"/>
      <c r="W6783" s="8" t="n"/>
      <c r="X6783" s="8" t="n"/>
      <c r="Y6783" s="8" t="n"/>
    </row>
    <row r="6784">
      <c r="A6784" s="8" t="n"/>
      <c r="B6784" s="8" t="n"/>
      <c r="C6784" s="8" t="n"/>
      <c r="D6784" s="8" t="n"/>
      <c r="E6784" s="8" t="n"/>
      <c r="F6784" s="8" t="n"/>
      <c r="G6784" s="8" t="n"/>
      <c r="H6784" s="8" t="n"/>
      <c r="I6784" s="8" t="n"/>
      <c r="J6784" s="8" t="n"/>
      <c r="K6784" s="8" t="n"/>
      <c r="L6784" s="8" t="n"/>
      <c r="M6784" s="9">
        <f>B6784+30</f>
        <v/>
      </c>
      <c r="N6784">
        <f>IF(L6784="", "", L6784-B6784)</f>
        <v/>
      </c>
      <c r="O6784">
        <f>IF(L6784="", "Pending", IF(N6784&lt;=30, "Met", "Breached"))</f>
        <v/>
      </c>
      <c r="P6784" s="8" t="n"/>
      <c r="Q6784" s="8" t="n"/>
      <c r="R6784" s="8" t="n"/>
      <c r="S6784" s="8" t="n"/>
      <c r="T6784" s="8" t="n"/>
      <c r="U6784" s="8" t="n"/>
      <c r="V6784" s="8" t="n"/>
      <c r="W6784" s="8" t="n"/>
      <c r="X6784" s="8" t="n"/>
      <c r="Y6784" s="8" t="n"/>
    </row>
    <row r="6785">
      <c r="A6785" s="8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8" t="n"/>
      <c r="K6785" s="8" t="n"/>
      <c r="L6785" s="8" t="n"/>
      <c r="M6785" s="9">
        <f>B6785+30</f>
        <v/>
      </c>
      <c r="N6785">
        <f>IF(L6785="", "", L6785-B6785)</f>
        <v/>
      </c>
      <c r="O6785">
        <f>IF(L6785="", "Pending", IF(N6785&lt;=30, "Met", "Breached"))</f>
        <v/>
      </c>
      <c r="P6785" s="8" t="n"/>
      <c r="Q6785" s="8" t="n"/>
      <c r="R6785" s="8" t="n"/>
      <c r="S6785" s="8" t="n"/>
      <c r="T6785" s="8" t="n"/>
      <c r="U6785" s="8" t="n"/>
      <c r="V6785" s="8" t="n"/>
      <c r="W6785" s="8" t="n"/>
      <c r="X6785" s="8" t="n"/>
      <c r="Y6785" s="8" t="n"/>
    </row>
    <row r="6786">
      <c r="A6786" s="8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8" t="n"/>
      <c r="K6786" s="8" t="n"/>
      <c r="L6786" s="8" t="n"/>
      <c r="M6786" s="9">
        <f>B6786+30</f>
        <v/>
      </c>
      <c r="N6786">
        <f>IF(L6786="", "", L6786-B6786)</f>
        <v/>
      </c>
      <c r="O6786">
        <f>IF(L6786="", "Pending", IF(N6786&lt;=30, "Met", "Breached"))</f>
        <v/>
      </c>
      <c r="P6786" s="8" t="n"/>
      <c r="Q6786" s="8" t="n"/>
      <c r="R6786" s="8" t="n"/>
      <c r="S6786" s="8" t="n"/>
      <c r="T6786" s="8" t="n"/>
      <c r="U6786" s="8" t="n"/>
      <c r="V6786" s="8" t="n"/>
      <c r="W6786" s="8" t="n"/>
      <c r="X6786" s="8" t="n"/>
      <c r="Y6786" s="8" t="n"/>
    </row>
    <row r="6787">
      <c r="A6787" s="8" t="n"/>
      <c r="B6787" s="8" t="n"/>
      <c r="C6787" s="8" t="n"/>
      <c r="D6787" s="8" t="n"/>
      <c r="E6787" s="8" t="n"/>
      <c r="F6787" s="8" t="n"/>
      <c r="G6787" s="8" t="n"/>
      <c r="H6787" s="8" t="n"/>
      <c r="I6787" s="8" t="n"/>
      <c r="J6787" s="8" t="n"/>
      <c r="K6787" s="8" t="n"/>
      <c r="L6787" s="8" t="n"/>
      <c r="M6787" s="9">
        <f>B6787+30</f>
        <v/>
      </c>
      <c r="N6787">
        <f>IF(L6787="", "", L6787-B6787)</f>
        <v/>
      </c>
      <c r="O6787">
        <f>IF(L6787="", "Pending", IF(N6787&lt;=30, "Met", "Breached"))</f>
        <v/>
      </c>
      <c r="P6787" s="8" t="n"/>
      <c r="Q6787" s="8" t="n"/>
      <c r="R6787" s="8" t="n"/>
      <c r="S6787" s="8" t="n"/>
      <c r="T6787" s="8" t="n"/>
      <c r="U6787" s="8" t="n"/>
      <c r="V6787" s="8" t="n"/>
      <c r="W6787" s="8" t="n"/>
      <c r="X6787" s="8" t="n"/>
      <c r="Y6787" s="8" t="n"/>
    </row>
    <row r="6788">
      <c r="A6788" s="8" t="n"/>
      <c r="B6788" s="8" t="n"/>
      <c r="C6788" s="8" t="n"/>
      <c r="D6788" s="8" t="n"/>
      <c r="E6788" s="8" t="n"/>
      <c r="F6788" s="8" t="n"/>
      <c r="G6788" s="8" t="n"/>
      <c r="H6788" s="8" t="n"/>
      <c r="I6788" s="8" t="n"/>
      <c r="J6788" s="8" t="n"/>
      <c r="K6788" s="8" t="n"/>
      <c r="L6788" s="8" t="n"/>
      <c r="M6788" s="9">
        <f>B6788+30</f>
        <v/>
      </c>
      <c r="N6788">
        <f>IF(L6788="", "", L6788-B6788)</f>
        <v/>
      </c>
      <c r="O6788">
        <f>IF(L6788="", "Pending", IF(N6788&lt;=30, "Met", "Breached"))</f>
        <v/>
      </c>
      <c r="P6788" s="8" t="n"/>
      <c r="Q6788" s="8" t="n"/>
      <c r="R6788" s="8" t="n"/>
      <c r="S6788" s="8" t="n"/>
      <c r="T6788" s="8" t="n"/>
      <c r="U6788" s="8" t="n"/>
      <c r="V6788" s="8" t="n"/>
      <c r="W6788" s="8" t="n"/>
      <c r="X6788" s="8" t="n"/>
      <c r="Y6788" s="8" t="n"/>
    </row>
    <row r="6789">
      <c r="A6789" s="8" t="n"/>
      <c r="B6789" s="8" t="n"/>
      <c r="C6789" s="8" t="n"/>
      <c r="D6789" s="8" t="n"/>
      <c r="E6789" s="8" t="n"/>
      <c r="F6789" s="8" t="n"/>
      <c r="G6789" s="8" t="n"/>
      <c r="H6789" s="8" t="n"/>
      <c r="I6789" s="8" t="n"/>
      <c r="J6789" s="8" t="n"/>
      <c r="K6789" s="8" t="n"/>
      <c r="L6789" s="8" t="n"/>
      <c r="M6789" s="9">
        <f>B6789+30</f>
        <v/>
      </c>
      <c r="N6789">
        <f>IF(L6789="", "", L6789-B6789)</f>
        <v/>
      </c>
      <c r="O6789">
        <f>IF(L6789="", "Pending", IF(N6789&lt;=30, "Met", "Breached"))</f>
        <v/>
      </c>
      <c r="P6789" s="8" t="n"/>
      <c r="Q6789" s="8" t="n"/>
      <c r="R6789" s="8" t="n"/>
      <c r="S6789" s="8" t="n"/>
      <c r="T6789" s="8" t="n"/>
      <c r="U6789" s="8" t="n"/>
      <c r="V6789" s="8" t="n"/>
      <c r="W6789" s="8" t="n"/>
      <c r="X6789" s="8" t="n"/>
      <c r="Y6789" s="8" t="n"/>
    </row>
    <row r="6790">
      <c r="A6790" s="8" t="n"/>
      <c r="B6790" s="8" t="n"/>
      <c r="C6790" s="8" t="n"/>
      <c r="D6790" s="8" t="n"/>
      <c r="E6790" s="8" t="n"/>
      <c r="F6790" s="8" t="n"/>
      <c r="G6790" s="8" t="n"/>
      <c r="H6790" s="8" t="n"/>
      <c r="I6790" s="8" t="n"/>
      <c r="J6790" s="8" t="n"/>
      <c r="K6790" s="8" t="n"/>
      <c r="L6790" s="8" t="n"/>
      <c r="M6790" s="9">
        <f>B6790+30</f>
        <v/>
      </c>
      <c r="N6790">
        <f>IF(L6790="", "", L6790-B6790)</f>
        <v/>
      </c>
      <c r="O6790">
        <f>IF(L6790="", "Pending", IF(N6790&lt;=30, "Met", "Breached"))</f>
        <v/>
      </c>
      <c r="P6790" s="8" t="n"/>
      <c r="Q6790" s="8" t="n"/>
      <c r="R6790" s="8" t="n"/>
      <c r="S6790" s="8" t="n"/>
      <c r="T6790" s="8" t="n"/>
      <c r="U6790" s="8" t="n"/>
      <c r="V6790" s="8" t="n"/>
      <c r="W6790" s="8" t="n"/>
      <c r="X6790" s="8" t="n"/>
      <c r="Y6790" s="8" t="n"/>
    </row>
    <row r="6791">
      <c r="A6791" s="8" t="n"/>
      <c r="B6791" s="8" t="n"/>
      <c r="C6791" s="8" t="n"/>
      <c r="D6791" s="8" t="n"/>
      <c r="E6791" s="8" t="n"/>
      <c r="F6791" s="8" t="n"/>
      <c r="G6791" s="8" t="n"/>
      <c r="H6791" s="8" t="n"/>
      <c r="I6791" s="8" t="n"/>
      <c r="J6791" s="8" t="n"/>
      <c r="K6791" s="8" t="n"/>
      <c r="L6791" s="8" t="n"/>
      <c r="M6791" s="9">
        <f>B6791+30</f>
        <v/>
      </c>
      <c r="N6791">
        <f>IF(L6791="", "", L6791-B6791)</f>
        <v/>
      </c>
      <c r="O6791">
        <f>IF(L6791="", "Pending", IF(N6791&lt;=30, "Met", "Breached"))</f>
        <v/>
      </c>
      <c r="P6791" s="8" t="n"/>
      <c r="Q6791" s="8" t="n"/>
      <c r="R6791" s="8" t="n"/>
      <c r="S6791" s="8" t="n"/>
      <c r="T6791" s="8" t="n"/>
      <c r="U6791" s="8" t="n"/>
      <c r="V6791" s="8" t="n"/>
      <c r="W6791" s="8" t="n"/>
      <c r="X6791" s="8" t="n"/>
      <c r="Y6791" s="8" t="n"/>
    </row>
    <row r="6792">
      <c r="A6792" s="8" t="n"/>
      <c r="B6792" s="8" t="n"/>
      <c r="C6792" s="8" t="n"/>
      <c r="D6792" s="8" t="n"/>
      <c r="E6792" s="8" t="n"/>
      <c r="F6792" s="8" t="n"/>
      <c r="G6792" s="8" t="n"/>
      <c r="H6792" s="8" t="n"/>
      <c r="I6792" s="8" t="n"/>
      <c r="J6792" s="8" t="n"/>
      <c r="K6792" s="8" t="n"/>
      <c r="L6792" s="8" t="n"/>
      <c r="M6792" s="9">
        <f>B6792+30</f>
        <v/>
      </c>
      <c r="N6792">
        <f>IF(L6792="", "", L6792-B6792)</f>
        <v/>
      </c>
      <c r="O6792">
        <f>IF(L6792="", "Pending", IF(N6792&lt;=30, "Met", "Breached"))</f>
        <v/>
      </c>
      <c r="P6792" s="8" t="n"/>
      <c r="Q6792" s="8" t="n"/>
      <c r="R6792" s="8" t="n"/>
      <c r="S6792" s="8" t="n"/>
      <c r="T6792" s="8" t="n"/>
      <c r="U6792" s="8" t="n"/>
      <c r="V6792" s="8" t="n"/>
      <c r="W6792" s="8" t="n"/>
      <c r="X6792" s="8" t="n"/>
      <c r="Y6792" s="8" t="n"/>
    </row>
    <row r="6793">
      <c r="A6793" s="8" t="n"/>
      <c r="B6793" s="8" t="n"/>
      <c r="C6793" s="8" t="n"/>
      <c r="D6793" s="8" t="n"/>
      <c r="E6793" s="8" t="n"/>
      <c r="F6793" s="8" t="n"/>
      <c r="G6793" s="8" t="n"/>
      <c r="H6793" s="8" t="n"/>
      <c r="I6793" s="8" t="n"/>
      <c r="J6793" s="8" t="n"/>
      <c r="K6793" s="8" t="n"/>
      <c r="L6793" s="8" t="n"/>
      <c r="M6793" s="9">
        <f>B6793+30</f>
        <v/>
      </c>
      <c r="N6793">
        <f>IF(L6793="", "", L6793-B6793)</f>
        <v/>
      </c>
      <c r="O6793">
        <f>IF(L6793="", "Pending", IF(N6793&lt;=30, "Met", "Breached"))</f>
        <v/>
      </c>
      <c r="P6793" s="8" t="n"/>
      <c r="Q6793" s="8" t="n"/>
      <c r="R6793" s="8" t="n"/>
      <c r="S6793" s="8" t="n"/>
      <c r="T6793" s="8" t="n"/>
      <c r="U6793" s="8" t="n"/>
      <c r="V6793" s="8" t="n"/>
      <c r="W6793" s="8" t="n"/>
      <c r="X6793" s="8" t="n"/>
      <c r="Y6793" s="8" t="n"/>
    </row>
    <row r="6794">
      <c r="A6794" s="8" t="n"/>
      <c r="B6794" s="8" t="n"/>
      <c r="C6794" s="8" t="n"/>
      <c r="D6794" s="8" t="n"/>
      <c r="E6794" s="8" t="n"/>
      <c r="F6794" s="8" t="n"/>
      <c r="G6794" s="8" t="n"/>
      <c r="H6794" s="8" t="n"/>
      <c r="I6794" s="8" t="n"/>
      <c r="J6794" s="8" t="n"/>
      <c r="K6794" s="8" t="n"/>
      <c r="L6794" s="8" t="n"/>
      <c r="M6794" s="9">
        <f>B6794+30</f>
        <v/>
      </c>
      <c r="N6794">
        <f>IF(L6794="", "", L6794-B6794)</f>
        <v/>
      </c>
      <c r="O6794">
        <f>IF(L6794="", "Pending", IF(N6794&lt;=30, "Met", "Breached"))</f>
        <v/>
      </c>
      <c r="P6794" s="8" t="n"/>
      <c r="Q6794" s="8" t="n"/>
      <c r="R6794" s="8" t="n"/>
      <c r="S6794" s="8" t="n"/>
      <c r="T6794" s="8" t="n"/>
      <c r="U6794" s="8" t="n"/>
      <c r="V6794" s="8" t="n"/>
      <c r="W6794" s="8" t="n"/>
      <c r="X6794" s="8" t="n"/>
      <c r="Y6794" s="8" t="n"/>
    </row>
    <row r="6795">
      <c r="A6795" s="8" t="n"/>
      <c r="B6795" s="8" t="n"/>
      <c r="C6795" s="8" t="n"/>
      <c r="D6795" s="8" t="n"/>
      <c r="E6795" s="8" t="n"/>
      <c r="F6795" s="8" t="n"/>
      <c r="G6795" s="8" t="n"/>
      <c r="H6795" s="8" t="n"/>
      <c r="I6795" s="8" t="n"/>
      <c r="J6795" s="8" t="n"/>
      <c r="K6795" s="8" t="n"/>
      <c r="L6795" s="8" t="n"/>
      <c r="M6795" s="9">
        <f>B6795+30</f>
        <v/>
      </c>
      <c r="N6795">
        <f>IF(L6795="", "", L6795-B6795)</f>
        <v/>
      </c>
      <c r="O6795">
        <f>IF(L6795="", "Pending", IF(N6795&lt;=30, "Met", "Breached"))</f>
        <v/>
      </c>
      <c r="P6795" s="8" t="n"/>
      <c r="Q6795" s="8" t="n"/>
      <c r="R6795" s="8" t="n"/>
      <c r="S6795" s="8" t="n"/>
      <c r="T6795" s="8" t="n"/>
      <c r="U6795" s="8" t="n"/>
      <c r="V6795" s="8" t="n"/>
      <c r="W6795" s="8" t="n"/>
      <c r="X6795" s="8" t="n"/>
      <c r="Y6795" s="8" t="n"/>
    </row>
    <row r="6796">
      <c r="A6796" s="8" t="n"/>
      <c r="B6796" s="8" t="n"/>
      <c r="C6796" s="8" t="n"/>
      <c r="D6796" s="8" t="n"/>
      <c r="E6796" s="8" t="n"/>
      <c r="F6796" s="8" t="n"/>
      <c r="G6796" s="8" t="n"/>
      <c r="H6796" s="8" t="n"/>
      <c r="I6796" s="8" t="n"/>
      <c r="J6796" s="8" t="n"/>
      <c r="K6796" s="8" t="n"/>
      <c r="L6796" s="8" t="n"/>
      <c r="M6796" s="9">
        <f>B6796+30</f>
        <v/>
      </c>
      <c r="N6796">
        <f>IF(L6796="", "", L6796-B6796)</f>
        <v/>
      </c>
      <c r="O6796">
        <f>IF(L6796="", "Pending", IF(N6796&lt;=30, "Met", "Breached"))</f>
        <v/>
      </c>
      <c r="P6796" s="8" t="n"/>
      <c r="Q6796" s="8" t="n"/>
      <c r="R6796" s="8" t="n"/>
      <c r="S6796" s="8" t="n"/>
      <c r="T6796" s="8" t="n"/>
      <c r="U6796" s="8" t="n"/>
      <c r="V6796" s="8" t="n"/>
      <c r="W6796" s="8" t="n"/>
      <c r="X6796" s="8" t="n"/>
      <c r="Y6796" s="8" t="n"/>
    </row>
    <row r="6797">
      <c r="A6797" s="8" t="n"/>
      <c r="B6797" s="8" t="n"/>
      <c r="C6797" s="8" t="n"/>
      <c r="D6797" s="8" t="n"/>
      <c r="E6797" s="8" t="n"/>
      <c r="F6797" s="8" t="n"/>
      <c r="G6797" s="8" t="n"/>
      <c r="H6797" s="8" t="n"/>
      <c r="I6797" s="8" t="n"/>
      <c r="J6797" s="8" t="n"/>
      <c r="K6797" s="8" t="n"/>
      <c r="L6797" s="8" t="n"/>
      <c r="M6797" s="9">
        <f>B6797+30</f>
        <v/>
      </c>
      <c r="N6797">
        <f>IF(L6797="", "", L6797-B6797)</f>
        <v/>
      </c>
      <c r="O6797">
        <f>IF(L6797="", "Pending", IF(N6797&lt;=30, "Met", "Breached"))</f>
        <v/>
      </c>
      <c r="P6797" s="8" t="n"/>
      <c r="Q6797" s="8" t="n"/>
      <c r="R6797" s="8" t="n"/>
      <c r="S6797" s="8" t="n"/>
      <c r="T6797" s="8" t="n"/>
      <c r="U6797" s="8" t="n"/>
      <c r="V6797" s="8" t="n"/>
      <c r="W6797" s="8" t="n"/>
      <c r="X6797" s="8" t="n"/>
      <c r="Y6797" s="8" t="n"/>
    </row>
    <row r="6798">
      <c r="A6798" s="8" t="n"/>
      <c r="B6798" s="8" t="n"/>
      <c r="C6798" s="8" t="n"/>
      <c r="D6798" s="8" t="n"/>
      <c r="E6798" s="8" t="n"/>
      <c r="F6798" s="8" t="n"/>
      <c r="G6798" s="8" t="n"/>
      <c r="H6798" s="8" t="n"/>
      <c r="I6798" s="8" t="n"/>
      <c r="J6798" s="8" t="n"/>
      <c r="K6798" s="8" t="n"/>
      <c r="L6798" s="8" t="n"/>
      <c r="M6798" s="9">
        <f>B6798+30</f>
        <v/>
      </c>
      <c r="N6798">
        <f>IF(L6798="", "", L6798-B6798)</f>
        <v/>
      </c>
      <c r="O6798">
        <f>IF(L6798="", "Pending", IF(N6798&lt;=30, "Met", "Breached"))</f>
        <v/>
      </c>
      <c r="P6798" s="8" t="n"/>
      <c r="Q6798" s="8" t="n"/>
      <c r="R6798" s="8" t="n"/>
      <c r="S6798" s="8" t="n"/>
      <c r="T6798" s="8" t="n"/>
      <c r="U6798" s="8" t="n"/>
      <c r="V6798" s="8" t="n"/>
      <c r="W6798" s="8" t="n"/>
      <c r="X6798" s="8" t="n"/>
      <c r="Y6798" s="8" t="n"/>
    </row>
    <row r="6799">
      <c r="A6799" s="8" t="n"/>
      <c r="B6799" s="8" t="n"/>
      <c r="C6799" s="8" t="n"/>
      <c r="D6799" s="8" t="n"/>
      <c r="E6799" s="8" t="n"/>
      <c r="F6799" s="8" t="n"/>
      <c r="G6799" s="8" t="n"/>
      <c r="H6799" s="8" t="n"/>
      <c r="I6799" s="8" t="n"/>
      <c r="J6799" s="8" t="n"/>
      <c r="K6799" s="8" t="n"/>
      <c r="L6799" s="8" t="n"/>
      <c r="M6799" s="9">
        <f>B6799+30</f>
        <v/>
      </c>
      <c r="N6799">
        <f>IF(L6799="", "", L6799-B6799)</f>
        <v/>
      </c>
      <c r="O6799">
        <f>IF(L6799="", "Pending", IF(N6799&lt;=30, "Met", "Breached"))</f>
        <v/>
      </c>
      <c r="P6799" s="8" t="n"/>
      <c r="Q6799" s="8" t="n"/>
      <c r="R6799" s="8" t="n"/>
      <c r="S6799" s="8" t="n"/>
      <c r="T6799" s="8" t="n"/>
      <c r="U6799" s="8" t="n"/>
      <c r="V6799" s="8" t="n"/>
      <c r="W6799" s="8" t="n"/>
      <c r="X6799" s="8" t="n"/>
      <c r="Y6799" s="8" t="n"/>
    </row>
    <row r="6800">
      <c r="A6800" s="8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8" t="n"/>
      <c r="K6800" s="8" t="n"/>
      <c r="L6800" s="8" t="n"/>
      <c r="M6800" s="9">
        <f>B6800+30</f>
        <v/>
      </c>
      <c r="N6800">
        <f>IF(L6800="", "", L6800-B6800)</f>
        <v/>
      </c>
      <c r="O6800">
        <f>IF(L6800="", "Pending", IF(N6800&lt;=30, "Met", "Breached"))</f>
        <v/>
      </c>
      <c r="P6800" s="8" t="n"/>
      <c r="Q6800" s="8" t="n"/>
      <c r="R6800" s="8" t="n"/>
      <c r="S6800" s="8" t="n"/>
      <c r="T6800" s="8" t="n"/>
      <c r="U6800" s="8" t="n"/>
      <c r="V6800" s="8" t="n"/>
      <c r="W6800" s="8" t="n"/>
      <c r="X6800" s="8" t="n"/>
      <c r="Y6800" s="8" t="n"/>
    </row>
    <row r="6801">
      <c r="A6801" s="8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8" t="n"/>
      <c r="K6801" s="8" t="n"/>
      <c r="L6801" s="8" t="n"/>
      <c r="M6801" s="9">
        <f>B6801+30</f>
        <v/>
      </c>
      <c r="N6801">
        <f>IF(L6801="", "", L6801-B6801)</f>
        <v/>
      </c>
      <c r="O6801">
        <f>IF(L6801="", "Pending", IF(N6801&lt;=30, "Met", "Breached"))</f>
        <v/>
      </c>
      <c r="P6801" s="8" t="n"/>
      <c r="Q6801" s="8" t="n"/>
      <c r="R6801" s="8" t="n"/>
      <c r="S6801" s="8" t="n"/>
      <c r="T6801" s="8" t="n"/>
      <c r="U6801" s="8" t="n"/>
      <c r="V6801" s="8" t="n"/>
      <c r="W6801" s="8" t="n"/>
      <c r="X6801" s="8" t="n"/>
      <c r="Y6801" s="8" t="n"/>
    </row>
    <row r="6802">
      <c r="A6802" s="8" t="n"/>
      <c r="B6802" s="8" t="n"/>
      <c r="C6802" s="8" t="n"/>
      <c r="D6802" s="8" t="n"/>
      <c r="E6802" s="8" t="n"/>
      <c r="F6802" s="8" t="n"/>
      <c r="G6802" s="8" t="n"/>
      <c r="H6802" s="8" t="n"/>
      <c r="I6802" s="8" t="n"/>
      <c r="J6802" s="8" t="n"/>
      <c r="K6802" s="8" t="n"/>
      <c r="L6802" s="8" t="n"/>
      <c r="M6802" s="9">
        <f>B6802+30</f>
        <v/>
      </c>
      <c r="N6802">
        <f>IF(L6802="", "", L6802-B6802)</f>
        <v/>
      </c>
      <c r="O6802">
        <f>IF(L6802="", "Pending", IF(N6802&lt;=30, "Met", "Breached"))</f>
        <v/>
      </c>
      <c r="P6802" s="8" t="n"/>
      <c r="Q6802" s="8" t="n"/>
      <c r="R6802" s="8" t="n"/>
      <c r="S6802" s="8" t="n"/>
      <c r="T6802" s="8" t="n"/>
      <c r="U6802" s="8" t="n"/>
      <c r="V6802" s="8" t="n"/>
      <c r="W6802" s="8" t="n"/>
      <c r="X6802" s="8" t="n"/>
      <c r="Y6802" s="8" t="n"/>
    </row>
    <row r="6803">
      <c r="A6803" s="8" t="n"/>
      <c r="B6803" s="8" t="n"/>
      <c r="C6803" s="8" t="n"/>
      <c r="D6803" s="8" t="n"/>
      <c r="E6803" s="8" t="n"/>
      <c r="F6803" s="8" t="n"/>
      <c r="G6803" s="8" t="n"/>
      <c r="H6803" s="8" t="n"/>
      <c r="I6803" s="8" t="n"/>
      <c r="J6803" s="8" t="n"/>
      <c r="K6803" s="8" t="n"/>
      <c r="L6803" s="8" t="n"/>
      <c r="M6803" s="9">
        <f>B6803+30</f>
        <v/>
      </c>
      <c r="N6803">
        <f>IF(L6803="", "", L6803-B6803)</f>
        <v/>
      </c>
      <c r="O6803">
        <f>IF(L6803="", "Pending", IF(N6803&lt;=30, "Met", "Breached"))</f>
        <v/>
      </c>
      <c r="P6803" s="8" t="n"/>
      <c r="Q6803" s="8" t="n"/>
      <c r="R6803" s="8" t="n"/>
      <c r="S6803" s="8" t="n"/>
      <c r="T6803" s="8" t="n"/>
      <c r="U6803" s="8" t="n"/>
      <c r="V6803" s="8" t="n"/>
      <c r="W6803" s="8" t="n"/>
      <c r="X6803" s="8" t="n"/>
      <c r="Y6803" s="8" t="n"/>
    </row>
    <row r="6804">
      <c r="A6804" s="8" t="n"/>
      <c r="B6804" s="8" t="n"/>
      <c r="C6804" s="8" t="n"/>
      <c r="D6804" s="8" t="n"/>
      <c r="E6804" s="8" t="n"/>
      <c r="F6804" s="8" t="n"/>
      <c r="G6804" s="8" t="n"/>
      <c r="H6804" s="8" t="n"/>
      <c r="I6804" s="8" t="n"/>
      <c r="J6804" s="8" t="n"/>
      <c r="K6804" s="8" t="n"/>
      <c r="L6804" s="8" t="n"/>
      <c r="M6804" s="9">
        <f>B6804+30</f>
        <v/>
      </c>
      <c r="N6804">
        <f>IF(L6804="", "", L6804-B6804)</f>
        <v/>
      </c>
      <c r="O6804">
        <f>IF(L6804="", "Pending", IF(N6804&lt;=30, "Met", "Breached"))</f>
        <v/>
      </c>
      <c r="P6804" s="8" t="n"/>
      <c r="Q6804" s="8" t="n"/>
      <c r="R6804" s="8" t="n"/>
      <c r="S6804" s="8" t="n"/>
      <c r="T6804" s="8" t="n"/>
      <c r="U6804" s="8" t="n"/>
      <c r="V6804" s="8" t="n"/>
      <c r="W6804" s="8" t="n"/>
      <c r="X6804" s="8" t="n"/>
      <c r="Y6804" s="8" t="n"/>
    </row>
    <row r="6805">
      <c r="A6805" s="8" t="n"/>
      <c r="B6805" s="8" t="n"/>
      <c r="C6805" s="8" t="n"/>
      <c r="D6805" s="8" t="n"/>
      <c r="E6805" s="8" t="n"/>
      <c r="F6805" s="8" t="n"/>
      <c r="G6805" s="8" t="n"/>
      <c r="H6805" s="8" t="n"/>
      <c r="I6805" s="8" t="n"/>
      <c r="J6805" s="8" t="n"/>
      <c r="K6805" s="8" t="n"/>
      <c r="L6805" s="8" t="n"/>
      <c r="M6805" s="9">
        <f>B6805+30</f>
        <v/>
      </c>
      <c r="N6805">
        <f>IF(L6805="", "", L6805-B6805)</f>
        <v/>
      </c>
      <c r="O6805">
        <f>IF(L6805="", "Pending", IF(N6805&lt;=30, "Met", "Breached"))</f>
        <v/>
      </c>
      <c r="P6805" s="8" t="n"/>
      <c r="Q6805" s="8" t="n"/>
      <c r="R6805" s="8" t="n"/>
      <c r="S6805" s="8" t="n"/>
      <c r="T6805" s="8" t="n"/>
      <c r="U6805" s="8" t="n"/>
      <c r="V6805" s="8" t="n"/>
      <c r="W6805" s="8" t="n"/>
      <c r="X6805" s="8" t="n"/>
      <c r="Y6805" s="8" t="n"/>
    </row>
    <row r="6806">
      <c r="A6806" s="8" t="n"/>
      <c r="B6806" s="8" t="n"/>
      <c r="C6806" s="8" t="n"/>
      <c r="D6806" s="8" t="n"/>
      <c r="E6806" s="8" t="n"/>
      <c r="F6806" s="8" t="n"/>
      <c r="G6806" s="8" t="n"/>
      <c r="H6806" s="8" t="n"/>
      <c r="I6806" s="8" t="n"/>
      <c r="J6806" s="8" t="n"/>
      <c r="K6806" s="8" t="n"/>
      <c r="L6806" s="8" t="n"/>
      <c r="M6806" s="9">
        <f>B6806+30</f>
        <v/>
      </c>
      <c r="N6806">
        <f>IF(L6806="", "", L6806-B6806)</f>
        <v/>
      </c>
      <c r="O6806">
        <f>IF(L6806="", "Pending", IF(N6806&lt;=30, "Met", "Breached"))</f>
        <v/>
      </c>
      <c r="P6806" s="8" t="n"/>
      <c r="Q6806" s="8" t="n"/>
      <c r="R6806" s="8" t="n"/>
      <c r="S6806" s="8" t="n"/>
      <c r="T6806" s="8" t="n"/>
      <c r="U6806" s="8" t="n"/>
      <c r="V6806" s="8" t="n"/>
      <c r="W6806" s="8" t="n"/>
      <c r="X6806" s="8" t="n"/>
      <c r="Y6806" s="8" t="n"/>
    </row>
    <row r="6807">
      <c r="A6807" s="8" t="n"/>
      <c r="B6807" s="8" t="n"/>
      <c r="C6807" s="8" t="n"/>
      <c r="D6807" s="8" t="n"/>
      <c r="E6807" s="8" t="n"/>
      <c r="F6807" s="8" t="n"/>
      <c r="G6807" s="8" t="n"/>
      <c r="H6807" s="8" t="n"/>
      <c r="I6807" s="8" t="n"/>
      <c r="J6807" s="8" t="n"/>
      <c r="K6807" s="8" t="n"/>
      <c r="L6807" s="8" t="n"/>
      <c r="M6807" s="9">
        <f>B6807+30</f>
        <v/>
      </c>
      <c r="N6807">
        <f>IF(L6807="", "", L6807-B6807)</f>
        <v/>
      </c>
      <c r="O6807">
        <f>IF(L6807="", "Pending", IF(N6807&lt;=30, "Met", "Breached"))</f>
        <v/>
      </c>
      <c r="P6807" s="8" t="n"/>
      <c r="Q6807" s="8" t="n"/>
      <c r="R6807" s="8" t="n"/>
      <c r="S6807" s="8" t="n"/>
      <c r="T6807" s="8" t="n"/>
      <c r="U6807" s="8" t="n"/>
      <c r="V6807" s="8" t="n"/>
      <c r="W6807" s="8" t="n"/>
      <c r="X6807" s="8" t="n"/>
      <c r="Y6807" s="8" t="n"/>
    </row>
    <row r="6808">
      <c r="A6808" s="8" t="n"/>
      <c r="B6808" s="8" t="n"/>
      <c r="C6808" s="8" t="n"/>
      <c r="D6808" s="8" t="n"/>
      <c r="E6808" s="8" t="n"/>
      <c r="F6808" s="8" t="n"/>
      <c r="G6808" s="8" t="n"/>
      <c r="H6808" s="8" t="n"/>
      <c r="I6808" s="8" t="n"/>
      <c r="J6808" s="8" t="n"/>
      <c r="K6808" s="8" t="n"/>
      <c r="L6808" s="8" t="n"/>
      <c r="M6808" s="9">
        <f>B6808+30</f>
        <v/>
      </c>
      <c r="N6808">
        <f>IF(L6808="", "", L6808-B6808)</f>
        <v/>
      </c>
      <c r="O6808">
        <f>IF(L6808="", "Pending", IF(N6808&lt;=30, "Met", "Breached"))</f>
        <v/>
      </c>
      <c r="P6808" s="8" t="n"/>
      <c r="Q6808" s="8" t="n"/>
      <c r="R6808" s="8" t="n"/>
      <c r="S6808" s="8" t="n"/>
      <c r="T6808" s="8" t="n"/>
      <c r="U6808" s="8" t="n"/>
      <c r="V6808" s="8" t="n"/>
      <c r="W6808" s="8" t="n"/>
      <c r="X6808" s="8" t="n"/>
      <c r="Y6808" s="8" t="n"/>
    </row>
    <row r="6809">
      <c r="A6809" s="8" t="n"/>
      <c r="B6809" s="8" t="n"/>
      <c r="C6809" s="8" t="n"/>
      <c r="D6809" s="8" t="n"/>
      <c r="E6809" s="8" t="n"/>
      <c r="F6809" s="8" t="n"/>
      <c r="G6809" s="8" t="n"/>
      <c r="H6809" s="8" t="n"/>
      <c r="I6809" s="8" t="n"/>
      <c r="J6809" s="8" t="n"/>
      <c r="K6809" s="8" t="n"/>
      <c r="L6809" s="8" t="n"/>
      <c r="M6809" s="9">
        <f>B6809+30</f>
        <v/>
      </c>
      <c r="N6809">
        <f>IF(L6809="", "", L6809-B6809)</f>
        <v/>
      </c>
      <c r="O6809">
        <f>IF(L6809="", "Pending", IF(N6809&lt;=30, "Met", "Breached"))</f>
        <v/>
      </c>
      <c r="P6809" s="8" t="n"/>
      <c r="Q6809" s="8" t="n"/>
      <c r="R6809" s="8" t="n"/>
      <c r="S6809" s="8" t="n"/>
      <c r="T6809" s="8" t="n"/>
      <c r="U6809" s="8" t="n"/>
      <c r="V6809" s="8" t="n"/>
      <c r="W6809" s="8" t="n"/>
      <c r="X6809" s="8" t="n"/>
      <c r="Y6809" s="8" t="n"/>
    </row>
    <row r="6810">
      <c r="A6810" s="8" t="n"/>
      <c r="B6810" s="8" t="n"/>
      <c r="C6810" s="8" t="n"/>
      <c r="D6810" s="8" t="n"/>
      <c r="E6810" s="8" t="n"/>
      <c r="F6810" s="8" t="n"/>
      <c r="G6810" s="8" t="n"/>
      <c r="H6810" s="8" t="n"/>
      <c r="I6810" s="8" t="n"/>
      <c r="J6810" s="8" t="n"/>
      <c r="K6810" s="8" t="n"/>
      <c r="L6810" s="8" t="n"/>
      <c r="M6810" s="9">
        <f>B6810+30</f>
        <v/>
      </c>
      <c r="N6810">
        <f>IF(L6810="", "", L6810-B6810)</f>
        <v/>
      </c>
      <c r="O6810">
        <f>IF(L6810="", "Pending", IF(N6810&lt;=30, "Met", "Breached"))</f>
        <v/>
      </c>
      <c r="P6810" s="8" t="n"/>
      <c r="Q6810" s="8" t="n"/>
      <c r="R6810" s="8" t="n"/>
      <c r="S6810" s="8" t="n"/>
      <c r="T6810" s="8" t="n"/>
      <c r="U6810" s="8" t="n"/>
      <c r="V6810" s="8" t="n"/>
      <c r="W6810" s="8" t="n"/>
      <c r="X6810" s="8" t="n"/>
      <c r="Y6810" s="8" t="n"/>
    </row>
    <row r="6811">
      <c r="A6811" s="8" t="n"/>
      <c r="B6811" s="8" t="n"/>
      <c r="C6811" s="8" t="n"/>
      <c r="D6811" s="8" t="n"/>
      <c r="E6811" s="8" t="n"/>
      <c r="F6811" s="8" t="n"/>
      <c r="G6811" s="8" t="n"/>
      <c r="H6811" s="8" t="n"/>
      <c r="I6811" s="8" t="n"/>
      <c r="J6811" s="8" t="n"/>
      <c r="K6811" s="8" t="n"/>
      <c r="L6811" s="8" t="n"/>
      <c r="M6811" s="9">
        <f>B6811+30</f>
        <v/>
      </c>
      <c r="N6811">
        <f>IF(L6811="", "", L6811-B6811)</f>
        <v/>
      </c>
      <c r="O6811">
        <f>IF(L6811="", "Pending", IF(N6811&lt;=30, "Met", "Breached"))</f>
        <v/>
      </c>
      <c r="P6811" s="8" t="n"/>
      <c r="Q6811" s="8" t="n"/>
      <c r="R6811" s="8" t="n"/>
      <c r="S6811" s="8" t="n"/>
      <c r="T6811" s="8" t="n"/>
      <c r="U6811" s="8" t="n"/>
      <c r="V6811" s="8" t="n"/>
      <c r="W6811" s="8" t="n"/>
      <c r="X6811" s="8" t="n"/>
      <c r="Y6811" s="8" t="n"/>
    </row>
    <row r="6812">
      <c r="A6812" s="8" t="n"/>
      <c r="B6812" s="8" t="n"/>
      <c r="C6812" s="8" t="n"/>
      <c r="D6812" s="8" t="n"/>
      <c r="E6812" s="8" t="n"/>
      <c r="F6812" s="8" t="n"/>
      <c r="G6812" s="8" t="n"/>
      <c r="H6812" s="8" t="n"/>
      <c r="I6812" s="8" t="n"/>
      <c r="J6812" s="8" t="n"/>
      <c r="K6812" s="8" t="n"/>
      <c r="L6812" s="8" t="n"/>
      <c r="M6812" s="9">
        <f>B6812+30</f>
        <v/>
      </c>
      <c r="N6812">
        <f>IF(L6812="", "", L6812-B6812)</f>
        <v/>
      </c>
      <c r="O6812">
        <f>IF(L6812="", "Pending", IF(N6812&lt;=30, "Met", "Breached"))</f>
        <v/>
      </c>
      <c r="P6812" s="8" t="n"/>
      <c r="Q6812" s="8" t="n"/>
      <c r="R6812" s="8" t="n"/>
      <c r="S6812" s="8" t="n"/>
      <c r="T6812" s="8" t="n"/>
      <c r="U6812" s="8" t="n"/>
      <c r="V6812" s="8" t="n"/>
      <c r="W6812" s="8" t="n"/>
      <c r="X6812" s="8" t="n"/>
      <c r="Y6812" s="8" t="n"/>
    </row>
    <row r="6813">
      <c r="A6813" s="8" t="n"/>
      <c r="B6813" s="8" t="n"/>
      <c r="C6813" s="8" t="n"/>
      <c r="D6813" s="8" t="n"/>
      <c r="E6813" s="8" t="n"/>
      <c r="F6813" s="8" t="n"/>
      <c r="G6813" s="8" t="n"/>
      <c r="H6813" s="8" t="n"/>
      <c r="I6813" s="8" t="n"/>
      <c r="J6813" s="8" t="n"/>
      <c r="K6813" s="8" t="n"/>
      <c r="L6813" s="8" t="n"/>
      <c r="M6813" s="9">
        <f>B6813+30</f>
        <v/>
      </c>
      <c r="N6813">
        <f>IF(L6813="", "", L6813-B6813)</f>
        <v/>
      </c>
      <c r="O6813">
        <f>IF(L6813="", "Pending", IF(N6813&lt;=30, "Met", "Breached"))</f>
        <v/>
      </c>
      <c r="P6813" s="8" t="n"/>
      <c r="Q6813" s="8" t="n"/>
      <c r="R6813" s="8" t="n"/>
      <c r="S6813" s="8" t="n"/>
      <c r="T6813" s="8" t="n"/>
      <c r="U6813" s="8" t="n"/>
      <c r="V6813" s="8" t="n"/>
      <c r="W6813" s="8" t="n"/>
      <c r="X6813" s="8" t="n"/>
      <c r="Y6813" s="8" t="n"/>
    </row>
    <row r="6814">
      <c r="A6814" s="8" t="n"/>
      <c r="B6814" s="8" t="n"/>
      <c r="C6814" s="8" t="n"/>
      <c r="D6814" s="8" t="n"/>
      <c r="E6814" s="8" t="n"/>
      <c r="F6814" s="8" t="n"/>
      <c r="G6814" s="8" t="n"/>
      <c r="H6814" s="8" t="n"/>
      <c r="I6814" s="8" t="n"/>
      <c r="J6814" s="8" t="n"/>
      <c r="K6814" s="8" t="n"/>
      <c r="L6814" s="8" t="n"/>
      <c r="M6814" s="9">
        <f>B6814+30</f>
        <v/>
      </c>
      <c r="N6814">
        <f>IF(L6814="", "", L6814-B6814)</f>
        <v/>
      </c>
      <c r="O6814">
        <f>IF(L6814="", "Pending", IF(N6814&lt;=30, "Met", "Breached"))</f>
        <v/>
      </c>
      <c r="P6814" s="8" t="n"/>
      <c r="Q6814" s="8" t="n"/>
      <c r="R6814" s="8" t="n"/>
      <c r="S6814" s="8" t="n"/>
      <c r="T6814" s="8" t="n"/>
      <c r="U6814" s="8" t="n"/>
      <c r="V6814" s="8" t="n"/>
      <c r="W6814" s="8" t="n"/>
      <c r="X6814" s="8" t="n"/>
      <c r="Y6814" s="8" t="n"/>
    </row>
    <row r="6815">
      <c r="A6815" s="8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8" t="n"/>
      <c r="K6815" s="8" t="n"/>
      <c r="L6815" s="8" t="n"/>
      <c r="M6815" s="9">
        <f>B6815+30</f>
        <v/>
      </c>
      <c r="N6815">
        <f>IF(L6815="", "", L6815-B6815)</f>
        <v/>
      </c>
      <c r="O6815">
        <f>IF(L6815="", "Pending", IF(N6815&lt;=30, "Met", "Breached"))</f>
        <v/>
      </c>
      <c r="P6815" s="8" t="n"/>
      <c r="Q6815" s="8" t="n"/>
      <c r="R6815" s="8" t="n"/>
      <c r="S6815" s="8" t="n"/>
      <c r="T6815" s="8" t="n"/>
      <c r="U6815" s="8" t="n"/>
      <c r="V6815" s="8" t="n"/>
      <c r="W6815" s="8" t="n"/>
      <c r="X6815" s="8" t="n"/>
      <c r="Y6815" s="8" t="n"/>
    </row>
    <row r="6816">
      <c r="A6816" s="8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8" t="n"/>
      <c r="K6816" s="8" t="n"/>
      <c r="L6816" s="8" t="n"/>
      <c r="M6816" s="9">
        <f>B6816+30</f>
        <v/>
      </c>
      <c r="N6816">
        <f>IF(L6816="", "", L6816-B6816)</f>
        <v/>
      </c>
      <c r="O6816">
        <f>IF(L6816="", "Pending", IF(N6816&lt;=30, "Met", "Breached"))</f>
        <v/>
      </c>
      <c r="P6816" s="8" t="n"/>
      <c r="Q6816" s="8" t="n"/>
      <c r="R6816" s="8" t="n"/>
      <c r="S6816" s="8" t="n"/>
      <c r="T6816" s="8" t="n"/>
      <c r="U6816" s="8" t="n"/>
      <c r="V6816" s="8" t="n"/>
      <c r="W6816" s="8" t="n"/>
      <c r="X6816" s="8" t="n"/>
      <c r="Y6816" s="8" t="n"/>
    </row>
    <row r="6817">
      <c r="A6817" s="8" t="n"/>
      <c r="B6817" s="8" t="n"/>
      <c r="C6817" s="8" t="n"/>
      <c r="D6817" s="8" t="n"/>
      <c r="E6817" s="8" t="n"/>
      <c r="F6817" s="8" t="n"/>
      <c r="G6817" s="8" t="n"/>
      <c r="H6817" s="8" t="n"/>
      <c r="I6817" s="8" t="n"/>
      <c r="J6817" s="8" t="n"/>
      <c r="K6817" s="8" t="n"/>
      <c r="L6817" s="8" t="n"/>
      <c r="M6817" s="9">
        <f>B6817+30</f>
        <v/>
      </c>
      <c r="N6817">
        <f>IF(L6817="", "", L6817-B6817)</f>
        <v/>
      </c>
      <c r="O6817">
        <f>IF(L6817="", "Pending", IF(N6817&lt;=30, "Met", "Breached"))</f>
        <v/>
      </c>
      <c r="P6817" s="8" t="n"/>
      <c r="Q6817" s="8" t="n"/>
      <c r="R6817" s="8" t="n"/>
      <c r="S6817" s="8" t="n"/>
      <c r="T6817" s="8" t="n"/>
      <c r="U6817" s="8" t="n"/>
      <c r="V6817" s="8" t="n"/>
      <c r="W6817" s="8" t="n"/>
      <c r="X6817" s="8" t="n"/>
      <c r="Y6817" s="8" t="n"/>
    </row>
    <row r="6818">
      <c r="A6818" s="8" t="n"/>
      <c r="B6818" s="8" t="n"/>
      <c r="C6818" s="8" t="n"/>
      <c r="D6818" s="8" t="n"/>
      <c r="E6818" s="8" t="n"/>
      <c r="F6818" s="8" t="n"/>
      <c r="G6818" s="8" t="n"/>
      <c r="H6818" s="8" t="n"/>
      <c r="I6818" s="8" t="n"/>
      <c r="J6818" s="8" t="n"/>
      <c r="K6818" s="8" t="n"/>
      <c r="L6818" s="8" t="n"/>
      <c r="M6818" s="9">
        <f>B6818+30</f>
        <v/>
      </c>
      <c r="N6818">
        <f>IF(L6818="", "", L6818-B6818)</f>
        <v/>
      </c>
      <c r="O6818">
        <f>IF(L6818="", "Pending", IF(N6818&lt;=30, "Met", "Breached"))</f>
        <v/>
      </c>
      <c r="P6818" s="8" t="n"/>
      <c r="Q6818" s="8" t="n"/>
      <c r="R6818" s="8" t="n"/>
      <c r="S6818" s="8" t="n"/>
      <c r="T6818" s="8" t="n"/>
      <c r="U6818" s="8" t="n"/>
      <c r="V6818" s="8" t="n"/>
      <c r="W6818" s="8" t="n"/>
      <c r="X6818" s="8" t="n"/>
      <c r="Y6818" s="8" t="n"/>
    </row>
    <row r="6819">
      <c r="A6819" s="8" t="n"/>
      <c r="B6819" s="8" t="n"/>
      <c r="C6819" s="8" t="n"/>
      <c r="D6819" s="8" t="n"/>
      <c r="E6819" s="8" t="n"/>
      <c r="F6819" s="8" t="n"/>
      <c r="G6819" s="8" t="n"/>
      <c r="H6819" s="8" t="n"/>
      <c r="I6819" s="8" t="n"/>
      <c r="J6819" s="8" t="n"/>
      <c r="K6819" s="8" t="n"/>
      <c r="L6819" s="8" t="n"/>
      <c r="M6819" s="9">
        <f>B6819+30</f>
        <v/>
      </c>
      <c r="N6819">
        <f>IF(L6819="", "", L6819-B6819)</f>
        <v/>
      </c>
      <c r="O6819">
        <f>IF(L6819="", "Pending", IF(N6819&lt;=30, "Met", "Breached"))</f>
        <v/>
      </c>
      <c r="P6819" s="8" t="n"/>
      <c r="Q6819" s="8" t="n"/>
      <c r="R6819" s="8" t="n"/>
      <c r="S6819" s="8" t="n"/>
      <c r="T6819" s="8" t="n"/>
      <c r="U6819" s="8" t="n"/>
      <c r="V6819" s="8" t="n"/>
      <c r="W6819" s="8" t="n"/>
      <c r="X6819" s="8" t="n"/>
      <c r="Y6819" s="8" t="n"/>
    </row>
    <row r="6820">
      <c r="A6820" s="8" t="n"/>
      <c r="B6820" s="8" t="n"/>
      <c r="C6820" s="8" t="n"/>
      <c r="D6820" s="8" t="n"/>
      <c r="E6820" s="8" t="n"/>
      <c r="F6820" s="8" t="n"/>
      <c r="G6820" s="8" t="n"/>
      <c r="H6820" s="8" t="n"/>
      <c r="I6820" s="8" t="n"/>
      <c r="J6820" s="8" t="n"/>
      <c r="K6820" s="8" t="n"/>
      <c r="L6820" s="8" t="n"/>
      <c r="M6820" s="9">
        <f>B6820+30</f>
        <v/>
      </c>
      <c r="N6820">
        <f>IF(L6820="", "", L6820-B6820)</f>
        <v/>
      </c>
      <c r="O6820">
        <f>IF(L6820="", "Pending", IF(N6820&lt;=30, "Met", "Breached"))</f>
        <v/>
      </c>
      <c r="P6820" s="8" t="n"/>
      <c r="Q6820" s="8" t="n"/>
      <c r="R6820" s="8" t="n"/>
      <c r="S6820" s="8" t="n"/>
      <c r="T6820" s="8" t="n"/>
      <c r="U6820" s="8" t="n"/>
      <c r="V6820" s="8" t="n"/>
      <c r="W6820" s="8" t="n"/>
      <c r="X6820" s="8" t="n"/>
      <c r="Y6820" s="8" t="n"/>
    </row>
    <row r="6821">
      <c r="A6821" s="8" t="n"/>
      <c r="B6821" s="8" t="n"/>
      <c r="C6821" s="8" t="n"/>
      <c r="D6821" s="8" t="n"/>
      <c r="E6821" s="8" t="n"/>
      <c r="F6821" s="8" t="n"/>
      <c r="G6821" s="8" t="n"/>
      <c r="H6821" s="8" t="n"/>
      <c r="I6821" s="8" t="n"/>
      <c r="J6821" s="8" t="n"/>
      <c r="K6821" s="8" t="n"/>
      <c r="L6821" s="8" t="n"/>
      <c r="M6821" s="9">
        <f>B6821+30</f>
        <v/>
      </c>
      <c r="N6821">
        <f>IF(L6821="", "", L6821-B6821)</f>
        <v/>
      </c>
      <c r="O6821">
        <f>IF(L6821="", "Pending", IF(N6821&lt;=30, "Met", "Breached"))</f>
        <v/>
      </c>
      <c r="P6821" s="8" t="n"/>
      <c r="Q6821" s="8" t="n"/>
      <c r="R6821" s="8" t="n"/>
      <c r="S6821" s="8" t="n"/>
      <c r="T6821" s="8" t="n"/>
      <c r="U6821" s="8" t="n"/>
      <c r="V6821" s="8" t="n"/>
      <c r="W6821" s="8" t="n"/>
      <c r="X6821" s="8" t="n"/>
      <c r="Y6821" s="8" t="n"/>
    </row>
    <row r="6822">
      <c r="A6822" s="8" t="n"/>
      <c r="B6822" s="8" t="n"/>
      <c r="C6822" s="8" t="n"/>
      <c r="D6822" s="8" t="n"/>
      <c r="E6822" s="8" t="n"/>
      <c r="F6822" s="8" t="n"/>
      <c r="G6822" s="8" t="n"/>
      <c r="H6822" s="8" t="n"/>
      <c r="I6822" s="8" t="n"/>
      <c r="J6822" s="8" t="n"/>
      <c r="K6822" s="8" t="n"/>
      <c r="L6822" s="8" t="n"/>
      <c r="M6822" s="9">
        <f>B6822+30</f>
        <v/>
      </c>
      <c r="N6822">
        <f>IF(L6822="", "", L6822-B6822)</f>
        <v/>
      </c>
      <c r="O6822">
        <f>IF(L6822="", "Pending", IF(N6822&lt;=30, "Met", "Breached"))</f>
        <v/>
      </c>
      <c r="P6822" s="8" t="n"/>
      <c r="Q6822" s="8" t="n"/>
      <c r="R6822" s="8" t="n"/>
      <c r="S6822" s="8" t="n"/>
      <c r="T6822" s="8" t="n"/>
      <c r="U6822" s="8" t="n"/>
      <c r="V6822" s="8" t="n"/>
      <c r="W6822" s="8" t="n"/>
      <c r="X6822" s="8" t="n"/>
      <c r="Y6822" s="8" t="n"/>
    </row>
    <row r="6823">
      <c r="A6823" s="8" t="n"/>
      <c r="B6823" s="8" t="n"/>
      <c r="C6823" s="8" t="n"/>
      <c r="D6823" s="8" t="n"/>
      <c r="E6823" s="8" t="n"/>
      <c r="F6823" s="8" t="n"/>
      <c r="G6823" s="8" t="n"/>
      <c r="H6823" s="8" t="n"/>
      <c r="I6823" s="8" t="n"/>
      <c r="J6823" s="8" t="n"/>
      <c r="K6823" s="8" t="n"/>
      <c r="L6823" s="8" t="n"/>
      <c r="M6823" s="9">
        <f>B6823+30</f>
        <v/>
      </c>
      <c r="N6823">
        <f>IF(L6823="", "", L6823-B6823)</f>
        <v/>
      </c>
      <c r="O6823">
        <f>IF(L6823="", "Pending", IF(N6823&lt;=30, "Met", "Breached"))</f>
        <v/>
      </c>
      <c r="P6823" s="8" t="n"/>
      <c r="Q6823" s="8" t="n"/>
      <c r="R6823" s="8" t="n"/>
      <c r="S6823" s="8" t="n"/>
      <c r="T6823" s="8" t="n"/>
      <c r="U6823" s="8" t="n"/>
      <c r="V6823" s="8" t="n"/>
      <c r="W6823" s="8" t="n"/>
      <c r="X6823" s="8" t="n"/>
      <c r="Y6823" s="8" t="n"/>
    </row>
    <row r="6824">
      <c r="A6824" s="8" t="n"/>
      <c r="B6824" s="8" t="n"/>
      <c r="C6824" s="8" t="n"/>
      <c r="D6824" s="8" t="n"/>
      <c r="E6824" s="8" t="n"/>
      <c r="F6824" s="8" t="n"/>
      <c r="G6824" s="8" t="n"/>
      <c r="H6824" s="8" t="n"/>
      <c r="I6824" s="8" t="n"/>
      <c r="J6824" s="8" t="n"/>
      <c r="K6824" s="8" t="n"/>
      <c r="L6824" s="8" t="n"/>
      <c r="M6824" s="9">
        <f>B6824+30</f>
        <v/>
      </c>
      <c r="N6824">
        <f>IF(L6824="", "", L6824-B6824)</f>
        <v/>
      </c>
      <c r="O6824">
        <f>IF(L6824="", "Pending", IF(N6824&lt;=30, "Met", "Breached"))</f>
        <v/>
      </c>
      <c r="P6824" s="8" t="n"/>
      <c r="Q6824" s="8" t="n"/>
      <c r="R6824" s="8" t="n"/>
      <c r="S6824" s="8" t="n"/>
      <c r="T6824" s="8" t="n"/>
      <c r="U6824" s="8" t="n"/>
      <c r="V6824" s="8" t="n"/>
      <c r="W6824" s="8" t="n"/>
      <c r="X6824" s="8" t="n"/>
      <c r="Y6824" s="8" t="n"/>
    </row>
    <row r="6825">
      <c r="A6825" s="8" t="n"/>
      <c r="B6825" s="8" t="n"/>
      <c r="C6825" s="8" t="n"/>
      <c r="D6825" s="8" t="n"/>
      <c r="E6825" s="8" t="n"/>
      <c r="F6825" s="8" t="n"/>
      <c r="G6825" s="8" t="n"/>
      <c r="H6825" s="8" t="n"/>
      <c r="I6825" s="8" t="n"/>
      <c r="J6825" s="8" t="n"/>
      <c r="K6825" s="8" t="n"/>
      <c r="L6825" s="8" t="n"/>
      <c r="M6825" s="9">
        <f>B6825+30</f>
        <v/>
      </c>
      <c r="N6825">
        <f>IF(L6825="", "", L6825-B6825)</f>
        <v/>
      </c>
      <c r="O6825">
        <f>IF(L6825="", "Pending", IF(N6825&lt;=30, "Met", "Breached"))</f>
        <v/>
      </c>
      <c r="P6825" s="8" t="n"/>
      <c r="Q6825" s="8" t="n"/>
      <c r="R6825" s="8" t="n"/>
      <c r="S6825" s="8" t="n"/>
      <c r="T6825" s="8" t="n"/>
      <c r="U6825" s="8" t="n"/>
      <c r="V6825" s="8" t="n"/>
      <c r="W6825" s="8" t="n"/>
      <c r="X6825" s="8" t="n"/>
      <c r="Y6825" s="8" t="n"/>
    </row>
    <row r="6826">
      <c r="A6826" s="8" t="n"/>
      <c r="B6826" s="8" t="n"/>
      <c r="C6826" s="8" t="n"/>
      <c r="D6826" s="8" t="n"/>
      <c r="E6826" s="8" t="n"/>
      <c r="F6826" s="8" t="n"/>
      <c r="G6826" s="8" t="n"/>
      <c r="H6826" s="8" t="n"/>
      <c r="I6826" s="8" t="n"/>
      <c r="J6826" s="8" t="n"/>
      <c r="K6826" s="8" t="n"/>
      <c r="L6826" s="8" t="n"/>
      <c r="M6826" s="9">
        <f>B6826+30</f>
        <v/>
      </c>
      <c r="N6826">
        <f>IF(L6826="", "", L6826-B6826)</f>
        <v/>
      </c>
      <c r="O6826">
        <f>IF(L6826="", "Pending", IF(N6826&lt;=30, "Met", "Breached"))</f>
        <v/>
      </c>
      <c r="P6826" s="8" t="n"/>
      <c r="Q6826" s="8" t="n"/>
      <c r="R6826" s="8" t="n"/>
      <c r="S6826" s="8" t="n"/>
      <c r="T6826" s="8" t="n"/>
      <c r="U6826" s="8" t="n"/>
      <c r="V6826" s="8" t="n"/>
      <c r="W6826" s="8" t="n"/>
      <c r="X6826" s="8" t="n"/>
      <c r="Y6826" s="8" t="n"/>
    </row>
    <row r="6827">
      <c r="A6827" s="8" t="n"/>
      <c r="B6827" s="8" t="n"/>
      <c r="C6827" s="8" t="n"/>
      <c r="D6827" s="8" t="n"/>
      <c r="E6827" s="8" t="n"/>
      <c r="F6827" s="8" t="n"/>
      <c r="G6827" s="8" t="n"/>
      <c r="H6827" s="8" t="n"/>
      <c r="I6827" s="8" t="n"/>
      <c r="J6827" s="8" t="n"/>
      <c r="K6827" s="8" t="n"/>
      <c r="L6827" s="8" t="n"/>
      <c r="M6827" s="9">
        <f>B6827+30</f>
        <v/>
      </c>
      <c r="N6827">
        <f>IF(L6827="", "", L6827-B6827)</f>
        <v/>
      </c>
      <c r="O6827">
        <f>IF(L6827="", "Pending", IF(N6827&lt;=30, "Met", "Breached"))</f>
        <v/>
      </c>
      <c r="P6827" s="8" t="n"/>
      <c r="Q6827" s="8" t="n"/>
      <c r="R6827" s="8" t="n"/>
      <c r="S6827" s="8" t="n"/>
      <c r="T6827" s="8" t="n"/>
      <c r="U6827" s="8" t="n"/>
      <c r="V6827" s="8" t="n"/>
      <c r="W6827" s="8" t="n"/>
      <c r="X6827" s="8" t="n"/>
      <c r="Y6827" s="8" t="n"/>
    </row>
    <row r="6828">
      <c r="A6828" s="8" t="n"/>
      <c r="B6828" s="8" t="n"/>
      <c r="C6828" s="8" t="n"/>
      <c r="D6828" s="8" t="n"/>
      <c r="E6828" s="8" t="n"/>
      <c r="F6828" s="8" t="n"/>
      <c r="G6828" s="8" t="n"/>
      <c r="H6828" s="8" t="n"/>
      <c r="I6828" s="8" t="n"/>
      <c r="J6828" s="8" t="n"/>
      <c r="K6828" s="8" t="n"/>
      <c r="L6828" s="8" t="n"/>
      <c r="M6828" s="9">
        <f>B6828+30</f>
        <v/>
      </c>
      <c r="N6828">
        <f>IF(L6828="", "", L6828-B6828)</f>
        <v/>
      </c>
      <c r="O6828">
        <f>IF(L6828="", "Pending", IF(N6828&lt;=30, "Met", "Breached"))</f>
        <v/>
      </c>
      <c r="P6828" s="8" t="n"/>
      <c r="Q6828" s="8" t="n"/>
      <c r="R6828" s="8" t="n"/>
      <c r="S6828" s="8" t="n"/>
      <c r="T6828" s="8" t="n"/>
      <c r="U6828" s="8" t="n"/>
      <c r="V6828" s="8" t="n"/>
      <c r="W6828" s="8" t="n"/>
      <c r="X6828" s="8" t="n"/>
      <c r="Y6828" s="8" t="n"/>
    </row>
    <row r="6829">
      <c r="A6829" s="8" t="n"/>
      <c r="B6829" s="8" t="n"/>
      <c r="C6829" s="8" t="n"/>
      <c r="D6829" s="8" t="n"/>
      <c r="E6829" s="8" t="n"/>
      <c r="F6829" s="8" t="n"/>
      <c r="G6829" s="8" t="n"/>
      <c r="H6829" s="8" t="n"/>
      <c r="I6829" s="8" t="n"/>
      <c r="J6829" s="8" t="n"/>
      <c r="K6829" s="8" t="n"/>
      <c r="L6829" s="8" t="n"/>
      <c r="M6829" s="9">
        <f>B6829+30</f>
        <v/>
      </c>
      <c r="N6829">
        <f>IF(L6829="", "", L6829-B6829)</f>
        <v/>
      </c>
      <c r="O6829">
        <f>IF(L6829="", "Pending", IF(N6829&lt;=30, "Met", "Breached"))</f>
        <v/>
      </c>
      <c r="P6829" s="8" t="n"/>
      <c r="Q6829" s="8" t="n"/>
      <c r="R6829" s="8" t="n"/>
      <c r="S6829" s="8" t="n"/>
      <c r="T6829" s="8" t="n"/>
      <c r="U6829" s="8" t="n"/>
      <c r="V6829" s="8" t="n"/>
      <c r="W6829" s="8" t="n"/>
      <c r="X6829" s="8" t="n"/>
      <c r="Y6829" s="8" t="n"/>
    </row>
    <row r="6830">
      <c r="A6830" s="8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8" t="n"/>
      <c r="K6830" s="8" t="n"/>
      <c r="L6830" s="8" t="n"/>
      <c r="M6830" s="9">
        <f>B6830+30</f>
        <v/>
      </c>
      <c r="N6830">
        <f>IF(L6830="", "", L6830-B6830)</f>
        <v/>
      </c>
      <c r="O6830">
        <f>IF(L6830="", "Pending", IF(N6830&lt;=30, "Met", "Breached"))</f>
        <v/>
      </c>
      <c r="P6830" s="8" t="n"/>
      <c r="Q6830" s="8" t="n"/>
      <c r="R6830" s="8" t="n"/>
      <c r="S6830" s="8" t="n"/>
      <c r="T6830" s="8" t="n"/>
      <c r="U6830" s="8" t="n"/>
      <c r="V6830" s="8" t="n"/>
      <c r="W6830" s="8" t="n"/>
      <c r="X6830" s="8" t="n"/>
      <c r="Y6830" s="8" t="n"/>
    </row>
    <row r="6831">
      <c r="A6831" s="8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8" t="n"/>
      <c r="K6831" s="8" t="n"/>
      <c r="L6831" s="8" t="n"/>
      <c r="M6831" s="9">
        <f>B6831+30</f>
        <v/>
      </c>
      <c r="N6831">
        <f>IF(L6831="", "", L6831-B6831)</f>
        <v/>
      </c>
      <c r="O6831">
        <f>IF(L6831="", "Pending", IF(N6831&lt;=30, "Met", "Breached"))</f>
        <v/>
      </c>
      <c r="P6831" s="8" t="n"/>
      <c r="Q6831" s="8" t="n"/>
      <c r="R6831" s="8" t="n"/>
      <c r="S6831" s="8" t="n"/>
      <c r="T6831" s="8" t="n"/>
      <c r="U6831" s="8" t="n"/>
      <c r="V6831" s="8" t="n"/>
      <c r="W6831" s="8" t="n"/>
      <c r="X6831" s="8" t="n"/>
      <c r="Y6831" s="8" t="n"/>
    </row>
    <row r="6832">
      <c r="A6832" s="8" t="n"/>
      <c r="B6832" s="8" t="n"/>
      <c r="C6832" s="8" t="n"/>
      <c r="D6832" s="8" t="n"/>
      <c r="E6832" s="8" t="n"/>
      <c r="F6832" s="8" t="n"/>
      <c r="G6832" s="8" t="n"/>
      <c r="H6832" s="8" t="n"/>
      <c r="I6832" s="8" t="n"/>
      <c r="J6832" s="8" t="n"/>
      <c r="K6832" s="8" t="n"/>
      <c r="L6832" s="8" t="n"/>
      <c r="M6832" s="9">
        <f>B6832+30</f>
        <v/>
      </c>
      <c r="N6832">
        <f>IF(L6832="", "", L6832-B6832)</f>
        <v/>
      </c>
      <c r="O6832">
        <f>IF(L6832="", "Pending", IF(N6832&lt;=30, "Met", "Breached"))</f>
        <v/>
      </c>
      <c r="P6832" s="8" t="n"/>
      <c r="Q6832" s="8" t="n"/>
      <c r="R6832" s="8" t="n"/>
      <c r="S6832" s="8" t="n"/>
      <c r="T6832" s="8" t="n"/>
      <c r="U6832" s="8" t="n"/>
      <c r="V6832" s="8" t="n"/>
      <c r="W6832" s="8" t="n"/>
      <c r="X6832" s="8" t="n"/>
      <c r="Y6832" s="8" t="n"/>
    </row>
    <row r="6833">
      <c r="A6833" s="8" t="n"/>
      <c r="B6833" s="8" t="n"/>
      <c r="C6833" s="8" t="n"/>
      <c r="D6833" s="8" t="n"/>
      <c r="E6833" s="8" t="n"/>
      <c r="F6833" s="8" t="n"/>
      <c r="G6833" s="8" t="n"/>
      <c r="H6833" s="8" t="n"/>
      <c r="I6833" s="8" t="n"/>
      <c r="J6833" s="8" t="n"/>
      <c r="K6833" s="8" t="n"/>
      <c r="L6833" s="8" t="n"/>
      <c r="M6833" s="9">
        <f>B6833+30</f>
        <v/>
      </c>
      <c r="N6833">
        <f>IF(L6833="", "", L6833-B6833)</f>
        <v/>
      </c>
      <c r="O6833">
        <f>IF(L6833="", "Pending", IF(N6833&lt;=30, "Met", "Breached"))</f>
        <v/>
      </c>
      <c r="P6833" s="8" t="n"/>
      <c r="Q6833" s="8" t="n"/>
      <c r="R6833" s="8" t="n"/>
      <c r="S6833" s="8" t="n"/>
      <c r="T6833" s="8" t="n"/>
      <c r="U6833" s="8" t="n"/>
      <c r="V6833" s="8" t="n"/>
      <c r="W6833" s="8" t="n"/>
      <c r="X6833" s="8" t="n"/>
      <c r="Y6833" s="8" t="n"/>
    </row>
    <row r="6834">
      <c r="A6834" s="8" t="n"/>
      <c r="B6834" s="8" t="n"/>
      <c r="C6834" s="8" t="n"/>
      <c r="D6834" s="8" t="n"/>
      <c r="E6834" s="8" t="n"/>
      <c r="F6834" s="8" t="n"/>
      <c r="G6834" s="8" t="n"/>
      <c r="H6834" s="8" t="n"/>
      <c r="I6834" s="8" t="n"/>
      <c r="J6834" s="8" t="n"/>
      <c r="K6834" s="8" t="n"/>
      <c r="L6834" s="8" t="n"/>
      <c r="M6834" s="9">
        <f>B6834+30</f>
        <v/>
      </c>
      <c r="N6834">
        <f>IF(L6834="", "", L6834-B6834)</f>
        <v/>
      </c>
      <c r="O6834">
        <f>IF(L6834="", "Pending", IF(N6834&lt;=30, "Met", "Breached"))</f>
        <v/>
      </c>
      <c r="P6834" s="8" t="n"/>
      <c r="Q6834" s="8" t="n"/>
      <c r="R6834" s="8" t="n"/>
      <c r="S6834" s="8" t="n"/>
      <c r="T6834" s="8" t="n"/>
      <c r="U6834" s="8" t="n"/>
      <c r="V6834" s="8" t="n"/>
      <c r="W6834" s="8" t="n"/>
      <c r="X6834" s="8" t="n"/>
      <c r="Y6834" s="8" t="n"/>
    </row>
    <row r="6835">
      <c r="A6835" s="8" t="n"/>
      <c r="B6835" s="8" t="n"/>
      <c r="C6835" s="8" t="n"/>
      <c r="D6835" s="8" t="n"/>
      <c r="E6835" s="8" t="n"/>
      <c r="F6835" s="8" t="n"/>
      <c r="G6835" s="8" t="n"/>
      <c r="H6835" s="8" t="n"/>
      <c r="I6835" s="8" t="n"/>
      <c r="J6835" s="8" t="n"/>
      <c r="K6835" s="8" t="n"/>
      <c r="L6835" s="8" t="n"/>
      <c r="M6835" s="9">
        <f>B6835+30</f>
        <v/>
      </c>
      <c r="N6835">
        <f>IF(L6835="", "", L6835-B6835)</f>
        <v/>
      </c>
      <c r="O6835">
        <f>IF(L6835="", "Pending", IF(N6835&lt;=30, "Met", "Breached"))</f>
        <v/>
      </c>
      <c r="P6835" s="8" t="n"/>
      <c r="Q6835" s="8" t="n"/>
      <c r="R6835" s="8" t="n"/>
      <c r="S6835" s="8" t="n"/>
      <c r="T6835" s="8" t="n"/>
      <c r="U6835" s="8" t="n"/>
      <c r="V6835" s="8" t="n"/>
      <c r="W6835" s="8" t="n"/>
      <c r="X6835" s="8" t="n"/>
      <c r="Y6835" s="8" t="n"/>
    </row>
    <row r="6836">
      <c r="A6836" s="8" t="n"/>
      <c r="B6836" s="8" t="n"/>
      <c r="C6836" s="8" t="n"/>
      <c r="D6836" s="8" t="n"/>
      <c r="E6836" s="8" t="n"/>
      <c r="F6836" s="8" t="n"/>
      <c r="G6836" s="8" t="n"/>
      <c r="H6836" s="8" t="n"/>
      <c r="I6836" s="8" t="n"/>
      <c r="J6836" s="8" t="n"/>
      <c r="K6836" s="8" t="n"/>
      <c r="L6836" s="8" t="n"/>
      <c r="M6836" s="9">
        <f>B6836+30</f>
        <v/>
      </c>
      <c r="N6836">
        <f>IF(L6836="", "", L6836-B6836)</f>
        <v/>
      </c>
      <c r="O6836">
        <f>IF(L6836="", "Pending", IF(N6836&lt;=30, "Met", "Breached"))</f>
        <v/>
      </c>
      <c r="P6836" s="8" t="n"/>
      <c r="Q6836" s="8" t="n"/>
      <c r="R6836" s="8" t="n"/>
      <c r="S6836" s="8" t="n"/>
      <c r="T6836" s="8" t="n"/>
      <c r="U6836" s="8" t="n"/>
      <c r="V6836" s="8" t="n"/>
      <c r="W6836" s="8" t="n"/>
      <c r="X6836" s="8" t="n"/>
      <c r="Y6836" s="8" t="n"/>
    </row>
    <row r="6837">
      <c r="A6837" s="8" t="n"/>
      <c r="B6837" s="8" t="n"/>
      <c r="C6837" s="8" t="n"/>
      <c r="D6837" s="8" t="n"/>
      <c r="E6837" s="8" t="n"/>
      <c r="F6837" s="8" t="n"/>
      <c r="G6837" s="8" t="n"/>
      <c r="H6837" s="8" t="n"/>
      <c r="I6837" s="8" t="n"/>
      <c r="J6837" s="8" t="n"/>
      <c r="K6837" s="8" t="n"/>
      <c r="L6837" s="8" t="n"/>
      <c r="M6837" s="9">
        <f>B6837+30</f>
        <v/>
      </c>
      <c r="N6837">
        <f>IF(L6837="", "", L6837-B6837)</f>
        <v/>
      </c>
      <c r="O6837">
        <f>IF(L6837="", "Pending", IF(N6837&lt;=30, "Met", "Breached"))</f>
        <v/>
      </c>
      <c r="P6837" s="8" t="n"/>
      <c r="Q6837" s="8" t="n"/>
      <c r="R6837" s="8" t="n"/>
      <c r="S6837" s="8" t="n"/>
      <c r="T6837" s="8" t="n"/>
      <c r="U6837" s="8" t="n"/>
      <c r="V6837" s="8" t="n"/>
      <c r="W6837" s="8" t="n"/>
      <c r="X6837" s="8" t="n"/>
      <c r="Y6837" s="8" t="n"/>
    </row>
    <row r="6838">
      <c r="A6838" s="8" t="n"/>
      <c r="B6838" s="8" t="n"/>
      <c r="C6838" s="8" t="n"/>
      <c r="D6838" s="8" t="n"/>
      <c r="E6838" s="8" t="n"/>
      <c r="F6838" s="8" t="n"/>
      <c r="G6838" s="8" t="n"/>
      <c r="H6838" s="8" t="n"/>
      <c r="I6838" s="8" t="n"/>
      <c r="J6838" s="8" t="n"/>
      <c r="K6838" s="8" t="n"/>
      <c r="L6838" s="8" t="n"/>
      <c r="M6838" s="9">
        <f>B6838+30</f>
        <v/>
      </c>
      <c r="N6838">
        <f>IF(L6838="", "", L6838-B6838)</f>
        <v/>
      </c>
      <c r="O6838">
        <f>IF(L6838="", "Pending", IF(N6838&lt;=30, "Met", "Breached"))</f>
        <v/>
      </c>
      <c r="P6838" s="8" t="n"/>
      <c r="Q6838" s="8" t="n"/>
      <c r="R6838" s="8" t="n"/>
      <c r="S6838" s="8" t="n"/>
      <c r="T6838" s="8" t="n"/>
      <c r="U6838" s="8" t="n"/>
      <c r="V6838" s="8" t="n"/>
      <c r="W6838" s="8" t="n"/>
      <c r="X6838" s="8" t="n"/>
      <c r="Y6838" s="8" t="n"/>
    </row>
    <row r="6839">
      <c r="A6839" s="8" t="n"/>
      <c r="B6839" s="8" t="n"/>
      <c r="C6839" s="8" t="n"/>
      <c r="D6839" s="8" t="n"/>
      <c r="E6839" s="8" t="n"/>
      <c r="F6839" s="8" t="n"/>
      <c r="G6839" s="8" t="n"/>
      <c r="H6839" s="8" t="n"/>
      <c r="I6839" s="8" t="n"/>
      <c r="J6839" s="8" t="n"/>
      <c r="K6839" s="8" t="n"/>
      <c r="L6839" s="8" t="n"/>
      <c r="M6839" s="9">
        <f>B6839+30</f>
        <v/>
      </c>
      <c r="N6839">
        <f>IF(L6839="", "", L6839-B6839)</f>
        <v/>
      </c>
      <c r="O6839">
        <f>IF(L6839="", "Pending", IF(N6839&lt;=30, "Met", "Breached"))</f>
        <v/>
      </c>
      <c r="P6839" s="8" t="n"/>
      <c r="Q6839" s="8" t="n"/>
      <c r="R6839" s="8" t="n"/>
      <c r="S6839" s="8" t="n"/>
      <c r="T6839" s="8" t="n"/>
      <c r="U6839" s="8" t="n"/>
      <c r="V6839" s="8" t="n"/>
      <c r="W6839" s="8" t="n"/>
      <c r="X6839" s="8" t="n"/>
      <c r="Y6839" s="8" t="n"/>
    </row>
    <row r="6840">
      <c r="A6840" s="8" t="n"/>
      <c r="B6840" s="8" t="n"/>
      <c r="C6840" s="8" t="n"/>
      <c r="D6840" s="8" t="n"/>
      <c r="E6840" s="8" t="n"/>
      <c r="F6840" s="8" t="n"/>
      <c r="G6840" s="8" t="n"/>
      <c r="H6840" s="8" t="n"/>
      <c r="I6840" s="8" t="n"/>
      <c r="J6840" s="8" t="n"/>
      <c r="K6840" s="8" t="n"/>
      <c r="L6840" s="8" t="n"/>
      <c r="M6840" s="9">
        <f>B6840+30</f>
        <v/>
      </c>
      <c r="N6840">
        <f>IF(L6840="", "", L6840-B6840)</f>
        <v/>
      </c>
      <c r="O6840">
        <f>IF(L6840="", "Pending", IF(N6840&lt;=30, "Met", "Breached"))</f>
        <v/>
      </c>
      <c r="P6840" s="8" t="n"/>
      <c r="Q6840" s="8" t="n"/>
      <c r="R6840" s="8" t="n"/>
      <c r="S6840" s="8" t="n"/>
      <c r="T6840" s="8" t="n"/>
      <c r="U6840" s="8" t="n"/>
      <c r="V6840" s="8" t="n"/>
      <c r="W6840" s="8" t="n"/>
      <c r="X6840" s="8" t="n"/>
      <c r="Y6840" s="8" t="n"/>
    </row>
    <row r="6841">
      <c r="A6841" s="8" t="n"/>
      <c r="B6841" s="8" t="n"/>
      <c r="C6841" s="8" t="n"/>
      <c r="D6841" s="8" t="n"/>
      <c r="E6841" s="8" t="n"/>
      <c r="F6841" s="8" t="n"/>
      <c r="G6841" s="8" t="n"/>
      <c r="H6841" s="8" t="n"/>
      <c r="I6841" s="8" t="n"/>
      <c r="J6841" s="8" t="n"/>
      <c r="K6841" s="8" t="n"/>
      <c r="L6841" s="8" t="n"/>
      <c r="M6841" s="9">
        <f>B6841+30</f>
        <v/>
      </c>
      <c r="N6841">
        <f>IF(L6841="", "", L6841-B6841)</f>
        <v/>
      </c>
      <c r="O6841">
        <f>IF(L6841="", "Pending", IF(N6841&lt;=30, "Met", "Breached"))</f>
        <v/>
      </c>
      <c r="P6841" s="8" t="n"/>
      <c r="Q6841" s="8" t="n"/>
      <c r="R6841" s="8" t="n"/>
      <c r="S6841" s="8" t="n"/>
      <c r="T6841" s="8" t="n"/>
      <c r="U6841" s="8" t="n"/>
      <c r="V6841" s="8" t="n"/>
      <c r="W6841" s="8" t="n"/>
      <c r="X6841" s="8" t="n"/>
      <c r="Y6841" s="8" t="n"/>
    </row>
    <row r="6842">
      <c r="A6842" s="8" t="n"/>
      <c r="B6842" s="8" t="n"/>
      <c r="C6842" s="8" t="n"/>
      <c r="D6842" s="8" t="n"/>
      <c r="E6842" s="8" t="n"/>
      <c r="F6842" s="8" t="n"/>
      <c r="G6842" s="8" t="n"/>
      <c r="H6842" s="8" t="n"/>
      <c r="I6842" s="8" t="n"/>
      <c r="J6842" s="8" t="n"/>
      <c r="K6842" s="8" t="n"/>
      <c r="L6842" s="8" t="n"/>
      <c r="M6842" s="9">
        <f>B6842+30</f>
        <v/>
      </c>
      <c r="N6842">
        <f>IF(L6842="", "", L6842-B6842)</f>
        <v/>
      </c>
      <c r="O6842">
        <f>IF(L6842="", "Pending", IF(N6842&lt;=30, "Met", "Breached"))</f>
        <v/>
      </c>
      <c r="P6842" s="8" t="n"/>
      <c r="Q6842" s="8" t="n"/>
      <c r="R6842" s="8" t="n"/>
      <c r="S6842" s="8" t="n"/>
      <c r="T6842" s="8" t="n"/>
      <c r="U6842" s="8" t="n"/>
      <c r="V6842" s="8" t="n"/>
      <c r="W6842" s="8" t="n"/>
      <c r="X6842" s="8" t="n"/>
      <c r="Y6842" s="8" t="n"/>
    </row>
    <row r="6843">
      <c r="A6843" s="8" t="n"/>
      <c r="B6843" s="8" t="n"/>
      <c r="C6843" s="8" t="n"/>
      <c r="D6843" s="8" t="n"/>
      <c r="E6843" s="8" t="n"/>
      <c r="F6843" s="8" t="n"/>
      <c r="G6843" s="8" t="n"/>
      <c r="H6843" s="8" t="n"/>
      <c r="I6843" s="8" t="n"/>
      <c r="J6843" s="8" t="n"/>
      <c r="K6843" s="8" t="n"/>
      <c r="L6843" s="8" t="n"/>
      <c r="M6843" s="9">
        <f>B6843+30</f>
        <v/>
      </c>
      <c r="N6843">
        <f>IF(L6843="", "", L6843-B6843)</f>
        <v/>
      </c>
      <c r="O6843">
        <f>IF(L6843="", "Pending", IF(N6843&lt;=30, "Met", "Breached"))</f>
        <v/>
      </c>
      <c r="P6843" s="8" t="n"/>
      <c r="Q6843" s="8" t="n"/>
      <c r="R6843" s="8" t="n"/>
      <c r="S6843" s="8" t="n"/>
      <c r="T6843" s="8" t="n"/>
      <c r="U6843" s="8" t="n"/>
      <c r="V6843" s="8" t="n"/>
      <c r="W6843" s="8" t="n"/>
      <c r="X6843" s="8" t="n"/>
      <c r="Y6843" s="8" t="n"/>
    </row>
    <row r="6844">
      <c r="A6844" s="8" t="n"/>
      <c r="B6844" s="8" t="n"/>
      <c r="C6844" s="8" t="n"/>
      <c r="D6844" s="8" t="n"/>
      <c r="E6844" s="8" t="n"/>
      <c r="F6844" s="8" t="n"/>
      <c r="G6844" s="8" t="n"/>
      <c r="H6844" s="8" t="n"/>
      <c r="I6844" s="8" t="n"/>
      <c r="J6844" s="8" t="n"/>
      <c r="K6844" s="8" t="n"/>
      <c r="L6844" s="8" t="n"/>
      <c r="M6844" s="9">
        <f>B6844+30</f>
        <v/>
      </c>
      <c r="N6844">
        <f>IF(L6844="", "", L6844-B6844)</f>
        <v/>
      </c>
      <c r="O6844">
        <f>IF(L6844="", "Pending", IF(N6844&lt;=30, "Met", "Breached"))</f>
        <v/>
      </c>
      <c r="P6844" s="8" t="n"/>
      <c r="Q6844" s="8" t="n"/>
      <c r="R6844" s="8" t="n"/>
      <c r="S6844" s="8" t="n"/>
      <c r="T6844" s="8" t="n"/>
      <c r="U6844" s="8" t="n"/>
      <c r="V6844" s="8" t="n"/>
      <c r="W6844" s="8" t="n"/>
      <c r="X6844" s="8" t="n"/>
      <c r="Y6844" s="8" t="n"/>
    </row>
    <row r="6845">
      <c r="A6845" s="8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8" t="n"/>
      <c r="K6845" s="8" t="n"/>
      <c r="L6845" s="8" t="n"/>
      <c r="M6845" s="9">
        <f>B6845+30</f>
        <v/>
      </c>
      <c r="N6845">
        <f>IF(L6845="", "", L6845-B6845)</f>
        <v/>
      </c>
      <c r="O6845">
        <f>IF(L6845="", "Pending", IF(N6845&lt;=30, "Met", "Breached"))</f>
        <v/>
      </c>
      <c r="P6845" s="8" t="n"/>
      <c r="Q6845" s="8" t="n"/>
      <c r="R6845" s="8" t="n"/>
      <c r="S6845" s="8" t="n"/>
      <c r="T6845" s="8" t="n"/>
      <c r="U6845" s="8" t="n"/>
      <c r="V6845" s="8" t="n"/>
      <c r="W6845" s="8" t="n"/>
      <c r="X6845" s="8" t="n"/>
      <c r="Y6845" s="8" t="n"/>
    </row>
    <row r="6846">
      <c r="A6846" s="8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8" t="n"/>
      <c r="K6846" s="8" t="n"/>
      <c r="L6846" s="8" t="n"/>
      <c r="M6846" s="9">
        <f>B6846+30</f>
        <v/>
      </c>
      <c r="N6846">
        <f>IF(L6846="", "", L6846-B6846)</f>
        <v/>
      </c>
      <c r="O6846">
        <f>IF(L6846="", "Pending", IF(N6846&lt;=30, "Met", "Breached"))</f>
        <v/>
      </c>
      <c r="P6846" s="8" t="n"/>
      <c r="Q6846" s="8" t="n"/>
      <c r="R6846" s="8" t="n"/>
      <c r="S6846" s="8" t="n"/>
      <c r="T6846" s="8" t="n"/>
      <c r="U6846" s="8" t="n"/>
      <c r="V6846" s="8" t="n"/>
      <c r="W6846" s="8" t="n"/>
      <c r="X6846" s="8" t="n"/>
      <c r="Y6846" s="8" t="n"/>
    </row>
    <row r="6847">
      <c r="A6847" s="8" t="n"/>
      <c r="B6847" s="8" t="n"/>
      <c r="C6847" s="8" t="n"/>
      <c r="D6847" s="8" t="n"/>
      <c r="E6847" s="8" t="n"/>
      <c r="F6847" s="8" t="n"/>
      <c r="G6847" s="8" t="n"/>
      <c r="H6847" s="8" t="n"/>
      <c r="I6847" s="8" t="n"/>
      <c r="J6847" s="8" t="n"/>
      <c r="K6847" s="8" t="n"/>
      <c r="L6847" s="8" t="n"/>
      <c r="M6847" s="9">
        <f>B6847+30</f>
        <v/>
      </c>
      <c r="N6847">
        <f>IF(L6847="", "", L6847-B6847)</f>
        <v/>
      </c>
      <c r="O6847">
        <f>IF(L6847="", "Pending", IF(N6847&lt;=30, "Met", "Breached"))</f>
        <v/>
      </c>
      <c r="P6847" s="8" t="n"/>
      <c r="Q6847" s="8" t="n"/>
      <c r="R6847" s="8" t="n"/>
      <c r="S6847" s="8" t="n"/>
      <c r="T6847" s="8" t="n"/>
      <c r="U6847" s="8" t="n"/>
      <c r="V6847" s="8" t="n"/>
      <c r="W6847" s="8" t="n"/>
      <c r="X6847" s="8" t="n"/>
      <c r="Y6847" s="8" t="n"/>
    </row>
    <row r="6848">
      <c r="A6848" s="8" t="n"/>
      <c r="B6848" s="8" t="n"/>
      <c r="C6848" s="8" t="n"/>
      <c r="D6848" s="8" t="n"/>
      <c r="E6848" s="8" t="n"/>
      <c r="F6848" s="8" t="n"/>
      <c r="G6848" s="8" t="n"/>
      <c r="H6848" s="8" t="n"/>
      <c r="I6848" s="8" t="n"/>
      <c r="J6848" s="8" t="n"/>
      <c r="K6848" s="8" t="n"/>
      <c r="L6848" s="8" t="n"/>
      <c r="M6848" s="9">
        <f>B6848+30</f>
        <v/>
      </c>
      <c r="N6848">
        <f>IF(L6848="", "", L6848-B6848)</f>
        <v/>
      </c>
      <c r="O6848">
        <f>IF(L6848="", "Pending", IF(N6848&lt;=30, "Met", "Breached"))</f>
        <v/>
      </c>
      <c r="P6848" s="8" t="n"/>
      <c r="Q6848" s="8" t="n"/>
      <c r="R6848" s="8" t="n"/>
      <c r="S6848" s="8" t="n"/>
      <c r="T6848" s="8" t="n"/>
      <c r="U6848" s="8" t="n"/>
      <c r="V6848" s="8" t="n"/>
      <c r="W6848" s="8" t="n"/>
      <c r="X6848" s="8" t="n"/>
      <c r="Y6848" s="8" t="n"/>
    </row>
    <row r="6849">
      <c r="A6849" s="8" t="n"/>
      <c r="B6849" s="8" t="n"/>
      <c r="C6849" s="8" t="n"/>
      <c r="D6849" s="8" t="n"/>
      <c r="E6849" s="8" t="n"/>
      <c r="F6849" s="8" t="n"/>
      <c r="G6849" s="8" t="n"/>
      <c r="H6849" s="8" t="n"/>
      <c r="I6849" s="8" t="n"/>
      <c r="J6849" s="8" t="n"/>
      <c r="K6849" s="8" t="n"/>
      <c r="L6849" s="8" t="n"/>
      <c r="M6849" s="9">
        <f>B6849+30</f>
        <v/>
      </c>
      <c r="N6849">
        <f>IF(L6849="", "", L6849-B6849)</f>
        <v/>
      </c>
      <c r="O6849">
        <f>IF(L6849="", "Pending", IF(N6849&lt;=30, "Met", "Breached"))</f>
        <v/>
      </c>
      <c r="P6849" s="8" t="n"/>
      <c r="Q6849" s="8" t="n"/>
      <c r="R6849" s="8" t="n"/>
      <c r="S6849" s="8" t="n"/>
      <c r="T6849" s="8" t="n"/>
      <c r="U6849" s="8" t="n"/>
      <c r="V6849" s="8" t="n"/>
      <c r="W6849" s="8" t="n"/>
      <c r="X6849" s="8" t="n"/>
      <c r="Y6849" s="8" t="n"/>
    </row>
    <row r="6850">
      <c r="A6850" s="8" t="n"/>
      <c r="B6850" s="8" t="n"/>
      <c r="C6850" s="8" t="n"/>
      <c r="D6850" s="8" t="n"/>
      <c r="E6850" s="8" t="n"/>
      <c r="F6850" s="8" t="n"/>
      <c r="G6850" s="8" t="n"/>
      <c r="H6850" s="8" t="n"/>
      <c r="I6850" s="8" t="n"/>
      <c r="J6850" s="8" t="n"/>
      <c r="K6850" s="8" t="n"/>
      <c r="L6850" s="8" t="n"/>
      <c r="M6850" s="9">
        <f>B6850+30</f>
        <v/>
      </c>
      <c r="N6850">
        <f>IF(L6850="", "", L6850-B6850)</f>
        <v/>
      </c>
      <c r="O6850">
        <f>IF(L6850="", "Pending", IF(N6850&lt;=30, "Met", "Breached"))</f>
        <v/>
      </c>
      <c r="P6850" s="8" t="n"/>
      <c r="Q6850" s="8" t="n"/>
      <c r="R6850" s="8" t="n"/>
      <c r="S6850" s="8" t="n"/>
      <c r="T6850" s="8" t="n"/>
      <c r="U6850" s="8" t="n"/>
      <c r="V6850" s="8" t="n"/>
      <c r="W6850" s="8" t="n"/>
      <c r="X6850" s="8" t="n"/>
      <c r="Y6850" s="8" t="n"/>
    </row>
    <row r="6851">
      <c r="A6851" s="8" t="n"/>
      <c r="B6851" s="8" t="n"/>
      <c r="C6851" s="8" t="n"/>
      <c r="D6851" s="8" t="n"/>
      <c r="E6851" s="8" t="n"/>
      <c r="F6851" s="8" t="n"/>
      <c r="G6851" s="8" t="n"/>
      <c r="H6851" s="8" t="n"/>
      <c r="I6851" s="8" t="n"/>
      <c r="J6851" s="8" t="n"/>
      <c r="K6851" s="8" t="n"/>
      <c r="L6851" s="8" t="n"/>
      <c r="M6851" s="9">
        <f>B6851+30</f>
        <v/>
      </c>
      <c r="N6851">
        <f>IF(L6851="", "", L6851-B6851)</f>
        <v/>
      </c>
      <c r="O6851">
        <f>IF(L6851="", "Pending", IF(N6851&lt;=30, "Met", "Breached"))</f>
        <v/>
      </c>
      <c r="P6851" s="8" t="n"/>
      <c r="Q6851" s="8" t="n"/>
      <c r="R6851" s="8" t="n"/>
      <c r="S6851" s="8" t="n"/>
      <c r="T6851" s="8" t="n"/>
      <c r="U6851" s="8" t="n"/>
      <c r="V6851" s="8" t="n"/>
      <c r="W6851" s="8" t="n"/>
      <c r="X6851" s="8" t="n"/>
      <c r="Y6851" s="8" t="n"/>
    </row>
    <row r="6852">
      <c r="A6852" s="8" t="n"/>
      <c r="B6852" s="8" t="n"/>
      <c r="C6852" s="8" t="n"/>
      <c r="D6852" s="8" t="n"/>
      <c r="E6852" s="8" t="n"/>
      <c r="F6852" s="8" t="n"/>
      <c r="G6852" s="8" t="n"/>
      <c r="H6852" s="8" t="n"/>
      <c r="I6852" s="8" t="n"/>
      <c r="J6852" s="8" t="n"/>
      <c r="K6852" s="8" t="n"/>
      <c r="L6852" s="8" t="n"/>
      <c r="M6852" s="9">
        <f>B6852+30</f>
        <v/>
      </c>
      <c r="N6852">
        <f>IF(L6852="", "", L6852-B6852)</f>
        <v/>
      </c>
      <c r="O6852">
        <f>IF(L6852="", "Pending", IF(N6852&lt;=30, "Met", "Breached"))</f>
        <v/>
      </c>
      <c r="P6852" s="8" t="n"/>
      <c r="Q6852" s="8" t="n"/>
      <c r="R6852" s="8" t="n"/>
      <c r="S6852" s="8" t="n"/>
      <c r="T6852" s="8" t="n"/>
      <c r="U6852" s="8" t="n"/>
      <c r="V6852" s="8" t="n"/>
      <c r="W6852" s="8" t="n"/>
      <c r="X6852" s="8" t="n"/>
      <c r="Y6852" s="8" t="n"/>
    </row>
    <row r="6853">
      <c r="A6853" s="8" t="n"/>
      <c r="B6853" s="8" t="n"/>
      <c r="C6853" s="8" t="n"/>
      <c r="D6853" s="8" t="n"/>
      <c r="E6853" s="8" t="n"/>
      <c r="F6853" s="8" t="n"/>
      <c r="G6853" s="8" t="n"/>
      <c r="H6853" s="8" t="n"/>
      <c r="I6853" s="8" t="n"/>
      <c r="J6853" s="8" t="n"/>
      <c r="K6853" s="8" t="n"/>
      <c r="L6853" s="8" t="n"/>
      <c r="M6853" s="9">
        <f>B6853+30</f>
        <v/>
      </c>
      <c r="N6853">
        <f>IF(L6853="", "", L6853-B6853)</f>
        <v/>
      </c>
      <c r="O6853">
        <f>IF(L6853="", "Pending", IF(N6853&lt;=30, "Met", "Breached"))</f>
        <v/>
      </c>
      <c r="P6853" s="8" t="n"/>
      <c r="Q6853" s="8" t="n"/>
      <c r="R6853" s="8" t="n"/>
      <c r="S6853" s="8" t="n"/>
      <c r="T6853" s="8" t="n"/>
      <c r="U6853" s="8" t="n"/>
      <c r="V6853" s="8" t="n"/>
      <c r="W6853" s="8" t="n"/>
      <c r="X6853" s="8" t="n"/>
      <c r="Y6853" s="8" t="n"/>
    </row>
    <row r="6854">
      <c r="A6854" s="8" t="n"/>
      <c r="B6854" s="8" t="n"/>
      <c r="C6854" s="8" t="n"/>
      <c r="D6854" s="8" t="n"/>
      <c r="E6854" s="8" t="n"/>
      <c r="F6854" s="8" t="n"/>
      <c r="G6854" s="8" t="n"/>
      <c r="H6854" s="8" t="n"/>
      <c r="I6854" s="8" t="n"/>
      <c r="J6854" s="8" t="n"/>
      <c r="K6854" s="8" t="n"/>
      <c r="L6854" s="8" t="n"/>
      <c r="M6854" s="9">
        <f>B6854+30</f>
        <v/>
      </c>
      <c r="N6854">
        <f>IF(L6854="", "", L6854-B6854)</f>
        <v/>
      </c>
      <c r="O6854">
        <f>IF(L6854="", "Pending", IF(N6854&lt;=30, "Met", "Breached"))</f>
        <v/>
      </c>
      <c r="P6854" s="8" t="n"/>
      <c r="Q6854" s="8" t="n"/>
      <c r="R6854" s="8" t="n"/>
      <c r="S6854" s="8" t="n"/>
      <c r="T6854" s="8" t="n"/>
      <c r="U6854" s="8" t="n"/>
      <c r="V6854" s="8" t="n"/>
      <c r="W6854" s="8" t="n"/>
      <c r="X6854" s="8" t="n"/>
      <c r="Y6854" s="8" t="n"/>
    </row>
    <row r="6855">
      <c r="A6855" s="8" t="n"/>
      <c r="B6855" s="8" t="n"/>
      <c r="C6855" s="8" t="n"/>
      <c r="D6855" s="8" t="n"/>
      <c r="E6855" s="8" t="n"/>
      <c r="F6855" s="8" t="n"/>
      <c r="G6855" s="8" t="n"/>
      <c r="H6855" s="8" t="n"/>
      <c r="I6855" s="8" t="n"/>
      <c r="J6855" s="8" t="n"/>
      <c r="K6855" s="8" t="n"/>
      <c r="L6855" s="8" t="n"/>
      <c r="M6855" s="9">
        <f>B6855+30</f>
        <v/>
      </c>
      <c r="N6855">
        <f>IF(L6855="", "", L6855-B6855)</f>
        <v/>
      </c>
      <c r="O6855">
        <f>IF(L6855="", "Pending", IF(N6855&lt;=30, "Met", "Breached"))</f>
        <v/>
      </c>
      <c r="P6855" s="8" t="n"/>
      <c r="Q6855" s="8" t="n"/>
      <c r="R6855" s="8" t="n"/>
      <c r="S6855" s="8" t="n"/>
      <c r="T6855" s="8" t="n"/>
      <c r="U6855" s="8" t="n"/>
      <c r="V6855" s="8" t="n"/>
      <c r="W6855" s="8" t="n"/>
      <c r="X6855" s="8" t="n"/>
      <c r="Y6855" s="8" t="n"/>
    </row>
    <row r="6856">
      <c r="A6856" s="8" t="n"/>
      <c r="B6856" s="8" t="n"/>
      <c r="C6856" s="8" t="n"/>
      <c r="D6856" s="8" t="n"/>
      <c r="E6856" s="8" t="n"/>
      <c r="F6856" s="8" t="n"/>
      <c r="G6856" s="8" t="n"/>
      <c r="H6856" s="8" t="n"/>
      <c r="I6856" s="8" t="n"/>
      <c r="J6856" s="8" t="n"/>
      <c r="K6856" s="8" t="n"/>
      <c r="L6856" s="8" t="n"/>
      <c r="M6856" s="9">
        <f>B6856+30</f>
        <v/>
      </c>
      <c r="N6856">
        <f>IF(L6856="", "", L6856-B6856)</f>
        <v/>
      </c>
      <c r="O6856">
        <f>IF(L6856="", "Pending", IF(N6856&lt;=30, "Met", "Breached"))</f>
        <v/>
      </c>
      <c r="P6856" s="8" t="n"/>
      <c r="Q6856" s="8" t="n"/>
      <c r="R6856" s="8" t="n"/>
      <c r="S6856" s="8" t="n"/>
      <c r="T6856" s="8" t="n"/>
      <c r="U6856" s="8" t="n"/>
      <c r="V6856" s="8" t="n"/>
      <c r="W6856" s="8" t="n"/>
      <c r="X6856" s="8" t="n"/>
      <c r="Y6856" s="8" t="n"/>
    </row>
    <row r="6857">
      <c r="A6857" s="8" t="n"/>
      <c r="B6857" s="8" t="n"/>
      <c r="C6857" s="8" t="n"/>
      <c r="D6857" s="8" t="n"/>
      <c r="E6857" s="8" t="n"/>
      <c r="F6857" s="8" t="n"/>
      <c r="G6857" s="8" t="n"/>
      <c r="H6857" s="8" t="n"/>
      <c r="I6857" s="8" t="n"/>
      <c r="J6857" s="8" t="n"/>
      <c r="K6857" s="8" t="n"/>
      <c r="L6857" s="8" t="n"/>
      <c r="M6857" s="9">
        <f>B6857+30</f>
        <v/>
      </c>
      <c r="N6857">
        <f>IF(L6857="", "", L6857-B6857)</f>
        <v/>
      </c>
      <c r="O6857">
        <f>IF(L6857="", "Pending", IF(N6857&lt;=30, "Met", "Breached"))</f>
        <v/>
      </c>
      <c r="P6857" s="8" t="n"/>
      <c r="Q6857" s="8" t="n"/>
      <c r="R6857" s="8" t="n"/>
      <c r="S6857" s="8" t="n"/>
      <c r="T6857" s="8" t="n"/>
      <c r="U6857" s="8" t="n"/>
      <c r="V6857" s="8" t="n"/>
      <c r="W6857" s="8" t="n"/>
      <c r="X6857" s="8" t="n"/>
      <c r="Y6857" s="8" t="n"/>
    </row>
    <row r="6858">
      <c r="A6858" s="8" t="n"/>
      <c r="B6858" s="8" t="n"/>
      <c r="C6858" s="8" t="n"/>
      <c r="D6858" s="8" t="n"/>
      <c r="E6858" s="8" t="n"/>
      <c r="F6858" s="8" t="n"/>
      <c r="G6858" s="8" t="n"/>
      <c r="H6858" s="8" t="n"/>
      <c r="I6858" s="8" t="n"/>
      <c r="J6858" s="8" t="n"/>
      <c r="K6858" s="8" t="n"/>
      <c r="L6858" s="8" t="n"/>
      <c r="M6858" s="9">
        <f>B6858+30</f>
        <v/>
      </c>
      <c r="N6858">
        <f>IF(L6858="", "", L6858-B6858)</f>
        <v/>
      </c>
      <c r="O6858">
        <f>IF(L6858="", "Pending", IF(N6858&lt;=30, "Met", "Breached"))</f>
        <v/>
      </c>
      <c r="P6858" s="8" t="n"/>
      <c r="Q6858" s="8" t="n"/>
      <c r="R6858" s="8" t="n"/>
      <c r="S6858" s="8" t="n"/>
      <c r="T6858" s="8" t="n"/>
      <c r="U6858" s="8" t="n"/>
      <c r="V6858" s="8" t="n"/>
      <c r="W6858" s="8" t="n"/>
      <c r="X6858" s="8" t="n"/>
      <c r="Y6858" s="8" t="n"/>
    </row>
    <row r="6859">
      <c r="A6859" s="8" t="n"/>
      <c r="B6859" s="8" t="n"/>
      <c r="C6859" s="8" t="n"/>
      <c r="D6859" s="8" t="n"/>
      <c r="E6859" s="8" t="n"/>
      <c r="F6859" s="8" t="n"/>
      <c r="G6859" s="8" t="n"/>
      <c r="H6859" s="8" t="n"/>
      <c r="I6859" s="8" t="n"/>
      <c r="J6859" s="8" t="n"/>
      <c r="K6859" s="8" t="n"/>
      <c r="L6859" s="8" t="n"/>
      <c r="M6859" s="9">
        <f>B6859+30</f>
        <v/>
      </c>
      <c r="N6859">
        <f>IF(L6859="", "", L6859-B6859)</f>
        <v/>
      </c>
      <c r="O6859">
        <f>IF(L6859="", "Pending", IF(N6859&lt;=30, "Met", "Breached"))</f>
        <v/>
      </c>
      <c r="P6859" s="8" t="n"/>
      <c r="Q6859" s="8" t="n"/>
      <c r="R6859" s="8" t="n"/>
      <c r="S6859" s="8" t="n"/>
      <c r="T6859" s="8" t="n"/>
      <c r="U6859" s="8" t="n"/>
      <c r="V6859" s="8" t="n"/>
      <c r="W6859" s="8" t="n"/>
      <c r="X6859" s="8" t="n"/>
      <c r="Y6859" s="8" t="n"/>
    </row>
    <row r="6860">
      <c r="A6860" s="8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8" t="n"/>
      <c r="K6860" s="8" t="n"/>
      <c r="L6860" s="8" t="n"/>
      <c r="M6860" s="9">
        <f>B6860+30</f>
        <v/>
      </c>
      <c r="N6860">
        <f>IF(L6860="", "", L6860-B6860)</f>
        <v/>
      </c>
      <c r="O6860">
        <f>IF(L6860="", "Pending", IF(N6860&lt;=30, "Met", "Breached"))</f>
        <v/>
      </c>
      <c r="P6860" s="8" t="n"/>
      <c r="Q6860" s="8" t="n"/>
      <c r="R6860" s="8" t="n"/>
      <c r="S6860" s="8" t="n"/>
      <c r="T6860" s="8" t="n"/>
      <c r="U6860" s="8" t="n"/>
      <c r="V6860" s="8" t="n"/>
      <c r="W6860" s="8" t="n"/>
      <c r="X6860" s="8" t="n"/>
      <c r="Y6860" s="8" t="n"/>
    </row>
    <row r="6861">
      <c r="A6861" s="8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8" t="n"/>
      <c r="K6861" s="8" t="n"/>
      <c r="L6861" s="8" t="n"/>
      <c r="M6861" s="9">
        <f>B6861+30</f>
        <v/>
      </c>
      <c r="N6861">
        <f>IF(L6861="", "", L6861-B6861)</f>
        <v/>
      </c>
      <c r="O6861">
        <f>IF(L6861="", "Pending", IF(N6861&lt;=30, "Met", "Breached"))</f>
        <v/>
      </c>
      <c r="P6861" s="8" t="n"/>
      <c r="Q6861" s="8" t="n"/>
      <c r="R6861" s="8" t="n"/>
      <c r="S6861" s="8" t="n"/>
      <c r="T6861" s="8" t="n"/>
      <c r="U6861" s="8" t="n"/>
      <c r="V6861" s="8" t="n"/>
      <c r="W6861" s="8" t="n"/>
      <c r="X6861" s="8" t="n"/>
      <c r="Y6861" s="8" t="n"/>
    </row>
    <row r="6862">
      <c r="A6862" s="8" t="n"/>
      <c r="B6862" s="8" t="n"/>
      <c r="C6862" s="8" t="n"/>
      <c r="D6862" s="8" t="n"/>
      <c r="E6862" s="8" t="n"/>
      <c r="F6862" s="8" t="n"/>
      <c r="G6862" s="8" t="n"/>
      <c r="H6862" s="8" t="n"/>
      <c r="I6862" s="8" t="n"/>
      <c r="J6862" s="8" t="n"/>
      <c r="K6862" s="8" t="n"/>
      <c r="L6862" s="8" t="n"/>
      <c r="M6862" s="9">
        <f>B6862+30</f>
        <v/>
      </c>
      <c r="N6862">
        <f>IF(L6862="", "", L6862-B6862)</f>
        <v/>
      </c>
      <c r="O6862">
        <f>IF(L6862="", "Pending", IF(N6862&lt;=30, "Met", "Breached"))</f>
        <v/>
      </c>
      <c r="P6862" s="8" t="n"/>
      <c r="Q6862" s="8" t="n"/>
      <c r="R6862" s="8" t="n"/>
      <c r="S6862" s="8" t="n"/>
      <c r="T6862" s="8" t="n"/>
      <c r="U6862" s="8" t="n"/>
      <c r="V6862" s="8" t="n"/>
      <c r="W6862" s="8" t="n"/>
      <c r="X6862" s="8" t="n"/>
      <c r="Y6862" s="8" t="n"/>
    </row>
    <row r="6863">
      <c r="A6863" s="8" t="n"/>
      <c r="B6863" s="8" t="n"/>
      <c r="C6863" s="8" t="n"/>
      <c r="D6863" s="8" t="n"/>
      <c r="E6863" s="8" t="n"/>
      <c r="F6863" s="8" t="n"/>
      <c r="G6863" s="8" t="n"/>
      <c r="H6863" s="8" t="n"/>
      <c r="I6863" s="8" t="n"/>
      <c r="J6863" s="8" t="n"/>
      <c r="K6863" s="8" t="n"/>
      <c r="L6863" s="8" t="n"/>
      <c r="M6863" s="9">
        <f>B6863+30</f>
        <v/>
      </c>
      <c r="N6863">
        <f>IF(L6863="", "", L6863-B6863)</f>
        <v/>
      </c>
      <c r="O6863">
        <f>IF(L6863="", "Pending", IF(N6863&lt;=30, "Met", "Breached"))</f>
        <v/>
      </c>
      <c r="P6863" s="8" t="n"/>
      <c r="Q6863" s="8" t="n"/>
      <c r="R6863" s="8" t="n"/>
      <c r="S6863" s="8" t="n"/>
      <c r="T6863" s="8" t="n"/>
      <c r="U6863" s="8" t="n"/>
      <c r="V6863" s="8" t="n"/>
      <c r="W6863" s="8" t="n"/>
      <c r="X6863" s="8" t="n"/>
      <c r="Y6863" s="8" t="n"/>
    </row>
    <row r="6864">
      <c r="A6864" s="8" t="n"/>
      <c r="B6864" s="8" t="n"/>
      <c r="C6864" s="8" t="n"/>
      <c r="D6864" s="8" t="n"/>
      <c r="E6864" s="8" t="n"/>
      <c r="F6864" s="8" t="n"/>
      <c r="G6864" s="8" t="n"/>
      <c r="H6864" s="8" t="n"/>
      <c r="I6864" s="8" t="n"/>
      <c r="J6864" s="8" t="n"/>
      <c r="K6864" s="8" t="n"/>
      <c r="L6864" s="8" t="n"/>
      <c r="M6864" s="9">
        <f>B6864+30</f>
        <v/>
      </c>
      <c r="N6864">
        <f>IF(L6864="", "", L6864-B6864)</f>
        <v/>
      </c>
      <c r="O6864">
        <f>IF(L6864="", "Pending", IF(N6864&lt;=30, "Met", "Breached"))</f>
        <v/>
      </c>
      <c r="P6864" s="8" t="n"/>
      <c r="Q6864" s="8" t="n"/>
      <c r="R6864" s="8" t="n"/>
      <c r="S6864" s="8" t="n"/>
      <c r="T6864" s="8" t="n"/>
      <c r="U6864" s="8" t="n"/>
      <c r="V6864" s="8" t="n"/>
      <c r="W6864" s="8" t="n"/>
      <c r="X6864" s="8" t="n"/>
      <c r="Y6864" s="8" t="n"/>
    </row>
    <row r="6865">
      <c r="A6865" s="8" t="n"/>
      <c r="B6865" s="8" t="n"/>
      <c r="C6865" s="8" t="n"/>
      <c r="D6865" s="8" t="n"/>
      <c r="E6865" s="8" t="n"/>
      <c r="F6865" s="8" t="n"/>
      <c r="G6865" s="8" t="n"/>
      <c r="H6865" s="8" t="n"/>
      <c r="I6865" s="8" t="n"/>
      <c r="J6865" s="8" t="n"/>
      <c r="K6865" s="8" t="n"/>
      <c r="L6865" s="8" t="n"/>
      <c r="M6865" s="9">
        <f>B6865+30</f>
        <v/>
      </c>
      <c r="N6865">
        <f>IF(L6865="", "", L6865-B6865)</f>
        <v/>
      </c>
      <c r="O6865">
        <f>IF(L6865="", "Pending", IF(N6865&lt;=30, "Met", "Breached"))</f>
        <v/>
      </c>
      <c r="P6865" s="8" t="n"/>
      <c r="Q6865" s="8" t="n"/>
      <c r="R6865" s="8" t="n"/>
      <c r="S6865" s="8" t="n"/>
      <c r="T6865" s="8" t="n"/>
      <c r="U6865" s="8" t="n"/>
      <c r="V6865" s="8" t="n"/>
      <c r="W6865" s="8" t="n"/>
      <c r="X6865" s="8" t="n"/>
      <c r="Y6865" s="8" t="n"/>
    </row>
    <row r="6866">
      <c r="A6866" s="8" t="n"/>
      <c r="B6866" s="8" t="n"/>
      <c r="C6866" s="8" t="n"/>
      <c r="D6866" s="8" t="n"/>
      <c r="E6866" s="8" t="n"/>
      <c r="F6866" s="8" t="n"/>
      <c r="G6866" s="8" t="n"/>
      <c r="H6866" s="8" t="n"/>
      <c r="I6866" s="8" t="n"/>
      <c r="J6866" s="8" t="n"/>
      <c r="K6866" s="8" t="n"/>
      <c r="L6866" s="8" t="n"/>
      <c r="M6866" s="9">
        <f>B6866+30</f>
        <v/>
      </c>
      <c r="N6866">
        <f>IF(L6866="", "", L6866-B6866)</f>
        <v/>
      </c>
      <c r="O6866">
        <f>IF(L6866="", "Pending", IF(N6866&lt;=30, "Met", "Breached"))</f>
        <v/>
      </c>
      <c r="P6866" s="8" t="n"/>
      <c r="Q6866" s="8" t="n"/>
      <c r="R6866" s="8" t="n"/>
      <c r="S6866" s="8" t="n"/>
      <c r="T6866" s="8" t="n"/>
      <c r="U6866" s="8" t="n"/>
      <c r="V6866" s="8" t="n"/>
      <c r="W6866" s="8" t="n"/>
      <c r="X6866" s="8" t="n"/>
      <c r="Y6866" s="8" t="n"/>
    </row>
    <row r="6867">
      <c r="A6867" s="8" t="n"/>
      <c r="B6867" s="8" t="n"/>
      <c r="C6867" s="8" t="n"/>
      <c r="D6867" s="8" t="n"/>
      <c r="E6867" s="8" t="n"/>
      <c r="F6867" s="8" t="n"/>
      <c r="G6867" s="8" t="n"/>
      <c r="H6867" s="8" t="n"/>
      <c r="I6867" s="8" t="n"/>
      <c r="J6867" s="8" t="n"/>
      <c r="K6867" s="8" t="n"/>
      <c r="L6867" s="8" t="n"/>
      <c r="M6867" s="9">
        <f>B6867+30</f>
        <v/>
      </c>
      <c r="N6867">
        <f>IF(L6867="", "", L6867-B6867)</f>
        <v/>
      </c>
      <c r="O6867">
        <f>IF(L6867="", "Pending", IF(N6867&lt;=30, "Met", "Breached"))</f>
        <v/>
      </c>
      <c r="P6867" s="8" t="n"/>
      <c r="Q6867" s="8" t="n"/>
      <c r="R6867" s="8" t="n"/>
      <c r="S6867" s="8" t="n"/>
      <c r="T6867" s="8" t="n"/>
      <c r="U6867" s="8" t="n"/>
      <c r="V6867" s="8" t="n"/>
      <c r="W6867" s="8" t="n"/>
      <c r="X6867" s="8" t="n"/>
      <c r="Y6867" s="8" t="n"/>
    </row>
    <row r="6868">
      <c r="A6868" s="8" t="n"/>
      <c r="B6868" s="8" t="n"/>
      <c r="C6868" s="8" t="n"/>
      <c r="D6868" s="8" t="n"/>
      <c r="E6868" s="8" t="n"/>
      <c r="F6868" s="8" t="n"/>
      <c r="G6868" s="8" t="n"/>
      <c r="H6868" s="8" t="n"/>
      <c r="I6868" s="8" t="n"/>
      <c r="J6868" s="8" t="n"/>
      <c r="K6868" s="8" t="n"/>
      <c r="L6868" s="8" t="n"/>
      <c r="M6868" s="9">
        <f>B6868+30</f>
        <v/>
      </c>
      <c r="N6868">
        <f>IF(L6868="", "", L6868-B6868)</f>
        <v/>
      </c>
      <c r="O6868">
        <f>IF(L6868="", "Pending", IF(N6868&lt;=30, "Met", "Breached"))</f>
        <v/>
      </c>
      <c r="P6868" s="8" t="n"/>
      <c r="Q6868" s="8" t="n"/>
      <c r="R6868" s="8" t="n"/>
      <c r="S6868" s="8" t="n"/>
      <c r="T6868" s="8" t="n"/>
      <c r="U6868" s="8" t="n"/>
      <c r="V6868" s="8" t="n"/>
      <c r="W6868" s="8" t="n"/>
      <c r="X6868" s="8" t="n"/>
      <c r="Y6868" s="8" t="n"/>
    </row>
    <row r="6869">
      <c r="A6869" s="8" t="n"/>
      <c r="B6869" s="8" t="n"/>
      <c r="C6869" s="8" t="n"/>
      <c r="D6869" s="8" t="n"/>
      <c r="E6869" s="8" t="n"/>
      <c r="F6869" s="8" t="n"/>
      <c r="G6869" s="8" t="n"/>
      <c r="H6869" s="8" t="n"/>
      <c r="I6869" s="8" t="n"/>
      <c r="J6869" s="8" t="n"/>
      <c r="K6869" s="8" t="n"/>
      <c r="L6869" s="8" t="n"/>
      <c r="M6869" s="9">
        <f>B6869+30</f>
        <v/>
      </c>
      <c r="N6869">
        <f>IF(L6869="", "", L6869-B6869)</f>
        <v/>
      </c>
      <c r="O6869">
        <f>IF(L6869="", "Pending", IF(N6869&lt;=30, "Met", "Breached"))</f>
        <v/>
      </c>
      <c r="P6869" s="8" t="n"/>
      <c r="Q6869" s="8" t="n"/>
      <c r="R6869" s="8" t="n"/>
      <c r="S6869" s="8" t="n"/>
      <c r="T6869" s="8" t="n"/>
      <c r="U6869" s="8" t="n"/>
      <c r="V6869" s="8" t="n"/>
      <c r="W6869" s="8" t="n"/>
      <c r="X6869" s="8" t="n"/>
      <c r="Y6869" s="8" t="n"/>
    </row>
    <row r="6870">
      <c r="A6870" s="8" t="n"/>
      <c r="B6870" s="8" t="n"/>
      <c r="C6870" s="8" t="n"/>
      <c r="D6870" s="8" t="n"/>
      <c r="E6870" s="8" t="n"/>
      <c r="F6870" s="8" t="n"/>
      <c r="G6870" s="8" t="n"/>
      <c r="H6870" s="8" t="n"/>
      <c r="I6870" s="8" t="n"/>
      <c r="J6870" s="8" t="n"/>
      <c r="K6870" s="8" t="n"/>
      <c r="L6870" s="8" t="n"/>
      <c r="M6870" s="9">
        <f>B6870+30</f>
        <v/>
      </c>
      <c r="N6870">
        <f>IF(L6870="", "", L6870-B6870)</f>
        <v/>
      </c>
      <c r="O6870">
        <f>IF(L6870="", "Pending", IF(N6870&lt;=30, "Met", "Breached"))</f>
        <v/>
      </c>
      <c r="P6870" s="8" t="n"/>
      <c r="Q6870" s="8" t="n"/>
      <c r="R6870" s="8" t="n"/>
      <c r="S6870" s="8" t="n"/>
      <c r="T6870" s="8" t="n"/>
      <c r="U6870" s="8" t="n"/>
      <c r="V6870" s="8" t="n"/>
      <c r="W6870" s="8" t="n"/>
      <c r="X6870" s="8" t="n"/>
      <c r="Y6870" s="8" t="n"/>
    </row>
    <row r="6871">
      <c r="A6871" s="8" t="n"/>
      <c r="B6871" s="8" t="n"/>
      <c r="C6871" s="8" t="n"/>
      <c r="D6871" s="8" t="n"/>
      <c r="E6871" s="8" t="n"/>
      <c r="F6871" s="8" t="n"/>
      <c r="G6871" s="8" t="n"/>
      <c r="H6871" s="8" t="n"/>
      <c r="I6871" s="8" t="n"/>
      <c r="J6871" s="8" t="n"/>
      <c r="K6871" s="8" t="n"/>
      <c r="L6871" s="8" t="n"/>
      <c r="M6871" s="9">
        <f>B6871+30</f>
        <v/>
      </c>
      <c r="N6871">
        <f>IF(L6871="", "", L6871-B6871)</f>
        <v/>
      </c>
      <c r="O6871">
        <f>IF(L6871="", "Pending", IF(N6871&lt;=30, "Met", "Breached"))</f>
        <v/>
      </c>
      <c r="P6871" s="8" t="n"/>
      <c r="Q6871" s="8" t="n"/>
      <c r="R6871" s="8" t="n"/>
      <c r="S6871" s="8" t="n"/>
      <c r="T6871" s="8" t="n"/>
      <c r="U6871" s="8" t="n"/>
      <c r="V6871" s="8" t="n"/>
      <c r="W6871" s="8" t="n"/>
      <c r="X6871" s="8" t="n"/>
      <c r="Y6871" s="8" t="n"/>
    </row>
    <row r="6872">
      <c r="A6872" s="8" t="n"/>
      <c r="B6872" s="8" t="n"/>
      <c r="C6872" s="8" t="n"/>
      <c r="D6872" s="8" t="n"/>
      <c r="E6872" s="8" t="n"/>
      <c r="F6872" s="8" t="n"/>
      <c r="G6872" s="8" t="n"/>
      <c r="H6872" s="8" t="n"/>
      <c r="I6872" s="8" t="n"/>
      <c r="J6872" s="8" t="n"/>
      <c r="K6872" s="8" t="n"/>
      <c r="L6872" s="8" t="n"/>
      <c r="M6872" s="9">
        <f>B6872+30</f>
        <v/>
      </c>
      <c r="N6872">
        <f>IF(L6872="", "", L6872-B6872)</f>
        <v/>
      </c>
      <c r="O6872">
        <f>IF(L6872="", "Pending", IF(N6872&lt;=30, "Met", "Breached"))</f>
        <v/>
      </c>
      <c r="P6872" s="8" t="n"/>
      <c r="Q6872" s="8" t="n"/>
      <c r="R6872" s="8" t="n"/>
      <c r="S6872" s="8" t="n"/>
      <c r="T6872" s="8" t="n"/>
      <c r="U6872" s="8" t="n"/>
      <c r="V6872" s="8" t="n"/>
      <c r="W6872" s="8" t="n"/>
      <c r="X6872" s="8" t="n"/>
      <c r="Y6872" s="8" t="n"/>
    </row>
    <row r="6873">
      <c r="A6873" s="8" t="n"/>
      <c r="B6873" s="8" t="n"/>
      <c r="C6873" s="8" t="n"/>
      <c r="D6873" s="8" t="n"/>
      <c r="E6873" s="8" t="n"/>
      <c r="F6873" s="8" t="n"/>
      <c r="G6873" s="8" t="n"/>
      <c r="H6873" s="8" t="n"/>
      <c r="I6873" s="8" t="n"/>
      <c r="J6873" s="8" t="n"/>
      <c r="K6873" s="8" t="n"/>
      <c r="L6873" s="8" t="n"/>
      <c r="M6873" s="9">
        <f>B6873+30</f>
        <v/>
      </c>
      <c r="N6873">
        <f>IF(L6873="", "", L6873-B6873)</f>
        <v/>
      </c>
      <c r="O6873">
        <f>IF(L6873="", "Pending", IF(N6873&lt;=30, "Met", "Breached"))</f>
        <v/>
      </c>
      <c r="P6873" s="8" t="n"/>
      <c r="Q6873" s="8" t="n"/>
      <c r="R6873" s="8" t="n"/>
      <c r="S6873" s="8" t="n"/>
      <c r="T6873" s="8" t="n"/>
      <c r="U6873" s="8" t="n"/>
      <c r="V6873" s="8" t="n"/>
      <c r="W6873" s="8" t="n"/>
      <c r="X6873" s="8" t="n"/>
      <c r="Y6873" s="8" t="n"/>
    </row>
    <row r="6874">
      <c r="A6874" s="8" t="n"/>
      <c r="B6874" s="8" t="n"/>
      <c r="C6874" s="8" t="n"/>
      <c r="D6874" s="8" t="n"/>
      <c r="E6874" s="8" t="n"/>
      <c r="F6874" s="8" t="n"/>
      <c r="G6874" s="8" t="n"/>
      <c r="H6874" s="8" t="n"/>
      <c r="I6874" s="8" t="n"/>
      <c r="J6874" s="8" t="n"/>
      <c r="K6874" s="8" t="n"/>
      <c r="L6874" s="8" t="n"/>
      <c r="M6874" s="9">
        <f>B6874+30</f>
        <v/>
      </c>
      <c r="N6874">
        <f>IF(L6874="", "", L6874-B6874)</f>
        <v/>
      </c>
      <c r="O6874">
        <f>IF(L6874="", "Pending", IF(N6874&lt;=30, "Met", "Breached"))</f>
        <v/>
      </c>
      <c r="P6874" s="8" t="n"/>
      <c r="Q6874" s="8" t="n"/>
      <c r="R6874" s="8" t="n"/>
      <c r="S6874" s="8" t="n"/>
      <c r="T6874" s="8" t="n"/>
      <c r="U6874" s="8" t="n"/>
      <c r="V6874" s="8" t="n"/>
      <c r="W6874" s="8" t="n"/>
      <c r="X6874" s="8" t="n"/>
      <c r="Y6874" s="8" t="n"/>
    </row>
    <row r="6875">
      <c r="A6875" s="8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8" t="n"/>
      <c r="K6875" s="8" t="n"/>
      <c r="L6875" s="8" t="n"/>
      <c r="M6875" s="9">
        <f>B6875+30</f>
        <v/>
      </c>
      <c r="N6875">
        <f>IF(L6875="", "", L6875-B6875)</f>
        <v/>
      </c>
      <c r="O6875">
        <f>IF(L6875="", "Pending", IF(N6875&lt;=30, "Met", "Breached"))</f>
        <v/>
      </c>
      <c r="P6875" s="8" t="n"/>
      <c r="Q6875" s="8" t="n"/>
      <c r="R6875" s="8" t="n"/>
      <c r="S6875" s="8" t="n"/>
      <c r="T6875" s="8" t="n"/>
      <c r="U6875" s="8" t="n"/>
      <c r="V6875" s="8" t="n"/>
      <c r="W6875" s="8" t="n"/>
      <c r="X6875" s="8" t="n"/>
      <c r="Y6875" s="8" t="n"/>
    </row>
    <row r="6876">
      <c r="A6876" s="8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8" t="n"/>
      <c r="K6876" s="8" t="n"/>
      <c r="L6876" s="8" t="n"/>
      <c r="M6876" s="9">
        <f>B6876+30</f>
        <v/>
      </c>
      <c r="N6876">
        <f>IF(L6876="", "", L6876-B6876)</f>
        <v/>
      </c>
      <c r="O6876">
        <f>IF(L6876="", "Pending", IF(N6876&lt;=30, "Met", "Breached"))</f>
        <v/>
      </c>
      <c r="P6876" s="8" t="n"/>
      <c r="Q6876" s="8" t="n"/>
      <c r="R6876" s="8" t="n"/>
      <c r="S6876" s="8" t="n"/>
      <c r="T6876" s="8" t="n"/>
      <c r="U6876" s="8" t="n"/>
      <c r="V6876" s="8" t="n"/>
      <c r="W6876" s="8" t="n"/>
      <c r="X6876" s="8" t="n"/>
      <c r="Y6876" s="8" t="n"/>
    </row>
    <row r="6877">
      <c r="A6877" s="8" t="n"/>
      <c r="B6877" s="8" t="n"/>
      <c r="C6877" s="8" t="n"/>
      <c r="D6877" s="8" t="n"/>
      <c r="E6877" s="8" t="n"/>
      <c r="F6877" s="8" t="n"/>
      <c r="G6877" s="8" t="n"/>
      <c r="H6877" s="8" t="n"/>
      <c r="I6877" s="8" t="n"/>
      <c r="J6877" s="8" t="n"/>
      <c r="K6877" s="8" t="n"/>
      <c r="L6877" s="8" t="n"/>
      <c r="M6877" s="9">
        <f>B6877+30</f>
        <v/>
      </c>
      <c r="N6877">
        <f>IF(L6877="", "", L6877-B6877)</f>
        <v/>
      </c>
      <c r="O6877">
        <f>IF(L6877="", "Pending", IF(N6877&lt;=30, "Met", "Breached"))</f>
        <v/>
      </c>
      <c r="P6877" s="8" t="n"/>
      <c r="Q6877" s="8" t="n"/>
      <c r="R6877" s="8" t="n"/>
      <c r="S6877" s="8" t="n"/>
      <c r="T6877" s="8" t="n"/>
      <c r="U6877" s="8" t="n"/>
      <c r="V6877" s="8" t="n"/>
      <c r="W6877" s="8" t="n"/>
      <c r="X6877" s="8" t="n"/>
      <c r="Y6877" s="8" t="n"/>
    </row>
    <row r="6878">
      <c r="A6878" s="8" t="n"/>
      <c r="B6878" s="8" t="n"/>
      <c r="C6878" s="8" t="n"/>
      <c r="D6878" s="8" t="n"/>
      <c r="E6878" s="8" t="n"/>
      <c r="F6878" s="8" t="n"/>
      <c r="G6878" s="8" t="n"/>
      <c r="H6878" s="8" t="n"/>
      <c r="I6878" s="8" t="n"/>
      <c r="J6878" s="8" t="n"/>
      <c r="K6878" s="8" t="n"/>
      <c r="L6878" s="8" t="n"/>
      <c r="M6878" s="9">
        <f>B6878+30</f>
        <v/>
      </c>
      <c r="N6878">
        <f>IF(L6878="", "", L6878-B6878)</f>
        <v/>
      </c>
      <c r="O6878">
        <f>IF(L6878="", "Pending", IF(N6878&lt;=30, "Met", "Breached"))</f>
        <v/>
      </c>
      <c r="P6878" s="8" t="n"/>
      <c r="Q6878" s="8" t="n"/>
      <c r="R6878" s="8" t="n"/>
      <c r="S6878" s="8" t="n"/>
      <c r="T6878" s="8" t="n"/>
      <c r="U6878" s="8" t="n"/>
      <c r="V6878" s="8" t="n"/>
      <c r="W6878" s="8" t="n"/>
      <c r="X6878" s="8" t="n"/>
      <c r="Y6878" s="8" t="n"/>
    </row>
    <row r="6879">
      <c r="A6879" s="8" t="n"/>
      <c r="B6879" s="8" t="n"/>
      <c r="C6879" s="8" t="n"/>
      <c r="D6879" s="8" t="n"/>
      <c r="E6879" s="8" t="n"/>
      <c r="F6879" s="8" t="n"/>
      <c r="G6879" s="8" t="n"/>
      <c r="H6879" s="8" t="n"/>
      <c r="I6879" s="8" t="n"/>
      <c r="J6879" s="8" t="n"/>
      <c r="K6879" s="8" t="n"/>
      <c r="L6879" s="8" t="n"/>
      <c r="M6879" s="9">
        <f>B6879+30</f>
        <v/>
      </c>
      <c r="N6879">
        <f>IF(L6879="", "", L6879-B6879)</f>
        <v/>
      </c>
      <c r="O6879">
        <f>IF(L6879="", "Pending", IF(N6879&lt;=30, "Met", "Breached"))</f>
        <v/>
      </c>
      <c r="P6879" s="8" t="n"/>
      <c r="Q6879" s="8" t="n"/>
      <c r="R6879" s="8" t="n"/>
      <c r="S6879" s="8" t="n"/>
      <c r="T6879" s="8" t="n"/>
      <c r="U6879" s="8" t="n"/>
      <c r="V6879" s="8" t="n"/>
      <c r="W6879" s="8" t="n"/>
      <c r="X6879" s="8" t="n"/>
      <c r="Y6879" s="8" t="n"/>
    </row>
    <row r="6880">
      <c r="A6880" s="8" t="n"/>
      <c r="B6880" s="8" t="n"/>
      <c r="C6880" s="8" t="n"/>
      <c r="D6880" s="8" t="n"/>
      <c r="E6880" s="8" t="n"/>
      <c r="F6880" s="8" t="n"/>
      <c r="G6880" s="8" t="n"/>
      <c r="H6880" s="8" t="n"/>
      <c r="I6880" s="8" t="n"/>
      <c r="J6880" s="8" t="n"/>
      <c r="K6880" s="8" t="n"/>
      <c r="L6880" s="8" t="n"/>
      <c r="M6880" s="9">
        <f>B6880+30</f>
        <v/>
      </c>
      <c r="N6880">
        <f>IF(L6880="", "", L6880-B6880)</f>
        <v/>
      </c>
      <c r="O6880">
        <f>IF(L6880="", "Pending", IF(N6880&lt;=30, "Met", "Breached"))</f>
        <v/>
      </c>
      <c r="P6880" s="8" t="n"/>
      <c r="Q6880" s="8" t="n"/>
      <c r="R6880" s="8" t="n"/>
      <c r="S6880" s="8" t="n"/>
      <c r="T6880" s="8" t="n"/>
      <c r="U6880" s="8" t="n"/>
      <c r="V6880" s="8" t="n"/>
      <c r="W6880" s="8" t="n"/>
      <c r="X6880" s="8" t="n"/>
      <c r="Y6880" s="8" t="n"/>
    </row>
    <row r="6881">
      <c r="A6881" s="8" t="n"/>
      <c r="B6881" s="8" t="n"/>
      <c r="C6881" s="8" t="n"/>
      <c r="D6881" s="8" t="n"/>
      <c r="E6881" s="8" t="n"/>
      <c r="F6881" s="8" t="n"/>
      <c r="G6881" s="8" t="n"/>
      <c r="H6881" s="8" t="n"/>
      <c r="I6881" s="8" t="n"/>
      <c r="J6881" s="8" t="n"/>
      <c r="K6881" s="8" t="n"/>
      <c r="L6881" s="8" t="n"/>
      <c r="M6881" s="9">
        <f>B6881+30</f>
        <v/>
      </c>
      <c r="N6881">
        <f>IF(L6881="", "", L6881-B6881)</f>
        <v/>
      </c>
      <c r="O6881">
        <f>IF(L6881="", "Pending", IF(N6881&lt;=30, "Met", "Breached"))</f>
        <v/>
      </c>
      <c r="P6881" s="8" t="n"/>
      <c r="Q6881" s="8" t="n"/>
      <c r="R6881" s="8" t="n"/>
      <c r="S6881" s="8" t="n"/>
      <c r="T6881" s="8" t="n"/>
      <c r="U6881" s="8" t="n"/>
      <c r="V6881" s="8" t="n"/>
      <c r="W6881" s="8" t="n"/>
      <c r="X6881" s="8" t="n"/>
      <c r="Y6881" s="8" t="n"/>
    </row>
    <row r="6882">
      <c r="A6882" s="8" t="n"/>
      <c r="B6882" s="8" t="n"/>
      <c r="C6882" s="8" t="n"/>
      <c r="D6882" s="8" t="n"/>
      <c r="E6882" s="8" t="n"/>
      <c r="F6882" s="8" t="n"/>
      <c r="G6882" s="8" t="n"/>
      <c r="H6882" s="8" t="n"/>
      <c r="I6882" s="8" t="n"/>
      <c r="J6882" s="8" t="n"/>
      <c r="K6882" s="8" t="n"/>
      <c r="L6882" s="8" t="n"/>
      <c r="M6882" s="9">
        <f>B6882+30</f>
        <v/>
      </c>
      <c r="N6882">
        <f>IF(L6882="", "", L6882-B6882)</f>
        <v/>
      </c>
      <c r="O6882">
        <f>IF(L6882="", "Pending", IF(N6882&lt;=30, "Met", "Breached"))</f>
        <v/>
      </c>
      <c r="P6882" s="8" t="n"/>
      <c r="Q6882" s="8" t="n"/>
      <c r="R6882" s="8" t="n"/>
      <c r="S6882" s="8" t="n"/>
      <c r="T6882" s="8" t="n"/>
      <c r="U6882" s="8" t="n"/>
      <c r="V6882" s="8" t="n"/>
      <c r="W6882" s="8" t="n"/>
      <c r="X6882" s="8" t="n"/>
      <c r="Y6882" s="8" t="n"/>
    </row>
    <row r="6883">
      <c r="A6883" s="8" t="n"/>
      <c r="B6883" s="8" t="n"/>
      <c r="C6883" s="8" t="n"/>
      <c r="D6883" s="8" t="n"/>
      <c r="E6883" s="8" t="n"/>
      <c r="F6883" s="8" t="n"/>
      <c r="G6883" s="8" t="n"/>
      <c r="H6883" s="8" t="n"/>
      <c r="I6883" s="8" t="n"/>
      <c r="J6883" s="8" t="n"/>
      <c r="K6883" s="8" t="n"/>
      <c r="L6883" s="8" t="n"/>
      <c r="M6883" s="9">
        <f>B6883+30</f>
        <v/>
      </c>
      <c r="N6883">
        <f>IF(L6883="", "", L6883-B6883)</f>
        <v/>
      </c>
      <c r="O6883">
        <f>IF(L6883="", "Pending", IF(N6883&lt;=30, "Met", "Breached"))</f>
        <v/>
      </c>
      <c r="P6883" s="8" t="n"/>
      <c r="Q6883" s="8" t="n"/>
      <c r="R6883" s="8" t="n"/>
      <c r="S6883" s="8" t="n"/>
      <c r="T6883" s="8" t="n"/>
      <c r="U6883" s="8" t="n"/>
      <c r="V6883" s="8" t="n"/>
      <c r="W6883" s="8" t="n"/>
      <c r="X6883" s="8" t="n"/>
      <c r="Y6883" s="8" t="n"/>
    </row>
    <row r="6884">
      <c r="A6884" s="8" t="n"/>
      <c r="B6884" s="8" t="n"/>
      <c r="C6884" s="8" t="n"/>
      <c r="D6884" s="8" t="n"/>
      <c r="E6884" s="8" t="n"/>
      <c r="F6884" s="8" t="n"/>
      <c r="G6884" s="8" t="n"/>
      <c r="H6884" s="8" t="n"/>
      <c r="I6884" s="8" t="n"/>
      <c r="J6884" s="8" t="n"/>
      <c r="K6884" s="8" t="n"/>
      <c r="L6884" s="8" t="n"/>
      <c r="M6884" s="9">
        <f>B6884+30</f>
        <v/>
      </c>
      <c r="N6884">
        <f>IF(L6884="", "", L6884-B6884)</f>
        <v/>
      </c>
      <c r="O6884">
        <f>IF(L6884="", "Pending", IF(N6884&lt;=30, "Met", "Breached"))</f>
        <v/>
      </c>
      <c r="P6884" s="8" t="n"/>
      <c r="Q6884" s="8" t="n"/>
      <c r="R6884" s="8" t="n"/>
      <c r="S6884" s="8" t="n"/>
      <c r="T6884" s="8" t="n"/>
      <c r="U6884" s="8" t="n"/>
      <c r="V6884" s="8" t="n"/>
      <c r="W6884" s="8" t="n"/>
      <c r="X6884" s="8" t="n"/>
      <c r="Y6884" s="8" t="n"/>
    </row>
    <row r="6885">
      <c r="A6885" s="8" t="n"/>
      <c r="B6885" s="8" t="n"/>
      <c r="C6885" s="8" t="n"/>
      <c r="D6885" s="8" t="n"/>
      <c r="E6885" s="8" t="n"/>
      <c r="F6885" s="8" t="n"/>
      <c r="G6885" s="8" t="n"/>
      <c r="H6885" s="8" t="n"/>
      <c r="I6885" s="8" t="n"/>
      <c r="J6885" s="8" t="n"/>
      <c r="K6885" s="8" t="n"/>
      <c r="L6885" s="8" t="n"/>
      <c r="M6885" s="9">
        <f>B6885+30</f>
        <v/>
      </c>
      <c r="N6885">
        <f>IF(L6885="", "", L6885-B6885)</f>
        <v/>
      </c>
      <c r="O6885">
        <f>IF(L6885="", "Pending", IF(N6885&lt;=30, "Met", "Breached"))</f>
        <v/>
      </c>
      <c r="P6885" s="8" t="n"/>
      <c r="Q6885" s="8" t="n"/>
      <c r="R6885" s="8" t="n"/>
      <c r="S6885" s="8" t="n"/>
      <c r="T6885" s="8" t="n"/>
      <c r="U6885" s="8" t="n"/>
      <c r="V6885" s="8" t="n"/>
      <c r="W6885" s="8" t="n"/>
      <c r="X6885" s="8" t="n"/>
      <c r="Y6885" s="8" t="n"/>
    </row>
    <row r="6886">
      <c r="A6886" s="8" t="n"/>
      <c r="B6886" s="8" t="n"/>
      <c r="C6886" s="8" t="n"/>
      <c r="D6886" s="8" t="n"/>
      <c r="E6886" s="8" t="n"/>
      <c r="F6886" s="8" t="n"/>
      <c r="G6886" s="8" t="n"/>
      <c r="H6886" s="8" t="n"/>
      <c r="I6886" s="8" t="n"/>
      <c r="J6886" s="8" t="n"/>
      <c r="K6886" s="8" t="n"/>
      <c r="L6886" s="8" t="n"/>
      <c r="M6886" s="9">
        <f>B6886+30</f>
        <v/>
      </c>
      <c r="N6886">
        <f>IF(L6886="", "", L6886-B6886)</f>
        <v/>
      </c>
      <c r="O6886">
        <f>IF(L6886="", "Pending", IF(N6886&lt;=30, "Met", "Breached"))</f>
        <v/>
      </c>
      <c r="P6886" s="8" t="n"/>
      <c r="Q6886" s="8" t="n"/>
      <c r="R6886" s="8" t="n"/>
      <c r="S6886" s="8" t="n"/>
      <c r="T6886" s="8" t="n"/>
      <c r="U6886" s="8" t="n"/>
      <c r="V6886" s="8" t="n"/>
      <c r="W6886" s="8" t="n"/>
      <c r="X6886" s="8" t="n"/>
      <c r="Y6886" s="8" t="n"/>
    </row>
    <row r="6887">
      <c r="A6887" s="8" t="n"/>
      <c r="B6887" s="8" t="n"/>
      <c r="C6887" s="8" t="n"/>
      <c r="D6887" s="8" t="n"/>
      <c r="E6887" s="8" t="n"/>
      <c r="F6887" s="8" t="n"/>
      <c r="G6887" s="8" t="n"/>
      <c r="H6887" s="8" t="n"/>
      <c r="I6887" s="8" t="n"/>
      <c r="J6887" s="8" t="n"/>
      <c r="K6887" s="8" t="n"/>
      <c r="L6887" s="8" t="n"/>
      <c r="M6887" s="9">
        <f>B6887+30</f>
        <v/>
      </c>
      <c r="N6887">
        <f>IF(L6887="", "", L6887-B6887)</f>
        <v/>
      </c>
      <c r="O6887">
        <f>IF(L6887="", "Pending", IF(N6887&lt;=30, "Met", "Breached"))</f>
        <v/>
      </c>
      <c r="P6887" s="8" t="n"/>
      <c r="Q6887" s="8" t="n"/>
      <c r="R6887" s="8" t="n"/>
      <c r="S6887" s="8" t="n"/>
      <c r="T6887" s="8" t="n"/>
      <c r="U6887" s="8" t="n"/>
      <c r="V6887" s="8" t="n"/>
      <c r="W6887" s="8" t="n"/>
      <c r="X6887" s="8" t="n"/>
      <c r="Y6887" s="8" t="n"/>
    </row>
    <row r="6888">
      <c r="A6888" s="8" t="n"/>
      <c r="B6888" s="8" t="n"/>
      <c r="C6888" s="8" t="n"/>
      <c r="D6888" s="8" t="n"/>
      <c r="E6888" s="8" t="n"/>
      <c r="F6888" s="8" t="n"/>
      <c r="G6888" s="8" t="n"/>
      <c r="H6888" s="8" t="n"/>
      <c r="I6888" s="8" t="n"/>
      <c r="J6888" s="8" t="n"/>
      <c r="K6888" s="8" t="n"/>
      <c r="L6888" s="8" t="n"/>
      <c r="M6888" s="9">
        <f>B6888+30</f>
        <v/>
      </c>
      <c r="N6888">
        <f>IF(L6888="", "", L6888-B6888)</f>
        <v/>
      </c>
      <c r="O6888">
        <f>IF(L6888="", "Pending", IF(N6888&lt;=30, "Met", "Breached"))</f>
        <v/>
      </c>
      <c r="P6888" s="8" t="n"/>
      <c r="Q6888" s="8" t="n"/>
      <c r="R6888" s="8" t="n"/>
      <c r="S6888" s="8" t="n"/>
      <c r="T6888" s="8" t="n"/>
      <c r="U6888" s="8" t="n"/>
      <c r="V6888" s="8" t="n"/>
      <c r="W6888" s="8" t="n"/>
      <c r="X6888" s="8" t="n"/>
      <c r="Y6888" s="8" t="n"/>
    </row>
    <row r="6889">
      <c r="A6889" s="8" t="n"/>
      <c r="B6889" s="8" t="n"/>
      <c r="C6889" s="8" t="n"/>
      <c r="D6889" s="8" t="n"/>
      <c r="E6889" s="8" t="n"/>
      <c r="F6889" s="8" t="n"/>
      <c r="G6889" s="8" t="n"/>
      <c r="H6889" s="8" t="n"/>
      <c r="I6889" s="8" t="n"/>
      <c r="J6889" s="8" t="n"/>
      <c r="K6889" s="8" t="n"/>
      <c r="L6889" s="8" t="n"/>
      <c r="M6889" s="9">
        <f>B6889+30</f>
        <v/>
      </c>
      <c r="N6889">
        <f>IF(L6889="", "", L6889-B6889)</f>
        <v/>
      </c>
      <c r="O6889">
        <f>IF(L6889="", "Pending", IF(N6889&lt;=30, "Met", "Breached"))</f>
        <v/>
      </c>
      <c r="P6889" s="8" t="n"/>
      <c r="Q6889" s="8" t="n"/>
      <c r="R6889" s="8" t="n"/>
      <c r="S6889" s="8" t="n"/>
      <c r="T6889" s="8" t="n"/>
      <c r="U6889" s="8" t="n"/>
      <c r="V6889" s="8" t="n"/>
      <c r="W6889" s="8" t="n"/>
      <c r="X6889" s="8" t="n"/>
      <c r="Y6889" s="8" t="n"/>
    </row>
    <row r="6890">
      <c r="A6890" s="8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8" t="n"/>
      <c r="K6890" s="8" t="n"/>
      <c r="L6890" s="8" t="n"/>
      <c r="M6890" s="9">
        <f>B6890+30</f>
        <v/>
      </c>
      <c r="N6890">
        <f>IF(L6890="", "", L6890-B6890)</f>
        <v/>
      </c>
      <c r="O6890">
        <f>IF(L6890="", "Pending", IF(N6890&lt;=30, "Met", "Breached"))</f>
        <v/>
      </c>
      <c r="P6890" s="8" t="n"/>
      <c r="Q6890" s="8" t="n"/>
      <c r="R6890" s="8" t="n"/>
      <c r="S6890" s="8" t="n"/>
      <c r="T6890" s="8" t="n"/>
      <c r="U6890" s="8" t="n"/>
      <c r="V6890" s="8" t="n"/>
      <c r="W6890" s="8" t="n"/>
      <c r="X6890" s="8" t="n"/>
      <c r="Y6890" s="8" t="n"/>
    </row>
    <row r="6891">
      <c r="A6891" s="8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8" t="n"/>
      <c r="K6891" s="8" t="n"/>
      <c r="L6891" s="8" t="n"/>
      <c r="M6891" s="9">
        <f>B6891+30</f>
        <v/>
      </c>
      <c r="N6891">
        <f>IF(L6891="", "", L6891-B6891)</f>
        <v/>
      </c>
      <c r="O6891">
        <f>IF(L6891="", "Pending", IF(N6891&lt;=30, "Met", "Breached"))</f>
        <v/>
      </c>
      <c r="P6891" s="8" t="n"/>
      <c r="Q6891" s="8" t="n"/>
      <c r="R6891" s="8" t="n"/>
      <c r="S6891" s="8" t="n"/>
      <c r="T6891" s="8" t="n"/>
      <c r="U6891" s="8" t="n"/>
      <c r="V6891" s="8" t="n"/>
      <c r="W6891" s="8" t="n"/>
      <c r="X6891" s="8" t="n"/>
      <c r="Y6891" s="8" t="n"/>
    </row>
    <row r="6892">
      <c r="A6892" s="8" t="n"/>
      <c r="B6892" s="8" t="n"/>
      <c r="C6892" s="8" t="n"/>
      <c r="D6892" s="8" t="n"/>
      <c r="E6892" s="8" t="n"/>
      <c r="F6892" s="8" t="n"/>
      <c r="G6892" s="8" t="n"/>
      <c r="H6892" s="8" t="n"/>
      <c r="I6892" s="8" t="n"/>
      <c r="J6892" s="8" t="n"/>
      <c r="K6892" s="8" t="n"/>
      <c r="L6892" s="8" t="n"/>
      <c r="M6892" s="9">
        <f>B6892+30</f>
        <v/>
      </c>
      <c r="N6892">
        <f>IF(L6892="", "", L6892-B6892)</f>
        <v/>
      </c>
      <c r="O6892">
        <f>IF(L6892="", "Pending", IF(N6892&lt;=30, "Met", "Breached"))</f>
        <v/>
      </c>
      <c r="P6892" s="8" t="n"/>
      <c r="Q6892" s="8" t="n"/>
      <c r="R6892" s="8" t="n"/>
      <c r="S6892" s="8" t="n"/>
      <c r="T6892" s="8" t="n"/>
      <c r="U6892" s="8" t="n"/>
      <c r="V6892" s="8" t="n"/>
      <c r="W6892" s="8" t="n"/>
      <c r="X6892" s="8" t="n"/>
      <c r="Y6892" s="8" t="n"/>
    </row>
    <row r="6893">
      <c r="A6893" s="8" t="n"/>
      <c r="B6893" s="8" t="n"/>
      <c r="C6893" s="8" t="n"/>
      <c r="D6893" s="8" t="n"/>
      <c r="E6893" s="8" t="n"/>
      <c r="F6893" s="8" t="n"/>
      <c r="G6893" s="8" t="n"/>
      <c r="H6893" s="8" t="n"/>
      <c r="I6893" s="8" t="n"/>
      <c r="J6893" s="8" t="n"/>
      <c r="K6893" s="8" t="n"/>
      <c r="L6893" s="8" t="n"/>
      <c r="M6893" s="9">
        <f>B6893+30</f>
        <v/>
      </c>
      <c r="N6893">
        <f>IF(L6893="", "", L6893-B6893)</f>
        <v/>
      </c>
      <c r="O6893">
        <f>IF(L6893="", "Pending", IF(N6893&lt;=30, "Met", "Breached"))</f>
        <v/>
      </c>
      <c r="P6893" s="8" t="n"/>
      <c r="Q6893" s="8" t="n"/>
      <c r="R6893" s="8" t="n"/>
      <c r="S6893" s="8" t="n"/>
      <c r="T6893" s="8" t="n"/>
      <c r="U6893" s="8" t="n"/>
      <c r="V6893" s="8" t="n"/>
      <c r="W6893" s="8" t="n"/>
      <c r="X6893" s="8" t="n"/>
      <c r="Y6893" s="8" t="n"/>
    </row>
    <row r="6894">
      <c r="A6894" s="8" t="n"/>
      <c r="B6894" s="8" t="n"/>
      <c r="C6894" s="8" t="n"/>
      <c r="D6894" s="8" t="n"/>
      <c r="E6894" s="8" t="n"/>
      <c r="F6894" s="8" t="n"/>
      <c r="G6894" s="8" t="n"/>
      <c r="H6894" s="8" t="n"/>
      <c r="I6894" s="8" t="n"/>
      <c r="J6894" s="8" t="n"/>
      <c r="K6894" s="8" t="n"/>
      <c r="L6894" s="8" t="n"/>
      <c r="M6894" s="9">
        <f>B6894+30</f>
        <v/>
      </c>
      <c r="N6894">
        <f>IF(L6894="", "", L6894-B6894)</f>
        <v/>
      </c>
      <c r="O6894">
        <f>IF(L6894="", "Pending", IF(N6894&lt;=30, "Met", "Breached"))</f>
        <v/>
      </c>
      <c r="P6894" s="8" t="n"/>
      <c r="Q6894" s="8" t="n"/>
      <c r="R6894" s="8" t="n"/>
      <c r="S6894" s="8" t="n"/>
      <c r="T6894" s="8" t="n"/>
      <c r="U6894" s="8" t="n"/>
      <c r="V6894" s="8" t="n"/>
      <c r="W6894" s="8" t="n"/>
      <c r="X6894" s="8" t="n"/>
      <c r="Y6894" s="8" t="n"/>
    </row>
    <row r="6895">
      <c r="A6895" s="8" t="n"/>
      <c r="B6895" s="8" t="n"/>
      <c r="C6895" s="8" t="n"/>
      <c r="D6895" s="8" t="n"/>
      <c r="E6895" s="8" t="n"/>
      <c r="F6895" s="8" t="n"/>
      <c r="G6895" s="8" t="n"/>
      <c r="H6895" s="8" t="n"/>
      <c r="I6895" s="8" t="n"/>
      <c r="J6895" s="8" t="n"/>
      <c r="K6895" s="8" t="n"/>
      <c r="L6895" s="8" t="n"/>
      <c r="M6895" s="9">
        <f>B6895+30</f>
        <v/>
      </c>
      <c r="N6895">
        <f>IF(L6895="", "", L6895-B6895)</f>
        <v/>
      </c>
      <c r="O6895">
        <f>IF(L6895="", "Pending", IF(N6895&lt;=30, "Met", "Breached"))</f>
        <v/>
      </c>
      <c r="P6895" s="8" t="n"/>
      <c r="Q6895" s="8" t="n"/>
      <c r="R6895" s="8" t="n"/>
      <c r="S6895" s="8" t="n"/>
      <c r="T6895" s="8" t="n"/>
      <c r="U6895" s="8" t="n"/>
      <c r="V6895" s="8" t="n"/>
      <c r="W6895" s="8" t="n"/>
      <c r="X6895" s="8" t="n"/>
      <c r="Y6895" s="8" t="n"/>
    </row>
    <row r="6896">
      <c r="A6896" s="8" t="n"/>
      <c r="B6896" s="8" t="n"/>
      <c r="C6896" s="8" t="n"/>
      <c r="D6896" s="8" t="n"/>
      <c r="E6896" s="8" t="n"/>
      <c r="F6896" s="8" t="n"/>
      <c r="G6896" s="8" t="n"/>
      <c r="H6896" s="8" t="n"/>
      <c r="I6896" s="8" t="n"/>
      <c r="J6896" s="8" t="n"/>
      <c r="K6896" s="8" t="n"/>
      <c r="L6896" s="8" t="n"/>
      <c r="M6896" s="9">
        <f>B6896+30</f>
        <v/>
      </c>
      <c r="N6896">
        <f>IF(L6896="", "", L6896-B6896)</f>
        <v/>
      </c>
      <c r="O6896">
        <f>IF(L6896="", "Pending", IF(N6896&lt;=30, "Met", "Breached"))</f>
        <v/>
      </c>
      <c r="P6896" s="8" t="n"/>
      <c r="Q6896" s="8" t="n"/>
      <c r="R6896" s="8" t="n"/>
      <c r="S6896" s="8" t="n"/>
      <c r="T6896" s="8" t="n"/>
      <c r="U6896" s="8" t="n"/>
      <c r="V6896" s="8" t="n"/>
      <c r="W6896" s="8" t="n"/>
      <c r="X6896" s="8" t="n"/>
      <c r="Y6896" s="8" t="n"/>
    </row>
    <row r="6897">
      <c r="A6897" s="8" t="n"/>
      <c r="B6897" s="8" t="n"/>
      <c r="C6897" s="8" t="n"/>
      <c r="D6897" s="8" t="n"/>
      <c r="E6897" s="8" t="n"/>
      <c r="F6897" s="8" t="n"/>
      <c r="G6897" s="8" t="n"/>
      <c r="H6897" s="8" t="n"/>
      <c r="I6897" s="8" t="n"/>
      <c r="J6897" s="8" t="n"/>
      <c r="K6897" s="8" t="n"/>
      <c r="L6897" s="8" t="n"/>
      <c r="M6897" s="9">
        <f>B6897+30</f>
        <v/>
      </c>
      <c r="N6897">
        <f>IF(L6897="", "", L6897-B6897)</f>
        <v/>
      </c>
      <c r="O6897">
        <f>IF(L6897="", "Pending", IF(N6897&lt;=30, "Met", "Breached"))</f>
        <v/>
      </c>
      <c r="P6897" s="8" t="n"/>
      <c r="Q6897" s="8" t="n"/>
      <c r="R6897" s="8" t="n"/>
      <c r="S6897" s="8" t="n"/>
      <c r="T6897" s="8" t="n"/>
      <c r="U6897" s="8" t="n"/>
      <c r="V6897" s="8" t="n"/>
      <c r="W6897" s="8" t="n"/>
      <c r="X6897" s="8" t="n"/>
      <c r="Y6897" s="8" t="n"/>
    </row>
    <row r="6898">
      <c r="A6898" s="8" t="n"/>
      <c r="B6898" s="8" t="n"/>
      <c r="C6898" s="8" t="n"/>
      <c r="D6898" s="8" t="n"/>
      <c r="E6898" s="8" t="n"/>
      <c r="F6898" s="8" t="n"/>
      <c r="G6898" s="8" t="n"/>
      <c r="H6898" s="8" t="n"/>
      <c r="I6898" s="8" t="n"/>
      <c r="J6898" s="8" t="n"/>
      <c r="K6898" s="8" t="n"/>
      <c r="L6898" s="8" t="n"/>
      <c r="M6898" s="9">
        <f>B6898+30</f>
        <v/>
      </c>
      <c r="N6898">
        <f>IF(L6898="", "", L6898-B6898)</f>
        <v/>
      </c>
      <c r="O6898">
        <f>IF(L6898="", "Pending", IF(N6898&lt;=30, "Met", "Breached"))</f>
        <v/>
      </c>
      <c r="P6898" s="8" t="n"/>
      <c r="Q6898" s="8" t="n"/>
      <c r="R6898" s="8" t="n"/>
      <c r="S6898" s="8" t="n"/>
      <c r="T6898" s="8" t="n"/>
      <c r="U6898" s="8" t="n"/>
      <c r="V6898" s="8" t="n"/>
      <c r="W6898" s="8" t="n"/>
      <c r="X6898" s="8" t="n"/>
      <c r="Y6898" s="8" t="n"/>
    </row>
    <row r="6899">
      <c r="A6899" s="8" t="n"/>
      <c r="B6899" s="8" t="n"/>
      <c r="C6899" s="8" t="n"/>
      <c r="D6899" s="8" t="n"/>
      <c r="E6899" s="8" t="n"/>
      <c r="F6899" s="8" t="n"/>
      <c r="G6899" s="8" t="n"/>
      <c r="H6899" s="8" t="n"/>
      <c r="I6899" s="8" t="n"/>
      <c r="J6899" s="8" t="n"/>
      <c r="K6899" s="8" t="n"/>
      <c r="L6899" s="8" t="n"/>
      <c r="M6899" s="9">
        <f>B6899+30</f>
        <v/>
      </c>
      <c r="N6899">
        <f>IF(L6899="", "", L6899-B6899)</f>
        <v/>
      </c>
      <c r="O6899">
        <f>IF(L6899="", "Pending", IF(N6899&lt;=30, "Met", "Breached"))</f>
        <v/>
      </c>
      <c r="P6899" s="8" t="n"/>
      <c r="Q6899" s="8" t="n"/>
      <c r="R6899" s="8" t="n"/>
      <c r="S6899" s="8" t="n"/>
      <c r="T6899" s="8" t="n"/>
      <c r="U6899" s="8" t="n"/>
      <c r="V6899" s="8" t="n"/>
      <c r="W6899" s="8" t="n"/>
      <c r="X6899" s="8" t="n"/>
      <c r="Y6899" s="8" t="n"/>
    </row>
    <row r="6900">
      <c r="A6900" s="8" t="n"/>
      <c r="B6900" s="8" t="n"/>
      <c r="C6900" s="8" t="n"/>
      <c r="D6900" s="8" t="n"/>
      <c r="E6900" s="8" t="n"/>
      <c r="F6900" s="8" t="n"/>
      <c r="G6900" s="8" t="n"/>
      <c r="H6900" s="8" t="n"/>
      <c r="I6900" s="8" t="n"/>
      <c r="J6900" s="8" t="n"/>
      <c r="K6900" s="8" t="n"/>
      <c r="L6900" s="8" t="n"/>
      <c r="M6900" s="9">
        <f>B6900+30</f>
        <v/>
      </c>
      <c r="N6900">
        <f>IF(L6900="", "", L6900-B6900)</f>
        <v/>
      </c>
      <c r="O6900">
        <f>IF(L6900="", "Pending", IF(N6900&lt;=30, "Met", "Breached"))</f>
        <v/>
      </c>
      <c r="P6900" s="8" t="n"/>
      <c r="Q6900" s="8" t="n"/>
      <c r="R6900" s="8" t="n"/>
      <c r="S6900" s="8" t="n"/>
      <c r="T6900" s="8" t="n"/>
      <c r="U6900" s="8" t="n"/>
      <c r="V6900" s="8" t="n"/>
      <c r="W6900" s="8" t="n"/>
      <c r="X6900" s="8" t="n"/>
      <c r="Y6900" s="8" t="n"/>
    </row>
    <row r="6901">
      <c r="A6901" s="8" t="n"/>
      <c r="B6901" s="8" t="n"/>
      <c r="C6901" s="8" t="n"/>
      <c r="D6901" s="8" t="n"/>
      <c r="E6901" s="8" t="n"/>
      <c r="F6901" s="8" t="n"/>
      <c r="G6901" s="8" t="n"/>
      <c r="H6901" s="8" t="n"/>
      <c r="I6901" s="8" t="n"/>
      <c r="J6901" s="8" t="n"/>
      <c r="K6901" s="8" t="n"/>
      <c r="L6901" s="8" t="n"/>
      <c r="M6901" s="9">
        <f>B6901+30</f>
        <v/>
      </c>
      <c r="N6901">
        <f>IF(L6901="", "", L6901-B6901)</f>
        <v/>
      </c>
      <c r="O6901">
        <f>IF(L6901="", "Pending", IF(N6901&lt;=30, "Met", "Breached"))</f>
        <v/>
      </c>
      <c r="P6901" s="8" t="n"/>
      <c r="Q6901" s="8" t="n"/>
      <c r="R6901" s="8" t="n"/>
      <c r="S6901" s="8" t="n"/>
      <c r="T6901" s="8" t="n"/>
      <c r="U6901" s="8" t="n"/>
      <c r="V6901" s="8" t="n"/>
      <c r="W6901" s="8" t="n"/>
      <c r="X6901" s="8" t="n"/>
      <c r="Y6901" s="8" t="n"/>
    </row>
    <row r="6902">
      <c r="A6902" s="8" t="n"/>
      <c r="B6902" s="8" t="n"/>
      <c r="C6902" s="8" t="n"/>
      <c r="D6902" s="8" t="n"/>
      <c r="E6902" s="8" t="n"/>
      <c r="F6902" s="8" t="n"/>
      <c r="G6902" s="8" t="n"/>
      <c r="H6902" s="8" t="n"/>
      <c r="I6902" s="8" t="n"/>
      <c r="J6902" s="8" t="n"/>
      <c r="K6902" s="8" t="n"/>
      <c r="L6902" s="8" t="n"/>
      <c r="M6902" s="9">
        <f>B6902+30</f>
        <v/>
      </c>
      <c r="N6902">
        <f>IF(L6902="", "", L6902-B6902)</f>
        <v/>
      </c>
      <c r="O6902">
        <f>IF(L6902="", "Pending", IF(N6902&lt;=30, "Met", "Breached"))</f>
        <v/>
      </c>
      <c r="P6902" s="8" t="n"/>
      <c r="Q6902" s="8" t="n"/>
      <c r="R6902" s="8" t="n"/>
      <c r="S6902" s="8" t="n"/>
      <c r="T6902" s="8" t="n"/>
      <c r="U6902" s="8" t="n"/>
      <c r="V6902" s="8" t="n"/>
      <c r="W6902" s="8" t="n"/>
      <c r="X6902" s="8" t="n"/>
      <c r="Y6902" s="8" t="n"/>
    </row>
    <row r="6903">
      <c r="A6903" s="8" t="n"/>
      <c r="B6903" s="8" t="n"/>
      <c r="C6903" s="8" t="n"/>
      <c r="D6903" s="8" t="n"/>
      <c r="E6903" s="8" t="n"/>
      <c r="F6903" s="8" t="n"/>
      <c r="G6903" s="8" t="n"/>
      <c r="H6903" s="8" t="n"/>
      <c r="I6903" s="8" t="n"/>
      <c r="J6903" s="8" t="n"/>
      <c r="K6903" s="8" t="n"/>
      <c r="L6903" s="8" t="n"/>
      <c r="M6903" s="9">
        <f>B6903+30</f>
        <v/>
      </c>
      <c r="N6903">
        <f>IF(L6903="", "", L6903-B6903)</f>
        <v/>
      </c>
      <c r="O6903">
        <f>IF(L6903="", "Pending", IF(N6903&lt;=30, "Met", "Breached"))</f>
        <v/>
      </c>
      <c r="P6903" s="8" t="n"/>
      <c r="Q6903" s="8" t="n"/>
      <c r="R6903" s="8" t="n"/>
      <c r="S6903" s="8" t="n"/>
      <c r="T6903" s="8" t="n"/>
      <c r="U6903" s="8" t="n"/>
      <c r="V6903" s="8" t="n"/>
      <c r="W6903" s="8" t="n"/>
      <c r="X6903" s="8" t="n"/>
      <c r="Y6903" s="8" t="n"/>
    </row>
    <row r="6904">
      <c r="A6904" s="8" t="n"/>
      <c r="B6904" s="8" t="n"/>
      <c r="C6904" s="8" t="n"/>
      <c r="D6904" s="8" t="n"/>
      <c r="E6904" s="8" t="n"/>
      <c r="F6904" s="8" t="n"/>
      <c r="G6904" s="8" t="n"/>
      <c r="H6904" s="8" t="n"/>
      <c r="I6904" s="8" t="n"/>
      <c r="J6904" s="8" t="n"/>
      <c r="K6904" s="8" t="n"/>
      <c r="L6904" s="8" t="n"/>
      <c r="M6904" s="9">
        <f>B6904+30</f>
        <v/>
      </c>
      <c r="N6904">
        <f>IF(L6904="", "", L6904-B6904)</f>
        <v/>
      </c>
      <c r="O6904">
        <f>IF(L6904="", "Pending", IF(N6904&lt;=30, "Met", "Breached"))</f>
        <v/>
      </c>
      <c r="P6904" s="8" t="n"/>
      <c r="Q6904" s="8" t="n"/>
      <c r="R6904" s="8" t="n"/>
      <c r="S6904" s="8" t="n"/>
      <c r="T6904" s="8" t="n"/>
      <c r="U6904" s="8" t="n"/>
      <c r="V6904" s="8" t="n"/>
      <c r="W6904" s="8" t="n"/>
      <c r="X6904" s="8" t="n"/>
      <c r="Y6904" s="8" t="n"/>
    </row>
    <row r="6905">
      <c r="A6905" s="8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8" t="n"/>
      <c r="K6905" s="8" t="n"/>
      <c r="L6905" s="8" t="n"/>
      <c r="M6905" s="9">
        <f>B6905+30</f>
        <v/>
      </c>
      <c r="N6905">
        <f>IF(L6905="", "", L6905-B6905)</f>
        <v/>
      </c>
      <c r="O6905">
        <f>IF(L6905="", "Pending", IF(N6905&lt;=30, "Met", "Breached"))</f>
        <v/>
      </c>
      <c r="P6905" s="8" t="n"/>
      <c r="Q6905" s="8" t="n"/>
      <c r="R6905" s="8" t="n"/>
      <c r="S6905" s="8" t="n"/>
      <c r="T6905" s="8" t="n"/>
      <c r="U6905" s="8" t="n"/>
      <c r="V6905" s="8" t="n"/>
      <c r="W6905" s="8" t="n"/>
      <c r="X6905" s="8" t="n"/>
      <c r="Y6905" s="8" t="n"/>
    </row>
    <row r="6906">
      <c r="A6906" s="8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8" t="n"/>
      <c r="K6906" s="8" t="n"/>
      <c r="L6906" s="8" t="n"/>
      <c r="M6906" s="9">
        <f>B6906+30</f>
        <v/>
      </c>
      <c r="N6906">
        <f>IF(L6906="", "", L6906-B6906)</f>
        <v/>
      </c>
      <c r="O6906">
        <f>IF(L6906="", "Pending", IF(N6906&lt;=30, "Met", "Breached"))</f>
        <v/>
      </c>
      <c r="P6906" s="8" t="n"/>
      <c r="Q6906" s="8" t="n"/>
      <c r="R6906" s="8" t="n"/>
      <c r="S6906" s="8" t="n"/>
      <c r="T6906" s="8" t="n"/>
      <c r="U6906" s="8" t="n"/>
      <c r="V6906" s="8" t="n"/>
      <c r="W6906" s="8" t="n"/>
      <c r="X6906" s="8" t="n"/>
      <c r="Y6906" s="8" t="n"/>
    </row>
    <row r="6907">
      <c r="A6907" s="8" t="n"/>
      <c r="B6907" s="8" t="n"/>
      <c r="C6907" s="8" t="n"/>
      <c r="D6907" s="8" t="n"/>
      <c r="E6907" s="8" t="n"/>
      <c r="F6907" s="8" t="n"/>
      <c r="G6907" s="8" t="n"/>
      <c r="H6907" s="8" t="n"/>
      <c r="I6907" s="8" t="n"/>
      <c r="J6907" s="8" t="n"/>
      <c r="K6907" s="8" t="n"/>
      <c r="L6907" s="8" t="n"/>
      <c r="M6907" s="9">
        <f>B6907+30</f>
        <v/>
      </c>
      <c r="N6907">
        <f>IF(L6907="", "", L6907-B6907)</f>
        <v/>
      </c>
      <c r="O6907">
        <f>IF(L6907="", "Pending", IF(N6907&lt;=30, "Met", "Breached"))</f>
        <v/>
      </c>
      <c r="P6907" s="8" t="n"/>
      <c r="Q6907" s="8" t="n"/>
      <c r="R6907" s="8" t="n"/>
      <c r="S6907" s="8" t="n"/>
      <c r="T6907" s="8" t="n"/>
      <c r="U6907" s="8" t="n"/>
      <c r="V6907" s="8" t="n"/>
      <c r="W6907" s="8" t="n"/>
      <c r="X6907" s="8" t="n"/>
      <c r="Y6907" s="8" t="n"/>
    </row>
    <row r="6908">
      <c r="A6908" s="8" t="n"/>
      <c r="B6908" s="8" t="n"/>
      <c r="C6908" s="8" t="n"/>
      <c r="D6908" s="8" t="n"/>
      <c r="E6908" s="8" t="n"/>
      <c r="F6908" s="8" t="n"/>
      <c r="G6908" s="8" t="n"/>
      <c r="H6908" s="8" t="n"/>
      <c r="I6908" s="8" t="n"/>
      <c r="J6908" s="8" t="n"/>
      <c r="K6908" s="8" t="n"/>
      <c r="L6908" s="8" t="n"/>
      <c r="M6908" s="9">
        <f>B6908+30</f>
        <v/>
      </c>
      <c r="N6908">
        <f>IF(L6908="", "", L6908-B6908)</f>
        <v/>
      </c>
      <c r="O6908">
        <f>IF(L6908="", "Pending", IF(N6908&lt;=30, "Met", "Breached"))</f>
        <v/>
      </c>
      <c r="P6908" s="8" t="n"/>
      <c r="Q6908" s="8" t="n"/>
      <c r="R6908" s="8" t="n"/>
      <c r="S6908" s="8" t="n"/>
      <c r="T6908" s="8" t="n"/>
      <c r="U6908" s="8" t="n"/>
      <c r="V6908" s="8" t="n"/>
      <c r="W6908" s="8" t="n"/>
      <c r="X6908" s="8" t="n"/>
      <c r="Y6908" s="8" t="n"/>
    </row>
    <row r="6909">
      <c r="A6909" s="8" t="n"/>
      <c r="B6909" s="8" t="n"/>
      <c r="C6909" s="8" t="n"/>
      <c r="D6909" s="8" t="n"/>
      <c r="E6909" s="8" t="n"/>
      <c r="F6909" s="8" t="n"/>
      <c r="G6909" s="8" t="n"/>
      <c r="H6909" s="8" t="n"/>
      <c r="I6909" s="8" t="n"/>
      <c r="J6909" s="8" t="n"/>
      <c r="K6909" s="8" t="n"/>
      <c r="L6909" s="8" t="n"/>
      <c r="M6909" s="9">
        <f>B6909+30</f>
        <v/>
      </c>
      <c r="N6909">
        <f>IF(L6909="", "", L6909-B6909)</f>
        <v/>
      </c>
      <c r="O6909">
        <f>IF(L6909="", "Pending", IF(N6909&lt;=30, "Met", "Breached"))</f>
        <v/>
      </c>
      <c r="P6909" s="8" t="n"/>
      <c r="Q6909" s="8" t="n"/>
      <c r="R6909" s="8" t="n"/>
      <c r="S6909" s="8" t="n"/>
      <c r="T6909" s="8" t="n"/>
      <c r="U6909" s="8" t="n"/>
      <c r="V6909" s="8" t="n"/>
      <c r="W6909" s="8" t="n"/>
      <c r="X6909" s="8" t="n"/>
      <c r="Y6909" s="8" t="n"/>
    </row>
    <row r="6910">
      <c r="A6910" s="8" t="n"/>
      <c r="B6910" s="8" t="n"/>
      <c r="C6910" s="8" t="n"/>
      <c r="D6910" s="8" t="n"/>
      <c r="E6910" s="8" t="n"/>
      <c r="F6910" s="8" t="n"/>
      <c r="G6910" s="8" t="n"/>
      <c r="H6910" s="8" t="n"/>
      <c r="I6910" s="8" t="n"/>
      <c r="J6910" s="8" t="n"/>
      <c r="K6910" s="8" t="n"/>
      <c r="L6910" s="8" t="n"/>
      <c r="M6910" s="9">
        <f>B6910+30</f>
        <v/>
      </c>
      <c r="N6910">
        <f>IF(L6910="", "", L6910-B6910)</f>
        <v/>
      </c>
      <c r="O6910">
        <f>IF(L6910="", "Pending", IF(N6910&lt;=30, "Met", "Breached"))</f>
        <v/>
      </c>
      <c r="P6910" s="8" t="n"/>
      <c r="Q6910" s="8" t="n"/>
      <c r="R6910" s="8" t="n"/>
      <c r="S6910" s="8" t="n"/>
      <c r="T6910" s="8" t="n"/>
      <c r="U6910" s="8" t="n"/>
      <c r="V6910" s="8" t="n"/>
      <c r="W6910" s="8" t="n"/>
      <c r="X6910" s="8" t="n"/>
      <c r="Y6910" s="8" t="n"/>
    </row>
    <row r="6911">
      <c r="A6911" s="8" t="n"/>
      <c r="B6911" s="8" t="n"/>
      <c r="C6911" s="8" t="n"/>
      <c r="D6911" s="8" t="n"/>
      <c r="E6911" s="8" t="n"/>
      <c r="F6911" s="8" t="n"/>
      <c r="G6911" s="8" t="n"/>
      <c r="H6911" s="8" t="n"/>
      <c r="I6911" s="8" t="n"/>
      <c r="J6911" s="8" t="n"/>
      <c r="K6911" s="8" t="n"/>
      <c r="L6911" s="8" t="n"/>
      <c r="M6911" s="9">
        <f>B6911+30</f>
        <v/>
      </c>
      <c r="N6911">
        <f>IF(L6911="", "", L6911-B6911)</f>
        <v/>
      </c>
      <c r="O6911">
        <f>IF(L6911="", "Pending", IF(N6911&lt;=30, "Met", "Breached"))</f>
        <v/>
      </c>
      <c r="P6911" s="8" t="n"/>
      <c r="Q6911" s="8" t="n"/>
      <c r="R6911" s="8" t="n"/>
      <c r="S6911" s="8" t="n"/>
      <c r="T6911" s="8" t="n"/>
      <c r="U6911" s="8" t="n"/>
      <c r="V6911" s="8" t="n"/>
      <c r="W6911" s="8" t="n"/>
      <c r="X6911" s="8" t="n"/>
      <c r="Y6911" s="8" t="n"/>
    </row>
    <row r="6912">
      <c r="A6912" s="8" t="n"/>
      <c r="B6912" s="8" t="n"/>
      <c r="C6912" s="8" t="n"/>
      <c r="D6912" s="8" t="n"/>
      <c r="E6912" s="8" t="n"/>
      <c r="F6912" s="8" t="n"/>
      <c r="G6912" s="8" t="n"/>
      <c r="H6912" s="8" t="n"/>
      <c r="I6912" s="8" t="n"/>
      <c r="J6912" s="8" t="n"/>
      <c r="K6912" s="8" t="n"/>
      <c r="L6912" s="8" t="n"/>
      <c r="M6912" s="9">
        <f>B6912+30</f>
        <v/>
      </c>
      <c r="N6912">
        <f>IF(L6912="", "", L6912-B6912)</f>
        <v/>
      </c>
      <c r="O6912">
        <f>IF(L6912="", "Pending", IF(N6912&lt;=30, "Met", "Breached"))</f>
        <v/>
      </c>
      <c r="P6912" s="8" t="n"/>
      <c r="Q6912" s="8" t="n"/>
      <c r="R6912" s="8" t="n"/>
      <c r="S6912" s="8" t="n"/>
      <c r="T6912" s="8" t="n"/>
      <c r="U6912" s="8" t="n"/>
      <c r="V6912" s="8" t="n"/>
      <c r="W6912" s="8" t="n"/>
      <c r="X6912" s="8" t="n"/>
      <c r="Y6912" s="8" t="n"/>
    </row>
    <row r="6913">
      <c r="A6913" s="8" t="n"/>
      <c r="B6913" s="8" t="n"/>
      <c r="C6913" s="8" t="n"/>
      <c r="D6913" s="8" t="n"/>
      <c r="E6913" s="8" t="n"/>
      <c r="F6913" s="8" t="n"/>
      <c r="G6913" s="8" t="n"/>
      <c r="H6913" s="8" t="n"/>
      <c r="I6913" s="8" t="n"/>
      <c r="J6913" s="8" t="n"/>
      <c r="K6913" s="8" t="n"/>
      <c r="L6913" s="8" t="n"/>
      <c r="M6913" s="9">
        <f>B6913+30</f>
        <v/>
      </c>
      <c r="N6913">
        <f>IF(L6913="", "", L6913-B6913)</f>
        <v/>
      </c>
      <c r="O6913">
        <f>IF(L6913="", "Pending", IF(N6913&lt;=30, "Met", "Breached"))</f>
        <v/>
      </c>
      <c r="P6913" s="8" t="n"/>
      <c r="Q6913" s="8" t="n"/>
      <c r="R6913" s="8" t="n"/>
      <c r="S6913" s="8" t="n"/>
      <c r="T6913" s="8" t="n"/>
      <c r="U6913" s="8" t="n"/>
      <c r="V6913" s="8" t="n"/>
      <c r="W6913" s="8" t="n"/>
      <c r="X6913" s="8" t="n"/>
      <c r="Y6913" s="8" t="n"/>
    </row>
    <row r="6914">
      <c r="A6914" s="8" t="n"/>
      <c r="B6914" s="8" t="n"/>
      <c r="C6914" s="8" t="n"/>
      <c r="D6914" s="8" t="n"/>
      <c r="E6914" s="8" t="n"/>
      <c r="F6914" s="8" t="n"/>
      <c r="G6914" s="8" t="n"/>
      <c r="H6914" s="8" t="n"/>
      <c r="I6914" s="8" t="n"/>
      <c r="J6914" s="8" t="n"/>
      <c r="K6914" s="8" t="n"/>
      <c r="L6914" s="8" t="n"/>
      <c r="M6914" s="9">
        <f>B6914+30</f>
        <v/>
      </c>
      <c r="N6914">
        <f>IF(L6914="", "", L6914-B6914)</f>
        <v/>
      </c>
      <c r="O6914">
        <f>IF(L6914="", "Pending", IF(N6914&lt;=30, "Met", "Breached"))</f>
        <v/>
      </c>
      <c r="P6914" s="8" t="n"/>
      <c r="Q6914" s="8" t="n"/>
      <c r="R6914" s="8" t="n"/>
      <c r="S6914" s="8" t="n"/>
      <c r="T6914" s="8" t="n"/>
      <c r="U6914" s="8" t="n"/>
      <c r="V6914" s="8" t="n"/>
      <c r="W6914" s="8" t="n"/>
      <c r="X6914" s="8" t="n"/>
      <c r="Y6914" s="8" t="n"/>
    </row>
    <row r="6915">
      <c r="A6915" s="8" t="n"/>
      <c r="B6915" s="8" t="n"/>
      <c r="C6915" s="8" t="n"/>
      <c r="D6915" s="8" t="n"/>
      <c r="E6915" s="8" t="n"/>
      <c r="F6915" s="8" t="n"/>
      <c r="G6915" s="8" t="n"/>
      <c r="H6915" s="8" t="n"/>
      <c r="I6915" s="8" t="n"/>
      <c r="J6915" s="8" t="n"/>
      <c r="K6915" s="8" t="n"/>
      <c r="L6915" s="8" t="n"/>
      <c r="M6915" s="9">
        <f>B6915+30</f>
        <v/>
      </c>
      <c r="N6915">
        <f>IF(L6915="", "", L6915-B6915)</f>
        <v/>
      </c>
      <c r="O6915">
        <f>IF(L6915="", "Pending", IF(N6915&lt;=30, "Met", "Breached"))</f>
        <v/>
      </c>
      <c r="P6915" s="8" t="n"/>
      <c r="Q6915" s="8" t="n"/>
      <c r="R6915" s="8" t="n"/>
      <c r="S6915" s="8" t="n"/>
      <c r="T6915" s="8" t="n"/>
      <c r="U6915" s="8" t="n"/>
      <c r="V6915" s="8" t="n"/>
      <c r="W6915" s="8" t="n"/>
      <c r="X6915" s="8" t="n"/>
      <c r="Y6915" s="8" t="n"/>
    </row>
    <row r="6916">
      <c r="A6916" s="8" t="n"/>
      <c r="B6916" s="8" t="n"/>
      <c r="C6916" s="8" t="n"/>
      <c r="D6916" s="8" t="n"/>
      <c r="E6916" s="8" t="n"/>
      <c r="F6916" s="8" t="n"/>
      <c r="G6916" s="8" t="n"/>
      <c r="H6916" s="8" t="n"/>
      <c r="I6916" s="8" t="n"/>
      <c r="J6916" s="8" t="n"/>
      <c r="K6916" s="8" t="n"/>
      <c r="L6916" s="8" t="n"/>
      <c r="M6916" s="9">
        <f>B6916+30</f>
        <v/>
      </c>
      <c r="N6916">
        <f>IF(L6916="", "", L6916-B6916)</f>
        <v/>
      </c>
      <c r="O6916">
        <f>IF(L6916="", "Pending", IF(N6916&lt;=30, "Met", "Breached"))</f>
        <v/>
      </c>
      <c r="P6916" s="8" t="n"/>
      <c r="Q6916" s="8" t="n"/>
      <c r="R6916" s="8" t="n"/>
      <c r="S6916" s="8" t="n"/>
      <c r="T6916" s="8" t="n"/>
      <c r="U6916" s="8" t="n"/>
      <c r="V6916" s="8" t="n"/>
      <c r="W6916" s="8" t="n"/>
      <c r="X6916" s="8" t="n"/>
      <c r="Y6916" s="8" t="n"/>
    </row>
    <row r="6917">
      <c r="A6917" s="8" t="n"/>
      <c r="B6917" s="8" t="n"/>
      <c r="C6917" s="8" t="n"/>
      <c r="D6917" s="8" t="n"/>
      <c r="E6917" s="8" t="n"/>
      <c r="F6917" s="8" t="n"/>
      <c r="G6917" s="8" t="n"/>
      <c r="H6917" s="8" t="n"/>
      <c r="I6917" s="8" t="n"/>
      <c r="J6917" s="8" t="n"/>
      <c r="K6917" s="8" t="n"/>
      <c r="L6917" s="8" t="n"/>
      <c r="M6917" s="9">
        <f>B6917+30</f>
        <v/>
      </c>
      <c r="N6917">
        <f>IF(L6917="", "", L6917-B6917)</f>
        <v/>
      </c>
      <c r="O6917">
        <f>IF(L6917="", "Pending", IF(N6917&lt;=30, "Met", "Breached"))</f>
        <v/>
      </c>
      <c r="P6917" s="8" t="n"/>
      <c r="Q6917" s="8" t="n"/>
      <c r="R6917" s="8" t="n"/>
      <c r="S6917" s="8" t="n"/>
      <c r="T6917" s="8" t="n"/>
      <c r="U6917" s="8" t="n"/>
      <c r="V6917" s="8" t="n"/>
      <c r="W6917" s="8" t="n"/>
      <c r="X6917" s="8" t="n"/>
      <c r="Y6917" s="8" t="n"/>
    </row>
    <row r="6918">
      <c r="A6918" s="8" t="n"/>
      <c r="B6918" s="8" t="n"/>
      <c r="C6918" s="8" t="n"/>
      <c r="D6918" s="8" t="n"/>
      <c r="E6918" s="8" t="n"/>
      <c r="F6918" s="8" t="n"/>
      <c r="G6918" s="8" t="n"/>
      <c r="H6918" s="8" t="n"/>
      <c r="I6918" s="8" t="n"/>
      <c r="J6918" s="8" t="n"/>
      <c r="K6918" s="8" t="n"/>
      <c r="L6918" s="8" t="n"/>
      <c r="M6918" s="9">
        <f>B6918+30</f>
        <v/>
      </c>
      <c r="N6918">
        <f>IF(L6918="", "", L6918-B6918)</f>
        <v/>
      </c>
      <c r="O6918">
        <f>IF(L6918="", "Pending", IF(N6918&lt;=30, "Met", "Breached"))</f>
        <v/>
      </c>
      <c r="P6918" s="8" t="n"/>
      <c r="Q6918" s="8" t="n"/>
      <c r="R6918" s="8" t="n"/>
      <c r="S6918" s="8" t="n"/>
      <c r="T6918" s="8" t="n"/>
      <c r="U6918" s="8" t="n"/>
      <c r="V6918" s="8" t="n"/>
      <c r="W6918" s="8" t="n"/>
      <c r="X6918" s="8" t="n"/>
      <c r="Y6918" s="8" t="n"/>
    </row>
    <row r="6919">
      <c r="A6919" s="8" t="n"/>
      <c r="B6919" s="8" t="n"/>
      <c r="C6919" s="8" t="n"/>
      <c r="D6919" s="8" t="n"/>
      <c r="E6919" s="8" t="n"/>
      <c r="F6919" s="8" t="n"/>
      <c r="G6919" s="8" t="n"/>
      <c r="H6919" s="8" t="n"/>
      <c r="I6919" s="8" t="n"/>
      <c r="J6919" s="8" t="n"/>
      <c r="K6919" s="8" t="n"/>
      <c r="L6919" s="8" t="n"/>
      <c r="M6919" s="9">
        <f>B6919+30</f>
        <v/>
      </c>
      <c r="N6919">
        <f>IF(L6919="", "", L6919-B6919)</f>
        <v/>
      </c>
      <c r="O6919">
        <f>IF(L6919="", "Pending", IF(N6919&lt;=30, "Met", "Breached"))</f>
        <v/>
      </c>
      <c r="P6919" s="8" t="n"/>
      <c r="Q6919" s="8" t="n"/>
      <c r="R6919" s="8" t="n"/>
      <c r="S6919" s="8" t="n"/>
      <c r="T6919" s="8" t="n"/>
      <c r="U6919" s="8" t="n"/>
      <c r="V6919" s="8" t="n"/>
      <c r="W6919" s="8" t="n"/>
      <c r="X6919" s="8" t="n"/>
      <c r="Y6919" s="8" t="n"/>
    </row>
    <row r="6920">
      <c r="A6920" s="8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8" t="n"/>
      <c r="K6920" s="8" t="n"/>
      <c r="L6920" s="8" t="n"/>
      <c r="M6920" s="9">
        <f>B6920+30</f>
        <v/>
      </c>
      <c r="N6920">
        <f>IF(L6920="", "", L6920-B6920)</f>
        <v/>
      </c>
      <c r="O6920">
        <f>IF(L6920="", "Pending", IF(N6920&lt;=30, "Met", "Breached"))</f>
        <v/>
      </c>
      <c r="P6920" s="8" t="n"/>
      <c r="Q6920" s="8" t="n"/>
      <c r="R6920" s="8" t="n"/>
      <c r="S6920" s="8" t="n"/>
      <c r="T6920" s="8" t="n"/>
      <c r="U6920" s="8" t="n"/>
      <c r="V6920" s="8" t="n"/>
      <c r="W6920" s="8" t="n"/>
      <c r="X6920" s="8" t="n"/>
      <c r="Y6920" s="8" t="n"/>
    </row>
    <row r="6921">
      <c r="A6921" s="8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8" t="n"/>
      <c r="K6921" s="8" t="n"/>
      <c r="L6921" s="8" t="n"/>
      <c r="M6921" s="9">
        <f>B6921+30</f>
        <v/>
      </c>
      <c r="N6921">
        <f>IF(L6921="", "", L6921-B6921)</f>
        <v/>
      </c>
      <c r="O6921">
        <f>IF(L6921="", "Pending", IF(N6921&lt;=30, "Met", "Breached"))</f>
        <v/>
      </c>
      <c r="P6921" s="8" t="n"/>
      <c r="Q6921" s="8" t="n"/>
      <c r="R6921" s="8" t="n"/>
      <c r="S6921" s="8" t="n"/>
      <c r="T6921" s="8" t="n"/>
      <c r="U6921" s="8" t="n"/>
      <c r="V6921" s="8" t="n"/>
      <c r="W6921" s="8" t="n"/>
      <c r="X6921" s="8" t="n"/>
      <c r="Y6921" s="8" t="n"/>
    </row>
    <row r="6922">
      <c r="A6922" s="8" t="n"/>
      <c r="B6922" s="8" t="n"/>
      <c r="C6922" s="8" t="n"/>
      <c r="D6922" s="8" t="n"/>
      <c r="E6922" s="8" t="n"/>
      <c r="F6922" s="8" t="n"/>
      <c r="G6922" s="8" t="n"/>
      <c r="H6922" s="8" t="n"/>
      <c r="I6922" s="8" t="n"/>
      <c r="J6922" s="8" t="n"/>
      <c r="K6922" s="8" t="n"/>
      <c r="L6922" s="8" t="n"/>
      <c r="M6922" s="9">
        <f>B6922+30</f>
        <v/>
      </c>
      <c r="N6922">
        <f>IF(L6922="", "", L6922-B6922)</f>
        <v/>
      </c>
      <c r="O6922">
        <f>IF(L6922="", "Pending", IF(N6922&lt;=30, "Met", "Breached"))</f>
        <v/>
      </c>
      <c r="P6922" s="8" t="n"/>
      <c r="Q6922" s="8" t="n"/>
      <c r="R6922" s="8" t="n"/>
      <c r="S6922" s="8" t="n"/>
      <c r="T6922" s="8" t="n"/>
      <c r="U6922" s="8" t="n"/>
      <c r="V6922" s="8" t="n"/>
      <c r="W6922" s="8" t="n"/>
      <c r="X6922" s="8" t="n"/>
      <c r="Y6922" s="8" t="n"/>
    </row>
    <row r="6923">
      <c r="A6923" s="8" t="n"/>
      <c r="B6923" s="8" t="n"/>
      <c r="C6923" s="8" t="n"/>
      <c r="D6923" s="8" t="n"/>
      <c r="E6923" s="8" t="n"/>
      <c r="F6923" s="8" t="n"/>
      <c r="G6923" s="8" t="n"/>
      <c r="H6923" s="8" t="n"/>
      <c r="I6923" s="8" t="n"/>
      <c r="J6923" s="8" t="n"/>
      <c r="K6923" s="8" t="n"/>
      <c r="L6923" s="8" t="n"/>
      <c r="M6923" s="9">
        <f>B6923+30</f>
        <v/>
      </c>
      <c r="N6923">
        <f>IF(L6923="", "", L6923-B6923)</f>
        <v/>
      </c>
      <c r="O6923">
        <f>IF(L6923="", "Pending", IF(N6923&lt;=30, "Met", "Breached"))</f>
        <v/>
      </c>
      <c r="P6923" s="8" t="n"/>
      <c r="Q6923" s="8" t="n"/>
      <c r="R6923" s="8" t="n"/>
      <c r="S6923" s="8" t="n"/>
      <c r="T6923" s="8" t="n"/>
      <c r="U6923" s="8" t="n"/>
      <c r="V6923" s="8" t="n"/>
      <c r="W6923" s="8" t="n"/>
      <c r="X6923" s="8" t="n"/>
      <c r="Y6923" s="8" t="n"/>
    </row>
    <row r="6924">
      <c r="A6924" s="8" t="n"/>
      <c r="B6924" s="8" t="n"/>
      <c r="C6924" s="8" t="n"/>
      <c r="D6924" s="8" t="n"/>
      <c r="E6924" s="8" t="n"/>
      <c r="F6924" s="8" t="n"/>
      <c r="G6924" s="8" t="n"/>
      <c r="H6924" s="8" t="n"/>
      <c r="I6924" s="8" t="n"/>
      <c r="J6924" s="8" t="n"/>
      <c r="K6924" s="8" t="n"/>
      <c r="L6924" s="8" t="n"/>
      <c r="M6924" s="9">
        <f>B6924+30</f>
        <v/>
      </c>
      <c r="N6924">
        <f>IF(L6924="", "", L6924-B6924)</f>
        <v/>
      </c>
      <c r="O6924">
        <f>IF(L6924="", "Pending", IF(N6924&lt;=30, "Met", "Breached"))</f>
        <v/>
      </c>
      <c r="P6924" s="8" t="n"/>
      <c r="Q6924" s="8" t="n"/>
      <c r="R6924" s="8" t="n"/>
      <c r="S6924" s="8" t="n"/>
      <c r="T6924" s="8" t="n"/>
      <c r="U6924" s="8" t="n"/>
      <c r="V6924" s="8" t="n"/>
      <c r="W6924" s="8" t="n"/>
      <c r="X6924" s="8" t="n"/>
      <c r="Y6924" s="8" t="n"/>
    </row>
    <row r="6925">
      <c r="A6925" s="8" t="n"/>
      <c r="B6925" s="8" t="n"/>
      <c r="C6925" s="8" t="n"/>
      <c r="D6925" s="8" t="n"/>
      <c r="E6925" s="8" t="n"/>
      <c r="F6925" s="8" t="n"/>
      <c r="G6925" s="8" t="n"/>
      <c r="H6925" s="8" t="n"/>
      <c r="I6925" s="8" t="n"/>
      <c r="J6925" s="8" t="n"/>
      <c r="K6925" s="8" t="n"/>
      <c r="L6925" s="8" t="n"/>
      <c r="M6925" s="9">
        <f>B6925+30</f>
        <v/>
      </c>
      <c r="N6925">
        <f>IF(L6925="", "", L6925-B6925)</f>
        <v/>
      </c>
      <c r="O6925">
        <f>IF(L6925="", "Pending", IF(N6925&lt;=30, "Met", "Breached"))</f>
        <v/>
      </c>
      <c r="P6925" s="8" t="n"/>
      <c r="Q6925" s="8" t="n"/>
      <c r="R6925" s="8" t="n"/>
      <c r="S6925" s="8" t="n"/>
      <c r="T6925" s="8" t="n"/>
      <c r="U6925" s="8" t="n"/>
      <c r="V6925" s="8" t="n"/>
      <c r="W6925" s="8" t="n"/>
      <c r="X6925" s="8" t="n"/>
      <c r="Y6925" s="8" t="n"/>
    </row>
    <row r="6926">
      <c r="A6926" s="8" t="n"/>
      <c r="B6926" s="8" t="n"/>
      <c r="C6926" s="8" t="n"/>
      <c r="D6926" s="8" t="n"/>
      <c r="E6926" s="8" t="n"/>
      <c r="F6926" s="8" t="n"/>
      <c r="G6926" s="8" t="n"/>
      <c r="H6926" s="8" t="n"/>
      <c r="I6926" s="8" t="n"/>
      <c r="J6926" s="8" t="n"/>
      <c r="K6926" s="8" t="n"/>
      <c r="L6926" s="8" t="n"/>
      <c r="M6926" s="9">
        <f>B6926+30</f>
        <v/>
      </c>
      <c r="N6926">
        <f>IF(L6926="", "", L6926-B6926)</f>
        <v/>
      </c>
      <c r="O6926">
        <f>IF(L6926="", "Pending", IF(N6926&lt;=30, "Met", "Breached"))</f>
        <v/>
      </c>
      <c r="P6926" s="8" t="n"/>
      <c r="Q6926" s="8" t="n"/>
      <c r="R6926" s="8" t="n"/>
      <c r="S6926" s="8" t="n"/>
      <c r="T6926" s="8" t="n"/>
      <c r="U6926" s="8" t="n"/>
      <c r="V6926" s="8" t="n"/>
      <c r="W6926" s="8" t="n"/>
      <c r="X6926" s="8" t="n"/>
      <c r="Y6926" s="8" t="n"/>
    </row>
    <row r="6927">
      <c r="A6927" s="8" t="n"/>
      <c r="B6927" s="8" t="n"/>
      <c r="C6927" s="8" t="n"/>
      <c r="D6927" s="8" t="n"/>
      <c r="E6927" s="8" t="n"/>
      <c r="F6927" s="8" t="n"/>
      <c r="G6927" s="8" t="n"/>
      <c r="H6927" s="8" t="n"/>
      <c r="I6927" s="8" t="n"/>
      <c r="J6927" s="8" t="n"/>
      <c r="K6927" s="8" t="n"/>
      <c r="L6927" s="8" t="n"/>
      <c r="M6927" s="9">
        <f>B6927+30</f>
        <v/>
      </c>
      <c r="N6927">
        <f>IF(L6927="", "", L6927-B6927)</f>
        <v/>
      </c>
      <c r="O6927">
        <f>IF(L6927="", "Pending", IF(N6927&lt;=30, "Met", "Breached"))</f>
        <v/>
      </c>
      <c r="P6927" s="8" t="n"/>
      <c r="Q6927" s="8" t="n"/>
      <c r="R6927" s="8" t="n"/>
      <c r="S6927" s="8" t="n"/>
      <c r="T6927" s="8" t="n"/>
      <c r="U6927" s="8" t="n"/>
      <c r="V6927" s="8" t="n"/>
      <c r="W6927" s="8" t="n"/>
      <c r="X6927" s="8" t="n"/>
      <c r="Y6927" s="8" t="n"/>
    </row>
    <row r="6928">
      <c r="A6928" s="8" t="n"/>
      <c r="B6928" s="8" t="n"/>
      <c r="C6928" s="8" t="n"/>
      <c r="D6928" s="8" t="n"/>
      <c r="E6928" s="8" t="n"/>
      <c r="F6928" s="8" t="n"/>
      <c r="G6928" s="8" t="n"/>
      <c r="H6928" s="8" t="n"/>
      <c r="I6928" s="8" t="n"/>
      <c r="J6928" s="8" t="n"/>
      <c r="K6928" s="8" t="n"/>
      <c r="L6928" s="8" t="n"/>
      <c r="M6928" s="9">
        <f>B6928+30</f>
        <v/>
      </c>
      <c r="N6928">
        <f>IF(L6928="", "", L6928-B6928)</f>
        <v/>
      </c>
      <c r="O6928">
        <f>IF(L6928="", "Pending", IF(N6928&lt;=30, "Met", "Breached"))</f>
        <v/>
      </c>
      <c r="P6928" s="8" t="n"/>
      <c r="Q6928" s="8" t="n"/>
      <c r="R6928" s="8" t="n"/>
      <c r="S6928" s="8" t="n"/>
      <c r="T6928" s="8" t="n"/>
      <c r="U6928" s="8" t="n"/>
      <c r="V6928" s="8" t="n"/>
      <c r="W6928" s="8" t="n"/>
      <c r="X6928" s="8" t="n"/>
      <c r="Y6928" s="8" t="n"/>
    </row>
    <row r="6929">
      <c r="A6929" s="8" t="n"/>
      <c r="B6929" s="8" t="n"/>
      <c r="C6929" s="8" t="n"/>
      <c r="D6929" s="8" t="n"/>
      <c r="E6929" s="8" t="n"/>
      <c r="F6929" s="8" t="n"/>
      <c r="G6929" s="8" t="n"/>
      <c r="H6929" s="8" t="n"/>
      <c r="I6929" s="8" t="n"/>
      <c r="J6929" s="8" t="n"/>
      <c r="K6929" s="8" t="n"/>
      <c r="L6929" s="8" t="n"/>
      <c r="M6929" s="9">
        <f>B6929+30</f>
        <v/>
      </c>
      <c r="N6929">
        <f>IF(L6929="", "", L6929-B6929)</f>
        <v/>
      </c>
      <c r="O6929">
        <f>IF(L6929="", "Pending", IF(N6929&lt;=30, "Met", "Breached"))</f>
        <v/>
      </c>
      <c r="P6929" s="8" t="n"/>
      <c r="Q6929" s="8" t="n"/>
      <c r="R6929" s="8" t="n"/>
      <c r="S6929" s="8" t="n"/>
      <c r="T6929" s="8" t="n"/>
      <c r="U6929" s="8" t="n"/>
      <c r="V6929" s="8" t="n"/>
      <c r="W6929" s="8" t="n"/>
      <c r="X6929" s="8" t="n"/>
      <c r="Y6929" s="8" t="n"/>
    </row>
    <row r="6930">
      <c r="A6930" s="8" t="n"/>
      <c r="B6930" s="8" t="n"/>
      <c r="C6930" s="8" t="n"/>
      <c r="D6930" s="8" t="n"/>
      <c r="E6930" s="8" t="n"/>
      <c r="F6930" s="8" t="n"/>
      <c r="G6930" s="8" t="n"/>
      <c r="H6930" s="8" t="n"/>
      <c r="I6930" s="8" t="n"/>
      <c r="J6930" s="8" t="n"/>
      <c r="K6930" s="8" t="n"/>
      <c r="L6930" s="8" t="n"/>
      <c r="M6930" s="9">
        <f>B6930+30</f>
        <v/>
      </c>
      <c r="N6930">
        <f>IF(L6930="", "", L6930-B6930)</f>
        <v/>
      </c>
      <c r="O6930">
        <f>IF(L6930="", "Pending", IF(N6930&lt;=30, "Met", "Breached"))</f>
        <v/>
      </c>
      <c r="P6930" s="8" t="n"/>
      <c r="Q6930" s="8" t="n"/>
      <c r="R6930" s="8" t="n"/>
      <c r="S6930" s="8" t="n"/>
      <c r="T6930" s="8" t="n"/>
      <c r="U6930" s="8" t="n"/>
      <c r="V6930" s="8" t="n"/>
      <c r="W6930" s="8" t="n"/>
      <c r="X6930" s="8" t="n"/>
      <c r="Y6930" s="8" t="n"/>
    </row>
    <row r="6931">
      <c r="A6931" s="8" t="n"/>
      <c r="B6931" s="8" t="n"/>
      <c r="C6931" s="8" t="n"/>
      <c r="D6931" s="8" t="n"/>
      <c r="E6931" s="8" t="n"/>
      <c r="F6931" s="8" t="n"/>
      <c r="G6931" s="8" t="n"/>
      <c r="H6931" s="8" t="n"/>
      <c r="I6931" s="8" t="n"/>
      <c r="J6931" s="8" t="n"/>
      <c r="K6931" s="8" t="n"/>
      <c r="L6931" s="8" t="n"/>
      <c r="M6931" s="9">
        <f>B6931+30</f>
        <v/>
      </c>
      <c r="N6931">
        <f>IF(L6931="", "", L6931-B6931)</f>
        <v/>
      </c>
      <c r="O6931">
        <f>IF(L6931="", "Pending", IF(N6931&lt;=30, "Met", "Breached"))</f>
        <v/>
      </c>
      <c r="P6931" s="8" t="n"/>
      <c r="Q6931" s="8" t="n"/>
      <c r="R6931" s="8" t="n"/>
      <c r="S6931" s="8" t="n"/>
      <c r="T6931" s="8" t="n"/>
      <c r="U6931" s="8" t="n"/>
      <c r="V6931" s="8" t="n"/>
      <c r="W6931" s="8" t="n"/>
      <c r="X6931" s="8" t="n"/>
      <c r="Y6931" s="8" t="n"/>
    </row>
    <row r="6932">
      <c r="A6932" s="8" t="n"/>
      <c r="B6932" s="8" t="n"/>
      <c r="C6932" s="8" t="n"/>
      <c r="D6932" s="8" t="n"/>
      <c r="E6932" s="8" t="n"/>
      <c r="F6932" s="8" t="n"/>
      <c r="G6932" s="8" t="n"/>
      <c r="H6932" s="8" t="n"/>
      <c r="I6932" s="8" t="n"/>
      <c r="J6932" s="8" t="n"/>
      <c r="K6932" s="8" t="n"/>
      <c r="L6932" s="8" t="n"/>
      <c r="M6932" s="9">
        <f>B6932+30</f>
        <v/>
      </c>
      <c r="N6932">
        <f>IF(L6932="", "", L6932-B6932)</f>
        <v/>
      </c>
      <c r="O6932">
        <f>IF(L6932="", "Pending", IF(N6932&lt;=30, "Met", "Breached"))</f>
        <v/>
      </c>
      <c r="P6932" s="8" t="n"/>
      <c r="Q6932" s="8" t="n"/>
      <c r="R6932" s="8" t="n"/>
      <c r="S6932" s="8" t="n"/>
      <c r="T6932" s="8" t="n"/>
      <c r="U6932" s="8" t="n"/>
      <c r="V6932" s="8" t="n"/>
      <c r="W6932" s="8" t="n"/>
      <c r="X6932" s="8" t="n"/>
      <c r="Y6932" s="8" t="n"/>
    </row>
    <row r="6933">
      <c r="A6933" s="8" t="n"/>
      <c r="B6933" s="8" t="n"/>
      <c r="C6933" s="8" t="n"/>
      <c r="D6933" s="8" t="n"/>
      <c r="E6933" s="8" t="n"/>
      <c r="F6933" s="8" t="n"/>
      <c r="G6933" s="8" t="n"/>
      <c r="H6933" s="8" t="n"/>
      <c r="I6933" s="8" t="n"/>
      <c r="J6933" s="8" t="n"/>
      <c r="K6933" s="8" t="n"/>
      <c r="L6933" s="8" t="n"/>
      <c r="M6933" s="9">
        <f>B6933+30</f>
        <v/>
      </c>
      <c r="N6933">
        <f>IF(L6933="", "", L6933-B6933)</f>
        <v/>
      </c>
      <c r="O6933">
        <f>IF(L6933="", "Pending", IF(N6933&lt;=30, "Met", "Breached"))</f>
        <v/>
      </c>
      <c r="P6933" s="8" t="n"/>
      <c r="Q6933" s="8" t="n"/>
      <c r="R6933" s="8" t="n"/>
      <c r="S6933" s="8" t="n"/>
      <c r="T6933" s="8" t="n"/>
      <c r="U6933" s="8" t="n"/>
      <c r="V6933" s="8" t="n"/>
      <c r="W6933" s="8" t="n"/>
      <c r="X6933" s="8" t="n"/>
      <c r="Y6933" s="8" t="n"/>
    </row>
    <row r="6934">
      <c r="A6934" s="8" t="n"/>
      <c r="B6934" s="8" t="n"/>
      <c r="C6934" s="8" t="n"/>
      <c r="D6934" s="8" t="n"/>
      <c r="E6934" s="8" t="n"/>
      <c r="F6934" s="8" t="n"/>
      <c r="G6934" s="8" t="n"/>
      <c r="H6934" s="8" t="n"/>
      <c r="I6934" s="8" t="n"/>
      <c r="J6934" s="8" t="n"/>
      <c r="K6934" s="8" t="n"/>
      <c r="L6934" s="8" t="n"/>
      <c r="M6934" s="9">
        <f>B6934+30</f>
        <v/>
      </c>
      <c r="N6934">
        <f>IF(L6934="", "", L6934-B6934)</f>
        <v/>
      </c>
      <c r="O6934">
        <f>IF(L6934="", "Pending", IF(N6934&lt;=30, "Met", "Breached"))</f>
        <v/>
      </c>
      <c r="P6934" s="8" t="n"/>
      <c r="Q6934" s="8" t="n"/>
      <c r="R6934" s="8" t="n"/>
      <c r="S6934" s="8" t="n"/>
      <c r="T6934" s="8" t="n"/>
      <c r="U6934" s="8" t="n"/>
      <c r="V6934" s="8" t="n"/>
      <c r="W6934" s="8" t="n"/>
      <c r="X6934" s="8" t="n"/>
      <c r="Y6934" s="8" t="n"/>
    </row>
    <row r="6935">
      <c r="A6935" s="8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8" t="n"/>
      <c r="K6935" s="8" t="n"/>
      <c r="L6935" s="8" t="n"/>
      <c r="M6935" s="9">
        <f>B6935+30</f>
        <v/>
      </c>
      <c r="N6935">
        <f>IF(L6935="", "", L6935-B6935)</f>
        <v/>
      </c>
      <c r="O6935">
        <f>IF(L6935="", "Pending", IF(N6935&lt;=30, "Met", "Breached"))</f>
        <v/>
      </c>
      <c r="P6935" s="8" t="n"/>
      <c r="Q6935" s="8" t="n"/>
      <c r="R6935" s="8" t="n"/>
      <c r="S6935" s="8" t="n"/>
      <c r="T6935" s="8" t="n"/>
      <c r="U6935" s="8" t="n"/>
      <c r="V6935" s="8" t="n"/>
      <c r="W6935" s="8" t="n"/>
      <c r="X6935" s="8" t="n"/>
      <c r="Y6935" s="8" t="n"/>
    </row>
    <row r="6936">
      <c r="A6936" s="8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8" t="n"/>
      <c r="K6936" s="8" t="n"/>
      <c r="L6936" s="8" t="n"/>
      <c r="M6936" s="9">
        <f>B6936+30</f>
        <v/>
      </c>
      <c r="N6936">
        <f>IF(L6936="", "", L6936-B6936)</f>
        <v/>
      </c>
      <c r="O6936">
        <f>IF(L6936="", "Pending", IF(N6936&lt;=30, "Met", "Breached"))</f>
        <v/>
      </c>
      <c r="P6936" s="8" t="n"/>
      <c r="Q6936" s="8" t="n"/>
      <c r="R6936" s="8" t="n"/>
      <c r="S6936" s="8" t="n"/>
      <c r="T6936" s="8" t="n"/>
      <c r="U6936" s="8" t="n"/>
      <c r="V6936" s="8" t="n"/>
      <c r="W6936" s="8" t="n"/>
      <c r="X6936" s="8" t="n"/>
      <c r="Y6936" s="8" t="n"/>
    </row>
    <row r="6937">
      <c r="A6937" s="8" t="n"/>
      <c r="B6937" s="8" t="n"/>
      <c r="C6937" s="8" t="n"/>
      <c r="D6937" s="8" t="n"/>
      <c r="E6937" s="8" t="n"/>
      <c r="F6937" s="8" t="n"/>
      <c r="G6937" s="8" t="n"/>
      <c r="H6937" s="8" t="n"/>
      <c r="I6937" s="8" t="n"/>
      <c r="J6937" s="8" t="n"/>
      <c r="K6937" s="8" t="n"/>
      <c r="L6937" s="8" t="n"/>
      <c r="M6937" s="9">
        <f>B6937+30</f>
        <v/>
      </c>
      <c r="N6937">
        <f>IF(L6937="", "", L6937-B6937)</f>
        <v/>
      </c>
      <c r="O6937">
        <f>IF(L6937="", "Pending", IF(N6937&lt;=30, "Met", "Breached"))</f>
        <v/>
      </c>
      <c r="P6937" s="8" t="n"/>
      <c r="Q6937" s="8" t="n"/>
      <c r="R6937" s="8" t="n"/>
      <c r="S6937" s="8" t="n"/>
      <c r="T6937" s="8" t="n"/>
      <c r="U6937" s="8" t="n"/>
      <c r="V6937" s="8" t="n"/>
      <c r="W6937" s="8" t="n"/>
      <c r="X6937" s="8" t="n"/>
      <c r="Y6937" s="8" t="n"/>
    </row>
    <row r="6938">
      <c r="A6938" s="8" t="n"/>
      <c r="B6938" s="8" t="n"/>
      <c r="C6938" s="8" t="n"/>
      <c r="D6938" s="8" t="n"/>
      <c r="E6938" s="8" t="n"/>
      <c r="F6938" s="8" t="n"/>
      <c r="G6938" s="8" t="n"/>
      <c r="H6938" s="8" t="n"/>
      <c r="I6938" s="8" t="n"/>
      <c r="J6938" s="8" t="n"/>
      <c r="K6938" s="8" t="n"/>
      <c r="L6938" s="8" t="n"/>
      <c r="M6938" s="9">
        <f>B6938+30</f>
        <v/>
      </c>
      <c r="N6938">
        <f>IF(L6938="", "", L6938-B6938)</f>
        <v/>
      </c>
      <c r="O6938">
        <f>IF(L6938="", "Pending", IF(N6938&lt;=30, "Met", "Breached"))</f>
        <v/>
      </c>
      <c r="P6938" s="8" t="n"/>
      <c r="Q6938" s="8" t="n"/>
      <c r="R6938" s="8" t="n"/>
      <c r="S6938" s="8" t="n"/>
      <c r="T6938" s="8" t="n"/>
      <c r="U6938" s="8" t="n"/>
      <c r="V6938" s="8" t="n"/>
      <c r="W6938" s="8" t="n"/>
      <c r="X6938" s="8" t="n"/>
      <c r="Y6938" s="8" t="n"/>
    </row>
    <row r="6939">
      <c r="A6939" s="8" t="n"/>
      <c r="B6939" s="8" t="n"/>
      <c r="C6939" s="8" t="n"/>
      <c r="D6939" s="8" t="n"/>
      <c r="E6939" s="8" t="n"/>
      <c r="F6939" s="8" t="n"/>
      <c r="G6939" s="8" t="n"/>
      <c r="H6939" s="8" t="n"/>
      <c r="I6939" s="8" t="n"/>
      <c r="J6939" s="8" t="n"/>
      <c r="K6939" s="8" t="n"/>
      <c r="L6939" s="8" t="n"/>
      <c r="M6939" s="9">
        <f>B6939+30</f>
        <v/>
      </c>
      <c r="N6939">
        <f>IF(L6939="", "", L6939-B6939)</f>
        <v/>
      </c>
      <c r="O6939">
        <f>IF(L6939="", "Pending", IF(N6939&lt;=30, "Met", "Breached"))</f>
        <v/>
      </c>
      <c r="P6939" s="8" t="n"/>
      <c r="Q6939" s="8" t="n"/>
      <c r="R6939" s="8" t="n"/>
      <c r="S6939" s="8" t="n"/>
      <c r="T6939" s="8" t="n"/>
      <c r="U6939" s="8" t="n"/>
      <c r="V6939" s="8" t="n"/>
      <c r="W6939" s="8" t="n"/>
      <c r="X6939" s="8" t="n"/>
      <c r="Y6939" s="8" t="n"/>
    </row>
    <row r="6940">
      <c r="A6940" s="8" t="n"/>
      <c r="B6940" s="8" t="n"/>
      <c r="C6940" s="8" t="n"/>
      <c r="D6940" s="8" t="n"/>
      <c r="E6940" s="8" t="n"/>
      <c r="F6940" s="8" t="n"/>
      <c r="G6940" s="8" t="n"/>
      <c r="H6940" s="8" t="n"/>
      <c r="I6940" s="8" t="n"/>
      <c r="J6940" s="8" t="n"/>
      <c r="K6940" s="8" t="n"/>
      <c r="L6940" s="8" t="n"/>
      <c r="M6940" s="9">
        <f>B6940+30</f>
        <v/>
      </c>
      <c r="N6940">
        <f>IF(L6940="", "", L6940-B6940)</f>
        <v/>
      </c>
      <c r="O6940">
        <f>IF(L6940="", "Pending", IF(N6940&lt;=30, "Met", "Breached"))</f>
        <v/>
      </c>
      <c r="P6940" s="8" t="n"/>
      <c r="Q6940" s="8" t="n"/>
      <c r="R6940" s="8" t="n"/>
      <c r="S6940" s="8" t="n"/>
      <c r="T6940" s="8" t="n"/>
      <c r="U6940" s="8" t="n"/>
      <c r="V6940" s="8" t="n"/>
      <c r="W6940" s="8" t="n"/>
      <c r="X6940" s="8" t="n"/>
      <c r="Y6940" s="8" t="n"/>
    </row>
    <row r="6941">
      <c r="A6941" s="8" t="n"/>
      <c r="B6941" s="8" t="n"/>
      <c r="C6941" s="8" t="n"/>
      <c r="D6941" s="8" t="n"/>
      <c r="E6941" s="8" t="n"/>
      <c r="F6941" s="8" t="n"/>
      <c r="G6941" s="8" t="n"/>
      <c r="H6941" s="8" t="n"/>
      <c r="I6941" s="8" t="n"/>
      <c r="J6941" s="8" t="n"/>
      <c r="K6941" s="8" t="n"/>
      <c r="L6941" s="8" t="n"/>
      <c r="M6941" s="9">
        <f>B6941+30</f>
        <v/>
      </c>
      <c r="N6941">
        <f>IF(L6941="", "", L6941-B6941)</f>
        <v/>
      </c>
      <c r="O6941">
        <f>IF(L6941="", "Pending", IF(N6941&lt;=30, "Met", "Breached"))</f>
        <v/>
      </c>
      <c r="P6941" s="8" t="n"/>
      <c r="Q6941" s="8" t="n"/>
      <c r="R6941" s="8" t="n"/>
      <c r="S6941" s="8" t="n"/>
      <c r="T6941" s="8" t="n"/>
      <c r="U6941" s="8" t="n"/>
      <c r="V6941" s="8" t="n"/>
      <c r="W6941" s="8" t="n"/>
      <c r="X6941" s="8" t="n"/>
      <c r="Y6941" s="8" t="n"/>
    </row>
    <row r="6942">
      <c r="A6942" s="8" t="n"/>
      <c r="B6942" s="8" t="n"/>
      <c r="C6942" s="8" t="n"/>
      <c r="D6942" s="8" t="n"/>
      <c r="E6942" s="8" t="n"/>
      <c r="F6942" s="8" t="n"/>
      <c r="G6942" s="8" t="n"/>
      <c r="H6942" s="8" t="n"/>
      <c r="I6942" s="8" t="n"/>
      <c r="J6942" s="8" t="n"/>
      <c r="K6942" s="8" t="n"/>
      <c r="L6942" s="8" t="n"/>
      <c r="M6942" s="9">
        <f>B6942+30</f>
        <v/>
      </c>
      <c r="N6942">
        <f>IF(L6942="", "", L6942-B6942)</f>
        <v/>
      </c>
      <c r="O6942">
        <f>IF(L6942="", "Pending", IF(N6942&lt;=30, "Met", "Breached"))</f>
        <v/>
      </c>
      <c r="P6942" s="8" t="n"/>
      <c r="Q6942" s="8" t="n"/>
      <c r="R6942" s="8" t="n"/>
      <c r="S6942" s="8" t="n"/>
      <c r="T6942" s="8" t="n"/>
      <c r="U6942" s="8" t="n"/>
      <c r="V6942" s="8" t="n"/>
      <c r="W6942" s="8" t="n"/>
      <c r="X6942" s="8" t="n"/>
      <c r="Y6942" s="8" t="n"/>
    </row>
    <row r="6943">
      <c r="A6943" s="8" t="n"/>
      <c r="B6943" s="8" t="n"/>
      <c r="C6943" s="8" t="n"/>
      <c r="D6943" s="8" t="n"/>
      <c r="E6943" s="8" t="n"/>
      <c r="F6943" s="8" t="n"/>
      <c r="G6943" s="8" t="n"/>
      <c r="H6943" s="8" t="n"/>
      <c r="I6943" s="8" t="n"/>
      <c r="J6943" s="8" t="n"/>
      <c r="K6943" s="8" t="n"/>
      <c r="L6943" s="8" t="n"/>
      <c r="M6943" s="9">
        <f>B6943+30</f>
        <v/>
      </c>
      <c r="N6943">
        <f>IF(L6943="", "", L6943-B6943)</f>
        <v/>
      </c>
      <c r="O6943">
        <f>IF(L6943="", "Pending", IF(N6943&lt;=30, "Met", "Breached"))</f>
        <v/>
      </c>
      <c r="P6943" s="8" t="n"/>
      <c r="Q6943" s="8" t="n"/>
      <c r="R6943" s="8" t="n"/>
      <c r="S6943" s="8" t="n"/>
      <c r="T6943" s="8" t="n"/>
      <c r="U6943" s="8" t="n"/>
      <c r="V6943" s="8" t="n"/>
      <c r="W6943" s="8" t="n"/>
      <c r="X6943" s="8" t="n"/>
      <c r="Y6943" s="8" t="n"/>
    </row>
    <row r="6944">
      <c r="A6944" s="8" t="n"/>
      <c r="B6944" s="8" t="n"/>
      <c r="C6944" s="8" t="n"/>
      <c r="D6944" s="8" t="n"/>
      <c r="E6944" s="8" t="n"/>
      <c r="F6944" s="8" t="n"/>
      <c r="G6944" s="8" t="n"/>
      <c r="H6944" s="8" t="n"/>
      <c r="I6944" s="8" t="n"/>
      <c r="J6944" s="8" t="n"/>
      <c r="K6944" s="8" t="n"/>
      <c r="L6944" s="8" t="n"/>
      <c r="M6944" s="9">
        <f>B6944+30</f>
        <v/>
      </c>
      <c r="N6944">
        <f>IF(L6944="", "", L6944-B6944)</f>
        <v/>
      </c>
      <c r="O6944">
        <f>IF(L6944="", "Pending", IF(N6944&lt;=30, "Met", "Breached"))</f>
        <v/>
      </c>
      <c r="P6944" s="8" t="n"/>
      <c r="Q6944" s="8" t="n"/>
      <c r="R6944" s="8" t="n"/>
      <c r="S6944" s="8" t="n"/>
      <c r="T6944" s="8" t="n"/>
      <c r="U6944" s="8" t="n"/>
      <c r="V6944" s="8" t="n"/>
      <c r="W6944" s="8" t="n"/>
      <c r="X6944" s="8" t="n"/>
      <c r="Y6944" s="8" t="n"/>
    </row>
    <row r="6945">
      <c r="A6945" s="8" t="n"/>
      <c r="B6945" s="8" t="n"/>
      <c r="C6945" s="8" t="n"/>
      <c r="D6945" s="8" t="n"/>
      <c r="E6945" s="8" t="n"/>
      <c r="F6945" s="8" t="n"/>
      <c r="G6945" s="8" t="n"/>
      <c r="H6945" s="8" t="n"/>
      <c r="I6945" s="8" t="n"/>
      <c r="J6945" s="8" t="n"/>
      <c r="K6945" s="8" t="n"/>
      <c r="L6945" s="8" t="n"/>
      <c r="M6945" s="9">
        <f>B6945+30</f>
        <v/>
      </c>
      <c r="N6945">
        <f>IF(L6945="", "", L6945-B6945)</f>
        <v/>
      </c>
      <c r="O6945">
        <f>IF(L6945="", "Pending", IF(N6945&lt;=30, "Met", "Breached"))</f>
        <v/>
      </c>
      <c r="P6945" s="8" t="n"/>
      <c r="Q6945" s="8" t="n"/>
      <c r="R6945" s="8" t="n"/>
      <c r="S6945" s="8" t="n"/>
      <c r="T6945" s="8" t="n"/>
      <c r="U6945" s="8" t="n"/>
      <c r="V6945" s="8" t="n"/>
      <c r="W6945" s="8" t="n"/>
      <c r="X6945" s="8" t="n"/>
      <c r="Y6945" s="8" t="n"/>
    </row>
    <row r="6946">
      <c r="A6946" s="8" t="n"/>
      <c r="B6946" s="8" t="n"/>
      <c r="C6946" s="8" t="n"/>
      <c r="D6946" s="8" t="n"/>
      <c r="E6946" s="8" t="n"/>
      <c r="F6946" s="8" t="n"/>
      <c r="G6946" s="8" t="n"/>
      <c r="H6946" s="8" t="n"/>
      <c r="I6946" s="8" t="n"/>
      <c r="J6946" s="8" t="n"/>
      <c r="K6946" s="8" t="n"/>
      <c r="L6946" s="8" t="n"/>
      <c r="M6946" s="9">
        <f>B6946+30</f>
        <v/>
      </c>
      <c r="N6946">
        <f>IF(L6946="", "", L6946-B6946)</f>
        <v/>
      </c>
      <c r="O6946">
        <f>IF(L6946="", "Pending", IF(N6946&lt;=30, "Met", "Breached"))</f>
        <v/>
      </c>
      <c r="P6946" s="8" t="n"/>
      <c r="Q6946" s="8" t="n"/>
      <c r="R6946" s="8" t="n"/>
      <c r="S6946" s="8" t="n"/>
      <c r="T6946" s="8" t="n"/>
      <c r="U6946" s="8" t="n"/>
      <c r="V6946" s="8" t="n"/>
      <c r="W6946" s="8" t="n"/>
      <c r="X6946" s="8" t="n"/>
      <c r="Y6946" s="8" t="n"/>
    </row>
    <row r="6947">
      <c r="A6947" s="8" t="n"/>
      <c r="B6947" s="8" t="n"/>
      <c r="C6947" s="8" t="n"/>
      <c r="D6947" s="8" t="n"/>
      <c r="E6947" s="8" t="n"/>
      <c r="F6947" s="8" t="n"/>
      <c r="G6947" s="8" t="n"/>
      <c r="H6947" s="8" t="n"/>
      <c r="I6947" s="8" t="n"/>
      <c r="J6947" s="8" t="n"/>
      <c r="K6947" s="8" t="n"/>
      <c r="L6947" s="8" t="n"/>
      <c r="M6947" s="9">
        <f>B6947+30</f>
        <v/>
      </c>
      <c r="N6947">
        <f>IF(L6947="", "", L6947-B6947)</f>
        <v/>
      </c>
      <c r="O6947">
        <f>IF(L6947="", "Pending", IF(N6947&lt;=30, "Met", "Breached"))</f>
        <v/>
      </c>
      <c r="P6947" s="8" t="n"/>
      <c r="Q6947" s="8" t="n"/>
      <c r="R6947" s="8" t="n"/>
      <c r="S6947" s="8" t="n"/>
      <c r="T6947" s="8" t="n"/>
      <c r="U6947" s="8" t="n"/>
      <c r="V6947" s="8" t="n"/>
      <c r="W6947" s="8" t="n"/>
      <c r="X6947" s="8" t="n"/>
      <c r="Y6947" s="8" t="n"/>
    </row>
    <row r="6948">
      <c r="A6948" s="8" t="n"/>
      <c r="B6948" s="8" t="n"/>
      <c r="C6948" s="8" t="n"/>
      <c r="D6948" s="8" t="n"/>
      <c r="E6948" s="8" t="n"/>
      <c r="F6948" s="8" t="n"/>
      <c r="G6948" s="8" t="n"/>
      <c r="H6948" s="8" t="n"/>
      <c r="I6948" s="8" t="n"/>
      <c r="J6948" s="8" t="n"/>
      <c r="K6948" s="8" t="n"/>
      <c r="L6948" s="8" t="n"/>
      <c r="M6948" s="9">
        <f>B6948+30</f>
        <v/>
      </c>
      <c r="N6948">
        <f>IF(L6948="", "", L6948-B6948)</f>
        <v/>
      </c>
      <c r="O6948">
        <f>IF(L6948="", "Pending", IF(N6948&lt;=30, "Met", "Breached"))</f>
        <v/>
      </c>
      <c r="P6948" s="8" t="n"/>
      <c r="Q6948" s="8" t="n"/>
      <c r="R6948" s="8" t="n"/>
      <c r="S6948" s="8" t="n"/>
      <c r="T6948" s="8" t="n"/>
      <c r="U6948" s="8" t="n"/>
      <c r="V6948" s="8" t="n"/>
      <c r="W6948" s="8" t="n"/>
      <c r="X6948" s="8" t="n"/>
      <c r="Y6948" s="8" t="n"/>
    </row>
    <row r="6949">
      <c r="A6949" s="8" t="n"/>
      <c r="B6949" s="8" t="n"/>
      <c r="C6949" s="8" t="n"/>
      <c r="D6949" s="8" t="n"/>
      <c r="E6949" s="8" t="n"/>
      <c r="F6949" s="8" t="n"/>
      <c r="G6949" s="8" t="n"/>
      <c r="H6949" s="8" t="n"/>
      <c r="I6949" s="8" t="n"/>
      <c r="J6949" s="8" t="n"/>
      <c r="K6949" s="8" t="n"/>
      <c r="L6949" s="8" t="n"/>
      <c r="M6949" s="9">
        <f>B6949+30</f>
        <v/>
      </c>
      <c r="N6949">
        <f>IF(L6949="", "", L6949-B6949)</f>
        <v/>
      </c>
      <c r="O6949">
        <f>IF(L6949="", "Pending", IF(N6949&lt;=30, "Met", "Breached"))</f>
        <v/>
      </c>
      <c r="P6949" s="8" t="n"/>
      <c r="Q6949" s="8" t="n"/>
      <c r="R6949" s="8" t="n"/>
      <c r="S6949" s="8" t="n"/>
      <c r="T6949" s="8" t="n"/>
      <c r="U6949" s="8" t="n"/>
      <c r="V6949" s="8" t="n"/>
      <c r="W6949" s="8" t="n"/>
      <c r="X6949" s="8" t="n"/>
      <c r="Y6949" s="8" t="n"/>
    </row>
    <row r="6950">
      <c r="A6950" s="8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8" t="n"/>
      <c r="K6950" s="8" t="n"/>
      <c r="L6950" s="8" t="n"/>
      <c r="M6950" s="9">
        <f>B6950+30</f>
        <v/>
      </c>
      <c r="N6950">
        <f>IF(L6950="", "", L6950-B6950)</f>
        <v/>
      </c>
      <c r="O6950">
        <f>IF(L6950="", "Pending", IF(N6950&lt;=30, "Met", "Breached"))</f>
        <v/>
      </c>
      <c r="P6950" s="8" t="n"/>
      <c r="Q6950" s="8" t="n"/>
      <c r="R6950" s="8" t="n"/>
      <c r="S6950" s="8" t="n"/>
      <c r="T6950" s="8" t="n"/>
      <c r="U6950" s="8" t="n"/>
      <c r="V6950" s="8" t="n"/>
      <c r="W6950" s="8" t="n"/>
      <c r="X6950" s="8" t="n"/>
      <c r="Y6950" s="8" t="n"/>
    </row>
    <row r="6951">
      <c r="A6951" s="8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8" t="n"/>
      <c r="K6951" s="8" t="n"/>
      <c r="L6951" s="8" t="n"/>
      <c r="M6951" s="9">
        <f>B6951+30</f>
        <v/>
      </c>
      <c r="N6951">
        <f>IF(L6951="", "", L6951-B6951)</f>
        <v/>
      </c>
      <c r="O6951">
        <f>IF(L6951="", "Pending", IF(N6951&lt;=30, "Met", "Breached"))</f>
        <v/>
      </c>
      <c r="P6951" s="8" t="n"/>
      <c r="Q6951" s="8" t="n"/>
      <c r="R6951" s="8" t="n"/>
      <c r="S6951" s="8" t="n"/>
      <c r="T6951" s="8" t="n"/>
      <c r="U6951" s="8" t="n"/>
      <c r="V6951" s="8" t="n"/>
      <c r="W6951" s="8" t="n"/>
      <c r="X6951" s="8" t="n"/>
      <c r="Y6951" s="8" t="n"/>
    </row>
    <row r="6952">
      <c r="A6952" s="8" t="n"/>
      <c r="B6952" s="8" t="n"/>
      <c r="C6952" s="8" t="n"/>
      <c r="D6952" s="8" t="n"/>
      <c r="E6952" s="8" t="n"/>
      <c r="F6952" s="8" t="n"/>
      <c r="G6952" s="8" t="n"/>
      <c r="H6952" s="8" t="n"/>
      <c r="I6952" s="8" t="n"/>
      <c r="J6952" s="8" t="n"/>
      <c r="K6952" s="8" t="n"/>
      <c r="L6952" s="8" t="n"/>
      <c r="M6952" s="9">
        <f>B6952+30</f>
        <v/>
      </c>
      <c r="N6952">
        <f>IF(L6952="", "", L6952-B6952)</f>
        <v/>
      </c>
      <c r="O6952">
        <f>IF(L6952="", "Pending", IF(N6952&lt;=30, "Met", "Breached"))</f>
        <v/>
      </c>
      <c r="P6952" s="8" t="n"/>
      <c r="Q6952" s="8" t="n"/>
      <c r="R6952" s="8" t="n"/>
      <c r="S6952" s="8" t="n"/>
      <c r="T6952" s="8" t="n"/>
      <c r="U6952" s="8" t="n"/>
      <c r="V6952" s="8" t="n"/>
      <c r="W6952" s="8" t="n"/>
      <c r="X6952" s="8" t="n"/>
      <c r="Y6952" s="8" t="n"/>
    </row>
    <row r="6953">
      <c r="A6953" s="8" t="n"/>
      <c r="B6953" s="8" t="n"/>
      <c r="C6953" s="8" t="n"/>
      <c r="D6953" s="8" t="n"/>
      <c r="E6953" s="8" t="n"/>
      <c r="F6953" s="8" t="n"/>
      <c r="G6953" s="8" t="n"/>
      <c r="H6953" s="8" t="n"/>
      <c r="I6953" s="8" t="n"/>
      <c r="J6953" s="8" t="n"/>
      <c r="K6953" s="8" t="n"/>
      <c r="L6953" s="8" t="n"/>
      <c r="M6953" s="9">
        <f>B6953+30</f>
        <v/>
      </c>
      <c r="N6953">
        <f>IF(L6953="", "", L6953-B6953)</f>
        <v/>
      </c>
      <c r="O6953">
        <f>IF(L6953="", "Pending", IF(N6953&lt;=30, "Met", "Breached"))</f>
        <v/>
      </c>
      <c r="P6953" s="8" t="n"/>
      <c r="Q6953" s="8" t="n"/>
      <c r="R6953" s="8" t="n"/>
      <c r="S6953" s="8" t="n"/>
      <c r="T6953" s="8" t="n"/>
      <c r="U6953" s="8" t="n"/>
      <c r="V6953" s="8" t="n"/>
      <c r="W6953" s="8" t="n"/>
      <c r="X6953" s="8" t="n"/>
      <c r="Y6953" s="8" t="n"/>
    </row>
    <row r="6954">
      <c r="A6954" s="8" t="n"/>
      <c r="B6954" s="8" t="n"/>
      <c r="C6954" s="8" t="n"/>
      <c r="D6954" s="8" t="n"/>
      <c r="E6954" s="8" t="n"/>
      <c r="F6954" s="8" t="n"/>
      <c r="G6954" s="8" t="n"/>
      <c r="H6954" s="8" t="n"/>
      <c r="I6954" s="8" t="n"/>
      <c r="J6954" s="8" t="n"/>
      <c r="K6954" s="8" t="n"/>
      <c r="L6954" s="8" t="n"/>
      <c r="M6954" s="9">
        <f>B6954+30</f>
        <v/>
      </c>
      <c r="N6954">
        <f>IF(L6954="", "", L6954-B6954)</f>
        <v/>
      </c>
      <c r="O6954">
        <f>IF(L6954="", "Pending", IF(N6954&lt;=30, "Met", "Breached"))</f>
        <v/>
      </c>
      <c r="P6954" s="8" t="n"/>
      <c r="Q6954" s="8" t="n"/>
      <c r="R6954" s="8" t="n"/>
      <c r="S6954" s="8" t="n"/>
      <c r="T6954" s="8" t="n"/>
      <c r="U6954" s="8" t="n"/>
      <c r="V6954" s="8" t="n"/>
      <c r="W6954" s="8" t="n"/>
      <c r="X6954" s="8" t="n"/>
      <c r="Y6954" s="8" t="n"/>
    </row>
    <row r="6955">
      <c r="A6955" s="8" t="n"/>
      <c r="B6955" s="8" t="n"/>
      <c r="C6955" s="8" t="n"/>
      <c r="D6955" s="8" t="n"/>
      <c r="E6955" s="8" t="n"/>
      <c r="F6955" s="8" t="n"/>
      <c r="G6955" s="8" t="n"/>
      <c r="H6955" s="8" t="n"/>
      <c r="I6955" s="8" t="n"/>
      <c r="J6955" s="8" t="n"/>
      <c r="K6955" s="8" t="n"/>
      <c r="L6955" s="8" t="n"/>
      <c r="M6955" s="9">
        <f>B6955+30</f>
        <v/>
      </c>
      <c r="N6955">
        <f>IF(L6955="", "", L6955-B6955)</f>
        <v/>
      </c>
      <c r="O6955">
        <f>IF(L6955="", "Pending", IF(N6955&lt;=30, "Met", "Breached"))</f>
        <v/>
      </c>
      <c r="P6955" s="8" t="n"/>
      <c r="Q6955" s="8" t="n"/>
      <c r="R6955" s="8" t="n"/>
      <c r="S6955" s="8" t="n"/>
      <c r="T6955" s="8" t="n"/>
      <c r="U6955" s="8" t="n"/>
      <c r="V6955" s="8" t="n"/>
      <c r="W6955" s="8" t="n"/>
      <c r="X6955" s="8" t="n"/>
      <c r="Y6955" s="8" t="n"/>
    </row>
    <row r="6956">
      <c r="A6956" s="8" t="n"/>
      <c r="B6956" s="8" t="n"/>
      <c r="C6956" s="8" t="n"/>
      <c r="D6956" s="8" t="n"/>
      <c r="E6956" s="8" t="n"/>
      <c r="F6956" s="8" t="n"/>
      <c r="G6956" s="8" t="n"/>
      <c r="H6956" s="8" t="n"/>
      <c r="I6956" s="8" t="n"/>
      <c r="J6956" s="8" t="n"/>
      <c r="K6956" s="8" t="n"/>
      <c r="L6956" s="8" t="n"/>
      <c r="M6956" s="9">
        <f>B6956+30</f>
        <v/>
      </c>
      <c r="N6956">
        <f>IF(L6956="", "", L6956-B6956)</f>
        <v/>
      </c>
      <c r="O6956">
        <f>IF(L6956="", "Pending", IF(N6956&lt;=30, "Met", "Breached"))</f>
        <v/>
      </c>
      <c r="P6956" s="8" t="n"/>
      <c r="Q6956" s="8" t="n"/>
      <c r="R6956" s="8" t="n"/>
      <c r="S6956" s="8" t="n"/>
      <c r="T6956" s="8" t="n"/>
      <c r="U6956" s="8" t="n"/>
      <c r="V6956" s="8" t="n"/>
      <c r="W6956" s="8" t="n"/>
      <c r="X6956" s="8" t="n"/>
      <c r="Y6956" s="8" t="n"/>
    </row>
    <row r="6957">
      <c r="A6957" s="8" t="n"/>
      <c r="B6957" s="8" t="n"/>
      <c r="C6957" s="8" t="n"/>
      <c r="D6957" s="8" t="n"/>
      <c r="E6957" s="8" t="n"/>
      <c r="F6957" s="8" t="n"/>
      <c r="G6957" s="8" t="n"/>
      <c r="H6957" s="8" t="n"/>
      <c r="I6957" s="8" t="n"/>
      <c r="J6957" s="8" t="n"/>
      <c r="K6957" s="8" t="n"/>
      <c r="L6957" s="8" t="n"/>
      <c r="M6957" s="9">
        <f>B6957+30</f>
        <v/>
      </c>
      <c r="N6957">
        <f>IF(L6957="", "", L6957-B6957)</f>
        <v/>
      </c>
      <c r="O6957">
        <f>IF(L6957="", "Pending", IF(N6957&lt;=30, "Met", "Breached"))</f>
        <v/>
      </c>
      <c r="P6957" s="8" t="n"/>
      <c r="Q6957" s="8" t="n"/>
      <c r="R6957" s="8" t="n"/>
      <c r="S6957" s="8" t="n"/>
      <c r="T6957" s="8" t="n"/>
      <c r="U6957" s="8" t="n"/>
      <c r="V6957" s="8" t="n"/>
      <c r="W6957" s="8" t="n"/>
      <c r="X6957" s="8" t="n"/>
      <c r="Y6957" s="8" t="n"/>
    </row>
    <row r="6958">
      <c r="A6958" s="8" t="n"/>
      <c r="B6958" s="8" t="n"/>
      <c r="C6958" s="8" t="n"/>
      <c r="D6958" s="8" t="n"/>
      <c r="E6958" s="8" t="n"/>
      <c r="F6958" s="8" t="n"/>
      <c r="G6958" s="8" t="n"/>
      <c r="H6958" s="8" t="n"/>
      <c r="I6958" s="8" t="n"/>
      <c r="J6958" s="8" t="n"/>
      <c r="K6958" s="8" t="n"/>
      <c r="L6958" s="8" t="n"/>
      <c r="M6958" s="9">
        <f>B6958+30</f>
        <v/>
      </c>
      <c r="N6958">
        <f>IF(L6958="", "", L6958-B6958)</f>
        <v/>
      </c>
      <c r="O6958">
        <f>IF(L6958="", "Pending", IF(N6958&lt;=30, "Met", "Breached"))</f>
        <v/>
      </c>
      <c r="P6958" s="8" t="n"/>
      <c r="Q6958" s="8" t="n"/>
      <c r="R6958" s="8" t="n"/>
      <c r="S6958" s="8" t="n"/>
      <c r="T6958" s="8" t="n"/>
      <c r="U6958" s="8" t="n"/>
      <c r="V6958" s="8" t="n"/>
      <c r="W6958" s="8" t="n"/>
      <c r="X6958" s="8" t="n"/>
      <c r="Y6958" s="8" t="n"/>
    </row>
    <row r="6959">
      <c r="A6959" s="8" t="n"/>
      <c r="B6959" s="8" t="n"/>
      <c r="C6959" s="8" t="n"/>
      <c r="D6959" s="8" t="n"/>
      <c r="E6959" s="8" t="n"/>
      <c r="F6959" s="8" t="n"/>
      <c r="G6959" s="8" t="n"/>
      <c r="H6959" s="8" t="n"/>
      <c r="I6959" s="8" t="n"/>
      <c r="J6959" s="8" t="n"/>
      <c r="K6959" s="8" t="n"/>
      <c r="L6959" s="8" t="n"/>
      <c r="M6959" s="9">
        <f>B6959+30</f>
        <v/>
      </c>
      <c r="N6959">
        <f>IF(L6959="", "", L6959-B6959)</f>
        <v/>
      </c>
      <c r="O6959">
        <f>IF(L6959="", "Pending", IF(N6959&lt;=30, "Met", "Breached"))</f>
        <v/>
      </c>
      <c r="P6959" s="8" t="n"/>
      <c r="Q6959" s="8" t="n"/>
      <c r="R6959" s="8" t="n"/>
      <c r="S6959" s="8" t="n"/>
      <c r="T6959" s="8" t="n"/>
      <c r="U6959" s="8" t="n"/>
      <c r="V6959" s="8" t="n"/>
      <c r="W6959" s="8" t="n"/>
      <c r="X6959" s="8" t="n"/>
      <c r="Y6959" s="8" t="n"/>
    </row>
    <row r="6960">
      <c r="A6960" s="8" t="n"/>
      <c r="B6960" s="8" t="n"/>
      <c r="C6960" s="8" t="n"/>
      <c r="D6960" s="8" t="n"/>
      <c r="E6960" s="8" t="n"/>
      <c r="F6960" s="8" t="n"/>
      <c r="G6960" s="8" t="n"/>
      <c r="H6960" s="8" t="n"/>
      <c r="I6960" s="8" t="n"/>
      <c r="J6960" s="8" t="n"/>
      <c r="K6960" s="8" t="n"/>
      <c r="L6960" s="8" t="n"/>
      <c r="M6960" s="9">
        <f>B6960+30</f>
        <v/>
      </c>
      <c r="N6960">
        <f>IF(L6960="", "", L6960-B6960)</f>
        <v/>
      </c>
      <c r="O6960">
        <f>IF(L6960="", "Pending", IF(N6960&lt;=30, "Met", "Breached"))</f>
        <v/>
      </c>
      <c r="P6960" s="8" t="n"/>
      <c r="Q6960" s="8" t="n"/>
      <c r="R6960" s="8" t="n"/>
      <c r="S6960" s="8" t="n"/>
      <c r="T6960" s="8" t="n"/>
      <c r="U6960" s="8" t="n"/>
      <c r="V6960" s="8" t="n"/>
      <c r="W6960" s="8" t="n"/>
      <c r="X6960" s="8" t="n"/>
      <c r="Y6960" s="8" t="n"/>
    </row>
    <row r="6961">
      <c r="A6961" s="8" t="n"/>
      <c r="B6961" s="8" t="n"/>
      <c r="C6961" s="8" t="n"/>
      <c r="D6961" s="8" t="n"/>
      <c r="E6961" s="8" t="n"/>
      <c r="F6961" s="8" t="n"/>
      <c r="G6961" s="8" t="n"/>
      <c r="H6961" s="8" t="n"/>
      <c r="I6961" s="8" t="n"/>
      <c r="J6961" s="8" t="n"/>
      <c r="K6961" s="8" t="n"/>
      <c r="L6961" s="8" t="n"/>
      <c r="M6961" s="9">
        <f>B6961+30</f>
        <v/>
      </c>
      <c r="N6961">
        <f>IF(L6961="", "", L6961-B6961)</f>
        <v/>
      </c>
      <c r="O6961">
        <f>IF(L6961="", "Pending", IF(N6961&lt;=30, "Met", "Breached"))</f>
        <v/>
      </c>
      <c r="P6961" s="8" t="n"/>
      <c r="Q6961" s="8" t="n"/>
      <c r="R6961" s="8" t="n"/>
      <c r="S6961" s="8" t="n"/>
      <c r="T6961" s="8" t="n"/>
      <c r="U6961" s="8" t="n"/>
      <c r="V6961" s="8" t="n"/>
      <c r="W6961" s="8" t="n"/>
      <c r="X6961" s="8" t="n"/>
      <c r="Y6961" s="8" t="n"/>
    </row>
    <row r="6962">
      <c r="A6962" s="8" t="n"/>
      <c r="B6962" s="8" t="n"/>
      <c r="C6962" s="8" t="n"/>
      <c r="D6962" s="8" t="n"/>
      <c r="E6962" s="8" t="n"/>
      <c r="F6962" s="8" t="n"/>
      <c r="G6962" s="8" t="n"/>
      <c r="H6962" s="8" t="n"/>
      <c r="I6962" s="8" t="n"/>
      <c r="J6962" s="8" t="n"/>
      <c r="K6962" s="8" t="n"/>
      <c r="L6962" s="8" t="n"/>
      <c r="M6962" s="9">
        <f>B6962+30</f>
        <v/>
      </c>
      <c r="N6962">
        <f>IF(L6962="", "", L6962-B6962)</f>
        <v/>
      </c>
      <c r="O6962">
        <f>IF(L6962="", "Pending", IF(N6962&lt;=30, "Met", "Breached"))</f>
        <v/>
      </c>
      <c r="P6962" s="8" t="n"/>
      <c r="Q6962" s="8" t="n"/>
      <c r="R6962" s="8" t="n"/>
      <c r="S6962" s="8" t="n"/>
      <c r="T6962" s="8" t="n"/>
      <c r="U6962" s="8" t="n"/>
      <c r="V6962" s="8" t="n"/>
      <c r="W6962" s="8" t="n"/>
      <c r="X6962" s="8" t="n"/>
      <c r="Y6962" s="8" t="n"/>
    </row>
    <row r="6963">
      <c r="A6963" s="8" t="n"/>
      <c r="B6963" s="8" t="n"/>
      <c r="C6963" s="8" t="n"/>
      <c r="D6963" s="8" t="n"/>
      <c r="E6963" s="8" t="n"/>
      <c r="F6963" s="8" t="n"/>
      <c r="G6963" s="8" t="n"/>
      <c r="H6963" s="8" t="n"/>
      <c r="I6963" s="8" t="n"/>
      <c r="J6963" s="8" t="n"/>
      <c r="K6963" s="8" t="n"/>
      <c r="L6963" s="8" t="n"/>
      <c r="M6963" s="9">
        <f>B6963+30</f>
        <v/>
      </c>
      <c r="N6963">
        <f>IF(L6963="", "", L6963-B6963)</f>
        <v/>
      </c>
      <c r="O6963">
        <f>IF(L6963="", "Pending", IF(N6963&lt;=30, "Met", "Breached"))</f>
        <v/>
      </c>
      <c r="P6963" s="8" t="n"/>
      <c r="Q6963" s="8" t="n"/>
      <c r="R6963" s="8" t="n"/>
      <c r="S6963" s="8" t="n"/>
      <c r="T6963" s="8" t="n"/>
      <c r="U6963" s="8" t="n"/>
      <c r="V6963" s="8" t="n"/>
      <c r="W6963" s="8" t="n"/>
      <c r="X6963" s="8" t="n"/>
      <c r="Y6963" s="8" t="n"/>
    </row>
    <row r="6964">
      <c r="A6964" s="8" t="n"/>
      <c r="B6964" s="8" t="n"/>
      <c r="C6964" s="8" t="n"/>
      <c r="D6964" s="8" t="n"/>
      <c r="E6964" s="8" t="n"/>
      <c r="F6964" s="8" t="n"/>
      <c r="G6964" s="8" t="n"/>
      <c r="H6964" s="8" t="n"/>
      <c r="I6964" s="8" t="n"/>
      <c r="J6964" s="8" t="n"/>
      <c r="K6964" s="8" t="n"/>
      <c r="L6964" s="8" t="n"/>
      <c r="M6964" s="9">
        <f>B6964+30</f>
        <v/>
      </c>
      <c r="N6964">
        <f>IF(L6964="", "", L6964-B6964)</f>
        <v/>
      </c>
      <c r="O6964">
        <f>IF(L6964="", "Pending", IF(N6964&lt;=30, "Met", "Breached"))</f>
        <v/>
      </c>
      <c r="P6964" s="8" t="n"/>
      <c r="Q6964" s="8" t="n"/>
      <c r="R6964" s="8" t="n"/>
      <c r="S6964" s="8" t="n"/>
      <c r="T6964" s="8" t="n"/>
      <c r="U6964" s="8" t="n"/>
      <c r="V6964" s="8" t="n"/>
      <c r="W6964" s="8" t="n"/>
      <c r="X6964" s="8" t="n"/>
      <c r="Y6964" s="8" t="n"/>
    </row>
    <row r="6965">
      <c r="A6965" s="8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8" t="n"/>
      <c r="K6965" s="8" t="n"/>
      <c r="L6965" s="8" t="n"/>
      <c r="M6965" s="9">
        <f>B6965+30</f>
        <v/>
      </c>
      <c r="N6965">
        <f>IF(L6965="", "", L6965-B6965)</f>
        <v/>
      </c>
      <c r="O6965">
        <f>IF(L6965="", "Pending", IF(N6965&lt;=30, "Met", "Breached"))</f>
        <v/>
      </c>
      <c r="P6965" s="8" t="n"/>
      <c r="Q6965" s="8" t="n"/>
      <c r="R6965" s="8" t="n"/>
      <c r="S6965" s="8" t="n"/>
      <c r="T6965" s="8" t="n"/>
      <c r="U6965" s="8" t="n"/>
      <c r="V6965" s="8" t="n"/>
      <c r="W6965" s="8" t="n"/>
      <c r="X6965" s="8" t="n"/>
      <c r="Y6965" s="8" t="n"/>
    </row>
    <row r="6966">
      <c r="A6966" s="8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8" t="n"/>
      <c r="K6966" s="8" t="n"/>
      <c r="L6966" s="8" t="n"/>
      <c r="M6966" s="9">
        <f>B6966+30</f>
        <v/>
      </c>
      <c r="N6966">
        <f>IF(L6966="", "", L6966-B6966)</f>
        <v/>
      </c>
      <c r="O6966">
        <f>IF(L6966="", "Pending", IF(N6966&lt;=30, "Met", "Breached"))</f>
        <v/>
      </c>
      <c r="P6966" s="8" t="n"/>
      <c r="Q6966" s="8" t="n"/>
      <c r="R6966" s="8" t="n"/>
      <c r="S6966" s="8" t="n"/>
      <c r="T6966" s="8" t="n"/>
      <c r="U6966" s="8" t="n"/>
      <c r="V6966" s="8" t="n"/>
      <c r="W6966" s="8" t="n"/>
      <c r="X6966" s="8" t="n"/>
      <c r="Y6966" s="8" t="n"/>
    </row>
    <row r="6967">
      <c r="A6967" s="8" t="n"/>
      <c r="B6967" s="8" t="n"/>
      <c r="C6967" s="8" t="n"/>
      <c r="D6967" s="8" t="n"/>
      <c r="E6967" s="8" t="n"/>
      <c r="F6967" s="8" t="n"/>
      <c r="G6967" s="8" t="n"/>
      <c r="H6967" s="8" t="n"/>
      <c r="I6967" s="8" t="n"/>
      <c r="J6967" s="8" t="n"/>
      <c r="K6967" s="8" t="n"/>
      <c r="L6967" s="8" t="n"/>
      <c r="M6967" s="9">
        <f>B6967+30</f>
        <v/>
      </c>
      <c r="N6967">
        <f>IF(L6967="", "", L6967-B6967)</f>
        <v/>
      </c>
      <c r="O6967">
        <f>IF(L6967="", "Pending", IF(N6967&lt;=30, "Met", "Breached"))</f>
        <v/>
      </c>
      <c r="P6967" s="8" t="n"/>
      <c r="Q6967" s="8" t="n"/>
      <c r="R6967" s="8" t="n"/>
      <c r="S6967" s="8" t="n"/>
      <c r="T6967" s="8" t="n"/>
      <c r="U6967" s="8" t="n"/>
      <c r="V6967" s="8" t="n"/>
      <c r="W6967" s="8" t="n"/>
      <c r="X6967" s="8" t="n"/>
      <c r="Y6967" s="8" t="n"/>
    </row>
    <row r="6968">
      <c r="A6968" s="8" t="n"/>
      <c r="B6968" s="8" t="n"/>
      <c r="C6968" s="8" t="n"/>
      <c r="D6968" s="8" t="n"/>
      <c r="E6968" s="8" t="n"/>
      <c r="F6968" s="8" t="n"/>
      <c r="G6968" s="8" t="n"/>
      <c r="H6968" s="8" t="n"/>
      <c r="I6968" s="8" t="n"/>
      <c r="J6968" s="8" t="n"/>
      <c r="K6968" s="8" t="n"/>
      <c r="L6968" s="8" t="n"/>
      <c r="M6968" s="9">
        <f>B6968+30</f>
        <v/>
      </c>
      <c r="N6968">
        <f>IF(L6968="", "", L6968-B6968)</f>
        <v/>
      </c>
      <c r="O6968">
        <f>IF(L6968="", "Pending", IF(N6968&lt;=30, "Met", "Breached"))</f>
        <v/>
      </c>
      <c r="P6968" s="8" t="n"/>
      <c r="Q6968" s="8" t="n"/>
      <c r="R6968" s="8" t="n"/>
      <c r="S6968" s="8" t="n"/>
      <c r="T6968" s="8" t="n"/>
      <c r="U6968" s="8" t="n"/>
      <c r="V6968" s="8" t="n"/>
      <c r="W6968" s="8" t="n"/>
      <c r="X6968" s="8" t="n"/>
      <c r="Y6968" s="8" t="n"/>
    </row>
    <row r="6969">
      <c r="A6969" s="8" t="n"/>
      <c r="B6969" s="8" t="n"/>
      <c r="C6969" s="8" t="n"/>
      <c r="D6969" s="8" t="n"/>
      <c r="E6969" s="8" t="n"/>
      <c r="F6969" s="8" t="n"/>
      <c r="G6969" s="8" t="n"/>
      <c r="H6969" s="8" t="n"/>
      <c r="I6969" s="8" t="n"/>
      <c r="J6969" s="8" t="n"/>
      <c r="K6969" s="8" t="n"/>
      <c r="L6969" s="8" t="n"/>
      <c r="M6969" s="9">
        <f>B6969+30</f>
        <v/>
      </c>
      <c r="N6969">
        <f>IF(L6969="", "", L6969-B6969)</f>
        <v/>
      </c>
      <c r="O6969">
        <f>IF(L6969="", "Pending", IF(N6969&lt;=30, "Met", "Breached"))</f>
        <v/>
      </c>
      <c r="P6969" s="8" t="n"/>
      <c r="Q6969" s="8" t="n"/>
      <c r="R6969" s="8" t="n"/>
      <c r="S6969" s="8" t="n"/>
      <c r="T6969" s="8" t="n"/>
      <c r="U6969" s="8" t="n"/>
      <c r="V6969" s="8" t="n"/>
      <c r="W6969" s="8" t="n"/>
      <c r="X6969" s="8" t="n"/>
      <c r="Y6969" s="8" t="n"/>
    </row>
    <row r="6970">
      <c r="A6970" s="8" t="n"/>
      <c r="B6970" s="8" t="n"/>
      <c r="C6970" s="8" t="n"/>
      <c r="D6970" s="8" t="n"/>
      <c r="E6970" s="8" t="n"/>
      <c r="F6970" s="8" t="n"/>
      <c r="G6970" s="8" t="n"/>
      <c r="H6970" s="8" t="n"/>
      <c r="I6970" s="8" t="n"/>
      <c r="J6970" s="8" t="n"/>
      <c r="K6970" s="8" t="n"/>
      <c r="L6970" s="8" t="n"/>
      <c r="M6970" s="9">
        <f>B6970+30</f>
        <v/>
      </c>
      <c r="N6970">
        <f>IF(L6970="", "", L6970-B6970)</f>
        <v/>
      </c>
      <c r="O6970">
        <f>IF(L6970="", "Pending", IF(N6970&lt;=30, "Met", "Breached"))</f>
        <v/>
      </c>
      <c r="P6970" s="8" t="n"/>
      <c r="Q6970" s="8" t="n"/>
      <c r="R6970" s="8" t="n"/>
      <c r="S6970" s="8" t="n"/>
      <c r="T6970" s="8" t="n"/>
      <c r="U6970" s="8" t="n"/>
      <c r="V6970" s="8" t="n"/>
      <c r="W6970" s="8" t="n"/>
      <c r="X6970" s="8" t="n"/>
      <c r="Y6970" s="8" t="n"/>
    </row>
    <row r="6971">
      <c r="A6971" s="8" t="n"/>
      <c r="B6971" s="8" t="n"/>
      <c r="C6971" s="8" t="n"/>
      <c r="D6971" s="8" t="n"/>
      <c r="E6971" s="8" t="n"/>
      <c r="F6971" s="8" t="n"/>
      <c r="G6971" s="8" t="n"/>
      <c r="H6971" s="8" t="n"/>
      <c r="I6971" s="8" t="n"/>
      <c r="J6971" s="8" t="n"/>
      <c r="K6971" s="8" t="n"/>
      <c r="L6971" s="8" t="n"/>
      <c r="M6971" s="9">
        <f>B6971+30</f>
        <v/>
      </c>
      <c r="N6971">
        <f>IF(L6971="", "", L6971-B6971)</f>
        <v/>
      </c>
      <c r="O6971">
        <f>IF(L6971="", "Pending", IF(N6971&lt;=30, "Met", "Breached"))</f>
        <v/>
      </c>
      <c r="P6971" s="8" t="n"/>
      <c r="Q6971" s="8" t="n"/>
      <c r="R6971" s="8" t="n"/>
      <c r="S6971" s="8" t="n"/>
      <c r="T6971" s="8" t="n"/>
      <c r="U6971" s="8" t="n"/>
      <c r="V6971" s="8" t="n"/>
      <c r="W6971" s="8" t="n"/>
      <c r="X6971" s="8" t="n"/>
      <c r="Y6971" s="8" t="n"/>
    </row>
    <row r="6972">
      <c r="A6972" s="8" t="n"/>
      <c r="B6972" s="8" t="n"/>
      <c r="C6972" s="8" t="n"/>
      <c r="D6972" s="8" t="n"/>
      <c r="E6972" s="8" t="n"/>
      <c r="F6972" s="8" t="n"/>
      <c r="G6972" s="8" t="n"/>
      <c r="H6972" s="8" t="n"/>
      <c r="I6972" s="8" t="n"/>
      <c r="J6972" s="8" t="n"/>
      <c r="K6972" s="8" t="n"/>
      <c r="L6972" s="8" t="n"/>
      <c r="M6972" s="9">
        <f>B6972+30</f>
        <v/>
      </c>
      <c r="N6972">
        <f>IF(L6972="", "", L6972-B6972)</f>
        <v/>
      </c>
      <c r="O6972">
        <f>IF(L6972="", "Pending", IF(N6972&lt;=30, "Met", "Breached"))</f>
        <v/>
      </c>
      <c r="P6972" s="8" t="n"/>
      <c r="Q6972" s="8" t="n"/>
      <c r="R6972" s="8" t="n"/>
      <c r="S6972" s="8" t="n"/>
      <c r="T6972" s="8" t="n"/>
      <c r="U6972" s="8" t="n"/>
      <c r="V6972" s="8" t="n"/>
      <c r="W6972" s="8" t="n"/>
      <c r="X6972" s="8" t="n"/>
      <c r="Y6972" s="8" t="n"/>
    </row>
    <row r="6973">
      <c r="A6973" s="8" t="n"/>
      <c r="B6973" s="8" t="n"/>
      <c r="C6973" s="8" t="n"/>
      <c r="D6973" s="8" t="n"/>
      <c r="E6973" s="8" t="n"/>
      <c r="F6973" s="8" t="n"/>
      <c r="G6973" s="8" t="n"/>
      <c r="H6973" s="8" t="n"/>
      <c r="I6973" s="8" t="n"/>
      <c r="J6973" s="8" t="n"/>
      <c r="K6973" s="8" t="n"/>
      <c r="L6973" s="8" t="n"/>
      <c r="M6973" s="9">
        <f>B6973+30</f>
        <v/>
      </c>
      <c r="N6973">
        <f>IF(L6973="", "", L6973-B6973)</f>
        <v/>
      </c>
      <c r="O6973">
        <f>IF(L6973="", "Pending", IF(N6973&lt;=30, "Met", "Breached"))</f>
        <v/>
      </c>
      <c r="P6973" s="8" t="n"/>
      <c r="Q6973" s="8" t="n"/>
      <c r="R6973" s="8" t="n"/>
      <c r="S6973" s="8" t="n"/>
      <c r="T6973" s="8" t="n"/>
      <c r="U6973" s="8" t="n"/>
      <c r="V6973" s="8" t="n"/>
      <c r="W6973" s="8" t="n"/>
      <c r="X6973" s="8" t="n"/>
      <c r="Y6973" s="8" t="n"/>
    </row>
    <row r="6974">
      <c r="A6974" s="8" t="n"/>
      <c r="B6974" s="8" t="n"/>
      <c r="C6974" s="8" t="n"/>
      <c r="D6974" s="8" t="n"/>
      <c r="E6974" s="8" t="n"/>
      <c r="F6974" s="8" t="n"/>
      <c r="G6974" s="8" t="n"/>
      <c r="H6974" s="8" t="n"/>
      <c r="I6974" s="8" t="n"/>
      <c r="J6974" s="8" t="n"/>
      <c r="K6974" s="8" t="n"/>
      <c r="L6974" s="8" t="n"/>
      <c r="M6974" s="9">
        <f>B6974+30</f>
        <v/>
      </c>
      <c r="N6974">
        <f>IF(L6974="", "", L6974-B6974)</f>
        <v/>
      </c>
      <c r="O6974">
        <f>IF(L6974="", "Pending", IF(N6974&lt;=30, "Met", "Breached"))</f>
        <v/>
      </c>
      <c r="P6974" s="8" t="n"/>
      <c r="Q6974" s="8" t="n"/>
      <c r="R6974" s="8" t="n"/>
      <c r="S6974" s="8" t="n"/>
      <c r="T6974" s="8" t="n"/>
      <c r="U6974" s="8" t="n"/>
      <c r="V6974" s="8" t="n"/>
      <c r="W6974" s="8" t="n"/>
      <c r="X6974" s="8" t="n"/>
      <c r="Y6974" s="8" t="n"/>
    </row>
    <row r="6975">
      <c r="A6975" s="8" t="n"/>
      <c r="B6975" s="8" t="n"/>
      <c r="C6975" s="8" t="n"/>
      <c r="D6975" s="8" t="n"/>
      <c r="E6975" s="8" t="n"/>
      <c r="F6975" s="8" t="n"/>
      <c r="G6975" s="8" t="n"/>
      <c r="H6975" s="8" t="n"/>
      <c r="I6975" s="8" t="n"/>
      <c r="J6975" s="8" t="n"/>
      <c r="K6975" s="8" t="n"/>
      <c r="L6975" s="8" t="n"/>
      <c r="M6975" s="9">
        <f>B6975+30</f>
        <v/>
      </c>
      <c r="N6975">
        <f>IF(L6975="", "", L6975-B6975)</f>
        <v/>
      </c>
      <c r="O6975">
        <f>IF(L6975="", "Pending", IF(N6975&lt;=30, "Met", "Breached"))</f>
        <v/>
      </c>
      <c r="P6975" s="8" t="n"/>
      <c r="Q6975" s="8" t="n"/>
      <c r="R6975" s="8" t="n"/>
      <c r="S6975" s="8" t="n"/>
      <c r="T6975" s="8" t="n"/>
      <c r="U6975" s="8" t="n"/>
      <c r="V6975" s="8" t="n"/>
      <c r="W6975" s="8" t="n"/>
      <c r="X6975" s="8" t="n"/>
      <c r="Y6975" s="8" t="n"/>
    </row>
    <row r="6976">
      <c r="A6976" s="8" t="n"/>
      <c r="B6976" s="8" t="n"/>
      <c r="C6976" s="8" t="n"/>
      <c r="D6976" s="8" t="n"/>
      <c r="E6976" s="8" t="n"/>
      <c r="F6976" s="8" t="n"/>
      <c r="G6976" s="8" t="n"/>
      <c r="H6976" s="8" t="n"/>
      <c r="I6976" s="8" t="n"/>
      <c r="J6976" s="8" t="n"/>
      <c r="K6976" s="8" t="n"/>
      <c r="L6976" s="8" t="n"/>
      <c r="M6976" s="9">
        <f>B6976+30</f>
        <v/>
      </c>
      <c r="N6976">
        <f>IF(L6976="", "", L6976-B6976)</f>
        <v/>
      </c>
      <c r="O6976">
        <f>IF(L6976="", "Pending", IF(N6976&lt;=30, "Met", "Breached"))</f>
        <v/>
      </c>
      <c r="P6976" s="8" t="n"/>
      <c r="Q6976" s="8" t="n"/>
      <c r="R6976" s="8" t="n"/>
      <c r="S6976" s="8" t="n"/>
      <c r="T6976" s="8" t="n"/>
      <c r="U6976" s="8" t="n"/>
      <c r="V6976" s="8" t="n"/>
      <c r="W6976" s="8" t="n"/>
      <c r="X6976" s="8" t="n"/>
      <c r="Y6976" s="8" t="n"/>
    </row>
    <row r="6977">
      <c r="A6977" s="8" t="n"/>
      <c r="B6977" s="8" t="n"/>
      <c r="C6977" s="8" t="n"/>
      <c r="D6977" s="8" t="n"/>
      <c r="E6977" s="8" t="n"/>
      <c r="F6977" s="8" t="n"/>
      <c r="G6977" s="8" t="n"/>
      <c r="H6977" s="8" t="n"/>
      <c r="I6977" s="8" t="n"/>
      <c r="J6977" s="8" t="n"/>
      <c r="K6977" s="8" t="n"/>
      <c r="L6977" s="8" t="n"/>
      <c r="M6977" s="9">
        <f>B6977+30</f>
        <v/>
      </c>
      <c r="N6977">
        <f>IF(L6977="", "", L6977-B6977)</f>
        <v/>
      </c>
      <c r="O6977">
        <f>IF(L6977="", "Pending", IF(N6977&lt;=30, "Met", "Breached"))</f>
        <v/>
      </c>
      <c r="P6977" s="8" t="n"/>
      <c r="Q6977" s="8" t="n"/>
      <c r="R6977" s="8" t="n"/>
      <c r="S6977" s="8" t="n"/>
      <c r="T6977" s="8" t="n"/>
      <c r="U6977" s="8" t="n"/>
      <c r="V6977" s="8" t="n"/>
      <c r="W6977" s="8" t="n"/>
      <c r="X6977" s="8" t="n"/>
      <c r="Y6977" s="8" t="n"/>
    </row>
    <row r="6978">
      <c r="A6978" s="8" t="n"/>
      <c r="B6978" s="8" t="n"/>
      <c r="C6978" s="8" t="n"/>
      <c r="D6978" s="8" t="n"/>
      <c r="E6978" s="8" t="n"/>
      <c r="F6978" s="8" t="n"/>
      <c r="G6978" s="8" t="n"/>
      <c r="H6978" s="8" t="n"/>
      <c r="I6978" s="8" t="n"/>
      <c r="J6978" s="8" t="n"/>
      <c r="K6978" s="8" t="n"/>
      <c r="L6978" s="8" t="n"/>
      <c r="M6978" s="9">
        <f>B6978+30</f>
        <v/>
      </c>
      <c r="N6978">
        <f>IF(L6978="", "", L6978-B6978)</f>
        <v/>
      </c>
      <c r="O6978">
        <f>IF(L6978="", "Pending", IF(N6978&lt;=30, "Met", "Breached"))</f>
        <v/>
      </c>
      <c r="P6978" s="8" t="n"/>
      <c r="Q6978" s="8" t="n"/>
      <c r="R6978" s="8" t="n"/>
      <c r="S6978" s="8" t="n"/>
      <c r="T6978" s="8" t="n"/>
      <c r="U6978" s="8" t="n"/>
      <c r="V6978" s="8" t="n"/>
      <c r="W6978" s="8" t="n"/>
      <c r="X6978" s="8" t="n"/>
      <c r="Y6978" s="8" t="n"/>
    </row>
    <row r="6979">
      <c r="A6979" s="8" t="n"/>
      <c r="B6979" s="8" t="n"/>
      <c r="C6979" s="8" t="n"/>
      <c r="D6979" s="8" t="n"/>
      <c r="E6979" s="8" t="n"/>
      <c r="F6979" s="8" t="n"/>
      <c r="G6979" s="8" t="n"/>
      <c r="H6979" s="8" t="n"/>
      <c r="I6979" s="8" t="n"/>
      <c r="J6979" s="8" t="n"/>
      <c r="K6979" s="8" t="n"/>
      <c r="L6979" s="8" t="n"/>
      <c r="M6979" s="9">
        <f>B6979+30</f>
        <v/>
      </c>
      <c r="N6979">
        <f>IF(L6979="", "", L6979-B6979)</f>
        <v/>
      </c>
      <c r="O6979">
        <f>IF(L6979="", "Pending", IF(N6979&lt;=30, "Met", "Breached"))</f>
        <v/>
      </c>
      <c r="P6979" s="8" t="n"/>
      <c r="Q6979" s="8" t="n"/>
      <c r="R6979" s="8" t="n"/>
      <c r="S6979" s="8" t="n"/>
      <c r="T6979" s="8" t="n"/>
      <c r="U6979" s="8" t="n"/>
      <c r="V6979" s="8" t="n"/>
      <c r="W6979" s="8" t="n"/>
      <c r="X6979" s="8" t="n"/>
      <c r="Y6979" s="8" t="n"/>
    </row>
    <row r="6980">
      <c r="A6980" s="8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8" t="n"/>
      <c r="K6980" s="8" t="n"/>
      <c r="L6980" s="8" t="n"/>
      <c r="M6980" s="9">
        <f>B6980+30</f>
        <v/>
      </c>
      <c r="N6980">
        <f>IF(L6980="", "", L6980-B6980)</f>
        <v/>
      </c>
      <c r="O6980">
        <f>IF(L6980="", "Pending", IF(N6980&lt;=30, "Met", "Breached"))</f>
        <v/>
      </c>
      <c r="P6980" s="8" t="n"/>
      <c r="Q6980" s="8" t="n"/>
      <c r="R6980" s="8" t="n"/>
      <c r="S6980" s="8" t="n"/>
      <c r="T6980" s="8" t="n"/>
      <c r="U6980" s="8" t="n"/>
      <c r="V6980" s="8" t="n"/>
      <c r="W6980" s="8" t="n"/>
      <c r="X6980" s="8" t="n"/>
      <c r="Y6980" s="8" t="n"/>
    </row>
    <row r="6981">
      <c r="A6981" s="8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8" t="n"/>
      <c r="K6981" s="8" t="n"/>
      <c r="L6981" s="8" t="n"/>
      <c r="M6981" s="9">
        <f>B6981+30</f>
        <v/>
      </c>
      <c r="N6981">
        <f>IF(L6981="", "", L6981-B6981)</f>
        <v/>
      </c>
      <c r="O6981">
        <f>IF(L6981="", "Pending", IF(N6981&lt;=30, "Met", "Breached"))</f>
        <v/>
      </c>
      <c r="P6981" s="8" t="n"/>
      <c r="Q6981" s="8" t="n"/>
      <c r="R6981" s="8" t="n"/>
      <c r="S6981" s="8" t="n"/>
      <c r="T6981" s="8" t="n"/>
      <c r="U6981" s="8" t="n"/>
      <c r="V6981" s="8" t="n"/>
      <c r="W6981" s="8" t="n"/>
      <c r="X6981" s="8" t="n"/>
      <c r="Y6981" s="8" t="n"/>
    </row>
    <row r="6982">
      <c r="A6982" s="8" t="n"/>
      <c r="B6982" s="8" t="n"/>
      <c r="C6982" s="8" t="n"/>
      <c r="D6982" s="8" t="n"/>
      <c r="E6982" s="8" t="n"/>
      <c r="F6982" s="8" t="n"/>
      <c r="G6982" s="8" t="n"/>
      <c r="H6982" s="8" t="n"/>
      <c r="I6982" s="8" t="n"/>
      <c r="J6982" s="8" t="n"/>
      <c r="K6982" s="8" t="n"/>
      <c r="L6982" s="8" t="n"/>
      <c r="M6982" s="9">
        <f>B6982+30</f>
        <v/>
      </c>
      <c r="N6982">
        <f>IF(L6982="", "", L6982-B6982)</f>
        <v/>
      </c>
      <c r="O6982">
        <f>IF(L6982="", "Pending", IF(N6982&lt;=30, "Met", "Breached"))</f>
        <v/>
      </c>
      <c r="P6982" s="8" t="n"/>
      <c r="Q6982" s="8" t="n"/>
      <c r="R6982" s="8" t="n"/>
      <c r="S6982" s="8" t="n"/>
      <c r="T6982" s="8" t="n"/>
      <c r="U6982" s="8" t="n"/>
      <c r="V6982" s="8" t="n"/>
      <c r="W6982" s="8" t="n"/>
      <c r="X6982" s="8" t="n"/>
      <c r="Y6982" s="8" t="n"/>
    </row>
    <row r="6983">
      <c r="A6983" s="8" t="n"/>
      <c r="B6983" s="8" t="n"/>
      <c r="C6983" s="8" t="n"/>
      <c r="D6983" s="8" t="n"/>
      <c r="E6983" s="8" t="n"/>
      <c r="F6983" s="8" t="n"/>
      <c r="G6983" s="8" t="n"/>
      <c r="H6983" s="8" t="n"/>
      <c r="I6983" s="8" t="n"/>
      <c r="J6983" s="8" t="n"/>
      <c r="K6983" s="8" t="n"/>
      <c r="L6983" s="8" t="n"/>
      <c r="M6983" s="9">
        <f>B6983+30</f>
        <v/>
      </c>
      <c r="N6983">
        <f>IF(L6983="", "", L6983-B6983)</f>
        <v/>
      </c>
      <c r="O6983">
        <f>IF(L6983="", "Pending", IF(N6983&lt;=30, "Met", "Breached"))</f>
        <v/>
      </c>
      <c r="P6983" s="8" t="n"/>
      <c r="Q6983" s="8" t="n"/>
      <c r="R6983" s="8" t="n"/>
      <c r="S6983" s="8" t="n"/>
      <c r="T6983" s="8" t="n"/>
      <c r="U6983" s="8" t="n"/>
      <c r="V6983" s="8" t="n"/>
      <c r="W6983" s="8" t="n"/>
      <c r="X6983" s="8" t="n"/>
      <c r="Y6983" s="8" t="n"/>
    </row>
    <row r="6984">
      <c r="A6984" s="8" t="n"/>
      <c r="B6984" s="8" t="n"/>
      <c r="C6984" s="8" t="n"/>
      <c r="D6984" s="8" t="n"/>
      <c r="E6984" s="8" t="n"/>
      <c r="F6984" s="8" t="n"/>
      <c r="G6984" s="8" t="n"/>
      <c r="H6984" s="8" t="n"/>
      <c r="I6984" s="8" t="n"/>
      <c r="J6984" s="8" t="n"/>
      <c r="K6984" s="8" t="n"/>
      <c r="L6984" s="8" t="n"/>
      <c r="M6984" s="9">
        <f>B6984+30</f>
        <v/>
      </c>
      <c r="N6984">
        <f>IF(L6984="", "", L6984-B6984)</f>
        <v/>
      </c>
      <c r="O6984">
        <f>IF(L6984="", "Pending", IF(N6984&lt;=30, "Met", "Breached"))</f>
        <v/>
      </c>
      <c r="P6984" s="8" t="n"/>
      <c r="Q6984" s="8" t="n"/>
      <c r="R6984" s="8" t="n"/>
      <c r="S6984" s="8" t="n"/>
      <c r="T6984" s="8" t="n"/>
      <c r="U6984" s="8" t="n"/>
      <c r="V6984" s="8" t="n"/>
      <c r="W6984" s="8" t="n"/>
      <c r="X6984" s="8" t="n"/>
      <c r="Y6984" s="8" t="n"/>
    </row>
    <row r="6985">
      <c r="A6985" s="8" t="n"/>
      <c r="B6985" s="8" t="n"/>
      <c r="C6985" s="8" t="n"/>
      <c r="D6985" s="8" t="n"/>
      <c r="E6985" s="8" t="n"/>
      <c r="F6985" s="8" t="n"/>
      <c r="G6985" s="8" t="n"/>
      <c r="H6985" s="8" t="n"/>
      <c r="I6985" s="8" t="n"/>
      <c r="J6985" s="8" t="n"/>
      <c r="K6985" s="8" t="n"/>
      <c r="L6985" s="8" t="n"/>
      <c r="M6985" s="9">
        <f>B6985+30</f>
        <v/>
      </c>
      <c r="N6985">
        <f>IF(L6985="", "", L6985-B6985)</f>
        <v/>
      </c>
      <c r="O6985">
        <f>IF(L6985="", "Pending", IF(N6985&lt;=30, "Met", "Breached"))</f>
        <v/>
      </c>
      <c r="P6985" s="8" t="n"/>
      <c r="Q6985" s="8" t="n"/>
      <c r="R6985" s="8" t="n"/>
      <c r="S6985" s="8" t="n"/>
      <c r="T6985" s="8" t="n"/>
      <c r="U6985" s="8" t="n"/>
      <c r="V6985" s="8" t="n"/>
      <c r="W6985" s="8" t="n"/>
      <c r="X6985" s="8" t="n"/>
      <c r="Y6985" s="8" t="n"/>
    </row>
    <row r="6986">
      <c r="A6986" s="8" t="n"/>
      <c r="B6986" s="8" t="n"/>
      <c r="C6986" s="8" t="n"/>
      <c r="D6986" s="8" t="n"/>
      <c r="E6986" s="8" t="n"/>
      <c r="F6986" s="8" t="n"/>
      <c r="G6986" s="8" t="n"/>
      <c r="H6986" s="8" t="n"/>
      <c r="I6986" s="8" t="n"/>
      <c r="J6986" s="8" t="n"/>
      <c r="K6986" s="8" t="n"/>
      <c r="L6986" s="8" t="n"/>
      <c r="M6986" s="9">
        <f>B6986+30</f>
        <v/>
      </c>
      <c r="N6986">
        <f>IF(L6986="", "", L6986-B6986)</f>
        <v/>
      </c>
      <c r="O6986">
        <f>IF(L6986="", "Pending", IF(N6986&lt;=30, "Met", "Breached"))</f>
        <v/>
      </c>
      <c r="P6986" s="8" t="n"/>
      <c r="Q6986" s="8" t="n"/>
      <c r="R6986" s="8" t="n"/>
      <c r="S6986" s="8" t="n"/>
      <c r="T6986" s="8" t="n"/>
      <c r="U6986" s="8" t="n"/>
      <c r="V6986" s="8" t="n"/>
      <c r="W6986" s="8" t="n"/>
      <c r="X6986" s="8" t="n"/>
      <c r="Y6986" s="8" t="n"/>
    </row>
    <row r="6987">
      <c r="A6987" s="8" t="n"/>
      <c r="B6987" s="8" t="n"/>
      <c r="C6987" s="8" t="n"/>
      <c r="D6987" s="8" t="n"/>
      <c r="E6987" s="8" t="n"/>
      <c r="F6987" s="8" t="n"/>
      <c r="G6987" s="8" t="n"/>
      <c r="H6987" s="8" t="n"/>
      <c r="I6987" s="8" t="n"/>
      <c r="J6987" s="8" t="n"/>
      <c r="K6987" s="8" t="n"/>
      <c r="L6987" s="8" t="n"/>
      <c r="M6987" s="9">
        <f>B6987+30</f>
        <v/>
      </c>
      <c r="N6987">
        <f>IF(L6987="", "", L6987-B6987)</f>
        <v/>
      </c>
      <c r="O6987">
        <f>IF(L6987="", "Pending", IF(N6987&lt;=30, "Met", "Breached"))</f>
        <v/>
      </c>
      <c r="P6987" s="8" t="n"/>
      <c r="Q6987" s="8" t="n"/>
      <c r="R6987" s="8" t="n"/>
      <c r="S6987" s="8" t="n"/>
      <c r="T6987" s="8" t="n"/>
      <c r="U6987" s="8" t="n"/>
      <c r="V6987" s="8" t="n"/>
      <c r="W6987" s="8" t="n"/>
      <c r="X6987" s="8" t="n"/>
      <c r="Y6987" s="8" t="n"/>
    </row>
    <row r="6988">
      <c r="A6988" s="8" t="n"/>
      <c r="B6988" s="8" t="n"/>
      <c r="C6988" s="8" t="n"/>
      <c r="D6988" s="8" t="n"/>
      <c r="E6988" s="8" t="n"/>
      <c r="F6988" s="8" t="n"/>
      <c r="G6988" s="8" t="n"/>
      <c r="H6988" s="8" t="n"/>
      <c r="I6988" s="8" t="n"/>
      <c r="J6988" s="8" t="n"/>
      <c r="K6988" s="8" t="n"/>
      <c r="L6988" s="8" t="n"/>
      <c r="M6988" s="9">
        <f>B6988+30</f>
        <v/>
      </c>
      <c r="N6988">
        <f>IF(L6988="", "", L6988-B6988)</f>
        <v/>
      </c>
      <c r="O6988">
        <f>IF(L6988="", "Pending", IF(N6988&lt;=30, "Met", "Breached"))</f>
        <v/>
      </c>
      <c r="P6988" s="8" t="n"/>
      <c r="Q6988" s="8" t="n"/>
      <c r="R6988" s="8" t="n"/>
      <c r="S6988" s="8" t="n"/>
      <c r="T6988" s="8" t="n"/>
      <c r="U6988" s="8" t="n"/>
      <c r="V6988" s="8" t="n"/>
      <c r="W6988" s="8" t="n"/>
      <c r="X6988" s="8" t="n"/>
      <c r="Y6988" s="8" t="n"/>
    </row>
    <row r="6989">
      <c r="A6989" s="8" t="n"/>
      <c r="B6989" s="8" t="n"/>
      <c r="C6989" s="8" t="n"/>
      <c r="D6989" s="8" t="n"/>
      <c r="E6989" s="8" t="n"/>
      <c r="F6989" s="8" t="n"/>
      <c r="G6989" s="8" t="n"/>
      <c r="H6989" s="8" t="n"/>
      <c r="I6989" s="8" t="n"/>
      <c r="J6989" s="8" t="n"/>
      <c r="K6989" s="8" t="n"/>
      <c r="L6989" s="8" t="n"/>
      <c r="M6989" s="9">
        <f>B6989+30</f>
        <v/>
      </c>
      <c r="N6989">
        <f>IF(L6989="", "", L6989-B6989)</f>
        <v/>
      </c>
      <c r="O6989">
        <f>IF(L6989="", "Pending", IF(N6989&lt;=30, "Met", "Breached"))</f>
        <v/>
      </c>
      <c r="P6989" s="8" t="n"/>
      <c r="Q6989" s="8" t="n"/>
      <c r="R6989" s="8" t="n"/>
      <c r="S6989" s="8" t="n"/>
      <c r="T6989" s="8" t="n"/>
      <c r="U6989" s="8" t="n"/>
      <c r="V6989" s="8" t="n"/>
      <c r="W6989" s="8" t="n"/>
      <c r="X6989" s="8" t="n"/>
      <c r="Y6989" s="8" t="n"/>
    </row>
    <row r="6990">
      <c r="A6990" s="8" t="n"/>
      <c r="B6990" s="8" t="n"/>
      <c r="C6990" s="8" t="n"/>
      <c r="D6990" s="8" t="n"/>
      <c r="E6990" s="8" t="n"/>
      <c r="F6990" s="8" t="n"/>
      <c r="G6990" s="8" t="n"/>
      <c r="H6990" s="8" t="n"/>
      <c r="I6990" s="8" t="n"/>
      <c r="J6990" s="8" t="n"/>
      <c r="K6990" s="8" t="n"/>
      <c r="L6990" s="8" t="n"/>
      <c r="M6990" s="9">
        <f>B6990+30</f>
        <v/>
      </c>
      <c r="N6990">
        <f>IF(L6990="", "", L6990-B6990)</f>
        <v/>
      </c>
      <c r="O6990">
        <f>IF(L6990="", "Pending", IF(N6990&lt;=30, "Met", "Breached"))</f>
        <v/>
      </c>
      <c r="P6990" s="8" t="n"/>
      <c r="Q6990" s="8" t="n"/>
      <c r="R6990" s="8" t="n"/>
      <c r="S6990" s="8" t="n"/>
      <c r="T6990" s="8" t="n"/>
      <c r="U6990" s="8" t="n"/>
      <c r="V6990" s="8" t="n"/>
      <c r="W6990" s="8" t="n"/>
      <c r="X6990" s="8" t="n"/>
      <c r="Y6990" s="8" t="n"/>
    </row>
    <row r="6991">
      <c r="A6991" s="8" t="n"/>
      <c r="B6991" s="8" t="n"/>
      <c r="C6991" s="8" t="n"/>
      <c r="D6991" s="8" t="n"/>
      <c r="E6991" s="8" t="n"/>
      <c r="F6991" s="8" t="n"/>
      <c r="G6991" s="8" t="n"/>
      <c r="H6991" s="8" t="n"/>
      <c r="I6991" s="8" t="n"/>
      <c r="J6991" s="8" t="n"/>
      <c r="K6991" s="8" t="n"/>
      <c r="L6991" s="8" t="n"/>
      <c r="M6991" s="9">
        <f>B6991+30</f>
        <v/>
      </c>
      <c r="N6991">
        <f>IF(L6991="", "", L6991-B6991)</f>
        <v/>
      </c>
      <c r="O6991">
        <f>IF(L6991="", "Pending", IF(N6991&lt;=30, "Met", "Breached"))</f>
        <v/>
      </c>
      <c r="P6991" s="8" t="n"/>
      <c r="Q6991" s="8" t="n"/>
      <c r="R6991" s="8" t="n"/>
      <c r="S6991" s="8" t="n"/>
      <c r="T6991" s="8" t="n"/>
      <c r="U6991" s="8" t="n"/>
      <c r="V6991" s="8" t="n"/>
      <c r="W6991" s="8" t="n"/>
      <c r="X6991" s="8" t="n"/>
      <c r="Y6991" s="8" t="n"/>
    </row>
    <row r="6992">
      <c r="A6992" s="8" t="n"/>
      <c r="B6992" s="8" t="n"/>
      <c r="C6992" s="8" t="n"/>
      <c r="D6992" s="8" t="n"/>
      <c r="E6992" s="8" t="n"/>
      <c r="F6992" s="8" t="n"/>
      <c r="G6992" s="8" t="n"/>
      <c r="H6992" s="8" t="n"/>
      <c r="I6992" s="8" t="n"/>
      <c r="J6992" s="8" t="n"/>
      <c r="K6992" s="8" t="n"/>
      <c r="L6992" s="8" t="n"/>
      <c r="M6992" s="9">
        <f>B6992+30</f>
        <v/>
      </c>
      <c r="N6992">
        <f>IF(L6992="", "", L6992-B6992)</f>
        <v/>
      </c>
      <c r="O6992">
        <f>IF(L6992="", "Pending", IF(N6992&lt;=30, "Met", "Breached"))</f>
        <v/>
      </c>
      <c r="P6992" s="8" t="n"/>
      <c r="Q6992" s="8" t="n"/>
      <c r="R6992" s="8" t="n"/>
      <c r="S6992" s="8" t="n"/>
      <c r="T6992" s="8" t="n"/>
      <c r="U6992" s="8" t="n"/>
      <c r="V6992" s="8" t="n"/>
      <c r="W6992" s="8" t="n"/>
      <c r="X6992" s="8" t="n"/>
      <c r="Y6992" s="8" t="n"/>
    </row>
    <row r="6993">
      <c r="A6993" s="8" t="n"/>
      <c r="B6993" s="8" t="n"/>
      <c r="C6993" s="8" t="n"/>
      <c r="D6993" s="8" t="n"/>
      <c r="E6993" s="8" t="n"/>
      <c r="F6993" s="8" t="n"/>
      <c r="G6993" s="8" t="n"/>
      <c r="H6993" s="8" t="n"/>
      <c r="I6993" s="8" t="n"/>
      <c r="J6993" s="8" t="n"/>
      <c r="K6993" s="8" t="n"/>
      <c r="L6993" s="8" t="n"/>
      <c r="M6993" s="9">
        <f>B6993+30</f>
        <v/>
      </c>
      <c r="N6993">
        <f>IF(L6993="", "", L6993-B6993)</f>
        <v/>
      </c>
      <c r="O6993">
        <f>IF(L6993="", "Pending", IF(N6993&lt;=30, "Met", "Breached"))</f>
        <v/>
      </c>
      <c r="P6993" s="8" t="n"/>
      <c r="Q6993" s="8" t="n"/>
      <c r="R6993" s="8" t="n"/>
      <c r="S6993" s="8" t="n"/>
      <c r="T6993" s="8" t="n"/>
      <c r="U6993" s="8" t="n"/>
      <c r="V6993" s="8" t="n"/>
      <c r="W6993" s="8" t="n"/>
      <c r="X6993" s="8" t="n"/>
      <c r="Y6993" s="8" t="n"/>
    </row>
    <row r="6994">
      <c r="A6994" s="8" t="n"/>
      <c r="B6994" s="8" t="n"/>
      <c r="C6994" s="8" t="n"/>
      <c r="D6994" s="8" t="n"/>
      <c r="E6994" s="8" t="n"/>
      <c r="F6994" s="8" t="n"/>
      <c r="G6994" s="8" t="n"/>
      <c r="H6994" s="8" t="n"/>
      <c r="I6994" s="8" t="n"/>
      <c r="J6994" s="8" t="n"/>
      <c r="K6994" s="8" t="n"/>
      <c r="L6994" s="8" t="n"/>
      <c r="M6994" s="9">
        <f>B6994+30</f>
        <v/>
      </c>
      <c r="N6994">
        <f>IF(L6994="", "", L6994-B6994)</f>
        <v/>
      </c>
      <c r="O6994">
        <f>IF(L6994="", "Pending", IF(N6994&lt;=30, "Met", "Breached"))</f>
        <v/>
      </c>
      <c r="P6994" s="8" t="n"/>
      <c r="Q6994" s="8" t="n"/>
      <c r="R6994" s="8" t="n"/>
      <c r="S6994" s="8" t="n"/>
      <c r="T6994" s="8" t="n"/>
      <c r="U6994" s="8" t="n"/>
      <c r="V6994" s="8" t="n"/>
      <c r="W6994" s="8" t="n"/>
      <c r="X6994" s="8" t="n"/>
      <c r="Y6994" s="8" t="n"/>
    </row>
    <row r="6995">
      <c r="A6995" s="8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8" t="n"/>
      <c r="K6995" s="8" t="n"/>
      <c r="L6995" s="8" t="n"/>
      <c r="M6995" s="9">
        <f>B6995+30</f>
        <v/>
      </c>
      <c r="N6995">
        <f>IF(L6995="", "", L6995-B6995)</f>
        <v/>
      </c>
      <c r="O6995">
        <f>IF(L6995="", "Pending", IF(N6995&lt;=30, "Met", "Breached"))</f>
        <v/>
      </c>
      <c r="P6995" s="8" t="n"/>
      <c r="Q6995" s="8" t="n"/>
      <c r="R6995" s="8" t="n"/>
      <c r="S6995" s="8" t="n"/>
      <c r="T6995" s="8" t="n"/>
      <c r="U6995" s="8" t="n"/>
      <c r="V6995" s="8" t="n"/>
      <c r="W6995" s="8" t="n"/>
      <c r="X6995" s="8" t="n"/>
      <c r="Y6995" s="8" t="n"/>
    </row>
    <row r="6996">
      <c r="A6996" s="8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8" t="n"/>
      <c r="K6996" s="8" t="n"/>
      <c r="L6996" s="8" t="n"/>
      <c r="M6996" s="9">
        <f>B6996+30</f>
        <v/>
      </c>
      <c r="N6996">
        <f>IF(L6996="", "", L6996-B6996)</f>
        <v/>
      </c>
      <c r="O6996">
        <f>IF(L6996="", "Pending", IF(N6996&lt;=30, "Met", "Breached"))</f>
        <v/>
      </c>
      <c r="P6996" s="8" t="n"/>
      <c r="Q6996" s="8" t="n"/>
      <c r="R6996" s="8" t="n"/>
      <c r="S6996" s="8" t="n"/>
      <c r="T6996" s="8" t="n"/>
      <c r="U6996" s="8" t="n"/>
      <c r="V6996" s="8" t="n"/>
      <c r="W6996" s="8" t="n"/>
      <c r="X6996" s="8" t="n"/>
      <c r="Y6996" s="8" t="n"/>
    </row>
    <row r="6997">
      <c r="A6997" s="8" t="n"/>
      <c r="B6997" s="8" t="n"/>
      <c r="C6997" s="8" t="n"/>
      <c r="D6997" s="8" t="n"/>
      <c r="E6997" s="8" t="n"/>
      <c r="F6997" s="8" t="n"/>
      <c r="G6997" s="8" t="n"/>
      <c r="H6997" s="8" t="n"/>
      <c r="I6997" s="8" t="n"/>
      <c r="J6997" s="8" t="n"/>
      <c r="K6997" s="8" t="n"/>
      <c r="L6997" s="8" t="n"/>
      <c r="M6997" s="9">
        <f>B6997+30</f>
        <v/>
      </c>
      <c r="N6997">
        <f>IF(L6997="", "", L6997-B6997)</f>
        <v/>
      </c>
      <c r="O6997">
        <f>IF(L6997="", "Pending", IF(N6997&lt;=30, "Met", "Breached"))</f>
        <v/>
      </c>
      <c r="P6997" s="8" t="n"/>
      <c r="Q6997" s="8" t="n"/>
      <c r="R6997" s="8" t="n"/>
      <c r="S6997" s="8" t="n"/>
      <c r="T6997" s="8" t="n"/>
      <c r="U6997" s="8" t="n"/>
      <c r="V6997" s="8" t="n"/>
      <c r="W6997" s="8" t="n"/>
      <c r="X6997" s="8" t="n"/>
      <c r="Y6997" s="8" t="n"/>
    </row>
    <row r="6998">
      <c r="A6998" s="8" t="n"/>
      <c r="B6998" s="8" t="n"/>
      <c r="C6998" s="8" t="n"/>
      <c r="D6998" s="8" t="n"/>
      <c r="E6998" s="8" t="n"/>
      <c r="F6998" s="8" t="n"/>
      <c r="G6998" s="8" t="n"/>
      <c r="H6998" s="8" t="n"/>
      <c r="I6998" s="8" t="n"/>
      <c r="J6998" s="8" t="n"/>
      <c r="K6998" s="8" t="n"/>
      <c r="L6998" s="8" t="n"/>
      <c r="M6998" s="9">
        <f>B6998+30</f>
        <v/>
      </c>
      <c r="N6998">
        <f>IF(L6998="", "", L6998-B6998)</f>
        <v/>
      </c>
      <c r="O6998">
        <f>IF(L6998="", "Pending", IF(N6998&lt;=30, "Met", "Breached"))</f>
        <v/>
      </c>
      <c r="P6998" s="8" t="n"/>
      <c r="Q6998" s="8" t="n"/>
      <c r="R6998" s="8" t="n"/>
      <c r="S6998" s="8" t="n"/>
      <c r="T6998" s="8" t="n"/>
      <c r="U6998" s="8" t="n"/>
      <c r="V6998" s="8" t="n"/>
      <c r="W6998" s="8" t="n"/>
      <c r="X6998" s="8" t="n"/>
      <c r="Y6998" s="8" t="n"/>
    </row>
    <row r="6999">
      <c r="A6999" s="8" t="n"/>
      <c r="B6999" s="8" t="n"/>
      <c r="C6999" s="8" t="n"/>
      <c r="D6999" s="8" t="n"/>
      <c r="E6999" s="8" t="n"/>
      <c r="F6999" s="8" t="n"/>
      <c r="G6999" s="8" t="n"/>
      <c r="H6999" s="8" t="n"/>
      <c r="I6999" s="8" t="n"/>
      <c r="J6999" s="8" t="n"/>
      <c r="K6999" s="8" t="n"/>
      <c r="L6999" s="8" t="n"/>
      <c r="M6999" s="9">
        <f>B6999+30</f>
        <v/>
      </c>
      <c r="N6999">
        <f>IF(L6999="", "", L6999-B6999)</f>
        <v/>
      </c>
      <c r="O6999">
        <f>IF(L6999="", "Pending", IF(N6999&lt;=30, "Met", "Breached"))</f>
        <v/>
      </c>
      <c r="P6999" s="8" t="n"/>
      <c r="Q6999" s="8" t="n"/>
      <c r="R6999" s="8" t="n"/>
      <c r="S6999" s="8" t="n"/>
      <c r="T6999" s="8" t="n"/>
      <c r="U6999" s="8" t="n"/>
      <c r="V6999" s="8" t="n"/>
      <c r="W6999" s="8" t="n"/>
      <c r="X6999" s="8" t="n"/>
      <c r="Y6999" s="8" t="n"/>
    </row>
    <row r="7000">
      <c r="A7000" s="8" t="n"/>
      <c r="B7000" s="8" t="n"/>
      <c r="C7000" s="8" t="n"/>
      <c r="D7000" s="8" t="n"/>
      <c r="E7000" s="8" t="n"/>
      <c r="F7000" s="8" t="n"/>
      <c r="G7000" s="8" t="n"/>
      <c r="H7000" s="8" t="n"/>
      <c r="I7000" s="8" t="n"/>
      <c r="J7000" s="8" t="n"/>
      <c r="K7000" s="8" t="n"/>
      <c r="L7000" s="8" t="n"/>
      <c r="M7000" s="9">
        <f>B7000+30</f>
        <v/>
      </c>
      <c r="N7000">
        <f>IF(L7000="", "", L7000-B7000)</f>
        <v/>
      </c>
      <c r="O7000">
        <f>IF(L7000="", "Pending", IF(N7000&lt;=30, "Met", "Breached"))</f>
        <v/>
      </c>
      <c r="P7000" s="8" t="n"/>
      <c r="Q7000" s="8" t="n"/>
      <c r="R7000" s="8" t="n"/>
      <c r="S7000" s="8" t="n"/>
      <c r="T7000" s="8" t="n"/>
      <c r="U7000" s="8" t="n"/>
      <c r="V7000" s="8" t="n"/>
      <c r="W7000" s="8" t="n"/>
      <c r="X7000" s="8" t="n"/>
      <c r="Y7000" s="8" t="n"/>
    </row>
    <row r="7001">
      <c r="A7001" s="8" t="n"/>
      <c r="B7001" s="8" t="n"/>
      <c r="C7001" s="8" t="n"/>
      <c r="D7001" s="8" t="n"/>
      <c r="E7001" s="8" t="n"/>
      <c r="F7001" s="8" t="n"/>
      <c r="G7001" s="8" t="n"/>
      <c r="H7001" s="8" t="n"/>
      <c r="I7001" s="8" t="n"/>
      <c r="J7001" s="8" t="n"/>
      <c r="K7001" s="8" t="n"/>
      <c r="L7001" s="8" t="n"/>
      <c r="M7001" s="9">
        <f>B7001+30</f>
        <v/>
      </c>
      <c r="N7001">
        <f>IF(L7001="", "", L7001-B7001)</f>
        <v/>
      </c>
      <c r="O7001">
        <f>IF(L7001="", "Pending", IF(N7001&lt;=30, "Met", "Breached"))</f>
        <v/>
      </c>
      <c r="P7001" s="8" t="n"/>
      <c r="Q7001" s="8" t="n"/>
      <c r="R7001" s="8" t="n"/>
      <c r="S7001" s="8" t="n"/>
      <c r="T7001" s="8" t="n"/>
      <c r="U7001" s="8" t="n"/>
      <c r="V7001" s="8" t="n"/>
      <c r="W7001" s="8" t="n"/>
      <c r="X7001" s="8" t="n"/>
      <c r="Y7001" s="8" t="n"/>
    </row>
    <row r="7002">
      <c r="A7002" s="8" t="n"/>
      <c r="B7002" s="8" t="n"/>
      <c r="C7002" s="8" t="n"/>
      <c r="D7002" s="8" t="n"/>
      <c r="E7002" s="8" t="n"/>
      <c r="F7002" s="8" t="n"/>
      <c r="G7002" s="8" t="n"/>
      <c r="H7002" s="8" t="n"/>
      <c r="I7002" s="8" t="n"/>
      <c r="J7002" s="8" t="n"/>
      <c r="K7002" s="8" t="n"/>
      <c r="L7002" s="8" t="n"/>
      <c r="M7002" s="9">
        <f>B7002+30</f>
        <v/>
      </c>
      <c r="N7002">
        <f>IF(L7002="", "", L7002-B7002)</f>
        <v/>
      </c>
      <c r="O7002">
        <f>IF(L7002="", "Pending", IF(N7002&lt;=30, "Met", "Breached"))</f>
        <v/>
      </c>
      <c r="P7002" s="8" t="n"/>
      <c r="Q7002" s="8" t="n"/>
      <c r="R7002" s="8" t="n"/>
      <c r="S7002" s="8" t="n"/>
      <c r="T7002" s="8" t="n"/>
      <c r="U7002" s="8" t="n"/>
      <c r="V7002" s="8" t="n"/>
      <c r="W7002" s="8" t="n"/>
      <c r="X7002" s="8" t="n"/>
      <c r="Y7002" s="8" t="n"/>
    </row>
    <row r="7003">
      <c r="A7003" s="8" t="n"/>
      <c r="B7003" s="8" t="n"/>
      <c r="C7003" s="8" t="n"/>
      <c r="D7003" s="8" t="n"/>
      <c r="E7003" s="8" t="n"/>
      <c r="F7003" s="8" t="n"/>
      <c r="G7003" s="8" t="n"/>
      <c r="H7003" s="8" t="n"/>
      <c r="I7003" s="8" t="n"/>
      <c r="J7003" s="8" t="n"/>
      <c r="K7003" s="8" t="n"/>
      <c r="L7003" s="8" t="n"/>
      <c r="M7003" s="9">
        <f>B7003+30</f>
        <v/>
      </c>
      <c r="N7003">
        <f>IF(L7003="", "", L7003-B7003)</f>
        <v/>
      </c>
      <c r="O7003">
        <f>IF(L7003="", "Pending", IF(N7003&lt;=30, "Met", "Breached"))</f>
        <v/>
      </c>
      <c r="P7003" s="8" t="n"/>
      <c r="Q7003" s="8" t="n"/>
      <c r="R7003" s="8" t="n"/>
      <c r="S7003" s="8" t="n"/>
      <c r="T7003" s="8" t="n"/>
      <c r="U7003" s="8" t="n"/>
      <c r="V7003" s="8" t="n"/>
      <c r="W7003" s="8" t="n"/>
      <c r="X7003" s="8" t="n"/>
      <c r="Y7003" s="8" t="n"/>
    </row>
    <row r="7004">
      <c r="A7004" s="8" t="n"/>
      <c r="B7004" s="8" t="n"/>
      <c r="C7004" s="8" t="n"/>
      <c r="D7004" s="8" t="n"/>
      <c r="E7004" s="8" t="n"/>
      <c r="F7004" s="8" t="n"/>
      <c r="G7004" s="8" t="n"/>
      <c r="H7004" s="8" t="n"/>
      <c r="I7004" s="8" t="n"/>
      <c r="J7004" s="8" t="n"/>
      <c r="K7004" s="8" t="n"/>
      <c r="L7004" s="8" t="n"/>
      <c r="M7004" s="9">
        <f>B7004+30</f>
        <v/>
      </c>
      <c r="N7004">
        <f>IF(L7004="", "", L7004-B7004)</f>
        <v/>
      </c>
      <c r="O7004">
        <f>IF(L7004="", "Pending", IF(N7004&lt;=30, "Met", "Breached"))</f>
        <v/>
      </c>
      <c r="P7004" s="8" t="n"/>
      <c r="Q7004" s="8" t="n"/>
      <c r="R7004" s="8" t="n"/>
      <c r="S7004" s="8" t="n"/>
      <c r="T7004" s="8" t="n"/>
      <c r="U7004" s="8" t="n"/>
      <c r="V7004" s="8" t="n"/>
      <c r="W7004" s="8" t="n"/>
      <c r="X7004" s="8" t="n"/>
      <c r="Y7004" s="8" t="n"/>
    </row>
    <row r="7005">
      <c r="A7005" s="8" t="n"/>
      <c r="B7005" s="8" t="n"/>
      <c r="C7005" s="8" t="n"/>
      <c r="D7005" s="8" t="n"/>
      <c r="E7005" s="8" t="n"/>
      <c r="F7005" s="8" t="n"/>
      <c r="G7005" s="8" t="n"/>
      <c r="H7005" s="8" t="n"/>
      <c r="I7005" s="8" t="n"/>
      <c r="J7005" s="8" t="n"/>
      <c r="K7005" s="8" t="n"/>
      <c r="L7005" s="8" t="n"/>
      <c r="M7005" s="9">
        <f>B7005+30</f>
        <v/>
      </c>
      <c r="N7005">
        <f>IF(L7005="", "", L7005-B7005)</f>
        <v/>
      </c>
      <c r="O7005">
        <f>IF(L7005="", "Pending", IF(N7005&lt;=30, "Met", "Breached"))</f>
        <v/>
      </c>
      <c r="P7005" s="8" t="n"/>
      <c r="Q7005" s="8" t="n"/>
      <c r="R7005" s="8" t="n"/>
      <c r="S7005" s="8" t="n"/>
      <c r="T7005" s="8" t="n"/>
      <c r="U7005" s="8" t="n"/>
      <c r="V7005" s="8" t="n"/>
      <c r="W7005" s="8" t="n"/>
      <c r="X7005" s="8" t="n"/>
      <c r="Y7005" s="8" t="n"/>
    </row>
    <row r="7006">
      <c r="A7006" s="8" t="n"/>
      <c r="B7006" s="8" t="n"/>
      <c r="C7006" s="8" t="n"/>
      <c r="D7006" s="8" t="n"/>
      <c r="E7006" s="8" t="n"/>
      <c r="F7006" s="8" t="n"/>
      <c r="G7006" s="8" t="n"/>
      <c r="H7006" s="8" t="n"/>
      <c r="I7006" s="8" t="n"/>
      <c r="J7006" s="8" t="n"/>
      <c r="K7006" s="8" t="n"/>
      <c r="L7006" s="8" t="n"/>
      <c r="M7006" s="9">
        <f>B7006+30</f>
        <v/>
      </c>
      <c r="N7006">
        <f>IF(L7006="", "", L7006-B7006)</f>
        <v/>
      </c>
      <c r="O7006">
        <f>IF(L7006="", "Pending", IF(N7006&lt;=30, "Met", "Breached"))</f>
        <v/>
      </c>
      <c r="P7006" s="8" t="n"/>
      <c r="Q7006" s="8" t="n"/>
      <c r="R7006" s="8" t="n"/>
      <c r="S7006" s="8" t="n"/>
      <c r="T7006" s="8" t="n"/>
      <c r="U7006" s="8" t="n"/>
      <c r="V7006" s="8" t="n"/>
      <c r="W7006" s="8" t="n"/>
      <c r="X7006" s="8" t="n"/>
      <c r="Y7006" s="8" t="n"/>
    </row>
    <row r="7007">
      <c r="A7007" s="8" t="n"/>
      <c r="B7007" s="8" t="n"/>
      <c r="C7007" s="8" t="n"/>
      <c r="D7007" s="8" t="n"/>
      <c r="E7007" s="8" t="n"/>
      <c r="F7007" s="8" t="n"/>
      <c r="G7007" s="8" t="n"/>
      <c r="H7007" s="8" t="n"/>
      <c r="I7007" s="8" t="n"/>
      <c r="J7007" s="8" t="n"/>
      <c r="K7007" s="8" t="n"/>
      <c r="L7007" s="8" t="n"/>
      <c r="M7007" s="9">
        <f>B7007+30</f>
        <v/>
      </c>
      <c r="N7007">
        <f>IF(L7007="", "", L7007-B7007)</f>
        <v/>
      </c>
      <c r="O7007">
        <f>IF(L7007="", "Pending", IF(N7007&lt;=30, "Met", "Breached"))</f>
        <v/>
      </c>
      <c r="P7007" s="8" t="n"/>
      <c r="Q7007" s="8" t="n"/>
      <c r="R7007" s="8" t="n"/>
      <c r="S7007" s="8" t="n"/>
      <c r="T7007" s="8" t="n"/>
      <c r="U7007" s="8" t="n"/>
      <c r="V7007" s="8" t="n"/>
      <c r="W7007" s="8" t="n"/>
      <c r="X7007" s="8" t="n"/>
      <c r="Y7007" s="8" t="n"/>
    </row>
    <row r="7008">
      <c r="A7008" s="8" t="n"/>
      <c r="B7008" s="8" t="n"/>
      <c r="C7008" s="8" t="n"/>
      <c r="D7008" s="8" t="n"/>
      <c r="E7008" s="8" t="n"/>
      <c r="F7008" s="8" t="n"/>
      <c r="G7008" s="8" t="n"/>
      <c r="H7008" s="8" t="n"/>
      <c r="I7008" s="8" t="n"/>
      <c r="J7008" s="8" t="n"/>
      <c r="K7008" s="8" t="n"/>
      <c r="L7008" s="8" t="n"/>
      <c r="M7008" s="9">
        <f>B7008+30</f>
        <v/>
      </c>
      <c r="N7008">
        <f>IF(L7008="", "", L7008-B7008)</f>
        <v/>
      </c>
      <c r="O7008">
        <f>IF(L7008="", "Pending", IF(N7008&lt;=30, "Met", "Breached"))</f>
        <v/>
      </c>
      <c r="P7008" s="8" t="n"/>
      <c r="Q7008" s="8" t="n"/>
      <c r="R7008" s="8" t="n"/>
      <c r="S7008" s="8" t="n"/>
      <c r="T7008" s="8" t="n"/>
      <c r="U7008" s="8" t="n"/>
      <c r="V7008" s="8" t="n"/>
      <c r="W7008" s="8" t="n"/>
      <c r="X7008" s="8" t="n"/>
      <c r="Y7008" s="8" t="n"/>
    </row>
    <row r="7009">
      <c r="A7009" s="8" t="n"/>
      <c r="B7009" s="8" t="n"/>
      <c r="C7009" s="8" t="n"/>
      <c r="D7009" s="8" t="n"/>
      <c r="E7009" s="8" t="n"/>
      <c r="F7009" s="8" t="n"/>
      <c r="G7009" s="8" t="n"/>
      <c r="H7009" s="8" t="n"/>
      <c r="I7009" s="8" t="n"/>
      <c r="J7009" s="8" t="n"/>
      <c r="K7009" s="8" t="n"/>
      <c r="L7009" s="8" t="n"/>
      <c r="M7009" s="9">
        <f>B7009+30</f>
        <v/>
      </c>
      <c r="N7009">
        <f>IF(L7009="", "", L7009-B7009)</f>
        <v/>
      </c>
      <c r="O7009">
        <f>IF(L7009="", "Pending", IF(N7009&lt;=30, "Met", "Breached"))</f>
        <v/>
      </c>
      <c r="P7009" s="8" t="n"/>
      <c r="Q7009" s="8" t="n"/>
      <c r="R7009" s="8" t="n"/>
      <c r="S7009" s="8" t="n"/>
      <c r="T7009" s="8" t="n"/>
      <c r="U7009" s="8" t="n"/>
      <c r="V7009" s="8" t="n"/>
      <c r="W7009" s="8" t="n"/>
      <c r="X7009" s="8" t="n"/>
      <c r="Y7009" s="8" t="n"/>
    </row>
    <row r="7010">
      <c r="A7010" s="8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8" t="n"/>
      <c r="K7010" s="8" t="n"/>
      <c r="L7010" s="8" t="n"/>
      <c r="M7010" s="9">
        <f>B7010+30</f>
        <v/>
      </c>
      <c r="N7010">
        <f>IF(L7010="", "", L7010-B7010)</f>
        <v/>
      </c>
      <c r="O7010">
        <f>IF(L7010="", "Pending", IF(N7010&lt;=30, "Met", "Breached"))</f>
        <v/>
      </c>
      <c r="P7010" s="8" t="n"/>
      <c r="Q7010" s="8" t="n"/>
      <c r="R7010" s="8" t="n"/>
      <c r="S7010" s="8" t="n"/>
      <c r="T7010" s="8" t="n"/>
      <c r="U7010" s="8" t="n"/>
      <c r="V7010" s="8" t="n"/>
      <c r="W7010" s="8" t="n"/>
      <c r="X7010" s="8" t="n"/>
      <c r="Y7010" s="8" t="n"/>
    </row>
    <row r="7011">
      <c r="A7011" s="8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8" t="n"/>
      <c r="K7011" s="8" t="n"/>
      <c r="L7011" s="8" t="n"/>
      <c r="M7011" s="9">
        <f>B7011+30</f>
        <v/>
      </c>
      <c r="N7011">
        <f>IF(L7011="", "", L7011-B7011)</f>
        <v/>
      </c>
      <c r="O7011">
        <f>IF(L7011="", "Pending", IF(N7011&lt;=30, "Met", "Breached"))</f>
        <v/>
      </c>
      <c r="P7011" s="8" t="n"/>
      <c r="Q7011" s="8" t="n"/>
      <c r="R7011" s="8" t="n"/>
      <c r="S7011" s="8" t="n"/>
      <c r="T7011" s="8" t="n"/>
      <c r="U7011" s="8" t="n"/>
      <c r="V7011" s="8" t="n"/>
      <c r="W7011" s="8" t="n"/>
      <c r="X7011" s="8" t="n"/>
      <c r="Y7011" s="8" t="n"/>
    </row>
    <row r="7012">
      <c r="A7012" s="8" t="n"/>
      <c r="B7012" s="8" t="n"/>
      <c r="C7012" s="8" t="n"/>
      <c r="D7012" s="8" t="n"/>
      <c r="E7012" s="8" t="n"/>
      <c r="F7012" s="8" t="n"/>
      <c r="G7012" s="8" t="n"/>
      <c r="H7012" s="8" t="n"/>
      <c r="I7012" s="8" t="n"/>
      <c r="J7012" s="8" t="n"/>
      <c r="K7012" s="8" t="n"/>
      <c r="L7012" s="8" t="n"/>
      <c r="M7012" s="9">
        <f>B7012+30</f>
        <v/>
      </c>
      <c r="N7012">
        <f>IF(L7012="", "", L7012-B7012)</f>
        <v/>
      </c>
      <c r="O7012">
        <f>IF(L7012="", "Pending", IF(N7012&lt;=30, "Met", "Breached"))</f>
        <v/>
      </c>
      <c r="P7012" s="8" t="n"/>
      <c r="Q7012" s="8" t="n"/>
      <c r="R7012" s="8" t="n"/>
      <c r="S7012" s="8" t="n"/>
      <c r="T7012" s="8" t="n"/>
      <c r="U7012" s="8" t="n"/>
      <c r="V7012" s="8" t="n"/>
      <c r="W7012" s="8" t="n"/>
      <c r="X7012" s="8" t="n"/>
      <c r="Y7012" s="8" t="n"/>
    </row>
    <row r="7013">
      <c r="A7013" s="8" t="n"/>
      <c r="B7013" s="8" t="n"/>
      <c r="C7013" s="8" t="n"/>
      <c r="D7013" s="8" t="n"/>
      <c r="E7013" s="8" t="n"/>
      <c r="F7013" s="8" t="n"/>
      <c r="G7013" s="8" t="n"/>
      <c r="H7013" s="8" t="n"/>
      <c r="I7013" s="8" t="n"/>
      <c r="J7013" s="8" t="n"/>
      <c r="K7013" s="8" t="n"/>
      <c r="L7013" s="8" t="n"/>
      <c r="M7013" s="9">
        <f>B7013+30</f>
        <v/>
      </c>
      <c r="N7013">
        <f>IF(L7013="", "", L7013-B7013)</f>
        <v/>
      </c>
      <c r="O7013">
        <f>IF(L7013="", "Pending", IF(N7013&lt;=30, "Met", "Breached"))</f>
        <v/>
      </c>
      <c r="P7013" s="8" t="n"/>
      <c r="Q7013" s="8" t="n"/>
      <c r="R7013" s="8" t="n"/>
      <c r="S7013" s="8" t="n"/>
      <c r="T7013" s="8" t="n"/>
      <c r="U7013" s="8" t="n"/>
      <c r="V7013" s="8" t="n"/>
      <c r="W7013" s="8" t="n"/>
      <c r="X7013" s="8" t="n"/>
      <c r="Y7013" s="8" t="n"/>
    </row>
    <row r="7014">
      <c r="A7014" s="8" t="n"/>
      <c r="B7014" s="8" t="n"/>
      <c r="C7014" s="8" t="n"/>
      <c r="D7014" s="8" t="n"/>
      <c r="E7014" s="8" t="n"/>
      <c r="F7014" s="8" t="n"/>
      <c r="G7014" s="8" t="n"/>
      <c r="H7014" s="8" t="n"/>
      <c r="I7014" s="8" t="n"/>
      <c r="J7014" s="8" t="n"/>
      <c r="K7014" s="8" t="n"/>
      <c r="L7014" s="8" t="n"/>
      <c r="M7014" s="9">
        <f>B7014+30</f>
        <v/>
      </c>
      <c r="N7014">
        <f>IF(L7014="", "", L7014-B7014)</f>
        <v/>
      </c>
      <c r="O7014">
        <f>IF(L7014="", "Pending", IF(N7014&lt;=30, "Met", "Breached"))</f>
        <v/>
      </c>
      <c r="P7014" s="8" t="n"/>
      <c r="Q7014" s="8" t="n"/>
      <c r="R7014" s="8" t="n"/>
      <c r="S7014" s="8" t="n"/>
      <c r="T7014" s="8" t="n"/>
      <c r="U7014" s="8" t="n"/>
      <c r="V7014" s="8" t="n"/>
      <c r="W7014" s="8" t="n"/>
      <c r="X7014" s="8" t="n"/>
      <c r="Y7014" s="8" t="n"/>
    </row>
    <row r="7015">
      <c r="A7015" s="8" t="n"/>
      <c r="B7015" s="8" t="n"/>
      <c r="C7015" s="8" t="n"/>
      <c r="D7015" s="8" t="n"/>
      <c r="E7015" s="8" t="n"/>
      <c r="F7015" s="8" t="n"/>
      <c r="G7015" s="8" t="n"/>
      <c r="H7015" s="8" t="n"/>
      <c r="I7015" s="8" t="n"/>
      <c r="J7015" s="8" t="n"/>
      <c r="K7015" s="8" t="n"/>
      <c r="L7015" s="8" t="n"/>
      <c r="M7015" s="9">
        <f>B7015+30</f>
        <v/>
      </c>
      <c r="N7015">
        <f>IF(L7015="", "", L7015-B7015)</f>
        <v/>
      </c>
      <c r="O7015">
        <f>IF(L7015="", "Pending", IF(N7015&lt;=30, "Met", "Breached"))</f>
        <v/>
      </c>
      <c r="P7015" s="8" t="n"/>
      <c r="Q7015" s="8" t="n"/>
      <c r="R7015" s="8" t="n"/>
      <c r="S7015" s="8" t="n"/>
      <c r="T7015" s="8" t="n"/>
      <c r="U7015" s="8" t="n"/>
      <c r="V7015" s="8" t="n"/>
      <c r="W7015" s="8" t="n"/>
      <c r="X7015" s="8" t="n"/>
      <c r="Y7015" s="8" t="n"/>
    </row>
    <row r="7016">
      <c r="A7016" s="8" t="n"/>
      <c r="B7016" s="8" t="n"/>
      <c r="C7016" s="8" t="n"/>
      <c r="D7016" s="8" t="n"/>
      <c r="E7016" s="8" t="n"/>
      <c r="F7016" s="8" t="n"/>
      <c r="G7016" s="8" t="n"/>
      <c r="H7016" s="8" t="n"/>
      <c r="I7016" s="8" t="n"/>
      <c r="J7016" s="8" t="n"/>
      <c r="K7016" s="8" t="n"/>
      <c r="L7016" s="8" t="n"/>
      <c r="M7016" s="9">
        <f>B7016+30</f>
        <v/>
      </c>
      <c r="N7016">
        <f>IF(L7016="", "", L7016-B7016)</f>
        <v/>
      </c>
      <c r="O7016">
        <f>IF(L7016="", "Pending", IF(N7016&lt;=30, "Met", "Breached"))</f>
        <v/>
      </c>
      <c r="P7016" s="8" t="n"/>
      <c r="Q7016" s="8" t="n"/>
      <c r="R7016" s="8" t="n"/>
      <c r="S7016" s="8" t="n"/>
      <c r="T7016" s="8" t="n"/>
      <c r="U7016" s="8" t="n"/>
      <c r="V7016" s="8" t="n"/>
      <c r="W7016" s="8" t="n"/>
      <c r="X7016" s="8" t="n"/>
      <c r="Y7016" s="8" t="n"/>
    </row>
    <row r="7017">
      <c r="A7017" s="8" t="n"/>
      <c r="B7017" s="8" t="n"/>
      <c r="C7017" s="8" t="n"/>
      <c r="D7017" s="8" t="n"/>
      <c r="E7017" s="8" t="n"/>
      <c r="F7017" s="8" t="n"/>
      <c r="G7017" s="8" t="n"/>
      <c r="H7017" s="8" t="n"/>
      <c r="I7017" s="8" t="n"/>
      <c r="J7017" s="8" t="n"/>
      <c r="K7017" s="8" t="n"/>
      <c r="L7017" s="8" t="n"/>
      <c r="M7017" s="9">
        <f>B7017+30</f>
        <v/>
      </c>
      <c r="N7017">
        <f>IF(L7017="", "", L7017-B7017)</f>
        <v/>
      </c>
      <c r="O7017">
        <f>IF(L7017="", "Pending", IF(N7017&lt;=30, "Met", "Breached"))</f>
        <v/>
      </c>
      <c r="P7017" s="8" t="n"/>
      <c r="Q7017" s="8" t="n"/>
      <c r="R7017" s="8" t="n"/>
      <c r="S7017" s="8" t="n"/>
      <c r="T7017" s="8" t="n"/>
      <c r="U7017" s="8" t="n"/>
      <c r="V7017" s="8" t="n"/>
      <c r="W7017" s="8" t="n"/>
      <c r="X7017" s="8" t="n"/>
      <c r="Y7017" s="8" t="n"/>
    </row>
    <row r="7018">
      <c r="A7018" s="8" t="n"/>
      <c r="B7018" s="8" t="n"/>
      <c r="C7018" s="8" t="n"/>
      <c r="D7018" s="8" t="n"/>
      <c r="E7018" s="8" t="n"/>
      <c r="F7018" s="8" t="n"/>
      <c r="G7018" s="8" t="n"/>
      <c r="H7018" s="8" t="n"/>
      <c r="I7018" s="8" t="n"/>
      <c r="J7018" s="8" t="n"/>
      <c r="K7018" s="8" t="n"/>
      <c r="L7018" s="8" t="n"/>
      <c r="M7018" s="9">
        <f>B7018+30</f>
        <v/>
      </c>
      <c r="N7018">
        <f>IF(L7018="", "", L7018-B7018)</f>
        <v/>
      </c>
      <c r="O7018">
        <f>IF(L7018="", "Pending", IF(N7018&lt;=30, "Met", "Breached"))</f>
        <v/>
      </c>
      <c r="P7018" s="8" t="n"/>
      <c r="Q7018" s="8" t="n"/>
      <c r="R7018" s="8" t="n"/>
      <c r="S7018" s="8" t="n"/>
      <c r="T7018" s="8" t="n"/>
      <c r="U7018" s="8" t="n"/>
      <c r="V7018" s="8" t="n"/>
      <c r="W7018" s="8" t="n"/>
      <c r="X7018" s="8" t="n"/>
      <c r="Y7018" s="8" t="n"/>
    </row>
    <row r="7019">
      <c r="A7019" s="8" t="n"/>
      <c r="B7019" s="8" t="n"/>
      <c r="C7019" s="8" t="n"/>
      <c r="D7019" s="8" t="n"/>
      <c r="E7019" s="8" t="n"/>
      <c r="F7019" s="8" t="n"/>
      <c r="G7019" s="8" t="n"/>
      <c r="H7019" s="8" t="n"/>
      <c r="I7019" s="8" t="n"/>
      <c r="J7019" s="8" t="n"/>
      <c r="K7019" s="8" t="n"/>
      <c r="L7019" s="8" t="n"/>
      <c r="M7019" s="9">
        <f>B7019+30</f>
        <v/>
      </c>
      <c r="N7019">
        <f>IF(L7019="", "", L7019-B7019)</f>
        <v/>
      </c>
      <c r="O7019">
        <f>IF(L7019="", "Pending", IF(N7019&lt;=30, "Met", "Breached"))</f>
        <v/>
      </c>
      <c r="P7019" s="8" t="n"/>
      <c r="Q7019" s="8" t="n"/>
      <c r="R7019" s="8" t="n"/>
      <c r="S7019" s="8" t="n"/>
      <c r="T7019" s="8" t="n"/>
      <c r="U7019" s="8" t="n"/>
      <c r="V7019" s="8" t="n"/>
      <c r="W7019" s="8" t="n"/>
      <c r="X7019" s="8" t="n"/>
      <c r="Y7019" s="8" t="n"/>
    </row>
    <row r="7020">
      <c r="A7020" s="8" t="n"/>
      <c r="B7020" s="8" t="n"/>
      <c r="C7020" s="8" t="n"/>
      <c r="D7020" s="8" t="n"/>
      <c r="E7020" s="8" t="n"/>
      <c r="F7020" s="8" t="n"/>
      <c r="G7020" s="8" t="n"/>
      <c r="H7020" s="8" t="n"/>
      <c r="I7020" s="8" t="n"/>
      <c r="J7020" s="8" t="n"/>
      <c r="K7020" s="8" t="n"/>
      <c r="L7020" s="8" t="n"/>
      <c r="M7020" s="9">
        <f>B7020+30</f>
        <v/>
      </c>
      <c r="N7020">
        <f>IF(L7020="", "", L7020-B7020)</f>
        <v/>
      </c>
      <c r="O7020">
        <f>IF(L7020="", "Pending", IF(N7020&lt;=30, "Met", "Breached"))</f>
        <v/>
      </c>
      <c r="P7020" s="8" t="n"/>
      <c r="Q7020" s="8" t="n"/>
      <c r="R7020" s="8" t="n"/>
      <c r="S7020" s="8" t="n"/>
      <c r="T7020" s="8" t="n"/>
      <c r="U7020" s="8" t="n"/>
      <c r="V7020" s="8" t="n"/>
      <c r="W7020" s="8" t="n"/>
      <c r="X7020" s="8" t="n"/>
      <c r="Y7020" s="8" t="n"/>
    </row>
    <row r="7021">
      <c r="A7021" s="8" t="n"/>
      <c r="B7021" s="8" t="n"/>
      <c r="C7021" s="8" t="n"/>
      <c r="D7021" s="8" t="n"/>
      <c r="E7021" s="8" t="n"/>
      <c r="F7021" s="8" t="n"/>
      <c r="G7021" s="8" t="n"/>
      <c r="H7021" s="8" t="n"/>
      <c r="I7021" s="8" t="n"/>
      <c r="J7021" s="8" t="n"/>
      <c r="K7021" s="8" t="n"/>
      <c r="L7021" s="8" t="n"/>
      <c r="M7021" s="9">
        <f>B7021+30</f>
        <v/>
      </c>
      <c r="N7021">
        <f>IF(L7021="", "", L7021-B7021)</f>
        <v/>
      </c>
      <c r="O7021">
        <f>IF(L7021="", "Pending", IF(N7021&lt;=30, "Met", "Breached"))</f>
        <v/>
      </c>
      <c r="P7021" s="8" t="n"/>
      <c r="Q7021" s="8" t="n"/>
      <c r="R7021" s="8" t="n"/>
      <c r="S7021" s="8" t="n"/>
      <c r="T7021" s="8" t="n"/>
      <c r="U7021" s="8" t="n"/>
      <c r="V7021" s="8" t="n"/>
      <c r="W7021" s="8" t="n"/>
      <c r="X7021" s="8" t="n"/>
      <c r="Y7021" s="8" t="n"/>
    </row>
    <row r="7022">
      <c r="A7022" s="8" t="n"/>
      <c r="B7022" s="8" t="n"/>
      <c r="C7022" s="8" t="n"/>
      <c r="D7022" s="8" t="n"/>
      <c r="E7022" s="8" t="n"/>
      <c r="F7022" s="8" t="n"/>
      <c r="G7022" s="8" t="n"/>
      <c r="H7022" s="8" t="n"/>
      <c r="I7022" s="8" t="n"/>
      <c r="J7022" s="8" t="n"/>
      <c r="K7022" s="8" t="n"/>
      <c r="L7022" s="8" t="n"/>
      <c r="M7022" s="9">
        <f>B7022+30</f>
        <v/>
      </c>
      <c r="N7022">
        <f>IF(L7022="", "", L7022-B7022)</f>
        <v/>
      </c>
      <c r="O7022">
        <f>IF(L7022="", "Pending", IF(N7022&lt;=30, "Met", "Breached"))</f>
        <v/>
      </c>
      <c r="P7022" s="8" t="n"/>
      <c r="Q7022" s="8" t="n"/>
      <c r="R7022" s="8" t="n"/>
      <c r="S7022" s="8" t="n"/>
      <c r="T7022" s="8" t="n"/>
      <c r="U7022" s="8" t="n"/>
      <c r="V7022" s="8" t="n"/>
      <c r="W7022" s="8" t="n"/>
      <c r="X7022" s="8" t="n"/>
      <c r="Y7022" s="8" t="n"/>
    </row>
    <row r="7023">
      <c r="A7023" s="8" t="n"/>
      <c r="B7023" s="8" t="n"/>
      <c r="C7023" s="8" t="n"/>
      <c r="D7023" s="8" t="n"/>
      <c r="E7023" s="8" t="n"/>
      <c r="F7023" s="8" t="n"/>
      <c r="G7023" s="8" t="n"/>
      <c r="H7023" s="8" t="n"/>
      <c r="I7023" s="8" t="n"/>
      <c r="J7023" s="8" t="n"/>
      <c r="K7023" s="8" t="n"/>
      <c r="L7023" s="8" t="n"/>
      <c r="M7023" s="9">
        <f>B7023+30</f>
        <v/>
      </c>
      <c r="N7023">
        <f>IF(L7023="", "", L7023-B7023)</f>
        <v/>
      </c>
      <c r="O7023">
        <f>IF(L7023="", "Pending", IF(N7023&lt;=30, "Met", "Breached"))</f>
        <v/>
      </c>
      <c r="P7023" s="8" t="n"/>
      <c r="Q7023" s="8" t="n"/>
      <c r="R7023" s="8" t="n"/>
      <c r="S7023" s="8" t="n"/>
      <c r="T7023" s="8" t="n"/>
      <c r="U7023" s="8" t="n"/>
      <c r="V7023" s="8" t="n"/>
      <c r="W7023" s="8" t="n"/>
      <c r="X7023" s="8" t="n"/>
      <c r="Y7023" s="8" t="n"/>
    </row>
    <row r="7024">
      <c r="A7024" s="8" t="n"/>
      <c r="B7024" s="8" t="n"/>
      <c r="C7024" s="8" t="n"/>
      <c r="D7024" s="8" t="n"/>
      <c r="E7024" s="8" t="n"/>
      <c r="F7024" s="8" t="n"/>
      <c r="G7024" s="8" t="n"/>
      <c r="H7024" s="8" t="n"/>
      <c r="I7024" s="8" t="n"/>
      <c r="J7024" s="8" t="n"/>
      <c r="K7024" s="8" t="n"/>
      <c r="L7024" s="8" t="n"/>
      <c r="M7024" s="9">
        <f>B7024+30</f>
        <v/>
      </c>
      <c r="N7024">
        <f>IF(L7024="", "", L7024-B7024)</f>
        <v/>
      </c>
      <c r="O7024">
        <f>IF(L7024="", "Pending", IF(N7024&lt;=30, "Met", "Breached"))</f>
        <v/>
      </c>
      <c r="P7024" s="8" t="n"/>
      <c r="Q7024" s="8" t="n"/>
      <c r="R7024" s="8" t="n"/>
      <c r="S7024" s="8" t="n"/>
      <c r="T7024" s="8" t="n"/>
      <c r="U7024" s="8" t="n"/>
      <c r="V7024" s="8" t="n"/>
      <c r="W7024" s="8" t="n"/>
      <c r="X7024" s="8" t="n"/>
      <c r="Y7024" s="8" t="n"/>
    </row>
    <row r="7025">
      <c r="A7025" s="8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8" t="n"/>
      <c r="K7025" s="8" t="n"/>
      <c r="L7025" s="8" t="n"/>
      <c r="M7025" s="9">
        <f>B7025+30</f>
        <v/>
      </c>
      <c r="N7025">
        <f>IF(L7025="", "", L7025-B7025)</f>
        <v/>
      </c>
      <c r="O7025">
        <f>IF(L7025="", "Pending", IF(N7025&lt;=30, "Met", "Breached"))</f>
        <v/>
      </c>
      <c r="P7025" s="8" t="n"/>
      <c r="Q7025" s="8" t="n"/>
      <c r="R7025" s="8" t="n"/>
      <c r="S7025" s="8" t="n"/>
      <c r="T7025" s="8" t="n"/>
      <c r="U7025" s="8" t="n"/>
      <c r="V7025" s="8" t="n"/>
      <c r="W7025" s="8" t="n"/>
      <c r="X7025" s="8" t="n"/>
      <c r="Y7025" s="8" t="n"/>
    </row>
    <row r="7026">
      <c r="A7026" s="8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8" t="n"/>
      <c r="K7026" s="8" t="n"/>
      <c r="L7026" s="8" t="n"/>
      <c r="M7026" s="9">
        <f>B7026+30</f>
        <v/>
      </c>
      <c r="N7026">
        <f>IF(L7026="", "", L7026-B7026)</f>
        <v/>
      </c>
      <c r="O7026">
        <f>IF(L7026="", "Pending", IF(N7026&lt;=30, "Met", "Breached"))</f>
        <v/>
      </c>
      <c r="P7026" s="8" t="n"/>
      <c r="Q7026" s="8" t="n"/>
      <c r="R7026" s="8" t="n"/>
      <c r="S7026" s="8" t="n"/>
      <c r="T7026" s="8" t="n"/>
      <c r="U7026" s="8" t="n"/>
      <c r="V7026" s="8" t="n"/>
      <c r="W7026" s="8" t="n"/>
      <c r="X7026" s="8" t="n"/>
      <c r="Y7026" s="8" t="n"/>
    </row>
    <row r="7027">
      <c r="A7027" s="8" t="n"/>
      <c r="B7027" s="8" t="n"/>
      <c r="C7027" s="8" t="n"/>
      <c r="D7027" s="8" t="n"/>
      <c r="E7027" s="8" t="n"/>
      <c r="F7027" s="8" t="n"/>
      <c r="G7027" s="8" t="n"/>
      <c r="H7027" s="8" t="n"/>
      <c r="I7027" s="8" t="n"/>
      <c r="J7027" s="8" t="n"/>
      <c r="K7027" s="8" t="n"/>
      <c r="L7027" s="8" t="n"/>
      <c r="M7027" s="9">
        <f>B7027+30</f>
        <v/>
      </c>
      <c r="N7027">
        <f>IF(L7027="", "", L7027-B7027)</f>
        <v/>
      </c>
      <c r="O7027">
        <f>IF(L7027="", "Pending", IF(N7027&lt;=30, "Met", "Breached"))</f>
        <v/>
      </c>
      <c r="P7027" s="8" t="n"/>
      <c r="Q7027" s="8" t="n"/>
      <c r="R7027" s="8" t="n"/>
      <c r="S7027" s="8" t="n"/>
      <c r="T7027" s="8" t="n"/>
      <c r="U7027" s="8" t="n"/>
      <c r="V7027" s="8" t="n"/>
      <c r="W7027" s="8" t="n"/>
      <c r="X7027" s="8" t="n"/>
      <c r="Y7027" s="8" t="n"/>
    </row>
    <row r="7028">
      <c r="A7028" s="8" t="n"/>
      <c r="B7028" s="8" t="n"/>
      <c r="C7028" s="8" t="n"/>
      <c r="D7028" s="8" t="n"/>
      <c r="E7028" s="8" t="n"/>
      <c r="F7028" s="8" t="n"/>
      <c r="G7028" s="8" t="n"/>
      <c r="H7028" s="8" t="n"/>
      <c r="I7028" s="8" t="n"/>
      <c r="J7028" s="8" t="n"/>
      <c r="K7028" s="8" t="n"/>
      <c r="L7028" s="8" t="n"/>
      <c r="M7028" s="9">
        <f>B7028+30</f>
        <v/>
      </c>
      <c r="N7028">
        <f>IF(L7028="", "", L7028-B7028)</f>
        <v/>
      </c>
      <c r="O7028">
        <f>IF(L7028="", "Pending", IF(N7028&lt;=30, "Met", "Breached"))</f>
        <v/>
      </c>
      <c r="P7028" s="8" t="n"/>
      <c r="Q7028" s="8" t="n"/>
      <c r="R7028" s="8" t="n"/>
      <c r="S7028" s="8" t="n"/>
      <c r="T7028" s="8" t="n"/>
      <c r="U7028" s="8" t="n"/>
      <c r="V7028" s="8" t="n"/>
      <c r="W7028" s="8" t="n"/>
      <c r="X7028" s="8" t="n"/>
      <c r="Y7028" s="8" t="n"/>
    </row>
    <row r="7029">
      <c r="A7029" s="8" t="n"/>
      <c r="B7029" s="8" t="n"/>
      <c r="C7029" s="8" t="n"/>
      <c r="D7029" s="8" t="n"/>
      <c r="E7029" s="8" t="n"/>
      <c r="F7029" s="8" t="n"/>
      <c r="G7029" s="8" t="n"/>
      <c r="H7029" s="8" t="n"/>
      <c r="I7029" s="8" t="n"/>
      <c r="J7029" s="8" t="n"/>
      <c r="K7029" s="8" t="n"/>
      <c r="L7029" s="8" t="n"/>
      <c r="M7029" s="9">
        <f>B7029+30</f>
        <v/>
      </c>
      <c r="N7029">
        <f>IF(L7029="", "", L7029-B7029)</f>
        <v/>
      </c>
      <c r="O7029">
        <f>IF(L7029="", "Pending", IF(N7029&lt;=30, "Met", "Breached"))</f>
        <v/>
      </c>
      <c r="P7029" s="8" t="n"/>
      <c r="Q7029" s="8" t="n"/>
      <c r="R7029" s="8" t="n"/>
      <c r="S7029" s="8" t="n"/>
      <c r="T7029" s="8" t="n"/>
      <c r="U7029" s="8" t="n"/>
      <c r="V7029" s="8" t="n"/>
      <c r="W7029" s="8" t="n"/>
      <c r="X7029" s="8" t="n"/>
      <c r="Y7029" s="8" t="n"/>
    </row>
    <row r="7030">
      <c r="A7030" s="8" t="n"/>
      <c r="B7030" s="8" t="n"/>
      <c r="C7030" s="8" t="n"/>
      <c r="D7030" s="8" t="n"/>
      <c r="E7030" s="8" t="n"/>
      <c r="F7030" s="8" t="n"/>
      <c r="G7030" s="8" t="n"/>
      <c r="H7030" s="8" t="n"/>
      <c r="I7030" s="8" t="n"/>
      <c r="J7030" s="8" t="n"/>
      <c r="K7030" s="8" t="n"/>
      <c r="L7030" s="8" t="n"/>
      <c r="M7030" s="9">
        <f>B7030+30</f>
        <v/>
      </c>
      <c r="N7030">
        <f>IF(L7030="", "", L7030-B7030)</f>
        <v/>
      </c>
      <c r="O7030">
        <f>IF(L7030="", "Pending", IF(N7030&lt;=30, "Met", "Breached"))</f>
        <v/>
      </c>
      <c r="P7030" s="8" t="n"/>
      <c r="Q7030" s="8" t="n"/>
      <c r="R7030" s="8" t="n"/>
      <c r="S7030" s="8" t="n"/>
      <c r="T7030" s="8" t="n"/>
      <c r="U7030" s="8" t="n"/>
      <c r="V7030" s="8" t="n"/>
      <c r="W7030" s="8" t="n"/>
      <c r="X7030" s="8" t="n"/>
      <c r="Y7030" s="8" t="n"/>
    </row>
    <row r="7031">
      <c r="A7031" s="8" t="n"/>
      <c r="B7031" s="8" t="n"/>
      <c r="C7031" s="8" t="n"/>
      <c r="D7031" s="8" t="n"/>
      <c r="E7031" s="8" t="n"/>
      <c r="F7031" s="8" t="n"/>
      <c r="G7031" s="8" t="n"/>
      <c r="H7031" s="8" t="n"/>
      <c r="I7031" s="8" t="n"/>
      <c r="J7031" s="8" t="n"/>
      <c r="K7031" s="8" t="n"/>
      <c r="L7031" s="8" t="n"/>
      <c r="M7031" s="9">
        <f>B7031+30</f>
        <v/>
      </c>
      <c r="N7031">
        <f>IF(L7031="", "", L7031-B7031)</f>
        <v/>
      </c>
      <c r="O7031">
        <f>IF(L7031="", "Pending", IF(N7031&lt;=30, "Met", "Breached"))</f>
        <v/>
      </c>
      <c r="P7031" s="8" t="n"/>
      <c r="Q7031" s="8" t="n"/>
      <c r="R7031" s="8" t="n"/>
      <c r="S7031" s="8" t="n"/>
      <c r="T7031" s="8" t="n"/>
      <c r="U7031" s="8" t="n"/>
      <c r="V7031" s="8" t="n"/>
      <c r="W7031" s="8" t="n"/>
      <c r="X7031" s="8" t="n"/>
      <c r="Y7031" s="8" t="n"/>
    </row>
    <row r="7032">
      <c r="A7032" s="8" t="n"/>
      <c r="B7032" s="8" t="n"/>
      <c r="C7032" s="8" t="n"/>
      <c r="D7032" s="8" t="n"/>
      <c r="E7032" s="8" t="n"/>
      <c r="F7032" s="8" t="n"/>
      <c r="G7032" s="8" t="n"/>
      <c r="H7032" s="8" t="n"/>
      <c r="I7032" s="8" t="n"/>
      <c r="J7032" s="8" t="n"/>
      <c r="K7032" s="8" t="n"/>
      <c r="L7032" s="8" t="n"/>
      <c r="M7032" s="9">
        <f>B7032+30</f>
        <v/>
      </c>
      <c r="N7032">
        <f>IF(L7032="", "", L7032-B7032)</f>
        <v/>
      </c>
      <c r="O7032">
        <f>IF(L7032="", "Pending", IF(N7032&lt;=30, "Met", "Breached"))</f>
        <v/>
      </c>
      <c r="P7032" s="8" t="n"/>
      <c r="Q7032" s="8" t="n"/>
      <c r="R7032" s="8" t="n"/>
      <c r="S7032" s="8" t="n"/>
      <c r="T7032" s="8" t="n"/>
      <c r="U7032" s="8" t="n"/>
      <c r="V7032" s="8" t="n"/>
      <c r="W7032" s="8" t="n"/>
      <c r="X7032" s="8" t="n"/>
      <c r="Y7032" s="8" t="n"/>
    </row>
    <row r="7033">
      <c r="A7033" s="8" t="n"/>
      <c r="B7033" s="8" t="n"/>
      <c r="C7033" s="8" t="n"/>
      <c r="D7033" s="8" t="n"/>
      <c r="E7033" s="8" t="n"/>
      <c r="F7033" s="8" t="n"/>
      <c r="G7033" s="8" t="n"/>
      <c r="H7033" s="8" t="n"/>
      <c r="I7033" s="8" t="n"/>
      <c r="J7033" s="8" t="n"/>
      <c r="K7033" s="8" t="n"/>
      <c r="L7033" s="8" t="n"/>
      <c r="M7033" s="9">
        <f>B7033+30</f>
        <v/>
      </c>
      <c r="N7033">
        <f>IF(L7033="", "", L7033-B7033)</f>
        <v/>
      </c>
      <c r="O7033">
        <f>IF(L7033="", "Pending", IF(N7033&lt;=30, "Met", "Breached"))</f>
        <v/>
      </c>
      <c r="P7033" s="8" t="n"/>
      <c r="Q7033" s="8" t="n"/>
      <c r="R7033" s="8" t="n"/>
      <c r="S7033" s="8" t="n"/>
      <c r="T7033" s="8" t="n"/>
      <c r="U7033" s="8" t="n"/>
      <c r="V7033" s="8" t="n"/>
      <c r="W7033" s="8" t="n"/>
      <c r="X7033" s="8" t="n"/>
      <c r="Y7033" s="8" t="n"/>
    </row>
    <row r="7034">
      <c r="A7034" s="8" t="n"/>
      <c r="B7034" s="8" t="n"/>
      <c r="C7034" s="8" t="n"/>
      <c r="D7034" s="8" t="n"/>
      <c r="E7034" s="8" t="n"/>
      <c r="F7034" s="8" t="n"/>
      <c r="G7034" s="8" t="n"/>
      <c r="H7034" s="8" t="n"/>
      <c r="I7034" s="8" t="n"/>
      <c r="J7034" s="8" t="n"/>
      <c r="K7034" s="8" t="n"/>
      <c r="L7034" s="8" t="n"/>
      <c r="M7034" s="9">
        <f>B7034+30</f>
        <v/>
      </c>
      <c r="N7034">
        <f>IF(L7034="", "", L7034-B7034)</f>
        <v/>
      </c>
      <c r="O7034">
        <f>IF(L7034="", "Pending", IF(N7034&lt;=30, "Met", "Breached"))</f>
        <v/>
      </c>
      <c r="P7034" s="8" t="n"/>
      <c r="Q7034" s="8" t="n"/>
      <c r="R7034" s="8" t="n"/>
      <c r="S7034" s="8" t="n"/>
      <c r="T7034" s="8" t="n"/>
      <c r="U7034" s="8" t="n"/>
      <c r="V7034" s="8" t="n"/>
      <c r="W7034" s="8" t="n"/>
      <c r="X7034" s="8" t="n"/>
      <c r="Y7034" s="8" t="n"/>
    </row>
    <row r="7035">
      <c r="A7035" s="8" t="n"/>
      <c r="B7035" s="8" t="n"/>
      <c r="C7035" s="8" t="n"/>
      <c r="D7035" s="8" t="n"/>
      <c r="E7035" s="8" t="n"/>
      <c r="F7035" s="8" t="n"/>
      <c r="G7035" s="8" t="n"/>
      <c r="H7035" s="8" t="n"/>
      <c r="I7035" s="8" t="n"/>
      <c r="J7035" s="8" t="n"/>
      <c r="K7035" s="8" t="n"/>
      <c r="L7035" s="8" t="n"/>
      <c r="M7035" s="9">
        <f>B7035+30</f>
        <v/>
      </c>
      <c r="N7035">
        <f>IF(L7035="", "", L7035-B7035)</f>
        <v/>
      </c>
      <c r="O7035">
        <f>IF(L7035="", "Pending", IF(N7035&lt;=30, "Met", "Breached"))</f>
        <v/>
      </c>
      <c r="P7035" s="8" t="n"/>
      <c r="Q7035" s="8" t="n"/>
      <c r="R7035" s="8" t="n"/>
      <c r="S7035" s="8" t="n"/>
      <c r="T7035" s="8" t="n"/>
      <c r="U7035" s="8" t="n"/>
      <c r="V7035" s="8" t="n"/>
      <c r="W7035" s="8" t="n"/>
      <c r="X7035" s="8" t="n"/>
      <c r="Y7035" s="8" t="n"/>
    </row>
    <row r="7036">
      <c r="A7036" s="8" t="n"/>
      <c r="B7036" s="8" t="n"/>
      <c r="C7036" s="8" t="n"/>
      <c r="D7036" s="8" t="n"/>
      <c r="E7036" s="8" t="n"/>
      <c r="F7036" s="8" t="n"/>
      <c r="G7036" s="8" t="n"/>
      <c r="H7036" s="8" t="n"/>
      <c r="I7036" s="8" t="n"/>
      <c r="J7036" s="8" t="n"/>
      <c r="K7036" s="8" t="n"/>
      <c r="L7036" s="8" t="n"/>
      <c r="M7036" s="9">
        <f>B7036+30</f>
        <v/>
      </c>
      <c r="N7036">
        <f>IF(L7036="", "", L7036-B7036)</f>
        <v/>
      </c>
      <c r="O7036">
        <f>IF(L7036="", "Pending", IF(N7036&lt;=30, "Met", "Breached"))</f>
        <v/>
      </c>
      <c r="P7036" s="8" t="n"/>
      <c r="Q7036" s="8" t="n"/>
      <c r="R7036" s="8" t="n"/>
      <c r="S7036" s="8" t="n"/>
      <c r="T7036" s="8" t="n"/>
      <c r="U7036" s="8" t="n"/>
      <c r="V7036" s="8" t="n"/>
      <c r="W7036" s="8" t="n"/>
      <c r="X7036" s="8" t="n"/>
      <c r="Y7036" s="8" t="n"/>
    </row>
    <row r="7037">
      <c r="A7037" s="8" t="n"/>
      <c r="B7037" s="8" t="n"/>
      <c r="C7037" s="8" t="n"/>
      <c r="D7037" s="8" t="n"/>
      <c r="E7037" s="8" t="n"/>
      <c r="F7037" s="8" t="n"/>
      <c r="G7037" s="8" t="n"/>
      <c r="H7037" s="8" t="n"/>
      <c r="I7037" s="8" t="n"/>
      <c r="J7037" s="8" t="n"/>
      <c r="K7037" s="8" t="n"/>
      <c r="L7037" s="8" t="n"/>
      <c r="M7037" s="9">
        <f>B7037+30</f>
        <v/>
      </c>
      <c r="N7037">
        <f>IF(L7037="", "", L7037-B7037)</f>
        <v/>
      </c>
      <c r="O7037">
        <f>IF(L7037="", "Pending", IF(N7037&lt;=30, "Met", "Breached"))</f>
        <v/>
      </c>
      <c r="P7037" s="8" t="n"/>
      <c r="Q7037" s="8" t="n"/>
      <c r="R7037" s="8" t="n"/>
      <c r="S7037" s="8" t="n"/>
      <c r="T7037" s="8" t="n"/>
      <c r="U7037" s="8" t="n"/>
      <c r="V7037" s="8" t="n"/>
      <c r="W7037" s="8" t="n"/>
      <c r="X7037" s="8" t="n"/>
      <c r="Y7037" s="8" t="n"/>
    </row>
    <row r="7038">
      <c r="A7038" s="8" t="n"/>
      <c r="B7038" s="8" t="n"/>
      <c r="C7038" s="8" t="n"/>
      <c r="D7038" s="8" t="n"/>
      <c r="E7038" s="8" t="n"/>
      <c r="F7038" s="8" t="n"/>
      <c r="G7038" s="8" t="n"/>
      <c r="H7038" s="8" t="n"/>
      <c r="I7038" s="8" t="n"/>
      <c r="J7038" s="8" t="n"/>
      <c r="K7038" s="8" t="n"/>
      <c r="L7038" s="8" t="n"/>
      <c r="M7038" s="9">
        <f>B7038+30</f>
        <v/>
      </c>
      <c r="N7038">
        <f>IF(L7038="", "", L7038-B7038)</f>
        <v/>
      </c>
      <c r="O7038">
        <f>IF(L7038="", "Pending", IF(N7038&lt;=30, "Met", "Breached"))</f>
        <v/>
      </c>
      <c r="P7038" s="8" t="n"/>
      <c r="Q7038" s="8" t="n"/>
      <c r="R7038" s="8" t="n"/>
      <c r="S7038" s="8" t="n"/>
      <c r="T7038" s="8" t="n"/>
      <c r="U7038" s="8" t="n"/>
      <c r="V7038" s="8" t="n"/>
      <c r="W7038" s="8" t="n"/>
      <c r="X7038" s="8" t="n"/>
      <c r="Y7038" s="8" t="n"/>
    </row>
    <row r="7039">
      <c r="A7039" s="8" t="n"/>
      <c r="B7039" s="8" t="n"/>
      <c r="C7039" s="8" t="n"/>
      <c r="D7039" s="8" t="n"/>
      <c r="E7039" s="8" t="n"/>
      <c r="F7039" s="8" t="n"/>
      <c r="G7039" s="8" t="n"/>
      <c r="H7039" s="8" t="n"/>
      <c r="I7039" s="8" t="n"/>
      <c r="J7039" s="8" t="n"/>
      <c r="K7039" s="8" t="n"/>
      <c r="L7039" s="8" t="n"/>
      <c r="M7039" s="9">
        <f>B7039+30</f>
        <v/>
      </c>
      <c r="N7039">
        <f>IF(L7039="", "", L7039-B7039)</f>
        <v/>
      </c>
      <c r="O7039">
        <f>IF(L7039="", "Pending", IF(N7039&lt;=30, "Met", "Breached"))</f>
        <v/>
      </c>
      <c r="P7039" s="8" t="n"/>
      <c r="Q7039" s="8" t="n"/>
      <c r="R7039" s="8" t="n"/>
      <c r="S7039" s="8" t="n"/>
      <c r="T7039" s="8" t="n"/>
      <c r="U7039" s="8" t="n"/>
      <c r="V7039" s="8" t="n"/>
      <c r="W7039" s="8" t="n"/>
      <c r="X7039" s="8" t="n"/>
      <c r="Y7039" s="8" t="n"/>
    </row>
    <row r="7040">
      <c r="A7040" s="8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8" t="n"/>
      <c r="K7040" s="8" t="n"/>
      <c r="L7040" s="8" t="n"/>
      <c r="M7040" s="9">
        <f>B7040+30</f>
        <v/>
      </c>
      <c r="N7040">
        <f>IF(L7040="", "", L7040-B7040)</f>
        <v/>
      </c>
      <c r="O7040">
        <f>IF(L7040="", "Pending", IF(N7040&lt;=30, "Met", "Breached"))</f>
        <v/>
      </c>
      <c r="P7040" s="8" t="n"/>
      <c r="Q7040" s="8" t="n"/>
      <c r="R7040" s="8" t="n"/>
      <c r="S7040" s="8" t="n"/>
      <c r="T7040" s="8" t="n"/>
      <c r="U7040" s="8" t="n"/>
      <c r="V7040" s="8" t="n"/>
      <c r="W7040" s="8" t="n"/>
      <c r="X7040" s="8" t="n"/>
      <c r="Y7040" s="8" t="n"/>
    </row>
    <row r="7041">
      <c r="A7041" s="8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8" t="n"/>
      <c r="K7041" s="8" t="n"/>
      <c r="L7041" s="8" t="n"/>
      <c r="M7041" s="9">
        <f>B7041+30</f>
        <v/>
      </c>
      <c r="N7041">
        <f>IF(L7041="", "", L7041-B7041)</f>
        <v/>
      </c>
      <c r="O7041">
        <f>IF(L7041="", "Pending", IF(N7041&lt;=30, "Met", "Breached"))</f>
        <v/>
      </c>
      <c r="P7041" s="8" t="n"/>
      <c r="Q7041" s="8" t="n"/>
      <c r="R7041" s="8" t="n"/>
      <c r="S7041" s="8" t="n"/>
      <c r="T7041" s="8" t="n"/>
      <c r="U7041" s="8" t="n"/>
      <c r="V7041" s="8" t="n"/>
      <c r="W7041" s="8" t="n"/>
      <c r="X7041" s="8" t="n"/>
      <c r="Y7041" s="8" t="n"/>
    </row>
    <row r="7042">
      <c r="A7042" s="8" t="n"/>
      <c r="B7042" s="8" t="n"/>
      <c r="C7042" s="8" t="n"/>
      <c r="D7042" s="8" t="n"/>
      <c r="E7042" s="8" t="n"/>
      <c r="F7042" s="8" t="n"/>
      <c r="G7042" s="8" t="n"/>
      <c r="H7042" s="8" t="n"/>
      <c r="I7042" s="8" t="n"/>
      <c r="J7042" s="8" t="n"/>
      <c r="K7042" s="8" t="n"/>
      <c r="L7042" s="8" t="n"/>
      <c r="M7042" s="9">
        <f>B7042+30</f>
        <v/>
      </c>
      <c r="N7042">
        <f>IF(L7042="", "", L7042-B7042)</f>
        <v/>
      </c>
      <c r="O7042">
        <f>IF(L7042="", "Pending", IF(N7042&lt;=30, "Met", "Breached"))</f>
        <v/>
      </c>
      <c r="P7042" s="8" t="n"/>
      <c r="Q7042" s="8" t="n"/>
      <c r="R7042" s="8" t="n"/>
      <c r="S7042" s="8" t="n"/>
      <c r="T7042" s="8" t="n"/>
      <c r="U7042" s="8" t="n"/>
      <c r="V7042" s="8" t="n"/>
      <c r="W7042" s="8" t="n"/>
      <c r="X7042" s="8" t="n"/>
      <c r="Y7042" s="8" t="n"/>
    </row>
    <row r="7043">
      <c r="A7043" s="8" t="n"/>
      <c r="B7043" s="8" t="n"/>
      <c r="C7043" s="8" t="n"/>
      <c r="D7043" s="8" t="n"/>
      <c r="E7043" s="8" t="n"/>
      <c r="F7043" s="8" t="n"/>
      <c r="G7043" s="8" t="n"/>
      <c r="H7043" s="8" t="n"/>
      <c r="I7043" s="8" t="n"/>
      <c r="J7043" s="8" t="n"/>
      <c r="K7043" s="8" t="n"/>
      <c r="L7043" s="8" t="n"/>
      <c r="M7043" s="9">
        <f>B7043+30</f>
        <v/>
      </c>
      <c r="N7043">
        <f>IF(L7043="", "", L7043-B7043)</f>
        <v/>
      </c>
      <c r="O7043">
        <f>IF(L7043="", "Pending", IF(N7043&lt;=30, "Met", "Breached"))</f>
        <v/>
      </c>
      <c r="P7043" s="8" t="n"/>
      <c r="Q7043" s="8" t="n"/>
      <c r="R7043" s="8" t="n"/>
      <c r="S7043" s="8" t="n"/>
      <c r="T7043" s="8" t="n"/>
      <c r="U7043" s="8" t="n"/>
      <c r="V7043" s="8" t="n"/>
      <c r="W7043" s="8" t="n"/>
      <c r="X7043" s="8" t="n"/>
      <c r="Y7043" s="8" t="n"/>
    </row>
    <row r="7044">
      <c r="A7044" s="8" t="n"/>
      <c r="B7044" s="8" t="n"/>
      <c r="C7044" s="8" t="n"/>
      <c r="D7044" s="8" t="n"/>
      <c r="E7044" s="8" t="n"/>
      <c r="F7044" s="8" t="n"/>
      <c r="G7044" s="8" t="n"/>
      <c r="H7044" s="8" t="n"/>
      <c r="I7044" s="8" t="n"/>
      <c r="J7044" s="8" t="n"/>
      <c r="K7044" s="8" t="n"/>
      <c r="L7044" s="8" t="n"/>
      <c r="M7044" s="9">
        <f>B7044+30</f>
        <v/>
      </c>
      <c r="N7044">
        <f>IF(L7044="", "", L7044-B7044)</f>
        <v/>
      </c>
      <c r="O7044">
        <f>IF(L7044="", "Pending", IF(N7044&lt;=30, "Met", "Breached"))</f>
        <v/>
      </c>
      <c r="P7044" s="8" t="n"/>
      <c r="Q7044" s="8" t="n"/>
      <c r="R7044" s="8" t="n"/>
      <c r="S7044" s="8" t="n"/>
      <c r="T7044" s="8" t="n"/>
      <c r="U7044" s="8" t="n"/>
      <c r="V7044" s="8" t="n"/>
      <c r="W7044" s="8" t="n"/>
      <c r="X7044" s="8" t="n"/>
      <c r="Y7044" s="8" t="n"/>
    </row>
    <row r="7045">
      <c r="A7045" s="8" t="n"/>
      <c r="B7045" s="8" t="n"/>
      <c r="C7045" s="8" t="n"/>
      <c r="D7045" s="8" t="n"/>
      <c r="E7045" s="8" t="n"/>
      <c r="F7045" s="8" t="n"/>
      <c r="G7045" s="8" t="n"/>
      <c r="H7045" s="8" t="n"/>
      <c r="I7045" s="8" t="n"/>
      <c r="J7045" s="8" t="n"/>
      <c r="K7045" s="8" t="n"/>
      <c r="L7045" s="8" t="n"/>
      <c r="M7045" s="9">
        <f>B7045+30</f>
        <v/>
      </c>
      <c r="N7045">
        <f>IF(L7045="", "", L7045-B7045)</f>
        <v/>
      </c>
      <c r="O7045">
        <f>IF(L7045="", "Pending", IF(N7045&lt;=30, "Met", "Breached"))</f>
        <v/>
      </c>
      <c r="P7045" s="8" t="n"/>
      <c r="Q7045" s="8" t="n"/>
      <c r="R7045" s="8" t="n"/>
      <c r="S7045" s="8" t="n"/>
      <c r="T7045" s="8" t="n"/>
      <c r="U7045" s="8" t="n"/>
      <c r="V7045" s="8" t="n"/>
      <c r="W7045" s="8" t="n"/>
      <c r="X7045" s="8" t="n"/>
      <c r="Y7045" s="8" t="n"/>
    </row>
    <row r="7046">
      <c r="A7046" s="8" t="n"/>
      <c r="B7046" s="8" t="n"/>
      <c r="C7046" s="8" t="n"/>
      <c r="D7046" s="8" t="n"/>
      <c r="E7046" s="8" t="n"/>
      <c r="F7046" s="8" t="n"/>
      <c r="G7046" s="8" t="n"/>
      <c r="H7046" s="8" t="n"/>
      <c r="I7046" s="8" t="n"/>
      <c r="J7046" s="8" t="n"/>
      <c r="K7046" s="8" t="n"/>
      <c r="L7046" s="8" t="n"/>
      <c r="M7046" s="9">
        <f>B7046+30</f>
        <v/>
      </c>
      <c r="N7046">
        <f>IF(L7046="", "", L7046-B7046)</f>
        <v/>
      </c>
      <c r="O7046">
        <f>IF(L7046="", "Pending", IF(N7046&lt;=30, "Met", "Breached"))</f>
        <v/>
      </c>
      <c r="P7046" s="8" t="n"/>
      <c r="Q7046" s="8" t="n"/>
      <c r="R7046" s="8" t="n"/>
      <c r="S7046" s="8" t="n"/>
      <c r="T7046" s="8" t="n"/>
      <c r="U7046" s="8" t="n"/>
      <c r="V7046" s="8" t="n"/>
      <c r="W7046" s="8" t="n"/>
      <c r="X7046" s="8" t="n"/>
      <c r="Y7046" s="8" t="n"/>
    </row>
    <row r="7047">
      <c r="A7047" s="8" t="n"/>
      <c r="B7047" s="8" t="n"/>
      <c r="C7047" s="8" t="n"/>
      <c r="D7047" s="8" t="n"/>
      <c r="E7047" s="8" t="n"/>
      <c r="F7047" s="8" t="n"/>
      <c r="G7047" s="8" t="n"/>
      <c r="H7047" s="8" t="n"/>
      <c r="I7047" s="8" t="n"/>
      <c r="J7047" s="8" t="n"/>
      <c r="K7047" s="8" t="n"/>
      <c r="L7047" s="8" t="n"/>
      <c r="M7047" s="9">
        <f>B7047+30</f>
        <v/>
      </c>
      <c r="N7047">
        <f>IF(L7047="", "", L7047-B7047)</f>
        <v/>
      </c>
      <c r="O7047">
        <f>IF(L7047="", "Pending", IF(N7047&lt;=30, "Met", "Breached"))</f>
        <v/>
      </c>
      <c r="P7047" s="8" t="n"/>
      <c r="Q7047" s="8" t="n"/>
      <c r="R7047" s="8" t="n"/>
      <c r="S7047" s="8" t="n"/>
      <c r="T7047" s="8" t="n"/>
      <c r="U7047" s="8" t="n"/>
      <c r="V7047" s="8" t="n"/>
      <c r="W7047" s="8" t="n"/>
      <c r="X7047" s="8" t="n"/>
      <c r="Y7047" s="8" t="n"/>
    </row>
    <row r="7048">
      <c r="A7048" s="8" t="n"/>
      <c r="B7048" s="8" t="n"/>
      <c r="C7048" s="8" t="n"/>
      <c r="D7048" s="8" t="n"/>
      <c r="E7048" s="8" t="n"/>
      <c r="F7048" s="8" t="n"/>
      <c r="G7048" s="8" t="n"/>
      <c r="H7048" s="8" t="n"/>
      <c r="I7048" s="8" t="n"/>
      <c r="J7048" s="8" t="n"/>
      <c r="K7048" s="8" t="n"/>
      <c r="L7048" s="8" t="n"/>
      <c r="M7048" s="9">
        <f>B7048+30</f>
        <v/>
      </c>
      <c r="N7048">
        <f>IF(L7048="", "", L7048-B7048)</f>
        <v/>
      </c>
      <c r="O7048">
        <f>IF(L7048="", "Pending", IF(N7048&lt;=30, "Met", "Breached"))</f>
        <v/>
      </c>
      <c r="P7048" s="8" t="n"/>
      <c r="Q7048" s="8" t="n"/>
      <c r="R7048" s="8" t="n"/>
      <c r="S7048" s="8" t="n"/>
      <c r="T7048" s="8" t="n"/>
      <c r="U7048" s="8" t="n"/>
      <c r="V7048" s="8" t="n"/>
      <c r="W7048" s="8" t="n"/>
      <c r="X7048" s="8" t="n"/>
      <c r="Y7048" s="8" t="n"/>
    </row>
    <row r="7049">
      <c r="A7049" s="8" t="n"/>
      <c r="B7049" s="8" t="n"/>
      <c r="C7049" s="8" t="n"/>
      <c r="D7049" s="8" t="n"/>
      <c r="E7049" s="8" t="n"/>
      <c r="F7049" s="8" t="n"/>
      <c r="G7049" s="8" t="n"/>
      <c r="H7049" s="8" t="n"/>
      <c r="I7049" s="8" t="n"/>
      <c r="J7049" s="8" t="n"/>
      <c r="K7049" s="8" t="n"/>
      <c r="L7049" s="8" t="n"/>
      <c r="M7049" s="9">
        <f>B7049+30</f>
        <v/>
      </c>
      <c r="N7049">
        <f>IF(L7049="", "", L7049-B7049)</f>
        <v/>
      </c>
      <c r="O7049">
        <f>IF(L7049="", "Pending", IF(N7049&lt;=30, "Met", "Breached"))</f>
        <v/>
      </c>
      <c r="P7049" s="8" t="n"/>
      <c r="Q7049" s="8" t="n"/>
      <c r="R7049" s="8" t="n"/>
      <c r="S7049" s="8" t="n"/>
      <c r="T7049" s="8" t="n"/>
      <c r="U7049" s="8" t="n"/>
      <c r="V7049" s="8" t="n"/>
      <c r="W7049" s="8" t="n"/>
      <c r="X7049" s="8" t="n"/>
      <c r="Y7049" s="8" t="n"/>
    </row>
    <row r="7050">
      <c r="A7050" s="8" t="n"/>
      <c r="B7050" s="8" t="n"/>
      <c r="C7050" s="8" t="n"/>
      <c r="D7050" s="8" t="n"/>
      <c r="E7050" s="8" t="n"/>
      <c r="F7050" s="8" t="n"/>
      <c r="G7050" s="8" t="n"/>
      <c r="H7050" s="8" t="n"/>
      <c r="I7050" s="8" t="n"/>
      <c r="J7050" s="8" t="n"/>
      <c r="K7050" s="8" t="n"/>
      <c r="L7050" s="8" t="n"/>
      <c r="M7050" s="9">
        <f>B7050+30</f>
        <v/>
      </c>
      <c r="N7050">
        <f>IF(L7050="", "", L7050-B7050)</f>
        <v/>
      </c>
      <c r="O7050">
        <f>IF(L7050="", "Pending", IF(N7050&lt;=30, "Met", "Breached"))</f>
        <v/>
      </c>
      <c r="P7050" s="8" t="n"/>
      <c r="Q7050" s="8" t="n"/>
      <c r="R7050" s="8" t="n"/>
      <c r="S7050" s="8" t="n"/>
      <c r="T7050" s="8" t="n"/>
      <c r="U7050" s="8" t="n"/>
      <c r="V7050" s="8" t="n"/>
      <c r="W7050" s="8" t="n"/>
      <c r="X7050" s="8" t="n"/>
      <c r="Y7050" s="8" t="n"/>
    </row>
    <row r="7051">
      <c r="A7051" s="8" t="n"/>
      <c r="B7051" s="8" t="n"/>
      <c r="C7051" s="8" t="n"/>
      <c r="D7051" s="8" t="n"/>
      <c r="E7051" s="8" t="n"/>
      <c r="F7051" s="8" t="n"/>
      <c r="G7051" s="8" t="n"/>
      <c r="H7051" s="8" t="n"/>
      <c r="I7051" s="8" t="n"/>
      <c r="J7051" s="8" t="n"/>
      <c r="K7051" s="8" t="n"/>
      <c r="L7051" s="8" t="n"/>
      <c r="M7051" s="9">
        <f>B7051+30</f>
        <v/>
      </c>
      <c r="N7051">
        <f>IF(L7051="", "", L7051-B7051)</f>
        <v/>
      </c>
      <c r="O7051">
        <f>IF(L7051="", "Pending", IF(N7051&lt;=30, "Met", "Breached"))</f>
        <v/>
      </c>
      <c r="P7051" s="8" t="n"/>
      <c r="Q7051" s="8" t="n"/>
      <c r="R7051" s="8" t="n"/>
      <c r="S7051" s="8" t="n"/>
      <c r="T7051" s="8" t="n"/>
      <c r="U7051" s="8" t="n"/>
      <c r="V7051" s="8" t="n"/>
      <c r="W7051" s="8" t="n"/>
      <c r="X7051" s="8" t="n"/>
      <c r="Y7051" s="8" t="n"/>
    </row>
    <row r="7052">
      <c r="A7052" s="8" t="n"/>
      <c r="B7052" s="8" t="n"/>
      <c r="C7052" s="8" t="n"/>
      <c r="D7052" s="8" t="n"/>
      <c r="E7052" s="8" t="n"/>
      <c r="F7052" s="8" t="n"/>
      <c r="G7052" s="8" t="n"/>
      <c r="H7052" s="8" t="n"/>
      <c r="I7052" s="8" t="n"/>
      <c r="J7052" s="8" t="n"/>
      <c r="K7052" s="8" t="n"/>
      <c r="L7052" s="8" t="n"/>
      <c r="M7052" s="9">
        <f>B7052+30</f>
        <v/>
      </c>
      <c r="N7052">
        <f>IF(L7052="", "", L7052-B7052)</f>
        <v/>
      </c>
      <c r="O7052">
        <f>IF(L7052="", "Pending", IF(N7052&lt;=30, "Met", "Breached"))</f>
        <v/>
      </c>
      <c r="P7052" s="8" t="n"/>
      <c r="Q7052" s="8" t="n"/>
      <c r="R7052" s="8" t="n"/>
      <c r="S7052" s="8" t="n"/>
      <c r="T7052" s="8" t="n"/>
      <c r="U7052" s="8" t="n"/>
      <c r="V7052" s="8" t="n"/>
      <c r="W7052" s="8" t="n"/>
      <c r="X7052" s="8" t="n"/>
      <c r="Y7052" s="8" t="n"/>
    </row>
    <row r="7053">
      <c r="A7053" s="8" t="n"/>
      <c r="B7053" s="8" t="n"/>
      <c r="C7053" s="8" t="n"/>
      <c r="D7053" s="8" t="n"/>
      <c r="E7053" s="8" t="n"/>
      <c r="F7053" s="8" t="n"/>
      <c r="G7053" s="8" t="n"/>
      <c r="H7053" s="8" t="n"/>
      <c r="I7053" s="8" t="n"/>
      <c r="J7053" s="8" t="n"/>
      <c r="K7053" s="8" t="n"/>
      <c r="L7053" s="8" t="n"/>
      <c r="M7053" s="9">
        <f>B7053+30</f>
        <v/>
      </c>
      <c r="N7053">
        <f>IF(L7053="", "", L7053-B7053)</f>
        <v/>
      </c>
      <c r="O7053">
        <f>IF(L7053="", "Pending", IF(N7053&lt;=30, "Met", "Breached"))</f>
        <v/>
      </c>
      <c r="P7053" s="8" t="n"/>
      <c r="Q7053" s="8" t="n"/>
      <c r="R7053" s="8" t="n"/>
      <c r="S7053" s="8" t="n"/>
      <c r="T7053" s="8" t="n"/>
      <c r="U7053" s="8" t="n"/>
      <c r="V7053" s="8" t="n"/>
      <c r="W7053" s="8" t="n"/>
      <c r="X7053" s="8" t="n"/>
      <c r="Y7053" s="8" t="n"/>
    </row>
    <row r="7054">
      <c r="A7054" s="8" t="n"/>
      <c r="B7054" s="8" t="n"/>
      <c r="C7054" s="8" t="n"/>
      <c r="D7054" s="8" t="n"/>
      <c r="E7054" s="8" t="n"/>
      <c r="F7054" s="8" t="n"/>
      <c r="G7054" s="8" t="n"/>
      <c r="H7054" s="8" t="n"/>
      <c r="I7054" s="8" t="n"/>
      <c r="J7054" s="8" t="n"/>
      <c r="K7054" s="8" t="n"/>
      <c r="L7054" s="8" t="n"/>
      <c r="M7054" s="9">
        <f>B7054+30</f>
        <v/>
      </c>
      <c r="N7054">
        <f>IF(L7054="", "", L7054-B7054)</f>
        <v/>
      </c>
      <c r="O7054">
        <f>IF(L7054="", "Pending", IF(N7054&lt;=30, "Met", "Breached"))</f>
        <v/>
      </c>
      <c r="P7054" s="8" t="n"/>
      <c r="Q7054" s="8" t="n"/>
      <c r="R7054" s="8" t="n"/>
      <c r="S7054" s="8" t="n"/>
      <c r="T7054" s="8" t="n"/>
      <c r="U7054" s="8" t="n"/>
      <c r="V7054" s="8" t="n"/>
      <c r="W7054" s="8" t="n"/>
      <c r="X7054" s="8" t="n"/>
      <c r="Y7054" s="8" t="n"/>
    </row>
    <row r="7055">
      <c r="A7055" s="8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8" t="n"/>
      <c r="K7055" s="8" t="n"/>
      <c r="L7055" s="8" t="n"/>
      <c r="M7055" s="9">
        <f>B7055+30</f>
        <v/>
      </c>
      <c r="N7055">
        <f>IF(L7055="", "", L7055-B7055)</f>
        <v/>
      </c>
      <c r="O7055">
        <f>IF(L7055="", "Pending", IF(N7055&lt;=30, "Met", "Breached"))</f>
        <v/>
      </c>
      <c r="P7055" s="8" t="n"/>
      <c r="Q7055" s="8" t="n"/>
      <c r="R7055" s="8" t="n"/>
      <c r="S7055" s="8" t="n"/>
      <c r="T7055" s="8" t="n"/>
      <c r="U7055" s="8" t="n"/>
      <c r="V7055" s="8" t="n"/>
      <c r="W7055" s="8" t="n"/>
      <c r="X7055" s="8" t="n"/>
      <c r="Y7055" s="8" t="n"/>
    </row>
    <row r="7056">
      <c r="A7056" s="8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8" t="n"/>
      <c r="K7056" s="8" t="n"/>
      <c r="L7056" s="8" t="n"/>
      <c r="M7056" s="9">
        <f>B7056+30</f>
        <v/>
      </c>
      <c r="N7056">
        <f>IF(L7056="", "", L7056-B7056)</f>
        <v/>
      </c>
      <c r="O7056">
        <f>IF(L7056="", "Pending", IF(N7056&lt;=30, "Met", "Breached"))</f>
        <v/>
      </c>
      <c r="P7056" s="8" t="n"/>
      <c r="Q7056" s="8" t="n"/>
      <c r="R7056" s="8" t="n"/>
      <c r="S7056" s="8" t="n"/>
      <c r="T7056" s="8" t="n"/>
      <c r="U7056" s="8" t="n"/>
      <c r="V7056" s="8" t="n"/>
      <c r="W7056" s="8" t="n"/>
      <c r="X7056" s="8" t="n"/>
      <c r="Y7056" s="8" t="n"/>
    </row>
    <row r="7057">
      <c r="A7057" s="8" t="n"/>
      <c r="B7057" s="8" t="n"/>
      <c r="C7057" s="8" t="n"/>
      <c r="D7057" s="8" t="n"/>
      <c r="E7057" s="8" t="n"/>
      <c r="F7057" s="8" t="n"/>
      <c r="G7057" s="8" t="n"/>
      <c r="H7057" s="8" t="n"/>
      <c r="I7057" s="8" t="n"/>
      <c r="J7057" s="8" t="n"/>
      <c r="K7057" s="8" t="n"/>
      <c r="L7057" s="8" t="n"/>
      <c r="M7057" s="9">
        <f>B7057+30</f>
        <v/>
      </c>
      <c r="N7057">
        <f>IF(L7057="", "", L7057-B7057)</f>
        <v/>
      </c>
      <c r="O7057">
        <f>IF(L7057="", "Pending", IF(N7057&lt;=30, "Met", "Breached"))</f>
        <v/>
      </c>
      <c r="P7057" s="8" t="n"/>
      <c r="Q7057" s="8" t="n"/>
      <c r="R7057" s="8" t="n"/>
      <c r="S7057" s="8" t="n"/>
      <c r="T7057" s="8" t="n"/>
      <c r="U7057" s="8" t="n"/>
      <c r="V7057" s="8" t="n"/>
      <c r="W7057" s="8" t="n"/>
      <c r="X7057" s="8" t="n"/>
      <c r="Y7057" s="8" t="n"/>
    </row>
    <row r="7058">
      <c r="A7058" s="8" t="n"/>
      <c r="B7058" s="8" t="n"/>
      <c r="C7058" s="8" t="n"/>
      <c r="D7058" s="8" t="n"/>
      <c r="E7058" s="8" t="n"/>
      <c r="F7058" s="8" t="n"/>
      <c r="G7058" s="8" t="n"/>
      <c r="H7058" s="8" t="n"/>
      <c r="I7058" s="8" t="n"/>
      <c r="J7058" s="8" t="n"/>
      <c r="K7058" s="8" t="n"/>
      <c r="L7058" s="8" t="n"/>
      <c r="M7058" s="9">
        <f>B7058+30</f>
        <v/>
      </c>
      <c r="N7058">
        <f>IF(L7058="", "", L7058-B7058)</f>
        <v/>
      </c>
      <c r="O7058">
        <f>IF(L7058="", "Pending", IF(N7058&lt;=30, "Met", "Breached"))</f>
        <v/>
      </c>
      <c r="P7058" s="8" t="n"/>
      <c r="Q7058" s="8" t="n"/>
      <c r="R7058" s="8" t="n"/>
      <c r="S7058" s="8" t="n"/>
      <c r="T7058" s="8" t="n"/>
      <c r="U7058" s="8" t="n"/>
      <c r="V7058" s="8" t="n"/>
      <c r="W7058" s="8" t="n"/>
      <c r="X7058" s="8" t="n"/>
      <c r="Y7058" s="8" t="n"/>
    </row>
    <row r="7059">
      <c r="A7059" s="8" t="n"/>
      <c r="B7059" s="8" t="n"/>
      <c r="C7059" s="8" t="n"/>
      <c r="D7059" s="8" t="n"/>
      <c r="E7059" s="8" t="n"/>
      <c r="F7059" s="8" t="n"/>
      <c r="G7059" s="8" t="n"/>
      <c r="H7059" s="8" t="n"/>
      <c r="I7059" s="8" t="n"/>
      <c r="J7059" s="8" t="n"/>
      <c r="K7059" s="8" t="n"/>
      <c r="L7059" s="8" t="n"/>
      <c r="M7059" s="9">
        <f>B7059+30</f>
        <v/>
      </c>
      <c r="N7059">
        <f>IF(L7059="", "", L7059-B7059)</f>
        <v/>
      </c>
      <c r="O7059">
        <f>IF(L7059="", "Pending", IF(N7059&lt;=30, "Met", "Breached"))</f>
        <v/>
      </c>
      <c r="P7059" s="8" t="n"/>
      <c r="Q7059" s="8" t="n"/>
      <c r="R7059" s="8" t="n"/>
      <c r="S7059" s="8" t="n"/>
      <c r="T7059" s="8" t="n"/>
      <c r="U7059" s="8" t="n"/>
      <c r="V7059" s="8" t="n"/>
      <c r="W7059" s="8" t="n"/>
      <c r="X7059" s="8" t="n"/>
      <c r="Y7059" s="8" t="n"/>
    </row>
    <row r="7060">
      <c r="A7060" s="8" t="n"/>
      <c r="B7060" s="8" t="n"/>
      <c r="C7060" s="8" t="n"/>
      <c r="D7060" s="8" t="n"/>
      <c r="E7060" s="8" t="n"/>
      <c r="F7060" s="8" t="n"/>
      <c r="G7060" s="8" t="n"/>
      <c r="H7060" s="8" t="n"/>
      <c r="I7060" s="8" t="n"/>
      <c r="J7060" s="8" t="n"/>
      <c r="K7060" s="8" t="n"/>
      <c r="L7060" s="8" t="n"/>
      <c r="M7060" s="9">
        <f>B7060+30</f>
        <v/>
      </c>
      <c r="N7060">
        <f>IF(L7060="", "", L7060-B7060)</f>
        <v/>
      </c>
      <c r="O7060">
        <f>IF(L7060="", "Pending", IF(N7060&lt;=30, "Met", "Breached"))</f>
        <v/>
      </c>
      <c r="P7060" s="8" t="n"/>
      <c r="Q7060" s="8" t="n"/>
      <c r="R7060" s="8" t="n"/>
      <c r="S7060" s="8" t="n"/>
      <c r="T7060" s="8" t="n"/>
      <c r="U7060" s="8" t="n"/>
      <c r="V7060" s="8" t="n"/>
      <c r="W7060" s="8" t="n"/>
      <c r="X7060" s="8" t="n"/>
      <c r="Y7060" s="8" t="n"/>
    </row>
    <row r="7061">
      <c r="A7061" s="8" t="n"/>
      <c r="B7061" s="8" t="n"/>
      <c r="C7061" s="8" t="n"/>
      <c r="D7061" s="8" t="n"/>
      <c r="E7061" s="8" t="n"/>
      <c r="F7061" s="8" t="n"/>
      <c r="G7061" s="8" t="n"/>
      <c r="H7061" s="8" t="n"/>
      <c r="I7061" s="8" t="n"/>
      <c r="J7061" s="8" t="n"/>
      <c r="K7061" s="8" t="n"/>
      <c r="L7061" s="8" t="n"/>
      <c r="M7061" s="9">
        <f>B7061+30</f>
        <v/>
      </c>
      <c r="N7061">
        <f>IF(L7061="", "", L7061-B7061)</f>
        <v/>
      </c>
      <c r="O7061">
        <f>IF(L7061="", "Pending", IF(N7061&lt;=30, "Met", "Breached"))</f>
        <v/>
      </c>
      <c r="P7061" s="8" t="n"/>
      <c r="Q7061" s="8" t="n"/>
      <c r="R7061" s="8" t="n"/>
      <c r="S7061" s="8" t="n"/>
      <c r="T7061" s="8" t="n"/>
      <c r="U7061" s="8" t="n"/>
      <c r="V7061" s="8" t="n"/>
      <c r="W7061" s="8" t="n"/>
      <c r="X7061" s="8" t="n"/>
      <c r="Y7061" s="8" t="n"/>
    </row>
    <row r="7062">
      <c r="A7062" s="8" t="n"/>
      <c r="B7062" s="8" t="n"/>
      <c r="C7062" s="8" t="n"/>
      <c r="D7062" s="8" t="n"/>
      <c r="E7062" s="8" t="n"/>
      <c r="F7062" s="8" t="n"/>
      <c r="G7062" s="8" t="n"/>
      <c r="H7062" s="8" t="n"/>
      <c r="I7062" s="8" t="n"/>
      <c r="J7062" s="8" t="n"/>
      <c r="K7062" s="8" t="n"/>
      <c r="L7062" s="8" t="n"/>
      <c r="M7062" s="9">
        <f>B7062+30</f>
        <v/>
      </c>
      <c r="N7062">
        <f>IF(L7062="", "", L7062-B7062)</f>
        <v/>
      </c>
      <c r="O7062">
        <f>IF(L7062="", "Pending", IF(N7062&lt;=30, "Met", "Breached"))</f>
        <v/>
      </c>
      <c r="P7062" s="8" t="n"/>
      <c r="Q7062" s="8" t="n"/>
      <c r="R7062" s="8" t="n"/>
      <c r="S7062" s="8" t="n"/>
      <c r="T7062" s="8" t="n"/>
      <c r="U7062" s="8" t="n"/>
      <c r="V7062" s="8" t="n"/>
      <c r="W7062" s="8" t="n"/>
      <c r="X7062" s="8" t="n"/>
      <c r="Y7062" s="8" t="n"/>
    </row>
    <row r="7063">
      <c r="A7063" s="8" t="n"/>
      <c r="B7063" s="8" t="n"/>
      <c r="C7063" s="8" t="n"/>
      <c r="D7063" s="8" t="n"/>
      <c r="E7063" s="8" t="n"/>
      <c r="F7063" s="8" t="n"/>
      <c r="G7063" s="8" t="n"/>
      <c r="H7063" s="8" t="n"/>
      <c r="I7063" s="8" t="n"/>
      <c r="J7063" s="8" t="n"/>
      <c r="K7063" s="8" t="n"/>
      <c r="L7063" s="8" t="n"/>
      <c r="M7063" s="9">
        <f>B7063+30</f>
        <v/>
      </c>
      <c r="N7063">
        <f>IF(L7063="", "", L7063-B7063)</f>
        <v/>
      </c>
      <c r="O7063">
        <f>IF(L7063="", "Pending", IF(N7063&lt;=30, "Met", "Breached"))</f>
        <v/>
      </c>
      <c r="P7063" s="8" t="n"/>
      <c r="Q7063" s="8" t="n"/>
      <c r="R7063" s="8" t="n"/>
      <c r="S7063" s="8" t="n"/>
      <c r="T7063" s="8" t="n"/>
      <c r="U7063" s="8" t="n"/>
      <c r="V7063" s="8" t="n"/>
      <c r="W7063" s="8" t="n"/>
      <c r="X7063" s="8" t="n"/>
      <c r="Y7063" s="8" t="n"/>
    </row>
    <row r="7064">
      <c r="A7064" s="8" t="n"/>
      <c r="B7064" s="8" t="n"/>
      <c r="C7064" s="8" t="n"/>
      <c r="D7064" s="8" t="n"/>
      <c r="E7064" s="8" t="n"/>
      <c r="F7064" s="8" t="n"/>
      <c r="G7064" s="8" t="n"/>
      <c r="H7064" s="8" t="n"/>
      <c r="I7064" s="8" t="n"/>
      <c r="J7064" s="8" t="n"/>
      <c r="K7064" s="8" t="n"/>
      <c r="L7064" s="8" t="n"/>
      <c r="M7064" s="9">
        <f>B7064+30</f>
        <v/>
      </c>
      <c r="N7064">
        <f>IF(L7064="", "", L7064-B7064)</f>
        <v/>
      </c>
      <c r="O7064">
        <f>IF(L7064="", "Pending", IF(N7064&lt;=30, "Met", "Breached"))</f>
        <v/>
      </c>
      <c r="P7064" s="8" t="n"/>
      <c r="Q7064" s="8" t="n"/>
      <c r="R7064" s="8" t="n"/>
      <c r="S7064" s="8" t="n"/>
      <c r="T7064" s="8" t="n"/>
      <c r="U7064" s="8" t="n"/>
      <c r="V7064" s="8" t="n"/>
      <c r="W7064" s="8" t="n"/>
      <c r="X7064" s="8" t="n"/>
      <c r="Y7064" s="8" t="n"/>
    </row>
    <row r="7065">
      <c r="A7065" s="8" t="n"/>
      <c r="B7065" s="8" t="n"/>
      <c r="C7065" s="8" t="n"/>
      <c r="D7065" s="8" t="n"/>
      <c r="E7065" s="8" t="n"/>
      <c r="F7065" s="8" t="n"/>
      <c r="G7065" s="8" t="n"/>
      <c r="H7065" s="8" t="n"/>
      <c r="I7065" s="8" t="n"/>
      <c r="J7065" s="8" t="n"/>
      <c r="K7065" s="8" t="n"/>
      <c r="L7065" s="8" t="n"/>
      <c r="M7065" s="9">
        <f>B7065+30</f>
        <v/>
      </c>
      <c r="N7065">
        <f>IF(L7065="", "", L7065-B7065)</f>
        <v/>
      </c>
      <c r="O7065">
        <f>IF(L7065="", "Pending", IF(N7065&lt;=30, "Met", "Breached"))</f>
        <v/>
      </c>
      <c r="P7065" s="8" t="n"/>
      <c r="Q7065" s="8" t="n"/>
      <c r="R7065" s="8" t="n"/>
      <c r="S7065" s="8" t="n"/>
      <c r="T7065" s="8" t="n"/>
      <c r="U7065" s="8" t="n"/>
      <c r="V7065" s="8" t="n"/>
      <c r="W7065" s="8" t="n"/>
      <c r="X7065" s="8" t="n"/>
      <c r="Y7065" s="8" t="n"/>
    </row>
    <row r="7066">
      <c r="A7066" s="8" t="n"/>
      <c r="B7066" s="8" t="n"/>
      <c r="C7066" s="8" t="n"/>
      <c r="D7066" s="8" t="n"/>
      <c r="E7066" s="8" t="n"/>
      <c r="F7066" s="8" t="n"/>
      <c r="G7066" s="8" t="n"/>
      <c r="H7066" s="8" t="n"/>
      <c r="I7066" s="8" t="n"/>
      <c r="J7066" s="8" t="n"/>
      <c r="K7066" s="8" t="n"/>
      <c r="L7066" s="8" t="n"/>
      <c r="M7066" s="9">
        <f>B7066+30</f>
        <v/>
      </c>
      <c r="N7066">
        <f>IF(L7066="", "", L7066-B7066)</f>
        <v/>
      </c>
      <c r="O7066">
        <f>IF(L7066="", "Pending", IF(N7066&lt;=30, "Met", "Breached"))</f>
        <v/>
      </c>
      <c r="P7066" s="8" t="n"/>
      <c r="Q7066" s="8" t="n"/>
      <c r="R7066" s="8" t="n"/>
      <c r="S7066" s="8" t="n"/>
      <c r="T7066" s="8" t="n"/>
      <c r="U7066" s="8" t="n"/>
      <c r="V7066" s="8" t="n"/>
      <c r="W7066" s="8" t="n"/>
      <c r="X7066" s="8" t="n"/>
      <c r="Y7066" s="8" t="n"/>
    </row>
    <row r="7067">
      <c r="A7067" s="8" t="n"/>
      <c r="B7067" s="8" t="n"/>
      <c r="C7067" s="8" t="n"/>
      <c r="D7067" s="8" t="n"/>
      <c r="E7067" s="8" t="n"/>
      <c r="F7067" s="8" t="n"/>
      <c r="G7067" s="8" t="n"/>
      <c r="H7067" s="8" t="n"/>
      <c r="I7067" s="8" t="n"/>
      <c r="J7067" s="8" t="n"/>
      <c r="K7067" s="8" t="n"/>
      <c r="L7067" s="8" t="n"/>
      <c r="M7067" s="9">
        <f>B7067+30</f>
        <v/>
      </c>
      <c r="N7067">
        <f>IF(L7067="", "", L7067-B7067)</f>
        <v/>
      </c>
      <c r="O7067">
        <f>IF(L7067="", "Pending", IF(N7067&lt;=30, "Met", "Breached"))</f>
        <v/>
      </c>
      <c r="P7067" s="8" t="n"/>
      <c r="Q7067" s="8" t="n"/>
      <c r="R7067" s="8" t="n"/>
      <c r="S7067" s="8" t="n"/>
      <c r="T7067" s="8" t="n"/>
      <c r="U7067" s="8" t="n"/>
      <c r="V7067" s="8" t="n"/>
      <c r="W7067" s="8" t="n"/>
      <c r="X7067" s="8" t="n"/>
      <c r="Y7067" s="8" t="n"/>
    </row>
    <row r="7068">
      <c r="A7068" s="8" t="n"/>
      <c r="B7068" s="8" t="n"/>
      <c r="C7068" s="8" t="n"/>
      <c r="D7068" s="8" t="n"/>
      <c r="E7068" s="8" t="n"/>
      <c r="F7068" s="8" t="n"/>
      <c r="G7068" s="8" t="n"/>
      <c r="H7068" s="8" t="n"/>
      <c r="I7068" s="8" t="n"/>
      <c r="J7068" s="8" t="n"/>
      <c r="K7068" s="8" t="n"/>
      <c r="L7068" s="8" t="n"/>
      <c r="M7068" s="9">
        <f>B7068+30</f>
        <v/>
      </c>
      <c r="N7068">
        <f>IF(L7068="", "", L7068-B7068)</f>
        <v/>
      </c>
      <c r="O7068">
        <f>IF(L7068="", "Pending", IF(N7068&lt;=30, "Met", "Breached"))</f>
        <v/>
      </c>
      <c r="P7068" s="8" t="n"/>
      <c r="Q7068" s="8" t="n"/>
      <c r="R7068" s="8" t="n"/>
      <c r="S7068" s="8" t="n"/>
      <c r="T7068" s="8" t="n"/>
      <c r="U7068" s="8" t="n"/>
      <c r="V7068" s="8" t="n"/>
      <c r="W7068" s="8" t="n"/>
      <c r="X7068" s="8" t="n"/>
      <c r="Y7068" s="8" t="n"/>
    </row>
    <row r="7069">
      <c r="A7069" s="8" t="n"/>
      <c r="B7069" s="8" t="n"/>
      <c r="C7069" s="8" t="n"/>
      <c r="D7069" s="8" t="n"/>
      <c r="E7069" s="8" t="n"/>
      <c r="F7069" s="8" t="n"/>
      <c r="G7069" s="8" t="n"/>
      <c r="H7069" s="8" t="n"/>
      <c r="I7069" s="8" t="n"/>
      <c r="J7069" s="8" t="n"/>
      <c r="K7069" s="8" t="n"/>
      <c r="L7069" s="8" t="n"/>
      <c r="M7069" s="9">
        <f>B7069+30</f>
        <v/>
      </c>
      <c r="N7069">
        <f>IF(L7069="", "", L7069-B7069)</f>
        <v/>
      </c>
      <c r="O7069">
        <f>IF(L7069="", "Pending", IF(N7069&lt;=30, "Met", "Breached"))</f>
        <v/>
      </c>
      <c r="P7069" s="8" t="n"/>
      <c r="Q7069" s="8" t="n"/>
      <c r="R7069" s="8" t="n"/>
      <c r="S7069" s="8" t="n"/>
      <c r="T7069" s="8" t="n"/>
      <c r="U7069" s="8" t="n"/>
      <c r="V7069" s="8" t="n"/>
      <c r="W7069" s="8" t="n"/>
      <c r="X7069" s="8" t="n"/>
      <c r="Y7069" s="8" t="n"/>
    </row>
    <row r="7070">
      <c r="A7070" s="8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8" t="n"/>
      <c r="K7070" s="8" t="n"/>
      <c r="L7070" s="8" t="n"/>
      <c r="M7070" s="9">
        <f>B7070+30</f>
        <v/>
      </c>
      <c r="N7070">
        <f>IF(L7070="", "", L7070-B7070)</f>
        <v/>
      </c>
      <c r="O7070">
        <f>IF(L7070="", "Pending", IF(N7070&lt;=30, "Met", "Breached"))</f>
        <v/>
      </c>
      <c r="P7070" s="8" t="n"/>
      <c r="Q7070" s="8" t="n"/>
      <c r="R7070" s="8" t="n"/>
      <c r="S7070" s="8" t="n"/>
      <c r="T7070" s="8" t="n"/>
      <c r="U7070" s="8" t="n"/>
      <c r="V7070" s="8" t="n"/>
      <c r="W7070" s="8" t="n"/>
      <c r="X7070" s="8" t="n"/>
      <c r="Y7070" s="8" t="n"/>
    </row>
    <row r="7071">
      <c r="A7071" s="8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8" t="n"/>
      <c r="K7071" s="8" t="n"/>
      <c r="L7071" s="8" t="n"/>
      <c r="M7071" s="9">
        <f>B7071+30</f>
        <v/>
      </c>
      <c r="N7071">
        <f>IF(L7071="", "", L7071-B7071)</f>
        <v/>
      </c>
      <c r="O7071">
        <f>IF(L7071="", "Pending", IF(N7071&lt;=30, "Met", "Breached"))</f>
        <v/>
      </c>
      <c r="P7071" s="8" t="n"/>
      <c r="Q7071" s="8" t="n"/>
      <c r="R7071" s="8" t="n"/>
      <c r="S7071" s="8" t="n"/>
      <c r="T7071" s="8" t="n"/>
      <c r="U7071" s="8" t="n"/>
      <c r="V7071" s="8" t="n"/>
      <c r="W7071" s="8" t="n"/>
      <c r="X7071" s="8" t="n"/>
      <c r="Y7071" s="8" t="n"/>
    </row>
    <row r="7072">
      <c r="A7072" s="8" t="n"/>
      <c r="B7072" s="8" t="n"/>
      <c r="C7072" s="8" t="n"/>
      <c r="D7072" s="8" t="n"/>
      <c r="E7072" s="8" t="n"/>
      <c r="F7072" s="8" t="n"/>
      <c r="G7072" s="8" t="n"/>
      <c r="H7072" s="8" t="n"/>
      <c r="I7072" s="8" t="n"/>
      <c r="J7072" s="8" t="n"/>
      <c r="K7072" s="8" t="n"/>
      <c r="L7072" s="8" t="n"/>
      <c r="M7072" s="9">
        <f>B7072+30</f>
        <v/>
      </c>
      <c r="N7072">
        <f>IF(L7072="", "", L7072-B7072)</f>
        <v/>
      </c>
      <c r="O7072">
        <f>IF(L7072="", "Pending", IF(N7072&lt;=30, "Met", "Breached"))</f>
        <v/>
      </c>
      <c r="P7072" s="8" t="n"/>
      <c r="Q7072" s="8" t="n"/>
      <c r="R7072" s="8" t="n"/>
      <c r="S7072" s="8" t="n"/>
      <c r="T7072" s="8" t="n"/>
      <c r="U7072" s="8" t="n"/>
      <c r="V7072" s="8" t="n"/>
      <c r="W7072" s="8" t="n"/>
      <c r="X7072" s="8" t="n"/>
      <c r="Y7072" s="8" t="n"/>
    </row>
    <row r="7073">
      <c r="A7073" s="8" t="n"/>
      <c r="B7073" s="8" t="n"/>
      <c r="C7073" s="8" t="n"/>
      <c r="D7073" s="8" t="n"/>
      <c r="E7073" s="8" t="n"/>
      <c r="F7073" s="8" t="n"/>
      <c r="G7073" s="8" t="n"/>
      <c r="H7073" s="8" t="n"/>
      <c r="I7073" s="8" t="n"/>
      <c r="J7073" s="8" t="n"/>
      <c r="K7073" s="8" t="n"/>
      <c r="L7073" s="8" t="n"/>
      <c r="M7073" s="9">
        <f>B7073+30</f>
        <v/>
      </c>
      <c r="N7073">
        <f>IF(L7073="", "", L7073-B7073)</f>
        <v/>
      </c>
      <c r="O7073">
        <f>IF(L7073="", "Pending", IF(N7073&lt;=30, "Met", "Breached"))</f>
        <v/>
      </c>
      <c r="P7073" s="8" t="n"/>
      <c r="Q7073" s="8" t="n"/>
      <c r="R7073" s="8" t="n"/>
      <c r="S7073" s="8" t="n"/>
      <c r="T7073" s="8" t="n"/>
      <c r="U7073" s="8" t="n"/>
      <c r="V7073" s="8" t="n"/>
      <c r="W7073" s="8" t="n"/>
      <c r="X7073" s="8" t="n"/>
      <c r="Y7073" s="8" t="n"/>
    </row>
    <row r="7074">
      <c r="A7074" s="8" t="n"/>
      <c r="B7074" s="8" t="n"/>
      <c r="C7074" s="8" t="n"/>
      <c r="D7074" s="8" t="n"/>
      <c r="E7074" s="8" t="n"/>
      <c r="F7074" s="8" t="n"/>
      <c r="G7074" s="8" t="n"/>
      <c r="H7074" s="8" t="n"/>
      <c r="I7074" s="8" t="n"/>
      <c r="J7074" s="8" t="n"/>
      <c r="K7074" s="8" t="n"/>
      <c r="L7074" s="8" t="n"/>
      <c r="M7074" s="9">
        <f>B7074+30</f>
        <v/>
      </c>
      <c r="N7074">
        <f>IF(L7074="", "", L7074-B7074)</f>
        <v/>
      </c>
      <c r="O7074">
        <f>IF(L7074="", "Pending", IF(N7074&lt;=30, "Met", "Breached"))</f>
        <v/>
      </c>
      <c r="P7074" s="8" t="n"/>
      <c r="Q7074" s="8" t="n"/>
      <c r="R7074" s="8" t="n"/>
      <c r="S7074" s="8" t="n"/>
      <c r="T7074" s="8" t="n"/>
      <c r="U7074" s="8" t="n"/>
      <c r="V7074" s="8" t="n"/>
      <c r="W7074" s="8" t="n"/>
      <c r="X7074" s="8" t="n"/>
      <c r="Y7074" s="8" t="n"/>
    </row>
    <row r="7075">
      <c r="A7075" s="8" t="n"/>
      <c r="B7075" s="8" t="n"/>
      <c r="C7075" s="8" t="n"/>
      <c r="D7075" s="8" t="n"/>
      <c r="E7075" s="8" t="n"/>
      <c r="F7075" s="8" t="n"/>
      <c r="G7075" s="8" t="n"/>
      <c r="H7075" s="8" t="n"/>
      <c r="I7075" s="8" t="n"/>
      <c r="J7075" s="8" t="n"/>
      <c r="K7075" s="8" t="n"/>
      <c r="L7075" s="8" t="n"/>
      <c r="M7075" s="9">
        <f>B7075+30</f>
        <v/>
      </c>
      <c r="N7075">
        <f>IF(L7075="", "", L7075-B7075)</f>
        <v/>
      </c>
      <c r="O7075">
        <f>IF(L7075="", "Pending", IF(N7075&lt;=30, "Met", "Breached"))</f>
        <v/>
      </c>
      <c r="P7075" s="8" t="n"/>
      <c r="Q7075" s="8" t="n"/>
      <c r="R7075" s="8" t="n"/>
      <c r="S7075" s="8" t="n"/>
      <c r="T7075" s="8" t="n"/>
      <c r="U7075" s="8" t="n"/>
      <c r="V7075" s="8" t="n"/>
      <c r="W7075" s="8" t="n"/>
      <c r="X7075" s="8" t="n"/>
      <c r="Y7075" s="8" t="n"/>
    </row>
    <row r="7076">
      <c r="A7076" s="8" t="n"/>
      <c r="B7076" s="8" t="n"/>
      <c r="C7076" s="8" t="n"/>
      <c r="D7076" s="8" t="n"/>
      <c r="E7076" s="8" t="n"/>
      <c r="F7076" s="8" t="n"/>
      <c r="G7076" s="8" t="n"/>
      <c r="H7076" s="8" t="n"/>
      <c r="I7076" s="8" t="n"/>
      <c r="J7076" s="8" t="n"/>
      <c r="K7076" s="8" t="n"/>
      <c r="L7076" s="8" t="n"/>
      <c r="M7076" s="9">
        <f>B7076+30</f>
        <v/>
      </c>
      <c r="N7076">
        <f>IF(L7076="", "", L7076-B7076)</f>
        <v/>
      </c>
      <c r="O7076">
        <f>IF(L7076="", "Pending", IF(N7076&lt;=30, "Met", "Breached"))</f>
        <v/>
      </c>
      <c r="P7076" s="8" t="n"/>
      <c r="Q7076" s="8" t="n"/>
      <c r="R7076" s="8" t="n"/>
      <c r="S7076" s="8" t="n"/>
      <c r="T7076" s="8" t="n"/>
      <c r="U7076" s="8" t="n"/>
      <c r="V7076" s="8" t="n"/>
      <c r="W7076" s="8" t="n"/>
      <c r="X7076" s="8" t="n"/>
      <c r="Y7076" s="8" t="n"/>
    </row>
    <row r="7077">
      <c r="A7077" s="8" t="n"/>
      <c r="B7077" s="8" t="n"/>
      <c r="C7077" s="8" t="n"/>
      <c r="D7077" s="8" t="n"/>
      <c r="E7077" s="8" t="n"/>
      <c r="F7077" s="8" t="n"/>
      <c r="G7077" s="8" t="n"/>
      <c r="H7077" s="8" t="n"/>
      <c r="I7077" s="8" t="n"/>
      <c r="J7077" s="8" t="n"/>
      <c r="K7077" s="8" t="n"/>
      <c r="L7077" s="8" t="n"/>
      <c r="M7077" s="9">
        <f>B7077+30</f>
        <v/>
      </c>
      <c r="N7077">
        <f>IF(L7077="", "", L7077-B7077)</f>
        <v/>
      </c>
      <c r="O7077">
        <f>IF(L7077="", "Pending", IF(N7077&lt;=30, "Met", "Breached"))</f>
        <v/>
      </c>
      <c r="P7077" s="8" t="n"/>
      <c r="Q7077" s="8" t="n"/>
      <c r="R7077" s="8" t="n"/>
      <c r="S7077" s="8" t="n"/>
      <c r="T7077" s="8" t="n"/>
      <c r="U7077" s="8" t="n"/>
      <c r="V7077" s="8" t="n"/>
      <c r="W7077" s="8" t="n"/>
      <c r="X7077" s="8" t="n"/>
      <c r="Y7077" s="8" t="n"/>
    </row>
    <row r="7078">
      <c r="A7078" s="8" t="n"/>
      <c r="B7078" s="8" t="n"/>
      <c r="C7078" s="8" t="n"/>
      <c r="D7078" s="8" t="n"/>
      <c r="E7078" s="8" t="n"/>
      <c r="F7078" s="8" t="n"/>
      <c r="G7078" s="8" t="n"/>
      <c r="H7078" s="8" t="n"/>
      <c r="I7078" s="8" t="n"/>
      <c r="J7078" s="8" t="n"/>
      <c r="K7078" s="8" t="n"/>
      <c r="L7078" s="8" t="n"/>
      <c r="M7078" s="9">
        <f>B7078+30</f>
        <v/>
      </c>
      <c r="N7078">
        <f>IF(L7078="", "", L7078-B7078)</f>
        <v/>
      </c>
      <c r="O7078">
        <f>IF(L7078="", "Pending", IF(N7078&lt;=30, "Met", "Breached"))</f>
        <v/>
      </c>
      <c r="P7078" s="8" t="n"/>
      <c r="Q7078" s="8" t="n"/>
      <c r="R7078" s="8" t="n"/>
      <c r="S7078" s="8" t="n"/>
      <c r="T7078" s="8" t="n"/>
      <c r="U7078" s="8" t="n"/>
      <c r="V7078" s="8" t="n"/>
      <c r="W7078" s="8" t="n"/>
      <c r="X7078" s="8" t="n"/>
      <c r="Y7078" s="8" t="n"/>
    </row>
    <row r="7079">
      <c r="A7079" s="8" t="n"/>
      <c r="B7079" s="8" t="n"/>
      <c r="C7079" s="8" t="n"/>
      <c r="D7079" s="8" t="n"/>
      <c r="E7079" s="8" t="n"/>
      <c r="F7079" s="8" t="n"/>
      <c r="G7079" s="8" t="n"/>
      <c r="H7079" s="8" t="n"/>
      <c r="I7079" s="8" t="n"/>
      <c r="J7079" s="8" t="n"/>
      <c r="K7079" s="8" t="n"/>
      <c r="L7079" s="8" t="n"/>
      <c r="M7079" s="9">
        <f>B7079+30</f>
        <v/>
      </c>
      <c r="N7079">
        <f>IF(L7079="", "", L7079-B7079)</f>
        <v/>
      </c>
      <c r="O7079">
        <f>IF(L7079="", "Pending", IF(N7079&lt;=30, "Met", "Breached"))</f>
        <v/>
      </c>
      <c r="P7079" s="8" t="n"/>
      <c r="Q7079" s="8" t="n"/>
      <c r="R7079" s="8" t="n"/>
      <c r="S7079" s="8" t="n"/>
      <c r="T7079" s="8" t="n"/>
      <c r="U7079" s="8" t="n"/>
      <c r="V7079" s="8" t="n"/>
      <c r="W7079" s="8" t="n"/>
      <c r="X7079" s="8" t="n"/>
      <c r="Y7079" s="8" t="n"/>
    </row>
    <row r="7080">
      <c r="A7080" s="8" t="n"/>
      <c r="B7080" s="8" t="n"/>
      <c r="C7080" s="8" t="n"/>
      <c r="D7080" s="8" t="n"/>
      <c r="E7080" s="8" t="n"/>
      <c r="F7080" s="8" t="n"/>
      <c r="G7080" s="8" t="n"/>
      <c r="H7080" s="8" t="n"/>
      <c r="I7080" s="8" t="n"/>
      <c r="J7080" s="8" t="n"/>
      <c r="K7080" s="8" t="n"/>
      <c r="L7080" s="8" t="n"/>
      <c r="M7080" s="9">
        <f>B7080+30</f>
        <v/>
      </c>
      <c r="N7080">
        <f>IF(L7080="", "", L7080-B7080)</f>
        <v/>
      </c>
      <c r="O7080">
        <f>IF(L7080="", "Pending", IF(N7080&lt;=30, "Met", "Breached"))</f>
        <v/>
      </c>
      <c r="P7080" s="8" t="n"/>
      <c r="Q7080" s="8" t="n"/>
      <c r="R7080" s="8" t="n"/>
      <c r="S7080" s="8" t="n"/>
      <c r="T7080" s="8" t="n"/>
      <c r="U7080" s="8" t="n"/>
      <c r="V7080" s="8" t="n"/>
      <c r="W7080" s="8" t="n"/>
      <c r="X7080" s="8" t="n"/>
      <c r="Y7080" s="8" t="n"/>
    </row>
    <row r="7081">
      <c r="A7081" s="8" t="n"/>
      <c r="B7081" s="8" t="n"/>
      <c r="C7081" s="8" t="n"/>
      <c r="D7081" s="8" t="n"/>
      <c r="E7081" s="8" t="n"/>
      <c r="F7081" s="8" t="n"/>
      <c r="G7081" s="8" t="n"/>
      <c r="H7081" s="8" t="n"/>
      <c r="I7081" s="8" t="n"/>
      <c r="J7081" s="8" t="n"/>
      <c r="K7081" s="8" t="n"/>
      <c r="L7081" s="8" t="n"/>
      <c r="M7081" s="9">
        <f>B7081+30</f>
        <v/>
      </c>
      <c r="N7081">
        <f>IF(L7081="", "", L7081-B7081)</f>
        <v/>
      </c>
      <c r="O7081">
        <f>IF(L7081="", "Pending", IF(N7081&lt;=30, "Met", "Breached"))</f>
        <v/>
      </c>
      <c r="P7081" s="8" t="n"/>
      <c r="Q7081" s="8" t="n"/>
      <c r="R7081" s="8" t="n"/>
      <c r="S7081" s="8" t="n"/>
      <c r="T7081" s="8" t="n"/>
      <c r="U7081" s="8" t="n"/>
      <c r="V7081" s="8" t="n"/>
      <c r="W7081" s="8" t="n"/>
      <c r="X7081" s="8" t="n"/>
      <c r="Y7081" s="8" t="n"/>
    </row>
    <row r="7082">
      <c r="A7082" s="8" t="n"/>
      <c r="B7082" s="8" t="n"/>
      <c r="C7082" s="8" t="n"/>
      <c r="D7082" s="8" t="n"/>
      <c r="E7082" s="8" t="n"/>
      <c r="F7082" s="8" t="n"/>
      <c r="G7082" s="8" t="n"/>
      <c r="H7082" s="8" t="n"/>
      <c r="I7082" s="8" t="n"/>
      <c r="J7082" s="8" t="n"/>
      <c r="K7082" s="8" t="n"/>
      <c r="L7082" s="8" t="n"/>
      <c r="M7082" s="9">
        <f>B7082+30</f>
        <v/>
      </c>
      <c r="N7082">
        <f>IF(L7082="", "", L7082-B7082)</f>
        <v/>
      </c>
      <c r="O7082">
        <f>IF(L7082="", "Pending", IF(N7082&lt;=30, "Met", "Breached"))</f>
        <v/>
      </c>
      <c r="P7082" s="8" t="n"/>
      <c r="Q7082" s="8" t="n"/>
      <c r="R7082" s="8" t="n"/>
      <c r="S7082" s="8" t="n"/>
      <c r="T7082" s="8" t="n"/>
      <c r="U7082" s="8" t="n"/>
      <c r="V7082" s="8" t="n"/>
      <c r="W7082" s="8" t="n"/>
      <c r="X7082" s="8" t="n"/>
      <c r="Y7082" s="8" t="n"/>
    </row>
    <row r="7083">
      <c r="A7083" s="8" t="n"/>
      <c r="B7083" s="8" t="n"/>
      <c r="C7083" s="8" t="n"/>
      <c r="D7083" s="8" t="n"/>
      <c r="E7083" s="8" t="n"/>
      <c r="F7083" s="8" t="n"/>
      <c r="G7083" s="8" t="n"/>
      <c r="H7083" s="8" t="n"/>
      <c r="I7083" s="8" t="n"/>
      <c r="J7083" s="8" t="n"/>
      <c r="K7083" s="8" t="n"/>
      <c r="L7083" s="8" t="n"/>
      <c r="M7083" s="9">
        <f>B7083+30</f>
        <v/>
      </c>
      <c r="N7083">
        <f>IF(L7083="", "", L7083-B7083)</f>
        <v/>
      </c>
      <c r="O7083">
        <f>IF(L7083="", "Pending", IF(N7083&lt;=30, "Met", "Breached"))</f>
        <v/>
      </c>
      <c r="P7083" s="8" t="n"/>
      <c r="Q7083" s="8" t="n"/>
      <c r="R7083" s="8" t="n"/>
      <c r="S7083" s="8" t="n"/>
      <c r="T7083" s="8" t="n"/>
      <c r="U7083" s="8" t="n"/>
      <c r="V7083" s="8" t="n"/>
      <c r="W7083" s="8" t="n"/>
      <c r="X7083" s="8" t="n"/>
      <c r="Y7083" s="8" t="n"/>
    </row>
    <row r="7084">
      <c r="A7084" s="8" t="n"/>
      <c r="B7084" s="8" t="n"/>
      <c r="C7084" s="8" t="n"/>
      <c r="D7084" s="8" t="n"/>
      <c r="E7084" s="8" t="n"/>
      <c r="F7084" s="8" t="n"/>
      <c r="G7084" s="8" t="n"/>
      <c r="H7084" s="8" t="n"/>
      <c r="I7084" s="8" t="n"/>
      <c r="J7084" s="8" t="n"/>
      <c r="K7084" s="8" t="n"/>
      <c r="L7084" s="8" t="n"/>
      <c r="M7084" s="9">
        <f>B7084+30</f>
        <v/>
      </c>
      <c r="N7084">
        <f>IF(L7084="", "", L7084-B7084)</f>
        <v/>
      </c>
      <c r="O7084">
        <f>IF(L7084="", "Pending", IF(N7084&lt;=30, "Met", "Breached"))</f>
        <v/>
      </c>
      <c r="P7084" s="8" t="n"/>
      <c r="Q7084" s="8" t="n"/>
      <c r="R7084" s="8" t="n"/>
      <c r="S7084" s="8" t="n"/>
      <c r="T7084" s="8" t="n"/>
      <c r="U7084" s="8" t="n"/>
      <c r="V7084" s="8" t="n"/>
      <c r="W7084" s="8" t="n"/>
      <c r="X7084" s="8" t="n"/>
      <c r="Y7084" s="8" t="n"/>
    </row>
    <row r="7085">
      <c r="A7085" s="8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8" t="n"/>
      <c r="K7085" s="8" t="n"/>
      <c r="L7085" s="8" t="n"/>
      <c r="M7085" s="9">
        <f>B7085+30</f>
        <v/>
      </c>
      <c r="N7085">
        <f>IF(L7085="", "", L7085-B7085)</f>
        <v/>
      </c>
      <c r="O7085">
        <f>IF(L7085="", "Pending", IF(N7085&lt;=30, "Met", "Breached"))</f>
        <v/>
      </c>
      <c r="P7085" s="8" t="n"/>
      <c r="Q7085" s="8" t="n"/>
      <c r="R7085" s="8" t="n"/>
      <c r="S7085" s="8" t="n"/>
      <c r="T7085" s="8" t="n"/>
      <c r="U7085" s="8" t="n"/>
      <c r="V7085" s="8" t="n"/>
      <c r="W7085" s="8" t="n"/>
      <c r="X7085" s="8" t="n"/>
      <c r="Y7085" s="8" t="n"/>
    </row>
    <row r="7086">
      <c r="A7086" s="8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8" t="n"/>
      <c r="K7086" s="8" t="n"/>
      <c r="L7086" s="8" t="n"/>
      <c r="M7086" s="9">
        <f>B7086+30</f>
        <v/>
      </c>
      <c r="N7086">
        <f>IF(L7086="", "", L7086-B7086)</f>
        <v/>
      </c>
      <c r="O7086">
        <f>IF(L7086="", "Pending", IF(N7086&lt;=30, "Met", "Breached"))</f>
        <v/>
      </c>
      <c r="P7086" s="8" t="n"/>
      <c r="Q7086" s="8" t="n"/>
      <c r="R7086" s="8" t="n"/>
      <c r="S7086" s="8" t="n"/>
      <c r="T7086" s="8" t="n"/>
      <c r="U7086" s="8" t="n"/>
      <c r="V7086" s="8" t="n"/>
      <c r="W7086" s="8" t="n"/>
      <c r="X7086" s="8" t="n"/>
      <c r="Y7086" s="8" t="n"/>
    </row>
    <row r="7087">
      <c r="A7087" s="8" t="n"/>
      <c r="B7087" s="8" t="n"/>
      <c r="C7087" s="8" t="n"/>
      <c r="D7087" s="8" t="n"/>
      <c r="E7087" s="8" t="n"/>
      <c r="F7087" s="8" t="n"/>
      <c r="G7087" s="8" t="n"/>
      <c r="H7087" s="8" t="n"/>
      <c r="I7087" s="8" t="n"/>
      <c r="J7087" s="8" t="n"/>
      <c r="K7087" s="8" t="n"/>
      <c r="L7087" s="8" t="n"/>
      <c r="M7087" s="9">
        <f>B7087+30</f>
        <v/>
      </c>
      <c r="N7087">
        <f>IF(L7087="", "", L7087-B7087)</f>
        <v/>
      </c>
      <c r="O7087">
        <f>IF(L7087="", "Pending", IF(N7087&lt;=30, "Met", "Breached"))</f>
        <v/>
      </c>
      <c r="P7087" s="8" t="n"/>
      <c r="Q7087" s="8" t="n"/>
      <c r="R7087" s="8" t="n"/>
      <c r="S7087" s="8" t="n"/>
      <c r="T7087" s="8" t="n"/>
      <c r="U7087" s="8" t="n"/>
      <c r="V7087" s="8" t="n"/>
      <c r="W7087" s="8" t="n"/>
      <c r="X7087" s="8" t="n"/>
      <c r="Y7087" s="8" t="n"/>
    </row>
    <row r="7088">
      <c r="A7088" s="8" t="n"/>
      <c r="B7088" s="8" t="n"/>
      <c r="C7088" s="8" t="n"/>
      <c r="D7088" s="8" t="n"/>
      <c r="E7088" s="8" t="n"/>
      <c r="F7088" s="8" t="n"/>
      <c r="G7088" s="8" t="n"/>
      <c r="H7088" s="8" t="n"/>
      <c r="I7088" s="8" t="n"/>
      <c r="J7088" s="8" t="n"/>
      <c r="K7088" s="8" t="n"/>
      <c r="L7088" s="8" t="n"/>
      <c r="M7088" s="9">
        <f>B7088+30</f>
        <v/>
      </c>
      <c r="N7088">
        <f>IF(L7088="", "", L7088-B7088)</f>
        <v/>
      </c>
      <c r="O7088">
        <f>IF(L7088="", "Pending", IF(N7088&lt;=30, "Met", "Breached"))</f>
        <v/>
      </c>
      <c r="P7088" s="8" t="n"/>
      <c r="Q7088" s="8" t="n"/>
      <c r="R7088" s="8" t="n"/>
      <c r="S7088" s="8" t="n"/>
      <c r="T7088" s="8" t="n"/>
      <c r="U7088" s="8" t="n"/>
      <c r="V7088" s="8" t="n"/>
      <c r="W7088" s="8" t="n"/>
      <c r="X7088" s="8" t="n"/>
      <c r="Y7088" s="8" t="n"/>
    </row>
    <row r="7089">
      <c r="A7089" s="8" t="n"/>
      <c r="B7089" s="8" t="n"/>
      <c r="C7089" s="8" t="n"/>
      <c r="D7089" s="8" t="n"/>
      <c r="E7089" s="8" t="n"/>
      <c r="F7089" s="8" t="n"/>
      <c r="G7089" s="8" t="n"/>
      <c r="H7089" s="8" t="n"/>
      <c r="I7089" s="8" t="n"/>
      <c r="J7089" s="8" t="n"/>
      <c r="K7089" s="8" t="n"/>
      <c r="L7089" s="8" t="n"/>
      <c r="M7089" s="9">
        <f>B7089+30</f>
        <v/>
      </c>
      <c r="N7089">
        <f>IF(L7089="", "", L7089-B7089)</f>
        <v/>
      </c>
      <c r="O7089">
        <f>IF(L7089="", "Pending", IF(N7089&lt;=30, "Met", "Breached"))</f>
        <v/>
      </c>
      <c r="P7089" s="8" t="n"/>
      <c r="Q7089" s="8" t="n"/>
      <c r="R7089" s="8" t="n"/>
      <c r="S7089" s="8" t="n"/>
      <c r="T7089" s="8" t="n"/>
      <c r="U7089" s="8" t="n"/>
      <c r="V7089" s="8" t="n"/>
      <c r="W7089" s="8" t="n"/>
      <c r="X7089" s="8" t="n"/>
      <c r="Y7089" s="8" t="n"/>
    </row>
    <row r="7090">
      <c r="A7090" s="8" t="n"/>
      <c r="B7090" s="8" t="n"/>
      <c r="C7090" s="8" t="n"/>
      <c r="D7090" s="8" t="n"/>
      <c r="E7090" s="8" t="n"/>
      <c r="F7090" s="8" t="n"/>
      <c r="G7090" s="8" t="n"/>
      <c r="H7090" s="8" t="n"/>
      <c r="I7090" s="8" t="n"/>
      <c r="J7090" s="8" t="n"/>
      <c r="K7090" s="8" t="n"/>
      <c r="L7090" s="8" t="n"/>
      <c r="M7090" s="9">
        <f>B7090+30</f>
        <v/>
      </c>
      <c r="N7090">
        <f>IF(L7090="", "", L7090-B7090)</f>
        <v/>
      </c>
      <c r="O7090">
        <f>IF(L7090="", "Pending", IF(N7090&lt;=30, "Met", "Breached"))</f>
        <v/>
      </c>
      <c r="P7090" s="8" t="n"/>
      <c r="Q7090" s="8" t="n"/>
      <c r="R7090" s="8" t="n"/>
      <c r="S7090" s="8" t="n"/>
      <c r="T7090" s="8" t="n"/>
      <c r="U7090" s="8" t="n"/>
      <c r="V7090" s="8" t="n"/>
      <c r="W7090" s="8" t="n"/>
      <c r="X7090" s="8" t="n"/>
      <c r="Y7090" s="8" t="n"/>
    </row>
    <row r="7091">
      <c r="A7091" s="8" t="n"/>
      <c r="B7091" s="8" t="n"/>
      <c r="C7091" s="8" t="n"/>
      <c r="D7091" s="8" t="n"/>
      <c r="E7091" s="8" t="n"/>
      <c r="F7091" s="8" t="n"/>
      <c r="G7091" s="8" t="n"/>
      <c r="H7091" s="8" t="n"/>
      <c r="I7091" s="8" t="n"/>
      <c r="J7091" s="8" t="n"/>
      <c r="K7091" s="8" t="n"/>
      <c r="L7091" s="8" t="n"/>
      <c r="M7091" s="9">
        <f>B7091+30</f>
        <v/>
      </c>
      <c r="N7091">
        <f>IF(L7091="", "", L7091-B7091)</f>
        <v/>
      </c>
      <c r="O7091">
        <f>IF(L7091="", "Pending", IF(N7091&lt;=30, "Met", "Breached"))</f>
        <v/>
      </c>
      <c r="P7091" s="8" t="n"/>
      <c r="Q7091" s="8" t="n"/>
      <c r="R7091" s="8" t="n"/>
      <c r="S7091" s="8" t="n"/>
      <c r="T7091" s="8" t="n"/>
      <c r="U7091" s="8" t="n"/>
      <c r="V7091" s="8" t="n"/>
      <c r="W7091" s="8" t="n"/>
      <c r="X7091" s="8" t="n"/>
      <c r="Y7091" s="8" t="n"/>
    </row>
    <row r="7092">
      <c r="A7092" s="8" t="n"/>
      <c r="B7092" s="8" t="n"/>
      <c r="C7092" s="8" t="n"/>
      <c r="D7092" s="8" t="n"/>
      <c r="E7092" s="8" t="n"/>
      <c r="F7092" s="8" t="n"/>
      <c r="G7092" s="8" t="n"/>
      <c r="H7092" s="8" t="n"/>
      <c r="I7092" s="8" t="n"/>
      <c r="J7092" s="8" t="n"/>
      <c r="K7092" s="8" t="n"/>
      <c r="L7092" s="8" t="n"/>
      <c r="M7092" s="9">
        <f>B7092+30</f>
        <v/>
      </c>
      <c r="N7092">
        <f>IF(L7092="", "", L7092-B7092)</f>
        <v/>
      </c>
      <c r="O7092">
        <f>IF(L7092="", "Pending", IF(N7092&lt;=30, "Met", "Breached"))</f>
        <v/>
      </c>
      <c r="P7092" s="8" t="n"/>
      <c r="Q7092" s="8" t="n"/>
      <c r="R7092" s="8" t="n"/>
      <c r="S7092" s="8" t="n"/>
      <c r="T7092" s="8" t="n"/>
      <c r="U7092" s="8" t="n"/>
      <c r="V7092" s="8" t="n"/>
      <c r="W7092" s="8" t="n"/>
      <c r="X7092" s="8" t="n"/>
      <c r="Y7092" s="8" t="n"/>
    </row>
    <row r="7093">
      <c r="A7093" s="8" t="n"/>
      <c r="B7093" s="8" t="n"/>
      <c r="C7093" s="8" t="n"/>
      <c r="D7093" s="8" t="n"/>
      <c r="E7093" s="8" t="n"/>
      <c r="F7093" s="8" t="n"/>
      <c r="G7093" s="8" t="n"/>
      <c r="H7093" s="8" t="n"/>
      <c r="I7093" s="8" t="n"/>
      <c r="J7093" s="8" t="n"/>
      <c r="K7093" s="8" t="n"/>
      <c r="L7093" s="8" t="n"/>
      <c r="M7093" s="9">
        <f>B7093+30</f>
        <v/>
      </c>
      <c r="N7093">
        <f>IF(L7093="", "", L7093-B7093)</f>
        <v/>
      </c>
      <c r="O7093">
        <f>IF(L7093="", "Pending", IF(N7093&lt;=30, "Met", "Breached"))</f>
        <v/>
      </c>
      <c r="P7093" s="8" t="n"/>
      <c r="Q7093" s="8" t="n"/>
      <c r="R7093" s="8" t="n"/>
      <c r="S7093" s="8" t="n"/>
      <c r="T7093" s="8" t="n"/>
      <c r="U7093" s="8" t="n"/>
      <c r="V7093" s="8" t="n"/>
      <c r="W7093" s="8" t="n"/>
      <c r="X7093" s="8" t="n"/>
      <c r="Y7093" s="8" t="n"/>
    </row>
    <row r="7094">
      <c r="A7094" s="8" t="n"/>
      <c r="B7094" s="8" t="n"/>
      <c r="C7094" s="8" t="n"/>
      <c r="D7094" s="8" t="n"/>
      <c r="E7094" s="8" t="n"/>
      <c r="F7094" s="8" t="n"/>
      <c r="G7094" s="8" t="n"/>
      <c r="H7094" s="8" t="n"/>
      <c r="I7094" s="8" t="n"/>
      <c r="J7094" s="8" t="n"/>
      <c r="K7094" s="8" t="n"/>
      <c r="L7094" s="8" t="n"/>
      <c r="M7094" s="9">
        <f>B7094+30</f>
        <v/>
      </c>
      <c r="N7094">
        <f>IF(L7094="", "", L7094-B7094)</f>
        <v/>
      </c>
      <c r="O7094">
        <f>IF(L7094="", "Pending", IF(N7094&lt;=30, "Met", "Breached"))</f>
        <v/>
      </c>
      <c r="P7094" s="8" t="n"/>
      <c r="Q7094" s="8" t="n"/>
      <c r="R7094" s="8" t="n"/>
      <c r="S7094" s="8" t="n"/>
      <c r="T7094" s="8" t="n"/>
      <c r="U7094" s="8" t="n"/>
      <c r="V7094" s="8" t="n"/>
      <c r="W7094" s="8" t="n"/>
      <c r="X7094" s="8" t="n"/>
      <c r="Y7094" s="8" t="n"/>
    </row>
    <row r="7095">
      <c r="A7095" s="8" t="n"/>
      <c r="B7095" s="8" t="n"/>
      <c r="C7095" s="8" t="n"/>
      <c r="D7095" s="8" t="n"/>
      <c r="E7095" s="8" t="n"/>
      <c r="F7095" s="8" t="n"/>
      <c r="G7095" s="8" t="n"/>
      <c r="H7095" s="8" t="n"/>
      <c r="I7095" s="8" t="n"/>
      <c r="J7095" s="8" t="n"/>
      <c r="K7095" s="8" t="n"/>
      <c r="L7095" s="8" t="n"/>
      <c r="M7095" s="9">
        <f>B7095+30</f>
        <v/>
      </c>
      <c r="N7095">
        <f>IF(L7095="", "", L7095-B7095)</f>
        <v/>
      </c>
      <c r="O7095">
        <f>IF(L7095="", "Pending", IF(N7095&lt;=30, "Met", "Breached"))</f>
        <v/>
      </c>
      <c r="P7095" s="8" t="n"/>
      <c r="Q7095" s="8" t="n"/>
      <c r="R7095" s="8" t="n"/>
      <c r="S7095" s="8" t="n"/>
      <c r="T7095" s="8" t="n"/>
      <c r="U7095" s="8" t="n"/>
      <c r="V7095" s="8" t="n"/>
      <c r="W7095" s="8" t="n"/>
      <c r="X7095" s="8" t="n"/>
      <c r="Y7095" s="8" t="n"/>
    </row>
    <row r="7096">
      <c r="A7096" s="8" t="n"/>
      <c r="B7096" s="8" t="n"/>
      <c r="C7096" s="8" t="n"/>
      <c r="D7096" s="8" t="n"/>
      <c r="E7096" s="8" t="n"/>
      <c r="F7096" s="8" t="n"/>
      <c r="G7096" s="8" t="n"/>
      <c r="H7096" s="8" t="n"/>
      <c r="I7096" s="8" t="n"/>
      <c r="J7096" s="8" t="n"/>
      <c r="K7096" s="8" t="n"/>
      <c r="L7096" s="8" t="n"/>
      <c r="M7096" s="9">
        <f>B7096+30</f>
        <v/>
      </c>
      <c r="N7096">
        <f>IF(L7096="", "", L7096-B7096)</f>
        <v/>
      </c>
      <c r="O7096">
        <f>IF(L7096="", "Pending", IF(N7096&lt;=30, "Met", "Breached"))</f>
        <v/>
      </c>
      <c r="P7096" s="8" t="n"/>
      <c r="Q7096" s="8" t="n"/>
      <c r="R7096" s="8" t="n"/>
      <c r="S7096" s="8" t="n"/>
      <c r="T7096" s="8" t="n"/>
      <c r="U7096" s="8" t="n"/>
      <c r="V7096" s="8" t="n"/>
      <c r="W7096" s="8" t="n"/>
      <c r="X7096" s="8" t="n"/>
      <c r="Y7096" s="8" t="n"/>
    </row>
    <row r="7097">
      <c r="A7097" s="8" t="n"/>
      <c r="B7097" s="8" t="n"/>
      <c r="C7097" s="8" t="n"/>
      <c r="D7097" s="8" t="n"/>
      <c r="E7097" s="8" t="n"/>
      <c r="F7097" s="8" t="n"/>
      <c r="G7097" s="8" t="n"/>
      <c r="H7097" s="8" t="n"/>
      <c r="I7097" s="8" t="n"/>
      <c r="J7097" s="8" t="n"/>
      <c r="K7097" s="8" t="n"/>
      <c r="L7097" s="8" t="n"/>
      <c r="M7097" s="9">
        <f>B7097+30</f>
        <v/>
      </c>
      <c r="N7097">
        <f>IF(L7097="", "", L7097-B7097)</f>
        <v/>
      </c>
      <c r="O7097">
        <f>IF(L7097="", "Pending", IF(N7097&lt;=30, "Met", "Breached"))</f>
        <v/>
      </c>
      <c r="P7097" s="8" t="n"/>
      <c r="Q7097" s="8" t="n"/>
      <c r="R7097" s="8" t="n"/>
      <c r="S7097" s="8" t="n"/>
      <c r="T7097" s="8" t="n"/>
      <c r="U7097" s="8" t="n"/>
      <c r="V7097" s="8" t="n"/>
      <c r="W7097" s="8" t="n"/>
      <c r="X7097" s="8" t="n"/>
      <c r="Y7097" s="8" t="n"/>
    </row>
    <row r="7098">
      <c r="A7098" s="8" t="n"/>
      <c r="B7098" s="8" t="n"/>
      <c r="C7098" s="8" t="n"/>
      <c r="D7098" s="8" t="n"/>
      <c r="E7098" s="8" t="n"/>
      <c r="F7098" s="8" t="n"/>
      <c r="G7098" s="8" t="n"/>
      <c r="H7098" s="8" t="n"/>
      <c r="I7098" s="8" t="n"/>
      <c r="J7098" s="8" t="n"/>
      <c r="K7098" s="8" t="n"/>
      <c r="L7098" s="8" t="n"/>
      <c r="M7098" s="9">
        <f>B7098+30</f>
        <v/>
      </c>
      <c r="N7098">
        <f>IF(L7098="", "", L7098-B7098)</f>
        <v/>
      </c>
      <c r="O7098">
        <f>IF(L7098="", "Pending", IF(N7098&lt;=30, "Met", "Breached"))</f>
        <v/>
      </c>
      <c r="P7098" s="8" t="n"/>
      <c r="Q7098" s="8" t="n"/>
      <c r="R7098" s="8" t="n"/>
      <c r="S7098" s="8" t="n"/>
      <c r="T7098" s="8" t="n"/>
      <c r="U7098" s="8" t="n"/>
      <c r="V7098" s="8" t="n"/>
      <c r="W7098" s="8" t="n"/>
      <c r="X7098" s="8" t="n"/>
      <c r="Y7098" s="8" t="n"/>
    </row>
    <row r="7099">
      <c r="A7099" s="8" t="n"/>
      <c r="B7099" s="8" t="n"/>
      <c r="C7099" s="8" t="n"/>
      <c r="D7099" s="8" t="n"/>
      <c r="E7099" s="8" t="n"/>
      <c r="F7099" s="8" t="n"/>
      <c r="G7099" s="8" t="n"/>
      <c r="H7099" s="8" t="n"/>
      <c r="I7099" s="8" t="n"/>
      <c r="J7099" s="8" t="n"/>
      <c r="K7099" s="8" t="n"/>
      <c r="L7099" s="8" t="n"/>
      <c r="M7099" s="9">
        <f>B7099+30</f>
        <v/>
      </c>
      <c r="N7099">
        <f>IF(L7099="", "", L7099-B7099)</f>
        <v/>
      </c>
      <c r="O7099">
        <f>IF(L7099="", "Pending", IF(N7099&lt;=30, "Met", "Breached"))</f>
        <v/>
      </c>
      <c r="P7099" s="8" t="n"/>
      <c r="Q7099" s="8" t="n"/>
      <c r="R7099" s="8" t="n"/>
      <c r="S7099" s="8" t="n"/>
      <c r="T7099" s="8" t="n"/>
      <c r="U7099" s="8" t="n"/>
      <c r="V7099" s="8" t="n"/>
      <c r="W7099" s="8" t="n"/>
      <c r="X7099" s="8" t="n"/>
      <c r="Y7099" s="8" t="n"/>
    </row>
    <row r="7100">
      <c r="A7100" s="8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8" t="n"/>
      <c r="K7100" s="8" t="n"/>
      <c r="L7100" s="8" t="n"/>
      <c r="M7100" s="9">
        <f>B7100+30</f>
        <v/>
      </c>
      <c r="N7100">
        <f>IF(L7100="", "", L7100-B7100)</f>
        <v/>
      </c>
      <c r="O7100">
        <f>IF(L7100="", "Pending", IF(N7100&lt;=30, "Met", "Breached"))</f>
        <v/>
      </c>
      <c r="P7100" s="8" t="n"/>
      <c r="Q7100" s="8" t="n"/>
      <c r="R7100" s="8" t="n"/>
      <c r="S7100" s="8" t="n"/>
      <c r="T7100" s="8" t="n"/>
      <c r="U7100" s="8" t="n"/>
      <c r="V7100" s="8" t="n"/>
      <c r="W7100" s="8" t="n"/>
      <c r="X7100" s="8" t="n"/>
      <c r="Y7100" s="8" t="n"/>
    </row>
    <row r="7101">
      <c r="A7101" s="8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8" t="n"/>
      <c r="K7101" s="8" t="n"/>
      <c r="L7101" s="8" t="n"/>
      <c r="M7101" s="9">
        <f>B7101+30</f>
        <v/>
      </c>
      <c r="N7101">
        <f>IF(L7101="", "", L7101-B7101)</f>
        <v/>
      </c>
      <c r="O7101">
        <f>IF(L7101="", "Pending", IF(N7101&lt;=30, "Met", "Breached"))</f>
        <v/>
      </c>
      <c r="P7101" s="8" t="n"/>
      <c r="Q7101" s="8" t="n"/>
      <c r="R7101" s="8" t="n"/>
      <c r="S7101" s="8" t="n"/>
      <c r="T7101" s="8" t="n"/>
      <c r="U7101" s="8" t="n"/>
      <c r="V7101" s="8" t="n"/>
      <c r="W7101" s="8" t="n"/>
      <c r="X7101" s="8" t="n"/>
      <c r="Y7101" s="8" t="n"/>
    </row>
    <row r="7102">
      <c r="A7102" s="8" t="n"/>
      <c r="B7102" s="8" t="n"/>
      <c r="C7102" s="8" t="n"/>
      <c r="D7102" s="8" t="n"/>
      <c r="E7102" s="8" t="n"/>
      <c r="F7102" s="8" t="n"/>
      <c r="G7102" s="8" t="n"/>
      <c r="H7102" s="8" t="n"/>
      <c r="I7102" s="8" t="n"/>
      <c r="J7102" s="8" t="n"/>
      <c r="K7102" s="8" t="n"/>
      <c r="L7102" s="8" t="n"/>
      <c r="M7102" s="9">
        <f>B7102+30</f>
        <v/>
      </c>
      <c r="N7102">
        <f>IF(L7102="", "", L7102-B7102)</f>
        <v/>
      </c>
      <c r="O7102">
        <f>IF(L7102="", "Pending", IF(N7102&lt;=30, "Met", "Breached"))</f>
        <v/>
      </c>
      <c r="P7102" s="8" t="n"/>
      <c r="Q7102" s="8" t="n"/>
      <c r="R7102" s="8" t="n"/>
      <c r="S7102" s="8" t="n"/>
      <c r="T7102" s="8" t="n"/>
      <c r="U7102" s="8" t="n"/>
      <c r="V7102" s="8" t="n"/>
      <c r="W7102" s="8" t="n"/>
      <c r="X7102" s="8" t="n"/>
      <c r="Y7102" s="8" t="n"/>
    </row>
    <row r="7103">
      <c r="A7103" s="8" t="n"/>
      <c r="B7103" s="8" t="n"/>
      <c r="C7103" s="8" t="n"/>
      <c r="D7103" s="8" t="n"/>
      <c r="E7103" s="8" t="n"/>
      <c r="F7103" s="8" t="n"/>
      <c r="G7103" s="8" t="n"/>
      <c r="H7103" s="8" t="n"/>
      <c r="I7103" s="8" t="n"/>
      <c r="J7103" s="8" t="n"/>
      <c r="K7103" s="8" t="n"/>
      <c r="L7103" s="8" t="n"/>
      <c r="M7103" s="9">
        <f>B7103+30</f>
        <v/>
      </c>
      <c r="N7103">
        <f>IF(L7103="", "", L7103-B7103)</f>
        <v/>
      </c>
      <c r="O7103">
        <f>IF(L7103="", "Pending", IF(N7103&lt;=30, "Met", "Breached"))</f>
        <v/>
      </c>
      <c r="P7103" s="8" t="n"/>
      <c r="Q7103" s="8" t="n"/>
      <c r="R7103" s="8" t="n"/>
      <c r="S7103" s="8" t="n"/>
      <c r="T7103" s="8" t="n"/>
      <c r="U7103" s="8" t="n"/>
      <c r="V7103" s="8" t="n"/>
      <c r="W7103" s="8" t="n"/>
      <c r="X7103" s="8" t="n"/>
      <c r="Y7103" s="8" t="n"/>
    </row>
    <row r="7104">
      <c r="A7104" s="8" t="n"/>
      <c r="B7104" s="8" t="n"/>
      <c r="C7104" s="8" t="n"/>
      <c r="D7104" s="8" t="n"/>
      <c r="E7104" s="8" t="n"/>
      <c r="F7104" s="8" t="n"/>
      <c r="G7104" s="8" t="n"/>
      <c r="H7104" s="8" t="n"/>
      <c r="I7104" s="8" t="n"/>
      <c r="J7104" s="8" t="n"/>
      <c r="K7104" s="8" t="n"/>
      <c r="L7104" s="8" t="n"/>
      <c r="M7104" s="9">
        <f>B7104+30</f>
        <v/>
      </c>
      <c r="N7104">
        <f>IF(L7104="", "", L7104-B7104)</f>
        <v/>
      </c>
      <c r="O7104">
        <f>IF(L7104="", "Pending", IF(N7104&lt;=30, "Met", "Breached"))</f>
        <v/>
      </c>
      <c r="P7104" s="8" t="n"/>
      <c r="Q7104" s="8" t="n"/>
      <c r="R7104" s="8" t="n"/>
      <c r="S7104" s="8" t="n"/>
      <c r="T7104" s="8" t="n"/>
      <c r="U7104" s="8" t="n"/>
      <c r="V7104" s="8" t="n"/>
      <c r="W7104" s="8" t="n"/>
      <c r="X7104" s="8" t="n"/>
      <c r="Y7104" s="8" t="n"/>
    </row>
    <row r="7105">
      <c r="A7105" s="8" t="n"/>
      <c r="B7105" s="8" t="n"/>
      <c r="C7105" s="8" t="n"/>
      <c r="D7105" s="8" t="n"/>
      <c r="E7105" s="8" t="n"/>
      <c r="F7105" s="8" t="n"/>
      <c r="G7105" s="8" t="n"/>
      <c r="H7105" s="8" t="n"/>
      <c r="I7105" s="8" t="n"/>
      <c r="J7105" s="8" t="n"/>
      <c r="K7105" s="8" t="n"/>
      <c r="L7105" s="8" t="n"/>
      <c r="M7105" s="9">
        <f>B7105+30</f>
        <v/>
      </c>
      <c r="N7105">
        <f>IF(L7105="", "", L7105-B7105)</f>
        <v/>
      </c>
      <c r="O7105">
        <f>IF(L7105="", "Pending", IF(N7105&lt;=30, "Met", "Breached"))</f>
        <v/>
      </c>
      <c r="P7105" s="8" t="n"/>
      <c r="Q7105" s="8" t="n"/>
      <c r="R7105" s="8" t="n"/>
      <c r="S7105" s="8" t="n"/>
      <c r="T7105" s="8" t="n"/>
      <c r="U7105" s="8" t="n"/>
      <c r="V7105" s="8" t="n"/>
      <c r="W7105" s="8" t="n"/>
      <c r="X7105" s="8" t="n"/>
      <c r="Y7105" s="8" t="n"/>
    </row>
    <row r="7106">
      <c r="A7106" s="8" t="n"/>
      <c r="B7106" s="8" t="n"/>
      <c r="C7106" s="8" t="n"/>
      <c r="D7106" s="8" t="n"/>
      <c r="E7106" s="8" t="n"/>
      <c r="F7106" s="8" t="n"/>
      <c r="G7106" s="8" t="n"/>
      <c r="H7106" s="8" t="n"/>
      <c r="I7106" s="8" t="n"/>
      <c r="J7106" s="8" t="n"/>
      <c r="K7106" s="8" t="n"/>
      <c r="L7106" s="8" t="n"/>
      <c r="M7106" s="9">
        <f>B7106+30</f>
        <v/>
      </c>
      <c r="N7106">
        <f>IF(L7106="", "", L7106-B7106)</f>
        <v/>
      </c>
      <c r="O7106">
        <f>IF(L7106="", "Pending", IF(N7106&lt;=30, "Met", "Breached"))</f>
        <v/>
      </c>
      <c r="P7106" s="8" t="n"/>
      <c r="Q7106" s="8" t="n"/>
      <c r="R7106" s="8" t="n"/>
      <c r="S7106" s="8" t="n"/>
      <c r="T7106" s="8" t="n"/>
      <c r="U7106" s="8" t="n"/>
      <c r="V7106" s="8" t="n"/>
      <c r="W7106" s="8" t="n"/>
      <c r="X7106" s="8" t="n"/>
      <c r="Y7106" s="8" t="n"/>
    </row>
    <row r="7107">
      <c r="A7107" s="8" t="n"/>
      <c r="B7107" s="8" t="n"/>
      <c r="C7107" s="8" t="n"/>
      <c r="D7107" s="8" t="n"/>
      <c r="E7107" s="8" t="n"/>
      <c r="F7107" s="8" t="n"/>
      <c r="G7107" s="8" t="n"/>
      <c r="H7107" s="8" t="n"/>
      <c r="I7107" s="8" t="n"/>
      <c r="J7107" s="8" t="n"/>
      <c r="K7107" s="8" t="n"/>
      <c r="L7107" s="8" t="n"/>
      <c r="M7107" s="9">
        <f>B7107+30</f>
        <v/>
      </c>
      <c r="N7107">
        <f>IF(L7107="", "", L7107-B7107)</f>
        <v/>
      </c>
      <c r="O7107">
        <f>IF(L7107="", "Pending", IF(N7107&lt;=30, "Met", "Breached"))</f>
        <v/>
      </c>
      <c r="P7107" s="8" t="n"/>
      <c r="Q7107" s="8" t="n"/>
      <c r="R7107" s="8" t="n"/>
      <c r="S7107" s="8" t="n"/>
      <c r="T7107" s="8" t="n"/>
      <c r="U7107" s="8" t="n"/>
      <c r="V7107" s="8" t="n"/>
      <c r="W7107" s="8" t="n"/>
      <c r="X7107" s="8" t="n"/>
      <c r="Y7107" s="8" t="n"/>
    </row>
    <row r="7108">
      <c r="A7108" s="8" t="n"/>
      <c r="B7108" s="8" t="n"/>
      <c r="C7108" s="8" t="n"/>
      <c r="D7108" s="8" t="n"/>
      <c r="E7108" s="8" t="n"/>
      <c r="F7108" s="8" t="n"/>
      <c r="G7108" s="8" t="n"/>
      <c r="H7108" s="8" t="n"/>
      <c r="I7108" s="8" t="n"/>
      <c r="J7108" s="8" t="n"/>
      <c r="K7108" s="8" t="n"/>
      <c r="L7108" s="8" t="n"/>
      <c r="M7108" s="9">
        <f>B7108+30</f>
        <v/>
      </c>
      <c r="N7108">
        <f>IF(L7108="", "", L7108-B7108)</f>
        <v/>
      </c>
      <c r="O7108">
        <f>IF(L7108="", "Pending", IF(N7108&lt;=30, "Met", "Breached"))</f>
        <v/>
      </c>
      <c r="P7108" s="8" t="n"/>
      <c r="Q7108" s="8" t="n"/>
      <c r="R7108" s="8" t="n"/>
      <c r="S7108" s="8" t="n"/>
      <c r="T7108" s="8" t="n"/>
      <c r="U7108" s="8" t="n"/>
      <c r="V7108" s="8" t="n"/>
      <c r="W7108" s="8" t="n"/>
      <c r="X7108" s="8" t="n"/>
      <c r="Y7108" s="8" t="n"/>
    </row>
    <row r="7109">
      <c r="A7109" s="8" t="n"/>
      <c r="B7109" s="8" t="n"/>
      <c r="C7109" s="8" t="n"/>
      <c r="D7109" s="8" t="n"/>
      <c r="E7109" s="8" t="n"/>
      <c r="F7109" s="8" t="n"/>
      <c r="G7109" s="8" t="n"/>
      <c r="H7109" s="8" t="n"/>
      <c r="I7109" s="8" t="n"/>
      <c r="J7109" s="8" t="n"/>
      <c r="K7109" s="8" t="n"/>
      <c r="L7109" s="8" t="n"/>
      <c r="M7109" s="9">
        <f>B7109+30</f>
        <v/>
      </c>
      <c r="N7109">
        <f>IF(L7109="", "", L7109-B7109)</f>
        <v/>
      </c>
      <c r="O7109">
        <f>IF(L7109="", "Pending", IF(N7109&lt;=30, "Met", "Breached"))</f>
        <v/>
      </c>
      <c r="P7109" s="8" t="n"/>
      <c r="Q7109" s="8" t="n"/>
      <c r="R7109" s="8" t="n"/>
      <c r="S7109" s="8" t="n"/>
      <c r="T7109" s="8" t="n"/>
      <c r="U7109" s="8" t="n"/>
      <c r="V7109" s="8" t="n"/>
      <c r="W7109" s="8" t="n"/>
      <c r="X7109" s="8" t="n"/>
      <c r="Y7109" s="8" t="n"/>
    </row>
    <row r="7110">
      <c r="A7110" s="8" t="n"/>
      <c r="B7110" s="8" t="n"/>
      <c r="C7110" s="8" t="n"/>
      <c r="D7110" s="8" t="n"/>
      <c r="E7110" s="8" t="n"/>
      <c r="F7110" s="8" t="n"/>
      <c r="G7110" s="8" t="n"/>
      <c r="H7110" s="8" t="n"/>
      <c r="I7110" s="8" t="n"/>
      <c r="J7110" s="8" t="n"/>
      <c r="K7110" s="8" t="n"/>
      <c r="L7110" s="8" t="n"/>
      <c r="M7110" s="9">
        <f>B7110+30</f>
        <v/>
      </c>
      <c r="N7110">
        <f>IF(L7110="", "", L7110-B7110)</f>
        <v/>
      </c>
      <c r="O7110">
        <f>IF(L7110="", "Pending", IF(N7110&lt;=30, "Met", "Breached"))</f>
        <v/>
      </c>
      <c r="P7110" s="8" t="n"/>
      <c r="Q7110" s="8" t="n"/>
      <c r="R7110" s="8" t="n"/>
      <c r="S7110" s="8" t="n"/>
      <c r="T7110" s="8" t="n"/>
      <c r="U7110" s="8" t="n"/>
      <c r="V7110" s="8" t="n"/>
      <c r="W7110" s="8" t="n"/>
      <c r="X7110" s="8" t="n"/>
      <c r="Y7110" s="8" t="n"/>
    </row>
    <row r="7111">
      <c r="A7111" s="8" t="n"/>
      <c r="B7111" s="8" t="n"/>
      <c r="C7111" s="8" t="n"/>
      <c r="D7111" s="8" t="n"/>
      <c r="E7111" s="8" t="n"/>
      <c r="F7111" s="8" t="n"/>
      <c r="G7111" s="8" t="n"/>
      <c r="H7111" s="8" t="n"/>
      <c r="I7111" s="8" t="n"/>
      <c r="J7111" s="8" t="n"/>
      <c r="K7111" s="8" t="n"/>
      <c r="L7111" s="8" t="n"/>
      <c r="M7111" s="9">
        <f>B7111+30</f>
        <v/>
      </c>
      <c r="N7111">
        <f>IF(L7111="", "", L7111-B7111)</f>
        <v/>
      </c>
      <c r="O7111">
        <f>IF(L7111="", "Pending", IF(N7111&lt;=30, "Met", "Breached"))</f>
        <v/>
      </c>
      <c r="P7111" s="8" t="n"/>
      <c r="Q7111" s="8" t="n"/>
      <c r="R7111" s="8" t="n"/>
      <c r="S7111" s="8" t="n"/>
      <c r="T7111" s="8" t="n"/>
      <c r="U7111" s="8" t="n"/>
      <c r="V7111" s="8" t="n"/>
      <c r="W7111" s="8" t="n"/>
      <c r="X7111" s="8" t="n"/>
      <c r="Y7111" s="8" t="n"/>
    </row>
    <row r="7112">
      <c r="A7112" s="8" t="n"/>
      <c r="B7112" s="8" t="n"/>
      <c r="C7112" s="8" t="n"/>
      <c r="D7112" s="8" t="n"/>
      <c r="E7112" s="8" t="n"/>
      <c r="F7112" s="8" t="n"/>
      <c r="G7112" s="8" t="n"/>
      <c r="H7112" s="8" t="n"/>
      <c r="I7112" s="8" t="n"/>
      <c r="J7112" s="8" t="n"/>
      <c r="K7112" s="8" t="n"/>
      <c r="L7112" s="8" t="n"/>
      <c r="M7112" s="9">
        <f>B7112+30</f>
        <v/>
      </c>
      <c r="N7112">
        <f>IF(L7112="", "", L7112-B7112)</f>
        <v/>
      </c>
      <c r="O7112">
        <f>IF(L7112="", "Pending", IF(N7112&lt;=30, "Met", "Breached"))</f>
        <v/>
      </c>
      <c r="P7112" s="8" t="n"/>
      <c r="Q7112" s="8" t="n"/>
      <c r="R7112" s="8" t="n"/>
      <c r="S7112" s="8" t="n"/>
      <c r="T7112" s="8" t="n"/>
      <c r="U7112" s="8" t="n"/>
      <c r="V7112" s="8" t="n"/>
      <c r="W7112" s="8" t="n"/>
      <c r="X7112" s="8" t="n"/>
      <c r="Y7112" s="8" t="n"/>
    </row>
    <row r="7113">
      <c r="A7113" s="8" t="n"/>
      <c r="B7113" s="8" t="n"/>
      <c r="C7113" s="8" t="n"/>
      <c r="D7113" s="8" t="n"/>
      <c r="E7113" s="8" t="n"/>
      <c r="F7113" s="8" t="n"/>
      <c r="G7113" s="8" t="n"/>
      <c r="H7113" s="8" t="n"/>
      <c r="I7113" s="8" t="n"/>
      <c r="J7113" s="8" t="n"/>
      <c r="K7113" s="8" t="n"/>
      <c r="L7113" s="8" t="n"/>
      <c r="M7113" s="9">
        <f>B7113+30</f>
        <v/>
      </c>
      <c r="N7113">
        <f>IF(L7113="", "", L7113-B7113)</f>
        <v/>
      </c>
      <c r="O7113">
        <f>IF(L7113="", "Pending", IF(N7113&lt;=30, "Met", "Breached"))</f>
        <v/>
      </c>
      <c r="P7113" s="8" t="n"/>
      <c r="Q7113" s="8" t="n"/>
      <c r="R7113" s="8" t="n"/>
      <c r="S7113" s="8" t="n"/>
      <c r="T7113" s="8" t="n"/>
      <c r="U7113" s="8" t="n"/>
      <c r="V7113" s="8" t="n"/>
      <c r="W7113" s="8" t="n"/>
      <c r="X7113" s="8" t="n"/>
      <c r="Y7113" s="8" t="n"/>
    </row>
    <row r="7114">
      <c r="A7114" s="8" t="n"/>
      <c r="B7114" s="8" t="n"/>
      <c r="C7114" s="8" t="n"/>
      <c r="D7114" s="8" t="n"/>
      <c r="E7114" s="8" t="n"/>
      <c r="F7114" s="8" t="n"/>
      <c r="G7114" s="8" t="n"/>
      <c r="H7114" s="8" t="n"/>
      <c r="I7114" s="8" t="n"/>
      <c r="J7114" s="8" t="n"/>
      <c r="K7114" s="8" t="n"/>
      <c r="L7114" s="8" t="n"/>
      <c r="M7114" s="9">
        <f>B7114+30</f>
        <v/>
      </c>
      <c r="N7114">
        <f>IF(L7114="", "", L7114-B7114)</f>
        <v/>
      </c>
      <c r="O7114">
        <f>IF(L7114="", "Pending", IF(N7114&lt;=30, "Met", "Breached"))</f>
        <v/>
      </c>
      <c r="P7114" s="8" t="n"/>
      <c r="Q7114" s="8" t="n"/>
      <c r="R7114" s="8" t="n"/>
      <c r="S7114" s="8" t="n"/>
      <c r="T7114" s="8" t="n"/>
      <c r="U7114" s="8" t="n"/>
      <c r="V7114" s="8" t="n"/>
      <c r="W7114" s="8" t="n"/>
      <c r="X7114" s="8" t="n"/>
      <c r="Y7114" s="8" t="n"/>
    </row>
    <row r="7115">
      <c r="A7115" s="8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8" t="n"/>
      <c r="K7115" s="8" t="n"/>
      <c r="L7115" s="8" t="n"/>
      <c r="M7115" s="9">
        <f>B7115+30</f>
        <v/>
      </c>
      <c r="N7115">
        <f>IF(L7115="", "", L7115-B7115)</f>
        <v/>
      </c>
      <c r="O7115">
        <f>IF(L7115="", "Pending", IF(N7115&lt;=30, "Met", "Breached"))</f>
        <v/>
      </c>
      <c r="P7115" s="8" t="n"/>
      <c r="Q7115" s="8" t="n"/>
      <c r="R7115" s="8" t="n"/>
      <c r="S7115" s="8" t="n"/>
      <c r="T7115" s="8" t="n"/>
      <c r="U7115" s="8" t="n"/>
      <c r="V7115" s="8" t="n"/>
      <c r="W7115" s="8" t="n"/>
      <c r="X7115" s="8" t="n"/>
      <c r="Y7115" s="8" t="n"/>
    </row>
    <row r="7116">
      <c r="A7116" s="8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8" t="n"/>
      <c r="K7116" s="8" t="n"/>
      <c r="L7116" s="8" t="n"/>
      <c r="M7116" s="9">
        <f>B7116+30</f>
        <v/>
      </c>
      <c r="N7116">
        <f>IF(L7116="", "", L7116-B7116)</f>
        <v/>
      </c>
      <c r="O7116">
        <f>IF(L7116="", "Pending", IF(N7116&lt;=30, "Met", "Breached"))</f>
        <v/>
      </c>
      <c r="P7116" s="8" t="n"/>
      <c r="Q7116" s="8" t="n"/>
      <c r="R7116" s="8" t="n"/>
      <c r="S7116" s="8" t="n"/>
      <c r="T7116" s="8" t="n"/>
      <c r="U7116" s="8" t="n"/>
      <c r="V7116" s="8" t="n"/>
      <c r="W7116" s="8" t="n"/>
      <c r="X7116" s="8" t="n"/>
      <c r="Y7116" s="8" t="n"/>
    </row>
    <row r="7117">
      <c r="A7117" s="8" t="n"/>
      <c r="B7117" s="8" t="n"/>
      <c r="C7117" s="8" t="n"/>
      <c r="D7117" s="8" t="n"/>
      <c r="E7117" s="8" t="n"/>
      <c r="F7117" s="8" t="n"/>
      <c r="G7117" s="8" t="n"/>
      <c r="H7117" s="8" t="n"/>
      <c r="I7117" s="8" t="n"/>
      <c r="J7117" s="8" t="n"/>
      <c r="K7117" s="8" t="n"/>
      <c r="L7117" s="8" t="n"/>
      <c r="M7117" s="9">
        <f>B7117+30</f>
        <v/>
      </c>
      <c r="N7117">
        <f>IF(L7117="", "", L7117-B7117)</f>
        <v/>
      </c>
      <c r="O7117">
        <f>IF(L7117="", "Pending", IF(N7117&lt;=30, "Met", "Breached"))</f>
        <v/>
      </c>
      <c r="P7117" s="8" t="n"/>
      <c r="Q7117" s="8" t="n"/>
      <c r="R7117" s="8" t="n"/>
      <c r="S7117" s="8" t="n"/>
      <c r="T7117" s="8" t="n"/>
      <c r="U7117" s="8" t="n"/>
      <c r="V7117" s="8" t="n"/>
      <c r="W7117" s="8" t="n"/>
      <c r="X7117" s="8" t="n"/>
      <c r="Y7117" s="8" t="n"/>
    </row>
    <row r="7118">
      <c r="A7118" s="8" t="n"/>
      <c r="B7118" s="8" t="n"/>
      <c r="C7118" s="8" t="n"/>
      <c r="D7118" s="8" t="n"/>
      <c r="E7118" s="8" t="n"/>
      <c r="F7118" s="8" t="n"/>
      <c r="G7118" s="8" t="n"/>
      <c r="H7118" s="8" t="n"/>
      <c r="I7118" s="8" t="n"/>
      <c r="J7118" s="8" t="n"/>
      <c r="K7118" s="8" t="n"/>
      <c r="L7118" s="8" t="n"/>
      <c r="M7118" s="9">
        <f>B7118+30</f>
        <v/>
      </c>
      <c r="N7118">
        <f>IF(L7118="", "", L7118-B7118)</f>
        <v/>
      </c>
      <c r="O7118">
        <f>IF(L7118="", "Pending", IF(N7118&lt;=30, "Met", "Breached"))</f>
        <v/>
      </c>
      <c r="P7118" s="8" t="n"/>
      <c r="Q7118" s="8" t="n"/>
      <c r="R7118" s="8" t="n"/>
      <c r="S7118" s="8" t="n"/>
      <c r="T7118" s="8" t="n"/>
      <c r="U7118" s="8" t="n"/>
      <c r="V7118" s="8" t="n"/>
      <c r="W7118" s="8" t="n"/>
      <c r="X7118" s="8" t="n"/>
      <c r="Y7118" s="8" t="n"/>
    </row>
    <row r="7119">
      <c r="A7119" s="8" t="n"/>
      <c r="B7119" s="8" t="n"/>
      <c r="C7119" s="8" t="n"/>
      <c r="D7119" s="8" t="n"/>
      <c r="E7119" s="8" t="n"/>
      <c r="F7119" s="8" t="n"/>
      <c r="G7119" s="8" t="n"/>
      <c r="H7119" s="8" t="n"/>
      <c r="I7119" s="8" t="n"/>
      <c r="J7119" s="8" t="n"/>
      <c r="K7119" s="8" t="n"/>
      <c r="L7119" s="8" t="n"/>
      <c r="M7119" s="9">
        <f>B7119+30</f>
        <v/>
      </c>
      <c r="N7119">
        <f>IF(L7119="", "", L7119-B7119)</f>
        <v/>
      </c>
      <c r="O7119">
        <f>IF(L7119="", "Pending", IF(N7119&lt;=30, "Met", "Breached"))</f>
        <v/>
      </c>
      <c r="P7119" s="8" t="n"/>
      <c r="Q7119" s="8" t="n"/>
      <c r="R7119" s="8" t="n"/>
      <c r="S7119" s="8" t="n"/>
      <c r="T7119" s="8" t="n"/>
      <c r="U7119" s="8" t="n"/>
      <c r="V7119" s="8" t="n"/>
      <c r="W7119" s="8" t="n"/>
      <c r="X7119" s="8" t="n"/>
      <c r="Y7119" s="8" t="n"/>
    </row>
    <row r="7120">
      <c r="A7120" s="8" t="n"/>
      <c r="B7120" s="8" t="n"/>
      <c r="C7120" s="8" t="n"/>
      <c r="D7120" s="8" t="n"/>
      <c r="E7120" s="8" t="n"/>
      <c r="F7120" s="8" t="n"/>
      <c r="G7120" s="8" t="n"/>
      <c r="H7120" s="8" t="n"/>
      <c r="I7120" s="8" t="n"/>
      <c r="J7120" s="8" t="n"/>
      <c r="K7120" s="8" t="n"/>
      <c r="L7120" s="8" t="n"/>
      <c r="M7120" s="9">
        <f>B7120+30</f>
        <v/>
      </c>
      <c r="N7120">
        <f>IF(L7120="", "", L7120-B7120)</f>
        <v/>
      </c>
      <c r="O7120">
        <f>IF(L7120="", "Pending", IF(N7120&lt;=30, "Met", "Breached"))</f>
        <v/>
      </c>
      <c r="P7120" s="8" t="n"/>
      <c r="Q7120" s="8" t="n"/>
      <c r="R7120" s="8" t="n"/>
      <c r="S7120" s="8" t="n"/>
      <c r="T7120" s="8" t="n"/>
      <c r="U7120" s="8" t="n"/>
      <c r="V7120" s="8" t="n"/>
      <c r="W7120" s="8" t="n"/>
      <c r="X7120" s="8" t="n"/>
      <c r="Y7120" s="8" t="n"/>
    </row>
    <row r="7121">
      <c r="A7121" s="8" t="n"/>
      <c r="B7121" s="8" t="n"/>
      <c r="C7121" s="8" t="n"/>
      <c r="D7121" s="8" t="n"/>
      <c r="E7121" s="8" t="n"/>
      <c r="F7121" s="8" t="n"/>
      <c r="G7121" s="8" t="n"/>
      <c r="H7121" s="8" t="n"/>
      <c r="I7121" s="8" t="n"/>
      <c r="J7121" s="8" t="n"/>
      <c r="K7121" s="8" t="n"/>
      <c r="L7121" s="8" t="n"/>
      <c r="M7121" s="9">
        <f>B7121+30</f>
        <v/>
      </c>
      <c r="N7121">
        <f>IF(L7121="", "", L7121-B7121)</f>
        <v/>
      </c>
      <c r="O7121">
        <f>IF(L7121="", "Pending", IF(N7121&lt;=30, "Met", "Breached"))</f>
        <v/>
      </c>
      <c r="P7121" s="8" t="n"/>
      <c r="Q7121" s="8" t="n"/>
      <c r="R7121" s="8" t="n"/>
      <c r="S7121" s="8" t="n"/>
      <c r="T7121" s="8" t="n"/>
      <c r="U7121" s="8" t="n"/>
      <c r="V7121" s="8" t="n"/>
      <c r="W7121" s="8" t="n"/>
      <c r="X7121" s="8" t="n"/>
      <c r="Y7121" s="8" t="n"/>
    </row>
    <row r="7122">
      <c r="A7122" s="8" t="n"/>
      <c r="B7122" s="8" t="n"/>
      <c r="C7122" s="8" t="n"/>
      <c r="D7122" s="8" t="n"/>
      <c r="E7122" s="8" t="n"/>
      <c r="F7122" s="8" t="n"/>
      <c r="G7122" s="8" t="n"/>
      <c r="H7122" s="8" t="n"/>
      <c r="I7122" s="8" t="n"/>
      <c r="J7122" s="8" t="n"/>
      <c r="K7122" s="8" t="n"/>
      <c r="L7122" s="8" t="n"/>
      <c r="M7122" s="9">
        <f>B7122+30</f>
        <v/>
      </c>
      <c r="N7122">
        <f>IF(L7122="", "", L7122-B7122)</f>
        <v/>
      </c>
      <c r="O7122">
        <f>IF(L7122="", "Pending", IF(N7122&lt;=30, "Met", "Breached"))</f>
        <v/>
      </c>
      <c r="P7122" s="8" t="n"/>
      <c r="Q7122" s="8" t="n"/>
      <c r="R7122" s="8" t="n"/>
      <c r="S7122" s="8" t="n"/>
      <c r="T7122" s="8" t="n"/>
      <c r="U7122" s="8" t="n"/>
      <c r="V7122" s="8" t="n"/>
      <c r="W7122" s="8" t="n"/>
      <c r="X7122" s="8" t="n"/>
      <c r="Y7122" s="8" t="n"/>
    </row>
    <row r="7123">
      <c r="A7123" s="8" t="n"/>
      <c r="B7123" s="8" t="n"/>
      <c r="C7123" s="8" t="n"/>
      <c r="D7123" s="8" t="n"/>
      <c r="E7123" s="8" t="n"/>
      <c r="F7123" s="8" t="n"/>
      <c r="G7123" s="8" t="n"/>
      <c r="H7123" s="8" t="n"/>
      <c r="I7123" s="8" t="n"/>
      <c r="J7123" s="8" t="n"/>
      <c r="K7123" s="8" t="n"/>
      <c r="L7123" s="8" t="n"/>
      <c r="M7123" s="9">
        <f>B7123+30</f>
        <v/>
      </c>
      <c r="N7123">
        <f>IF(L7123="", "", L7123-B7123)</f>
        <v/>
      </c>
      <c r="O7123">
        <f>IF(L7123="", "Pending", IF(N7123&lt;=30, "Met", "Breached"))</f>
        <v/>
      </c>
      <c r="P7123" s="8" t="n"/>
      <c r="Q7123" s="8" t="n"/>
      <c r="R7123" s="8" t="n"/>
      <c r="S7123" s="8" t="n"/>
      <c r="T7123" s="8" t="n"/>
      <c r="U7123" s="8" t="n"/>
      <c r="V7123" s="8" t="n"/>
      <c r="W7123" s="8" t="n"/>
      <c r="X7123" s="8" t="n"/>
      <c r="Y7123" s="8" t="n"/>
    </row>
    <row r="7124">
      <c r="A7124" s="8" t="n"/>
      <c r="B7124" s="8" t="n"/>
      <c r="C7124" s="8" t="n"/>
      <c r="D7124" s="8" t="n"/>
      <c r="E7124" s="8" t="n"/>
      <c r="F7124" s="8" t="n"/>
      <c r="G7124" s="8" t="n"/>
      <c r="H7124" s="8" t="n"/>
      <c r="I7124" s="8" t="n"/>
      <c r="J7124" s="8" t="n"/>
      <c r="K7124" s="8" t="n"/>
      <c r="L7124" s="8" t="n"/>
      <c r="M7124" s="9">
        <f>B7124+30</f>
        <v/>
      </c>
      <c r="N7124">
        <f>IF(L7124="", "", L7124-B7124)</f>
        <v/>
      </c>
      <c r="O7124">
        <f>IF(L7124="", "Pending", IF(N7124&lt;=30, "Met", "Breached"))</f>
        <v/>
      </c>
      <c r="P7124" s="8" t="n"/>
      <c r="Q7124" s="8" t="n"/>
      <c r="R7124" s="8" t="n"/>
      <c r="S7124" s="8" t="n"/>
      <c r="T7124" s="8" t="n"/>
      <c r="U7124" s="8" t="n"/>
      <c r="V7124" s="8" t="n"/>
      <c r="W7124" s="8" t="n"/>
      <c r="X7124" s="8" t="n"/>
      <c r="Y7124" s="8" t="n"/>
    </row>
    <row r="7125">
      <c r="A7125" s="8" t="n"/>
      <c r="B7125" s="8" t="n"/>
      <c r="C7125" s="8" t="n"/>
      <c r="D7125" s="8" t="n"/>
      <c r="E7125" s="8" t="n"/>
      <c r="F7125" s="8" t="n"/>
      <c r="G7125" s="8" t="n"/>
      <c r="H7125" s="8" t="n"/>
      <c r="I7125" s="8" t="n"/>
      <c r="J7125" s="8" t="n"/>
      <c r="K7125" s="8" t="n"/>
      <c r="L7125" s="8" t="n"/>
      <c r="M7125" s="9">
        <f>B7125+30</f>
        <v/>
      </c>
      <c r="N7125">
        <f>IF(L7125="", "", L7125-B7125)</f>
        <v/>
      </c>
      <c r="O7125">
        <f>IF(L7125="", "Pending", IF(N7125&lt;=30, "Met", "Breached"))</f>
        <v/>
      </c>
      <c r="P7125" s="8" t="n"/>
      <c r="Q7125" s="8" t="n"/>
      <c r="R7125" s="8" t="n"/>
      <c r="S7125" s="8" t="n"/>
      <c r="T7125" s="8" t="n"/>
      <c r="U7125" s="8" t="n"/>
      <c r="V7125" s="8" t="n"/>
      <c r="W7125" s="8" t="n"/>
      <c r="X7125" s="8" t="n"/>
      <c r="Y7125" s="8" t="n"/>
    </row>
    <row r="7126">
      <c r="A7126" s="8" t="n"/>
      <c r="B7126" s="8" t="n"/>
      <c r="C7126" s="8" t="n"/>
      <c r="D7126" s="8" t="n"/>
      <c r="E7126" s="8" t="n"/>
      <c r="F7126" s="8" t="n"/>
      <c r="G7126" s="8" t="n"/>
      <c r="H7126" s="8" t="n"/>
      <c r="I7126" s="8" t="n"/>
      <c r="J7126" s="8" t="n"/>
      <c r="K7126" s="8" t="n"/>
      <c r="L7126" s="8" t="n"/>
      <c r="M7126" s="9">
        <f>B7126+30</f>
        <v/>
      </c>
      <c r="N7126">
        <f>IF(L7126="", "", L7126-B7126)</f>
        <v/>
      </c>
      <c r="O7126">
        <f>IF(L7126="", "Pending", IF(N7126&lt;=30, "Met", "Breached"))</f>
        <v/>
      </c>
      <c r="P7126" s="8" t="n"/>
      <c r="Q7126" s="8" t="n"/>
      <c r="R7126" s="8" t="n"/>
      <c r="S7126" s="8" t="n"/>
      <c r="T7126" s="8" t="n"/>
      <c r="U7126" s="8" t="n"/>
      <c r="V7126" s="8" t="n"/>
      <c r="W7126" s="8" t="n"/>
      <c r="X7126" s="8" t="n"/>
      <c r="Y7126" s="8" t="n"/>
    </row>
    <row r="7127">
      <c r="A7127" s="8" t="n"/>
      <c r="B7127" s="8" t="n"/>
      <c r="C7127" s="8" t="n"/>
      <c r="D7127" s="8" t="n"/>
      <c r="E7127" s="8" t="n"/>
      <c r="F7127" s="8" t="n"/>
      <c r="G7127" s="8" t="n"/>
      <c r="H7127" s="8" t="n"/>
      <c r="I7127" s="8" t="n"/>
      <c r="J7127" s="8" t="n"/>
      <c r="K7127" s="8" t="n"/>
      <c r="L7127" s="8" t="n"/>
      <c r="M7127" s="9">
        <f>B7127+30</f>
        <v/>
      </c>
      <c r="N7127">
        <f>IF(L7127="", "", L7127-B7127)</f>
        <v/>
      </c>
      <c r="O7127">
        <f>IF(L7127="", "Pending", IF(N7127&lt;=30, "Met", "Breached"))</f>
        <v/>
      </c>
      <c r="P7127" s="8" t="n"/>
      <c r="Q7127" s="8" t="n"/>
      <c r="R7127" s="8" t="n"/>
      <c r="S7127" s="8" t="n"/>
      <c r="T7127" s="8" t="n"/>
      <c r="U7127" s="8" t="n"/>
      <c r="V7127" s="8" t="n"/>
      <c r="W7127" s="8" t="n"/>
      <c r="X7127" s="8" t="n"/>
      <c r="Y7127" s="8" t="n"/>
    </row>
    <row r="7128">
      <c r="A7128" s="8" t="n"/>
      <c r="B7128" s="8" t="n"/>
      <c r="C7128" s="8" t="n"/>
      <c r="D7128" s="8" t="n"/>
      <c r="E7128" s="8" t="n"/>
      <c r="F7128" s="8" t="n"/>
      <c r="G7128" s="8" t="n"/>
      <c r="H7128" s="8" t="n"/>
      <c r="I7128" s="8" t="n"/>
      <c r="J7128" s="8" t="n"/>
      <c r="K7128" s="8" t="n"/>
      <c r="L7128" s="8" t="n"/>
      <c r="M7128" s="9">
        <f>B7128+30</f>
        <v/>
      </c>
      <c r="N7128">
        <f>IF(L7128="", "", L7128-B7128)</f>
        <v/>
      </c>
      <c r="O7128">
        <f>IF(L7128="", "Pending", IF(N7128&lt;=30, "Met", "Breached"))</f>
        <v/>
      </c>
      <c r="P7128" s="8" t="n"/>
      <c r="Q7128" s="8" t="n"/>
      <c r="R7128" s="8" t="n"/>
      <c r="S7128" s="8" t="n"/>
      <c r="T7128" s="8" t="n"/>
      <c r="U7128" s="8" t="n"/>
      <c r="V7128" s="8" t="n"/>
      <c r="W7128" s="8" t="n"/>
      <c r="X7128" s="8" t="n"/>
      <c r="Y7128" s="8" t="n"/>
    </row>
    <row r="7129">
      <c r="A7129" s="8" t="n"/>
      <c r="B7129" s="8" t="n"/>
      <c r="C7129" s="8" t="n"/>
      <c r="D7129" s="8" t="n"/>
      <c r="E7129" s="8" t="n"/>
      <c r="F7129" s="8" t="n"/>
      <c r="G7129" s="8" t="n"/>
      <c r="H7129" s="8" t="n"/>
      <c r="I7129" s="8" t="n"/>
      <c r="J7129" s="8" t="n"/>
      <c r="K7129" s="8" t="n"/>
      <c r="L7129" s="8" t="n"/>
      <c r="M7129" s="9">
        <f>B7129+30</f>
        <v/>
      </c>
      <c r="N7129">
        <f>IF(L7129="", "", L7129-B7129)</f>
        <v/>
      </c>
      <c r="O7129">
        <f>IF(L7129="", "Pending", IF(N7129&lt;=30, "Met", "Breached"))</f>
        <v/>
      </c>
      <c r="P7129" s="8" t="n"/>
      <c r="Q7129" s="8" t="n"/>
      <c r="R7129" s="8" t="n"/>
      <c r="S7129" s="8" t="n"/>
      <c r="T7129" s="8" t="n"/>
      <c r="U7129" s="8" t="n"/>
      <c r="V7129" s="8" t="n"/>
      <c r="W7129" s="8" t="n"/>
      <c r="X7129" s="8" t="n"/>
      <c r="Y7129" s="8" t="n"/>
    </row>
    <row r="7130">
      <c r="A7130" s="8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8" t="n"/>
      <c r="K7130" s="8" t="n"/>
      <c r="L7130" s="8" t="n"/>
      <c r="M7130" s="9">
        <f>B7130+30</f>
        <v/>
      </c>
      <c r="N7130">
        <f>IF(L7130="", "", L7130-B7130)</f>
        <v/>
      </c>
      <c r="O7130">
        <f>IF(L7130="", "Pending", IF(N7130&lt;=30, "Met", "Breached"))</f>
        <v/>
      </c>
      <c r="P7130" s="8" t="n"/>
      <c r="Q7130" s="8" t="n"/>
      <c r="R7130" s="8" t="n"/>
      <c r="S7130" s="8" t="n"/>
      <c r="T7130" s="8" t="n"/>
      <c r="U7130" s="8" t="n"/>
      <c r="V7130" s="8" t="n"/>
      <c r="W7130" s="8" t="n"/>
      <c r="X7130" s="8" t="n"/>
      <c r="Y7130" s="8" t="n"/>
    </row>
    <row r="7131">
      <c r="A7131" s="8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8" t="n"/>
      <c r="K7131" s="8" t="n"/>
      <c r="L7131" s="8" t="n"/>
      <c r="M7131" s="9">
        <f>B7131+30</f>
        <v/>
      </c>
      <c r="N7131">
        <f>IF(L7131="", "", L7131-B7131)</f>
        <v/>
      </c>
      <c r="O7131">
        <f>IF(L7131="", "Pending", IF(N7131&lt;=30, "Met", "Breached"))</f>
        <v/>
      </c>
      <c r="P7131" s="8" t="n"/>
      <c r="Q7131" s="8" t="n"/>
      <c r="R7131" s="8" t="n"/>
      <c r="S7131" s="8" t="n"/>
      <c r="T7131" s="8" t="n"/>
      <c r="U7131" s="8" t="n"/>
      <c r="V7131" s="8" t="n"/>
      <c r="W7131" s="8" t="n"/>
      <c r="X7131" s="8" t="n"/>
      <c r="Y7131" s="8" t="n"/>
    </row>
    <row r="7132">
      <c r="A7132" s="8" t="n"/>
      <c r="B7132" s="8" t="n"/>
      <c r="C7132" s="8" t="n"/>
      <c r="D7132" s="8" t="n"/>
      <c r="E7132" s="8" t="n"/>
      <c r="F7132" s="8" t="n"/>
      <c r="G7132" s="8" t="n"/>
      <c r="H7132" s="8" t="n"/>
      <c r="I7132" s="8" t="n"/>
      <c r="J7132" s="8" t="n"/>
      <c r="K7132" s="8" t="n"/>
      <c r="L7132" s="8" t="n"/>
      <c r="M7132" s="9">
        <f>B7132+30</f>
        <v/>
      </c>
      <c r="N7132">
        <f>IF(L7132="", "", L7132-B7132)</f>
        <v/>
      </c>
      <c r="O7132">
        <f>IF(L7132="", "Pending", IF(N7132&lt;=30, "Met", "Breached"))</f>
        <v/>
      </c>
      <c r="P7132" s="8" t="n"/>
      <c r="Q7132" s="8" t="n"/>
      <c r="R7132" s="8" t="n"/>
      <c r="S7132" s="8" t="n"/>
      <c r="T7132" s="8" t="n"/>
      <c r="U7132" s="8" t="n"/>
      <c r="V7132" s="8" t="n"/>
      <c r="W7132" s="8" t="n"/>
      <c r="X7132" s="8" t="n"/>
      <c r="Y7132" s="8" t="n"/>
    </row>
    <row r="7133">
      <c r="A7133" s="8" t="n"/>
      <c r="B7133" s="8" t="n"/>
      <c r="C7133" s="8" t="n"/>
      <c r="D7133" s="8" t="n"/>
      <c r="E7133" s="8" t="n"/>
      <c r="F7133" s="8" t="n"/>
      <c r="G7133" s="8" t="n"/>
      <c r="H7133" s="8" t="n"/>
      <c r="I7133" s="8" t="n"/>
      <c r="J7133" s="8" t="n"/>
      <c r="K7133" s="8" t="n"/>
      <c r="L7133" s="8" t="n"/>
      <c r="M7133" s="9">
        <f>B7133+30</f>
        <v/>
      </c>
      <c r="N7133">
        <f>IF(L7133="", "", L7133-B7133)</f>
        <v/>
      </c>
      <c r="O7133">
        <f>IF(L7133="", "Pending", IF(N7133&lt;=30, "Met", "Breached"))</f>
        <v/>
      </c>
      <c r="P7133" s="8" t="n"/>
      <c r="Q7133" s="8" t="n"/>
      <c r="R7133" s="8" t="n"/>
      <c r="S7133" s="8" t="n"/>
      <c r="T7133" s="8" t="n"/>
      <c r="U7133" s="8" t="n"/>
      <c r="V7133" s="8" t="n"/>
      <c r="W7133" s="8" t="n"/>
      <c r="X7133" s="8" t="n"/>
      <c r="Y7133" s="8" t="n"/>
    </row>
    <row r="7134">
      <c r="A7134" s="8" t="n"/>
      <c r="B7134" s="8" t="n"/>
      <c r="C7134" s="8" t="n"/>
      <c r="D7134" s="8" t="n"/>
      <c r="E7134" s="8" t="n"/>
      <c r="F7134" s="8" t="n"/>
      <c r="G7134" s="8" t="n"/>
      <c r="H7134" s="8" t="n"/>
      <c r="I7134" s="8" t="n"/>
      <c r="J7134" s="8" t="n"/>
      <c r="K7134" s="8" t="n"/>
      <c r="L7134" s="8" t="n"/>
      <c r="M7134" s="9">
        <f>B7134+30</f>
        <v/>
      </c>
      <c r="N7134">
        <f>IF(L7134="", "", L7134-B7134)</f>
        <v/>
      </c>
      <c r="O7134">
        <f>IF(L7134="", "Pending", IF(N7134&lt;=30, "Met", "Breached"))</f>
        <v/>
      </c>
      <c r="P7134" s="8" t="n"/>
      <c r="Q7134" s="8" t="n"/>
      <c r="R7134" s="8" t="n"/>
      <c r="S7134" s="8" t="n"/>
      <c r="T7134" s="8" t="n"/>
      <c r="U7134" s="8" t="n"/>
      <c r="V7134" s="8" t="n"/>
      <c r="W7134" s="8" t="n"/>
      <c r="X7134" s="8" t="n"/>
      <c r="Y7134" s="8" t="n"/>
    </row>
    <row r="7135">
      <c r="A7135" s="8" t="n"/>
      <c r="B7135" s="8" t="n"/>
      <c r="C7135" s="8" t="n"/>
      <c r="D7135" s="8" t="n"/>
      <c r="E7135" s="8" t="n"/>
      <c r="F7135" s="8" t="n"/>
      <c r="G7135" s="8" t="n"/>
      <c r="H7135" s="8" t="n"/>
      <c r="I7135" s="8" t="n"/>
      <c r="J7135" s="8" t="n"/>
      <c r="K7135" s="8" t="n"/>
      <c r="L7135" s="8" t="n"/>
      <c r="M7135" s="9">
        <f>B7135+30</f>
        <v/>
      </c>
      <c r="N7135">
        <f>IF(L7135="", "", L7135-B7135)</f>
        <v/>
      </c>
      <c r="O7135">
        <f>IF(L7135="", "Pending", IF(N7135&lt;=30, "Met", "Breached"))</f>
        <v/>
      </c>
      <c r="P7135" s="8" t="n"/>
      <c r="Q7135" s="8" t="n"/>
      <c r="R7135" s="8" t="n"/>
      <c r="S7135" s="8" t="n"/>
      <c r="T7135" s="8" t="n"/>
      <c r="U7135" s="8" t="n"/>
      <c r="V7135" s="8" t="n"/>
      <c r="W7135" s="8" t="n"/>
      <c r="X7135" s="8" t="n"/>
      <c r="Y7135" s="8" t="n"/>
    </row>
    <row r="7136">
      <c r="A7136" s="8" t="n"/>
      <c r="B7136" s="8" t="n"/>
      <c r="C7136" s="8" t="n"/>
      <c r="D7136" s="8" t="n"/>
      <c r="E7136" s="8" t="n"/>
      <c r="F7136" s="8" t="n"/>
      <c r="G7136" s="8" t="n"/>
      <c r="H7136" s="8" t="n"/>
      <c r="I7136" s="8" t="n"/>
      <c r="J7136" s="8" t="n"/>
      <c r="K7136" s="8" t="n"/>
      <c r="L7136" s="8" t="n"/>
      <c r="M7136" s="9">
        <f>B7136+30</f>
        <v/>
      </c>
      <c r="N7136">
        <f>IF(L7136="", "", L7136-B7136)</f>
        <v/>
      </c>
      <c r="O7136">
        <f>IF(L7136="", "Pending", IF(N7136&lt;=30, "Met", "Breached"))</f>
        <v/>
      </c>
      <c r="P7136" s="8" t="n"/>
      <c r="Q7136" s="8" t="n"/>
      <c r="R7136" s="8" t="n"/>
      <c r="S7136" s="8" t="n"/>
      <c r="T7136" s="8" t="n"/>
      <c r="U7136" s="8" t="n"/>
      <c r="V7136" s="8" t="n"/>
      <c r="W7136" s="8" t="n"/>
      <c r="X7136" s="8" t="n"/>
      <c r="Y7136" s="8" t="n"/>
    </row>
    <row r="7137">
      <c r="A7137" s="8" t="n"/>
      <c r="B7137" s="8" t="n"/>
      <c r="C7137" s="8" t="n"/>
      <c r="D7137" s="8" t="n"/>
      <c r="E7137" s="8" t="n"/>
      <c r="F7137" s="8" t="n"/>
      <c r="G7137" s="8" t="n"/>
      <c r="H7137" s="8" t="n"/>
      <c r="I7137" s="8" t="n"/>
      <c r="J7137" s="8" t="n"/>
      <c r="K7137" s="8" t="n"/>
      <c r="L7137" s="8" t="n"/>
      <c r="M7137" s="9">
        <f>B7137+30</f>
        <v/>
      </c>
      <c r="N7137">
        <f>IF(L7137="", "", L7137-B7137)</f>
        <v/>
      </c>
      <c r="O7137">
        <f>IF(L7137="", "Pending", IF(N7137&lt;=30, "Met", "Breached"))</f>
        <v/>
      </c>
      <c r="P7137" s="8" t="n"/>
      <c r="Q7137" s="8" t="n"/>
      <c r="R7137" s="8" t="n"/>
      <c r="S7137" s="8" t="n"/>
      <c r="T7137" s="8" t="n"/>
      <c r="U7137" s="8" t="n"/>
      <c r="V7137" s="8" t="n"/>
      <c r="W7137" s="8" t="n"/>
      <c r="X7137" s="8" t="n"/>
      <c r="Y7137" s="8" t="n"/>
    </row>
    <row r="7138">
      <c r="A7138" s="8" t="n"/>
      <c r="B7138" s="8" t="n"/>
      <c r="C7138" s="8" t="n"/>
      <c r="D7138" s="8" t="n"/>
      <c r="E7138" s="8" t="n"/>
      <c r="F7138" s="8" t="n"/>
      <c r="G7138" s="8" t="n"/>
      <c r="H7138" s="8" t="n"/>
      <c r="I7138" s="8" t="n"/>
      <c r="J7138" s="8" t="n"/>
      <c r="K7138" s="8" t="n"/>
      <c r="L7138" s="8" t="n"/>
      <c r="M7138" s="9">
        <f>B7138+30</f>
        <v/>
      </c>
      <c r="N7138">
        <f>IF(L7138="", "", L7138-B7138)</f>
        <v/>
      </c>
      <c r="O7138">
        <f>IF(L7138="", "Pending", IF(N7138&lt;=30, "Met", "Breached"))</f>
        <v/>
      </c>
      <c r="P7138" s="8" t="n"/>
      <c r="Q7138" s="8" t="n"/>
      <c r="R7138" s="8" t="n"/>
      <c r="S7138" s="8" t="n"/>
      <c r="T7138" s="8" t="n"/>
      <c r="U7138" s="8" t="n"/>
      <c r="V7138" s="8" t="n"/>
      <c r="W7138" s="8" t="n"/>
      <c r="X7138" s="8" t="n"/>
      <c r="Y7138" s="8" t="n"/>
    </row>
    <row r="7139">
      <c r="A7139" s="8" t="n"/>
      <c r="B7139" s="8" t="n"/>
      <c r="C7139" s="8" t="n"/>
      <c r="D7139" s="8" t="n"/>
      <c r="E7139" s="8" t="n"/>
      <c r="F7139" s="8" t="n"/>
      <c r="G7139" s="8" t="n"/>
      <c r="H7139" s="8" t="n"/>
      <c r="I7139" s="8" t="n"/>
      <c r="J7139" s="8" t="n"/>
      <c r="K7139" s="8" t="n"/>
      <c r="L7139" s="8" t="n"/>
      <c r="M7139" s="9">
        <f>B7139+30</f>
        <v/>
      </c>
      <c r="N7139">
        <f>IF(L7139="", "", L7139-B7139)</f>
        <v/>
      </c>
      <c r="O7139">
        <f>IF(L7139="", "Pending", IF(N7139&lt;=30, "Met", "Breached"))</f>
        <v/>
      </c>
      <c r="P7139" s="8" t="n"/>
      <c r="Q7139" s="8" t="n"/>
      <c r="R7139" s="8" t="n"/>
      <c r="S7139" s="8" t="n"/>
      <c r="T7139" s="8" t="n"/>
      <c r="U7139" s="8" t="n"/>
      <c r="V7139" s="8" t="n"/>
      <c r="W7139" s="8" t="n"/>
      <c r="X7139" s="8" t="n"/>
      <c r="Y7139" s="8" t="n"/>
    </row>
    <row r="7140">
      <c r="A7140" s="8" t="n"/>
      <c r="B7140" s="8" t="n"/>
      <c r="C7140" s="8" t="n"/>
      <c r="D7140" s="8" t="n"/>
      <c r="E7140" s="8" t="n"/>
      <c r="F7140" s="8" t="n"/>
      <c r="G7140" s="8" t="n"/>
      <c r="H7140" s="8" t="n"/>
      <c r="I7140" s="8" t="n"/>
      <c r="J7140" s="8" t="n"/>
      <c r="K7140" s="8" t="n"/>
      <c r="L7140" s="8" t="n"/>
      <c r="M7140" s="9">
        <f>B7140+30</f>
        <v/>
      </c>
      <c r="N7140">
        <f>IF(L7140="", "", L7140-B7140)</f>
        <v/>
      </c>
      <c r="O7140">
        <f>IF(L7140="", "Pending", IF(N7140&lt;=30, "Met", "Breached"))</f>
        <v/>
      </c>
      <c r="P7140" s="8" t="n"/>
      <c r="Q7140" s="8" t="n"/>
      <c r="R7140" s="8" t="n"/>
      <c r="S7140" s="8" t="n"/>
      <c r="T7140" s="8" t="n"/>
      <c r="U7140" s="8" t="n"/>
      <c r="V7140" s="8" t="n"/>
      <c r="W7140" s="8" t="n"/>
      <c r="X7140" s="8" t="n"/>
      <c r="Y7140" s="8" t="n"/>
    </row>
    <row r="7141">
      <c r="A7141" s="8" t="n"/>
      <c r="B7141" s="8" t="n"/>
      <c r="C7141" s="8" t="n"/>
      <c r="D7141" s="8" t="n"/>
      <c r="E7141" s="8" t="n"/>
      <c r="F7141" s="8" t="n"/>
      <c r="G7141" s="8" t="n"/>
      <c r="H7141" s="8" t="n"/>
      <c r="I7141" s="8" t="n"/>
      <c r="J7141" s="8" t="n"/>
      <c r="K7141" s="8" t="n"/>
      <c r="L7141" s="8" t="n"/>
      <c r="M7141" s="9">
        <f>B7141+30</f>
        <v/>
      </c>
      <c r="N7141">
        <f>IF(L7141="", "", L7141-B7141)</f>
        <v/>
      </c>
      <c r="O7141">
        <f>IF(L7141="", "Pending", IF(N7141&lt;=30, "Met", "Breached"))</f>
        <v/>
      </c>
      <c r="P7141" s="8" t="n"/>
      <c r="Q7141" s="8" t="n"/>
      <c r="R7141" s="8" t="n"/>
      <c r="S7141" s="8" t="n"/>
      <c r="T7141" s="8" t="n"/>
      <c r="U7141" s="8" t="n"/>
      <c r="V7141" s="8" t="n"/>
      <c r="W7141" s="8" t="n"/>
      <c r="X7141" s="8" t="n"/>
      <c r="Y7141" s="8" t="n"/>
    </row>
    <row r="7142">
      <c r="A7142" s="8" t="n"/>
      <c r="B7142" s="8" t="n"/>
      <c r="C7142" s="8" t="n"/>
      <c r="D7142" s="8" t="n"/>
      <c r="E7142" s="8" t="n"/>
      <c r="F7142" s="8" t="n"/>
      <c r="G7142" s="8" t="n"/>
      <c r="H7142" s="8" t="n"/>
      <c r="I7142" s="8" t="n"/>
      <c r="J7142" s="8" t="n"/>
      <c r="K7142" s="8" t="n"/>
      <c r="L7142" s="8" t="n"/>
      <c r="M7142" s="9">
        <f>B7142+30</f>
        <v/>
      </c>
      <c r="N7142">
        <f>IF(L7142="", "", L7142-B7142)</f>
        <v/>
      </c>
      <c r="O7142">
        <f>IF(L7142="", "Pending", IF(N7142&lt;=30, "Met", "Breached"))</f>
        <v/>
      </c>
      <c r="P7142" s="8" t="n"/>
      <c r="Q7142" s="8" t="n"/>
      <c r="R7142" s="8" t="n"/>
      <c r="S7142" s="8" t="n"/>
      <c r="T7142" s="8" t="n"/>
      <c r="U7142" s="8" t="n"/>
      <c r="V7142" s="8" t="n"/>
      <c r="W7142" s="8" t="n"/>
      <c r="X7142" s="8" t="n"/>
      <c r="Y7142" s="8" t="n"/>
    </row>
    <row r="7143">
      <c r="A7143" s="8" t="n"/>
      <c r="B7143" s="8" t="n"/>
      <c r="C7143" s="8" t="n"/>
      <c r="D7143" s="8" t="n"/>
      <c r="E7143" s="8" t="n"/>
      <c r="F7143" s="8" t="n"/>
      <c r="G7143" s="8" t="n"/>
      <c r="H7143" s="8" t="n"/>
      <c r="I7143" s="8" t="n"/>
      <c r="J7143" s="8" t="n"/>
      <c r="K7143" s="8" t="n"/>
      <c r="L7143" s="8" t="n"/>
      <c r="M7143" s="9">
        <f>B7143+30</f>
        <v/>
      </c>
      <c r="N7143">
        <f>IF(L7143="", "", L7143-B7143)</f>
        <v/>
      </c>
      <c r="O7143">
        <f>IF(L7143="", "Pending", IF(N7143&lt;=30, "Met", "Breached"))</f>
        <v/>
      </c>
      <c r="P7143" s="8" t="n"/>
      <c r="Q7143" s="8" t="n"/>
      <c r="R7143" s="8" t="n"/>
      <c r="S7143" s="8" t="n"/>
      <c r="T7143" s="8" t="n"/>
      <c r="U7143" s="8" t="n"/>
      <c r="V7143" s="8" t="n"/>
      <c r="W7143" s="8" t="n"/>
      <c r="X7143" s="8" t="n"/>
      <c r="Y7143" s="8" t="n"/>
    </row>
    <row r="7144">
      <c r="A7144" s="8" t="n"/>
      <c r="B7144" s="8" t="n"/>
      <c r="C7144" s="8" t="n"/>
      <c r="D7144" s="8" t="n"/>
      <c r="E7144" s="8" t="n"/>
      <c r="F7144" s="8" t="n"/>
      <c r="G7144" s="8" t="n"/>
      <c r="H7144" s="8" t="n"/>
      <c r="I7144" s="8" t="n"/>
      <c r="J7144" s="8" t="n"/>
      <c r="K7144" s="8" t="n"/>
      <c r="L7144" s="8" t="n"/>
      <c r="M7144" s="9">
        <f>B7144+30</f>
        <v/>
      </c>
      <c r="N7144">
        <f>IF(L7144="", "", L7144-B7144)</f>
        <v/>
      </c>
      <c r="O7144">
        <f>IF(L7144="", "Pending", IF(N7144&lt;=30, "Met", "Breached"))</f>
        <v/>
      </c>
      <c r="P7144" s="8" t="n"/>
      <c r="Q7144" s="8" t="n"/>
      <c r="R7144" s="8" t="n"/>
      <c r="S7144" s="8" t="n"/>
      <c r="T7144" s="8" t="n"/>
      <c r="U7144" s="8" t="n"/>
      <c r="V7144" s="8" t="n"/>
      <c r="W7144" s="8" t="n"/>
      <c r="X7144" s="8" t="n"/>
      <c r="Y7144" s="8" t="n"/>
    </row>
    <row r="7145">
      <c r="A7145" s="8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8" t="n"/>
      <c r="K7145" s="8" t="n"/>
      <c r="L7145" s="8" t="n"/>
      <c r="M7145" s="9">
        <f>B7145+30</f>
        <v/>
      </c>
      <c r="N7145">
        <f>IF(L7145="", "", L7145-B7145)</f>
        <v/>
      </c>
      <c r="O7145">
        <f>IF(L7145="", "Pending", IF(N7145&lt;=30, "Met", "Breached"))</f>
        <v/>
      </c>
      <c r="P7145" s="8" t="n"/>
      <c r="Q7145" s="8" t="n"/>
      <c r="R7145" s="8" t="n"/>
      <c r="S7145" s="8" t="n"/>
      <c r="T7145" s="8" t="n"/>
      <c r="U7145" s="8" t="n"/>
      <c r="V7145" s="8" t="n"/>
      <c r="W7145" s="8" t="n"/>
      <c r="X7145" s="8" t="n"/>
      <c r="Y7145" s="8" t="n"/>
    </row>
    <row r="7146">
      <c r="A7146" s="8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8" t="n"/>
      <c r="K7146" s="8" t="n"/>
      <c r="L7146" s="8" t="n"/>
      <c r="M7146" s="9">
        <f>B7146+30</f>
        <v/>
      </c>
      <c r="N7146">
        <f>IF(L7146="", "", L7146-B7146)</f>
        <v/>
      </c>
      <c r="O7146">
        <f>IF(L7146="", "Pending", IF(N7146&lt;=30, "Met", "Breached"))</f>
        <v/>
      </c>
      <c r="P7146" s="8" t="n"/>
      <c r="Q7146" s="8" t="n"/>
      <c r="R7146" s="8" t="n"/>
      <c r="S7146" s="8" t="n"/>
      <c r="T7146" s="8" t="n"/>
      <c r="U7146" s="8" t="n"/>
      <c r="V7146" s="8" t="n"/>
      <c r="W7146" s="8" t="n"/>
      <c r="X7146" s="8" t="n"/>
      <c r="Y7146" s="8" t="n"/>
    </row>
    <row r="7147">
      <c r="A7147" s="8" t="n"/>
      <c r="B7147" s="8" t="n"/>
      <c r="C7147" s="8" t="n"/>
      <c r="D7147" s="8" t="n"/>
      <c r="E7147" s="8" t="n"/>
      <c r="F7147" s="8" t="n"/>
      <c r="G7147" s="8" t="n"/>
      <c r="H7147" s="8" t="n"/>
      <c r="I7147" s="8" t="n"/>
      <c r="J7147" s="8" t="n"/>
      <c r="K7147" s="8" t="n"/>
      <c r="L7147" s="8" t="n"/>
      <c r="M7147" s="9">
        <f>B7147+30</f>
        <v/>
      </c>
      <c r="N7147">
        <f>IF(L7147="", "", L7147-B7147)</f>
        <v/>
      </c>
      <c r="O7147">
        <f>IF(L7147="", "Pending", IF(N7147&lt;=30, "Met", "Breached"))</f>
        <v/>
      </c>
      <c r="P7147" s="8" t="n"/>
      <c r="Q7147" s="8" t="n"/>
      <c r="R7147" s="8" t="n"/>
      <c r="S7147" s="8" t="n"/>
      <c r="T7147" s="8" t="n"/>
      <c r="U7147" s="8" t="n"/>
      <c r="V7147" s="8" t="n"/>
      <c r="W7147" s="8" t="n"/>
      <c r="X7147" s="8" t="n"/>
      <c r="Y7147" s="8" t="n"/>
    </row>
    <row r="7148">
      <c r="A7148" s="8" t="n"/>
      <c r="B7148" s="8" t="n"/>
      <c r="C7148" s="8" t="n"/>
      <c r="D7148" s="8" t="n"/>
      <c r="E7148" s="8" t="n"/>
      <c r="F7148" s="8" t="n"/>
      <c r="G7148" s="8" t="n"/>
      <c r="H7148" s="8" t="n"/>
      <c r="I7148" s="8" t="n"/>
      <c r="J7148" s="8" t="n"/>
      <c r="K7148" s="8" t="n"/>
      <c r="L7148" s="8" t="n"/>
      <c r="M7148" s="9">
        <f>B7148+30</f>
        <v/>
      </c>
      <c r="N7148">
        <f>IF(L7148="", "", L7148-B7148)</f>
        <v/>
      </c>
      <c r="O7148">
        <f>IF(L7148="", "Pending", IF(N7148&lt;=30, "Met", "Breached"))</f>
        <v/>
      </c>
      <c r="P7148" s="8" t="n"/>
      <c r="Q7148" s="8" t="n"/>
      <c r="R7148" s="8" t="n"/>
      <c r="S7148" s="8" t="n"/>
      <c r="T7148" s="8" t="n"/>
      <c r="U7148" s="8" t="n"/>
      <c r="V7148" s="8" t="n"/>
      <c r="W7148" s="8" t="n"/>
      <c r="X7148" s="8" t="n"/>
      <c r="Y7148" s="8" t="n"/>
    </row>
    <row r="7149">
      <c r="A7149" s="8" t="n"/>
      <c r="B7149" s="8" t="n"/>
      <c r="C7149" s="8" t="n"/>
      <c r="D7149" s="8" t="n"/>
      <c r="E7149" s="8" t="n"/>
      <c r="F7149" s="8" t="n"/>
      <c r="G7149" s="8" t="n"/>
      <c r="H7149" s="8" t="n"/>
      <c r="I7149" s="8" t="n"/>
      <c r="J7149" s="8" t="n"/>
      <c r="K7149" s="8" t="n"/>
      <c r="L7149" s="8" t="n"/>
      <c r="M7149" s="9">
        <f>B7149+30</f>
        <v/>
      </c>
      <c r="N7149">
        <f>IF(L7149="", "", L7149-B7149)</f>
        <v/>
      </c>
      <c r="O7149">
        <f>IF(L7149="", "Pending", IF(N7149&lt;=30, "Met", "Breached"))</f>
        <v/>
      </c>
      <c r="P7149" s="8" t="n"/>
      <c r="Q7149" s="8" t="n"/>
      <c r="R7149" s="8" t="n"/>
      <c r="S7149" s="8" t="n"/>
      <c r="T7149" s="8" t="n"/>
      <c r="U7149" s="8" t="n"/>
      <c r="V7149" s="8" t="n"/>
      <c r="W7149" s="8" t="n"/>
      <c r="X7149" s="8" t="n"/>
      <c r="Y7149" s="8" t="n"/>
    </row>
    <row r="7150">
      <c r="A7150" s="8" t="n"/>
      <c r="B7150" s="8" t="n"/>
      <c r="C7150" s="8" t="n"/>
      <c r="D7150" s="8" t="n"/>
      <c r="E7150" s="8" t="n"/>
      <c r="F7150" s="8" t="n"/>
      <c r="G7150" s="8" t="n"/>
      <c r="H7150" s="8" t="n"/>
      <c r="I7150" s="8" t="n"/>
      <c r="J7150" s="8" t="n"/>
      <c r="K7150" s="8" t="n"/>
      <c r="L7150" s="8" t="n"/>
      <c r="M7150" s="9">
        <f>B7150+30</f>
        <v/>
      </c>
      <c r="N7150">
        <f>IF(L7150="", "", L7150-B7150)</f>
        <v/>
      </c>
      <c r="O7150">
        <f>IF(L7150="", "Pending", IF(N7150&lt;=30, "Met", "Breached"))</f>
        <v/>
      </c>
      <c r="P7150" s="8" t="n"/>
      <c r="Q7150" s="8" t="n"/>
      <c r="R7150" s="8" t="n"/>
      <c r="S7150" s="8" t="n"/>
      <c r="T7150" s="8" t="n"/>
      <c r="U7150" s="8" t="n"/>
      <c r="V7150" s="8" t="n"/>
      <c r="W7150" s="8" t="n"/>
      <c r="X7150" s="8" t="n"/>
      <c r="Y7150" s="8" t="n"/>
    </row>
    <row r="7151">
      <c r="A7151" s="8" t="n"/>
      <c r="B7151" s="8" t="n"/>
      <c r="C7151" s="8" t="n"/>
      <c r="D7151" s="8" t="n"/>
      <c r="E7151" s="8" t="n"/>
      <c r="F7151" s="8" t="n"/>
      <c r="G7151" s="8" t="n"/>
      <c r="H7151" s="8" t="n"/>
      <c r="I7151" s="8" t="n"/>
      <c r="J7151" s="8" t="n"/>
      <c r="K7151" s="8" t="n"/>
      <c r="L7151" s="8" t="n"/>
      <c r="M7151" s="9">
        <f>B7151+30</f>
        <v/>
      </c>
      <c r="N7151">
        <f>IF(L7151="", "", L7151-B7151)</f>
        <v/>
      </c>
      <c r="O7151">
        <f>IF(L7151="", "Pending", IF(N7151&lt;=30, "Met", "Breached"))</f>
        <v/>
      </c>
      <c r="P7151" s="8" t="n"/>
      <c r="Q7151" s="8" t="n"/>
      <c r="R7151" s="8" t="n"/>
      <c r="S7151" s="8" t="n"/>
      <c r="T7151" s="8" t="n"/>
      <c r="U7151" s="8" t="n"/>
      <c r="V7151" s="8" t="n"/>
      <c r="W7151" s="8" t="n"/>
      <c r="X7151" s="8" t="n"/>
      <c r="Y7151" s="8" t="n"/>
    </row>
    <row r="7152">
      <c r="A7152" s="8" t="n"/>
      <c r="B7152" s="8" t="n"/>
      <c r="C7152" s="8" t="n"/>
      <c r="D7152" s="8" t="n"/>
      <c r="E7152" s="8" t="n"/>
      <c r="F7152" s="8" t="n"/>
      <c r="G7152" s="8" t="n"/>
      <c r="H7152" s="8" t="n"/>
      <c r="I7152" s="8" t="n"/>
      <c r="J7152" s="8" t="n"/>
      <c r="K7152" s="8" t="n"/>
      <c r="L7152" s="8" t="n"/>
      <c r="M7152" s="9">
        <f>B7152+30</f>
        <v/>
      </c>
      <c r="N7152">
        <f>IF(L7152="", "", L7152-B7152)</f>
        <v/>
      </c>
      <c r="O7152">
        <f>IF(L7152="", "Pending", IF(N7152&lt;=30, "Met", "Breached"))</f>
        <v/>
      </c>
      <c r="P7152" s="8" t="n"/>
      <c r="Q7152" s="8" t="n"/>
      <c r="R7152" s="8" t="n"/>
      <c r="S7152" s="8" t="n"/>
      <c r="T7152" s="8" t="n"/>
      <c r="U7152" s="8" t="n"/>
      <c r="V7152" s="8" t="n"/>
      <c r="W7152" s="8" t="n"/>
      <c r="X7152" s="8" t="n"/>
      <c r="Y7152" s="8" t="n"/>
    </row>
    <row r="7153">
      <c r="A7153" s="8" t="n"/>
      <c r="B7153" s="8" t="n"/>
      <c r="C7153" s="8" t="n"/>
      <c r="D7153" s="8" t="n"/>
      <c r="E7153" s="8" t="n"/>
      <c r="F7153" s="8" t="n"/>
      <c r="G7153" s="8" t="n"/>
      <c r="H7153" s="8" t="n"/>
      <c r="I7153" s="8" t="n"/>
      <c r="J7153" s="8" t="n"/>
      <c r="K7153" s="8" t="n"/>
      <c r="L7153" s="8" t="n"/>
      <c r="M7153" s="9">
        <f>B7153+30</f>
        <v/>
      </c>
      <c r="N7153">
        <f>IF(L7153="", "", L7153-B7153)</f>
        <v/>
      </c>
      <c r="O7153">
        <f>IF(L7153="", "Pending", IF(N7153&lt;=30, "Met", "Breached"))</f>
        <v/>
      </c>
      <c r="P7153" s="8" t="n"/>
      <c r="Q7153" s="8" t="n"/>
      <c r="R7153" s="8" t="n"/>
      <c r="S7153" s="8" t="n"/>
      <c r="T7153" s="8" t="n"/>
      <c r="U7153" s="8" t="n"/>
      <c r="V7153" s="8" t="n"/>
      <c r="W7153" s="8" t="n"/>
      <c r="X7153" s="8" t="n"/>
      <c r="Y7153" s="8" t="n"/>
    </row>
    <row r="7154">
      <c r="A7154" s="8" t="n"/>
      <c r="B7154" s="8" t="n"/>
      <c r="C7154" s="8" t="n"/>
      <c r="D7154" s="8" t="n"/>
      <c r="E7154" s="8" t="n"/>
      <c r="F7154" s="8" t="n"/>
      <c r="G7154" s="8" t="n"/>
      <c r="H7154" s="8" t="n"/>
      <c r="I7154" s="8" t="n"/>
      <c r="J7154" s="8" t="n"/>
      <c r="K7154" s="8" t="n"/>
      <c r="L7154" s="8" t="n"/>
      <c r="M7154" s="9">
        <f>B7154+30</f>
        <v/>
      </c>
      <c r="N7154">
        <f>IF(L7154="", "", L7154-B7154)</f>
        <v/>
      </c>
      <c r="O7154">
        <f>IF(L7154="", "Pending", IF(N7154&lt;=30, "Met", "Breached"))</f>
        <v/>
      </c>
      <c r="P7154" s="8" t="n"/>
      <c r="Q7154" s="8" t="n"/>
      <c r="R7154" s="8" t="n"/>
      <c r="S7154" s="8" t="n"/>
      <c r="T7154" s="8" t="n"/>
      <c r="U7154" s="8" t="n"/>
      <c r="V7154" s="8" t="n"/>
      <c r="W7154" s="8" t="n"/>
      <c r="X7154" s="8" t="n"/>
      <c r="Y7154" s="8" t="n"/>
    </row>
    <row r="7155">
      <c r="A7155" s="8" t="n"/>
      <c r="B7155" s="8" t="n"/>
      <c r="C7155" s="8" t="n"/>
      <c r="D7155" s="8" t="n"/>
      <c r="E7155" s="8" t="n"/>
      <c r="F7155" s="8" t="n"/>
      <c r="G7155" s="8" t="n"/>
      <c r="H7155" s="8" t="n"/>
      <c r="I7155" s="8" t="n"/>
      <c r="J7155" s="8" t="n"/>
      <c r="K7155" s="8" t="n"/>
      <c r="L7155" s="8" t="n"/>
      <c r="M7155" s="9">
        <f>B7155+30</f>
        <v/>
      </c>
      <c r="N7155">
        <f>IF(L7155="", "", L7155-B7155)</f>
        <v/>
      </c>
      <c r="O7155">
        <f>IF(L7155="", "Pending", IF(N7155&lt;=30, "Met", "Breached"))</f>
        <v/>
      </c>
      <c r="P7155" s="8" t="n"/>
      <c r="Q7155" s="8" t="n"/>
      <c r="R7155" s="8" t="n"/>
      <c r="S7155" s="8" t="n"/>
      <c r="T7155" s="8" t="n"/>
      <c r="U7155" s="8" t="n"/>
      <c r="V7155" s="8" t="n"/>
      <c r="W7155" s="8" t="n"/>
      <c r="X7155" s="8" t="n"/>
      <c r="Y7155" s="8" t="n"/>
    </row>
    <row r="7156">
      <c r="A7156" s="8" t="n"/>
      <c r="B7156" s="8" t="n"/>
      <c r="C7156" s="8" t="n"/>
      <c r="D7156" s="8" t="n"/>
      <c r="E7156" s="8" t="n"/>
      <c r="F7156" s="8" t="n"/>
      <c r="G7156" s="8" t="n"/>
      <c r="H7156" s="8" t="n"/>
      <c r="I7156" s="8" t="n"/>
      <c r="J7156" s="8" t="n"/>
      <c r="K7156" s="8" t="n"/>
      <c r="L7156" s="8" t="n"/>
      <c r="M7156" s="9">
        <f>B7156+30</f>
        <v/>
      </c>
      <c r="N7156">
        <f>IF(L7156="", "", L7156-B7156)</f>
        <v/>
      </c>
      <c r="O7156">
        <f>IF(L7156="", "Pending", IF(N7156&lt;=30, "Met", "Breached"))</f>
        <v/>
      </c>
      <c r="P7156" s="8" t="n"/>
      <c r="Q7156" s="8" t="n"/>
      <c r="R7156" s="8" t="n"/>
      <c r="S7156" s="8" t="n"/>
      <c r="T7156" s="8" t="n"/>
      <c r="U7156" s="8" t="n"/>
      <c r="V7156" s="8" t="n"/>
      <c r="W7156" s="8" t="n"/>
      <c r="X7156" s="8" t="n"/>
      <c r="Y7156" s="8" t="n"/>
    </row>
    <row r="7157">
      <c r="A7157" s="8" t="n"/>
      <c r="B7157" s="8" t="n"/>
      <c r="C7157" s="8" t="n"/>
      <c r="D7157" s="8" t="n"/>
      <c r="E7157" s="8" t="n"/>
      <c r="F7157" s="8" t="n"/>
      <c r="G7157" s="8" t="n"/>
      <c r="H7157" s="8" t="n"/>
      <c r="I7157" s="8" t="n"/>
      <c r="J7157" s="8" t="n"/>
      <c r="K7157" s="8" t="n"/>
      <c r="L7157" s="8" t="n"/>
      <c r="M7157" s="9">
        <f>B7157+30</f>
        <v/>
      </c>
      <c r="N7157">
        <f>IF(L7157="", "", L7157-B7157)</f>
        <v/>
      </c>
      <c r="O7157">
        <f>IF(L7157="", "Pending", IF(N7157&lt;=30, "Met", "Breached"))</f>
        <v/>
      </c>
      <c r="P7157" s="8" t="n"/>
      <c r="Q7157" s="8" t="n"/>
      <c r="R7157" s="8" t="n"/>
      <c r="S7157" s="8" t="n"/>
      <c r="T7157" s="8" t="n"/>
      <c r="U7157" s="8" t="n"/>
      <c r="V7157" s="8" t="n"/>
      <c r="W7157" s="8" t="n"/>
      <c r="X7157" s="8" t="n"/>
      <c r="Y7157" s="8" t="n"/>
    </row>
    <row r="7158">
      <c r="A7158" s="8" t="n"/>
      <c r="B7158" s="8" t="n"/>
      <c r="C7158" s="8" t="n"/>
      <c r="D7158" s="8" t="n"/>
      <c r="E7158" s="8" t="n"/>
      <c r="F7158" s="8" t="n"/>
      <c r="G7158" s="8" t="n"/>
      <c r="H7158" s="8" t="n"/>
      <c r="I7158" s="8" t="n"/>
      <c r="J7158" s="8" t="n"/>
      <c r="K7158" s="8" t="n"/>
      <c r="L7158" s="8" t="n"/>
      <c r="M7158" s="9">
        <f>B7158+30</f>
        <v/>
      </c>
      <c r="N7158">
        <f>IF(L7158="", "", L7158-B7158)</f>
        <v/>
      </c>
      <c r="O7158">
        <f>IF(L7158="", "Pending", IF(N7158&lt;=30, "Met", "Breached"))</f>
        <v/>
      </c>
      <c r="P7158" s="8" t="n"/>
      <c r="Q7158" s="8" t="n"/>
      <c r="R7158" s="8" t="n"/>
      <c r="S7158" s="8" t="n"/>
      <c r="T7158" s="8" t="n"/>
      <c r="U7158" s="8" t="n"/>
      <c r="V7158" s="8" t="n"/>
      <c r="W7158" s="8" t="n"/>
      <c r="X7158" s="8" t="n"/>
      <c r="Y7158" s="8" t="n"/>
    </row>
    <row r="7159">
      <c r="A7159" s="8" t="n"/>
      <c r="B7159" s="8" t="n"/>
      <c r="C7159" s="8" t="n"/>
      <c r="D7159" s="8" t="n"/>
      <c r="E7159" s="8" t="n"/>
      <c r="F7159" s="8" t="n"/>
      <c r="G7159" s="8" t="n"/>
      <c r="H7159" s="8" t="n"/>
      <c r="I7159" s="8" t="n"/>
      <c r="J7159" s="8" t="n"/>
      <c r="K7159" s="8" t="n"/>
      <c r="L7159" s="8" t="n"/>
      <c r="M7159" s="9">
        <f>B7159+30</f>
        <v/>
      </c>
      <c r="N7159">
        <f>IF(L7159="", "", L7159-B7159)</f>
        <v/>
      </c>
      <c r="O7159">
        <f>IF(L7159="", "Pending", IF(N7159&lt;=30, "Met", "Breached"))</f>
        <v/>
      </c>
      <c r="P7159" s="8" t="n"/>
      <c r="Q7159" s="8" t="n"/>
      <c r="R7159" s="8" t="n"/>
      <c r="S7159" s="8" t="n"/>
      <c r="T7159" s="8" t="n"/>
      <c r="U7159" s="8" t="n"/>
      <c r="V7159" s="8" t="n"/>
      <c r="W7159" s="8" t="n"/>
      <c r="X7159" s="8" t="n"/>
      <c r="Y7159" s="8" t="n"/>
    </row>
    <row r="7160">
      <c r="A7160" s="8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8" t="n"/>
      <c r="K7160" s="8" t="n"/>
      <c r="L7160" s="8" t="n"/>
      <c r="M7160" s="9">
        <f>B7160+30</f>
        <v/>
      </c>
      <c r="N7160">
        <f>IF(L7160="", "", L7160-B7160)</f>
        <v/>
      </c>
      <c r="O7160">
        <f>IF(L7160="", "Pending", IF(N7160&lt;=30, "Met", "Breached"))</f>
        <v/>
      </c>
      <c r="P7160" s="8" t="n"/>
      <c r="Q7160" s="8" t="n"/>
      <c r="R7160" s="8" t="n"/>
      <c r="S7160" s="8" t="n"/>
      <c r="T7160" s="8" t="n"/>
      <c r="U7160" s="8" t="n"/>
      <c r="V7160" s="8" t="n"/>
      <c r="W7160" s="8" t="n"/>
      <c r="X7160" s="8" t="n"/>
      <c r="Y7160" s="8" t="n"/>
    </row>
    <row r="7161">
      <c r="A7161" s="8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8" t="n"/>
      <c r="K7161" s="8" t="n"/>
      <c r="L7161" s="8" t="n"/>
      <c r="M7161" s="9">
        <f>B7161+30</f>
        <v/>
      </c>
      <c r="N7161">
        <f>IF(L7161="", "", L7161-B7161)</f>
        <v/>
      </c>
      <c r="O7161">
        <f>IF(L7161="", "Pending", IF(N7161&lt;=30, "Met", "Breached"))</f>
        <v/>
      </c>
      <c r="P7161" s="8" t="n"/>
      <c r="Q7161" s="8" t="n"/>
      <c r="R7161" s="8" t="n"/>
      <c r="S7161" s="8" t="n"/>
      <c r="T7161" s="8" t="n"/>
      <c r="U7161" s="8" t="n"/>
      <c r="V7161" s="8" t="n"/>
      <c r="W7161" s="8" t="n"/>
      <c r="X7161" s="8" t="n"/>
      <c r="Y7161" s="8" t="n"/>
    </row>
    <row r="7162">
      <c r="A7162" s="8" t="n"/>
      <c r="B7162" s="8" t="n"/>
      <c r="C7162" s="8" t="n"/>
      <c r="D7162" s="8" t="n"/>
      <c r="E7162" s="8" t="n"/>
      <c r="F7162" s="8" t="n"/>
      <c r="G7162" s="8" t="n"/>
      <c r="H7162" s="8" t="n"/>
      <c r="I7162" s="8" t="n"/>
      <c r="J7162" s="8" t="n"/>
      <c r="K7162" s="8" t="n"/>
      <c r="L7162" s="8" t="n"/>
      <c r="M7162" s="9">
        <f>B7162+30</f>
        <v/>
      </c>
      <c r="N7162">
        <f>IF(L7162="", "", L7162-B7162)</f>
        <v/>
      </c>
      <c r="O7162">
        <f>IF(L7162="", "Pending", IF(N7162&lt;=30, "Met", "Breached"))</f>
        <v/>
      </c>
      <c r="P7162" s="8" t="n"/>
      <c r="Q7162" s="8" t="n"/>
      <c r="R7162" s="8" t="n"/>
      <c r="S7162" s="8" t="n"/>
      <c r="T7162" s="8" t="n"/>
      <c r="U7162" s="8" t="n"/>
      <c r="V7162" s="8" t="n"/>
      <c r="W7162" s="8" t="n"/>
      <c r="X7162" s="8" t="n"/>
      <c r="Y7162" s="8" t="n"/>
    </row>
    <row r="7163">
      <c r="A7163" s="8" t="n"/>
      <c r="B7163" s="8" t="n"/>
      <c r="C7163" s="8" t="n"/>
      <c r="D7163" s="8" t="n"/>
      <c r="E7163" s="8" t="n"/>
      <c r="F7163" s="8" t="n"/>
      <c r="G7163" s="8" t="n"/>
      <c r="H7163" s="8" t="n"/>
      <c r="I7163" s="8" t="n"/>
      <c r="J7163" s="8" t="n"/>
      <c r="K7163" s="8" t="n"/>
      <c r="L7163" s="8" t="n"/>
      <c r="M7163" s="9">
        <f>B7163+30</f>
        <v/>
      </c>
      <c r="N7163">
        <f>IF(L7163="", "", L7163-B7163)</f>
        <v/>
      </c>
      <c r="O7163">
        <f>IF(L7163="", "Pending", IF(N7163&lt;=30, "Met", "Breached"))</f>
        <v/>
      </c>
      <c r="P7163" s="8" t="n"/>
      <c r="Q7163" s="8" t="n"/>
      <c r="R7163" s="8" t="n"/>
      <c r="S7163" s="8" t="n"/>
      <c r="T7163" s="8" t="n"/>
      <c r="U7163" s="8" t="n"/>
      <c r="V7163" s="8" t="n"/>
      <c r="W7163" s="8" t="n"/>
      <c r="X7163" s="8" t="n"/>
      <c r="Y7163" s="8" t="n"/>
    </row>
    <row r="7164">
      <c r="A7164" s="8" t="n"/>
      <c r="B7164" s="8" t="n"/>
      <c r="C7164" s="8" t="n"/>
      <c r="D7164" s="8" t="n"/>
      <c r="E7164" s="8" t="n"/>
      <c r="F7164" s="8" t="n"/>
      <c r="G7164" s="8" t="n"/>
      <c r="H7164" s="8" t="n"/>
      <c r="I7164" s="8" t="n"/>
      <c r="J7164" s="8" t="n"/>
      <c r="K7164" s="8" t="n"/>
      <c r="L7164" s="8" t="n"/>
      <c r="M7164" s="9">
        <f>B7164+30</f>
        <v/>
      </c>
      <c r="N7164">
        <f>IF(L7164="", "", L7164-B7164)</f>
        <v/>
      </c>
      <c r="O7164">
        <f>IF(L7164="", "Pending", IF(N7164&lt;=30, "Met", "Breached"))</f>
        <v/>
      </c>
      <c r="P7164" s="8" t="n"/>
      <c r="Q7164" s="8" t="n"/>
      <c r="R7164" s="8" t="n"/>
      <c r="S7164" s="8" t="n"/>
      <c r="T7164" s="8" t="n"/>
      <c r="U7164" s="8" t="n"/>
      <c r="V7164" s="8" t="n"/>
      <c r="W7164" s="8" t="n"/>
      <c r="X7164" s="8" t="n"/>
      <c r="Y7164" s="8" t="n"/>
    </row>
    <row r="7165">
      <c r="A7165" s="8" t="n"/>
      <c r="B7165" s="8" t="n"/>
      <c r="C7165" s="8" t="n"/>
      <c r="D7165" s="8" t="n"/>
      <c r="E7165" s="8" t="n"/>
      <c r="F7165" s="8" t="n"/>
      <c r="G7165" s="8" t="n"/>
      <c r="H7165" s="8" t="n"/>
      <c r="I7165" s="8" t="n"/>
      <c r="J7165" s="8" t="n"/>
      <c r="K7165" s="8" t="n"/>
      <c r="L7165" s="8" t="n"/>
      <c r="M7165" s="9">
        <f>B7165+30</f>
        <v/>
      </c>
      <c r="N7165">
        <f>IF(L7165="", "", L7165-B7165)</f>
        <v/>
      </c>
      <c r="O7165">
        <f>IF(L7165="", "Pending", IF(N7165&lt;=30, "Met", "Breached"))</f>
        <v/>
      </c>
      <c r="P7165" s="8" t="n"/>
      <c r="Q7165" s="8" t="n"/>
      <c r="R7165" s="8" t="n"/>
      <c r="S7165" s="8" t="n"/>
      <c r="T7165" s="8" t="n"/>
      <c r="U7165" s="8" t="n"/>
      <c r="V7165" s="8" t="n"/>
      <c r="W7165" s="8" t="n"/>
      <c r="X7165" s="8" t="n"/>
      <c r="Y7165" s="8" t="n"/>
    </row>
    <row r="7166">
      <c r="A7166" s="8" t="n"/>
      <c r="B7166" s="8" t="n"/>
      <c r="C7166" s="8" t="n"/>
      <c r="D7166" s="8" t="n"/>
      <c r="E7166" s="8" t="n"/>
      <c r="F7166" s="8" t="n"/>
      <c r="G7166" s="8" t="n"/>
      <c r="H7166" s="8" t="n"/>
      <c r="I7166" s="8" t="n"/>
      <c r="J7166" s="8" t="n"/>
      <c r="K7166" s="8" t="n"/>
      <c r="L7166" s="8" t="n"/>
      <c r="M7166" s="9">
        <f>B7166+30</f>
        <v/>
      </c>
      <c r="N7166">
        <f>IF(L7166="", "", L7166-B7166)</f>
        <v/>
      </c>
      <c r="O7166">
        <f>IF(L7166="", "Pending", IF(N7166&lt;=30, "Met", "Breached"))</f>
        <v/>
      </c>
      <c r="P7166" s="8" t="n"/>
      <c r="Q7166" s="8" t="n"/>
      <c r="R7166" s="8" t="n"/>
      <c r="S7166" s="8" t="n"/>
      <c r="T7166" s="8" t="n"/>
      <c r="U7166" s="8" t="n"/>
      <c r="V7166" s="8" t="n"/>
      <c r="W7166" s="8" t="n"/>
      <c r="X7166" s="8" t="n"/>
      <c r="Y7166" s="8" t="n"/>
    </row>
    <row r="7167">
      <c r="A7167" s="8" t="n"/>
      <c r="B7167" s="8" t="n"/>
      <c r="C7167" s="8" t="n"/>
      <c r="D7167" s="8" t="n"/>
      <c r="E7167" s="8" t="n"/>
      <c r="F7167" s="8" t="n"/>
      <c r="G7167" s="8" t="n"/>
      <c r="H7167" s="8" t="n"/>
      <c r="I7167" s="8" t="n"/>
      <c r="J7167" s="8" t="n"/>
      <c r="K7167" s="8" t="n"/>
      <c r="L7167" s="8" t="n"/>
      <c r="M7167" s="9">
        <f>B7167+30</f>
        <v/>
      </c>
      <c r="N7167">
        <f>IF(L7167="", "", L7167-B7167)</f>
        <v/>
      </c>
      <c r="O7167">
        <f>IF(L7167="", "Pending", IF(N7167&lt;=30, "Met", "Breached"))</f>
        <v/>
      </c>
      <c r="P7167" s="8" t="n"/>
      <c r="Q7167" s="8" t="n"/>
      <c r="R7167" s="8" t="n"/>
      <c r="S7167" s="8" t="n"/>
      <c r="T7167" s="8" t="n"/>
      <c r="U7167" s="8" t="n"/>
      <c r="V7167" s="8" t="n"/>
      <c r="W7167" s="8" t="n"/>
      <c r="X7167" s="8" t="n"/>
      <c r="Y7167" s="8" t="n"/>
    </row>
    <row r="7168">
      <c r="A7168" s="8" t="n"/>
      <c r="B7168" s="8" t="n"/>
      <c r="C7168" s="8" t="n"/>
      <c r="D7168" s="8" t="n"/>
      <c r="E7168" s="8" t="n"/>
      <c r="F7168" s="8" t="n"/>
      <c r="G7168" s="8" t="n"/>
      <c r="H7168" s="8" t="n"/>
      <c r="I7168" s="8" t="n"/>
      <c r="J7168" s="8" t="n"/>
      <c r="K7168" s="8" t="n"/>
      <c r="L7168" s="8" t="n"/>
      <c r="M7168" s="9">
        <f>B7168+30</f>
        <v/>
      </c>
      <c r="N7168">
        <f>IF(L7168="", "", L7168-B7168)</f>
        <v/>
      </c>
      <c r="O7168">
        <f>IF(L7168="", "Pending", IF(N7168&lt;=30, "Met", "Breached"))</f>
        <v/>
      </c>
      <c r="P7168" s="8" t="n"/>
      <c r="Q7168" s="8" t="n"/>
      <c r="R7168" s="8" t="n"/>
      <c r="S7168" s="8" t="n"/>
      <c r="T7168" s="8" t="n"/>
      <c r="U7168" s="8" t="n"/>
      <c r="V7168" s="8" t="n"/>
      <c r="W7168" s="8" t="n"/>
      <c r="X7168" s="8" t="n"/>
      <c r="Y7168" s="8" t="n"/>
    </row>
    <row r="7169">
      <c r="A7169" s="8" t="n"/>
      <c r="B7169" s="8" t="n"/>
      <c r="C7169" s="8" t="n"/>
      <c r="D7169" s="8" t="n"/>
      <c r="E7169" s="8" t="n"/>
      <c r="F7169" s="8" t="n"/>
      <c r="G7169" s="8" t="n"/>
      <c r="H7169" s="8" t="n"/>
      <c r="I7169" s="8" t="n"/>
      <c r="J7169" s="8" t="n"/>
      <c r="K7169" s="8" t="n"/>
      <c r="L7169" s="8" t="n"/>
      <c r="M7169" s="9">
        <f>B7169+30</f>
        <v/>
      </c>
      <c r="N7169">
        <f>IF(L7169="", "", L7169-B7169)</f>
        <v/>
      </c>
      <c r="O7169">
        <f>IF(L7169="", "Pending", IF(N7169&lt;=30, "Met", "Breached"))</f>
        <v/>
      </c>
      <c r="P7169" s="8" t="n"/>
      <c r="Q7169" s="8" t="n"/>
      <c r="R7169" s="8" t="n"/>
      <c r="S7169" s="8" t="n"/>
      <c r="T7169" s="8" t="n"/>
      <c r="U7169" s="8" t="n"/>
      <c r="V7169" s="8" t="n"/>
      <c r="W7169" s="8" t="n"/>
      <c r="X7169" s="8" t="n"/>
      <c r="Y7169" s="8" t="n"/>
    </row>
    <row r="7170">
      <c r="A7170" s="8" t="n"/>
      <c r="B7170" s="8" t="n"/>
      <c r="C7170" s="8" t="n"/>
      <c r="D7170" s="8" t="n"/>
      <c r="E7170" s="8" t="n"/>
      <c r="F7170" s="8" t="n"/>
      <c r="G7170" s="8" t="n"/>
      <c r="H7170" s="8" t="n"/>
      <c r="I7170" s="8" t="n"/>
      <c r="J7170" s="8" t="n"/>
      <c r="K7170" s="8" t="n"/>
      <c r="L7170" s="8" t="n"/>
      <c r="M7170" s="9">
        <f>B7170+30</f>
        <v/>
      </c>
      <c r="N7170">
        <f>IF(L7170="", "", L7170-B7170)</f>
        <v/>
      </c>
      <c r="O7170">
        <f>IF(L7170="", "Pending", IF(N7170&lt;=30, "Met", "Breached"))</f>
        <v/>
      </c>
      <c r="P7170" s="8" t="n"/>
      <c r="Q7170" s="8" t="n"/>
      <c r="R7170" s="8" t="n"/>
      <c r="S7170" s="8" t="n"/>
      <c r="T7170" s="8" t="n"/>
      <c r="U7170" s="8" t="n"/>
      <c r="V7170" s="8" t="n"/>
      <c r="W7170" s="8" t="n"/>
      <c r="X7170" s="8" t="n"/>
      <c r="Y7170" s="8" t="n"/>
    </row>
    <row r="7171">
      <c r="A7171" s="8" t="n"/>
      <c r="B7171" s="8" t="n"/>
      <c r="C7171" s="8" t="n"/>
      <c r="D7171" s="8" t="n"/>
      <c r="E7171" s="8" t="n"/>
      <c r="F7171" s="8" t="n"/>
      <c r="G7171" s="8" t="n"/>
      <c r="H7171" s="8" t="n"/>
      <c r="I7171" s="8" t="n"/>
      <c r="J7171" s="8" t="n"/>
      <c r="K7171" s="8" t="n"/>
      <c r="L7171" s="8" t="n"/>
      <c r="M7171" s="9">
        <f>B7171+30</f>
        <v/>
      </c>
      <c r="N7171">
        <f>IF(L7171="", "", L7171-B7171)</f>
        <v/>
      </c>
      <c r="O7171">
        <f>IF(L7171="", "Pending", IF(N7171&lt;=30, "Met", "Breached"))</f>
        <v/>
      </c>
      <c r="P7171" s="8" t="n"/>
      <c r="Q7171" s="8" t="n"/>
      <c r="R7171" s="8" t="n"/>
      <c r="S7171" s="8" t="n"/>
      <c r="T7171" s="8" t="n"/>
      <c r="U7171" s="8" t="n"/>
      <c r="V7171" s="8" t="n"/>
      <c r="W7171" s="8" t="n"/>
      <c r="X7171" s="8" t="n"/>
      <c r="Y7171" s="8" t="n"/>
    </row>
    <row r="7172">
      <c r="A7172" s="8" t="n"/>
      <c r="B7172" s="8" t="n"/>
      <c r="C7172" s="8" t="n"/>
      <c r="D7172" s="8" t="n"/>
      <c r="E7172" s="8" t="n"/>
      <c r="F7172" s="8" t="n"/>
      <c r="G7172" s="8" t="n"/>
      <c r="H7172" s="8" t="n"/>
      <c r="I7172" s="8" t="n"/>
      <c r="J7172" s="8" t="n"/>
      <c r="K7172" s="8" t="n"/>
      <c r="L7172" s="8" t="n"/>
      <c r="M7172" s="9">
        <f>B7172+30</f>
        <v/>
      </c>
      <c r="N7172">
        <f>IF(L7172="", "", L7172-B7172)</f>
        <v/>
      </c>
      <c r="O7172">
        <f>IF(L7172="", "Pending", IF(N7172&lt;=30, "Met", "Breached"))</f>
        <v/>
      </c>
      <c r="P7172" s="8" t="n"/>
      <c r="Q7172" s="8" t="n"/>
      <c r="R7172" s="8" t="n"/>
      <c r="S7172" s="8" t="n"/>
      <c r="T7172" s="8" t="n"/>
      <c r="U7172" s="8" t="n"/>
      <c r="V7172" s="8" t="n"/>
      <c r="W7172" s="8" t="n"/>
      <c r="X7172" s="8" t="n"/>
      <c r="Y7172" s="8" t="n"/>
    </row>
    <row r="7173">
      <c r="A7173" s="8" t="n"/>
      <c r="B7173" s="8" t="n"/>
      <c r="C7173" s="8" t="n"/>
      <c r="D7173" s="8" t="n"/>
      <c r="E7173" s="8" t="n"/>
      <c r="F7173" s="8" t="n"/>
      <c r="G7173" s="8" t="n"/>
      <c r="H7173" s="8" t="n"/>
      <c r="I7173" s="8" t="n"/>
      <c r="J7173" s="8" t="n"/>
      <c r="K7173" s="8" t="n"/>
      <c r="L7173" s="8" t="n"/>
      <c r="M7173" s="9">
        <f>B7173+30</f>
        <v/>
      </c>
      <c r="N7173">
        <f>IF(L7173="", "", L7173-B7173)</f>
        <v/>
      </c>
      <c r="O7173">
        <f>IF(L7173="", "Pending", IF(N7173&lt;=30, "Met", "Breached"))</f>
        <v/>
      </c>
      <c r="P7173" s="8" t="n"/>
      <c r="Q7173" s="8" t="n"/>
      <c r="R7173" s="8" t="n"/>
      <c r="S7173" s="8" t="n"/>
      <c r="T7173" s="8" t="n"/>
      <c r="U7173" s="8" t="n"/>
      <c r="V7173" s="8" t="n"/>
      <c r="W7173" s="8" t="n"/>
      <c r="X7173" s="8" t="n"/>
      <c r="Y7173" s="8" t="n"/>
    </row>
    <row r="7174">
      <c r="A7174" s="8" t="n"/>
      <c r="B7174" s="8" t="n"/>
      <c r="C7174" s="8" t="n"/>
      <c r="D7174" s="8" t="n"/>
      <c r="E7174" s="8" t="n"/>
      <c r="F7174" s="8" t="n"/>
      <c r="G7174" s="8" t="n"/>
      <c r="H7174" s="8" t="n"/>
      <c r="I7174" s="8" t="n"/>
      <c r="J7174" s="8" t="n"/>
      <c r="K7174" s="8" t="n"/>
      <c r="L7174" s="8" t="n"/>
      <c r="M7174" s="9">
        <f>B7174+30</f>
        <v/>
      </c>
      <c r="N7174">
        <f>IF(L7174="", "", L7174-B7174)</f>
        <v/>
      </c>
      <c r="O7174">
        <f>IF(L7174="", "Pending", IF(N7174&lt;=30, "Met", "Breached"))</f>
        <v/>
      </c>
      <c r="P7174" s="8" t="n"/>
      <c r="Q7174" s="8" t="n"/>
      <c r="R7174" s="8" t="n"/>
      <c r="S7174" s="8" t="n"/>
      <c r="T7174" s="8" t="n"/>
      <c r="U7174" s="8" t="n"/>
      <c r="V7174" s="8" t="n"/>
      <c r="W7174" s="8" t="n"/>
      <c r="X7174" s="8" t="n"/>
      <c r="Y7174" s="8" t="n"/>
    </row>
    <row r="7175">
      <c r="A7175" s="8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8" t="n"/>
      <c r="K7175" s="8" t="n"/>
      <c r="L7175" s="8" t="n"/>
      <c r="M7175" s="9">
        <f>B7175+30</f>
        <v/>
      </c>
      <c r="N7175">
        <f>IF(L7175="", "", L7175-B7175)</f>
        <v/>
      </c>
      <c r="O7175">
        <f>IF(L7175="", "Pending", IF(N7175&lt;=30, "Met", "Breached"))</f>
        <v/>
      </c>
      <c r="P7175" s="8" t="n"/>
      <c r="Q7175" s="8" t="n"/>
      <c r="R7175" s="8" t="n"/>
      <c r="S7175" s="8" t="n"/>
      <c r="T7175" s="8" t="n"/>
      <c r="U7175" s="8" t="n"/>
      <c r="V7175" s="8" t="n"/>
      <c r="W7175" s="8" t="n"/>
      <c r="X7175" s="8" t="n"/>
      <c r="Y7175" s="8" t="n"/>
    </row>
    <row r="7176">
      <c r="A7176" s="8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8" t="n"/>
      <c r="K7176" s="8" t="n"/>
      <c r="L7176" s="8" t="n"/>
      <c r="M7176" s="9">
        <f>B7176+30</f>
        <v/>
      </c>
      <c r="N7176">
        <f>IF(L7176="", "", L7176-B7176)</f>
        <v/>
      </c>
      <c r="O7176">
        <f>IF(L7176="", "Pending", IF(N7176&lt;=30, "Met", "Breached"))</f>
        <v/>
      </c>
      <c r="P7176" s="8" t="n"/>
      <c r="Q7176" s="8" t="n"/>
      <c r="R7176" s="8" t="n"/>
      <c r="S7176" s="8" t="n"/>
      <c r="T7176" s="8" t="n"/>
      <c r="U7176" s="8" t="n"/>
      <c r="V7176" s="8" t="n"/>
      <c r="W7176" s="8" t="n"/>
      <c r="X7176" s="8" t="n"/>
      <c r="Y7176" s="8" t="n"/>
    </row>
    <row r="7177">
      <c r="A7177" s="8" t="n"/>
      <c r="B7177" s="8" t="n"/>
      <c r="C7177" s="8" t="n"/>
      <c r="D7177" s="8" t="n"/>
      <c r="E7177" s="8" t="n"/>
      <c r="F7177" s="8" t="n"/>
      <c r="G7177" s="8" t="n"/>
      <c r="H7177" s="8" t="n"/>
      <c r="I7177" s="8" t="n"/>
      <c r="J7177" s="8" t="n"/>
      <c r="K7177" s="8" t="n"/>
      <c r="L7177" s="8" t="n"/>
      <c r="M7177" s="9">
        <f>B7177+30</f>
        <v/>
      </c>
      <c r="N7177">
        <f>IF(L7177="", "", L7177-B7177)</f>
        <v/>
      </c>
      <c r="O7177">
        <f>IF(L7177="", "Pending", IF(N7177&lt;=30, "Met", "Breached"))</f>
        <v/>
      </c>
      <c r="P7177" s="8" t="n"/>
      <c r="Q7177" s="8" t="n"/>
      <c r="R7177" s="8" t="n"/>
      <c r="S7177" s="8" t="n"/>
      <c r="T7177" s="8" t="n"/>
      <c r="U7177" s="8" t="n"/>
      <c r="V7177" s="8" t="n"/>
      <c r="W7177" s="8" t="n"/>
      <c r="X7177" s="8" t="n"/>
      <c r="Y7177" s="8" t="n"/>
    </row>
    <row r="7178">
      <c r="A7178" s="8" t="n"/>
      <c r="B7178" s="8" t="n"/>
      <c r="C7178" s="8" t="n"/>
      <c r="D7178" s="8" t="n"/>
      <c r="E7178" s="8" t="n"/>
      <c r="F7178" s="8" t="n"/>
      <c r="G7178" s="8" t="n"/>
      <c r="H7178" s="8" t="n"/>
      <c r="I7178" s="8" t="n"/>
      <c r="J7178" s="8" t="n"/>
      <c r="K7178" s="8" t="n"/>
      <c r="L7178" s="8" t="n"/>
      <c r="M7178" s="9">
        <f>B7178+30</f>
        <v/>
      </c>
      <c r="N7178">
        <f>IF(L7178="", "", L7178-B7178)</f>
        <v/>
      </c>
      <c r="O7178">
        <f>IF(L7178="", "Pending", IF(N7178&lt;=30, "Met", "Breached"))</f>
        <v/>
      </c>
      <c r="P7178" s="8" t="n"/>
      <c r="Q7178" s="8" t="n"/>
      <c r="R7178" s="8" t="n"/>
      <c r="S7178" s="8" t="n"/>
      <c r="T7178" s="8" t="n"/>
      <c r="U7178" s="8" t="n"/>
      <c r="V7178" s="8" t="n"/>
      <c r="W7178" s="8" t="n"/>
      <c r="X7178" s="8" t="n"/>
      <c r="Y7178" s="8" t="n"/>
    </row>
    <row r="7179">
      <c r="A7179" s="8" t="n"/>
      <c r="B7179" s="8" t="n"/>
      <c r="C7179" s="8" t="n"/>
      <c r="D7179" s="8" t="n"/>
      <c r="E7179" s="8" t="n"/>
      <c r="F7179" s="8" t="n"/>
      <c r="G7179" s="8" t="n"/>
      <c r="H7179" s="8" t="n"/>
      <c r="I7179" s="8" t="n"/>
      <c r="J7179" s="8" t="n"/>
      <c r="K7179" s="8" t="n"/>
      <c r="L7179" s="8" t="n"/>
      <c r="M7179" s="9">
        <f>B7179+30</f>
        <v/>
      </c>
      <c r="N7179">
        <f>IF(L7179="", "", L7179-B7179)</f>
        <v/>
      </c>
      <c r="O7179">
        <f>IF(L7179="", "Pending", IF(N7179&lt;=30, "Met", "Breached"))</f>
        <v/>
      </c>
      <c r="P7179" s="8" t="n"/>
      <c r="Q7179" s="8" t="n"/>
      <c r="R7179" s="8" t="n"/>
      <c r="S7179" s="8" t="n"/>
      <c r="T7179" s="8" t="n"/>
      <c r="U7179" s="8" t="n"/>
      <c r="V7179" s="8" t="n"/>
      <c r="W7179" s="8" t="n"/>
      <c r="X7179" s="8" t="n"/>
      <c r="Y7179" s="8" t="n"/>
    </row>
    <row r="7180">
      <c r="A7180" s="8" t="n"/>
      <c r="B7180" s="8" t="n"/>
      <c r="C7180" s="8" t="n"/>
      <c r="D7180" s="8" t="n"/>
      <c r="E7180" s="8" t="n"/>
      <c r="F7180" s="8" t="n"/>
      <c r="G7180" s="8" t="n"/>
      <c r="H7180" s="8" t="n"/>
      <c r="I7180" s="8" t="n"/>
      <c r="J7180" s="8" t="n"/>
      <c r="K7180" s="8" t="n"/>
      <c r="L7180" s="8" t="n"/>
      <c r="M7180" s="9">
        <f>B7180+30</f>
        <v/>
      </c>
      <c r="N7180">
        <f>IF(L7180="", "", L7180-B7180)</f>
        <v/>
      </c>
      <c r="O7180">
        <f>IF(L7180="", "Pending", IF(N7180&lt;=30, "Met", "Breached"))</f>
        <v/>
      </c>
      <c r="P7180" s="8" t="n"/>
      <c r="Q7180" s="8" t="n"/>
      <c r="R7180" s="8" t="n"/>
      <c r="S7180" s="8" t="n"/>
      <c r="T7180" s="8" t="n"/>
      <c r="U7180" s="8" t="n"/>
      <c r="V7180" s="8" t="n"/>
      <c r="W7180" s="8" t="n"/>
      <c r="X7180" s="8" t="n"/>
      <c r="Y7180" s="8" t="n"/>
    </row>
    <row r="7181">
      <c r="A7181" s="8" t="n"/>
      <c r="B7181" s="8" t="n"/>
      <c r="C7181" s="8" t="n"/>
      <c r="D7181" s="8" t="n"/>
      <c r="E7181" s="8" t="n"/>
      <c r="F7181" s="8" t="n"/>
      <c r="G7181" s="8" t="n"/>
      <c r="H7181" s="8" t="n"/>
      <c r="I7181" s="8" t="n"/>
      <c r="J7181" s="8" t="n"/>
      <c r="K7181" s="8" t="n"/>
      <c r="L7181" s="8" t="n"/>
      <c r="M7181" s="9">
        <f>B7181+30</f>
        <v/>
      </c>
      <c r="N7181">
        <f>IF(L7181="", "", L7181-B7181)</f>
        <v/>
      </c>
      <c r="O7181">
        <f>IF(L7181="", "Pending", IF(N7181&lt;=30, "Met", "Breached"))</f>
        <v/>
      </c>
      <c r="P7181" s="8" t="n"/>
      <c r="Q7181" s="8" t="n"/>
      <c r="R7181" s="8" t="n"/>
      <c r="S7181" s="8" t="n"/>
      <c r="T7181" s="8" t="n"/>
      <c r="U7181" s="8" t="n"/>
      <c r="V7181" s="8" t="n"/>
      <c r="W7181" s="8" t="n"/>
      <c r="X7181" s="8" t="n"/>
      <c r="Y7181" s="8" t="n"/>
    </row>
    <row r="7182">
      <c r="A7182" s="8" t="n"/>
      <c r="B7182" s="8" t="n"/>
      <c r="C7182" s="8" t="n"/>
      <c r="D7182" s="8" t="n"/>
      <c r="E7182" s="8" t="n"/>
      <c r="F7182" s="8" t="n"/>
      <c r="G7182" s="8" t="n"/>
      <c r="H7182" s="8" t="n"/>
      <c r="I7182" s="8" t="n"/>
      <c r="J7182" s="8" t="n"/>
      <c r="K7182" s="8" t="n"/>
      <c r="L7182" s="8" t="n"/>
      <c r="M7182" s="9">
        <f>B7182+30</f>
        <v/>
      </c>
      <c r="N7182">
        <f>IF(L7182="", "", L7182-B7182)</f>
        <v/>
      </c>
      <c r="O7182">
        <f>IF(L7182="", "Pending", IF(N7182&lt;=30, "Met", "Breached"))</f>
        <v/>
      </c>
      <c r="P7182" s="8" t="n"/>
      <c r="Q7182" s="8" t="n"/>
      <c r="R7182" s="8" t="n"/>
      <c r="S7182" s="8" t="n"/>
      <c r="T7182" s="8" t="n"/>
      <c r="U7182" s="8" t="n"/>
      <c r="V7182" s="8" t="n"/>
      <c r="W7182" s="8" t="n"/>
      <c r="X7182" s="8" t="n"/>
      <c r="Y7182" s="8" t="n"/>
    </row>
    <row r="7183">
      <c r="A7183" s="8" t="n"/>
      <c r="B7183" s="8" t="n"/>
      <c r="C7183" s="8" t="n"/>
      <c r="D7183" s="8" t="n"/>
      <c r="E7183" s="8" t="n"/>
      <c r="F7183" s="8" t="n"/>
      <c r="G7183" s="8" t="n"/>
      <c r="H7183" s="8" t="n"/>
      <c r="I7183" s="8" t="n"/>
      <c r="J7183" s="8" t="n"/>
      <c r="K7183" s="8" t="n"/>
      <c r="L7183" s="8" t="n"/>
      <c r="M7183" s="9">
        <f>B7183+30</f>
        <v/>
      </c>
      <c r="N7183">
        <f>IF(L7183="", "", L7183-B7183)</f>
        <v/>
      </c>
      <c r="O7183">
        <f>IF(L7183="", "Pending", IF(N7183&lt;=30, "Met", "Breached"))</f>
        <v/>
      </c>
      <c r="P7183" s="8" t="n"/>
      <c r="Q7183" s="8" t="n"/>
      <c r="R7183" s="8" t="n"/>
      <c r="S7183" s="8" t="n"/>
      <c r="T7183" s="8" t="n"/>
      <c r="U7183" s="8" t="n"/>
      <c r="V7183" s="8" t="n"/>
      <c r="W7183" s="8" t="n"/>
      <c r="X7183" s="8" t="n"/>
      <c r="Y7183" s="8" t="n"/>
    </row>
    <row r="7184">
      <c r="A7184" s="8" t="n"/>
      <c r="B7184" s="8" t="n"/>
      <c r="C7184" s="8" t="n"/>
      <c r="D7184" s="8" t="n"/>
      <c r="E7184" s="8" t="n"/>
      <c r="F7184" s="8" t="n"/>
      <c r="G7184" s="8" t="n"/>
      <c r="H7184" s="8" t="n"/>
      <c r="I7184" s="8" t="n"/>
      <c r="J7184" s="8" t="n"/>
      <c r="K7184" s="8" t="n"/>
      <c r="L7184" s="8" t="n"/>
      <c r="M7184" s="9">
        <f>B7184+30</f>
        <v/>
      </c>
      <c r="N7184">
        <f>IF(L7184="", "", L7184-B7184)</f>
        <v/>
      </c>
      <c r="O7184">
        <f>IF(L7184="", "Pending", IF(N7184&lt;=30, "Met", "Breached"))</f>
        <v/>
      </c>
      <c r="P7184" s="8" t="n"/>
      <c r="Q7184" s="8" t="n"/>
      <c r="R7184" s="8" t="n"/>
      <c r="S7184" s="8" t="n"/>
      <c r="T7184" s="8" t="n"/>
      <c r="U7184" s="8" t="n"/>
      <c r="V7184" s="8" t="n"/>
      <c r="W7184" s="8" t="n"/>
      <c r="X7184" s="8" t="n"/>
      <c r="Y7184" s="8" t="n"/>
    </row>
    <row r="7185">
      <c r="A7185" s="8" t="n"/>
      <c r="B7185" s="8" t="n"/>
      <c r="C7185" s="8" t="n"/>
      <c r="D7185" s="8" t="n"/>
      <c r="E7185" s="8" t="n"/>
      <c r="F7185" s="8" t="n"/>
      <c r="G7185" s="8" t="n"/>
      <c r="H7185" s="8" t="n"/>
      <c r="I7185" s="8" t="n"/>
      <c r="J7185" s="8" t="n"/>
      <c r="K7185" s="8" t="n"/>
      <c r="L7185" s="8" t="n"/>
      <c r="M7185" s="9">
        <f>B7185+30</f>
        <v/>
      </c>
      <c r="N7185">
        <f>IF(L7185="", "", L7185-B7185)</f>
        <v/>
      </c>
      <c r="O7185">
        <f>IF(L7185="", "Pending", IF(N7185&lt;=30, "Met", "Breached"))</f>
        <v/>
      </c>
      <c r="P7185" s="8" t="n"/>
      <c r="Q7185" s="8" t="n"/>
      <c r="R7185" s="8" t="n"/>
      <c r="S7185" s="8" t="n"/>
      <c r="T7185" s="8" t="n"/>
      <c r="U7185" s="8" t="n"/>
      <c r="V7185" s="8" t="n"/>
      <c r="W7185" s="8" t="n"/>
      <c r="X7185" s="8" t="n"/>
      <c r="Y7185" s="8" t="n"/>
    </row>
    <row r="7186">
      <c r="A7186" s="8" t="n"/>
      <c r="B7186" s="8" t="n"/>
      <c r="C7186" s="8" t="n"/>
      <c r="D7186" s="8" t="n"/>
      <c r="E7186" s="8" t="n"/>
      <c r="F7186" s="8" t="n"/>
      <c r="G7186" s="8" t="n"/>
      <c r="H7186" s="8" t="n"/>
      <c r="I7186" s="8" t="n"/>
      <c r="J7186" s="8" t="n"/>
      <c r="K7186" s="8" t="n"/>
      <c r="L7186" s="8" t="n"/>
      <c r="M7186" s="9">
        <f>B7186+30</f>
        <v/>
      </c>
      <c r="N7186">
        <f>IF(L7186="", "", L7186-B7186)</f>
        <v/>
      </c>
      <c r="O7186">
        <f>IF(L7186="", "Pending", IF(N7186&lt;=30, "Met", "Breached"))</f>
        <v/>
      </c>
      <c r="P7186" s="8" t="n"/>
      <c r="Q7186" s="8" t="n"/>
      <c r="R7186" s="8" t="n"/>
      <c r="S7186" s="8" t="n"/>
      <c r="T7186" s="8" t="n"/>
      <c r="U7186" s="8" t="n"/>
      <c r="V7186" s="8" t="n"/>
      <c r="W7186" s="8" t="n"/>
      <c r="X7186" s="8" t="n"/>
      <c r="Y7186" s="8" t="n"/>
    </row>
    <row r="7187">
      <c r="A7187" s="8" t="n"/>
      <c r="B7187" s="8" t="n"/>
      <c r="C7187" s="8" t="n"/>
      <c r="D7187" s="8" t="n"/>
      <c r="E7187" s="8" t="n"/>
      <c r="F7187" s="8" t="n"/>
      <c r="G7187" s="8" t="n"/>
      <c r="H7187" s="8" t="n"/>
      <c r="I7187" s="8" t="n"/>
      <c r="J7187" s="8" t="n"/>
      <c r="K7187" s="8" t="n"/>
      <c r="L7187" s="8" t="n"/>
      <c r="M7187" s="9">
        <f>B7187+30</f>
        <v/>
      </c>
      <c r="N7187">
        <f>IF(L7187="", "", L7187-B7187)</f>
        <v/>
      </c>
      <c r="O7187">
        <f>IF(L7187="", "Pending", IF(N7187&lt;=30, "Met", "Breached"))</f>
        <v/>
      </c>
      <c r="P7187" s="8" t="n"/>
      <c r="Q7187" s="8" t="n"/>
      <c r="R7187" s="8" t="n"/>
      <c r="S7187" s="8" t="n"/>
      <c r="T7187" s="8" t="n"/>
      <c r="U7187" s="8" t="n"/>
      <c r="V7187" s="8" t="n"/>
      <c r="W7187" s="8" t="n"/>
      <c r="X7187" s="8" t="n"/>
      <c r="Y7187" s="8" t="n"/>
    </row>
    <row r="7188">
      <c r="A7188" s="8" t="n"/>
      <c r="B7188" s="8" t="n"/>
      <c r="C7188" s="8" t="n"/>
      <c r="D7188" s="8" t="n"/>
      <c r="E7188" s="8" t="n"/>
      <c r="F7188" s="8" t="n"/>
      <c r="G7188" s="8" t="n"/>
      <c r="H7188" s="8" t="n"/>
      <c r="I7188" s="8" t="n"/>
      <c r="J7188" s="8" t="n"/>
      <c r="K7188" s="8" t="n"/>
      <c r="L7188" s="8" t="n"/>
      <c r="M7188" s="9">
        <f>B7188+30</f>
        <v/>
      </c>
      <c r="N7188">
        <f>IF(L7188="", "", L7188-B7188)</f>
        <v/>
      </c>
      <c r="O7188">
        <f>IF(L7188="", "Pending", IF(N7188&lt;=30, "Met", "Breached"))</f>
        <v/>
      </c>
      <c r="P7188" s="8" t="n"/>
      <c r="Q7188" s="8" t="n"/>
      <c r="R7188" s="8" t="n"/>
      <c r="S7188" s="8" t="n"/>
      <c r="T7188" s="8" t="n"/>
      <c r="U7188" s="8" t="n"/>
      <c r="V7188" s="8" t="n"/>
      <c r="W7188" s="8" t="n"/>
      <c r="X7188" s="8" t="n"/>
      <c r="Y7188" s="8" t="n"/>
    </row>
    <row r="7189">
      <c r="A7189" s="8" t="n"/>
      <c r="B7189" s="8" t="n"/>
      <c r="C7189" s="8" t="n"/>
      <c r="D7189" s="8" t="n"/>
      <c r="E7189" s="8" t="n"/>
      <c r="F7189" s="8" t="n"/>
      <c r="G7189" s="8" t="n"/>
      <c r="H7189" s="8" t="n"/>
      <c r="I7189" s="8" t="n"/>
      <c r="J7189" s="8" t="n"/>
      <c r="K7189" s="8" t="n"/>
      <c r="L7189" s="8" t="n"/>
      <c r="M7189" s="9">
        <f>B7189+30</f>
        <v/>
      </c>
      <c r="N7189">
        <f>IF(L7189="", "", L7189-B7189)</f>
        <v/>
      </c>
      <c r="O7189">
        <f>IF(L7189="", "Pending", IF(N7189&lt;=30, "Met", "Breached"))</f>
        <v/>
      </c>
      <c r="P7189" s="8" t="n"/>
      <c r="Q7189" s="8" t="n"/>
      <c r="R7189" s="8" t="n"/>
      <c r="S7189" s="8" t="n"/>
      <c r="T7189" s="8" t="n"/>
      <c r="U7189" s="8" t="n"/>
      <c r="V7189" s="8" t="n"/>
      <c r="W7189" s="8" t="n"/>
      <c r="X7189" s="8" t="n"/>
      <c r="Y7189" s="8" t="n"/>
    </row>
    <row r="7190">
      <c r="A7190" s="8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8" t="n"/>
      <c r="K7190" s="8" t="n"/>
      <c r="L7190" s="8" t="n"/>
      <c r="M7190" s="9">
        <f>B7190+30</f>
        <v/>
      </c>
      <c r="N7190">
        <f>IF(L7190="", "", L7190-B7190)</f>
        <v/>
      </c>
      <c r="O7190">
        <f>IF(L7190="", "Pending", IF(N7190&lt;=30, "Met", "Breached"))</f>
        <v/>
      </c>
      <c r="P7190" s="8" t="n"/>
      <c r="Q7190" s="8" t="n"/>
      <c r="R7190" s="8" t="n"/>
      <c r="S7190" s="8" t="n"/>
      <c r="T7190" s="8" t="n"/>
      <c r="U7190" s="8" t="n"/>
      <c r="V7190" s="8" t="n"/>
      <c r="W7190" s="8" t="n"/>
      <c r="X7190" s="8" t="n"/>
      <c r="Y7190" s="8" t="n"/>
    </row>
    <row r="7191">
      <c r="A7191" s="8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8" t="n"/>
      <c r="K7191" s="8" t="n"/>
      <c r="L7191" s="8" t="n"/>
      <c r="M7191" s="9">
        <f>B7191+30</f>
        <v/>
      </c>
      <c r="N7191">
        <f>IF(L7191="", "", L7191-B7191)</f>
        <v/>
      </c>
      <c r="O7191">
        <f>IF(L7191="", "Pending", IF(N7191&lt;=30, "Met", "Breached"))</f>
        <v/>
      </c>
      <c r="P7191" s="8" t="n"/>
      <c r="Q7191" s="8" t="n"/>
      <c r="R7191" s="8" t="n"/>
      <c r="S7191" s="8" t="n"/>
      <c r="T7191" s="8" t="n"/>
      <c r="U7191" s="8" t="n"/>
      <c r="V7191" s="8" t="n"/>
      <c r="W7191" s="8" t="n"/>
      <c r="X7191" s="8" t="n"/>
      <c r="Y7191" s="8" t="n"/>
    </row>
    <row r="7192">
      <c r="A7192" s="8" t="n"/>
      <c r="B7192" s="8" t="n"/>
      <c r="C7192" s="8" t="n"/>
      <c r="D7192" s="8" t="n"/>
      <c r="E7192" s="8" t="n"/>
      <c r="F7192" s="8" t="n"/>
      <c r="G7192" s="8" t="n"/>
      <c r="H7192" s="8" t="n"/>
      <c r="I7192" s="8" t="n"/>
      <c r="J7192" s="8" t="n"/>
      <c r="K7192" s="8" t="n"/>
      <c r="L7192" s="8" t="n"/>
      <c r="M7192" s="9">
        <f>B7192+30</f>
        <v/>
      </c>
      <c r="N7192">
        <f>IF(L7192="", "", L7192-B7192)</f>
        <v/>
      </c>
      <c r="O7192">
        <f>IF(L7192="", "Pending", IF(N7192&lt;=30, "Met", "Breached"))</f>
        <v/>
      </c>
      <c r="P7192" s="8" t="n"/>
      <c r="Q7192" s="8" t="n"/>
      <c r="R7192" s="8" t="n"/>
      <c r="S7192" s="8" t="n"/>
      <c r="T7192" s="8" t="n"/>
      <c r="U7192" s="8" t="n"/>
      <c r="V7192" s="8" t="n"/>
      <c r="W7192" s="8" t="n"/>
      <c r="X7192" s="8" t="n"/>
      <c r="Y7192" s="8" t="n"/>
    </row>
    <row r="7193">
      <c r="A7193" s="8" t="n"/>
      <c r="B7193" s="8" t="n"/>
      <c r="C7193" s="8" t="n"/>
      <c r="D7193" s="8" t="n"/>
      <c r="E7193" s="8" t="n"/>
      <c r="F7193" s="8" t="n"/>
      <c r="G7193" s="8" t="n"/>
      <c r="H7193" s="8" t="n"/>
      <c r="I7193" s="8" t="n"/>
      <c r="J7193" s="8" t="n"/>
      <c r="K7193" s="8" t="n"/>
      <c r="L7193" s="8" t="n"/>
      <c r="M7193" s="9">
        <f>B7193+30</f>
        <v/>
      </c>
      <c r="N7193">
        <f>IF(L7193="", "", L7193-B7193)</f>
        <v/>
      </c>
      <c r="O7193">
        <f>IF(L7193="", "Pending", IF(N7193&lt;=30, "Met", "Breached"))</f>
        <v/>
      </c>
      <c r="P7193" s="8" t="n"/>
      <c r="Q7193" s="8" t="n"/>
      <c r="R7193" s="8" t="n"/>
      <c r="S7193" s="8" t="n"/>
      <c r="T7193" s="8" t="n"/>
      <c r="U7193" s="8" t="n"/>
      <c r="V7193" s="8" t="n"/>
      <c r="W7193" s="8" t="n"/>
      <c r="X7193" s="8" t="n"/>
      <c r="Y7193" s="8" t="n"/>
    </row>
    <row r="7194">
      <c r="A7194" s="8" t="n"/>
      <c r="B7194" s="8" t="n"/>
      <c r="C7194" s="8" t="n"/>
      <c r="D7194" s="8" t="n"/>
      <c r="E7194" s="8" t="n"/>
      <c r="F7194" s="8" t="n"/>
      <c r="G7194" s="8" t="n"/>
      <c r="H7194" s="8" t="n"/>
      <c r="I7194" s="8" t="n"/>
      <c r="J7194" s="8" t="n"/>
      <c r="K7194" s="8" t="n"/>
      <c r="L7194" s="8" t="n"/>
      <c r="M7194" s="9">
        <f>B7194+30</f>
        <v/>
      </c>
      <c r="N7194">
        <f>IF(L7194="", "", L7194-B7194)</f>
        <v/>
      </c>
      <c r="O7194">
        <f>IF(L7194="", "Pending", IF(N7194&lt;=30, "Met", "Breached"))</f>
        <v/>
      </c>
      <c r="P7194" s="8" t="n"/>
      <c r="Q7194" s="8" t="n"/>
      <c r="R7194" s="8" t="n"/>
      <c r="S7194" s="8" t="n"/>
      <c r="T7194" s="8" t="n"/>
      <c r="U7194" s="8" t="n"/>
      <c r="V7194" s="8" t="n"/>
      <c r="W7194" s="8" t="n"/>
      <c r="X7194" s="8" t="n"/>
      <c r="Y7194" s="8" t="n"/>
    </row>
    <row r="7195">
      <c r="A7195" s="8" t="n"/>
      <c r="B7195" s="8" t="n"/>
      <c r="C7195" s="8" t="n"/>
      <c r="D7195" s="8" t="n"/>
      <c r="E7195" s="8" t="n"/>
      <c r="F7195" s="8" t="n"/>
      <c r="G7195" s="8" t="n"/>
      <c r="H7195" s="8" t="n"/>
      <c r="I7195" s="8" t="n"/>
      <c r="J7195" s="8" t="n"/>
      <c r="K7195" s="8" t="n"/>
      <c r="L7195" s="8" t="n"/>
      <c r="M7195" s="9">
        <f>B7195+30</f>
        <v/>
      </c>
      <c r="N7195">
        <f>IF(L7195="", "", L7195-B7195)</f>
        <v/>
      </c>
      <c r="O7195">
        <f>IF(L7195="", "Pending", IF(N7195&lt;=30, "Met", "Breached"))</f>
        <v/>
      </c>
      <c r="P7195" s="8" t="n"/>
      <c r="Q7195" s="8" t="n"/>
      <c r="R7195" s="8" t="n"/>
      <c r="S7195" s="8" t="n"/>
      <c r="T7195" s="8" t="n"/>
      <c r="U7195" s="8" t="n"/>
      <c r="V7195" s="8" t="n"/>
      <c r="W7195" s="8" t="n"/>
      <c r="X7195" s="8" t="n"/>
      <c r="Y7195" s="8" t="n"/>
    </row>
    <row r="7196">
      <c r="A7196" s="8" t="n"/>
      <c r="B7196" s="8" t="n"/>
      <c r="C7196" s="8" t="n"/>
      <c r="D7196" s="8" t="n"/>
      <c r="E7196" s="8" t="n"/>
      <c r="F7196" s="8" t="n"/>
      <c r="G7196" s="8" t="n"/>
      <c r="H7196" s="8" t="n"/>
      <c r="I7196" s="8" t="n"/>
      <c r="J7196" s="8" t="n"/>
      <c r="K7196" s="8" t="n"/>
      <c r="L7196" s="8" t="n"/>
      <c r="M7196" s="9">
        <f>B7196+30</f>
        <v/>
      </c>
      <c r="N7196">
        <f>IF(L7196="", "", L7196-B7196)</f>
        <v/>
      </c>
      <c r="O7196">
        <f>IF(L7196="", "Pending", IF(N7196&lt;=30, "Met", "Breached"))</f>
        <v/>
      </c>
      <c r="P7196" s="8" t="n"/>
      <c r="Q7196" s="8" t="n"/>
      <c r="R7196" s="8" t="n"/>
      <c r="S7196" s="8" t="n"/>
      <c r="T7196" s="8" t="n"/>
      <c r="U7196" s="8" t="n"/>
      <c r="V7196" s="8" t="n"/>
      <c r="W7196" s="8" t="n"/>
      <c r="X7196" s="8" t="n"/>
      <c r="Y7196" s="8" t="n"/>
    </row>
    <row r="7197">
      <c r="A7197" s="8" t="n"/>
      <c r="B7197" s="8" t="n"/>
      <c r="C7197" s="8" t="n"/>
      <c r="D7197" s="8" t="n"/>
      <c r="E7197" s="8" t="n"/>
      <c r="F7197" s="8" t="n"/>
      <c r="G7197" s="8" t="n"/>
      <c r="H7197" s="8" t="n"/>
      <c r="I7197" s="8" t="n"/>
      <c r="J7197" s="8" t="n"/>
      <c r="K7197" s="8" t="n"/>
      <c r="L7197" s="8" t="n"/>
      <c r="M7197" s="9">
        <f>B7197+30</f>
        <v/>
      </c>
      <c r="N7197">
        <f>IF(L7197="", "", L7197-B7197)</f>
        <v/>
      </c>
      <c r="O7197">
        <f>IF(L7197="", "Pending", IF(N7197&lt;=30, "Met", "Breached"))</f>
        <v/>
      </c>
      <c r="P7197" s="8" t="n"/>
      <c r="Q7197" s="8" t="n"/>
      <c r="R7197" s="8" t="n"/>
      <c r="S7197" s="8" t="n"/>
      <c r="T7197" s="8" t="n"/>
      <c r="U7197" s="8" t="n"/>
      <c r="V7197" s="8" t="n"/>
      <c r="W7197" s="8" t="n"/>
      <c r="X7197" s="8" t="n"/>
      <c r="Y7197" s="8" t="n"/>
    </row>
    <row r="7198">
      <c r="A7198" s="8" t="n"/>
      <c r="B7198" s="8" t="n"/>
      <c r="C7198" s="8" t="n"/>
      <c r="D7198" s="8" t="n"/>
      <c r="E7198" s="8" t="n"/>
      <c r="F7198" s="8" t="n"/>
      <c r="G7198" s="8" t="n"/>
      <c r="H7198" s="8" t="n"/>
      <c r="I7198" s="8" t="n"/>
      <c r="J7198" s="8" t="n"/>
      <c r="K7198" s="8" t="n"/>
      <c r="L7198" s="8" t="n"/>
      <c r="M7198" s="9">
        <f>B7198+30</f>
        <v/>
      </c>
      <c r="N7198">
        <f>IF(L7198="", "", L7198-B7198)</f>
        <v/>
      </c>
      <c r="O7198">
        <f>IF(L7198="", "Pending", IF(N7198&lt;=30, "Met", "Breached"))</f>
        <v/>
      </c>
      <c r="P7198" s="8" t="n"/>
      <c r="Q7198" s="8" t="n"/>
      <c r="R7198" s="8" t="n"/>
      <c r="S7198" s="8" t="n"/>
      <c r="T7198" s="8" t="n"/>
      <c r="U7198" s="8" t="n"/>
      <c r="V7198" s="8" t="n"/>
      <c r="W7198" s="8" t="n"/>
      <c r="X7198" s="8" t="n"/>
      <c r="Y7198" s="8" t="n"/>
    </row>
    <row r="7199">
      <c r="A7199" s="8" t="n"/>
      <c r="B7199" s="8" t="n"/>
      <c r="C7199" s="8" t="n"/>
      <c r="D7199" s="8" t="n"/>
      <c r="E7199" s="8" t="n"/>
      <c r="F7199" s="8" t="n"/>
      <c r="G7199" s="8" t="n"/>
      <c r="H7199" s="8" t="n"/>
      <c r="I7199" s="8" t="n"/>
      <c r="J7199" s="8" t="n"/>
      <c r="K7199" s="8" t="n"/>
      <c r="L7199" s="8" t="n"/>
      <c r="M7199" s="9">
        <f>B7199+30</f>
        <v/>
      </c>
      <c r="N7199">
        <f>IF(L7199="", "", L7199-B7199)</f>
        <v/>
      </c>
      <c r="O7199">
        <f>IF(L7199="", "Pending", IF(N7199&lt;=30, "Met", "Breached"))</f>
        <v/>
      </c>
      <c r="P7199" s="8" t="n"/>
      <c r="Q7199" s="8" t="n"/>
      <c r="R7199" s="8" t="n"/>
      <c r="S7199" s="8" t="n"/>
      <c r="T7199" s="8" t="n"/>
      <c r="U7199" s="8" t="n"/>
      <c r="V7199" s="8" t="n"/>
      <c r="W7199" s="8" t="n"/>
      <c r="X7199" s="8" t="n"/>
      <c r="Y7199" s="8" t="n"/>
    </row>
    <row r="7200">
      <c r="A7200" s="8" t="n"/>
      <c r="B7200" s="8" t="n"/>
      <c r="C7200" s="8" t="n"/>
      <c r="D7200" s="8" t="n"/>
      <c r="E7200" s="8" t="n"/>
      <c r="F7200" s="8" t="n"/>
      <c r="G7200" s="8" t="n"/>
      <c r="H7200" s="8" t="n"/>
      <c r="I7200" s="8" t="n"/>
      <c r="J7200" s="8" t="n"/>
      <c r="K7200" s="8" t="n"/>
      <c r="L7200" s="8" t="n"/>
      <c r="M7200" s="9">
        <f>B7200+30</f>
        <v/>
      </c>
      <c r="N7200">
        <f>IF(L7200="", "", L7200-B7200)</f>
        <v/>
      </c>
      <c r="O7200">
        <f>IF(L7200="", "Pending", IF(N7200&lt;=30, "Met", "Breached"))</f>
        <v/>
      </c>
      <c r="P7200" s="8" t="n"/>
      <c r="Q7200" s="8" t="n"/>
      <c r="R7200" s="8" t="n"/>
      <c r="S7200" s="8" t="n"/>
      <c r="T7200" s="8" t="n"/>
      <c r="U7200" s="8" t="n"/>
      <c r="V7200" s="8" t="n"/>
      <c r="W7200" s="8" t="n"/>
      <c r="X7200" s="8" t="n"/>
      <c r="Y7200" s="8" t="n"/>
    </row>
    <row r="7201">
      <c r="A7201" s="8" t="n"/>
      <c r="B7201" s="8" t="n"/>
      <c r="C7201" s="8" t="n"/>
      <c r="D7201" s="8" t="n"/>
      <c r="E7201" s="8" t="n"/>
      <c r="F7201" s="8" t="n"/>
      <c r="G7201" s="8" t="n"/>
      <c r="H7201" s="8" t="n"/>
      <c r="I7201" s="8" t="n"/>
      <c r="J7201" s="8" t="n"/>
      <c r="K7201" s="8" t="n"/>
      <c r="L7201" s="8" t="n"/>
      <c r="M7201" s="9">
        <f>B7201+30</f>
        <v/>
      </c>
      <c r="N7201">
        <f>IF(L7201="", "", L7201-B7201)</f>
        <v/>
      </c>
      <c r="O7201">
        <f>IF(L7201="", "Pending", IF(N7201&lt;=30, "Met", "Breached"))</f>
        <v/>
      </c>
      <c r="P7201" s="8" t="n"/>
      <c r="Q7201" s="8" t="n"/>
      <c r="R7201" s="8" t="n"/>
      <c r="S7201" s="8" t="n"/>
      <c r="T7201" s="8" t="n"/>
      <c r="U7201" s="8" t="n"/>
      <c r="V7201" s="8" t="n"/>
      <c r="W7201" s="8" t="n"/>
      <c r="X7201" s="8" t="n"/>
      <c r="Y7201" s="8" t="n"/>
    </row>
    <row r="7202">
      <c r="A7202" s="8" t="n"/>
      <c r="B7202" s="8" t="n"/>
      <c r="C7202" s="8" t="n"/>
      <c r="D7202" s="8" t="n"/>
      <c r="E7202" s="8" t="n"/>
      <c r="F7202" s="8" t="n"/>
      <c r="G7202" s="8" t="n"/>
      <c r="H7202" s="8" t="n"/>
      <c r="I7202" s="8" t="n"/>
      <c r="J7202" s="8" t="n"/>
      <c r="K7202" s="8" t="n"/>
      <c r="L7202" s="8" t="n"/>
      <c r="M7202" s="9">
        <f>B7202+30</f>
        <v/>
      </c>
      <c r="N7202">
        <f>IF(L7202="", "", L7202-B7202)</f>
        <v/>
      </c>
      <c r="O7202">
        <f>IF(L7202="", "Pending", IF(N7202&lt;=30, "Met", "Breached"))</f>
        <v/>
      </c>
      <c r="P7202" s="8" t="n"/>
      <c r="Q7202" s="8" t="n"/>
      <c r="R7202" s="8" t="n"/>
      <c r="S7202" s="8" t="n"/>
      <c r="T7202" s="8" t="n"/>
      <c r="U7202" s="8" t="n"/>
      <c r="V7202" s="8" t="n"/>
      <c r="W7202" s="8" t="n"/>
      <c r="X7202" s="8" t="n"/>
      <c r="Y7202" s="8" t="n"/>
    </row>
    <row r="7203">
      <c r="A7203" s="8" t="n"/>
      <c r="B7203" s="8" t="n"/>
      <c r="C7203" s="8" t="n"/>
      <c r="D7203" s="8" t="n"/>
      <c r="E7203" s="8" t="n"/>
      <c r="F7203" s="8" t="n"/>
      <c r="G7203" s="8" t="n"/>
      <c r="H7203" s="8" t="n"/>
      <c r="I7203" s="8" t="n"/>
      <c r="J7203" s="8" t="n"/>
      <c r="K7203" s="8" t="n"/>
      <c r="L7203" s="8" t="n"/>
      <c r="M7203" s="9">
        <f>B7203+30</f>
        <v/>
      </c>
      <c r="N7203">
        <f>IF(L7203="", "", L7203-B7203)</f>
        <v/>
      </c>
      <c r="O7203">
        <f>IF(L7203="", "Pending", IF(N7203&lt;=30, "Met", "Breached"))</f>
        <v/>
      </c>
      <c r="P7203" s="8" t="n"/>
      <c r="Q7203" s="8" t="n"/>
      <c r="R7203" s="8" t="n"/>
      <c r="S7203" s="8" t="n"/>
      <c r="T7203" s="8" t="n"/>
      <c r="U7203" s="8" t="n"/>
      <c r="V7203" s="8" t="n"/>
      <c r="W7203" s="8" t="n"/>
      <c r="X7203" s="8" t="n"/>
      <c r="Y7203" s="8" t="n"/>
    </row>
    <row r="7204">
      <c r="A7204" s="8" t="n"/>
      <c r="B7204" s="8" t="n"/>
      <c r="C7204" s="8" t="n"/>
      <c r="D7204" s="8" t="n"/>
      <c r="E7204" s="8" t="n"/>
      <c r="F7204" s="8" t="n"/>
      <c r="G7204" s="8" t="n"/>
      <c r="H7204" s="8" t="n"/>
      <c r="I7204" s="8" t="n"/>
      <c r="J7204" s="8" t="n"/>
      <c r="K7204" s="8" t="n"/>
      <c r="L7204" s="8" t="n"/>
      <c r="M7204" s="9">
        <f>B7204+30</f>
        <v/>
      </c>
      <c r="N7204">
        <f>IF(L7204="", "", L7204-B7204)</f>
        <v/>
      </c>
      <c r="O7204">
        <f>IF(L7204="", "Pending", IF(N7204&lt;=30, "Met", "Breached"))</f>
        <v/>
      </c>
      <c r="P7204" s="8" t="n"/>
      <c r="Q7204" s="8" t="n"/>
      <c r="R7204" s="8" t="n"/>
      <c r="S7204" s="8" t="n"/>
      <c r="T7204" s="8" t="n"/>
      <c r="U7204" s="8" t="n"/>
      <c r="V7204" s="8" t="n"/>
      <c r="W7204" s="8" t="n"/>
      <c r="X7204" s="8" t="n"/>
      <c r="Y7204" s="8" t="n"/>
    </row>
    <row r="7205">
      <c r="A7205" s="8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8" t="n"/>
      <c r="K7205" s="8" t="n"/>
      <c r="L7205" s="8" t="n"/>
      <c r="M7205" s="9">
        <f>B7205+30</f>
        <v/>
      </c>
      <c r="N7205">
        <f>IF(L7205="", "", L7205-B7205)</f>
        <v/>
      </c>
      <c r="O7205">
        <f>IF(L7205="", "Pending", IF(N7205&lt;=30, "Met", "Breached"))</f>
        <v/>
      </c>
      <c r="P7205" s="8" t="n"/>
      <c r="Q7205" s="8" t="n"/>
      <c r="R7205" s="8" t="n"/>
      <c r="S7205" s="8" t="n"/>
      <c r="T7205" s="8" t="n"/>
      <c r="U7205" s="8" t="n"/>
      <c r="V7205" s="8" t="n"/>
      <c r="W7205" s="8" t="n"/>
      <c r="X7205" s="8" t="n"/>
      <c r="Y7205" s="8" t="n"/>
    </row>
    <row r="7206">
      <c r="A7206" s="8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8" t="n"/>
      <c r="K7206" s="8" t="n"/>
      <c r="L7206" s="8" t="n"/>
      <c r="M7206" s="9">
        <f>B7206+30</f>
        <v/>
      </c>
      <c r="N7206">
        <f>IF(L7206="", "", L7206-B7206)</f>
        <v/>
      </c>
      <c r="O7206">
        <f>IF(L7206="", "Pending", IF(N7206&lt;=30, "Met", "Breached"))</f>
        <v/>
      </c>
      <c r="P7206" s="8" t="n"/>
      <c r="Q7206" s="8" t="n"/>
      <c r="R7206" s="8" t="n"/>
      <c r="S7206" s="8" t="n"/>
      <c r="T7206" s="8" t="n"/>
      <c r="U7206" s="8" t="n"/>
      <c r="V7206" s="8" t="n"/>
      <c r="W7206" s="8" t="n"/>
      <c r="X7206" s="8" t="n"/>
      <c r="Y7206" s="8" t="n"/>
    </row>
    <row r="7207">
      <c r="A7207" s="8" t="n"/>
      <c r="B7207" s="8" t="n"/>
      <c r="C7207" s="8" t="n"/>
      <c r="D7207" s="8" t="n"/>
      <c r="E7207" s="8" t="n"/>
      <c r="F7207" s="8" t="n"/>
      <c r="G7207" s="8" t="n"/>
      <c r="H7207" s="8" t="n"/>
      <c r="I7207" s="8" t="n"/>
      <c r="J7207" s="8" t="n"/>
      <c r="K7207" s="8" t="n"/>
      <c r="L7207" s="8" t="n"/>
      <c r="M7207" s="9">
        <f>B7207+30</f>
        <v/>
      </c>
      <c r="N7207">
        <f>IF(L7207="", "", L7207-B7207)</f>
        <v/>
      </c>
      <c r="O7207">
        <f>IF(L7207="", "Pending", IF(N7207&lt;=30, "Met", "Breached"))</f>
        <v/>
      </c>
      <c r="P7207" s="8" t="n"/>
      <c r="Q7207" s="8" t="n"/>
      <c r="R7207" s="8" t="n"/>
      <c r="S7207" s="8" t="n"/>
      <c r="T7207" s="8" t="n"/>
      <c r="U7207" s="8" t="n"/>
      <c r="V7207" s="8" t="n"/>
      <c r="W7207" s="8" t="n"/>
      <c r="X7207" s="8" t="n"/>
      <c r="Y7207" s="8" t="n"/>
    </row>
    <row r="7208">
      <c r="A7208" s="8" t="n"/>
      <c r="B7208" s="8" t="n"/>
      <c r="C7208" s="8" t="n"/>
      <c r="D7208" s="8" t="n"/>
      <c r="E7208" s="8" t="n"/>
      <c r="F7208" s="8" t="n"/>
      <c r="G7208" s="8" t="n"/>
      <c r="H7208" s="8" t="n"/>
      <c r="I7208" s="8" t="n"/>
      <c r="J7208" s="8" t="n"/>
      <c r="K7208" s="8" t="n"/>
      <c r="L7208" s="8" t="n"/>
      <c r="M7208" s="9">
        <f>B7208+30</f>
        <v/>
      </c>
      <c r="N7208">
        <f>IF(L7208="", "", L7208-B7208)</f>
        <v/>
      </c>
      <c r="O7208">
        <f>IF(L7208="", "Pending", IF(N7208&lt;=30, "Met", "Breached"))</f>
        <v/>
      </c>
      <c r="P7208" s="8" t="n"/>
      <c r="Q7208" s="8" t="n"/>
      <c r="R7208" s="8" t="n"/>
      <c r="S7208" s="8" t="n"/>
      <c r="T7208" s="8" t="n"/>
      <c r="U7208" s="8" t="n"/>
      <c r="V7208" s="8" t="n"/>
      <c r="W7208" s="8" t="n"/>
      <c r="X7208" s="8" t="n"/>
      <c r="Y7208" s="8" t="n"/>
    </row>
    <row r="7209">
      <c r="A7209" s="8" t="n"/>
      <c r="B7209" s="8" t="n"/>
      <c r="C7209" s="8" t="n"/>
      <c r="D7209" s="8" t="n"/>
      <c r="E7209" s="8" t="n"/>
      <c r="F7209" s="8" t="n"/>
      <c r="G7209" s="8" t="n"/>
      <c r="H7209" s="8" t="n"/>
      <c r="I7209" s="8" t="n"/>
      <c r="J7209" s="8" t="n"/>
      <c r="K7209" s="8" t="n"/>
      <c r="L7209" s="8" t="n"/>
      <c r="M7209" s="9">
        <f>B7209+30</f>
        <v/>
      </c>
      <c r="N7209">
        <f>IF(L7209="", "", L7209-B7209)</f>
        <v/>
      </c>
      <c r="O7209">
        <f>IF(L7209="", "Pending", IF(N7209&lt;=30, "Met", "Breached"))</f>
        <v/>
      </c>
      <c r="P7209" s="8" t="n"/>
      <c r="Q7209" s="8" t="n"/>
      <c r="R7209" s="8" t="n"/>
      <c r="S7209" s="8" t="n"/>
      <c r="T7209" s="8" t="n"/>
      <c r="U7209" s="8" t="n"/>
      <c r="V7209" s="8" t="n"/>
      <c r="W7209" s="8" t="n"/>
      <c r="X7209" s="8" t="n"/>
      <c r="Y7209" s="8" t="n"/>
    </row>
    <row r="7210">
      <c r="A7210" s="8" t="n"/>
      <c r="B7210" s="8" t="n"/>
      <c r="C7210" s="8" t="n"/>
      <c r="D7210" s="8" t="n"/>
      <c r="E7210" s="8" t="n"/>
      <c r="F7210" s="8" t="n"/>
      <c r="G7210" s="8" t="n"/>
      <c r="H7210" s="8" t="n"/>
      <c r="I7210" s="8" t="n"/>
      <c r="J7210" s="8" t="n"/>
      <c r="K7210" s="8" t="n"/>
      <c r="L7210" s="8" t="n"/>
      <c r="M7210" s="9">
        <f>B7210+30</f>
        <v/>
      </c>
      <c r="N7210">
        <f>IF(L7210="", "", L7210-B7210)</f>
        <v/>
      </c>
      <c r="O7210">
        <f>IF(L7210="", "Pending", IF(N7210&lt;=30, "Met", "Breached"))</f>
        <v/>
      </c>
      <c r="P7210" s="8" t="n"/>
      <c r="Q7210" s="8" t="n"/>
      <c r="R7210" s="8" t="n"/>
      <c r="S7210" s="8" t="n"/>
      <c r="T7210" s="8" t="n"/>
      <c r="U7210" s="8" t="n"/>
      <c r="V7210" s="8" t="n"/>
      <c r="W7210" s="8" t="n"/>
      <c r="X7210" s="8" t="n"/>
      <c r="Y7210" s="8" t="n"/>
    </row>
    <row r="7211">
      <c r="A7211" s="8" t="n"/>
      <c r="B7211" s="8" t="n"/>
      <c r="C7211" s="8" t="n"/>
      <c r="D7211" s="8" t="n"/>
      <c r="E7211" s="8" t="n"/>
      <c r="F7211" s="8" t="n"/>
      <c r="G7211" s="8" t="n"/>
      <c r="H7211" s="8" t="n"/>
      <c r="I7211" s="8" t="n"/>
      <c r="J7211" s="8" t="n"/>
      <c r="K7211" s="8" t="n"/>
      <c r="L7211" s="8" t="n"/>
      <c r="M7211" s="9">
        <f>B7211+30</f>
        <v/>
      </c>
      <c r="N7211">
        <f>IF(L7211="", "", L7211-B7211)</f>
        <v/>
      </c>
      <c r="O7211">
        <f>IF(L7211="", "Pending", IF(N7211&lt;=30, "Met", "Breached"))</f>
        <v/>
      </c>
      <c r="P7211" s="8" t="n"/>
      <c r="Q7211" s="8" t="n"/>
      <c r="R7211" s="8" t="n"/>
      <c r="S7211" s="8" t="n"/>
      <c r="T7211" s="8" t="n"/>
      <c r="U7211" s="8" t="n"/>
      <c r="V7211" s="8" t="n"/>
      <c r="W7211" s="8" t="n"/>
      <c r="X7211" s="8" t="n"/>
      <c r="Y7211" s="8" t="n"/>
    </row>
    <row r="7212">
      <c r="A7212" s="8" t="n"/>
      <c r="B7212" s="8" t="n"/>
      <c r="C7212" s="8" t="n"/>
      <c r="D7212" s="8" t="n"/>
      <c r="E7212" s="8" t="n"/>
      <c r="F7212" s="8" t="n"/>
      <c r="G7212" s="8" t="n"/>
      <c r="H7212" s="8" t="n"/>
      <c r="I7212" s="8" t="n"/>
      <c r="J7212" s="8" t="n"/>
      <c r="K7212" s="8" t="n"/>
      <c r="L7212" s="8" t="n"/>
      <c r="M7212" s="9">
        <f>B7212+30</f>
        <v/>
      </c>
      <c r="N7212">
        <f>IF(L7212="", "", L7212-B7212)</f>
        <v/>
      </c>
      <c r="O7212">
        <f>IF(L7212="", "Pending", IF(N7212&lt;=30, "Met", "Breached"))</f>
        <v/>
      </c>
      <c r="P7212" s="8" t="n"/>
      <c r="Q7212" s="8" t="n"/>
      <c r="R7212" s="8" t="n"/>
      <c r="S7212" s="8" t="n"/>
      <c r="T7212" s="8" t="n"/>
      <c r="U7212" s="8" t="n"/>
      <c r="V7212" s="8" t="n"/>
      <c r="W7212" s="8" t="n"/>
      <c r="X7212" s="8" t="n"/>
      <c r="Y7212" s="8" t="n"/>
    </row>
    <row r="7213">
      <c r="A7213" s="8" t="n"/>
      <c r="B7213" s="8" t="n"/>
      <c r="C7213" s="8" t="n"/>
      <c r="D7213" s="8" t="n"/>
      <c r="E7213" s="8" t="n"/>
      <c r="F7213" s="8" t="n"/>
      <c r="G7213" s="8" t="n"/>
      <c r="H7213" s="8" t="n"/>
      <c r="I7213" s="8" t="n"/>
      <c r="J7213" s="8" t="n"/>
      <c r="K7213" s="8" t="n"/>
      <c r="L7213" s="8" t="n"/>
      <c r="M7213" s="9">
        <f>B7213+30</f>
        <v/>
      </c>
      <c r="N7213">
        <f>IF(L7213="", "", L7213-B7213)</f>
        <v/>
      </c>
      <c r="O7213">
        <f>IF(L7213="", "Pending", IF(N7213&lt;=30, "Met", "Breached"))</f>
        <v/>
      </c>
      <c r="P7213" s="8" t="n"/>
      <c r="Q7213" s="8" t="n"/>
      <c r="R7213" s="8" t="n"/>
      <c r="S7213" s="8" t="n"/>
      <c r="T7213" s="8" t="n"/>
      <c r="U7213" s="8" t="n"/>
      <c r="V7213" s="8" t="n"/>
      <c r="W7213" s="8" t="n"/>
      <c r="X7213" s="8" t="n"/>
      <c r="Y7213" s="8" t="n"/>
    </row>
    <row r="7214">
      <c r="A7214" s="8" t="n"/>
      <c r="B7214" s="8" t="n"/>
      <c r="C7214" s="8" t="n"/>
      <c r="D7214" s="8" t="n"/>
      <c r="E7214" s="8" t="n"/>
      <c r="F7214" s="8" t="n"/>
      <c r="G7214" s="8" t="n"/>
      <c r="H7214" s="8" t="n"/>
      <c r="I7214" s="8" t="n"/>
      <c r="J7214" s="8" t="n"/>
      <c r="K7214" s="8" t="n"/>
      <c r="L7214" s="8" t="n"/>
      <c r="M7214" s="9">
        <f>B7214+30</f>
        <v/>
      </c>
      <c r="N7214">
        <f>IF(L7214="", "", L7214-B7214)</f>
        <v/>
      </c>
      <c r="O7214">
        <f>IF(L7214="", "Pending", IF(N7214&lt;=30, "Met", "Breached"))</f>
        <v/>
      </c>
      <c r="P7214" s="8" t="n"/>
      <c r="Q7214" s="8" t="n"/>
      <c r="R7214" s="8" t="n"/>
      <c r="S7214" s="8" t="n"/>
      <c r="T7214" s="8" t="n"/>
      <c r="U7214" s="8" t="n"/>
      <c r="V7214" s="8" t="n"/>
      <c r="W7214" s="8" t="n"/>
      <c r="X7214" s="8" t="n"/>
      <c r="Y7214" s="8" t="n"/>
    </row>
    <row r="7215">
      <c r="A7215" s="8" t="n"/>
      <c r="B7215" s="8" t="n"/>
      <c r="C7215" s="8" t="n"/>
      <c r="D7215" s="8" t="n"/>
      <c r="E7215" s="8" t="n"/>
      <c r="F7215" s="8" t="n"/>
      <c r="G7215" s="8" t="n"/>
      <c r="H7215" s="8" t="n"/>
      <c r="I7215" s="8" t="n"/>
      <c r="J7215" s="8" t="n"/>
      <c r="K7215" s="8" t="n"/>
      <c r="L7215" s="8" t="n"/>
      <c r="M7215" s="9">
        <f>B7215+30</f>
        <v/>
      </c>
      <c r="N7215">
        <f>IF(L7215="", "", L7215-B7215)</f>
        <v/>
      </c>
      <c r="O7215">
        <f>IF(L7215="", "Pending", IF(N7215&lt;=30, "Met", "Breached"))</f>
        <v/>
      </c>
      <c r="P7215" s="8" t="n"/>
      <c r="Q7215" s="8" t="n"/>
      <c r="R7215" s="8" t="n"/>
      <c r="S7215" s="8" t="n"/>
      <c r="T7215" s="8" t="n"/>
      <c r="U7215" s="8" t="n"/>
      <c r="V7215" s="8" t="n"/>
      <c r="W7215" s="8" t="n"/>
      <c r="X7215" s="8" t="n"/>
      <c r="Y7215" s="8" t="n"/>
    </row>
    <row r="7216">
      <c r="A7216" s="8" t="n"/>
      <c r="B7216" s="8" t="n"/>
      <c r="C7216" s="8" t="n"/>
      <c r="D7216" s="8" t="n"/>
      <c r="E7216" s="8" t="n"/>
      <c r="F7216" s="8" t="n"/>
      <c r="G7216" s="8" t="n"/>
      <c r="H7216" s="8" t="n"/>
      <c r="I7216" s="8" t="n"/>
      <c r="J7216" s="8" t="n"/>
      <c r="K7216" s="8" t="n"/>
      <c r="L7216" s="8" t="n"/>
      <c r="M7216" s="9">
        <f>B7216+30</f>
        <v/>
      </c>
      <c r="N7216">
        <f>IF(L7216="", "", L7216-B7216)</f>
        <v/>
      </c>
      <c r="O7216">
        <f>IF(L7216="", "Pending", IF(N7216&lt;=30, "Met", "Breached"))</f>
        <v/>
      </c>
      <c r="P7216" s="8" t="n"/>
      <c r="Q7216" s="8" t="n"/>
      <c r="R7216" s="8" t="n"/>
      <c r="S7216" s="8" t="n"/>
      <c r="T7216" s="8" t="n"/>
      <c r="U7216" s="8" t="n"/>
      <c r="V7216" s="8" t="n"/>
      <c r="W7216" s="8" t="n"/>
      <c r="X7216" s="8" t="n"/>
      <c r="Y7216" s="8" t="n"/>
    </row>
    <row r="7217">
      <c r="A7217" s="8" t="n"/>
      <c r="B7217" s="8" t="n"/>
      <c r="C7217" s="8" t="n"/>
      <c r="D7217" s="8" t="n"/>
      <c r="E7217" s="8" t="n"/>
      <c r="F7217" s="8" t="n"/>
      <c r="G7217" s="8" t="n"/>
      <c r="H7217" s="8" t="n"/>
      <c r="I7217" s="8" t="n"/>
      <c r="J7217" s="8" t="n"/>
      <c r="K7217" s="8" t="n"/>
      <c r="L7217" s="8" t="n"/>
      <c r="M7217" s="9">
        <f>B7217+30</f>
        <v/>
      </c>
      <c r="N7217">
        <f>IF(L7217="", "", L7217-B7217)</f>
        <v/>
      </c>
      <c r="O7217">
        <f>IF(L7217="", "Pending", IF(N7217&lt;=30, "Met", "Breached"))</f>
        <v/>
      </c>
      <c r="P7217" s="8" t="n"/>
      <c r="Q7217" s="8" t="n"/>
      <c r="R7217" s="8" t="n"/>
      <c r="S7217" s="8" t="n"/>
      <c r="T7217" s="8" t="n"/>
      <c r="U7217" s="8" t="n"/>
      <c r="V7217" s="8" t="n"/>
      <c r="W7217" s="8" t="n"/>
      <c r="X7217" s="8" t="n"/>
      <c r="Y7217" s="8" t="n"/>
    </row>
    <row r="7218">
      <c r="A7218" s="8" t="n"/>
      <c r="B7218" s="8" t="n"/>
      <c r="C7218" s="8" t="n"/>
      <c r="D7218" s="8" t="n"/>
      <c r="E7218" s="8" t="n"/>
      <c r="F7218" s="8" t="n"/>
      <c r="G7218" s="8" t="n"/>
      <c r="H7218" s="8" t="n"/>
      <c r="I7218" s="8" t="n"/>
      <c r="J7218" s="8" t="n"/>
      <c r="K7218" s="8" t="n"/>
      <c r="L7218" s="8" t="n"/>
      <c r="M7218" s="9">
        <f>B7218+30</f>
        <v/>
      </c>
      <c r="N7218">
        <f>IF(L7218="", "", L7218-B7218)</f>
        <v/>
      </c>
      <c r="O7218">
        <f>IF(L7218="", "Pending", IF(N7218&lt;=30, "Met", "Breached"))</f>
        <v/>
      </c>
      <c r="P7218" s="8" t="n"/>
      <c r="Q7218" s="8" t="n"/>
      <c r="R7218" s="8" t="n"/>
      <c r="S7218" s="8" t="n"/>
      <c r="T7218" s="8" t="n"/>
      <c r="U7218" s="8" t="n"/>
      <c r="V7218" s="8" t="n"/>
      <c r="W7218" s="8" t="n"/>
      <c r="X7218" s="8" t="n"/>
      <c r="Y7218" s="8" t="n"/>
    </row>
    <row r="7219">
      <c r="A7219" s="8" t="n"/>
      <c r="B7219" s="8" t="n"/>
      <c r="C7219" s="8" t="n"/>
      <c r="D7219" s="8" t="n"/>
      <c r="E7219" s="8" t="n"/>
      <c r="F7219" s="8" t="n"/>
      <c r="G7219" s="8" t="n"/>
      <c r="H7219" s="8" t="n"/>
      <c r="I7219" s="8" t="n"/>
      <c r="J7219" s="8" t="n"/>
      <c r="K7219" s="8" t="n"/>
      <c r="L7219" s="8" t="n"/>
      <c r="M7219" s="9">
        <f>B7219+30</f>
        <v/>
      </c>
      <c r="N7219">
        <f>IF(L7219="", "", L7219-B7219)</f>
        <v/>
      </c>
      <c r="O7219">
        <f>IF(L7219="", "Pending", IF(N7219&lt;=30, "Met", "Breached"))</f>
        <v/>
      </c>
      <c r="P7219" s="8" t="n"/>
      <c r="Q7219" s="8" t="n"/>
      <c r="R7219" s="8" t="n"/>
      <c r="S7219" s="8" t="n"/>
      <c r="T7219" s="8" t="n"/>
      <c r="U7219" s="8" t="n"/>
      <c r="V7219" s="8" t="n"/>
      <c r="W7219" s="8" t="n"/>
      <c r="X7219" s="8" t="n"/>
      <c r="Y7219" s="8" t="n"/>
    </row>
    <row r="7220">
      <c r="A7220" s="8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8" t="n"/>
      <c r="K7220" s="8" t="n"/>
      <c r="L7220" s="8" t="n"/>
      <c r="M7220" s="9">
        <f>B7220+30</f>
        <v/>
      </c>
      <c r="N7220">
        <f>IF(L7220="", "", L7220-B7220)</f>
        <v/>
      </c>
      <c r="O7220">
        <f>IF(L7220="", "Pending", IF(N7220&lt;=30, "Met", "Breached"))</f>
        <v/>
      </c>
      <c r="P7220" s="8" t="n"/>
      <c r="Q7220" s="8" t="n"/>
      <c r="R7220" s="8" t="n"/>
      <c r="S7220" s="8" t="n"/>
      <c r="T7220" s="8" t="n"/>
      <c r="U7220" s="8" t="n"/>
      <c r="V7220" s="8" t="n"/>
      <c r="W7220" s="8" t="n"/>
      <c r="X7220" s="8" t="n"/>
      <c r="Y7220" s="8" t="n"/>
    </row>
    <row r="7221">
      <c r="A7221" s="8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8" t="n"/>
      <c r="K7221" s="8" t="n"/>
      <c r="L7221" s="8" t="n"/>
      <c r="M7221" s="9">
        <f>B7221+30</f>
        <v/>
      </c>
      <c r="N7221">
        <f>IF(L7221="", "", L7221-B7221)</f>
        <v/>
      </c>
      <c r="O7221">
        <f>IF(L7221="", "Pending", IF(N7221&lt;=30, "Met", "Breached"))</f>
        <v/>
      </c>
      <c r="P7221" s="8" t="n"/>
      <c r="Q7221" s="8" t="n"/>
      <c r="R7221" s="8" t="n"/>
      <c r="S7221" s="8" t="n"/>
      <c r="T7221" s="8" t="n"/>
      <c r="U7221" s="8" t="n"/>
      <c r="V7221" s="8" t="n"/>
      <c r="W7221" s="8" t="n"/>
      <c r="X7221" s="8" t="n"/>
      <c r="Y7221" s="8" t="n"/>
    </row>
    <row r="7222">
      <c r="A7222" s="8" t="n"/>
      <c r="B7222" s="8" t="n"/>
      <c r="C7222" s="8" t="n"/>
      <c r="D7222" s="8" t="n"/>
      <c r="E7222" s="8" t="n"/>
      <c r="F7222" s="8" t="n"/>
      <c r="G7222" s="8" t="n"/>
      <c r="H7222" s="8" t="n"/>
      <c r="I7222" s="8" t="n"/>
      <c r="J7222" s="8" t="n"/>
      <c r="K7222" s="8" t="n"/>
      <c r="L7222" s="8" t="n"/>
      <c r="M7222" s="9">
        <f>B7222+30</f>
        <v/>
      </c>
      <c r="N7222">
        <f>IF(L7222="", "", L7222-B7222)</f>
        <v/>
      </c>
      <c r="O7222">
        <f>IF(L7222="", "Pending", IF(N7222&lt;=30, "Met", "Breached"))</f>
        <v/>
      </c>
      <c r="P7222" s="8" t="n"/>
      <c r="Q7222" s="8" t="n"/>
      <c r="R7222" s="8" t="n"/>
      <c r="S7222" s="8" t="n"/>
      <c r="T7222" s="8" t="n"/>
      <c r="U7222" s="8" t="n"/>
      <c r="V7222" s="8" t="n"/>
      <c r="W7222" s="8" t="n"/>
      <c r="X7222" s="8" t="n"/>
      <c r="Y7222" s="8" t="n"/>
    </row>
    <row r="7223">
      <c r="A7223" s="8" t="n"/>
      <c r="B7223" s="8" t="n"/>
      <c r="C7223" s="8" t="n"/>
      <c r="D7223" s="8" t="n"/>
      <c r="E7223" s="8" t="n"/>
      <c r="F7223" s="8" t="n"/>
      <c r="G7223" s="8" t="n"/>
      <c r="H7223" s="8" t="n"/>
      <c r="I7223" s="8" t="n"/>
      <c r="J7223" s="8" t="n"/>
      <c r="K7223" s="8" t="n"/>
      <c r="L7223" s="8" t="n"/>
      <c r="M7223" s="9">
        <f>B7223+30</f>
        <v/>
      </c>
      <c r="N7223">
        <f>IF(L7223="", "", L7223-B7223)</f>
        <v/>
      </c>
      <c r="O7223">
        <f>IF(L7223="", "Pending", IF(N7223&lt;=30, "Met", "Breached"))</f>
        <v/>
      </c>
      <c r="P7223" s="8" t="n"/>
      <c r="Q7223" s="8" t="n"/>
      <c r="R7223" s="8" t="n"/>
      <c r="S7223" s="8" t="n"/>
      <c r="T7223" s="8" t="n"/>
      <c r="U7223" s="8" t="n"/>
      <c r="V7223" s="8" t="n"/>
      <c r="W7223" s="8" t="n"/>
      <c r="X7223" s="8" t="n"/>
      <c r="Y7223" s="8" t="n"/>
    </row>
    <row r="7224">
      <c r="A7224" s="8" t="n"/>
      <c r="B7224" s="8" t="n"/>
      <c r="C7224" s="8" t="n"/>
      <c r="D7224" s="8" t="n"/>
      <c r="E7224" s="8" t="n"/>
      <c r="F7224" s="8" t="n"/>
      <c r="G7224" s="8" t="n"/>
      <c r="H7224" s="8" t="n"/>
      <c r="I7224" s="8" t="n"/>
      <c r="J7224" s="8" t="n"/>
      <c r="K7224" s="8" t="n"/>
      <c r="L7224" s="8" t="n"/>
      <c r="M7224" s="9">
        <f>B7224+30</f>
        <v/>
      </c>
      <c r="N7224">
        <f>IF(L7224="", "", L7224-B7224)</f>
        <v/>
      </c>
      <c r="O7224">
        <f>IF(L7224="", "Pending", IF(N7224&lt;=30, "Met", "Breached"))</f>
        <v/>
      </c>
      <c r="P7224" s="8" t="n"/>
      <c r="Q7224" s="8" t="n"/>
      <c r="R7224" s="8" t="n"/>
      <c r="S7224" s="8" t="n"/>
      <c r="T7224" s="8" t="n"/>
      <c r="U7224" s="8" t="n"/>
      <c r="V7224" s="8" t="n"/>
      <c r="W7224" s="8" t="n"/>
      <c r="X7224" s="8" t="n"/>
      <c r="Y7224" s="8" t="n"/>
    </row>
    <row r="7225">
      <c r="A7225" s="8" t="n"/>
      <c r="B7225" s="8" t="n"/>
      <c r="C7225" s="8" t="n"/>
      <c r="D7225" s="8" t="n"/>
      <c r="E7225" s="8" t="n"/>
      <c r="F7225" s="8" t="n"/>
      <c r="G7225" s="8" t="n"/>
      <c r="H7225" s="8" t="n"/>
      <c r="I7225" s="8" t="n"/>
      <c r="J7225" s="8" t="n"/>
      <c r="K7225" s="8" t="n"/>
      <c r="L7225" s="8" t="n"/>
      <c r="M7225" s="9">
        <f>B7225+30</f>
        <v/>
      </c>
      <c r="N7225">
        <f>IF(L7225="", "", L7225-B7225)</f>
        <v/>
      </c>
      <c r="O7225">
        <f>IF(L7225="", "Pending", IF(N7225&lt;=30, "Met", "Breached"))</f>
        <v/>
      </c>
      <c r="P7225" s="8" t="n"/>
      <c r="Q7225" s="8" t="n"/>
      <c r="R7225" s="8" t="n"/>
      <c r="S7225" s="8" t="n"/>
      <c r="T7225" s="8" t="n"/>
      <c r="U7225" s="8" t="n"/>
      <c r="V7225" s="8" t="n"/>
      <c r="W7225" s="8" t="n"/>
      <c r="X7225" s="8" t="n"/>
      <c r="Y7225" s="8" t="n"/>
    </row>
    <row r="7226">
      <c r="A7226" s="8" t="n"/>
      <c r="B7226" s="8" t="n"/>
      <c r="C7226" s="8" t="n"/>
      <c r="D7226" s="8" t="n"/>
      <c r="E7226" s="8" t="n"/>
      <c r="F7226" s="8" t="n"/>
      <c r="G7226" s="8" t="n"/>
      <c r="H7226" s="8" t="n"/>
      <c r="I7226" s="8" t="n"/>
      <c r="J7226" s="8" t="n"/>
      <c r="K7226" s="8" t="n"/>
      <c r="L7226" s="8" t="n"/>
      <c r="M7226" s="9">
        <f>B7226+30</f>
        <v/>
      </c>
      <c r="N7226">
        <f>IF(L7226="", "", L7226-B7226)</f>
        <v/>
      </c>
      <c r="O7226">
        <f>IF(L7226="", "Pending", IF(N7226&lt;=30, "Met", "Breached"))</f>
        <v/>
      </c>
      <c r="P7226" s="8" t="n"/>
      <c r="Q7226" s="8" t="n"/>
      <c r="R7226" s="8" t="n"/>
      <c r="S7226" s="8" t="n"/>
      <c r="T7226" s="8" t="n"/>
      <c r="U7226" s="8" t="n"/>
      <c r="V7226" s="8" t="n"/>
      <c r="W7226" s="8" t="n"/>
      <c r="X7226" s="8" t="n"/>
      <c r="Y7226" s="8" t="n"/>
    </row>
    <row r="7227">
      <c r="A7227" s="8" t="n"/>
      <c r="B7227" s="8" t="n"/>
      <c r="C7227" s="8" t="n"/>
      <c r="D7227" s="8" t="n"/>
      <c r="E7227" s="8" t="n"/>
      <c r="F7227" s="8" t="n"/>
      <c r="G7227" s="8" t="n"/>
      <c r="H7227" s="8" t="n"/>
      <c r="I7227" s="8" t="n"/>
      <c r="J7227" s="8" t="n"/>
      <c r="K7227" s="8" t="n"/>
      <c r="L7227" s="8" t="n"/>
      <c r="M7227" s="9">
        <f>B7227+30</f>
        <v/>
      </c>
      <c r="N7227">
        <f>IF(L7227="", "", L7227-B7227)</f>
        <v/>
      </c>
      <c r="O7227">
        <f>IF(L7227="", "Pending", IF(N7227&lt;=30, "Met", "Breached"))</f>
        <v/>
      </c>
      <c r="P7227" s="8" t="n"/>
      <c r="Q7227" s="8" t="n"/>
      <c r="R7227" s="8" t="n"/>
      <c r="S7227" s="8" t="n"/>
      <c r="T7227" s="8" t="n"/>
      <c r="U7227" s="8" t="n"/>
      <c r="V7227" s="8" t="n"/>
      <c r="W7227" s="8" t="n"/>
      <c r="X7227" s="8" t="n"/>
      <c r="Y7227" s="8" t="n"/>
    </row>
    <row r="7228">
      <c r="A7228" s="8" t="n"/>
      <c r="B7228" s="8" t="n"/>
      <c r="C7228" s="8" t="n"/>
      <c r="D7228" s="8" t="n"/>
      <c r="E7228" s="8" t="n"/>
      <c r="F7228" s="8" t="n"/>
      <c r="G7228" s="8" t="n"/>
      <c r="H7228" s="8" t="n"/>
      <c r="I7228" s="8" t="n"/>
      <c r="J7228" s="8" t="n"/>
      <c r="K7228" s="8" t="n"/>
      <c r="L7228" s="8" t="n"/>
      <c r="M7228" s="9">
        <f>B7228+30</f>
        <v/>
      </c>
      <c r="N7228">
        <f>IF(L7228="", "", L7228-B7228)</f>
        <v/>
      </c>
      <c r="O7228">
        <f>IF(L7228="", "Pending", IF(N7228&lt;=30, "Met", "Breached"))</f>
        <v/>
      </c>
      <c r="P7228" s="8" t="n"/>
      <c r="Q7228" s="8" t="n"/>
      <c r="R7228" s="8" t="n"/>
      <c r="S7228" s="8" t="n"/>
      <c r="T7228" s="8" t="n"/>
      <c r="U7228" s="8" t="n"/>
      <c r="V7228" s="8" t="n"/>
      <c r="W7228" s="8" t="n"/>
      <c r="X7228" s="8" t="n"/>
      <c r="Y7228" s="8" t="n"/>
    </row>
    <row r="7229">
      <c r="A7229" s="8" t="n"/>
      <c r="B7229" s="8" t="n"/>
      <c r="C7229" s="8" t="n"/>
      <c r="D7229" s="8" t="n"/>
      <c r="E7229" s="8" t="n"/>
      <c r="F7229" s="8" t="n"/>
      <c r="G7229" s="8" t="n"/>
      <c r="H7229" s="8" t="n"/>
      <c r="I7229" s="8" t="n"/>
      <c r="J7229" s="8" t="n"/>
      <c r="K7229" s="8" t="n"/>
      <c r="L7229" s="8" t="n"/>
      <c r="M7229" s="9">
        <f>B7229+30</f>
        <v/>
      </c>
      <c r="N7229">
        <f>IF(L7229="", "", L7229-B7229)</f>
        <v/>
      </c>
      <c r="O7229">
        <f>IF(L7229="", "Pending", IF(N7229&lt;=30, "Met", "Breached"))</f>
        <v/>
      </c>
      <c r="P7229" s="8" t="n"/>
      <c r="Q7229" s="8" t="n"/>
      <c r="R7229" s="8" t="n"/>
      <c r="S7229" s="8" t="n"/>
      <c r="T7229" s="8" t="n"/>
      <c r="U7229" s="8" t="n"/>
      <c r="V7229" s="8" t="n"/>
      <c r="W7229" s="8" t="n"/>
      <c r="X7229" s="8" t="n"/>
      <c r="Y7229" s="8" t="n"/>
    </row>
    <row r="7230">
      <c r="A7230" s="8" t="n"/>
      <c r="B7230" s="8" t="n"/>
      <c r="C7230" s="8" t="n"/>
      <c r="D7230" s="8" t="n"/>
      <c r="E7230" s="8" t="n"/>
      <c r="F7230" s="8" t="n"/>
      <c r="G7230" s="8" t="n"/>
      <c r="H7230" s="8" t="n"/>
      <c r="I7230" s="8" t="n"/>
      <c r="J7230" s="8" t="n"/>
      <c r="K7230" s="8" t="n"/>
      <c r="L7230" s="8" t="n"/>
      <c r="M7230" s="9">
        <f>B7230+30</f>
        <v/>
      </c>
      <c r="N7230">
        <f>IF(L7230="", "", L7230-B7230)</f>
        <v/>
      </c>
      <c r="O7230">
        <f>IF(L7230="", "Pending", IF(N7230&lt;=30, "Met", "Breached"))</f>
        <v/>
      </c>
      <c r="P7230" s="8" t="n"/>
      <c r="Q7230" s="8" t="n"/>
      <c r="R7230" s="8" t="n"/>
      <c r="S7230" s="8" t="n"/>
      <c r="T7230" s="8" t="n"/>
      <c r="U7230" s="8" t="n"/>
      <c r="V7230" s="8" t="n"/>
      <c r="W7230" s="8" t="n"/>
      <c r="X7230" s="8" t="n"/>
      <c r="Y7230" s="8" t="n"/>
    </row>
    <row r="7231">
      <c r="A7231" s="8" t="n"/>
      <c r="B7231" s="8" t="n"/>
      <c r="C7231" s="8" t="n"/>
      <c r="D7231" s="8" t="n"/>
      <c r="E7231" s="8" t="n"/>
      <c r="F7231" s="8" t="n"/>
      <c r="G7231" s="8" t="n"/>
      <c r="H7231" s="8" t="n"/>
      <c r="I7231" s="8" t="n"/>
      <c r="J7231" s="8" t="n"/>
      <c r="K7231" s="8" t="n"/>
      <c r="L7231" s="8" t="n"/>
      <c r="M7231" s="9">
        <f>B7231+30</f>
        <v/>
      </c>
      <c r="N7231">
        <f>IF(L7231="", "", L7231-B7231)</f>
        <v/>
      </c>
      <c r="O7231">
        <f>IF(L7231="", "Pending", IF(N7231&lt;=30, "Met", "Breached"))</f>
        <v/>
      </c>
      <c r="P7231" s="8" t="n"/>
      <c r="Q7231" s="8" t="n"/>
      <c r="R7231" s="8" t="n"/>
      <c r="S7231" s="8" t="n"/>
      <c r="T7231" s="8" t="n"/>
      <c r="U7231" s="8" t="n"/>
      <c r="V7231" s="8" t="n"/>
      <c r="W7231" s="8" t="n"/>
      <c r="X7231" s="8" t="n"/>
      <c r="Y7231" s="8" t="n"/>
    </row>
    <row r="7232">
      <c r="A7232" s="8" t="n"/>
      <c r="B7232" s="8" t="n"/>
      <c r="C7232" s="8" t="n"/>
      <c r="D7232" s="8" t="n"/>
      <c r="E7232" s="8" t="n"/>
      <c r="F7232" s="8" t="n"/>
      <c r="G7232" s="8" t="n"/>
      <c r="H7232" s="8" t="n"/>
      <c r="I7232" s="8" t="n"/>
      <c r="J7232" s="8" t="n"/>
      <c r="K7232" s="8" t="n"/>
      <c r="L7232" s="8" t="n"/>
      <c r="M7232" s="9">
        <f>B7232+30</f>
        <v/>
      </c>
      <c r="N7232">
        <f>IF(L7232="", "", L7232-B7232)</f>
        <v/>
      </c>
      <c r="O7232">
        <f>IF(L7232="", "Pending", IF(N7232&lt;=30, "Met", "Breached"))</f>
        <v/>
      </c>
      <c r="P7232" s="8" t="n"/>
      <c r="Q7232" s="8" t="n"/>
      <c r="R7232" s="8" t="n"/>
      <c r="S7232" s="8" t="n"/>
      <c r="T7232" s="8" t="n"/>
      <c r="U7232" s="8" t="n"/>
      <c r="V7232" s="8" t="n"/>
      <c r="W7232" s="8" t="n"/>
      <c r="X7232" s="8" t="n"/>
      <c r="Y7232" s="8" t="n"/>
    </row>
    <row r="7233">
      <c r="A7233" s="8" t="n"/>
      <c r="B7233" s="8" t="n"/>
      <c r="C7233" s="8" t="n"/>
      <c r="D7233" s="8" t="n"/>
      <c r="E7233" s="8" t="n"/>
      <c r="F7233" s="8" t="n"/>
      <c r="G7233" s="8" t="n"/>
      <c r="H7233" s="8" t="n"/>
      <c r="I7233" s="8" t="n"/>
      <c r="J7233" s="8" t="n"/>
      <c r="K7233" s="8" t="n"/>
      <c r="L7233" s="8" t="n"/>
      <c r="M7233" s="9">
        <f>B7233+30</f>
        <v/>
      </c>
      <c r="N7233">
        <f>IF(L7233="", "", L7233-B7233)</f>
        <v/>
      </c>
      <c r="O7233">
        <f>IF(L7233="", "Pending", IF(N7233&lt;=30, "Met", "Breached"))</f>
        <v/>
      </c>
      <c r="P7233" s="8" t="n"/>
      <c r="Q7233" s="8" t="n"/>
      <c r="R7233" s="8" t="n"/>
      <c r="S7233" s="8" t="n"/>
      <c r="T7233" s="8" t="n"/>
      <c r="U7233" s="8" t="n"/>
      <c r="V7233" s="8" t="n"/>
      <c r="W7233" s="8" t="n"/>
      <c r="X7233" s="8" t="n"/>
      <c r="Y7233" s="8" t="n"/>
    </row>
    <row r="7234">
      <c r="A7234" s="8" t="n"/>
      <c r="B7234" s="8" t="n"/>
      <c r="C7234" s="8" t="n"/>
      <c r="D7234" s="8" t="n"/>
      <c r="E7234" s="8" t="n"/>
      <c r="F7234" s="8" t="n"/>
      <c r="G7234" s="8" t="n"/>
      <c r="H7234" s="8" t="n"/>
      <c r="I7234" s="8" t="n"/>
      <c r="J7234" s="8" t="n"/>
      <c r="K7234" s="8" t="n"/>
      <c r="L7234" s="8" t="n"/>
      <c r="M7234" s="9">
        <f>B7234+30</f>
        <v/>
      </c>
      <c r="N7234">
        <f>IF(L7234="", "", L7234-B7234)</f>
        <v/>
      </c>
      <c r="O7234">
        <f>IF(L7234="", "Pending", IF(N7234&lt;=30, "Met", "Breached"))</f>
        <v/>
      </c>
      <c r="P7234" s="8" t="n"/>
      <c r="Q7234" s="8" t="n"/>
      <c r="R7234" s="8" t="n"/>
      <c r="S7234" s="8" t="n"/>
      <c r="T7234" s="8" t="n"/>
      <c r="U7234" s="8" t="n"/>
      <c r="V7234" s="8" t="n"/>
      <c r="W7234" s="8" t="n"/>
      <c r="X7234" s="8" t="n"/>
      <c r="Y7234" s="8" t="n"/>
    </row>
    <row r="7235">
      <c r="A7235" s="8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8" t="n"/>
      <c r="K7235" s="8" t="n"/>
      <c r="L7235" s="8" t="n"/>
      <c r="M7235" s="9">
        <f>B7235+30</f>
        <v/>
      </c>
      <c r="N7235">
        <f>IF(L7235="", "", L7235-B7235)</f>
        <v/>
      </c>
      <c r="O7235">
        <f>IF(L7235="", "Pending", IF(N7235&lt;=30, "Met", "Breached"))</f>
        <v/>
      </c>
      <c r="P7235" s="8" t="n"/>
      <c r="Q7235" s="8" t="n"/>
      <c r="R7235" s="8" t="n"/>
      <c r="S7235" s="8" t="n"/>
      <c r="T7235" s="8" t="n"/>
      <c r="U7235" s="8" t="n"/>
      <c r="V7235" s="8" t="n"/>
      <c r="W7235" s="8" t="n"/>
      <c r="X7235" s="8" t="n"/>
      <c r="Y7235" s="8" t="n"/>
    </row>
    <row r="7236">
      <c r="A7236" s="8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8" t="n"/>
      <c r="K7236" s="8" t="n"/>
      <c r="L7236" s="8" t="n"/>
      <c r="M7236" s="9">
        <f>B7236+30</f>
        <v/>
      </c>
      <c r="N7236">
        <f>IF(L7236="", "", L7236-B7236)</f>
        <v/>
      </c>
      <c r="O7236">
        <f>IF(L7236="", "Pending", IF(N7236&lt;=30, "Met", "Breached"))</f>
        <v/>
      </c>
      <c r="P7236" s="8" t="n"/>
      <c r="Q7236" s="8" t="n"/>
      <c r="R7236" s="8" t="n"/>
      <c r="S7236" s="8" t="n"/>
      <c r="T7236" s="8" t="n"/>
      <c r="U7236" s="8" t="n"/>
      <c r="V7236" s="8" t="n"/>
      <c r="W7236" s="8" t="n"/>
      <c r="X7236" s="8" t="n"/>
      <c r="Y7236" s="8" t="n"/>
    </row>
    <row r="7237">
      <c r="A7237" s="8" t="n"/>
      <c r="B7237" s="8" t="n"/>
      <c r="C7237" s="8" t="n"/>
      <c r="D7237" s="8" t="n"/>
      <c r="E7237" s="8" t="n"/>
      <c r="F7237" s="8" t="n"/>
      <c r="G7237" s="8" t="n"/>
      <c r="H7237" s="8" t="n"/>
      <c r="I7237" s="8" t="n"/>
      <c r="J7237" s="8" t="n"/>
      <c r="K7237" s="8" t="n"/>
      <c r="L7237" s="8" t="n"/>
      <c r="M7237" s="9">
        <f>B7237+30</f>
        <v/>
      </c>
      <c r="N7237">
        <f>IF(L7237="", "", L7237-B7237)</f>
        <v/>
      </c>
      <c r="O7237">
        <f>IF(L7237="", "Pending", IF(N7237&lt;=30, "Met", "Breached"))</f>
        <v/>
      </c>
      <c r="P7237" s="8" t="n"/>
      <c r="Q7237" s="8" t="n"/>
      <c r="R7237" s="8" t="n"/>
      <c r="S7237" s="8" t="n"/>
      <c r="T7237" s="8" t="n"/>
      <c r="U7237" s="8" t="n"/>
      <c r="V7237" s="8" t="n"/>
      <c r="W7237" s="8" t="n"/>
      <c r="X7237" s="8" t="n"/>
      <c r="Y7237" s="8" t="n"/>
    </row>
    <row r="7238">
      <c r="A7238" s="8" t="n"/>
      <c r="B7238" s="8" t="n"/>
      <c r="C7238" s="8" t="n"/>
      <c r="D7238" s="8" t="n"/>
      <c r="E7238" s="8" t="n"/>
      <c r="F7238" s="8" t="n"/>
      <c r="G7238" s="8" t="n"/>
      <c r="H7238" s="8" t="n"/>
      <c r="I7238" s="8" t="n"/>
      <c r="J7238" s="8" t="n"/>
      <c r="K7238" s="8" t="n"/>
      <c r="L7238" s="8" t="n"/>
      <c r="M7238" s="9">
        <f>B7238+30</f>
        <v/>
      </c>
      <c r="N7238">
        <f>IF(L7238="", "", L7238-B7238)</f>
        <v/>
      </c>
      <c r="O7238">
        <f>IF(L7238="", "Pending", IF(N7238&lt;=30, "Met", "Breached"))</f>
        <v/>
      </c>
      <c r="P7238" s="8" t="n"/>
      <c r="Q7238" s="8" t="n"/>
      <c r="R7238" s="8" t="n"/>
      <c r="S7238" s="8" t="n"/>
      <c r="T7238" s="8" t="n"/>
      <c r="U7238" s="8" t="n"/>
      <c r="V7238" s="8" t="n"/>
      <c r="W7238" s="8" t="n"/>
      <c r="X7238" s="8" t="n"/>
      <c r="Y7238" s="8" t="n"/>
    </row>
    <row r="7239">
      <c r="A7239" s="8" t="n"/>
      <c r="B7239" s="8" t="n"/>
      <c r="C7239" s="8" t="n"/>
      <c r="D7239" s="8" t="n"/>
      <c r="E7239" s="8" t="n"/>
      <c r="F7239" s="8" t="n"/>
      <c r="G7239" s="8" t="n"/>
      <c r="H7239" s="8" t="n"/>
      <c r="I7239" s="8" t="n"/>
      <c r="J7239" s="8" t="n"/>
      <c r="K7239" s="8" t="n"/>
      <c r="L7239" s="8" t="n"/>
      <c r="M7239" s="9">
        <f>B7239+30</f>
        <v/>
      </c>
      <c r="N7239">
        <f>IF(L7239="", "", L7239-B7239)</f>
        <v/>
      </c>
      <c r="O7239">
        <f>IF(L7239="", "Pending", IF(N7239&lt;=30, "Met", "Breached"))</f>
        <v/>
      </c>
      <c r="P7239" s="8" t="n"/>
      <c r="Q7239" s="8" t="n"/>
      <c r="R7239" s="8" t="n"/>
      <c r="S7239" s="8" t="n"/>
      <c r="T7239" s="8" t="n"/>
      <c r="U7239" s="8" t="n"/>
      <c r="V7239" s="8" t="n"/>
      <c r="W7239" s="8" t="n"/>
      <c r="X7239" s="8" t="n"/>
      <c r="Y7239" s="8" t="n"/>
    </row>
    <row r="7240">
      <c r="A7240" s="8" t="n"/>
      <c r="B7240" s="8" t="n"/>
      <c r="C7240" s="8" t="n"/>
      <c r="D7240" s="8" t="n"/>
      <c r="E7240" s="8" t="n"/>
      <c r="F7240" s="8" t="n"/>
      <c r="G7240" s="8" t="n"/>
      <c r="H7240" s="8" t="n"/>
      <c r="I7240" s="8" t="n"/>
      <c r="J7240" s="8" t="n"/>
      <c r="K7240" s="8" t="n"/>
      <c r="L7240" s="8" t="n"/>
      <c r="M7240" s="9">
        <f>B7240+30</f>
        <v/>
      </c>
      <c r="N7240">
        <f>IF(L7240="", "", L7240-B7240)</f>
        <v/>
      </c>
      <c r="O7240">
        <f>IF(L7240="", "Pending", IF(N7240&lt;=30, "Met", "Breached"))</f>
        <v/>
      </c>
      <c r="P7240" s="8" t="n"/>
      <c r="Q7240" s="8" t="n"/>
      <c r="R7240" s="8" t="n"/>
      <c r="S7240" s="8" t="n"/>
      <c r="T7240" s="8" t="n"/>
      <c r="U7240" s="8" t="n"/>
      <c r="V7240" s="8" t="n"/>
      <c r="W7240" s="8" t="n"/>
      <c r="X7240" s="8" t="n"/>
      <c r="Y7240" s="8" t="n"/>
    </row>
    <row r="7241">
      <c r="A7241" s="8" t="n"/>
      <c r="B7241" s="8" t="n"/>
      <c r="C7241" s="8" t="n"/>
      <c r="D7241" s="8" t="n"/>
      <c r="E7241" s="8" t="n"/>
      <c r="F7241" s="8" t="n"/>
      <c r="G7241" s="8" t="n"/>
      <c r="H7241" s="8" t="n"/>
      <c r="I7241" s="8" t="n"/>
      <c r="J7241" s="8" t="n"/>
      <c r="K7241" s="8" t="n"/>
      <c r="L7241" s="8" t="n"/>
      <c r="M7241" s="9">
        <f>B7241+30</f>
        <v/>
      </c>
      <c r="N7241">
        <f>IF(L7241="", "", L7241-B7241)</f>
        <v/>
      </c>
      <c r="O7241">
        <f>IF(L7241="", "Pending", IF(N7241&lt;=30, "Met", "Breached"))</f>
        <v/>
      </c>
      <c r="P7241" s="8" t="n"/>
      <c r="Q7241" s="8" t="n"/>
      <c r="R7241" s="8" t="n"/>
      <c r="S7241" s="8" t="n"/>
      <c r="T7241" s="8" t="n"/>
      <c r="U7241" s="8" t="n"/>
      <c r="V7241" s="8" t="n"/>
      <c r="W7241" s="8" t="n"/>
      <c r="X7241" s="8" t="n"/>
      <c r="Y7241" s="8" t="n"/>
    </row>
    <row r="7242">
      <c r="A7242" s="8" t="n"/>
      <c r="B7242" s="8" t="n"/>
      <c r="C7242" s="8" t="n"/>
      <c r="D7242" s="8" t="n"/>
      <c r="E7242" s="8" t="n"/>
      <c r="F7242" s="8" t="n"/>
      <c r="G7242" s="8" t="n"/>
      <c r="H7242" s="8" t="n"/>
      <c r="I7242" s="8" t="n"/>
      <c r="J7242" s="8" t="n"/>
      <c r="K7242" s="8" t="n"/>
      <c r="L7242" s="8" t="n"/>
      <c r="M7242" s="9">
        <f>B7242+30</f>
        <v/>
      </c>
      <c r="N7242">
        <f>IF(L7242="", "", L7242-B7242)</f>
        <v/>
      </c>
      <c r="O7242">
        <f>IF(L7242="", "Pending", IF(N7242&lt;=30, "Met", "Breached"))</f>
        <v/>
      </c>
      <c r="P7242" s="8" t="n"/>
      <c r="Q7242" s="8" t="n"/>
      <c r="R7242" s="8" t="n"/>
      <c r="S7242" s="8" t="n"/>
      <c r="T7242" s="8" t="n"/>
      <c r="U7242" s="8" t="n"/>
      <c r="V7242" s="8" t="n"/>
      <c r="W7242" s="8" t="n"/>
      <c r="X7242" s="8" t="n"/>
      <c r="Y7242" s="8" t="n"/>
    </row>
    <row r="7243">
      <c r="A7243" s="8" t="n"/>
      <c r="B7243" s="8" t="n"/>
      <c r="C7243" s="8" t="n"/>
      <c r="D7243" s="8" t="n"/>
      <c r="E7243" s="8" t="n"/>
      <c r="F7243" s="8" t="n"/>
      <c r="G7243" s="8" t="n"/>
      <c r="H7243" s="8" t="n"/>
      <c r="I7243" s="8" t="n"/>
      <c r="J7243" s="8" t="n"/>
      <c r="K7243" s="8" t="n"/>
      <c r="L7243" s="8" t="n"/>
      <c r="M7243" s="9">
        <f>B7243+30</f>
        <v/>
      </c>
      <c r="N7243">
        <f>IF(L7243="", "", L7243-B7243)</f>
        <v/>
      </c>
      <c r="O7243">
        <f>IF(L7243="", "Pending", IF(N7243&lt;=30, "Met", "Breached"))</f>
        <v/>
      </c>
      <c r="P7243" s="8" t="n"/>
      <c r="Q7243" s="8" t="n"/>
      <c r="R7243" s="8" t="n"/>
      <c r="S7243" s="8" t="n"/>
      <c r="T7243" s="8" t="n"/>
      <c r="U7243" s="8" t="n"/>
      <c r="V7243" s="8" t="n"/>
      <c r="W7243" s="8" t="n"/>
      <c r="X7243" s="8" t="n"/>
      <c r="Y7243" s="8" t="n"/>
    </row>
    <row r="7244">
      <c r="A7244" s="8" t="n"/>
      <c r="B7244" s="8" t="n"/>
      <c r="C7244" s="8" t="n"/>
      <c r="D7244" s="8" t="n"/>
      <c r="E7244" s="8" t="n"/>
      <c r="F7244" s="8" t="n"/>
      <c r="G7244" s="8" t="n"/>
      <c r="H7244" s="8" t="n"/>
      <c r="I7244" s="8" t="n"/>
      <c r="J7244" s="8" t="n"/>
      <c r="K7244" s="8" t="n"/>
      <c r="L7244" s="8" t="n"/>
      <c r="M7244" s="9">
        <f>B7244+30</f>
        <v/>
      </c>
      <c r="N7244">
        <f>IF(L7244="", "", L7244-B7244)</f>
        <v/>
      </c>
      <c r="O7244">
        <f>IF(L7244="", "Pending", IF(N7244&lt;=30, "Met", "Breached"))</f>
        <v/>
      </c>
      <c r="P7244" s="8" t="n"/>
      <c r="Q7244" s="8" t="n"/>
      <c r="R7244" s="8" t="n"/>
      <c r="S7244" s="8" t="n"/>
      <c r="T7244" s="8" t="n"/>
      <c r="U7244" s="8" t="n"/>
      <c r="V7244" s="8" t="n"/>
      <c r="W7244" s="8" t="n"/>
      <c r="X7244" s="8" t="n"/>
      <c r="Y7244" s="8" t="n"/>
    </row>
    <row r="7245">
      <c r="A7245" s="8" t="n"/>
      <c r="B7245" s="8" t="n"/>
      <c r="C7245" s="8" t="n"/>
      <c r="D7245" s="8" t="n"/>
      <c r="E7245" s="8" t="n"/>
      <c r="F7245" s="8" t="n"/>
      <c r="G7245" s="8" t="n"/>
      <c r="H7245" s="8" t="n"/>
      <c r="I7245" s="8" t="n"/>
      <c r="J7245" s="8" t="n"/>
      <c r="K7245" s="8" t="n"/>
      <c r="L7245" s="8" t="n"/>
      <c r="M7245" s="9">
        <f>B7245+30</f>
        <v/>
      </c>
      <c r="N7245">
        <f>IF(L7245="", "", L7245-B7245)</f>
        <v/>
      </c>
      <c r="O7245">
        <f>IF(L7245="", "Pending", IF(N7245&lt;=30, "Met", "Breached"))</f>
        <v/>
      </c>
      <c r="P7245" s="8" t="n"/>
      <c r="Q7245" s="8" t="n"/>
      <c r="R7245" s="8" t="n"/>
      <c r="S7245" s="8" t="n"/>
      <c r="T7245" s="8" t="n"/>
      <c r="U7245" s="8" t="n"/>
      <c r="V7245" s="8" t="n"/>
      <c r="W7245" s="8" t="n"/>
      <c r="X7245" s="8" t="n"/>
      <c r="Y7245" s="8" t="n"/>
    </row>
    <row r="7246">
      <c r="A7246" s="8" t="n"/>
      <c r="B7246" s="8" t="n"/>
      <c r="C7246" s="8" t="n"/>
      <c r="D7246" s="8" t="n"/>
      <c r="E7246" s="8" t="n"/>
      <c r="F7246" s="8" t="n"/>
      <c r="G7246" s="8" t="n"/>
      <c r="H7246" s="8" t="n"/>
      <c r="I7246" s="8" t="n"/>
      <c r="J7246" s="8" t="n"/>
      <c r="K7246" s="8" t="n"/>
      <c r="L7246" s="8" t="n"/>
      <c r="M7246" s="9">
        <f>B7246+30</f>
        <v/>
      </c>
      <c r="N7246">
        <f>IF(L7246="", "", L7246-B7246)</f>
        <v/>
      </c>
      <c r="O7246">
        <f>IF(L7246="", "Pending", IF(N7246&lt;=30, "Met", "Breached"))</f>
        <v/>
      </c>
      <c r="P7246" s="8" t="n"/>
      <c r="Q7246" s="8" t="n"/>
      <c r="R7246" s="8" t="n"/>
      <c r="S7246" s="8" t="n"/>
      <c r="T7246" s="8" t="n"/>
      <c r="U7246" s="8" t="n"/>
      <c r="V7246" s="8" t="n"/>
      <c r="W7246" s="8" t="n"/>
      <c r="X7246" s="8" t="n"/>
      <c r="Y7246" s="8" t="n"/>
    </row>
    <row r="7247">
      <c r="A7247" s="8" t="n"/>
      <c r="B7247" s="8" t="n"/>
      <c r="C7247" s="8" t="n"/>
      <c r="D7247" s="8" t="n"/>
      <c r="E7247" s="8" t="n"/>
      <c r="F7247" s="8" t="n"/>
      <c r="G7247" s="8" t="n"/>
      <c r="H7247" s="8" t="n"/>
      <c r="I7247" s="8" t="n"/>
      <c r="J7247" s="8" t="n"/>
      <c r="K7247" s="8" t="n"/>
      <c r="L7247" s="8" t="n"/>
      <c r="M7247" s="9">
        <f>B7247+30</f>
        <v/>
      </c>
      <c r="N7247">
        <f>IF(L7247="", "", L7247-B7247)</f>
        <v/>
      </c>
      <c r="O7247">
        <f>IF(L7247="", "Pending", IF(N7247&lt;=30, "Met", "Breached"))</f>
        <v/>
      </c>
      <c r="P7247" s="8" t="n"/>
      <c r="Q7247" s="8" t="n"/>
      <c r="R7247" s="8" t="n"/>
      <c r="S7247" s="8" t="n"/>
      <c r="T7247" s="8" t="n"/>
      <c r="U7247" s="8" t="n"/>
      <c r="V7247" s="8" t="n"/>
      <c r="W7247" s="8" t="n"/>
      <c r="X7247" s="8" t="n"/>
      <c r="Y7247" s="8" t="n"/>
    </row>
    <row r="7248">
      <c r="A7248" s="8" t="n"/>
      <c r="B7248" s="8" t="n"/>
      <c r="C7248" s="8" t="n"/>
      <c r="D7248" s="8" t="n"/>
      <c r="E7248" s="8" t="n"/>
      <c r="F7248" s="8" t="n"/>
      <c r="G7248" s="8" t="n"/>
      <c r="H7248" s="8" t="n"/>
      <c r="I7248" s="8" t="n"/>
      <c r="J7248" s="8" t="n"/>
      <c r="K7248" s="8" t="n"/>
      <c r="L7248" s="8" t="n"/>
      <c r="M7248" s="9">
        <f>B7248+30</f>
        <v/>
      </c>
      <c r="N7248">
        <f>IF(L7248="", "", L7248-B7248)</f>
        <v/>
      </c>
      <c r="O7248">
        <f>IF(L7248="", "Pending", IF(N7248&lt;=30, "Met", "Breached"))</f>
        <v/>
      </c>
      <c r="P7248" s="8" t="n"/>
      <c r="Q7248" s="8" t="n"/>
      <c r="R7248" s="8" t="n"/>
      <c r="S7248" s="8" t="n"/>
      <c r="T7248" s="8" t="n"/>
      <c r="U7248" s="8" t="n"/>
      <c r="V7248" s="8" t="n"/>
      <c r="W7248" s="8" t="n"/>
      <c r="X7248" s="8" t="n"/>
      <c r="Y7248" s="8" t="n"/>
    </row>
    <row r="7249">
      <c r="A7249" s="8" t="n"/>
      <c r="B7249" s="8" t="n"/>
      <c r="C7249" s="8" t="n"/>
      <c r="D7249" s="8" t="n"/>
      <c r="E7249" s="8" t="n"/>
      <c r="F7249" s="8" t="n"/>
      <c r="G7249" s="8" t="n"/>
      <c r="H7249" s="8" t="n"/>
      <c r="I7249" s="8" t="n"/>
      <c r="J7249" s="8" t="n"/>
      <c r="K7249" s="8" t="n"/>
      <c r="L7249" s="8" t="n"/>
      <c r="M7249" s="9">
        <f>B7249+30</f>
        <v/>
      </c>
      <c r="N7249">
        <f>IF(L7249="", "", L7249-B7249)</f>
        <v/>
      </c>
      <c r="O7249">
        <f>IF(L7249="", "Pending", IF(N7249&lt;=30, "Met", "Breached"))</f>
        <v/>
      </c>
      <c r="P7249" s="8" t="n"/>
      <c r="Q7249" s="8" t="n"/>
      <c r="R7249" s="8" t="n"/>
      <c r="S7249" s="8" t="n"/>
      <c r="T7249" s="8" t="n"/>
      <c r="U7249" s="8" t="n"/>
      <c r="V7249" s="8" t="n"/>
      <c r="W7249" s="8" t="n"/>
      <c r="X7249" s="8" t="n"/>
      <c r="Y7249" s="8" t="n"/>
    </row>
    <row r="7250">
      <c r="A7250" s="8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8" t="n"/>
      <c r="K7250" s="8" t="n"/>
      <c r="L7250" s="8" t="n"/>
      <c r="M7250" s="9">
        <f>B7250+30</f>
        <v/>
      </c>
      <c r="N7250">
        <f>IF(L7250="", "", L7250-B7250)</f>
        <v/>
      </c>
      <c r="O7250">
        <f>IF(L7250="", "Pending", IF(N7250&lt;=30, "Met", "Breached"))</f>
        <v/>
      </c>
      <c r="P7250" s="8" t="n"/>
      <c r="Q7250" s="8" t="n"/>
      <c r="R7250" s="8" t="n"/>
      <c r="S7250" s="8" t="n"/>
      <c r="T7250" s="8" t="n"/>
      <c r="U7250" s="8" t="n"/>
      <c r="V7250" s="8" t="n"/>
      <c r="W7250" s="8" t="n"/>
      <c r="X7250" s="8" t="n"/>
      <c r="Y7250" s="8" t="n"/>
    </row>
    <row r="7251">
      <c r="A7251" s="8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8" t="n"/>
      <c r="K7251" s="8" t="n"/>
      <c r="L7251" s="8" t="n"/>
      <c r="M7251" s="9">
        <f>B7251+30</f>
        <v/>
      </c>
      <c r="N7251">
        <f>IF(L7251="", "", L7251-B7251)</f>
        <v/>
      </c>
      <c r="O7251">
        <f>IF(L7251="", "Pending", IF(N7251&lt;=30, "Met", "Breached"))</f>
        <v/>
      </c>
      <c r="P7251" s="8" t="n"/>
      <c r="Q7251" s="8" t="n"/>
      <c r="R7251" s="8" t="n"/>
      <c r="S7251" s="8" t="n"/>
      <c r="T7251" s="8" t="n"/>
      <c r="U7251" s="8" t="n"/>
      <c r="V7251" s="8" t="n"/>
      <c r="W7251" s="8" t="n"/>
      <c r="X7251" s="8" t="n"/>
      <c r="Y7251" s="8" t="n"/>
    </row>
    <row r="7252">
      <c r="A7252" s="8" t="n"/>
      <c r="B7252" s="8" t="n"/>
      <c r="C7252" s="8" t="n"/>
      <c r="D7252" s="8" t="n"/>
      <c r="E7252" s="8" t="n"/>
      <c r="F7252" s="8" t="n"/>
      <c r="G7252" s="8" t="n"/>
      <c r="H7252" s="8" t="n"/>
      <c r="I7252" s="8" t="n"/>
      <c r="J7252" s="8" t="n"/>
      <c r="K7252" s="8" t="n"/>
      <c r="L7252" s="8" t="n"/>
      <c r="M7252" s="9">
        <f>B7252+30</f>
        <v/>
      </c>
      <c r="N7252">
        <f>IF(L7252="", "", L7252-B7252)</f>
        <v/>
      </c>
      <c r="O7252">
        <f>IF(L7252="", "Pending", IF(N7252&lt;=30, "Met", "Breached"))</f>
        <v/>
      </c>
      <c r="P7252" s="8" t="n"/>
      <c r="Q7252" s="8" t="n"/>
      <c r="R7252" s="8" t="n"/>
      <c r="S7252" s="8" t="n"/>
      <c r="T7252" s="8" t="n"/>
      <c r="U7252" s="8" t="n"/>
      <c r="V7252" s="8" t="n"/>
      <c r="W7252" s="8" t="n"/>
      <c r="X7252" s="8" t="n"/>
      <c r="Y7252" s="8" t="n"/>
    </row>
    <row r="7253">
      <c r="A7253" s="8" t="n"/>
      <c r="B7253" s="8" t="n"/>
      <c r="C7253" s="8" t="n"/>
      <c r="D7253" s="8" t="n"/>
      <c r="E7253" s="8" t="n"/>
      <c r="F7253" s="8" t="n"/>
      <c r="G7253" s="8" t="n"/>
      <c r="H7253" s="8" t="n"/>
      <c r="I7253" s="8" t="n"/>
      <c r="J7253" s="8" t="n"/>
      <c r="K7253" s="8" t="n"/>
      <c r="L7253" s="8" t="n"/>
      <c r="M7253" s="9">
        <f>B7253+30</f>
        <v/>
      </c>
      <c r="N7253">
        <f>IF(L7253="", "", L7253-B7253)</f>
        <v/>
      </c>
      <c r="O7253">
        <f>IF(L7253="", "Pending", IF(N7253&lt;=30, "Met", "Breached"))</f>
        <v/>
      </c>
      <c r="P7253" s="8" t="n"/>
      <c r="Q7253" s="8" t="n"/>
      <c r="R7253" s="8" t="n"/>
      <c r="S7253" s="8" t="n"/>
      <c r="T7253" s="8" t="n"/>
      <c r="U7253" s="8" t="n"/>
      <c r="V7253" s="8" t="n"/>
      <c r="W7253" s="8" t="n"/>
      <c r="X7253" s="8" t="n"/>
      <c r="Y7253" s="8" t="n"/>
    </row>
    <row r="7254">
      <c r="A7254" s="8" t="n"/>
      <c r="B7254" s="8" t="n"/>
      <c r="C7254" s="8" t="n"/>
      <c r="D7254" s="8" t="n"/>
      <c r="E7254" s="8" t="n"/>
      <c r="F7254" s="8" t="n"/>
      <c r="G7254" s="8" t="n"/>
      <c r="H7254" s="8" t="n"/>
      <c r="I7254" s="8" t="n"/>
      <c r="J7254" s="8" t="n"/>
      <c r="K7254" s="8" t="n"/>
      <c r="L7254" s="8" t="n"/>
      <c r="M7254" s="9">
        <f>B7254+30</f>
        <v/>
      </c>
      <c r="N7254">
        <f>IF(L7254="", "", L7254-B7254)</f>
        <v/>
      </c>
      <c r="O7254">
        <f>IF(L7254="", "Pending", IF(N7254&lt;=30, "Met", "Breached"))</f>
        <v/>
      </c>
      <c r="P7254" s="8" t="n"/>
      <c r="Q7254" s="8" t="n"/>
      <c r="R7254" s="8" t="n"/>
      <c r="S7254" s="8" t="n"/>
      <c r="T7254" s="8" t="n"/>
      <c r="U7254" s="8" t="n"/>
      <c r="V7254" s="8" t="n"/>
      <c r="W7254" s="8" t="n"/>
      <c r="X7254" s="8" t="n"/>
      <c r="Y7254" s="8" t="n"/>
    </row>
    <row r="7255">
      <c r="A7255" s="8" t="n"/>
      <c r="B7255" s="8" t="n"/>
      <c r="C7255" s="8" t="n"/>
      <c r="D7255" s="8" t="n"/>
      <c r="E7255" s="8" t="n"/>
      <c r="F7255" s="8" t="n"/>
      <c r="G7255" s="8" t="n"/>
      <c r="H7255" s="8" t="n"/>
      <c r="I7255" s="8" t="n"/>
      <c r="J7255" s="8" t="n"/>
      <c r="K7255" s="8" t="n"/>
      <c r="L7255" s="8" t="n"/>
      <c r="M7255" s="9">
        <f>B7255+30</f>
        <v/>
      </c>
      <c r="N7255">
        <f>IF(L7255="", "", L7255-B7255)</f>
        <v/>
      </c>
      <c r="O7255">
        <f>IF(L7255="", "Pending", IF(N7255&lt;=30, "Met", "Breached"))</f>
        <v/>
      </c>
      <c r="P7255" s="8" t="n"/>
      <c r="Q7255" s="8" t="n"/>
      <c r="R7255" s="8" t="n"/>
      <c r="S7255" s="8" t="n"/>
      <c r="T7255" s="8" t="n"/>
      <c r="U7255" s="8" t="n"/>
      <c r="V7255" s="8" t="n"/>
      <c r="W7255" s="8" t="n"/>
      <c r="X7255" s="8" t="n"/>
      <c r="Y7255" s="8" t="n"/>
    </row>
    <row r="7256">
      <c r="A7256" s="8" t="n"/>
      <c r="B7256" s="8" t="n"/>
      <c r="C7256" s="8" t="n"/>
      <c r="D7256" s="8" t="n"/>
      <c r="E7256" s="8" t="n"/>
      <c r="F7256" s="8" t="n"/>
      <c r="G7256" s="8" t="n"/>
      <c r="H7256" s="8" t="n"/>
      <c r="I7256" s="8" t="n"/>
      <c r="J7256" s="8" t="n"/>
      <c r="K7256" s="8" t="n"/>
      <c r="L7256" s="8" t="n"/>
      <c r="M7256" s="9">
        <f>B7256+30</f>
        <v/>
      </c>
      <c r="N7256">
        <f>IF(L7256="", "", L7256-B7256)</f>
        <v/>
      </c>
      <c r="O7256">
        <f>IF(L7256="", "Pending", IF(N7256&lt;=30, "Met", "Breached"))</f>
        <v/>
      </c>
      <c r="P7256" s="8" t="n"/>
      <c r="Q7256" s="8" t="n"/>
      <c r="R7256" s="8" t="n"/>
      <c r="S7256" s="8" t="n"/>
      <c r="T7256" s="8" t="n"/>
      <c r="U7256" s="8" t="n"/>
      <c r="V7256" s="8" t="n"/>
      <c r="W7256" s="8" t="n"/>
      <c r="X7256" s="8" t="n"/>
      <c r="Y7256" s="8" t="n"/>
    </row>
    <row r="7257">
      <c r="A7257" s="8" t="n"/>
      <c r="B7257" s="8" t="n"/>
      <c r="C7257" s="8" t="n"/>
      <c r="D7257" s="8" t="n"/>
      <c r="E7257" s="8" t="n"/>
      <c r="F7257" s="8" t="n"/>
      <c r="G7257" s="8" t="n"/>
      <c r="H7257" s="8" t="n"/>
      <c r="I7257" s="8" t="n"/>
      <c r="J7257" s="8" t="n"/>
      <c r="K7257" s="8" t="n"/>
      <c r="L7257" s="8" t="n"/>
      <c r="M7257" s="9">
        <f>B7257+30</f>
        <v/>
      </c>
      <c r="N7257">
        <f>IF(L7257="", "", L7257-B7257)</f>
        <v/>
      </c>
      <c r="O7257">
        <f>IF(L7257="", "Pending", IF(N7257&lt;=30, "Met", "Breached"))</f>
        <v/>
      </c>
      <c r="P7257" s="8" t="n"/>
      <c r="Q7257" s="8" t="n"/>
      <c r="R7257" s="8" t="n"/>
      <c r="S7257" s="8" t="n"/>
      <c r="T7257" s="8" t="n"/>
      <c r="U7257" s="8" t="n"/>
      <c r="V7257" s="8" t="n"/>
      <c r="W7257" s="8" t="n"/>
      <c r="X7257" s="8" t="n"/>
      <c r="Y7257" s="8" t="n"/>
    </row>
    <row r="7258">
      <c r="A7258" s="8" t="n"/>
      <c r="B7258" s="8" t="n"/>
      <c r="C7258" s="8" t="n"/>
      <c r="D7258" s="8" t="n"/>
      <c r="E7258" s="8" t="n"/>
      <c r="F7258" s="8" t="n"/>
      <c r="G7258" s="8" t="n"/>
      <c r="H7258" s="8" t="n"/>
      <c r="I7258" s="8" t="n"/>
      <c r="J7258" s="8" t="n"/>
      <c r="K7258" s="8" t="n"/>
      <c r="L7258" s="8" t="n"/>
      <c r="M7258" s="9">
        <f>B7258+30</f>
        <v/>
      </c>
      <c r="N7258">
        <f>IF(L7258="", "", L7258-B7258)</f>
        <v/>
      </c>
      <c r="O7258">
        <f>IF(L7258="", "Pending", IF(N7258&lt;=30, "Met", "Breached"))</f>
        <v/>
      </c>
      <c r="P7258" s="8" t="n"/>
      <c r="Q7258" s="8" t="n"/>
      <c r="R7258" s="8" t="n"/>
      <c r="S7258" s="8" t="n"/>
      <c r="T7258" s="8" t="n"/>
      <c r="U7258" s="8" t="n"/>
      <c r="V7258" s="8" t="n"/>
      <c r="W7258" s="8" t="n"/>
      <c r="X7258" s="8" t="n"/>
      <c r="Y7258" s="8" t="n"/>
    </row>
    <row r="7259">
      <c r="A7259" s="8" t="n"/>
      <c r="B7259" s="8" t="n"/>
      <c r="C7259" s="8" t="n"/>
      <c r="D7259" s="8" t="n"/>
      <c r="E7259" s="8" t="n"/>
      <c r="F7259" s="8" t="n"/>
      <c r="G7259" s="8" t="n"/>
      <c r="H7259" s="8" t="n"/>
      <c r="I7259" s="8" t="n"/>
      <c r="J7259" s="8" t="n"/>
      <c r="K7259" s="8" t="n"/>
      <c r="L7259" s="8" t="n"/>
      <c r="M7259" s="9">
        <f>B7259+30</f>
        <v/>
      </c>
      <c r="N7259">
        <f>IF(L7259="", "", L7259-B7259)</f>
        <v/>
      </c>
      <c r="O7259">
        <f>IF(L7259="", "Pending", IF(N7259&lt;=30, "Met", "Breached"))</f>
        <v/>
      </c>
      <c r="P7259" s="8" t="n"/>
      <c r="Q7259" s="8" t="n"/>
      <c r="R7259" s="8" t="n"/>
      <c r="S7259" s="8" t="n"/>
      <c r="T7259" s="8" t="n"/>
      <c r="U7259" s="8" t="n"/>
      <c r="V7259" s="8" t="n"/>
      <c r="W7259" s="8" t="n"/>
      <c r="X7259" s="8" t="n"/>
      <c r="Y7259" s="8" t="n"/>
    </row>
    <row r="7260">
      <c r="A7260" s="8" t="n"/>
      <c r="B7260" s="8" t="n"/>
      <c r="C7260" s="8" t="n"/>
      <c r="D7260" s="8" t="n"/>
      <c r="E7260" s="8" t="n"/>
      <c r="F7260" s="8" t="n"/>
      <c r="G7260" s="8" t="n"/>
      <c r="H7260" s="8" t="n"/>
      <c r="I7260" s="8" t="n"/>
      <c r="J7260" s="8" t="n"/>
      <c r="K7260" s="8" t="n"/>
      <c r="L7260" s="8" t="n"/>
      <c r="M7260" s="9">
        <f>B7260+30</f>
        <v/>
      </c>
      <c r="N7260">
        <f>IF(L7260="", "", L7260-B7260)</f>
        <v/>
      </c>
      <c r="O7260">
        <f>IF(L7260="", "Pending", IF(N7260&lt;=30, "Met", "Breached"))</f>
        <v/>
      </c>
      <c r="P7260" s="8" t="n"/>
      <c r="Q7260" s="8" t="n"/>
      <c r="R7260" s="8" t="n"/>
      <c r="S7260" s="8" t="n"/>
      <c r="T7260" s="8" t="n"/>
      <c r="U7260" s="8" t="n"/>
      <c r="V7260" s="8" t="n"/>
      <c r="W7260" s="8" t="n"/>
      <c r="X7260" s="8" t="n"/>
      <c r="Y7260" s="8" t="n"/>
    </row>
    <row r="7261">
      <c r="A7261" s="8" t="n"/>
      <c r="B7261" s="8" t="n"/>
      <c r="C7261" s="8" t="n"/>
      <c r="D7261" s="8" t="n"/>
      <c r="E7261" s="8" t="n"/>
      <c r="F7261" s="8" t="n"/>
      <c r="G7261" s="8" t="n"/>
      <c r="H7261" s="8" t="n"/>
      <c r="I7261" s="8" t="n"/>
      <c r="J7261" s="8" t="n"/>
      <c r="K7261" s="8" t="n"/>
      <c r="L7261" s="8" t="n"/>
      <c r="M7261" s="9">
        <f>B7261+30</f>
        <v/>
      </c>
      <c r="N7261">
        <f>IF(L7261="", "", L7261-B7261)</f>
        <v/>
      </c>
      <c r="O7261">
        <f>IF(L7261="", "Pending", IF(N7261&lt;=30, "Met", "Breached"))</f>
        <v/>
      </c>
      <c r="P7261" s="8" t="n"/>
      <c r="Q7261" s="8" t="n"/>
      <c r="R7261" s="8" t="n"/>
      <c r="S7261" s="8" t="n"/>
      <c r="T7261" s="8" t="n"/>
      <c r="U7261" s="8" t="n"/>
      <c r="V7261" s="8" t="n"/>
      <c r="W7261" s="8" t="n"/>
      <c r="X7261" s="8" t="n"/>
      <c r="Y7261" s="8" t="n"/>
    </row>
    <row r="7262">
      <c r="A7262" s="8" t="n"/>
      <c r="B7262" s="8" t="n"/>
      <c r="C7262" s="8" t="n"/>
      <c r="D7262" s="8" t="n"/>
      <c r="E7262" s="8" t="n"/>
      <c r="F7262" s="8" t="n"/>
      <c r="G7262" s="8" t="n"/>
      <c r="H7262" s="8" t="n"/>
      <c r="I7262" s="8" t="n"/>
      <c r="J7262" s="8" t="n"/>
      <c r="K7262" s="8" t="n"/>
      <c r="L7262" s="8" t="n"/>
      <c r="M7262" s="9">
        <f>B7262+30</f>
        <v/>
      </c>
      <c r="N7262">
        <f>IF(L7262="", "", L7262-B7262)</f>
        <v/>
      </c>
      <c r="O7262">
        <f>IF(L7262="", "Pending", IF(N7262&lt;=30, "Met", "Breached"))</f>
        <v/>
      </c>
      <c r="P7262" s="8" t="n"/>
      <c r="Q7262" s="8" t="n"/>
      <c r="R7262" s="8" t="n"/>
      <c r="S7262" s="8" t="n"/>
      <c r="T7262" s="8" t="n"/>
      <c r="U7262" s="8" t="n"/>
      <c r="V7262" s="8" t="n"/>
      <c r="W7262" s="8" t="n"/>
      <c r="X7262" s="8" t="n"/>
      <c r="Y7262" s="8" t="n"/>
    </row>
    <row r="7263">
      <c r="A7263" s="8" t="n"/>
      <c r="B7263" s="8" t="n"/>
      <c r="C7263" s="8" t="n"/>
      <c r="D7263" s="8" t="n"/>
      <c r="E7263" s="8" t="n"/>
      <c r="F7263" s="8" t="n"/>
      <c r="G7263" s="8" t="n"/>
      <c r="H7263" s="8" t="n"/>
      <c r="I7263" s="8" t="n"/>
      <c r="J7263" s="8" t="n"/>
      <c r="K7263" s="8" t="n"/>
      <c r="L7263" s="8" t="n"/>
      <c r="M7263" s="9">
        <f>B7263+30</f>
        <v/>
      </c>
      <c r="N7263">
        <f>IF(L7263="", "", L7263-B7263)</f>
        <v/>
      </c>
      <c r="O7263">
        <f>IF(L7263="", "Pending", IF(N7263&lt;=30, "Met", "Breached"))</f>
        <v/>
      </c>
      <c r="P7263" s="8" t="n"/>
      <c r="Q7263" s="8" t="n"/>
      <c r="R7263" s="8" t="n"/>
      <c r="S7263" s="8" t="n"/>
      <c r="T7263" s="8" t="n"/>
      <c r="U7263" s="8" t="n"/>
      <c r="V7263" s="8" t="n"/>
      <c r="W7263" s="8" t="n"/>
      <c r="X7263" s="8" t="n"/>
      <c r="Y7263" s="8" t="n"/>
    </row>
    <row r="7264">
      <c r="A7264" s="8" t="n"/>
      <c r="B7264" s="8" t="n"/>
      <c r="C7264" s="8" t="n"/>
      <c r="D7264" s="8" t="n"/>
      <c r="E7264" s="8" t="n"/>
      <c r="F7264" s="8" t="n"/>
      <c r="G7264" s="8" t="n"/>
      <c r="H7264" s="8" t="n"/>
      <c r="I7264" s="8" t="n"/>
      <c r="J7264" s="8" t="n"/>
      <c r="K7264" s="8" t="n"/>
      <c r="L7264" s="8" t="n"/>
      <c r="M7264" s="9">
        <f>B7264+30</f>
        <v/>
      </c>
      <c r="N7264">
        <f>IF(L7264="", "", L7264-B7264)</f>
        <v/>
      </c>
      <c r="O7264">
        <f>IF(L7264="", "Pending", IF(N7264&lt;=30, "Met", "Breached"))</f>
        <v/>
      </c>
      <c r="P7264" s="8" t="n"/>
      <c r="Q7264" s="8" t="n"/>
      <c r="R7264" s="8" t="n"/>
      <c r="S7264" s="8" t="n"/>
      <c r="T7264" s="8" t="n"/>
      <c r="U7264" s="8" t="n"/>
      <c r="V7264" s="8" t="n"/>
      <c r="W7264" s="8" t="n"/>
      <c r="X7264" s="8" t="n"/>
      <c r="Y7264" s="8" t="n"/>
    </row>
    <row r="7265">
      <c r="A7265" s="8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8" t="n"/>
      <c r="K7265" s="8" t="n"/>
      <c r="L7265" s="8" t="n"/>
      <c r="M7265" s="9">
        <f>B7265+30</f>
        <v/>
      </c>
      <c r="N7265">
        <f>IF(L7265="", "", L7265-B7265)</f>
        <v/>
      </c>
      <c r="O7265">
        <f>IF(L7265="", "Pending", IF(N7265&lt;=30, "Met", "Breached"))</f>
        <v/>
      </c>
      <c r="P7265" s="8" t="n"/>
      <c r="Q7265" s="8" t="n"/>
      <c r="R7265" s="8" t="n"/>
      <c r="S7265" s="8" t="n"/>
      <c r="T7265" s="8" t="n"/>
      <c r="U7265" s="8" t="n"/>
      <c r="V7265" s="8" t="n"/>
      <c r="W7265" s="8" t="n"/>
      <c r="X7265" s="8" t="n"/>
      <c r="Y7265" s="8" t="n"/>
    </row>
    <row r="7266">
      <c r="A7266" s="8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8" t="n"/>
      <c r="K7266" s="8" t="n"/>
      <c r="L7266" s="8" t="n"/>
      <c r="M7266" s="9">
        <f>B7266+30</f>
        <v/>
      </c>
      <c r="N7266">
        <f>IF(L7266="", "", L7266-B7266)</f>
        <v/>
      </c>
      <c r="O7266">
        <f>IF(L7266="", "Pending", IF(N7266&lt;=30, "Met", "Breached"))</f>
        <v/>
      </c>
      <c r="P7266" s="8" t="n"/>
      <c r="Q7266" s="8" t="n"/>
      <c r="R7266" s="8" t="n"/>
      <c r="S7266" s="8" t="n"/>
      <c r="T7266" s="8" t="n"/>
      <c r="U7266" s="8" t="n"/>
      <c r="V7266" s="8" t="n"/>
      <c r="W7266" s="8" t="n"/>
      <c r="X7266" s="8" t="n"/>
      <c r="Y7266" s="8" t="n"/>
    </row>
    <row r="7267">
      <c r="A7267" s="8" t="n"/>
      <c r="B7267" s="8" t="n"/>
      <c r="C7267" s="8" t="n"/>
      <c r="D7267" s="8" t="n"/>
      <c r="E7267" s="8" t="n"/>
      <c r="F7267" s="8" t="n"/>
      <c r="G7267" s="8" t="n"/>
      <c r="H7267" s="8" t="n"/>
      <c r="I7267" s="8" t="n"/>
      <c r="J7267" s="8" t="n"/>
      <c r="K7267" s="8" t="n"/>
      <c r="L7267" s="8" t="n"/>
      <c r="M7267" s="9">
        <f>B7267+30</f>
        <v/>
      </c>
      <c r="N7267">
        <f>IF(L7267="", "", L7267-B7267)</f>
        <v/>
      </c>
      <c r="O7267">
        <f>IF(L7267="", "Pending", IF(N7267&lt;=30, "Met", "Breached"))</f>
        <v/>
      </c>
      <c r="P7267" s="8" t="n"/>
      <c r="Q7267" s="8" t="n"/>
      <c r="R7267" s="8" t="n"/>
      <c r="S7267" s="8" t="n"/>
      <c r="T7267" s="8" t="n"/>
      <c r="U7267" s="8" t="n"/>
      <c r="V7267" s="8" t="n"/>
      <c r="W7267" s="8" t="n"/>
      <c r="X7267" s="8" t="n"/>
      <c r="Y7267" s="8" t="n"/>
    </row>
    <row r="7268">
      <c r="A7268" s="8" t="n"/>
      <c r="B7268" s="8" t="n"/>
      <c r="C7268" s="8" t="n"/>
      <c r="D7268" s="8" t="n"/>
      <c r="E7268" s="8" t="n"/>
      <c r="F7268" s="8" t="n"/>
      <c r="G7268" s="8" t="n"/>
      <c r="H7268" s="8" t="n"/>
      <c r="I7268" s="8" t="n"/>
      <c r="J7268" s="8" t="n"/>
      <c r="K7268" s="8" t="n"/>
      <c r="L7268" s="8" t="n"/>
      <c r="M7268" s="9">
        <f>B7268+30</f>
        <v/>
      </c>
      <c r="N7268">
        <f>IF(L7268="", "", L7268-B7268)</f>
        <v/>
      </c>
      <c r="O7268">
        <f>IF(L7268="", "Pending", IF(N7268&lt;=30, "Met", "Breached"))</f>
        <v/>
      </c>
      <c r="P7268" s="8" t="n"/>
      <c r="Q7268" s="8" t="n"/>
      <c r="R7268" s="8" t="n"/>
      <c r="S7268" s="8" t="n"/>
      <c r="T7268" s="8" t="n"/>
      <c r="U7268" s="8" t="n"/>
      <c r="V7268" s="8" t="n"/>
      <c r="W7268" s="8" t="n"/>
      <c r="X7268" s="8" t="n"/>
      <c r="Y7268" s="8" t="n"/>
    </row>
    <row r="7269">
      <c r="A7269" s="8" t="n"/>
      <c r="B7269" s="8" t="n"/>
      <c r="C7269" s="8" t="n"/>
      <c r="D7269" s="8" t="n"/>
      <c r="E7269" s="8" t="n"/>
      <c r="F7269" s="8" t="n"/>
      <c r="G7269" s="8" t="n"/>
      <c r="H7269" s="8" t="n"/>
      <c r="I7269" s="8" t="n"/>
      <c r="J7269" s="8" t="n"/>
      <c r="K7269" s="8" t="n"/>
      <c r="L7269" s="8" t="n"/>
      <c r="M7269" s="9">
        <f>B7269+30</f>
        <v/>
      </c>
      <c r="N7269">
        <f>IF(L7269="", "", L7269-B7269)</f>
        <v/>
      </c>
      <c r="O7269">
        <f>IF(L7269="", "Pending", IF(N7269&lt;=30, "Met", "Breached"))</f>
        <v/>
      </c>
      <c r="P7269" s="8" t="n"/>
      <c r="Q7269" s="8" t="n"/>
      <c r="R7269" s="8" t="n"/>
      <c r="S7269" s="8" t="n"/>
      <c r="T7269" s="8" t="n"/>
      <c r="U7269" s="8" t="n"/>
      <c r="V7269" s="8" t="n"/>
      <c r="W7269" s="8" t="n"/>
      <c r="X7269" s="8" t="n"/>
      <c r="Y7269" s="8" t="n"/>
    </row>
    <row r="7270">
      <c r="A7270" s="8" t="n"/>
      <c r="B7270" s="8" t="n"/>
      <c r="C7270" s="8" t="n"/>
      <c r="D7270" s="8" t="n"/>
      <c r="E7270" s="8" t="n"/>
      <c r="F7270" s="8" t="n"/>
      <c r="G7270" s="8" t="n"/>
      <c r="H7270" s="8" t="n"/>
      <c r="I7270" s="8" t="n"/>
      <c r="J7270" s="8" t="n"/>
      <c r="K7270" s="8" t="n"/>
      <c r="L7270" s="8" t="n"/>
      <c r="M7270" s="9">
        <f>B7270+30</f>
        <v/>
      </c>
      <c r="N7270">
        <f>IF(L7270="", "", L7270-B7270)</f>
        <v/>
      </c>
      <c r="O7270">
        <f>IF(L7270="", "Pending", IF(N7270&lt;=30, "Met", "Breached"))</f>
        <v/>
      </c>
      <c r="P7270" s="8" t="n"/>
      <c r="Q7270" s="8" t="n"/>
      <c r="R7270" s="8" t="n"/>
      <c r="S7270" s="8" t="n"/>
      <c r="T7270" s="8" t="n"/>
      <c r="U7270" s="8" t="n"/>
      <c r="V7270" s="8" t="n"/>
      <c r="W7270" s="8" t="n"/>
      <c r="X7270" s="8" t="n"/>
      <c r="Y7270" s="8" t="n"/>
    </row>
    <row r="7271">
      <c r="A7271" s="8" t="n"/>
      <c r="B7271" s="8" t="n"/>
      <c r="C7271" s="8" t="n"/>
      <c r="D7271" s="8" t="n"/>
      <c r="E7271" s="8" t="n"/>
      <c r="F7271" s="8" t="n"/>
      <c r="G7271" s="8" t="n"/>
      <c r="H7271" s="8" t="n"/>
      <c r="I7271" s="8" t="n"/>
      <c r="J7271" s="8" t="n"/>
      <c r="K7271" s="8" t="n"/>
      <c r="L7271" s="8" t="n"/>
      <c r="M7271" s="9">
        <f>B7271+30</f>
        <v/>
      </c>
      <c r="N7271">
        <f>IF(L7271="", "", L7271-B7271)</f>
        <v/>
      </c>
      <c r="O7271">
        <f>IF(L7271="", "Pending", IF(N7271&lt;=30, "Met", "Breached"))</f>
        <v/>
      </c>
      <c r="P7271" s="8" t="n"/>
      <c r="Q7271" s="8" t="n"/>
      <c r="R7271" s="8" t="n"/>
      <c r="S7271" s="8" t="n"/>
      <c r="T7271" s="8" t="n"/>
      <c r="U7271" s="8" t="n"/>
      <c r="V7271" s="8" t="n"/>
      <c r="W7271" s="8" t="n"/>
      <c r="X7271" s="8" t="n"/>
      <c r="Y7271" s="8" t="n"/>
    </row>
    <row r="7272">
      <c r="A7272" s="8" t="n"/>
      <c r="B7272" s="8" t="n"/>
      <c r="C7272" s="8" t="n"/>
      <c r="D7272" s="8" t="n"/>
      <c r="E7272" s="8" t="n"/>
      <c r="F7272" s="8" t="n"/>
      <c r="G7272" s="8" t="n"/>
      <c r="H7272" s="8" t="n"/>
      <c r="I7272" s="8" t="n"/>
      <c r="J7272" s="8" t="n"/>
      <c r="K7272" s="8" t="n"/>
      <c r="L7272" s="8" t="n"/>
      <c r="M7272" s="9">
        <f>B7272+30</f>
        <v/>
      </c>
      <c r="N7272">
        <f>IF(L7272="", "", L7272-B7272)</f>
        <v/>
      </c>
      <c r="O7272">
        <f>IF(L7272="", "Pending", IF(N7272&lt;=30, "Met", "Breached"))</f>
        <v/>
      </c>
      <c r="P7272" s="8" t="n"/>
      <c r="Q7272" s="8" t="n"/>
      <c r="R7272" s="8" t="n"/>
      <c r="S7272" s="8" t="n"/>
      <c r="T7272" s="8" t="n"/>
      <c r="U7272" s="8" t="n"/>
      <c r="V7272" s="8" t="n"/>
      <c r="W7272" s="8" t="n"/>
      <c r="X7272" s="8" t="n"/>
      <c r="Y7272" s="8" t="n"/>
    </row>
    <row r="7273">
      <c r="A7273" s="8" t="n"/>
      <c r="B7273" s="8" t="n"/>
      <c r="C7273" s="8" t="n"/>
      <c r="D7273" s="8" t="n"/>
      <c r="E7273" s="8" t="n"/>
      <c r="F7273" s="8" t="n"/>
      <c r="G7273" s="8" t="n"/>
      <c r="H7273" s="8" t="n"/>
      <c r="I7273" s="8" t="n"/>
      <c r="J7273" s="8" t="n"/>
      <c r="K7273" s="8" t="n"/>
      <c r="L7273" s="8" t="n"/>
      <c r="M7273" s="9">
        <f>B7273+30</f>
        <v/>
      </c>
      <c r="N7273">
        <f>IF(L7273="", "", L7273-B7273)</f>
        <v/>
      </c>
      <c r="O7273">
        <f>IF(L7273="", "Pending", IF(N7273&lt;=30, "Met", "Breached"))</f>
        <v/>
      </c>
      <c r="P7273" s="8" t="n"/>
      <c r="Q7273" s="8" t="n"/>
      <c r="R7273" s="8" t="n"/>
      <c r="S7273" s="8" t="n"/>
      <c r="T7273" s="8" t="n"/>
      <c r="U7273" s="8" t="n"/>
      <c r="V7273" s="8" t="n"/>
      <c r="W7273" s="8" t="n"/>
      <c r="X7273" s="8" t="n"/>
      <c r="Y7273" s="8" t="n"/>
    </row>
    <row r="7274">
      <c r="A7274" s="8" t="n"/>
      <c r="B7274" s="8" t="n"/>
      <c r="C7274" s="8" t="n"/>
      <c r="D7274" s="8" t="n"/>
      <c r="E7274" s="8" t="n"/>
      <c r="F7274" s="8" t="n"/>
      <c r="G7274" s="8" t="n"/>
      <c r="H7274" s="8" t="n"/>
      <c r="I7274" s="8" t="n"/>
      <c r="J7274" s="8" t="n"/>
      <c r="K7274" s="8" t="n"/>
      <c r="L7274" s="8" t="n"/>
      <c r="M7274" s="9">
        <f>B7274+30</f>
        <v/>
      </c>
      <c r="N7274">
        <f>IF(L7274="", "", L7274-B7274)</f>
        <v/>
      </c>
      <c r="O7274">
        <f>IF(L7274="", "Pending", IF(N7274&lt;=30, "Met", "Breached"))</f>
        <v/>
      </c>
      <c r="P7274" s="8" t="n"/>
      <c r="Q7274" s="8" t="n"/>
      <c r="R7274" s="8" t="n"/>
      <c r="S7274" s="8" t="n"/>
      <c r="T7274" s="8" t="n"/>
      <c r="U7274" s="8" t="n"/>
      <c r="V7274" s="8" t="n"/>
      <c r="W7274" s="8" t="n"/>
      <c r="X7274" s="8" t="n"/>
      <c r="Y7274" s="8" t="n"/>
    </row>
    <row r="7275">
      <c r="A7275" s="8" t="n"/>
      <c r="B7275" s="8" t="n"/>
      <c r="C7275" s="8" t="n"/>
      <c r="D7275" s="8" t="n"/>
      <c r="E7275" s="8" t="n"/>
      <c r="F7275" s="8" t="n"/>
      <c r="G7275" s="8" t="n"/>
      <c r="H7275" s="8" t="n"/>
      <c r="I7275" s="8" t="n"/>
      <c r="J7275" s="8" t="n"/>
      <c r="K7275" s="8" t="n"/>
      <c r="L7275" s="8" t="n"/>
      <c r="M7275" s="9">
        <f>B7275+30</f>
        <v/>
      </c>
      <c r="N7275">
        <f>IF(L7275="", "", L7275-B7275)</f>
        <v/>
      </c>
      <c r="O7275">
        <f>IF(L7275="", "Pending", IF(N7275&lt;=30, "Met", "Breached"))</f>
        <v/>
      </c>
      <c r="P7275" s="8" t="n"/>
      <c r="Q7275" s="8" t="n"/>
      <c r="R7275" s="8" t="n"/>
      <c r="S7275" s="8" t="n"/>
      <c r="T7275" s="8" t="n"/>
      <c r="U7275" s="8" t="n"/>
      <c r="V7275" s="8" t="n"/>
      <c r="W7275" s="8" t="n"/>
      <c r="X7275" s="8" t="n"/>
      <c r="Y7275" s="8" t="n"/>
    </row>
    <row r="7276">
      <c r="A7276" s="8" t="n"/>
      <c r="B7276" s="8" t="n"/>
      <c r="C7276" s="8" t="n"/>
      <c r="D7276" s="8" t="n"/>
      <c r="E7276" s="8" t="n"/>
      <c r="F7276" s="8" t="n"/>
      <c r="G7276" s="8" t="n"/>
      <c r="H7276" s="8" t="n"/>
      <c r="I7276" s="8" t="n"/>
      <c r="J7276" s="8" t="n"/>
      <c r="K7276" s="8" t="n"/>
      <c r="L7276" s="8" t="n"/>
      <c r="M7276" s="9">
        <f>B7276+30</f>
        <v/>
      </c>
      <c r="N7276">
        <f>IF(L7276="", "", L7276-B7276)</f>
        <v/>
      </c>
      <c r="O7276">
        <f>IF(L7276="", "Pending", IF(N7276&lt;=30, "Met", "Breached"))</f>
        <v/>
      </c>
      <c r="P7276" s="8" t="n"/>
      <c r="Q7276" s="8" t="n"/>
      <c r="R7276" s="8" t="n"/>
      <c r="S7276" s="8" t="n"/>
      <c r="T7276" s="8" t="n"/>
      <c r="U7276" s="8" t="n"/>
      <c r="V7276" s="8" t="n"/>
      <c r="W7276" s="8" t="n"/>
      <c r="X7276" s="8" t="n"/>
      <c r="Y7276" s="8" t="n"/>
    </row>
    <row r="7277">
      <c r="A7277" s="8" t="n"/>
      <c r="B7277" s="8" t="n"/>
      <c r="C7277" s="8" t="n"/>
      <c r="D7277" s="8" t="n"/>
      <c r="E7277" s="8" t="n"/>
      <c r="F7277" s="8" t="n"/>
      <c r="G7277" s="8" t="n"/>
      <c r="H7277" s="8" t="n"/>
      <c r="I7277" s="8" t="n"/>
      <c r="J7277" s="8" t="n"/>
      <c r="K7277" s="8" t="n"/>
      <c r="L7277" s="8" t="n"/>
      <c r="M7277" s="9">
        <f>B7277+30</f>
        <v/>
      </c>
      <c r="N7277">
        <f>IF(L7277="", "", L7277-B7277)</f>
        <v/>
      </c>
      <c r="O7277">
        <f>IF(L7277="", "Pending", IF(N7277&lt;=30, "Met", "Breached"))</f>
        <v/>
      </c>
      <c r="P7277" s="8" t="n"/>
      <c r="Q7277" s="8" t="n"/>
      <c r="R7277" s="8" t="n"/>
      <c r="S7277" s="8" t="n"/>
      <c r="T7277" s="8" t="n"/>
      <c r="U7277" s="8" t="n"/>
      <c r="V7277" s="8" t="n"/>
      <c r="W7277" s="8" t="n"/>
      <c r="X7277" s="8" t="n"/>
      <c r="Y7277" s="8" t="n"/>
    </row>
    <row r="7278">
      <c r="A7278" s="8" t="n"/>
      <c r="B7278" s="8" t="n"/>
      <c r="C7278" s="8" t="n"/>
      <c r="D7278" s="8" t="n"/>
      <c r="E7278" s="8" t="n"/>
      <c r="F7278" s="8" t="n"/>
      <c r="G7278" s="8" t="n"/>
      <c r="H7278" s="8" t="n"/>
      <c r="I7278" s="8" t="n"/>
      <c r="J7278" s="8" t="n"/>
      <c r="K7278" s="8" t="n"/>
      <c r="L7278" s="8" t="n"/>
      <c r="M7278" s="9">
        <f>B7278+30</f>
        <v/>
      </c>
      <c r="N7278">
        <f>IF(L7278="", "", L7278-B7278)</f>
        <v/>
      </c>
      <c r="O7278">
        <f>IF(L7278="", "Pending", IF(N7278&lt;=30, "Met", "Breached"))</f>
        <v/>
      </c>
      <c r="P7278" s="8" t="n"/>
      <c r="Q7278" s="8" t="n"/>
      <c r="R7278" s="8" t="n"/>
      <c r="S7278" s="8" t="n"/>
      <c r="T7278" s="8" t="n"/>
      <c r="U7278" s="8" t="n"/>
      <c r="V7278" s="8" t="n"/>
      <c r="W7278" s="8" t="n"/>
      <c r="X7278" s="8" t="n"/>
      <c r="Y7278" s="8" t="n"/>
    </row>
    <row r="7279">
      <c r="A7279" s="8" t="n"/>
      <c r="B7279" s="8" t="n"/>
      <c r="C7279" s="8" t="n"/>
      <c r="D7279" s="8" t="n"/>
      <c r="E7279" s="8" t="n"/>
      <c r="F7279" s="8" t="n"/>
      <c r="G7279" s="8" t="n"/>
      <c r="H7279" s="8" t="n"/>
      <c r="I7279" s="8" t="n"/>
      <c r="J7279" s="8" t="n"/>
      <c r="K7279" s="8" t="n"/>
      <c r="L7279" s="8" t="n"/>
      <c r="M7279" s="9">
        <f>B7279+30</f>
        <v/>
      </c>
      <c r="N7279">
        <f>IF(L7279="", "", L7279-B7279)</f>
        <v/>
      </c>
      <c r="O7279">
        <f>IF(L7279="", "Pending", IF(N7279&lt;=30, "Met", "Breached"))</f>
        <v/>
      </c>
      <c r="P7279" s="8" t="n"/>
      <c r="Q7279" s="8" t="n"/>
      <c r="R7279" s="8" t="n"/>
      <c r="S7279" s="8" t="n"/>
      <c r="T7279" s="8" t="n"/>
      <c r="U7279" s="8" t="n"/>
      <c r="V7279" s="8" t="n"/>
      <c r="W7279" s="8" t="n"/>
      <c r="X7279" s="8" t="n"/>
      <c r="Y7279" s="8" t="n"/>
    </row>
    <row r="7280">
      <c r="A7280" s="8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8" t="n"/>
      <c r="K7280" s="8" t="n"/>
      <c r="L7280" s="8" t="n"/>
      <c r="M7280" s="9">
        <f>B7280+30</f>
        <v/>
      </c>
      <c r="N7280">
        <f>IF(L7280="", "", L7280-B7280)</f>
        <v/>
      </c>
      <c r="O7280">
        <f>IF(L7280="", "Pending", IF(N7280&lt;=30, "Met", "Breached"))</f>
        <v/>
      </c>
      <c r="P7280" s="8" t="n"/>
      <c r="Q7280" s="8" t="n"/>
      <c r="R7280" s="8" t="n"/>
      <c r="S7280" s="8" t="n"/>
      <c r="T7280" s="8" t="n"/>
      <c r="U7280" s="8" t="n"/>
      <c r="V7280" s="8" t="n"/>
      <c r="W7280" s="8" t="n"/>
      <c r="X7280" s="8" t="n"/>
      <c r="Y7280" s="8" t="n"/>
    </row>
    <row r="7281">
      <c r="A7281" s="8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8" t="n"/>
      <c r="K7281" s="8" t="n"/>
      <c r="L7281" s="8" t="n"/>
      <c r="M7281" s="9">
        <f>B7281+30</f>
        <v/>
      </c>
      <c r="N7281">
        <f>IF(L7281="", "", L7281-B7281)</f>
        <v/>
      </c>
      <c r="O7281">
        <f>IF(L7281="", "Pending", IF(N7281&lt;=30, "Met", "Breached"))</f>
        <v/>
      </c>
      <c r="P7281" s="8" t="n"/>
      <c r="Q7281" s="8" t="n"/>
      <c r="R7281" s="8" t="n"/>
      <c r="S7281" s="8" t="n"/>
      <c r="T7281" s="8" t="n"/>
      <c r="U7281" s="8" t="n"/>
      <c r="V7281" s="8" t="n"/>
      <c r="W7281" s="8" t="n"/>
      <c r="X7281" s="8" t="n"/>
      <c r="Y7281" s="8" t="n"/>
    </row>
    <row r="7282">
      <c r="A7282" s="8" t="n"/>
      <c r="B7282" s="8" t="n"/>
      <c r="C7282" s="8" t="n"/>
      <c r="D7282" s="8" t="n"/>
      <c r="E7282" s="8" t="n"/>
      <c r="F7282" s="8" t="n"/>
      <c r="G7282" s="8" t="n"/>
      <c r="H7282" s="8" t="n"/>
      <c r="I7282" s="8" t="n"/>
      <c r="J7282" s="8" t="n"/>
      <c r="K7282" s="8" t="n"/>
      <c r="L7282" s="8" t="n"/>
      <c r="M7282" s="9">
        <f>B7282+30</f>
        <v/>
      </c>
      <c r="N7282">
        <f>IF(L7282="", "", L7282-B7282)</f>
        <v/>
      </c>
      <c r="O7282">
        <f>IF(L7282="", "Pending", IF(N7282&lt;=30, "Met", "Breached"))</f>
        <v/>
      </c>
      <c r="P7282" s="8" t="n"/>
      <c r="Q7282" s="8" t="n"/>
      <c r="R7282" s="8" t="n"/>
      <c r="S7282" s="8" t="n"/>
      <c r="T7282" s="8" t="n"/>
      <c r="U7282" s="8" t="n"/>
      <c r="V7282" s="8" t="n"/>
      <c r="W7282" s="8" t="n"/>
      <c r="X7282" s="8" t="n"/>
      <c r="Y7282" s="8" t="n"/>
    </row>
    <row r="7283">
      <c r="A7283" s="8" t="n"/>
      <c r="B7283" s="8" t="n"/>
      <c r="C7283" s="8" t="n"/>
      <c r="D7283" s="8" t="n"/>
      <c r="E7283" s="8" t="n"/>
      <c r="F7283" s="8" t="n"/>
      <c r="G7283" s="8" t="n"/>
      <c r="H7283" s="8" t="n"/>
      <c r="I7283" s="8" t="n"/>
      <c r="J7283" s="8" t="n"/>
      <c r="K7283" s="8" t="n"/>
      <c r="L7283" s="8" t="n"/>
      <c r="M7283" s="9">
        <f>B7283+30</f>
        <v/>
      </c>
      <c r="N7283">
        <f>IF(L7283="", "", L7283-B7283)</f>
        <v/>
      </c>
      <c r="O7283">
        <f>IF(L7283="", "Pending", IF(N7283&lt;=30, "Met", "Breached"))</f>
        <v/>
      </c>
      <c r="P7283" s="8" t="n"/>
      <c r="Q7283" s="8" t="n"/>
      <c r="R7283" s="8" t="n"/>
      <c r="S7283" s="8" t="n"/>
      <c r="T7283" s="8" t="n"/>
      <c r="U7283" s="8" t="n"/>
      <c r="V7283" s="8" t="n"/>
      <c r="W7283" s="8" t="n"/>
      <c r="X7283" s="8" t="n"/>
      <c r="Y7283" s="8" t="n"/>
    </row>
    <row r="7284">
      <c r="A7284" s="8" t="n"/>
      <c r="B7284" s="8" t="n"/>
      <c r="C7284" s="8" t="n"/>
      <c r="D7284" s="8" t="n"/>
      <c r="E7284" s="8" t="n"/>
      <c r="F7284" s="8" t="n"/>
      <c r="G7284" s="8" t="n"/>
      <c r="H7284" s="8" t="n"/>
      <c r="I7284" s="8" t="n"/>
      <c r="J7284" s="8" t="n"/>
      <c r="K7284" s="8" t="n"/>
      <c r="L7284" s="8" t="n"/>
      <c r="M7284" s="9">
        <f>B7284+30</f>
        <v/>
      </c>
      <c r="N7284">
        <f>IF(L7284="", "", L7284-B7284)</f>
        <v/>
      </c>
      <c r="O7284">
        <f>IF(L7284="", "Pending", IF(N7284&lt;=30, "Met", "Breached"))</f>
        <v/>
      </c>
      <c r="P7284" s="8" t="n"/>
      <c r="Q7284" s="8" t="n"/>
      <c r="R7284" s="8" t="n"/>
      <c r="S7284" s="8" t="n"/>
      <c r="T7284" s="8" t="n"/>
      <c r="U7284" s="8" t="n"/>
      <c r="V7284" s="8" t="n"/>
      <c r="W7284" s="8" t="n"/>
      <c r="X7284" s="8" t="n"/>
      <c r="Y7284" s="8" t="n"/>
    </row>
    <row r="7285">
      <c r="A7285" s="8" t="n"/>
      <c r="B7285" s="8" t="n"/>
      <c r="C7285" s="8" t="n"/>
      <c r="D7285" s="8" t="n"/>
      <c r="E7285" s="8" t="n"/>
      <c r="F7285" s="8" t="n"/>
      <c r="G7285" s="8" t="n"/>
      <c r="H7285" s="8" t="n"/>
      <c r="I7285" s="8" t="n"/>
      <c r="J7285" s="8" t="n"/>
      <c r="K7285" s="8" t="n"/>
      <c r="L7285" s="8" t="n"/>
      <c r="M7285" s="9">
        <f>B7285+30</f>
        <v/>
      </c>
      <c r="N7285">
        <f>IF(L7285="", "", L7285-B7285)</f>
        <v/>
      </c>
      <c r="O7285">
        <f>IF(L7285="", "Pending", IF(N7285&lt;=30, "Met", "Breached"))</f>
        <v/>
      </c>
      <c r="P7285" s="8" t="n"/>
      <c r="Q7285" s="8" t="n"/>
      <c r="R7285" s="8" t="n"/>
      <c r="S7285" s="8" t="n"/>
      <c r="T7285" s="8" t="n"/>
      <c r="U7285" s="8" t="n"/>
      <c r="V7285" s="8" t="n"/>
      <c r="W7285" s="8" t="n"/>
      <c r="X7285" s="8" t="n"/>
      <c r="Y7285" s="8" t="n"/>
    </row>
    <row r="7286">
      <c r="A7286" s="8" t="n"/>
      <c r="B7286" s="8" t="n"/>
      <c r="C7286" s="8" t="n"/>
      <c r="D7286" s="8" t="n"/>
      <c r="E7286" s="8" t="n"/>
      <c r="F7286" s="8" t="n"/>
      <c r="G7286" s="8" t="n"/>
      <c r="H7286" s="8" t="n"/>
      <c r="I7286" s="8" t="n"/>
      <c r="J7286" s="8" t="n"/>
      <c r="K7286" s="8" t="n"/>
      <c r="L7286" s="8" t="n"/>
      <c r="M7286" s="9">
        <f>B7286+30</f>
        <v/>
      </c>
      <c r="N7286">
        <f>IF(L7286="", "", L7286-B7286)</f>
        <v/>
      </c>
      <c r="O7286">
        <f>IF(L7286="", "Pending", IF(N7286&lt;=30, "Met", "Breached"))</f>
        <v/>
      </c>
      <c r="P7286" s="8" t="n"/>
      <c r="Q7286" s="8" t="n"/>
      <c r="R7286" s="8" t="n"/>
      <c r="S7286" s="8" t="n"/>
      <c r="T7286" s="8" t="n"/>
      <c r="U7286" s="8" t="n"/>
      <c r="V7286" s="8" t="n"/>
      <c r="W7286" s="8" t="n"/>
      <c r="X7286" s="8" t="n"/>
      <c r="Y7286" s="8" t="n"/>
    </row>
    <row r="7287">
      <c r="A7287" s="8" t="n"/>
      <c r="B7287" s="8" t="n"/>
      <c r="C7287" s="8" t="n"/>
      <c r="D7287" s="8" t="n"/>
      <c r="E7287" s="8" t="n"/>
      <c r="F7287" s="8" t="n"/>
      <c r="G7287" s="8" t="n"/>
      <c r="H7287" s="8" t="n"/>
      <c r="I7287" s="8" t="n"/>
      <c r="J7287" s="8" t="n"/>
      <c r="K7287" s="8" t="n"/>
      <c r="L7287" s="8" t="n"/>
      <c r="M7287" s="9">
        <f>B7287+30</f>
        <v/>
      </c>
      <c r="N7287">
        <f>IF(L7287="", "", L7287-B7287)</f>
        <v/>
      </c>
      <c r="O7287">
        <f>IF(L7287="", "Pending", IF(N7287&lt;=30, "Met", "Breached"))</f>
        <v/>
      </c>
      <c r="P7287" s="8" t="n"/>
      <c r="Q7287" s="8" t="n"/>
      <c r="R7287" s="8" t="n"/>
      <c r="S7287" s="8" t="n"/>
      <c r="T7287" s="8" t="n"/>
      <c r="U7287" s="8" t="n"/>
      <c r="V7287" s="8" t="n"/>
      <c r="W7287" s="8" t="n"/>
      <c r="X7287" s="8" t="n"/>
      <c r="Y7287" s="8" t="n"/>
    </row>
    <row r="7288">
      <c r="A7288" s="8" t="n"/>
      <c r="B7288" s="8" t="n"/>
      <c r="C7288" s="8" t="n"/>
      <c r="D7288" s="8" t="n"/>
      <c r="E7288" s="8" t="n"/>
      <c r="F7288" s="8" t="n"/>
      <c r="G7288" s="8" t="n"/>
      <c r="H7288" s="8" t="n"/>
      <c r="I7288" s="8" t="n"/>
      <c r="J7288" s="8" t="n"/>
      <c r="K7288" s="8" t="n"/>
      <c r="L7288" s="8" t="n"/>
      <c r="M7288" s="9">
        <f>B7288+30</f>
        <v/>
      </c>
      <c r="N7288">
        <f>IF(L7288="", "", L7288-B7288)</f>
        <v/>
      </c>
      <c r="O7288">
        <f>IF(L7288="", "Pending", IF(N7288&lt;=30, "Met", "Breached"))</f>
        <v/>
      </c>
      <c r="P7288" s="8" t="n"/>
      <c r="Q7288" s="8" t="n"/>
      <c r="R7288" s="8" t="n"/>
      <c r="S7288" s="8" t="n"/>
      <c r="T7288" s="8" t="n"/>
      <c r="U7288" s="8" t="n"/>
      <c r="V7288" s="8" t="n"/>
      <c r="W7288" s="8" t="n"/>
      <c r="X7288" s="8" t="n"/>
      <c r="Y7288" s="8" t="n"/>
    </row>
    <row r="7289">
      <c r="A7289" s="8" t="n"/>
      <c r="B7289" s="8" t="n"/>
      <c r="C7289" s="8" t="n"/>
      <c r="D7289" s="8" t="n"/>
      <c r="E7289" s="8" t="n"/>
      <c r="F7289" s="8" t="n"/>
      <c r="G7289" s="8" t="n"/>
      <c r="H7289" s="8" t="n"/>
      <c r="I7289" s="8" t="n"/>
      <c r="J7289" s="8" t="n"/>
      <c r="K7289" s="8" t="n"/>
      <c r="L7289" s="8" t="n"/>
      <c r="M7289" s="9">
        <f>B7289+30</f>
        <v/>
      </c>
      <c r="N7289">
        <f>IF(L7289="", "", L7289-B7289)</f>
        <v/>
      </c>
      <c r="O7289">
        <f>IF(L7289="", "Pending", IF(N7289&lt;=30, "Met", "Breached"))</f>
        <v/>
      </c>
      <c r="P7289" s="8" t="n"/>
      <c r="Q7289" s="8" t="n"/>
      <c r="R7289" s="8" t="n"/>
      <c r="S7289" s="8" t="n"/>
      <c r="T7289" s="8" t="n"/>
      <c r="U7289" s="8" t="n"/>
      <c r="V7289" s="8" t="n"/>
      <c r="W7289" s="8" t="n"/>
      <c r="X7289" s="8" t="n"/>
      <c r="Y7289" s="8" t="n"/>
    </row>
    <row r="7290">
      <c r="A7290" s="8" t="n"/>
      <c r="B7290" s="8" t="n"/>
      <c r="C7290" s="8" t="n"/>
      <c r="D7290" s="8" t="n"/>
      <c r="E7290" s="8" t="n"/>
      <c r="F7290" s="8" t="n"/>
      <c r="G7290" s="8" t="n"/>
      <c r="H7290" s="8" t="n"/>
      <c r="I7290" s="8" t="n"/>
      <c r="J7290" s="8" t="n"/>
      <c r="K7290" s="8" t="n"/>
      <c r="L7290" s="8" t="n"/>
      <c r="M7290" s="9">
        <f>B7290+30</f>
        <v/>
      </c>
      <c r="N7290">
        <f>IF(L7290="", "", L7290-B7290)</f>
        <v/>
      </c>
      <c r="O7290">
        <f>IF(L7290="", "Pending", IF(N7290&lt;=30, "Met", "Breached"))</f>
        <v/>
      </c>
      <c r="P7290" s="8" t="n"/>
      <c r="Q7290" s="8" t="n"/>
      <c r="R7290" s="8" t="n"/>
      <c r="S7290" s="8" t="n"/>
      <c r="T7290" s="8" t="n"/>
      <c r="U7290" s="8" t="n"/>
      <c r="V7290" s="8" t="n"/>
      <c r="W7290" s="8" t="n"/>
      <c r="X7290" s="8" t="n"/>
      <c r="Y7290" s="8" t="n"/>
    </row>
    <row r="7291">
      <c r="A7291" s="8" t="n"/>
      <c r="B7291" s="8" t="n"/>
      <c r="C7291" s="8" t="n"/>
      <c r="D7291" s="8" t="n"/>
      <c r="E7291" s="8" t="n"/>
      <c r="F7291" s="8" t="n"/>
      <c r="G7291" s="8" t="n"/>
      <c r="H7291" s="8" t="n"/>
      <c r="I7291" s="8" t="n"/>
      <c r="J7291" s="8" t="n"/>
      <c r="K7291" s="8" t="n"/>
      <c r="L7291" s="8" t="n"/>
      <c r="M7291" s="9">
        <f>B7291+30</f>
        <v/>
      </c>
      <c r="N7291">
        <f>IF(L7291="", "", L7291-B7291)</f>
        <v/>
      </c>
      <c r="O7291">
        <f>IF(L7291="", "Pending", IF(N7291&lt;=30, "Met", "Breached"))</f>
        <v/>
      </c>
      <c r="P7291" s="8" t="n"/>
      <c r="Q7291" s="8" t="n"/>
      <c r="R7291" s="8" t="n"/>
      <c r="S7291" s="8" t="n"/>
      <c r="T7291" s="8" t="n"/>
      <c r="U7291" s="8" t="n"/>
      <c r="V7291" s="8" t="n"/>
      <c r="W7291" s="8" t="n"/>
      <c r="X7291" s="8" t="n"/>
      <c r="Y7291" s="8" t="n"/>
    </row>
    <row r="7292">
      <c r="A7292" s="8" t="n"/>
      <c r="B7292" s="8" t="n"/>
      <c r="C7292" s="8" t="n"/>
      <c r="D7292" s="8" t="n"/>
      <c r="E7292" s="8" t="n"/>
      <c r="F7292" s="8" t="n"/>
      <c r="G7292" s="8" t="n"/>
      <c r="H7292" s="8" t="n"/>
      <c r="I7292" s="8" t="n"/>
      <c r="J7292" s="8" t="n"/>
      <c r="K7292" s="8" t="n"/>
      <c r="L7292" s="8" t="n"/>
      <c r="M7292" s="9">
        <f>B7292+30</f>
        <v/>
      </c>
      <c r="N7292">
        <f>IF(L7292="", "", L7292-B7292)</f>
        <v/>
      </c>
      <c r="O7292">
        <f>IF(L7292="", "Pending", IF(N7292&lt;=30, "Met", "Breached"))</f>
        <v/>
      </c>
      <c r="P7292" s="8" t="n"/>
      <c r="Q7292" s="8" t="n"/>
      <c r="R7292" s="8" t="n"/>
      <c r="S7292" s="8" t="n"/>
      <c r="T7292" s="8" t="n"/>
      <c r="U7292" s="8" t="n"/>
      <c r="V7292" s="8" t="n"/>
      <c r="W7292" s="8" t="n"/>
      <c r="X7292" s="8" t="n"/>
      <c r="Y7292" s="8" t="n"/>
    </row>
    <row r="7293">
      <c r="A7293" s="8" t="n"/>
      <c r="B7293" s="8" t="n"/>
      <c r="C7293" s="8" t="n"/>
      <c r="D7293" s="8" t="n"/>
      <c r="E7293" s="8" t="n"/>
      <c r="F7293" s="8" t="n"/>
      <c r="G7293" s="8" t="n"/>
      <c r="H7293" s="8" t="n"/>
      <c r="I7293" s="8" t="n"/>
      <c r="J7293" s="8" t="n"/>
      <c r="K7293" s="8" t="n"/>
      <c r="L7293" s="8" t="n"/>
      <c r="M7293" s="9">
        <f>B7293+30</f>
        <v/>
      </c>
      <c r="N7293">
        <f>IF(L7293="", "", L7293-B7293)</f>
        <v/>
      </c>
      <c r="O7293">
        <f>IF(L7293="", "Pending", IF(N7293&lt;=30, "Met", "Breached"))</f>
        <v/>
      </c>
      <c r="P7293" s="8" t="n"/>
      <c r="Q7293" s="8" t="n"/>
      <c r="R7293" s="8" t="n"/>
      <c r="S7293" s="8" t="n"/>
      <c r="T7293" s="8" t="n"/>
      <c r="U7293" s="8" t="n"/>
      <c r="V7293" s="8" t="n"/>
      <c r="W7293" s="8" t="n"/>
      <c r="X7293" s="8" t="n"/>
      <c r="Y7293" s="8" t="n"/>
    </row>
    <row r="7294">
      <c r="A7294" s="8" t="n"/>
      <c r="B7294" s="8" t="n"/>
      <c r="C7294" s="8" t="n"/>
      <c r="D7294" s="8" t="n"/>
      <c r="E7294" s="8" t="n"/>
      <c r="F7294" s="8" t="n"/>
      <c r="G7294" s="8" t="n"/>
      <c r="H7294" s="8" t="n"/>
      <c r="I7294" s="8" t="n"/>
      <c r="J7294" s="8" t="n"/>
      <c r="K7294" s="8" t="n"/>
      <c r="L7294" s="8" t="n"/>
      <c r="M7294" s="9">
        <f>B7294+30</f>
        <v/>
      </c>
      <c r="N7294">
        <f>IF(L7294="", "", L7294-B7294)</f>
        <v/>
      </c>
      <c r="O7294">
        <f>IF(L7294="", "Pending", IF(N7294&lt;=30, "Met", "Breached"))</f>
        <v/>
      </c>
      <c r="P7294" s="8" t="n"/>
      <c r="Q7294" s="8" t="n"/>
      <c r="R7294" s="8" t="n"/>
      <c r="S7294" s="8" t="n"/>
      <c r="T7294" s="8" t="n"/>
      <c r="U7294" s="8" t="n"/>
      <c r="V7294" s="8" t="n"/>
      <c r="W7294" s="8" t="n"/>
      <c r="X7294" s="8" t="n"/>
      <c r="Y7294" s="8" t="n"/>
    </row>
    <row r="7295">
      <c r="A7295" s="8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8" t="n"/>
      <c r="K7295" s="8" t="n"/>
      <c r="L7295" s="8" t="n"/>
      <c r="M7295" s="9">
        <f>B7295+30</f>
        <v/>
      </c>
      <c r="N7295">
        <f>IF(L7295="", "", L7295-B7295)</f>
        <v/>
      </c>
      <c r="O7295">
        <f>IF(L7295="", "Pending", IF(N7295&lt;=30, "Met", "Breached"))</f>
        <v/>
      </c>
      <c r="P7295" s="8" t="n"/>
      <c r="Q7295" s="8" t="n"/>
      <c r="R7295" s="8" t="n"/>
      <c r="S7295" s="8" t="n"/>
      <c r="T7295" s="8" t="n"/>
      <c r="U7295" s="8" t="n"/>
      <c r="V7295" s="8" t="n"/>
      <c r="W7295" s="8" t="n"/>
      <c r="X7295" s="8" t="n"/>
      <c r="Y7295" s="8" t="n"/>
    </row>
    <row r="7296">
      <c r="A7296" s="8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8" t="n"/>
      <c r="K7296" s="8" t="n"/>
      <c r="L7296" s="8" t="n"/>
      <c r="M7296" s="9">
        <f>B7296+30</f>
        <v/>
      </c>
      <c r="N7296">
        <f>IF(L7296="", "", L7296-B7296)</f>
        <v/>
      </c>
      <c r="O7296">
        <f>IF(L7296="", "Pending", IF(N7296&lt;=30, "Met", "Breached"))</f>
        <v/>
      </c>
      <c r="P7296" s="8" t="n"/>
      <c r="Q7296" s="8" t="n"/>
      <c r="R7296" s="8" t="n"/>
      <c r="S7296" s="8" t="n"/>
      <c r="T7296" s="8" t="n"/>
      <c r="U7296" s="8" t="n"/>
      <c r="V7296" s="8" t="n"/>
      <c r="W7296" s="8" t="n"/>
      <c r="X7296" s="8" t="n"/>
      <c r="Y7296" s="8" t="n"/>
    </row>
    <row r="7297">
      <c r="A7297" s="8" t="n"/>
      <c r="B7297" s="8" t="n"/>
      <c r="C7297" s="8" t="n"/>
      <c r="D7297" s="8" t="n"/>
      <c r="E7297" s="8" t="n"/>
      <c r="F7297" s="8" t="n"/>
      <c r="G7297" s="8" t="n"/>
      <c r="H7297" s="8" t="n"/>
      <c r="I7297" s="8" t="n"/>
      <c r="J7297" s="8" t="n"/>
      <c r="K7297" s="8" t="n"/>
      <c r="L7297" s="8" t="n"/>
      <c r="M7297" s="9">
        <f>B7297+30</f>
        <v/>
      </c>
      <c r="N7297">
        <f>IF(L7297="", "", L7297-B7297)</f>
        <v/>
      </c>
      <c r="O7297">
        <f>IF(L7297="", "Pending", IF(N7297&lt;=30, "Met", "Breached"))</f>
        <v/>
      </c>
      <c r="P7297" s="8" t="n"/>
      <c r="Q7297" s="8" t="n"/>
      <c r="R7297" s="8" t="n"/>
      <c r="S7297" s="8" t="n"/>
      <c r="T7297" s="8" t="n"/>
      <c r="U7297" s="8" t="n"/>
      <c r="V7297" s="8" t="n"/>
      <c r="W7297" s="8" t="n"/>
      <c r="X7297" s="8" t="n"/>
      <c r="Y7297" s="8" t="n"/>
    </row>
    <row r="7298">
      <c r="A7298" s="8" t="n"/>
      <c r="B7298" s="8" t="n"/>
      <c r="C7298" s="8" t="n"/>
      <c r="D7298" s="8" t="n"/>
      <c r="E7298" s="8" t="n"/>
      <c r="F7298" s="8" t="n"/>
      <c r="G7298" s="8" t="n"/>
      <c r="H7298" s="8" t="n"/>
      <c r="I7298" s="8" t="n"/>
      <c r="J7298" s="8" t="n"/>
      <c r="K7298" s="8" t="n"/>
      <c r="L7298" s="8" t="n"/>
      <c r="M7298" s="9">
        <f>B7298+30</f>
        <v/>
      </c>
      <c r="N7298">
        <f>IF(L7298="", "", L7298-B7298)</f>
        <v/>
      </c>
      <c r="O7298">
        <f>IF(L7298="", "Pending", IF(N7298&lt;=30, "Met", "Breached"))</f>
        <v/>
      </c>
      <c r="P7298" s="8" t="n"/>
      <c r="Q7298" s="8" t="n"/>
      <c r="R7298" s="8" t="n"/>
      <c r="S7298" s="8" t="n"/>
      <c r="T7298" s="8" t="n"/>
      <c r="U7298" s="8" t="n"/>
      <c r="V7298" s="8" t="n"/>
      <c r="W7298" s="8" t="n"/>
      <c r="X7298" s="8" t="n"/>
      <c r="Y7298" s="8" t="n"/>
    </row>
    <row r="7299">
      <c r="A7299" s="8" t="n"/>
      <c r="B7299" s="8" t="n"/>
      <c r="C7299" s="8" t="n"/>
      <c r="D7299" s="8" t="n"/>
      <c r="E7299" s="8" t="n"/>
      <c r="F7299" s="8" t="n"/>
      <c r="G7299" s="8" t="n"/>
      <c r="H7299" s="8" t="n"/>
      <c r="I7299" s="8" t="n"/>
      <c r="J7299" s="8" t="n"/>
      <c r="K7299" s="8" t="n"/>
      <c r="L7299" s="8" t="n"/>
      <c r="M7299" s="9">
        <f>B7299+30</f>
        <v/>
      </c>
      <c r="N7299">
        <f>IF(L7299="", "", L7299-B7299)</f>
        <v/>
      </c>
      <c r="O7299">
        <f>IF(L7299="", "Pending", IF(N7299&lt;=30, "Met", "Breached"))</f>
        <v/>
      </c>
      <c r="P7299" s="8" t="n"/>
      <c r="Q7299" s="8" t="n"/>
      <c r="R7299" s="8" t="n"/>
      <c r="S7299" s="8" t="n"/>
      <c r="T7299" s="8" t="n"/>
      <c r="U7299" s="8" t="n"/>
      <c r="V7299" s="8" t="n"/>
      <c r="W7299" s="8" t="n"/>
      <c r="X7299" s="8" t="n"/>
      <c r="Y7299" s="8" t="n"/>
    </row>
    <row r="7300">
      <c r="A7300" s="8" t="n"/>
      <c r="B7300" s="8" t="n"/>
      <c r="C7300" s="8" t="n"/>
      <c r="D7300" s="8" t="n"/>
      <c r="E7300" s="8" t="n"/>
      <c r="F7300" s="8" t="n"/>
      <c r="G7300" s="8" t="n"/>
      <c r="H7300" s="8" t="n"/>
      <c r="I7300" s="8" t="n"/>
      <c r="J7300" s="8" t="n"/>
      <c r="K7300" s="8" t="n"/>
      <c r="L7300" s="8" t="n"/>
      <c r="M7300" s="9">
        <f>B7300+30</f>
        <v/>
      </c>
      <c r="N7300">
        <f>IF(L7300="", "", L7300-B7300)</f>
        <v/>
      </c>
      <c r="O7300">
        <f>IF(L7300="", "Pending", IF(N7300&lt;=30, "Met", "Breached"))</f>
        <v/>
      </c>
      <c r="P7300" s="8" t="n"/>
      <c r="Q7300" s="8" t="n"/>
      <c r="R7300" s="8" t="n"/>
      <c r="S7300" s="8" t="n"/>
      <c r="T7300" s="8" t="n"/>
      <c r="U7300" s="8" t="n"/>
      <c r="V7300" s="8" t="n"/>
      <c r="W7300" s="8" t="n"/>
      <c r="X7300" s="8" t="n"/>
      <c r="Y7300" s="8" t="n"/>
    </row>
    <row r="7301">
      <c r="A7301" s="8" t="n"/>
      <c r="B7301" s="8" t="n"/>
      <c r="C7301" s="8" t="n"/>
      <c r="D7301" s="8" t="n"/>
      <c r="E7301" s="8" t="n"/>
      <c r="F7301" s="8" t="n"/>
      <c r="G7301" s="8" t="n"/>
      <c r="H7301" s="8" t="n"/>
      <c r="I7301" s="8" t="n"/>
      <c r="J7301" s="8" t="n"/>
      <c r="K7301" s="8" t="n"/>
      <c r="L7301" s="8" t="n"/>
      <c r="M7301" s="9">
        <f>B7301+30</f>
        <v/>
      </c>
      <c r="N7301">
        <f>IF(L7301="", "", L7301-B7301)</f>
        <v/>
      </c>
      <c r="O7301">
        <f>IF(L7301="", "Pending", IF(N7301&lt;=30, "Met", "Breached"))</f>
        <v/>
      </c>
      <c r="P7301" s="8" t="n"/>
      <c r="Q7301" s="8" t="n"/>
      <c r="R7301" s="8" t="n"/>
      <c r="S7301" s="8" t="n"/>
      <c r="T7301" s="8" t="n"/>
      <c r="U7301" s="8" t="n"/>
      <c r="V7301" s="8" t="n"/>
      <c r="W7301" s="8" t="n"/>
      <c r="X7301" s="8" t="n"/>
      <c r="Y7301" s="8" t="n"/>
    </row>
    <row r="7302">
      <c r="A7302" s="8" t="n"/>
      <c r="B7302" s="8" t="n"/>
      <c r="C7302" s="8" t="n"/>
      <c r="D7302" s="8" t="n"/>
      <c r="E7302" s="8" t="n"/>
      <c r="F7302" s="8" t="n"/>
      <c r="G7302" s="8" t="n"/>
      <c r="H7302" s="8" t="n"/>
      <c r="I7302" s="8" t="n"/>
      <c r="J7302" s="8" t="n"/>
      <c r="K7302" s="8" t="n"/>
      <c r="L7302" s="8" t="n"/>
      <c r="M7302" s="9">
        <f>B7302+30</f>
        <v/>
      </c>
      <c r="N7302">
        <f>IF(L7302="", "", L7302-B7302)</f>
        <v/>
      </c>
      <c r="O7302">
        <f>IF(L7302="", "Pending", IF(N7302&lt;=30, "Met", "Breached"))</f>
        <v/>
      </c>
      <c r="P7302" s="8" t="n"/>
      <c r="Q7302" s="8" t="n"/>
      <c r="R7302" s="8" t="n"/>
      <c r="S7302" s="8" t="n"/>
      <c r="T7302" s="8" t="n"/>
      <c r="U7302" s="8" t="n"/>
      <c r="V7302" s="8" t="n"/>
      <c r="W7302" s="8" t="n"/>
      <c r="X7302" s="8" t="n"/>
      <c r="Y7302" s="8" t="n"/>
    </row>
    <row r="7303">
      <c r="A7303" s="8" t="n"/>
      <c r="B7303" s="8" t="n"/>
      <c r="C7303" s="8" t="n"/>
      <c r="D7303" s="8" t="n"/>
      <c r="E7303" s="8" t="n"/>
      <c r="F7303" s="8" t="n"/>
      <c r="G7303" s="8" t="n"/>
      <c r="H7303" s="8" t="n"/>
      <c r="I7303" s="8" t="n"/>
      <c r="J7303" s="8" t="n"/>
      <c r="K7303" s="8" t="n"/>
      <c r="L7303" s="8" t="n"/>
      <c r="M7303" s="9">
        <f>B7303+30</f>
        <v/>
      </c>
      <c r="N7303">
        <f>IF(L7303="", "", L7303-B7303)</f>
        <v/>
      </c>
      <c r="O7303">
        <f>IF(L7303="", "Pending", IF(N7303&lt;=30, "Met", "Breached"))</f>
        <v/>
      </c>
      <c r="P7303" s="8" t="n"/>
      <c r="Q7303" s="8" t="n"/>
      <c r="R7303" s="8" t="n"/>
      <c r="S7303" s="8" t="n"/>
      <c r="T7303" s="8" t="n"/>
      <c r="U7303" s="8" t="n"/>
      <c r="V7303" s="8" t="n"/>
      <c r="W7303" s="8" t="n"/>
      <c r="X7303" s="8" t="n"/>
      <c r="Y7303" s="8" t="n"/>
    </row>
    <row r="7304">
      <c r="A7304" s="8" t="n"/>
      <c r="B7304" s="8" t="n"/>
      <c r="C7304" s="8" t="n"/>
      <c r="D7304" s="8" t="n"/>
      <c r="E7304" s="8" t="n"/>
      <c r="F7304" s="8" t="n"/>
      <c r="G7304" s="8" t="n"/>
      <c r="H7304" s="8" t="n"/>
      <c r="I7304" s="8" t="n"/>
      <c r="J7304" s="8" t="n"/>
      <c r="K7304" s="8" t="n"/>
      <c r="L7304" s="8" t="n"/>
      <c r="M7304" s="9">
        <f>B7304+30</f>
        <v/>
      </c>
      <c r="N7304">
        <f>IF(L7304="", "", L7304-B7304)</f>
        <v/>
      </c>
      <c r="O7304">
        <f>IF(L7304="", "Pending", IF(N7304&lt;=30, "Met", "Breached"))</f>
        <v/>
      </c>
      <c r="P7304" s="8" t="n"/>
      <c r="Q7304" s="8" t="n"/>
      <c r="R7304" s="8" t="n"/>
      <c r="S7304" s="8" t="n"/>
      <c r="T7304" s="8" t="n"/>
      <c r="U7304" s="8" t="n"/>
      <c r="V7304" s="8" t="n"/>
      <c r="W7304" s="8" t="n"/>
      <c r="X7304" s="8" t="n"/>
      <c r="Y7304" s="8" t="n"/>
    </row>
    <row r="7305">
      <c r="A7305" s="8" t="n"/>
      <c r="B7305" s="8" t="n"/>
      <c r="C7305" s="8" t="n"/>
      <c r="D7305" s="8" t="n"/>
      <c r="E7305" s="8" t="n"/>
      <c r="F7305" s="8" t="n"/>
      <c r="G7305" s="8" t="n"/>
      <c r="H7305" s="8" t="n"/>
      <c r="I7305" s="8" t="n"/>
      <c r="J7305" s="8" t="n"/>
      <c r="K7305" s="8" t="n"/>
      <c r="L7305" s="8" t="n"/>
      <c r="M7305" s="9">
        <f>B7305+30</f>
        <v/>
      </c>
      <c r="N7305">
        <f>IF(L7305="", "", L7305-B7305)</f>
        <v/>
      </c>
      <c r="O7305">
        <f>IF(L7305="", "Pending", IF(N7305&lt;=30, "Met", "Breached"))</f>
        <v/>
      </c>
      <c r="P7305" s="8" t="n"/>
      <c r="Q7305" s="8" t="n"/>
      <c r="R7305" s="8" t="n"/>
      <c r="S7305" s="8" t="n"/>
      <c r="T7305" s="8" t="n"/>
      <c r="U7305" s="8" t="n"/>
      <c r="V7305" s="8" t="n"/>
      <c r="W7305" s="8" t="n"/>
      <c r="X7305" s="8" t="n"/>
      <c r="Y7305" s="8" t="n"/>
    </row>
    <row r="7306">
      <c r="A7306" s="8" t="n"/>
      <c r="B7306" s="8" t="n"/>
      <c r="C7306" s="8" t="n"/>
      <c r="D7306" s="8" t="n"/>
      <c r="E7306" s="8" t="n"/>
      <c r="F7306" s="8" t="n"/>
      <c r="G7306" s="8" t="n"/>
      <c r="H7306" s="8" t="n"/>
      <c r="I7306" s="8" t="n"/>
      <c r="J7306" s="8" t="n"/>
      <c r="K7306" s="8" t="n"/>
      <c r="L7306" s="8" t="n"/>
      <c r="M7306" s="9">
        <f>B7306+30</f>
        <v/>
      </c>
      <c r="N7306">
        <f>IF(L7306="", "", L7306-B7306)</f>
        <v/>
      </c>
      <c r="O7306">
        <f>IF(L7306="", "Pending", IF(N7306&lt;=30, "Met", "Breached"))</f>
        <v/>
      </c>
      <c r="P7306" s="8" t="n"/>
      <c r="Q7306" s="8" t="n"/>
      <c r="R7306" s="8" t="n"/>
      <c r="S7306" s="8" t="n"/>
      <c r="T7306" s="8" t="n"/>
      <c r="U7306" s="8" t="n"/>
      <c r="V7306" s="8" t="n"/>
      <c r="W7306" s="8" t="n"/>
      <c r="X7306" s="8" t="n"/>
      <c r="Y7306" s="8" t="n"/>
    </row>
    <row r="7307">
      <c r="A7307" s="8" t="n"/>
      <c r="B7307" s="8" t="n"/>
      <c r="C7307" s="8" t="n"/>
      <c r="D7307" s="8" t="n"/>
      <c r="E7307" s="8" t="n"/>
      <c r="F7307" s="8" t="n"/>
      <c r="G7307" s="8" t="n"/>
      <c r="H7307" s="8" t="n"/>
      <c r="I7307" s="8" t="n"/>
      <c r="J7307" s="8" t="n"/>
      <c r="K7307" s="8" t="n"/>
      <c r="L7307" s="8" t="n"/>
      <c r="M7307" s="9">
        <f>B7307+30</f>
        <v/>
      </c>
      <c r="N7307">
        <f>IF(L7307="", "", L7307-B7307)</f>
        <v/>
      </c>
      <c r="O7307">
        <f>IF(L7307="", "Pending", IF(N7307&lt;=30, "Met", "Breached"))</f>
        <v/>
      </c>
      <c r="P7307" s="8" t="n"/>
      <c r="Q7307" s="8" t="n"/>
      <c r="R7307" s="8" t="n"/>
      <c r="S7307" s="8" t="n"/>
      <c r="T7307" s="8" t="n"/>
      <c r="U7307" s="8" t="n"/>
      <c r="V7307" s="8" t="n"/>
      <c r="W7307" s="8" t="n"/>
      <c r="X7307" s="8" t="n"/>
      <c r="Y7307" s="8" t="n"/>
    </row>
    <row r="7308">
      <c r="A7308" s="8" t="n"/>
      <c r="B7308" s="8" t="n"/>
      <c r="C7308" s="8" t="n"/>
      <c r="D7308" s="8" t="n"/>
      <c r="E7308" s="8" t="n"/>
      <c r="F7308" s="8" t="n"/>
      <c r="G7308" s="8" t="n"/>
      <c r="H7308" s="8" t="n"/>
      <c r="I7308" s="8" t="n"/>
      <c r="J7308" s="8" t="n"/>
      <c r="K7308" s="8" t="n"/>
      <c r="L7308" s="8" t="n"/>
      <c r="M7308" s="9">
        <f>B7308+30</f>
        <v/>
      </c>
      <c r="N7308">
        <f>IF(L7308="", "", L7308-B7308)</f>
        <v/>
      </c>
      <c r="O7308">
        <f>IF(L7308="", "Pending", IF(N7308&lt;=30, "Met", "Breached"))</f>
        <v/>
      </c>
      <c r="P7308" s="8" t="n"/>
      <c r="Q7308" s="8" t="n"/>
      <c r="R7308" s="8" t="n"/>
      <c r="S7308" s="8" t="n"/>
      <c r="T7308" s="8" t="n"/>
      <c r="U7308" s="8" t="n"/>
      <c r="V7308" s="8" t="n"/>
      <c r="W7308" s="8" t="n"/>
      <c r="X7308" s="8" t="n"/>
      <c r="Y7308" s="8" t="n"/>
    </row>
    <row r="7309">
      <c r="A7309" s="8" t="n"/>
      <c r="B7309" s="8" t="n"/>
      <c r="C7309" s="8" t="n"/>
      <c r="D7309" s="8" t="n"/>
      <c r="E7309" s="8" t="n"/>
      <c r="F7309" s="8" t="n"/>
      <c r="G7309" s="8" t="n"/>
      <c r="H7309" s="8" t="n"/>
      <c r="I7309" s="8" t="n"/>
      <c r="J7309" s="8" t="n"/>
      <c r="K7309" s="8" t="n"/>
      <c r="L7309" s="8" t="n"/>
      <c r="M7309" s="9">
        <f>B7309+30</f>
        <v/>
      </c>
      <c r="N7309">
        <f>IF(L7309="", "", L7309-B7309)</f>
        <v/>
      </c>
      <c r="O7309">
        <f>IF(L7309="", "Pending", IF(N7309&lt;=30, "Met", "Breached"))</f>
        <v/>
      </c>
      <c r="P7309" s="8" t="n"/>
      <c r="Q7309" s="8" t="n"/>
      <c r="R7309" s="8" t="n"/>
      <c r="S7309" s="8" t="n"/>
      <c r="T7309" s="8" t="n"/>
      <c r="U7309" s="8" t="n"/>
      <c r="V7309" s="8" t="n"/>
      <c r="W7309" s="8" t="n"/>
      <c r="X7309" s="8" t="n"/>
      <c r="Y7309" s="8" t="n"/>
    </row>
    <row r="7310">
      <c r="A7310" s="8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8" t="n"/>
      <c r="K7310" s="8" t="n"/>
      <c r="L7310" s="8" t="n"/>
      <c r="M7310" s="9">
        <f>B7310+30</f>
        <v/>
      </c>
      <c r="N7310">
        <f>IF(L7310="", "", L7310-B7310)</f>
        <v/>
      </c>
      <c r="O7310">
        <f>IF(L7310="", "Pending", IF(N7310&lt;=30, "Met", "Breached"))</f>
        <v/>
      </c>
      <c r="P7310" s="8" t="n"/>
      <c r="Q7310" s="8" t="n"/>
      <c r="R7310" s="8" t="n"/>
      <c r="S7310" s="8" t="n"/>
      <c r="T7310" s="8" t="n"/>
      <c r="U7310" s="8" t="n"/>
      <c r="V7310" s="8" t="n"/>
      <c r="W7310" s="8" t="n"/>
      <c r="X7310" s="8" t="n"/>
      <c r="Y7310" s="8" t="n"/>
    </row>
    <row r="7311">
      <c r="A7311" s="8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8" t="n"/>
      <c r="K7311" s="8" t="n"/>
      <c r="L7311" s="8" t="n"/>
      <c r="M7311" s="9">
        <f>B7311+30</f>
        <v/>
      </c>
      <c r="N7311">
        <f>IF(L7311="", "", L7311-B7311)</f>
        <v/>
      </c>
      <c r="O7311">
        <f>IF(L7311="", "Pending", IF(N7311&lt;=30, "Met", "Breached"))</f>
        <v/>
      </c>
      <c r="P7311" s="8" t="n"/>
      <c r="Q7311" s="8" t="n"/>
      <c r="R7311" s="8" t="n"/>
      <c r="S7311" s="8" t="n"/>
      <c r="T7311" s="8" t="n"/>
      <c r="U7311" s="8" t="n"/>
      <c r="V7311" s="8" t="n"/>
      <c r="W7311" s="8" t="n"/>
      <c r="X7311" s="8" t="n"/>
      <c r="Y7311" s="8" t="n"/>
    </row>
    <row r="7312">
      <c r="A7312" s="8" t="n"/>
      <c r="B7312" s="8" t="n"/>
      <c r="C7312" s="8" t="n"/>
      <c r="D7312" s="8" t="n"/>
      <c r="E7312" s="8" t="n"/>
      <c r="F7312" s="8" t="n"/>
      <c r="G7312" s="8" t="n"/>
      <c r="H7312" s="8" t="n"/>
      <c r="I7312" s="8" t="n"/>
      <c r="J7312" s="8" t="n"/>
      <c r="K7312" s="8" t="n"/>
      <c r="L7312" s="8" t="n"/>
      <c r="M7312" s="9">
        <f>B7312+30</f>
        <v/>
      </c>
      <c r="N7312">
        <f>IF(L7312="", "", L7312-B7312)</f>
        <v/>
      </c>
      <c r="O7312">
        <f>IF(L7312="", "Pending", IF(N7312&lt;=30, "Met", "Breached"))</f>
        <v/>
      </c>
      <c r="P7312" s="8" t="n"/>
      <c r="Q7312" s="8" t="n"/>
      <c r="R7312" s="8" t="n"/>
      <c r="S7312" s="8" t="n"/>
      <c r="T7312" s="8" t="n"/>
      <c r="U7312" s="8" t="n"/>
      <c r="V7312" s="8" t="n"/>
      <c r="W7312" s="8" t="n"/>
      <c r="X7312" s="8" t="n"/>
      <c r="Y7312" s="8" t="n"/>
    </row>
    <row r="7313">
      <c r="A7313" s="8" t="n"/>
      <c r="B7313" s="8" t="n"/>
      <c r="C7313" s="8" t="n"/>
      <c r="D7313" s="8" t="n"/>
      <c r="E7313" s="8" t="n"/>
      <c r="F7313" s="8" t="n"/>
      <c r="G7313" s="8" t="n"/>
      <c r="H7313" s="8" t="n"/>
      <c r="I7313" s="8" t="n"/>
      <c r="J7313" s="8" t="n"/>
      <c r="K7313" s="8" t="n"/>
      <c r="L7313" s="8" t="n"/>
      <c r="M7313" s="9">
        <f>B7313+30</f>
        <v/>
      </c>
      <c r="N7313">
        <f>IF(L7313="", "", L7313-B7313)</f>
        <v/>
      </c>
      <c r="O7313">
        <f>IF(L7313="", "Pending", IF(N7313&lt;=30, "Met", "Breached"))</f>
        <v/>
      </c>
      <c r="P7313" s="8" t="n"/>
      <c r="Q7313" s="8" t="n"/>
      <c r="R7313" s="8" t="n"/>
      <c r="S7313" s="8" t="n"/>
      <c r="T7313" s="8" t="n"/>
      <c r="U7313" s="8" t="n"/>
      <c r="V7313" s="8" t="n"/>
      <c r="W7313" s="8" t="n"/>
      <c r="X7313" s="8" t="n"/>
      <c r="Y7313" s="8" t="n"/>
    </row>
    <row r="7314">
      <c r="A7314" s="8" t="n"/>
      <c r="B7314" s="8" t="n"/>
      <c r="C7314" s="8" t="n"/>
      <c r="D7314" s="8" t="n"/>
      <c r="E7314" s="8" t="n"/>
      <c r="F7314" s="8" t="n"/>
      <c r="G7314" s="8" t="n"/>
      <c r="H7314" s="8" t="n"/>
      <c r="I7314" s="8" t="n"/>
      <c r="J7314" s="8" t="n"/>
      <c r="K7314" s="8" t="n"/>
      <c r="L7314" s="8" t="n"/>
      <c r="M7314" s="9">
        <f>B7314+30</f>
        <v/>
      </c>
      <c r="N7314">
        <f>IF(L7314="", "", L7314-B7314)</f>
        <v/>
      </c>
      <c r="O7314">
        <f>IF(L7314="", "Pending", IF(N7314&lt;=30, "Met", "Breached"))</f>
        <v/>
      </c>
      <c r="P7314" s="8" t="n"/>
      <c r="Q7314" s="8" t="n"/>
      <c r="R7314" s="8" t="n"/>
      <c r="S7314" s="8" t="n"/>
      <c r="T7314" s="8" t="n"/>
      <c r="U7314" s="8" t="n"/>
      <c r="V7314" s="8" t="n"/>
      <c r="W7314" s="8" t="n"/>
      <c r="X7314" s="8" t="n"/>
      <c r="Y7314" s="8" t="n"/>
    </row>
    <row r="7315">
      <c r="A7315" s="8" t="n"/>
      <c r="B7315" s="8" t="n"/>
      <c r="C7315" s="8" t="n"/>
      <c r="D7315" s="8" t="n"/>
      <c r="E7315" s="8" t="n"/>
      <c r="F7315" s="8" t="n"/>
      <c r="G7315" s="8" t="n"/>
      <c r="H7315" s="8" t="n"/>
      <c r="I7315" s="8" t="n"/>
      <c r="J7315" s="8" t="n"/>
      <c r="K7315" s="8" t="n"/>
      <c r="L7315" s="8" t="n"/>
      <c r="M7315" s="9">
        <f>B7315+30</f>
        <v/>
      </c>
      <c r="N7315">
        <f>IF(L7315="", "", L7315-B7315)</f>
        <v/>
      </c>
      <c r="O7315">
        <f>IF(L7315="", "Pending", IF(N7315&lt;=30, "Met", "Breached"))</f>
        <v/>
      </c>
      <c r="P7315" s="8" t="n"/>
      <c r="Q7315" s="8" t="n"/>
      <c r="R7315" s="8" t="n"/>
      <c r="S7315" s="8" t="n"/>
      <c r="T7315" s="8" t="n"/>
      <c r="U7315" s="8" t="n"/>
      <c r="V7315" s="8" t="n"/>
      <c r="W7315" s="8" t="n"/>
      <c r="X7315" s="8" t="n"/>
      <c r="Y7315" s="8" t="n"/>
    </row>
    <row r="7316">
      <c r="A7316" s="8" t="n"/>
      <c r="B7316" s="8" t="n"/>
      <c r="C7316" s="8" t="n"/>
      <c r="D7316" s="8" t="n"/>
      <c r="E7316" s="8" t="n"/>
      <c r="F7316" s="8" t="n"/>
      <c r="G7316" s="8" t="n"/>
      <c r="H7316" s="8" t="n"/>
      <c r="I7316" s="8" t="n"/>
      <c r="J7316" s="8" t="n"/>
      <c r="K7316" s="8" t="n"/>
      <c r="L7316" s="8" t="n"/>
      <c r="M7316" s="9">
        <f>B7316+30</f>
        <v/>
      </c>
      <c r="N7316">
        <f>IF(L7316="", "", L7316-B7316)</f>
        <v/>
      </c>
      <c r="O7316">
        <f>IF(L7316="", "Pending", IF(N7316&lt;=30, "Met", "Breached"))</f>
        <v/>
      </c>
      <c r="P7316" s="8" t="n"/>
      <c r="Q7316" s="8" t="n"/>
      <c r="R7316" s="8" t="n"/>
      <c r="S7316" s="8" t="n"/>
      <c r="T7316" s="8" t="n"/>
      <c r="U7316" s="8" t="n"/>
      <c r="V7316" s="8" t="n"/>
      <c r="W7316" s="8" t="n"/>
      <c r="X7316" s="8" t="n"/>
      <c r="Y7316" s="8" t="n"/>
    </row>
    <row r="7317">
      <c r="A7317" s="8" t="n"/>
      <c r="B7317" s="8" t="n"/>
      <c r="C7317" s="8" t="n"/>
      <c r="D7317" s="8" t="n"/>
      <c r="E7317" s="8" t="n"/>
      <c r="F7317" s="8" t="n"/>
      <c r="G7317" s="8" t="n"/>
      <c r="H7317" s="8" t="n"/>
      <c r="I7317" s="8" t="n"/>
      <c r="J7317" s="8" t="n"/>
      <c r="K7317" s="8" t="n"/>
      <c r="L7317" s="8" t="n"/>
      <c r="M7317" s="9">
        <f>B7317+30</f>
        <v/>
      </c>
      <c r="N7317">
        <f>IF(L7317="", "", L7317-B7317)</f>
        <v/>
      </c>
      <c r="O7317">
        <f>IF(L7317="", "Pending", IF(N7317&lt;=30, "Met", "Breached"))</f>
        <v/>
      </c>
      <c r="P7317" s="8" t="n"/>
      <c r="Q7317" s="8" t="n"/>
      <c r="R7317" s="8" t="n"/>
      <c r="S7317" s="8" t="n"/>
      <c r="T7317" s="8" t="n"/>
      <c r="U7317" s="8" t="n"/>
      <c r="V7317" s="8" t="n"/>
      <c r="W7317" s="8" t="n"/>
      <c r="X7317" s="8" t="n"/>
      <c r="Y7317" s="8" t="n"/>
    </row>
    <row r="7318">
      <c r="A7318" s="8" t="n"/>
      <c r="B7318" s="8" t="n"/>
      <c r="C7318" s="8" t="n"/>
      <c r="D7318" s="8" t="n"/>
      <c r="E7318" s="8" t="n"/>
      <c r="F7318" s="8" t="n"/>
      <c r="G7318" s="8" t="n"/>
      <c r="H7318" s="8" t="n"/>
      <c r="I7318" s="8" t="n"/>
      <c r="J7318" s="8" t="n"/>
      <c r="K7318" s="8" t="n"/>
      <c r="L7318" s="8" t="n"/>
      <c r="M7318" s="9">
        <f>B7318+30</f>
        <v/>
      </c>
      <c r="N7318">
        <f>IF(L7318="", "", L7318-B7318)</f>
        <v/>
      </c>
      <c r="O7318">
        <f>IF(L7318="", "Pending", IF(N7318&lt;=30, "Met", "Breached"))</f>
        <v/>
      </c>
      <c r="P7318" s="8" t="n"/>
      <c r="Q7318" s="8" t="n"/>
      <c r="R7318" s="8" t="n"/>
      <c r="S7318" s="8" t="n"/>
      <c r="T7318" s="8" t="n"/>
      <c r="U7318" s="8" t="n"/>
      <c r="V7318" s="8" t="n"/>
      <c r="W7318" s="8" t="n"/>
      <c r="X7318" s="8" t="n"/>
      <c r="Y7318" s="8" t="n"/>
    </row>
    <row r="7319">
      <c r="A7319" s="8" t="n"/>
      <c r="B7319" s="8" t="n"/>
      <c r="C7319" s="8" t="n"/>
      <c r="D7319" s="8" t="n"/>
      <c r="E7319" s="8" t="n"/>
      <c r="F7319" s="8" t="n"/>
      <c r="G7319" s="8" t="n"/>
      <c r="H7319" s="8" t="n"/>
      <c r="I7319" s="8" t="n"/>
      <c r="J7319" s="8" t="n"/>
      <c r="K7319" s="8" t="n"/>
      <c r="L7319" s="8" t="n"/>
      <c r="M7319" s="9">
        <f>B7319+30</f>
        <v/>
      </c>
      <c r="N7319">
        <f>IF(L7319="", "", L7319-B7319)</f>
        <v/>
      </c>
      <c r="O7319">
        <f>IF(L7319="", "Pending", IF(N7319&lt;=30, "Met", "Breached"))</f>
        <v/>
      </c>
      <c r="P7319" s="8" t="n"/>
      <c r="Q7319" s="8" t="n"/>
      <c r="R7319" s="8" t="n"/>
      <c r="S7319" s="8" t="n"/>
      <c r="T7319" s="8" t="n"/>
      <c r="U7319" s="8" t="n"/>
      <c r="V7319" s="8" t="n"/>
      <c r="W7319" s="8" t="n"/>
      <c r="X7319" s="8" t="n"/>
      <c r="Y7319" s="8" t="n"/>
    </row>
    <row r="7320">
      <c r="A7320" s="8" t="n"/>
      <c r="B7320" s="8" t="n"/>
      <c r="C7320" s="8" t="n"/>
      <c r="D7320" s="8" t="n"/>
      <c r="E7320" s="8" t="n"/>
      <c r="F7320" s="8" t="n"/>
      <c r="G7320" s="8" t="n"/>
      <c r="H7320" s="8" t="n"/>
      <c r="I7320" s="8" t="n"/>
      <c r="J7320" s="8" t="n"/>
      <c r="K7320" s="8" t="n"/>
      <c r="L7320" s="8" t="n"/>
      <c r="M7320" s="9">
        <f>B7320+30</f>
        <v/>
      </c>
      <c r="N7320">
        <f>IF(L7320="", "", L7320-B7320)</f>
        <v/>
      </c>
      <c r="O7320">
        <f>IF(L7320="", "Pending", IF(N7320&lt;=30, "Met", "Breached"))</f>
        <v/>
      </c>
      <c r="P7320" s="8" t="n"/>
      <c r="Q7320" s="8" t="n"/>
      <c r="R7320" s="8" t="n"/>
      <c r="S7320" s="8" t="n"/>
      <c r="T7320" s="8" t="n"/>
      <c r="U7320" s="8" t="n"/>
      <c r="V7320" s="8" t="n"/>
      <c r="W7320" s="8" t="n"/>
      <c r="X7320" s="8" t="n"/>
      <c r="Y7320" s="8" t="n"/>
    </row>
    <row r="7321">
      <c r="A7321" s="8" t="n"/>
      <c r="B7321" s="8" t="n"/>
      <c r="C7321" s="8" t="n"/>
      <c r="D7321" s="8" t="n"/>
      <c r="E7321" s="8" t="n"/>
      <c r="F7321" s="8" t="n"/>
      <c r="G7321" s="8" t="n"/>
      <c r="H7321" s="8" t="n"/>
      <c r="I7321" s="8" t="n"/>
      <c r="J7321" s="8" t="n"/>
      <c r="K7321" s="8" t="n"/>
      <c r="L7321" s="8" t="n"/>
      <c r="M7321" s="9">
        <f>B7321+30</f>
        <v/>
      </c>
      <c r="N7321">
        <f>IF(L7321="", "", L7321-B7321)</f>
        <v/>
      </c>
      <c r="O7321">
        <f>IF(L7321="", "Pending", IF(N7321&lt;=30, "Met", "Breached"))</f>
        <v/>
      </c>
      <c r="P7321" s="8" t="n"/>
      <c r="Q7321" s="8" t="n"/>
      <c r="R7321" s="8" t="n"/>
      <c r="S7321" s="8" t="n"/>
      <c r="T7321" s="8" t="n"/>
      <c r="U7321" s="8" t="n"/>
      <c r="V7321" s="8" t="n"/>
      <c r="W7321" s="8" t="n"/>
      <c r="X7321" s="8" t="n"/>
      <c r="Y7321" s="8" t="n"/>
    </row>
    <row r="7322">
      <c r="A7322" s="8" t="n"/>
      <c r="B7322" s="8" t="n"/>
      <c r="C7322" s="8" t="n"/>
      <c r="D7322" s="8" t="n"/>
      <c r="E7322" s="8" t="n"/>
      <c r="F7322" s="8" t="n"/>
      <c r="G7322" s="8" t="n"/>
      <c r="H7322" s="8" t="n"/>
      <c r="I7322" s="8" t="n"/>
      <c r="J7322" s="8" t="n"/>
      <c r="K7322" s="8" t="n"/>
      <c r="L7322" s="8" t="n"/>
      <c r="M7322" s="9">
        <f>B7322+30</f>
        <v/>
      </c>
      <c r="N7322">
        <f>IF(L7322="", "", L7322-B7322)</f>
        <v/>
      </c>
      <c r="O7322">
        <f>IF(L7322="", "Pending", IF(N7322&lt;=30, "Met", "Breached"))</f>
        <v/>
      </c>
      <c r="P7322" s="8" t="n"/>
      <c r="Q7322" s="8" t="n"/>
      <c r="R7322" s="8" t="n"/>
      <c r="S7322" s="8" t="n"/>
      <c r="T7322" s="8" t="n"/>
      <c r="U7322" s="8" t="n"/>
      <c r="V7322" s="8" t="n"/>
      <c r="W7322" s="8" t="n"/>
      <c r="X7322" s="8" t="n"/>
      <c r="Y7322" s="8" t="n"/>
    </row>
    <row r="7323">
      <c r="A7323" s="8" t="n"/>
      <c r="B7323" s="8" t="n"/>
      <c r="C7323" s="8" t="n"/>
      <c r="D7323" s="8" t="n"/>
      <c r="E7323" s="8" t="n"/>
      <c r="F7323" s="8" t="n"/>
      <c r="G7323" s="8" t="n"/>
      <c r="H7323" s="8" t="n"/>
      <c r="I7323" s="8" t="n"/>
      <c r="J7323" s="8" t="n"/>
      <c r="K7323" s="8" t="n"/>
      <c r="L7323" s="8" t="n"/>
      <c r="M7323" s="9">
        <f>B7323+30</f>
        <v/>
      </c>
      <c r="N7323">
        <f>IF(L7323="", "", L7323-B7323)</f>
        <v/>
      </c>
      <c r="O7323">
        <f>IF(L7323="", "Pending", IF(N7323&lt;=30, "Met", "Breached"))</f>
        <v/>
      </c>
      <c r="P7323" s="8" t="n"/>
      <c r="Q7323" s="8" t="n"/>
      <c r="R7323" s="8" t="n"/>
      <c r="S7323" s="8" t="n"/>
      <c r="T7323" s="8" t="n"/>
      <c r="U7323" s="8" t="n"/>
      <c r="V7323" s="8" t="n"/>
      <c r="W7323" s="8" t="n"/>
      <c r="X7323" s="8" t="n"/>
      <c r="Y7323" s="8" t="n"/>
    </row>
    <row r="7324">
      <c r="A7324" s="8" t="n"/>
      <c r="B7324" s="8" t="n"/>
      <c r="C7324" s="8" t="n"/>
      <c r="D7324" s="8" t="n"/>
      <c r="E7324" s="8" t="n"/>
      <c r="F7324" s="8" t="n"/>
      <c r="G7324" s="8" t="n"/>
      <c r="H7324" s="8" t="n"/>
      <c r="I7324" s="8" t="n"/>
      <c r="J7324" s="8" t="n"/>
      <c r="K7324" s="8" t="n"/>
      <c r="L7324" s="8" t="n"/>
      <c r="M7324" s="9">
        <f>B7324+30</f>
        <v/>
      </c>
      <c r="N7324">
        <f>IF(L7324="", "", L7324-B7324)</f>
        <v/>
      </c>
      <c r="O7324">
        <f>IF(L7324="", "Pending", IF(N7324&lt;=30, "Met", "Breached"))</f>
        <v/>
      </c>
      <c r="P7324" s="8" t="n"/>
      <c r="Q7324" s="8" t="n"/>
      <c r="R7324" s="8" t="n"/>
      <c r="S7324" s="8" t="n"/>
      <c r="T7324" s="8" t="n"/>
      <c r="U7324" s="8" t="n"/>
      <c r="V7324" s="8" t="n"/>
      <c r="W7324" s="8" t="n"/>
      <c r="X7324" s="8" t="n"/>
      <c r="Y7324" s="8" t="n"/>
    </row>
    <row r="7325">
      <c r="A7325" s="8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8" t="n"/>
      <c r="K7325" s="8" t="n"/>
      <c r="L7325" s="8" t="n"/>
      <c r="M7325" s="9">
        <f>B7325+30</f>
        <v/>
      </c>
      <c r="N7325">
        <f>IF(L7325="", "", L7325-B7325)</f>
        <v/>
      </c>
      <c r="O7325">
        <f>IF(L7325="", "Pending", IF(N7325&lt;=30, "Met", "Breached"))</f>
        <v/>
      </c>
      <c r="P7325" s="8" t="n"/>
      <c r="Q7325" s="8" t="n"/>
      <c r="R7325" s="8" t="n"/>
      <c r="S7325" s="8" t="n"/>
      <c r="T7325" s="8" t="n"/>
      <c r="U7325" s="8" t="n"/>
      <c r="V7325" s="8" t="n"/>
      <c r="W7325" s="8" t="n"/>
      <c r="X7325" s="8" t="n"/>
      <c r="Y7325" s="8" t="n"/>
    </row>
    <row r="7326">
      <c r="A7326" s="8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8" t="n"/>
      <c r="K7326" s="8" t="n"/>
      <c r="L7326" s="8" t="n"/>
      <c r="M7326" s="9">
        <f>B7326+30</f>
        <v/>
      </c>
      <c r="N7326">
        <f>IF(L7326="", "", L7326-B7326)</f>
        <v/>
      </c>
      <c r="O7326">
        <f>IF(L7326="", "Pending", IF(N7326&lt;=30, "Met", "Breached"))</f>
        <v/>
      </c>
      <c r="P7326" s="8" t="n"/>
      <c r="Q7326" s="8" t="n"/>
      <c r="R7326" s="8" t="n"/>
      <c r="S7326" s="8" t="n"/>
      <c r="T7326" s="8" t="n"/>
      <c r="U7326" s="8" t="n"/>
      <c r="V7326" s="8" t="n"/>
      <c r="W7326" s="8" t="n"/>
      <c r="X7326" s="8" t="n"/>
      <c r="Y7326" s="8" t="n"/>
    </row>
    <row r="7327">
      <c r="A7327" s="8" t="n"/>
      <c r="B7327" s="8" t="n"/>
      <c r="C7327" s="8" t="n"/>
      <c r="D7327" s="8" t="n"/>
      <c r="E7327" s="8" t="n"/>
      <c r="F7327" s="8" t="n"/>
      <c r="G7327" s="8" t="n"/>
      <c r="H7327" s="8" t="n"/>
      <c r="I7327" s="8" t="n"/>
      <c r="J7327" s="8" t="n"/>
      <c r="K7327" s="8" t="n"/>
      <c r="L7327" s="8" t="n"/>
      <c r="M7327" s="9">
        <f>B7327+30</f>
        <v/>
      </c>
      <c r="N7327">
        <f>IF(L7327="", "", L7327-B7327)</f>
        <v/>
      </c>
      <c r="O7327">
        <f>IF(L7327="", "Pending", IF(N7327&lt;=30, "Met", "Breached"))</f>
        <v/>
      </c>
      <c r="P7327" s="8" t="n"/>
      <c r="Q7327" s="8" t="n"/>
      <c r="R7327" s="8" t="n"/>
      <c r="S7327" s="8" t="n"/>
      <c r="T7327" s="8" t="n"/>
      <c r="U7327" s="8" t="n"/>
      <c r="V7327" s="8" t="n"/>
      <c r="W7327" s="8" t="n"/>
      <c r="X7327" s="8" t="n"/>
      <c r="Y7327" s="8" t="n"/>
    </row>
    <row r="7328">
      <c r="A7328" s="8" t="n"/>
      <c r="B7328" s="8" t="n"/>
      <c r="C7328" s="8" t="n"/>
      <c r="D7328" s="8" t="n"/>
      <c r="E7328" s="8" t="n"/>
      <c r="F7328" s="8" t="n"/>
      <c r="G7328" s="8" t="n"/>
      <c r="H7328" s="8" t="n"/>
      <c r="I7328" s="8" t="n"/>
      <c r="J7328" s="8" t="n"/>
      <c r="K7328" s="8" t="n"/>
      <c r="L7328" s="8" t="n"/>
      <c r="M7328" s="9">
        <f>B7328+30</f>
        <v/>
      </c>
      <c r="N7328">
        <f>IF(L7328="", "", L7328-B7328)</f>
        <v/>
      </c>
      <c r="O7328">
        <f>IF(L7328="", "Pending", IF(N7328&lt;=30, "Met", "Breached"))</f>
        <v/>
      </c>
      <c r="P7328" s="8" t="n"/>
      <c r="Q7328" s="8" t="n"/>
      <c r="R7328" s="8" t="n"/>
      <c r="S7328" s="8" t="n"/>
      <c r="T7328" s="8" t="n"/>
      <c r="U7328" s="8" t="n"/>
      <c r="V7328" s="8" t="n"/>
      <c r="W7328" s="8" t="n"/>
      <c r="X7328" s="8" t="n"/>
      <c r="Y7328" s="8" t="n"/>
    </row>
    <row r="7329">
      <c r="A7329" s="8" t="n"/>
      <c r="B7329" s="8" t="n"/>
      <c r="C7329" s="8" t="n"/>
      <c r="D7329" s="8" t="n"/>
      <c r="E7329" s="8" t="n"/>
      <c r="F7329" s="8" t="n"/>
      <c r="G7329" s="8" t="n"/>
      <c r="H7329" s="8" t="n"/>
      <c r="I7329" s="8" t="n"/>
      <c r="J7329" s="8" t="n"/>
      <c r="K7329" s="8" t="n"/>
      <c r="L7329" s="8" t="n"/>
      <c r="M7329" s="9">
        <f>B7329+30</f>
        <v/>
      </c>
      <c r="N7329">
        <f>IF(L7329="", "", L7329-B7329)</f>
        <v/>
      </c>
      <c r="O7329">
        <f>IF(L7329="", "Pending", IF(N7329&lt;=30, "Met", "Breached"))</f>
        <v/>
      </c>
      <c r="P7329" s="8" t="n"/>
      <c r="Q7329" s="8" t="n"/>
      <c r="R7329" s="8" t="n"/>
      <c r="S7329" s="8" t="n"/>
      <c r="T7329" s="8" t="n"/>
      <c r="U7329" s="8" t="n"/>
      <c r="V7329" s="8" t="n"/>
      <c r="W7329" s="8" t="n"/>
      <c r="X7329" s="8" t="n"/>
      <c r="Y7329" s="8" t="n"/>
    </row>
    <row r="7330">
      <c r="A7330" s="8" t="n"/>
      <c r="B7330" s="8" t="n"/>
      <c r="C7330" s="8" t="n"/>
      <c r="D7330" s="8" t="n"/>
      <c r="E7330" s="8" t="n"/>
      <c r="F7330" s="8" t="n"/>
      <c r="G7330" s="8" t="n"/>
      <c r="H7330" s="8" t="n"/>
      <c r="I7330" s="8" t="n"/>
      <c r="J7330" s="8" t="n"/>
      <c r="K7330" s="8" t="n"/>
      <c r="L7330" s="8" t="n"/>
      <c r="M7330" s="9">
        <f>B7330+30</f>
        <v/>
      </c>
      <c r="N7330">
        <f>IF(L7330="", "", L7330-B7330)</f>
        <v/>
      </c>
      <c r="O7330">
        <f>IF(L7330="", "Pending", IF(N7330&lt;=30, "Met", "Breached"))</f>
        <v/>
      </c>
      <c r="P7330" s="8" t="n"/>
      <c r="Q7330" s="8" t="n"/>
      <c r="R7330" s="8" t="n"/>
      <c r="S7330" s="8" t="n"/>
      <c r="T7330" s="8" t="n"/>
      <c r="U7330" s="8" t="n"/>
      <c r="V7330" s="8" t="n"/>
      <c r="W7330" s="8" t="n"/>
      <c r="X7330" s="8" t="n"/>
      <c r="Y7330" s="8" t="n"/>
    </row>
    <row r="7331">
      <c r="A7331" s="8" t="n"/>
      <c r="B7331" s="8" t="n"/>
      <c r="C7331" s="8" t="n"/>
      <c r="D7331" s="8" t="n"/>
      <c r="E7331" s="8" t="n"/>
      <c r="F7331" s="8" t="n"/>
      <c r="G7331" s="8" t="n"/>
      <c r="H7331" s="8" t="n"/>
      <c r="I7331" s="8" t="n"/>
      <c r="J7331" s="8" t="n"/>
      <c r="K7331" s="8" t="n"/>
      <c r="L7331" s="8" t="n"/>
      <c r="M7331" s="9">
        <f>B7331+30</f>
        <v/>
      </c>
      <c r="N7331">
        <f>IF(L7331="", "", L7331-B7331)</f>
        <v/>
      </c>
      <c r="O7331">
        <f>IF(L7331="", "Pending", IF(N7331&lt;=30, "Met", "Breached"))</f>
        <v/>
      </c>
      <c r="P7331" s="8" t="n"/>
      <c r="Q7331" s="8" t="n"/>
      <c r="R7331" s="8" t="n"/>
      <c r="S7331" s="8" t="n"/>
      <c r="T7331" s="8" t="n"/>
      <c r="U7331" s="8" t="n"/>
      <c r="V7331" s="8" t="n"/>
      <c r="W7331" s="8" t="n"/>
      <c r="X7331" s="8" t="n"/>
      <c r="Y7331" s="8" t="n"/>
    </row>
    <row r="7332">
      <c r="A7332" s="8" t="n"/>
      <c r="B7332" s="8" t="n"/>
      <c r="C7332" s="8" t="n"/>
      <c r="D7332" s="8" t="n"/>
      <c r="E7332" s="8" t="n"/>
      <c r="F7332" s="8" t="n"/>
      <c r="G7332" s="8" t="n"/>
      <c r="H7332" s="8" t="n"/>
      <c r="I7332" s="8" t="n"/>
      <c r="J7332" s="8" t="n"/>
      <c r="K7332" s="8" t="n"/>
      <c r="L7332" s="8" t="n"/>
      <c r="M7332" s="9">
        <f>B7332+30</f>
        <v/>
      </c>
      <c r="N7332">
        <f>IF(L7332="", "", L7332-B7332)</f>
        <v/>
      </c>
      <c r="O7332">
        <f>IF(L7332="", "Pending", IF(N7332&lt;=30, "Met", "Breached"))</f>
        <v/>
      </c>
      <c r="P7332" s="8" t="n"/>
      <c r="Q7332" s="8" t="n"/>
      <c r="R7332" s="8" t="n"/>
      <c r="S7332" s="8" t="n"/>
      <c r="T7332" s="8" t="n"/>
      <c r="U7332" s="8" t="n"/>
      <c r="V7332" s="8" t="n"/>
      <c r="W7332" s="8" t="n"/>
      <c r="X7332" s="8" t="n"/>
      <c r="Y7332" s="8" t="n"/>
    </row>
    <row r="7333">
      <c r="A7333" s="8" t="n"/>
      <c r="B7333" s="8" t="n"/>
      <c r="C7333" s="8" t="n"/>
      <c r="D7333" s="8" t="n"/>
      <c r="E7333" s="8" t="n"/>
      <c r="F7333" s="8" t="n"/>
      <c r="G7333" s="8" t="n"/>
      <c r="H7333" s="8" t="n"/>
      <c r="I7333" s="8" t="n"/>
      <c r="J7333" s="8" t="n"/>
      <c r="K7333" s="8" t="n"/>
      <c r="L7333" s="8" t="n"/>
      <c r="M7333" s="9">
        <f>B7333+30</f>
        <v/>
      </c>
      <c r="N7333">
        <f>IF(L7333="", "", L7333-B7333)</f>
        <v/>
      </c>
      <c r="O7333">
        <f>IF(L7333="", "Pending", IF(N7333&lt;=30, "Met", "Breached"))</f>
        <v/>
      </c>
      <c r="P7333" s="8" t="n"/>
      <c r="Q7333" s="8" t="n"/>
      <c r="R7333" s="8" t="n"/>
      <c r="S7333" s="8" t="n"/>
      <c r="T7333" s="8" t="n"/>
      <c r="U7333" s="8" t="n"/>
      <c r="V7333" s="8" t="n"/>
      <c r="W7333" s="8" t="n"/>
      <c r="X7333" s="8" t="n"/>
      <c r="Y7333" s="8" t="n"/>
    </row>
    <row r="7334">
      <c r="A7334" s="8" t="n"/>
      <c r="B7334" s="8" t="n"/>
      <c r="C7334" s="8" t="n"/>
      <c r="D7334" s="8" t="n"/>
      <c r="E7334" s="8" t="n"/>
      <c r="F7334" s="8" t="n"/>
      <c r="G7334" s="8" t="n"/>
      <c r="H7334" s="8" t="n"/>
      <c r="I7334" s="8" t="n"/>
      <c r="J7334" s="8" t="n"/>
      <c r="K7334" s="8" t="n"/>
      <c r="L7334" s="8" t="n"/>
      <c r="M7334" s="9">
        <f>B7334+30</f>
        <v/>
      </c>
      <c r="N7334">
        <f>IF(L7334="", "", L7334-B7334)</f>
        <v/>
      </c>
      <c r="O7334">
        <f>IF(L7334="", "Pending", IF(N7334&lt;=30, "Met", "Breached"))</f>
        <v/>
      </c>
      <c r="P7334" s="8" t="n"/>
      <c r="Q7334" s="8" t="n"/>
      <c r="R7334" s="8" t="n"/>
      <c r="S7334" s="8" t="n"/>
      <c r="T7334" s="8" t="n"/>
      <c r="U7334" s="8" t="n"/>
      <c r="V7334" s="8" t="n"/>
      <c r="W7334" s="8" t="n"/>
      <c r="X7334" s="8" t="n"/>
      <c r="Y7334" s="8" t="n"/>
    </row>
    <row r="7335">
      <c r="A7335" s="8" t="n"/>
      <c r="B7335" s="8" t="n"/>
      <c r="C7335" s="8" t="n"/>
      <c r="D7335" s="8" t="n"/>
      <c r="E7335" s="8" t="n"/>
      <c r="F7335" s="8" t="n"/>
      <c r="G7335" s="8" t="n"/>
      <c r="H7335" s="8" t="n"/>
      <c r="I7335" s="8" t="n"/>
      <c r="J7335" s="8" t="n"/>
      <c r="K7335" s="8" t="n"/>
      <c r="L7335" s="8" t="n"/>
      <c r="M7335" s="9">
        <f>B7335+30</f>
        <v/>
      </c>
      <c r="N7335">
        <f>IF(L7335="", "", L7335-B7335)</f>
        <v/>
      </c>
      <c r="O7335">
        <f>IF(L7335="", "Pending", IF(N7335&lt;=30, "Met", "Breached"))</f>
        <v/>
      </c>
      <c r="P7335" s="8" t="n"/>
      <c r="Q7335" s="8" t="n"/>
      <c r="R7335" s="8" t="n"/>
      <c r="S7335" s="8" t="n"/>
      <c r="T7335" s="8" t="n"/>
      <c r="U7335" s="8" t="n"/>
      <c r="V7335" s="8" t="n"/>
      <c r="W7335" s="8" t="n"/>
      <c r="X7335" s="8" t="n"/>
      <c r="Y7335" s="8" t="n"/>
    </row>
    <row r="7336">
      <c r="A7336" s="8" t="n"/>
      <c r="B7336" s="8" t="n"/>
      <c r="C7336" s="8" t="n"/>
      <c r="D7336" s="8" t="n"/>
      <c r="E7336" s="8" t="n"/>
      <c r="F7336" s="8" t="n"/>
      <c r="G7336" s="8" t="n"/>
      <c r="H7336" s="8" t="n"/>
      <c r="I7336" s="8" t="n"/>
      <c r="J7336" s="8" t="n"/>
      <c r="K7336" s="8" t="n"/>
      <c r="L7336" s="8" t="n"/>
      <c r="M7336" s="9">
        <f>B7336+30</f>
        <v/>
      </c>
      <c r="N7336">
        <f>IF(L7336="", "", L7336-B7336)</f>
        <v/>
      </c>
      <c r="O7336">
        <f>IF(L7336="", "Pending", IF(N7336&lt;=30, "Met", "Breached"))</f>
        <v/>
      </c>
      <c r="P7336" s="8" t="n"/>
      <c r="Q7336" s="8" t="n"/>
      <c r="R7336" s="8" t="n"/>
      <c r="S7336" s="8" t="n"/>
      <c r="T7336" s="8" t="n"/>
      <c r="U7336" s="8" t="n"/>
      <c r="V7336" s="8" t="n"/>
      <c r="W7336" s="8" t="n"/>
      <c r="X7336" s="8" t="n"/>
      <c r="Y7336" s="8" t="n"/>
    </row>
    <row r="7337">
      <c r="A7337" s="8" t="n"/>
      <c r="B7337" s="8" t="n"/>
      <c r="C7337" s="8" t="n"/>
      <c r="D7337" s="8" t="n"/>
      <c r="E7337" s="8" t="n"/>
      <c r="F7337" s="8" t="n"/>
      <c r="G7337" s="8" t="n"/>
      <c r="H7337" s="8" t="n"/>
      <c r="I7337" s="8" t="n"/>
      <c r="J7337" s="8" t="n"/>
      <c r="K7337" s="8" t="n"/>
      <c r="L7337" s="8" t="n"/>
      <c r="M7337" s="9">
        <f>B7337+30</f>
        <v/>
      </c>
      <c r="N7337">
        <f>IF(L7337="", "", L7337-B7337)</f>
        <v/>
      </c>
      <c r="O7337">
        <f>IF(L7337="", "Pending", IF(N7337&lt;=30, "Met", "Breached"))</f>
        <v/>
      </c>
      <c r="P7337" s="8" t="n"/>
      <c r="Q7337" s="8" t="n"/>
      <c r="R7337" s="8" t="n"/>
      <c r="S7337" s="8" t="n"/>
      <c r="T7337" s="8" t="n"/>
      <c r="U7337" s="8" t="n"/>
      <c r="V7337" s="8" t="n"/>
      <c r="W7337" s="8" t="n"/>
      <c r="X7337" s="8" t="n"/>
      <c r="Y7337" s="8" t="n"/>
    </row>
    <row r="7338">
      <c r="A7338" s="8" t="n"/>
      <c r="B7338" s="8" t="n"/>
      <c r="C7338" s="8" t="n"/>
      <c r="D7338" s="8" t="n"/>
      <c r="E7338" s="8" t="n"/>
      <c r="F7338" s="8" t="n"/>
      <c r="G7338" s="8" t="n"/>
      <c r="H7338" s="8" t="n"/>
      <c r="I7338" s="8" t="n"/>
      <c r="J7338" s="8" t="n"/>
      <c r="K7338" s="8" t="n"/>
      <c r="L7338" s="8" t="n"/>
      <c r="M7338" s="9">
        <f>B7338+30</f>
        <v/>
      </c>
      <c r="N7338">
        <f>IF(L7338="", "", L7338-B7338)</f>
        <v/>
      </c>
      <c r="O7338">
        <f>IF(L7338="", "Pending", IF(N7338&lt;=30, "Met", "Breached"))</f>
        <v/>
      </c>
      <c r="P7338" s="8" t="n"/>
      <c r="Q7338" s="8" t="n"/>
      <c r="R7338" s="8" t="n"/>
      <c r="S7338" s="8" t="n"/>
      <c r="T7338" s="8" t="n"/>
      <c r="U7338" s="8" t="n"/>
      <c r="V7338" s="8" t="n"/>
      <c r="W7338" s="8" t="n"/>
      <c r="X7338" s="8" t="n"/>
      <c r="Y7338" s="8" t="n"/>
    </row>
    <row r="7339">
      <c r="A7339" s="8" t="n"/>
      <c r="B7339" s="8" t="n"/>
      <c r="C7339" s="8" t="n"/>
      <c r="D7339" s="8" t="n"/>
      <c r="E7339" s="8" t="n"/>
      <c r="F7339" s="8" t="n"/>
      <c r="G7339" s="8" t="n"/>
      <c r="H7339" s="8" t="n"/>
      <c r="I7339" s="8" t="n"/>
      <c r="J7339" s="8" t="n"/>
      <c r="K7339" s="8" t="n"/>
      <c r="L7339" s="8" t="n"/>
      <c r="M7339" s="9">
        <f>B7339+30</f>
        <v/>
      </c>
      <c r="N7339">
        <f>IF(L7339="", "", L7339-B7339)</f>
        <v/>
      </c>
      <c r="O7339">
        <f>IF(L7339="", "Pending", IF(N7339&lt;=30, "Met", "Breached"))</f>
        <v/>
      </c>
      <c r="P7339" s="8" t="n"/>
      <c r="Q7339" s="8" t="n"/>
      <c r="R7339" s="8" t="n"/>
      <c r="S7339" s="8" t="n"/>
      <c r="T7339" s="8" t="n"/>
      <c r="U7339" s="8" t="n"/>
      <c r="V7339" s="8" t="n"/>
      <c r="W7339" s="8" t="n"/>
      <c r="X7339" s="8" t="n"/>
      <c r="Y7339" s="8" t="n"/>
    </row>
    <row r="7340">
      <c r="A7340" s="8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8" t="n"/>
      <c r="K7340" s="8" t="n"/>
      <c r="L7340" s="8" t="n"/>
      <c r="M7340" s="9">
        <f>B7340+30</f>
        <v/>
      </c>
      <c r="N7340">
        <f>IF(L7340="", "", L7340-B7340)</f>
        <v/>
      </c>
      <c r="O7340">
        <f>IF(L7340="", "Pending", IF(N7340&lt;=30, "Met", "Breached"))</f>
        <v/>
      </c>
      <c r="P7340" s="8" t="n"/>
      <c r="Q7340" s="8" t="n"/>
      <c r="R7340" s="8" t="n"/>
      <c r="S7340" s="8" t="n"/>
      <c r="T7340" s="8" t="n"/>
      <c r="U7340" s="8" t="n"/>
      <c r="V7340" s="8" t="n"/>
      <c r="W7340" s="8" t="n"/>
      <c r="X7340" s="8" t="n"/>
      <c r="Y7340" s="8" t="n"/>
    </row>
    <row r="7341">
      <c r="A7341" s="8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8" t="n"/>
      <c r="K7341" s="8" t="n"/>
      <c r="L7341" s="8" t="n"/>
      <c r="M7341" s="9">
        <f>B7341+30</f>
        <v/>
      </c>
      <c r="N7341">
        <f>IF(L7341="", "", L7341-B7341)</f>
        <v/>
      </c>
      <c r="O7341">
        <f>IF(L7341="", "Pending", IF(N7341&lt;=30, "Met", "Breached"))</f>
        <v/>
      </c>
      <c r="P7341" s="8" t="n"/>
      <c r="Q7341" s="8" t="n"/>
      <c r="R7341" s="8" t="n"/>
      <c r="S7341" s="8" t="n"/>
      <c r="T7341" s="8" t="n"/>
      <c r="U7341" s="8" t="n"/>
      <c r="V7341" s="8" t="n"/>
      <c r="W7341" s="8" t="n"/>
      <c r="X7341" s="8" t="n"/>
      <c r="Y7341" s="8" t="n"/>
    </row>
    <row r="7342">
      <c r="A7342" s="8" t="n"/>
      <c r="B7342" s="8" t="n"/>
      <c r="C7342" s="8" t="n"/>
      <c r="D7342" s="8" t="n"/>
      <c r="E7342" s="8" t="n"/>
      <c r="F7342" s="8" t="n"/>
      <c r="G7342" s="8" t="n"/>
      <c r="H7342" s="8" t="n"/>
      <c r="I7342" s="8" t="n"/>
      <c r="J7342" s="8" t="n"/>
      <c r="K7342" s="8" t="n"/>
      <c r="L7342" s="8" t="n"/>
      <c r="M7342" s="9">
        <f>B7342+30</f>
        <v/>
      </c>
      <c r="N7342">
        <f>IF(L7342="", "", L7342-B7342)</f>
        <v/>
      </c>
      <c r="O7342">
        <f>IF(L7342="", "Pending", IF(N7342&lt;=30, "Met", "Breached"))</f>
        <v/>
      </c>
      <c r="P7342" s="8" t="n"/>
      <c r="Q7342" s="8" t="n"/>
      <c r="R7342" s="8" t="n"/>
      <c r="S7342" s="8" t="n"/>
      <c r="T7342" s="8" t="n"/>
      <c r="U7342" s="8" t="n"/>
      <c r="V7342" s="8" t="n"/>
      <c r="W7342" s="8" t="n"/>
      <c r="X7342" s="8" t="n"/>
      <c r="Y7342" s="8" t="n"/>
    </row>
    <row r="7343">
      <c r="A7343" s="8" t="n"/>
      <c r="B7343" s="8" t="n"/>
      <c r="C7343" s="8" t="n"/>
      <c r="D7343" s="8" t="n"/>
      <c r="E7343" s="8" t="n"/>
      <c r="F7343" s="8" t="n"/>
      <c r="G7343" s="8" t="n"/>
      <c r="H7343" s="8" t="n"/>
      <c r="I7343" s="8" t="n"/>
      <c r="J7343" s="8" t="n"/>
      <c r="K7343" s="8" t="n"/>
      <c r="L7343" s="8" t="n"/>
      <c r="M7343" s="9">
        <f>B7343+30</f>
        <v/>
      </c>
      <c r="N7343">
        <f>IF(L7343="", "", L7343-B7343)</f>
        <v/>
      </c>
      <c r="O7343">
        <f>IF(L7343="", "Pending", IF(N7343&lt;=30, "Met", "Breached"))</f>
        <v/>
      </c>
      <c r="P7343" s="8" t="n"/>
      <c r="Q7343" s="8" t="n"/>
      <c r="R7343" s="8" t="n"/>
      <c r="S7343" s="8" t="n"/>
      <c r="T7343" s="8" t="n"/>
      <c r="U7343" s="8" t="n"/>
      <c r="V7343" s="8" t="n"/>
      <c r="W7343" s="8" t="n"/>
      <c r="X7343" s="8" t="n"/>
      <c r="Y7343" s="8" t="n"/>
    </row>
    <row r="7344">
      <c r="A7344" s="8" t="n"/>
      <c r="B7344" s="8" t="n"/>
      <c r="C7344" s="8" t="n"/>
      <c r="D7344" s="8" t="n"/>
      <c r="E7344" s="8" t="n"/>
      <c r="F7344" s="8" t="n"/>
      <c r="G7344" s="8" t="n"/>
      <c r="H7344" s="8" t="n"/>
      <c r="I7344" s="8" t="n"/>
      <c r="J7344" s="8" t="n"/>
      <c r="K7344" s="8" t="n"/>
      <c r="L7344" s="8" t="n"/>
      <c r="M7344" s="9">
        <f>B7344+30</f>
        <v/>
      </c>
      <c r="N7344">
        <f>IF(L7344="", "", L7344-B7344)</f>
        <v/>
      </c>
      <c r="O7344">
        <f>IF(L7344="", "Pending", IF(N7344&lt;=30, "Met", "Breached"))</f>
        <v/>
      </c>
      <c r="P7344" s="8" t="n"/>
      <c r="Q7344" s="8" t="n"/>
      <c r="R7344" s="8" t="n"/>
      <c r="S7344" s="8" t="n"/>
      <c r="T7344" s="8" t="n"/>
      <c r="U7344" s="8" t="n"/>
      <c r="V7344" s="8" t="n"/>
      <c r="W7344" s="8" t="n"/>
      <c r="X7344" s="8" t="n"/>
      <c r="Y7344" s="8" t="n"/>
    </row>
    <row r="7345">
      <c r="A7345" s="8" t="n"/>
      <c r="B7345" s="8" t="n"/>
      <c r="C7345" s="8" t="n"/>
      <c r="D7345" s="8" t="n"/>
      <c r="E7345" s="8" t="n"/>
      <c r="F7345" s="8" t="n"/>
      <c r="G7345" s="8" t="n"/>
      <c r="H7345" s="8" t="n"/>
      <c r="I7345" s="8" t="n"/>
      <c r="J7345" s="8" t="n"/>
      <c r="K7345" s="8" t="n"/>
      <c r="L7345" s="8" t="n"/>
      <c r="M7345" s="9">
        <f>B7345+30</f>
        <v/>
      </c>
      <c r="N7345">
        <f>IF(L7345="", "", L7345-B7345)</f>
        <v/>
      </c>
      <c r="O7345">
        <f>IF(L7345="", "Pending", IF(N7345&lt;=30, "Met", "Breached"))</f>
        <v/>
      </c>
      <c r="P7345" s="8" t="n"/>
      <c r="Q7345" s="8" t="n"/>
      <c r="R7345" s="8" t="n"/>
      <c r="S7345" s="8" t="n"/>
      <c r="T7345" s="8" t="n"/>
      <c r="U7345" s="8" t="n"/>
      <c r="V7345" s="8" t="n"/>
      <c r="W7345" s="8" t="n"/>
      <c r="X7345" s="8" t="n"/>
      <c r="Y7345" s="8" t="n"/>
    </row>
    <row r="7346">
      <c r="A7346" s="8" t="n"/>
      <c r="B7346" s="8" t="n"/>
      <c r="C7346" s="8" t="n"/>
      <c r="D7346" s="8" t="n"/>
      <c r="E7346" s="8" t="n"/>
      <c r="F7346" s="8" t="n"/>
      <c r="G7346" s="8" t="n"/>
      <c r="H7346" s="8" t="n"/>
      <c r="I7346" s="8" t="n"/>
      <c r="J7346" s="8" t="n"/>
      <c r="K7346" s="8" t="n"/>
      <c r="L7346" s="8" t="n"/>
      <c r="M7346" s="9">
        <f>B7346+30</f>
        <v/>
      </c>
      <c r="N7346">
        <f>IF(L7346="", "", L7346-B7346)</f>
        <v/>
      </c>
      <c r="O7346">
        <f>IF(L7346="", "Pending", IF(N7346&lt;=30, "Met", "Breached"))</f>
        <v/>
      </c>
      <c r="P7346" s="8" t="n"/>
      <c r="Q7346" s="8" t="n"/>
      <c r="R7346" s="8" t="n"/>
      <c r="S7346" s="8" t="n"/>
      <c r="T7346" s="8" t="n"/>
      <c r="U7346" s="8" t="n"/>
      <c r="V7346" s="8" t="n"/>
      <c r="W7346" s="8" t="n"/>
      <c r="X7346" s="8" t="n"/>
      <c r="Y7346" s="8" t="n"/>
    </row>
    <row r="7347">
      <c r="A7347" s="8" t="n"/>
      <c r="B7347" s="8" t="n"/>
      <c r="C7347" s="8" t="n"/>
      <c r="D7347" s="8" t="n"/>
      <c r="E7347" s="8" t="n"/>
      <c r="F7347" s="8" t="n"/>
      <c r="G7347" s="8" t="n"/>
      <c r="H7347" s="8" t="n"/>
      <c r="I7347" s="8" t="n"/>
      <c r="J7347" s="8" t="n"/>
      <c r="K7347" s="8" t="n"/>
      <c r="L7347" s="8" t="n"/>
      <c r="M7347" s="9">
        <f>B7347+30</f>
        <v/>
      </c>
      <c r="N7347">
        <f>IF(L7347="", "", L7347-B7347)</f>
        <v/>
      </c>
      <c r="O7347">
        <f>IF(L7347="", "Pending", IF(N7347&lt;=30, "Met", "Breached"))</f>
        <v/>
      </c>
      <c r="P7347" s="8" t="n"/>
      <c r="Q7347" s="8" t="n"/>
      <c r="R7347" s="8" t="n"/>
      <c r="S7347" s="8" t="n"/>
      <c r="T7347" s="8" t="n"/>
      <c r="U7347" s="8" t="n"/>
      <c r="V7347" s="8" t="n"/>
      <c r="W7347" s="8" t="n"/>
      <c r="X7347" s="8" t="n"/>
      <c r="Y7347" s="8" t="n"/>
    </row>
    <row r="7348">
      <c r="A7348" s="8" t="n"/>
      <c r="B7348" s="8" t="n"/>
      <c r="C7348" s="8" t="n"/>
      <c r="D7348" s="8" t="n"/>
      <c r="E7348" s="8" t="n"/>
      <c r="F7348" s="8" t="n"/>
      <c r="G7348" s="8" t="n"/>
      <c r="H7348" s="8" t="n"/>
      <c r="I7348" s="8" t="n"/>
      <c r="J7348" s="8" t="n"/>
      <c r="K7348" s="8" t="n"/>
      <c r="L7348" s="8" t="n"/>
      <c r="M7348" s="9">
        <f>B7348+30</f>
        <v/>
      </c>
      <c r="N7348">
        <f>IF(L7348="", "", L7348-B7348)</f>
        <v/>
      </c>
      <c r="O7348">
        <f>IF(L7348="", "Pending", IF(N7348&lt;=30, "Met", "Breached"))</f>
        <v/>
      </c>
      <c r="P7348" s="8" t="n"/>
      <c r="Q7348" s="8" t="n"/>
      <c r="R7348" s="8" t="n"/>
      <c r="S7348" s="8" t="n"/>
      <c r="T7348" s="8" t="n"/>
      <c r="U7348" s="8" t="n"/>
      <c r="V7348" s="8" t="n"/>
      <c r="W7348" s="8" t="n"/>
      <c r="X7348" s="8" t="n"/>
      <c r="Y7348" s="8" t="n"/>
    </row>
    <row r="7349">
      <c r="A7349" s="8" t="n"/>
      <c r="B7349" s="8" t="n"/>
      <c r="C7349" s="8" t="n"/>
      <c r="D7349" s="8" t="n"/>
      <c r="E7349" s="8" t="n"/>
      <c r="F7349" s="8" t="n"/>
      <c r="G7349" s="8" t="n"/>
      <c r="H7349" s="8" t="n"/>
      <c r="I7349" s="8" t="n"/>
      <c r="J7349" s="8" t="n"/>
      <c r="K7349" s="8" t="n"/>
      <c r="L7349" s="8" t="n"/>
      <c r="M7349" s="9">
        <f>B7349+30</f>
        <v/>
      </c>
      <c r="N7349">
        <f>IF(L7349="", "", L7349-B7349)</f>
        <v/>
      </c>
      <c r="O7349">
        <f>IF(L7349="", "Pending", IF(N7349&lt;=30, "Met", "Breached"))</f>
        <v/>
      </c>
      <c r="P7349" s="8" t="n"/>
      <c r="Q7349" s="8" t="n"/>
      <c r="R7349" s="8" t="n"/>
      <c r="S7349" s="8" t="n"/>
      <c r="T7349" s="8" t="n"/>
      <c r="U7349" s="8" t="n"/>
      <c r="V7349" s="8" t="n"/>
      <c r="W7349" s="8" t="n"/>
      <c r="X7349" s="8" t="n"/>
      <c r="Y7349" s="8" t="n"/>
    </row>
    <row r="7350">
      <c r="A7350" s="8" t="n"/>
      <c r="B7350" s="8" t="n"/>
      <c r="C7350" s="8" t="n"/>
      <c r="D7350" s="8" t="n"/>
      <c r="E7350" s="8" t="n"/>
      <c r="F7350" s="8" t="n"/>
      <c r="G7350" s="8" t="n"/>
      <c r="H7350" s="8" t="n"/>
      <c r="I7350" s="8" t="n"/>
      <c r="J7350" s="8" t="n"/>
      <c r="K7350" s="8" t="n"/>
      <c r="L7350" s="8" t="n"/>
      <c r="M7350" s="9">
        <f>B7350+30</f>
        <v/>
      </c>
      <c r="N7350">
        <f>IF(L7350="", "", L7350-B7350)</f>
        <v/>
      </c>
      <c r="O7350">
        <f>IF(L7350="", "Pending", IF(N7350&lt;=30, "Met", "Breached"))</f>
        <v/>
      </c>
      <c r="P7350" s="8" t="n"/>
      <c r="Q7350" s="8" t="n"/>
      <c r="R7350" s="8" t="n"/>
      <c r="S7350" s="8" t="n"/>
      <c r="T7350" s="8" t="n"/>
      <c r="U7350" s="8" t="n"/>
      <c r="V7350" s="8" t="n"/>
      <c r="W7350" s="8" t="n"/>
      <c r="X7350" s="8" t="n"/>
      <c r="Y7350" s="8" t="n"/>
    </row>
    <row r="7351">
      <c r="A7351" s="8" t="n"/>
      <c r="B7351" s="8" t="n"/>
      <c r="C7351" s="8" t="n"/>
      <c r="D7351" s="8" t="n"/>
      <c r="E7351" s="8" t="n"/>
      <c r="F7351" s="8" t="n"/>
      <c r="G7351" s="8" t="n"/>
      <c r="H7351" s="8" t="n"/>
      <c r="I7351" s="8" t="n"/>
      <c r="J7351" s="8" t="n"/>
      <c r="K7351" s="8" t="n"/>
      <c r="L7351" s="8" t="n"/>
      <c r="M7351" s="9">
        <f>B7351+30</f>
        <v/>
      </c>
      <c r="N7351">
        <f>IF(L7351="", "", L7351-B7351)</f>
        <v/>
      </c>
      <c r="O7351">
        <f>IF(L7351="", "Pending", IF(N7351&lt;=30, "Met", "Breached"))</f>
        <v/>
      </c>
      <c r="P7351" s="8" t="n"/>
      <c r="Q7351" s="8" t="n"/>
      <c r="R7351" s="8" t="n"/>
      <c r="S7351" s="8" t="n"/>
      <c r="T7351" s="8" t="n"/>
      <c r="U7351" s="8" t="n"/>
      <c r="V7351" s="8" t="n"/>
      <c r="W7351" s="8" t="n"/>
      <c r="X7351" s="8" t="n"/>
      <c r="Y7351" s="8" t="n"/>
    </row>
    <row r="7352">
      <c r="A7352" s="8" t="n"/>
      <c r="B7352" s="8" t="n"/>
      <c r="C7352" s="8" t="n"/>
      <c r="D7352" s="8" t="n"/>
      <c r="E7352" s="8" t="n"/>
      <c r="F7352" s="8" t="n"/>
      <c r="G7352" s="8" t="n"/>
      <c r="H7352" s="8" t="n"/>
      <c r="I7352" s="8" t="n"/>
      <c r="J7352" s="8" t="n"/>
      <c r="K7352" s="8" t="n"/>
      <c r="L7352" s="8" t="n"/>
      <c r="M7352" s="9">
        <f>B7352+30</f>
        <v/>
      </c>
      <c r="N7352">
        <f>IF(L7352="", "", L7352-B7352)</f>
        <v/>
      </c>
      <c r="O7352">
        <f>IF(L7352="", "Pending", IF(N7352&lt;=30, "Met", "Breached"))</f>
        <v/>
      </c>
      <c r="P7352" s="8" t="n"/>
      <c r="Q7352" s="8" t="n"/>
      <c r="R7352" s="8" t="n"/>
      <c r="S7352" s="8" t="n"/>
      <c r="T7352" s="8" t="n"/>
      <c r="U7352" s="8" t="n"/>
      <c r="V7352" s="8" t="n"/>
      <c r="W7352" s="8" t="n"/>
      <c r="X7352" s="8" t="n"/>
      <c r="Y7352" s="8" t="n"/>
    </row>
    <row r="7353">
      <c r="A7353" s="8" t="n"/>
      <c r="B7353" s="8" t="n"/>
      <c r="C7353" s="8" t="n"/>
      <c r="D7353" s="8" t="n"/>
      <c r="E7353" s="8" t="n"/>
      <c r="F7353" s="8" t="n"/>
      <c r="G7353" s="8" t="n"/>
      <c r="H7353" s="8" t="n"/>
      <c r="I7353" s="8" t="n"/>
      <c r="J7353" s="8" t="n"/>
      <c r="K7353" s="8" t="n"/>
      <c r="L7353" s="8" t="n"/>
      <c r="M7353" s="9">
        <f>B7353+30</f>
        <v/>
      </c>
      <c r="N7353">
        <f>IF(L7353="", "", L7353-B7353)</f>
        <v/>
      </c>
      <c r="O7353">
        <f>IF(L7353="", "Pending", IF(N7353&lt;=30, "Met", "Breached"))</f>
        <v/>
      </c>
      <c r="P7353" s="8" t="n"/>
      <c r="Q7353" s="8" t="n"/>
      <c r="R7353" s="8" t="n"/>
      <c r="S7353" s="8" t="n"/>
      <c r="T7353" s="8" t="n"/>
      <c r="U7353" s="8" t="n"/>
      <c r="V7353" s="8" t="n"/>
      <c r="W7353" s="8" t="n"/>
      <c r="X7353" s="8" t="n"/>
      <c r="Y7353" s="8" t="n"/>
    </row>
    <row r="7354">
      <c r="A7354" s="8" t="n"/>
      <c r="B7354" s="8" t="n"/>
      <c r="C7354" s="8" t="n"/>
      <c r="D7354" s="8" t="n"/>
      <c r="E7354" s="8" t="n"/>
      <c r="F7354" s="8" t="n"/>
      <c r="G7354" s="8" t="n"/>
      <c r="H7354" s="8" t="n"/>
      <c r="I7354" s="8" t="n"/>
      <c r="J7354" s="8" t="n"/>
      <c r="K7354" s="8" t="n"/>
      <c r="L7354" s="8" t="n"/>
      <c r="M7354" s="9">
        <f>B7354+30</f>
        <v/>
      </c>
      <c r="N7354">
        <f>IF(L7354="", "", L7354-B7354)</f>
        <v/>
      </c>
      <c r="O7354">
        <f>IF(L7354="", "Pending", IF(N7354&lt;=30, "Met", "Breached"))</f>
        <v/>
      </c>
      <c r="P7354" s="8" t="n"/>
      <c r="Q7354" s="8" t="n"/>
      <c r="R7354" s="8" t="n"/>
      <c r="S7354" s="8" t="n"/>
      <c r="T7354" s="8" t="n"/>
      <c r="U7354" s="8" t="n"/>
      <c r="V7354" s="8" t="n"/>
      <c r="W7354" s="8" t="n"/>
      <c r="X7354" s="8" t="n"/>
      <c r="Y7354" s="8" t="n"/>
    </row>
    <row r="7355">
      <c r="A7355" s="8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8" t="n"/>
      <c r="K7355" s="8" t="n"/>
      <c r="L7355" s="8" t="n"/>
      <c r="M7355" s="9">
        <f>B7355+30</f>
        <v/>
      </c>
      <c r="N7355">
        <f>IF(L7355="", "", L7355-B7355)</f>
        <v/>
      </c>
      <c r="O7355">
        <f>IF(L7355="", "Pending", IF(N7355&lt;=30, "Met", "Breached"))</f>
        <v/>
      </c>
      <c r="P7355" s="8" t="n"/>
      <c r="Q7355" s="8" t="n"/>
      <c r="R7355" s="8" t="n"/>
      <c r="S7355" s="8" t="n"/>
      <c r="T7355" s="8" t="n"/>
      <c r="U7355" s="8" t="n"/>
      <c r="V7355" s="8" t="n"/>
      <c r="W7355" s="8" t="n"/>
      <c r="X7355" s="8" t="n"/>
      <c r="Y7355" s="8" t="n"/>
    </row>
    <row r="7356">
      <c r="A7356" s="8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8" t="n"/>
      <c r="K7356" s="8" t="n"/>
      <c r="L7356" s="8" t="n"/>
      <c r="M7356" s="9">
        <f>B7356+30</f>
        <v/>
      </c>
      <c r="N7356">
        <f>IF(L7356="", "", L7356-B7356)</f>
        <v/>
      </c>
      <c r="O7356">
        <f>IF(L7356="", "Pending", IF(N7356&lt;=30, "Met", "Breached"))</f>
        <v/>
      </c>
      <c r="P7356" s="8" t="n"/>
      <c r="Q7356" s="8" t="n"/>
      <c r="R7356" s="8" t="n"/>
      <c r="S7356" s="8" t="n"/>
      <c r="T7356" s="8" t="n"/>
      <c r="U7356" s="8" t="n"/>
      <c r="V7356" s="8" t="n"/>
      <c r="W7356" s="8" t="n"/>
      <c r="X7356" s="8" t="n"/>
      <c r="Y7356" s="8" t="n"/>
    </row>
    <row r="7357">
      <c r="A7357" s="8" t="n"/>
      <c r="B7357" s="8" t="n"/>
      <c r="C7357" s="8" t="n"/>
      <c r="D7357" s="8" t="n"/>
      <c r="E7357" s="8" t="n"/>
      <c r="F7357" s="8" t="n"/>
      <c r="G7357" s="8" t="n"/>
      <c r="H7357" s="8" t="n"/>
      <c r="I7357" s="8" t="n"/>
      <c r="J7357" s="8" t="n"/>
      <c r="K7357" s="8" t="n"/>
      <c r="L7357" s="8" t="n"/>
      <c r="M7357" s="9">
        <f>B7357+30</f>
        <v/>
      </c>
      <c r="N7357">
        <f>IF(L7357="", "", L7357-B7357)</f>
        <v/>
      </c>
      <c r="O7357">
        <f>IF(L7357="", "Pending", IF(N7357&lt;=30, "Met", "Breached"))</f>
        <v/>
      </c>
      <c r="P7357" s="8" t="n"/>
      <c r="Q7357" s="8" t="n"/>
      <c r="R7357" s="8" t="n"/>
      <c r="S7357" s="8" t="n"/>
      <c r="T7357" s="8" t="n"/>
      <c r="U7357" s="8" t="n"/>
      <c r="V7357" s="8" t="n"/>
      <c r="W7357" s="8" t="n"/>
      <c r="X7357" s="8" t="n"/>
      <c r="Y7357" s="8" t="n"/>
    </row>
    <row r="7358">
      <c r="A7358" s="8" t="n"/>
      <c r="B7358" s="8" t="n"/>
      <c r="C7358" s="8" t="n"/>
      <c r="D7358" s="8" t="n"/>
      <c r="E7358" s="8" t="n"/>
      <c r="F7358" s="8" t="n"/>
      <c r="G7358" s="8" t="n"/>
      <c r="H7358" s="8" t="n"/>
      <c r="I7358" s="8" t="n"/>
      <c r="J7358" s="8" t="n"/>
      <c r="K7358" s="8" t="n"/>
      <c r="L7358" s="8" t="n"/>
      <c r="M7358" s="9">
        <f>B7358+30</f>
        <v/>
      </c>
      <c r="N7358">
        <f>IF(L7358="", "", L7358-B7358)</f>
        <v/>
      </c>
      <c r="O7358">
        <f>IF(L7358="", "Pending", IF(N7358&lt;=30, "Met", "Breached"))</f>
        <v/>
      </c>
      <c r="P7358" s="8" t="n"/>
      <c r="Q7358" s="8" t="n"/>
      <c r="R7358" s="8" t="n"/>
      <c r="S7358" s="8" t="n"/>
      <c r="T7358" s="8" t="n"/>
      <c r="U7358" s="8" t="n"/>
      <c r="V7358" s="8" t="n"/>
      <c r="W7358" s="8" t="n"/>
      <c r="X7358" s="8" t="n"/>
      <c r="Y7358" s="8" t="n"/>
    </row>
    <row r="7359">
      <c r="A7359" s="8" t="n"/>
      <c r="B7359" s="8" t="n"/>
      <c r="C7359" s="8" t="n"/>
      <c r="D7359" s="8" t="n"/>
      <c r="E7359" s="8" t="n"/>
      <c r="F7359" s="8" t="n"/>
      <c r="G7359" s="8" t="n"/>
      <c r="H7359" s="8" t="n"/>
      <c r="I7359" s="8" t="n"/>
      <c r="J7359" s="8" t="n"/>
      <c r="K7359" s="8" t="n"/>
      <c r="L7359" s="8" t="n"/>
      <c r="M7359" s="9">
        <f>B7359+30</f>
        <v/>
      </c>
      <c r="N7359">
        <f>IF(L7359="", "", L7359-B7359)</f>
        <v/>
      </c>
      <c r="O7359">
        <f>IF(L7359="", "Pending", IF(N7359&lt;=30, "Met", "Breached"))</f>
        <v/>
      </c>
      <c r="P7359" s="8" t="n"/>
      <c r="Q7359" s="8" t="n"/>
      <c r="R7359" s="8" t="n"/>
      <c r="S7359" s="8" t="n"/>
      <c r="T7359" s="8" t="n"/>
      <c r="U7359" s="8" t="n"/>
      <c r="V7359" s="8" t="n"/>
      <c r="W7359" s="8" t="n"/>
      <c r="X7359" s="8" t="n"/>
      <c r="Y7359" s="8" t="n"/>
    </row>
    <row r="7360">
      <c r="A7360" s="8" t="n"/>
      <c r="B7360" s="8" t="n"/>
      <c r="C7360" s="8" t="n"/>
      <c r="D7360" s="8" t="n"/>
      <c r="E7360" s="8" t="n"/>
      <c r="F7360" s="8" t="n"/>
      <c r="G7360" s="8" t="n"/>
      <c r="H7360" s="8" t="n"/>
      <c r="I7360" s="8" t="n"/>
      <c r="J7360" s="8" t="n"/>
      <c r="K7360" s="8" t="n"/>
      <c r="L7360" s="8" t="n"/>
      <c r="M7360" s="9">
        <f>B7360+30</f>
        <v/>
      </c>
      <c r="N7360">
        <f>IF(L7360="", "", L7360-B7360)</f>
        <v/>
      </c>
      <c r="O7360">
        <f>IF(L7360="", "Pending", IF(N7360&lt;=30, "Met", "Breached"))</f>
        <v/>
      </c>
      <c r="P7360" s="8" t="n"/>
      <c r="Q7360" s="8" t="n"/>
      <c r="R7360" s="8" t="n"/>
      <c r="S7360" s="8" t="n"/>
      <c r="T7360" s="8" t="n"/>
      <c r="U7360" s="8" t="n"/>
      <c r="V7360" s="8" t="n"/>
      <c r="W7360" s="8" t="n"/>
      <c r="X7360" s="8" t="n"/>
      <c r="Y7360" s="8" t="n"/>
    </row>
    <row r="7361">
      <c r="A7361" s="8" t="n"/>
      <c r="B7361" s="8" t="n"/>
      <c r="C7361" s="8" t="n"/>
      <c r="D7361" s="8" t="n"/>
      <c r="E7361" s="8" t="n"/>
      <c r="F7361" s="8" t="n"/>
      <c r="G7361" s="8" t="n"/>
      <c r="H7361" s="8" t="n"/>
      <c r="I7361" s="8" t="n"/>
      <c r="J7361" s="8" t="n"/>
      <c r="K7361" s="8" t="n"/>
      <c r="L7361" s="8" t="n"/>
      <c r="M7361" s="9">
        <f>B7361+30</f>
        <v/>
      </c>
      <c r="N7361">
        <f>IF(L7361="", "", L7361-B7361)</f>
        <v/>
      </c>
      <c r="O7361">
        <f>IF(L7361="", "Pending", IF(N7361&lt;=30, "Met", "Breached"))</f>
        <v/>
      </c>
      <c r="P7361" s="8" t="n"/>
      <c r="Q7361" s="8" t="n"/>
      <c r="R7361" s="8" t="n"/>
      <c r="S7361" s="8" t="n"/>
      <c r="T7361" s="8" t="n"/>
      <c r="U7361" s="8" t="n"/>
      <c r="V7361" s="8" t="n"/>
      <c r="W7361" s="8" t="n"/>
      <c r="X7361" s="8" t="n"/>
      <c r="Y7361" s="8" t="n"/>
    </row>
    <row r="7362">
      <c r="A7362" s="8" t="n"/>
      <c r="B7362" s="8" t="n"/>
      <c r="C7362" s="8" t="n"/>
      <c r="D7362" s="8" t="n"/>
      <c r="E7362" s="8" t="n"/>
      <c r="F7362" s="8" t="n"/>
      <c r="G7362" s="8" t="n"/>
      <c r="H7362" s="8" t="n"/>
      <c r="I7362" s="8" t="n"/>
      <c r="J7362" s="8" t="n"/>
      <c r="K7362" s="8" t="n"/>
      <c r="L7362" s="8" t="n"/>
      <c r="M7362" s="9">
        <f>B7362+30</f>
        <v/>
      </c>
      <c r="N7362">
        <f>IF(L7362="", "", L7362-B7362)</f>
        <v/>
      </c>
      <c r="O7362">
        <f>IF(L7362="", "Pending", IF(N7362&lt;=30, "Met", "Breached"))</f>
        <v/>
      </c>
      <c r="P7362" s="8" t="n"/>
      <c r="Q7362" s="8" t="n"/>
      <c r="R7362" s="8" t="n"/>
      <c r="S7362" s="8" t="n"/>
      <c r="T7362" s="8" t="n"/>
      <c r="U7362" s="8" t="n"/>
      <c r="V7362" s="8" t="n"/>
      <c r="W7362" s="8" t="n"/>
      <c r="X7362" s="8" t="n"/>
      <c r="Y7362" s="8" t="n"/>
    </row>
    <row r="7363">
      <c r="A7363" s="8" t="n"/>
      <c r="B7363" s="8" t="n"/>
      <c r="C7363" s="8" t="n"/>
      <c r="D7363" s="8" t="n"/>
      <c r="E7363" s="8" t="n"/>
      <c r="F7363" s="8" t="n"/>
      <c r="G7363" s="8" t="n"/>
      <c r="H7363" s="8" t="n"/>
      <c r="I7363" s="8" t="n"/>
      <c r="J7363" s="8" t="n"/>
      <c r="K7363" s="8" t="n"/>
      <c r="L7363" s="8" t="n"/>
      <c r="M7363" s="9">
        <f>B7363+30</f>
        <v/>
      </c>
      <c r="N7363">
        <f>IF(L7363="", "", L7363-B7363)</f>
        <v/>
      </c>
      <c r="O7363">
        <f>IF(L7363="", "Pending", IF(N7363&lt;=30, "Met", "Breached"))</f>
        <v/>
      </c>
      <c r="P7363" s="8" t="n"/>
      <c r="Q7363" s="8" t="n"/>
      <c r="R7363" s="8" t="n"/>
      <c r="S7363" s="8" t="n"/>
      <c r="T7363" s="8" t="n"/>
      <c r="U7363" s="8" t="n"/>
      <c r="V7363" s="8" t="n"/>
      <c r="W7363" s="8" t="n"/>
      <c r="X7363" s="8" t="n"/>
      <c r="Y7363" s="8" t="n"/>
    </row>
    <row r="7364">
      <c r="A7364" s="8" t="n"/>
      <c r="B7364" s="8" t="n"/>
      <c r="C7364" s="8" t="n"/>
      <c r="D7364" s="8" t="n"/>
      <c r="E7364" s="8" t="n"/>
      <c r="F7364" s="8" t="n"/>
      <c r="G7364" s="8" t="n"/>
      <c r="H7364" s="8" t="n"/>
      <c r="I7364" s="8" t="n"/>
      <c r="J7364" s="8" t="n"/>
      <c r="K7364" s="8" t="n"/>
      <c r="L7364" s="8" t="n"/>
      <c r="M7364" s="9">
        <f>B7364+30</f>
        <v/>
      </c>
      <c r="N7364">
        <f>IF(L7364="", "", L7364-B7364)</f>
        <v/>
      </c>
      <c r="O7364">
        <f>IF(L7364="", "Pending", IF(N7364&lt;=30, "Met", "Breached"))</f>
        <v/>
      </c>
      <c r="P7364" s="8" t="n"/>
      <c r="Q7364" s="8" t="n"/>
      <c r="R7364" s="8" t="n"/>
      <c r="S7364" s="8" t="n"/>
      <c r="T7364" s="8" t="n"/>
      <c r="U7364" s="8" t="n"/>
      <c r="V7364" s="8" t="n"/>
      <c r="W7364" s="8" t="n"/>
      <c r="X7364" s="8" t="n"/>
      <c r="Y7364" s="8" t="n"/>
    </row>
    <row r="7365">
      <c r="A7365" s="8" t="n"/>
      <c r="B7365" s="8" t="n"/>
      <c r="C7365" s="8" t="n"/>
      <c r="D7365" s="8" t="n"/>
      <c r="E7365" s="8" t="n"/>
      <c r="F7365" s="8" t="n"/>
      <c r="G7365" s="8" t="n"/>
      <c r="H7365" s="8" t="n"/>
      <c r="I7365" s="8" t="n"/>
      <c r="J7365" s="8" t="n"/>
      <c r="K7365" s="8" t="n"/>
      <c r="L7365" s="8" t="n"/>
      <c r="M7365" s="9">
        <f>B7365+30</f>
        <v/>
      </c>
      <c r="N7365">
        <f>IF(L7365="", "", L7365-B7365)</f>
        <v/>
      </c>
      <c r="O7365">
        <f>IF(L7365="", "Pending", IF(N7365&lt;=30, "Met", "Breached"))</f>
        <v/>
      </c>
      <c r="P7365" s="8" t="n"/>
      <c r="Q7365" s="8" t="n"/>
      <c r="R7365" s="8" t="n"/>
      <c r="S7365" s="8" t="n"/>
      <c r="T7365" s="8" t="n"/>
      <c r="U7365" s="8" t="n"/>
      <c r="V7365" s="8" t="n"/>
      <c r="W7365" s="8" t="n"/>
      <c r="X7365" s="8" t="n"/>
      <c r="Y7365" s="8" t="n"/>
    </row>
    <row r="7366">
      <c r="A7366" s="8" t="n"/>
      <c r="B7366" s="8" t="n"/>
      <c r="C7366" s="8" t="n"/>
      <c r="D7366" s="8" t="n"/>
      <c r="E7366" s="8" t="n"/>
      <c r="F7366" s="8" t="n"/>
      <c r="G7366" s="8" t="n"/>
      <c r="H7366" s="8" t="n"/>
      <c r="I7366" s="8" t="n"/>
      <c r="J7366" s="8" t="n"/>
      <c r="K7366" s="8" t="n"/>
      <c r="L7366" s="8" t="n"/>
      <c r="M7366" s="9">
        <f>B7366+30</f>
        <v/>
      </c>
      <c r="N7366">
        <f>IF(L7366="", "", L7366-B7366)</f>
        <v/>
      </c>
      <c r="O7366">
        <f>IF(L7366="", "Pending", IF(N7366&lt;=30, "Met", "Breached"))</f>
        <v/>
      </c>
      <c r="P7366" s="8" t="n"/>
      <c r="Q7366" s="8" t="n"/>
      <c r="R7366" s="8" t="n"/>
      <c r="S7366" s="8" t="n"/>
      <c r="T7366" s="8" t="n"/>
      <c r="U7366" s="8" t="n"/>
      <c r="V7366" s="8" t="n"/>
      <c r="W7366" s="8" t="n"/>
      <c r="X7366" s="8" t="n"/>
      <c r="Y7366" s="8" t="n"/>
    </row>
    <row r="7367">
      <c r="A7367" s="8" t="n"/>
      <c r="B7367" s="8" t="n"/>
      <c r="C7367" s="8" t="n"/>
      <c r="D7367" s="8" t="n"/>
      <c r="E7367" s="8" t="n"/>
      <c r="F7367" s="8" t="n"/>
      <c r="G7367" s="8" t="n"/>
      <c r="H7367" s="8" t="n"/>
      <c r="I7367" s="8" t="n"/>
      <c r="J7367" s="8" t="n"/>
      <c r="K7367" s="8" t="n"/>
      <c r="L7367" s="8" t="n"/>
      <c r="M7367" s="9">
        <f>B7367+30</f>
        <v/>
      </c>
      <c r="N7367">
        <f>IF(L7367="", "", L7367-B7367)</f>
        <v/>
      </c>
      <c r="O7367">
        <f>IF(L7367="", "Pending", IF(N7367&lt;=30, "Met", "Breached"))</f>
        <v/>
      </c>
      <c r="P7367" s="8" t="n"/>
      <c r="Q7367" s="8" t="n"/>
      <c r="R7367" s="8" t="n"/>
      <c r="S7367" s="8" t="n"/>
      <c r="T7367" s="8" t="n"/>
      <c r="U7367" s="8" t="n"/>
      <c r="V7367" s="8" t="n"/>
      <c r="W7367" s="8" t="n"/>
      <c r="X7367" s="8" t="n"/>
      <c r="Y7367" s="8" t="n"/>
    </row>
    <row r="7368">
      <c r="A7368" s="8" t="n"/>
      <c r="B7368" s="8" t="n"/>
      <c r="C7368" s="8" t="n"/>
      <c r="D7368" s="8" t="n"/>
      <c r="E7368" s="8" t="n"/>
      <c r="F7368" s="8" t="n"/>
      <c r="G7368" s="8" t="n"/>
      <c r="H7368" s="8" t="n"/>
      <c r="I7368" s="8" t="n"/>
      <c r="J7368" s="8" t="n"/>
      <c r="K7368" s="8" t="n"/>
      <c r="L7368" s="8" t="n"/>
      <c r="M7368" s="9">
        <f>B7368+30</f>
        <v/>
      </c>
      <c r="N7368">
        <f>IF(L7368="", "", L7368-B7368)</f>
        <v/>
      </c>
      <c r="O7368">
        <f>IF(L7368="", "Pending", IF(N7368&lt;=30, "Met", "Breached"))</f>
        <v/>
      </c>
      <c r="P7368" s="8" t="n"/>
      <c r="Q7368" s="8" t="n"/>
      <c r="R7368" s="8" t="n"/>
      <c r="S7368" s="8" t="n"/>
      <c r="T7368" s="8" t="n"/>
      <c r="U7368" s="8" t="n"/>
      <c r="V7368" s="8" t="n"/>
      <c r="W7368" s="8" t="n"/>
      <c r="X7368" s="8" t="n"/>
      <c r="Y7368" s="8" t="n"/>
    </row>
    <row r="7369">
      <c r="A7369" s="8" t="n"/>
      <c r="B7369" s="8" t="n"/>
      <c r="C7369" s="8" t="n"/>
      <c r="D7369" s="8" t="n"/>
      <c r="E7369" s="8" t="n"/>
      <c r="F7369" s="8" t="n"/>
      <c r="G7369" s="8" t="n"/>
      <c r="H7369" s="8" t="n"/>
      <c r="I7369" s="8" t="n"/>
      <c r="J7369" s="8" t="n"/>
      <c r="K7369" s="8" t="n"/>
      <c r="L7369" s="8" t="n"/>
      <c r="M7369" s="9">
        <f>B7369+30</f>
        <v/>
      </c>
      <c r="N7369">
        <f>IF(L7369="", "", L7369-B7369)</f>
        <v/>
      </c>
      <c r="O7369">
        <f>IF(L7369="", "Pending", IF(N7369&lt;=30, "Met", "Breached"))</f>
        <v/>
      </c>
      <c r="P7369" s="8" t="n"/>
      <c r="Q7369" s="8" t="n"/>
      <c r="R7369" s="8" t="n"/>
      <c r="S7369" s="8" t="n"/>
      <c r="T7369" s="8" t="n"/>
      <c r="U7369" s="8" t="n"/>
      <c r="V7369" s="8" t="n"/>
      <c r="W7369" s="8" t="n"/>
      <c r="X7369" s="8" t="n"/>
      <c r="Y7369" s="8" t="n"/>
    </row>
    <row r="7370">
      <c r="A7370" s="8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8" t="n"/>
      <c r="K7370" s="8" t="n"/>
      <c r="L7370" s="8" t="n"/>
      <c r="M7370" s="9">
        <f>B7370+30</f>
        <v/>
      </c>
      <c r="N7370">
        <f>IF(L7370="", "", L7370-B7370)</f>
        <v/>
      </c>
      <c r="O7370">
        <f>IF(L7370="", "Pending", IF(N7370&lt;=30, "Met", "Breached"))</f>
        <v/>
      </c>
      <c r="P7370" s="8" t="n"/>
      <c r="Q7370" s="8" t="n"/>
      <c r="R7370" s="8" t="n"/>
      <c r="S7370" s="8" t="n"/>
      <c r="T7370" s="8" t="n"/>
      <c r="U7370" s="8" t="n"/>
      <c r="V7370" s="8" t="n"/>
      <c r="W7370" s="8" t="n"/>
      <c r="X7370" s="8" t="n"/>
      <c r="Y7370" s="8" t="n"/>
    </row>
    <row r="7371">
      <c r="A7371" s="8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8" t="n"/>
      <c r="K7371" s="8" t="n"/>
      <c r="L7371" s="8" t="n"/>
      <c r="M7371" s="9">
        <f>B7371+30</f>
        <v/>
      </c>
      <c r="N7371">
        <f>IF(L7371="", "", L7371-B7371)</f>
        <v/>
      </c>
      <c r="O7371">
        <f>IF(L7371="", "Pending", IF(N7371&lt;=30, "Met", "Breached"))</f>
        <v/>
      </c>
      <c r="P7371" s="8" t="n"/>
      <c r="Q7371" s="8" t="n"/>
      <c r="R7371" s="8" t="n"/>
      <c r="S7371" s="8" t="n"/>
      <c r="T7371" s="8" t="n"/>
      <c r="U7371" s="8" t="n"/>
      <c r="V7371" s="8" t="n"/>
      <c r="W7371" s="8" t="n"/>
      <c r="X7371" s="8" t="n"/>
      <c r="Y7371" s="8" t="n"/>
    </row>
    <row r="7372">
      <c r="A7372" s="8" t="n"/>
      <c r="B7372" s="8" t="n"/>
      <c r="C7372" s="8" t="n"/>
      <c r="D7372" s="8" t="n"/>
      <c r="E7372" s="8" t="n"/>
      <c r="F7372" s="8" t="n"/>
      <c r="G7372" s="8" t="n"/>
      <c r="H7372" s="8" t="n"/>
      <c r="I7372" s="8" t="n"/>
      <c r="J7372" s="8" t="n"/>
      <c r="K7372" s="8" t="n"/>
      <c r="L7372" s="8" t="n"/>
      <c r="M7372" s="9">
        <f>B7372+30</f>
        <v/>
      </c>
      <c r="N7372">
        <f>IF(L7372="", "", L7372-B7372)</f>
        <v/>
      </c>
      <c r="O7372">
        <f>IF(L7372="", "Pending", IF(N7372&lt;=30, "Met", "Breached"))</f>
        <v/>
      </c>
      <c r="P7372" s="8" t="n"/>
      <c r="Q7372" s="8" t="n"/>
      <c r="R7372" s="8" t="n"/>
      <c r="S7372" s="8" t="n"/>
      <c r="T7372" s="8" t="n"/>
      <c r="U7372" s="8" t="n"/>
      <c r="V7372" s="8" t="n"/>
      <c r="W7372" s="8" t="n"/>
      <c r="X7372" s="8" t="n"/>
      <c r="Y7372" s="8" t="n"/>
    </row>
    <row r="7373">
      <c r="A7373" s="8" t="n"/>
      <c r="B7373" s="8" t="n"/>
      <c r="C7373" s="8" t="n"/>
      <c r="D7373" s="8" t="n"/>
      <c r="E7373" s="8" t="n"/>
      <c r="F7373" s="8" t="n"/>
      <c r="G7373" s="8" t="n"/>
      <c r="H7373" s="8" t="n"/>
      <c r="I7373" s="8" t="n"/>
      <c r="J7373" s="8" t="n"/>
      <c r="K7373" s="8" t="n"/>
      <c r="L7373" s="8" t="n"/>
      <c r="M7373" s="9">
        <f>B7373+30</f>
        <v/>
      </c>
      <c r="N7373">
        <f>IF(L7373="", "", L7373-B7373)</f>
        <v/>
      </c>
      <c r="O7373">
        <f>IF(L7373="", "Pending", IF(N7373&lt;=30, "Met", "Breached"))</f>
        <v/>
      </c>
      <c r="P7373" s="8" t="n"/>
      <c r="Q7373" s="8" t="n"/>
      <c r="R7373" s="8" t="n"/>
      <c r="S7373" s="8" t="n"/>
      <c r="T7373" s="8" t="n"/>
      <c r="U7373" s="8" t="n"/>
      <c r="V7373" s="8" t="n"/>
      <c r="W7373" s="8" t="n"/>
      <c r="X7373" s="8" t="n"/>
      <c r="Y7373" s="8" t="n"/>
    </row>
    <row r="7374">
      <c r="A7374" s="8" t="n"/>
      <c r="B7374" s="8" t="n"/>
      <c r="C7374" s="8" t="n"/>
      <c r="D7374" s="8" t="n"/>
      <c r="E7374" s="8" t="n"/>
      <c r="F7374" s="8" t="n"/>
      <c r="G7374" s="8" t="n"/>
      <c r="H7374" s="8" t="n"/>
      <c r="I7374" s="8" t="n"/>
      <c r="J7374" s="8" t="n"/>
      <c r="K7374" s="8" t="n"/>
      <c r="L7374" s="8" t="n"/>
      <c r="M7374" s="9">
        <f>B7374+30</f>
        <v/>
      </c>
      <c r="N7374">
        <f>IF(L7374="", "", L7374-B7374)</f>
        <v/>
      </c>
      <c r="O7374">
        <f>IF(L7374="", "Pending", IF(N7374&lt;=30, "Met", "Breached"))</f>
        <v/>
      </c>
      <c r="P7374" s="8" t="n"/>
      <c r="Q7374" s="8" t="n"/>
      <c r="R7374" s="8" t="n"/>
      <c r="S7374" s="8" t="n"/>
      <c r="T7374" s="8" t="n"/>
      <c r="U7374" s="8" t="n"/>
      <c r="V7374" s="8" t="n"/>
      <c r="W7374" s="8" t="n"/>
      <c r="X7374" s="8" t="n"/>
      <c r="Y7374" s="8" t="n"/>
    </row>
    <row r="7375">
      <c r="A7375" s="8" t="n"/>
      <c r="B7375" s="8" t="n"/>
      <c r="C7375" s="8" t="n"/>
      <c r="D7375" s="8" t="n"/>
      <c r="E7375" s="8" t="n"/>
      <c r="F7375" s="8" t="n"/>
      <c r="G7375" s="8" t="n"/>
      <c r="H7375" s="8" t="n"/>
      <c r="I7375" s="8" t="n"/>
      <c r="J7375" s="8" t="n"/>
      <c r="K7375" s="8" t="n"/>
      <c r="L7375" s="8" t="n"/>
      <c r="M7375" s="9">
        <f>B7375+30</f>
        <v/>
      </c>
      <c r="N7375">
        <f>IF(L7375="", "", L7375-B7375)</f>
        <v/>
      </c>
      <c r="O7375">
        <f>IF(L7375="", "Pending", IF(N7375&lt;=30, "Met", "Breached"))</f>
        <v/>
      </c>
      <c r="P7375" s="8" t="n"/>
      <c r="Q7375" s="8" t="n"/>
      <c r="R7375" s="8" t="n"/>
      <c r="S7375" s="8" t="n"/>
      <c r="T7375" s="8" t="n"/>
      <c r="U7375" s="8" t="n"/>
      <c r="V7375" s="8" t="n"/>
      <c r="W7375" s="8" t="n"/>
      <c r="X7375" s="8" t="n"/>
      <c r="Y7375" s="8" t="n"/>
    </row>
    <row r="7376">
      <c r="A7376" s="8" t="n"/>
      <c r="B7376" s="8" t="n"/>
      <c r="C7376" s="8" t="n"/>
      <c r="D7376" s="8" t="n"/>
      <c r="E7376" s="8" t="n"/>
      <c r="F7376" s="8" t="n"/>
      <c r="G7376" s="8" t="n"/>
      <c r="H7376" s="8" t="n"/>
      <c r="I7376" s="8" t="n"/>
      <c r="J7376" s="8" t="n"/>
      <c r="K7376" s="8" t="n"/>
      <c r="L7376" s="8" t="n"/>
      <c r="M7376" s="9">
        <f>B7376+30</f>
        <v/>
      </c>
      <c r="N7376">
        <f>IF(L7376="", "", L7376-B7376)</f>
        <v/>
      </c>
      <c r="O7376">
        <f>IF(L7376="", "Pending", IF(N7376&lt;=30, "Met", "Breached"))</f>
        <v/>
      </c>
      <c r="P7376" s="8" t="n"/>
      <c r="Q7376" s="8" t="n"/>
      <c r="R7376" s="8" t="n"/>
      <c r="S7376" s="8" t="n"/>
      <c r="T7376" s="8" t="n"/>
      <c r="U7376" s="8" t="n"/>
      <c r="V7376" s="8" t="n"/>
      <c r="W7376" s="8" t="n"/>
      <c r="X7376" s="8" t="n"/>
      <c r="Y7376" s="8" t="n"/>
    </row>
    <row r="7377">
      <c r="A7377" s="8" t="n"/>
      <c r="B7377" s="8" t="n"/>
      <c r="C7377" s="8" t="n"/>
      <c r="D7377" s="8" t="n"/>
      <c r="E7377" s="8" t="n"/>
      <c r="F7377" s="8" t="n"/>
      <c r="G7377" s="8" t="n"/>
      <c r="H7377" s="8" t="n"/>
      <c r="I7377" s="8" t="n"/>
      <c r="J7377" s="8" t="n"/>
      <c r="K7377" s="8" t="n"/>
      <c r="L7377" s="8" t="n"/>
      <c r="M7377" s="9">
        <f>B7377+30</f>
        <v/>
      </c>
      <c r="N7377">
        <f>IF(L7377="", "", L7377-B7377)</f>
        <v/>
      </c>
      <c r="O7377">
        <f>IF(L7377="", "Pending", IF(N7377&lt;=30, "Met", "Breached"))</f>
        <v/>
      </c>
      <c r="P7377" s="8" t="n"/>
      <c r="Q7377" s="8" t="n"/>
      <c r="R7377" s="8" t="n"/>
      <c r="S7377" s="8" t="n"/>
      <c r="T7377" s="8" t="n"/>
      <c r="U7377" s="8" t="n"/>
      <c r="V7377" s="8" t="n"/>
      <c r="W7377" s="8" t="n"/>
      <c r="X7377" s="8" t="n"/>
      <c r="Y7377" s="8" t="n"/>
    </row>
    <row r="7378">
      <c r="A7378" s="8" t="n"/>
      <c r="B7378" s="8" t="n"/>
      <c r="C7378" s="8" t="n"/>
      <c r="D7378" s="8" t="n"/>
      <c r="E7378" s="8" t="n"/>
      <c r="F7378" s="8" t="n"/>
      <c r="G7378" s="8" t="n"/>
      <c r="H7378" s="8" t="n"/>
      <c r="I7378" s="8" t="n"/>
      <c r="J7378" s="8" t="n"/>
      <c r="K7378" s="8" t="n"/>
      <c r="L7378" s="8" t="n"/>
      <c r="M7378" s="9">
        <f>B7378+30</f>
        <v/>
      </c>
      <c r="N7378">
        <f>IF(L7378="", "", L7378-B7378)</f>
        <v/>
      </c>
      <c r="O7378">
        <f>IF(L7378="", "Pending", IF(N7378&lt;=30, "Met", "Breached"))</f>
        <v/>
      </c>
      <c r="P7378" s="8" t="n"/>
      <c r="Q7378" s="8" t="n"/>
      <c r="R7378" s="8" t="n"/>
      <c r="S7378" s="8" t="n"/>
      <c r="T7378" s="8" t="n"/>
      <c r="U7378" s="8" t="n"/>
      <c r="V7378" s="8" t="n"/>
      <c r="W7378" s="8" t="n"/>
      <c r="X7378" s="8" t="n"/>
      <c r="Y7378" s="8" t="n"/>
    </row>
    <row r="7379">
      <c r="A7379" s="8" t="n"/>
      <c r="B7379" s="8" t="n"/>
      <c r="C7379" s="8" t="n"/>
      <c r="D7379" s="8" t="n"/>
      <c r="E7379" s="8" t="n"/>
      <c r="F7379" s="8" t="n"/>
      <c r="G7379" s="8" t="n"/>
      <c r="H7379" s="8" t="n"/>
      <c r="I7379" s="8" t="n"/>
      <c r="J7379" s="8" t="n"/>
      <c r="K7379" s="8" t="n"/>
      <c r="L7379" s="8" t="n"/>
      <c r="M7379" s="9">
        <f>B7379+30</f>
        <v/>
      </c>
      <c r="N7379">
        <f>IF(L7379="", "", L7379-B7379)</f>
        <v/>
      </c>
      <c r="O7379">
        <f>IF(L7379="", "Pending", IF(N7379&lt;=30, "Met", "Breached"))</f>
        <v/>
      </c>
      <c r="P7379" s="8" t="n"/>
      <c r="Q7379" s="8" t="n"/>
      <c r="R7379" s="8" t="n"/>
      <c r="S7379" s="8" t="n"/>
      <c r="T7379" s="8" t="n"/>
      <c r="U7379" s="8" t="n"/>
      <c r="V7379" s="8" t="n"/>
      <c r="W7379" s="8" t="n"/>
      <c r="X7379" s="8" t="n"/>
      <c r="Y7379" s="8" t="n"/>
    </row>
    <row r="7380">
      <c r="A7380" s="8" t="n"/>
      <c r="B7380" s="8" t="n"/>
      <c r="C7380" s="8" t="n"/>
      <c r="D7380" s="8" t="n"/>
      <c r="E7380" s="8" t="n"/>
      <c r="F7380" s="8" t="n"/>
      <c r="G7380" s="8" t="n"/>
      <c r="H7380" s="8" t="n"/>
      <c r="I7380" s="8" t="n"/>
      <c r="J7380" s="8" t="n"/>
      <c r="K7380" s="8" t="n"/>
      <c r="L7380" s="8" t="n"/>
      <c r="M7380" s="9">
        <f>B7380+30</f>
        <v/>
      </c>
      <c r="N7380">
        <f>IF(L7380="", "", L7380-B7380)</f>
        <v/>
      </c>
      <c r="O7380">
        <f>IF(L7380="", "Pending", IF(N7380&lt;=30, "Met", "Breached"))</f>
        <v/>
      </c>
      <c r="P7380" s="8" t="n"/>
      <c r="Q7380" s="8" t="n"/>
      <c r="R7380" s="8" t="n"/>
      <c r="S7380" s="8" t="n"/>
      <c r="T7380" s="8" t="n"/>
      <c r="U7380" s="8" t="n"/>
      <c r="V7380" s="8" t="n"/>
      <c r="W7380" s="8" t="n"/>
      <c r="X7380" s="8" t="n"/>
      <c r="Y7380" s="8" t="n"/>
    </row>
    <row r="7381">
      <c r="A7381" s="8" t="n"/>
      <c r="B7381" s="8" t="n"/>
      <c r="C7381" s="8" t="n"/>
      <c r="D7381" s="8" t="n"/>
      <c r="E7381" s="8" t="n"/>
      <c r="F7381" s="8" t="n"/>
      <c r="G7381" s="8" t="n"/>
      <c r="H7381" s="8" t="n"/>
      <c r="I7381" s="8" t="n"/>
      <c r="J7381" s="8" t="n"/>
      <c r="K7381" s="8" t="n"/>
      <c r="L7381" s="8" t="n"/>
      <c r="M7381" s="9">
        <f>B7381+30</f>
        <v/>
      </c>
      <c r="N7381">
        <f>IF(L7381="", "", L7381-B7381)</f>
        <v/>
      </c>
      <c r="O7381">
        <f>IF(L7381="", "Pending", IF(N7381&lt;=30, "Met", "Breached"))</f>
        <v/>
      </c>
      <c r="P7381" s="8" t="n"/>
      <c r="Q7381" s="8" t="n"/>
      <c r="R7381" s="8" t="n"/>
      <c r="S7381" s="8" t="n"/>
      <c r="T7381" s="8" t="n"/>
      <c r="U7381" s="8" t="n"/>
      <c r="V7381" s="8" t="n"/>
      <c r="W7381" s="8" t="n"/>
      <c r="X7381" s="8" t="n"/>
      <c r="Y7381" s="8" t="n"/>
    </row>
    <row r="7382">
      <c r="A7382" s="8" t="n"/>
      <c r="B7382" s="8" t="n"/>
      <c r="C7382" s="8" t="n"/>
      <c r="D7382" s="8" t="n"/>
      <c r="E7382" s="8" t="n"/>
      <c r="F7382" s="8" t="n"/>
      <c r="G7382" s="8" t="n"/>
      <c r="H7382" s="8" t="n"/>
      <c r="I7382" s="8" t="n"/>
      <c r="J7382" s="8" t="n"/>
      <c r="K7382" s="8" t="n"/>
      <c r="L7382" s="8" t="n"/>
      <c r="M7382" s="9">
        <f>B7382+30</f>
        <v/>
      </c>
      <c r="N7382">
        <f>IF(L7382="", "", L7382-B7382)</f>
        <v/>
      </c>
      <c r="O7382">
        <f>IF(L7382="", "Pending", IF(N7382&lt;=30, "Met", "Breached"))</f>
        <v/>
      </c>
      <c r="P7382" s="8" t="n"/>
      <c r="Q7382" s="8" t="n"/>
      <c r="R7382" s="8" t="n"/>
      <c r="S7382" s="8" t="n"/>
      <c r="T7382" s="8" t="n"/>
      <c r="U7382" s="8" t="n"/>
      <c r="V7382" s="8" t="n"/>
      <c r="W7382" s="8" t="n"/>
      <c r="X7382" s="8" t="n"/>
      <c r="Y7382" s="8" t="n"/>
    </row>
    <row r="7383">
      <c r="A7383" s="8" t="n"/>
      <c r="B7383" s="8" t="n"/>
      <c r="C7383" s="8" t="n"/>
      <c r="D7383" s="8" t="n"/>
      <c r="E7383" s="8" t="n"/>
      <c r="F7383" s="8" t="n"/>
      <c r="G7383" s="8" t="n"/>
      <c r="H7383" s="8" t="n"/>
      <c r="I7383" s="8" t="n"/>
      <c r="J7383" s="8" t="n"/>
      <c r="K7383" s="8" t="n"/>
      <c r="L7383" s="8" t="n"/>
      <c r="M7383" s="9">
        <f>B7383+30</f>
        <v/>
      </c>
      <c r="N7383">
        <f>IF(L7383="", "", L7383-B7383)</f>
        <v/>
      </c>
      <c r="O7383">
        <f>IF(L7383="", "Pending", IF(N7383&lt;=30, "Met", "Breached"))</f>
        <v/>
      </c>
      <c r="P7383" s="8" t="n"/>
      <c r="Q7383" s="8" t="n"/>
      <c r="R7383" s="8" t="n"/>
      <c r="S7383" s="8" t="n"/>
      <c r="T7383" s="8" t="n"/>
      <c r="U7383" s="8" t="n"/>
      <c r="V7383" s="8" t="n"/>
      <c r="W7383" s="8" t="n"/>
      <c r="X7383" s="8" t="n"/>
      <c r="Y7383" s="8" t="n"/>
    </row>
    <row r="7384">
      <c r="A7384" s="8" t="n"/>
      <c r="B7384" s="8" t="n"/>
      <c r="C7384" s="8" t="n"/>
      <c r="D7384" s="8" t="n"/>
      <c r="E7384" s="8" t="n"/>
      <c r="F7384" s="8" t="n"/>
      <c r="G7384" s="8" t="n"/>
      <c r="H7384" s="8" t="n"/>
      <c r="I7384" s="8" t="n"/>
      <c r="J7384" s="8" t="n"/>
      <c r="K7384" s="8" t="n"/>
      <c r="L7384" s="8" t="n"/>
      <c r="M7384" s="9">
        <f>B7384+30</f>
        <v/>
      </c>
      <c r="N7384">
        <f>IF(L7384="", "", L7384-B7384)</f>
        <v/>
      </c>
      <c r="O7384">
        <f>IF(L7384="", "Pending", IF(N7384&lt;=30, "Met", "Breached"))</f>
        <v/>
      </c>
      <c r="P7384" s="8" t="n"/>
      <c r="Q7384" s="8" t="n"/>
      <c r="R7384" s="8" t="n"/>
      <c r="S7384" s="8" t="n"/>
      <c r="T7384" s="8" t="n"/>
      <c r="U7384" s="8" t="n"/>
      <c r="V7384" s="8" t="n"/>
      <c r="W7384" s="8" t="n"/>
      <c r="X7384" s="8" t="n"/>
      <c r="Y7384" s="8" t="n"/>
    </row>
    <row r="7385">
      <c r="A7385" s="8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8" t="n"/>
      <c r="K7385" s="8" t="n"/>
      <c r="L7385" s="8" t="n"/>
      <c r="M7385" s="9">
        <f>B7385+30</f>
        <v/>
      </c>
      <c r="N7385">
        <f>IF(L7385="", "", L7385-B7385)</f>
        <v/>
      </c>
      <c r="O7385">
        <f>IF(L7385="", "Pending", IF(N7385&lt;=30, "Met", "Breached"))</f>
        <v/>
      </c>
      <c r="P7385" s="8" t="n"/>
      <c r="Q7385" s="8" t="n"/>
      <c r="R7385" s="8" t="n"/>
      <c r="S7385" s="8" t="n"/>
      <c r="T7385" s="8" t="n"/>
      <c r="U7385" s="8" t="n"/>
      <c r="V7385" s="8" t="n"/>
      <c r="W7385" s="8" t="n"/>
      <c r="X7385" s="8" t="n"/>
      <c r="Y7385" s="8" t="n"/>
    </row>
    <row r="7386">
      <c r="A7386" s="8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8" t="n"/>
      <c r="K7386" s="8" t="n"/>
      <c r="L7386" s="8" t="n"/>
      <c r="M7386" s="9">
        <f>B7386+30</f>
        <v/>
      </c>
      <c r="N7386">
        <f>IF(L7386="", "", L7386-B7386)</f>
        <v/>
      </c>
      <c r="O7386">
        <f>IF(L7386="", "Pending", IF(N7386&lt;=30, "Met", "Breached"))</f>
        <v/>
      </c>
      <c r="P7386" s="8" t="n"/>
      <c r="Q7386" s="8" t="n"/>
      <c r="R7386" s="8" t="n"/>
      <c r="S7386" s="8" t="n"/>
      <c r="T7386" s="8" t="n"/>
      <c r="U7386" s="8" t="n"/>
      <c r="V7386" s="8" t="n"/>
      <c r="W7386" s="8" t="n"/>
      <c r="X7386" s="8" t="n"/>
      <c r="Y7386" s="8" t="n"/>
    </row>
    <row r="7387">
      <c r="A7387" s="8" t="n"/>
      <c r="B7387" s="8" t="n"/>
      <c r="C7387" s="8" t="n"/>
      <c r="D7387" s="8" t="n"/>
      <c r="E7387" s="8" t="n"/>
      <c r="F7387" s="8" t="n"/>
      <c r="G7387" s="8" t="n"/>
      <c r="H7387" s="8" t="n"/>
      <c r="I7387" s="8" t="n"/>
      <c r="J7387" s="8" t="n"/>
      <c r="K7387" s="8" t="n"/>
      <c r="L7387" s="8" t="n"/>
      <c r="M7387" s="9">
        <f>B7387+30</f>
        <v/>
      </c>
      <c r="N7387">
        <f>IF(L7387="", "", L7387-B7387)</f>
        <v/>
      </c>
      <c r="O7387">
        <f>IF(L7387="", "Pending", IF(N7387&lt;=30, "Met", "Breached"))</f>
        <v/>
      </c>
      <c r="P7387" s="8" t="n"/>
      <c r="Q7387" s="8" t="n"/>
      <c r="R7387" s="8" t="n"/>
      <c r="S7387" s="8" t="n"/>
      <c r="T7387" s="8" t="n"/>
      <c r="U7387" s="8" t="n"/>
      <c r="V7387" s="8" t="n"/>
      <c r="W7387" s="8" t="n"/>
      <c r="X7387" s="8" t="n"/>
      <c r="Y7387" s="8" t="n"/>
    </row>
    <row r="7388">
      <c r="A7388" s="8" t="n"/>
      <c r="B7388" s="8" t="n"/>
      <c r="C7388" s="8" t="n"/>
      <c r="D7388" s="8" t="n"/>
      <c r="E7388" s="8" t="n"/>
      <c r="F7388" s="8" t="n"/>
      <c r="G7388" s="8" t="n"/>
      <c r="H7388" s="8" t="n"/>
      <c r="I7388" s="8" t="n"/>
      <c r="J7388" s="8" t="n"/>
      <c r="K7388" s="8" t="n"/>
      <c r="L7388" s="8" t="n"/>
      <c r="M7388" s="9">
        <f>B7388+30</f>
        <v/>
      </c>
      <c r="N7388">
        <f>IF(L7388="", "", L7388-B7388)</f>
        <v/>
      </c>
      <c r="O7388">
        <f>IF(L7388="", "Pending", IF(N7388&lt;=30, "Met", "Breached"))</f>
        <v/>
      </c>
      <c r="P7388" s="8" t="n"/>
      <c r="Q7388" s="8" t="n"/>
      <c r="R7388" s="8" t="n"/>
      <c r="S7388" s="8" t="n"/>
      <c r="T7388" s="8" t="n"/>
      <c r="U7388" s="8" t="n"/>
      <c r="V7388" s="8" t="n"/>
      <c r="W7388" s="8" t="n"/>
      <c r="X7388" s="8" t="n"/>
      <c r="Y7388" s="8" t="n"/>
    </row>
    <row r="7389">
      <c r="A7389" s="8" t="n"/>
      <c r="B7389" s="8" t="n"/>
      <c r="C7389" s="8" t="n"/>
      <c r="D7389" s="8" t="n"/>
      <c r="E7389" s="8" t="n"/>
      <c r="F7389" s="8" t="n"/>
      <c r="G7389" s="8" t="n"/>
      <c r="H7389" s="8" t="n"/>
      <c r="I7389" s="8" t="n"/>
      <c r="J7389" s="8" t="n"/>
      <c r="K7389" s="8" t="n"/>
      <c r="L7389" s="8" t="n"/>
      <c r="M7389" s="9">
        <f>B7389+30</f>
        <v/>
      </c>
      <c r="N7389">
        <f>IF(L7389="", "", L7389-B7389)</f>
        <v/>
      </c>
      <c r="O7389">
        <f>IF(L7389="", "Pending", IF(N7389&lt;=30, "Met", "Breached"))</f>
        <v/>
      </c>
      <c r="P7389" s="8" t="n"/>
      <c r="Q7389" s="8" t="n"/>
      <c r="R7389" s="8" t="n"/>
      <c r="S7389" s="8" t="n"/>
      <c r="T7389" s="8" t="n"/>
      <c r="U7389" s="8" t="n"/>
      <c r="V7389" s="8" t="n"/>
      <c r="W7389" s="8" t="n"/>
      <c r="X7389" s="8" t="n"/>
      <c r="Y7389" s="8" t="n"/>
    </row>
    <row r="7390">
      <c r="A7390" s="8" t="n"/>
      <c r="B7390" s="8" t="n"/>
      <c r="C7390" s="8" t="n"/>
      <c r="D7390" s="8" t="n"/>
      <c r="E7390" s="8" t="n"/>
      <c r="F7390" s="8" t="n"/>
      <c r="G7390" s="8" t="n"/>
      <c r="H7390" s="8" t="n"/>
      <c r="I7390" s="8" t="n"/>
      <c r="J7390" s="8" t="n"/>
      <c r="K7390" s="8" t="n"/>
      <c r="L7390" s="8" t="n"/>
      <c r="M7390" s="9">
        <f>B7390+30</f>
        <v/>
      </c>
      <c r="N7390">
        <f>IF(L7390="", "", L7390-B7390)</f>
        <v/>
      </c>
      <c r="O7390">
        <f>IF(L7390="", "Pending", IF(N7390&lt;=30, "Met", "Breached"))</f>
        <v/>
      </c>
      <c r="P7390" s="8" t="n"/>
      <c r="Q7390" s="8" t="n"/>
      <c r="R7390" s="8" t="n"/>
      <c r="S7390" s="8" t="n"/>
      <c r="T7390" s="8" t="n"/>
      <c r="U7390" s="8" t="n"/>
      <c r="V7390" s="8" t="n"/>
      <c r="W7390" s="8" t="n"/>
      <c r="X7390" s="8" t="n"/>
      <c r="Y7390" s="8" t="n"/>
    </row>
    <row r="7391">
      <c r="A7391" s="8" t="n"/>
      <c r="B7391" s="8" t="n"/>
      <c r="C7391" s="8" t="n"/>
      <c r="D7391" s="8" t="n"/>
      <c r="E7391" s="8" t="n"/>
      <c r="F7391" s="8" t="n"/>
      <c r="G7391" s="8" t="n"/>
      <c r="H7391" s="8" t="n"/>
      <c r="I7391" s="8" t="n"/>
      <c r="J7391" s="8" t="n"/>
      <c r="K7391" s="8" t="n"/>
      <c r="L7391" s="8" t="n"/>
      <c r="M7391" s="9">
        <f>B7391+30</f>
        <v/>
      </c>
      <c r="N7391">
        <f>IF(L7391="", "", L7391-B7391)</f>
        <v/>
      </c>
      <c r="O7391">
        <f>IF(L7391="", "Pending", IF(N7391&lt;=30, "Met", "Breached"))</f>
        <v/>
      </c>
      <c r="P7391" s="8" t="n"/>
      <c r="Q7391" s="8" t="n"/>
      <c r="R7391" s="8" t="n"/>
      <c r="S7391" s="8" t="n"/>
      <c r="T7391" s="8" t="n"/>
      <c r="U7391" s="8" t="n"/>
      <c r="V7391" s="8" t="n"/>
      <c r="W7391" s="8" t="n"/>
      <c r="X7391" s="8" t="n"/>
      <c r="Y7391" s="8" t="n"/>
    </row>
    <row r="7392">
      <c r="A7392" s="8" t="n"/>
      <c r="B7392" s="8" t="n"/>
      <c r="C7392" s="8" t="n"/>
      <c r="D7392" s="8" t="n"/>
      <c r="E7392" s="8" t="n"/>
      <c r="F7392" s="8" t="n"/>
      <c r="G7392" s="8" t="n"/>
      <c r="H7392" s="8" t="n"/>
      <c r="I7392" s="8" t="n"/>
      <c r="J7392" s="8" t="n"/>
      <c r="K7392" s="8" t="n"/>
      <c r="L7392" s="8" t="n"/>
      <c r="M7392" s="9">
        <f>B7392+30</f>
        <v/>
      </c>
      <c r="N7392">
        <f>IF(L7392="", "", L7392-B7392)</f>
        <v/>
      </c>
      <c r="O7392">
        <f>IF(L7392="", "Pending", IF(N7392&lt;=30, "Met", "Breached"))</f>
        <v/>
      </c>
      <c r="P7392" s="8" t="n"/>
      <c r="Q7392" s="8" t="n"/>
      <c r="R7392" s="8" t="n"/>
      <c r="S7392" s="8" t="n"/>
      <c r="T7392" s="8" t="n"/>
      <c r="U7392" s="8" t="n"/>
      <c r="V7392" s="8" t="n"/>
      <c r="W7392" s="8" t="n"/>
      <c r="X7392" s="8" t="n"/>
      <c r="Y7392" s="8" t="n"/>
    </row>
    <row r="7393">
      <c r="A7393" s="8" t="n"/>
      <c r="B7393" s="8" t="n"/>
      <c r="C7393" s="8" t="n"/>
      <c r="D7393" s="8" t="n"/>
      <c r="E7393" s="8" t="n"/>
      <c r="F7393" s="8" t="n"/>
      <c r="G7393" s="8" t="n"/>
      <c r="H7393" s="8" t="n"/>
      <c r="I7393" s="8" t="n"/>
      <c r="J7393" s="8" t="n"/>
      <c r="K7393" s="8" t="n"/>
      <c r="L7393" s="8" t="n"/>
      <c r="M7393" s="9">
        <f>B7393+30</f>
        <v/>
      </c>
      <c r="N7393">
        <f>IF(L7393="", "", L7393-B7393)</f>
        <v/>
      </c>
      <c r="O7393">
        <f>IF(L7393="", "Pending", IF(N7393&lt;=30, "Met", "Breached"))</f>
        <v/>
      </c>
      <c r="P7393" s="8" t="n"/>
      <c r="Q7393" s="8" t="n"/>
      <c r="R7393" s="8" t="n"/>
      <c r="S7393" s="8" t="n"/>
      <c r="T7393" s="8" t="n"/>
      <c r="U7393" s="8" t="n"/>
      <c r="V7393" s="8" t="n"/>
      <c r="W7393" s="8" t="n"/>
      <c r="X7393" s="8" t="n"/>
      <c r="Y7393" s="8" t="n"/>
    </row>
    <row r="7394">
      <c r="A7394" s="8" t="n"/>
      <c r="B7394" s="8" t="n"/>
      <c r="C7394" s="8" t="n"/>
      <c r="D7394" s="8" t="n"/>
      <c r="E7394" s="8" t="n"/>
      <c r="F7394" s="8" t="n"/>
      <c r="G7394" s="8" t="n"/>
      <c r="H7394" s="8" t="n"/>
      <c r="I7394" s="8" t="n"/>
      <c r="J7394" s="8" t="n"/>
      <c r="K7394" s="8" t="n"/>
      <c r="L7394" s="8" t="n"/>
      <c r="M7394" s="9">
        <f>B7394+30</f>
        <v/>
      </c>
      <c r="N7394">
        <f>IF(L7394="", "", L7394-B7394)</f>
        <v/>
      </c>
      <c r="O7394">
        <f>IF(L7394="", "Pending", IF(N7394&lt;=30, "Met", "Breached"))</f>
        <v/>
      </c>
      <c r="P7394" s="8" t="n"/>
      <c r="Q7394" s="8" t="n"/>
      <c r="R7394" s="8" t="n"/>
      <c r="S7394" s="8" t="n"/>
      <c r="T7394" s="8" t="n"/>
      <c r="U7394" s="8" t="n"/>
      <c r="V7394" s="8" t="n"/>
      <c r="W7394" s="8" t="n"/>
      <c r="X7394" s="8" t="n"/>
      <c r="Y7394" s="8" t="n"/>
    </row>
    <row r="7395">
      <c r="A7395" s="8" t="n"/>
      <c r="B7395" s="8" t="n"/>
      <c r="C7395" s="8" t="n"/>
      <c r="D7395" s="8" t="n"/>
      <c r="E7395" s="8" t="n"/>
      <c r="F7395" s="8" t="n"/>
      <c r="G7395" s="8" t="n"/>
      <c r="H7395" s="8" t="n"/>
      <c r="I7395" s="8" t="n"/>
      <c r="J7395" s="8" t="n"/>
      <c r="K7395" s="8" t="n"/>
      <c r="L7395" s="8" t="n"/>
      <c r="M7395" s="9">
        <f>B7395+30</f>
        <v/>
      </c>
      <c r="N7395">
        <f>IF(L7395="", "", L7395-B7395)</f>
        <v/>
      </c>
      <c r="O7395">
        <f>IF(L7395="", "Pending", IF(N7395&lt;=30, "Met", "Breached"))</f>
        <v/>
      </c>
      <c r="P7395" s="8" t="n"/>
      <c r="Q7395" s="8" t="n"/>
      <c r="R7395" s="8" t="n"/>
      <c r="S7395" s="8" t="n"/>
      <c r="T7395" s="8" t="n"/>
      <c r="U7395" s="8" t="n"/>
      <c r="V7395" s="8" t="n"/>
      <c r="W7395" s="8" t="n"/>
      <c r="X7395" s="8" t="n"/>
      <c r="Y7395" s="8" t="n"/>
    </row>
    <row r="7396">
      <c r="A7396" s="8" t="n"/>
      <c r="B7396" s="8" t="n"/>
      <c r="C7396" s="8" t="n"/>
      <c r="D7396" s="8" t="n"/>
      <c r="E7396" s="8" t="n"/>
      <c r="F7396" s="8" t="n"/>
      <c r="G7396" s="8" t="n"/>
      <c r="H7396" s="8" t="n"/>
      <c r="I7396" s="8" t="n"/>
      <c r="J7396" s="8" t="n"/>
      <c r="K7396" s="8" t="n"/>
      <c r="L7396" s="8" t="n"/>
      <c r="M7396" s="9">
        <f>B7396+30</f>
        <v/>
      </c>
      <c r="N7396">
        <f>IF(L7396="", "", L7396-B7396)</f>
        <v/>
      </c>
      <c r="O7396">
        <f>IF(L7396="", "Pending", IF(N7396&lt;=30, "Met", "Breached"))</f>
        <v/>
      </c>
      <c r="P7396" s="8" t="n"/>
      <c r="Q7396" s="8" t="n"/>
      <c r="R7396" s="8" t="n"/>
      <c r="S7396" s="8" t="n"/>
      <c r="T7396" s="8" t="n"/>
      <c r="U7396" s="8" t="n"/>
      <c r="V7396" s="8" t="n"/>
      <c r="W7396" s="8" t="n"/>
      <c r="X7396" s="8" t="n"/>
      <c r="Y7396" s="8" t="n"/>
    </row>
    <row r="7397">
      <c r="A7397" s="8" t="n"/>
      <c r="B7397" s="8" t="n"/>
      <c r="C7397" s="8" t="n"/>
      <c r="D7397" s="8" t="n"/>
      <c r="E7397" s="8" t="n"/>
      <c r="F7397" s="8" t="n"/>
      <c r="G7397" s="8" t="n"/>
      <c r="H7397" s="8" t="n"/>
      <c r="I7397" s="8" t="n"/>
      <c r="J7397" s="8" t="n"/>
      <c r="K7397" s="8" t="n"/>
      <c r="L7397" s="8" t="n"/>
      <c r="M7397" s="9">
        <f>B7397+30</f>
        <v/>
      </c>
      <c r="N7397">
        <f>IF(L7397="", "", L7397-B7397)</f>
        <v/>
      </c>
      <c r="O7397">
        <f>IF(L7397="", "Pending", IF(N7397&lt;=30, "Met", "Breached"))</f>
        <v/>
      </c>
      <c r="P7397" s="8" t="n"/>
      <c r="Q7397" s="8" t="n"/>
      <c r="R7397" s="8" t="n"/>
      <c r="S7397" s="8" t="n"/>
      <c r="T7397" s="8" t="n"/>
      <c r="U7397" s="8" t="n"/>
      <c r="V7397" s="8" t="n"/>
      <c r="W7397" s="8" t="n"/>
      <c r="X7397" s="8" t="n"/>
      <c r="Y7397" s="8" t="n"/>
    </row>
    <row r="7398">
      <c r="A7398" s="8" t="n"/>
      <c r="B7398" s="8" t="n"/>
      <c r="C7398" s="8" t="n"/>
      <c r="D7398" s="8" t="n"/>
      <c r="E7398" s="8" t="n"/>
      <c r="F7398" s="8" t="n"/>
      <c r="G7398" s="8" t="n"/>
      <c r="H7398" s="8" t="n"/>
      <c r="I7398" s="8" t="n"/>
      <c r="J7398" s="8" t="n"/>
      <c r="K7398" s="8" t="n"/>
      <c r="L7398" s="8" t="n"/>
      <c r="M7398" s="9">
        <f>B7398+30</f>
        <v/>
      </c>
      <c r="N7398">
        <f>IF(L7398="", "", L7398-B7398)</f>
        <v/>
      </c>
      <c r="O7398">
        <f>IF(L7398="", "Pending", IF(N7398&lt;=30, "Met", "Breached"))</f>
        <v/>
      </c>
      <c r="P7398" s="8" t="n"/>
      <c r="Q7398" s="8" t="n"/>
      <c r="R7398" s="8" t="n"/>
      <c r="S7398" s="8" t="n"/>
      <c r="T7398" s="8" t="n"/>
      <c r="U7398" s="8" t="n"/>
      <c r="V7398" s="8" t="n"/>
      <c r="W7398" s="8" t="n"/>
      <c r="X7398" s="8" t="n"/>
      <c r="Y7398" s="8" t="n"/>
    </row>
    <row r="7399">
      <c r="A7399" s="8" t="n"/>
      <c r="B7399" s="8" t="n"/>
      <c r="C7399" s="8" t="n"/>
      <c r="D7399" s="8" t="n"/>
      <c r="E7399" s="8" t="n"/>
      <c r="F7399" s="8" t="n"/>
      <c r="G7399" s="8" t="n"/>
      <c r="H7399" s="8" t="n"/>
      <c r="I7399" s="8" t="n"/>
      <c r="J7399" s="8" t="n"/>
      <c r="K7399" s="8" t="n"/>
      <c r="L7399" s="8" t="n"/>
      <c r="M7399" s="9">
        <f>B7399+30</f>
        <v/>
      </c>
      <c r="N7399">
        <f>IF(L7399="", "", L7399-B7399)</f>
        <v/>
      </c>
      <c r="O7399">
        <f>IF(L7399="", "Pending", IF(N7399&lt;=30, "Met", "Breached"))</f>
        <v/>
      </c>
      <c r="P7399" s="8" t="n"/>
      <c r="Q7399" s="8" t="n"/>
      <c r="R7399" s="8" t="n"/>
      <c r="S7399" s="8" t="n"/>
      <c r="T7399" s="8" t="n"/>
      <c r="U7399" s="8" t="n"/>
      <c r="V7399" s="8" t="n"/>
      <c r="W7399" s="8" t="n"/>
      <c r="X7399" s="8" t="n"/>
      <c r="Y7399" s="8" t="n"/>
    </row>
    <row r="7400">
      <c r="A7400" s="8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8" t="n"/>
      <c r="K7400" s="8" t="n"/>
      <c r="L7400" s="8" t="n"/>
      <c r="M7400" s="9">
        <f>B7400+30</f>
        <v/>
      </c>
      <c r="N7400">
        <f>IF(L7400="", "", L7400-B7400)</f>
        <v/>
      </c>
      <c r="O7400">
        <f>IF(L7400="", "Pending", IF(N7400&lt;=30, "Met", "Breached"))</f>
        <v/>
      </c>
      <c r="P7400" s="8" t="n"/>
      <c r="Q7400" s="8" t="n"/>
      <c r="R7400" s="8" t="n"/>
      <c r="S7400" s="8" t="n"/>
      <c r="T7400" s="8" t="n"/>
      <c r="U7400" s="8" t="n"/>
      <c r="V7400" s="8" t="n"/>
      <c r="W7400" s="8" t="n"/>
      <c r="X7400" s="8" t="n"/>
      <c r="Y7400" s="8" t="n"/>
    </row>
    <row r="7401">
      <c r="A7401" s="8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8" t="n"/>
      <c r="K7401" s="8" t="n"/>
      <c r="L7401" s="8" t="n"/>
      <c r="M7401" s="9">
        <f>B7401+30</f>
        <v/>
      </c>
      <c r="N7401">
        <f>IF(L7401="", "", L7401-B7401)</f>
        <v/>
      </c>
      <c r="O7401">
        <f>IF(L7401="", "Pending", IF(N7401&lt;=30, "Met", "Breached"))</f>
        <v/>
      </c>
      <c r="P7401" s="8" t="n"/>
      <c r="Q7401" s="8" t="n"/>
      <c r="R7401" s="8" t="n"/>
      <c r="S7401" s="8" t="n"/>
      <c r="T7401" s="8" t="n"/>
      <c r="U7401" s="8" t="n"/>
      <c r="V7401" s="8" t="n"/>
      <c r="W7401" s="8" t="n"/>
      <c r="X7401" s="8" t="n"/>
      <c r="Y7401" s="8" t="n"/>
    </row>
    <row r="7402">
      <c r="A7402" s="8" t="n"/>
      <c r="B7402" s="8" t="n"/>
      <c r="C7402" s="8" t="n"/>
      <c r="D7402" s="8" t="n"/>
      <c r="E7402" s="8" t="n"/>
      <c r="F7402" s="8" t="n"/>
      <c r="G7402" s="8" t="n"/>
      <c r="H7402" s="8" t="n"/>
      <c r="I7402" s="8" t="n"/>
      <c r="J7402" s="8" t="n"/>
      <c r="K7402" s="8" t="n"/>
      <c r="L7402" s="8" t="n"/>
      <c r="M7402" s="9">
        <f>B7402+30</f>
        <v/>
      </c>
      <c r="N7402">
        <f>IF(L7402="", "", L7402-B7402)</f>
        <v/>
      </c>
      <c r="O7402">
        <f>IF(L7402="", "Pending", IF(N7402&lt;=30, "Met", "Breached"))</f>
        <v/>
      </c>
      <c r="P7402" s="8" t="n"/>
      <c r="Q7402" s="8" t="n"/>
      <c r="R7402" s="8" t="n"/>
      <c r="S7402" s="8" t="n"/>
      <c r="T7402" s="8" t="n"/>
      <c r="U7402" s="8" t="n"/>
      <c r="V7402" s="8" t="n"/>
      <c r="W7402" s="8" t="n"/>
      <c r="X7402" s="8" t="n"/>
      <c r="Y7402" s="8" t="n"/>
    </row>
    <row r="7403">
      <c r="A7403" s="8" t="n"/>
      <c r="B7403" s="8" t="n"/>
      <c r="C7403" s="8" t="n"/>
      <c r="D7403" s="8" t="n"/>
      <c r="E7403" s="8" t="n"/>
      <c r="F7403" s="8" t="n"/>
      <c r="G7403" s="8" t="n"/>
      <c r="H7403" s="8" t="n"/>
      <c r="I7403" s="8" t="n"/>
      <c r="J7403" s="8" t="n"/>
      <c r="K7403" s="8" t="n"/>
      <c r="L7403" s="8" t="n"/>
      <c r="M7403" s="9">
        <f>B7403+30</f>
        <v/>
      </c>
      <c r="N7403">
        <f>IF(L7403="", "", L7403-B7403)</f>
        <v/>
      </c>
      <c r="O7403">
        <f>IF(L7403="", "Pending", IF(N7403&lt;=30, "Met", "Breached"))</f>
        <v/>
      </c>
      <c r="P7403" s="8" t="n"/>
      <c r="Q7403" s="8" t="n"/>
      <c r="R7403" s="8" t="n"/>
      <c r="S7403" s="8" t="n"/>
      <c r="T7403" s="8" t="n"/>
      <c r="U7403" s="8" t="n"/>
      <c r="V7403" s="8" t="n"/>
      <c r="W7403" s="8" t="n"/>
      <c r="X7403" s="8" t="n"/>
      <c r="Y7403" s="8" t="n"/>
    </row>
    <row r="7404">
      <c r="A7404" s="8" t="n"/>
      <c r="B7404" s="8" t="n"/>
      <c r="C7404" s="8" t="n"/>
      <c r="D7404" s="8" t="n"/>
      <c r="E7404" s="8" t="n"/>
      <c r="F7404" s="8" t="n"/>
      <c r="G7404" s="8" t="n"/>
      <c r="H7404" s="8" t="n"/>
      <c r="I7404" s="8" t="n"/>
      <c r="J7404" s="8" t="n"/>
      <c r="K7404" s="8" t="n"/>
      <c r="L7404" s="8" t="n"/>
      <c r="M7404" s="9">
        <f>B7404+30</f>
        <v/>
      </c>
      <c r="N7404">
        <f>IF(L7404="", "", L7404-B7404)</f>
        <v/>
      </c>
      <c r="O7404">
        <f>IF(L7404="", "Pending", IF(N7404&lt;=30, "Met", "Breached"))</f>
        <v/>
      </c>
      <c r="P7404" s="8" t="n"/>
      <c r="Q7404" s="8" t="n"/>
      <c r="R7404" s="8" t="n"/>
      <c r="S7404" s="8" t="n"/>
      <c r="T7404" s="8" t="n"/>
      <c r="U7404" s="8" t="n"/>
      <c r="V7404" s="8" t="n"/>
      <c r="W7404" s="8" t="n"/>
      <c r="X7404" s="8" t="n"/>
      <c r="Y7404" s="8" t="n"/>
    </row>
    <row r="7405">
      <c r="A7405" s="8" t="n"/>
      <c r="B7405" s="8" t="n"/>
      <c r="C7405" s="8" t="n"/>
      <c r="D7405" s="8" t="n"/>
      <c r="E7405" s="8" t="n"/>
      <c r="F7405" s="8" t="n"/>
      <c r="G7405" s="8" t="n"/>
      <c r="H7405" s="8" t="n"/>
      <c r="I7405" s="8" t="n"/>
      <c r="J7405" s="8" t="n"/>
      <c r="K7405" s="8" t="n"/>
      <c r="L7405" s="8" t="n"/>
      <c r="M7405" s="9">
        <f>B7405+30</f>
        <v/>
      </c>
      <c r="N7405">
        <f>IF(L7405="", "", L7405-B7405)</f>
        <v/>
      </c>
      <c r="O7405">
        <f>IF(L7405="", "Pending", IF(N7405&lt;=30, "Met", "Breached"))</f>
        <v/>
      </c>
      <c r="P7405" s="8" t="n"/>
      <c r="Q7405" s="8" t="n"/>
      <c r="R7405" s="8" t="n"/>
      <c r="S7405" s="8" t="n"/>
      <c r="T7405" s="8" t="n"/>
      <c r="U7405" s="8" t="n"/>
      <c r="V7405" s="8" t="n"/>
      <c r="W7405" s="8" t="n"/>
      <c r="X7405" s="8" t="n"/>
      <c r="Y7405" s="8" t="n"/>
    </row>
    <row r="7406">
      <c r="A7406" s="8" t="n"/>
      <c r="B7406" s="8" t="n"/>
      <c r="C7406" s="8" t="n"/>
      <c r="D7406" s="8" t="n"/>
      <c r="E7406" s="8" t="n"/>
      <c r="F7406" s="8" t="n"/>
      <c r="G7406" s="8" t="n"/>
      <c r="H7406" s="8" t="n"/>
      <c r="I7406" s="8" t="n"/>
      <c r="J7406" s="8" t="n"/>
      <c r="K7406" s="8" t="n"/>
      <c r="L7406" s="8" t="n"/>
      <c r="M7406" s="9">
        <f>B7406+30</f>
        <v/>
      </c>
      <c r="N7406">
        <f>IF(L7406="", "", L7406-B7406)</f>
        <v/>
      </c>
      <c r="O7406">
        <f>IF(L7406="", "Pending", IF(N7406&lt;=30, "Met", "Breached"))</f>
        <v/>
      </c>
      <c r="P7406" s="8" t="n"/>
      <c r="Q7406" s="8" t="n"/>
      <c r="R7406" s="8" t="n"/>
      <c r="S7406" s="8" t="n"/>
      <c r="T7406" s="8" t="n"/>
      <c r="U7406" s="8" t="n"/>
      <c r="V7406" s="8" t="n"/>
      <c r="W7406" s="8" t="n"/>
      <c r="X7406" s="8" t="n"/>
      <c r="Y7406" s="8" t="n"/>
    </row>
    <row r="7407">
      <c r="A7407" s="8" t="n"/>
      <c r="B7407" s="8" t="n"/>
      <c r="C7407" s="8" t="n"/>
      <c r="D7407" s="8" t="n"/>
      <c r="E7407" s="8" t="n"/>
      <c r="F7407" s="8" t="n"/>
      <c r="G7407" s="8" t="n"/>
      <c r="H7407" s="8" t="n"/>
      <c r="I7407" s="8" t="n"/>
      <c r="J7407" s="8" t="n"/>
      <c r="K7407" s="8" t="n"/>
      <c r="L7407" s="8" t="n"/>
      <c r="M7407" s="9">
        <f>B7407+30</f>
        <v/>
      </c>
      <c r="N7407">
        <f>IF(L7407="", "", L7407-B7407)</f>
        <v/>
      </c>
      <c r="O7407">
        <f>IF(L7407="", "Pending", IF(N7407&lt;=30, "Met", "Breached"))</f>
        <v/>
      </c>
      <c r="P7407" s="8" t="n"/>
      <c r="Q7407" s="8" t="n"/>
      <c r="R7407" s="8" t="n"/>
      <c r="S7407" s="8" t="n"/>
      <c r="T7407" s="8" t="n"/>
      <c r="U7407" s="8" t="n"/>
      <c r="V7407" s="8" t="n"/>
      <c r="W7407" s="8" t="n"/>
      <c r="X7407" s="8" t="n"/>
      <c r="Y7407" s="8" t="n"/>
    </row>
    <row r="7408">
      <c r="A7408" s="8" t="n"/>
      <c r="B7408" s="8" t="n"/>
      <c r="C7408" s="8" t="n"/>
      <c r="D7408" s="8" t="n"/>
      <c r="E7408" s="8" t="n"/>
      <c r="F7408" s="8" t="n"/>
      <c r="G7408" s="8" t="n"/>
      <c r="H7408" s="8" t="n"/>
      <c r="I7408" s="8" t="n"/>
      <c r="J7408" s="8" t="n"/>
      <c r="K7408" s="8" t="n"/>
      <c r="L7408" s="8" t="n"/>
      <c r="M7408" s="9">
        <f>B7408+30</f>
        <v/>
      </c>
      <c r="N7408">
        <f>IF(L7408="", "", L7408-B7408)</f>
        <v/>
      </c>
      <c r="O7408">
        <f>IF(L7408="", "Pending", IF(N7408&lt;=30, "Met", "Breached"))</f>
        <v/>
      </c>
      <c r="P7408" s="8" t="n"/>
      <c r="Q7408" s="8" t="n"/>
      <c r="R7408" s="8" t="n"/>
      <c r="S7408" s="8" t="n"/>
      <c r="T7408" s="8" t="n"/>
      <c r="U7408" s="8" t="n"/>
      <c r="V7408" s="8" t="n"/>
      <c r="W7408" s="8" t="n"/>
      <c r="X7408" s="8" t="n"/>
      <c r="Y7408" s="8" t="n"/>
    </row>
    <row r="7409">
      <c r="A7409" s="8" t="n"/>
      <c r="B7409" s="8" t="n"/>
      <c r="C7409" s="8" t="n"/>
      <c r="D7409" s="8" t="n"/>
      <c r="E7409" s="8" t="n"/>
      <c r="F7409" s="8" t="n"/>
      <c r="G7409" s="8" t="n"/>
      <c r="H7409" s="8" t="n"/>
      <c r="I7409" s="8" t="n"/>
      <c r="J7409" s="8" t="n"/>
      <c r="K7409" s="8" t="n"/>
      <c r="L7409" s="8" t="n"/>
      <c r="M7409" s="9">
        <f>B7409+30</f>
        <v/>
      </c>
      <c r="N7409">
        <f>IF(L7409="", "", L7409-B7409)</f>
        <v/>
      </c>
      <c r="O7409">
        <f>IF(L7409="", "Pending", IF(N7409&lt;=30, "Met", "Breached"))</f>
        <v/>
      </c>
      <c r="P7409" s="8" t="n"/>
      <c r="Q7409" s="8" t="n"/>
      <c r="R7409" s="8" t="n"/>
      <c r="S7409" s="8" t="n"/>
      <c r="T7409" s="8" t="n"/>
      <c r="U7409" s="8" t="n"/>
      <c r="V7409" s="8" t="n"/>
      <c r="W7409" s="8" t="n"/>
      <c r="X7409" s="8" t="n"/>
      <c r="Y7409" s="8" t="n"/>
    </row>
    <row r="7410">
      <c r="A7410" s="8" t="n"/>
      <c r="B7410" s="8" t="n"/>
      <c r="C7410" s="8" t="n"/>
      <c r="D7410" s="8" t="n"/>
      <c r="E7410" s="8" t="n"/>
      <c r="F7410" s="8" t="n"/>
      <c r="G7410" s="8" t="n"/>
      <c r="H7410" s="8" t="n"/>
      <c r="I7410" s="8" t="n"/>
      <c r="J7410" s="8" t="n"/>
      <c r="K7410" s="8" t="n"/>
      <c r="L7410" s="8" t="n"/>
      <c r="M7410" s="9">
        <f>B7410+30</f>
        <v/>
      </c>
      <c r="N7410">
        <f>IF(L7410="", "", L7410-B7410)</f>
        <v/>
      </c>
      <c r="O7410">
        <f>IF(L7410="", "Pending", IF(N7410&lt;=30, "Met", "Breached"))</f>
        <v/>
      </c>
      <c r="P7410" s="8" t="n"/>
      <c r="Q7410" s="8" t="n"/>
      <c r="R7410" s="8" t="n"/>
      <c r="S7410" s="8" t="n"/>
      <c r="T7410" s="8" t="n"/>
      <c r="U7410" s="8" t="n"/>
      <c r="V7410" s="8" t="n"/>
      <c r="W7410" s="8" t="n"/>
      <c r="X7410" s="8" t="n"/>
      <c r="Y7410" s="8" t="n"/>
    </row>
    <row r="7411">
      <c r="A7411" s="8" t="n"/>
      <c r="B7411" s="8" t="n"/>
      <c r="C7411" s="8" t="n"/>
      <c r="D7411" s="8" t="n"/>
      <c r="E7411" s="8" t="n"/>
      <c r="F7411" s="8" t="n"/>
      <c r="G7411" s="8" t="n"/>
      <c r="H7411" s="8" t="n"/>
      <c r="I7411" s="8" t="n"/>
      <c r="J7411" s="8" t="n"/>
      <c r="K7411" s="8" t="n"/>
      <c r="L7411" s="8" t="n"/>
      <c r="M7411" s="9">
        <f>B7411+30</f>
        <v/>
      </c>
      <c r="N7411">
        <f>IF(L7411="", "", L7411-B7411)</f>
        <v/>
      </c>
      <c r="O7411">
        <f>IF(L7411="", "Pending", IF(N7411&lt;=30, "Met", "Breached"))</f>
        <v/>
      </c>
      <c r="P7411" s="8" t="n"/>
      <c r="Q7411" s="8" t="n"/>
      <c r="R7411" s="8" t="n"/>
      <c r="S7411" s="8" t="n"/>
      <c r="T7411" s="8" t="n"/>
      <c r="U7411" s="8" t="n"/>
      <c r="V7411" s="8" t="n"/>
      <c r="W7411" s="8" t="n"/>
      <c r="X7411" s="8" t="n"/>
      <c r="Y7411" s="8" t="n"/>
    </row>
    <row r="7412">
      <c r="A7412" s="8" t="n"/>
      <c r="B7412" s="8" t="n"/>
      <c r="C7412" s="8" t="n"/>
      <c r="D7412" s="8" t="n"/>
      <c r="E7412" s="8" t="n"/>
      <c r="F7412" s="8" t="n"/>
      <c r="G7412" s="8" t="n"/>
      <c r="H7412" s="8" t="n"/>
      <c r="I7412" s="8" t="n"/>
      <c r="J7412" s="8" t="n"/>
      <c r="K7412" s="8" t="n"/>
      <c r="L7412" s="8" t="n"/>
      <c r="M7412" s="9">
        <f>B7412+30</f>
        <v/>
      </c>
      <c r="N7412">
        <f>IF(L7412="", "", L7412-B7412)</f>
        <v/>
      </c>
      <c r="O7412">
        <f>IF(L7412="", "Pending", IF(N7412&lt;=30, "Met", "Breached"))</f>
        <v/>
      </c>
      <c r="P7412" s="8" t="n"/>
      <c r="Q7412" s="8" t="n"/>
      <c r="R7412" s="8" t="n"/>
      <c r="S7412" s="8" t="n"/>
      <c r="T7412" s="8" t="n"/>
      <c r="U7412" s="8" t="n"/>
      <c r="V7412" s="8" t="n"/>
      <c r="W7412" s="8" t="n"/>
      <c r="X7412" s="8" t="n"/>
      <c r="Y7412" s="8" t="n"/>
    </row>
    <row r="7413">
      <c r="A7413" s="8" t="n"/>
      <c r="B7413" s="8" t="n"/>
      <c r="C7413" s="8" t="n"/>
      <c r="D7413" s="8" t="n"/>
      <c r="E7413" s="8" t="n"/>
      <c r="F7413" s="8" t="n"/>
      <c r="G7413" s="8" t="n"/>
      <c r="H7413" s="8" t="n"/>
      <c r="I7413" s="8" t="n"/>
      <c r="J7413" s="8" t="n"/>
      <c r="K7413" s="8" t="n"/>
      <c r="L7413" s="8" t="n"/>
      <c r="M7413" s="9">
        <f>B7413+30</f>
        <v/>
      </c>
      <c r="N7413">
        <f>IF(L7413="", "", L7413-B7413)</f>
        <v/>
      </c>
      <c r="O7413">
        <f>IF(L7413="", "Pending", IF(N7413&lt;=30, "Met", "Breached"))</f>
        <v/>
      </c>
      <c r="P7413" s="8" t="n"/>
      <c r="Q7413" s="8" t="n"/>
      <c r="R7413" s="8" t="n"/>
      <c r="S7413" s="8" t="n"/>
      <c r="T7413" s="8" t="n"/>
      <c r="U7413" s="8" t="n"/>
      <c r="V7413" s="8" t="n"/>
      <c r="W7413" s="8" t="n"/>
      <c r="X7413" s="8" t="n"/>
      <c r="Y7413" s="8" t="n"/>
    </row>
    <row r="7414">
      <c r="A7414" s="8" t="n"/>
      <c r="B7414" s="8" t="n"/>
      <c r="C7414" s="8" t="n"/>
      <c r="D7414" s="8" t="n"/>
      <c r="E7414" s="8" t="n"/>
      <c r="F7414" s="8" t="n"/>
      <c r="G7414" s="8" t="n"/>
      <c r="H7414" s="8" t="n"/>
      <c r="I7414" s="8" t="n"/>
      <c r="J7414" s="8" t="n"/>
      <c r="K7414" s="8" t="n"/>
      <c r="L7414" s="8" t="n"/>
      <c r="M7414" s="9">
        <f>B7414+30</f>
        <v/>
      </c>
      <c r="N7414">
        <f>IF(L7414="", "", L7414-B7414)</f>
        <v/>
      </c>
      <c r="O7414">
        <f>IF(L7414="", "Pending", IF(N7414&lt;=30, "Met", "Breached"))</f>
        <v/>
      </c>
      <c r="P7414" s="8" t="n"/>
      <c r="Q7414" s="8" t="n"/>
      <c r="R7414" s="8" t="n"/>
      <c r="S7414" s="8" t="n"/>
      <c r="T7414" s="8" t="n"/>
      <c r="U7414" s="8" t="n"/>
      <c r="V7414" s="8" t="n"/>
      <c r="W7414" s="8" t="n"/>
      <c r="X7414" s="8" t="n"/>
      <c r="Y7414" s="8" t="n"/>
    </row>
    <row r="7415">
      <c r="A7415" s="8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8" t="n"/>
      <c r="K7415" s="8" t="n"/>
      <c r="L7415" s="8" t="n"/>
      <c r="M7415" s="9">
        <f>B7415+30</f>
        <v/>
      </c>
      <c r="N7415">
        <f>IF(L7415="", "", L7415-B7415)</f>
        <v/>
      </c>
      <c r="O7415">
        <f>IF(L7415="", "Pending", IF(N7415&lt;=30, "Met", "Breached"))</f>
        <v/>
      </c>
      <c r="P7415" s="8" t="n"/>
      <c r="Q7415" s="8" t="n"/>
      <c r="R7415" s="8" t="n"/>
      <c r="S7415" s="8" t="n"/>
      <c r="T7415" s="8" t="n"/>
      <c r="U7415" s="8" t="n"/>
      <c r="V7415" s="8" t="n"/>
      <c r="W7415" s="8" t="n"/>
      <c r="X7415" s="8" t="n"/>
      <c r="Y7415" s="8" t="n"/>
    </row>
    <row r="7416">
      <c r="A7416" s="8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8" t="n"/>
      <c r="K7416" s="8" t="n"/>
      <c r="L7416" s="8" t="n"/>
      <c r="M7416" s="9">
        <f>B7416+30</f>
        <v/>
      </c>
      <c r="N7416">
        <f>IF(L7416="", "", L7416-B7416)</f>
        <v/>
      </c>
      <c r="O7416">
        <f>IF(L7416="", "Pending", IF(N7416&lt;=30, "Met", "Breached"))</f>
        <v/>
      </c>
      <c r="P7416" s="8" t="n"/>
      <c r="Q7416" s="8" t="n"/>
      <c r="R7416" s="8" t="n"/>
      <c r="S7416" s="8" t="n"/>
      <c r="T7416" s="8" t="n"/>
      <c r="U7416" s="8" t="n"/>
      <c r="V7416" s="8" t="n"/>
      <c r="W7416" s="8" t="n"/>
      <c r="X7416" s="8" t="n"/>
      <c r="Y7416" s="8" t="n"/>
    </row>
    <row r="7417">
      <c r="A7417" s="8" t="n"/>
      <c r="B7417" s="8" t="n"/>
      <c r="C7417" s="8" t="n"/>
      <c r="D7417" s="8" t="n"/>
      <c r="E7417" s="8" t="n"/>
      <c r="F7417" s="8" t="n"/>
      <c r="G7417" s="8" t="n"/>
      <c r="H7417" s="8" t="n"/>
      <c r="I7417" s="8" t="n"/>
      <c r="J7417" s="8" t="n"/>
      <c r="K7417" s="8" t="n"/>
      <c r="L7417" s="8" t="n"/>
      <c r="M7417" s="9">
        <f>B7417+30</f>
        <v/>
      </c>
      <c r="N7417">
        <f>IF(L7417="", "", L7417-B7417)</f>
        <v/>
      </c>
      <c r="O7417">
        <f>IF(L7417="", "Pending", IF(N7417&lt;=30, "Met", "Breached"))</f>
        <v/>
      </c>
      <c r="P7417" s="8" t="n"/>
      <c r="Q7417" s="8" t="n"/>
      <c r="R7417" s="8" t="n"/>
      <c r="S7417" s="8" t="n"/>
      <c r="T7417" s="8" t="n"/>
      <c r="U7417" s="8" t="n"/>
      <c r="V7417" s="8" t="n"/>
      <c r="W7417" s="8" t="n"/>
      <c r="X7417" s="8" t="n"/>
      <c r="Y7417" s="8" t="n"/>
    </row>
    <row r="7418">
      <c r="A7418" s="8" t="n"/>
      <c r="B7418" s="8" t="n"/>
      <c r="C7418" s="8" t="n"/>
      <c r="D7418" s="8" t="n"/>
      <c r="E7418" s="8" t="n"/>
      <c r="F7418" s="8" t="n"/>
      <c r="G7418" s="8" t="n"/>
      <c r="H7418" s="8" t="n"/>
      <c r="I7418" s="8" t="n"/>
      <c r="J7418" s="8" t="n"/>
      <c r="K7418" s="8" t="n"/>
      <c r="L7418" s="8" t="n"/>
      <c r="M7418" s="9">
        <f>B7418+30</f>
        <v/>
      </c>
      <c r="N7418">
        <f>IF(L7418="", "", L7418-B7418)</f>
        <v/>
      </c>
      <c r="O7418">
        <f>IF(L7418="", "Pending", IF(N7418&lt;=30, "Met", "Breached"))</f>
        <v/>
      </c>
      <c r="P7418" s="8" t="n"/>
      <c r="Q7418" s="8" t="n"/>
      <c r="R7418" s="8" t="n"/>
      <c r="S7418" s="8" t="n"/>
      <c r="T7418" s="8" t="n"/>
      <c r="U7418" s="8" t="n"/>
      <c r="V7418" s="8" t="n"/>
      <c r="W7418" s="8" t="n"/>
      <c r="X7418" s="8" t="n"/>
      <c r="Y7418" s="8" t="n"/>
    </row>
    <row r="7419">
      <c r="A7419" s="8" t="n"/>
      <c r="B7419" s="8" t="n"/>
      <c r="C7419" s="8" t="n"/>
      <c r="D7419" s="8" t="n"/>
      <c r="E7419" s="8" t="n"/>
      <c r="F7419" s="8" t="n"/>
      <c r="G7419" s="8" t="n"/>
      <c r="H7419" s="8" t="n"/>
      <c r="I7419" s="8" t="n"/>
      <c r="J7419" s="8" t="n"/>
      <c r="K7419" s="8" t="n"/>
      <c r="L7419" s="8" t="n"/>
      <c r="M7419" s="9">
        <f>B7419+30</f>
        <v/>
      </c>
      <c r="N7419">
        <f>IF(L7419="", "", L7419-B7419)</f>
        <v/>
      </c>
      <c r="O7419">
        <f>IF(L7419="", "Pending", IF(N7419&lt;=30, "Met", "Breached"))</f>
        <v/>
      </c>
      <c r="P7419" s="8" t="n"/>
      <c r="Q7419" s="8" t="n"/>
      <c r="R7419" s="8" t="n"/>
      <c r="S7419" s="8" t="n"/>
      <c r="T7419" s="8" t="n"/>
      <c r="U7419" s="8" t="n"/>
      <c r="V7419" s="8" t="n"/>
      <c r="W7419" s="8" t="n"/>
      <c r="X7419" s="8" t="n"/>
      <c r="Y7419" s="8" t="n"/>
    </row>
    <row r="7420">
      <c r="A7420" s="8" t="n"/>
      <c r="B7420" s="8" t="n"/>
      <c r="C7420" s="8" t="n"/>
      <c r="D7420" s="8" t="n"/>
      <c r="E7420" s="8" t="n"/>
      <c r="F7420" s="8" t="n"/>
      <c r="G7420" s="8" t="n"/>
      <c r="H7420" s="8" t="n"/>
      <c r="I7420" s="8" t="n"/>
      <c r="J7420" s="8" t="n"/>
      <c r="K7420" s="8" t="n"/>
      <c r="L7420" s="8" t="n"/>
      <c r="M7420" s="9">
        <f>B7420+30</f>
        <v/>
      </c>
      <c r="N7420">
        <f>IF(L7420="", "", L7420-B7420)</f>
        <v/>
      </c>
      <c r="O7420">
        <f>IF(L7420="", "Pending", IF(N7420&lt;=30, "Met", "Breached"))</f>
        <v/>
      </c>
      <c r="P7420" s="8" t="n"/>
      <c r="Q7420" s="8" t="n"/>
      <c r="R7420" s="8" t="n"/>
      <c r="S7420" s="8" t="n"/>
      <c r="T7420" s="8" t="n"/>
      <c r="U7420" s="8" t="n"/>
      <c r="V7420" s="8" t="n"/>
      <c r="W7420" s="8" t="n"/>
      <c r="X7420" s="8" t="n"/>
      <c r="Y7420" s="8" t="n"/>
    </row>
    <row r="7421">
      <c r="A7421" s="8" t="n"/>
      <c r="B7421" s="8" t="n"/>
      <c r="C7421" s="8" t="n"/>
      <c r="D7421" s="8" t="n"/>
      <c r="E7421" s="8" t="n"/>
      <c r="F7421" s="8" t="n"/>
      <c r="G7421" s="8" t="n"/>
      <c r="H7421" s="8" t="n"/>
      <c r="I7421" s="8" t="n"/>
      <c r="J7421" s="8" t="n"/>
      <c r="K7421" s="8" t="n"/>
      <c r="L7421" s="8" t="n"/>
      <c r="M7421" s="9">
        <f>B7421+30</f>
        <v/>
      </c>
      <c r="N7421">
        <f>IF(L7421="", "", L7421-B7421)</f>
        <v/>
      </c>
      <c r="O7421">
        <f>IF(L7421="", "Pending", IF(N7421&lt;=30, "Met", "Breached"))</f>
        <v/>
      </c>
      <c r="P7421" s="8" t="n"/>
      <c r="Q7421" s="8" t="n"/>
      <c r="R7421" s="8" t="n"/>
      <c r="S7421" s="8" t="n"/>
      <c r="T7421" s="8" t="n"/>
      <c r="U7421" s="8" t="n"/>
      <c r="V7421" s="8" t="n"/>
      <c r="W7421" s="8" t="n"/>
      <c r="X7421" s="8" t="n"/>
      <c r="Y7421" s="8" t="n"/>
    </row>
    <row r="7422">
      <c r="A7422" s="8" t="n"/>
      <c r="B7422" s="8" t="n"/>
      <c r="C7422" s="8" t="n"/>
      <c r="D7422" s="8" t="n"/>
      <c r="E7422" s="8" t="n"/>
      <c r="F7422" s="8" t="n"/>
      <c r="G7422" s="8" t="n"/>
      <c r="H7422" s="8" t="n"/>
      <c r="I7422" s="8" t="n"/>
      <c r="J7422" s="8" t="n"/>
      <c r="K7422" s="8" t="n"/>
      <c r="L7422" s="8" t="n"/>
      <c r="M7422" s="9">
        <f>B7422+30</f>
        <v/>
      </c>
      <c r="N7422">
        <f>IF(L7422="", "", L7422-B7422)</f>
        <v/>
      </c>
      <c r="O7422">
        <f>IF(L7422="", "Pending", IF(N7422&lt;=30, "Met", "Breached"))</f>
        <v/>
      </c>
      <c r="P7422" s="8" t="n"/>
      <c r="Q7422" s="8" t="n"/>
      <c r="R7422" s="8" t="n"/>
      <c r="S7422" s="8" t="n"/>
      <c r="T7422" s="8" t="n"/>
      <c r="U7422" s="8" t="n"/>
      <c r="V7422" s="8" t="n"/>
      <c r="W7422" s="8" t="n"/>
      <c r="X7422" s="8" t="n"/>
      <c r="Y7422" s="8" t="n"/>
    </row>
    <row r="7423">
      <c r="A7423" s="8" t="n"/>
      <c r="B7423" s="8" t="n"/>
      <c r="C7423" s="8" t="n"/>
      <c r="D7423" s="8" t="n"/>
      <c r="E7423" s="8" t="n"/>
      <c r="F7423" s="8" t="n"/>
      <c r="G7423" s="8" t="n"/>
      <c r="H7423" s="8" t="n"/>
      <c r="I7423" s="8" t="n"/>
      <c r="J7423" s="8" t="n"/>
      <c r="K7423" s="8" t="n"/>
      <c r="L7423" s="8" t="n"/>
      <c r="M7423" s="9">
        <f>B7423+30</f>
        <v/>
      </c>
      <c r="N7423">
        <f>IF(L7423="", "", L7423-B7423)</f>
        <v/>
      </c>
      <c r="O7423">
        <f>IF(L7423="", "Pending", IF(N7423&lt;=30, "Met", "Breached"))</f>
        <v/>
      </c>
      <c r="P7423" s="8" t="n"/>
      <c r="Q7423" s="8" t="n"/>
      <c r="R7423" s="8" t="n"/>
      <c r="S7423" s="8" t="n"/>
      <c r="T7423" s="8" t="n"/>
      <c r="U7423" s="8" t="n"/>
      <c r="V7423" s="8" t="n"/>
      <c r="W7423" s="8" t="n"/>
      <c r="X7423" s="8" t="n"/>
      <c r="Y7423" s="8" t="n"/>
    </row>
    <row r="7424">
      <c r="A7424" s="8" t="n"/>
      <c r="B7424" s="8" t="n"/>
      <c r="C7424" s="8" t="n"/>
      <c r="D7424" s="8" t="n"/>
      <c r="E7424" s="8" t="n"/>
      <c r="F7424" s="8" t="n"/>
      <c r="G7424" s="8" t="n"/>
      <c r="H7424" s="8" t="n"/>
      <c r="I7424" s="8" t="n"/>
      <c r="J7424" s="8" t="n"/>
      <c r="K7424" s="8" t="n"/>
      <c r="L7424" s="8" t="n"/>
      <c r="M7424" s="9">
        <f>B7424+30</f>
        <v/>
      </c>
      <c r="N7424">
        <f>IF(L7424="", "", L7424-B7424)</f>
        <v/>
      </c>
      <c r="O7424">
        <f>IF(L7424="", "Pending", IF(N7424&lt;=30, "Met", "Breached"))</f>
        <v/>
      </c>
      <c r="P7424" s="8" t="n"/>
      <c r="Q7424" s="8" t="n"/>
      <c r="R7424" s="8" t="n"/>
      <c r="S7424" s="8" t="n"/>
      <c r="T7424" s="8" t="n"/>
      <c r="U7424" s="8" t="n"/>
      <c r="V7424" s="8" t="n"/>
      <c r="W7424" s="8" t="n"/>
      <c r="X7424" s="8" t="n"/>
      <c r="Y7424" s="8" t="n"/>
    </row>
    <row r="7425">
      <c r="A7425" s="8" t="n"/>
      <c r="B7425" s="8" t="n"/>
      <c r="C7425" s="8" t="n"/>
      <c r="D7425" s="8" t="n"/>
      <c r="E7425" s="8" t="n"/>
      <c r="F7425" s="8" t="n"/>
      <c r="G7425" s="8" t="n"/>
      <c r="H7425" s="8" t="n"/>
      <c r="I7425" s="8" t="n"/>
      <c r="J7425" s="8" t="n"/>
      <c r="K7425" s="8" t="n"/>
      <c r="L7425" s="8" t="n"/>
      <c r="M7425" s="9">
        <f>B7425+30</f>
        <v/>
      </c>
      <c r="N7425">
        <f>IF(L7425="", "", L7425-B7425)</f>
        <v/>
      </c>
      <c r="O7425">
        <f>IF(L7425="", "Pending", IF(N7425&lt;=30, "Met", "Breached"))</f>
        <v/>
      </c>
      <c r="P7425" s="8" t="n"/>
      <c r="Q7425" s="8" t="n"/>
      <c r="R7425" s="8" t="n"/>
      <c r="S7425" s="8" t="n"/>
      <c r="T7425" s="8" t="n"/>
      <c r="U7425" s="8" t="n"/>
      <c r="V7425" s="8" t="n"/>
      <c r="W7425" s="8" t="n"/>
      <c r="X7425" s="8" t="n"/>
      <c r="Y7425" s="8" t="n"/>
    </row>
    <row r="7426">
      <c r="A7426" s="8" t="n"/>
      <c r="B7426" s="8" t="n"/>
      <c r="C7426" s="8" t="n"/>
      <c r="D7426" s="8" t="n"/>
      <c r="E7426" s="8" t="n"/>
      <c r="F7426" s="8" t="n"/>
      <c r="G7426" s="8" t="n"/>
      <c r="H7426" s="8" t="n"/>
      <c r="I7426" s="8" t="n"/>
      <c r="J7426" s="8" t="n"/>
      <c r="K7426" s="8" t="n"/>
      <c r="L7426" s="8" t="n"/>
      <c r="M7426" s="9">
        <f>B7426+30</f>
        <v/>
      </c>
      <c r="N7426">
        <f>IF(L7426="", "", L7426-B7426)</f>
        <v/>
      </c>
      <c r="O7426">
        <f>IF(L7426="", "Pending", IF(N7426&lt;=30, "Met", "Breached"))</f>
        <v/>
      </c>
      <c r="P7426" s="8" t="n"/>
      <c r="Q7426" s="8" t="n"/>
      <c r="R7426" s="8" t="n"/>
      <c r="S7426" s="8" t="n"/>
      <c r="T7426" s="8" t="n"/>
      <c r="U7426" s="8" t="n"/>
      <c r="V7426" s="8" t="n"/>
      <c r="W7426" s="8" t="n"/>
      <c r="X7426" s="8" t="n"/>
      <c r="Y7426" s="8" t="n"/>
    </row>
    <row r="7427">
      <c r="A7427" s="8" t="n"/>
      <c r="B7427" s="8" t="n"/>
      <c r="C7427" s="8" t="n"/>
      <c r="D7427" s="8" t="n"/>
      <c r="E7427" s="8" t="n"/>
      <c r="F7427" s="8" t="n"/>
      <c r="G7427" s="8" t="n"/>
      <c r="H7427" s="8" t="n"/>
      <c r="I7427" s="8" t="n"/>
      <c r="J7427" s="8" t="n"/>
      <c r="K7427" s="8" t="n"/>
      <c r="L7427" s="8" t="n"/>
      <c r="M7427" s="9">
        <f>B7427+30</f>
        <v/>
      </c>
      <c r="N7427">
        <f>IF(L7427="", "", L7427-B7427)</f>
        <v/>
      </c>
      <c r="O7427">
        <f>IF(L7427="", "Pending", IF(N7427&lt;=30, "Met", "Breached"))</f>
        <v/>
      </c>
      <c r="P7427" s="8" t="n"/>
      <c r="Q7427" s="8" t="n"/>
      <c r="R7427" s="8" t="n"/>
      <c r="S7427" s="8" t="n"/>
      <c r="T7427" s="8" t="n"/>
      <c r="U7427" s="8" t="n"/>
      <c r="V7427" s="8" t="n"/>
      <c r="W7427" s="8" t="n"/>
      <c r="X7427" s="8" t="n"/>
      <c r="Y7427" s="8" t="n"/>
    </row>
    <row r="7428">
      <c r="A7428" s="8" t="n"/>
      <c r="B7428" s="8" t="n"/>
      <c r="C7428" s="8" t="n"/>
      <c r="D7428" s="8" t="n"/>
      <c r="E7428" s="8" t="n"/>
      <c r="F7428" s="8" t="n"/>
      <c r="G7428" s="8" t="n"/>
      <c r="H7428" s="8" t="n"/>
      <c r="I7428" s="8" t="n"/>
      <c r="J7428" s="8" t="n"/>
      <c r="K7428" s="8" t="n"/>
      <c r="L7428" s="8" t="n"/>
      <c r="M7428" s="9">
        <f>B7428+30</f>
        <v/>
      </c>
      <c r="N7428">
        <f>IF(L7428="", "", L7428-B7428)</f>
        <v/>
      </c>
      <c r="O7428">
        <f>IF(L7428="", "Pending", IF(N7428&lt;=30, "Met", "Breached"))</f>
        <v/>
      </c>
      <c r="P7428" s="8" t="n"/>
      <c r="Q7428" s="8" t="n"/>
      <c r="R7428" s="8" t="n"/>
      <c r="S7428" s="8" t="n"/>
      <c r="T7428" s="8" t="n"/>
      <c r="U7428" s="8" t="n"/>
      <c r="V7428" s="8" t="n"/>
      <c r="W7428" s="8" t="n"/>
      <c r="X7428" s="8" t="n"/>
      <c r="Y7428" s="8" t="n"/>
    </row>
    <row r="7429">
      <c r="A7429" s="8" t="n"/>
      <c r="B7429" s="8" t="n"/>
      <c r="C7429" s="8" t="n"/>
      <c r="D7429" s="8" t="n"/>
      <c r="E7429" s="8" t="n"/>
      <c r="F7429" s="8" t="n"/>
      <c r="G7429" s="8" t="n"/>
      <c r="H7429" s="8" t="n"/>
      <c r="I7429" s="8" t="n"/>
      <c r="J7429" s="8" t="n"/>
      <c r="K7429" s="8" t="n"/>
      <c r="L7429" s="8" t="n"/>
      <c r="M7429" s="9">
        <f>B7429+30</f>
        <v/>
      </c>
      <c r="N7429">
        <f>IF(L7429="", "", L7429-B7429)</f>
        <v/>
      </c>
      <c r="O7429">
        <f>IF(L7429="", "Pending", IF(N7429&lt;=30, "Met", "Breached"))</f>
        <v/>
      </c>
      <c r="P7429" s="8" t="n"/>
      <c r="Q7429" s="8" t="n"/>
      <c r="R7429" s="8" t="n"/>
      <c r="S7429" s="8" t="n"/>
      <c r="T7429" s="8" t="n"/>
      <c r="U7429" s="8" t="n"/>
      <c r="V7429" s="8" t="n"/>
      <c r="W7429" s="8" t="n"/>
      <c r="X7429" s="8" t="n"/>
      <c r="Y7429" s="8" t="n"/>
    </row>
    <row r="7430">
      <c r="A7430" s="8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8" t="n"/>
      <c r="K7430" s="8" t="n"/>
      <c r="L7430" s="8" t="n"/>
      <c r="M7430" s="9">
        <f>B7430+30</f>
        <v/>
      </c>
      <c r="N7430">
        <f>IF(L7430="", "", L7430-B7430)</f>
        <v/>
      </c>
      <c r="O7430">
        <f>IF(L7430="", "Pending", IF(N7430&lt;=30, "Met", "Breached"))</f>
        <v/>
      </c>
      <c r="P7430" s="8" t="n"/>
      <c r="Q7430" s="8" t="n"/>
      <c r="R7430" s="8" t="n"/>
      <c r="S7430" s="8" t="n"/>
      <c r="T7430" s="8" t="n"/>
      <c r="U7430" s="8" t="n"/>
      <c r="V7430" s="8" t="n"/>
      <c r="W7430" s="8" t="n"/>
      <c r="X7430" s="8" t="n"/>
      <c r="Y7430" s="8" t="n"/>
    </row>
    <row r="7431">
      <c r="A7431" s="8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8" t="n"/>
      <c r="K7431" s="8" t="n"/>
      <c r="L7431" s="8" t="n"/>
      <c r="M7431" s="9">
        <f>B7431+30</f>
        <v/>
      </c>
      <c r="N7431">
        <f>IF(L7431="", "", L7431-B7431)</f>
        <v/>
      </c>
      <c r="O7431">
        <f>IF(L7431="", "Pending", IF(N7431&lt;=30, "Met", "Breached"))</f>
        <v/>
      </c>
      <c r="P7431" s="8" t="n"/>
      <c r="Q7431" s="8" t="n"/>
      <c r="R7431" s="8" t="n"/>
      <c r="S7431" s="8" t="n"/>
      <c r="T7431" s="8" t="n"/>
      <c r="U7431" s="8" t="n"/>
      <c r="V7431" s="8" t="n"/>
      <c r="W7431" s="8" t="n"/>
      <c r="X7431" s="8" t="n"/>
      <c r="Y7431" s="8" t="n"/>
    </row>
    <row r="7432">
      <c r="A7432" s="8" t="n"/>
      <c r="B7432" s="8" t="n"/>
      <c r="C7432" s="8" t="n"/>
      <c r="D7432" s="8" t="n"/>
      <c r="E7432" s="8" t="n"/>
      <c r="F7432" s="8" t="n"/>
      <c r="G7432" s="8" t="n"/>
      <c r="H7432" s="8" t="n"/>
      <c r="I7432" s="8" t="n"/>
      <c r="J7432" s="8" t="n"/>
      <c r="K7432" s="8" t="n"/>
      <c r="L7432" s="8" t="n"/>
      <c r="M7432" s="9">
        <f>B7432+30</f>
        <v/>
      </c>
      <c r="N7432">
        <f>IF(L7432="", "", L7432-B7432)</f>
        <v/>
      </c>
      <c r="O7432">
        <f>IF(L7432="", "Pending", IF(N7432&lt;=30, "Met", "Breached"))</f>
        <v/>
      </c>
      <c r="P7432" s="8" t="n"/>
      <c r="Q7432" s="8" t="n"/>
      <c r="R7432" s="8" t="n"/>
      <c r="S7432" s="8" t="n"/>
      <c r="T7432" s="8" t="n"/>
      <c r="U7432" s="8" t="n"/>
      <c r="V7432" s="8" t="n"/>
      <c r="W7432" s="8" t="n"/>
      <c r="X7432" s="8" t="n"/>
      <c r="Y7432" s="8" t="n"/>
    </row>
    <row r="7433">
      <c r="A7433" s="8" t="n"/>
      <c r="B7433" s="8" t="n"/>
      <c r="C7433" s="8" t="n"/>
      <c r="D7433" s="8" t="n"/>
      <c r="E7433" s="8" t="n"/>
      <c r="F7433" s="8" t="n"/>
      <c r="G7433" s="8" t="n"/>
      <c r="H7433" s="8" t="n"/>
      <c r="I7433" s="8" t="n"/>
      <c r="J7433" s="8" t="n"/>
      <c r="K7433" s="8" t="n"/>
      <c r="L7433" s="8" t="n"/>
      <c r="M7433" s="9">
        <f>B7433+30</f>
        <v/>
      </c>
      <c r="N7433">
        <f>IF(L7433="", "", L7433-B7433)</f>
        <v/>
      </c>
      <c r="O7433">
        <f>IF(L7433="", "Pending", IF(N7433&lt;=30, "Met", "Breached"))</f>
        <v/>
      </c>
      <c r="P7433" s="8" t="n"/>
      <c r="Q7433" s="8" t="n"/>
      <c r="R7433" s="8" t="n"/>
      <c r="S7433" s="8" t="n"/>
      <c r="T7433" s="8" t="n"/>
      <c r="U7433" s="8" t="n"/>
      <c r="V7433" s="8" t="n"/>
      <c r="W7433" s="8" t="n"/>
      <c r="X7433" s="8" t="n"/>
      <c r="Y7433" s="8" t="n"/>
    </row>
    <row r="7434">
      <c r="A7434" s="8" t="n"/>
      <c r="B7434" s="8" t="n"/>
      <c r="C7434" s="8" t="n"/>
      <c r="D7434" s="8" t="n"/>
      <c r="E7434" s="8" t="n"/>
      <c r="F7434" s="8" t="n"/>
      <c r="G7434" s="8" t="n"/>
      <c r="H7434" s="8" t="n"/>
      <c r="I7434" s="8" t="n"/>
      <c r="J7434" s="8" t="n"/>
      <c r="K7434" s="8" t="n"/>
      <c r="L7434" s="8" t="n"/>
      <c r="M7434" s="9">
        <f>B7434+30</f>
        <v/>
      </c>
      <c r="N7434">
        <f>IF(L7434="", "", L7434-B7434)</f>
        <v/>
      </c>
      <c r="O7434">
        <f>IF(L7434="", "Pending", IF(N7434&lt;=30, "Met", "Breached"))</f>
        <v/>
      </c>
      <c r="P7434" s="8" t="n"/>
      <c r="Q7434" s="8" t="n"/>
      <c r="R7434" s="8" t="n"/>
      <c r="S7434" s="8" t="n"/>
      <c r="T7434" s="8" t="n"/>
      <c r="U7434" s="8" t="n"/>
      <c r="V7434" s="8" t="n"/>
      <c r="W7434" s="8" t="n"/>
      <c r="X7434" s="8" t="n"/>
      <c r="Y7434" s="8" t="n"/>
    </row>
    <row r="7435">
      <c r="A7435" s="8" t="n"/>
      <c r="B7435" s="8" t="n"/>
      <c r="C7435" s="8" t="n"/>
      <c r="D7435" s="8" t="n"/>
      <c r="E7435" s="8" t="n"/>
      <c r="F7435" s="8" t="n"/>
      <c r="G7435" s="8" t="n"/>
      <c r="H7435" s="8" t="n"/>
      <c r="I7435" s="8" t="n"/>
      <c r="J7435" s="8" t="n"/>
      <c r="K7435" s="8" t="n"/>
      <c r="L7435" s="8" t="n"/>
      <c r="M7435" s="9">
        <f>B7435+30</f>
        <v/>
      </c>
      <c r="N7435">
        <f>IF(L7435="", "", L7435-B7435)</f>
        <v/>
      </c>
      <c r="O7435">
        <f>IF(L7435="", "Pending", IF(N7435&lt;=30, "Met", "Breached"))</f>
        <v/>
      </c>
      <c r="P7435" s="8" t="n"/>
      <c r="Q7435" s="8" t="n"/>
      <c r="R7435" s="8" t="n"/>
      <c r="S7435" s="8" t="n"/>
      <c r="T7435" s="8" t="n"/>
      <c r="U7435" s="8" t="n"/>
      <c r="V7435" s="8" t="n"/>
      <c r="W7435" s="8" t="n"/>
      <c r="X7435" s="8" t="n"/>
      <c r="Y7435" s="8" t="n"/>
    </row>
    <row r="7436">
      <c r="A7436" s="8" t="n"/>
      <c r="B7436" s="8" t="n"/>
      <c r="C7436" s="8" t="n"/>
      <c r="D7436" s="8" t="n"/>
      <c r="E7436" s="8" t="n"/>
      <c r="F7436" s="8" t="n"/>
      <c r="G7436" s="8" t="n"/>
      <c r="H7436" s="8" t="n"/>
      <c r="I7436" s="8" t="n"/>
      <c r="J7436" s="8" t="n"/>
      <c r="K7436" s="8" t="n"/>
      <c r="L7436" s="8" t="n"/>
      <c r="M7436" s="9">
        <f>B7436+30</f>
        <v/>
      </c>
      <c r="N7436">
        <f>IF(L7436="", "", L7436-B7436)</f>
        <v/>
      </c>
      <c r="O7436">
        <f>IF(L7436="", "Pending", IF(N7436&lt;=30, "Met", "Breached"))</f>
        <v/>
      </c>
      <c r="P7436" s="8" t="n"/>
      <c r="Q7436" s="8" t="n"/>
      <c r="R7436" s="8" t="n"/>
      <c r="S7436" s="8" t="n"/>
      <c r="T7436" s="8" t="n"/>
      <c r="U7436" s="8" t="n"/>
      <c r="V7436" s="8" t="n"/>
      <c r="W7436" s="8" t="n"/>
      <c r="X7436" s="8" t="n"/>
      <c r="Y7436" s="8" t="n"/>
    </row>
    <row r="7437">
      <c r="A7437" s="8" t="n"/>
      <c r="B7437" s="8" t="n"/>
      <c r="C7437" s="8" t="n"/>
      <c r="D7437" s="8" t="n"/>
      <c r="E7437" s="8" t="n"/>
      <c r="F7437" s="8" t="n"/>
      <c r="G7437" s="8" t="n"/>
      <c r="H7437" s="8" t="n"/>
      <c r="I7437" s="8" t="n"/>
      <c r="J7437" s="8" t="n"/>
      <c r="K7437" s="8" t="n"/>
      <c r="L7437" s="8" t="n"/>
      <c r="M7437" s="9">
        <f>B7437+30</f>
        <v/>
      </c>
      <c r="N7437">
        <f>IF(L7437="", "", L7437-B7437)</f>
        <v/>
      </c>
      <c r="O7437">
        <f>IF(L7437="", "Pending", IF(N7437&lt;=30, "Met", "Breached"))</f>
        <v/>
      </c>
      <c r="P7437" s="8" t="n"/>
      <c r="Q7437" s="8" t="n"/>
      <c r="R7437" s="8" t="n"/>
      <c r="S7437" s="8" t="n"/>
      <c r="T7437" s="8" t="n"/>
      <c r="U7437" s="8" t="n"/>
      <c r="V7437" s="8" t="n"/>
      <c r="W7437" s="8" t="n"/>
      <c r="X7437" s="8" t="n"/>
      <c r="Y7437" s="8" t="n"/>
    </row>
    <row r="7438">
      <c r="A7438" s="8" t="n"/>
      <c r="B7438" s="8" t="n"/>
      <c r="C7438" s="8" t="n"/>
      <c r="D7438" s="8" t="n"/>
      <c r="E7438" s="8" t="n"/>
      <c r="F7438" s="8" t="n"/>
      <c r="G7438" s="8" t="n"/>
      <c r="H7438" s="8" t="n"/>
      <c r="I7438" s="8" t="n"/>
      <c r="J7438" s="8" t="n"/>
      <c r="K7438" s="8" t="n"/>
      <c r="L7438" s="8" t="n"/>
      <c r="M7438" s="9">
        <f>B7438+30</f>
        <v/>
      </c>
      <c r="N7438">
        <f>IF(L7438="", "", L7438-B7438)</f>
        <v/>
      </c>
      <c r="O7438">
        <f>IF(L7438="", "Pending", IF(N7438&lt;=30, "Met", "Breached"))</f>
        <v/>
      </c>
      <c r="P7438" s="8" t="n"/>
      <c r="Q7438" s="8" t="n"/>
      <c r="R7438" s="8" t="n"/>
      <c r="S7438" s="8" t="n"/>
      <c r="T7438" s="8" t="n"/>
      <c r="U7438" s="8" t="n"/>
      <c r="V7438" s="8" t="n"/>
      <c r="W7438" s="8" t="n"/>
      <c r="X7438" s="8" t="n"/>
      <c r="Y7438" s="8" t="n"/>
    </row>
    <row r="7439">
      <c r="A7439" s="8" t="n"/>
      <c r="B7439" s="8" t="n"/>
      <c r="C7439" s="8" t="n"/>
      <c r="D7439" s="8" t="n"/>
      <c r="E7439" s="8" t="n"/>
      <c r="F7439" s="8" t="n"/>
      <c r="G7439" s="8" t="n"/>
      <c r="H7439" s="8" t="n"/>
      <c r="I7439" s="8" t="n"/>
      <c r="J7439" s="8" t="n"/>
      <c r="K7439" s="8" t="n"/>
      <c r="L7439" s="8" t="n"/>
      <c r="M7439" s="9">
        <f>B7439+30</f>
        <v/>
      </c>
      <c r="N7439">
        <f>IF(L7439="", "", L7439-B7439)</f>
        <v/>
      </c>
      <c r="O7439">
        <f>IF(L7439="", "Pending", IF(N7439&lt;=30, "Met", "Breached"))</f>
        <v/>
      </c>
      <c r="P7439" s="8" t="n"/>
      <c r="Q7439" s="8" t="n"/>
      <c r="R7439" s="8" t="n"/>
      <c r="S7439" s="8" t="n"/>
      <c r="T7439" s="8" t="n"/>
      <c r="U7439" s="8" t="n"/>
      <c r="V7439" s="8" t="n"/>
      <c r="W7439" s="8" t="n"/>
      <c r="X7439" s="8" t="n"/>
      <c r="Y7439" s="8" t="n"/>
    </row>
    <row r="7440">
      <c r="A7440" s="8" t="n"/>
      <c r="B7440" s="8" t="n"/>
      <c r="C7440" s="8" t="n"/>
      <c r="D7440" s="8" t="n"/>
      <c r="E7440" s="8" t="n"/>
      <c r="F7440" s="8" t="n"/>
      <c r="G7440" s="8" t="n"/>
      <c r="H7440" s="8" t="n"/>
      <c r="I7440" s="8" t="n"/>
      <c r="J7440" s="8" t="n"/>
      <c r="K7440" s="8" t="n"/>
      <c r="L7440" s="8" t="n"/>
      <c r="M7440" s="9">
        <f>B7440+30</f>
        <v/>
      </c>
      <c r="N7440">
        <f>IF(L7440="", "", L7440-B7440)</f>
        <v/>
      </c>
      <c r="O7440">
        <f>IF(L7440="", "Pending", IF(N7440&lt;=30, "Met", "Breached"))</f>
        <v/>
      </c>
      <c r="P7440" s="8" t="n"/>
      <c r="Q7440" s="8" t="n"/>
      <c r="R7440" s="8" t="n"/>
      <c r="S7440" s="8" t="n"/>
      <c r="T7440" s="8" t="n"/>
      <c r="U7440" s="8" t="n"/>
      <c r="V7440" s="8" t="n"/>
      <c r="W7440" s="8" t="n"/>
      <c r="X7440" s="8" t="n"/>
      <c r="Y7440" s="8" t="n"/>
    </row>
    <row r="7441">
      <c r="A7441" s="8" t="n"/>
      <c r="B7441" s="8" t="n"/>
      <c r="C7441" s="8" t="n"/>
      <c r="D7441" s="8" t="n"/>
      <c r="E7441" s="8" t="n"/>
      <c r="F7441" s="8" t="n"/>
      <c r="G7441" s="8" t="n"/>
      <c r="H7441" s="8" t="n"/>
      <c r="I7441" s="8" t="n"/>
      <c r="J7441" s="8" t="n"/>
      <c r="K7441" s="8" t="n"/>
      <c r="L7441" s="8" t="n"/>
      <c r="M7441" s="9">
        <f>B7441+30</f>
        <v/>
      </c>
      <c r="N7441">
        <f>IF(L7441="", "", L7441-B7441)</f>
        <v/>
      </c>
      <c r="O7441">
        <f>IF(L7441="", "Pending", IF(N7441&lt;=30, "Met", "Breached"))</f>
        <v/>
      </c>
      <c r="P7441" s="8" t="n"/>
      <c r="Q7441" s="8" t="n"/>
      <c r="R7441" s="8" t="n"/>
      <c r="S7441" s="8" t="n"/>
      <c r="T7441" s="8" t="n"/>
      <c r="U7441" s="8" t="n"/>
      <c r="V7441" s="8" t="n"/>
      <c r="W7441" s="8" t="n"/>
      <c r="X7441" s="8" t="n"/>
      <c r="Y7441" s="8" t="n"/>
    </row>
    <row r="7442">
      <c r="A7442" s="8" t="n"/>
      <c r="B7442" s="8" t="n"/>
      <c r="C7442" s="8" t="n"/>
      <c r="D7442" s="8" t="n"/>
      <c r="E7442" s="8" t="n"/>
      <c r="F7442" s="8" t="n"/>
      <c r="G7442" s="8" t="n"/>
      <c r="H7442" s="8" t="n"/>
      <c r="I7442" s="8" t="n"/>
      <c r="J7442" s="8" t="n"/>
      <c r="K7442" s="8" t="n"/>
      <c r="L7442" s="8" t="n"/>
      <c r="M7442" s="9">
        <f>B7442+30</f>
        <v/>
      </c>
      <c r="N7442">
        <f>IF(L7442="", "", L7442-B7442)</f>
        <v/>
      </c>
      <c r="O7442">
        <f>IF(L7442="", "Pending", IF(N7442&lt;=30, "Met", "Breached"))</f>
        <v/>
      </c>
      <c r="P7442" s="8" t="n"/>
      <c r="Q7442" s="8" t="n"/>
      <c r="R7442" s="8" t="n"/>
      <c r="S7442" s="8" t="n"/>
      <c r="T7442" s="8" t="n"/>
      <c r="U7442" s="8" t="n"/>
      <c r="V7442" s="8" t="n"/>
      <c r="W7442" s="8" t="n"/>
      <c r="X7442" s="8" t="n"/>
      <c r="Y7442" s="8" t="n"/>
    </row>
    <row r="7443">
      <c r="A7443" s="8" t="n"/>
      <c r="B7443" s="8" t="n"/>
      <c r="C7443" s="8" t="n"/>
      <c r="D7443" s="8" t="n"/>
      <c r="E7443" s="8" t="n"/>
      <c r="F7443" s="8" t="n"/>
      <c r="G7443" s="8" t="n"/>
      <c r="H7443" s="8" t="n"/>
      <c r="I7443" s="8" t="n"/>
      <c r="J7443" s="8" t="n"/>
      <c r="K7443" s="8" t="n"/>
      <c r="L7443" s="8" t="n"/>
      <c r="M7443" s="9">
        <f>B7443+30</f>
        <v/>
      </c>
      <c r="N7443">
        <f>IF(L7443="", "", L7443-B7443)</f>
        <v/>
      </c>
      <c r="O7443">
        <f>IF(L7443="", "Pending", IF(N7443&lt;=30, "Met", "Breached"))</f>
        <v/>
      </c>
      <c r="P7443" s="8" t="n"/>
      <c r="Q7443" s="8" t="n"/>
      <c r="R7443" s="8" t="n"/>
      <c r="S7443" s="8" t="n"/>
      <c r="T7443" s="8" t="n"/>
      <c r="U7443" s="8" t="n"/>
      <c r="V7443" s="8" t="n"/>
      <c r="W7443" s="8" t="n"/>
      <c r="X7443" s="8" t="n"/>
      <c r="Y7443" s="8" t="n"/>
    </row>
    <row r="7444">
      <c r="A7444" s="8" t="n"/>
      <c r="B7444" s="8" t="n"/>
      <c r="C7444" s="8" t="n"/>
      <c r="D7444" s="8" t="n"/>
      <c r="E7444" s="8" t="n"/>
      <c r="F7444" s="8" t="n"/>
      <c r="G7444" s="8" t="n"/>
      <c r="H7444" s="8" t="n"/>
      <c r="I7444" s="8" t="n"/>
      <c r="J7444" s="8" t="n"/>
      <c r="K7444" s="8" t="n"/>
      <c r="L7444" s="8" t="n"/>
      <c r="M7444" s="9">
        <f>B7444+30</f>
        <v/>
      </c>
      <c r="N7444">
        <f>IF(L7444="", "", L7444-B7444)</f>
        <v/>
      </c>
      <c r="O7444">
        <f>IF(L7444="", "Pending", IF(N7444&lt;=30, "Met", "Breached"))</f>
        <v/>
      </c>
      <c r="P7444" s="8" t="n"/>
      <c r="Q7444" s="8" t="n"/>
      <c r="R7444" s="8" t="n"/>
      <c r="S7444" s="8" t="n"/>
      <c r="T7444" s="8" t="n"/>
      <c r="U7444" s="8" t="n"/>
      <c r="V7444" s="8" t="n"/>
      <c r="W7444" s="8" t="n"/>
      <c r="X7444" s="8" t="n"/>
      <c r="Y7444" s="8" t="n"/>
    </row>
    <row r="7445">
      <c r="A7445" s="8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8" t="n"/>
      <c r="K7445" s="8" t="n"/>
      <c r="L7445" s="8" t="n"/>
      <c r="M7445" s="9">
        <f>B7445+30</f>
        <v/>
      </c>
      <c r="N7445">
        <f>IF(L7445="", "", L7445-B7445)</f>
        <v/>
      </c>
      <c r="O7445">
        <f>IF(L7445="", "Pending", IF(N7445&lt;=30, "Met", "Breached"))</f>
        <v/>
      </c>
      <c r="P7445" s="8" t="n"/>
      <c r="Q7445" s="8" t="n"/>
      <c r="R7445" s="8" t="n"/>
      <c r="S7445" s="8" t="n"/>
      <c r="T7445" s="8" t="n"/>
      <c r="U7445" s="8" t="n"/>
      <c r="V7445" s="8" t="n"/>
      <c r="W7445" s="8" t="n"/>
      <c r="X7445" s="8" t="n"/>
      <c r="Y7445" s="8" t="n"/>
    </row>
    <row r="7446">
      <c r="A7446" s="8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8" t="n"/>
      <c r="K7446" s="8" t="n"/>
      <c r="L7446" s="8" t="n"/>
      <c r="M7446" s="9">
        <f>B7446+30</f>
        <v/>
      </c>
      <c r="N7446">
        <f>IF(L7446="", "", L7446-B7446)</f>
        <v/>
      </c>
      <c r="O7446">
        <f>IF(L7446="", "Pending", IF(N7446&lt;=30, "Met", "Breached"))</f>
        <v/>
      </c>
      <c r="P7446" s="8" t="n"/>
      <c r="Q7446" s="8" t="n"/>
      <c r="R7446" s="8" t="n"/>
      <c r="S7446" s="8" t="n"/>
      <c r="T7446" s="8" t="n"/>
      <c r="U7446" s="8" t="n"/>
      <c r="V7446" s="8" t="n"/>
      <c r="W7446" s="8" t="n"/>
      <c r="X7446" s="8" t="n"/>
      <c r="Y7446" s="8" t="n"/>
    </row>
    <row r="7447">
      <c r="A7447" s="8" t="n"/>
      <c r="B7447" s="8" t="n"/>
      <c r="C7447" s="8" t="n"/>
      <c r="D7447" s="8" t="n"/>
      <c r="E7447" s="8" t="n"/>
      <c r="F7447" s="8" t="n"/>
      <c r="G7447" s="8" t="n"/>
      <c r="H7447" s="8" t="n"/>
      <c r="I7447" s="8" t="n"/>
      <c r="J7447" s="8" t="n"/>
      <c r="K7447" s="8" t="n"/>
      <c r="L7447" s="8" t="n"/>
      <c r="M7447" s="9">
        <f>B7447+30</f>
        <v/>
      </c>
      <c r="N7447">
        <f>IF(L7447="", "", L7447-B7447)</f>
        <v/>
      </c>
      <c r="O7447">
        <f>IF(L7447="", "Pending", IF(N7447&lt;=30, "Met", "Breached"))</f>
        <v/>
      </c>
      <c r="P7447" s="8" t="n"/>
      <c r="Q7447" s="8" t="n"/>
      <c r="R7447" s="8" t="n"/>
      <c r="S7447" s="8" t="n"/>
      <c r="T7447" s="8" t="n"/>
      <c r="U7447" s="8" t="n"/>
      <c r="V7447" s="8" t="n"/>
      <c r="W7447" s="8" t="n"/>
      <c r="X7447" s="8" t="n"/>
      <c r="Y7447" s="8" t="n"/>
    </row>
    <row r="7448">
      <c r="A7448" s="8" t="n"/>
      <c r="B7448" s="8" t="n"/>
      <c r="C7448" s="8" t="n"/>
      <c r="D7448" s="8" t="n"/>
      <c r="E7448" s="8" t="n"/>
      <c r="F7448" s="8" t="n"/>
      <c r="G7448" s="8" t="n"/>
      <c r="H7448" s="8" t="n"/>
      <c r="I7448" s="8" t="n"/>
      <c r="J7448" s="8" t="n"/>
      <c r="K7448" s="8" t="n"/>
      <c r="L7448" s="8" t="n"/>
      <c r="M7448" s="9">
        <f>B7448+30</f>
        <v/>
      </c>
      <c r="N7448">
        <f>IF(L7448="", "", L7448-B7448)</f>
        <v/>
      </c>
      <c r="O7448">
        <f>IF(L7448="", "Pending", IF(N7448&lt;=30, "Met", "Breached"))</f>
        <v/>
      </c>
      <c r="P7448" s="8" t="n"/>
      <c r="Q7448" s="8" t="n"/>
      <c r="R7448" s="8" t="n"/>
      <c r="S7448" s="8" t="n"/>
      <c r="T7448" s="8" t="n"/>
      <c r="U7448" s="8" t="n"/>
      <c r="V7448" s="8" t="n"/>
      <c r="W7448" s="8" t="n"/>
      <c r="X7448" s="8" t="n"/>
      <c r="Y7448" s="8" t="n"/>
    </row>
    <row r="7449">
      <c r="A7449" s="8" t="n"/>
      <c r="B7449" s="8" t="n"/>
      <c r="C7449" s="8" t="n"/>
      <c r="D7449" s="8" t="n"/>
      <c r="E7449" s="8" t="n"/>
      <c r="F7449" s="8" t="n"/>
      <c r="G7449" s="8" t="n"/>
      <c r="H7449" s="8" t="n"/>
      <c r="I7449" s="8" t="n"/>
      <c r="J7449" s="8" t="n"/>
      <c r="K7449" s="8" t="n"/>
      <c r="L7449" s="8" t="n"/>
      <c r="M7449" s="9">
        <f>B7449+30</f>
        <v/>
      </c>
      <c r="N7449">
        <f>IF(L7449="", "", L7449-B7449)</f>
        <v/>
      </c>
      <c r="O7449">
        <f>IF(L7449="", "Pending", IF(N7449&lt;=30, "Met", "Breached"))</f>
        <v/>
      </c>
      <c r="P7449" s="8" t="n"/>
      <c r="Q7449" s="8" t="n"/>
      <c r="R7449" s="8" t="n"/>
      <c r="S7449" s="8" t="n"/>
      <c r="T7449" s="8" t="n"/>
      <c r="U7449" s="8" t="n"/>
      <c r="V7449" s="8" t="n"/>
      <c r="W7449" s="8" t="n"/>
      <c r="X7449" s="8" t="n"/>
      <c r="Y7449" s="8" t="n"/>
    </row>
    <row r="7450">
      <c r="A7450" s="8" t="n"/>
      <c r="B7450" s="8" t="n"/>
      <c r="C7450" s="8" t="n"/>
      <c r="D7450" s="8" t="n"/>
      <c r="E7450" s="8" t="n"/>
      <c r="F7450" s="8" t="n"/>
      <c r="G7450" s="8" t="n"/>
      <c r="H7450" s="8" t="n"/>
      <c r="I7450" s="8" t="n"/>
      <c r="J7450" s="8" t="n"/>
      <c r="K7450" s="8" t="n"/>
      <c r="L7450" s="8" t="n"/>
      <c r="M7450" s="9">
        <f>B7450+30</f>
        <v/>
      </c>
      <c r="N7450">
        <f>IF(L7450="", "", L7450-B7450)</f>
        <v/>
      </c>
      <c r="O7450">
        <f>IF(L7450="", "Pending", IF(N7450&lt;=30, "Met", "Breached"))</f>
        <v/>
      </c>
      <c r="P7450" s="8" t="n"/>
      <c r="Q7450" s="8" t="n"/>
      <c r="R7450" s="8" t="n"/>
      <c r="S7450" s="8" t="n"/>
      <c r="T7450" s="8" t="n"/>
      <c r="U7450" s="8" t="n"/>
      <c r="V7450" s="8" t="n"/>
      <c r="W7450" s="8" t="n"/>
      <c r="X7450" s="8" t="n"/>
      <c r="Y7450" s="8" t="n"/>
    </row>
    <row r="7451">
      <c r="A7451" s="8" t="n"/>
      <c r="B7451" s="8" t="n"/>
      <c r="C7451" s="8" t="n"/>
      <c r="D7451" s="8" t="n"/>
      <c r="E7451" s="8" t="n"/>
      <c r="F7451" s="8" t="n"/>
      <c r="G7451" s="8" t="n"/>
      <c r="H7451" s="8" t="n"/>
      <c r="I7451" s="8" t="n"/>
      <c r="J7451" s="8" t="n"/>
      <c r="K7451" s="8" t="n"/>
      <c r="L7451" s="8" t="n"/>
      <c r="M7451" s="9">
        <f>B7451+30</f>
        <v/>
      </c>
      <c r="N7451">
        <f>IF(L7451="", "", L7451-B7451)</f>
        <v/>
      </c>
      <c r="O7451">
        <f>IF(L7451="", "Pending", IF(N7451&lt;=30, "Met", "Breached"))</f>
        <v/>
      </c>
      <c r="P7451" s="8" t="n"/>
      <c r="Q7451" s="8" t="n"/>
      <c r="R7451" s="8" t="n"/>
      <c r="S7451" s="8" t="n"/>
      <c r="T7451" s="8" t="n"/>
      <c r="U7451" s="8" t="n"/>
      <c r="V7451" s="8" t="n"/>
      <c r="W7451" s="8" t="n"/>
      <c r="X7451" s="8" t="n"/>
      <c r="Y7451" s="8" t="n"/>
    </row>
    <row r="7452">
      <c r="A7452" s="8" t="n"/>
      <c r="B7452" s="8" t="n"/>
      <c r="C7452" s="8" t="n"/>
      <c r="D7452" s="8" t="n"/>
      <c r="E7452" s="8" t="n"/>
      <c r="F7452" s="8" t="n"/>
      <c r="G7452" s="8" t="n"/>
      <c r="H7452" s="8" t="n"/>
      <c r="I7452" s="8" t="n"/>
      <c r="J7452" s="8" t="n"/>
      <c r="K7452" s="8" t="n"/>
      <c r="L7452" s="8" t="n"/>
      <c r="M7452" s="9">
        <f>B7452+30</f>
        <v/>
      </c>
      <c r="N7452">
        <f>IF(L7452="", "", L7452-B7452)</f>
        <v/>
      </c>
      <c r="O7452">
        <f>IF(L7452="", "Pending", IF(N7452&lt;=30, "Met", "Breached"))</f>
        <v/>
      </c>
      <c r="P7452" s="8" t="n"/>
      <c r="Q7452" s="8" t="n"/>
      <c r="R7452" s="8" t="n"/>
      <c r="S7452" s="8" t="n"/>
      <c r="T7452" s="8" t="n"/>
      <c r="U7452" s="8" t="n"/>
      <c r="V7452" s="8" t="n"/>
      <c r="W7452" s="8" t="n"/>
      <c r="X7452" s="8" t="n"/>
      <c r="Y7452" s="8" t="n"/>
    </row>
    <row r="7453">
      <c r="A7453" s="8" t="n"/>
      <c r="B7453" s="8" t="n"/>
      <c r="C7453" s="8" t="n"/>
      <c r="D7453" s="8" t="n"/>
      <c r="E7453" s="8" t="n"/>
      <c r="F7453" s="8" t="n"/>
      <c r="G7453" s="8" t="n"/>
      <c r="H7453" s="8" t="n"/>
      <c r="I7453" s="8" t="n"/>
      <c r="J7453" s="8" t="n"/>
      <c r="K7453" s="8" t="n"/>
      <c r="L7453" s="8" t="n"/>
      <c r="M7453" s="9">
        <f>B7453+30</f>
        <v/>
      </c>
      <c r="N7453">
        <f>IF(L7453="", "", L7453-B7453)</f>
        <v/>
      </c>
      <c r="O7453">
        <f>IF(L7453="", "Pending", IF(N7453&lt;=30, "Met", "Breached"))</f>
        <v/>
      </c>
      <c r="P7453" s="8" t="n"/>
      <c r="Q7453" s="8" t="n"/>
      <c r="R7453" s="8" t="n"/>
      <c r="S7453" s="8" t="n"/>
      <c r="T7453" s="8" t="n"/>
      <c r="U7453" s="8" t="n"/>
      <c r="V7453" s="8" t="n"/>
      <c r="W7453" s="8" t="n"/>
      <c r="X7453" s="8" t="n"/>
      <c r="Y7453" s="8" t="n"/>
    </row>
    <row r="7454">
      <c r="A7454" s="8" t="n"/>
      <c r="B7454" s="8" t="n"/>
      <c r="C7454" s="8" t="n"/>
      <c r="D7454" s="8" t="n"/>
      <c r="E7454" s="8" t="n"/>
      <c r="F7454" s="8" t="n"/>
      <c r="G7454" s="8" t="n"/>
      <c r="H7454" s="8" t="n"/>
      <c r="I7454" s="8" t="n"/>
      <c r="J7454" s="8" t="n"/>
      <c r="K7454" s="8" t="n"/>
      <c r="L7454" s="8" t="n"/>
      <c r="M7454" s="9">
        <f>B7454+30</f>
        <v/>
      </c>
      <c r="N7454">
        <f>IF(L7454="", "", L7454-B7454)</f>
        <v/>
      </c>
      <c r="O7454">
        <f>IF(L7454="", "Pending", IF(N7454&lt;=30, "Met", "Breached"))</f>
        <v/>
      </c>
      <c r="P7454" s="8" t="n"/>
      <c r="Q7454" s="8" t="n"/>
      <c r="R7454" s="8" t="n"/>
      <c r="S7454" s="8" t="n"/>
      <c r="T7454" s="8" t="n"/>
      <c r="U7454" s="8" t="n"/>
      <c r="V7454" s="8" t="n"/>
      <c r="W7454" s="8" t="n"/>
      <c r="X7454" s="8" t="n"/>
      <c r="Y7454" s="8" t="n"/>
    </row>
    <row r="7455">
      <c r="A7455" s="8" t="n"/>
      <c r="B7455" s="8" t="n"/>
      <c r="C7455" s="8" t="n"/>
      <c r="D7455" s="8" t="n"/>
      <c r="E7455" s="8" t="n"/>
      <c r="F7455" s="8" t="n"/>
      <c r="G7455" s="8" t="n"/>
      <c r="H7455" s="8" t="n"/>
      <c r="I7455" s="8" t="n"/>
      <c r="J7455" s="8" t="n"/>
      <c r="K7455" s="8" t="n"/>
      <c r="L7455" s="8" t="n"/>
      <c r="M7455" s="9">
        <f>B7455+30</f>
        <v/>
      </c>
      <c r="N7455">
        <f>IF(L7455="", "", L7455-B7455)</f>
        <v/>
      </c>
      <c r="O7455">
        <f>IF(L7455="", "Pending", IF(N7455&lt;=30, "Met", "Breached"))</f>
        <v/>
      </c>
      <c r="P7455" s="8" t="n"/>
      <c r="Q7455" s="8" t="n"/>
      <c r="R7455" s="8" t="n"/>
      <c r="S7455" s="8" t="n"/>
      <c r="T7455" s="8" t="n"/>
      <c r="U7455" s="8" t="n"/>
      <c r="V7455" s="8" t="n"/>
      <c r="W7455" s="8" t="n"/>
      <c r="X7455" s="8" t="n"/>
      <c r="Y7455" s="8" t="n"/>
    </row>
    <row r="7456">
      <c r="A7456" s="8" t="n"/>
      <c r="B7456" s="8" t="n"/>
      <c r="C7456" s="8" t="n"/>
      <c r="D7456" s="8" t="n"/>
      <c r="E7456" s="8" t="n"/>
      <c r="F7456" s="8" t="n"/>
      <c r="G7456" s="8" t="n"/>
      <c r="H7456" s="8" t="n"/>
      <c r="I7456" s="8" t="n"/>
      <c r="J7456" s="8" t="n"/>
      <c r="K7456" s="8" t="n"/>
      <c r="L7456" s="8" t="n"/>
      <c r="M7456" s="9">
        <f>B7456+30</f>
        <v/>
      </c>
      <c r="N7456">
        <f>IF(L7456="", "", L7456-B7456)</f>
        <v/>
      </c>
      <c r="O7456">
        <f>IF(L7456="", "Pending", IF(N7456&lt;=30, "Met", "Breached"))</f>
        <v/>
      </c>
      <c r="P7456" s="8" t="n"/>
      <c r="Q7456" s="8" t="n"/>
      <c r="R7456" s="8" t="n"/>
      <c r="S7456" s="8" t="n"/>
      <c r="T7456" s="8" t="n"/>
      <c r="U7456" s="8" t="n"/>
      <c r="V7456" s="8" t="n"/>
      <c r="W7456" s="8" t="n"/>
      <c r="X7456" s="8" t="n"/>
      <c r="Y7456" s="8" t="n"/>
    </row>
    <row r="7457">
      <c r="A7457" s="8" t="n"/>
      <c r="B7457" s="8" t="n"/>
      <c r="C7457" s="8" t="n"/>
      <c r="D7457" s="8" t="n"/>
      <c r="E7457" s="8" t="n"/>
      <c r="F7457" s="8" t="n"/>
      <c r="G7457" s="8" t="n"/>
      <c r="H7457" s="8" t="n"/>
      <c r="I7457" s="8" t="n"/>
      <c r="J7457" s="8" t="n"/>
      <c r="K7457" s="8" t="n"/>
      <c r="L7457" s="8" t="n"/>
      <c r="M7457" s="9">
        <f>B7457+30</f>
        <v/>
      </c>
      <c r="N7457">
        <f>IF(L7457="", "", L7457-B7457)</f>
        <v/>
      </c>
      <c r="O7457">
        <f>IF(L7457="", "Pending", IF(N7457&lt;=30, "Met", "Breached"))</f>
        <v/>
      </c>
      <c r="P7457" s="8" t="n"/>
      <c r="Q7457" s="8" t="n"/>
      <c r="R7457" s="8" t="n"/>
      <c r="S7457" s="8" t="n"/>
      <c r="T7457" s="8" t="n"/>
      <c r="U7457" s="8" t="n"/>
      <c r="V7457" s="8" t="n"/>
      <c r="W7457" s="8" t="n"/>
      <c r="X7457" s="8" t="n"/>
      <c r="Y7457" s="8" t="n"/>
    </row>
    <row r="7458">
      <c r="A7458" s="8" t="n"/>
      <c r="B7458" s="8" t="n"/>
      <c r="C7458" s="8" t="n"/>
      <c r="D7458" s="8" t="n"/>
      <c r="E7458" s="8" t="n"/>
      <c r="F7458" s="8" t="n"/>
      <c r="G7458" s="8" t="n"/>
      <c r="H7458" s="8" t="n"/>
      <c r="I7458" s="8" t="n"/>
      <c r="J7458" s="8" t="n"/>
      <c r="K7458" s="8" t="n"/>
      <c r="L7458" s="8" t="n"/>
      <c r="M7458" s="9">
        <f>B7458+30</f>
        <v/>
      </c>
      <c r="N7458">
        <f>IF(L7458="", "", L7458-B7458)</f>
        <v/>
      </c>
      <c r="O7458">
        <f>IF(L7458="", "Pending", IF(N7458&lt;=30, "Met", "Breached"))</f>
        <v/>
      </c>
      <c r="P7458" s="8" t="n"/>
      <c r="Q7458" s="8" t="n"/>
      <c r="R7458" s="8" t="n"/>
      <c r="S7458" s="8" t="n"/>
      <c r="T7458" s="8" t="n"/>
      <c r="U7458" s="8" t="n"/>
      <c r="V7458" s="8" t="n"/>
      <c r="W7458" s="8" t="n"/>
      <c r="X7458" s="8" t="n"/>
      <c r="Y7458" s="8" t="n"/>
    </row>
    <row r="7459">
      <c r="A7459" s="8" t="n"/>
      <c r="B7459" s="8" t="n"/>
      <c r="C7459" s="8" t="n"/>
      <c r="D7459" s="8" t="n"/>
      <c r="E7459" s="8" t="n"/>
      <c r="F7459" s="8" t="n"/>
      <c r="G7459" s="8" t="n"/>
      <c r="H7459" s="8" t="n"/>
      <c r="I7459" s="8" t="n"/>
      <c r="J7459" s="8" t="n"/>
      <c r="K7459" s="8" t="n"/>
      <c r="L7459" s="8" t="n"/>
      <c r="M7459" s="9">
        <f>B7459+30</f>
        <v/>
      </c>
      <c r="N7459">
        <f>IF(L7459="", "", L7459-B7459)</f>
        <v/>
      </c>
      <c r="O7459">
        <f>IF(L7459="", "Pending", IF(N7459&lt;=30, "Met", "Breached"))</f>
        <v/>
      </c>
      <c r="P7459" s="8" t="n"/>
      <c r="Q7459" s="8" t="n"/>
      <c r="R7459" s="8" t="n"/>
      <c r="S7459" s="8" t="n"/>
      <c r="T7459" s="8" t="n"/>
      <c r="U7459" s="8" t="n"/>
      <c r="V7459" s="8" t="n"/>
      <c r="W7459" s="8" t="n"/>
      <c r="X7459" s="8" t="n"/>
      <c r="Y7459" s="8" t="n"/>
    </row>
    <row r="7460">
      <c r="A7460" s="8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8" t="n"/>
      <c r="K7460" s="8" t="n"/>
      <c r="L7460" s="8" t="n"/>
      <c r="M7460" s="9">
        <f>B7460+30</f>
        <v/>
      </c>
      <c r="N7460">
        <f>IF(L7460="", "", L7460-B7460)</f>
        <v/>
      </c>
      <c r="O7460">
        <f>IF(L7460="", "Pending", IF(N7460&lt;=30, "Met", "Breached"))</f>
        <v/>
      </c>
      <c r="P7460" s="8" t="n"/>
      <c r="Q7460" s="8" t="n"/>
      <c r="R7460" s="8" t="n"/>
      <c r="S7460" s="8" t="n"/>
      <c r="T7460" s="8" t="n"/>
      <c r="U7460" s="8" t="n"/>
      <c r="V7460" s="8" t="n"/>
      <c r="W7460" s="8" t="n"/>
      <c r="X7460" s="8" t="n"/>
      <c r="Y7460" s="8" t="n"/>
    </row>
    <row r="7461">
      <c r="A7461" s="8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8" t="n"/>
      <c r="K7461" s="8" t="n"/>
      <c r="L7461" s="8" t="n"/>
      <c r="M7461" s="9">
        <f>B7461+30</f>
        <v/>
      </c>
      <c r="N7461">
        <f>IF(L7461="", "", L7461-B7461)</f>
        <v/>
      </c>
      <c r="O7461">
        <f>IF(L7461="", "Pending", IF(N7461&lt;=30, "Met", "Breached"))</f>
        <v/>
      </c>
      <c r="P7461" s="8" t="n"/>
      <c r="Q7461" s="8" t="n"/>
      <c r="R7461" s="8" t="n"/>
      <c r="S7461" s="8" t="n"/>
      <c r="T7461" s="8" t="n"/>
      <c r="U7461" s="8" t="n"/>
      <c r="V7461" s="8" t="n"/>
      <c r="W7461" s="8" t="n"/>
      <c r="X7461" s="8" t="n"/>
      <c r="Y7461" s="8" t="n"/>
    </row>
    <row r="7462">
      <c r="A7462" s="8" t="n"/>
      <c r="B7462" s="8" t="n"/>
      <c r="C7462" s="8" t="n"/>
      <c r="D7462" s="8" t="n"/>
      <c r="E7462" s="8" t="n"/>
      <c r="F7462" s="8" t="n"/>
      <c r="G7462" s="8" t="n"/>
      <c r="H7462" s="8" t="n"/>
      <c r="I7462" s="8" t="n"/>
      <c r="J7462" s="8" t="n"/>
      <c r="K7462" s="8" t="n"/>
      <c r="L7462" s="8" t="n"/>
      <c r="M7462" s="9">
        <f>B7462+30</f>
        <v/>
      </c>
      <c r="N7462">
        <f>IF(L7462="", "", L7462-B7462)</f>
        <v/>
      </c>
      <c r="O7462">
        <f>IF(L7462="", "Pending", IF(N7462&lt;=30, "Met", "Breached"))</f>
        <v/>
      </c>
      <c r="P7462" s="8" t="n"/>
      <c r="Q7462" s="8" t="n"/>
      <c r="R7462" s="8" t="n"/>
      <c r="S7462" s="8" t="n"/>
      <c r="T7462" s="8" t="n"/>
      <c r="U7462" s="8" t="n"/>
      <c r="V7462" s="8" t="n"/>
      <c r="W7462" s="8" t="n"/>
      <c r="X7462" s="8" t="n"/>
      <c r="Y7462" s="8" t="n"/>
    </row>
    <row r="7463">
      <c r="A7463" s="8" t="n"/>
      <c r="B7463" s="8" t="n"/>
      <c r="C7463" s="8" t="n"/>
      <c r="D7463" s="8" t="n"/>
      <c r="E7463" s="8" t="n"/>
      <c r="F7463" s="8" t="n"/>
      <c r="G7463" s="8" t="n"/>
      <c r="H7463" s="8" t="n"/>
      <c r="I7463" s="8" t="n"/>
      <c r="J7463" s="8" t="n"/>
      <c r="K7463" s="8" t="n"/>
      <c r="L7463" s="8" t="n"/>
      <c r="M7463" s="9">
        <f>B7463+30</f>
        <v/>
      </c>
      <c r="N7463">
        <f>IF(L7463="", "", L7463-B7463)</f>
        <v/>
      </c>
      <c r="O7463">
        <f>IF(L7463="", "Pending", IF(N7463&lt;=30, "Met", "Breached"))</f>
        <v/>
      </c>
      <c r="P7463" s="8" t="n"/>
      <c r="Q7463" s="8" t="n"/>
      <c r="R7463" s="8" t="n"/>
      <c r="S7463" s="8" t="n"/>
      <c r="T7463" s="8" t="n"/>
      <c r="U7463" s="8" t="n"/>
      <c r="V7463" s="8" t="n"/>
      <c r="W7463" s="8" t="n"/>
      <c r="X7463" s="8" t="n"/>
      <c r="Y7463" s="8" t="n"/>
    </row>
    <row r="7464">
      <c r="A7464" s="8" t="n"/>
      <c r="B7464" s="8" t="n"/>
      <c r="C7464" s="8" t="n"/>
      <c r="D7464" s="8" t="n"/>
      <c r="E7464" s="8" t="n"/>
      <c r="F7464" s="8" t="n"/>
      <c r="G7464" s="8" t="n"/>
      <c r="H7464" s="8" t="n"/>
      <c r="I7464" s="8" t="n"/>
      <c r="J7464" s="8" t="n"/>
      <c r="K7464" s="8" t="n"/>
      <c r="L7464" s="8" t="n"/>
      <c r="M7464" s="9">
        <f>B7464+30</f>
        <v/>
      </c>
      <c r="N7464">
        <f>IF(L7464="", "", L7464-B7464)</f>
        <v/>
      </c>
      <c r="O7464">
        <f>IF(L7464="", "Pending", IF(N7464&lt;=30, "Met", "Breached"))</f>
        <v/>
      </c>
      <c r="P7464" s="8" t="n"/>
      <c r="Q7464" s="8" t="n"/>
      <c r="R7464" s="8" t="n"/>
      <c r="S7464" s="8" t="n"/>
      <c r="T7464" s="8" t="n"/>
      <c r="U7464" s="8" t="n"/>
      <c r="V7464" s="8" t="n"/>
      <c r="W7464" s="8" t="n"/>
      <c r="X7464" s="8" t="n"/>
      <c r="Y7464" s="8" t="n"/>
    </row>
    <row r="7465">
      <c r="A7465" s="8" t="n"/>
      <c r="B7465" s="8" t="n"/>
      <c r="C7465" s="8" t="n"/>
      <c r="D7465" s="8" t="n"/>
      <c r="E7465" s="8" t="n"/>
      <c r="F7465" s="8" t="n"/>
      <c r="G7465" s="8" t="n"/>
      <c r="H7465" s="8" t="n"/>
      <c r="I7465" s="8" t="n"/>
      <c r="J7465" s="8" t="n"/>
      <c r="K7465" s="8" t="n"/>
      <c r="L7465" s="8" t="n"/>
      <c r="M7465" s="9">
        <f>B7465+30</f>
        <v/>
      </c>
      <c r="N7465">
        <f>IF(L7465="", "", L7465-B7465)</f>
        <v/>
      </c>
      <c r="O7465">
        <f>IF(L7465="", "Pending", IF(N7465&lt;=30, "Met", "Breached"))</f>
        <v/>
      </c>
      <c r="P7465" s="8" t="n"/>
      <c r="Q7465" s="8" t="n"/>
      <c r="R7465" s="8" t="n"/>
      <c r="S7465" s="8" t="n"/>
      <c r="T7465" s="8" t="n"/>
      <c r="U7465" s="8" t="n"/>
      <c r="V7465" s="8" t="n"/>
      <c r="W7465" s="8" t="n"/>
      <c r="X7465" s="8" t="n"/>
      <c r="Y7465" s="8" t="n"/>
    </row>
    <row r="7466">
      <c r="A7466" s="8" t="n"/>
      <c r="B7466" s="8" t="n"/>
      <c r="C7466" s="8" t="n"/>
      <c r="D7466" s="8" t="n"/>
      <c r="E7466" s="8" t="n"/>
      <c r="F7466" s="8" t="n"/>
      <c r="G7466" s="8" t="n"/>
      <c r="H7466" s="8" t="n"/>
      <c r="I7466" s="8" t="n"/>
      <c r="J7466" s="8" t="n"/>
      <c r="K7466" s="8" t="n"/>
      <c r="L7466" s="8" t="n"/>
      <c r="M7466" s="9">
        <f>B7466+30</f>
        <v/>
      </c>
      <c r="N7466">
        <f>IF(L7466="", "", L7466-B7466)</f>
        <v/>
      </c>
      <c r="O7466">
        <f>IF(L7466="", "Pending", IF(N7466&lt;=30, "Met", "Breached"))</f>
        <v/>
      </c>
      <c r="P7466" s="8" t="n"/>
      <c r="Q7466" s="8" t="n"/>
      <c r="R7466" s="8" t="n"/>
      <c r="S7466" s="8" t="n"/>
      <c r="T7466" s="8" t="n"/>
      <c r="U7466" s="8" t="n"/>
      <c r="V7466" s="8" t="n"/>
      <c r="W7466" s="8" t="n"/>
      <c r="X7466" s="8" t="n"/>
      <c r="Y7466" s="8" t="n"/>
    </row>
    <row r="7467">
      <c r="A7467" s="8" t="n"/>
      <c r="B7467" s="8" t="n"/>
      <c r="C7467" s="8" t="n"/>
      <c r="D7467" s="8" t="n"/>
      <c r="E7467" s="8" t="n"/>
      <c r="F7467" s="8" t="n"/>
      <c r="G7467" s="8" t="n"/>
      <c r="H7467" s="8" t="n"/>
      <c r="I7467" s="8" t="n"/>
      <c r="J7467" s="8" t="n"/>
      <c r="K7467" s="8" t="n"/>
      <c r="L7467" s="8" t="n"/>
      <c r="M7467" s="9">
        <f>B7467+30</f>
        <v/>
      </c>
      <c r="N7467">
        <f>IF(L7467="", "", L7467-B7467)</f>
        <v/>
      </c>
      <c r="O7467">
        <f>IF(L7467="", "Pending", IF(N7467&lt;=30, "Met", "Breached"))</f>
        <v/>
      </c>
      <c r="P7467" s="8" t="n"/>
      <c r="Q7467" s="8" t="n"/>
      <c r="R7467" s="8" t="n"/>
      <c r="S7467" s="8" t="n"/>
      <c r="T7467" s="8" t="n"/>
      <c r="U7467" s="8" t="n"/>
      <c r="V7467" s="8" t="n"/>
      <c r="W7467" s="8" t="n"/>
      <c r="X7467" s="8" t="n"/>
      <c r="Y7467" s="8" t="n"/>
    </row>
    <row r="7468">
      <c r="A7468" s="8" t="n"/>
      <c r="B7468" s="8" t="n"/>
      <c r="C7468" s="8" t="n"/>
      <c r="D7468" s="8" t="n"/>
      <c r="E7468" s="8" t="n"/>
      <c r="F7468" s="8" t="n"/>
      <c r="G7468" s="8" t="n"/>
      <c r="H7468" s="8" t="n"/>
      <c r="I7468" s="8" t="n"/>
      <c r="J7468" s="8" t="n"/>
      <c r="K7468" s="8" t="n"/>
      <c r="L7468" s="8" t="n"/>
      <c r="M7468" s="9">
        <f>B7468+30</f>
        <v/>
      </c>
      <c r="N7468">
        <f>IF(L7468="", "", L7468-B7468)</f>
        <v/>
      </c>
      <c r="O7468">
        <f>IF(L7468="", "Pending", IF(N7468&lt;=30, "Met", "Breached"))</f>
        <v/>
      </c>
      <c r="P7468" s="8" t="n"/>
      <c r="Q7468" s="8" t="n"/>
      <c r="R7468" s="8" t="n"/>
      <c r="S7468" s="8" t="n"/>
      <c r="T7468" s="8" t="n"/>
      <c r="U7468" s="8" t="n"/>
      <c r="V7468" s="8" t="n"/>
      <c r="W7468" s="8" t="n"/>
      <c r="X7468" s="8" t="n"/>
      <c r="Y7468" s="8" t="n"/>
    </row>
    <row r="7469">
      <c r="A7469" s="8" t="n"/>
      <c r="B7469" s="8" t="n"/>
      <c r="C7469" s="8" t="n"/>
      <c r="D7469" s="8" t="n"/>
      <c r="E7469" s="8" t="n"/>
      <c r="F7469" s="8" t="n"/>
      <c r="G7469" s="8" t="n"/>
      <c r="H7469" s="8" t="n"/>
      <c r="I7469" s="8" t="n"/>
      <c r="J7469" s="8" t="n"/>
      <c r="K7469" s="8" t="n"/>
      <c r="L7469" s="8" t="n"/>
      <c r="M7469" s="9">
        <f>B7469+30</f>
        <v/>
      </c>
      <c r="N7469">
        <f>IF(L7469="", "", L7469-B7469)</f>
        <v/>
      </c>
      <c r="O7469">
        <f>IF(L7469="", "Pending", IF(N7469&lt;=30, "Met", "Breached"))</f>
        <v/>
      </c>
      <c r="P7469" s="8" t="n"/>
      <c r="Q7469" s="8" t="n"/>
      <c r="R7469" s="8" t="n"/>
      <c r="S7469" s="8" t="n"/>
      <c r="T7469" s="8" t="n"/>
      <c r="U7469" s="8" t="n"/>
      <c r="V7469" s="8" t="n"/>
      <c r="W7469" s="8" t="n"/>
      <c r="X7469" s="8" t="n"/>
      <c r="Y7469" s="8" t="n"/>
    </row>
    <row r="7470">
      <c r="A7470" s="8" t="n"/>
      <c r="B7470" s="8" t="n"/>
      <c r="C7470" s="8" t="n"/>
      <c r="D7470" s="8" t="n"/>
      <c r="E7470" s="8" t="n"/>
      <c r="F7470" s="8" t="n"/>
      <c r="G7470" s="8" t="n"/>
      <c r="H7470" s="8" t="n"/>
      <c r="I7470" s="8" t="n"/>
      <c r="J7470" s="8" t="n"/>
      <c r="K7470" s="8" t="n"/>
      <c r="L7470" s="8" t="n"/>
      <c r="M7470" s="9">
        <f>B7470+30</f>
        <v/>
      </c>
      <c r="N7470">
        <f>IF(L7470="", "", L7470-B7470)</f>
        <v/>
      </c>
      <c r="O7470">
        <f>IF(L7470="", "Pending", IF(N7470&lt;=30, "Met", "Breached"))</f>
        <v/>
      </c>
      <c r="P7470" s="8" t="n"/>
      <c r="Q7470" s="8" t="n"/>
      <c r="R7470" s="8" t="n"/>
      <c r="S7470" s="8" t="n"/>
      <c r="T7470" s="8" t="n"/>
      <c r="U7470" s="8" t="n"/>
      <c r="V7470" s="8" t="n"/>
      <c r="W7470" s="8" t="n"/>
      <c r="X7470" s="8" t="n"/>
      <c r="Y7470" s="8" t="n"/>
    </row>
    <row r="7471">
      <c r="A7471" s="8" t="n"/>
      <c r="B7471" s="8" t="n"/>
      <c r="C7471" s="8" t="n"/>
      <c r="D7471" s="8" t="n"/>
      <c r="E7471" s="8" t="n"/>
      <c r="F7471" s="8" t="n"/>
      <c r="G7471" s="8" t="n"/>
      <c r="H7471" s="8" t="n"/>
      <c r="I7471" s="8" t="n"/>
      <c r="J7471" s="8" t="n"/>
      <c r="K7471" s="8" t="n"/>
      <c r="L7471" s="8" t="n"/>
      <c r="M7471" s="9">
        <f>B7471+30</f>
        <v/>
      </c>
      <c r="N7471">
        <f>IF(L7471="", "", L7471-B7471)</f>
        <v/>
      </c>
      <c r="O7471">
        <f>IF(L7471="", "Pending", IF(N7471&lt;=30, "Met", "Breached"))</f>
        <v/>
      </c>
      <c r="P7471" s="8" t="n"/>
      <c r="Q7471" s="8" t="n"/>
      <c r="R7471" s="8" t="n"/>
      <c r="S7471" s="8" t="n"/>
      <c r="T7471" s="8" t="n"/>
      <c r="U7471" s="8" t="n"/>
      <c r="V7471" s="8" t="n"/>
      <c r="W7471" s="8" t="n"/>
      <c r="X7471" s="8" t="n"/>
      <c r="Y7471" s="8" t="n"/>
    </row>
    <row r="7472">
      <c r="A7472" s="8" t="n"/>
      <c r="B7472" s="8" t="n"/>
      <c r="C7472" s="8" t="n"/>
      <c r="D7472" s="8" t="n"/>
      <c r="E7472" s="8" t="n"/>
      <c r="F7472" s="8" t="n"/>
      <c r="G7472" s="8" t="n"/>
      <c r="H7472" s="8" t="n"/>
      <c r="I7472" s="8" t="n"/>
      <c r="J7472" s="8" t="n"/>
      <c r="K7472" s="8" t="n"/>
      <c r="L7472" s="8" t="n"/>
      <c r="M7472" s="9">
        <f>B7472+30</f>
        <v/>
      </c>
      <c r="N7472">
        <f>IF(L7472="", "", L7472-B7472)</f>
        <v/>
      </c>
      <c r="O7472">
        <f>IF(L7472="", "Pending", IF(N7472&lt;=30, "Met", "Breached"))</f>
        <v/>
      </c>
      <c r="P7472" s="8" t="n"/>
      <c r="Q7472" s="8" t="n"/>
      <c r="R7472" s="8" t="n"/>
      <c r="S7472" s="8" t="n"/>
      <c r="T7472" s="8" t="n"/>
      <c r="U7472" s="8" t="n"/>
      <c r="V7472" s="8" t="n"/>
      <c r="W7472" s="8" t="n"/>
      <c r="X7472" s="8" t="n"/>
      <c r="Y7472" s="8" t="n"/>
    </row>
    <row r="7473">
      <c r="A7473" s="8" t="n"/>
      <c r="B7473" s="8" t="n"/>
      <c r="C7473" s="8" t="n"/>
      <c r="D7473" s="8" t="n"/>
      <c r="E7473" s="8" t="n"/>
      <c r="F7473" s="8" t="n"/>
      <c r="G7473" s="8" t="n"/>
      <c r="H7473" s="8" t="n"/>
      <c r="I7473" s="8" t="n"/>
      <c r="J7473" s="8" t="n"/>
      <c r="K7473" s="8" t="n"/>
      <c r="L7473" s="8" t="n"/>
      <c r="M7473" s="9">
        <f>B7473+30</f>
        <v/>
      </c>
      <c r="N7473">
        <f>IF(L7473="", "", L7473-B7473)</f>
        <v/>
      </c>
      <c r="O7473">
        <f>IF(L7473="", "Pending", IF(N7473&lt;=30, "Met", "Breached"))</f>
        <v/>
      </c>
      <c r="P7473" s="8" t="n"/>
      <c r="Q7473" s="8" t="n"/>
      <c r="R7473" s="8" t="n"/>
      <c r="S7473" s="8" t="n"/>
      <c r="T7473" s="8" t="n"/>
      <c r="U7473" s="8" t="n"/>
      <c r="V7473" s="8" t="n"/>
      <c r="W7473" s="8" t="n"/>
      <c r="X7473" s="8" t="n"/>
      <c r="Y7473" s="8" t="n"/>
    </row>
    <row r="7474">
      <c r="A7474" s="8" t="n"/>
      <c r="B7474" s="8" t="n"/>
      <c r="C7474" s="8" t="n"/>
      <c r="D7474" s="8" t="n"/>
      <c r="E7474" s="8" t="n"/>
      <c r="F7474" s="8" t="n"/>
      <c r="G7474" s="8" t="n"/>
      <c r="H7474" s="8" t="n"/>
      <c r="I7474" s="8" t="n"/>
      <c r="J7474" s="8" t="n"/>
      <c r="K7474" s="8" t="n"/>
      <c r="L7474" s="8" t="n"/>
      <c r="M7474" s="9">
        <f>B7474+30</f>
        <v/>
      </c>
      <c r="N7474">
        <f>IF(L7474="", "", L7474-B7474)</f>
        <v/>
      </c>
      <c r="O7474">
        <f>IF(L7474="", "Pending", IF(N7474&lt;=30, "Met", "Breached"))</f>
        <v/>
      </c>
      <c r="P7474" s="8" t="n"/>
      <c r="Q7474" s="8" t="n"/>
      <c r="R7474" s="8" t="n"/>
      <c r="S7474" s="8" t="n"/>
      <c r="T7474" s="8" t="n"/>
      <c r="U7474" s="8" t="n"/>
      <c r="V7474" s="8" t="n"/>
      <c r="W7474" s="8" t="n"/>
      <c r="X7474" s="8" t="n"/>
      <c r="Y7474" s="8" t="n"/>
    </row>
    <row r="7475">
      <c r="A7475" s="8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8" t="n"/>
      <c r="K7475" s="8" t="n"/>
      <c r="L7475" s="8" t="n"/>
      <c r="M7475" s="9">
        <f>B7475+30</f>
        <v/>
      </c>
      <c r="N7475">
        <f>IF(L7475="", "", L7475-B7475)</f>
        <v/>
      </c>
      <c r="O7475">
        <f>IF(L7475="", "Pending", IF(N7475&lt;=30, "Met", "Breached"))</f>
        <v/>
      </c>
      <c r="P7475" s="8" t="n"/>
      <c r="Q7475" s="8" t="n"/>
      <c r="R7475" s="8" t="n"/>
      <c r="S7475" s="8" t="n"/>
      <c r="T7475" s="8" t="n"/>
      <c r="U7475" s="8" t="n"/>
      <c r="V7475" s="8" t="n"/>
      <c r="W7475" s="8" t="n"/>
      <c r="X7475" s="8" t="n"/>
      <c r="Y7475" s="8" t="n"/>
    </row>
    <row r="7476">
      <c r="A7476" s="8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8" t="n"/>
      <c r="K7476" s="8" t="n"/>
      <c r="L7476" s="8" t="n"/>
      <c r="M7476" s="9">
        <f>B7476+30</f>
        <v/>
      </c>
      <c r="N7476">
        <f>IF(L7476="", "", L7476-B7476)</f>
        <v/>
      </c>
      <c r="O7476">
        <f>IF(L7476="", "Pending", IF(N7476&lt;=30, "Met", "Breached"))</f>
        <v/>
      </c>
      <c r="P7476" s="8" t="n"/>
      <c r="Q7476" s="8" t="n"/>
      <c r="R7476" s="8" t="n"/>
      <c r="S7476" s="8" t="n"/>
      <c r="T7476" s="8" t="n"/>
      <c r="U7476" s="8" t="n"/>
      <c r="V7476" s="8" t="n"/>
      <c r="W7476" s="8" t="n"/>
      <c r="X7476" s="8" t="n"/>
      <c r="Y7476" s="8" t="n"/>
    </row>
    <row r="7477">
      <c r="A7477" s="8" t="n"/>
      <c r="B7477" s="8" t="n"/>
      <c r="C7477" s="8" t="n"/>
      <c r="D7477" s="8" t="n"/>
      <c r="E7477" s="8" t="n"/>
      <c r="F7477" s="8" t="n"/>
      <c r="G7477" s="8" t="n"/>
      <c r="H7477" s="8" t="n"/>
      <c r="I7477" s="8" t="n"/>
      <c r="J7477" s="8" t="n"/>
      <c r="K7477" s="8" t="n"/>
      <c r="L7477" s="8" t="n"/>
      <c r="M7477" s="9">
        <f>B7477+30</f>
        <v/>
      </c>
      <c r="N7477">
        <f>IF(L7477="", "", L7477-B7477)</f>
        <v/>
      </c>
      <c r="O7477">
        <f>IF(L7477="", "Pending", IF(N7477&lt;=30, "Met", "Breached"))</f>
        <v/>
      </c>
      <c r="P7477" s="8" t="n"/>
      <c r="Q7477" s="8" t="n"/>
      <c r="R7477" s="8" t="n"/>
      <c r="S7477" s="8" t="n"/>
      <c r="T7477" s="8" t="n"/>
      <c r="U7477" s="8" t="n"/>
      <c r="V7477" s="8" t="n"/>
      <c r="W7477" s="8" t="n"/>
      <c r="X7477" s="8" t="n"/>
      <c r="Y7477" s="8" t="n"/>
    </row>
    <row r="7478">
      <c r="A7478" s="8" t="n"/>
      <c r="B7478" s="8" t="n"/>
      <c r="C7478" s="8" t="n"/>
      <c r="D7478" s="8" t="n"/>
      <c r="E7478" s="8" t="n"/>
      <c r="F7478" s="8" t="n"/>
      <c r="G7478" s="8" t="n"/>
      <c r="H7478" s="8" t="n"/>
      <c r="I7478" s="8" t="n"/>
      <c r="J7478" s="8" t="n"/>
      <c r="K7478" s="8" t="n"/>
      <c r="L7478" s="8" t="n"/>
      <c r="M7478" s="9">
        <f>B7478+30</f>
        <v/>
      </c>
      <c r="N7478">
        <f>IF(L7478="", "", L7478-B7478)</f>
        <v/>
      </c>
      <c r="O7478">
        <f>IF(L7478="", "Pending", IF(N7478&lt;=30, "Met", "Breached"))</f>
        <v/>
      </c>
      <c r="P7478" s="8" t="n"/>
      <c r="Q7478" s="8" t="n"/>
      <c r="R7478" s="8" t="n"/>
      <c r="S7478" s="8" t="n"/>
      <c r="T7478" s="8" t="n"/>
      <c r="U7478" s="8" t="n"/>
      <c r="V7478" s="8" t="n"/>
      <c r="W7478" s="8" t="n"/>
      <c r="X7478" s="8" t="n"/>
      <c r="Y7478" s="8" t="n"/>
    </row>
    <row r="7479">
      <c r="A7479" s="8" t="n"/>
      <c r="B7479" s="8" t="n"/>
      <c r="C7479" s="8" t="n"/>
      <c r="D7479" s="8" t="n"/>
      <c r="E7479" s="8" t="n"/>
      <c r="F7479" s="8" t="n"/>
      <c r="G7479" s="8" t="n"/>
      <c r="H7479" s="8" t="n"/>
      <c r="I7479" s="8" t="n"/>
      <c r="J7479" s="8" t="n"/>
      <c r="K7479" s="8" t="n"/>
      <c r="L7479" s="8" t="n"/>
      <c r="M7479" s="9">
        <f>B7479+30</f>
        <v/>
      </c>
      <c r="N7479">
        <f>IF(L7479="", "", L7479-B7479)</f>
        <v/>
      </c>
      <c r="O7479">
        <f>IF(L7479="", "Pending", IF(N7479&lt;=30, "Met", "Breached"))</f>
        <v/>
      </c>
      <c r="P7479" s="8" t="n"/>
      <c r="Q7479" s="8" t="n"/>
      <c r="R7479" s="8" t="n"/>
      <c r="S7479" s="8" t="n"/>
      <c r="T7479" s="8" t="n"/>
      <c r="U7479" s="8" t="n"/>
      <c r="V7479" s="8" t="n"/>
      <c r="W7479" s="8" t="n"/>
      <c r="X7479" s="8" t="n"/>
      <c r="Y7479" s="8" t="n"/>
    </row>
    <row r="7480">
      <c r="A7480" s="8" t="n"/>
      <c r="B7480" s="8" t="n"/>
      <c r="C7480" s="8" t="n"/>
      <c r="D7480" s="8" t="n"/>
      <c r="E7480" s="8" t="n"/>
      <c r="F7480" s="8" t="n"/>
      <c r="G7480" s="8" t="n"/>
      <c r="H7480" s="8" t="n"/>
      <c r="I7480" s="8" t="n"/>
      <c r="J7480" s="8" t="n"/>
      <c r="K7480" s="8" t="n"/>
      <c r="L7480" s="8" t="n"/>
      <c r="M7480" s="9">
        <f>B7480+30</f>
        <v/>
      </c>
      <c r="N7480">
        <f>IF(L7480="", "", L7480-B7480)</f>
        <v/>
      </c>
      <c r="O7480">
        <f>IF(L7480="", "Pending", IF(N7480&lt;=30, "Met", "Breached"))</f>
        <v/>
      </c>
      <c r="P7480" s="8" t="n"/>
      <c r="Q7480" s="8" t="n"/>
      <c r="R7480" s="8" t="n"/>
      <c r="S7480" s="8" t="n"/>
      <c r="T7480" s="8" t="n"/>
      <c r="U7480" s="8" t="n"/>
      <c r="V7480" s="8" t="n"/>
      <c r="W7480" s="8" t="n"/>
      <c r="X7480" s="8" t="n"/>
      <c r="Y7480" s="8" t="n"/>
    </row>
    <row r="7481">
      <c r="A7481" s="8" t="n"/>
      <c r="B7481" s="8" t="n"/>
      <c r="C7481" s="8" t="n"/>
      <c r="D7481" s="8" t="n"/>
      <c r="E7481" s="8" t="n"/>
      <c r="F7481" s="8" t="n"/>
      <c r="G7481" s="8" t="n"/>
      <c r="H7481" s="8" t="n"/>
      <c r="I7481" s="8" t="n"/>
      <c r="J7481" s="8" t="n"/>
      <c r="K7481" s="8" t="n"/>
      <c r="L7481" s="8" t="n"/>
      <c r="M7481" s="9">
        <f>B7481+30</f>
        <v/>
      </c>
      <c r="N7481">
        <f>IF(L7481="", "", L7481-B7481)</f>
        <v/>
      </c>
      <c r="O7481">
        <f>IF(L7481="", "Pending", IF(N7481&lt;=30, "Met", "Breached"))</f>
        <v/>
      </c>
      <c r="P7481" s="8" t="n"/>
      <c r="Q7481" s="8" t="n"/>
      <c r="R7481" s="8" t="n"/>
      <c r="S7481" s="8" t="n"/>
      <c r="T7481" s="8" t="n"/>
      <c r="U7481" s="8" t="n"/>
      <c r="V7481" s="8" t="n"/>
      <c r="W7481" s="8" t="n"/>
      <c r="X7481" s="8" t="n"/>
      <c r="Y7481" s="8" t="n"/>
    </row>
    <row r="7482">
      <c r="A7482" s="8" t="n"/>
      <c r="B7482" s="8" t="n"/>
      <c r="C7482" s="8" t="n"/>
      <c r="D7482" s="8" t="n"/>
      <c r="E7482" s="8" t="n"/>
      <c r="F7482" s="8" t="n"/>
      <c r="G7482" s="8" t="n"/>
      <c r="H7482" s="8" t="n"/>
      <c r="I7482" s="8" t="n"/>
      <c r="J7482" s="8" t="n"/>
      <c r="K7482" s="8" t="n"/>
      <c r="L7482" s="8" t="n"/>
      <c r="M7482" s="9">
        <f>B7482+30</f>
        <v/>
      </c>
      <c r="N7482">
        <f>IF(L7482="", "", L7482-B7482)</f>
        <v/>
      </c>
      <c r="O7482">
        <f>IF(L7482="", "Pending", IF(N7482&lt;=30, "Met", "Breached"))</f>
        <v/>
      </c>
      <c r="P7482" s="8" t="n"/>
      <c r="Q7482" s="8" t="n"/>
      <c r="R7482" s="8" t="n"/>
      <c r="S7482" s="8" t="n"/>
      <c r="T7482" s="8" t="n"/>
      <c r="U7482" s="8" t="n"/>
      <c r="V7482" s="8" t="n"/>
      <c r="W7482" s="8" t="n"/>
      <c r="X7482" s="8" t="n"/>
      <c r="Y7482" s="8" t="n"/>
    </row>
    <row r="7483">
      <c r="A7483" s="8" t="n"/>
      <c r="B7483" s="8" t="n"/>
      <c r="C7483" s="8" t="n"/>
      <c r="D7483" s="8" t="n"/>
      <c r="E7483" s="8" t="n"/>
      <c r="F7483" s="8" t="n"/>
      <c r="G7483" s="8" t="n"/>
      <c r="H7483" s="8" t="n"/>
      <c r="I7483" s="8" t="n"/>
      <c r="J7483" s="8" t="n"/>
      <c r="K7483" s="8" t="n"/>
      <c r="L7483" s="8" t="n"/>
      <c r="M7483" s="9">
        <f>B7483+30</f>
        <v/>
      </c>
      <c r="N7483">
        <f>IF(L7483="", "", L7483-B7483)</f>
        <v/>
      </c>
      <c r="O7483">
        <f>IF(L7483="", "Pending", IF(N7483&lt;=30, "Met", "Breached"))</f>
        <v/>
      </c>
      <c r="P7483" s="8" t="n"/>
      <c r="Q7483" s="8" t="n"/>
      <c r="R7483" s="8" t="n"/>
      <c r="S7483" s="8" t="n"/>
      <c r="T7483" s="8" t="n"/>
      <c r="U7483" s="8" t="n"/>
      <c r="V7483" s="8" t="n"/>
      <c r="W7483" s="8" t="n"/>
      <c r="X7483" s="8" t="n"/>
      <c r="Y7483" s="8" t="n"/>
    </row>
    <row r="7484">
      <c r="A7484" s="8" t="n"/>
      <c r="B7484" s="8" t="n"/>
      <c r="C7484" s="8" t="n"/>
      <c r="D7484" s="8" t="n"/>
      <c r="E7484" s="8" t="n"/>
      <c r="F7484" s="8" t="n"/>
      <c r="G7484" s="8" t="n"/>
      <c r="H7484" s="8" t="n"/>
      <c r="I7484" s="8" t="n"/>
      <c r="J7484" s="8" t="n"/>
      <c r="K7484" s="8" t="n"/>
      <c r="L7484" s="8" t="n"/>
      <c r="M7484" s="9">
        <f>B7484+30</f>
        <v/>
      </c>
      <c r="N7484">
        <f>IF(L7484="", "", L7484-B7484)</f>
        <v/>
      </c>
      <c r="O7484">
        <f>IF(L7484="", "Pending", IF(N7484&lt;=30, "Met", "Breached"))</f>
        <v/>
      </c>
      <c r="P7484" s="8" t="n"/>
      <c r="Q7484" s="8" t="n"/>
      <c r="R7484" s="8" t="n"/>
      <c r="S7484" s="8" t="n"/>
      <c r="T7484" s="8" t="n"/>
      <c r="U7484" s="8" t="n"/>
      <c r="V7484" s="8" t="n"/>
      <c r="W7484" s="8" t="n"/>
      <c r="X7484" s="8" t="n"/>
      <c r="Y7484" s="8" t="n"/>
    </row>
    <row r="7485">
      <c r="A7485" s="8" t="n"/>
      <c r="B7485" s="8" t="n"/>
      <c r="C7485" s="8" t="n"/>
      <c r="D7485" s="8" t="n"/>
      <c r="E7485" s="8" t="n"/>
      <c r="F7485" s="8" t="n"/>
      <c r="G7485" s="8" t="n"/>
      <c r="H7485" s="8" t="n"/>
      <c r="I7485" s="8" t="n"/>
      <c r="J7485" s="8" t="n"/>
      <c r="K7485" s="8" t="n"/>
      <c r="L7485" s="8" t="n"/>
      <c r="M7485" s="9">
        <f>B7485+30</f>
        <v/>
      </c>
      <c r="N7485">
        <f>IF(L7485="", "", L7485-B7485)</f>
        <v/>
      </c>
      <c r="O7485">
        <f>IF(L7485="", "Pending", IF(N7485&lt;=30, "Met", "Breached"))</f>
        <v/>
      </c>
      <c r="P7485" s="8" t="n"/>
      <c r="Q7485" s="8" t="n"/>
      <c r="R7485" s="8" t="n"/>
      <c r="S7485" s="8" t="n"/>
      <c r="T7485" s="8" t="n"/>
      <c r="U7485" s="8" t="n"/>
      <c r="V7485" s="8" t="n"/>
      <c r="W7485" s="8" t="n"/>
      <c r="X7485" s="8" t="n"/>
      <c r="Y7485" s="8" t="n"/>
    </row>
    <row r="7486">
      <c r="A7486" s="8" t="n"/>
      <c r="B7486" s="8" t="n"/>
      <c r="C7486" s="8" t="n"/>
      <c r="D7486" s="8" t="n"/>
      <c r="E7486" s="8" t="n"/>
      <c r="F7486" s="8" t="n"/>
      <c r="G7486" s="8" t="n"/>
      <c r="H7486" s="8" t="n"/>
      <c r="I7486" s="8" t="n"/>
      <c r="J7486" s="8" t="n"/>
      <c r="K7486" s="8" t="n"/>
      <c r="L7486" s="8" t="n"/>
      <c r="M7486" s="9">
        <f>B7486+30</f>
        <v/>
      </c>
      <c r="N7486">
        <f>IF(L7486="", "", L7486-B7486)</f>
        <v/>
      </c>
      <c r="O7486">
        <f>IF(L7486="", "Pending", IF(N7486&lt;=30, "Met", "Breached"))</f>
        <v/>
      </c>
      <c r="P7486" s="8" t="n"/>
      <c r="Q7486" s="8" t="n"/>
      <c r="R7486" s="8" t="n"/>
      <c r="S7486" s="8" t="n"/>
      <c r="T7486" s="8" t="n"/>
      <c r="U7486" s="8" t="n"/>
      <c r="V7486" s="8" t="n"/>
      <c r="W7486" s="8" t="n"/>
      <c r="X7486" s="8" t="n"/>
      <c r="Y7486" s="8" t="n"/>
    </row>
    <row r="7487">
      <c r="A7487" s="8" t="n"/>
      <c r="B7487" s="8" t="n"/>
      <c r="C7487" s="8" t="n"/>
      <c r="D7487" s="8" t="n"/>
      <c r="E7487" s="8" t="n"/>
      <c r="F7487" s="8" t="n"/>
      <c r="G7487" s="8" t="n"/>
      <c r="H7487" s="8" t="n"/>
      <c r="I7487" s="8" t="n"/>
      <c r="J7487" s="8" t="n"/>
      <c r="K7487" s="8" t="n"/>
      <c r="L7487" s="8" t="n"/>
      <c r="M7487" s="9">
        <f>B7487+30</f>
        <v/>
      </c>
      <c r="N7487">
        <f>IF(L7487="", "", L7487-B7487)</f>
        <v/>
      </c>
      <c r="O7487">
        <f>IF(L7487="", "Pending", IF(N7487&lt;=30, "Met", "Breached"))</f>
        <v/>
      </c>
      <c r="P7487" s="8" t="n"/>
      <c r="Q7487" s="8" t="n"/>
      <c r="R7487" s="8" t="n"/>
      <c r="S7487" s="8" t="n"/>
      <c r="T7487" s="8" t="n"/>
      <c r="U7487" s="8" t="n"/>
      <c r="V7487" s="8" t="n"/>
      <c r="W7487" s="8" t="n"/>
      <c r="X7487" s="8" t="n"/>
      <c r="Y7487" s="8" t="n"/>
    </row>
    <row r="7488">
      <c r="A7488" s="8" t="n"/>
      <c r="B7488" s="8" t="n"/>
      <c r="C7488" s="8" t="n"/>
      <c r="D7488" s="8" t="n"/>
      <c r="E7488" s="8" t="n"/>
      <c r="F7488" s="8" t="n"/>
      <c r="G7488" s="8" t="n"/>
      <c r="H7488" s="8" t="n"/>
      <c r="I7488" s="8" t="n"/>
      <c r="J7488" s="8" t="n"/>
      <c r="K7488" s="8" t="n"/>
      <c r="L7488" s="8" t="n"/>
      <c r="M7488" s="9">
        <f>B7488+30</f>
        <v/>
      </c>
      <c r="N7488">
        <f>IF(L7488="", "", L7488-B7488)</f>
        <v/>
      </c>
      <c r="O7488">
        <f>IF(L7488="", "Pending", IF(N7488&lt;=30, "Met", "Breached"))</f>
        <v/>
      </c>
      <c r="P7488" s="8" t="n"/>
      <c r="Q7488" s="8" t="n"/>
      <c r="R7488" s="8" t="n"/>
      <c r="S7488" s="8" t="n"/>
      <c r="T7488" s="8" t="n"/>
      <c r="U7488" s="8" t="n"/>
      <c r="V7488" s="8" t="n"/>
      <c r="W7488" s="8" t="n"/>
      <c r="X7488" s="8" t="n"/>
      <c r="Y7488" s="8" t="n"/>
    </row>
    <row r="7489">
      <c r="A7489" s="8" t="n"/>
      <c r="B7489" s="8" t="n"/>
      <c r="C7489" s="8" t="n"/>
      <c r="D7489" s="8" t="n"/>
      <c r="E7489" s="8" t="n"/>
      <c r="F7489" s="8" t="n"/>
      <c r="G7489" s="8" t="n"/>
      <c r="H7489" s="8" t="n"/>
      <c r="I7489" s="8" t="n"/>
      <c r="J7489" s="8" t="n"/>
      <c r="K7489" s="8" t="n"/>
      <c r="L7489" s="8" t="n"/>
      <c r="M7489" s="9">
        <f>B7489+30</f>
        <v/>
      </c>
      <c r="N7489">
        <f>IF(L7489="", "", L7489-B7489)</f>
        <v/>
      </c>
      <c r="O7489">
        <f>IF(L7489="", "Pending", IF(N7489&lt;=30, "Met", "Breached"))</f>
        <v/>
      </c>
      <c r="P7489" s="8" t="n"/>
      <c r="Q7489" s="8" t="n"/>
      <c r="R7489" s="8" t="n"/>
      <c r="S7489" s="8" t="n"/>
      <c r="T7489" s="8" t="n"/>
      <c r="U7489" s="8" t="n"/>
      <c r="V7489" s="8" t="n"/>
      <c r="W7489" s="8" t="n"/>
      <c r="X7489" s="8" t="n"/>
      <c r="Y7489" s="8" t="n"/>
    </row>
    <row r="7490">
      <c r="A7490" s="8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8" t="n"/>
      <c r="K7490" s="8" t="n"/>
      <c r="L7490" s="8" t="n"/>
      <c r="M7490" s="9">
        <f>B7490+30</f>
        <v/>
      </c>
      <c r="N7490">
        <f>IF(L7490="", "", L7490-B7490)</f>
        <v/>
      </c>
      <c r="O7490">
        <f>IF(L7490="", "Pending", IF(N7490&lt;=30, "Met", "Breached"))</f>
        <v/>
      </c>
      <c r="P7490" s="8" t="n"/>
      <c r="Q7490" s="8" t="n"/>
      <c r="R7490" s="8" t="n"/>
      <c r="S7490" s="8" t="n"/>
      <c r="T7490" s="8" t="n"/>
      <c r="U7490" s="8" t="n"/>
      <c r="V7490" s="8" t="n"/>
      <c r="W7490" s="8" t="n"/>
      <c r="X7490" s="8" t="n"/>
      <c r="Y7490" s="8" t="n"/>
    </row>
    <row r="7491">
      <c r="A7491" s="8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8" t="n"/>
      <c r="K7491" s="8" t="n"/>
      <c r="L7491" s="8" t="n"/>
      <c r="M7491" s="9">
        <f>B7491+30</f>
        <v/>
      </c>
      <c r="N7491">
        <f>IF(L7491="", "", L7491-B7491)</f>
        <v/>
      </c>
      <c r="O7491">
        <f>IF(L7491="", "Pending", IF(N7491&lt;=30, "Met", "Breached"))</f>
        <v/>
      </c>
      <c r="P7491" s="8" t="n"/>
      <c r="Q7491" s="8" t="n"/>
      <c r="R7491" s="8" t="n"/>
      <c r="S7491" s="8" t="n"/>
      <c r="T7491" s="8" t="n"/>
      <c r="U7491" s="8" t="n"/>
      <c r="V7491" s="8" t="n"/>
      <c r="W7491" s="8" t="n"/>
      <c r="X7491" s="8" t="n"/>
      <c r="Y7491" s="8" t="n"/>
    </row>
    <row r="7492">
      <c r="A7492" s="8" t="n"/>
      <c r="B7492" s="8" t="n"/>
      <c r="C7492" s="8" t="n"/>
      <c r="D7492" s="8" t="n"/>
      <c r="E7492" s="8" t="n"/>
      <c r="F7492" s="8" t="n"/>
      <c r="G7492" s="8" t="n"/>
      <c r="H7492" s="8" t="n"/>
      <c r="I7492" s="8" t="n"/>
      <c r="J7492" s="8" t="n"/>
      <c r="K7492" s="8" t="n"/>
      <c r="L7492" s="8" t="n"/>
      <c r="M7492" s="9">
        <f>B7492+30</f>
        <v/>
      </c>
      <c r="N7492">
        <f>IF(L7492="", "", L7492-B7492)</f>
        <v/>
      </c>
      <c r="O7492">
        <f>IF(L7492="", "Pending", IF(N7492&lt;=30, "Met", "Breached"))</f>
        <v/>
      </c>
      <c r="P7492" s="8" t="n"/>
      <c r="Q7492" s="8" t="n"/>
      <c r="R7492" s="8" t="n"/>
      <c r="S7492" s="8" t="n"/>
      <c r="T7492" s="8" t="n"/>
      <c r="U7492" s="8" t="n"/>
      <c r="V7492" s="8" t="n"/>
      <c r="W7492" s="8" t="n"/>
      <c r="X7492" s="8" t="n"/>
      <c r="Y7492" s="8" t="n"/>
    </row>
    <row r="7493">
      <c r="A7493" s="8" t="n"/>
      <c r="B7493" s="8" t="n"/>
      <c r="C7493" s="8" t="n"/>
      <c r="D7493" s="8" t="n"/>
      <c r="E7493" s="8" t="n"/>
      <c r="F7493" s="8" t="n"/>
      <c r="G7493" s="8" t="n"/>
      <c r="H7493" s="8" t="n"/>
      <c r="I7493" s="8" t="n"/>
      <c r="J7493" s="8" t="n"/>
      <c r="K7493" s="8" t="n"/>
      <c r="L7493" s="8" t="n"/>
      <c r="M7493" s="9">
        <f>B7493+30</f>
        <v/>
      </c>
      <c r="N7493">
        <f>IF(L7493="", "", L7493-B7493)</f>
        <v/>
      </c>
      <c r="O7493">
        <f>IF(L7493="", "Pending", IF(N7493&lt;=30, "Met", "Breached"))</f>
        <v/>
      </c>
      <c r="P7493" s="8" t="n"/>
      <c r="Q7493" s="8" t="n"/>
      <c r="R7493" s="8" t="n"/>
      <c r="S7493" s="8" t="n"/>
      <c r="T7493" s="8" t="n"/>
      <c r="U7493" s="8" t="n"/>
      <c r="V7493" s="8" t="n"/>
      <c r="W7493" s="8" t="n"/>
      <c r="X7493" s="8" t="n"/>
      <c r="Y7493" s="8" t="n"/>
    </row>
    <row r="7494">
      <c r="A7494" s="8" t="n"/>
      <c r="B7494" s="8" t="n"/>
      <c r="C7494" s="8" t="n"/>
      <c r="D7494" s="8" t="n"/>
      <c r="E7494" s="8" t="n"/>
      <c r="F7494" s="8" t="n"/>
      <c r="G7494" s="8" t="n"/>
      <c r="H7494" s="8" t="n"/>
      <c r="I7494" s="8" t="n"/>
      <c r="J7494" s="8" t="n"/>
      <c r="K7494" s="8" t="n"/>
      <c r="L7494" s="8" t="n"/>
      <c r="M7494" s="9">
        <f>B7494+30</f>
        <v/>
      </c>
      <c r="N7494">
        <f>IF(L7494="", "", L7494-B7494)</f>
        <v/>
      </c>
      <c r="O7494">
        <f>IF(L7494="", "Pending", IF(N7494&lt;=30, "Met", "Breached"))</f>
        <v/>
      </c>
      <c r="P7494" s="8" t="n"/>
      <c r="Q7494" s="8" t="n"/>
      <c r="R7494" s="8" t="n"/>
      <c r="S7494" s="8" t="n"/>
      <c r="T7494" s="8" t="n"/>
      <c r="U7494" s="8" t="n"/>
      <c r="V7494" s="8" t="n"/>
      <c r="W7494" s="8" t="n"/>
      <c r="X7494" s="8" t="n"/>
      <c r="Y7494" s="8" t="n"/>
    </row>
    <row r="7495">
      <c r="A7495" s="8" t="n"/>
      <c r="B7495" s="8" t="n"/>
      <c r="C7495" s="8" t="n"/>
      <c r="D7495" s="8" t="n"/>
      <c r="E7495" s="8" t="n"/>
      <c r="F7495" s="8" t="n"/>
      <c r="G7495" s="8" t="n"/>
      <c r="H7495" s="8" t="n"/>
      <c r="I7495" s="8" t="n"/>
      <c r="J7495" s="8" t="n"/>
      <c r="K7495" s="8" t="n"/>
      <c r="L7495" s="8" t="n"/>
      <c r="M7495" s="9">
        <f>B7495+30</f>
        <v/>
      </c>
      <c r="N7495">
        <f>IF(L7495="", "", L7495-B7495)</f>
        <v/>
      </c>
      <c r="O7495">
        <f>IF(L7495="", "Pending", IF(N7495&lt;=30, "Met", "Breached"))</f>
        <v/>
      </c>
      <c r="P7495" s="8" t="n"/>
      <c r="Q7495" s="8" t="n"/>
      <c r="R7495" s="8" t="n"/>
      <c r="S7495" s="8" t="n"/>
      <c r="T7495" s="8" t="n"/>
      <c r="U7495" s="8" t="n"/>
      <c r="V7495" s="8" t="n"/>
      <c r="W7495" s="8" t="n"/>
      <c r="X7495" s="8" t="n"/>
      <c r="Y7495" s="8" t="n"/>
    </row>
    <row r="7496">
      <c r="A7496" s="8" t="n"/>
      <c r="B7496" s="8" t="n"/>
      <c r="C7496" s="8" t="n"/>
      <c r="D7496" s="8" t="n"/>
      <c r="E7496" s="8" t="n"/>
      <c r="F7496" s="8" t="n"/>
      <c r="G7496" s="8" t="n"/>
      <c r="H7496" s="8" t="n"/>
      <c r="I7496" s="8" t="n"/>
      <c r="J7496" s="8" t="n"/>
      <c r="K7496" s="8" t="n"/>
      <c r="L7496" s="8" t="n"/>
      <c r="M7496" s="9">
        <f>B7496+30</f>
        <v/>
      </c>
      <c r="N7496">
        <f>IF(L7496="", "", L7496-B7496)</f>
        <v/>
      </c>
      <c r="O7496">
        <f>IF(L7496="", "Pending", IF(N7496&lt;=30, "Met", "Breached"))</f>
        <v/>
      </c>
      <c r="P7496" s="8" t="n"/>
      <c r="Q7496" s="8" t="n"/>
      <c r="R7496" s="8" t="n"/>
      <c r="S7496" s="8" t="n"/>
      <c r="T7496" s="8" t="n"/>
      <c r="U7496" s="8" t="n"/>
      <c r="V7496" s="8" t="n"/>
      <c r="W7496" s="8" t="n"/>
      <c r="X7496" s="8" t="n"/>
      <c r="Y7496" s="8" t="n"/>
    </row>
    <row r="7497">
      <c r="A7497" s="8" t="n"/>
      <c r="B7497" s="8" t="n"/>
      <c r="C7497" s="8" t="n"/>
      <c r="D7497" s="8" t="n"/>
      <c r="E7497" s="8" t="n"/>
      <c r="F7497" s="8" t="n"/>
      <c r="G7497" s="8" t="n"/>
      <c r="H7497" s="8" t="n"/>
      <c r="I7497" s="8" t="n"/>
      <c r="J7497" s="8" t="n"/>
      <c r="K7497" s="8" t="n"/>
      <c r="L7497" s="8" t="n"/>
      <c r="M7497" s="9">
        <f>B7497+30</f>
        <v/>
      </c>
      <c r="N7497">
        <f>IF(L7497="", "", L7497-B7497)</f>
        <v/>
      </c>
      <c r="O7497">
        <f>IF(L7497="", "Pending", IF(N7497&lt;=30, "Met", "Breached"))</f>
        <v/>
      </c>
      <c r="P7497" s="8" t="n"/>
      <c r="Q7497" s="8" t="n"/>
      <c r="R7497" s="8" t="n"/>
      <c r="S7497" s="8" t="n"/>
      <c r="T7497" s="8" t="n"/>
      <c r="U7497" s="8" t="n"/>
      <c r="V7497" s="8" t="n"/>
      <c r="W7497" s="8" t="n"/>
      <c r="X7497" s="8" t="n"/>
      <c r="Y7497" s="8" t="n"/>
    </row>
    <row r="7498">
      <c r="A7498" s="8" t="n"/>
      <c r="B7498" s="8" t="n"/>
      <c r="C7498" s="8" t="n"/>
      <c r="D7498" s="8" t="n"/>
      <c r="E7498" s="8" t="n"/>
      <c r="F7498" s="8" t="n"/>
      <c r="G7498" s="8" t="n"/>
      <c r="H7498" s="8" t="n"/>
      <c r="I7498" s="8" t="n"/>
      <c r="J7498" s="8" t="n"/>
      <c r="K7498" s="8" t="n"/>
      <c r="L7498" s="8" t="n"/>
      <c r="M7498" s="9">
        <f>B7498+30</f>
        <v/>
      </c>
      <c r="N7498">
        <f>IF(L7498="", "", L7498-B7498)</f>
        <v/>
      </c>
      <c r="O7498">
        <f>IF(L7498="", "Pending", IF(N7498&lt;=30, "Met", "Breached"))</f>
        <v/>
      </c>
      <c r="P7498" s="8" t="n"/>
      <c r="Q7498" s="8" t="n"/>
      <c r="R7498" s="8" t="n"/>
      <c r="S7498" s="8" t="n"/>
      <c r="T7498" s="8" t="n"/>
      <c r="U7498" s="8" t="n"/>
      <c r="V7498" s="8" t="n"/>
      <c r="W7498" s="8" t="n"/>
      <c r="X7498" s="8" t="n"/>
      <c r="Y7498" s="8" t="n"/>
    </row>
    <row r="7499">
      <c r="A7499" s="8" t="n"/>
      <c r="B7499" s="8" t="n"/>
      <c r="C7499" s="8" t="n"/>
      <c r="D7499" s="8" t="n"/>
      <c r="E7499" s="8" t="n"/>
      <c r="F7499" s="8" t="n"/>
      <c r="G7499" s="8" t="n"/>
      <c r="H7499" s="8" t="n"/>
      <c r="I7499" s="8" t="n"/>
      <c r="J7499" s="8" t="n"/>
      <c r="K7499" s="8" t="n"/>
      <c r="L7499" s="8" t="n"/>
      <c r="M7499" s="9">
        <f>B7499+30</f>
        <v/>
      </c>
      <c r="N7499">
        <f>IF(L7499="", "", L7499-B7499)</f>
        <v/>
      </c>
      <c r="O7499">
        <f>IF(L7499="", "Pending", IF(N7499&lt;=30, "Met", "Breached"))</f>
        <v/>
      </c>
      <c r="P7499" s="8" t="n"/>
      <c r="Q7499" s="8" t="n"/>
      <c r="R7499" s="8" t="n"/>
      <c r="S7499" s="8" t="n"/>
      <c r="T7499" s="8" t="n"/>
      <c r="U7499" s="8" t="n"/>
      <c r="V7499" s="8" t="n"/>
      <c r="W7499" s="8" t="n"/>
      <c r="X7499" s="8" t="n"/>
      <c r="Y7499" s="8" t="n"/>
    </row>
    <row r="7500">
      <c r="A7500" s="8" t="n"/>
      <c r="B7500" s="8" t="n"/>
      <c r="C7500" s="8" t="n"/>
      <c r="D7500" s="8" t="n"/>
      <c r="E7500" s="8" t="n"/>
      <c r="F7500" s="8" t="n"/>
      <c r="G7500" s="8" t="n"/>
      <c r="H7500" s="8" t="n"/>
      <c r="I7500" s="8" t="n"/>
      <c r="J7500" s="8" t="n"/>
      <c r="K7500" s="8" t="n"/>
      <c r="L7500" s="8" t="n"/>
      <c r="M7500" s="9">
        <f>B7500+30</f>
        <v/>
      </c>
      <c r="N7500">
        <f>IF(L7500="", "", L7500-B7500)</f>
        <v/>
      </c>
      <c r="O7500">
        <f>IF(L7500="", "Pending", IF(N7500&lt;=30, "Met", "Breached"))</f>
        <v/>
      </c>
      <c r="P7500" s="8" t="n"/>
      <c r="Q7500" s="8" t="n"/>
      <c r="R7500" s="8" t="n"/>
      <c r="S7500" s="8" t="n"/>
      <c r="T7500" s="8" t="n"/>
      <c r="U7500" s="8" t="n"/>
      <c r="V7500" s="8" t="n"/>
      <c r="W7500" s="8" t="n"/>
      <c r="X7500" s="8" t="n"/>
      <c r="Y7500" s="8" t="n"/>
    </row>
    <row r="7501">
      <c r="A7501" s="8" t="n"/>
      <c r="B7501" s="8" t="n"/>
      <c r="C7501" s="8" t="n"/>
      <c r="D7501" s="8" t="n"/>
      <c r="E7501" s="8" t="n"/>
      <c r="F7501" s="8" t="n"/>
      <c r="G7501" s="8" t="n"/>
      <c r="H7501" s="8" t="n"/>
      <c r="I7501" s="8" t="n"/>
      <c r="J7501" s="8" t="n"/>
      <c r="K7501" s="8" t="n"/>
      <c r="L7501" s="8" t="n"/>
      <c r="M7501" s="9">
        <f>B7501+30</f>
        <v/>
      </c>
      <c r="N7501">
        <f>IF(L7501="", "", L7501-B7501)</f>
        <v/>
      </c>
      <c r="O7501">
        <f>IF(L7501="", "Pending", IF(N7501&lt;=30, "Met", "Breached"))</f>
        <v/>
      </c>
      <c r="P7501" s="8" t="n"/>
      <c r="Q7501" s="8" t="n"/>
      <c r="R7501" s="8" t="n"/>
      <c r="S7501" s="8" t="n"/>
      <c r="T7501" s="8" t="n"/>
      <c r="U7501" s="8" t="n"/>
      <c r="V7501" s="8" t="n"/>
      <c r="W7501" s="8" t="n"/>
      <c r="X7501" s="8" t="n"/>
      <c r="Y7501" s="8" t="n"/>
    </row>
    <row r="7502">
      <c r="A7502" s="8" t="n"/>
      <c r="B7502" s="8" t="n"/>
      <c r="C7502" s="8" t="n"/>
      <c r="D7502" s="8" t="n"/>
      <c r="E7502" s="8" t="n"/>
      <c r="F7502" s="8" t="n"/>
      <c r="G7502" s="8" t="n"/>
      <c r="H7502" s="8" t="n"/>
      <c r="I7502" s="8" t="n"/>
      <c r="J7502" s="8" t="n"/>
      <c r="K7502" s="8" t="n"/>
      <c r="L7502" s="8" t="n"/>
      <c r="M7502" s="9">
        <f>B7502+30</f>
        <v/>
      </c>
      <c r="N7502">
        <f>IF(L7502="", "", L7502-B7502)</f>
        <v/>
      </c>
      <c r="O7502">
        <f>IF(L7502="", "Pending", IF(N7502&lt;=30, "Met", "Breached"))</f>
        <v/>
      </c>
      <c r="P7502" s="8" t="n"/>
      <c r="Q7502" s="8" t="n"/>
      <c r="R7502" s="8" t="n"/>
      <c r="S7502" s="8" t="n"/>
      <c r="T7502" s="8" t="n"/>
      <c r="U7502" s="8" t="n"/>
      <c r="V7502" s="8" t="n"/>
      <c r="W7502" s="8" t="n"/>
      <c r="X7502" s="8" t="n"/>
      <c r="Y7502" s="8" t="n"/>
    </row>
    <row r="7503">
      <c r="A7503" s="8" t="n"/>
      <c r="B7503" s="8" t="n"/>
      <c r="C7503" s="8" t="n"/>
      <c r="D7503" s="8" t="n"/>
      <c r="E7503" s="8" t="n"/>
      <c r="F7503" s="8" t="n"/>
      <c r="G7503" s="8" t="n"/>
      <c r="H7503" s="8" t="n"/>
      <c r="I7503" s="8" t="n"/>
      <c r="J7503" s="8" t="n"/>
      <c r="K7503" s="8" t="n"/>
      <c r="L7503" s="8" t="n"/>
      <c r="M7503" s="9">
        <f>B7503+30</f>
        <v/>
      </c>
      <c r="N7503">
        <f>IF(L7503="", "", L7503-B7503)</f>
        <v/>
      </c>
      <c r="O7503">
        <f>IF(L7503="", "Pending", IF(N7503&lt;=30, "Met", "Breached"))</f>
        <v/>
      </c>
      <c r="P7503" s="8" t="n"/>
      <c r="Q7503" s="8" t="n"/>
      <c r="R7503" s="8" t="n"/>
      <c r="S7503" s="8" t="n"/>
      <c r="T7503" s="8" t="n"/>
      <c r="U7503" s="8" t="n"/>
      <c r="V7503" s="8" t="n"/>
      <c r="W7503" s="8" t="n"/>
      <c r="X7503" s="8" t="n"/>
      <c r="Y7503" s="8" t="n"/>
    </row>
    <row r="7504">
      <c r="A7504" s="8" t="n"/>
      <c r="B7504" s="8" t="n"/>
      <c r="C7504" s="8" t="n"/>
      <c r="D7504" s="8" t="n"/>
      <c r="E7504" s="8" t="n"/>
      <c r="F7504" s="8" t="n"/>
      <c r="G7504" s="8" t="n"/>
      <c r="H7504" s="8" t="n"/>
      <c r="I7504" s="8" t="n"/>
      <c r="J7504" s="8" t="n"/>
      <c r="K7504" s="8" t="n"/>
      <c r="L7504" s="8" t="n"/>
      <c r="M7504" s="9">
        <f>B7504+30</f>
        <v/>
      </c>
      <c r="N7504">
        <f>IF(L7504="", "", L7504-B7504)</f>
        <v/>
      </c>
      <c r="O7504">
        <f>IF(L7504="", "Pending", IF(N7504&lt;=30, "Met", "Breached"))</f>
        <v/>
      </c>
      <c r="P7504" s="8" t="n"/>
      <c r="Q7504" s="8" t="n"/>
      <c r="R7504" s="8" t="n"/>
      <c r="S7504" s="8" t="n"/>
      <c r="T7504" s="8" t="n"/>
      <c r="U7504" s="8" t="n"/>
      <c r="V7504" s="8" t="n"/>
      <c r="W7504" s="8" t="n"/>
      <c r="X7504" s="8" t="n"/>
      <c r="Y7504" s="8" t="n"/>
    </row>
    <row r="7505">
      <c r="A7505" s="8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8" t="n"/>
      <c r="K7505" s="8" t="n"/>
      <c r="L7505" s="8" t="n"/>
      <c r="M7505" s="9">
        <f>B7505+30</f>
        <v/>
      </c>
      <c r="N7505">
        <f>IF(L7505="", "", L7505-B7505)</f>
        <v/>
      </c>
      <c r="O7505">
        <f>IF(L7505="", "Pending", IF(N7505&lt;=30, "Met", "Breached"))</f>
        <v/>
      </c>
      <c r="P7505" s="8" t="n"/>
      <c r="Q7505" s="8" t="n"/>
      <c r="R7505" s="8" t="n"/>
      <c r="S7505" s="8" t="n"/>
      <c r="T7505" s="8" t="n"/>
      <c r="U7505" s="8" t="n"/>
      <c r="V7505" s="8" t="n"/>
      <c r="W7505" s="8" t="n"/>
      <c r="X7505" s="8" t="n"/>
      <c r="Y7505" s="8" t="n"/>
    </row>
    <row r="7506">
      <c r="A7506" s="8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8" t="n"/>
      <c r="K7506" s="8" t="n"/>
      <c r="L7506" s="8" t="n"/>
      <c r="M7506" s="9">
        <f>B7506+30</f>
        <v/>
      </c>
      <c r="N7506">
        <f>IF(L7506="", "", L7506-B7506)</f>
        <v/>
      </c>
      <c r="O7506">
        <f>IF(L7506="", "Pending", IF(N7506&lt;=30, "Met", "Breached"))</f>
        <v/>
      </c>
      <c r="P7506" s="8" t="n"/>
      <c r="Q7506" s="8" t="n"/>
      <c r="R7506" s="8" t="n"/>
      <c r="S7506" s="8" t="n"/>
      <c r="T7506" s="8" t="n"/>
      <c r="U7506" s="8" t="n"/>
      <c r="V7506" s="8" t="n"/>
      <c r="W7506" s="8" t="n"/>
      <c r="X7506" s="8" t="n"/>
      <c r="Y7506" s="8" t="n"/>
    </row>
    <row r="7507">
      <c r="A7507" s="8" t="n"/>
      <c r="B7507" s="8" t="n"/>
      <c r="C7507" s="8" t="n"/>
      <c r="D7507" s="8" t="n"/>
      <c r="E7507" s="8" t="n"/>
      <c r="F7507" s="8" t="n"/>
      <c r="G7507" s="8" t="n"/>
      <c r="H7507" s="8" t="n"/>
      <c r="I7507" s="8" t="n"/>
      <c r="J7507" s="8" t="n"/>
      <c r="K7507" s="8" t="n"/>
      <c r="L7507" s="8" t="n"/>
      <c r="M7507" s="9">
        <f>B7507+30</f>
        <v/>
      </c>
      <c r="N7507">
        <f>IF(L7507="", "", L7507-B7507)</f>
        <v/>
      </c>
      <c r="O7507">
        <f>IF(L7507="", "Pending", IF(N7507&lt;=30, "Met", "Breached"))</f>
        <v/>
      </c>
      <c r="P7507" s="8" t="n"/>
      <c r="Q7507" s="8" t="n"/>
      <c r="R7507" s="8" t="n"/>
      <c r="S7507" s="8" t="n"/>
      <c r="T7507" s="8" t="n"/>
      <c r="U7507" s="8" t="n"/>
      <c r="V7507" s="8" t="n"/>
      <c r="W7507" s="8" t="n"/>
      <c r="X7507" s="8" t="n"/>
      <c r="Y7507" s="8" t="n"/>
    </row>
    <row r="7508">
      <c r="A7508" s="8" t="n"/>
      <c r="B7508" s="8" t="n"/>
      <c r="C7508" s="8" t="n"/>
      <c r="D7508" s="8" t="n"/>
      <c r="E7508" s="8" t="n"/>
      <c r="F7508" s="8" t="n"/>
      <c r="G7508" s="8" t="n"/>
      <c r="H7508" s="8" t="n"/>
      <c r="I7508" s="8" t="n"/>
      <c r="J7508" s="8" t="n"/>
      <c r="K7508" s="8" t="n"/>
      <c r="L7508" s="8" t="n"/>
      <c r="M7508" s="9">
        <f>B7508+30</f>
        <v/>
      </c>
      <c r="N7508">
        <f>IF(L7508="", "", L7508-B7508)</f>
        <v/>
      </c>
      <c r="O7508">
        <f>IF(L7508="", "Pending", IF(N7508&lt;=30, "Met", "Breached"))</f>
        <v/>
      </c>
      <c r="P7508" s="8" t="n"/>
      <c r="Q7508" s="8" t="n"/>
      <c r="R7508" s="8" t="n"/>
      <c r="S7508" s="8" t="n"/>
      <c r="T7508" s="8" t="n"/>
      <c r="U7508" s="8" t="n"/>
      <c r="V7508" s="8" t="n"/>
      <c r="W7508" s="8" t="n"/>
      <c r="X7508" s="8" t="n"/>
      <c r="Y7508" s="8" t="n"/>
    </row>
    <row r="7509">
      <c r="A7509" s="8" t="n"/>
      <c r="B7509" s="8" t="n"/>
      <c r="C7509" s="8" t="n"/>
      <c r="D7509" s="8" t="n"/>
      <c r="E7509" s="8" t="n"/>
      <c r="F7509" s="8" t="n"/>
      <c r="G7509" s="8" t="n"/>
      <c r="H7509" s="8" t="n"/>
      <c r="I7509" s="8" t="n"/>
      <c r="J7509" s="8" t="n"/>
      <c r="K7509" s="8" t="n"/>
      <c r="L7509" s="8" t="n"/>
      <c r="M7509" s="9">
        <f>B7509+30</f>
        <v/>
      </c>
      <c r="N7509">
        <f>IF(L7509="", "", L7509-B7509)</f>
        <v/>
      </c>
      <c r="O7509">
        <f>IF(L7509="", "Pending", IF(N7509&lt;=30, "Met", "Breached"))</f>
        <v/>
      </c>
      <c r="P7509" s="8" t="n"/>
      <c r="Q7509" s="8" t="n"/>
      <c r="R7509" s="8" t="n"/>
      <c r="S7509" s="8" t="n"/>
      <c r="T7509" s="8" t="n"/>
      <c r="U7509" s="8" t="n"/>
      <c r="V7509" s="8" t="n"/>
      <c r="W7509" s="8" t="n"/>
      <c r="X7509" s="8" t="n"/>
      <c r="Y7509" s="8" t="n"/>
    </row>
    <row r="7510">
      <c r="A7510" s="8" t="n"/>
      <c r="B7510" s="8" t="n"/>
      <c r="C7510" s="8" t="n"/>
      <c r="D7510" s="8" t="n"/>
      <c r="E7510" s="8" t="n"/>
      <c r="F7510" s="8" t="n"/>
      <c r="G7510" s="8" t="n"/>
      <c r="H7510" s="8" t="n"/>
      <c r="I7510" s="8" t="n"/>
      <c r="J7510" s="8" t="n"/>
      <c r="K7510" s="8" t="n"/>
      <c r="L7510" s="8" t="n"/>
      <c r="M7510" s="9">
        <f>B7510+30</f>
        <v/>
      </c>
      <c r="N7510">
        <f>IF(L7510="", "", L7510-B7510)</f>
        <v/>
      </c>
      <c r="O7510">
        <f>IF(L7510="", "Pending", IF(N7510&lt;=30, "Met", "Breached"))</f>
        <v/>
      </c>
      <c r="P7510" s="8" t="n"/>
      <c r="Q7510" s="8" t="n"/>
      <c r="R7510" s="8" t="n"/>
      <c r="S7510" s="8" t="n"/>
      <c r="T7510" s="8" t="n"/>
      <c r="U7510" s="8" t="n"/>
      <c r="V7510" s="8" t="n"/>
      <c r="W7510" s="8" t="n"/>
      <c r="X7510" s="8" t="n"/>
      <c r="Y7510" s="8" t="n"/>
    </row>
    <row r="7511">
      <c r="A7511" s="8" t="n"/>
      <c r="B7511" s="8" t="n"/>
      <c r="C7511" s="8" t="n"/>
      <c r="D7511" s="8" t="n"/>
      <c r="E7511" s="8" t="n"/>
      <c r="F7511" s="8" t="n"/>
      <c r="G7511" s="8" t="n"/>
      <c r="H7511" s="8" t="n"/>
      <c r="I7511" s="8" t="n"/>
      <c r="J7511" s="8" t="n"/>
      <c r="K7511" s="8" t="n"/>
      <c r="L7511" s="8" t="n"/>
      <c r="M7511" s="9">
        <f>B7511+30</f>
        <v/>
      </c>
      <c r="N7511">
        <f>IF(L7511="", "", L7511-B7511)</f>
        <v/>
      </c>
      <c r="O7511">
        <f>IF(L7511="", "Pending", IF(N7511&lt;=30, "Met", "Breached"))</f>
        <v/>
      </c>
      <c r="P7511" s="8" t="n"/>
      <c r="Q7511" s="8" t="n"/>
      <c r="R7511" s="8" t="n"/>
      <c r="S7511" s="8" t="n"/>
      <c r="T7511" s="8" t="n"/>
      <c r="U7511" s="8" t="n"/>
      <c r="V7511" s="8" t="n"/>
      <c r="W7511" s="8" t="n"/>
      <c r="X7511" s="8" t="n"/>
      <c r="Y7511" s="8" t="n"/>
    </row>
    <row r="7512">
      <c r="A7512" s="8" t="n"/>
      <c r="B7512" s="8" t="n"/>
      <c r="C7512" s="8" t="n"/>
      <c r="D7512" s="8" t="n"/>
      <c r="E7512" s="8" t="n"/>
      <c r="F7512" s="8" t="n"/>
      <c r="G7512" s="8" t="n"/>
      <c r="H7512" s="8" t="n"/>
      <c r="I7512" s="8" t="n"/>
      <c r="J7512" s="8" t="n"/>
      <c r="K7512" s="8" t="n"/>
      <c r="L7512" s="8" t="n"/>
      <c r="M7512" s="9">
        <f>B7512+30</f>
        <v/>
      </c>
      <c r="N7512">
        <f>IF(L7512="", "", L7512-B7512)</f>
        <v/>
      </c>
      <c r="O7512">
        <f>IF(L7512="", "Pending", IF(N7512&lt;=30, "Met", "Breached"))</f>
        <v/>
      </c>
      <c r="P7512" s="8" t="n"/>
      <c r="Q7512" s="8" t="n"/>
      <c r="R7512" s="8" t="n"/>
      <c r="S7512" s="8" t="n"/>
      <c r="T7512" s="8" t="n"/>
      <c r="U7512" s="8" t="n"/>
      <c r="V7512" s="8" t="n"/>
      <c r="W7512" s="8" t="n"/>
      <c r="X7512" s="8" t="n"/>
      <c r="Y7512" s="8" t="n"/>
    </row>
    <row r="7513">
      <c r="A7513" s="8" t="n"/>
      <c r="B7513" s="8" t="n"/>
      <c r="C7513" s="8" t="n"/>
      <c r="D7513" s="8" t="n"/>
      <c r="E7513" s="8" t="n"/>
      <c r="F7513" s="8" t="n"/>
      <c r="G7513" s="8" t="n"/>
      <c r="H7513" s="8" t="n"/>
      <c r="I7513" s="8" t="n"/>
      <c r="J7513" s="8" t="n"/>
      <c r="K7513" s="8" t="n"/>
      <c r="L7513" s="8" t="n"/>
      <c r="M7513" s="9">
        <f>B7513+30</f>
        <v/>
      </c>
      <c r="N7513">
        <f>IF(L7513="", "", L7513-B7513)</f>
        <v/>
      </c>
      <c r="O7513">
        <f>IF(L7513="", "Pending", IF(N7513&lt;=30, "Met", "Breached"))</f>
        <v/>
      </c>
      <c r="P7513" s="8" t="n"/>
      <c r="Q7513" s="8" t="n"/>
      <c r="R7513" s="8" t="n"/>
      <c r="S7513" s="8" t="n"/>
      <c r="T7513" s="8" t="n"/>
      <c r="U7513" s="8" t="n"/>
      <c r="V7513" s="8" t="n"/>
      <c r="W7513" s="8" t="n"/>
      <c r="X7513" s="8" t="n"/>
      <c r="Y7513" s="8" t="n"/>
    </row>
    <row r="7514">
      <c r="A7514" s="8" t="n"/>
      <c r="B7514" s="8" t="n"/>
      <c r="C7514" s="8" t="n"/>
      <c r="D7514" s="8" t="n"/>
      <c r="E7514" s="8" t="n"/>
      <c r="F7514" s="8" t="n"/>
      <c r="G7514" s="8" t="n"/>
      <c r="H7514" s="8" t="n"/>
      <c r="I7514" s="8" t="n"/>
      <c r="J7514" s="8" t="n"/>
      <c r="K7514" s="8" t="n"/>
      <c r="L7514" s="8" t="n"/>
      <c r="M7514" s="9">
        <f>B7514+30</f>
        <v/>
      </c>
      <c r="N7514">
        <f>IF(L7514="", "", L7514-B7514)</f>
        <v/>
      </c>
      <c r="O7514">
        <f>IF(L7514="", "Pending", IF(N7514&lt;=30, "Met", "Breached"))</f>
        <v/>
      </c>
      <c r="P7514" s="8" t="n"/>
      <c r="Q7514" s="8" t="n"/>
      <c r="R7514" s="8" t="n"/>
      <c r="S7514" s="8" t="n"/>
      <c r="T7514" s="8" t="n"/>
      <c r="U7514" s="8" t="n"/>
      <c r="V7514" s="8" t="n"/>
      <c r="W7514" s="8" t="n"/>
      <c r="X7514" s="8" t="n"/>
      <c r="Y7514" s="8" t="n"/>
    </row>
    <row r="7515">
      <c r="A7515" s="8" t="n"/>
      <c r="B7515" s="8" t="n"/>
      <c r="C7515" s="8" t="n"/>
      <c r="D7515" s="8" t="n"/>
      <c r="E7515" s="8" t="n"/>
      <c r="F7515" s="8" t="n"/>
      <c r="G7515" s="8" t="n"/>
      <c r="H7515" s="8" t="n"/>
      <c r="I7515" s="8" t="n"/>
      <c r="J7515" s="8" t="n"/>
      <c r="K7515" s="8" t="n"/>
      <c r="L7515" s="8" t="n"/>
      <c r="M7515" s="9">
        <f>B7515+30</f>
        <v/>
      </c>
      <c r="N7515">
        <f>IF(L7515="", "", L7515-B7515)</f>
        <v/>
      </c>
      <c r="O7515">
        <f>IF(L7515="", "Pending", IF(N7515&lt;=30, "Met", "Breached"))</f>
        <v/>
      </c>
      <c r="P7515" s="8" t="n"/>
      <c r="Q7515" s="8" t="n"/>
      <c r="R7515" s="8" t="n"/>
      <c r="S7515" s="8" t="n"/>
      <c r="T7515" s="8" t="n"/>
      <c r="U7515" s="8" t="n"/>
      <c r="V7515" s="8" t="n"/>
      <c r="W7515" s="8" t="n"/>
      <c r="X7515" s="8" t="n"/>
      <c r="Y7515" s="8" t="n"/>
    </row>
    <row r="7516">
      <c r="A7516" s="8" t="n"/>
      <c r="B7516" s="8" t="n"/>
      <c r="C7516" s="8" t="n"/>
      <c r="D7516" s="8" t="n"/>
      <c r="E7516" s="8" t="n"/>
      <c r="F7516" s="8" t="n"/>
      <c r="G7516" s="8" t="n"/>
      <c r="H7516" s="8" t="n"/>
      <c r="I7516" s="8" t="n"/>
      <c r="J7516" s="8" t="n"/>
      <c r="K7516" s="8" t="n"/>
      <c r="L7516" s="8" t="n"/>
      <c r="M7516" s="9">
        <f>B7516+30</f>
        <v/>
      </c>
      <c r="N7516">
        <f>IF(L7516="", "", L7516-B7516)</f>
        <v/>
      </c>
      <c r="O7516">
        <f>IF(L7516="", "Pending", IF(N7516&lt;=30, "Met", "Breached"))</f>
        <v/>
      </c>
      <c r="P7516" s="8" t="n"/>
      <c r="Q7516" s="8" t="n"/>
      <c r="R7516" s="8" t="n"/>
      <c r="S7516" s="8" t="n"/>
      <c r="T7516" s="8" t="n"/>
      <c r="U7516" s="8" t="n"/>
      <c r="V7516" s="8" t="n"/>
      <c r="W7516" s="8" t="n"/>
      <c r="X7516" s="8" t="n"/>
      <c r="Y7516" s="8" t="n"/>
    </row>
    <row r="7517">
      <c r="A7517" s="8" t="n"/>
      <c r="B7517" s="8" t="n"/>
      <c r="C7517" s="8" t="n"/>
      <c r="D7517" s="8" t="n"/>
      <c r="E7517" s="8" t="n"/>
      <c r="F7517" s="8" t="n"/>
      <c r="G7517" s="8" t="n"/>
      <c r="H7517" s="8" t="n"/>
      <c r="I7517" s="8" t="n"/>
      <c r="J7517" s="8" t="n"/>
      <c r="K7517" s="8" t="n"/>
      <c r="L7517" s="8" t="n"/>
      <c r="M7517" s="9">
        <f>B7517+30</f>
        <v/>
      </c>
      <c r="N7517">
        <f>IF(L7517="", "", L7517-B7517)</f>
        <v/>
      </c>
      <c r="O7517">
        <f>IF(L7517="", "Pending", IF(N7517&lt;=30, "Met", "Breached"))</f>
        <v/>
      </c>
      <c r="P7517" s="8" t="n"/>
      <c r="Q7517" s="8" t="n"/>
      <c r="R7517" s="8" t="n"/>
      <c r="S7517" s="8" t="n"/>
      <c r="T7517" s="8" t="n"/>
      <c r="U7517" s="8" t="n"/>
      <c r="V7517" s="8" t="n"/>
      <c r="W7517" s="8" t="n"/>
      <c r="X7517" s="8" t="n"/>
      <c r="Y7517" s="8" t="n"/>
    </row>
    <row r="7518">
      <c r="A7518" s="8" t="n"/>
      <c r="B7518" s="8" t="n"/>
      <c r="C7518" s="8" t="n"/>
      <c r="D7518" s="8" t="n"/>
      <c r="E7518" s="8" t="n"/>
      <c r="F7518" s="8" t="n"/>
      <c r="G7518" s="8" t="n"/>
      <c r="H7518" s="8" t="n"/>
      <c r="I7518" s="8" t="n"/>
      <c r="J7518" s="8" t="n"/>
      <c r="K7518" s="8" t="n"/>
      <c r="L7518" s="8" t="n"/>
      <c r="M7518" s="9">
        <f>B7518+30</f>
        <v/>
      </c>
      <c r="N7518">
        <f>IF(L7518="", "", L7518-B7518)</f>
        <v/>
      </c>
      <c r="O7518">
        <f>IF(L7518="", "Pending", IF(N7518&lt;=30, "Met", "Breached"))</f>
        <v/>
      </c>
      <c r="P7518" s="8" t="n"/>
      <c r="Q7518" s="8" t="n"/>
      <c r="R7518" s="8" t="n"/>
      <c r="S7518" s="8" t="n"/>
      <c r="T7518" s="8" t="n"/>
      <c r="U7518" s="8" t="n"/>
      <c r="V7518" s="8" t="n"/>
      <c r="W7518" s="8" t="n"/>
      <c r="X7518" s="8" t="n"/>
      <c r="Y7518" s="8" t="n"/>
    </row>
    <row r="7519">
      <c r="A7519" s="8" t="n"/>
      <c r="B7519" s="8" t="n"/>
      <c r="C7519" s="8" t="n"/>
      <c r="D7519" s="8" t="n"/>
      <c r="E7519" s="8" t="n"/>
      <c r="F7519" s="8" t="n"/>
      <c r="G7519" s="8" t="n"/>
      <c r="H7519" s="8" t="n"/>
      <c r="I7519" s="8" t="n"/>
      <c r="J7519" s="8" t="n"/>
      <c r="K7519" s="8" t="n"/>
      <c r="L7519" s="8" t="n"/>
      <c r="M7519" s="9">
        <f>B7519+30</f>
        <v/>
      </c>
      <c r="N7519">
        <f>IF(L7519="", "", L7519-B7519)</f>
        <v/>
      </c>
      <c r="O7519">
        <f>IF(L7519="", "Pending", IF(N7519&lt;=30, "Met", "Breached"))</f>
        <v/>
      </c>
      <c r="P7519" s="8" t="n"/>
      <c r="Q7519" s="8" t="n"/>
      <c r="R7519" s="8" t="n"/>
      <c r="S7519" s="8" t="n"/>
      <c r="T7519" s="8" t="n"/>
      <c r="U7519" s="8" t="n"/>
      <c r="V7519" s="8" t="n"/>
      <c r="W7519" s="8" t="n"/>
      <c r="X7519" s="8" t="n"/>
      <c r="Y7519" s="8" t="n"/>
    </row>
    <row r="7520">
      <c r="A7520" s="8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8" t="n"/>
      <c r="K7520" s="8" t="n"/>
      <c r="L7520" s="8" t="n"/>
      <c r="M7520" s="9">
        <f>B7520+30</f>
        <v/>
      </c>
      <c r="N7520">
        <f>IF(L7520="", "", L7520-B7520)</f>
        <v/>
      </c>
      <c r="O7520">
        <f>IF(L7520="", "Pending", IF(N7520&lt;=30, "Met", "Breached"))</f>
        <v/>
      </c>
      <c r="P7520" s="8" t="n"/>
      <c r="Q7520" s="8" t="n"/>
      <c r="R7520" s="8" t="n"/>
      <c r="S7520" s="8" t="n"/>
      <c r="T7520" s="8" t="n"/>
      <c r="U7520" s="8" t="n"/>
      <c r="V7520" s="8" t="n"/>
      <c r="W7520" s="8" t="n"/>
      <c r="X7520" s="8" t="n"/>
      <c r="Y7520" s="8" t="n"/>
    </row>
    <row r="7521">
      <c r="A7521" s="8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8" t="n"/>
      <c r="K7521" s="8" t="n"/>
      <c r="L7521" s="8" t="n"/>
      <c r="M7521" s="9">
        <f>B7521+30</f>
        <v/>
      </c>
      <c r="N7521">
        <f>IF(L7521="", "", L7521-B7521)</f>
        <v/>
      </c>
      <c r="O7521">
        <f>IF(L7521="", "Pending", IF(N7521&lt;=30, "Met", "Breached"))</f>
        <v/>
      </c>
      <c r="P7521" s="8" t="n"/>
      <c r="Q7521" s="8" t="n"/>
      <c r="R7521" s="8" t="n"/>
      <c r="S7521" s="8" t="n"/>
      <c r="T7521" s="8" t="n"/>
      <c r="U7521" s="8" t="n"/>
      <c r="V7521" s="8" t="n"/>
      <c r="W7521" s="8" t="n"/>
      <c r="X7521" s="8" t="n"/>
      <c r="Y7521" s="8" t="n"/>
    </row>
    <row r="7522">
      <c r="A7522" s="8" t="n"/>
      <c r="B7522" s="8" t="n"/>
      <c r="C7522" s="8" t="n"/>
      <c r="D7522" s="8" t="n"/>
      <c r="E7522" s="8" t="n"/>
      <c r="F7522" s="8" t="n"/>
      <c r="G7522" s="8" t="n"/>
      <c r="H7522" s="8" t="n"/>
      <c r="I7522" s="8" t="n"/>
      <c r="J7522" s="8" t="n"/>
      <c r="K7522" s="8" t="n"/>
      <c r="L7522" s="8" t="n"/>
      <c r="M7522" s="9">
        <f>B7522+30</f>
        <v/>
      </c>
      <c r="N7522">
        <f>IF(L7522="", "", L7522-B7522)</f>
        <v/>
      </c>
      <c r="O7522">
        <f>IF(L7522="", "Pending", IF(N7522&lt;=30, "Met", "Breached"))</f>
        <v/>
      </c>
      <c r="P7522" s="8" t="n"/>
      <c r="Q7522" s="8" t="n"/>
      <c r="R7522" s="8" t="n"/>
      <c r="S7522" s="8" t="n"/>
      <c r="T7522" s="8" t="n"/>
      <c r="U7522" s="8" t="n"/>
      <c r="V7522" s="8" t="n"/>
      <c r="W7522" s="8" t="n"/>
      <c r="X7522" s="8" t="n"/>
      <c r="Y7522" s="8" t="n"/>
    </row>
    <row r="7523">
      <c r="A7523" s="8" t="n"/>
      <c r="B7523" s="8" t="n"/>
      <c r="C7523" s="8" t="n"/>
      <c r="D7523" s="8" t="n"/>
      <c r="E7523" s="8" t="n"/>
      <c r="F7523" s="8" t="n"/>
      <c r="G7523" s="8" t="n"/>
      <c r="H7523" s="8" t="n"/>
      <c r="I7523" s="8" t="n"/>
      <c r="J7523" s="8" t="n"/>
      <c r="K7523" s="8" t="n"/>
      <c r="L7523" s="8" t="n"/>
      <c r="M7523" s="9">
        <f>B7523+30</f>
        <v/>
      </c>
      <c r="N7523">
        <f>IF(L7523="", "", L7523-B7523)</f>
        <v/>
      </c>
      <c r="O7523">
        <f>IF(L7523="", "Pending", IF(N7523&lt;=30, "Met", "Breached"))</f>
        <v/>
      </c>
      <c r="P7523" s="8" t="n"/>
      <c r="Q7523" s="8" t="n"/>
      <c r="R7523" s="8" t="n"/>
      <c r="S7523" s="8" t="n"/>
      <c r="T7523" s="8" t="n"/>
      <c r="U7523" s="8" t="n"/>
      <c r="V7523" s="8" t="n"/>
      <c r="W7523" s="8" t="n"/>
      <c r="X7523" s="8" t="n"/>
      <c r="Y7523" s="8" t="n"/>
    </row>
    <row r="7524">
      <c r="A7524" s="8" t="n"/>
      <c r="B7524" s="8" t="n"/>
      <c r="C7524" s="8" t="n"/>
      <c r="D7524" s="8" t="n"/>
      <c r="E7524" s="8" t="n"/>
      <c r="F7524" s="8" t="n"/>
      <c r="G7524" s="8" t="n"/>
      <c r="H7524" s="8" t="n"/>
      <c r="I7524" s="8" t="n"/>
      <c r="J7524" s="8" t="n"/>
      <c r="K7524" s="8" t="n"/>
      <c r="L7524" s="8" t="n"/>
      <c r="M7524" s="9">
        <f>B7524+30</f>
        <v/>
      </c>
      <c r="N7524">
        <f>IF(L7524="", "", L7524-B7524)</f>
        <v/>
      </c>
      <c r="O7524">
        <f>IF(L7524="", "Pending", IF(N7524&lt;=30, "Met", "Breached"))</f>
        <v/>
      </c>
      <c r="P7524" s="8" t="n"/>
      <c r="Q7524" s="8" t="n"/>
      <c r="R7524" s="8" t="n"/>
      <c r="S7524" s="8" t="n"/>
      <c r="T7524" s="8" t="n"/>
      <c r="U7524" s="8" t="n"/>
      <c r="V7524" s="8" t="n"/>
      <c r="W7524" s="8" t="n"/>
      <c r="X7524" s="8" t="n"/>
      <c r="Y7524" s="8" t="n"/>
    </row>
    <row r="7525">
      <c r="A7525" s="8" t="n"/>
      <c r="B7525" s="8" t="n"/>
      <c r="C7525" s="8" t="n"/>
      <c r="D7525" s="8" t="n"/>
      <c r="E7525" s="8" t="n"/>
      <c r="F7525" s="8" t="n"/>
      <c r="G7525" s="8" t="n"/>
      <c r="H7525" s="8" t="n"/>
      <c r="I7525" s="8" t="n"/>
      <c r="J7525" s="8" t="n"/>
      <c r="K7525" s="8" t="n"/>
      <c r="L7525" s="8" t="n"/>
      <c r="M7525" s="9">
        <f>B7525+30</f>
        <v/>
      </c>
      <c r="N7525">
        <f>IF(L7525="", "", L7525-B7525)</f>
        <v/>
      </c>
      <c r="O7525">
        <f>IF(L7525="", "Pending", IF(N7525&lt;=30, "Met", "Breached"))</f>
        <v/>
      </c>
      <c r="P7525" s="8" t="n"/>
      <c r="Q7525" s="8" t="n"/>
      <c r="R7525" s="8" t="n"/>
      <c r="S7525" s="8" t="n"/>
      <c r="T7525" s="8" t="n"/>
      <c r="U7525" s="8" t="n"/>
      <c r="V7525" s="8" t="n"/>
      <c r="W7525" s="8" t="n"/>
      <c r="X7525" s="8" t="n"/>
      <c r="Y7525" s="8" t="n"/>
    </row>
    <row r="7526">
      <c r="A7526" s="8" t="n"/>
      <c r="B7526" s="8" t="n"/>
      <c r="C7526" s="8" t="n"/>
      <c r="D7526" s="8" t="n"/>
      <c r="E7526" s="8" t="n"/>
      <c r="F7526" s="8" t="n"/>
      <c r="G7526" s="8" t="n"/>
      <c r="H7526" s="8" t="n"/>
      <c r="I7526" s="8" t="n"/>
      <c r="J7526" s="8" t="n"/>
      <c r="K7526" s="8" t="n"/>
      <c r="L7526" s="8" t="n"/>
      <c r="M7526" s="9">
        <f>B7526+30</f>
        <v/>
      </c>
      <c r="N7526">
        <f>IF(L7526="", "", L7526-B7526)</f>
        <v/>
      </c>
      <c r="O7526">
        <f>IF(L7526="", "Pending", IF(N7526&lt;=30, "Met", "Breached"))</f>
        <v/>
      </c>
      <c r="P7526" s="8" t="n"/>
      <c r="Q7526" s="8" t="n"/>
      <c r="R7526" s="8" t="n"/>
      <c r="S7526" s="8" t="n"/>
      <c r="T7526" s="8" t="n"/>
      <c r="U7526" s="8" t="n"/>
      <c r="V7526" s="8" t="n"/>
      <c r="W7526" s="8" t="n"/>
      <c r="X7526" s="8" t="n"/>
      <c r="Y7526" s="8" t="n"/>
    </row>
    <row r="7527">
      <c r="A7527" s="8" t="n"/>
      <c r="B7527" s="8" t="n"/>
      <c r="C7527" s="8" t="n"/>
      <c r="D7527" s="8" t="n"/>
      <c r="E7527" s="8" t="n"/>
      <c r="F7527" s="8" t="n"/>
      <c r="G7527" s="8" t="n"/>
      <c r="H7527" s="8" t="n"/>
      <c r="I7527" s="8" t="n"/>
      <c r="J7527" s="8" t="n"/>
      <c r="K7527" s="8" t="n"/>
      <c r="L7527" s="8" t="n"/>
      <c r="M7527" s="9">
        <f>B7527+30</f>
        <v/>
      </c>
      <c r="N7527">
        <f>IF(L7527="", "", L7527-B7527)</f>
        <v/>
      </c>
      <c r="O7527">
        <f>IF(L7527="", "Pending", IF(N7527&lt;=30, "Met", "Breached"))</f>
        <v/>
      </c>
      <c r="P7527" s="8" t="n"/>
      <c r="Q7527" s="8" t="n"/>
      <c r="R7527" s="8" t="n"/>
      <c r="S7527" s="8" t="n"/>
      <c r="T7527" s="8" t="n"/>
      <c r="U7527" s="8" t="n"/>
      <c r="V7527" s="8" t="n"/>
      <c r="W7527" s="8" t="n"/>
      <c r="X7527" s="8" t="n"/>
      <c r="Y7527" s="8" t="n"/>
    </row>
    <row r="7528">
      <c r="A7528" s="8" t="n"/>
      <c r="B7528" s="8" t="n"/>
      <c r="C7528" s="8" t="n"/>
      <c r="D7528" s="8" t="n"/>
      <c r="E7528" s="8" t="n"/>
      <c r="F7528" s="8" t="n"/>
      <c r="G7528" s="8" t="n"/>
      <c r="H7528" s="8" t="n"/>
      <c r="I7528" s="8" t="n"/>
      <c r="J7528" s="8" t="n"/>
      <c r="K7528" s="8" t="n"/>
      <c r="L7528" s="8" t="n"/>
      <c r="M7528" s="9">
        <f>B7528+30</f>
        <v/>
      </c>
      <c r="N7528">
        <f>IF(L7528="", "", L7528-B7528)</f>
        <v/>
      </c>
      <c r="O7528">
        <f>IF(L7528="", "Pending", IF(N7528&lt;=30, "Met", "Breached"))</f>
        <v/>
      </c>
      <c r="P7528" s="8" t="n"/>
      <c r="Q7528" s="8" t="n"/>
      <c r="R7528" s="8" t="n"/>
      <c r="S7528" s="8" t="n"/>
      <c r="T7528" s="8" t="n"/>
      <c r="U7528" s="8" t="n"/>
      <c r="V7528" s="8" t="n"/>
      <c r="W7528" s="8" t="n"/>
      <c r="X7528" s="8" t="n"/>
      <c r="Y7528" s="8" t="n"/>
    </row>
    <row r="7529">
      <c r="A7529" s="8" t="n"/>
      <c r="B7529" s="8" t="n"/>
      <c r="C7529" s="8" t="n"/>
      <c r="D7529" s="8" t="n"/>
      <c r="E7529" s="8" t="n"/>
      <c r="F7529" s="8" t="n"/>
      <c r="G7529" s="8" t="n"/>
      <c r="H7529" s="8" t="n"/>
      <c r="I7529" s="8" t="n"/>
      <c r="J7529" s="8" t="n"/>
      <c r="K7529" s="8" t="n"/>
      <c r="L7529" s="8" t="n"/>
      <c r="M7529" s="9">
        <f>B7529+30</f>
        <v/>
      </c>
      <c r="N7529">
        <f>IF(L7529="", "", L7529-B7529)</f>
        <v/>
      </c>
      <c r="O7529">
        <f>IF(L7529="", "Pending", IF(N7529&lt;=30, "Met", "Breached"))</f>
        <v/>
      </c>
      <c r="P7529" s="8" t="n"/>
      <c r="Q7529" s="8" t="n"/>
      <c r="R7529" s="8" t="n"/>
      <c r="S7529" s="8" t="n"/>
      <c r="T7529" s="8" t="n"/>
      <c r="U7529" s="8" t="n"/>
      <c r="V7529" s="8" t="n"/>
      <c r="W7529" s="8" t="n"/>
      <c r="X7529" s="8" t="n"/>
      <c r="Y7529" s="8" t="n"/>
    </row>
    <row r="7530">
      <c r="A7530" s="8" t="n"/>
      <c r="B7530" s="8" t="n"/>
      <c r="C7530" s="8" t="n"/>
      <c r="D7530" s="8" t="n"/>
      <c r="E7530" s="8" t="n"/>
      <c r="F7530" s="8" t="n"/>
      <c r="G7530" s="8" t="n"/>
      <c r="H7530" s="8" t="n"/>
      <c r="I7530" s="8" t="n"/>
      <c r="J7530" s="8" t="n"/>
      <c r="K7530" s="8" t="n"/>
      <c r="L7530" s="8" t="n"/>
      <c r="M7530" s="9">
        <f>B7530+30</f>
        <v/>
      </c>
      <c r="N7530">
        <f>IF(L7530="", "", L7530-B7530)</f>
        <v/>
      </c>
      <c r="O7530">
        <f>IF(L7530="", "Pending", IF(N7530&lt;=30, "Met", "Breached"))</f>
        <v/>
      </c>
      <c r="P7530" s="8" t="n"/>
      <c r="Q7530" s="8" t="n"/>
      <c r="R7530" s="8" t="n"/>
      <c r="S7530" s="8" t="n"/>
      <c r="T7530" s="8" t="n"/>
      <c r="U7530" s="8" t="n"/>
      <c r="V7530" s="8" t="n"/>
      <c r="W7530" s="8" t="n"/>
      <c r="X7530" s="8" t="n"/>
      <c r="Y7530" s="8" t="n"/>
    </row>
    <row r="7531">
      <c r="A7531" s="8" t="n"/>
      <c r="B7531" s="8" t="n"/>
      <c r="C7531" s="8" t="n"/>
      <c r="D7531" s="8" t="n"/>
      <c r="E7531" s="8" t="n"/>
      <c r="F7531" s="8" t="n"/>
      <c r="G7531" s="8" t="n"/>
      <c r="H7531" s="8" t="n"/>
      <c r="I7531" s="8" t="n"/>
      <c r="J7531" s="8" t="n"/>
      <c r="K7531" s="8" t="n"/>
      <c r="L7531" s="8" t="n"/>
      <c r="M7531" s="9">
        <f>B7531+30</f>
        <v/>
      </c>
      <c r="N7531">
        <f>IF(L7531="", "", L7531-B7531)</f>
        <v/>
      </c>
      <c r="O7531">
        <f>IF(L7531="", "Pending", IF(N7531&lt;=30, "Met", "Breached"))</f>
        <v/>
      </c>
      <c r="P7531" s="8" t="n"/>
      <c r="Q7531" s="8" t="n"/>
      <c r="R7531" s="8" t="n"/>
      <c r="S7531" s="8" t="n"/>
      <c r="T7531" s="8" t="n"/>
      <c r="U7531" s="8" t="n"/>
      <c r="V7531" s="8" t="n"/>
      <c r="W7531" s="8" t="n"/>
      <c r="X7531" s="8" t="n"/>
      <c r="Y7531" s="8" t="n"/>
    </row>
    <row r="7532">
      <c r="A7532" s="8" t="n"/>
      <c r="B7532" s="8" t="n"/>
      <c r="C7532" s="8" t="n"/>
      <c r="D7532" s="8" t="n"/>
      <c r="E7532" s="8" t="n"/>
      <c r="F7532" s="8" t="n"/>
      <c r="G7532" s="8" t="n"/>
      <c r="H7532" s="8" t="n"/>
      <c r="I7532" s="8" t="n"/>
      <c r="J7532" s="8" t="n"/>
      <c r="K7532" s="8" t="n"/>
      <c r="L7532" s="8" t="n"/>
      <c r="M7532" s="9">
        <f>B7532+30</f>
        <v/>
      </c>
      <c r="N7532">
        <f>IF(L7532="", "", L7532-B7532)</f>
        <v/>
      </c>
      <c r="O7532">
        <f>IF(L7532="", "Pending", IF(N7532&lt;=30, "Met", "Breached"))</f>
        <v/>
      </c>
      <c r="P7532" s="8" t="n"/>
      <c r="Q7532" s="8" t="n"/>
      <c r="R7532" s="8" t="n"/>
      <c r="S7532" s="8" t="n"/>
      <c r="T7532" s="8" t="n"/>
      <c r="U7532" s="8" t="n"/>
      <c r="V7532" s="8" t="n"/>
      <c r="W7532" s="8" t="n"/>
      <c r="X7532" s="8" t="n"/>
      <c r="Y7532" s="8" t="n"/>
    </row>
    <row r="7533">
      <c r="A7533" s="8" t="n"/>
      <c r="B7533" s="8" t="n"/>
      <c r="C7533" s="8" t="n"/>
      <c r="D7533" s="8" t="n"/>
      <c r="E7533" s="8" t="n"/>
      <c r="F7533" s="8" t="n"/>
      <c r="G7533" s="8" t="n"/>
      <c r="H7533" s="8" t="n"/>
      <c r="I7533" s="8" t="n"/>
      <c r="J7533" s="8" t="n"/>
      <c r="K7533" s="8" t="n"/>
      <c r="L7533" s="8" t="n"/>
      <c r="M7533" s="9">
        <f>B7533+30</f>
        <v/>
      </c>
      <c r="N7533">
        <f>IF(L7533="", "", L7533-B7533)</f>
        <v/>
      </c>
      <c r="O7533">
        <f>IF(L7533="", "Pending", IF(N7533&lt;=30, "Met", "Breached"))</f>
        <v/>
      </c>
      <c r="P7533" s="8" t="n"/>
      <c r="Q7533" s="8" t="n"/>
      <c r="R7533" s="8" t="n"/>
      <c r="S7533" s="8" t="n"/>
      <c r="T7533" s="8" t="n"/>
      <c r="U7533" s="8" t="n"/>
      <c r="V7533" s="8" t="n"/>
      <c r="W7533" s="8" t="n"/>
      <c r="X7533" s="8" t="n"/>
      <c r="Y7533" s="8" t="n"/>
    </row>
    <row r="7534">
      <c r="A7534" s="8" t="n"/>
      <c r="B7534" s="8" t="n"/>
      <c r="C7534" s="8" t="n"/>
      <c r="D7534" s="8" t="n"/>
      <c r="E7534" s="8" t="n"/>
      <c r="F7534" s="8" t="n"/>
      <c r="G7534" s="8" t="n"/>
      <c r="H7534" s="8" t="n"/>
      <c r="I7534" s="8" t="n"/>
      <c r="J7534" s="8" t="n"/>
      <c r="K7534" s="8" t="n"/>
      <c r="L7534" s="8" t="n"/>
      <c r="M7534" s="9">
        <f>B7534+30</f>
        <v/>
      </c>
      <c r="N7534">
        <f>IF(L7534="", "", L7534-B7534)</f>
        <v/>
      </c>
      <c r="O7534">
        <f>IF(L7534="", "Pending", IF(N7534&lt;=30, "Met", "Breached"))</f>
        <v/>
      </c>
      <c r="P7534" s="8" t="n"/>
      <c r="Q7534" s="8" t="n"/>
      <c r="R7534" s="8" t="n"/>
      <c r="S7534" s="8" t="n"/>
      <c r="T7534" s="8" t="n"/>
      <c r="U7534" s="8" t="n"/>
      <c r="V7534" s="8" t="n"/>
      <c r="W7534" s="8" t="n"/>
      <c r="X7534" s="8" t="n"/>
      <c r="Y7534" s="8" t="n"/>
    </row>
    <row r="7535">
      <c r="A7535" s="8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8" t="n"/>
      <c r="K7535" s="8" t="n"/>
      <c r="L7535" s="8" t="n"/>
      <c r="M7535" s="9">
        <f>B7535+30</f>
        <v/>
      </c>
      <c r="N7535">
        <f>IF(L7535="", "", L7535-B7535)</f>
        <v/>
      </c>
      <c r="O7535">
        <f>IF(L7535="", "Pending", IF(N7535&lt;=30, "Met", "Breached"))</f>
        <v/>
      </c>
      <c r="P7535" s="8" t="n"/>
      <c r="Q7535" s="8" t="n"/>
      <c r="R7535" s="8" t="n"/>
      <c r="S7535" s="8" t="n"/>
      <c r="T7535" s="8" t="n"/>
      <c r="U7535" s="8" t="n"/>
      <c r="V7535" s="8" t="n"/>
      <c r="W7535" s="8" t="n"/>
      <c r="X7535" s="8" t="n"/>
      <c r="Y7535" s="8" t="n"/>
    </row>
    <row r="7536">
      <c r="A7536" s="8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8" t="n"/>
      <c r="K7536" s="8" t="n"/>
      <c r="L7536" s="8" t="n"/>
      <c r="M7536" s="9">
        <f>B7536+30</f>
        <v/>
      </c>
      <c r="N7536">
        <f>IF(L7536="", "", L7536-B7536)</f>
        <v/>
      </c>
      <c r="O7536">
        <f>IF(L7536="", "Pending", IF(N7536&lt;=30, "Met", "Breached"))</f>
        <v/>
      </c>
      <c r="P7536" s="8" t="n"/>
      <c r="Q7536" s="8" t="n"/>
      <c r="R7536" s="8" t="n"/>
      <c r="S7536" s="8" t="n"/>
      <c r="T7536" s="8" t="n"/>
      <c r="U7536" s="8" t="n"/>
      <c r="V7536" s="8" t="n"/>
      <c r="W7536" s="8" t="n"/>
      <c r="X7536" s="8" t="n"/>
      <c r="Y7536" s="8" t="n"/>
    </row>
    <row r="7537">
      <c r="A7537" s="8" t="n"/>
      <c r="B7537" s="8" t="n"/>
      <c r="C7537" s="8" t="n"/>
      <c r="D7537" s="8" t="n"/>
      <c r="E7537" s="8" t="n"/>
      <c r="F7537" s="8" t="n"/>
      <c r="G7537" s="8" t="n"/>
      <c r="H7537" s="8" t="n"/>
      <c r="I7537" s="8" t="n"/>
      <c r="J7537" s="8" t="n"/>
      <c r="K7537" s="8" t="n"/>
      <c r="L7537" s="8" t="n"/>
      <c r="M7537" s="9">
        <f>B7537+30</f>
        <v/>
      </c>
      <c r="N7537">
        <f>IF(L7537="", "", L7537-B7537)</f>
        <v/>
      </c>
      <c r="O7537">
        <f>IF(L7537="", "Pending", IF(N7537&lt;=30, "Met", "Breached"))</f>
        <v/>
      </c>
      <c r="P7537" s="8" t="n"/>
      <c r="Q7537" s="8" t="n"/>
      <c r="R7537" s="8" t="n"/>
      <c r="S7537" s="8" t="n"/>
      <c r="T7537" s="8" t="n"/>
      <c r="U7537" s="8" t="n"/>
      <c r="V7537" s="8" t="n"/>
      <c r="W7537" s="8" t="n"/>
      <c r="X7537" s="8" t="n"/>
      <c r="Y7537" s="8" t="n"/>
    </row>
    <row r="7538">
      <c r="A7538" s="8" t="n"/>
      <c r="B7538" s="8" t="n"/>
      <c r="C7538" s="8" t="n"/>
      <c r="D7538" s="8" t="n"/>
      <c r="E7538" s="8" t="n"/>
      <c r="F7538" s="8" t="n"/>
      <c r="G7538" s="8" t="n"/>
      <c r="H7538" s="8" t="n"/>
      <c r="I7538" s="8" t="n"/>
      <c r="J7538" s="8" t="n"/>
      <c r="K7538" s="8" t="n"/>
      <c r="L7538" s="8" t="n"/>
      <c r="M7538" s="9">
        <f>B7538+30</f>
        <v/>
      </c>
      <c r="N7538">
        <f>IF(L7538="", "", L7538-B7538)</f>
        <v/>
      </c>
      <c r="O7538">
        <f>IF(L7538="", "Pending", IF(N7538&lt;=30, "Met", "Breached"))</f>
        <v/>
      </c>
      <c r="P7538" s="8" t="n"/>
      <c r="Q7538" s="8" t="n"/>
      <c r="R7538" s="8" t="n"/>
      <c r="S7538" s="8" t="n"/>
      <c r="T7538" s="8" t="n"/>
      <c r="U7538" s="8" t="n"/>
      <c r="V7538" s="8" t="n"/>
      <c r="W7538" s="8" t="n"/>
      <c r="X7538" s="8" t="n"/>
      <c r="Y7538" s="8" t="n"/>
    </row>
    <row r="7539">
      <c r="A7539" s="8" t="n"/>
      <c r="B7539" s="8" t="n"/>
      <c r="C7539" s="8" t="n"/>
      <c r="D7539" s="8" t="n"/>
      <c r="E7539" s="8" t="n"/>
      <c r="F7539" s="8" t="n"/>
      <c r="G7539" s="8" t="n"/>
      <c r="H7539" s="8" t="n"/>
      <c r="I7539" s="8" t="n"/>
      <c r="J7539" s="8" t="n"/>
      <c r="K7539" s="8" t="n"/>
      <c r="L7539" s="8" t="n"/>
      <c r="M7539" s="9">
        <f>B7539+30</f>
        <v/>
      </c>
      <c r="N7539">
        <f>IF(L7539="", "", L7539-B7539)</f>
        <v/>
      </c>
      <c r="O7539">
        <f>IF(L7539="", "Pending", IF(N7539&lt;=30, "Met", "Breached"))</f>
        <v/>
      </c>
      <c r="P7539" s="8" t="n"/>
      <c r="Q7539" s="8" t="n"/>
      <c r="R7539" s="8" t="n"/>
      <c r="S7539" s="8" t="n"/>
      <c r="T7539" s="8" t="n"/>
      <c r="U7539" s="8" t="n"/>
      <c r="V7539" s="8" t="n"/>
      <c r="W7539" s="8" t="n"/>
      <c r="X7539" s="8" t="n"/>
      <c r="Y7539" s="8" t="n"/>
    </row>
    <row r="7540">
      <c r="A7540" s="8" t="n"/>
      <c r="B7540" s="8" t="n"/>
      <c r="C7540" s="8" t="n"/>
      <c r="D7540" s="8" t="n"/>
      <c r="E7540" s="8" t="n"/>
      <c r="F7540" s="8" t="n"/>
      <c r="G7540" s="8" t="n"/>
      <c r="H7540" s="8" t="n"/>
      <c r="I7540" s="8" t="n"/>
      <c r="J7540" s="8" t="n"/>
      <c r="K7540" s="8" t="n"/>
      <c r="L7540" s="8" t="n"/>
      <c r="M7540" s="9">
        <f>B7540+30</f>
        <v/>
      </c>
      <c r="N7540">
        <f>IF(L7540="", "", L7540-B7540)</f>
        <v/>
      </c>
      <c r="O7540">
        <f>IF(L7540="", "Pending", IF(N7540&lt;=30, "Met", "Breached"))</f>
        <v/>
      </c>
      <c r="P7540" s="8" t="n"/>
      <c r="Q7540" s="8" t="n"/>
      <c r="R7540" s="8" t="n"/>
      <c r="S7540" s="8" t="n"/>
      <c r="T7540" s="8" t="n"/>
      <c r="U7540" s="8" t="n"/>
      <c r="V7540" s="8" t="n"/>
      <c r="W7540" s="8" t="n"/>
      <c r="X7540" s="8" t="n"/>
      <c r="Y7540" s="8" t="n"/>
    </row>
    <row r="7541">
      <c r="A7541" s="8" t="n"/>
      <c r="B7541" s="8" t="n"/>
      <c r="C7541" s="8" t="n"/>
      <c r="D7541" s="8" t="n"/>
      <c r="E7541" s="8" t="n"/>
      <c r="F7541" s="8" t="n"/>
      <c r="G7541" s="8" t="n"/>
      <c r="H7541" s="8" t="n"/>
      <c r="I7541" s="8" t="n"/>
      <c r="J7541" s="8" t="n"/>
      <c r="K7541" s="8" t="n"/>
      <c r="L7541" s="8" t="n"/>
      <c r="M7541" s="9">
        <f>B7541+30</f>
        <v/>
      </c>
      <c r="N7541">
        <f>IF(L7541="", "", L7541-B7541)</f>
        <v/>
      </c>
      <c r="O7541">
        <f>IF(L7541="", "Pending", IF(N7541&lt;=30, "Met", "Breached"))</f>
        <v/>
      </c>
      <c r="P7541" s="8" t="n"/>
      <c r="Q7541" s="8" t="n"/>
      <c r="R7541" s="8" t="n"/>
      <c r="S7541" s="8" t="n"/>
      <c r="T7541" s="8" t="n"/>
      <c r="U7541" s="8" t="n"/>
      <c r="V7541" s="8" t="n"/>
      <c r="W7541" s="8" t="n"/>
      <c r="X7541" s="8" t="n"/>
      <c r="Y7541" s="8" t="n"/>
    </row>
    <row r="7542">
      <c r="A7542" s="8" t="n"/>
      <c r="B7542" s="8" t="n"/>
      <c r="C7542" s="8" t="n"/>
      <c r="D7542" s="8" t="n"/>
      <c r="E7542" s="8" t="n"/>
      <c r="F7542" s="8" t="n"/>
      <c r="G7542" s="8" t="n"/>
      <c r="H7542" s="8" t="n"/>
      <c r="I7542" s="8" t="n"/>
      <c r="J7542" s="8" t="n"/>
      <c r="K7542" s="8" t="n"/>
      <c r="L7542" s="8" t="n"/>
      <c r="M7542" s="9">
        <f>B7542+30</f>
        <v/>
      </c>
      <c r="N7542">
        <f>IF(L7542="", "", L7542-B7542)</f>
        <v/>
      </c>
      <c r="O7542">
        <f>IF(L7542="", "Pending", IF(N7542&lt;=30, "Met", "Breached"))</f>
        <v/>
      </c>
      <c r="P7542" s="8" t="n"/>
      <c r="Q7542" s="8" t="n"/>
      <c r="R7542" s="8" t="n"/>
      <c r="S7542" s="8" t="n"/>
      <c r="T7542" s="8" t="n"/>
      <c r="U7542" s="8" t="n"/>
      <c r="V7542" s="8" t="n"/>
      <c r="W7542" s="8" t="n"/>
      <c r="X7542" s="8" t="n"/>
      <c r="Y7542" s="8" t="n"/>
    </row>
    <row r="7543">
      <c r="A7543" s="8" t="n"/>
      <c r="B7543" s="8" t="n"/>
      <c r="C7543" s="8" t="n"/>
      <c r="D7543" s="8" t="n"/>
      <c r="E7543" s="8" t="n"/>
      <c r="F7543" s="8" t="n"/>
      <c r="G7543" s="8" t="n"/>
      <c r="H7543" s="8" t="n"/>
      <c r="I7543" s="8" t="n"/>
      <c r="J7543" s="8" t="n"/>
      <c r="K7543" s="8" t="n"/>
      <c r="L7543" s="8" t="n"/>
      <c r="M7543" s="9">
        <f>B7543+30</f>
        <v/>
      </c>
      <c r="N7543">
        <f>IF(L7543="", "", L7543-B7543)</f>
        <v/>
      </c>
      <c r="O7543">
        <f>IF(L7543="", "Pending", IF(N7543&lt;=30, "Met", "Breached"))</f>
        <v/>
      </c>
      <c r="P7543" s="8" t="n"/>
      <c r="Q7543" s="8" t="n"/>
      <c r="R7543" s="8" t="n"/>
      <c r="S7543" s="8" t="n"/>
      <c r="T7543" s="8" t="n"/>
      <c r="U7543" s="8" t="n"/>
      <c r="V7543" s="8" t="n"/>
      <c r="W7543" s="8" t="n"/>
      <c r="X7543" s="8" t="n"/>
      <c r="Y7543" s="8" t="n"/>
    </row>
    <row r="7544">
      <c r="A7544" s="8" t="n"/>
      <c r="B7544" s="8" t="n"/>
      <c r="C7544" s="8" t="n"/>
      <c r="D7544" s="8" t="n"/>
      <c r="E7544" s="8" t="n"/>
      <c r="F7544" s="8" t="n"/>
      <c r="G7544" s="8" t="n"/>
      <c r="H7544" s="8" t="n"/>
      <c r="I7544" s="8" t="n"/>
      <c r="J7544" s="8" t="n"/>
      <c r="K7544" s="8" t="n"/>
      <c r="L7544" s="8" t="n"/>
      <c r="M7544" s="9">
        <f>B7544+30</f>
        <v/>
      </c>
      <c r="N7544">
        <f>IF(L7544="", "", L7544-B7544)</f>
        <v/>
      </c>
      <c r="O7544">
        <f>IF(L7544="", "Pending", IF(N7544&lt;=30, "Met", "Breached"))</f>
        <v/>
      </c>
      <c r="P7544" s="8" t="n"/>
      <c r="Q7544" s="8" t="n"/>
      <c r="R7544" s="8" t="n"/>
      <c r="S7544" s="8" t="n"/>
      <c r="T7544" s="8" t="n"/>
      <c r="U7544" s="8" t="n"/>
      <c r="V7544" s="8" t="n"/>
      <c r="W7544" s="8" t="n"/>
      <c r="X7544" s="8" t="n"/>
      <c r="Y7544" s="8" t="n"/>
    </row>
    <row r="7545">
      <c r="A7545" s="8" t="n"/>
      <c r="B7545" s="8" t="n"/>
      <c r="C7545" s="8" t="n"/>
      <c r="D7545" s="8" t="n"/>
      <c r="E7545" s="8" t="n"/>
      <c r="F7545" s="8" t="n"/>
      <c r="G7545" s="8" t="n"/>
      <c r="H7545" s="8" t="n"/>
      <c r="I7545" s="8" t="n"/>
      <c r="J7545" s="8" t="n"/>
      <c r="K7545" s="8" t="n"/>
      <c r="L7545" s="8" t="n"/>
      <c r="M7545" s="9">
        <f>B7545+30</f>
        <v/>
      </c>
      <c r="N7545">
        <f>IF(L7545="", "", L7545-B7545)</f>
        <v/>
      </c>
      <c r="O7545">
        <f>IF(L7545="", "Pending", IF(N7545&lt;=30, "Met", "Breached"))</f>
        <v/>
      </c>
      <c r="P7545" s="8" t="n"/>
      <c r="Q7545" s="8" t="n"/>
      <c r="R7545" s="8" t="n"/>
      <c r="S7545" s="8" t="n"/>
      <c r="T7545" s="8" t="n"/>
      <c r="U7545" s="8" t="n"/>
      <c r="V7545" s="8" t="n"/>
      <c r="W7545" s="8" t="n"/>
      <c r="X7545" s="8" t="n"/>
      <c r="Y7545" s="8" t="n"/>
    </row>
    <row r="7546">
      <c r="A7546" s="8" t="n"/>
      <c r="B7546" s="8" t="n"/>
      <c r="C7546" s="8" t="n"/>
      <c r="D7546" s="8" t="n"/>
      <c r="E7546" s="8" t="n"/>
      <c r="F7546" s="8" t="n"/>
      <c r="G7546" s="8" t="n"/>
      <c r="H7546" s="8" t="n"/>
      <c r="I7546" s="8" t="n"/>
      <c r="J7546" s="8" t="n"/>
      <c r="K7546" s="8" t="n"/>
      <c r="L7546" s="8" t="n"/>
      <c r="M7546" s="9">
        <f>B7546+30</f>
        <v/>
      </c>
      <c r="N7546">
        <f>IF(L7546="", "", L7546-B7546)</f>
        <v/>
      </c>
      <c r="O7546">
        <f>IF(L7546="", "Pending", IF(N7546&lt;=30, "Met", "Breached"))</f>
        <v/>
      </c>
      <c r="P7546" s="8" t="n"/>
      <c r="Q7546" s="8" t="n"/>
      <c r="R7546" s="8" t="n"/>
      <c r="S7546" s="8" t="n"/>
      <c r="T7546" s="8" t="n"/>
      <c r="U7546" s="8" t="n"/>
      <c r="V7546" s="8" t="n"/>
      <c r="W7546" s="8" t="n"/>
      <c r="X7546" s="8" t="n"/>
      <c r="Y7546" s="8" t="n"/>
    </row>
    <row r="7547">
      <c r="A7547" s="8" t="n"/>
      <c r="B7547" s="8" t="n"/>
      <c r="C7547" s="8" t="n"/>
      <c r="D7547" s="8" t="n"/>
      <c r="E7547" s="8" t="n"/>
      <c r="F7547" s="8" t="n"/>
      <c r="G7547" s="8" t="n"/>
      <c r="H7547" s="8" t="n"/>
      <c r="I7547" s="8" t="n"/>
      <c r="J7547" s="8" t="n"/>
      <c r="K7547" s="8" t="n"/>
      <c r="L7547" s="8" t="n"/>
      <c r="M7547" s="9">
        <f>B7547+30</f>
        <v/>
      </c>
      <c r="N7547">
        <f>IF(L7547="", "", L7547-B7547)</f>
        <v/>
      </c>
      <c r="O7547">
        <f>IF(L7547="", "Pending", IF(N7547&lt;=30, "Met", "Breached"))</f>
        <v/>
      </c>
      <c r="P7547" s="8" t="n"/>
      <c r="Q7547" s="8" t="n"/>
      <c r="R7547" s="8" t="n"/>
      <c r="S7547" s="8" t="n"/>
      <c r="T7547" s="8" t="n"/>
      <c r="U7547" s="8" t="n"/>
      <c r="V7547" s="8" t="n"/>
      <c r="W7547" s="8" t="n"/>
      <c r="X7547" s="8" t="n"/>
      <c r="Y7547" s="8" t="n"/>
    </row>
    <row r="7548">
      <c r="A7548" s="8" t="n"/>
      <c r="B7548" s="8" t="n"/>
      <c r="C7548" s="8" t="n"/>
      <c r="D7548" s="8" t="n"/>
      <c r="E7548" s="8" t="n"/>
      <c r="F7548" s="8" t="n"/>
      <c r="G7548" s="8" t="n"/>
      <c r="H7548" s="8" t="n"/>
      <c r="I7548" s="8" t="n"/>
      <c r="J7548" s="8" t="n"/>
      <c r="K7548" s="8" t="n"/>
      <c r="L7548" s="8" t="n"/>
      <c r="M7548" s="9">
        <f>B7548+30</f>
        <v/>
      </c>
      <c r="N7548">
        <f>IF(L7548="", "", L7548-B7548)</f>
        <v/>
      </c>
      <c r="O7548">
        <f>IF(L7548="", "Pending", IF(N7548&lt;=30, "Met", "Breached"))</f>
        <v/>
      </c>
      <c r="P7548" s="8" t="n"/>
      <c r="Q7548" s="8" t="n"/>
      <c r="R7548" s="8" t="n"/>
      <c r="S7548" s="8" t="n"/>
      <c r="T7548" s="8" t="n"/>
      <c r="U7548" s="8" t="n"/>
      <c r="V7548" s="8" t="n"/>
      <c r="W7548" s="8" t="n"/>
      <c r="X7548" s="8" t="n"/>
      <c r="Y7548" s="8" t="n"/>
    </row>
    <row r="7549">
      <c r="A7549" s="8" t="n"/>
      <c r="B7549" s="8" t="n"/>
      <c r="C7549" s="8" t="n"/>
      <c r="D7549" s="8" t="n"/>
      <c r="E7549" s="8" t="n"/>
      <c r="F7549" s="8" t="n"/>
      <c r="G7549" s="8" t="n"/>
      <c r="H7549" s="8" t="n"/>
      <c r="I7549" s="8" t="n"/>
      <c r="J7549" s="8" t="n"/>
      <c r="K7549" s="8" t="n"/>
      <c r="L7549" s="8" t="n"/>
      <c r="M7549" s="9">
        <f>B7549+30</f>
        <v/>
      </c>
      <c r="N7549">
        <f>IF(L7549="", "", L7549-B7549)</f>
        <v/>
      </c>
      <c r="O7549">
        <f>IF(L7549="", "Pending", IF(N7549&lt;=30, "Met", "Breached"))</f>
        <v/>
      </c>
      <c r="P7549" s="8" t="n"/>
      <c r="Q7549" s="8" t="n"/>
      <c r="R7549" s="8" t="n"/>
      <c r="S7549" s="8" t="n"/>
      <c r="T7549" s="8" t="n"/>
      <c r="U7549" s="8" t="n"/>
      <c r="V7549" s="8" t="n"/>
      <c r="W7549" s="8" t="n"/>
      <c r="X7549" s="8" t="n"/>
      <c r="Y7549" s="8" t="n"/>
    </row>
    <row r="7550">
      <c r="A7550" s="8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8" t="n"/>
      <c r="K7550" s="8" t="n"/>
      <c r="L7550" s="8" t="n"/>
      <c r="M7550" s="9">
        <f>B7550+30</f>
        <v/>
      </c>
      <c r="N7550">
        <f>IF(L7550="", "", L7550-B7550)</f>
        <v/>
      </c>
      <c r="O7550">
        <f>IF(L7550="", "Pending", IF(N7550&lt;=30, "Met", "Breached"))</f>
        <v/>
      </c>
      <c r="P7550" s="8" t="n"/>
      <c r="Q7550" s="8" t="n"/>
      <c r="R7550" s="8" t="n"/>
      <c r="S7550" s="8" t="n"/>
      <c r="T7550" s="8" t="n"/>
      <c r="U7550" s="8" t="n"/>
      <c r="V7550" s="8" t="n"/>
      <c r="W7550" s="8" t="n"/>
      <c r="X7550" s="8" t="n"/>
      <c r="Y7550" s="8" t="n"/>
    </row>
    <row r="7551">
      <c r="A7551" s="8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8" t="n"/>
      <c r="K7551" s="8" t="n"/>
      <c r="L7551" s="8" t="n"/>
      <c r="M7551" s="9">
        <f>B7551+30</f>
        <v/>
      </c>
      <c r="N7551">
        <f>IF(L7551="", "", L7551-B7551)</f>
        <v/>
      </c>
      <c r="O7551">
        <f>IF(L7551="", "Pending", IF(N7551&lt;=30, "Met", "Breached"))</f>
        <v/>
      </c>
      <c r="P7551" s="8" t="n"/>
      <c r="Q7551" s="8" t="n"/>
      <c r="R7551" s="8" t="n"/>
      <c r="S7551" s="8" t="n"/>
      <c r="T7551" s="8" t="n"/>
      <c r="U7551" s="8" t="n"/>
      <c r="V7551" s="8" t="n"/>
      <c r="W7551" s="8" t="n"/>
      <c r="X7551" s="8" t="n"/>
      <c r="Y7551" s="8" t="n"/>
    </row>
    <row r="7552">
      <c r="A7552" s="8" t="n"/>
      <c r="B7552" s="8" t="n"/>
      <c r="C7552" s="8" t="n"/>
      <c r="D7552" s="8" t="n"/>
      <c r="E7552" s="8" t="n"/>
      <c r="F7552" s="8" t="n"/>
      <c r="G7552" s="8" t="n"/>
      <c r="H7552" s="8" t="n"/>
      <c r="I7552" s="8" t="n"/>
      <c r="J7552" s="8" t="n"/>
      <c r="K7552" s="8" t="n"/>
      <c r="L7552" s="8" t="n"/>
      <c r="M7552" s="9">
        <f>B7552+30</f>
        <v/>
      </c>
      <c r="N7552">
        <f>IF(L7552="", "", L7552-B7552)</f>
        <v/>
      </c>
      <c r="O7552">
        <f>IF(L7552="", "Pending", IF(N7552&lt;=30, "Met", "Breached"))</f>
        <v/>
      </c>
      <c r="P7552" s="8" t="n"/>
      <c r="Q7552" s="8" t="n"/>
      <c r="R7552" s="8" t="n"/>
      <c r="S7552" s="8" t="n"/>
      <c r="T7552" s="8" t="n"/>
      <c r="U7552" s="8" t="n"/>
      <c r="V7552" s="8" t="n"/>
      <c r="W7552" s="8" t="n"/>
      <c r="X7552" s="8" t="n"/>
      <c r="Y7552" s="8" t="n"/>
    </row>
    <row r="7553">
      <c r="A7553" s="8" t="n"/>
      <c r="B7553" s="8" t="n"/>
      <c r="C7553" s="8" t="n"/>
      <c r="D7553" s="8" t="n"/>
      <c r="E7553" s="8" t="n"/>
      <c r="F7553" s="8" t="n"/>
      <c r="G7553" s="8" t="n"/>
      <c r="H7553" s="8" t="n"/>
      <c r="I7553" s="8" t="n"/>
      <c r="J7553" s="8" t="n"/>
      <c r="K7553" s="8" t="n"/>
      <c r="L7553" s="8" t="n"/>
      <c r="M7553" s="9">
        <f>B7553+30</f>
        <v/>
      </c>
      <c r="N7553">
        <f>IF(L7553="", "", L7553-B7553)</f>
        <v/>
      </c>
      <c r="O7553">
        <f>IF(L7553="", "Pending", IF(N7553&lt;=30, "Met", "Breached"))</f>
        <v/>
      </c>
      <c r="P7553" s="8" t="n"/>
      <c r="Q7553" s="8" t="n"/>
      <c r="R7553" s="8" t="n"/>
      <c r="S7553" s="8" t="n"/>
      <c r="T7553" s="8" t="n"/>
      <c r="U7553" s="8" t="n"/>
      <c r="V7553" s="8" t="n"/>
      <c r="W7553" s="8" t="n"/>
      <c r="X7553" s="8" t="n"/>
      <c r="Y7553" s="8" t="n"/>
    </row>
    <row r="7554">
      <c r="A7554" s="8" t="n"/>
      <c r="B7554" s="8" t="n"/>
      <c r="C7554" s="8" t="n"/>
      <c r="D7554" s="8" t="n"/>
      <c r="E7554" s="8" t="n"/>
      <c r="F7554" s="8" t="n"/>
      <c r="G7554" s="8" t="n"/>
      <c r="H7554" s="8" t="n"/>
      <c r="I7554" s="8" t="n"/>
      <c r="J7554" s="8" t="n"/>
      <c r="K7554" s="8" t="n"/>
      <c r="L7554" s="8" t="n"/>
      <c r="M7554" s="9">
        <f>B7554+30</f>
        <v/>
      </c>
      <c r="N7554">
        <f>IF(L7554="", "", L7554-B7554)</f>
        <v/>
      </c>
      <c r="O7554">
        <f>IF(L7554="", "Pending", IF(N7554&lt;=30, "Met", "Breached"))</f>
        <v/>
      </c>
      <c r="P7554" s="8" t="n"/>
      <c r="Q7554" s="8" t="n"/>
      <c r="R7554" s="8" t="n"/>
      <c r="S7554" s="8" t="n"/>
      <c r="T7554" s="8" t="n"/>
      <c r="U7554" s="8" t="n"/>
      <c r="V7554" s="8" t="n"/>
      <c r="W7554" s="8" t="n"/>
      <c r="X7554" s="8" t="n"/>
      <c r="Y7554" s="8" t="n"/>
    </row>
    <row r="7555">
      <c r="A7555" s="8" t="n"/>
      <c r="B7555" s="8" t="n"/>
      <c r="C7555" s="8" t="n"/>
      <c r="D7555" s="8" t="n"/>
      <c r="E7555" s="8" t="n"/>
      <c r="F7555" s="8" t="n"/>
      <c r="G7555" s="8" t="n"/>
      <c r="H7555" s="8" t="n"/>
      <c r="I7555" s="8" t="n"/>
      <c r="J7555" s="8" t="n"/>
      <c r="K7555" s="8" t="n"/>
      <c r="L7555" s="8" t="n"/>
      <c r="M7555" s="9">
        <f>B7555+30</f>
        <v/>
      </c>
      <c r="N7555">
        <f>IF(L7555="", "", L7555-B7555)</f>
        <v/>
      </c>
      <c r="O7555">
        <f>IF(L7555="", "Pending", IF(N7555&lt;=30, "Met", "Breached"))</f>
        <v/>
      </c>
      <c r="P7555" s="8" t="n"/>
      <c r="Q7555" s="8" t="n"/>
      <c r="R7555" s="8" t="n"/>
      <c r="S7555" s="8" t="n"/>
      <c r="T7555" s="8" t="n"/>
      <c r="U7555" s="8" t="n"/>
      <c r="V7555" s="8" t="n"/>
      <c r="W7555" s="8" t="n"/>
      <c r="X7555" s="8" t="n"/>
      <c r="Y7555" s="8" t="n"/>
    </row>
    <row r="7556">
      <c r="A7556" s="8" t="n"/>
      <c r="B7556" s="8" t="n"/>
      <c r="C7556" s="8" t="n"/>
      <c r="D7556" s="8" t="n"/>
      <c r="E7556" s="8" t="n"/>
      <c r="F7556" s="8" t="n"/>
      <c r="G7556" s="8" t="n"/>
      <c r="H7556" s="8" t="n"/>
      <c r="I7556" s="8" t="n"/>
      <c r="J7556" s="8" t="n"/>
      <c r="K7556" s="8" t="n"/>
      <c r="L7556" s="8" t="n"/>
      <c r="M7556" s="9">
        <f>B7556+30</f>
        <v/>
      </c>
      <c r="N7556">
        <f>IF(L7556="", "", L7556-B7556)</f>
        <v/>
      </c>
      <c r="O7556">
        <f>IF(L7556="", "Pending", IF(N7556&lt;=30, "Met", "Breached"))</f>
        <v/>
      </c>
      <c r="P7556" s="8" t="n"/>
      <c r="Q7556" s="8" t="n"/>
      <c r="R7556" s="8" t="n"/>
      <c r="S7556" s="8" t="n"/>
      <c r="T7556" s="8" t="n"/>
      <c r="U7556" s="8" t="n"/>
      <c r="V7556" s="8" t="n"/>
      <c r="W7556" s="8" t="n"/>
      <c r="X7556" s="8" t="n"/>
      <c r="Y7556" s="8" t="n"/>
    </row>
    <row r="7557">
      <c r="A7557" s="8" t="n"/>
      <c r="B7557" s="8" t="n"/>
      <c r="C7557" s="8" t="n"/>
      <c r="D7557" s="8" t="n"/>
      <c r="E7557" s="8" t="n"/>
      <c r="F7557" s="8" t="n"/>
      <c r="G7557" s="8" t="n"/>
      <c r="H7557" s="8" t="n"/>
      <c r="I7557" s="8" t="n"/>
      <c r="J7557" s="8" t="n"/>
      <c r="K7557" s="8" t="n"/>
      <c r="L7557" s="8" t="n"/>
      <c r="M7557" s="9">
        <f>B7557+30</f>
        <v/>
      </c>
      <c r="N7557">
        <f>IF(L7557="", "", L7557-B7557)</f>
        <v/>
      </c>
      <c r="O7557">
        <f>IF(L7557="", "Pending", IF(N7557&lt;=30, "Met", "Breached"))</f>
        <v/>
      </c>
      <c r="P7557" s="8" t="n"/>
      <c r="Q7557" s="8" t="n"/>
      <c r="R7557" s="8" t="n"/>
      <c r="S7557" s="8" t="n"/>
      <c r="T7557" s="8" t="n"/>
      <c r="U7557" s="8" t="n"/>
      <c r="V7557" s="8" t="n"/>
      <c r="W7557" s="8" t="n"/>
      <c r="X7557" s="8" t="n"/>
      <c r="Y7557" s="8" t="n"/>
    </row>
    <row r="7558">
      <c r="A7558" s="8" t="n"/>
      <c r="B7558" s="8" t="n"/>
      <c r="C7558" s="8" t="n"/>
      <c r="D7558" s="8" t="n"/>
      <c r="E7558" s="8" t="n"/>
      <c r="F7558" s="8" t="n"/>
      <c r="G7558" s="8" t="n"/>
      <c r="H7558" s="8" t="n"/>
      <c r="I7558" s="8" t="n"/>
      <c r="J7558" s="8" t="n"/>
      <c r="K7558" s="8" t="n"/>
      <c r="L7558" s="8" t="n"/>
      <c r="M7558" s="9">
        <f>B7558+30</f>
        <v/>
      </c>
      <c r="N7558">
        <f>IF(L7558="", "", L7558-B7558)</f>
        <v/>
      </c>
      <c r="O7558">
        <f>IF(L7558="", "Pending", IF(N7558&lt;=30, "Met", "Breached"))</f>
        <v/>
      </c>
      <c r="P7558" s="8" t="n"/>
      <c r="Q7558" s="8" t="n"/>
      <c r="R7558" s="8" t="n"/>
      <c r="S7558" s="8" t="n"/>
      <c r="T7558" s="8" t="n"/>
      <c r="U7558" s="8" t="n"/>
      <c r="V7558" s="8" t="n"/>
      <c r="W7558" s="8" t="n"/>
      <c r="X7558" s="8" t="n"/>
      <c r="Y7558" s="8" t="n"/>
    </row>
    <row r="7559">
      <c r="A7559" s="8" t="n"/>
      <c r="B7559" s="8" t="n"/>
      <c r="C7559" s="8" t="n"/>
      <c r="D7559" s="8" t="n"/>
      <c r="E7559" s="8" t="n"/>
      <c r="F7559" s="8" t="n"/>
      <c r="G7559" s="8" t="n"/>
      <c r="H7559" s="8" t="n"/>
      <c r="I7559" s="8" t="n"/>
      <c r="J7559" s="8" t="n"/>
      <c r="K7559" s="8" t="n"/>
      <c r="L7559" s="8" t="n"/>
      <c r="M7559" s="9">
        <f>B7559+30</f>
        <v/>
      </c>
      <c r="N7559">
        <f>IF(L7559="", "", L7559-B7559)</f>
        <v/>
      </c>
      <c r="O7559">
        <f>IF(L7559="", "Pending", IF(N7559&lt;=30, "Met", "Breached"))</f>
        <v/>
      </c>
      <c r="P7559" s="8" t="n"/>
      <c r="Q7559" s="8" t="n"/>
      <c r="R7559" s="8" t="n"/>
      <c r="S7559" s="8" t="n"/>
      <c r="T7559" s="8" t="n"/>
      <c r="U7559" s="8" t="n"/>
      <c r="V7559" s="8" t="n"/>
      <c r="W7559" s="8" t="n"/>
      <c r="X7559" s="8" t="n"/>
      <c r="Y7559" s="8" t="n"/>
    </row>
    <row r="7560">
      <c r="A7560" s="8" t="n"/>
      <c r="B7560" s="8" t="n"/>
      <c r="C7560" s="8" t="n"/>
      <c r="D7560" s="8" t="n"/>
      <c r="E7560" s="8" t="n"/>
      <c r="F7560" s="8" t="n"/>
      <c r="G7560" s="8" t="n"/>
      <c r="H7560" s="8" t="n"/>
      <c r="I7560" s="8" t="n"/>
      <c r="J7560" s="8" t="n"/>
      <c r="K7560" s="8" t="n"/>
      <c r="L7560" s="8" t="n"/>
      <c r="M7560" s="9">
        <f>B7560+30</f>
        <v/>
      </c>
      <c r="N7560">
        <f>IF(L7560="", "", L7560-B7560)</f>
        <v/>
      </c>
      <c r="O7560">
        <f>IF(L7560="", "Pending", IF(N7560&lt;=30, "Met", "Breached"))</f>
        <v/>
      </c>
      <c r="P7560" s="8" t="n"/>
      <c r="Q7560" s="8" t="n"/>
      <c r="R7560" s="8" t="n"/>
      <c r="S7560" s="8" t="n"/>
      <c r="T7560" s="8" t="n"/>
      <c r="U7560" s="8" t="n"/>
      <c r="V7560" s="8" t="n"/>
      <c r="W7560" s="8" t="n"/>
      <c r="X7560" s="8" t="n"/>
      <c r="Y7560" s="8" t="n"/>
    </row>
    <row r="7561">
      <c r="A7561" s="8" t="n"/>
      <c r="B7561" s="8" t="n"/>
      <c r="C7561" s="8" t="n"/>
      <c r="D7561" s="8" t="n"/>
      <c r="E7561" s="8" t="n"/>
      <c r="F7561" s="8" t="n"/>
      <c r="G7561" s="8" t="n"/>
      <c r="H7561" s="8" t="n"/>
      <c r="I7561" s="8" t="n"/>
      <c r="J7561" s="8" t="n"/>
      <c r="K7561" s="8" t="n"/>
      <c r="L7561" s="8" t="n"/>
      <c r="M7561" s="9">
        <f>B7561+30</f>
        <v/>
      </c>
      <c r="N7561">
        <f>IF(L7561="", "", L7561-B7561)</f>
        <v/>
      </c>
      <c r="O7561">
        <f>IF(L7561="", "Pending", IF(N7561&lt;=30, "Met", "Breached"))</f>
        <v/>
      </c>
      <c r="P7561" s="8" t="n"/>
      <c r="Q7561" s="8" t="n"/>
      <c r="R7561" s="8" t="n"/>
      <c r="S7561" s="8" t="n"/>
      <c r="T7561" s="8" t="n"/>
      <c r="U7561" s="8" t="n"/>
      <c r="V7561" s="8" t="n"/>
      <c r="W7561" s="8" t="n"/>
      <c r="X7561" s="8" t="n"/>
      <c r="Y7561" s="8" t="n"/>
    </row>
    <row r="7562">
      <c r="A7562" s="8" t="n"/>
      <c r="B7562" s="8" t="n"/>
      <c r="C7562" s="8" t="n"/>
      <c r="D7562" s="8" t="n"/>
      <c r="E7562" s="8" t="n"/>
      <c r="F7562" s="8" t="n"/>
      <c r="G7562" s="8" t="n"/>
      <c r="H7562" s="8" t="n"/>
      <c r="I7562" s="8" t="n"/>
      <c r="J7562" s="8" t="n"/>
      <c r="K7562" s="8" t="n"/>
      <c r="L7562" s="8" t="n"/>
      <c r="M7562" s="9">
        <f>B7562+30</f>
        <v/>
      </c>
      <c r="N7562">
        <f>IF(L7562="", "", L7562-B7562)</f>
        <v/>
      </c>
      <c r="O7562">
        <f>IF(L7562="", "Pending", IF(N7562&lt;=30, "Met", "Breached"))</f>
        <v/>
      </c>
      <c r="P7562" s="8" t="n"/>
      <c r="Q7562" s="8" t="n"/>
      <c r="R7562" s="8" t="n"/>
      <c r="S7562" s="8" t="n"/>
      <c r="T7562" s="8" t="n"/>
      <c r="U7562" s="8" t="n"/>
      <c r="V7562" s="8" t="n"/>
      <c r="W7562" s="8" t="n"/>
      <c r="X7562" s="8" t="n"/>
      <c r="Y7562" s="8" t="n"/>
    </row>
    <row r="7563">
      <c r="A7563" s="8" t="n"/>
      <c r="B7563" s="8" t="n"/>
      <c r="C7563" s="8" t="n"/>
      <c r="D7563" s="8" t="n"/>
      <c r="E7563" s="8" t="n"/>
      <c r="F7563" s="8" t="n"/>
      <c r="G7563" s="8" t="n"/>
      <c r="H7563" s="8" t="n"/>
      <c r="I7563" s="8" t="n"/>
      <c r="J7563" s="8" t="n"/>
      <c r="K7563" s="8" t="n"/>
      <c r="L7563" s="8" t="n"/>
      <c r="M7563" s="9">
        <f>B7563+30</f>
        <v/>
      </c>
      <c r="N7563">
        <f>IF(L7563="", "", L7563-B7563)</f>
        <v/>
      </c>
      <c r="O7563">
        <f>IF(L7563="", "Pending", IF(N7563&lt;=30, "Met", "Breached"))</f>
        <v/>
      </c>
      <c r="P7563" s="8" t="n"/>
      <c r="Q7563" s="8" t="n"/>
      <c r="R7563" s="8" t="n"/>
      <c r="S7563" s="8" t="n"/>
      <c r="T7563" s="8" t="n"/>
      <c r="U7563" s="8" t="n"/>
      <c r="V7563" s="8" t="n"/>
      <c r="W7563" s="8" t="n"/>
      <c r="X7563" s="8" t="n"/>
      <c r="Y7563" s="8" t="n"/>
    </row>
    <row r="7564">
      <c r="A7564" s="8" t="n"/>
      <c r="B7564" s="8" t="n"/>
      <c r="C7564" s="8" t="n"/>
      <c r="D7564" s="8" t="n"/>
      <c r="E7564" s="8" t="n"/>
      <c r="F7564" s="8" t="n"/>
      <c r="G7564" s="8" t="n"/>
      <c r="H7564" s="8" t="n"/>
      <c r="I7564" s="8" t="n"/>
      <c r="J7564" s="8" t="n"/>
      <c r="K7564" s="8" t="n"/>
      <c r="L7564" s="8" t="n"/>
      <c r="M7564" s="9">
        <f>B7564+30</f>
        <v/>
      </c>
      <c r="N7564">
        <f>IF(L7564="", "", L7564-B7564)</f>
        <v/>
      </c>
      <c r="O7564">
        <f>IF(L7564="", "Pending", IF(N7564&lt;=30, "Met", "Breached"))</f>
        <v/>
      </c>
      <c r="P7564" s="8" t="n"/>
      <c r="Q7564" s="8" t="n"/>
      <c r="R7564" s="8" t="n"/>
      <c r="S7564" s="8" t="n"/>
      <c r="T7564" s="8" t="n"/>
      <c r="U7564" s="8" t="n"/>
      <c r="V7564" s="8" t="n"/>
      <c r="W7564" s="8" t="n"/>
      <c r="X7564" s="8" t="n"/>
      <c r="Y7564" s="8" t="n"/>
    </row>
    <row r="7565">
      <c r="A7565" s="8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8" t="n"/>
      <c r="K7565" s="8" t="n"/>
      <c r="L7565" s="8" t="n"/>
      <c r="M7565" s="9">
        <f>B7565+30</f>
        <v/>
      </c>
      <c r="N7565">
        <f>IF(L7565="", "", L7565-B7565)</f>
        <v/>
      </c>
      <c r="O7565">
        <f>IF(L7565="", "Pending", IF(N7565&lt;=30, "Met", "Breached"))</f>
        <v/>
      </c>
      <c r="P7565" s="8" t="n"/>
      <c r="Q7565" s="8" t="n"/>
      <c r="R7565" s="8" t="n"/>
      <c r="S7565" s="8" t="n"/>
      <c r="T7565" s="8" t="n"/>
      <c r="U7565" s="8" t="n"/>
      <c r="V7565" s="8" t="n"/>
      <c r="W7565" s="8" t="n"/>
      <c r="X7565" s="8" t="n"/>
      <c r="Y7565" s="8" t="n"/>
    </row>
    <row r="7566">
      <c r="A7566" s="8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8" t="n"/>
      <c r="K7566" s="8" t="n"/>
      <c r="L7566" s="8" t="n"/>
      <c r="M7566" s="9">
        <f>B7566+30</f>
        <v/>
      </c>
      <c r="N7566">
        <f>IF(L7566="", "", L7566-B7566)</f>
        <v/>
      </c>
      <c r="O7566">
        <f>IF(L7566="", "Pending", IF(N7566&lt;=30, "Met", "Breached"))</f>
        <v/>
      </c>
      <c r="P7566" s="8" t="n"/>
      <c r="Q7566" s="8" t="n"/>
      <c r="R7566" s="8" t="n"/>
      <c r="S7566" s="8" t="n"/>
      <c r="T7566" s="8" t="n"/>
      <c r="U7566" s="8" t="n"/>
      <c r="V7566" s="8" t="n"/>
      <c r="W7566" s="8" t="n"/>
      <c r="X7566" s="8" t="n"/>
      <c r="Y7566" s="8" t="n"/>
    </row>
    <row r="7567">
      <c r="A7567" s="8" t="n"/>
      <c r="B7567" s="8" t="n"/>
      <c r="C7567" s="8" t="n"/>
      <c r="D7567" s="8" t="n"/>
      <c r="E7567" s="8" t="n"/>
      <c r="F7567" s="8" t="n"/>
      <c r="G7567" s="8" t="n"/>
      <c r="H7567" s="8" t="n"/>
      <c r="I7567" s="8" t="n"/>
      <c r="J7567" s="8" t="n"/>
      <c r="K7567" s="8" t="n"/>
      <c r="L7567" s="8" t="n"/>
      <c r="M7567" s="9">
        <f>B7567+30</f>
        <v/>
      </c>
      <c r="N7567">
        <f>IF(L7567="", "", L7567-B7567)</f>
        <v/>
      </c>
      <c r="O7567">
        <f>IF(L7567="", "Pending", IF(N7567&lt;=30, "Met", "Breached"))</f>
        <v/>
      </c>
      <c r="P7567" s="8" t="n"/>
      <c r="Q7567" s="8" t="n"/>
      <c r="R7567" s="8" t="n"/>
      <c r="S7567" s="8" t="n"/>
      <c r="T7567" s="8" t="n"/>
      <c r="U7567" s="8" t="n"/>
      <c r="V7567" s="8" t="n"/>
      <c r="W7567" s="8" t="n"/>
      <c r="X7567" s="8" t="n"/>
      <c r="Y7567" s="8" t="n"/>
    </row>
    <row r="7568">
      <c r="A7568" s="8" t="n"/>
      <c r="B7568" s="8" t="n"/>
      <c r="C7568" s="8" t="n"/>
      <c r="D7568" s="8" t="n"/>
      <c r="E7568" s="8" t="n"/>
      <c r="F7568" s="8" t="n"/>
      <c r="G7568" s="8" t="n"/>
      <c r="H7568" s="8" t="n"/>
      <c r="I7568" s="8" t="n"/>
      <c r="J7568" s="8" t="n"/>
      <c r="K7568" s="8" t="n"/>
      <c r="L7568" s="8" t="n"/>
      <c r="M7568" s="9">
        <f>B7568+30</f>
        <v/>
      </c>
      <c r="N7568">
        <f>IF(L7568="", "", L7568-B7568)</f>
        <v/>
      </c>
      <c r="O7568">
        <f>IF(L7568="", "Pending", IF(N7568&lt;=30, "Met", "Breached"))</f>
        <v/>
      </c>
      <c r="P7568" s="8" t="n"/>
      <c r="Q7568" s="8" t="n"/>
      <c r="R7568" s="8" t="n"/>
      <c r="S7568" s="8" t="n"/>
      <c r="T7568" s="8" t="n"/>
      <c r="U7568" s="8" t="n"/>
      <c r="V7568" s="8" t="n"/>
      <c r="W7568" s="8" t="n"/>
      <c r="X7568" s="8" t="n"/>
      <c r="Y7568" s="8" t="n"/>
    </row>
    <row r="7569">
      <c r="A7569" s="8" t="n"/>
      <c r="B7569" s="8" t="n"/>
      <c r="C7569" s="8" t="n"/>
      <c r="D7569" s="8" t="n"/>
      <c r="E7569" s="8" t="n"/>
      <c r="F7569" s="8" t="n"/>
      <c r="G7569" s="8" t="n"/>
      <c r="H7569" s="8" t="n"/>
      <c r="I7569" s="8" t="n"/>
      <c r="J7569" s="8" t="n"/>
      <c r="K7569" s="8" t="n"/>
      <c r="L7569" s="8" t="n"/>
      <c r="M7569" s="9">
        <f>B7569+30</f>
        <v/>
      </c>
      <c r="N7569">
        <f>IF(L7569="", "", L7569-B7569)</f>
        <v/>
      </c>
      <c r="O7569">
        <f>IF(L7569="", "Pending", IF(N7569&lt;=30, "Met", "Breached"))</f>
        <v/>
      </c>
      <c r="P7569" s="8" t="n"/>
      <c r="Q7569" s="8" t="n"/>
      <c r="R7569" s="8" t="n"/>
      <c r="S7569" s="8" t="n"/>
      <c r="T7569" s="8" t="n"/>
      <c r="U7569" s="8" t="n"/>
      <c r="V7569" s="8" t="n"/>
      <c r="W7569" s="8" t="n"/>
      <c r="X7569" s="8" t="n"/>
      <c r="Y7569" s="8" t="n"/>
    </row>
    <row r="7570">
      <c r="A7570" s="8" t="n"/>
      <c r="B7570" s="8" t="n"/>
      <c r="C7570" s="8" t="n"/>
      <c r="D7570" s="8" t="n"/>
      <c r="E7570" s="8" t="n"/>
      <c r="F7570" s="8" t="n"/>
      <c r="G7570" s="8" t="n"/>
      <c r="H7570" s="8" t="n"/>
      <c r="I7570" s="8" t="n"/>
      <c r="J7570" s="8" t="n"/>
      <c r="K7570" s="8" t="n"/>
      <c r="L7570" s="8" t="n"/>
      <c r="M7570" s="9">
        <f>B7570+30</f>
        <v/>
      </c>
      <c r="N7570">
        <f>IF(L7570="", "", L7570-B7570)</f>
        <v/>
      </c>
      <c r="O7570">
        <f>IF(L7570="", "Pending", IF(N7570&lt;=30, "Met", "Breached"))</f>
        <v/>
      </c>
      <c r="P7570" s="8" t="n"/>
      <c r="Q7570" s="8" t="n"/>
      <c r="R7570" s="8" t="n"/>
      <c r="S7570" s="8" t="n"/>
      <c r="T7570" s="8" t="n"/>
      <c r="U7570" s="8" t="n"/>
      <c r="V7570" s="8" t="n"/>
      <c r="W7570" s="8" t="n"/>
      <c r="X7570" s="8" t="n"/>
      <c r="Y7570" s="8" t="n"/>
    </row>
    <row r="7571">
      <c r="A7571" s="8" t="n"/>
      <c r="B7571" s="8" t="n"/>
      <c r="C7571" s="8" t="n"/>
      <c r="D7571" s="8" t="n"/>
      <c r="E7571" s="8" t="n"/>
      <c r="F7571" s="8" t="n"/>
      <c r="G7571" s="8" t="n"/>
      <c r="H7571" s="8" t="n"/>
      <c r="I7571" s="8" t="n"/>
      <c r="J7571" s="8" t="n"/>
      <c r="K7571" s="8" t="n"/>
      <c r="L7571" s="8" t="n"/>
      <c r="M7571" s="9">
        <f>B7571+30</f>
        <v/>
      </c>
      <c r="N7571">
        <f>IF(L7571="", "", L7571-B7571)</f>
        <v/>
      </c>
      <c r="O7571">
        <f>IF(L7571="", "Pending", IF(N7571&lt;=30, "Met", "Breached"))</f>
        <v/>
      </c>
      <c r="P7571" s="8" t="n"/>
      <c r="Q7571" s="8" t="n"/>
      <c r="R7571" s="8" t="n"/>
      <c r="S7571" s="8" t="n"/>
      <c r="T7571" s="8" t="n"/>
      <c r="U7571" s="8" t="n"/>
      <c r="V7571" s="8" t="n"/>
      <c r="W7571" s="8" t="n"/>
      <c r="X7571" s="8" t="n"/>
      <c r="Y7571" s="8" t="n"/>
    </row>
    <row r="7572">
      <c r="A7572" s="8" t="n"/>
      <c r="B7572" s="8" t="n"/>
      <c r="C7572" s="8" t="n"/>
      <c r="D7572" s="8" t="n"/>
      <c r="E7572" s="8" t="n"/>
      <c r="F7572" s="8" t="n"/>
      <c r="G7572" s="8" t="n"/>
      <c r="H7572" s="8" t="n"/>
      <c r="I7572" s="8" t="n"/>
      <c r="J7572" s="8" t="n"/>
      <c r="K7572" s="8" t="n"/>
      <c r="L7572" s="8" t="n"/>
      <c r="M7572" s="9">
        <f>B7572+30</f>
        <v/>
      </c>
      <c r="N7572">
        <f>IF(L7572="", "", L7572-B7572)</f>
        <v/>
      </c>
      <c r="O7572">
        <f>IF(L7572="", "Pending", IF(N7572&lt;=30, "Met", "Breached"))</f>
        <v/>
      </c>
      <c r="P7572" s="8" t="n"/>
      <c r="Q7572" s="8" t="n"/>
      <c r="R7572" s="8" t="n"/>
      <c r="S7572" s="8" t="n"/>
      <c r="T7572" s="8" t="n"/>
      <c r="U7572" s="8" t="n"/>
      <c r="V7572" s="8" t="n"/>
      <c r="W7572" s="8" t="n"/>
      <c r="X7572" s="8" t="n"/>
      <c r="Y7572" s="8" t="n"/>
    </row>
    <row r="7573">
      <c r="A7573" s="8" t="n"/>
      <c r="B7573" s="8" t="n"/>
      <c r="C7573" s="8" t="n"/>
      <c r="D7573" s="8" t="n"/>
      <c r="E7573" s="8" t="n"/>
      <c r="F7573" s="8" t="n"/>
      <c r="G7573" s="8" t="n"/>
      <c r="H7573" s="8" t="n"/>
      <c r="I7573" s="8" t="n"/>
      <c r="J7573" s="8" t="n"/>
      <c r="K7573" s="8" t="n"/>
      <c r="L7573" s="8" t="n"/>
      <c r="M7573" s="9">
        <f>B7573+30</f>
        <v/>
      </c>
      <c r="N7573">
        <f>IF(L7573="", "", L7573-B7573)</f>
        <v/>
      </c>
      <c r="O7573">
        <f>IF(L7573="", "Pending", IF(N7573&lt;=30, "Met", "Breached"))</f>
        <v/>
      </c>
      <c r="P7573" s="8" t="n"/>
      <c r="Q7573" s="8" t="n"/>
      <c r="R7573" s="8" t="n"/>
      <c r="S7573" s="8" t="n"/>
      <c r="T7573" s="8" t="n"/>
      <c r="U7573" s="8" t="n"/>
      <c r="V7573" s="8" t="n"/>
      <c r="W7573" s="8" t="n"/>
      <c r="X7573" s="8" t="n"/>
      <c r="Y7573" s="8" t="n"/>
    </row>
    <row r="7574">
      <c r="A7574" s="8" t="n"/>
      <c r="B7574" s="8" t="n"/>
      <c r="C7574" s="8" t="n"/>
      <c r="D7574" s="8" t="n"/>
      <c r="E7574" s="8" t="n"/>
      <c r="F7574" s="8" t="n"/>
      <c r="G7574" s="8" t="n"/>
      <c r="H7574" s="8" t="n"/>
      <c r="I7574" s="8" t="n"/>
      <c r="J7574" s="8" t="n"/>
      <c r="K7574" s="8" t="n"/>
      <c r="L7574" s="8" t="n"/>
      <c r="M7574" s="9">
        <f>B7574+30</f>
        <v/>
      </c>
      <c r="N7574">
        <f>IF(L7574="", "", L7574-B7574)</f>
        <v/>
      </c>
      <c r="O7574">
        <f>IF(L7574="", "Pending", IF(N7574&lt;=30, "Met", "Breached"))</f>
        <v/>
      </c>
      <c r="P7574" s="8" t="n"/>
      <c r="Q7574" s="8" t="n"/>
      <c r="R7574" s="8" t="n"/>
      <c r="S7574" s="8" t="n"/>
      <c r="T7574" s="8" t="n"/>
      <c r="U7574" s="8" t="n"/>
      <c r="V7574" s="8" t="n"/>
      <c r="W7574" s="8" t="n"/>
      <c r="X7574" s="8" t="n"/>
      <c r="Y7574" s="8" t="n"/>
    </row>
    <row r="7575">
      <c r="A7575" s="8" t="n"/>
      <c r="B7575" s="8" t="n"/>
      <c r="C7575" s="8" t="n"/>
      <c r="D7575" s="8" t="n"/>
      <c r="E7575" s="8" t="n"/>
      <c r="F7575" s="8" t="n"/>
      <c r="G7575" s="8" t="n"/>
      <c r="H7575" s="8" t="n"/>
      <c r="I7575" s="8" t="n"/>
      <c r="J7575" s="8" t="n"/>
      <c r="K7575" s="8" t="n"/>
      <c r="L7575" s="8" t="n"/>
      <c r="M7575" s="9">
        <f>B7575+30</f>
        <v/>
      </c>
      <c r="N7575">
        <f>IF(L7575="", "", L7575-B7575)</f>
        <v/>
      </c>
      <c r="O7575">
        <f>IF(L7575="", "Pending", IF(N7575&lt;=30, "Met", "Breached"))</f>
        <v/>
      </c>
      <c r="P7575" s="8" t="n"/>
      <c r="Q7575" s="8" t="n"/>
      <c r="R7575" s="8" t="n"/>
      <c r="S7575" s="8" t="n"/>
      <c r="T7575" s="8" t="n"/>
      <c r="U7575" s="8" t="n"/>
      <c r="V7575" s="8" t="n"/>
      <c r="W7575" s="8" t="n"/>
      <c r="X7575" s="8" t="n"/>
      <c r="Y7575" s="8" t="n"/>
    </row>
    <row r="7576">
      <c r="A7576" s="8" t="n"/>
      <c r="B7576" s="8" t="n"/>
      <c r="C7576" s="8" t="n"/>
      <c r="D7576" s="8" t="n"/>
      <c r="E7576" s="8" t="n"/>
      <c r="F7576" s="8" t="n"/>
      <c r="G7576" s="8" t="n"/>
      <c r="H7576" s="8" t="n"/>
      <c r="I7576" s="8" t="n"/>
      <c r="J7576" s="8" t="n"/>
      <c r="K7576" s="8" t="n"/>
      <c r="L7576" s="8" t="n"/>
      <c r="M7576" s="9">
        <f>B7576+30</f>
        <v/>
      </c>
      <c r="N7576">
        <f>IF(L7576="", "", L7576-B7576)</f>
        <v/>
      </c>
      <c r="O7576">
        <f>IF(L7576="", "Pending", IF(N7576&lt;=30, "Met", "Breached"))</f>
        <v/>
      </c>
      <c r="P7576" s="8" t="n"/>
      <c r="Q7576" s="8" t="n"/>
      <c r="R7576" s="8" t="n"/>
      <c r="S7576" s="8" t="n"/>
      <c r="T7576" s="8" t="n"/>
      <c r="U7576" s="8" t="n"/>
      <c r="V7576" s="8" t="n"/>
      <c r="W7576" s="8" t="n"/>
      <c r="X7576" s="8" t="n"/>
      <c r="Y7576" s="8" t="n"/>
    </row>
    <row r="7577">
      <c r="A7577" s="8" t="n"/>
      <c r="B7577" s="8" t="n"/>
      <c r="C7577" s="8" t="n"/>
      <c r="D7577" s="8" t="n"/>
      <c r="E7577" s="8" t="n"/>
      <c r="F7577" s="8" t="n"/>
      <c r="G7577" s="8" t="n"/>
      <c r="H7577" s="8" t="n"/>
      <c r="I7577" s="8" t="n"/>
      <c r="J7577" s="8" t="n"/>
      <c r="K7577" s="8" t="n"/>
      <c r="L7577" s="8" t="n"/>
      <c r="M7577" s="9">
        <f>B7577+30</f>
        <v/>
      </c>
      <c r="N7577">
        <f>IF(L7577="", "", L7577-B7577)</f>
        <v/>
      </c>
      <c r="O7577">
        <f>IF(L7577="", "Pending", IF(N7577&lt;=30, "Met", "Breached"))</f>
        <v/>
      </c>
      <c r="P7577" s="8" t="n"/>
      <c r="Q7577" s="8" t="n"/>
      <c r="R7577" s="8" t="n"/>
      <c r="S7577" s="8" t="n"/>
      <c r="T7577" s="8" t="n"/>
      <c r="U7577" s="8" t="n"/>
      <c r="V7577" s="8" t="n"/>
      <c r="W7577" s="8" t="n"/>
      <c r="X7577" s="8" t="n"/>
      <c r="Y7577" s="8" t="n"/>
    </row>
    <row r="7578">
      <c r="A7578" s="8" t="n"/>
      <c r="B7578" s="8" t="n"/>
      <c r="C7578" s="8" t="n"/>
      <c r="D7578" s="8" t="n"/>
      <c r="E7578" s="8" t="n"/>
      <c r="F7578" s="8" t="n"/>
      <c r="G7578" s="8" t="n"/>
      <c r="H7578" s="8" t="n"/>
      <c r="I7578" s="8" t="n"/>
      <c r="J7578" s="8" t="n"/>
      <c r="K7578" s="8" t="n"/>
      <c r="L7578" s="8" t="n"/>
      <c r="M7578" s="9">
        <f>B7578+30</f>
        <v/>
      </c>
      <c r="N7578">
        <f>IF(L7578="", "", L7578-B7578)</f>
        <v/>
      </c>
      <c r="O7578">
        <f>IF(L7578="", "Pending", IF(N7578&lt;=30, "Met", "Breached"))</f>
        <v/>
      </c>
      <c r="P7578" s="8" t="n"/>
      <c r="Q7578" s="8" t="n"/>
      <c r="R7578" s="8" t="n"/>
      <c r="S7578" s="8" t="n"/>
      <c r="T7578" s="8" t="n"/>
      <c r="U7578" s="8" t="n"/>
      <c r="V7578" s="8" t="n"/>
      <c r="W7578" s="8" t="n"/>
      <c r="X7578" s="8" t="n"/>
      <c r="Y7578" s="8" t="n"/>
    </row>
    <row r="7579">
      <c r="A7579" s="8" t="n"/>
      <c r="B7579" s="8" t="n"/>
      <c r="C7579" s="8" t="n"/>
      <c r="D7579" s="8" t="n"/>
      <c r="E7579" s="8" t="n"/>
      <c r="F7579" s="8" t="n"/>
      <c r="G7579" s="8" t="n"/>
      <c r="H7579" s="8" t="n"/>
      <c r="I7579" s="8" t="n"/>
      <c r="J7579" s="8" t="n"/>
      <c r="K7579" s="8" t="n"/>
      <c r="L7579" s="8" t="n"/>
      <c r="M7579" s="9">
        <f>B7579+30</f>
        <v/>
      </c>
      <c r="N7579">
        <f>IF(L7579="", "", L7579-B7579)</f>
        <v/>
      </c>
      <c r="O7579">
        <f>IF(L7579="", "Pending", IF(N7579&lt;=30, "Met", "Breached"))</f>
        <v/>
      </c>
      <c r="P7579" s="8" t="n"/>
      <c r="Q7579" s="8" t="n"/>
      <c r="R7579" s="8" t="n"/>
      <c r="S7579" s="8" t="n"/>
      <c r="T7579" s="8" t="n"/>
      <c r="U7579" s="8" t="n"/>
      <c r="V7579" s="8" t="n"/>
      <c r="W7579" s="8" t="n"/>
      <c r="X7579" s="8" t="n"/>
      <c r="Y7579" s="8" t="n"/>
    </row>
    <row r="7580">
      <c r="A7580" s="8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8" t="n"/>
      <c r="K7580" s="8" t="n"/>
      <c r="L7580" s="8" t="n"/>
      <c r="M7580" s="9">
        <f>B7580+30</f>
        <v/>
      </c>
      <c r="N7580">
        <f>IF(L7580="", "", L7580-B7580)</f>
        <v/>
      </c>
      <c r="O7580">
        <f>IF(L7580="", "Pending", IF(N7580&lt;=30, "Met", "Breached"))</f>
        <v/>
      </c>
      <c r="P7580" s="8" t="n"/>
      <c r="Q7580" s="8" t="n"/>
      <c r="R7580" s="8" t="n"/>
      <c r="S7580" s="8" t="n"/>
      <c r="T7580" s="8" t="n"/>
      <c r="U7580" s="8" t="n"/>
      <c r="V7580" s="8" t="n"/>
      <c r="W7580" s="8" t="n"/>
      <c r="X7580" s="8" t="n"/>
      <c r="Y7580" s="8" t="n"/>
    </row>
    <row r="7581">
      <c r="A7581" s="8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8" t="n"/>
      <c r="K7581" s="8" t="n"/>
      <c r="L7581" s="8" t="n"/>
      <c r="M7581" s="9">
        <f>B7581+30</f>
        <v/>
      </c>
      <c r="N7581">
        <f>IF(L7581="", "", L7581-B7581)</f>
        <v/>
      </c>
      <c r="O7581">
        <f>IF(L7581="", "Pending", IF(N7581&lt;=30, "Met", "Breached"))</f>
        <v/>
      </c>
      <c r="P7581" s="8" t="n"/>
      <c r="Q7581" s="8" t="n"/>
      <c r="R7581" s="8" t="n"/>
      <c r="S7581" s="8" t="n"/>
      <c r="T7581" s="8" t="n"/>
      <c r="U7581" s="8" t="n"/>
      <c r="V7581" s="8" t="n"/>
      <c r="W7581" s="8" t="n"/>
      <c r="X7581" s="8" t="n"/>
      <c r="Y7581" s="8" t="n"/>
    </row>
    <row r="7582">
      <c r="A7582" s="8" t="n"/>
      <c r="B7582" s="8" t="n"/>
      <c r="C7582" s="8" t="n"/>
      <c r="D7582" s="8" t="n"/>
      <c r="E7582" s="8" t="n"/>
      <c r="F7582" s="8" t="n"/>
      <c r="G7582" s="8" t="n"/>
      <c r="H7582" s="8" t="n"/>
      <c r="I7582" s="8" t="n"/>
      <c r="J7582" s="8" t="n"/>
      <c r="K7582" s="8" t="n"/>
      <c r="L7582" s="8" t="n"/>
      <c r="M7582" s="9">
        <f>B7582+30</f>
        <v/>
      </c>
      <c r="N7582">
        <f>IF(L7582="", "", L7582-B7582)</f>
        <v/>
      </c>
      <c r="O7582">
        <f>IF(L7582="", "Pending", IF(N7582&lt;=30, "Met", "Breached"))</f>
        <v/>
      </c>
      <c r="P7582" s="8" t="n"/>
      <c r="Q7582" s="8" t="n"/>
      <c r="R7582" s="8" t="n"/>
      <c r="S7582" s="8" t="n"/>
      <c r="T7582" s="8" t="n"/>
      <c r="U7582" s="8" t="n"/>
      <c r="V7582" s="8" t="n"/>
      <c r="W7582" s="8" t="n"/>
      <c r="X7582" s="8" t="n"/>
      <c r="Y7582" s="8" t="n"/>
    </row>
    <row r="7583">
      <c r="A7583" s="8" t="n"/>
      <c r="B7583" s="8" t="n"/>
      <c r="C7583" s="8" t="n"/>
      <c r="D7583" s="8" t="n"/>
      <c r="E7583" s="8" t="n"/>
      <c r="F7583" s="8" t="n"/>
      <c r="G7583" s="8" t="n"/>
      <c r="H7583" s="8" t="n"/>
      <c r="I7583" s="8" t="n"/>
      <c r="J7583" s="8" t="n"/>
      <c r="K7583" s="8" t="n"/>
      <c r="L7583" s="8" t="n"/>
      <c r="M7583" s="9">
        <f>B7583+30</f>
        <v/>
      </c>
      <c r="N7583">
        <f>IF(L7583="", "", L7583-B7583)</f>
        <v/>
      </c>
      <c r="O7583">
        <f>IF(L7583="", "Pending", IF(N7583&lt;=30, "Met", "Breached"))</f>
        <v/>
      </c>
      <c r="P7583" s="8" t="n"/>
      <c r="Q7583" s="8" t="n"/>
      <c r="R7583" s="8" t="n"/>
      <c r="S7583" s="8" t="n"/>
      <c r="T7583" s="8" t="n"/>
      <c r="U7583" s="8" t="n"/>
      <c r="V7583" s="8" t="n"/>
      <c r="W7583" s="8" t="n"/>
      <c r="X7583" s="8" t="n"/>
      <c r="Y7583" s="8" t="n"/>
    </row>
    <row r="7584">
      <c r="A7584" s="8" t="n"/>
      <c r="B7584" s="8" t="n"/>
      <c r="C7584" s="8" t="n"/>
      <c r="D7584" s="8" t="n"/>
      <c r="E7584" s="8" t="n"/>
      <c r="F7584" s="8" t="n"/>
      <c r="G7584" s="8" t="n"/>
      <c r="H7584" s="8" t="n"/>
      <c r="I7584" s="8" t="n"/>
      <c r="J7584" s="8" t="n"/>
      <c r="K7584" s="8" t="n"/>
      <c r="L7584" s="8" t="n"/>
      <c r="M7584" s="9">
        <f>B7584+30</f>
        <v/>
      </c>
      <c r="N7584">
        <f>IF(L7584="", "", L7584-B7584)</f>
        <v/>
      </c>
      <c r="O7584">
        <f>IF(L7584="", "Pending", IF(N7584&lt;=30, "Met", "Breached"))</f>
        <v/>
      </c>
      <c r="P7584" s="8" t="n"/>
      <c r="Q7584" s="8" t="n"/>
      <c r="R7584" s="8" t="n"/>
      <c r="S7584" s="8" t="n"/>
      <c r="T7584" s="8" t="n"/>
      <c r="U7584" s="8" t="n"/>
      <c r="V7584" s="8" t="n"/>
      <c r="W7584" s="8" t="n"/>
      <c r="X7584" s="8" t="n"/>
      <c r="Y7584" s="8" t="n"/>
    </row>
    <row r="7585">
      <c r="A7585" s="8" t="n"/>
      <c r="B7585" s="8" t="n"/>
      <c r="C7585" s="8" t="n"/>
      <c r="D7585" s="8" t="n"/>
      <c r="E7585" s="8" t="n"/>
      <c r="F7585" s="8" t="n"/>
      <c r="G7585" s="8" t="n"/>
      <c r="H7585" s="8" t="n"/>
      <c r="I7585" s="8" t="n"/>
      <c r="J7585" s="8" t="n"/>
      <c r="K7585" s="8" t="n"/>
      <c r="L7585" s="8" t="n"/>
      <c r="M7585" s="9">
        <f>B7585+30</f>
        <v/>
      </c>
      <c r="N7585">
        <f>IF(L7585="", "", L7585-B7585)</f>
        <v/>
      </c>
      <c r="O7585">
        <f>IF(L7585="", "Pending", IF(N7585&lt;=30, "Met", "Breached"))</f>
        <v/>
      </c>
      <c r="P7585" s="8" t="n"/>
      <c r="Q7585" s="8" t="n"/>
      <c r="R7585" s="8" t="n"/>
      <c r="S7585" s="8" t="n"/>
      <c r="T7585" s="8" t="n"/>
      <c r="U7585" s="8" t="n"/>
      <c r="V7585" s="8" t="n"/>
      <c r="W7585" s="8" t="n"/>
      <c r="X7585" s="8" t="n"/>
      <c r="Y7585" s="8" t="n"/>
    </row>
    <row r="7586">
      <c r="A7586" s="8" t="n"/>
      <c r="B7586" s="8" t="n"/>
      <c r="C7586" s="8" t="n"/>
      <c r="D7586" s="8" t="n"/>
      <c r="E7586" s="8" t="n"/>
      <c r="F7586" s="8" t="n"/>
      <c r="G7586" s="8" t="n"/>
      <c r="H7586" s="8" t="n"/>
      <c r="I7586" s="8" t="n"/>
      <c r="J7586" s="8" t="n"/>
      <c r="K7586" s="8" t="n"/>
      <c r="L7586" s="8" t="n"/>
      <c r="M7586" s="9">
        <f>B7586+30</f>
        <v/>
      </c>
      <c r="N7586">
        <f>IF(L7586="", "", L7586-B7586)</f>
        <v/>
      </c>
      <c r="O7586">
        <f>IF(L7586="", "Pending", IF(N7586&lt;=30, "Met", "Breached"))</f>
        <v/>
      </c>
      <c r="P7586" s="8" t="n"/>
      <c r="Q7586" s="8" t="n"/>
      <c r="R7586" s="8" t="n"/>
      <c r="S7586" s="8" t="n"/>
      <c r="T7586" s="8" t="n"/>
      <c r="U7586" s="8" t="n"/>
      <c r="V7586" s="8" t="n"/>
      <c r="W7586" s="8" t="n"/>
      <c r="X7586" s="8" t="n"/>
      <c r="Y7586" s="8" t="n"/>
    </row>
    <row r="7587">
      <c r="A7587" s="8" t="n"/>
      <c r="B7587" s="8" t="n"/>
      <c r="C7587" s="8" t="n"/>
      <c r="D7587" s="8" t="n"/>
      <c r="E7587" s="8" t="n"/>
      <c r="F7587" s="8" t="n"/>
      <c r="G7587" s="8" t="n"/>
      <c r="H7587" s="8" t="n"/>
      <c r="I7587" s="8" t="n"/>
      <c r="J7587" s="8" t="n"/>
      <c r="K7587" s="8" t="n"/>
      <c r="L7587" s="8" t="n"/>
      <c r="M7587" s="9">
        <f>B7587+30</f>
        <v/>
      </c>
      <c r="N7587">
        <f>IF(L7587="", "", L7587-B7587)</f>
        <v/>
      </c>
      <c r="O7587">
        <f>IF(L7587="", "Pending", IF(N7587&lt;=30, "Met", "Breached"))</f>
        <v/>
      </c>
      <c r="P7587" s="8" t="n"/>
      <c r="Q7587" s="8" t="n"/>
      <c r="R7587" s="8" t="n"/>
      <c r="S7587" s="8" t="n"/>
      <c r="T7587" s="8" t="n"/>
      <c r="U7587" s="8" t="n"/>
      <c r="V7587" s="8" t="n"/>
      <c r="W7587" s="8" t="n"/>
      <c r="X7587" s="8" t="n"/>
      <c r="Y7587" s="8" t="n"/>
    </row>
    <row r="7588">
      <c r="A7588" s="8" t="n"/>
      <c r="B7588" s="8" t="n"/>
      <c r="C7588" s="8" t="n"/>
      <c r="D7588" s="8" t="n"/>
      <c r="E7588" s="8" t="n"/>
      <c r="F7588" s="8" t="n"/>
      <c r="G7588" s="8" t="n"/>
      <c r="H7588" s="8" t="n"/>
      <c r="I7588" s="8" t="n"/>
      <c r="J7588" s="8" t="n"/>
      <c r="K7588" s="8" t="n"/>
      <c r="L7588" s="8" t="n"/>
      <c r="M7588" s="9">
        <f>B7588+30</f>
        <v/>
      </c>
      <c r="N7588">
        <f>IF(L7588="", "", L7588-B7588)</f>
        <v/>
      </c>
      <c r="O7588">
        <f>IF(L7588="", "Pending", IF(N7588&lt;=30, "Met", "Breached"))</f>
        <v/>
      </c>
      <c r="P7588" s="8" t="n"/>
      <c r="Q7588" s="8" t="n"/>
      <c r="R7588" s="8" t="n"/>
      <c r="S7588" s="8" t="n"/>
      <c r="T7588" s="8" t="n"/>
      <c r="U7588" s="8" t="n"/>
      <c r="V7588" s="8" t="n"/>
      <c r="W7588" s="8" t="n"/>
      <c r="X7588" s="8" t="n"/>
      <c r="Y7588" s="8" t="n"/>
    </row>
    <row r="7589">
      <c r="A7589" s="8" t="n"/>
      <c r="B7589" s="8" t="n"/>
      <c r="C7589" s="8" t="n"/>
      <c r="D7589" s="8" t="n"/>
      <c r="E7589" s="8" t="n"/>
      <c r="F7589" s="8" t="n"/>
      <c r="G7589" s="8" t="n"/>
      <c r="H7589" s="8" t="n"/>
      <c r="I7589" s="8" t="n"/>
      <c r="J7589" s="8" t="n"/>
      <c r="K7589" s="8" t="n"/>
      <c r="L7589" s="8" t="n"/>
      <c r="M7589" s="9">
        <f>B7589+30</f>
        <v/>
      </c>
      <c r="N7589">
        <f>IF(L7589="", "", L7589-B7589)</f>
        <v/>
      </c>
      <c r="O7589">
        <f>IF(L7589="", "Pending", IF(N7589&lt;=30, "Met", "Breached"))</f>
        <v/>
      </c>
      <c r="P7589" s="8" t="n"/>
      <c r="Q7589" s="8" t="n"/>
      <c r="R7589" s="8" t="n"/>
      <c r="S7589" s="8" t="n"/>
      <c r="T7589" s="8" t="n"/>
      <c r="U7589" s="8" t="n"/>
      <c r="V7589" s="8" t="n"/>
      <c r="W7589" s="8" t="n"/>
      <c r="X7589" s="8" t="n"/>
      <c r="Y7589" s="8" t="n"/>
    </row>
    <row r="7590">
      <c r="A7590" s="8" t="n"/>
      <c r="B7590" s="8" t="n"/>
      <c r="C7590" s="8" t="n"/>
      <c r="D7590" s="8" t="n"/>
      <c r="E7590" s="8" t="n"/>
      <c r="F7590" s="8" t="n"/>
      <c r="G7590" s="8" t="n"/>
      <c r="H7590" s="8" t="n"/>
      <c r="I7590" s="8" t="n"/>
      <c r="J7590" s="8" t="n"/>
      <c r="K7590" s="8" t="n"/>
      <c r="L7590" s="8" t="n"/>
      <c r="M7590" s="9">
        <f>B7590+30</f>
        <v/>
      </c>
      <c r="N7590">
        <f>IF(L7590="", "", L7590-B7590)</f>
        <v/>
      </c>
      <c r="O7590">
        <f>IF(L7590="", "Pending", IF(N7590&lt;=30, "Met", "Breached"))</f>
        <v/>
      </c>
      <c r="P7590" s="8" t="n"/>
      <c r="Q7590" s="8" t="n"/>
      <c r="R7590" s="8" t="n"/>
      <c r="S7590" s="8" t="n"/>
      <c r="T7590" s="8" t="n"/>
      <c r="U7590" s="8" t="n"/>
      <c r="V7590" s="8" t="n"/>
      <c r="W7590" s="8" t="n"/>
      <c r="X7590" s="8" t="n"/>
      <c r="Y7590" s="8" t="n"/>
    </row>
    <row r="7591">
      <c r="A7591" s="8" t="n"/>
      <c r="B7591" s="8" t="n"/>
      <c r="C7591" s="8" t="n"/>
      <c r="D7591" s="8" t="n"/>
      <c r="E7591" s="8" t="n"/>
      <c r="F7591" s="8" t="n"/>
      <c r="G7591" s="8" t="n"/>
      <c r="H7591" s="8" t="n"/>
      <c r="I7591" s="8" t="n"/>
      <c r="J7591" s="8" t="n"/>
      <c r="K7591" s="8" t="n"/>
      <c r="L7591" s="8" t="n"/>
      <c r="M7591" s="9">
        <f>B7591+30</f>
        <v/>
      </c>
      <c r="N7591">
        <f>IF(L7591="", "", L7591-B7591)</f>
        <v/>
      </c>
      <c r="O7591">
        <f>IF(L7591="", "Pending", IF(N7591&lt;=30, "Met", "Breached"))</f>
        <v/>
      </c>
      <c r="P7591" s="8" t="n"/>
      <c r="Q7591" s="8" t="n"/>
      <c r="R7591" s="8" t="n"/>
      <c r="S7591" s="8" t="n"/>
      <c r="T7591" s="8" t="n"/>
      <c r="U7591" s="8" t="n"/>
      <c r="V7591" s="8" t="n"/>
      <c r="W7591" s="8" t="n"/>
      <c r="X7591" s="8" t="n"/>
      <c r="Y7591" s="8" t="n"/>
    </row>
    <row r="7592">
      <c r="A7592" s="8" t="n"/>
      <c r="B7592" s="8" t="n"/>
      <c r="C7592" s="8" t="n"/>
      <c r="D7592" s="8" t="n"/>
      <c r="E7592" s="8" t="n"/>
      <c r="F7592" s="8" t="n"/>
      <c r="G7592" s="8" t="n"/>
      <c r="H7592" s="8" t="n"/>
      <c r="I7592" s="8" t="n"/>
      <c r="J7592" s="8" t="n"/>
      <c r="K7592" s="8" t="n"/>
      <c r="L7592" s="8" t="n"/>
      <c r="M7592" s="9">
        <f>B7592+30</f>
        <v/>
      </c>
      <c r="N7592">
        <f>IF(L7592="", "", L7592-B7592)</f>
        <v/>
      </c>
      <c r="O7592">
        <f>IF(L7592="", "Pending", IF(N7592&lt;=30, "Met", "Breached"))</f>
        <v/>
      </c>
      <c r="P7592" s="8" t="n"/>
      <c r="Q7592" s="8" t="n"/>
      <c r="R7592" s="8" t="n"/>
      <c r="S7592" s="8" t="n"/>
      <c r="T7592" s="8" t="n"/>
      <c r="U7592" s="8" t="n"/>
      <c r="V7592" s="8" t="n"/>
      <c r="W7592" s="8" t="n"/>
      <c r="X7592" s="8" t="n"/>
      <c r="Y7592" s="8" t="n"/>
    </row>
    <row r="7593">
      <c r="A7593" s="8" t="n"/>
      <c r="B7593" s="8" t="n"/>
      <c r="C7593" s="8" t="n"/>
      <c r="D7593" s="8" t="n"/>
      <c r="E7593" s="8" t="n"/>
      <c r="F7593" s="8" t="n"/>
      <c r="G7593" s="8" t="n"/>
      <c r="H7593" s="8" t="n"/>
      <c r="I7593" s="8" t="n"/>
      <c r="J7593" s="8" t="n"/>
      <c r="K7593" s="8" t="n"/>
      <c r="L7593" s="8" t="n"/>
      <c r="M7593" s="9">
        <f>B7593+30</f>
        <v/>
      </c>
      <c r="N7593">
        <f>IF(L7593="", "", L7593-B7593)</f>
        <v/>
      </c>
      <c r="O7593">
        <f>IF(L7593="", "Pending", IF(N7593&lt;=30, "Met", "Breached"))</f>
        <v/>
      </c>
      <c r="P7593" s="8" t="n"/>
      <c r="Q7593" s="8" t="n"/>
      <c r="R7593" s="8" t="n"/>
      <c r="S7593" s="8" t="n"/>
      <c r="T7593" s="8" t="n"/>
      <c r="U7593" s="8" t="n"/>
      <c r="V7593" s="8" t="n"/>
      <c r="W7593" s="8" t="n"/>
      <c r="X7593" s="8" t="n"/>
      <c r="Y7593" s="8" t="n"/>
    </row>
    <row r="7594">
      <c r="A7594" s="8" t="n"/>
      <c r="B7594" s="8" t="n"/>
      <c r="C7594" s="8" t="n"/>
      <c r="D7594" s="8" t="n"/>
      <c r="E7594" s="8" t="n"/>
      <c r="F7594" s="8" t="n"/>
      <c r="G7594" s="8" t="n"/>
      <c r="H7594" s="8" t="n"/>
      <c r="I7594" s="8" t="n"/>
      <c r="J7594" s="8" t="n"/>
      <c r="K7594" s="8" t="n"/>
      <c r="L7594" s="8" t="n"/>
      <c r="M7594" s="9">
        <f>B7594+30</f>
        <v/>
      </c>
      <c r="N7594">
        <f>IF(L7594="", "", L7594-B7594)</f>
        <v/>
      </c>
      <c r="O7594">
        <f>IF(L7594="", "Pending", IF(N7594&lt;=30, "Met", "Breached"))</f>
        <v/>
      </c>
      <c r="P7594" s="8" t="n"/>
      <c r="Q7594" s="8" t="n"/>
      <c r="R7594" s="8" t="n"/>
      <c r="S7594" s="8" t="n"/>
      <c r="T7594" s="8" t="n"/>
      <c r="U7594" s="8" t="n"/>
      <c r="V7594" s="8" t="n"/>
      <c r="W7594" s="8" t="n"/>
      <c r="X7594" s="8" t="n"/>
      <c r="Y7594" s="8" t="n"/>
    </row>
    <row r="7595">
      <c r="A7595" s="8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8" t="n"/>
      <c r="K7595" s="8" t="n"/>
      <c r="L7595" s="8" t="n"/>
      <c r="M7595" s="9">
        <f>B7595+30</f>
        <v/>
      </c>
      <c r="N7595">
        <f>IF(L7595="", "", L7595-B7595)</f>
        <v/>
      </c>
      <c r="O7595">
        <f>IF(L7595="", "Pending", IF(N7595&lt;=30, "Met", "Breached"))</f>
        <v/>
      </c>
      <c r="P7595" s="8" t="n"/>
      <c r="Q7595" s="8" t="n"/>
      <c r="R7595" s="8" t="n"/>
      <c r="S7595" s="8" t="n"/>
      <c r="T7595" s="8" t="n"/>
      <c r="U7595" s="8" t="n"/>
      <c r="V7595" s="8" t="n"/>
      <c r="W7595" s="8" t="n"/>
      <c r="X7595" s="8" t="n"/>
      <c r="Y7595" s="8" t="n"/>
    </row>
    <row r="7596">
      <c r="A7596" s="8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8" t="n"/>
      <c r="K7596" s="8" t="n"/>
      <c r="L7596" s="8" t="n"/>
      <c r="M7596" s="9">
        <f>B7596+30</f>
        <v/>
      </c>
      <c r="N7596">
        <f>IF(L7596="", "", L7596-B7596)</f>
        <v/>
      </c>
      <c r="O7596">
        <f>IF(L7596="", "Pending", IF(N7596&lt;=30, "Met", "Breached"))</f>
        <v/>
      </c>
      <c r="P7596" s="8" t="n"/>
      <c r="Q7596" s="8" t="n"/>
      <c r="R7596" s="8" t="n"/>
      <c r="S7596" s="8" t="n"/>
      <c r="T7596" s="8" t="n"/>
      <c r="U7596" s="8" t="n"/>
      <c r="V7596" s="8" t="n"/>
      <c r="W7596" s="8" t="n"/>
      <c r="X7596" s="8" t="n"/>
      <c r="Y7596" s="8" t="n"/>
    </row>
    <row r="7597">
      <c r="A7597" s="8" t="n"/>
      <c r="B7597" s="8" t="n"/>
      <c r="C7597" s="8" t="n"/>
      <c r="D7597" s="8" t="n"/>
      <c r="E7597" s="8" t="n"/>
      <c r="F7597" s="8" t="n"/>
      <c r="G7597" s="8" t="n"/>
      <c r="H7597" s="8" t="n"/>
      <c r="I7597" s="8" t="n"/>
      <c r="J7597" s="8" t="n"/>
      <c r="K7597" s="8" t="n"/>
      <c r="L7597" s="8" t="n"/>
      <c r="M7597" s="9">
        <f>B7597+30</f>
        <v/>
      </c>
      <c r="N7597">
        <f>IF(L7597="", "", L7597-B7597)</f>
        <v/>
      </c>
      <c r="O7597">
        <f>IF(L7597="", "Pending", IF(N7597&lt;=30, "Met", "Breached"))</f>
        <v/>
      </c>
      <c r="P7597" s="8" t="n"/>
      <c r="Q7597" s="8" t="n"/>
      <c r="R7597" s="8" t="n"/>
      <c r="S7597" s="8" t="n"/>
      <c r="T7597" s="8" t="n"/>
      <c r="U7597" s="8" t="n"/>
      <c r="V7597" s="8" t="n"/>
      <c r="W7597" s="8" t="n"/>
      <c r="X7597" s="8" t="n"/>
      <c r="Y7597" s="8" t="n"/>
    </row>
    <row r="7598">
      <c r="A7598" s="8" t="n"/>
      <c r="B7598" s="8" t="n"/>
      <c r="C7598" s="8" t="n"/>
      <c r="D7598" s="8" t="n"/>
      <c r="E7598" s="8" t="n"/>
      <c r="F7598" s="8" t="n"/>
      <c r="G7598" s="8" t="n"/>
      <c r="H7598" s="8" t="n"/>
      <c r="I7598" s="8" t="n"/>
      <c r="J7598" s="8" t="n"/>
      <c r="K7598" s="8" t="n"/>
      <c r="L7598" s="8" t="n"/>
      <c r="M7598" s="9">
        <f>B7598+30</f>
        <v/>
      </c>
      <c r="N7598">
        <f>IF(L7598="", "", L7598-B7598)</f>
        <v/>
      </c>
      <c r="O7598">
        <f>IF(L7598="", "Pending", IF(N7598&lt;=30, "Met", "Breached"))</f>
        <v/>
      </c>
      <c r="P7598" s="8" t="n"/>
      <c r="Q7598" s="8" t="n"/>
      <c r="R7598" s="8" t="n"/>
      <c r="S7598" s="8" t="n"/>
      <c r="T7598" s="8" t="n"/>
      <c r="U7598" s="8" t="n"/>
      <c r="V7598" s="8" t="n"/>
      <c r="W7598" s="8" t="n"/>
      <c r="X7598" s="8" t="n"/>
      <c r="Y7598" s="8" t="n"/>
    </row>
    <row r="7599">
      <c r="A7599" s="8" t="n"/>
      <c r="B7599" s="8" t="n"/>
      <c r="C7599" s="8" t="n"/>
      <c r="D7599" s="8" t="n"/>
      <c r="E7599" s="8" t="n"/>
      <c r="F7599" s="8" t="n"/>
      <c r="G7599" s="8" t="n"/>
      <c r="H7599" s="8" t="n"/>
      <c r="I7599" s="8" t="n"/>
      <c r="J7599" s="8" t="n"/>
      <c r="K7599" s="8" t="n"/>
      <c r="L7599" s="8" t="n"/>
      <c r="M7599" s="9">
        <f>B7599+30</f>
        <v/>
      </c>
      <c r="N7599">
        <f>IF(L7599="", "", L7599-B7599)</f>
        <v/>
      </c>
      <c r="O7599">
        <f>IF(L7599="", "Pending", IF(N7599&lt;=30, "Met", "Breached"))</f>
        <v/>
      </c>
      <c r="P7599" s="8" t="n"/>
      <c r="Q7599" s="8" t="n"/>
      <c r="R7599" s="8" t="n"/>
      <c r="S7599" s="8" t="n"/>
      <c r="T7599" s="8" t="n"/>
      <c r="U7599" s="8" t="n"/>
      <c r="V7599" s="8" t="n"/>
      <c r="W7599" s="8" t="n"/>
      <c r="X7599" s="8" t="n"/>
      <c r="Y7599" s="8" t="n"/>
    </row>
    <row r="7600">
      <c r="A7600" s="8" t="n"/>
      <c r="B7600" s="8" t="n"/>
      <c r="C7600" s="8" t="n"/>
      <c r="D7600" s="8" t="n"/>
      <c r="E7600" s="8" t="n"/>
      <c r="F7600" s="8" t="n"/>
      <c r="G7600" s="8" t="n"/>
      <c r="H7600" s="8" t="n"/>
      <c r="I7600" s="8" t="n"/>
      <c r="J7600" s="8" t="n"/>
      <c r="K7600" s="8" t="n"/>
      <c r="L7600" s="8" t="n"/>
      <c r="M7600" s="9">
        <f>B7600+30</f>
        <v/>
      </c>
      <c r="N7600">
        <f>IF(L7600="", "", L7600-B7600)</f>
        <v/>
      </c>
      <c r="O7600">
        <f>IF(L7600="", "Pending", IF(N7600&lt;=30, "Met", "Breached"))</f>
        <v/>
      </c>
      <c r="P7600" s="8" t="n"/>
      <c r="Q7600" s="8" t="n"/>
      <c r="R7600" s="8" t="n"/>
      <c r="S7600" s="8" t="n"/>
      <c r="T7600" s="8" t="n"/>
      <c r="U7600" s="8" t="n"/>
      <c r="V7600" s="8" t="n"/>
      <c r="W7600" s="8" t="n"/>
      <c r="X7600" s="8" t="n"/>
      <c r="Y7600" s="8" t="n"/>
    </row>
    <row r="7601">
      <c r="A7601" s="8" t="n"/>
      <c r="B7601" s="8" t="n"/>
      <c r="C7601" s="8" t="n"/>
      <c r="D7601" s="8" t="n"/>
      <c r="E7601" s="8" t="n"/>
      <c r="F7601" s="8" t="n"/>
      <c r="G7601" s="8" t="n"/>
      <c r="H7601" s="8" t="n"/>
      <c r="I7601" s="8" t="n"/>
      <c r="J7601" s="8" t="n"/>
      <c r="K7601" s="8" t="n"/>
      <c r="L7601" s="8" t="n"/>
      <c r="M7601" s="9">
        <f>B7601+30</f>
        <v/>
      </c>
      <c r="N7601">
        <f>IF(L7601="", "", L7601-B7601)</f>
        <v/>
      </c>
      <c r="O7601">
        <f>IF(L7601="", "Pending", IF(N7601&lt;=30, "Met", "Breached"))</f>
        <v/>
      </c>
      <c r="P7601" s="8" t="n"/>
      <c r="Q7601" s="8" t="n"/>
      <c r="R7601" s="8" t="n"/>
      <c r="S7601" s="8" t="n"/>
      <c r="T7601" s="8" t="n"/>
      <c r="U7601" s="8" t="n"/>
      <c r="V7601" s="8" t="n"/>
      <c r="W7601" s="8" t="n"/>
      <c r="X7601" s="8" t="n"/>
      <c r="Y7601" s="8" t="n"/>
    </row>
    <row r="7602">
      <c r="A7602" s="8" t="n"/>
      <c r="B7602" s="8" t="n"/>
      <c r="C7602" s="8" t="n"/>
      <c r="D7602" s="8" t="n"/>
      <c r="E7602" s="8" t="n"/>
      <c r="F7602" s="8" t="n"/>
      <c r="G7602" s="8" t="n"/>
      <c r="H7602" s="8" t="n"/>
      <c r="I7602" s="8" t="n"/>
      <c r="J7602" s="8" t="n"/>
      <c r="K7602" s="8" t="n"/>
      <c r="L7602" s="8" t="n"/>
      <c r="M7602" s="9">
        <f>B7602+30</f>
        <v/>
      </c>
      <c r="N7602">
        <f>IF(L7602="", "", L7602-B7602)</f>
        <v/>
      </c>
      <c r="O7602">
        <f>IF(L7602="", "Pending", IF(N7602&lt;=30, "Met", "Breached"))</f>
        <v/>
      </c>
      <c r="P7602" s="8" t="n"/>
      <c r="Q7602" s="8" t="n"/>
      <c r="R7602" s="8" t="n"/>
      <c r="S7602" s="8" t="n"/>
      <c r="T7602" s="8" t="n"/>
      <c r="U7602" s="8" t="n"/>
      <c r="V7602" s="8" t="n"/>
      <c r="W7602" s="8" t="n"/>
      <c r="X7602" s="8" t="n"/>
      <c r="Y7602" s="8" t="n"/>
    </row>
    <row r="7603">
      <c r="A7603" s="8" t="n"/>
      <c r="B7603" s="8" t="n"/>
      <c r="C7603" s="8" t="n"/>
      <c r="D7603" s="8" t="n"/>
      <c r="E7603" s="8" t="n"/>
      <c r="F7603" s="8" t="n"/>
      <c r="G7603" s="8" t="n"/>
      <c r="H7603" s="8" t="n"/>
      <c r="I7603" s="8" t="n"/>
      <c r="J7603" s="8" t="n"/>
      <c r="K7603" s="8" t="n"/>
      <c r="L7603" s="8" t="n"/>
      <c r="M7603" s="9">
        <f>B7603+30</f>
        <v/>
      </c>
      <c r="N7603">
        <f>IF(L7603="", "", L7603-B7603)</f>
        <v/>
      </c>
      <c r="O7603">
        <f>IF(L7603="", "Pending", IF(N7603&lt;=30, "Met", "Breached"))</f>
        <v/>
      </c>
      <c r="P7603" s="8" t="n"/>
      <c r="Q7603" s="8" t="n"/>
      <c r="R7603" s="8" t="n"/>
      <c r="S7603" s="8" t="n"/>
      <c r="T7603" s="8" t="n"/>
      <c r="U7603" s="8" t="n"/>
      <c r="V7603" s="8" t="n"/>
      <c r="W7603" s="8" t="n"/>
      <c r="X7603" s="8" t="n"/>
      <c r="Y7603" s="8" t="n"/>
    </row>
    <row r="7604">
      <c r="A7604" s="8" t="n"/>
      <c r="B7604" s="8" t="n"/>
      <c r="C7604" s="8" t="n"/>
      <c r="D7604" s="8" t="n"/>
      <c r="E7604" s="8" t="n"/>
      <c r="F7604" s="8" t="n"/>
      <c r="G7604" s="8" t="n"/>
      <c r="H7604" s="8" t="n"/>
      <c r="I7604" s="8" t="n"/>
      <c r="J7604" s="8" t="n"/>
      <c r="K7604" s="8" t="n"/>
      <c r="L7604" s="8" t="n"/>
      <c r="M7604" s="9">
        <f>B7604+30</f>
        <v/>
      </c>
      <c r="N7604">
        <f>IF(L7604="", "", L7604-B7604)</f>
        <v/>
      </c>
      <c r="O7604">
        <f>IF(L7604="", "Pending", IF(N7604&lt;=30, "Met", "Breached"))</f>
        <v/>
      </c>
      <c r="P7604" s="8" t="n"/>
      <c r="Q7604" s="8" t="n"/>
      <c r="R7604" s="8" t="n"/>
      <c r="S7604" s="8" t="n"/>
      <c r="T7604" s="8" t="n"/>
      <c r="U7604" s="8" t="n"/>
      <c r="V7604" s="8" t="n"/>
      <c r="W7604" s="8" t="n"/>
      <c r="X7604" s="8" t="n"/>
      <c r="Y7604" s="8" t="n"/>
    </row>
    <row r="7605">
      <c r="A7605" s="8" t="n"/>
      <c r="B7605" s="8" t="n"/>
      <c r="C7605" s="8" t="n"/>
      <c r="D7605" s="8" t="n"/>
      <c r="E7605" s="8" t="n"/>
      <c r="F7605" s="8" t="n"/>
      <c r="G7605" s="8" t="n"/>
      <c r="H7605" s="8" t="n"/>
      <c r="I7605" s="8" t="n"/>
      <c r="J7605" s="8" t="n"/>
      <c r="K7605" s="8" t="n"/>
      <c r="L7605" s="8" t="n"/>
      <c r="M7605" s="9">
        <f>B7605+30</f>
        <v/>
      </c>
      <c r="N7605">
        <f>IF(L7605="", "", L7605-B7605)</f>
        <v/>
      </c>
      <c r="O7605">
        <f>IF(L7605="", "Pending", IF(N7605&lt;=30, "Met", "Breached"))</f>
        <v/>
      </c>
      <c r="P7605" s="8" t="n"/>
      <c r="Q7605" s="8" t="n"/>
      <c r="R7605" s="8" t="n"/>
      <c r="S7605" s="8" t="n"/>
      <c r="T7605" s="8" t="n"/>
      <c r="U7605" s="8" t="n"/>
      <c r="V7605" s="8" t="n"/>
      <c r="W7605" s="8" t="n"/>
      <c r="X7605" s="8" t="n"/>
      <c r="Y7605" s="8" t="n"/>
    </row>
    <row r="7606">
      <c r="A7606" s="8" t="n"/>
      <c r="B7606" s="8" t="n"/>
      <c r="C7606" s="8" t="n"/>
      <c r="D7606" s="8" t="n"/>
      <c r="E7606" s="8" t="n"/>
      <c r="F7606" s="8" t="n"/>
      <c r="G7606" s="8" t="n"/>
      <c r="H7606" s="8" t="n"/>
      <c r="I7606" s="8" t="n"/>
      <c r="J7606" s="8" t="n"/>
      <c r="K7606" s="8" t="n"/>
      <c r="L7606" s="8" t="n"/>
      <c r="M7606" s="9">
        <f>B7606+30</f>
        <v/>
      </c>
      <c r="N7606">
        <f>IF(L7606="", "", L7606-B7606)</f>
        <v/>
      </c>
      <c r="O7606">
        <f>IF(L7606="", "Pending", IF(N7606&lt;=30, "Met", "Breached"))</f>
        <v/>
      </c>
      <c r="P7606" s="8" t="n"/>
      <c r="Q7606" s="8" t="n"/>
      <c r="R7606" s="8" t="n"/>
      <c r="S7606" s="8" t="n"/>
      <c r="T7606" s="8" t="n"/>
      <c r="U7606" s="8" t="n"/>
      <c r="V7606" s="8" t="n"/>
      <c r="W7606" s="8" t="n"/>
      <c r="X7606" s="8" t="n"/>
      <c r="Y7606" s="8" t="n"/>
    </row>
    <row r="7607">
      <c r="A7607" s="8" t="n"/>
      <c r="B7607" s="8" t="n"/>
      <c r="C7607" s="8" t="n"/>
      <c r="D7607" s="8" t="n"/>
      <c r="E7607" s="8" t="n"/>
      <c r="F7607" s="8" t="n"/>
      <c r="G7607" s="8" t="n"/>
      <c r="H7607" s="8" t="n"/>
      <c r="I7607" s="8" t="n"/>
      <c r="J7607" s="8" t="n"/>
      <c r="K7607" s="8" t="n"/>
      <c r="L7607" s="8" t="n"/>
      <c r="M7607" s="9">
        <f>B7607+30</f>
        <v/>
      </c>
      <c r="N7607">
        <f>IF(L7607="", "", L7607-B7607)</f>
        <v/>
      </c>
      <c r="O7607">
        <f>IF(L7607="", "Pending", IF(N7607&lt;=30, "Met", "Breached"))</f>
        <v/>
      </c>
      <c r="P7607" s="8" t="n"/>
      <c r="Q7607" s="8" t="n"/>
      <c r="R7607" s="8" t="n"/>
      <c r="S7607" s="8" t="n"/>
      <c r="T7607" s="8" t="n"/>
      <c r="U7607" s="8" t="n"/>
      <c r="V7607" s="8" t="n"/>
      <c r="W7607" s="8" t="n"/>
      <c r="X7607" s="8" t="n"/>
      <c r="Y7607" s="8" t="n"/>
    </row>
    <row r="7608">
      <c r="A7608" s="8" t="n"/>
      <c r="B7608" s="8" t="n"/>
      <c r="C7608" s="8" t="n"/>
      <c r="D7608" s="8" t="n"/>
      <c r="E7608" s="8" t="n"/>
      <c r="F7608" s="8" t="n"/>
      <c r="G7608" s="8" t="n"/>
      <c r="H7608" s="8" t="n"/>
      <c r="I7608" s="8" t="n"/>
      <c r="J7608" s="8" t="n"/>
      <c r="K7608" s="8" t="n"/>
      <c r="L7608" s="8" t="n"/>
      <c r="M7608" s="9">
        <f>B7608+30</f>
        <v/>
      </c>
      <c r="N7608">
        <f>IF(L7608="", "", L7608-B7608)</f>
        <v/>
      </c>
      <c r="O7608">
        <f>IF(L7608="", "Pending", IF(N7608&lt;=30, "Met", "Breached"))</f>
        <v/>
      </c>
      <c r="P7608" s="8" t="n"/>
      <c r="Q7608" s="8" t="n"/>
      <c r="R7608" s="8" t="n"/>
      <c r="S7608" s="8" t="n"/>
      <c r="T7608" s="8" t="n"/>
      <c r="U7608" s="8" t="n"/>
      <c r="V7608" s="8" t="n"/>
      <c r="W7608" s="8" t="n"/>
      <c r="X7608" s="8" t="n"/>
      <c r="Y7608" s="8" t="n"/>
    </row>
    <row r="7609">
      <c r="A7609" s="8" t="n"/>
      <c r="B7609" s="8" t="n"/>
      <c r="C7609" s="8" t="n"/>
      <c r="D7609" s="8" t="n"/>
      <c r="E7609" s="8" t="n"/>
      <c r="F7609" s="8" t="n"/>
      <c r="G7609" s="8" t="n"/>
      <c r="H7609" s="8" t="n"/>
      <c r="I7609" s="8" t="n"/>
      <c r="J7609" s="8" t="n"/>
      <c r="K7609" s="8" t="n"/>
      <c r="L7609" s="8" t="n"/>
      <c r="M7609" s="9">
        <f>B7609+30</f>
        <v/>
      </c>
      <c r="N7609">
        <f>IF(L7609="", "", L7609-B7609)</f>
        <v/>
      </c>
      <c r="O7609">
        <f>IF(L7609="", "Pending", IF(N7609&lt;=30, "Met", "Breached"))</f>
        <v/>
      </c>
      <c r="P7609" s="8" t="n"/>
      <c r="Q7609" s="8" t="n"/>
      <c r="R7609" s="8" t="n"/>
      <c r="S7609" s="8" t="n"/>
      <c r="T7609" s="8" t="n"/>
      <c r="U7609" s="8" t="n"/>
      <c r="V7609" s="8" t="n"/>
      <c r="W7609" s="8" t="n"/>
      <c r="X7609" s="8" t="n"/>
      <c r="Y7609" s="8" t="n"/>
    </row>
    <row r="7610">
      <c r="A7610" s="8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8" t="n"/>
      <c r="K7610" s="8" t="n"/>
      <c r="L7610" s="8" t="n"/>
      <c r="M7610" s="9">
        <f>B7610+30</f>
        <v/>
      </c>
      <c r="N7610">
        <f>IF(L7610="", "", L7610-B7610)</f>
        <v/>
      </c>
      <c r="O7610">
        <f>IF(L7610="", "Pending", IF(N7610&lt;=30, "Met", "Breached"))</f>
        <v/>
      </c>
      <c r="P7610" s="8" t="n"/>
      <c r="Q7610" s="8" t="n"/>
      <c r="R7610" s="8" t="n"/>
      <c r="S7610" s="8" t="n"/>
      <c r="T7610" s="8" t="n"/>
      <c r="U7610" s="8" t="n"/>
      <c r="V7610" s="8" t="n"/>
      <c r="W7610" s="8" t="n"/>
      <c r="X7610" s="8" t="n"/>
      <c r="Y7610" s="8" t="n"/>
    </row>
    <row r="7611">
      <c r="A7611" s="8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8" t="n"/>
      <c r="K7611" s="8" t="n"/>
      <c r="L7611" s="8" t="n"/>
      <c r="M7611" s="9">
        <f>B7611+30</f>
        <v/>
      </c>
      <c r="N7611">
        <f>IF(L7611="", "", L7611-B7611)</f>
        <v/>
      </c>
      <c r="O7611">
        <f>IF(L7611="", "Pending", IF(N7611&lt;=30, "Met", "Breached"))</f>
        <v/>
      </c>
      <c r="P7611" s="8" t="n"/>
      <c r="Q7611" s="8" t="n"/>
      <c r="R7611" s="8" t="n"/>
      <c r="S7611" s="8" t="n"/>
      <c r="T7611" s="8" t="n"/>
      <c r="U7611" s="8" t="n"/>
      <c r="V7611" s="8" t="n"/>
      <c r="W7611" s="8" t="n"/>
      <c r="X7611" s="8" t="n"/>
      <c r="Y7611" s="8" t="n"/>
    </row>
    <row r="7612">
      <c r="A7612" s="8" t="n"/>
      <c r="B7612" s="8" t="n"/>
      <c r="C7612" s="8" t="n"/>
      <c r="D7612" s="8" t="n"/>
      <c r="E7612" s="8" t="n"/>
      <c r="F7612" s="8" t="n"/>
      <c r="G7612" s="8" t="n"/>
      <c r="H7612" s="8" t="n"/>
      <c r="I7612" s="8" t="n"/>
      <c r="J7612" s="8" t="n"/>
      <c r="K7612" s="8" t="n"/>
      <c r="L7612" s="8" t="n"/>
      <c r="M7612" s="9">
        <f>B7612+30</f>
        <v/>
      </c>
      <c r="N7612">
        <f>IF(L7612="", "", L7612-B7612)</f>
        <v/>
      </c>
      <c r="O7612">
        <f>IF(L7612="", "Pending", IF(N7612&lt;=30, "Met", "Breached"))</f>
        <v/>
      </c>
      <c r="P7612" s="8" t="n"/>
      <c r="Q7612" s="8" t="n"/>
      <c r="R7612" s="8" t="n"/>
      <c r="S7612" s="8" t="n"/>
      <c r="T7612" s="8" t="n"/>
      <c r="U7612" s="8" t="n"/>
      <c r="V7612" s="8" t="n"/>
      <c r="W7612" s="8" t="n"/>
      <c r="X7612" s="8" t="n"/>
      <c r="Y7612" s="8" t="n"/>
    </row>
    <row r="7613">
      <c r="A7613" s="8" t="n"/>
      <c r="B7613" s="8" t="n"/>
      <c r="C7613" s="8" t="n"/>
      <c r="D7613" s="8" t="n"/>
      <c r="E7613" s="8" t="n"/>
      <c r="F7613" s="8" t="n"/>
      <c r="G7613" s="8" t="n"/>
      <c r="H7613" s="8" t="n"/>
      <c r="I7613" s="8" t="n"/>
      <c r="J7613" s="8" t="n"/>
      <c r="K7613" s="8" t="n"/>
      <c r="L7613" s="8" t="n"/>
      <c r="M7613" s="9">
        <f>B7613+30</f>
        <v/>
      </c>
      <c r="N7613">
        <f>IF(L7613="", "", L7613-B7613)</f>
        <v/>
      </c>
      <c r="O7613">
        <f>IF(L7613="", "Pending", IF(N7613&lt;=30, "Met", "Breached"))</f>
        <v/>
      </c>
      <c r="P7613" s="8" t="n"/>
      <c r="Q7613" s="8" t="n"/>
      <c r="R7613" s="8" t="n"/>
      <c r="S7613" s="8" t="n"/>
      <c r="T7613" s="8" t="n"/>
      <c r="U7613" s="8" t="n"/>
      <c r="V7613" s="8" t="n"/>
      <c r="W7613" s="8" t="n"/>
      <c r="X7613" s="8" t="n"/>
      <c r="Y7613" s="8" t="n"/>
    </row>
    <row r="7614">
      <c r="A7614" s="8" t="n"/>
      <c r="B7614" s="8" t="n"/>
      <c r="C7614" s="8" t="n"/>
      <c r="D7614" s="8" t="n"/>
      <c r="E7614" s="8" t="n"/>
      <c r="F7614" s="8" t="n"/>
      <c r="G7614" s="8" t="n"/>
      <c r="H7614" s="8" t="n"/>
      <c r="I7614" s="8" t="n"/>
      <c r="J7614" s="8" t="n"/>
      <c r="K7614" s="8" t="n"/>
      <c r="L7614" s="8" t="n"/>
      <c r="M7614" s="9">
        <f>B7614+30</f>
        <v/>
      </c>
      <c r="N7614">
        <f>IF(L7614="", "", L7614-B7614)</f>
        <v/>
      </c>
      <c r="O7614">
        <f>IF(L7614="", "Pending", IF(N7614&lt;=30, "Met", "Breached"))</f>
        <v/>
      </c>
      <c r="P7614" s="8" t="n"/>
      <c r="Q7614" s="8" t="n"/>
      <c r="R7614" s="8" t="n"/>
      <c r="S7614" s="8" t="n"/>
      <c r="T7614" s="8" t="n"/>
      <c r="U7614" s="8" t="n"/>
      <c r="V7614" s="8" t="n"/>
      <c r="W7614" s="8" t="n"/>
      <c r="X7614" s="8" t="n"/>
      <c r="Y7614" s="8" t="n"/>
    </row>
    <row r="7615">
      <c r="A7615" s="8" t="n"/>
      <c r="B7615" s="8" t="n"/>
      <c r="C7615" s="8" t="n"/>
      <c r="D7615" s="8" t="n"/>
      <c r="E7615" s="8" t="n"/>
      <c r="F7615" s="8" t="n"/>
      <c r="G7615" s="8" t="n"/>
      <c r="H7615" s="8" t="n"/>
      <c r="I7615" s="8" t="n"/>
      <c r="J7615" s="8" t="n"/>
      <c r="K7615" s="8" t="n"/>
      <c r="L7615" s="8" t="n"/>
      <c r="M7615" s="9">
        <f>B7615+30</f>
        <v/>
      </c>
      <c r="N7615">
        <f>IF(L7615="", "", L7615-B7615)</f>
        <v/>
      </c>
      <c r="O7615">
        <f>IF(L7615="", "Pending", IF(N7615&lt;=30, "Met", "Breached"))</f>
        <v/>
      </c>
      <c r="P7615" s="8" t="n"/>
      <c r="Q7615" s="8" t="n"/>
      <c r="R7615" s="8" t="n"/>
      <c r="S7615" s="8" t="n"/>
      <c r="T7615" s="8" t="n"/>
      <c r="U7615" s="8" t="n"/>
      <c r="V7615" s="8" t="n"/>
      <c r="W7615" s="8" t="n"/>
      <c r="X7615" s="8" t="n"/>
      <c r="Y7615" s="8" t="n"/>
    </row>
    <row r="7616">
      <c r="A7616" s="8" t="n"/>
      <c r="B7616" s="8" t="n"/>
      <c r="C7616" s="8" t="n"/>
      <c r="D7616" s="8" t="n"/>
      <c r="E7616" s="8" t="n"/>
      <c r="F7616" s="8" t="n"/>
      <c r="G7616" s="8" t="n"/>
      <c r="H7616" s="8" t="n"/>
      <c r="I7616" s="8" t="n"/>
      <c r="J7616" s="8" t="n"/>
      <c r="K7616" s="8" t="n"/>
      <c r="L7616" s="8" t="n"/>
      <c r="M7616" s="9">
        <f>B7616+30</f>
        <v/>
      </c>
      <c r="N7616">
        <f>IF(L7616="", "", L7616-B7616)</f>
        <v/>
      </c>
      <c r="O7616">
        <f>IF(L7616="", "Pending", IF(N7616&lt;=30, "Met", "Breached"))</f>
        <v/>
      </c>
      <c r="P7616" s="8" t="n"/>
      <c r="Q7616" s="8" t="n"/>
      <c r="R7616" s="8" t="n"/>
      <c r="S7616" s="8" t="n"/>
      <c r="T7616" s="8" t="n"/>
      <c r="U7616" s="8" t="n"/>
      <c r="V7616" s="8" t="n"/>
      <c r="W7616" s="8" t="n"/>
      <c r="X7616" s="8" t="n"/>
      <c r="Y7616" s="8" t="n"/>
    </row>
    <row r="7617">
      <c r="A7617" s="8" t="n"/>
      <c r="B7617" s="8" t="n"/>
      <c r="C7617" s="8" t="n"/>
      <c r="D7617" s="8" t="n"/>
      <c r="E7617" s="8" t="n"/>
      <c r="F7617" s="8" t="n"/>
      <c r="G7617" s="8" t="n"/>
      <c r="H7617" s="8" t="n"/>
      <c r="I7617" s="8" t="n"/>
      <c r="J7617" s="8" t="n"/>
      <c r="K7617" s="8" t="n"/>
      <c r="L7617" s="8" t="n"/>
      <c r="M7617" s="9">
        <f>B7617+30</f>
        <v/>
      </c>
      <c r="N7617">
        <f>IF(L7617="", "", L7617-B7617)</f>
        <v/>
      </c>
      <c r="O7617">
        <f>IF(L7617="", "Pending", IF(N7617&lt;=30, "Met", "Breached"))</f>
        <v/>
      </c>
      <c r="P7617" s="8" t="n"/>
      <c r="Q7617" s="8" t="n"/>
      <c r="R7617" s="8" t="n"/>
      <c r="S7617" s="8" t="n"/>
      <c r="T7617" s="8" t="n"/>
      <c r="U7617" s="8" t="n"/>
      <c r="V7617" s="8" t="n"/>
      <c r="W7617" s="8" t="n"/>
      <c r="X7617" s="8" t="n"/>
      <c r="Y7617" s="8" t="n"/>
    </row>
    <row r="7618">
      <c r="A7618" s="8" t="n"/>
      <c r="B7618" s="8" t="n"/>
      <c r="C7618" s="8" t="n"/>
      <c r="D7618" s="8" t="n"/>
      <c r="E7618" s="8" t="n"/>
      <c r="F7618" s="8" t="n"/>
      <c r="G7618" s="8" t="n"/>
      <c r="H7618" s="8" t="n"/>
      <c r="I7618" s="8" t="n"/>
      <c r="J7618" s="8" t="n"/>
      <c r="K7618" s="8" t="n"/>
      <c r="L7618" s="8" t="n"/>
      <c r="M7618" s="9">
        <f>B7618+30</f>
        <v/>
      </c>
      <c r="N7618">
        <f>IF(L7618="", "", L7618-B7618)</f>
        <v/>
      </c>
      <c r="O7618">
        <f>IF(L7618="", "Pending", IF(N7618&lt;=30, "Met", "Breached"))</f>
        <v/>
      </c>
      <c r="P7618" s="8" t="n"/>
      <c r="Q7618" s="8" t="n"/>
      <c r="R7618" s="8" t="n"/>
      <c r="S7618" s="8" t="n"/>
      <c r="T7618" s="8" t="n"/>
      <c r="U7618" s="8" t="n"/>
      <c r="V7618" s="8" t="n"/>
      <c r="W7618" s="8" t="n"/>
      <c r="X7618" s="8" t="n"/>
      <c r="Y7618" s="8" t="n"/>
    </row>
    <row r="7619">
      <c r="A7619" s="8" t="n"/>
      <c r="B7619" s="8" t="n"/>
      <c r="C7619" s="8" t="n"/>
      <c r="D7619" s="8" t="n"/>
      <c r="E7619" s="8" t="n"/>
      <c r="F7619" s="8" t="n"/>
      <c r="G7619" s="8" t="n"/>
      <c r="H7619" s="8" t="n"/>
      <c r="I7619" s="8" t="n"/>
      <c r="J7619" s="8" t="n"/>
      <c r="K7619" s="8" t="n"/>
      <c r="L7619" s="8" t="n"/>
      <c r="M7619" s="9">
        <f>B7619+30</f>
        <v/>
      </c>
      <c r="N7619">
        <f>IF(L7619="", "", L7619-B7619)</f>
        <v/>
      </c>
      <c r="O7619">
        <f>IF(L7619="", "Pending", IF(N7619&lt;=30, "Met", "Breached"))</f>
        <v/>
      </c>
      <c r="P7619" s="8" t="n"/>
      <c r="Q7619" s="8" t="n"/>
      <c r="R7619" s="8" t="n"/>
      <c r="S7619" s="8" t="n"/>
      <c r="T7619" s="8" t="n"/>
      <c r="U7619" s="8" t="n"/>
      <c r="V7619" s="8" t="n"/>
      <c r="W7619" s="8" t="n"/>
      <c r="X7619" s="8" t="n"/>
      <c r="Y7619" s="8" t="n"/>
    </row>
    <row r="7620">
      <c r="A7620" s="8" t="n"/>
      <c r="B7620" s="8" t="n"/>
      <c r="C7620" s="8" t="n"/>
      <c r="D7620" s="8" t="n"/>
      <c r="E7620" s="8" t="n"/>
      <c r="F7620" s="8" t="n"/>
      <c r="G7620" s="8" t="n"/>
      <c r="H7620" s="8" t="n"/>
      <c r="I7620" s="8" t="n"/>
      <c r="J7620" s="8" t="n"/>
      <c r="K7620" s="8" t="n"/>
      <c r="L7620" s="8" t="n"/>
      <c r="M7620" s="9">
        <f>B7620+30</f>
        <v/>
      </c>
      <c r="N7620">
        <f>IF(L7620="", "", L7620-B7620)</f>
        <v/>
      </c>
      <c r="O7620">
        <f>IF(L7620="", "Pending", IF(N7620&lt;=30, "Met", "Breached"))</f>
        <v/>
      </c>
      <c r="P7620" s="8" t="n"/>
      <c r="Q7620" s="8" t="n"/>
      <c r="R7620" s="8" t="n"/>
      <c r="S7620" s="8" t="n"/>
      <c r="T7620" s="8" t="n"/>
      <c r="U7620" s="8" t="n"/>
      <c r="V7620" s="8" t="n"/>
      <c r="W7620" s="8" t="n"/>
      <c r="X7620" s="8" t="n"/>
      <c r="Y7620" s="8" t="n"/>
    </row>
    <row r="7621">
      <c r="A7621" s="8" t="n"/>
      <c r="B7621" s="8" t="n"/>
      <c r="C7621" s="8" t="n"/>
      <c r="D7621" s="8" t="n"/>
      <c r="E7621" s="8" t="n"/>
      <c r="F7621" s="8" t="n"/>
      <c r="G7621" s="8" t="n"/>
      <c r="H7621" s="8" t="n"/>
      <c r="I7621" s="8" t="n"/>
      <c r="J7621" s="8" t="n"/>
      <c r="K7621" s="8" t="n"/>
      <c r="L7621" s="8" t="n"/>
      <c r="M7621" s="9">
        <f>B7621+30</f>
        <v/>
      </c>
      <c r="N7621">
        <f>IF(L7621="", "", L7621-B7621)</f>
        <v/>
      </c>
      <c r="O7621">
        <f>IF(L7621="", "Pending", IF(N7621&lt;=30, "Met", "Breached"))</f>
        <v/>
      </c>
      <c r="P7621" s="8" t="n"/>
      <c r="Q7621" s="8" t="n"/>
      <c r="R7621" s="8" t="n"/>
      <c r="S7621" s="8" t="n"/>
      <c r="T7621" s="8" t="n"/>
      <c r="U7621" s="8" t="n"/>
      <c r="V7621" s="8" t="n"/>
      <c r="W7621" s="8" t="n"/>
      <c r="X7621" s="8" t="n"/>
      <c r="Y7621" s="8" t="n"/>
    </row>
    <row r="7622">
      <c r="A7622" s="8" t="n"/>
      <c r="B7622" s="8" t="n"/>
      <c r="C7622" s="8" t="n"/>
      <c r="D7622" s="8" t="n"/>
      <c r="E7622" s="8" t="n"/>
      <c r="F7622" s="8" t="n"/>
      <c r="G7622" s="8" t="n"/>
      <c r="H7622" s="8" t="n"/>
      <c r="I7622" s="8" t="n"/>
      <c r="J7622" s="8" t="n"/>
      <c r="K7622" s="8" t="n"/>
      <c r="L7622" s="8" t="n"/>
      <c r="M7622" s="9">
        <f>B7622+30</f>
        <v/>
      </c>
      <c r="N7622">
        <f>IF(L7622="", "", L7622-B7622)</f>
        <v/>
      </c>
      <c r="O7622">
        <f>IF(L7622="", "Pending", IF(N7622&lt;=30, "Met", "Breached"))</f>
        <v/>
      </c>
      <c r="P7622" s="8" t="n"/>
      <c r="Q7622" s="8" t="n"/>
      <c r="R7622" s="8" t="n"/>
      <c r="S7622" s="8" t="n"/>
      <c r="T7622" s="8" t="n"/>
      <c r="U7622" s="8" t="n"/>
      <c r="V7622" s="8" t="n"/>
      <c r="W7622" s="8" t="n"/>
      <c r="X7622" s="8" t="n"/>
      <c r="Y7622" s="8" t="n"/>
    </row>
    <row r="7623">
      <c r="A7623" s="8" t="n"/>
      <c r="B7623" s="8" t="n"/>
      <c r="C7623" s="8" t="n"/>
      <c r="D7623" s="8" t="n"/>
      <c r="E7623" s="8" t="n"/>
      <c r="F7623" s="8" t="n"/>
      <c r="G7623" s="8" t="n"/>
      <c r="H7623" s="8" t="n"/>
      <c r="I7623" s="8" t="n"/>
      <c r="J7623" s="8" t="n"/>
      <c r="K7623" s="8" t="n"/>
      <c r="L7623" s="8" t="n"/>
      <c r="M7623" s="9">
        <f>B7623+30</f>
        <v/>
      </c>
      <c r="N7623">
        <f>IF(L7623="", "", L7623-B7623)</f>
        <v/>
      </c>
      <c r="O7623">
        <f>IF(L7623="", "Pending", IF(N7623&lt;=30, "Met", "Breached"))</f>
        <v/>
      </c>
      <c r="P7623" s="8" t="n"/>
      <c r="Q7623" s="8" t="n"/>
      <c r="R7623" s="8" t="n"/>
      <c r="S7623" s="8" t="n"/>
      <c r="T7623" s="8" t="n"/>
      <c r="U7623" s="8" t="n"/>
      <c r="V7623" s="8" t="n"/>
      <c r="W7623" s="8" t="n"/>
      <c r="X7623" s="8" t="n"/>
      <c r="Y7623" s="8" t="n"/>
    </row>
    <row r="7624">
      <c r="A7624" s="8" t="n"/>
      <c r="B7624" s="8" t="n"/>
      <c r="C7624" s="8" t="n"/>
      <c r="D7624" s="8" t="n"/>
      <c r="E7624" s="8" t="n"/>
      <c r="F7624" s="8" t="n"/>
      <c r="G7624" s="8" t="n"/>
      <c r="H7624" s="8" t="n"/>
      <c r="I7624" s="8" t="n"/>
      <c r="J7624" s="8" t="n"/>
      <c r="K7624" s="8" t="n"/>
      <c r="L7624" s="8" t="n"/>
      <c r="M7624" s="9">
        <f>B7624+30</f>
        <v/>
      </c>
      <c r="N7624">
        <f>IF(L7624="", "", L7624-B7624)</f>
        <v/>
      </c>
      <c r="O7624">
        <f>IF(L7624="", "Pending", IF(N7624&lt;=30, "Met", "Breached"))</f>
        <v/>
      </c>
      <c r="P7624" s="8" t="n"/>
      <c r="Q7624" s="8" t="n"/>
      <c r="R7624" s="8" t="n"/>
      <c r="S7624" s="8" t="n"/>
      <c r="T7624" s="8" t="n"/>
      <c r="U7624" s="8" t="n"/>
      <c r="V7624" s="8" t="n"/>
      <c r="W7624" s="8" t="n"/>
      <c r="X7624" s="8" t="n"/>
      <c r="Y7624" s="8" t="n"/>
    </row>
    <row r="7625">
      <c r="A7625" s="8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8" t="n"/>
      <c r="K7625" s="8" t="n"/>
      <c r="L7625" s="8" t="n"/>
      <c r="M7625" s="9">
        <f>B7625+30</f>
        <v/>
      </c>
      <c r="N7625">
        <f>IF(L7625="", "", L7625-B7625)</f>
        <v/>
      </c>
      <c r="O7625">
        <f>IF(L7625="", "Pending", IF(N7625&lt;=30, "Met", "Breached"))</f>
        <v/>
      </c>
      <c r="P7625" s="8" t="n"/>
      <c r="Q7625" s="8" t="n"/>
      <c r="R7625" s="8" t="n"/>
      <c r="S7625" s="8" t="n"/>
      <c r="T7625" s="8" t="n"/>
      <c r="U7625" s="8" t="n"/>
      <c r="V7625" s="8" t="n"/>
      <c r="W7625" s="8" t="n"/>
      <c r="X7625" s="8" t="n"/>
      <c r="Y7625" s="8" t="n"/>
    </row>
    <row r="7626">
      <c r="A7626" s="8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8" t="n"/>
      <c r="K7626" s="8" t="n"/>
      <c r="L7626" s="8" t="n"/>
      <c r="M7626" s="9">
        <f>B7626+30</f>
        <v/>
      </c>
      <c r="N7626">
        <f>IF(L7626="", "", L7626-B7626)</f>
        <v/>
      </c>
      <c r="O7626">
        <f>IF(L7626="", "Pending", IF(N7626&lt;=30, "Met", "Breached"))</f>
        <v/>
      </c>
      <c r="P7626" s="8" t="n"/>
      <c r="Q7626" s="8" t="n"/>
      <c r="R7626" s="8" t="n"/>
      <c r="S7626" s="8" t="n"/>
      <c r="T7626" s="8" t="n"/>
      <c r="U7626" s="8" t="n"/>
      <c r="V7626" s="8" t="n"/>
      <c r="W7626" s="8" t="n"/>
      <c r="X7626" s="8" t="n"/>
      <c r="Y7626" s="8" t="n"/>
    </row>
    <row r="7627">
      <c r="A7627" s="8" t="n"/>
      <c r="B7627" s="8" t="n"/>
      <c r="C7627" s="8" t="n"/>
      <c r="D7627" s="8" t="n"/>
      <c r="E7627" s="8" t="n"/>
      <c r="F7627" s="8" t="n"/>
      <c r="G7627" s="8" t="n"/>
      <c r="H7627" s="8" t="n"/>
      <c r="I7627" s="8" t="n"/>
      <c r="J7627" s="8" t="n"/>
      <c r="K7627" s="8" t="n"/>
      <c r="L7627" s="8" t="n"/>
      <c r="M7627" s="9">
        <f>B7627+30</f>
        <v/>
      </c>
      <c r="N7627">
        <f>IF(L7627="", "", L7627-B7627)</f>
        <v/>
      </c>
      <c r="O7627">
        <f>IF(L7627="", "Pending", IF(N7627&lt;=30, "Met", "Breached"))</f>
        <v/>
      </c>
      <c r="P7627" s="8" t="n"/>
      <c r="Q7627" s="8" t="n"/>
      <c r="R7627" s="8" t="n"/>
      <c r="S7627" s="8" t="n"/>
      <c r="T7627" s="8" t="n"/>
      <c r="U7627" s="8" t="n"/>
      <c r="V7627" s="8" t="n"/>
      <c r="W7627" s="8" t="n"/>
      <c r="X7627" s="8" t="n"/>
      <c r="Y7627" s="8" t="n"/>
    </row>
    <row r="7628">
      <c r="A7628" s="8" t="n"/>
      <c r="B7628" s="8" t="n"/>
      <c r="C7628" s="8" t="n"/>
      <c r="D7628" s="8" t="n"/>
      <c r="E7628" s="8" t="n"/>
      <c r="F7628" s="8" t="n"/>
      <c r="G7628" s="8" t="n"/>
      <c r="H7628" s="8" t="n"/>
      <c r="I7628" s="8" t="n"/>
      <c r="J7628" s="8" t="n"/>
      <c r="K7628" s="8" t="n"/>
      <c r="L7628" s="8" t="n"/>
      <c r="M7628" s="9">
        <f>B7628+30</f>
        <v/>
      </c>
      <c r="N7628">
        <f>IF(L7628="", "", L7628-B7628)</f>
        <v/>
      </c>
      <c r="O7628">
        <f>IF(L7628="", "Pending", IF(N7628&lt;=30, "Met", "Breached"))</f>
        <v/>
      </c>
      <c r="P7628" s="8" t="n"/>
      <c r="Q7628" s="8" t="n"/>
      <c r="R7628" s="8" t="n"/>
      <c r="S7628" s="8" t="n"/>
      <c r="T7628" s="8" t="n"/>
      <c r="U7628" s="8" t="n"/>
      <c r="V7628" s="8" t="n"/>
      <c r="W7628" s="8" t="n"/>
      <c r="X7628" s="8" t="n"/>
      <c r="Y7628" s="8" t="n"/>
    </row>
    <row r="7629">
      <c r="A7629" s="8" t="n"/>
      <c r="B7629" s="8" t="n"/>
      <c r="C7629" s="8" t="n"/>
      <c r="D7629" s="8" t="n"/>
      <c r="E7629" s="8" t="n"/>
      <c r="F7629" s="8" t="n"/>
      <c r="G7629" s="8" t="n"/>
      <c r="H7629" s="8" t="n"/>
      <c r="I7629" s="8" t="n"/>
      <c r="J7629" s="8" t="n"/>
      <c r="K7629" s="8" t="n"/>
      <c r="L7629" s="8" t="n"/>
      <c r="M7629" s="9">
        <f>B7629+30</f>
        <v/>
      </c>
      <c r="N7629">
        <f>IF(L7629="", "", L7629-B7629)</f>
        <v/>
      </c>
      <c r="O7629">
        <f>IF(L7629="", "Pending", IF(N7629&lt;=30, "Met", "Breached"))</f>
        <v/>
      </c>
      <c r="P7629" s="8" t="n"/>
      <c r="Q7629" s="8" t="n"/>
      <c r="R7629" s="8" t="n"/>
      <c r="S7629" s="8" t="n"/>
      <c r="T7629" s="8" t="n"/>
      <c r="U7629" s="8" t="n"/>
      <c r="V7629" s="8" t="n"/>
      <c r="W7629" s="8" t="n"/>
      <c r="X7629" s="8" t="n"/>
      <c r="Y7629" s="8" t="n"/>
    </row>
    <row r="7630">
      <c r="A7630" s="8" t="n"/>
      <c r="B7630" s="8" t="n"/>
      <c r="C7630" s="8" t="n"/>
      <c r="D7630" s="8" t="n"/>
      <c r="E7630" s="8" t="n"/>
      <c r="F7630" s="8" t="n"/>
      <c r="G7630" s="8" t="n"/>
      <c r="H7630" s="8" t="n"/>
      <c r="I7630" s="8" t="n"/>
      <c r="J7630" s="8" t="n"/>
      <c r="K7630" s="8" t="n"/>
      <c r="L7630" s="8" t="n"/>
      <c r="M7630" s="9">
        <f>B7630+30</f>
        <v/>
      </c>
      <c r="N7630">
        <f>IF(L7630="", "", L7630-B7630)</f>
        <v/>
      </c>
      <c r="O7630">
        <f>IF(L7630="", "Pending", IF(N7630&lt;=30, "Met", "Breached"))</f>
        <v/>
      </c>
      <c r="P7630" s="8" t="n"/>
      <c r="Q7630" s="8" t="n"/>
      <c r="R7630" s="8" t="n"/>
      <c r="S7630" s="8" t="n"/>
      <c r="T7630" s="8" t="n"/>
      <c r="U7630" s="8" t="n"/>
      <c r="V7630" s="8" t="n"/>
      <c r="W7630" s="8" t="n"/>
      <c r="X7630" s="8" t="n"/>
      <c r="Y7630" s="8" t="n"/>
    </row>
    <row r="7631">
      <c r="A7631" s="8" t="n"/>
      <c r="B7631" s="8" t="n"/>
      <c r="C7631" s="8" t="n"/>
      <c r="D7631" s="8" t="n"/>
      <c r="E7631" s="8" t="n"/>
      <c r="F7631" s="8" t="n"/>
      <c r="G7631" s="8" t="n"/>
      <c r="H7631" s="8" t="n"/>
      <c r="I7631" s="8" t="n"/>
      <c r="J7631" s="8" t="n"/>
      <c r="K7631" s="8" t="n"/>
      <c r="L7631" s="8" t="n"/>
      <c r="M7631" s="9">
        <f>B7631+30</f>
        <v/>
      </c>
      <c r="N7631">
        <f>IF(L7631="", "", L7631-B7631)</f>
        <v/>
      </c>
      <c r="O7631">
        <f>IF(L7631="", "Pending", IF(N7631&lt;=30, "Met", "Breached"))</f>
        <v/>
      </c>
      <c r="P7631" s="8" t="n"/>
      <c r="Q7631" s="8" t="n"/>
      <c r="R7631" s="8" t="n"/>
      <c r="S7631" s="8" t="n"/>
      <c r="T7631" s="8" t="n"/>
      <c r="U7631" s="8" t="n"/>
      <c r="V7631" s="8" t="n"/>
      <c r="W7631" s="8" t="n"/>
      <c r="X7631" s="8" t="n"/>
      <c r="Y7631" s="8" t="n"/>
    </row>
    <row r="7632">
      <c r="A7632" s="8" t="n"/>
      <c r="B7632" s="8" t="n"/>
      <c r="C7632" s="8" t="n"/>
      <c r="D7632" s="8" t="n"/>
      <c r="E7632" s="8" t="n"/>
      <c r="F7632" s="8" t="n"/>
      <c r="G7632" s="8" t="n"/>
      <c r="H7632" s="8" t="n"/>
      <c r="I7632" s="8" t="n"/>
      <c r="J7632" s="8" t="n"/>
      <c r="K7632" s="8" t="n"/>
      <c r="L7632" s="8" t="n"/>
      <c r="M7632" s="9">
        <f>B7632+30</f>
        <v/>
      </c>
      <c r="N7632">
        <f>IF(L7632="", "", L7632-B7632)</f>
        <v/>
      </c>
      <c r="O7632">
        <f>IF(L7632="", "Pending", IF(N7632&lt;=30, "Met", "Breached"))</f>
        <v/>
      </c>
      <c r="P7632" s="8" t="n"/>
      <c r="Q7632" s="8" t="n"/>
      <c r="R7632" s="8" t="n"/>
      <c r="S7632" s="8" t="n"/>
      <c r="T7632" s="8" t="n"/>
      <c r="U7632" s="8" t="n"/>
      <c r="V7632" s="8" t="n"/>
      <c r="W7632" s="8" t="n"/>
      <c r="X7632" s="8" t="n"/>
      <c r="Y7632" s="8" t="n"/>
    </row>
    <row r="7633">
      <c r="A7633" s="8" t="n"/>
      <c r="B7633" s="8" t="n"/>
      <c r="C7633" s="8" t="n"/>
      <c r="D7633" s="8" t="n"/>
      <c r="E7633" s="8" t="n"/>
      <c r="F7633" s="8" t="n"/>
      <c r="G7633" s="8" t="n"/>
      <c r="H7633" s="8" t="n"/>
      <c r="I7633" s="8" t="n"/>
      <c r="J7633" s="8" t="n"/>
      <c r="K7633" s="8" t="n"/>
      <c r="L7633" s="8" t="n"/>
      <c r="M7633" s="9">
        <f>B7633+30</f>
        <v/>
      </c>
      <c r="N7633">
        <f>IF(L7633="", "", L7633-B7633)</f>
        <v/>
      </c>
      <c r="O7633">
        <f>IF(L7633="", "Pending", IF(N7633&lt;=30, "Met", "Breached"))</f>
        <v/>
      </c>
      <c r="P7633" s="8" t="n"/>
      <c r="Q7633" s="8" t="n"/>
      <c r="R7633" s="8" t="n"/>
      <c r="S7633" s="8" t="n"/>
      <c r="T7633" s="8" t="n"/>
      <c r="U7633" s="8" t="n"/>
      <c r="V7633" s="8" t="n"/>
      <c r="W7633" s="8" t="n"/>
      <c r="X7633" s="8" t="n"/>
      <c r="Y7633" s="8" t="n"/>
    </row>
    <row r="7634">
      <c r="A7634" s="8" t="n"/>
      <c r="B7634" s="8" t="n"/>
      <c r="C7634" s="8" t="n"/>
      <c r="D7634" s="8" t="n"/>
      <c r="E7634" s="8" t="n"/>
      <c r="F7634" s="8" t="n"/>
      <c r="G7634" s="8" t="n"/>
      <c r="H7634" s="8" t="n"/>
      <c r="I7634" s="8" t="n"/>
      <c r="J7634" s="8" t="n"/>
      <c r="K7634" s="8" t="n"/>
      <c r="L7634" s="8" t="n"/>
      <c r="M7634" s="9">
        <f>B7634+30</f>
        <v/>
      </c>
      <c r="N7634">
        <f>IF(L7634="", "", L7634-B7634)</f>
        <v/>
      </c>
      <c r="O7634">
        <f>IF(L7634="", "Pending", IF(N7634&lt;=30, "Met", "Breached"))</f>
        <v/>
      </c>
      <c r="P7634" s="8" t="n"/>
      <c r="Q7634" s="8" t="n"/>
      <c r="R7634" s="8" t="n"/>
      <c r="S7634" s="8" t="n"/>
      <c r="T7634" s="8" t="n"/>
      <c r="U7634" s="8" t="n"/>
      <c r="V7634" s="8" t="n"/>
      <c r="W7634" s="8" t="n"/>
      <c r="X7634" s="8" t="n"/>
      <c r="Y7634" s="8" t="n"/>
    </row>
    <row r="7635">
      <c r="A7635" s="8" t="n"/>
      <c r="B7635" s="8" t="n"/>
      <c r="C7635" s="8" t="n"/>
      <c r="D7635" s="8" t="n"/>
      <c r="E7635" s="8" t="n"/>
      <c r="F7635" s="8" t="n"/>
      <c r="G7635" s="8" t="n"/>
      <c r="H7635" s="8" t="n"/>
      <c r="I7635" s="8" t="n"/>
      <c r="J7635" s="8" t="n"/>
      <c r="K7635" s="8" t="n"/>
      <c r="L7635" s="8" t="n"/>
      <c r="M7635" s="9">
        <f>B7635+30</f>
        <v/>
      </c>
      <c r="N7635">
        <f>IF(L7635="", "", L7635-B7635)</f>
        <v/>
      </c>
      <c r="O7635">
        <f>IF(L7635="", "Pending", IF(N7635&lt;=30, "Met", "Breached"))</f>
        <v/>
      </c>
      <c r="P7635" s="8" t="n"/>
      <c r="Q7635" s="8" t="n"/>
      <c r="R7635" s="8" t="n"/>
      <c r="S7635" s="8" t="n"/>
      <c r="T7635" s="8" t="n"/>
      <c r="U7635" s="8" t="n"/>
      <c r="V7635" s="8" t="n"/>
      <c r="W7635" s="8" t="n"/>
      <c r="X7635" s="8" t="n"/>
      <c r="Y7635" s="8" t="n"/>
    </row>
    <row r="7636">
      <c r="A7636" s="8" t="n"/>
      <c r="B7636" s="8" t="n"/>
      <c r="C7636" s="8" t="n"/>
      <c r="D7636" s="8" t="n"/>
      <c r="E7636" s="8" t="n"/>
      <c r="F7636" s="8" t="n"/>
      <c r="G7636" s="8" t="n"/>
      <c r="H7636" s="8" t="n"/>
      <c r="I7636" s="8" t="n"/>
      <c r="J7636" s="8" t="n"/>
      <c r="K7636" s="8" t="n"/>
      <c r="L7636" s="8" t="n"/>
      <c r="M7636" s="9">
        <f>B7636+30</f>
        <v/>
      </c>
      <c r="N7636">
        <f>IF(L7636="", "", L7636-B7636)</f>
        <v/>
      </c>
      <c r="O7636">
        <f>IF(L7636="", "Pending", IF(N7636&lt;=30, "Met", "Breached"))</f>
        <v/>
      </c>
      <c r="P7636" s="8" t="n"/>
      <c r="Q7636" s="8" t="n"/>
      <c r="R7636" s="8" t="n"/>
      <c r="S7636" s="8" t="n"/>
      <c r="T7636" s="8" t="n"/>
      <c r="U7636" s="8" t="n"/>
      <c r="V7636" s="8" t="n"/>
      <c r="W7636" s="8" t="n"/>
      <c r="X7636" s="8" t="n"/>
      <c r="Y7636" s="8" t="n"/>
    </row>
    <row r="7637">
      <c r="A7637" s="8" t="n"/>
      <c r="B7637" s="8" t="n"/>
      <c r="C7637" s="8" t="n"/>
      <c r="D7637" s="8" t="n"/>
      <c r="E7637" s="8" t="n"/>
      <c r="F7637" s="8" t="n"/>
      <c r="G7637" s="8" t="n"/>
      <c r="H7637" s="8" t="n"/>
      <c r="I7637" s="8" t="n"/>
      <c r="J7637" s="8" t="n"/>
      <c r="K7637" s="8" t="n"/>
      <c r="L7637" s="8" t="n"/>
      <c r="M7637" s="9">
        <f>B7637+30</f>
        <v/>
      </c>
      <c r="N7637">
        <f>IF(L7637="", "", L7637-B7637)</f>
        <v/>
      </c>
      <c r="O7637">
        <f>IF(L7637="", "Pending", IF(N7637&lt;=30, "Met", "Breached"))</f>
        <v/>
      </c>
      <c r="P7637" s="8" t="n"/>
      <c r="Q7637" s="8" t="n"/>
      <c r="R7637" s="8" t="n"/>
      <c r="S7637" s="8" t="n"/>
      <c r="T7637" s="8" t="n"/>
      <c r="U7637" s="8" t="n"/>
      <c r="V7637" s="8" t="n"/>
      <c r="W7637" s="8" t="n"/>
      <c r="X7637" s="8" t="n"/>
      <c r="Y7637" s="8" t="n"/>
    </row>
    <row r="7638">
      <c r="A7638" s="8" t="n"/>
      <c r="B7638" s="8" t="n"/>
      <c r="C7638" s="8" t="n"/>
      <c r="D7638" s="8" t="n"/>
      <c r="E7638" s="8" t="n"/>
      <c r="F7638" s="8" t="n"/>
      <c r="G7638" s="8" t="n"/>
      <c r="H7638" s="8" t="n"/>
      <c r="I7638" s="8" t="n"/>
      <c r="J7638" s="8" t="n"/>
      <c r="K7638" s="8" t="n"/>
      <c r="L7638" s="8" t="n"/>
      <c r="M7638" s="9">
        <f>B7638+30</f>
        <v/>
      </c>
      <c r="N7638">
        <f>IF(L7638="", "", L7638-B7638)</f>
        <v/>
      </c>
      <c r="O7638">
        <f>IF(L7638="", "Pending", IF(N7638&lt;=30, "Met", "Breached"))</f>
        <v/>
      </c>
      <c r="P7638" s="8" t="n"/>
      <c r="Q7638" s="8" t="n"/>
      <c r="R7638" s="8" t="n"/>
      <c r="S7638" s="8" t="n"/>
      <c r="T7638" s="8" t="n"/>
      <c r="U7638" s="8" t="n"/>
      <c r="V7638" s="8" t="n"/>
      <c r="W7638" s="8" t="n"/>
      <c r="X7638" s="8" t="n"/>
      <c r="Y7638" s="8" t="n"/>
    </row>
    <row r="7639">
      <c r="A7639" s="8" t="n"/>
      <c r="B7639" s="8" t="n"/>
      <c r="C7639" s="8" t="n"/>
      <c r="D7639" s="8" t="n"/>
      <c r="E7639" s="8" t="n"/>
      <c r="F7639" s="8" t="n"/>
      <c r="G7639" s="8" t="n"/>
      <c r="H7639" s="8" t="n"/>
      <c r="I7639" s="8" t="n"/>
      <c r="J7639" s="8" t="n"/>
      <c r="K7639" s="8" t="n"/>
      <c r="L7639" s="8" t="n"/>
      <c r="M7639" s="9">
        <f>B7639+30</f>
        <v/>
      </c>
      <c r="N7639">
        <f>IF(L7639="", "", L7639-B7639)</f>
        <v/>
      </c>
      <c r="O7639">
        <f>IF(L7639="", "Pending", IF(N7639&lt;=30, "Met", "Breached"))</f>
        <v/>
      </c>
      <c r="P7639" s="8" t="n"/>
      <c r="Q7639" s="8" t="n"/>
      <c r="R7639" s="8" t="n"/>
      <c r="S7639" s="8" t="n"/>
      <c r="T7639" s="8" t="n"/>
      <c r="U7639" s="8" t="n"/>
      <c r="V7639" s="8" t="n"/>
      <c r="W7639" s="8" t="n"/>
      <c r="X7639" s="8" t="n"/>
      <c r="Y7639" s="8" t="n"/>
    </row>
    <row r="7640">
      <c r="A7640" s="8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8" t="n"/>
      <c r="K7640" s="8" t="n"/>
      <c r="L7640" s="8" t="n"/>
      <c r="M7640" s="9">
        <f>B7640+30</f>
        <v/>
      </c>
      <c r="N7640">
        <f>IF(L7640="", "", L7640-B7640)</f>
        <v/>
      </c>
      <c r="O7640">
        <f>IF(L7640="", "Pending", IF(N7640&lt;=30, "Met", "Breached"))</f>
        <v/>
      </c>
      <c r="P7640" s="8" t="n"/>
      <c r="Q7640" s="8" t="n"/>
      <c r="R7640" s="8" t="n"/>
      <c r="S7640" s="8" t="n"/>
      <c r="T7640" s="8" t="n"/>
      <c r="U7640" s="8" t="n"/>
      <c r="V7640" s="8" t="n"/>
      <c r="W7640" s="8" t="n"/>
      <c r="X7640" s="8" t="n"/>
      <c r="Y7640" s="8" t="n"/>
    </row>
    <row r="7641">
      <c r="A7641" s="8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8" t="n"/>
      <c r="K7641" s="8" t="n"/>
      <c r="L7641" s="8" t="n"/>
      <c r="M7641" s="9">
        <f>B7641+30</f>
        <v/>
      </c>
      <c r="N7641">
        <f>IF(L7641="", "", L7641-B7641)</f>
        <v/>
      </c>
      <c r="O7641">
        <f>IF(L7641="", "Pending", IF(N7641&lt;=30, "Met", "Breached"))</f>
        <v/>
      </c>
      <c r="P7641" s="8" t="n"/>
      <c r="Q7641" s="8" t="n"/>
      <c r="R7641" s="8" t="n"/>
      <c r="S7641" s="8" t="n"/>
      <c r="T7641" s="8" t="n"/>
      <c r="U7641" s="8" t="n"/>
      <c r="V7641" s="8" t="n"/>
      <c r="W7641" s="8" t="n"/>
      <c r="X7641" s="8" t="n"/>
      <c r="Y7641" s="8" t="n"/>
    </row>
    <row r="7642">
      <c r="A7642" s="8" t="n"/>
      <c r="B7642" s="8" t="n"/>
      <c r="C7642" s="8" t="n"/>
      <c r="D7642" s="8" t="n"/>
      <c r="E7642" s="8" t="n"/>
      <c r="F7642" s="8" t="n"/>
      <c r="G7642" s="8" t="n"/>
      <c r="H7642" s="8" t="n"/>
      <c r="I7642" s="8" t="n"/>
      <c r="J7642" s="8" t="n"/>
      <c r="K7642" s="8" t="n"/>
      <c r="L7642" s="8" t="n"/>
      <c r="M7642" s="9">
        <f>B7642+30</f>
        <v/>
      </c>
      <c r="N7642">
        <f>IF(L7642="", "", L7642-B7642)</f>
        <v/>
      </c>
      <c r="O7642">
        <f>IF(L7642="", "Pending", IF(N7642&lt;=30, "Met", "Breached"))</f>
        <v/>
      </c>
      <c r="P7642" s="8" t="n"/>
      <c r="Q7642" s="8" t="n"/>
      <c r="R7642" s="8" t="n"/>
      <c r="S7642" s="8" t="n"/>
      <c r="T7642" s="8" t="n"/>
      <c r="U7642" s="8" t="n"/>
      <c r="V7642" s="8" t="n"/>
      <c r="W7642" s="8" t="n"/>
      <c r="X7642" s="8" t="n"/>
      <c r="Y7642" s="8" t="n"/>
    </row>
    <row r="7643">
      <c r="A7643" s="8" t="n"/>
      <c r="B7643" s="8" t="n"/>
      <c r="C7643" s="8" t="n"/>
      <c r="D7643" s="8" t="n"/>
      <c r="E7643" s="8" t="n"/>
      <c r="F7643" s="8" t="n"/>
      <c r="G7643" s="8" t="n"/>
      <c r="H7643" s="8" t="n"/>
      <c r="I7643" s="8" t="n"/>
      <c r="J7643" s="8" t="n"/>
      <c r="K7643" s="8" t="n"/>
      <c r="L7643" s="8" t="n"/>
      <c r="M7643" s="9">
        <f>B7643+30</f>
        <v/>
      </c>
      <c r="N7643">
        <f>IF(L7643="", "", L7643-B7643)</f>
        <v/>
      </c>
      <c r="O7643">
        <f>IF(L7643="", "Pending", IF(N7643&lt;=30, "Met", "Breached"))</f>
        <v/>
      </c>
      <c r="P7643" s="8" t="n"/>
      <c r="Q7643" s="8" t="n"/>
      <c r="R7643" s="8" t="n"/>
      <c r="S7643" s="8" t="n"/>
      <c r="T7643" s="8" t="n"/>
      <c r="U7643" s="8" t="n"/>
      <c r="V7643" s="8" t="n"/>
      <c r="W7643" s="8" t="n"/>
      <c r="X7643" s="8" t="n"/>
      <c r="Y7643" s="8" t="n"/>
    </row>
    <row r="7644">
      <c r="A7644" s="8" t="n"/>
      <c r="B7644" s="8" t="n"/>
      <c r="C7644" s="8" t="n"/>
      <c r="D7644" s="8" t="n"/>
      <c r="E7644" s="8" t="n"/>
      <c r="F7644" s="8" t="n"/>
      <c r="G7644" s="8" t="n"/>
      <c r="H7644" s="8" t="n"/>
      <c r="I7644" s="8" t="n"/>
      <c r="J7644" s="8" t="n"/>
      <c r="K7644" s="8" t="n"/>
      <c r="L7644" s="8" t="n"/>
      <c r="M7644" s="9">
        <f>B7644+30</f>
        <v/>
      </c>
      <c r="N7644">
        <f>IF(L7644="", "", L7644-B7644)</f>
        <v/>
      </c>
      <c r="O7644">
        <f>IF(L7644="", "Pending", IF(N7644&lt;=30, "Met", "Breached"))</f>
        <v/>
      </c>
      <c r="P7644" s="8" t="n"/>
      <c r="Q7644" s="8" t="n"/>
      <c r="R7644" s="8" t="n"/>
      <c r="S7644" s="8" t="n"/>
      <c r="T7644" s="8" t="n"/>
      <c r="U7644" s="8" t="n"/>
      <c r="V7644" s="8" t="n"/>
      <c r="W7644" s="8" t="n"/>
      <c r="X7644" s="8" t="n"/>
      <c r="Y7644" s="8" t="n"/>
    </row>
    <row r="7645">
      <c r="A7645" s="8" t="n"/>
      <c r="B7645" s="8" t="n"/>
      <c r="C7645" s="8" t="n"/>
      <c r="D7645" s="8" t="n"/>
      <c r="E7645" s="8" t="n"/>
      <c r="F7645" s="8" t="n"/>
      <c r="G7645" s="8" t="n"/>
      <c r="H7645" s="8" t="n"/>
      <c r="I7645" s="8" t="n"/>
      <c r="J7645" s="8" t="n"/>
      <c r="K7645" s="8" t="n"/>
      <c r="L7645" s="8" t="n"/>
      <c r="M7645" s="9">
        <f>B7645+30</f>
        <v/>
      </c>
      <c r="N7645">
        <f>IF(L7645="", "", L7645-B7645)</f>
        <v/>
      </c>
      <c r="O7645">
        <f>IF(L7645="", "Pending", IF(N7645&lt;=30, "Met", "Breached"))</f>
        <v/>
      </c>
      <c r="P7645" s="8" t="n"/>
      <c r="Q7645" s="8" t="n"/>
      <c r="R7645" s="8" t="n"/>
      <c r="S7645" s="8" t="n"/>
      <c r="T7645" s="8" t="n"/>
      <c r="U7645" s="8" t="n"/>
      <c r="V7645" s="8" t="n"/>
      <c r="W7645" s="8" t="n"/>
      <c r="X7645" s="8" t="n"/>
      <c r="Y7645" s="8" t="n"/>
    </row>
    <row r="7646">
      <c r="A7646" s="8" t="n"/>
      <c r="B7646" s="8" t="n"/>
      <c r="C7646" s="8" t="n"/>
      <c r="D7646" s="8" t="n"/>
      <c r="E7646" s="8" t="n"/>
      <c r="F7646" s="8" t="n"/>
      <c r="G7646" s="8" t="n"/>
      <c r="H7646" s="8" t="n"/>
      <c r="I7646" s="8" t="n"/>
      <c r="J7646" s="8" t="n"/>
      <c r="K7646" s="8" t="n"/>
      <c r="L7646" s="8" t="n"/>
      <c r="M7646" s="9">
        <f>B7646+30</f>
        <v/>
      </c>
      <c r="N7646">
        <f>IF(L7646="", "", L7646-B7646)</f>
        <v/>
      </c>
      <c r="O7646">
        <f>IF(L7646="", "Pending", IF(N7646&lt;=30, "Met", "Breached"))</f>
        <v/>
      </c>
      <c r="P7646" s="8" t="n"/>
      <c r="Q7646" s="8" t="n"/>
      <c r="R7646" s="8" t="n"/>
      <c r="S7646" s="8" t="n"/>
      <c r="T7646" s="8" t="n"/>
      <c r="U7646" s="8" t="n"/>
      <c r="V7646" s="8" t="n"/>
      <c r="W7646" s="8" t="n"/>
      <c r="X7646" s="8" t="n"/>
      <c r="Y7646" s="8" t="n"/>
    </row>
    <row r="7647">
      <c r="A7647" s="8" t="n"/>
      <c r="B7647" s="8" t="n"/>
      <c r="C7647" s="8" t="n"/>
      <c r="D7647" s="8" t="n"/>
      <c r="E7647" s="8" t="n"/>
      <c r="F7647" s="8" t="n"/>
      <c r="G7647" s="8" t="n"/>
      <c r="H7647" s="8" t="n"/>
      <c r="I7647" s="8" t="n"/>
      <c r="J7647" s="8" t="n"/>
      <c r="K7647" s="8" t="n"/>
      <c r="L7647" s="8" t="n"/>
      <c r="M7647" s="9">
        <f>B7647+30</f>
        <v/>
      </c>
      <c r="N7647">
        <f>IF(L7647="", "", L7647-B7647)</f>
        <v/>
      </c>
      <c r="O7647">
        <f>IF(L7647="", "Pending", IF(N7647&lt;=30, "Met", "Breached"))</f>
        <v/>
      </c>
      <c r="P7647" s="8" t="n"/>
      <c r="Q7647" s="8" t="n"/>
      <c r="R7647" s="8" t="n"/>
      <c r="S7647" s="8" t="n"/>
      <c r="T7647" s="8" t="n"/>
      <c r="U7647" s="8" t="n"/>
      <c r="V7647" s="8" t="n"/>
      <c r="W7647" s="8" t="n"/>
      <c r="X7647" s="8" t="n"/>
      <c r="Y7647" s="8" t="n"/>
    </row>
    <row r="7648">
      <c r="A7648" s="8" t="n"/>
      <c r="B7648" s="8" t="n"/>
      <c r="C7648" s="8" t="n"/>
      <c r="D7648" s="8" t="n"/>
      <c r="E7648" s="8" t="n"/>
      <c r="F7648" s="8" t="n"/>
      <c r="G7648" s="8" t="n"/>
      <c r="H7648" s="8" t="n"/>
      <c r="I7648" s="8" t="n"/>
      <c r="J7648" s="8" t="n"/>
      <c r="K7648" s="8" t="n"/>
      <c r="L7648" s="8" t="n"/>
      <c r="M7648" s="9">
        <f>B7648+30</f>
        <v/>
      </c>
      <c r="N7648">
        <f>IF(L7648="", "", L7648-B7648)</f>
        <v/>
      </c>
      <c r="O7648">
        <f>IF(L7648="", "Pending", IF(N7648&lt;=30, "Met", "Breached"))</f>
        <v/>
      </c>
      <c r="P7648" s="8" t="n"/>
      <c r="Q7648" s="8" t="n"/>
      <c r="R7648" s="8" t="n"/>
      <c r="S7648" s="8" t="n"/>
      <c r="T7648" s="8" t="n"/>
      <c r="U7648" s="8" t="n"/>
      <c r="V7648" s="8" t="n"/>
      <c r="W7648" s="8" t="n"/>
      <c r="X7648" s="8" t="n"/>
      <c r="Y7648" s="8" t="n"/>
    </row>
    <row r="7649">
      <c r="A7649" s="8" t="n"/>
      <c r="B7649" s="8" t="n"/>
      <c r="C7649" s="8" t="n"/>
      <c r="D7649" s="8" t="n"/>
      <c r="E7649" s="8" t="n"/>
      <c r="F7649" s="8" t="n"/>
      <c r="G7649" s="8" t="n"/>
      <c r="H7649" s="8" t="n"/>
      <c r="I7649" s="8" t="n"/>
      <c r="J7649" s="8" t="n"/>
      <c r="K7649" s="8" t="n"/>
      <c r="L7649" s="8" t="n"/>
      <c r="M7649" s="9">
        <f>B7649+30</f>
        <v/>
      </c>
      <c r="N7649">
        <f>IF(L7649="", "", L7649-B7649)</f>
        <v/>
      </c>
      <c r="O7649">
        <f>IF(L7649="", "Pending", IF(N7649&lt;=30, "Met", "Breached"))</f>
        <v/>
      </c>
      <c r="P7649" s="8" t="n"/>
      <c r="Q7649" s="8" t="n"/>
      <c r="R7649" s="8" t="n"/>
      <c r="S7649" s="8" t="n"/>
      <c r="T7649" s="8" t="n"/>
      <c r="U7649" s="8" t="n"/>
      <c r="V7649" s="8" t="n"/>
      <c r="W7649" s="8" t="n"/>
      <c r="X7649" s="8" t="n"/>
      <c r="Y7649" s="8" t="n"/>
    </row>
    <row r="7650">
      <c r="A7650" s="8" t="n"/>
      <c r="B7650" s="8" t="n"/>
      <c r="C7650" s="8" t="n"/>
      <c r="D7650" s="8" t="n"/>
      <c r="E7650" s="8" t="n"/>
      <c r="F7650" s="8" t="n"/>
      <c r="G7650" s="8" t="n"/>
      <c r="H7650" s="8" t="n"/>
      <c r="I7650" s="8" t="n"/>
      <c r="J7650" s="8" t="n"/>
      <c r="K7650" s="8" t="n"/>
      <c r="L7650" s="8" t="n"/>
      <c r="M7650" s="9">
        <f>B7650+30</f>
        <v/>
      </c>
      <c r="N7650">
        <f>IF(L7650="", "", L7650-B7650)</f>
        <v/>
      </c>
      <c r="O7650">
        <f>IF(L7650="", "Pending", IF(N7650&lt;=30, "Met", "Breached"))</f>
        <v/>
      </c>
      <c r="P7650" s="8" t="n"/>
      <c r="Q7650" s="8" t="n"/>
      <c r="R7650" s="8" t="n"/>
      <c r="S7650" s="8" t="n"/>
      <c r="T7650" s="8" t="n"/>
      <c r="U7650" s="8" t="n"/>
      <c r="V7650" s="8" t="n"/>
      <c r="W7650" s="8" t="n"/>
      <c r="X7650" s="8" t="n"/>
      <c r="Y7650" s="8" t="n"/>
    </row>
    <row r="7651">
      <c r="A7651" s="8" t="n"/>
      <c r="B7651" s="8" t="n"/>
      <c r="C7651" s="8" t="n"/>
      <c r="D7651" s="8" t="n"/>
      <c r="E7651" s="8" t="n"/>
      <c r="F7651" s="8" t="n"/>
      <c r="G7651" s="8" t="n"/>
      <c r="H7651" s="8" t="n"/>
      <c r="I7651" s="8" t="n"/>
      <c r="J7651" s="8" t="n"/>
      <c r="K7651" s="8" t="n"/>
      <c r="L7651" s="8" t="n"/>
      <c r="M7651" s="9">
        <f>B7651+30</f>
        <v/>
      </c>
      <c r="N7651">
        <f>IF(L7651="", "", L7651-B7651)</f>
        <v/>
      </c>
      <c r="O7651">
        <f>IF(L7651="", "Pending", IF(N7651&lt;=30, "Met", "Breached"))</f>
        <v/>
      </c>
      <c r="P7651" s="8" t="n"/>
      <c r="Q7651" s="8" t="n"/>
      <c r="R7651" s="8" t="n"/>
      <c r="S7651" s="8" t="n"/>
      <c r="T7651" s="8" t="n"/>
      <c r="U7651" s="8" t="n"/>
      <c r="V7651" s="8" t="n"/>
      <c r="W7651" s="8" t="n"/>
      <c r="X7651" s="8" t="n"/>
      <c r="Y7651" s="8" t="n"/>
    </row>
    <row r="7652">
      <c r="A7652" s="8" t="n"/>
      <c r="B7652" s="8" t="n"/>
      <c r="C7652" s="8" t="n"/>
      <c r="D7652" s="8" t="n"/>
      <c r="E7652" s="8" t="n"/>
      <c r="F7652" s="8" t="n"/>
      <c r="G7652" s="8" t="n"/>
      <c r="H7652" s="8" t="n"/>
      <c r="I7652" s="8" t="n"/>
      <c r="J7652" s="8" t="n"/>
      <c r="K7652" s="8" t="n"/>
      <c r="L7652" s="8" t="n"/>
      <c r="M7652" s="9">
        <f>B7652+30</f>
        <v/>
      </c>
      <c r="N7652">
        <f>IF(L7652="", "", L7652-B7652)</f>
        <v/>
      </c>
      <c r="O7652">
        <f>IF(L7652="", "Pending", IF(N7652&lt;=30, "Met", "Breached"))</f>
        <v/>
      </c>
      <c r="P7652" s="8" t="n"/>
      <c r="Q7652" s="8" t="n"/>
      <c r="R7652" s="8" t="n"/>
      <c r="S7652" s="8" t="n"/>
      <c r="T7652" s="8" t="n"/>
      <c r="U7652" s="8" t="n"/>
      <c r="V7652" s="8" t="n"/>
      <c r="W7652" s="8" t="n"/>
      <c r="X7652" s="8" t="n"/>
      <c r="Y7652" s="8" t="n"/>
    </row>
    <row r="7653">
      <c r="A7653" s="8" t="n"/>
      <c r="B7653" s="8" t="n"/>
      <c r="C7653" s="8" t="n"/>
      <c r="D7653" s="8" t="n"/>
      <c r="E7653" s="8" t="n"/>
      <c r="F7653" s="8" t="n"/>
      <c r="G7653" s="8" t="n"/>
      <c r="H7653" s="8" t="n"/>
      <c r="I7653" s="8" t="n"/>
      <c r="J7653" s="8" t="n"/>
      <c r="K7653" s="8" t="n"/>
      <c r="L7653" s="8" t="n"/>
      <c r="M7653" s="9">
        <f>B7653+30</f>
        <v/>
      </c>
      <c r="N7653">
        <f>IF(L7653="", "", L7653-B7653)</f>
        <v/>
      </c>
      <c r="O7653">
        <f>IF(L7653="", "Pending", IF(N7653&lt;=30, "Met", "Breached"))</f>
        <v/>
      </c>
      <c r="P7653" s="8" t="n"/>
      <c r="Q7653" s="8" t="n"/>
      <c r="R7653" s="8" t="n"/>
      <c r="S7653" s="8" t="n"/>
      <c r="T7653" s="8" t="n"/>
      <c r="U7653" s="8" t="n"/>
      <c r="V7653" s="8" t="n"/>
      <c r="W7653" s="8" t="n"/>
      <c r="X7653" s="8" t="n"/>
      <c r="Y7653" s="8" t="n"/>
    </row>
    <row r="7654">
      <c r="A7654" s="8" t="n"/>
      <c r="B7654" s="8" t="n"/>
      <c r="C7654" s="8" t="n"/>
      <c r="D7654" s="8" t="n"/>
      <c r="E7654" s="8" t="n"/>
      <c r="F7654" s="8" t="n"/>
      <c r="G7654" s="8" t="n"/>
      <c r="H7654" s="8" t="n"/>
      <c r="I7654" s="8" t="n"/>
      <c r="J7654" s="8" t="n"/>
      <c r="K7654" s="8" t="n"/>
      <c r="L7654" s="8" t="n"/>
      <c r="M7654" s="9">
        <f>B7654+30</f>
        <v/>
      </c>
      <c r="N7654">
        <f>IF(L7654="", "", L7654-B7654)</f>
        <v/>
      </c>
      <c r="O7654">
        <f>IF(L7654="", "Pending", IF(N7654&lt;=30, "Met", "Breached"))</f>
        <v/>
      </c>
      <c r="P7654" s="8" t="n"/>
      <c r="Q7654" s="8" t="n"/>
      <c r="R7654" s="8" t="n"/>
      <c r="S7654" s="8" t="n"/>
      <c r="T7654" s="8" t="n"/>
      <c r="U7654" s="8" t="n"/>
      <c r="V7654" s="8" t="n"/>
      <c r="W7654" s="8" t="n"/>
      <c r="X7654" s="8" t="n"/>
      <c r="Y7654" s="8" t="n"/>
    </row>
    <row r="7655">
      <c r="A7655" s="8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8" t="n"/>
      <c r="K7655" s="8" t="n"/>
      <c r="L7655" s="8" t="n"/>
      <c r="M7655" s="9">
        <f>B7655+30</f>
        <v/>
      </c>
      <c r="N7655">
        <f>IF(L7655="", "", L7655-B7655)</f>
        <v/>
      </c>
      <c r="O7655">
        <f>IF(L7655="", "Pending", IF(N7655&lt;=30, "Met", "Breached"))</f>
        <v/>
      </c>
      <c r="P7655" s="8" t="n"/>
      <c r="Q7655" s="8" t="n"/>
      <c r="R7655" s="8" t="n"/>
      <c r="S7655" s="8" t="n"/>
      <c r="T7655" s="8" t="n"/>
      <c r="U7655" s="8" t="n"/>
      <c r="V7655" s="8" t="n"/>
      <c r="W7655" s="8" t="n"/>
      <c r="X7655" s="8" t="n"/>
      <c r="Y7655" s="8" t="n"/>
    </row>
    <row r="7656">
      <c r="A7656" s="8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8" t="n"/>
      <c r="K7656" s="8" t="n"/>
      <c r="L7656" s="8" t="n"/>
      <c r="M7656" s="9">
        <f>B7656+30</f>
        <v/>
      </c>
      <c r="N7656">
        <f>IF(L7656="", "", L7656-B7656)</f>
        <v/>
      </c>
      <c r="O7656">
        <f>IF(L7656="", "Pending", IF(N7656&lt;=30, "Met", "Breached"))</f>
        <v/>
      </c>
      <c r="P7656" s="8" t="n"/>
      <c r="Q7656" s="8" t="n"/>
      <c r="R7656" s="8" t="n"/>
      <c r="S7656" s="8" t="n"/>
      <c r="T7656" s="8" t="n"/>
      <c r="U7656" s="8" t="n"/>
      <c r="V7656" s="8" t="n"/>
      <c r="W7656" s="8" t="n"/>
      <c r="X7656" s="8" t="n"/>
      <c r="Y7656" s="8" t="n"/>
    </row>
    <row r="7657">
      <c r="A7657" s="8" t="n"/>
      <c r="B7657" s="8" t="n"/>
      <c r="C7657" s="8" t="n"/>
      <c r="D7657" s="8" t="n"/>
      <c r="E7657" s="8" t="n"/>
      <c r="F7657" s="8" t="n"/>
      <c r="G7657" s="8" t="n"/>
      <c r="H7657" s="8" t="n"/>
      <c r="I7657" s="8" t="n"/>
      <c r="J7657" s="8" t="n"/>
      <c r="K7657" s="8" t="n"/>
      <c r="L7657" s="8" t="n"/>
      <c r="M7657" s="9">
        <f>B7657+30</f>
        <v/>
      </c>
      <c r="N7657">
        <f>IF(L7657="", "", L7657-B7657)</f>
        <v/>
      </c>
      <c r="O7657">
        <f>IF(L7657="", "Pending", IF(N7657&lt;=30, "Met", "Breached"))</f>
        <v/>
      </c>
      <c r="P7657" s="8" t="n"/>
      <c r="Q7657" s="8" t="n"/>
      <c r="R7657" s="8" t="n"/>
      <c r="S7657" s="8" t="n"/>
      <c r="T7657" s="8" t="n"/>
      <c r="U7657" s="8" t="n"/>
      <c r="V7657" s="8" t="n"/>
      <c r="W7657" s="8" t="n"/>
      <c r="X7657" s="8" t="n"/>
      <c r="Y7657" s="8" t="n"/>
    </row>
    <row r="7658">
      <c r="A7658" s="8" t="n"/>
      <c r="B7658" s="8" t="n"/>
      <c r="C7658" s="8" t="n"/>
      <c r="D7658" s="8" t="n"/>
      <c r="E7658" s="8" t="n"/>
      <c r="F7658" s="8" t="n"/>
      <c r="G7658" s="8" t="n"/>
      <c r="H7658" s="8" t="n"/>
      <c r="I7658" s="8" t="n"/>
      <c r="J7658" s="8" t="n"/>
      <c r="K7658" s="8" t="n"/>
      <c r="L7658" s="8" t="n"/>
      <c r="M7658" s="9">
        <f>B7658+30</f>
        <v/>
      </c>
      <c r="N7658">
        <f>IF(L7658="", "", L7658-B7658)</f>
        <v/>
      </c>
      <c r="O7658">
        <f>IF(L7658="", "Pending", IF(N7658&lt;=30, "Met", "Breached"))</f>
        <v/>
      </c>
      <c r="P7658" s="8" t="n"/>
      <c r="Q7658" s="8" t="n"/>
      <c r="R7658" s="8" t="n"/>
      <c r="S7658" s="8" t="n"/>
      <c r="T7658" s="8" t="n"/>
      <c r="U7658" s="8" t="n"/>
      <c r="V7658" s="8" t="n"/>
      <c r="W7658" s="8" t="n"/>
      <c r="X7658" s="8" t="n"/>
      <c r="Y7658" s="8" t="n"/>
    </row>
    <row r="7659">
      <c r="A7659" s="8" t="n"/>
      <c r="B7659" s="8" t="n"/>
      <c r="C7659" s="8" t="n"/>
      <c r="D7659" s="8" t="n"/>
      <c r="E7659" s="8" t="n"/>
      <c r="F7659" s="8" t="n"/>
      <c r="G7659" s="8" t="n"/>
      <c r="H7659" s="8" t="n"/>
      <c r="I7659" s="8" t="n"/>
      <c r="J7659" s="8" t="n"/>
      <c r="K7659" s="8" t="n"/>
      <c r="L7659" s="8" t="n"/>
      <c r="M7659" s="9">
        <f>B7659+30</f>
        <v/>
      </c>
      <c r="N7659">
        <f>IF(L7659="", "", L7659-B7659)</f>
        <v/>
      </c>
      <c r="O7659">
        <f>IF(L7659="", "Pending", IF(N7659&lt;=30, "Met", "Breached"))</f>
        <v/>
      </c>
      <c r="P7659" s="8" t="n"/>
      <c r="Q7659" s="8" t="n"/>
      <c r="R7659" s="8" t="n"/>
      <c r="S7659" s="8" t="n"/>
      <c r="T7659" s="8" t="n"/>
      <c r="U7659" s="8" t="n"/>
      <c r="V7659" s="8" t="n"/>
      <c r="W7659" s="8" t="n"/>
      <c r="X7659" s="8" t="n"/>
      <c r="Y7659" s="8" t="n"/>
    </row>
    <row r="7660">
      <c r="A7660" s="8" t="n"/>
      <c r="B7660" s="8" t="n"/>
      <c r="C7660" s="8" t="n"/>
      <c r="D7660" s="8" t="n"/>
      <c r="E7660" s="8" t="n"/>
      <c r="F7660" s="8" t="n"/>
      <c r="G7660" s="8" t="n"/>
      <c r="H7660" s="8" t="n"/>
      <c r="I7660" s="8" t="n"/>
      <c r="J7660" s="8" t="n"/>
      <c r="K7660" s="8" t="n"/>
      <c r="L7660" s="8" t="n"/>
      <c r="M7660" s="9">
        <f>B7660+30</f>
        <v/>
      </c>
      <c r="N7660">
        <f>IF(L7660="", "", L7660-B7660)</f>
        <v/>
      </c>
      <c r="O7660">
        <f>IF(L7660="", "Pending", IF(N7660&lt;=30, "Met", "Breached"))</f>
        <v/>
      </c>
      <c r="P7660" s="8" t="n"/>
      <c r="Q7660" s="8" t="n"/>
      <c r="R7660" s="8" t="n"/>
      <c r="S7660" s="8" t="n"/>
      <c r="T7660" s="8" t="n"/>
      <c r="U7660" s="8" t="n"/>
      <c r="V7660" s="8" t="n"/>
      <c r="W7660" s="8" t="n"/>
      <c r="X7660" s="8" t="n"/>
      <c r="Y7660" s="8" t="n"/>
    </row>
    <row r="7661">
      <c r="A7661" s="8" t="n"/>
      <c r="B7661" s="8" t="n"/>
      <c r="C7661" s="8" t="n"/>
      <c r="D7661" s="8" t="n"/>
      <c r="E7661" s="8" t="n"/>
      <c r="F7661" s="8" t="n"/>
      <c r="G7661" s="8" t="n"/>
      <c r="H7661" s="8" t="n"/>
      <c r="I7661" s="8" t="n"/>
      <c r="J7661" s="8" t="n"/>
      <c r="K7661" s="8" t="n"/>
      <c r="L7661" s="8" t="n"/>
      <c r="M7661" s="9">
        <f>B7661+30</f>
        <v/>
      </c>
      <c r="N7661">
        <f>IF(L7661="", "", L7661-B7661)</f>
        <v/>
      </c>
      <c r="O7661">
        <f>IF(L7661="", "Pending", IF(N7661&lt;=30, "Met", "Breached"))</f>
        <v/>
      </c>
      <c r="P7661" s="8" t="n"/>
      <c r="Q7661" s="8" t="n"/>
      <c r="R7661" s="8" t="n"/>
      <c r="S7661" s="8" t="n"/>
      <c r="T7661" s="8" t="n"/>
      <c r="U7661" s="8" t="n"/>
      <c r="V7661" s="8" t="n"/>
      <c r="W7661" s="8" t="n"/>
      <c r="X7661" s="8" t="n"/>
      <c r="Y7661" s="8" t="n"/>
    </row>
    <row r="7662">
      <c r="A7662" s="8" t="n"/>
      <c r="B7662" s="8" t="n"/>
      <c r="C7662" s="8" t="n"/>
      <c r="D7662" s="8" t="n"/>
      <c r="E7662" s="8" t="n"/>
      <c r="F7662" s="8" t="n"/>
      <c r="G7662" s="8" t="n"/>
      <c r="H7662" s="8" t="n"/>
      <c r="I7662" s="8" t="n"/>
      <c r="J7662" s="8" t="n"/>
      <c r="K7662" s="8" t="n"/>
      <c r="L7662" s="8" t="n"/>
      <c r="M7662" s="9">
        <f>B7662+30</f>
        <v/>
      </c>
      <c r="N7662">
        <f>IF(L7662="", "", L7662-B7662)</f>
        <v/>
      </c>
      <c r="O7662">
        <f>IF(L7662="", "Pending", IF(N7662&lt;=30, "Met", "Breached"))</f>
        <v/>
      </c>
      <c r="P7662" s="8" t="n"/>
      <c r="Q7662" s="8" t="n"/>
      <c r="R7662" s="8" t="n"/>
      <c r="S7662" s="8" t="n"/>
      <c r="T7662" s="8" t="n"/>
      <c r="U7662" s="8" t="n"/>
      <c r="V7662" s="8" t="n"/>
      <c r="W7662" s="8" t="n"/>
      <c r="X7662" s="8" t="n"/>
      <c r="Y7662" s="8" t="n"/>
    </row>
    <row r="7663">
      <c r="A7663" s="8" t="n"/>
      <c r="B7663" s="8" t="n"/>
      <c r="C7663" s="8" t="n"/>
      <c r="D7663" s="8" t="n"/>
      <c r="E7663" s="8" t="n"/>
      <c r="F7663" s="8" t="n"/>
      <c r="G7663" s="8" t="n"/>
      <c r="H7663" s="8" t="n"/>
      <c r="I7663" s="8" t="n"/>
      <c r="J7663" s="8" t="n"/>
      <c r="K7663" s="8" t="n"/>
      <c r="L7663" s="8" t="n"/>
      <c r="M7663" s="9">
        <f>B7663+30</f>
        <v/>
      </c>
      <c r="N7663">
        <f>IF(L7663="", "", L7663-B7663)</f>
        <v/>
      </c>
      <c r="O7663">
        <f>IF(L7663="", "Pending", IF(N7663&lt;=30, "Met", "Breached"))</f>
        <v/>
      </c>
      <c r="P7663" s="8" t="n"/>
      <c r="Q7663" s="8" t="n"/>
      <c r="R7663" s="8" t="n"/>
      <c r="S7663" s="8" t="n"/>
      <c r="T7663" s="8" t="n"/>
      <c r="U7663" s="8" t="n"/>
      <c r="V7663" s="8" t="n"/>
      <c r="W7663" s="8" t="n"/>
      <c r="X7663" s="8" t="n"/>
      <c r="Y7663" s="8" t="n"/>
    </row>
    <row r="7664">
      <c r="A7664" s="8" t="n"/>
      <c r="B7664" s="8" t="n"/>
      <c r="C7664" s="8" t="n"/>
      <c r="D7664" s="8" t="n"/>
      <c r="E7664" s="8" t="n"/>
      <c r="F7664" s="8" t="n"/>
      <c r="G7664" s="8" t="n"/>
      <c r="H7664" s="8" t="n"/>
      <c r="I7664" s="8" t="n"/>
      <c r="J7664" s="8" t="n"/>
      <c r="K7664" s="8" t="n"/>
      <c r="L7664" s="8" t="n"/>
      <c r="M7664" s="9">
        <f>B7664+30</f>
        <v/>
      </c>
      <c r="N7664">
        <f>IF(L7664="", "", L7664-B7664)</f>
        <v/>
      </c>
      <c r="O7664">
        <f>IF(L7664="", "Pending", IF(N7664&lt;=30, "Met", "Breached"))</f>
        <v/>
      </c>
      <c r="P7664" s="8" t="n"/>
      <c r="Q7664" s="8" t="n"/>
      <c r="R7664" s="8" t="n"/>
      <c r="S7664" s="8" t="n"/>
      <c r="T7664" s="8" t="n"/>
      <c r="U7664" s="8" t="n"/>
      <c r="V7664" s="8" t="n"/>
      <c r="W7664" s="8" t="n"/>
      <c r="X7664" s="8" t="n"/>
      <c r="Y7664" s="8" t="n"/>
    </row>
    <row r="7665">
      <c r="A7665" s="8" t="n"/>
      <c r="B7665" s="8" t="n"/>
      <c r="C7665" s="8" t="n"/>
      <c r="D7665" s="8" t="n"/>
      <c r="E7665" s="8" t="n"/>
      <c r="F7665" s="8" t="n"/>
      <c r="G7665" s="8" t="n"/>
      <c r="H7665" s="8" t="n"/>
      <c r="I7665" s="8" t="n"/>
      <c r="J7665" s="8" t="n"/>
      <c r="K7665" s="8" t="n"/>
      <c r="L7665" s="8" t="n"/>
      <c r="M7665" s="9">
        <f>B7665+30</f>
        <v/>
      </c>
      <c r="N7665">
        <f>IF(L7665="", "", L7665-B7665)</f>
        <v/>
      </c>
      <c r="O7665">
        <f>IF(L7665="", "Pending", IF(N7665&lt;=30, "Met", "Breached"))</f>
        <v/>
      </c>
      <c r="P7665" s="8" t="n"/>
      <c r="Q7665" s="8" t="n"/>
      <c r="R7665" s="8" t="n"/>
      <c r="S7665" s="8" t="n"/>
      <c r="T7665" s="8" t="n"/>
      <c r="U7665" s="8" t="n"/>
      <c r="V7665" s="8" t="n"/>
      <c r="W7665" s="8" t="n"/>
      <c r="X7665" s="8" t="n"/>
      <c r="Y7665" s="8" t="n"/>
    </row>
    <row r="7666">
      <c r="A7666" s="8" t="n"/>
      <c r="B7666" s="8" t="n"/>
      <c r="C7666" s="8" t="n"/>
      <c r="D7666" s="8" t="n"/>
      <c r="E7666" s="8" t="n"/>
      <c r="F7666" s="8" t="n"/>
      <c r="G7666" s="8" t="n"/>
      <c r="H7666" s="8" t="n"/>
      <c r="I7666" s="8" t="n"/>
      <c r="J7666" s="8" t="n"/>
      <c r="K7666" s="8" t="n"/>
      <c r="L7666" s="8" t="n"/>
      <c r="M7666" s="9">
        <f>B7666+30</f>
        <v/>
      </c>
      <c r="N7666">
        <f>IF(L7666="", "", L7666-B7666)</f>
        <v/>
      </c>
      <c r="O7666">
        <f>IF(L7666="", "Pending", IF(N7666&lt;=30, "Met", "Breached"))</f>
        <v/>
      </c>
      <c r="P7666" s="8" t="n"/>
      <c r="Q7666" s="8" t="n"/>
      <c r="R7666" s="8" t="n"/>
      <c r="S7666" s="8" t="n"/>
      <c r="T7666" s="8" t="n"/>
      <c r="U7666" s="8" t="n"/>
      <c r="V7666" s="8" t="n"/>
      <c r="W7666" s="8" t="n"/>
      <c r="X7666" s="8" t="n"/>
      <c r="Y7666" s="8" t="n"/>
    </row>
    <row r="7667">
      <c r="A7667" s="8" t="n"/>
      <c r="B7667" s="8" t="n"/>
      <c r="C7667" s="8" t="n"/>
      <c r="D7667" s="8" t="n"/>
      <c r="E7667" s="8" t="n"/>
      <c r="F7667" s="8" t="n"/>
      <c r="G7667" s="8" t="n"/>
      <c r="H7667" s="8" t="n"/>
      <c r="I7667" s="8" t="n"/>
      <c r="J7667" s="8" t="n"/>
      <c r="K7667" s="8" t="n"/>
      <c r="L7667" s="8" t="n"/>
      <c r="M7667" s="9">
        <f>B7667+30</f>
        <v/>
      </c>
      <c r="N7667">
        <f>IF(L7667="", "", L7667-B7667)</f>
        <v/>
      </c>
      <c r="O7667">
        <f>IF(L7667="", "Pending", IF(N7667&lt;=30, "Met", "Breached"))</f>
        <v/>
      </c>
      <c r="P7667" s="8" t="n"/>
      <c r="Q7667" s="8" t="n"/>
      <c r="R7667" s="8" t="n"/>
      <c r="S7667" s="8" t="n"/>
      <c r="T7667" s="8" t="n"/>
      <c r="U7667" s="8" t="n"/>
      <c r="V7667" s="8" t="n"/>
      <c r="W7667" s="8" t="n"/>
      <c r="X7667" s="8" t="n"/>
      <c r="Y7667" s="8" t="n"/>
    </row>
    <row r="7668">
      <c r="A7668" s="8" t="n"/>
      <c r="B7668" s="8" t="n"/>
      <c r="C7668" s="8" t="n"/>
      <c r="D7668" s="8" t="n"/>
      <c r="E7668" s="8" t="n"/>
      <c r="F7668" s="8" t="n"/>
      <c r="G7668" s="8" t="n"/>
      <c r="H7668" s="8" t="n"/>
      <c r="I7668" s="8" t="n"/>
      <c r="J7668" s="8" t="n"/>
      <c r="K7668" s="8" t="n"/>
      <c r="L7668" s="8" t="n"/>
      <c r="M7668" s="9">
        <f>B7668+30</f>
        <v/>
      </c>
      <c r="N7668">
        <f>IF(L7668="", "", L7668-B7668)</f>
        <v/>
      </c>
      <c r="O7668">
        <f>IF(L7668="", "Pending", IF(N7668&lt;=30, "Met", "Breached"))</f>
        <v/>
      </c>
      <c r="P7668" s="8" t="n"/>
      <c r="Q7668" s="8" t="n"/>
      <c r="R7668" s="8" t="n"/>
      <c r="S7668" s="8" t="n"/>
      <c r="T7668" s="8" t="n"/>
      <c r="U7668" s="8" t="n"/>
      <c r="V7668" s="8" t="n"/>
      <c r="W7668" s="8" t="n"/>
      <c r="X7668" s="8" t="n"/>
      <c r="Y7668" s="8" t="n"/>
    </row>
    <row r="7669">
      <c r="A7669" s="8" t="n"/>
      <c r="B7669" s="8" t="n"/>
      <c r="C7669" s="8" t="n"/>
      <c r="D7669" s="8" t="n"/>
      <c r="E7669" s="8" t="n"/>
      <c r="F7669" s="8" t="n"/>
      <c r="G7669" s="8" t="n"/>
      <c r="H7669" s="8" t="n"/>
      <c r="I7669" s="8" t="n"/>
      <c r="J7669" s="8" t="n"/>
      <c r="K7669" s="8" t="n"/>
      <c r="L7669" s="8" t="n"/>
      <c r="M7669" s="9">
        <f>B7669+30</f>
        <v/>
      </c>
      <c r="N7669">
        <f>IF(L7669="", "", L7669-B7669)</f>
        <v/>
      </c>
      <c r="O7669">
        <f>IF(L7669="", "Pending", IF(N7669&lt;=30, "Met", "Breached"))</f>
        <v/>
      </c>
      <c r="P7669" s="8" t="n"/>
      <c r="Q7669" s="8" t="n"/>
      <c r="R7669" s="8" t="n"/>
      <c r="S7669" s="8" t="n"/>
      <c r="T7669" s="8" t="n"/>
      <c r="U7669" s="8" t="n"/>
      <c r="V7669" s="8" t="n"/>
      <c r="W7669" s="8" t="n"/>
      <c r="X7669" s="8" t="n"/>
      <c r="Y7669" s="8" t="n"/>
    </row>
    <row r="7670">
      <c r="A7670" s="8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8" t="n"/>
      <c r="K7670" s="8" t="n"/>
      <c r="L7670" s="8" t="n"/>
      <c r="M7670" s="9">
        <f>B7670+30</f>
        <v/>
      </c>
      <c r="N7670">
        <f>IF(L7670="", "", L7670-B7670)</f>
        <v/>
      </c>
      <c r="O7670">
        <f>IF(L7670="", "Pending", IF(N7670&lt;=30, "Met", "Breached"))</f>
        <v/>
      </c>
      <c r="P7670" s="8" t="n"/>
      <c r="Q7670" s="8" t="n"/>
      <c r="R7670" s="8" t="n"/>
      <c r="S7670" s="8" t="n"/>
      <c r="T7670" s="8" t="n"/>
      <c r="U7670" s="8" t="n"/>
      <c r="V7670" s="8" t="n"/>
      <c r="W7670" s="8" t="n"/>
      <c r="X7670" s="8" t="n"/>
      <c r="Y7670" s="8" t="n"/>
    </row>
    <row r="7671">
      <c r="A7671" s="8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8" t="n"/>
      <c r="K7671" s="8" t="n"/>
      <c r="L7671" s="8" t="n"/>
      <c r="M7671" s="9">
        <f>B7671+30</f>
        <v/>
      </c>
      <c r="N7671">
        <f>IF(L7671="", "", L7671-B7671)</f>
        <v/>
      </c>
      <c r="O7671">
        <f>IF(L7671="", "Pending", IF(N7671&lt;=30, "Met", "Breached"))</f>
        <v/>
      </c>
      <c r="P7671" s="8" t="n"/>
      <c r="Q7671" s="8" t="n"/>
      <c r="R7671" s="8" t="n"/>
      <c r="S7671" s="8" t="n"/>
      <c r="T7671" s="8" t="n"/>
      <c r="U7671" s="8" t="n"/>
      <c r="V7671" s="8" t="n"/>
      <c r="W7671" s="8" t="n"/>
      <c r="X7671" s="8" t="n"/>
      <c r="Y7671" s="8" t="n"/>
    </row>
    <row r="7672">
      <c r="A7672" s="8" t="n"/>
      <c r="B7672" s="8" t="n"/>
      <c r="C7672" s="8" t="n"/>
      <c r="D7672" s="8" t="n"/>
      <c r="E7672" s="8" t="n"/>
      <c r="F7672" s="8" t="n"/>
      <c r="G7672" s="8" t="n"/>
      <c r="H7672" s="8" t="n"/>
      <c r="I7672" s="8" t="n"/>
      <c r="J7672" s="8" t="n"/>
      <c r="K7672" s="8" t="n"/>
      <c r="L7672" s="8" t="n"/>
      <c r="M7672" s="9">
        <f>B7672+30</f>
        <v/>
      </c>
      <c r="N7672">
        <f>IF(L7672="", "", L7672-B7672)</f>
        <v/>
      </c>
      <c r="O7672">
        <f>IF(L7672="", "Pending", IF(N7672&lt;=30, "Met", "Breached"))</f>
        <v/>
      </c>
      <c r="P7672" s="8" t="n"/>
      <c r="Q7672" s="8" t="n"/>
      <c r="R7672" s="8" t="n"/>
      <c r="S7672" s="8" t="n"/>
      <c r="T7672" s="8" t="n"/>
      <c r="U7672" s="8" t="n"/>
      <c r="V7672" s="8" t="n"/>
      <c r="W7672" s="8" t="n"/>
      <c r="X7672" s="8" t="n"/>
      <c r="Y7672" s="8" t="n"/>
    </row>
    <row r="7673">
      <c r="A7673" s="8" t="n"/>
      <c r="B7673" s="8" t="n"/>
      <c r="C7673" s="8" t="n"/>
      <c r="D7673" s="8" t="n"/>
      <c r="E7673" s="8" t="n"/>
      <c r="F7673" s="8" t="n"/>
      <c r="G7673" s="8" t="n"/>
      <c r="H7673" s="8" t="n"/>
      <c r="I7673" s="8" t="n"/>
      <c r="J7673" s="8" t="n"/>
      <c r="K7673" s="8" t="n"/>
      <c r="L7673" s="8" t="n"/>
      <c r="M7673" s="9">
        <f>B7673+30</f>
        <v/>
      </c>
      <c r="N7673">
        <f>IF(L7673="", "", L7673-B7673)</f>
        <v/>
      </c>
      <c r="O7673">
        <f>IF(L7673="", "Pending", IF(N7673&lt;=30, "Met", "Breached"))</f>
        <v/>
      </c>
      <c r="P7673" s="8" t="n"/>
      <c r="Q7673" s="8" t="n"/>
      <c r="R7673" s="8" t="n"/>
      <c r="S7673" s="8" t="n"/>
      <c r="T7673" s="8" t="n"/>
      <c r="U7673" s="8" t="n"/>
      <c r="V7673" s="8" t="n"/>
      <c r="W7673" s="8" t="n"/>
      <c r="X7673" s="8" t="n"/>
      <c r="Y7673" s="8" t="n"/>
    </row>
    <row r="7674">
      <c r="A7674" s="8" t="n"/>
      <c r="B7674" s="8" t="n"/>
      <c r="C7674" s="8" t="n"/>
      <c r="D7674" s="8" t="n"/>
      <c r="E7674" s="8" t="n"/>
      <c r="F7674" s="8" t="n"/>
      <c r="G7674" s="8" t="n"/>
      <c r="H7674" s="8" t="n"/>
      <c r="I7674" s="8" t="n"/>
      <c r="J7674" s="8" t="n"/>
      <c r="K7674" s="8" t="n"/>
      <c r="L7674" s="8" t="n"/>
      <c r="M7674" s="9">
        <f>B7674+30</f>
        <v/>
      </c>
      <c r="N7674">
        <f>IF(L7674="", "", L7674-B7674)</f>
        <v/>
      </c>
      <c r="O7674">
        <f>IF(L7674="", "Pending", IF(N7674&lt;=30, "Met", "Breached"))</f>
        <v/>
      </c>
      <c r="P7674" s="8" t="n"/>
      <c r="Q7674" s="8" t="n"/>
      <c r="R7674" s="8" t="n"/>
      <c r="S7674" s="8" t="n"/>
      <c r="T7674" s="8" t="n"/>
      <c r="U7674" s="8" t="n"/>
      <c r="V7674" s="8" t="n"/>
      <c r="W7674" s="8" t="n"/>
      <c r="X7674" s="8" t="n"/>
      <c r="Y7674" s="8" t="n"/>
    </row>
    <row r="7675">
      <c r="A7675" s="8" t="n"/>
      <c r="B7675" s="8" t="n"/>
      <c r="C7675" s="8" t="n"/>
      <c r="D7675" s="8" t="n"/>
      <c r="E7675" s="8" t="n"/>
      <c r="F7675" s="8" t="n"/>
      <c r="G7675" s="8" t="n"/>
      <c r="H7675" s="8" t="n"/>
      <c r="I7675" s="8" t="n"/>
      <c r="J7675" s="8" t="n"/>
      <c r="K7675" s="8" t="n"/>
      <c r="L7675" s="8" t="n"/>
      <c r="M7675" s="9">
        <f>B7675+30</f>
        <v/>
      </c>
      <c r="N7675">
        <f>IF(L7675="", "", L7675-B7675)</f>
        <v/>
      </c>
      <c r="O7675">
        <f>IF(L7675="", "Pending", IF(N7675&lt;=30, "Met", "Breached"))</f>
        <v/>
      </c>
      <c r="P7675" s="8" t="n"/>
      <c r="Q7675" s="8" t="n"/>
      <c r="R7675" s="8" t="n"/>
      <c r="S7675" s="8" t="n"/>
      <c r="T7675" s="8" t="n"/>
      <c r="U7675" s="8" t="n"/>
      <c r="V7675" s="8" t="n"/>
      <c r="W7675" s="8" t="n"/>
      <c r="X7675" s="8" t="n"/>
      <c r="Y7675" s="8" t="n"/>
    </row>
    <row r="7676">
      <c r="A7676" s="8" t="n"/>
      <c r="B7676" s="8" t="n"/>
      <c r="C7676" s="8" t="n"/>
      <c r="D7676" s="8" t="n"/>
      <c r="E7676" s="8" t="n"/>
      <c r="F7676" s="8" t="n"/>
      <c r="G7676" s="8" t="n"/>
      <c r="H7676" s="8" t="n"/>
      <c r="I7676" s="8" t="n"/>
      <c r="J7676" s="8" t="n"/>
      <c r="K7676" s="8" t="n"/>
      <c r="L7676" s="8" t="n"/>
      <c r="M7676" s="9">
        <f>B7676+30</f>
        <v/>
      </c>
      <c r="N7676">
        <f>IF(L7676="", "", L7676-B7676)</f>
        <v/>
      </c>
      <c r="O7676">
        <f>IF(L7676="", "Pending", IF(N7676&lt;=30, "Met", "Breached"))</f>
        <v/>
      </c>
      <c r="P7676" s="8" t="n"/>
      <c r="Q7676" s="8" t="n"/>
      <c r="R7676" s="8" t="n"/>
      <c r="S7676" s="8" t="n"/>
      <c r="T7676" s="8" t="n"/>
      <c r="U7676" s="8" t="n"/>
      <c r="V7676" s="8" t="n"/>
      <c r="W7676" s="8" t="n"/>
      <c r="X7676" s="8" t="n"/>
      <c r="Y7676" s="8" t="n"/>
    </row>
    <row r="7677">
      <c r="A7677" s="8" t="n"/>
      <c r="B7677" s="8" t="n"/>
      <c r="C7677" s="8" t="n"/>
      <c r="D7677" s="8" t="n"/>
      <c r="E7677" s="8" t="n"/>
      <c r="F7677" s="8" t="n"/>
      <c r="G7677" s="8" t="n"/>
      <c r="H7677" s="8" t="n"/>
      <c r="I7677" s="8" t="n"/>
      <c r="J7677" s="8" t="n"/>
      <c r="K7677" s="8" t="n"/>
      <c r="L7677" s="8" t="n"/>
      <c r="M7677" s="9">
        <f>B7677+30</f>
        <v/>
      </c>
      <c r="N7677">
        <f>IF(L7677="", "", L7677-B7677)</f>
        <v/>
      </c>
      <c r="O7677">
        <f>IF(L7677="", "Pending", IF(N7677&lt;=30, "Met", "Breached"))</f>
        <v/>
      </c>
      <c r="P7677" s="8" t="n"/>
      <c r="Q7677" s="8" t="n"/>
      <c r="R7677" s="8" t="n"/>
      <c r="S7677" s="8" t="n"/>
      <c r="T7677" s="8" t="n"/>
      <c r="U7677" s="8" t="n"/>
      <c r="V7677" s="8" t="n"/>
      <c r="W7677" s="8" t="n"/>
      <c r="X7677" s="8" t="n"/>
      <c r="Y7677" s="8" t="n"/>
    </row>
    <row r="7678">
      <c r="A7678" s="8" t="n"/>
      <c r="B7678" s="8" t="n"/>
      <c r="C7678" s="8" t="n"/>
      <c r="D7678" s="8" t="n"/>
      <c r="E7678" s="8" t="n"/>
      <c r="F7678" s="8" t="n"/>
      <c r="G7678" s="8" t="n"/>
      <c r="H7678" s="8" t="n"/>
      <c r="I7678" s="8" t="n"/>
      <c r="J7678" s="8" t="n"/>
      <c r="K7678" s="8" t="n"/>
      <c r="L7678" s="8" t="n"/>
      <c r="M7678" s="9">
        <f>B7678+30</f>
        <v/>
      </c>
      <c r="N7678">
        <f>IF(L7678="", "", L7678-B7678)</f>
        <v/>
      </c>
      <c r="O7678">
        <f>IF(L7678="", "Pending", IF(N7678&lt;=30, "Met", "Breached"))</f>
        <v/>
      </c>
      <c r="P7678" s="8" t="n"/>
      <c r="Q7678" s="8" t="n"/>
      <c r="R7678" s="8" t="n"/>
      <c r="S7678" s="8" t="n"/>
      <c r="T7678" s="8" t="n"/>
      <c r="U7678" s="8" t="n"/>
      <c r="V7678" s="8" t="n"/>
      <c r="W7678" s="8" t="n"/>
      <c r="X7678" s="8" t="n"/>
      <c r="Y7678" s="8" t="n"/>
    </row>
    <row r="7679">
      <c r="A7679" s="8" t="n"/>
      <c r="B7679" s="8" t="n"/>
      <c r="C7679" s="8" t="n"/>
      <c r="D7679" s="8" t="n"/>
      <c r="E7679" s="8" t="n"/>
      <c r="F7679" s="8" t="n"/>
      <c r="G7679" s="8" t="n"/>
      <c r="H7679" s="8" t="n"/>
      <c r="I7679" s="8" t="n"/>
      <c r="J7679" s="8" t="n"/>
      <c r="K7679" s="8" t="n"/>
      <c r="L7679" s="8" t="n"/>
      <c r="M7679" s="9">
        <f>B7679+30</f>
        <v/>
      </c>
      <c r="N7679">
        <f>IF(L7679="", "", L7679-B7679)</f>
        <v/>
      </c>
      <c r="O7679">
        <f>IF(L7679="", "Pending", IF(N7679&lt;=30, "Met", "Breached"))</f>
        <v/>
      </c>
      <c r="P7679" s="8" t="n"/>
      <c r="Q7679" s="8" t="n"/>
      <c r="R7679" s="8" t="n"/>
      <c r="S7679" s="8" t="n"/>
      <c r="T7679" s="8" t="n"/>
      <c r="U7679" s="8" t="n"/>
      <c r="V7679" s="8" t="n"/>
      <c r="W7679" s="8" t="n"/>
      <c r="X7679" s="8" t="n"/>
      <c r="Y7679" s="8" t="n"/>
    </row>
    <row r="7680">
      <c r="A7680" s="8" t="n"/>
      <c r="B7680" s="8" t="n"/>
      <c r="C7680" s="8" t="n"/>
      <c r="D7680" s="8" t="n"/>
      <c r="E7680" s="8" t="n"/>
      <c r="F7680" s="8" t="n"/>
      <c r="G7680" s="8" t="n"/>
      <c r="H7680" s="8" t="n"/>
      <c r="I7680" s="8" t="n"/>
      <c r="J7680" s="8" t="n"/>
      <c r="K7680" s="8" t="n"/>
      <c r="L7680" s="8" t="n"/>
      <c r="M7680" s="9">
        <f>B7680+30</f>
        <v/>
      </c>
      <c r="N7680">
        <f>IF(L7680="", "", L7680-B7680)</f>
        <v/>
      </c>
      <c r="O7680">
        <f>IF(L7680="", "Pending", IF(N7680&lt;=30, "Met", "Breached"))</f>
        <v/>
      </c>
      <c r="P7680" s="8" t="n"/>
      <c r="Q7680" s="8" t="n"/>
      <c r="R7680" s="8" t="n"/>
      <c r="S7680" s="8" t="n"/>
      <c r="T7680" s="8" t="n"/>
      <c r="U7680" s="8" t="n"/>
      <c r="V7680" s="8" t="n"/>
      <c r="W7680" s="8" t="n"/>
      <c r="X7680" s="8" t="n"/>
      <c r="Y7680" s="8" t="n"/>
    </row>
    <row r="7681">
      <c r="A7681" s="8" t="n"/>
      <c r="B7681" s="8" t="n"/>
      <c r="C7681" s="8" t="n"/>
      <c r="D7681" s="8" t="n"/>
      <c r="E7681" s="8" t="n"/>
      <c r="F7681" s="8" t="n"/>
      <c r="G7681" s="8" t="n"/>
      <c r="H7681" s="8" t="n"/>
      <c r="I7681" s="8" t="n"/>
      <c r="J7681" s="8" t="n"/>
      <c r="K7681" s="8" t="n"/>
      <c r="L7681" s="8" t="n"/>
      <c r="M7681" s="9">
        <f>B7681+30</f>
        <v/>
      </c>
      <c r="N7681">
        <f>IF(L7681="", "", L7681-B7681)</f>
        <v/>
      </c>
      <c r="O7681">
        <f>IF(L7681="", "Pending", IF(N7681&lt;=30, "Met", "Breached"))</f>
        <v/>
      </c>
      <c r="P7681" s="8" t="n"/>
      <c r="Q7681" s="8" t="n"/>
      <c r="R7681" s="8" t="n"/>
      <c r="S7681" s="8" t="n"/>
      <c r="T7681" s="8" t="n"/>
      <c r="U7681" s="8" t="n"/>
      <c r="V7681" s="8" t="n"/>
      <c r="W7681" s="8" t="n"/>
      <c r="X7681" s="8" t="n"/>
      <c r="Y7681" s="8" t="n"/>
    </row>
    <row r="7682">
      <c r="A7682" s="8" t="n"/>
      <c r="B7682" s="8" t="n"/>
      <c r="C7682" s="8" t="n"/>
      <c r="D7682" s="8" t="n"/>
      <c r="E7682" s="8" t="n"/>
      <c r="F7682" s="8" t="n"/>
      <c r="G7682" s="8" t="n"/>
      <c r="H7682" s="8" t="n"/>
      <c r="I7682" s="8" t="n"/>
      <c r="J7682" s="8" t="n"/>
      <c r="K7682" s="8" t="n"/>
      <c r="L7682" s="8" t="n"/>
      <c r="M7682" s="9">
        <f>B7682+30</f>
        <v/>
      </c>
      <c r="N7682">
        <f>IF(L7682="", "", L7682-B7682)</f>
        <v/>
      </c>
      <c r="O7682">
        <f>IF(L7682="", "Pending", IF(N7682&lt;=30, "Met", "Breached"))</f>
        <v/>
      </c>
      <c r="P7682" s="8" t="n"/>
      <c r="Q7682" s="8" t="n"/>
      <c r="R7682" s="8" t="n"/>
      <c r="S7682" s="8" t="n"/>
      <c r="T7682" s="8" t="n"/>
      <c r="U7682" s="8" t="n"/>
      <c r="V7682" s="8" t="n"/>
      <c r="W7682" s="8" t="n"/>
      <c r="X7682" s="8" t="n"/>
      <c r="Y7682" s="8" t="n"/>
    </row>
    <row r="7683">
      <c r="A7683" s="8" t="n"/>
      <c r="B7683" s="8" t="n"/>
      <c r="C7683" s="8" t="n"/>
      <c r="D7683" s="8" t="n"/>
      <c r="E7683" s="8" t="n"/>
      <c r="F7683" s="8" t="n"/>
      <c r="G7683" s="8" t="n"/>
      <c r="H7683" s="8" t="n"/>
      <c r="I7683" s="8" t="n"/>
      <c r="J7683" s="8" t="n"/>
      <c r="K7683" s="8" t="n"/>
      <c r="L7683" s="8" t="n"/>
      <c r="M7683" s="9">
        <f>B7683+30</f>
        <v/>
      </c>
      <c r="N7683">
        <f>IF(L7683="", "", L7683-B7683)</f>
        <v/>
      </c>
      <c r="O7683">
        <f>IF(L7683="", "Pending", IF(N7683&lt;=30, "Met", "Breached"))</f>
        <v/>
      </c>
      <c r="P7683" s="8" t="n"/>
      <c r="Q7683" s="8" t="n"/>
      <c r="R7683" s="8" t="n"/>
      <c r="S7683" s="8" t="n"/>
      <c r="T7683" s="8" t="n"/>
      <c r="U7683" s="8" t="n"/>
      <c r="V7683" s="8" t="n"/>
      <c r="W7683" s="8" t="n"/>
      <c r="X7683" s="8" t="n"/>
      <c r="Y7683" s="8" t="n"/>
    </row>
    <row r="7684">
      <c r="A7684" s="8" t="n"/>
      <c r="B7684" s="8" t="n"/>
      <c r="C7684" s="8" t="n"/>
      <c r="D7684" s="8" t="n"/>
      <c r="E7684" s="8" t="n"/>
      <c r="F7684" s="8" t="n"/>
      <c r="G7684" s="8" t="n"/>
      <c r="H7684" s="8" t="n"/>
      <c r="I7684" s="8" t="n"/>
      <c r="J7684" s="8" t="n"/>
      <c r="K7684" s="8" t="n"/>
      <c r="L7684" s="8" t="n"/>
      <c r="M7684" s="9">
        <f>B7684+30</f>
        <v/>
      </c>
      <c r="N7684">
        <f>IF(L7684="", "", L7684-B7684)</f>
        <v/>
      </c>
      <c r="O7684">
        <f>IF(L7684="", "Pending", IF(N7684&lt;=30, "Met", "Breached"))</f>
        <v/>
      </c>
      <c r="P7684" s="8" t="n"/>
      <c r="Q7684" s="8" t="n"/>
      <c r="R7684" s="8" t="n"/>
      <c r="S7684" s="8" t="n"/>
      <c r="T7684" s="8" t="n"/>
      <c r="U7684" s="8" t="n"/>
      <c r="V7684" s="8" t="n"/>
      <c r="W7684" s="8" t="n"/>
      <c r="X7684" s="8" t="n"/>
      <c r="Y7684" s="8" t="n"/>
    </row>
    <row r="7685">
      <c r="A7685" s="8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8" t="n"/>
      <c r="K7685" s="8" t="n"/>
      <c r="L7685" s="8" t="n"/>
      <c r="M7685" s="9">
        <f>B7685+30</f>
        <v/>
      </c>
      <c r="N7685">
        <f>IF(L7685="", "", L7685-B7685)</f>
        <v/>
      </c>
      <c r="O7685">
        <f>IF(L7685="", "Pending", IF(N7685&lt;=30, "Met", "Breached"))</f>
        <v/>
      </c>
      <c r="P7685" s="8" t="n"/>
      <c r="Q7685" s="8" t="n"/>
      <c r="R7685" s="8" t="n"/>
      <c r="S7685" s="8" t="n"/>
      <c r="T7685" s="8" t="n"/>
      <c r="U7685" s="8" t="n"/>
      <c r="V7685" s="8" t="n"/>
      <c r="W7685" s="8" t="n"/>
      <c r="X7685" s="8" t="n"/>
      <c r="Y7685" s="8" t="n"/>
    </row>
    <row r="7686">
      <c r="A7686" s="8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8" t="n"/>
      <c r="K7686" s="8" t="n"/>
      <c r="L7686" s="8" t="n"/>
      <c r="M7686" s="9">
        <f>B7686+30</f>
        <v/>
      </c>
      <c r="N7686">
        <f>IF(L7686="", "", L7686-B7686)</f>
        <v/>
      </c>
      <c r="O7686">
        <f>IF(L7686="", "Pending", IF(N7686&lt;=30, "Met", "Breached"))</f>
        <v/>
      </c>
      <c r="P7686" s="8" t="n"/>
      <c r="Q7686" s="8" t="n"/>
      <c r="R7686" s="8" t="n"/>
      <c r="S7686" s="8" t="n"/>
      <c r="T7686" s="8" t="n"/>
      <c r="U7686" s="8" t="n"/>
      <c r="V7686" s="8" t="n"/>
      <c r="W7686" s="8" t="n"/>
      <c r="X7686" s="8" t="n"/>
      <c r="Y7686" s="8" t="n"/>
    </row>
    <row r="7687">
      <c r="A7687" s="8" t="n"/>
      <c r="B7687" s="8" t="n"/>
      <c r="C7687" s="8" t="n"/>
      <c r="D7687" s="8" t="n"/>
      <c r="E7687" s="8" t="n"/>
      <c r="F7687" s="8" t="n"/>
      <c r="G7687" s="8" t="n"/>
      <c r="H7687" s="8" t="n"/>
      <c r="I7687" s="8" t="n"/>
      <c r="J7687" s="8" t="n"/>
      <c r="K7687" s="8" t="n"/>
      <c r="L7687" s="8" t="n"/>
      <c r="M7687" s="9">
        <f>B7687+30</f>
        <v/>
      </c>
      <c r="N7687">
        <f>IF(L7687="", "", L7687-B7687)</f>
        <v/>
      </c>
      <c r="O7687">
        <f>IF(L7687="", "Pending", IF(N7687&lt;=30, "Met", "Breached"))</f>
        <v/>
      </c>
      <c r="P7687" s="8" t="n"/>
      <c r="Q7687" s="8" t="n"/>
      <c r="R7687" s="8" t="n"/>
      <c r="S7687" s="8" t="n"/>
      <c r="T7687" s="8" t="n"/>
      <c r="U7687" s="8" t="n"/>
      <c r="V7687" s="8" t="n"/>
      <c r="W7687" s="8" t="n"/>
      <c r="X7687" s="8" t="n"/>
      <c r="Y7687" s="8" t="n"/>
    </row>
    <row r="7688">
      <c r="A7688" s="8" t="n"/>
      <c r="B7688" s="8" t="n"/>
      <c r="C7688" s="8" t="n"/>
      <c r="D7688" s="8" t="n"/>
      <c r="E7688" s="8" t="n"/>
      <c r="F7688" s="8" t="n"/>
      <c r="G7688" s="8" t="n"/>
      <c r="H7688" s="8" t="n"/>
      <c r="I7688" s="8" t="n"/>
      <c r="J7688" s="8" t="n"/>
      <c r="K7688" s="8" t="n"/>
      <c r="L7688" s="8" t="n"/>
      <c r="M7688" s="9">
        <f>B7688+30</f>
        <v/>
      </c>
      <c r="N7688">
        <f>IF(L7688="", "", L7688-B7688)</f>
        <v/>
      </c>
      <c r="O7688">
        <f>IF(L7688="", "Pending", IF(N7688&lt;=30, "Met", "Breached"))</f>
        <v/>
      </c>
      <c r="P7688" s="8" t="n"/>
      <c r="Q7688" s="8" t="n"/>
      <c r="R7688" s="8" t="n"/>
      <c r="S7688" s="8" t="n"/>
      <c r="T7688" s="8" t="n"/>
      <c r="U7688" s="8" t="n"/>
      <c r="V7688" s="8" t="n"/>
      <c r="W7688" s="8" t="n"/>
      <c r="X7688" s="8" t="n"/>
      <c r="Y7688" s="8" t="n"/>
    </row>
    <row r="7689">
      <c r="A7689" s="8" t="n"/>
      <c r="B7689" s="8" t="n"/>
      <c r="C7689" s="8" t="n"/>
      <c r="D7689" s="8" t="n"/>
      <c r="E7689" s="8" t="n"/>
      <c r="F7689" s="8" t="n"/>
      <c r="G7689" s="8" t="n"/>
      <c r="H7689" s="8" t="n"/>
      <c r="I7689" s="8" t="n"/>
      <c r="J7689" s="8" t="n"/>
      <c r="K7689" s="8" t="n"/>
      <c r="L7689" s="8" t="n"/>
      <c r="M7689" s="9">
        <f>B7689+30</f>
        <v/>
      </c>
      <c r="N7689">
        <f>IF(L7689="", "", L7689-B7689)</f>
        <v/>
      </c>
      <c r="O7689">
        <f>IF(L7689="", "Pending", IF(N7689&lt;=30, "Met", "Breached"))</f>
        <v/>
      </c>
      <c r="P7689" s="8" t="n"/>
      <c r="Q7689" s="8" t="n"/>
      <c r="R7689" s="8" t="n"/>
      <c r="S7689" s="8" t="n"/>
      <c r="T7689" s="8" t="n"/>
      <c r="U7689" s="8" t="n"/>
      <c r="V7689" s="8" t="n"/>
      <c r="W7689" s="8" t="n"/>
      <c r="X7689" s="8" t="n"/>
      <c r="Y7689" s="8" t="n"/>
    </row>
    <row r="7690">
      <c r="A7690" s="8" t="n"/>
      <c r="B7690" s="8" t="n"/>
      <c r="C7690" s="8" t="n"/>
      <c r="D7690" s="8" t="n"/>
      <c r="E7690" s="8" t="n"/>
      <c r="F7690" s="8" t="n"/>
      <c r="G7690" s="8" t="n"/>
      <c r="H7690" s="8" t="n"/>
      <c r="I7690" s="8" t="n"/>
      <c r="J7690" s="8" t="n"/>
      <c r="K7690" s="8" t="n"/>
      <c r="L7690" s="8" t="n"/>
      <c r="M7690" s="9">
        <f>B7690+30</f>
        <v/>
      </c>
      <c r="N7690">
        <f>IF(L7690="", "", L7690-B7690)</f>
        <v/>
      </c>
      <c r="O7690">
        <f>IF(L7690="", "Pending", IF(N7690&lt;=30, "Met", "Breached"))</f>
        <v/>
      </c>
      <c r="P7690" s="8" t="n"/>
      <c r="Q7690" s="8" t="n"/>
      <c r="R7690" s="8" t="n"/>
      <c r="S7690" s="8" t="n"/>
      <c r="T7690" s="8" t="n"/>
      <c r="U7690" s="8" t="n"/>
      <c r="V7690" s="8" t="n"/>
      <c r="W7690" s="8" t="n"/>
      <c r="X7690" s="8" t="n"/>
      <c r="Y7690" s="8" t="n"/>
    </row>
    <row r="7691">
      <c r="A7691" s="8" t="n"/>
      <c r="B7691" s="8" t="n"/>
      <c r="C7691" s="8" t="n"/>
      <c r="D7691" s="8" t="n"/>
      <c r="E7691" s="8" t="n"/>
      <c r="F7691" s="8" t="n"/>
      <c r="G7691" s="8" t="n"/>
      <c r="H7691" s="8" t="n"/>
      <c r="I7691" s="8" t="n"/>
      <c r="J7691" s="8" t="n"/>
      <c r="K7691" s="8" t="n"/>
      <c r="L7691" s="8" t="n"/>
      <c r="M7691" s="9">
        <f>B7691+30</f>
        <v/>
      </c>
      <c r="N7691">
        <f>IF(L7691="", "", L7691-B7691)</f>
        <v/>
      </c>
      <c r="O7691">
        <f>IF(L7691="", "Pending", IF(N7691&lt;=30, "Met", "Breached"))</f>
        <v/>
      </c>
      <c r="P7691" s="8" t="n"/>
      <c r="Q7691" s="8" t="n"/>
      <c r="R7691" s="8" t="n"/>
      <c r="S7691" s="8" t="n"/>
      <c r="T7691" s="8" t="n"/>
      <c r="U7691" s="8" t="n"/>
      <c r="V7691" s="8" t="n"/>
      <c r="W7691" s="8" t="n"/>
      <c r="X7691" s="8" t="n"/>
      <c r="Y7691" s="8" t="n"/>
    </row>
    <row r="7692">
      <c r="A7692" s="8" t="n"/>
      <c r="B7692" s="8" t="n"/>
      <c r="C7692" s="8" t="n"/>
      <c r="D7692" s="8" t="n"/>
      <c r="E7692" s="8" t="n"/>
      <c r="F7692" s="8" t="n"/>
      <c r="G7692" s="8" t="n"/>
      <c r="H7692" s="8" t="n"/>
      <c r="I7692" s="8" t="n"/>
      <c r="J7692" s="8" t="n"/>
      <c r="K7692" s="8" t="n"/>
      <c r="L7692" s="8" t="n"/>
      <c r="M7692" s="9">
        <f>B7692+30</f>
        <v/>
      </c>
      <c r="N7692">
        <f>IF(L7692="", "", L7692-B7692)</f>
        <v/>
      </c>
      <c r="O7692">
        <f>IF(L7692="", "Pending", IF(N7692&lt;=30, "Met", "Breached"))</f>
        <v/>
      </c>
      <c r="P7692" s="8" t="n"/>
      <c r="Q7692" s="8" t="n"/>
      <c r="R7692" s="8" t="n"/>
      <c r="S7692" s="8" t="n"/>
      <c r="T7692" s="8" t="n"/>
      <c r="U7692" s="8" t="n"/>
      <c r="V7692" s="8" t="n"/>
      <c r="W7692" s="8" t="n"/>
      <c r="X7692" s="8" t="n"/>
      <c r="Y7692" s="8" t="n"/>
    </row>
    <row r="7693">
      <c r="A7693" s="8" t="n"/>
      <c r="B7693" s="8" t="n"/>
      <c r="C7693" s="8" t="n"/>
      <c r="D7693" s="8" t="n"/>
      <c r="E7693" s="8" t="n"/>
      <c r="F7693" s="8" t="n"/>
      <c r="G7693" s="8" t="n"/>
      <c r="H7693" s="8" t="n"/>
      <c r="I7693" s="8" t="n"/>
      <c r="J7693" s="8" t="n"/>
      <c r="K7693" s="8" t="n"/>
      <c r="L7693" s="8" t="n"/>
      <c r="M7693" s="9">
        <f>B7693+30</f>
        <v/>
      </c>
      <c r="N7693">
        <f>IF(L7693="", "", L7693-B7693)</f>
        <v/>
      </c>
      <c r="O7693">
        <f>IF(L7693="", "Pending", IF(N7693&lt;=30, "Met", "Breached"))</f>
        <v/>
      </c>
      <c r="P7693" s="8" t="n"/>
      <c r="Q7693" s="8" t="n"/>
      <c r="R7693" s="8" t="n"/>
      <c r="S7693" s="8" t="n"/>
      <c r="T7693" s="8" t="n"/>
      <c r="U7693" s="8" t="n"/>
      <c r="V7693" s="8" t="n"/>
      <c r="W7693" s="8" t="n"/>
      <c r="X7693" s="8" t="n"/>
      <c r="Y7693" s="8" t="n"/>
    </row>
    <row r="7694">
      <c r="A7694" s="8" t="n"/>
      <c r="B7694" s="8" t="n"/>
      <c r="C7694" s="8" t="n"/>
      <c r="D7694" s="8" t="n"/>
      <c r="E7694" s="8" t="n"/>
      <c r="F7694" s="8" t="n"/>
      <c r="G7694" s="8" t="n"/>
      <c r="H7694" s="8" t="n"/>
      <c r="I7694" s="8" t="n"/>
      <c r="J7694" s="8" t="n"/>
      <c r="K7694" s="8" t="n"/>
      <c r="L7694" s="8" t="n"/>
      <c r="M7694" s="9">
        <f>B7694+30</f>
        <v/>
      </c>
      <c r="N7694">
        <f>IF(L7694="", "", L7694-B7694)</f>
        <v/>
      </c>
      <c r="O7694">
        <f>IF(L7694="", "Pending", IF(N7694&lt;=30, "Met", "Breached"))</f>
        <v/>
      </c>
      <c r="P7694" s="8" t="n"/>
      <c r="Q7694" s="8" t="n"/>
      <c r="R7694" s="8" t="n"/>
      <c r="S7694" s="8" t="n"/>
      <c r="T7694" s="8" t="n"/>
      <c r="U7694" s="8" t="n"/>
      <c r="V7694" s="8" t="n"/>
      <c r="W7694" s="8" t="n"/>
      <c r="X7694" s="8" t="n"/>
      <c r="Y7694" s="8" t="n"/>
    </row>
    <row r="7695">
      <c r="A7695" s="8" t="n"/>
      <c r="B7695" s="8" t="n"/>
      <c r="C7695" s="8" t="n"/>
      <c r="D7695" s="8" t="n"/>
      <c r="E7695" s="8" t="n"/>
      <c r="F7695" s="8" t="n"/>
      <c r="G7695" s="8" t="n"/>
      <c r="H7695" s="8" t="n"/>
      <c r="I7695" s="8" t="n"/>
      <c r="J7695" s="8" t="n"/>
      <c r="K7695" s="8" t="n"/>
      <c r="L7695" s="8" t="n"/>
      <c r="M7695" s="9">
        <f>B7695+30</f>
        <v/>
      </c>
      <c r="N7695">
        <f>IF(L7695="", "", L7695-B7695)</f>
        <v/>
      </c>
      <c r="O7695">
        <f>IF(L7695="", "Pending", IF(N7695&lt;=30, "Met", "Breached"))</f>
        <v/>
      </c>
      <c r="P7695" s="8" t="n"/>
      <c r="Q7695" s="8" t="n"/>
      <c r="R7695" s="8" t="n"/>
      <c r="S7695" s="8" t="n"/>
      <c r="T7695" s="8" t="n"/>
      <c r="U7695" s="8" t="n"/>
      <c r="V7695" s="8" t="n"/>
      <c r="W7695" s="8" t="n"/>
      <c r="X7695" s="8" t="n"/>
      <c r="Y7695" s="8" t="n"/>
    </row>
    <row r="7696">
      <c r="A7696" s="8" t="n"/>
      <c r="B7696" s="8" t="n"/>
      <c r="C7696" s="8" t="n"/>
      <c r="D7696" s="8" t="n"/>
      <c r="E7696" s="8" t="n"/>
      <c r="F7696" s="8" t="n"/>
      <c r="G7696" s="8" t="n"/>
      <c r="H7696" s="8" t="n"/>
      <c r="I7696" s="8" t="n"/>
      <c r="J7696" s="8" t="n"/>
      <c r="K7696" s="8" t="n"/>
      <c r="L7696" s="8" t="n"/>
      <c r="M7696" s="9">
        <f>B7696+30</f>
        <v/>
      </c>
      <c r="N7696">
        <f>IF(L7696="", "", L7696-B7696)</f>
        <v/>
      </c>
      <c r="O7696">
        <f>IF(L7696="", "Pending", IF(N7696&lt;=30, "Met", "Breached"))</f>
        <v/>
      </c>
      <c r="P7696" s="8" t="n"/>
      <c r="Q7696" s="8" t="n"/>
      <c r="R7696" s="8" t="n"/>
      <c r="S7696" s="8" t="n"/>
      <c r="T7696" s="8" t="n"/>
      <c r="U7696" s="8" t="n"/>
      <c r="V7696" s="8" t="n"/>
      <c r="W7696" s="8" t="n"/>
      <c r="X7696" s="8" t="n"/>
      <c r="Y7696" s="8" t="n"/>
    </row>
    <row r="7697">
      <c r="A7697" s="8" t="n"/>
      <c r="B7697" s="8" t="n"/>
      <c r="C7697" s="8" t="n"/>
      <c r="D7697" s="8" t="n"/>
      <c r="E7697" s="8" t="n"/>
      <c r="F7697" s="8" t="n"/>
      <c r="G7697" s="8" t="n"/>
      <c r="H7697" s="8" t="n"/>
      <c r="I7697" s="8" t="n"/>
      <c r="J7697" s="8" t="n"/>
      <c r="K7697" s="8" t="n"/>
      <c r="L7697" s="8" t="n"/>
      <c r="M7697" s="9">
        <f>B7697+30</f>
        <v/>
      </c>
      <c r="N7697">
        <f>IF(L7697="", "", L7697-B7697)</f>
        <v/>
      </c>
      <c r="O7697">
        <f>IF(L7697="", "Pending", IF(N7697&lt;=30, "Met", "Breached"))</f>
        <v/>
      </c>
      <c r="P7697" s="8" t="n"/>
      <c r="Q7697" s="8" t="n"/>
      <c r="R7697" s="8" t="n"/>
      <c r="S7697" s="8" t="n"/>
      <c r="T7697" s="8" t="n"/>
      <c r="U7697" s="8" t="n"/>
      <c r="V7697" s="8" t="n"/>
      <c r="W7697" s="8" t="n"/>
      <c r="X7697" s="8" t="n"/>
      <c r="Y7697" s="8" t="n"/>
    </row>
    <row r="7698">
      <c r="A7698" s="8" t="n"/>
      <c r="B7698" s="8" t="n"/>
      <c r="C7698" s="8" t="n"/>
      <c r="D7698" s="8" t="n"/>
      <c r="E7698" s="8" t="n"/>
      <c r="F7698" s="8" t="n"/>
      <c r="G7698" s="8" t="n"/>
      <c r="H7698" s="8" t="n"/>
      <c r="I7698" s="8" t="n"/>
      <c r="J7698" s="8" t="n"/>
      <c r="K7698" s="8" t="n"/>
      <c r="L7698" s="8" t="n"/>
      <c r="M7698" s="9">
        <f>B7698+30</f>
        <v/>
      </c>
      <c r="N7698">
        <f>IF(L7698="", "", L7698-B7698)</f>
        <v/>
      </c>
      <c r="O7698">
        <f>IF(L7698="", "Pending", IF(N7698&lt;=30, "Met", "Breached"))</f>
        <v/>
      </c>
      <c r="P7698" s="8" t="n"/>
      <c r="Q7698" s="8" t="n"/>
      <c r="R7698" s="8" t="n"/>
      <c r="S7698" s="8" t="n"/>
      <c r="T7698" s="8" t="n"/>
      <c r="U7698" s="8" t="n"/>
      <c r="V7698" s="8" t="n"/>
      <c r="W7698" s="8" t="n"/>
      <c r="X7698" s="8" t="n"/>
      <c r="Y7698" s="8" t="n"/>
    </row>
    <row r="7699">
      <c r="A7699" s="8" t="n"/>
      <c r="B7699" s="8" t="n"/>
      <c r="C7699" s="8" t="n"/>
      <c r="D7699" s="8" t="n"/>
      <c r="E7699" s="8" t="n"/>
      <c r="F7699" s="8" t="n"/>
      <c r="G7699" s="8" t="n"/>
      <c r="H7699" s="8" t="n"/>
      <c r="I7699" s="8" t="n"/>
      <c r="J7699" s="8" t="n"/>
      <c r="K7699" s="8" t="n"/>
      <c r="L7699" s="8" t="n"/>
      <c r="M7699" s="9">
        <f>B7699+30</f>
        <v/>
      </c>
      <c r="N7699">
        <f>IF(L7699="", "", L7699-B7699)</f>
        <v/>
      </c>
      <c r="O7699">
        <f>IF(L7699="", "Pending", IF(N7699&lt;=30, "Met", "Breached"))</f>
        <v/>
      </c>
      <c r="P7699" s="8" t="n"/>
      <c r="Q7699" s="8" t="n"/>
      <c r="R7699" s="8" t="n"/>
      <c r="S7699" s="8" t="n"/>
      <c r="T7699" s="8" t="n"/>
      <c r="U7699" s="8" t="n"/>
      <c r="V7699" s="8" t="n"/>
      <c r="W7699" s="8" t="n"/>
      <c r="X7699" s="8" t="n"/>
      <c r="Y7699" s="8" t="n"/>
    </row>
    <row r="7700">
      <c r="A7700" s="8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8" t="n"/>
      <c r="K7700" s="8" t="n"/>
      <c r="L7700" s="8" t="n"/>
      <c r="M7700" s="9">
        <f>B7700+30</f>
        <v/>
      </c>
      <c r="N7700">
        <f>IF(L7700="", "", L7700-B7700)</f>
        <v/>
      </c>
      <c r="O7700">
        <f>IF(L7700="", "Pending", IF(N7700&lt;=30, "Met", "Breached"))</f>
        <v/>
      </c>
      <c r="P7700" s="8" t="n"/>
      <c r="Q7700" s="8" t="n"/>
      <c r="R7700" s="8" t="n"/>
      <c r="S7700" s="8" t="n"/>
      <c r="T7700" s="8" t="n"/>
      <c r="U7700" s="8" t="n"/>
      <c r="V7700" s="8" t="n"/>
      <c r="W7700" s="8" t="n"/>
      <c r="X7700" s="8" t="n"/>
      <c r="Y7700" s="8" t="n"/>
    </row>
    <row r="7701">
      <c r="A7701" s="8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8" t="n"/>
      <c r="K7701" s="8" t="n"/>
      <c r="L7701" s="8" t="n"/>
      <c r="M7701" s="9">
        <f>B7701+30</f>
        <v/>
      </c>
      <c r="N7701">
        <f>IF(L7701="", "", L7701-B7701)</f>
        <v/>
      </c>
      <c r="O7701">
        <f>IF(L7701="", "Pending", IF(N7701&lt;=30, "Met", "Breached"))</f>
        <v/>
      </c>
      <c r="P7701" s="8" t="n"/>
      <c r="Q7701" s="8" t="n"/>
      <c r="R7701" s="8" t="n"/>
      <c r="S7701" s="8" t="n"/>
      <c r="T7701" s="8" t="n"/>
      <c r="U7701" s="8" t="n"/>
      <c r="V7701" s="8" t="n"/>
      <c r="W7701" s="8" t="n"/>
      <c r="X7701" s="8" t="n"/>
      <c r="Y7701" s="8" t="n"/>
    </row>
    <row r="7702">
      <c r="A7702" s="8" t="n"/>
      <c r="B7702" s="8" t="n"/>
      <c r="C7702" s="8" t="n"/>
      <c r="D7702" s="8" t="n"/>
      <c r="E7702" s="8" t="n"/>
      <c r="F7702" s="8" t="n"/>
      <c r="G7702" s="8" t="n"/>
      <c r="H7702" s="8" t="n"/>
      <c r="I7702" s="8" t="n"/>
      <c r="J7702" s="8" t="n"/>
      <c r="K7702" s="8" t="n"/>
      <c r="L7702" s="8" t="n"/>
      <c r="M7702" s="9">
        <f>B7702+30</f>
        <v/>
      </c>
      <c r="N7702">
        <f>IF(L7702="", "", L7702-B7702)</f>
        <v/>
      </c>
      <c r="O7702">
        <f>IF(L7702="", "Pending", IF(N7702&lt;=30, "Met", "Breached"))</f>
        <v/>
      </c>
      <c r="P7702" s="8" t="n"/>
      <c r="Q7702" s="8" t="n"/>
      <c r="R7702" s="8" t="n"/>
      <c r="S7702" s="8" t="n"/>
      <c r="T7702" s="8" t="n"/>
      <c r="U7702" s="8" t="n"/>
      <c r="V7702" s="8" t="n"/>
      <c r="W7702" s="8" t="n"/>
      <c r="X7702" s="8" t="n"/>
      <c r="Y7702" s="8" t="n"/>
    </row>
    <row r="7703">
      <c r="A7703" s="8" t="n"/>
      <c r="B7703" s="8" t="n"/>
      <c r="C7703" s="8" t="n"/>
      <c r="D7703" s="8" t="n"/>
      <c r="E7703" s="8" t="n"/>
      <c r="F7703" s="8" t="n"/>
      <c r="G7703" s="8" t="n"/>
      <c r="H7703" s="8" t="n"/>
      <c r="I7703" s="8" t="n"/>
      <c r="J7703" s="8" t="n"/>
      <c r="K7703" s="8" t="n"/>
      <c r="L7703" s="8" t="n"/>
      <c r="M7703" s="9">
        <f>B7703+30</f>
        <v/>
      </c>
      <c r="N7703">
        <f>IF(L7703="", "", L7703-B7703)</f>
        <v/>
      </c>
      <c r="O7703">
        <f>IF(L7703="", "Pending", IF(N7703&lt;=30, "Met", "Breached"))</f>
        <v/>
      </c>
      <c r="P7703" s="8" t="n"/>
      <c r="Q7703" s="8" t="n"/>
      <c r="R7703" s="8" t="n"/>
      <c r="S7703" s="8" t="n"/>
      <c r="T7703" s="8" t="n"/>
      <c r="U7703" s="8" t="n"/>
      <c r="V7703" s="8" t="n"/>
      <c r="W7703" s="8" t="n"/>
      <c r="X7703" s="8" t="n"/>
      <c r="Y7703" s="8" t="n"/>
    </row>
    <row r="7704">
      <c r="A7704" s="8" t="n"/>
      <c r="B7704" s="8" t="n"/>
      <c r="C7704" s="8" t="n"/>
      <c r="D7704" s="8" t="n"/>
      <c r="E7704" s="8" t="n"/>
      <c r="F7704" s="8" t="n"/>
      <c r="G7704" s="8" t="n"/>
      <c r="H7704" s="8" t="n"/>
      <c r="I7704" s="8" t="n"/>
      <c r="J7704" s="8" t="n"/>
      <c r="K7704" s="8" t="n"/>
      <c r="L7704" s="8" t="n"/>
      <c r="M7704" s="9">
        <f>B7704+30</f>
        <v/>
      </c>
      <c r="N7704">
        <f>IF(L7704="", "", L7704-B7704)</f>
        <v/>
      </c>
      <c r="O7704">
        <f>IF(L7704="", "Pending", IF(N7704&lt;=30, "Met", "Breached"))</f>
        <v/>
      </c>
      <c r="P7704" s="8" t="n"/>
      <c r="Q7704" s="8" t="n"/>
      <c r="R7704" s="8" t="n"/>
      <c r="S7704" s="8" t="n"/>
      <c r="T7704" s="8" t="n"/>
      <c r="U7704" s="8" t="n"/>
      <c r="V7704" s="8" t="n"/>
      <c r="W7704" s="8" t="n"/>
      <c r="X7704" s="8" t="n"/>
      <c r="Y7704" s="8" t="n"/>
    </row>
    <row r="7705">
      <c r="A7705" s="8" t="n"/>
      <c r="B7705" s="8" t="n"/>
      <c r="C7705" s="8" t="n"/>
      <c r="D7705" s="8" t="n"/>
      <c r="E7705" s="8" t="n"/>
      <c r="F7705" s="8" t="n"/>
      <c r="G7705" s="8" t="n"/>
      <c r="H7705" s="8" t="n"/>
      <c r="I7705" s="8" t="n"/>
      <c r="J7705" s="8" t="n"/>
      <c r="K7705" s="8" t="n"/>
      <c r="L7705" s="8" t="n"/>
      <c r="M7705" s="9">
        <f>B7705+30</f>
        <v/>
      </c>
      <c r="N7705">
        <f>IF(L7705="", "", L7705-B7705)</f>
        <v/>
      </c>
      <c r="O7705">
        <f>IF(L7705="", "Pending", IF(N7705&lt;=30, "Met", "Breached"))</f>
        <v/>
      </c>
      <c r="P7705" s="8" t="n"/>
      <c r="Q7705" s="8" t="n"/>
      <c r="R7705" s="8" t="n"/>
      <c r="S7705" s="8" t="n"/>
      <c r="T7705" s="8" t="n"/>
      <c r="U7705" s="8" t="n"/>
      <c r="V7705" s="8" t="n"/>
      <c r="W7705" s="8" t="n"/>
      <c r="X7705" s="8" t="n"/>
      <c r="Y7705" s="8" t="n"/>
    </row>
    <row r="7706">
      <c r="A7706" s="8" t="n"/>
      <c r="B7706" s="8" t="n"/>
      <c r="C7706" s="8" t="n"/>
      <c r="D7706" s="8" t="n"/>
      <c r="E7706" s="8" t="n"/>
      <c r="F7706" s="8" t="n"/>
      <c r="G7706" s="8" t="n"/>
      <c r="H7706" s="8" t="n"/>
      <c r="I7706" s="8" t="n"/>
      <c r="J7706" s="8" t="n"/>
      <c r="K7706" s="8" t="n"/>
      <c r="L7706" s="8" t="n"/>
      <c r="M7706" s="9">
        <f>B7706+30</f>
        <v/>
      </c>
      <c r="N7706">
        <f>IF(L7706="", "", L7706-B7706)</f>
        <v/>
      </c>
      <c r="O7706">
        <f>IF(L7706="", "Pending", IF(N7706&lt;=30, "Met", "Breached"))</f>
        <v/>
      </c>
      <c r="P7706" s="8" t="n"/>
      <c r="Q7706" s="8" t="n"/>
      <c r="R7706" s="8" t="n"/>
      <c r="S7706" s="8" t="n"/>
      <c r="T7706" s="8" t="n"/>
      <c r="U7706" s="8" t="n"/>
      <c r="V7706" s="8" t="n"/>
      <c r="W7706" s="8" t="n"/>
      <c r="X7706" s="8" t="n"/>
      <c r="Y7706" s="8" t="n"/>
    </row>
    <row r="7707">
      <c r="A7707" s="8" t="n"/>
      <c r="B7707" s="8" t="n"/>
      <c r="C7707" s="8" t="n"/>
      <c r="D7707" s="8" t="n"/>
      <c r="E7707" s="8" t="n"/>
      <c r="F7707" s="8" t="n"/>
      <c r="G7707" s="8" t="n"/>
      <c r="H7707" s="8" t="n"/>
      <c r="I7707" s="8" t="n"/>
      <c r="J7707" s="8" t="n"/>
      <c r="K7707" s="8" t="n"/>
      <c r="L7707" s="8" t="n"/>
      <c r="M7707" s="9">
        <f>B7707+30</f>
        <v/>
      </c>
      <c r="N7707">
        <f>IF(L7707="", "", L7707-B7707)</f>
        <v/>
      </c>
      <c r="O7707">
        <f>IF(L7707="", "Pending", IF(N7707&lt;=30, "Met", "Breached"))</f>
        <v/>
      </c>
      <c r="P7707" s="8" t="n"/>
      <c r="Q7707" s="8" t="n"/>
      <c r="R7707" s="8" t="n"/>
      <c r="S7707" s="8" t="n"/>
      <c r="T7707" s="8" t="n"/>
      <c r="U7707" s="8" t="n"/>
      <c r="V7707" s="8" t="n"/>
      <c r="W7707" s="8" t="n"/>
      <c r="X7707" s="8" t="n"/>
      <c r="Y7707" s="8" t="n"/>
    </row>
    <row r="7708">
      <c r="A7708" s="8" t="n"/>
      <c r="B7708" s="8" t="n"/>
      <c r="C7708" s="8" t="n"/>
      <c r="D7708" s="8" t="n"/>
      <c r="E7708" s="8" t="n"/>
      <c r="F7708" s="8" t="n"/>
      <c r="G7708" s="8" t="n"/>
      <c r="H7708" s="8" t="n"/>
      <c r="I7708" s="8" t="n"/>
      <c r="J7708" s="8" t="n"/>
      <c r="K7708" s="8" t="n"/>
      <c r="L7708" s="8" t="n"/>
      <c r="M7708" s="9">
        <f>B7708+30</f>
        <v/>
      </c>
      <c r="N7708">
        <f>IF(L7708="", "", L7708-B7708)</f>
        <v/>
      </c>
      <c r="O7708">
        <f>IF(L7708="", "Pending", IF(N7708&lt;=30, "Met", "Breached"))</f>
        <v/>
      </c>
      <c r="P7708" s="8" t="n"/>
      <c r="Q7708" s="8" t="n"/>
      <c r="R7708" s="8" t="n"/>
      <c r="S7708" s="8" t="n"/>
      <c r="T7708" s="8" t="n"/>
      <c r="U7708" s="8" t="n"/>
      <c r="V7708" s="8" t="n"/>
      <c r="W7708" s="8" t="n"/>
      <c r="X7708" s="8" t="n"/>
      <c r="Y7708" s="8" t="n"/>
    </row>
    <row r="7709">
      <c r="A7709" s="8" t="n"/>
      <c r="B7709" s="8" t="n"/>
      <c r="C7709" s="8" t="n"/>
      <c r="D7709" s="8" t="n"/>
      <c r="E7709" s="8" t="n"/>
      <c r="F7709" s="8" t="n"/>
      <c r="G7709" s="8" t="n"/>
      <c r="H7709" s="8" t="n"/>
      <c r="I7709" s="8" t="n"/>
      <c r="J7709" s="8" t="n"/>
      <c r="K7709" s="8" t="n"/>
      <c r="L7709" s="8" t="n"/>
      <c r="M7709" s="9">
        <f>B7709+30</f>
        <v/>
      </c>
      <c r="N7709">
        <f>IF(L7709="", "", L7709-B7709)</f>
        <v/>
      </c>
      <c r="O7709">
        <f>IF(L7709="", "Pending", IF(N7709&lt;=30, "Met", "Breached"))</f>
        <v/>
      </c>
      <c r="P7709" s="8" t="n"/>
      <c r="Q7709" s="8" t="n"/>
      <c r="R7709" s="8" t="n"/>
      <c r="S7709" s="8" t="n"/>
      <c r="T7709" s="8" t="n"/>
      <c r="U7709" s="8" t="n"/>
      <c r="V7709" s="8" t="n"/>
      <c r="W7709" s="8" t="n"/>
      <c r="X7709" s="8" t="n"/>
      <c r="Y7709" s="8" t="n"/>
    </row>
    <row r="7710">
      <c r="A7710" s="8" t="n"/>
      <c r="B7710" s="8" t="n"/>
      <c r="C7710" s="8" t="n"/>
      <c r="D7710" s="8" t="n"/>
      <c r="E7710" s="8" t="n"/>
      <c r="F7710" s="8" t="n"/>
      <c r="G7710" s="8" t="n"/>
      <c r="H7710" s="8" t="n"/>
      <c r="I7710" s="8" t="n"/>
      <c r="J7710" s="8" t="n"/>
      <c r="K7710" s="8" t="n"/>
      <c r="L7710" s="8" t="n"/>
      <c r="M7710" s="9">
        <f>B7710+30</f>
        <v/>
      </c>
      <c r="N7710">
        <f>IF(L7710="", "", L7710-B7710)</f>
        <v/>
      </c>
      <c r="O7710">
        <f>IF(L7710="", "Pending", IF(N7710&lt;=30, "Met", "Breached"))</f>
        <v/>
      </c>
      <c r="P7710" s="8" t="n"/>
      <c r="Q7710" s="8" t="n"/>
      <c r="R7710" s="8" t="n"/>
      <c r="S7710" s="8" t="n"/>
      <c r="T7710" s="8" t="n"/>
      <c r="U7710" s="8" t="n"/>
      <c r="V7710" s="8" t="n"/>
      <c r="W7710" s="8" t="n"/>
      <c r="X7710" s="8" t="n"/>
      <c r="Y7710" s="8" t="n"/>
    </row>
    <row r="7711">
      <c r="A7711" s="8" t="n"/>
      <c r="B7711" s="8" t="n"/>
      <c r="C7711" s="8" t="n"/>
      <c r="D7711" s="8" t="n"/>
      <c r="E7711" s="8" t="n"/>
      <c r="F7711" s="8" t="n"/>
      <c r="G7711" s="8" t="n"/>
      <c r="H7711" s="8" t="n"/>
      <c r="I7711" s="8" t="n"/>
      <c r="J7711" s="8" t="n"/>
      <c r="K7711" s="8" t="n"/>
      <c r="L7711" s="8" t="n"/>
      <c r="M7711" s="9">
        <f>B7711+30</f>
        <v/>
      </c>
      <c r="N7711">
        <f>IF(L7711="", "", L7711-B7711)</f>
        <v/>
      </c>
      <c r="O7711">
        <f>IF(L7711="", "Pending", IF(N7711&lt;=30, "Met", "Breached"))</f>
        <v/>
      </c>
      <c r="P7711" s="8" t="n"/>
      <c r="Q7711" s="8" t="n"/>
      <c r="R7711" s="8" t="n"/>
      <c r="S7711" s="8" t="n"/>
      <c r="T7711" s="8" t="n"/>
      <c r="U7711" s="8" t="n"/>
      <c r="V7711" s="8" t="n"/>
      <c r="W7711" s="8" t="n"/>
      <c r="X7711" s="8" t="n"/>
      <c r="Y7711" s="8" t="n"/>
    </row>
    <row r="7712">
      <c r="A7712" s="8" t="n"/>
      <c r="B7712" s="8" t="n"/>
      <c r="C7712" s="8" t="n"/>
      <c r="D7712" s="8" t="n"/>
      <c r="E7712" s="8" t="n"/>
      <c r="F7712" s="8" t="n"/>
      <c r="G7712" s="8" t="n"/>
      <c r="H7712" s="8" t="n"/>
      <c r="I7712" s="8" t="n"/>
      <c r="J7712" s="8" t="n"/>
      <c r="K7712" s="8" t="n"/>
      <c r="L7712" s="8" t="n"/>
      <c r="M7712" s="9">
        <f>B7712+30</f>
        <v/>
      </c>
      <c r="N7712">
        <f>IF(L7712="", "", L7712-B7712)</f>
        <v/>
      </c>
      <c r="O7712">
        <f>IF(L7712="", "Pending", IF(N7712&lt;=30, "Met", "Breached"))</f>
        <v/>
      </c>
      <c r="P7712" s="8" t="n"/>
      <c r="Q7712" s="8" t="n"/>
      <c r="R7712" s="8" t="n"/>
      <c r="S7712" s="8" t="n"/>
      <c r="T7712" s="8" t="n"/>
      <c r="U7712" s="8" t="n"/>
      <c r="V7712" s="8" t="n"/>
      <c r="W7712" s="8" t="n"/>
      <c r="X7712" s="8" t="n"/>
      <c r="Y7712" s="8" t="n"/>
    </row>
    <row r="7713">
      <c r="A7713" s="8" t="n"/>
      <c r="B7713" s="8" t="n"/>
      <c r="C7713" s="8" t="n"/>
      <c r="D7713" s="8" t="n"/>
      <c r="E7713" s="8" t="n"/>
      <c r="F7713" s="8" t="n"/>
      <c r="G7713" s="8" t="n"/>
      <c r="H7713" s="8" t="n"/>
      <c r="I7713" s="8" t="n"/>
      <c r="J7713" s="8" t="n"/>
      <c r="K7713" s="8" t="n"/>
      <c r="L7713" s="8" t="n"/>
      <c r="M7713" s="9">
        <f>B7713+30</f>
        <v/>
      </c>
      <c r="N7713">
        <f>IF(L7713="", "", L7713-B7713)</f>
        <v/>
      </c>
      <c r="O7713">
        <f>IF(L7713="", "Pending", IF(N7713&lt;=30, "Met", "Breached"))</f>
        <v/>
      </c>
      <c r="P7713" s="8" t="n"/>
      <c r="Q7713" s="8" t="n"/>
      <c r="R7713" s="8" t="n"/>
      <c r="S7713" s="8" t="n"/>
      <c r="T7713" s="8" t="n"/>
      <c r="U7713" s="8" t="n"/>
      <c r="V7713" s="8" t="n"/>
      <c r="W7713" s="8" t="n"/>
      <c r="X7713" s="8" t="n"/>
      <c r="Y7713" s="8" t="n"/>
    </row>
    <row r="7714">
      <c r="A7714" s="8" t="n"/>
      <c r="B7714" s="8" t="n"/>
      <c r="C7714" s="8" t="n"/>
      <c r="D7714" s="8" t="n"/>
      <c r="E7714" s="8" t="n"/>
      <c r="F7714" s="8" t="n"/>
      <c r="G7714" s="8" t="n"/>
      <c r="H7714" s="8" t="n"/>
      <c r="I7714" s="8" t="n"/>
      <c r="J7714" s="8" t="n"/>
      <c r="K7714" s="8" t="n"/>
      <c r="L7714" s="8" t="n"/>
      <c r="M7714" s="9">
        <f>B7714+30</f>
        <v/>
      </c>
      <c r="N7714">
        <f>IF(L7714="", "", L7714-B7714)</f>
        <v/>
      </c>
      <c r="O7714">
        <f>IF(L7714="", "Pending", IF(N7714&lt;=30, "Met", "Breached"))</f>
        <v/>
      </c>
      <c r="P7714" s="8" t="n"/>
      <c r="Q7714" s="8" t="n"/>
      <c r="R7714" s="8" t="n"/>
      <c r="S7714" s="8" t="n"/>
      <c r="T7714" s="8" t="n"/>
      <c r="U7714" s="8" t="n"/>
      <c r="V7714" s="8" t="n"/>
      <c r="W7714" s="8" t="n"/>
      <c r="X7714" s="8" t="n"/>
      <c r="Y7714" s="8" t="n"/>
    </row>
    <row r="7715">
      <c r="A7715" s="8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8" t="n"/>
      <c r="K7715" s="8" t="n"/>
      <c r="L7715" s="8" t="n"/>
      <c r="M7715" s="9">
        <f>B7715+30</f>
        <v/>
      </c>
      <c r="N7715">
        <f>IF(L7715="", "", L7715-B7715)</f>
        <v/>
      </c>
      <c r="O7715">
        <f>IF(L7715="", "Pending", IF(N7715&lt;=30, "Met", "Breached"))</f>
        <v/>
      </c>
      <c r="P7715" s="8" t="n"/>
      <c r="Q7715" s="8" t="n"/>
      <c r="R7715" s="8" t="n"/>
      <c r="S7715" s="8" t="n"/>
      <c r="T7715" s="8" t="n"/>
      <c r="U7715" s="8" t="n"/>
      <c r="V7715" s="8" t="n"/>
      <c r="W7715" s="8" t="n"/>
      <c r="X7715" s="8" t="n"/>
      <c r="Y7715" s="8" t="n"/>
    </row>
    <row r="7716">
      <c r="A7716" s="8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8" t="n"/>
      <c r="K7716" s="8" t="n"/>
      <c r="L7716" s="8" t="n"/>
      <c r="M7716" s="9">
        <f>B7716+30</f>
        <v/>
      </c>
      <c r="N7716">
        <f>IF(L7716="", "", L7716-B7716)</f>
        <v/>
      </c>
      <c r="O7716">
        <f>IF(L7716="", "Pending", IF(N7716&lt;=30, "Met", "Breached"))</f>
        <v/>
      </c>
      <c r="P7716" s="8" t="n"/>
      <c r="Q7716" s="8" t="n"/>
      <c r="R7716" s="8" t="n"/>
      <c r="S7716" s="8" t="n"/>
      <c r="T7716" s="8" t="n"/>
      <c r="U7716" s="8" t="n"/>
      <c r="V7716" s="8" t="n"/>
      <c r="W7716" s="8" t="n"/>
      <c r="X7716" s="8" t="n"/>
      <c r="Y7716" s="8" t="n"/>
    </row>
    <row r="7717">
      <c r="A7717" s="8" t="n"/>
      <c r="B7717" s="8" t="n"/>
      <c r="C7717" s="8" t="n"/>
      <c r="D7717" s="8" t="n"/>
      <c r="E7717" s="8" t="n"/>
      <c r="F7717" s="8" t="n"/>
      <c r="G7717" s="8" t="n"/>
      <c r="H7717" s="8" t="n"/>
      <c r="I7717" s="8" t="n"/>
      <c r="J7717" s="8" t="n"/>
      <c r="K7717" s="8" t="n"/>
      <c r="L7717" s="8" t="n"/>
      <c r="M7717" s="9">
        <f>B7717+30</f>
        <v/>
      </c>
      <c r="N7717">
        <f>IF(L7717="", "", L7717-B7717)</f>
        <v/>
      </c>
      <c r="O7717">
        <f>IF(L7717="", "Pending", IF(N7717&lt;=30, "Met", "Breached"))</f>
        <v/>
      </c>
      <c r="P7717" s="8" t="n"/>
      <c r="Q7717" s="8" t="n"/>
      <c r="R7717" s="8" t="n"/>
      <c r="S7717" s="8" t="n"/>
      <c r="T7717" s="8" t="n"/>
      <c r="U7717" s="8" t="n"/>
      <c r="V7717" s="8" t="n"/>
      <c r="W7717" s="8" t="n"/>
      <c r="X7717" s="8" t="n"/>
      <c r="Y7717" s="8" t="n"/>
    </row>
    <row r="7718">
      <c r="A7718" s="8" t="n"/>
      <c r="B7718" s="8" t="n"/>
      <c r="C7718" s="8" t="n"/>
      <c r="D7718" s="8" t="n"/>
      <c r="E7718" s="8" t="n"/>
      <c r="F7718" s="8" t="n"/>
      <c r="G7718" s="8" t="n"/>
      <c r="H7718" s="8" t="n"/>
      <c r="I7718" s="8" t="n"/>
      <c r="J7718" s="8" t="n"/>
      <c r="K7718" s="8" t="n"/>
      <c r="L7718" s="8" t="n"/>
      <c r="M7718" s="9">
        <f>B7718+30</f>
        <v/>
      </c>
      <c r="N7718">
        <f>IF(L7718="", "", L7718-B7718)</f>
        <v/>
      </c>
      <c r="O7718">
        <f>IF(L7718="", "Pending", IF(N7718&lt;=30, "Met", "Breached"))</f>
        <v/>
      </c>
      <c r="P7718" s="8" t="n"/>
      <c r="Q7718" s="8" t="n"/>
      <c r="R7718" s="8" t="n"/>
      <c r="S7718" s="8" t="n"/>
      <c r="T7718" s="8" t="n"/>
      <c r="U7718" s="8" t="n"/>
      <c r="V7718" s="8" t="n"/>
      <c r="W7718" s="8" t="n"/>
      <c r="X7718" s="8" t="n"/>
      <c r="Y7718" s="8" t="n"/>
    </row>
    <row r="7719">
      <c r="A7719" s="8" t="n"/>
      <c r="B7719" s="8" t="n"/>
      <c r="C7719" s="8" t="n"/>
      <c r="D7719" s="8" t="n"/>
      <c r="E7719" s="8" t="n"/>
      <c r="F7719" s="8" t="n"/>
      <c r="G7719" s="8" t="n"/>
      <c r="H7719" s="8" t="n"/>
      <c r="I7719" s="8" t="n"/>
      <c r="J7719" s="8" t="n"/>
      <c r="K7719" s="8" t="n"/>
      <c r="L7719" s="8" t="n"/>
      <c r="M7719" s="9">
        <f>B7719+30</f>
        <v/>
      </c>
      <c r="N7719">
        <f>IF(L7719="", "", L7719-B7719)</f>
        <v/>
      </c>
      <c r="O7719">
        <f>IF(L7719="", "Pending", IF(N7719&lt;=30, "Met", "Breached"))</f>
        <v/>
      </c>
      <c r="P7719" s="8" t="n"/>
      <c r="Q7719" s="8" t="n"/>
      <c r="R7719" s="8" t="n"/>
      <c r="S7719" s="8" t="n"/>
      <c r="T7719" s="8" t="n"/>
      <c r="U7719" s="8" t="n"/>
      <c r="V7719" s="8" t="n"/>
      <c r="W7719" s="8" t="n"/>
      <c r="X7719" s="8" t="n"/>
      <c r="Y7719" s="8" t="n"/>
    </row>
    <row r="7720">
      <c r="A7720" s="8" t="n"/>
      <c r="B7720" s="8" t="n"/>
      <c r="C7720" s="8" t="n"/>
      <c r="D7720" s="8" t="n"/>
      <c r="E7720" s="8" t="n"/>
      <c r="F7720" s="8" t="n"/>
      <c r="G7720" s="8" t="n"/>
      <c r="H7720" s="8" t="n"/>
      <c r="I7720" s="8" t="n"/>
      <c r="J7720" s="8" t="n"/>
      <c r="K7720" s="8" t="n"/>
      <c r="L7720" s="8" t="n"/>
      <c r="M7720" s="9">
        <f>B7720+30</f>
        <v/>
      </c>
      <c r="N7720">
        <f>IF(L7720="", "", L7720-B7720)</f>
        <v/>
      </c>
      <c r="O7720">
        <f>IF(L7720="", "Pending", IF(N7720&lt;=30, "Met", "Breached"))</f>
        <v/>
      </c>
      <c r="P7720" s="8" t="n"/>
      <c r="Q7720" s="8" t="n"/>
      <c r="R7720" s="8" t="n"/>
      <c r="S7720" s="8" t="n"/>
      <c r="T7720" s="8" t="n"/>
      <c r="U7720" s="8" t="n"/>
      <c r="V7720" s="8" t="n"/>
      <c r="W7720" s="8" t="n"/>
      <c r="X7720" s="8" t="n"/>
      <c r="Y7720" s="8" t="n"/>
    </row>
    <row r="7721">
      <c r="A7721" s="8" t="n"/>
      <c r="B7721" s="8" t="n"/>
      <c r="C7721" s="8" t="n"/>
      <c r="D7721" s="8" t="n"/>
      <c r="E7721" s="8" t="n"/>
      <c r="F7721" s="8" t="n"/>
      <c r="G7721" s="8" t="n"/>
      <c r="H7721" s="8" t="n"/>
      <c r="I7721" s="8" t="n"/>
      <c r="J7721" s="8" t="n"/>
      <c r="K7721" s="8" t="n"/>
      <c r="L7721" s="8" t="n"/>
      <c r="M7721" s="9">
        <f>B7721+30</f>
        <v/>
      </c>
      <c r="N7721">
        <f>IF(L7721="", "", L7721-B7721)</f>
        <v/>
      </c>
      <c r="O7721">
        <f>IF(L7721="", "Pending", IF(N7721&lt;=30, "Met", "Breached"))</f>
        <v/>
      </c>
      <c r="P7721" s="8" t="n"/>
      <c r="Q7721" s="8" t="n"/>
      <c r="R7721" s="8" t="n"/>
      <c r="S7721" s="8" t="n"/>
      <c r="T7721" s="8" t="n"/>
      <c r="U7721" s="8" t="n"/>
      <c r="V7721" s="8" t="n"/>
      <c r="W7721" s="8" t="n"/>
      <c r="X7721" s="8" t="n"/>
      <c r="Y7721" s="8" t="n"/>
    </row>
    <row r="7722">
      <c r="A7722" s="8" t="n"/>
      <c r="B7722" s="8" t="n"/>
      <c r="C7722" s="8" t="n"/>
      <c r="D7722" s="8" t="n"/>
      <c r="E7722" s="8" t="n"/>
      <c r="F7722" s="8" t="n"/>
      <c r="G7722" s="8" t="n"/>
      <c r="H7722" s="8" t="n"/>
      <c r="I7722" s="8" t="n"/>
      <c r="J7722" s="8" t="n"/>
      <c r="K7722" s="8" t="n"/>
      <c r="L7722" s="8" t="n"/>
      <c r="M7722" s="9">
        <f>B7722+30</f>
        <v/>
      </c>
      <c r="N7722">
        <f>IF(L7722="", "", L7722-B7722)</f>
        <v/>
      </c>
      <c r="O7722">
        <f>IF(L7722="", "Pending", IF(N7722&lt;=30, "Met", "Breached"))</f>
        <v/>
      </c>
      <c r="P7722" s="8" t="n"/>
      <c r="Q7722" s="8" t="n"/>
      <c r="R7722" s="8" t="n"/>
      <c r="S7722" s="8" t="n"/>
      <c r="T7722" s="8" t="n"/>
      <c r="U7722" s="8" t="n"/>
      <c r="V7722" s="8" t="n"/>
      <c r="W7722" s="8" t="n"/>
      <c r="X7722" s="8" t="n"/>
      <c r="Y7722" s="8" t="n"/>
    </row>
    <row r="7723">
      <c r="A7723" s="8" t="n"/>
      <c r="B7723" s="8" t="n"/>
      <c r="C7723" s="8" t="n"/>
      <c r="D7723" s="8" t="n"/>
      <c r="E7723" s="8" t="n"/>
      <c r="F7723" s="8" t="n"/>
      <c r="G7723" s="8" t="n"/>
      <c r="H7723" s="8" t="n"/>
      <c r="I7723" s="8" t="n"/>
      <c r="J7723" s="8" t="n"/>
      <c r="K7723" s="8" t="n"/>
      <c r="L7723" s="8" t="n"/>
      <c r="M7723" s="9">
        <f>B7723+30</f>
        <v/>
      </c>
      <c r="N7723">
        <f>IF(L7723="", "", L7723-B7723)</f>
        <v/>
      </c>
      <c r="O7723">
        <f>IF(L7723="", "Pending", IF(N7723&lt;=30, "Met", "Breached"))</f>
        <v/>
      </c>
      <c r="P7723" s="8" t="n"/>
      <c r="Q7723" s="8" t="n"/>
      <c r="R7723" s="8" t="n"/>
      <c r="S7723" s="8" t="n"/>
      <c r="T7723" s="8" t="n"/>
      <c r="U7723" s="8" t="n"/>
      <c r="V7723" s="8" t="n"/>
      <c r="W7723" s="8" t="n"/>
      <c r="X7723" s="8" t="n"/>
      <c r="Y7723" s="8" t="n"/>
    </row>
    <row r="7724">
      <c r="A7724" s="8" t="n"/>
      <c r="B7724" s="8" t="n"/>
      <c r="C7724" s="8" t="n"/>
      <c r="D7724" s="8" t="n"/>
      <c r="E7724" s="8" t="n"/>
      <c r="F7724" s="8" t="n"/>
      <c r="G7724" s="8" t="n"/>
      <c r="H7724" s="8" t="n"/>
      <c r="I7724" s="8" t="n"/>
      <c r="J7724" s="8" t="n"/>
      <c r="K7724" s="8" t="n"/>
      <c r="L7724" s="8" t="n"/>
      <c r="M7724" s="9">
        <f>B7724+30</f>
        <v/>
      </c>
      <c r="N7724">
        <f>IF(L7724="", "", L7724-B7724)</f>
        <v/>
      </c>
      <c r="O7724">
        <f>IF(L7724="", "Pending", IF(N7724&lt;=30, "Met", "Breached"))</f>
        <v/>
      </c>
      <c r="P7724" s="8" t="n"/>
      <c r="Q7724" s="8" t="n"/>
      <c r="R7724" s="8" t="n"/>
      <c r="S7724" s="8" t="n"/>
      <c r="T7724" s="8" t="n"/>
      <c r="U7724" s="8" t="n"/>
      <c r="V7724" s="8" t="n"/>
      <c r="W7724" s="8" t="n"/>
      <c r="X7724" s="8" t="n"/>
      <c r="Y7724" s="8" t="n"/>
    </row>
    <row r="7725">
      <c r="A7725" s="8" t="n"/>
      <c r="B7725" s="8" t="n"/>
      <c r="C7725" s="8" t="n"/>
      <c r="D7725" s="8" t="n"/>
      <c r="E7725" s="8" t="n"/>
      <c r="F7725" s="8" t="n"/>
      <c r="G7725" s="8" t="n"/>
      <c r="H7725" s="8" t="n"/>
      <c r="I7725" s="8" t="n"/>
      <c r="J7725" s="8" t="n"/>
      <c r="K7725" s="8" t="n"/>
      <c r="L7725" s="8" t="n"/>
      <c r="M7725" s="9">
        <f>B7725+30</f>
        <v/>
      </c>
      <c r="N7725">
        <f>IF(L7725="", "", L7725-B7725)</f>
        <v/>
      </c>
      <c r="O7725">
        <f>IF(L7725="", "Pending", IF(N7725&lt;=30, "Met", "Breached"))</f>
        <v/>
      </c>
      <c r="P7725" s="8" t="n"/>
      <c r="Q7725" s="8" t="n"/>
      <c r="R7725" s="8" t="n"/>
      <c r="S7725" s="8" t="n"/>
      <c r="T7725" s="8" t="n"/>
      <c r="U7725" s="8" t="n"/>
      <c r="V7725" s="8" t="n"/>
      <c r="W7725" s="8" t="n"/>
      <c r="X7725" s="8" t="n"/>
      <c r="Y7725" s="8" t="n"/>
    </row>
    <row r="7726">
      <c r="A7726" s="8" t="n"/>
      <c r="B7726" s="8" t="n"/>
      <c r="C7726" s="8" t="n"/>
      <c r="D7726" s="8" t="n"/>
      <c r="E7726" s="8" t="n"/>
      <c r="F7726" s="8" t="n"/>
      <c r="G7726" s="8" t="n"/>
      <c r="H7726" s="8" t="n"/>
      <c r="I7726" s="8" t="n"/>
      <c r="J7726" s="8" t="n"/>
      <c r="K7726" s="8" t="n"/>
      <c r="L7726" s="8" t="n"/>
      <c r="M7726" s="9">
        <f>B7726+30</f>
        <v/>
      </c>
      <c r="N7726">
        <f>IF(L7726="", "", L7726-B7726)</f>
        <v/>
      </c>
      <c r="O7726">
        <f>IF(L7726="", "Pending", IF(N7726&lt;=30, "Met", "Breached"))</f>
        <v/>
      </c>
      <c r="P7726" s="8" t="n"/>
      <c r="Q7726" s="8" t="n"/>
      <c r="R7726" s="8" t="n"/>
      <c r="S7726" s="8" t="n"/>
      <c r="T7726" s="8" t="n"/>
      <c r="U7726" s="8" t="n"/>
      <c r="V7726" s="8" t="n"/>
      <c r="W7726" s="8" t="n"/>
      <c r="X7726" s="8" t="n"/>
      <c r="Y7726" s="8" t="n"/>
    </row>
    <row r="7727">
      <c r="A7727" s="8" t="n"/>
      <c r="B7727" s="8" t="n"/>
      <c r="C7727" s="8" t="n"/>
      <c r="D7727" s="8" t="n"/>
      <c r="E7727" s="8" t="n"/>
      <c r="F7727" s="8" t="n"/>
      <c r="G7727" s="8" t="n"/>
      <c r="H7727" s="8" t="n"/>
      <c r="I7727" s="8" t="n"/>
      <c r="J7727" s="8" t="n"/>
      <c r="K7727" s="8" t="n"/>
      <c r="L7727" s="8" t="n"/>
      <c r="M7727" s="9">
        <f>B7727+30</f>
        <v/>
      </c>
      <c r="N7727">
        <f>IF(L7727="", "", L7727-B7727)</f>
        <v/>
      </c>
      <c r="O7727">
        <f>IF(L7727="", "Pending", IF(N7727&lt;=30, "Met", "Breached"))</f>
        <v/>
      </c>
      <c r="P7727" s="8" t="n"/>
      <c r="Q7727" s="8" t="n"/>
      <c r="R7727" s="8" t="n"/>
      <c r="S7727" s="8" t="n"/>
      <c r="T7727" s="8" t="n"/>
      <c r="U7727" s="8" t="n"/>
      <c r="V7727" s="8" t="n"/>
      <c r="W7727" s="8" t="n"/>
      <c r="X7727" s="8" t="n"/>
      <c r="Y7727" s="8" t="n"/>
    </row>
    <row r="7728">
      <c r="A7728" s="8" t="n"/>
      <c r="B7728" s="8" t="n"/>
      <c r="C7728" s="8" t="n"/>
      <c r="D7728" s="8" t="n"/>
      <c r="E7728" s="8" t="n"/>
      <c r="F7728" s="8" t="n"/>
      <c r="G7728" s="8" t="n"/>
      <c r="H7728" s="8" t="n"/>
      <c r="I7728" s="8" t="n"/>
      <c r="J7728" s="8" t="n"/>
      <c r="K7728" s="8" t="n"/>
      <c r="L7728" s="8" t="n"/>
      <c r="M7728" s="9">
        <f>B7728+30</f>
        <v/>
      </c>
      <c r="N7728">
        <f>IF(L7728="", "", L7728-B7728)</f>
        <v/>
      </c>
      <c r="O7728">
        <f>IF(L7728="", "Pending", IF(N7728&lt;=30, "Met", "Breached"))</f>
        <v/>
      </c>
      <c r="P7728" s="8" t="n"/>
      <c r="Q7728" s="8" t="n"/>
      <c r="R7728" s="8" t="n"/>
      <c r="S7728" s="8" t="n"/>
      <c r="T7728" s="8" t="n"/>
      <c r="U7728" s="8" t="n"/>
      <c r="V7728" s="8" t="n"/>
      <c r="W7728" s="8" t="n"/>
      <c r="X7728" s="8" t="n"/>
      <c r="Y7728" s="8" t="n"/>
    </row>
    <row r="7729">
      <c r="A7729" s="8" t="n"/>
      <c r="B7729" s="8" t="n"/>
      <c r="C7729" s="8" t="n"/>
      <c r="D7729" s="8" t="n"/>
      <c r="E7729" s="8" t="n"/>
      <c r="F7729" s="8" t="n"/>
      <c r="G7729" s="8" t="n"/>
      <c r="H7729" s="8" t="n"/>
      <c r="I7729" s="8" t="n"/>
      <c r="J7729" s="8" t="n"/>
      <c r="K7729" s="8" t="n"/>
      <c r="L7729" s="8" t="n"/>
      <c r="M7729" s="9">
        <f>B7729+30</f>
        <v/>
      </c>
      <c r="N7729">
        <f>IF(L7729="", "", L7729-B7729)</f>
        <v/>
      </c>
      <c r="O7729">
        <f>IF(L7729="", "Pending", IF(N7729&lt;=30, "Met", "Breached"))</f>
        <v/>
      </c>
      <c r="P7729" s="8" t="n"/>
      <c r="Q7729" s="8" t="n"/>
      <c r="R7729" s="8" t="n"/>
      <c r="S7729" s="8" t="n"/>
      <c r="T7729" s="8" t="n"/>
      <c r="U7729" s="8" t="n"/>
      <c r="V7729" s="8" t="n"/>
      <c r="W7729" s="8" t="n"/>
      <c r="X7729" s="8" t="n"/>
      <c r="Y7729" s="8" t="n"/>
    </row>
    <row r="7730">
      <c r="A7730" s="8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8" t="n"/>
      <c r="K7730" s="8" t="n"/>
      <c r="L7730" s="8" t="n"/>
      <c r="M7730" s="9">
        <f>B7730+30</f>
        <v/>
      </c>
      <c r="N7730">
        <f>IF(L7730="", "", L7730-B7730)</f>
        <v/>
      </c>
      <c r="O7730">
        <f>IF(L7730="", "Pending", IF(N7730&lt;=30, "Met", "Breached"))</f>
        <v/>
      </c>
      <c r="P7730" s="8" t="n"/>
      <c r="Q7730" s="8" t="n"/>
      <c r="R7730" s="8" t="n"/>
      <c r="S7730" s="8" t="n"/>
      <c r="T7730" s="8" t="n"/>
      <c r="U7730" s="8" t="n"/>
      <c r="V7730" s="8" t="n"/>
      <c r="W7730" s="8" t="n"/>
      <c r="X7730" s="8" t="n"/>
      <c r="Y7730" s="8" t="n"/>
    </row>
    <row r="7731">
      <c r="A7731" s="8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8" t="n"/>
      <c r="K7731" s="8" t="n"/>
      <c r="L7731" s="8" t="n"/>
      <c r="M7731" s="9">
        <f>B7731+30</f>
        <v/>
      </c>
      <c r="N7731">
        <f>IF(L7731="", "", L7731-B7731)</f>
        <v/>
      </c>
      <c r="O7731">
        <f>IF(L7731="", "Pending", IF(N7731&lt;=30, "Met", "Breached"))</f>
        <v/>
      </c>
      <c r="P7731" s="8" t="n"/>
      <c r="Q7731" s="8" t="n"/>
      <c r="R7731" s="8" t="n"/>
      <c r="S7731" s="8" t="n"/>
      <c r="T7731" s="8" t="n"/>
      <c r="U7731" s="8" t="n"/>
      <c r="V7731" s="8" t="n"/>
      <c r="W7731" s="8" t="n"/>
      <c r="X7731" s="8" t="n"/>
      <c r="Y7731" s="8" t="n"/>
    </row>
    <row r="7732">
      <c r="A7732" s="8" t="n"/>
      <c r="B7732" s="8" t="n"/>
      <c r="C7732" s="8" t="n"/>
      <c r="D7732" s="8" t="n"/>
      <c r="E7732" s="8" t="n"/>
      <c r="F7732" s="8" t="n"/>
      <c r="G7732" s="8" t="n"/>
      <c r="H7732" s="8" t="n"/>
      <c r="I7732" s="8" t="n"/>
      <c r="J7732" s="8" t="n"/>
      <c r="K7732" s="8" t="n"/>
      <c r="L7732" s="8" t="n"/>
      <c r="M7732" s="9">
        <f>B7732+30</f>
        <v/>
      </c>
      <c r="N7732">
        <f>IF(L7732="", "", L7732-B7732)</f>
        <v/>
      </c>
      <c r="O7732">
        <f>IF(L7732="", "Pending", IF(N7732&lt;=30, "Met", "Breached"))</f>
        <v/>
      </c>
      <c r="P7732" s="8" t="n"/>
      <c r="Q7732" s="8" t="n"/>
      <c r="R7732" s="8" t="n"/>
      <c r="S7732" s="8" t="n"/>
      <c r="T7732" s="8" t="n"/>
      <c r="U7732" s="8" t="n"/>
      <c r="V7732" s="8" t="n"/>
      <c r="W7732" s="8" t="n"/>
      <c r="X7732" s="8" t="n"/>
      <c r="Y7732" s="8" t="n"/>
    </row>
    <row r="7733">
      <c r="A7733" s="8" t="n"/>
      <c r="B7733" s="8" t="n"/>
      <c r="C7733" s="8" t="n"/>
      <c r="D7733" s="8" t="n"/>
      <c r="E7733" s="8" t="n"/>
      <c r="F7733" s="8" t="n"/>
      <c r="G7733" s="8" t="n"/>
      <c r="H7733" s="8" t="n"/>
      <c r="I7733" s="8" t="n"/>
      <c r="J7733" s="8" t="n"/>
      <c r="K7733" s="8" t="n"/>
      <c r="L7733" s="8" t="n"/>
      <c r="M7733" s="9">
        <f>B7733+30</f>
        <v/>
      </c>
      <c r="N7733">
        <f>IF(L7733="", "", L7733-B7733)</f>
        <v/>
      </c>
      <c r="O7733">
        <f>IF(L7733="", "Pending", IF(N7733&lt;=30, "Met", "Breached"))</f>
        <v/>
      </c>
      <c r="P7733" s="8" t="n"/>
      <c r="Q7733" s="8" t="n"/>
      <c r="R7733" s="8" t="n"/>
      <c r="S7733" s="8" t="n"/>
      <c r="T7733" s="8" t="n"/>
      <c r="U7733" s="8" t="n"/>
      <c r="V7733" s="8" t="n"/>
      <c r="W7733" s="8" t="n"/>
      <c r="X7733" s="8" t="n"/>
      <c r="Y7733" s="8" t="n"/>
    </row>
    <row r="7734">
      <c r="A7734" s="8" t="n"/>
      <c r="B7734" s="8" t="n"/>
      <c r="C7734" s="8" t="n"/>
      <c r="D7734" s="8" t="n"/>
      <c r="E7734" s="8" t="n"/>
      <c r="F7734" s="8" t="n"/>
      <c r="G7734" s="8" t="n"/>
      <c r="H7734" s="8" t="n"/>
      <c r="I7734" s="8" t="n"/>
      <c r="J7734" s="8" t="n"/>
      <c r="K7734" s="8" t="n"/>
      <c r="L7734" s="8" t="n"/>
      <c r="M7734" s="9">
        <f>B7734+30</f>
        <v/>
      </c>
      <c r="N7734">
        <f>IF(L7734="", "", L7734-B7734)</f>
        <v/>
      </c>
      <c r="O7734">
        <f>IF(L7734="", "Pending", IF(N7734&lt;=30, "Met", "Breached"))</f>
        <v/>
      </c>
      <c r="P7734" s="8" t="n"/>
      <c r="Q7734" s="8" t="n"/>
      <c r="R7734" s="8" t="n"/>
      <c r="S7734" s="8" t="n"/>
      <c r="T7734" s="8" t="n"/>
      <c r="U7734" s="8" t="n"/>
      <c r="V7734" s="8" t="n"/>
      <c r="W7734" s="8" t="n"/>
      <c r="X7734" s="8" t="n"/>
      <c r="Y7734" s="8" t="n"/>
    </row>
    <row r="7735">
      <c r="A7735" s="8" t="n"/>
      <c r="B7735" s="8" t="n"/>
      <c r="C7735" s="8" t="n"/>
      <c r="D7735" s="8" t="n"/>
      <c r="E7735" s="8" t="n"/>
      <c r="F7735" s="8" t="n"/>
      <c r="G7735" s="8" t="n"/>
      <c r="H7735" s="8" t="n"/>
      <c r="I7735" s="8" t="n"/>
      <c r="J7735" s="8" t="n"/>
      <c r="K7735" s="8" t="n"/>
      <c r="L7735" s="8" t="n"/>
      <c r="M7735" s="9">
        <f>B7735+30</f>
        <v/>
      </c>
      <c r="N7735">
        <f>IF(L7735="", "", L7735-B7735)</f>
        <v/>
      </c>
      <c r="O7735">
        <f>IF(L7735="", "Pending", IF(N7735&lt;=30, "Met", "Breached"))</f>
        <v/>
      </c>
      <c r="P7735" s="8" t="n"/>
      <c r="Q7735" s="8" t="n"/>
      <c r="R7735" s="8" t="n"/>
      <c r="S7735" s="8" t="n"/>
      <c r="T7735" s="8" t="n"/>
      <c r="U7735" s="8" t="n"/>
      <c r="V7735" s="8" t="n"/>
      <c r="W7735" s="8" t="n"/>
      <c r="X7735" s="8" t="n"/>
      <c r="Y7735" s="8" t="n"/>
    </row>
    <row r="7736">
      <c r="A7736" s="8" t="n"/>
      <c r="B7736" s="8" t="n"/>
      <c r="C7736" s="8" t="n"/>
      <c r="D7736" s="8" t="n"/>
      <c r="E7736" s="8" t="n"/>
      <c r="F7736" s="8" t="n"/>
      <c r="G7736" s="8" t="n"/>
      <c r="H7736" s="8" t="n"/>
      <c r="I7736" s="8" t="n"/>
      <c r="J7736" s="8" t="n"/>
      <c r="K7736" s="8" t="n"/>
      <c r="L7736" s="8" t="n"/>
      <c r="M7736" s="9">
        <f>B7736+30</f>
        <v/>
      </c>
      <c r="N7736">
        <f>IF(L7736="", "", L7736-B7736)</f>
        <v/>
      </c>
      <c r="O7736">
        <f>IF(L7736="", "Pending", IF(N7736&lt;=30, "Met", "Breached"))</f>
        <v/>
      </c>
      <c r="P7736" s="8" t="n"/>
      <c r="Q7736" s="8" t="n"/>
      <c r="R7736" s="8" t="n"/>
      <c r="S7736" s="8" t="n"/>
      <c r="T7736" s="8" t="n"/>
      <c r="U7736" s="8" t="n"/>
      <c r="V7736" s="8" t="n"/>
      <c r="W7736" s="8" t="n"/>
      <c r="X7736" s="8" t="n"/>
      <c r="Y7736" s="8" t="n"/>
    </row>
    <row r="7737">
      <c r="A7737" s="8" t="n"/>
      <c r="B7737" s="8" t="n"/>
      <c r="C7737" s="8" t="n"/>
      <c r="D7737" s="8" t="n"/>
      <c r="E7737" s="8" t="n"/>
      <c r="F7737" s="8" t="n"/>
      <c r="G7737" s="8" t="n"/>
      <c r="H7737" s="8" t="n"/>
      <c r="I7737" s="8" t="n"/>
      <c r="J7737" s="8" t="n"/>
      <c r="K7737" s="8" t="n"/>
      <c r="L7737" s="8" t="n"/>
      <c r="M7737" s="9">
        <f>B7737+30</f>
        <v/>
      </c>
      <c r="N7737">
        <f>IF(L7737="", "", L7737-B7737)</f>
        <v/>
      </c>
      <c r="O7737">
        <f>IF(L7737="", "Pending", IF(N7737&lt;=30, "Met", "Breached"))</f>
        <v/>
      </c>
      <c r="P7737" s="8" t="n"/>
      <c r="Q7737" s="8" t="n"/>
      <c r="R7737" s="8" t="n"/>
      <c r="S7737" s="8" t="n"/>
      <c r="T7737" s="8" t="n"/>
      <c r="U7737" s="8" t="n"/>
      <c r="V7737" s="8" t="n"/>
      <c r="W7737" s="8" t="n"/>
      <c r="X7737" s="8" t="n"/>
      <c r="Y7737" s="8" t="n"/>
    </row>
    <row r="7738">
      <c r="A7738" s="8" t="n"/>
      <c r="B7738" s="8" t="n"/>
      <c r="C7738" s="8" t="n"/>
      <c r="D7738" s="8" t="n"/>
      <c r="E7738" s="8" t="n"/>
      <c r="F7738" s="8" t="n"/>
      <c r="G7738" s="8" t="n"/>
      <c r="H7738" s="8" t="n"/>
      <c r="I7738" s="8" t="n"/>
      <c r="J7738" s="8" t="n"/>
      <c r="K7738" s="8" t="n"/>
      <c r="L7738" s="8" t="n"/>
      <c r="M7738" s="9">
        <f>B7738+30</f>
        <v/>
      </c>
      <c r="N7738">
        <f>IF(L7738="", "", L7738-B7738)</f>
        <v/>
      </c>
      <c r="O7738">
        <f>IF(L7738="", "Pending", IF(N7738&lt;=30, "Met", "Breached"))</f>
        <v/>
      </c>
      <c r="P7738" s="8" t="n"/>
      <c r="Q7738" s="8" t="n"/>
      <c r="R7738" s="8" t="n"/>
      <c r="S7738" s="8" t="n"/>
      <c r="T7738" s="8" t="n"/>
      <c r="U7738" s="8" t="n"/>
      <c r="V7738" s="8" t="n"/>
      <c r="W7738" s="8" t="n"/>
      <c r="X7738" s="8" t="n"/>
      <c r="Y7738" s="8" t="n"/>
    </row>
    <row r="7739">
      <c r="A7739" s="8" t="n"/>
      <c r="B7739" s="8" t="n"/>
      <c r="C7739" s="8" t="n"/>
      <c r="D7739" s="8" t="n"/>
      <c r="E7739" s="8" t="n"/>
      <c r="F7739" s="8" t="n"/>
      <c r="G7739" s="8" t="n"/>
      <c r="H7739" s="8" t="n"/>
      <c r="I7739" s="8" t="n"/>
      <c r="J7739" s="8" t="n"/>
      <c r="K7739" s="8" t="n"/>
      <c r="L7739" s="8" t="n"/>
      <c r="M7739" s="9">
        <f>B7739+30</f>
        <v/>
      </c>
      <c r="N7739">
        <f>IF(L7739="", "", L7739-B7739)</f>
        <v/>
      </c>
      <c r="O7739">
        <f>IF(L7739="", "Pending", IF(N7739&lt;=30, "Met", "Breached"))</f>
        <v/>
      </c>
      <c r="P7739" s="8" t="n"/>
      <c r="Q7739" s="8" t="n"/>
      <c r="R7739" s="8" t="n"/>
      <c r="S7739" s="8" t="n"/>
      <c r="T7739" s="8" t="n"/>
      <c r="U7739" s="8" t="n"/>
      <c r="V7739" s="8" t="n"/>
      <c r="W7739" s="8" t="n"/>
      <c r="X7739" s="8" t="n"/>
      <c r="Y7739" s="8" t="n"/>
    </row>
    <row r="7740">
      <c r="A7740" s="8" t="n"/>
      <c r="B7740" s="8" t="n"/>
      <c r="C7740" s="8" t="n"/>
      <c r="D7740" s="8" t="n"/>
      <c r="E7740" s="8" t="n"/>
      <c r="F7740" s="8" t="n"/>
      <c r="G7740" s="8" t="n"/>
      <c r="H7740" s="8" t="n"/>
      <c r="I7740" s="8" t="n"/>
      <c r="J7740" s="8" t="n"/>
      <c r="K7740" s="8" t="n"/>
      <c r="L7740" s="8" t="n"/>
      <c r="M7740" s="9">
        <f>B7740+30</f>
        <v/>
      </c>
      <c r="N7740">
        <f>IF(L7740="", "", L7740-B7740)</f>
        <v/>
      </c>
      <c r="O7740">
        <f>IF(L7740="", "Pending", IF(N7740&lt;=30, "Met", "Breached"))</f>
        <v/>
      </c>
      <c r="P7740" s="8" t="n"/>
      <c r="Q7740" s="8" t="n"/>
      <c r="R7740" s="8" t="n"/>
      <c r="S7740" s="8" t="n"/>
      <c r="T7740" s="8" t="n"/>
      <c r="U7740" s="8" t="n"/>
      <c r="V7740" s="8" t="n"/>
      <c r="W7740" s="8" t="n"/>
      <c r="X7740" s="8" t="n"/>
      <c r="Y7740" s="8" t="n"/>
    </row>
    <row r="7741">
      <c r="A7741" s="8" t="n"/>
      <c r="B7741" s="8" t="n"/>
      <c r="C7741" s="8" t="n"/>
      <c r="D7741" s="8" t="n"/>
      <c r="E7741" s="8" t="n"/>
      <c r="F7741" s="8" t="n"/>
      <c r="G7741" s="8" t="n"/>
      <c r="H7741" s="8" t="n"/>
      <c r="I7741" s="8" t="n"/>
      <c r="J7741" s="8" t="n"/>
      <c r="K7741" s="8" t="n"/>
      <c r="L7741" s="8" t="n"/>
      <c r="M7741" s="9">
        <f>B7741+30</f>
        <v/>
      </c>
      <c r="N7741">
        <f>IF(L7741="", "", L7741-B7741)</f>
        <v/>
      </c>
      <c r="O7741">
        <f>IF(L7741="", "Pending", IF(N7741&lt;=30, "Met", "Breached"))</f>
        <v/>
      </c>
      <c r="P7741" s="8" t="n"/>
      <c r="Q7741" s="8" t="n"/>
      <c r="R7741" s="8" t="n"/>
      <c r="S7741" s="8" t="n"/>
      <c r="T7741" s="8" t="n"/>
      <c r="U7741" s="8" t="n"/>
      <c r="V7741" s="8" t="n"/>
      <c r="W7741" s="8" t="n"/>
      <c r="X7741" s="8" t="n"/>
      <c r="Y7741" s="8" t="n"/>
    </row>
    <row r="7742">
      <c r="A7742" s="8" t="n"/>
      <c r="B7742" s="8" t="n"/>
      <c r="C7742" s="8" t="n"/>
      <c r="D7742" s="8" t="n"/>
      <c r="E7742" s="8" t="n"/>
      <c r="F7742" s="8" t="n"/>
      <c r="G7742" s="8" t="n"/>
      <c r="H7742" s="8" t="n"/>
      <c r="I7742" s="8" t="n"/>
      <c r="J7742" s="8" t="n"/>
      <c r="K7742" s="8" t="n"/>
      <c r="L7742" s="8" t="n"/>
      <c r="M7742" s="9">
        <f>B7742+30</f>
        <v/>
      </c>
      <c r="N7742">
        <f>IF(L7742="", "", L7742-B7742)</f>
        <v/>
      </c>
      <c r="O7742">
        <f>IF(L7742="", "Pending", IF(N7742&lt;=30, "Met", "Breached"))</f>
        <v/>
      </c>
      <c r="P7742" s="8" t="n"/>
      <c r="Q7742" s="8" t="n"/>
      <c r="R7742" s="8" t="n"/>
      <c r="S7742" s="8" t="n"/>
      <c r="T7742" s="8" t="n"/>
      <c r="U7742" s="8" t="n"/>
      <c r="V7742" s="8" t="n"/>
      <c r="W7742" s="8" t="n"/>
      <c r="X7742" s="8" t="n"/>
      <c r="Y7742" s="8" t="n"/>
    </row>
    <row r="7743">
      <c r="A7743" s="8" t="n"/>
      <c r="B7743" s="8" t="n"/>
      <c r="C7743" s="8" t="n"/>
      <c r="D7743" s="8" t="n"/>
      <c r="E7743" s="8" t="n"/>
      <c r="F7743" s="8" t="n"/>
      <c r="G7743" s="8" t="n"/>
      <c r="H7743" s="8" t="n"/>
      <c r="I7743" s="8" t="n"/>
      <c r="J7743" s="8" t="n"/>
      <c r="K7743" s="8" t="n"/>
      <c r="L7743" s="8" t="n"/>
      <c r="M7743" s="9">
        <f>B7743+30</f>
        <v/>
      </c>
      <c r="N7743">
        <f>IF(L7743="", "", L7743-B7743)</f>
        <v/>
      </c>
      <c r="O7743">
        <f>IF(L7743="", "Pending", IF(N7743&lt;=30, "Met", "Breached"))</f>
        <v/>
      </c>
      <c r="P7743" s="8" t="n"/>
      <c r="Q7743" s="8" t="n"/>
      <c r="R7743" s="8" t="n"/>
      <c r="S7743" s="8" t="n"/>
      <c r="T7743" s="8" t="n"/>
      <c r="U7743" s="8" t="n"/>
      <c r="V7743" s="8" t="n"/>
      <c r="W7743" s="8" t="n"/>
      <c r="X7743" s="8" t="n"/>
      <c r="Y7743" s="8" t="n"/>
    </row>
    <row r="7744">
      <c r="A7744" s="8" t="n"/>
      <c r="B7744" s="8" t="n"/>
      <c r="C7744" s="8" t="n"/>
      <c r="D7744" s="8" t="n"/>
      <c r="E7744" s="8" t="n"/>
      <c r="F7744" s="8" t="n"/>
      <c r="G7744" s="8" t="n"/>
      <c r="H7744" s="8" t="n"/>
      <c r="I7744" s="8" t="n"/>
      <c r="J7744" s="8" t="n"/>
      <c r="K7744" s="8" t="n"/>
      <c r="L7744" s="8" t="n"/>
      <c r="M7744" s="9">
        <f>B7744+30</f>
        <v/>
      </c>
      <c r="N7744">
        <f>IF(L7744="", "", L7744-B7744)</f>
        <v/>
      </c>
      <c r="O7744">
        <f>IF(L7744="", "Pending", IF(N7744&lt;=30, "Met", "Breached"))</f>
        <v/>
      </c>
      <c r="P7744" s="8" t="n"/>
      <c r="Q7744" s="8" t="n"/>
      <c r="R7744" s="8" t="n"/>
      <c r="S7744" s="8" t="n"/>
      <c r="T7744" s="8" t="n"/>
      <c r="U7744" s="8" t="n"/>
      <c r="V7744" s="8" t="n"/>
      <c r="W7744" s="8" t="n"/>
      <c r="X7744" s="8" t="n"/>
      <c r="Y7744" s="8" t="n"/>
    </row>
    <row r="7745">
      <c r="A7745" s="8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8" t="n"/>
      <c r="K7745" s="8" t="n"/>
      <c r="L7745" s="8" t="n"/>
      <c r="M7745" s="9">
        <f>B7745+30</f>
        <v/>
      </c>
      <c r="N7745">
        <f>IF(L7745="", "", L7745-B7745)</f>
        <v/>
      </c>
      <c r="O7745">
        <f>IF(L7745="", "Pending", IF(N7745&lt;=30, "Met", "Breached"))</f>
        <v/>
      </c>
      <c r="P7745" s="8" t="n"/>
      <c r="Q7745" s="8" t="n"/>
      <c r="R7745" s="8" t="n"/>
      <c r="S7745" s="8" t="n"/>
      <c r="T7745" s="8" t="n"/>
      <c r="U7745" s="8" t="n"/>
      <c r="V7745" s="8" t="n"/>
      <c r="W7745" s="8" t="n"/>
      <c r="X7745" s="8" t="n"/>
      <c r="Y7745" s="8" t="n"/>
    </row>
    <row r="7746">
      <c r="A7746" s="8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8" t="n"/>
      <c r="K7746" s="8" t="n"/>
      <c r="L7746" s="8" t="n"/>
      <c r="M7746" s="9">
        <f>B7746+30</f>
        <v/>
      </c>
      <c r="N7746">
        <f>IF(L7746="", "", L7746-B7746)</f>
        <v/>
      </c>
      <c r="O7746">
        <f>IF(L7746="", "Pending", IF(N7746&lt;=30, "Met", "Breached"))</f>
        <v/>
      </c>
      <c r="P7746" s="8" t="n"/>
      <c r="Q7746" s="8" t="n"/>
      <c r="R7746" s="8" t="n"/>
      <c r="S7746" s="8" t="n"/>
      <c r="T7746" s="8" t="n"/>
      <c r="U7746" s="8" t="n"/>
      <c r="V7746" s="8" t="n"/>
      <c r="W7746" s="8" t="n"/>
      <c r="X7746" s="8" t="n"/>
      <c r="Y7746" s="8" t="n"/>
    </row>
    <row r="7747">
      <c r="A7747" s="8" t="n"/>
      <c r="B7747" s="8" t="n"/>
      <c r="C7747" s="8" t="n"/>
      <c r="D7747" s="8" t="n"/>
      <c r="E7747" s="8" t="n"/>
      <c r="F7747" s="8" t="n"/>
      <c r="G7747" s="8" t="n"/>
      <c r="H7747" s="8" t="n"/>
      <c r="I7747" s="8" t="n"/>
      <c r="J7747" s="8" t="n"/>
      <c r="K7747" s="8" t="n"/>
      <c r="L7747" s="8" t="n"/>
      <c r="M7747" s="9">
        <f>B7747+30</f>
        <v/>
      </c>
      <c r="N7747">
        <f>IF(L7747="", "", L7747-B7747)</f>
        <v/>
      </c>
      <c r="O7747">
        <f>IF(L7747="", "Pending", IF(N7747&lt;=30, "Met", "Breached"))</f>
        <v/>
      </c>
      <c r="P7747" s="8" t="n"/>
      <c r="Q7747" s="8" t="n"/>
      <c r="R7747" s="8" t="n"/>
      <c r="S7747" s="8" t="n"/>
      <c r="T7747" s="8" t="n"/>
      <c r="U7747" s="8" t="n"/>
      <c r="V7747" s="8" t="n"/>
      <c r="W7747" s="8" t="n"/>
      <c r="X7747" s="8" t="n"/>
      <c r="Y7747" s="8" t="n"/>
    </row>
    <row r="7748">
      <c r="A7748" s="8" t="n"/>
      <c r="B7748" s="8" t="n"/>
      <c r="C7748" s="8" t="n"/>
      <c r="D7748" s="8" t="n"/>
      <c r="E7748" s="8" t="n"/>
      <c r="F7748" s="8" t="n"/>
      <c r="G7748" s="8" t="n"/>
      <c r="H7748" s="8" t="n"/>
      <c r="I7748" s="8" t="n"/>
      <c r="J7748" s="8" t="n"/>
      <c r="K7748" s="8" t="n"/>
      <c r="L7748" s="8" t="n"/>
      <c r="M7748" s="9">
        <f>B7748+30</f>
        <v/>
      </c>
      <c r="N7748">
        <f>IF(L7748="", "", L7748-B7748)</f>
        <v/>
      </c>
      <c r="O7748">
        <f>IF(L7748="", "Pending", IF(N7748&lt;=30, "Met", "Breached"))</f>
        <v/>
      </c>
      <c r="P7748" s="8" t="n"/>
      <c r="Q7748" s="8" t="n"/>
      <c r="R7748" s="8" t="n"/>
      <c r="S7748" s="8" t="n"/>
      <c r="T7748" s="8" t="n"/>
      <c r="U7748" s="8" t="n"/>
      <c r="V7748" s="8" t="n"/>
      <c r="W7748" s="8" t="n"/>
      <c r="X7748" s="8" t="n"/>
      <c r="Y7748" s="8" t="n"/>
    </row>
    <row r="7749">
      <c r="A7749" s="8" t="n"/>
      <c r="B7749" s="8" t="n"/>
      <c r="C7749" s="8" t="n"/>
      <c r="D7749" s="8" t="n"/>
      <c r="E7749" s="8" t="n"/>
      <c r="F7749" s="8" t="n"/>
      <c r="G7749" s="8" t="n"/>
      <c r="H7749" s="8" t="n"/>
      <c r="I7749" s="8" t="n"/>
      <c r="J7749" s="8" t="n"/>
      <c r="K7749" s="8" t="n"/>
      <c r="L7749" s="8" t="n"/>
      <c r="M7749" s="9">
        <f>B7749+30</f>
        <v/>
      </c>
      <c r="N7749">
        <f>IF(L7749="", "", L7749-B7749)</f>
        <v/>
      </c>
      <c r="O7749">
        <f>IF(L7749="", "Pending", IF(N7749&lt;=30, "Met", "Breached"))</f>
        <v/>
      </c>
      <c r="P7749" s="8" t="n"/>
      <c r="Q7749" s="8" t="n"/>
      <c r="R7749" s="8" t="n"/>
      <c r="S7749" s="8" t="n"/>
      <c r="T7749" s="8" t="n"/>
      <c r="U7749" s="8" t="n"/>
      <c r="V7749" s="8" t="n"/>
      <c r="W7749" s="8" t="n"/>
      <c r="X7749" s="8" t="n"/>
      <c r="Y7749" s="8" t="n"/>
    </row>
    <row r="7750">
      <c r="A7750" s="8" t="n"/>
      <c r="B7750" s="8" t="n"/>
      <c r="C7750" s="8" t="n"/>
      <c r="D7750" s="8" t="n"/>
      <c r="E7750" s="8" t="n"/>
      <c r="F7750" s="8" t="n"/>
      <c r="G7750" s="8" t="n"/>
      <c r="H7750" s="8" t="n"/>
      <c r="I7750" s="8" t="n"/>
      <c r="J7750" s="8" t="n"/>
      <c r="K7750" s="8" t="n"/>
      <c r="L7750" s="8" t="n"/>
      <c r="M7750" s="9">
        <f>B7750+30</f>
        <v/>
      </c>
      <c r="N7750">
        <f>IF(L7750="", "", L7750-B7750)</f>
        <v/>
      </c>
      <c r="O7750">
        <f>IF(L7750="", "Pending", IF(N7750&lt;=30, "Met", "Breached"))</f>
        <v/>
      </c>
      <c r="P7750" s="8" t="n"/>
      <c r="Q7750" s="8" t="n"/>
      <c r="R7750" s="8" t="n"/>
      <c r="S7750" s="8" t="n"/>
      <c r="T7750" s="8" t="n"/>
      <c r="U7750" s="8" t="n"/>
      <c r="V7750" s="8" t="n"/>
      <c r="W7750" s="8" t="n"/>
      <c r="X7750" s="8" t="n"/>
      <c r="Y7750" s="8" t="n"/>
    </row>
    <row r="7751">
      <c r="A7751" s="8" t="n"/>
      <c r="B7751" s="8" t="n"/>
      <c r="C7751" s="8" t="n"/>
      <c r="D7751" s="8" t="n"/>
      <c r="E7751" s="8" t="n"/>
      <c r="F7751" s="8" t="n"/>
      <c r="G7751" s="8" t="n"/>
      <c r="H7751" s="8" t="n"/>
      <c r="I7751" s="8" t="n"/>
      <c r="J7751" s="8" t="n"/>
      <c r="K7751" s="8" t="n"/>
      <c r="L7751" s="8" t="n"/>
      <c r="M7751" s="9">
        <f>B7751+30</f>
        <v/>
      </c>
      <c r="N7751">
        <f>IF(L7751="", "", L7751-B7751)</f>
        <v/>
      </c>
      <c r="O7751">
        <f>IF(L7751="", "Pending", IF(N7751&lt;=30, "Met", "Breached"))</f>
        <v/>
      </c>
      <c r="P7751" s="8" t="n"/>
      <c r="Q7751" s="8" t="n"/>
      <c r="R7751" s="8" t="n"/>
      <c r="S7751" s="8" t="n"/>
      <c r="T7751" s="8" t="n"/>
      <c r="U7751" s="8" t="n"/>
      <c r="V7751" s="8" t="n"/>
      <c r="W7751" s="8" t="n"/>
      <c r="X7751" s="8" t="n"/>
      <c r="Y7751" s="8" t="n"/>
    </row>
    <row r="7752">
      <c r="A7752" s="8" t="n"/>
      <c r="B7752" s="8" t="n"/>
      <c r="C7752" s="8" t="n"/>
      <c r="D7752" s="8" t="n"/>
      <c r="E7752" s="8" t="n"/>
      <c r="F7752" s="8" t="n"/>
      <c r="G7752" s="8" t="n"/>
      <c r="H7752" s="8" t="n"/>
      <c r="I7752" s="8" t="n"/>
      <c r="J7752" s="8" t="n"/>
      <c r="K7752" s="8" t="n"/>
      <c r="L7752" s="8" t="n"/>
      <c r="M7752" s="9">
        <f>B7752+30</f>
        <v/>
      </c>
      <c r="N7752">
        <f>IF(L7752="", "", L7752-B7752)</f>
        <v/>
      </c>
      <c r="O7752">
        <f>IF(L7752="", "Pending", IF(N7752&lt;=30, "Met", "Breached"))</f>
        <v/>
      </c>
      <c r="P7752" s="8" t="n"/>
      <c r="Q7752" s="8" t="n"/>
      <c r="R7752" s="8" t="n"/>
      <c r="S7752" s="8" t="n"/>
      <c r="T7752" s="8" t="n"/>
      <c r="U7752" s="8" t="n"/>
      <c r="V7752" s="8" t="n"/>
      <c r="W7752" s="8" t="n"/>
      <c r="X7752" s="8" t="n"/>
      <c r="Y7752" s="8" t="n"/>
    </row>
    <row r="7753">
      <c r="A7753" s="8" t="n"/>
      <c r="B7753" s="8" t="n"/>
      <c r="C7753" s="8" t="n"/>
      <c r="D7753" s="8" t="n"/>
      <c r="E7753" s="8" t="n"/>
      <c r="F7753" s="8" t="n"/>
      <c r="G7753" s="8" t="n"/>
      <c r="H7753" s="8" t="n"/>
      <c r="I7753" s="8" t="n"/>
      <c r="J7753" s="8" t="n"/>
      <c r="K7753" s="8" t="n"/>
      <c r="L7753" s="8" t="n"/>
      <c r="M7753" s="9">
        <f>B7753+30</f>
        <v/>
      </c>
      <c r="N7753">
        <f>IF(L7753="", "", L7753-B7753)</f>
        <v/>
      </c>
      <c r="O7753">
        <f>IF(L7753="", "Pending", IF(N7753&lt;=30, "Met", "Breached"))</f>
        <v/>
      </c>
      <c r="P7753" s="8" t="n"/>
      <c r="Q7753" s="8" t="n"/>
      <c r="R7753" s="8" t="n"/>
      <c r="S7753" s="8" t="n"/>
      <c r="T7753" s="8" t="n"/>
      <c r="U7753" s="8" t="n"/>
      <c r="V7753" s="8" t="n"/>
      <c r="W7753" s="8" t="n"/>
      <c r="X7753" s="8" t="n"/>
      <c r="Y7753" s="8" t="n"/>
    </row>
    <row r="7754">
      <c r="A7754" s="8" t="n"/>
      <c r="B7754" s="8" t="n"/>
      <c r="C7754" s="8" t="n"/>
      <c r="D7754" s="8" t="n"/>
      <c r="E7754" s="8" t="n"/>
      <c r="F7754" s="8" t="n"/>
      <c r="G7754" s="8" t="n"/>
      <c r="H7754" s="8" t="n"/>
      <c r="I7754" s="8" t="n"/>
      <c r="J7754" s="8" t="n"/>
      <c r="K7754" s="8" t="n"/>
      <c r="L7754" s="8" t="n"/>
      <c r="M7754" s="9">
        <f>B7754+30</f>
        <v/>
      </c>
      <c r="N7754">
        <f>IF(L7754="", "", L7754-B7754)</f>
        <v/>
      </c>
      <c r="O7754">
        <f>IF(L7754="", "Pending", IF(N7754&lt;=30, "Met", "Breached"))</f>
        <v/>
      </c>
      <c r="P7754" s="8" t="n"/>
      <c r="Q7754" s="8" t="n"/>
      <c r="R7754" s="8" t="n"/>
      <c r="S7754" s="8" t="n"/>
      <c r="T7754" s="8" t="n"/>
      <c r="U7754" s="8" t="n"/>
      <c r="V7754" s="8" t="n"/>
      <c r="W7754" s="8" t="n"/>
      <c r="X7754" s="8" t="n"/>
      <c r="Y7754" s="8" t="n"/>
    </row>
    <row r="7755">
      <c r="A7755" s="8" t="n"/>
      <c r="B7755" s="8" t="n"/>
      <c r="C7755" s="8" t="n"/>
      <c r="D7755" s="8" t="n"/>
      <c r="E7755" s="8" t="n"/>
      <c r="F7755" s="8" t="n"/>
      <c r="G7755" s="8" t="n"/>
      <c r="H7755" s="8" t="n"/>
      <c r="I7755" s="8" t="n"/>
      <c r="J7755" s="8" t="n"/>
      <c r="K7755" s="8" t="n"/>
      <c r="L7755" s="8" t="n"/>
      <c r="M7755" s="9">
        <f>B7755+30</f>
        <v/>
      </c>
      <c r="N7755">
        <f>IF(L7755="", "", L7755-B7755)</f>
        <v/>
      </c>
      <c r="O7755">
        <f>IF(L7755="", "Pending", IF(N7755&lt;=30, "Met", "Breached"))</f>
        <v/>
      </c>
      <c r="P7755" s="8" t="n"/>
      <c r="Q7755" s="8" t="n"/>
      <c r="R7755" s="8" t="n"/>
      <c r="S7755" s="8" t="n"/>
      <c r="T7755" s="8" t="n"/>
      <c r="U7755" s="8" t="n"/>
      <c r="V7755" s="8" t="n"/>
      <c r="W7755" s="8" t="n"/>
      <c r="X7755" s="8" t="n"/>
      <c r="Y7755" s="8" t="n"/>
    </row>
    <row r="7756">
      <c r="A7756" s="8" t="n"/>
      <c r="B7756" s="8" t="n"/>
      <c r="C7756" s="8" t="n"/>
      <c r="D7756" s="8" t="n"/>
      <c r="E7756" s="8" t="n"/>
      <c r="F7756" s="8" t="n"/>
      <c r="G7756" s="8" t="n"/>
      <c r="H7756" s="8" t="n"/>
      <c r="I7756" s="8" t="n"/>
      <c r="J7756" s="8" t="n"/>
      <c r="K7756" s="8" t="n"/>
      <c r="L7756" s="8" t="n"/>
      <c r="M7756" s="9">
        <f>B7756+30</f>
        <v/>
      </c>
      <c r="N7756">
        <f>IF(L7756="", "", L7756-B7756)</f>
        <v/>
      </c>
      <c r="O7756">
        <f>IF(L7756="", "Pending", IF(N7756&lt;=30, "Met", "Breached"))</f>
        <v/>
      </c>
      <c r="P7756" s="8" t="n"/>
      <c r="Q7756" s="8" t="n"/>
      <c r="R7756" s="8" t="n"/>
      <c r="S7756" s="8" t="n"/>
      <c r="T7756" s="8" t="n"/>
      <c r="U7756" s="8" t="n"/>
      <c r="V7756" s="8" t="n"/>
      <c r="W7756" s="8" t="n"/>
      <c r="X7756" s="8" t="n"/>
      <c r="Y7756" s="8" t="n"/>
    </row>
    <row r="7757">
      <c r="A7757" s="8" t="n"/>
      <c r="B7757" s="8" t="n"/>
      <c r="C7757" s="8" t="n"/>
      <c r="D7757" s="8" t="n"/>
      <c r="E7757" s="8" t="n"/>
      <c r="F7757" s="8" t="n"/>
      <c r="G7757" s="8" t="n"/>
      <c r="H7757" s="8" t="n"/>
      <c r="I7757" s="8" t="n"/>
      <c r="J7757" s="8" t="n"/>
      <c r="K7757" s="8" t="n"/>
      <c r="L7757" s="8" t="n"/>
      <c r="M7757" s="9">
        <f>B7757+30</f>
        <v/>
      </c>
      <c r="N7757">
        <f>IF(L7757="", "", L7757-B7757)</f>
        <v/>
      </c>
      <c r="O7757">
        <f>IF(L7757="", "Pending", IF(N7757&lt;=30, "Met", "Breached"))</f>
        <v/>
      </c>
      <c r="P7757" s="8" t="n"/>
      <c r="Q7757" s="8" t="n"/>
      <c r="R7757" s="8" t="n"/>
      <c r="S7757" s="8" t="n"/>
      <c r="T7757" s="8" t="n"/>
      <c r="U7757" s="8" t="n"/>
      <c r="V7757" s="8" t="n"/>
      <c r="W7757" s="8" t="n"/>
      <c r="X7757" s="8" t="n"/>
      <c r="Y7757" s="8" t="n"/>
    </row>
    <row r="7758">
      <c r="A7758" s="8" t="n"/>
      <c r="B7758" s="8" t="n"/>
      <c r="C7758" s="8" t="n"/>
      <c r="D7758" s="8" t="n"/>
      <c r="E7758" s="8" t="n"/>
      <c r="F7758" s="8" t="n"/>
      <c r="G7758" s="8" t="n"/>
      <c r="H7758" s="8" t="n"/>
      <c r="I7758" s="8" t="n"/>
      <c r="J7758" s="8" t="n"/>
      <c r="K7758" s="8" t="n"/>
      <c r="L7758" s="8" t="n"/>
      <c r="M7758" s="9">
        <f>B7758+30</f>
        <v/>
      </c>
      <c r="N7758">
        <f>IF(L7758="", "", L7758-B7758)</f>
        <v/>
      </c>
      <c r="O7758">
        <f>IF(L7758="", "Pending", IF(N7758&lt;=30, "Met", "Breached"))</f>
        <v/>
      </c>
      <c r="P7758" s="8" t="n"/>
      <c r="Q7758" s="8" t="n"/>
      <c r="R7758" s="8" t="n"/>
      <c r="S7758" s="8" t="n"/>
      <c r="T7758" s="8" t="n"/>
      <c r="U7758" s="8" t="n"/>
      <c r="V7758" s="8" t="n"/>
      <c r="W7758" s="8" t="n"/>
      <c r="X7758" s="8" t="n"/>
      <c r="Y7758" s="8" t="n"/>
    </row>
    <row r="7759">
      <c r="A7759" s="8" t="n"/>
      <c r="B7759" s="8" t="n"/>
      <c r="C7759" s="8" t="n"/>
      <c r="D7759" s="8" t="n"/>
      <c r="E7759" s="8" t="n"/>
      <c r="F7759" s="8" t="n"/>
      <c r="G7759" s="8" t="n"/>
      <c r="H7759" s="8" t="n"/>
      <c r="I7759" s="8" t="n"/>
      <c r="J7759" s="8" t="n"/>
      <c r="K7759" s="8" t="n"/>
      <c r="L7759" s="8" t="n"/>
      <c r="M7759" s="9">
        <f>B7759+30</f>
        <v/>
      </c>
      <c r="N7759">
        <f>IF(L7759="", "", L7759-B7759)</f>
        <v/>
      </c>
      <c r="O7759">
        <f>IF(L7759="", "Pending", IF(N7759&lt;=30, "Met", "Breached"))</f>
        <v/>
      </c>
      <c r="P7759" s="8" t="n"/>
      <c r="Q7759" s="8" t="n"/>
      <c r="R7759" s="8" t="n"/>
      <c r="S7759" s="8" t="n"/>
      <c r="T7759" s="8" t="n"/>
      <c r="U7759" s="8" t="n"/>
      <c r="V7759" s="8" t="n"/>
      <c r="W7759" s="8" t="n"/>
      <c r="X7759" s="8" t="n"/>
      <c r="Y7759" s="8" t="n"/>
    </row>
    <row r="7760">
      <c r="A7760" s="8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8" t="n"/>
      <c r="K7760" s="8" t="n"/>
      <c r="L7760" s="8" t="n"/>
      <c r="M7760" s="9">
        <f>B7760+30</f>
        <v/>
      </c>
      <c r="N7760">
        <f>IF(L7760="", "", L7760-B7760)</f>
        <v/>
      </c>
      <c r="O7760">
        <f>IF(L7760="", "Pending", IF(N7760&lt;=30, "Met", "Breached"))</f>
        <v/>
      </c>
      <c r="P7760" s="8" t="n"/>
      <c r="Q7760" s="8" t="n"/>
      <c r="R7760" s="8" t="n"/>
      <c r="S7760" s="8" t="n"/>
      <c r="T7760" s="8" t="n"/>
      <c r="U7760" s="8" t="n"/>
      <c r="V7760" s="8" t="n"/>
      <c r="W7760" s="8" t="n"/>
      <c r="X7760" s="8" t="n"/>
      <c r="Y7760" s="8" t="n"/>
    </row>
    <row r="7761">
      <c r="A7761" s="8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8" t="n"/>
      <c r="K7761" s="8" t="n"/>
      <c r="L7761" s="8" t="n"/>
      <c r="M7761" s="9">
        <f>B7761+30</f>
        <v/>
      </c>
      <c r="N7761">
        <f>IF(L7761="", "", L7761-B7761)</f>
        <v/>
      </c>
      <c r="O7761">
        <f>IF(L7761="", "Pending", IF(N7761&lt;=30, "Met", "Breached"))</f>
        <v/>
      </c>
      <c r="P7761" s="8" t="n"/>
      <c r="Q7761" s="8" t="n"/>
      <c r="R7761" s="8" t="n"/>
      <c r="S7761" s="8" t="n"/>
      <c r="T7761" s="8" t="n"/>
      <c r="U7761" s="8" t="n"/>
      <c r="V7761" s="8" t="n"/>
      <c r="W7761" s="8" t="n"/>
      <c r="X7761" s="8" t="n"/>
      <c r="Y7761" s="8" t="n"/>
    </row>
    <row r="7762">
      <c r="A7762" s="8" t="n"/>
      <c r="B7762" s="8" t="n"/>
      <c r="C7762" s="8" t="n"/>
      <c r="D7762" s="8" t="n"/>
      <c r="E7762" s="8" t="n"/>
      <c r="F7762" s="8" t="n"/>
      <c r="G7762" s="8" t="n"/>
      <c r="H7762" s="8" t="n"/>
      <c r="I7762" s="8" t="n"/>
      <c r="J7762" s="8" t="n"/>
      <c r="K7762" s="8" t="n"/>
      <c r="L7762" s="8" t="n"/>
      <c r="M7762" s="9">
        <f>B7762+30</f>
        <v/>
      </c>
      <c r="N7762">
        <f>IF(L7762="", "", L7762-B7762)</f>
        <v/>
      </c>
      <c r="O7762">
        <f>IF(L7762="", "Pending", IF(N7762&lt;=30, "Met", "Breached"))</f>
        <v/>
      </c>
      <c r="P7762" s="8" t="n"/>
      <c r="Q7762" s="8" t="n"/>
      <c r="R7762" s="8" t="n"/>
      <c r="S7762" s="8" t="n"/>
      <c r="T7762" s="8" t="n"/>
      <c r="U7762" s="8" t="n"/>
      <c r="V7762" s="8" t="n"/>
      <c r="W7762" s="8" t="n"/>
      <c r="X7762" s="8" t="n"/>
      <c r="Y7762" s="8" t="n"/>
    </row>
    <row r="7763">
      <c r="A7763" s="8" t="n"/>
      <c r="B7763" s="8" t="n"/>
      <c r="C7763" s="8" t="n"/>
      <c r="D7763" s="8" t="n"/>
      <c r="E7763" s="8" t="n"/>
      <c r="F7763" s="8" t="n"/>
      <c r="G7763" s="8" t="n"/>
      <c r="H7763" s="8" t="n"/>
      <c r="I7763" s="8" t="n"/>
      <c r="J7763" s="8" t="n"/>
      <c r="K7763" s="8" t="n"/>
      <c r="L7763" s="8" t="n"/>
      <c r="M7763" s="9">
        <f>B7763+30</f>
        <v/>
      </c>
      <c r="N7763">
        <f>IF(L7763="", "", L7763-B7763)</f>
        <v/>
      </c>
      <c r="O7763">
        <f>IF(L7763="", "Pending", IF(N7763&lt;=30, "Met", "Breached"))</f>
        <v/>
      </c>
      <c r="P7763" s="8" t="n"/>
      <c r="Q7763" s="8" t="n"/>
      <c r="R7763" s="8" t="n"/>
      <c r="S7763" s="8" t="n"/>
      <c r="T7763" s="8" t="n"/>
      <c r="U7763" s="8" t="n"/>
      <c r="V7763" s="8" t="n"/>
      <c r="W7763" s="8" t="n"/>
      <c r="X7763" s="8" t="n"/>
      <c r="Y7763" s="8" t="n"/>
    </row>
    <row r="7764">
      <c r="A7764" s="8" t="n"/>
      <c r="B7764" s="8" t="n"/>
      <c r="C7764" s="8" t="n"/>
      <c r="D7764" s="8" t="n"/>
      <c r="E7764" s="8" t="n"/>
      <c r="F7764" s="8" t="n"/>
      <c r="G7764" s="8" t="n"/>
      <c r="H7764" s="8" t="n"/>
      <c r="I7764" s="8" t="n"/>
      <c r="J7764" s="8" t="n"/>
      <c r="K7764" s="8" t="n"/>
      <c r="L7764" s="8" t="n"/>
      <c r="M7764" s="9">
        <f>B7764+30</f>
        <v/>
      </c>
      <c r="N7764">
        <f>IF(L7764="", "", L7764-B7764)</f>
        <v/>
      </c>
      <c r="O7764">
        <f>IF(L7764="", "Pending", IF(N7764&lt;=30, "Met", "Breached"))</f>
        <v/>
      </c>
      <c r="P7764" s="8" t="n"/>
      <c r="Q7764" s="8" t="n"/>
      <c r="R7764" s="8" t="n"/>
      <c r="S7764" s="8" t="n"/>
      <c r="T7764" s="8" t="n"/>
      <c r="U7764" s="8" t="n"/>
      <c r="V7764" s="8" t="n"/>
      <c r="W7764" s="8" t="n"/>
      <c r="X7764" s="8" t="n"/>
      <c r="Y7764" s="8" t="n"/>
    </row>
    <row r="7765">
      <c r="A7765" s="8" t="n"/>
      <c r="B7765" s="8" t="n"/>
      <c r="C7765" s="8" t="n"/>
      <c r="D7765" s="8" t="n"/>
      <c r="E7765" s="8" t="n"/>
      <c r="F7765" s="8" t="n"/>
      <c r="G7765" s="8" t="n"/>
      <c r="H7765" s="8" t="n"/>
      <c r="I7765" s="8" t="n"/>
      <c r="J7765" s="8" t="n"/>
      <c r="K7765" s="8" t="n"/>
      <c r="L7765" s="8" t="n"/>
      <c r="M7765" s="9">
        <f>B7765+30</f>
        <v/>
      </c>
      <c r="N7765">
        <f>IF(L7765="", "", L7765-B7765)</f>
        <v/>
      </c>
      <c r="O7765">
        <f>IF(L7765="", "Pending", IF(N7765&lt;=30, "Met", "Breached"))</f>
        <v/>
      </c>
      <c r="P7765" s="8" t="n"/>
      <c r="Q7765" s="8" t="n"/>
      <c r="R7765" s="8" t="n"/>
      <c r="S7765" s="8" t="n"/>
      <c r="T7765" s="8" t="n"/>
      <c r="U7765" s="8" t="n"/>
      <c r="V7765" s="8" t="n"/>
      <c r="W7765" s="8" t="n"/>
      <c r="X7765" s="8" t="n"/>
      <c r="Y7765" s="8" t="n"/>
    </row>
    <row r="7766">
      <c r="A7766" s="8" t="n"/>
      <c r="B7766" s="8" t="n"/>
      <c r="C7766" s="8" t="n"/>
      <c r="D7766" s="8" t="n"/>
      <c r="E7766" s="8" t="n"/>
      <c r="F7766" s="8" t="n"/>
      <c r="G7766" s="8" t="n"/>
      <c r="H7766" s="8" t="n"/>
      <c r="I7766" s="8" t="n"/>
      <c r="J7766" s="8" t="n"/>
      <c r="K7766" s="8" t="n"/>
      <c r="L7766" s="8" t="n"/>
      <c r="M7766" s="9">
        <f>B7766+30</f>
        <v/>
      </c>
      <c r="N7766">
        <f>IF(L7766="", "", L7766-B7766)</f>
        <v/>
      </c>
      <c r="O7766">
        <f>IF(L7766="", "Pending", IF(N7766&lt;=30, "Met", "Breached"))</f>
        <v/>
      </c>
      <c r="P7766" s="8" t="n"/>
      <c r="Q7766" s="8" t="n"/>
      <c r="R7766" s="8" t="n"/>
      <c r="S7766" s="8" t="n"/>
      <c r="T7766" s="8" t="n"/>
      <c r="U7766" s="8" t="n"/>
      <c r="V7766" s="8" t="n"/>
      <c r="W7766" s="8" t="n"/>
      <c r="X7766" s="8" t="n"/>
      <c r="Y7766" s="8" t="n"/>
    </row>
    <row r="7767">
      <c r="A7767" s="8" t="n"/>
      <c r="B7767" s="8" t="n"/>
      <c r="C7767" s="8" t="n"/>
      <c r="D7767" s="8" t="n"/>
      <c r="E7767" s="8" t="n"/>
      <c r="F7767" s="8" t="n"/>
      <c r="G7767" s="8" t="n"/>
      <c r="H7767" s="8" t="n"/>
      <c r="I7767" s="8" t="n"/>
      <c r="J7767" s="8" t="n"/>
      <c r="K7767" s="8" t="n"/>
      <c r="L7767" s="8" t="n"/>
      <c r="M7767" s="9">
        <f>B7767+30</f>
        <v/>
      </c>
      <c r="N7767">
        <f>IF(L7767="", "", L7767-B7767)</f>
        <v/>
      </c>
      <c r="O7767">
        <f>IF(L7767="", "Pending", IF(N7767&lt;=30, "Met", "Breached"))</f>
        <v/>
      </c>
      <c r="P7767" s="8" t="n"/>
      <c r="Q7767" s="8" t="n"/>
      <c r="R7767" s="8" t="n"/>
      <c r="S7767" s="8" t="n"/>
      <c r="T7767" s="8" t="n"/>
      <c r="U7767" s="8" t="n"/>
      <c r="V7767" s="8" t="n"/>
      <c r="W7767" s="8" t="n"/>
      <c r="X7767" s="8" t="n"/>
      <c r="Y7767" s="8" t="n"/>
    </row>
    <row r="7768">
      <c r="A7768" s="8" t="n"/>
      <c r="B7768" s="8" t="n"/>
      <c r="C7768" s="8" t="n"/>
      <c r="D7768" s="8" t="n"/>
      <c r="E7768" s="8" t="n"/>
      <c r="F7768" s="8" t="n"/>
      <c r="G7768" s="8" t="n"/>
      <c r="H7768" s="8" t="n"/>
      <c r="I7768" s="8" t="n"/>
      <c r="J7768" s="8" t="n"/>
      <c r="K7768" s="8" t="n"/>
      <c r="L7768" s="8" t="n"/>
      <c r="M7768" s="9">
        <f>B7768+30</f>
        <v/>
      </c>
      <c r="N7768">
        <f>IF(L7768="", "", L7768-B7768)</f>
        <v/>
      </c>
      <c r="O7768">
        <f>IF(L7768="", "Pending", IF(N7768&lt;=30, "Met", "Breached"))</f>
        <v/>
      </c>
      <c r="P7768" s="8" t="n"/>
      <c r="Q7768" s="8" t="n"/>
      <c r="R7768" s="8" t="n"/>
      <c r="S7768" s="8" t="n"/>
      <c r="T7768" s="8" t="n"/>
      <c r="U7768" s="8" t="n"/>
      <c r="V7768" s="8" t="n"/>
      <c r="W7768" s="8" t="n"/>
      <c r="X7768" s="8" t="n"/>
      <c r="Y7768" s="8" t="n"/>
    </row>
    <row r="7769">
      <c r="A7769" s="8" t="n"/>
      <c r="B7769" s="8" t="n"/>
      <c r="C7769" s="8" t="n"/>
      <c r="D7769" s="8" t="n"/>
      <c r="E7769" s="8" t="n"/>
      <c r="F7769" s="8" t="n"/>
      <c r="G7769" s="8" t="n"/>
      <c r="H7769" s="8" t="n"/>
      <c r="I7769" s="8" t="n"/>
      <c r="J7769" s="8" t="n"/>
      <c r="K7769" s="8" t="n"/>
      <c r="L7769" s="8" t="n"/>
      <c r="M7769" s="9">
        <f>B7769+30</f>
        <v/>
      </c>
      <c r="N7769">
        <f>IF(L7769="", "", L7769-B7769)</f>
        <v/>
      </c>
      <c r="O7769">
        <f>IF(L7769="", "Pending", IF(N7769&lt;=30, "Met", "Breached"))</f>
        <v/>
      </c>
      <c r="P7769" s="8" t="n"/>
      <c r="Q7769" s="8" t="n"/>
      <c r="R7769" s="8" t="n"/>
      <c r="S7769" s="8" t="n"/>
      <c r="T7769" s="8" t="n"/>
      <c r="U7769" s="8" t="n"/>
      <c r="V7769" s="8" t="n"/>
      <c r="W7769" s="8" t="n"/>
      <c r="X7769" s="8" t="n"/>
      <c r="Y7769" s="8" t="n"/>
    </row>
    <row r="7770">
      <c r="A7770" s="8" t="n"/>
      <c r="B7770" s="8" t="n"/>
      <c r="C7770" s="8" t="n"/>
      <c r="D7770" s="8" t="n"/>
      <c r="E7770" s="8" t="n"/>
      <c r="F7770" s="8" t="n"/>
      <c r="G7770" s="8" t="n"/>
      <c r="H7770" s="8" t="n"/>
      <c r="I7770" s="8" t="n"/>
      <c r="J7770" s="8" t="n"/>
      <c r="K7770" s="8" t="n"/>
      <c r="L7770" s="8" t="n"/>
      <c r="M7770" s="9">
        <f>B7770+30</f>
        <v/>
      </c>
      <c r="N7770">
        <f>IF(L7770="", "", L7770-B7770)</f>
        <v/>
      </c>
      <c r="O7770">
        <f>IF(L7770="", "Pending", IF(N7770&lt;=30, "Met", "Breached"))</f>
        <v/>
      </c>
      <c r="P7770" s="8" t="n"/>
      <c r="Q7770" s="8" t="n"/>
      <c r="R7770" s="8" t="n"/>
      <c r="S7770" s="8" t="n"/>
      <c r="T7770" s="8" t="n"/>
      <c r="U7770" s="8" t="n"/>
      <c r="V7770" s="8" t="n"/>
      <c r="W7770" s="8" t="n"/>
      <c r="X7770" s="8" t="n"/>
      <c r="Y7770" s="8" t="n"/>
    </row>
    <row r="7771">
      <c r="A7771" s="8" t="n"/>
      <c r="B7771" s="8" t="n"/>
      <c r="C7771" s="8" t="n"/>
      <c r="D7771" s="8" t="n"/>
      <c r="E7771" s="8" t="n"/>
      <c r="F7771" s="8" t="n"/>
      <c r="G7771" s="8" t="n"/>
      <c r="H7771" s="8" t="n"/>
      <c r="I7771" s="8" t="n"/>
      <c r="J7771" s="8" t="n"/>
      <c r="K7771" s="8" t="n"/>
      <c r="L7771" s="8" t="n"/>
      <c r="M7771" s="9">
        <f>B7771+30</f>
        <v/>
      </c>
      <c r="N7771">
        <f>IF(L7771="", "", L7771-B7771)</f>
        <v/>
      </c>
      <c r="O7771">
        <f>IF(L7771="", "Pending", IF(N7771&lt;=30, "Met", "Breached"))</f>
        <v/>
      </c>
      <c r="P7771" s="8" t="n"/>
      <c r="Q7771" s="8" t="n"/>
      <c r="R7771" s="8" t="n"/>
      <c r="S7771" s="8" t="n"/>
      <c r="T7771" s="8" t="n"/>
      <c r="U7771" s="8" t="n"/>
      <c r="V7771" s="8" t="n"/>
      <c r="W7771" s="8" t="n"/>
      <c r="X7771" s="8" t="n"/>
      <c r="Y7771" s="8" t="n"/>
    </row>
    <row r="7772">
      <c r="A7772" s="8" t="n"/>
      <c r="B7772" s="8" t="n"/>
      <c r="C7772" s="8" t="n"/>
      <c r="D7772" s="8" t="n"/>
      <c r="E7772" s="8" t="n"/>
      <c r="F7772" s="8" t="n"/>
      <c r="G7772" s="8" t="n"/>
      <c r="H7772" s="8" t="n"/>
      <c r="I7772" s="8" t="n"/>
      <c r="J7772" s="8" t="n"/>
      <c r="K7772" s="8" t="n"/>
      <c r="L7772" s="8" t="n"/>
      <c r="M7772" s="9">
        <f>B7772+30</f>
        <v/>
      </c>
      <c r="N7772">
        <f>IF(L7772="", "", L7772-B7772)</f>
        <v/>
      </c>
      <c r="O7772">
        <f>IF(L7772="", "Pending", IF(N7772&lt;=30, "Met", "Breached"))</f>
        <v/>
      </c>
      <c r="P7772" s="8" t="n"/>
      <c r="Q7772" s="8" t="n"/>
      <c r="R7772" s="8" t="n"/>
      <c r="S7772" s="8" t="n"/>
      <c r="T7772" s="8" t="n"/>
      <c r="U7772" s="8" t="n"/>
      <c r="V7772" s="8" t="n"/>
      <c r="W7772" s="8" t="n"/>
      <c r="X7772" s="8" t="n"/>
      <c r="Y7772" s="8" t="n"/>
    </row>
    <row r="7773">
      <c r="A7773" s="8" t="n"/>
      <c r="B7773" s="8" t="n"/>
      <c r="C7773" s="8" t="n"/>
      <c r="D7773" s="8" t="n"/>
      <c r="E7773" s="8" t="n"/>
      <c r="F7773" s="8" t="n"/>
      <c r="G7773" s="8" t="n"/>
      <c r="H7773" s="8" t="n"/>
      <c r="I7773" s="8" t="n"/>
      <c r="J7773" s="8" t="n"/>
      <c r="K7773" s="8" t="n"/>
      <c r="L7773" s="8" t="n"/>
      <c r="M7773" s="9">
        <f>B7773+30</f>
        <v/>
      </c>
      <c r="N7773">
        <f>IF(L7773="", "", L7773-B7773)</f>
        <v/>
      </c>
      <c r="O7773">
        <f>IF(L7773="", "Pending", IF(N7773&lt;=30, "Met", "Breached"))</f>
        <v/>
      </c>
      <c r="P7773" s="8" t="n"/>
      <c r="Q7773" s="8" t="n"/>
      <c r="R7773" s="8" t="n"/>
      <c r="S7773" s="8" t="n"/>
      <c r="T7773" s="8" t="n"/>
      <c r="U7773" s="8" t="n"/>
      <c r="V7773" s="8" t="n"/>
      <c r="W7773" s="8" t="n"/>
      <c r="X7773" s="8" t="n"/>
      <c r="Y7773" s="8" t="n"/>
    </row>
    <row r="7774">
      <c r="A7774" s="8" t="n"/>
      <c r="B7774" s="8" t="n"/>
      <c r="C7774" s="8" t="n"/>
      <c r="D7774" s="8" t="n"/>
      <c r="E7774" s="8" t="n"/>
      <c r="F7774" s="8" t="n"/>
      <c r="G7774" s="8" t="n"/>
      <c r="H7774" s="8" t="n"/>
      <c r="I7774" s="8" t="n"/>
      <c r="J7774" s="8" t="n"/>
      <c r="K7774" s="8" t="n"/>
      <c r="L7774" s="8" t="n"/>
      <c r="M7774" s="9">
        <f>B7774+30</f>
        <v/>
      </c>
      <c r="N7774">
        <f>IF(L7774="", "", L7774-B7774)</f>
        <v/>
      </c>
      <c r="O7774">
        <f>IF(L7774="", "Pending", IF(N7774&lt;=30, "Met", "Breached"))</f>
        <v/>
      </c>
      <c r="P7774" s="8" t="n"/>
      <c r="Q7774" s="8" t="n"/>
      <c r="R7774" s="8" t="n"/>
      <c r="S7774" s="8" t="n"/>
      <c r="T7774" s="8" t="n"/>
      <c r="U7774" s="8" t="n"/>
      <c r="V7774" s="8" t="n"/>
      <c r="W7774" s="8" t="n"/>
      <c r="X7774" s="8" t="n"/>
      <c r="Y7774" s="8" t="n"/>
    </row>
    <row r="7775">
      <c r="A7775" s="8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8" t="n"/>
      <c r="K7775" s="8" t="n"/>
      <c r="L7775" s="8" t="n"/>
      <c r="M7775" s="9">
        <f>B7775+30</f>
        <v/>
      </c>
      <c r="N7775">
        <f>IF(L7775="", "", L7775-B7775)</f>
        <v/>
      </c>
      <c r="O7775">
        <f>IF(L7775="", "Pending", IF(N7775&lt;=30, "Met", "Breached"))</f>
        <v/>
      </c>
      <c r="P7775" s="8" t="n"/>
      <c r="Q7775" s="8" t="n"/>
      <c r="R7775" s="8" t="n"/>
      <c r="S7775" s="8" t="n"/>
      <c r="T7775" s="8" t="n"/>
      <c r="U7775" s="8" t="n"/>
      <c r="V7775" s="8" t="n"/>
      <c r="W7775" s="8" t="n"/>
      <c r="X7775" s="8" t="n"/>
      <c r="Y7775" s="8" t="n"/>
    </row>
    <row r="7776">
      <c r="A7776" s="8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8" t="n"/>
      <c r="K7776" s="8" t="n"/>
      <c r="L7776" s="8" t="n"/>
      <c r="M7776" s="9">
        <f>B7776+30</f>
        <v/>
      </c>
      <c r="N7776">
        <f>IF(L7776="", "", L7776-B7776)</f>
        <v/>
      </c>
      <c r="O7776">
        <f>IF(L7776="", "Pending", IF(N7776&lt;=30, "Met", "Breached"))</f>
        <v/>
      </c>
      <c r="P7776" s="8" t="n"/>
      <c r="Q7776" s="8" t="n"/>
      <c r="R7776" s="8" t="n"/>
      <c r="S7776" s="8" t="n"/>
      <c r="T7776" s="8" t="n"/>
      <c r="U7776" s="8" t="n"/>
      <c r="V7776" s="8" t="n"/>
      <c r="W7776" s="8" t="n"/>
      <c r="X7776" s="8" t="n"/>
      <c r="Y7776" s="8" t="n"/>
    </row>
    <row r="7777">
      <c r="A7777" s="8" t="n"/>
      <c r="B7777" s="8" t="n"/>
      <c r="C7777" s="8" t="n"/>
      <c r="D7777" s="8" t="n"/>
      <c r="E7777" s="8" t="n"/>
      <c r="F7777" s="8" t="n"/>
      <c r="G7777" s="8" t="n"/>
      <c r="H7777" s="8" t="n"/>
      <c r="I7777" s="8" t="n"/>
      <c r="J7777" s="8" t="n"/>
      <c r="K7777" s="8" t="n"/>
      <c r="L7777" s="8" t="n"/>
      <c r="M7777" s="9">
        <f>B7777+30</f>
        <v/>
      </c>
      <c r="N7777">
        <f>IF(L7777="", "", L7777-B7777)</f>
        <v/>
      </c>
      <c r="O7777">
        <f>IF(L7777="", "Pending", IF(N7777&lt;=30, "Met", "Breached"))</f>
        <v/>
      </c>
      <c r="P7777" s="8" t="n"/>
      <c r="Q7777" s="8" t="n"/>
      <c r="R7777" s="8" t="n"/>
      <c r="S7777" s="8" t="n"/>
      <c r="T7777" s="8" t="n"/>
      <c r="U7777" s="8" t="n"/>
      <c r="V7777" s="8" t="n"/>
      <c r="W7777" s="8" t="n"/>
      <c r="X7777" s="8" t="n"/>
      <c r="Y7777" s="8" t="n"/>
    </row>
    <row r="7778">
      <c r="A7778" s="8" t="n"/>
      <c r="B7778" s="8" t="n"/>
      <c r="C7778" s="8" t="n"/>
      <c r="D7778" s="8" t="n"/>
      <c r="E7778" s="8" t="n"/>
      <c r="F7778" s="8" t="n"/>
      <c r="G7778" s="8" t="n"/>
      <c r="H7778" s="8" t="n"/>
      <c r="I7778" s="8" t="n"/>
      <c r="J7778" s="8" t="n"/>
      <c r="K7778" s="8" t="n"/>
      <c r="L7778" s="8" t="n"/>
      <c r="M7778" s="9">
        <f>B7778+30</f>
        <v/>
      </c>
      <c r="N7778">
        <f>IF(L7778="", "", L7778-B7778)</f>
        <v/>
      </c>
      <c r="O7778">
        <f>IF(L7778="", "Pending", IF(N7778&lt;=30, "Met", "Breached"))</f>
        <v/>
      </c>
      <c r="P7778" s="8" t="n"/>
      <c r="Q7778" s="8" t="n"/>
      <c r="R7778" s="8" t="n"/>
      <c r="S7778" s="8" t="n"/>
      <c r="T7778" s="8" t="n"/>
      <c r="U7778" s="8" t="n"/>
      <c r="V7778" s="8" t="n"/>
      <c r="W7778" s="8" t="n"/>
      <c r="X7778" s="8" t="n"/>
      <c r="Y7778" s="8" t="n"/>
    </row>
    <row r="7779">
      <c r="A7779" s="8" t="n"/>
      <c r="B7779" s="8" t="n"/>
      <c r="C7779" s="8" t="n"/>
      <c r="D7779" s="8" t="n"/>
      <c r="E7779" s="8" t="n"/>
      <c r="F7779" s="8" t="n"/>
      <c r="G7779" s="8" t="n"/>
      <c r="H7779" s="8" t="n"/>
      <c r="I7779" s="8" t="n"/>
      <c r="J7779" s="8" t="n"/>
      <c r="K7779" s="8" t="n"/>
      <c r="L7779" s="8" t="n"/>
      <c r="M7779" s="9">
        <f>B7779+30</f>
        <v/>
      </c>
      <c r="N7779">
        <f>IF(L7779="", "", L7779-B7779)</f>
        <v/>
      </c>
      <c r="O7779">
        <f>IF(L7779="", "Pending", IF(N7779&lt;=30, "Met", "Breached"))</f>
        <v/>
      </c>
      <c r="P7779" s="8" t="n"/>
      <c r="Q7779" s="8" t="n"/>
      <c r="R7779" s="8" t="n"/>
      <c r="S7779" s="8" t="n"/>
      <c r="T7779" s="8" t="n"/>
      <c r="U7779" s="8" t="n"/>
      <c r="V7779" s="8" t="n"/>
      <c r="W7779" s="8" t="n"/>
      <c r="X7779" s="8" t="n"/>
      <c r="Y7779" s="8" t="n"/>
    </row>
    <row r="7780">
      <c r="A7780" s="8" t="n"/>
      <c r="B7780" s="8" t="n"/>
      <c r="C7780" s="8" t="n"/>
      <c r="D7780" s="8" t="n"/>
      <c r="E7780" s="8" t="n"/>
      <c r="F7780" s="8" t="n"/>
      <c r="G7780" s="8" t="n"/>
      <c r="H7780" s="8" t="n"/>
      <c r="I7780" s="8" t="n"/>
      <c r="J7780" s="8" t="n"/>
      <c r="K7780" s="8" t="n"/>
      <c r="L7780" s="8" t="n"/>
      <c r="M7780" s="9">
        <f>B7780+30</f>
        <v/>
      </c>
      <c r="N7780">
        <f>IF(L7780="", "", L7780-B7780)</f>
        <v/>
      </c>
      <c r="O7780">
        <f>IF(L7780="", "Pending", IF(N7780&lt;=30, "Met", "Breached"))</f>
        <v/>
      </c>
      <c r="P7780" s="8" t="n"/>
      <c r="Q7780" s="8" t="n"/>
      <c r="R7780" s="8" t="n"/>
      <c r="S7780" s="8" t="n"/>
      <c r="T7780" s="8" t="n"/>
      <c r="U7780" s="8" t="n"/>
      <c r="V7780" s="8" t="n"/>
      <c r="W7780" s="8" t="n"/>
      <c r="X7780" s="8" t="n"/>
      <c r="Y7780" s="8" t="n"/>
    </row>
    <row r="7781">
      <c r="A7781" s="8" t="n"/>
      <c r="B7781" s="8" t="n"/>
      <c r="C7781" s="8" t="n"/>
      <c r="D7781" s="8" t="n"/>
      <c r="E7781" s="8" t="n"/>
      <c r="F7781" s="8" t="n"/>
      <c r="G7781" s="8" t="n"/>
      <c r="H7781" s="8" t="n"/>
      <c r="I7781" s="8" t="n"/>
      <c r="J7781" s="8" t="n"/>
      <c r="K7781" s="8" t="n"/>
      <c r="L7781" s="8" t="n"/>
      <c r="M7781" s="9">
        <f>B7781+30</f>
        <v/>
      </c>
      <c r="N7781">
        <f>IF(L7781="", "", L7781-B7781)</f>
        <v/>
      </c>
      <c r="O7781">
        <f>IF(L7781="", "Pending", IF(N7781&lt;=30, "Met", "Breached"))</f>
        <v/>
      </c>
      <c r="P7781" s="8" t="n"/>
      <c r="Q7781" s="8" t="n"/>
      <c r="R7781" s="8" t="n"/>
      <c r="S7781" s="8" t="n"/>
      <c r="T7781" s="8" t="n"/>
      <c r="U7781" s="8" t="n"/>
      <c r="V7781" s="8" t="n"/>
      <c r="W7781" s="8" t="n"/>
      <c r="X7781" s="8" t="n"/>
      <c r="Y7781" s="8" t="n"/>
    </row>
    <row r="7782">
      <c r="A7782" s="8" t="n"/>
      <c r="B7782" s="8" t="n"/>
      <c r="C7782" s="8" t="n"/>
      <c r="D7782" s="8" t="n"/>
      <c r="E7782" s="8" t="n"/>
      <c r="F7782" s="8" t="n"/>
      <c r="G7782" s="8" t="n"/>
      <c r="H7782" s="8" t="n"/>
      <c r="I7782" s="8" t="n"/>
      <c r="J7782" s="8" t="n"/>
      <c r="K7782" s="8" t="n"/>
      <c r="L7782" s="8" t="n"/>
      <c r="M7782" s="9">
        <f>B7782+30</f>
        <v/>
      </c>
      <c r="N7782">
        <f>IF(L7782="", "", L7782-B7782)</f>
        <v/>
      </c>
      <c r="O7782">
        <f>IF(L7782="", "Pending", IF(N7782&lt;=30, "Met", "Breached"))</f>
        <v/>
      </c>
      <c r="P7782" s="8" t="n"/>
      <c r="Q7782" s="8" t="n"/>
      <c r="R7782" s="8" t="n"/>
      <c r="S7782" s="8" t="n"/>
      <c r="T7782" s="8" t="n"/>
      <c r="U7782" s="8" t="n"/>
      <c r="V7782" s="8" t="n"/>
      <c r="W7782" s="8" t="n"/>
      <c r="X7782" s="8" t="n"/>
      <c r="Y7782" s="8" t="n"/>
    </row>
    <row r="7783">
      <c r="A7783" s="8" t="n"/>
      <c r="B7783" s="8" t="n"/>
      <c r="C7783" s="8" t="n"/>
      <c r="D7783" s="8" t="n"/>
      <c r="E7783" s="8" t="n"/>
      <c r="F7783" s="8" t="n"/>
      <c r="G7783" s="8" t="n"/>
      <c r="H7783" s="8" t="n"/>
      <c r="I7783" s="8" t="n"/>
      <c r="J7783" s="8" t="n"/>
      <c r="K7783" s="8" t="n"/>
      <c r="L7783" s="8" t="n"/>
      <c r="M7783" s="9">
        <f>B7783+30</f>
        <v/>
      </c>
      <c r="N7783">
        <f>IF(L7783="", "", L7783-B7783)</f>
        <v/>
      </c>
      <c r="O7783">
        <f>IF(L7783="", "Pending", IF(N7783&lt;=30, "Met", "Breached"))</f>
        <v/>
      </c>
      <c r="P7783" s="8" t="n"/>
      <c r="Q7783" s="8" t="n"/>
      <c r="R7783" s="8" t="n"/>
      <c r="S7783" s="8" t="n"/>
      <c r="T7783" s="8" t="n"/>
      <c r="U7783" s="8" t="n"/>
      <c r="V7783" s="8" t="n"/>
      <c r="W7783" s="8" t="n"/>
      <c r="X7783" s="8" t="n"/>
      <c r="Y7783" s="8" t="n"/>
    </row>
    <row r="7784">
      <c r="A7784" s="8" t="n"/>
      <c r="B7784" s="8" t="n"/>
      <c r="C7784" s="8" t="n"/>
      <c r="D7784" s="8" t="n"/>
      <c r="E7784" s="8" t="n"/>
      <c r="F7784" s="8" t="n"/>
      <c r="G7784" s="8" t="n"/>
      <c r="H7784" s="8" t="n"/>
      <c r="I7784" s="8" t="n"/>
      <c r="J7784" s="8" t="n"/>
      <c r="K7784" s="8" t="n"/>
      <c r="L7784" s="8" t="n"/>
      <c r="M7784" s="9">
        <f>B7784+30</f>
        <v/>
      </c>
      <c r="N7784">
        <f>IF(L7784="", "", L7784-B7784)</f>
        <v/>
      </c>
      <c r="O7784">
        <f>IF(L7784="", "Pending", IF(N7784&lt;=30, "Met", "Breached"))</f>
        <v/>
      </c>
      <c r="P7784" s="8" t="n"/>
      <c r="Q7784" s="8" t="n"/>
      <c r="R7784" s="8" t="n"/>
      <c r="S7784" s="8" t="n"/>
      <c r="T7784" s="8" t="n"/>
      <c r="U7784" s="8" t="n"/>
      <c r="V7784" s="8" t="n"/>
      <c r="W7784" s="8" t="n"/>
      <c r="X7784" s="8" t="n"/>
      <c r="Y7784" s="8" t="n"/>
    </row>
    <row r="7785">
      <c r="A7785" s="8" t="n"/>
      <c r="B7785" s="8" t="n"/>
      <c r="C7785" s="8" t="n"/>
      <c r="D7785" s="8" t="n"/>
      <c r="E7785" s="8" t="n"/>
      <c r="F7785" s="8" t="n"/>
      <c r="G7785" s="8" t="n"/>
      <c r="H7785" s="8" t="n"/>
      <c r="I7785" s="8" t="n"/>
      <c r="J7785" s="8" t="n"/>
      <c r="K7785" s="8" t="n"/>
      <c r="L7785" s="8" t="n"/>
      <c r="M7785" s="9">
        <f>B7785+30</f>
        <v/>
      </c>
      <c r="N7785">
        <f>IF(L7785="", "", L7785-B7785)</f>
        <v/>
      </c>
      <c r="O7785">
        <f>IF(L7785="", "Pending", IF(N7785&lt;=30, "Met", "Breached"))</f>
        <v/>
      </c>
      <c r="P7785" s="8" t="n"/>
      <c r="Q7785" s="8" t="n"/>
      <c r="R7785" s="8" t="n"/>
      <c r="S7785" s="8" t="n"/>
      <c r="T7785" s="8" t="n"/>
      <c r="U7785" s="8" t="n"/>
      <c r="V7785" s="8" t="n"/>
      <c r="W7785" s="8" t="n"/>
      <c r="X7785" s="8" t="n"/>
      <c r="Y7785" s="8" t="n"/>
    </row>
    <row r="7786">
      <c r="A7786" s="8" t="n"/>
      <c r="B7786" s="8" t="n"/>
      <c r="C7786" s="8" t="n"/>
      <c r="D7786" s="8" t="n"/>
      <c r="E7786" s="8" t="n"/>
      <c r="F7786" s="8" t="n"/>
      <c r="G7786" s="8" t="n"/>
      <c r="H7786" s="8" t="n"/>
      <c r="I7786" s="8" t="n"/>
      <c r="J7786" s="8" t="n"/>
      <c r="K7786" s="8" t="n"/>
      <c r="L7786" s="8" t="n"/>
      <c r="M7786" s="9">
        <f>B7786+30</f>
        <v/>
      </c>
      <c r="N7786">
        <f>IF(L7786="", "", L7786-B7786)</f>
        <v/>
      </c>
      <c r="O7786">
        <f>IF(L7786="", "Pending", IF(N7786&lt;=30, "Met", "Breached"))</f>
        <v/>
      </c>
      <c r="P7786" s="8" t="n"/>
      <c r="Q7786" s="8" t="n"/>
      <c r="R7786" s="8" t="n"/>
      <c r="S7786" s="8" t="n"/>
      <c r="T7786" s="8" t="n"/>
      <c r="U7786" s="8" t="n"/>
      <c r="V7786" s="8" t="n"/>
      <c r="W7786" s="8" t="n"/>
      <c r="X7786" s="8" t="n"/>
      <c r="Y7786" s="8" t="n"/>
    </row>
    <row r="7787">
      <c r="A7787" s="8" t="n"/>
      <c r="B7787" s="8" t="n"/>
      <c r="C7787" s="8" t="n"/>
      <c r="D7787" s="8" t="n"/>
      <c r="E7787" s="8" t="n"/>
      <c r="F7787" s="8" t="n"/>
      <c r="G7787" s="8" t="n"/>
      <c r="H7787" s="8" t="n"/>
      <c r="I7787" s="8" t="n"/>
      <c r="J7787" s="8" t="n"/>
      <c r="K7787" s="8" t="n"/>
      <c r="L7787" s="8" t="n"/>
      <c r="M7787" s="9">
        <f>B7787+30</f>
        <v/>
      </c>
      <c r="N7787">
        <f>IF(L7787="", "", L7787-B7787)</f>
        <v/>
      </c>
      <c r="O7787">
        <f>IF(L7787="", "Pending", IF(N7787&lt;=30, "Met", "Breached"))</f>
        <v/>
      </c>
      <c r="P7787" s="8" t="n"/>
      <c r="Q7787" s="8" t="n"/>
      <c r="R7787" s="8" t="n"/>
      <c r="S7787" s="8" t="n"/>
      <c r="T7787" s="8" t="n"/>
      <c r="U7787" s="8" t="n"/>
      <c r="V7787" s="8" t="n"/>
      <c r="W7787" s="8" t="n"/>
      <c r="X7787" s="8" t="n"/>
      <c r="Y7787" s="8" t="n"/>
    </row>
    <row r="7788">
      <c r="A7788" s="8" t="n"/>
      <c r="B7788" s="8" t="n"/>
      <c r="C7788" s="8" t="n"/>
      <c r="D7788" s="8" t="n"/>
      <c r="E7788" s="8" t="n"/>
      <c r="F7788" s="8" t="n"/>
      <c r="G7788" s="8" t="n"/>
      <c r="H7788" s="8" t="n"/>
      <c r="I7788" s="8" t="n"/>
      <c r="J7788" s="8" t="n"/>
      <c r="K7788" s="8" t="n"/>
      <c r="L7788" s="8" t="n"/>
      <c r="M7788" s="9">
        <f>B7788+30</f>
        <v/>
      </c>
      <c r="N7788">
        <f>IF(L7788="", "", L7788-B7788)</f>
        <v/>
      </c>
      <c r="O7788">
        <f>IF(L7788="", "Pending", IF(N7788&lt;=30, "Met", "Breached"))</f>
        <v/>
      </c>
      <c r="P7788" s="8" t="n"/>
      <c r="Q7788" s="8" t="n"/>
      <c r="R7788" s="8" t="n"/>
      <c r="S7788" s="8" t="n"/>
      <c r="T7788" s="8" t="n"/>
      <c r="U7788" s="8" t="n"/>
      <c r="V7788" s="8" t="n"/>
      <c r="W7788" s="8" t="n"/>
      <c r="X7788" s="8" t="n"/>
      <c r="Y7788" s="8" t="n"/>
    </row>
    <row r="7789">
      <c r="A7789" s="8" t="n"/>
      <c r="B7789" s="8" t="n"/>
      <c r="C7789" s="8" t="n"/>
      <c r="D7789" s="8" t="n"/>
      <c r="E7789" s="8" t="n"/>
      <c r="F7789" s="8" t="n"/>
      <c r="G7789" s="8" t="n"/>
      <c r="H7789" s="8" t="n"/>
      <c r="I7789" s="8" t="n"/>
      <c r="J7789" s="8" t="n"/>
      <c r="K7789" s="8" t="n"/>
      <c r="L7789" s="8" t="n"/>
      <c r="M7789" s="9">
        <f>B7789+30</f>
        <v/>
      </c>
      <c r="N7789">
        <f>IF(L7789="", "", L7789-B7789)</f>
        <v/>
      </c>
      <c r="O7789">
        <f>IF(L7789="", "Pending", IF(N7789&lt;=30, "Met", "Breached"))</f>
        <v/>
      </c>
      <c r="P7789" s="8" t="n"/>
      <c r="Q7789" s="8" t="n"/>
      <c r="R7789" s="8" t="n"/>
      <c r="S7789" s="8" t="n"/>
      <c r="T7789" s="8" t="n"/>
      <c r="U7789" s="8" t="n"/>
      <c r="V7789" s="8" t="n"/>
      <c r="W7789" s="8" t="n"/>
      <c r="X7789" s="8" t="n"/>
      <c r="Y7789" s="8" t="n"/>
    </row>
    <row r="7790">
      <c r="A7790" s="8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8" t="n"/>
      <c r="K7790" s="8" t="n"/>
      <c r="L7790" s="8" t="n"/>
      <c r="M7790" s="9">
        <f>B7790+30</f>
        <v/>
      </c>
      <c r="N7790">
        <f>IF(L7790="", "", L7790-B7790)</f>
        <v/>
      </c>
      <c r="O7790">
        <f>IF(L7790="", "Pending", IF(N7790&lt;=30, "Met", "Breached"))</f>
        <v/>
      </c>
      <c r="P7790" s="8" t="n"/>
      <c r="Q7790" s="8" t="n"/>
      <c r="R7790" s="8" t="n"/>
      <c r="S7790" s="8" t="n"/>
      <c r="T7790" s="8" t="n"/>
      <c r="U7790" s="8" t="n"/>
      <c r="V7790" s="8" t="n"/>
      <c r="W7790" s="8" t="n"/>
      <c r="X7790" s="8" t="n"/>
      <c r="Y7790" s="8" t="n"/>
    </row>
    <row r="7791">
      <c r="A7791" s="8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8" t="n"/>
      <c r="K7791" s="8" t="n"/>
      <c r="L7791" s="8" t="n"/>
      <c r="M7791" s="9">
        <f>B7791+30</f>
        <v/>
      </c>
      <c r="N7791">
        <f>IF(L7791="", "", L7791-B7791)</f>
        <v/>
      </c>
      <c r="O7791">
        <f>IF(L7791="", "Pending", IF(N7791&lt;=30, "Met", "Breached"))</f>
        <v/>
      </c>
      <c r="P7791" s="8" t="n"/>
      <c r="Q7791" s="8" t="n"/>
      <c r="R7791" s="8" t="n"/>
      <c r="S7791" s="8" t="n"/>
      <c r="T7791" s="8" t="n"/>
      <c r="U7791" s="8" t="n"/>
      <c r="V7791" s="8" t="n"/>
      <c r="W7791" s="8" t="n"/>
      <c r="X7791" s="8" t="n"/>
      <c r="Y7791" s="8" t="n"/>
    </row>
    <row r="7792">
      <c r="A7792" s="8" t="n"/>
      <c r="B7792" s="8" t="n"/>
      <c r="C7792" s="8" t="n"/>
      <c r="D7792" s="8" t="n"/>
      <c r="E7792" s="8" t="n"/>
      <c r="F7792" s="8" t="n"/>
      <c r="G7792" s="8" t="n"/>
      <c r="H7792" s="8" t="n"/>
      <c r="I7792" s="8" t="n"/>
      <c r="J7792" s="8" t="n"/>
      <c r="K7792" s="8" t="n"/>
      <c r="L7792" s="8" t="n"/>
      <c r="M7792" s="9">
        <f>B7792+30</f>
        <v/>
      </c>
      <c r="N7792">
        <f>IF(L7792="", "", L7792-B7792)</f>
        <v/>
      </c>
      <c r="O7792">
        <f>IF(L7792="", "Pending", IF(N7792&lt;=30, "Met", "Breached"))</f>
        <v/>
      </c>
      <c r="P7792" s="8" t="n"/>
      <c r="Q7792" s="8" t="n"/>
      <c r="R7792" s="8" t="n"/>
      <c r="S7792" s="8" t="n"/>
      <c r="T7792" s="8" t="n"/>
      <c r="U7792" s="8" t="n"/>
      <c r="V7792" s="8" t="n"/>
      <c r="W7792" s="8" t="n"/>
      <c r="X7792" s="8" t="n"/>
      <c r="Y7792" s="8" t="n"/>
    </row>
    <row r="7793">
      <c r="A7793" s="8" t="n"/>
      <c r="B7793" s="8" t="n"/>
      <c r="C7793" s="8" t="n"/>
      <c r="D7793" s="8" t="n"/>
      <c r="E7793" s="8" t="n"/>
      <c r="F7793" s="8" t="n"/>
      <c r="G7793" s="8" t="n"/>
      <c r="H7793" s="8" t="n"/>
      <c r="I7793" s="8" t="n"/>
      <c r="J7793" s="8" t="n"/>
      <c r="K7793" s="8" t="n"/>
      <c r="L7793" s="8" t="n"/>
      <c r="M7793" s="9">
        <f>B7793+30</f>
        <v/>
      </c>
      <c r="N7793">
        <f>IF(L7793="", "", L7793-B7793)</f>
        <v/>
      </c>
      <c r="O7793">
        <f>IF(L7793="", "Pending", IF(N7793&lt;=30, "Met", "Breached"))</f>
        <v/>
      </c>
      <c r="P7793" s="8" t="n"/>
      <c r="Q7793" s="8" t="n"/>
      <c r="R7793" s="8" t="n"/>
      <c r="S7793" s="8" t="n"/>
      <c r="T7793" s="8" t="n"/>
      <c r="U7793" s="8" t="n"/>
      <c r="V7793" s="8" t="n"/>
      <c r="W7793" s="8" t="n"/>
      <c r="X7793" s="8" t="n"/>
      <c r="Y7793" s="8" t="n"/>
    </row>
    <row r="7794">
      <c r="A7794" s="8" t="n"/>
      <c r="B7794" s="8" t="n"/>
      <c r="C7794" s="8" t="n"/>
      <c r="D7794" s="8" t="n"/>
      <c r="E7794" s="8" t="n"/>
      <c r="F7794" s="8" t="n"/>
      <c r="G7794" s="8" t="n"/>
      <c r="H7794" s="8" t="n"/>
      <c r="I7794" s="8" t="n"/>
      <c r="J7794" s="8" t="n"/>
      <c r="K7794" s="8" t="n"/>
      <c r="L7794" s="8" t="n"/>
      <c r="M7794" s="9">
        <f>B7794+30</f>
        <v/>
      </c>
      <c r="N7794">
        <f>IF(L7794="", "", L7794-B7794)</f>
        <v/>
      </c>
      <c r="O7794">
        <f>IF(L7794="", "Pending", IF(N7794&lt;=30, "Met", "Breached"))</f>
        <v/>
      </c>
      <c r="P7794" s="8" t="n"/>
      <c r="Q7794" s="8" t="n"/>
      <c r="R7794" s="8" t="n"/>
      <c r="S7794" s="8" t="n"/>
      <c r="T7794" s="8" t="n"/>
      <c r="U7794" s="8" t="n"/>
      <c r="V7794" s="8" t="n"/>
      <c r="W7794" s="8" t="n"/>
      <c r="X7794" s="8" t="n"/>
      <c r="Y7794" s="8" t="n"/>
    </row>
    <row r="7795">
      <c r="A7795" s="8" t="n"/>
      <c r="B7795" s="8" t="n"/>
      <c r="C7795" s="8" t="n"/>
      <c r="D7795" s="8" t="n"/>
      <c r="E7795" s="8" t="n"/>
      <c r="F7795" s="8" t="n"/>
      <c r="G7795" s="8" t="n"/>
      <c r="H7795" s="8" t="n"/>
      <c r="I7795" s="8" t="n"/>
      <c r="J7795" s="8" t="n"/>
      <c r="K7795" s="8" t="n"/>
      <c r="L7795" s="8" t="n"/>
      <c r="M7795" s="9">
        <f>B7795+30</f>
        <v/>
      </c>
      <c r="N7795">
        <f>IF(L7795="", "", L7795-B7795)</f>
        <v/>
      </c>
      <c r="O7795">
        <f>IF(L7795="", "Pending", IF(N7795&lt;=30, "Met", "Breached"))</f>
        <v/>
      </c>
      <c r="P7795" s="8" t="n"/>
      <c r="Q7795" s="8" t="n"/>
      <c r="R7795" s="8" t="n"/>
      <c r="S7795" s="8" t="n"/>
      <c r="T7795" s="8" t="n"/>
      <c r="U7795" s="8" t="n"/>
      <c r="V7795" s="8" t="n"/>
      <c r="W7795" s="8" t="n"/>
      <c r="X7795" s="8" t="n"/>
      <c r="Y7795" s="8" t="n"/>
    </row>
    <row r="7796">
      <c r="A7796" s="8" t="n"/>
      <c r="B7796" s="8" t="n"/>
      <c r="C7796" s="8" t="n"/>
      <c r="D7796" s="8" t="n"/>
      <c r="E7796" s="8" t="n"/>
      <c r="F7796" s="8" t="n"/>
      <c r="G7796" s="8" t="n"/>
      <c r="H7796" s="8" t="n"/>
      <c r="I7796" s="8" t="n"/>
      <c r="J7796" s="8" t="n"/>
      <c r="K7796" s="8" t="n"/>
      <c r="L7796" s="8" t="n"/>
      <c r="M7796" s="9">
        <f>B7796+30</f>
        <v/>
      </c>
      <c r="N7796">
        <f>IF(L7796="", "", L7796-B7796)</f>
        <v/>
      </c>
      <c r="O7796">
        <f>IF(L7796="", "Pending", IF(N7796&lt;=30, "Met", "Breached"))</f>
        <v/>
      </c>
      <c r="P7796" s="8" t="n"/>
      <c r="Q7796" s="8" t="n"/>
      <c r="R7796" s="8" t="n"/>
      <c r="S7796" s="8" t="n"/>
      <c r="T7796" s="8" t="n"/>
      <c r="U7796" s="8" t="n"/>
      <c r="V7796" s="8" t="n"/>
      <c r="W7796" s="8" t="n"/>
      <c r="X7796" s="8" t="n"/>
      <c r="Y7796" s="8" t="n"/>
    </row>
    <row r="7797">
      <c r="A7797" s="8" t="n"/>
      <c r="B7797" s="8" t="n"/>
      <c r="C7797" s="8" t="n"/>
      <c r="D7797" s="8" t="n"/>
      <c r="E7797" s="8" t="n"/>
      <c r="F7797" s="8" t="n"/>
      <c r="G7797" s="8" t="n"/>
      <c r="H7797" s="8" t="n"/>
      <c r="I7797" s="8" t="n"/>
      <c r="J7797" s="8" t="n"/>
      <c r="K7797" s="8" t="n"/>
      <c r="L7797" s="8" t="n"/>
      <c r="M7797" s="9">
        <f>B7797+30</f>
        <v/>
      </c>
      <c r="N7797">
        <f>IF(L7797="", "", L7797-B7797)</f>
        <v/>
      </c>
      <c r="O7797">
        <f>IF(L7797="", "Pending", IF(N7797&lt;=30, "Met", "Breached"))</f>
        <v/>
      </c>
      <c r="P7797" s="8" t="n"/>
      <c r="Q7797" s="8" t="n"/>
      <c r="R7797" s="8" t="n"/>
      <c r="S7797" s="8" t="n"/>
      <c r="T7797" s="8" t="n"/>
      <c r="U7797" s="8" t="n"/>
      <c r="V7797" s="8" t="n"/>
      <c r="W7797" s="8" t="n"/>
      <c r="X7797" s="8" t="n"/>
      <c r="Y7797" s="8" t="n"/>
    </row>
    <row r="7798">
      <c r="A7798" s="8" t="n"/>
      <c r="B7798" s="8" t="n"/>
      <c r="C7798" s="8" t="n"/>
      <c r="D7798" s="8" t="n"/>
      <c r="E7798" s="8" t="n"/>
      <c r="F7798" s="8" t="n"/>
      <c r="G7798" s="8" t="n"/>
      <c r="H7798" s="8" t="n"/>
      <c r="I7798" s="8" t="n"/>
      <c r="J7798" s="8" t="n"/>
      <c r="K7798" s="8" t="n"/>
      <c r="L7798" s="8" t="n"/>
      <c r="M7798" s="9">
        <f>B7798+30</f>
        <v/>
      </c>
      <c r="N7798">
        <f>IF(L7798="", "", L7798-B7798)</f>
        <v/>
      </c>
      <c r="O7798">
        <f>IF(L7798="", "Pending", IF(N7798&lt;=30, "Met", "Breached"))</f>
        <v/>
      </c>
      <c r="P7798" s="8" t="n"/>
      <c r="Q7798" s="8" t="n"/>
      <c r="R7798" s="8" t="n"/>
      <c r="S7798" s="8" t="n"/>
      <c r="T7798" s="8" t="n"/>
      <c r="U7798" s="8" t="n"/>
      <c r="V7798" s="8" t="n"/>
      <c r="W7798" s="8" t="n"/>
      <c r="X7798" s="8" t="n"/>
      <c r="Y7798" s="8" t="n"/>
    </row>
    <row r="7799">
      <c r="A7799" s="8" t="n"/>
      <c r="B7799" s="8" t="n"/>
      <c r="C7799" s="8" t="n"/>
      <c r="D7799" s="8" t="n"/>
      <c r="E7799" s="8" t="n"/>
      <c r="F7799" s="8" t="n"/>
      <c r="G7799" s="8" t="n"/>
      <c r="H7799" s="8" t="n"/>
      <c r="I7799" s="8" t="n"/>
      <c r="J7799" s="8" t="n"/>
      <c r="K7799" s="8" t="n"/>
      <c r="L7799" s="8" t="n"/>
      <c r="M7799" s="9">
        <f>B7799+30</f>
        <v/>
      </c>
      <c r="N7799">
        <f>IF(L7799="", "", L7799-B7799)</f>
        <v/>
      </c>
      <c r="O7799">
        <f>IF(L7799="", "Pending", IF(N7799&lt;=30, "Met", "Breached"))</f>
        <v/>
      </c>
      <c r="P7799" s="8" t="n"/>
      <c r="Q7799" s="8" t="n"/>
      <c r="R7799" s="8" t="n"/>
      <c r="S7799" s="8" t="n"/>
      <c r="T7799" s="8" t="n"/>
      <c r="U7799" s="8" t="n"/>
      <c r="V7799" s="8" t="n"/>
      <c r="W7799" s="8" t="n"/>
      <c r="X7799" s="8" t="n"/>
      <c r="Y7799" s="8" t="n"/>
    </row>
    <row r="7800">
      <c r="A7800" s="8" t="n"/>
      <c r="B7800" s="8" t="n"/>
      <c r="C7800" s="8" t="n"/>
      <c r="D7800" s="8" t="n"/>
      <c r="E7800" s="8" t="n"/>
      <c r="F7800" s="8" t="n"/>
      <c r="G7800" s="8" t="n"/>
      <c r="H7800" s="8" t="n"/>
      <c r="I7800" s="8" t="n"/>
      <c r="J7800" s="8" t="n"/>
      <c r="K7800" s="8" t="n"/>
      <c r="L7800" s="8" t="n"/>
      <c r="M7800" s="9">
        <f>B7800+30</f>
        <v/>
      </c>
      <c r="N7800">
        <f>IF(L7800="", "", L7800-B7800)</f>
        <v/>
      </c>
      <c r="O7800">
        <f>IF(L7800="", "Pending", IF(N7800&lt;=30, "Met", "Breached"))</f>
        <v/>
      </c>
      <c r="P7800" s="8" t="n"/>
      <c r="Q7800" s="8" t="n"/>
      <c r="R7800" s="8" t="n"/>
      <c r="S7800" s="8" t="n"/>
      <c r="T7800" s="8" t="n"/>
      <c r="U7800" s="8" t="n"/>
      <c r="V7800" s="8" t="n"/>
      <c r="W7800" s="8" t="n"/>
      <c r="X7800" s="8" t="n"/>
      <c r="Y7800" s="8" t="n"/>
    </row>
    <row r="7801">
      <c r="A7801" s="8" t="n"/>
      <c r="B7801" s="8" t="n"/>
      <c r="C7801" s="8" t="n"/>
      <c r="D7801" s="8" t="n"/>
      <c r="E7801" s="8" t="n"/>
      <c r="F7801" s="8" t="n"/>
      <c r="G7801" s="8" t="n"/>
      <c r="H7801" s="8" t="n"/>
      <c r="I7801" s="8" t="n"/>
      <c r="J7801" s="8" t="n"/>
      <c r="K7801" s="8" t="n"/>
      <c r="L7801" s="8" t="n"/>
      <c r="M7801" s="9">
        <f>B7801+30</f>
        <v/>
      </c>
      <c r="N7801">
        <f>IF(L7801="", "", L7801-B7801)</f>
        <v/>
      </c>
      <c r="O7801">
        <f>IF(L7801="", "Pending", IF(N7801&lt;=30, "Met", "Breached"))</f>
        <v/>
      </c>
      <c r="P7801" s="8" t="n"/>
      <c r="Q7801" s="8" t="n"/>
      <c r="R7801" s="8" t="n"/>
      <c r="S7801" s="8" t="n"/>
      <c r="T7801" s="8" t="n"/>
      <c r="U7801" s="8" t="n"/>
      <c r="V7801" s="8" t="n"/>
      <c r="W7801" s="8" t="n"/>
      <c r="X7801" s="8" t="n"/>
      <c r="Y7801" s="8" t="n"/>
    </row>
    <row r="7802">
      <c r="A7802" s="8" t="n"/>
      <c r="B7802" s="8" t="n"/>
      <c r="C7802" s="8" t="n"/>
      <c r="D7802" s="8" t="n"/>
      <c r="E7802" s="8" t="n"/>
      <c r="F7802" s="8" t="n"/>
      <c r="G7802" s="8" t="n"/>
      <c r="H7802" s="8" t="n"/>
      <c r="I7802" s="8" t="n"/>
      <c r="J7802" s="8" t="n"/>
      <c r="K7802" s="8" t="n"/>
      <c r="L7802" s="8" t="n"/>
      <c r="M7802" s="9">
        <f>B7802+30</f>
        <v/>
      </c>
      <c r="N7802">
        <f>IF(L7802="", "", L7802-B7802)</f>
        <v/>
      </c>
      <c r="O7802">
        <f>IF(L7802="", "Pending", IF(N7802&lt;=30, "Met", "Breached"))</f>
        <v/>
      </c>
      <c r="P7802" s="8" t="n"/>
      <c r="Q7802" s="8" t="n"/>
      <c r="R7802" s="8" t="n"/>
      <c r="S7802" s="8" t="n"/>
      <c r="T7802" s="8" t="n"/>
      <c r="U7802" s="8" t="n"/>
      <c r="V7802" s="8" t="n"/>
      <c r="W7802" s="8" t="n"/>
      <c r="X7802" s="8" t="n"/>
      <c r="Y7802" s="8" t="n"/>
    </row>
    <row r="7803">
      <c r="A7803" s="8" t="n"/>
      <c r="B7803" s="8" t="n"/>
      <c r="C7803" s="8" t="n"/>
      <c r="D7803" s="8" t="n"/>
      <c r="E7803" s="8" t="n"/>
      <c r="F7803" s="8" t="n"/>
      <c r="G7803" s="8" t="n"/>
      <c r="H7803" s="8" t="n"/>
      <c r="I7803" s="8" t="n"/>
      <c r="J7803" s="8" t="n"/>
      <c r="K7803" s="8" t="n"/>
      <c r="L7803" s="8" t="n"/>
      <c r="M7803" s="9">
        <f>B7803+30</f>
        <v/>
      </c>
      <c r="N7803">
        <f>IF(L7803="", "", L7803-B7803)</f>
        <v/>
      </c>
      <c r="O7803">
        <f>IF(L7803="", "Pending", IF(N7803&lt;=30, "Met", "Breached"))</f>
        <v/>
      </c>
      <c r="P7803" s="8" t="n"/>
      <c r="Q7803" s="8" t="n"/>
      <c r="R7803" s="8" t="n"/>
      <c r="S7803" s="8" t="n"/>
      <c r="T7803" s="8" t="n"/>
      <c r="U7803" s="8" t="n"/>
      <c r="V7803" s="8" t="n"/>
      <c r="W7803" s="8" t="n"/>
      <c r="X7803" s="8" t="n"/>
      <c r="Y7803" s="8" t="n"/>
    </row>
    <row r="7804">
      <c r="A7804" s="8" t="n"/>
      <c r="B7804" s="8" t="n"/>
      <c r="C7804" s="8" t="n"/>
      <c r="D7804" s="8" t="n"/>
      <c r="E7804" s="8" t="n"/>
      <c r="F7804" s="8" t="n"/>
      <c r="G7804" s="8" t="n"/>
      <c r="H7804" s="8" t="n"/>
      <c r="I7804" s="8" t="n"/>
      <c r="J7804" s="8" t="n"/>
      <c r="K7804" s="8" t="n"/>
      <c r="L7804" s="8" t="n"/>
      <c r="M7804" s="9">
        <f>B7804+30</f>
        <v/>
      </c>
      <c r="N7804">
        <f>IF(L7804="", "", L7804-B7804)</f>
        <v/>
      </c>
      <c r="O7804">
        <f>IF(L7804="", "Pending", IF(N7804&lt;=30, "Met", "Breached"))</f>
        <v/>
      </c>
      <c r="P7804" s="8" t="n"/>
      <c r="Q7804" s="8" t="n"/>
      <c r="R7804" s="8" t="n"/>
      <c r="S7804" s="8" t="n"/>
      <c r="T7804" s="8" t="n"/>
      <c r="U7804" s="8" t="n"/>
      <c r="V7804" s="8" t="n"/>
      <c r="W7804" s="8" t="n"/>
      <c r="X7804" s="8" t="n"/>
      <c r="Y7804" s="8" t="n"/>
    </row>
    <row r="7805">
      <c r="A7805" s="8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8" t="n"/>
      <c r="K7805" s="8" t="n"/>
      <c r="L7805" s="8" t="n"/>
      <c r="M7805" s="9">
        <f>B7805+30</f>
        <v/>
      </c>
      <c r="N7805">
        <f>IF(L7805="", "", L7805-B7805)</f>
        <v/>
      </c>
      <c r="O7805">
        <f>IF(L7805="", "Pending", IF(N7805&lt;=30, "Met", "Breached"))</f>
        <v/>
      </c>
      <c r="P7805" s="8" t="n"/>
      <c r="Q7805" s="8" t="n"/>
      <c r="R7805" s="8" t="n"/>
      <c r="S7805" s="8" t="n"/>
      <c r="T7805" s="8" t="n"/>
      <c r="U7805" s="8" t="n"/>
      <c r="V7805" s="8" t="n"/>
      <c r="W7805" s="8" t="n"/>
      <c r="X7805" s="8" t="n"/>
      <c r="Y7805" s="8" t="n"/>
    </row>
    <row r="7806">
      <c r="A7806" s="8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8" t="n"/>
      <c r="K7806" s="8" t="n"/>
      <c r="L7806" s="8" t="n"/>
      <c r="M7806" s="9">
        <f>B7806+30</f>
        <v/>
      </c>
      <c r="N7806">
        <f>IF(L7806="", "", L7806-B7806)</f>
        <v/>
      </c>
      <c r="O7806">
        <f>IF(L7806="", "Pending", IF(N7806&lt;=30, "Met", "Breached"))</f>
        <v/>
      </c>
      <c r="P7806" s="8" t="n"/>
      <c r="Q7806" s="8" t="n"/>
      <c r="R7806" s="8" t="n"/>
      <c r="S7806" s="8" t="n"/>
      <c r="T7806" s="8" t="n"/>
      <c r="U7806" s="8" t="n"/>
      <c r="V7806" s="8" t="n"/>
      <c r="W7806" s="8" t="n"/>
      <c r="X7806" s="8" t="n"/>
      <c r="Y7806" s="8" t="n"/>
    </row>
    <row r="7807">
      <c r="A7807" s="8" t="n"/>
      <c r="B7807" s="8" t="n"/>
      <c r="C7807" s="8" t="n"/>
      <c r="D7807" s="8" t="n"/>
      <c r="E7807" s="8" t="n"/>
      <c r="F7807" s="8" t="n"/>
      <c r="G7807" s="8" t="n"/>
      <c r="H7807" s="8" t="n"/>
      <c r="I7807" s="8" t="n"/>
      <c r="J7807" s="8" t="n"/>
      <c r="K7807" s="8" t="n"/>
      <c r="L7807" s="8" t="n"/>
      <c r="M7807" s="9">
        <f>B7807+30</f>
        <v/>
      </c>
      <c r="N7807">
        <f>IF(L7807="", "", L7807-B7807)</f>
        <v/>
      </c>
      <c r="O7807">
        <f>IF(L7807="", "Pending", IF(N7807&lt;=30, "Met", "Breached"))</f>
        <v/>
      </c>
      <c r="P7807" s="8" t="n"/>
      <c r="Q7807" s="8" t="n"/>
      <c r="R7807" s="8" t="n"/>
      <c r="S7807" s="8" t="n"/>
      <c r="T7807" s="8" t="n"/>
      <c r="U7807" s="8" t="n"/>
      <c r="V7807" s="8" t="n"/>
      <c r="W7807" s="8" t="n"/>
      <c r="X7807" s="8" t="n"/>
      <c r="Y7807" s="8" t="n"/>
    </row>
    <row r="7808">
      <c r="A7808" s="8" t="n"/>
      <c r="B7808" s="8" t="n"/>
      <c r="C7808" s="8" t="n"/>
      <c r="D7808" s="8" t="n"/>
      <c r="E7808" s="8" t="n"/>
      <c r="F7808" s="8" t="n"/>
      <c r="G7808" s="8" t="n"/>
      <c r="H7808" s="8" t="n"/>
      <c r="I7808" s="8" t="n"/>
      <c r="J7808" s="8" t="n"/>
      <c r="K7808" s="8" t="n"/>
      <c r="L7808" s="8" t="n"/>
      <c r="M7808" s="9">
        <f>B7808+30</f>
        <v/>
      </c>
      <c r="N7808">
        <f>IF(L7808="", "", L7808-B7808)</f>
        <v/>
      </c>
      <c r="O7808">
        <f>IF(L7808="", "Pending", IF(N7808&lt;=30, "Met", "Breached"))</f>
        <v/>
      </c>
      <c r="P7808" s="8" t="n"/>
      <c r="Q7808" s="8" t="n"/>
      <c r="R7808" s="8" t="n"/>
      <c r="S7808" s="8" t="n"/>
      <c r="T7808" s="8" t="n"/>
      <c r="U7808" s="8" t="n"/>
      <c r="V7808" s="8" t="n"/>
      <c r="W7808" s="8" t="n"/>
      <c r="X7808" s="8" t="n"/>
      <c r="Y7808" s="8" t="n"/>
    </row>
    <row r="7809">
      <c r="A7809" s="8" t="n"/>
      <c r="B7809" s="8" t="n"/>
      <c r="C7809" s="8" t="n"/>
      <c r="D7809" s="8" t="n"/>
      <c r="E7809" s="8" t="n"/>
      <c r="F7809" s="8" t="n"/>
      <c r="G7809" s="8" t="n"/>
      <c r="H7809" s="8" t="n"/>
      <c r="I7809" s="8" t="n"/>
      <c r="J7809" s="8" t="n"/>
      <c r="K7809" s="8" t="n"/>
      <c r="L7809" s="8" t="n"/>
      <c r="M7809" s="9">
        <f>B7809+30</f>
        <v/>
      </c>
      <c r="N7809">
        <f>IF(L7809="", "", L7809-B7809)</f>
        <v/>
      </c>
      <c r="O7809">
        <f>IF(L7809="", "Pending", IF(N7809&lt;=30, "Met", "Breached"))</f>
        <v/>
      </c>
      <c r="P7809" s="8" t="n"/>
      <c r="Q7809" s="8" t="n"/>
      <c r="R7809" s="8" t="n"/>
      <c r="S7809" s="8" t="n"/>
      <c r="T7809" s="8" t="n"/>
      <c r="U7809" s="8" t="n"/>
      <c r="V7809" s="8" t="n"/>
      <c r="W7809" s="8" t="n"/>
      <c r="X7809" s="8" t="n"/>
      <c r="Y7809" s="8" t="n"/>
    </row>
    <row r="7810">
      <c r="A7810" s="8" t="n"/>
      <c r="B7810" s="8" t="n"/>
      <c r="C7810" s="8" t="n"/>
      <c r="D7810" s="8" t="n"/>
      <c r="E7810" s="8" t="n"/>
      <c r="F7810" s="8" t="n"/>
      <c r="G7810" s="8" t="n"/>
      <c r="H7810" s="8" t="n"/>
      <c r="I7810" s="8" t="n"/>
      <c r="J7810" s="8" t="n"/>
      <c r="K7810" s="8" t="n"/>
      <c r="L7810" s="8" t="n"/>
      <c r="M7810" s="9">
        <f>B7810+30</f>
        <v/>
      </c>
      <c r="N7810">
        <f>IF(L7810="", "", L7810-B7810)</f>
        <v/>
      </c>
      <c r="O7810">
        <f>IF(L7810="", "Pending", IF(N7810&lt;=30, "Met", "Breached"))</f>
        <v/>
      </c>
      <c r="P7810" s="8" t="n"/>
      <c r="Q7810" s="8" t="n"/>
      <c r="R7810" s="8" t="n"/>
      <c r="S7810" s="8" t="n"/>
      <c r="T7810" s="8" t="n"/>
      <c r="U7810" s="8" t="n"/>
      <c r="V7810" s="8" t="n"/>
      <c r="W7810" s="8" t="n"/>
      <c r="X7810" s="8" t="n"/>
      <c r="Y7810" s="8" t="n"/>
    </row>
    <row r="7811">
      <c r="A7811" s="8" t="n"/>
      <c r="B7811" s="8" t="n"/>
      <c r="C7811" s="8" t="n"/>
      <c r="D7811" s="8" t="n"/>
      <c r="E7811" s="8" t="n"/>
      <c r="F7811" s="8" t="n"/>
      <c r="G7811" s="8" t="n"/>
      <c r="H7811" s="8" t="n"/>
      <c r="I7811" s="8" t="n"/>
      <c r="J7811" s="8" t="n"/>
      <c r="K7811" s="8" t="n"/>
      <c r="L7811" s="8" t="n"/>
      <c r="M7811" s="9">
        <f>B7811+30</f>
        <v/>
      </c>
      <c r="N7811">
        <f>IF(L7811="", "", L7811-B7811)</f>
        <v/>
      </c>
      <c r="O7811">
        <f>IF(L7811="", "Pending", IF(N7811&lt;=30, "Met", "Breached"))</f>
        <v/>
      </c>
      <c r="P7811" s="8" t="n"/>
      <c r="Q7811" s="8" t="n"/>
      <c r="R7811" s="8" t="n"/>
      <c r="S7811" s="8" t="n"/>
      <c r="T7811" s="8" t="n"/>
      <c r="U7811" s="8" t="n"/>
      <c r="V7811" s="8" t="n"/>
      <c r="W7811" s="8" t="n"/>
      <c r="X7811" s="8" t="n"/>
      <c r="Y7811" s="8" t="n"/>
    </row>
    <row r="7812">
      <c r="A7812" s="8" t="n"/>
      <c r="B7812" s="8" t="n"/>
      <c r="C7812" s="8" t="n"/>
      <c r="D7812" s="8" t="n"/>
      <c r="E7812" s="8" t="n"/>
      <c r="F7812" s="8" t="n"/>
      <c r="G7812" s="8" t="n"/>
      <c r="H7812" s="8" t="n"/>
      <c r="I7812" s="8" t="n"/>
      <c r="J7812" s="8" t="n"/>
      <c r="K7812" s="8" t="n"/>
      <c r="L7812" s="8" t="n"/>
      <c r="M7812" s="9">
        <f>B7812+30</f>
        <v/>
      </c>
      <c r="N7812">
        <f>IF(L7812="", "", L7812-B7812)</f>
        <v/>
      </c>
      <c r="O7812">
        <f>IF(L7812="", "Pending", IF(N7812&lt;=30, "Met", "Breached"))</f>
        <v/>
      </c>
      <c r="P7812" s="8" t="n"/>
      <c r="Q7812" s="8" t="n"/>
      <c r="R7812" s="8" t="n"/>
      <c r="S7812" s="8" t="n"/>
      <c r="T7812" s="8" t="n"/>
      <c r="U7812" s="8" t="n"/>
      <c r="V7812" s="8" t="n"/>
      <c r="W7812" s="8" t="n"/>
      <c r="X7812" s="8" t="n"/>
      <c r="Y7812" s="8" t="n"/>
    </row>
    <row r="7813">
      <c r="A7813" s="8" t="n"/>
      <c r="B7813" s="8" t="n"/>
      <c r="C7813" s="8" t="n"/>
      <c r="D7813" s="8" t="n"/>
      <c r="E7813" s="8" t="n"/>
      <c r="F7813" s="8" t="n"/>
      <c r="G7813" s="8" t="n"/>
      <c r="H7813" s="8" t="n"/>
      <c r="I7813" s="8" t="n"/>
      <c r="J7813" s="8" t="n"/>
      <c r="K7813" s="8" t="n"/>
      <c r="L7813" s="8" t="n"/>
      <c r="M7813" s="9">
        <f>B7813+30</f>
        <v/>
      </c>
      <c r="N7813">
        <f>IF(L7813="", "", L7813-B7813)</f>
        <v/>
      </c>
      <c r="O7813">
        <f>IF(L7813="", "Pending", IF(N7813&lt;=30, "Met", "Breached"))</f>
        <v/>
      </c>
      <c r="P7813" s="8" t="n"/>
      <c r="Q7813" s="8" t="n"/>
      <c r="R7813" s="8" t="n"/>
      <c r="S7813" s="8" t="n"/>
      <c r="T7813" s="8" t="n"/>
      <c r="U7813" s="8" t="n"/>
      <c r="V7813" s="8" t="n"/>
      <c r="W7813" s="8" t="n"/>
      <c r="X7813" s="8" t="n"/>
      <c r="Y7813" s="8" t="n"/>
    </row>
    <row r="7814">
      <c r="A7814" s="8" t="n"/>
      <c r="B7814" s="8" t="n"/>
      <c r="C7814" s="8" t="n"/>
      <c r="D7814" s="8" t="n"/>
      <c r="E7814" s="8" t="n"/>
      <c r="F7814" s="8" t="n"/>
      <c r="G7814" s="8" t="n"/>
      <c r="H7814" s="8" t="n"/>
      <c r="I7814" s="8" t="n"/>
      <c r="J7814" s="8" t="n"/>
      <c r="K7814" s="8" t="n"/>
      <c r="L7814" s="8" t="n"/>
      <c r="M7814" s="9">
        <f>B7814+30</f>
        <v/>
      </c>
      <c r="N7814">
        <f>IF(L7814="", "", L7814-B7814)</f>
        <v/>
      </c>
      <c r="O7814">
        <f>IF(L7814="", "Pending", IF(N7814&lt;=30, "Met", "Breached"))</f>
        <v/>
      </c>
      <c r="P7814" s="8" t="n"/>
      <c r="Q7814" s="8" t="n"/>
      <c r="R7814" s="8" t="n"/>
      <c r="S7814" s="8" t="n"/>
      <c r="T7814" s="8" t="n"/>
      <c r="U7814" s="8" t="n"/>
      <c r="V7814" s="8" t="n"/>
      <c r="W7814" s="8" t="n"/>
      <c r="X7814" s="8" t="n"/>
      <c r="Y7814" s="8" t="n"/>
    </row>
    <row r="7815">
      <c r="A7815" s="8" t="n"/>
      <c r="B7815" s="8" t="n"/>
      <c r="C7815" s="8" t="n"/>
      <c r="D7815" s="8" t="n"/>
      <c r="E7815" s="8" t="n"/>
      <c r="F7815" s="8" t="n"/>
      <c r="G7815" s="8" t="n"/>
      <c r="H7815" s="8" t="n"/>
      <c r="I7815" s="8" t="n"/>
      <c r="J7815" s="8" t="n"/>
      <c r="K7815" s="8" t="n"/>
      <c r="L7815" s="8" t="n"/>
      <c r="M7815" s="9">
        <f>B7815+30</f>
        <v/>
      </c>
      <c r="N7815">
        <f>IF(L7815="", "", L7815-B7815)</f>
        <v/>
      </c>
      <c r="O7815">
        <f>IF(L7815="", "Pending", IF(N7815&lt;=30, "Met", "Breached"))</f>
        <v/>
      </c>
      <c r="P7815" s="8" t="n"/>
      <c r="Q7815" s="8" t="n"/>
      <c r="R7815" s="8" t="n"/>
      <c r="S7815" s="8" t="n"/>
      <c r="T7815" s="8" t="n"/>
      <c r="U7815" s="8" t="n"/>
      <c r="V7815" s="8" t="n"/>
      <c r="W7815" s="8" t="n"/>
      <c r="X7815" s="8" t="n"/>
      <c r="Y7815" s="8" t="n"/>
    </row>
    <row r="7816">
      <c r="A7816" s="8" t="n"/>
      <c r="B7816" s="8" t="n"/>
      <c r="C7816" s="8" t="n"/>
      <c r="D7816" s="8" t="n"/>
      <c r="E7816" s="8" t="n"/>
      <c r="F7816" s="8" t="n"/>
      <c r="G7816" s="8" t="n"/>
      <c r="H7816" s="8" t="n"/>
      <c r="I7816" s="8" t="n"/>
      <c r="J7816" s="8" t="n"/>
      <c r="K7816" s="8" t="n"/>
      <c r="L7816" s="8" t="n"/>
      <c r="M7816" s="9">
        <f>B7816+30</f>
        <v/>
      </c>
      <c r="N7816">
        <f>IF(L7816="", "", L7816-B7816)</f>
        <v/>
      </c>
      <c r="O7816">
        <f>IF(L7816="", "Pending", IF(N7816&lt;=30, "Met", "Breached"))</f>
        <v/>
      </c>
      <c r="P7816" s="8" t="n"/>
      <c r="Q7816" s="8" t="n"/>
      <c r="R7816" s="8" t="n"/>
      <c r="S7816" s="8" t="n"/>
      <c r="T7816" s="8" t="n"/>
      <c r="U7816" s="8" t="n"/>
      <c r="V7816" s="8" t="n"/>
      <c r="W7816" s="8" t="n"/>
      <c r="X7816" s="8" t="n"/>
      <c r="Y7816" s="8" t="n"/>
    </row>
    <row r="7817">
      <c r="A7817" s="8" t="n"/>
      <c r="B7817" s="8" t="n"/>
      <c r="C7817" s="8" t="n"/>
      <c r="D7817" s="8" t="n"/>
      <c r="E7817" s="8" t="n"/>
      <c r="F7817" s="8" t="n"/>
      <c r="G7817" s="8" t="n"/>
      <c r="H7817" s="8" t="n"/>
      <c r="I7817" s="8" t="n"/>
      <c r="J7817" s="8" t="n"/>
      <c r="K7817" s="8" t="n"/>
      <c r="L7817" s="8" t="n"/>
      <c r="M7817" s="9">
        <f>B7817+30</f>
        <v/>
      </c>
      <c r="N7817">
        <f>IF(L7817="", "", L7817-B7817)</f>
        <v/>
      </c>
      <c r="O7817">
        <f>IF(L7817="", "Pending", IF(N7817&lt;=30, "Met", "Breached"))</f>
        <v/>
      </c>
      <c r="P7817" s="8" t="n"/>
      <c r="Q7817" s="8" t="n"/>
      <c r="R7817" s="8" t="n"/>
      <c r="S7817" s="8" t="n"/>
      <c r="T7817" s="8" t="n"/>
      <c r="U7817" s="8" t="n"/>
      <c r="V7817" s="8" t="n"/>
      <c r="W7817" s="8" t="n"/>
      <c r="X7817" s="8" t="n"/>
      <c r="Y7817" s="8" t="n"/>
    </row>
    <row r="7818">
      <c r="A7818" s="8" t="n"/>
      <c r="B7818" s="8" t="n"/>
      <c r="C7818" s="8" t="n"/>
      <c r="D7818" s="8" t="n"/>
      <c r="E7818" s="8" t="n"/>
      <c r="F7818" s="8" t="n"/>
      <c r="G7818" s="8" t="n"/>
      <c r="H7818" s="8" t="n"/>
      <c r="I7818" s="8" t="n"/>
      <c r="J7818" s="8" t="n"/>
      <c r="K7818" s="8" t="n"/>
      <c r="L7818" s="8" t="n"/>
      <c r="M7818" s="9">
        <f>B7818+30</f>
        <v/>
      </c>
      <c r="N7818">
        <f>IF(L7818="", "", L7818-B7818)</f>
        <v/>
      </c>
      <c r="O7818">
        <f>IF(L7818="", "Pending", IF(N7818&lt;=30, "Met", "Breached"))</f>
        <v/>
      </c>
      <c r="P7818" s="8" t="n"/>
      <c r="Q7818" s="8" t="n"/>
      <c r="R7818" s="8" t="n"/>
      <c r="S7818" s="8" t="n"/>
      <c r="T7818" s="8" t="n"/>
      <c r="U7818" s="8" t="n"/>
      <c r="V7818" s="8" t="n"/>
      <c r="W7818" s="8" t="n"/>
      <c r="X7818" s="8" t="n"/>
      <c r="Y7818" s="8" t="n"/>
    </row>
    <row r="7819">
      <c r="A7819" s="8" t="n"/>
      <c r="B7819" s="8" t="n"/>
      <c r="C7819" s="8" t="n"/>
      <c r="D7819" s="8" t="n"/>
      <c r="E7819" s="8" t="n"/>
      <c r="F7819" s="8" t="n"/>
      <c r="G7819" s="8" t="n"/>
      <c r="H7819" s="8" t="n"/>
      <c r="I7819" s="8" t="n"/>
      <c r="J7819" s="8" t="n"/>
      <c r="K7819" s="8" t="n"/>
      <c r="L7819" s="8" t="n"/>
      <c r="M7819" s="9">
        <f>B7819+30</f>
        <v/>
      </c>
      <c r="N7819">
        <f>IF(L7819="", "", L7819-B7819)</f>
        <v/>
      </c>
      <c r="O7819">
        <f>IF(L7819="", "Pending", IF(N7819&lt;=30, "Met", "Breached"))</f>
        <v/>
      </c>
      <c r="P7819" s="8" t="n"/>
      <c r="Q7819" s="8" t="n"/>
      <c r="R7819" s="8" t="n"/>
      <c r="S7819" s="8" t="n"/>
      <c r="T7819" s="8" t="n"/>
      <c r="U7819" s="8" t="n"/>
      <c r="V7819" s="8" t="n"/>
      <c r="W7819" s="8" t="n"/>
      <c r="X7819" s="8" t="n"/>
      <c r="Y7819" s="8" t="n"/>
    </row>
    <row r="7820">
      <c r="A7820" s="8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8" t="n"/>
      <c r="K7820" s="8" t="n"/>
      <c r="L7820" s="8" t="n"/>
      <c r="M7820" s="9">
        <f>B7820+30</f>
        <v/>
      </c>
      <c r="N7820">
        <f>IF(L7820="", "", L7820-B7820)</f>
        <v/>
      </c>
      <c r="O7820">
        <f>IF(L7820="", "Pending", IF(N7820&lt;=30, "Met", "Breached"))</f>
        <v/>
      </c>
      <c r="P7820" s="8" t="n"/>
      <c r="Q7820" s="8" t="n"/>
      <c r="R7820" s="8" t="n"/>
      <c r="S7820" s="8" t="n"/>
      <c r="T7820" s="8" t="n"/>
      <c r="U7820" s="8" t="n"/>
      <c r="V7820" s="8" t="n"/>
      <c r="W7820" s="8" t="n"/>
      <c r="X7820" s="8" t="n"/>
      <c r="Y7820" s="8" t="n"/>
    </row>
    <row r="7821">
      <c r="A7821" s="8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8" t="n"/>
      <c r="K7821" s="8" t="n"/>
      <c r="L7821" s="8" t="n"/>
      <c r="M7821" s="9">
        <f>B7821+30</f>
        <v/>
      </c>
      <c r="N7821">
        <f>IF(L7821="", "", L7821-B7821)</f>
        <v/>
      </c>
      <c r="O7821">
        <f>IF(L7821="", "Pending", IF(N7821&lt;=30, "Met", "Breached"))</f>
        <v/>
      </c>
      <c r="P7821" s="8" t="n"/>
      <c r="Q7821" s="8" t="n"/>
      <c r="R7821" s="8" t="n"/>
      <c r="S7821" s="8" t="n"/>
      <c r="T7821" s="8" t="n"/>
      <c r="U7821" s="8" t="n"/>
      <c r="V7821" s="8" t="n"/>
      <c r="W7821" s="8" t="n"/>
      <c r="X7821" s="8" t="n"/>
      <c r="Y7821" s="8" t="n"/>
    </row>
    <row r="7822">
      <c r="A7822" s="8" t="n"/>
      <c r="B7822" s="8" t="n"/>
      <c r="C7822" s="8" t="n"/>
      <c r="D7822" s="8" t="n"/>
      <c r="E7822" s="8" t="n"/>
      <c r="F7822" s="8" t="n"/>
      <c r="G7822" s="8" t="n"/>
      <c r="H7822" s="8" t="n"/>
      <c r="I7822" s="8" t="n"/>
      <c r="J7822" s="8" t="n"/>
      <c r="K7822" s="8" t="n"/>
      <c r="L7822" s="8" t="n"/>
      <c r="M7822" s="9">
        <f>B7822+30</f>
        <v/>
      </c>
      <c r="N7822">
        <f>IF(L7822="", "", L7822-B7822)</f>
        <v/>
      </c>
      <c r="O7822">
        <f>IF(L7822="", "Pending", IF(N7822&lt;=30, "Met", "Breached"))</f>
        <v/>
      </c>
      <c r="P7822" s="8" t="n"/>
      <c r="Q7822" s="8" t="n"/>
      <c r="R7822" s="8" t="n"/>
      <c r="S7822" s="8" t="n"/>
      <c r="T7822" s="8" t="n"/>
      <c r="U7822" s="8" t="n"/>
      <c r="V7822" s="8" t="n"/>
      <c r="W7822" s="8" t="n"/>
      <c r="X7822" s="8" t="n"/>
      <c r="Y7822" s="8" t="n"/>
    </row>
    <row r="7823">
      <c r="A7823" s="8" t="n"/>
      <c r="B7823" s="8" t="n"/>
      <c r="C7823" s="8" t="n"/>
      <c r="D7823" s="8" t="n"/>
      <c r="E7823" s="8" t="n"/>
      <c r="F7823" s="8" t="n"/>
      <c r="G7823" s="8" t="n"/>
      <c r="H7823" s="8" t="n"/>
      <c r="I7823" s="8" t="n"/>
      <c r="J7823" s="8" t="n"/>
      <c r="K7823" s="8" t="n"/>
      <c r="L7823" s="8" t="n"/>
      <c r="M7823" s="9">
        <f>B7823+30</f>
        <v/>
      </c>
      <c r="N7823">
        <f>IF(L7823="", "", L7823-B7823)</f>
        <v/>
      </c>
      <c r="O7823">
        <f>IF(L7823="", "Pending", IF(N7823&lt;=30, "Met", "Breached"))</f>
        <v/>
      </c>
      <c r="P7823" s="8" t="n"/>
      <c r="Q7823" s="8" t="n"/>
      <c r="R7823" s="8" t="n"/>
      <c r="S7823" s="8" t="n"/>
      <c r="T7823" s="8" t="n"/>
      <c r="U7823" s="8" t="n"/>
      <c r="V7823" s="8" t="n"/>
      <c r="W7823" s="8" t="n"/>
      <c r="X7823" s="8" t="n"/>
      <c r="Y7823" s="8" t="n"/>
    </row>
    <row r="7824">
      <c r="A7824" s="8" t="n"/>
      <c r="B7824" s="8" t="n"/>
      <c r="C7824" s="8" t="n"/>
      <c r="D7824" s="8" t="n"/>
      <c r="E7824" s="8" t="n"/>
      <c r="F7824" s="8" t="n"/>
      <c r="G7824" s="8" t="n"/>
      <c r="H7824" s="8" t="n"/>
      <c r="I7824" s="8" t="n"/>
      <c r="J7824" s="8" t="n"/>
      <c r="K7824" s="8" t="n"/>
      <c r="L7824" s="8" t="n"/>
      <c r="M7824" s="9">
        <f>B7824+30</f>
        <v/>
      </c>
      <c r="N7824">
        <f>IF(L7824="", "", L7824-B7824)</f>
        <v/>
      </c>
      <c r="O7824">
        <f>IF(L7824="", "Pending", IF(N7824&lt;=30, "Met", "Breached"))</f>
        <v/>
      </c>
      <c r="P7824" s="8" t="n"/>
      <c r="Q7824" s="8" t="n"/>
      <c r="R7824" s="8" t="n"/>
      <c r="S7824" s="8" t="n"/>
      <c r="T7824" s="8" t="n"/>
      <c r="U7824" s="8" t="n"/>
      <c r="V7824" s="8" t="n"/>
      <c r="W7824" s="8" t="n"/>
      <c r="X7824" s="8" t="n"/>
      <c r="Y7824" s="8" t="n"/>
    </row>
    <row r="7825">
      <c r="A7825" s="8" t="n"/>
      <c r="B7825" s="8" t="n"/>
      <c r="C7825" s="8" t="n"/>
      <c r="D7825" s="8" t="n"/>
      <c r="E7825" s="8" t="n"/>
      <c r="F7825" s="8" t="n"/>
      <c r="G7825" s="8" t="n"/>
      <c r="H7825" s="8" t="n"/>
      <c r="I7825" s="8" t="n"/>
      <c r="J7825" s="8" t="n"/>
      <c r="K7825" s="8" t="n"/>
      <c r="L7825" s="8" t="n"/>
      <c r="M7825" s="9">
        <f>B7825+30</f>
        <v/>
      </c>
      <c r="N7825">
        <f>IF(L7825="", "", L7825-B7825)</f>
        <v/>
      </c>
      <c r="O7825">
        <f>IF(L7825="", "Pending", IF(N7825&lt;=30, "Met", "Breached"))</f>
        <v/>
      </c>
      <c r="P7825" s="8" t="n"/>
      <c r="Q7825" s="8" t="n"/>
      <c r="R7825" s="8" t="n"/>
      <c r="S7825" s="8" t="n"/>
      <c r="T7825" s="8" t="n"/>
      <c r="U7825" s="8" t="n"/>
      <c r="V7825" s="8" t="n"/>
      <c r="W7825" s="8" t="n"/>
      <c r="X7825" s="8" t="n"/>
      <c r="Y7825" s="8" t="n"/>
    </row>
    <row r="7826">
      <c r="A7826" s="8" t="n"/>
      <c r="B7826" s="8" t="n"/>
      <c r="C7826" s="8" t="n"/>
      <c r="D7826" s="8" t="n"/>
      <c r="E7826" s="8" t="n"/>
      <c r="F7826" s="8" t="n"/>
      <c r="G7826" s="8" t="n"/>
      <c r="H7826" s="8" t="n"/>
      <c r="I7826" s="8" t="n"/>
      <c r="J7826" s="8" t="n"/>
      <c r="K7826" s="8" t="n"/>
      <c r="L7826" s="8" t="n"/>
      <c r="M7826" s="9">
        <f>B7826+30</f>
        <v/>
      </c>
      <c r="N7826">
        <f>IF(L7826="", "", L7826-B7826)</f>
        <v/>
      </c>
      <c r="O7826">
        <f>IF(L7826="", "Pending", IF(N7826&lt;=30, "Met", "Breached"))</f>
        <v/>
      </c>
      <c r="P7826" s="8" t="n"/>
      <c r="Q7826" s="8" t="n"/>
      <c r="R7826" s="8" t="n"/>
      <c r="S7826" s="8" t="n"/>
      <c r="T7826" s="8" t="n"/>
      <c r="U7826" s="8" t="n"/>
      <c r="V7826" s="8" t="n"/>
      <c r="W7826" s="8" t="n"/>
      <c r="X7826" s="8" t="n"/>
      <c r="Y7826" s="8" t="n"/>
    </row>
    <row r="7827">
      <c r="A7827" s="8" t="n"/>
      <c r="B7827" s="8" t="n"/>
      <c r="C7827" s="8" t="n"/>
      <c r="D7827" s="8" t="n"/>
      <c r="E7827" s="8" t="n"/>
      <c r="F7827" s="8" t="n"/>
      <c r="G7827" s="8" t="n"/>
      <c r="H7827" s="8" t="n"/>
      <c r="I7827" s="8" t="n"/>
      <c r="J7827" s="8" t="n"/>
      <c r="K7827" s="8" t="n"/>
      <c r="L7827" s="8" t="n"/>
      <c r="M7827" s="9">
        <f>B7827+30</f>
        <v/>
      </c>
      <c r="N7827">
        <f>IF(L7827="", "", L7827-B7827)</f>
        <v/>
      </c>
      <c r="O7827">
        <f>IF(L7827="", "Pending", IF(N7827&lt;=30, "Met", "Breached"))</f>
        <v/>
      </c>
      <c r="P7827" s="8" t="n"/>
      <c r="Q7827" s="8" t="n"/>
      <c r="R7827" s="8" t="n"/>
      <c r="S7827" s="8" t="n"/>
      <c r="T7827" s="8" t="n"/>
      <c r="U7827" s="8" t="n"/>
      <c r="V7827" s="8" t="n"/>
      <c r="W7827" s="8" t="n"/>
      <c r="X7827" s="8" t="n"/>
      <c r="Y7827" s="8" t="n"/>
    </row>
    <row r="7828">
      <c r="A7828" s="8" t="n"/>
      <c r="B7828" s="8" t="n"/>
      <c r="C7828" s="8" t="n"/>
      <c r="D7828" s="8" t="n"/>
      <c r="E7828" s="8" t="n"/>
      <c r="F7828" s="8" t="n"/>
      <c r="G7828" s="8" t="n"/>
      <c r="H7828" s="8" t="n"/>
      <c r="I7828" s="8" t="n"/>
      <c r="J7828" s="8" t="n"/>
      <c r="K7828" s="8" t="n"/>
      <c r="L7828" s="8" t="n"/>
      <c r="M7828" s="9">
        <f>B7828+30</f>
        <v/>
      </c>
      <c r="N7828">
        <f>IF(L7828="", "", L7828-B7828)</f>
        <v/>
      </c>
      <c r="O7828">
        <f>IF(L7828="", "Pending", IF(N7828&lt;=30, "Met", "Breached"))</f>
        <v/>
      </c>
      <c r="P7828" s="8" t="n"/>
      <c r="Q7828" s="8" t="n"/>
      <c r="R7828" s="8" t="n"/>
      <c r="S7828" s="8" t="n"/>
      <c r="T7828" s="8" t="n"/>
      <c r="U7828" s="8" t="n"/>
      <c r="V7828" s="8" t="n"/>
      <c r="W7828" s="8" t="n"/>
      <c r="X7828" s="8" t="n"/>
      <c r="Y7828" s="8" t="n"/>
    </row>
    <row r="7829">
      <c r="A7829" s="8" t="n"/>
      <c r="B7829" s="8" t="n"/>
      <c r="C7829" s="8" t="n"/>
      <c r="D7829" s="8" t="n"/>
      <c r="E7829" s="8" t="n"/>
      <c r="F7829" s="8" t="n"/>
      <c r="G7829" s="8" t="n"/>
      <c r="H7829" s="8" t="n"/>
      <c r="I7829" s="8" t="n"/>
      <c r="J7829" s="8" t="n"/>
      <c r="K7829" s="8" t="n"/>
      <c r="L7829" s="8" t="n"/>
      <c r="M7829" s="9">
        <f>B7829+30</f>
        <v/>
      </c>
      <c r="N7829">
        <f>IF(L7829="", "", L7829-B7829)</f>
        <v/>
      </c>
      <c r="O7829">
        <f>IF(L7829="", "Pending", IF(N7829&lt;=30, "Met", "Breached"))</f>
        <v/>
      </c>
      <c r="P7829" s="8" t="n"/>
      <c r="Q7829" s="8" t="n"/>
      <c r="R7829" s="8" t="n"/>
      <c r="S7829" s="8" t="n"/>
      <c r="T7829" s="8" t="n"/>
      <c r="U7829" s="8" t="n"/>
      <c r="V7829" s="8" t="n"/>
      <c r="W7829" s="8" t="n"/>
      <c r="X7829" s="8" t="n"/>
      <c r="Y7829" s="8" t="n"/>
    </row>
    <row r="7830">
      <c r="A7830" s="8" t="n"/>
      <c r="B7830" s="8" t="n"/>
      <c r="C7830" s="8" t="n"/>
      <c r="D7830" s="8" t="n"/>
      <c r="E7830" s="8" t="n"/>
      <c r="F7830" s="8" t="n"/>
      <c r="G7830" s="8" t="n"/>
      <c r="H7830" s="8" t="n"/>
      <c r="I7830" s="8" t="n"/>
      <c r="J7830" s="8" t="n"/>
      <c r="K7830" s="8" t="n"/>
      <c r="L7830" s="8" t="n"/>
      <c r="M7830" s="9">
        <f>B7830+30</f>
        <v/>
      </c>
      <c r="N7830">
        <f>IF(L7830="", "", L7830-B7830)</f>
        <v/>
      </c>
      <c r="O7830">
        <f>IF(L7830="", "Pending", IF(N7830&lt;=30, "Met", "Breached"))</f>
        <v/>
      </c>
      <c r="P7830" s="8" t="n"/>
      <c r="Q7830" s="8" t="n"/>
      <c r="R7830" s="8" t="n"/>
      <c r="S7830" s="8" t="n"/>
      <c r="T7830" s="8" t="n"/>
      <c r="U7830" s="8" t="n"/>
      <c r="V7830" s="8" t="n"/>
      <c r="W7830" s="8" t="n"/>
      <c r="X7830" s="8" t="n"/>
      <c r="Y7830" s="8" t="n"/>
    </row>
    <row r="7831">
      <c r="A7831" s="8" t="n"/>
      <c r="B7831" s="8" t="n"/>
      <c r="C7831" s="8" t="n"/>
      <c r="D7831" s="8" t="n"/>
      <c r="E7831" s="8" t="n"/>
      <c r="F7831" s="8" t="n"/>
      <c r="G7831" s="8" t="n"/>
      <c r="H7831" s="8" t="n"/>
      <c r="I7831" s="8" t="n"/>
      <c r="J7831" s="8" t="n"/>
      <c r="K7831" s="8" t="n"/>
      <c r="L7831" s="8" t="n"/>
      <c r="M7831" s="9">
        <f>B7831+30</f>
        <v/>
      </c>
      <c r="N7831">
        <f>IF(L7831="", "", L7831-B7831)</f>
        <v/>
      </c>
      <c r="O7831">
        <f>IF(L7831="", "Pending", IF(N7831&lt;=30, "Met", "Breached"))</f>
        <v/>
      </c>
      <c r="P7831" s="8" t="n"/>
      <c r="Q7831" s="8" t="n"/>
      <c r="R7831" s="8" t="n"/>
      <c r="S7831" s="8" t="n"/>
      <c r="T7831" s="8" t="n"/>
      <c r="U7831" s="8" t="n"/>
      <c r="V7831" s="8" t="n"/>
      <c r="W7831" s="8" t="n"/>
      <c r="X7831" s="8" t="n"/>
      <c r="Y7831" s="8" t="n"/>
    </row>
    <row r="7832">
      <c r="A7832" s="8" t="n"/>
      <c r="B7832" s="8" t="n"/>
      <c r="C7832" s="8" t="n"/>
      <c r="D7832" s="8" t="n"/>
      <c r="E7832" s="8" t="n"/>
      <c r="F7832" s="8" t="n"/>
      <c r="G7832" s="8" t="n"/>
      <c r="H7832" s="8" t="n"/>
      <c r="I7832" s="8" t="n"/>
      <c r="J7832" s="8" t="n"/>
      <c r="K7832" s="8" t="n"/>
      <c r="L7832" s="8" t="n"/>
      <c r="M7832" s="9">
        <f>B7832+30</f>
        <v/>
      </c>
      <c r="N7832">
        <f>IF(L7832="", "", L7832-B7832)</f>
        <v/>
      </c>
      <c r="O7832">
        <f>IF(L7832="", "Pending", IF(N7832&lt;=30, "Met", "Breached"))</f>
        <v/>
      </c>
      <c r="P7832" s="8" t="n"/>
      <c r="Q7832" s="8" t="n"/>
      <c r="R7832" s="8" t="n"/>
      <c r="S7832" s="8" t="n"/>
      <c r="T7832" s="8" t="n"/>
      <c r="U7832" s="8" t="n"/>
      <c r="V7832" s="8" t="n"/>
      <c r="W7832" s="8" t="n"/>
      <c r="X7832" s="8" t="n"/>
      <c r="Y7832" s="8" t="n"/>
    </row>
    <row r="7833">
      <c r="A7833" s="8" t="n"/>
      <c r="B7833" s="8" t="n"/>
      <c r="C7833" s="8" t="n"/>
      <c r="D7833" s="8" t="n"/>
      <c r="E7833" s="8" t="n"/>
      <c r="F7833" s="8" t="n"/>
      <c r="G7833" s="8" t="n"/>
      <c r="H7833" s="8" t="n"/>
      <c r="I7833" s="8" t="n"/>
      <c r="J7833" s="8" t="n"/>
      <c r="K7833" s="8" t="n"/>
      <c r="L7833" s="8" t="n"/>
      <c r="M7833" s="9">
        <f>B7833+30</f>
        <v/>
      </c>
      <c r="N7833">
        <f>IF(L7833="", "", L7833-B7833)</f>
        <v/>
      </c>
      <c r="O7833">
        <f>IF(L7833="", "Pending", IF(N7833&lt;=30, "Met", "Breached"))</f>
        <v/>
      </c>
      <c r="P7833" s="8" t="n"/>
      <c r="Q7833" s="8" t="n"/>
      <c r="R7833" s="8" t="n"/>
      <c r="S7833" s="8" t="n"/>
      <c r="T7833" s="8" t="n"/>
      <c r="U7833" s="8" t="n"/>
      <c r="V7833" s="8" t="n"/>
      <c r="W7833" s="8" t="n"/>
      <c r="X7833" s="8" t="n"/>
      <c r="Y7833" s="8" t="n"/>
    </row>
    <row r="7834">
      <c r="A7834" s="8" t="n"/>
      <c r="B7834" s="8" t="n"/>
      <c r="C7834" s="8" t="n"/>
      <c r="D7834" s="8" t="n"/>
      <c r="E7834" s="8" t="n"/>
      <c r="F7834" s="8" t="n"/>
      <c r="G7834" s="8" t="n"/>
      <c r="H7834" s="8" t="n"/>
      <c r="I7834" s="8" t="n"/>
      <c r="J7834" s="8" t="n"/>
      <c r="K7834" s="8" t="n"/>
      <c r="L7834" s="8" t="n"/>
      <c r="M7834" s="9">
        <f>B7834+30</f>
        <v/>
      </c>
      <c r="N7834">
        <f>IF(L7834="", "", L7834-B7834)</f>
        <v/>
      </c>
      <c r="O7834">
        <f>IF(L7834="", "Pending", IF(N7834&lt;=30, "Met", "Breached"))</f>
        <v/>
      </c>
      <c r="P7834" s="8" t="n"/>
      <c r="Q7834" s="8" t="n"/>
      <c r="R7834" s="8" t="n"/>
      <c r="S7834" s="8" t="n"/>
      <c r="T7834" s="8" t="n"/>
      <c r="U7834" s="8" t="n"/>
      <c r="V7834" s="8" t="n"/>
      <c r="W7834" s="8" t="n"/>
      <c r="X7834" s="8" t="n"/>
      <c r="Y7834" s="8" t="n"/>
    </row>
    <row r="7835">
      <c r="A7835" s="8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8" t="n"/>
      <c r="K7835" s="8" t="n"/>
      <c r="L7835" s="8" t="n"/>
      <c r="M7835" s="9">
        <f>B7835+30</f>
        <v/>
      </c>
      <c r="N7835">
        <f>IF(L7835="", "", L7835-B7835)</f>
        <v/>
      </c>
      <c r="O7835">
        <f>IF(L7835="", "Pending", IF(N7835&lt;=30, "Met", "Breached"))</f>
        <v/>
      </c>
      <c r="P7835" s="8" t="n"/>
      <c r="Q7835" s="8" t="n"/>
      <c r="R7835" s="8" t="n"/>
      <c r="S7835" s="8" t="n"/>
      <c r="T7835" s="8" t="n"/>
      <c r="U7835" s="8" t="n"/>
      <c r="V7835" s="8" t="n"/>
      <c r="W7835" s="8" t="n"/>
      <c r="X7835" s="8" t="n"/>
      <c r="Y7835" s="8" t="n"/>
    </row>
    <row r="7836">
      <c r="A7836" s="8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8" t="n"/>
      <c r="K7836" s="8" t="n"/>
      <c r="L7836" s="8" t="n"/>
      <c r="M7836" s="9">
        <f>B7836+30</f>
        <v/>
      </c>
      <c r="N7836">
        <f>IF(L7836="", "", L7836-B7836)</f>
        <v/>
      </c>
      <c r="O7836">
        <f>IF(L7836="", "Pending", IF(N7836&lt;=30, "Met", "Breached"))</f>
        <v/>
      </c>
      <c r="P7836" s="8" t="n"/>
      <c r="Q7836" s="8" t="n"/>
      <c r="R7836" s="8" t="n"/>
      <c r="S7836" s="8" t="n"/>
      <c r="T7836" s="8" t="n"/>
      <c r="U7836" s="8" t="n"/>
      <c r="V7836" s="8" t="n"/>
      <c r="W7836" s="8" t="n"/>
      <c r="X7836" s="8" t="n"/>
      <c r="Y7836" s="8" t="n"/>
    </row>
    <row r="7837">
      <c r="A7837" s="8" t="n"/>
      <c r="B7837" s="8" t="n"/>
      <c r="C7837" s="8" t="n"/>
      <c r="D7837" s="8" t="n"/>
      <c r="E7837" s="8" t="n"/>
      <c r="F7837" s="8" t="n"/>
      <c r="G7837" s="8" t="n"/>
      <c r="H7837" s="8" t="n"/>
      <c r="I7837" s="8" t="n"/>
      <c r="J7837" s="8" t="n"/>
      <c r="K7837" s="8" t="n"/>
      <c r="L7837" s="8" t="n"/>
      <c r="M7837" s="9">
        <f>B7837+30</f>
        <v/>
      </c>
      <c r="N7837">
        <f>IF(L7837="", "", L7837-B7837)</f>
        <v/>
      </c>
      <c r="O7837">
        <f>IF(L7837="", "Pending", IF(N7837&lt;=30, "Met", "Breached"))</f>
        <v/>
      </c>
      <c r="P7837" s="8" t="n"/>
      <c r="Q7837" s="8" t="n"/>
      <c r="R7837" s="8" t="n"/>
      <c r="S7837" s="8" t="n"/>
      <c r="T7837" s="8" t="n"/>
      <c r="U7837" s="8" t="n"/>
      <c r="V7837" s="8" t="n"/>
      <c r="W7837" s="8" t="n"/>
      <c r="X7837" s="8" t="n"/>
      <c r="Y7837" s="8" t="n"/>
    </row>
    <row r="7838">
      <c r="A7838" s="8" t="n"/>
      <c r="B7838" s="8" t="n"/>
      <c r="C7838" s="8" t="n"/>
      <c r="D7838" s="8" t="n"/>
      <c r="E7838" s="8" t="n"/>
      <c r="F7838" s="8" t="n"/>
      <c r="G7838" s="8" t="n"/>
      <c r="H7838" s="8" t="n"/>
      <c r="I7838" s="8" t="n"/>
      <c r="J7838" s="8" t="n"/>
      <c r="K7838" s="8" t="n"/>
      <c r="L7838" s="8" t="n"/>
      <c r="M7838" s="9">
        <f>B7838+30</f>
        <v/>
      </c>
      <c r="N7838">
        <f>IF(L7838="", "", L7838-B7838)</f>
        <v/>
      </c>
      <c r="O7838">
        <f>IF(L7838="", "Pending", IF(N7838&lt;=30, "Met", "Breached"))</f>
        <v/>
      </c>
      <c r="P7838" s="8" t="n"/>
      <c r="Q7838" s="8" t="n"/>
      <c r="R7838" s="8" t="n"/>
      <c r="S7838" s="8" t="n"/>
      <c r="T7838" s="8" t="n"/>
      <c r="U7838" s="8" t="n"/>
      <c r="V7838" s="8" t="n"/>
      <c r="W7838" s="8" t="n"/>
      <c r="X7838" s="8" t="n"/>
      <c r="Y7838" s="8" t="n"/>
    </row>
    <row r="7839">
      <c r="A7839" s="8" t="n"/>
      <c r="B7839" s="8" t="n"/>
      <c r="C7839" s="8" t="n"/>
      <c r="D7839" s="8" t="n"/>
      <c r="E7839" s="8" t="n"/>
      <c r="F7839" s="8" t="n"/>
      <c r="G7839" s="8" t="n"/>
      <c r="H7839" s="8" t="n"/>
      <c r="I7839" s="8" t="n"/>
      <c r="J7839" s="8" t="n"/>
      <c r="K7839" s="8" t="n"/>
      <c r="L7839" s="8" t="n"/>
      <c r="M7839" s="9">
        <f>B7839+30</f>
        <v/>
      </c>
      <c r="N7839">
        <f>IF(L7839="", "", L7839-B7839)</f>
        <v/>
      </c>
      <c r="O7839">
        <f>IF(L7839="", "Pending", IF(N7839&lt;=30, "Met", "Breached"))</f>
        <v/>
      </c>
      <c r="P7839" s="8" t="n"/>
      <c r="Q7839" s="8" t="n"/>
      <c r="R7839" s="8" t="n"/>
      <c r="S7839" s="8" t="n"/>
      <c r="T7839" s="8" t="n"/>
      <c r="U7839" s="8" t="n"/>
      <c r="V7839" s="8" t="n"/>
      <c r="W7839" s="8" t="n"/>
      <c r="X7839" s="8" t="n"/>
      <c r="Y7839" s="8" t="n"/>
    </row>
    <row r="7840">
      <c r="A7840" s="8" t="n"/>
      <c r="B7840" s="8" t="n"/>
      <c r="C7840" s="8" t="n"/>
      <c r="D7840" s="8" t="n"/>
      <c r="E7840" s="8" t="n"/>
      <c r="F7840" s="8" t="n"/>
      <c r="G7840" s="8" t="n"/>
      <c r="H7840" s="8" t="n"/>
      <c r="I7840" s="8" t="n"/>
      <c r="J7840" s="8" t="n"/>
      <c r="K7840" s="8" t="n"/>
      <c r="L7840" s="8" t="n"/>
      <c r="M7840" s="9">
        <f>B7840+30</f>
        <v/>
      </c>
      <c r="N7840">
        <f>IF(L7840="", "", L7840-B7840)</f>
        <v/>
      </c>
      <c r="O7840">
        <f>IF(L7840="", "Pending", IF(N7840&lt;=30, "Met", "Breached"))</f>
        <v/>
      </c>
      <c r="P7840" s="8" t="n"/>
      <c r="Q7840" s="8" t="n"/>
      <c r="R7840" s="8" t="n"/>
      <c r="S7840" s="8" t="n"/>
      <c r="T7840" s="8" t="n"/>
      <c r="U7840" s="8" t="n"/>
      <c r="V7840" s="8" t="n"/>
      <c r="W7840" s="8" t="n"/>
      <c r="X7840" s="8" t="n"/>
      <c r="Y7840" s="8" t="n"/>
    </row>
    <row r="7841">
      <c r="A7841" s="8" t="n"/>
      <c r="B7841" s="8" t="n"/>
      <c r="C7841" s="8" t="n"/>
      <c r="D7841" s="8" t="n"/>
      <c r="E7841" s="8" t="n"/>
      <c r="F7841" s="8" t="n"/>
      <c r="G7841" s="8" t="n"/>
      <c r="H7841" s="8" t="n"/>
      <c r="I7841" s="8" t="n"/>
      <c r="J7841" s="8" t="n"/>
      <c r="K7841" s="8" t="n"/>
      <c r="L7841" s="8" t="n"/>
      <c r="M7841" s="9">
        <f>B7841+30</f>
        <v/>
      </c>
      <c r="N7841">
        <f>IF(L7841="", "", L7841-B7841)</f>
        <v/>
      </c>
      <c r="O7841">
        <f>IF(L7841="", "Pending", IF(N7841&lt;=30, "Met", "Breached"))</f>
        <v/>
      </c>
      <c r="P7841" s="8" t="n"/>
      <c r="Q7841" s="8" t="n"/>
      <c r="R7841" s="8" t="n"/>
      <c r="S7841" s="8" t="n"/>
      <c r="T7841" s="8" t="n"/>
      <c r="U7841" s="8" t="n"/>
      <c r="V7841" s="8" t="n"/>
      <c r="W7841" s="8" t="n"/>
      <c r="X7841" s="8" t="n"/>
      <c r="Y7841" s="8" t="n"/>
    </row>
    <row r="7842">
      <c r="A7842" s="8" t="n"/>
      <c r="B7842" s="8" t="n"/>
      <c r="C7842" s="8" t="n"/>
      <c r="D7842" s="8" t="n"/>
      <c r="E7842" s="8" t="n"/>
      <c r="F7842" s="8" t="n"/>
      <c r="G7842" s="8" t="n"/>
      <c r="H7842" s="8" t="n"/>
      <c r="I7842" s="8" t="n"/>
      <c r="J7842" s="8" t="n"/>
      <c r="K7842" s="8" t="n"/>
      <c r="L7842" s="8" t="n"/>
      <c r="M7842" s="9">
        <f>B7842+30</f>
        <v/>
      </c>
      <c r="N7842">
        <f>IF(L7842="", "", L7842-B7842)</f>
        <v/>
      </c>
      <c r="O7842">
        <f>IF(L7842="", "Pending", IF(N7842&lt;=30, "Met", "Breached"))</f>
        <v/>
      </c>
      <c r="P7842" s="8" t="n"/>
      <c r="Q7842" s="8" t="n"/>
      <c r="R7842" s="8" t="n"/>
      <c r="S7842" s="8" t="n"/>
      <c r="T7842" s="8" t="n"/>
      <c r="U7842" s="8" t="n"/>
      <c r="V7842" s="8" t="n"/>
      <c r="W7842" s="8" t="n"/>
      <c r="X7842" s="8" t="n"/>
      <c r="Y7842" s="8" t="n"/>
    </row>
    <row r="7843">
      <c r="A7843" s="8" t="n"/>
      <c r="B7843" s="8" t="n"/>
      <c r="C7843" s="8" t="n"/>
      <c r="D7843" s="8" t="n"/>
      <c r="E7843" s="8" t="n"/>
      <c r="F7843" s="8" t="n"/>
      <c r="G7843" s="8" t="n"/>
      <c r="H7843" s="8" t="n"/>
      <c r="I7843" s="8" t="n"/>
      <c r="J7843" s="8" t="n"/>
      <c r="K7843" s="8" t="n"/>
      <c r="L7843" s="8" t="n"/>
      <c r="M7843" s="9">
        <f>B7843+30</f>
        <v/>
      </c>
      <c r="N7843">
        <f>IF(L7843="", "", L7843-B7843)</f>
        <v/>
      </c>
      <c r="O7843">
        <f>IF(L7843="", "Pending", IF(N7843&lt;=30, "Met", "Breached"))</f>
        <v/>
      </c>
      <c r="P7843" s="8" t="n"/>
      <c r="Q7843" s="8" t="n"/>
      <c r="R7843" s="8" t="n"/>
      <c r="S7843" s="8" t="n"/>
      <c r="T7843" s="8" t="n"/>
      <c r="U7843" s="8" t="n"/>
      <c r="V7843" s="8" t="n"/>
      <c r="W7843" s="8" t="n"/>
      <c r="X7843" s="8" t="n"/>
      <c r="Y7843" s="8" t="n"/>
    </row>
    <row r="7844">
      <c r="A7844" s="8" t="n"/>
      <c r="B7844" s="8" t="n"/>
      <c r="C7844" s="8" t="n"/>
      <c r="D7844" s="8" t="n"/>
      <c r="E7844" s="8" t="n"/>
      <c r="F7844" s="8" t="n"/>
      <c r="G7844" s="8" t="n"/>
      <c r="H7844" s="8" t="n"/>
      <c r="I7844" s="8" t="n"/>
      <c r="J7844" s="8" t="n"/>
      <c r="K7844" s="8" t="n"/>
      <c r="L7844" s="8" t="n"/>
      <c r="M7844" s="9">
        <f>B7844+30</f>
        <v/>
      </c>
      <c r="N7844">
        <f>IF(L7844="", "", L7844-B7844)</f>
        <v/>
      </c>
      <c r="O7844">
        <f>IF(L7844="", "Pending", IF(N7844&lt;=30, "Met", "Breached"))</f>
        <v/>
      </c>
      <c r="P7844" s="8" t="n"/>
      <c r="Q7844" s="8" t="n"/>
      <c r="R7844" s="8" t="n"/>
      <c r="S7844" s="8" t="n"/>
      <c r="T7844" s="8" t="n"/>
      <c r="U7844" s="8" t="n"/>
      <c r="V7844" s="8" t="n"/>
      <c r="W7844" s="8" t="n"/>
      <c r="X7844" s="8" t="n"/>
      <c r="Y7844" s="8" t="n"/>
    </row>
    <row r="7845">
      <c r="A7845" s="8" t="n"/>
      <c r="B7845" s="8" t="n"/>
      <c r="C7845" s="8" t="n"/>
      <c r="D7845" s="8" t="n"/>
      <c r="E7845" s="8" t="n"/>
      <c r="F7845" s="8" t="n"/>
      <c r="G7845" s="8" t="n"/>
      <c r="H7845" s="8" t="n"/>
      <c r="I7845" s="8" t="n"/>
      <c r="J7845" s="8" t="n"/>
      <c r="K7845" s="8" t="n"/>
      <c r="L7845" s="8" t="n"/>
      <c r="M7845" s="9">
        <f>B7845+30</f>
        <v/>
      </c>
      <c r="N7845">
        <f>IF(L7845="", "", L7845-B7845)</f>
        <v/>
      </c>
      <c r="O7845">
        <f>IF(L7845="", "Pending", IF(N7845&lt;=30, "Met", "Breached"))</f>
        <v/>
      </c>
      <c r="P7845" s="8" t="n"/>
      <c r="Q7845" s="8" t="n"/>
      <c r="R7845" s="8" t="n"/>
      <c r="S7845" s="8" t="n"/>
      <c r="T7845" s="8" t="n"/>
      <c r="U7845" s="8" t="n"/>
      <c r="V7845" s="8" t="n"/>
      <c r="W7845" s="8" t="n"/>
      <c r="X7845" s="8" t="n"/>
      <c r="Y7845" s="8" t="n"/>
    </row>
    <row r="7846">
      <c r="A7846" s="8" t="n"/>
      <c r="B7846" s="8" t="n"/>
      <c r="C7846" s="8" t="n"/>
      <c r="D7846" s="8" t="n"/>
      <c r="E7846" s="8" t="n"/>
      <c r="F7846" s="8" t="n"/>
      <c r="G7846" s="8" t="n"/>
      <c r="H7846" s="8" t="n"/>
      <c r="I7846" s="8" t="n"/>
      <c r="J7846" s="8" t="n"/>
      <c r="K7846" s="8" t="n"/>
      <c r="L7846" s="8" t="n"/>
      <c r="M7846" s="9">
        <f>B7846+30</f>
        <v/>
      </c>
      <c r="N7846">
        <f>IF(L7846="", "", L7846-B7846)</f>
        <v/>
      </c>
      <c r="O7846">
        <f>IF(L7846="", "Pending", IF(N7846&lt;=30, "Met", "Breached"))</f>
        <v/>
      </c>
      <c r="P7846" s="8" t="n"/>
      <c r="Q7846" s="8" t="n"/>
      <c r="R7846" s="8" t="n"/>
      <c r="S7846" s="8" t="n"/>
      <c r="T7846" s="8" t="n"/>
      <c r="U7846" s="8" t="n"/>
      <c r="V7846" s="8" t="n"/>
      <c r="W7846" s="8" t="n"/>
      <c r="X7846" s="8" t="n"/>
      <c r="Y7846" s="8" t="n"/>
    </row>
    <row r="7847">
      <c r="A7847" s="8" t="n"/>
      <c r="B7847" s="8" t="n"/>
      <c r="C7847" s="8" t="n"/>
      <c r="D7847" s="8" t="n"/>
      <c r="E7847" s="8" t="n"/>
      <c r="F7847" s="8" t="n"/>
      <c r="G7847" s="8" t="n"/>
      <c r="H7847" s="8" t="n"/>
      <c r="I7847" s="8" t="n"/>
      <c r="J7847" s="8" t="n"/>
      <c r="K7847" s="8" t="n"/>
      <c r="L7847" s="8" t="n"/>
      <c r="M7847" s="9">
        <f>B7847+30</f>
        <v/>
      </c>
      <c r="N7847">
        <f>IF(L7847="", "", L7847-B7847)</f>
        <v/>
      </c>
      <c r="O7847">
        <f>IF(L7847="", "Pending", IF(N7847&lt;=30, "Met", "Breached"))</f>
        <v/>
      </c>
      <c r="P7847" s="8" t="n"/>
      <c r="Q7847" s="8" t="n"/>
      <c r="R7847" s="8" t="n"/>
      <c r="S7847" s="8" t="n"/>
      <c r="T7847" s="8" t="n"/>
      <c r="U7847" s="8" t="n"/>
      <c r="V7847" s="8" t="n"/>
      <c r="W7847" s="8" t="n"/>
      <c r="X7847" s="8" t="n"/>
      <c r="Y7847" s="8" t="n"/>
    </row>
    <row r="7848">
      <c r="A7848" s="8" t="n"/>
      <c r="B7848" s="8" t="n"/>
      <c r="C7848" s="8" t="n"/>
      <c r="D7848" s="8" t="n"/>
      <c r="E7848" s="8" t="n"/>
      <c r="F7848" s="8" t="n"/>
      <c r="G7848" s="8" t="n"/>
      <c r="H7848" s="8" t="n"/>
      <c r="I7848" s="8" t="n"/>
      <c r="J7848" s="8" t="n"/>
      <c r="K7848" s="8" t="n"/>
      <c r="L7848" s="8" t="n"/>
      <c r="M7848" s="9">
        <f>B7848+30</f>
        <v/>
      </c>
      <c r="N7848">
        <f>IF(L7848="", "", L7848-B7848)</f>
        <v/>
      </c>
      <c r="O7848">
        <f>IF(L7848="", "Pending", IF(N7848&lt;=30, "Met", "Breached"))</f>
        <v/>
      </c>
      <c r="P7848" s="8" t="n"/>
      <c r="Q7848" s="8" t="n"/>
      <c r="R7848" s="8" t="n"/>
      <c r="S7848" s="8" t="n"/>
      <c r="T7848" s="8" t="n"/>
      <c r="U7848" s="8" t="n"/>
      <c r="V7848" s="8" t="n"/>
      <c r="W7848" s="8" t="n"/>
      <c r="X7848" s="8" t="n"/>
      <c r="Y7848" s="8" t="n"/>
    </row>
    <row r="7849">
      <c r="A7849" s="8" t="n"/>
      <c r="B7849" s="8" t="n"/>
      <c r="C7849" s="8" t="n"/>
      <c r="D7849" s="8" t="n"/>
      <c r="E7849" s="8" t="n"/>
      <c r="F7849" s="8" t="n"/>
      <c r="G7849" s="8" t="n"/>
      <c r="H7849" s="8" t="n"/>
      <c r="I7849" s="8" t="n"/>
      <c r="J7849" s="8" t="n"/>
      <c r="K7849" s="8" t="n"/>
      <c r="L7849" s="8" t="n"/>
      <c r="M7849" s="9">
        <f>B7849+30</f>
        <v/>
      </c>
      <c r="N7849">
        <f>IF(L7849="", "", L7849-B7849)</f>
        <v/>
      </c>
      <c r="O7849">
        <f>IF(L7849="", "Pending", IF(N7849&lt;=30, "Met", "Breached"))</f>
        <v/>
      </c>
      <c r="P7849" s="8" t="n"/>
      <c r="Q7849" s="8" t="n"/>
      <c r="R7849" s="8" t="n"/>
      <c r="S7849" s="8" t="n"/>
      <c r="T7849" s="8" t="n"/>
      <c r="U7849" s="8" t="n"/>
      <c r="V7849" s="8" t="n"/>
      <c r="W7849" s="8" t="n"/>
      <c r="X7849" s="8" t="n"/>
      <c r="Y7849" s="8" t="n"/>
    </row>
    <row r="7850">
      <c r="A7850" s="8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8" t="n"/>
      <c r="K7850" s="8" t="n"/>
      <c r="L7850" s="8" t="n"/>
      <c r="M7850" s="9">
        <f>B7850+30</f>
        <v/>
      </c>
      <c r="N7850">
        <f>IF(L7850="", "", L7850-B7850)</f>
        <v/>
      </c>
      <c r="O7850">
        <f>IF(L7850="", "Pending", IF(N7850&lt;=30, "Met", "Breached"))</f>
        <v/>
      </c>
      <c r="P7850" s="8" t="n"/>
      <c r="Q7850" s="8" t="n"/>
      <c r="R7850" s="8" t="n"/>
      <c r="S7850" s="8" t="n"/>
      <c r="T7850" s="8" t="n"/>
      <c r="U7850" s="8" t="n"/>
      <c r="V7850" s="8" t="n"/>
      <c r="W7850" s="8" t="n"/>
      <c r="X7850" s="8" t="n"/>
      <c r="Y7850" s="8" t="n"/>
    </row>
    <row r="7851">
      <c r="A7851" s="8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8" t="n"/>
      <c r="K7851" s="8" t="n"/>
      <c r="L7851" s="8" t="n"/>
      <c r="M7851" s="9">
        <f>B7851+30</f>
        <v/>
      </c>
      <c r="N7851">
        <f>IF(L7851="", "", L7851-B7851)</f>
        <v/>
      </c>
      <c r="O7851">
        <f>IF(L7851="", "Pending", IF(N7851&lt;=30, "Met", "Breached"))</f>
        <v/>
      </c>
      <c r="P7851" s="8" t="n"/>
      <c r="Q7851" s="8" t="n"/>
      <c r="R7851" s="8" t="n"/>
      <c r="S7851" s="8" t="n"/>
      <c r="T7851" s="8" t="n"/>
      <c r="U7851" s="8" t="n"/>
      <c r="V7851" s="8" t="n"/>
      <c r="W7851" s="8" t="n"/>
      <c r="X7851" s="8" t="n"/>
      <c r="Y7851" s="8" t="n"/>
    </row>
    <row r="7852">
      <c r="A7852" s="8" t="n"/>
      <c r="B7852" s="8" t="n"/>
      <c r="C7852" s="8" t="n"/>
      <c r="D7852" s="8" t="n"/>
      <c r="E7852" s="8" t="n"/>
      <c r="F7852" s="8" t="n"/>
      <c r="G7852" s="8" t="n"/>
      <c r="H7852" s="8" t="n"/>
      <c r="I7852" s="8" t="n"/>
      <c r="J7852" s="8" t="n"/>
      <c r="K7852" s="8" t="n"/>
      <c r="L7852" s="8" t="n"/>
      <c r="M7852" s="9">
        <f>B7852+30</f>
        <v/>
      </c>
      <c r="N7852">
        <f>IF(L7852="", "", L7852-B7852)</f>
        <v/>
      </c>
      <c r="O7852">
        <f>IF(L7852="", "Pending", IF(N7852&lt;=30, "Met", "Breached"))</f>
        <v/>
      </c>
      <c r="P7852" s="8" t="n"/>
      <c r="Q7852" s="8" t="n"/>
      <c r="R7852" s="8" t="n"/>
      <c r="S7852" s="8" t="n"/>
      <c r="T7852" s="8" t="n"/>
      <c r="U7852" s="8" t="n"/>
      <c r="V7852" s="8" t="n"/>
      <c r="W7852" s="8" t="n"/>
      <c r="X7852" s="8" t="n"/>
      <c r="Y7852" s="8" t="n"/>
    </row>
    <row r="7853">
      <c r="A7853" s="8" t="n"/>
      <c r="B7853" s="8" t="n"/>
      <c r="C7853" s="8" t="n"/>
      <c r="D7853" s="8" t="n"/>
      <c r="E7853" s="8" t="n"/>
      <c r="F7853" s="8" t="n"/>
      <c r="G7853" s="8" t="n"/>
      <c r="H7853" s="8" t="n"/>
      <c r="I7853" s="8" t="n"/>
      <c r="J7853" s="8" t="n"/>
      <c r="K7853" s="8" t="n"/>
      <c r="L7853" s="8" t="n"/>
      <c r="M7853" s="9">
        <f>B7853+30</f>
        <v/>
      </c>
      <c r="N7853">
        <f>IF(L7853="", "", L7853-B7853)</f>
        <v/>
      </c>
      <c r="O7853">
        <f>IF(L7853="", "Pending", IF(N7853&lt;=30, "Met", "Breached"))</f>
        <v/>
      </c>
      <c r="P7853" s="8" t="n"/>
      <c r="Q7853" s="8" t="n"/>
      <c r="R7853" s="8" t="n"/>
      <c r="S7853" s="8" t="n"/>
      <c r="T7853" s="8" t="n"/>
      <c r="U7853" s="8" t="n"/>
      <c r="V7853" s="8" t="n"/>
      <c r="W7853" s="8" t="n"/>
      <c r="X7853" s="8" t="n"/>
      <c r="Y7853" s="8" t="n"/>
    </row>
    <row r="7854">
      <c r="A7854" s="8" t="n"/>
      <c r="B7854" s="8" t="n"/>
      <c r="C7854" s="8" t="n"/>
      <c r="D7854" s="8" t="n"/>
      <c r="E7854" s="8" t="n"/>
      <c r="F7854" s="8" t="n"/>
      <c r="G7854" s="8" t="n"/>
      <c r="H7854" s="8" t="n"/>
      <c r="I7854" s="8" t="n"/>
      <c r="J7854" s="8" t="n"/>
      <c r="K7854" s="8" t="n"/>
      <c r="L7854" s="8" t="n"/>
      <c r="M7854" s="9">
        <f>B7854+30</f>
        <v/>
      </c>
      <c r="N7854">
        <f>IF(L7854="", "", L7854-B7854)</f>
        <v/>
      </c>
      <c r="O7854">
        <f>IF(L7854="", "Pending", IF(N7854&lt;=30, "Met", "Breached"))</f>
        <v/>
      </c>
      <c r="P7854" s="8" t="n"/>
      <c r="Q7854" s="8" t="n"/>
      <c r="R7854" s="8" t="n"/>
      <c r="S7854" s="8" t="n"/>
      <c r="T7854" s="8" t="n"/>
      <c r="U7854" s="8" t="n"/>
      <c r="V7854" s="8" t="n"/>
      <c r="W7854" s="8" t="n"/>
      <c r="X7854" s="8" t="n"/>
      <c r="Y7854" s="8" t="n"/>
    </row>
    <row r="7855">
      <c r="A7855" s="8" t="n"/>
      <c r="B7855" s="8" t="n"/>
      <c r="C7855" s="8" t="n"/>
      <c r="D7855" s="8" t="n"/>
      <c r="E7855" s="8" t="n"/>
      <c r="F7855" s="8" t="n"/>
      <c r="G7855" s="8" t="n"/>
      <c r="H7855" s="8" t="n"/>
      <c r="I7855" s="8" t="n"/>
      <c r="J7855" s="8" t="n"/>
      <c r="K7855" s="8" t="n"/>
      <c r="L7855" s="8" t="n"/>
      <c r="M7855" s="9">
        <f>B7855+30</f>
        <v/>
      </c>
      <c r="N7855">
        <f>IF(L7855="", "", L7855-B7855)</f>
        <v/>
      </c>
      <c r="O7855">
        <f>IF(L7855="", "Pending", IF(N7855&lt;=30, "Met", "Breached"))</f>
        <v/>
      </c>
      <c r="P7855" s="8" t="n"/>
      <c r="Q7855" s="8" t="n"/>
      <c r="R7855" s="8" t="n"/>
      <c r="S7855" s="8" t="n"/>
      <c r="T7855" s="8" t="n"/>
      <c r="U7855" s="8" t="n"/>
      <c r="V7855" s="8" t="n"/>
      <c r="W7855" s="8" t="n"/>
      <c r="X7855" s="8" t="n"/>
      <c r="Y7855" s="8" t="n"/>
    </row>
    <row r="7856">
      <c r="A7856" s="8" t="n"/>
      <c r="B7856" s="8" t="n"/>
      <c r="C7856" s="8" t="n"/>
      <c r="D7856" s="8" t="n"/>
      <c r="E7856" s="8" t="n"/>
      <c r="F7856" s="8" t="n"/>
      <c r="G7856" s="8" t="n"/>
      <c r="H7856" s="8" t="n"/>
      <c r="I7856" s="8" t="n"/>
      <c r="J7856" s="8" t="n"/>
      <c r="K7856" s="8" t="n"/>
      <c r="L7856" s="8" t="n"/>
      <c r="M7856" s="9">
        <f>B7856+30</f>
        <v/>
      </c>
      <c r="N7856">
        <f>IF(L7856="", "", L7856-B7856)</f>
        <v/>
      </c>
      <c r="O7856">
        <f>IF(L7856="", "Pending", IF(N7856&lt;=30, "Met", "Breached"))</f>
        <v/>
      </c>
      <c r="P7856" s="8" t="n"/>
      <c r="Q7856" s="8" t="n"/>
      <c r="R7856" s="8" t="n"/>
      <c r="S7856" s="8" t="n"/>
      <c r="T7856" s="8" t="n"/>
      <c r="U7856" s="8" t="n"/>
      <c r="V7856" s="8" t="n"/>
      <c r="W7856" s="8" t="n"/>
      <c r="X7856" s="8" t="n"/>
      <c r="Y7856" s="8" t="n"/>
    </row>
    <row r="7857">
      <c r="A7857" s="8" t="n"/>
      <c r="B7857" s="8" t="n"/>
      <c r="C7857" s="8" t="n"/>
      <c r="D7857" s="8" t="n"/>
      <c r="E7857" s="8" t="n"/>
      <c r="F7857" s="8" t="n"/>
      <c r="G7857" s="8" t="n"/>
      <c r="H7857" s="8" t="n"/>
      <c r="I7857" s="8" t="n"/>
      <c r="J7857" s="8" t="n"/>
      <c r="K7857" s="8" t="n"/>
      <c r="L7857" s="8" t="n"/>
      <c r="M7857" s="9">
        <f>B7857+30</f>
        <v/>
      </c>
      <c r="N7857">
        <f>IF(L7857="", "", L7857-B7857)</f>
        <v/>
      </c>
      <c r="O7857">
        <f>IF(L7857="", "Pending", IF(N7857&lt;=30, "Met", "Breached"))</f>
        <v/>
      </c>
      <c r="P7857" s="8" t="n"/>
      <c r="Q7857" s="8" t="n"/>
      <c r="R7857" s="8" t="n"/>
      <c r="S7857" s="8" t="n"/>
      <c r="T7857" s="8" t="n"/>
      <c r="U7857" s="8" t="n"/>
      <c r="V7857" s="8" t="n"/>
      <c r="W7857" s="8" t="n"/>
      <c r="X7857" s="8" t="n"/>
      <c r="Y7857" s="8" t="n"/>
    </row>
    <row r="7858">
      <c r="A7858" s="8" t="n"/>
      <c r="B7858" s="8" t="n"/>
      <c r="C7858" s="8" t="n"/>
      <c r="D7858" s="8" t="n"/>
      <c r="E7858" s="8" t="n"/>
      <c r="F7858" s="8" t="n"/>
      <c r="G7858" s="8" t="n"/>
      <c r="H7858" s="8" t="n"/>
      <c r="I7858" s="8" t="n"/>
      <c r="J7858" s="8" t="n"/>
      <c r="K7858" s="8" t="n"/>
      <c r="L7858" s="8" t="n"/>
      <c r="M7858" s="9">
        <f>B7858+30</f>
        <v/>
      </c>
      <c r="N7858">
        <f>IF(L7858="", "", L7858-B7858)</f>
        <v/>
      </c>
      <c r="O7858">
        <f>IF(L7858="", "Pending", IF(N7858&lt;=30, "Met", "Breached"))</f>
        <v/>
      </c>
      <c r="P7858" s="8" t="n"/>
      <c r="Q7858" s="8" t="n"/>
      <c r="R7858" s="8" t="n"/>
      <c r="S7858" s="8" t="n"/>
      <c r="T7858" s="8" t="n"/>
      <c r="U7858" s="8" t="n"/>
      <c r="V7858" s="8" t="n"/>
      <c r="W7858" s="8" t="n"/>
      <c r="X7858" s="8" t="n"/>
      <c r="Y7858" s="8" t="n"/>
    </row>
    <row r="7859">
      <c r="A7859" s="8" t="n"/>
      <c r="B7859" s="8" t="n"/>
      <c r="C7859" s="8" t="n"/>
      <c r="D7859" s="8" t="n"/>
      <c r="E7859" s="8" t="n"/>
      <c r="F7859" s="8" t="n"/>
      <c r="G7859" s="8" t="n"/>
      <c r="H7859" s="8" t="n"/>
      <c r="I7859" s="8" t="n"/>
      <c r="J7859" s="8" t="n"/>
      <c r="K7859" s="8" t="n"/>
      <c r="L7859" s="8" t="n"/>
      <c r="M7859" s="9">
        <f>B7859+30</f>
        <v/>
      </c>
      <c r="N7859">
        <f>IF(L7859="", "", L7859-B7859)</f>
        <v/>
      </c>
      <c r="O7859">
        <f>IF(L7859="", "Pending", IF(N7859&lt;=30, "Met", "Breached"))</f>
        <v/>
      </c>
      <c r="P7859" s="8" t="n"/>
      <c r="Q7859" s="8" t="n"/>
      <c r="R7859" s="8" t="n"/>
      <c r="S7859" s="8" t="n"/>
      <c r="T7859" s="8" t="n"/>
      <c r="U7859" s="8" t="n"/>
      <c r="V7859" s="8" t="n"/>
      <c r="W7859" s="8" t="n"/>
      <c r="X7859" s="8" t="n"/>
      <c r="Y7859" s="8" t="n"/>
    </row>
    <row r="7860">
      <c r="A7860" s="8" t="n"/>
      <c r="B7860" s="8" t="n"/>
      <c r="C7860" s="8" t="n"/>
      <c r="D7860" s="8" t="n"/>
      <c r="E7860" s="8" t="n"/>
      <c r="F7860" s="8" t="n"/>
      <c r="G7860" s="8" t="n"/>
      <c r="H7860" s="8" t="n"/>
      <c r="I7860" s="8" t="n"/>
      <c r="J7860" s="8" t="n"/>
      <c r="K7860" s="8" t="n"/>
      <c r="L7860" s="8" t="n"/>
      <c r="M7860" s="9">
        <f>B7860+30</f>
        <v/>
      </c>
      <c r="N7860">
        <f>IF(L7860="", "", L7860-B7860)</f>
        <v/>
      </c>
      <c r="O7860">
        <f>IF(L7860="", "Pending", IF(N7860&lt;=30, "Met", "Breached"))</f>
        <v/>
      </c>
      <c r="P7860" s="8" t="n"/>
      <c r="Q7860" s="8" t="n"/>
      <c r="R7860" s="8" t="n"/>
      <c r="S7860" s="8" t="n"/>
      <c r="T7860" s="8" t="n"/>
      <c r="U7860" s="8" t="n"/>
      <c r="V7860" s="8" t="n"/>
      <c r="W7860" s="8" t="n"/>
      <c r="X7860" s="8" t="n"/>
      <c r="Y7860" s="8" t="n"/>
    </row>
    <row r="7861">
      <c r="A7861" s="8" t="n"/>
      <c r="B7861" s="8" t="n"/>
      <c r="C7861" s="8" t="n"/>
      <c r="D7861" s="8" t="n"/>
      <c r="E7861" s="8" t="n"/>
      <c r="F7861" s="8" t="n"/>
      <c r="G7861" s="8" t="n"/>
      <c r="H7861" s="8" t="n"/>
      <c r="I7861" s="8" t="n"/>
      <c r="J7861" s="8" t="n"/>
      <c r="K7861" s="8" t="n"/>
      <c r="L7861" s="8" t="n"/>
      <c r="M7861" s="9">
        <f>B7861+30</f>
        <v/>
      </c>
      <c r="N7861">
        <f>IF(L7861="", "", L7861-B7861)</f>
        <v/>
      </c>
      <c r="O7861">
        <f>IF(L7861="", "Pending", IF(N7861&lt;=30, "Met", "Breached"))</f>
        <v/>
      </c>
      <c r="P7861" s="8" t="n"/>
      <c r="Q7861" s="8" t="n"/>
      <c r="R7861" s="8" t="n"/>
      <c r="S7861" s="8" t="n"/>
      <c r="T7861" s="8" t="n"/>
      <c r="U7861" s="8" t="n"/>
      <c r="V7861" s="8" t="n"/>
      <c r="W7861" s="8" t="n"/>
      <c r="X7861" s="8" t="n"/>
      <c r="Y7861" s="8" t="n"/>
    </row>
    <row r="7862">
      <c r="A7862" s="8" t="n"/>
      <c r="B7862" s="8" t="n"/>
      <c r="C7862" s="8" t="n"/>
      <c r="D7862" s="8" t="n"/>
      <c r="E7862" s="8" t="n"/>
      <c r="F7862" s="8" t="n"/>
      <c r="G7862" s="8" t="n"/>
      <c r="H7862" s="8" t="n"/>
      <c r="I7862" s="8" t="n"/>
      <c r="J7862" s="8" t="n"/>
      <c r="K7862" s="8" t="n"/>
      <c r="L7862" s="8" t="n"/>
      <c r="M7862" s="9">
        <f>B7862+30</f>
        <v/>
      </c>
      <c r="N7862">
        <f>IF(L7862="", "", L7862-B7862)</f>
        <v/>
      </c>
      <c r="O7862">
        <f>IF(L7862="", "Pending", IF(N7862&lt;=30, "Met", "Breached"))</f>
        <v/>
      </c>
      <c r="P7862" s="8" t="n"/>
      <c r="Q7862" s="8" t="n"/>
      <c r="R7862" s="8" t="n"/>
      <c r="S7862" s="8" t="n"/>
      <c r="T7862" s="8" t="n"/>
      <c r="U7862" s="8" t="n"/>
      <c r="V7862" s="8" t="n"/>
      <c r="W7862" s="8" t="n"/>
      <c r="X7862" s="8" t="n"/>
      <c r="Y7862" s="8" t="n"/>
    </row>
    <row r="7863">
      <c r="A7863" s="8" t="n"/>
      <c r="B7863" s="8" t="n"/>
      <c r="C7863" s="8" t="n"/>
      <c r="D7863" s="8" t="n"/>
      <c r="E7863" s="8" t="n"/>
      <c r="F7863" s="8" t="n"/>
      <c r="G7863" s="8" t="n"/>
      <c r="H7863" s="8" t="n"/>
      <c r="I7863" s="8" t="n"/>
      <c r="J7863" s="8" t="n"/>
      <c r="K7863" s="8" t="n"/>
      <c r="L7863" s="8" t="n"/>
      <c r="M7863" s="9">
        <f>B7863+30</f>
        <v/>
      </c>
      <c r="N7863">
        <f>IF(L7863="", "", L7863-B7863)</f>
        <v/>
      </c>
      <c r="O7863">
        <f>IF(L7863="", "Pending", IF(N7863&lt;=30, "Met", "Breached"))</f>
        <v/>
      </c>
      <c r="P7863" s="8" t="n"/>
      <c r="Q7863" s="8" t="n"/>
      <c r="R7863" s="8" t="n"/>
      <c r="S7863" s="8" t="n"/>
      <c r="T7863" s="8" t="n"/>
      <c r="U7863" s="8" t="n"/>
      <c r="V7863" s="8" t="n"/>
      <c r="W7863" s="8" t="n"/>
      <c r="X7863" s="8" t="n"/>
      <c r="Y7863" s="8" t="n"/>
    </row>
    <row r="7864">
      <c r="A7864" s="8" t="n"/>
      <c r="B7864" s="8" t="n"/>
      <c r="C7864" s="8" t="n"/>
      <c r="D7864" s="8" t="n"/>
      <c r="E7864" s="8" t="n"/>
      <c r="F7864" s="8" t="n"/>
      <c r="G7864" s="8" t="n"/>
      <c r="H7864" s="8" t="n"/>
      <c r="I7864" s="8" t="n"/>
      <c r="J7864" s="8" t="n"/>
      <c r="K7864" s="8" t="n"/>
      <c r="L7864" s="8" t="n"/>
      <c r="M7864" s="9">
        <f>B7864+30</f>
        <v/>
      </c>
      <c r="N7864">
        <f>IF(L7864="", "", L7864-B7864)</f>
        <v/>
      </c>
      <c r="O7864">
        <f>IF(L7864="", "Pending", IF(N7864&lt;=30, "Met", "Breached"))</f>
        <v/>
      </c>
      <c r="P7864" s="8" t="n"/>
      <c r="Q7864" s="8" t="n"/>
      <c r="R7864" s="8" t="n"/>
      <c r="S7864" s="8" t="n"/>
      <c r="T7864" s="8" t="n"/>
      <c r="U7864" s="8" t="n"/>
      <c r="V7864" s="8" t="n"/>
      <c r="W7864" s="8" t="n"/>
      <c r="X7864" s="8" t="n"/>
      <c r="Y7864" s="8" t="n"/>
    </row>
    <row r="7865">
      <c r="A7865" s="8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8" t="n"/>
      <c r="K7865" s="8" t="n"/>
      <c r="L7865" s="8" t="n"/>
      <c r="M7865" s="9">
        <f>B7865+30</f>
        <v/>
      </c>
      <c r="N7865">
        <f>IF(L7865="", "", L7865-B7865)</f>
        <v/>
      </c>
      <c r="O7865">
        <f>IF(L7865="", "Pending", IF(N7865&lt;=30, "Met", "Breached"))</f>
        <v/>
      </c>
      <c r="P7865" s="8" t="n"/>
      <c r="Q7865" s="8" t="n"/>
      <c r="R7865" s="8" t="n"/>
      <c r="S7865" s="8" t="n"/>
      <c r="T7865" s="8" t="n"/>
      <c r="U7865" s="8" t="n"/>
      <c r="V7865" s="8" t="n"/>
      <c r="W7865" s="8" t="n"/>
      <c r="X7865" s="8" t="n"/>
      <c r="Y7865" s="8" t="n"/>
    </row>
    <row r="7866">
      <c r="A7866" s="8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8" t="n"/>
      <c r="K7866" s="8" t="n"/>
      <c r="L7866" s="8" t="n"/>
      <c r="M7866" s="9">
        <f>B7866+30</f>
        <v/>
      </c>
      <c r="N7866">
        <f>IF(L7866="", "", L7866-B7866)</f>
        <v/>
      </c>
      <c r="O7866">
        <f>IF(L7866="", "Pending", IF(N7866&lt;=30, "Met", "Breached"))</f>
        <v/>
      </c>
      <c r="P7866" s="8" t="n"/>
      <c r="Q7866" s="8" t="n"/>
      <c r="R7866" s="8" t="n"/>
      <c r="S7866" s="8" t="n"/>
      <c r="T7866" s="8" t="n"/>
      <c r="U7866" s="8" t="n"/>
      <c r="V7866" s="8" t="n"/>
      <c r="W7866" s="8" t="n"/>
      <c r="X7866" s="8" t="n"/>
      <c r="Y7866" s="8" t="n"/>
    </row>
    <row r="7867">
      <c r="A7867" s="8" t="n"/>
      <c r="B7867" s="8" t="n"/>
      <c r="C7867" s="8" t="n"/>
      <c r="D7867" s="8" t="n"/>
      <c r="E7867" s="8" t="n"/>
      <c r="F7867" s="8" t="n"/>
      <c r="G7867" s="8" t="n"/>
      <c r="H7867" s="8" t="n"/>
      <c r="I7867" s="8" t="n"/>
      <c r="J7867" s="8" t="n"/>
      <c r="K7867" s="8" t="n"/>
      <c r="L7867" s="8" t="n"/>
      <c r="M7867" s="9">
        <f>B7867+30</f>
        <v/>
      </c>
      <c r="N7867">
        <f>IF(L7867="", "", L7867-B7867)</f>
        <v/>
      </c>
      <c r="O7867">
        <f>IF(L7867="", "Pending", IF(N7867&lt;=30, "Met", "Breached"))</f>
        <v/>
      </c>
      <c r="P7867" s="8" t="n"/>
      <c r="Q7867" s="8" t="n"/>
      <c r="R7867" s="8" t="n"/>
      <c r="S7867" s="8" t="n"/>
      <c r="T7867" s="8" t="n"/>
      <c r="U7867" s="8" t="n"/>
      <c r="V7867" s="8" t="n"/>
      <c r="W7867" s="8" t="n"/>
      <c r="X7867" s="8" t="n"/>
      <c r="Y7867" s="8" t="n"/>
    </row>
    <row r="7868">
      <c r="A7868" s="8" t="n"/>
      <c r="B7868" s="8" t="n"/>
      <c r="C7868" s="8" t="n"/>
      <c r="D7868" s="8" t="n"/>
      <c r="E7868" s="8" t="n"/>
      <c r="F7868" s="8" t="n"/>
      <c r="G7868" s="8" t="n"/>
      <c r="H7868" s="8" t="n"/>
      <c r="I7868" s="8" t="n"/>
      <c r="J7868" s="8" t="n"/>
      <c r="K7868" s="8" t="n"/>
      <c r="L7868" s="8" t="n"/>
      <c r="M7868" s="9">
        <f>B7868+30</f>
        <v/>
      </c>
      <c r="N7868">
        <f>IF(L7868="", "", L7868-B7868)</f>
        <v/>
      </c>
      <c r="O7868">
        <f>IF(L7868="", "Pending", IF(N7868&lt;=30, "Met", "Breached"))</f>
        <v/>
      </c>
      <c r="P7868" s="8" t="n"/>
      <c r="Q7868" s="8" t="n"/>
      <c r="R7868" s="8" t="n"/>
      <c r="S7868" s="8" t="n"/>
      <c r="T7868" s="8" t="n"/>
      <c r="U7868" s="8" t="n"/>
      <c r="V7868" s="8" t="n"/>
      <c r="W7868" s="8" t="n"/>
      <c r="X7868" s="8" t="n"/>
      <c r="Y7868" s="8" t="n"/>
    </row>
    <row r="7869">
      <c r="A7869" s="8" t="n"/>
      <c r="B7869" s="8" t="n"/>
      <c r="C7869" s="8" t="n"/>
      <c r="D7869" s="8" t="n"/>
      <c r="E7869" s="8" t="n"/>
      <c r="F7869" s="8" t="n"/>
      <c r="G7869" s="8" t="n"/>
      <c r="H7869" s="8" t="n"/>
      <c r="I7869" s="8" t="n"/>
      <c r="J7869" s="8" t="n"/>
      <c r="K7869" s="8" t="n"/>
      <c r="L7869" s="8" t="n"/>
      <c r="M7869" s="9">
        <f>B7869+30</f>
        <v/>
      </c>
      <c r="N7869">
        <f>IF(L7869="", "", L7869-B7869)</f>
        <v/>
      </c>
      <c r="O7869">
        <f>IF(L7869="", "Pending", IF(N7869&lt;=30, "Met", "Breached"))</f>
        <v/>
      </c>
      <c r="P7869" s="8" t="n"/>
      <c r="Q7869" s="8" t="n"/>
      <c r="R7869" s="8" t="n"/>
      <c r="S7869" s="8" t="n"/>
      <c r="T7869" s="8" t="n"/>
      <c r="U7869" s="8" t="n"/>
      <c r="V7869" s="8" t="n"/>
      <c r="W7869" s="8" t="n"/>
      <c r="X7869" s="8" t="n"/>
      <c r="Y7869" s="8" t="n"/>
    </row>
    <row r="7870">
      <c r="A7870" s="8" t="n"/>
      <c r="B7870" s="8" t="n"/>
      <c r="C7870" s="8" t="n"/>
      <c r="D7870" s="8" t="n"/>
      <c r="E7870" s="8" t="n"/>
      <c r="F7870" s="8" t="n"/>
      <c r="G7870" s="8" t="n"/>
      <c r="H7870" s="8" t="n"/>
      <c r="I7870" s="8" t="n"/>
      <c r="J7870" s="8" t="n"/>
      <c r="K7870" s="8" t="n"/>
      <c r="L7870" s="8" t="n"/>
      <c r="M7870" s="9">
        <f>B7870+30</f>
        <v/>
      </c>
      <c r="N7870">
        <f>IF(L7870="", "", L7870-B7870)</f>
        <v/>
      </c>
      <c r="O7870">
        <f>IF(L7870="", "Pending", IF(N7870&lt;=30, "Met", "Breached"))</f>
        <v/>
      </c>
      <c r="P7870" s="8" t="n"/>
      <c r="Q7870" s="8" t="n"/>
      <c r="R7870" s="8" t="n"/>
      <c r="S7870" s="8" t="n"/>
      <c r="T7870" s="8" t="n"/>
      <c r="U7870" s="8" t="n"/>
      <c r="V7870" s="8" t="n"/>
      <c r="W7870" s="8" t="n"/>
      <c r="X7870" s="8" t="n"/>
      <c r="Y7870" s="8" t="n"/>
    </row>
    <row r="7871">
      <c r="A7871" s="8" t="n"/>
      <c r="B7871" s="8" t="n"/>
      <c r="C7871" s="8" t="n"/>
      <c r="D7871" s="8" t="n"/>
      <c r="E7871" s="8" t="n"/>
      <c r="F7871" s="8" t="n"/>
      <c r="G7871" s="8" t="n"/>
      <c r="H7871" s="8" t="n"/>
      <c r="I7871" s="8" t="n"/>
      <c r="J7871" s="8" t="n"/>
      <c r="K7871" s="8" t="n"/>
      <c r="L7871" s="8" t="n"/>
      <c r="M7871" s="9">
        <f>B7871+30</f>
        <v/>
      </c>
      <c r="N7871">
        <f>IF(L7871="", "", L7871-B7871)</f>
        <v/>
      </c>
      <c r="O7871">
        <f>IF(L7871="", "Pending", IF(N7871&lt;=30, "Met", "Breached"))</f>
        <v/>
      </c>
      <c r="P7871" s="8" t="n"/>
      <c r="Q7871" s="8" t="n"/>
      <c r="R7871" s="8" t="n"/>
      <c r="S7871" s="8" t="n"/>
      <c r="T7871" s="8" t="n"/>
      <c r="U7871" s="8" t="n"/>
      <c r="V7871" s="8" t="n"/>
      <c r="W7871" s="8" t="n"/>
      <c r="X7871" s="8" t="n"/>
      <c r="Y7871" s="8" t="n"/>
    </row>
    <row r="7872">
      <c r="A7872" s="8" t="n"/>
      <c r="B7872" s="8" t="n"/>
      <c r="C7872" s="8" t="n"/>
      <c r="D7872" s="8" t="n"/>
      <c r="E7872" s="8" t="n"/>
      <c r="F7872" s="8" t="n"/>
      <c r="G7872" s="8" t="n"/>
      <c r="H7872" s="8" t="n"/>
      <c r="I7872" s="8" t="n"/>
      <c r="J7872" s="8" t="n"/>
      <c r="K7872" s="8" t="n"/>
      <c r="L7872" s="8" t="n"/>
      <c r="M7872" s="9">
        <f>B7872+30</f>
        <v/>
      </c>
      <c r="N7872">
        <f>IF(L7872="", "", L7872-B7872)</f>
        <v/>
      </c>
      <c r="O7872">
        <f>IF(L7872="", "Pending", IF(N7872&lt;=30, "Met", "Breached"))</f>
        <v/>
      </c>
      <c r="P7872" s="8" t="n"/>
      <c r="Q7872" s="8" t="n"/>
      <c r="R7872" s="8" t="n"/>
      <c r="S7872" s="8" t="n"/>
      <c r="T7872" s="8" t="n"/>
      <c r="U7872" s="8" t="n"/>
      <c r="V7872" s="8" t="n"/>
      <c r="W7872" s="8" t="n"/>
      <c r="X7872" s="8" t="n"/>
      <c r="Y7872" s="8" t="n"/>
    </row>
    <row r="7873">
      <c r="A7873" s="8" t="n"/>
      <c r="B7873" s="8" t="n"/>
      <c r="C7873" s="8" t="n"/>
      <c r="D7873" s="8" t="n"/>
      <c r="E7873" s="8" t="n"/>
      <c r="F7873" s="8" t="n"/>
      <c r="G7873" s="8" t="n"/>
      <c r="H7873" s="8" t="n"/>
      <c r="I7873" s="8" t="n"/>
      <c r="J7873" s="8" t="n"/>
      <c r="K7873" s="8" t="n"/>
      <c r="L7873" s="8" t="n"/>
      <c r="M7873" s="9">
        <f>B7873+30</f>
        <v/>
      </c>
      <c r="N7873">
        <f>IF(L7873="", "", L7873-B7873)</f>
        <v/>
      </c>
      <c r="O7873">
        <f>IF(L7873="", "Pending", IF(N7873&lt;=30, "Met", "Breached"))</f>
        <v/>
      </c>
      <c r="P7873" s="8" t="n"/>
      <c r="Q7873" s="8" t="n"/>
      <c r="R7873" s="8" t="n"/>
      <c r="S7873" s="8" t="n"/>
      <c r="T7873" s="8" t="n"/>
      <c r="U7873" s="8" t="n"/>
      <c r="V7873" s="8" t="n"/>
      <c r="W7873" s="8" t="n"/>
      <c r="X7873" s="8" t="n"/>
      <c r="Y7873" s="8" t="n"/>
    </row>
    <row r="7874">
      <c r="A7874" s="8" t="n"/>
      <c r="B7874" s="8" t="n"/>
      <c r="C7874" s="8" t="n"/>
      <c r="D7874" s="8" t="n"/>
      <c r="E7874" s="8" t="n"/>
      <c r="F7874" s="8" t="n"/>
      <c r="G7874" s="8" t="n"/>
      <c r="H7874" s="8" t="n"/>
      <c r="I7874" s="8" t="n"/>
      <c r="J7874" s="8" t="n"/>
      <c r="K7874" s="8" t="n"/>
      <c r="L7874" s="8" t="n"/>
      <c r="M7874" s="9">
        <f>B7874+30</f>
        <v/>
      </c>
      <c r="N7874">
        <f>IF(L7874="", "", L7874-B7874)</f>
        <v/>
      </c>
      <c r="O7874">
        <f>IF(L7874="", "Pending", IF(N7874&lt;=30, "Met", "Breached"))</f>
        <v/>
      </c>
      <c r="P7874" s="8" t="n"/>
      <c r="Q7874" s="8" t="n"/>
      <c r="R7874" s="8" t="n"/>
      <c r="S7874" s="8" t="n"/>
      <c r="T7874" s="8" t="n"/>
      <c r="U7874" s="8" t="n"/>
      <c r="V7874" s="8" t="n"/>
      <c r="W7874" s="8" t="n"/>
      <c r="X7874" s="8" t="n"/>
      <c r="Y7874" s="8" t="n"/>
    </row>
    <row r="7875">
      <c r="A7875" s="8" t="n"/>
      <c r="B7875" s="8" t="n"/>
      <c r="C7875" s="8" t="n"/>
      <c r="D7875" s="8" t="n"/>
      <c r="E7875" s="8" t="n"/>
      <c r="F7875" s="8" t="n"/>
      <c r="G7875" s="8" t="n"/>
      <c r="H7875" s="8" t="n"/>
      <c r="I7875" s="8" t="n"/>
      <c r="J7875" s="8" t="n"/>
      <c r="K7875" s="8" t="n"/>
      <c r="L7875" s="8" t="n"/>
      <c r="M7875" s="9">
        <f>B7875+30</f>
        <v/>
      </c>
      <c r="N7875">
        <f>IF(L7875="", "", L7875-B7875)</f>
        <v/>
      </c>
      <c r="O7875">
        <f>IF(L7875="", "Pending", IF(N7875&lt;=30, "Met", "Breached"))</f>
        <v/>
      </c>
      <c r="P7875" s="8" t="n"/>
      <c r="Q7875" s="8" t="n"/>
      <c r="R7875" s="8" t="n"/>
      <c r="S7875" s="8" t="n"/>
      <c r="T7875" s="8" t="n"/>
      <c r="U7875" s="8" t="n"/>
      <c r="V7875" s="8" t="n"/>
      <c r="W7875" s="8" t="n"/>
      <c r="X7875" s="8" t="n"/>
      <c r="Y7875" s="8" t="n"/>
    </row>
    <row r="7876">
      <c r="A7876" s="8" t="n"/>
      <c r="B7876" s="8" t="n"/>
      <c r="C7876" s="8" t="n"/>
      <c r="D7876" s="8" t="n"/>
      <c r="E7876" s="8" t="n"/>
      <c r="F7876" s="8" t="n"/>
      <c r="G7876" s="8" t="n"/>
      <c r="H7876" s="8" t="n"/>
      <c r="I7876" s="8" t="n"/>
      <c r="J7876" s="8" t="n"/>
      <c r="K7876" s="8" t="n"/>
      <c r="L7876" s="8" t="n"/>
      <c r="M7876" s="9">
        <f>B7876+30</f>
        <v/>
      </c>
      <c r="N7876">
        <f>IF(L7876="", "", L7876-B7876)</f>
        <v/>
      </c>
      <c r="O7876">
        <f>IF(L7876="", "Pending", IF(N7876&lt;=30, "Met", "Breached"))</f>
        <v/>
      </c>
      <c r="P7876" s="8" t="n"/>
      <c r="Q7876" s="8" t="n"/>
      <c r="R7876" s="8" t="n"/>
      <c r="S7876" s="8" t="n"/>
      <c r="T7876" s="8" t="n"/>
      <c r="U7876" s="8" t="n"/>
      <c r="V7876" s="8" t="n"/>
      <c r="W7876" s="8" t="n"/>
      <c r="X7876" s="8" t="n"/>
      <c r="Y7876" s="8" t="n"/>
    </row>
    <row r="7877">
      <c r="A7877" s="8" t="n"/>
      <c r="B7877" s="8" t="n"/>
      <c r="C7877" s="8" t="n"/>
      <c r="D7877" s="8" t="n"/>
      <c r="E7877" s="8" t="n"/>
      <c r="F7877" s="8" t="n"/>
      <c r="G7877" s="8" t="n"/>
      <c r="H7877" s="8" t="n"/>
      <c r="I7877" s="8" t="n"/>
      <c r="J7877" s="8" t="n"/>
      <c r="K7877" s="8" t="n"/>
      <c r="L7877" s="8" t="n"/>
      <c r="M7877" s="9">
        <f>B7877+30</f>
        <v/>
      </c>
      <c r="N7877">
        <f>IF(L7877="", "", L7877-B7877)</f>
        <v/>
      </c>
      <c r="O7877">
        <f>IF(L7877="", "Pending", IF(N7877&lt;=30, "Met", "Breached"))</f>
        <v/>
      </c>
      <c r="P7877" s="8" t="n"/>
      <c r="Q7877" s="8" t="n"/>
      <c r="R7877" s="8" t="n"/>
      <c r="S7877" s="8" t="n"/>
      <c r="T7877" s="8" t="n"/>
      <c r="U7877" s="8" t="n"/>
      <c r="V7877" s="8" t="n"/>
      <c r="W7877" s="8" t="n"/>
      <c r="X7877" s="8" t="n"/>
      <c r="Y7877" s="8" t="n"/>
    </row>
    <row r="7878">
      <c r="A7878" s="8" t="n"/>
      <c r="B7878" s="8" t="n"/>
      <c r="C7878" s="8" t="n"/>
      <c r="D7878" s="8" t="n"/>
      <c r="E7878" s="8" t="n"/>
      <c r="F7878" s="8" t="n"/>
      <c r="G7878" s="8" t="n"/>
      <c r="H7878" s="8" t="n"/>
      <c r="I7878" s="8" t="n"/>
      <c r="J7878" s="8" t="n"/>
      <c r="K7878" s="8" t="n"/>
      <c r="L7878" s="8" t="n"/>
      <c r="M7878" s="9">
        <f>B7878+30</f>
        <v/>
      </c>
      <c r="N7878">
        <f>IF(L7878="", "", L7878-B7878)</f>
        <v/>
      </c>
      <c r="O7878">
        <f>IF(L7878="", "Pending", IF(N7878&lt;=30, "Met", "Breached"))</f>
        <v/>
      </c>
      <c r="P7878" s="8" t="n"/>
      <c r="Q7878" s="8" t="n"/>
      <c r="R7878" s="8" t="n"/>
      <c r="S7878" s="8" t="n"/>
      <c r="T7878" s="8" t="n"/>
      <c r="U7878" s="8" t="n"/>
      <c r="V7878" s="8" t="n"/>
      <c r="W7878" s="8" t="n"/>
      <c r="X7878" s="8" t="n"/>
      <c r="Y7878" s="8" t="n"/>
    </row>
    <row r="7879">
      <c r="A7879" s="8" t="n"/>
      <c r="B7879" s="8" t="n"/>
      <c r="C7879" s="8" t="n"/>
      <c r="D7879" s="8" t="n"/>
      <c r="E7879" s="8" t="n"/>
      <c r="F7879" s="8" t="n"/>
      <c r="G7879" s="8" t="n"/>
      <c r="H7879" s="8" t="n"/>
      <c r="I7879" s="8" t="n"/>
      <c r="J7879" s="8" t="n"/>
      <c r="K7879" s="8" t="n"/>
      <c r="L7879" s="8" t="n"/>
      <c r="M7879" s="9">
        <f>B7879+30</f>
        <v/>
      </c>
      <c r="N7879">
        <f>IF(L7879="", "", L7879-B7879)</f>
        <v/>
      </c>
      <c r="O7879">
        <f>IF(L7879="", "Pending", IF(N7879&lt;=30, "Met", "Breached"))</f>
        <v/>
      </c>
      <c r="P7879" s="8" t="n"/>
      <c r="Q7879" s="8" t="n"/>
      <c r="R7879" s="8" t="n"/>
      <c r="S7879" s="8" t="n"/>
      <c r="T7879" s="8" t="n"/>
      <c r="U7879" s="8" t="n"/>
      <c r="V7879" s="8" t="n"/>
      <c r="W7879" s="8" t="n"/>
      <c r="X7879" s="8" t="n"/>
      <c r="Y7879" s="8" t="n"/>
    </row>
    <row r="7880">
      <c r="A7880" s="8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8" t="n"/>
      <c r="K7880" s="8" t="n"/>
      <c r="L7880" s="8" t="n"/>
      <c r="M7880" s="9">
        <f>B7880+30</f>
        <v/>
      </c>
      <c r="N7880">
        <f>IF(L7880="", "", L7880-B7880)</f>
        <v/>
      </c>
      <c r="O7880">
        <f>IF(L7880="", "Pending", IF(N7880&lt;=30, "Met", "Breached"))</f>
        <v/>
      </c>
      <c r="P7880" s="8" t="n"/>
      <c r="Q7880" s="8" t="n"/>
      <c r="R7880" s="8" t="n"/>
      <c r="S7880" s="8" t="n"/>
      <c r="T7880" s="8" t="n"/>
      <c r="U7880" s="8" t="n"/>
      <c r="V7880" s="8" t="n"/>
      <c r="W7880" s="8" t="n"/>
      <c r="X7880" s="8" t="n"/>
      <c r="Y7880" s="8" t="n"/>
    </row>
    <row r="7881">
      <c r="A7881" s="8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8" t="n"/>
      <c r="K7881" s="8" t="n"/>
      <c r="L7881" s="8" t="n"/>
      <c r="M7881" s="9">
        <f>B7881+30</f>
        <v/>
      </c>
      <c r="N7881">
        <f>IF(L7881="", "", L7881-B7881)</f>
        <v/>
      </c>
      <c r="O7881">
        <f>IF(L7881="", "Pending", IF(N7881&lt;=30, "Met", "Breached"))</f>
        <v/>
      </c>
      <c r="P7881" s="8" t="n"/>
      <c r="Q7881" s="8" t="n"/>
      <c r="R7881" s="8" t="n"/>
      <c r="S7881" s="8" t="n"/>
      <c r="T7881" s="8" t="n"/>
      <c r="U7881" s="8" t="n"/>
      <c r="V7881" s="8" t="n"/>
      <c r="W7881" s="8" t="n"/>
      <c r="X7881" s="8" t="n"/>
      <c r="Y7881" s="8" t="n"/>
    </row>
    <row r="7882">
      <c r="A7882" s="8" t="n"/>
      <c r="B7882" s="8" t="n"/>
      <c r="C7882" s="8" t="n"/>
      <c r="D7882" s="8" t="n"/>
      <c r="E7882" s="8" t="n"/>
      <c r="F7882" s="8" t="n"/>
      <c r="G7882" s="8" t="n"/>
      <c r="H7882" s="8" t="n"/>
      <c r="I7882" s="8" t="n"/>
      <c r="J7882" s="8" t="n"/>
      <c r="K7882" s="8" t="n"/>
      <c r="L7882" s="8" t="n"/>
      <c r="M7882" s="9">
        <f>B7882+30</f>
        <v/>
      </c>
      <c r="N7882">
        <f>IF(L7882="", "", L7882-B7882)</f>
        <v/>
      </c>
      <c r="O7882">
        <f>IF(L7882="", "Pending", IF(N7882&lt;=30, "Met", "Breached"))</f>
        <v/>
      </c>
      <c r="P7882" s="8" t="n"/>
      <c r="Q7882" s="8" t="n"/>
      <c r="R7882" s="8" t="n"/>
      <c r="S7882" s="8" t="n"/>
      <c r="T7882" s="8" t="n"/>
      <c r="U7882" s="8" t="n"/>
      <c r="V7882" s="8" t="n"/>
      <c r="W7882" s="8" t="n"/>
      <c r="X7882" s="8" t="n"/>
      <c r="Y7882" s="8" t="n"/>
    </row>
    <row r="7883">
      <c r="A7883" s="8" t="n"/>
      <c r="B7883" s="8" t="n"/>
      <c r="C7883" s="8" t="n"/>
      <c r="D7883" s="8" t="n"/>
      <c r="E7883" s="8" t="n"/>
      <c r="F7883" s="8" t="n"/>
      <c r="G7883" s="8" t="n"/>
      <c r="H7883" s="8" t="n"/>
      <c r="I7883" s="8" t="n"/>
      <c r="J7883" s="8" t="n"/>
      <c r="K7883" s="8" t="n"/>
      <c r="L7883" s="8" t="n"/>
      <c r="M7883" s="9">
        <f>B7883+30</f>
        <v/>
      </c>
      <c r="N7883">
        <f>IF(L7883="", "", L7883-B7883)</f>
        <v/>
      </c>
      <c r="O7883">
        <f>IF(L7883="", "Pending", IF(N7883&lt;=30, "Met", "Breached"))</f>
        <v/>
      </c>
      <c r="P7883" s="8" t="n"/>
      <c r="Q7883" s="8" t="n"/>
      <c r="R7883" s="8" t="n"/>
      <c r="S7883" s="8" t="n"/>
      <c r="T7883" s="8" t="n"/>
      <c r="U7883" s="8" t="n"/>
      <c r="V7883" s="8" t="n"/>
      <c r="W7883" s="8" t="n"/>
      <c r="X7883" s="8" t="n"/>
      <c r="Y7883" s="8" t="n"/>
    </row>
    <row r="7884">
      <c r="A7884" s="8" t="n"/>
      <c r="B7884" s="8" t="n"/>
      <c r="C7884" s="8" t="n"/>
      <c r="D7884" s="8" t="n"/>
      <c r="E7884" s="8" t="n"/>
      <c r="F7884" s="8" t="n"/>
      <c r="G7884" s="8" t="n"/>
      <c r="H7884" s="8" t="n"/>
      <c r="I7884" s="8" t="n"/>
      <c r="J7884" s="8" t="n"/>
      <c r="K7884" s="8" t="n"/>
      <c r="L7884" s="8" t="n"/>
      <c r="M7884" s="9">
        <f>B7884+30</f>
        <v/>
      </c>
      <c r="N7884">
        <f>IF(L7884="", "", L7884-B7884)</f>
        <v/>
      </c>
      <c r="O7884">
        <f>IF(L7884="", "Pending", IF(N7884&lt;=30, "Met", "Breached"))</f>
        <v/>
      </c>
      <c r="P7884" s="8" t="n"/>
      <c r="Q7884" s="8" t="n"/>
      <c r="R7884" s="8" t="n"/>
      <c r="S7884" s="8" t="n"/>
      <c r="T7884" s="8" t="n"/>
      <c r="U7884" s="8" t="n"/>
      <c r="V7884" s="8" t="n"/>
      <c r="W7884" s="8" t="n"/>
      <c r="X7884" s="8" t="n"/>
      <c r="Y7884" s="8" t="n"/>
    </row>
    <row r="7885">
      <c r="A7885" s="8" t="n"/>
      <c r="B7885" s="8" t="n"/>
      <c r="C7885" s="8" t="n"/>
      <c r="D7885" s="8" t="n"/>
      <c r="E7885" s="8" t="n"/>
      <c r="F7885" s="8" t="n"/>
      <c r="G7885" s="8" t="n"/>
      <c r="H7885" s="8" t="n"/>
      <c r="I7885" s="8" t="n"/>
      <c r="J7885" s="8" t="n"/>
      <c r="K7885" s="8" t="n"/>
      <c r="L7885" s="8" t="n"/>
      <c r="M7885" s="9">
        <f>B7885+30</f>
        <v/>
      </c>
      <c r="N7885">
        <f>IF(L7885="", "", L7885-B7885)</f>
        <v/>
      </c>
      <c r="O7885">
        <f>IF(L7885="", "Pending", IF(N7885&lt;=30, "Met", "Breached"))</f>
        <v/>
      </c>
      <c r="P7885" s="8" t="n"/>
      <c r="Q7885" s="8" t="n"/>
      <c r="R7885" s="8" t="n"/>
      <c r="S7885" s="8" t="n"/>
      <c r="T7885" s="8" t="n"/>
      <c r="U7885" s="8" t="n"/>
      <c r="V7885" s="8" t="n"/>
      <c r="W7885" s="8" t="n"/>
      <c r="X7885" s="8" t="n"/>
      <c r="Y7885" s="8" t="n"/>
    </row>
    <row r="7886">
      <c r="A7886" s="8" t="n"/>
      <c r="B7886" s="8" t="n"/>
      <c r="C7886" s="8" t="n"/>
      <c r="D7886" s="8" t="n"/>
      <c r="E7886" s="8" t="n"/>
      <c r="F7886" s="8" t="n"/>
      <c r="G7886" s="8" t="n"/>
      <c r="H7886" s="8" t="n"/>
      <c r="I7886" s="8" t="n"/>
      <c r="J7886" s="8" t="n"/>
      <c r="K7886" s="8" t="n"/>
      <c r="L7886" s="8" t="n"/>
      <c r="M7886" s="9">
        <f>B7886+30</f>
        <v/>
      </c>
      <c r="N7886">
        <f>IF(L7886="", "", L7886-B7886)</f>
        <v/>
      </c>
      <c r="O7886">
        <f>IF(L7886="", "Pending", IF(N7886&lt;=30, "Met", "Breached"))</f>
        <v/>
      </c>
      <c r="P7886" s="8" t="n"/>
      <c r="Q7886" s="8" t="n"/>
      <c r="R7886" s="8" t="n"/>
      <c r="S7886" s="8" t="n"/>
      <c r="T7886" s="8" t="n"/>
      <c r="U7886" s="8" t="n"/>
      <c r="V7886" s="8" t="n"/>
      <c r="W7886" s="8" t="n"/>
      <c r="X7886" s="8" t="n"/>
      <c r="Y7886" s="8" t="n"/>
    </row>
    <row r="7887">
      <c r="A7887" s="8" t="n"/>
      <c r="B7887" s="8" t="n"/>
      <c r="C7887" s="8" t="n"/>
      <c r="D7887" s="8" t="n"/>
      <c r="E7887" s="8" t="n"/>
      <c r="F7887" s="8" t="n"/>
      <c r="G7887" s="8" t="n"/>
      <c r="H7887" s="8" t="n"/>
      <c r="I7887" s="8" t="n"/>
      <c r="J7887" s="8" t="n"/>
      <c r="K7887" s="8" t="n"/>
      <c r="L7887" s="8" t="n"/>
      <c r="M7887" s="9">
        <f>B7887+30</f>
        <v/>
      </c>
      <c r="N7887">
        <f>IF(L7887="", "", L7887-B7887)</f>
        <v/>
      </c>
      <c r="O7887">
        <f>IF(L7887="", "Pending", IF(N7887&lt;=30, "Met", "Breached"))</f>
        <v/>
      </c>
      <c r="P7887" s="8" t="n"/>
      <c r="Q7887" s="8" t="n"/>
      <c r="R7887" s="8" t="n"/>
      <c r="S7887" s="8" t="n"/>
      <c r="T7887" s="8" t="n"/>
      <c r="U7887" s="8" t="n"/>
      <c r="V7887" s="8" t="n"/>
      <c r="W7887" s="8" t="n"/>
      <c r="X7887" s="8" t="n"/>
      <c r="Y7887" s="8" t="n"/>
    </row>
    <row r="7888">
      <c r="A7888" s="8" t="n"/>
      <c r="B7888" s="8" t="n"/>
      <c r="C7888" s="8" t="n"/>
      <c r="D7888" s="8" t="n"/>
      <c r="E7888" s="8" t="n"/>
      <c r="F7888" s="8" t="n"/>
      <c r="G7888" s="8" t="n"/>
      <c r="H7888" s="8" t="n"/>
      <c r="I7888" s="8" t="n"/>
      <c r="J7888" s="8" t="n"/>
      <c r="K7888" s="8" t="n"/>
      <c r="L7888" s="8" t="n"/>
      <c r="M7888" s="9">
        <f>B7888+30</f>
        <v/>
      </c>
      <c r="N7888">
        <f>IF(L7888="", "", L7888-B7888)</f>
        <v/>
      </c>
      <c r="O7888">
        <f>IF(L7888="", "Pending", IF(N7888&lt;=30, "Met", "Breached"))</f>
        <v/>
      </c>
      <c r="P7888" s="8" t="n"/>
      <c r="Q7888" s="8" t="n"/>
      <c r="R7888" s="8" t="n"/>
      <c r="S7888" s="8" t="n"/>
      <c r="T7888" s="8" t="n"/>
      <c r="U7888" s="8" t="n"/>
      <c r="V7888" s="8" t="n"/>
      <c r="W7888" s="8" t="n"/>
      <c r="X7888" s="8" t="n"/>
      <c r="Y7888" s="8" t="n"/>
    </row>
    <row r="7889">
      <c r="A7889" s="8" t="n"/>
      <c r="B7889" s="8" t="n"/>
      <c r="C7889" s="8" t="n"/>
      <c r="D7889" s="8" t="n"/>
      <c r="E7889" s="8" t="n"/>
      <c r="F7889" s="8" t="n"/>
      <c r="G7889" s="8" t="n"/>
      <c r="H7889" s="8" t="n"/>
      <c r="I7889" s="8" t="n"/>
      <c r="J7889" s="8" t="n"/>
      <c r="K7889" s="8" t="n"/>
      <c r="L7889" s="8" t="n"/>
      <c r="M7889" s="9">
        <f>B7889+30</f>
        <v/>
      </c>
      <c r="N7889">
        <f>IF(L7889="", "", L7889-B7889)</f>
        <v/>
      </c>
      <c r="O7889">
        <f>IF(L7889="", "Pending", IF(N7889&lt;=30, "Met", "Breached"))</f>
        <v/>
      </c>
      <c r="P7889" s="8" t="n"/>
      <c r="Q7889" s="8" t="n"/>
      <c r="R7889" s="8" t="n"/>
      <c r="S7889" s="8" t="n"/>
      <c r="T7889" s="8" t="n"/>
      <c r="U7889" s="8" t="n"/>
      <c r="V7889" s="8" t="n"/>
      <c r="W7889" s="8" t="n"/>
      <c r="X7889" s="8" t="n"/>
      <c r="Y7889" s="8" t="n"/>
    </row>
    <row r="7890">
      <c r="A7890" s="8" t="n"/>
      <c r="B7890" s="8" t="n"/>
      <c r="C7890" s="8" t="n"/>
      <c r="D7890" s="8" t="n"/>
      <c r="E7890" s="8" t="n"/>
      <c r="F7890" s="8" t="n"/>
      <c r="G7890" s="8" t="n"/>
      <c r="H7890" s="8" t="n"/>
      <c r="I7890" s="8" t="n"/>
      <c r="J7890" s="8" t="n"/>
      <c r="K7890" s="8" t="n"/>
      <c r="L7890" s="8" t="n"/>
      <c r="M7890" s="9">
        <f>B7890+30</f>
        <v/>
      </c>
      <c r="N7890">
        <f>IF(L7890="", "", L7890-B7890)</f>
        <v/>
      </c>
      <c r="O7890">
        <f>IF(L7890="", "Pending", IF(N7890&lt;=30, "Met", "Breached"))</f>
        <v/>
      </c>
      <c r="P7890" s="8" t="n"/>
      <c r="Q7890" s="8" t="n"/>
      <c r="R7890" s="8" t="n"/>
      <c r="S7890" s="8" t="n"/>
      <c r="T7890" s="8" t="n"/>
      <c r="U7890" s="8" t="n"/>
      <c r="V7890" s="8" t="n"/>
      <c r="W7890" s="8" t="n"/>
      <c r="X7890" s="8" t="n"/>
      <c r="Y7890" s="8" t="n"/>
    </row>
    <row r="7891">
      <c r="A7891" s="8" t="n"/>
      <c r="B7891" s="8" t="n"/>
      <c r="C7891" s="8" t="n"/>
      <c r="D7891" s="8" t="n"/>
      <c r="E7891" s="8" t="n"/>
      <c r="F7891" s="8" t="n"/>
      <c r="G7891" s="8" t="n"/>
      <c r="H7891" s="8" t="n"/>
      <c r="I7891" s="8" t="n"/>
      <c r="J7891" s="8" t="n"/>
      <c r="K7891" s="8" t="n"/>
      <c r="L7891" s="8" t="n"/>
      <c r="M7891" s="9">
        <f>B7891+30</f>
        <v/>
      </c>
      <c r="N7891">
        <f>IF(L7891="", "", L7891-B7891)</f>
        <v/>
      </c>
      <c r="O7891">
        <f>IF(L7891="", "Pending", IF(N7891&lt;=30, "Met", "Breached"))</f>
        <v/>
      </c>
      <c r="P7891" s="8" t="n"/>
      <c r="Q7891" s="8" t="n"/>
      <c r="R7891" s="8" t="n"/>
      <c r="S7891" s="8" t="n"/>
      <c r="T7891" s="8" t="n"/>
      <c r="U7891" s="8" t="n"/>
      <c r="V7891" s="8" t="n"/>
      <c r="W7891" s="8" t="n"/>
      <c r="X7891" s="8" t="n"/>
      <c r="Y7891" s="8" t="n"/>
    </row>
    <row r="7892">
      <c r="A7892" s="8" t="n"/>
      <c r="B7892" s="8" t="n"/>
      <c r="C7892" s="8" t="n"/>
      <c r="D7892" s="8" t="n"/>
      <c r="E7892" s="8" t="n"/>
      <c r="F7892" s="8" t="n"/>
      <c r="G7892" s="8" t="n"/>
      <c r="H7892" s="8" t="n"/>
      <c r="I7892" s="8" t="n"/>
      <c r="J7892" s="8" t="n"/>
      <c r="K7892" s="8" t="n"/>
      <c r="L7892" s="8" t="n"/>
      <c r="M7892" s="9">
        <f>B7892+30</f>
        <v/>
      </c>
      <c r="N7892">
        <f>IF(L7892="", "", L7892-B7892)</f>
        <v/>
      </c>
      <c r="O7892">
        <f>IF(L7892="", "Pending", IF(N7892&lt;=30, "Met", "Breached"))</f>
        <v/>
      </c>
      <c r="P7892" s="8" t="n"/>
      <c r="Q7892" s="8" t="n"/>
      <c r="R7892" s="8" t="n"/>
      <c r="S7892" s="8" t="n"/>
      <c r="T7892" s="8" t="n"/>
      <c r="U7892" s="8" t="n"/>
      <c r="V7892" s="8" t="n"/>
      <c r="W7892" s="8" t="n"/>
      <c r="X7892" s="8" t="n"/>
      <c r="Y7892" s="8" t="n"/>
    </row>
    <row r="7893">
      <c r="A7893" s="8" t="n"/>
      <c r="B7893" s="8" t="n"/>
      <c r="C7893" s="8" t="n"/>
      <c r="D7893" s="8" t="n"/>
      <c r="E7893" s="8" t="n"/>
      <c r="F7893" s="8" t="n"/>
      <c r="G7893" s="8" t="n"/>
      <c r="H7893" s="8" t="n"/>
      <c r="I7893" s="8" t="n"/>
      <c r="J7893" s="8" t="n"/>
      <c r="K7893" s="8" t="n"/>
      <c r="L7893" s="8" t="n"/>
      <c r="M7893" s="9">
        <f>B7893+30</f>
        <v/>
      </c>
      <c r="N7893">
        <f>IF(L7893="", "", L7893-B7893)</f>
        <v/>
      </c>
      <c r="O7893">
        <f>IF(L7893="", "Pending", IF(N7893&lt;=30, "Met", "Breached"))</f>
        <v/>
      </c>
      <c r="P7893" s="8" t="n"/>
      <c r="Q7893" s="8" t="n"/>
      <c r="R7893" s="8" t="n"/>
      <c r="S7893" s="8" t="n"/>
      <c r="T7893" s="8" t="n"/>
      <c r="U7893" s="8" t="n"/>
      <c r="V7893" s="8" t="n"/>
      <c r="W7893" s="8" t="n"/>
      <c r="X7893" s="8" t="n"/>
      <c r="Y7893" s="8" t="n"/>
    </row>
    <row r="7894">
      <c r="A7894" s="8" t="n"/>
      <c r="B7894" s="8" t="n"/>
      <c r="C7894" s="8" t="n"/>
      <c r="D7894" s="8" t="n"/>
      <c r="E7894" s="8" t="n"/>
      <c r="F7894" s="8" t="n"/>
      <c r="G7894" s="8" t="n"/>
      <c r="H7894" s="8" t="n"/>
      <c r="I7894" s="8" t="n"/>
      <c r="J7894" s="8" t="n"/>
      <c r="K7894" s="8" t="n"/>
      <c r="L7894" s="8" t="n"/>
      <c r="M7894" s="9">
        <f>B7894+30</f>
        <v/>
      </c>
      <c r="N7894">
        <f>IF(L7894="", "", L7894-B7894)</f>
        <v/>
      </c>
      <c r="O7894">
        <f>IF(L7894="", "Pending", IF(N7894&lt;=30, "Met", "Breached"))</f>
        <v/>
      </c>
      <c r="P7894" s="8" t="n"/>
      <c r="Q7894" s="8" t="n"/>
      <c r="R7894" s="8" t="n"/>
      <c r="S7894" s="8" t="n"/>
      <c r="T7894" s="8" t="n"/>
      <c r="U7894" s="8" t="n"/>
      <c r="V7894" s="8" t="n"/>
      <c r="W7894" s="8" t="n"/>
      <c r="X7894" s="8" t="n"/>
      <c r="Y7894" s="8" t="n"/>
    </row>
    <row r="7895">
      <c r="A7895" s="8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8" t="n"/>
      <c r="K7895" s="8" t="n"/>
      <c r="L7895" s="8" t="n"/>
      <c r="M7895" s="9">
        <f>B7895+30</f>
        <v/>
      </c>
      <c r="N7895">
        <f>IF(L7895="", "", L7895-B7895)</f>
        <v/>
      </c>
      <c r="O7895">
        <f>IF(L7895="", "Pending", IF(N7895&lt;=30, "Met", "Breached"))</f>
        <v/>
      </c>
      <c r="P7895" s="8" t="n"/>
      <c r="Q7895" s="8" t="n"/>
      <c r="R7895" s="8" t="n"/>
      <c r="S7895" s="8" t="n"/>
      <c r="T7895" s="8" t="n"/>
      <c r="U7895" s="8" t="n"/>
      <c r="V7895" s="8" t="n"/>
      <c r="W7895" s="8" t="n"/>
      <c r="X7895" s="8" t="n"/>
      <c r="Y7895" s="8" t="n"/>
    </row>
    <row r="7896">
      <c r="A7896" s="8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8" t="n"/>
      <c r="K7896" s="8" t="n"/>
      <c r="L7896" s="8" t="n"/>
      <c r="M7896" s="9">
        <f>B7896+30</f>
        <v/>
      </c>
      <c r="N7896">
        <f>IF(L7896="", "", L7896-B7896)</f>
        <v/>
      </c>
      <c r="O7896">
        <f>IF(L7896="", "Pending", IF(N7896&lt;=30, "Met", "Breached"))</f>
        <v/>
      </c>
      <c r="P7896" s="8" t="n"/>
      <c r="Q7896" s="8" t="n"/>
      <c r="R7896" s="8" t="n"/>
      <c r="S7896" s="8" t="n"/>
      <c r="T7896" s="8" t="n"/>
      <c r="U7896" s="8" t="n"/>
      <c r="V7896" s="8" t="n"/>
      <c r="W7896" s="8" t="n"/>
      <c r="X7896" s="8" t="n"/>
      <c r="Y7896" s="8" t="n"/>
    </row>
    <row r="7897">
      <c r="A7897" s="8" t="n"/>
      <c r="B7897" s="8" t="n"/>
      <c r="C7897" s="8" t="n"/>
      <c r="D7897" s="8" t="n"/>
      <c r="E7897" s="8" t="n"/>
      <c r="F7897" s="8" t="n"/>
      <c r="G7897" s="8" t="n"/>
      <c r="H7897" s="8" t="n"/>
      <c r="I7897" s="8" t="n"/>
      <c r="J7897" s="8" t="n"/>
      <c r="K7897" s="8" t="n"/>
      <c r="L7897" s="8" t="n"/>
      <c r="M7897" s="9">
        <f>B7897+30</f>
        <v/>
      </c>
      <c r="N7897">
        <f>IF(L7897="", "", L7897-B7897)</f>
        <v/>
      </c>
      <c r="O7897">
        <f>IF(L7897="", "Pending", IF(N7897&lt;=30, "Met", "Breached"))</f>
        <v/>
      </c>
      <c r="P7897" s="8" t="n"/>
      <c r="Q7897" s="8" t="n"/>
      <c r="R7897" s="8" t="n"/>
      <c r="S7897" s="8" t="n"/>
      <c r="T7897" s="8" t="n"/>
      <c r="U7897" s="8" t="n"/>
      <c r="V7897" s="8" t="n"/>
      <c r="W7897" s="8" t="n"/>
      <c r="X7897" s="8" t="n"/>
      <c r="Y7897" s="8" t="n"/>
    </row>
    <row r="7898">
      <c r="A7898" s="8" t="n"/>
      <c r="B7898" s="8" t="n"/>
      <c r="C7898" s="8" t="n"/>
      <c r="D7898" s="8" t="n"/>
      <c r="E7898" s="8" t="n"/>
      <c r="F7898" s="8" t="n"/>
      <c r="G7898" s="8" t="n"/>
      <c r="H7898" s="8" t="n"/>
      <c r="I7898" s="8" t="n"/>
      <c r="J7898" s="8" t="n"/>
      <c r="K7898" s="8" t="n"/>
      <c r="L7898" s="8" t="n"/>
      <c r="M7898" s="9">
        <f>B7898+30</f>
        <v/>
      </c>
      <c r="N7898">
        <f>IF(L7898="", "", L7898-B7898)</f>
        <v/>
      </c>
      <c r="O7898">
        <f>IF(L7898="", "Pending", IF(N7898&lt;=30, "Met", "Breached"))</f>
        <v/>
      </c>
      <c r="P7898" s="8" t="n"/>
      <c r="Q7898" s="8" t="n"/>
      <c r="R7898" s="8" t="n"/>
      <c r="S7898" s="8" t="n"/>
      <c r="T7898" s="8" t="n"/>
      <c r="U7898" s="8" t="n"/>
      <c r="V7898" s="8" t="n"/>
      <c r="W7898" s="8" t="n"/>
      <c r="X7898" s="8" t="n"/>
      <c r="Y7898" s="8" t="n"/>
    </row>
    <row r="7899">
      <c r="A7899" s="8" t="n"/>
      <c r="B7899" s="8" t="n"/>
      <c r="C7899" s="8" t="n"/>
      <c r="D7899" s="8" t="n"/>
      <c r="E7899" s="8" t="n"/>
      <c r="F7899" s="8" t="n"/>
      <c r="G7899" s="8" t="n"/>
      <c r="H7899" s="8" t="n"/>
      <c r="I7899" s="8" t="n"/>
      <c r="J7899" s="8" t="n"/>
      <c r="K7899" s="8" t="n"/>
      <c r="L7899" s="8" t="n"/>
      <c r="M7899" s="9">
        <f>B7899+30</f>
        <v/>
      </c>
      <c r="N7899">
        <f>IF(L7899="", "", L7899-B7899)</f>
        <v/>
      </c>
      <c r="O7899">
        <f>IF(L7899="", "Pending", IF(N7899&lt;=30, "Met", "Breached"))</f>
        <v/>
      </c>
      <c r="P7899" s="8" t="n"/>
      <c r="Q7899" s="8" t="n"/>
      <c r="R7899" s="8" t="n"/>
      <c r="S7899" s="8" t="n"/>
      <c r="T7899" s="8" t="n"/>
      <c r="U7899" s="8" t="n"/>
      <c r="V7899" s="8" t="n"/>
      <c r="W7899" s="8" t="n"/>
      <c r="X7899" s="8" t="n"/>
      <c r="Y7899" s="8" t="n"/>
    </row>
    <row r="7900">
      <c r="A7900" s="8" t="n"/>
      <c r="B7900" s="8" t="n"/>
      <c r="C7900" s="8" t="n"/>
      <c r="D7900" s="8" t="n"/>
      <c r="E7900" s="8" t="n"/>
      <c r="F7900" s="8" t="n"/>
      <c r="G7900" s="8" t="n"/>
      <c r="H7900" s="8" t="n"/>
      <c r="I7900" s="8" t="n"/>
      <c r="J7900" s="8" t="n"/>
      <c r="K7900" s="8" t="n"/>
      <c r="L7900" s="8" t="n"/>
      <c r="M7900" s="9">
        <f>B7900+30</f>
        <v/>
      </c>
      <c r="N7900">
        <f>IF(L7900="", "", L7900-B7900)</f>
        <v/>
      </c>
      <c r="O7900">
        <f>IF(L7900="", "Pending", IF(N7900&lt;=30, "Met", "Breached"))</f>
        <v/>
      </c>
      <c r="P7900" s="8" t="n"/>
      <c r="Q7900" s="8" t="n"/>
      <c r="R7900" s="8" t="n"/>
      <c r="S7900" s="8" t="n"/>
      <c r="T7900" s="8" t="n"/>
      <c r="U7900" s="8" t="n"/>
      <c r="V7900" s="8" t="n"/>
      <c r="W7900" s="8" t="n"/>
      <c r="X7900" s="8" t="n"/>
      <c r="Y7900" s="8" t="n"/>
    </row>
    <row r="7901">
      <c r="A7901" s="8" t="n"/>
      <c r="B7901" s="8" t="n"/>
      <c r="C7901" s="8" t="n"/>
      <c r="D7901" s="8" t="n"/>
      <c r="E7901" s="8" t="n"/>
      <c r="F7901" s="8" t="n"/>
      <c r="G7901" s="8" t="n"/>
      <c r="H7901" s="8" t="n"/>
      <c r="I7901" s="8" t="n"/>
      <c r="J7901" s="8" t="n"/>
      <c r="K7901" s="8" t="n"/>
      <c r="L7901" s="8" t="n"/>
      <c r="M7901" s="9">
        <f>B7901+30</f>
        <v/>
      </c>
      <c r="N7901">
        <f>IF(L7901="", "", L7901-B7901)</f>
        <v/>
      </c>
      <c r="O7901">
        <f>IF(L7901="", "Pending", IF(N7901&lt;=30, "Met", "Breached"))</f>
        <v/>
      </c>
      <c r="P7901" s="8" t="n"/>
      <c r="Q7901" s="8" t="n"/>
      <c r="R7901" s="8" t="n"/>
      <c r="S7901" s="8" t="n"/>
      <c r="T7901" s="8" t="n"/>
      <c r="U7901" s="8" t="n"/>
      <c r="V7901" s="8" t="n"/>
      <c r="W7901" s="8" t="n"/>
      <c r="X7901" s="8" t="n"/>
      <c r="Y7901" s="8" t="n"/>
    </row>
    <row r="7902">
      <c r="A7902" s="8" t="n"/>
      <c r="B7902" s="8" t="n"/>
      <c r="C7902" s="8" t="n"/>
      <c r="D7902" s="8" t="n"/>
      <c r="E7902" s="8" t="n"/>
      <c r="F7902" s="8" t="n"/>
      <c r="G7902" s="8" t="n"/>
      <c r="H7902" s="8" t="n"/>
      <c r="I7902" s="8" t="n"/>
      <c r="J7902" s="8" t="n"/>
      <c r="K7902" s="8" t="n"/>
      <c r="L7902" s="8" t="n"/>
      <c r="M7902" s="9">
        <f>B7902+30</f>
        <v/>
      </c>
      <c r="N7902">
        <f>IF(L7902="", "", L7902-B7902)</f>
        <v/>
      </c>
      <c r="O7902">
        <f>IF(L7902="", "Pending", IF(N7902&lt;=30, "Met", "Breached"))</f>
        <v/>
      </c>
      <c r="P7902" s="8" t="n"/>
      <c r="Q7902" s="8" t="n"/>
      <c r="R7902" s="8" t="n"/>
      <c r="S7902" s="8" t="n"/>
      <c r="T7902" s="8" t="n"/>
      <c r="U7902" s="8" t="n"/>
      <c r="V7902" s="8" t="n"/>
      <c r="W7902" s="8" t="n"/>
      <c r="X7902" s="8" t="n"/>
      <c r="Y7902" s="8" t="n"/>
    </row>
    <row r="7903">
      <c r="A7903" s="8" t="n"/>
      <c r="B7903" s="8" t="n"/>
      <c r="C7903" s="8" t="n"/>
      <c r="D7903" s="8" t="n"/>
      <c r="E7903" s="8" t="n"/>
      <c r="F7903" s="8" t="n"/>
      <c r="G7903" s="8" t="n"/>
      <c r="H7903" s="8" t="n"/>
      <c r="I7903" s="8" t="n"/>
      <c r="J7903" s="8" t="n"/>
      <c r="K7903" s="8" t="n"/>
      <c r="L7903" s="8" t="n"/>
      <c r="M7903" s="9">
        <f>B7903+30</f>
        <v/>
      </c>
      <c r="N7903">
        <f>IF(L7903="", "", L7903-B7903)</f>
        <v/>
      </c>
      <c r="O7903">
        <f>IF(L7903="", "Pending", IF(N7903&lt;=30, "Met", "Breached"))</f>
        <v/>
      </c>
      <c r="P7903" s="8" t="n"/>
      <c r="Q7903" s="8" t="n"/>
      <c r="R7903" s="8" t="n"/>
      <c r="S7903" s="8" t="n"/>
      <c r="T7903" s="8" t="n"/>
      <c r="U7903" s="8" t="n"/>
      <c r="V7903" s="8" t="n"/>
      <c r="W7903" s="8" t="n"/>
      <c r="X7903" s="8" t="n"/>
      <c r="Y7903" s="8" t="n"/>
    </row>
    <row r="7904">
      <c r="A7904" s="8" t="n"/>
      <c r="B7904" s="8" t="n"/>
      <c r="C7904" s="8" t="n"/>
      <c r="D7904" s="8" t="n"/>
      <c r="E7904" s="8" t="n"/>
      <c r="F7904" s="8" t="n"/>
      <c r="G7904" s="8" t="n"/>
      <c r="H7904" s="8" t="n"/>
      <c r="I7904" s="8" t="n"/>
      <c r="J7904" s="8" t="n"/>
      <c r="K7904" s="8" t="n"/>
      <c r="L7904" s="8" t="n"/>
      <c r="M7904" s="9">
        <f>B7904+30</f>
        <v/>
      </c>
      <c r="N7904">
        <f>IF(L7904="", "", L7904-B7904)</f>
        <v/>
      </c>
      <c r="O7904">
        <f>IF(L7904="", "Pending", IF(N7904&lt;=30, "Met", "Breached"))</f>
        <v/>
      </c>
      <c r="P7904" s="8" t="n"/>
      <c r="Q7904" s="8" t="n"/>
      <c r="R7904" s="8" t="n"/>
      <c r="S7904" s="8" t="n"/>
      <c r="T7904" s="8" t="n"/>
      <c r="U7904" s="8" t="n"/>
      <c r="V7904" s="8" t="n"/>
      <c r="W7904" s="8" t="n"/>
      <c r="X7904" s="8" t="n"/>
      <c r="Y7904" s="8" t="n"/>
    </row>
    <row r="7905">
      <c r="A7905" s="8" t="n"/>
      <c r="B7905" s="8" t="n"/>
      <c r="C7905" s="8" t="n"/>
      <c r="D7905" s="8" t="n"/>
      <c r="E7905" s="8" t="n"/>
      <c r="F7905" s="8" t="n"/>
      <c r="G7905" s="8" t="n"/>
      <c r="H7905" s="8" t="n"/>
      <c r="I7905" s="8" t="n"/>
      <c r="J7905" s="8" t="n"/>
      <c r="K7905" s="8" t="n"/>
      <c r="L7905" s="8" t="n"/>
      <c r="M7905" s="9">
        <f>B7905+30</f>
        <v/>
      </c>
      <c r="N7905">
        <f>IF(L7905="", "", L7905-B7905)</f>
        <v/>
      </c>
      <c r="O7905">
        <f>IF(L7905="", "Pending", IF(N7905&lt;=30, "Met", "Breached"))</f>
        <v/>
      </c>
      <c r="P7905" s="8" t="n"/>
      <c r="Q7905" s="8" t="n"/>
      <c r="R7905" s="8" t="n"/>
      <c r="S7905" s="8" t="n"/>
      <c r="T7905" s="8" t="n"/>
      <c r="U7905" s="8" t="n"/>
      <c r="V7905" s="8" t="n"/>
      <c r="W7905" s="8" t="n"/>
      <c r="X7905" s="8" t="n"/>
      <c r="Y7905" s="8" t="n"/>
    </row>
    <row r="7906">
      <c r="A7906" s="8" t="n"/>
      <c r="B7906" s="8" t="n"/>
      <c r="C7906" s="8" t="n"/>
      <c r="D7906" s="8" t="n"/>
      <c r="E7906" s="8" t="n"/>
      <c r="F7906" s="8" t="n"/>
      <c r="G7906" s="8" t="n"/>
      <c r="H7906" s="8" t="n"/>
      <c r="I7906" s="8" t="n"/>
      <c r="J7906" s="8" t="n"/>
      <c r="K7906" s="8" t="n"/>
      <c r="L7906" s="8" t="n"/>
      <c r="M7906" s="9">
        <f>B7906+30</f>
        <v/>
      </c>
      <c r="N7906">
        <f>IF(L7906="", "", L7906-B7906)</f>
        <v/>
      </c>
      <c r="O7906">
        <f>IF(L7906="", "Pending", IF(N7906&lt;=30, "Met", "Breached"))</f>
        <v/>
      </c>
      <c r="P7906" s="8" t="n"/>
      <c r="Q7906" s="8" t="n"/>
      <c r="R7906" s="8" t="n"/>
      <c r="S7906" s="8" t="n"/>
      <c r="T7906" s="8" t="n"/>
      <c r="U7906" s="8" t="n"/>
      <c r="V7906" s="8" t="n"/>
      <c r="W7906" s="8" t="n"/>
      <c r="X7906" s="8" t="n"/>
      <c r="Y7906" s="8" t="n"/>
    </row>
    <row r="7907">
      <c r="A7907" s="8" t="n"/>
      <c r="B7907" s="8" t="n"/>
      <c r="C7907" s="8" t="n"/>
      <c r="D7907" s="8" t="n"/>
      <c r="E7907" s="8" t="n"/>
      <c r="F7907" s="8" t="n"/>
      <c r="G7907" s="8" t="n"/>
      <c r="H7907" s="8" t="n"/>
      <c r="I7907" s="8" t="n"/>
      <c r="J7907" s="8" t="n"/>
      <c r="K7907" s="8" t="n"/>
      <c r="L7907" s="8" t="n"/>
      <c r="M7907" s="9">
        <f>B7907+30</f>
        <v/>
      </c>
      <c r="N7907">
        <f>IF(L7907="", "", L7907-B7907)</f>
        <v/>
      </c>
      <c r="O7907">
        <f>IF(L7907="", "Pending", IF(N7907&lt;=30, "Met", "Breached"))</f>
        <v/>
      </c>
      <c r="P7907" s="8" t="n"/>
      <c r="Q7907" s="8" t="n"/>
      <c r="R7907" s="8" t="n"/>
      <c r="S7907" s="8" t="n"/>
      <c r="T7907" s="8" t="n"/>
      <c r="U7907" s="8" t="n"/>
      <c r="V7907" s="8" t="n"/>
      <c r="W7907" s="8" t="n"/>
      <c r="X7907" s="8" t="n"/>
      <c r="Y7907" s="8" t="n"/>
    </row>
    <row r="7908">
      <c r="A7908" s="8" t="n"/>
      <c r="B7908" s="8" t="n"/>
      <c r="C7908" s="8" t="n"/>
      <c r="D7908" s="8" t="n"/>
      <c r="E7908" s="8" t="n"/>
      <c r="F7908" s="8" t="n"/>
      <c r="G7908" s="8" t="n"/>
      <c r="H7908" s="8" t="n"/>
      <c r="I7908" s="8" t="n"/>
      <c r="J7908" s="8" t="n"/>
      <c r="K7908" s="8" t="n"/>
      <c r="L7908" s="8" t="n"/>
      <c r="M7908" s="9">
        <f>B7908+30</f>
        <v/>
      </c>
      <c r="N7908">
        <f>IF(L7908="", "", L7908-B7908)</f>
        <v/>
      </c>
      <c r="O7908">
        <f>IF(L7908="", "Pending", IF(N7908&lt;=30, "Met", "Breached"))</f>
        <v/>
      </c>
      <c r="P7908" s="8" t="n"/>
      <c r="Q7908" s="8" t="n"/>
      <c r="R7908" s="8" t="n"/>
      <c r="S7908" s="8" t="n"/>
      <c r="T7908" s="8" t="n"/>
      <c r="U7908" s="8" t="n"/>
      <c r="V7908" s="8" t="n"/>
      <c r="W7908" s="8" t="n"/>
      <c r="X7908" s="8" t="n"/>
      <c r="Y7908" s="8" t="n"/>
    </row>
    <row r="7909">
      <c r="A7909" s="8" t="n"/>
      <c r="B7909" s="8" t="n"/>
      <c r="C7909" s="8" t="n"/>
      <c r="D7909" s="8" t="n"/>
      <c r="E7909" s="8" t="n"/>
      <c r="F7909" s="8" t="n"/>
      <c r="G7909" s="8" t="n"/>
      <c r="H7909" s="8" t="n"/>
      <c r="I7909" s="8" t="n"/>
      <c r="J7909" s="8" t="n"/>
      <c r="K7909" s="8" t="n"/>
      <c r="L7909" s="8" t="n"/>
      <c r="M7909" s="9">
        <f>B7909+30</f>
        <v/>
      </c>
      <c r="N7909">
        <f>IF(L7909="", "", L7909-B7909)</f>
        <v/>
      </c>
      <c r="O7909">
        <f>IF(L7909="", "Pending", IF(N7909&lt;=30, "Met", "Breached"))</f>
        <v/>
      </c>
      <c r="P7909" s="8" t="n"/>
      <c r="Q7909" s="8" t="n"/>
      <c r="R7909" s="8" t="n"/>
      <c r="S7909" s="8" t="n"/>
      <c r="T7909" s="8" t="n"/>
      <c r="U7909" s="8" t="n"/>
      <c r="V7909" s="8" t="n"/>
      <c r="W7909" s="8" t="n"/>
      <c r="X7909" s="8" t="n"/>
      <c r="Y7909" s="8" t="n"/>
    </row>
    <row r="7910">
      <c r="A7910" s="8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8" t="n"/>
      <c r="K7910" s="8" t="n"/>
      <c r="L7910" s="8" t="n"/>
      <c r="M7910" s="9">
        <f>B7910+30</f>
        <v/>
      </c>
      <c r="N7910">
        <f>IF(L7910="", "", L7910-B7910)</f>
        <v/>
      </c>
      <c r="O7910">
        <f>IF(L7910="", "Pending", IF(N7910&lt;=30, "Met", "Breached"))</f>
        <v/>
      </c>
      <c r="P7910" s="8" t="n"/>
      <c r="Q7910" s="8" t="n"/>
      <c r="R7910" s="8" t="n"/>
      <c r="S7910" s="8" t="n"/>
      <c r="T7910" s="8" t="n"/>
      <c r="U7910" s="8" t="n"/>
      <c r="V7910" s="8" t="n"/>
      <c r="W7910" s="8" t="n"/>
      <c r="X7910" s="8" t="n"/>
      <c r="Y7910" s="8" t="n"/>
    </row>
    <row r="7911">
      <c r="A7911" s="8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8" t="n"/>
      <c r="K7911" s="8" t="n"/>
      <c r="L7911" s="8" t="n"/>
      <c r="M7911" s="9">
        <f>B7911+30</f>
        <v/>
      </c>
      <c r="N7911">
        <f>IF(L7911="", "", L7911-B7911)</f>
        <v/>
      </c>
      <c r="O7911">
        <f>IF(L7911="", "Pending", IF(N7911&lt;=30, "Met", "Breached"))</f>
        <v/>
      </c>
      <c r="P7911" s="8" t="n"/>
      <c r="Q7911" s="8" t="n"/>
      <c r="R7911" s="8" t="n"/>
      <c r="S7911" s="8" t="n"/>
      <c r="T7911" s="8" t="n"/>
      <c r="U7911" s="8" t="n"/>
      <c r="V7911" s="8" t="n"/>
      <c r="W7911" s="8" t="n"/>
      <c r="X7911" s="8" t="n"/>
      <c r="Y7911" s="8" t="n"/>
    </row>
    <row r="7912">
      <c r="A7912" s="8" t="n"/>
      <c r="B7912" s="8" t="n"/>
      <c r="C7912" s="8" t="n"/>
      <c r="D7912" s="8" t="n"/>
      <c r="E7912" s="8" t="n"/>
      <c r="F7912" s="8" t="n"/>
      <c r="G7912" s="8" t="n"/>
      <c r="H7912" s="8" t="n"/>
      <c r="I7912" s="8" t="n"/>
      <c r="J7912" s="8" t="n"/>
      <c r="K7912" s="8" t="n"/>
      <c r="L7912" s="8" t="n"/>
      <c r="M7912" s="9">
        <f>B7912+30</f>
        <v/>
      </c>
      <c r="N7912">
        <f>IF(L7912="", "", L7912-B7912)</f>
        <v/>
      </c>
      <c r="O7912">
        <f>IF(L7912="", "Pending", IF(N7912&lt;=30, "Met", "Breached"))</f>
        <v/>
      </c>
      <c r="P7912" s="8" t="n"/>
      <c r="Q7912" s="8" t="n"/>
      <c r="R7912" s="8" t="n"/>
      <c r="S7912" s="8" t="n"/>
      <c r="T7912" s="8" t="n"/>
      <c r="U7912" s="8" t="n"/>
      <c r="V7912" s="8" t="n"/>
      <c r="W7912" s="8" t="n"/>
      <c r="X7912" s="8" t="n"/>
      <c r="Y7912" s="8" t="n"/>
    </row>
    <row r="7913">
      <c r="A7913" s="8" t="n"/>
      <c r="B7913" s="8" t="n"/>
      <c r="C7913" s="8" t="n"/>
      <c r="D7913" s="8" t="n"/>
      <c r="E7913" s="8" t="n"/>
      <c r="F7913" s="8" t="n"/>
      <c r="G7913" s="8" t="n"/>
      <c r="H7913" s="8" t="n"/>
      <c r="I7913" s="8" t="n"/>
      <c r="J7913" s="8" t="n"/>
      <c r="K7913" s="8" t="n"/>
      <c r="L7913" s="8" t="n"/>
      <c r="M7913" s="9">
        <f>B7913+30</f>
        <v/>
      </c>
      <c r="N7913">
        <f>IF(L7913="", "", L7913-B7913)</f>
        <v/>
      </c>
      <c r="O7913">
        <f>IF(L7913="", "Pending", IF(N7913&lt;=30, "Met", "Breached"))</f>
        <v/>
      </c>
      <c r="P7913" s="8" t="n"/>
      <c r="Q7913" s="8" t="n"/>
      <c r="R7913" s="8" t="n"/>
      <c r="S7913" s="8" t="n"/>
      <c r="T7913" s="8" t="n"/>
      <c r="U7913" s="8" t="n"/>
      <c r="V7913" s="8" t="n"/>
      <c r="W7913" s="8" t="n"/>
      <c r="X7913" s="8" t="n"/>
      <c r="Y7913" s="8" t="n"/>
    </row>
    <row r="7914">
      <c r="A7914" s="8" t="n"/>
      <c r="B7914" s="8" t="n"/>
      <c r="C7914" s="8" t="n"/>
      <c r="D7914" s="8" t="n"/>
      <c r="E7914" s="8" t="n"/>
      <c r="F7914" s="8" t="n"/>
      <c r="G7914" s="8" t="n"/>
      <c r="H7914" s="8" t="n"/>
      <c r="I7914" s="8" t="n"/>
      <c r="J7914" s="8" t="n"/>
      <c r="K7914" s="8" t="n"/>
      <c r="L7914" s="8" t="n"/>
      <c r="M7914" s="9">
        <f>B7914+30</f>
        <v/>
      </c>
      <c r="N7914">
        <f>IF(L7914="", "", L7914-B7914)</f>
        <v/>
      </c>
      <c r="O7914">
        <f>IF(L7914="", "Pending", IF(N7914&lt;=30, "Met", "Breached"))</f>
        <v/>
      </c>
      <c r="P7914" s="8" t="n"/>
      <c r="Q7914" s="8" t="n"/>
      <c r="R7914" s="8" t="n"/>
      <c r="S7914" s="8" t="n"/>
      <c r="T7914" s="8" t="n"/>
      <c r="U7914" s="8" t="n"/>
      <c r="V7914" s="8" t="n"/>
      <c r="W7914" s="8" t="n"/>
      <c r="X7914" s="8" t="n"/>
      <c r="Y7914" s="8" t="n"/>
    </row>
    <row r="7915">
      <c r="A7915" s="8" t="n"/>
      <c r="B7915" s="8" t="n"/>
      <c r="C7915" s="8" t="n"/>
      <c r="D7915" s="8" t="n"/>
      <c r="E7915" s="8" t="n"/>
      <c r="F7915" s="8" t="n"/>
      <c r="G7915" s="8" t="n"/>
      <c r="H7915" s="8" t="n"/>
      <c r="I7915" s="8" t="n"/>
      <c r="J7915" s="8" t="n"/>
      <c r="K7915" s="8" t="n"/>
      <c r="L7915" s="8" t="n"/>
      <c r="M7915" s="9">
        <f>B7915+30</f>
        <v/>
      </c>
      <c r="N7915">
        <f>IF(L7915="", "", L7915-B7915)</f>
        <v/>
      </c>
      <c r="O7915">
        <f>IF(L7915="", "Pending", IF(N7915&lt;=30, "Met", "Breached"))</f>
        <v/>
      </c>
      <c r="P7915" s="8" t="n"/>
      <c r="Q7915" s="8" t="n"/>
      <c r="R7915" s="8" t="n"/>
      <c r="S7915" s="8" t="n"/>
      <c r="T7915" s="8" t="n"/>
      <c r="U7915" s="8" t="n"/>
      <c r="V7915" s="8" t="n"/>
      <c r="W7915" s="8" t="n"/>
      <c r="X7915" s="8" t="n"/>
      <c r="Y7915" s="8" t="n"/>
    </row>
    <row r="7916">
      <c r="A7916" s="8" t="n"/>
      <c r="B7916" s="8" t="n"/>
      <c r="C7916" s="8" t="n"/>
      <c r="D7916" s="8" t="n"/>
      <c r="E7916" s="8" t="n"/>
      <c r="F7916" s="8" t="n"/>
      <c r="G7916" s="8" t="n"/>
      <c r="H7916" s="8" t="n"/>
      <c r="I7916" s="8" t="n"/>
      <c r="J7916" s="8" t="n"/>
      <c r="K7916" s="8" t="n"/>
      <c r="L7916" s="8" t="n"/>
      <c r="M7916" s="9">
        <f>B7916+30</f>
        <v/>
      </c>
      <c r="N7916">
        <f>IF(L7916="", "", L7916-B7916)</f>
        <v/>
      </c>
      <c r="O7916">
        <f>IF(L7916="", "Pending", IF(N7916&lt;=30, "Met", "Breached"))</f>
        <v/>
      </c>
      <c r="P7916" s="8" t="n"/>
      <c r="Q7916" s="8" t="n"/>
      <c r="R7916" s="8" t="n"/>
      <c r="S7916" s="8" t="n"/>
      <c r="T7916" s="8" t="n"/>
      <c r="U7916" s="8" t="n"/>
      <c r="V7916" s="8" t="n"/>
      <c r="W7916" s="8" t="n"/>
      <c r="X7916" s="8" t="n"/>
      <c r="Y7916" s="8" t="n"/>
    </row>
    <row r="7917">
      <c r="A7917" s="8" t="n"/>
      <c r="B7917" s="8" t="n"/>
      <c r="C7917" s="8" t="n"/>
      <c r="D7917" s="8" t="n"/>
      <c r="E7917" s="8" t="n"/>
      <c r="F7917" s="8" t="n"/>
      <c r="G7917" s="8" t="n"/>
      <c r="H7917" s="8" t="n"/>
      <c r="I7917" s="8" t="n"/>
      <c r="J7917" s="8" t="n"/>
      <c r="K7917" s="8" t="n"/>
      <c r="L7917" s="8" t="n"/>
      <c r="M7917" s="9">
        <f>B7917+30</f>
        <v/>
      </c>
      <c r="N7917">
        <f>IF(L7917="", "", L7917-B7917)</f>
        <v/>
      </c>
      <c r="O7917">
        <f>IF(L7917="", "Pending", IF(N7917&lt;=30, "Met", "Breached"))</f>
        <v/>
      </c>
      <c r="P7917" s="8" t="n"/>
      <c r="Q7917" s="8" t="n"/>
      <c r="R7917" s="8" t="n"/>
      <c r="S7917" s="8" t="n"/>
      <c r="T7917" s="8" t="n"/>
      <c r="U7917" s="8" t="n"/>
      <c r="V7917" s="8" t="n"/>
      <c r="W7917" s="8" t="n"/>
      <c r="X7917" s="8" t="n"/>
      <c r="Y7917" s="8" t="n"/>
    </row>
    <row r="7918">
      <c r="A7918" s="8" t="n"/>
      <c r="B7918" s="8" t="n"/>
      <c r="C7918" s="8" t="n"/>
      <c r="D7918" s="8" t="n"/>
      <c r="E7918" s="8" t="n"/>
      <c r="F7918" s="8" t="n"/>
      <c r="G7918" s="8" t="n"/>
      <c r="H7918" s="8" t="n"/>
      <c r="I7918" s="8" t="n"/>
      <c r="J7918" s="8" t="n"/>
      <c r="K7918" s="8" t="n"/>
      <c r="L7918" s="8" t="n"/>
      <c r="M7918" s="9">
        <f>B7918+30</f>
        <v/>
      </c>
      <c r="N7918">
        <f>IF(L7918="", "", L7918-B7918)</f>
        <v/>
      </c>
      <c r="O7918">
        <f>IF(L7918="", "Pending", IF(N7918&lt;=30, "Met", "Breached"))</f>
        <v/>
      </c>
      <c r="P7918" s="8" t="n"/>
      <c r="Q7918" s="8" t="n"/>
      <c r="R7918" s="8" t="n"/>
      <c r="S7918" s="8" t="n"/>
      <c r="T7918" s="8" t="n"/>
      <c r="U7918" s="8" t="n"/>
      <c r="V7918" s="8" t="n"/>
      <c r="W7918" s="8" t="n"/>
      <c r="X7918" s="8" t="n"/>
      <c r="Y7918" s="8" t="n"/>
    </row>
    <row r="7919">
      <c r="A7919" s="8" t="n"/>
      <c r="B7919" s="8" t="n"/>
      <c r="C7919" s="8" t="n"/>
      <c r="D7919" s="8" t="n"/>
      <c r="E7919" s="8" t="n"/>
      <c r="F7919" s="8" t="n"/>
      <c r="G7919" s="8" t="n"/>
      <c r="H7919" s="8" t="n"/>
      <c r="I7919" s="8" t="n"/>
      <c r="J7919" s="8" t="n"/>
      <c r="K7919" s="8" t="n"/>
      <c r="L7919" s="8" t="n"/>
      <c r="M7919" s="9">
        <f>B7919+30</f>
        <v/>
      </c>
      <c r="N7919">
        <f>IF(L7919="", "", L7919-B7919)</f>
        <v/>
      </c>
      <c r="O7919">
        <f>IF(L7919="", "Pending", IF(N7919&lt;=30, "Met", "Breached"))</f>
        <v/>
      </c>
      <c r="P7919" s="8" t="n"/>
      <c r="Q7919" s="8" t="n"/>
      <c r="R7919" s="8" t="n"/>
      <c r="S7919" s="8" t="n"/>
      <c r="T7919" s="8" t="n"/>
      <c r="U7919" s="8" t="n"/>
      <c r="V7919" s="8" t="n"/>
      <c r="W7919" s="8" t="n"/>
      <c r="X7919" s="8" t="n"/>
      <c r="Y7919" s="8" t="n"/>
    </row>
    <row r="7920">
      <c r="A7920" s="8" t="n"/>
      <c r="B7920" s="8" t="n"/>
      <c r="C7920" s="8" t="n"/>
      <c r="D7920" s="8" t="n"/>
      <c r="E7920" s="8" t="n"/>
      <c r="F7920" s="8" t="n"/>
      <c r="G7920" s="8" t="n"/>
      <c r="H7920" s="8" t="n"/>
      <c r="I7920" s="8" t="n"/>
      <c r="J7920" s="8" t="n"/>
      <c r="K7920" s="8" t="n"/>
      <c r="L7920" s="8" t="n"/>
      <c r="M7920" s="9">
        <f>B7920+30</f>
        <v/>
      </c>
      <c r="N7920">
        <f>IF(L7920="", "", L7920-B7920)</f>
        <v/>
      </c>
      <c r="O7920">
        <f>IF(L7920="", "Pending", IF(N7920&lt;=30, "Met", "Breached"))</f>
        <v/>
      </c>
      <c r="P7920" s="8" t="n"/>
      <c r="Q7920" s="8" t="n"/>
      <c r="R7920" s="8" t="n"/>
      <c r="S7920" s="8" t="n"/>
      <c r="T7920" s="8" t="n"/>
      <c r="U7920" s="8" t="n"/>
      <c r="V7920" s="8" t="n"/>
      <c r="W7920" s="8" t="n"/>
      <c r="X7920" s="8" t="n"/>
      <c r="Y7920" s="8" t="n"/>
    </row>
    <row r="7921">
      <c r="A7921" s="8" t="n"/>
      <c r="B7921" s="8" t="n"/>
      <c r="C7921" s="8" t="n"/>
      <c r="D7921" s="8" t="n"/>
      <c r="E7921" s="8" t="n"/>
      <c r="F7921" s="8" t="n"/>
      <c r="G7921" s="8" t="n"/>
      <c r="H7921" s="8" t="n"/>
      <c r="I7921" s="8" t="n"/>
      <c r="J7921" s="8" t="n"/>
      <c r="K7921" s="8" t="n"/>
      <c r="L7921" s="8" t="n"/>
      <c r="M7921" s="9">
        <f>B7921+30</f>
        <v/>
      </c>
      <c r="N7921">
        <f>IF(L7921="", "", L7921-B7921)</f>
        <v/>
      </c>
      <c r="O7921">
        <f>IF(L7921="", "Pending", IF(N7921&lt;=30, "Met", "Breached"))</f>
        <v/>
      </c>
      <c r="P7921" s="8" t="n"/>
      <c r="Q7921" s="8" t="n"/>
      <c r="R7921" s="8" t="n"/>
      <c r="S7921" s="8" t="n"/>
      <c r="T7921" s="8" t="n"/>
      <c r="U7921" s="8" t="n"/>
      <c r="V7921" s="8" t="n"/>
      <c r="W7921" s="8" t="n"/>
      <c r="X7921" s="8" t="n"/>
      <c r="Y7921" s="8" t="n"/>
    </row>
    <row r="7922">
      <c r="A7922" s="8" t="n"/>
      <c r="B7922" s="8" t="n"/>
      <c r="C7922" s="8" t="n"/>
      <c r="D7922" s="8" t="n"/>
      <c r="E7922" s="8" t="n"/>
      <c r="F7922" s="8" t="n"/>
      <c r="G7922" s="8" t="n"/>
      <c r="H7922" s="8" t="n"/>
      <c r="I7922" s="8" t="n"/>
      <c r="J7922" s="8" t="n"/>
      <c r="K7922" s="8" t="n"/>
      <c r="L7922" s="8" t="n"/>
      <c r="M7922" s="9">
        <f>B7922+30</f>
        <v/>
      </c>
      <c r="N7922">
        <f>IF(L7922="", "", L7922-B7922)</f>
        <v/>
      </c>
      <c r="O7922">
        <f>IF(L7922="", "Pending", IF(N7922&lt;=30, "Met", "Breached"))</f>
        <v/>
      </c>
      <c r="P7922" s="8" t="n"/>
      <c r="Q7922" s="8" t="n"/>
      <c r="R7922" s="8" t="n"/>
      <c r="S7922" s="8" t="n"/>
      <c r="T7922" s="8" t="n"/>
      <c r="U7922" s="8" t="n"/>
      <c r="V7922" s="8" t="n"/>
      <c r="W7922" s="8" t="n"/>
      <c r="X7922" s="8" t="n"/>
      <c r="Y7922" s="8" t="n"/>
    </row>
    <row r="7923">
      <c r="A7923" s="8" t="n"/>
      <c r="B7923" s="8" t="n"/>
      <c r="C7923" s="8" t="n"/>
      <c r="D7923" s="8" t="n"/>
      <c r="E7923" s="8" t="n"/>
      <c r="F7923" s="8" t="n"/>
      <c r="G7923" s="8" t="n"/>
      <c r="H7923" s="8" t="n"/>
      <c r="I7923" s="8" t="n"/>
      <c r="J7923" s="8" t="n"/>
      <c r="K7923" s="8" t="n"/>
      <c r="L7923" s="8" t="n"/>
      <c r="M7923" s="9">
        <f>B7923+30</f>
        <v/>
      </c>
      <c r="N7923">
        <f>IF(L7923="", "", L7923-B7923)</f>
        <v/>
      </c>
      <c r="O7923">
        <f>IF(L7923="", "Pending", IF(N7923&lt;=30, "Met", "Breached"))</f>
        <v/>
      </c>
      <c r="P7923" s="8" t="n"/>
      <c r="Q7923" s="8" t="n"/>
      <c r="R7923" s="8" t="n"/>
      <c r="S7923" s="8" t="n"/>
      <c r="T7923" s="8" t="n"/>
      <c r="U7923" s="8" t="n"/>
      <c r="V7923" s="8" t="n"/>
      <c r="W7923" s="8" t="n"/>
      <c r="X7923" s="8" t="n"/>
      <c r="Y7923" s="8" t="n"/>
    </row>
    <row r="7924">
      <c r="A7924" s="8" t="n"/>
      <c r="B7924" s="8" t="n"/>
      <c r="C7924" s="8" t="n"/>
      <c r="D7924" s="8" t="n"/>
      <c r="E7924" s="8" t="n"/>
      <c r="F7924" s="8" t="n"/>
      <c r="G7924" s="8" t="n"/>
      <c r="H7924" s="8" t="n"/>
      <c r="I7924" s="8" t="n"/>
      <c r="J7924" s="8" t="n"/>
      <c r="K7924" s="8" t="n"/>
      <c r="L7924" s="8" t="n"/>
      <c r="M7924" s="9">
        <f>B7924+30</f>
        <v/>
      </c>
      <c r="N7924">
        <f>IF(L7924="", "", L7924-B7924)</f>
        <v/>
      </c>
      <c r="O7924">
        <f>IF(L7924="", "Pending", IF(N7924&lt;=30, "Met", "Breached"))</f>
        <v/>
      </c>
      <c r="P7924" s="8" t="n"/>
      <c r="Q7924" s="8" t="n"/>
      <c r="R7924" s="8" t="n"/>
      <c r="S7924" s="8" t="n"/>
      <c r="T7924" s="8" t="n"/>
      <c r="U7924" s="8" t="n"/>
      <c r="V7924" s="8" t="n"/>
      <c r="W7924" s="8" t="n"/>
      <c r="X7924" s="8" t="n"/>
      <c r="Y7924" s="8" t="n"/>
    </row>
    <row r="7925">
      <c r="A7925" s="8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8" t="n"/>
      <c r="K7925" s="8" t="n"/>
      <c r="L7925" s="8" t="n"/>
      <c r="M7925" s="9">
        <f>B7925+30</f>
        <v/>
      </c>
      <c r="N7925">
        <f>IF(L7925="", "", L7925-B7925)</f>
        <v/>
      </c>
      <c r="O7925">
        <f>IF(L7925="", "Pending", IF(N7925&lt;=30, "Met", "Breached"))</f>
        <v/>
      </c>
      <c r="P7925" s="8" t="n"/>
      <c r="Q7925" s="8" t="n"/>
      <c r="R7925" s="8" t="n"/>
      <c r="S7925" s="8" t="n"/>
      <c r="T7925" s="8" t="n"/>
      <c r="U7925" s="8" t="n"/>
      <c r="V7925" s="8" t="n"/>
      <c r="W7925" s="8" t="n"/>
      <c r="X7925" s="8" t="n"/>
      <c r="Y7925" s="8" t="n"/>
    </row>
    <row r="7926">
      <c r="A7926" s="8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8" t="n"/>
      <c r="K7926" s="8" t="n"/>
      <c r="L7926" s="8" t="n"/>
      <c r="M7926" s="9">
        <f>B7926+30</f>
        <v/>
      </c>
      <c r="N7926">
        <f>IF(L7926="", "", L7926-B7926)</f>
        <v/>
      </c>
      <c r="O7926">
        <f>IF(L7926="", "Pending", IF(N7926&lt;=30, "Met", "Breached"))</f>
        <v/>
      </c>
      <c r="P7926" s="8" t="n"/>
      <c r="Q7926" s="8" t="n"/>
      <c r="R7926" s="8" t="n"/>
      <c r="S7926" s="8" t="n"/>
      <c r="T7926" s="8" t="n"/>
      <c r="U7926" s="8" t="n"/>
      <c r="V7926" s="8" t="n"/>
      <c r="W7926" s="8" t="n"/>
      <c r="X7926" s="8" t="n"/>
      <c r="Y7926" s="8" t="n"/>
    </row>
    <row r="7927">
      <c r="A7927" s="8" t="n"/>
      <c r="B7927" s="8" t="n"/>
      <c r="C7927" s="8" t="n"/>
      <c r="D7927" s="8" t="n"/>
      <c r="E7927" s="8" t="n"/>
      <c r="F7927" s="8" t="n"/>
      <c r="G7927" s="8" t="n"/>
      <c r="H7927" s="8" t="n"/>
      <c r="I7927" s="8" t="n"/>
      <c r="J7927" s="8" t="n"/>
      <c r="K7927" s="8" t="n"/>
      <c r="L7927" s="8" t="n"/>
      <c r="M7927" s="9">
        <f>B7927+30</f>
        <v/>
      </c>
      <c r="N7927">
        <f>IF(L7927="", "", L7927-B7927)</f>
        <v/>
      </c>
      <c r="O7927">
        <f>IF(L7927="", "Pending", IF(N7927&lt;=30, "Met", "Breached"))</f>
        <v/>
      </c>
      <c r="P7927" s="8" t="n"/>
      <c r="Q7927" s="8" t="n"/>
      <c r="R7927" s="8" t="n"/>
      <c r="S7927" s="8" t="n"/>
      <c r="T7927" s="8" t="n"/>
      <c r="U7927" s="8" t="n"/>
      <c r="V7927" s="8" t="n"/>
      <c r="W7927" s="8" t="n"/>
      <c r="X7927" s="8" t="n"/>
      <c r="Y7927" s="8" t="n"/>
    </row>
    <row r="7928">
      <c r="A7928" s="8" t="n"/>
      <c r="B7928" s="8" t="n"/>
      <c r="C7928" s="8" t="n"/>
      <c r="D7928" s="8" t="n"/>
      <c r="E7928" s="8" t="n"/>
      <c r="F7928" s="8" t="n"/>
      <c r="G7928" s="8" t="n"/>
      <c r="H7928" s="8" t="n"/>
      <c r="I7928" s="8" t="n"/>
      <c r="J7928" s="8" t="n"/>
      <c r="K7928" s="8" t="n"/>
      <c r="L7928" s="8" t="n"/>
      <c r="M7928" s="9">
        <f>B7928+30</f>
        <v/>
      </c>
      <c r="N7928">
        <f>IF(L7928="", "", L7928-B7928)</f>
        <v/>
      </c>
      <c r="O7928">
        <f>IF(L7928="", "Pending", IF(N7928&lt;=30, "Met", "Breached"))</f>
        <v/>
      </c>
      <c r="P7928" s="8" t="n"/>
      <c r="Q7928" s="8" t="n"/>
      <c r="R7928" s="8" t="n"/>
      <c r="S7928" s="8" t="n"/>
      <c r="T7928" s="8" t="n"/>
      <c r="U7928" s="8" t="n"/>
      <c r="V7928" s="8" t="n"/>
      <c r="W7928" s="8" t="n"/>
      <c r="X7928" s="8" t="n"/>
      <c r="Y7928" s="8" t="n"/>
    </row>
    <row r="7929">
      <c r="A7929" s="8" t="n"/>
      <c r="B7929" s="8" t="n"/>
      <c r="C7929" s="8" t="n"/>
      <c r="D7929" s="8" t="n"/>
      <c r="E7929" s="8" t="n"/>
      <c r="F7929" s="8" t="n"/>
      <c r="G7929" s="8" t="n"/>
      <c r="H7929" s="8" t="n"/>
      <c r="I7929" s="8" t="n"/>
      <c r="J7929" s="8" t="n"/>
      <c r="K7929" s="8" t="n"/>
      <c r="L7929" s="8" t="n"/>
      <c r="M7929" s="9">
        <f>B7929+30</f>
        <v/>
      </c>
      <c r="N7929">
        <f>IF(L7929="", "", L7929-B7929)</f>
        <v/>
      </c>
      <c r="O7929">
        <f>IF(L7929="", "Pending", IF(N7929&lt;=30, "Met", "Breached"))</f>
        <v/>
      </c>
      <c r="P7929" s="8" t="n"/>
      <c r="Q7929" s="8" t="n"/>
      <c r="R7929" s="8" t="n"/>
      <c r="S7929" s="8" t="n"/>
      <c r="T7929" s="8" t="n"/>
      <c r="U7929" s="8" t="n"/>
      <c r="V7929" s="8" t="n"/>
      <c r="W7929" s="8" t="n"/>
      <c r="X7929" s="8" t="n"/>
      <c r="Y7929" s="8" t="n"/>
    </row>
    <row r="7930">
      <c r="A7930" s="8" t="n"/>
      <c r="B7930" s="8" t="n"/>
      <c r="C7930" s="8" t="n"/>
      <c r="D7930" s="8" t="n"/>
      <c r="E7930" s="8" t="n"/>
      <c r="F7930" s="8" t="n"/>
      <c r="G7930" s="8" t="n"/>
      <c r="H7930" s="8" t="n"/>
      <c r="I7930" s="8" t="n"/>
      <c r="J7930" s="8" t="n"/>
      <c r="K7930" s="8" t="n"/>
      <c r="L7930" s="8" t="n"/>
      <c r="M7930" s="9">
        <f>B7930+30</f>
        <v/>
      </c>
      <c r="N7930">
        <f>IF(L7930="", "", L7930-B7930)</f>
        <v/>
      </c>
      <c r="O7930">
        <f>IF(L7930="", "Pending", IF(N7930&lt;=30, "Met", "Breached"))</f>
        <v/>
      </c>
      <c r="P7930" s="8" t="n"/>
      <c r="Q7930" s="8" t="n"/>
      <c r="R7930" s="8" t="n"/>
      <c r="S7930" s="8" t="n"/>
      <c r="T7930" s="8" t="n"/>
      <c r="U7930" s="8" t="n"/>
      <c r="V7930" s="8" t="n"/>
      <c r="W7930" s="8" t="n"/>
      <c r="X7930" s="8" t="n"/>
      <c r="Y7930" s="8" t="n"/>
    </row>
    <row r="7931">
      <c r="A7931" s="8" t="n"/>
      <c r="B7931" s="8" t="n"/>
      <c r="C7931" s="8" t="n"/>
      <c r="D7931" s="8" t="n"/>
      <c r="E7931" s="8" t="n"/>
      <c r="F7931" s="8" t="n"/>
      <c r="G7931" s="8" t="n"/>
      <c r="H7931" s="8" t="n"/>
      <c r="I7931" s="8" t="n"/>
      <c r="J7931" s="8" t="n"/>
      <c r="K7931" s="8" t="n"/>
      <c r="L7931" s="8" t="n"/>
      <c r="M7931" s="9">
        <f>B7931+30</f>
        <v/>
      </c>
      <c r="N7931">
        <f>IF(L7931="", "", L7931-B7931)</f>
        <v/>
      </c>
      <c r="O7931">
        <f>IF(L7931="", "Pending", IF(N7931&lt;=30, "Met", "Breached"))</f>
        <v/>
      </c>
      <c r="P7931" s="8" t="n"/>
      <c r="Q7931" s="8" t="n"/>
      <c r="R7931" s="8" t="n"/>
      <c r="S7931" s="8" t="n"/>
      <c r="T7931" s="8" t="n"/>
      <c r="U7931" s="8" t="n"/>
      <c r="V7931" s="8" t="n"/>
      <c r="W7931" s="8" t="n"/>
      <c r="X7931" s="8" t="n"/>
      <c r="Y7931" s="8" t="n"/>
    </row>
    <row r="7932">
      <c r="A7932" s="8" t="n"/>
      <c r="B7932" s="8" t="n"/>
      <c r="C7932" s="8" t="n"/>
      <c r="D7932" s="8" t="n"/>
      <c r="E7932" s="8" t="n"/>
      <c r="F7932" s="8" t="n"/>
      <c r="G7932" s="8" t="n"/>
      <c r="H7932" s="8" t="n"/>
      <c r="I7932" s="8" t="n"/>
      <c r="J7932" s="8" t="n"/>
      <c r="K7932" s="8" t="n"/>
      <c r="L7932" s="8" t="n"/>
      <c r="M7932" s="9">
        <f>B7932+30</f>
        <v/>
      </c>
      <c r="N7932">
        <f>IF(L7932="", "", L7932-B7932)</f>
        <v/>
      </c>
      <c r="O7932">
        <f>IF(L7932="", "Pending", IF(N7932&lt;=30, "Met", "Breached"))</f>
        <v/>
      </c>
      <c r="P7932" s="8" t="n"/>
      <c r="Q7932" s="8" t="n"/>
      <c r="R7932" s="8" t="n"/>
      <c r="S7932" s="8" t="n"/>
      <c r="T7932" s="8" t="n"/>
      <c r="U7932" s="8" t="n"/>
      <c r="V7932" s="8" t="n"/>
      <c r="W7932" s="8" t="n"/>
      <c r="X7932" s="8" t="n"/>
      <c r="Y7932" s="8" t="n"/>
    </row>
    <row r="7933">
      <c r="A7933" s="8" t="n"/>
      <c r="B7933" s="8" t="n"/>
      <c r="C7933" s="8" t="n"/>
      <c r="D7933" s="8" t="n"/>
      <c r="E7933" s="8" t="n"/>
      <c r="F7933" s="8" t="n"/>
      <c r="G7933" s="8" t="n"/>
      <c r="H7933" s="8" t="n"/>
      <c r="I7933" s="8" t="n"/>
      <c r="J7933" s="8" t="n"/>
      <c r="K7933" s="8" t="n"/>
      <c r="L7933" s="8" t="n"/>
      <c r="M7933" s="9">
        <f>B7933+30</f>
        <v/>
      </c>
      <c r="N7933">
        <f>IF(L7933="", "", L7933-B7933)</f>
        <v/>
      </c>
      <c r="O7933">
        <f>IF(L7933="", "Pending", IF(N7933&lt;=30, "Met", "Breached"))</f>
        <v/>
      </c>
      <c r="P7933" s="8" t="n"/>
      <c r="Q7933" s="8" t="n"/>
      <c r="R7933" s="8" t="n"/>
      <c r="S7933" s="8" t="n"/>
      <c r="T7933" s="8" t="n"/>
      <c r="U7933" s="8" t="n"/>
      <c r="V7933" s="8" t="n"/>
      <c r="W7933" s="8" t="n"/>
      <c r="X7933" s="8" t="n"/>
      <c r="Y7933" s="8" t="n"/>
    </row>
    <row r="7934">
      <c r="A7934" s="8" t="n"/>
      <c r="B7934" s="8" t="n"/>
      <c r="C7934" s="8" t="n"/>
      <c r="D7934" s="8" t="n"/>
      <c r="E7934" s="8" t="n"/>
      <c r="F7934" s="8" t="n"/>
      <c r="G7934" s="8" t="n"/>
      <c r="H7934" s="8" t="n"/>
      <c r="I7934" s="8" t="n"/>
      <c r="J7934" s="8" t="n"/>
      <c r="K7934" s="8" t="n"/>
      <c r="L7934" s="8" t="n"/>
      <c r="M7934" s="9">
        <f>B7934+30</f>
        <v/>
      </c>
      <c r="N7934">
        <f>IF(L7934="", "", L7934-B7934)</f>
        <v/>
      </c>
      <c r="O7934">
        <f>IF(L7934="", "Pending", IF(N7934&lt;=30, "Met", "Breached"))</f>
        <v/>
      </c>
      <c r="P7934" s="8" t="n"/>
      <c r="Q7934" s="8" t="n"/>
      <c r="R7934" s="8" t="n"/>
      <c r="S7934" s="8" t="n"/>
      <c r="T7934" s="8" t="n"/>
      <c r="U7934" s="8" t="n"/>
      <c r="V7934" s="8" t="n"/>
      <c r="W7934" s="8" t="n"/>
      <c r="X7934" s="8" t="n"/>
      <c r="Y7934" s="8" t="n"/>
    </row>
    <row r="7935">
      <c r="A7935" s="8" t="n"/>
      <c r="B7935" s="8" t="n"/>
      <c r="C7935" s="8" t="n"/>
      <c r="D7935" s="8" t="n"/>
      <c r="E7935" s="8" t="n"/>
      <c r="F7935" s="8" t="n"/>
      <c r="G7935" s="8" t="n"/>
      <c r="H7935" s="8" t="n"/>
      <c r="I7935" s="8" t="n"/>
      <c r="J7935" s="8" t="n"/>
      <c r="K7935" s="8" t="n"/>
      <c r="L7935" s="8" t="n"/>
      <c r="M7935" s="9">
        <f>B7935+30</f>
        <v/>
      </c>
      <c r="N7935">
        <f>IF(L7935="", "", L7935-B7935)</f>
        <v/>
      </c>
      <c r="O7935">
        <f>IF(L7935="", "Pending", IF(N7935&lt;=30, "Met", "Breached"))</f>
        <v/>
      </c>
      <c r="P7935" s="8" t="n"/>
      <c r="Q7935" s="8" t="n"/>
      <c r="R7935" s="8" t="n"/>
      <c r="S7935" s="8" t="n"/>
      <c r="T7935" s="8" t="n"/>
      <c r="U7935" s="8" t="n"/>
      <c r="V7935" s="8" t="n"/>
      <c r="W7935" s="8" t="n"/>
      <c r="X7935" s="8" t="n"/>
      <c r="Y7935" s="8" t="n"/>
    </row>
    <row r="7936">
      <c r="A7936" s="8" t="n"/>
      <c r="B7936" s="8" t="n"/>
      <c r="C7936" s="8" t="n"/>
      <c r="D7936" s="8" t="n"/>
      <c r="E7936" s="8" t="n"/>
      <c r="F7936" s="8" t="n"/>
      <c r="G7936" s="8" t="n"/>
      <c r="H7936" s="8" t="n"/>
      <c r="I7936" s="8" t="n"/>
      <c r="J7936" s="8" t="n"/>
      <c r="K7936" s="8" t="n"/>
      <c r="L7936" s="8" t="n"/>
      <c r="M7936" s="9">
        <f>B7936+30</f>
        <v/>
      </c>
      <c r="N7936">
        <f>IF(L7936="", "", L7936-B7936)</f>
        <v/>
      </c>
      <c r="O7936">
        <f>IF(L7936="", "Pending", IF(N7936&lt;=30, "Met", "Breached"))</f>
        <v/>
      </c>
      <c r="P7936" s="8" t="n"/>
      <c r="Q7936" s="8" t="n"/>
      <c r="R7936" s="8" t="n"/>
      <c r="S7936" s="8" t="n"/>
      <c r="T7936" s="8" t="n"/>
      <c r="U7936" s="8" t="n"/>
      <c r="V7936" s="8" t="n"/>
      <c r="W7936" s="8" t="n"/>
      <c r="X7936" s="8" t="n"/>
      <c r="Y7936" s="8" t="n"/>
    </row>
    <row r="7937">
      <c r="A7937" s="8" t="n"/>
      <c r="B7937" s="8" t="n"/>
      <c r="C7937" s="8" t="n"/>
      <c r="D7937" s="8" t="n"/>
      <c r="E7937" s="8" t="n"/>
      <c r="F7937" s="8" t="n"/>
      <c r="G7937" s="8" t="n"/>
      <c r="H7937" s="8" t="n"/>
      <c r="I7937" s="8" t="n"/>
      <c r="J7937" s="8" t="n"/>
      <c r="K7937" s="8" t="n"/>
      <c r="L7937" s="8" t="n"/>
      <c r="M7937" s="9">
        <f>B7937+30</f>
        <v/>
      </c>
      <c r="N7937">
        <f>IF(L7937="", "", L7937-B7937)</f>
        <v/>
      </c>
      <c r="O7937">
        <f>IF(L7937="", "Pending", IF(N7937&lt;=30, "Met", "Breached"))</f>
        <v/>
      </c>
      <c r="P7937" s="8" t="n"/>
      <c r="Q7937" s="8" t="n"/>
      <c r="R7937" s="8" t="n"/>
      <c r="S7937" s="8" t="n"/>
      <c r="T7937" s="8" t="n"/>
      <c r="U7937" s="8" t="n"/>
      <c r="V7937" s="8" t="n"/>
      <c r="W7937" s="8" t="n"/>
      <c r="X7937" s="8" t="n"/>
      <c r="Y7937" s="8" t="n"/>
    </row>
    <row r="7938">
      <c r="A7938" s="8" t="n"/>
      <c r="B7938" s="8" t="n"/>
      <c r="C7938" s="8" t="n"/>
      <c r="D7938" s="8" t="n"/>
      <c r="E7938" s="8" t="n"/>
      <c r="F7938" s="8" t="n"/>
      <c r="G7938" s="8" t="n"/>
      <c r="H7938" s="8" t="n"/>
      <c r="I7938" s="8" t="n"/>
      <c r="J7938" s="8" t="n"/>
      <c r="K7938" s="8" t="n"/>
      <c r="L7938" s="8" t="n"/>
      <c r="M7938" s="9">
        <f>B7938+30</f>
        <v/>
      </c>
      <c r="N7938">
        <f>IF(L7938="", "", L7938-B7938)</f>
        <v/>
      </c>
      <c r="O7938">
        <f>IF(L7938="", "Pending", IF(N7938&lt;=30, "Met", "Breached"))</f>
        <v/>
      </c>
      <c r="P7938" s="8" t="n"/>
      <c r="Q7938" s="8" t="n"/>
      <c r="R7938" s="8" t="n"/>
      <c r="S7938" s="8" t="n"/>
      <c r="T7938" s="8" t="n"/>
      <c r="U7938" s="8" t="n"/>
      <c r="V7938" s="8" t="n"/>
      <c r="W7938" s="8" t="n"/>
      <c r="X7938" s="8" t="n"/>
      <c r="Y7938" s="8" t="n"/>
    </row>
    <row r="7939">
      <c r="A7939" s="8" t="n"/>
      <c r="B7939" s="8" t="n"/>
      <c r="C7939" s="8" t="n"/>
      <c r="D7939" s="8" t="n"/>
      <c r="E7939" s="8" t="n"/>
      <c r="F7939" s="8" t="n"/>
      <c r="G7939" s="8" t="n"/>
      <c r="H7939" s="8" t="n"/>
      <c r="I7939" s="8" t="n"/>
      <c r="J7939" s="8" t="n"/>
      <c r="K7939" s="8" t="n"/>
      <c r="L7939" s="8" t="n"/>
      <c r="M7939" s="9">
        <f>B7939+30</f>
        <v/>
      </c>
      <c r="N7939">
        <f>IF(L7939="", "", L7939-B7939)</f>
        <v/>
      </c>
      <c r="O7939">
        <f>IF(L7939="", "Pending", IF(N7939&lt;=30, "Met", "Breached"))</f>
        <v/>
      </c>
      <c r="P7939" s="8" t="n"/>
      <c r="Q7939" s="8" t="n"/>
      <c r="R7939" s="8" t="n"/>
      <c r="S7939" s="8" t="n"/>
      <c r="T7939" s="8" t="n"/>
      <c r="U7939" s="8" t="n"/>
      <c r="V7939" s="8" t="n"/>
      <c r="W7939" s="8" t="n"/>
      <c r="X7939" s="8" t="n"/>
      <c r="Y7939" s="8" t="n"/>
    </row>
    <row r="7940">
      <c r="A7940" s="8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8" t="n"/>
      <c r="K7940" s="8" t="n"/>
      <c r="L7940" s="8" t="n"/>
      <c r="M7940" s="9">
        <f>B7940+30</f>
        <v/>
      </c>
      <c r="N7940">
        <f>IF(L7940="", "", L7940-B7940)</f>
        <v/>
      </c>
      <c r="O7940">
        <f>IF(L7940="", "Pending", IF(N7940&lt;=30, "Met", "Breached"))</f>
        <v/>
      </c>
      <c r="P7940" s="8" t="n"/>
      <c r="Q7940" s="8" t="n"/>
      <c r="R7940" s="8" t="n"/>
      <c r="S7940" s="8" t="n"/>
      <c r="T7940" s="8" t="n"/>
      <c r="U7940" s="8" t="n"/>
      <c r="V7940" s="8" t="n"/>
      <c r="W7940" s="8" t="n"/>
      <c r="X7940" s="8" t="n"/>
      <c r="Y7940" s="8" t="n"/>
    </row>
    <row r="7941">
      <c r="A7941" s="8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8" t="n"/>
      <c r="K7941" s="8" t="n"/>
      <c r="L7941" s="8" t="n"/>
      <c r="M7941" s="9">
        <f>B7941+30</f>
        <v/>
      </c>
      <c r="N7941">
        <f>IF(L7941="", "", L7941-B7941)</f>
        <v/>
      </c>
      <c r="O7941">
        <f>IF(L7941="", "Pending", IF(N7941&lt;=30, "Met", "Breached"))</f>
        <v/>
      </c>
      <c r="P7941" s="8" t="n"/>
      <c r="Q7941" s="8" t="n"/>
      <c r="R7941" s="8" t="n"/>
      <c r="S7941" s="8" t="n"/>
      <c r="T7941" s="8" t="n"/>
      <c r="U7941" s="8" t="n"/>
      <c r="V7941" s="8" t="n"/>
      <c r="W7941" s="8" t="n"/>
      <c r="X7941" s="8" t="n"/>
      <c r="Y7941" s="8" t="n"/>
    </row>
    <row r="7942">
      <c r="A7942" s="8" t="n"/>
      <c r="B7942" s="8" t="n"/>
      <c r="C7942" s="8" t="n"/>
      <c r="D7942" s="8" t="n"/>
      <c r="E7942" s="8" t="n"/>
      <c r="F7942" s="8" t="n"/>
      <c r="G7942" s="8" t="n"/>
      <c r="H7942" s="8" t="n"/>
      <c r="I7942" s="8" t="n"/>
      <c r="J7942" s="8" t="n"/>
      <c r="K7942" s="8" t="n"/>
      <c r="L7942" s="8" t="n"/>
      <c r="M7942" s="9">
        <f>B7942+30</f>
        <v/>
      </c>
      <c r="N7942">
        <f>IF(L7942="", "", L7942-B7942)</f>
        <v/>
      </c>
      <c r="O7942">
        <f>IF(L7942="", "Pending", IF(N7942&lt;=30, "Met", "Breached"))</f>
        <v/>
      </c>
      <c r="P7942" s="8" t="n"/>
      <c r="Q7942" s="8" t="n"/>
      <c r="R7942" s="8" t="n"/>
      <c r="S7942" s="8" t="n"/>
      <c r="T7942" s="8" t="n"/>
      <c r="U7942" s="8" t="n"/>
      <c r="V7942" s="8" t="n"/>
      <c r="W7942" s="8" t="n"/>
      <c r="X7942" s="8" t="n"/>
      <c r="Y7942" s="8" t="n"/>
    </row>
    <row r="7943">
      <c r="A7943" s="8" t="n"/>
      <c r="B7943" s="8" t="n"/>
      <c r="C7943" s="8" t="n"/>
      <c r="D7943" s="8" t="n"/>
      <c r="E7943" s="8" t="n"/>
      <c r="F7943" s="8" t="n"/>
      <c r="G7943" s="8" t="n"/>
      <c r="H7943" s="8" t="n"/>
      <c r="I7943" s="8" t="n"/>
      <c r="J7943" s="8" t="n"/>
      <c r="K7943" s="8" t="n"/>
      <c r="L7943" s="8" t="n"/>
      <c r="M7943" s="9">
        <f>B7943+30</f>
        <v/>
      </c>
      <c r="N7943">
        <f>IF(L7943="", "", L7943-B7943)</f>
        <v/>
      </c>
      <c r="O7943">
        <f>IF(L7943="", "Pending", IF(N7943&lt;=30, "Met", "Breached"))</f>
        <v/>
      </c>
      <c r="P7943" s="8" t="n"/>
      <c r="Q7943" s="8" t="n"/>
      <c r="R7943" s="8" t="n"/>
      <c r="S7943" s="8" t="n"/>
      <c r="T7943" s="8" t="n"/>
      <c r="U7943" s="8" t="n"/>
      <c r="V7943" s="8" t="n"/>
      <c r="W7943" s="8" t="n"/>
      <c r="X7943" s="8" t="n"/>
      <c r="Y7943" s="8" t="n"/>
    </row>
    <row r="7944">
      <c r="A7944" s="8" t="n"/>
      <c r="B7944" s="8" t="n"/>
      <c r="C7944" s="8" t="n"/>
      <c r="D7944" s="8" t="n"/>
      <c r="E7944" s="8" t="n"/>
      <c r="F7944" s="8" t="n"/>
      <c r="G7944" s="8" t="n"/>
      <c r="H7944" s="8" t="n"/>
      <c r="I7944" s="8" t="n"/>
      <c r="J7944" s="8" t="n"/>
      <c r="K7944" s="8" t="n"/>
      <c r="L7944" s="8" t="n"/>
      <c r="M7944" s="9">
        <f>B7944+30</f>
        <v/>
      </c>
      <c r="N7944">
        <f>IF(L7944="", "", L7944-B7944)</f>
        <v/>
      </c>
      <c r="O7944">
        <f>IF(L7944="", "Pending", IF(N7944&lt;=30, "Met", "Breached"))</f>
        <v/>
      </c>
      <c r="P7944" s="8" t="n"/>
      <c r="Q7944" s="8" t="n"/>
      <c r="R7944" s="8" t="n"/>
      <c r="S7944" s="8" t="n"/>
      <c r="T7944" s="8" t="n"/>
      <c r="U7944" s="8" t="n"/>
      <c r="V7944" s="8" t="n"/>
      <c r="W7944" s="8" t="n"/>
      <c r="X7944" s="8" t="n"/>
      <c r="Y7944" s="8" t="n"/>
    </row>
    <row r="7945">
      <c r="A7945" s="8" t="n"/>
      <c r="B7945" s="8" t="n"/>
      <c r="C7945" s="8" t="n"/>
      <c r="D7945" s="8" t="n"/>
      <c r="E7945" s="8" t="n"/>
      <c r="F7945" s="8" t="n"/>
      <c r="G7945" s="8" t="n"/>
      <c r="H7945" s="8" t="n"/>
      <c r="I7945" s="8" t="n"/>
      <c r="J7945" s="8" t="n"/>
      <c r="K7945" s="8" t="n"/>
      <c r="L7945" s="8" t="n"/>
      <c r="M7945" s="9">
        <f>B7945+30</f>
        <v/>
      </c>
      <c r="N7945">
        <f>IF(L7945="", "", L7945-B7945)</f>
        <v/>
      </c>
      <c r="O7945">
        <f>IF(L7945="", "Pending", IF(N7945&lt;=30, "Met", "Breached"))</f>
        <v/>
      </c>
      <c r="P7945" s="8" t="n"/>
      <c r="Q7945" s="8" t="n"/>
      <c r="R7945" s="8" t="n"/>
      <c r="S7945" s="8" t="n"/>
      <c r="T7945" s="8" t="n"/>
      <c r="U7945" s="8" t="n"/>
      <c r="V7945" s="8" t="n"/>
      <c r="W7945" s="8" t="n"/>
      <c r="X7945" s="8" t="n"/>
      <c r="Y7945" s="8" t="n"/>
    </row>
    <row r="7946">
      <c r="A7946" s="8" t="n"/>
      <c r="B7946" s="8" t="n"/>
      <c r="C7946" s="8" t="n"/>
      <c r="D7946" s="8" t="n"/>
      <c r="E7946" s="8" t="n"/>
      <c r="F7946" s="8" t="n"/>
      <c r="G7946" s="8" t="n"/>
      <c r="H7946" s="8" t="n"/>
      <c r="I7946" s="8" t="n"/>
      <c r="J7946" s="8" t="n"/>
      <c r="K7946" s="8" t="n"/>
      <c r="L7946" s="8" t="n"/>
      <c r="M7946" s="9">
        <f>B7946+30</f>
        <v/>
      </c>
      <c r="N7946">
        <f>IF(L7946="", "", L7946-B7946)</f>
        <v/>
      </c>
      <c r="O7946">
        <f>IF(L7946="", "Pending", IF(N7946&lt;=30, "Met", "Breached"))</f>
        <v/>
      </c>
      <c r="P7946" s="8" t="n"/>
      <c r="Q7946" s="8" t="n"/>
      <c r="R7946" s="8" t="n"/>
      <c r="S7946" s="8" t="n"/>
      <c r="T7946" s="8" t="n"/>
      <c r="U7946" s="8" t="n"/>
      <c r="V7946" s="8" t="n"/>
      <c r="W7946" s="8" t="n"/>
      <c r="X7946" s="8" t="n"/>
      <c r="Y7946" s="8" t="n"/>
    </row>
    <row r="7947">
      <c r="A7947" s="8" t="n"/>
      <c r="B7947" s="8" t="n"/>
      <c r="C7947" s="8" t="n"/>
      <c r="D7947" s="8" t="n"/>
      <c r="E7947" s="8" t="n"/>
      <c r="F7947" s="8" t="n"/>
      <c r="G7947" s="8" t="n"/>
      <c r="H7947" s="8" t="n"/>
      <c r="I7947" s="8" t="n"/>
      <c r="J7947" s="8" t="n"/>
      <c r="K7947" s="8" t="n"/>
      <c r="L7947" s="8" t="n"/>
      <c r="M7947" s="9">
        <f>B7947+30</f>
        <v/>
      </c>
      <c r="N7947">
        <f>IF(L7947="", "", L7947-B7947)</f>
        <v/>
      </c>
      <c r="O7947">
        <f>IF(L7947="", "Pending", IF(N7947&lt;=30, "Met", "Breached"))</f>
        <v/>
      </c>
      <c r="P7947" s="8" t="n"/>
      <c r="Q7947" s="8" t="n"/>
      <c r="R7947" s="8" t="n"/>
      <c r="S7947" s="8" t="n"/>
      <c r="T7947" s="8" t="n"/>
      <c r="U7947" s="8" t="n"/>
      <c r="V7947" s="8" t="n"/>
      <c r="W7947" s="8" t="n"/>
      <c r="X7947" s="8" t="n"/>
      <c r="Y7947" s="8" t="n"/>
    </row>
    <row r="7948">
      <c r="A7948" s="8" t="n"/>
      <c r="B7948" s="8" t="n"/>
      <c r="C7948" s="8" t="n"/>
      <c r="D7948" s="8" t="n"/>
      <c r="E7948" s="8" t="n"/>
      <c r="F7948" s="8" t="n"/>
      <c r="G7948" s="8" t="n"/>
      <c r="H7948" s="8" t="n"/>
      <c r="I7948" s="8" t="n"/>
      <c r="J7948" s="8" t="n"/>
      <c r="K7948" s="8" t="n"/>
      <c r="L7948" s="8" t="n"/>
      <c r="M7948" s="9">
        <f>B7948+30</f>
        <v/>
      </c>
      <c r="N7948">
        <f>IF(L7948="", "", L7948-B7948)</f>
        <v/>
      </c>
      <c r="O7948">
        <f>IF(L7948="", "Pending", IF(N7948&lt;=30, "Met", "Breached"))</f>
        <v/>
      </c>
      <c r="P7948" s="8" t="n"/>
      <c r="Q7948" s="8" t="n"/>
      <c r="R7948" s="8" t="n"/>
      <c r="S7948" s="8" t="n"/>
      <c r="T7948" s="8" t="n"/>
      <c r="U7948" s="8" t="n"/>
      <c r="V7948" s="8" t="n"/>
      <c r="W7948" s="8" t="n"/>
      <c r="X7948" s="8" t="n"/>
      <c r="Y7948" s="8" t="n"/>
    </row>
    <row r="7949">
      <c r="A7949" s="8" t="n"/>
      <c r="B7949" s="8" t="n"/>
      <c r="C7949" s="8" t="n"/>
      <c r="D7949" s="8" t="n"/>
      <c r="E7949" s="8" t="n"/>
      <c r="F7949" s="8" t="n"/>
      <c r="G7949" s="8" t="n"/>
      <c r="H7949" s="8" t="n"/>
      <c r="I7949" s="8" t="n"/>
      <c r="J7949" s="8" t="n"/>
      <c r="K7949" s="8" t="n"/>
      <c r="L7949" s="8" t="n"/>
      <c r="M7949" s="9">
        <f>B7949+30</f>
        <v/>
      </c>
      <c r="N7949">
        <f>IF(L7949="", "", L7949-B7949)</f>
        <v/>
      </c>
      <c r="O7949">
        <f>IF(L7949="", "Pending", IF(N7949&lt;=30, "Met", "Breached"))</f>
        <v/>
      </c>
      <c r="P7949" s="8" t="n"/>
      <c r="Q7949" s="8" t="n"/>
      <c r="R7949" s="8" t="n"/>
      <c r="S7949" s="8" t="n"/>
      <c r="T7949" s="8" t="n"/>
      <c r="U7949" s="8" t="n"/>
      <c r="V7949" s="8" t="n"/>
      <c r="W7949" s="8" t="n"/>
      <c r="X7949" s="8" t="n"/>
      <c r="Y7949" s="8" t="n"/>
    </row>
    <row r="7950">
      <c r="A7950" s="8" t="n"/>
      <c r="B7950" s="8" t="n"/>
      <c r="C7950" s="8" t="n"/>
      <c r="D7950" s="8" t="n"/>
      <c r="E7950" s="8" t="n"/>
      <c r="F7950" s="8" t="n"/>
      <c r="G7950" s="8" t="n"/>
      <c r="H7950" s="8" t="n"/>
      <c r="I7950" s="8" t="n"/>
      <c r="J7950" s="8" t="n"/>
      <c r="K7950" s="8" t="n"/>
      <c r="L7950" s="8" t="n"/>
      <c r="M7950" s="9">
        <f>B7950+30</f>
        <v/>
      </c>
      <c r="N7950">
        <f>IF(L7950="", "", L7950-B7950)</f>
        <v/>
      </c>
      <c r="O7950">
        <f>IF(L7950="", "Pending", IF(N7950&lt;=30, "Met", "Breached"))</f>
        <v/>
      </c>
      <c r="P7950" s="8" t="n"/>
      <c r="Q7950" s="8" t="n"/>
      <c r="R7950" s="8" t="n"/>
      <c r="S7950" s="8" t="n"/>
      <c r="T7950" s="8" t="n"/>
      <c r="U7950" s="8" t="n"/>
      <c r="V7950" s="8" t="n"/>
      <c r="W7950" s="8" t="n"/>
      <c r="X7950" s="8" t="n"/>
      <c r="Y7950" s="8" t="n"/>
    </row>
    <row r="7951">
      <c r="A7951" s="8" t="n"/>
      <c r="B7951" s="8" t="n"/>
      <c r="C7951" s="8" t="n"/>
      <c r="D7951" s="8" t="n"/>
      <c r="E7951" s="8" t="n"/>
      <c r="F7951" s="8" t="n"/>
      <c r="G7951" s="8" t="n"/>
      <c r="H7951" s="8" t="n"/>
      <c r="I7951" s="8" t="n"/>
      <c r="J7951" s="8" t="n"/>
      <c r="K7951" s="8" t="n"/>
      <c r="L7951" s="8" t="n"/>
      <c r="M7951" s="9">
        <f>B7951+30</f>
        <v/>
      </c>
      <c r="N7951">
        <f>IF(L7951="", "", L7951-B7951)</f>
        <v/>
      </c>
      <c r="O7951">
        <f>IF(L7951="", "Pending", IF(N7951&lt;=30, "Met", "Breached"))</f>
        <v/>
      </c>
      <c r="P7951" s="8" t="n"/>
      <c r="Q7951" s="8" t="n"/>
      <c r="R7951" s="8" t="n"/>
      <c r="S7951" s="8" t="n"/>
      <c r="T7951" s="8" t="n"/>
      <c r="U7951" s="8" t="n"/>
      <c r="V7951" s="8" t="n"/>
      <c r="W7951" s="8" t="n"/>
      <c r="X7951" s="8" t="n"/>
      <c r="Y7951" s="8" t="n"/>
    </row>
    <row r="7952">
      <c r="A7952" s="8" t="n"/>
      <c r="B7952" s="8" t="n"/>
      <c r="C7952" s="8" t="n"/>
      <c r="D7952" s="8" t="n"/>
      <c r="E7952" s="8" t="n"/>
      <c r="F7952" s="8" t="n"/>
      <c r="G7952" s="8" t="n"/>
      <c r="H7952" s="8" t="n"/>
      <c r="I7952" s="8" t="n"/>
      <c r="J7952" s="8" t="n"/>
      <c r="K7952" s="8" t="n"/>
      <c r="L7952" s="8" t="n"/>
      <c r="M7952" s="9">
        <f>B7952+30</f>
        <v/>
      </c>
      <c r="N7952">
        <f>IF(L7952="", "", L7952-B7952)</f>
        <v/>
      </c>
      <c r="O7952">
        <f>IF(L7952="", "Pending", IF(N7952&lt;=30, "Met", "Breached"))</f>
        <v/>
      </c>
      <c r="P7952" s="8" t="n"/>
      <c r="Q7952" s="8" t="n"/>
      <c r="R7952" s="8" t="n"/>
      <c r="S7952" s="8" t="n"/>
      <c r="T7952" s="8" t="n"/>
      <c r="U7952" s="8" t="n"/>
      <c r="V7952" s="8" t="n"/>
      <c r="W7952" s="8" t="n"/>
      <c r="X7952" s="8" t="n"/>
      <c r="Y7952" s="8" t="n"/>
    </row>
    <row r="7953">
      <c r="A7953" s="8" t="n"/>
      <c r="B7953" s="8" t="n"/>
      <c r="C7953" s="8" t="n"/>
      <c r="D7953" s="8" t="n"/>
      <c r="E7953" s="8" t="n"/>
      <c r="F7953" s="8" t="n"/>
      <c r="G7953" s="8" t="n"/>
      <c r="H7953" s="8" t="n"/>
      <c r="I7953" s="8" t="n"/>
      <c r="J7953" s="8" t="n"/>
      <c r="K7953" s="8" t="n"/>
      <c r="L7953" s="8" t="n"/>
      <c r="M7953" s="9">
        <f>B7953+30</f>
        <v/>
      </c>
      <c r="N7953">
        <f>IF(L7953="", "", L7953-B7953)</f>
        <v/>
      </c>
      <c r="O7953">
        <f>IF(L7953="", "Pending", IF(N7953&lt;=30, "Met", "Breached"))</f>
        <v/>
      </c>
      <c r="P7953" s="8" t="n"/>
      <c r="Q7953" s="8" t="n"/>
      <c r="R7953" s="8" t="n"/>
      <c r="S7953" s="8" t="n"/>
      <c r="T7953" s="8" t="n"/>
      <c r="U7953" s="8" t="n"/>
      <c r="V7953" s="8" t="n"/>
      <c r="W7953" s="8" t="n"/>
      <c r="X7953" s="8" t="n"/>
      <c r="Y7953" s="8" t="n"/>
    </row>
    <row r="7954">
      <c r="A7954" s="8" t="n"/>
      <c r="B7954" s="8" t="n"/>
      <c r="C7954" s="8" t="n"/>
      <c r="D7954" s="8" t="n"/>
      <c r="E7954" s="8" t="n"/>
      <c r="F7954" s="8" t="n"/>
      <c r="G7954" s="8" t="n"/>
      <c r="H7954" s="8" t="n"/>
      <c r="I7954" s="8" t="n"/>
      <c r="J7954" s="8" t="n"/>
      <c r="K7954" s="8" t="n"/>
      <c r="L7954" s="8" t="n"/>
      <c r="M7954" s="9">
        <f>B7954+30</f>
        <v/>
      </c>
      <c r="N7954">
        <f>IF(L7954="", "", L7954-B7954)</f>
        <v/>
      </c>
      <c r="O7954">
        <f>IF(L7954="", "Pending", IF(N7954&lt;=30, "Met", "Breached"))</f>
        <v/>
      </c>
      <c r="P7954" s="8" t="n"/>
      <c r="Q7954" s="8" t="n"/>
      <c r="R7954" s="8" t="n"/>
      <c r="S7954" s="8" t="n"/>
      <c r="T7954" s="8" t="n"/>
      <c r="U7954" s="8" t="n"/>
      <c r="V7954" s="8" t="n"/>
      <c r="W7954" s="8" t="n"/>
      <c r="X7954" s="8" t="n"/>
      <c r="Y7954" s="8" t="n"/>
    </row>
    <row r="7955">
      <c r="A7955" s="8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8" t="n"/>
      <c r="K7955" s="8" t="n"/>
      <c r="L7955" s="8" t="n"/>
      <c r="M7955" s="9">
        <f>B7955+30</f>
        <v/>
      </c>
      <c r="N7955">
        <f>IF(L7955="", "", L7955-B7955)</f>
        <v/>
      </c>
      <c r="O7955">
        <f>IF(L7955="", "Pending", IF(N7955&lt;=30, "Met", "Breached"))</f>
        <v/>
      </c>
      <c r="P7955" s="8" t="n"/>
      <c r="Q7955" s="8" t="n"/>
      <c r="R7955" s="8" t="n"/>
      <c r="S7955" s="8" t="n"/>
      <c r="T7955" s="8" t="n"/>
      <c r="U7955" s="8" t="n"/>
      <c r="V7955" s="8" t="n"/>
      <c r="W7955" s="8" t="n"/>
      <c r="X7955" s="8" t="n"/>
      <c r="Y7955" s="8" t="n"/>
    </row>
    <row r="7956">
      <c r="A7956" s="8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8" t="n"/>
      <c r="K7956" s="8" t="n"/>
      <c r="L7956" s="8" t="n"/>
      <c r="M7956" s="9">
        <f>B7956+30</f>
        <v/>
      </c>
      <c r="N7956">
        <f>IF(L7956="", "", L7956-B7956)</f>
        <v/>
      </c>
      <c r="O7956">
        <f>IF(L7956="", "Pending", IF(N7956&lt;=30, "Met", "Breached"))</f>
        <v/>
      </c>
      <c r="P7956" s="8" t="n"/>
      <c r="Q7956" s="8" t="n"/>
      <c r="R7956" s="8" t="n"/>
      <c r="S7956" s="8" t="n"/>
      <c r="T7956" s="8" t="n"/>
      <c r="U7956" s="8" t="n"/>
      <c r="V7956" s="8" t="n"/>
      <c r="W7956" s="8" t="n"/>
      <c r="X7956" s="8" t="n"/>
      <c r="Y7956" s="8" t="n"/>
    </row>
    <row r="7957">
      <c r="A7957" s="8" t="n"/>
      <c r="B7957" s="8" t="n"/>
      <c r="C7957" s="8" t="n"/>
      <c r="D7957" s="8" t="n"/>
      <c r="E7957" s="8" t="n"/>
      <c r="F7957" s="8" t="n"/>
      <c r="G7957" s="8" t="n"/>
      <c r="H7957" s="8" t="n"/>
      <c r="I7957" s="8" t="n"/>
      <c r="J7957" s="8" t="n"/>
      <c r="K7957" s="8" t="n"/>
      <c r="L7957" s="8" t="n"/>
      <c r="M7957" s="9">
        <f>B7957+30</f>
        <v/>
      </c>
      <c r="N7957">
        <f>IF(L7957="", "", L7957-B7957)</f>
        <v/>
      </c>
      <c r="O7957">
        <f>IF(L7957="", "Pending", IF(N7957&lt;=30, "Met", "Breached"))</f>
        <v/>
      </c>
      <c r="P7957" s="8" t="n"/>
      <c r="Q7957" s="8" t="n"/>
      <c r="R7957" s="8" t="n"/>
      <c r="S7957" s="8" t="n"/>
      <c r="T7957" s="8" t="n"/>
      <c r="U7957" s="8" t="n"/>
      <c r="V7957" s="8" t="n"/>
      <c r="W7957" s="8" t="n"/>
      <c r="X7957" s="8" t="n"/>
      <c r="Y7957" s="8" t="n"/>
    </row>
    <row r="7958">
      <c r="A7958" s="8" t="n"/>
      <c r="B7958" s="8" t="n"/>
      <c r="C7958" s="8" t="n"/>
      <c r="D7958" s="8" t="n"/>
      <c r="E7958" s="8" t="n"/>
      <c r="F7958" s="8" t="n"/>
      <c r="G7958" s="8" t="n"/>
      <c r="H7958" s="8" t="n"/>
      <c r="I7958" s="8" t="n"/>
      <c r="J7958" s="8" t="n"/>
      <c r="K7958" s="8" t="n"/>
      <c r="L7958" s="8" t="n"/>
      <c r="M7958" s="9">
        <f>B7958+30</f>
        <v/>
      </c>
      <c r="N7958">
        <f>IF(L7958="", "", L7958-B7958)</f>
        <v/>
      </c>
      <c r="O7958">
        <f>IF(L7958="", "Pending", IF(N7958&lt;=30, "Met", "Breached"))</f>
        <v/>
      </c>
      <c r="P7958" s="8" t="n"/>
      <c r="Q7958" s="8" t="n"/>
      <c r="R7958" s="8" t="n"/>
      <c r="S7958" s="8" t="n"/>
      <c r="T7958" s="8" t="n"/>
      <c r="U7958" s="8" t="n"/>
      <c r="V7958" s="8" t="n"/>
      <c r="W7958" s="8" t="n"/>
      <c r="X7958" s="8" t="n"/>
      <c r="Y7958" s="8" t="n"/>
    </row>
    <row r="7959">
      <c r="A7959" s="8" t="n"/>
      <c r="B7959" s="8" t="n"/>
      <c r="C7959" s="8" t="n"/>
      <c r="D7959" s="8" t="n"/>
      <c r="E7959" s="8" t="n"/>
      <c r="F7959" s="8" t="n"/>
      <c r="G7959" s="8" t="n"/>
      <c r="H7959" s="8" t="n"/>
      <c r="I7959" s="8" t="n"/>
      <c r="J7959" s="8" t="n"/>
      <c r="K7959" s="8" t="n"/>
      <c r="L7959" s="8" t="n"/>
      <c r="M7959" s="9">
        <f>B7959+30</f>
        <v/>
      </c>
      <c r="N7959">
        <f>IF(L7959="", "", L7959-B7959)</f>
        <v/>
      </c>
      <c r="O7959">
        <f>IF(L7959="", "Pending", IF(N7959&lt;=30, "Met", "Breached"))</f>
        <v/>
      </c>
      <c r="P7959" s="8" t="n"/>
      <c r="Q7959" s="8" t="n"/>
      <c r="R7959" s="8" t="n"/>
      <c r="S7959" s="8" t="n"/>
      <c r="T7959" s="8" t="n"/>
      <c r="U7959" s="8" t="n"/>
      <c r="V7959" s="8" t="n"/>
      <c r="W7959" s="8" t="n"/>
      <c r="X7959" s="8" t="n"/>
      <c r="Y7959" s="8" t="n"/>
    </row>
    <row r="7960">
      <c r="A7960" s="8" t="n"/>
      <c r="B7960" s="8" t="n"/>
      <c r="C7960" s="8" t="n"/>
      <c r="D7960" s="8" t="n"/>
      <c r="E7960" s="8" t="n"/>
      <c r="F7960" s="8" t="n"/>
      <c r="G7960" s="8" t="n"/>
      <c r="H7960" s="8" t="n"/>
      <c r="I7960" s="8" t="n"/>
      <c r="J7960" s="8" t="n"/>
      <c r="K7960" s="8" t="n"/>
      <c r="L7960" s="8" t="n"/>
      <c r="M7960" s="9">
        <f>B7960+30</f>
        <v/>
      </c>
      <c r="N7960">
        <f>IF(L7960="", "", L7960-B7960)</f>
        <v/>
      </c>
      <c r="O7960">
        <f>IF(L7960="", "Pending", IF(N7960&lt;=30, "Met", "Breached"))</f>
        <v/>
      </c>
      <c r="P7960" s="8" t="n"/>
      <c r="Q7960" s="8" t="n"/>
      <c r="R7960" s="8" t="n"/>
      <c r="S7960" s="8" t="n"/>
      <c r="T7960" s="8" t="n"/>
      <c r="U7960" s="8" t="n"/>
      <c r="V7960" s="8" t="n"/>
      <c r="W7960" s="8" t="n"/>
      <c r="X7960" s="8" t="n"/>
      <c r="Y7960" s="8" t="n"/>
    </row>
    <row r="7961">
      <c r="A7961" s="8" t="n"/>
      <c r="B7961" s="8" t="n"/>
      <c r="C7961" s="8" t="n"/>
      <c r="D7961" s="8" t="n"/>
      <c r="E7961" s="8" t="n"/>
      <c r="F7961" s="8" t="n"/>
      <c r="G7961" s="8" t="n"/>
      <c r="H7961" s="8" t="n"/>
      <c r="I7961" s="8" t="n"/>
      <c r="J7961" s="8" t="n"/>
      <c r="K7961" s="8" t="n"/>
      <c r="L7961" s="8" t="n"/>
      <c r="M7961" s="9">
        <f>B7961+30</f>
        <v/>
      </c>
      <c r="N7961">
        <f>IF(L7961="", "", L7961-B7961)</f>
        <v/>
      </c>
      <c r="O7961">
        <f>IF(L7961="", "Pending", IF(N7961&lt;=30, "Met", "Breached"))</f>
        <v/>
      </c>
      <c r="P7961" s="8" t="n"/>
      <c r="Q7961" s="8" t="n"/>
      <c r="R7961" s="8" t="n"/>
      <c r="S7961" s="8" t="n"/>
      <c r="T7961" s="8" t="n"/>
      <c r="U7961" s="8" t="n"/>
      <c r="V7961" s="8" t="n"/>
      <c r="W7961" s="8" t="n"/>
      <c r="X7961" s="8" t="n"/>
      <c r="Y7961" s="8" t="n"/>
    </row>
    <row r="7962">
      <c r="A7962" s="8" t="n"/>
      <c r="B7962" s="8" t="n"/>
      <c r="C7962" s="8" t="n"/>
      <c r="D7962" s="8" t="n"/>
      <c r="E7962" s="8" t="n"/>
      <c r="F7962" s="8" t="n"/>
      <c r="G7962" s="8" t="n"/>
      <c r="H7962" s="8" t="n"/>
      <c r="I7962" s="8" t="n"/>
      <c r="J7962" s="8" t="n"/>
      <c r="K7962" s="8" t="n"/>
      <c r="L7962" s="8" t="n"/>
      <c r="M7962" s="9">
        <f>B7962+30</f>
        <v/>
      </c>
      <c r="N7962">
        <f>IF(L7962="", "", L7962-B7962)</f>
        <v/>
      </c>
      <c r="O7962">
        <f>IF(L7962="", "Pending", IF(N7962&lt;=30, "Met", "Breached"))</f>
        <v/>
      </c>
      <c r="P7962" s="8" t="n"/>
      <c r="Q7962" s="8" t="n"/>
      <c r="R7962" s="8" t="n"/>
      <c r="S7962" s="8" t="n"/>
      <c r="T7962" s="8" t="n"/>
      <c r="U7962" s="8" t="n"/>
      <c r="V7962" s="8" t="n"/>
      <c r="W7962" s="8" t="n"/>
      <c r="X7962" s="8" t="n"/>
      <c r="Y7962" s="8" t="n"/>
    </row>
    <row r="7963">
      <c r="A7963" s="8" t="n"/>
      <c r="B7963" s="8" t="n"/>
      <c r="C7963" s="8" t="n"/>
      <c r="D7963" s="8" t="n"/>
      <c r="E7963" s="8" t="n"/>
      <c r="F7963" s="8" t="n"/>
      <c r="G7963" s="8" t="n"/>
      <c r="H7963" s="8" t="n"/>
      <c r="I7963" s="8" t="n"/>
      <c r="J7963" s="8" t="n"/>
      <c r="K7963" s="8" t="n"/>
      <c r="L7963" s="8" t="n"/>
      <c r="M7963" s="9">
        <f>B7963+30</f>
        <v/>
      </c>
      <c r="N7963">
        <f>IF(L7963="", "", L7963-B7963)</f>
        <v/>
      </c>
      <c r="O7963">
        <f>IF(L7963="", "Pending", IF(N7963&lt;=30, "Met", "Breached"))</f>
        <v/>
      </c>
      <c r="P7963" s="8" t="n"/>
      <c r="Q7963" s="8" t="n"/>
      <c r="R7963" s="8" t="n"/>
      <c r="S7963" s="8" t="n"/>
      <c r="T7963" s="8" t="n"/>
      <c r="U7963" s="8" t="n"/>
      <c r="V7963" s="8" t="n"/>
      <c r="W7963" s="8" t="n"/>
      <c r="X7963" s="8" t="n"/>
      <c r="Y7963" s="8" t="n"/>
    </row>
    <row r="7964">
      <c r="A7964" s="8" t="n"/>
      <c r="B7964" s="8" t="n"/>
      <c r="C7964" s="8" t="n"/>
      <c r="D7964" s="8" t="n"/>
      <c r="E7964" s="8" t="n"/>
      <c r="F7964" s="8" t="n"/>
      <c r="G7964" s="8" t="n"/>
      <c r="H7964" s="8" t="n"/>
      <c r="I7964" s="8" t="n"/>
      <c r="J7964" s="8" t="n"/>
      <c r="K7964" s="8" t="n"/>
      <c r="L7964" s="8" t="n"/>
      <c r="M7964" s="9">
        <f>B7964+30</f>
        <v/>
      </c>
      <c r="N7964">
        <f>IF(L7964="", "", L7964-B7964)</f>
        <v/>
      </c>
      <c r="O7964">
        <f>IF(L7964="", "Pending", IF(N7964&lt;=30, "Met", "Breached"))</f>
        <v/>
      </c>
      <c r="P7964" s="8" t="n"/>
      <c r="Q7964" s="8" t="n"/>
      <c r="R7964" s="8" t="n"/>
      <c r="S7964" s="8" t="n"/>
      <c r="T7964" s="8" t="n"/>
      <c r="U7964" s="8" t="n"/>
      <c r="V7964" s="8" t="n"/>
      <c r="W7964" s="8" t="n"/>
      <c r="X7964" s="8" t="n"/>
      <c r="Y7964" s="8" t="n"/>
    </row>
    <row r="7965">
      <c r="A7965" s="8" t="n"/>
      <c r="B7965" s="8" t="n"/>
      <c r="C7965" s="8" t="n"/>
      <c r="D7965" s="8" t="n"/>
      <c r="E7965" s="8" t="n"/>
      <c r="F7965" s="8" t="n"/>
      <c r="G7965" s="8" t="n"/>
      <c r="H7965" s="8" t="n"/>
      <c r="I7965" s="8" t="n"/>
      <c r="J7965" s="8" t="n"/>
      <c r="K7965" s="8" t="n"/>
      <c r="L7965" s="8" t="n"/>
      <c r="M7965" s="9">
        <f>B7965+30</f>
        <v/>
      </c>
      <c r="N7965">
        <f>IF(L7965="", "", L7965-B7965)</f>
        <v/>
      </c>
      <c r="O7965">
        <f>IF(L7965="", "Pending", IF(N7965&lt;=30, "Met", "Breached"))</f>
        <v/>
      </c>
      <c r="P7965" s="8" t="n"/>
      <c r="Q7965" s="8" t="n"/>
      <c r="R7965" s="8" t="n"/>
      <c r="S7965" s="8" t="n"/>
      <c r="T7965" s="8" t="n"/>
      <c r="U7965" s="8" t="n"/>
      <c r="V7965" s="8" t="n"/>
      <c r="W7965" s="8" t="n"/>
      <c r="X7965" s="8" t="n"/>
      <c r="Y7965" s="8" t="n"/>
    </row>
    <row r="7966">
      <c r="A7966" s="8" t="n"/>
      <c r="B7966" s="8" t="n"/>
      <c r="C7966" s="8" t="n"/>
      <c r="D7966" s="8" t="n"/>
      <c r="E7966" s="8" t="n"/>
      <c r="F7966" s="8" t="n"/>
      <c r="G7966" s="8" t="n"/>
      <c r="H7966" s="8" t="n"/>
      <c r="I7966" s="8" t="n"/>
      <c r="J7966" s="8" t="n"/>
      <c r="K7966" s="8" t="n"/>
      <c r="L7966" s="8" t="n"/>
      <c r="M7966" s="9">
        <f>B7966+30</f>
        <v/>
      </c>
      <c r="N7966">
        <f>IF(L7966="", "", L7966-B7966)</f>
        <v/>
      </c>
      <c r="O7966">
        <f>IF(L7966="", "Pending", IF(N7966&lt;=30, "Met", "Breached"))</f>
        <v/>
      </c>
      <c r="P7966" s="8" t="n"/>
      <c r="Q7966" s="8" t="n"/>
      <c r="R7966" s="8" t="n"/>
      <c r="S7966" s="8" t="n"/>
      <c r="T7966" s="8" t="n"/>
      <c r="U7966" s="8" t="n"/>
      <c r="V7966" s="8" t="n"/>
      <c r="W7966" s="8" t="n"/>
      <c r="X7966" s="8" t="n"/>
      <c r="Y7966" s="8" t="n"/>
    </row>
    <row r="7967">
      <c r="A7967" s="8" t="n"/>
      <c r="B7967" s="8" t="n"/>
      <c r="C7967" s="8" t="n"/>
      <c r="D7967" s="8" t="n"/>
      <c r="E7967" s="8" t="n"/>
      <c r="F7967" s="8" t="n"/>
      <c r="G7967" s="8" t="n"/>
      <c r="H7967" s="8" t="n"/>
      <c r="I7967" s="8" t="n"/>
      <c r="J7967" s="8" t="n"/>
      <c r="K7967" s="8" t="n"/>
      <c r="L7967" s="8" t="n"/>
      <c r="M7967" s="9">
        <f>B7967+30</f>
        <v/>
      </c>
      <c r="N7967">
        <f>IF(L7967="", "", L7967-B7967)</f>
        <v/>
      </c>
      <c r="O7967">
        <f>IF(L7967="", "Pending", IF(N7967&lt;=30, "Met", "Breached"))</f>
        <v/>
      </c>
      <c r="P7967" s="8" t="n"/>
      <c r="Q7967" s="8" t="n"/>
      <c r="R7967" s="8" t="n"/>
      <c r="S7967" s="8" t="n"/>
      <c r="T7967" s="8" t="n"/>
      <c r="U7967" s="8" t="n"/>
      <c r="V7967" s="8" t="n"/>
      <c r="W7967" s="8" t="n"/>
      <c r="X7967" s="8" t="n"/>
      <c r="Y7967" s="8" t="n"/>
    </row>
    <row r="7968">
      <c r="A7968" s="8" t="n"/>
      <c r="B7968" s="8" t="n"/>
      <c r="C7968" s="8" t="n"/>
      <c r="D7968" s="8" t="n"/>
      <c r="E7968" s="8" t="n"/>
      <c r="F7968" s="8" t="n"/>
      <c r="G7968" s="8" t="n"/>
      <c r="H7968" s="8" t="n"/>
      <c r="I7968" s="8" t="n"/>
      <c r="J7968" s="8" t="n"/>
      <c r="K7968" s="8" t="n"/>
      <c r="L7968" s="8" t="n"/>
      <c r="M7968" s="9">
        <f>B7968+30</f>
        <v/>
      </c>
      <c r="N7968">
        <f>IF(L7968="", "", L7968-B7968)</f>
        <v/>
      </c>
      <c r="O7968">
        <f>IF(L7968="", "Pending", IF(N7968&lt;=30, "Met", "Breached"))</f>
        <v/>
      </c>
      <c r="P7968" s="8" t="n"/>
      <c r="Q7968" s="8" t="n"/>
      <c r="R7968" s="8" t="n"/>
      <c r="S7968" s="8" t="n"/>
      <c r="T7968" s="8" t="n"/>
      <c r="U7968" s="8" t="n"/>
      <c r="V7968" s="8" t="n"/>
      <c r="W7968" s="8" t="n"/>
      <c r="X7968" s="8" t="n"/>
      <c r="Y7968" s="8" t="n"/>
    </row>
    <row r="7969">
      <c r="A7969" s="8" t="n"/>
      <c r="B7969" s="8" t="n"/>
      <c r="C7969" s="8" t="n"/>
      <c r="D7969" s="8" t="n"/>
      <c r="E7969" s="8" t="n"/>
      <c r="F7969" s="8" t="n"/>
      <c r="G7969" s="8" t="n"/>
      <c r="H7969" s="8" t="n"/>
      <c r="I7969" s="8" t="n"/>
      <c r="J7969" s="8" t="n"/>
      <c r="K7969" s="8" t="n"/>
      <c r="L7969" s="8" t="n"/>
      <c r="M7969" s="9">
        <f>B7969+30</f>
        <v/>
      </c>
      <c r="N7969">
        <f>IF(L7969="", "", L7969-B7969)</f>
        <v/>
      </c>
      <c r="O7969">
        <f>IF(L7969="", "Pending", IF(N7969&lt;=30, "Met", "Breached"))</f>
        <v/>
      </c>
      <c r="P7969" s="8" t="n"/>
      <c r="Q7969" s="8" t="n"/>
      <c r="R7969" s="8" t="n"/>
      <c r="S7969" s="8" t="n"/>
      <c r="T7969" s="8" t="n"/>
      <c r="U7969" s="8" t="n"/>
      <c r="V7969" s="8" t="n"/>
      <c r="W7969" s="8" t="n"/>
      <c r="X7969" s="8" t="n"/>
      <c r="Y7969" s="8" t="n"/>
    </row>
    <row r="7970">
      <c r="A7970" s="8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8" t="n"/>
      <c r="K7970" s="8" t="n"/>
      <c r="L7970" s="8" t="n"/>
      <c r="M7970" s="9">
        <f>B7970+30</f>
        <v/>
      </c>
      <c r="N7970">
        <f>IF(L7970="", "", L7970-B7970)</f>
        <v/>
      </c>
      <c r="O7970">
        <f>IF(L7970="", "Pending", IF(N7970&lt;=30, "Met", "Breached"))</f>
        <v/>
      </c>
      <c r="P7970" s="8" t="n"/>
      <c r="Q7970" s="8" t="n"/>
      <c r="R7970" s="8" t="n"/>
      <c r="S7970" s="8" t="n"/>
      <c r="T7970" s="8" t="n"/>
      <c r="U7970" s="8" t="n"/>
      <c r="V7970" s="8" t="n"/>
      <c r="W7970" s="8" t="n"/>
      <c r="X7970" s="8" t="n"/>
      <c r="Y7970" s="8" t="n"/>
    </row>
    <row r="7971">
      <c r="A7971" s="8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8" t="n"/>
      <c r="K7971" s="8" t="n"/>
      <c r="L7971" s="8" t="n"/>
      <c r="M7971" s="9">
        <f>B7971+30</f>
        <v/>
      </c>
      <c r="N7971">
        <f>IF(L7971="", "", L7971-B7971)</f>
        <v/>
      </c>
      <c r="O7971">
        <f>IF(L7971="", "Pending", IF(N7971&lt;=30, "Met", "Breached"))</f>
        <v/>
      </c>
      <c r="P7971" s="8" t="n"/>
      <c r="Q7971" s="8" t="n"/>
      <c r="R7971" s="8" t="n"/>
      <c r="S7971" s="8" t="n"/>
      <c r="T7971" s="8" t="n"/>
      <c r="U7971" s="8" t="n"/>
      <c r="V7971" s="8" t="n"/>
      <c r="W7971" s="8" t="n"/>
      <c r="X7971" s="8" t="n"/>
      <c r="Y7971" s="8" t="n"/>
    </row>
    <row r="7972">
      <c r="A7972" s="8" t="n"/>
      <c r="B7972" s="8" t="n"/>
      <c r="C7972" s="8" t="n"/>
      <c r="D7972" s="8" t="n"/>
      <c r="E7972" s="8" t="n"/>
      <c r="F7972" s="8" t="n"/>
      <c r="G7972" s="8" t="n"/>
      <c r="H7972" s="8" t="n"/>
      <c r="I7972" s="8" t="n"/>
      <c r="J7972" s="8" t="n"/>
      <c r="K7972" s="8" t="n"/>
      <c r="L7972" s="8" t="n"/>
      <c r="M7972" s="9">
        <f>B7972+30</f>
        <v/>
      </c>
      <c r="N7972">
        <f>IF(L7972="", "", L7972-B7972)</f>
        <v/>
      </c>
      <c r="O7972">
        <f>IF(L7972="", "Pending", IF(N7972&lt;=30, "Met", "Breached"))</f>
        <v/>
      </c>
      <c r="P7972" s="8" t="n"/>
      <c r="Q7972" s="8" t="n"/>
      <c r="R7972" s="8" t="n"/>
      <c r="S7972" s="8" t="n"/>
      <c r="T7972" s="8" t="n"/>
      <c r="U7972" s="8" t="n"/>
      <c r="V7972" s="8" t="n"/>
      <c r="W7972" s="8" t="n"/>
      <c r="X7972" s="8" t="n"/>
      <c r="Y7972" s="8" t="n"/>
    </row>
    <row r="7973">
      <c r="A7973" s="8" t="n"/>
      <c r="B7973" s="8" t="n"/>
      <c r="C7973" s="8" t="n"/>
      <c r="D7973" s="8" t="n"/>
      <c r="E7973" s="8" t="n"/>
      <c r="F7973" s="8" t="n"/>
      <c r="G7973" s="8" t="n"/>
      <c r="H7973" s="8" t="n"/>
      <c r="I7973" s="8" t="n"/>
      <c r="J7973" s="8" t="n"/>
      <c r="K7973" s="8" t="n"/>
      <c r="L7973" s="8" t="n"/>
      <c r="M7973" s="9">
        <f>B7973+30</f>
        <v/>
      </c>
      <c r="N7973">
        <f>IF(L7973="", "", L7973-B7973)</f>
        <v/>
      </c>
      <c r="O7973">
        <f>IF(L7973="", "Pending", IF(N7973&lt;=30, "Met", "Breached"))</f>
        <v/>
      </c>
      <c r="P7973" s="8" t="n"/>
      <c r="Q7973" s="8" t="n"/>
      <c r="R7973" s="8" t="n"/>
      <c r="S7973" s="8" t="n"/>
      <c r="T7973" s="8" t="n"/>
      <c r="U7973" s="8" t="n"/>
      <c r="V7973" s="8" t="n"/>
      <c r="W7973" s="8" t="n"/>
      <c r="X7973" s="8" t="n"/>
      <c r="Y7973" s="8" t="n"/>
    </row>
    <row r="7974">
      <c r="A7974" s="8" t="n"/>
      <c r="B7974" s="8" t="n"/>
      <c r="C7974" s="8" t="n"/>
      <c r="D7974" s="8" t="n"/>
      <c r="E7974" s="8" t="n"/>
      <c r="F7974" s="8" t="n"/>
      <c r="G7974" s="8" t="n"/>
      <c r="H7974" s="8" t="n"/>
      <c r="I7974" s="8" t="n"/>
      <c r="J7974" s="8" t="n"/>
      <c r="K7974" s="8" t="n"/>
      <c r="L7974" s="8" t="n"/>
      <c r="M7974" s="9">
        <f>B7974+30</f>
        <v/>
      </c>
      <c r="N7974">
        <f>IF(L7974="", "", L7974-B7974)</f>
        <v/>
      </c>
      <c r="O7974">
        <f>IF(L7974="", "Pending", IF(N7974&lt;=30, "Met", "Breached"))</f>
        <v/>
      </c>
      <c r="P7974" s="8" t="n"/>
      <c r="Q7974" s="8" t="n"/>
      <c r="R7974" s="8" t="n"/>
      <c r="S7974" s="8" t="n"/>
      <c r="T7974" s="8" t="n"/>
      <c r="U7974" s="8" t="n"/>
      <c r="V7974" s="8" t="n"/>
      <c r="W7974" s="8" t="n"/>
      <c r="X7974" s="8" t="n"/>
      <c r="Y7974" s="8" t="n"/>
    </row>
    <row r="7975">
      <c r="A7975" s="8" t="n"/>
      <c r="B7975" s="8" t="n"/>
      <c r="C7975" s="8" t="n"/>
      <c r="D7975" s="8" t="n"/>
      <c r="E7975" s="8" t="n"/>
      <c r="F7975" s="8" t="n"/>
      <c r="G7975" s="8" t="n"/>
      <c r="H7975" s="8" t="n"/>
      <c r="I7975" s="8" t="n"/>
      <c r="J7975" s="8" t="n"/>
      <c r="K7975" s="8" t="n"/>
      <c r="L7975" s="8" t="n"/>
      <c r="M7975" s="9">
        <f>B7975+30</f>
        <v/>
      </c>
      <c r="N7975">
        <f>IF(L7975="", "", L7975-B7975)</f>
        <v/>
      </c>
      <c r="O7975">
        <f>IF(L7975="", "Pending", IF(N7975&lt;=30, "Met", "Breached"))</f>
        <v/>
      </c>
      <c r="P7975" s="8" t="n"/>
      <c r="Q7975" s="8" t="n"/>
      <c r="R7975" s="8" t="n"/>
      <c r="S7975" s="8" t="n"/>
      <c r="T7975" s="8" t="n"/>
      <c r="U7975" s="8" t="n"/>
      <c r="V7975" s="8" t="n"/>
      <c r="W7975" s="8" t="n"/>
      <c r="X7975" s="8" t="n"/>
      <c r="Y7975" s="8" t="n"/>
    </row>
    <row r="7976">
      <c r="A7976" s="8" t="n"/>
      <c r="B7976" s="8" t="n"/>
      <c r="C7976" s="8" t="n"/>
      <c r="D7976" s="8" t="n"/>
      <c r="E7976" s="8" t="n"/>
      <c r="F7976" s="8" t="n"/>
      <c r="G7976" s="8" t="n"/>
      <c r="H7976" s="8" t="n"/>
      <c r="I7976" s="8" t="n"/>
      <c r="J7976" s="8" t="n"/>
      <c r="K7976" s="8" t="n"/>
      <c r="L7976" s="8" t="n"/>
      <c r="M7976" s="9">
        <f>B7976+30</f>
        <v/>
      </c>
      <c r="N7976">
        <f>IF(L7976="", "", L7976-B7976)</f>
        <v/>
      </c>
      <c r="O7976">
        <f>IF(L7976="", "Pending", IF(N7976&lt;=30, "Met", "Breached"))</f>
        <v/>
      </c>
      <c r="P7976" s="8" t="n"/>
      <c r="Q7976" s="8" t="n"/>
      <c r="R7976" s="8" t="n"/>
      <c r="S7976" s="8" t="n"/>
      <c r="T7976" s="8" t="n"/>
      <c r="U7976" s="8" t="n"/>
      <c r="V7976" s="8" t="n"/>
      <c r="W7976" s="8" t="n"/>
      <c r="X7976" s="8" t="n"/>
      <c r="Y7976" s="8" t="n"/>
    </row>
    <row r="7977">
      <c r="A7977" s="8" t="n"/>
      <c r="B7977" s="8" t="n"/>
      <c r="C7977" s="8" t="n"/>
      <c r="D7977" s="8" t="n"/>
      <c r="E7977" s="8" t="n"/>
      <c r="F7977" s="8" t="n"/>
      <c r="G7977" s="8" t="n"/>
      <c r="H7977" s="8" t="n"/>
      <c r="I7977" s="8" t="n"/>
      <c r="J7977" s="8" t="n"/>
      <c r="K7977" s="8" t="n"/>
      <c r="L7977" s="8" t="n"/>
      <c r="M7977" s="9">
        <f>B7977+30</f>
        <v/>
      </c>
      <c r="N7977">
        <f>IF(L7977="", "", L7977-B7977)</f>
        <v/>
      </c>
      <c r="O7977">
        <f>IF(L7977="", "Pending", IF(N7977&lt;=30, "Met", "Breached"))</f>
        <v/>
      </c>
      <c r="P7977" s="8" t="n"/>
      <c r="Q7977" s="8" t="n"/>
      <c r="R7977" s="8" t="n"/>
      <c r="S7977" s="8" t="n"/>
      <c r="T7977" s="8" t="n"/>
      <c r="U7977" s="8" t="n"/>
      <c r="V7977" s="8" t="n"/>
      <c r="W7977" s="8" t="n"/>
      <c r="X7977" s="8" t="n"/>
      <c r="Y7977" s="8" t="n"/>
    </row>
    <row r="7978">
      <c r="A7978" s="8" t="n"/>
      <c r="B7978" s="8" t="n"/>
      <c r="C7978" s="8" t="n"/>
      <c r="D7978" s="8" t="n"/>
      <c r="E7978" s="8" t="n"/>
      <c r="F7978" s="8" t="n"/>
      <c r="G7978" s="8" t="n"/>
      <c r="H7978" s="8" t="n"/>
      <c r="I7978" s="8" t="n"/>
      <c r="J7978" s="8" t="n"/>
      <c r="K7978" s="8" t="n"/>
      <c r="L7978" s="8" t="n"/>
      <c r="M7978" s="9">
        <f>B7978+30</f>
        <v/>
      </c>
      <c r="N7978">
        <f>IF(L7978="", "", L7978-B7978)</f>
        <v/>
      </c>
      <c r="O7978">
        <f>IF(L7978="", "Pending", IF(N7978&lt;=30, "Met", "Breached"))</f>
        <v/>
      </c>
      <c r="P7978" s="8" t="n"/>
      <c r="Q7978" s="8" t="n"/>
      <c r="R7978" s="8" t="n"/>
      <c r="S7978" s="8" t="n"/>
      <c r="T7978" s="8" t="n"/>
      <c r="U7978" s="8" t="n"/>
      <c r="V7978" s="8" t="n"/>
      <c r="W7978" s="8" t="n"/>
      <c r="X7978" s="8" t="n"/>
      <c r="Y7978" s="8" t="n"/>
    </row>
    <row r="7979">
      <c r="A7979" s="8" t="n"/>
      <c r="B7979" s="8" t="n"/>
      <c r="C7979" s="8" t="n"/>
      <c r="D7979" s="8" t="n"/>
      <c r="E7979" s="8" t="n"/>
      <c r="F7979" s="8" t="n"/>
      <c r="G7979" s="8" t="n"/>
      <c r="H7979" s="8" t="n"/>
      <c r="I7979" s="8" t="n"/>
      <c r="J7979" s="8" t="n"/>
      <c r="K7979" s="8" t="n"/>
      <c r="L7979" s="8" t="n"/>
      <c r="M7979" s="9">
        <f>B7979+30</f>
        <v/>
      </c>
      <c r="N7979">
        <f>IF(L7979="", "", L7979-B7979)</f>
        <v/>
      </c>
      <c r="O7979">
        <f>IF(L7979="", "Pending", IF(N7979&lt;=30, "Met", "Breached"))</f>
        <v/>
      </c>
      <c r="P7979" s="8" t="n"/>
      <c r="Q7979" s="8" t="n"/>
      <c r="R7979" s="8" t="n"/>
      <c r="S7979" s="8" t="n"/>
      <c r="T7979" s="8" t="n"/>
      <c r="U7979" s="8" t="n"/>
      <c r="V7979" s="8" t="n"/>
      <c r="W7979" s="8" t="n"/>
      <c r="X7979" s="8" t="n"/>
      <c r="Y7979" s="8" t="n"/>
    </row>
    <row r="7980">
      <c r="A7980" s="8" t="n"/>
      <c r="B7980" s="8" t="n"/>
      <c r="C7980" s="8" t="n"/>
      <c r="D7980" s="8" t="n"/>
      <c r="E7980" s="8" t="n"/>
      <c r="F7980" s="8" t="n"/>
      <c r="G7980" s="8" t="n"/>
      <c r="H7980" s="8" t="n"/>
      <c r="I7980" s="8" t="n"/>
      <c r="J7980" s="8" t="n"/>
      <c r="K7980" s="8" t="n"/>
      <c r="L7980" s="8" t="n"/>
      <c r="M7980" s="9">
        <f>B7980+30</f>
        <v/>
      </c>
      <c r="N7980">
        <f>IF(L7980="", "", L7980-B7980)</f>
        <v/>
      </c>
      <c r="O7980">
        <f>IF(L7980="", "Pending", IF(N7980&lt;=30, "Met", "Breached"))</f>
        <v/>
      </c>
      <c r="P7980" s="8" t="n"/>
      <c r="Q7980" s="8" t="n"/>
      <c r="R7980" s="8" t="n"/>
      <c r="S7980" s="8" t="n"/>
      <c r="T7980" s="8" t="n"/>
      <c r="U7980" s="8" t="n"/>
      <c r="V7980" s="8" t="n"/>
      <c r="W7980" s="8" t="n"/>
      <c r="X7980" s="8" t="n"/>
      <c r="Y7980" s="8" t="n"/>
    </row>
    <row r="7981">
      <c r="A7981" s="8" t="n"/>
      <c r="B7981" s="8" t="n"/>
      <c r="C7981" s="8" t="n"/>
      <c r="D7981" s="8" t="n"/>
      <c r="E7981" s="8" t="n"/>
      <c r="F7981" s="8" t="n"/>
      <c r="G7981" s="8" t="n"/>
      <c r="H7981" s="8" t="n"/>
      <c r="I7981" s="8" t="n"/>
      <c r="J7981" s="8" t="n"/>
      <c r="K7981" s="8" t="n"/>
      <c r="L7981" s="8" t="n"/>
      <c r="M7981" s="9">
        <f>B7981+30</f>
        <v/>
      </c>
      <c r="N7981">
        <f>IF(L7981="", "", L7981-B7981)</f>
        <v/>
      </c>
      <c r="O7981">
        <f>IF(L7981="", "Pending", IF(N7981&lt;=30, "Met", "Breached"))</f>
        <v/>
      </c>
      <c r="P7981" s="8" t="n"/>
      <c r="Q7981" s="8" t="n"/>
      <c r="R7981" s="8" t="n"/>
      <c r="S7981" s="8" t="n"/>
      <c r="T7981" s="8" t="n"/>
      <c r="U7981" s="8" t="n"/>
      <c r="V7981" s="8" t="n"/>
      <c r="W7981" s="8" t="n"/>
      <c r="X7981" s="8" t="n"/>
      <c r="Y7981" s="8" t="n"/>
    </row>
    <row r="7982">
      <c r="A7982" s="8" t="n"/>
      <c r="B7982" s="8" t="n"/>
      <c r="C7982" s="8" t="n"/>
      <c r="D7982" s="8" t="n"/>
      <c r="E7982" s="8" t="n"/>
      <c r="F7982" s="8" t="n"/>
      <c r="G7982" s="8" t="n"/>
      <c r="H7982" s="8" t="n"/>
      <c r="I7982" s="8" t="n"/>
      <c r="J7982" s="8" t="n"/>
      <c r="K7982" s="8" t="n"/>
      <c r="L7982" s="8" t="n"/>
      <c r="M7982" s="9">
        <f>B7982+30</f>
        <v/>
      </c>
      <c r="N7982">
        <f>IF(L7982="", "", L7982-B7982)</f>
        <v/>
      </c>
      <c r="O7982">
        <f>IF(L7982="", "Pending", IF(N7982&lt;=30, "Met", "Breached"))</f>
        <v/>
      </c>
      <c r="P7982" s="8" t="n"/>
      <c r="Q7982" s="8" t="n"/>
      <c r="R7982" s="8" t="n"/>
      <c r="S7982" s="8" t="n"/>
      <c r="T7982" s="8" t="n"/>
      <c r="U7982" s="8" t="n"/>
      <c r="V7982" s="8" t="n"/>
      <c r="W7982" s="8" t="n"/>
      <c r="X7982" s="8" t="n"/>
      <c r="Y7982" s="8" t="n"/>
    </row>
    <row r="7983">
      <c r="A7983" s="8" t="n"/>
      <c r="B7983" s="8" t="n"/>
      <c r="C7983" s="8" t="n"/>
      <c r="D7983" s="8" t="n"/>
      <c r="E7983" s="8" t="n"/>
      <c r="F7983" s="8" t="n"/>
      <c r="G7983" s="8" t="n"/>
      <c r="H7983" s="8" t="n"/>
      <c r="I7983" s="8" t="n"/>
      <c r="J7983" s="8" t="n"/>
      <c r="K7983" s="8" t="n"/>
      <c r="L7983" s="8" t="n"/>
      <c r="M7983" s="9">
        <f>B7983+30</f>
        <v/>
      </c>
      <c r="N7983">
        <f>IF(L7983="", "", L7983-B7983)</f>
        <v/>
      </c>
      <c r="O7983">
        <f>IF(L7983="", "Pending", IF(N7983&lt;=30, "Met", "Breached"))</f>
        <v/>
      </c>
      <c r="P7983" s="8" t="n"/>
      <c r="Q7983" s="8" t="n"/>
      <c r="R7983" s="8" t="n"/>
      <c r="S7983" s="8" t="n"/>
      <c r="T7983" s="8" t="n"/>
      <c r="U7983" s="8" t="n"/>
      <c r="V7983" s="8" t="n"/>
      <c r="W7983" s="8" t="n"/>
      <c r="X7983" s="8" t="n"/>
      <c r="Y7983" s="8" t="n"/>
    </row>
    <row r="7984">
      <c r="A7984" s="8" t="n"/>
      <c r="B7984" s="8" t="n"/>
      <c r="C7984" s="8" t="n"/>
      <c r="D7984" s="8" t="n"/>
      <c r="E7984" s="8" t="n"/>
      <c r="F7984" s="8" t="n"/>
      <c r="G7984" s="8" t="n"/>
      <c r="H7984" s="8" t="n"/>
      <c r="I7984" s="8" t="n"/>
      <c r="J7984" s="8" t="n"/>
      <c r="K7984" s="8" t="n"/>
      <c r="L7984" s="8" t="n"/>
      <c r="M7984" s="9">
        <f>B7984+30</f>
        <v/>
      </c>
      <c r="N7984">
        <f>IF(L7984="", "", L7984-B7984)</f>
        <v/>
      </c>
      <c r="O7984">
        <f>IF(L7984="", "Pending", IF(N7984&lt;=30, "Met", "Breached"))</f>
        <v/>
      </c>
      <c r="P7984" s="8" t="n"/>
      <c r="Q7984" s="8" t="n"/>
      <c r="R7984" s="8" t="n"/>
      <c r="S7984" s="8" t="n"/>
      <c r="T7984" s="8" t="n"/>
      <c r="U7984" s="8" t="n"/>
      <c r="V7984" s="8" t="n"/>
      <c r="W7984" s="8" t="n"/>
      <c r="X7984" s="8" t="n"/>
      <c r="Y7984" s="8" t="n"/>
    </row>
    <row r="7985">
      <c r="A7985" s="8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8" t="n"/>
      <c r="K7985" s="8" t="n"/>
      <c r="L7985" s="8" t="n"/>
      <c r="M7985" s="9">
        <f>B7985+30</f>
        <v/>
      </c>
      <c r="N7985">
        <f>IF(L7985="", "", L7985-B7985)</f>
        <v/>
      </c>
      <c r="O7985">
        <f>IF(L7985="", "Pending", IF(N7985&lt;=30, "Met", "Breached"))</f>
        <v/>
      </c>
      <c r="P7985" s="8" t="n"/>
      <c r="Q7985" s="8" t="n"/>
      <c r="R7985" s="8" t="n"/>
      <c r="S7985" s="8" t="n"/>
      <c r="T7985" s="8" t="n"/>
      <c r="U7985" s="8" t="n"/>
      <c r="V7985" s="8" t="n"/>
      <c r="W7985" s="8" t="n"/>
      <c r="X7985" s="8" t="n"/>
      <c r="Y7985" s="8" t="n"/>
    </row>
    <row r="7986">
      <c r="A7986" s="8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8" t="n"/>
      <c r="K7986" s="8" t="n"/>
      <c r="L7986" s="8" t="n"/>
      <c r="M7986" s="9">
        <f>B7986+30</f>
        <v/>
      </c>
      <c r="N7986">
        <f>IF(L7986="", "", L7986-B7986)</f>
        <v/>
      </c>
      <c r="O7986">
        <f>IF(L7986="", "Pending", IF(N7986&lt;=30, "Met", "Breached"))</f>
        <v/>
      </c>
      <c r="P7986" s="8" t="n"/>
      <c r="Q7986" s="8" t="n"/>
      <c r="R7986" s="8" t="n"/>
      <c r="S7986" s="8" t="n"/>
      <c r="T7986" s="8" t="n"/>
      <c r="U7986" s="8" t="n"/>
      <c r="V7986" s="8" t="n"/>
      <c r="W7986" s="8" t="n"/>
      <c r="X7986" s="8" t="n"/>
      <c r="Y7986" s="8" t="n"/>
    </row>
    <row r="7987">
      <c r="A7987" s="8" t="n"/>
      <c r="B7987" s="8" t="n"/>
      <c r="C7987" s="8" t="n"/>
      <c r="D7987" s="8" t="n"/>
      <c r="E7987" s="8" t="n"/>
      <c r="F7987" s="8" t="n"/>
      <c r="G7987" s="8" t="n"/>
      <c r="H7987" s="8" t="n"/>
      <c r="I7987" s="8" t="n"/>
      <c r="J7987" s="8" t="n"/>
      <c r="K7987" s="8" t="n"/>
      <c r="L7987" s="8" t="n"/>
      <c r="M7987" s="9">
        <f>B7987+30</f>
        <v/>
      </c>
      <c r="N7987">
        <f>IF(L7987="", "", L7987-B7987)</f>
        <v/>
      </c>
      <c r="O7987">
        <f>IF(L7987="", "Pending", IF(N7987&lt;=30, "Met", "Breached"))</f>
        <v/>
      </c>
      <c r="P7987" s="8" t="n"/>
      <c r="Q7987" s="8" t="n"/>
      <c r="R7987" s="8" t="n"/>
      <c r="S7987" s="8" t="n"/>
      <c r="T7987" s="8" t="n"/>
      <c r="U7987" s="8" t="n"/>
      <c r="V7987" s="8" t="n"/>
      <c r="W7987" s="8" t="n"/>
      <c r="X7987" s="8" t="n"/>
      <c r="Y7987" s="8" t="n"/>
    </row>
    <row r="7988">
      <c r="A7988" s="8" t="n"/>
      <c r="B7988" s="8" t="n"/>
      <c r="C7988" s="8" t="n"/>
      <c r="D7988" s="8" t="n"/>
      <c r="E7988" s="8" t="n"/>
      <c r="F7988" s="8" t="n"/>
      <c r="G7988" s="8" t="n"/>
      <c r="H7988" s="8" t="n"/>
      <c r="I7988" s="8" t="n"/>
      <c r="J7988" s="8" t="n"/>
      <c r="K7988" s="8" t="n"/>
      <c r="L7988" s="8" t="n"/>
      <c r="M7988" s="9">
        <f>B7988+30</f>
        <v/>
      </c>
      <c r="N7988">
        <f>IF(L7988="", "", L7988-B7988)</f>
        <v/>
      </c>
      <c r="O7988">
        <f>IF(L7988="", "Pending", IF(N7988&lt;=30, "Met", "Breached"))</f>
        <v/>
      </c>
      <c r="P7988" s="8" t="n"/>
      <c r="Q7988" s="8" t="n"/>
      <c r="R7988" s="8" t="n"/>
      <c r="S7988" s="8" t="n"/>
      <c r="T7988" s="8" t="n"/>
      <c r="U7988" s="8" t="n"/>
      <c r="V7988" s="8" t="n"/>
      <c r="W7988" s="8" t="n"/>
      <c r="X7988" s="8" t="n"/>
      <c r="Y7988" s="8" t="n"/>
    </row>
    <row r="7989">
      <c r="A7989" s="8" t="n"/>
      <c r="B7989" s="8" t="n"/>
      <c r="C7989" s="8" t="n"/>
      <c r="D7989" s="8" t="n"/>
      <c r="E7989" s="8" t="n"/>
      <c r="F7989" s="8" t="n"/>
      <c r="G7989" s="8" t="n"/>
      <c r="H7989" s="8" t="n"/>
      <c r="I7989" s="8" t="n"/>
      <c r="J7989" s="8" t="n"/>
      <c r="K7989" s="8" t="n"/>
      <c r="L7989" s="8" t="n"/>
      <c r="M7989" s="9">
        <f>B7989+30</f>
        <v/>
      </c>
      <c r="N7989">
        <f>IF(L7989="", "", L7989-B7989)</f>
        <v/>
      </c>
      <c r="O7989">
        <f>IF(L7989="", "Pending", IF(N7989&lt;=30, "Met", "Breached"))</f>
        <v/>
      </c>
      <c r="P7989" s="8" t="n"/>
      <c r="Q7989" s="8" t="n"/>
      <c r="R7989" s="8" t="n"/>
      <c r="S7989" s="8" t="n"/>
      <c r="T7989" s="8" t="n"/>
      <c r="U7989" s="8" t="n"/>
      <c r="V7989" s="8" t="n"/>
      <c r="W7989" s="8" t="n"/>
      <c r="X7989" s="8" t="n"/>
      <c r="Y7989" s="8" t="n"/>
    </row>
    <row r="7990">
      <c r="A7990" s="8" t="n"/>
      <c r="B7990" s="8" t="n"/>
      <c r="C7990" s="8" t="n"/>
      <c r="D7990" s="8" t="n"/>
      <c r="E7990" s="8" t="n"/>
      <c r="F7990" s="8" t="n"/>
      <c r="G7990" s="8" t="n"/>
      <c r="H7990" s="8" t="n"/>
      <c r="I7990" s="8" t="n"/>
      <c r="J7990" s="8" t="n"/>
      <c r="K7990" s="8" t="n"/>
      <c r="L7990" s="8" t="n"/>
      <c r="M7990" s="9">
        <f>B7990+30</f>
        <v/>
      </c>
      <c r="N7990">
        <f>IF(L7990="", "", L7990-B7990)</f>
        <v/>
      </c>
      <c r="O7990">
        <f>IF(L7990="", "Pending", IF(N7990&lt;=30, "Met", "Breached"))</f>
        <v/>
      </c>
      <c r="P7990" s="8" t="n"/>
      <c r="Q7990" s="8" t="n"/>
      <c r="R7990" s="8" t="n"/>
      <c r="S7990" s="8" t="n"/>
      <c r="T7990" s="8" t="n"/>
      <c r="U7990" s="8" t="n"/>
      <c r="V7990" s="8" t="n"/>
      <c r="W7990" s="8" t="n"/>
      <c r="X7990" s="8" t="n"/>
      <c r="Y7990" s="8" t="n"/>
    </row>
    <row r="7991">
      <c r="A7991" s="8" t="n"/>
      <c r="B7991" s="8" t="n"/>
      <c r="C7991" s="8" t="n"/>
      <c r="D7991" s="8" t="n"/>
      <c r="E7991" s="8" t="n"/>
      <c r="F7991" s="8" t="n"/>
      <c r="G7991" s="8" t="n"/>
      <c r="H7991" s="8" t="n"/>
      <c r="I7991" s="8" t="n"/>
      <c r="J7991" s="8" t="n"/>
      <c r="K7991" s="8" t="n"/>
      <c r="L7991" s="8" t="n"/>
      <c r="M7991" s="9">
        <f>B7991+30</f>
        <v/>
      </c>
      <c r="N7991">
        <f>IF(L7991="", "", L7991-B7991)</f>
        <v/>
      </c>
      <c r="O7991">
        <f>IF(L7991="", "Pending", IF(N7991&lt;=30, "Met", "Breached"))</f>
        <v/>
      </c>
      <c r="P7991" s="8" t="n"/>
      <c r="Q7991" s="8" t="n"/>
      <c r="R7991" s="8" t="n"/>
      <c r="S7991" s="8" t="n"/>
      <c r="T7991" s="8" t="n"/>
      <c r="U7991" s="8" t="n"/>
      <c r="V7991" s="8" t="n"/>
      <c r="W7991" s="8" t="n"/>
      <c r="X7991" s="8" t="n"/>
      <c r="Y7991" s="8" t="n"/>
    </row>
    <row r="7992">
      <c r="A7992" s="8" t="n"/>
      <c r="B7992" s="8" t="n"/>
      <c r="C7992" s="8" t="n"/>
      <c r="D7992" s="8" t="n"/>
      <c r="E7992" s="8" t="n"/>
      <c r="F7992" s="8" t="n"/>
      <c r="G7992" s="8" t="n"/>
      <c r="H7992" s="8" t="n"/>
      <c r="I7992" s="8" t="n"/>
      <c r="J7992" s="8" t="n"/>
      <c r="K7992" s="8" t="n"/>
      <c r="L7992" s="8" t="n"/>
      <c r="M7992" s="9">
        <f>B7992+30</f>
        <v/>
      </c>
      <c r="N7992">
        <f>IF(L7992="", "", L7992-B7992)</f>
        <v/>
      </c>
      <c r="O7992">
        <f>IF(L7992="", "Pending", IF(N7992&lt;=30, "Met", "Breached"))</f>
        <v/>
      </c>
      <c r="P7992" s="8" t="n"/>
      <c r="Q7992" s="8" t="n"/>
      <c r="R7992" s="8" t="n"/>
      <c r="S7992" s="8" t="n"/>
      <c r="T7992" s="8" t="n"/>
      <c r="U7992" s="8" t="n"/>
      <c r="V7992" s="8" t="n"/>
      <c r="W7992" s="8" t="n"/>
      <c r="X7992" s="8" t="n"/>
      <c r="Y7992" s="8" t="n"/>
    </row>
    <row r="7993">
      <c r="A7993" s="8" t="n"/>
      <c r="B7993" s="8" t="n"/>
      <c r="C7993" s="8" t="n"/>
      <c r="D7993" s="8" t="n"/>
      <c r="E7993" s="8" t="n"/>
      <c r="F7993" s="8" t="n"/>
      <c r="G7993" s="8" t="n"/>
      <c r="H7993" s="8" t="n"/>
      <c r="I7993" s="8" t="n"/>
      <c r="J7993" s="8" t="n"/>
      <c r="K7993" s="8" t="n"/>
      <c r="L7993" s="8" t="n"/>
      <c r="M7993" s="9">
        <f>B7993+30</f>
        <v/>
      </c>
      <c r="N7993">
        <f>IF(L7993="", "", L7993-B7993)</f>
        <v/>
      </c>
      <c r="O7993">
        <f>IF(L7993="", "Pending", IF(N7993&lt;=30, "Met", "Breached"))</f>
        <v/>
      </c>
      <c r="P7993" s="8" t="n"/>
      <c r="Q7993" s="8" t="n"/>
      <c r="R7993" s="8" t="n"/>
      <c r="S7993" s="8" t="n"/>
      <c r="T7993" s="8" t="n"/>
      <c r="U7993" s="8" t="n"/>
      <c r="V7993" s="8" t="n"/>
      <c r="W7993" s="8" t="n"/>
      <c r="X7993" s="8" t="n"/>
      <c r="Y7993" s="8" t="n"/>
    </row>
    <row r="7994">
      <c r="A7994" s="8" t="n"/>
      <c r="B7994" s="8" t="n"/>
      <c r="C7994" s="8" t="n"/>
      <c r="D7994" s="8" t="n"/>
      <c r="E7994" s="8" t="n"/>
      <c r="F7994" s="8" t="n"/>
      <c r="G7994" s="8" t="n"/>
      <c r="H7994" s="8" t="n"/>
      <c r="I7994" s="8" t="n"/>
      <c r="J7994" s="8" t="n"/>
      <c r="K7994" s="8" t="n"/>
      <c r="L7994" s="8" t="n"/>
      <c r="M7994" s="9">
        <f>B7994+30</f>
        <v/>
      </c>
      <c r="N7994">
        <f>IF(L7994="", "", L7994-B7994)</f>
        <v/>
      </c>
      <c r="O7994">
        <f>IF(L7994="", "Pending", IF(N7994&lt;=30, "Met", "Breached"))</f>
        <v/>
      </c>
      <c r="P7994" s="8" t="n"/>
      <c r="Q7994" s="8" t="n"/>
      <c r="R7994" s="8" t="n"/>
      <c r="S7994" s="8" t="n"/>
      <c r="T7994" s="8" t="n"/>
      <c r="U7994" s="8" t="n"/>
      <c r="V7994" s="8" t="n"/>
      <c r="W7994" s="8" t="n"/>
      <c r="X7994" s="8" t="n"/>
      <c r="Y7994" s="8" t="n"/>
    </row>
    <row r="7995">
      <c r="A7995" s="8" t="n"/>
      <c r="B7995" s="8" t="n"/>
      <c r="C7995" s="8" t="n"/>
      <c r="D7995" s="8" t="n"/>
      <c r="E7995" s="8" t="n"/>
      <c r="F7995" s="8" t="n"/>
      <c r="G7995" s="8" t="n"/>
      <c r="H7995" s="8" t="n"/>
      <c r="I7995" s="8" t="n"/>
      <c r="J7995" s="8" t="n"/>
      <c r="K7995" s="8" t="n"/>
      <c r="L7995" s="8" t="n"/>
      <c r="M7995" s="9">
        <f>B7995+30</f>
        <v/>
      </c>
      <c r="N7995">
        <f>IF(L7995="", "", L7995-B7995)</f>
        <v/>
      </c>
      <c r="O7995">
        <f>IF(L7995="", "Pending", IF(N7995&lt;=30, "Met", "Breached"))</f>
        <v/>
      </c>
      <c r="P7995" s="8" t="n"/>
      <c r="Q7995" s="8" t="n"/>
      <c r="R7995" s="8" t="n"/>
      <c r="S7995" s="8" t="n"/>
      <c r="T7995" s="8" t="n"/>
      <c r="U7995" s="8" t="n"/>
      <c r="V7995" s="8" t="n"/>
      <c r="W7995" s="8" t="n"/>
      <c r="X7995" s="8" t="n"/>
      <c r="Y7995" s="8" t="n"/>
    </row>
    <row r="7996">
      <c r="A7996" s="8" t="n"/>
      <c r="B7996" s="8" t="n"/>
      <c r="C7996" s="8" t="n"/>
      <c r="D7996" s="8" t="n"/>
      <c r="E7996" s="8" t="n"/>
      <c r="F7996" s="8" t="n"/>
      <c r="G7996" s="8" t="n"/>
      <c r="H7996" s="8" t="n"/>
      <c r="I7996" s="8" t="n"/>
      <c r="J7996" s="8" t="n"/>
      <c r="K7996" s="8" t="n"/>
      <c r="L7996" s="8" t="n"/>
      <c r="M7996" s="9">
        <f>B7996+30</f>
        <v/>
      </c>
      <c r="N7996">
        <f>IF(L7996="", "", L7996-B7996)</f>
        <v/>
      </c>
      <c r="O7996">
        <f>IF(L7996="", "Pending", IF(N7996&lt;=30, "Met", "Breached"))</f>
        <v/>
      </c>
      <c r="P7996" s="8" t="n"/>
      <c r="Q7996" s="8" t="n"/>
      <c r="R7996" s="8" t="n"/>
      <c r="S7996" s="8" t="n"/>
      <c r="T7996" s="8" t="n"/>
      <c r="U7996" s="8" t="n"/>
      <c r="V7996" s="8" t="n"/>
      <c r="W7996" s="8" t="n"/>
      <c r="X7996" s="8" t="n"/>
      <c r="Y7996" s="8" t="n"/>
    </row>
    <row r="7997">
      <c r="A7997" s="8" t="n"/>
      <c r="B7997" s="8" t="n"/>
      <c r="C7997" s="8" t="n"/>
      <c r="D7997" s="8" t="n"/>
      <c r="E7997" s="8" t="n"/>
      <c r="F7997" s="8" t="n"/>
      <c r="G7997" s="8" t="n"/>
      <c r="H7997" s="8" t="n"/>
      <c r="I7997" s="8" t="n"/>
      <c r="J7997" s="8" t="n"/>
      <c r="K7997" s="8" t="n"/>
      <c r="L7997" s="8" t="n"/>
      <c r="M7997" s="9">
        <f>B7997+30</f>
        <v/>
      </c>
      <c r="N7997">
        <f>IF(L7997="", "", L7997-B7997)</f>
        <v/>
      </c>
      <c r="O7997">
        <f>IF(L7997="", "Pending", IF(N7997&lt;=30, "Met", "Breached"))</f>
        <v/>
      </c>
      <c r="P7997" s="8" t="n"/>
      <c r="Q7997" s="8" t="n"/>
      <c r="R7997" s="8" t="n"/>
      <c r="S7997" s="8" t="n"/>
      <c r="T7997" s="8" t="n"/>
      <c r="U7997" s="8" t="n"/>
      <c r="V7997" s="8" t="n"/>
      <c r="W7997" s="8" t="n"/>
      <c r="X7997" s="8" t="n"/>
      <c r="Y7997" s="8" t="n"/>
    </row>
    <row r="7998">
      <c r="A7998" s="8" t="n"/>
      <c r="B7998" s="8" t="n"/>
      <c r="C7998" s="8" t="n"/>
      <c r="D7998" s="8" t="n"/>
      <c r="E7998" s="8" t="n"/>
      <c r="F7998" s="8" t="n"/>
      <c r="G7998" s="8" t="n"/>
      <c r="H7998" s="8" t="n"/>
      <c r="I7998" s="8" t="n"/>
      <c r="J7998" s="8" t="n"/>
      <c r="K7998" s="8" t="n"/>
      <c r="L7998" s="8" t="n"/>
      <c r="M7998" s="9">
        <f>B7998+30</f>
        <v/>
      </c>
      <c r="N7998">
        <f>IF(L7998="", "", L7998-B7998)</f>
        <v/>
      </c>
      <c r="O7998">
        <f>IF(L7998="", "Pending", IF(N7998&lt;=30, "Met", "Breached"))</f>
        <v/>
      </c>
      <c r="P7998" s="8" t="n"/>
      <c r="Q7998" s="8" t="n"/>
      <c r="R7998" s="8" t="n"/>
      <c r="S7998" s="8" t="n"/>
      <c r="T7998" s="8" t="n"/>
      <c r="U7998" s="8" t="n"/>
      <c r="V7998" s="8" t="n"/>
      <c r="W7998" s="8" t="n"/>
      <c r="X7998" s="8" t="n"/>
      <c r="Y7998" s="8" t="n"/>
    </row>
    <row r="7999">
      <c r="A7999" s="8" t="n"/>
      <c r="B7999" s="8" t="n"/>
      <c r="C7999" s="8" t="n"/>
      <c r="D7999" s="8" t="n"/>
      <c r="E7999" s="8" t="n"/>
      <c r="F7999" s="8" t="n"/>
      <c r="G7999" s="8" t="n"/>
      <c r="H7999" s="8" t="n"/>
      <c r="I7999" s="8" t="n"/>
      <c r="J7999" s="8" t="n"/>
      <c r="K7999" s="8" t="n"/>
      <c r="L7999" s="8" t="n"/>
      <c r="M7999" s="9">
        <f>B7999+30</f>
        <v/>
      </c>
      <c r="N7999">
        <f>IF(L7999="", "", L7999-B7999)</f>
        <v/>
      </c>
      <c r="O7999">
        <f>IF(L7999="", "Pending", IF(N7999&lt;=30, "Met", "Breached"))</f>
        <v/>
      </c>
      <c r="P7999" s="8" t="n"/>
      <c r="Q7999" s="8" t="n"/>
      <c r="R7999" s="8" t="n"/>
      <c r="S7999" s="8" t="n"/>
      <c r="T7999" s="8" t="n"/>
      <c r="U7999" s="8" t="n"/>
      <c r="V7999" s="8" t="n"/>
      <c r="W7999" s="8" t="n"/>
      <c r="X7999" s="8" t="n"/>
      <c r="Y7999" s="8" t="n"/>
    </row>
    <row r="8000">
      <c r="A8000" s="8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8" t="n"/>
      <c r="K8000" s="8" t="n"/>
      <c r="L8000" s="8" t="n"/>
      <c r="M8000" s="9">
        <f>B8000+30</f>
        <v/>
      </c>
      <c r="N8000">
        <f>IF(L8000="", "", L8000-B8000)</f>
        <v/>
      </c>
      <c r="O8000">
        <f>IF(L8000="", "Pending", IF(N8000&lt;=30, "Met", "Breached"))</f>
        <v/>
      </c>
      <c r="P8000" s="8" t="n"/>
      <c r="Q8000" s="8" t="n"/>
      <c r="R8000" s="8" t="n"/>
      <c r="S8000" s="8" t="n"/>
      <c r="T8000" s="8" t="n"/>
      <c r="U8000" s="8" t="n"/>
      <c r="V8000" s="8" t="n"/>
      <c r="W8000" s="8" t="n"/>
      <c r="X8000" s="8" t="n"/>
      <c r="Y8000" s="8" t="n"/>
    </row>
    <row r="8001">
      <c r="A8001" s="8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8" t="n"/>
      <c r="K8001" s="8" t="n"/>
      <c r="L8001" s="8" t="n"/>
      <c r="M8001" s="9">
        <f>B8001+30</f>
        <v/>
      </c>
      <c r="N8001">
        <f>IF(L8001="", "", L8001-B8001)</f>
        <v/>
      </c>
      <c r="O8001">
        <f>IF(L8001="", "Pending", IF(N8001&lt;=30, "Met", "Breached"))</f>
        <v/>
      </c>
      <c r="P8001" s="8" t="n"/>
      <c r="Q8001" s="8" t="n"/>
      <c r="R8001" s="8" t="n"/>
      <c r="S8001" s="8" t="n"/>
      <c r="T8001" s="8" t="n"/>
      <c r="U8001" s="8" t="n"/>
      <c r="V8001" s="8" t="n"/>
      <c r="W8001" s="8" t="n"/>
      <c r="X8001" s="8" t="n"/>
      <c r="Y8001" s="8" t="n"/>
    </row>
    <row r="8002">
      <c r="A8002" s="8" t="n"/>
      <c r="B8002" s="8" t="n"/>
      <c r="C8002" s="8" t="n"/>
      <c r="D8002" s="8" t="n"/>
      <c r="E8002" s="8" t="n"/>
      <c r="F8002" s="8" t="n"/>
      <c r="G8002" s="8" t="n"/>
      <c r="H8002" s="8" t="n"/>
      <c r="I8002" s="8" t="n"/>
      <c r="J8002" s="8" t="n"/>
      <c r="K8002" s="8" t="n"/>
      <c r="L8002" s="8" t="n"/>
      <c r="M8002" s="9">
        <f>B8002+30</f>
        <v/>
      </c>
      <c r="N8002">
        <f>IF(L8002="", "", L8002-B8002)</f>
        <v/>
      </c>
      <c r="O8002">
        <f>IF(L8002="", "Pending", IF(N8002&lt;=30, "Met", "Breached"))</f>
        <v/>
      </c>
      <c r="P8002" s="8" t="n"/>
      <c r="Q8002" s="8" t="n"/>
      <c r="R8002" s="8" t="n"/>
      <c r="S8002" s="8" t="n"/>
      <c r="T8002" s="8" t="n"/>
      <c r="U8002" s="8" t="n"/>
      <c r="V8002" s="8" t="n"/>
      <c r="W8002" s="8" t="n"/>
      <c r="X8002" s="8" t="n"/>
      <c r="Y8002" s="8" t="n"/>
    </row>
    <row r="8003">
      <c r="A8003" s="8" t="n"/>
      <c r="B8003" s="8" t="n"/>
      <c r="C8003" s="8" t="n"/>
      <c r="D8003" s="8" t="n"/>
      <c r="E8003" s="8" t="n"/>
      <c r="F8003" s="8" t="n"/>
      <c r="G8003" s="8" t="n"/>
      <c r="H8003" s="8" t="n"/>
      <c r="I8003" s="8" t="n"/>
      <c r="J8003" s="8" t="n"/>
      <c r="K8003" s="8" t="n"/>
      <c r="L8003" s="8" t="n"/>
      <c r="M8003" s="9">
        <f>B8003+30</f>
        <v/>
      </c>
      <c r="N8003">
        <f>IF(L8003="", "", L8003-B8003)</f>
        <v/>
      </c>
      <c r="O8003">
        <f>IF(L8003="", "Pending", IF(N8003&lt;=30, "Met", "Breached"))</f>
        <v/>
      </c>
      <c r="P8003" s="8" t="n"/>
      <c r="Q8003" s="8" t="n"/>
      <c r="R8003" s="8" t="n"/>
      <c r="S8003" s="8" t="n"/>
      <c r="T8003" s="8" t="n"/>
      <c r="U8003" s="8" t="n"/>
      <c r="V8003" s="8" t="n"/>
      <c r="W8003" s="8" t="n"/>
      <c r="X8003" s="8" t="n"/>
      <c r="Y8003" s="8" t="n"/>
    </row>
    <row r="8004">
      <c r="A8004" s="8" t="n"/>
      <c r="B8004" s="8" t="n"/>
      <c r="C8004" s="8" t="n"/>
      <c r="D8004" s="8" t="n"/>
      <c r="E8004" s="8" t="n"/>
      <c r="F8004" s="8" t="n"/>
      <c r="G8004" s="8" t="n"/>
      <c r="H8004" s="8" t="n"/>
      <c r="I8004" s="8" t="n"/>
      <c r="J8004" s="8" t="n"/>
      <c r="K8004" s="8" t="n"/>
      <c r="L8004" s="8" t="n"/>
      <c r="M8004" s="9">
        <f>B8004+30</f>
        <v/>
      </c>
      <c r="N8004">
        <f>IF(L8004="", "", L8004-B8004)</f>
        <v/>
      </c>
      <c r="O8004">
        <f>IF(L8004="", "Pending", IF(N8004&lt;=30, "Met", "Breached"))</f>
        <v/>
      </c>
      <c r="P8004" s="8" t="n"/>
      <c r="Q8004" s="8" t="n"/>
      <c r="R8004" s="8" t="n"/>
      <c r="S8004" s="8" t="n"/>
      <c r="T8004" s="8" t="n"/>
      <c r="U8004" s="8" t="n"/>
      <c r="V8004" s="8" t="n"/>
      <c r="W8004" s="8" t="n"/>
      <c r="X8004" s="8" t="n"/>
      <c r="Y8004" s="8" t="n"/>
    </row>
    <row r="8005">
      <c r="A8005" s="8" t="n"/>
      <c r="B8005" s="8" t="n"/>
      <c r="C8005" s="8" t="n"/>
      <c r="D8005" s="8" t="n"/>
      <c r="E8005" s="8" t="n"/>
      <c r="F8005" s="8" t="n"/>
      <c r="G8005" s="8" t="n"/>
      <c r="H8005" s="8" t="n"/>
      <c r="I8005" s="8" t="n"/>
      <c r="J8005" s="8" t="n"/>
      <c r="K8005" s="8" t="n"/>
      <c r="L8005" s="8" t="n"/>
      <c r="M8005" s="9">
        <f>B8005+30</f>
        <v/>
      </c>
      <c r="N8005">
        <f>IF(L8005="", "", L8005-B8005)</f>
        <v/>
      </c>
      <c r="O8005">
        <f>IF(L8005="", "Pending", IF(N8005&lt;=30, "Met", "Breached"))</f>
        <v/>
      </c>
      <c r="P8005" s="8" t="n"/>
      <c r="Q8005" s="8" t="n"/>
      <c r="R8005" s="8" t="n"/>
      <c r="S8005" s="8" t="n"/>
      <c r="T8005" s="8" t="n"/>
      <c r="U8005" s="8" t="n"/>
      <c r="V8005" s="8" t="n"/>
      <c r="W8005" s="8" t="n"/>
      <c r="X8005" s="8" t="n"/>
      <c r="Y8005" s="8" t="n"/>
    </row>
    <row r="8006">
      <c r="A8006" s="8" t="n"/>
      <c r="B8006" s="8" t="n"/>
      <c r="C8006" s="8" t="n"/>
      <c r="D8006" s="8" t="n"/>
      <c r="E8006" s="8" t="n"/>
      <c r="F8006" s="8" t="n"/>
      <c r="G8006" s="8" t="n"/>
      <c r="H8006" s="8" t="n"/>
      <c r="I8006" s="8" t="n"/>
      <c r="J8006" s="8" t="n"/>
      <c r="K8006" s="8" t="n"/>
      <c r="L8006" s="8" t="n"/>
      <c r="M8006" s="9">
        <f>B8006+30</f>
        <v/>
      </c>
      <c r="N8006">
        <f>IF(L8006="", "", L8006-B8006)</f>
        <v/>
      </c>
      <c r="O8006">
        <f>IF(L8006="", "Pending", IF(N8006&lt;=30, "Met", "Breached"))</f>
        <v/>
      </c>
      <c r="P8006" s="8" t="n"/>
      <c r="Q8006" s="8" t="n"/>
      <c r="R8006" s="8" t="n"/>
      <c r="S8006" s="8" t="n"/>
      <c r="T8006" s="8" t="n"/>
      <c r="U8006" s="8" t="n"/>
      <c r="V8006" s="8" t="n"/>
      <c r="W8006" s="8" t="n"/>
      <c r="X8006" s="8" t="n"/>
      <c r="Y8006" s="8" t="n"/>
    </row>
    <row r="8007">
      <c r="A8007" s="8" t="n"/>
      <c r="B8007" s="8" t="n"/>
      <c r="C8007" s="8" t="n"/>
      <c r="D8007" s="8" t="n"/>
      <c r="E8007" s="8" t="n"/>
      <c r="F8007" s="8" t="n"/>
      <c r="G8007" s="8" t="n"/>
      <c r="H8007" s="8" t="n"/>
      <c r="I8007" s="8" t="n"/>
      <c r="J8007" s="8" t="n"/>
      <c r="K8007" s="8" t="n"/>
      <c r="L8007" s="8" t="n"/>
      <c r="M8007" s="9">
        <f>B8007+30</f>
        <v/>
      </c>
      <c r="N8007">
        <f>IF(L8007="", "", L8007-B8007)</f>
        <v/>
      </c>
      <c r="O8007">
        <f>IF(L8007="", "Pending", IF(N8007&lt;=30, "Met", "Breached"))</f>
        <v/>
      </c>
      <c r="P8007" s="8" t="n"/>
      <c r="Q8007" s="8" t="n"/>
      <c r="R8007" s="8" t="n"/>
      <c r="S8007" s="8" t="n"/>
      <c r="T8007" s="8" t="n"/>
      <c r="U8007" s="8" t="n"/>
      <c r="V8007" s="8" t="n"/>
      <c r="W8007" s="8" t="n"/>
      <c r="X8007" s="8" t="n"/>
      <c r="Y8007" s="8" t="n"/>
    </row>
    <row r="8008">
      <c r="A8008" s="8" t="n"/>
      <c r="B8008" s="8" t="n"/>
      <c r="C8008" s="8" t="n"/>
      <c r="D8008" s="8" t="n"/>
      <c r="E8008" s="8" t="n"/>
      <c r="F8008" s="8" t="n"/>
      <c r="G8008" s="8" t="n"/>
      <c r="H8008" s="8" t="n"/>
      <c r="I8008" s="8" t="n"/>
      <c r="J8008" s="8" t="n"/>
      <c r="K8008" s="8" t="n"/>
      <c r="L8008" s="8" t="n"/>
      <c r="M8008" s="9">
        <f>B8008+30</f>
        <v/>
      </c>
      <c r="N8008">
        <f>IF(L8008="", "", L8008-B8008)</f>
        <v/>
      </c>
      <c r="O8008">
        <f>IF(L8008="", "Pending", IF(N8008&lt;=30, "Met", "Breached"))</f>
        <v/>
      </c>
      <c r="P8008" s="8" t="n"/>
      <c r="Q8008" s="8" t="n"/>
      <c r="R8008" s="8" t="n"/>
      <c r="S8008" s="8" t="n"/>
      <c r="T8008" s="8" t="n"/>
      <c r="U8008" s="8" t="n"/>
      <c r="V8008" s="8" t="n"/>
      <c r="W8008" s="8" t="n"/>
      <c r="X8008" s="8" t="n"/>
      <c r="Y8008" s="8" t="n"/>
    </row>
    <row r="8009">
      <c r="A8009" s="8" t="n"/>
      <c r="B8009" s="8" t="n"/>
      <c r="C8009" s="8" t="n"/>
      <c r="D8009" s="8" t="n"/>
      <c r="E8009" s="8" t="n"/>
      <c r="F8009" s="8" t="n"/>
      <c r="G8009" s="8" t="n"/>
      <c r="H8009" s="8" t="n"/>
      <c r="I8009" s="8" t="n"/>
      <c r="J8009" s="8" t="n"/>
      <c r="K8009" s="8" t="n"/>
      <c r="L8009" s="8" t="n"/>
      <c r="M8009" s="9">
        <f>B8009+30</f>
        <v/>
      </c>
      <c r="N8009">
        <f>IF(L8009="", "", L8009-B8009)</f>
        <v/>
      </c>
      <c r="O8009">
        <f>IF(L8009="", "Pending", IF(N8009&lt;=30, "Met", "Breached"))</f>
        <v/>
      </c>
      <c r="P8009" s="8" t="n"/>
      <c r="Q8009" s="8" t="n"/>
      <c r="R8009" s="8" t="n"/>
      <c r="S8009" s="8" t="n"/>
      <c r="T8009" s="8" t="n"/>
      <c r="U8009" s="8" t="n"/>
      <c r="V8009" s="8" t="n"/>
      <c r="W8009" s="8" t="n"/>
      <c r="X8009" s="8" t="n"/>
      <c r="Y8009" s="8" t="n"/>
    </row>
    <row r="8010">
      <c r="A8010" s="8" t="n"/>
      <c r="B8010" s="8" t="n"/>
      <c r="C8010" s="8" t="n"/>
      <c r="D8010" s="8" t="n"/>
      <c r="E8010" s="8" t="n"/>
      <c r="F8010" s="8" t="n"/>
      <c r="G8010" s="8" t="n"/>
      <c r="H8010" s="8" t="n"/>
      <c r="I8010" s="8" t="n"/>
      <c r="J8010" s="8" t="n"/>
      <c r="K8010" s="8" t="n"/>
      <c r="L8010" s="8" t="n"/>
      <c r="M8010" s="9">
        <f>B8010+30</f>
        <v/>
      </c>
      <c r="N8010">
        <f>IF(L8010="", "", L8010-B8010)</f>
        <v/>
      </c>
      <c r="O8010">
        <f>IF(L8010="", "Pending", IF(N8010&lt;=30, "Met", "Breached"))</f>
        <v/>
      </c>
      <c r="P8010" s="8" t="n"/>
      <c r="Q8010" s="8" t="n"/>
      <c r="R8010" s="8" t="n"/>
      <c r="S8010" s="8" t="n"/>
      <c r="T8010" s="8" t="n"/>
      <c r="U8010" s="8" t="n"/>
      <c r="V8010" s="8" t="n"/>
      <c r="W8010" s="8" t="n"/>
      <c r="X8010" s="8" t="n"/>
      <c r="Y8010" s="8" t="n"/>
    </row>
    <row r="8011">
      <c r="A8011" s="8" t="n"/>
      <c r="B8011" s="8" t="n"/>
      <c r="C8011" s="8" t="n"/>
      <c r="D8011" s="8" t="n"/>
      <c r="E8011" s="8" t="n"/>
      <c r="F8011" s="8" t="n"/>
      <c r="G8011" s="8" t="n"/>
      <c r="H8011" s="8" t="n"/>
      <c r="I8011" s="8" t="n"/>
      <c r="J8011" s="8" t="n"/>
      <c r="K8011" s="8" t="n"/>
      <c r="L8011" s="8" t="n"/>
      <c r="M8011" s="9">
        <f>B8011+30</f>
        <v/>
      </c>
      <c r="N8011">
        <f>IF(L8011="", "", L8011-B8011)</f>
        <v/>
      </c>
      <c r="O8011">
        <f>IF(L8011="", "Pending", IF(N8011&lt;=30, "Met", "Breached"))</f>
        <v/>
      </c>
      <c r="P8011" s="8" t="n"/>
      <c r="Q8011" s="8" t="n"/>
      <c r="R8011" s="8" t="n"/>
      <c r="S8011" s="8" t="n"/>
      <c r="T8011" s="8" t="n"/>
      <c r="U8011" s="8" t="n"/>
      <c r="V8011" s="8" t="n"/>
      <c r="W8011" s="8" t="n"/>
      <c r="X8011" s="8" t="n"/>
      <c r="Y8011" s="8" t="n"/>
    </row>
    <row r="8012">
      <c r="A8012" s="8" t="n"/>
      <c r="B8012" s="8" t="n"/>
      <c r="C8012" s="8" t="n"/>
      <c r="D8012" s="8" t="n"/>
      <c r="E8012" s="8" t="n"/>
      <c r="F8012" s="8" t="n"/>
      <c r="G8012" s="8" t="n"/>
      <c r="H8012" s="8" t="n"/>
      <c r="I8012" s="8" t="n"/>
      <c r="J8012" s="8" t="n"/>
      <c r="K8012" s="8" t="n"/>
      <c r="L8012" s="8" t="n"/>
      <c r="M8012" s="9">
        <f>B8012+30</f>
        <v/>
      </c>
      <c r="N8012">
        <f>IF(L8012="", "", L8012-B8012)</f>
        <v/>
      </c>
      <c r="O8012">
        <f>IF(L8012="", "Pending", IF(N8012&lt;=30, "Met", "Breached"))</f>
        <v/>
      </c>
      <c r="P8012" s="8" t="n"/>
      <c r="Q8012" s="8" t="n"/>
      <c r="R8012" s="8" t="n"/>
      <c r="S8012" s="8" t="n"/>
      <c r="T8012" s="8" t="n"/>
      <c r="U8012" s="8" t="n"/>
      <c r="V8012" s="8" t="n"/>
      <c r="W8012" s="8" t="n"/>
      <c r="X8012" s="8" t="n"/>
      <c r="Y8012" s="8" t="n"/>
    </row>
    <row r="8013">
      <c r="A8013" s="8" t="n"/>
      <c r="B8013" s="8" t="n"/>
      <c r="C8013" s="8" t="n"/>
      <c r="D8013" s="8" t="n"/>
      <c r="E8013" s="8" t="n"/>
      <c r="F8013" s="8" t="n"/>
      <c r="G8013" s="8" t="n"/>
      <c r="H8013" s="8" t="n"/>
      <c r="I8013" s="8" t="n"/>
      <c r="J8013" s="8" t="n"/>
      <c r="K8013" s="8" t="n"/>
      <c r="L8013" s="8" t="n"/>
      <c r="M8013" s="9">
        <f>B8013+30</f>
        <v/>
      </c>
      <c r="N8013">
        <f>IF(L8013="", "", L8013-B8013)</f>
        <v/>
      </c>
      <c r="O8013">
        <f>IF(L8013="", "Pending", IF(N8013&lt;=30, "Met", "Breached"))</f>
        <v/>
      </c>
      <c r="P8013" s="8" t="n"/>
      <c r="Q8013" s="8" t="n"/>
      <c r="R8013" s="8" t="n"/>
      <c r="S8013" s="8" t="n"/>
      <c r="T8013" s="8" t="n"/>
      <c r="U8013" s="8" t="n"/>
      <c r="V8013" s="8" t="n"/>
      <c r="W8013" s="8" t="n"/>
      <c r="X8013" s="8" t="n"/>
      <c r="Y8013" s="8" t="n"/>
    </row>
    <row r="8014">
      <c r="A8014" s="8" t="n"/>
      <c r="B8014" s="8" t="n"/>
      <c r="C8014" s="8" t="n"/>
      <c r="D8014" s="8" t="n"/>
      <c r="E8014" s="8" t="n"/>
      <c r="F8014" s="8" t="n"/>
      <c r="G8014" s="8" t="n"/>
      <c r="H8014" s="8" t="n"/>
      <c r="I8014" s="8" t="n"/>
      <c r="J8014" s="8" t="n"/>
      <c r="K8014" s="8" t="n"/>
      <c r="L8014" s="8" t="n"/>
      <c r="M8014" s="9">
        <f>B8014+30</f>
        <v/>
      </c>
      <c r="N8014">
        <f>IF(L8014="", "", L8014-B8014)</f>
        <v/>
      </c>
      <c r="O8014">
        <f>IF(L8014="", "Pending", IF(N8014&lt;=30, "Met", "Breached"))</f>
        <v/>
      </c>
      <c r="P8014" s="8" t="n"/>
      <c r="Q8014" s="8" t="n"/>
      <c r="R8014" s="8" t="n"/>
      <c r="S8014" s="8" t="n"/>
      <c r="T8014" s="8" t="n"/>
      <c r="U8014" s="8" t="n"/>
      <c r="V8014" s="8" t="n"/>
      <c r="W8014" s="8" t="n"/>
      <c r="X8014" s="8" t="n"/>
      <c r="Y8014" s="8" t="n"/>
    </row>
    <row r="8015">
      <c r="A8015" s="8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8" t="n"/>
      <c r="K8015" s="8" t="n"/>
      <c r="L8015" s="8" t="n"/>
      <c r="M8015" s="9">
        <f>B8015+30</f>
        <v/>
      </c>
      <c r="N8015">
        <f>IF(L8015="", "", L8015-B8015)</f>
        <v/>
      </c>
      <c r="O8015">
        <f>IF(L8015="", "Pending", IF(N8015&lt;=30, "Met", "Breached"))</f>
        <v/>
      </c>
      <c r="P8015" s="8" t="n"/>
      <c r="Q8015" s="8" t="n"/>
      <c r="R8015" s="8" t="n"/>
      <c r="S8015" s="8" t="n"/>
      <c r="T8015" s="8" t="n"/>
      <c r="U8015" s="8" t="n"/>
      <c r="V8015" s="8" t="n"/>
      <c r="W8015" s="8" t="n"/>
      <c r="X8015" s="8" t="n"/>
      <c r="Y8015" s="8" t="n"/>
    </row>
    <row r="8016">
      <c r="A8016" s="8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8" t="n"/>
      <c r="K8016" s="8" t="n"/>
      <c r="L8016" s="8" t="n"/>
      <c r="M8016" s="9">
        <f>B8016+30</f>
        <v/>
      </c>
      <c r="N8016">
        <f>IF(L8016="", "", L8016-B8016)</f>
        <v/>
      </c>
      <c r="O8016">
        <f>IF(L8016="", "Pending", IF(N8016&lt;=30, "Met", "Breached"))</f>
        <v/>
      </c>
      <c r="P8016" s="8" t="n"/>
      <c r="Q8016" s="8" t="n"/>
      <c r="R8016" s="8" t="n"/>
      <c r="S8016" s="8" t="n"/>
      <c r="T8016" s="8" t="n"/>
      <c r="U8016" s="8" t="n"/>
      <c r="V8016" s="8" t="n"/>
      <c r="W8016" s="8" t="n"/>
      <c r="X8016" s="8" t="n"/>
      <c r="Y8016" s="8" t="n"/>
    </row>
    <row r="8017">
      <c r="A8017" s="8" t="n"/>
      <c r="B8017" s="8" t="n"/>
      <c r="C8017" s="8" t="n"/>
      <c r="D8017" s="8" t="n"/>
      <c r="E8017" s="8" t="n"/>
      <c r="F8017" s="8" t="n"/>
      <c r="G8017" s="8" t="n"/>
      <c r="H8017" s="8" t="n"/>
      <c r="I8017" s="8" t="n"/>
      <c r="J8017" s="8" t="n"/>
      <c r="K8017" s="8" t="n"/>
      <c r="L8017" s="8" t="n"/>
      <c r="M8017" s="9">
        <f>B8017+30</f>
        <v/>
      </c>
      <c r="N8017">
        <f>IF(L8017="", "", L8017-B8017)</f>
        <v/>
      </c>
      <c r="O8017">
        <f>IF(L8017="", "Pending", IF(N8017&lt;=30, "Met", "Breached"))</f>
        <v/>
      </c>
      <c r="P8017" s="8" t="n"/>
      <c r="Q8017" s="8" t="n"/>
      <c r="R8017" s="8" t="n"/>
      <c r="S8017" s="8" t="n"/>
      <c r="T8017" s="8" t="n"/>
      <c r="U8017" s="8" t="n"/>
      <c r="V8017" s="8" t="n"/>
      <c r="W8017" s="8" t="n"/>
      <c r="X8017" s="8" t="n"/>
      <c r="Y8017" s="8" t="n"/>
    </row>
    <row r="8018">
      <c r="A8018" s="8" t="n"/>
      <c r="B8018" s="8" t="n"/>
      <c r="C8018" s="8" t="n"/>
      <c r="D8018" s="8" t="n"/>
      <c r="E8018" s="8" t="n"/>
      <c r="F8018" s="8" t="n"/>
      <c r="G8018" s="8" t="n"/>
      <c r="H8018" s="8" t="n"/>
      <c r="I8018" s="8" t="n"/>
      <c r="J8018" s="8" t="n"/>
      <c r="K8018" s="8" t="n"/>
      <c r="L8018" s="8" t="n"/>
      <c r="M8018" s="9">
        <f>B8018+30</f>
        <v/>
      </c>
      <c r="N8018">
        <f>IF(L8018="", "", L8018-B8018)</f>
        <v/>
      </c>
      <c r="O8018">
        <f>IF(L8018="", "Pending", IF(N8018&lt;=30, "Met", "Breached"))</f>
        <v/>
      </c>
      <c r="P8018" s="8" t="n"/>
      <c r="Q8018" s="8" t="n"/>
      <c r="R8018" s="8" t="n"/>
      <c r="S8018" s="8" t="n"/>
      <c r="T8018" s="8" t="n"/>
      <c r="U8018" s="8" t="n"/>
      <c r="V8018" s="8" t="n"/>
      <c r="W8018" s="8" t="n"/>
      <c r="X8018" s="8" t="n"/>
      <c r="Y8018" s="8" t="n"/>
    </row>
    <row r="8019">
      <c r="A8019" s="8" t="n"/>
      <c r="B8019" s="8" t="n"/>
      <c r="C8019" s="8" t="n"/>
      <c r="D8019" s="8" t="n"/>
      <c r="E8019" s="8" t="n"/>
      <c r="F8019" s="8" t="n"/>
      <c r="G8019" s="8" t="n"/>
      <c r="H8019" s="8" t="n"/>
      <c r="I8019" s="8" t="n"/>
      <c r="J8019" s="8" t="n"/>
      <c r="K8019" s="8" t="n"/>
      <c r="L8019" s="8" t="n"/>
      <c r="M8019" s="9">
        <f>B8019+30</f>
        <v/>
      </c>
      <c r="N8019">
        <f>IF(L8019="", "", L8019-B8019)</f>
        <v/>
      </c>
      <c r="O8019">
        <f>IF(L8019="", "Pending", IF(N8019&lt;=30, "Met", "Breached"))</f>
        <v/>
      </c>
      <c r="P8019" s="8" t="n"/>
      <c r="Q8019" s="8" t="n"/>
      <c r="R8019" s="8" t="n"/>
      <c r="S8019" s="8" t="n"/>
      <c r="T8019" s="8" t="n"/>
      <c r="U8019" s="8" t="n"/>
      <c r="V8019" s="8" t="n"/>
      <c r="W8019" s="8" t="n"/>
      <c r="X8019" s="8" t="n"/>
      <c r="Y8019" s="8" t="n"/>
    </row>
    <row r="8020">
      <c r="A8020" s="8" t="n"/>
      <c r="B8020" s="8" t="n"/>
      <c r="C8020" s="8" t="n"/>
      <c r="D8020" s="8" t="n"/>
      <c r="E8020" s="8" t="n"/>
      <c r="F8020" s="8" t="n"/>
      <c r="G8020" s="8" t="n"/>
      <c r="H8020" s="8" t="n"/>
      <c r="I8020" s="8" t="n"/>
      <c r="J8020" s="8" t="n"/>
      <c r="K8020" s="8" t="n"/>
      <c r="L8020" s="8" t="n"/>
      <c r="M8020" s="9">
        <f>B8020+30</f>
        <v/>
      </c>
      <c r="N8020">
        <f>IF(L8020="", "", L8020-B8020)</f>
        <v/>
      </c>
      <c r="O8020">
        <f>IF(L8020="", "Pending", IF(N8020&lt;=30, "Met", "Breached"))</f>
        <v/>
      </c>
      <c r="P8020" s="8" t="n"/>
      <c r="Q8020" s="8" t="n"/>
      <c r="R8020" s="8" t="n"/>
      <c r="S8020" s="8" t="n"/>
      <c r="T8020" s="8" t="n"/>
      <c r="U8020" s="8" t="n"/>
      <c r="V8020" s="8" t="n"/>
      <c r="W8020" s="8" t="n"/>
      <c r="X8020" s="8" t="n"/>
      <c r="Y8020" s="8" t="n"/>
    </row>
    <row r="8021">
      <c r="A8021" s="8" t="n"/>
      <c r="B8021" s="8" t="n"/>
      <c r="C8021" s="8" t="n"/>
      <c r="D8021" s="8" t="n"/>
      <c r="E8021" s="8" t="n"/>
      <c r="F8021" s="8" t="n"/>
      <c r="G8021" s="8" t="n"/>
      <c r="H8021" s="8" t="n"/>
      <c r="I8021" s="8" t="n"/>
      <c r="J8021" s="8" t="n"/>
      <c r="K8021" s="8" t="n"/>
      <c r="L8021" s="8" t="n"/>
      <c r="M8021" s="9">
        <f>B8021+30</f>
        <v/>
      </c>
      <c r="N8021">
        <f>IF(L8021="", "", L8021-B8021)</f>
        <v/>
      </c>
      <c r="O8021">
        <f>IF(L8021="", "Pending", IF(N8021&lt;=30, "Met", "Breached"))</f>
        <v/>
      </c>
      <c r="P8021" s="8" t="n"/>
      <c r="Q8021" s="8" t="n"/>
      <c r="R8021" s="8" t="n"/>
      <c r="S8021" s="8" t="n"/>
      <c r="T8021" s="8" t="n"/>
      <c r="U8021" s="8" t="n"/>
      <c r="V8021" s="8" t="n"/>
      <c r="W8021" s="8" t="n"/>
      <c r="X8021" s="8" t="n"/>
      <c r="Y8021" s="8" t="n"/>
    </row>
    <row r="8022">
      <c r="A8022" s="8" t="n"/>
      <c r="B8022" s="8" t="n"/>
      <c r="C8022" s="8" t="n"/>
      <c r="D8022" s="8" t="n"/>
      <c r="E8022" s="8" t="n"/>
      <c r="F8022" s="8" t="n"/>
      <c r="G8022" s="8" t="n"/>
      <c r="H8022" s="8" t="n"/>
      <c r="I8022" s="8" t="n"/>
      <c r="J8022" s="8" t="n"/>
      <c r="K8022" s="8" t="n"/>
      <c r="L8022" s="8" t="n"/>
      <c r="M8022" s="9">
        <f>B8022+30</f>
        <v/>
      </c>
      <c r="N8022">
        <f>IF(L8022="", "", L8022-B8022)</f>
        <v/>
      </c>
      <c r="O8022">
        <f>IF(L8022="", "Pending", IF(N8022&lt;=30, "Met", "Breached"))</f>
        <v/>
      </c>
      <c r="P8022" s="8" t="n"/>
      <c r="Q8022" s="8" t="n"/>
      <c r="R8022" s="8" t="n"/>
      <c r="S8022" s="8" t="n"/>
      <c r="T8022" s="8" t="n"/>
      <c r="U8022" s="8" t="n"/>
      <c r="V8022" s="8" t="n"/>
      <c r="W8022" s="8" t="n"/>
      <c r="X8022" s="8" t="n"/>
      <c r="Y8022" s="8" t="n"/>
    </row>
    <row r="8023">
      <c r="A8023" s="8" t="n"/>
      <c r="B8023" s="8" t="n"/>
      <c r="C8023" s="8" t="n"/>
      <c r="D8023" s="8" t="n"/>
      <c r="E8023" s="8" t="n"/>
      <c r="F8023" s="8" t="n"/>
      <c r="G8023" s="8" t="n"/>
      <c r="H8023" s="8" t="n"/>
      <c r="I8023" s="8" t="n"/>
      <c r="J8023" s="8" t="n"/>
      <c r="K8023" s="8" t="n"/>
      <c r="L8023" s="8" t="n"/>
      <c r="M8023" s="9">
        <f>B8023+30</f>
        <v/>
      </c>
      <c r="N8023">
        <f>IF(L8023="", "", L8023-B8023)</f>
        <v/>
      </c>
      <c r="O8023">
        <f>IF(L8023="", "Pending", IF(N8023&lt;=30, "Met", "Breached"))</f>
        <v/>
      </c>
      <c r="P8023" s="8" t="n"/>
      <c r="Q8023" s="8" t="n"/>
      <c r="R8023" s="8" t="n"/>
      <c r="S8023" s="8" t="n"/>
      <c r="T8023" s="8" t="n"/>
      <c r="U8023" s="8" t="n"/>
      <c r="V8023" s="8" t="n"/>
      <c r="W8023" s="8" t="n"/>
      <c r="X8023" s="8" t="n"/>
      <c r="Y8023" s="8" t="n"/>
    </row>
    <row r="8024">
      <c r="A8024" s="8" t="n"/>
      <c r="B8024" s="8" t="n"/>
      <c r="C8024" s="8" t="n"/>
      <c r="D8024" s="8" t="n"/>
      <c r="E8024" s="8" t="n"/>
      <c r="F8024" s="8" t="n"/>
      <c r="G8024" s="8" t="n"/>
      <c r="H8024" s="8" t="n"/>
      <c r="I8024" s="8" t="n"/>
      <c r="J8024" s="8" t="n"/>
      <c r="K8024" s="8" t="n"/>
      <c r="L8024" s="8" t="n"/>
      <c r="M8024" s="9">
        <f>B8024+30</f>
        <v/>
      </c>
      <c r="N8024">
        <f>IF(L8024="", "", L8024-B8024)</f>
        <v/>
      </c>
      <c r="O8024">
        <f>IF(L8024="", "Pending", IF(N8024&lt;=30, "Met", "Breached"))</f>
        <v/>
      </c>
      <c r="P8024" s="8" t="n"/>
      <c r="Q8024" s="8" t="n"/>
      <c r="R8024" s="8" t="n"/>
      <c r="S8024" s="8" t="n"/>
      <c r="T8024" s="8" t="n"/>
      <c r="U8024" s="8" t="n"/>
      <c r="V8024" s="8" t="n"/>
      <c r="W8024" s="8" t="n"/>
      <c r="X8024" s="8" t="n"/>
      <c r="Y8024" s="8" t="n"/>
    </row>
    <row r="8025">
      <c r="A8025" s="8" t="n"/>
      <c r="B8025" s="8" t="n"/>
      <c r="C8025" s="8" t="n"/>
      <c r="D8025" s="8" t="n"/>
      <c r="E8025" s="8" t="n"/>
      <c r="F8025" s="8" t="n"/>
      <c r="G8025" s="8" t="n"/>
      <c r="H8025" s="8" t="n"/>
      <c r="I8025" s="8" t="n"/>
      <c r="J8025" s="8" t="n"/>
      <c r="K8025" s="8" t="n"/>
      <c r="L8025" s="8" t="n"/>
      <c r="M8025" s="9">
        <f>B8025+30</f>
        <v/>
      </c>
      <c r="N8025">
        <f>IF(L8025="", "", L8025-B8025)</f>
        <v/>
      </c>
      <c r="O8025">
        <f>IF(L8025="", "Pending", IF(N8025&lt;=30, "Met", "Breached"))</f>
        <v/>
      </c>
      <c r="P8025" s="8" t="n"/>
      <c r="Q8025" s="8" t="n"/>
      <c r="R8025" s="8" t="n"/>
      <c r="S8025" s="8" t="n"/>
      <c r="T8025" s="8" t="n"/>
      <c r="U8025" s="8" t="n"/>
      <c r="V8025" s="8" t="n"/>
      <c r="W8025" s="8" t="n"/>
      <c r="X8025" s="8" t="n"/>
      <c r="Y8025" s="8" t="n"/>
    </row>
    <row r="8026">
      <c r="A8026" s="8" t="n"/>
      <c r="B8026" s="8" t="n"/>
      <c r="C8026" s="8" t="n"/>
      <c r="D8026" s="8" t="n"/>
      <c r="E8026" s="8" t="n"/>
      <c r="F8026" s="8" t="n"/>
      <c r="G8026" s="8" t="n"/>
      <c r="H8026" s="8" t="n"/>
      <c r="I8026" s="8" t="n"/>
      <c r="J8026" s="8" t="n"/>
      <c r="K8026" s="8" t="n"/>
      <c r="L8026" s="8" t="n"/>
      <c r="M8026" s="9">
        <f>B8026+30</f>
        <v/>
      </c>
      <c r="N8026">
        <f>IF(L8026="", "", L8026-B8026)</f>
        <v/>
      </c>
      <c r="O8026">
        <f>IF(L8026="", "Pending", IF(N8026&lt;=30, "Met", "Breached"))</f>
        <v/>
      </c>
      <c r="P8026" s="8" t="n"/>
      <c r="Q8026" s="8" t="n"/>
      <c r="R8026" s="8" t="n"/>
      <c r="S8026" s="8" t="n"/>
      <c r="T8026" s="8" t="n"/>
      <c r="U8026" s="8" t="n"/>
      <c r="V8026" s="8" t="n"/>
      <c r="W8026" s="8" t="n"/>
      <c r="X8026" s="8" t="n"/>
      <c r="Y8026" s="8" t="n"/>
    </row>
    <row r="8027">
      <c r="A8027" s="8" t="n"/>
      <c r="B8027" s="8" t="n"/>
      <c r="C8027" s="8" t="n"/>
      <c r="D8027" s="8" t="n"/>
      <c r="E8027" s="8" t="n"/>
      <c r="F8027" s="8" t="n"/>
      <c r="G8027" s="8" t="n"/>
      <c r="H8027" s="8" t="n"/>
      <c r="I8027" s="8" t="n"/>
      <c r="J8027" s="8" t="n"/>
      <c r="K8027" s="8" t="n"/>
      <c r="L8027" s="8" t="n"/>
      <c r="M8027" s="9">
        <f>B8027+30</f>
        <v/>
      </c>
      <c r="N8027">
        <f>IF(L8027="", "", L8027-B8027)</f>
        <v/>
      </c>
      <c r="O8027">
        <f>IF(L8027="", "Pending", IF(N8027&lt;=30, "Met", "Breached"))</f>
        <v/>
      </c>
      <c r="P8027" s="8" t="n"/>
      <c r="Q8027" s="8" t="n"/>
      <c r="R8027" s="8" t="n"/>
      <c r="S8027" s="8" t="n"/>
      <c r="T8027" s="8" t="n"/>
      <c r="U8027" s="8" t="n"/>
      <c r="V8027" s="8" t="n"/>
      <c r="W8027" s="8" t="n"/>
      <c r="X8027" s="8" t="n"/>
      <c r="Y8027" s="8" t="n"/>
    </row>
    <row r="8028">
      <c r="A8028" s="8" t="n"/>
      <c r="B8028" s="8" t="n"/>
      <c r="C8028" s="8" t="n"/>
      <c r="D8028" s="8" t="n"/>
      <c r="E8028" s="8" t="n"/>
      <c r="F8028" s="8" t="n"/>
      <c r="G8028" s="8" t="n"/>
      <c r="H8028" s="8" t="n"/>
      <c r="I8028" s="8" t="n"/>
      <c r="J8028" s="8" t="n"/>
      <c r="K8028" s="8" t="n"/>
      <c r="L8028" s="8" t="n"/>
      <c r="M8028" s="9">
        <f>B8028+30</f>
        <v/>
      </c>
      <c r="N8028">
        <f>IF(L8028="", "", L8028-B8028)</f>
        <v/>
      </c>
      <c r="O8028">
        <f>IF(L8028="", "Pending", IF(N8028&lt;=30, "Met", "Breached"))</f>
        <v/>
      </c>
      <c r="P8028" s="8" t="n"/>
      <c r="Q8028" s="8" t="n"/>
      <c r="R8028" s="8" t="n"/>
      <c r="S8028" s="8" t="n"/>
      <c r="T8028" s="8" t="n"/>
      <c r="U8028" s="8" t="n"/>
      <c r="V8028" s="8" t="n"/>
      <c r="W8028" s="8" t="n"/>
      <c r="X8028" s="8" t="n"/>
      <c r="Y8028" s="8" t="n"/>
    </row>
    <row r="8029">
      <c r="A8029" s="8" t="n"/>
      <c r="B8029" s="8" t="n"/>
      <c r="C8029" s="8" t="n"/>
      <c r="D8029" s="8" t="n"/>
      <c r="E8029" s="8" t="n"/>
      <c r="F8029" s="8" t="n"/>
      <c r="G8029" s="8" t="n"/>
      <c r="H8029" s="8" t="n"/>
      <c r="I8029" s="8" t="n"/>
      <c r="J8029" s="8" t="n"/>
      <c r="K8029" s="8" t="n"/>
      <c r="L8029" s="8" t="n"/>
      <c r="M8029" s="9">
        <f>B8029+30</f>
        <v/>
      </c>
      <c r="N8029">
        <f>IF(L8029="", "", L8029-B8029)</f>
        <v/>
      </c>
      <c r="O8029">
        <f>IF(L8029="", "Pending", IF(N8029&lt;=30, "Met", "Breached"))</f>
        <v/>
      </c>
      <c r="P8029" s="8" t="n"/>
      <c r="Q8029" s="8" t="n"/>
      <c r="R8029" s="8" t="n"/>
      <c r="S8029" s="8" t="n"/>
      <c r="T8029" s="8" t="n"/>
      <c r="U8029" s="8" t="n"/>
      <c r="V8029" s="8" t="n"/>
      <c r="W8029" s="8" t="n"/>
      <c r="X8029" s="8" t="n"/>
      <c r="Y8029" s="8" t="n"/>
    </row>
    <row r="8030">
      <c r="A8030" s="8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8" t="n"/>
      <c r="K8030" s="8" t="n"/>
      <c r="L8030" s="8" t="n"/>
      <c r="M8030" s="9">
        <f>B8030+30</f>
        <v/>
      </c>
      <c r="N8030">
        <f>IF(L8030="", "", L8030-B8030)</f>
        <v/>
      </c>
      <c r="O8030">
        <f>IF(L8030="", "Pending", IF(N8030&lt;=30, "Met", "Breached"))</f>
        <v/>
      </c>
      <c r="P8030" s="8" t="n"/>
      <c r="Q8030" s="8" t="n"/>
      <c r="R8030" s="8" t="n"/>
      <c r="S8030" s="8" t="n"/>
      <c r="T8030" s="8" t="n"/>
      <c r="U8030" s="8" t="n"/>
      <c r="V8030" s="8" t="n"/>
      <c r="W8030" s="8" t="n"/>
      <c r="X8030" s="8" t="n"/>
      <c r="Y8030" s="8" t="n"/>
    </row>
    <row r="8031">
      <c r="A8031" s="8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8" t="n"/>
      <c r="K8031" s="8" t="n"/>
      <c r="L8031" s="8" t="n"/>
      <c r="M8031" s="9">
        <f>B8031+30</f>
        <v/>
      </c>
      <c r="N8031">
        <f>IF(L8031="", "", L8031-B8031)</f>
        <v/>
      </c>
      <c r="O8031">
        <f>IF(L8031="", "Pending", IF(N8031&lt;=30, "Met", "Breached"))</f>
        <v/>
      </c>
      <c r="P8031" s="8" t="n"/>
      <c r="Q8031" s="8" t="n"/>
      <c r="R8031" s="8" t="n"/>
      <c r="S8031" s="8" t="n"/>
      <c r="T8031" s="8" t="n"/>
      <c r="U8031" s="8" t="n"/>
      <c r="V8031" s="8" t="n"/>
      <c r="W8031" s="8" t="n"/>
      <c r="X8031" s="8" t="n"/>
      <c r="Y8031" s="8" t="n"/>
    </row>
    <row r="8032">
      <c r="A8032" s="8" t="n"/>
      <c r="B8032" s="8" t="n"/>
      <c r="C8032" s="8" t="n"/>
      <c r="D8032" s="8" t="n"/>
      <c r="E8032" s="8" t="n"/>
      <c r="F8032" s="8" t="n"/>
      <c r="G8032" s="8" t="n"/>
      <c r="H8032" s="8" t="n"/>
      <c r="I8032" s="8" t="n"/>
      <c r="J8032" s="8" t="n"/>
      <c r="K8032" s="8" t="n"/>
      <c r="L8032" s="8" t="n"/>
      <c r="M8032" s="9">
        <f>B8032+30</f>
        <v/>
      </c>
      <c r="N8032">
        <f>IF(L8032="", "", L8032-B8032)</f>
        <v/>
      </c>
      <c r="O8032">
        <f>IF(L8032="", "Pending", IF(N8032&lt;=30, "Met", "Breached"))</f>
        <v/>
      </c>
      <c r="P8032" s="8" t="n"/>
      <c r="Q8032" s="8" t="n"/>
      <c r="R8032" s="8" t="n"/>
      <c r="S8032" s="8" t="n"/>
      <c r="T8032" s="8" t="n"/>
      <c r="U8032" s="8" t="n"/>
      <c r="V8032" s="8" t="n"/>
      <c r="W8032" s="8" t="n"/>
      <c r="X8032" s="8" t="n"/>
      <c r="Y8032" s="8" t="n"/>
    </row>
    <row r="8033">
      <c r="A8033" s="8" t="n"/>
      <c r="B8033" s="8" t="n"/>
      <c r="C8033" s="8" t="n"/>
      <c r="D8033" s="8" t="n"/>
      <c r="E8033" s="8" t="n"/>
      <c r="F8033" s="8" t="n"/>
      <c r="G8033" s="8" t="n"/>
      <c r="H8033" s="8" t="n"/>
      <c r="I8033" s="8" t="n"/>
      <c r="J8033" s="8" t="n"/>
      <c r="K8033" s="8" t="n"/>
      <c r="L8033" s="8" t="n"/>
      <c r="M8033" s="9">
        <f>B8033+30</f>
        <v/>
      </c>
      <c r="N8033">
        <f>IF(L8033="", "", L8033-B8033)</f>
        <v/>
      </c>
      <c r="O8033">
        <f>IF(L8033="", "Pending", IF(N8033&lt;=30, "Met", "Breached"))</f>
        <v/>
      </c>
      <c r="P8033" s="8" t="n"/>
      <c r="Q8033" s="8" t="n"/>
      <c r="R8033" s="8" t="n"/>
      <c r="S8033" s="8" t="n"/>
      <c r="T8033" s="8" t="n"/>
      <c r="U8033" s="8" t="n"/>
      <c r="V8033" s="8" t="n"/>
      <c r="W8033" s="8" t="n"/>
      <c r="X8033" s="8" t="n"/>
      <c r="Y8033" s="8" t="n"/>
    </row>
    <row r="8034">
      <c r="A8034" s="8" t="n"/>
      <c r="B8034" s="8" t="n"/>
      <c r="C8034" s="8" t="n"/>
      <c r="D8034" s="8" t="n"/>
      <c r="E8034" s="8" t="n"/>
      <c r="F8034" s="8" t="n"/>
      <c r="G8034" s="8" t="n"/>
      <c r="H8034" s="8" t="n"/>
      <c r="I8034" s="8" t="n"/>
      <c r="J8034" s="8" t="n"/>
      <c r="K8034" s="8" t="n"/>
      <c r="L8034" s="8" t="n"/>
      <c r="M8034" s="9">
        <f>B8034+30</f>
        <v/>
      </c>
      <c r="N8034">
        <f>IF(L8034="", "", L8034-B8034)</f>
        <v/>
      </c>
      <c r="O8034">
        <f>IF(L8034="", "Pending", IF(N8034&lt;=30, "Met", "Breached"))</f>
        <v/>
      </c>
      <c r="P8034" s="8" t="n"/>
      <c r="Q8034" s="8" t="n"/>
      <c r="R8034" s="8" t="n"/>
      <c r="S8034" s="8" t="n"/>
      <c r="T8034" s="8" t="n"/>
      <c r="U8034" s="8" t="n"/>
      <c r="V8034" s="8" t="n"/>
      <c r="W8034" s="8" t="n"/>
      <c r="X8034" s="8" t="n"/>
      <c r="Y8034" s="8" t="n"/>
    </row>
    <row r="8035">
      <c r="A8035" s="8" t="n"/>
      <c r="B8035" s="8" t="n"/>
      <c r="C8035" s="8" t="n"/>
      <c r="D8035" s="8" t="n"/>
      <c r="E8035" s="8" t="n"/>
      <c r="F8035" s="8" t="n"/>
      <c r="G8035" s="8" t="n"/>
      <c r="H8035" s="8" t="n"/>
      <c r="I8035" s="8" t="n"/>
      <c r="J8035" s="8" t="n"/>
      <c r="K8035" s="8" t="n"/>
      <c r="L8035" s="8" t="n"/>
      <c r="M8035" s="9">
        <f>B8035+30</f>
        <v/>
      </c>
      <c r="N8035">
        <f>IF(L8035="", "", L8035-B8035)</f>
        <v/>
      </c>
      <c r="O8035">
        <f>IF(L8035="", "Pending", IF(N8035&lt;=30, "Met", "Breached"))</f>
        <v/>
      </c>
      <c r="P8035" s="8" t="n"/>
      <c r="Q8035" s="8" t="n"/>
      <c r="R8035" s="8" t="n"/>
      <c r="S8035" s="8" t="n"/>
      <c r="T8035" s="8" t="n"/>
      <c r="U8035" s="8" t="n"/>
      <c r="V8035" s="8" t="n"/>
      <c r="W8035" s="8" t="n"/>
      <c r="X8035" s="8" t="n"/>
      <c r="Y8035" s="8" t="n"/>
    </row>
    <row r="8036">
      <c r="A8036" s="8" t="n"/>
      <c r="B8036" s="8" t="n"/>
      <c r="C8036" s="8" t="n"/>
      <c r="D8036" s="8" t="n"/>
      <c r="E8036" s="8" t="n"/>
      <c r="F8036" s="8" t="n"/>
      <c r="G8036" s="8" t="n"/>
      <c r="H8036" s="8" t="n"/>
      <c r="I8036" s="8" t="n"/>
      <c r="J8036" s="8" t="n"/>
      <c r="K8036" s="8" t="n"/>
      <c r="L8036" s="8" t="n"/>
      <c r="M8036" s="9">
        <f>B8036+30</f>
        <v/>
      </c>
      <c r="N8036">
        <f>IF(L8036="", "", L8036-B8036)</f>
        <v/>
      </c>
      <c r="O8036">
        <f>IF(L8036="", "Pending", IF(N8036&lt;=30, "Met", "Breached"))</f>
        <v/>
      </c>
      <c r="P8036" s="8" t="n"/>
      <c r="Q8036" s="8" t="n"/>
      <c r="R8036" s="8" t="n"/>
      <c r="S8036" s="8" t="n"/>
      <c r="T8036" s="8" t="n"/>
      <c r="U8036" s="8" t="n"/>
      <c r="V8036" s="8" t="n"/>
      <c r="W8036" s="8" t="n"/>
      <c r="X8036" s="8" t="n"/>
      <c r="Y8036" s="8" t="n"/>
    </row>
    <row r="8037">
      <c r="A8037" s="8" t="n"/>
      <c r="B8037" s="8" t="n"/>
      <c r="C8037" s="8" t="n"/>
      <c r="D8037" s="8" t="n"/>
      <c r="E8037" s="8" t="n"/>
      <c r="F8037" s="8" t="n"/>
      <c r="G8037" s="8" t="n"/>
      <c r="H8037" s="8" t="n"/>
      <c r="I8037" s="8" t="n"/>
      <c r="J8037" s="8" t="n"/>
      <c r="K8037" s="8" t="n"/>
      <c r="L8037" s="8" t="n"/>
      <c r="M8037" s="9">
        <f>B8037+30</f>
        <v/>
      </c>
      <c r="N8037">
        <f>IF(L8037="", "", L8037-B8037)</f>
        <v/>
      </c>
      <c r="O8037">
        <f>IF(L8037="", "Pending", IF(N8037&lt;=30, "Met", "Breached"))</f>
        <v/>
      </c>
      <c r="P8037" s="8" t="n"/>
      <c r="Q8037" s="8" t="n"/>
      <c r="R8037" s="8" t="n"/>
      <c r="S8037" s="8" t="n"/>
      <c r="T8037" s="8" t="n"/>
      <c r="U8037" s="8" t="n"/>
      <c r="V8037" s="8" t="n"/>
      <c r="W8037" s="8" t="n"/>
      <c r="X8037" s="8" t="n"/>
      <c r="Y8037" s="8" t="n"/>
    </row>
    <row r="8038">
      <c r="A8038" s="8" t="n"/>
      <c r="B8038" s="8" t="n"/>
      <c r="C8038" s="8" t="n"/>
      <c r="D8038" s="8" t="n"/>
      <c r="E8038" s="8" t="n"/>
      <c r="F8038" s="8" t="n"/>
      <c r="G8038" s="8" t="n"/>
      <c r="H8038" s="8" t="n"/>
      <c r="I8038" s="8" t="n"/>
      <c r="J8038" s="8" t="n"/>
      <c r="K8038" s="8" t="n"/>
      <c r="L8038" s="8" t="n"/>
      <c r="M8038" s="9">
        <f>B8038+30</f>
        <v/>
      </c>
      <c r="N8038">
        <f>IF(L8038="", "", L8038-B8038)</f>
        <v/>
      </c>
      <c r="O8038">
        <f>IF(L8038="", "Pending", IF(N8038&lt;=30, "Met", "Breached"))</f>
        <v/>
      </c>
      <c r="P8038" s="8" t="n"/>
      <c r="Q8038" s="8" t="n"/>
      <c r="R8038" s="8" t="n"/>
      <c r="S8038" s="8" t="n"/>
      <c r="T8038" s="8" t="n"/>
      <c r="U8038" s="8" t="n"/>
      <c r="V8038" s="8" t="n"/>
      <c r="W8038" s="8" t="n"/>
      <c r="X8038" s="8" t="n"/>
      <c r="Y8038" s="8" t="n"/>
    </row>
    <row r="8039">
      <c r="A8039" s="8" t="n"/>
      <c r="B8039" s="8" t="n"/>
      <c r="C8039" s="8" t="n"/>
      <c r="D8039" s="8" t="n"/>
      <c r="E8039" s="8" t="n"/>
      <c r="F8039" s="8" t="n"/>
      <c r="G8039" s="8" t="n"/>
      <c r="H8039" s="8" t="n"/>
      <c r="I8039" s="8" t="n"/>
      <c r="J8039" s="8" t="n"/>
      <c r="K8039" s="8" t="n"/>
      <c r="L8039" s="8" t="n"/>
      <c r="M8039" s="9">
        <f>B8039+30</f>
        <v/>
      </c>
      <c r="N8039">
        <f>IF(L8039="", "", L8039-B8039)</f>
        <v/>
      </c>
      <c r="O8039">
        <f>IF(L8039="", "Pending", IF(N8039&lt;=30, "Met", "Breached"))</f>
        <v/>
      </c>
      <c r="P8039" s="8" t="n"/>
      <c r="Q8039" s="8" t="n"/>
      <c r="R8039" s="8" t="n"/>
      <c r="S8039" s="8" t="n"/>
      <c r="T8039" s="8" t="n"/>
      <c r="U8039" s="8" t="n"/>
      <c r="V8039" s="8" t="n"/>
      <c r="W8039" s="8" t="n"/>
      <c r="X8039" s="8" t="n"/>
      <c r="Y8039" s="8" t="n"/>
    </row>
    <row r="8040">
      <c r="A8040" s="8" t="n"/>
      <c r="B8040" s="8" t="n"/>
      <c r="C8040" s="8" t="n"/>
      <c r="D8040" s="8" t="n"/>
      <c r="E8040" s="8" t="n"/>
      <c r="F8040" s="8" t="n"/>
      <c r="G8040" s="8" t="n"/>
      <c r="H8040" s="8" t="n"/>
      <c r="I8040" s="8" t="n"/>
      <c r="J8040" s="8" t="n"/>
      <c r="K8040" s="8" t="n"/>
      <c r="L8040" s="8" t="n"/>
      <c r="M8040" s="9">
        <f>B8040+30</f>
        <v/>
      </c>
      <c r="N8040">
        <f>IF(L8040="", "", L8040-B8040)</f>
        <v/>
      </c>
      <c r="O8040">
        <f>IF(L8040="", "Pending", IF(N8040&lt;=30, "Met", "Breached"))</f>
        <v/>
      </c>
      <c r="P8040" s="8" t="n"/>
      <c r="Q8040" s="8" t="n"/>
      <c r="R8040" s="8" t="n"/>
      <c r="S8040" s="8" t="n"/>
      <c r="T8040" s="8" t="n"/>
      <c r="U8040" s="8" t="n"/>
      <c r="V8040" s="8" t="n"/>
      <c r="W8040" s="8" t="n"/>
      <c r="X8040" s="8" t="n"/>
      <c r="Y8040" s="8" t="n"/>
    </row>
    <row r="8041">
      <c r="A8041" s="8" t="n"/>
      <c r="B8041" s="8" t="n"/>
      <c r="C8041" s="8" t="n"/>
      <c r="D8041" s="8" t="n"/>
      <c r="E8041" s="8" t="n"/>
      <c r="F8041" s="8" t="n"/>
      <c r="G8041" s="8" t="n"/>
      <c r="H8041" s="8" t="n"/>
      <c r="I8041" s="8" t="n"/>
      <c r="J8041" s="8" t="n"/>
      <c r="K8041" s="8" t="n"/>
      <c r="L8041" s="8" t="n"/>
      <c r="M8041" s="9">
        <f>B8041+30</f>
        <v/>
      </c>
      <c r="N8041">
        <f>IF(L8041="", "", L8041-B8041)</f>
        <v/>
      </c>
      <c r="O8041">
        <f>IF(L8041="", "Pending", IF(N8041&lt;=30, "Met", "Breached"))</f>
        <v/>
      </c>
      <c r="P8041" s="8" t="n"/>
      <c r="Q8041" s="8" t="n"/>
      <c r="R8041" s="8" t="n"/>
      <c r="S8041" s="8" t="n"/>
      <c r="T8041" s="8" t="n"/>
      <c r="U8041" s="8" t="n"/>
      <c r="V8041" s="8" t="n"/>
      <c r="W8041" s="8" t="n"/>
      <c r="X8041" s="8" t="n"/>
      <c r="Y8041" s="8" t="n"/>
    </row>
    <row r="8042">
      <c r="A8042" s="8" t="n"/>
      <c r="B8042" s="8" t="n"/>
      <c r="C8042" s="8" t="n"/>
      <c r="D8042" s="8" t="n"/>
      <c r="E8042" s="8" t="n"/>
      <c r="F8042" s="8" t="n"/>
      <c r="G8042" s="8" t="n"/>
      <c r="H8042" s="8" t="n"/>
      <c r="I8042" s="8" t="n"/>
      <c r="J8042" s="8" t="n"/>
      <c r="K8042" s="8" t="n"/>
      <c r="L8042" s="8" t="n"/>
      <c r="M8042" s="9">
        <f>B8042+30</f>
        <v/>
      </c>
      <c r="N8042">
        <f>IF(L8042="", "", L8042-B8042)</f>
        <v/>
      </c>
      <c r="O8042">
        <f>IF(L8042="", "Pending", IF(N8042&lt;=30, "Met", "Breached"))</f>
        <v/>
      </c>
      <c r="P8042" s="8" t="n"/>
      <c r="Q8042" s="8" t="n"/>
      <c r="R8042" s="8" t="n"/>
      <c r="S8042" s="8" t="n"/>
      <c r="T8042" s="8" t="n"/>
      <c r="U8042" s="8" t="n"/>
      <c r="V8042" s="8" t="n"/>
      <c r="W8042" s="8" t="n"/>
      <c r="X8042" s="8" t="n"/>
      <c r="Y8042" s="8" t="n"/>
    </row>
    <row r="8043">
      <c r="A8043" s="8" t="n"/>
      <c r="B8043" s="8" t="n"/>
      <c r="C8043" s="8" t="n"/>
      <c r="D8043" s="8" t="n"/>
      <c r="E8043" s="8" t="n"/>
      <c r="F8043" s="8" t="n"/>
      <c r="G8043" s="8" t="n"/>
      <c r="H8043" s="8" t="n"/>
      <c r="I8043" s="8" t="n"/>
      <c r="J8043" s="8" t="n"/>
      <c r="K8043" s="8" t="n"/>
      <c r="L8043" s="8" t="n"/>
      <c r="M8043" s="9">
        <f>B8043+30</f>
        <v/>
      </c>
      <c r="N8043">
        <f>IF(L8043="", "", L8043-B8043)</f>
        <v/>
      </c>
      <c r="O8043">
        <f>IF(L8043="", "Pending", IF(N8043&lt;=30, "Met", "Breached"))</f>
        <v/>
      </c>
      <c r="P8043" s="8" t="n"/>
      <c r="Q8043" s="8" t="n"/>
      <c r="R8043" s="8" t="n"/>
      <c r="S8043" s="8" t="n"/>
      <c r="T8043" s="8" t="n"/>
      <c r="U8043" s="8" t="n"/>
      <c r="V8043" s="8" t="n"/>
      <c r="W8043" s="8" t="n"/>
      <c r="X8043" s="8" t="n"/>
      <c r="Y8043" s="8" t="n"/>
    </row>
    <row r="8044">
      <c r="A8044" s="8" t="n"/>
      <c r="B8044" s="8" t="n"/>
      <c r="C8044" s="8" t="n"/>
      <c r="D8044" s="8" t="n"/>
      <c r="E8044" s="8" t="n"/>
      <c r="F8044" s="8" t="n"/>
      <c r="G8044" s="8" t="n"/>
      <c r="H8044" s="8" t="n"/>
      <c r="I8044" s="8" t="n"/>
      <c r="J8044" s="8" t="n"/>
      <c r="K8044" s="8" t="n"/>
      <c r="L8044" s="8" t="n"/>
      <c r="M8044" s="9">
        <f>B8044+30</f>
        <v/>
      </c>
      <c r="N8044">
        <f>IF(L8044="", "", L8044-B8044)</f>
        <v/>
      </c>
      <c r="O8044">
        <f>IF(L8044="", "Pending", IF(N8044&lt;=30, "Met", "Breached"))</f>
        <v/>
      </c>
      <c r="P8044" s="8" t="n"/>
      <c r="Q8044" s="8" t="n"/>
      <c r="R8044" s="8" t="n"/>
      <c r="S8044" s="8" t="n"/>
      <c r="T8044" s="8" t="n"/>
      <c r="U8044" s="8" t="n"/>
      <c r="V8044" s="8" t="n"/>
      <c r="W8044" s="8" t="n"/>
      <c r="X8044" s="8" t="n"/>
      <c r="Y8044" s="8" t="n"/>
    </row>
    <row r="8045">
      <c r="A8045" s="8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8" t="n"/>
      <c r="K8045" s="8" t="n"/>
      <c r="L8045" s="8" t="n"/>
      <c r="M8045" s="9">
        <f>B8045+30</f>
        <v/>
      </c>
      <c r="N8045">
        <f>IF(L8045="", "", L8045-B8045)</f>
        <v/>
      </c>
      <c r="O8045">
        <f>IF(L8045="", "Pending", IF(N8045&lt;=30, "Met", "Breached"))</f>
        <v/>
      </c>
      <c r="P8045" s="8" t="n"/>
      <c r="Q8045" s="8" t="n"/>
      <c r="R8045" s="8" t="n"/>
      <c r="S8045" s="8" t="n"/>
      <c r="T8045" s="8" t="n"/>
      <c r="U8045" s="8" t="n"/>
      <c r="V8045" s="8" t="n"/>
      <c r="W8045" s="8" t="n"/>
      <c r="X8045" s="8" t="n"/>
      <c r="Y8045" s="8" t="n"/>
    </row>
    <row r="8046">
      <c r="A8046" s="8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8" t="n"/>
      <c r="K8046" s="8" t="n"/>
      <c r="L8046" s="8" t="n"/>
      <c r="M8046" s="9">
        <f>B8046+30</f>
        <v/>
      </c>
      <c r="N8046">
        <f>IF(L8046="", "", L8046-B8046)</f>
        <v/>
      </c>
      <c r="O8046">
        <f>IF(L8046="", "Pending", IF(N8046&lt;=30, "Met", "Breached"))</f>
        <v/>
      </c>
      <c r="P8046" s="8" t="n"/>
      <c r="Q8046" s="8" t="n"/>
      <c r="R8046" s="8" t="n"/>
      <c r="S8046" s="8" t="n"/>
      <c r="T8046" s="8" t="n"/>
      <c r="U8046" s="8" t="n"/>
      <c r="V8046" s="8" t="n"/>
      <c r="W8046" s="8" t="n"/>
      <c r="X8046" s="8" t="n"/>
      <c r="Y8046" s="8" t="n"/>
    </row>
    <row r="8047">
      <c r="A8047" s="8" t="n"/>
      <c r="B8047" s="8" t="n"/>
      <c r="C8047" s="8" t="n"/>
      <c r="D8047" s="8" t="n"/>
      <c r="E8047" s="8" t="n"/>
      <c r="F8047" s="8" t="n"/>
      <c r="G8047" s="8" t="n"/>
      <c r="H8047" s="8" t="n"/>
      <c r="I8047" s="8" t="n"/>
      <c r="J8047" s="8" t="n"/>
      <c r="K8047" s="8" t="n"/>
      <c r="L8047" s="8" t="n"/>
      <c r="M8047" s="9">
        <f>B8047+30</f>
        <v/>
      </c>
      <c r="N8047">
        <f>IF(L8047="", "", L8047-B8047)</f>
        <v/>
      </c>
      <c r="O8047">
        <f>IF(L8047="", "Pending", IF(N8047&lt;=30, "Met", "Breached"))</f>
        <v/>
      </c>
      <c r="P8047" s="8" t="n"/>
      <c r="Q8047" s="8" t="n"/>
      <c r="R8047" s="8" t="n"/>
      <c r="S8047" s="8" t="n"/>
      <c r="T8047" s="8" t="n"/>
      <c r="U8047" s="8" t="n"/>
      <c r="V8047" s="8" t="n"/>
      <c r="W8047" s="8" t="n"/>
      <c r="X8047" s="8" t="n"/>
      <c r="Y8047" s="8" t="n"/>
    </row>
    <row r="8048">
      <c r="A8048" s="8" t="n"/>
      <c r="B8048" s="8" t="n"/>
      <c r="C8048" s="8" t="n"/>
      <c r="D8048" s="8" t="n"/>
      <c r="E8048" s="8" t="n"/>
      <c r="F8048" s="8" t="n"/>
      <c r="G8048" s="8" t="n"/>
      <c r="H8048" s="8" t="n"/>
      <c r="I8048" s="8" t="n"/>
      <c r="J8048" s="8" t="n"/>
      <c r="K8048" s="8" t="n"/>
      <c r="L8048" s="8" t="n"/>
      <c r="M8048" s="9">
        <f>B8048+30</f>
        <v/>
      </c>
      <c r="N8048">
        <f>IF(L8048="", "", L8048-B8048)</f>
        <v/>
      </c>
      <c r="O8048">
        <f>IF(L8048="", "Pending", IF(N8048&lt;=30, "Met", "Breached"))</f>
        <v/>
      </c>
      <c r="P8048" s="8" t="n"/>
      <c r="Q8048" s="8" t="n"/>
      <c r="R8048" s="8" t="n"/>
      <c r="S8048" s="8" t="n"/>
      <c r="T8048" s="8" t="n"/>
      <c r="U8048" s="8" t="n"/>
      <c r="V8048" s="8" t="n"/>
      <c r="W8048" s="8" t="n"/>
      <c r="X8048" s="8" t="n"/>
      <c r="Y8048" s="8" t="n"/>
    </row>
    <row r="8049">
      <c r="A8049" s="8" t="n"/>
      <c r="B8049" s="8" t="n"/>
      <c r="C8049" s="8" t="n"/>
      <c r="D8049" s="8" t="n"/>
      <c r="E8049" s="8" t="n"/>
      <c r="F8049" s="8" t="n"/>
      <c r="G8049" s="8" t="n"/>
      <c r="H8049" s="8" t="n"/>
      <c r="I8049" s="8" t="n"/>
      <c r="J8049" s="8" t="n"/>
      <c r="K8049" s="8" t="n"/>
      <c r="L8049" s="8" t="n"/>
      <c r="M8049" s="9">
        <f>B8049+30</f>
        <v/>
      </c>
      <c r="N8049">
        <f>IF(L8049="", "", L8049-B8049)</f>
        <v/>
      </c>
      <c r="O8049">
        <f>IF(L8049="", "Pending", IF(N8049&lt;=30, "Met", "Breached"))</f>
        <v/>
      </c>
      <c r="P8049" s="8" t="n"/>
      <c r="Q8049" s="8" t="n"/>
      <c r="R8049" s="8" t="n"/>
      <c r="S8049" s="8" t="n"/>
      <c r="T8049" s="8" t="n"/>
      <c r="U8049" s="8" t="n"/>
      <c r="V8049" s="8" t="n"/>
      <c r="W8049" s="8" t="n"/>
      <c r="X8049" s="8" t="n"/>
      <c r="Y8049" s="8" t="n"/>
    </row>
    <row r="8050">
      <c r="A8050" s="8" t="n"/>
      <c r="B8050" s="8" t="n"/>
      <c r="C8050" s="8" t="n"/>
      <c r="D8050" s="8" t="n"/>
      <c r="E8050" s="8" t="n"/>
      <c r="F8050" s="8" t="n"/>
      <c r="G8050" s="8" t="n"/>
      <c r="H8050" s="8" t="n"/>
      <c r="I8050" s="8" t="n"/>
      <c r="J8050" s="8" t="n"/>
      <c r="K8050" s="8" t="n"/>
      <c r="L8050" s="8" t="n"/>
      <c r="M8050" s="9">
        <f>B8050+30</f>
        <v/>
      </c>
      <c r="N8050">
        <f>IF(L8050="", "", L8050-B8050)</f>
        <v/>
      </c>
      <c r="O8050">
        <f>IF(L8050="", "Pending", IF(N8050&lt;=30, "Met", "Breached"))</f>
        <v/>
      </c>
      <c r="P8050" s="8" t="n"/>
      <c r="Q8050" s="8" t="n"/>
      <c r="R8050" s="8" t="n"/>
      <c r="S8050" s="8" t="n"/>
      <c r="T8050" s="8" t="n"/>
      <c r="U8050" s="8" t="n"/>
      <c r="V8050" s="8" t="n"/>
      <c r="W8050" s="8" t="n"/>
      <c r="X8050" s="8" t="n"/>
      <c r="Y8050" s="8" t="n"/>
    </row>
    <row r="8051">
      <c r="A8051" s="8" t="n"/>
      <c r="B8051" s="8" t="n"/>
      <c r="C8051" s="8" t="n"/>
      <c r="D8051" s="8" t="n"/>
      <c r="E8051" s="8" t="n"/>
      <c r="F8051" s="8" t="n"/>
      <c r="G8051" s="8" t="n"/>
      <c r="H8051" s="8" t="n"/>
      <c r="I8051" s="8" t="n"/>
      <c r="J8051" s="8" t="n"/>
      <c r="K8051" s="8" t="n"/>
      <c r="L8051" s="8" t="n"/>
      <c r="M8051" s="9">
        <f>B8051+30</f>
        <v/>
      </c>
      <c r="N8051">
        <f>IF(L8051="", "", L8051-B8051)</f>
        <v/>
      </c>
      <c r="O8051">
        <f>IF(L8051="", "Pending", IF(N8051&lt;=30, "Met", "Breached"))</f>
        <v/>
      </c>
      <c r="P8051" s="8" t="n"/>
      <c r="Q8051" s="8" t="n"/>
      <c r="R8051" s="8" t="n"/>
      <c r="S8051" s="8" t="n"/>
      <c r="T8051" s="8" t="n"/>
      <c r="U8051" s="8" t="n"/>
      <c r="V8051" s="8" t="n"/>
      <c r="W8051" s="8" t="n"/>
      <c r="X8051" s="8" t="n"/>
      <c r="Y8051" s="8" t="n"/>
    </row>
    <row r="8052">
      <c r="A8052" s="8" t="n"/>
      <c r="B8052" s="8" t="n"/>
      <c r="C8052" s="8" t="n"/>
      <c r="D8052" s="8" t="n"/>
      <c r="E8052" s="8" t="n"/>
      <c r="F8052" s="8" t="n"/>
      <c r="G8052" s="8" t="n"/>
      <c r="H8052" s="8" t="n"/>
      <c r="I8052" s="8" t="n"/>
      <c r="J8052" s="8" t="n"/>
      <c r="K8052" s="8" t="n"/>
      <c r="L8052" s="8" t="n"/>
      <c r="M8052" s="9">
        <f>B8052+30</f>
        <v/>
      </c>
      <c r="N8052">
        <f>IF(L8052="", "", L8052-B8052)</f>
        <v/>
      </c>
      <c r="O8052">
        <f>IF(L8052="", "Pending", IF(N8052&lt;=30, "Met", "Breached"))</f>
        <v/>
      </c>
      <c r="P8052" s="8" t="n"/>
      <c r="Q8052" s="8" t="n"/>
      <c r="R8052" s="8" t="n"/>
      <c r="S8052" s="8" t="n"/>
      <c r="T8052" s="8" t="n"/>
      <c r="U8052" s="8" t="n"/>
      <c r="V8052" s="8" t="n"/>
      <c r="W8052" s="8" t="n"/>
      <c r="X8052" s="8" t="n"/>
      <c r="Y8052" s="8" t="n"/>
    </row>
    <row r="8053">
      <c r="A8053" s="8" t="n"/>
      <c r="B8053" s="8" t="n"/>
      <c r="C8053" s="8" t="n"/>
      <c r="D8053" s="8" t="n"/>
      <c r="E8053" s="8" t="n"/>
      <c r="F8053" s="8" t="n"/>
      <c r="G8053" s="8" t="n"/>
      <c r="H8053" s="8" t="n"/>
      <c r="I8053" s="8" t="n"/>
      <c r="J8053" s="8" t="n"/>
      <c r="K8053" s="8" t="n"/>
      <c r="L8053" s="8" t="n"/>
      <c r="M8053" s="9">
        <f>B8053+30</f>
        <v/>
      </c>
      <c r="N8053">
        <f>IF(L8053="", "", L8053-B8053)</f>
        <v/>
      </c>
      <c r="O8053">
        <f>IF(L8053="", "Pending", IF(N8053&lt;=30, "Met", "Breached"))</f>
        <v/>
      </c>
      <c r="P8053" s="8" t="n"/>
      <c r="Q8053" s="8" t="n"/>
      <c r="R8053" s="8" t="n"/>
      <c r="S8053" s="8" t="n"/>
      <c r="T8053" s="8" t="n"/>
      <c r="U8053" s="8" t="n"/>
      <c r="V8053" s="8" t="n"/>
      <c r="W8053" s="8" t="n"/>
      <c r="X8053" s="8" t="n"/>
      <c r="Y8053" s="8" t="n"/>
    </row>
    <row r="8054">
      <c r="A8054" s="8" t="n"/>
      <c r="B8054" s="8" t="n"/>
      <c r="C8054" s="8" t="n"/>
      <c r="D8054" s="8" t="n"/>
      <c r="E8054" s="8" t="n"/>
      <c r="F8054" s="8" t="n"/>
      <c r="G8054" s="8" t="n"/>
      <c r="H8054" s="8" t="n"/>
      <c r="I8054" s="8" t="n"/>
      <c r="J8054" s="8" t="n"/>
      <c r="K8054" s="8" t="n"/>
      <c r="L8054" s="8" t="n"/>
      <c r="M8054" s="9">
        <f>B8054+30</f>
        <v/>
      </c>
      <c r="N8054">
        <f>IF(L8054="", "", L8054-B8054)</f>
        <v/>
      </c>
      <c r="O8054">
        <f>IF(L8054="", "Pending", IF(N8054&lt;=30, "Met", "Breached"))</f>
        <v/>
      </c>
      <c r="P8054" s="8" t="n"/>
      <c r="Q8054" s="8" t="n"/>
      <c r="R8054" s="8" t="n"/>
      <c r="S8054" s="8" t="n"/>
      <c r="T8054" s="8" t="n"/>
      <c r="U8054" s="8" t="n"/>
      <c r="V8054" s="8" t="n"/>
      <c r="W8054" s="8" t="n"/>
      <c r="X8054" s="8" t="n"/>
      <c r="Y8054" s="8" t="n"/>
    </row>
    <row r="8055">
      <c r="A8055" s="8" t="n"/>
      <c r="B8055" s="8" t="n"/>
      <c r="C8055" s="8" t="n"/>
      <c r="D8055" s="8" t="n"/>
      <c r="E8055" s="8" t="n"/>
      <c r="F8055" s="8" t="n"/>
      <c r="G8055" s="8" t="n"/>
      <c r="H8055" s="8" t="n"/>
      <c r="I8055" s="8" t="n"/>
      <c r="J8055" s="8" t="n"/>
      <c r="K8055" s="8" t="n"/>
      <c r="L8055" s="8" t="n"/>
      <c r="M8055" s="9">
        <f>B8055+30</f>
        <v/>
      </c>
      <c r="N8055">
        <f>IF(L8055="", "", L8055-B8055)</f>
        <v/>
      </c>
      <c r="O8055">
        <f>IF(L8055="", "Pending", IF(N8055&lt;=30, "Met", "Breached"))</f>
        <v/>
      </c>
      <c r="P8055" s="8" t="n"/>
      <c r="Q8055" s="8" t="n"/>
      <c r="R8055" s="8" t="n"/>
      <c r="S8055" s="8" t="n"/>
      <c r="T8055" s="8" t="n"/>
      <c r="U8055" s="8" t="n"/>
      <c r="V8055" s="8" t="n"/>
      <c r="W8055" s="8" t="n"/>
      <c r="X8055" s="8" t="n"/>
      <c r="Y8055" s="8" t="n"/>
    </row>
    <row r="8056">
      <c r="A8056" s="8" t="n"/>
      <c r="B8056" s="8" t="n"/>
      <c r="C8056" s="8" t="n"/>
      <c r="D8056" s="8" t="n"/>
      <c r="E8056" s="8" t="n"/>
      <c r="F8056" s="8" t="n"/>
      <c r="G8056" s="8" t="n"/>
      <c r="H8056" s="8" t="n"/>
      <c r="I8056" s="8" t="n"/>
      <c r="J8056" s="8" t="n"/>
      <c r="K8056" s="8" t="n"/>
      <c r="L8056" s="8" t="n"/>
      <c r="M8056" s="9">
        <f>B8056+30</f>
        <v/>
      </c>
      <c r="N8056">
        <f>IF(L8056="", "", L8056-B8056)</f>
        <v/>
      </c>
      <c r="O8056">
        <f>IF(L8056="", "Pending", IF(N8056&lt;=30, "Met", "Breached"))</f>
        <v/>
      </c>
      <c r="P8056" s="8" t="n"/>
      <c r="Q8056" s="8" t="n"/>
      <c r="R8056" s="8" t="n"/>
      <c r="S8056" s="8" t="n"/>
      <c r="T8056" s="8" t="n"/>
      <c r="U8056" s="8" t="n"/>
      <c r="V8056" s="8" t="n"/>
      <c r="W8056" s="8" t="n"/>
      <c r="X8056" s="8" t="n"/>
      <c r="Y8056" s="8" t="n"/>
    </row>
    <row r="8057">
      <c r="A8057" s="8" t="n"/>
      <c r="B8057" s="8" t="n"/>
      <c r="C8057" s="8" t="n"/>
      <c r="D8057" s="8" t="n"/>
      <c r="E8057" s="8" t="n"/>
      <c r="F8057" s="8" t="n"/>
      <c r="G8057" s="8" t="n"/>
      <c r="H8057" s="8" t="n"/>
      <c r="I8057" s="8" t="n"/>
      <c r="J8057" s="8" t="n"/>
      <c r="K8057" s="8" t="n"/>
      <c r="L8057" s="8" t="n"/>
      <c r="M8057" s="9">
        <f>B8057+30</f>
        <v/>
      </c>
      <c r="N8057">
        <f>IF(L8057="", "", L8057-B8057)</f>
        <v/>
      </c>
      <c r="O8057">
        <f>IF(L8057="", "Pending", IF(N8057&lt;=30, "Met", "Breached"))</f>
        <v/>
      </c>
      <c r="P8057" s="8" t="n"/>
      <c r="Q8057" s="8" t="n"/>
      <c r="R8057" s="8" t="n"/>
      <c r="S8057" s="8" t="n"/>
      <c r="T8057" s="8" t="n"/>
      <c r="U8057" s="8" t="n"/>
      <c r="V8057" s="8" t="n"/>
      <c r="W8057" s="8" t="n"/>
      <c r="X8057" s="8" t="n"/>
      <c r="Y8057" s="8" t="n"/>
    </row>
    <row r="8058">
      <c r="A8058" s="8" t="n"/>
      <c r="B8058" s="8" t="n"/>
      <c r="C8058" s="8" t="n"/>
      <c r="D8058" s="8" t="n"/>
      <c r="E8058" s="8" t="n"/>
      <c r="F8058" s="8" t="n"/>
      <c r="G8058" s="8" t="n"/>
      <c r="H8058" s="8" t="n"/>
      <c r="I8058" s="8" t="n"/>
      <c r="J8058" s="8" t="n"/>
      <c r="K8058" s="8" t="n"/>
      <c r="L8058" s="8" t="n"/>
      <c r="M8058" s="9">
        <f>B8058+30</f>
        <v/>
      </c>
      <c r="N8058">
        <f>IF(L8058="", "", L8058-B8058)</f>
        <v/>
      </c>
      <c r="O8058">
        <f>IF(L8058="", "Pending", IF(N8058&lt;=30, "Met", "Breached"))</f>
        <v/>
      </c>
      <c r="P8058" s="8" t="n"/>
      <c r="Q8058" s="8" t="n"/>
      <c r="R8058" s="8" t="n"/>
      <c r="S8058" s="8" t="n"/>
      <c r="T8058" s="8" t="n"/>
      <c r="U8058" s="8" t="n"/>
      <c r="V8058" s="8" t="n"/>
      <c r="W8058" s="8" t="n"/>
      <c r="X8058" s="8" t="n"/>
      <c r="Y8058" s="8" t="n"/>
    </row>
    <row r="8059">
      <c r="A8059" s="8" t="n"/>
      <c r="B8059" s="8" t="n"/>
      <c r="C8059" s="8" t="n"/>
      <c r="D8059" s="8" t="n"/>
      <c r="E8059" s="8" t="n"/>
      <c r="F8059" s="8" t="n"/>
      <c r="G8059" s="8" t="n"/>
      <c r="H8059" s="8" t="n"/>
      <c r="I8059" s="8" t="n"/>
      <c r="J8059" s="8" t="n"/>
      <c r="K8059" s="8" t="n"/>
      <c r="L8059" s="8" t="n"/>
      <c r="M8059" s="9">
        <f>B8059+30</f>
        <v/>
      </c>
      <c r="N8059">
        <f>IF(L8059="", "", L8059-B8059)</f>
        <v/>
      </c>
      <c r="O8059">
        <f>IF(L8059="", "Pending", IF(N8059&lt;=30, "Met", "Breached"))</f>
        <v/>
      </c>
      <c r="P8059" s="8" t="n"/>
      <c r="Q8059" s="8" t="n"/>
      <c r="R8059" s="8" t="n"/>
      <c r="S8059" s="8" t="n"/>
      <c r="T8059" s="8" t="n"/>
      <c r="U8059" s="8" t="n"/>
      <c r="V8059" s="8" t="n"/>
      <c r="W8059" s="8" t="n"/>
      <c r="X8059" s="8" t="n"/>
      <c r="Y8059" s="8" t="n"/>
    </row>
    <row r="8060">
      <c r="A8060" s="8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8" t="n"/>
      <c r="K8060" s="8" t="n"/>
      <c r="L8060" s="8" t="n"/>
      <c r="M8060" s="9">
        <f>B8060+30</f>
        <v/>
      </c>
      <c r="N8060">
        <f>IF(L8060="", "", L8060-B8060)</f>
        <v/>
      </c>
      <c r="O8060">
        <f>IF(L8060="", "Pending", IF(N8060&lt;=30, "Met", "Breached"))</f>
        <v/>
      </c>
      <c r="P8060" s="8" t="n"/>
      <c r="Q8060" s="8" t="n"/>
      <c r="R8060" s="8" t="n"/>
      <c r="S8060" s="8" t="n"/>
      <c r="T8060" s="8" t="n"/>
      <c r="U8060" s="8" t="n"/>
      <c r="V8060" s="8" t="n"/>
      <c r="W8060" s="8" t="n"/>
      <c r="X8060" s="8" t="n"/>
      <c r="Y8060" s="8" t="n"/>
    </row>
    <row r="8061">
      <c r="A8061" s="8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8" t="n"/>
      <c r="K8061" s="8" t="n"/>
      <c r="L8061" s="8" t="n"/>
      <c r="M8061" s="9">
        <f>B8061+30</f>
        <v/>
      </c>
      <c r="N8061">
        <f>IF(L8061="", "", L8061-B8061)</f>
        <v/>
      </c>
      <c r="O8061">
        <f>IF(L8061="", "Pending", IF(N8061&lt;=30, "Met", "Breached"))</f>
        <v/>
      </c>
      <c r="P8061" s="8" t="n"/>
      <c r="Q8061" s="8" t="n"/>
      <c r="R8061" s="8" t="n"/>
      <c r="S8061" s="8" t="n"/>
      <c r="T8061" s="8" t="n"/>
      <c r="U8061" s="8" t="n"/>
      <c r="V8061" s="8" t="n"/>
      <c r="W8061" s="8" t="n"/>
      <c r="X8061" s="8" t="n"/>
      <c r="Y8061" s="8" t="n"/>
    </row>
    <row r="8062">
      <c r="A8062" s="8" t="n"/>
      <c r="B8062" s="8" t="n"/>
      <c r="C8062" s="8" t="n"/>
      <c r="D8062" s="8" t="n"/>
      <c r="E8062" s="8" t="n"/>
      <c r="F8062" s="8" t="n"/>
      <c r="G8062" s="8" t="n"/>
      <c r="H8062" s="8" t="n"/>
      <c r="I8062" s="8" t="n"/>
      <c r="J8062" s="8" t="n"/>
      <c r="K8062" s="8" t="n"/>
      <c r="L8062" s="8" t="n"/>
      <c r="M8062" s="9">
        <f>B8062+30</f>
        <v/>
      </c>
      <c r="N8062">
        <f>IF(L8062="", "", L8062-B8062)</f>
        <v/>
      </c>
      <c r="O8062">
        <f>IF(L8062="", "Pending", IF(N8062&lt;=30, "Met", "Breached"))</f>
        <v/>
      </c>
      <c r="P8062" s="8" t="n"/>
      <c r="Q8062" s="8" t="n"/>
      <c r="R8062" s="8" t="n"/>
      <c r="S8062" s="8" t="n"/>
      <c r="T8062" s="8" t="n"/>
      <c r="U8062" s="8" t="n"/>
      <c r="V8062" s="8" t="n"/>
      <c r="W8062" s="8" t="n"/>
      <c r="X8062" s="8" t="n"/>
      <c r="Y8062" s="8" t="n"/>
    </row>
    <row r="8063">
      <c r="A8063" s="8" t="n"/>
      <c r="B8063" s="8" t="n"/>
      <c r="C8063" s="8" t="n"/>
      <c r="D8063" s="8" t="n"/>
      <c r="E8063" s="8" t="n"/>
      <c r="F8063" s="8" t="n"/>
      <c r="G8063" s="8" t="n"/>
      <c r="H8063" s="8" t="n"/>
      <c r="I8063" s="8" t="n"/>
      <c r="J8063" s="8" t="n"/>
      <c r="K8063" s="8" t="n"/>
      <c r="L8063" s="8" t="n"/>
      <c r="M8063" s="9">
        <f>B8063+30</f>
        <v/>
      </c>
      <c r="N8063">
        <f>IF(L8063="", "", L8063-B8063)</f>
        <v/>
      </c>
      <c r="O8063">
        <f>IF(L8063="", "Pending", IF(N8063&lt;=30, "Met", "Breached"))</f>
        <v/>
      </c>
      <c r="P8063" s="8" t="n"/>
      <c r="Q8063" s="8" t="n"/>
      <c r="R8063" s="8" t="n"/>
      <c r="S8063" s="8" t="n"/>
      <c r="T8063" s="8" t="n"/>
      <c r="U8063" s="8" t="n"/>
      <c r="V8063" s="8" t="n"/>
      <c r="W8063" s="8" t="n"/>
      <c r="X8063" s="8" t="n"/>
      <c r="Y8063" s="8" t="n"/>
    </row>
    <row r="8064">
      <c r="A8064" s="8" t="n"/>
      <c r="B8064" s="8" t="n"/>
      <c r="C8064" s="8" t="n"/>
      <c r="D8064" s="8" t="n"/>
      <c r="E8064" s="8" t="n"/>
      <c r="F8064" s="8" t="n"/>
      <c r="G8064" s="8" t="n"/>
      <c r="H8064" s="8" t="n"/>
      <c r="I8064" s="8" t="n"/>
      <c r="J8064" s="8" t="n"/>
      <c r="K8064" s="8" t="n"/>
      <c r="L8064" s="8" t="n"/>
      <c r="M8064" s="9">
        <f>B8064+30</f>
        <v/>
      </c>
      <c r="N8064">
        <f>IF(L8064="", "", L8064-B8064)</f>
        <v/>
      </c>
      <c r="O8064">
        <f>IF(L8064="", "Pending", IF(N8064&lt;=30, "Met", "Breached"))</f>
        <v/>
      </c>
      <c r="P8064" s="8" t="n"/>
      <c r="Q8064" s="8" t="n"/>
      <c r="R8064" s="8" t="n"/>
      <c r="S8064" s="8" t="n"/>
      <c r="T8064" s="8" t="n"/>
      <c r="U8064" s="8" t="n"/>
      <c r="V8064" s="8" t="n"/>
      <c r="W8064" s="8" t="n"/>
      <c r="X8064" s="8" t="n"/>
      <c r="Y8064" s="8" t="n"/>
    </row>
    <row r="8065">
      <c r="A8065" s="8" t="n"/>
      <c r="B8065" s="8" t="n"/>
      <c r="C8065" s="8" t="n"/>
      <c r="D8065" s="8" t="n"/>
      <c r="E8065" s="8" t="n"/>
      <c r="F8065" s="8" t="n"/>
      <c r="G8065" s="8" t="n"/>
      <c r="H8065" s="8" t="n"/>
      <c r="I8065" s="8" t="n"/>
      <c r="J8065" s="8" t="n"/>
      <c r="K8065" s="8" t="n"/>
      <c r="L8065" s="8" t="n"/>
      <c r="M8065" s="9">
        <f>B8065+30</f>
        <v/>
      </c>
      <c r="N8065">
        <f>IF(L8065="", "", L8065-B8065)</f>
        <v/>
      </c>
      <c r="O8065">
        <f>IF(L8065="", "Pending", IF(N8065&lt;=30, "Met", "Breached"))</f>
        <v/>
      </c>
      <c r="P8065" s="8" t="n"/>
      <c r="Q8065" s="8" t="n"/>
      <c r="R8065" s="8" t="n"/>
      <c r="S8065" s="8" t="n"/>
      <c r="T8065" s="8" t="n"/>
      <c r="U8065" s="8" t="n"/>
      <c r="V8065" s="8" t="n"/>
      <c r="W8065" s="8" t="n"/>
      <c r="X8065" s="8" t="n"/>
      <c r="Y8065" s="8" t="n"/>
    </row>
    <row r="8066">
      <c r="A8066" s="8" t="n"/>
      <c r="B8066" s="8" t="n"/>
      <c r="C8066" s="8" t="n"/>
      <c r="D8066" s="8" t="n"/>
      <c r="E8066" s="8" t="n"/>
      <c r="F8066" s="8" t="n"/>
      <c r="G8066" s="8" t="n"/>
      <c r="H8066" s="8" t="n"/>
      <c r="I8066" s="8" t="n"/>
      <c r="J8066" s="8" t="n"/>
      <c r="K8066" s="8" t="n"/>
      <c r="L8066" s="8" t="n"/>
      <c r="M8066" s="9">
        <f>B8066+30</f>
        <v/>
      </c>
      <c r="N8066">
        <f>IF(L8066="", "", L8066-B8066)</f>
        <v/>
      </c>
      <c r="O8066">
        <f>IF(L8066="", "Pending", IF(N8066&lt;=30, "Met", "Breached"))</f>
        <v/>
      </c>
      <c r="P8066" s="8" t="n"/>
      <c r="Q8066" s="8" t="n"/>
      <c r="R8066" s="8" t="n"/>
      <c r="S8066" s="8" t="n"/>
      <c r="T8066" s="8" t="n"/>
      <c r="U8066" s="8" t="n"/>
      <c r="V8066" s="8" t="n"/>
      <c r="W8066" s="8" t="n"/>
      <c r="X8066" s="8" t="n"/>
      <c r="Y8066" s="8" t="n"/>
    </row>
    <row r="8067">
      <c r="A8067" s="8" t="n"/>
      <c r="B8067" s="8" t="n"/>
      <c r="C8067" s="8" t="n"/>
      <c r="D8067" s="8" t="n"/>
      <c r="E8067" s="8" t="n"/>
      <c r="F8067" s="8" t="n"/>
      <c r="G8067" s="8" t="n"/>
      <c r="H8067" s="8" t="n"/>
      <c r="I8067" s="8" t="n"/>
      <c r="J8067" s="8" t="n"/>
      <c r="K8067" s="8" t="n"/>
      <c r="L8067" s="8" t="n"/>
      <c r="M8067" s="9">
        <f>B8067+30</f>
        <v/>
      </c>
      <c r="N8067">
        <f>IF(L8067="", "", L8067-B8067)</f>
        <v/>
      </c>
      <c r="O8067">
        <f>IF(L8067="", "Pending", IF(N8067&lt;=30, "Met", "Breached"))</f>
        <v/>
      </c>
      <c r="P8067" s="8" t="n"/>
      <c r="Q8067" s="8" t="n"/>
      <c r="R8067" s="8" t="n"/>
      <c r="S8067" s="8" t="n"/>
      <c r="T8067" s="8" t="n"/>
      <c r="U8067" s="8" t="n"/>
      <c r="V8067" s="8" t="n"/>
      <c r="W8067" s="8" t="n"/>
      <c r="X8067" s="8" t="n"/>
      <c r="Y8067" s="8" t="n"/>
    </row>
    <row r="8068">
      <c r="A8068" s="8" t="n"/>
      <c r="B8068" s="8" t="n"/>
      <c r="C8068" s="8" t="n"/>
      <c r="D8068" s="8" t="n"/>
      <c r="E8068" s="8" t="n"/>
      <c r="F8068" s="8" t="n"/>
      <c r="G8068" s="8" t="n"/>
      <c r="H8068" s="8" t="n"/>
      <c r="I8068" s="8" t="n"/>
      <c r="J8068" s="8" t="n"/>
      <c r="K8068" s="8" t="n"/>
      <c r="L8068" s="8" t="n"/>
      <c r="M8068" s="9">
        <f>B8068+30</f>
        <v/>
      </c>
      <c r="N8068">
        <f>IF(L8068="", "", L8068-B8068)</f>
        <v/>
      </c>
      <c r="O8068">
        <f>IF(L8068="", "Pending", IF(N8068&lt;=30, "Met", "Breached"))</f>
        <v/>
      </c>
      <c r="P8068" s="8" t="n"/>
      <c r="Q8068" s="8" t="n"/>
      <c r="R8068" s="8" t="n"/>
      <c r="S8068" s="8" t="n"/>
      <c r="T8068" s="8" t="n"/>
      <c r="U8068" s="8" t="n"/>
      <c r="V8068" s="8" t="n"/>
      <c r="W8068" s="8" t="n"/>
      <c r="X8068" s="8" t="n"/>
      <c r="Y8068" s="8" t="n"/>
    </row>
    <row r="8069">
      <c r="A8069" s="8" t="n"/>
      <c r="B8069" s="8" t="n"/>
      <c r="C8069" s="8" t="n"/>
      <c r="D8069" s="8" t="n"/>
      <c r="E8069" s="8" t="n"/>
      <c r="F8069" s="8" t="n"/>
      <c r="G8069" s="8" t="n"/>
      <c r="H8069" s="8" t="n"/>
      <c r="I8069" s="8" t="n"/>
      <c r="J8069" s="8" t="n"/>
      <c r="K8069" s="8" t="n"/>
      <c r="L8069" s="8" t="n"/>
      <c r="M8069" s="9">
        <f>B8069+30</f>
        <v/>
      </c>
      <c r="N8069">
        <f>IF(L8069="", "", L8069-B8069)</f>
        <v/>
      </c>
      <c r="O8069">
        <f>IF(L8069="", "Pending", IF(N8069&lt;=30, "Met", "Breached"))</f>
        <v/>
      </c>
      <c r="P8069" s="8" t="n"/>
      <c r="Q8069" s="8" t="n"/>
      <c r="R8069" s="8" t="n"/>
      <c r="S8069" s="8" t="n"/>
      <c r="T8069" s="8" t="n"/>
      <c r="U8069" s="8" t="n"/>
      <c r="V8069" s="8" t="n"/>
      <c r="W8069" s="8" t="n"/>
      <c r="X8069" s="8" t="n"/>
      <c r="Y8069" s="8" t="n"/>
    </row>
    <row r="8070">
      <c r="A8070" s="8" t="n"/>
      <c r="B8070" s="8" t="n"/>
      <c r="C8070" s="8" t="n"/>
      <c r="D8070" s="8" t="n"/>
      <c r="E8070" s="8" t="n"/>
      <c r="F8070" s="8" t="n"/>
      <c r="G8070" s="8" t="n"/>
      <c r="H8070" s="8" t="n"/>
      <c r="I8070" s="8" t="n"/>
      <c r="J8070" s="8" t="n"/>
      <c r="K8070" s="8" t="n"/>
      <c r="L8070" s="8" t="n"/>
      <c r="M8070" s="9">
        <f>B8070+30</f>
        <v/>
      </c>
      <c r="N8070">
        <f>IF(L8070="", "", L8070-B8070)</f>
        <v/>
      </c>
      <c r="O8070">
        <f>IF(L8070="", "Pending", IF(N8070&lt;=30, "Met", "Breached"))</f>
        <v/>
      </c>
      <c r="P8070" s="8" t="n"/>
      <c r="Q8070" s="8" t="n"/>
      <c r="R8070" s="8" t="n"/>
      <c r="S8070" s="8" t="n"/>
      <c r="T8070" s="8" t="n"/>
      <c r="U8070" s="8" t="n"/>
      <c r="V8070" s="8" t="n"/>
      <c r="W8070" s="8" t="n"/>
      <c r="X8070" s="8" t="n"/>
      <c r="Y8070" s="8" t="n"/>
    </row>
    <row r="8071">
      <c r="A8071" s="8" t="n"/>
      <c r="B8071" s="8" t="n"/>
      <c r="C8071" s="8" t="n"/>
      <c r="D8071" s="8" t="n"/>
      <c r="E8071" s="8" t="n"/>
      <c r="F8071" s="8" t="n"/>
      <c r="G8071" s="8" t="n"/>
      <c r="H8071" s="8" t="n"/>
      <c r="I8071" s="8" t="n"/>
      <c r="J8071" s="8" t="n"/>
      <c r="K8071" s="8" t="n"/>
      <c r="L8071" s="8" t="n"/>
      <c r="M8071" s="9">
        <f>B8071+30</f>
        <v/>
      </c>
      <c r="N8071">
        <f>IF(L8071="", "", L8071-B8071)</f>
        <v/>
      </c>
      <c r="O8071">
        <f>IF(L8071="", "Pending", IF(N8071&lt;=30, "Met", "Breached"))</f>
        <v/>
      </c>
      <c r="P8071" s="8" t="n"/>
      <c r="Q8071" s="8" t="n"/>
      <c r="R8071" s="8" t="n"/>
      <c r="S8071" s="8" t="n"/>
      <c r="T8071" s="8" t="n"/>
      <c r="U8071" s="8" t="n"/>
      <c r="V8071" s="8" t="n"/>
      <c r="W8071" s="8" t="n"/>
      <c r="X8071" s="8" t="n"/>
      <c r="Y8071" s="8" t="n"/>
    </row>
    <row r="8072">
      <c r="A8072" s="8" t="n"/>
      <c r="B8072" s="8" t="n"/>
      <c r="C8072" s="8" t="n"/>
      <c r="D8072" s="8" t="n"/>
      <c r="E8072" s="8" t="n"/>
      <c r="F8072" s="8" t="n"/>
      <c r="G8072" s="8" t="n"/>
      <c r="H8072" s="8" t="n"/>
      <c r="I8072" s="8" t="n"/>
      <c r="J8072" s="8" t="n"/>
      <c r="K8072" s="8" t="n"/>
      <c r="L8072" s="8" t="n"/>
      <c r="M8072" s="9">
        <f>B8072+30</f>
        <v/>
      </c>
      <c r="N8072">
        <f>IF(L8072="", "", L8072-B8072)</f>
        <v/>
      </c>
      <c r="O8072">
        <f>IF(L8072="", "Pending", IF(N8072&lt;=30, "Met", "Breached"))</f>
        <v/>
      </c>
      <c r="P8072" s="8" t="n"/>
      <c r="Q8072" s="8" t="n"/>
      <c r="R8072" s="8" t="n"/>
      <c r="S8072" s="8" t="n"/>
      <c r="T8072" s="8" t="n"/>
      <c r="U8072" s="8" t="n"/>
      <c r="V8072" s="8" t="n"/>
      <c r="W8072" s="8" t="n"/>
      <c r="X8072" s="8" t="n"/>
      <c r="Y8072" s="8" t="n"/>
    </row>
    <row r="8073">
      <c r="A8073" s="8" t="n"/>
      <c r="B8073" s="8" t="n"/>
      <c r="C8073" s="8" t="n"/>
      <c r="D8073" s="8" t="n"/>
      <c r="E8073" s="8" t="n"/>
      <c r="F8073" s="8" t="n"/>
      <c r="G8073" s="8" t="n"/>
      <c r="H8073" s="8" t="n"/>
      <c r="I8073" s="8" t="n"/>
      <c r="J8073" s="8" t="n"/>
      <c r="K8073" s="8" t="n"/>
      <c r="L8073" s="8" t="n"/>
      <c r="M8073" s="9">
        <f>B8073+30</f>
        <v/>
      </c>
      <c r="N8073">
        <f>IF(L8073="", "", L8073-B8073)</f>
        <v/>
      </c>
      <c r="O8073">
        <f>IF(L8073="", "Pending", IF(N8073&lt;=30, "Met", "Breached"))</f>
        <v/>
      </c>
      <c r="P8073" s="8" t="n"/>
      <c r="Q8073" s="8" t="n"/>
      <c r="R8073" s="8" t="n"/>
      <c r="S8073" s="8" t="n"/>
      <c r="T8073" s="8" t="n"/>
      <c r="U8073" s="8" t="n"/>
      <c r="V8073" s="8" t="n"/>
      <c r="W8073" s="8" t="n"/>
      <c r="X8073" s="8" t="n"/>
      <c r="Y8073" s="8" t="n"/>
    </row>
    <row r="8074">
      <c r="A8074" s="8" t="n"/>
      <c r="B8074" s="8" t="n"/>
      <c r="C8074" s="8" t="n"/>
      <c r="D8074" s="8" t="n"/>
      <c r="E8074" s="8" t="n"/>
      <c r="F8074" s="8" t="n"/>
      <c r="G8074" s="8" t="n"/>
      <c r="H8074" s="8" t="n"/>
      <c r="I8074" s="8" t="n"/>
      <c r="J8074" s="8" t="n"/>
      <c r="K8074" s="8" t="n"/>
      <c r="L8074" s="8" t="n"/>
      <c r="M8074" s="9">
        <f>B8074+30</f>
        <v/>
      </c>
      <c r="N8074">
        <f>IF(L8074="", "", L8074-B8074)</f>
        <v/>
      </c>
      <c r="O8074">
        <f>IF(L8074="", "Pending", IF(N8074&lt;=30, "Met", "Breached"))</f>
        <v/>
      </c>
      <c r="P8074" s="8" t="n"/>
      <c r="Q8074" s="8" t="n"/>
      <c r="R8074" s="8" t="n"/>
      <c r="S8074" s="8" t="n"/>
      <c r="T8074" s="8" t="n"/>
      <c r="U8074" s="8" t="n"/>
      <c r="V8074" s="8" t="n"/>
      <c r="W8074" s="8" t="n"/>
      <c r="X8074" s="8" t="n"/>
      <c r="Y8074" s="8" t="n"/>
    </row>
    <row r="8075">
      <c r="A8075" s="8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8" t="n"/>
      <c r="K8075" s="8" t="n"/>
      <c r="L8075" s="8" t="n"/>
      <c r="M8075" s="9">
        <f>B8075+30</f>
        <v/>
      </c>
      <c r="N8075">
        <f>IF(L8075="", "", L8075-B8075)</f>
        <v/>
      </c>
      <c r="O8075">
        <f>IF(L8075="", "Pending", IF(N8075&lt;=30, "Met", "Breached"))</f>
        <v/>
      </c>
      <c r="P8075" s="8" t="n"/>
      <c r="Q8075" s="8" t="n"/>
      <c r="R8075" s="8" t="n"/>
      <c r="S8075" s="8" t="n"/>
      <c r="T8075" s="8" t="n"/>
      <c r="U8075" s="8" t="n"/>
      <c r="V8075" s="8" t="n"/>
      <c r="W8075" s="8" t="n"/>
      <c r="X8075" s="8" t="n"/>
      <c r="Y8075" s="8" t="n"/>
    </row>
    <row r="8076">
      <c r="A8076" s="8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8" t="n"/>
      <c r="K8076" s="8" t="n"/>
      <c r="L8076" s="8" t="n"/>
      <c r="M8076" s="9">
        <f>B8076+30</f>
        <v/>
      </c>
      <c r="N8076">
        <f>IF(L8076="", "", L8076-B8076)</f>
        <v/>
      </c>
      <c r="O8076">
        <f>IF(L8076="", "Pending", IF(N8076&lt;=30, "Met", "Breached"))</f>
        <v/>
      </c>
      <c r="P8076" s="8" t="n"/>
      <c r="Q8076" s="8" t="n"/>
      <c r="R8076" s="8" t="n"/>
      <c r="S8076" s="8" t="n"/>
      <c r="T8076" s="8" t="n"/>
      <c r="U8076" s="8" t="n"/>
      <c r="V8076" s="8" t="n"/>
      <c r="W8076" s="8" t="n"/>
      <c r="X8076" s="8" t="n"/>
      <c r="Y8076" s="8" t="n"/>
    </row>
    <row r="8077">
      <c r="A8077" s="8" t="n"/>
      <c r="B8077" s="8" t="n"/>
      <c r="C8077" s="8" t="n"/>
      <c r="D8077" s="8" t="n"/>
      <c r="E8077" s="8" t="n"/>
      <c r="F8077" s="8" t="n"/>
      <c r="G8077" s="8" t="n"/>
      <c r="H8077" s="8" t="n"/>
      <c r="I8077" s="8" t="n"/>
      <c r="J8077" s="8" t="n"/>
      <c r="K8077" s="8" t="n"/>
      <c r="L8077" s="8" t="n"/>
      <c r="M8077" s="9">
        <f>B8077+30</f>
        <v/>
      </c>
      <c r="N8077">
        <f>IF(L8077="", "", L8077-B8077)</f>
        <v/>
      </c>
      <c r="O8077">
        <f>IF(L8077="", "Pending", IF(N8077&lt;=30, "Met", "Breached"))</f>
        <v/>
      </c>
      <c r="P8077" s="8" t="n"/>
      <c r="Q8077" s="8" t="n"/>
      <c r="R8077" s="8" t="n"/>
      <c r="S8077" s="8" t="n"/>
      <c r="T8077" s="8" t="n"/>
      <c r="U8077" s="8" t="n"/>
      <c r="V8077" s="8" t="n"/>
      <c r="W8077" s="8" t="n"/>
      <c r="X8077" s="8" t="n"/>
      <c r="Y8077" s="8" t="n"/>
    </row>
    <row r="8078">
      <c r="A8078" s="8" t="n"/>
      <c r="B8078" s="8" t="n"/>
      <c r="C8078" s="8" t="n"/>
      <c r="D8078" s="8" t="n"/>
      <c r="E8078" s="8" t="n"/>
      <c r="F8078" s="8" t="n"/>
      <c r="G8078" s="8" t="n"/>
      <c r="H8078" s="8" t="n"/>
      <c r="I8078" s="8" t="n"/>
      <c r="J8078" s="8" t="n"/>
      <c r="K8078" s="8" t="n"/>
      <c r="L8078" s="8" t="n"/>
      <c r="M8078" s="9">
        <f>B8078+30</f>
        <v/>
      </c>
      <c r="N8078">
        <f>IF(L8078="", "", L8078-B8078)</f>
        <v/>
      </c>
      <c r="O8078">
        <f>IF(L8078="", "Pending", IF(N8078&lt;=30, "Met", "Breached"))</f>
        <v/>
      </c>
      <c r="P8078" s="8" t="n"/>
      <c r="Q8078" s="8" t="n"/>
      <c r="R8078" s="8" t="n"/>
      <c r="S8078" s="8" t="n"/>
      <c r="T8078" s="8" t="n"/>
      <c r="U8078" s="8" t="n"/>
      <c r="V8078" s="8" t="n"/>
      <c r="W8078" s="8" t="n"/>
      <c r="X8078" s="8" t="n"/>
      <c r="Y8078" s="8" t="n"/>
    </row>
    <row r="8079">
      <c r="A8079" s="8" t="n"/>
      <c r="B8079" s="8" t="n"/>
      <c r="C8079" s="8" t="n"/>
      <c r="D8079" s="8" t="n"/>
      <c r="E8079" s="8" t="n"/>
      <c r="F8079" s="8" t="n"/>
      <c r="G8079" s="8" t="n"/>
      <c r="H8079" s="8" t="n"/>
      <c r="I8079" s="8" t="n"/>
      <c r="J8079" s="8" t="n"/>
      <c r="K8079" s="8" t="n"/>
      <c r="L8079" s="8" t="n"/>
      <c r="M8079" s="9">
        <f>B8079+30</f>
        <v/>
      </c>
      <c r="N8079">
        <f>IF(L8079="", "", L8079-B8079)</f>
        <v/>
      </c>
      <c r="O8079">
        <f>IF(L8079="", "Pending", IF(N8079&lt;=30, "Met", "Breached"))</f>
        <v/>
      </c>
      <c r="P8079" s="8" t="n"/>
      <c r="Q8079" s="8" t="n"/>
      <c r="R8079" s="8" t="n"/>
      <c r="S8079" s="8" t="n"/>
      <c r="T8079" s="8" t="n"/>
      <c r="U8079" s="8" t="n"/>
      <c r="V8079" s="8" t="n"/>
      <c r="W8079" s="8" t="n"/>
      <c r="X8079" s="8" t="n"/>
      <c r="Y8079" s="8" t="n"/>
    </row>
    <row r="8080">
      <c r="A8080" s="8" t="n"/>
      <c r="B8080" s="8" t="n"/>
      <c r="C8080" s="8" t="n"/>
      <c r="D8080" s="8" t="n"/>
      <c r="E8080" s="8" t="n"/>
      <c r="F8080" s="8" t="n"/>
      <c r="G8080" s="8" t="n"/>
      <c r="H8080" s="8" t="n"/>
      <c r="I8080" s="8" t="n"/>
      <c r="J8080" s="8" t="n"/>
      <c r="K8080" s="8" t="n"/>
      <c r="L8080" s="8" t="n"/>
      <c r="M8080" s="9">
        <f>B8080+30</f>
        <v/>
      </c>
      <c r="N8080">
        <f>IF(L8080="", "", L8080-B8080)</f>
        <v/>
      </c>
      <c r="O8080">
        <f>IF(L8080="", "Pending", IF(N8080&lt;=30, "Met", "Breached"))</f>
        <v/>
      </c>
      <c r="P8080" s="8" t="n"/>
      <c r="Q8080" s="8" t="n"/>
      <c r="R8080" s="8" t="n"/>
      <c r="S8080" s="8" t="n"/>
      <c r="T8080" s="8" t="n"/>
      <c r="U8080" s="8" t="n"/>
      <c r="V8080" s="8" t="n"/>
      <c r="W8080" s="8" t="n"/>
      <c r="X8080" s="8" t="n"/>
      <c r="Y8080" s="8" t="n"/>
    </row>
    <row r="8081">
      <c r="A8081" s="8" t="n"/>
      <c r="B8081" s="8" t="n"/>
      <c r="C8081" s="8" t="n"/>
      <c r="D8081" s="8" t="n"/>
      <c r="E8081" s="8" t="n"/>
      <c r="F8081" s="8" t="n"/>
      <c r="G8081" s="8" t="n"/>
      <c r="H8081" s="8" t="n"/>
      <c r="I8081" s="8" t="n"/>
      <c r="J8081" s="8" t="n"/>
      <c r="K8081" s="8" t="n"/>
      <c r="L8081" s="8" t="n"/>
      <c r="M8081" s="9">
        <f>B8081+30</f>
        <v/>
      </c>
      <c r="N8081">
        <f>IF(L8081="", "", L8081-B8081)</f>
        <v/>
      </c>
      <c r="O8081">
        <f>IF(L8081="", "Pending", IF(N8081&lt;=30, "Met", "Breached"))</f>
        <v/>
      </c>
      <c r="P8081" s="8" t="n"/>
      <c r="Q8081" s="8" t="n"/>
      <c r="R8081" s="8" t="n"/>
      <c r="S8081" s="8" t="n"/>
      <c r="T8081" s="8" t="n"/>
      <c r="U8081" s="8" t="n"/>
      <c r="V8081" s="8" t="n"/>
      <c r="W8081" s="8" t="n"/>
      <c r="X8081" s="8" t="n"/>
      <c r="Y8081" s="8" t="n"/>
    </row>
    <row r="8082">
      <c r="A8082" s="8" t="n"/>
      <c r="B8082" s="8" t="n"/>
      <c r="C8082" s="8" t="n"/>
      <c r="D8082" s="8" t="n"/>
      <c r="E8082" s="8" t="n"/>
      <c r="F8082" s="8" t="n"/>
      <c r="G8082" s="8" t="n"/>
      <c r="H8082" s="8" t="n"/>
      <c r="I8082" s="8" t="n"/>
      <c r="J8082" s="8" t="n"/>
      <c r="K8082" s="8" t="n"/>
      <c r="L8082" s="8" t="n"/>
      <c r="M8082" s="9">
        <f>B8082+30</f>
        <v/>
      </c>
      <c r="N8082">
        <f>IF(L8082="", "", L8082-B8082)</f>
        <v/>
      </c>
      <c r="O8082">
        <f>IF(L8082="", "Pending", IF(N8082&lt;=30, "Met", "Breached"))</f>
        <v/>
      </c>
      <c r="P8082" s="8" t="n"/>
      <c r="Q8082" s="8" t="n"/>
      <c r="R8082" s="8" t="n"/>
      <c r="S8082" s="8" t="n"/>
      <c r="T8082" s="8" t="n"/>
      <c r="U8082" s="8" t="n"/>
      <c r="V8082" s="8" t="n"/>
      <c r="W8082" s="8" t="n"/>
      <c r="X8082" s="8" t="n"/>
      <c r="Y8082" s="8" t="n"/>
    </row>
    <row r="8083">
      <c r="A8083" s="8" t="n"/>
      <c r="B8083" s="8" t="n"/>
      <c r="C8083" s="8" t="n"/>
      <c r="D8083" s="8" t="n"/>
      <c r="E8083" s="8" t="n"/>
      <c r="F8083" s="8" t="n"/>
      <c r="G8083" s="8" t="n"/>
      <c r="H8083" s="8" t="n"/>
      <c r="I8083" s="8" t="n"/>
      <c r="J8083" s="8" t="n"/>
      <c r="K8083" s="8" t="n"/>
      <c r="L8083" s="8" t="n"/>
      <c r="M8083" s="9">
        <f>B8083+30</f>
        <v/>
      </c>
      <c r="N8083">
        <f>IF(L8083="", "", L8083-B8083)</f>
        <v/>
      </c>
      <c r="O8083">
        <f>IF(L8083="", "Pending", IF(N8083&lt;=30, "Met", "Breached"))</f>
        <v/>
      </c>
      <c r="P8083" s="8" t="n"/>
      <c r="Q8083" s="8" t="n"/>
      <c r="R8083" s="8" t="n"/>
      <c r="S8083" s="8" t="n"/>
      <c r="T8083" s="8" t="n"/>
      <c r="U8083" s="8" t="n"/>
      <c r="V8083" s="8" t="n"/>
      <c r="W8083" s="8" t="n"/>
      <c r="X8083" s="8" t="n"/>
      <c r="Y8083" s="8" t="n"/>
    </row>
    <row r="8084">
      <c r="A8084" s="8" t="n"/>
      <c r="B8084" s="8" t="n"/>
      <c r="C8084" s="8" t="n"/>
      <c r="D8084" s="8" t="n"/>
      <c r="E8084" s="8" t="n"/>
      <c r="F8084" s="8" t="n"/>
      <c r="G8084" s="8" t="n"/>
      <c r="H8084" s="8" t="n"/>
      <c r="I8084" s="8" t="n"/>
      <c r="J8084" s="8" t="n"/>
      <c r="K8084" s="8" t="n"/>
      <c r="L8084" s="8" t="n"/>
      <c r="M8084" s="9">
        <f>B8084+30</f>
        <v/>
      </c>
      <c r="N8084">
        <f>IF(L8084="", "", L8084-B8084)</f>
        <v/>
      </c>
      <c r="O8084">
        <f>IF(L8084="", "Pending", IF(N8084&lt;=30, "Met", "Breached"))</f>
        <v/>
      </c>
      <c r="P8084" s="8" t="n"/>
      <c r="Q8084" s="8" t="n"/>
      <c r="R8084" s="8" t="n"/>
      <c r="S8084" s="8" t="n"/>
      <c r="T8084" s="8" t="n"/>
      <c r="U8084" s="8" t="n"/>
      <c r="V8084" s="8" t="n"/>
      <c r="W8084" s="8" t="n"/>
      <c r="X8084" s="8" t="n"/>
      <c r="Y8084" s="8" t="n"/>
    </row>
    <row r="8085">
      <c r="A8085" s="8" t="n"/>
      <c r="B8085" s="8" t="n"/>
      <c r="C8085" s="8" t="n"/>
      <c r="D8085" s="8" t="n"/>
      <c r="E8085" s="8" t="n"/>
      <c r="F8085" s="8" t="n"/>
      <c r="G8085" s="8" t="n"/>
      <c r="H8085" s="8" t="n"/>
      <c r="I8085" s="8" t="n"/>
      <c r="J8085" s="8" t="n"/>
      <c r="K8085" s="8" t="n"/>
      <c r="L8085" s="8" t="n"/>
      <c r="M8085" s="9">
        <f>B8085+30</f>
        <v/>
      </c>
      <c r="N8085">
        <f>IF(L8085="", "", L8085-B8085)</f>
        <v/>
      </c>
      <c r="O8085">
        <f>IF(L8085="", "Pending", IF(N8085&lt;=30, "Met", "Breached"))</f>
        <v/>
      </c>
      <c r="P8085" s="8" t="n"/>
      <c r="Q8085" s="8" t="n"/>
      <c r="R8085" s="8" t="n"/>
      <c r="S8085" s="8" t="n"/>
      <c r="T8085" s="8" t="n"/>
      <c r="U8085" s="8" t="n"/>
      <c r="V8085" s="8" t="n"/>
      <c r="W8085" s="8" t="n"/>
      <c r="X8085" s="8" t="n"/>
      <c r="Y8085" s="8" t="n"/>
    </row>
    <row r="8086">
      <c r="A8086" s="8" t="n"/>
      <c r="B8086" s="8" t="n"/>
      <c r="C8086" s="8" t="n"/>
      <c r="D8086" s="8" t="n"/>
      <c r="E8086" s="8" t="n"/>
      <c r="F8086" s="8" t="n"/>
      <c r="G8086" s="8" t="n"/>
      <c r="H8086" s="8" t="n"/>
      <c r="I8086" s="8" t="n"/>
      <c r="J8086" s="8" t="n"/>
      <c r="K8086" s="8" t="n"/>
      <c r="L8086" s="8" t="n"/>
      <c r="M8086" s="9">
        <f>B8086+30</f>
        <v/>
      </c>
      <c r="N8086">
        <f>IF(L8086="", "", L8086-B8086)</f>
        <v/>
      </c>
      <c r="O8086">
        <f>IF(L8086="", "Pending", IF(N8086&lt;=30, "Met", "Breached"))</f>
        <v/>
      </c>
      <c r="P8086" s="8" t="n"/>
      <c r="Q8086" s="8" t="n"/>
      <c r="R8086" s="8" t="n"/>
      <c r="S8086" s="8" t="n"/>
      <c r="T8086" s="8" t="n"/>
      <c r="U8086" s="8" t="n"/>
      <c r="V8086" s="8" t="n"/>
      <c r="W8086" s="8" t="n"/>
      <c r="X8086" s="8" t="n"/>
      <c r="Y8086" s="8" t="n"/>
    </row>
    <row r="8087">
      <c r="A8087" s="8" t="n"/>
      <c r="B8087" s="8" t="n"/>
      <c r="C8087" s="8" t="n"/>
      <c r="D8087" s="8" t="n"/>
      <c r="E8087" s="8" t="n"/>
      <c r="F8087" s="8" t="n"/>
      <c r="G8087" s="8" t="n"/>
      <c r="H8087" s="8" t="n"/>
      <c r="I8087" s="8" t="n"/>
      <c r="J8087" s="8" t="n"/>
      <c r="K8087" s="8" t="n"/>
      <c r="L8087" s="8" t="n"/>
      <c r="M8087" s="9">
        <f>B8087+30</f>
        <v/>
      </c>
      <c r="N8087">
        <f>IF(L8087="", "", L8087-B8087)</f>
        <v/>
      </c>
      <c r="O8087">
        <f>IF(L8087="", "Pending", IF(N8087&lt;=30, "Met", "Breached"))</f>
        <v/>
      </c>
      <c r="P8087" s="8" t="n"/>
      <c r="Q8087" s="8" t="n"/>
      <c r="R8087" s="8" t="n"/>
      <c r="S8087" s="8" t="n"/>
      <c r="T8087" s="8" t="n"/>
      <c r="U8087" s="8" t="n"/>
      <c r="V8087" s="8" t="n"/>
      <c r="W8087" s="8" t="n"/>
      <c r="X8087" s="8" t="n"/>
      <c r="Y8087" s="8" t="n"/>
    </row>
    <row r="8088">
      <c r="A8088" s="8" t="n"/>
      <c r="B8088" s="8" t="n"/>
      <c r="C8088" s="8" t="n"/>
      <c r="D8088" s="8" t="n"/>
      <c r="E8088" s="8" t="n"/>
      <c r="F8088" s="8" t="n"/>
      <c r="G8088" s="8" t="n"/>
      <c r="H8088" s="8" t="n"/>
      <c r="I8088" s="8" t="n"/>
      <c r="J8088" s="8" t="n"/>
      <c r="K8088" s="8" t="n"/>
      <c r="L8088" s="8" t="n"/>
      <c r="M8088" s="9">
        <f>B8088+30</f>
        <v/>
      </c>
      <c r="N8088">
        <f>IF(L8088="", "", L8088-B8088)</f>
        <v/>
      </c>
      <c r="O8088">
        <f>IF(L8088="", "Pending", IF(N8088&lt;=30, "Met", "Breached"))</f>
        <v/>
      </c>
      <c r="P8088" s="8" t="n"/>
      <c r="Q8088" s="8" t="n"/>
      <c r="R8088" s="8" t="n"/>
      <c r="S8088" s="8" t="n"/>
      <c r="T8088" s="8" t="n"/>
      <c r="U8088" s="8" t="n"/>
      <c r="V8088" s="8" t="n"/>
      <c r="W8088" s="8" t="n"/>
      <c r="X8088" s="8" t="n"/>
      <c r="Y8088" s="8" t="n"/>
    </row>
    <row r="8089">
      <c r="A8089" s="8" t="n"/>
      <c r="B8089" s="8" t="n"/>
      <c r="C8089" s="8" t="n"/>
      <c r="D8089" s="8" t="n"/>
      <c r="E8089" s="8" t="n"/>
      <c r="F8089" s="8" t="n"/>
      <c r="G8089" s="8" t="n"/>
      <c r="H8089" s="8" t="n"/>
      <c r="I8089" s="8" t="n"/>
      <c r="J8089" s="8" t="n"/>
      <c r="K8089" s="8" t="n"/>
      <c r="L8089" s="8" t="n"/>
      <c r="M8089" s="9">
        <f>B8089+30</f>
        <v/>
      </c>
      <c r="N8089">
        <f>IF(L8089="", "", L8089-B8089)</f>
        <v/>
      </c>
      <c r="O8089">
        <f>IF(L8089="", "Pending", IF(N8089&lt;=30, "Met", "Breached"))</f>
        <v/>
      </c>
      <c r="P8089" s="8" t="n"/>
      <c r="Q8089" s="8" t="n"/>
      <c r="R8089" s="8" t="n"/>
      <c r="S8089" s="8" t="n"/>
      <c r="T8089" s="8" t="n"/>
      <c r="U8089" s="8" t="n"/>
      <c r="V8089" s="8" t="n"/>
      <c r="W8089" s="8" t="n"/>
      <c r="X8089" s="8" t="n"/>
      <c r="Y8089" s="8" t="n"/>
    </row>
    <row r="8090">
      <c r="A8090" s="8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8" t="n"/>
      <c r="K8090" s="8" t="n"/>
      <c r="L8090" s="8" t="n"/>
      <c r="M8090" s="9">
        <f>B8090+30</f>
        <v/>
      </c>
      <c r="N8090">
        <f>IF(L8090="", "", L8090-B8090)</f>
        <v/>
      </c>
      <c r="O8090">
        <f>IF(L8090="", "Pending", IF(N8090&lt;=30, "Met", "Breached"))</f>
        <v/>
      </c>
      <c r="P8090" s="8" t="n"/>
      <c r="Q8090" s="8" t="n"/>
      <c r="R8090" s="8" t="n"/>
      <c r="S8090" s="8" t="n"/>
      <c r="T8090" s="8" t="n"/>
      <c r="U8090" s="8" t="n"/>
      <c r="V8090" s="8" t="n"/>
      <c r="W8090" s="8" t="n"/>
      <c r="X8090" s="8" t="n"/>
      <c r="Y8090" s="8" t="n"/>
    </row>
    <row r="8091">
      <c r="A8091" s="8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8" t="n"/>
      <c r="K8091" s="8" t="n"/>
      <c r="L8091" s="8" t="n"/>
      <c r="M8091" s="9">
        <f>B8091+30</f>
        <v/>
      </c>
      <c r="N8091">
        <f>IF(L8091="", "", L8091-B8091)</f>
        <v/>
      </c>
      <c r="O8091">
        <f>IF(L8091="", "Pending", IF(N8091&lt;=30, "Met", "Breached"))</f>
        <v/>
      </c>
      <c r="P8091" s="8" t="n"/>
      <c r="Q8091" s="8" t="n"/>
      <c r="R8091" s="8" t="n"/>
      <c r="S8091" s="8" t="n"/>
      <c r="T8091" s="8" t="n"/>
      <c r="U8091" s="8" t="n"/>
      <c r="V8091" s="8" t="n"/>
      <c r="W8091" s="8" t="n"/>
      <c r="X8091" s="8" t="n"/>
      <c r="Y8091" s="8" t="n"/>
    </row>
    <row r="8092">
      <c r="A8092" s="8" t="n"/>
      <c r="B8092" s="8" t="n"/>
      <c r="C8092" s="8" t="n"/>
      <c r="D8092" s="8" t="n"/>
      <c r="E8092" s="8" t="n"/>
      <c r="F8092" s="8" t="n"/>
      <c r="G8092" s="8" t="n"/>
      <c r="H8092" s="8" t="n"/>
      <c r="I8092" s="8" t="n"/>
      <c r="J8092" s="8" t="n"/>
      <c r="K8092" s="8" t="n"/>
      <c r="L8092" s="8" t="n"/>
      <c r="M8092" s="9">
        <f>B8092+30</f>
        <v/>
      </c>
      <c r="N8092">
        <f>IF(L8092="", "", L8092-B8092)</f>
        <v/>
      </c>
      <c r="O8092">
        <f>IF(L8092="", "Pending", IF(N8092&lt;=30, "Met", "Breached"))</f>
        <v/>
      </c>
      <c r="P8092" s="8" t="n"/>
      <c r="Q8092" s="8" t="n"/>
      <c r="R8092" s="8" t="n"/>
      <c r="S8092" s="8" t="n"/>
      <c r="T8092" s="8" t="n"/>
      <c r="U8092" s="8" t="n"/>
      <c r="V8092" s="8" t="n"/>
      <c r="W8092" s="8" t="n"/>
      <c r="X8092" s="8" t="n"/>
      <c r="Y8092" s="8" t="n"/>
    </row>
    <row r="8093">
      <c r="A8093" s="8" t="n"/>
      <c r="B8093" s="8" t="n"/>
      <c r="C8093" s="8" t="n"/>
      <c r="D8093" s="8" t="n"/>
      <c r="E8093" s="8" t="n"/>
      <c r="F8093" s="8" t="n"/>
      <c r="G8093" s="8" t="n"/>
      <c r="H8093" s="8" t="n"/>
      <c r="I8093" s="8" t="n"/>
      <c r="J8093" s="8" t="n"/>
      <c r="K8093" s="8" t="n"/>
      <c r="L8093" s="8" t="n"/>
      <c r="M8093" s="9">
        <f>B8093+30</f>
        <v/>
      </c>
      <c r="N8093">
        <f>IF(L8093="", "", L8093-B8093)</f>
        <v/>
      </c>
      <c r="O8093">
        <f>IF(L8093="", "Pending", IF(N8093&lt;=30, "Met", "Breached"))</f>
        <v/>
      </c>
      <c r="P8093" s="8" t="n"/>
      <c r="Q8093" s="8" t="n"/>
      <c r="R8093" s="8" t="n"/>
      <c r="S8093" s="8" t="n"/>
      <c r="T8093" s="8" t="n"/>
      <c r="U8093" s="8" t="n"/>
      <c r="V8093" s="8" t="n"/>
      <c r="W8093" s="8" t="n"/>
      <c r="X8093" s="8" t="n"/>
      <c r="Y8093" s="8" t="n"/>
    </row>
    <row r="8094">
      <c r="A8094" s="8" t="n"/>
      <c r="B8094" s="8" t="n"/>
      <c r="C8094" s="8" t="n"/>
      <c r="D8094" s="8" t="n"/>
      <c r="E8094" s="8" t="n"/>
      <c r="F8094" s="8" t="n"/>
      <c r="G8094" s="8" t="n"/>
      <c r="H8094" s="8" t="n"/>
      <c r="I8094" s="8" t="n"/>
      <c r="J8094" s="8" t="n"/>
      <c r="K8094" s="8" t="n"/>
      <c r="L8094" s="8" t="n"/>
      <c r="M8094" s="9">
        <f>B8094+30</f>
        <v/>
      </c>
      <c r="N8094">
        <f>IF(L8094="", "", L8094-B8094)</f>
        <v/>
      </c>
      <c r="O8094">
        <f>IF(L8094="", "Pending", IF(N8094&lt;=30, "Met", "Breached"))</f>
        <v/>
      </c>
      <c r="P8094" s="8" t="n"/>
      <c r="Q8094" s="8" t="n"/>
      <c r="R8094" s="8" t="n"/>
      <c r="S8094" s="8" t="n"/>
      <c r="T8094" s="8" t="n"/>
      <c r="U8094" s="8" t="n"/>
      <c r="V8094" s="8" t="n"/>
      <c r="W8094" s="8" t="n"/>
      <c r="X8094" s="8" t="n"/>
      <c r="Y8094" s="8" t="n"/>
    </row>
    <row r="8095">
      <c r="A8095" s="8" t="n"/>
      <c r="B8095" s="8" t="n"/>
      <c r="C8095" s="8" t="n"/>
      <c r="D8095" s="8" t="n"/>
      <c r="E8095" s="8" t="n"/>
      <c r="F8095" s="8" t="n"/>
      <c r="G8095" s="8" t="n"/>
      <c r="H8095" s="8" t="n"/>
      <c r="I8095" s="8" t="n"/>
      <c r="J8095" s="8" t="n"/>
      <c r="K8095" s="8" t="n"/>
      <c r="L8095" s="8" t="n"/>
      <c r="M8095" s="9">
        <f>B8095+30</f>
        <v/>
      </c>
      <c r="N8095">
        <f>IF(L8095="", "", L8095-B8095)</f>
        <v/>
      </c>
      <c r="O8095">
        <f>IF(L8095="", "Pending", IF(N8095&lt;=30, "Met", "Breached"))</f>
        <v/>
      </c>
      <c r="P8095" s="8" t="n"/>
      <c r="Q8095" s="8" t="n"/>
      <c r="R8095" s="8" t="n"/>
      <c r="S8095" s="8" t="n"/>
      <c r="T8095" s="8" t="n"/>
      <c r="U8095" s="8" t="n"/>
      <c r="V8095" s="8" t="n"/>
      <c r="W8095" s="8" t="n"/>
      <c r="X8095" s="8" t="n"/>
      <c r="Y8095" s="8" t="n"/>
    </row>
    <row r="8096">
      <c r="A8096" s="8" t="n"/>
      <c r="B8096" s="8" t="n"/>
      <c r="C8096" s="8" t="n"/>
      <c r="D8096" s="8" t="n"/>
      <c r="E8096" s="8" t="n"/>
      <c r="F8096" s="8" t="n"/>
      <c r="G8096" s="8" t="n"/>
      <c r="H8096" s="8" t="n"/>
      <c r="I8096" s="8" t="n"/>
      <c r="J8096" s="8" t="n"/>
      <c r="K8096" s="8" t="n"/>
      <c r="L8096" s="8" t="n"/>
      <c r="M8096" s="9">
        <f>B8096+30</f>
        <v/>
      </c>
      <c r="N8096">
        <f>IF(L8096="", "", L8096-B8096)</f>
        <v/>
      </c>
      <c r="O8096">
        <f>IF(L8096="", "Pending", IF(N8096&lt;=30, "Met", "Breached"))</f>
        <v/>
      </c>
      <c r="P8096" s="8" t="n"/>
      <c r="Q8096" s="8" t="n"/>
      <c r="R8096" s="8" t="n"/>
      <c r="S8096" s="8" t="n"/>
      <c r="T8096" s="8" t="n"/>
      <c r="U8096" s="8" t="n"/>
      <c r="V8096" s="8" t="n"/>
      <c r="W8096" s="8" t="n"/>
      <c r="X8096" s="8" t="n"/>
      <c r="Y8096" s="8" t="n"/>
    </row>
    <row r="8097">
      <c r="A8097" s="8" t="n"/>
      <c r="B8097" s="8" t="n"/>
      <c r="C8097" s="8" t="n"/>
      <c r="D8097" s="8" t="n"/>
      <c r="E8097" s="8" t="n"/>
      <c r="F8097" s="8" t="n"/>
      <c r="G8097" s="8" t="n"/>
      <c r="H8097" s="8" t="n"/>
      <c r="I8097" s="8" t="n"/>
      <c r="J8097" s="8" t="n"/>
      <c r="K8097" s="8" t="n"/>
      <c r="L8097" s="8" t="n"/>
      <c r="M8097" s="9">
        <f>B8097+30</f>
        <v/>
      </c>
      <c r="N8097">
        <f>IF(L8097="", "", L8097-B8097)</f>
        <v/>
      </c>
      <c r="O8097">
        <f>IF(L8097="", "Pending", IF(N8097&lt;=30, "Met", "Breached"))</f>
        <v/>
      </c>
      <c r="P8097" s="8" t="n"/>
      <c r="Q8097" s="8" t="n"/>
      <c r="R8097" s="8" t="n"/>
      <c r="S8097" s="8" t="n"/>
      <c r="T8097" s="8" t="n"/>
      <c r="U8097" s="8" t="n"/>
      <c r="V8097" s="8" t="n"/>
      <c r="W8097" s="8" t="n"/>
      <c r="X8097" s="8" t="n"/>
      <c r="Y8097" s="8" t="n"/>
    </row>
    <row r="8098">
      <c r="A8098" s="8" t="n"/>
      <c r="B8098" s="8" t="n"/>
      <c r="C8098" s="8" t="n"/>
      <c r="D8098" s="8" t="n"/>
      <c r="E8098" s="8" t="n"/>
      <c r="F8098" s="8" t="n"/>
      <c r="G8098" s="8" t="n"/>
      <c r="H8098" s="8" t="n"/>
      <c r="I8098" s="8" t="n"/>
      <c r="J8098" s="8" t="n"/>
      <c r="K8098" s="8" t="n"/>
      <c r="L8098" s="8" t="n"/>
      <c r="M8098" s="9">
        <f>B8098+30</f>
        <v/>
      </c>
      <c r="N8098">
        <f>IF(L8098="", "", L8098-B8098)</f>
        <v/>
      </c>
      <c r="O8098">
        <f>IF(L8098="", "Pending", IF(N8098&lt;=30, "Met", "Breached"))</f>
        <v/>
      </c>
      <c r="P8098" s="8" t="n"/>
      <c r="Q8098" s="8" t="n"/>
      <c r="R8098" s="8" t="n"/>
      <c r="S8098" s="8" t="n"/>
      <c r="T8098" s="8" t="n"/>
      <c r="U8098" s="8" t="n"/>
      <c r="V8098" s="8" t="n"/>
      <c r="W8098" s="8" t="n"/>
      <c r="X8098" s="8" t="n"/>
      <c r="Y8098" s="8" t="n"/>
    </row>
    <row r="8099">
      <c r="A8099" s="8" t="n"/>
      <c r="B8099" s="8" t="n"/>
      <c r="C8099" s="8" t="n"/>
      <c r="D8099" s="8" t="n"/>
      <c r="E8099" s="8" t="n"/>
      <c r="F8099" s="8" t="n"/>
      <c r="G8099" s="8" t="n"/>
      <c r="H8099" s="8" t="n"/>
      <c r="I8099" s="8" t="n"/>
      <c r="J8099" s="8" t="n"/>
      <c r="K8099" s="8" t="n"/>
      <c r="L8099" s="8" t="n"/>
      <c r="M8099" s="9">
        <f>B8099+30</f>
        <v/>
      </c>
      <c r="N8099">
        <f>IF(L8099="", "", L8099-B8099)</f>
        <v/>
      </c>
      <c r="O8099">
        <f>IF(L8099="", "Pending", IF(N8099&lt;=30, "Met", "Breached"))</f>
        <v/>
      </c>
      <c r="P8099" s="8" t="n"/>
      <c r="Q8099" s="8" t="n"/>
      <c r="R8099" s="8" t="n"/>
      <c r="S8099" s="8" t="n"/>
      <c r="T8099" s="8" t="n"/>
      <c r="U8099" s="8" t="n"/>
      <c r="V8099" s="8" t="n"/>
      <c r="W8099" s="8" t="n"/>
      <c r="X8099" s="8" t="n"/>
      <c r="Y8099" s="8" t="n"/>
    </row>
    <row r="8100">
      <c r="A8100" s="8" t="n"/>
      <c r="B8100" s="8" t="n"/>
      <c r="C8100" s="8" t="n"/>
      <c r="D8100" s="8" t="n"/>
      <c r="E8100" s="8" t="n"/>
      <c r="F8100" s="8" t="n"/>
      <c r="G8100" s="8" t="n"/>
      <c r="H8100" s="8" t="n"/>
      <c r="I8100" s="8" t="n"/>
      <c r="J8100" s="8" t="n"/>
      <c r="K8100" s="8" t="n"/>
      <c r="L8100" s="8" t="n"/>
      <c r="M8100" s="9">
        <f>B8100+30</f>
        <v/>
      </c>
      <c r="N8100">
        <f>IF(L8100="", "", L8100-B8100)</f>
        <v/>
      </c>
      <c r="O8100">
        <f>IF(L8100="", "Pending", IF(N8100&lt;=30, "Met", "Breached"))</f>
        <v/>
      </c>
      <c r="P8100" s="8" t="n"/>
      <c r="Q8100" s="8" t="n"/>
      <c r="R8100" s="8" t="n"/>
      <c r="S8100" s="8" t="n"/>
      <c r="T8100" s="8" t="n"/>
      <c r="U8100" s="8" t="n"/>
      <c r="V8100" s="8" t="n"/>
      <c r="W8100" s="8" t="n"/>
      <c r="X8100" s="8" t="n"/>
      <c r="Y8100" s="8" t="n"/>
    </row>
    <row r="8101">
      <c r="A8101" s="8" t="n"/>
      <c r="B8101" s="8" t="n"/>
      <c r="C8101" s="8" t="n"/>
      <c r="D8101" s="8" t="n"/>
      <c r="E8101" s="8" t="n"/>
      <c r="F8101" s="8" t="n"/>
      <c r="G8101" s="8" t="n"/>
      <c r="H8101" s="8" t="n"/>
      <c r="I8101" s="8" t="n"/>
      <c r="J8101" s="8" t="n"/>
      <c r="K8101" s="8" t="n"/>
      <c r="L8101" s="8" t="n"/>
      <c r="M8101" s="9">
        <f>B8101+30</f>
        <v/>
      </c>
      <c r="N8101">
        <f>IF(L8101="", "", L8101-B8101)</f>
        <v/>
      </c>
      <c r="O8101">
        <f>IF(L8101="", "Pending", IF(N8101&lt;=30, "Met", "Breached"))</f>
        <v/>
      </c>
      <c r="P8101" s="8" t="n"/>
      <c r="Q8101" s="8" t="n"/>
      <c r="R8101" s="8" t="n"/>
      <c r="S8101" s="8" t="n"/>
      <c r="T8101" s="8" t="n"/>
      <c r="U8101" s="8" t="n"/>
      <c r="V8101" s="8" t="n"/>
      <c r="W8101" s="8" t="n"/>
      <c r="X8101" s="8" t="n"/>
      <c r="Y8101" s="8" t="n"/>
    </row>
    <row r="8102">
      <c r="A8102" s="8" t="n"/>
      <c r="B8102" s="8" t="n"/>
      <c r="C8102" s="8" t="n"/>
      <c r="D8102" s="8" t="n"/>
      <c r="E8102" s="8" t="n"/>
      <c r="F8102" s="8" t="n"/>
      <c r="G8102" s="8" t="n"/>
      <c r="H8102" s="8" t="n"/>
      <c r="I8102" s="8" t="n"/>
      <c r="J8102" s="8" t="n"/>
      <c r="K8102" s="8" t="n"/>
      <c r="L8102" s="8" t="n"/>
      <c r="M8102" s="9">
        <f>B8102+30</f>
        <v/>
      </c>
      <c r="N8102">
        <f>IF(L8102="", "", L8102-B8102)</f>
        <v/>
      </c>
      <c r="O8102">
        <f>IF(L8102="", "Pending", IF(N8102&lt;=30, "Met", "Breached"))</f>
        <v/>
      </c>
      <c r="P8102" s="8" t="n"/>
      <c r="Q8102" s="8" t="n"/>
      <c r="R8102" s="8" t="n"/>
      <c r="S8102" s="8" t="n"/>
      <c r="T8102" s="8" t="n"/>
      <c r="U8102" s="8" t="n"/>
      <c r="V8102" s="8" t="n"/>
      <c r="W8102" s="8" t="n"/>
      <c r="X8102" s="8" t="n"/>
      <c r="Y8102" s="8" t="n"/>
    </row>
    <row r="8103">
      <c r="A8103" s="8" t="n"/>
      <c r="B8103" s="8" t="n"/>
      <c r="C8103" s="8" t="n"/>
      <c r="D8103" s="8" t="n"/>
      <c r="E8103" s="8" t="n"/>
      <c r="F8103" s="8" t="n"/>
      <c r="G8103" s="8" t="n"/>
      <c r="H8103" s="8" t="n"/>
      <c r="I8103" s="8" t="n"/>
      <c r="J8103" s="8" t="n"/>
      <c r="K8103" s="8" t="n"/>
      <c r="L8103" s="8" t="n"/>
      <c r="M8103" s="9">
        <f>B8103+30</f>
        <v/>
      </c>
      <c r="N8103">
        <f>IF(L8103="", "", L8103-B8103)</f>
        <v/>
      </c>
      <c r="O8103">
        <f>IF(L8103="", "Pending", IF(N8103&lt;=30, "Met", "Breached"))</f>
        <v/>
      </c>
      <c r="P8103" s="8" t="n"/>
      <c r="Q8103" s="8" t="n"/>
      <c r="R8103" s="8" t="n"/>
      <c r="S8103" s="8" t="n"/>
      <c r="T8103" s="8" t="n"/>
      <c r="U8103" s="8" t="n"/>
      <c r="V8103" s="8" t="n"/>
      <c r="W8103" s="8" t="n"/>
      <c r="X8103" s="8" t="n"/>
      <c r="Y8103" s="8" t="n"/>
    </row>
    <row r="8104">
      <c r="A8104" s="8" t="n"/>
      <c r="B8104" s="8" t="n"/>
      <c r="C8104" s="8" t="n"/>
      <c r="D8104" s="8" t="n"/>
      <c r="E8104" s="8" t="n"/>
      <c r="F8104" s="8" t="n"/>
      <c r="G8104" s="8" t="n"/>
      <c r="H8104" s="8" t="n"/>
      <c r="I8104" s="8" t="n"/>
      <c r="J8104" s="8" t="n"/>
      <c r="K8104" s="8" t="n"/>
      <c r="L8104" s="8" t="n"/>
      <c r="M8104" s="9">
        <f>B8104+30</f>
        <v/>
      </c>
      <c r="N8104">
        <f>IF(L8104="", "", L8104-B8104)</f>
        <v/>
      </c>
      <c r="O8104">
        <f>IF(L8104="", "Pending", IF(N8104&lt;=30, "Met", "Breached"))</f>
        <v/>
      </c>
      <c r="P8104" s="8" t="n"/>
      <c r="Q8104" s="8" t="n"/>
      <c r="R8104" s="8" t="n"/>
      <c r="S8104" s="8" t="n"/>
      <c r="T8104" s="8" t="n"/>
      <c r="U8104" s="8" t="n"/>
      <c r="V8104" s="8" t="n"/>
      <c r="W8104" s="8" t="n"/>
      <c r="X8104" s="8" t="n"/>
      <c r="Y8104" s="8" t="n"/>
    </row>
    <row r="8105">
      <c r="A8105" s="8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8" t="n"/>
      <c r="K8105" s="8" t="n"/>
      <c r="L8105" s="8" t="n"/>
      <c r="M8105" s="9">
        <f>B8105+30</f>
        <v/>
      </c>
      <c r="N8105">
        <f>IF(L8105="", "", L8105-B8105)</f>
        <v/>
      </c>
      <c r="O8105">
        <f>IF(L8105="", "Pending", IF(N8105&lt;=30, "Met", "Breached"))</f>
        <v/>
      </c>
      <c r="P8105" s="8" t="n"/>
      <c r="Q8105" s="8" t="n"/>
      <c r="R8105" s="8" t="n"/>
      <c r="S8105" s="8" t="n"/>
      <c r="T8105" s="8" t="n"/>
      <c r="U8105" s="8" t="n"/>
      <c r="V8105" s="8" t="n"/>
      <c r="W8105" s="8" t="n"/>
      <c r="X8105" s="8" t="n"/>
      <c r="Y8105" s="8" t="n"/>
    </row>
    <row r="8106">
      <c r="A8106" s="8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8" t="n"/>
      <c r="K8106" s="8" t="n"/>
      <c r="L8106" s="8" t="n"/>
      <c r="M8106" s="9">
        <f>B8106+30</f>
        <v/>
      </c>
      <c r="N8106">
        <f>IF(L8106="", "", L8106-B8106)</f>
        <v/>
      </c>
      <c r="O8106">
        <f>IF(L8106="", "Pending", IF(N8106&lt;=30, "Met", "Breached"))</f>
        <v/>
      </c>
      <c r="P8106" s="8" t="n"/>
      <c r="Q8106" s="8" t="n"/>
      <c r="R8106" s="8" t="n"/>
      <c r="S8106" s="8" t="n"/>
      <c r="T8106" s="8" t="n"/>
      <c r="U8106" s="8" t="n"/>
      <c r="V8106" s="8" t="n"/>
      <c r="W8106" s="8" t="n"/>
      <c r="X8106" s="8" t="n"/>
      <c r="Y8106" s="8" t="n"/>
    </row>
    <row r="8107">
      <c r="A8107" s="8" t="n"/>
      <c r="B8107" s="8" t="n"/>
      <c r="C8107" s="8" t="n"/>
      <c r="D8107" s="8" t="n"/>
      <c r="E8107" s="8" t="n"/>
      <c r="F8107" s="8" t="n"/>
      <c r="G8107" s="8" t="n"/>
      <c r="H8107" s="8" t="n"/>
      <c r="I8107" s="8" t="n"/>
      <c r="J8107" s="8" t="n"/>
      <c r="K8107" s="8" t="n"/>
      <c r="L8107" s="8" t="n"/>
      <c r="M8107" s="9">
        <f>B8107+30</f>
        <v/>
      </c>
      <c r="N8107">
        <f>IF(L8107="", "", L8107-B8107)</f>
        <v/>
      </c>
      <c r="O8107">
        <f>IF(L8107="", "Pending", IF(N8107&lt;=30, "Met", "Breached"))</f>
        <v/>
      </c>
      <c r="P8107" s="8" t="n"/>
      <c r="Q8107" s="8" t="n"/>
      <c r="R8107" s="8" t="n"/>
      <c r="S8107" s="8" t="n"/>
      <c r="T8107" s="8" t="n"/>
      <c r="U8107" s="8" t="n"/>
      <c r="V8107" s="8" t="n"/>
      <c r="W8107" s="8" t="n"/>
      <c r="X8107" s="8" t="n"/>
      <c r="Y8107" s="8" t="n"/>
    </row>
    <row r="8108">
      <c r="A8108" s="8" t="n"/>
      <c r="B8108" s="8" t="n"/>
      <c r="C8108" s="8" t="n"/>
      <c r="D8108" s="8" t="n"/>
      <c r="E8108" s="8" t="n"/>
      <c r="F8108" s="8" t="n"/>
      <c r="G8108" s="8" t="n"/>
      <c r="H8108" s="8" t="n"/>
      <c r="I8108" s="8" t="n"/>
      <c r="J8108" s="8" t="n"/>
      <c r="K8108" s="8" t="n"/>
      <c r="L8108" s="8" t="n"/>
      <c r="M8108" s="9">
        <f>B8108+30</f>
        <v/>
      </c>
      <c r="N8108">
        <f>IF(L8108="", "", L8108-B8108)</f>
        <v/>
      </c>
      <c r="O8108">
        <f>IF(L8108="", "Pending", IF(N8108&lt;=30, "Met", "Breached"))</f>
        <v/>
      </c>
      <c r="P8108" s="8" t="n"/>
      <c r="Q8108" s="8" t="n"/>
      <c r="R8108" s="8" t="n"/>
      <c r="S8108" s="8" t="n"/>
      <c r="T8108" s="8" t="n"/>
      <c r="U8108" s="8" t="n"/>
      <c r="V8108" s="8" t="n"/>
      <c r="W8108" s="8" t="n"/>
      <c r="X8108" s="8" t="n"/>
      <c r="Y8108" s="8" t="n"/>
    </row>
    <row r="8109">
      <c r="A8109" s="8" t="n"/>
      <c r="B8109" s="8" t="n"/>
      <c r="C8109" s="8" t="n"/>
      <c r="D8109" s="8" t="n"/>
      <c r="E8109" s="8" t="n"/>
      <c r="F8109" s="8" t="n"/>
      <c r="G8109" s="8" t="n"/>
      <c r="H8109" s="8" t="n"/>
      <c r="I8109" s="8" t="n"/>
      <c r="J8109" s="8" t="n"/>
      <c r="K8109" s="8" t="n"/>
      <c r="L8109" s="8" t="n"/>
      <c r="M8109" s="9">
        <f>B8109+30</f>
        <v/>
      </c>
      <c r="N8109">
        <f>IF(L8109="", "", L8109-B8109)</f>
        <v/>
      </c>
      <c r="O8109">
        <f>IF(L8109="", "Pending", IF(N8109&lt;=30, "Met", "Breached"))</f>
        <v/>
      </c>
      <c r="P8109" s="8" t="n"/>
      <c r="Q8109" s="8" t="n"/>
      <c r="R8109" s="8" t="n"/>
      <c r="S8109" s="8" t="n"/>
      <c r="T8109" s="8" t="n"/>
      <c r="U8109" s="8" t="n"/>
      <c r="V8109" s="8" t="n"/>
      <c r="W8109" s="8" t="n"/>
      <c r="X8109" s="8" t="n"/>
      <c r="Y8109" s="8" t="n"/>
    </row>
    <row r="8110">
      <c r="A8110" s="8" t="n"/>
      <c r="B8110" s="8" t="n"/>
      <c r="C8110" s="8" t="n"/>
      <c r="D8110" s="8" t="n"/>
      <c r="E8110" s="8" t="n"/>
      <c r="F8110" s="8" t="n"/>
      <c r="G8110" s="8" t="n"/>
      <c r="H8110" s="8" t="n"/>
      <c r="I8110" s="8" t="n"/>
      <c r="J8110" s="8" t="n"/>
      <c r="K8110" s="8" t="n"/>
      <c r="L8110" s="8" t="n"/>
      <c r="M8110" s="9">
        <f>B8110+30</f>
        <v/>
      </c>
      <c r="N8110">
        <f>IF(L8110="", "", L8110-B8110)</f>
        <v/>
      </c>
      <c r="O8110">
        <f>IF(L8110="", "Pending", IF(N8110&lt;=30, "Met", "Breached"))</f>
        <v/>
      </c>
      <c r="P8110" s="8" t="n"/>
      <c r="Q8110" s="8" t="n"/>
      <c r="R8110" s="8" t="n"/>
      <c r="S8110" s="8" t="n"/>
      <c r="T8110" s="8" t="n"/>
      <c r="U8110" s="8" t="n"/>
      <c r="V8110" s="8" t="n"/>
      <c r="W8110" s="8" t="n"/>
      <c r="X8110" s="8" t="n"/>
      <c r="Y8110" s="8" t="n"/>
    </row>
    <row r="8111">
      <c r="A8111" s="8" t="n"/>
      <c r="B8111" s="8" t="n"/>
      <c r="C8111" s="8" t="n"/>
      <c r="D8111" s="8" t="n"/>
      <c r="E8111" s="8" t="n"/>
      <c r="F8111" s="8" t="n"/>
      <c r="G8111" s="8" t="n"/>
      <c r="H8111" s="8" t="n"/>
      <c r="I8111" s="8" t="n"/>
      <c r="J8111" s="8" t="n"/>
      <c r="K8111" s="8" t="n"/>
      <c r="L8111" s="8" t="n"/>
      <c r="M8111" s="9">
        <f>B8111+30</f>
        <v/>
      </c>
      <c r="N8111">
        <f>IF(L8111="", "", L8111-B8111)</f>
        <v/>
      </c>
      <c r="O8111">
        <f>IF(L8111="", "Pending", IF(N8111&lt;=30, "Met", "Breached"))</f>
        <v/>
      </c>
      <c r="P8111" s="8" t="n"/>
      <c r="Q8111" s="8" t="n"/>
      <c r="R8111" s="8" t="n"/>
      <c r="S8111" s="8" t="n"/>
      <c r="T8111" s="8" t="n"/>
      <c r="U8111" s="8" t="n"/>
      <c r="V8111" s="8" t="n"/>
      <c r="W8111" s="8" t="n"/>
      <c r="X8111" s="8" t="n"/>
      <c r="Y8111" s="8" t="n"/>
    </row>
    <row r="8112">
      <c r="A8112" s="8" t="n"/>
      <c r="B8112" s="8" t="n"/>
      <c r="C8112" s="8" t="n"/>
      <c r="D8112" s="8" t="n"/>
      <c r="E8112" s="8" t="n"/>
      <c r="F8112" s="8" t="n"/>
      <c r="G8112" s="8" t="n"/>
      <c r="H8112" s="8" t="n"/>
      <c r="I8112" s="8" t="n"/>
      <c r="J8112" s="8" t="n"/>
      <c r="K8112" s="8" t="n"/>
      <c r="L8112" s="8" t="n"/>
      <c r="M8112" s="9">
        <f>B8112+30</f>
        <v/>
      </c>
      <c r="N8112">
        <f>IF(L8112="", "", L8112-B8112)</f>
        <v/>
      </c>
      <c r="O8112">
        <f>IF(L8112="", "Pending", IF(N8112&lt;=30, "Met", "Breached"))</f>
        <v/>
      </c>
      <c r="P8112" s="8" t="n"/>
      <c r="Q8112" s="8" t="n"/>
      <c r="R8112" s="8" t="n"/>
      <c r="S8112" s="8" t="n"/>
      <c r="T8112" s="8" t="n"/>
      <c r="U8112" s="8" t="n"/>
      <c r="V8112" s="8" t="n"/>
      <c r="W8112" s="8" t="n"/>
      <c r="X8112" s="8" t="n"/>
      <c r="Y8112" s="8" t="n"/>
    </row>
    <row r="8113">
      <c r="A8113" s="8" t="n"/>
      <c r="B8113" s="8" t="n"/>
      <c r="C8113" s="8" t="n"/>
      <c r="D8113" s="8" t="n"/>
      <c r="E8113" s="8" t="n"/>
      <c r="F8113" s="8" t="n"/>
      <c r="G8113" s="8" t="n"/>
      <c r="H8113" s="8" t="n"/>
      <c r="I8113" s="8" t="n"/>
      <c r="J8113" s="8" t="n"/>
      <c r="K8113" s="8" t="n"/>
      <c r="L8113" s="8" t="n"/>
      <c r="M8113" s="9">
        <f>B8113+30</f>
        <v/>
      </c>
      <c r="N8113">
        <f>IF(L8113="", "", L8113-B8113)</f>
        <v/>
      </c>
      <c r="O8113">
        <f>IF(L8113="", "Pending", IF(N8113&lt;=30, "Met", "Breached"))</f>
        <v/>
      </c>
      <c r="P8113" s="8" t="n"/>
      <c r="Q8113" s="8" t="n"/>
      <c r="R8113" s="8" t="n"/>
      <c r="S8113" s="8" t="n"/>
      <c r="T8113" s="8" t="n"/>
      <c r="U8113" s="8" t="n"/>
      <c r="V8113" s="8" t="n"/>
      <c r="W8113" s="8" t="n"/>
      <c r="X8113" s="8" t="n"/>
      <c r="Y8113" s="8" t="n"/>
    </row>
    <row r="8114">
      <c r="A8114" s="8" t="n"/>
      <c r="B8114" s="8" t="n"/>
      <c r="C8114" s="8" t="n"/>
      <c r="D8114" s="8" t="n"/>
      <c r="E8114" s="8" t="n"/>
      <c r="F8114" s="8" t="n"/>
      <c r="G8114" s="8" t="n"/>
      <c r="H8114" s="8" t="n"/>
      <c r="I8114" s="8" t="n"/>
      <c r="J8114" s="8" t="n"/>
      <c r="K8114" s="8" t="n"/>
      <c r="L8114" s="8" t="n"/>
      <c r="M8114" s="9">
        <f>B8114+30</f>
        <v/>
      </c>
      <c r="N8114">
        <f>IF(L8114="", "", L8114-B8114)</f>
        <v/>
      </c>
      <c r="O8114">
        <f>IF(L8114="", "Pending", IF(N8114&lt;=30, "Met", "Breached"))</f>
        <v/>
      </c>
      <c r="P8114" s="8" t="n"/>
      <c r="Q8114" s="8" t="n"/>
      <c r="R8114" s="8" t="n"/>
      <c r="S8114" s="8" t="n"/>
      <c r="T8114" s="8" t="n"/>
      <c r="U8114" s="8" t="n"/>
      <c r="V8114" s="8" t="n"/>
      <c r="W8114" s="8" t="n"/>
      <c r="X8114" s="8" t="n"/>
      <c r="Y8114" s="8" t="n"/>
    </row>
    <row r="8115">
      <c r="A8115" s="8" t="n"/>
      <c r="B8115" s="8" t="n"/>
      <c r="C8115" s="8" t="n"/>
      <c r="D8115" s="8" t="n"/>
      <c r="E8115" s="8" t="n"/>
      <c r="F8115" s="8" t="n"/>
      <c r="G8115" s="8" t="n"/>
      <c r="H8115" s="8" t="n"/>
      <c r="I8115" s="8" t="n"/>
      <c r="J8115" s="8" t="n"/>
      <c r="K8115" s="8" t="n"/>
      <c r="L8115" s="8" t="n"/>
      <c r="M8115" s="9">
        <f>B8115+30</f>
        <v/>
      </c>
      <c r="N8115">
        <f>IF(L8115="", "", L8115-B8115)</f>
        <v/>
      </c>
      <c r="O8115">
        <f>IF(L8115="", "Pending", IF(N8115&lt;=30, "Met", "Breached"))</f>
        <v/>
      </c>
      <c r="P8115" s="8" t="n"/>
      <c r="Q8115" s="8" t="n"/>
      <c r="R8115" s="8" t="n"/>
      <c r="S8115" s="8" t="n"/>
      <c r="T8115" s="8" t="n"/>
      <c r="U8115" s="8" t="n"/>
      <c r="V8115" s="8" t="n"/>
      <c r="W8115" s="8" t="n"/>
      <c r="X8115" s="8" t="n"/>
      <c r="Y8115" s="8" t="n"/>
    </row>
    <row r="8116">
      <c r="A8116" s="8" t="n"/>
      <c r="B8116" s="8" t="n"/>
      <c r="C8116" s="8" t="n"/>
      <c r="D8116" s="8" t="n"/>
      <c r="E8116" s="8" t="n"/>
      <c r="F8116" s="8" t="n"/>
      <c r="G8116" s="8" t="n"/>
      <c r="H8116" s="8" t="n"/>
      <c r="I8116" s="8" t="n"/>
      <c r="J8116" s="8" t="n"/>
      <c r="K8116" s="8" t="n"/>
      <c r="L8116" s="8" t="n"/>
      <c r="M8116" s="9">
        <f>B8116+30</f>
        <v/>
      </c>
      <c r="N8116">
        <f>IF(L8116="", "", L8116-B8116)</f>
        <v/>
      </c>
      <c r="O8116">
        <f>IF(L8116="", "Pending", IF(N8116&lt;=30, "Met", "Breached"))</f>
        <v/>
      </c>
      <c r="P8116" s="8" t="n"/>
      <c r="Q8116" s="8" t="n"/>
      <c r="R8116" s="8" t="n"/>
      <c r="S8116" s="8" t="n"/>
      <c r="T8116" s="8" t="n"/>
      <c r="U8116" s="8" t="n"/>
      <c r="V8116" s="8" t="n"/>
      <c r="W8116" s="8" t="n"/>
      <c r="X8116" s="8" t="n"/>
      <c r="Y8116" s="8" t="n"/>
    </row>
    <row r="8117">
      <c r="A8117" s="8" t="n"/>
      <c r="B8117" s="8" t="n"/>
      <c r="C8117" s="8" t="n"/>
      <c r="D8117" s="8" t="n"/>
      <c r="E8117" s="8" t="n"/>
      <c r="F8117" s="8" t="n"/>
      <c r="G8117" s="8" t="n"/>
      <c r="H8117" s="8" t="n"/>
      <c r="I8117" s="8" t="n"/>
      <c r="J8117" s="8" t="n"/>
      <c r="K8117" s="8" t="n"/>
      <c r="L8117" s="8" t="n"/>
      <c r="M8117" s="9">
        <f>B8117+30</f>
        <v/>
      </c>
      <c r="N8117">
        <f>IF(L8117="", "", L8117-B8117)</f>
        <v/>
      </c>
      <c r="O8117">
        <f>IF(L8117="", "Pending", IF(N8117&lt;=30, "Met", "Breached"))</f>
        <v/>
      </c>
      <c r="P8117" s="8" t="n"/>
      <c r="Q8117" s="8" t="n"/>
      <c r="R8117" s="8" t="n"/>
      <c r="S8117" s="8" t="n"/>
      <c r="T8117" s="8" t="n"/>
      <c r="U8117" s="8" t="n"/>
      <c r="V8117" s="8" t="n"/>
      <c r="W8117" s="8" t="n"/>
      <c r="X8117" s="8" t="n"/>
      <c r="Y8117" s="8" t="n"/>
    </row>
    <row r="8118">
      <c r="A8118" s="8" t="n"/>
      <c r="B8118" s="8" t="n"/>
      <c r="C8118" s="8" t="n"/>
      <c r="D8118" s="8" t="n"/>
      <c r="E8118" s="8" t="n"/>
      <c r="F8118" s="8" t="n"/>
      <c r="G8118" s="8" t="n"/>
      <c r="H8118" s="8" t="n"/>
      <c r="I8118" s="8" t="n"/>
      <c r="J8118" s="8" t="n"/>
      <c r="K8118" s="8" t="n"/>
      <c r="L8118" s="8" t="n"/>
      <c r="M8118" s="9">
        <f>B8118+30</f>
        <v/>
      </c>
      <c r="N8118">
        <f>IF(L8118="", "", L8118-B8118)</f>
        <v/>
      </c>
      <c r="O8118">
        <f>IF(L8118="", "Pending", IF(N8118&lt;=30, "Met", "Breached"))</f>
        <v/>
      </c>
      <c r="P8118" s="8" t="n"/>
      <c r="Q8118" s="8" t="n"/>
      <c r="R8118" s="8" t="n"/>
      <c r="S8118" s="8" t="n"/>
      <c r="T8118" s="8" t="n"/>
      <c r="U8118" s="8" t="n"/>
      <c r="V8118" s="8" t="n"/>
      <c r="W8118" s="8" t="n"/>
      <c r="X8118" s="8" t="n"/>
      <c r="Y8118" s="8" t="n"/>
    </row>
    <row r="8119">
      <c r="A8119" s="8" t="n"/>
      <c r="B8119" s="8" t="n"/>
      <c r="C8119" s="8" t="n"/>
      <c r="D8119" s="8" t="n"/>
      <c r="E8119" s="8" t="n"/>
      <c r="F8119" s="8" t="n"/>
      <c r="G8119" s="8" t="n"/>
      <c r="H8119" s="8" t="n"/>
      <c r="I8119" s="8" t="n"/>
      <c r="J8119" s="8" t="n"/>
      <c r="K8119" s="8" t="n"/>
      <c r="L8119" s="8" t="n"/>
      <c r="M8119" s="9">
        <f>B8119+30</f>
        <v/>
      </c>
      <c r="N8119">
        <f>IF(L8119="", "", L8119-B8119)</f>
        <v/>
      </c>
      <c r="O8119">
        <f>IF(L8119="", "Pending", IF(N8119&lt;=30, "Met", "Breached"))</f>
        <v/>
      </c>
      <c r="P8119" s="8" t="n"/>
      <c r="Q8119" s="8" t="n"/>
      <c r="R8119" s="8" t="n"/>
      <c r="S8119" s="8" t="n"/>
      <c r="T8119" s="8" t="n"/>
      <c r="U8119" s="8" t="n"/>
      <c r="V8119" s="8" t="n"/>
      <c r="W8119" s="8" t="n"/>
      <c r="X8119" s="8" t="n"/>
      <c r="Y8119" s="8" t="n"/>
    </row>
    <row r="8120">
      <c r="A8120" s="8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8" t="n"/>
      <c r="K8120" s="8" t="n"/>
      <c r="L8120" s="8" t="n"/>
      <c r="M8120" s="9">
        <f>B8120+30</f>
        <v/>
      </c>
      <c r="N8120">
        <f>IF(L8120="", "", L8120-B8120)</f>
        <v/>
      </c>
      <c r="O8120">
        <f>IF(L8120="", "Pending", IF(N8120&lt;=30, "Met", "Breached"))</f>
        <v/>
      </c>
      <c r="P8120" s="8" t="n"/>
      <c r="Q8120" s="8" t="n"/>
      <c r="R8120" s="8" t="n"/>
      <c r="S8120" s="8" t="n"/>
      <c r="T8120" s="8" t="n"/>
      <c r="U8120" s="8" t="n"/>
      <c r="V8120" s="8" t="n"/>
      <c r="W8120" s="8" t="n"/>
      <c r="X8120" s="8" t="n"/>
      <c r="Y8120" s="8" t="n"/>
    </row>
    <row r="8121">
      <c r="A8121" s="8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8" t="n"/>
      <c r="K8121" s="8" t="n"/>
      <c r="L8121" s="8" t="n"/>
      <c r="M8121" s="9">
        <f>B8121+30</f>
        <v/>
      </c>
      <c r="N8121">
        <f>IF(L8121="", "", L8121-B8121)</f>
        <v/>
      </c>
      <c r="O8121">
        <f>IF(L8121="", "Pending", IF(N8121&lt;=30, "Met", "Breached"))</f>
        <v/>
      </c>
      <c r="P8121" s="8" t="n"/>
      <c r="Q8121" s="8" t="n"/>
      <c r="R8121" s="8" t="n"/>
      <c r="S8121" s="8" t="n"/>
      <c r="T8121" s="8" t="n"/>
      <c r="U8121" s="8" t="n"/>
      <c r="V8121" s="8" t="n"/>
      <c r="W8121" s="8" t="n"/>
      <c r="X8121" s="8" t="n"/>
      <c r="Y8121" s="8" t="n"/>
    </row>
    <row r="8122">
      <c r="A8122" s="8" t="n"/>
      <c r="B8122" s="8" t="n"/>
      <c r="C8122" s="8" t="n"/>
      <c r="D8122" s="8" t="n"/>
      <c r="E8122" s="8" t="n"/>
      <c r="F8122" s="8" t="n"/>
      <c r="G8122" s="8" t="n"/>
      <c r="H8122" s="8" t="n"/>
      <c r="I8122" s="8" t="n"/>
      <c r="J8122" s="8" t="n"/>
      <c r="K8122" s="8" t="n"/>
      <c r="L8122" s="8" t="n"/>
      <c r="M8122" s="9">
        <f>B8122+30</f>
        <v/>
      </c>
      <c r="N8122">
        <f>IF(L8122="", "", L8122-B8122)</f>
        <v/>
      </c>
      <c r="O8122">
        <f>IF(L8122="", "Pending", IF(N8122&lt;=30, "Met", "Breached"))</f>
        <v/>
      </c>
      <c r="P8122" s="8" t="n"/>
      <c r="Q8122" s="8" t="n"/>
      <c r="R8122" s="8" t="n"/>
      <c r="S8122" s="8" t="n"/>
      <c r="T8122" s="8" t="n"/>
      <c r="U8122" s="8" t="n"/>
      <c r="V8122" s="8" t="n"/>
      <c r="W8122" s="8" t="n"/>
      <c r="X8122" s="8" t="n"/>
      <c r="Y8122" s="8" t="n"/>
    </row>
    <row r="8123">
      <c r="A8123" s="8" t="n"/>
      <c r="B8123" s="8" t="n"/>
      <c r="C8123" s="8" t="n"/>
      <c r="D8123" s="8" t="n"/>
      <c r="E8123" s="8" t="n"/>
      <c r="F8123" s="8" t="n"/>
      <c r="G8123" s="8" t="n"/>
      <c r="H8123" s="8" t="n"/>
      <c r="I8123" s="8" t="n"/>
      <c r="J8123" s="8" t="n"/>
      <c r="K8123" s="8" t="n"/>
      <c r="L8123" s="8" t="n"/>
      <c r="M8123" s="9">
        <f>B8123+30</f>
        <v/>
      </c>
      <c r="N8123">
        <f>IF(L8123="", "", L8123-B8123)</f>
        <v/>
      </c>
      <c r="O8123">
        <f>IF(L8123="", "Pending", IF(N8123&lt;=30, "Met", "Breached"))</f>
        <v/>
      </c>
      <c r="P8123" s="8" t="n"/>
      <c r="Q8123" s="8" t="n"/>
      <c r="R8123" s="8" t="n"/>
      <c r="S8123" s="8" t="n"/>
      <c r="T8123" s="8" t="n"/>
      <c r="U8123" s="8" t="n"/>
      <c r="V8123" s="8" t="n"/>
      <c r="W8123" s="8" t="n"/>
      <c r="X8123" s="8" t="n"/>
      <c r="Y8123" s="8" t="n"/>
    </row>
    <row r="8124">
      <c r="A8124" s="8" t="n"/>
      <c r="B8124" s="8" t="n"/>
      <c r="C8124" s="8" t="n"/>
      <c r="D8124" s="8" t="n"/>
      <c r="E8124" s="8" t="n"/>
      <c r="F8124" s="8" t="n"/>
      <c r="G8124" s="8" t="n"/>
      <c r="H8124" s="8" t="n"/>
      <c r="I8124" s="8" t="n"/>
      <c r="J8124" s="8" t="n"/>
      <c r="K8124" s="8" t="n"/>
      <c r="L8124" s="8" t="n"/>
      <c r="M8124" s="9">
        <f>B8124+30</f>
        <v/>
      </c>
      <c r="N8124">
        <f>IF(L8124="", "", L8124-B8124)</f>
        <v/>
      </c>
      <c r="O8124">
        <f>IF(L8124="", "Pending", IF(N8124&lt;=30, "Met", "Breached"))</f>
        <v/>
      </c>
      <c r="P8124" s="8" t="n"/>
      <c r="Q8124" s="8" t="n"/>
      <c r="R8124" s="8" t="n"/>
      <c r="S8124" s="8" t="n"/>
      <c r="T8124" s="8" t="n"/>
      <c r="U8124" s="8" t="n"/>
      <c r="V8124" s="8" t="n"/>
      <c r="W8124" s="8" t="n"/>
      <c r="X8124" s="8" t="n"/>
      <c r="Y8124" s="8" t="n"/>
    </row>
    <row r="8125">
      <c r="A8125" s="8" t="n"/>
      <c r="B8125" s="8" t="n"/>
      <c r="C8125" s="8" t="n"/>
      <c r="D8125" s="8" t="n"/>
      <c r="E8125" s="8" t="n"/>
      <c r="F8125" s="8" t="n"/>
      <c r="G8125" s="8" t="n"/>
      <c r="H8125" s="8" t="n"/>
      <c r="I8125" s="8" t="n"/>
      <c r="J8125" s="8" t="n"/>
      <c r="K8125" s="8" t="n"/>
      <c r="L8125" s="8" t="n"/>
      <c r="M8125" s="9">
        <f>B8125+30</f>
        <v/>
      </c>
      <c r="N8125">
        <f>IF(L8125="", "", L8125-B8125)</f>
        <v/>
      </c>
      <c r="O8125">
        <f>IF(L8125="", "Pending", IF(N8125&lt;=30, "Met", "Breached"))</f>
        <v/>
      </c>
      <c r="P8125" s="8" t="n"/>
      <c r="Q8125" s="8" t="n"/>
      <c r="R8125" s="8" t="n"/>
      <c r="S8125" s="8" t="n"/>
      <c r="T8125" s="8" t="n"/>
      <c r="U8125" s="8" t="n"/>
      <c r="V8125" s="8" t="n"/>
      <c r="W8125" s="8" t="n"/>
      <c r="X8125" s="8" t="n"/>
      <c r="Y8125" s="8" t="n"/>
    </row>
    <row r="8126">
      <c r="A8126" s="8" t="n"/>
      <c r="B8126" s="8" t="n"/>
      <c r="C8126" s="8" t="n"/>
      <c r="D8126" s="8" t="n"/>
      <c r="E8126" s="8" t="n"/>
      <c r="F8126" s="8" t="n"/>
      <c r="G8126" s="8" t="n"/>
      <c r="H8126" s="8" t="n"/>
      <c r="I8126" s="8" t="n"/>
      <c r="J8126" s="8" t="n"/>
      <c r="K8126" s="8" t="n"/>
      <c r="L8126" s="8" t="n"/>
      <c r="M8126" s="9">
        <f>B8126+30</f>
        <v/>
      </c>
      <c r="N8126">
        <f>IF(L8126="", "", L8126-B8126)</f>
        <v/>
      </c>
      <c r="O8126">
        <f>IF(L8126="", "Pending", IF(N8126&lt;=30, "Met", "Breached"))</f>
        <v/>
      </c>
      <c r="P8126" s="8" t="n"/>
      <c r="Q8126" s="8" t="n"/>
      <c r="R8126" s="8" t="n"/>
      <c r="S8126" s="8" t="n"/>
      <c r="T8126" s="8" t="n"/>
      <c r="U8126" s="8" t="n"/>
      <c r="V8126" s="8" t="n"/>
      <c r="W8126" s="8" t="n"/>
      <c r="X8126" s="8" t="n"/>
      <c r="Y8126" s="8" t="n"/>
    </row>
    <row r="8127">
      <c r="A8127" s="8" t="n"/>
      <c r="B8127" s="8" t="n"/>
      <c r="C8127" s="8" t="n"/>
      <c r="D8127" s="8" t="n"/>
      <c r="E8127" s="8" t="n"/>
      <c r="F8127" s="8" t="n"/>
      <c r="G8127" s="8" t="n"/>
      <c r="H8127" s="8" t="n"/>
      <c r="I8127" s="8" t="n"/>
      <c r="J8127" s="8" t="n"/>
      <c r="K8127" s="8" t="n"/>
      <c r="L8127" s="8" t="n"/>
      <c r="M8127" s="9">
        <f>B8127+30</f>
        <v/>
      </c>
      <c r="N8127">
        <f>IF(L8127="", "", L8127-B8127)</f>
        <v/>
      </c>
      <c r="O8127">
        <f>IF(L8127="", "Pending", IF(N8127&lt;=30, "Met", "Breached"))</f>
        <v/>
      </c>
      <c r="P8127" s="8" t="n"/>
      <c r="Q8127" s="8" t="n"/>
      <c r="R8127" s="8" t="n"/>
      <c r="S8127" s="8" t="n"/>
      <c r="T8127" s="8" t="n"/>
      <c r="U8127" s="8" t="n"/>
      <c r="V8127" s="8" t="n"/>
      <c r="W8127" s="8" t="n"/>
      <c r="X8127" s="8" t="n"/>
      <c r="Y8127" s="8" t="n"/>
    </row>
    <row r="8128">
      <c r="A8128" s="8" t="n"/>
      <c r="B8128" s="8" t="n"/>
      <c r="C8128" s="8" t="n"/>
      <c r="D8128" s="8" t="n"/>
      <c r="E8128" s="8" t="n"/>
      <c r="F8128" s="8" t="n"/>
      <c r="G8128" s="8" t="n"/>
      <c r="H8128" s="8" t="n"/>
      <c r="I8128" s="8" t="n"/>
      <c r="J8128" s="8" t="n"/>
      <c r="K8128" s="8" t="n"/>
      <c r="L8128" s="8" t="n"/>
      <c r="M8128" s="9">
        <f>B8128+30</f>
        <v/>
      </c>
      <c r="N8128">
        <f>IF(L8128="", "", L8128-B8128)</f>
        <v/>
      </c>
      <c r="O8128">
        <f>IF(L8128="", "Pending", IF(N8128&lt;=30, "Met", "Breached"))</f>
        <v/>
      </c>
      <c r="P8128" s="8" t="n"/>
      <c r="Q8128" s="8" t="n"/>
      <c r="R8128" s="8" t="n"/>
      <c r="S8128" s="8" t="n"/>
      <c r="T8128" s="8" t="n"/>
      <c r="U8128" s="8" t="n"/>
      <c r="V8128" s="8" t="n"/>
      <c r="W8128" s="8" t="n"/>
      <c r="X8128" s="8" t="n"/>
      <c r="Y8128" s="8" t="n"/>
    </row>
    <row r="8129">
      <c r="A8129" s="8" t="n"/>
      <c r="B8129" s="8" t="n"/>
      <c r="C8129" s="8" t="n"/>
      <c r="D8129" s="8" t="n"/>
      <c r="E8129" s="8" t="n"/>
      <c r="F8129" s="8" t="n"/>
      <c r="G8129" s="8" t="n"/>
      <c r="H8129" s="8" t="n"/>
      <c r="I8129" s="8" t="n"/>
      <c r="J8129" s="8" t="n"/>
      <c r="K8129" s="8" t="n"/>
      <c r="L8129" s="8" t="n"/>
      <c r="M8129" s="9">
        <f>B8129+30</f>
        <v/>
      </c>
      <c r="N8129">
        <f>IF(L8129="", "", L8129-B8129)</f>
        <v/>
      </c>
      <c r="O8129">
        <f>IF(L8129="", "Pending", IF(N8129&lt;=30, "Met", "Breached"))</f>
        <v/>
      </c>
      <c r="P8129" s="8" t="n"/>
      <c r="Q8129" s="8" t="n"/>
      <c r="R8129" s="8" t="n"/>
      <c r="S8129" s="8" t="n"/>
      <c r="T8129" s="8" t="n"/>
      <c r="U8129" s="8" t="n"/>
      <c r="V8129" s="8" t="n"/>
      <c r="W8129" s="8" t="n"/>
      <c r="X8129" s="8" t="n"/>
      <c r="Y8129" s="8" t="n"/>
    </row>
    <row r="8130">
      <c r="A8130" s="8" t="n"/>
      <c r="B8130" s="8" t="n"/>
      <c r="C8130" s="8" t="n"/>
      <c r="D8130" s="8" t="n"/>
      <c r="E8130" s="8" t="n"/>
      <c r="F8130" s="8" t="n"/>
      <c r="G8130" s="8" t="n"/>
      <c r="H8130" s="8" t="n"/>
      <c r="I8130" s="8" t="n"/>
      <c r="J8130" s="8" t="n"/>
      <c r="K8130" s="8" t="n"/>
      <c r="L8130" s="8" t="n"/>
      <c r="M8130" s="9">
        <f>B8130+30</f>
        <v/>
      </c>
      <c r="N8130">
        <f>IF(L8130="", "", L8130-B8130)</f>
        <v/>
      </c>
      <c r="O8130">
        <f>IF(L8130="", "Pending", IF(N8130&lt;=30, "Met", "Breached"))</f>
        <v/>
      </c>
      <c r="P8130" s="8" t="n"/>
      <c r="Q8130" s="8" t="n"/>
      <c r="R8130" s="8" t="n"/>
      <c r="S8130" s="8" t="n"/>
      <c r="T8130" s="8" t="n"/>
      <c r="U8130" s="8" t="n"/>
      <c r="V8130" s="8" t="n"/>
      <c r="W8130" s="8" t="n"/>
      <c r="X8130" s="8" t="n"/>
      <c r="Y8130" s="8" t="n"/>
    </row>
    <row r="8131">
      <c r="A8131" s="8" t="n"/>
      <c r="B8131" s="8" t="n"/>
      <c r="C8131" s="8" t="n"/>
      <c r="D8131" s="8" t="n"/>
      <c r="E8131" s="8" t="n"/>
      <c r="F8131" s="8" t="n"/>
      <c r="G8131" s="8" t="n"/>
      <c r="H8131" s="8" t="n"/>
      <c r="I8131" s="8" t="n"/>
      <c r="J8131" s="8" t="n"/>
      <c r="K8131" s="8" t="n"/>
      <c r="L8131" s="8" t="n"/>
      <c r="M8131" s="9">
        <f>B8131+30</f>
        <v/>
      </c>
      <c r="N8131">
        <f>IF(L8131="", "", L8131-B8131)</f>
        <v/>
      </c>
      <c r="O8131">
        <f>IF(L8131="", "Pending", IF(N8131&lt;=30, "Met", "Breached"))</f>
        <v/>
      </c>
      <c r="P8131" s="8" t="n"/>
      <c r="Q8131" s="8" t="n"/>
      <c r="R8131" s="8" t="n"/>
      <c r="S8131" s="8" t="n"/>
      <c r="T8131" s="8" t="n"/>
      <c r="U8131" s="8" t="n"/>
      <c r="V8131" s="8" t="n"/>
      <c r="W8131" s="8" t="n"/>
      <c r="X8131" s="8" t="n"/>
      <c r="Y8131" s="8" t="n"/>
    </row>
    <row r="8132">
      <c r="A8132" s="8" t="n"/>
      <c r="B8132" s="8" t="n"/>
      <c r="C8132" s="8" t="n"/>
      <c r="D8132" s="8" t="n"/>
      <c r="E8132" s="8" t="n"/>
      <c r="F8132" s="8" t="n"/>
      <c r="G8132" s="8" t="n"/>
      <c r="H8132" s="8" t="n"/>
      <c r="I8132" s="8" t="n"/>
      <c r="J8132" s="8" t="n"/>
      <c r="K8132" s="8" t="n"/>
      <c r="L8132" s="8" t="n"/>
      <c r="M8132" s="9">
        <f>B8132+30</f>
        <v/>
      </c>
      <c r="N8132">
        <f>IF(L8132="", "", L8132-B8132)</f>
        <v/>
      </c>
      <c r="O8132">
        <f>IF(L8132="", "Pending", IF(N8132&lt;=30, "Met", "Breached"))</f>
        <v/>
      </c>
      <c r="P8132" s="8" t="n"/>
      <c r="Q8132" s="8" t="n"/>
      <c r="R8132" s="8" t="n"/>
      <c r="S8132" s="8" t="n"/>
      <c r="T8132" s="8" t="n"/>
      <c r="U8132" s="8" t="n"/>
      <c r="V8132" s="8" t="n"/>
      <c r="W8132" s="8" t="n"/>
      <c r="X8132" s="8" t="n"/>
      <c r="Y8132" s="8" t="n"/>
    </row>
    <row r="8133">
      <c r="A8133" s="8" t="n"/>
      <c r="B8133" s="8" t="n"/>
      <c r="C8133" s="8" t="n"/>
      <c r="D8133" s="8" t="n"/>
      <c r="E8133" s="8" t="n"/>
      <c r="F8133" s="8" t="n"/>
      <c r="G8133" s="8" t="n"/>
      <c r="H8133" s="8" t="n"/>
      <c r="I8133" s="8" t="n"/>
      <c r="J8133" s="8" t="n"/>
      <c r="K8133" s="8" t="n"/>
      <c r="L8133" s="8" t="n"/>
      <c r="M8133" s="9">
        <f>B8133+30</f>
        <v/>
      </c>
      <c r="N8133">
        <f>IF(L8133="", "", L8133-B8133)</f>
        <v/>
      </c>
      <c r="O8133">
        <f>IF(L8133="", "Pending", IF(N8133&lt;=30, "Met", "Breached"))</f>
        <v/>
      </c>
      <c r="P8133" s="8" t="n"/>
      <c r="Q8133" s="8" t="n"/>
      <c r="R8133" s="8" t="n"/>
      <c r="S8133" s="8" t="n"/>
      <c r="T8133" s="8" t="n"/>
      <c r="U8133" s="8" t="n"/>
      <c r="V8133" s="8" t="n"/>
      <c r="W8133" s="8" t="n"/>
      <c r="X8133" s="8" t="n"/>
      <c r="Y8133" s="8" t="n"/>
    </row>
    <row r="8134">
      <c r="A8134" s="8" t="n"/>
      <c r="B8134" s="8" t="n"/>
      <c r="C8134" s="8" t="n"/>
      <c r="D8134" s="8" t="n"/>
      <c r="E8134" s="8" t="n"/>
      <c r="F8134" s="8" t="n"/>
      <c r="G8134" s="8" t="n"/>
      <c r="H8134" s="8" t="n"/>
      <c r="I8134" s="8" t="n"/>
      <c r="J8134" s="8" t="n"/>
      <c r="K8134" s="8" t="n"/>
      <c r="L8134" s="8" t="n"/>
      <c r="M8134" s="9">
        <f>B8134+30</f>
        <v/>
      </c>
      <c r="N8134">
        <f>IF(L8134="", "", L8134-B8134)</f>
        <v/>
      </c>
      <c r="O8134">
        <f>IF(L8134="", "Pending", IF(N8134&lt;=30, "Met", "Breached"))</f>
        <v/>
      </c>
      <c r="P8134" s="8" t="n"/>
      <c r="Q8134" s="8" t="n"/>
      <c r="R8134" s="8" t="n"/>
      <c r="S8134" s="8" t="n"/>
      <c r="T8134" s="8" t="n"/>
      <c r="U8134" s="8" t="n"/>
      <c r="V8134" s="8" t="n"/>
      <c r="W8134" s="8" t="n"/>
      <c r="X8134" s="8" t="n"/>
      <c r="Y8134" s="8" t="n"/>
    </row>
    <row r="8135">
      <c r="A8135" s="8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8" t="n"/>
      <c r="K8135" s="8" t="n"/>
      <c r="L8135" s="8" t="n"/>
      <c r="M8135" s="9">
        <f>B8135+30</f>
        <v/>
      </c>
      <c r="N8135">
        <f>IF(L8135="", "", L8135-B8135)</f>
        <v/>
      </c>
      <c r="O8135">
        <f>IF(L8135="", "Pending", IF(N8135&lt;=30, "Met", "Breached"))</f>
        <v/>
      </c>
      <c r="P8135" s="8" t="n"/>
      <c r="Q8135" s="8" t="n"/>
      <c r="R8135" s="8" t="n"/>
      <c r="S8135" s="8" t="n"/>
      <c r="T8135" s="8" t="n"/>
      <c r="U8135" s="8" t="n"/>
      <c r="V8135" s="8" t="n"/>
      <c r="W8135" s="8" t="n"/>
      <c r="X8135" s="8" t="n"/>
      <c r="Y8135" s="8" t="n"/>
    </row>
    <row r="8136">
      <c r="A8136" s="8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8" t="n"/>
      <c r="K8136" s="8" t="n"/>
      <c r="L8136" s="8" t="n"/>
      <c r="M8136" s="9">
        <f>B8136+30</f>
        <v/>
      </c>
      <c r="N8136">
        <f>IF(L8136="", "", L8136-B8136)</f>
        <v/>
      </c>
      <c r="O8136">
        <f>IF(L8136="", "Pending", IF(N8136&lt;=30, "Met", "Breached"))</f>
        <v/>
      </c>
      <c r="P8136" s="8" t="n"/>
      <c r="Q8136" s="8" t="n"/>
      <c r="R8136" s="8" t="n"/>
      <c r="S8136" s="8" t="n"/>
      <c r="T8136" s="8" t="n"/>
      <c r="U8136" s="8" t="n"/>
      <c r="V8136" s="8" t="n"/>
      <c r="W8136" s="8" t="n"/>
      <c r="X8136" s="8" t="n"/>
      <c r="Y8136" s="8" t="n"/>
    </row>
    <row r="8137">
      <c r="A8137" s="8" t="n"/>
      <c r="B8137" s="8" t="n"/>
      <c r="C8137" s="8" t="n"/>
      <c r="D8137" s="8" t="n"/>
      <c r="E8137" s="8" t="n"/>
      <c r="F8137" s="8" t="n"/>
      <c r="G8137" s="8" t="n"/>
      <c r="H8137" s="8" t="n"/>
      <c r="I8137" s="8" t="n"/>
      <c r="J8137" s="8" t="n"/>
      <c r="K8137" s="8" t="n"/>
      <c r="L8137" s="8" t="n"/>
      <c r="M8137" s="9">
        <f>B8137+30</f>
        <v/>
      </c>
      <c r="N8137">
        <f>IF(L8137="", "", L8137-B8137)</f>
        <v/>
      </c>
      <c r="O8137">
        <f>IF(L8137="", "Pending", IF(N8137&lt;=30, "Met", "Breached"))</f>
        <v/>
      </c>
      <c r="P8137" s="8" t="n"/>
      <c r="Q8137" s="8" t="n"/>
      <c r="R8137" s="8" t="n"/>
      <c r="S8137" s="8" t="n"/>
      <c r="T8137" s="8" t="n"/>
      <c r="U8137" s="8" t="n"/>
      <c r="V8137" s="8" t="n"/>
      <c r="W8137" s="8" t="n"/>
      <c r="X8137" s="8" t="n"/>
      <c r="Y8137" s="8" t="n"/>
    </row>
    <row r="8138">
      <c r="A8138" s="8" t="n"/>
      <c r="B8138" s="8" t="n"/>
      <c r="C8138" s="8" t="n"/>
      <c r="D8138" s="8" t="n"/>
      <c r="E8138" s="8" t="n"/>
      <c r="F8138" s="8" t="n"/>
      <c r="G8138" s="8" t="n"/>
      <c r="H8138" s="8" t="n"/>
      <c r="I8138" s="8" t="n"/>
      <c r="J8138" s="8" t="n"/>
      <c r="K8138" s="8" t="n"/>
      <c r="L8138" s="8" t="n"/>
      <c r="M8138" s="9">
        <f>B8138+30</f>
        <v/>
      </c>
      <c r="N8138">
        <f>IF(L8138="", "", L8138-B8138)</f>
        <v/>
      </c>
      <c r="O8138">
        <f>IF(L8138="", "Pending", IF(N8138&lt;=30, "Met", "Breached"))</f>
        <v/>
      </c>
      <c r="P8138" s="8" t="n"/>
      <c r="Q8138" s="8" t="n"/>
      <c r="R8138" s="8" t="n"/>
      <c r="S8138" s="8" t="n"/>
      <c r="T8138" s="8" t="n"/>
      <c r="U8138" s="8" t="n"/>
      <c r="V8138" s="8" t="n"/>
      <c r="W8138" s="8" t="n"/>
      <c r="X8138" s="8" t="n"/>
      <c r="Y8138" s="8" t="n"/>
    </row>
    <row r="8139">
      <c r="A8139" s="8" t="n"/>
      <c r="B8139" s="8" t="n"/>
      <c r="C8139" s="8" t="n"/>
      <c r="D8139" s="8" t="n"/>
      <c r="E8139" s="8" t="n"/>
      <c r="F8139" s="8" t="n"/>
      <c r="G8139" s="8" t="n"/>
      <c r="H8139" s="8" t="n"/>
      <c r="I8139" s="8" t="n"/>
      <c r="J8139" s="8" t="n"/>
      <c r="K8139" s="8" t="n"/>
      <c r="L8139" s="8" t="n"/>
      <c r="M8139" s="9">
        <f>B8139+30</f>
        <v/>
      </c>
      <c r="N8139">
        <f>IF(L8139="", "", L8139-B8139)</f>
        <v/>
      </c>
      <c r="O8139">
        <f>IF(L8139="", "Pending", IF(N8139&lt;=30, "Met", "Breached"))</f>
        <v/>
      </c>
      <c r="P8139" s="8" t="n"/>
      <c r="Q8139" s="8" t="n"/>
      <c r="R8139" s="8" t="n"/>
      <c r="S8139" s="8" t="n"/>
      <c r="T8139" s="8" t="n"/>
      <c r="U8139" s="8" t="n"/>
      <c r="V8139" s="8" t="n"/>
      <c r="W8139" s="8" t="n"/>
      <c r="X8139" s="8" t="n"/>
      <c r="Y8139" s="8" t="n"/>
    </row>
    <row r="8140">
      <c r="A8140" s="8" t="n"/>
      <c r="B8140" s="8" t="n"/>
      <c r="C8140" s="8" t="n"/>
      <c r="D8140" s="8" t="n"/>
      <c r="E8140" s="8" t="n"/>
      <c r="F8140" s="8" t="n"/>
      <c r="G8140" s="8" t="n"/>
      <c r="H8140" s="8" t="n"/>
      <c r="I8140" s="8" t="n"/>
      <c r="J8140" s="8" t="n"/>
      <c r="K8140" s="8" t="n"/>
      <c r="L8140" s="8" t="n"/>
      <c r="M8140" s="9">
        <f>B8140+30</f>
        <v/>
      </c>
      <c r="N8140">
        <f>IF(L8140="", "", L8140-B8140)</f>
        <v/>
      </c>
      <c r="O8140">
        <f>IF(L8140="", "Pending", IF(N8140&lt;=30, "Met", "Breached"))</f>
        <v/>
      </c>
      <c r="P8140" s="8" t="n"/>
      <c r="Q8140" s="8" t="n"/>
      <c r="R8140" s="8" t="n"/>
      <c r="S8140" s="8" t="n"/>
      <c r="T8140" s="8" t="n"/>
      <c r="U8140" s="8" t="n"/>
      <c r="V8140" s="8" t="n"/>
      <c r="W8140" s="8" t="n"/>
      <c r="X8140" s="8" t="n"/>
      <c r="Y8140" s="8" t="n"/>
    </row>
    <row r="8141">
      <c r="A8141" s="8" t="n"/>
      <c r="B8141" s="8" t="n"/>
      <c r="C8141" s="8" t="n"/>
      <c r="D8141" s="8" t="n"/>
      <c r="E8141" s="8" t="n"/>
      <c r="F8141" s="8" t="n"/>
      <c r="G8141" s="8" t="n"/>
      <c r="H8141" s="8" t="n"/>
      <c r="I8141" s="8" t="n"/>
      <c r="J8141" s="8" t="n"/>
      <c r="K8141" s="8" t="n"/>
      <c r="L8141" s="8" t="n"/>
      <c r="M8141" s="9">
        <f>B8141+30</f>
        <v/>
      </c>
      <c r="N8141">
        <f>IF(L8141="", "", L8141-B8141)</f>
        <v/>
      </c>
      <c r="O8141">
        <f>IF(L8141="", "Pending", IF(N8141&lt;=30, "Met", "Breached"))</f>
        <v/>
      </c>
      <c r="P8141" s="8" t="n"/>
      <c r="Q8141" s="8" t="n"/>
      <c r="R8141" s="8" t="n"/>
      <c r="S8141" s="8" t="n"/>
      <c r="T8141" s="8" t="n"/>
      <c r="U8141" s="8" t="n"/>
      <c r="V8141" s="8" t="n"/>
      <c r="W8141" s="8" t="n"/>
      <c r="X8141" s="8" t="n"/>
      <c r="Y8141" s="8" t="n"/>
    </row>
    <row r="8142">
      <c r="A8142" s="8" t="n"/>
      <c r="B8142" s="8" t="n"/>
      <c r="C8142" s="8" t="n"/>
      <c r="D8142" s="8" t="n"/>
      <c r="E8142" s="8" t="n"/>
      <c r="F8142" s="8" t="n"/>
      <c r="G8142" s="8" t="n"/>
      <c r="H8142" s="8" t="n"/>
      <c r="I8142" s="8" t="n"/>
      <c r="J8142" s="8" t="n"/>
      <c r="K8142" s="8" t="n"/>
      <c r="L8142" s="8" t="n"/>
      <c r="M8142" s="9">
        <f>B8142+30</f>
        <v/>
      </c>
      <c r="N8142">
        <f>IF(L8142="", "", L8142-B8142)</f>
        <v/>
      </c>
      <c r="O8142">
        <f>IF(L8142="", "Pending", IF(N8142&lt;=30, "Met", "Breached"))</f>
        <v/>
      </c>
      <c r="P8142" s="8" t="n"/>
      <c r="Q8142" s="8" t="n"/>
      <c r="R8142" s="8" t="n"/>
      <c r="S8142" s="8" t="n"/>
      <c r="T8142" s="8" t="n"/>
      <c r="U8142" s="8" t="n"/>
      <c r="V8142" s="8" t="n"/>
      <c r="W8142" s="8" t="n"/>
      <c r="X8142" s="8" t="n"/>
      <c r="Y8142" s="8" t="n"/>
    </row>
    <row r="8143">
      <c r="A8143" s="8" t="n"/>
      <c r="B8143" s="8" t="n"/>
      <c r="C8143" s="8" t="n"/>
      <c r="D8143" s="8" t="n"/>
      <c r="E8143" s="8" t="n"/>
      <c r="F8143" s="8" t="n"/>
      <c r="G8143" s="8" t="n"/>
      <c r="H8143" s="8" t="n"/>
      <c r="I8143" s="8" t="n"/>
      <c r="J8143" s="8" t="n"/>
      <c r="K8143" s="8" t="n"/>
      <c r="L8143" s="8" t="n"/>
      <c r="M8143" s="9">
        <f>B8143+30</f>
        <v/>
      </c>
      <c r="N8143">
        <f>IF(L8143="", "", L8143-B8143)</f>
        <v/>
      </c>
      <c r="O8143">
        <f>IF(L8143="", "Pending", IF(N8143&lt;=30, "Met", "Breached"))</f>
        <v/>
      </c>
      <c r="P8143" s="8" t="n"/>
      <c r="Q8143" s="8" t="n"/>
      <c r="R8143" s="8" t="n"/>
      <c r="S8143" s="8" t="n"/>
      <c r="T8143" s="8" t="n"/>
      <c r="U8143" s="8" t="n"/>
      <c r="V8143" s="8" t="n"/>
      <c r="W8143" s="8" t="n"/>
      <c r="X8143" s="8" t="n"/>
      <c r="Y8143" s="8" t="n"/>
    </row>
    <row r="8144">
      <c r="A8144" s="8" t="n"/>
      <c r="B8144" s="8" t="n"/>
      <c r="C8144" s="8" t="n"/>
      <c r="D8144" s="8" t="n"/>
      <c r="E8144" s="8" t="n"/>
      <c r="F8144" s="8" t="n"/>
      <c r="G8144" s="8" t="n"/>
      <c r="H8144" s="8" t="n"/>
      <c r="I8144" s="8" t="n"/>
      <c r="J8144" s="8" t="n"/>
      <c r="K8144" s="8" t="n"/>
      <c r="L8144" s="8" t="n"/>
      <c r="M8144" s="9">
        <f>B8144+30</f>
        <v/>
      </c>
      <c r="N8144">
        <f>IF(L8144="", "", L8144-B8144)</f>
        <v/>
      </c>
      <c r="O8144">
        <f>IF(L8144="", "Pending", IF(N8144&lt;=30, "Met", "Breached"))</f>
        <v/>
      </c>
      <c r="P8144" s="8" t="n"/>
      <c r="Q8144" s="8" t="n"/>
      <c r="R8144" s="8" t="n"/>
      <c r="S8144" s="8" t="n"/>
      <c r="T8144" s="8" t="n"/>
      <c r="U8144" s="8" t="n"/>
      <c r="V8144" s="8" t="n"/>
      <c r="W8144" s="8" t="n"/>
      <c r="X8144" s="8" t="n"/>
      <c r="Y8144" s="8" t="n"/>
    </row>
    <row r="8145">
      <c r="A8145" s="8" t="n"/>
      <c r="B8145" s="8" t="n"/>
      <c r="C8145" s="8" t="n"/>
      <c r="D8145" s="8" t="n"/>
      <c r="E8145" s="8" t="n"/>
      <c r="F8145" s="8" t="n"/>
      <c r="G8145" s="8" t="n"/>
      <c r="H8145" s="8" t="n"/>
      <c r="I8145" s="8" t="n"/>
      <c r="J8145" s="8" t="n"/>
      <c r="K8145" s="8" t="n"/>
      <c r="L8145" s="8" t="n"/>
      <c r="M8145" s="9">
        <f>B8145+30</f>
        <v/>
      </c>
      <c r="N8145">
        <f>IF(L8145="", "", L8145-B8145)</f>
        <v/>
      </c>
      <c r="O8145">
        <f>IF(L8145="", "Pending", IF(N8145&lt;=30, "Met", "Breached"))</f>
        <v/>
      </c>
      <c r="P8145" s="8" t="n"/>
      <c r="Q8145" s="8" t="n"/>
      <c r="R8145" s="8" t="n"/>
      <c r="S8145" s="8" t="n"/>
      <c r="T8145" s="8" t="n"/>
      <c r="U8145" s="8" t="n"/>
      <c r="V8145" s="8" t="n"/>
      <c r="W8145" s="8" t="n"/>
      <c r="X8145" s="8" t="n"/>
      <c r="Y8145" s="8" t="n"/>
    </row>
    <row r="8146">
      <c r="A8146" s="8" t="n"/>
      <c r="B8146" s="8" t="n"/>
      <c r="C8146" s="8" t="n"/>
      <c r="D8146" s="8" t="n"/>
      <c r="E8146" s="8" t="n"/>
      <c r="F8146" s="8" t="n"/>
      <c r="G8146" s="8" t="n"/>
      <c r="H8146" s="8" t="n"/>
      <c r="I8146" s="8" t="n"/>
      <c r="J8146" s="8" t="n"/>
      <c r="K8146" s="8" t="n"/>
      <c r="L8146" s="8" t="n"/>
      <c r="M8146" s="9">
        <f>B8146+30</f>
        <v/>
      </c>
      <c r="N8146">
        <f>IF(L8146="", "", L8146-B8146)</f>
        <v/>
      </c>
      <c r="O8146">
        <f>IF(L8146="", "Pending", IF(N8146&lt;=30, "Met", "Breached"))</f>
        <v/>
      </c>
      <c r="P8146" s="8" t="n"/>
      <c r="Q8146" s="8" t="n"/>
      <c r="R8146" s="8" t="n"/>
      <c r="S8146" s="8" t="n"/>
      <c r="T8146" s="8" t="n"/>
      <c r="U8146" s="8" t="n"/>
      <c r="V8146" s="8" t="n"/>
      <c r="W8146" s="8" t="n"/>
      <c r="X8146" s="8" t="n"/>
      <c r="Y8146" s="8" t="n"/>
    </row>
    <row r="8147">
      <c r="A8147" s="8" t="n"/>
      <c r="B8147" s="8" t="n"/>
      <c r="C8147" s="8" t="n"/>
      <c r="D8147" s="8" t="n"/>
      <c r="E8147" s="8" t="n"/>
      <c r="F8147" s="8" t="n"/>
      <c r="G8147" s="8" t="n"/>
      <c r="H8147" s="8" t="n"/>
      <c r="I8147" s="8" t="n"/>
      <c r="J8147" s="8" t="n"/>
      <c r="K8147" s="8" t="n"/>
      <c r="L8147" s="8" t="n"/>
      <c r="M8147" s="9">
        <f>B8147+30</f>
        <v/>
      </c>
      <c r="N8147">
        <f>IF(L8147="", "", L8147-B8147)</f>
        <v/>
      </c>
      <c r="O8147">
        <f>IF(L8147="", "Pending", IF(N8147&lt;=30, "Met", "Breached"))</f>
        <v/>
      </c>
      <c r="P8147" s="8" t="n"/>
      <c r="Q8147" s="8" t="n"/>
      <c r="R8147" s="8" t="n"/>
      <c r="S8147" s="8" t="n"/>
      <c r="T8147" s="8" t="n"/>
      <c r="U8147" s="8" t="n"/>
      <c r="V8147" s="8" t="n"/>
      <c r="W8147" s="8" t="n"/>
      <c r="X8147" s="8" t="n"/>
      <c r="Y8147" s="8" t="n"/>
    </row>
    <row r="8148">
      <c r="A8148" s="8" t="n"/>
      <c r="B8148" s="8" t="n"/>
      <c r="C8148" s="8" t="n"/>
      <c r="D8148" s="8" t="n"/>
      <c r="E8148" s="8" t="n"/>
      <c r="F8148" s="8" t="n"/>
      <c r="G8148" s="8" t="n"/>
      <c r="H8148" s="8" t="n"/>
      <c r="I8148" s="8" t="n"/>
      <c r="J8148" s="8" t="n"/>
      <c r="K8148" s="8" t="n"/>
      <c r="L8148" s="8" t="n"/>
      <c r="M8148" s="9">
        <f>B8148+30</f>
        <v/>
      </c>
      <c r="N8148">
        <f>IF(L8148="", "", L8148-B8148)</f>
        <v/>
      </c>
      <c r="O8148">
        <f>IF(L8148="", "Pending", IF(N8148&lt;=30, "Met", "Breached"))</f>
        <v/>
      </c>
      <c r="P8148" s="8" t="n"/>
      <c r="Q8148" s="8" t="n"/>
      <c r="R8148" s="8" t="n"/>
      <c r="S8148" s="8" t="n"/>
      <c r="T8148" s="8" t="n"/>
      <c r="U8148" s="8" t="n"/>
      <c r="V8148" s="8" t="n"/>
      <c r="W8148" s="8" t="n"/>
      <c r="X8148" s="8" t="n"/>
      <c r="Y8148" s="8" t="n"/>
    </row>
    <row r="8149">
      <c r="A8149" s="8" t="n"/>
      <c r="B8149" s="8" t="n"/>
      <c r="C8149" s="8" t="n"/>
      <c r="D8149" s="8" t="n"/>
      <c r="E8149" s="8" t="n"/>
      <c r="F8149" s="8" t="n"/>
      <c r="G8149" s="8" t="n"/>
      <c r="H8149" s="8" t="n"/>
      <c r="I8149" s="8" t="n"/>
      <c r="J8149" s="8" t="n"/>
      <c r="K8149" s="8" t="n"/>
      <c r="L8149" s="8" t="n"/>
      <c r="M8149" s="9">
        <f>B8149+30</f>
        <v/>
      </c>
      <c r="N8149">
        <f>IF(L8149="", "", L8149-B8149)</f>
        <v/>
      </c>
      <c r="O8149">
        <f>IF(L8149="", "Pending", IF(N8149&lt;=30, "Met", "Breached"))</f>
        <v/>
      </c>
      <c r="P8149" s="8" t="n"/>
      <c r="Q8149" s="8" t="n"/>
      <c r="R8149" s="8" t="n"/>
      <c r="S8149" s="8" t="n"/>
      <c r="T8149" s="8" t="n"/>
      <c r="U8149" s="8" t="n"/>
      <c r="V8149" s="8" t="n"/>
      <c r="W8149" s="8" t="n"/>
      <c r="X8149" s="8" t="n"/>
      <c r="Y8149" s="8" t="n"/>
    </row>
    <row r="8150">
      <c r="A8150" s="8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8" t="n"/>
      <c r="K8150" s="8" t="n"/>
      <c r="L8150" s="8" t="n"/>
      <c r="M8150" s="9">
        <f>B8150+30</f>
        <v/>
      </c>
      <c r="N8150">
        <f>IF(L8150="", "", L8150-B8150)</f>
        <v/>
      </c>
      <c r="O8150">
        <f>IF(L8150="", "Pending", IF(N8150&lt;=30, "Met", "Breached"))</f>
        <v/>
      </c>
      <c r="P8150" s="8" t="n"/>
      <c r="Q8150" s="8" t="n"/>
      <c r="R8150" s="8" t="n"/>
      <c r="S8150" s="8" t="n"/>
      <c r="T8150" s="8" t="n"/>
      <c r="U8150" s="8" t="n"/>
      <c r="V8150" s="8" t="n"/>
      <c r="W8150" s="8" t="n"/>
      <c r="X8150" s="8" t="n"/>
      <c r="Y8150" s="8" t="n"/>
    </row>
    <row r="8151">
      <c r="A8151" s="8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8" t="n"/>
      <c r="K8151" s="8" t="n"/>
      <c r="L8151" s="8" t="n"/>
      <c r="M8151" s="9">
        <f>B8151+30</f>
        <v/>
      </c>
      <c r="N8151">
        <f>IF(L8151="", "", L8151-B8151)</f>
        <v/>
      </c>
      <c r="O8151">
        <f>IF(L8151="", "Pending", IF(N8151&lt;=30, "Met", "Breached"))</f>
        <v/>
      </c>
      <c r="P8151" s="8" t="n"/>
      <c r="Q8151" s="8" t="n"/>
      <c r="R8151" s="8" t="n"/>
      <c r="S8151" s="8" t="n"/>
      <c r="T8151" s="8" t="n"/>
      <c r="U8151" s="8" t="n"/>
      <c r="V8151" s="8" t="n"/>
      <c r="W8151" s="8" t="n"/>
      <c r="X8151" s="8" t="n"/>
      <c r="Y8151" s="8" t="n"/>
    </row>
    <row r="8152">
      <c r="A8152" s="8" t="n"/>
      <c r="B8152" s="8" t="n"/>
      <c r="C8152" s="8" t="n"/>
      <c r="D8152" s="8" t="n"/>
      <c r="E8152" s="8" t="n"/>
      <c r="F8152" s="8" t="n"/>
      <c r="G8152" s="8" t="n"/>
      <c r="H8152" s="8" t="n"/>
      <c r="I8152" s="8" t="n"/>
      <c r="J8152" s="8" t="n"/>
      <c r="K8152" s="8" t="n"/>
      <c r="L8152" s="8" t="n"/>
      <c r="M8152" s="9">
        <f>B8152+30</f>
        <v/>
      </c>
      <c r="N8152">
        <f>IF(L8152="", "", L8152-B8152)</f>
        <v/>
      </c>
      <c r="O8152">
        <f>IF(L8152="", "Pending", IF(N8152&lt;=30, "Met", "Breached"))</f>
        <v/>
      </c>
      <c r="P8152" s="8" t="n"/>
      <c r="Q8152" s="8" t="n"/>
      <c r="R8152" s="8" t="n"/>
      <c r="S8152" s="8" t="n"/>
      <c r="T8152" s="8" t="n"/>
      <c r="U8152" s="8" t="n"/>
      <c r="V8152" s="8" t="n"/>
      <c r="W8152" s="8" t="n"/>
      <c r="X8152" s="8" t="n"/>
      <c r="Y8152" s="8" t="n"/>
    </row>
    <row r="8153">
      <c r="A8153" s="8" t="n"/>
      <c r="B8153" s="8" t="n"/>
      <c r="C8153" s="8" t="n"/>
      <c r="D8153" s="8" t="n"/>
      <c r="E8153" s="8" t="n"/>
      <c r="F8153" s="8" t="n"/>
      <c r="G8153" s="8" t="n"/>
      <c r="H8153" s="8" t="n"/>
      <c r="I8153" s="8" t="n"/>
      <c r="J8153" s="8" t="n"/>
      <c r="K8153" s="8" t="n"/>
      <c r="L8153" s="8" t="n"/>
      <c r="M8153" s="9">
        <f>B8153+30</f>
        <v/>
      </c>
      <c r="N8153">
        <f>IF(L8153="", "", L8153-B8153)</f>
        <v/>
      </c>
      <c r="O8153">
        <f>IF(L8153="", "Pending", IF(N8153&lt;=30, "Met", "Breached"))</f>
        <v/>
      </c>
      <c r="P8153" s="8" t="n"/>
      <c r="Q8153" s="8" t="n"/>
      <c r="R8153" s="8" t="n"/>
      <c r="S8153" s="8" t="n"/>
      <c r="T8153" s="8" t="n"/>
      <c r="U8153" s="8" t="n"/>
      <c r="V8153" s="8" t="n"/>
      <c r="W8153" s="8" t="n"/>
      <c r="X8153" s="8" t="n"/>
      <c r="Y8153" s="8" t="n"/>
    </row>
    <row r="8154">
      <c r="A8154" s="8" t="n"/>
      <c r="B8154" s="8" t="n"/>
      <c r="C8154" s="8" t="n"/>
      <c r="D8154" s="8" t="n"/>
      <c r="E8154" s="8" t="n"/>
      <c r="F8154" s="8" t="n"/>
      <c r="G8154" s="8" t="n"/>
      <c r="H8154" s="8" t="n"/>
      <c r="I8154" s="8" t="n"/>
      <c r="J8154" s="8" t="n"/>
      <c r="K8154" s="8" t="n"/>
      <c r="L8154" s="8" t="n"/>
      <c r="M8154" s="9">
        <f>B8154+30</f>
        <v/>
      </c>
      <c r="N8154">
        <f>IF(L8154="", "", L8154-B8154)</f>
        <v/>
      </c>
      <c r="O8154">
        <f>IF(L8154="", "Pending", IF(N8154&lt;=30, "Met", "Breached"))</f>
        <v/>
      </c>
      <c r="P8154" s="8" t="n"/>
      <c r="Q8154" s="8" t="n"/>
      <c r="R8154" s="8" t="n"/>
      <c r="S8154" s="8" t="n"/>
      <c r="T8154" s="8" t="n"/>
      <c r="U8154" s="8" t="n"/>
      <c r="V8154" s="8" t="n"/>
      <c r="W8154" s="8" t="n"/>
      <c r="X8154" s="8" t="n"/>
      <c r="Y8154" s="8" t="n"/>
    </row>
    <row r="8155">
      <c r="A8155" s="8" t="n"/>
      <c r="B8155" s="8" t="n"/>
      <c r="C8155" s="8" t="n"/>
      <c r="D8155" s="8" t="n"/>
      <c r="E8155" s="8" t="n"/>
      <c r="F8155" s="8" t="n"/>
      <c r="G8155" s="8" t="n"/>
      <c r="H8155" s="8" t="n"/>
      <c r="I8155" s="8" t="n"/>
      <c r="J8155" s="8" t="n"/>
      <c r="K8155" s="8" t="n"/>
      <c r="L8155" s="8" t="n"/>
      <c r="M8155" s="9">
        <f>B8155+30</f>
        <v/>
      </c>
      <c r="N8155">
        <f>IF(L8155="", "", L8155-B8155)</f>
        <v/>
      </c>
      <c r="O8155">
        <f>IF(L8155="", "Pending", IF(N8155&lt;=30, "Met", "Breached"))</f>
        <v/>
      </c>
      <c r="P8155" s="8" t="n"/>
      <c r="Q8155" s="8" t="n"/>
      <c r="R8155" s="8" t="n"/>
      <c r="S8155" s="8" t="n"/>
      <c r="T8155" s="8" t="n"/>
      <c r="U8155" s="8" t="n"/>
      <c r="V8155" s="8" t="n"/>
      <c r="W8155" s="8" t="n"/>
      <c r="X8155" s="8" t="n"/>
      <c r="Y8155" s="8" t="n"/>
    </row>
    <row r="8156">
      <c r="A8156" s="8" t="n"/>
      <c r="B8156" s="8" t="n"/>
      <c r="C8156" s="8" t="n"/>
      <c r="D8156" s="8" t="n"/>
      <c r="E8156" s="8" t="n"/>
      <c r="F8156" s="8" t="n"/>
      <c r="G8156" s="8" t="n"/>
      <c r="H8156" s="8" t="n"/>
      <c r="I8156" s="8" t="n"/>
      <c r="J8156" s="8" t="n"/>
      <c r="K8156" s="8" t="n"/>
      <c r="L8156" s="8" t="n"/>
      <c r="M8156" s="9">
        <f>B8156+30</f>
        <v/>
      </c>
      <c r="N8156">
        <f>IF(L8156="", "", L8156-B8156)</f>
        <v/>
      </c>
      <c r="O8156">
        <f>IF(L8156="", "Pending", IF(N8156&lt;=30, "Met", "Breached"))</f>
        <v/>
      </c>
      <c r="P8156" s="8" t="n"/>
      <c r="Q8156" s="8" t="n"/>
      <c r="R8156" s="8" t="n"/>
      <c r="S8156" s="8" t="n"/>
      <c r="T8156" s="8" t="n"/>
      <c r="U8156" s="8" t="n"/>
      <c r="V8156" s="8" t="n"/>
      <c r="W8156" s="8" t="n"/>
      <c r="X8156" s="8" t="n"/>
      <c r="Y8156" s="8" t="n"/>
    </row>
    <row r="8157">
      <c r="A8157" s="8" t="n"/>
      <c r="B8157" s="8" t="n"/>
      <c r="C8157" s="8" t="n"/>
      <c r="D8157" s="8" t="n"/>
      <c r="E8157" s="8" t="n"/>
      <c r="F8157" s="8" t="n"/>
      <c r="G8157" s="8" t="n"/>
      <c r="H8157" s="8" t="n"/>
      <c r="I8157" s="8" t="n"/>
      <c r="J8157" s="8" t="n"/>
      <c r="K8157" s="8" t="n"/>
      <c r="L8157" s="8" t="n"/>
      <c r="M8157" s="9">
        <f>B8157+30</f>
        <v/>
      </c>
      <c r="N8157">
        <f>IF(L8157="", "", L8157-B8157)</f>
        <v/>
      </c>
      <c r="O8157">
        <f>IF(L8157="", "Pending", IF(N8157&lt;=30, "Met", "Breached"))</f>
        <v/>
      </c>
      <c r="P8157" s="8" t="n"/>
      <c r="Q8157" s="8" t="n"/>
      <c r="R8157" s="8" t="n"/>
      <c r="S8157" s="8" t="n"/>
      <c r="T8157" s="8" t="n"/>
      <c r="U8157" s="8" t="n"/>
      <c r="V8157" s="8" t="n"/>
      <c r="W8157" s="8" t="n"/>
      <c r="X8157" s="8" t="n"/>
      <c r="Y8157" s="8" t="n"/>
    </row>
    <row r="8158">
      <c r="A8158" s="8" t="n"/>
      <c r="B8158" s="8" t="n"/>
      <c r="C8158" s="8" t="n"/>
      <c r="D8158" s="8" t="n"/>
      <c r="E8158" s="8" t="n"/>
      <c r="F8158" s="8" t="n"/>
      <c r="G8158" s="8" t="n"/>
      <c r="H8158" s="8" t="n"/>
      <c r="I8158" s="8" t="n"/>
      <c r="J8158" s="8" t="n"/>
      <c r="K8158" s="8" t="n"/>
      <c r="L8158" s="8" t="n"/>
      <c r="M8158" s="9">
        <f>B8158+30</f>
        <v/>
      </c>
      <c r="N8158">
        <f>IF(L8158="", "", L8158-B8158)</f>
        <v/>
      </c>
      <c r="O8158">
        <f>IF(L8158="", "Pending", IF(N8158&lt;=30, "Met", "Breached"))</f>
        <v/>
      </c>
      <c r="P8158" s="8" t="n"/>
      <c r="Q8158" s="8" t="n"/>
      <c r="R8158" s="8" t="n"/>
      <c r="S8158" s="8" t="n"/>
      <c r="T8158" s="8" t="n"/>
      <c r="U8158" s="8" t="n"/>
      <c r="V8158" s="8" t="n"/>
      <c r="W8158" s="8" t="n"/>
      <c r="X8158" s="8" t="n"/>
      <c r="Y8158" s="8" t="n"/>
    </row>
    <row r="8159">
      <c r="A8159" s="8" t="n"/>
      <c r="B8159" s="8" t="n"/>
      <c r="C8159" s="8" t="n"/>
      <c r="D8159" s="8" t="n"/>
      <c r="E8159" s="8" t="n"/>
      <c r="F8159" s="8" t="n"/>
      <c r="G8159" s="8" t="n"/>
      <c r="H8159" s="8" t="n"/>
      <c r="I8159" s="8" t="n"/>
      <c r="J8159" s="8" t="n"/>
      <c r="K8159" s="8" t="n"/>
      <c r="L8159" s="8" t="n"/>
      <c r="M8159" s="9">
        <f>B8159+30</f>
        <v/>
      </c>
      <c r="N8159">
        <f>IF(L8159="", "", L8159-B8159)</f>
        <v/>
      </c>
      <c r="O8159">
        <f>IF(L8159="", "Pending", IF(N8159&lt;=30, "Met", "Breached"))</f>
        <v/>
      </c>
      <c r="P8159" s="8" t="n"/>
      <c r="Q8159" s="8" t="n"/>
      <c r="R8159" s="8" t="n"/>
      <c r="S8159" s="8" t="n"/>
      <c r="T8159" s="8" t="n"/>
      <c r="U8159" s="8" t="n"/>
      <c r="V8159" s="8" t="n"/>
      <c r="W8159" s="8" t="n"/>
      <c r="X8159" s="8" t="n"/>
      <c r="Y8159" s="8" t="n"/>
    </row>
    <row r="8160">
      <c r="A8160" s="8" t="n"/>
      <c r="B8160" s="8" t="n"/>
      <c r="C8160" s="8" t="n"/>
      <c r="D8160" s="8" t="n"/>
      <c r="E8160" s="8" t="n"/>
      <c r="F8160" s="8" t="n"/>
      <c r="G8160" s="8" t="n"/>
      <c r="H8160" s="8" t="n"/>
      <c r="I8160" s="8" t="n"/>
      <c r="J8160" s="8" t="n"/>
      <c r="K8160" s="8" t="n"/>
      <c r="L8160" s="8" t="n"/>
      <c r="M8160" s="9">
        <f>B8160+30</f>
        <v/>
      </c>
      <c r="N8160">
        <f>IF(L8160="", "", L8160-B8160)</f>
        <v/>
      </c>
      <c r="O8160">
        <f>IF(L8160="", "Pending", IF(N8160&lt;=30, "Met", "Breached"))</f>
        <v/>
      </c>
      <c r="P8160" s="8" t="n"/>
      <c r="Q8160" s="8" t="n"/>
      <c r="R8160" s="8" t="n"/>
      <c r="S8160" s="8" t="n"/>
      <c r="T8160" s="8" t="n"/>
      <c r="U8160" s="8" t="n"/>
      <c r="V8160" s="8" t="n"/>
      <c r="W8160" s="8" t="n"/>
      <c r="X8160" s="8" t="n"/>
      <c r="Y8160" s="8" t="n"/>
    </row>
    <row r="8161">
      <c r="A8161" s="8" t="n"/>
      <c r="B8161" s="8" t="n"/>
      <c r="C8161" s="8" t="n"/>
      <c r="D8161" s="8" t="n"/>
      <c r="E8161" s="8" t="n"/>
      <c r="F8161" s="8" t="n"/>
      <c r="G8161" s="8" t="n"/>
      <c r="H8161" s="8" t="n"/>
      <c r="I8161" s="8" t="n"/>
      <c r="J8161" s="8" t="n"/>
      <c r="K8161" s="8" t="n"/>
      <c r="L8161" s="8" t="n"/>
      <c r="M8161" s="9">
        <f>B8161+30</f>
        <v/>
      </c>
      <c r="N8161">
        <f>IF(L8161="", "", L8161-B8161)</f>
        <v/>
      </c>
      <c r="O8161">
        <f>IF(L8161="", "Pending", IF(N8161&lt;=30, "Met", "Breached"))</f>
        <v/>
      </c>
      <c r="P8161" s="8" t="n"/>
      <c r="Q8161" s="8" t="n"/>
      <c r="R8161" s="8" t="n"/>
      <c r="S8161" s="8" t="n"/>
      <c r="T8161" s="8" t="n"/>
      <c r="U8161" s="8" t="n"/>
      <c r="V8161" s="8" t="n"/>
      <c r="W8161" s="8" t="n"/>
      <c r="X8161" s="8" t="n"/>
      <c r="Y8161" s="8" t="n"/>
    </row>
    <row r="8162">
      <c r="A8162" s="8" t="n"/>
      <c r="B8162" s="8" t="n"/>
      <c r="C8162" s="8" t="n"/>
      <c r="D8162" s="8" t="n"/>
      <c r="E8162" s="8" t="n"/>
      <c r="F8162" s="8" t="n"/>
      <c r="G8162" s="8" t="n"/>
      <c r="H8162" s="8" t="n"/>
      <c r="I8162" s="8" t="n"/>
      <c r="J8162" s="8" t="n"/>
      <c r="K8162" s="8" t="n"/>
      <c r="L8162" s="8" t="n"/>
      <c r="M8162" s="9">
        <f>B8162+30</f>
        <v/>
      </c>
      <c r="N8162">
        <f>IF(L8162="", "", L8162-B8162)</f>
        <v/>
      </c>
      <c r="O8162">
        <f>IF(L8162="", "Pending", IF(N8162&lt;=30, "Met", "Breached"))</f>
        <v/>
      </c>
      <c r="P8162" s="8" t="n"/>
      <c r="Q8162" s="8" t="n"/>
      <c r="R8162" s="8" t="n"/>
      <c r="S8162" s="8" t="n"/>
      <c r="T8162" s="8" t="n"/>
      <c r="U8162" s="8" t="n"/>
      <c r="V8162" s="8" t="n"/>
      <c r="W8162" s="8" t="n"/>
      <c r="X8162" s="8" t="n"/>
      <c r="Y8162" s="8" t="n"/>
    </row>
    <row r="8163">
      <c r="A8163" s="8" t="n"/>
      <c r="B8163" s="8" t="n"/>
      <c r="C8163" s="8" t="n"/>
      <c r="D8163" s="8" t="n"/>
      <c r="E8163" s="8" t="n"/>
      <c r="F8163" s="8" t="n"/>
      <c r="G8163" s="8" t="n"/>
      <c r="H8163" s="8" t="n"/>
      <c r="I8163" s="8" t="n"/>
      <c r="J8163" s="8" t="n"/>
      <c r="K8163" s="8" t="n"/>
      <c r="L8163" s="8" t="n"/>
      <c r="M8163" s="9">
        <f>B8163+30</f>
        <v/>
      </c>
      <c r="N8163">
        <f>IF(L8163="", "", L8163-B8163)</f>
        <v/>
      </c>
      <c r="O8163">
        <f>IF(L8163="", "Pending", IF(N8163&lt;=30, "Met", "Breached"))</f>
        <v/>
      </c>
      <c r="P8163" s="8" t="n"/>
      <c r="Q8163" s="8" t="n"/>
      <c r="R8163" s="8" t="n"/>
      <c r="S8163" s="8" t="n"/>
      <c r="T8163" s="8" t="n"/>
      <c r="U8163" s="8" t="n"/>
      <c r="V8163" s="8" t="n"/>
      <c r="W8163" s="8" t="n"/>
      <c r="X8163" s="8" t="n"/>
      <c r="Y8163" s="8" t="n"/>
    </row>
    <row r="8164">
      <c r="A8164" s="8" t="n"/>
      <c r="B8164" s="8" t="n"/>
      <c r="C8164" s="8" t="n"/>
      <c r="D8164" s="8" t="n"/>
      <c r="E8164" s="8" t="n"/>
      <c r="F8164" s="8" t="n"/>
      <c r="G8164" s="8" t="n"/>
      <c r="H8164" s="8" t="n"/>
      <c r="I8164" s="8" t="n"/>
      <c r="J8164" s="8" t="n"/>
      <c r="K8164" s="8" t="n"/>
      <c r="L8164" s="8" t="n"/>
      <c r="M8164" s="9">
        <f>B8164+30</f>
        <v/>
      </c>
      <c r="N8164">
        <f>IF(L8164="", "", L8164-B8164)</f>
        <v/>
      </c>
      <c r="O8164">
        <f>IF(L8164="", "Pending", IF(N8164&lt;=30, "Met", "Breached"))</f>
        <v/>
      </c>
      <c r="P8164" s="8" t="n"/>
      <c r="Q8164" s="8" t="n"/>
      <c r="R8164" s="8" t="n"/>
      <c r="S8164" s="8" t="n"/>
      <c r="T8164" s="8" t="n"/>
      <c r="U8164" s="8" t="n"/>
      <c r="V8164" s="8" t="n"/>
      <c r="W8164" s="8" t="n"/>
      <c r="X8164" s="8" t="n"/>
      <c r="Y8164" s="8" t="n"/>
    </row>
    <row r="8165">
      <c r="A8165" s="8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8" t="n"/>
      <c r="K8165" s="8" t="n"/>
      <c r="L8165" s="8" t="n"/>
      <c r="M8165" s="9">
        <f>B8165+30</f>
        <v/>
      </c>
      <c r="N8165">
        <f>IF(L8165="", "", L8165-B8165)</f>
        <v/>
      </c>
      <c r="O8165">
        <f>IF(L8165="", "Pending", IF(N8165&lt;=30, "Met", "Breached"))</f>
        <v/>
      </c>
      <c r="P8165" s="8" t="n"/>
      <c r="Q8165" s="8" t="n"/>
      <c r="R8165" s="8" t="n"/>
      <c r="S8165" s="8" t="n"/>
      <c r="T8165" s="8" t="n"/>
      <c r="U8165" s="8" t="n"/>
      <c r="V8165" s="8" t="n"/>
      <c r="W8165" s="8" t="n"/>
      <c r="X8165" s="8" t="n"/>
      <c r="Y8165" s="8" t="n"/>
    </row>
    <row r="8166">
      <c r="A8166" s="8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8" t="n"/>
      <c r="K8166" s="8" t="n"/>
      <c r="L8166" s="8" t="n"/>
      <c r="M8166" s="9">
        <f>B8166+30</f>
        <v/>
      </c>
      <c r="N8166">
        <f>IF(L8166="", "", L8166-B8166)</f>
        <v/>
      </c>
      <c r="O8166">
        <f>IF(L8166="", "Pending", IF(N8166&lt;=30, "Met", "Breached"))</f>
        <v/>
      </c>
      <c r="P8166" s="8" t="n"/>
      <c r="Q8166" s="8" t="n"/>
      <c r="R8166" s="8" t="n"/>
      <c r="S8166" s="8" t="n"/>
      <c r="T8166" s="8" t="n"/>
      <c r="U8166" s="8" t="n"/>
      <c r="V8166" s="8" t="n"/>
      <c r="W8166" s="8" t="n"/>
      <c r="X8166" s="8" t="n"/>
      <c r="Y8166" s="8" t="n"/>
    </row>
    <row r="8167">
      <c r="A8167" s="8" t="n"/>
      <c r="B8167" s="8" t="n"/>
      <c r="C8167" s="8" t="n"/>
      <c r="D8167" s="8" t="n"/>
      <c r="E8167" s="8" t="n"/>
      <c r="F8167" s="8" t="n"/>
      <c r="G8167" s="8" t="n"/>
      <c r="H8167" s="8" t="n"/>
      <c r="I8167" s="8" t="n"/>
      <c r="J8167" s="8" t="n"/>
      <c r="K8167" s="8" t="n"/>
      <c r="L8167" s="8" t="n"/>
      <c r="M8167" s="9">
        <f>B8167+30</f>
        <v/>
      </c>
      <c r="N8167">
        <f>IF(L8167="", "", L8167-B8167)</f>
        <v/>
      </c>
      <c r="O8167">
        <f>IF(L8167="", "Pending", IF(N8167&lt;=30, "Met", "Breached"))</f>
        <v/>
      </c>
      <c r="P8167" s="8" t="n"/>
      <c r="Q8167" s="8" t="n"/>
      <c r="R8167" s="8" t="n"/>
      <c r="S8167" s="8" t="n"/>
      <c r="T8167" s="8" t="n"/>
      <c r="U8167" s="8" t="n"/>
      <c r="V8167" s="8" t="n"/>
      <c r="W8167" s="8" t="n"/>
      <c r="X8167" s="8" t="n"/>
      <c r="Y8167" s="8" t="n"/>
    </row>
    <row r="8168">
      <c r="A8168" s="8" t="n"/>
      <c r="B8168" s="8" t="n"/>
      <c r="C8168" s="8" t="n"/>
      <c r="D8168" s="8" t="n"/>
      <c r="E8168" s="8" t="n"/>
      <c r="F8168" s="8" t="n"/>
      <c r="G8168" s="8" t="n"/>
      <c r="H8168" s="8" t="n"/>
      <c r="I8168" s="8" t="n"/>
      <c r="J8168" s="8" t="n"/>
      <c r="K8168" s="8" t="n"/>
      <c r="L8168" s="8" t="n"/>
      <c r="M8168" s="9">
        <f>B8168+30</f>
        <v/>
      </c>
      <c r="N8168">
        <f>IF(L8168="", "", L8168-B8168)</f>
        <v/>
      </c>
      <c r="O8168">
        <f>IF(L8168="", "Pending", IF(N8168&lt;=30, "Met", "Breached"))</f>
        <v/>
      </c>
      <c r="P8168" s="8" t="n"/>
      <c r="Q8168" s="8" t="n"/>
      <c r="R8168" s="8" t="n"/>
      <c r="S8168" s="8" t="n"/>
      <c r="T8168" s="8" t="n"/>
      <c r="U8168" s="8" t="n"/>
      <c r="V8168" s="8" t="n"/>
      <c r="W8168" s="8" t="n"/>
      <c r="X8168" s="8" t="n"/>
      <c r="Y8168" s="8" t="n"/>
    </row>
    <row r="8169">
      <c r="A8169" s="8" t="n"/>
      <c r="B8169" s="8" t="n"/>
      <c r="C8169" s="8" t="n"/>
      <c r="D8169" s="8" t="n"/>
      <c r="E8169" s="8" t="n"/>
      <c r="F8169" s="8" t="n"/>
      <c r="G8169" s="8" t="n"/>
      <c r="H8169" s="8" t="n"/>
      <c r="I8169" s="8" t="n"/>
      <c r="J8169" s="8" t="n"/>
      <c r="K8169" s="8" t="n"/>
      <c r="L8169" s="8" t="n"/>
      <c r="M8169" s="9">
        <f>B8169+30</f>
        <v/>
      </c>
      <c r="N8169">
        <f>IF(L8169="", "", L8169-B8169)</f>
        <v/>
      </c>
      <c r="O8169">
        <f>IF(L8169="", "Pending", IF(N8169&lt;=30, "Met", "Breached"))</f>
        <v/>
      </c>
      <c r="P8169" s="8" t="n"/>
      <c r="Q8169" s="8" t="n"/>
      <c r="R8169" s="8" t="n"/>
      <c r="S8169" s="8" t="n"/>
      <c r="T8169" s="8" t="n"/>
      <c r="U8169" s="8" t="n"/>
      <c r="V8169" s="8" t="n"/>
      <c r="W8169" s="8" t="n"/>
      <c r="X8169" s="8" t="n"/>
      <c r="Y8169" s="8" t="n"/>
    </row>
    <row r="8170">
      <c r="A8170" s="8" t="n"/>
      <c r="B8170" s="8" t="n"/>
      <c r="C8170" s="8" t="n"/>
      <c r="D8170" s="8" t="n"/>
      <c r="E8170" s="8" t="n"/>
      <c r="F8170" s="8" t="n"/>
      <c r="G8170" s="8" t="n"/>
      <c r="H8170" s="8" t="n"/>
      <c r="I8170" s="8" t="n"/>
      <c r="J8170" s="8" t="n"/>
      <c r="K8170" s="8" t="n"/>
      <c r="L8170" s="8" t="n"/>
      <c r="M8170" s="9">
        <f>B8170+30</f>
        <v/>
      </c>
      <c r="N8170">
        <f>IF(L8170="", "", L8170-B8170)</f>
        <v/>
      </c>
      <c r="O8170">
        <f>IF(L8170="", "Pending", IF(N8170&lt;=30, "Met", "Breached"))</f>
        <v/>
      </c>
      <c r="P8170" s="8" t="n"/>
      <c r="Q8170" s="8" t="n"/>
      <c r="R8170" s="8" t="n"/>
      <c r="S8170" s="8" t="n"/>
      <c r="T8170" s="8" t="n"/>
      <c r="U8170" s="8" t="n"/>
      <c r="V8170" s="8" t="n"/>
      <c r="W8170" s="8" t="n"/>
      <c r="X8170" s="8" t="n"/>
      <c r="Y8170" s="8" t="n"/>
    </row>
    <row r="8171">
      <c r="A8171" s="8" t="n"/>
      <c r="B8171" s="8" t="n"/>
      <c r="C8171" s="8" t="n"/>
      <c r="D8171" s="8" t="n"/>
      <c r="E8171" s="8" t="n"/>
      <c r="F8171" s="8" t="n"/>
      <c r="G8171" s="8" t="n"/>
      <c r="H8171" s="8" t="n"/>
      <c r="I8171" s="8" t="n"/>
      <c r="J8171" s="8" t="n"/>
      <c r="K8171" s="8" t="n"/>
      <c r="L8171" s="8" t="n"/>
      <c r="M8171" s="9">
        <f>B8171+30</f>
        <v/>
      </c>
      <c r="N8171">
        <f>IF(L8171="", "", L8171-B8171)</f>
        <v/>
      </c>
      <c r="O8171">
        <f>IF(L8171="", "Pending", IF(N8171&lt;=30, "Met", "Breached"))</f>
        <v/>
      </c>
      <c r="P8171" s="8" t="n"/>
      <c r="Q8171" s="8" t="n"/>
      <c r="R8171" s="8" t="n"/>
      <c r="S8171" s="8" t="n"/>
      <c r="T8171" s="8" t="n"/>
      <c r="U8171" s="8" t="n"/>
      <c r="V8171" s="8" t="n"/>
      <c r="W8171" s="8" t="n"/>
      <c r="X8171" s="8" t="n"/>
      <c r="Y8171" s="8" t="n"/>
    </row>
    <row r="8172">
      <c r="A8172" s="8" t="n"/>
      <c r="B8172" s="8" t="n"/>
      <c r="C8172" s="8" t="n"/>
      <c r="D8172" s="8" t="n"/>
      <c r="E8172" s="8" t="n"/>
      <c r="F8172" s="8" t="n"/>
      <c r="G8172" s="8" t="n"/>
      <c r="H8172" s="8" t="n"/>
      <c r="I8172" s="8" t="n"/>
      <c r="J8172" s="8" t="n"/>
      <c r="K8172" s="8" t="n"/>
      <c r="L8172" s="8" t="n"/>
      <c r="M8172" s="9">
        <f>B8172+30</f>
        <v/>
      </c>
      <c r="N8172">
        <f>IF(L8172="", "", L8172-B8172)</f>
        <v/>
      </c>
      <c r="O8172">
        <f>IF(L8172="", "Pending", IF(N8172&lt;=30, "Met", "Breached"))</f>
        <v/>
      </c>
      <c r="P8172" s="8" t="n"/>
      <c r="Q8172" s="8" t="n"/>
      <c r="R8172" s="8" t="n"/>
      <c r="S8172" s="8" t="n"/>
      <c r="T8172" s="8" t="n"/>
      <c r="U8172" s="8" t="n"/>
      <c r="V8172" s="8" t="n"/>
      <c r="W8172" s="8" t="n"/>
      <c r="X8172" s="8" t="n"/>
      <c r="Y8172" s="8" t="n"/>
    </row>
    <row r="8173">
      <c r="A8173" s="8" t="n"/>
      <c r="B8173" s="8" t="n"/>
      <c r="C8173" s="8" t="n"/>
      <c r="D8173" s="8" t="n"/>
      <c r="E8173" s="8" t="n"/>
      <c r="F8173" s="8" t="n"/>
      <c r="G8173" s="8" t="n"/>
      <c r="H8173" s="8" t="n"/>
      <c r="I8173" s="8" t="n"/>
      <c r="J8173" s="8" t="n"/>
      <c r="K8173" s="8" t="n"/>
      <c r="L8173" s="8" t="n"/>
      <c r="M8173" s="9">
        <f>B8173+30</f>
        <v/>
      </c>
      <c r="N8173">
        <f>IF(L8173="", "", L8173-B8173)</f>
        <v/>
      </c>
      <c r="O8173">
        <f>IF(L8173="", "Pending", IF(N8173&lt;=30, "Met", "Breached"))</f>
        <v/>
      </c>
      <c r="P8173" s="8" t="n"/>
      <c r="Q8173" s="8" t="n"/>
      <c r="R8173" s="8" t="n"/>
      <c r="S8173" s="8" t="n"/>
      <c r="T8173" s="8" t="n"/>
      <c r="U8173" s="8" t="n"/>
      <c r="V8173" s="8" t="n"/>
      <c r="W8173" s="8" t="n"/>
      <c r="X8173" s="8" t="n"/>
      <c r="Y8173" s="8" t="n"/>
    </row>
    <row r="8174">
      <c r="A8174" s="8" t="n"/>
      <c r="B8174" s="8" t="n"/>
      <c r="C8174" s="8" t="n"/>
      <c r="D8174" s="8" t="n"/>
      <c r="E8174" s="8" t="n"/>
      <c r="F8174" s="8" t="n"/>
      <c r="G8174" s="8" t="n"/>
      <c r="H8174" s="8" t="n"/>
      <c r="I8174" s="8" t="n"/>
      <c r="J8174" s="8" t="n"/>
      <c r="K8174" s="8" t="n"/>
      <c r="L8174" s="8" t="n"/>
      <c r="M8174" s="9">
        <f>B8174+30</f>
        <v/>
      </c>
      <c r="N8174">
        <f>IF(L8174="", "", L8174-B8174)</f>
        <v/>
      </c>
      <c r="O8174">
        <f>IF(L8174="", "Pending", IF(N8174&lt;=30, "Met", "Breached"))</f>
        <v/>
      </c>
      <c r="P8174" s="8" t="n"/>
      <c r="Q8174" s="8" t="n"/>
      <c r="R8174" s="8" t="n"/>
      <c r="S8174" s="8" t="n"/>
      <c r="T8174" s="8" t="n"/>
      <c r="U8174" s="8" t="n"/>
      <c r="V8174" s="8" t="n"/>
      <c r="W8174" s="8" t="n"/>
      <c r="X8174" s="8" t="n"/>
      <c r="Y8174" s="8" t="n"/>
    </row>
    <row r="8175">
      <c r="A8175" s="8" t="n"/>
      <c r="B8175" s="8" t="n"/>
      <c r="C8175" s="8" t="n"/>
      <c r="D8175" s="8" t="n"/>
      <c r="E8175" s="8" t="n"/>
      <c r="F8175" s="8" t="n"/>
      <c r="G8175" s="8" t="n"/>
      <c r="H8175" s="8" t="n"/>
      <c r="I8175" s="8" t="n"/>
      <c r="J8175" s="8" t="n"/>
      <c r="K8175" s="8" t="n"/>
      <c r="L8175" s="8" t="n"/>
      <c r="M8175" s="9">
        <f>B8175+30</f>
        <v/>
      </c>
      <c r="N8175">
        <f>IF(L8175="", "", L8175-B8175)</f>
        <v/>
      </c>
      <c r="O8175">
        <f>IF(L8175="", "Pending", IF(N8175&lt;=30, "Met", "Breached"))</f>
        <v/>
      </c>
      <c r="P8175" s="8" t="n"/>
      <c r="Q8175" s="8" t="n"/>
      <c r="R8175" s="8" t="n"/>
      <c r="S8175" s="8" t="n"/>
      <c r="T8175" s="8" t="n"/>
      <c r="U8175" s="8" t="n"/>
      <c r="V8175" s="8" t="n"/>
      <c r="W8175" s="8" t="n"/>
      <c r="X8175" s="8" t="n"/>
      <c r="Y8175" s="8" t="n"/>
    </row>
    <row r="8176">
      <c r="A8176" s="8" t="n"/>
      <c r="B8176" s="8" t="n"/>
      <c r="C8176" s="8" t="n"/>
      <c r="D8176" s="8" t="n"/>
      <c r="E8176" s="8" t="n"/>
      <c r="F8176" s="8" t="n"/>
      <c r="G8176" s="8" t="n"/>
      <c r="H8176" s="8" t="n"/>
      <c r="I8176" s="8" t="n"/>
      <c r="J8176" s="8" t="n"/>
      <c r="K8176" s="8" t="n"/>
      <c r="L8176" s="8" t="n"/>
      <c r="M8176" s="9">
        <f>B8176+30</f>
        <v/>
      </c>
      <c r="N8176">
        <f>IF(L8176="", "", L8176-B8176)</f>
        <v/>
      </c>
      <c r="O8176">
        <f>IF(L8176="", "Pending", IF(N8176&lt;=30, "Met", "Breached"))</f>
        <v/>
      </c>
      <c r="P8176" s="8" t="n"/>
      <c r="Q8176" s="8" t="n"/>
      <c r="R8176" s="8" t="n"/>
      <c r="S8176" s="8" t="n"/>
      <c r="T8176" s="8" t="n"/>
      <c r="U8176" s="8" t="n"/>
      <c r="V8176" s="8" t="n"/>
      <c r="W8176" s="8" t="n"/>
      <c r="X8176" s="8" t="n"/>
      <c r="Y8176" s="8" t="n"/>
    </row>
    <row r="8177">
      <c r="A8177" s="8" t="n"/>
      <c r="B8177" s="8" t="n"/>
      <c r="C8177" s="8" t="n"/>
      <c r="D8177" s="8" t="n"/>
      <c r="E8177" s="8" t="n"/>
      <c r="F8177" s="8" t="n"/>
      <c r="G8177" s="8" t="n"/>
      <c r="H8177" s="8" t="n"/>
      <c r="I8177" s="8" t="n"/>
      <c r="J8177" s="8" t="n"/>
      <c r="K8177" s="8" t="n"/>
      <c r="L8177" s="8" t="n"/>
      <c r="M8177" s="9">
        <f>B8177+30</f>
        <v/>
      </c>
      <c r="N8177">
        <f>IF(L8177="", "", L8177-B8177)</f>
        <v/>
      </c>
      <c r="O8177">
        <f>IF(L8177="", "Pending", IF(N8177&lt;=30, "Met", "Breached"))</f>
        <v/>
      </c>
      <c r="P8177" s="8" t="n"/>
      <c r="Q8177" s="8" t="n"/>
      <c r="R8177" s="8" t="n"/>
      <c r="S8177" s="8" t="n"/>
      <c r="T8177" s="8" t="n"/>
      <c r="U8177" s="8" t="n"/>
      <c r="V8177" s="8" t="n"/>
      <c r="W8177" s="8" t="n"/>
      <c r="X8177" s="8" t="n"/>
      <c r="Y8177" s="8" t="n"/>
    </row>
    <row r="8178">
      <c r="A8178" s="8" t="n"/>
      <c r="B8178" s="8" t="n"/>
      <c r="C8178" s="8" t="n"/>
      <c r="D8178" s="8" t="n"/>
      <c r="E8178" s="8" t="n"/>
      <c r="F8178" s="8" t="n"/>
      <c r="G8178" s="8" t="n"/>
      <c r="H8178" s="8" t="n"/>
      <c r="I8178" s="8" t="n"/>
      <c r="J8178" s="8" t="n"/>
      <c r="K8178" s="8" t="n"/>
      <c r="L8178" s="8" t="n"/>
      <c r="M8178" s="9">
        <f>B8178+30</f>
        <v/>
      </c>
      <c r="N8178">
        <f>IF(L8178="", "", L8178-B8178)</f>
        <v/>
      </c>
      <c r="O8178">
        <f>IF(L8178="", "Pending", IF(N8178&lt;=30, "Met", "Breached"))</f>
        <v/>
      </c>
      <c r="P8178" s="8" t="n"/>
      <c r="Q8178" s="8" t="n"/>
      <c r="R8178" s="8" t="n"/>
      <c r="S8178" s="8" t="n"/>
      <c r="T8178" s="8" t="n"/>
      <c r="U8178" s="8" t="n"/>
      <c r="V8178" s="8" t="n"/>
      <c r="W8178" s="8" t="n"/>
      <c r="X8178" s="8" t="n"/>
      <c r="Y8178" s="8" t="n"/>
    </row>
    <row r="8179">
      <c r="A8179" s="8" t="n"/>
      <c r="B8179" s="8" t="n"/>
      <c r="C8179" s="8" t="n"/>
      <c r="D8179" s="8" t="n"/>
      <c r="E8179" s="8" t="n"/>
      <c r="F8179" s="8" t="n"/>
      <c r="G8179" s="8" t="n"/>
      <c r="H8179" s="8" t="n"/>
      <c r="I8179" s="8" t="n"/>
      <c r="J8179" s="8" t="n"/>
      <c r="K8179" s="8" t="n"/>
      <c r="L8179" s="8" t="n"/>
      <c r="M8179" s="9">
        <f>B8179+30</f>
        <v/>
      </c>
      <c r="N8179">
        <f>IF(L8179="", "", L8179-B8179)</f>
        <v/>
      </c>
      <c r="O8179">
        <f>IF(L8179="", "Pending", IF(N8179&lt;=30, "Met", "Breached"))</f>
        <v/>
      </c>
      <c r="P8179" s="8" t="n"/>
      <c r="Q8179" s="8" t="n"/>
      <c r="R8179" s="8" t="n"/>
      <c r="S8179" s="8" t="n"/>
      <c r="T8179" s="8" t="n"/>
      <c r="U8179" s="8" t="n"/>
      <c r="V8179" s="8" t="n"/>
      <c r="W8179" s="8" t="n"/>
      <c r="X8179" s="8" t="n"/>
      <c r="Y8179" s="8" t="n"/>
    </row>
    <row r="8180">
      <c r="A8180" s="8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8" t="n"/>
      <c r="K8180" s="8" t="n"/>
      <c r="L8180" s="8" t="n"/>
      <c r="M8180" s="9">
        <f>B8180+30</f>
        <v/>
      </c>
      <c r="N8180">
        <f>IF(L8180="", "", L8180-B8180)</f>
        <v/>
      </c>
      <c r="O8180">
        <f>IF(L8180="", "Pending", IF(N8180&lt;=30, "Met", "Breached"))</f>
        <v/>
      </c>
      <c r="P8180" s="8" t="n"/>
      <c r="Q8180" s="8" t="n"/>
      <c r="R8180" s="8" t="n"/>
      <c r="S8180" s="8" t="n"/>
      <c r="T8180" s="8" t="n"/>
      <c r="U8180" s="8" t="n"/>
      <c r="V8180" s="8" t="n"/>
      <c r="W8180" s="8" t="n"/>
      <c r="X8180" s="8" t="n"/>
      <c r="Y8180" s="8" t="n"/>
    </row>
    <row r="8181">
      <c r="A8181" s="8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8" t="n"/>
      <c r="K8181" s="8" t="n"/>
      <c r="L8181" s="8" t="n"/>
      <c r="M8181" s="9">
        <f>B8181+30</f>
        <v/>
      </c>
      <c r="N8181">
        <f>IF(L8181="", "", L8181-B8181)</f>
        <v/>
      </c>
      <c r="O8181">
        <f>IF(L8181="", "Pending", IF(N8181&lt;=30, "Met", "Breached"))</f>
        <v/>
      </c>
      <c r="P8181" s="8" t="n"/>
      <c r="Q8181" s="8" t="n"/>
      <c r="R8181" s="8" t="n"/>
      <c r="S8181" s="8" t="n"/>
      <c r="T8181" s="8" t="n"/>
      <c r="U8181" s="8" t="n"/>
      <c r="V8181" s="8" t="n"/>
      <c r="W8181" s="8" t="n"/>
      <c r="X8181" s="8" t="n"/>
      <c r="Y8181" s="8" t="n"/>
    </row>
    <row r="8182">
      <c r="A8182" s="8" t="n"/>
      <c r="B8182" s="8" t="n"/>
      <c r="C8182" s="8" t="n"/>
      <c r="D8182" s="8" t="n"/>
      <c r="E8182" s="8" t="n"/>
      <c r="F8182" s="8" t="n"/>
      <c r="G8182" s="8" t="n"/>
      <c r="H8182" s="8" t="n"/>
      <c r="I8182" s="8" t="n"/>
      <c r="J8182" s="8" t="n"/>
      <c r="K8182" s="8" t="n"/>
      <c r="L8182" s="8" t="n"/>
      <c r="M8182" s="9">
        <f>B8182+30</f>
        <v/>
      </c>
      <c r="N8182">
        <f>IF(L8182="", "", L8182-B8182)</f>
        <v/>
      </c>
      <c r="O8182">
        <f>IF(L8182="", "Pending", IF(N8182&lt;=30, "Met", "Breached"))</f>
        <v/>
      </c>
      <c r="P8182" s="8" t="n"/>
      <c r="Q8182" s="8" t="n"/>
      <c r="R8182" s="8" t="n"/>
      <c r="S8182" s="8" t="n"/>
      <c r="T8182" s="8" t="n"/>
      <c r="U8182" s="8" t="n"/>
      <c r="V8182" s="8" t="n"/>
      <c r="W8182" s="8" t="n"/>
      <c r="X8182" s="8" t="n"/>
      <c r="Y8182" s="8" t="n"/>
    </row>
    <row r="8183">
      <c r="A8183" s="8" t="n"/>
      <c r="B8183" s="8" t="n"/>
      <c r="C8183" s="8" t="n"/>
      <c r="D8183" s="8" t="n"/>
      <c r="E8183" s="8" t="n"/>
      <c r="F8183" s="8" t="n"/>
      <c r="G8183" s="8" t="n"/>
      <c r="H8183" s="8" t="n"/>
      <c r="I8183" s="8" t="n"/>
      <c r="J8183" s="8" t="n"/>
      <c r="K8183" s="8" t="n"/>
      <c r="L8183" s="8" t="n"/>
      <c r="M8183" s="9">
        <f>B8183+30</f>
        <v/>
      </c>
      <c r="N8183">
        <f>IF(L8183="", "", L8183-B8183)</f>
        <v/>
      </c>
      <c r="O8183">
        <f>IF(L8183="", "Pending", IF(N8183&lt;=30, "Met", "Breached"))</f>
        <v/>
      </c>
      <c r="P8183" s="8" t="n"/>
      <c r="Q8183" s="8" t="n"/>
      <c r="R8183" s="8" t="n"/>
      <c r="S8183" s="8" t="n"/>
      <c r="T8183" s="8" t="n"/>
      <c r="U8183" s="8" t="n"/>
      <c r="V8183" s="8" t="n"/>
      <c r="W8183" s="8" t="n"/>
      <c r="X8183" s="8" t="n"/>
      <c r="Y8183" s="8" t="n"/>
    </row>
    <row r="8184">
      <c r="A8184" s="8" t="n"/>
      <c r="B8184" s="8" t="n"/>
      <c r="C8184" s="8" t="n"/>
      <c r="D8184" s="8" t="n"/>
      <c r="E8184" s="8" t="n"/>
      <c r="F8184" s="8" t="n"/>
      <c r="G8184" s="8" t="n"/>
      <c r="H8184" s="8" t="n"/>
      <c r="I8184" s="8" t="n"/>
      <c r="J8184" s="8" t="n"/>
      <c r="K8184" s="8" t="n"/>
      <c r="L8184" s="8" t="n"/>
      <c r="M8184" s="9">
        <f>B8184+30</f>
        <v/>
      </c>
      <c r="N8184">
        <f>IF(L8184="", "", L8184-B8184)</f>
        <v/>
      </c>
      <c r="O8184">
        <f>IF(L8184="", "Pending", IF(N8184&lt;=30, "Met", "Breached"))</f>
        <v/>
      </c>
      <c r="P8184" s="8" t="n"/>
      <c r="Q8184" s="8" t="n"/>
      <c r="R8184" s="8" t="n"/>
      <c r="S8184" s="8" t="n"/>
      <c r="T8184" s="8" t="n"/>
      <c r="U8184" s="8" t="n"/>
      <c r="V8184" s="8" t="n"/>
      <c r="W8184" s="8" t="n"/>
      <c r="X8184" s="8" t="n"/>
      <c r="Y8184" s="8" t="n"/>
    </row>
    <row r="8185">
      <c r="A8185" s="8" t="n"/>
      <c r="B8185" s="8" t="n"/>
      <c r="C8185" s="8" t="n"/>
      <c r="D8185" s="8" t="n"/>
      <c r="E8185" s="8" t="n"/>
      <c r="F8185" s="8" t="n"/>
      <c r="G8185" s="8" t="n"/>
      <c r="H8185" s="8" t="n"/>
      <c r="I8185" s="8" t="n"/>
      <c r="J8185" s="8" t="n"/>
      <c r="K8185" s="8" t="n"/>
      <c r="L8185" s="8" t="n"/>
      <c r="M8185" s="9">
        <f>B8185+30</f>
        <v/>
      </c>
      <c r="N8185">
        <f>IF(L8185="", "", L8185-B8185)</f>
        <v/>
      </c>
      <c r="O8185">
        <f>IF(L8185="", "Pending", IF(N8185&lt;=30, "Met", "Breached"))</f>
        <v/>
      </c>
      <c r="P8185" s="8" t="n"/>
      <c r="Q8185" s="8" t="n"/>
      <c r="R8185" s="8" t="n"/>
      <c r="S8185" s="8" t="n"/>
      <c r="T8185" s="8" t="n"/>
      <c r="U8185" s="8" t="n"/>
      <c r="V8185" s="8" t="n"/>
      <c r="W8185" s="8" t="n"/>
      <c r="X8185" s="8" t="n"/>
      <c r="Y8185" s="8" t="n"/>
    </row>
    <row r="8186">
      <c r="A8186" s="8" t="n"/>
      <c r="B8186" s="8" t="n"/>
      <c r="C8186" s="8" t="n"/>
      <c r="D8186" s="8" t="n"/>
      <c r="E8186" s="8" t="n"/>
      <c r="F8186" s="8" t="n"/>
      <c r="G8186" s="8" t="n"/>
      <c r="H8186" s="8" t="n"/>
      <c r="I8186" s="8" t="n"/>
      <c r="J8186" s="8" t="n"/>
      <c r="K8186" s="8" t="n"/>
      <c r="L8186" s="8" t="n"/>
      <c r="M8186" s="9">
        <f>B8186+30</f>
        <v/>
      </c>
      <c r="N8186">
        <f>IF(L8186="", "", L8186-B8186)</f>
        <v/>
      </c>
      <c r="O8186">
        <f>IF(L8186="", "Pending", IF(N8186&lt;=30, "Met", "Breached"))</f>
        <v/>
      </c>
      <c r="P8186" s="8" t="n"/>
      <c r="Q8186" s="8" t="n"/>
      <c r="R8186" s="8" t="n"/>
      <c r="S8186" s="8" t="n"/>
      <c r="T8186" s="8" t="n"/>
      <c r="U8186" s="8" t="n"/>
      <c r="V8186" s="8" t="n"/>
      <c r="W8186" s="8" t="n"/>
      <c r="X8186" s="8" t="n"/>
      <c r="Y8186" s="8" t="n"/>
    </row>
    <row r="8187">
      <c r="A8187" s="8" t="n"/>
      <c r="B8187" s="8" t="n"/>
      <c r="C8187" s="8" t="n"/>
      <c r="D8187" s="8" t="n"/>
      <c r="E8187" s="8" t="n"/>
      <c r="F8187" s="8" t="n"/>
      <c r="G8187" s="8" t="n"/>
      <c r="H8187" s="8" t="n"/>
      <c r="I8187" s="8" t="n"/>
      <c r="J8187" s="8" t="n"/>
      <c r="K8187" s="8" t="n"/>
      <c r="L8187" s="8" t="n"/>
      <c r="M8187" s="9">
        <f>B8187+30</f>
        <v/>
      </c>
      <c r="N8187">
        <f>IF(L8187="", "", L8187-B8187)</f>
        <v/>
      </c>
      <c r="O8187">
        <f>IF(L8187="", "Pending", IF(N8187&lt;=30, "Met", "Breached"))</f>
        <v/>
      </c>
      <c r="P8187" s="8" t="n"/>
      <c r="Q8187" s="8" t="n"/>
      <c r="R8187" s="8" t="n"/>
      <c r="S8187" s="8" t="n"/>
      <c r="T8187" s="8" t="n"/>
      <c r="U8187" s="8" t="n"/>
      <c r="V8187" s="8" t="n"/>
      <c r="W8187" s="8" t="n"/>
      <c r="X8187" s="8" t="n"/>
      <c r="Y8187" s="8" t="n"/>
    </row>
    <row r="8188">
      <c r="A8188" s="8" t="n"/>
      <c r="B8188" s="8" t="n"/>
      <c r="C8188" s="8" t="n"/>
      <c r="D8188" s="8" t="n"/>
      <c r="E8188" s="8" t="n"/>
      <c r="F8188" s="8" t="n"/>
      <c r="G8188" s="8" t="n"/>
      <c r="H8188" s="8" t="n"/>
      <c r="I8188" s="8" t="n"/>
      <c r="J8188" s="8" t="n"/>
      <c r="K8188" s="8" t="n"/>
      <c r="L8188" s="8" t="n"/>
      <c r="M8188" s="9">
        <f>B8188+30</f>
        <v/>
      </c>
      <c r="N8188">
        <f>IF(L8188="", "", L8188-B8188)</f>
        <v/>
      </c>
      <c r="O8188">
        <f>IF(L8188="", "Pending", IF(N8188&lt;=30, "Met", "Breached"))</f>
        <v/>
      </c>
      <c r="P8188" s="8" t="n"/>
      <c r="Q8188" s="8" t="n"/>
      <c r="R8188" s="8" t="n"/>
      <c r="S8188" s="8" t="n"/>
      <c r="T8188" s="8" t="n"/>
      <c r="U8188" s="8" t="n"/>
      <c r="V8188" s="8" t="n"/>
      <c r="W8188" s="8" t="n"/>
      <c r="X8188" s="8" t="n"/>
      <c r="Y8188" s="8" t="n"/>
    </row>
    <row r="8189">
      <c r="A8189" s="8" t="n"/>
      <c r="B8189" s="8" t="n"/>
      <c r="C8189" s="8" t="n"/>
      <c r="D8189" s="8" t="n"/>
      <c r="E8189" s="8" t="n"/>
      <c r="F8189" s="8" t="n"/>
      <c r="G8189" s="8" t="n"/>
      <c r="H8189" s="8" t="n"/>
      <c r="I8189" s="8" t="n"/>
      <c r="J8189" s="8" t="n"/>
      <c r="K8189" s="8" t="n"/>
      <c r="L8189" s="8" t="n"/>
      <c r="M8189" s="9">
        <f>B8189+30</f>
        <v/>
      </c>
      <c r="N8189">
        <f>IF(L8189="", "", L8189-B8189)</f>
        <v/>
      </c>
      <c r="O8189">
        <f>IF(L8189="", "Pending", IF(N8189&lt;=30, "Met", "Breached"))</f>
        <v/>
      </c>
      <c r="P8189" s="8" t="n"/>
      <c r="Q8189" s="8" t="n"/>
      <c r="R8189" s="8" t="n"/>
      <c r="S8189" s="8" t="n"/>
      <c r="T8189" s="8" t="n"/>
      <c r="U8189" s="8" t="n"/>
      <c r="V8189" s="8" t="n"/>
      <c r="W8189" s="8" t="n"/>
      <c r="X8189" s="8" t="n"/>
      <c r="Y8189" s="8" t="n"/>
    </row>
    <row r="8190">
      <c r="A8190" s="8" t="n"/>
      <c r="B8190" s="8" t="n"/>
      <c r="C8190" s="8" t="n"/>
      <c r="D8190" s="8" t="n"/>
      <c r="E8190" s="8" t="n"/>
      <c r="F8190" s="8" t="n"/>
      <c r="G8190" s="8" t="n"/>
      <c r="H8190" s="8" t="n"/>
      <c r="I8190" s="8" t="n"/>
      <c r="J8190" s="8" t="n"/>
      <c r="K8190" s="8" t="n"/>
      <c r="L8190" s="8" t="n"/>
      <c r="M8190" s="9">
        <f>B8190+30</f>
        <v/>
      </c>
      <c r="N8190">
        <f>IF(L8190="", "", L8190-B8190)</f>
        <v/>
      </c>
      <c r="O8190">
        <f>IF(L8190="", "Pending", IF(N8190&lt;=30, "Met", "Breached"))</f>
        <v/>
      </c>
      <c r="P8190" s="8" t="n"/>
      <c r="Q8190" s="8" t="n"/>
      <c r="R8190" s="8" t="n"/>
      <c r="S8190" s="8" t="n"/>
      <c r="T8190" s="8" t="n"/>
      <c r="U8190" s="8" t="n"/>
      <c r="V8190" s="8" t="n"/>
      <c r="W8190" s="8" t="n"/>
      <c r="X8190" s="8" t="n"/>
      <c r="Y8190" s="8" t="n"/>
    </row>
    <row r="8191">
      <c r="A8191" s="8" t="n"/>
      <c r="B8191" s="8" t="n"/>
      <c r="C8191" s="8" t="n"/>
      <c r="D8191" s="8" t="n"/>
      <c r="E8191" s="8" t="n"/>
      <c r="F8191" s="8" t="n"/>
      <c r="G8191" s="8" t="n"/>
      <c r="H8191" s="8" t="n"/>
      <c r="I8191" s="8" t="n"/>
      <c r="J8191" s="8" t="n"/>
      <c r="K8191" s="8" t="n"/>
      <c r="L8191" s="8" t="n"/>
      <c r="M8191" s="9">
        <f>B8191+30</f>
        <v/>
      </c>
      <c r="N8191">
        <f>IF(L8191="", "", L8191-B8191)</f>
        <v/>
      </c>
      <c r="O8191">
        <f>IF(L8191="", "Pending", IF(N8191&lt;=30, "Met", "Breached"))</f>
        <v/>
      </c>
      <c r="P8191" s="8" t="n"/>
      <c r="Q8191" s="8" t="n"/>
      <c r="R8191" s="8" t="n"/>
      <c r="S8191" s="8" t="n"/>
      <c r="T8191" s="8" t="n"/>
      <c r="U8191" s="8" t="n"/>
      <c r="V8191" s="8" t="n"/>
      <c r="W8191" s="8" t="n"/>
      <c r="X8191" s="8" t="n"/>
      <c r="Y8191" s="8" t="n"/>
    </row>
    <row r="8192">
      <c r="A8192" s="8" t="n"/>
      <c r="B8192" s="8" t="n"/>
      <c r="C8192" s="8" t="n"/>
      <c r="D8192" s="8" t="n"/>
      <c r="E8192" s="8" t="n"/>
      <c r="F8192" s="8" t="n"/>
      <c r="G8192" s="8" t="n"/>
      <c r="H8192" s="8" t="n"/>
      <c r="I8192" s="8" t="n"/>
      <c r="J8192" s="8" t="n"/>
      <c r="K8192" s="8" t="n"/>
      <c r="L8192" s="8" t="n"/>
      <c r="M8192" s="9">
        <f>B8192+30</f>
        <v/>
      </c>
      <c r="N8192">
        <f>IF(L8192="", "", L8192-B8192)</f>
        <v/>
      </c>
      <c r="O8192">
        <f>IF(L8192="", "Pending", IF(N8192&lt;=30, "Met", "Breached"))</f>
        <v/>
      </c>
      <c r="P8192" s="8" t="n"/>
      <c r="Q8192" s="8" t="n"/>
      <c r="R8192" s="8" t="n"/>
      <c r="S8192" s="8" t="n"/>
      <c r="T8192" s="8" t="n"/>
      <c r="U8192" s="8" t="n"/>
      <c r="V8192" s="8" t="n"/>
      <c r="W8192" s="8" t="n"/>
      <c r="X8192" s="8" t="n"/>
      <c r="Y8192" s="8" t="n"/>
    </row>
    <row r="8193">
      <c r="A8193" s="8" t="n"/>
      <c r="B8193" s="8" t="n"/>
      <c r="C8193" s="8" t="n"/>
      <c r="D8193" s="8" t="n"/>
      <c r="E8193" s="8" t="n"/>
      <c r="F8193" s="8" t="n"/>
      <c r="G8193" s="8" t="n"/>
      <c r="H8193" s="8" t="n"/>
      <c r="I8193" s="8" t="n"/>
      <c r="J8193" s="8" t="n"/>
      <c r="K8193" s="8" t="n"/>
      <c r="L8193" s="8" t="n"/>
      <c r="M8193" s="9">
        <f>B8193+30</f>
        <v/>
      </c>
      <c r="N8193">
        <f>IF(L8193="", "", L8193-B8193)</f>
        <v/>
      </c>
      <c r="O8193">
        <f>IF(L8193="", "Pending", IF(N8193&lt;=30, "Met", "Breached"))</f>
        <v/>
      </c>
      <c r="P8193" s="8" t="n"/>
      <c r="Q8193" s="8" t="n"/>
      <c r="R8193" s="8" t="n"/>
      <c r="S8193" s="8" t="n"/>
      <c r="T8193" s="8" t="n"/>
      <c r="U8193" s="8" t="n"/>
      <c r="V8193" s="8" t="n"/>
      <c r="W8193" s="8" t="n"/>
      <c r="X8193" s="8" t="n"/>
      <c r="Y8193" s="8" t="n"/>
    </row>
    <row r="8194">
      <c r="A8194" s="8" t="n"/>
      <c r="B8194" s="8" t="n"/>
      <c r="C8194" s="8" t="n"/>
      <c r="D8194" s="8" t="n"/>
      <c r="E8194" s="8" t="n"/>
      <c r="F8194" s="8" t="n"/>
      <c r="G8194" s="8" t="n"/>
      <c r="H8194" s="8" t="n"/>
      <c r="I8194" s="8" t="n"/>
      <c r="J8194" s="8" t="n"/>
      <c r="K8194" s="8" t="n"/>
      <c r="L8194" s="8" t="n"/>
      <c r="M8194" s="9">
        <f>B8194+30</f>
        <v/>
      </c>
      <c r="N8194">
        <f>IF(L8194="", "", L8194-B8194)</f>
        <v/>
      </c>
      <c r="O8194">
        <f>IF(L8194="", "Pending", IF(N8194&lt;=30, "Met", "Breached"))</f>
        <v/>
      </c>
      <c r="P8194" s="8" t="n"/>
      <c r="Q8194" s="8" t="n"/>
      <c r="R8194" s="8" t="n"/>
      <c r="S8194" s="8" t="n"/>
      <c r="T8194" s="8" t="n"/>
      <c r="U8194" s="8" t="n"/>
      <c r="V8194" s="8" t="n"/>
      <c r="W8194" s="8" t="n"/>
      <c r="X8194" s="8" t="n"/>
      <c r="Y8194" s="8" t="n"/>
    </row>
    <row r="8195">
      <c r="A8195" s="8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8" t="n"/>
      <c r="K8195" s="8" t="n"/>
      <c r="L8195" s="8" t="n"/>
      <c r="M8195" s="9">
        <f>B8195+30</f>
        <v/>
      </c>
      <c r="N8195">
        <f>IF(L8195="", "", L8195-B8195)</f>
        <v/>
      </c>
      <c r="O8195">
        <f>IF(L8195="", "Pending", IF(N8195&lt;=30, "Met", "Breached"))</f>
        <v/>
      </c>
      <c r="P8195" s="8" t="n"/>
      <c r="Q8195" s="8" t="n"/>
      <c r="R8195" s="8" t="n"/>
      <c r="S8195" s="8" t="n"/>
      <c r="T8195" s="8" t="n"/>
      <c r="U8195" s="8" t="n"/>
      <c r="V8195" s="8" t="n"/>
      <c r="W8195" s="8" t="n"/>
      <c r="X8195" s="8" t="n"/>
      <c r="Y8195" s="8" t="n"/>
    </row>
    <row r="8196">
      <c r="A8196" s="8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8" t="n"/>
      <c r="K8196" s="8" t="n"/>
      <c r="L8196" s="8" t="n"/>
      <c r="M8196" s="9">
        <f>B8196+30</f>
        <v/>
      </c>
      <c r="N8196">
        <f>IF(L8196="", "", L8196-B8196)</f>
        <v/>
      </c>
      <c r="O8196">
        <f>IF(L8196="", "Pending", IF(N8196&lt;=30, "Met", "Breached"))</f>
        <v/>
      </c>
      <c r="P8196" s="8" t="n"/>
      <c r="Q8196" s="8" t="n"/>
      <c r="R8196" s="8" t="n"/>
      <c r="S8196" s="8" t="n"/>
      <c r="T8196" s="8" t="n"/>
      <c r="U8196" s="8" t="n"/>
      <c r="V8196" s="8" t="n"/>
      <c r="W8196" s="8" t="n"/>
      <c r="X8196" s="8" t="n"/>
      <c r="Y8196" s="8" t="n"/>
    </row>
    <row r="8197">
      <c r="A8197" s="8" t="n"/>
      <c r="B8197" s="8" t="n"/>
      <c r="C8197" s="8" t="n"/>
      <c r="D8197" s="8" t="n"/>
      <c r="E8197" s="8" t="n"/>
      <c r="F8197" s="8" t="n"/>
      <c r="G8197" s="8" t="n"/>
      <c r="H8197" s="8" t="n"/>
      <c r="I8197" s="8" t="n"/>
      <c r="J8197" s="8" t="n"/>
      <c r="K8197" s="8" t="n"/>
      <c r="L8197" s="8" t="n"/>
      <c r="M8197" s="9">
        <f>B8197+30</f>
        <v/>
      </c>
      <c r="N8197">
        <f>IF(L8197="", "", L8197-B8197)</f>
        <v/>
      </c>
      <c r="O8197">
        <f>IF(L8197="", "Pending", IF(N8197&lt;=30, "Met", "Breached"))</f>
        <v/>
      </c>
      <c r="P8197" s="8" t="n"/>
      <c r="Q8197" s="8" t="n"/>
      <c r="R8197" s="8" t="n"/>
      <c r="S8197" s="8" t="n"/>
      <c r="T8197" s="8" t="n"/>
      <c r="U8197" s="8" t="n"/>
      <c r="V8197" s="8" t="n"/>
      <c r="W8197" s="8" t="n"/>
      <c r="X8197" s="8" t="n"/>
      <c r="Y8197" s="8" t="n"/>
    </row>
    <row r="8198">
      <c r="A8198" s="8" t="n"/>
      <c r="B8198" s="8" t="n"/>
      <c r="C8198" s="8" t="n"/>
      <c r="D8198" s="8" t="n"/>
      <c r="E8198" s="8" t="n"/>
      <c r="F8198" s="8" t="n"/>
      <c r="G8198" s="8" t="n"/>
      <c r="H8198" s="8" t="n"/>
      <c r="I8198" s="8" t="n"/>
      <c r="J8198" s="8" t="n"/>
      <c r="K8198" s="8" t="n"/>
      <c r="L8198" s="8" t="n"/>
      <c r="M8198" s="9">
        <f>B8198+30</f>
        <v/>
      </c>
      <c r="N8198">
        <f>IF(L8198="", "", L8198-B8198)</f>
        <v/>
      </c>
      <c r="O8198">
        <f>IF(L8198="", "Pending", IF(N8198&lt;=30, "Met", "Breached"))</f>
        <v/>
      </c>
      <c r="P8198" s="8" t="n"/>
      <c r="Q8198" s="8" t="n"/>
      <c r="R8198" s="8" t="n"/>
      <c r="S8198" s="8" t="n"/>
      <c r="T8198" s="8" t="n"/>
      <c r="U8198" s="8" t="n"/>
      <c r="V8198" s="8" t="n"/>
      <c r="W8198" s="8" t="n"/>
      <c r="X8198" s="8" t="n"/>
      <c r="Y8198" s="8" t="n"/>
    </row>
    <row r="8199">
      <c r="A8199" s="8" t="n"/>
      <c r="B8199" s="8" t="n"/>
      <c r="C8199" s="8" t="n"/>
      <c r="D8199" s="8" t="n"/>
      <c r="E8199" s="8" t="n"/>
      <c r="F8199" s="8" t="n"/>
      <c r="G8199" s="8" t="n"/>
      <c r="H8199" s="8" t="n"/>
      <c r="I8199" s="8" t="n"/>
      <c r="J8199" s="8" t="n"/>
      <c r="K8199" s="8" t="n"/>
      <c r="L8199" s="8" t="n"/>
      <c r="M8199" s="9">
        <f>B8199+30</f>
        <v/>
      </c>
      <c r="N8199">
        <f>IF(L8199="", "", L8199-B8199)</f>
        <v/>
      </c>
      <c r="O8199">
        <f>IF(L8199="", "Pending", IF(N8199&lt;=30, "Met", "Breached"))</f>
        <v/>
      </c>
      <c r="P8199" s="8" t="n"/>
      <c r="Q8199" s="8" t="n"/>
      <c r="R8199" s="8" t="n"/>
      <c r="S8199" s="8" t="n"/>
      <c r="T8199" s="8" t="n"/>
      <c r="U8199" s="8" t="n"/>
      <c r="V8199" s="8" t="n"/>
      <c r="W8199" s="8" t="n"/>
      <c r="X8199" s="8" t="n"/>
      <c r="Y8199" s="8" t="n"/>
    </row>
    <row r="8200">
      <c r="A8200" s="8" t="n"/>
      <c r="B8200" s="8" t="n"/>
      <c r="C8200" s="8" t="n"/>
      <c r="D8200" s="8" t="n"/>
      <c r="E8200" s="8" t="n"/>
      <c r="F8200" s="8" t="n"/>
      <c r="G8200" s="8" t="n"/>
      <c r="H8200" s="8" t="n"/>
      <c r="I8200" s="8" t="n"/>
      <c r="J8200" s="8" t="n"/>
      <c r="K8200" s="8" t="n"/>
      <c r="L8200" s="8" t="n"/>
      <c r="M8200" s="9">
        <f>B8200+30</f>
        <v/>
      </c>
      <c r="N8200">
        <f>IF(L8200="", "", L8200-B8200)</f>
        <v/>
      </c>
      <c r="O8200">
        <f>IF(L8200="", "Pending", IF(N8200&lt;=30, "Met", "Breached"))</f>
        <v/>
      </c>
      <c r="P8200" s="8" t="n"/>
      <c r="Q8200" s="8" t="n"/>
      <c r="R8200" s="8" t="n"/>
      <c r="S8200" s="8" t="n"/>
      <c r="T8200" s="8" t="n"/>
      <c r="U8200" s="8" t="n"/>
      <c r="V8200" s="8" t="n"/>
      <c r="W8200" s="8" t="n"/>
      <c r="X8200" s="8" t="n"/>
      <c r="Y8200" s="8" t="n"/>
    </row>
    <row r="8201">
      <c r="A8201" s="8" t="n"/>
      <c r="B8201" s="8" t="n"/>
      <c r="C8201" s="8" t="n"/>
      <c r="D8201" s="8" t="n"/>
      <c r="E8201" s="8" t="n"/>
      <c r="F8201" s="8" t="n"/>
      <c r="G8201" s="8" t="n"/>
      <c r="H8201" s="8" t="n"/>
      <c r="I8201" s="8" t="n"/>
      <c r="J8201" s="8" t="n"/>
      <c r="K8201" s="8" t="n"/>
      <c r="L8201" s="8" t="n"/>
      <c r="M8201" s="9">
        <f>B8201+30</f>
        <v/>
      </c>
      <c r="N8201">
        <f>IF(L8201="", "", L8201-B8201)</f>
        <v/>
      </c>
      <c r="O8201">
        <f>IF(L8201="", "Pending", IF(N8201&lt;=30, "Met", "Breached"))</f>
        <v/>
      </c>
      <c r="P8201" s="8" t="n"/>
      <c r="Q8201" s="8" t="n"/>
      <c r="R8201" s="8" t="n"/>
      <c r="S8201" s="8" t="n"/>
      <c r="T8201" s="8" t="n"/>
      <c r="U8201" s="8" t="n"/>
      <c r="V8201" s="8" t="n"/>
      <c r="W8201" s="8" t="n"/>
      <c r="X8201" s="8" t="n"/>
      <c r="Y8201" s="8" t="n"/>
    </row>
    <row r="8202">
      <c r="A8202" s="8" t="n"/>
      <c r="B8202" s="8" t="n"/>
      <c r="C8202" s="8" t="n"/>
      <c r="D8202" s="8" t="n"/>
      <c r="E8202" s="8" t="n"/>
      <c r="F8202" s="8" t="n"/>
      <c r="G8202" s="8" t="n"/>
      <c r="H8202" s="8" t="n"/>
      <c r="I8202" s="8" t="n"/>
      <c r="J8202" s="8" t="n"/>
      <c r="K8202" s="8" t="n"/>
      <c r="L8202" s="8" t="n"/>
      <c r="M8202" s="9">
        <f>B8202+30</f>
        <v/>
      </c>
      <c r="N8202">
        <f>IF(L8202="", "", L8202-B8202)</f>
        <v/>
      </c>
      <c r="O8202">
        <f>IF(L8202="", "Pending", IF(N8202&lt;=30, "Met", "Breached"))</f>
        <v/>
      </c>
      <c r="P8202" s="8" t="n"/>
      <c r="Q8202" s="8" t="n"/>
      <c r="R8202" s="8" t="n"/>
      <c r="S8202" s="8" t="n"/>
      <c r="T8202" s="8" t="n"/>
      <c r="U8202" s="8" t="n"/>
      <c r="V8202" s="8" t="n"/>
      <c r="W8202" s="8" t="n"/>
      <c r="X8202" s="8" t="n"/>
      <c r="Y8202" s="8" t="n"/>
    </row>
    <row r="8203">
      <c r="A8203" s="8" t="n"/>
      <c r="B8203" s="8" t="n"/>
      <c r="C8203" s="8" t="n"/>
      <c r="D8203" s="8" t="n"/>
      <c r="E8203" s="8" t="n"/>
      <c r="F8203" s="8" t="n"/>
      <c r="G8203" s="8" t="n"/>
      <c r="H8203" s="8" t="n"/>
      <c r="I8203" s="8" t="n"/>
      <c r="J8203" s="8" t="n"/>
      <c r="K8203" s="8" t="n"/>
      <c r="L8203" s="8" t="n"/>
      <c r="M8203" s="9">
        <f>B8203+30</f>
        <v/>
      </c>
      <c r="N8203">
        <f>IF(L8203="", "", L8203-B8203)</f>
        <v/>
      </c>
      <c r="O8203">
        <f>IF(L8203="", "Pending", IF(N8203&lt;=30, "Met", "Breached"))</f>
        <v/>
      </c>
      <c r="P8203" s="8" t="n"/>
      <c r="Q8203" s="8" t="n"/>
      <c r="R8203" s="8" t="n"/>
      <c r="S8203" s="8" t="n"/>
      <c r="T8203" s="8" t="n"/>
      <c r="U8203" s="8" t="n"/>
      <c r="V8203" s="8" t="n"/>
      <c r="W8203" s="8" t="n"/>
      <c r="X8203" s="8" t="n"/>
      <c r="Y8203" s="8" t="n"/>
    </row>
    <row r="8204">
      <c r="A8204" s="8" t="n"/>
      <c r="B8204" s="8" t="n"/>
      <c r="C8204" s="8" t="n"/>
      <c r="D8204" s="8" t="n"/>
      <c r="E8204" s="8" t="n"/>
      <c r="F8204" s="8" t="n"/>
      <c r="G8204" s="8" t="n"/>
      <c r="H8204" s="8" t="n"/>
      <c r="I8204" s="8" t="n"/>
      <c r="J8204" s="8" t="n"/>
      <c r="K8204" s="8" t="n"/>
      <c r="L8204" s="8" t="n"/>
      <c r="M8204" s="9">
        <f>B8204+30</f>
        <v/>
      </c>
      <c r="N8204">
        <f>IF(L8204="", "", L8204-B8204)</f>
        <v/>
      </c>
      <c r="O8204">
        <f>IF(L8204="", "Pending", IF(N8204&lt;=30, "Met", "Breached"))</f>
        <v/>
      </c>
      <c r="P8204" s="8" t="n"/>
      <c r="Q8204" s="8" t="n"/>
      <c r="R8204" s="8" t="n"/>
      <c r="S8204" s="8" t="n"/>
      <c r="T8204" s="8" t="n"/>
      <c r="U8204" s="8" t="n"/>
      <c r="V8204" s="8" t="n"/>
      <c r="W8204" s="8" t="n"/>
      <c r="X8204" s="8" t="n"/>
      <c r="Y8204" s="8" t="n"/>
    </row>
    <row r="8205">
      <c r="A8205" s="8" t="n"/>
      <c r="B8205" s="8" t="n"/>
      <c r="C8205" s="8" t="n"/>
      <c r="D8205" s="8" t="n"/>
      <c r="E8205" s="8" t="n"/>
      <c r="F8205" s="8" t="n"/>
      <c r="G8205" s="8" t="n"/>
      <c r="H8205" s="8" t="n"/>
      <c r="I8205" s="8" t="n"/>
      <c r="J8205" s="8" t="n"/>
      <c r="K8205" s="8" t="n"/>
      <c r="L8205" s="8" t="n"/>
      <c r="M8205" s="9">
        <f>B8205+30</f>
        <v/>
      </c>
      <c r="N8205">
        <f>IF(L8205="", "", L8205-B8205)</f>
        <v/>
      </c>
      <c r="O8205">
        <f>IF(L8205="", "Pending", IF(N8205&lt;=30, "Met", "Breached"))</f>
        <v/>
      </c>
      <c r="P8205" s="8" t="n"/>
      <c r="Q8205" s="8" t="n"/>
      <c r="R8205" s="8" t="n"/>
      <c r="S8205" s="8" t="n"/>
      <c r="T8205" s="8" t="n"/>
      <c r="U8205" s="8" t="n"/>
      <c r="V8205" s="8" t="n"/>
      <c r="W8205" s="8" t="n"/>
      <c r="X8205" s="8" t="n"/>
      <c r="Y8205" s="8" t="n"/>
    </row>
    <row r="8206">
      <c r="A8206" s="8" t="n"/>
      <c r="B8206" s="8" t="n"/>
      <c r="C8206" s="8" t="n"/>
      <c r="D8206" s="8" t="n"/>
      <c r="E8206" s="8" t="n"/>
      <c r="F8206" s="8" t="n"/>
      <c r="G8206" s="8" t="n"/>
      <c r="H8206" s="8" t="n"/>
      <c r="I8206" s="8" t="n"/>
      <c r="J8206" s="8" t="n"/>
      <c r="K8206" s="8" t="n"/>
      <c r="L8206" s="8" t="n"/>
      <c r="M8206" s="9">
        <f>B8206+30</f>
        <v/>
      </c>
      <c r="N8206">
        <f>IF(L8206="", "", L8206-B8206)</f>
        <v/>
      </c>
      <c r="O8206">
        <f>IF(L8206="", "Pending", IF(N8206&lt;=30, "Met", "Breached"))</f>
        <v/>
      </c>
      <c r="P8206" s="8" t="n"/>
      <c r="Q8206" s="8" t="n"/>
      <c r="R8206" s="8" t="n"/>
      <c r="S8206" s="8" t="n"/>
      <c r="T8206" s="8" t="n"/>
      <c r="U8206" s="8" t="n"/>
      <c r="V8206" s="8" t="n"/>
      <c r="W8206" s="8" t="n"/>
      <c r="X8206" s="8" t="n"/>
      <c r="Y8206" s="8" t="n"/>
    </row>
    <row r="8207">
      <c r="A8207" s="8" t="n"/>
      <c r="B8207" s="8" t="n"/>
      <c r="C8207" s="8" t="n"/>
      <c r="D8207" s="8" t="n"/>
      <c r="E8207" s="8" t="n"/>
      <c r="F8207" s="8" t="n"/>
      <c r="G8207" s="8" t="n"/>
      <c r="H8207" s="8" t="n"/>
      <c r="I8207" s="8" t="n"/>
      <c r="J8207" s="8" t="n"/>
      <c r="K8207" s="8" t="n"/>
      <c r="L8207" s="8" t="n"/>
      <c r="M8207" s="9">
        <f>B8207+30</f>
        <v/>
      </c>
      <c r="N8207">
        <f>IF(L8207="", "", L8207-B8207)</f>
        <v/>
      </c>
      <c r="O8207">
        <f>IF(L8207="", "Pending", IF(N8207&lt;=30, "Met", "Breached"))</f>
        <v/>
      </c>
      <c r="P8207" s="8" t="n"/>
      <c r="Q8207" s="8" t="n"/>
      <c r="R8207" s="8" t="n"/>
      <c r="S8207" s="8" t="n"/>
      <c r="T8207" s="8" t="n"/>
      <c r="U8207" s="8" t="n"/>
      <c r="V8207" s="8" t="n"/>
      <c r="W8207" s="8" t="n"/>
      <c r="X8207" s="8" t="n"/>
      <c r="Y8207" s="8" t="n"/>
    </row>
    <row r="8208">
      <c r="A8208" s="8" t="n"/>
      <c r="B8208" s="8" t="n"/>
      <c r="C8208" s="8" t="n"/>
      <c r="D8208" s="8" t="n"/>
      <c r="E8208" s="8" t="n"/>
      <c r="F8208" s="8" t="n"/>
      <c r="G8208" s="8" t="n"/>
      <c r="H8208" s="8" t="n"/>
      <c r="I8208" s="8" t="n"/>
      <c r="J8208" s="8" t="n"/>
      <c r="K8208" s="8" t="n"/>
      <c r="L8208" s="8" t="n"/>
      <c r="M8208" s="9">
        <f>B8208+30</f>
        <v/>
      </c>
      <c r="N8208">
        <f>IF(L8208="", "", L8208-B8208)</f>
        <v/>
      </c>
      <c r="O8208">
        <f>IF(L8208="", "Pending", IF(N8208&lt;=30, "Met", "Breached"))</f>
        <v/>
      </c>
      <c r="P8208" s="8" t="n"/>
      <c r="Q8208" s="8" t="n"/>
      <c r="R8208" s="8" t="n"/>
      <c r="S8208" s="8" t="n"/>
      <c r="T8208" s="8" t="n"/>
      <c r="U8208" s="8" t="n"/>
      <c r="V8208" s="8" t="n"/>
      <c r="W8208" s="8" t="n"/>
      <c r="X8208" s="8" t="n"/>
      <c r="Y8208" s="8" t="n"/>
    </row>
    <row r="8209">
      <c r="A8209" s="8" t="n"/>
      <c r="B8209" s="8" t="n"/>
      <c r="C8209" s="8" t="n"/>
      <c r="D8209" s="8" t="n"/>
      <c r="E8209" s="8" t="n"/>
      <c r="F8209" s="8" t="n"/>
      <c r="G8209" s="8" t="n"/>
      <c r="H8209" s="8" t="n"/>
      <c r="I8209" s="8" t="n"/>
      <c r="J8209" s="8" t="n"/>
      <c r="K8209" s="8" t="n"/>
      <c r="L8209" s="8" t="n"/>
      <c r="M8209" s="9">
        <f>B8209+30</f>
        <v/>
      </c>
      <c r="N8209">
        <f>IF(L8209="", "", L8209-B8209)</f>
        <v/>
      </c>
      <c r="O8209">
        <f>IF(L8209="", "Pending", IF(N8209&lt;=30, "Met", "Breached"))</f>
        <v/>
      </c>
      <c r="P8209" s="8" t="n"/>
      <c r="Q8209" s="8" t="n"/>
      <c r="R8209" s="8" t="n"/>
      <c r="S8209" s="8" t="n"/>
      <c r="T8209" s="8" t="n"/>
      <c r="U8209" s="8" t="n"/>
      <c r="V8209" s="8" t="n"/>
      <c r="W8209" s="8" t="n"/>
      <c r="X8209" s="8" t="n"/>
      <c r="Y8209" s="8" t="n"/>
    </row>
    <row r="8210">
      <c r="A8210" s="8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8" t="n"/>
      <c r="K8210" s="8" t="n"/>
      <c r="L8210" s="8" t="n"/>
      <c r="M8210" s="9">
        <f>B8210+30</f>
        <v/>
      </c>
      <c r="N8210">
        <f>IF(L8210="", "", L8210-B8210)</f>
        <v/>
      </c>
      <c r="O8210">
        <f>IF(L8210="", "Pending", IF(N8210&lt;=30, "Met", "Breached"))</f>
        <v/>
      </c>
      <c r="P8210" s="8" t="n"/>
      <c r="Q8210" s="8" t="n"/>
      <c r="R8210" s="8" t="n"/>
      <c r="S8210" s="8" t="n"/>
      <c r="T8210" s="8" t="n"/>
      <c r="U8210" s="8" t="n"/>
      <c r="V8210" s="8" t="n"/>
      <c r="W8210" s="8" t="n"/>
      <c r="X8210" s="8" t="n"/>
      <c r="Y8210" s="8" t="n"/>
    </row>
    <row r="8211">
      <c r="A8211" s="8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8" t="n"/>
      <c r="K8211" s="8" t="n"/>
      <c r="L8211" s="8" t="n"/>
      <c r="M8211" s="9">
        <f>B8211+30</f>
        <v/>
      </c>
      <c r="N8211">
        <f>IF(L8211="", "", L8211-B8211)</f>
        <v/>
      </c>
      <c r="O8211">
        <f>IF(L8211="", "Pending", IF(N8211&lt;=30, "Met", "Breached"))</f>
        <v/>
      </c>
      <c r="P8211" s="8" t="n"/>
      <c r="Q8211" s="8" t="n"/>
      <c r="R8211" s="8" t="n"/>
      <c r="S8211" s="8" t="n"/>
      <c r="T8211" s="8" t="n"/>
      <c r="U8211" s="8" t="n"/>
      <c r="V8211" s="8" t="n"/>
      <c r="W8211" s="8" t="n"/>
      <c r="X8211" s="8" t="n"/>
      <c r="Y8211" s="8" t="n"/>
    </row>
    <row r="8212">
      <c r="A8212" s="8" t="n"/>
      <c r="B8212" s="8" t="n"/>
      <c r="C8212" s="8" t="n"/>
      <c r="D8212" s="8" t="n"/>
      <c r="E8212" s="8" t="n"/>
      <c r="F8212" s="8" t="n"/>
      <c r="G8212" s="8" t="n"/>
      <c r="H8212" s="8" t="n"/>
      <c r="I8212" s="8" t="n"/>
      <c r="J8212" s="8" t="n"/>
      <c r="K8212" s="8" t="n"/>
      <c r="L8212" s="8" t="n"/>
      <c r="M8212" s="9">
        <f>B8212+30</f>
        <v/>
      </c>
      <c r="N8212">
        <f>IF(L8212="", "", L8212-B8212)</f>
        <v/>
      </c>
      <c r="O8212">
        <f>IF(L8212="", "Pending", IF(N8212&lt;=30, "Met", "Breached"))</f>
        <v/>
      </c>
      <c r="P8212" s="8" t="n"/>
      <c r="Q8212" s="8" t="n"/>
      <c r="R8212" s="8" t="n"/>
      <c r="S8212" s="8" t="n"/>
      <c r="T8212" s="8" t="n"/>
      <c r="U8212" s="8" t="n"/>
      <c r="V8212" s="8" t="n"/>
      <c r="W8212" s="8" t="n"/>
      <c r="X8212" s="8" t="n"/>
      <c r="Y8212" s="8" t="n"/>
    </row>
    <row r="8213">
      <c r="A8213" s="8" t="n"/>
      <c r="B8213" s="8" t="n"/>
      <c r="C8213" s="8" t="n"/>
      <c r="D8213" s="8" t="n"/>
      <c r="E8213" s="8" t="n"/>
      <c r="F8213" s="8" t="n"/>
      <c r="G8213" s="8" t="n"/>
      <c r="H8213" s="8" t="n"/>
      <c r="I8213" s="8" t="n"/>
      <c r="J8213" s="8" t="n"/>
      <c r="K8213" s="8" t="n"/>
      <c r="L8213" s="8" t="n"/>
      <c r="M8213" s="9">
        <f>B8213+30</f>
        <v/>
      </c>
      <c r="N8213">
        <f>IF(L8213="", "", L8213-B8213)</f>
        <v/>
      </c>
      <c r="O8213">
        <f>IF(L8213="", "Pending", IF(N8213&lt;=30, "Met", "Breached"))</f>
        <v/>
      </c>
      <c r="P8213" s="8" t="n"/>
      <c r="Q8213" s="8" t="n"/>
      <c r="R8213" s="8" t="n"/>
      <c r="S8213" s="8" t="n"/>
      <c r="T8213" s="8" t="n"/>
      <c r="U8213" s="8" t="n"/>
      <c r="V8213" s="8" t="n"/>
      <c r="W8213" s="8" t="n"/>
      <c r="X8213" s="8" t="n"/>
      <c r="Y8213" s="8" t="n"/>
    </row>
    <row r="8214">
      <c r="A8214" s="8" t="n"/>
      <c r="B8214" s="8" t="n"/>
      <c r="C8214" s="8" t="n"/>
      <c r="D8214" s="8" t="n"/>
      <c r="E8214" s="8" t="n"/>
      <c r="F8214" s="8" t="n"/>
      <c r="G8214" s="8" t="n"/>
      <c r="H8214" s="8" t="n"/>
      <c r="I8214" s="8" t="n"/>
      <c r="J8214" s="8" t="n"/>
      <c r="K8214" s="8" t="n"/>
      <c r="L8214" s="8" t="n"/>
      <c r="M8214" s="9">
        <f>B8214+30</f>
        <v/>
      </c>
      <c r="N8214">
        <f>IF(L8214="", "", L8214-B8214)</f>
        <v/>
      </c>
      <c r="O8214">
        <f>IF(L8214="", "Pending", IF(N8214&lt;=30, "Met", "Breached"))</f>
        <v/>
      </c>
      <c r="P8214" s="8" t="n"/>
      <c r="Q8214" s="8" t="n"/>
      <c r="R8214" s="8" t="n"/>
      <c r="S8214" s="8" t="n"/>
      <c r="T8214" s="8" t="n"/>
      <c r="U8214" s="8" t="n"/>
      <c r="V8214" s="8" t="n"/>
      <c r="W8214" s="8" t="n"/>
      <c r="X8214" s="8" t="n"/>
      <c r="Y8214" s="8" t="n"/>
    </row>
    <row r="8215">
      <c r="A8215" s="8" t="n"/>
      <c r="B8215" s="8" t="n"/>
      <c r="C8215" s="8" t="n"/>
      <c r="D8215" s="8" t="n"/>
      <c r="E8215" s="8" t="n"/>
      <c r="F8215" s="8" t="n"/>
      <c r="G8215" s="8" t="n"/>
      <c r="H8215" s="8" t="n"/>
      <c r="I8215" s="8" t="n"/>
      <c r="J8215" s="8" t="n"/>
      <c r="K8215" s="8" t="n"/>
      <c r="L8215" s="8" t="n"/>
      <c r="M8215" s="9">
        <f>B8215+30</f>
        <v/>
      </c>
      <c r="N8215">
        <f>IF(L8215="", "", L8215-B8215)</f>
        <v/>
      </c>
      <c r="O8215">
        <f>IF(L8215="", "Pending", IF(N8215&lt;=30, "Met", "Breached"))</f>
        <v/>
      </c>
      <c r="P8215" s="8" t="n"/>
      <c r="Q8215" s="8" t="n"/>
      <c r="R8215" s="8" t="n"/>
      <c r="S8215" s="8" t="n"/>
      <c r="T8215" s="8" t="n"/>
      <c r="U8215" s="8" t="n"/>
      <c r="V8215" s="8" t="n"/>
      <c r="W8215" s="8" t="n"/>
      <c r="X8215" s="8" t="n"/>
      <c r="Y8215" s="8" t="n"/>
    </row>
    <row r="8216">
      <c r="A8216" s="8" t="n"/>
      <c r="B8216" s="8" t="n"/>
      <c r="C8216" s="8" t="n"/>
      <c r="D8216" s="8" t="n"/>
      <c r="E8216" s="8" t="n"/>
      <c r="F8216" s="8" t="n"/>
      <c r="G8216" s="8" t="n"/>
      <c r="H8216" s="8" t="n"/>
      <c r="I8216" s="8" t="n"/>
      <c r="J8216" s="8" t="n"/>
      <c r="K8216" s="8" t="n"/>
      <c r="L8216" s="8" t="n"/>
      <c r="M8216" s="9">
        <f>B8216+30</f>
        <v/>
      </c>
      <c r="N8216">
        <f>IF(L8216="", "", L8216-B8216)</f>
        <v/>
      </c>
      <c r="O8216">
        <f>IF(L8216="", "Pending", IF(N8216&lt;=30, "Met", "Breached"))</f>
        <v/>
      </c>
      <c r="P8216" s="8" t="n"/>
      <c r="Q8216" s="8" t="n"/>
      <c r="R8216" s="8" t="n"/>
      <c r="S8216" s="8" t="n"/>
      <c r="T8216" s="8" t="n"/>
      <c r="U8216" s="8" t="n"/>
      <c r="V8216" s="8" t="n"/>
      <c r="W8216" s="8" t="n"/>
      <c r="X8216" s="8" t="n"/>
      <c r="Y8216" s="8" t="n"/>
    </row>
    <row r="8217">
      <c r="A8217" s="8" t="n"/>
      <c r="B8217" s="8" t="n"/>
      <c r="C8217" s="8" t="n"/>
      <c r="D8217" s="8" t="n"/>
      <c r="E8217" s="8" t="n"/>
      <c r="F8217" s="8" t="n"/>
      <c r="G8217" s="8" t="n"/>
      <c r="H8217" s="8" t="n"/>
      <c r="I8217" s="8" t="n"/>
      <c r="J8217" s="8" t="n"/>
      <c r="K8217" s="8" t="n"/>
      <c r="L8217" s="8" t="n"/>
      <c r="M8217" s="9">
        <f>B8217+30</f>
        <v/>
      </c>
      <c r="N8217">
        <f>IF(L8217="", "", L8217-B8217)</f>
        <v/>
      </c>
      <c r="O8217">
        <f>IF(L8217="", "Pending", IF(N8217&lt;=30, "Met", "Breached"))</f>
        <v/>
      </c>
      <c r="P8217" s="8" t="n"/>
      <c r="Q8217" s="8" t="n"/>
      <c r="R8217" s="8" t="n"/>
      <c r="S8217" s="8" t="n"/>
      <c r="T8217" s="8" t="n"/>
      <c r="U8217" s="8" t="n"/>
      <c r="V8217" s="8" t="n"/>
      <c r="W8217" s="8" t="n"/>
      <c r="X8217" s="8" t="n"/>
      <c r="Y8217" s="8" t="n"/>
    </row>
    <row r="8218">
      <c r="A8218" s="8" t="n"/>
      <c r="B8218" s="8" t="n"/>
      <c r="C8218" s="8" t="n"/>
      <c r="D8218" s="8" t="n"/>
      <c r="E8218" s="8" t="n"/>
      <c r="F8218" s="8" t="n"/>
      <c r="G8218" s="8" t="n"/>
      <c r="H8218" s="8" t="n"/>
      <c r="I8218" s="8" t="n"/>
      <c r="J8218" s="8" t="n"/>
      <c r="K8218" s="8" t="n"/>
      <c r="L8218" s="8" t="n"/>
      <c r="M8218" s="9">
        <f>B8218+30</f>
        <v/>
      </c>
      <c r="N8218">
        <f>IF(L8218="", "", L8218-B8218)</f>
        <v/>
      </c>
      <c r="O8218">
        <f>IF(L8218="", "Pending", IF(N8218&lt;=30, "Met", "Breached"))</f>
        <v/>
      </c>
      <c r="P8218" s="8" t="n"/>
      <c r="Q8218" s="8" t="n"/>
      <c r="R8218" s="8" t="n"/>
      <c r="S8218" s="8" t="n"/>
      <c r="T8218" s="8" t="n"/>
      <c r="U8218" s="8" t="n"/>
      <c r="V8218" s="8" t="n"/>
      <c r="W8218" s="8" t="n"/>
      <c r="X8218" s="8" t="n"/>
      <c r="Y8218" s="8" t="n"/>
    </row>
    <row r="8219">
      <c r="A8219" s="8" t="n"/>
      <c r="B8219" s="8" t="n"/>
      <c r="C8219" s="8" t="n"/>
      <c r="D8219" s="8" t="n"/>
      <c r="E8219" s="8" t="n"/>
      <c r="F8219" s="8" t="n"/>
      <c r="G8219" s="8" t="n"/>
      <c r="H8219" s="8" t="n"/>
      <c r="I8219" s="8" t="n"/>
      <c r="J8219" s="8" t="n"/>
      <c r="K8219" s="8" t="n"/>
      <c r="L8219" s="8" t="n"/>
      <c r="M8219" s="9">
        <f>B8219+30</f>
        <v/>
      </c>
      <c r="N8219">
        <f>IF(L8219="", "", L8219-B8219)</f>
        <v/>
      </c>
      <c r="O8219">
        <f>IF(L8219="", "Pending", IF(N8219&lt;=30, "Met", "Breached"))</f>
        <v/>
      </c>
      <c r="P8219" s="8" t="n"/>
      <c r="Q8219" s="8" t="n"/>
      <c r="R8219" s="8" t="n"/>
      <c r="S8219" s="8" t="n"/>
      <c r="T8219" s="8" t="n"/>
      <c r="U8219" s="8" t="n"/>
      <c r="V8219" s="8" t="n"/>
      <c r="W8219" s="8" t="n"/>
      <c r="X8219" s="8" t="n"/>
      <c r="Y8219" s="8" t="n"/>
    </row>
    <row r="8220">
      <c r="A8220" s="8" t="n"/>
      <c r="B8220" s="8" t="n"/>
      <c r="C8220" s="8" t="n"/>
      <c r="D8220" s="8" t="n"/>
      <c r="E8220" s="8" t="n"/>
      <c r="F8220" s="8" t="n"/>
      <c r="G8220" s="8" t="n"/>
      <c r="H8220" s="8" t="n"/>
      <c r="I8220" s="8" t="n"/>
      <c r="J8220" s="8" t="n"/>
      <c r="K8220" s="8" t="n"/>
      <c r="L8220" s="8" t="n"/>
      <c r="M8220" s="9">
        <f>B8220+30</f>
        <v/>
      </c>
      <c r="N8220">
        <f>IF(L8220="", "", L8220-B8220)</f>
        <v/>
      </c>
      <c r="O8220">
        <f>IF(L8220="", "Pending", IF(N8220&lt;=30, "Met", "Breached"))</f>
        <v/>
      </c>
      <c r="P8220" s="8" t="n"/>
      <c r="Q8220" s="8" t="n"/>
      <c r="R8220" s="8" t="n"/>
      <c r="S8220" s="8" t="n"/>
      <c r="T8220" s="8" t="n"/>
      <c r="U8220" s="8" t="n"/>
      <c r="V8220" s="8" t="n"/>
      <c r="W8220" s="8" t="n"/>
      <c r="X8220" s="8" t="n"/>
      <c r="Y8220" s="8" t="n"/>
    </row>
    <row r="8221">
      <c r="A8221" s="8" t="n"/>
      <c r="B8221" s="8" t="n"/>
      <c r="C8221" s="8" t="n"/>
      <c r="D8221" s="8" t="n"/>
      <c r="E8221" s="8" t="n"/>
      <c r="F8221" s="8" t="n"/>
      <c r="G8221" s="8" t="n"/>
      <c r="H8221" s="8" t="n"/>
      <c r="I8221" s="8" t="n"/>
      <c r="J8221" s="8" t="n"/>
      <c r="K8221" s="8" t="n"/>
      <c r="L8221" s="8" t="n"/>
      <c r="M8221" s="9">
        <f>B8221+30</f>
        <v/>
      </c>
      <c r="N8221">
        <f>IF(L8221="", "", L8221-B8221)</f>
        <v/>
      </c>
      <c r="O8221">
        <f>IF(L8221="", "Pending", IF(N8221&lt;=30, "Met", "Breached"))</f>
        <v/>
      </c>
      <c r="P8221" s="8" t="n"/>
      <c r="Q8221" s="8" t="n"/>
      <c r="R8221" s="8" t="n"/>
      <c r="S8221" s="8" t="n"/>
      <c r="T8221" s="8" t="n"/>
      <c r="U8221" s="8" t="n"/>
      <c r="V8221" s="8" t="n"/>
      <c r="W8221" s="8" t="n"/>
      <c r="X8221" s="8" t="n"/>
      <c r="Y8221" s="8" t="n"/>
    </row>
    <row r="8222">
      <c r="A8222" s="8" t="n"/>
      <c r="B8222" s="8" t="n"/>
      <c r="C8222" s="8" t="n"/>
      <c r="D8222" s="8" t="n"/>
      <c r="E8222" s="8" t="n"/>
      <c r="F8222" s="8" t="n"/>
      <c r="G8222" s="8" t="n"/>
      <c r="H8222" s="8" t="n"/>
      <c r="I8222" s="8" t="n"/>
      <c r="J8222" s="8" t="n"/>
      <c r="K8222" s="8" t="n"/>
      <c r="L8222" s="8" t="n"/>
      <c r="M8222" s="9">
        <f>B8222+30</f>
        <v/>
      </c>
      <c r="N8222">
        <f>IF(L8222="", "", L8222-B8222)</f>
        <v/>
      </c>
      <c r="O8222">
        <f>IF(L8222="", "Pending", IF(N8222&lt;=30, "Met", "Breached"))</f>
        <v/>
      </c>
      <c r="P8222" s="8" t="n"/>
      <c r="Q8222" s="8" t="n"/>
      <c r="R8222" s="8" t="n"/>
      <c r="S8222" s="8" t="n"/>
      <c r="T8222" s="8" t="n"/>
      <c r="U8222" s="8" t="n"/>
      <c r="V8222" s="8" t="n"/>
      <c r="W8222" s="8" t="n"/>
      <c r="X8222" s="8" t="n"/>
      <c r="Y8222" s="8" t="n"/>
    </row>
    <row r="8223">
      <c r="A8223" s="8" t="n"/>
      <c r="B8223" s="8" t="n"/>
      <c r="C8223" s="8" t="n"/>
      <c r="D8223" s="8" t="n"/>
      <c r="E8223" s="8" t="n"/>
      <c r="F8223" s="8" t="n"/>
      <c r="G8223" s="8" t="n"/>
      <c r="H8223" s="8" t="n"/>
      <c r="I8223" s="8" t="n"/>
      <c r="J8223" s="8" t="n"/>
      <c r="K8223" s="8" t="n"/>
      <c r="L8223" s="8" t="n"/>
      <c r="M8223" s="9">
        <f>B8223+30</f>
        <v/>
      </c>
      <c r="N8223">
        <f>IF(L8223="", "", L8223-B8223)</f>
        <v/>
      </c>
      <c r="O8223">
        <f>IF(L8223="", "Pending", IF(N8223&lt;=30, "Met", "Breached"))</f>
        <v/>
      </c>
      <c r="P8223" s="8" t="n"/>
      <c r="Q8223" s="8" t="n"/>
      <c r="R8223" s="8" t="n"/>
      <c r="S8223" s="8" t="n"/>
      <c r="T8223" s="8" t="n"/>
      <c r="U8223" s="8" t="n"/>
      <c r="V8223" s="8" t="n"/>
      <c r="W8223" s="8" t="n"/>
      <c r="X8223" s="8" t="n"/>
      <c r="Y8223" s="8" t="n"/>
    </row>
    <row r="8224">
      <c r="A8224" s="8" t="n"/>
      <c r="B8224" s="8" t="n"/>
      <c r="C8224" s="8" t="n"/>
      <c r="D8224" s="8" t="n"/>
      <c r="E8224" s="8" t="n"/>
      <c r="F8224" s="8" t="n"/>
      <c r="G8224" s="8" t="n"/>
      <c r="H8224" s="8" t="n"/>
      <c r="I8224" s="8" t="n"/>
      <c r="J8224" s="8" t="n"/>
      <c r="K8224" s="8" t="n"/>
      <c r="L8224" s="8" t="n"/>
      <c r="M8224" s="9">
        <f>B8224+30</f>
        <v/>
      </c>
      <c r="N8224">
        <f>IF(L8224="", "", L8224-B8224)</f>
        <v/>
      </c>
      <c r="O8224">
        <f>IF(L8224="", "Pending", IF(N8224&lt;=30, "Met", "Breached"))</f>
        <v/>
      </c>
      <c r="P8224" s="8" t="n"/>
      <c r="Q8224" s="8" t="n"/>
      <c r="R8224" s="8" t="n"/>
      <c r="S8224" s="8" t="n"/>
      <c r="T8224" s="8" t="n"/>
      <c r="U8224" s="8" t="n"/>
      <c r="V8224" s="8" t="n"/>
      <c r="W8224" s="8" t="n"/>
      <c r="X8224" s="8" t="n"/>
      <c r="Y8224" s="8" t="n"/>
    </row>
    <row r="8225">
      <c r="A8225" s="8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8" t="n"/>
      <c r="K8225" s="8" t="n"/>
      <c r="L8225" s="8" t="n"/>
      <c r="M8225" s="9">
        <f>B8225+30</f>
        <v/>
      </c>
      <c r="N8225">
        <f>IF(L8225="", "", L8225-B8225)</f>
        <v/>
      </c>
      <c r="O8225">
        <f>IF(L8225="", "Pending", IF(N8225&lt;=30, "Met", "Breached"))</f>
        <v/>
      </c>
      <c r="P8225" s="8" t="n"/>
      <c r="Q8225" s="8" t="n"/>
      <c r="R8225" s="8" t="n"/>
      <c r="S8225" s="8" t="n"/>
      <c r="T8225" s="8" t="n"/>
      <c r="U8225" s="8" t="n"/>
      <c r="V8225" s="8" t="n"/>
      <c r="W8225" s="8" t="n"/>
      <c r="X8225" s="8" t="n"/>
      <c r="Y8225" s="8" t="n"/>
    </row>
    <row r="8226">
      <c r="A8226" s="8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8" t="n"/>
      <c r="K8226" s="8" t="n"/>
      <c r="L8226" s="8" t="n"/>
      <c r="M8226" s="9">
        <f>B8226+30</f>
        <v/>
      </c>
      <c r="N8226">
        <f>IF(L8226="", "", L8226-B8226)</f>
        <v/>
      </c>
      <c r="O8226">
        <f>IF(L8226="", "Pending", IF(N8226&lt;=30, "Met", "Breached"))</f>
        <v/>
      </c>
      <c r="P8226" s="8" t="n"/>
      <c r="Q8226" s="8" t="n"/>
      <c r="R8226" s="8" t="n"/>
      <c r="S8226" s="8" t="n"/>
      <c r="T8226" s="8" t="n"/>
      <c r="U8226" s="8" t="n"/>
      <c r="V8226" s="8" t="n"/>
      <c r="W8226" s="8" t="n"/>
      <c r="X8226" s="8" t="n"/>
      <c r="Y8226" s="8" t="n"/>
    </row>
    <row r="8227">
      <c r="A8227" s="8" t="n"/>
      <c r="B8227" s="8" t="n"/>
      <c r="C8227" s="8" t="n"/>
      <c r="D8227" s="8" t="n"/>
      <c r="E8227" s="8" t="n"/>
      <c r="F8227" s="8" t="n"/>
      <c r="G8227" s="8" t="n"/>
      <c r="H8227" s="8" t="n"/>
      <c r="I8227" s="8" t="n"/>
      <c r="J8227" s="8" t="n"/>
      <c r="K8227" s="8" t="n"/>
      <c r="L8227" s="8" t="n"/>
      <c r="M8227" s="9">
        <f>B8227+30</f>
        <v/>
      </c>
      <c r="N8227">
        <f>IF(L8227="", "", L8227-B8227)</f>
        <v/>
      </c>
      <c r="O8227">
        <f>IF(L8227="", "Pending", IF(N8227&lt;=30, "Met", "Breached"))</f>
        <v/>
      </c>
      <c r="P8227" s="8" t="n"/>
      <c r="Q8227" s="8" t="n"/>
      <c r="R8227" s="8" t="n"/>
      <c r="S8227" s="8" t="n"/>
      <c r="T8227" s="8" t="n"/>
      <c r="U8227" s="8" t="n"/>
      <c r="V8227" s="8" t="n"/>
      <c r="W8227" s="8" t="n"/>
      <c r="X8227" s="8" t="n"/>
      <c r="Y8227" s="8" t="n"/>
    </row>
    <row r="8228">
      <c r="A8228" s="8" t="n"/>
      <c r="B8228" s="8" t="n"/>
      <c r="C8228" s="8" t="n"/>
      <c r="D8228" s="8" t="n"/>
      <c r="E8228" s="8" t="n"/>
      <c r="F8228" s="8" t="n"/>
      <c r="G8228" s="8" t="n"/>
      <c r="H8228" s="8" t="n"/>
      <c r="I8228" s="8" t="n"/>
      <c r="J8228" s="8" t="n"/>
      <c r="K8228" s="8" t="n"/>
      <c r="L8228" s="8" t="n"/>
      <c r="M8228" s="9">
        <f>B8228+30</f>
        <v/>
      </c>
      <c r="N8228">
        <f>IF(L8228="", "", L8228-B8228)</f>
        <v/>
      </c>
      <c r="O8228">
        <f>IF(L8228="", "Pending", IF(N8228&lt;=30, "Met", "Breached"))</f>
        <v/>
      </c>
      <c r="P8228" s="8" t="n"/>
      <c r="Q8228" s="8" t="n"/>
      <c r="R8228" s="8" t="n"/>
      <c r="S8228" s="8" t="n"/>
      <c r="T8228" s="8" t="n"/>
      <c r="U8228" s="8" t="n"/>
      <c r="V8228" s="8" t="n"/>
      <c r="W8228" s="8" t="n"/>
      <c r="X8228" s="8" t="n"/>
      <c r="Y8228" s="8" t="n"/>
    </row>
    <row r="8229">
      <c r="A8229" s="8" t="n"/>
      <c r="B8229" s="8" t="n"/>
      <c r="C8229" s="8" t="n"/>
      <c r="D8229" s="8" t="n"/>
      <c r="E8229" s="8" t="n"/>
      <c r="F8229" s="8" t="n"/>
      <c r="G8229" s="8" t="n"/>
      <c r="H8229" s="8" t="n"/>
      <c r="I8229" s="8" t="n"/>
      <c r="J8229" s="8" t="n"/>
      <c r="K8229" s="8" t="n"/>
      <c r="L8229" s="8" t="n"/>
      <c r="M8229" s="9">
        <f>B8229+30</f>
        <v/>
      </c>
      <c r="N8229">
        <f>IF(L8229="", "", L8229-B8229)</f>
        <v/>
      </c>
      <c r="O8229">
        <f>IF(L8229="", "Pending", IF(N8229&lt;=30, "Met", "Breached"))</f>
        <v/>
      </c>
      <c r="P8229" s="8" t="n"/>
      <c r="Q8229" s="8" t="n"/>
      <c r="R8229" s="8" t="n"/>
      <c r="S8229" s="8" t="n"/>
      <c r="T8229" s="8" t="n"/>
      <c r="U8229" s="8" t="n"/>
      <c r="V8229" s="8" t="n"/>
      <c r="W8229" s="8" t="n"/>
      <c r="X8229" s="8" t="n"/>
      <c r="Y8229" s="8" t="n"/>
    </row>
    <row r="8230">
      <c r="A8230" s="8" t="n"/>
      <c r="B8230" s="8" t="n"/>
      <c r="C8230" s="8" t="n"/>
      <c r="D8230" s="8" t="n"/>
      <c r="E8230" s="8" t="n"/>
      <c r="F8230" s="8" t="n"/>
      <c r="G8230" s="8" t="n"/>
      <c r="H8230" s="8" t="n"/>
      <c r="I8230" s="8" t="n"/>
      <c r="J8230" s="8" t="n"/>
      <c r="K8230" s="8" t="n"/>
      <c r="L8230" s="8" t="n"/>
      <c r="M8230" s="9">
        <f>B8230+30</f>
        <v/>
      </c>
      <c r="N8230">
        <f>IF(L8230="", "", L8230-B8230)</f>
        <v/>
      </c>
      <c r="O8230">
        <f>IF(L8230="", "Pending", IF(N8230&lt;=30, "Met", "Breached"))</f>
        <v/>
      </c>
      <c r="P8230" s="8" t="n"/>
      <c r="Q8230" s="8" t="n"/>
      <c r="R8230" s="8" t="n"/>
      <c r="S8230" s="8" t="n"/>
      <c r="T8230" s="8" t="n"/>
      <c r="U8230" s="8" t="n"/>
      <c r="V8230" s="8" t="n"/>
      <c r="W8230" s="8" t="n"/>
      <c r="X8230" s="8" t="n"/>
      <c r="Y8230" s="8" t="n"/>
    </row>
    <row r="8231">
      <c r="A8231" s="8" t="n"/>
      <c r="B8231" s="8" t="n"/>
      <c r="C8231" s="8" t="n"/>
      <c r="D8231" s="8" t="n"/>
      <c r="E8231" s="8" t="n"/>
      <c r="F8231" s="8" t="n"/>
      <c r="G8231" s="8" t="n"/>
      <c r="H8231" s="8" t="n"/>
      <c r="I8231" s="8" t="n"/>
      <c r="J8231" s="8" t="n"/>
      <c r="K8231" s="8" t="n"/>
      <c r="L8231" s="8" t="n"/>
      <c r="M8231" s="9">
        <f>B8231+30</f>
        <v/>
      </c>
      <c r="N8231">
        <f>IF(L8231="", "", L8231-B8231)</f>
        <v/>
      </c>
      <c r="O8231">
        <f>IF(L8231="", "Pending", IF(N8231&lt;=30, "Met", "Breached"))</f>
        <v/>
      </c>
      <c r="P8231" s="8" t="n"/>
      <c r="Q8231" s="8" t="n"/>
      <c r="R8231" s="8" t="n"/>
      <c r="S8231" s="8" t="n"/>
      <c r="T8231" s="8" t="n"/>
      <c r="U8231" s="8" t="n"/>
      <c r="V8231" s="8" t="n"/>
      <c r="W8231" s="8" t="n"/>
      <c r="X8231" s="8" t="n"/>
      <c r="Y8231" s="8" t="n"/>
    </row>
    <row r="8232">
      <c r="A8232" s="8" t="n"/>
      <c r="B8232" s="8" t="n"/>
      <c r="C8232" s="8" t="n"/>
      <c r="D8232" s="8" t="n"/>
      <c r="E8232" s="8" t="n"/>
      <c r="F8232" s="8" t="n"/>
      <c r="G8232" s="8" t="n"/>
      <c r="H8232" s="8" t="n"/>
      <c r="I8232" s="8" t="n"/>
      <c r="J8232" s="8" t="n"/>
      <c r="K8232" s="8" t="n"/>
      <c r="L8232" s="8" t="n"/>
      <c r="M8232" s="9">
        <f>B8232+30</f>
        <v/>
      </c>
      <c r="N8232">
        <f>IF(L8232="", "", L8232-B8232)</f>
        <v/>
      </c>
      <c r="O8232">
        <f>IF(L8232="", "Pending", IF(N8232&lt;=30, "Met", "Breached"))</f>
        <v/>
      </c>
      <c r="P8232" s="8" t="n"/>
      <c r="Q8232" s="8" t="n"/>
      <c r="R8232" s="8" t="n"/>
      <c r="S8232" s="8" t="n"/>
      <c r="T8232" s="8" t="n"/>
      <c r="U8232" s="8" t="n"/>
      <c r="V8232" s="8" t="n"/>
      <c r="W8232" s="8" t="n"/>
      <c r="X8232" s="8" t="n"/>
      <c r="Y8232" s="8" t="n"/>
    </row>
    <row r="8233">
      <c r="A8233" s="8" t="n"/>
      <c r="B8233" s="8" t="n"/>
      <c r="C8233" s="8" t="n"/>
      <c r="D8233" s="8" t="n"/>
      <c r="E8233" s="8" t="n"/>
      <c r="F8233" s="8" t="n"/>
      <c r="G8233" s="8" t="n"/>
      <c r="H8233" s="8" t="n"/>
      <c r="I8233" s="8" t="n"/>
      <c r="J8233" s="8" t="n"/>
      <c r="K8233" s="8" t="n"/>
      <c r="L8233" s="8" t="n"/>
      <c r="M8233" s="9">
        <f>B8233+30</f>
        <v/>
      </c>
      <c r="N8233">
        <f>IF(L8233="", "", L8233-B8233)</f>
        <v/>
      </c>
      <c r="O8233">
        <f>IF(L8233="", "Pending", IF(N8233&lt;=30, "Met", "Breached"))</f>
        <v/>
      </c>
      <c r="P8233" s="8" t="n"/>
      <c r="Q8233" s="8" t="n"/>
      <c r="R8233" s="8" t="n"/>
      <c r="S8233" s="8" t="n"/>
      <c r="T8233" s="8" t="n"/>
      <c r="U8233" s="8" t="n"/>
      <c r="V8233" s="8" t="n"/>
      <c r="W8233" s="8" t="n"/>
      <c r="X8233" s="8" t="n"/>
      <c r="Y8233" s="8" t="n"/>
    </row>
    <row r="8234">
      <c r="A8234" s="8" t="n"/>
      <c r="B8234" s="8" t="n"/>
      <c r="C8234" s="8" t="n"/>
      <c r="D8234" s="8" t="n"/>
      <c r="E8234" s="8" t="n"/>
      <c r="F8234" s="8" t="n"/>
      <c r="G8234" s="8" t="n"/>
      <c r="H8234" s="8" t="n"/>
      <c r="I8234" s="8" t="n"/>
      <c r="J8234" s="8" t="n"/>
      <c r="K8234" s="8" t="n"/>
      <c r="L8234" s="8" t="n"/>
      <c r="M8234" s="9">
        <f>B8234+30</f>
        <v/>
      </c>
      <c r="N8234">
        <f>IF(L8234="", "", L8234-B8234)</f>
        <v/>
      </c>
      <c r="O8234">
        <f>IF(L8234="", "Pending", IF(N8234&lt;=30, "Met", "Breached"))</f>
        <v/>
      </c>
      <c r="P8234" s="8" t="n"/>
      <c r="Q8234" s="8" t="n"/>
      <c r="R8234" s="8" t="n"/>
      <c r="S8234" s="8" t="n"/>
      <c r="T8234" s="8" t="n"/>
      <c r="U8234" s="8" t="n"/>
      <c r="V8234" s="8" t="n"/>
      <c r="W8234" s="8" t="n"/>
      <c r="X8234" s="8" t="n"/>
      <c r="Y8234" s="8" t="n"/>
    </row>
    <row r="8235">
      <c r="A8235" s="8" t="n"/>
      <c r="B8235" s="8" t="n"/>
      <c r="C8235" s="8" t="n"/>
      <c r="D8235" s="8" t="n"/>
      <c r="E8235" s="8" t="n"/>
      <c r="F8235" s="8" t="n"/>
      <c r="G8235" s="8" t="n"/>
      <c r="H8235" s="8" t="n"/>
      <c r="I8235" s="8" t="n"/>
      <c r="J8235" s="8" t="n"/>
      <c r="K8235" s="8" t="n"/>
      <c r="L8235" s="8" t="n"/>
      <c r="M8235" s="9">
        <f>B8235+30</f>
        <v/>
      </c>
      <c r="N8235">
        <f>IF(L8235="", "", L8235-B8235)</f>
        <v/>
      </c>
      <c r="O8235">
        <f>IF(L8235="", "Pending", IF(N8235&lt;=30, "Met", "Breached"))</f>
        <v/>
      </c>
      <c r="P8235" s="8" t="n"/>
      <c r="Q8235" s="8" t="n"/>
      <c r="R8235" s="8" t="n"/>
      <c r="S8235" s="8" t="n"/>
      <c r="T8235" s="8" t="n"/>
      <c r="U8235" s="8" t="n"/>
      <c r="V8235" s="8" t="n"/>
      <c r="W8235" s="8" t="n"/>
      <c r="X8235" s="8" t="n"/>
      <c r="Y8235" s="8" t="n"/>
    </row>
    <row r="8236">
      <c r="A8236" s="8" t="n"/>
      <c r="B8236" s="8" t="n"/>
      <c r="C8236" s="8" t="n"/>
      <c r="D8236" s="8" t="n"/>
      <c r="E8236" s="8" t="n"/>
      <c r="F8236" s="8" t="n"/>
      <c r="G8236" s="8" t="n"/>
      <c r="H8236" s="8" t="n"/>
      <c r="I8236" s="8" t="n"/>
      <c r="J8236" s="8" t="n"/>
      <c r="K8236" s="8" t="n"/>
      <c r="L8236" s="8" t="n"/>
      <c r="M8236" s="9">
        <f>B8236+30</f>
        <v/>
      </c>
      <c r="N8236">
        <f>IF(L8236="", "", L8236-B8236)</f>
        <v/>
      </c>
      <c r="O8236">
        <f>IF(L8236="", "Pending", IF(N8236&lt;=30, "Met", "Breached"))</f>
        <v/>
      </c>
      <c r="P8236" s="8" t="n"/>
      <c r="Q8236" s="8" t="n"/>
      <c r="R8236" s="8" t="n"/>
      <c r="S8236" s="8" t="n"/>
      <c r="T8236" s="8" t="n"/>
      <c r="U8236" s="8" t="n"/>
      <c r="V8236" s="8" t="n"/>
      <c r="W8236" s="8" t="n"/>
      <c r="X8236" s="8" t="n"/>
      <c r="Y8236" s="8" t="n"/>
    </row>
    <row r="8237">
      <c r="A8237" s="8" t="n"/>
      <c r="B8237" s="8" t="n"/>
      <c r="C8237" s="8" t="n"/>
      <c r="D8237" s="8" t="n"/>
      <c r="E8237" s="8" t="n"/>
      <c r="F8237" s="8" t="n"/>
      <c r="G8237" s="8" t="n"/>
      <c r="H8237" s="8" t="n"/>
      <c r="I8237" s="8" t="n"/>
      <c r="J8237" s="8" t="n"/>
      <c r="K8237" s="8" t="n"/>
      <c r="L8237" s="8" t="n"/>
      <c r="M8237" s="9">
        <f>B8237+30</f>
        <v/>
      </c>
      <c r="N8237">
        <f>IF(L8237="", "", L8237-B8237)</f>
        <v/>
      </c>
      <c r="O8237">
        <f>IF(L8237="", "Pending", IF(N8237&lt;=30, "Met", "Breached"))</f>
        <v/>
      </c>
      <c r="P8237" s="8" t="n"/>
      <c r="Q8237" s="8" t="n"/>
      <c r="R8237" s="8" t="n"/>
      <c r="S8237" s="8" t="n"/>
      <c r="T8237" s="8" t="n"/>
      <c r="U8237" s="8" t="n"/>
      <c r="V8237" s="8" t="n"/>
      <c r="W8237" s="8" t="n"/>
      <c r="X8237" s="8" t="n"/>
      <c r="Y8237" s="8" t="n"/>
    </row>
    <row r="8238">
      <c r="A8238" s="8" t="n"/>
      <c r="B8238" s="8" t="n"/>
      <c r="C8238" s="8" t="n"/>
      <c r="D8238" s="8" t="n"/>
      <c r="E8238" s="8" t="n"/>
      <c r="F8238" s="8" t="n"/>
      <c r="G8238" s="8" t="n"/>
      <c r="H8238" s="8" t="n"/>
      <c r="I8238" s="8" t="n"/>
      <c r="J8238" s="8" t="n"/>
      <c r="K8238" s="8" t="n"/>
      <c r="L8238" s="8" t="n"/>
      <c r="M8238" s="9">
        <f>B8238+30</f>
        <v/>
      </c>
      <c r="N8238">
        <f>IF(L8238="", "", L8238-B8238)</f>
        <v/>
      </c>
      <c r="O8238">
        <f>IF(L8238="", "Pending", IF(N8238&lt;=30, "Met", "Breached"))</f>
        <v/>
      </c>
      <c r="P8238" s="8" t="n"/>
      <c r="Q8238" s="8" t="n"/>
      <c r="R8238" s="8" t="n"/>
      <c r="S8238" s="8" t="n"/>
      <c r="T8238" s="8" t="n"/>
      <c r="U8238" s="8" t="n"/>
      <c r="V8238" s="8" t="n"/>
      <c r="W8238" s="8" t="n"/>
      <c r="X8238" s="8" t="n"/>
      <c r="Y8238" s="8" t="n"/>
    </row>
    <row r="8239">
      <c r="A8239" s="8" t="n"/>
      <c r="B8239" s="8" t="n"/>
      <c r="C8239" s="8" t="n"/>
      <c r="D8239" s="8" t="n"/>
      <c r="E8239" s="8" t="n"/>
      <c r="F8239" s="8" t="n"/>
      <c r="G8239" s="8" t="n"/>
      <c r="H8239" s="8" t="n"/>
      <c r="I8239" s="8" t="n"/>
      <c r="J8239" s="8" t="n"/>
      <c r="K8239" s="8" t="n"/>
      <c r="L8239" s="8" t="n"/>
      <c r="M8239" s="9">
        <f>B8239+30</f>
        <v/>
      </c>
      <c r="N8239">
        <f>IF(L8239="", "", L8239-B8239)</f>
        <v/>
      </c>
      <c r="O8239">
        <f>IF(L8239="", "Pending", IF(N8239&lt;=30, "Met", "Breached"))</f>
        <v/>
      </c>
      <c r="P8239" s="8" t="n"/>
      <c r="Q8239" s="8" t="n"/>
      <c r="R8239" s="8" t="n"/>
      <c r="S8239" s="8" t="n"/>
      <c r="T8239" s="8" t="n"/>
      <c r="U8239" s="8" t="n"/>
      <c r="V8239" s="8" t="n"/>
      <c r="W8239" s="8" t="n"/>
      <c r="X8239" s="8" t="n"/>
      <c r="Y8239" s="8" t="n"/>
    </row>
    <row r="8240">
      <c r="A8240" s="8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8" t="n"/>
      <c r="K8240" s="8" t="n"/>
      <c r="L8240" s="8" t="n"/>
      <c r="M8240" s="9">
        <f>B8240+30</f>
        <v/>
      </c>
      <c r="N8240">
        <f>IF(L8240="", "", L8240-B8240)</f>
        <v/>
      </c>
      <c r="O8240">
        <f>IF(L8240="", "Pending", IF(N8240&lt;=30, "Met", "Breached"))</f>
        <v/>
      </c>
      <c r="P8240" s="8" t="n"/>
      <c r="Q8240" s="8" t="n"/>
      <c r="R8240" s="8" t="n"/>
      <c r="S8240" s="8" t="n"/>
      <c r="T8240" s="8" t="n"/>
      <c r="U8240" s="8" t="n"/>
      <c r="V8240" s="8" t="n"/>
      <c r="W8240" s="8" t="n"/>
      <c r="X8240" s="8" t="n"/>
      <c r="Y8240" s="8" t="n"/>
    </row>
    <row r="8241">
      <c r="A8241" s="8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8" t="n"/>
      <c r="K8241" s="8" t="n"/>
      <c r="L8241" s="8" t="n"/>
      <c r="M8241" s="9">
        <f>B8241+30</f>
        <v/>
      </c>
      <c r="N8241">
        <f>IF(L8241="", "", L8241-B8241)</f>
        <v/>
      </c>
      <c r="O8241">
        <f>IF(L8241="", "Pending", IF(N8241&lt;=30, "Met", "Breached"))</f>
        <v/>
      </c>
      <c r="P8241" s="8" t="n"/>
      <c r="Q8241" s="8" t="n"/>
      <c r="R8241" s="8" t="n"/>
      <c r="S8241" s="8" t="n"/>
      <c r="T8241" s="8" t="n"/>
      <c r="U8241" s="8" t="n"/>
      <c r="V8241" s="8" t="n"/>
      <c r="W8241" s="8" t="n"/>
      <c r="X8241" s="8" t="n"/>
      <c r="Y8241" s="8" t="n"/>
    </row>
    <row r="8242">
      <c r="A8242" s="8" t="n"/>
      <c r="B8242" s="8" t="n"/>
      <c r="C8242" s="8" t="n"/>
      <c r="D8242" s="8" t="n"/>
      <c r="E8242" s="8" t="n"/>
      <c r="F8242" s="8" t="n"/>
      <c r="G8242" s="8" t="n"/>
      <c r="H8242" s="8" t="n"/>
      <c r="I8242" s="8" t="n"/>
      <c r="J8242" s="8" t="n"/>
      <c r="K8242" s="8" t="n"/>
      <c r="L8242" s="8" t="n"/>
      <c r="M8242" s="9">
        <f>B8242+30</f>
        <v/>
      </c>
      <c r="N8242">
        <f>IF(L8242="", "", L8242-B8242)</f>
        <v/>
      </c>
      <c r="O8242">
        <f>IF(L8242="", "Pending", IF(N8242&lt;=30, "Met", "Breached"))</f>
        <v/>
      </c>
      <c r="P8242" s="8" t="n"/>
      <c r="Q8242" s="8" t="n"/>
      <c r="R8242" s="8" t="n"/>
      <c r="S8242" s="8" t="n"/>
      <c r="T8242" s="8" t="n"/>
      <c r="U8242" s="8" t="n"/>
      <c r="V8242" s="8" t="n"/>
      <c r="W8242" s="8" t="n"/>
      <c r="X8242" s="8" t="n"/>
      <c r="Y8242" s="8" t="n"/>
    </row>
    <row r="8243">
      <c r="A8243" s="8" t="n"/>
      <c r="B8243" s="8" t="n"/>
      <c r="C8243" s="8" t="n"/>
      <c r="D8243" s="8" t="n"/>
      <c r="E8243" s="8" t="n"/>
      <c r="F8243" s="8" t="n"/>
      <c r="G8243" s="8" t="n"/>
      <c r="H8243" s="8" t="n"/>
      <c r="I8243" s="8" t="n"/>
      <c r="J8243" s="8" t="n"/>
      <c r="K8243" s="8" t="n"/>
      <c r="L8243" s="8" t="n"/>
      <c r="M8243" s="9">
        <f>B8243+30</f>
        <v/>
      </c>
      <c r="N8243">
        <f>IF(L8243="", "", L8243-B8243)</f>
        <v/>
      </c>
      <c r="O8243">
        <f>IF(L8243="", "Pending", IF(N8243&lt;=30, "Met", "Breached"))</f>
        <v/>
      </c>
      <c r="P8243" s="8" t="n"/>
      <c r="Q8243" s="8" t="n"/>
      <c r="R8243" s="8" t="n"/>
      <c r="S8243" s="8" t="n"/>
      <c r="T8243" s="8" t="n"/>
      <c r="U8243" s="8" t="n"/>
      <c r="V8243" s="8" t="n"/>
      <c r="W8243" s="8" t="n"/>
      <c r="X8243" s="8" t="n"/>
      <c r="Y8243" s="8" t="n"/>
    </row>
    <row r="8244">
      <c r="A8244" s="8" t="n"/>
      <c r="B8244" s="8" t="n"/>
      <c r="C8244" s="8" t="n"/>
      <c r="D8244" s="8" t="n"/>
      <c r="E8244" s="8" t="n"/>
      <c r="F8244" s="8" t="n"/>
      <c r="G8244" s="8" t="n"/>
      <c r="H8244" s="8" t="n"/>
      <c r="I8244" s="8" t="n"/>
      <c r="J8244" s="8" t="n"/>
      <c r="K8244" s="8" t="n"/>
      <c r="L8244" s="8" t="n"/>
      <c r="M8244" s="9">
        <f>B8244+30</f>
        <v/>
      </c>
      <c r="N8244">
        <f>IF(L8244="", "", L8244-B8244)</f>
        <v/>
      </c>
      <c r="O8244">
        <f>IF(L8244="", "Pending", IF(N8244&lt;=30, "Met", "Breached"))</f>
        <v/>
      </c>
      <c r="P8244" s="8" t="n"/>
      <c r="Q8244" s="8" t="n"/>
      <c r="R8244" s="8" t="n"/>
      <c r="S8244" s="8" t="n"/>
      <c r="T8244" s="8" t="n"/>
      <c r="U8244" s="8" t="n"/>
      <c r="V8244" s="8" t="n"/>
      <c r="W8244" s="8" t="n"/>
      <c r="X8244" s="8" t="n"/>
      <c r="Y8244" s="8" t="n"/>
    </row>
    <row r="8245">
      <c r="A8245" s="8" t="n"/>
      <c r="B8245" s="8" t="n"/>
      <c r="C8245" s="8" t="n"/>
      <c r="D8245" s="8" t="n"/>
      <c r="E8245" s="8" t="n"/>
      <c r="F8245" s="8" t="n"/>
      <c r="G8245" s="8" t="n"/>
      <c r="H8245" s="8" t="n"/>
      <c r="I8245" s="8" t="n"/>
      <c r="J8245" s="8" t="n"/>
      <c r="K8245" s="8" t="n"/>
      <c r="L8245" s="8" t="n"/>
      <c r="M8245" s="9">
        <f>B8245+30</f>
        <v/>
      </c>
      <c r="N8245">
        <f>IF(L8245="", "", L8245-B8245)</f>
        <v/>
      </c>
      <c r="O8245">
        <f>IF(L8245="", "Pending", IF(N8245&lt;=30, "Met", "Breached"))</f>
        <v/>
      </c>
      <c r="P8245" s="8" t="n"/>
      <c r="Q8245" s="8" t="n"/>
      <c r="R8245" s="8" t="n"/>
      <c r="S8245" s="8" t="n"/>
      <c r="T8245" s="8" t="n"/>
      <c r="U8245" s="8" t="n"/>
      <c r="V8245" s="8" t="n"/>
      <c r="W8245" s="8" t="n"/>
      <c r="X8245" s="8" t="n"/>
      <c r="Y8245" s="8" t="n"/>
    </row>
    <row r="8246">
      <c r="A8246" s="8" t="n"/>
      <c r="B8246" s="8" t="n"/>
      <c r="C8246" s="8" t="n"/>
      <c r="D8246" s="8" t="n"/>
      <c r="E8246" s="8" t="n"/>
      <c r="F8246" s="8" t="n"/>
      <c r="G8246" s="8" t="n"/>
      <c r="H8246" s="8" t="n"/>
      <c r="I8246" s="8" t="n"/>
      <c r="J8246" s="8" t="n"/>
      <c r="K8246" s="8" t="n"/>
      <c r="L8246" s="8" t="n"/>
      <c r="M8246" s="9">
        <f>B8246+30</f>
        <v/>
      </c>
      <c r="N8246">
        <f>IF(L8246="", "", L8246-B8246)</f>
        <v/>
      </c>
      <c r="O8246">
        <f>IF(L8246="", "Pending", IF(N8246&lt;=30, "Met", "Breached"))</f>
        <v/>
      </c>
      <c r="P8246" s="8" t="n"/>
      <c r="Q8246" s="8" t="n"/>
      <c r="R8246" s="8" t="n"/>
      <c r="S8246" s="8" t="n"/>
      <c r="T8246" s="8" t="n"/>
      <c r="U8246" s="8" t="n"/>
      <c r="V8246" s="8" t="n"/>
      <c r="W8246" s="8" t="n"/>
      <c r="X8246" s="8" t="n"/>
      <c r="Y8246" s="8" t="n"/>
    </row>
    <row r="8247">
      <c r="A8247" s="8" t="n"/>
      <c r="B8247" s="8" t="n"/>
      <c r="C8247" s="8" t="n"/>
      <c r="D8247" s="8" t="n"/>
      <c r="E8247" s="8" t="n"/>
      <c r="F8247" s="8" t="n"/>
      <c r="G8247" s="8" t="n"/>
      <c r="H8247" s="8" t="n"/>
      <c r="I8247" s="8" t="n"/>
      <c r="J8247" s="8" t="n"/>
      <c r="K8247" s="8" t="n"/>
      <c r="L8247" s="8" t="n"/>
      <c r="M8247" s="9">
        <f>B8247+30</f>
        <v/>
      </c>
      <c r="N8247">
        <f>IF(L8247="", "", L8247-B8247)</f>
        <v/>
      </c>
      <c r="O8247">
        <f>IF(L8247="", "Pending", IF(N8247&lt;=30, "Met", "Breached"))</f>
        <v/>
      </c>
      <c r="P8247" s="8" t="n"/>
      <c r="Q8247" s="8" t="n"/>
      <c r="R8247" s="8" t="n"/>
      <c r="S8247" s="8" t="n"/>
      <c r="T8247" s="8" t="n"/>
      <c r="U8247" s="8" t="n"/>
      <c r="V8247" s="8" t="n"/>
      <c r="W8247" s="8" t="n"/>
      <c r="X8247" s="8" t="n"/>
      <c r="Y8247" s="8" t="n"/>
    </row>
    <row r="8248">
      <c r="A8248" s="8" t="n"/>
      <c r="B8248" s="8" t="n"/>
      <c r="C8248" s="8" t="n"/>
      <c r="D8248" s="8" t="n"/>
      <c r="E8248" s="8" t="n"/>
      <c r="F8248" s="8" t="n"/>
      <c r="G8248" s="8" t="n"/>
      <c r="H8248" s="8" t="n"/>
      <c r="I8248" s="8" t="n"/>
      <c r="J8248" s="8" t="n"/>
      <c r="K8248" s="8" t="n"/>
      <c r="L8248" s="8" t="n"/>
      <c r="M8248" s="9">
        <f>B8248+30</f>
        <v/>
      </c>
      <c r="N8248">
        <f>IF(L8248="", "", L8248-B8248)</f>
        <v/>
      </c>
      <c r="O8248">
        <f>IF(L8248="", "Pending", IF(N8248&lt;=30, "Met", "Breached"))</f>
        <v/>
      </c>
      <c r="P8248" s="8" t="n"/>
      <c r="Q8248" s="8" t="n"/>
      <c r="R8248" s="8" t="n"/>
      <c r="S8248" s="8" t="n"/>
      <c r="T8248" s="8" t="n"/>
      <c r="U8248" s="8" t="n"/>
      <c r="V8248" s="8" t="n"/>
      <c r="W8248" s="8" t="n"/>
      <c r="X8248" s="8" t="n"/>
      <c r="Y8248" s="8" t="n"/>
    </row>
    <row r="8249">
      <c r="A8249" s="8" t="n"/>
      <c r="B8249" s="8" t="n"/>
      <c r="C8249" s="8" t="n"/>
      <c r="D8249" s="8" t="n"/>
      <c r="E8249" s="8" t="n"/>
      <c r="F8249" s="8" t="n"/>
      <c r="G8249" s="8" t="n"/>
      <c r="H8249" s="8" t="n"/>
      <c r="I8249" s="8" t="n"/>
      <c r="J8249" s="8" t="n"/>
      <c r="K8249" s="8" t="n"/>
      <c r="L8249" s="8" t="n"/>
      <c r="M8249" s="9">
        <f>B8249+30</f>
        <v/>
      </c>
      <c r="N8249">
        <f>IF(L8249="", "", L8249-B8249)</f>
        <v/>
      </c>
      <c r="O8249">
        <f>IF(L8249="", "Pending", IF(N8249&lt;=30, "Met", "Breached"))</f>
        <v/>
      </c>
      <c r="P8249" s="8" t="n"/>
      <c r="Q8249" s="8" t="n"/>
      <c r="R8249" s="8" t="n"/>
      <c r="S8249" s="8" t="n"/>
      <c r="T8249" s="8" t="n"/>
      <c r="U8249" s="8" t="n"/>
      <c r="V8249" s="8" t="n"/>
      <c r="W8249" s="8" t="n"/>
      <c r="X8249" s="8" t="n"/>
      <c r="Y8249" s="8" t="n"/>
    </row>
    <row r="8250">
      <c r="A8250" s="8" t="n"/>
      <c r="B8250" s="8" t="n"/>
      <c r="C8250" s="8" t="n"/>
      <c r="D8250" s="8" t="n"/>
      <c r="E8250" s="8" t="n"/>
      <c r="F8250" s="8" t="n"/>
      <c r="G8250" s="8" t="n"/>
      <c r="H8250" s="8" t="n"/>
      <c r="I8250" s="8" t="n"/>
      <c r="J8250" s="8" t="n"/>
      <c r="K8250" s="8" t="n"/>
      <c r="L8250" s="8" t="n"/>
      <c r="M8250" s="9">
        <f>B8250+30</f>
        <v/>
      </c>
      <c r="N8250">
        <f>IF(L8250="", "", L8250-B8250)</f>
        <v/>
      </c>
      <c r="O8250">
        <f>IF(L8250="", "Pending", IF(N8250&lt;=30, "Met", "Breached"))</f>
        <v/>
      </c>
      <c r="P8250" s="8" t="n"/>
      <c r="Q8250" s="8" t="n"/>
      <c r="R8250" s="8" t="n"/>
      <c r="S8250" s="8" t="n"/>
      <c r="T8250" s="8" t="n"/>
      <c r="U8250" s="8" t="n"/>
      <c r="V8250" s="8" t="n"/>
      <c r="W8250" s="8" t="n"/>
      <c r="X8250" s="8" t="n"/>
      <c r="Y8250" s="8" t="n"/>
    </row>
    <row r="8251">
      <c r="A8251" s="8" t="n"/>
      <c r="B8251" s="8" t="n"/>
      <c r="C8251" s="8" t="n"/>
      <c r="D8251" s="8" t="n"/>
      <c r="E8251" s="8" t="n"/>
      <c r="F8251" s="8" t="n"/>
      <c r="G8251" s="8" t="n"/>
      <c r="H8251" s="8" t="n"/>
      <c r="I8251" s="8" t="n"/>
      <c r="J8251" s="8" t="n"/>
      <c r="K8251" s="8" t="n"/>
      <c r="L8251" s="8" t="n"/>
      <c r="M8251" s="9">
        <f>B8251+30</f>
        <v/>
      </c>
      <c r="N8251">
        <f>IF(L8251="", "", L8251-B8251)</f>
        <v/>
      </c>
      <c r="O8251">
        <f>IF(L8251="", "Pending", IF(N8251&lt;=30, "Met", "Breached"))</f>
        <v/>
      </c>
      <c r="P8251" s="8" t="n"/>
      <c r="Q8251" s="8" t="n"/>
      <c r="R8251" s="8" t="n"/>
      <c r="S8251" s="8" t="n"/>
      <c r="T8251" s="8" t="n"/>
      <c r="U8251" s="8" t="n"/>
      <c r="V8251" s="8" t="n"/>
      <c r="W8251" s="8" t="n"/>
      <c r="X8251" s="8" t="n"/>
      <c r="Y8251" s="8" t="n"/>
    </row>
    <row r="8252">
      <c r="A8252" s="8" t="n"/>
      <c r="B8252" s="8" t="n"/>
      <c r="C8252" s="8" t="n"/>
      <c r="D8252" s="8" t="n"/>
      <c r="E8252" s="8" t="n"/>
      <c r="F8252" s="8" t="n"/>
      <c r="G8252" s="8" t="n"/>
      <c r="H8252" s="8" t="n"/>
      <c r="I8252" s="8" t="n"/>
      <c r="J8252" s="8" t="n"/>
      <c r="K8252" s="8" t="n"/>
      <c r="L8252" s="8" t="n"/>
      <c r="M8252" s="9">
        <f>B8252+30</f>
        <v/>
      </c>
      <c r="N8252">
        <f>IF(L8252="", "", L8252-B8252)</f>
        <v/>
      </c>
      <c r="O8252">
        <f>IF(L8252="", "Pending", IF(N8252&lt;=30, "Met", "Breached"))</f>
        <v/>
      </c>
      <c r="P8252" s="8" t="n"/>
      <c r="Q8252" s="8" t="n"/>
      <c r="R8252" s="8" t="n"/>
      <c r="S8252" s="8" t="n"/>
      <c r="T8252" s="8" t="n"/>
      <c r="U8252" s="8" t="n"/>
      <c r="V8252" s="8" t="n"/>
      <c r="W8252" s="8" t="n"/>
      <c r="X8252" s="8" t="n"/>
      <c r="Y8252" s="8" t="n"/>
    </row>
    <row r="8253">
      <c r="A8253" s="8" t="n"/>
      <c r="B8253" s="8" t="n"/>
      <c r="C8253" s="8" t="n"/>
      <c r="D8253" s="8" t="n"/>
      <c r="E8253" s="8" t="n"/>
      <c r="F8253" s="8" t="n"/>
      <c r="G8253" s="8" t="n"/>
      <c r="H8253" s="8" t="n"/>
      <c r="I8253" s="8" t="n"/>
      <c r="J8253" s="8" t="n"/>
      <c r="K8253" s="8" t="n"/>
      <c r="L8253" s="8" t="n"/>
      <c r="M8253" s="9">
        <f>B8253+30</f>
        <v/>
      </c>
      <c r="N8253">
        <f>IF(L8253="", "", L8253-B8253)</f>
        <v/>
      </c>
      <c r="O8253">
        <f>IF(L8253="", "Pending", IF(N8253&lt;=30, "Met", "Breached"))</f>
        <v/>
      </c>
      <c r="P8253" s="8" t="n"/>
      <c r="Q8253" s="8" t="n"/>
      <c r="R8253" s="8" t="n"/>
      <c r="S8253" s="8" t="n"/>
      <c r="T8253" s="8" t="n"/>
      <c r="U8253" s="8" t="n"/>
      <c r="V8253" s="8" t="n"/>
      <c r="W8253" s="8" t="n"/>
      <c r="X8253" s="8" t="n"/>
      <c r="Y8253" s="8" t="n"/>
    </row>
    <row r="8254">
      <c r="A8254" s="8" t="n"/>
      <c r="B8254" s="8" t="n"/>
      <c r="C8254" s="8" t="n"/>
      <c r="D8254" s="8" t="n"/>
      <c r="E8254" s="8" t="n"/>
      <c r="F8254" s="8" t="n"/>
      <c r="G8254" s="8" t="n"/>
      <c r="H8254" s="8" t="n"/>
      <c r="I8254" s="8" t="n"/>
      <c r="J8254" s="8" t="n"/>
      <c r="K8254" s="8" t="n"/>
      <c r="L8254" s="8" t="n"/>
      <c r="M8254" s="9">
        <f>B8254+30</f>
        <v/>
      </c>
      <c r="N8254">
        <f>IF(L8254="", "", L8254-B8254)</f>
        <v/>
      </c>
      <c r="O8254">
        <f>IF(L8254="", "Pending", IF(N8254&lt;=30, "Met", "Breached"))</f>
        <v/>
      </c>
      <c r="P8254" s="8" t="n"/>
      <c r="Q8254" s="8" t="n"/>
      <c r="R8254" s="8" t="n"/>
      <c r="S8254" s="8" t="n"/>
      <c r="T8254" s="8" t="n"/>
      <c r="U8254" s="8" t="n"/>
      <c r="V8254" s="8" t="n"/>
      <c r="W8254" s="8" t="n"/>
      <c r="X8254" s="8" t="n"/>
      <c r="Y8254" s="8" t="n"/>
    </row>
    <row r="8255">
      <c r="A8255" s="8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8" t="n"/>
      <c r="K8255" s="8" t="n"/>
      <c r="L8255" s="8" t="n"/>
      <c r="M8255" s="9">
        <f>B8255+30</f>
        <v/>
      </c>
      <c r="N8255">
        <f>IF(L8255="", "", L8255-B8255)</f>
        <v/>
      </c>
      <c r="O8255">
        <f>IF(L8255="", "Pending", IF(N8255&lt;=30, "Met", "Breached"))</f>
        <v/>
      </c>
      <c r="P8255" s="8" t="n"/>
      <c r="Q8255" s="8" t="n"/>
      <c r="R8255" s="8" t="n"/>
      <c r="S8255" s="8" t="n"/>
      <c r="T8255" s="8" t="n"/>
      <c r="U8255" s="8" t="n"/>
      <c r="V8255" s="8" t="n"/>
      <c r="W8255" s="8" t="n"/>
      <c r="X8255" s="8" t="n"/>
      <c r="Y8255" s="8" t="n"/>
    </row>
    <row r="8256">
      <c r="A8256" s="8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8" t="n"/>
      <c r="K8256" s="8" t="n"/>
      <c r="L8256" s="8" t="n"/>
      <c r="M8256" s="9">
        <f>B8256+30</f>
        <v/>
      </c>
      <c r="N8256">
        <f>IF(L8256="", "", L8256-B8256)</f>
        <v/>
      </c>
      <c r="O8256">
        <f>IF(L8256="", "Pending", IF(N8256&lt;=30, "Met", "Breached"))</f>
        <v/>
      </c>
      <c r="P8256" s="8" t="n"/>
      <c r="Q8256" s="8" t="n"/>
      <c r="R8256" s="8" t="n"/>
      <c r="S8256" s="8" t="n"/>
      <c r="T8256" s="8" t="n"/>
      <c r="U8256" s="8" t="n"/>
      <c r="V8256" s="8" t="n"/>
      <c r="W8256" s="8" t="n"/>
      <c r="X8256" s="8" t="n"/>
      <c r="Y8256" s="8" t="n"/>
    </row>
    <row r="8257">
      <c r="A8257" s="8" t="n"/>
      <c r="B8257" s="8" t="n"/>
      <c r="C8257" s="8" t="n"/>
      <c r="D8257" s="8" t="n"/>
      <c r="E8257" s="8" t="n"/>
      <c r="F8257" s="8" t="n"/>
      <c r="G8257" s="8" t="n"/>
      <c r="H8257" s="8" t="n"/>
      <c r="I8257" s="8" t="n"/>
      <c r="J8257" s="8" t="n"/>
      <c r="K8257" s="8" t="n"/>
      <c r="L8257" s="8" t="n"/>
      <c r="M8257" s="9">
        <f>B8257+30</f>
        <v/>
      </c>
      <c r="N8257">
        <f>IF(L8257="", "", L8257-B8257)</f>
        <v/>
      </c>
      <c r="O8257">
        <f>IF(L8257="", "Pending", IF(N8257&lt;=30, "Met", "Breached"))</f>
        <v/>
      </c>
      <c r="P8257" s="8" t="n"/>
      <c r="Q8257" s="8" t="n"/>
      <c r="R8257" s="8" t="n"/>
      <c r="S8257" s="8" t="n"/>
      <c r="T8257" s="8" t="n"/>
      <c r="U8257" s="8" t="n"/>
      <c r="V8257" s="8" t="n"/>
      <c r="W8257" s="8" t="n"/>
      <c r="X8257" s="8" t="n"/>
      <c r="Y8257" s="8" t="n"/>
    </row>
    <row r="8258">
      <c r="A8258" s="8" t="n"/>
      <c r="B8258" s="8" t="n"/>
      <c r="C8258" s="8" t="n"/>
      <c r="D8258" s="8" t="n"/>
      <c r="E8258" s="8" t="n"/>
      <c r="F8258" s="8" t="n"/>
      <c r="G8258" s="8" t="n"/>
      <c r="H8258" s="8" t="n"/>
      <c r="I8258" s="8" t="n"/>
      <c r="J8258" s="8" t="n"/>
      <c r="K8258" s="8" t="n"/>
      <c r="L8258" s="8" t="n"/>
      <c r="M8258" s="9">
        <f>B8258+30</f>
        <v/>
      </c>
      <c r="N8258">
        <f>IF(L8258="", "", L8258-B8258)</f>
        <v/>
      </c>
      <c r="O8258">
        <f>IF(L8258="", "Pending", IF(N8258&lt;=30, "Met", "Breached"))</f>
        <v/>
      </c>
      <c r="P8258" s="8" t="n"/>
      <c r="Q8258" s="8" t="n"/>
      <c r="R8258" s="8" t="n"/>
      <c r="S8258" s="8" t="n"/>
      <c r="T8258" s="8" t="n"/>
      <c r="U8258" s="8" t="n"/>
      <c r="V8258" s="8" t="n"/>
      <c r="W8258" s="8" t="n"/>
      <c r="X8258" s="8" t="n"/>
      <c r="Y8258" s="8" t="n"/>
    </row>
    <row r="8259">
      <c r="A8259" s="8" t="n"/>
      <c r="B8259" s="8" t="n"/>
      <c r="C8259" s="8" t="n"/>
      <c r="D8259" s="8" t="n"/>
      <c r="E8259" s="8" t="n"/>
      <c r="F8259" s="8" t="n"/>
      <c r="G8259" s="8" t="n"/>
      <c r="H8259" s="8" t="n"/>
      <c r="I8259" s="8" t="n"/>
      <c r="J8259" s="8" t="n"/>
      <c r="K8259" s="8" t="n"/>
      <c r="L8259" s="8" t="n"/>
      <c r="M8259" s="9">
        <f>B8259+30</f>
        <v/>
      </c>
      <c r="N8259">
        <f>IF(L8259="", "", L8259-B8259)</f>
        <v/>
      </c>
      <c r="O8259">
        <f>IF(L8259="", "Pending", IF(N8259&lt;=30, "Met", "Breached"))</f>
        <v/>
      </c>
      <c r="P8259" s="8" t="n"/>
      <c r="Q8259" s="8" t="n"/>
      <c r="R8259" s="8" t="n"/>
      <c r="S8259" s="8" t="n"/>
      <c r="T8259" s="8" t="n"/>
      <c r="U8259" s="8" t="n"/>
      <c r="V8259" s="8" t="n"/>
      <c r="W8259" s="8" t="n"/>
      <c r="X8259" s="8" t="n"/>
      <c r="Y8259" s="8" t="n"/>
    </row>
    <row r="8260">
      <c r="A8260" s="8" t="n"/>
      <c r="B8260" s="8" t="n"/>
      <c r="C8260" s="8" t="n"/>
      <c r="D8260" s="8" t="n"/>
      <c r="E8260" s="8" t="n"/>
      <c r="F8260" s="8" t="n"/>
      <c r="G8260" s="8" t="n"/>
      <c r="H8260" s="8" t="n"/>
      <c r="I8260" s="8" t="n"/>
      <c r="J8260" s="8" t="n"/>
      <c r="K8260" s="8" t="n"/>
      <c r="L8260" s="8" t="n"/>
      <c r="M8260" s="9">
        <f>B8260+30</f>
        <v/>
      </c>
      <c r="N8260">
        <f>IF(L8260="", "", L8260-B8260)</f>
        <v/>
      </c>
      <c r="O8260">
        <f>IF(L8260="", "Pending", IF(N8260&lt;=30, "Met", "Breached"))</f>
        <v/>
      </c>
      <c r="P8260" s="8" t="n"/>
      <c r="Q8260" s="8" t="n"/>
      <c r="R8260" s="8" t="n"/>
      <c r="S8260" s="8" t="n"/>
      <c r="T8260" s="8" t="n"/>
      <c r="U8260" s="8" t="n"/>
      <c r="V8260" s="8" t="n"/>
      <c r="W8260" s="8" t="n"/>
      <c r="X8260" s="8" t="n"/>
      <c r="Y8260" s="8" t="n"/>
    </row>
    <row r="8261">
      <c r="A8261" s="8" t="n"/>
      <c r="B8261" s="8" t="n"/>
      <c r="C8261" s="8" t="n"/>
      <c r="D8261" s="8" t="n"/>
      <c r="E8261" s="8" t="n"/>
      <c r="F8261" s="8" t="n"/>
      <c r="G8261" s="8" t="n"/>
      <c r="H8261" s="8" t="n"/>
      <c r="I8261" s="8" t="n"/>
      <c r="J8261" s="8" t="n"/>
      <c r="K8261" s="8" t="n"/>
      <c r="L8261" s="8" t="n"/>
      <c r="M8261" s="9">
        <f>B8261+30</f>
        <v/>
      </c>
      <c r="N8261">
        <f>IF(L8261="", "", L8261-B8261)</f>
        <v/>
      </c>
      <c r="O8261">
        <f>IF(L8261="", "Pending", IF(N8261&lt;=30, "Met", "Breached"))</f>
        <v/>
      </c>
      <c r="P8261" s="8" t="n"/>
      <c r="Q8261" s="8" t="n"/>
      <c r="R8261" s="8" t="n"/>
      <c r="S8261" s="8" t="n"/>
      <c r="T8261" s="8" t="n"/>
      <c r="U8261" s="8" t="n"/>
      <c r="V8261" s="8" t="n"/>
      <c r="W8261" s="8" t="n"/>
      <c r="X8261" s="8" t="n"/>
      <c r="Y8261" s="8" t="n"/>
    </row>
    <row r="8262">
      <c r="A8262" s="8" t="n"/>
      <c r="B8262" s="8" t="n"/>
      <c r="C8262" s="8" t="n"/>
      <c r="D8262" s="8" t="n"/>
      <c r="E8262" s="8" t="n"/>
      <c r="F8262" s="8" t="n"/>
      <c r="G8262" s="8" t="n"/>
      <c r="H8262" s="8" t="n"/>
      <c r="I8262" s="8" t="n"/>
      <c r="J8262" s="8" t="n"/>
      <c r="K8262" s="8" t="n"/>
      <c r="L8262" s="8" t="n"/>
      <c r="M8262" s="9">
        <f>B8262+30</f>
        <v/>
      </c>
      <c r="N8262">
        <f>IF(L8262="", "", L8262-B8262)</f>
        <v/>
      </c>
      <c r="O8262">
        <f>IF(L8262="", "Pending", IF(N8262&lt;=30, "Met", "Breached"))</f>
        <v/>
      </c>
      <c r="P8262" s="8" t="n"/>
      <c r="Q8262" s="8" t="n"/>
      <c r="R8262" s="8" t="n"/>
      <c r="S8262" s="8" t="n"/>
      <c r="T8262" s="8" t="n"/>
      <c r="U8262" s="8" t="n"/>
      <c r="V8262" s="8" t="n"/>
      <c r="W8262" s="8" t="n"/>
      <c r="X8262" s="8" t="n"/>
      <c r="Y8262" s="8" t="n"/>
    </row>
    <row r="8263">
      <c r="A8263" s="8" t="n"/>
      <c r="B8263" s="8" t="n"/>
      <c r="C8263" s="8" t="n"/>
      <c r="D8263" s="8" t="n"/>
      <c r="E8263" s="8" t="n"/>
      <c r="F8263" s="8" t="n"/>
      <c r="G8263" s="8" t="n"/>
      <c r="H8263" s="8" t="n"/>
      <c r="I8263" s="8" t="n"/>
      <c r="J8263" s="8" t="n"/>
      <c r="K8263" s="8" t="n"/>
      <c r="L8263" s="8" t="n"/>
      <c r="M8263" s="9">
        <f>B8263+30</f>
        <v/>
      </c>
      <c r="N8263">
        <f>IF(L8263="", "", L8263-B8263)</f>
        <v/>
      </c>
      <c r="O8263">
        <f>IF(L8263="", "Pending", IF(N8263&lt;=30, "Met", "Breached"))</f>
        <v/>
      </c>
      <c r="P8263" s="8" t="n"/>
      <c r="Q8263" s="8" t="n"/>
      <c r="R8263" s="8" t="n"/>
      <c r="S8263" s="8" t="n"/>
      <c r="T8263" s="8" t="n"/>
      <c r="U8263" s="8" t="n"/>
      <c r="V8263" s="8" t="n"/>
      <c r="W8263" s="8" t="n"/>
      <c r="X8263" s="8" t="n"/>
      <c r="Y8263" s="8" t="n"/>
    </row>
    <row r="8264">
      <c r="A8264" s="8" t="n"/>
      <c r="B8264" s="8" t="n"/>
      <c r="C8264" s="8" t="n"/>
      <c r="D8264" s="8" t="n"/>
      <c r="E8264" s="8" t="n"/>
      <c r="F8264" s="8" t="n"/>
      <c r="G8264" s="8" t="n"/>
      <c r="H8264" s="8" t="n"/>
      <c r="I8264" s="8" t="n"/>
      <c r="J8264" s="8" t="n"/>
      <c r="K8264" s="8" t="n"/>
      <c r="L8264" s="8" t="n"/>
      <c r="M8264" s="9">
        <f>B8264+30</f>
        <v/>
      </c>
      <c r="N8264">
        <f>IF(L8264="", "", L8264-B8264)</f>
        <v/>
      </c>
      <c r="O8264">
        <f>IF(L8264="", "Pending", IF(N8264&lt;=30, "Met", "Breached"))</f>
        <v/>
      </c>
      <c r="P8264" s="8" t="n"/>
      <c r="Q8264" s="8" t="n"/>
      <c r="R8264" s="8" t="n"/>
      <c r="S8264" s="8" t="n"/>
      <c r="T8264" s="8" t="n"/>
      <c r="U8264" s="8" t="n"/>
      <c r="V8264" s="8" t="n"/>
      <c r="W8264" s="8" t="n"/>
      <c r="X8264" s="8" t="n"/>
      <c r="Y8264" s="8" t="n"/>
    </row>
    <row r="8265">
      <c r="A8265" s="8" t="n"/>
      <c r="B8265" s="8" t="n"/>
      <c r="C8265" s="8" t="n"/>
      <c r="D8265" s="8" t="n"/>
      <c r="E8265" s="8" t="n"/>
      <c r="F8265" s="8" t="n"/>
      <c r="G8265" s="8" t="n"/>
      <c r="H8265" s="8" t="n"/>
      <c r="I8265" s="8" t="n"/>
      <c r="J8265" s="8" t="n"/>
      <c r="K8265" s="8" t="n"/>
      <c r="L8265" s="8" t="n"/>
      <c r="M8265" s="9">
        <f>B8265+30</f>
        <v/>
      </c>
      <c r="N8265">
        <f>IF(L8265="", "", L8265-B8265)</f>
        <v/>
      </c>
      <c r="O8265">
        <f>IF(L8265="", "Pending", IF(N8265&lt;=30, "Met", "Breached"))</f>
        <v/>
      </c>
      <c r="P8265" s="8" t="n"/>
      <c r="Q8265" s="8" t="n"/>
      <c r="R8265" s="8" t="n"/>
      <c r="S8265" s="8" t="n"/>
      <c r="T8265" s="8" t="n"/>
      <c r="U8265" s="8" t="n"/>
      <c r="V8265" s="8" t="n"/>
      <c r="W8265" s="8" t="n"/>
      <c r="X8265" s="8" t="n"/>
      <c r="Y8265" s="8" t="n"/>
    </row>
    <row r="8266">
      <c r="A8266" s="8" t="n"/>
      <c r="B8266" s="8" t="n"/>
      <c r="C8266" s="8" t="n"/>
      <c r="D8266" s="8" t="n"/>
      <c r="E8266" s="8" t="n"/>
      <c r="F8266" s="8" t="n"/>
      <c r="G8266" s="8" t="n"/>
      <c r="H8266" s="8" t="n"/>
      <c r="I8266" s="8" t="n"/>
      <c r="J8266" s="8" t="n"/>
      <c r="K8266" s="8" t="n"/>
      <c r="L8266" s="8" t="n"/>
      <c r="M8266" s="9">
        <f>B8266+30</f>
        <v/>
      </c>
      <c r="N8266">
        <f>IF(L8266="", "", L8266-B8266)</f>
        <v/>
      </c>
      <c r="O8266">
        <f>IF(L8266="", "Pending", IF(N8266&lt;=30, "Met", "Breached"))</f>
        <v/>
      </c>
      <c r="P8266" s="8" t="n"/>
      <c r="Q8266" s="8" t="n"/>
      <c r="R8266" s="8" t="n"/>
      <c r="S8266" s="8" t="n"/>
      <c r="T8266" s="8" t="n"/>
      <c r="U8266" s="8" t="n"/>
      <c r="V8266" s="8" t="n"/>
      <c r="W8266" s="8" t="n"/>
      <c r="X8266" s="8" t="n"/>
      <c r="Y8266" s="8" t="n"/>
    </row>
    <row r="8267">
      <c r="A8267" s="8" t="n"/>
      <c r="B8267" s="8" t="n"/>
      <c r="C8267" s="8" t="n"/>
      <c r="D8267" s="8" t="n"/>
      <c r="E8267" s="8" t="n"/>
      <c r="F8267" s="8" t="n"/>
      <c r="G8267" s="8" t="n"/>
      <c r="H8267" s="8" t="n"/>
      <c r="I8267" s="8" t="n"/>
      <c r="J8267" s="8" t="n"/>
      <c r="K8267" s="8" t="n"/>
      <c r="L8267" s="8" t="n"/>
      <c r="M8267" s="9">
        <f>B8267+30</f>
        <v/>
      </c>
      <c r="N8267">
        <f>IF(L8267="", "", L8267-B8267)</f>
        <v/>
      </c>
      <c r="O8267">
        <f>IF(L8267="", "Pending", IF(N8267&lt;=30, "Met", "Breached"))</f>
        <v/>
      </c>
      <c r="P8267" s="8" t="n"/>
      <c r="Q8267" s="8" t="n"/>
      <c r="R8267" s="8" t="n"/>
      <c r="S8267" s="8" t="n"/>
      <c r="T8267" s="8" t="n"/>
      <c r="U8267" s="8" t="n"/>
      <c r="V8267" s="8" t="n"/>
      <c r="W8267" s="8" t="n"/>
      <c r="X8267" s="8" t="n"/>
      <c r="Y8267" s="8" t="n"/>
    </row>
    <row r="8268">
      <c r="A8268" s="8" t="n"/>
      <c r="B8268" s="8" t="n"/>
      <c r="C8268" s="8" t="n"/>
      <c r="D8268" s="8" t="n"/>
      <c r="E8268" s="8" t="n"/>
      <c r="F8268" s="8" t="n"/>
      <c r="G8268" s="8" t="n"/>
      <c r="H8268" s="8" t="n"/>
      <c r="I8268" s="8" t="n"/>
      <c r="J8268" s="8" t="n"/>
      <c r="K8268" s="8" t="n"/>
      <c r="L8268" s="8" t="n"/>
      <c r="M8268" s="9">
        <f>B8268+30</f>
        <v/>
      </c>
      <c r="N8268">
        <f>IF(L8268="", "", L8268-B8268)</f>
        <v/>
      </c>
      <c r="O8268">
        <f>IF(L8268="", "Pending", IF(N8268&lt;=30, "Met", "Breached"))</f>
        <v/>
      </c>
      <c r="P8268" s="8" t="n"/>
      <c r="Q8268" s="8" t="n"/>
      <c r="R8268" s="8" t="n"/>
      <c r="S8268" s="8" t="n"/>
      <c r="T8268" s="8" t="n"/>
      <c r="U8268" s="8" t="n"/>
      <c r="V8268" s="8" t="n"/>
      <c r="W8268" s="8" t="n"/>
      <c r="X8268" s="8" t="n"/>
      <c r="Y8268" s="8" t="n"/>
    </row>
    <row r="8269">
      <c r="A8269" s="8" t="n"/>
      <c r="B8269" s="8" t="n"/>
      <c r="C8269" s="8" t="n"/>
      <c r="D8269" s="8" t="n"/>
      <c r="E8269" s="8" t="n"/>
      <c r="F8269" s="8" t="n"/>
      <c r="G8269" s="8" t="n"/>
      <c r="H8269" s="8" t="n"/>
      <c r="I8269" s="8" t="n"/>
      <c r="J8269" s="8" t="n"/>
      <c r="K8269" s="8" t="n"/>
      <c r="L8269" s="8" t="n"/>
      <c r="M8269" s="9">
        <f>B8269+30</f>
        <v/>
      </c>
      <c r="N8269">
        <f>IF(L8269="", "", L8269-B8269)</f>
        <v/>
      </c>
      <c r="O8269">
        <f>IF(L8269="", "Pending", IF(N8269&lt;=30, "Met", "Breached"))</f>
        <v/>
      </c>
      <c r="P8269" s="8" t="n"/>
      <c r="Q8269" s="8" t="n"/>
      <c r="R8269" s="8" t="n"/>
      <c r="S8269" s="8" t="n"/>
      <c r="T8269" s="8" t="n"/>
      <c r="U8269" s="8" t="n"/>
      <c r="V8269" s="8" t="n"/>
      <c r="W8269" s="8" t="n"/>
      <c r="X8269" s="8" t="n"/>
      <c r="Y8269" s="8" t="n"/>
    </row>
    <row r="8270">
      <c r="A8270" s="8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8" t="n"/>
      <c r="K8270" s="8" t="n"/>
      <c r="L8270" s="8" t="n"/>
      <c r="M8270" s="9">
        <f>B8270+30</f>
        <v/>
      </c>
      <c r="N8270">
        <f>IF(L8270="", "", L8270-B8270)</f>
        <v/>
      </c>
      <c r="O8270">
        <f>IF(L8270="", "Pending", IF(N8270&lt;=30, "Met", "Breached"))</f>
        <v/>
      </c>
      <c r="P8270" s="8" t="n"/>
      <c r="Q8270" s="8" t="n"/>
      <c r="R8270" s="8" t="n"/>
      <c r="S8270" s="8" t="n"/>
      <c r="T8270" s="8" t="n"/>
      <c r="U8270" s="8" t="n"/>
      <c r="V8270" s="8" t="n"/>
      <c r="W8270" s="8" t="n"/>
      <c r="X8270" s="8" t="n"/>
      <c r="Y8270" s="8" t="n"/>
    </row>
    <row r="8271">
      <c r="A8271" s="8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8" t="n"/>
      <c r="K8271" s="8" t="n"/>
      <c r="L8271" s="8" t="n"/>
      <c r="M8271" s="9">
        <f>B8271+30</f>
        <v/>
      </c>
      <c r="N8271">
        <f>IF(L8271="", "", L8271-B8271)</f>
        <v/>
      </c>
      <c r="O8271">
        <f>IF(L8271="", "Pending", IF(N8271&lt;=30, "Met", "Breached"))</f>
        <v/>
      </c>
      <c r="P8271" s="8" t="n"/>
      <c r="Q8271" s="8" t="n"/>
      <c r="R8271" s="8" t="n"/>
      <c r="S8271" s="8" t="n"/>
      <c r="T8271" s="8" t="n"/>
      <c r="U8271" s="8" t="n"/>
      <c r="V8271" s="8" t="n"/>
      <c r="W8271" s="8" t="n"/>
      <c r="X8271" s="8" t="n"/>
      <c r="Y8271" s="8" t="n"/>
    </row>
    <row r="8272">
      <c r="A8272" s="8" t="n"/>
      <c r="B8272" s="8" t="n"/>
      <c r="C8272" s="8" t="n"/>
      <c r="D8272" s="8" t="n"/>
      <c r="E8272" s="8" t="n"/>
      <c r="F8272" s="8" t="n"/>
      <c r="G8272" s="8" t="n"/>
      <c r="H8272" s="8" t="n"/>
      <c r="I8272" s="8" t="n"/>
      <c r="J8272" s="8" t="n"/>
      <c r="K8272" s="8" t="n"/>
      <c r="L8272" s="8" t="n"/>
      <c r="M8272" s="9">
        <f>B8272+30</f>
        <v/>
      </c>
      <c r="N8272">
        <f>IF(L8272="", "", L8272-B8272)</f>
        <v/>
      </c>
      <c r="O8272">
        <f>IF(L8272="", "Pending", IF(N8272&lt;=30, "Met", "Breached"))</f>
        <v/>
      </c>
      <c r="P8272" s="8" t="n"/>
      <c r="Q8272" s="8" t="n"/>
      <c r="R8272" s="8" t="n"/>
      <c r="S8272" s="8" t="n"/>
      <c r="T8272" s="8" t="n"/>
      <c r="U8272" s="8" t="n"/>
      <c r="V8272" s="8" t="n"/>
      <c r="W8272" s="8" t="n"/>
      <c r="X8272" s="8" t="n"/>
      <c r="Y8272" s="8" t="n"/>
    </row>
    <row r="8273">
      <c r="A8273" s="8" t="n"/>
      <c r="B8273" s="8" t="n"/>
      <c r="C8273" s="8" t="n"/>
      <c r="D8273" s="8" t="n"/>
      <c r="E8273" s="8" t="n"/>
      <c r="F8273" s="8" t="n"/>
      <c r="G8273" s="8" t="n"/>
      <c r="H8273" s="8" t="n"/>
      <c r="I8273" s="8" t="n"/>
      <c r="J8273" s="8" t="n"/>
      <c r="K8273" s="8" t="n"/>
      <c r="L8273" s="8" t="n"/>
      <c r="M8273" s="9">
        <f>B8273+30</f>
        <v/>
      </c>
      <c r="N8273">
        <f>IF(L8273="", "", L8273-B8273)</f>
        <v/>
      </c>
      <c r="O8273">
        <f>IF(L8273="", "Pending", IF(N8273&lt;=30, "Met", "Breached"))</f>
        <v/>
      </c>
      <c r="P8273" s="8" t="n"/>
      <c r="Q8273" s="8" t="n"/>
      <c r="R8273" s="8" t="n"/>
      <c r="S8273" s="8" t="n"/>
      <c r="T8273" s="8" t="n"/>
      <c r="U8273" s="8" t="n"/>
      <c r="V8273" s="8" t="n"/>
      <c r="W8273" s="8" t="n"/>
      <c r="X8273" s="8" t="n"/>
      <c r="Y8273" s="8" t="n"/>
    </row>
    <row r="8274">
      <c r="A8274" s="8" t="n"/>
      <c r="B8274" s="8" t="n"/>
      <c r="C8274" s="8" t="n"/>
      <c r="D8274" s="8" t="n"/>
      <c r="E8274" s="8" t="n"/>
      <c r="F8274" s="8" t="n"/>
      <c r="G8274" s="8" t="n"/>
      <c r="H8274" s="8" t="n"/>
      <c r="I8274" s="8" t="n"/>
      <c r="J8274" s="8" t="n"/>
      <c r="K8274" s="8" t="n"/>
      <c r="L8274" s="8" t="n"/>
      <c r="M8274" s="9">
        <f>B8274+30</f>
        <v/>
      </c>
      <c r="N8274">
        <f>IF(L8274="", "", L8274-B8274)</f>
        <v/>
      </c>
      <c r="O8274">
        <f>IF(L8274="", "Pending", IF(N8274&lt;=30, "Met", "Breached"))</f>
        <v/>
      </c>
      <c r="P8274" s="8" t="n"/>
      <c r="Q8274" s="8" t="n"/>
      <c r="R8274" s="8" t="n"/>
      <c r="S8274" s="8" t="n"/>
      <c r="T8274" s="8" t="n"/>
      <c r="U8274" s="8" t="n"/>
      <c r="V8274" s="8" t="n"/>
      <c r="W8274" s="8" t="n"/>
      <c r="X8274" s="8" t="n"/>
      <c r="Y8274" s="8" t="n"/>
    </row>
    <row r="8275">
      <c r="A8275" s="8" t="n"/>
      <c r="B8275" s="8" t="n"/>
      <c r="C8275" s="8" t="n"/>
      <c r="D8275" s="8" t="n"/>
      <c r="E8275" s="8" t="n"/>
      <c r="F8275" s="8" t="n"/>
      <c r="G8275" s="8" t="n"/>
      <c r="H8275" s="8" t="n"/>
      <c r="I8275" s="8" t="n"/>
      <c r="J8275" s="8" t="n"/>
      <c r="K8275" s="8" t="n"/>
      <c r="L8275" s="8" t="n"/>
      <c r="M8275" s="9">
        <f>B8275+30</f>
        <v/>
      </c>
      <c r="N8275">
        <f>IF(L8275="", "", L8275-B8275)</f>
        <v/>
      </c>
      <c r="O8275">
        <f>IF(L8275="", "Pending", IF(N8275&lt;=30, "Met", "Breached"))</f>
        <v/>
      </c>
      <c r="P8275" s="8" t="n"/>
      <c r="Q8275" s="8" t="n"/>
      <c r="R8275" s="8" t="n"/>
      <c r="S8275" s="8" t="n"/>
      <c r="T8275" s="8" t="n"/>
      <c r="U8275" s="8" t="n"/>
      <c r="V8275" s="8" t="n"/>
      <c r="W8275" s="8" t="n"/>
      <c r="X8275" s="8" t="n"/>
      <c r="Y8275" s="8" t="n"/>
    </row>
    <row r="8276">
      <c r="A8276" s="8" t="n"/>
      <c r="B8276" s="8" t="n"/>
      <c r="C8276" s="8" t="n"/>
      <c r="D8276" s="8" t="n"/>
      <c r="E8276" s="8" t="n"/>
      <c r="F8276" s="8" t="n"/>
      <c r="G8276" s="8" t="n"/>
      <c r="H8276" s="8" t="n"/>
      <c r="I8276" s="8" t="n"/>
      <c r="J8276" s="8" t="n"/>
      <c r="K8276" s="8" t="n"/>
      <c r="L8276" s="8" t="n"/>
      <c r="M8276" s="9">
        <f>B8276+30</f>
        <v/>
      </c>
      <c r="N8276">
        <f>IF(L8276="", "", L8276-B8276)</f>
        <v/>
      </c>
      <c r="O8276">
        <f>IF(L8276="", "Pending", IF(N8276&lt;=30, "Met", "Breached"))</f>
        <v/>
      </c>
      <c r="P8276" s="8" t="n"/>
      <c r="Q8276" s="8" t="n"/>
      <c r="R8276" s="8" t="n"/>
      <c r="S8276" s="8" t="n"/>
      <c r="T8276" s="8" t="n"/>
      <c r="U8276" s="8" t="n"/>
      <c r="V8276" s="8" t="n"/>
      <c r="W8276" s="8" t="n"/>
      <c r="X8276" s="8" t="n"/>
      <c r="Y8276" s="8" t="n"/>
    </row>
    <row r="8277">
      <c r="A8277" s="8" t="n"/>
      <c r="B8277" s="8" t="n"/>
      <c r="C8277" s="8" t="n"/>
      <c r="D8277" s="8" t="n"/>
      <c r="E8277" s="8" t="n"/>
      <c r="F8277" s="8" t="n"/>
      <c r="G8277" s="8" t="n"/>
      <c r="H8277" s="8" t="n"/>
      <c r="I8277" s="8" t="n"/>
      <c r="J8277" s="8" t="n"/>
      <c r="K8277" s="8" t="n"/>
      <c r="L8277" s="8" t="n"/>
      <c r="M8277" s="9">
        <f>B8277+30</f>
        <v/>
      </c>
      <c r="N8277">
        <f>IF(L8277="", "", L8277-B8277)</f>
        <v/>
      </c>
      <c r="O8277">
        <f>IF(L8277="", "Pending", IF(N8277&lt;=30, "Met", "Breached"))</f>
        <v/>
      </c>
      <c r="P8277" s="8" t="n"/>
      <c r="Q8277" s="8" t="n"/>
      <c r="R8277" s="8" t="n"/>
      <c r="S8277" s="8" t="n"/>
      <c r="T8277" s="8" t="n"/>
      <c r="U8277" s="8" t="n"/>
      <c r="V8277" s="8" t="n"/>
      <c r="W8277" s="8" t="n"/>
      <c r="X8277" s="8" t="n"/>
      <c r="Y8277" s="8" t="n"/>
    </row>
    <row r="8278">
      <c r="A8278" s="8" t="n"/>
      <c r="B8278" s="8" t="n"/>
      <c r="C8278" s="8" t="n"/>
      <c r="D8278" s="8" t="n"/>
      <c r="E8278" s="8" t="n"/>
      <c r="F8278" s="8" t="n"/>
      <c r="G8278" s="8" t="n"/>
      <c r="H8278" s="8" t="n"/>
      <c r="I8278" s="8" t="n"/>
      <c r="J8278" s="8" t="n"/>
      <c r="K8278" s="8" t="n"/>
      <c r="L8278" s="8" t="n"/>
      <c r="M8278" s="9">
        <f>B8278+30</f>
        <v/>
      </c>
      <c r="N8278">
        <f>IF(L8278="", "", L8278-B8278)</f>
        <v/>
      </c>
      <c r="O8278">
        <f>IF(L8278="", "Pending", IF(N8278&lt;=30, "Met", "Breached"))</f>
        <v/>
      </c>
      <c r="P8278" s="8" t="n"/>
      <c r="Q8278" s="8" t="n"/>
      <c r="R8278" s="8" t="n"/>
      <c r="S8278" s="8" t="n"/>
      <c r="T8278" s="8" t="n"/>
      <c r="U8278" s="8" t="n"/>
      <c r="V8278" s="8" t="n"/>
      <c r="W8278" s="8" t="n"/>
      <c r="X8278" s="8" t="n"/>
      <c r="Y8278" s="8" t="n"/>
    </row>
    <row r="8279">
      <c r="A8279" s="8" t="n"/>
      <c r="B8279" s="8" t="n"/>
      <c r="C8279" s="8" t="n"/>
      <c r="D8279" s="8" t="n"/>
      <c r="E8279" s="8" t="n"/>
      <c r="F8279" s="8" t="n"/>
      <c r="G8279" s="8" t="n"/>
      <c r="H8279" s="8" t="n"/>
      <c r="I8279" s="8" t="n"/>
      <c r="J8279" s="8" t="n"/>
      <c r="K8279" s="8" t="n"/>
      <c r="L8279" s="8" t="n"/>
      <c r="M8279" s="9">
        <f>B8279+30</f>
        <v/>
      </c>
      <c r="N8279">
        <f>IF(L8279="", "", L8279-B8279)</f>
        <v/>
      </c>
      <c r="O8279">
        <f>IF(L8279="", "Pending", IF(N8279&lt;=30, "Met", "Breached"))</f>
        <v/>
      </c>
      <c r="P8279" s="8" t="n"/>
      <c r="Q8279" s="8" t="n"/>
      <c r="R8279" s="8" t="n"/>
      <c r="S8279" s="8" t="n"/>
      <c r="T8279" s="8" t="n"/>
      <c r="U8279" s="8" t="n"/>
      <c r="V8279" s="8" t="n"/>
      <c r="W8279" s="8" t="n"/>
      <c r="X8279" s="8" t="n"/>
      <c r="Y8279" s="8" t="n"/>
    </row>
    <row r="8280">
      <c r="A8280" s="8" t="n"/>
      <c r="B8280" s="8" t="n"/>
      <c r="C8280" s="8" t="n"/>
      <c r="D8280" s="8" t="n"/>
      <c r="E8280" s="8" t="n"/>
      <c r="F8280" s="8" t="n"/>
      <c r="G8280" s="8" t="n"/>
      <c r="H8280" s="8" t="n"/>
      <c r="I8280" s="8" t="n"/>
      <c r="J8280" s="8" t="n"/>
      <c r="K8280" s="8" t="n"/>
      <c r="L8280" s="8" t="n"/>
      <c r="M8280" s="9">
        <f>B8280+30</f>
        <v/>
      </c>
      <c r="N8280">
        <f>IF(L8280="", "", L8280-B8280)</f>
        <v/>
      </c>
      <c r="O8280">
        <f>IF(L8280="", "Pending", IF(N8280&lt;=30, "Met", "Breached"))</f>
        <v/>
      </c>
      <c r="P8280" s="8" t="n"/>
      <c r="Q8280" s="8" t="n"/>
      <c r="R8280" s="8" t="n"/>
      <c r="S8280" s="8" t="n"/>
      <c r="T8280" s="8" t="n"/>
      <c r="U8280" s="8" t="n"/>
      <c r="V8280" s="8" t="n"/>
      <c r="W8280" s="8" t="n"/>
      <c r="X8280" s="8" t="n"/>
      <c r="Y8280" s="8" t="n"/>
    </row>
    <row r="8281">
      <c r="A8281" s="8" t="n"/>
      <c r="B8281" s="8" t="n"/>
      <c r="C8281" s="8" t="n"/>
      <c r="D8281" s="8" t="n"/>
      <c r="E8281" s="8" t="n"/>
      <c r="F8281" s="8" t="n"/>
      <c r="G8281" s="8" t="n"/>
      <c r="H8281" s="8" t="n"/>
      <c r="I8281" s="8" t="n"/>
      <c r="J8281" s="8" t="n"/>
      <c r="K8281" s="8" t="n"/>
      <c r="L8281" s="8" t="n"/>
      <c r="M8281" s="9">
        <f>B8281+30</f>
        <v/>
      </c>
      <c r="N8281">
        <f>IF(L8281="", "", L8281-B8281)</f>
        <v/>
      </c>
      <c r="O8281">
        <f>IF(L8281="", "Pending", IF(N8281&lt;=30, "Met", "Breached"))</f>
        <v/>
      </c>
      <c r="P8281" s="8" t="n"/>
      <c r="Q8281" s="8" t="n"/>
      <c r="R8281" s="8" t="n"/>
      <c r="S8281" s="8" t="n"/>
      <c r="T8281" s="8" t="n"/>
      <c r="U8281" s="8" t="n"/>
      <c r="V8281" s="8" t="n"/>
      <c r="W8281" s="8" t="n"/>
      <c r="X8281" s="8" t="n"/>
      <c r="Y8281" s="8" t="n"/>
    </row>
    <row r="8282">
      <c r="A8282" s="8" t="n"/>
      <c r="B8282" s="8" t="n"/>
      <c r="C8282" s="8" t="n"/>
      <c r="D8282" s="8" t="n"/>
      <c r="E8282" s="8" t="n"/>
      <c r="F8282" s="8" t="n"/>
      <c r="G8282" s="8" t="n"/>
      <c r="H8282" s="8" t="n"/>
      <c r="I8282" s="8" t="n"/>
      <c r="J8282" s="8" t="n"/>
      <c r="K8282" s="8" t="n"/>
      <c r="L8282" s="8" t="n"/>
      <c r="M8282" s="9">
        <f>B8282+30</f>
        <v/>
      </c>
      <c r="N8282">
        <f>IF(L8282="", "", L8282-B8282)</f>
        <v/>
      </c>
      <c r="O8282">
        <f>IF(L8282="", "Pending", IF(N8282&lt;=30, "Met", "Breached"))</f>
        <v/>
      </c>
      <c r="P8282" s="8" t="n"/>
      <c r="Q8282" s="8" t="n"/>
      <c r="R8282" s="8" t="n"/>
      <c r="S8282" s="8" t="n"/>
      <c r="T8282" s="8" t="n"/>
      <c r="U8282" s="8" t="n"/>
      <c r="V8282" s="8" t="n"/>
      <c r="W8282" s="8" t="n"/>
      <c r="X8282" s="8" t="n"/>
      <c r="Y8282" s="8" t="n"/>
    </row>
    <row r="8283">
      <c r="A8283" s="8" t="n"/>
      <c r="B8283" s="8" t="n"/>
      <c r="C8283" s="8" t="n"/>
      <c r="D8283" s="8" t="n"/>
      <c r="E8283" s="8" t="n"/>
      <c r="F8283" s="8" t="n"/>
      <c r="G8283" s="8" t="n"/>
      <c r="H8283" s="8" t="n"/>
      <c r="I8283" s="8" t="n"/>
      <c r="J8283" s="8" t="n"/>
      <c r="K8283" s="8" t="n"/>
      <c r="L8283" s="8" t="n"/>
      <c r="M8283" s="9">
        <f>B8283+30</f>
        <v/>
      </c>
      <c r="N8283">
        <f>IF(L8283="", "", L8283-B8283)</f>
        <v/>
      </c>
      <c r="O8283">
        <f>IF(L8283="", "Pending", IF(N8283&lt;=30, "Met", "Breached"))</f>
        <v/>
      </c>
      <c r="P8283" s="8" t="n"/>
      <c r="Q8283" s="8" t="n"/>
      <c r="R8283" s="8" t="n"/>
      <c r="S8283" s="8" t="n"/>
      <c r="T8283" s="8" t="n"/>
      <c r="U8283" s="8" t="n"/>
      <c r="V8283" s="8" t="n"/>
      <c r="W8283" s="8" t="n"/>
      <c r="X8283" s="8" t="n"/>
      <c r="Y8283" s="8" t="n"/>
    </row>
    <row r="8284">
      <c r="A8284" s="8" t="n"/>
      <c r="B8284" s="8" t="n"/>
      <c r="C8284" s="8" t="n"/>
      <c r="D8284" s="8" t="n"/>
      <c r="E8284" s="8" t="n"/>
      <c r="F8284" s="8" t="n"/>
      <c r="G8284" s="8" t="n"/>
      <c r="H8284" s="8" t="n"/>
      <c r="I8284" s="8" t="n"/>
      <c r="J8284" s="8" t="n"/>
      <c r="K8284" s="8" t="n"/>
      <c r="L8284" s="8" t="n"/>
      <c r="M8284" s="9">
        <f>B8284+30</f>
        <v/>
      </c>
      <c r="N8284">
        <f>IF(L8284="", "", L8284-B8284)</f>
        <v/>
      </c>
      <c r="O8284">
        <f>IF(L8284="", "Pending", IF(N8284&lt;=30, "Met", "Breached"))</f>
        <v/>
      </c>
      <c r="P8284" s="8" t="n"/>
      <c r="Q8284" s="8" t="n"/>
      <c r="R8284" s="8" t="n"/>
      <c r="S8284" s="8" t="n"/>
      <c r="T8284" s="8" t="n"/>
      <c r="U8284" s="8" t="n"/>
      <c r="V8284" s="8" t="n"/>
      <c r="W8284" s="8" t="n"/>
      <c r="X8284" s="8" t="n"/>
      <c r="Y8284" s="8" t="n"/>
    </row>
    <row r="8285">
      <c r="A8285" s="8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8" t="n"/>
      <c r="K8285" s="8" t="n"/>
      <c r="L8285" s="8" t="n"/>
      <c r="M8285" s="9">
        <f>B8285+30</f>
        <v/>
      </c>
      <c r="N8285">
        <f>IF(L8285="", "", L8285-B8285)</f>
        <v/>
      </c>
      <c r="O8285">
        <f>IF(L8285="", "Pending", IF(N8285&lt;=30, "Met", "Breached"))</f>
        <v/>
      </c>
      <c r="P8285" s="8" t="n"/>
      <c r="Q8285" s="8" t="n"/>
      <c r="R8285" s="8" t="n"/>
      <c r="S8285" s="8" t="n"/>
      <c r="T8285" s="8" t="n"/>
      <c r="U8285" s="8" t="n"/>
      <c r="V8285" s="8" t="n"/>
      <c r="W8285" s="8" t="n"/>
      <c r="X8285" s="8" t="n"/>
      <c r="Y8285" s="8" t="n"/>
    </row>
    <row r="8286">
      <c r="A8286" s="8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8" t="n"/>
      <c r="K8286" s="8" t="n"/>
      <c r="L8286" s="8" t="n"/>
      <c r="M8286" s="9">
        <f>B8286+30</f>
        <v/>
      </c>
      <c r="N8286">
        <f>IF(L8286="", "", L8286-B8286)</f>
        <v/>
      </c>
      <c r="O8286">
        <f>IF(L8286="", "Pending", IF(N8286&lt;=30, "Met", "Breached"))</f>
        <v/>
      </c>
      <c r="P8286" s="8" t="n"/>
      <c r="Q8286" s="8" t="n"/>
      <c r="R8286" s="8" t="n"/>
      <c r="S8286" s="8" t="n"/>
      <c r="T8286" s="8" t="n"/>
      <c r="U8286" s="8" t="n"/>
      <c r="V8286" s="8" t="n"/>
      <c r="W8286" s="8" t="n"/>
      <c r="X8286" s="8" t="n"/>
      <c r="Y8286" s="8" t="n"/>
    </row>
    <row r="8287">
      <c r="A8287" s="8" t="n"/>
      <c r="B8287" s="8" t="n"/>
      <c r="C8287" s="8" t="n"/>
      <c r="D8287" s="8" t="n"/>
      <c r="E8287" s="8" t="n"/>
      <c r="F8287" s="8" t="n"/>
      <c r="G8287" s="8" t="n"/>
      <c r="H8287" s="8" t="n"/>
      <c r="I8287" s="8" t="n"/>
      <c r="J8287" s="8" t="n"/>
      <c r="K8287" s="8" t="n"/>
      <c r="L8287" s="8" t="n"/>
      <c r="M8287" s="9">
        <f>B8287+30</f>
        <v/>
      </c>
      <c r="N8287">
        <f>IF(L8287="", "", L8287-B8287)</f>
        <v/>
      </c>
      <c r="O8287">
        <f>IF(L8287="", "Pending", IF(N8287&lt;=30, "Met", "Breached"))</f>
        <v/>
      </c>
      <c r="P8287" s="8" t="n"/>
      <c r="Q8287" s="8" t="n"/>
      <c r="R8287" s="8" t="n"/>
      <c r="S8287" s="8" t="n"/>
      <c r="T8287" s="8" t="n"/>
      <c r="U8287" s="8" t="n"/>
      <c r="V8287" s="8" t="n"/>
      <c r="W8287" s="8" t="n"/>
      <c r="X8287" s="8" t="n"/>
      <c r="Y8287" s="8" t="n"/>
    </row>
    <row r="8288">
      <c r="A8288" s="8" t="n"/>
      <c r="B8288" s="8" t="n"/>
      <c r="C8288" s="8" t="n"/>
      <c r="D8288" s="8" t="n"/>
      <c r="E8288" s="8" t="n"/>
      <c r="F8288" s="8" t="n"/>
      <c r="G8288" s="8" t="n"/>
      <c r="H8288" s="8" t="n"/>
      <c r="I8288" s="8" t="n"/>
      <c r="J8288" s="8" t="n"/>
      <c r="K8288" s="8" t="n"/>
      <c r="L8288" s="8" t="n"/>
      <c r="M8288" s="9">
        <f>B8288+30</f>
        <v/>
      </c>
      <c r="N8288">
        <f>IF(L8288="", "", L8288-B8288)</f>
        <v/>
      </c>
      <c r="O8288">
        <f>IF(L8288="", "Pending", IF(N8288&lt;=30, "Met", "Breached"))</f>
        <v/>
      </c>
      <c r="P8288" s="8" t="n"/>
      <c r="Q8288" s="8" t="n"/>
      <c r="R8288" s="8" t="n"/>
      <c r="S8288" s="8" t="n"/>
      <c r="T8288" s="8" t="n"/>
      <c r="U8288" s="8" t="n"/>
      <c r="V8288" s="8" t="n"/>
      <c r="W8288" s="8" t="n"/>
      <c r="X8288" s="8" t="n"/>
      <c r="Y8288" s="8" t="n"/>
    </row>
    <row r="8289">
      <c r="A8289" s="8" t="n"/>
      <c r="B8289" s="8" t="n"/>
      <c r="C8289" s="8" t="n"/>
      <c r="D8289" s="8" t="n"/>
      <c r="E8289" s="8" t="n"/>
      <c r="F8289" s="8" t="n"/>
      <c r="G8289" s="8" t="n"/>
      <c r="H8289" s="8" t="n"/>
      <c r="I8289" s="8" t="n"/>
      <c r="J8289" s="8" t="n"/>
      <c r="K8289" s="8" t="n"/>
      <c r="L8289" s="8" t="n"/>
      <c r="M8289" s="9">
        <f>B8289+30</f>
        <v/>
      </c>
      <c r="N8289">
        <f>IF(L8289="", "", L8289-B8289)</f>
        <v/>
      </c>
      <c r="O8289">
        <f>IF(L8289="", "Pending", IF(N8289&lt;=30, "Met", "Breached"))</f>
        <v/>
      </c>
      <c r="P8289" s="8" t="n"/>
      <c r="Q8289" s="8" t="n"/>
      <c r="R8289" s="8" t="n"/>
      <c r="S8289" s="8" t="n"/>
      <c r="T8289" s="8" t="n"/>
      <c r="U8289" s="8" t="n"/>
      <c r="V8289" s="8" t="n"/>
      <c r="W8289" s="8" t="n"/>
      <c r="X8289" s="8" t="n"/>
      <c r="Y8289" s="8" t="n"/>
    </row>
    <row r="8290">
      <c r="A8290" s="8" t="n"/>
      <c r="B8290" s="8" t="n"/>
      <c r="C8290" s="8" t="n"/>
      <c r="D8290" s="8" t="n"/>
      <c r="E8290" s="8" t="n"/>
      <c r="F8290" s="8" t="n"/>
      <c r="G8290" s="8" t="n"/>
      <c r="H8290" s="8" t="n"/>
      <c r="I8290" s="8" t="n"/>
      <c r="J8290" s="8" t="n"/>
      <c r="K8290" s="8" t="n"/>
      <c r="L8290" s="8" t="n"/>
      <c r="M8290" s="9">
        <f>B8290+30</f>
        <v/>
      </c>
      <c r="N8290">
        <f>IF(L8290="", "", L8290-B8290)</f>
        <v/>
      </c>
      <c r="O8290">
        <f>IF(L8290="", "Pending", IF(N8290&lt;=30, "Met", "Breached"))</f>
        <v/>
      </c>
      <c r="P8290" s="8" t="n"/>
      <c r="Q8290" s="8" t="n"/>
      <c r="R8290" s="8" t="n"/>
      <c r="S8290" s="8" t="n"/>
      <c r="T8290" s="8" t="n"/>
      <c r="U8290" s="8" t="n"/>
      <c r="V8290" s="8" t="n"/>
      <c r="W8290" s="8" t="n"/>
      <c r="X8290" s="8" t="n"/>
      <c r="Y8290" s="8" t="n"/>
    </row>
    <row r="8291">
      <c r="A8291" s="8" t="n"/>
      <c r="B8291" s="8" t="n"/>
      <c r="C8291" s="8" t="n"/>
      <c r="D8291" s="8" t="n"/>
      <c r="E8291" s="8" t="n"/>
      <c r="F8291" s="8" t="n"/>
      <c r="G8291" s="8" t="n"/>
      <c r="H8291" s="8" t="n"/>
      <c r="I8291" s="8" t="n"/>
      <c r="J8291" s="8" t="n"/>
      <c r="K8291" s="8" t="n"/>
      <c r="L8291" s="8" t="n"/>
      <c r="M8291" s="9">
        <f>B8291+30</f>
        <v/>
      </c>
      <c r="N8291">
        <f>IF(L8291="", "", L8291-B8291)</f>
        <v/>
      </c>
      <c r="O8291">
        <f>IF(L8291="", "Pending", IF(N8291&lt;=30, "Met", "Breached"))</f>
        <v/>
      </c>
      <c r="P8291" s="8" t="n"/>
      <c r="Q8291" s="8" t="n"/>
      <c r="R8291" s="8" t="n"/>
      <c r="S8291" s="8" t="n"/>
      <c r="T8291" s="8" t="n"/>
      <c r="U8291" s="8" t="n"/>
      <c r="V8291" s="8" t="n"/>
      <c r="W8291" s="8" t="n"/>
      <c r="X8291" s="8" t="n"/>
      <c r="Y8291" s="8" t="n"/>
    </row>
    <row r="8292">
      <c r="A8292" s="8" t="n"/>
      <c r="B8292" s="8" t="n"/>
      <c r="C8292" s="8" t="n"/>
      <c r="D8292" s="8" t="n"/>
      <c r="E8292" s="8" t="n"/>
      <c r="F8292" s="8" t="n"/>
      <c r="G8292" s="8" t="n"/>
      <c r="H8292" s="8" t="n"/>
      <c r="I8292" s="8" t="n"/>
      <c r="J8292" s="8" t="n"/>
      <c r="K8292" s="8" t="n"/>
      <c r="L8292" s="8" t="n"/>
      <c r="M8292" s="9">
        <f>B8292+30</f>
        <v/>
      </c>
      <c r="N8292">
        <f>IF(L8292="", "", L8292-B8292)</f>
        <v/>
      </c>
      <c r="O8292">
        <f>IF(L8292="", "Pending", IF(N8292&lt;=30, "Met", "Breached"))</f>
        <v/>
      </c>
      <c r="P8292" s="8" t="n"/>
      <c r="Q8292" s="8" t="n"/>
      <c r="R8292" s="8" t="n"/>
      <c r="S8292" s="8" t="n"/>
      <c r="T8292" s="8" t="n"/>
      <c r="U8292" s="8" t="n"/>
      <c r="V8292" s="8" t="n"/>
      <c r="W8292" s="8" t="n"/>
      <c r="X8292" s="8" t="n"/>
      <c r="Y8292" s="8" t="n"/>
    </row>
    <row r="8293">
      <c r="A8293" s="8" t="n"/>
      <c r="B8293" s="8" t="n"/>
      <c r="C8293" s="8" t="n"/>
      <c r="D8293" s="8" t="n"/>
      <c r="E8293" s="8" t="n"/>
      <c r="F8293" s="8" t="n"/>
      <c r="G8293" s="8" t="n"/>
      <c r="H8293" s="8" t="n"/>
      <c r="I8293" s="8" t="n"/>
      <c r="J8293" s="8" t="n"/>
      <c r="K8293" s="8" t="n"/>
      <c r="L8293" s="8" t="n"/>
      <c r="M8293" s="9">
        <f>B8293+30</f>
        <v/>
      </c>
      <c r="N8293">
        <f>IF(L8293="", "", L8293-B8293)</f>
        <v/>
      </c>
      <c r="O8293">
        <f>IF(L8293="", "Pending", IF(N8293&lt;=30, "Met", "Breached"))</f>
        <v/>
      </c>
      <c r="P8293" s="8" t="n"/>
      <c r="Q8293" s="8" t="n"/>
      <c r="R8293" s="8" t="n"/>
      <c r="S8293" s="8" t="n"/>
      <c r="T8293" s="8" t="n"/>
      <c r="U8293" s="8" t="n"/>
      <c r="V8293" s="8" t="n"/>
      <c r="W8293" s="8" t="n"/>
      <c r="X8293" s="8" t="n"/>
      <c r="Y8293" s="8" t="n"/>
    </row>
    <row r="8294">
      <c r="A8294" s="8" t="n"/>
      <c r="B8294" s="8" t="n"/>
      <c r="C8294" s="8" t="n"/>
      <c r="D8294" s="8" t="n"/>
      <c r="E8294" s="8" t="n"/>
      <c r="F8294" s="8" t="n"/>
      <c r="G8294" s="8" t="n"/>
      <c r="H8294" s="8" t="n"/>
      <c r="I8294" s="8" t="n"/>
      <c r="J8294" s="8" t="n"/>
      <c r="K8294" s="8" t="n"/>
      <c r="L8294" s="8" t="n"/>
      <c r="M8294" s="9">
        <f>B8294+30</f>
        <v/>
      </c>
      <c r="N8294">
        <f>IF(L8294="", "", L8294-B8294)</f>
        <v/>
      </c>
      <c r="O8294">
        <f>IF(L8294="", "Pending", IF(N8294&lt;=30, "Met", "Breached"))</f>
        <v/>
      </c>
      <c r="P8294" s="8" t="n"/>
      <c r="Q8294" s="8" t="n"/>
      <c r="R8294" s="8" t="n"/>
      <c r="S8294" s="8" t="n"/>
      <c r="T8294" s="8" t="n"/>
      <c r="U8294" s="8" t="n"/>
      <c r="V8294" s="8" t="n"/>
      <c r="W8294" s="8" t="n"/>
      <c r="X8294" s="8" t="n"/>
      <c r="Y8294" s="8" t="n"/>
    </row>
    <row r="8295">
      <c r="A8295" s="8" t="n"/>
      <c r="B8295" s="8" t="n"/>
      <c r="C8295" s="8" t="n"/>
      <c r="D8295" s="8" t="n"/>
      <c r="E8295" s="8" t="n"/>
      <c r="F8295" s="8" t="n"/>
      <c r="G8295" s="8" t="n"/>
      <c r="H8295" s="8" t="n"/>
      <c r="I8295" s="8" t="n"/>
      <c r="J8295" s="8" t="n"/>
      <c r="K8295" s="8" t="n"/>
      <c r="L8295" s="8" t="n"/>
      <c r="M8295" s="9">
        <f>B8295+30</f>
        <v/>
      </c>
      <c r="N8295">
        <f>IF(L8295="", "", L8295-B8295)</f>
        <v/>
      </c>
      <c r="O8295">
        <f>IF(L8295="", "Pending", IF(N8295&lt;=30, "Met", "Breached"))</f>
        <v/>
      </c>
      <c r="P8295" s="8" t="n"/>
      <c r="Q8295" s="8" t="n"/>
      <c r="R8295" s="8" t="n"/>
      <c r="S8295" s="8" t="n"/>
      <c r="T8295" s="8" t="n"/>
      <c r="U8295" s="8" t="n"/>
      <c r="V8295" s="8" t="n"/>
      <c r="W8295" s="8" t="n"/>
      <c r="X8295" s="8" t="n"/>
      <c r="Y8295" s="8" t="n"/>
    </row>
    <row r="8296">
      <c r="A8296" s="8" t="n"/>
      <c r="B8296" s="8" t="n"/>
      <c r="C8296" s="8" t="n"/>
      <c r="D8296" s="8" t="n"/>
      <c r="E8296" s="8" t="n"/>
      <c r="F8296" s="8" t="n"/>
      <c r="G8296" s="8" t="n"/>
      <c r="H8296" s="8" t="n"/>
      <c r="I8296" s="8" t="n"/>
      <c r="J8296" s="8" t="n"/>
      <c r="K8296" s="8" t="n"/>
      <c r="L8296" s="8" t="n"/>
      <c r="M8296" s="9">
        <f>B8296+30</f>
        <v/>
      </c>
      <c r="N8296">
        <f>IF(L8296="", "", L8296-B8296)</f>
        <v/>
      </c>
      <c r="O8296">
        <f>IF(L8296="", "Pending", IF(N8296&lt;=30, "Met", "Breached"))</f>
        <v/>
      </c>
      <c r="P8296" s="8" t="n"/>
      <c r="Q8296" s="8" t="n"/>
      <c r="R8296" s="8" t="n"/>
      <c r="S8296" s="8" t="n"/>
      <c r="T8296" s="8" t="n"/>
      <c r="U8296" s="8" t="n"/>
      <c r="V8296" s="8" t="n"/>
      <c r="W8296" s="8" t="n"/>
      <c r="X8296" s="8" t="n"/>
      <c r="Y8296" s="8" t="n"/>
    </row>
    <row r="8297">
      <c r="A8297" s="8" t="n"/>
      <c r="B8297" s="8" t="n"/>
      <c r="C8297" s="8" t="n"/>
      <c r="D8297" s="8" t="n"/>
      <c r="E8297" s="8" t="n"/>
      <c r="F8297" s="8" t="n"/>
      <c r="G8297" s="8" t="n"/>
      <c r="H8297" s="8" t="n"/>
      <c r="I8297" s="8" t="n"/>
      <c r="J8297" s="8" t="n"/>
      <c r="K8297" s="8" t="n"/>
      <c r="L8297" s="8" t="n"/>
      <c r="M8297" s="9">
        <f>B8297+30</f>
        <v/>
      </c>
      <c r="N8297">
        <f>IF(L8297="", "", L8297-B8297)</f>
        <v/>
      </c>
      <c r="O8297">
        <f>IF(L8297="", "Pending", IF(N8297&lt;=30, "Met", "Breached"))</f>
        <v/>
      </c>
      <c r="P8297" s="8" t="n"/>
      <c r="Q8297" s="8" t="n"/>
      <c r="R8297" s="8" t="n"/>
      <c r="S8297" s="8" t="n"/>
      <c r="T8297" s="8" t="n"/>
      <c r="U8297" s="8" t="n"/>
      <c r="V8297" s="8" t="n"/>
      <c r="W8297" s="8" t="n"/>
      <c r="X8297" s="8" t="n"/>
      <c r="Y8297" s="8" t="n"/>
    </row>
    <row r="8298">
      <c r="A8298" s="8" t="n"/>
      <c r="B8298" s="8" t="n"/>
      <c r="C8298" s="8" t="n"/>
      <c r="D8298" s="8" t="n"/>
      <c r="E8298" s="8" t="n"/>
      <c r="F8298" s="8" t="n"/>
      <c r="G8298" s="8" t="n"/>
      <c r="H8298" s="8" t="n"/>
      <c r="I8298" s="8" t="n"/>
      <c r="J8298" s="8" t="n"/>
      <c r="K8298" s="8" t="n"/>
      <c r="L8298" s="8" t="n"/>
      <c r="M8298" s="9">
        <f>B8298+30</f>
        <v/>
      </c>
      <c r="N8298">
        <f>IF(L8298="", "", L8298-B8298)</f>
        <v/>
      </c>
      <c r="O8298">
        <f>IF(L8298="", "Pending", IF(N8298&lt;=30, "Met", "Breached"))</f>
        <v/>
      </c>
      <c r="P8298" s="8" t="n"/>
      <c r="Q8298" s="8" t="n"/>
      <c r="R8298" s="8" t="n"/>
      <c r="S8298" s="8" t="n"/>
      <c r="T8298" s="8" t="n"/>
      <c r="U8298" s="8" t="n"/>
      <c r="V8298" s="8" t="n"/>
      <c r="W8298" s="8" t="n"/>
      <c r="X8298" s="8" t="n"/>
      <c r="Y8298" s="8" t="n"/>
    </row>
    <row r="8299">
      <c r="A8299" s="8" t="n"/>
      <c r="B8299" s="8" t="n"/>
      <c r="C8299" s="8" t="n"/>
      <c r="D8299" s="8" t="n"/>
      <c r="E8299" s="8" t="n"/>
      <c r="F8299" s="8" t="n"/>
      <c r="G8299" s="8" t="n"/>
      <c r="H8299" s="8" t="n"/>
      <c r="I8299" s="8" t="n"/>
      <c r="J8299" s="8" t="n"/>
      <c r="K8299" s="8" t="n"/>
      <c r="L8299" s="8" t="n"/>
      <c r="M8299" s="9">
        <f>B8299+30</f>
        <v/>
      </c>
      <c r="N8299">
        <f>IF(L8299="", "", L8299-B8299)</f>
        <v/>
      </c>
      <c r="O8299">
        <f>IF(L8299="", "Pending", IF(N8299&lt;=30, "Met", "Breached"))</f>
        <v/>
      </c>
      <c r="P8299" s="8" t="n"/>
      <c r="Q8299" s="8" t="n"/>
      <c r="R8299" s="8" t="n"/>
      <c r="S8299" s="8" t="n"/>
      <c r="T8299" s="8" t="n"/>
      <c r="U8299" s="8" t="n"/>
      <c r="V8299" s="8" t="n"/>
      <c r="W8299" s="8" t="n"/>
      <c r="X8299" s="8" t="n"/>
      <c r="Y8299" s="8" t="n"/>
    </row>
    <row r="8300">
      <c r="A8300" s="8" t="n"/>
      <c r="B8300" s="8" t="n"/>
      <c r="C8300" s="8" t="n"/>
      <c r="D8300" s="8" t="n"/>
      <c r="E8300" s="8" t="n"/>
      <c r="F8300" s="8" t="n"/>
      <c r="G8300" s="8" t="n"/>
      <c r="H8300" s="8" t="n"/>
      <c r="I8300" s="8" t="n"/>
      <c r="J8300" s="8" t="n"/>
      <c r="K8300" s="8" t="n"/>
      <c r="L8300" s="8" t="n"/>
      <c r="M8300" s="9">
        <f>B8300+30</f>
        <v/>
      </c>
      <c r="N8300">
        <f>IF(L8300="", "", L8300-B8300)</f>
        <v/>
      </c>
      <c r="O8300">
        <f>IF(L8300="", "Pending", IF(N8300&lt;=30, "Met", "Breached"))</f>
        <v/>
      </c>
      <c r="P8300" s="8" t="n"/>
      <c r="Q8300" s="8" t="n"/>
      <c r="R8300" s="8" t="n"/>
      <c r="S8300" s="8" t="n"/>
      <c r="T8300" s="8" t="n"/>
      <c r="U8300" s="8" t="n"/>
      <c r="V8300" s="8" t="n"/>
      <c r="W8300" s="8" t="n"/>
      <c r="X8300" s="8" t="n"/>
      <c r="Y8300" s="8" t="n"/>
    </row>
    <row r="8301">
      <c r="A8301" s="8" t="n"/>
      <c r="B8301" s="8" t="n"/>
      <c r="C8301" s="8" t="n"/>
      <c r="D8301" s="8" t="n"/>
      <c r="E8301" s="8" t="n"/>
      <c r="F8301" s="8" t="n"/>
      <c r="G8301" s="8" t="n"/>
      <c r="H8301" s="8" t="n"/>
      <c r="I8301" s="8" t="n"/>
      <c r="J8301" s="8" t="n"/>
      <c r="K8301" s="8" t="n"/>
      <c r="L8301" s="8" t="n"/>
      <c r="M8301" s="9">
        <f>B8301+30</f>
        <v/>
      </c>
      <c r="N8301">
        <f>IF(L8301="", "", L8301-B8301)</f>
        <v/>
      </c>
      <c r="O8301">
        <f>IF(L8301="", "Pending", IF(N8301&lt;=30, "Met", "Breached"))</f>
        <v/>
      </c>
      <c r="P8301" s="8" t="n"/>
      <c r="Q8301" s="8" t="n"/>
      <c r="R8301" s="8" t="n"/>
      <c r="S8301" s="8" t="n"/>
      <c r="T8301" s="8" t="n"/>
      <c r="U8301" s="8" t="n"/>
      <c r="V8301" s="8" t="n"/>
      <c r="W8301" s="8" t="n"/>
      <c r="X8301" s="8" t="n"/>
      <c r="Y8301" s="8" t="n"/>
    </row>
    <row r="8302">
      <c r="A8302" s="8" t="n"/>
      <c r="B8302" s="8" t="n"/>
      <c r="C8302" s="8" t="n"/>
      <c r="D8302" s="8" t="n"/>
      <c r="E8302" s="8" t="n"/>
      <c r="F8302" s="8" t="n"/>
      <c r="G8302" s="8" t="n"/>
      <c r="H8302" s="8" t="n"/>
      <c r="I8302" s="8" t="n"/>
      <c r="J8302" s="8" t="n"/>
      <c r="K8302" s="8" t="n"/>
      <c r="L8302" s="8" t="n"/>
      <c r="M8302" s="9">
        <f>B8302+30</f>
        <v/>
      </c>
      <c r="N8302">
        <f>IF(L8302="", "", L8302-B8302)</f>
        <v/>
      </c>
      <c r="O8302">
        <f>IF(L8302="", "Pending", IF(N8302&lt;=30, "Met", "Breached"))</f>
        <v/>
      </c>
      <c r="P8302" s="8" t="n"/>
      <c r="Q8302" s="8" t="n"/>
      <c r="R8302" s="8" t="n"/>
      <c r="S8302" s="8" t="n"/>
      <c r="T8302" s="8" t="n"/>
      <c r="U8302" s="8" t="n"/>
      <c r="V8302" s="8" t="n"/>
      <c r="W8302" s="8" t="n"/>
      <c r="X8302" s="8" t="n"/>
      <c r="Y8302" s="8" t="n"/>
    </row>
    <row r="8303">
      <c r="A8303" s="8" t="n"/>
      <c r="B8303" s="8" t="n"/>
      <c r="C8303" s="8" t="n"/>
      <c r="D8303" s="8" t="n"/>
      <c r="E8303" s="8" t="n"/>
      <c r="F8303" s="8" t="n"/>
      <c r="G8303" s="8" t="n"/>
      <c r="H8303" s="8" t="n"/>
      <c r="I8303" s="8" t="n"/>
      <c r="J8303" s="8" t="n"/>
      <c r="K8303" s="8" t="n"/>
      <c r="L8303" s="8" t="n"/>
      <c r="M8303" s="9">
        <f>B8303+30</f>
        <v/>
      </c>
      <c r="N8303">
        <f>IF(L8303="", "", L8303-B8303)</f>
        <v/>
      </c>
      <c r="O8303">
        <f>IF(L8303="", "Pending", IF(N8303&lt;=30, "Met", "Breached"))</f>
        <v/>
      </c>
      <c r="P8303" s="8" t="n"/>
      <c r="Q8303" s="8" t="n"/>
      <c r="R8303" s="8" t="n"/>
      <c r="S8303" s="8" t="n"/>
      <c r="T8303" s="8" t="n"/>
      <c r="U8303" s="8" t="n"/>
      <c r="V8303" s="8" t="n"/>
      <c r="W8303" s="8" t="n"/>
      <c r="X8303" s="8" t="n"/>
      <c r="Y8303" s="8" t="n"/>
    </row>
    <row r="8304">
      <c r="A8304" s="8" t="n"/>
      <c r="B8304" s="8" t="n"/>
      <c r="C8304" s="8" t="n"/>
      <c r="D8304" s="8" t="n"/>
      <c r="E8304" s="8" t="n"/>
      <c r="F8304" s="8" t="n"/>
      <c r="G8304" s="8" t="n"/>
      <c r="H8304" s="8" t="n"/>
      <c r="I8304" s="8" t="n"/>
      <c r="J8304" s="8" t="n"/>
      <c r="K8304" s="8" t="n"/>
      <c r="L8304" s="8" t="n"/>
      <c r="M8304" s="9">
        <f>B8304+30</f>
        <v/>
      </c>
      <c r="N8304">
        <f>IF(L8304="", "", L8304-B8304)</f>
        <v/>
      </c>
      <c r="O8304">
        <f>IF(L8304="", "Pending", IF(N8304&lt;=30, "Met", "Breached"))</f>
        <v/>
      </c>
      <c r="P8304" s="8" t="n"/>
      <c r="Q8304" s="8" t="n"/>
      <c r="R8304" s="8" t="n"/>
      <c r="S8304" s="8" t="n"/>
      <c r="T8304" s="8" t="n"/>
      <c r="U8304" s="8" t="n"/>
      <c r="V8304" s="8" t="n"/>
      <c r="W8304" s="8" t="n"/>
      <c r="X8304" s="8" t="n"/>
      <c r="Y8304" s="8" t="n"/>
    </row>
    <row r="8305">
      <c r="A8305" s="8" t="n"/>
      <c r="B8305" s="8" t="n"/>
      <c r="C8305" s="8" t="n"/>
      <c r="D8305" s="8" t="n"/>
      <c r="E8305" s="8" t="n"/>
      <c r="F8305" s="8" t="n"/>
      <c r="G8305" s="8" t="n"/>
      <c r="H8305" s="8" t="n"/>
      <c r="I8305" s="8" t="n"/>
      <c r="J8305" s="8" t="n"/>
      <c r="K8305" s="8" t="n"/>
      <c r="L8305" s="8" t="n"/>
      <c r="M8305" s="9">
        <f>B8305+30</f>
        <v/>
      </c>
      <c r="N8305">
        <f>IF(L8305="", "", L8305-B8305)</f>
        <v/>
      </c>
      <c r="O8305">
        <f>IF(L8305="", "Pending", IF(N8305&lt;=30, "Met", "Breached"))</f>
        <v/>
      </c>
      <c r="P8305" s="8" t="n"/>
      <c r="Q8305" s="8" t="n"/>
      <c r="R8305" s="8" t="n"/>
      <c r="S8305" s="8" t="n"/>
      <c r="T8305" s="8" t="n"/>
      <c r="U8305" s="8" t="n"/>
      <c r="V8305" s="8" t="n"/>
      <c r="W8305" s="8" t="n"/>
      <c r="X8305" s="8" t="n"/>
      <c r="Y8305" s="8" t="n"/>
    </row>
    <row r="8306">
      <c r="A8306" s="8" t="n"/>
      <c r="B8306" s="8" t="n"/>
      <c r="C8306" s="8" t="n"/>
      <c r="D8306" s="8" t="n"/>
      <c r="E8306" s="8" t="n"/>
      <c r="F8306" s="8" t="n"/>
      <c r="G8306" s="8" t="n"/>
      <c r="H8306" s="8" t="n"/>
      <c r="I8306" s="8" t="n"/>
      <c r="J8306" s="8" t="n"/>
      <c r="K8306" s="8" t="n"/>
      <c r="L8306" s="8" t="n"/>
      <c r="M8306" s="9">
        <f>B8306+30</f>
        <v/>
      </c>
      <c r="N8306">
        <f>IF(L8306="", "", L8306-B8306)</f>
        <v/>
      </c>
      <c r="O8306">
        <f>IF(L8306="", "Pending", IF(N8306&lt;=30, "Met", "Breached"))</f>
        <v/>
      </c>
      <c r="P8306" s="8" t="n"/>
      <c r="Q8306" s="8" t="n"/>
      <c r="R8306" s="8" t="n"/>
      <c r="S8306" s="8" t="n"/>
      <c r="T8306" s="8" t="n"/>
      <c r="U8306" s="8" t="n"/>
      <c r="V8306" s="8" t="n"/>
      <c r="W8306" s="8" t="n"/>
      <c r="X8306" s="8" t="n"/>
      <c r="Y8306" s="8" t="n"/>
    </row>
    <row r="8307">
      <c r="A8307" s="8" t="n"/>
      <c r="B8307" s="8" t="n"/>
      <c r="C8307" s="8" t="n"/>
      <c r="D8307" s="8" t="n"/>
      <c r="E8307" s="8" t="n"/>
      <c r="F8307" s="8" t="n"/>
      <c r="G8307" s="8" t="n"/>
      <c r="H8307" s="8" t="n"/>
      <c r="I8307" s="8" t="n"/>
      <c r="J8307" s="8" t="n"/>
      <c r="K8307" s="8" t="n"/>
      <c r="L8307" s="8" t="n"/>
      <c r="M8307" s="9">
        <f>B8307+30</f>
        <v/>
      </c>
      <c r="N8307">
        <f>IF(L8307="", "", L8307-B8307)</f>
        <v/>
      </c>
      <c r="O8307">
        <f>IF(L8307="", "Pending", IF(N8307&lt;=30, "Met", "Breached"))</f>
        <v/>
      </c>
      <c r="P8307" s="8" t="n"/>
      <c r="Q8307" s="8" t="n"/>
      <c r="R8307" s="8" t="n"/>
      <c r="S8307" s="8" t="n"/>
      <c r="T8307" s="8" t="n"/>
      <c r="U8307" s="8" t="n"/>
      <c r="V8307" s="8" t="n"/>
      <c r="W8307" s="8" t="n"/>
      <c r="X8307" s="8" t="n"/>
      <c r="Y8307" s="8" t="n"/>
    </row>
    <row r="8308">
      <c r="A8308" s="8" t="n"/>
      <c r="B8308" s="8" t="n"/>
      <c r="C8308" s="8" t="n"/>
      <c r="D8308" s="8" t="n"/>
      <c r="E8308" s="8" t="n"/>
      <c r="F8308" s="8" t="n"/>
      <c r="G8308" s="8" t="n"/>
      <c r="H8308" s="8" t="n"/>
      <c r="I8308" s="8" t="n"/>
      <c r="J8308" s="8" t="n"/>
      <c r="K8308" s="8" t="n"/>
      <c r="L8308" s="8" t="n"/>
      <c r="M8308" s="9">
        <f>B8308+30</f>
        <v/>
      </c>
      <c r="N8308">
        <f>IF(L8308="", "", L8308-B8308)</f>
        <v/>
      </c>
      <c r="O8308">
        <f>IF(L8308="", "Pending", IF(N8308&lt;=30, "Met", "Breached"))</f>
        <v/>
      </c>
      <c r="P8308" s="8" t="n"/>
      <c r="Q8308" s="8" t="n"/>
      <c r="R8308" s="8" t="n"/>
      <c r="S8308" s="8" t="n"/>
      <c r="T8308" s="8" t="n"/>
      <c r="U8308" s="8" t="n"/>
      <c r="V8308" s="8" t="n"/>
      <c r="W8308" s="8" t="n"/>
      <c r="X8308" s="8" t="n"/>
      <c r="Y8308" s="8" t="n"/>
    </row>
    <row r="8309">
      <c r="A8309" s="8" t="n"/>
      <c r="B8309" s="8" t="n"/>
      <c r="C8309" s="8" t="n"/>
      <c r="D8309" s="8" t="n"/>
      <c r="E8309" s="8" t="n"/>
      <c r="F8309" s="8" t="n"/>
      <c r="G8309" s="8" t="n"/>
      <c r="H8309" s="8" t="n"/>
      <c r="I8309" s="8" t="n"/>
      <c r="J8309" s="8" t="n"/>
      <c r="K8309" s="8" t="n"/>
      <c r="L8309" s="8" t="n"/>
      <c r="M8309" s="9">
        <f>B8309+30</f>
        <v/>
      </c>
      <c r="N8309">
        <f>IF(L8309="", "", L8309-B8309)</f>
        <v/>
      </c>
      <c r="O8309">
        <f>IF(L8309="", "Pending", IF(N8309&lt;=30, "Met", "Breached"))</f>
        <v/>
      </c>
      <c r="P8309" s="8" t="n"/>
      <c r="Q8309" s="8" t="n"/>
      <c r="R8309" s="8" t="n"/>
      <c r="S8309" s="8" t="n"/>
      <c r="T8309" s="8" t="n"/>
      <c r="U8309" s="8" t="n"/>
      <c r="V8309" s="8" t="n"/>
      <c r="W8309" s="8" t="n"/>
      <c r="X8309" s="8" t="n"/>
      <c r="Y8309" s="8" t="n"/>
    </row>
    <row r="8310">
      <c r="A8310" s="8" t="n"/>
      <c r="B8310" s="8" t="n"/>
      <c r="C8310" s="8" t="n"/>
      <c r="D8310" s="8" t="n"/>
      <c r="E8310" s="8" t="n"/>
      <c r="F8310" s="8" t="n"/>
      <c r="G8310" s="8" t="n"/>
      <c r="H8310" s="8" t="n"/>
      <c r="I8310" s="8" t="n"/>
      <c r="J8310" s="8" t="n"/>
      <c r="K8310" s="8" t="n"/>
      <c r="L8310" s="8" t="n"/>
      <c r="M8310" s="9">
        <f>B8310+30</f>
        <v/>
      </c>
      <c r="N8310">
        <f>IF(L8310="", "", L8310-B8310)</f>
        <v/>
      </c>
      <c r="O8310">
        <f>IF(L8310="", "Pending", IF(N8310&lt;=30, "Met", "Breached"))</f>
        <v/>
      </c>
      <c r="P8310" s="8" t="n"/>
      <c r="Q8310" s="8" t="n"/>
      <c r="R8310" s="8" t="n"/>
      <c r="S8310" s="8" t="n"/>
      <c r="T8310" s="8" t="n"/>
      <c r="U8310" s="8" t="n"/>
      <c r="V8310" s="8" t="n"/>
      <c r="W8310" s="8" t="n"/>
      <c r="X8310" s="8" t="n"/>
      <c r="Y8310" s="8" t="n"/>
    </row>
    <row r="8311">
      <c r="A8311" s="8" t="n"/>
      <c r="B8311" s="8" t="n"/>
      <c r="C8311" s="8" t="n"/>
      <c r="D8311" s="8" t="n"/>
      <c r="E8311" s="8" t="n"/>
      <c r="F8311" s="8" t="n"/>
      <c r="G8311" s="8" t="n"/>
      <c r="H8311" s="8" t="n"/>
      <c r="I8311" s="8" t="n"/>
      <c r="J8311" s="8" t="n"/>
      <c r="K8311" s="8" t="n"/>
      <c r="L8311" s="8" t="n"/>
      <c r="M8311" s="9">
        <f>B8311+30</f>
        <v/>
      </c>
      <c r="N8311">
        <f>IF(L8311="", "", L8311-B8311)</f>
        <v/>
      </c>
      <c r="O8311">
        <f>IF(L8311="", "Pending", IF(N8311&lt;=30, "Met", "Breached"))</f>
        <v/>
      </c>
      <c r="P8311" s="8" t="n"/>
      <c r="Q8311" s="8" t="n"/>
      <c r="R8311" s="8" t="n"/>
      <c r="S8311" s="8" t="n"/>
      <c r="T8311" s="8" t="n"/>
      <c r="U8311" s="8" t="n"/>
      <c r="V8311" s="8" t="n"/>
      <c r="W8311" s="8" t="n"/>
      <c r="X8311" s="8" t="n"/>
      <c r="Y8311" s="8" t="n"/>
    </row>
    <row r="8312">
      <c r="A8312" s="8" t="n"/>
      <c r="B8312" s="8" t="n"/>
      <c r="C8312" s="8" t="n"/>
      <c r="D8312" s="8" t="n"/>
      <c r="E8312" s="8" t="n"/>
      <c r="F8312" s="8" t="n"/>
      <c r="G8312" s="8" t="n"/>
      <c r="H8312" s="8" t="n"/>
      <c r="I8312" s="8" t="n"/>
      <c r="J8312" s="8" t="n"/>
      <c r="K8312" s="8" t="n"/>
      <c r="L8312" s="8" t="n"/>
      <c r="M8312" s="9">
        <f>B8312+30</f>
        <v/>
      </c>
      <c r="N8312">
        <f>IF(L8312="", "", L8312-B8312)</f>
        <v/>
      </c>
      <c r="O8312">
        <f>IF(L8312="", "Pending", IF(N8312&lt;=30, "Met", "Breached"))</f>
        <v/>
      </c>
      <c r="P8312" s="8" t="n"/>
      <c r="Q8312" s="8" t="n"/>
      <c r="R8312" s="8" t="n"/>
      <c r="S8312" s="8" t="n"/>
      <c r="T8312" s="8" t="n"/>
      <c r="U8312" s="8" t="n"/>
      <c r="V8312" s="8" t="n"/>
      <c r="W8312" s="8" t="n"/>
      <c r="X8312" s="8" t="n"/>
      <c r="Y8312" s="8" t="n"/>
    </row>
    <row r="8313">
      <c r="A8313" s="8" t="n"/>
      <c r="B8313" s="8" t="n"/>
      <c r="C8313" s="8" t="n"/>
      <c r="D8313" s="8" t="n"/>
      <c r="E8313" s="8" t="n"/>
      <c r="F8313" s="8" t="n"/>
      <c r="G8313" s="8" t="n"/>
      <c r="H8313" s="8" t="n"/>
      <c r="I8313" s="8" t="n"/>
      <c r="J8313" s="8" t="n"/>
      <c r="K8313" s="8" t="n"/>
      <c r="L8313" s="8" t="n"/>
      <c r="M8313" s="9">
        <f>B8313+30</f>
        <v/>
      </c>
      <c r="N8313">
        <f>IF(L8313="", "", L8313-B8313)</f>
        <v/>
      </c>
      <c r="O8313">
        <f>IF(L8313="", "Pending", IF(N8313&lt;=30, "Met", "Breached"))</f>
        <v/>
      </c>
      <c r="P8313" s="8" t="n"/>
      <c r="Q8313" s="8" t="n"/>
      <c r="R8313" s="8" t="n"/>
      <c r="S8313" s="8" t="n"/>
      <c r="T8313" s="8" t="n"/>
      <c r="U8313" s="8" t="n"/>
      <c r="V8313" s="8" t="n"/>
      <c r="W8313" s="8" t="n"/>
      <c r="X8313" s="8" t="n"/>
      <c r="Y8313" s="8" t="n"/>
    </row>
    <row r="8314">
      <c r="A8314" s="8" t="n"/>
      <c r="B8314" s="8" t="n"/>
      <c r="C8314" s="8" t="n"/>
      <c r="D8314" s="8" t="n"/>
      <c r="E8314" s="8" t="n"/>
      <c r="F8314" s="8" t="n"/>
      <c r="G8314" s="8" t="n"/>
      <c r="H8314" s="8" t="n"/>
      <c r="I8314" s="8" t="n"/>
      <c r="J8314" s="8" t="n"/>
      <c r="K8314" s="8" t="n"/>
      <c r="L8314" s="8" t="n"/>
      <c r="M8314" s="9">
        <f>B8314+30</f>
        <v/>
      </c>
      <c r="N8314">
        <f>IF(L8314="", "", L8314-B8314)</f>
        <v/>
      </c>
      <c r="O8314">
        <f>IF(L8314="", "Pending", IF(N8314&lt;=30, "Met", "Breached"))</f>
        <v/>
      </c>
      <c r="P8314" s="8" t="n"/>
      <c r="Q8314" s="8" t="n"/>
      <c r="R8314" s="8" t="n"/>
      <c r="S8314" s="8" t="n"/>
      <c r="T8314" s="8" t="n"/>
      <c r="U8314" s="8" t="n"/>
      <c r="V8314" s="8" t="n"/>
      <c r="W8314" s="8" t="n"/>
      <c r="X8314" s="8" t="n"/>
      <c r="Y8314" s="8" t="n"/>
    </row>
    <row r="8315">
      <c r="A8315" s="8" t="n"/>
      <c r="B8315" s="8" t="n"/>
      <c r="C8315" s="8" t="n"/>
      <c r="D8315" s="8" t="n"/>
      <c r="E8315" s="8" t="n"/>
      <c r="F8315" s="8" t="n"/>
      <c r="G8315" s="8" t="n"/>
      <c r="H8315" s="8" t="n"/>
      <c r="I8315" s="8" t="n"/>
      <c r="J8315" s="8" t="n"/>
      <c r="K8315" s="8" t="n"/>
      <c r="L8315" s="8" t="n"/>
      <c r="M8315" s="9">
        <f>B8315+30</f>
        <v/>
      </c>
      <c r="N8315">
        <f>IF(L8315="", "", L8315-B8315)</f>
        <v/>
      </c>
      <c r="O8315">
        <f>IF(L8315="", "Pending", IF(N8315&lt;=30, "Met", "Breached"))</f>
        <v/>
      </c>
      <c r="P8315" s="8" t="n"/>
      <c r="Q8315" s="8" t="n"/>
      <c r="R8315" s="8" t="n"/>
      <c r="S8315" s="8" t="n"/>
      <c r="T8315" s="8" t="n"/>
      <c r="U8315" s="8" t="n"/>
      <c r="V8315" s="8" t="n"/>
      <c r="W8315" s="8" t="n"/>
      <c r="X8315" s="8" t="n"/>
      <c r="Y8315" s="8" t="n"/>
    </row>
    <row r="8316">
      <c r="A8316" s="8" t="n"/>
      <c r="B8316" s="8" t="n"/>
      <c r="C8316" s="8" t="n"/>
      <c r="D8316" s="8" t="n"/>
      <c r="E8316" s="8" t="n"/>
      <c r="F8316" s="8" t="n"/>
      <c r="G8316" s="8" t="n"/>
      <c r="H8316" s="8" t="n"/>
      <c r="I8316" s="8" t="n"/>
      <c r="J8316" s="8" t="n"/>
      <c r="K8316" s="8" t="n"/>
      <c r="L8316" s="8" t="n"/>
      <c r="M8316" s="9">
        <f>B8316+30</f>
        <v/>
      </c>
      <c r="N8316">
        <f>IF(L8316="", "", L8316-B8316)</f>
        <v/>
      </c>
      <c r="O8316">
        <f>IF(L8316="", "Pending", IF(N8316&lt;=30, "Met", "Breached"))</f>
        <v/>
      </c>
      <c r="P8316" s="8" t="n"/>
      <c r="Q8316" s="8" t="n"/>
      <c r="R8316" s="8" t="n"/>
      <c r="S8316" s="8" t="n"/>
      <c r="T8316" s="8" t="n"/>
      <c r="U8316" s="8" t="n"/>
      <c r="V8316" s="8" t="n"/>
      <c r="W8316" s="8" t="n"/>
      <c r="X8316" s="8" t="n"/>
      <c r="Y8316" s="8" t="n"/>
    </row>
    <row r="8317">
      <c r="A8317" s="8" t="n"/>
      <c r="B8317" s="8" t="n"/>
      <c r="C8317" s="8" t="n"/>
      <c r="D8317" s="8" t="n"/>
      <c r="E8317" s="8" t="n"/>
      <c r="F8317" s="8" t="n"/>
      <c r="G8317" s="8" t="n"/>
      <c r="H8317" s="8" t="n"/>
      <c r="I8317" s="8" t="n"/>
      <c r="J8317" s="8" t="n"/>
      <c r="K8317" s="8" t="n"/>
      <c r="L8317" s="8" t="n"/>
      <c r="M8317" s="9">
        <f>B8317+30</f>
        <v/>
      </c>
      <c r="N8317">
        <f>IF(L8317="", "", L8317-B8317)</f>
        <v/>
      </c>
      <c r="O8317">
        <f>IF(L8317="", "Pending", IF(N8317&lt;=30, "Met", "Breached"))</f>
        <v/>
      </c>
      <c r="P8317" s="8" t="n"/>
      <c r="Q8317" s="8" t="n"/>
      <c r="R8317" s="8" t="n"/>
      <c r="S8317" s="8" t="n"/>
      <c r="T8317" s="8" t="n"/>
      <c r="U8317" s="8" t="n"/>
      <c r="V8317" s="8" t="n"/>
      <c r="W8317" s="8" t="n"/>
      <c r="X8317" s="8" t="n"/>
      <c r="Y8317" s="8" t="n"/>
    </row>
    <row r="8318">
      <c r="A8318" s="8" t="n"/>
      <c r="B8318" s="8" t="n"/>
      <c r="C8318" s="8" t="n"/>
      <c r="D8318" s="8" t="n"/>
      <c r="E8318" s="8" t="n"/>
      <c r="F8318" s="8" t="n"/>
      <c r="G8318" s="8" t="n"/>
      <c r="H8318" s="8" t="n"/>
      <c r="I8318" s="8" t="n"/>
      <c r="J8318" s="8" t="n"/>
      <c r="K8318" s="8" t="n"/>
      <c r="L8318" s="8" t="n"/>
      <c r="M8318" s="9">
        <f>B8318+30</f>
        <v/>
      </c>
      <c r="N8318">
        <f>IF(L8318="", "", L8318-B8318)</f>
        <v/>
      </c>
      <c r="O8318">
        <f>IF(L8318="", "Pending", IF(N8318&lt;=30, "Met", "Breached"))</f>
        <v/>
      </c>
      <c r="P8318" s="8" t="n"/>
      <c r="Q8318" s="8" t="n"/>
      <c r="R8318" s="8" t="n"/>
      <c r="S8318" s="8" t="n"/>
      <c r="T8318" s="8" t="n"/>
      <c r="U8318" s="8" t="n"/>
      <c r="V8318" s="8" t="n"/>
      <c r="W8318" s="8" t="n"/>
      <c r="X8318" s="8" t="n"/>
      <c r="Y8318" s="8" t="n"/>
    </row>
    <row r="8319">
      <c r="A8319" s="8" t="n"/>
      <c r="B8319" s="8" t="n"/>
      <c r="C8319" s="8" t="n"/>
      <c r="D8319" s="8" t="n"/>
      <c r="E8319" s="8" t="n"/>
      <c r="F8319" s="8" t="n"/>
      <c r="G8319" s="8" t="n"/>
      <c r="H8319" s="8" t="n"/>
      <c r="I8319" s="8" t="n"/>
      <c r="J8319" s="8" t="n"/>
      <c r="K8319" s="8" t="n"/>
      <c r="L8319" s="8" t="n"/>
      <c r="M8319" s="9">
        <f>B8319+30</f>
        <v/>
      </c>
      <c r="N8319">
        <f>IF(L8319="", "", L8319-B8319)</f>
        <v/>
      </c>
      <c r="O8319">
        <f>IF(L8319="", "Pending", IF(N8319&lt;=30, "Met", "Breached"))</f>
        <v/>
      </c>
      <c r="P8319" s="8" t="n"/>
      <c r="Q8319" s="8" t="n"/>
      <c r="R8319" s="8" t="n"/>
      <c r="S8319" s="8" t="n"/>
      <c r="T8319" s="8" t="n"/>
      <c r="U8319" s="8" t="n"/>
      <c r="V8319" s="8" t="n"/>
      <c r="W8319" s="8" t="n"/>
      <c r="X8319" s="8" t="n"/>
      <c r="Y8319" s="8" t="n"/>
    </row>
    <row r="8320">
      <c r="A8320" s="8" t="n"/>
      <c r="B8320" s="8" t="n"/>
      <c r="C8320" s="8" t="n"/>
      <c r="D8320" s="8" t="n"/>
      <c r="E8320" s="8" t="n"/>
      <c r="F8320" s="8" t="n"/>
      <c r="G8320" s="8" t="n"/>
      <c r="H8320" s="8" t="n"/>
      <c r="I8320" s="8" t="n"/>
      <c r="J8320" s="8" t="n"/>
      <c r="K8320" s="8" t="n"/>
      <c r="L8320" s="8" t="n"/>
      <c r="M8320" s="9">
        <f>B8320+30</f>
        <v/>
      </c>
      <c r="N8320">
        <f>IF(L8320="", "", L8320-B8320)</f>
        <v/>
      </c>
      <c r="O8320">
        <f>IF(L8320="", "Pending", IF(N8320&lt;=30, "Met", "Breached"))</f>
        <v/>
      </c>
      <c r="P8320" s="8" t="n"/>
      <c r="Q8320" s="8" t="n"/>
      <c r="R8320" s="8" t="n"/>
      <c r="S8320" s="8" t="n"/>
      <c r="T8320" s="8" t="n"/>
      <c r="U8320" s="8" t="n"/>
      <c r="V8320" s="8" t="n"/>
      <c r="W8320" s="8" t="n"/>
      <c r="X8320" s="8" t="n"/>
      <c r="Y8320" s="8" t="n"/>
    </row>
    <row r="8321">
      <c r="A8321" s="8" t="n"/>
      <c r="B8321" s="8" t="n"/>
      <c r="C8321" s="8" t="n"/>
      <c r="D8321" s="8" t="n"/>
      <c r="E8321" s="8" t="n"/>
      <c r="F8321" s="8" t="n"/>
      <c r="G8321" s="8" t="n"/>
      <c r="H8321" s="8" t="n"/>
      <c r="I8321" s="8" t="n"/>
      <c r="J8321" s="8" t="n"/>
      <c r="K8321" s="8" t="n"/>
      <c r="L8321" s="8" t="n"/>
      <c r="M8321" s="9">
        <f>B8321+30</f>
        <v/>
      </c>
      <c r="N8321">
        <f>IF(L8321="", "", L8321-B8321)</f>
        <v/>
      </c>
      <c r="O8321">
        <f>IF(L8321="", "Pending", IF(N8321&lt;=30, "Met", "Breached"))</f>
        <v/>
      </c>
      <c r="P8321" s="8" t="n"/>
      <c r="Q8321" s="8" t="n"/>
      <c r="R8321" s="8" t="n"/>
      <c r="S8321" s="8" t="n"/>
      <c r="T8321" s="8" t="n"/>
      <c r="U8321" s="8" t="n"/>
      <c r="V8321" s="8" t="n"/>
      <c r="W8321" s="8" t="n"/>
      <c r="X8321" s="8" t="n"/>
      <c r="Y8321" s="8" t="n"/>
    </row>
    <row r="8322">
      <c r="A8322" s="8" t="n"/>
      <c r="B8322" s="8" t="n"/>
      <c r="C8322" s="8" t="n"/>
      <c r="D8322" s="8" t="n"/>
      <c r="E8322" s="8" t="n"/>
      <c r="F8322" s="8" t="n"/>
      <c r="G8322" s="8" t="n"/>
      <c r="H8322" s="8" t="n"/>
      <c r="I8322" s="8" t="n"/>
      <c r="J8322" s="8" t="n"/>
      <c r="K8322" s="8" t="n"/>
      <c r="L8322" s="8" t="n"/>
      <c r="M8322" s="9">
        <f>B8322+30</f>
        <v/>
      </c>
      <c r="N8322">
        <f>IF(L8322="", "", L8322-B8322)</f>
        <v/>
      </c>
      <c r="O8322">
        <f>IF(L8322="", "Pending", IF(N8322&lt;=30, "Met", "Breached"))</f>
        <v/>
      </c>
      <c r="P8322" s="8" t="n"/>
      <c r="Q8322" s="8" t="n"/>
      <c r="R8322" s="8" t="n"/>
      <c r="S8322" s="8" t="n"/>
      <c r="T8322" s="8" t="n"/>
      <c r="U8322" s="8" t="n"/>
      <c r="V8322" s="8" t="n"/>
      <c r="W8322" s="8" t="n"/>
      <c r="X8322" s="8" t="n"/>
      <c r="Y8322" s="8" t="n"/>
    </row>
    <row r="8323">
      <c r="A8323" s="8" t="n"/>
      <c r="B8323" s="8" t="n"/>
      <c r="C8323" s="8" t="n"/>
      <c r="D8323" s="8" t="n"/>
      <c r="E8323" s="8" t="n"/>
      <c r="F8323" s="8" t="n"/>
      <c r="G8323" s="8" t="n"/>
      <c r="H8323" s="8" t="n"/>
      <c r="I8323" s="8" t="n"/>
      <c r="J8323" s="8" t="n"/>
      <c r="K8323" s="8" t="n"/>
      <c r="L8323" s="8" t="n"/>
      <c r="M8323" s="9">
        <f>B8323+30</f>
        <v/>
      </c>
      <c r="N8323">
        <f>IF(L8323="", "", L8323-B8323)</f>
        <v/>
      </c>
      <c r="O8323">
        <f>IF(L8323="", "Pending", IF(N8323&lt;=30, "Met", "Breached"))</f>
        <v/>
      </c>
      <c r="P8323" s="8" t="n"/>
      <c r="Q8323" s="8" t="n"/>
      <c r="R8323" s="8" t="n"/>
      <c r="S8323" s="8" t="n"/>
      <c r="T8323" s="8" t="n"/>
      <c r="U8323" s="8" t="n"/>
      <c r="V8323" s="8" t="n"/>
      <c r="W8323" s="8" t="n"/>
      <c r="X8323" s="8" t="n"/>
      <c r="Y8323" s="8" t="n"/>
    </row>
    <row r="8324">
      <c r="A8324" s="8" t="n"/>
      <c r="B8324" s="8" t="n"/>
      <c r="C8324" s="8" t="n"/>
      <c r="D8324" s="8" t="n"/>
      <c r="E8324" s="8" t="n"/>
      <c r="F8324" s="8" t="n"/>
      <c r="G8324" s="8" t="n"/>
      <c r="H8324" s="8" t="n"/>
      <c r="I8324" s="8" t="n"/>
      <c r="J8324" s="8" t="n"/>
      <c r="K8324" s="8" t="n"/>
      <c r="L8324" s="8" t="n"/>
      <c r="M8324" s="9">
        <f>B8324+30</f>
        <v/>
      </c>
      <c r="N8324">
        <f>IF(L8324="", "", L8324-B8324)</f>
        <v/>
      </c>
      <c r="O8324">
        <f>IF(L8324="", "Pending", IF(N8324&lt;=30, "Met", "Breached"))</f>
        <v/>
      </c>
      <c r="P8324" s="8" t="n"/>
      <c r="Q8324" s="8" t="n"/>
      <c r="R8324" s="8" t="n"/>
      <c r="S8324" s="8" t="n"/>
      <c r="T8324" s="8" t="n"/>
      <c r="U8324" s="8" t="n"/>
      <c r="V8324" s="8" t="n"/>
      <c r="W8324" s="8" t="n"/>
      <c r="X8324" s="8" t="n"/>
      <c r="Y8324" s="8" t="n"/>
    </row>
    <row r="8325">
      <c r="A8325" s="8" t="n"/>
      <c r="B8325" s="8" t="n"/>
      <c r="C8325" s="8" t="n"/>
      <c r="D8325" s="8" t="n"/>
      <c r="E8325" s="8" t="n"/>
      <c r="F8325" s="8" t="n"/>
      <c r="G8325" s="8" t="n"/>
      <c r="H8325" s="8" t="n"/>
      <c r="I8325" s="8" t="n"/>
      <c r="J8325" s="8" t="n"/>
      <c r="K8325" s="8" t="n"/>
      <c r="L8325" s="8" t="n"/>
      <c r="M8325" s="9">
        <f>B8325+30</f>
        <v/>
      </c>
      <c r="N8325">
        <f>IF(L8325="", "", L8325-B8325)</f>
        <v/>
      </c>
      <c r="O8325">
        <f>IF(L8325="", "Pending", IF(N8325&lt;=30, "Met", "Breached"))</f>
        <v/>
      </c>
      <c r="P8325" s="8" t="n"/>
      <c r="Q8325" s="8" t="n"/>
      <c r="R8325" s="8" t="n"/>
      <c r="S8325" s="8" t="n"/>
      <c r="T8325" s="8" t="n"/>
      <c r="U8325" s="8" t="n"/>
      <c r="V8325" s="8" t="n"/>
      <c r="W8325" s="8" t="n"/>
      <c r="X8325" s="8" t="n"/>
      <c r="Y8325" s="8" t="n"/>
    </row>
    <row r="8326">
      <c r="A8326" s="8" t="n"/>
      <c r="B8326" s="8" t="n"/>
      <c r="C8326" s="8" t="n"/>
      <c r="D8326" s="8" t="n"/>
      <c r="E8326" s="8" t="n"/>
      <c r="F8326" s="8" t="n"/>
      <c r="G8326" s="8" t="n"/>
      <c r="H8326" s="8" t="n"/>
      <c r="I8326" s="8" t="n"/>
      <c r="J8326" s="8" t="n"/>
      <c r="K8326" s="8" t="n"/>
      <c r="L8326" s="8" t="n"/>
      <c r="M8326" s="9">
        <f>B8326+30</f>
        <v/>
      </c>
      <c r="N8326">
        <f>IF(L8326="", "", L8326-B8326)</f>
        <v/>
      </c>
      <c r="O8326">
        <f>IF(L8326="", "Pending", IF(N8326&lt;=30, "Met", "Breached"))</f>
        <v/>
      </c>
      <c r="P8326" s="8" t="n"/>
      <c r="Q8326" s="8" t="n"/>
      <c r="R8326" s="8" t="n"/>
      <c r="S8326" s="8" t="n"/>
      <c r="T8326" s="8" t="n"/>
      <c r="U8326" s="8" t="n"/>
      <c r="V8326" s="8" t="n"/>
      <c r="W8326" s="8" t="n"/>
      <c r="X8326" s="8" t="n"/>
      <c r="Y8326" s="8" t="n"/>
    </row>
    <row r="8327">
      <c r="A8327" s="8" t="n"/>
      <c r="B8327" s="8" t="n"/>
      <c r="C8327" s="8" t="n"/>
      <c r="D8327" s="8" t="n"/>
      <c r="E8327" s="8" t="n"/>
      <c r="F8327" s="8" t="n"/>
      <c r="G8327" s="8" t="n"/>
      <c r="H8327" s="8" t="n"/>
      <c r="I8327" s="8" t="n"/>
      <c r="J8327" s="8" t="n"/>
      <c r="K8327" s="8" t="n"/>
      <c r="L8327" s="8" t="n"/>
      <c r="M8327" s="9">
        <f>B8327+30</f>
        <v/>
      </c>
      <c r="N8327">
        <f>IF(L8327="", "", L8327-B8327)</f>
        <v/>
      </c>
      <c r="O8327">
        <f>IF(L8327="", "Pending", IF(N8327&lt;=30, "Met", "Breached"))</f>
        <v/>
      </c>
      <c r="P8327" s="8" t="n"/>
      <c r="Q8327" s="8" t="n"/>
      <c r="R8327" s="8" t="n"/>
      <c r="S8327" s="8" t="n"/>
      <c r="T8327" s="8" t="n"/>
      <c r="U8327" s="8" t="n"/>
      <c r="V8327" s="8" t="n"/>
      <c r="W8327" s="8" t="n"/>
      <c r="X8327" s="8" t="n"/>
      <c r="Y8327" s="8" t="n"/>
    </row>
    <row r="8328">
      <c r="A8328" s="8" t="n"/>
      <c r="B8328" s="8" t="n"/>
      <c r="C8328" s="8" t="n"/>
      <c r="D8328" s="8" t="n"/>
      <c r="E8328" s="8" t="n"/>
      <c r="F8328" s="8" t="n"/>
      <c r="G8328" s="8" t="n"/>
      <c r="H8328" s="8" t="n"/>
      <c r="I8328" s="8" t="n"/>
      <c r="J8328" s="8" t="n"/>
      <c r="K8328" s="8" t="n"/>
      <c r="L8328" s="8" t="n"/>
      <c r="M8328" s="9">
        <f>B8328+30</f>
        <v/>
      </c>
      <c r="N8328">
        <f>IF(L8328="", "", L8328-B8328)</f>
        <v/>
      </c>
      <c r="O8328">
        <f>IF(L8328="", "Pending", IF(N8328&lt;=30, "Met", "Breached"))</f>
        <v/>
      </c>
      <c r="P8328" s="8" t="n"/>
      <c r="Q8328" s="8" t="n"/>
      <c r="R8328" s="8" t="n"/>
      <c r="S8328" s="8" t="n"/>
      <c r="T8328" s="8" t="n"/>
      <c r="U8328" s="8" t="n"/>
      <c r="V8328" s="8" t="n"/>
      <c r="W8328" s="8" t="n"/>
      <c r="X8328" s="8" t="n"/>
      <c r="Y8328" s="8" t="n"/>
    </row>
    <row r="8329">
      <c r="A8329" s="8" t="n"/>
      <c r="B8329" s="8" t="n"/>
      <c r="C8329" s="8" t="n"/>
      <c r="D8329" s="8" t="n"/>
      <c r="E8329" s="8" t="n"/>
      <c r="F8329" s="8" t="n"/>
      <c r="G8329" s="8" t="n"/>
      <c r="H8329" s="8" t="n"/>
      <c r="I8329" s="8" t="n"/>
      <c r="J8329" s="8" t="n"/>
      <c r="K8329" s="8" t="n"/>
      <c r="L8329" s="8" t="n"/>
      <c r="M8329" s="9">
        <f>B8329+30</f>
        <v/>
      </c>
      <c r="N8329">
        <f>IF(L8329="", "", L8329-B8329)</f>
        <v/>
      </c>
      <c r="O8329">
        <f>IF(L8329="", "Pending", IF(N8329&lt;=30, "Met", "Breached"))</f>
        <v/>
      </c>
      <c r="P8329" s="8" t="n"/>
      <c r="Q8329" s="8" t="n"/>
      <c r="R8329" s="8" t="n"/>
      <c r="S8329" s="8" t="n"/>
      <c r="T8329" s="8" t="n"/>
      <c r="U8329" s="8" t="n"/>
      <c r="V8329" s="8" t="n"/>
      <c r="W8329" s="8" t="n"/>
      <c r="X8329" s="8" t="n"/>
      <c r="Y8329" s="8" t="n"/>
    </row>
    <row r="8330">
      <c r="A8330" s="8" t="n"/>
      <c r="B8330" s="8" t="n"/>
      <c r="C8330" s="8" t="n"/>
      <c r="D8330" s="8" t="n"/>
      <c r="E8330" s="8" t="n"/>
      <c r="F8330" s="8" t="n"/>
      <c r="G8330" s="8" t="n"/>
      <c r="H8330" s="8" t="n"/>
      <c r="I8330" s="8" t="n"/>
      <c r="J8330" s="8" t="n"/>
      <c r="K8330" s="8" t="n"/>
      <c r="L8330" s="8" t="n"/>
      <c r="M8330" s="9">
        <f>B8330+30</f>
        <v/>
      </c>
      <c r="N8330">
        <f>IF(L8330="", "", L8330-B8330)</f>
        <v/>
      </c>
      <c r="O8330">
        <f>IF(L8330="", "Pending", IF(N8330&lt;=30, "Met", "Breached"))</f>
        <v/>
      </c>
      <c r="P8330" s="8" t="n"/>
      <c r="Q8330" s="8" t="n"/>
      <c r="R8330" s="8" t="n"/>
      <c r="S8330" s="8" t="n"/>
      <c r="T8330" s="8" t="n"/>
      <c r="U8330" s="8" t="n"/>
      <c r="V8330" s="8" t="n"/>
      <c r="W8330" s="8" t="n"/>
      <c r="X8330" s="8" t="n"/>
      <c r="Y8330" s="8" t="n"/>
    </row>
    <row r="8331">
      <c r="A8331" s="8" t="n"/>
      <c r="B8331" s="8" t="n"/>
      <c r="C8331" s="8" t="n"/>
      <c r="D8331" s="8" t="n"/>
      <c r="E8331" s="8" t="n"/>
      <c r="F8331" s="8" t="n"/>
      <c r="G8331" s="8" t="n"/>
      <c r="H8331" s="8" t="n"/>
      <c r="I8331" s="8" t="n"/>
      <c r="J8331" s="8" t="n"/>
      <c r="K8331" s="8" t="n"/>
      <c r="L8331" s="8" t="n"/>
      <c r="M8331" s="9">
        <f>B8331+30</f>
        <v/>
      </c>
      <c r="N8331">
        <f>IF(L8331="", "", L8331-B8331)</f>
        <v/>
      </c>
      <c r="O8331">
        <f>IF(L8331="", "Pending", IF(N8331&lt;=30, "Met", "Breached"))</f>
        <v/>
      </c>
      <c r="P8331" s="8" t="n"/>
      <c r="Q8331" s="8" t="n"/>
      <c r="R8331" s="8" t="n"/>
      <c r="S8331" s="8" t="n"/>
      <c r="T8331" s="8" t="n"/>
      <c r="U8331" s="8" t="n"/>
      <c r="V8331" s="8" t="n"/>
      <c r="W8331" s="8" t="n"/>
      <c r="X8331" s="8" t="n"/>
      <c r="Y8331" s="8" t="n"/>
    </row>
    <row r="8332">
      <c r="A8332" s="8" t="n"/>
      <c r="B8332" s="8" t="n"/>
      <c r="C8332" s="8" t="n"/>
      <c r="D8332" s="8" t="n"/>
      <c r="E8332" s="8" t="n"/>
      <c r="F8332" s="8" t="n"/>
      <c r="G8332" s="8" t="n"/>
      <c r="H8332" s="8" t="n"/>
      <c r="I8332" s="8" t="n"/>
      <c r="J8332" s="8" t="n"/>
      <c r="K8332" s="8" t="n"/>
      <c r="L8332" s="8" t="n"/>
      <c r="M8332" s="9">
        <f>B8332+30</f>
        <v/>
      </c>
      <c r="N8332">
        <f>IF(L8332="", "", L8332-B8332)</f>
        <v/>
      </c>
      <c r="O8332">
        <f>IF(L8332="", "Pending", IF(N8332&lt;=30, "Met", "Breached"))</f>
        <v/>
      </c>
      <c r="P8332" s="8" t="n"/>
      <c r="Q8332" s="8" t="n"/>
      <c r="R8332" s="8" t="n"/>
      <c r="S8332" s="8" t="n"/>
      <c r="T8332" s="8" t="n"/>
      <c r="U8332" s="8" t="n"/>
      <c r="V8332" s="8" t="n"/>
      <c r="W8332" s="8" t="n"/>
      <c r="X8332" s="8" t="n"/>
      <c r="Y8332" s="8" t="n"/>
    </row>
    <row r="8333">
      <c r="A8333" s="8" t="n"/>
      <c r="B8333" s="8" t="n"/>
      <c r="C8333" s="8" t="n"/>
      <c r="D8333" s="8" t="n"/>
      <c r="E8333" s="8" t="n"/>
      <c r="F8333" s="8" t="n"/>
      <c r="G8333" s="8" t="n"/>
      <c r="H8333" s="8" t="n"/>
      <c r="I8333" s="8" t="n"/>
      <c r="J8333" s="8" t="n"/>
      <c r="K8333" s="8" t="n"/>
      <c r="L8333" s="8" t="n"/>
      <c r="M8333" s="9">
        <f>B8333+30</f>
        <v/>
      </c>
      <c r="N8333">
        <f>IF(L8333="", "", L8333-B8333)</f>
        <v/>
      </c>
      <c r="O8333">
        <f>IF(L8333="", "Pending", IF(N8333&lt;=30, "Met", "Breached"))</f>
        <v/>
      </c>
      <c r="P8333" s="8" t="n"/>
      <c r="Q8333" s="8" t="n"/>
      <c r="R8333" s="8" t="n"/>
      <c r="S8333" s="8" t="n"/>
      <c r="T8333" s="8" t="n"/>
      <c r="U8333" s="8" t="n"/>
      <c r="V8333" s="8" t="n"/>
      <c r="W8333" s="8" t="n"/>
      <c r="X8333" s="8" t="n"/>
      <c r="Y8333" s="8" t="n"/>
    </row>
    <row r="8334">
      <c r="A8334" s="8" t="n"/>
      <c r="B8334" s="8" t="n"/>
      <c r="C8334" s="8" t="n"/>
      <c r="D8334" s="8" t="n"/>
      <c r="E8334" s="8" t="n"/>
      <c r="F8334" s="8" t="n"/>
      <c r="G8334" s="8" t="n"/>
      <c r="H8334" s="8" t="n"/>
      <c r="I8334" s="8" t="n"/>
      <c r="J8334" s="8" t="n"/>
      <c r="K8334" s="8" t="n"/>
      <c r="L8334" s="8" t="n"/>
      <c r="M8334" s="9">
        <f>B8334+30</f>
        <v/>
      </c>
      <c r="N8334">
        <f>IF(L8334="", "", L8334-B8334)</f>
        <v/>
      </c>
      <c r="O8334">
        <f>IF(L8334="", "Pending", IF(N8334&lt;=30, "Met", "Breached"))</f>
        <v/>
      </c>
      <c r="P8334" s="8" t="n"/>
      <c r="Q8334" s="8" t="n"/>
      <c r="R8334" s="8" t="n"/>
      <c r="S8334" s="8" t="n"/>
      <c r="T8334" s="8" t="n"/>
      <c r="U8334" s="8" t="n"/>
      <c r="V8334" s="8" t="n"/>
      <c r="W8334" s="8" t="n"/>
      <c r="X8334" s="8" t="n"/>
      <c r="Y8334" s="8" t="n"/>
    </row>
    <row r="8335">
      <c r="A8335" s="8" t="n"/>
      <c r="B8335" s="8" t="n"/>
      <c r="C8335" s="8" t="n"/>
      <c r="D8335" s="8" t="n"/>
      <c r="E8335" s="8" t="n"/>
      <c r="F8335" s="8" t="n"/>
      <c r="G8335" s="8" t="n"/>
      <c r="H8335" s="8" t="n"/>
      <c r="I8335" s="8" t="n"/>
      <c r="J8335" s="8" t="n"/>
      <c r="K8335" s="8" t="n"/>
      <c r="L8335" s="8" t="n"/>
      <c r="M8335" s="9">
        <f>B8335+30</f>
        <v/>
      </c>
      <c r="N8335">
        <f>IF(L8335="", "", L8335-B8335)</f>
        <v/>
      </c>
      <c r="O8335">
        <f>IF(L8335="", "Pending", IF(N8335&lt;=30, "Met", "Breached"))</f>
        <v/>
      </c>
      <c r="P8335" s="8" t="n"/>
      <c r="Q8335" s="8" t="n"/>
      <c r="R8335" s="8" t="n"/>
      <c r="S8335" s="8" t="n"/>
      <c r="T8335" s="8" t="n"/>
      <c r="U8335" s="8" t="n"/>
      <c r="V8335" s="8" t="n"/>
      <c r="W8335" s="8" t="n"/>
      <c r="X8335" s="8" t="n"/>
      <c r="Y8335" s="8" t="n"/>
    </row>
    <row r="8336">
      <c r="A8336" s="8" t="n"/>
      <c r="B8336" s="8" t="n"/>
      <c r="C8336" s="8" t="n"/>
      <c r="D8336" s="8" t="n"/>
      <c r="E8336" s="8" t="n"/>
      <c r="F8336" s="8" t="n"/>
      <c r="G8336" s="8" t="n"/>
      <c r="H8336" s="8" t="n"/>
      <c r="I8336" s="8" t="n"/>
      <c r="J8336" s="8" t="n"/>
      <c r="K8336" s="8" t="n"/>
      <c r="L8336" s="8" t="n"/>
      <c r="M8336" s="9">
        <f>B8336+30</f>
        <v/>
      </c>
      <c r="N8336">
        <f>IF(L8336="", "", L8336-B8336)</f>
        <v/>
      </c>
      <c r="O8336">
        <f>IF(L8336="", "Pending", IF(N8336&lt;=30, "Met", "Breached"))</f>
        <v/>
      </c>
      <c r="P8336" s="8" t="n"/>
      <c r="Q8336" s="8" t="n"/>
      <c r="R8336" s="8" t="n"/>
      <c r="S8336" s="8" t="n"/>
      <c r="T8336" s="8" t="n"/>
      <c r="U8336" s="8" t="n"/>
      <c r="V8336" s="8" t="n"/>
      <c r="W8336" s="8" t="n"/>
      <c r="X8336" s="8" t="n"/>
      <c r="Y8336" s="8" t="n"/>
    </row>
    <row r="8337">
      <c r="A8337" s="8" t="n"/>
      <c r="B8337" s="8" t="n"/>
      <c r="C8337" s="8" t="n"/>
      <c r="D8337" s="8" t="n"/>
      <c r="E8337" s="8" t="n"/>
      <c r="F8337" s="8" t="n"/>
      <c r="G8337" s="8" t="n"/>
      <c r="H8337" s="8" t="n"/>
      <c r="I8337" s="8" t="n"/>
      <c r="J8337" s="8" t="n"/>
      <c r="K8337" s="8" t="n"/>
      <c r="L8337" s="8" t="n"/>
      <c r="M8337" s="9">
        <f>B8337+30</f>
        <v/>
      </c>
      <c r="N8337">
        <f>IF(L8337="", "", L8337-B8337)</f>
        <v/>
      </c>
      <c r="O8337">
        <f>IF(L8337="", "Pending", IF(N8337&lt;=30, "Met", "Breached"))</f>
        <v/>
      </c>
      <c r="P8337" s="8" t="n"/>
      <c r="Q8337" s="8" t="n"/>
      <c r="R8337" s="8" t="n"/>
      <c r="S8337" s="8" t="n"/>
      <c r="T8337" s="8" t="n"/>
      <c r="U8337" s="8" t="n"/>
      <c r="V8337" s="8" t="n"/>
      <c r="W8337" s="8" t="n"/>
      <c r="X8337" s="8" t="n"/>
      <c r="Y8337" s="8" t="n"/>
    </row>
    <row r="8338">
      <c r="A8338" s="8" t="n"/>
      <c r="B8338" s="8" t="n"/>
      <c r="C8338" s="8" t="n"/>
      <c r="D8338" s="8" t="n"/>
      <c r="E8338" s="8" t="n"/>
      <c r="F8338" s="8" t="n"/>
      <c r="G8338" s="8" t="n"/>
      <c r="H8338" s="8" t="n"/>
      <c r="I8338" s="8" t="n"/>
      <c r="J8338" s="8" t="n"/>
      <c r="K8338" s="8" t="n"/>
      <c r="L8338" s="8" t="n"/>
      <c r="M8338" s="9">
        <f>B8338+30</f>
        <v/>
      </c>
      <c r="N8338">
        <f>IF(L8338="", "", L8338-B8338)</f>
        <v/>
      </c>
      <c r="O8338">
        <f>IF(L8338="", "Pending", IF(N8338&lt;=30, "Met", "Breached"))</f>
        <v/>
      </c>
      <c r="P8338" s="8" t="n"/>
      <c r="Q8338" s="8" t="n"/>
      <c r="R8338" s="8" t="n"/>
      <c r="S8338" s="8" t="n"/>
      <c r="T8338" s="8" t="n"/>
      <c r="U8338" s="8" t="n"/>
      <c r="V8338" s="8" t="n"/>
      <c r="W8338" s="8" t="n"/>
      <c r="X8338" s="8" t="n"/>
      <c r="Y8338" s="8" t="n"/>
    </row>
    <row r="8339">
      <c r="A8339" s="8" t="n"/>
      <c r="B8339" s="8" t="n"/>
      <c r="C8339" s="8" t="n"/>
      <c r="D8339" s="8" t="n"/>
      <c r="E8339" s="8" t="n"/>
      <c r="F8339" s="8" t="n"/>
      <c r="G8339" s="8" t="n"/>
      <c r="H8339" s="8" t="n"/>
      <c r="I8339" s="8" t="n"/>
      <c r="J8339" s="8" t="n"/>
      <c r="K8339" s="8" t="n"/>
      <c r="L8339" s="8" t="n"/>
      <c r="M8339" s="9">
        <f>B8339+30</f>
        <v/>
      </c>
      <c r="N8339">
        <f>IF(L8339="", "", L8339-B8339)</f>
        <v/>
      </c>
      <c r="O8339">
        <f>IF(L8339="", "Pending", IF(N8339&lt;=30, "Met", "Breached"))</f>
        <v/>
      </c>
      <c r="P8339" s="8" t="n"/>
      <c r="Q8339" s="8" t="n"/>
      <c r="R8339" s="8" t="n"/>
      <c r="S8339" s="8" t="n"/>
      <c r="T8339" s="8" t="n"/>
      <c r="U8339" s="8" t="n"/>
      <c r="V8339" s="8" t="n"/>
      <c r="W8339" s="8" t="n"/>
      <c r="X8339" s="8" t="n"/>
      <c r="Y8339" s="8" t="n"/>
    </row>
    <row r="8340">
      <c r="A8340" s="8" t="n"/>
      <c r="B8340" s="8" t="n"/>
      <c r="C8340" s="8" t="n"/>
      <c r="D8340" s="8" t="n"/>
      <c r="E8340" s="8" t="n"/>
      <c r="F8340" s="8" t="n"/>
      <c r="G8340" s="8" t="n"/>
      <c r="H8340" s="8" t="n"/>
      <c r="I8340" s="8" t="n"/>
      <c r="J8340" s="8" t="n"/>
      <c r="K8340" s="8" t="n"/>
      <c r="L8340" s="8" t="n"/>
      <c r="M8340" s="9">
        <f>B8340+30</f>
        <v/>
      </c>
      <c r="N8340">
        <f>IF(L8340="", "", L8340-B8340)</f>
        <v/>
      </c>
      <c r="O8340">
        <f>IF(L8340="", "Pending", IF(N8340&lt;=30, "Met", "Breached"))</f>
        <v/>
      </c>
      <c r="P8340" s="8" t="n"/>
      <c r="Q8340" s="8" t="n"/>
      <c r="R8340" s="8" t="n"/>
      <c r="S8340" s="8" t="n"/>
      <c r="T8340" s="8" t="n"/>
      <c r="U8340" s="8" t="n"/>
      <c r="V8340" s="8" t="n"/>
      <c r="W8340" s="8" t="n"/>
      <c r="X8340" s="8" t="n"/>
      <c r="Y8340" s="8" t="n"/>
    </row>
    <row r="8341">
      <c r="A8341" s="8" t="n"/>
      <c r="B8341" s="8" t="n"/>
      <c r="C8341" s="8" t="n"/>
      <c r="D8341" s="8" t="n"/>
      <c r="E8341" s="8" t="n"/>
      <c r="F8341" s="8" t="n"/>
      <c r="G8341" s="8" t="n"/>
      <c r="H8341" s="8" t="n"/>
      <c r="I8341" s="8" t="n"/>
      <c r="J8341" s="8" t="n"/>
      <c r="K8341" s="8" t="n"/>
      <c r="L8341" s="8" t="n"/>
      <c r="M8341" s="9">
        <f>B8341+30</f>
        <v/>
      </c>
      <c r="N8341">
        <f>IF(L8341="", "", L8341-B8341)</f>
        <v/>
      </c>
      <c r="O8341">
        <f>IF(L8341="", "Pending", IF(N8341&lt;=30, "Met", "Breached"))</f>
        <v/>
      </c>
      <c r="P8341" s="8" t="n"/>
      <c r="Q8341" s="8" t="n"/>
      <c r="R8341" s="8" t="n"/>
      <c r="S8341" s="8" t="n"/>
      <c r="T8341" s="8" t="n"/>
      <c r="U8341" s="8" t="n"/>
      <c r="V8341" s="8" t="n"/>
      <c r="W8341" s="8" t="n"/>
      <c r="X8341" s="8" t="n"/>
      <c r="Y8341" s="8" t="n"/>
    </row>
    <row r="8342">
      <c r="A8342" s="8" t="n"/>
      <c r="B8342" s="8" t="n"/>
      <c r="C8342" s="8" t="n"/>
      <c r="D8342" s="8" t="n"/>
      <c r="E8342" s="8" t="n"/>
      <c r="F8342" s="8" t="n"/>
      <c r="G8342" s="8" t="n"/>
      <c r="H8342" s="8" t="n"/>
      <c r="I8342" s="8" t="n"/>
      <c r="J8342" s="8" t="n"/>
      <c r="K8342" s="8" t="n"/>
      <c r="L8342" s="8" t="n"/>
      <c r="M8342" s="9">
        <f>B8342+30</f>
        <v/>
      </c>
      <c r="N8342">
        <f>IF(L8342="", "", L8342-B8342)</f>
        <v/>
      </c>
      <c r="O8342">
        <f>IF(L8342="", "Pending", IF(N8342&lt;=30, "Met", "Breached"))</f>
        <v/>
      </c>
      <c r="P8342" s="8" t="n"/>
      <c r="Q8342" s="8" t="n"/>
      <c r="R8342" s="8" t="n"/>
      <c r="S8342" s="8" t="n"/>
      <c r="T8342" s="8" t="n"/>
      <c r="U8342" s="8" t="n"/>
      <c r="V8342" s="8" t="n"/>
      <c r="W8342" s="8" t="n"/>
      <c r="X8342" s="8" t="n"/>
      <c r="Y8342" s="8" t="n"/>
    </row>
    <row r="8343">
      <c r="A8343" s="8" t="n"/>
      <c r="B8343" s="8" t="n"/>
      <c r="C8343" s="8" t="n"/>
      <c r="D8343" s="8" t="n"/>
      <c r="E8343" s="8" t="n"/>
      <c r="F8343" s="8" t="n"/>
      <c r="G8343" s="8" t="n"/>
      <c r="H8343" s="8" t="n"/>
      <c r="I8343" s="8" t="n"/>
      <c r="J8343" s="8" t="n"/>
      <c r="K8343" s="8" t="n"/>
      <c r="L8343" s="8" t="n"/>
      <c r="M8343" s="9">
        <f>B8343+30</f>
        <v/>
      </c>
      <c r="N8343">
        <f>IF(L8343="", "", L8343-B8343)</f>
        <v/>
      </c>
      <c r="O8343">
        <f>IF(L8343="", "Pending", IF(N8343&lt;=30, "Met", "Breached"))</f>
        <v/>
      </c>
      <c r="P8343" s="8" t="n"/>
      <c r="Q8343" s="8" t="n"/>
      <c r="R8343" s="8" t="n"/>
      <c r="S8343" s="8" t="n"/>
      <c r="T8343" s="8" t="n"/>
      <c r="U8343" s="8" t="n"/>
      <c r="V8343" s="8" t="n"/>
      <c r="W8343" s="8" t="n"/>
      <c r="X8343" s="8" t="n"/>
      <c r="Y8343" s="8" t="n"/>
    </row>
    <row r="8344">
      <c r="A8344" s="8" t="n"/>
      <c r="B8344" s="8" t="n"/>
      <c r="C8344" s="8" t="n"/>
      <c r="D8344" s="8" t="n"/>
      <c r="E8344" s="8" t="n"/>
      <c r="F8344" s="8" t="n"/>
      <c r="G8344" s="8" t="n"/>
      <c r="H8344" s="8" t="n"/>
      <c r="I8344" s="8" t="n"/>
      <c r="J8344" s="8" t="n"/>
      <c r="K8344" s="8" t="n"/>
      <c r="L8344" s="8" t="n"/>
      <c r="M8344" s="9">
        <f>B8344+30</f>
        <v/>
      </c>
      <c r="N8344">
        <f>IF(L8344="", "", L8344-B8344)</f>
        <v/>
      </c>
      <c r="O8344">
        <f>IF(L8344="", "Pending", IF(N8344&lt;=30, "Met", "Breached"))</f>
        <v/>
      </c>
      <c r="P8344" s="8" t="n"/>
      <c r="Q8344" s="8" t="n"/>
      <c r="R8344" s="8" t="n"/>
      <c r="S8344" s="8" t="n"/>
      <c r="T8344" s="8" t="n"/>
      <c r="U8344" s="8" t="n"/>
      <c r="V8344" s="8" t="n"/>
      <c r="W8344" s="8" t="n"/>
      <c r="X8344" s="8" t="n"/>
      <c r="Y8344" s="8" t="n"/>
    </row>
    <row r="8345">
      <c r="A8345" s="8" t="n"/>
      <c r="B8345" s="8" t="n"/>
      <c r="C8345" s="8" t="n"/>
      <c r="D8345" s="8" t="n"/>
      <c r="E8345" s="8" t="n"/>
      <c r="F8345" s="8" t="n"/>
      <c r="G8345" s="8" t="n"/>
      <c r="H8345" s="8" t="n"/>
      <c r="I8345" s="8" t="n"/>
      <c r="J8345" s="8" t="n"/>
      <c r="K8345" s="8" t="n"/>
      <c r="L8345" s="8" t="n"/>
      <c r="M8345" s="9">
        <f>B8345+30</f>
        <v/>
      </c>
      <c r="N8345">
        <f>IF(L8345="", "", L8345-B8345)</f>
        <v/>
      </c>
      <c r="O8345">
        <f>IF(L8345="", "Pending", IF(N8345&lt;=30, "Met", "Breached"))</f>
        <v/>
      </c>
      <c r="P8345" s="8" t="n"/>
      <c r="Q8345" s="8" t="n"/>
      <c r="R8345" s="8" t="n"/>
      <c r="S8345" s="8" t="n"/>
      <c r="T8345" s="8" t="n"/>
      <c r="U8345" s="8" t="n"/>
      <c r="V8345" s="8" t="n"/>
      <c r="W8345" s="8" t="n"/>
      <c r="X8345" s="8" t="n"/>
      <c r="Y8345" s="8" t="n"/>
    </row>
    <row r="8346">
      <c r="A8346" s="8" t="n"/>
      <c r="B8346" s="8" t="n"/>
      <c r="C8346" s="8" t="n"/>
      <c r="D8346" s="8" t="n"/>
      <c r="E8346" s="8" t="n"/>
      <c r="F8346" s="8" t="n"/>
      <c r="G8346" s="8" t="n"/>
      <c r="H8346" s="8" t="n"/>
      <c r="I8346" s="8" t="n"/>
      <c r="J8346" s="8" t="n"/>
      <c r="K8346" s="8" t="n"/>
      <c r="L8346" s="8" t="n"/>
      <c r="M8346" s="9">
        <f>B8346+30</f>
        <v/>
      </c>
      <c r="N8346">
        <f>IF(L8346="", "", L8346-B8346)</f>
        <v/>
      </c>
      <c r="O8346">
        <f>IF(L8346="", "Pending", IF(N8346&lt;=30, "Met", "Breached"))</f>
        <v/>
      </c>
      <c r="P8346" s="8" t="n"/>
      <c r="Q8346" s="8" t="n"/>
      <c r="R8346" s="8" t="n"/>
      <c r="S8346" s="8" t="n"/>
      <c r="T8346" s="8" t="n"/>
      <c r="U8346" s="8" t="n"/>
      <c r="V8346" s="8" t="n"/>
      <c r="W8346" s="8" t="n"/>
      <c r="X8346" s="8" t="n"/>
      <c r="Y8346" s="8" t="n"/>
    </row>
    <row r="8347">
      <c r="A8347" s="8" t="n"/>
      <c r="B8347" s="8" t="n"/>
      <c r="C8347" s="8" t="n"/>
      <c r="D8347" s="8" t="n"/>
      <c r="E8347" s="8" t="n"/>
      <c r="F8347" s="8" t="n"/>
      <c r="G8347" s="8" t="n"/>
      <c r="H8347" s="8" t="n"/>
      <c r="I8347" s="8" t="n"/>
      <c r="J8347" s="8" t="n"/>
      <c r="K8347" s="8" t="n"/>
      <c r="L8347" s="8" t="n"/>
      <c r="M8347" s="9">
        <f>B8347+30</f>
        <v/>
      </c>
      <c r="N8347">
        <f>IF(L8347="", "", L8347-B8347)</f>
        <v/>
      </c>
      <c r="O8347">
        <f>IF(L8347="", "Pending", IF(N8347&lt;=30, "Met", "Breached"))</f>
        <v/>
      </c>
      <c r="P8347" s="8" t="n"/>
      <c r="Q8347" s="8" t="n"/>
      <c r="R8347" s="8" t="n"/>
      <c r="S8347" s="8" t="n"/>
      <c r="T8347" s="8" t="n"/>
      <c r="U8347" s="8" t="n"/>
      <c r="V8347" s="8" t="n"/>
      <c r="W8347" s="8" t="n"/>
      <c r="X8347" s="8" t="n"/>
      <c r="Y8347" s="8" t="n"/>
    </row>
    <row r="8348">
      <c r="A8348" s="8" t="n"/>
      <c r="B8348" s="8" t="n"/>
      <c r="C8348" s="8" t="n"/>
      <c r="D8348" s="8" t="n"/>
      <c r="E8348" s="8" t="n"/>
      <c r="F8348" s="8" t="n"/>
      <c r="G8348" s="8" t="n"/>
      <c r="H8348" s="8" t="n"/>
      <c r="I8348" s="8" t="n"/>
      <c r="J8348" s="8" t="n"/>
      <c r="K8348" s="8" t="n"/>
      <c r="L8348" s="8" t="n"/>
      <c r="M8348" s="9">
        <f>B8348+30</f>
        <v/>
      </c>
      <c r="N8348">
        <f>IF(L8348="", "", L8348-B8348)</f>
        <v/>
      </c>
      <c r="O8348">
        <f>IF(L8348="", "Pending", IF(N8348&lt;=30, "Met", "Breached"))</f>
        <v/>
      </c>
      <c r="P8348" s="8" t="n"/>
      <c r="Q8348" s="8" t="n"/>
      <c r="R8348" s="8" t="n"/>
      <c r="S8348" s="8" t="n"/>
      <c r="T8348" s="8" t="n"/>
      <c r="U8348" s="8" t="n"/>
      <c r="V8348" s="8" t="n"/>
      <c r="W8348" s="8" t="n"/>
      <c r="X8348" s="8" t="n"/>
      <c r="Y8348" s="8" t="n"/>
    </row>
    <row r="8349">
      <c r="A8349" s="8" t="n"/>
      <c r="B8349" s="8" t="n"/>
      <c r="C8349" s="8" t="n"/>
      <c r="D8349" s="8" t="n"/>
      <c r="E8349" s="8" t="n"/>
      <c r="F8349" s="8" t="n"/>
      <c r="G8349" s="8" t="n"/>
      <c r="H8349" s="8" t="n"/>
      <c r="I8349" s="8" t="n"/>
      <c r="J8349" s="8" t="n"/>
      <c r="K8349" s="8" t="n"/>
      <c r="L8349" s="8" t="n"/>
      <c r="M8349" s="9">
        <f>B8349+30</f>
        <v/>
      </c>
      <c r="N8349">
        <f>IF(L8349="", "", L8349-B8349)</f>
        <v/>
      </c>
      <c r="O8349">
        <f>IF(L8349="", "Pending", IF(N8349&lt;=30, "Met", "Breached"))</f>
        <v/>
      </c>
      <c r="P8349" s="8" t="n"/>
      <c r="Q8349" s="8" t="n"/>
      <c r="R8349" s="8" t="n"/>
      <c r="S8349" s="8" t="n"/>
      <c r="T8349" s="8" t="n"/>
      <c r="U8349" s="8" t="n"/>
      <c r="V8349" s="8" t="n"/>
      <c r="W8349" s="8" t="n"/>
      <c r="X8349" s="8" t="n"/>
      <c r="Y8349" s="8" t="n"/>
    </row>
    <row r="8350">
      <c r="A8350" s="8" t="n"/>
      <c r="B8350" s="8" t="n"/>
      <c r="C8350" s="8" t="n"/>
      <c r="D8350" s="8" t="n"/>
      <c r="E8350" s="8" t="n"/>
      <c r="F8350" s="8" t="n"/>
      <c r="G8350" s="8" t="n"/>
      <c r="H8350" s="8" t="n"/>
      <c r="I8350" s="8" t="n"/>
      <c r="J8350" s="8" t="n"/>
      <c r="K8350" s="8" t="n"/>
      <c r="L8350" s="8" t="n"/>
      <c r="M8350" s="9">
        <f>B8350+30</f>
        <v/>
      </c>
      <c r="N8350">
        <f>IF(L8350="", "", L8350-B8350)</f>
        <v/>
      </c>
      <c r="O8350">
        <f>IF(L8350="", "Pending", IF(N8350&lt;=30, "Met", "Breached"))</f>
        <v/>
      </c>
      <c r="P8350" s="8" t="n"/>
      <c r="Q8350" s="8" t="n"/>
      <c r="R8350" s="8" t="n"/>
      <c r="S8350" s="8" t="n"/>
      <c r="T8350" s="8" t="n"/>
      <c r="U8350" s="8" t="n"/>
      <c r="V8350" s="8" t="n"/>
      <c r="W8350" s="8" t="n"/>
      <c r="X8350" s="8" t="n"/>
      <c r="Y8350" s="8" t="n"/>
    </row>
    <row r="8351">
      <c r="A8351" s="8" t="n"/>
      <c r="B8351" s="8" t="n"/>
      <c r="C8351" s="8" t="n"/>
      <c r="D8351" s="8" t="n"/>
      <c r="E8351" s="8" t="n"/>
      <c r="F8351" s="8" t="n"/>
      <c r="G8351" s="8" t="n"/>
      <c r="H8351" s="8" t="n"/>
      <c r="I8351" s="8" t="n"/>
      <c r="J8351" s="8" t="n"/>
      <c r="K8351" s="8" t="n"/>
      <c r="L8351" s="8" t="n"/>
      <c r="M8351" s="9">
        <f>B8351+30</f>
        <v/>
      </c>
      <c r="N8351">
        <f>IF(L8351="", "", L8351-B8351)</f>
        <v/>
      </c>
      <c r="O8351">
        <f>IF(L8351="", "Pending", IF(N8351&lt;=30, "Met", "Breached"))</f>
        <v/>
      </c>
      <c r="P8351" s="8" t="n"/>
      <c r="Q8351" s="8" t="n"/>
      <c r="R8351" s="8" t="n"/>
      <c r="S8351" s="8" t="n"/>
      <c r="T8351" s="8" t="n"/>
      <c r="U8351" s="8" t="n"/>
      <c r="V8351" s="8" t="n"/>
      <c r="W8351" s="8" t="n"/>
      <c r="X8351" s="8" t="n"/>
      <c r="Y8351" s="8" t="n"/>
    </row>
    <row r="8352">
      <c r="A8352" s="8" t="n"/>
      <c r="B8352" s="8" t="n"/>
      <c r="C8352" s="8" t="n"/>
      <c r="D8352" s="8" t="n"/>
      <c r="E8352" s="8" t="n"/>
      <c r="F8352" s="8" t="n"/>
      <c r="G8352" s="8" t="n"/>
      <c r="H8352" s="8" t="n"/>
      <c r="I8352" s="8" t="n"/>
      <c r="J8352" s="8" t="n"/>
      <c r="K8352" s="8" t="n"/>
      <c r="L8352" s="8" t="n"/>
      <c r="M8352" s="9">
        <f>B8352+30</f>
        <v/>
      </c>
      <c r="N8352">
        <f>IF(L8352="", "", L8352-B8352)</f>
        <v/>
      </c>
      <c r="O8352">
        <f>IF(L8352="", "Pending", IF(N8352&lt;=30, "Met", "Breached"))</f>
        <v/>
      </c>
      <c r="P8352" s="8" t="n"/>
      <c r="Q8352" s="8" t="n"/>
      <c r="R8352" s="8" t="n"/>
      <c r="S8352" s="8" t="n"/>
      <c r="T8352" s="8" t="n"/>
      <c r="U8352" s="8" t="n"/>
      <c r="V8352" s="8" t="n"/>
      <c r="W8352" s="8" t="n"/>
      <c r="X8352" s="8" t="n"/>
      <c r="Y8352" s="8" t="n"/>
    </row>
    <row r="8353">
      <c r="A8353" s="8" t="n"/>
      <c r="B8353" s="8" t="n"/>
      <c r="C8353" s="8" t="n"/>
      <c r="D8353" s="8" t="n"/>
      <c r="E8353" s="8" t="n"/>
      <c r="F8353" s="8" t="n"/>
      <c r="G8353" s="8" t="n"/>
      <c r="H8353" s="8" t="n"/>
      <c r="I8353" s="8" t="n"/>
      <c r="J8353" s="8" t="n"/>
      <c r="K8353" s="8" t="n"/>
      <c r="L8353" s="8" t="n"/>
      <c r="M8353" s="9">
        <f>B8353+30</f>
        <v/>
      </c>
      <c r="N8353">
        <f>IF(L8353="", "", L8353-B8353)</f>
        <v/>
      </c>
      <c r="O8353">
        <f>IF(L8353="", "Pending", IF(N8353&lt;=30, "Met", "Breached"))</f>
        <v/>
      </c>
      <c r="P8353" s="8" t="n"/>
      <c r="Q8353" s="8" t="n"/>
      <c r="R8353" s="8" t="n"/>
      <c r="S8353" s="8" t="n"/>
      <c r="T8353" s="8" t="n"/>
      <c r="U8353" s="8" t="n"/>
      <c r="V8353" s="8" t="n"/>
      <c r="W8353" s="8" t="n"/>
      <c r="X8353" s="8" t="n"/>
      <c r="Y8353" s="8" t="n"/>
    </row>
    <row r="8354">
      <c r="A8354" s="8" t="n"/>
      <c r="B8354" s="8" t="n"/>
      <c r="C8354" s="8" t="n"/>
      <c r="D8354" s="8" t="n"/>
      <c r="E8354" s="8" t="n"/>
      <c r="F8354" s="8" t="n"/>
      <c r="G8354" s="8" t="n"/>
      <c r="H8354" s="8" t="n"/>
      <c r="I8354" s="8" t="n"/>
      <c r="J8354" s="8" t="n"/>
      <c r="K8354" s="8" t="n"/>
      <c r="L8354" s="8" t="n"/>
      <c r="M8354" s="9">
        <f>B8354+30</f>
        <v/>
      </c>
      <c r="N8354">
        <f>IF(L8354="", "", L8354-B8354)</f>
        <v/>
      </c>
      <c r="O8354">
        <f>IF(L8354="", "Pending", IF(N8354&lt;=30, "Met", "Breached"))</f>
        <v/>
      </c>
      <c r="P8354" s="8" t="n"/>
      <c r="Q8354" s="8" t="n"/>
      <c r="R8354" s="8" t="n"/>
      <c r="S8354" s="8" t="n"/>
      <c r="T8354" s="8" t="n"/>
      <c r="U8354" s="8" t="n"/>
      <c r="V8354" s="8" t="n"/>
      <c r="W8354" s="8" t="n"/>
      <c r="X8354" s="8" t="n"/>
      <c r="Y8354" s="8" t="n"/>
    </row>
    <row r="8355">
      <c r="A8355" s="8" t="n"/>
      <c r="B8355" s="8" t="n"/>
      <c r="C8355" s="8" t="n"/>
      <c r="D8355" s="8" t="n"/>
      <c r="E8355" s="8" t="n"/>
      <c r="F8355" s="8" t="n"/>
      <c r="G8355" s="8" t="n"/>
      <c r="H8355" s="8" t="n"/>
      <c r="I8355" s="8" t="n"/>
      <c r="J8355" s="8" t="n"/>
      <c r="K8355" s="8" t="n"/>
      <c r="L8355" s="8" t="n"/>
      <c r="M8355" s="9">
        <f>B8355+30</f>
        <v/>
      </c>
      <c r="N8355">
        <f>IF(L8355="", "", L8355-B8355)</f>
        <v/>
      </c>
      <c r="O8355">
        <f>IF(L8355="", "Pending", IF(N8355&lt;=30, "Met", "Breached"))</f>
        <v/>
      </c>
      <c r="P8355" s="8" t="n"/>
      <c r="Q8355" s="8" t="n"/>
      <c r="R8355" s="8" t="n"/>
      <c r="S8355" s="8" t="n"/>
      <c r="T8355" s="8" t="n"/>
      <c r="U8355" s="8" t="n"/>
      <c r="V8355" s="8" t="n"/>
      <c r="W8355" s="8" t="n"/>
      <c r="X8355" s="8" t="n"/>
      <c r="Y8355" s="8" t="n"/>
    </row>
    <row r="8356">
      <c r="A8356" s="8" t="n"/>
      <c r="B8356" s="8" t="n"/>
      <c r="C8356" s="8" t="n"/>
      <c r="D8356" s="8" t="n"/>
      <c r="E8356" s="8" t="n"/>
      <c r="F8356" s="8" t="n"/>
      <c r="G8356" s="8" t="n"/>
      <c r="H8356" s="8" t="n"/>
      <c r="I8356" s="8" t="n"/>
      <c r="J8356" s="8" t="n"/>
      <c r="K8356" s="8" t="n"/>
      <c r="L8356" s="8" t="n"/>
      <c r="M8356" s="9">
        <f>B8356+30</f>
        <v/>
      </c>
      <c r="N8356">
        <f>IF(L8356="", "", L8356-B8356)</f>
        <v/>
      </c>
      <c r="O8356">
        <f>IF(L8356="", "Pending", IF(N8356&lt;=30, "Met", "Breached"))</f>
        <v/>
      </c>
      <c r="P8356" s="8" t="n"/>
      <c r="Q8356" s="8" t="n"/>
      <c r="R8356" s="8" t="n"/>
      <c r="S8356" s="8" t="n"/>
      <c r="T8356" s="8" t="n"/>
      <c r="U8356" s="8" t="n"/>
      <c r="V8356" s="8" t="n"/>
      <c r="W8356" s="8" t="n"/>
      <c r="X8356" s="8" t="n"/>
      <c r="Y8356" s="8" t="n"/>
    </row>
    <row r="8357">
      <c r="A8357" s="8" t="n"/>
      <c r="B8357" s="8" t="n"/>
      <c r="C8357" s="8" t="n"/>
      <c r="D8357" s="8" t="n"/>
      <c r="E8357" s="8" t="n"/>
      <c r="F8357" s="8" t="n"/>
      <c r="G8357" s="8" t="n"/>
      <c r="H8357" s="8" t="n"/>
      <c r="I8357" s="8" t="n"/>
      <c r="J8357" s="8" t="n"/>
      <c r="K8357" s="8" t="n"/>
      <c r="L8357" s="8" t="n"/>
      <c r="M8357" s="9">
        <f>B8357+30</f>
        <v/>
      </c>
      <c r="N8357">
        <f>IF(L8357="", "", L8357-B8357)</f>
        <v/>
      </c>
      <c r="O8357">
        <f>IF(L8357="", "Pending", IF(N8357&lt;=30, "Met", "Breached"))</f>
        <v/>
      </c>
      <c r="P8357" s="8" t="n"/>
      <c r="Q8357" s="8" t="n"/>
      <c r="R8357" s="8" t="n"/>
      <c r="S8357" s="8" t="n"/>
      <c r="T8357" s="8" t="n"/>
      <c r="U8357" s="8" t="n"/>
      <c r="V8357" s="8" t="n"/>
      <c r="W8357" s="8" t="n"/>
      <c r="X8357" s="8" t="n"/>
      <c r="Y8357" s="8" t="n"/>
    </row>
    <row r="8358">
      <c r="A8358" s="8" t="n"/>
      <c r="B8358" s="8" t="n"/>
      <c r="C8358" s="8" t="n"/>
      <c r="D8358" s="8" t="n"/>
      <c r="E8358" s="8" t="n"/>
      <c r="F8358" s="8" t="n"/>
      <c r="G8358" s="8" t="n"/>
      <c r="H8358" s="8" t="n"/>
      <c r="I8358" s="8" t="n"/>
      <c r="J8358" s="8" t="n"/>
      <c r="K8358" s="8" t="n"/>
      <c r="L8358" s="8" t="n"/>
      <c r="M8358" s="9">
        <f>B8358+30</f>
        <v/>
      </c>
      <c r="N8358">
        <f>IF(L8358="", "", L8358-B8358)</f>
        <v/>
      </c>
      <c r="O8358">
        <f>IF(L8358="", "Pending", IF(N8358&lt;=30, "Met", "Breached"))</f>
        <v/>
      </c>
      <c r="P8358" s="8" t="n"/>
      <c r="Q8358" s="8" t="n"/>
      <c r="R8358" s="8" t="n"/>
      <c r="S8358" s="8" t="n"/>
      <c r="T8358" s="8" t="n"/>
      <c r="U8358" s="8" t="n"/>
      <c r="V8358" s="8" t="n"/>
      <c r="W8358" s="8" t="n"/>
      <c r="X8358" s="8" t="n"/>
      <c r="Y8358" s="8" t="n"/>
    </row>
    <row r="8359">
      <c r="A8359" s="8" t="n"/>
      <c r="B8359" s="8" t="n"/>
      <c r="C8359" s="8" t="n"/>
      <c r="D8359" s="8" t="n"/>
      <c r="E8359" s="8" t="n"/>
      <c r="F8359" s="8" t="n"/>
      <c r="G8359" s="8" t="n"/>
      <c r="H8359" s="8" t="n"/>
      <c r="I8359" s="8" t="n"/>
      <c r="J8359" s="8" t="n"/>
      <c r="K8359" s="8" t="n"/>
      <c r="L8359" s="8" t="n"/>
      <c r="M8359" s="9">
        <f>B8359+30</f>
        <v/>
      </c>
      <c r="N8359">
        <f>IF(L8359="", "", L8359-B8359)</f>
        <v/>
      </c>
      <c r="O8359">
        <f>IF(L8359="", "Pending", IF(N8359&lt;=30, "Met", "Breached"))</f>
        <v/>
      </c>
      <c r="P8359" s="8" t="n"/>
      <c r="Q8359" s="8" t="n"/>
      <c r="R8359" s="8" t="n"/>
      <c r="S8359" s="8" t="n"/>
      <c r="T8359" s="8" t="n"/>
      <c r="U8359" s="8" t="n"/>
      <c r="V8359" s="8" t="n"/>
      <c r="W8359" s="8" t="n"/>
      <c r="X8359" s="8" t="n"/>
      <c r="Y8359" s="8" t="n"/>
    </row>
    <row r="8360">
      <c r="A8360" s="8" t="n"/>
      <c r="B8360" s="8" t="n"/>
      <c r="C8360" s="8" t="n"/>
      <c r="D8360" s="8" t="n"/>
      <c r="E8360" s="8" t="n"/>
      <c r="F8360" s="8" t="n"/>
      <c r="G8360" s="8" t="n"/>
      <c r="H8360" s="8" t="n"/>
      <c r="I8360" s="8" t="n"/>
      <c r="J8360" s="8" t="n"/>
      <c r="K8360" s="8" t="n"/>
      <c r="L8360" s="8" t="n"/>
      <c r="M8360" s="9">
        <f>B8360+30</f>
        <v/>
      </c>
      <c r="N8360">
        <f>IF(L8360="", "", L8360-B8360)</f>
        <v/>
      </c>
      <c r="O8360">
        <f>IF(L8360="", "Pending", IF(N8360&lt;=30, "Met", "Breached"))</f>
        <v/>
      </c>
      <c r="P8360" s="8" t="n"/>
      <c r="Q8360" s="8" t="n"/>
      <c r="R8360" s="8" t="n"/>
      <c r="S8360" s="8" t="n"/>
      <c r="T8360" s="8" t="n"/>
      <c r="U8360" s="8" t="n"/>
      <c r="V8360" s="8" t="n"/>
      <c r="W8360" s="8" t="n"/>
      <c r="X8360" s="8" t="n"/>
      <c r="Y8360" s="8" t="n"/>
    </row>
    <row r="8361">
      <c r="A8361" s="8" t="n"/>
      <c r="B8361" s="8" t="n"/>
      <c r="C8361" s="8" t="n"/>
      <c r="D8361" s="8" t="n"/>
      <c r="E8361" s="8" t="n"/>
      <c r="F8361" s="8" t="n"/>
      <c r="G8361" s="8" t="n"/>
      <c r="H8361" s="8" t="n"/>
      <c r="I8361" s="8" t="n"/>
      <c r="J8361" s="8" t="n"/>
      <c r="K8361" s="8" t="n"/>
      <c r="L8361" s="8" t="n"/>
      <c r="M8361" s="9">
        <f>B8361+30</f>
        <v/>
      </c>
      <c r="N8361">
        <f>IF(L8361="", "", L8361-B8361)</f>
        <v/>
      </c>
      <c r="O8361">
        <f>IF(L8361="", "Pending", IF(N8361&lt;=30, "Met", "Breached"))</f>
        <v/>
      </c>
      <c r="P8361" s="8" t="n"/>
      <c r="Q8361" s="8" t="n"/>
      <c r="R8361" s="8" t="n"/>
      <c r="S8361" s="8" t="n"/>
      <c r="T8361" s="8" t="n"/>
      <c r="U8361" s="8" t="n"/>
      <c r="V8361" s="8" t="n"/>
      <c r="W8361" s="8" t="n"/>
      <c r="X8361" s="8" t="n"/>
      <c r="Y8361" s="8" t="n"/>
    </row>
    <row r="8362">
      <c r="A8362" s="8" t="n"/>
      <c r="B8362" s="8" t="n"/>
      <c r="C8362" s="8" t="n"/>
      <c r="D8362" s="8" t="n"/>
      <c r="E8362" s="8" t="n"/>
      <c r="F8362" s="8" t="n"/>
      <c r="G8362" s="8" t="n"/>
      <c r="H8362" s="8" t="n"/>
      <c r="I8362" s="8" t="n"/>
      <c r="J8362" s="8" t="n"/>
      <c r="K8362" s="8" t="n"/>
      <c r="L8362" s="8" t="n"/>
      <c r="M8362" s="9">
        <f>B8362+30</f>
        <v/>
      </c>
      <c r="N8362">
        <f>IF(L8362="", "", L8362-B8362)</f>
        <v/>
      </c>
      <c r="O8362">
        <f>IF(L8362="", "Pending", IF(N8362&lt;=30, "Met", "Breached"))</f>
        <v/>
      </c>
      <c r="P8362" s="8" t="n"/>
      <c r="Q8362" s="8" t="n"/>
      <c r="R8362" s="8" t="n"/>
      <c r="S8362" s="8" t="n"/>
      <c r="T8362" s="8" t="n"/>
      <c r="U8362" s="8" t="n"/>
      <c r="V8362" s="8" t="n"/>
      <c r="W8362" s="8" t="n"/>
      <c r="X8362" s="8" t="n"/>
      <c r="Y8362" s="8" t="n"/>
    </row>
    <row r="8363">
      <c r="A8363" s="8" t="n"/>
      <c r="B8363" s="8" t="n"/>
      <c r="C8363" s="8" t="n"/>
      <c r="D8363" s="8" t="n"/>
      <c r="E8363" s="8" t="n"/>
      <c r="F8363" s="8" t="n"/>
      <c r="G8363" s="8" t="n"/>
      <c r="H8363" s="8" t="n"/>
      <c r="I8363" s="8" t="n"/>
      <c r="J8363" s="8" t="n"/>
      <c r="K8363" s="8" t="n"/>
      <c r="L8363" s="8" t="n"/>
      <c r="M8363" s="9">
        <f>B8363+30</f>
        <v/>
      </c>
      <c r="N8363">
        <f>IF(L8363="", "", L8363-B8363)</f>
        <v/>
      </c>
      <c r="O8363">
        <f>IF(L8363="", "Pending", IF(N8363&lt;=30, "Met", "Breached"))</f>
        <v/>
      </c>
      <c r="P8363" s="8" t="n"/>
      <c r="Q8363" s="8" t="n"/>
      <c r="R8363" s="8" t="n"/>
      <c r="S8363" s="8" t="n"/>
      <c r="T8363" s="8" t="n"/>
      <c r="U8363" s="8" t="n"/>
      <c r="V8363" s="8" t="n"/>
      <c r="W8363" s="8" t="n"/>
      <c r="X8363" s="8" t="n"/>
      <c r="Y8363" s="8" t="n"/>
    </row>
    <row r="8364">
      <c r="A8364" s="8" t="n"/>
      <c r="B8364" s="8" t="n"/>
      <c r="C8364" s="8" t="n"/>
      <c r="D8364" s="8" t="n"/>
      <c r="E8364" s="8" t="n"/>
      <c r="F8364" s="8" t="n"/>
      <c r="G8364" s="8" t="n"/>
      <c r="H8364" s="8" t="n"/>
      <c r="I8364" s="8" t="n"/>
      <c r="J8364" s="8" t="n"/>
      <c r="K8364" s="8" t="n"/>
      <c r="L8364" s="8" t="n"/>
      <c r="M8364" s="9">
        <f>B8364+30</f>
        <v/>
      </c>
      <c r="N8364">
        <f>IF(L8364="", "", L8364-B8364)</f>
        <v/>
      </c>
      <c r="O8364">
        <f>IF(L8364="", "Pending", IF(N8364&lt;=30, "Met", "Breached"))</f>
        <v/>
      </c>
      <c r="P8364" s="8" t="n"/>
      <c r="Q8364" s="8" t="n"/>
      <c r="R8364" s="8" t="n"/>
      <c r="S8364" s="8" t="n"/>
      <c r="T8364" s="8" t="n"/>
      <c r="U8364" s="8" t="n"/>
      <c r="V8364" s="8" t="n"/>
      <c r="W8364" s="8" t="n"/>
      <c r="X8364" s="8" t="n"/>
      <c r="Y8364" s="8" t="n"/>
    </row>
    <row r="8365">
      <c r="A8365" s="8" t="n"/>
      <c r="B8365" s="8" t="n"/>
      <c r="C8365" s="8" t="n"/>
      <c r="D8365" s="8" t="n"/>
      <c r="E8365" s="8" t="n"/>
      <c r="F8365" s="8" t="n"/>
      <c r="G8365" s="8" t="n"/>
      <c r="H8365" s="8" t="n"/>
      <c r="I8365" s="8" t="n"/>
      <c r="J8365" s="8" t="n"/>
      <c r="K8365" s="8" t="n"/>
      <c r="L8365" s="8" t="n"/>
      <c r="M8365" s="9">
        <f>B8365+30</f>
        <v/>
      </c>
      <c r="N8365">
        <f>IF(L8365="", "", L8365-B8365)</f>
        <v/>
      </c>
      <c r="O8365">
        <f>IF(L8365="", "Pending", IF(N8365&lt;=30, "Met", "Breached"))</f>
        <v/>
      </c>
      <c r="P8365" s="8" t="n"/>
      <c r="Q8365" s="8" t="n"/>
      <c r="R8365" s="8" t="n"/>
      <c r="S8365" s="8" t="n"/>
      <c r="T8365" s="8" t="n"/>
      <c r="U8365" s="8" t="n"/>
      <c r="V8365" s="8" t="n"/>
      <c r="W8365" s="8" t="n"/>
      <c r="X8365" s="8" t="n"/>
      <c r="Y8365" s="8" t="n"/>
    </row>
    <row r="8366">
      <c r="A8366" s="8" t="n"/>
      <c r="B8366" s="8" t="n"/>
      <c r="C8366" s="8" t="n"/>
      <c r="D8366" s="8" t="n"/>
      <c r="E8366" s="8" t="n"/>
      <c r="F8366" s="8" t="n"/>
      <c r="G8366" s="8" t="n"/>
      <c r="H8366" s="8" t="n"/>
      <c r="I8366" s="8" t="n"/>
      <c r="J8366" s="8" t="n"/>
      <c r="K8366" s="8" t="n"/>
      <c r="L8366" s="8" t="n"/>
      <c r="M8366" s="9">
        <f>B8366+30</f>
        <v/>
      </c>
      <c r="N8366">
        <f>IF(L8366="", "", L8366-B8366)</f>
        <v/>
      </c>
      <c r="O8366">
        <f>IF(L8366="", "Pending", IF(N8366&lt;=30, "Met", "Breached"))</f>
        <v/>
      </c>
      <c r="P8366" s="8" t="n"/>
      <c r="Q8366" s="8" t="n"/>
      <c r="R8366" s="8" t="n"/>
      <c r="S8366" s="8" t="n"/>
      <c r="T8366" s="8" t="n"/>
      <c r="U8366" s="8" t="n"/>
      <c r="V8366" s="8" t="n"/>
      <c r="W8366" s="8" t="n"/>
      <c r="X8366" s="8" t="n"/>
      <c r="Y8366" s="8" t="n"/>
    </row>
    <row r="8367">
      <c r="A8367" s="8" t="n"/>
      <c r="B8367" s="8" t="n"/>
      <c r="C8367" s="8" t="n"/>
      <c r="D8367" s="8" t="n"/>
      <c r="E8367" s="8" t="n"/>
      <c r="F8367" s="8" t="n"/>
      <c r="G8367" s="8" t="n"/>
      <c r="H8367" s="8" t="n"/>
      <c r="I8367" s="8" t="n"/>
      <c r="J8367" s="8" t="n"/>
      <c r="K8367" s="8" t="n"/>
      <c r="L8367" s="8" t="n"/>
      <c r="M8367" s="9">
        <f>B8367+30</f>
        <v/>
      </c>
      <c r="N8367">
        <f>IF(L8367="", "", L8367-B8367)</f>
        <v/>
      </c>
      <c r="O8367">
        <f>IF(L8367="", "Pending", IF(N8367&lt;=30, "Met", "Breached"))</f>
        <v/>
      </c>
      <c r="P8367" s="8" t="n"/>
      <c r="Q8367" s="8" t="n"/>
      <c r="R8367" s="8" t="n"/>
      <c r="S8367" s="8" t="n"/>
      <c r="T8367" s="8" t="n"/>
      <c r="U8367" s="8" t="n"/>
      <c r="V8367" s="8" t="n"/>
      <c r="W8367" s="8" t="n"/>
      <c r="X8367" s="8" t="n"/>
      <c r="Y8367" s="8" t="n"/>
    </row>
    <row r="8368">
      <c r="A8368" s="8" t="n"/>
      <c r="B8368" s="8" t="n"/>
      <c r="C8368" s="8" t="n"/>
      <c r="D8368" s="8" t="n"/>
      <c r="E8368" s="8" t="n"/>
      <c r="F8368" s="8" t="n"/>
      <c r="G8368" s="8" t="n"/>
      <c r="H8368" s="8" t="n"/>
      <c r="I8368" s="8" t="n"/>
      <c r="J8368" s="8" t="n"/>
      <c r="K8368" s="8" t="n"/>
      <c r="L8368" s="8" t="n"/>
      <c r="M8368" s="9">
        <f>B8368+30</f>
        <v/>
      </c>
      <c r="N8368">
        <f>IF(L8368="", "", L8368-B8368)</f>
        <v/>
      </c>
      <c r="O8368">
        <f>IF(L8368="", "Pending", IF(N8368&lt;=30, "Met", "Breached"))</f>
        <v/>
      </c>
      <c r="P8368" s="8" t="n"/>
      <c r="Q8368" s="8" t="n"/>
      <c r="R8368" s="8" t="n"/>
      <c r="S8368" s="8" t="n"/>
      <c r="T8368" s="8" t="n"/>
      <c r="U8368" s="8" t="n"/>
      <c r="V8368" s="8" t="n"/>
      <c r="W8368" s="8" t="n"/>
      <c r="X8368" s="8" t="n"/>
      <c r="Y8368" s="8" t="n"/>
    </row>
    <row r="8369">
      <c r="A8369" s="8" t="n"/>
      <c r="B8369" s="8" t="n"/>
      <c r="C8369" s="8" t="n"/>
      <c r="D8369" s="8" t="n"/>
      <c r="E8369" s="8" t="n"/>
      <c r="F8369" s="8" t="n"/>
      <c r="G8369" s="8" t="n"/>
      <c r="H8369" s="8" t="n"/>
      <c r="I8369" s="8" t="n"/>
      <c r="J8369" s="8" t="n"/>
      <c r="K8369" s="8" t="n"/>
      <c r="L8369" s="8" t="n"/>
      <c r="M8369" s="9">
        <f>B8369+30</f>
        <v/>
      </c>
      <c r="N8369">
        <f>IF(L8369="", "", L8369-B8369)</f>
        <v/>
      </c>
      <c r="O8369">
        <f>IF(L8369="", "Pending", IF(N8369&lt;=30, "Met", "Breached"))</f>
        <v/>
      </c>
      <c r="P8369" s="8" t="n"/>
      <c r="Q8369" s="8" t="n"/>
      <c r="R8369" s="8" t="n"/>
      <c r="S8369" s="8" t="n"/>
      <c r="T8369" s="8" t="n"/>
      <c r="U8369" s="8" t="n"/>
      <c r="V8369" s="8" t="n"/>
      <c r="W8369" s="8" t="n"/>
      <c r="X8369" s="8" t="n"/>
      <c r="Y8369" s="8" t="n"/>
    </row>
    <row r="8370">
      <c r="A8370" s="8" t="n"/>
      <c r="B8370" s="8" t="n"/>
      <c r="C8370" s="8" t="n"/>
      <c r="D8370" s="8" t="n"/>
      <c r="E8370" s="8" t="n"/>
      <c r="F8370" s="8" t="n"/>
      <c r="G8370" s="8" t="n"/>
      <c r="H8370" s="8" t="n"/>
      <c r="I8370" s="8" t="n"/>
      <c r="J8370" s="8" t="n"/>
      <c r="K8370" s="8" t="n"/>
      <c r="L8370" s="8" t="n"/>
      <c r="M8370" s="9">
        <f>B8370+30</f>
        <v/>
      </c>
      <c r="N8370">
        <f>IF(L8370="", "", L8370-B8370)</f>
        <v/>
      </c>
      <c r="O8370">
        <f>IF(L8370="", "Pending", IF(N8370&lt;=30, "Met", "Breached"))</f>
        <v/>
      </c>
      <c r="P8370" s="8" t="n"/>
      <c r="Q8370" s="8" t="n"/>
      <c r="R8370" s="8" t="n"/>
      <c r="S8370" s="8" t="n"/>
      <c r="T8370" s="8" t="n"/>
      <c r="U8370" s="8" t="n"/>
      <c r="V8370" s="8" t="n"/>
      <c r="W8370" s="8" t="n"/>
      <c r="X8370" s="8" t="n"/>
      <c r="Y8370" s="8" t="n"/>
    </row>
    <row r="8371">
      <c r="A8371" s="8" t="n"/>
      <c r="B8371" s="8" t="n"/>
      <c r="C8371" s="8" t="n"/>
      <c r="D8371" s="8" t="n"/>
      <c r="E8371" s="8" t="n"/>
      <c r="F8371" s="8" t="n"/>
      <c r="G8371" s="8" t="n"/>
      <c r="H8371" s="8" t="n"/>
      <c r="I8371" s="8" t="n"/>
      <c r="J8371" s="8" t="n"/>
      <c r="K8371" s="8" t="n"/>
      <c r="L8371" s="8" t="n"/>
      <c r="M8371" s="9">
        <f>B8371+30</f>
        <v/>
      </c>
      <c r="N8371">
        <f>IF(L8371="", "", L8371-B8371)</f>
        <v/>
      </c>
      <c r="O8371">
        <f>IF(L8371="", "Pending", IF(N8371&lt;=30, "Met", "Breached"))</f>
        <v/>
      </c>
      <c r="P8371" s="8" t="n"/>
      <c r="Q8371" s="8" t="n"/>
      <c r="R8371" s="8" t="n"/>
      <c r="S8371" s="8" t="n"/>
      <c r="T8371" s="8" t="n"/>
      <c r="U8371" s="8" t="n"/>
      <c r="V8371" s="8" t="n"/>
      <c r="W8371" s="8" t="n"/>
      <c r="X8371" s="8" t="n"/>
      <c r="Y8371" s="8" t="n"/>
    </row>
    <row r="8372">
      <c r="A8372" s="8" t="n"/>
      <c r="B8372" s="8" t="n"/>
      <c r="C8372" s="8" t="n"/>
      <c r="D8372" s="8" t="n"/>
      <c r="E8372" s="8" t="n"/>
      <c r="F8372" s="8" t="n"/>
      <c r="G8372" s="8" t="n"/>
      <c r="H8372" s="8" t="n"/>
      <c r="I8372" s="8" t="n"/>
      <c r="J8372" s="8" t="n"/>
      <c r="K8372" s="8" t="n"/>
      <c r="L8372" s="8" t="n"/>
      <c r="M8372" s="9">
        <f>B8372+30</f>
        <v/>
      </c>
      <c r="N8372">
        <f>IF(L8372="", "", L8372-B8372)</f>
        <v/>
      </c>
      <c r="O8372">
        <f>IF(L8372="", "Pending", IF(N8372&lt;=30, "Met", "Breached"))</f>
        <v/>
      </c>
      <c r="P8372" s="8" t="n"/>
      <c r="Q8372" s="8" t="n"/>
      <c r="R8372" s="8" t="n"/>
      <c r="S8372" s="8" t="n"/>
      <c r="T8372" s="8" t="n"/>
      <c r="U8372" s="8" t="n"/>
      <c r="V8372" s="8" t="n"/>
      <c r="W8372" s="8" t="n"/>
      <c r="X8372" s="8" t="n"/>
      <c r="Y8372" s="8" t="n"/>
    </row>
    <row r="8373">
      <c r="A8373" s="8" t="n"/>
      <c r="B8373" s="8" t="n"/>
      <c r="C8373" s="8" t="n"/>
      <c r="D8373" s="8" t="n"/>
      <c r="E8373" s="8" t="n"/>
      <c r="F8373" s="8" t="n"/>
      <c r="G8373" s="8" t="n"/>
      <c r="H8373" s="8" t="n"/>
      <c r="I8373" s="8" t="n"/>
      <c r="J8373" s="8" t="n"/>
      <c r="K8373" s="8" t="n"/>
      <c r="L8373" s="8" t="n"/>
      <c r="M8373" s="9">
        <f>B8373+30</f>
        <v/>
      </c>
      <c r="N8373">
        <f>IF(L8373="", "", L8373-B8373)</f>
        <v/>
      </c>
      <c r="O8373">
        <f>IF(L8373="", "Pending", IF(N8373&lt;=30, "Met", "Breached"))</f>
        <v/>
      </c>
      <c r="P8373" s="8" t="n"/>
      <c r="Q8373" s="8" t="n"/>
      <c r="R8373" s="8" t="n"/>
      <c r="S8373" s="8" t="n"/>
      <c r="T8373" s="8" t="n"/>
      <c r="U8373" s="8" t="n"/>
      <c r="V8373" s="8" t="n"/>
      <c r="W8373" s="8" t="n"/>
      <c r="X8373" s="8" t="n"/>
      <c r="Y8373" s="8" t="n"/>
    </row>
    <row r="8374">
      <c r="A8374" s="8" t="n"/>
      <c r="B8374" s="8" t="n"/>
      <c r="C8374" s="8" t="n"/>
      <c r="D8374" s="8" t="n"/>
      <c r="E8374" s="8" t="n"/>
      <c r="F8374" s="8" t="n"/>
      <c r="G8374" s="8" t="n"/>
      <c r="H8374" s="8" t="n"/>
      <c r="I8374" s="8" t="n"/>
      <c r="J8374" s="8" t="n"/>
      <c r="K8374" s="8" t="n"/>
      <c r="L8374" s="8" t="n"/>
      <c r="M8374" s="9">
        <f>B8374+30</f>
        <v/>
      </c>
      <c r="N8374">
        <f>IF(L8374="", "", L8374-B8374)</f>
        <v/>
      </c>
      <c r="O8374">
        <f>IF(L8374="", "Pending", IF(N8374&lt;=30, "Met", "Breached"))</f>
        <v/>
      </c>
      <c r="P8374" s="8" t="n"/>
      <c r="Q8374" s="8" t="n"/>
      <c r="R8374" s="8" t="n"/>
      <c r="S8374" s="8" t="n"/>
      <c r="T8374" s="8" t="n"/>
      <c r="U8374" s="8" t="n"/>
      <c r="V8374" s="8" t="n"/>
      <c r="W8374" s="8" t="n"/>
      <c r="X8374" s="8" t="n"/>
      <c r="Y8374" s="8" t="n"/>
    </row>
    <row r="8375">
      <c r="A8375" s="8" t="n"/>
      <c r="B8375" s="8" t="n"/>
      <c r="C8375" s="8" t="n"/>
      <c r="D8375" s="8" t="n"/>
      <c r="E8375" s="8" t="n"/>
      <c r="F8375" s="8" t="n"/>
      <c r="G8375" s="8" t="n"/>
      <c r="H8375" s="8" t="n"/>
      <c r="I8375" s="8" t="n"/>
      <c r="J8375" s="8" t="n"/>
      <c r="K8375" s="8" t="n"/>
      <c r="L8375" s="8" t="n"/>
      <c r="M8375" s="9">
        <f>B8375+30</f>
        <v/>
      </c>
      <c r="N8375">
        <f>IF(L8375="", "", L8375-B8375)</f>
        <v/>
      </c>
      <c r="O8375">
        <f>IF(L8375="", "Pending", IF(N8375&lt;=30, "Met", "Breached"))</f>
        <v/>
      </c>
      <c r="P8375" s="8" t="n"/>
      <c r="Q8375" s="8" t="n"/>
      <c r="R8375" s="8" t="n"/>
      <c r="S8375" s="8" t="n"/>
      <c r="T8375" s="8" t="n"/>
      <c r="U8375" s="8" t="n"/>
      <c r="V8375" s="8" t="n"/>
      <c r="W8375" s="8" t="n"/>
      <c r="X8375" s="8" t="n"/>
      <c r="Y8375" s="8" t="n"/>
    </row>
    <row r="8376">
      <c r="A8376" s="8" t="n"/>
      <c r="B8376" s="8" t="n"/>
      <c r="C8376" s="8" t="n"/>
      <c r="D8376" s="8" t="n"/>
      <c r="E8376" s="8" t="n"/>
      <c r="F8376" s="8" t="n"/>
      <c r="G8376" s="8" t="n"/>
      <c r="H8376" s="8" t="n"/>
      <c r="I8376" s="8" t="n"/>
      <c r="J8376" s="8" t="n"/>
      <c r="K8376" s="8" t="n"/>
      <c r="L8376" s="8" t="n"/>
      <c r="M8376" s="9">
        <f>B8376+30</f>
        <v/>
      </c>
      <c r="N8376">
        <f>IF(L8376="", "", L8376-B8376)</f>
        <v/>
      </c>
      <c r="O8376">
        <f>IF(L8376="", "Pending", IF(N8376&lt;=30, "Met", "Breached"))</f>
        <v/>
      </c>
      <c r="P8376" s="8" t="n"/>
      <c r="Q8376" s="8" t="n"/>
      <c r="R8376" s="8" t="n"/>
      <c r="S8376" s="8" t="n"/>
      <c r="T8376" s="8" t="n"/>
      <c r="U8376" s="8" t="n"/>
      <c r="V8376" s="8" t="n"/>
      <c r="W8376" s="8" t="n"/>
      <c r="X8376" s="8" t="n"/>
      <c r="Y8376" s="8" t="n"/>
    </row>
    <row r="8377">
      <c r="A8377" s="8" t="n"/>
      <c r="B8377" s="8" t="n"/>
      <c r="C8377" s="8" t="n"/>
      <c r="D8377" s="8" t="n"/>
      <c r="E8377" s="8" t="n"/>
      <c r="F8377" s="8" t="n"/>
      <c r="G8377" s="8" t="n"/>
      <c r="H8377" s="8" t="n"/>
      <c r="I8377" s="8" t="n"/>
      <c r="J8377" s="8" t="n"/>
      <c r="K8377" s="8" t="n"/>
      <c r="L8377" s="8" t="n"/>
      <c r="M8377" s="9">
        <f>B8377+30</f>
        <v/>
      </c>
      <c r="N8377">
        <f>IF(L8377="", "", L8377-B8377)</f>
        <v/>
      </c>
      <c r="O8377">
        <f>IF(L8377="", "Pending", IF(N8377&lt;=30, "Met", "Breached"))</f>
        <v/>
      </c>
      <c r="P8377" s="8" t="n"/>
      <c r="Q8377" s="8" t="n"/>
      <c r="R8377" s="8" t="n"/>
      <c r="S8377" s="8" t="n"/>
      <c r="T8377" s="8" t="n"/>
      <c r="U8377" s="8" t="n"/>
      <c r="V8377" s="8" t="n"/>
      <c r="W8377" s="8" t="n"/>
      <c r="X8377" s="8" t="n"/>
      <c r="Y8377" s="8" t="n"/>
    </row>
    <row r="8378">
      <c r="A8378" s="8" t="n"/>
      <c r="B8378" s="8" t="n"/>
      <c r="C8378" s="8" t="n"/>
      <c r="D8378" s="8" t="n"/>
      <c r="E8378" s="8" t="n"/>
      <c r="F8378" s="8" t="n"/>
      <c r="G8378" s="8" t="n"/>
      <c r="H8378" s="8" t="n"/>
      <c r="I8378" s="8" t="n"/>
      <c r="J8378" s="8" t="n"/>
      <c r="K8378" s="8" t="n"/>
      <c r="L8378" s="8" t="n"/>
      <c r="M8378" s="9">
        <f>B8378+30</f>
        <v/>
      </c>
      <c r="N8378">
        <f>IF(L8378="", "", L8378-B8378)</f>
        <v/>
      </c>
      <c r="O8378">
        <f>IF(L8378="", "Pending", IF(N8378&lt;=30, "Met", "Breached"))</f>
        <v/>
      </c>
      <c r="P8378" s="8" t="n"/>
      <c r="Q8378" s="8" t="n"/>
      <c r="R8378" s="8" t="n"/>
      <c r="S8378" s="8" t="n"/>
      <c r="T8378" s="8" t="n"/>
      <c r="U8378" s="8" t="n"/>
      <c r="V8378" s="8" t="n"/>
      <c r="W8378" s="8" t="n"/>
      <c r="X8378" s="8" t="n"/>
      <c r="Y8378" s="8" t="n"/>
    </row>
    <row r="8379">
      <c r="A8379" s="8" t="n"/>
      <c r="B8379" s="8" t="n"/>
      <c r="C8379" s="8" t="n"/>
      <c r="D8379" s="8" t="n"/>
      <c r="E8379" s="8" t="n"/>
      <c r="F8379" s="8" t="n"/>
      <c r="G8379" s="8" t="n"/>
      <c r="H8379" s="8" t="n"/>
      <c r="I8379" s="8" t="n"/>
      <c r="J8379" s="8" t="n"/>
      <c r="K8379" s="8" t="n"/>
      <c r="L8379" s="8" t="n"/>
      <c r="M8379" s="9">
        <f>B8379+30</f>
        <v/>
      </c>
      <c r="N8379">
        <f>IF(L8379="", "", L8379-B8379)</f>
        <v/>
      </c>
      <c r="O8379">
        <f>IF(L8379="", "Pending", IF(N8379&lt;=30, "Met", "Breached"))</f>
        <v/>
      </c>
      <c r="P8379" s="8" t="n"/>
      <c r="Q8379" s="8" t="n"/>
      <c r="R8379" s="8" t="n"/>
      <c r="S8379" s="8" t="n"/>
      <c r="T8379" s="8" t="n"/>
      <c r="U8379" s="8" t="n"/>
      <c r="V8379" s="8" t="n"/>
      <c r="W8379" s="8" t="n"/>
      <c r="X8379" s="8" t="n"/>
      <c r="Y8379" s="8" t="n"/>
    </row>
    <row r="8380">
      <c r="A8380" s="8" t="n"/>
      <c r="B8380" s="8" t="n"/>
      <c r="C8380" s="8" t="n"/>
      <c r="D8380" s="8" t="n"/>
      <c r="E8380" s="8" t="n"/>
      <c r="F8380" s="8" t="n"/>
      <c r="G8380" s="8" t="n"/>
      <c r="H8380" s="8" t="n"/>
      <c r="I8380" s="8" t="n"/>
      <c r="J8380" s="8" t="n"/>
      <c r="K8380" s="8" t="n"/>
      <c r="L8380" s="8" t="n"/>
      <c r="M8380" s="9">
        <f>B8380+30</f>
        <v/>
      </c>
      <c r="N8380">
        <f>IF(L8380="", "", L8380-B8380)</f>
        <v/>
      </c>
      <c r="O8380">
        <f>IF(L8380="", "Pending", IF(N8380&lt;=30, "Met", "Breached"))</f>
        <v/>
      </c>
      <c r="P8380" s="8" t="n"/>
      <c r="Q8380" s="8" t="n"/>
      <c r="R8380" s="8" t="n"/>
      <c r="S8380" s="8" t="n"/>
      <c r="T8380" s="8" t="n"/>
      <c r="U8380" s="8" t="n"/>
      <c r="V8380" s="8" t="n"/>
      <c r="W8380" s="8" t="n"/>
      <c r="X8380" s="8" t="n"/>
      <c r="Y8380" s="8" t="n"/>
    </row>
    <row r="8381">
      <c r="A8381" s="8" t="n"/>
      <c r="B8381" s="8" t="n"/>
      <c r="C8381" s="8" t="n"/>
      <c r="D8381" s="8" t="n"/>
      <c r="E8381" s="8" t="n"/>
      <c r="F8381" s="8" t="n"/>
      <c r="G8381" s="8" t="n"/>
      <c r="H8381" s="8" t="n"/>
      <c r="I8381" s="8" t="n"/>
      <c r="J8381" s="8" t="n"/>
      <c r="K8381" s="8" t="n"/>
      <c r="L8381" s="8" t="n"/>
      <c r="M8381" s="9">
        <f>B8381+30</f>
        <v/>
      </c>
      <c r="N8381">
        <f>IF(L8381="", "", L8381-B8381)</f>
        <v/>
      </c>
      <c r="O8381">
        <f>IF(L8381="", "Pending", IF(N8381&lt;=30, "Met", "Breached"))</f>
        <v/>
      </c>
      <c r="P8381" s="8" t="n"/>
      <c r="Q8381" s="8" t="n"/>
      <c r="R8381" s="8" t="n"/>
      <c r="S8381" s="8" t="n"/>
      <c r="T8381" s="8" t="n"/>
      <c r="U8381" s="8" t="n"/>
      <c r="V8381" s="8" t="n"/>
      <c r="W8381" s="8" t="n"/>
      <c r="X8381" s="8" t="n"/>
      <c r="Y8381" s="8" t="n"/>
    </row>
    <row r="8382">
      <c r="A8382" s="8" t="n"/>
      <c r="B8382" s="8" t="n"/>
      <c r="C8382" s="8" t="n"/>
      <c r="D8382" s="8" t="n"/>
      <c r="E8382" s="8" t="n"/>
      <c r="F8382" s="8" t="n"/>
      <c r="G8382" s="8" t="n"/>
      <c r="H8382" s="8" t="n"/>
      <c r="I8382" s="8" t="n"/>
      <c r="J8382" s="8" t="n"/>
      <c r="K8382" s="8" t="n"/>
      <c r="L8382" s="8" t="n"/>
      <c r="M8382" s="9">
        <f>B8382+30</f>
        <v/>
      </c>
      <c r="N8382">
        <f>IF(L8382="", "", L8382-B8382)</f>
        <v/>
      </c>
      <c r="O8382">
        <f>IF(L8382="", "Pending", IF(N8382&lt;=30, "Met", "Breached"))</f>
        <v/>
      </c>
      <c r="P8382" s="8" t="n"/>
      <c r="Q8382" s="8" t="n"/>
      <c r="R8382" s="8" t="n"/>
      <c r="S8382" s="8" t="n"/>
      <c r="T8382" s="8" t="n"/>
      <c r="U8382" s="8" t="n"/>
      <c r="V8382" s="8" t="n"/>
      <c r="W8382" s="8" t="n"/>
      <c r="X8382" s="8" t="n"/>
      <c r="Y8382" s="8" t="n"/>
    </row>
    <row r="8383">
      <c r="A8383" s="8" t="n"/>
      <c r="B8383" s="8" t="n"/>
      <c r="C8383" s="8" t="n"/>
      <c r="D8383" s="8" t="n"/>
      <c r="E8383" s="8" t="n"/>
      <c r="F8383" s="8" t="n"/>
      <c r="G8383" s="8" t="n"/>
      <c r="H8383" s="8" t="n"/>
      <c r="I8383" s="8" t="n"/>
      <c r="J8383" s="8" t="n"/>
      <c r="K8383" s="8" t="n"/>
      <c r="L8383" s="8" t="n"/>
      <c r="M8383" s="9">
        <f>B8383+30</f>
        <v/>
      </c>
      <c r="N8383">
        <f>IF(L8383="", "", L8383-B8383)</f>
        <v/>
      </c>
      <c r="O8383">
        <f>IF(L8383="", "Pending", IF(N8383&lt;=30, "Met", "Breached"))</f>
        <v/>
      </c>
      <c r="P8383" s="8" t="n"/>
      <c r="Q8383" s="8" t="n"/>
      <c r="R8383" s="8" t="n"/>
      <c r="S8383" s="8" t="n"/>
      <c r="T8383" s="8" t="n"/>
      <c r="U8383" s="8" t="n"/>
      <c r="V8383" s="8" t="n"/>
      <c r="W8383" s="8" t="n"/>
      <c r="X8383" s="8" t="n"/>
      <c r="Y8383" s="8" t="n"/>
    </row>
    <row r="8384">
      <c r="A8384" s="8" t="n"/>
      <c r="B8384" s="8" t="n"/>
      <c r="C8384" s="8" t="n"/>
      <c r="D8384" s="8" t="n"/>
      <c r="E8384" s="8" t="n"/>
      <c r="F8384" s="8" t="n"/>
      <c r="G8384" s="8" t="n"/>
      <c r="H8384" s="8" t="n"/>
      <c r="I8384" s="8" t="n"/>
      <c r="J8384" s="8" t="n"/>
      <c r="K8384" s="8" t="n"/>
      <c r="L8384" s="8" t="n"/>
      <c r="M8384" s="9">
        <f>B8384+30</f>
        <v/>
      </c>
      <c r="N8384">
        <f>IF(L8384="", "", L8384-B8384)</f>
        <v/>
      </c>
      <c r="O8384">
        <f>IF(L8384="", "Pending", IF(N8384&lt;=30, "Met", "Breached"))</f>
        <v/>
      </c>
      <c r="P8384" s="8" t="n"/>
      <c r="Q8384" s="8" t="n"/>
      <c r="R8384" s="8" t="n"/>
      <c r="S8384" s="8" t="n"/>
      <c r="T8384" s="8" t="n"/>
      <c r="U8384" s="8" t="n"/>
      <c r="V8384" s="8" t="n"/>
      <c r="W8384" s="8" t="n"/>
      <c r="X8384" s="8" t="n"/>
      <c r="Y8384" s="8" t="n"/>
    </row>
    <row r="8385">
      <c r="A8385" s="8" t="n"/>
      <c r="B8385" s="8" t="n"/>
      <c r="C8385" s="8" t="n"/>
      <c r="D8385" s="8" t="n"/>
      <c r="E8385" s="8" t="n"/>
      <c r="F8385" s="8" t="n"/>
      <c r="G8385" s="8" t="n"/>
      <c r="H8385" s="8" t="n"/>
      <c r="I8385" s="8" t="n"/>
      <c r="J8385" s="8" t="n"/>
      <c r="K8385" s="8" t="n"/>
      <c r="L8385" s="8" t="n"/>
      <c r="M8385" s="9">
        <f>B8385+30</f>
        <v/>
      </c>
      <c r="N8385">
        <f>IF(L8385="", "", L8385-B8385)</f>
        <v/>
      </c>
      <c r="O8385">
        <f>IF(L8385="", "Pending", IF(N8385&lt;=30, "Met", "Breached"))</f>
        <v/>
      </c>
      <c r="P8385" s="8" t="n"/>
      <c r="Q8385" s="8" t="n"/>
      <c r="R8385" s="8" t="n"/>
      <c r="S8385" s="8" t="n"/>
      <c r="T8385" s="8" t="n"/>
      <c r="U8385" s="8" t="n"/>
      <c r="V8385" s="8" t="n"/>
      <c r="W8385" s="8" t="n"/>
      <c r="X8385" s="8" t="n"/>
      <c r="Y8385" s="8" t="n"/>
    </row>
    <row r="8386">
      <c r="A8386" s="8" t="n"/>
      <c r="B8386" s="8" t="n"/>
      <c r="C8386" s="8" t="n"/>
      <c r="D8386" s="8" t="n"/>
      <c r="E8386" s="8" t="n"/>
      <c r="F8386" s="8" t="n"/>
      <c r="G8386" s="8" t="n"/>
      <c r="H8386" s="8" t="n"/>
      <c r="I8386" s="8" t="n"/>
      <c r="J8386" s="8" t="n"/>
      <c r="K8386" s="8" t="n"/>
      <c r="L8386" s="8" t="n"/>
      <c r="M8386" s="9">
        <f>B8386+30</f>
        <v/>
      </c>
      <c r="N8386">
        <f>IF(L8386="", "", L8386-B8386)</f>
        <v/>
      </c>
      <c r="O8386">
        <f>IF(L8386="", "Pending", IF(N8386&lt;=30, "Met", "Breached"))</f>
        <v/>
      </c>
      <c r="P8386" s="8" t="n"/>
      <c r="Q8386" s="8" t="n"/>
      <c r="R8386" s="8" t="n"/>
      <c r="S8386" s="8" t="n"/>
      <c r="T8386" s="8" t="n"/>
      <c r="U8386" s="8" t="n"/>
      <c r="V8386" s="8" t="n"/>
      <c r="W8386" s="8" t="n"/>
      <c r="X8386" s="8" t="n"/>
      <c r="Y8386" s="8" t="n"/>
    </row>
    <row r="8387">
      <c r="A8387" s="8" t="n"/>
      <c r="B8387" s="8" t="n"/>
      <c r="C8387" s="8" t="n"/>
      <c r="D8387" s="8" t="n"/>
      <c r="E8387" s="8" t="n"/>
      <c r="F8387" s="8" t="n"/>
      <c r="G8387" s="8" t="n"/>
      <c r="H8387" s="8" t="n"/>
      <c r="I8387" s="8" t="n"/>
      <c r="J8387" s="8" t="n"/>
      <c r="K8387" s="8" t="n"/>
      <c r="L8387" s="8" t="n"/>
      <c r="M8387" s="9">
        <f>B8387+30</f>
        <v/>
      </c>
      <c r="N8387">
        <f>IF(L8387="", "", L8387-B8387)</f>
        <v/>
      </c>
      <c r="O8387">
        <f>IF(L8387="", "Pending", IF(N8387&lt;=30, "Met", "Breached"))</f>
        <v/>
      </c>
      <c r="P8387" s="8" t="n"/>
      <c r="Q8387" s="8" t="n"/>
      <c r="R8387" s="8" t="n"/>
      <c r="S8387" s="8" t="n"/>
      <c r="T8387" s="8" t="n"/>
      <c r="U8387" s="8" t="n"/>
      <c r="V8387" s="8" t="n"/>
      <c r="W8387" s="8" t="n"/>
      <c r="X8387" s="8" t="n"/>
      <c r="Y8387" s="8" t="n"/>
    </row>
    <row r="8388">
      <c r="A8388" s="8" t="n"/>
      <c r="B8388" s="8" t="n"/>
      <c r="C8388" s="8" t="n"/>
      <c r="D8388" s="8" t="n"/>
      <c r="E8388" s="8" t="n"/>
      <c r="F8388" s="8" t="n"/>
      <c r="G8388" s="8" t="n"/>
      <c r="H8388" s="8" t="n"/>
      <c r="I8388" s="8" t="n"/>
      <c r="J8388" s="8" t="n"/>
      <c r="K8388" s="8" t="n"/>
      <c r="L8388" s="8" t="n"/>
      <c r="M8388" s="9">
        <f>B8388+30</f>
        <v/>
      </c>
      <c r="N8388">
        <f>IF(L8388="", "", L8388-B8388)</f>
        <v/>
      </c>
      <c r="O8388">
        <f>IF(L8388="", "Pending", IF(N8388&lt;=30, "Met", "Breached"))</f>
        <v/>
      </c>
      <c r="P8388" s="8" t="n"/>
      <c r="Q8388" s="8" t="n"/>
      <c r="R8388" s="8" t="n"/>
      <c r="S8388" s="8" t="n"/>
      <c r="T8388" s="8" t="n"/>
      <c r="U8388" s="8" t="n"/>
      <c r="V8388" s="8" t="n"/>
      <c r="W8388" s="8" t="n"/>
      <c r="X8388" s="8" t="n"/>
      <c r="Y8388" s="8" t="n"/>
    </row>
    <row r="8389">
      <c r="A8389" s="8" t="n"/>
      <c r="B8389" s="8" t="n"/>
      <c r="C8389" s="8" t="n"/>
      <c r="D8389" s="8" t="n"/>
      <c r="E8389" s="8" t="n"/>
      <c r="F8389" s="8" t="n"/>
      <c r="G8389" s="8" t="n"/>
      <c r="H8389" s="8" t="n"/>
      <c r="I8389" s="8" t="n"/>
      <c r="J8389" s="8" t="n"/>
      <c r="K8389" s="8" t="n"/>
      <c r="L8389" s="8" t="n"/>
      <c r="M8389" s="9">
        <f>B8389+30</f>
        <v/>
      </c>
      <c r="N8389">
        <f>IF(L8389="", "", L8389-B8389)</f>
        <v/>
      </c>
      <c r="O8389">
        <f>IF(L8389="", "Pending", IF(N8389&lt;=30, "Met", "Breached"))</f>
        <v/>
      </c>
      <c r="P8389" s="8" t="n"/>
      <c r="Q8389" s="8" t="n"/>
      <c r="R8389" s="8" t="n"/>
      <c r="S8389" s="8" t="n"/>
      <c r="T8389" s="8" t="n"/>
      <c r="U8389" s="8" t="n"/>
      <c r="V8389" s="8" t="n"/>
      <c r="W8389" s="8" t="n"/>
      <c r="X8389" s="8" t="n"/>
      <c r="Y8389" s="8" t="n"/>
    </row>
    <row r="8390">
      <c r="A8390" s="8" t="n"/>
      <c r="B8390" s="8" t="n"/>
      <c r="C8390" s="8" t="n"/>
      <c r="D8390" s="8" t="n"/>
      <c r="E8390" s="8" t="n"/>
      <c r="F8390" s="8" t="n"/>
      <c r="G8390" s="8" t="n"/>
      <c r="H8390" s="8" t="n"/>
      <c r="I8390" s="8" t="n"/>
      <c r="J8390" s="8" t="n"/>
      <c r="K8390" s="8" t="n"/>
      <c r="L8390" s="8" t="n"/>
      <c r="M8390" s="9">
        <f>B8390+30</f>
        <v/>
      </c>
      <c r="N8390">
        <f>IF(L8390="", "", L8390-B8390)</f>
        <v/>
      </c>
      <c r="O8390">
        <f>IF(L8390="", "Pending", IF(N8390&lt;=30, "Met", "Breached"))</f>
        <v/>
      </c>
      <c r="P8390" s="8" t="n"/>
      <c r="Q8390" s="8" t="n"/>
      <c r="R8390" s="8" t="n"/>
      <c r="S8390" s="8" t="n"/>
      <c r="T8390" s="8" t="n"/>
      <c r="U8390" s="8" t="n"/>
      <c r="V8390" s="8" t="n"/>
      <c r="W8390" s="8" t="n"/>
      <c r="X8390" s="8" t="n"/>
      <c r="Y8390" s="8" t="n"/>
    </row>
    <row r="8391">
      <c r="A8391" s="8" t="n"/>
      <c r="B8391" s="8" t="n"/>
      <c r="C8391" s="8" t="n"/>
      <c r="D8391" s="8" t="n"/>
      <c r="E8391" s="8" t="n"/>
      <c r="F8391" s="8" t="n"/>
      <c r="G8391" s="8" t="n"/>
      <c r="H8391" s="8" t="n"/>
      <c r="I8391" s="8" t="n"/>
      <c r="J8391" s="8" t="n"/>
      <c r="K8391" s="8" t="n"/>
      <c r="L8391" s="8" t="n"/>
      <c r="M8391" s="9">
        <f>B8391+30</f>
        <v/>
      </c>
      <c r="N8391">
        <f>IF(L8391="", "", L8391-B8391)</f>
        <v/>
      </c>
      <c r="O8391">
        <f>IF(L8391="", "Pending", IF(N8391&lt;=30, "Met", "Breached"))</f>
        <v/>
      </c>
      <c r="P8391" s="8" t="n"/>
      <c r="Q8391" s="8" t="n"/>
      <c r="R8391" s="8" t="n"/>
      <c r="S8391" s="8" t="n"/>
      <c r="T8391" s="8" t="n"/>
      <c r="U8391" s="8" t="n"/>
      <c r="V8391" s="8" t="n"/>
      <c r="W8391" s="8" t="n"/>
      <c r="X8391" s="8" t="n"/>
      <c r="Y8391" s="8" t="n"/>
    </row>
    <row r="8392">
      <c r="A8392" s="8" t="n"/>
      <c r="B8392" s="8" t="n"/>
      <c r="C8392" s="8" t="n"/>
      <c r="D8392" s="8" t="n"/>
      <c r="E8392" s="8" t="n"/>
      <c r="F8392" s="8" t="n"/>
      <c r="G8392" s="8" t="n"/>
      <c r="H8392" s="8" t="n"/>
      <c r="I8392" s="8" t="n"/>
      <c r="J8392" s="8" t="n"/>
      <c r="K8392" s="8" t="n"/>
      <c r="L8392" s="8" t="n"/>
      <c r="M8392" s="9">
        <f>B8392+30</f>
        <v/>
      </c>
      <c r="N8392">
        <f>IF(L8392="", "", L8392-B8392)</f>
        <v/>
      </c>
      <c r="O8392">
        <f>IF(L8392="", "Pending", IF(N8392&lt;=30, "Met", "Breached"))</f>
        <v/>
      </c>
      <c r="P8392" s="8" t="n"/>
      <c r="Q8392" s="8" t="n"/>
      <c r="R8392" s="8" t="n"/>
      <c r="S8392" s="8" t="n"/>
      <c r="T8392" s="8" t="n"/>
      <c r="U8392" s="8" t="n"/>
      <c r="V8392" s="8" t="n"/>
      <c r="W8392" s="8" t="n"/>
      <c r="X8392" s="8" t="n"/>
      <c r="Y8392" s="8" t="n"/>
    </row>
    <row r="8393">
      <c r="A8393" s="8" t="n"/>
      <c r="B8393" s="8" t="n"/>
      <c r="C8393" s="8" t="n"/>
      <c r="D8393" s="8" t="n"/>
      <c r="E8393" s="8" t="n"/>
      <c r="F8393" s="8" t="n"/>
      <c r="G8393" s="8" t="n"/>
      <c r="H8393" s="8" t="n"/>
      <c r="I8393" s="8" t="n"/>
      <c r="J8393" s="8" t="n"/>
      <c r="K8393" s="8" t="n"/>
      <c r="L8393" s="8" t="n"/>
      <c r="M8393" s="9">
        <f>B8393+30</f>
        <v/>
      </c>
      <c r="N8393">
        <f>IF(L8393="", "", L8393-B8393)</f>
        <v/>
      </c>
      <c r="O8393">
        <f>IF(L8393="", "Pending", IF(N8393&lt;=30, "Met", "Breached"))</f>
        <v/>
      </c>
      <c r="P8393" s="8" t="n"/>
      <c r="Q8393" s="8" t="n"/>
      <c r="R8393" s="8" t="n"/>
      <c r="S8393" s="8" t="n"/>
      <c r="T8393" s="8" t="n"/>
      <c r="U8393" s="8" t="n"/>
      <c r="V8393" s="8" t="n"/>
      <c r="W8393" s="8" t="n"/>
      <c r="X8393" s="8" t="n"/>
      <c r="Y8393" s="8" t="n"/>
    </row>
    <row r="8394">
      <c r="A8394" s="8" t="n"/>
      <c r="B8394" s="8" t="n"/>
      <c r="C8394" s="8" t="n"/>
      <c r="D8394" s="8" t="n"/>
      <c r="E8394" s="8" t="n"/>
      <c r="F8394" s="8" t="n"/>
      <c r="G8394" s="8" t="n"/>
      <c r="H8394" s="8" t="n"/>
      <c r="I8394" s="8" t="n"/>
      <c r="J8394" s="8" t="n"/>
      <c r="K8394" s="8" t="n"/>
      <c r="L8394" s="8" t="n"/>
      <c r="M8394" s="9">
        <f>B8394+30</f>
        <v/>
      </c>
      <c r="N8394">
        <f>IF(L8394="", "", L8394-B8394)</f>
        <v/>
      </c>
      <c r="O8394">
        <f>IF(L8394="", "Pending", IF(N8394&lt;=30, "Met", "Breached"))</f>
        <v/>
      </c>
      <c r="P8394" s="8" t="n"/>
      <c r="Q8394" s="8" t="n"/>
      <c r="R8394" s="8" t="n"/>
      <c r="S8394" s="8" t="n"/>
      <c r="T8394" s="8" t="n"/>
      <c r="U8394" s="8" t="n"/>
      <c r="V8394" s="8" t="n"/>
      <c r="W8394" s="8" t="n"/>
      <c r="X8394" s="8" t="n"/>
      <c r="Y8394" s="8" t="n"/>
    </row>
    <row r="8395">
      <c r="A8395" s="8" t="n"/>
      <c r="B8395" s="8" t="n"/>
      <c r="C8395" s="8" t="n"/>
      <c r="D8395" s="8" t="n"/>
      <c r="E8395" s="8" t="n"/>
      <c r="F8395" s="8" t="n"/>
      <c r="G8395" s="8" t="n"/>
      <c r="H8395" s="8" t="n"/>
      <c r="I8395" s="8" t="n"/>
      <c r="J8395" s="8" t="n"/>
      <c r="K8395" s="8" t="n"/>
      <c r="L8395" s="8" t="n"/>
      <c r="M8395" s="9">
        <f>B8395+30</f>
        <v/>
      </c>
      <c r="N8395">
        <f>IF(L8395="", "", L8395-B8395)</f>
        <v/>
      </c>
      <c r="O8395">
        <f>IF(L8395="", "Pending", IF(N8395&lt;=30, "Met", "Breached"))</f>
        <v/>
      </c>
      <c r="P8395" s="8" t="n"/>
      <c r="Q8395" s="8" t="n"/>
      <c r="R8395" s="8" t="n"/>
      <c r="S8395" s="8" t="n"/>
      <c r="T8395" s="8" t="n"/>
      <c r="U8395" s="8" t="n"/>
      <c r="V8395" s="8" t="n"/>
      <c r="W8395" s="8" t="n"/>
      <c r="X8395" s="8" t="n"/>
      <c r="Y8395" s="8" t="n"/>
    </row>
    <row r="8396">
      <c r="A8396" s="8" t="n"/>
      <c r="B8396" s="8" t="n"/>
      <c r="C8396" s="8" t="n"/>
      <c r="D8396" s="8" t="n"/>
      <c r="E8396" s="8" t="n"/>
      <c r="F8396" s="8" t="n"/>
      <c r="G8396" s="8" t="n"/>
      <c r="H8396" s="8" t="n"/>
      <c r="I8396" s="8" t="n"/>
      <c r="J8396" s="8" t="n"/>
      <c r="K8396" s="8" t="n"/>
      <c r="L8396" s="8" t="n"/>
      <c r="M8396" s="9">
        <f>B8396+30</f>
        <v/>
      </c>
      <c r="N8396">
        <f>IF(L8396="", "", L8396-B8396)</f>
        <v/>
      </c>
      <c r="O8396">
        <f>IF(L8396="", "Pending", IF(N8396&lt;=30, "Met", "Breached"))</f>
        <v/>
      </c>
      <c r="P8396" s="8" t="n"/>
      <c r="Q8396" s="8" t="n"/>
      <c r="R8396" s="8" t="n"/>
      <c r="S8396" s="8" t="n"/>
      <c r="T8396" s="8" t="n"/>
      <c r="U8396" s="8" t="n"/>
      <c r="V8396" s="8" t="n"/>
      <c r="W8396" s="8" t="n"/>
      <c r="X8396" s="8" t="n"/>
      <c r="Y8396" s="8" t="n"/>
    </row>
    <row r="8397">
      <c r="A8397" s="8" t="n"/>
      <c r="B8397" s="8" t="n"/>
      <c r="C8397" s="8" t="n"/>
      <c r="D8397" s="8" t="n"/>
      <c r="E8397" s="8" t="n"/>
      <c r="F8397" s="8" t="n"/>
      <c r="G8397" s="8" t="n"/>
      <c r="H8397" s="8" t="n"/>
      <c r="I8397" s="8" t="n"/>
      <c r="J8397" s="8" t="n"/>
      <c r="K8397" s="8" t="n"/>
      <c r="L8397" s="8" t="n"/>
      <c r="M8397" s="9">
        <f>B8397+30</f>
        <v/>
      </c>
      <c r="N8397">
        <f>IF(L8397="", "", L8397-B8397)</f>
        <v/>
      </c>
      <c r="O8397">
        <f>IF(L8397="", "Pending", IF(N8397&lt;=30, "Met", "Breached"))</f>
        <v/>
      </c>
      <c r="P8397" s="8" t="n"/>
      <c r="Q8397" s="8" t="n"/>
      <c r="R8397" s="8" t="n"/>
      <c r="S8397" s="8" t="n"/>
      <c r="T8397" s="8" t="n"/>
      <c r="U8397" s="8" t="n"/>
      <c r="V8397" s="8" t="n"/>
      <c r="W8397" s="8" t="n"/>
      <c r="X8397" s="8" t="n"/>
      <c r="Y8397" s="8" t="n"/>
    </row>
    <row r="8398">
      <c r="A8398" s="8" t="n"/>
      <c r="B8398" s="8" t="n"/>
      <c r="C8398" s="8" t="n"/>
      <c r="D8398" s="8" t="n"/>
      <c r="E8398" s="8" t="n"/>
      <c r="F8398" s="8" t="n"/>
      <c r="G8398" s="8" t="n"/>
      <c r="H8398" s="8" t="n"/>
      <c r="I8398" s="8" t="n"/>
      <c r="J8398" s="8" t="n"/>
      <c r="K8398" s="8" t="n"/>
      <c r="L8398" s="8" t="n"/>
      <c r="M8398" s="9">
        <f>B8398+30</f>
        <v/>
      </c>
      <c r="N8398">
        <f>IF(L8398="", "", L8398-B8398)</f>
        <v/>
      </c>
      <c r="O8398">
        <f>IF(L8398="", "Pending", IF(N8398&lt;=30, "Met", "Breached"))</f>
        <v/>
      </c>
      <c r="P8398" s="8" t="n"/>
      <c r="Q8398" s="8" t="n"/>
      <c r="R8398" s="8" t="n"/>
      <c r="S8398" s="8" t="n"/>
      <c r="T8398" s="8" t="n"/>
      <c r="U8398" s="8" t="n"/>
      <c r="V8398" s="8" t="n"/>
      <c r="W8398" s="8" t="n"/>
      <c r="X8398" s="8" t="n"/>
      <c r="Y8398" s="8" t="n"/>
    </row>
    <row r="8399">
      <c r="A8399" s="8" t="n"/>
      <c r="B8399" s="8" t="n"/>
      <c r="C8399" s="8" t="n"/>
      <c r="D8399" s="8" t="n"/>
      <c r="E8399" s="8" t="n"/>
      <c r="F8399" s="8" t="n"/>
      <c r="G8399" s="8" t="n"/>
      <c r="H8399" s="8" t="n"/>
      <c r="I8399" s="8" t="n"/>
      <c r="J8399" s="8" t="n"/>
      <c r="K8399" s="8" t="n"/>
      <c r="L8399" s="8" t="n"/>
      <c r="M8399" s="9">
        <f>B8399+30</f>
        <v/>
      </c>
      <c r="N8399">
        <f>IF(L8399="", "", L8399-B8399)</f>
        <v/>
      </c>
      <c r="O8399">
        <f>IF(L8399="", "Pending", IF(N8399&lt;=30, "Met", "Breached"))</f>
        <v/>
      </c>
      <c r="P8399" s="8" t="n"/>
      <c r="Q8399" s="8" t="n"/>
      <c r="R8399" s="8" t="n"/>
      <c r="S8399" s="8" t="n"/>
      <c r="T8399" s="8" t="n"/>
      <c r="U8399" s="8" t="n"/>
      <c r="V8399" s="8" t="n"/>
      <c r="W8399" s="8" t="n"/>
      <c r="X8399" s="8" t="n"/>
      <c r="Y8399" s="8" t="n"/>
    </row>
    <row r="8400">
      <c r="A8400" s="8" t="n"/>
      <c r="B8400" s="8" t="n"/>
      <c r="C8400" s="8" t="n"/>
      <c r="D8400" s="8" t="n"/>
      <c r="E8400" s="8" t="n"/>
      <c r="F8400" s="8" t="n"/>
      <c r="G8400" s="8" t="n"/>
      <c r="H8400" s="8" t="n"/>
      <c r="I8400" s="8" t="n"/>
      <c r="J8400" s="8" t="n"/>
      <c r="K8400" s="8" t="n"/>
      <c r="L8400" s="8" t="n"/>
      <c r="M8400" s="9">
        <f>B8400+30</f>
        <v/>
      </c>
      <c r="N8400">
        <f>IF(L8400="", "", L8400-B8400)</f>
        <v/>
      </c>
      <c r="O8400">
        <f>IF(L8400="", "Pending", IF(N8400&lt;=30, "Met", "Breached"))</f>
        <v/>
      </c>
      <c r="P8400" s="8" t="n"/>
      <c r="Q8400" s="8" t="n"/>
      <c r="R8400" s="8" t="n"/>
      <c r="S8400" s="8" t="n"/>
      <c r="T8400" s="8" t="n"/>
      <c r="U8400" s="8" t="n"/>
      <c r="V8400" s="8" t="n"/>
      <c r="W8400" s="8" t="n"/>
      <c r="X8400" s="8" t="n"/>
      <c r="Y8400" s="8" t="n"/>
    </row>
    <row r="8401">
      <c r="A8401" s="8" t="n"/>
      <c r="B8401" s="8" t="n"/>
      <c r="C8401" s="8" t="n"/>
      <c r="D8401" s="8" t="n"/>
      <c r="E8401" s="8" t="n"/>
      <c r="F8401" s="8" t="n"/>
      <c r="G8401" s="8" t="n"/>
      <c r="H8401" s="8" t="n"/>
      <c r="I8401" s="8" t="n"/>
      <c r="J8401" s="8" t="n"/>
      <c r="K8401" s="8" t="n"/>
      <c r="L8401" s="8" t="n"/>
      <c r="M8401" s="9">
        <f>B8401+30</f>
        <v/>
      </c>
      <c r="N8401">
        <f>IF(L8401="", "", L8401-B8401)</f>
        <v/>
      </c>
      <c r="O8401">
        <f>IF(L8401="", "Pending", IF(N8401&lt;=30, "Met", "Breached"))</f>
        <v/>
      </c>
      <c r="P8401" s="8" t="n"/>
      <c r="Q8401" s="8" t="n"/>
      <c r="R8401" s="8" t="n"/>
      <c r="S8401" s="8" t="n"/>
      <c r="T8401" s="8" t="n"/>
      <c r="U8401" s="8" t="n"/>
      <c r="V8401" s="8" t="n"/>
      <c r="W8401" s="8" t="n"/>
      <c r="X8401" s="8" t="n"/>
      <c r="Y8401" s="8" t="n"/>
    </row>
    <row r="8402">
      <c r="A8402" s="8" t="n"/>
      <c r="B8402" s="8" t="n"/>
      <c r="C8402" s="8" t="n"/>
      <c r="D8402" s="8" t="n"/>
      <c r="E8402" s="8" t="n"/>
      <c r="F8402" s="8" t="n"/>
      <c r="G8402" s="8" t="n"/>
      <c r="H8402" s="8" t="n"/>
      <c r="I8402" s="8" t="n"/>
      <c r="J8402" s="8" t="n"/>
      <c r="K8402" s="8" t="n"/>
      <c r="L8402" s="8" t="n"/>
      <c r="M8402" s="9">
        <f>B8402+30</f>
        <v/>
      </c>
      <c r="N8402">
        <f>IF(L8402="", "", L8402-B8402)</f>
        <v/>
      </c>
      <c r="O8402">
        <f>IF(L8402="", "Pending", IF(N8402&lt;=30, "Met", "Breached"))</f>
        <v/>
      </c>
      <c r="P8402" s="8" t="n"/>
      <c r="Q8402" s="8" t="n"/>
      <c r="R8402" s="8" t="n"/>
      <c r="S8402" s="8" t="n"/>
      <c r="T8402" s="8" t="n"/>
      <c r="U8402" s="8" t="n"/>
      <c r="V8402" s="8" t="n"/>
      <c r="W8402" s="8" t="n"/>
      <c r="X8402" s="8" t="n"/>
      <c r="Y8402" s="8" t="n"/>
    </row>
    <row r="8403">
      <c r="A8403" s="8" t="n"/>
      <c r="B8403" s="8" t="n"/>
      <c r="C8403" s="8" t="n"/>
      <c r="D8403" s="8" t="n"/>
      <c r="E8403" s="8" t="n"/>
      <c r="F8403" s="8" t="n"/>
      <c r="G8403" s="8" t="n"/>
      <c r="H8403" s="8" t="n"/>
      <c r="I8403" s="8" t="n"/>
      <c r="J8403" s="8" t="n"/>
      <c r="K8403" s="8" t="n"/>
      <c r="L8403" s="8" t="n"/>
      <c r="M8403" s="9">
        <f>B8403+30</f>
        <v/>
      </c>
      <c r="N8403">
        <f>IF(L8403="", "", L8403-B8403)</f>
        <v/>
      </c>
      <c r="O8403">
        <f>IF(L8403="", "Pending", IF(N8403&lt;=30, "Met", "Breached"))</f>
        <v/>
      </c>
      <c r="P8403" s="8" t="n"/>
      <c r="Q8403" s="8" t="n"/>
      <c r="R8403" s="8" t="n"/>
      <c r="S8403" s="8" t="n"/>
      <c r="T8403" s="8" t="n"/>
      <c r="U8403" s="8" t="n"/>
      <c r="V8403" s="8" t="n"/>
      <c r="W8403" s="8" t="n"/>
      <c r="X8403" s="8" t="n"/>
      <c r="Y8403" s="8" t="n"/>
    </row>
    <row r="8404">
      <c r="A8404" s="8" t="n"/>
      <c r="B8404" s="8" t="n"/>
      <c r="C8404" s="8" t="n"/>
      <c r="D8404" s="8" t="n"/>
      <c r="E8404" s="8" t="n"/>
      <c r="F8404" s="8" t="n"/>
      <c r="G8404" s="8" t="n"/>
      <c r="H8404" s="8" t="n"/>
      <c r="I8404" s="8" t="n"/>
      <c r="J8404" s="8" t="n"/>
      <c r="K8404" s="8" t="n"/>
      <c r="L8404" s="8" t="n"/>
      <c r="M8404" s="9">
        <f>B8404+30</f>
        <v/>
      </c>
      <c r="N8404">
        <f>IF(L8404="", "", L8404-B8404)</f>
        <v/>
      </c>
      <c r="O8404">
        <f>IF(L8404="", "Pending", IF(N8404&lt;=30, "Met", "Breached"))</f>
        <v/>
      </c>
      <c r="P8404" s="8" t="n"/>
      <c r="Q8404" s="8" t="n"/>
      <c r="R8404" s="8" t="n"/>
      <c r="S8404" s="8" t="n"/>
      <c r="T8404" s="8" t="n"/>
      <c r="U8404" s="8" t="n"/>
      <c r="V8404" s="8" t="n"/>
      <c r="W8404" s="8" t="n"/>
      <c r="X8404" s="8" t="n"/>
      <c r="Y8404" s="8" t="n"/>
    </row>
    <row r="8405">
      <c r="A8405" s="8" t="n"/>
      <c r="B8405" s="8" t="n"/>
      <c r="C8405" s="8" t="n"/>
      <c r="D8405" s="8" t="n"/>
      <c r="E8405" s="8" t="n"/>
      <c r="F8405" s="8" t="n"/>
      <c r="G8405" s="8" t="n"/>
      <c r="H8405" s="8" t="n"/>
      <c r="I8405" s="8" t="n"/>
      <c r="J8405" s="8" t="n"/>
      <c r="K8405" s="8" t="n"/>
      <c r="L8405" s="8" t="n"/>
      <c r="M8405" s="9">
        <f>B8405+30</f>
        <v/>
      </c>
      <c r="N8405">
        <f>IF(L8405="", "", L8405-B8405)</f>
        <v/>
      </c>
      <c r="O8405">
        <f>IF(L8405="", "Pending", IF(N8405&lt;=30, "Met", "Breached"))</f>
        <v/>
      </c>
      <c r="P8405" s="8" t="n"/>
      <c r="Q8405" s="8" t="n"/>
      <c r="R8405" s="8" t="n"/>
      <c r="S8405" s="8" t="n"/>
      <c r="T8405" s="8" t="n"/>
      <c r="U8405" s="8" t="n"/>
      <c r="V8405" s="8" t="n"/>
      <c r="W8405" s="8" t="n"/>
      <c r="X8405" s="8" t="n"/>
      <c r="Y8405" s="8" t="n"/>
    </row>
    <row r="8406">
      <c r="A8406" s="8" t="n"/>
      <c r="B8406" s="8" t="n"/>
      <c r="C8406" s="8" t="n"/>
      <c r="D8406" s="8" t="n"/>
      <c r="E8406" s="8" t="n"/>
      <c r="F8406" s="8" t="n"/>
      <c r="G8406" s="8" t="n"/>
      <c r="H8406" s="8" t="n"/>
      <c r="I8406" s="8" t="n"/>
      <c r="J8406" s="8" t="n"/>
      <c r="K8406" s="8" t="n"/>
      <c r="L8406" s="8" t="n"/>
      <c r="M8406" s="9">
        <f>B8406+30</f>
        <v/>
      </c>
      <c r="N8406">
        <f>IF(L8406="", "", L8406-B8406)</f>
        <v/>
      </c>
      <c r="O8406">
        <f>IF(L8406="", "Pending", IF(N8406&lt;=30, "Met", "Breached"))</f>
        <v/>
      </c>
      <c r="P8406" s="8" t="n"/>
      <c r="Q8406" s="8" t="n"/>
      <c r="R8406" s="8" t="n"/>
      <c r="S8406" s="8" t="n"/>
      <c r="T8406" s="8" t="n"/>
      <c r="U8406" s="8" t="n"/>
      <c r="V8406" s="8" t="n"/>
      <c r="W8406" s="8" t="n"/>
      <c r="X8406" s="8" t="n"/>
      <c r="Y8406" s="8" t="n"/>
    </row>
    <row r="8407">
      <c r="A8407" s="8" t="n"/>
      <c r="B8407" s="8" t="n"/>
      <c r="C8407" s="8" t="n"/>
      <c r="D8407" s="8" t="n"/>
      <c r="E8407" s="8" t="n"/>
      <c r="F8407" s="8" t="n"/>
      <c r="G8407" s="8" t="n"/>
      <c r="H8407" s="8" t="n"/>
      <c r="I8407" s="8" t="n"/>
      <c r="J8407" s="8" t="n"/>
      <c r="K8407" s="8" t="n"/>
      <c r="L8407" s="8" t="n"/>
      <c r="M8407" s="9">
        <f>B8407+30</f>
        <v/>
      </c>
      <c r="N8407">
        <f>IF(L8407="", "", L8407-B8407)</f>
        <v/>
      </c>
      <c r="O8407">
        <f>IF(L8407="", "Pending", IF(N8407&lt;=30, "Met", "Breached"))</f>
        <v/>
      </c>
      <c r="P8407" s="8" t="n"/>
      <c r="Q8407" s="8" t="n"/>
      <c r="R8407" s="8" t="n"/>
      <c r="S8407" s="8" t="n"/>
      <c r="T8407" s="8" t="n"/>
      <c r="U8407" s="8" t="n"/>
      <c r="V8407" s="8" t="n"/>
      <c r="W8407" s="8" t="n"/>
      <c r="X8407" s="8" t="n"/>
      <c r="Y8407" s="8" t="n"/>
    </row>
    <row r="8408">
      <c r="A8408" s="8" t="n"/>
      <c r="B8408" s="8" t="n"/>
      <c r="C8408" s="8" t="n"/>
      <c r="D8408" s="8" t="n"/>
      <c r="E8408" s="8" t="n"/>
      <c r="F8408" s="8" t="n"/>
      <c r="G8408" s="8" t="n"/>
      <c r="H8408" s="8" t="n"/>
      <c r="I8408" s="8" t="n"/>
      <c r="J8408" s="8" t="n"/>
      <c r="K8408" s="8" t="n"/>
      <c r="L8408" s="8" t="n"/>
      <c r="M8408" s="9">
        <f>B8408+30</f>
        <v/>
      </c>
      <c r="N8408">
        <f>IF(L8408="", "", L8408-B8408)</f>
        <v/>
      </c>
      <c r="O8408">
        <f>IF(L8408="", "Pending", IF(N8408&lt;=30, "Met", "Breached"))</f>
        <v/>
      </c>
      <c r="P8408" s="8" t="n"/>
      <c r="Q8408" s="8" t="n"/>
      <c r="R8408" s="8" t="n"/>
      <c r="S8408" s="8" t="n"/>
      <c r="T8408" s="8" t="n"/>
      <c r="U8408" s="8" t="n"/>
      <c r="V8408" s="8" t="n"/>
      <c r="W8408" s="8" t="n"/>
      <c r="X8408" s="8" t="n"/>
      <c r="Y8408" s="8" t="n"/>
    </row>
    <row r="8409">
      <c r="A8409" s="8" t="n"/>
      <c r="B8409" s="8" t="n"/>
      <c r="C8409" s="8" t="n"/>
      <c r="D8409" s="8" t="n"/>
      <c r="E8409" s="8" t="n"/>
      <c r="F8409" s="8" t="n"/>
      <c r="G8409" s="8" t="n"/>
      <c r="H8409" s="8" t="n"/>
      <c r="I8409" s="8" t="n"/>
      <c r="J8409" s="8" t="n"/>
      <c r="K8409" s="8" t="n"/>
      <c r="L8409" s="8" t="n"/>
      <c r="M8409" s="9">
        <f>B8409+30</f>
        <v/>
      </c>
      <c r="N8409">
        <f>IF(L8409="", "", L8409-B8409)</f>
        <v/>
      </c>
      <c r="O8409">
        <f>IF(L8409="", "Pending", IF(N8409&lt;=30, "Met", "Breached"))</f>
        <v/>
      </c>
      <c r="P8409" s="8" t="n"/>
      <c r="Q8409" s="8" t="n"/>
      <c r="R8409" s="8" t="n"/>
      <c r="S8409" s="8" t="n"/>
      <c r="T8409" s="8" t="n"/>
      <c r="U8409" s="8" t="n"/>
      <c r="V8409" s="8" t="n"/>
      <c r="W8409" s="8" t="n"/>
      <c r="X8409" s="8" t="n"/>
      <c r="Y8409" s="8" t="n"/>
    </row>
    <row r="8410">
      <c r="A8410" s="8" t="n"/>
      <c r="B8410" s="8" t="n"/>
      <c r="C8410" s="8" t="n"/>
      <c r="D8410" s="8" t="n"/>
      <c r="E8410" s="8" t="n"/>
      <c r="F8410" s="8" t="n"/>
      <c r="G8410" s="8" t="n"/>
      <c r="H8410" s="8" t="n"/>
      <c r="I8410" s="8" t="n"/>
      <c r="J8410" s="8" t="n"/>
      <c r="K8410" s="8" t="n"/>
      <c r="L8410" s="8" t="n"/>
      <c r="M8410" s="9">
        <f>B8410+30</f>
        <v/>
      </c>
      <c r="N8410">
        <f>IF(L8410="", "", L8410-B8410)</f>
        <v/>
      </c>
      <c r="O8410">
        <f>IF(L8410="", "Pending", IF(N8410&lt;=30, "Met", "Breached"))</f>
        <v/>
      </c>
      <c r="P8410" s="8" t="n"/>
      <c r="Q8410" s="8" t="n"/>
      <c r="R8410" s="8" t="n"/>
      <c r="S8410" s="8" t="n"/>
      <c r="T8410" s="8" t="n"/>
      <c r="U8410" s="8" t="n"/>
      <c r="V8410" s="8" t="n"/>
      <c r="W8410" s="8" t="n"/>
      <c r="X8410" s="8" t="n"/>
      <c r="Y8410" s="8" t="n"/>
    </row>
    <row r="8411">
      <c r="A8411" s="8" t="n"/>
      <c r="B8411" s="8" t="n"/>
      <c r="C8411" s="8" t="n"/>
      <c r="D8411" s="8" t="n"/>
      <c r="E8411" s="8" t="n"/>
      <c r="F8411" s="8" t="n"/>
      <c r="G8411" s="8" t="n"/>
      <c r="H8411" s="8" t="n"/>
      <c r="I8411" s="8" t="n"/>
      <c r="J8411" s="8" t="n"/>
      <c r="K8411" s="8" t="n"/>
      <c r="L8411" s="8" t="n"/>
      <c r="M8411" s="9">
        <f>B8411+30</f>
        <v/>
      </c>
      <c r="N8411">
        <f>IF(L8411="", "", L8411-B8411)</f>
        <v/>
      </c>
      <c r="O8411">
        <f>IF(L8411="", "Pending", IF(N8411&lt;=30, "Met", "Breached"))</f>
        <v/>
      </c>
      <c r="P8411" s="8" t="n"/>
      <c r="Q8411" s="8" t="n"/>
      <c r="R8411" s="8" t="n"/>
      <c r="S8411" s="8" t="n"/>
      <c r="T8411" s="8" t="n"/>
      <c r="U8411" s="8" t="n"/>
      <c r="V8411" s="8" t="n"/>
      <c r="W8411" s="8" t="n"/>
      <c r="X8411" s="8" t="n"/>
      <c r="Y8411" s="8" t="n"/>
    </row>
    <row r="8412">
      <c r="A8412" s="8" t="n"/>
      <c r="B8412" s="8" t="n"/>
      <c r="C8412" s="8" t="n"/>
      <c r="D8412" s="8" t="n"/>
      <c r="E8412" s="8" t="n"/>
      <c r="F8412" s="8" t="n"/>
      <c r="G8412" s="8" t="n"/>
      <c r="H8412" s="8" t="n"/>
      <c r="I8412" s="8" t="n"/>
      <c r="J8412" s="8" t="n"/>
      <c r="K8412" s="8" t="n"/>
      <c r="L8412" s="8" t="n"/>
      <c r="M8412" s="9">
        <f>B8412+30</f>
        <v/>
      </c>
      <c r="N8412">
        <f>IF(L8412="", "", L8412-B8412)</f>
        <v/>
      </c>
      <c r="O8412">
        <f>IF(L8412="", "Pending", IF(N8412&lt;=30, "Met", "Breached"))</f>
        <v/>
      </c>
      <c r="P8412" s="8" t="n"/>
      <c r="Q8412" s="8" t="n"/>
      <c r="R8412" s="8" t="n"/>
      <c r="S8412" s="8" t="n"/>
      <c r="T8412" s="8" t="n"/>
      <c r="U8412" s="8" t="n"/>
      <c r="V8412" s="8" t="n"/>
      <c r="W8412" s="8" t="n"/>
      <c r="X8412" s="8" t="n"/>
      <c r="Y8412" s="8" t="n"/>
    </row>
    <row r="8413">
      <c r="A8413" s="8" t="n"/>
      <c r="B8413" s="8" t="n"/>
      <c r="C8413" s="8" t="n"/>
      <c r="D8413" s="8" t="n"/>
      <c r="E8413" s="8" t="n"/>
      <c r="F8413" s="8" t="n"/>
      <c r="G8413" s="8" t="n"/>
      <c r="H8413" s="8" t="n"/>
      <c r="I8413" s="8" t="n"/>
      <c r="J8413" s="8" t="n"/>
      <c r="K8413" s="8" t="n"/>
      <c r="L8413" s="8" t="n"/>
      <c r="M8413" s="9">
        <f>B8413+30</f>
        <v/>
      </c>
      <c r="N8413">
        <f>IF(L8413="", "", L8413-B8413)</f>
        <v/>
      </c>
      <c r="O8413">
        <f>IF(L8413="", "Pending", IF(N8413&lt;=30, "Met", "Breached"))</f>
        <v/>
      </c>
      <c r="P8413" s="8" t="n"/>
      <c r="Q8413" s="8" t="n"/>
      <c r="R8413" s="8" t="n"/>
      <c r="S8413" s="8" t="n"/>
      <c r="T8413" s="8" t="n"/>
      <c r="U8413" s="8" t="n"/>
      <c r="V8413" s="8" t="n"/>
      <c r="W8413" s="8" t="n"/>
      <c r="X8413" s="8" t="n"/>
      <c r="Y8413" s="8" t="n"/>
    </row>
    <row r="8414">
      <c r="A8414" s="8" t="n"/>
      <c r="B8414" s="8" t="n"/>
      <c r="C8414" s="8" t="n"/>
      <c r="D8414" s="8" t="n"/>
      <c r="E8414" s="8" t="n"/>
      <c r="F8414" s="8" t="n"/>
      <c r="G8414" s="8" t="n"/>
      <c r="H8414" s="8" t="n"/>
      <c r="I8414" s="8" t="n"/>
      <c r="J8414" s="8" t="n"/>
      <c r="K8414" s="8" t="n"/>
      <c r="L8414" s="8" t="n"/>
      <c r="M8414" s="9">
        <f>B8414+30</f>
        <v/>
      </c>
      <c r="N8414">
        <f>IF(L8414="", "", L8414-B8414)</f>
        <v/>
      </c>
      <c r="O8414">
        <f>IF(L8414="", "Pending", IF(N8414&lt;=30, "Met", "Breached"))</f>
        <v/>
      </c>
      <c r="P8414" s="8" t="n"/>
      <c r="Q8414" s="8" t="n"/>
      <c r="R8414" s="8" t="n"/>
      <c r="S8414" s="8" t="n"/>
      <c r="T8414" s="8" t="n"/>
      <c r="U8414" s="8" t="n"/>
      <c r="V8414" s="8" t="n"/>
      <c r="W8414" s="8" t="n"/>
      <c r="X8414" s="8" t="n"/>
      <c r="Y8414" s="8" t="n"/>
    </row>
    <row r="8415">
      <c r="A8415" s="8" t="n"/>
      <c r="B8415" s="8" t="n"/>
      <c r="C8415" s="8" t="n"/>
      <c r="D8415" s="8" t="n"/>
      <c r="E8415" s="8" t="n"/>
      <c r="F8415" s="8" t="n"/>
      <c r="G8415" s="8" t="n"/>
      <c r="H8415" s="8" t="n"/>
      <c r="I8415" s="8" t="n"/>
      <c r="J8415" s="8" t="n"/>
      <c r="K8415" s="8" t="n"/>
      <c r="L8415" s="8" t="n"/>
      <c r="M8415" s="9">
        <f>B8415+30</f>
        <v/>
      </c>
      <c r="N8415">
        <f>IF(L8415="", "", L8415-B8415)</f>
        <v/>
      </c>
      <c r="O8415">
        <f>IF(L8415="", "Pending", IF(N8415&lt;=30, "Met", "Breached"))</f>
        <v/>
      </c>
      <c r="P8415" s="8" t="n"/>
      <c r="Q8415" s="8" t="n"/>
      <c r="R8415" s="8" t="n"/>
      <c r="S8415" s="8" t="n"/>
      <c r="T8415" s="8" t="n"/>
      <c r="U8415" s="8" t="n"/>
      <c r="V8415" s="8" t="n"/>
      <c r="W8415" s="8" t="n"/>
      <c r="X8415" s="8" t="n"/>
      <c r="Y8415" s="8" t="n"/>
    </row>
    <row r="8416">
      <c r="A8416" s="8" t="n"/>
      <c r="B8416" s="8" t="n"/>
      <c r="C8416" s="8" t="n"/>
      <c r="D8416" s="8" t="n"/>
      <c r="E8416" s="8" t="n"/>
      <c r="F8416" s="8" t="n"/>
      <c r="G8416" s="8" t="n"/>
      <c r="H8416" s="8" t="n"/>
      <c r="I8416" s="8" t="n"/>
      <c r="J8416" s="8" t="n"/>
      <c r="K8416" s="8" t="n"/>
      <c r="L8416" s="8" t="n"/>
      <c r="M8416" s="9">
        <f>B8416+30</f>
        <v/>
      </c>
      <c r="N8416">
        <f>IF(L8416="", "", L8416-B8416)</f>
        <v/>
      </c>
      <c r="O8416">
        <f>IF(L8416="", "Pending", IF(N8416&lt;=30, "Met", "Breached"))</f>
        <v/>
      </c>
      <c r="P8416" s="8" t="n"/>
      <c r="Q8416" s="8" t="n"/>
      <c r="R8416" s="8" t="n"/>
      <c r="S8416" s="8" t="n"/>
      <c r="T8416" s="8" t="n"/>
      <c r="U8416" s="8" t="n"/>
      <c r="V8416" s="8" t="n"/>
      <c r="W8416" s="8" t="n"/>
      <c r="X8416" s="8" t="n"/>
      <c r="Y8416" s="8" t="n"/>
    </row>
    <row r="8417">
      <c r="A8417" s="8" t="n"/>
      <c r="B8417" s="8" t="n"/>
      <c r="C8417" s="8" t="n"/>
      <c r="D8417" s="8" t="n"/>
      <c r="E8417" s="8" t="n"/>
      <c r="F8417" s="8" t="n"/>
      <c r="G8417" s="8" t="n"/>
      <c r="H8417" s="8" t="n"/>
      <c r="I8417" s="8" t="n"/>
      <c r="J8417" s="8" t="n"/>
      <c r="K8417" s="8" t="n"/>
      <c r="L8417" s="8" t="n"/>
      <c r="M8417" s="9">
        <f>B8417+30</f>
        <v/>
      </c>
      <c r="N8417">
        <f>IF(L8417="", "", L8417-B8417)</f>
        <v/>
      </c>
      <c r="O8417">
        <f>IF(L8417="", "Pending", IF(N8417&lt;=30, "Met", "Breached"))</f>
        <v/>
      </c>
      <c r="P8417" s="8" t="n"/>
      <c r="Q8417" s="8" t="n"/>
      <c r="R8417" s="8" t="n"/>
      <c r="S8417" s="8" t="n"/>
      <c r="T8417" s="8" t="n"/>
      <c r="U8417" s="8" t="n"/>
      <c r="V8417" s="8" t="n"/>
      <c r="W8417" s="8" t="n"/>
      <c r="X8417" s="8" t="n"/>
      <c r="Y8417" s="8" t="n"/>
    </row>
    <row r="8418">
      <c r="A8418" s="8" t="n"/>
      <c r="B8418" s="8" t="n"/>
      <c r="C8418" s="8" t="n"/>
      <c r="D8418" s="8" t="n"/>
      <c r="E8418" s="8" t="n"/>
      <c r="F8418" s="8" t="n"/>
      <c r="G8418" s="8" t="n"/>
      <c r="H8418" s="8" t="n"/>
      <c r="I8418" s="8" t="n"/>
      <c r="J8418" s="8" t="n"/>
      <c r="K8418" s="8" t="n"/>
      <c r="L8418" s="8" t="n"/>
      <c r="M8418" s="9">
        <f>B8418+30</f>
        <v/>
      </c>
      <c r="N8418">
        <f>IF(L8418="", "", L8418-B8418)</f>
        <v/>
      </c>
      <c r="O8418">
        <f>IF(L8418="", "Pending", IF(N8418&lt;=30, "Met", "Breached"))</f>
        <v/>
      </c>
      <c r="P8418" s="8" t="n"/>
      <c r="Q8418" s="8" t="n"/>
      <c r="R8418" s="8" t="n"/>
      <c r="S8418" s="8" t="n"/>
      <c r="T8418" s="8" t="n"/>
      <c r="U8418" s="8" t="n"/>
      <c r="V8418" s="8" t="n"/>
      <c r="W8418" s="8" t="n"/>
      <c r="X8418" s="8" t="n"/>
      <c r="Y8418" s="8" t="n"/>
    </row>
    <row r="8419">
      <c r="A8419" s="8" t="n"/>
      <c r="B8419" s="8" t="n"/>
      <c r="C8419" s="8" t="n"/>
      <c r="D8419" s="8" t="n"/>
      <c r="E8419" s="8" t="n"/>
      <c r="F8419" s="8" t="n"/>
      <c r="G8419" s="8" t="n"/>
      <c r="H8419" s="8" t="n"/>
      <c r="I8419" s="8" t="n"/>
      <c r="J8419" s="8" t="n"/>
      <c r="K8419" s="8" t="n"/>
      <c r="L8419" s="8" t="n"/>
      <c r="M8419" s="9">
        <f>B8419+30</f>
        <v/>
      </c>
      <c r="N8419">
        <f>IF(L8419="", "", L8419-B8419)</f>
        <v/>
      </c>
      <c r="O8419">
        <f>IF(L8419="", "Pending", IF(N8419&lt;=30, "Met", "Breached"))</f>
        <v/>
      </c>
      <c r="P8419" s="8" t="n"/>
      <c r="Q8419" s="8" t="n"/>
      <c r="R8419" s="8" t="n"/>
      <c r="S8419" s="8" t="n"/>
      <c r="T8419" s="8" t="n"/>
      <c r="U8419" s="8" t="n"/>
      <c r="V8419" s="8" t="n"/>
      <c r="W8419" s="8" t="n"/>
      <c r="X8419" s="8" t="n"/>
      <c r="Y8419" s="8" t="n"/>
    </row>
    <row r="8420">
      <c r="A8420" s="8" t="n"/>
      <c r="B8420" s="8" t="n"/>
      <c r="C8420" s="8" t="n"/>
      <c r="D8420" s="8" t="n"/>
      <c r="E8420" s="8" t="n"/>
      <c r="F8420" s="8" t="n"/>
      <c r="G8420" s="8" t="n"/>
      <c r="H8420" s="8" t="n"/>
      <c r="I8420" s="8" t="n"/>
      <c r="J8420" s="8" t="n"/>
      <c r="K8420" s="8" t="n"/>
      <c r="L8420" s="8" t="n"/>
      <c r="M8420" s="9">
        <f>B8420+30</f>
        <v/>
      </c>
      <c r="N8420">
        <f>IF(L8420="", "", L8420-B8420)</f>
        <v/>
      </c>
      <c r="O8420">
        <f>IF(L8420="", "Pending", IF(N8420&lt;=30, "Met", "Breached"))</f>
        <v/>
      </c>
      <c r="P8420" s="8" t="n"/>
      <c r="Q8420" s="8" t="n"/>
      <c r="R8420" s="8" t="n"/>
      <c r="S8420" s="8" t="n"/>
      <c r="T8420" s="8" t="n"/>
      <c r="U8420" s="8" t="n"/>
      <c r="V8420" s="8" t="n"/>
      <c r="W8420" s="8" t="n"/>
      <c r="X8420" s="8" t="n"/>
      <c r="Y8420" s="8" t="n"/>
    </row>
    <row r="8421">
      <c r="A8421" s="8" t="n"/>
      <c r="B8421" s="8" t="n"/>
      <c r="C8421" s="8" t="n"/>
      <c r="D8421" s="8" t="n"/>
      <c r="E8421" s="8" t="n"/>
      <c r="F8421" s="8" t="n"/>
      <c r="G8421" s="8" t="n"/>
      <c r="H8421" s="8" t="n"/>
      <c r="I8421" s="8" t="n"/>
      <c r="J8421" s="8" t="n"/>
      <c r="K8421" s="8" t="n"/>
      <c r="L8421" s="8" t="n"/>
      <c r="M8421" s="9">
        <f>B8421+30</f>
        <v/>
      </c>
      <c r="N8421">
        <f>IF(L8421="", "", L8421-B8421)</f>
        <v/>
      </c>
      <c r="O8421">
        <f>IF(L8421="", "Pending", IF(N8421&lt;=30, "Met", "Breached"))</f>
        <v/>
      </c>
      <c r="P8421" s="8" t="n"/>
      <c r="Q8421" s="8" t="n"/>
      <c r="R8421" s="8" t="n"/>
      <c r="S8421" s="8" t="n"/>
      <c r="T8421" s="8" t="n"/>
      <c r="U8421" s="8" t="n"/>
      <c r="V8421" s="8" t="n"/>
      <c r="W8421" s="8" t="n"/>
      <c r="X8421" s="8" t="n"/>
      <c r="Y8421" s="8" t="n"/>
    </row>
    <row r="8422">
      <c r="A8422" s="8" t="n"/>
      <c r="B8422" s="8" t="n"/>
      <c r="C8422" s="8" t="n"/>
      <c r="D8422" s="8" t="n"/>
      <c r="E8422" s="8" t="n"/>
      <c r="F8422" s="8" t="n"/>
      <c r="G8422" s="8" t="n"/>
      <c r="H8422" s="8" t="n"/>
      <c r="I8422" s="8" t="n"/>
      <c r="J8422" s="8" t="n"/>
      <c r="K8422" s="8" t="n"/>
      <c r="L8422" s="8" t="n"/>
      <c r="M8422" s="9">
        <f>B8422+30</f>
        <v/>
      </c>
      <c r="N8422">
        <f>IF(L8422="", "", L8422-B8422)</f>
        <v/>
      </c>
      <c r="O8422">
        <f>IF(L8422="", "Pending", IF(N8422&lt;=30, "Met", "Breached"))</f>
        <v/>
      </c>
      <c r="P8422" s="8" t="n"/>
      <c r="Q8422" s="8" t="n"/>
      <c r="R8422" s="8" t="n"/>
      <c r="S8422" s="8" t="n"/>
      <c r="T8422" s="8" t="n"/>
      <c r="U8422" s="8" t="n"/>
      <c r="V8422" s="8" t="n"/>
      <c r="W8422" s="8" t="n"/>
      <c r="X8422" s="8" t="n"/>
      <c r="Y8422" s="8" t="n"/>
    </row>
    <row r="8423">
      <c r="A8423" s="8" t="n"/>
      <c r="B8423" s="8" t="n"/>
      <c r="C8423" s="8" t="n"/>
      <c r="D8423" s="8" t="n"/>
      <c r="E8423" s="8" t="n"/>
      <c r="F8423" s="8" t="n"/>
      <c r="G8423" s="8" t="n"/>
      <c r="H8423" s="8" t="n"/>
      <c r="I8423" s="8" t="n"/>
      <c r="J8423" s="8" t="n"/>
      <c r="K8423" s="8" t="n"/>
      <c r="L8423" s="8" t="n"/>
      <c r="M8423" s="9">
        <f>B8423+30</f>
        <v/>
      </c>
      <c r="N8423">
        <f>IF(L8423="", "", L8423-B8423)</f>
        <v/>
      </c>
      <c r="O8423">
        <f>IF(L8423="", "Pending", IF(N8423&lt;=30, "Met", "Breached"))</f>
        <v/>
      </c>
      <c r="P8423" s="8" t="n"/>
      <c r="Q8423" s="8" t="n"/>
      <c r="R8423" s="8" t="n"/>
      <c r="S8423" s="8" t="n"/>
      <c r="T8423" s="8" t="n"/>
      <c r="U8423" s="8" t="n"/>
      <c r="V8423" s="8" t="n"/>
      <c r="W8423" s="8" t="n"/>
      <c r="X8423" s="8" t="n"/>
      <c r="Y8423" s="8" t="n"/>
    </row>
    <row r="8424">
      <c r="A8424" s="8" t="n"/>
      <c r="B8424" s="8" t="n"/>
      <c r="C8424" s="8" t="n"/>
      <c r="D8424" s="8" t="n"/>
      <c r="E8424" s="8" t="n"/>
      <c r="F8424" s="8" t="n"/>
      <c r="G8424" s="8" t="n"/>
      <c r="H8424" s="8" t="n"/>
      <c r="I8424" s="8" t="n"/>
      <c r="J8424" s="8" t="n"/>
      <c r="K8424" s="8" t="n"/>
      <c r="L8424" s="8" t="n"/>
      <c r="M8424" s="9">
        <f>B8424+30</f>
        <v/>
      </c>
      <c r="N8424">
        <f>IF(L8424="", "", L8424-B8424)</f>
        <v/>
      </c>
      <c r="O8424">
        <f>IF(L8424="", "Pending", IF(N8424&lt;=30, "Met", "Breached"))</f>
        <v/>
      </c>
      <c r="P8424" s="8" t="n"/>
      <c r="Q8424" s="8" t="n"/>
      <c r="R8424" s="8" t="n"/>
      <c r="S8424" s="8" t="n"/>
      <c r="T8424" s="8" t="n"/>
      <c r="U8424" s="8" t="n"/>
      <c r="V8424" s="8" t="n"/>
      <c r="W8424" s="8" t="n"/>
      <c r="X8424" s="8" t="n"/>
      <c r="Y8424" s="8" t="n"/>
    </row>
    <row r="8425">
      <c r="A8425" s="8" t="n"/>
      <c r="B8425" s="8" t="n"/>
      <c r="C8425" s="8" t="n"/>
      <c r="D8425" s="8" t="n"/>
      <c r="E8425" s="8" t="n"/>
      <c r="F8425" s="8" t="n"/>
      <c r="G8425" s="8" t="n"/>
      <c r="H8425" s="8" t="n"/>
      <c r="I8425" s="8" t="n"/>
      <c r="J8425" s="8" t="n"/>
      <c r="K8425" s="8" t="n"/>
      <c r="L8425" s="8" t="n"/>
      <c r="M8425" s="9">
        <f>B8425+30</f>
        <v/>
      </c>
      <c r="N8425">
        <f>IF(L8425="", "", L8425-B8425)</f>
        <v/>
      </c>
      <c r="O8425">
        <f>IF(L8425="", "Pending", IF(N8425&lt;=30, "Met", "Breached"))</f>
        <v/>
      </c>
      <c r="P8425" s="8" t="n"/>
      <c r="Q8425" s="8" t="n"/>
      <c r="R8425" s="8" t="n"/>
      <c r="S8425" s="8" t="n"/>
      <c r="T8425" s="8" t="n"/>
      <c r="U8425" s="8" t="n"/>
      <c r="V8425" s="8" t="n"/>
      <c r="W8425" s="8" t="n"/>
      <c r="X8425" s="8" t="n"/>
      <c r="Y8425" s="8" t="n"/>
    </row>
    <row r="8426">
      <c r="A8426" s="8" t="n"/>
      <c r="B8426" s="8" t="n"/>
      <c r="C8426" s="8" t="n"/>
      <c r="D8426" s="8" t="n"/>
      <c r="E8426" s="8" t="n"/>
      <c r="F8426" s="8" t="n"/>
      <c r="G8426" s="8" t="n"/>
      <c r="H8426" s="8" t="n"/>
      <c r="I8426" s="8" t="n"/>
      <c r="J8426" s="8" t="n"/>
      <c r="K8426" s="8" t="n"/>
      <c r="L8426" s="8" t="n"/>
      <c r="M8426" s="9">
        <f>B8426+30</f>
        <v/>
      </c>
      <c r="N8426">
        <f>IF(L8426="", "", L8426-B8426)</f>
        <v/>
      </c>
      <c r="O8426">
        <f>IF(L8426="", "Pending", IF(N8426&lt;=30, "Met", "Breached"))</f>
        <v/>
      </c>
      <c r="P8426" s="8" t="n"/>
      <c r="Q8426" s="8" t="n"/>
      <c r="R8426" s="8" t="n"/>
      <c r="S8426" s="8" t="n"/>
      <c r="T8426" s="8" t="n"/>
      <c r="U8426" s="8" t="n"/>
      <c r="V8426" s="8" t="n"/>
      <c r="W8426" s="8" t="n"/>
      <c r="X8426" s="8" t="n"/>
      <c r="Y8426" s="8" t="n"/>
    </row>
    <row r="8427">
      <c r="A8427" s="8" t="n"/>
      <c r="B8427" s="8" t="n"/>
      <c r="C8427" s="8" t="n"/>
      <c r="D8427" s="8" t="n"/>
      <c r="E8427" s="8" t="n"/>
      <c r="F8427" s="8" t="n"/>
      <c r="G8427" s="8" t="n"/>
      <c r="H8427" s="8" t="n"/>
      <c r="I8427" s="8" t="n"/>
      <c r="J8427" s="8" t="n"/>
      <c r="K8427" s="8" t="n"/>
      <c r="L8427" s="8" t="n"/>
      <c r="M8427" s="9">
        <f>B8427+30</f>
        <v/>
      </c>
      <c r="N8427">
        <f>IF(L8427="", "", L8427-B8427)</f>
        <v/>
      </c>
      <c r="O8427">
        <f>IF(L8427="", "Pending", IF(N8427&lt;=30, "Met", "Breached"))</f>
        <v/>
      </c>
      <c r="P8427" s="8" t="n"/>
      <c r="Q8427" s="8" t="n"/>
      <c r="R8427" s="8" t="n"/>
      <c r="S8427" s="8" t="n"/>
      <c r="T8427" s="8" t="n"/>
      <c r="U8427" s="8" t="n"/>
      <c r="V8427" s="8" t="n"/>
      <c r="W8427" s="8" t="n"/>
      <c r="X8427" s="8" t="n"/>
      <c r="Y8427" s="8" t="n"/>
    </row>
    <row r="8428">
      <c r="A8428" s="8" t="n"/>
      <c r="B8428" s="8" t="n"/>
      <c r="C8428" s="8" t="n"/>
      <c r="D8428" s="8" t="n"/>
      <c r="E8428" s="8" t="n"/>
      <c r="F8428" s="8" t="n"/>
      <c r="G8428" s="8" t="n"/>
      <c r="H8428" s="8" t="n"/>
      <c r="I8428" s="8" t="n"/>
      <c r="J8428" s="8" t="n"/>
      <c r="K8428" s="8" t="n"/>
      <c r="L8428" s="8" t="n"/>
      <c r="M8428" s="9">
        <f>B8428+30</f>
        <v/>
      </c>
      <c r="N8428">
        <f>IF(L8428="", "", L8428-B8428)</f>
        <v/>
      </c>
      <c r="O8428">
        <f>IF(L8428="", "Pending", IF(N8428&lt;=30, "Met", "Breached"))</f>
        <v/>
      </c>
      <c r="P8428" s="8" t="n"/>
      <c r="Q8428" s="8" t="n"/>
      <c r="R8428" s="8" t="n"/>
      <c r="S8428" s="8" t="n"/>
      <c r="T8428" s="8" t="n"/>
      <c r="U8428" s="8" t="n"/>
      <c r="V8428" s="8" t="n"/>
      <c r="W8428" s="8" t="n"/>
      <c r="X8428" s="8" t="n"/>
      <c r="Y8428" s="8" t="n"/>
    </row>
    <row r="8429">
      <c r="A8429" s="8" t="n"/>
      <c r="B8429" s="8" t="n"/>
      <c r="C8429" s="8" t="n"/>
      <c r="D8429" s="8" t="n"/>
      <c r="E8429" s="8" t="n"/>
      <c r="F8429" s="8" t="n"/>
      <c r="G8429" s="8" t="n"/>
      <c r="H8429" s="8" t="n"/>
      <c r="I8429" s="8" t="n"/>
      <c r="J8429" s="8" t="n"/>
      <c r="K8429" s="8" t="n"/>
      <c r="L8429" s="8" t="n"/>
      <c r="M8429" s="9">
        <f>B8429+30</f>
        <v/>
      </c>
      <c r="N8429">
        <f>IF(L8429="", "", L8429-B8429)</f>
        <v/>
      </c>
      <c r="O8429">
        <f>IF(L8429="", "Pending", IF(N8429&lt;=30, "Met", "Breached"))</f>
        <v/>
      </c>
      <c r="P8429" s="8" t="n"/>
      <c r="Q8429" s="8" t="n"/>
      <c r="R8429" s="8" t="n"/>
      <c r="S8429" s="8" t="n"/>
      <c r="T8429" s="8" t="n"/>
      <c r="U8429" s="8" t="n"/>
      <c r="V8429" s="8" t="n"/>
      <c r="W8429" s="8" t="n"/>
      <c r="X8429" s="8" t="n"/>
      <c r="Y8429" s="8" t="n"/>
    </row>
    <row r="8430">
      <c r="A8430" s="8" t="n"/>
      <c r="B8430" s="8" t="n"/>
      <c r="C8430" s="8" t="n"/>
      <c r="D8430" s="8" t="n"/>
      <c r="E8430" s="8" t="n"/>
      <c r="F8430" s="8" t="n"/>
      <c r="G8430" s="8" t="n"/>
      <c r="H8430" s="8" t="n"/>
      <c r="I8430" s="8" t="n"/>
      <c r="J8430" s="8" t="n"/>
      <c r="K8430" s="8" t="n"/>
      <c r="L8430" s="8" t="n"/>
      <c r="M8430" s="9">
        <f>B8430+30</f>
        <v/>
      </c>
      <c r="N8430">
        <f>IF(L8430="", "", L8430-B8430)</f>
        <v/>
      </c>
      <c r="O8430">
        <f>IF(L8430="", "Pending", IF(N8430&lt;=30, "Met", "Breached"))</f>
        <v/>
      </c>
      <c r="P8430" s="8" t="n"/>
      <c r="Q8430" s="8" t="n"/>
      <c r="R8430" s="8" t="n"/>
      <c r="S8430" s="8" t="n"/>
      <c r="T8430" s="8" t="n"/>
      <c r="U8430" s="8" t="n"/>
      <c r="V8430" s="8" t="n"/>
      <c r="W8430" s="8" t="n"/>
      <c r="X8430" s="8" t="n"/>
      <c r="Y8430" s="8" t="n"/>
    </row>
    <row r="8431">
      <c r="A8431" s="8" t="n"/>
      <c r="B8431" s="8" t="n"/>
      <c r="C8431" s="8" t="n"/>
      <c r="D8431" s="8" t="n"/>
      <c r="E8431" s="8" t="n"/>
      <c r="F8431" s="8" t="n"/>
      <c r="G8431" s="8" t="n"/>
      <c r="H8431" s="8" t="n"/>
      <c r="I8431" s="8" t="n"/>
      <c r="J8431" s="8" t="n"/>
      <c r="K8431" s="8" t="n"/>
      <c r="L8431" s="8" t="n"/>
      <c r="M8431" s="9">
        <f>B8431+30</f>
        <v/>
      </c>
      <c r="N8431">
        <f>IF(L8431="", "", L8431-B8431)</f>
        <v/>
      </c>
      <c r="O8431">
        <f>IF(L8431="", "Pending", IF(N8431&lt;=30, "Met", "Breached"))</f>
        <v/>
      </c>
      <c r="P8431" s="8" t="n"/>
      <c r="Q8431" s="8" t="n"/>
      <c r="R8431" s="8" t="n"/>
      <c r="S8431" s="8" t="n"/>
      <c r="T8431" s="8" t="n"/>
      <c r="U8431" s="8" t="n"/>
      <c r="V8431" s="8" t="n"/>
      <c r="W8431" s="8" t="n"/>
      <c r="X8431" s="8" t="n"/>
      <c r="Y8431" s="8" t="n"/>
    </row>
    <row r="8432">
      <c r="A8432" s="8" t="n"/>
      <c r="B8432" s="8" t="n"/>
      <c r="C8432" s="8" t="n"/>
      <c r="D8432" s="8" t="n"/>
      <c r="E8432" s="8" t="n"/>
      <c r="F8432" s="8" t="n"/>
      <c r="G8432" s="8" t="n"/>
      <c r="H8432" s="8" t="n"/>
      <c r="I8432" s="8" t="n"/>
      <c r="J8432" s="8" t="n"/>
      <c r="K8432" s="8" t="n"/>
      <c r="L8432" s="8" t="n"/>
      <c r="M8432" s="9">
        <f>B8432+30</f>
        <v/>
      </c>
      <c r="N8432">
        <f>IF(L8432="", "", L8432-B8432)</f>
        <v/>
      </c>
      <c r="O8432">
        <f>IF(L8432="", "Pending", IF(N8432&lt;=30, "Met", "Breached"))</f>
        <v/>
      </c>
      <c r="P8432" s="8" t="n"/>
      <c r="Q8432" s="8" t="n"/>
      <c r="R8432" s="8" t="n"/>
      <c r="S8432" s="8" t="n"/>
      <c r="T8432" s="8" t="n"/>
      <c r="U8432" s="8" t="n"/>
      <c r="V8432" s="8" t="n"/>
      <c r="W8432" s="8" t="n"/>
      <c r="X8432" s="8" t="n"/>
      <c r="Y8432" s="8" t="n"/>
    </row>
    <row r="8433">
      <c r="A8433" s="8" t="n"/>
      <c r="B8433" s="8" t="n"/>
      <c r="C8433" s="8" t="n"/>
      <c r="D8433" s="8" t="n"/>
      <c r="E8433" s="8" t="n"/>
      <c r="F8433" s="8" t="n"/>
      <c r="G8433" s="8" t="n"/>
      <c r="H8433" s="8" t="n"/>
      <c r="I8433" s="8" t="n"/>
      <c r="J8433" s="8" t="n"/>
      <c r="K8433" s="8" t="n"/>
      <c r="L8433" s="8" t="n"/>
      <c r="M8433" s="9">
        <f>B8433+30</f>
        <v/>
      </c>
      <c r="N8433">
        <f>IF(L8433="", "", L8433-B8433)</f>
        <v/>
      </c>
      <c r="O8433">
        <f>IF(L8433="", "Pending", IF(N8433&lt;=30, "Met", "Breached"))</f>
        <v/>
      </c>
      <c r="P8433" s="8" t="n"/>
      <c r="Q8433" s="8" t="n"/>
      <c r="R8433" s="8" t="n"/>
      <c r="S8433" s="8" t="n"/>
      <c r="T8433" s="8" t="n"/>
      <c r="U8433" s="8" t="n"/>
      <c r="V8433" s="8" t="n"/>
      <c r="W8433" s="8" t="n"/>
      <c r="X8433" s="8" t="n"/>
      <c r="Y8433" s="8" t="n"/>
    </row>
    <row r="8434">
      <c r="A8434" s="8" t="n"/>
      <c r="B8434" s="8" t="n"/>
      <c r="C8434" s="8" t="n"/>
      <c r="D8434" s="8" t="n"/>
      <c r="E8434" s="8" t="n"/>
      <c r="F8434" s="8" t="n"/>
      <c r="G8434" s="8" t="n"/>
      <c r="H8434" s="8" t="n"/>
      <c r="I8434" s="8" t="n"/>
      <c r="J8434" s="8" t="n"/>
      <c r="K8434" s="8" t="n"/>
      <c r="L8434" s="8" t="n"/>
      <c r="M8434" s="9">
        <f>B8434+30</f>
        <v/>
      </c>
      <c r="N8434">
        <f>IF(L8434="", "", L8434-B8434)</f>
        <v/>
      </c>
      <c r="O8434">
        <f>IF(L8434="", "Pending", IF(N8434&lt;=30, "Met", "Breached"))</f>
        <v/>
      </c>
      <c r="P8434" s="8" t="n"/>
      <c r="Q8434" s="8" t="n"/>
      <c r="R8434" s="8" t="n"/>
      <c r="S8434" s="8" t="n"/>
      <c r="T8434" s="8" t="n"/>
      <c r="U8434" s="8" t="n"/>
      <c r="V8434" s="8" t="n"/>
      <c r="W8434" s="8" t="n"/>
      <c r="X8434" s="8" t="n"/>
      <c r="Y8434" s="8" t="n"/>
    </row>
    <row r="8435">
      <c r="A8435" s="8" t="n"/>
      <c r="B8435" s="8" t="n"/>
      <c r="C8435" s="8" t="n"/>
      <c r="D8435" s="8" t="n"/>
      <c r="E8435" s="8" t="n"/>
      <c r="F8435" s="8" t="n"/>
      <c r="G8435" s="8" t="n"/>
      <c r="H8435" s="8" t="n"/>
      <c r="I8435" s="8" t="n"/>
      <c r="J8435" s="8" t="n"/>
      <c r="K8435" s="8" t="n"/>
      <c r="L8435" s="8" t="n"/>
      <c r="M8435" s="9">
        <f>B8435+30</f>
        <v/>
      </c>
      <c r="N8435">
        <f>IF(L8435="", "", L8435-B8435)</f>
        <v/>
      </c>
      <c r="O8435">
        <f>IF(L8435="", "Pending", IF(N8435&lt;=30, "Met", "Breached"))</f>
        <v/>
      </c>
      <c r="P8435" s="8" t="n"/>
      <c r="Q8435" s="8" t="n"/>
      <c r="R8435" s="8" t="n"/>
      <c r="S8435" s="8" t="n"/>
      <c r="T8435" s="8" t="n"/>
      <c r="U8435" s="8" t="n"/>
      <c r="V8435" s="8" t="n"/>
      <c r="W8435" s="8" t="n"/>
      <c r="X8435" s="8" t="n"/>
      <c r="Y8435" s="8" t="n"/>
    </row>
    <row r="8436">
      <c r="A8436" s="8" t="n"/>
      <c r="B8436" s="8" t="n"/>
      <c r="C8436" s="8" t="n"/>
      <c r="D8436" s="8" t="n"/>
      <c r="E8436" s="8" t="n"/>
      <c r="F8436" s="8" t="n"/>
      <c r="G8436" s="8" t="n"/>
      <c r="H8436" s="8" t="n"/>
      <c r="I8436" s="8" t="n"/>
      <c r="J8436" s="8" t="n"/>
      <c r="K8436" s="8" t="n"/>
      <c r="L8436" s="8" t="n"/>
      <c r="M8436" s="9">
        <f>B8436+30</f>
        <v/>
      </c>
      <c r="N8436">
        <f>IF(L8436="", "", L8436-B8436)</f>
        <v/>
      </c>
      <c r="O8436">
        <f>IF(L8436="", "Pending", IF(N8436&lt;=30, "Met", "Breached"))</f>
        <v/>
      </c>
      <c r="P8436" s="8" t="n"/>
      <c r="Q8436" s="8" t="n"/>
      <c r="R8436" s="8" t="n"/>
      <c r="S8436" s="8" t="n"/>
      <c r="T8436" s="8" t="n"/>
      <c r="U8436" s="8" t="n"/>
      <c r="V8436" s="8" t="n"/>
      <c r="W8436" s="8" t="n"/>
      <c r="X8436" s="8" t="n"/>
      <c r="Y8436" s="8" t="n"/>
    </row>
    <row r="8437">
      <c r="A8437" s="8" t="n"/>
      <c r="B8437" s="8" t="n"/>
      <c r="C8437" s="8" t="n"/>
      <c r="D8437" s="8" t="n"/>
      <c r="E8437" s="8" t="n"/>
      <c r="F8437" s="8" t="n"/>
      <c r="G8437" s="8" t="n"/>
      <c r="H8437" s="8" t="n"/>
      <c r="I8437" s="8" t="n"/>
      <c r="J8437" s="8" t="n"/>
      <c r="K8437" s="8" t="n"/>
      <c r="L8437" s="8" t="n"/>
      <c r="M8437" s="9">
        <f>B8437+30</f>
        <v/>
      </c>
      <c r="N8437">
        <f>IF(L8437="", "", L8437-B8437)</f>
        <v/>
      </c>
      <c r="O8437">
        <f>IF(L8437="", "Pending", IF(N8437&lt;=30, "Met", "Breached"))</f>
        <v/>
      </c>
      <c r="P8437" s="8" t="n"/>
      <c r="Q8437" s="8" t="n"/>
      <c r="R8437" s="8" t="n"/>
      <c r="S8437" s="8" t="n"/>
      <c r="T8437" s="8" t="n"/>
      <c r="U8437" s="8" t="n"/>
      <c r="V8437" s="8" t="n"/>
      <c r="W8437" s="8" t="n"/>
      <c r="X8437" s="8" t="n"/>
      <c r="Y8437" s="8" t="n"/>
    </row>
    <row r="8438">
      <c r="A8438" s="8" t="n"/>
      <c r="B8438" s="8" t="n"/>
      <c r="C8438" s="8" t="n"/>
      <c r="D8438" s="8" t="n"/>
      <c r="E8438" s="8" t="n"/>
      <c r="F8438" s="8" t="n"/>
      <c r="G8438" s="8" t="n"/>
      <c r="H8438" s="8" t="n"/>
      <c r="I8438" s="8" t="n"/>
      <c r="J8438" s="8" t="n"/>
      <c r="K8438" s="8" t="n"/>
      <c r="L8438" s="8" t="n"/>
      <c r="M8438" s="9">
        <f>B8438+30</f>
        <v/>
      </c>
      <c r="N8438">
        <f>IF(L8438="", "", L8438-B8438)</f>
        <v/>
      </c>
      <c r="O8438">
        <f>IF(L8438="", "Pending", IF(N8438&lt;=30, "Met", "Breached"))</f>
        <v/>
      </c>
      <c r="P8438" s="8" t="n"/>
      <c r="Q8438" s="8" t="n"/>
      <c r="R8438" s="8" t="n"/>
      <c r="S8438" s="8" t="n"/>
      <c r="T8438" s="8" t="n"/>
      <c r="U8438" s="8" t="n"/>
      <c r="V8438" s="8" t="n"/>
      <c r="W8438" s="8" t="n"/>
      <c r="X8438" s="8" t="n"/>
      <c r="Y8438" s="8" t="n"/>
    </row>
    <row r="8439">
      <c r="A8439" s="8" t="n"/>
      <c r="B8439" s="8" t="n"/>
      <c r="C8439" s="8" t="n"/>
      <c r="D8439" s="8" t="n"/>
      <c r="E8439" s="8" t="n"/>
      <c r="F8439" s="8" t="n"/>
      <c r="G8439" s="8" t="n"/>
      <c r="H8439" s="8" t="n"/>
      <c r="I8439" s="8" t="n"/>
      <c r="J8439" s="8" t="n"/>
      <c r="K8439" s="8" t="n"/>
      <c r="L8439" s="8" t="n"/>
      <c r="M8439" s="9">
        <f>B8439+30</f>
        <v/>
      </c>
      <c r="N8439">
        <f>IF(L8439="", "", L8439-B8439)</f>
        <v/>
      </c>
      <c r="O8439">
        <f>IF(L8439="", "Pending", IF(N8439&lt;=30, "Met", "Breached"))</f>
        <v/>
      </c>
      <c r="P8439" s="8" t="n"/>
      <c r="Q8439" s="8" t="n"/>
      <c r="R8439" s="8" t="n"/>
      <c r="S8439" s="8" t="n"/>
      <c r="T8439" s="8" t="n"/>
      <c r="U8439" s="8" t="n"/>
      <c r="V8439" s="8" t="n"/>
      <c r="W8439" s="8" t="n"/>
      <c r="X8439" s="8" t="n"/>
      <c r="Y8439" s="8" t="n"/>
    </row>
    <row r="8440">
      <c r="A8440" s="8" t="n"/>
      <c r="B8440" s="8" t="n"/>
      <c r="C8440" s="8" t="n"/>
      <c r="D8440" s="8" t="n"/>
      <c r="E8440" s="8" t="n"/>
      <c r="F8440" s="8" t="n"/>
      <c r="G8440" s="8" t="n"/>
      <c r="H8440" s="8" t="n"/>
      <c r="I8440" s="8" t="n"/>
      <c r="J8440" s="8" t="n"/>
      <c r="K8440" s="8" t="n"/>
      <c r="L8440" s="8" t="n"/>
      <c r="M8440" s="9">
        <f>B8440+30</f>
        <v/>
      </c>
      <c r="N8440">
        <f>IF(L8440="", "", L8440-B8440)</f>
        <v/>
      </c>
      <c r="O8440">
        <f>IF(L8440="", "Pending", IF(N8440&lt;=30, "Met", "Breached"))</f>
        <v/>
      </c>
      <c r="P8440" s="8" t="n"/>
      <c r="Q8440" s="8" t="n"/>
      <c r="R8440" s="8" t="n"/>
      <c r="S8440" s="8" t="n"/>
      <c r="T8440" s="8" t="n"/>
      <c r="U8440" s="8" t="n"/>
      <c r="V8440" s="8" t="n"/>
      <c r="W8440" s="8" t="n"/>
      <c r="X8440" s="8" t="n"/>
      <c r="Y8440" s="8" t="n"/>
    </row>
    <row r="8441">
      <c r="A8441" s="8" t="n"/>
      <c r="B8441" s="8" t="n"/>
      <c r="C8441" s="8" t="n"/>
      <c r="D8441" s="8" t="n"/>
      <c r="E8441" s="8" t="n"/>
      <c r="F8441" s="8" t="n"/>
      <c r="G8441" s="8" t="n"/>
      <c r="H8441" s="8" t="n"/>
      <c r="I8441" s="8" t="n"/>
      <c r="J8441" s="8" t="n"/>
      <c r="K8441" s="8" t="n"/>
      <c r="L8441" s="8" t="n"/>
      <c r="M8441" s="9">
        <f>B8441+30</f>
        <v/>
      </c>
      <c r="N8441">
        <f>IF(L8441="", "", L8441-B8441)</f>
        <v/>
      </c>
      <c r="O8441">
        <f>IF(L8441="", "Pending", IF(N8441&lt;=30, "Met", "Breached"))</f>
        <v/>
      </c>
      <c r="P8441" s="8" t="n"/>
      <c r="Q8441" s="8" t="n"/>
      <c r="R8441" s="8" t="n"/>
      <c r="S8441" s="8" t="n"/>
      <c r="T8441" s="8" t="n"/>
      <c r="U8441" s="8" t="n"/>
      <c r="V8441" s="8" t="n"/>
      <c r="W8441" s="8" t="n"/>
      <c r="X8441" s="8" t="n"/>
      <c r="Y8441" s="8" t="n"/>
    </row>
    <row r="8442">
      <c r="A8442" s="8" t="n"/>
      <c r="B8442" s="8" t="n"/>
      <c r="C8442" s="8" t="n"/>
      <c r="D8442" s="8" t="n"/>
      <c r="E8442" s="8" t="n"/>
      <c r="F8442" s="8" t="n"/>
      <c r="G8442" s="8" t="n"/>
      <c r="H8442" s="8" t="n"/>
      <c r="I8442" s="8" t="n"/>
      <c r="J8442" s="8" t="n"/>
      <c r="K8442" s="8" t="n"/>
      <c r="L8442" s="8" t="n"/>
      <c r="M8442" s="9">
        <f>B8442+30</f>
        <v/>
      </c>
      <c r="N8442">
        <f>IF(L8442="", "", L8442-B8442)</f>
        <v/>
      </c>
      <c r="O8442">
        <f>IF(L8442="", "Pending", IF(N8442&lt;=30, "Met", "Breached"))</f>
        <v/>
      </c>
      <c r="P8442" s="8" t="n"/>
      <c r="Q8442" s="8" t="n"/>
      <c r="R8442" s="8" t="n"/>
      <c r="S8442" s="8" t="n"/>
      <c r="T8442" s="8" t="n"/>
      <c r="U8442" s="8" t="n"/>
      <c r="V8442" s="8" t="n"/>
      <c r="W8442" s="8" t="n"/>
      <c r="X8442" s="8" t="n"/>
      <c r="Y8442" s="8" t="n"/>
    </row>
    <row r="8443">
      <c r="A8443" s="8" t="n"/>
      <c r="B8443" s="8" t="n"/>
      <c r="C8443" s="8" t="n"/>
      <c r="D8443" s="8" t="n"/>
      <c r="E8443" s="8" t="n"/>
      <c r="F8443" s="8" t="n"/>
      <c r="G8443" s="8" t="n"/>
      <c r="H8443" s="8" t="n"/>
      <c r="I8443" s="8" t="n"/>
      <c r="J8443" s="8" t="n"/>
      <c r="K8443" s="8" t="n"/>
      <c r="L8443" s="8" t="n"/>
      <c r="M8443" s="9">
        <f>B8443+30</f>
        <v/>
      </c>
      <c r="N8443">
        <f>IF(L8443="", "", L8443-B8443)</f>
        <v/>
      </c>
      <c r="O8443">
        <f>IF(L8443="", "Pending", IF(N8443&lt;=30, "Met", "Breached"))</f>
        <v/>
      </c>
      <c r="P8443" s="8" t="n"/>
      <c r="Q8443" s="8" t="n"/>
      <c r="R8443" s="8" t="n"/>
      <c r="S8443" s="8" t="n"/>
      <c r="T8443" s="8" t="n"/>
      <c r="U8443" s="8" t="n"/>
      <c r="V8443" s="8" t="n"/>
      <c r="W8443" s="8" t="n"/>
      <c r="X8443" s="8" t="n"/>
      <c r="Y8443" s="8" t="n"/>
    </row>
    <row r="8444">
      <c r="A8444" s="8" t="n"/>
      <c r="B8444" s="8" t="n"/>
      <c r="C8444" s="8" t="n"/>
      <c r="D8444" s="8" t="n"/>
      <c r="E8444" s="8" t="n"/>
      <c r="F8444" s="8" t="n"/>
      <c r="G8444" s="8" t="n"/>
      <c r="H8444" s="8" t="n"/>
      <c r="I8444" s="8" t="n"/>
      <c r="J8444" s="8" t="n"/>
      <c r="K8444" s="8" t="n"/>
      <c r="L8444" s="8" t="n"/>
      <c r="M8444" s="9">
        <f>B8444+30</f>
        <v/>
      </c>
      <c r="N8444">
        <f>IF(L8444="", "", L8444-B8444)</f>
        <v/>
      </c>
      <c r="O8444">
        <f>IF(L8444="", "Pending", IF(N8444&lt;=30, "Met", "Breached"))</f>
        <v/>
      </c>
      <c r="P8444" s="8" t="n"/>
      <c r="Q8444" s="8" t="n"/>
      <c r="R8444" s="8" t="n"/>
      <c r="S8444" s="8" t="n"/>
      <c r="T8444" s="8" t="n"/>
      <c r="U8444" s="8" t="n"/>
      <c r="V8444" s="8" t="n"/>
      <c r="W8444" s="8" t="n"/>
      <c r="X8444" s="8" t="n"/>
      <c r="Y8444" s="8" t="n"/>
    </row>
    <row r="8445">
      <c r="A8445" s="8" t="n"/>
      <c r="B8445" s="8" t="n"/>
      <c r="C8445" s="8" t="n"/>
      <c r="D8445" s="8" t="n"/>
      <c r="E8445" s="8" t="n"/>
      <c r="F8445" s="8" t="n"/>
      <c r="G8445" s="8" t="n"/>
      <c r="H8445" s="8" t="n"/>
      <c r="I8445" s="8" t="n"/>
      <c r="J8445" s="8" t="n"/>
      <c r="K8445" s="8" t="n"/>
      <c r="L8445" s="8" t="n"/>
      <c r="M8445" s="9">
        <f>B8445+30</f>
        <v/>
      </c>
      <c r="N8445">
        <f>IF(L8445="", "", L8445-B8445)</f>
        <v/>
      </c>
      <c r="O8445">
        <f>IF(L8445="", "Pending", IF(N8445&lt;=30, "Met", "Breached"))</f>
        <v/>
      </c>
      <c r="P8445" s="8" t="n"/>
      <c r="Q8445" s="8" t="n"/>
      <c r="R8445" s="8" t="n"/>
      <c r="S8445" s="8" t="n"/>
      <c r="T8445" s="8" t="n"/>
      <c r="U8445" s="8" t="n"/>
      <c r="V8445" s="8" t="n"/>
      <c r="W8445" s="8" t="n"/>
      <c r="X8445" s="8" t="n"/>
      <c r="Y8445" s="8" t="n"/>
    </row>
    <row r="8446">
      <c r="A8446" s="8" t="n"/>
      <c r="B8446" s="8" t="n"/>
      <c r="C8446" s="8" t="n"/>
      <c r="D8446" s="8" t="n"/>
      <c r="E8446" s="8" t="n"/>
      <c r="F8446" s="8" t="n"/>
      <c r="G8446" s="8" t="n"/>
      <c r="H8446" s="8" t="n"/>
      <c r="I8446" s="8" t="n"/>
      <c r="J8446" s="8" t="n"/>
      <c r="K8446" s="8" t="n"/>
      <c r="L8446" s="8" t="n"/>
      <c r="M8446" s="9">
        <f>B8446+30</f>
        <v/>
      </c>
      <c r="N8446">
        <f>IF(L8446="", "", L8446-B8446)</f>
        <v/>
      </c>
      <c r="O8446">
        <f>IF(L8446="", "Pending", IF(N8446&lt;=30, "Met", "Breached"))</f>
        <v/>
      </c>
      <c r="P8446" s="8" t="n"/>
      <c r="Q8446" s="8" t="n"/>
      <c r="R8446" s="8" t="n"/>
      <c r="S8446" s="8" t="n"/>
      <c r="T8446" s="8" t="n"/>
      <c r="U8446" s="8" t="n"/>
      <c r="V8446" s="8" t="n"/>
      <c r="W8446" s="8" t="n"/>
      <c r="X8446" s="8" t="n"/>
      <c r="Y8446" s="8" t="n"/>
    </row>
    <row r="8447">
      <c r="A8447" s="8" t="n"/>
      <c r="B8447" s="8" t="n"/>
      <c r="C8447" s="8" t="n"/>
      <c r="D8447" s="8" t="n"/>
      <c r="E8447" s="8" t="n"/>
      <c r="F8447" s="8" t="n"/>
      <c r="G8447" s="8" t="n"/>
      <c r="H8447" s="8" t="n"/>
      <c r="I8447" s="8" t="n"/>
      <c r="J8447" s="8" t="n"/>
      <c r="K8447" s="8" t="n"/>
      <c r="L8447" s="8" t="n"/>
      <c r="M8447" s="9">
        <f>B8447+30</f>
        <v/>
      </c>
      <c r="N8447">
        <f>IF(L8447="", "", L8447-B8447)</f>
        <v/>
      </c>
      <c r="O8447">
        <f>IF(L8447="", "Pending", IF(N8447&lt;=30, "Met", "Breached"))</f>
        <v/>
      </c>
      <c r="P8447" s="8" t="n"/>
      <c r="Q8447" s="8" t="n"/>
      <c r="R8447" s="8" t="n"/>
      <c r="S8447" s="8" t="n"/>
      <c r="T8447" s="8" t="n"/>
      <c r="U8447" s="8" t="n"/>
      <c r="V8447" s="8" t="n"/>
      <c r="W8447" s="8" t="n"/>
      <c r="X8447" s="8" t="n"/>
      <c r="Y8447" s="8" t="n"/>
    </row>
    <row r="8448">
      <c r="A8448" s="8" t="n"/>
      <c r="B8448" s="8" t="n"/>
      <c r="C8448" s="8" t="n"/>
      <c r="D8448" s="8" t="n"/>
      <c r="E8448" s="8" t="n"/>
      <c r="F8448" s="8" t="n"/>
      <c r="G8448" s="8" t="n"/>
      <c r="H8448" s="8" t="n"/>
      <c r="I8448" s="8" t="n"/>
      <c r="J8448" s="8" t="n"/>
      <c r="K8448" s="8" t="n"/>
      <c r="L8448" s="8" t="n"/>
      <c r="M8448" s="9">
        <f>B8448+30</f>
        <v/>
      </c>
      <c r="N8448">
        <f>IF(L8448="", "", L8448-B8448)</f>
        <v/>
      </c>
      <c r="O8448">
        <f>IF(L8448="", "Pending", IF(N8448&lt;=30, "Met", "Breached"))</f>
        <v/>
      </c>
      <c r="P8448" s="8" t="n"/>
      <c r="Q8448" s="8" t="n"/>
      <c r="R8448" s="8" t="n"/>
      <c r="S8448" s="8" t="n"/>
      <c r="T8448" s="8" t="n"/>
      <c r="U8448" s="8" t="n"/>
      <c r="V8448" s="8" t="n"/>
      <c r="W8448" s="8" t="n"/>
      <c r="X8448" s="8" t="n"/>
      <c r="Y8448" s="8" t="n"/>
    </row>
    <row r="8449">
      <c r="A8449" s="8" t="n"/>
      <c r="B8449" s="8" t="n"/>
      <c r="C8449" s="8" t="n"/>
      <c r="D8449" s="8" t="n"/>
      <c r="E8449" s="8" t="n"/>
      <c r="F8449" s="8" t="n"/>
      <c r="G8449" s="8" t="n"/>
      <c r="H8449" s="8" t="n"/>
      <c r="I8449" s="8" t="n"/>
      <c r="J8449" s="8" t="n"/>
      <c r="K8449" s="8" t="n"/>
      <c r="L8449" s="8" t="n"/>
      <c r="M8449" s="9">
        <f>B8449+30</f>
        <v/>
      </c>
      <c r="N8449">
        <f>IF(L8449="", "", L8449-B8449)</f>
        <v/>
      </c>
      <c r="O8449">
        <f>IF(L8449="", "Pending", IF(N8449&lt;=30, "Met", "Breached"))</f>
        <v/>
      </c>
      <c r="P8449" s="8" t="n"/>
      <c r="Q8449" s="8" t="n"/>
      <c r="R8449" s="8" t="n"/>
      <c r="S8449" s="8" t="n"/>
      <c r="T8449" s="8" t="n"/>
      <c r="U8449" s="8" t="n"/>
      <c r="V8449" s="8" t="n"/>
      <c r="W8449" s="8" t="n"/>
      <c r="X8449" s="8" t="n"/>
      <c r="Y8449" s="8" t="n"/>
    </row>
    <row r="8450">
      <c r="A8450" s="8" t="n"/>
      <c r="B8450" s="8" t="n"/>
      <c r="C8450" s="8" t="n"/>
      <c r="D8450" s="8" t="n"/>
      <c r="E8450" s="8" t="n"/>
      <c r="F8450" s="8" t="n"/>
      <c r="G8450" s="8" t="n"/>
      <c r="H8450" s="8" t="n"/>
      <c r="I8450" s="8" t="n"/>
      <c r="J8450" s="8" t="n"/>
      <c r="K8450" s="8" t="n"/>
      <c r="L8450" s="8" t="n"/>
      <c r="M8450" s="9">
        <f>B8450+30</f>
        <v/>
      </c>
      <c r="N8450">
        <f>IF(L8450="", "", L8450-B8450)</f>
        <v/>
      </c>
      <c r="O8450">
        <f>IF(L8450="", "Pending", IF(N8450&lt;=30, "Met", "Breached"))</f>
        <v/>
      </c>
      <c r="P8450" s="8" t="n"/>
      <c r="Q8450" s="8" t="n"/>
      <c r="R8450" s="8" t="n"/>
      <c r="S8450" s="8" t="n"/>
      <c r="T8450" s="8" t="n"/>
      <c r="U8450" s="8" t="n"/>
      <c r="V8450" s="8" t="n"/>
      <c r="W8450" s="8" t="n"/>
      <c r="X8450" s="8" t="n"/>
      <c r="Y8450" s="8" t="n"/>
    </row>
    <row r="8451">
      <c r="A8451" s="8" t="n"/>
      <c r="B8451" s="8" t="n"/>
      <c r="C8451" s="8" t="n"/>
      <c r="D8451" s="8" t="n"/>
      <c r="E8451" s="8" t="n"/>
      <c r="F8451" s="8" t="n"/>
      <c r="G8451" s="8" t="n"/>
      <c r="H8451" s="8" t="n"/>
      <c r="I8451" s="8" t="n"/>
      <c r="J8451" s="8" t="n"/>
      <c r="K8451" s="8" t="n"/>
      <c r="L8451" s="8" t="n"/>
      <c r="M8451" s="9">
        <f>B8451+30</f>
        <v/>
      </c>
      <c r="N8451">
        <f>IF(L8451="", "", L8451-B8451)</f>
        <v/>
      </c>
      <c r="O8451">
        <f>IF(L8451="", "Pending", IF(N8451&lt;=30, "Met", "Breached"))</f>
        <v/>
      </c>
      <c r="P8451" s="8" t="n"/>
      <c r="Q8451" s="8" t="n"/>
      <c r="R8451" s="8" t="n"/>
      <c r="S8451" s="8" t="n"/>
      <c r="T8451" s="8" t="n"/>
      <c r="U8451" s="8" t="n"/>
      <c r="V8451" s="8" t="n"/>
      <c r="W8451" s="8" t="n"/>
      <c r="X8451" s="8" t="n"/>
      <c r="Y8451" s="8" t="n"/>
    </row>
    <row r="8452">
      <c r="A8452" s="8" t="n"/>
      <c r="B8452" s="8" t="n"/>
      <c r="C8452" s="8" t="n"/>
      <c r="D8452" s="8" t="n"/>
      <c r="E8452" s="8" t="n"/>
      <c r="F8452" s="8" t="n"/>
      <c r="G8452" s="8" t="n"/>
      <c r="H8452" s="8" t="n"/>
      <c r="I8452" s="8" t="n"/>
      <c r="J8452" s="8" t="n"/>
      <c r="K8452" s="8" t="n"/>
      <c r="L8452" s="8" t="n"/>
      <c r="M8452" s="9">
        <f>B8452+30</f>
        <v/>
      </c>
      <c r="N8452">
        <f>IF(L8452="", "", L8452-B8452)</f>
        <v/>
      </c>
      <c r="O8452">
        <f>IF(L8452="", "Pending", IF(N8452&lt;=30, "Met", "Breached"))</f>
        <v/>
      </c>
      <c r="P8452" s="8" t="n"/>
      <c r="Q8452" s="8" t="n"/>
      <c r="R8452" s="8" t="n"/>
      <c r="S8452" s="8" t="n"/>
      <c r="T8452" s="8" t="n"/>
      <c r="U8452" s="8" t="n"/>
      <c r="V8452" s="8" t="n"/>
      <c r="W8452" s="8" t="n"/>
      <c r="X8452" s="8" t="n"/>
      <c r="Y8452" s="8" t="n"/>
    </row>
    <row r="8453">
      <c r="A8453" s="8" t="n"/>
      <c r="B8453" s="8" t="n"/>
      <c r="C8453" s="8" t="n"/>
      <c r="D8453" s="8" t="n"/>
      <c r="E8453" s="8" t="n"/>
      <c r="F8453" s="8" t="n"/>
      <c r="G8453" s="8" t="n"/>
      <c r="H8453" s="8" t="n"/>
      <c r="I8453" s="8" t="n"/>
      <c r="J8453" s="8" t="n"/>
      <c r="K8453" s="8" t="n"/>
      <c r="L8453" s="8" t="n"/>
      <c r="M8453" s="9">
        <f>B8453+30</f>
        <v/>
      </c>
      <c r="N8453">
        <f>IF(L8453="", "", L8453-B8453)</f>
        <v/>
      </c>
      <c r="O8453">
        <f>IF(L8453="", "Pending", IF(N8453&lt;=30, "Met", "Breached"))</f>
        <v/>
      </c>
      <c r="P8453" s="8" t="n"/>
      <c r="Q8453" s="8" t="n"/>
      <c r="R8453" s="8" t="n"/>
      <c r="S8453" s="8" t="n"/>
      <c r="T8453" s="8" t="n"/>
      <c r="U8453" s="8" t="n"/>
      <c r="V8453" s="8" t="n"/>
      <c r="W8453" s="8" t="n"/>
      <c r="X8453" s="8" t="n"/>
      <c r="Y8453" s="8" t="n"/>
    </row>
    <row r="8454">
      <c r="A8454" s="8" t="n"/>
      <c r="B8454" s="8" t="n"/>
      <c r="C8454" s="8" t="n"/>
      <c r="D8454" s="8" t="n"/>
      <c r="E8454" s="8" t="n"/>
      <c r="F8454" s="8" t="n"/>
      <c r="G8454" s="8" t="n"/>
      <c r="H8454" s="8" t="n"/>
      <c r="I8454" s="8" t="n"/>
      <c r="J8454" s="8" t="n"/>
      <c r="K8454" s="8" t="n"/>
      <c r="L8454" s="8" t="n"/>
      <c r="M8454" s="9">
        <f>B8454+30</f>
        <v/>
      </c>
      <c r="N8454">
        <f>IF(L8454="", "", L8454-B8454)</f>
        <v/>
      </c>
      <c r="O8454">
        <f>IF(L8454="", "Pending", IF(N8454&lt;=30, "Met", "Breached"))</f>
        <v/>
      </c>
      <c r="P8454" s="8" t="n"/>
      <c r="Q8454" s="8" t="n"/>
      <c r="R8454" s="8" t="n"/>
      <c r="S8454" s="8" t="n"/>
      <c r="T8454" s="8" t="n"/>
      <c r="U8454" s="8" t="n"/>
      <c r="V8454" s="8" t="n"/>
      <c r="W8454" s="8" t="n"/>
      <c r="X8454" s="8" t="n"/>
      <c r="Y8454" s="8" t="n"/>
    </row>
    <row r="8455">
      <c r="A8455" s="8" t="n"/>
      <c r="B8455" s="8" t="n"/>
      <c r="C8455" s="8" t="n"/>
      <c r="D8455" s="8" t="n"/>
      <c r="E8455" s="8" t="n"/>
      <c r="F8455" s="8" t="n"/>
      <c r="G8455" s="8" t="n"/>
      <c r="H8455" s="8" t="n"/>
      <c r="I8455" s="8" t="n"/>
      <c r="J8455" s="8" t="n"/>
      <c r="K8455" s="8" t="n"/>
      <c r="L8455" s="8" t="n"/>
      <c r="M8455" s="9">
        <f>B8455+30</f>
        <v/>
      </c>
      <c r="N8455">
        <f>IF(L8455="", "", L8455-B8455)</f>
        <v/>
      </c>
      <c r="O8455">
        <f>IF(L8455="", "Pending", IF(N8455&lt;=30, "Met", "Breached"))</f>
        <v/>
      </c>
      <c r="P8455" s="8" t="n"/>
      <c r="Q8455" s="8" t="n"/>
      <c r="R8455" s="8" t="n"/>
      <c r="S8455" s="8" t="n"/>
      <c r="T8455" s="8" t="n"/>
      <c r="U8455" s="8" t="n"/>
      <c r="V8455" s="8" t="n"/>
      <c r="W8455" s="8" t="n"/>
      <c r="X8455" s="8" t="n"/>
      <c r="Y8455" s="8" t="n"/>
    </row>
    <row r="8456">
      <c r="A8456" s="8" t="n"/>
      <c r="B8456" s="8" t="n"/>
      <c r="C8456" s="8" t="n"/>
      <c r="D8456" s="8" t="n"/>
      <c r="E8456" s="8" t="n"/>
      <c r="F8456" s="8" t="n"/>
      <c r="G8456" s="8" t="n"/>
      <c r="H8456" s="8" t="n"/>
      <c r="I8456" s="8" t="n"/>
      <c r="J8456" s="8" t="n"/>
      <c r="K8456" s="8" t="n"/>
      <c r="L8456" s="8" t="n"/>
      <c r="M8456" s="9">
        <f>B8456+30</f>
        <v/>
      </c>
      <c r="N8456">
        <f>IF(L8456="", "", L8456-B8456)</f>
        <v/>
      </c>
      <c r="O8456">
        <f>IF(L8456="", "Pending", IF(N8456&lt;=30, "Met", "Breached"))</f>
        <v/>
      </c>
      <c r="P8456" s="8" t="n"/>
      <c r="Q8456" s="8" t="n"/>
      <c r="R8456" s="8" t="n"/>
      <c r="S8456" s="8" t="n"/>
      <c r="T8456" s="8" t="n"/>
      <c r="U8456" s="8" t="n"/>
      <c r="V8456" s="8" t="n"/>
      <c r="W8456" s="8" t="n"/>
      <c r="X8456" s="8" t="n"/>
      <c r="Y8456" s="8" t="n"/>
    </row>
    <row r="8457">
      <c r="A8457" s="8" t="n"/>
      <c r="B8457" s="8" t="n"/>
      <c r="C8457" s="8" t="n"/>
      <c r="D8457" s="8" t="n"/>
      <c r="E8457" s="8" t="n"/>
      <c r="F8457" s="8" t="n"/>
      <c r="G8457" s="8" t="n"/>
      <c r="H8457" s="8" t="n"/>
      <c r="I8457" s="8" t="n"/>
      <c r="J8457" s="8" t="n"/>
      <c r="K8457" s="8" t="n"/>
      <c r="L8457" s="8" t="n"/>
      <c r="M8457" s="9">
        <f>B8457+30</f>
        <v/>
      </c>
      <c r="N8457">
        <f>IF(L8457="", "", L8457-B8457)</f>
        <v/>
      </c>
      <c r="O8457">
        <f>IF(L8457="", "Pending", IF(N8457&lt;=30, "Met", "Breached"))</f>
        <v/>
      </c>
      <c r="P8457" s="8" t="n"/>
      <c r="Q8457" s="8" t="n"/>
      <c r="R8457" s="8" t="n"/>
      <c r="S8457" s="8" t="n"/>
      <c r="T8457" s="8" t="n"/>
      <c r="U8457" s="8" t="n"/>
      <c r="V8457" s="8" t="n"/>
      <c r="W8457" s="8" t="n"/>
      <c r="X8457" s="8" t="n"/>
      <c r="Y8457" s="8" t="n"/>
    </row>
    <row r="8458">
      <c r="A8458" s="8" t="n"/>
      <c r="B8458" s="8" t="n"/>
      <c r="C8458" s="8" t="n"/>
      <c r="D8458" s="8" t="n"/>
      <c r="E8458" s="8" t="n"/>
      <c r="F8458" s="8" t="n"/>
      <c r="G8458" s="8" t="n"/>
      <c r="H8458" s="8" t="n"/>
      <c r="I8458" s="8" t="n"/>
      <c r="J8458" s="8" t="n"/>
      <c r="K8458" s="8" t="n"/>
      <c r="L8458" s="8" t="n"/>
      <c r="M8458" s="9">
        <f>B8458+30</f>
        <v/>
      </c>
      <c r="N8458">
        <f>IF(L8458="", "", L8458-B8458)</f>
        <v/>
      </c>
      <c r="O8458">
        <f>IF(L8458="", "Pending", IF(N8458&lt;=30, "Met", "Breached"))</f>
        <v/>
      </c>
      <c r="P8458" s="8" t="n"/>
      <c r="Q8458" s="8" t="n"/>
      <c r="R8458" s="8" t="n"/>
      <c r="S8458" s="8" t="n"/>
      <c r="T8458" s="8" t="n"/>
      <c r="U8458" s="8" t="n"/>
      <c r="V8458" s="8" t="n"/>
      <c r="W8458" s="8" t="n"/>
      <c r="X8458" s="8" t="n"/>
      <c r="Y8458" s="8" t="n"/>
    </row>
    <row r="8459">
      <c r="A8459" s="8" t="n"/>
      <c r="B8459" s="8" t="n"/>
      <c r="C8459" s="8" t="n"/>
      <c r="D8459" s="8" t="n"/>
      <c r="E8459" s="8" t="n"/>
      <c r="F8459" s="8" t="n"/>
      <c r="G8459" s="8" t="n"/>
      <c r="H8459" s="8" t="n"/>
      <c r="I8459" s="8" t="n"/>
      <c r="J8459" s="8" t="n"/>
      <c r="K8459" s="8" t="n"/>
      <c r="L8459" s="8" t="n"/>
      <c r="M8459" s="9">
        <f>B8459+30</f>
        <v/>
      </c>
      <c r="N8459">
        <f>IF(L8459="", "", L8459-B8459)</f>
        <v/>
      </c>
      <c r="O8459">
        <f>IF(L8459="", "Pending", IF(N8459&lt;=30, "Met", "Breached"))</f>
        <v/>
      </c>
      <c r="P8459" s="8" t="n"/>
      <c r="Q8459" s="8" t="n"/>
      <c r="R8459" s="8" t="n"/>
      <c r="S8459" s="8" t="n"/>
      <c r="T8459" s="8" t="n"/>
      <c r="U8459" s="8" t="n"/>
      <c r="V8459" s="8" t="n"/>
      <c r="W8459" s="8" t="n"/>
      <c r="X8459" s="8" t="n"/>
      <c r="Y8459" s="8" t="n"/>
    </row>
    <row r="8460">
      <c r="A8460" s="8" t="n"/>
      <c r="B8460" s="8" t="n"/>
      <c r="C8460" s="8" t="n"/>
      <c r="D8460" s="8" t="n"/>
      <c r="E8460" s="8" t="n"/>
      <c r="F8460" s="8" t="n"/>
      <c r="G8460" s="8" t="n"/>
      <c r="H8460" s="8" t="n"/>
      <c r="I8460" s="8" t="n"/>
      <c r="J8460" s="8" t="n"/>
      <c r="K8460" s="8" t="n"/>
      <c r="L8460" s="8" t="n"/>
      <c r="M8460" s="9">
        <f>B8460+30</f>
        <v/>
      </c>
      <c r="N8460">
        <f>IF(L8460="", "", L8460-B8460)</f>
        <v/>
      </c>
      <c r="O8460">
        <f>IF(L8460="", "Pending", IF(N8460&lt;=30, "Met", "Breached"))</f>
        <v/>
      </c>
      <c r="P8460" s="8" t="n"/>
      <c r="Q8460" s="8" t="n"/>
      <c r="R8460" s="8" t="n"/>
      <c r="S8460" s="8" t="n"/>
      <c r="T8460" s="8" t="n"/>
      <c r="U8460" s="8" t="n"/>
      <c r="V8460" s="8" t="n"/>
      <c r="W8460" s="8" t="n"/>
      <c r="X8460" s="8" t="n"/>
      <c r="Y8460" s="8" t="n"/>
    </row>
    <row r="8461">
      <c r="A8461" s="8" t="n"/>
      <c r="B8461" s="8" t="n"/>
      <c r="C8461" s="8" t="n"/>
      <c r="D8461" s="8" t="n"/>
      <c r="E8461" s="8" t="n"/>
      <c r="F8461" s="8" t="n"/>
      <c r="G8461" s="8" t="n"/>
      <c r="H8461" s="8" t="n"/>
      <c r="I8461" s="8" t="n"/>
      <c r="J8461" s="8" t="n"/>
      <c r="K8461" s="8" t="n"/>
      <c r="L8461" s="8" t="n"/>
      <c r="M8461" s="9">
        <f>B8461+30</f>
        <v/>
      </c>
      <c r="N8461">
        <f>IF(L8461="", "", L8461-B8461)</f>
        <v/>
      </c>
      <c r="O8461">
        <f>IF(L8461="", "Pending", IF(N8461&lt;=30, "Met", "Breached"))</f>
        <v/>
      </c>
      <c r="P8461" s="8" t="n"/>
      <c r="Q8461" s="8" t="n"/>
      <c r="R8461" s="8" t="n"/>
      <c r="S8461" s="8" t="n"/>
      <c r="T8461" s="8" t="n"/>
      <c r="U8461" s="8" t="n"/>
      <c r="V8461" s="8" t="n"/>
      <c r="W8461" s="8" t="n"/>
      <c r="X8461" s="8" t="n"/>
      <c r="Y8461" s="8" t="n"/>
    </row>
    <row r="8462">
      <c r="A8462" s="8" t="n"/>
      <c r="B8462" s="8" t="n"/>
      <c r="C8462" s="8" t="n"/>
      <c r="D8462" s="8" t="n"/>
      <c r="E8462" s="8" t="n"/>
      <c r="F8462" s="8" t="n"/>
      <c r="G8462" s="8" t="n"/>
      <c r="H8462" s="8" t="n"/>
      <c r="I8462" s="8" t="n"/>
      <c r="J8462" s="8" t="n"/>
      <c r="K8462" s="8" t="n"/>
      <c r="L8462" s="8" t="n"/>
      <c r="M8462" s="9">
        <f>B8462+30</f>
        <v/>
      </c>
      <c r="N8462">
        <f>IF(L8462="", "", L8462-B8462)</f>
        <v/>
      </c>
      <c r="O8462">
        <f>IF(L8462="", "Pending", IF(N8462&lt;=30, "Met", "Breached"))</f>
        <v/>
      </c>
      <c r="P8462" s="8" t="n"/>
      <c r="Q8462" s="8" t="n"/>
      <c r="R8462" s="8" t="n"/>
      <c r="S8462" s="8" t="n"/>
      <c r="T8462" s="8" t="n"/>
      <c r="U8462" s="8" t="n"/>
      <c r="V8462" s="8" t="n"/>
      <c r="W8462" s="8" t="n"/>
      <c r="X8462" s="8" t="n"/>
      <c r="Y8462" s="8" t="n"/>
    </row>
    <row r="8463">
      <c r="A8463" s="8" t="n"/>
      <c r="B8463" s="8" t="n"/>
      <c r="C8463" s="8" t="n"/>
      <c r="D8463" s="8" t="n"/>
      <c r="E8463" s="8" t="n"/>
      <c r="F8463" s="8" t="n"/>
      <c r="G8463" s="8" t="n"/>
      <c r="H8463" s="8" t="n"/>
      <c r="I8463" s="8" t="n"/>
      <c r="J8463" s="8" t="n"/>
      <c r="K8463" s="8" t="n"/>
      <c r="L8463" s="8" t="n"/>
      <c r="M8463" s="9">
        <f>B8463+30</f>
        <v/>
      </c>
      <c r="N8463">
        <f>IF(L8463="", "", L8463-B8463)</f>
        <v/>
      </c>
      <c r="O8463">
        <f>IF(L8463="", "Pending", IF(N8463&lt;=30, "Met", "Breached"))</f>
        <v/>
      </c>
      <c r="P8463" s="8" t="n"/>
      <c r="Q8463" s="8" t="n"/>
      <c r="R8463" s="8" t="n"/>
      <c r="S8463" s="8" t="n"/>
      <c r="T8463" s="8" t="n"/>
      <c r="U8463" s="8" t="n"/>
      <c r="V8463" s="8" t="n"/>
      <c r="W8463" s="8" t="n"/>
      <c r="X8463" s="8" t="n"/>
      <c r="Y8463" s="8" t="n"/>
    </row>
    <row r="8464">
      <c r="A8464" s="8" t="n"/>
      <c r="B8464" s="8" t="n"/>
      <c r="C8464" s="8" t="n"/>
      <c r="D8464" s="8" t="n"/>
      <c r="E8464" s="8" t="n"/>
      <c r="F8464" s="8" t="n"/>
      <c r="G8464" s="8" t="n"/>
      <c r="H8464" s="8" t="n"/>
      <c r="I8464" s="8" t="n"/>
      <c r="J8464" s="8" t="n"/>
      <c r="K8464" s="8" t="n"/>
      <c r="L8464" s="8" t="n"/>
      <c r="M8464" s="9">
        <f>B8464+30</f>
        <v/>
      </c>
      <c r="N8464">
        <f>IF(L8464="", "", L8464-B8464)</f>
        <v/>
      </c>
      <c r="O8464">
        <f>IF(L8464="", "Pending", IF(N8464&lt;=30, "Met", "Breached"))</f>
        <v/>
      </c>
      <c r="P8464" s="8" t="n"/>
      <c r="Q8464" s="8" t="n"/>
      <c r="R8464" s="8" t="n"/>
      <c r="S8464" s="8" t="n"/>
      <c r="T8464" s="8" t="n"/>
      <c r="U8464" s="8" t="n"/>
      <c r="V8464" s="8" t="n"/>
      <c r="W8464" s="8" t="n"/>
      <c r="X8464" s="8" t="n"/>
      <c r="Y8464" s="8" t="n"/>
    </row>
    <row r="8465">
      <c r="A8465" s="8" t="n"/>
      <c r="B8465" s="8" t="n"/>
      <c r="C8465" s="8" t="n"/>
      <c r="D8465" s="8" t="n"/>
      <c r="E8465" s="8" t="n"/>
      <c r="F8465" s="8" t="n"/>
      <c r="G8465" s="8" t="n"/>
      <c r="H8465" s="8" t="n"/>
      <c r="I8465" s="8" t="n"/>
      <c r="J8465" s="8" t="n"/>
      <c r="K8465" s="8" t="n"/>
      <c r="L8465" s="8" t="n"/>
      <c r="M8465" s="9">
        <f>B8465+30</f>
        <v/>
      </c>
      <c r="N8465">
        <f>IF(L8465="", "", L8465-B8465)</f>
        <v/>
      </c>
      <c r="O8465">
        <f>IF(L8465="", "Pending", IF(N8465&lt;=30, "Met", "Breached"))</f>
        <v/>
      </c>
      <c r="P8465" s="8" t="n"/>
      <c r="Q8465" s="8" t="n"/>
      <c r="R8465" s="8" t="n"/>
      <c r="S8465" s="8" t="n"/>
      <c r="T8465" s="8" t="n"/>
      <c r="U8465" s="8" t="n"/>
      <c r="V8465" s="8" t="n"/>
      <c r="W8465" s="8" t="n"/>
      <c r="X8465" s="8" t="n"/>
      <c r="Y8465" s="8" t="n"/>
    </row>
    <row r="8466">
      <c r="A8466" s="8" t="n"/>
      <c r="B8466" s="8" t="n"/>
      <c r="C8466" s="8" t="n"/>
      <c r="D8466" s="8" t="n"/>
      <c r="E8466" s="8" t="n"/>
      <c r="F8466" s="8" t="n"/>
      <c r="G8466" s="8" t="n"/>
      <c r="H8466" s="8" t="n"/>
      <c r="I8466" s="8" t="n"/>
      <c r="J8466" s="8" t="n"/>
      <c r="K8466" s="8" t="n"/>
      <c r="L8466" s="8" t="n"/>
      <c r="M8466" s="9">
        <f>B8466+30</f>
        <v/>
      </c>
      <c r="N8466">
        <f>IF(L8466="", "", L8466-B8466)</f>
        <v/>
      </c>
      <c r="O8466">
        <f>IF(L8466="", "Pending", IF(N8466&lt;=30, "Met", "Breached"))</f>
        <v/>
      </c>
      <c r="P8466" s="8" t="n"/>
      <c r="Q8466" s="8" t="n"/>
      <c r="R8466" s="8" t="n"/>
      <c r="S8466" s="8" t="n"/>
      <c r="T8466" s="8" t="n"/>
      <c r="U8466" s="8" t="n"/>
      <c r="V8466" s="8" t="n"/>
      <c r="W8466" s="8" t="n"/>
      <c r="X8466" s="8" t="n"/>
      <c r="Y8466" s="8" t="n"/>
    </row>
    <row r="8467">
      <c r="A8467" s="8" t="n"/>
      <c r="B8467" s="8" t="n"/>
      <c r="C8467" s="8" t="n"/>
      <c r="D8467" s="8" t="n"/>
      <c r="E8467" s="8" t="n"/>
      <c r="F8467" s="8" t="n"/>
      <c r="G8467" s="8" t="n"/>
      <c r="H8467" s="8" t="n"/>
      <c r="I8467" s="8" t="n"/>
      <c r="J8467" s="8" t="n"/>
      <c r="K8467" s="8" t="n"/>
      <c r="L8467" s="8" t="n"/>
      <c r="M8467" s="9">
        <f>B8467+30</f>
        <v/>
      </c>
      <c r="N8467">
        <f>IF(L8467="", "", L8467-B8467)</f>
        <v/>
      </c>
      <c r="O8467">
        <f>IF(L8467="", "Pending", IF(N8467&lt;=30, "Met", "Breached"))</f>
        <v/>
      </c>
      <c r="P8467" s="8" t="n"/>
      <c r="Q8467" s="8" t="n"/>
      <c r="R8467" s="8" t="n"/>
      <c r="S8467" s="8" t="n"/>
      <c r="T8467" s="8" t="n"/>
      <c r="U8467" s="8" t="n"/>
      <c r="V8467" s="8" t="n"/>
      <c r="W8467" s="8" t="n"/>
      <c r="X8467" s="8" t="n"/>
      <c r="Y8467" s="8" t="n"/>
    </row>
    <row r="8468">
      <c r="A8468" s="8" t="n"/>
      <c r="B8468" s="8" t="n"/>
      <c r="C8468" s="8" t="n"/>
      <c r="D8468" s="8" t="n"/>
      <c r="E8468" s="8" t="n"/>
      <c r="F8468" s="8" t="n"/>
      <c r="G8468" s="8" t="n"/>
      <c r="H8468" s="8" t="n"/>
      <c r="I8468" s="8" t="n"/>
      <c r="J8468" s="8" t="n"/>
      <c r="K8468" s="8" t="n"/>
      <c r="L8468" s="8" t="n"/>
      <c r="M8468" s="9">
        <f>B8468+30</f>
        <v/>
      </c>
      <c r="N8468">
        <f>IF(L8468="", "", L8468-B8468)</f>
        <v/>
      </c>
      <c r="O8468">
        <f>IF(L8468="", "Pending", IF(N8468&lt;=30, "Met", "Breached"))</f>
        <v/>
      </c>
      <c r="P8468" s="8" t="n"/>
      <c r="Q8468" s="8" t="n"/>
      <c r="R8468" s="8" t="n"/>
      <c r="S8468" s="8" t="n"/>
      <c r="T8468" s="8" t="n"/>
      <c r="U8468" s="8" t="n"/>
      <c r="V8468" s="8" t="n"/>
      <c r="W8468" s="8" t="n"/>
      <c r="X8468" s="8" t="n"/>
      <c r="Y8468" s="8" t="n"/>
    </row>
    <row r="8469">
      <c r="A8469" s="8" t="n"/>
      <c r="B8469" s="8" t="n"/>
      <c r="C8469" s="8" t="n"/>
      <c r="D8469" s="8" t="n"/>
      <c r="E8469" s="8" t="n"/>
      <c r="F8469" s="8" t="n"/>
      <c r="G8469" s="8" t="n"/>
      <c r="H8469" s="8" t="n"/>
      <c r="I8469" s="8" t="n"/>
      <c r="J8469" s="8" t="n"/>
      <c r="K8469" s="8" t="n"/>
      <c r="L8469" s="8" t="n"/>
      <c r="M8469" s="9">
        <f>B8469+30</f>
        <v/>
      </c>
      <c r="N8469">
        <f>IF(L8469="", "", L8469-B8469)</f>
        <v/>
      </c>
      <c r="O8469">
        <f>IF(L8469="", "Pending", IF(N8469&lt;=30, "Met", "Breached"))</f>
        <v/>
      </c>
      <c r="P8469" s="8" t="n"/>
      <c r="Q8469" s="8" t="n"/>
      <c r="R8469" s="8" t="n"/>
      <c r="S8469" s="8" t="n"/>
      <c r="T8469" s="8" t="n"/>
      <c r="U8469" s="8" t="n"/>
      <c r="V8469" s="8" t="n"/>
      <c r="W8469" s="8" t="n"/>
      <c r="X8469" s="8" t="n"/>
      <c r="Y8469" s="8" t="n"/>
    </row>
    <row r="8470">
      <c r="A8470" s="8" t="n"/>
      <c r="B8470" s="8" t="n"/>
      <c r="C8470" s="8" t="n"/>
      <c r="D8470" s="8" t="n"/>
      <c r="E8470" s="8" t="n"/>
      <c r="F8470" s="8" t="n"/>
      <c r="G8470" s="8" t="n"/>
      <c r="H8470" s="8" t="n"/>
      <c r="I8470" s="8" t="n"/>
      <c r="J8470" s="8" t="n"/>
      <c r="K8470" s="8" t="n"/>
      <c r="L8470" s="8" t="n"/>
      <c r="M8470" s="9">
        <f>B8470+30</f>
        <v/>
      </c>
      <c r="N8470">
        <f>IF(L8470="", "", L8470-B8470)</f>
        <v/>
      </c>
      <c r="O8470">
        <f>IF(L8470="", "Pending", IF(N8470&lt;=30, "Met", "Breached"))</f>
        <v/>
      </c>
      <c r="P8470" s="8" t="n"/>
      <c r="Q8470" s="8" t="n"/>
      <c r="R8470" s="8" t="n"/>
      <c r="S8470" s="8" t="n"/>
      <c r="T8470" s="8" t="n"/>
      <c r="U8470" s="8" t="n"/>
      <c r="V8470" s="8" t="n"/>
      <c r="W8470" s="8" t="n"/>
      <c r="X8470" s="8" t="n"/>
      <c r="Y8470" s="8" t="n"/>
    </row>
    <row r="8471">
      <c r="A8471" s="8" t="n"/>
      <c r="B8471" s="8" t="n"/>
      <c r="C8471" s="8" t="n"/>
      <c r="D8471" s="8" t="n"/>
      <c r="E8471" s="8" t="n"/>
      <c r="F8471" s="8" t="n"/>
      <c r="G8471" s="8" t="n"/>
      <c r="H8471" s="8" t="n"/>
      <c r="I8471" s="8" t="n"/>
      <c r="J8471" s="8" t="n"/>
      <c r="K8471" s="8" t="n"/>
      <c r="L8471" s="8" t="n"/>
      <c r="M8471" s="9">
        <f>B8471+30</f>
        <v/>
      </c>
      <c r="N8471">
        <f>IF(L8471="", "", L8471-B8471)</f>
        <v/>
      </c>
      <c r="O8471">
        <f>IF(L8471="", "Pending", IF(N8471&lt;=30, "Met", "Breached"))</f>
        <v/>
      </c>
      <c r="P8471" s="8" t="n"/>
      <c r="Q8471" s="8" t="n"/>
      <c r="R8471" s="8" t="n"/>
      <c r="S8471" s="8" t="n"/>
      <c r="T8471" s="8" t="n"/>
      <c r="U8471" s="8" t="n"/>
      <c r="V8471" s="8" t="n"/>
      <c r="W8471" s="8" t="n"/>
      <c r="X8471" s="8" t="n"/>
      <c r="Y8471" s="8" t="n"/>
    </row>
    <row r="8472">
      <c r="A8472" s="8" t="n"/>
      <c r="B8472" s="8" t="n"/>
      <c r="C8472" s="8" t="n"/>
      <c r="D8472" s="8" t="n"/>
      <c r="E8472" s="8" t="n"/>
      <c r="F8472" s="8" t="n"/>
      <c r="G8472" s="8" t="n"/>
      <c r="H8472" s="8" t="n"/>
      <c r="I8472" s="8" t="n"/>
      <c r="J8472" s="8" t="n"/>
      <c r="K8472" s="8" t="n"/>
      <c r="L8472" s="8" t="n"/>
      <c r="M8472" s="9">
        <f>B8472+30</f>
        <v/>
      </c>
      <c r="N8472">
        <f>IF(L8472="", "", L8472-B8472)</f>
        <v/>
      </c>
      <c r="O8472">
        <f>IF(L8472="", "Pending", IF(N8472&lt;=30, "Met", "Breached"))</f>
        <v/>
      </c>
      <c r="P8472" s="8" t="n"/>
      <c r="Q8472" s="8" t="n"/>
      <c r="R8472" s="8" t="n"/>
      <c r="S8472" s="8" t="n"/>
      <c r="T8472" s="8" t="n"/>
      <c r="U8472" s="8" t="n"/>
      <c r="V8472" s="8" t="n"/>
      <c r="W8472" s="8" t="n"/>
      <c r="X8472" s="8" t="n"/>
      <c r="Y8472" s="8" t="n"/>
    </row>
    <row r="8473">
      <c r="A8473" s="8" t="n"/>
      <c r="B8473" s="8" t="n"/>
      <c r="C8473" s="8" t="n"/>
      <c r="D8473" s="8" t="n"/>
      <c r="E8473" s="8" t="n"/>
      <c r="F8473" s="8" t="n"/>
      <c r="G8473" s="8" t="n"/>
      <c r="H8473" s="8" t="n"/>
      <c r="I8473" s="8" t="n"/>
      <c r="J8473" s="8" t="n"/>
      <c r="K8473" s="8" t="n"/>
      <c r="L8473" s="8" t="n"/>
      <c r="M8473" s="9">
        <f>B8473+30</f>
        <v/>
      </c>
      <c r="N8473">
        <f>IF(L8473="", "", L8473-B8473)</f>
        <v/>
      </c>
      <c r="O8473">
        <f>IF(L8473="", "Pending", IF(N8473&lt;=30, "Met", "Breached"))</f>
        <v/>
      </c>
      <c r="P8473" s="8" t="n"/>
      <c r="Q8473" s="8" t="n"/>
      <c r="R8473" s="8" t="n"/>
      <c r="S8473" s="8" t="n"/>
      <c r="T8473" s="8" t="n"/>
      <c r="U8473" s="8" t="n"/>
      <c r="V8473" s="8" t="n"/>
      <c r="W8473" s="8" t="n"/>
      <c r="X8473" s="8" t="n"/>
      <c r="Y8473" s="8" t="n"/>
    </row>
    <row r="8474">
      <c r="A8474" s="8" t="n"/>
      <c r="B8474" s="8" t="n"/>
      <c r="C8474" s="8" t="n"/>
      <c r="D8474" s="8" t="n"/>
      <c r="E8474" s="8" t="n"/>
      <c r="F8474" s="8" t="n"/>
      <c r="G8474" s="8" t="n"/>
      <c r="H8474" s="8" t="n"/>
      <c r="I8474" s="8" t="n"/>
      <c r="J8474" s="8" t="n"/>
      <c r="K8474" s="8" t="n"/>
      <c r="L8474" s="8" t="n"/>
      <c r="M8474" s="9">
        <f>B8474+30</f>
        <v/>
      </c>
      <c r="N8474">
        <f>IF(L8474="", "", L8474-B8474)</f>
        <v/>
      </c>
      <c r="O8474">
        <f>IF(L8474="", "Pending", IF(N8474&lt;=30, "Met", "Breached"))</f>
        <v/>
      </c>
      <c r="P8474" s="8" t="n"/>
      <c r="Q8474" s="8" t="n"/>
      <c r="R8474" s="8" t="n"/>
      <c r="S8474" s="8" t="n"/>
      <c r="T8474" s="8" t="n"/>
      <c r="U8474" s="8" t="n"/>
      <c r="V8474" s="8" t="n"/>
      <c r="W8474" s="8" t="n"/>
      <c r="X8474" s="8" t="n"/>
      <c r="Y8474" s="8" t="n"/>
    </row>
    <row r="8475">
      <c r="A8475" s="8" t="n"/>
      <c r="B8475" s="8" t="n"/>
      <c r="C8475" s="8" t="n"/>
      <c r="D8475" s="8" t="n"/>
      <c r="E8475" s="8" t="n"/>
      <c r="F8475" s="8" t="n"/>
      <c r="G8475" s="8" t="n"/>
      <c r="H8475" s="8" t="n"/>
      <c r="I8475" s="8" t="n"/>
      <c r="J8475" s="8" t="n"/>
      <c r="K8475" s="8" t="n"/>
      <c r="L8475" s="8" t="n"/>
      <c r="M8475" s="9">
        <f>B8475+30</f>
        <v/>
      </c>
      <c r="N8475">
        <f>IF(L8475="", "", L8475-B8475)</f>
        <v/>
      </c>
      <c r="O8475">
        <f>IF(L8475="", "Pending", IF(N8475&lt;=30, "Met", "Breached"))</f>
        <v/>
      </c>
      <c r="P8475" s="8" t="n"/>
      <c r="Q8475" s="8" t="n"/>
      <c r="R8475" s="8" t="n"/>
      <c r="S8475" s="8" t="n"/>
      <c r="T8475" s="8" t="n"/>
      <c r="U8475" s="8" t="n"/>
      <c r="V8475" s="8" t="n"/>
      <c r="W8475" s="8" t="n"/>
      <c r="X8475" s="8" t="n"/>
      <c r="Y8475" s="8" t="n"/>
    </row>
    <row r="8476">
      <c r="A8476" s="8" t="n"/>
      <c r="B8476" s="8" t="n"/>
      <c r="C8476" s="8" t="n"/>
      <c r="D8476" s="8" t="n"/>
      <c r="E8476" s="8" t="n"/>
      <c r="F8476" s="8" t="n"/>
      <c r="G8476" s="8" t="n"/>
      <c r="H8476" s="8" t="n"/>
      <c r="I8476" s="8" t="n"/>
      <c r="J8476" s="8" t="n"/>
      <c r="K8476" s="8" t="n"/>
      <c r="L8476" s="8" t="n"/>
      <c r="M8476" s="9">
        <f>B8476+30</f>
        <v/>
      </c>
      <c r="N8476">
        <f>IF(L8476="", "", L8476-B8476)</f>
        <v/>
      </c>
      <c r="O8476">
        <f>IF(L8476="", "Pending", IF(N8476&lt;=30, "Met", "Breached"))</f>
        <v/>
      </c>
      <c r="P8476" s="8" t="n"/>
      <c r="Q8476" s="8" t="n"/>
      <c r="R8476" s="8" t="n"/>
      <c r="S8476" s="8" t="n"/>
      <c r="T8476" s="8" t="n"/>
      <c r="U8476" s="8" t="n"/>
      <c r="V8476" s="8" t="n"/>
      <c r="W8476" s="8" t="n"/>
      <c r="X8476" s="8" t="n"/>
      <c r="Y8476" s="8" t="n"/>
    </row>
    <row r="8477">
      <c r="A8477" s="8" t="n"/>
      <c r="B8477" s="8" t="n"/>
      <c r="C8477" s="8" t="n"/>
      <c r="D8477" s="8" t="n"/>
      <c r="E8477" s="8" t="n"/>
      <c r="F8477" s="8" t="n"/>
      <c r="G8477" s="8" t="n"/>
      <c r="H8477" s="8" t="n"/>
      <c r="I8477" s="8" t="n"/>
      <c r="J8477" s="8" t="n"/>
      <c r="K8477" s="8" t="n"/>
      <c r="L8477" s="8" t="n"/>
      <c r="M8477" s="9">
        <f>B8477+30</f>
        <v/>
      </c>
      <c r="N8477">
        <f>IF(L8477="", "", L8477-B8477)</f>
        <v/>
      </c>
      <c r="O8477">
        <f>IF(L8477="", "Pending", IF(N8477&lt;=30, "Met", "Breached"))</f>
        <v/>
      </c>
      <c r="P8477" s="8" t="n"/>
      <c r="Q8477" s="8" t="n"/>
      <c r="R8477" s="8" t="n"/>
      <c r="S8477" s="8" t="n"/>
      <c r="T8477" s="8" t="n"/>
      <c r="U8477" s="8" t="n"/>
      <c r="V8477" s="8" t="n"/>
      <c r="W8477" s="8" t="n"/>
      <c r="X8477" s="8" t="n"/>
      <c r="Y8477" s="8" t="n"/>
    </row>
    <row r="8478">
      <c r="A8478" s="8" t="n"/>
      <c r="B8478" s="8" t="n"/>
      <c r="C8478" s="8" t="n"/>
      <c r="D8478" s="8" t="n"/>
      <c r="E8478" s="8" t="n"/>
      <c r="F8478" s="8" t="n"/>
      <c r="G8478" s="8" t="n"/>
      <c r="H8478" s="8" t="n"/>
      <c r="I8478" s="8" t="n"/>
      <c r="J8478" s="8" t="n"/>
      <c r="K8478" s="8" t="n"/>
      <c r="L8478" s="8" t="n"/>
      <c r="M8478" s="9">
        <f>B8478+30</f>
        <v/>
      </c>
      <c r="N8478">
        <f>IF(L8478="", "", L8478-B8478)</f>
        <v/>
      </c>
      <c r="O8478">
        <f>IF(L8478="", "Pending", IF(N8478&lt;=30, "Met", "Breached"))</f>
        <v/>
      </c>
      <c r="P8478" s="8" t="n"/>
      <c r="Q8478" s="8" t="n"/>
      <c r="R8478" s="8" t="n"/>
      <c r="S8478" s="8" t="n"/>
      <c r="T8478" s="8" t="n"/>
      <c r="U8478" s="8" t="n"/>
      <c r="V8478" s="8" t="n"/>
      <c r="W8478" s="8" t="n"/>
      <c r="X8478" s="8" t="n"/>
      <c r="Y8478" s="8" t="n"/>
    </row>
    <row r="8479">
      <c r="A8479" s="8" t="n"/>
      <c r="B8479" s="8" t="n"/>
      <c r="C8479" s="8" t="n"/>
      <c r="D8479" s="8" t="n"/>
      <c r="E8479" s="8" t="n"/>
      <c r="F8479" s="8" t="n"/>
      <c r="G8479" s="8" t="n"/>
      <c r="H8479" s="8" t="n"/>
      <c r="I8479" s="8" t="n"/>
      <c r="J8479" s="8" t="n"/>
      <c r="K8479" s="8" t="n"/>
      <c r="L8479" s="8" t="n"/>
      <c r="M8479" s="9">
        <f>B8479+30</f>
        <v/>
      </c>
      <c r="N8479">
        <f>IF(L8479="", "", L8479-B8479)</f>
        <v/>
      </c>
      <c r="O8479">
        <f>IF(L8479="", "Pending", IF(N8479&lt;=30, "Met", "Breached"))</f>
        <v/>
      </c>
      <c r="P8479" s="8" t="n"/>
      <c r="Q8479" s="8" t="n"/>
      <c r="R8479" s="8" t="n"/>
      <c r="S8479" s="8" t="n"/>
      <c r="T8479" s="8" t="n"/>
      <c r="U8479" s="8" t="n"/>
      <c r="V8479" s="8" t="n"/>
      <c r="W8479" s="8" t="n"/>
      <c r="X8479" s="8" t="n"/>
      <c r="Y8479" s="8" t="n"/>
    </row>
    <row r="8480">
      <c r="A8480" s="8" t="n"/>
      <c r="B8480" s="8" t="n"/>
      <c r="C8480" s="8" t="n"/>
      <c r="D8480" s="8" t="n"/>
      <c r="E8480" s="8" t="n"/>
      <c r="F8480" s="8" t="n"/>
      <c r="G8480" s="8" t="n"/>
      <c r="H8480" s="8" t="n"/>
      <c r="I8480" s="8" t="n"/>
      <c r="J8480" s="8" t="n"/>
      <c r="K8480" s="8" t="n"/>
      <c r="L8480" s="8" t="n"/>
      <c r="M8480" s="9">
        <f>B8480+30</f>
        <v/>
      </c>
      <c r="N8480">
        <f>IF(L8480="", "", L8480-B8480)</f>
        <v/>
      </c>
      <c r="O8480">
        <f>IF(L8480="", "Pending", IF(N8480&lt;=30, "Met", "Breached"))</f>
        <v/>
      </c>
      <c r="P8480" s="8" t="n"/>
      <c r="Q8480" s="8" t="n"/>
      <c r="R8480" s="8" t="n"/>
      <c r="S8480" s="8" t="n"/>
      <c r="T8480" s="8" t="n"/>
      <c r="U8480" s="8" t="n"/>
      <c r="V8480" s="8" t="n"/>
      <c r="W8480" s="8" t="n"/>
      <c r="X8480" s="8" t="n"/>
      <c r="Y8480" s="8" t="n"/>
    </row>
    <row r="8481">
      <c r="A8481" s="8" t="n"/>
      <c r="B8481" s="8" t="n"/>
      <c r="C8481" s="8" t="n"/>
      <c r="D8481" s="8" t="n"/>
      <c r="E8481" s="8" t="n"/>
      <c r="F8481" s="8" t="n"/>
      <c r="G8481" s="8" t="n"/>
      <c r="H8481" s="8" t="n"/>
      <c r="I8481" s="8" t="n"/>
      <c r="J8481" s="8" t="n"/>
      <c r="K8481" s="8" t="n"/>
      <c r="L8481" s="8" t="n"/>
      <c r="M8481" s="9">
        <f>B8481+30</f>
        <v/>
      </c>
      <c r="N8481">
        <f>IF(L8481="", "", L8481-B8481)</f>
        <v/>
      </c>
      <c r="O8481">
        <f>IF(L8481="", "Pending", IF(N8481&lt;=30, "Met", "Breached"))</f>
        <v/>
      </c>
      <c r="P8481" s="8" t="n"/>
      <c r="Q8481" s="8" t="n"/>
      <c r="R8481" s="8" t="n"/>
      <c r="S8481" s="8" t="n"/>
      <c r="T8481" s="8" t="n"/>
      <c r="U8481" s="8" t="n"/>
      <c r="V8481" s="8" t="n"/>
      <c r="W8481" s="8" t="n"/>
      <c r="X8481" s="8" t="n"/>
      <c r="Y8481" s="8" t="n"/>
    </row>
    <row r="8482">
      <c r="A8482" s="8" t="n"/>
      <c r="B8482" s="8" t="n"/>
      <c r="C8482" s="8" t="n"/>
      <c r="D8482" s="8" t="n"/>
      <c r="E8482" s="8" t="n"/>
      <c r="F8482" s="8" t="n"/>
      <c r="G8482" s="8" t="n"/>
      <c r="H8482" s="8" t="n"/>
      <c r="I8482" s="8" t="n"/>
      <c r="J8482" s="8" t="n"/>
      <c r="K8482" s="8" t="n"/>
      <c r="L8482" s="8" t="n"/>
      <c r="M8482" s="9">
        <f>B8482+30</f>
        <v/>
      </c>
      <c r="N8482">
        <f>IF(L8482="", "", L8482-B8482)</f>
        <v/>
      </c>
      <c r="O8482">
        <f>IF(L8482="", "Pending", IF(N8482&lt;=30, "Met", "Breached"))</f>
        <v/>
      </c>
      <c r="P8482" s="8" t="n"/>
      <c r="Q8482" s="8" t="n"/>
      <c r="R8482" s="8" t="n"/>
      <c r="S8482" s="8" t="n"/>
      <c r="T8482" s="8" t="n"/>
      <c r="U8482" s="8" t="n"/>
      <c r="V8482" s="8" t="n"/>
      <c r="W8482" s="8" t="n"/>
      <c r="X8482" s="8" t="n"/>
      <c r="Y8482" s="8" t="n"/>
    </row>
    <row r="8483">
      <c r="A8483" s="8" t="n"/>
      <c r="B8483" s="8" t="n"/>
      <c r="C8483" s="8" t="n"/>
      <c r="D8483" s="8" t="n"/>
      <c r="E8483" s="8" t="n"/>
      <c r="F8483" s="8" t="n"/>
      <c r="G8483" s="8" t="n"/>
      <c r="H8483" s="8" t="n"/>
      <c r="I8483" s="8" t="n"/>
      <c r="J8483" s="8" t="n"/>
      <c r="K8483" s="8" t="n"/>
      <c r="L8483" s="8" t="n"/>
      <c r="M8483" s="9">
        <f>B8483+30</f>
        <v/>
      </c>
      <c r="N8483">
        <f>IF(L8483="", "", L8483-B8483)</f>
        <v/>
      </c>
      <c r="O8483">
        <f>IF(L8483="", "Pending", IF(N8483&lt;=30, "Met", "Breached"))</f>
        <v/>
      </c>
      <c r="P8483" s="8" t="n"/>
      <c r="Q8483" s="8" t="n"/>
      <c r="R8483" s="8" t="n"/>
      <c r="S8483" s="8" t="n"/>
      <c r="T8483" s="8" t="n"/>
      <c r="U8483" s="8" t="n"/>
      <c r="V8483" s="8" t="n"/>
      <c r="W8483" s="8" t="n"/>
      <c r="X8483" s="8" t="n"/>
      <c r="Y8483" s="8" t="n"/>
    </row>
    <row r="8484">
      <c r="A8484" s="8" t="n"/>
      <c r="B8484" s="8" t="n"/>
      <c r="C8484" s="8" t="n"/>
      <c r="D8484" s="8" t="n"/>
      <c r="E8484" s="8" t="n"/>
      <c r="F8484" s="8" t="n"/>
      <c r="G8484" s="8" t="n"/>
      <c r="H8484" s="8" t="n"/>
      <c r="I8484" s="8" t="n"/>
      <c r="J8484" s="8" t="n"/>
      <c r="K8484" s="8" t="n"/>
      <c r="L8484" s="8" t="n"/>
      <c r="M8484" s="9">
        <f>B8484+30</f>
        <v/>
      </c>
      <c r="N8484">
        <f>IF(L8484="", "", L8484-B8484)</f>
        <v/>
      </c>
      <c r="O8484">
        <f>IF(L8484="", "Pending", IF(N8484&lt;=30, "Met", "Breached"))</f>
        <v/>
      </c>
      <c r="P8484" s="8" t="n"/>
      <c r="Q8484" s="8" t="n"/>
      <c r="R8484" s="8" t="n"/>
      <c r="S8484" s="8" t="n"/>
      <c r="T8484" s="8" t="n"/>
      <c r="U8484" s="8" t="n"/>
      <c r="V8484" s="8" t="n"/>
      <c r="W8484" s="8" t="n"/>
      <c r="X8484" s="8" t="n"/>
      <c r="Y8484" s="8" t="n"/>
    </row>
    <row r="8485">
      <c r="A8485" s="8" t="n"/>
      <c r="B8485" s="8" t="n"/>
      <c r="C8485" s="8" t="n"/>
      <c r="D8485" s="8" t="n"/>
      <c r="E8485" s="8" t="n"/>
      <c r="F8485" s="8" t="n"/>
      <c r="G8485" s="8" t="n"/>
      <c r="H8485" s="8" t="n"/>
      <c r="I8485" s="8" t="n"/>
      <c r="J8485" s="8" t="n"/>
      <c r="K8485" s="8" t="n"/>
      <c r="L8485" s="8" t="n"/>
      <c r="M8485" s="9">
        <f>B8485+30</f>
        <v/>
      </c>
      <c r="N8485">
        <f>IF(L8485="", "", L8485-B8485)</f>
        <v/>
      </c>
      <c r="O8485">
        <f>IF(L8485="", "Pending", IF(N8485&lt;=30, "Met", "Breached"))</f>
        <v/>
      </c>
      <c r="P8485" s="8" t="n"/>
      <c r="Q8485" s="8" t="n"/>
      <c r="R8485" s="8" t="n"/>
      <c r="S8485" s="8" t="n"/>
      <c r="T8485" s="8" t="n"/>
      <c r="U8485" s="8" t="n"/>
      <c r="V8485" s="8" t="n"/>
      <c r="W8485" s="8" t="n"/>
      <c r="X8485" s="8" t="n"/>
      <c r="Y8485" s="8" t="n"/>
    </row>
    <row r="8486">
      <c r="A8486" s="8" t="n"/>
      <c r="B8486" s="8" t="n"/>
      <c r="C8486" s="8" t="n"/>
      <c r="D8486" s="8" t="n"/>
      <c r="E8486" s="8" t="n"/>
      <c r="F8486" s="8" t="n"/>
      <c r="G8486" s="8" t="n"/>
      <c r="H8486" s="8" t="n"/>
      <c r="I8486" s="8" t="n"/>
      <c r="J8486" s="8" t="n"/>
      <c r="K8486" s="8" t="n"/>
      <c r="L8486" s="8" t="n"/>
      <c r="M8486" s="9">
        <f>B8486+30</f>
        <v/>
      </c>
      <c r="N8486">
        <f>IF(L8486="", "", L8486-B8486)</f>
        <v/>
      </c>
      <c r="O8486">
        <f>IF(L8486="", "Pending", IF(N8486&lt;=30, "Met", "Breached"))</f>
        <v/>
      </c>
      <c r="P8486" s="8" t="n"/>
      <c r="Q8486" s="8" t="n"/>
      <c r="R8486" s="8" t="n"/>
      <c r="S8486" s="8" t="n"/>
      <c r="T8486" s="8" t="n"/>
      <c r="U8486" s="8" t="n"/>
      <c r="V8486" s="8" t="n"/>
      <c r="W8486" s="8" t="n"/>
      <c r="X8486" s="8" t="n"/>
      <c r="Y8486" s="8" t="n"/>
    </row>
    <row r="8487">
      <c r="A8487" s="8" t="n"/>
      <c r="B8487" s="8" t="n"/>
      <c r="C8487" s="8" t="n"/>
      <c r="D8487" s="8" t="n"/>
      <c r="E8487" s="8" t="n"/>
      <c r="F8487" s="8" t="n"/>
      <c r="G8487" s="8" t="n"/>
      <c r="H8487" s="8" t="n"/>
      <c r="I8487" s="8" t="n"/>
      <c r="J8487" s="8" t="n"/>
      <c r="K8487" s="8" t="n"/>
      <c r="L8487" s="8" t="n"/>
      <c r="M8487" s="9">
        <f>B8487+30</f>
        <v/>
      </c>
      <c r="N8487">
        <f>IF(L8487="", "", L8487-B8487)</f>
        <v/>
      </c>
      <c r="O8487">
        <f>IF(L8487="", "Pending", IF(N8487&lt;=30, "Met", "Breached"))</f>
        <v/>
      </c>
      <c r="P8487" s="8" t="n"/>
      <c r="Q8487" s="8" t="n"/>
      <c r="R8487" s="8" t="n"/>
      <c r="S8487" s="8" t="n"/>
      <c r="T8487" s="8" t="n"/>
      <c r="U8487" s="8" t="n"/>
      <c r="V8487" s="8" t="n"/>
      <c r="W8487" s="8" t="n"/>
      <c r="X8487" s="8" t="n"/>
      <c r="Y8487" s="8" t="n"/>
    </row>
    <row r="8488">
      <c r="A8488" s="8" t="n"/>
      <c r="B8488" s="8" t="n"/>
      <c r="C8488" s="8" t="n"/>
      <c r="D8488" s="8" t="n"/>
      <c r="E8488" s="8" t="n"/>
      <c r="F8488" s="8" t="n"/>
      <c r="G8488" s="8" t="n"/>
      <c r="H8488" s="8" t="n"/>
      <c r="I8488" s="8" t="n"/>
      <c r="J8488" s="8" t="n"/>
      <c r="K8488" s="8" t="n"/>
      <c r="L8488" s="8" t="n"/>
      <c r="M8488" s="9">
        <f>B8488+30</f>
        <v/>
      </c>
      <c r="N8488">
        <f>IF(L8488="", "", L8488-B8488)</f>
        <v/>
      </c>
      <c r="O8488">
        <f>IF(L8488="", "Pending", IF(N8488&lt;=30, "Met", "Breached"))</f>
        <v/>
      </c>
      <c r="P8488" s="8" t="n"/>
      <c r="Q8488" s="8" t="n"/>
      <c r="R8488" s="8" t="n"/>
      <c r="S8488" s="8" t="n"/>
      <c r="T8488" s="8" t="n"/>
      <c r="U8488" s="8" t="n"/>
      <c r="V8488" s="8" t="n"/>
      <c r="W8488" s="8" t="n"/>
      <c r="X8488" s="8" t="n"/>
      <c r="Y8488" s="8" t="n"/>
    </row>
    <row r="8489">
      <c r="A8489" s="8" t="n"/>
      <c r="B8489" s="8" t="n"/>
      <c r="C8489" s="8" t="n"/>
      <c r="D8489" s="8" t="n"/>
      <c r="E8489" s="8" t="n"/>
      <c r="F8489" s="8" t="n"/>
      <c r="G8489" s="8" t="n"/>
      <c r="H8489" s="8" t="n"/>
      <c r="I8489" s="8" t="n"/>
      <c r="J8489" s="8" t="n"/>
      <c r="K8489" s="8" t="n"/>
      <c r="L8489" s="8" t="n"/>
      <c r="M8489" s="9">
        <f>B8489+30</f>
        <v/>
      </c>
      <c r="N8489">
        <f>IF(L8489="", "", L8489-B8489)</f>
        <v/>
      </c>
      <c r="O8489">
        <f>IF(L8489="", "Pending", IF(N8489&lt;=30, "Met", "Breached"))</f>
        <v/>
      </c>
      <c r="P8489" s="8" t="n"/>
      <c r="Q8489" s="8" t="n"/>
      <c r="R8489" s="8" t="n"/>
      <c r="S8489" s="8" t="n"/>
      <c r="T8489" s="8" t="n"/>
      <c r="U8489" s="8" t="n"/>
      <c r="V8489" s="8" t="n"/>
      <c r="W8489" s="8" t="n"/>
      <c r="X8489" s="8" t="n"/>
      <c r="Y8489" s="8" t="n"/>
    </row>
    <row r="8490">
      <c r="A8490" s="8" t="n"/>
      <c r="B8490" s="8" t="n"/>
      <c r="C8490" s="8" t="n"/>
      <c r="D8490" s="8" t="n"/>
      <c r="E8490" s="8" t="n"/>
      <c r="F8490" s="8" t="n"/>
      <c r="G8490" s="8" t="n"/>
      <c r="H8490" s="8" t="n"/>
      <c r="I8490" s="8" t="n"/>
      <c r="J8490" s="8" t="n"/>
      <c r="K8490" s="8" t="n"/>
      <c r="L8490" s="8" t="n"/>
      <c r="M8490" s="9">
        <f>B8490+30</f>
        <v/>
      </c>
      <c r="N8490">
        <f>IF(L8490="", "", L8490-B8490)</f>
        <v/>
      </c>
      <c r="O8490">
        <f>IF(L8490="", "Pending", IF(N8490&lt;=30, "Met", "Breached"))</f>
        <v/>
      </c>
      <c r="P8490" s="8" t="n"/>
      <c r="Q8490" s="8" t="n"/>
      <c r="R8490" s="8" t="n"/>
      <c r="S8490" s="8" t="n"/>
      <c r="T8490" s="8" t="n"/>
      <c r="U8490" s="8" t="n"/>
      <c r="V8490" s="8" t="n"/>
      <c r="W8490" s="8" t="n"/>
      <c r="X8490" s="8" t="n"/>
      <c r="Y8490" s="8" t="n"/>
    </row>
    <row r="8491">
      <c r="A8491" s="8" t="n"/>
      <c r="B8491" s="8" t="n"/>
      <c r="C8491" s="8" t="n"/>
      <c r="D8491" s="8" t="n"/>
      <c r="E8491" s="8" t="n"/>
      <c r="F8491" s="8" t="n"/>
      <c r="G8491" s="8" t="n"/>
      <c r="H8491" s="8" t="n"/>
      <c r="I8491" s="8" t="n"/>
      <c r="J8491" s="8" t="n"/>
      <c r="K8491" s="8" t="n"/>
      <c r="L8491" s="8" t="n"/>
      <c r="M8491" s="9">
        <f>B8491+30</f>
        <v/>
      </c>
      <c r="N8491">
        <f>IF(L8491="", "", L8491-B8491)</f>
        <v/>
      </c>
      <c r="O8491">
        <f>IF(L8491="", "Pending", IF(N8491&lt;=30, "Met", "Breached"))</f>
        <v/>
      </c>
      <c r="P8491" s="8" t="n"/>
      <c r="Q8491" s="8" t="n"/>
      <c r="R8491" s="8" t="n"/>
      <c r="S8491" s="8" t="n"/>
      <c r="T8491" s="8" t="n"/>
      <c r="U8491" s="8" t="n"/>
      <c r="V8491" s="8" t="n"/>
      <c r="W8491" s="8" t="n"/>
      <c r="X8491" s="8" t="n"/>
      <c r="Y8491" s="8" t="n"/>
    </row>
    <row r="8492">
      <c r="A8492" s="8" t="n"/>
      <c r="B8492" s="8" t="n"/>
      <c r="C8492" s="8" t="n"/>
      <c r="D8492" s="8" t="n"/>
      <c r="E8492" s="8" t="n"/>
      <c r="F8492" s="8" t="n"/>
      <c r="G8492" s="8" t="n"/>
      <c r="H8492" s="8" t="n"/>
      <c r="I8492" s="8" t="n"/>
      <c r="J8492" s="8" t="n"/>
      <c r="K8492" s="8" t="n"/>
      <c r="L8492" s="8" t="n"/>
      <c r="M8492" s="9">
        <f>B8492+30</f>
        <v/>
      </c>
      <c r="N8492">
        <f>IF(L8492="", "", L8492-B8492)</f>
        <v/>
      </c>
      <c r="O8492">
        <f>IF(L8492="", "Pending", IF(N8492&lt;=30, "Met", "Breached"))</f>
        <v/>
      </c>
      <c r="P8492" s="8" t="n"/>
      <c r="Q8492" s="8" t="n"/>
      <c r="R8492" s="8" t="n"/>
      <c r="S8492" s="8" t="n"/>
      <c r="T8492" s="8" t="n"/>
      <c r="U8492" s="8" t="n"/>
      <c r="V8492" s="8" t="n"/>
      <c r="W8492" s="8" t="n"/>
      <c r="X8492" s="8" t="n"/>
      <c r="Y8492" s="8" t="n"/>
    </row>
    <row r="8493">
      <c r="A8493" s="8" t="n"/>
      <c r="B8493" s="8" t="n"/>
      <c r="C8493" s="8" t="n"/>
      <c r="D8493" s="8" t="n"/>
      <c r="E8493" s="8" t="n"/>
      <c r="F8493" s="8" t="n"/>
      <c r="G8493" s="8" t="n"/>
      <c r="H8493" s="8" t="n"/>
      <c r="I8493" s="8" t="n"/>
      <c r="J8493" s="8" t="n"/>
      <c r="K8493" s="8" t="n"/>
      <c r="L8493" s="8" t="n"/>
      <c r="M8493" s="9">
        <f>B8493+30</f>
        <v/>
      </c>
      <c r="N8493">
        <f>IF(L8493="", "", L8493-B8493)</f>
        <v/>
      </c>
      <c r="O8493">
        <f>IF(L8493="", "Pending", IF(N8493&lt;=30, "Met", "Breached"))</f>
        <v/>
      </c>
      <c r="P8493" s="8" t="n"/>
      <c r="Q8493" s="8" t="n"/>
      <c r="R8493" s="8" t="n"/>
      <c r="S8493" s="8" t="n"/>
      <c r="T8493" s="8" t="n"/>
      <c r="U8493" s="8" t="n"/>
      <c r="V8493" s="8" t="n"/>
      <c r="W8493" s="8" t="n"/>
      <c r="X8493" s="8" t="n"/>
      <c r="Y8493" s="8" t="n"/>
    </row>
    <row r="8494">
      <c r="A8494" s="8" t="n"/>
      <c r="B8494" s="8" t="n"/>
      <c r="C8494" s="8" t="n"/>
      <c r="D8494" s="8" t="n"/>
      <c r="E8494" s="8" t="n"/>
      <c r="F8494" s="8" t="n"/>
      <c r="G8494" s="8" t="n"/>
      <c r="H8494" s="8" t="n"/>
      <c r="I8494" s="8" t="n"/>
      <c r="J8494" s="8" t="n"/>
      <c r="K8494" s="8" t="n"/>
      <c r="L8494" s="8" t="n"/>
      <c r="M8494" s="9">
        <f>B8494+30</f>
        <v/>
      </c>
      <c r="N8494">
        <f>IF(L8494="", "", L8494-B8494)</f>
        <v/>
      </c>
      <c r="O8494">
        <f>IF(L8494="", "Pending", IF(N8494&lt;=30, "Met", "Breached"))</f>
        <v/>
      </c>
      <c r="P8494" s="8" t="n"/>
      <c r="Q8494" s="8" t="n"/>
      <c r="R8494" s="8" t="n"/>
      <c r="S8494" s="8" t="n"/>
      <c r="T8494" s="8" t="n"/>
      <c r="U8494" s="8" t="n"/>
      <c r="V8494" s="8" t="n"/>
      <c r="W8494" s="8" t="n"/>
      <c r="X8494" s="8" t="n"/>
      <c r="Y8494" s="8" t="n"/>
    </row>
    <row r="8495">
      <c r="A8495" s="8" t="n"/>
      <c r="B8495" s="8" t="n"/>
      <c r="C8495" s="8" t="n"/>
      <c r="D8495" s="8" t="n"/>
      <c r="E8495" s="8" t="n"/>
      <c r="F8495" s="8" t="n"/>
      <c r="G8495" s="8" t="n"/>
      <c r="H8495" s="8" t="n"/>
      <c r="I8495" s="8" t="n"/>
      <c r="J8495" s="8" t="n"/>
      <c r="K8495" s="8" t="n"/>
      <c r="L8495" s="8" t="n"/>
      <c r="M8495" s="9">
        <f>B8495+30</f>
        <v/>
      </c>
      <c r="N8495">
        <f>IF(L8495="", "", L8495-B8495)</f>
        <v/>
      </c>
      <c r="O8495">
        <f>IF(L8495="", "Pending", IF(N8495&lt;=30, "Met", "Breached"))</f>
        <v/>
      </c>
      <c r="P8495" s="8" t="n"/>
      <c r="Q8495" s="8" t="n"/>
      <c r="R8495" s="8" t="n"/>
      <c r="S8495" s="8" t="n"/>
      <c r="T8495" s="8" t="n"/>
      <c r="U8495" s="8" t="n"/>
      <c r="V8495" s="8" t="n"/>
      <c r="W8495" s="8" t="n"/>
      <c r="X8495" s="8" t="n"/>
      <c r="Y8495" s="8" t="n"/>
    </row>
    <row r="8496">
      <c r="A8496" s="8" t="n"/>
      <c r="B8496" s="8" t="n"/>
      <c r="C8496" s="8" t="n"/>
      <c r="D8496" s="8" t="n"/>
      <c r="E8496" s="8" t="n"/>
      <c r="F8496" s="8" t="n"/>
      <c r="G8496" s="8" t="n"/>
      <c r="H8496" s="8" t="n"/>
      <c r="I8496" s="8" t="n"/>
      <c r="J8496" s="8" t="n"/>
      <c r="K8496" s="8" t="n"/>
      <c r="L8496" s="8" t="n"/>
      <c r="M8496" s="9">
        <f>B8496+30</f>
        <v/>
      </c>
      <c r="N8496">
        <f>IF(L8496="", "", L8496-B8496)</f>
        <v/>
      </c>
      <c r="O8496">
        <f>IF(L8496="", "Pending", IF(N8496&lt;=30, "Met", "Breached"))</f>
        <v/>
      </c>
      <c r="P8496" s="8" t="n"/>
      <c r="Q8496" s="8" t="n"/>
      <c r="R8496" s="8" t="n"/>
      <c r="S8496" s="8" t="n"/>
      <c r="T8496" s="8" t="n"/>
      <c r="U8496" s="8" t="n"/>
      <c r="V8496" s="8" t="n"/>
      <c r="W8496" s="8" t="n"/>
      <c r="X8496" s="8" t="n"/>
      <c r="Y8496" s="8" t="n"/>
    </row>
    <row r="8497">
      <c r="A8497" s="8" t="n"/>
      <c r="B8497" s="8" t="n"/>
      <c r="C8497" s="8" t="n"/>
      <c r="D8497" s="8" t="n"/>
      <c r="E8497" s="8" t="n"/>
      <c r="F8497" s="8" t="n"/>
      <c r="G8497" s="8" t="n"/>
      <c r="H8497" s="8" t="n"/>
      <c r="I8497" s="8" t="n"/>
      <c r="J8497" s="8" t="n"/>
      <c r="K8497" s="8" t="n"/>
      <c r="L8497" s="8" t="n"/>
      <c r="M8497" s="9">
        <f>B8497+30</f>
        <v/>
      </c>
      <c r="N8497">
        <f>IF(L8497="", "", L8497-B8497)</f>
        <v/>
      </c>
      <c r="O8497">
        <f>IF(L8497="", "Pending", IF(N8497&lt;=30, "Met", "Breached"))</f>
        <v/>
      </c>
      <c r="P8497" s="8" t="n"/>
      <c r="Q8497" s="8" t="n"/>
      <c r="R8497" s="8" t="n"/>
      <c r="S8497" s="8" t="n"/>
      <c r="T8497" s="8" t="n"/>
      <c r="U8497" s="8" t="n"/>
      <c r="V8497" s="8" t="n"/>
      <c r="W8497" s="8" t="n"/>
      <c r="X8497" s="8" t="n"/>
      <c r="Y8497" s="8" t="n"/>
    </row>
    <row r="8498">
      <c r="A8498" s="8" t="n"/>
      <c r="B8498" s="8" t="n"/>
      <c r="C8498" s="8" t="n"/>
      <c r="D8498" s="8" t="n"/>
      <c r="E8498" s="8" t="n"/>
      <c r="F8498" s="8" t="n"/>
      <c r="G8498" s="8" t="n"/>
      <c r="H8498" s="8" t="n"/>
      <c r="I8498" s="8" t="n"/>
      <c r="J8498" s="8" t="n"/>
      <c r="K8498" s="8" t="n"/>
      <c r="L8498" s="8" t="n"/>
      <c r="M8498" s="9">
        <f>B8498+30</f>
        <v/>
      </c>
      <c r="N8498">
        <f>IF(L8498="", "", L8498-B8498)</f>
        <v/>
      </c>
      <c r="O8498">
        <f>IF(L8498="", "Pending", IF(N8498&lt;=30, "Met", "Breached"))</f>
        <v/>
      </c>
      <c r="P8498" s="8" t="n"/>
      <c r="Q8498" s="8" t="n"/>
      <c r="R8498" s="8" t="n"/>
      <c r="S8498" s="8" t="n"/>
      <c r="T8498" s="8" t="n"/>
      <c r="U8498" s="8" t="n"/>
      <c r="V8498" s="8" t="n"/>
      <c r="W8498" s="8" t="n"/>
      <c r="X8498" s="8" t="n"/>
      <c r="Y8498" s="8" t="n"/>
    </row>
    <row r="8499">
      <c r="A8499" s="8" t="n"/>
      <c r="B8499" s="8" t="n"/>
      <c r="C8499" s="8" t="n"/>
      <c r="D8499" s="8" t="n"/>
      <c r="E8499" s="8" t="n"/>
      <c r="F8499" s="8" t="n"/>
      <c r="G8499" s="8" t="n"/>
      <c r="H8499" s="8" t="n"/>
      <c r="I8499" s="8" t="n"/>
      <c r="J8499" s="8" t="n"/>
      <c r="K8499" s="8" t="n"/>
      <c r="L8499" s="8" t="n"/>
      <c r="M8499" s="9">
        <f>B8499+30</f>
        <v/>
      </c>
      <c r="N8499">
        <f>IF(L8499="", "", L8499-B8499)</f>
        <v/>
      </c>
      <c r="O8499">
        <f>IF(L8499="", "Pending", IF(N8499&lt;=30, "Met", "Breached"))</f>
        <v/>
      </c>
      <c r="P8499" s="8" t="n"/>
      <c r="Q8499" s="8" t="n"/>
      <c r="R8499" s="8" t="n"/>
      <c r="S8499" s="8" t="n"/>
      <c r="T8499" s="8" t="n"/>
      <c r="U8499" s="8" t="n"/>
      <c r="V8499" s="8" t="n"/>
      <c r="W8499" s="8" t="n"/>
      <c r="X8499" s="8" t="n"/>
      <c r="Y8499" s="8" t="n"/>
    </row>
    <row r="8500">
      <c r="A8500" s="8" t="n"/>
      <c r="B8500" s="8" t="n"/>
      <c r="C8500" s="8" t="n"/>
      <c r="D8500" s="8" t="n"/>
      <c r="E8500" s="8" t="n"/>
      <c r="F8500" s="8" t="n"/>
      <c r="G8500" s="8" t="n"/>
      <c r="H8500" s="8" t="n"/>
      <c r="I8500" s="8" t="n"/>
      <c r="J8500" s="8" t="n"/>
      <c r="K8500" s="8" t="n"/>
      <c r="L8500" s="8" t="n"/>
      <c r="M8500" s="9">
        <f>B8500+30</f>
        <v/>
      </c>
      <c r="N8500">
        <f>IF(L8500="", "", L8500-B8500)</f>
        <v/>
      </c>
      <c r="O8500">
        <f>IF(L8500="", "Pending", IF(N8500&lt;=30, "Met", "Breached"))</f>
        <v/>
      </c>
      <c r="P8500" s="8" t="n"/>
      <c r="Q8500" s="8" t="n"/>
      <c r="R8500" s="8" t="n"/>
      <c r="S8500" s="8" t="n"/>
      <c r="T8500" s="8" t="n"/>
      <c r="U8500" s="8" t="n"/>
      <c r="V8500" s="8" t="n"/>
      <c r="W8500" s="8" t="n"/>
      <c r="X8500" s="8" t="n"/>
      <c r="Y8500" s="8" t="n"/>
    </row>
    <row r="8501">
      <c r="A8501" s="8" t="n"/>
      <c r="B8501" s="8" t="n"/>
      <c r="C8501" s="8" t="n"/>
      <c r="D8501" s="8" t="n"/>
      <c r="E8501" s="8" t="n"/>
      <c r="F8501" s="8" t="n"/>
      <c r="G8501" s="8" t="n"/>
      <c r="H8501" s="8" t="n"/>
      <c r="I8501" s="8" t="n"/>
      <c r="J8501" s="8" t="n"/>
      <c r="K8501" s="8" t="n"/>
      <c r="L8501" s="8" t="n"/>
      <c r="M8501" s="9">
        <f>B8501+30</f>
        <v/>
      </c>
      <c r="N8501">
        <f>IF(L8501="", "", L8501-B8501)</f>
        <v/>
      </c>
      <c r="O8501">
        <f>IF(L8501="", "Pending", IF(N8501&lt;=30, "Met", "Breached"))</f>
        <v/>
      </c>
      <c r="P8501" s="8" t="n"/>
      <c r="Q8501" s="8" t="n"/>
      <c r="R8501" s="8" t="n"/>
      <c r="S8501" s="8" t="n"/>
      <c r="T8501" s="8" t="n"/>
      <c r="U8501" s="8" t="n"/>
      <c r="V8501" s="8" t="n"/>
      <c r="W8501" s="8" t="n"/>
      <c r="X8501" s="8" t="n"/>
      <c r="Y8501" s="8" t="n"/>
    </row>
    <row r="8502">
      <c r="A8502" s="8" t="n"/>
      <c r="B8502" s="8" t="n"/>
      <c r="C8502" s="8" t="n"/>
      <c r="D8502" s="8" t="n"/>
      <c r="E8502" s="8" t="n"/>
      <c r="F8502" s="8" t="n"/>
      <c r="G8502" s="8" t="n"/>
      <c r="H8502" s="8" t="n"/>
      <c r="I8502" s="8" t="n"/>
      <c r="J8502" s="8" t="n"/>
      <c r="K8502" s="8" t="n"/>
      <c r="L8502" s="8" t="n"/>
      <c r="M8502" s="9">
        <f>B8502+30</f>
        <v/>
      </c>
      <c r="N8502">
        <f>IF(L8502="", "", L8502-B8502)</f>
        <v/>
      </c>
      <c r="O8502">
        <f>IF(L8502="", "Pending", IF(N8502&lt;=30, "Met", "Breached"))</f>
        <v/>
      </c>
      <c r="P8502" s="8" t="n"/>
      <c r="Q8502" s="8" t="n"/>
      <c r="R8502" s="8" t="n"/>
      <c r="S8502" s="8" t="n"/>
      <c r="T8502" s="8" t="n"/>
      <c r="U8502" s="8" t="n"/>
      <c r="V8502" s="8" t="n"/>
      <c r="W8502" s="8" t="n"/>
      <c r="X8502" s="8" t="n"/>
      <c r="Y8502" s="8" t="n"/>
    </row>
    <row r="8503">
      <c r="A8503" s="8" t="n"/>
      <c r="B8503" s="8" t="n"/>
      <c r="C8503" s="8" t="n"/>
      <c r="D8503" s="8" t="n"/>
      <c r="E8503" s="8" t="n"/>
      <c r="F8503" s="8" t="n"/>
      <c r="G8503" s="8" t="n"/>
      <c r="H8503" s="8" t="n"/>
      <c r="I8503" s="8" t="n"/>
      <c r="J8503" s="8" t="n"/>
      <c r="K8503" s="8" t="n"/>
      <c r="L8503" s="8" t="n"/>
      <c r="M8503" s="9">
        <f>B8503+30</f>
        <v/>
      </c>
      <c r="N8503">
        <f>IF(L8503="", "", L8503-B8503)</f>
        <v/>
      </c>
      <c r="O8503">
        <f>IF(L8503="", "Pending", IF(N8503&lt;=30, "Met", "Breached"))</f>
        <v/>
      </c>
      <c r="P8503" s="8" t="n"/>
      <c r="Q8503" s="8" t="n"/>
      <c r="R8503" s="8" t="n"/>
      <c r="S8503" s="8" t="n"/>
      <c r="T8503" s="8" t="n"/>
      <c r="U8503" s="8" t="n"/>
      <c r="V8503" s="8" t="n"/>
      <c r="W8503" s="8" t="n"/>
      <c r="X8503" s="8" t="n"/>
      <c r="Y8503" s="8" t="n"/>
    </row>
    <row r="8504">
      <c r="A8504" s="8" t="n"/>
      <c r="B8504" s="8" t="n"/>
      <c r="C8504" s="8" t="n"/>
      <c r="D8504" s="8" t="n"/>
      <c r="E8504" s="8" t="n"/>
      <c r="F8504" s="8" t="n"/>
      <c r="G8504" s="8" t="n"/>
      <c r="H8504" s="8" t="n"/>
      <c r="I8504" s="8" t="n"/>
      <c r="J8504" s="8" t="n"/>
      <c r="K8504" s="8" t="n"/>
      <c r="L8504" s="8" t="n"/>
      <c r="M8504" s="9">
        <f>B8504+30</f>
        <v/>
      </c>
      <c r="N8504">
        <f>IF(L8504="", "", L8504-B8504)</f>
        <v/>
      </c>
      <c r="O8504">
        <f>IF(L8504="", "Pending", IF(N8504&lt;=30, "Met", "Breached"))</f>
        <v/>
      </c>
      <c r="P8504" s="8" t="n"/>
      <c r="Q8504" s="8" t="n"/>
      <c r="R8504" s="8" t="n"/>
      <c r="S8504" s="8" t="n"/>
      <c r="T8504" s="8" t="n"/>
      <c r="U8504" s="8" t="n"/>
      <c r="V8504" s="8" t="n"/>
      <c r="W8504" s="8" t="n"/>
      <c r="X8504" s="8" t="n"/>
      <c r="Y8504" s="8" t="n"/>
    </row>
    <row r="8505">
      <c r="A8505" s="8" t="n"/>
      <c r="B8505" s="8" t="n"/>
      <c r="C8505" s="8" t="n"/>
      <c r="D8505" s="8" t="n"/>
      <c r="E8505" s="8" t="n"/>
      <c r="F8505" s="8" t="n"/>
      <c r="G8505" s="8" t="n"/>
      <c r="H8505" s="8" t="n"/>
      <c r="I8505" s="8" t="n"/>
      <c r="J8505" s="8" t="n"/>
      <c r="K8505" s="8" t="n"/>
      <c r="L8505" s="8" t="n"/>
      <c r="M8505" s="9">
        <f>B8505+30</f>
        <v/>
      </c>
      <c r="N8505">
        <f>IF(L8505="", "", L8505-B8505)</f>
        <v/>
      </c>
      <c r="O8505">
        <f>IF(L8505="", "Pending", IF(N8505&lt;=30, "Met", "Breached"))</f>
        <v/>
      </c>
      <c r="P8505" s="8" t="n"/>
      <c r="Q8505" s="8" t="n"/>
      <c r="R8505" s="8" t="n"/>
      <c r="S8505" s="8" t="n"/>
      <c r="T8505" s="8" t="n"/>
      <c r="U8505" s="8" t="n"/>
      <c r="V8505" s="8" t="n"/>
      <c r="W8505" s="8" t="n"/>
      <c r="X8505" s="8" t="n"/>
      <c r="Y8505" s="8" t="n"/>
    </row>
    <row r="8506">
      <c r="A8506" s="8" t="n"/>
      <c r="B8506" s="8" t="n"/>
      <c r="C8506" s="8" t="n"/>
      <c r="D8506" s="8" t="n"/>
      <c r="E8506" s="8" t="n"/>
      <c r="F8506" s="8" t="n"/>
      <c r="G8506" s="8" t="n"/>
      <c r="H8506" s="8" t="n"/>
      <c r="I8506" s="8" t="n"/>
      <c r="J8506" s="8" t="n"/>
      <c r="K8506" s="8" t="n"/>
      <c r="L8506" s="8" t="n"/>
      <c r="M8506" s="9">
        <f>B8506+30</f>
        <v/>
      </c>
      <c r="N8506">
        <f>IF(L8506="", "", L8506-B8506)</f>
        <v/>
      </c>
      <c r="O8506">
        <f>IF(L8506="", "Pending", IF(N8506&lt;=30, "Met", "Breached"))</f>
        <v/>
      </c>
      <c r="P8506" s="8" t="n"/>
      <c r="Q8506" s="8" t="n"/>
      <c r="R8506" s="8" t="n"/>
      <c r="S8506" s="8" t="n"/>
      <c r="T8506" s="8" t="n"/>
      <c r="U8506" s="8" t="n"/>
      <c r="V8506" s="8" t="n"/>
      <c r="W8506" s="8" t="n"/>
      <c r="X8506" s="8" t="n"/>
      <c r="Y8506" s="8" t="n"/>
    </row>
    <row r="8507">
      <c r="A8507" s="8" t="n"/>
      <c r="B8507" s="8" t="n"/>
      <c r="C8507" s="8" t="n"/>
      <c r="D8507" s="8" t="n"/>
      <c r="E8507" s="8" t="n"/>
      <c r="F8507" s="8" t="n"/>
      <c r="G8507" s="8" t="n"/>
      <c r="H8507" s="8" t="n"/>
      <c r="I8507" s="8" t="n"/>
      <c r="J8507" s="8" t="n"/>
      <c r="K8507" s="8" t="n"/>
      <c r="L8507" s="8" t="n"/>
      <c r="M8507" s="9">
        <f>B8507+30</f>
        <v/>
      </c>
      <c r="N8507">
        <f>IF(L8507="", "", L8507-B8507)</f>
        <v/>
      </c>
      <c r="O8507">
        <f>IF(L8507="", "Pending", IF(N8507&lt;=30, "Met", "Breached"))</f>
        <v/>
      </c>
      <c r="P8507" s="8" t="n"/>
      <c r="Q8507" s="8" t="n"/>
      <c r="R8507" s="8" t="n"/>
      <c r="S8507" s="8" t="n"/>
      <c r="T8507" s="8" t="n"/>
      <c r="U8507" s="8" t="n"/>
      <c r="V8507" s="8" t="n"/>
      <c r="W8507" s="8" t="n"/>
      <c r="X8507" s="8" t="n"/>
      <c r="Y8507" s="8" t="n"/>
    </row>
    <row r="8508">
      <c r="A8508" s="8" t="n"/>
      <c r="B8508" s="8" t="n"/>
      <c r="C8508" s="8" t="n"/>
      <c r="D8508" s="8" t="n"/>
      <c r="E8508" s="8" t="n"/>
      <c r="F8508" s="8" t="n"/>
      <c r="G8508" s="8" t="n"/>
      <c r="H8508" s="8" t="n"/>
      <c r="I8508" s="8" t="n"/>
      <c r="J8508" s="8" t="n"/>
      <c r="K8508" s="8" t="n"/>
      <c r="L8508" s="8" t="n"/>
      <c r="M8508" s="9">
        <f>B8508+30</f>
        <v/>
      </c>
      <c r="N8508">
        <f>IF(L8508="", "", L8508-B8508)</f>
        <v/>
      </c>
      <c r="O8508">
        <f>IF(L8508="", "Pending", IF(N8508&lt;=30, "Met", "Breached"))</f>
        <v/>
      </c>
      <c r="P8508" s="8" t="n"/>
      <c r="Q8508" s="8" t="n"/>
      <c r="R8508" s="8" t="n"/>
      <c r="S8508" s="8" t="n"/>
      <c r="T8508" s="8" t="n"/>
      <c r="U8508" s="8" t="n"/>
      <c r="V8508" s="8" t="n"/>
      <c r="W8508" s="8" t="n"/>
      <c r="X8508" s="8" t="n"/>
      <c r="Y8508" s="8" t="n"/>
    </row>
    <row r="8509">
      <c r="A8509" s="8" t="n"/>
      <c r="B8509" s="8" t="n"/>
      <c r="C8509" s="8" t="n"/>
      <c r="D8509" s="8" t="n"/>
      <c r="E8509" s="8" t="n"/>
      <c r="F8509" s="8" t="n"/>
      <c r="G8509" s="8" t="n"/>
      <c r="H8509" s="8" t="n"/>
      <c r="I8509" s="8" t="n"/>
      <c r="J8509" s="8" t="n"/>
      <c r="K8509" s="8" t="n"/>
      <c r="L8509" s="8" t="n"/>
      <c r="M8509" s="9">
        <f>B8509+30</f>
        <v/>
      </c>
      <c r="N8509">
        <f>IF(L8509="", "", L8509-B8509)</f>
        <v/>
      </c>
      <c r="O8509">
        <f>IF(L8509="", "Pending", IF(N8509&lt;=30, "Met", "Breached"))</f>
        <v/>
      </c>
      <c r="P8509" s="8" t="n"/>
      <c r="Q8509" s="8" t="n"/>
      <c r="R8509" s="8" t="n"/>
      <c r="S8509" s="8" t="n"/>
      <c r="T8509" s="8" t="n"/>
      <c r="U8509" s="8" t="n"/>
      <c r="V8509" s="8" t="n"/>
      <c r="W8509" s="8" t="n"/>
      <c r="X8509" s="8" t="n"/>
      <c r="Y8509" s="8" t="n"/>
    </row>
    <row r="8510">
      <c r="A8510" s="8" t="n"/>
      <c r="B8510" s="8" t="n"/>
      <c r="C8510" s="8" t="n"/>
      <c r="D8510" s="8" t="n"/>
      <c r="E8510" s="8" t="n"/>
      <c r="F8510" s="8" t="n"/>
      <c r="G8510" s="8" t="n"/>
      <c r="H8510" s="8" t="n"/>
      <c r="I8510" s="8" t="n"/>
      <c r="J8510" s="8" t="n"/>
      <c r="K8510" s="8" t="n"/>
      <c r="L8510" s="8" t="n"/>
      <c r="M8510" s="9">
        <f>B8510+30</f>
        <v/>
      </c>
      <c r="N8510">
        <f>IF(L8510="", "", L8510-B8510)</f>
        <v/>
      </c>
      <c r="O8510">
        <f>IF(L8510="", "Pending", IF(N8510&lt;=30, "Met", "Breached"))</f>
        <v/>
      </c>
      <c r="P8510" s="8" t="n"/>
      <c r="Q8510" s="8" t="n"/>
      <c r="R8510" s="8" t="n"/>
      <c r="S8510" s="8" t="n"/>
      <c r="T8510" s="8" t="n"/>
      <c r="U8510" s="8" t="n"/>
      <c r="V8510" s="8" t="n"/>
      <c r="W8510" s="8" t="n"/>
      <c r="X8510" s="8" t="n"/>
      <c r="Y8510" s="8" t="n"/>
    </row>
    <row r="8511">
      <c r="A8511" s="8" t="n"/>
      <c r="B8511" s="8" t="n"/>
      <c r="C8511" s="8" t="n"/>
      <c r="D8511" s="8" t="n"/>
      <c r="E8511" s="8" t="n"/>
      <c r="F8511" s="8" t="n"/>
      <c r="G8511" s="8" t="n"/>
      <c r="H8511" s="8" t="n"/>
      <c r="I8511" s="8" t="n"/>
      <c r="J8511" s="8" t="n"/>
      <c r="K8511" s="8" t="n"/>
      <c r="L8511" s="8" t="n"/>
      <c r="M8511" s="9">
        <f>B8511+30</f>
        <v/>
      </c>
      <c r="N8511">
        <f>IF(L8511="", "", L8511-B8511)</f>
        <v/>
      </c>
      <c r="O8511">
        <f>IF(L8511="", "Pending", IF(N8511&lt;=30, "Met", "Breached"))</f>
        <v/>
      </c>
      <c r="P8511" s="8" t="n"/>
      <c r="Q8511" s="8" t="n"/>
      <c r="R8511" s="8" t="n"/>
      <c r="S8511" s="8" t="n"/>
      <c r="T8511" s="8" t="n"/>
      <c r="U8511" s="8" t="n"/>
      <c r="V8511" s="8" t="n"/>
      <c r="W8511" s="8" t="n"/>
      <c r="X8511" s="8" t="n"/>
      <c r="Y8511" s="8" t="n"/>
    </row>
    <row r="8512">
      <c r="A8512" s="8" t="n"/>
      <c r="B8512" s="8" t="n"/>
      <c r="C8512" s="8" t="n"/>
      <c r="D8512" s="8" t="n"/>
      <c r="E8512" s="8" t="n"/>
      <c r="F8512" s="8" t="n"/>
      <c r="G8512" s="8" t="n"/>
      <c r="H8512" s="8" t="n"/>
      <c r="I8512" s="8" t="n"/>
      <c r="J8512" s="8" t="n"/>
      <c r="K8512" s="8" t="n"/>
      <c r="L8512" s="8" t="n"/>
      <c r="M8512" s="9">
        <f>B8512+30</f>
        <v/>
      </c>
      <c r="N8512">
        <f>IF(L8512="", "", L8512-B8512)</f>
        <v/>
      </c>
      <c r="O8512">
        <f>IF(L8512="", "Pending", IF(N8512&lt;=30, "Met", "Breached"))</f>
        <v/>
      </c>
      <c r="P8512" s="8" t="n"/>
      <c r="Q8512" s="8" t="n"/>
      <c r="R8512" s="8" t="n"/>
      <c r="S8512" s="8" t="n"/>
      <c r="T8512" s="8" t="n"/>
      <c r="U8512" s="8" t="n"/>
      <c r="V8512" s="8" t="n"/>
      <c r="W8512" s="8" t="n"/>
      <c r="X8512" s="8" t="n"/>
      <c r="Y8512" s="8" t="n"/>
    </row>
    <row r="8513">
      <c r="A8513" s="8" t="n"/>
      <c r="B8513" s="8" t="n"/>
      <c r="C8513" s="8" t="n"/>
      <c r="D8513" s="8" t="n"/>
      <c r="E8513" s="8" t="n"/>
      <c r="F8513" s="8" t="n"/>
      <c r="G8513" s="8" t="n"/>
      <c r="H8513" s="8" t="n"/>
      <c r="I8513" s="8" t="n"/>
      <c r="J8513" s="8" t="n"/>
      <c r="K8513" s="8" t="n"/>
      <c r="L8513" s="8" t="n"/>
      <c r="M8513" s="9">
        <f>B8513+30</f>
        <v/>
      </c>
      <c r="N8513">
        <f>IF(L8513="", "", L8513-B8513)</f>
        <v/>
      </c>
      <c r="O8513">
        <f>IF(L8513="", "Pending", IF(N8513&lt;=30, "Met", "Breached"))</f>
        <v/>
      </c>
      <c r="P8513" s="8" t="n"/>
      <c r="Q8513" s="8" t="n"/>
      <c r="R8513" s="8" t="n"/>
      <c r="S8513" s="8" t="n"/>
      <c r="T8513" s="8" t="n"/>
      <c r="U8513" s="8" t="n"/>
      <c r="V8513" s="8" t="n"/>
      <c r="W8513" s="8" t="n"/>
      <c r="X8513" s="8" t="n"/>
      <c r="Y8513" s="8" t="n"/>
    </row>
    <row r="8514">
      <c r="A8514" s="8" t="n"/>
      <c r="B8514" s="8" t="n"/>
      <c r="C8514" s="8" t="n"/>
      <c r="D8514" s="8" t="n"/>
      <c r="E8514" s="8" t="n"/>
      <c r="F8514" s="8" t="n"/>
      <c r="G8514" s="8" t="n"/>
      <c r="H8514" s="8" t="n"/>
      <c r="I8514" s="8" t="n"/>
      <c r="J8514" s="8" t="n"/>
      <c r="K8514" s="8" t="n"/>
      <c r="L8514" s="8" t="n"/>
      <c r="M8514" s="9">
        <f>B8514+30</f>
        <v/>
      </c>
      <c r="N8514">
        <f>IF(L8514="", "", L8514-B8514)</f>
        <v/>
      </c>
      <c r="O8514">
        <f>IF(L8514="", "Pending", IF(N8514&lt;=30, "Met", "Breached"))</f>
        <v/>
      </c>
      <c r="P8514" s="8" t="n"/>
      <c r="Q8514" s="8" t="n"/>
      <c r="R8514" s="8" t="n"/>
      <c r="S8514" s="8" t="n"/>
      <c r="T8514" s="8" t="n"/>
      <c r="U8514" s="8" t="n"/>
      <c r="V8514" s="8" t="n"/>
      <c r="W8514" s="8" t="n"/>
      <c r="X8514" s="8" t="n"/>
      <c r="Y8514" s="8" t="n"/>
    </row>
    <row r="8515">
      <c r="A8515" s="8" t="n"/>
      <c r="B8515" s="8" t="n"/>
      <c r="C8515" s="8" t="n"/>
      <c r="D8515" s="8" t="n"/>
      <c r="E8515" s="8" t="n"/>
      <c r="F8515" s="8" t="n"/>
      <c r="G8515" s="8" t="n"/>
      <c r="H8515" s="8" t="n"/>
      <c r="I8515" s="8" t="n"/>
      <c r="J8515" s="8" t="n"/>
      <c r="K8515" s="8" t="n"/>
      <c r="L8515" s="8" t="n"/>
      <c r="M8515" s="9">
        <f>B8515+30</f>
        <v/>
      </c>
      <c r="N8515">
        <f>IF(L8515="", "", L8515-B8515)</f>
        <v/>
      </c>
      <c r="O8515">
        <f>IF(L8515="", "Pending", IF(N8515&lt;=30, "Met", "Breached"))</f>
        <v/>
      </c>
      <c r="P8515" s="8" t="n"/>
      <c r="Q8515" s="8" t="n"/>
      <c r="R8515" s="8" t="n"/>
      <c r="S8515" s="8" t="n"/>
      <c r="T8515" s="8" t="n"/>
      <c r="U8515" s="8" t="n"/>
      <c r="V8515" s="8" t="n"/>
      <c r="W8515" s="8" t="n"/>
      <c r="X8515" s="8" t="n"/>
      <c r="Y8515" s="8" t="n"/>
    </row>
    <row r="8516">
      <c r="A8516" s="8" t="n"/>
      <c r="B8516" s="8" t="n"/>
      <c r="C8516" s="8" t="n"/>
      <c r="D8516" s="8" t="n"/>
      <c r="E8516" s="8" t="n"/>
      <c r="F8516" s="8" t="n"/>
      <c r="G8516" s="8" t="n"/>
      <c r="H8516" s="8" t="n"/>
      <c r="I8516" s="8" t="n"/>
      <c r="J8516" s="8" t="n"/>
      <c r="K8516" s="8" t="n"/>
      <c r="L8516" s="8" t="n"/>
      <c r="M8516" s="9">
        <f>B8516+30</f>
        <v/>
      </c>
      <c r="N8516">
        <f>IF(L8516="", "", L8516-B8516)</f>
        <v/>
      </c>
      <c r="O8516">
        <f>IF(L8516="", "Pending", IF(N8516&lt;=30, "Met", "Breached"))</f>
        <v/>
      </c>
      <c r="P8516" s="8" t="n"/>
      <c r="Q8516" s="8" t="n"/>
      <c r="R8516" s="8" t="n"/>
      <c r="S8516" s="8" t="n"/>
      <c r="T8516" s="8" t="n"/>
      <c r="U8516" s="8" t="n"/>
      <c r="V8516" s="8" t="n"/>
      <c r="W8516" s="8" t="n"/>
      <c r="X8516" s="8" t="n"/>
      <c r="Y8516" s="8" t="n"/>
    </row>
    <row r="8517">
      <c r="A8517" s="8" t="n"/>
      <c r="B8517" s="8" t="n"/>
      <c r="C8517" s="8" t="n"/>
      <c r="D8517" s="8" t="n"/>
      <c r="E8517" s="8" t="n"/>
      <c r="F8517" s="8" t="n"/>
      <c r="G8517" s="8" t="n"/>
      <c r="H8517" s="8" t="n"/>
      <c r="I8517" s="8" t="n"/>
      <c r="J8517" s="8" t="n"/>
      <c r="K8517" s="8" t="n"/>
      <c r="L8517" s="8" t="n"/>
      <c r="M8517" s="9">
        <f>B8517+30</f>
        <v/>
      </c>
      <c r="N8517">
        <f>IF(L8517="", "", L8517-B8517)</f>
        <v/>
      </c>
      <c r="O8517">
        <f>IF(L8517="", "Pending", IF(N8517&lt;=30, "Met", "Breached"))</f>
        <v/>
      </c>
      <c r="P8517" s="8" t="n"/>
      <c r="Q8517" s="8" t="n"/>
      <c r="R8517" s="8" t="n"/>
      <c r="S8517" s="8" t="n"/>
      <c r="T8517" s="8" t="n"/>
      <c r="U8517" s="8" t="n"/>
      <c r="V8517" s="8" t="n"/>
      <c r="W8517" s="8" t="n"/>
      <c r="X8517" s="8" t="n"/>
      <c r="Y8517" s="8" t="n"/>
    </row>
    <row r="8518">
      <c r="A8518" s="8" t="n"/>
      <c r="B8518" s="8" t="n"/>
      <c r="C8518" s="8" t="n"/>
      <c r="D8518" s="8" t="n"/>
      <c r="E8518" s="8" t="n"/>
      <c r="F8518" s="8" t="n"/>
      <c r="G8518" s="8" t="n"/>
      <c r="H8518" s="8" t="n"/>
      <c r="I8518" s="8" t="n"/>
      <c r="J8518" s="8" t="n"/>
      <c r="K8518" s="8" t="n"/>
      <c r="L8518" s="8" t="n"/>
      <c r="M8518" s="9">
        <f>B8518+30</f>
        <v/>
      </c>
      <c r="N8518">
        <f>IF(L8518="", "", L8518-B8518)</f>
        <v/>
      </c>
      <c r="O8518">
        <f>IF(L8518="", "Pending", IF(N8518&lt;=30, "Met", "Breached"))</f>
        <v/>
      </c>
      <c r="P8518" s="8" t="n"/>
      <c r="Q8518" s="8" t="n"/>
      <c r="R8518" s="8" t="n"/>
      <c r="S8518" s="8" t="n"/>
      <c r="T8518" s="8" t="n"/>
      <c r="U8518" s="8" t="n"/>
      <c r="V8518" s="8" t="n"/>
      <c r="W8518" s="8" t="n"/>
      <c r="X8518" s="8" t="n"/>
      <c r="Y8518" s="8" t="n"/>
    </row>
    <row r="8519">
      <c r="A8519" s="8" t="n"/>
      <c r="B8519" s="8" t="n"/>
      <c r="C8519" s="8" t="n"/>
      <c r="D8519" s="8" t="n"/>
      <c r="E8519" s="8" t="n"/>
      <c r="F8519" s="8" t="n"/>
      <c r="G8519" s="8" t="n"/>
      <c r="H8519" s="8" t="n"/>
      <c r="I8519" s="8" t="n"/>
      <c r="J8519" s="8" t="n"/>
      <c r="K8519" s="8" t="n"/>
      <c r="L8519" s="8" t="n"/>
      <c r="M8519" s="9">
        <f>B8519+30</f>
        <v/>
      </c>
      <c r="N8519">
        <f>IF(L8519="", "", L8519-B8519)</f>
        <v/>
      </c>
      <c r="O8519">
        <f>IF(L8519="", "Pending", IF(N8519&lt;=30, "Met", "Breached"))</f>
        <v/>
      </c>
      <c r="P8519" s="8" t="n"/>
      <c r="Q8519" s="8" t="n"/>
      <c r="R8519" s="8" t="n"/>
      <c r="S8519" s="8" t="n"/>
      <c r="T8519" s="8" t="n"/>
      <c r="U8519" s="8" t="n"/>
      <c r="V8519" s="8" t="n"/>
      <c r="W8519" s="8" t="n"/>
      <c r="X8519" s="8" t="n"/>
      <c r="Y8519" s="8" t="n"/>
    </row>
    <row r="8520">
      <c r="A8520" s="8" t="n"/>
      <c r="B8520" s="8" t="n"/>
      <c r="C8520" s="8" t="n"/>
      <c r="D8520" s="8" t="n"/>
      <c r="E8520" s="8" t="n"/>
      <c r="F8520" s="8" t="n"/>
      <c r="G8520" s="8" t="n"/>
      <c r="H8520" s="8" t="n"/>
      <c r="I8520" s="8" t="n"/>
      <c r="J8520" s="8" t="n"/>
      <c r="K8520" s="8" t="n"/>
      <c r="L8520" s="8" t="n"/>
      <c r="M8520" s="9">
        <f>B8520+30</f>
        <v/>
      </c>
      <c r="N8520">
        <f>IF(L8520="", "", L8520-B8520)</f>
        <v/>
      </c>
      <c r="O8520">
        <f>IF(L8520="", "Pending", IF(N8520&lt;=30, "Met", "Breached"))</f>
        <v/>
      </c>
      <c r="P8520" s="8" t="n"/>
      <c r="Q8520" s="8" t="n"/>
      <c r="R8520" s="8" t="n"/>
      <c r="S8520" s="8" t="n"/>
      <c r="T8520" s="8" t="n"/>
      <c r="U8520" s="8" t="n"/>
      <c r="V8520" s="8" t="n"/>
      <c r="W8520" s="8" t="n"/>
      <c r="X8520" s="8" t="n"/>
      <c r="Y8520" s="8" t="n"/>
    </row>
    <row r="8521">
      <c r="A8521" s="8" t="n"/>
      <c r="B8521" s="8" t="n"/>
      <c r="C8521" s="8" t="n"/>
      <c r="D8521" s="8" t="n"/>
      <c r="E8521" s="8" t="n"/>
      <c r="F8521" s="8" t="n"/>
      <c r="G8521" s="8" t="n"/>
      <c r="H8521" s="8" t="n"/>
      <c r="I8521" s="8" t="n"/>
      <c r="J8521" s="8" t="n"/>
      <c r="K8521" s="8" t="n"/>
      <c r="L8521" s="8" t="n"/>
      <c r="M8521" s="9">
        <f>B8521+30</f>
        <v/>
      </c>
      <c r="N8521">
        <f>IF(L8521="", "", L8521-B8521)</f>
        <v/>
      </c>
      <c r="O8521">
        <f>IF(L8521="", "Pending", IF(N8521&lt;=30, "Met", "Breached"))</f>
        <v/>
      </c>
      <c r="P8521" s="8" t="n"/>
      <c r="Q8521" s="8" t="n"/>
      <c r="R8521" s="8" t="n"/>
      <c r="S8521" s="8" t="n"/>
      <c r="T8521" s="8" t="n"/>
      <c r="U8521" s="8" t="n"/>
      <c r="V8521" s="8" t="n"/>
      <c r="W8521" s="8" t="n"/>
      <c r="X8521" s="8" t="n"/>
      <c r="Y8521" s="8" t="n"/>
    </row>
    <row r="8522">
      <c r="A8522" s="8" t="n"/>
      <c r="B8522" s="8" t="n"/>
      <c r="C8522" s="8" t="n"/>
      <c r="D8522" s="8" t="n"/>
      <c r="E8522" s="8" t="n"/>
      <c r="F8522" s="8" t="n"/>
      <c r="G8522" s="8" t="n"/>
      <c r="H8522" s="8" t="n"/>
      <c r="I8522" s="8" t="n"/>
      <c r="J8522" s="8" t="n"/>
      <c r="K8522" s="8" t="n"/>
      <c r="L8522" s="8" t="n"/>
      <c r="M8522" s="9">
        <f>B8522+30</f>
        <v/>
      </c>
      <c r="N8522">
        <f>IF(L8522="", "", L8522-B8522)</f>
        <v/>
      </c>
      <c r="O8522">
        <f>IF(L8522="", "Pending", IF(N8522&lt;=30, "Met", "Breached"))</f>
        <v/>
      </c>
      <c r="P8522" s="8" t="n"/>
      <c r="Q8522" s="8" t="n"/>
      <c r="R8522" s="8" t="n"/>
      <c r="S8522" s="8" t="n"/>
      <c r="T8522" s="8" t="n"/>
      <c r="U8522" s="8" t="n"/>
      <c r="V8522" s="8" t="n"/>
      <c r="W8522" s="8" t="n"/>
      <c r="X8522" s="8" t="n"/>
      <c r="Y8522" s="8" t="n"/>
    </row>
    <row r="8523">
      <c r="A8523" s="8" t="n"/>
      <c r="B8523" s="8" t="n"/>
      <c r="C8523" s="8" t="n"/>
      <c r="D8523" s="8" t="n"/>
      <c r="E8523" s="8" t="n"/>
      <c r="F8523" s="8" t="n"/>
      <c r="G8523" s="8" t="n"/>
      <c r="H8523" s="8" t="n"/>
      <c r="I8523" s="8" t="n"/>
      <c r="J8523" s="8" t="n"/>
      <c r="K8523" s="8" t="n"/>
      <c r="L8523" s="8" t="n"/>
      <c r="M8523" s="9">
        <f>B8523+30</f>
        <v/>
      </c>
      <c r="N8523">
        <f>IF(L8523="", "", L8523-B8523)</f>
        <v/>
      </c>
      <c r="O8523">
        <f>IF(L8523="", "Pending", IF(N8523&lt;=30, "Met", "Breached"))</f>
        <v/>
      </c>
      <c r="P8523" s="8" t="n"/>
      <c r="Q8523" s="8" t="n"/>
      <c r="R8523" s="8" t="n"/>
      <c r="S8523" s="8" t="n"/>
      <c r="T8523" s="8" t="n"/>
      <c r="U8523" s="8" t="n"/>
      <c r="V8523" s="8" t="n"/>
      <c r="W8523" s="8" t="n"/>
      <c r="X8523" s="8" t="n"/>
      <c r="Y8523" s="8" t="n"/>
    </row>
    <row r="8524">
      <c r="A8524" s="8" t="n"/>
      <c r="B8524" s="8" t="n"/>
      <c r="C8524" s="8" t="n"/>
      <c r="D8524" s="8" t="n"/>
      <c r="E8524" s="8" t="n"/>
      <c r="F8524" s="8" t="n"/>
      <c r="G8524" s="8" t="n"/>
      <c r="H8524" s="8" t="n"/>
      <c r="I8524" s="8" t="n"/>
      <c r="J8524" s="8" t="n"/>
      <c r="K8524" s="8" t="n"/>
      <c r="L8524" s="8" t="n"/>
      <c r="M8524" s="9">
        <f>B8524+30</f>
        <v/>
      </c>
      <c r="N8524">
        <f>IF(L8524="", "", L8524-B8524)</f>
        <v/>
      </c>
      <c r="O8524">
        <f>IF(L8524="", "Pending", IF(N8524&lt;=30, "Met", "Breached"))</f>
        <v/>
      </c>
      <c r="P8524" s="8" t="n"/>
      <c r="Q8524" s="8" t="n"/>
      <c r="R8524" s="8" t="n"/>
      <c r="S8524" s="8" t="n"/>
      <c r="T8524" s="8" t="n"/>
      <c r="U8524" s="8" t="n"/>
      <c r="V8524" s="8" t="n"/>
      <c r="W8524" s="8" t="n"/>
      <c r="X8524" s="8" t="n"/>
      <c r="Y8524" s="8" t="n"/>
    </row>
    <row r="8525">
      <c r="A8525" s="8" t="n"/>
      <c r="B8525" s="8" t="n"/>
      <c r="C8525" s="8" t="n"/>
      <c r="D8525" s="8" t="n"/>
      <c r="E8525" s="8" t="n"/>
      <c r="F8525" s="8" t="n"/>
      <c r="G8525" s="8" t="n"/>
      <c r="H8525" s="8" t="n"/>
      <c r="I8525" s="8" t="n"/>
      <c r="J8525" s="8" t="n"/>
      <c r="K8525" s="8" t="n"/>
      <c r="L8525" s="8" t="n"/>
      <c r="M8525" s="9">
        <f>B8525+30</f>
        <v/>
      </c>
      <c r="N8525">
        <f>IF(L8525="", "", L8525-B8525)</f>
        <v/>
      </c>
      <c r="O8525">
        <f>IF(L8525="", "Pending", IF(N8525&lt;=30, "Met", "Breached"))</f>
        <v/>
      </c>
      <c r="P8525" s="8" t="n"/>
      <c r="Q8525" s="8" t="n"/>
      <c r="R8525" s="8" t="n"/>
      <c r="S8525" s="8" t="n"/>
      <c r="T8525" s="8" t="n"/>
      <c r="U8525" s="8" t="n"/>
      <c r="V8525" s="8" t="n"/>
      <c r="W8525" s="8" t="n"/>
      <c r="X8525" s="8" t="n"/>
      <c r="Y8525" s="8" t="n"/>
    </row>
    <row r="8526">
      <c r="A8526" s="8" t="n"/>
      <c r="B8526" s="8" t="n"/>
      <c r="C8526" s="8" t="n"/>
      <c r="D8526" s="8" t="n"/>
      <c r="E8526" s="8" t="n"/>
      <c r="F8526" s="8" t="n"/>
      <c r="G8526" s="8" t="n"/>
      <c r="H8526" s="8" t="n"/>
      <c r="I8526" s="8" t="n"/>
      <c r="J8526" s="8" t="n"/>
      <c r="K8526" s="8" t="n"/>
      <c r="L8526" s="8" t="n"/>
      <c r="M8526" s="9">
        <f>B8526+30</f>
        <v/>
      </c>
      <c r="N8526">
        <f>IF(L8526="", "", L8526-B8526)</f>
        <v/>
      </c>
      <c r="O8526">
        <f>IF(L8526="", "Pending", IF(N8526&lt;=30, "Met", "Breached"))</f>
        <v/>
      </c>
      <c r="P8526" s="8" t="n"/>
      <c r="Q8526" s="8" t="n"/>
      <c r="R8526" s="8" t="n"/>
      <c r="S8526" s="8" t="n"/>
      <c r="T8526" s="8" t="n"/>
      <c r="U8526" s="8" t="n"/>
      <c r="V8526" s="8" t="n"/>
      <c r="W8526" s="8" t="n"/>
      <c r="X8526" s="8" t="n"/>
      <c r="Y8526" s="8" t="n"/>
    </row>
    <row r="8527">
      <c r="A8527" s="8" t="n"/>
      <c r="B8527" s="8" t="n"/>
      <c r="C8527" s="8" t="n"/>
      <c r="D8527" s="8" t="n"/>
      <c r="E8527" s="8" t="n"/>
      <c r="F8527" s="8" t="n"/>
      <c r="G8527" s="8" t="n"/>
      <c r="H8527" s="8" t="n"/>
      <c r="I8527" s="8" t="n"/>
      <c r="J8527" s="8" t="n"/>
      <c r="K8527" s="8" t="n"/>
      <c r="L8527" s="8" t="n"/>
      <c r="M8527" s="9">
        <f>B8527+30</f>
        <v/>
      </c>
      <c r="N8527">
        <f>IF(L8527="", "", L8527-B8527)</f>
        <v/>
      </c>
      <c r="O8527">
        <f>IF(L8527="", "Pending", IF(N8527&lt;=30, "Met", "Breached"))</f>
        <v/>
      </c>
      <c r="P8527" s="8" t="n"/>
      <c r="Q8527" s="8" t="n"/>
      <c r="R8527" s="8" t="n"/>
      <c r="S8527" s="8" t="n"/>
      <c r="T8527" s="8" t="n"/>
      <c r="U8527" s="8" t="n"/>
      <c r="V8527" s="8" t="n"/>
      <c r="W8527" s="8" t="n"/>
      <c r="X8527" s="8" t="n"/>
      <c r="Y8527" s="8" t="n"/>
    </row>
    <row r="8528">
      <c r="A8528" s="8" t="n"/>
      <c r="B8528" s="8" t="n"/>
      <c r="C8528" s="8" t="n"/>
      <c r="D8528" s="8" t="n"/>
      <c r="E8528" s="8" t="n"/>
      <c r="F8528" s="8" t="n"/>
      <c r="G8528" s="8" t="n"/>
      <c r="H8528" s="8" t="n"/>
      <c r="I8528" s="8" t="n"/>
      <c r="J8528" s="8" t="n"/>
      <c r="K8528" s="8" t="n"/>
      <c r="L8528" s="8" t="n"/>
      <c r="M8528" s="9">
        <f>B8528+30</f>
        <v/>
      </c>
      <c r="N8528">
        <f>IF(L8528="", "", L8528-B8528)</f>
        <v/>
      </c>
      <c r="O8528">
        <f>IF(L8528="", "Pending", IF(N8528&lt;=30, "Met", "Breached"))</f>
        <v/>
      </c>
      <c r="P8528" s="8" t="n"/>
      <c r="Q8528" s="8" t="n"/>
      <c r="R8528" s="8" t="n"/>
      <c r="S8528" s="8" t="n"/>
      <c r="T8528" s="8" t="n"/>
      <c r="U8528" s="8" t="n"/>
      <c r="V8528" s="8" t="n"/>
      <c r="W8528" s="8" t="n"/>
      <c r="X8528" s="8" t="n"/>
      <c r="Y8528" s="8" t="n"/>
    </row>
    <row r="8529">
      <c r="A8529" s="8" t="n"/>
      <c r="B8529" s="8" t="n"/>
      <c r="C8529" s="8" t="n"/>
      <c r="D8529" s="8" t="n"/>
      <c r="E8529" s="8" t="n"/>
      <c r="F8529" s="8" t="n"/>
      <c r="G8529" s="8" t="n"/>
      <c r="H8529" s="8" t="n"/>
      <c r="I8529" s="8" t="n"/>
      <c r="J8529" s="8" t="n"/>
      <c r="K8529" s="8" t="n"/>
      <c r="L8529" s="8" t="n"/>
      <c r="M8529" s="9">
        <f>B8529+30</f>
        <v/>
      </c>
      <c r="N8529">
        <f>IF(L8529="", "", L8529-B8529)</f>
        <v/>
      </c>
      <c r="O8529">
        <f>IF(L8529="", "Pending", IF(N8529&lt;=30, "Met", "Breached"))</f>
        <v/>
      </c>
      <c r="P8529" s="8" t="n"/>
      <c r="Q8529" s="8" t="n"/>
      <c r="R8529" s="8" t="n"/>
      <c r="S8529" s="8" t="n"/>
      <c r="T8529" s="8" t="n"/>
      <c r="U8529" s="8" t="n"/>
      <c r="V8529" s="8" t="n"/>
      <c r="W8529" s="8" t="n"/>
      <c r="X8529" s="8" t="n"/>
      <c r="Y8529" s="8" t="n"/>
    </row>
    <row r="8530">
      <c r="A8530" s="8" t="n"/>
      <c r="B8530" s="8" t="n"/>
      <c r="C8530" s="8" t="n"/>
      <c r="D8530" s="8" t="n"/>
      <c r="E8530" s="8" t="n"/>
      <c r="F8530" s="8" t="n"/>
      <c r="G8530" s="8" t="n"/>
      <c r="H8530" s="8" t="n"/>
      <c r="I8530" s="8" t="n"/>
      <c r="J8530" s="8" t="n"/>
      <c r="K8530" s="8" t="n"/>
      <c r="L8530" s="8" t="n"/>
      <c r="M8530" s="9">
        <f>B8530+30</f>
        <v/>
      </c>
      <c r="N8530">
        <f>IF(L8530="", "", L8530-B8530)</f>
        <v/>
      </c>
      <c r="O8530">
        <f>IF(L8530="", "Pending", IF(N8530&lt;=30, "Met", "Breached"))</f>
        <v/>
      </c>
      <c r="P8530" s="8" t="n"/>
      <c r="Q8530" s="8" t="n"/>
      <c r="R8530" s="8" t="n"/>
      <c r="S8530" s="8" t="n"/>
      <c r="T8530" s="8" t="n"/>
      <c r="U8530" s="8" t="n"/>
      <c r="V8530" s="8" t="n"/>
      <c r="W8530" s="8" t="n"/>
      <c r="X8530" s="8" t="n"/>
      <c r="Y8530" s="8" t="n"/>
    </row>
    <row r="8531">
      <c r="A8531" s="8" t="n"/>
      <c r="B8531" s="8" t="n"/>
      <c r="C8531" s="8" t="n"/>
      <c r="D8531" s="8" t="n"/>
      <c r="E8531" s="8" t="n"/>
      <c r="F8531" s="8" t="n"/>
      <c r="G8531" s="8" t="n"/>
      <c r="H8531" s="8" t="n"/>
      <c r="I8531" s="8" t="n"/>
      <c r="J8531" s="8" t="n"/>
      <c r="K8531" s="8" t="n"/>
      <c r="L8531" s="8" t="n"/>
      <c r="M8531" s="9">
        <f>B8531+30</f>
        <v/>
      </c>
      <c r="N8531">
        <f>IF(L8531="", "", L8531-B8531)</f>
        <v/>
      </c>
      <c r="O8531">
        <f>IF(L8531="", "Pending", IF(N8531&lt;=30, "Met", "Breached"))</f>
        <v/>
      </c>
      <c r="P8531" s="8" t="n"/>
      <c r="Q8531" s="8" t="n"/>
      <c r="R8531" s="8" t="n"/>
      <c r="S8531" s="8" t="n"/>
      <c r="T8531" s="8" t="n"/>
      <c r="U8531" s="8" t="n"/>
      <c r="V8531" s="8" t="n"/>
      <c r="W8531" s="8" t="n"/>
      <c r="X8531" s="8" t="n"/>
      <c r="Y8531" s="8" t="n"/>
    </row>
    <row r="8532">
      <c r="A8532" s="8" t="n"/>
      <c r="B8532" s="8" t="n"/>
      <c r="C8532" s="8" t="n"/>
      <c r="D8532" s="8" t="n"/>
      <c r="E8532" s="8" t="n"/>
      <c r="F8532" s="8" t="n"/>
      <c r="G8532" s="8" t="n"/>
      <c r="H8532" s="8" t="n"/>
      <c r="I8532" s="8" t="n"/>
      <c r="J8532" s="8" t="n"/>
      <c r="K8532" s="8" t="n"/>
      <c r="L8532" s="8" t="n"/>
      <c r="M8532" s="9">
        <f>B8532+30</f>
        <v/>
      </c>
      <c r="N8532">
        <f>IF(L8532="", "", L8532-B8532)</f>
        <v/>
      </c>
      <c r="O8532">
        <f>IF(L8532="", "Pending", IF(N8532&lt;=30, "Met", "Breached"))</f>
        <v/>
      </c>
      <c r="P8532" s="8" t="n"/>
      <c r="Q8532" s="8" t="n"/>
      <c r="R8532" s="8" t="n"/>
      <c r="S8532" s="8" t="n"/>
      <c r="T8532" s="8" t="n"/>
      <c r="U8532" s="8" t="n"/>
      <c r="V8532" s="8" t="n"/>
      <c r="W8532" s="8" t="n"/>
      <c r="X8532" s="8" t="n"/>
      <c r="Y8532" s="8" t="n"/>
    </row>
    <row r="8533">
      <c r="A8533" s="8" t="n"/>
      <c r="B8533" s="8" t="n"/>
      <c r="C8533" s="8" t="n"/>
      <c r="D8533" s="8" t="n"/>
      <c r="E8533" s="8" t="n"/>
      <c r="F8533" s="8" t="n"/>
      <c r="G8533" s="8" t="n"/>
      <c r="H8533" s="8" t="n"/>
      <c r="I8533" s="8" t="n"/>
      <c r="J8533" s="8" t="n"/>
      <c r="K8533" s="8" t="n"/>
      <c r="L8533" s="8" t="n"/>
      <c r="M8533" s="9">
        <f>B8533+30</f>
        <v/>
      </c>
      <c r="N8533">
        <f>IF(L8533="", "", L8533-B8533)</f>
        <v/>
      </c>
      <c r="O8533">
        <f>IF(L8533="", "Pending", IF(N8533&lt;=30, "Met", "Breached"))</f>
        <v/>
      </c>
      <c r="P8533" s="8" t="n"/>
      <c r="Q8533" s="8" t="n"/>
      <c r="R8533" s="8" t="n"/>
      <c r="S8533" s="8" t="n"/>
      <c r="T8533" s="8" t="n"/>
      <c r="U8533" s="8" t="n"/>
      <c r="V8533" s="8" t="n"/>
      <c r="W8533" s="8" t="n"/>
      <c r="X8533" s="8" t="n"/>
      <c r="Y8533" s="8" t="n"/>
    </row>
    <row r="8534">
      <c r="A8534" s="8" t="n"/>
      <c r="B8534" s="8" t="n"/>
      <c r="C8534" s="8" t="n"/>
      <c r="D8534" s="8" t="n"/>
      <c r="E8534" s="8" t="n"/>
      <c r="F8534" s="8" t="n"/>
      <c r="G8534" s="8" t="n"/>
      <c r="H8534" s="8" t="n"/>
      <c r="I8534" s="8" t="n"/>
      <c r="J8534" s="8" t="n"/>
      <c r="K8534" s="8" t="n"/>
      <c r="L8534" s="8" t="n"/>
      <c r="M8534" s="9">
        <f>B8534+30</f>
        <v/>
      </c>
      <c r="N8534">
        <f>IF(L8534="", "", L8534-B8534)</f>
        <v/>
      </c>
      <c r="O8534">
        <f>IF(L8534="", "Pending", IF(N8534&lt;=30, "Met", "Breached"))</f>
        <v/>
      </c>
      <c r="P8534" s="8" t="n"/>
      <c r="Q8534" s="8" t="n"/>
      <c r="R8534" s="8" t="n"/>
      <c r="S8534" s="8" t="n"/>
      <c r="T8534" s="8" t="n"/>
      <c r="U8534" s="8" t="n"/>
      <c r="V8534" s="8" t="n"/>
      <c r="W8534" s="8" t="n"/>
      <c r="X8534" s="8" t="n"/>
      <c r="Y8534" s="8" t="n"/>
    </row>
    <row r="8535">
      <c r="A8535" s="8" t="n"/>
      <c r="B8535" s="8" t="n"/>
      <c r="C8535" s="8" t="n"/>
      <c r="D8535" s="8" t="n"/>
      <c r="E8535" s="8" t="n"/>
      <c r="F8535" s="8" t="n"/>
      <c r="G8535" s="8" t="n"/>
      <c r="H8535" s="8" t="n"/>
      <c r="I8535" s="8" t="n"/>
      <c r="J8535" s="8" t="n"/>
      <c r="K8535" s="8" t="n"/>
      <c r="L8535" s="8" t="n"/>
      <c r="M8535" s="9">
        <f>B8535+30</f>
        <v/>
      </c>
      <c r="N8535">
        <f>IF(L8535="", "", L8535-B8535)</f>
        <v/>
      </c>
      <c r="O8535">
        <f>IF(L8535="", "Pending", IF(N8535&lt;=30, "Met", "Breached"))</f>
        <v/>
      </c>
      <c r="P8535" s="8" t="n"/>
      <c r="Q8535" s="8" t="n"/>
      <c r="R8535" s="8" t="n"/>
      <c r="S8535" s="8" t="n"/>
      <c r="T8535" s="8" t="n"/>
      <c r="U8535" s="8" t="n"/>
      <c r="V8535" s="8" t="n"/>
      <c r="W8535" s="8" t="n"/>
      <c r="X8535" s="8" t="n"/>
      <c r="Y8535" s="8" t="n"/>
    </row>
    <row r="8536">
      <c r="A8536" s="8" t="n"/>
      <c r="B8536" s="8" t="n"/>
      <c r="C8536" s="8" t="n"/>
      <c r="D8536" s="8" t="n"/>
      <c r="E8536" s="8" t="n"/>
      <c r="F8536" s="8" t="n"/>
      <c r="G8536" s="8" t="n"/>
      <c r="H8536" s="8" t="n"/>
      <c r="I8536" s="8" t="n"/>
      <c r="J8536" s="8" t="n"/>
      <c r="K8536" s="8" t="n"/>
      <c r="L8536" s="8" t="n"/>
      <c r="M8536" s="9">
        <f>B8536+30</f>
        <v/>
      </c>
      <c r="N8536">
        <f>IF(L8536="", "", L8536-B8536)</f>
        <v/>
      </c>
      <c r="O8536">
        <f>IF(L8536="", "Pending", IF(N8536&lt;=30, "Met", "Breached"))</f>
        <v/>
      </c>
      <c r="P8536" s="8" t="n"/>
      <c r="Q8536" s="8" t="n"/>
      <c r="R8536" s="8" t="n"/>
      <c r="S8536" s="8" t="n"/>
      <c r="T8536" s="8" t="n"/>
      <c r="U8536" s="8" t="n"/>
      <c r="V8536" s="8" t="n"/>
      <c r="W8536" s="8" t="n"/>
      <c r="X8536" s="8" t="n"/>
      <c r="Y8536" s="8" t="n"/>
    </row>
    <row r="8537">
      <c r="A8537" s="8" t="n"/>
      <c r="B8537" s="8" t="n"/>
      <c r="C8537" s="8" t="n"/>
      <c r="D8537" s="8" t="n"/>
      <c r="E8537" s="8" t="n"/>
      <c r="F8537" s="8" t="n"/>
      <c r="G8537" s="8" t="n"/>
      <c r="H8537" s="8" t="n"/>
      <c r="I8537" s="8" t="n"/>
      <c r="J8537" s="8" t="n"/>
      <c r="K8537" s="8" t="n"/>
      <c r="L8537" s="8" t="n"/>
      <c r="M8537" s="9">
        <f>B8537+30</f>
        <v/>
      </c>
      <c r="N8537">
        <f>IF(L8537="", "", L8537-B8537)</f>
        <v/>
      </c>
      <c r="O8537">
        <f>IF(L8537="", "Pending", IF(N8537&lt;=30, "Met", "Breached"))</f>
        <v/>
      </c>
      <c r="P8537" s="8" t="n"/>
      <c r="Q8537" s="8" t="n"/>
      <c r="R8537" s="8" t="n"/>
      <c r="S8537" s="8" t="n"/>
      <c r="T8537" s="8" t="n"/>
      <c r="U8537" s="8" t="n"/>
      <c r="V8537" s="8" t="n"/>
      <c r="W8537" s="8" t="n"/>
      <c r="X8537" s="8" t="n"/>
      <c r="Y8537" s="8" t="n"/>
    </row>
    <row r="8538">
      <c r="A8538" s="8" t="n"/>
      <c r="B8538" s="8" t="n"/>
      <c r="C8538" s="8" t="n"/>
      <c r="D8538" s="8" t="n"/>
      <c r="E8538" s="8" t="n"/>
      <c r="F8538" s="8" t="n"/>
      <c r="G8538" s="8" t="n"/>
      <c r="H8538" s="8" t="n"/>
      <c r="I8538" s="8" t="n"/>
      <c r="J8538" s="8" t="n"/>
      <c r="K8538" s="8" t="n"/>
      <c r="L8538" s="8" t="n"/>
      <c r="M8538" s="9">
        <f>B8538+30</f>
        <v/>
      </c>
      <c r="N8538">
        <f>IF(L8538="", "", L8538-B8538)</f>
        <v/>
      </c>
      <c r="O8538">
        <f>IF(L8538="", "Pending", IF(N8538&lt;=30, "Met", "Breached"))</f>
        <v/>
      </c>
      <c r="P8538" s="8" t="n"/>
      <c r="Q8538" s="8" t="n"/>
      <c r="R8538" s="8" t="n"/>
      <c r="S8538" s="8" t="n"/>
      <c r="T8538" s="8" t="n"/>
      <c r="U8538" s="8" t="n"/>
      <c r="V8538" s="8" t="n"/>
      <c r="W8538" s="8" t="n"/>
      <c r="X8538" s="8" t="n"/>
      <c r="Y8538" s="8" t="n"/>
    </row>
    <row r="8539">
      <c r="A8539" s="8" t="n"/>
      <c r="B8539" s="8" t="n"/>
      <c r="C8539" s="8" t="n"/>
      <c r="D8539" s="8" t="n"/>
      <c r="E8539" s="8" t="n"/>
      <c r="F8539" s="8" t="n"/>
      <c r="G8539" s="8" t="n"/>
      <c r="H8539" s="8" t="n"/>
      <c r="I8539" s="8" t="n"/>
      <c r="J8539" s="8" t="n"/>
      <c r="K8539" s="8" t="n"/>
      <c r="L8539" s="8" t="n"/>
      <c r="M8539" s="9">
        <f>B8539+30</f>
        <v/>
      </c>
      <c r="N8539">
        <f>IF(L8539="", "", L8539-B8539)</f>
        <v/>
      </c>
      <c r="O8539">
        <f>IF(L8539="", "Pending", IF(N8539&lt;=30, "Met", "Breached"))</f>
        <v/>
      </c>
      <c r="P8539" s="8" t="n"/>
      <c r="Q8539" s="8" t="n"/>
      <c r="R8539" s="8" t="n"/>
      <c r="S8539" s="8" t="n"/>
      <c r="T8539" s="8" t="n"/>
      <c r="U8539" s="8" t="n"/>
      <c r="V8539" s="8" t="n"/>
      <c r="W8539" s="8" t="n"/>
      <c r="X8539" s="8" t="n"/>
      <c r="Y8539" s="8" t="n"/>
    </row>
    <row r="8540">
      <c r="A8540" s="8" t="n"/>
      <c r="B8540" s="8" t="n"/>
      <c r="C8540" s="8" t="n"/>
      <c r="D8540" s="8" t="n"/>
      <c r="E8540" s="8" t="n"/>
      <c r="F8540" s="8" t="n"/>
      <c r="G8540" s="8" t="n"/>
      <c r="H8540" s="8" t="n"/>
      <c r="I8540" s="8" t="n"/>
      <c r="J8540" s="8" t="n"/>
      <c r="K8540" s="8" t="n"/>
      <c r="L8540" s="8" t="n"/>
      <c r="M8540" s="9">
        <f>B8540+30</f>
        <v/>
      </c>
      <c r="N8540">
        <f>IF(L8540="", "", L8540-B8540)</f>
        <v/>
      </c>
      <c r="O8540">
        <f>IF(L8540="", "Pending", IF(N8540&lt;=30, "Met", "Breached"))</f>
        <v/>
      </c>
      <c r="P8540" s="8" t="n"/>
      <c r="Q8540" s="8" t="n"/>
      <c r="R8540" s="8" t="n"/>
      <c r="S8540" s="8" t="n"/>
      <c r="T8540" s="8" t="n"/>
      <c r="U8540" s="8" t="n"/>
      <c r="V8540" s="8" t="n"/>
      <c r="W8540" s="8" t="n"/>
      <c r="X8540" s="8" t="n"/>
      <c r="Y8540" s="8" t="n"/>
    </row>
    <row r="8541">
      <c r="A8541" s="8" t="n"/>
      <c r="B8541" s="8" t="n"/>
      <c r="C8541" s="8" t="n"/>
      <c r="D8541" s="8" t="n"/>
      <c r="E8541" s="8" t="n"/>
      <c r="F8541" s="8" t="n"/>
      <c r="G8541" s="8" t="n"/>
      <c r="H8541" s="8" t="n"/>
      <c r="I8541" s="8" t="n"/>
      <c r="J8541" s="8" t="n"/>
      <c r="K8541" s="8" t="n"/>
      <c r="L8541" s="8" t="n"/>
      <c r="M8541" s="9">
        <f>B8541+30</f>
        <v/>
      </c>
      <c r="N8541">
        <f>IF(L8541="", "", L8541-B8541)</f>
        <v/>
      </c>
      <c r="O8541">
        <f>IF(L8541="", "Pending", IF(N8541&lt;=30, "Met", "Breached"))</f>
        <v/>
      </c>
      <c r="P8541" s="8" t="n"/>
      <c r="Q8541" s="8" t="n"/>
      <c r="R8541" s="8" t="n"/>
      <c r="S8541" s="8" t="n"/>
      <c r="T8541" s="8" t="n"/>
      <c r="U8541" s="8" t="n"/>
      <c r="V8541" s="8" t="n"/>
      <c r="W8541" s="8" t="n"/>
      <c r="X8541" s="8" t="n"/>
      <c r="Y8541" s="8" t="n"/>
    </row>
    <row r="8542">
      <c r="A8542" s="8" t="n"/>
      <c r="B8542" s="8" t="n"/>
      <c r="C8542" s="8" t="n"/>
      <c r="D8542" s="8" t="n"/>
      <c r="E8542" s="8" t="n"/>
      <c r="F8542" s="8" t="n"/>
      <c r="G8542" s="8" t="n"/>
      <c r="H8542" s="8" t="n"/>
      <c r="I8542" s="8" t="n"/>
      <c r="J8542" s="8" t="n"/>
      <c r="K8542" s="8" t="n"/>
      <c r="L8542" s="8" t="n"/>
      <c r="M8542" s="9">
        <f>B8542+30</f>
        <v/>
      </c>
      <c r="N8542">
        <f>IF(L8542="", "", L8542-B8542)</f>
        <v/>
      </c>
      <c r="O8542">
        <f>IF(L8542="", "Pending", IF(N8542&lt;=30, "Met", "Breached"))</f>
        <v/>
      </c>
      <c r="P8542" s="8" t="n"/>
      <c r="Q8542" s="8" t="n"/>
      <c r="R8542" s="8" t="n"/>
      <c r="S8542" s="8" t="n"/>
      <c r="T8542" s="8" t="n"/>
      <c r="U8542" s="8" t="n"/>
      <c r="V8542" s="8" t="n"/>
      <c r="W8542" s="8" t="n"/>
      <c r="X8542" s="8" t="n"/>
      <c r="Y8542" s="8" t="n"/>
    </row>
    <row r="8543">
      <c r="A8543" s="8" t="n"/>
      <c r="B8543" s="8" t="n"/>
      <c r="C8543" s="8" t="n"/>
      <c r="D8543" s="8" t="n"/>
      <c r="E8543" s="8" t="n"/>
      <c r="F8543" s="8" t="n"/>
      <c r="G8543" s="8" t="n"/>
      <c r="H8543" s="8" t="n"/>
      <c r="I8543" s="8" t="n"/>
      <c r="J8543" s="8" t="n"/>
      <c r="K8543" s="8" t="n"/>
      <c r="L8543" s="8" t="n"/>
      <c r="M8543" s="9">
        <f>B8543+30</f>
        <v/>
      </c>
      <c r="N8543">
        <f>IF(L8543="", "", L8543-B8543)</f>
        <v/>
      </c>
      <c r="O8543">
        <f>IF(L8543="", "Pending", IF(N8543&lt;=30, "Met", "Breached"))</f>
        <v/>
      </c>
      <c r="P8543" s="8" t="n"/>
      <c r="Q8543" s="8" t="n"/>
      <c r="R8543" s="8" t="n"/>
      <c r="S8543" s="8" t="n"/>
      <c r="T8543" s="8" t="n"/>
      <c r="U8543" s="8" t="n"/>
      <c r="V8543" s="8" t="n"/>
      <c r="W8543" s="8" t="n"/>
      <c r="X8543" s="8" t="n"/>
      <c r="Y8543" s="8" t="n"/>
    </row>
    <row r="8544">
      <c r="A8544" s="8" t="n"/>
      <c r="B8544" s="8" t="n"/>
      <c r="C8544" s="8" t="n"/>
      <c r="D8544" s="8" t="n"/>
      <c r="E8544" s="8" t="n"/>
      <c r="F8544" s="8" t="n"/>
      <c r="G8544" s="8" t="n"/>
      <c r="H8544" s="8" t="n"/>
      <c r="I8544" s="8" t="n"/>
      <c r="J8544" s="8" t="n"/>
      <c r="K8544" s="8" t="n"/>
      <c r="L8544" s="8" t="n"/>
      <c r="M8544" s="9">
        <f>B8544+30</f>
        <v/>
      </c>
      <c r="N8544">
        <f>IF(L8544="", "", L8544-B8544)</f>
        <v/>
      </c>
      <c r="O8544">
        <f>IF(L8544="", "Pending", IF(N8544&lt;=30, "Met", "Breached"))</f>
        <v/>
      </c>
      <c r="P8544" s="8" t="n"/>
      <c r="Q8544" s="8" t="n"/>
      <c r="R8544" s="8" t="n"/>
      <c r="S8544" s="8" t="n"/>
      <c r="T8544" s="8" t="n"/>
      <c r="U8544" s="8" t="n"/>
      <c r="V8544" s="8" t="n"/>
      <c r="W8544" s="8" t="n"/>
      <c r="X8544" s="8" t="n"/>
      <c r="Y8544" s="8" t="n"/>
    </row>
    <row r="8545">
      <c r="A8545" s="8" t="n"/>
      <c r="B8545" s="8" t="n"/>
      <c r="C8545" s="8" t="n"/>
      <c r="D8545" s="8" t="n"/>
      <c r="E8545" s="8" t="n"/>
      <c r="F8545" s="8" t="n"/>
      <c r="G8545" s="8" t="n"/>
      <c r="H8545" s="8" t="n"/>
      <c r="I8545" s="8" t="n"/>
      <c r="J8545" s="8" t="n"/>
      <c r="K8545" s="8" t="n"/>
      <c r="L8545" s="8" t="n"/>
      <c r="M8545" s="9">
        <f>B8545+30</f>
        <v/>
      </c>
      <c r="N8545">
        <f>IF(L8545="", "", L8545-B8545)</f>
        <v/>
      </c>
      <c r="O8545">
        <f>IF(L8545="", "Pending", IF(N8545&lt;=30, "Met", "Breached"))</f>
        <v/>
      </c>
      <c r="P8545" s="8" t="n"/>
      <c r="Q8545" s="8" t="n"/>
      <c r="R8545" s="8" t="n"/>
      <c r="S8545" s="8" t="n"/>
      <c r="T8545" s="8" t="n"/>
      <c r="U8545" s="8" t="n"/>
      <c r="V8545" s="8" t="n"/>
      <c r="W8545" s="8" t="n"/>
      <c r="X8545" s="8" t="n"/>
      <c r="Y8545" s="8" t="n"/>
    </row>
    <row r="8546">
      <c r="A8546" s="8" t="n"/>
      <c r="B8546" s="8" t="n"/>
      <c r="C8546" s="8" t="n"/>
      <c r="D8546" s="8" t="n"/>
      <c r="E8546" s="8" t="n"/>
      <c r="F8546" s="8" t="n"/>
      <c r="G8546" s="8" t="n"/>
      <c r="H8546" s="8" t="n"/>
      <c r="I8546" s="8" t="n"/>
      <c r="J8546" s="8" t="n"/>
      <c r="K8546" s="8" t="n"/>
      <c r="L8546" s="8" t="n"/>
      <c r="M8546" s="9">
        <f>B8546+30</f>
        <v/>
      </c>
      <c r="N8546">
        <f>IF(L8546="", "", L8546-B8546)</f>
        <v/>
      </c>
      <c r="O8546">
        <f>IF(L8546="", "Pending", IF(N8546&lt;=30, "Met", "Breached"))</f>
        <v/>
      </c>
      <c r="P8546" s="8" t="n"/>
      <c r="Q8546" s="8" t="n"/>
      <c r="R8546" s="8" t="n"/>
      <c r="S8546" s="8" t="n"/>
      <c r="T8546" s="8" t="n"/>
      <c r="U8546" s="8" t="n"/>
      <c r="V8546" s="8" t="n"/>
      <c r="W8546" s="8" t="n"/>
      <c r="X8546" s="8" t="n"/>
      <c r="Y8546" s="8" t="n"/>
    </row>
    <row r="8547">
      <c r="A8547" s="8" t="n"/>
      <c r="B8547" s="8" t="n"/>
      <c r="C8547" s="8" t="n"/>
      <c r="D8547" s="8" t="n"/>
      <c r="E8547" s="8" t="n"/>
      <c r="F8547" s="8" t="n"/>
      <c r="G8547" s="8" t="n"/>
      <c r="H8547" s="8" t="n"/>
      <c r="I8547" s="8" t="n"/>
      <c r="J8547" s="8" t="n"/>
      <c r="K8547" s="8" t="n"/>
      <c r="L8547" s="8" t="n"/>
      <c r="M8547" s="9">
        <f>B8547+30</f>
        <v/>
      </c>
      <c r="N8547">
        <f>IF(L8547="", "", L8547-B8547)</f>
        <v/>
      </c>
      <c r="O8547">
        <f>IF(L8547="", "Pending", IF(N8547&lt;=30, "Met", "Breached"))</f>
        <v/>
      </c>
      <c r="P8547" s="8" t="n"/>
      <c r="Q8547" s="8" t="n"/>
      <c r="R8547" s="8" t="n"/>
      <c r="S8547" s="8" t="n"/>
      <c r="T8547" s="8" t="n"/>
      <c r="U8547" s="8" t="n"/>
      <c r="V8547" s="8" t="n"/>
      <c r="W8547" s="8" t="n"/>
      <c r="X8547" s="8" t="n"/>
      <c r="Y8547" s="8" t="n"/>
    </row>
    <row r="8548">
      <c r="A8548" s="8" t="n"/>
      <c r="B8548" s="8" t="n"/>
      <c r="C8548" s="8" t="n"/>
      <c r="D8548" s="8" t="n"/>
      <c r="E8548" s="8" t="n"/>
      <c r="F8548" s="8" t="n"/>
      <c r="G8548" s="8" t="n"/>
      <c r="H8548" s="8" t="n"/>
      <c r="I8548" s="8" t="n"/>
      <c r="J8548" s="8" t="n"/>
      <c r="K8548" s="8" t="n"/>
      <c r="L8548" s="8" t="n"/>
      <c r="M8548" s="9">
        <f>B8548+30</f>
        <v/>
      </c>
      <c r="N8548">
        <f>IF(L8548="", "", L8548-B8548)</f>
        <v/>
      </c>
      <c r="O8548">
        <f>IF(L8548="", "Pending", IF(N8548&lt;=30, "Met", "Breached"))</f>
        <v/>
      </c>
      <c r="P8548" s="8" t="n"/>
      <c r="Q8548" s="8" t="n"/>
      <c r="R8548" s="8" t="n"/>
      <c r="S8548" s="8" t="n"/>
      <c r="T8548" s="8" t="n"/>
      <c r="U8548" s="8" t="n"/>
      <c r="V8548" s="8" t="n"/>
      <c r="W8548" s="8" t="n"/>
      <c r="X8548" s="8" t="n"/>
      <c r="Y8548" s="8" t="n"/>
    </row>
    <row r="8549">
      <c r="A8549" s="8" t="n"/>
      <c r="B8549" s="8" t="n"/>
      <c r="C8549" s="8" t="n"/>
      <c r="D8549" s="8" t="n"/>
      <c r="E8549" s="8" t="n"/>
      <c r="F8549" s="8" t="n"/>
      <c r="G8549" s="8" t="n"/>
      <c r="H8549" s="8" t="n"/>
      <c r="I8549" s="8" t="n"/>
      <c r="J8549" s="8" t="n"/>
      <c r="K8549" s="8" t="n"/>
      <c r="L8549" s="8" t="n"/>
      <c r="M8549" s="9">
        <f>B8549+30</f>
        <v/>
      </c>
      <c r="N8549">
        <f>IF(L8549="", "", L8549-B8549)</f>
        <v/>
      </c>
      <c r="O8549">
        <f>IF(L8549="", "Pending", IF(N8549&lt;=30, "Met", "Breached"))</f>
        <v/>
      </c>
      <c r="P8549" s="8" t="n"/>
      <c r="Q8549" s="8" t="n"/>
      <c r="R8549" s="8" t="n"/>
      <c r="S8549" s="8" t="n"/>
      <c r="T8549" s="8" t="n"/>
      <c r="U8549" s="8" t="n"/>
      <c r="V8549" s="8" t="n"/>
      <c r="W8549" s="8" t="n"/>
      <c r="X8549" s="8" t="n"/>
      <c r="Y8549" s="8" t="n"/>
    </row>
    <row r="8550">
      <c r="A8550" s="8" t="n"/>
      <c r="B8550" s="8" t="n"/>
      <c r="C8550" s="8" t="n"/>
      <c r="D8550" s="8" t="n"/>
      <c r="E8550" s="8" t="n"/>
      <c r="F8550" s="8" t="n"/>
      <c r="G8550" s="8" t="n"/>
      <c r="H8550" s="8" t="n"/>
      <c r="I8550" s="8" t="n"/>
      <c r="J8550" s="8" t="n"/>
      <c r="K8550" s="8" t="n"/>
      <c r="L8550" s="8" t="n"/>
      <c r="M8550" s="9">
        <f>B8550+30</f>
        <v/>
      </c>
      <c r="N8550">
        <f>IF(L8550="", "", L8550-B8550)</f>
        <v/>
      </c>
      <c r="O8550">
        <f>IF(L8550="", "Pending", IF(N8550&lt;=30, "Met", "Breached"))</f>
        <v/>
      </c>
      <c r="P8550" s="8" t="n"/>
      <c r="Q8550" s="8" t="n"/>
      <c r="R8550" s="8" t="n"/>
      <c r="S8550" s="8" t="n"/>
      <c r="T8550" s="8" t="n"/>
      <c r="U8550" s="8" t="n"/>
      <c r="V8550" s="8" t="n"/>
      <c r="W8550" s="8" t="n"/>
      <c r="X8550" s="8" t="n"/>
      <c r="Y8550" s="8" t="n"/>
    </row>
    <row r="8551">
      <c r="A8551" s="8" t="n"/>
      <c r="B8551" s="8" t="n"/>
      <c r="C8551" s="8" t="n"/>
      <c r="D8551" s="8" t="n"/>
      <c r="E8551" s="8" t="n"/>
      <c r="F8551" s="8" t="n"/>
      <c r="G8551" s="8" t="n"/>
      <c r="H8551" s="8" t="n"/>
      <c r="I8551" s="8" t="n"/>
      <c r="J8551" s="8" t="n"/>
      <c r="K8551" s="8" t="n"/>
      <c r="L8551" s="8" t="n"/>
      <c r="M8551" s="9">
        <f>B8551+30</f>
        <v/>
      </c>
      <c r="N8551">
        <f>IF(L8551="", "", L8551-B8551)</f>
        <v/>
      </c>
      <c r="O8551">
        <f>IF(L8551="", "Pending", IF(N8551&lt;=30, "Met", "Breached"))</f>
        <v/>
      </c>
      <c r="P8551" s="8" t="n"/>
      <c r="Q8551" s="8" t="n"/>
      <c r="R8551" s="8" t="n"/>
      <c r="S8551" s="8" t="n"/>
      <c r="T8551" s="8" t="n"/>
      <c r="U8551" s="8" t="n"/>
      <c r="V8551" s="8" t="n"/>
      <c r="W8551" s="8" t="n"/>
      <c r="X8551" s="8" t="n"/>
      <c r="Y8551" s="8" t="n"/>
    </row>
    <row r="8552">
      <c r="A8552" s="8" t="n"/>
      <c r="B8552" s="8" t="n"/>
      <c r="C8552" s="8" t="n"/>
      <c r="D8552" s="8" t="n"/>
      <c r="E8552" s="8" t="n"/>
      <c r="F8552" s="8" t="n"/>
      <c r="G8552" s="8" t="n"/>
      <c r="H8552" s="8" t="n"/>
      <c r="I8552" s="8" t="n"/>
      <c r="J8552" s="8" t="n"/>
      <c r="K8552" s="8" t="n"/>
      <c r="L8552" s="8" t="n"/>
      <c r="M8552" s="9">
        <f>B8552+30</f>
        <v/>
      </c>
      <c r="N8552">
        <f>IF(L8552="", "", L8552-B8552)</f>
        <v/>
      </c>
      <c r="O8552">
        <f>IF(L8552="", "Pending", IF(N8552&lt;=30, "Met", "Breached"))</f>
        <v/>
      </c>
      <c r="P8552" s="8" t="n"/>
      <c r="Q8552" s="8" t="n"/>
      <c r="R8552" s="8" t="n"/>
      <c r="S8552" s="8" t="n"/>
      <c r="T8552" s="8" t="n"/>
      <c r="U8552" s="8" t="n"/>
      <c r="V8552" s="8" t="n"/>
      <c r="W8552" s="8" t="n"/>
      <c r="X8552" s="8" t="n"/>
      <c r="Y8552" s="8" t="n"/>
    </row>
    <row r="8553">
      <c r="A8553" s="8" t="n"/>
      <c r="B8553" s="8" t="n"/>
      <c r="C8553" s="8" t="n"/>
      <c r="D8553" s="8" t="n"/>
      <c r="E8553" s="8" t="n"/>
      <c r="F8553" s="8" t="n"/>
      <c r="G8553" s="8" t="n"/>
      <c r="H8553" s="8" t="n"/>
      <c r="I8553" s="8" t="n"/>
      <c r="J8553" s="8" t="n"/>
      <c r="K8553" s="8" t="n"/>
      <c r="L8553" s="8" t="n"/>
      <c r="M8553" s="9">
        <f>B8553+30</f>
        <v/>
      </c>
      <c r="N8553">
        <f>IF(L8553="", "", L8553-B8553)</f>
        <v/>
      </c>
      <c r="O8553">
        <f>IF(L8553="", "Pending", IF(N8553&lt;=30, "Met", "Breached"))</f>
        <v/>
      </c>
      <c r="P8553" s="8" t="n"/>
      <c r="Q8553" s="8" t="n"/>
      <c r="R8553" s="8" t="n"/>
      <c r="S8553" s="8" t="n"/>
      <c r="T8553" s="8" t="n"/>
      <c r="U8553" s="8" t="n"/>
      <c r="V8553" s="8" t="n"/>
      <c r="W8553" s="8" t="n"/>
      <c r="X8553" s="8" t="n"/>
      <c r="Y8553" s="8" t="n"/>
    </row>
    <row r="8554">
      <c r="A8554" s="8" t="n"/>
      <c r="B8554" s="8" t="n"/>
      <c r="C8554" s="8" t="n"/>
      <c r="D8554" s="8" t="n"/>
      <c r="E8554" s="8" t="n"/>
      <c r="F8554" s="8" t="n"/>
      <c r="G8554" s="8" t="n"/>
      <c r="H8554" s="8" t="n"/>
      <c r="I8554" s="8" t="n"/>
      <c r="J8554" s="8" t="n"/>
      <c r="K8554" s="8" t="n"/>
      <c r="L8554" s="8" t="n"/>
      <c r="M8554" s="9">
        <f>B8554+30</f>
        <v/>
      </c>
      <c r="N8554">
        <f>IF(L8554="", "", L8554-B8554)</f>
        <v/>
      </c>
      <c r="O8554">
        <f>IF(L8554="", "Pending", IF(N8554&lt;=30, "Met", "Breached"))</f>
        <v/>
      </c>
      <c r="P8554" s="8" t="n"/>
      <c r="Q8554" s="8" t="n"/>
      <c r="R8554" s="8" t="n"/>
      <c r="S8554" s="8" t="n"/>
      <c r="T8554" s="8" t="n"/>
      <c r="U8554" s="8" t="n"/>
      <c r="V8554" s="8" t="n"/>
      <c r="W8554" s="8" t="n"/>
      <c r="X8554" s="8" t="n"/>
      <c r="Y8554" s="8" t="n"/>
    </row>
    <row r="8555">
      <c r="A8555" s="8" t="n"/>
      <c r="B8555" s="8" t="n"/>
      <c r="C8555" s="8" t="n"/>
      <c r="D8555" s="8" t="n"/>
      <c r="E8555" s="8" t="n"/>
      <c r="F8555" s="8" t="n"/>
      <c r="G8555" s="8" t="n"/>
      <c r="H8555" s="8" t="n"/>
      <c r="I8555" s="8" t="n"/>
      <c r="J8555" s="8" t="n"/>
      <c r="K8555" s="8" t="n"/>
      <c r="L8555" s="8" t="n"/>
      <c r="M8555" s="9">
        <f>B8555+30</f>
        <v/>
      </c>
      <c r="N8555">
        <f>IF(L8555="", "", L8555-B8555)</f>
        <v/>
      </c>
      <c r="O8555">
        <f>IF(L8555="", "Pending", IF(N8555&lt;=30, "Met", "Breached"))</f>
        <v/>
      </c>
      <c r="P8555" s="8" t="n"/>
      <c r="Q8555" s="8" t="n"/>
      <c r="R8555" s="8" t="n"/>
      <c r="S8555" s="8" t="n"/>
      <c r="T8555" s="8" t="n"/>
      <c r="U8555" s="8" t="n"/>
      <c r="V8555" s="8" t="n"/>
      <c r="W8555" s="8" t="n"/>
      <c r="X8555" s="8" t="n"/>
      <c r="Y8555" s="8" t="n"/>
    </row>
    <row r="8556">
      <c r="A8556" s="8" t="n"/>
      <c r="B8556" s="8" t="n"/>
      <c r="C8556" s="8" t="n"/>
      <c r="D8556" s="8" t="n"/>
      <c r="E8556" s="8" t="n"/>
      <c r="F8556" s="8" t="n"/>
      <c r="G8556" s="8" t="n"/>
      <c r="H8556" s="8" t="n"/>
      <c r="I8556" s="8" t="n"/>
      <c r="J8556" s="8" t="n"/>
      <c r="K8556" s="8" t="n"/>
      <c r="L8556" s="8" t="n"/>
      <c r="M8556" s="9">
        <f>B8556+30</f>
        <v/>
      </c>
      <c r="N8556">
        <f>IF(L8556="", "", L8556-B8556)</f>
        <v/>
      </c>
      <c r="O8556">
        <f>IF(L8556="", "Pending", IF(N8556&lt;=30, "Met", "Breached"))</f>
        <v/>
      </c>
      <c r="P8556" s="8" t="n"/>
      <c r="Q8556" s="8" t="n"/>
      <c r="R8556" s="8" t="n"/>
      <c r="S8556" s="8" t="n"/>
      <c r="T8556" s="8" t="n"/>
      <c r="U8556" s="8" t="n"/>
      <c r="V8556" s="8" t="n"/>
      <c r="W8556" s="8" t="n"/>
      <c r="X8556" s="8" t="n"/>
      <c r="Y8556" s="8" t="n"/>
    </row>
    <row r="8557">
      <c r="A8557" s="8" t="n"/>
      <c r="B8557" s="8" t="n"/>
      <c r="C8557" s="8" t="n"/>
      <c r="D8557" s="8" t="n"/>
      <c r="E8557" s="8" t="n"/>
      <c r="F8557" s="8" t="n"/>
      <c r="G8557" s="8" t="n"/>
      <c r="H8557" s="8" t="n"/>
      <c r="I8557" s="8" t="n"/>
      <c r="J8557" s="8" t="n"/>
      <c r="K8557" s="8" t="n"/>
      <c r="L8557" s="8" t="n"/>
      <c r="M8557" s="9">
        <f>B8557+30</f>
        <v/>
      </c>
      <c r="N8557">
        <f>IF(L8557="", "", L8557-B8557)</f>
        <v/>
      </c>
      <c r="O8557">
        <f>IF(L8557="", "Pending", IF(N8557&lt;=30, "Met", "Breached"))</f>
        <v/>
      </c>
      <c r="P8557" s="8" t="n"/>
      <c r="Q8557" s="8" t="n"/>
      <c r="R8557" s="8" t="n"/>
      <c r="S8557" s="8" t="n"/>
      <c r="T8557" s="8" t="n"/>
      <c r="U8557" s="8" t="n"/>
      <c r="V8557" s="8" t="n"/>
      <c r="W8557" s="8" t="n"/>
      <c r="X8557" s="8" t="n"/>
      <c r="Y8557" s="8" t="n"/>
    </row>
    <row r="8558">
      <c r="A8558" s="8" t="n"/>
      <c r="B8558" s="8" t="n"/>
      <c r="C8558" s="8" t="n"/>
      <c r="D8558" s="8" t="n"/>
      <c r="E8558" s="8" t="n"/>
      <c r="F8558" s="8" t="n"/>
      <c r="G8558" s="8" t="n"/>
      <c r="H8558" s="8" t="n"/>
      <c r="I8558" s="8" t="n"/>
      <c r="J8558" s="8" t="n"/>
      <c r="K8558" s="8" t="n"/>
      <c r="L8558" s="8" t="n"/>
      <c r="M8558" s="9">
        <f>B8558+30</f>
        <v/>
      </c>
      <c r="N8558">
        <f>IF(L8558="", "", L8558-B8558)</f>
        <v/>
      </c>
      <c r="O8558">
        <f>IF(L8558="", "Pending", IF(N8558&lt;=30, "Met", "Breached"))</f>
        <v/>
      </c>
      <c r="P8558" s="8" t="n"/>
      <c r="Q8558" s="8" t="n"/>
      <c r="R8558" s="8" t="n"/>
      <c r="S8558" s="8" t="n"/>
      <c r="T8558" s="8" t="n"/>
      <c r="U8558" s="8" t="n"/>
      <c r="V8558" s="8" t="n"/>
      <c r="W8558" s="8" t="n"/>
      <c r="X8558" s="8" t="n"/>
      <c r="Y8558" s="8" t="n"/>
    </row>
    <row r="8559">
      <c r="A8559" s="8" t="n"/>
      <c r="B8559" s="8" t="n"/>
      <c r="C8559" s="8" t="n"/>
      <c r="D8559" s="8" t="n"/>
      <c r="E8559" s="8" t="n"/>
      <c r="F8559" s="8" t="n"/>
      <c r="G8559" s="8" t="n"/>
      <c r="H8559" s="8" t="n"/>
      <c r="I8559" s="8" t="n"/>
      <c r="J8559" s="8" t="n"/>
      <c r="K8559" s="8" t="n"/>
      <c r="L8559" s="8" t="n"/>
      <c r="M8559" s="9">
        <f>B8559+30</f>
        <v/>
      </c>
      <c r="N8559">
        <f>IF(L8559="", "", L8559-B8559)</f>
        <v/>
      </c>
      <c r="O8559">
        <f>IF(L8559="", "Pending", IF(N8559&lt;=30, "Met", "Breached"))</f>
        <v/>
      </c>
      <c r="P8559" s="8" t="n"/>
      <c r="Q8559" s="8" t="n"/>
      <c r="R8559" s="8" t="n"/>
      <c r="S8559" s="8" t="n"/>
      <c r="T8559" s="8" t="n"/>
      <c r="U8559" s="8" t="n"/>
      <c r="V8559" s="8" t="n"/>
      <c r="W8559" s="8" t="n"/>
      <c r="X8559" s="8" t="n"/>
      <c r="Y8559" s="8" t="n"/>
    </row>
    <row r="8560">
      <c r="A8560" s="8" t="n"/>
      <c r="B8560" s="8" t="n"/>
      <c r="C8560" s="8" t="n"/>
      <c r="D8560" s="8" t="n"/>
      <c r="E8560" s="8" t="n"/>
      <c r="F8560" s="8" t="n"/>
      <c r="G8560" s="8" t="n"/>
      <c r="H8560" s="8" t="n"/>
      <c r="I8560" s="8" t="n"/>
      <c r="J8560" s="8" t="n"/>
      <c r="K8560" s="8" t="n"/>
      <c r="L8560" s="8" t="n"/>
      <c r="M8560" s="9">
        <f>B8560+30</f>
        <v/>
      </c>
      <c r="N8560">
        <f>IF(L8560="", "", L8560-B8560)</f>
        <v/>
      </c>
      <c r="O8560">
        <f>IF(L8560="", "Pending", IF(N8560&lt;=30, "Met", "Breached"))</f>
        <v/>
      </c>
      <c r="P8560" s="8" t="n"/>
      <c r="Q8560" s="8" t="n"/>
      <c r="R8560" s="8" t="n"/>
      <c r="S8560" s="8" t="n"/>
      <c r="T8560" s="8" t="n"/>
      <c r="U8560" s="8" t="n"/>
      <c r="V8560" s="8" t="n"/>
      <c r="W8560" s="8" t="n"/>
      <c r="X8560" s="8" t="n"/>
      <c r="Y8560" s="8" t="n"/>
    </row>
    <row r="8561">
      <c r="A8561" s="8" t="n"/>
      <c r="B8561" s="8" t="n"/>
      <c r="C8561" s="8" t="n"/>
      <c r="D8561" s="8" t="n"/>
      <c r="E8561" s="8" t="n"/>
      <c r="F8561" s="8" t="n"/>
      <c r="G8561" s="8" t="n"/>
      <c r="H8561" s="8" t="n"/>
      <c r="I8561" s="8" t="n"/>
      <c r="J8561" s="8" t="n"/>
      <c r="K8561" s="8" t="n"/>
      <c r="L8561" s="8" t="n"/>
      <c r="M8561" s="9">
        <f>B8561+30</f>
        <v/>
      </c>
      <c r="N8561">
        <f>IF(L8561="", "", L8561-B8561)</f>
        <v/>
      </c>
      <c r="O8561">
        <f>IF(L8561="", "Pending", IF(N8561&lt;=30, "Met", "Breached"))</f>
        <v/>
      </c>
      <c r="P8561" s="8" t="n"/>
      <c r="Q8561" s="8" t="n"/>
      <c r="R8561" s="8" t="n"/>
      <c r="S8561" s="8" t="n"/>
      <c r="T8561" s="8" t="n"/>
      <c r="U8561" s="8" t="n"/>
      <c r="V8561" s="8" t="n"/>
      <c r="W8561" s="8" t="n"/>
      <c r="X8561" s="8" t="n"/>
      <c r="Y8561" s="8" t="n"/>
    </row>
    <row r="8562">
      <c r="A8562" s="8" t="n"/>
      <c r="B8562" s="8" t="n"/>
      <c r="C8562" s="8" t="n"/>
      <c r="D8562" s="8" t="n"/>
      <c r="E8562" s="8" t="n"/>
      <c r="F8562" s="8" t="n"/>
      <c r="G8562" s="8" t="n"/>
      <c r="H8562" s="8" t="n"/>
      <c r="I8562" s="8" t="n"/>
      <c r="J8562" s="8" t="n"/>
      <c r="K8562" s="8" t="n"/>
      <c r="L8562" s="8" t="n"/>
      <c r="M8562" s="9">
        <f>B8562+30</f>
        <v/>
      </c>
      <c r="N8562">
        <f>IF(L8562="", "", L8562-B8562)</f>
        <v/>
      </c>
      <c r="O8562">
        <f>IF(L8562="", "Pending", IF(N8562&lt;=30, "Met", "Breached"))</f>
        <v/>
      </c>
      <c r="P8562" s="8" t="n"/>
      <c r="Q8562" s="8" t="n"/>
      <c r="R8562" s="8" t="n"/>
      <c r="S8562" s="8" t="n"/>
      <c r="T8562" s="8" t="n"/>
      <c r="U8562" s="8" t="n"/>
      <c r="V8562" s="8" t="n"/>
      <c r="W8562" s="8" t="n"/>
      <c r="X8562" s="8" t="n"/>
      <c r="Y8562" s="8" t="n"/>
    </row>
    <row r="8563">
      <c r="A8563" s="8" t="n"/>
      <c r="B8563" s="8" t="n"/>
      <c r="C8563" s="8" t="n"/>
      <c r="D8563" s="8" t="n"/>
      <c r="E8563" s="8" t="n"/>
      <c r="F8563" s="8" t="n"/>
      <c r="G8563" s="8" t="n"/>
      <c r="H8563" s="8" t="n"/>
      <c r="I8563" s="8" t="n"/>
      <c r="J8563" s="8" t="n"/>
      <c r="K8563" s="8" t="n"/>
      <c r="L8563" s="8" t="n"/>
      <c r="M8563" s="9">
        <f>B8563+30</f>
        <v/>
      </c>
      <c r="N8563">
        <f>IF(L8563="", "", L8563-B8563)</f>
        <v/>
      </c>
      <c r="O8563">
        <f>IF(L8563="", "Pending", IF(N8563&lt;=30, "Met", "Breached"))</f>
        <v/>
      </c>
      <c r="P8563" s="8" t="n"/>
      <c r="Q8563" s="8" t="n"/>
      <c r="R8563" s="8" t="n"/>
      <c r="S8563" s="8" t="n"/>
      <c r="T8563" s="8" t="n"/>
      <c r="U8563" s="8" t="n"/>
      <c r="V8563" s="8" t="n"/>
      <c r="W8563" s="8" t="n"/>
      <c r="X8563" s="8" t="n"/>
      <c r="Y8563" s="8" t="n"/>
    </row>
    <row r="8564">
      <c r="A8564" s="8" t="n"/>
      <c r="B8564" s="8" t="n"/>
      <c r="C8564" s="8" t="n"/>
      <c r="D8564" s="8" t="n"/>
      <c r="E8564" s="8" t="n"/>
      <c r="F8564" s="8" t="n"/>
      <c r="G8564" s="8" t="n"/>
      <c r="H8564" s="8" t="n"/>
      <c r="I8564" s="8" t="n"/>
      <c r="J8564" s="8" t="n"/>
      <c r="K8564" s="8" t="n"/>
      <c r="L8564" s="8" t="n"/>
      <c r="M8564" s="9">
        <f>B8564+30</f>
        <v/>
      </c>
      <c r="N8564">
        <f>IF(L8564="", "", L8564-B8564)</f>
        <v/>
      </c>
      <c r="O8564">
        <f>IF(L8564="", "Pending", IF(N8564&lt;=30, "Met", "Breached"))</f>
        <v/>
      </c>
      <c r="P8564" s="8" t="n"/>
      <c r="Q8564" s="8" t="n"/>
      <c r="R8564" s="8" t="n"/>
      <c r="S8564" s="8" t="n"/>
      <c r="T8564" s="8" t="n"/>
      <c r="U8564" s="8" t="n"/>
      <c r="V8564" s="8" t="n"/>
      <c r="W8564" s="8" t="n"/>
      <c r="X8564" s="8" t="n"/>
      <c r="Y8564" s="8" t="n"/>
    </row>
    <row r="8565">
      <c r="A8565" s="8" t="n"/>
      <c r="B8565" s="8" t="n"/>
      <c r="C8565" s="8" t="n"/>
      <c r="D8565" s="8" t="n"/>
      <c r="E8565" s="8" t="n"/>
      <c r="F8565" s="8" t="n"/>
      <c r="G8565" s="8" t="n"/>
      <c r="H8565" s="8" t="n"/>
      <c r="I8565" s="8" t="n"/>
      <c r="J8565" s="8" t="n"/>
      <c r="K8565" s="8" t="n"/>
      <c r="L8565" s="8" t="n"/>
      <c r="M8565" s="9">
        <f>B8565+30</f>
        <v/>
      </c>
      <c r="N8565">
        <f>IF(L8565="", "", L8565-B8565)</f>
        <v/>
      </c>
      <c r="O8565">
        <f>IF(L8565="", "Pending", IF(N8565&lt;=30, "Met", "Breached"))</f>
        <v/>
      </c>
      <c r="P8565" s="8" t="n"/>
      <c r="Q8565" s="8" t="n"/>
      <c r="R8565" s="8" t="n"/>
      <c r="S8565" s="8" t="n"/>
      <c r="T8565" s="8" t="n"/>
      <c r="U8565" s="8" t="n"/>
      <c r="V8565" s="8" t="n"/>
      <c r="W8565" s="8" t="n"/>
      <c r="X8565" s="8" t="n"/>
      <c r="Y8565" s="8" t="n"/>
    </row>
    <row r="8566">
      <c r="A8566" s="8" t="n"/>
      <c r="B8566" s="8" t="n"/>
      <c r="C8566" s="8" t="n"/>
      <c r="D8566" s="8" t="n"/>
      <c r="E8566" s="8" t="n"/>
      <c r="F8566" s="8" t="n"/>
      <c r="G8566" s="8" t="n"/>
      <c r="H8566" s="8" t="n"/>
      <c r="I8566" s="8" t="n"/>
      <c r="J8566" s="8" t="n"/>
      <c r="K8566" s="8" t="n"/>
      <c r="L8566" s="8" t="n"/>
      <c r="M8566" s="9">
        <f>B8566+30</f>
        <v/>
      </c>
      <c r="N8566">
        <f>IF(L8566="", "", L8566-B8566)</f>
        <v/>
      </c>
      <c r="O8566">
        <f>IF(L8566="", "Pending", IF(N8566&lt;=30, "Met", "Breached"))</f>
        <v/>
      </c>
      <c r="P8566" s="8" t="n"/>
      <c r="Q8566" s="8" t="n"/>
      <c r="R8566" s="8" t="n"/>
      <c r="S8566" s="8" t="n"/>
      <c r="T8566" s="8" t="n"/>
      <c r="U8566" s="8" t="n"/>
      <c r="V8566" s="8" t="n"/>
      <c r="W8566" s="8" t="n"/>
      <c r="X8566" s="8" t="n"/>
      <c r="Y8566" s="8" t="n"/>
    </row>
    <row r="8567">
      <c r="A8567" s="8" t="n"/>
      <c r="B8567" s="8" t="n"/>
      <c r="C8567" s="8" t="n"/>
      <c r="D8567" s="8" t="n"/>
      <c r="E8567" s="8" t="n"/>
      <c r="F8567" s="8" t="n"/>
      <c r="G8567" s="8" t="n"/>
      <c r="H8567" s="8" t="n"/>
      <c r="I8567" s="8" t="n"/>
      <c r="J8567" s="8" t="n"/>
      <c r="K8567" s="8" t="n"/>
      <c r="L8567" s="8" t="n"/>
      <c r="M8567" s="9">
        <f>B8567+30</f>
        <v/>
      </c>
      <c r="N8567">
        <f>IF(L8567="", "", L8567-B8567)</f>
        <v/>
      </c>
      <c r="O8567">
        <f>IF(L8567="", "Pending", IF(N8567&lt;=30, "Met", "Breached"))</f>
        <v/>
      </c>
      <c r="P8567" s="8" t="n"/>
      <c r="Q8567" s="8" t="n"/>
      <c r="R8567" s="8" t="n"/>
      <c r="S8567" s="8" t="n"/>
      <c r="T8567" s="8" t="n"/>
      <c r="U8567" s="8" t="n"/>
      <c r="V8567" s="8" t="n"/>
      <c r="W8567" s="8" t="n"/>
      <c r="X8567" s="8" t="n"/>
      <c r="Y8567" s="8" t="n"/>
    </row>
    <row r="8568">
      <c r="A8568" s="8" t="n"/>
      <c r="B8568" s="8" t="n"/>
      <c r="C8568" s="8" t="n"/>
      <c r="D8568" s="8" t="n"/>
      <c r="E8568" s="8" t="n"/>
      <c r="F8568" s="8" t="n"/>
      <c r="G8568" s="8" t="n"/>
      <c r="H8568" s="8" t="n"/>
      <c r="I8568" s="8" t="n"/>
      <c r="J8568" s="8" t="n"/>
      <c r="K8568" s="8" t="n"/>
      <c r="L8568" s="8" t="n"/>
      <c r="M8568" s="9">
        <f>B8568+30</f>
        <v/>
      </c>
      <c r="N8568">
        <f>IF(L8568="", "", L8568-B8568)</f>
        <v/>
      </c>
      <c r="O8568">
        <f>IF(L8568="", "Pending", IF(N8568&lt;=30, "Met", "Breached"))</f>
        <v/>
      </c>
      <c r="P8568" s="8" t="n"/>
      <c r="Q8568" s="8" t="n"/>
      <c r="R8568" s="8" t="n"/>
      <c r="S8568" s="8" t="n"/>
      <c r="T8568" s="8" t="n"/>
      <c r="U8568" s="8" t="n"/>
      <c r="V8568" s="8" t="n"/>
      <c r="W8568" s="8" t="n"/>
      <c r="X8568" s="8" t="n"/>
      <c r="Y8568" s="8" t="n"/>
    </row>
    <row r="8569">
      <c r="A8569" s="8" t="n"/>
      <c r="B8569" s="8" t="n"/>
      <c r="C8569" s="8" t="n"/>
      <c r="D8569" s="8" t="n"/>
      <c r="E8569" s="8" t="n"/>
      <c r="F8569" s="8" t="n"/>
      <c r="G8569" s="8" t="n"/>
      <c r="H8569" s="8" t="n"/>
      <c r="I8569" s="8" t="n"/>
      <c r="J8569" s="8" t="n"/>
      <c r="K8569" s="8" t="n"/>
      <c r="L8569" s="8" t="n"/>
      <c r="M8569" s="9">
        <f>B8569+30</f>
        <v/>
      </c>
      <c r="N8569">
        <f>IF(L8569="", "", L8569-B8569)</f>
        <v/>
      </c>
      <c r="O8569">
        <f>IF(L8569="", "Pending", IF(N8569&lt;=30, "Met", "Breached"))</f>
        <v/>
      </c>
      <c r="P8569" s="8" t="n"/>
      <c r="Q8569" s="8" t="n"/>
      <c r="R8569" s="8" t="n"/>
      <c r="S8569" s="8" t="n"/>
      <c r="T8569" s="8" t="n"/>
      <c r="U8569" s="8" t="n"/>
      <c r="V8569" s="8" t="n"/>
      <c r="W8569" s="8" t="n"/>
      <c r="X8569" s="8" t="n"/>
      <c r="Y8569" s="8" t="n"/>
    </row>
    <row r="8570">
      <c r="A8570" s="8" t="n"/>
      <c r="B8570" s="8" t="n"/>
      <c r="C8570" s="8" t="n"/>
      <c r="D8570" s="8" t="n"/>
      <c r="E8570" s="8" t="n"/>
      <c r="F8570" s="8" t="n"/>
      <c r="G8570" s="8" t="n"/>
      <c r="H8570" s="8" t="n"/>
      <c r="I8570" s="8" t="n"/>
      <c r="J8570" s="8" t="n"/>
      <c r="K8570" s="8" t="n"/>
      <c r="L8570" s="8" t="n"/>
      <c r="M8570" s="9">
        <f>B8570+30</f>
        <v/>
      </c>
      <c r="N8570">
        <f>IF(L8570="", "", L8570-B8570)</f>
        <v/>
      </c>
      <c r="O8570">
        <f>IF(L8570="", "Pending", IF(N8570&lt;=30, "Met", "Breached"))</f>
        <v/>
      </c>
      <c r="P8570" s="8" t="n"/>
      <c r="Q8570" s="8" t="n"/>
      <c r="R8570" s="8" t="n"/>
      <c r="S8570" s="8" t="n"/>
      <c r="T8570" s="8" t="n"/>
      <c r="U8570" s="8" t="n"/>
      <c r="V8570" s="8" t="n"/>
      <c r="W8570" s="8" t="n"/>
      <c r="X8570" s="8" t="n"/>
      <c r="Y8570" s="8" t="n"/>
    </row>
    <row r="8571">
      <c r="A8571" s="8" t="n"/>
      <c r="B8571" s="8" t="n"/>
      <c r="C8571" s="8" t="n"/>
      <c r="D8571" s="8" t="n"/>
      <c r="E8571" s="8" t="n"/>
      <c r="F8571" s="8" t="n"/>
      <c r="G8571" s="8" t="n"/>
      <c r="H8571" s="8" t="n"/>
      <c r="I8571" s="8" t="n"/>
      <c r="J8571" s="8" t="n"/>
      <c r="K8571" s="8" t="n"/>
      <c r="L8571" s="8" t="n"/>
      <c r="M8571" s="9">
        <f>B8571+30</f>
        <v/>
      </c>
      <c r="N8571">
        <f>IF(L8571="", "", L8571-B8571)</f>
        <v/>
      </c>
      <c r="O8571">
        <f>IF(L8571="", "Pending", IF(N8571&lt;=30, "Met", "Breached"))</f>
        <v/>
      </c>
      <c r="P8571" s="8" t="n"/>
      <c r="Q8571" s="8" t="n"/>
      <c r="R8571" s="8" t="n"/>
      <c r="S8571" s="8" t="n"/>
      <c r="T8571" s="8" t="n"/>
      <c r="U8571" s="8" t="n"/>
      <c r="V8571" s="8" t="n"/>
      <c r="W8571" s="8" t="n"/>
      <c r="X8571" s="8" t="n"/>
      <c r="Y8571" s="8" t="n"/>
    </row>
    <row r="8572">
      <c r="A8572" s="8" t="n"/>
      <c r="B8572" s="8" t="n"/>
      <c r="C8572" s="8" t="n"/>
      <c r="D8572" s="8" t="n"/>
      <c r="E8572" s="8" t="n"/>
      <c r="F8572" s="8" t="n"/>
      <c r="G8572" s="8" t="n"/>
      <c r="H8572" s="8" t="n"/>
      <c r="I8572" s="8" t="n"/>
      <c r="J8572" s="8" t="n"/>
      <c r="K8572" s="8" t="n"/>
      <c r="L8572" s="8" t="n"/>
      <c r="M8572" s="9">
        <f>B8572+30</f>
        <v/>
      </c>
      <c r="N8572">
        <f>IF(L8572="", "", L8572-B8572)</f>
        <v/>
      </c>
      <c r="O8572">
        <f>IF(L8572="", "Pending", IF(N8572&lt;=30, "Met", "Breached"))</f>
        <v/>
      </c>
      <c r="P8572" s="8" t="n"/>
      <c r="Q8572" s="8" t="n"/>
      <c r="R8572" s="8" t="n"/>
      <c r="S8572" s="8" t="n"/>
      <c r="T8572" s="8" t="n"/>
      <c r="U8572" s="8" t="n"/>
      <c r="V8572" s="8" t="n"/>
      <c r="W8572" s="8" t="n"/>
      <c r="X8572" s="8" t="n"/>
      <c r="Y8572" s="8" t="n"/>
    </row>
    <row r="8573">
      <c r="A8573" s="8" t="n"/>
      <c r="B8573" s="8" t="n"/>
      <c r="C8573" s="8" t="n"/>
      <c r="D8573" s="8" t="n"/>
      <c r="E8573" s="8" t="n"/>
      <c r="F8573" s="8" t="n"/>
      <c r="G8573" s="8" t="n"/>
      <c r="H8573" s="8" t="n"/>
      <c r="I8573" s="8" t="n"/>
      <c r="J8573" s="8" t="n"/>
      <c r="K8573" s="8" t="n"/>
      <c r="L8573" s="8" t="n"/>
      <c r="M8573" s="9">
        <f>B8573+30</f>
        <v/>
      </c>
      <c r="N8573">
        <f>IF(L8573="", "", L8573-B8573)</f>
        <v/>
      </c>
      <c r="O8573">
        <f>IF(L8573="", "Pending", IF(N8573&lt;=30, "Met", "Breached"))</f>
        <v/>
      </c>
      <c r="P8573" s="8" t="n"/>
      <c r="Q8573" s="8" t="n"/>
      <c r="R8573" s="8" t="n"/>
      <c r="S8573" s="8" t="n"/>
      <c r="T8573" s="8" t="n"/>
      <c r="U8573" s="8" t="n"/>
      <c r="V8573" s="8" t="n"/>
      <c r="W8573" s="8" t="n"/>
      <c r="X8573" s="8" t="n"/>
      <c r="Y8573" s="8" t="n"/>
    </row>
    <row r="8574">
      <c r="A8574" s="8" t="n"/>
      <c r="B8574" s="8" t="n"/>
      <c r="C8574" s="8" t="n"/>
      <c r="D8574" s="8" t="n"/>
      <c r="E8574" s="8" t="n"/>
      <c r="F8574" s="8" t="n"/>
      <c r="G8574" s="8" t="n"/>
      <c r="H8574" s="8" t="n"/>
      <c r="I8574" s="8" t="n"/>
      <c r="J8574" s="8" t="n"/>
      <c r="K8574" s="8" t="n"/>
      <c r="L8574" s="8" t="n"/>
      <c r="M8574" s="9">
        <f>B8574+30</f>
        <v/>
      </c>
      <c r="N8574">
        <f>IF(L8574="", "", L8574-B8574)</f>
        <v/>
      </c>
      <c r="O8574">
        <f>IF(L8574="", "Pending", IF(N8574&lt;=30, "Met", "Breached"))</f>
        <v/>
      </c>
      <c r="P8574" s="8" t="n"/>
      <c r="Q8574" s="8" t="n"/>
      <c r="R8574" s="8" t="n"/>
      <c r="S8574" s="8" t="n"/>
      <c r="T8574" s="8" t="n"/>
      <c r="U8574" s="8" t="n"/>
      <c r="V8574" s="8" t="n"/>
      <c r="W8574" s="8" t="n"/>
      <c r="X8574" s="8" t="n"/>
      <c r="Y8574" s="8" t="n"/>
    </row>
    <row r="8575">
      <c r="A8575" s="8" t="n"/>
      <c r="B8575" s="8" t="n"/>
      <c r="C8575" s="8" t="n"/>
      <c r="D8575" s="8" t="n"/>
      <c r="E8575" s="8" t="n"/>
      <c r="F8575" s="8" t="n"/>
      <c r="G8575" s="8" t="n"/>
      <c r="H8575" s="8" t="n"/>
      <c r="I8575" s="8" t="n"/>
      <c r="J8575" s="8" t="n"/>
      <c r="K8575" s="8" t="n"/>
      <c r="L8575" s="8" t="n"/>
      <c r="M8575" s="9">
        <f>B8575+30</f>
        <v/>
      </c>
      <c r="N8575">
        <f>IF(L8575="", "", L8575-B8575)</f>
        <v/>
      </c>
      <c r="O8575">
        <f>IF(L8575="", "Pending", IF(N8575&lt;=30, "Met", "Breached"))</f>
        <v/>
      </c>
      <c r="P8575" s="8" t="n"/>
      <c r="Q8575" s="8" t="n"/>
      <c r="R8575" s="8" t="n"/>
      <c r="S8575" s="8" t="n"/>
      <c r="T8575" s="8" t="n"/>
      <c r="U8575" s="8" t="n"/>
      <c r="V8575" s="8" t="n"/>
      <c r="W8575" s="8" t="n"/>
      <c r="X8575" s="8" t="n"/>
      <c r="Y8575" s="8" t="n"/>
    </row>
    <row r="8576">
      <c r="A8576" s="8" t="n"/>
      <c r="B8576" s="8" t="n"/>
      <c r="C8576" s="8" t="n"/>
      <c r="D8576" s="8" t="n"/>
      <c r="E8576" s="8" t="n"/>
      <c r="F8576" s="8" t="n"/>
      <c r="G8576" s="8" t="n"/>
      <c r="H8576" s="8" t="n"/>
      <c r="I8576" s="8" t="n"/>
      <c r="J8576" s="8" t="n"/>
      <c r="K8576" s="8" t="n"/>
      <c r="L8576" s="8" t="n"/>
      <c r="M8576" s="9">
        <f>B8576+30</f>
        <v/>
      </c>
      <c r="N8576">
        <f>IF(L8576="", "", L8576-B8576)</f>
        <v/>
      </c>
      <c r="O8576">
        <f>IF(L8576="", "Pending", IF(N8576&lt;=30, "Met", "Breached"))</f>
        <v/>
      </c>
      <c r="P8576" s="8" t="n"/>
      <c r="Q8576" s="8" t="n"/>
      <c r="R8576" s="8" t="n"/>
      <c r="S8576" s="8" t="n"/>
      <c r="T8576" s="8" t="n"/>
      <c r="U8576" s="8" t="n"/>
      <c r="V8576" s="8" t="n"/>
      <c r="W8576" s="8" t="n"/>
      <c r="X8576" s="8" t="n"/>
      <c r="Y8576" s="8" t="n"/>
    </row>
    <row r="8577">
      <c r="A8577" s="8" t="n"/>
      <c r="B8577" s="8" t="n"/>
      <c r="C8577" s="8" t="n"/>
      <c r="D8577" s="8" t="n"/>
      <c r="E8577" s="8" t="n"/>
      <c r="F8577" s="8" t="n"/>
      <c r="G8577" s="8" t="n"/>
      <c r="H8577" s="8" t="n"/>
      <c r="I8577" s="8" t="n"/>
      <c r="J8577" s="8" t="n"/>
      <c r="K8577" s="8" t="n"/>
      <c r="L8577" s="8" t="n"/>
      <c r="M8577" s="9">
        <f>B8577+30</f>
        <v/>
      </c>
      <c r="N8577">
        <f>IF(L8577="", "", L8577-B8577)</f>
        <v/>
      </c>
      <c r="O8577">
        <f>IF(L8577="", "Pending", IF(N8577&lt;=30, "Met", "Breached"))</f>
        <v/>
      </c>
      <c r="P8577" s="8" t="n"/>
      <c r="Q8577" s="8" t="n"/>
      <c r="R8577" s="8" t="n"/>
      <c r="S8577" s="8" t="n"/>
      <c r="T8577" s="8" t="n"/>
      <c r="U8577" s="8" t="n"/>
      <c r="V8577" s="8" t="n"/>
      <c r="W8577" s="8" t="n"/>
      <c r="X8577" s="8" t="n"/>
      <c r="Y8577" s="8" t="n"/>
    </row>
    <row r="8578">
      <c r="A8578" s="8" t="n"/>
      <c r="B8578" s="8" t="n"/>
      <c r="C8578" s="8" t="n"/>
      <c r="D8578" s="8" t="n"/>
      <c r="E8578" s="8" t="n"/>
      <c r="F8578" s="8" t="n"/>
      <c r="G8578" s="8" t="n"/>
      <c r="H8578" s="8" t="n"/>
      <c r="I8578" s="8" t="n"/>
      <c r="J8578" s="8" t="n"/>
      <c r="K8578" s="8" t="n"/>
      <c r="L8578" s="8" t="n"/>
      <c r="M8578" s="9">
        <f>B8578+30</f>
        <v/>
      </c>
      <c r="N8578">
        <f>IF(L8578="", "", L8578-B8578)</f>
        <v/>
      </c>
      <c r="O8578">
        <f>IF(L8578="", "Pending", IF(N8578&lt;=30, "Met", "Breached"))</f>
        <v/>
      </c>
      <c r="P8578" s="8" t="n"/>
      <c r="Q8578" s="8" t="n"/>
      <c r="R8578" s="8" t="n"/>
      <c r="S8578" s="8" t="n"/>
      <c r="T8578" s="8" t="n"/>
      <c r="U8578" s="8" t="n"/>
      <c r="V8578" s="8" t="n"/>
      <c r="W8578" s="8" t="n"/>
      <c r="X8578" s="8" t="n"/>
      <c r="Y8578" s="8" t="n"/>
    </row>
    <row r="8579">
      <c r="A8579" s="8" t="n"/>
      <c r="B8579" s="8" t="n"/>
      <c r="C8579" s="8" t="n"/>
      <c r="D8579" s="8" t="n"/>
      <c r="E8579" s="8" t="n"/>
      <c r="F8579" s="8" t="n"/>
      <c r="G8579" s="8" t="n"/>
      <c r="H8579" s="8" t="n"/>
      <c r="I8579" s="8" t="n"/>
      <c r="J8579" s="8" t="n"/>
      <c r="K8579" s="8" t="n"/>
      <c r="L8579" s="8" t="n"/>
      <c r="M8579" s="9">
        <f>B8579+30</f>
        <v/>
      </c>
      <c r="N8579">
        <f>IF(L8579="", "", L8579-B8579)</f>
        <v/>
      </c>
      <c r="O8579">
        <f>IF(L8579="", "Pending", IF(N8579&lt;=30, "Met", "Breached"))</f>
        <v/>
      </c>
      <c r="P8579" s="8" t="n"/>
      <c r="Q8579" s="8" t="n"/>
      <c r="R8579" s="8" t="n"/>
      <c r="S8579" s="8" t="n"/>
      <c r="T8579" s="8" t="n"/>
      <c r="U8579" s="8" t="n"/>
      <c r="V8579" s="8" t="n"/>
      <c r="W8579" s="8" t="n"/>
      <c r="X8579" s="8" t="n"/>
      <c r="Y8579" s="8" t="n"/>
    </row>
    <row r="8580">
      <c r="A8580" s="8" t="n"/>
      <c r="B8580" s="8" t="n"/>
      <c r="C8580" s="8" t="n"/>
      <c r="D8580" s="8" t="n"/>
      <c r="E8580" s="8" t="n"/>
      <c r="F8580" s="8" t="n"/>
      <c r="G8580" s="8" t="n"/>
      <c r="H8580" s="8" t="n"/>
      <c r="I8580" s="8" t="n"/>
      <c r="J8580" s="8" t="n"/>
      <c r="K8580" s="8" t="n"/>
      <c r="L8580" s="8" t="n"/>
      <c r="M8580" s="9">
        <f>B8580+30</f>
        <v/>
      </c>
      <c r="N8580">
        <f>IF(L8580="", "", L8580-B8580)</f>
        <v/>
      </c>
      <c r="O8580">
        <f>IF(L8580="", "Pending", IF(N8580&lt;=30, "Met", "Breached"))</f>
        <v/>
      </c>
      <c r="P8580" s="8" t="n"/>
      <c r="Q8580" s="8" t="n"/>
      <c r="R8580" s="8" t="n"/>
      <c r="S8580" s="8" t="n"/>
      <c r="T8580" s="8" t="n"/>
      <c r="U8580" s="8" t="n"/>
      <c r="V8580" s="8" t="n"/>
      <c r="W8580" s="8" t="n"/>
      <c r="X8580" s="8" t="n"/>
      <c r="Y8580" s="8" t="n"/>
    </row>
    <row r="8581">
      <c r="A8581" s="8" t="n"/>
      <c r="B8581" s="8" t="n"/>
      <c r="C8581" s="8" t="n"/>
      <c r="D8581" s="8" t="n"/>
      <c r="E8581" s="8" t="n"/>
      <c r="F8581" s="8" t="n"/>
      <c r="G8581" s="8" t="n"/>
      <c r="H8581" s="8" t="n"/>
      <c r="I8581" s="8" t="n"/>
      <c r="J8581" s="8" t="n"/>
      <c r="K8581" s="8" t="n"/>
      <c r="L8581" s="8" t="n"/>
      <c r="M8581" s="9">
        <f>B8581+30</f>
        <v/>
      </c>
      <c r="N8581">
        <f>IF(L8581="", "", L8581-B8581)</f>
        <v/>
      </c>
      <c r="O8581">
        <f>IF(L8581="", "Pending", IF(N8581&lt;=30, "Met", "Breached"))</f>
        <v/>
      </c>
      <c r="P8581" s="8" t="n"/>
      <c r="Q8581" s="8" t="n"/>
      <c r="R8581" s="8" t="n"/>
      <c r="S8581" s="8" t="n"/>
      <c r="T8581" s="8" t="n"/>
      <c r="U8581" s="8" t="n"/>
      <c r="V8581" s="8" t="n"/>
      <c r="W8581" s="8" t="n"/>
      <c r="X8581" s="8" t="n"/>
      <c r="Y8581" s="8" t="n"/>
    </row>
    <row r="8582">
      <c r="A8582" s="8" t="n"/>
      <c r="B8582" s="8" t="n"/>
      <c r="C8582" s="8" t="n"/>
      <c r="D8582" s="8" t="n"/>
      <c r="E8582" s="8" t="n"/>
      <c r="F8582" s="8" t="n"/>
      <c r="G8582" s="8" t="n"/>
      <c r="H8582" s="8" t="n"/>
      <c r="I8582" s="8" t="n"/>
      <c r="J8582" s="8" t="n"/>
      <c r="K8582" s="8" t="n"/>
      <c r="L8582" s="8" t="n"/>
      <c r="M8582" s="9">
        <f>B8582+30</f>
        <v/>
      </c>
      <c r="N8582">
        <f>IF(L8582="", "", L8582-B8582)</f>
        <v/>
      </c>
      <c r="O8582">
        <f>IF(L8582="", "Pending", IF(N8582&lt;=30, "Met", "Breached"))</f>
        <v/>
      </c>
      <c r="P8582" s="8" t="n"/>
      <c r="Q8582" s="8" t="n"/>
      <c r="R8582" s="8" t="n"/>
      <c r="S8582" s="8" t="n"/>
      <c r="T8582" s="8" t="n"/>
      <c r="U8582" s="8" t="n"/>
      <c r="V8582" s="8" t="n"/>
      <c r="W8582" s="8" t="n"/>
      <c r="X8582" s="8" t="n"/>
      <c r="Y8582" s="8" t="n"/>
    </row>
    <row r="8583">
      <c r="A8583" s="8" t="n"/>
      <c r="B8583" s="8" t="n"/>
      <c r="C8583" s="8" t="n"/>
      <c r="D8583" s="8" t="n"/>
      <c r="E8583" s="8" t="n"/>
      <c r="F8583" s="8" t="n"/>
      <c r="G8583" s="8" t="n"/>
      <c r="H8583" s="8" t="n"/>
      <c r="I8583" s="8" t="n"/>
      <c r="J8583" s="8" t="n"/>
      <c r="K8583" s="8" t="n"/>
      <c r="L8583" s="8" t="n"/>
      <c r="M8583" s="9">
        <f>B8583+30</f>
        <v/>
      </c>
      <c r="N8583">
        <f>IF(L8583="", "", L8583-B8583)</f>
        <v/>
      </c>
      <c r="O8583">
        <f>IF(L8583="", "Pending", IF(N8583&lt;=30, "Met", "Breached"))</f>
        <v/>
      </c>
      <c r="P8583" s="8" t="n"/>
      <c r="Q8583" s="8" t="n"/>
      <c r="R8583" s="8" t="n"/>
      <c r="S8583" s="8" t="n"/>
      <c r="T8583" s="8" t="n"/>
      <c r="U8583" s="8" t="n"/>
      <c r="V8583" s="8" t="n"/>
      <c r="W8583" s="8" t="n"/>
      <c r="X8583" s="8" t="n"/>
      <c r="Y8583" s="8" t="n"/>
    </row>
    <row r="8584">
      <c r="A8584" s="8" t="n"/>
      <c r="B8584" s="8" t="n"/>
      <c r="C8584" s="8" t="n"/>
      <c r="D8584" s="8" t="n"/>
      <c r="E8584" s="8" t="n"/>
      <c r="F8584" s="8" t="n"/>
      <c r="G8584" s="8" t="n"/>
      <c r="H8584" s="8" t="n"/>
      <c r="I8584" s="8" t="n"/>
      <c r="J8584" s="8" t="n"/>
      <c r="K8584" s="8" t="n"/>
      <c r="L8584" s="8" t="n"/>
      <c r="M8584" s="9">
        <f>B8584+30</f>
        <v/>
      </c>
      <c r="N8584">
        <f>IF(L8584="", "", L8584-B8584)</f>
        <v/>
      </c>
      <c r="O8584">
        <f>IF(L8584="", "Pending", IF(N8584&lt;=30, "Met", "Breached"))</f>
        <v/>
      </c>
      <c r="P8584" s="8" t="n"/>
      <c r="Q8584" s="8" t="n"/>
      <c r="R8584" s="8" t="n"/>
      <c r="S8584" s="8" t="n"/>
      <c r="T8584" s="8" t="n"/>
      <c r="U8584" s="8" t="n"/>
      <c r="V8584" s="8" t="n"/>
      <c r="W8584" s="8" t="n"/>
      <c r="X8584" s="8" t="n"/>
      <c r="Y8584" s="8" t="n"/>
    </row>
    <row r="8585">
      <c r="A8585" s="8" t="n"/>
      <c r="B8585" s="8" t="n"/>
      <c r="C8585" s="8" t="n"/>
      <c r="D8585" s="8" t="n"/>
      <c r="E8585" s="8" t="n"/>
      <c r="F8585" s="8" t="n"/>
      <c r="G8585" s="8" t="n"/>
      <c r="H8585" s="8" t="n"/>
      <c r="I8585" s="8" t="n"/>
      <c r="J8585" s="8" t="n"/>
      <c r="K8585" s="8" t="n"/>
      <c r="L8585" s="8" t="n"/>
      <c r="M8585" s="9">
        <f>B8585+30</f>
        <v/>
      </c>
      <c r="N8585">
        <f>IF(L8585="", "", L8585-B8585)</f>
        <v/>
      </c>
      <c r="O8585">
        <f>IF(L8585="", "Pending", IF(N8585&lt;=30, "Met", "Breached"))</f>
        <v/>
      </c>
      <c r="P8585" s="8" t="n"/>
      <c r="Q8585" s="8" t="n"/>
      <c r="R8585" s="8" t="n"/>
      <c r="S8585" s="8" t="n"/>
      <c r="T8585" s="8" t="n"/>
      <c r="U8585" s="8" t="n"/>
      <c r="V8585" s="8" t="n"/>
      <c r="W8585" s="8" t="n"/>
      <c r="X8585" s="8" t="n"/>
      <c r="Y8585" s="8" t="n"/>
    </row>
    <row r="8586">
      <c r="A8586" s="8" t="n"/>
      <c r="B8586" s="8" t="n"/>
      <c r="C8586" s="8" t="n"/>
      <c r="D8586" s="8" t="n"/>
      <c r="E8586" s="8" t="n"/>
      <c r="F8586" s="8" t="n"/>
      <c r="G8586" s="8" t="n"/>
      <c r="H8586" s="8" t="n"/>
      <c r="I8586" s="8" t="n"/>
      <c r="J8586" s="8" t="n"/>
      <c r="K8586" s="8" t="n"/>
      <c r="L8586" s="8" t="n"/>
      <c r="M8586" s="9">
        <f>B8586+30</f>
        <v/>
      </c>
      <c r="N8586">
        <f>IF(L8586="", "", L8586-B8586)</f>
        <v/>
      </c>
      <c r="O8586">
        <f>IF(L8586="", "Pending", IF(N8586&lt;=30, "Met", "Breached"))</f>
        <v/>
      </c>
      <c r="P8586" s="8" t="n"/>
      <c r="Q8586" s="8" t="n"/>
      <c r="R8586" s="8" t="n"/>
      <c r="S8586" s="8" t="n"/>
      <c r="T8586" s="8" t="n"/>
      <c r="U8586" s="8" t="n"/>
      <c r="V8586" s="8" t="n"/>
      <c r="W8586" s="8" t="n"/>
      <c r="X8586" s="8" t="n"/>
      <c r="Y8586" s="8" t="n"/>
    </row>
    <row r="8587">
      <c r="A8587" s="8" t="n"/>
      <c r="B8587" s="8" t="n"/>
      <c r="C8587" s="8" t="n"/>
      <c r="D8587" s="8" t="n"/>
      <c r="E8587" s="8" t="n"/>
      <c r="F8587" s="8" t="n"/>
      <c r="G8587" s="8" t="n"/>
      <c r="H8587" s="8" t="n"/>
      <c r="I8587" s="8" t="n"/>
      <c r="J8587" s="8" t="n"/>
      <c r="K8587" s="8" t="n"/>
      <c r="L8587" s="8" t="n"/>
      <c r="M8587" s="9">
        <f>B8587+30</f>
        <v/>
      </c>
      <c r="N8587">
        <f>IF(L8587="", "", L8587-B8587)</f>
        <v/>
      </c>
      <c r="O8587">
        <f>IF(L8587="", "Pending", IF(N8587&lt;=30, "Met", "Breached"))</f>
        <v/>
      </c>
      <c r="P8587" s="8" t="n"/>
      <c r="Q8587" s="8" t="n"/>
      <c r="R8587" s="8" t="n"/>
      <c r="S8587" s="8" t="n"/>
      <c r="T8587" s="8" t="n"/>
      <c r="U8587" s="8" t="n"/>
      <c r="V8587" s="8" t="n"/>
      <c r="W8587" s="8" t="n"/>
      <c r="X8587" s="8" t="n"/>
      <c r="Y8587" s="8" t="n"/>
    </row>
    <row r="8588">
      <c r="A8588" s="8" t="n"/>
      <c r="B8588" s="8" t="n"/>
      <c r="C8588" s="8" t="n"/>
      <c r="D8588" s="8" t="n"/>
      <c r="E8588" s="8" t="n"/>
      <c r="F8588" s="8" t="n"/>
      <c r="G8588" s="8" t="n"/>
      <c r="H8588" s="8" t="n"/>
      <c r="I8588" s="8" t="n"/>
      <c r="J8588" s="8" t="n"/>
      <c r="K8588" s="8" t="n"/>
      <c r="L8588" s="8" t="n"/>
      <c r="M8588" s="9">
        <f>B8588+30</f>
        <v/>
      </c>
      <c r="N8588">
        <f>IF(L8588="", "", L8588-B8588)</f>
        <v/>
      </c>
      <c r="O8588">
        <f>IF(L8588="", "Pending", IF(N8588&lt;=30, "Met", "Breached"))</f>
        <v/>
      </c>
      <c r="P8588" s="8" t="n"/>
      <c r="Q8588" s="8" t="n"/>
      <c r="R8588" s="8" t="n"/>
      <c r="S8588" s="8" t="n"/>
      <c r="T8588" s="8" t="n"/>
      <c r="U8588" s="8" t="n"/>
      <c r="V8588" s="8" t="n"/>
      <c r="W8588" s="8" t="n"/>
      <c r="X8588" s="8" t="n"/>
      <c r="Y8588" s="8" t="n"/>
    </row>
    <row r="8589">
      <c r="A8589" s="8" t="n"/>
      <c r="B8589" s="8" t="n"/>
      <c r="C8589" s="8" t="n"/>
      <c r="D8589" s="8" t="n"/>
      <c r="E8589" s="8" t="n"/>
      <c r="F8589" s="8" t="n"/>
      <c r="G8589" s="8" t="n"/>
      <c r="H8589" s="8" t="n"/>
      <c r="I8589" s="8" t="n"/>
      <c r="J8589" s="8" t="n"/>
      <c r="K8589" s="8" t="n"/>
      <c r="L8589" s="8" t="n"/>
      <c r="M8589" s="9">
        <f>B8589+30</f>
        <v/>
      </c>
      <c r="N8589">
        <f>IF(L8589="", "", L8589-B8589)</f>
        <v/>
      </c>
      <c r="O8589">
        <f>IF(L8589="", "Pending", IF(N8589&lt;=30, "Met", "Breached"))</f>
        <v/>
      </c>
      <c r="P8589" s="8" t="n"/>
      <c r="Q8589" s="8" t="n"/>
      <c r="R8589" s="8" t="n"/>
      <c r="S8589" s="8" t="n"/>
      <c r="T8589" s="8" t="n"/>
      <c r="U8589" s="8" t="n"/>
      <c r="V8589" s="8" t="n"/>
      <c r="W8589" s="8" t="n"/>
      <c r="X8589" s="8" t="n"/>
      <c r="Y8589" s="8" t="n"/>
    </row>
    <row r="8590">
      <c r="A8590" s="8" t="n"/>
      <c r="B8590" s="8" t="n"/>
      <c r="C8590" s="8" t="n"/>
      <c r="D8590" s="8" t="n"/>
      <c r="E8590" s="8" t="n"/>
      <c r="F8590" s="8" t="n"/>
      <c r="G8590" s="8" t="n"/>
      <c r="H8590" s="8" t="n"/>
      <c r="I8590" s="8" t="n"/>
      <c r="J8590" s="8" t="n"/>
      <c r="K8590" s="8" t="n"/>
      <c r="L8590" s="8" t="n"/>
      <c r="M8590" s="9">
        <f>B8590+30</f>
        <v/>
      </c>
      <c r="N8590">
        <f>IF(L8590="", "", L8590-B8590)</f>
        <v/>
      </c>
      <c r="O8590">
        <f>IF(L8590="", "Pending", IF(N8590&lt;=30, "Met", "Breached"))</f>
        <v/>
      </c>
      <c r="P8590" s="8" t="n"/>
      <c r="Q8590" s="8" t="n"/>
      <c r="R8590" s="8" t="n"/>
      <c r="S8590" s="8" t="n"/>
      <c r="T8590" s="8" t="n"/>
      <c r="U8590" s="8" t="n"/>
      <c r="V8590" s="8" t="n"/>
      <c r="W8590" s="8" t="n"/>
      <c r="X8590" s="8" t="n"/>
      <c r="Y8590" s="8" t="n"/>
    </row>
    <row r="8591">
      <c r="A8591" s="8" t="n"/>
      <c r="B8591" s="8" t="n"/>
      <c r="C8591" s="8" t="n"/>
      <c r="D8591" s="8" t="n"/>
      <c r="E8591" s="8" t="n"/>
      <c r="F8591" s="8" t="n"/>
      <c r="G8591" s="8" t="n"/>
      <c r="H8591" s="8" t="n"/>
      <c r="I8591" s="8" t="n"/>
      <c r="J8591" s="8" t="n"/>
      <c r="K8591" s="8" t="n"/>
      <c r="L8591" s="8" t="n"/>
      <c r="M8591" s="9">
        <f>B8591+30</f>
        <v/>
      </c>
      <c r="N8591">
        <f>IF(L8591="", "", L8591-B8591)</f>
        <v/>
      </c>
      <c r="O8591">
        <f>IF(L8591="", "Pending", IF(N8591&lt;=30, "Met", "Breached"))</f>
        <v/>
      </c>
      <c r="P8591" s="8" t="n"/>
      <c r="Q8591" s="8" t="n"/>
      <c r="R8591" s="8" t="n"/>
      <c r="S8591" s="8" t="n"/>
      <c r="T8591" s="8" t="n"/>
      <c r="U8591" s="8" t="n"/>
      <c r="V8591" s="8" t="n"/>
      <c r="W8591" s="8" t="n"/>
      <c r="X8591" s="8" t="n"/>
      <c r="Y8591" s="8" t="n"/>
    </row>
    <row r="8592">
      <c r="A8592" s="8" t="n"/>
      <c r="B8592" s="8" t="n"/>
      <c r="C8592" s="8" t="n"/>
      <c r="D8592" s="8" t="n"/>
      <c r="E8592" s="8" t="n"/>
      <c r="F8592" s="8" t="n"/>
      <c r="G8592" s="8" t="n"/>
      <c r="H8592" s="8" t="n"/>
      <c r="I8592" s="8" t="n"/>
      <c r="J8592" s="8" t="n"/>
      <c r="K8592" s="8" t="n"/>
      <c r="L8592" s="8" t="n"/>
      <c r="M8592" s="9">
        <f>B8592+30</f>
        <v/>
      </c>
      <c r="N8592">
        <f>IF(L8592="", "", L8592-B8592)</f>
        <v/>
      </c>
      <c r="O8592">
        <f>IF(L8592="", "Pending", IF(N8592&lt;=30, "Met", "Breached"))</f>
        <v/>
      </c>
      <c r="P8592" s="8" t="n"/>
      <c r="Q8592" s="8" t="n"/>
      <c r="R8592" s="8" t="n"/>
      <c r="S8592" s="8" t="n"/>
      <c r="T8592" s="8" t="n"/>
      <c r="U8592" s="8" t="n"/>
      <c r="V8592" s="8" t="n"/>
      <c r="W8592" s="8" t="n"/>
      <c r="X8592" s="8" t="n"/>
      <c r="Y8592" s="8" t="n"/>
    </row>
    <row r="8593">
      <c r="A8593" s="8" t="n"/>
      <c r="B8593" s="8" t="n"/>
      <c r="C8593" s="8" t="n"/>
      <c r="D8593" s="8" t="n"/>
      <c r="E8593" s="8" t="n"/>
      <c r="F8593" s="8" t="n"/>
      <c r="G8593" s="8" t="n"/>
      <c r="H8593" s="8" t="n"/>
      <c r="I8593" s="8" t="n"/>
      <c r="J8593" s="8" t="n"/>
      <c r="K8593" s="8" t="n"/>
      <c r="L8593" s="8" t="n"/>
      <c r="M8593" s="9">
        <f>B8593+30</f>
        <v/>
      </c>
      <c r="N8593">
        <f>IF(L8593="", "", L8593-B8593)</f>
        <v/>
      </c>
      <c r="O8593">
        <f>IF(L8593="", "Pending", IF(N8593&lt;=30, "Met", "Breached"))</f>
        <v/>
      </c>
      <c r="P8593" s="8" t="n"/>
      <c r="Q8593" s="8" t="n"/>
      <c r="R8593" s="8" t="n"/>
      <c r="S8593" s="8" t="n"/>
      <c r="T8593" s="8" t="n"/>
      <c r="U8593" s="8" t="n"/>
      <c r="V8593" s="8" t="n"/>
      <c r="W8593" s="8" t="n"/>
      <c r="X8593" s="8" t="n"/>
      <c r="Y8593" s="8" t="n"/>
    </row>
    <row r="8594">
      <c r="A8594" s="8" t="n"/>
      <c r="B8594" s="8" t="n"/>
      <c r="C8594" s="8" t="n"/>
      <c r="D8594" s="8" t="n"/>
      <c r="E8594" s="8" t="n"/>
      <c r="F8594" s="8" t="n"/>
      <c r="G8594" s="8" t="n"/>
      <c r="H8594" s="8" t="n"/>
      <c r="I8594" s="8" t="n"/>
      <c r="J8594" s="8" t="n"/>
      <c r="K8594" s="8" t="n"/>
      <c r="L8594" s="8" t="n"/>
      <c r="M8594" s="9">
        <f>B8594+30</f>
        <v/>
      </c>
      <c r="N8594">
        <f>IF(L8594="", "", L8594-B8594)</f>
        <v/>
      </c>
      <c r="O8594">
        <f>IF(L8594="", "Pending", IF(N8594&lt;=30, "Met", "Breached"))</f>
        <v/>
      </c>
      <c r="P8594" s="8" t="n"/>
      <c r="Q8594" s="8" t="n"/>
      <c r="R8594" s="8" t="n"/>
      <c r="S8594" s="8" t="n"/>
      <c r="T8594" s="8" t="n"/>
      <c r="U8594" s="8" t="n"/>
      <c r="V8594" s="8" t="n"/>
      <c r="W8594" s="8" t="n"/>
      <c r="X8594" s="8" t="n"/>
      <c r="Y8594" s="8" t="n"/>
    </row>
    <row r="8595">
      <c r="A8595" s="8" t="n"/>
      <c r="B8595" s="8" t="n"/>
      <c r="C8595" s="8" t="n"/>
      <c r="D8595" s="8" t="n"/>
      <c r="E8595" s="8" t="n"/>
      <c r="F8595" s="8" t="n"/>
      <c r="G8595" s="8" t="n"/>
      <c r="H8595" s="8" t="n"/>
      <c r="I8595" s="8" t="n"/>
      <c r="J8595" s="8" t="n"/>
      <c r="K8595" s="8" t="n"/>
      <c r="L8595" s="8" t="n"/>
      <c r="M8595" s="9">
        <f>B8595+30</f>
        <v/>
      </c>
      <c r="N8595">
        <f>IF(L8595="", "", L8595-B8595)</f>
        <v/>
      </c>
      <c r="O8595">
        <f>IF(L8595="", "Pending", IF(N8595&lt;=30, "Met", "Breached"))</f>
        <v/>
      </c>
      <c r="P8595" s="8" t="n"/>
      <c r="Q8595" s="8" t="n"/>
      <c r="R8595" s="8" t="n"/>
      <c r="S8595" s="8" t="n"/>
      <c r="T8595" s="8" t="n"/>
      <c r="U8595" s="8" t="n"/>
      <c r="V8595" s="8" t="n"/>
      <c r="W8595" s="8" t="n"/>
      <c r="X8595" s="8" t="n"/>
      <c r="Y8595" s="8" t="n"/>
    </row>
    <row r="8596">
      <c r="A8596" s="8" t="n"/>
      <c r="B8596" s="8" t="n"/>
      <c r="C8596" s="8" t="n"/>
      <c r="D8596" s="8" t="n"/>
      <c r="E8596" s="8" t="n"/>
      <c r="F8596" s="8" t="n"/>
      <c r="G8596" s="8" t="n"/>
      <c r="H8596" s="8" t="n"/>
      <c r="I8596" s="8" t="n"/>
      <c r="J8596" s="8" t="n"/>
      <c r="K8596" s="8" t="n"/>
      <c r="L8596" s="8" t="n"/>
      <c r="M8596" s="9">
        <f>B8596+30</f>
        <v/>
      </c>
      <c r="N8596">
        <f>IF(L8596="", "", L8596-B8596)</f>
        <v/>
      </c>
      <c r="O8596">
        <f>IF(L8596="", "Pending", IF(N8596&lt;=30, "Met", "Breached"))</f>
        <v/>
      </c>
      <c r="P8596" s="8" t="n"/>
      <c r="Q8596" s="8" t="n"/>
      <c r="R8596" s="8" t="n"/>
      <c r="S8596" s="8" t="n"/>
      <c r="T8596" s="8" t="n"/>
      <c r="U8596" s="8" t="n"/>
      <c r="V8596" s="8" t="n"/>
      <c r="W8596" s="8" t="n"/>
      <c r="X8596" s="8" t="n"/>
      <c r="Y8596" s="8" t="n"/>
    </row>
    <row r="8597">
      <c r="A8597" s="8" t="n"/>
      <c r="B8597" s="8" t="n"/>
      <c r="C8597" s="8" t="n"/>
      <c r="D8597" s="8" t="n"/>
      <c r="E8597" s="8" t="n"/>
      <c r="F8597" s="8" t="n"/>
      <c r="G8597" s="8" t="n"/>
      <c r="H8597" s="8" t="n"/>
      <c r="I8597" s="8" t="n"/>
      <c r="J8597" s="8" t="n"/>
      <c r="K8597" s="8" t="n"/>
      <c r="L8597" s="8" t="n"/>
      <c r="M8597" s="9">
        <f>B8597+30</f>
        <v/>
      </c>
      <c r="N8597">
        <f>IF(L8597="", "", L8597-B8597)</f>
        <v/>
      </c>
      <c r="O8597">
        <f>IF(L8597="", "Pending", IF(N8597&lt;=30, "Met", "Breached"))</f>
        <v/>
      </c>
      <c r="P8597" s="8" t="n"/>
      <c r="Q8597" s="8" t="n"/>
      <c r="R8597" s="8" t="n"/>
      <c r="S8597" s="8" t="n"/>
      <c r="T8597" s="8" t="n"/>
      <c r="U8597" s="8" t="n"/>
      <c r="V8597" s="8" t="n"/>
      <c r="W8597" s="8" t="n"/>
      <c r="X8597" s="8" t="n"/>
      <c r="Y8597" s="8" t="n"/>
    </row>
    <row r="8598">
      <c r="A8598" s="8" t="n"/>
      <c r="B8598" s="8" t="n"/>
      <c r="C8598" s="8" t="n"/>
      <c r="D8598" s="8" t="n"/>
      <c r="E8598" s="8" t="n"/>
      <c r="F8598" s="8" t="n"/>
      <c r="G8598" s="8" t="n"/>
      <c r="H8598" s="8" t="n"/>
      <c r="I8598" s="8" t="n"/>
      <c r="J8598" s="8" t="n"/>
      <c r="K8598" s="8" t="n"/>
      <c r="L8598" s="8" t="n"/>
      <c r="M8598" s="9">
        <f>B8598+30</f>
        <v/>
      </c>
      <c r="N8598">
        <f>IF(L8598="", "", L8598-B8598)</f>
        <v/>
      </c>
      <c r="O8598">
        <f>IF(L8598="", "Pending", IF(N8598&lt;=30, "Met", "Breached"))</f>
        <v/>
      </c>
      <c r="P8598" s="8" t="n"/>
      <c r="Q8598" s="8" t="n"/>
      <c r="R8598" s="8" t="n"/>
      <c r="S8598" s="8" t="n"/>
      <c r="T8598" s="8" t="n"/>
      <c r="U8598" s="8" t="n"/>
      <c r="V8598" s="8" t="n"/>
      <c r="W8598" s="8" t="n"/>
      <c r="X8598" s="8" t="n"/>
      <c r="Y8598" s="8" t="n"/>
    </row>
    <row r="8599">
      <c r="A8599" s="8" t="n"/>
      <c r="B8599" s="8" t="n"/>
      <c r="C8599" s="8" t="n"/>
      <c r="D8599" s="8" t="n"/>
      <c r="E8599" s="8" t="n"/>
      <c r="F8599" s="8" t="n"/>
      <c r="G8599" s="8" t="n"/>
      <c r="H8599" s="8" t="n"/>
      <c r="I8599" s="8" t="n"/>
      <c r="J8599" s="8" t="n"/>
      <c r="K8599" s="8" t="n"/>
      <c r="L8599" s="8" t="n"/>
      <c r="M8599" s="9">
        <f>B8599+30</f>
        <v/>
      </c>
      <c r="N8599">
        <f>IF(L8599="", "", L8599-B8599)</f>
        <v/>
      </c>
      <c r="O8599">
        <f>IF(L8599="", "Pending", IF(N8599&lt;=30, "Met", "Breached"))</f>
        <v/>
      </c>
      <c r="P8599" s="8" t="n"/>
      <c r="Q8599" s="8" t="n"/>
      <c r="R8599" s="8" t="n"/>
      <c r="S8599" s="8" t="n"/>
      <c r="T8599" s="8" t="n"/>
      <c r="U8599" s="8" t="n"/>
      <c r="V8599" s="8" t="n"/>
      <c r="W8599" s="8" t="n"/>
      <c r="X8599" s="8" t="n"/>
      <c r="Y8599" s="8" t="n"/>
    </row>
    <row r="8600">
      <c r="A8600" s="8" t="n"/>
      <c r="B8600" s="8" t="n"/>
      <c r="C8600" s="8" t="n"/>
      <c r="D8600" s="8" t="n"/>
      <c r="E8600" s="8" t="n"/>
      <c r="F8600" s="8" t="n"/>
      <c r="G8600" s="8" t="n"/>
      <c r="H8600" s="8" t="n"/>
      <c r="I8600" s="8" t="n"/>
      <c r="J8600" s="8" t="n"/>
      <c r="K8600" s="8" t="n"/>
      <c r="L8600" s="8" t="n"/>
      <c r="M8600" s="9">
        <f>B8600+30</f>
        <v/>
      </c>
      <c r="N8600">
        <f>IF(L8600="", "", L8600-B8600)</f>
        <v/>
      </c>
      <c r="O8600">
        <f>IF(L8600="", "Pending", IF(N8600&lt;=30, "Met", "Breached"))</f>
        <v/>
      </c>
      <c r="P8600" s="8" t="n"/>
      <c r="Q8600" s="8" t="n"/>
      <c r="R8600" s="8" t="n"/>
      <c r="S8600" s="8" t="n"/>
      <c r="T8600" s="8" t="n"/>
      <c r="U8600" s="8" t="n"/>
      <c r="V8600" s="8" t="n"/>
      <c r="W8600" s="8" t="n"/>
      <c r="X8600" s="8" t="n"/>
      <c r="Y8600" s="8" t="n"/>
    </row>
    <row r="8601">
      <c r="A8601" s="8" t="n"/>
      <c r="B8601" s="8" t="n"/>
      <c r="C8601" s="8" t="n"/>
      <c r="D8601" s="8" t="n"/>
      <c r="E8601" s="8" t="n"/>
      <c r="F8601" s="8" t="n"/>
      <c r="G8601" s="8" t="n"/>
      <c r="H8601" s="8" t="n"/>
      <c r="I8601" s="8" t="n"/>
      <c r="J8601" s="8" t="n"/>
      <c r="K8601" s="8" t="n"/>
      <c r="L8601" s="8" t="n"/>
      <c r="M8601" s="9">
        <f>B8601+30</f>
        <v/>
      </c>
      <c r="N8601">
        <f>IF(L8601="", "", L8601-B8601)</f>
        <v/>
      </c>
      <c r="O8601">
        <f>IF(L8601="", "Pending", IF(N8601&lt;=30, "Met", "Breached"))</f>
        <v/>
      </c>
      <c r="P8601" s="8" t="n"/>
      <c r="Q8601" s="8" t="n"/>
      <c r="R8601" s="8" t="n"/>
      <c r="S8601" s="8" t="n"/>
      <c r="T8601" s="8" t="n"/>
      <c r="U8601" s="8" t="n"/>
      <c r="V8601" s="8" t="n"/>
      <c r="W8601" s="8" t="n"/>
      <c r="X8601" s="8" t="n"/>
      <c r="Y8601" s="8" t="n"/>
    </row>
    <row r="8602">
      <c r="A8602" s="8" t="n"/>
      <c r="B8602" s="8" t="n"/>
      <c r="C8602" s="8" t="n"/>
      <c r="D8602" s="8" t="n"/>
      <c r="E8602" s="8" t="n"/>
      <c r="F8602" s="8" t="n"/>
      <c r="G8602" s="8" t="n"/>
      <c r="H8602" s="8" t="n"/>
      <c r="I8602" s="8" t="n"/>
      <c r="J8602" s="8" t="n"/>
      <c r="K8602" s="8" t="n"/>
      <c r="L8602" s="8" t="n"/>
      <c r="M8602" s="9">
        <f>B8602+30</f>
        <v/>
      </c>
      <c r="N8602">
        <f>IF(L8602="", "", L8602-B8602)</f>
        <v/>
      </c>
      <c r="O8602">
        <f>IF(L8602="", "Pending", IF(N8602&lt;=30, "Met", "Breached"))</f>
        <v/>
      </c>
      <c r="P8602" s="8" t="n"/>
      <c r="Q8602" s="8" t="n"/>
      <c r="R8602" s="8" t="n"/>
      <c r="S8602" s="8" t="n"/>
      <c r="T8602" s="8" t="n"/>
      <c r="U8602" s="8" t="n"/>
      <c r="V8602" s="8" t="n"/>
      <c r="W8602" s="8" t="n"/>
      <c r="X8602" s="8" t="n"/>
      <c r="Y8602" s="8" t="n"/>
    </row>
    <row r="8603">
      <c r="A8603" s="8" t="n"/>
      <c r="B8603" s="8" t="n"/>
      <c r="C8603" s="8" t="n"/>
      <c r="D8603" s="8" t="n"/>
      <c r="E8603" s="8" t="n"/>
      <c r="F8603" s="8" t="n"/>
      <c r="G8603" s="8" t="n"/>
      <c r="H8603" s="8" t="n"/>
      <c r="I8603" s="8" t="n"/>
      <c r="J8603" s="8" t="n"/>
      <c r="K8603" s="8" t="n"/>
      <c r="L8603" s="8" t="n"/>
      <c r="M8603" s="9">
        <f>B8603+30</f>
        <v/>
      </c>
      <c r="N8603">
        <f>IF(L8603="", "", L8603-B8603)</f>
        <v/>
      </c>
      <c r="O8603">
        <f>IF(L8603="", "Pending", IF(N8603&lt;=30, "Met", "Breached"))</f>
        <v/>
      </c>
      <c r="P8603" s="8" t="n"/>
      <c r="Q8603" s="8" t="n"/>
      <c r="R8603" s="8" t="n"/>
      <c r="S8603" s="8" t="n"/>
      <c r="T8603" s="8" t="n"/>
      <c r="U8603" s="8" t="n"/>
      <c r="V8603" s="8" t="n"/>
      <c r="W8603" s="8" t="n"/>
      <c r="X8603" s="8" t="n"/>
      <c r="Y8603" s="8" t="n"/>
    </row>
    <row r="8604">
      <c r="A8604" s="8" t="n"/>
      <c r="B8604" s="8" t="n"/>
      <c r="C8604" s="8" t="n"/>
      <c r="D8604" s="8" t="n"/>
      <c r="E8604" s="8" t="n"/>
      <c r="F8604" s="8" t="n"/>
      <c r="G8604" s="8" t="n"/>
      <c r="H8604" s="8" t="n"/>
      <c r="I8604" s="8" t="n"/>
      <c r="J8604" s="8" t="n"/>
      <c r="K8604" s="8" t="n"/>
      <c r="L8604" s="8" t="n"/>
      <c r="M8604" s="9">
        <f>B8604+30</f>
        <v/>
      </c>
      <c r="N8604">
        <f>IF(L8604="", "", L8604-B8604)</f>
        <v/>
      </c>
      <c r="O8604">
        <f>IF(L8604="", "Pending", IF(N8604&lt;=30, "Met", "Breached"))</f>
        <v/>
      </c>
      <c r="P8604" s="8" t="n"/>
      <c r="Q8604" s="8" t="n"/>
      <c r="R8604" s="8" t="n"/>
      <c r="S8604" s="8" t="n"/>
      <c r="T8604" s="8" t="n"/>
      <c r="U8604" s="8" t="n"/>
      <c r="V8604" s="8" t="n"/>
      <c r="W8604" s="8" t="n"/>
      <c r="X8604" s="8" t="n"/>
      <c r="Y8604" s="8" t="n"/>
    </row>
    <row r="8605">
      <c r="A8605" s="8" t="n"/>
      <c r="B8605" s="8" t="n"/>
      <c r="C8605" s="8" t="n"/>
      <c r="D8605" s="8" t="n"/>
      <c r="E8605" s="8" t="n"/>
      <c r="F8605" s="8" t="n"/>
      <c r="G8605" s="8" t="n"/>
      <c r="H8605" s="8" t="n"/>
      <c r="I8605" s="8" t="n"/>
      <c r="J8605" s="8" t="n"/>
      <c r="K8605" s="8" t="n"/>
      <c r="L8605" s="8" t="n"/>
      <c r="M8605" s="9">
        <f>B8605+30</f>
        <v/>
      </c>
      <c r="N8605">
        <f>IF(L8605="", "", L8605-B8605)</f>
        <v/>
      </c>
      <c r="O8605">
        <f>IF(L8605="", "Pending", IF(N8605&lt;=30, "Met", "Breached"))</f>
        <v/>
      </c>
      <c r="P8605" s="8" t="n"/>
      <c r="Q8605" s="8" t="n"/>
      <c r="R8605" s="8" t="n"/>
      <c r="S8605" s="8" t="n"/>
      <c r="T8605" s="8" t="n"/>
      <c r="U8605" s="8" t="n"/>
      <c r="V8605" s="8" t="n"/>
      <c r="W8605" s="8" t="n"/>
      <c r="X8605" s="8" t="n"/>
      <c r="Y8605" s="8" t="n"/>
    </row>
    <row r="8606">
      <c r="A8606" s="8" t="n"/>
      <c r="B8606" s="8" t="n"/>
      <c r="C8606" s="8" t="n"/>
      <c r="D8606" s="8" t="n"/>
      <c r="E8606" s="8" t="n"/>
      <c r="F8606" s="8" t="n"/>
      <c r="G8606" s="8" t="n"/>
      <c r="H8606" s="8" t="n"/>
      <c r="I8606" s="8" t="n"/>
      <c r="J8606" s="8" t="n"/>
      <c r="K8606" s="8" t="n"/>
      <c r="L8606" s="8" t="n"/>
      <c r="M8606" s="9">
        <f>B8606+30</f>
        <v/>
      </c>
      <c r="N8606">
        <f>IF(L8606="", "", L8606-B8606)</f>
        <v/>
      </c>
      <c r="O8606">
        <f>IF(L8606="", "Pending", IF(N8606&lt;=30, "Met", "Breached"))</f>
        <v/>
      </c>
      <c r="P8606" s="8" t="n"/>
      <c r="Q8606" s="8" t="n"/>
      <c r="R8606" s="8" t="n"/>
      <c r="S8606" s="8" t="n"/>
      <c r="T8606" s="8" t="n"/>
      <c r="U8606" s="8" t="n"/>
      <c r="V8606" s="8" t="n"/>
      <c r="W8606" s="8" t="n"/>
      <c r="X8606" s="8" t="n"/>
      <c r="Y8606" s="8" t="n"/>
    </row>
    <row r="8607">
      <c r="A8607" s="8" t="n"/>
      <c r="B8607" s="8" t="n"/>
      <c r="C8607" s="8" t="n"/>
      <c r="D8607" s="8" t="n"/>
      <c r="E8607" s="8" t="n"/>
      <c r="F8607" s="8" t="n"/>
      <c r="G8607" s="8" t="n"/>
      <c r="H8607" s="8" t="n"/>
      <c r="I8607" s="8" t="n"/>
      <c r="J8607" s="8" t="n"/>
      <c r="K8607" s="8" t="n"/>
      <c r="L8607" s="8" t="n"/>
      <c r="M8607" s="9">
        <f>B8607+30</f>
        <v/>
      </c>
      <c r="N8607">
        <f>IF(L8607="", "", L8607-B8607)</f>
        <v/>
      </c>
      <c r="O8607">
        <f>IF(L8607="", "Pending", IF(N8607&lt;=30, "Met", "Breached"))</f>
        <v/>
      </c>
      <c r="P8607" s="8" t="n"/>
      <c r="Q8607" s="8" t="n"/>
      <c r="R8607" s="8" t="n"/>
      <c r="S8607" s="8" t="n"/>
      <c r="T8607" s="8" t="n"/>
      <c r="U8607" s="8" t="n"/>
      <c r="V8607" s="8" t="n"/>
      <c r="W8607" s="8" t="n"/>
      <c r="X8607" s="8" t="n"/>
      <c r="Y8607" s="8" t="n"/>
    </row>
    <row r="8608">
      <c r="A8608" s="8" t="n"/>
      <c r="B8608" s="8" t="n"/>
      <c r="C8608" s="8" t="n"/>
      <c r="D8608" s="8" t="n"/>
      <c r="E8608" s="8" t="n"/>
      <c r="F8608" s="8" t="n"/>
      <c r="G8608" s="8" t="n"/>
      <c r="H8608" s="8" t="n"/>
      <c r="I8608" s="8" t="n"/>
      <c r="J8608" s="8" t="n"/>
      <c r="K8608" s="8" t="n"/>
      <c r="L8608" s="8" t="n"/>
      <c r="M8608" s="9">
        <f>B8608+30</f>
        <v/>
      </c>
      <c r="N8608">
        <f>IF(L8608="", "", L8608-B8608)</f>
        <v/>
      </c>
      <c r="O8608">
        <f>IF(L8608="", "Pending", IF(N8608&lt;=30, "Met", "Breached"))</f>
        <v/>
      </c>
      <c r="P8608" s="8" t="n"/>
      <c r="Q8608" s="8" t="n"/>
      <c r="R8608" s="8" t="n"/>
      <c r="S8608" s="8" t="n"/>
      <c r="T8608" s="8" t="n"/>
      <c r="U8608" s="8" t="n"/>
      <c r="V8608" s="8" t="n"/>
      <c r="W8608" s="8" t="n"/>
      <c r="X8608" s="8" t="n"/>
      <c r="Y8608" s="8" t="n"/>
    </row>
    <row r="8609">
      <c r="A8609" s="8" t="n"/>
      <c r="B8609" s="8" t="n"/>
      <c r="C8609" s="8" t="n"/>
      <c r="D8609" s="8" t="n"/>
      <c r="E8609" s="8" t="n"/>
      <c r="F8609" s="8" t="n"/>
      <c r="G8609" s="8" t="n"/>
      <c r="H8609" s="8" t="n"/>
      <c r="I8609" s="8" t="n"/>
      <c r="J8609" s="8" t="n"/>
      <c r="K8609" s="8" t="n"/>
      <c r="L8609" s="8" t="n"/>
      <c r="M8609" s="9">
        <f>B8609+30</f>
        <v/>
      </c>
      <c r="N8609">
        <f>IF(L8609="", "", L8609-B8609)</f>
        <v/>
      </c>
      <c r="O8609">
        <f>IF(L8609="", "Pending", IF(N8609&lt;=30, "Met", "Breached"))</f>
        <v/>
      </c>
      <c r="P8609" s="8" t="n"/>
      <c r="Q8609" s="8" t="n"/>
      <c r="R8609" s="8" t="n"/>
      <c r="S8609" s="8" t="n"/>
      <c r="T8609" s="8" t="n"/>
      <c r="U8609" s="8" t="n"/>
      <c r="V8609" s="8" t="n"/>
      <c r="W8609" s="8" t="n"/>
      <c r="X8609" s="8" t="n"/>
      <c r="Y8609" s="8" t="n"/>
    </row>
    <row r="8610">
      <c r="A8610" s="8" t="n"/>
      <c r="B8610" s="8" t="n"/>
      <c r="C8610" s="8" t="n"/>
      <c r="D8610" s="8" t="n"/>
      <c r="E8610" s="8" t="n"/>
      <c r="F8610" s="8" t="n"/>
      <c r="G8610" s="8" t="n"/>
      <c r="H8610" s="8" t="n"/>
      <c r="I8610" s="8" t="n"/>
      <c r="J8610" s="8" t="n"/>
      <c r="K8610" s="8" t="n"/>
      <c r="L8610" s="8" t="n"/>
      <c r="M8610" s="9">
        <f>B8610+30</f>
        <v/>
      </c>
      <c r="N8610">
        <f>IF(L8610="", "", L8610-B8610)</f>
        <v/>
      </c>
      <c r="O8610">
        <f>IF(L8610="", "Pending", IF(N8610&lt;=30, "Met", "Breached"))</f>
        <v/>
      </c>
      <c r="P8610" s="8" t="n"/>
      <c r="Q8610" s="8" t="n"/>
      <c r="R8610" s="8" t="n"/>
      <c r="S8610" s="8" t="n"/>
      <c r="T8610" s="8" t="n"/>
      <c r="U8610" s="8" t="n"/>
      <c r="V8610" s="8" t="n"/>
      <c r="W8610" s="8" t="n"/>
      <c r="X8610" s="8" t="n"/>
      <c r="Y8610" s="8" t="n"/>
    </row>
    <row r="8611">
      <c r="A8611" s="8" t="n"/>
      <c r="B8611" s="8" t="n"/>
      <c r="C8611" s="8" t="n"/>
      <c r="D8611" s="8" t="n"/>
      <c r="E8611" s="8" t="n"/>
      <c r="F8611" s="8" t="n"/>
      <c r="G8611" s="8" t="n"/>
      <c r="H8611" s="8" t="n"/>
      <c r="I8611" s="8" t="n"/>
      <c r="J8611" s="8" t="n"/>
      <c r="K8611" s="8" t="n"/>
      <c r="L8611" s="8" t="n"/>
      <c r="M8611" s="9">
        <f>B8611+30</f>
        <v/>
      </c>
      <c r="N8611">
        <f>IF(L8611="", "", L8611-B8611)</f>
        <v/>
      </c>
      <c r="O8611">
        <f>IF(L8611="", "Pending", IF(N8611&lt;=30, "Met", "Breached"))</f>
        <v/>
      </c>
      <c r="P8611" s="8" t="n"/>
      <c r="Q8611" s="8" t="n"/>
      <c r="R8611" s="8" t="n"/>
      <c r="S8611" s="8" t="n"/>
      <c r="T8611" s="8" t="n"/>
      <c r="U8611" s="8" t="n"/>
      <c r="V8611" s="8" t="n"/>
      <c r="W8611" s="8" t="n"/>
      <c r="X8611" s="8" t="n"/>
      <c r="Y8611" s="8" t="n"/>
    </row>
    <row r="8612">
      <c r="A8612" s="8" t="n"/>
      <c r="B8612" s="8" t="n"/>
      <c r="C8612" s="8" t="n"/>
      <c r="D8612" s="8" t="n"/>
      <c r="E8612" s="8" t="n"/>
      <c r="F8612" s="8" t="n"/>
      <c r="G8612" s="8" t="n"/>
      <c r="H8612" s="8" t="n"/>
      <c r="I8612" s="8" t="n"/>
      <c r="J8612" s="8" t="n"/>
      <c r="K8612" s="8" t="n"/>
      <c r="L8612" s="8" t="n"/>
      <c r="M8612" s="9">
        <f>B8612+30</f>
        <v/>
      </c>
      <c r="N8612">
        <f>IF(L8612="", "", L8612-B8612)</f>
        <v/>
      </c>
      <c r="O8612">
        <f>IF(L8612="", "Pending", IF(N8612&lt;=30, "Met", "Breached"))</f>
        <v/>
      </c>
      <c r="P8612" s="8" t="n"/>
      <c r="Q8612" s="8" t="n"/>
      <c r="R8612" s="8" t="n"/>
      <c r="S8612" s="8" t="n"/>
      <c r="T8612" s="8" t="n"/>
      <c r="U8612" s="8" t="n"/>
      <c r="V8612" s="8" t="n"/>
      <c r="W8612" s="8" t="n"/>
      <c r="X8612" s="8" t="n"/>
      <c r="Y8612" s="8" t="n"/>
    </row>
    <row r="8613">
      <c r="A8613" s="8" t="n"/>
      <c r="B8613" s="8" t="n"/>
      <c r="C8613" s="8" t="n"/>
      <c r="D8613" s="8" t="n"/>
      <c r="E8613" s="8" t="n"/>
      <c r="F8613" s="8" t="n"/>
      <c r="G8613" s="8" t="n"/>
      <c r="H8613" s="8" t="n"/>
      <c r="I8613" s="8" t="n"/>
      <c r="J8613" s="8" t="n"/>
      <c r="K8613" s="8" t="n"/>
      <c r="L8613" s="8" t="n"/>
      <c r="M8613" s="9">
        <f>B8613+30</f>
        <v/>
      </c>
      <c r="N8613">
        <f>IF(L8613="", "", L8613-B8613)</f>
        <v/>
      </c>
      <c r="O8613">
        <f>IF(L8613="", "Pending", IF(N8613&lt;=30, "Met", "Breached"))</f>
        <v/>
      </c>
      <c r="P8613" s="8" t="n"/>
      <c r="Q8613" s="8" t="n"/>
      <c r="R8613" s="8" t="n"/>
      <c r="S8613" s="8" t="n"/>
      <c r="T8613" s="8" t="n"/>
      <c r="U8613" s="8" t="n"/>
      <c r="V8613" s="8" t="n"/>
      <c r="W8613" s="8" t="n"/>
      <c r="X8613" s="8" t="n"/>
      <c r="Y8613" s="8" t="n"/>
    </row>
    <row r="8614">
      <c r="A8614" s="8" t="n"/>
      <c r="B8614" s="8" t="n"/>
      <c r="C8614" s="8" t="n"/>
      <c r="D8614" s="8" t="n"/>
      <c r="E8614" s="8" t="n"/>
      <c r="F8614" s="8" t="n"/>
      <c r="G8614" s="8" t="n"/>
      <c r="H8614" s="8" t="n"/>
      <c r="I8614" s="8" t="n"/>
      <c r="J8614" s="8" t="n"/>
      <c r="K8614" s="8" t="n"/>
      <c r="L8614" s="8" t="n"/>
      <c r="M8614" s="9">
        <f>B8614+30</f>
        <v/>
      </c>
      <c r="N8614">
        <f>IF(L8614="", "", L8614-B8614)</f>
        <v/>
      </c>
      <c r="O8614">
        <f>IF(L8614="", "Pending", IF(N8614&lt;=30, "Met", "Breached"))</f>
        <v/>
      </c>
      <c r="P8614" s="8" t="n"/>
      <c r="Q8614" s="8" t="n"/>
      <c r="R8614" s="8" t="n"/>
      <c r="S8614" s="8" t="n"/>
      <c r="T8614" s="8" t="n"/>
      <c r="U8614" s="8" t="n"/>
      <c r="V8614" s="8" t="n"/>
      <c r="W8614" s="8" t="n"/>
      <c r="X8614" s="8" t="n"/>
      <c r="Y8614" s="8" t="n"/>
    </row>
    <row r="8615">
      <c r="A8615" s="8" t="n"/>
      <c r="B8615" s="8" t="n"/>
      <c r="C8615" s="8" t="n"/>
      <c r="D8615" s="8" t="n"/>
      <c r="E8615" s="8" t="n"/>
      <c r="F8615" s="8" t="n"/>
      <c r="G8615" s="8" t="n"/>
      <c r="H8615" s="8" t="n"/>
      <c r="I8615" s="8" t="n"/>
      <c r="J8615" s="8" t="n"/>
      <c r="K8615" s="8" t="n"/>
      <c r="L8615" s="8" t="n"/>
      <c r="M8615" s="9">
        <f>B8615+30</f>
        <v/>
      </c>
      <c r="N8615">
        <f>IF(L8615="", "", L8615-B8615)</f>
        <v/>
      </c>
      <c r="O8615">
        <f>IF(L8615="", "Pending", IF(N8615&lt;=30, "Met", "Breached"))</f>
        <v/>
      </c>
      <c r="P8615" s="8" t="n"/>
      <c r="Q8615" s="8" t="n"/>
      <c r="R8615" s="8" t="n"/>
      <c r="S8615" s="8" t="n"/>
      <c r="T8615" s="8" t="n"/>
      <c r="U8615" s="8" t="n"/>
      <c r="V8615" s="8" t="n"/>
      <c r="W8615" s="8" t="n"/>
      <c r="X8615" s="8" t="n"/>
      <c r="Y8615" s="8" t="n"/>
    </row>
    <row r="8616">
      <c r="A8616" s="8" t="n"/>
      <c r="B8616" s="8" t="n"/>
      <c r="C8616" s="8" t="n"/>
      <c r="D8616" s="8" t="n"/>
      <c r="E8616" s="8" t="n"/>
      <c r="F8616" s="8" t="n"/>
      <c r="G8616" s="8" t="n"/>
      <c r="H8616" s="8" t="n"/>
      <c r="I8616" s="8" t="n"/>
      <c r="J8616" s="8" t="n"/>
      <c r="K8616" s="8" t="n"/>
      <c r="L8616" s="8" t="n"/>
      <c r="M8616" s="9">
        <f>B8616+30</f>
        <v/>
      </c>
      <c r="N8616">
        <f>IF(L8616="", "", L8616-B8616)</f>
        <v/>
      </c>
      <c r="O8616">
        <f>IF(L8616="", "Pending", IF(N8616&lt;=30, "Met", "Breached"))</f>
        <v/>
      </c>
      <c r="P8616" s="8" t="n"/>
      <c r="Q8616" s="8" t="n"/>
      <c r="R8616" s="8" t="n"/>
      <c r="S8616" s="8" t="n"/>
      <c r="T8616" s="8" t="n"/>
      <c r="U8616" s="8" t="n"/>
      <c r="V8616" s="8" t="n"/>
      <c r="W8616" s="8" t="n"/>
      <c r="X8616" s="8" t="n"/>
      <c r="Y8616" s="8" t="n"/>
    </row>
    <row r="8617">
      <c r="A8617" s="8" t="n"/>
      <c r="B8617" s="8" t="n"/>
      <c r="C8617" s="8" t="n"/>
      <c r="D8617" s="8" t="n"/>
      <c r="E8617" s="8" t="n"/>
      <c r="F8617" s="8" t="n"/>
      <c r="G8617" s="8" t="n"/>
      <c r="H8617" s="8" t="n"/>
      <c r="I8617" s="8" t="n"/>
      <c r="J8617" s="8" t="n"/>
      <c r="K8617" s="8" t="n"/>
      <c r="L8617" s="8" t="n"/>
      <c r="M8617" s="9">
        <f>B8617+30</f>
        <v/>
      </c>
      <c r="N8617">
        <f>IF(L8617="", "", L8617-B8617)</f>
        <v/>
      </c>
      <c r="O8617">
        <f>IF(L8617="", "Pending", IF(N8617&lt;=30, "Met", "Breached"))</f>
        <v/>
      </c>
      <c r="P8617" s="8" t="n"/>
      <c r="Q8617" s="8" t="n"/>
      <c r="R8617" s="8" t="n"/>
      <c r="S8617" s="8" t="n"/>
      <c r="T8617" s="8" t="n"/>
      <c r="U8617" s="8" t="n"/>
      <c r="V8617" s="8" t="n"/>
      <c r="W8617" s="8" t="n"/>
      <c r="X8617" s="8" t="n"/>
      <c r="Y8617" s="8" t="n"/>
    </row>
    <row r="8618">
      <c r="A8618" s="8" t="n"/>
      <c r="B8618" s="8" t="n"/>
      <c r="C8618" s="8" t="n"/>
      <c r="D8618" s="8" t="n"/>
      <c r="E8618" s="8" t="n"/>
      <c r="F8618" s="8" t="n"/>
      <c r="G8618" s="8" t="n"/>
      <c r="H8618" s="8" t="n"/>
      <c r="I8618" s="8" t="n"/>
      <c r="J8618" s="8" t="n"/>
      <c r="K8618" s="8" t="n"/>
      <c r="L8618" s="8" t="n"/>
      <c r="M8618" s="9">
        <f>B8618+30</f>
        <v/>
      </c>
      <c r="N8618">
        <f>IF(L8618="", "", L8618-B8618)</f>
        <v/>
      </c>
      <c r="O8618">
        <f>IF(L8618="", "Pending", IF(N8618&lt;=30, "Met", "Breached"))</f>
        <v/>
      </c>
      <c r="P8618" s="8" t="n"/>
      <c r="Q8618" s="8" t="n"/>
      <c r="R8618" s="8" t="n"/>
      <c r="S8618" s="8" t="n"/>
      <c r="T8618" s="8" t="n"/>
      <c r="U8618" s="8" t="n"/>
      <c r="V8618" s="8" t="n"/>
      <c r="W8618" s="8" t="n"/>
      <c r="X8618" s="8" t="n"/>
      <c r="Y8618" s="8" t="n"/>
    </row>
    <row r="8619">
      <c r="A8619" s="8" t="n"/>
      <c r="B8619" s="8" t="n"/>
      <c r="C8619" s="8" t="n"/>
      <c r="D8619" s="8" t="n"/>
      <c r="E8619" s="8" t="n"/>
      <c r="F8619" s="8" t="n"/>
      <c r="G8619" s="8" t="n"/>
      <c r="H8619" s="8" t="n"/>
      <c r="I8619" s="8" t="n"/>
      <c r="J8619" s="8" t="n"/>
      <c r="K8619" s="8" t="n"/>
      <c r="L8619" s="8" t="n"/>
      <c r="M8619" s="9">
        <f>B8619+30</f>
        <v/>
      </c>
      <c r="N8619">
        <f>IF(L8619="", "", L8619-B8619)</f>
        <v/>
      </c>
      <c r="O8619">
        <f>IF(L8619="", "Pending", IF(N8619&lt;=30, "Met", "Breached"))</f>
        <v/>
      </c>
      <c r="P8619" s="8" t="n"/>
      <c r="Q8619" s="8" t="n"/>
      <c r="R8619" s="8" t="n"/>
      <c r="S8619" s="8" t="n"/>
      <c r="T8619" s="8" t="n"/>
      <c r="U8619" s="8" t="n"/>
      <c r="V8619" s="8" t="n"/>
      <c r="W8619" s="8" t="n"/>
      <c r="X8619" s="8" t="n"/>
      <c r="Y8619" s="8" t="n"/>
    </row>
    <row r="8620">
      <c r="A8620" s="8" t="n"/>
      <c r="B8620" s="8" t="n"/>
      <c r="C8620" s="8" t="n"/>
      <c r="D8620" s="8" t="n"/>
      <c r="E8620" s="8" t="n"/>
      <c r="F8620" s="8" t="n"/>
      <c r="G8620" s="8" t="n"/>
      <c r="H8620" s="8" t="n"/>
      <c r="I8620" s="8" t="n"/>
      <c r="J8620" s="8" t="n"/>
      <c r="K8620" s="8" t="n"/>
      <c r="L8620" s="8" t="n"/>
      <c r="M8620" s="9">
        <f>B8620+30</f>
        <v/>
      </c>
      <c r="N8620">
        <f>IF(L8620="", "", L8620-B8620)</f>
        <v/>
      </c>
      <c r="O8620">
        <f>IF(L8620="", "Pending", IF(N8620&lt;=30, "Met", "Breached"))</f>
        <v/>
      </c>
      <c r="P8620" s="8" t="n"/>
      <c r="Q8620" s="8" t="n"/>
      <c r="R8620" s="8" t="n"/>
      <c r="S8620" s="8" t="n"/>
      <c r="T8620" s="8" t="n"/>
      <c r="U8620" s="8" t="n"/>
      <c r="V8620" s="8" t="n"/>
      <c r="W8620" s="8" t="n"/>
      <c r="X8620" s="8" t="n"/>
      <c r="Y8620" s="8" t="n"/>
    </row>
    <row r="8621">
      <c r="A8621" s="8" t="n"/>
      <c r="B8621" s="8" t="n"/>
      <c r="C8621" s="8" t="n"/>
      <c r="D8621" s="8" t="n"/>
      <c r="E8621" s="8" t="n"/>
      <c r="F8621" s="8" t="n"/>
      <c r="G8621" s="8" t="n"/>
      <c r="H8621" s="8" t="n"/>
      <c r="I8621" s="8" t="n"/>
      <c r="J8621" s="8" t="n"/>
      <c r="K8621" s="8" t="n"/>
      <c r="L8621" s="8" t="n"/>
      <c r="M8621" s="9">
        <f>B8621+30</f>
        <v/>
      </c>
      <c r="N8621">
        <f>IF(L8621="", "", L8621-B8621)</f>
        <v/>
      </c>
      <c r="O8621">
        <f>IF(L8621="", "Pending", IF(N8621&lt;=30, "Met", "Breached"))</f>
        <v/>
      </c>
      <c r="P8621" s="8" t="n"/>
      <c r="Q8621" s="8" t="n"/>
      <c r="R8621" s="8" t="n"/>
      <c r="S8621" s="8" t="n"/>
      <c r="T8621" s="8" t="n"/>
      <c r="U8621" s="8" t="n"/>
      <c r="V8621" s="8" t="n"/>
      <c r="W8621" s="8" t="n"/>
      <c r="X8621" s="8" t="n"/>
      <c r="Y8621" s="8" t="n"/>
    </row>
    <row r="8622">
      <c r="A8622" s="8" t="n"/>
      <c r="B8622" s="8" t="n"/>
      <c r="C8622" s="8" t="n"/>
      <c r="D8622" s="8" t="n"/>
      <c r="E8622" s="8" t="n"/>
      <c r="F8622" s="8" t="n"/>
      <c r="G8622" s="8" t="n"/>
      <c r="H8622" s="8" t="n"/>
      <c r="I8622" s="8" t="n"/>
      <c r="J8622" s="8" t="n"/>
      <c r="K8622" s="8" t="n"/>
      <c r="L8622" s="8" t="n"/>
      <c r="M8622" s="9">
        <f>B8622+30</f>
        <v/>
      </c>
      <c r="N8622">
        <f>IF(L8622="", "", L8622-B8622)</f>
        <v/>
      </c>
      <c r="O8622">
        <f>IF(L8622="", "Pending", IF(N8622&lt;=30, "Met", "Breached"))</f>
        <v/>
      </c>
      <c r="P8622" s="8" t="n"/>
      <c r="Q8622" s="8" t="n"/>
      <c r="R8622" s="8" t="n"/>
      <c r="S8622" s="8" t="n"/>
      <c r="T8622" s="8" t="n"/>
      <c r="U8622" s="8" t="n"/>
      <c r="V8622" s="8" t="n"/>
      <c r="W8622" s="8" t="n"/>
      <c r="X8622" s="8" t="n"/>
      <c r="Y8622" s="8" t="n"/>
    </row>
    <row r="8623">
      <c r="A8623" s="8" t="n"/>
      <c r="B8623" s="8" t="n"/>
      <c r="C8623" s="8" t="n"/>
      <c r="D8623" s="8" t="n"/>
      <c r="E8623" s="8" t="n"/>
      <c r="F8623" s="8" t="n"/>
      <c r="G8623" s="8" t="n"/>
      <c r="H8623" s="8" t="n"/>
      <c r="I8623" s="8" t="n"/>
      <c r="J8623" s="8" t="n"/>
      <c r="K8623" s="8" t="n"/>
      <c r="L8623" s="8" t="n"/>
      <c r="M8623" s="9">
        <f>B8623+30</f>
        <v/>
      </c>
      <c r="N8623">
        <f>IF(L8623="", "", L8623-B8623)</f>
        <v/>
      </c>
      <c r="O8623">
        <f>IF(L8623="", "Pending", IF(N8623&lt;=30, "Met", "Breached"))</f>
        <v/>
      </c>
      <c r="P8623" s="8" t="n"/>
      <c r="Q8623" s="8" t="n"/>
      <c r="R8623" s="8" t="n"/>
      <c r="S8623" s="8" t="n"/>
      <c r="T8623" s="8" t="n"/>
      <c r="U8623" s="8" t="n"/>
      <c r="V8623" s="8" t="n"/>
      <c r="W8623" s="8" t="n"/>
      <c r="X8623" s="8" t="n"/>
      <c r="Y8623" s="8" t="n"/>
    </row>
    <row r="8624">
      <c r="A8624" s="8" t="n"/>
      <c r="B8624" s="8" t="n"/>
      <c r="C8624" s="8" t="n"/>
      <c r="D8624" s="8" t="n"/>
      <c r="E8624" s="8" t="n"/>
      <c r="F8624" s="8" t="n"/>
      <c r="G8624" s="8" t="n"/>
      <c r="H8624" s="8" t="n"/>
      <c r="I8624" s="8" t="n"/>
      <c r="J8624" s="8" t="n"/>
      <c r="K8624" s="8" t="n"/>
      <c r="L8624" s="8" t="n"/>
      <c r="M8624" s="9">
        <f>B8624+30</f>
        <v/>
      </c>
      <c r="N8624">
        <f>IF(L8624="", "", L8624-B8624)</f>
        <v/>
      </c>
      <c r="O8624">
        <f>IF(L8624="", "Pending", IF(N8624&lt;=30, "Met", "Breached"))</f>
        <v/>
      </c>
      <c r="P8624" s="8" t="n"/>
      <c r="Q8624" s="8" t="n"/>
      <c r="R8624" s="8" t="n"/>
      <c r="S8624" s="8" t="n"/>
      <c r="T8624" s="8" t="n"/>
      <c r="U8624" s="8" t="n"/>
      <c r="V8624" s="8" t="n"/>
      <c r="W8624" s="8" t="n"/>
      <c r="X8624" s="8" t="n"/>
      <c r="Y8624" s="8" t="n"/>
    </row>
    <row r="8625">
      <c r="A8625" s="8" t="n"/>
      <c r="B8625" s="8" t="n"/>
      <c r="C8625" s="8" t="n"/>
      <c r="D8625" s="8" t="n"/>
      <c r="E8625" s="8" t="n"/>
      <c r="F8625" s="8" t="n"/>
      <c r="G8625" s="8" t="n"/>
      <c r="H8625" s="8" t="n"/>
      <c r="I8625" s="8" t="n"/>
      <c r="J8625" s="8" t="n"/>
      <c r="K8625" s="8" t="n"/>
      <c r="L8625" s="8" t="n"/>
      <c r="M8625" s="9">
        <f>B8625+30</f>
        <v/>
      </c>
      <c r="N8625">
        <f>IF(L8625="", "", L8625-B8625)</f>
        <v/>
      </c>
      <c r="O8625">
        <f>IF(L8625="", "Pending", IF(N8625&lt;=30, "Met", "Breached"))</f>
        <v/>
      </c>
      <c r="P8625" s="8" t="n"/>
      <c r="Q8625" s="8" t="n"/>
      <c r="R8625" s="8" t="n"/>
      <c r="S8625" s="8" t="n"/>
      <c r="T8625" s="8" t="n"/>
      <c r="U8625" s="8" t="n"/>
      <c r="V8625" s="8" t="n"/>
      <c r="W8625" s="8" t="n"/>
      <c r="X8625" s="8" t="n"/>
      <c r="Y8625" s="8" t="n"/>
    </row>
    <row r="8626">
      <c r="A8626" s="8" t="n"/>
      <c r="B8626" s="8" t="n"/>
      <c r="C8626" s="8" t="n"/>
      <c r="D8626" s="8" t="n"/>
      <c r="E8626" s="8" t="n"/>
      <c r="F8626" s="8" t="n"/>
      <c r="G8626" s="8" t="n"/>
      <c r="H8626" s="8" t="n"/>
      <c r="I8626" s="8" t="n"/>
      <c r="J8626" s="8" t="n"/>
      <c r="K8626" s="8" t="n"/>
      <c r="L8626" s="8" t="n"/>
      <c r="M8626" s="9">
        <f>B8626+30</f>
        <v/>
      </c>
      <c r="N8626">
        <f>IF(L8626="", "", L8626-B8626)</f>
        <v/>
      </c>
      <c r="O8626">
        <f>IF(L8626="", "Pending", IF(N8626&lt;=30, "Met", "Breached"))</f>
        <v/>
      </c>
      <c r="P8626" s="8" t="n"/>
      <c r="Q8626" s="8" t="n"/>
      <c r="R8626" s="8" t="n"/>
      <c r="S8626" s="8" t="n"/>
      <c r="T8626" s="8" t="n"/>
      <c r="U8626" s="8" t="n"/>
      <c r="V8626" s="8" t="n"/>
      <c r="W8626" s="8" t="n"/>
      <c r="X8626" s="8" t="n"/>
      <c r="Y8626" s="8" t="n"/>
    </row>
    <row r="8627">
      <c r="A8627" s="8" t="n"/>
      <c r="B8627" s="8" t="n"/>
      <c r="C8627" s="8" t="n"/>
      <c r="D8627" s="8" t="n"/>
      <c r="E8627" s="8" t="n"/>
      <c r="F8627" s="8" t="n"/>
      <c r="G8627" s="8" t="n"/>
      <c r="H8627" s="8" t="n"/>
      <c r="I8627" s="8" t="n"/>
      <c r="J8627" s="8" t="n"/>
      <c r="K8627" s="8" t="n"/>
      <c r="L8627" s="8" t="n"/>
      <c r="M8627" s="9">
        <f>B8627+30</f>
        <v/>
      </c>
      <c r="N8627">
        <f>IF(L8627="", "", L8627-B8627)</f>
        <v/>
      </c>
      <c r="O8627">
        <f>IF(L8627="", "Pending", IF(N8627&lt;=30, "Met", "Breached"))</f>
        <v/>
      </c>
      <c r="P8627" s="8" t="n"/>
      <c r="Q8627" s="8" t="n"/>
      <c r="R8627" s="8" t="n"/>
      <c r="S8627" s="8" t="n"/>
      <c r="T8627" s="8" t="n"/>
      <c r="U8627" s="8" t="n"/>
      <c r="V8627" s="8" t="n"/>
      <c r="W8627" s="8" t="n"/>
      <c r="X8627" s="8" t="n"/>
      <c r="Y8627" s="8" t="n"/>
    </row>
    <row r="8628">
      <c r="A8628" s="8" t="n"/>
      <c r="B8628" s="8" t="n"/>
      <c r="C8628" s="8" t="n"/>
      <c r="D8628" s="8" t="n"/>
      <c r="E8628" s="8" t="n"/>
      <c r="F8628" s="8" t="n"/>
      <c r="G8628" s="8" t="n"/>
      <c r="H8628" s="8" t="n"/>
      <c r="I8628" s="8" t="n"/>
      <c r="J8628" s="8" t="n"/>
      <c r="K8628" s="8" t="n"/>
      <c r="L8628" s="8" t="n"/>
      <c r="M8628" s="9">
        <f>B8628+30</f>
        <v/>
      </c>
      <c r="N8628">
        <f>IF(L8628="", "", L8628-B8628)</f>
        <v/>
      </c>
      <c r="O8628">
        <f>IF(L8628="", "Pending", IF(N8628&lt;=30, "Met", "Breached"))</f>
        <v/>
      </c>
      <c r="P8628" s="8" t="n"/>
      <c r="Q8628" s="8" t="n"/>
      <c r="R8628" s="8" t="n"/>
      <c r="S8628" s="8" t="n"/>
      <c r="T8628" s="8" t="n"/>
      <c r="U8628" s="8" t="n"/>
      <c r="V8628" s="8" t="n"/>
      <c r="W8628" s="8" t="n"/>
      <c r="X8628" s="8" t="n"/>
      <c r="Y8628" s="8" t="n"/>
    </row>
    <row r="8629">
      <c r="A8629" s="8" t="n"/>
      <c r="B8629" s="8" t="n"/>
      <c r="C8629" s="8" t="n"/>
      <c r="D8629" s="8" t="n"/>
      <c r="E8629" s="8" t="n"/>
      <c r="F8629" s="8" t="n"/>
      <c r="G8629" s="8" t="n"/>
      <c r="H8629" s="8" t="n"/>
      <c r="I8629" s="8" t="n"/>
      <c r="J8629" s="8" t="n"/>
      <c r="K8629" s="8" t="n"/>
      <c r="L8629" s="8" t="n"/>
      <c r="M8629" s="9">
        <f>B8629+30</f>
        <v/>
      </c>
      <c r="N8629">
        <f>IF(L8629="", "", L8629-B8629)</f>
        <v/>
      </c>
      <c r="O8629">
        <f>IF(L8629="", "Pending", IF(N8629&lt;=30, "Met", "Breached"))</f>
        <v/>
      </c>
      <c r="P8629" s="8" t="n"/>
      <c r="Q8629" s="8" t="n"/>
      <c r="R8629" s="8" t="n"/>
      <c r="S8629" s="8" t="n"/>
      <c r="T8629" s="8" t="n"/>
      <c r="U8629" s="8" t="n"/>
      <c r="V8629" s="8" t="n"/>
      <c r="W8629" s="8" t="n"/>
      <c r="X8629" s="8" t="n"/>
      <c r="Y8629" s="8" t="n"/>
    </row>
    <row r="8630">
      <c r="A8630" s="8" t="n"/>
      <c r="B8630" s="8" t="n"/>
      <c r="C8630" s="8" t="n"/>
      <c r="D8630" s="8" t="n"/>
      <c r="E8630" s="8" t="n"/>
      <c r="F8630" s="8" t="n"/>
      <c r="G8630" s="8" t="n"/>
      <c r="H8630" s="8" t="n"/>
      <c r="I8630" s="8" t="n"/>
      <c r="J8630" s="8" t="n"/>
      <c r="K8630" s="8" t="n"/>
      <c r="L8630" s="8" t="n"/>
      <c r="M8630" s="9">
        <f>B8630+30</f>
        <v/>
      </c>
      <c r="N8630">
        <f>IF(L8630="", "", L8630-B8630)</f>
        <v/>
      </c>
      <c r="O8630">
        <f>IF(L8630="", "Pending", IF(N8630&lt;=30, "Met", "Breached"))</f>
        <v/>
      </c>
      <c r="P8630" s="8" t="n"/>
      <c r="Q8630" s="8" t="n"/>
      <c r="R8630" s="8" t="n"/>
      <c r="S8630" s="8" t="n"/>
      <c r="T8630" s="8" t="n"/>
      <c r="U8630" s="8" t="n"/>
      <c r="V8630" s="8" t="n"/>
      <c r="W8630" s="8" t="n"/>
      <c r="X8630" s="8" t="n"/>
      <c r="Y8630" s="8" t="n"/>
    </row>
    <row r="8631">
      <c r="A8631" s="8" t="n"/>
      <c r="B8631" s="8" t="n"/>
      <c r="C8631" s="8" t="n"/>
      <c r="D8631" s="8" t="n"/>
      <c r="E8631" s="8" t="n"/>
      <c r="F8631" s="8" t="n"/>
      <c r="G8631" s="8" t="n"/>
      <c r="H8631" s="8" t="n"/>
      <c r="I8631" s="8" t="n"/>
      <c r="J8631" s="8" t="n"/>
      <c r="K8631" s="8" t="n"/>
      <c r="L8631" s="8" t="n"/>
      <c r="M8631" s="9">
        <f>B8631+30</f>
        <v/>
      </c>
      <c r="N8631">
        <f>IF(L8631="", "", L8631-B8631)</f>
        <v/>
      </c>
      <c r="O8631">
        <f>IF(L8631="", "Pending", IF(N8631&lt;=30, "Met", "Breached"))</f>
        <v/>
      </c>
      <c r="P8631" s="8" t="n"/>
      <c r="Q8631" s="8" t="n"/>
      <c r="R8631" s="8" t="n"/>
      <c r="S8631" s="8" t="n"/>
      <c r="T8631" s="8" t="n"/>
      <c r="U8631" s="8" t="n"/>
      <c r="V8631" s="8" t="n"/>
      <c r="W8631" s="8" t="n"/>
      <c r="X8631" s="8" t="n"/>
      <c r="Y8631" s="8" t="n"/>
    </row>
    <row r="8632">
      <c r="A8632" s="8" t="n"/>
      <c r="B8632" s="8" t="n"/>
      <c r="C8632" s="8" t="n"/>
      <c r="D8632" s="8" t="n"/>
      <c r="E8632" s="8" t="n"/>
      <c r="F8632" s="8" t="n"/>
      <c r="G8632" s="8" t="n"/>
      <c r="H8632" s="8" t="n"/>
      <c r="I8632" s="8" t="n"/>
      <c r="J8632" s="8" t="n"/>
      <c r="K8632" s="8" t="n"/>
      <c r="L8632" s="8" t="n"/>
      <c r="M8632" s="9">
        <f>B8632+30</f>
        <v/>
      </c>
      <c r="N8632">
        <f>IF(L8632="", "", L8632-B8632)</f>
        <v/>
      </c>
      <c r="O8632">
        <f>IF(L8632="", "Pending", IF(N8632&lt;=30, "Met", "Breached"))</f>
        <v/>
      </c>
      <c r="P8632" s="8" t="n"/>
      <c r="Q8632" s="8" t="n"/>
      <c r="R8632" s="8" t="n"/>
      <c r="S8632" s="8" t="n"/>
      <c r="T8632" s="8" t="n"/>
      <c r="U8632" s="8" t="n"/>
      <c r="V8632" s="8" t="n"/>
      <c r="W8632" s="8" t="n"/>
      <c r="X8632" s="8" t="n"/>
      <c r="Y8632" s="8" t="n"/>
    </row>
    <row r="8633">
      <c r="A8633" s="8" t="n"/>
      <c r="B8633" s="8" t="n"/>
      <c r="C8633" s="8" t="n"/>
      <c r="D8633" s="8" t="n"/>
      <c r="E8633" s="8" t="n"/>
      <c r="F8633" s="8" t="n"/>
      <c r="G8633" s="8" t="n"/>
      <c r="H8633" s="8" t="n"/>
      <c r="I8633" s="8" t="n"/>
      <c r="J8633" s="8" t="n"/>
      <c r="K8633" s="8" t="n"/>
      <c r="L8633" s="8" t="n"/>
      <c r="M8633" s="9">
        <f>B8633+30</f>
        <v/>
      </c>
      <c r="N8633">
        <f>IF(L8633="", "", L8633-B8633)</f>
        <v/>
      </c>
      <c r="O8633">
        <f>IF(L8633="", "Pending", IF(N8633&lt;=30, "Met", "Breached"))</f>
        <v/>
      </c>
      <c r="P8633" s="8" t="n"/>
      <c r="Q8633" s="8" t="n"/>
      <c r="R8633" s="8" t="n"/>
      <c r="S8633" s="8" t="n"/>
      <c r="T8633" s="8" t="n"/>
      <c r="U8633" s="8" t="n"/>
      <c r="V8633" s="8" t="n"/>
      <c r="W8633" s="8" t="n"/>
      <c r="X8633" s="8" t="n"/>
      <c r="Y8633" s="8" t="n"/>
    </row>
    <row r="8634">
      <c r="A8634" s="8" t="n"/>
      <c r="B8634" s="8" t="n"/>
      <c r="C8634" s="8" t="n"/>
      <c r="D8634" s="8" t="n"/>
      <c r="E8634" s="8" t="n"/>
      <c r="F8634" s="8" t="n"/>
      <c r="G8634" s="8" t="n"/>
      <c r="H8634" s="8" t="n"/>
      <c r="I8634" s="8" t="n"/>
      <c r="J8634" s="8" t="n"/>
      <c r="K8634" s="8" t="n"/>
      <c r="L8634" s="8" t="n"/>
      <c r="M8634" s="9">
        <f>B8634+30</f>
        <v/>
      </c>
      <c r="N8634">
        <f>IF(L8634="", "", L8634-B8634)</f>
        <v/>
      </c>
      <c r="O8634">
        <f>IF(L8634="", "Pending", IF(N8634&lt;=30, "Met", "Breached"))</f>
        <v/>
      </c>
      <c r="P8634" s="8" t="n"/>
      <c r="Q8634" s="8" t="n"/>
      <c r="R8634" s="8" t="n"/>
      <c r="S8634" s="8" t="n"/>
      <c r="T8634" s="8" t="n"/>
      <c r="U8634" s="8" t="n"/>
      <c r="V8634" s="8" t="n"/>
      <c r="W8634" s="8" t="n"/>
      <c r="X8634" s="8" t="n"/>
      <c r="Y8634" s="8" t="n"/>
    </row>
    <row r="8635">
      <c r="A8635" s="8" t="n"/>
      <c r="B8635" s="8" t="n"/>
      <c r="C8635" s="8" t="n"/>
      <c r="D8635" s="8" t="n"/>
      <c r="E8635" s="8" t="n"/>
      <c r="F8635" s="8" t="n"/>
      <c r="G8635" s="8" t="n"/>
      <c r="H8635" s="8" t="n"/>
      <c r="I8635" s="8" t="n"/>
      <c r="J8635" s="8" t="n"/>
      <c r="K8635" s="8" t="n"/>
      <c r="L8635" s="8" t="n"/>
      <c r="M8635" s="9">
        <f>B8635+30</f>
        <v/>
      </c>
      <c r="N8635">
        <f>IF(L8635="", "", L8635-B8635)</f>
        <v/>
      </c>
      <c r="O8635">
        <f>IF(L8635="", "Pending", IF(N8635&lt;=30, "Met", "Breached"))</f>
        <v/>
      </c>
      <c r="P8635" s="8" t="n"/>
      <c r="Q8635" s="8" t="n"/>
      <c r="R8635" s="8" t="n"/>
      <c r="S8635" s="8" t="n"/>
      <c r="T8635" s="8" t="n"/>
      <c r="U8635" s="8" t="n"/>
      <c r="V8635" s="8" t="n"/>
      <c r="W8635" s="8" t="n"/>
      <c r="X8635" s="8" t="n"/>
      <c r="Y8635" s="8" t="n"/>
    </row>
    <row r="8636">
      <c r="A8636" s="8" t="n"/>
      <c r="B8636" s="8" t="n"/>
      <c r="C8636" s="8" t="n"/>
      <c r="D8636" s="8" t="n"/>
      <c r="E8636" s="8" t="n"/>
      <c r="F8636" s="8" t="n"/>
      <c r="G8636" s="8" t="n"/>
      <c r="H8636" s="8" t="n"/>
      <c r="I8636" s="8" t="n"/>
      <c r="J8636" s="8" t="n"/>
      <c r="K8636" s="8" t="n"/>
      <c r="L8636" s="8" t="n"/>
      <c r="M8636" s="9">
        <f>B8636+30</f>
        <v/>
      </c>
      <c r="N8636">
        <f>IF(L8636="", "", L8636-B8636)</f>
        <v/>
      </c>
      <c r="O8636">
        <f>IF(L8636="", "Pending", IF(N8636&lt;=30, "Met", "Breached"))</f>
        <v/>
      </c>
      <c r="P8636" s="8" t="n"/>
      <c r="Q8636" s="8" t="n"/>
      <c r="R8636" s="8" t="n"/>
      <c r="S8636" s="8" t="n"/>
      <c r="T8636" s="8" t="n"/>
      <c r="U8636" s="8" t="n"/>
      <c r="V8636" s="8" t="n"/>
      <c r="W8636" s="8" t="n"/>
      <c r="X8636" s="8" t="n"/>
      <c r="Y8636" s="8" t="n"/>
    </row>
    <row r="8637">
      <c r="A8637" s="8" t="n"/>
      <c r="B8637" s="8" t="n"/>
      <c r="C8637" s="8" t="n"/>
      <c r="D8637" s="8" t="n"/>
      <c r="E8637" s="8" t="n"/>
      <c r="F8637" s="8" t="n"/>
      <c r="G8637" s="8" t="n"/>
      <c r="H8637" s="8" t="n"/>
      <c r="I8637" s="8" t="n"/>
      <c r="J8637" s="8" t="n"/>
      <c r="K8637" s="8" t="n"/>
      <c r="L8637" s="8" t="n"/>
      <c r="M8637" s="9">
        <f>B8637+30</f>
        <v/>
      </c>
      <c r="N8637">
        <f>IF(L8637="", "", L8637-B8637)</f>
        <v/>
      </c>
      <c r="O8637">
        <f>IF(L8637="", "Pending", IF(N8637&lt;=30, "Met", "Breached"))</f>
        <v/>
      </c>
      <c r="P8637" s="8" t="n"/>
      <c r="Q8637" s="8" t="n"/>
      <c r="R8637" s="8" t="n"/>
      <c r="S8637" s="8" t="n"/>
      <c r="T8637" s="8" t="n"/>
      <c r="U8637" s="8" t="n"/>
      <c r="V8637" s="8" t="n"/>
      <c r="W8637" s="8" t="n"/>
      <c r="X8637" s="8" t="n"/>
      <c r="Y8637" s="8" t="n"/>
    </row>
    <row r="8638">
      <c r="A8638" s="8" t="n"/>
      <c r="B8638" s="8" t="n"/>
      <c r="C8638" s="8" t="n"/>
      <c r="D8638" s="8" t="n"/>
      <c r="E8638" s="8" t="n"/>
      <c r="F8638" s="8" t="n"/>
      <c r="G8638" s="8" t="n"/>
      <c r="H8638" s="8" t="n"/>
      <c r="I8638" s="8" t="n"/>
      <c r="J8638" s="8" t="n"/>
      <c r="K8638" s="8" t="n"/>
      <c r="L8638" s="8" t="n"/>
      <c r="M8638" s="9">
        <f>B8638+30</f>
        <v/>
      </c>
      <c r="N8638">
        <f>IF(L8638="", "", L8638-B8638)</f>
        <v/>
      </c>
      <c r="O8638">
        <f>IF(L8638="", "Pending", IF(N8638&lt;=30, "Met", "Breached"))</f>
        <v/>
      </c>
      <c r="P8638" s="8" t="n"/>
      <c r="Q8638" s="8" t="n"/>
      <c r="R8638" s="8" t="n"/>
      <c r="S8638" s="8" t="n"/>
      <c r="T8638" s="8" t="n"/>
      <c r="U8638" s="8" t="n"/>
      <c r="V8638" s="8" t="n"/>
      <c r="W8638" s="8" t="n"/>
      <c r="X8638" s="8" t="n"/>
      <c r="Y8638" s="8" t="n"/>
    </row>
    <row r="8639">
      <c r="A8639" s="8" t="n"/>
      <c r="B8639" s="8" t="n"/>
      <c r="C8639" s="8" t="n"/>
      <c r="D8639" s="8" t="n"/>
      <c r="E8639" s="8" t="n"/>
      <c r="F8639" s="8" t="n"/>
      <c r="G8639" s="8" t="n"/>
      <c r="H8639" s="8" t="n"/>
      <c r="I8639" s="8" t="n"/>
      <c r="J8639" s="8" t="n"/>
      <c r="K8639" s="8" t="n"/>
      <c r="L8639" s="8" t="n"/>
      <c r="M8639" s="9">
        <f>B8639+30</f>
        <v/>
      </c>
      <c r="N8639">
        <f>IF(L8639="", "", L8639-B8639)</f>
        <v/>
      </c>
      <c r="O8639">
        <f>IF(L8639="", "Pending", IF(N8639&lt;=30, "Met", "Breached"))</f>
        <v/>
      </c>
      <c r="P8639" s="8" t="n"/>
      <c r="Q8639" s="8" t="n"/>
      <c r="R8639" s="8" t="n"/>
      <c r="S8639" s="8" t="n"/>
      <c r="T8639" s="8" t="n"/>
      <c r="U8639" s="8" t="n"/>
      <c r="V8639" s="8" t="n"/>
      <c r="W8639" s="8" t="n"/>
      <c r="X8639" s="8" t="n"/>
      <c r="Y8639" s="8" t="n"/>
    </row>
    <row r="8640">
      <c r="A8640" s="8" t="n"/>
      <c r="B8640" s="8" t="n"/>
      <c r="C8640" s="8" t="n"/>
      <c r="D8640" s="8" t="n"/>
      <c r="E8640" s="8" t="n"/>
      <c r="F8640" s="8" t="n"/>
      <c r="G8640" s="8" t="n"/>
      <c r="H8640" s="8" t="n"/>
      <c r="I8640" s="8" t="n"/>
      <c r="J8640" s="8" t="n"/>
      <c r="K8640" s="8" t="n"/>
      <c r="L8640" s="8" t="n"/>
      <c r="M8640" s="9">
        <f>B8640+30</f>
        <v/>
      </c>
      <c r="N8640">
        <f>IF(L8640="", "", L8640-B8640)</f>
        <v/>
      </c>
      <c r="O8640">
        <f>IF(L8640="", "Pending", IF(N8640&lt;=30, "Met", "Breached"))</f>
        <v/>
      </c>
      <c r="P8640" s="8" t="n"/>
      <c r="Q8640" s="8" t="n"/>
      <c r="R8640" s="8" t="n"/>
      <c r="S8640" s="8" t="n"/>
      <c r="T8640" s="8" t="n"/>
      <c r="U8640" s="8" t="n"/>
      <c r="V8640" s="8" t="n"/>
      <c r="W8640" s="8" t="n"/>
      <c r="X8640" s="8" t="n"/>
      <c r="Y8640" s="8" t="n"/>
    </row>
    <row r="8641">
      <c r="A8641" s="8" t="n"/>
      <c r="B8641" s="8" t="n"/>
      <c r="C8641" s="8" t="n"/>
      <c r="D8641" s="8" t="n"/>
      <c r="E8641" s="8" t="n"/>
      <c r="F8641" s="8" t="n"/>
      <c r="G8641" s="8" t="n"/>
      <c r="H8641" s="8" t="n"/>
      <c r="I8641" s="8" t="n"/>
      <c r="J8641" s="8" t="n"/>
      <c r="K8641" s="8" t="n"/>
      <c r="L8641" s="8" t="n"/>
      <c r="M8641" s="9">
        <f>B8641+30</f>
        <v/>
      </c>
      <c r="N8641">
        <f>IF(L8641="", "", L8641-B8641)</f>
        <v/>
      </c>
      <c r="O8641">
        <f>IF(L8641="", "Pending", IF(N8641&lt;=30, "Met", "Breached"))</f>
        <v/>
      </c>
      <c r="P8641" s="8" t="n"/>
      <c r="Q8641" s="8" t="n"/>
      <c r="R8641" s="8" t="n"/>
      <c r="S8641" s="8" t="n"/>
      <c r="T8641" s="8" t="n"/>
      <c r="U8641" s="8" t="n"/>
      <c r="V8641" s="8" t="n"/>
      <c r="W8641" s="8" t="n"/>
      <c r="X8641" s="8" t="n"/>
      <c r="Y8641" s="8" t="n"/>
    </row>
    <row r="8642">
      <c r="A8642" s="8" t="n"/>
      <c r="B8642" s="8" t="n"/>
      <c r="C8642" s="8" t="n"/>
      <c r="D8642" s="8" t="n"/>
      <c r="E8642" s="8" t="n"/>
      <c r="F8642" s="8" t="n"/>
      <c r="G8642" s="8" t="n"/>
      <c r="H8642" s="8" t="n"/>
      <c r="I8642" s="8" t="n"/>
      <c r="J8642" s="8" t="n"/>
      <c r="K8642" s="8" t="n"/>
      <c r="L8642" s="8" t="n"/>
      <c r="M8642" s="9">
        <f>B8642+30</f>
        <v/>
      </c>
      <c r="N8642">
        <f>IF(L8642="", "", L8642-B8642)</f>
        <v/>
      </c>
      <c r="O8642">
        <f>IF(L8642="", "Pending", IF(N8642&lt;=30, "Met", "Breached"))</f>
        <v/>
      </c>
      <c r="P8642" s="8" t="n"/>
      <c r="Q8642" s="8" t="n"/>
      <c r="R8642" s="8" t="n"/>
      <c r="S8642" s="8" t="n"/>
      <c r="T8642" s="8" t="n"/>
      <c r="U8642" s="8" t="n"/>
      <c r="V8642" s="8" t="n"/>
      <c r="W8642" s="8" t="n"/>
      <c r="X8642" s="8" t="n"/>
      <c r="Y8642" s="8" t="n"/>
    </row>
    <row r="8643">
      <c r="A8643" s="8" t="n"/>
      <c r="B8643" s="8" t="n"/>
      <c r="C8643" s="8" t="n"/>
      <c r="D8643" s="8" t="n"/>
      <c r="E8643" s="8" t="n"/>
      <c r="F8643" s="8" t="n"/>
      <c r="G8643" s="8" t="n"/>
      <c r="H8643" s="8" t="n"/>
      <c r="I8643" s="8" t="n"/>
      <c r="J8643" s="8" t="n"/>
      <c r="K8643" s="8" t="n"/>
      <c r="L8643" s="8" t="n"/>
      <c r="M8643" s="9">
        <f>B8643+30</f>
        <v/>
      </c>
      <c r="N8643">
        <f>IF(L8643="", "", L8643-B8643)</f>
        <v/>
      </c>
      <c r="O8643">
        <f>IF(L8643="", "Pending", IF(N8643&lt;=30, "Met", "Breached"))</f>
        <v/>
      </c>
      <c r="P8643" s="8" t="n"/>
      <c r="Q8643" s="8" t="n"/>
      <c r="R8643" s="8" t="n"/>
      <c r="S8643" s="8" t="n"/>
      <c r="T8643" s="8" t="n"/>
      <c r="U8643" s="8" t="n"/>
      <c r="V8643" s="8" t="n"/>
      <c r="W8643" s="8" t="n"/>
      <c r="X8643" s="8" t="n"/>
      <c r="Y8643" s="8" t="n"/>
    </row>
    <row r="8644">
      <c r="A8644" s="8" t="n"/>
      <c r="B8644" s="8" t="n"/>
      <c r="C8644" s="8" t="n"/>
      <c r="D8644" s="8" t="n"/>
      <c r="E8644" s="8" t="n"/>
      <c r="F8644" s="8" t="n"/>
      <c r="G8644" s="8" t="n"/>
      <c r="H8644" s="8" t="n"/>
      <c r="I8644" s="8" t="n"/>
      <c r="J8644" s="8" t="n"/>
      <c r="K8644" s="8" t="n"/>
      <c r="L8644" s="8" t="n"/>
      <c r="M8644" s="9">
        <f>B8644+30</f>
        <v/>
      </c>
      <c r="N8644">
        <f>IF(L8644="", "", L8644-B8644)</f>
        <v/>
      </c>
      <c r="O8644">
        <f>IF(L8644="", "Pending", IF(N8644&lt;=30, "Met", "Breached"))</f>
        <v/>
      </c>
      <c r="P8644" s="8" t="n"/>
      <c r="Q8644" s="8" t="n"/>
      <c r="R8644" s="8" t="n"/>
      <c r="S8644" s="8" t="n"/>
      <c r="T8644" s="8" t="n"/>
      <c r="U8644" s="8" t="n"/>
      <c r="V8644" s="8" t="n"/>
      <c r="W8644" s="8" t="n"/>
      <c r="X8644" s="8" t="n"/>
      <c r="Y8644" s="8" t="n"/>
    </row>
    <row r="8645">
      <c r="A8645" s="8" t="n"/>
      <c r="B8645" s="8" t="n"/>
      <c r="C8645" s="8" t="n"/>
      <c r="D8645" s="8" t="n"/>
      <c r="E8645" s="8" t="n"/>
      <c r="F8645" s="8" t="n"/>
      <c r="G8645" s="8" t="n"/>
      <c r="H8645" s="8" t="n"/>
      <c r="I8645" s="8" t="n"/>
      <c r="J8645" s="8" t="n"/>
      <c r="K8645" s="8" t="n"/>
      <c r="L8645" s="8" t="n"/>
      <c r="M8645" s="9">
        <f>B8645+30</f>
        <v/>
      </c>
      <c r="N8645">
        <f>IF(L8645="", "", L8645-B8645)</f>
        <v/>
      </c>
      <c r="O8645">
        <f>IF(L8645="", "Pending", IF(N8645&lt;=30, "Met", "Breached"))</f>
        <v/>
      </c>
      <c r="P8645" s="8" t="n"/>
      <c r="Q8645" s="8" t="n"/>
      <c r="R8645" s="8" t="n"/>
      <c r="S8645" s="8" t="n"/>
      <c r="T8645" s="8" t="n"/>
      <c r="U8645" s="8" t="n"/>
      <c r="V8645" s="8" t="n"/>
      <c r="W8645" s="8" t="n"/>
      <c r="X8645" s="8" t="n"/>
      <c r="Y8645" s="8" t="n"/>
    </row>
    <row r="8646">
      <c r="A8646" s="8" t="n"/>
      <c r="B8646" s="8" t="n"/>
      <c r="C8646" s="8" t="n"/>
      <c r="D8646" s="8" t="n"/>
      <c r="E8646" s="8" t="n"/>
      <c r="F8646" s="8" t="n"/>
      <c r="G8646" s="8" t="n"/>
      <c r="H8646" s="8" t="n"/>
      <c r="I8646" s="8" t="n"/>
      <c r="J8646" s="8" t="n"/>
      <c r="K8646" s="8" t="n"/>
      <c r="L8646" s="8" t="n"/>
      <c r="M8646" s="9">
        <f>B8646+30</f>
        <v/>
      </c>
      <c r="N8646">
        <f>IF(L8646="", "", L8646-B8646)</f>
        <v/>
      </c>
      <c r="O8646">
        <f>IF(L8646="", "Pending", IF(N8646&lt;=30, "Met", "Breached"))</f>
        <v/>
      </c>
      <c r="P8646" s="8" t="n"/>
      <c r="Q8646" s="8" t="n"/>
      <c r="R8646" s="8" t="n"/>
      <c r="S8646" s="8" t="n"/>
      <c r="T8646" s="8" t="n"/>
      <c r="U8646" s="8" t="n"/>
      <c r="V8646" s="8" t="n"/>
      <c r="W8646" s="8" t="n"/>
      <c r="X8646" s="8" t="n"/>
      <c r="Y8646" s="8" t="n"/>
    </row>
    <row r="8647">
      <c r="A8647" s="8" t="n"/>
      <c r="B8647" s="8" t="n"/>
      <c r="C8647" s="8" t="n"/>
      <c r="D8647" s="8" t="n"/>
      <c r="E8647" s="8" t="n"/>
      <c r="F8647" s="8" t="n"/>
      <c r="G8647" s="8" t="n"/>
      <c r="H8647" s="8" t="n"/>
      <c r="I8647" s="8" t="n"/>
      <c r="J8647" s="8" t="n"/>
      <c r="K8647" s="8" t="n"/>
      <c r="L8647" s="8" t="n"/>
      <c r="M8647" s="9">
        <f>B8647+30</f>
        <v/>
      </c>
      <c r="N8647">
        <f>IF(L8647="", "", L8647-B8647)</f>
        <v/>
      </c>
      <c r="O8647">
        <f>IF(L8647="", "Pending", IF(N8647&lt;=30, "Met", "Breached"))</f>
        <v/>
      </c>
      <c r="P8647" s="8" t="n"/>
      <c r="Q8647" s="8" t="n"/>
      <c r="R8647" s="8" t="n"/>
      <c r="S8647" s="8" t="n"/>
      <c r="T8647" s="8" t="n"/>
      <c r="U8647" s="8" t="n"/>
      <c r="V8647" s="8" t="n"/>
      <c r="W8647" s="8" t="n"/>
      <c r="X8647" s="8" t="n"/>
      <c r="Y8647" s="8" t="n"/>
    </row>
    <row r="8648">
      <c r="A8648" s="8" t="n"/>
      <c r="B8648" s="8" t="n"/>
      <c r="C8648" s="8" t="n"/>
      <c r="D8648" s="8" t="n"/>
      <c r="E8648" s="8" t="n"/>
      <c r="F8648" s="8" t="n"/>
      <c r="G8648" s="8" t="n"/>
      <c r="H8648" s="8" t="n"/>
      <c r="I8648" s="8" t="n"/>
      <c r="J8648" s="8" t="n"/>
      <c r="K8648" s="8" t="n"/>
      <c r="L8648" s="8" t="n"/>
      <c r="M8648" s="9">
        <f>B8648+30</f>
        <v/>
      </c>
      <c r="N8648">
        <f>IF(L8648="", "", L8648-B8648)</f>
        <v/>
      </c>
      <c r="O8648">
        <f>IF(L8648="", "Pending", IF(N8648&lt;=30, "Met", "Breached"))</f>
        <v/>
      </c>
      <c r="P8648" s="8" t="n"/>
      <c r="Q8648" s="8" t="n"/>
      <c r="R8648" s="8" t="n"/>
      <c r="S8648" s="8" t="n"/>
      <c r="T8648" s="8" t="n"/>
      <c r="U8648" s="8" t="n"/>
      <c r="V8648" s="8" t="n"/>
      <c r="W8648" s="8" t="n"/>
      <c r="X8648" s="8" t="n"/>
      <c r="Y8648" s="8" t="n"/>
    </row>
    <row r="8649">
      <c r="A8649" s="8" t="n"/>
      <c r="B8649" s="8" t="n"/>
      <c r="C8649" s="8" t="n"/>
      <c r="D8649" s="8" t="n"/>
      <c r="E8649" s="8" t="n"/>
      <c r="F8649" s="8" t="n"/>
      <c r="G8649" s="8" t="n"/>
      <c r="H8649" s="8" t="n"/>
      <c r="I8649" s="8" t="n"/>
      <c r="J8649" s="8" t="n"/>
      <c r="K8649" s="8" t="n"/>
      <c r="L8649" s="8" t="n"/>
      <c r="M8649" s="9">
        <f>B8649+30</f>
        <v/>
      </c>
      <c r="N8649">
        <f>IF(L8649="", "", L8649-B8649)</f>
        <v/>
      </c>
      <c r="O8649">
        <f>IF(L8649="", "Pending", IF(N8649&lt;=30, "Met", "Breached"))</f>
        <v/>
      </c>
      <c r="P8649" s="8" t="n"/>
      <c r="Q8649" s="8" t="n"/>
      <c r="R8649" s="8" t="n"/>
      <c r="S8649" s="8" t="n"/>
      <c r="T8649" s="8" t="n"/>
      <c r="U8649" s="8" t="n"/>
      <c r="V8649" s="8" t="n"/>
      <c r="W8649" s="8" t="n"/>
      <c r="X8649" s="8" t="n"/>
      <c r="Y8649" s="8" t="n"/>
    </row>
    <row r="8650">
      <c r="A8650" s="8" t="n"/>
      <c r="B8650" s="8" t="n"/>
      <c r="C8650" s="8" t="n"/>
      <c r="D8650" s="8" t="n"/>
      <c r="E8650" s="8" t="n"/>
      <c r="F8650" s="8" t="n"/>
      <c r="G8650" s="8" t="n"/>
      <c r="H8650" s="8" t="n"/>
      <c r="I8650" s="8" t="n"/>
      <c r="J8650" s="8" t="n"/>
      <c r="K8650" s="8" t="n"/>
      <c r="L8650" s="8" t="n"/>
      <c r="M8650" s="9">
        <f>B8650+30</f>
        <v/>
      </c>
      <c r="N8650">
        <f>IF(L8650="", "", L8650-B8650)</f>
        <v/>
      </c>
      <c r="O8650">
        <f>IF(L8650="", "Pending", IF(N8650&lt;=30, "Met", "Breached"))</f>
        <v/>
      </c>
      <c r="P8650" s="8" t="n"/>
      <c r="Q8650" s="8" t="n"/>
      <c r="R8650" s="8" t="n"/>
      <c r="S8650" s="8" t="n"/>
      <c r="T8650" s="8" t="n"/>
      <c r="U8650" s="8" t="n"/>
      <c r="V8650" s="8" t="n"/>
      <c r="W8650" s="8" t="n"/>
      <c r="X8650" s="8" t="n"/>
      <c r="Y8650" s="8" t="n"/>
    </row>
    <row r="8651">
      <c r="A8651" s="8" t="n"/>
      <c r="B8651" s="8" t="n"/>
      <c r="C8651" s="8" t="n"/>
      <c r="D8651" s="8" t="n"/>
      <c r="E8651" s="8" t="n"/>
      <c r="F8651" s="8" t="n"/>
      <c r="G8651" s="8" t="n"/>
      <c r="H8651" s="8" t="n"/>
      <c r="I8651" s="8" t="n"/>
      <c r="J8651" s="8" t="n"/>
      <c r="K8651" s="8" t="n"/>
      <c r="L8651" s="8" t="n"/>
      <c r="M8651" s="9">
        <f>B8651+30</f>
        <v/>
      </c>
      <c r="N8651">
        <f>IF(L8651="", "", L8651-B8651)</f>
        <v/>
      </c>
      <c r="O8651">
        <f>IF(L8651="", "Pending", IF(N8651&lt;=30, "Met", "Breached"))</f>
        <v/>
      </c>
      <c r="P8651" s="8" t="n"/>
      <c r="Q8651" s="8" t="n"/>
      <c r="R8651" s="8" t="n"/>
      <c r="S8651" s="8" t="n"/>
      <c r="T8651" s="8" t="n"/>
      <c r="U8651" s="8" t="n"/>
      <c r="V8651" s="8" t="n"/>
      <c r="W8651" s="8" t="n"/>
      <c r="X8651" s="8" t="n"/>
      <c r="Y8651" s="8" t="n"/>
    </row>
    <row r="8652">
      <c r="A8652" s="8" t="n"/>
      <c r="B8652" s="8" t="n"/>
      <c r="C8652" s="8" t="n"/>
      <c r="D8652" s="8" t="n"/>
      <c r="E8652" s="8" t="n"/>
      <c r="F8652" s="8" t="n"/>
      <c r="G8652" s="8" t="n"/>
      <c r="H8652" s="8" t="n"/>
      <c r="I8652" s="8" t="n"/>
      <c r="J8652" s="8" t="n"/>
      <c r="K8652" s="8" t="n"/>
      <c r="L8652" s="8" t="n"/>
      <c r="M8652" s="9">
        <f>B8652+30</f>
        <v/>
      </c>
      <c r="N8652">
        <f>IF(L8652="", "", L8652-B8652)</f>
        <v/>
      </c>
      <c r="O8652">
        <f>IF(L8652="", "Pending", IF(N8652&lt;=30, "Met", "Breached"))</f>
        <v/>
      </c>
      <c r="P8652" s="8" t="n"/>
      <c r="Q8652" s="8" t="n"/>
      <c r="R8652" s="8" t="n"/>
      <c r="S8652" s="8" t="n"/>
      <c r="T8652" s="8" t="n"/>
      <c r="U8652" s="8" t="n"/>
      <c r="V8652" s="8" t="n"/>
      <c r="W8652" s="8" t="n"/>
      <c r="X8652" s="8" t="n"/>
      <c r="Y8652" s="8" t="n"/>
    </row>
    <row r="8653">
      <c r="A8653" s="8" t="n"/>
      <c r="B8653" s="8" t="n"/>
      <c r="C8653" s="8" t="n"/>
      <c r="D8653" s="8" t="n"/>
      <c r="E8653" s="8" t="n"/>
      <c r="F8653" s="8" t="n"/>
      <c r="G8653" s="8" t="n"/>
      <c r="H8653" s="8" t="n"/>
      <c r="I8653" s="8" t="n"/>
      <c r="J8653" s="8" t="n"/>
      <c r="K8653" s="8" t="n"/>
      <c r="L8653" s="8" t="n"/>
      <c r="M8653" s="9">
        <f>B8653+30</f>
        <v/>
      </c>
      <c r="N8653">
        <f>IF(L8653="", "", L8653-B8653)</f>
        <v/>
      </c>
      <c r="O8653">
        <f>IF(L8653="", "Pending", IF(N8653&lt;=30, "Met", "Breached"))</f>
        <v/>
      </c>
      <c r="P8653" s="8" t="n"/>
      <c r="Q8653" s="8" t="n"/>
      <c r="R8653" s="8" t="n"/>
      <c r="S8653" s="8" t="n"/>
      <c r="T8653" s="8" t="n"/>
      <c r="U8653" s="8" t="n"/>
      <c r="V8653" s="8" t="n"/>
      <c r="W8653" s="8" t="n"/>
      <c r="X8653" s="8" t="n"/>
      <c r="Y8653" s="8" t="n"/>
    </row>
    <row r="8654">
      <c r="A8654" s="8" t="n"/>
      <c r="B8654" s="8" t="n"/>
      <c r="C8654" s="8" t="n"/>
      <c r="D8654" s="8" t="n"/>
      <c r="E8654" s="8" t="n"/>
      <c r="F8654" s="8" t="n"/>
      <c r="G8654" s="8" t="n"/>
      <c r="H8654" s="8" t="n"/>
      <c r="I8654" s="8" t="n"/>
      <c r="J8654" s="8" t="n"/>
      <c r="K8654" s="8" t="n"/>
      <c r="L8654" s="8" t="n"/>
      <c r="M8654" s="9">
        <f>B8654+30</f>
        <v/>
      </c>
      <c r="N8654">
        <f>IF(L8654="", "", L8654-B8654)</f>
        <v/>
      </c>
      <c r="O8654">
        <f>IF(L8654="", "Pending", IF(N8654&lt;=30, "Met", "Breached"))</f>
        <v/>
      </c>
      <c r="P8654" s="8" t="n"/>
      <c r="Q8654" s="8" t="n"/>
      <c r="R8654" s="8" t="n"/>
      <c r="S8654" s="8" t="n"/>
      <c r="T8654" s="8" t="n"/>
      <c r="U8654" s="8" t="n"/>
      <c r="V8654" s="8" t="n"/>
      <c r="W8654" s="8" t="n"/>
      <c r="X8654" s="8" t="n"/>
      <c r="Y8654" s="8" t="n"/>
    </row>
    <row r="8655">
      <c r="A8655" s="8" t="n"/>
      <c r="B8655" s="8" t="n"/>
      <c r="C8655" s="8" t="n"/>
      <c r="D8655" s="8" t="n"/>
      <c r="E8655" s="8" t="n"/>
      <c r="F8655" s="8" t="n"/>
      <c r="G8655" s="8" t="n"/>
      <c r="H8655" s="8" t="n"/>
      <c r="I8655" s="8" t="n"/>
      <c r="J8655" s="8" t="n"/>
      <c r="K8655" s="8" t="n"/>
      <c r="L8655" s="8" t="n"/>
      <c r="M8655" s="9">
        <f>B8655+30</f>
        <v/>
      </c>
      <c r="N8655">
        <f>IF(L8655="", "", L8655-B8655)</f>
        <v/>
      </c>
      <c r="O8655">
        <f>IF(L8655="", "Pending", IF(N8655&lt;=30, "Met", "Breached"))</f>
        <v/>
      </c>
      <c r="P8655" s="8" t="n"/>
      <c r="Q8655" s="8" t="n"/>
      <c r="R8655" s="8" t="n"/>
      <c r="S8655" s="8" t="n"/>
      <c r="T8655" s="8" t="n"/>
      <c r="U8655" s="8" t="n"/>
      <c r="V8655" s="8" t="n"/>
      <c r="W8655" s="8" t="n"/>
      <c r="X8655" s="8" t="n"/>
      <c r="Y8655" s="8" t="n"/>
    </row>
    <row r="8656">
      <c r="A8656" s="8" t="n"/>
      <c r="B8656" s="8" t="n"/>
      <c r="C8656" s="8" t="n"/>
      <c r="D8656" s="8" t="n"/>
      <c r="E8656" s="8" t="n"/>
      <c r="F8656" s="8" t="n"/>
      <c r="G8656" s="8" t="n"/>
      <c r="H8656" s="8" t="n"/>
      <c r="I8656" s="8" t="n"/>
      <c r="J8656" s="8" t="n"/>
      <c r="K8656" s="8" t="n"/>
      <c r="L8656" s="8" t="n"/>
      <c r="M8656" s="9">
        <f>B8656+30</f>
        <v/>
      </c>
      <c r="N8656">
        <f>IF(L8656="", "", L8656-B8656)</f>
        <v/>
      </c>
      <c r="O8656">
        <f>IF(L8656="", "Pending", IF(N8656&lt;=30, "Met", "Breached"))</f>
        <v/>
      </c>
      <c r="P8656" s="8" t="n"/>
      <c r="Q8656" s="8" t="n"/>
      <c r="R8656" s="8" t="n"/>
      <c r="S8656" s="8" t="n"/>
      <c r="T8656" s="8" t="n"/>
      <c r="U8656" s="8" t="n"/>
      <c r="V8656" s="8" t="n"/>
      <c r="W8656" s="8" t="n"/>
      <c r="X8656" s="8" t="n"/>
      <c r="Y8656" s="8" t="n"/>
    </row>
    <row r="8657">
      <c r="A8657" s="8" t="n"/>
      <c r="B8657" s="8" t="n"/>
      <c r="C8657" s="8" t="n"/>
      <c r="D8657" s="8" t="n"/>
      <c r="E8657" s="8" t="n"/>
      <c r="F8657" s="8" t="n"/>
      <c r="G8657" s="8" t="n"/>
      <c r="H8657" s="8" t="n"/>
      <c r="I8657" s="8" t="n"/>
      <c r="J8657" s="8" t="n"/>
      <c r="K8657" s="8" t="n"/>
      <c r="L8657" s="8" t="n"/>
      <c r="M8657" s="9">
        <f>B8657+30</f>
        <v/>
      </c>
      <c r="N8657">
        <f>IF(L8657="", "", L8657-B8657)</f>
        <v/>
      </c>
      <c r="O8657">
        <f>IF(L8657="", "Pending", IF(N8657&lt;=30, "Met", "Breached"))</f>
        <v/>
      </c>
      <c r="P8657" s="8" t="n"/>
      <c r="Q8657" s="8" t="n"/>
      <c r="R8657" s="8" t="n"/>
      <c r="S8657" s="8" t="n"/>
      <c r="T8657" s="8" t="n"/>
      <c r="U8657" s="8" t="n"/>
      <c r="V8657" s="8" t="n"/>
      <c r="W8657" s="8" t="n"/>
      <c r="X8657" s="8" t="n"/>
      <c r="Y8657" s="8" t="n"/>
    </row>
    <row r="8658">
      <c r="A8658" s="8" t="n"/>
      <c r="B8658" s="8" t="n"/>
      <c r="C8658" s="8" t="n"/>
      <c r="D8658" s="8" t="n"/>
      <c r="E8658" s="8" t="n"/>
      <c r="F8658" s="8" t="n"/>
      <c r="G8658" s="8" t="n"/>
      <c r="H8658" s="8" t="n"/>
      <c r="I8658" s="8" t="n"/>
      <c r="J8658" s="8" t="n"/>
      <c r="K8658" s="8" t="n"/>
      <c r="L8658" s="8" t="n"/>
      <c r="M8658" s="9">
        <f>B8658+30</f>
        <v/>
      </c>
      <c r="N8658">
        <f>IF(L8658="", "", L8658-B8658)</f>
        <v/>
      </c>
      <c r="O8658">
        <f>IF(L8658="", "Pending", IF(N8658&lt;=30, "Met", "Breached"))</f>
        <v/>
      </c>
      <c r="P8658" s="8" t="n"/>
      <c r="Q8658" s="8" t="n"/>
      <c r="R8658" s="8" t="n"/>
      <c r="S8658" s="8" t="n"/>
      <c r="T8658" s="8" t="n"/>
      <c r="U8658" s="8" t="n"/>
      <c r="V8658" s="8" t="n"/>
      <c r="W8658" s="8" t="n"/>
      <c r="X8658" s="8" t="n"/>
      <c r="Y8658" s="8" t="n"/>
    </row>
    <row r="8659">
      <c r="A8659" s="8" t="n"/>
      <c r="B8659" s="8" t="n"/>
      <c r="C8659" s="8" t="n"/>
      <c r="D8659" s="8" t="n"/>
      <c r="E8659" s="8" t="n"/>
      <c r="F8659" s="8" t="n"/>
      <c r="G8659" s="8" t="n"/>
      <c r="H8659" s="8" t="n"/>
      <c r="I8659" s="8" t="n"/>
      <c r="J8659" s="8" t="n"/>
      <c r="K8659" s="8" t="n"/>
      <c r="L8659" s="8" t="n"/>
      <c r="M8659" s="9">
        <f>B8659+30</f>
        <v/>
      </c>
      <c r="N8659">
        <f>IF(L8659="", "", L8659-B8659)</f>
        <v/>
      </c>
      <c r="O8659">
        <f>IF(L8659="", "Pending", IF(N8659&lt;=30, "Met", "Breached"))</f>
        <v/>
      </c>
      <c r="P8659" s="8" t="n"/>
      <c r="Q8659" s="8" t="n"/>
      <c r="R8659" s="8" t="n"/>
      <c r="S8659" s="8" t="n"/>
      <c r="T8659" s="8" t="n"/>
      <c r="U8659" s="8" t="n"/>
      <c r="V8659" s="8" t="n"/>
      <c r="W8659" s="8" t="n"/>
      <c r="X8659" s="8" t="n"/>
      <c r="Y8659" s="8" t="n"/>
    </row>
    <row r="8660">
      <c r="A8660" s="8" t="n"/>
      <c r="B8660" s="8" t="n"/>
      <c r="C8660" s="8" t="n"/>
      <c r="D8660" s="8" t="n"/>
      <c r="E8660" s="8" t="n"/>
      <c r="F8660" s="8" t="n"/>
      <c r="G8660" s="8" t="n"/>
      <c r="H8660" s="8" t="n"/>
      <c r="I8660" s="8" t="n"/>
      <c r="J8660" s="8" t="n"/>
      <c r="K8660" s="8" t="n"/>
      <c r="L8660" s="8" t="n"/>
      <c r="M8660" s="9">
        <f>B8660+30</f>
        <v/>
      </c>
      <c r="N8660">
        <f>IF(L8660="", "", L8660-B8660)</f>
        <v/>
      </c>
      <c r="O8660">
        <f>IF(L8660="", "Pending", IF(N8660&lt;=30, "Met", "Breached"))</f>
        <v/>
      </c>
      <c r="P8660" s="8" t="n"/>
      <c r="Q8660" s="8" t="n"/>
      <c r="R8660" s="8" t="n"/>
      <c r="S8660" s="8" t="n"/>
      <c r="T8660" s="8" t="n"/>
      <c r="U8660" s="8" t="n"/>
      <c r="V8660" s="8" t="n"/>
      <c r="W8660" s="8" t="n"/>
      <c r="X8660" s="8" t="n"/>
      <c r="Y8660" s="8" t="n"/>
    </row>
    <row r="8661">
      <c r="A8661" s="8" t="n"/>
      <c r="B8661" s="8" t="n"/>
      <c r="C8661" s="8" t="n"/>
      <c r="D8661" s="8" t="n"/>
      <c r="E8661" s="8" t="n"/>
      <c r="F8661" s="8" t="n"/>
      <c r="G8661" s="8" t="n"/>
      <c r="H8661" s="8" t="n"/>
      <c r="I8661" s="8" t="n"/>
      <c r="J8661" s="8" t="n"/>
      <c r="K8661" s="8" t="n"/>
      <c r="L8661" s="8" t="n"/>
      <c r="M8661" s="9">
        <f>B8661+30</f>
        <v/>
      </c>
      <c r="N8661">
        <f>IF(L8661="", "", L8661-B8661)</f>
        <v/>
      </c>
      <c r="O8661">
        <f>IF(L8661="", "Pending", IF(N8661&lt;=30, "Met", "Breached"))</f>
        <v/>
      </c>
      <c r="P8661" s="8" t="n"/>
      <c r="Q8661" s="8" t="n"/>
      <c r="R8661" s="8" t="n"/>
      <c r="S8661" s="8" t="n"/>
      <c r="T8661" s="8" t="n"/>
      <c r="U8661" s="8" t="n"/>
      <c r="V8661" s="8" t="n"/>
      <c r="W8661" s="8" t="n"/>
      <c r="X8661" s="8" t="n"/>
      <c r="Y8661" s="8" t="n"/>
    </row>
    <row r="8662">
      <c r="A8662" s="8" t="n"/>
      <c r="B8662" s="8" t="n"/>
      <c r="C8662" s="8" t="n"/>
      <c r="D8662" s="8" t="n"/>
      <c r="E8662" s="8" t="n"/>
      <c r="F8662" s="8" t="n"/>
      <c r="G8662" s="8" t="n"/>
      <c r="H8662" s="8" t="n"/>
      <c r="I8662" s="8" t="n"/>
      <c r="J8662" s="8" t="n"/>
      <c r="K8662" s="8" t="n"/>
      <c r="L8662" s="8" t="n"/>
      <c r="M8662" s="9">
        <f>B8662+30</f>
        <v/>
      </c>
      <c r="N8662">
        <f>IF(L8662="", "", L8662-B8662)</f>
        <v/>
      </c>
      <c r="O8662">
        <f>IF(L8662="", "Pending", IF(N8662&lt;=30, "Met", "Breached"))</f>
        <v/>
      </c>
      <c r="P8662" s="8" t="n"/>
      <c r="Q8662" s="8" t="n"/>
      <c r="R8662" s="8" t="n"/>
      <c r="S8662" s="8" t="n"/>
      <c r="T8662" s="8" t="n"/>
      <c r="U8662" s="8" t="n"/>
      <c r="V8662" s="8" t="n"/>
      <c r="W8662" s="8" t="n"/>
      <c r="X8662" s="8" t="n"/>
      <c r="Y8662" s="8" t="n"/>
    </row>
    <row r="8663">
      <c r="A8663" s="8" t="n"/>
      <c r="B8663" s="8" t="n"/>
      <c r="C8663" s="8" t="n"/>
      <c r="D8663" s="8" t="n"/>
      <c r="E8663" s="8" t="n"/>
      <c r="F8663" s="8" t="n"/>
      <c r="G8663" s="8" t="n"/>
      <c r="H8663" s="8" t="n"/>
      <c r="I8663" s="8" t="n"/>
      <c r="J8663" s="8" t="n"/>
      <c r="K8663" s="8" t="n"/>
      <c r="L8663" s="8" t="n"/>
      <c r="M8663" s="9">
        <f>B8663+30</f>
        <v/>
      </c>
      <c r="N8663">
        <f>IF(L8663="", "", L8663-B8663)</f>
        <v/>
      </c>
      <c r="O8663">
        <f>IF(L8663="", "Pending", IF(N8663&lt;=30, "Met", "Breached"))</f>
        <v/>
      </c>
      <c r="P8663" s="8" t="n"/>
      <c r="Q8663" s="8" t="n"/>
      <c r="R8663" s="8" t="n"/>
      <c r="S8663" s="8" t="n"/>
      <c r="T8663" s="8" t="n"/>
      <c r="U8663" s="8" t="n"/>
      <c r="V8663" s="8" t="n"/>
      <c r="W8663" s="8" t="n"/>
      <c r="X8663" s="8" t="n"/>
      <c r="Y8663" s="8" t="n"/>
    </row>
    <row r="8664">
      <c r="A8664" s="8" t="n"/>
      <c r="B8664" s="8" t="n"/>
      <c r="C8664" s="8" t="n"/>
      <c r="D8664" s="8" t="n"/>
      <c r="E8664" s="8" t="n"/>
      <c r="F8664" s="8" t="n"/>
      <c r="G8664" s="8" t="n"/>
      <c r="H8664" s="8" t="n"/>
      <c r="I8664" s="8" t="n"/>
      <c r="J8664" s="8" t="n"/>
      <c r="K8664" s="8" t="n"/>
      <c r="L8664" s="8" t="n"/>
      <c r="M8664" s="9">
        <f>B8664+30</f>
        <v/>
      </c>
      <c r="N8664">
        <f>IF(L8664="", "", L8664-B8664)</f>
        <v/>
      </c>
      <c r="O8664">
        <f>IF(L8664="", "Pending", IF(N8664&lt;=30, "Met", "Breached"))</f>
        <v/>
      </c>
      <c r="P8664" s="8" t="n"/>
      <c r="Q8664" s="8" t="n"/>
      <c r="R8664" s="8" t="n"/>
      <c r="S8664" s="8" t="n"/>
      <c r="T8664" s="8" t="n"/>
      <c r="U8664" s="8" t="n"/>
      <c r="V8664" s="8" t="n"/>
      <c r="W8664" s="8" t="n"/>
      <c r="X8664" s="8" t="n"/>
      <c r="Y8664" s="8" t="n"/>
    </row>
    <row r="8665">
      <c r="A8665" s="8" t="n"/>
      <c r="B8665" s="8" t="n"/>
      <c r="C8665" s="8" t="n"/>
      <c r="D8665" s="8" t="n"/>
      <c r="E8665" s="8" t="n"/>
      <c r="F8665" s="8" t="n"/>
      <c r="G8665" s="8" t="n"/>
      <c r="H8665" s="8" t="n"/>
      <c r="I8665" s="8" t="n"/>
      <c r="J8665" s="8" t="n"/>
      <c r="K8665" s="8" t="n"/>
      <c r="L8665" s="8" t="n"/>
      <c r="M8665" s="9">
        <f>B8665+30</f>
        <v/>
      </c>
      <c r="N8665">
        <f>IF(L8665="", "", L8665-B8665)</f>
        <v/>
      </c>
      <c r="O8665">
        <f>IF(L8665="", "Pending", IF(N8665&lt;=30, "Met", "Breached"))</f>
        <v/>
      </c>
      <c r="P8665" s="8" t="n"/>
      <c r="Q8665" s="8" t="n"/>
      <c r="R8665" s="8" t="n"/>
      <c r="S8665" s="8" t="n"/>
      <c r="T8665" s="8" t="n"/>
      <c r="U8665" s="8" t="n"/>
      <c r="V8665" s="8" t="n"/>
      <c r="W8665" s="8" t="n"/>
      <c r="X8665" s="8" t="n"/>
      <c r="Y8665" s="8" t="n"/>
    </row>
    <row r="8666">
      <c r="A8666" s="8" t="n"/>
      <c r="B8666" s="8" t="n"/>
      <c r="C8666" s="8" t="n"/>
      <c r="D8666" s="8" t="n"/>
      <c r="E8666" s="8" t="n"/>
      <c r="F8666" s="8" t="n"/>
      <c r="G8666" s="8" t="n"/>
      <c r="H8666" s="8" t="n"/>
      <c r="I8666" s="8" t="n"/>
      <c r="J8666" s="8" t="n"/>
      <c r="K8666" s="8" t="n"/>
      <c r="L8666" s="8" t="n"/>
      <c r="M8666" s="9">
        <f>B8666+30</f>
        <v/>
      </c>
      <c r="N8666">
        <f>IF(L8666="", "", L8666-B8666)</f>
        <v/>
      </c>
      <c r="O8666">
        <f>IF(L8666="", "Pending", IF(N8666&lt;=30, "Met", "Breached"))</f>
        <v/>
      </c>
      <c r="P8666" s="8" t="n"/>
      <c r="Q8666" s="8" t="n"/>
      <c r="R8666" s="8" t="n"/>
      <c r="S8666" s="8" t="n"/>
      <c r="T8666" s="8" t="n"/>
      <c r="U8666" s="8" t="n"/>
      <c r="V8666" s="8" t="n"/>
      <c r="W8666" s="8" t="n"/>
      <c r="X8666" s="8" t="n"/>
      <c r="Y8666" s="8" t="n"/>
    </row>
    <row r="8667">
      <c r="A8667" s="8" t="n"/>
      <c r="B8667" s="8" t="n"/>
      <c r="C8667" s="8" t="n"/>
      <c r="D8667" s="8" t="n"/>
      <c r="E8667" s="8" t="n"/>
      <c r="F8667" s="8" t="n"/>
      <c r="G8667" s="8" t="n"/>
      <c r="H8667" s="8" t="n"/>
      <c r="I8667" s="8" t="n"/>
      <c r="J8667" s="8" t="n"/>
      <c r="K8667" s="8" t="n"/>
      <c r="L8667" s="8" t="n"/>
      <c r="M8667" s="9">
        <f>B8667+30</f>
        <v/>
      </c>
      <c r="N8667">
        <f>IF(L8667="", "", L8667-B8667)</f>
        <v/>
      </c>
      <c r="O8667">
        <f>IF(L8667="", "Pending", IF(N8667&lt;=30, "Met", "Breached"))</f>
        <v/>
      </c>
      <c r="P8667" s="8" t="n"/>
      <c r="Q8667" s="8" t="n"/>
      <c r="R8667" s="8" t="n"/>
      <c r="S8667" s="8" t="n"/>
      <c r="T8667" s="8" t="n"/>
      <c r="U8667" s="8" t="n"/>
      <c r="V8667" s="8" t="n"/>
      <c r="W8667" s="8" t="n"/>
      <c r="X8667" s="8" t="n"/>
      <c r="Y8667" s="8" t="n"/>
    </row>
    <row r="8668">
      <c r="A8668" s="8" t="n"/>
      <c r="B8668" s="8" t="n"/>
      <c r="C8668" s="8" t="n"/>
      <c r="D8668" s="8" t="n"/>
      <c r="E8668" s="8" t="n"/>
      <c r="F8668" s="8" t="n"/>
      <c r="G8668" s="8" t="n"/>
      <c r="H8668" s="8" t="n"/>
      <c r="I8668" s="8" t="n"/>
      <c r="J8668" s="8" t="n"/>
      <c r="K8668" s="8" t="n"/>
      <c r="L8668" s="8" t="n"/>
      <c r="M8668" s="9">
        <f>B8668+30</f>
        <v/>
      </c>
      <c r="N8668">
        <f>IF(L8668="", "", L8668-B8668)</f>
        <v/>
      </c>
      <c r="O8668">
        <f>IF(L8668="", "Pending", IF(N8668&lt;=30, "Met", "Breached"))</f>
        <v/>
      </c>
      <c r="P8668" s="8" t="n"/>
      <c r="Q8668" s="8" t="n"/>
      <c r="R8668" s="8" t="n"/>
      <c r="S8668" s="8" t="n"/>
      <c r="T8668" s="8" t="n"/>
      <c r="U8668" s="8" t="n"/>
      <c r="V8668" s="8" t="n"/>
      <c r="W8668" s="8" t="n"/>
      <c r="X8668" s="8" t="n"/>
      <c r="Y8668" s="8" t="n"/>
    </row>
    <row r="8669">
      <c r="A8669" s="8" t="n"/>
      <c r="B8669" s="8" t="n"/>
      <c r="C8669" s="8" t="n"/>
      <c r="D8669" s="8" t="n"/>
      <c r="E8669" s="8" t="n"/>
      <c r="F8669" s="8" t="n"/>
      <c r="G8669" s="8" t="n"/>
      <c r="H8669" s="8" t="n"/>
      <c r="I8669" s="8" t="n"/>
      <c r="J8669" s="8" t="n"/>
      <c r="K8669" s="8" t="n"/>
      <c r="L8669" s="8" t="n"/>
      <c r="M8669" s="9">
        <f>B8669+30</f>
        <v/>
      </c>
      <c r="N8669">
        <f>IF(L8669="", "", L8669-B8669)</f>
        <v/>
      </c>
      <c r="O8669">
        <f>IF(L8669="", "Pending", IF(N8669&lt;=30, "Met", "Breached"))</f>
        <v/>
      </c>
      <c r="P8669" s="8" t="n"/>
      <c r="Q8669" s="8" t="n"/>
      <c r="R8669" s="8" t="n"/>
      <c r="S8669" s="8" t="n"/>
      <c r="T8669" s="8" t="n"/>
      <c r="U8669" s="8" t="n"/>
      <c r="V8669" s="8" t="n"/>
      <c r="W8669" s="8" t="n"/>
      <c r="X8669" s="8" t="n"/>
      <c r="Y8669" s="8" t="n"/>
    </row>
    <row r="8670">
      <c r="A8670" s="8" t="n"/>
      <c r="B8670" s="8" t="n"/>
      <c r="C8670" s="8" t="n"/>
      <c r="D8670" s="8" t="n"/>
      <c r="E8670" s="8" t="n"/>
      <c r="F8670" s="8" t="n"/>
      <c r="G8670" s="8" t="n"/>
      <c r="H8670" s="8" t="n"/>
      <c r="I8670" s="8" t="n"/>
      <c r="J8670" s="8" t="n"/>
      <c r="K8670" s="8" t="n"/>
      <c r="L8670" s="8" t="n"/>
      <c r="M8670" s="9">
        <f>B8670+30</f>
        <v/>
      </c>
      <c r="N8670">
        <f>IF(L8670="", "", L8670-B8670)</f>
        <v/>
      </c>
      <c r="O8670">
        <f>IF(L8670="", "Pending", IF(N8670&lt;=30, "Met", "Breached"))</f>
        <v/>
      </c>
      <c r="P8670" s="8" t="n"/>
      <c r="Q8670" s="8" t="n"/>
      <c r="R8670" s="8" t="n"/>
      <c r="S8670" s="8" t="n"/>
      <c r="T8670" s="8" t="n"/>
      <c r="U8670" s="8" t="n"/>
      <c r="V8670" s="8" t="n"/>
      <c r="W8670" s="8" t="n"/>
      <c r="X8670" s="8" t="n"/>
      <c r="Y8670" s="8" t="n"/>
    </row>
    <row r="8671">
      <c r="A8671" s="8" t="n"/>
      <c r="B8671" s="8" t="n"/>
      <c r="C8671" s="8" t="n"/>
      <c r="D8671" s="8" t="n"/>
      <c r="E8671" s="8" t="n"/>
      <c r="F8671" s="8" t="n"/>
      <c r="G8671" s="8" t="n"/>
      <c r="H8671" s="8" t="n"/>
      <c r="I8671" s="8" t="n"/>
      <c r="J8671" s="8" t="n"/>
      <c r="K8671" s="8" t="n"/>
      <c r="L8671" s="8" t="n"/>
      <c r="M8671" s="9">
        <f>B8671+30</f>
        <v/>
      </c>
      <c r="N8671">
        <f>IF(L8671="", "", L8671-B8671)</f>
        <v/>
      </c>
      <c r="O8671">
        <f>IF(L8671="", "Pending", IF(N8671&lt;=30, "Met", "Breached"))</f>
        <v/>
      </c>
      <c r="P8671" s="8" t="n"/>
      <c r="Q8671" s="8" t="n"/>
      <c r="R8671" s="8" t="n"/>
      <c r="S8671" s="8" t="n"/>
      <c r="T8671" s="8" t="n"/>
      <c r="U8671" s="8" t="n"/>
      <c r="V8671" s="8" t="n"/>
      <c r="W8671" s="8" t="n"/>
      <c r="X8671" s="8" t="n"/>
      <c r="Y8671" s="8" t="n"/>
    </row>
    <row r="8672">
      <c r="A8672" s="8" t="n"/>
      <c r="B8672" s="8" t="n"/>
      <c r="C8672" s="8" t="n"/>
      <c r="D8672" s="8" t="n"/>
      <c r="E8672" s="8" t="n"/>
      <c r="F8672" s="8" t="n"/>
      <c r="G8672" s="8" t="n"/>
      <c r="H8672" s="8" t="n"/>
      <c r="I8672" s="8" t="n"/>
      <c r="J8672" s="8" t="n"/>
      <c r="K8672" s="8" t="n"/>
      <c r="L8672" s="8" t="n"/>
      <c r="M8672" s="9">
        <f>B8672+30</f>
        <v/>
      </c>
      <c r="N8672">
        <f>IF(L8672="", "", L8672-B8672)</f>
        <v/>
      </c>
      <c r="O8672">
        <f>IF(L8672="", "Pending", IF(N8672&lt;=30, "Met", "Breached"))</f>
        <v/>
      </c>
      <c r="P8672" s="8" t="n"/>
      <c r="Q8672" s="8" t="n"/>
      <c r="R8672" s="8" t="n"/>
      <c r="S8672" s="8" t="n"/>
      <c r="T8672" s="8" t="n"/>
      <c r="U8672" s="8" t="n"/>
      <c r="V8672" s="8" t="n"/>
      <c r="W8672" s="8" t="n"/>
      <c r="X8672" s="8" t="n"/>
      <c r="Y8672" s="8" t="n"/>
    </row>
    <row r="8673">
      <c r="A8673" s="8" t="n"/>
      <c r="B8673" s="8" t="n"/>
      <c r="C8673" s="8" t="n"/>
      <c r="D8673" s="8" t="n"/>
      <c r="E8673" s="8" t="n"/>
      <c r="F8673" s="8" t="n"/>
      <c r="G8673" s="8" t="n"/>
      <c r="H8673" s="8" t="n"/>
      <c r="I8673" s="8" t="n"/>
      <c r="J8673" s="8" t="n"/>
      <c r="K8673" s="8" t="n"/>
      <c r="L8673" s="8" t="n"/>
      <c r="M8673" s="9">
        <f>B8673+30</f>
        <v/>
      </c>
      <c r="N8673">
        <f>IF(L8673="", "", L8673-B8673)</f>
        <v/>
      </c>
      <c r="O8673">
        <f>IF(L8673="", "Pending", IF(N8673&lt;=30, "Met", "Breached"))</f>
        <v/>
      </c>
      <c r="P8673" s="8" t="n"/>
      <c r="Q8673" s="8" t="n"/>
      <c r="R8673" s="8" t="n"/>
      <c r="S8673" s="8" t="n"/>
      <c r="T8673" s="8" t="n"/>
      <c r="U8673" s="8" t="n"/>
      <c r="V8673" s="8" t="n"/>
      <c r="W8673" s="8" t="n"/>
      <c r="X8673" s="8" t="n"/>
      <c r="Y8673" s="8" t="n"/>
    </row>
    <row r="8674">
      <c r="A8674" s="8" t="n"/>
      <c r="B8674" s="8" t="n"/>
      <c r="C8674" s="8" t="n"/>
      <c r="D8674" s="8" t="n"/>
      <c r="E8674" s="8" t="n"/>
      <c r="F8674" s="8" t="n"/>
      <c r="G8674" s="8" t="n"/>
      <c r="H8674" s="8" t="n"/>
      <c r="I8674" s="8" t="n"/>
      <c r="J8674" s="8" t="n"/>
      <c r="K8674" s="8" t="n"/>
      <c r="L8674" s="8" t="n"/>
      <c r="M8674" s="9">
        <f>B8674+30</f>
        <v/>
      </c>
      <c r="N8674">
        <f>IF(L8674="", "", L8674-B8674)</f>
        <v/>
      </c>
      <c r="O8674">
        <f>IF(L8674="", "Pending", IF(N8674&lt;=30, "Met", "Breached"))</f>
        <v/>
      </c>
      <c r="P8674" s="8" t="n"/>
      <c r="Q8674" s="8" t="n"/>
      <c r="R8674" s="8" t="n"/>
      <c r="S8674" s="8" t="n"/>
      <c r="T8674" s="8" t="n"/>
      <c r="U8674" s="8" t="n"/>
      <c r="V8674" s="8" t="n"/>
      <c r="W8674" s="8" t="n"/>
      <c r="X8674" s="8" t="n"/>
      <c r="Y8674" s="8" t="n"/>
    </row>
    <row r="8675">
      <c r="A8675" s="8" t="n"/>
      <c r="B8675" s="8" t="n"/>
      <c r="C8675" s="8" t="n"/>
      <c r="D8675" s="8" t="n"/>
      <c r="E8675" s="8" t="n"/>
      <c r="F8675" s="8" t="n"/>
      <c r="G8675" s="8" t="n"/>
      <c r="H8675" s="8" t="n"/>
      <c r="I8675" s="8" t="n"/>
      <c r="J8675" s="8" t="n"/>
      <c r="K8675" s="8" t="n"/>
      <c r="L8675" s="8" t="n"/>
      <c r="M8675" s="9">
        <f>B8675+30</f>
        <v/>
      </c>
      <c r="N8675">
        <f>IF(L8675="", "", L8675-B8675)</f>
        <v/>
      </c>
      <c r="O8675">
        <f>IF(L8675="", "Pending", IF(N8675&lt;=30, "Met", "Breached"))</f>
        <v/>
      </c>
      <c r="P8675" s="8" t="n"/>
      <c r="Q8675" s="8" t="n"/>
      <c r="R8675" s="8" t="n"/>
      <c r="S8675" s="8" t="n"/>
      <c r="T8675" s="8" t="n"/>
      <c r="U8675" s="8" t="n"/>
      <c r="V8675" s="8" t="n"/>
      <c r="W8675" s="8" t="n"/>
      <c r="X8675" s="8" t="n"/>
      <c r="Y8675" s="8" t="n"/>
    </row>
    <row r="8676">
      <c r="A8676" s="8" t="n"/>
      <c r="B8676" s="8" t="n"/>
      <c r="C8676" s="8" t="n"/>
      <c r="D8676" s="8" t="n"/>
      <c r="E8676" s="8" t="n"/>
      <c r="F8676" s="8" t="n"/>
      <c r="G8676" s="8" t="n"/>
      <c r="H8676" s="8" t="n"/>
      <c r="I8676" s="8" t="n"/>
      <c r="J8676" s="8" t="n"/>
      <c r="K8676" s="8" t="n"/>
      <c r="L8676" s="8" t="n"/>
      <c r="M8676" s="9">
        <f>B8676+30</f>
        <v/>
      </c>
      <c r="N8676">
        <f>IF(L8676="", "", L8676-B8676)</f>
        <v/>
      </c>
      <c r="O8676">
        <f>IF(L8676="", "Pending", IF(N8676&lt;=30, "Met", "Breached"))</f>
        <v/>
      </c>
      <c r="P8676" s="8" t="n"/>
      <c r="Q8676" s="8" t="n"/>
      <c r="R8676" s="8" t="n"/>
      <c r="S8676" s="8" t="n"/>
      <c r="T8676" s="8" t="n"/>
      <c r="U8676" s="8" t="n"/>
      <c r="V8676" s="8" t="n"/>
      <c r="W8676" s="8" t="n"/>
      <c r="X8676" s="8" t="n"/>
      <c r="Y8676" s="8" t="n"/>
    </row>
    <row r="8677">
      <c r="A8677" s="8" t="n"/>
      <c r="B8677" s="8" t="n"/>
      <c r="C8677" s="8" t="n"/>
      <c r="D8677" s="8" t="n"/>
      <c r="E8677" s="8" t="n"/>
      <c r="F8677" s="8" t="n"/>
      <c r="G8677" s="8" t="n"/>
      <c r="H8677" s="8" t="n"/>
      <c r="I8677" s="8" t="n"/>
      <c r="J8677" s="8" t="n"/>
      <c r="K8677" s="8" t="n"/>
      <c r="L8677" s="8" t="n"/>
      <c r="M8677" s="9">
        <f>B8677+30</f>
        <v/>
      </c>
      <c r="N8677">
        <f>IF(L8677="", "", L8677-B8677)</f>
        <v/>
      </c>
      <c r="O8677">
        <f>IF(L8677="", "Pending", IF(N8677&lt;=30, "Met", "Breached"))</f>
        <v/>
      </c>
      <c r="P8677" s="8" t="n"/>
      <c r="Q8677" s="8" t="n"/>
      <c r="R8677" s="8" t="n"/>
      <c r="S8677" s="8" t="n"/>
      <c r="T8677" s="8" t="n"/>
      <c r="U8677" s="8" t="n"/>
      <c r="V8677" s="8" t="n"/>
      <c r="W8677" s="8" t="n"/>
      <c r="X8677" s="8" t="n"/>
      <c r="Y8677" s="8" t="n"/>
    </row>
    <row r="8678">
      <c r="A8678" s="8" t="n"/>
      <c r="B8678" s="8" t="n"/>
      <c r="C8678" s="8" t="n"/>
      <c r="D8678" s="8" t="n"/>
      <c r="E8678" s="8" t="n"/>
      <c r="F8678" s="8" t="n"/>
      <c r="G8678" s="8" t="n"/>
      <c r="H8678" s="8" t="n"/>
      <c r="I8678" s="8" t="n"/>
      <c r="J8678" s="8" t="n"/>
      <c r="K8678" s="8" t="n"/>
      <c r="L8678" s="8" t="n"/>
      <c r="M8678" s="9">
        <f>B8678+30</f>
        <v/>
      </c>
      <c r="N8678">
        <f>IF(L8678="", "", L8678-B8678)</f>
        <v/>
      </c>
      <c r="O8678">
        <f>IF(L8678="", "Pending", IF(N8678&lt;=30, "Met", "Breached"))</f>
        <v/>
      </c>
      <c r="P8678" s="8" t="n"/>
      <c r="Q8678" s="8" t="n"/>
      <c r="R8678" s="8" t="n"/>
      <c r="S8678" s="8" t="n"/>
      <c r="T8678" s="8" t="n"/>
      <c r="U8678" s="8" t="n"/>
      <c r="V8678" s="8" t="n"/>
      <c r="W8678" s="8" t="n"/>
      <c r="X8678" s="8" t="n"/>
      <c r="Y8678" s="8" t="n"/>
    </row>
    <row r="8679">
      <c r="A8679" s="8" t="n"/>
      <c r="B8679" s="8" t="n"/>
      <c r="C8679" s="8" t="n"/>
      <c r="D8679" s="8" t="n"/>
      <c r="E8679" s="8" t="n"/>
      <c r="F8679" s="8" t="n"/>
      <c r="G8679" s="8" t="n"/>
      <c r="H8679" s="8" t="n"/>
      <c r="I8679" s="8" t="n"/>
      <c r="J8679" s="8" t="n"/>
      <c r="K8679" s="8" t="n"/>
      <c r="L8679" s="8" t="n"/>
      <c r="M8679" s="9">
        <f>B8679+30</f>
        <v/>
      </c>
      <c r="N8679">
        <f>IF(L8679="", "", L8679-B8679)</f>
        <v/>
      </c>
      <c r="O8679">
        <f>IF(L8679="", "Pending", IF(N8679&lt;=30, "Met", "Breached"))</f>
        <v/>
      </c>
      <c r="P8679" s="8" t="n"/>
      <c r="Q8679" s="8" t="n"/>
      <c r="R8679" s="8" t="n"/>
      <c r="S8679" s="8" t="n"/>
      <c r="T8679" s="8" t="n"/>
      <c r="U8679" s="8" t="n"/>
      <c r="V8679" s="8" t="n"/>
      <c r="W8679" s="8" t="n"/>
      <c r="X8679" s="8" t="n"/>
      <c r="Y8679" s="8" t="n"/>
    </row>
    <row r="8680">
      <c r="A8680" s="8" t="n"/>
      <c r="B8680" s="8" t="n"/>
      <c r="C8680" s="8" t="n"/>
      <c r="D8680" s="8" t="n"/>
      <c r="E8680" s="8" t="n"/>
      <c r="F8680" s="8" t="n"/>
      <c r="G8680" s="8" t="n"/>
      <c r="H8680" s="8" t="n"/>
      <c r="I8680" s="8" t="n"/>
      <c r="J8680" s="8" t="n"/>
      <c r="K8680" s="8" t="n"/>
      <c r="L8680" s="8" t="n"/>
      <c r="M8680" s="9">
        <f>B8680+30</f>
        <v/>
      </c>
      <c r="N8680">
        <f>IF(L8680="", "", L8680-B8680)</f>
        <v/>
      </c>
      <c r="O8680">
        <f>IF(L8680="", "Pending", IF(N8680&lt;=30, "Met", "Breached"))</f>
        <v/>
      </c>
      <c r="P8680" s="8" t="n"/>
      <c r="Q8680" s="8" t="n"/>
      <c r="R8680" s="8" t="n"/>
      <c r="S8680" s="8" t="n"/>
      <c r="T8680" s="8" t="n"/>
      <c r="U8680" s="8" t="n"/>
      <c r="V8680" s="8" t="n"/>
      <c r="W8680" s="8" t="n"/>
      <c r="X8680" s="8" t="n"/>
      <c r="Y8680" s="8" t="n"/>
    </row>
    <row r="8681">
      <c r="A8681" s="8" t="n"/>
      <c r="B8681" s="8" t="n"/>
      <c r="C8681" s="8" t="n"/>
      <c r="D8681" s="8" t="n"/>
      <c r="E8681" s="8" t="n"/>
      <c r="F8681" s="8" t="n"/>
      <c r="G8681" s="8" t="n"/>
      <c r="H8681" s="8" t="n"/>
      <c r="I8681" s="8" t="n"/>
      <c r="J8681" s="8" t="n"/>
      <c r="K8681" s="8" t="n"/>
      <c r="L8681" s="8" t="n"/>
      <c r="M8681" s="9">
        <f>B8681+30</f>
        <v/>
      </c>
      <c r="N8681">
        <f>IF(L8681="", "", L8681-B8681)</f>
        <v/>
      </c>
      <c r="O8681">
        <f>IF(L8681="", "Pending", IF(N8681&lt;=30, "Met", "Breached"))</f>
        <v/>
      </c>
      <c r="P8681" s="8" t="n"/>
      <c r="Q8681" s="8" t="n"/>
      <c r="R8681" s="8" t="n"/>
      <c r="S8681" s="8" t="n"/>
      <c r="T8681" s="8" t="n"/>
      <c r="U8681" s="8" t="n"/>
      <c r="V8681" s="8" t="n"/>
      <c r="W8681" s="8" t="n"/>
      <c r="X8681" s="8" t="n"/>
      <c r="Y8681" s="8" t="n"/>
    </row>
    <row r="8682">
      <c r="A8682" s="8" t="n"/>
      <c r="B8682" s="8" t="n"/>
      <c r="C8682" s="8" t="n"/>
      <c r="D8682" s="8" t="n"/>
      <c r="E8682" s="8" t="n"/>
      <c r="F8682" s="8" t="n"/>
      <c r="G8682" s="8" t="n"/>
      <c r="H8682" s="8" t="n"/>
      <c r="I8682" s="8" t="n"/>
      <c r="J8682" s="8" t="n"/>
      <c r="K8682" s="8" t="n"/>
      <c r="L8682" s="8" t="n"/>
      <c r="M8682" s="9">
        <f>B8682+30</f>
        <v/>
      </c>
      <c r="N8682">
        <f>IF(L8682="", "", L8682-B8682)</f>
        <v/>
      </c>
      <c r="O8682">
        <f>IF(L8682="", "Pending", IF(N8682&lt;=30, "Met", "Breached"))</f>
        <v/>
      </c>
      <c r="P8682" s="8" t="n"/>
      <c r="Q8682" s="8" t="n"/>
      <c r="R8682" s="8" t="n"/>
      <c r="S8682" s="8" t="n"/>
      <c r="T8682" s="8" t="n"/>
      <c r="U8682" s="8" t="n"/>
      <c r="V8682" s="8" t="n"/>
      <c r="W8682" s="8" t="n"/>
      <c r="X8682" s="8" t="n"/>
      <c r="Y8682" s="8" t="n"/>
    </row>
    <row r="8683">
      <c r="A8683" s="8" t="n"/>
      <c r="B8683" s="8" t="n"/>
      <c r="C8683" s="8" t="n"/>
      <c r="D8683" s="8" t="n"/>
      <c r="E8683" s="8" t="n"/>
      <c r="F8683" s="8" t="n"/>
      <c r="G8683" s="8" t="n"/>
      <c r="H8683" s="8" t="n"/>
      <c r="I8683" s="8" t="n"/>
      <c r="J8683" s="8" t="n"/>
      <c r="K8683" s="8" t="n"/>
      <c r="L8683" s="8" t="n"/>
      <c r="M8683" s="9">
        <f>B8683+30</f>
        <v/>
      </c>
      <c r="N8683">
        <f>IF(L8683="", "", L8683-B8683)</f>
        <v/>
      </c>
      <c r="O8683">
        <f>IF(L8683="", "Pending", IF(N8683&lt;=30, "Met", "Breached"))</f>
        <v/>
      </c>
      <c r="P8683" s="8" t="n"/>
      <c r="Q8683" s="8" t="n"/>
      <c r="R8683" s="8" t="n"/>
      <c r="S8683" s="8" t="n"/>
      <c r="T8683" s="8" t="n"/>
      <c r="U8683" s="8" t="n"/>
      <c r="V8683" s="8" t="n"/>
      <c r="W8683" s="8" t="n"/>
      <c r="X8683" s="8" t="n"/>
      <c r="Y8683" s="8" t="n"/>
    </row>
    <row r="8684">
      <c r="A8684" s="8" t="n"/>
      <c r="B8684" s="8" t="n"/>
      <c r="C8684" s="8" t="n"/>
      <c r="D8684" s="8" t="n"/>
      <c r="E8684" s="8" t="n"/>
      <c r="F8684" s="8" t="n"/>
      <c r="G8684" s="8" t="n"/>
      <c r="H8684" s="8" t="n"/>
      <c r="I8684" s="8" t="n"/>
      <c r="J8684" s="8" t="n"/>
      <c r="K8684" s="8" t="n"/>
      <c r="L8684" s="8" t="n"/>
      <c r="M8684" s="9">
        <f>B8684+30</f>
        <v/>
      </c>
      <c r="N8684">
        <f>IF(L8684="", "", L8684-B8684)</f>
        <v/>
      </c>
      <c r="O8684">
        <f>IF(L8684="", "Pending", IF(N8684&lt;=30, "Met", "Breached"))</f>
        <v/>
      </c>
      <c r="P8684" s="8" t="n"/>
      <c r="Q8684" s="8" t="n"/>
      <c r="R8684" s="8" t="n"/>
      <c r="S8684" s="8" t="n"/>
      <c r="T8684" s="8" t="n"/>
      <c r="U8684" s="8" t="n"/>
      <c r="V8684" s="8" t="n"/>
      <c r="W8684" s="8" t="n"/>
      <c r="X8684" s="8" t="n"/>
      <c r="Y8684" s="8" t="n"/>
    </row>
    <row r="8685">
      <c r="A8685" s="8" t="n"/>
      <c r="B8685" s="8" t="n"/>
      <c r="C8685" s="8" t="n"/>
      <c r="D8685" s="8" t="n"/>
      <c r="E8685" s="8" t="n"/>
      <c r="F8685" s="8" t="n"/>
      <c r="G8685" s="8" t="n"/>
      <c r="H8685" s="8" t="n"/>
      <c r="I8685" s="8" t="n"/>
      <c r="J8685" s="8" t="n"/>
      <c r="K8685" s="8" t="n"/>
      <c r="L8685" s="8" t="n"/>
      <c r="M8685" s="9">
        <f>B8685+30</f>
        <v/>
      </c>
      <c r="N8685">
        <f>IF(L8685="", "", L8685-B8685)</f>
        <v/>
      </c>
      <c r="O8685">
        <f>IF(L8685="", "Pending", IF(N8685&lt;=30, "Met", "Breached"))</f>
        <v/>
      </c>
      <c r="P8685" s="8" t="n"/>
      <c r="Q8685" s="8" t="n"/>
      <c r="R8685" s="8" t="n"/>
      <c r="S8685" s="8" t="n"/>
      <c r="T8685" s="8" t="n"/>
      <c r="U8685" s="8" t="n"/>
      <c r="V8685" s="8" t="n"/>
      <c r="W8685" s="8" t="n"/>
      <c r="X8685" s="8" t="n"/>
      <c r="Y8685" s="8" t="n"/>
    </row>
    <row r="8686">
      <c r="A8686" s="8" t="n"/>
      <c r="B8686" s="8" t="n"/>
      <c r="C8686" s="8" t="n"/>
      <c r="D8686" s="8" t="n"/>
      <c r="E8686" s="8" t="n"/>
      <c r="F8686" s="8" t="n"/>
      <c r="G8686" s="8" t="n"/>
      <c r="H8686" s="8" t="n"/>
      <c r="I8686" s="8" t="n"/>
      <c r="J8686" s="8" t="n"/>
      <c r="K8686" s="8" t="n"/>
      <c r="L8686" s="8" t="n"/>
      <c r="M8686" s="9">
        <f>B8686+30</f>
        <v/>
      </c>
      <c r="N8686">
        <f>IF(L8686="", "", L8686-B8686)</f>
        <v/>
      </c>
      <c r="O8686">
        <f>IF(L8686="", "Pending", IF(N8686&lt;=30, "Met", "Breached"))</f>
        <v/>
      </c>
      <c r="P8686" s="8" t="n"/>
      <c r="Q8686" s="8" t="n"/>
      <c r="R8686" s="8" t="n"/>
      <c r="S8686" s="8" t="n"/>
      <c r="T8686" s="8" t="n"/>
      <c r="U8686" s="8" t="n"/>
      <c r="V8686" s="8" t="n"/>
      <c r="W8686" s="8" t="n"/>
      <c r="X8686" s="8" t="n"/>
      <c r="Y8686" s="8" t="n"/>
    </row>
    <row r="8687">
      <c r="A8687" s="8" t="n"/>
      <c r="B8687" s="8" t="n"/>
      <c r="C8687" s="8" t="n"/>
      <c r="D8687" s="8" t="n"/>
      <c r="E8687" s="8" t="n"/>
      <c r="F8687" s="8" t="n"/>
      <c r="G8687" s="8" t="n"/>
      <c r="H8687" s="8" t="n"/>
      <c r="I8687" s="8" t="n"/>
      <c r="J8687" s="8" t="n"/>
      <c r="K8687" s="8" t="n"/>
      <c r="L8687" s="8" t="n"/>
      <c r="M8687" s="9">
        <f>B8687+30</f>
        <v/>
      </c>
      <c r="N8687">
        <f>IF(L8687="", "", L8687-B8687)</f>
        <v/>
      </c>
      <c r="O8687">
        <f>IF(L8687="", "Pending", IF(N8687&lt;=30, "Met", "Breached"))</f>
        <v/>
      </c>
      <c r="P8687" s="8" t="n"/>
      <c r="Q8687" s="8" t="n"/>
      <c r="R8687" s="8" t="n"/>
      <c r="S8687" s="8" t="n"/>
      <c r="T8687" s="8" t="n"/>
      <c r="U8687" s="8" t="n"/>
      <c r="V8687" s="8" t="n"/>
      <c r="W8687" s="8" t="n"/>
      <c r="X8687" s="8" t="n"/>
      <c r="Y8687" s="8" t="n"/>
    </row>
    <row r="8688">
      <c r="A8688" s="8" t="n"/>
      <c r="B8688" s="8" t="n"/>
      <c r="C8688" s="8" t="n"/>
      <c r="D8688" s="8" t="n"/>
      <c r="E8688" s="8" t="n"/>
      <c r="F8688" s="8" t="n"/>
      <c r="G8688" s="8" t="n"/>
      <c r="H8688" s="8" t="n"/>
      <c r="I8688" s="8" t="n"/>
      <c r="J8688" s="8" t="n"/>
      <c r="K8688" s="8" t="n"/>
      <c r="L8688" s="8" t="n"/>
      <c r="M8688" s="9">
        <f>B8688+30</f>
        <v/>
      </c>
      <c r="N8688">
        <f>IF(L8688="", "", L8688-B8688)</f>
        <v/>
      </c>
      <c r="O8688">
        <f>IF(L8688="", "Pending", IF(N8688&lt;=30, "Met", "Breached"))</f>
        <v/>
      </c>
      <c r="P8688" s="8" t="n"/>
      <c r="Q8688" s="8" t="n"/>
      <c r="R8688" s="8" t="n"/>
      <c r="S8688" s="8" t="n"/>
      <c r="T8688" s="8" t="n"/>
      <c r="U8688" s="8" t="n"/>
      <c r="V8688" s="8" t="n"/>
      <c r="W8688" s="8" t="n"/>
      <c r="X8688" s="8" t="n"/>
      <c r="Y8688" s="8" t="n"/>
    </row>
    <row r="8689">
      <c r="A8689" s="8" t="n"/>
      <c r="B8689" s="8" t="n"/>
      <c r="C8689" s="8" t="n"/>
      <c r="D8689" s="8" t="n"/>
      <c r="E8689" s="8" t="n"/>
      <c r="F8689" s="8" t="n"/>
      <c r="G8689" s="8" t="n"/>
      <c r="H8689" s="8" t="n"/>
      <c r="I8689" s="8" t="n"/>
      <c r="J8689" s="8" t="n"/>
      <c r="K8689" s="8" t="n"/>
      <c r="L8689" s="8" t="n"/>
      <c r="M8689" s="9">
        <f>B8689+30</f>
        <v/>
      </c>
      <c r="N8689">
        <f>IF(L8689="", "", L8689-B8689)</f>
        <v/>
      </c>
      <c r="O8689">
        <f>IF(L8689="", "Pending", IF(N8689&lt;=30, "Met", "Breached"))</f>
        <v/>
      </c>
      <c r="P8689" s="8" t="n"/>
      <c r="Q8689" s="8" t="n"/>
      <c r="R8689" s="8" t="n"/>
      <c r="S8689" s="8" t="n"/>
      <c r="T8689" s="8" t="n"/>
      <c r="U8689" s="8" t="n"/>
      <c r="V8689" s="8" t="n"/>
      <c r="W8689" s="8" t="n"/>
      <c r="X8689" s="8" t="n"/>
      <c r="Y8689" s="8" t="n"/>
    </row>
    <row r="8690">
      <c r="A8690" s="8" t="n"/>
      <c r="B8690" s="8" t="n"/>
      <c r="C8690" s="8" t="n"/>
      <c r="D8690" s="8" t="n"/>
      <c r="E8690" s="8" t="n"/>
      <c r="F8690" s="8" t="n"/>
      <c r="G8690" s="8" t="n"/>
      <c r="H8690" s="8" t="n"/>
      <c r="I8690" s="8" t="n"/>
      <c r="J8690" s="8" t="n"/>
      <c r="K8690" s="8" t="n"/>
      <c r="L8690" s="8" t="n"/>
      <c r="M8690" s="9">
        <f>B8690+30</f>
        <v/>
      </c>
      <c r="N8690">
        <f>IF(L8690="", "", L8690-B8690)</f>
        <v/>
      </c>
      <c r="O8690">
        <f>IF(L8690="", "Pending", IF(N8690&lt;=30, "Met", "Breached"))</f>
        <v/>
      </c>
      <c r="P8690" s="8" t="n"/>
      <c r="Q8690" s="8" t="n"/>
      <c r="R8690" s="8" t="n"/>
      <c r="S8690" s="8" t="n"/>
      <c r="T8690" s="8" t="n"/>
      <c r="U8690" s="8" t="n"/>
      <c r="V8690" s="8" t="n"/>
      <c r="W8690" s="8" t="n"/>
      <c r="X8690" s="8" t="n"/>
      <c r="Y8690" s="8" t="n"/>
    </row>
    <row r="8691">
      <c r="A8691" s="8" t="n"/>
      <c r="B8691" s="8" t="n"/>
      <c r="C8691" s="8" t="n"/>
      <c r="D8691" s="8" t="n"/>
      <c r="E8691" s="8" t="n"/>
      <c r="F8691" s="8" t="n"/>
      <c r="G8691" s="8" t="n"/>
      <c r="H8691" s="8" t="n"/>
      <c r="I8691" s="8" t="n"/>
      <c r="J8691" s="8" t="n"/>
      <c r="K8691" s="8" t="n"/>
      <c r="L8691" s="8" t="n"/>
      <c r="M8691" s="9">
        <f>B8691+30</f>
        <v/>
      </c>
      <c r="N8691">
        <f>IF(L8691="", "", L8691-B8691)</f>
        <v/>
      </c>
      <c r="O8691">
        <f>IF(L8691="", "Pending", IF(N8691&lt;=30, "Met", "Breached"))</f>
        <v/>
      </c>
      <c r="P8691" s="8" t="n"/>
      <c r="Q8691" s="8" t="n"/>
      <c r="R8691" s="8" t="n"/>
      <c r="S8691" s="8" t="n"/>
      <c r="T8691" s="8" t="n"/>
      <c r="U8691" s="8" t="n"/>
      <c r="V8691" s="8" t="n"/>
      <c r="W8691" s="8" t="n"/>
      <c r="X8691" s="8" t="n"/>
      <c r="Y8691" s="8" t="n"/>
    </row>
    <row r="8692">
      <c r="A8692" s="8" t="n"/>
      <c r="B8692" s="8" t="n"/>
      <c r="C8692" s="8" t="n"/>
      <c r="D8692" s="8" t="n"/>
      <c r="E8692" s="8" t="n"/>
      <c r="F8692" s="8" t="n"/>
      <c r="G8692" s="8" t="n"/>
      <c r="H8692" s="8" t="n"/>
      <c r="I8692" s="8" t="n"/>
      <c r="J8692" s="8" t="n"/>
      <c r="K8692" s="8" t="n"/>
      <c r="L8692" s="8" t="n"/>
      <c r="M8692" s="9">
        <f>B8692+30</f>
        <v/>
      </c>
      <c r="N8692">
        <f>IF(L8692="", "", L8692-B8692)</f>
        <v/>
      </c>
      <c r="O8692">
        <f>IF(L8692="", "Pending", IF(N8692&lt;=30, "Met", "Breached"))</f>
        <v/>
      </c>
      <c r="P8692" s="8" t="n"/>
      <c r="Q8692" s="8" t="n"/>
      <c r="R8692" s="8" t="n"/>
      <c r="S8692" s="8" t="n"/>
      <c r="T8692" s="8" t="n"/>
      <c r="U8692" s="8" t="n"/>
      <c r="V8692" s="8" t="n"/>
      <c r="W8692" s="8" t="n"/>
      <c r="X8692" s="8" t="n"/>
      <c r="Y8692" s="8" t="n"/>
    </row>
    <row r="8693">
      <c r="A8693" s="8" t="n"/>
      <c r="B8693" s="8" t="n"/>
      <c r="C8693" s="8" t="n"/>
      <c r="D8693" s="8" t="n"/>
      <c r="E8693" s="8" t="n"/>
      <c r="F8693" s="8" t="n"/>
      <c r="G8693" s="8" t="n"/>
      <c r="H8693" s="8" t="n"/>
      <c r="I8693" s="8" t="n"/>
      <c r="J8693" s="8" t="n"/>
      <c r="K8693" s="8" t="n"/>
      <c r="L8693" s="8" t="n"/>
      <c r="M8693" s="9">
        <f>B8693+30</f>
        <v/>
      </c>
      <c r="N8693">
        <f>IF(L8693="", "", L8693-B8693)</f>
        <v/>
      </c>
      <c r="O8693">
        <f>IF(L8693="", "Pending", IF(N8693&lt;=30, "Met", "Breached"))</f>
        <v/>
      </c>
      <c r="P8693" s="8" t="n"/>
      <c r="Q8693" s="8" t="n"/>
      <c r="R8693" s="8" t="n"/>
      <c r="S8693" s="8" t="n"/>
      <c r="T8693" s="8" t="n"/>
      <c r="U8693" s="8" t="n"/>
      <c r="V8693" s="8" t="n"/>
      <c r="W8693" s="8" t="n"/>
      <c r="X8693" s="8" t="n"/>
      <c r="Y8693" s="8" t="n"/>
    </row>
    <row r="8694">
      <c r="A8694" s="8" t="n"/>
      <c r="B8694" s="8" t="n"/>
      <c r="C8694" s="8" t="n"/>
      <c r="D8694" s="8" t="n"/>
      <c r="E8694" s="8" t="n"/>
      <c r="F8694" s="8" t="n"/>
      <c r="G8694" s="8" t="n"/>
      <c r="H8694" s="8" t="n"/>
      <c r="I8694" s="8" t="n"/>
      <c r="J8694" s="8" t="n"/>
      <c r="K8694" s="8" t="n"/>
      <c r="L8694" s="8" t="n"/>
      <c r="M8694" s="9">
        <f>B8694+30</f>
        <v/>
      </c>
      <c r="N8694">
        <f>IF(L8694="", "", L8694-B8694)</f>
        <v/>
      </c>
      <c r="O8694">
        <f>IF(L8694="", "Pending", IF(N8694&lt;=30, "Met", "Breached"))</f>
        <v/>
      </c>
      <c r="P8694" s="8" t="n"/>
      <c r="Q8694" s="8" t="n"/>
      <c r="R8694" s="8" t="n"/>
      <c r="S8694" s="8" t="n"/>
      <c r="T8694" s="8" t="n"/>
      <c r="U8694" s="8" t="n"/>
      <c r="V8694" s="8" t="n"/>
      <c r="W8694" s="8" t="n"/>
      <c r="X8694" s="8" t="n"/>
      <c r="Y8694" s="8" t="n"/>
    </row>
    <row r="8695">
      <c r="A8695" s="8" t="n"/>
      <c r="B8695" s="8" t="n"/>
      <c r="C8695" s="8" t="n"/>
      <c r="D8695" s="8" t="n"/>
      <c r="E8695" s="8" t="n"/>
      <c r="F8695" s="8" t="n"/>
      <c r="G8695" s="8" t="n"/>
      <c r="H8695" s="8" t="n"/>
      <c r="I8695" s="8" t="n"/>
      <c r="J8695" s="8" t="n"/>
      <c r="K8695" s="8" t="n"/>
      <c r="L8695" s="8" t="n"/>
      <c r="M8695" s="9">
        <f>B8695+30</f>
        <v/>
      </c>
      <c r="N8695">
        <f>IF(L8695="", "", L8695-B8695)</f>
        <v/>
      </c>
      <c r="O8695">
        <f>IF(L8695="", "Pending", IF(N8695&lt;=30, "Met", "Breached"))</f>
        <v/>
      </c>
      <c r="P8695" s="8" t="n"/>
      <c r="Q8695" s="8" t="n"/>
      <c r="R8695" s="8" t="n"/>
      <c r="S8695" s="8" t="n"/>
      <c r="T8695" s="8" t="n"/>
      <c r="U8695" s="8" t="n"/>
      <c r="V8695" s="8" t="n"/>
      <c r="W8695" s="8" t="n"/>
      <c r="X8695" s="8" t="n"/>
      <c r="Y8695" s="8" t="n"/>
    </row>
    <row r="8696">
      <c r="A8696" s="8" t="n"/>
      <c r="B8696" s="8" t="n"/>
      <c r="C8696" s="8" t="n"/>
      <c r="D8696" s="8" t="n"/>
      <c r="E8696" s="8" t="n"/>
      <c r="F8696" s="8" t="n"/>
      <c r="G8696" s="8" t="n"/>
      <c r="H8696" s="8" t="n"/>
      <c r="I8696" s="8" t="n"/>
      <c r="J8696" s="8" t="n"/>
      <c r="K8696" s="8" t="n"/>
      <c r="L8696" s="8" t="n"/>
      <c r="M8696" s="9">
        <f>B8696+30</f>
        <v/>
      </c>
      <c r="N8696">
        <f>IF(L8696="", "", L8696-B8696)</f>
        <v/>
      </c>
      <c r="O8696">
        <f>IF(L8696="", "Pending", IF(N8696&lt;=30, "Met", "Breached"))</f>
        <v/>
      </c>
      <c r="P8696" s="8" t="n"/>
      <c r="Q8696" s="8" t="n"/>
      <c r="R8696" s="8" t="n"/>
      <c r="S8696" s="8" t="n"/>
      <c r="T8696" s="8" t="n"/>
      <c r="U8696" s="8" t="n"/>
      <c r="V8696" s="8" t="n"/>
      <c r="W8696" s="8" t="n"/>
      <c r="X8696" s="8" t="n"/>
      <c r="Y8696" s="8" t="n"/>
    </row>
    <row r="8697">
      <c r="A8697" s="8" t="n"/>
      <c r="B8697" s="8" t="n"/>
      <c r="C8697" s="8" t="n"/>
      <c r="D8697" s="8" t="n"/>
      <c r="E8697" s="8" t="n"/>
      <c r="F8697" s="8" t="n"/>
      <c r="G8697" s="8" t="n"/>
      <c r="H8697" s="8" t="n"/>
      <c r="I8697" s="8" t="n"/>
      <c r="J8697" s="8" t="n"/>
      <c r="K8697" s="8" t="n"/>
      <c r="L8697" s="8" t="n"/>
      <c r="M8697" s="9">
        <f>B8697+30</f>
        <v/>
      </c>
      <c r="N8697">
        <f>IF(L8697="", "", L8697-B8697)</f>
        <v/>
      </c>
      <c r="O8697">
        <f>IF(L8697="", "Pending", IF(N8697&lt;=30, "Met", "Breached"))</f>
        <v/>
      </c>
      <c r="P8697" s="8" t="n"/>
      <c r="Q8697" s="8" t="n"/>
      <c r="R8697" s="8" t="n"/>
      <c r="S8697" s="8" t="n"/>
      <c r="T8697" s="8" t="n"/>
      <c r="U8697" s="8" t="n"/>
      <c r="V8697" s="8" t="n"/>
      <c r="W8697" s="8" t="n"/>
      <c r="X8697" s="8" t="n"/>
      <c r="Y8697" s="8" t="n"/>
    </row>
    <row r="8698">
      <c r="A8698" s="8" t="n"/>
      <c r="B8698" s="8" t="n"/>
      <c r="C8698" s="8" t="n"/>
      <c r="D8698" s="8" t="n"/>
      <c r="E8698" s="8" t="n"/>
      <c r="F8698" s="8" t="n"/>
      <c r="G8698" s="8" t="n"/>
      <c r="H8698" s="8" t="n"/>
      <c r="I8698" s="8" t="n"/>
      <c r="J8698" s="8" t="n"/>
      <c r="K8698" s="8" t="n"/>
      <c r="L8698" s="8" t="n"/>
      <c r="M8698" s="9">
        <f>B8698+30</f>
        <v/>
      </c>
      <c r="N8698">
        <f>IF(L8698="", "", L8698-B8698)</f>
        <v/>
      </c>
      <c r="O8698">
        <f>IF(L8698="", "Pending", IF(N8698&lt;=30, "Met", "Breached"))</f>
        <v/>
      </c>
      <c r="P8698" s="8" t="n"/>
      <c r="Q8698" s="8" t="n"/>
      <c r="R8698" s="8" t="n"/>
      <c r="S8698" s="8" t="n"/>
      <c r="T8698" s="8" t="n"/>
      <c r="U8698" s="8" t="n"/>
      <c r="V8698" s="8" t="n"/>
      <c r="W8698" s="8" t="n"/>
      <c r="X8698" s="8" t="n"/>
      <c r="Y8698" s="8" t="n"/>
    </row>
    <row r="8699">
      <c r="A8699" s="8" t="n"/>
      <c r="B8699" s="8" t="n"/>
      <c r="C8699" s="8" t="n"/>
      <c r="D8699" s="8" t="n"/>
      <c r="E8699" s="8" t="n"/>
      <c r="F8699" s="8" t="n"/>
      <c r="G8699" s="8" t="n"/>
      <c r="H8699" s="8" t="n"/>
      <c r="I8699" s="8" t="n"/>
      <c r="J8699" s="8" t="n"/>
      <c r="K8699" s="8" t="n"/>
      <c r="L8699" s="8" t="n"/>
      <c r="M8699" s="9">
        <f>B8699+30</f>
        <v/>
      </c>
      <c r="N8699">
        <f>IF(L8699="", "", L8699-B8699)</f>
        <v/>
      </c>
      <c r="O8699">
        <f>IF(L8699="", "Pending", IF(N8699&lt;=30, "Met", "Breached"))</f>
        <v/>
      </c>
      <c r="P8699" s="8" t="n"/>
      <c r="Q8699" s="8" t="n"/>
      <c r="R8699" s="8" t="n"/>
      <c r="S8699" s="8" t="n"/>
      <c r="T8699" s="8" t="n"/>
      <c r="U8699" s="8" t="n"/>
      <c r="V8699" s="8" t="n"/>
      <c r="W8699" s="8" t="n"/>
      <c r="X8699" s="8" t="n"/>
      <c r="Y8699" s="8" t="n"/>
    </row>
    <row r="8700">
      <c r="A8700" s="8" t="n"/>
      <c r="B8700" s="8" t="n"/>
      <c r="C8700" s="8" t="n"/>
      <c r="D8700" s="8" t="n"/>
      <c r="E8700" s="8" t="n"/>
      <c r="F8700" s="8" t="n"/>
      <c r="G8700" s="8" t="n"/>
      <c r="H8700" s="8" t="n"/>
      <c r="I8700" s="8" t="n"/>
      <c r="J8700" s="8" t="n"/>
      <c r="K8700" s="8" t="n"/>
      <c r="L8700" s="8" t="n"/>
      <c r="M8700" s="9">
        <f>B8700+30</f>
        <v/>
      </c>
      <c r="N8700">
        <f>IF(L8700="", "", L8700-B8700)</f>
        <v/>
      </c>
      <c r="O8700">
        <f>IF(L8700="", "Pending", IF(N8700&lt;=30, "Met", "Breached"))</f>
        <v/>
      </c>
      <c r="P8700" s="8" t="n"/>
      <c r="Q8700" s="8" t="n"/>
      <c r="R8700" s="8" t="n"/>
      <c r="S8700" s="8" t="n"/>
      <c r="T8700" s="8" t="n"/>
      <c r="U8700" s="8" t="n"/>
      <c r="V8700" s="8" t="n"/>
      <c r="W8700" s="8" t="n"/>
      <c r="X8700" s="8" t="n"/>
      <c r="Y8700" s="8" t="n"/>
    </row>
    <row r="8701">
      <c r="A8701" s="8" t="n"/>
      <c r="B8701" s="8" t="n"/>
      <c r="C8701" s="8" t="n"/>
      <c r="D8701" s="8" t="n"/>
      <c r="E8701" s="8" t="n"/>
      <c r="F8701" s="8" t="n"/>
      <c r="G8701" s="8" t="n"/>
      <c r="H8701" s="8" t="n"/>
      <c r="I8701" s="8" t="n"/>
      <c r="J8701" s="8" t="n"/>
      <c r="K8701" s="8" t="n"/>
      <c r="L8701" s="8" t="n"/>
      <c r="M8701" s="9">
        <f>B8701+30</f>
        <v/>
      </c>
      <c r="N8701">
        <f>IF(L8701="", "", L8701-B8701)</f>
        <v/>
      </c>
      <c r="O8701">
        <f>IF(L8701="", "Pending", IF(N8701&lt;=30, "Met", "Breached"))</f>
        <v/>
      </c>
      <c r="P8701" s="8" t="n"/>
      <c r="Q8701" s="8" t="n"/>
      <c r="R8701" s="8" t="n"/>
      <c r="S8701" s="8" t="n"/>
      <c r="T8701" s="8" t="n"/>
      <c r="U8701" s="8" t="n"/>
      <c r="V8701" s="8" t="n"/>
      <c r="W8701" s="8" t="n"/>
      <c r="X8701" s="8" t="n"/>
      <c r="Y8701" s="8" t="n"/>
    </row>
    <row r="8702">
      <c r="A8702" s="8" t="n"/>
      <c r="B8702" s="8" t="n"/>
      <c r="C8702" s="8" t="n"/>
      <c r="D8702" s="8" t="n"/>
      <c r="E8702" s="8" t="n"/>
      <c r="F8702" s="8" t="n"/>
      <c r="G8702" s="8" t="n"/>
      <c r="H8702" s="8" t="n"/>
      <c r="I8702" s="8" t="n"/>
      <c r="J8702" s="8" t="n"/>
      <c r="K8702" s="8" t="n"/>
      <c r="L8702" s="8" t="n"/>
      <c r="M8702" s="9">
        <f>B8702+30</f>
        <v/>
      </c>
      <c r="N8702">
        <f>IF(L8702="", "", L8702-B8702)</f>
        <v/>
      </c>
      <c r="O8702">
        <f>IF(L8702="", "Pending", IF(N8702&lt;=30, "Met", "Breached"))</f>
        <v/>
      </c>
      <c r="P8702" s="8" t="n"/>
      <c r="Q8702" s="8" t="n"/>
      <c r="R8702" s="8" t="n"/>
      <c r="S8702" s="8" t="n"/>
      <c r="T8702" s="8" t="n"/>
      <c r="U8702" s="8" t="n"/>
      <c r="V8702" s="8" t="n"/>
      <c r="W8702" s="8" t="n"/>
      <c r="X8702" s="8" t="n"/>
      <c r="Y8702" s="8" t="n"/>
    </row>
    <row r="8703">
      <c r="A8703" s="8" t="n"/>
      <c r="B8703" s="8" t="n"/>
      <c r="C8703" s="8" t="n"/>
      <c r="D8703" s="8" t="n"/>
      <c r="E8703" s="8" t="n"/>
      <c r="F8703" s="8" t="n"/>
      <c r="G8703" s="8" t="n"/>
      <c r="H8703" s="8" t="n"/>
      <c r="I8703" s="8" t="n"/>
      <c r="J8703" s="8" t="n"/>
      <c r="K8703" s="8" t="n"/>
      <c r="L8703" s="8" t="n"/>
      <c r="M8703" s="9">
        <f>B8703+30</f>
        <v/>
      </c>
      <c r="N8703">
        <f>IF(L8703="", "", L8703-B8703)</f>
        <v/>
      </c>
      <c r="O8703">
        <f>IF(L8703="", "Pending", IF(N8703&lt;=30, "Met", "Breached"))</f>
        <v/>
      </c>
      <c r="P8703" s="8" t="n"/>
      <c r="Q8703" s="8" t="n"/>
      <c r="R8703" s="8" t="n"/>
      <c r="S8703" s="8" t="n"/>
      <c r="T8703" s="8" t="n"/>
      <c r="U8703" s="8" t="n"/>
      <c r="V8703" s="8" t="n"/>
      <c r="W8703" s="8" t="n"/>
      <c r="X8703" s="8" t="n"/>
      <c r="Y8703" s="8" t="n"/>
    </row>
    <row r="8704">
      <c r="A8704" s="8" t="n"/>
      <c r="B8704" s="8" t="n"/>
      <c r="C8704" s="8" t="n"/>
      <c r="D8704" s="8" t="n"/>
      <c r="E8704" s="8" t="n"/>
      <c r="F8704" s="8" t="n"/>
      <c r="G8704" s="8" t="n"/>
      <c r="H8704" s="8" t="n"/>
      <c r="I8704" s="8" t="n"/>
      <c r="J8704" s="8" t="n"/>
      <c r="K8704" s="8" t="n"/>
      <c r="L8704" s="8" t="n"/>
      <c r="M8704" s="9">
        <f>B8704+30</f>
        <v/>
      </c>
      <c r="N8704">
        <f>IF(L8704="", "", L8704-B8704)</f>
        <v/>
      </c>
      <c r="O8704">
        <f>IF(L8704="", "Pending", IF(N8704&lt;=30, "Met", "Breached"))</f>
        <v/>
      </c>
      <c r="P8704" s="8" t="n"/>
      <c r="Q8704" s="8" t="n"/>
      <c r="R8704" s="8" t="n"/>
      <c r="S8704" s="8" t="n"/>
      <c r="T8704" s="8" t="n"/>
      <c r="U8704" s="8" t="n"/>
      <c r="V8704" s="8" t="n"/>
      <c r="W8704" s="8" t="n"/>
      <c r="X8704" s="8" t="n"/>
      <c r="Y8704" s="8" t="n"/>
    </row>
    <row r="8705">
      <c r="A8705" s="8" t="n"/>
      <c r="B8705" s="8" t="n"/>
      <c r="C8705" s="8" t="n"/>
      <c r="D8705" s="8" t="n"/>
      <c r="E8705" s="8" t="n"/>
      <c r="F8705" s="8" t="n"/>
      <c r="G8705" s="8" t="n"/>
      <c r="H8705" s="8" t="n"/>
      <c r="I8705" s="8" t="n"/>
      <c r="J8705" s="8" t="n"/>
      <c r="K8705" s="8" t="n"/>
      <c r="L8705" s="8" t="n"/>
      <c r="M8705" s="9">
        <f>B8705+30</f>
        <v/>
      </c>
      <c r="N8705">
        <f>IF(L8705="", "", L8705-B8705)</f>
        <v/>
      </c>
      <c r="O8705">
        <f>IF(L8705="", "Pending", IF(N8705&lt;=30, "Met", "Breached"))</f>
        <v/>
      </c>
      <c r="P8705" s="8" t="n"/>
      <c r="Q8705" s="8" t="n"/>
      <c r="R8705" s="8" t="n"/>
      <c r="S8705" s="8" t="n"/>
      <c r="T8705" s="8" t="n"/>
      <c r="U8705" s="8" t="n"/>
      <c r="V8705" s="8" t="n"/>
      <c r="W8705" s="8" t="n"/>
      <c r="X8705" s="8" t="n"/>
      <c r="Y8705" s="8" t="n"/>
    </row>
    <row r="8706">
      <c r="A8706" s="8" t="n"/>
      <c r="B8706" s="8" t="n"/>
      <c r="C8706" s="8" t="n"/>
      <c r="D8706" s="8" t="n"/>
      <c r="E8706" s="8" t="n"/>
      <c r="F8706" s="8" t="n"/>
      <c r="G8706" s="8" t="n"/>
      <c r="H8706" s="8" t="n"/>
      <c r="I8706" s="8" t="n"/>
      <c r="J8706" s="8" t="n"/>
      <c r="K8706" s="8" t="n"/>
      <c r="L8706" s="8" t="n"/>
      <c r="M8706" s="9">
        <f>B8706+30</f>
        <v/>
      </c>
      <c r="N8706">
        <f>IF(L8706="", "", L8706-B8706)</f>
        <v/>
      </c>
      <c r="O8706">
        <f>IF(L8706="", "Pending", IF(N8706&lt;=30, "Met", "Breached"))</f>
        <v/>
      </c>
      <c r="P8706" s="8" t="n"/>
      <c r="Q8706" s="8" t="n"/>
      <c r="R8706" s="8" t="n"/>
      <c r="S8706" s="8" t="n"/>
      <c r="T8706" s="8" t="n"/>
      <c r="U8706" s="8" t="n"/>
      <c r="V8706" s="8" t="n"/>
      <c r="W8706" s="8" t="n"/>
      <c r="X8706" s="8" t="n"/>
      <c r="Y8706" s="8" t="n"/>
    </row>
    <row r="8707">
      <c r="A8707" s="8" t="n"/>
      <c r="B8707" s="8" t="n"/>
      <c r="C8707" s="8" t="n"/>
      <c r="D8707" s="8" t="n"/>
      <c r="E8707" s="8" t="n"/>
      <c r="F8707" s="8" t="n"/>
      <c r="G8707" s="8" t="n"/>
      <c r="H8707" s="8" t="n"/>
      <c r="I8707" s="8" t="n"/>
      <c r="J8707" s="8" t="n"/>
      <c r="K8707" s="8" t="n"/>
      <c r="L8707" s="8" t="n"/>
      <c r="M8707" s="9">
        <f>B8707+30</f>
        <v/>
      </c>
      <c r="N8707">
        <f>IF(L8707="", "", L8707-B8707)</f>
        <v/>
      </c>
      <c r="O8707">
        <f>IF(L8707="", "Pending", IF(N8707&lt;=30, "Met", "Breached"))</f>
        <v/>
      </c>
      <c r="P8707" s="8" t="n"/>
      <c r="Q8707" s="8" t="n"/>
      <c r="R8707" s="8" t="n"/>
      <c r="S8707" s="8" t="n"/>
      <c r="T8707" s="8" t="n"/>
      <c r="U8707" s="8" t="n"/>
      <c r="V8707" s="8" t="n"/>
      <c r="W8707" s="8" t="n"/>
      <c r="X8707" s="8" t="n"/>
      <c r="Y8707" s="8" t="n"/>
    </row>
    <row r="8708">
      <c r="A8708" s="8" t="n"/>
      <c r="B8708" s="8" t="n"/>
      <c r="C8708" s="8" t="n"/>
      <c r="D8708" s="8" t="n"/>
      <c r="E8708" s="8" t="n"/>
      <c r="F8708" s="8" t="n"/>
      <c r="G8708" s="8" t="n"/>
      <c r="H8708" s="8" t="n"/>
      <c r="I8708" s="8" t="n"/>
      <c r="J8708" s="8" t="n"/>
      <c r="K8708" s="8" t="n"/>
      <c r="L8708" s="8" t="n"/>
      <c r="M8708" s="9">
        <f>B8708+30</f>
        <v/>
      </c>
      <c r="N8708">
        <f>IF(L8708="", "", L8708-B8708)</f>
        <v/>
      </c>
      <c r="O8708">
        <f>IF(L8708="", "Pending", IF(N8708&lt;=30, "Met", "Breached"))</f>
        <v/>
      </c>
      <c r="P8708" s="8" t="n"/>
      <c r="Q8708" s="8" t="n"/>
      <c r="R8708" s="8" t="n"/>
      <c r="S8708" s="8" t="n"/>
      <c r="T8708" s="8" t="n"/>
      <c r="U8708" s="8" t="n"/>
      <c r="V8708" s="8" t="n"/>
      <c r="W8708" s="8" t="n"/>
      <c r="X8708" s="8" t="n"/>
      <c r="Y8708" s="8" t="n"/>
    </row>
    <row r="8709">
      <c r="A8709" s="8" t="n"/>
      <c r="B8709" s="8" t="n"/>
      <c r="C8709" s="8" t="n"/>
      <c r="D8709" s="8" t="n"/>
      <c r="E8709" s="8" t="n"/>
      <c r="F8709" s="8" t="n"/>
      <c r="G8709" s="8" t="n"/>
      <c r="H8709" s="8" t="n"/>
      <c r="I8709" s="8" t="n"/>
      <c r="J8709" s="8" t="n"/>
      <c r="K8709" s="8" t="n"/>
      <c r="L8709" s="8" t="n"/>
      <c r="M8709" s="9">
        <f>B8709+30</f>
        <v/>
      </c>
      <c r="N8709">
        <f>IF(L8709="", "", L8709-B8709)</f>
        <v/>
      </c>
      <c r="O8709">
        <f>IF(L8709="", "Pending", IF(N8709&lt;=30, "Met", "Breached"))</f>
        <v/>
      </c>
      <c r="P8709" s="8" t="n"/>
      <c r="Q8709" s="8" t="n"/>
      <c r="R8709" s="8" t="n"/>
      <c r="S8709" s="8" t="n"/>
      <c r="T8709" s="8" t="n"/>
      <c r="U8709" s="8" t="n"/>
      <c r="V8709" s="8" t="n"/>
      <c r="W8709" s="8" t="n"/>
      <c r="X8709" s="8" t="n"/>
      <c r="Y8709" s="8" t="n"/>
    </row>
    <row r="8710">
      <c r="A8710" s="8" t="n"/>
      <c r="B8710" s="8" t="n"/>
      <c r="C8710" s="8" t="n"/>
      <c r="D8710" s="8" t="n"/>
      <c r="E8710" s="8" t="n"/>
      <c r="F8710" s="8" t="n"/>
      <c r="G8710" s="8" t="n"/>
      <c r="H8710" s="8" t="n"/>
      <c r="I8710" s="8" t="n"/>
      <c r="J8710" s="8" t="n"/>
      <c r="K8710" s="8" t="n"/>
      <c r="L8710" s="8" t="n"/>
      <c r="M8710" s="9">
        <f>B8710+30</f>
        <v/>
      </c>
      <c r="N8710">
        <f>IF(L8710="", "", L8710-B8710)</f>
        <v/>
      </c>
      <c r="O8710">
        <f>IF(L8710="", "Pending", IF(N8710&lt;=30, "Met", "Breached"))</f>
        <v/>
      </c>
      <c r="P8710" s="8" t="n"/>
      <c r="Q8710" s="8" t="n"/>
      <c r="R8710" s="8" t="n"/>
      <c r="S8710" s="8" t="n"/>
      <c r="T8710" s="8" t="n"/>
      <c r="U8710" s="8" t="n"/>
      <c r="V8710" s="8" t="n"/>
      <c r="W8710" s="8" t="n"/>
      <c r="X8710" s="8" t="n"/>
      <c r="Y8710" s="8" t="n"/>
    </row>
    <row r="8711">
      <c r="A8711" s="8" t="n"/>
      <c r="B8711" s="8" t="n"/>
      <c r="C8711" s="8" t="n"/>
      <c r="D8711" s="8" t="n"/>
      <c r="E8711" s="8" t="n"/>
      <c r="F8711" s="8" t="n"/>
      <c r="G8711" s="8" t="n"/>
      <c r="H8711" s="8" t="n"/>
      <c r="I8711" s="8" t="n"/>
      <c r="J8711" s="8" t="n"/>
      <c r="K8711" s="8" t="n"/>
      <c r="L8711" s="8" t="n"/>
      <c r="M8711" s="9">
        <f>B8711+30</f>
        <v/>
      </c>
      <c r="N8711">
        <f>IF(L8711="", "", L8711-B8711)</f>
        <v/>
      </c>
      <c r="O8711">
        <f>IF(L8711="", "Pending", IF(N8711&lt;=30, "Met", "Breached"))</f>
        <v/>
      </c>
      <c r="P8711" s="8" t="n"/>
      <c r="Q8711" s="8" t="n"/>
      <c r="R8711" s="8" t="n"/>
      <c r="S8711" s="8" t="n"/>
      <c r="T8711" s="8" t="n"/>
      <c r="U8711" s="8" t="n"/>
      <c r="V8711" s="8" t="n"/>
      <c r="W8711" s="8" t="n"/>
      <c r="X8711" s="8" t="n"/>
      <c r="Y8711" s="8" t="n"/>
    </row>
    <row r="8712">
      <c r="A8712" s="8" t="n"/>
      <c r="B8712" s="8" t="n"/>
      <c r="C8712" s="8" t="n"/>
      <c r="D8712" s="8" t="n"/>
      <c r="E8712" s="8" t="n"/>
      <c r="F8712" s="8" t="n"/>
      <c r="G8712" s="8" t="n"/>
      <c r="H8712" s="8" t="n"/>
      <c r="I8712" s="8" t="n"/>
      <c r="J8712" s="8" t="n"/>
      <c r="K8712" s="8" t="n"/>
      <c r="L8712" s="8" t="n"/>
      <c r="M8712" s="9">
        <f>B8712+30</f>
        <v/>
      </c>
      <c r="N8712">
        <f>IF(L8712="", "", L8712-B8712)</f>
        <v/>
      </c>
      <c r="O8712">
        <f>IF(L8712="", "Pending", IF(N8712&lt;=30, "Met", "Breached"))</f>
        <v/>
      </c>
      <c r="P8712" s="8" t="n"/>
      <c r="Q8712" s="8" t="n"/>
      <c r="R8712" s="8" t="n"/>
      <c r="S8712" s="8" t="n"/>
      <c r="T8712" s="8" t="n"/>
      <c r="U8712" s="8" t="n"/>
      <c r="V8712" s="8" t="n"/>
      <c r="W8712" s="8" t="n"/>
      <c r="X8712" s="8" t="n"/>
      <c r="Y8712" s="8" t="n"/>
    </row>
    <row r="8713">
      <c r="A8713" s="8" t="n"/>
      <c r="B8713" s="8" t="n"/>
      <c r="C8713" s="8" t="n"/>
      <c r="D8713" s="8" t="n"/>
      <c r="E8713" s="8" t="n"/>
      <c r="F8713" s="8" t="n"/>
      <c r="G8713" s="8" t="n"/>
      <c r="H8713" s="8" t="n"/>
      <c r="I8713" s="8" t="n"/>
      <c r="J8713" s="8" t="n"/>
      <c r="K8713" s="8" t="n"/>
      <c r="L8713" s="8" t="n"/>
      <c r="M8713" s="9">
        <f>B8713+30</f>
        <v/>
      </c>
      <c r="N8713">
        <f>IF(L8713="", "", L8713-B8713)</f>
        <v/>
      </c>
      <c r="O8713">
        <f>IF(L8713="", "Pending", IF(N8713&lt;=30, "Met", "Breached"))</f>
        <v/>
      </c>
      <c r="P8713" s="8" t="n"/>
      <c r="Q8713" s="8" t="n"/>
      <c r="R8713" s="8" t="n"/>
      <c r="S8713" s="8" t="n"/>
      <c r="T8713" s="8" t="n"/>
      <c r="U8713" s="8" t="n"/>
      <c r="V8713" s="8" t="n"/>
      <c r="W8713" s="8" t="n"/>
      <c r="X8713" s="8" t="n"/>
      <c r="Y8713" s="8" t="n"/>
    </row>
    <row r="8714">
      <c r="A8714" s="8" t="n"/>
      <c r="B8714" s="8" t="n"/>
      <c r="C8714" s="8" t="n"/>
      <c r="D8714" s="8" t="n"/>
      <c r="E8714" s="8" t="n"/>
      <c r="F8714" s="8" t="n"/>
      <c r="G8714" s="8" t="n"/>
      <c r="H8714" s="8" t="n"/>
      <c r="I8714" s="8" t="n"/>
      <c r="J8714" s="8" t="n"/>
      <c r="K8714" s="8" t="n"/>
      <c r="L8714" s="8" t="n"/>
      <c r="M8714" s="9">
        <f>B8714+30</f>
        <v/>
      </c>
      <c r="N8714">
        <f>IF(L8714="", "", L8714-B8714)</f>
        <v/>
      </c>
      <c r="O8714">
        <f>IF(L8714="", "Pending", IF(N8714&lt;=30, "Met", "Breached"))</f>
        <v/>
      </c>
      <c r="P8714" s="8" t="n"/>
      <c r="Q8714" s="8" t="n"/>
      <c r="R8714" s="8" t="n"/>
      <c r="S8714" s="8" t="n"/>
      <c r="T8714" s="8" t="n"/>
      <c r="U8714" s="8" t="n"/>
      <c r="V8714" s="8" t="n"/>
      <c r="W8714" s="8" t="n"/>
      <c r="X8714" s="8" t="n"/>
      <c r="Y8714" s="8" t="n"/>
    </row>
    <row r="8715">
      <c r="A8715" s="8" t="n"/>
      <c r="B8715" s="8" t="n"/>
      <c r="C8715" s="8" t="n"/>
      <c r="D8715" s="8" t="n"/>
      <c r="E8715" s="8" t="n"/>
      <c r="F8715" s="8" t="n"/>
      <c r="G8715" s="8" t="n"/>
      <c r="H8715" s="8" t="n"/>
      <c r="I8715" s="8" t="n"/>
      <c r="J8715" s="8" t="n"/>
      <c r="K8715" s="8" t="n"/>
      <c r="L8715" s="8" t="n"/>
      <c r="M8715" s="9">
        <f>B8715+30</f>
        <v/>
      </c>
      <c r="N8715">
        <f>IF(L8715="", "", L8715-B8715)</f>
        <v/>
      </c>
      <c r="O8715">
        <f>IF(L8715="", "Pending", IF(N8715&lt;=30, "Met", "Breached"))</f>
        <v/>
      </c>
      <c r="P8715" s="8" t="n"/>
      <c r="Q8715" s="8" t="n"/>
      <c r="R8715" s="8" t="n"/>
      <c r="S8715" s="8" t="n"/>
      <c r="T8715" s="8" t="n"/>
      <c r="U8715" s="8" t="n"/>
      <c r="V8715" s="8" t="n"/>
      <c r="W8715" s="8" t="n"/>
      <c r="X8715" s="8" t="n"/>
      <c r="Y8715" s="8" t="n"/>
    </row>
    <row r="8716">
      <c r="A8716" s="8" t="n"/>
      <c r="B8716" s="8" t="n"/>
      <c r="C8716" s="8" t="n"/>
      <c r="D8716" s="8" t="n"/>
      <c r="E8716" s="8" t="n"/>
      <c r="F8716" s="8" t="n"/>
      <c r="G8716" s="8" t="n"/>
      <c r="H8716" s="8" t="n"/>
      <c r="I8716" s="8" t="n"/>
      <c r="J8716" s="8" t="n"/>
      <c r="K8716" s="8" t="n"/>
      <c r="L8716" s="8" t="n"/>
      <c r="M8716" s="9">
        <f>B8716+30</f>
        <v/>
      </c>
      <c r="N8716">
        <f>IF(L8716="", "", L8716-B8716)</f>
        <v/>
      </c>
      <c r="O8716">
        <f>IF(L8716="", "Pending", IF(N8716&lt;=30, "Met", "Breached"))</f>
        <v/>
      </c>
      <c r="P8716" s="8" t="n"/>
      <c r="Q8716" s="8" t="n"/>
      <c r="R8716" s="8" t="n"/>
      <c r="S8716" s="8" t="n"/>
      <c r="T8716" s="8" t="n"/>
      <c r="U8716" s="8" t="n"/>
      <c r="V8716" s="8" t="n"/>
      <c r="W8716" s="8" t="n"/>
      <c r="X8716" s="8" t="n"/>
      <c r="Y8716" s="8" t="n"/>
    </row>
    <row r="8717">
      <c r="A8717" s="8" t="n"/>
      <c r="B8717" s="8" t="n"/>
      <c r="C8717" s="8" t="n"/>
      <c r="D8717" s="8" t="n"/>
      <c r="E8717" s="8" t="n"/>
      <c r="F8717" s="8" t="n"/>
      <c r="G8717" s="8" t="n"/>
      <c r="H8717" s="8" t="n"/>
      <c r="I8717" s="8" t="n"/>
      <c r="J8717" s="8" t="n"/>
      <c r="K8717" s="8" t="n"/>
      <c r="L8717" s="8" t="n"/>
      <c r="M8717" s="9">
        <f>B8717+30</f>
        <v/>
      </c>
      <c r="N8717">
        <f>IF(L8717="", "", L8717-B8717)</f>
        <v/>
      </c>
      <c r="O8717">
        <f>IF(L8717="", "Pending", IF(N8717&lt;=30, "Met", "Breached"))</f>
        <v/>
      </c>
      <c r="P8717" s="8" t="n"/>
      <c r="Q8717" s="8" t="n"/>
      <c r="R8717" s="8" t="n"/>
      <c r="S8717" s="8" t="n"/>
      <c r="T8717" s="8" t="n"/>
      <c r="U8717" s="8" t="n"/>
      <c r="V8717" s="8" t="n"/>
      <c r="W8717" s="8" t="n"/>
      <c r="X8717" s="8" t="n"/>
      <c r="Y8717" s="8" t="n"/>
    </row>
    <row r="8718">
      <c r="A8718" s="8" t="n"/>
      <c r="B8718" s="8" t="n"/>
      <c r="C8718" s="8" t="n"/>
      <c r="D8718" s="8" t="n"/>
      <c r="E8718" s="8" t="n"/>
      <c r="F8718" s="8" t="n"/>
      <c r="G8718" s="8" t="n"/>
      <c r="H8718" s="8" t="n"/>
      <c r="I8718" s="8" t="n"/>
      <c r="J8718" s="8" t="n"/>
      <c r="K8718" s="8" t="n"/>
      <c r="L8718" s="8" t="n"/>
      <c r="M8718" s="9">
        <f>B8718+30</f>
        <v/>
      </c>
      <c r="N8718">
        <f>IF(L8718="", "", L8718-B8718)</f>
        <v/>
      </c>
      <c r="O8718">
        <f>IF(L8718="", "Pending", IF(N8718&lt;=30, "Met", "Breached"))</f>
        <v/>
      </c>
      <c r="P8718" s="8" t="n"/>
      <c r="Q8718" s="8" t="n"/>
      <c r="R8718" s="8" t="n"/>
      <c r="S8718" s="8" t="n"/>
      <c r="T8718" s="8" t="n"/>
      <c r="U8718" s="8" t="n"/>
      <c r="V8718" s="8" t="n"/>
      <c r="W8718" s="8" t="n"/>
      <c r="X8718" s="8" t="n"/>
      <c r="Y8718" s="8" t="n"/>
    </row>
    <row r="8719">
      <c r="A8719" s="8" t="n"/>
      <c r="B8719" s="8" t="n"/>
      <c r="C8719" s="8" t="n"/>
      <c r="D8719" s="8" t="n"/>
      <c r="E8719" s="8" t="n"/>
      <c r="F8719" s="8" t="n"/>
      <c r="G8719" s="8" t="n"/>
      <c r="H8719" s="8" t="n"/>
      <c r="I8719" s="8" t="n"/>
      <c r="J8719" s="8" t="n"/>
      <c r="K8719" s="8" t="n"/>
      <c r="L8719" s="8" t="n"/>
      <c r="M8719" s="9">
        <f>B8719+30</f>
        <v/>
      </c>
      <c r="N8719">
        <f>IF(L8719="", "", L8719-B8719)</f>
        <v/>
      </c>
      <c r="O8719">
        <f>IF(L8719="", "Pending", IF(N8719&lt;=30, "Met", "Breached"))</f>
        <v/>
      </c>
      <c r="P8719" s="8" t="n"/>
      <c r="Q8719" s="8" t="n"/>
      <c r="R8719" s="8" t="n"/>
      <c r="S8719" s="8" t="n"/>
      <c r="T8719" s="8" t="n"/>
      <c r="U8719" s="8" t="n"/>
      <c r="V8719" s="8" t="n"/>
      <c r="W8719" s="8" t="n"/>
      <c r="X8719" s="8" t="n"/>
      <c r="Y8719" s="8" t="n"/>
    </row>
    <row r="8720">
      <c r="A8720" s="8" t="n"/>
      <c r="B8720" s="8" t="n"/>
      <c r="C8720" s="8" t="n"/>
      <c r="D8720" s="8" t="n"/>
      <c r="E8720" s="8" t="n"/>
      <c r="F8720" s="8" t="n"/>
      <c r="G8720" s="8" t="n"/>
      <c r="H8720" s="8" t="n"/>
      <c r="I8720" s="8" t="n"/>
      <c r="J8720" s="8" t="n"/>
      <c r="K8720" s="8" t="n"/>
      <c r="L8720" s="8" t="n"/>
      <c r="M8720" s="9">
        <f>B8720+30</f>
        <v/>
      </c>
      <c r="N8720">
        <f>IF(L8720="", "", L8720-B8720)</f>
        <v/>
      </c>
      <c r="O8720">
        <f>IF(L8720="", "Pending", IF(N8720&lt;=30, "Met", "Breached"))</f>
        <v/>
      </c>
      <c r="P8720" s="8" t="n"/>
      <c r="Q8720" s="8" t="n"/>
      <c r="R8720" s="8" t="n"/>
      <c r="S8720" s="8" t="n"/>
      <c r="T8720" s="8" t="n"/>
      <c r="U8720" s="8" t="n"/>
      <c r="V8720" s="8" t="n"/>
      <c r="W8720" s="8" t="n"/>
      <c r="X8720" s="8" t="n"/>
      <c r="Y8720" s="8" t="n"/>
    </row>
    <row r="8721">
      <c r="A8721" s="8" t="n"/>
      <c r="B8721" s="8" t="n"/>
      <c r="C8721" s="8" t="n"/>
      <c r="D8721" s="8" t="n"/>
      <c r="E8721" s="8" t="n"/>
      <c r="F8721" s="8" t="n"/>
      <c r="G8721" s="8" t="n"/>
      <c r="H8721" s="8" t="n"/>
      <c r="I8721" s="8" t="n"/>
      <c r="J8721" s="8" t="n"/>
      <c r="K8721" s="8" t="n"/>
      <c r="L8721" s="8" t="n"/>
      <c r="M8721" s="9">
        <f>B8721+30</f>
        <v/>
      </c>
      <c r="N8721">
        <f>IF(L8721="", "", L8721-B8721)</f>
        <v/>
      </c>
      <c r="O8721">
        <f>IF(L8721="", "Pending", IF(N8721&lt;=30, "Met", "Breached"))</f>
        <v/>
      </c>
      <c r="P8721" s="8" t="n"/>
      <c r="Q8721" s="8" t="n"/>
      <c r="R8721" s="8" t="n"/>
      <c r="S8721" s="8" t="n"/>
      <c r="T8721" s="8" t="n"/>
      <c r="U8721" s="8" t="n"/>
      <c r="V8721" s="8" t="n"/>
      <c r="W8721" s="8" t="n"/>
      <c r="X8721" s="8" t="n"/>
      <c r="Y8721" s="8" t="n"/>
    </row>
    <row r="8722">
      <c r="A8722" s="8" t="n"/>
      <c r="B8722" s="8" t="n"/>
      <c r="C8722" s="8" t="n"/>
      <c r="D8722" s="8" t="n"/>
      <c r="E8722" s="8" t="n"/>
      <c r="F8722" s="8" t="n"/>
      <c r="G8722" s="8" t="n"/>
      <c r="H8722" s="8" t="n"/>
      <c r="I8722" s="8" t="n"/>
      <c r="J8722" s="8" t="n"/>
      <c r="K8722" s="8" t="n"/>
      <c r="L8722" s="8" t="n"/>
      <c r="M8722" s="9">
        <f>B8722+30</f>
        <v/>
      </c>
      <c r="N8722">
        <f>IF(L8722="", "", L8722-B8722)</f>
        <v/>
      </c>
      <c r="O8722">
        <f>IF(L8722="", "Pending", IF(N8722&lt;=30, "Met", "Breached"))</f>
        <v/>
      </c>
      <c r="P8722" s="8" t="n"/>
      <c r="Q8722" s="8" t="n"/>
      <c r="R8722" s="8" t="n"/>
      <c r="S8722" s="8" t="n"/>
      <c r="T8722" s="8" t="n"/>
      <c r="U8722" s="8" t="n"/>
      <c r="V8722" s="8" t="n"/>
      <c r="W8722" s="8" t="n"/>
      <c r="X8722" s="8" t="n"/>
      <c r="Y8722" s="8" t="n"/>
    </row>
    <row r="8723">
      <c r="A8723" s="8" t="n"/>
      <c r="B8723" s="8" t="n"/>
      <c r="C8723" s="8" t="n"/>
      <c r="D8723" s="8" t="n"/>
      <c r="E8723" s="8" t="n"/>
      <c r="F8723" s="8" t="n"/>
      <c r="G8723" s="8" t="n"/>
      <c r="H8723" s="8" t="n"/>
      <c r="I8723" s="8" t="n"/>
      <c r="J8723" s="8" t="n"/>
      <c r="K8723" s="8" t="n"/>
      <c r="L8723" s="8" t="n"/>
      <c r="M8723" s="9">
        <f>B8723+30</f>
        <v/>
      </c>
      <c r="N8723">
        <f>IF(L8723="", "", L8723-B8723)</f>
        <v/>
      </c>
      <c r="O8723">
        <f>IF(L8723="", "Pending", IF(N8723&lt;=30, "Met", "Breached"))</f>
        <v/>
      </c>
      <c r="P8723" s="8" t="n"/>
      <c r="Q8723" s="8" t="n"/>
      <c r="R8723" s="8" t="n"/>
      <c r="S8723" s="8" t="n"/>
      <c r="T8723" s="8" t="n"/>
      <c r="U8723" s="8" t="n"/>
      <c r="V8723" s="8" t="n"/>
      <c r="W8723" s="8" t="n"/>
      <c r="X8723" s="8" t="n"/>
      <c r="Y8723" s="8" t="n"/>
    </row>
    <row r="8724">
      <c r="A8724" s="8" t="n"/>
      <c r="B8724" s="8" t="n"/>
      <c r="C8724" s="8" t="n"/>
      <c r="D8724" s="8" t="n"/>
      <c r="E8724" s="8" t="n"/>
      <c r="F8724" s="8" t="n"/>
      <c r="G8724" s="8" t="n"/>
      <c r="H8724" s="8" t="n"/>
      <c r="I8724" s="8" t="n"/>
      <c r="J8724" s="8" t="n"/>
      <c r="K8724" s="8" t="n"/>
      <c r="L8724" s="8" t="n"/>
      <c r="M8724" s="9">
        <f>B8724+30</f>
        <v/>
      </c>
      <c r="N8724">
        <f>IF(L8724="", "", L8724-B8724)</f>
        <v/>
      </c>
      <c r="O8724">
        <f>IF(L8724="", "Pending", IF(N8724&lt;=30, "Met", "Breached"))</f>
        <v/>
      </c>
      <c r="P8724" s="8" t="n"/>
      <c r="Q8724" s="8" t="n"/>
      <c r="R8724" s="8" t="n"/>
      <c r="S8724" s="8" t="n"/>
      <c r="T8724" s="8" t="n"/>
      <c r="U8724" s="8" t="n"/>
      <c r="V8724" s="8" t="n"/>
      <c r="W8724" s="8" t="n"/>
      <c r="X8724" s="8" t="n"/>
      <c r="Y8724" s="8" t="n"/>
    </row>
    <row r="8725">
      <c r="A8725" s="8" t="n"/>
      <c r="B8725" s="8" t="n"/>
      <c r="C8725" s="8" t="n"/>
      <c r="D8725" s="8" t="n"/>
      <c r="E8725" s="8" t="n"/>
      <c r="F8725" s="8" t="n"/>
      <c r="G8725" s="8" t="n"/>
      <c r="H8725" s="8" t="n"/>
      <c r="I8725" s="8" t="n"/>
      <c r="J8725" s="8" t="n"/>
      <c r="K8725" s="8" t="n"/>
      <c r="L8725" s="8" t="n"/>
      <c r="M8725" s="9">
        <f>B8725+30</f>
        <v/>
      </c>
      <c r="N8725">
        <f>IF(L8725="", "", L8725-B8725)</f>
        <v/>
      </c>
      <c r="O8725">
        <f>IF(L8725="", "Pending", IF(N8725&lt;=30, "Met", "Breached"))</f>
        <v/>
      </c>
      <c r="P8725" s="8" t="n"/>
      <c r="Q8725" s="8" t="n"/>
      <c r="R8725" s="8" t="n"/>
      <c r="S8725" s="8" t="n"/>
      <c r="T8725" s="8" t="n"/>
      <c r="U8725" s="8" t="n"/>
      <c r="V8725" s="8" t="n"/>
      <c r="W8725" s="8" t="n"/>
      <c r="X8725" s="8" t="n"/>
      <c r="Y8725" s="8" t="n"/>
    </row>
    <row r="8726">
      <c r="A8726" s="8" t="n"/>
      <c r="B8726" s="8" t="n"/>
      <c r="C8726" s="8" t="n"/>
      <c r="D8726" s="8" t="n"/>
      <c r="E8726" s="8" t="n"/>
      <c r="F8726" s="8" t="n"/>
      <c r="G8726" s="8" t="n"/>
      <c r="H8726" s="8" t="n"/>
      <c r="I8726" s="8" t="n"/>
      <c r="J8726" s="8" t="n"/>
      <c r="K8726" s="8" t="n"/>
      <c r="L8726" s="8" t="n"/>
      <c r="M8726" s="9">
        <f>B8726+30</f>
        <v/>
      </c>
      <c r="N8726">
        <f>IF(L8726="", "", L8726-B8726)</f>
        <v/>
      </c>
      <c r="O8726">
        <f>IF(L8726="", "Pending", IF(N8726&lt;=30, "Met", "Breached"))</f>
        <v/>
      </c>
      <c r="P8726" s="8" t="n"/>
      <c r="Q8726" s="8" t="n"/>
      <c r="R8726" s="8" t="n"/>
      <c r="S8726" s="8" t="n"/>
      <c r="T8726" s="8" t="n"/>
      <c r="U8726" s="8" t="n"/>
      <c r="V8726" s="8" t="n"/>
      <c r="W8726" s="8" t="n"/>
      <c r="X8726" s="8" t="n"/>
      <c r="Y8726" s="8" t="n"/>
    </row>
    <row r="8727">
      <c r="A8727" s="8" t="n"/>
      <c r="B8727" s="8" t="n"/>
      <c r="C8727" s="8" t="n"/>
      <c r="D8727" s="8" t="n"/>
      <c r="E8727" s="8" t="n"/>
      <c r="F8727" s="8" t="n"/>
      <c r="G8727" s="8" t="n"/>
      <c r="H8727" s="8" t="n"/>
      <c r="I8727" s="8" t="n"/>
      <c r="J8727" s="8" t="n"/>
      <c r="K8727" s="8" t="n"/>
      <c r="L8727" s="8" t="n"/>
      <c r="M8727" s="9">
        <f>B8727+30</f>
        <v/>
      </c>
      <c r="N8727">
        <f>IF(L8727="", "", L8727-B8727)</f>
        <v/>
      </c>
      <c r="O8727">
        <f>IF(L8727="", "Pending", IF(N8727&lt;=30, "Met", "Breached"))</f>
        <v/>
      </c>
      <c r="P8727" s="8" t="n"/>
      <c r="Q8727" s="8" t="n"/>
      <c r="R8727" s="8" t="n"/>
      <c r="S8727" s="8" t="n"/>
      <c r="T8727" s="8" t="n"/>
      <c r="U8727" s="8" t="n"/>
      <c r="V8727" s="8" t="n"/>
      <c r="W8727" s="8" t="n"/>
      <c r="X8727" s="8" t="n"/>
      <c r="Y8727" s="8" t="n"/>
    </row>
    <row r="8728">
      <c r="A8728" s="8" t="n"/>
      <c r="B8728" s="8" t="n"/>
      <c r="C8728" s="8" t="n"/>
      <c r="D8728" s="8" t="n"/>
      <c r="E8728" s="8" t="n"/>
      <c r="F8728" s="8" t="n"/>
      <c r="G8728" s="8" t="n"/>
      <c r="H8728" s="8" t="n"/>
      <c r="I8728" s="8" t="n"/>
      <c r="J8728" s="8" t="n"/>
      <c r="K8728" s="8" t="n"/>
      <c r="L8728" s="8" t="n"/>
      <c r="M8728" s="9">
        <f>B8728+30</f>
        <v/>
      </c>
      <c r="N8728">
        <f>IF(L8728="", "", L8728-B8728)</f>
        <v/>
      </c>
      <c r="O8728">
        <f>IF(L8728="", "Pending", IF(N8728&lt;=30, "Met", "Breached"))</f>
        <v/>
      </c>
      <c r="P8728" s="8" t="n"/>
      <c r="Q8728" s="8" t="n"/>
      <c r="R8728" s="8" t="n"/>
      <c r="S8728" s="8" t="n"/>
      <c r="T8728" s="8" t="n"/>
      <c r="U8728" s="8" t="n"/>
      <c r="V8728" s="8" t="n"/>
      <c r="W8728" s="8" t="n"/>
      <c r="X8728" s="8" t="n"/>
      <c r="Y8728" s="8" t="n"/>
    </row>
    <row r="8729">
      <c r="A8729" s="8" t="n"/>
      <c r="B8729" s="8" t="n"/>
      <c r="C8729" s="8" t="n"/>
      <c r="D8729" s="8" t="n"/>
      <c r="E8729" s="8" t="n"/>
      <c r="F8729" s="8" t="n"/>
      <c r="G8729" s="8" t="n"/>
      <c r="H8729" s="8" t="n"/>
      <c r="I8729" s="8" t="n"/>
      <c r="J8729" s="8" t="n"/>
      <c r="K8729" s="8" t="n"/>
      <c r="L8729" s="8" t="n"/>
      <c r="M8729" s="9">
        <f>B8729+30</f>
        <v/>
      </c>
      <c r="N8729">
        <f>IF(L8729="", "", L8729-B8729)</f>
        <v/>
      </c>
      <c r="O8729">
        <f>IF(L8729="", "Pending", IF(N8729&lt;=30, "Met", "Breached"))</f>
        <v/>
      </c>
      <c r="P8729" s="8" t="n"/>
      <c r="Q8729" s="8" t="n"/>
      <c r="R8729" s="8" t="n"/>
      <c r="S8729" s="8" t="n"/>
      <c r="T8729" s="8" t="n"/>
      <c r="U8729" s="8" t="n"/>
      <c r="V8729" s="8" t="n"/>
      <c r="W8729" s="8" t="n"/>
      <c r="X8729" s="8" t="n"/>
      <c r="Y8729" s="8" t="n"/>
    </row>
    <row r="8730">
      <c r="A8730" s="8" t="n"/>
      <c r="B8730" s="8" t="n"/>
      <c r="C8730" s="8" t="n"/>
      <c r="D8730" s="8" t="n"/>
      <c r="E8730" s="8" t="n"/>
      <c r="F8730" s="8" t="n"/>
      <c r="G8730" s="8" t="n"/>
      <c r="H8730" s="8" t="n"/>
      <c r="I8730" s="8" t="n"/>
      <c r="J8730" s="8" t="n"/>
      <c r="K8730" s="8" t="n"/>
      <c r="L8730" s="8" t="n"/>
      <c r="M8730" s="9">
        <f>B8730+30</f>
        <v/>
      </c>
      <c r="N8730">
        <f>IF(L8730="", "", L8730-B8730)</f>
        <v/>
      </c>
      <c r="O8730">
        <f>IF(L8730="", "Pending", IF(N8730&lt;=30, "Met", "Breached"))</f>
        <v/>
      </c>
      <c r="P8730" s="8" t="n"/>
      <c r="Q8730" s="8" t="n"/>
      <c r="R8730" s="8" t="n"/>
      <c r="S8730" s="8" t="n"/>
      <c r="T8730" s="8" t="n"/>
      <c r="U8730" s="8" t="n"/>
      <c r="V8730" s="8" t="n"/>
      <c r="W8730" s="8" t="n"/>
      <c r="X8730" s="8" t="n"/>
      <c r="Y8730" s="8" t="n"/>
    </row>
    <row r="8731">
      <c r="A8731" s="8" t="n"/>
      <c r="B8731" s="8" t="n"/>
      <c r="C8731" s="8" t="n"/>
      <c r="D8731" s="8" t="n"/>
      <c r="E8731" s="8" t="n"/>
      <c r="F8731" s="8" t="n"/>
      <c r="G8731" s="8" t="n"/>
      <c r="H8731" s="8" t="n"/>
      <c r="I8731" s="8" t="n"/>
      <c r="J8731" s="8" t="n"/>
      <c r="K8731" s="8" t="n"/>
      <c r="L8731" s="8" t="n"/>
      <c r="M8731" s="9">
        <f>B8731+30</f>
        <v/>
      </c>
      <c r="N8731">
        <f>IF(L8731="", "", L8731-B8731)</f>
        <v/>
      </c>
      <c r="O8731">
        <f>IF(L8731="", "Pending", IF(N8731&lt;=30, "Met", "Breached"))</f>
        <v/>
      </c>
      <c r="P8731" s="8" t="n"/>
      <c r="Q8731" s="8" t="n"/>
      <c r="R8731" s="8" t="n"/>
      <c r="S8731" s="8" t="n"/>
      <c r="T8731" s="8" t="n"/>
      <c r="U8731" s="8" t="n"/>
      <c r="V8731" s="8" t="n"/>
      <c r="W8731" s="8" t="n"/>
      <c r="X8731" s="8" t="n"/>
      <c r="Y8731" s="8" t="n"/>
    </row>
    <row r="8732">
      <c r="A8732" s="8" t="n"/>
      <c r="B8732" s="8" t="n"/>
      <c r="C8732" s="8" t="n"/>
      <c r="D8732" s="8" t="n"/>
      <c r="E8732" s="8" t="n"/>
      <c r="F8732" s="8" t="n"/>
      <c r="G8732" s="8" t="n"/>
      <c r="H8732" s="8" t="n"/>
      <c r="I8732" s="8" t="n"/>
      <c r="J8732" s="8" t="n"/>
      <c r="K8732" s="8" t="n"/>
      <c r="L8732" s="8" t="n"/>
      <c r="M8732" s="9">
        <f>B8732+30</f>
        <v/>
      </c>
      <c r="N8732">
        <f>IF(L8732="", "", L8732-B8732)</f>
        <v/>
      </c>
      <c r="O8732">
        <f>IF(L8732="", "Pending", IF(N8732&lt;=30, "Met", "Breached"))</f>
        <v/>
      </c>
      <c r="P8732" s="8" t="n"/>
      <c r="Q8732" s="8" t="n"/>
      <c r="R8732" s="8" t="n"/>
      <c r="S8732" s="8" t="n"/>
      <c r="T8732" s="8" t="n"/>
      <c r="U8732" s="8" t="n"/>
      <c r="V8732" s="8" t="n"/>
      <c r="W8732" s="8" t="n"/>
      <c r="X8732" s="8" t="n"/>
      <c r="Y8732" s="8" t="n"/>
    </row>
    <row r="8733">
      <c r="A8733" s="8" t="n"/>
      <c r="B8733" s="8" t="n"/>
      <c r="C8733" s="8" t="n"/>
      <c r="D8733" s="8" t="n"/>
      <c r="E8733" s="8" t="n"/>
      <c r="F8733" s="8" t="n"/>
      <c r="G8733" s="8" t="n"/>
      <c r="H8733" s="8" t="n"/>
      <c r="I8733" s="8" t="n"/>
      <c r="J8733" s="8" t="n"/>
      <c r="K8733" s="8" t="n"/>
      <c r="L8733" s="8" t="n"/>
      <c r="M8733" s="9">
        <f>B8733+30</f>
        <v/>
      </c>
      <c r="N8733">
        <f>IF(L8733="", "", L8733-B8733)</f>
        <v/>
      </c>
      <c r="O8733">
        <f>IF(L8733="", "Pending", IF(N8733&lt;=30, "Met", "Breached"))</f>
        <v/>
      </c>
      <c r="P8733" s="8" t="n"/>
      <c r="Q8733" s="8" t="n"/>
      <c r="R8733" s="8" t="n"/>
      <c r="S8733" s="8" t="n"/>
      <c r="T8733" s="8" t="n"/>
      <c r="U8733" s="8" t="n"/>
      <c r="V8733" s="8" t="n"/>
      <c r="W8733" s="8" t="n"/>
      <c r="X8733" s="8" t="n"/>
      <c r="Y8733" s="8" t="n"/>
    </row>
    <row r="8734">
      <c r="A8734" s="8" t="n"/>
      <c r="B8734" s="8" t="n"/>
      <c r="C8734" s="8" t="n"/>
      <c r="D8734" s="8" t="n"/>
      <c r="E8734" s="8" t="n"/>
      <c r="F8734" s="8" t="n"/>
      <c r="G8734" s="8" t="n"/>
      <c r="H8734" s="8" t="n"/>
      <c r="I8734" s="8" t="n"/>
      <c r="J8734" s="8" t="n"/>
      <c r="K8734" s="8" t="n"/>
      <c r="L8734" s="8" t="n"/>
      <c r="M8734" s="9">
        <f>B8734+30</f>
        <v/>
      </c>
      <c r="N8734">
        <f>IF(L8734="", "", L8734-B8734)</f>
        <v/>
      </c>
      <c r="O8734">
        <f>IF(L8734="", "Pending", IF(N8734&lt;=30, "Met", "Breached"))</f>
        <v/>
      </c>
      <c r="P8734" s="8" t="n"/>
      <c r="Q8734" s="8" t="n"/>
      <c r="R8734" s="8" t="n"/>
      <c r="S8734" s="8" t="n"/>
      <c r="T8734" s="8" t="n"/>
      <c r="U8734" s="8" t="n"/>
      <c r="V8734" s="8" t="n"/>
      <c r="W8734" s="8" t="n"/>
      <c r="X8734" s="8" t="n"/>
      <c r="Y8734" s="8" t="n"/>
    </row>
    <row r="8735">
      <c r="A8735" s="8" t="n"/>
      <c r="B8735" s="8" t="n"/>
      <c r="C8735" s="8" t="n"/>
      <c r="D8735" s="8" t="n"/>
      <c r="E8735" s="8" t="n"/>
      <c r="F8735" s="8" t="n"/>
      <c r="G8735" s="8" t="n"/>
      <c r="H8735" s="8" t="n"/>
      <c r="I8735" s="8" t="n"/>
      <c r="J8735" s="8" t="n"/>
      <c r="K8735" s="8" t="n"/>
      <c r="L8735" s="8" t="n"/>
      <c r="M8735" s="9">
        <f>B8735+30</f>
        <v/>
      </c>
      <c r="N8735">
        <f>IF(L8735="", "", L8735-B8735)</f>
        <v/>
      </c>
      <c r="O8735">
        <f>IF(L8735="", "Pending", IF(N8735&lt;=30, "Met", "Breached"))</f>
        <v/>
      </c>
      <c r="P8735" s="8" t="n"/>
      <c r="Q8735" s="8" t="n"/>
      <c r="R8735" s="8" t="n"/>
      <c r="S8735" s="8" t="n"/>
      <c r="T8735" s="8" t="n"/>
      <c r="U8735" s="8" t="n"/>
      <c r="V8735" s="8" t="n"/>
      <c r="W8735" s="8" t="n"/>
      <c r="X8735" s="8" t="n"/>
      <c r="Y8735" s="8" t="n"/>
    </row>
    <row r="8736">
      <c r="A8736" s="8" t="n"/>
      <c r="B8736" s="8" t="n"/>
      <c r="C8736" s="8" t="n"/>
      <c r="D8736" s="8" t="n"/>
      <c r="E8736" s="8" t="n"/>
      <c r="F8736" s="8" t="n"/>
      <c r="G8736" s="8" t="n"/>
      <c r="H8736" s="8" t="n"/>
      <c r="I8736" s="8" t="n"/>
      <c r="J8736" s="8" t="n"/>
      <c r="K8736" s="8" t="n"/>
      <c r="L8736" s="8" t="n"/>
      <c r="M8736" s="9">
        <f>B8736+30</f>
        <v/>
      </c>
      <c r="N8736">
        <f>IF(L8736="", "", L8736-B8736)</f>
        <v/>
      </c>
      <c r="O8736">
        <f>IF(L8736="", "Pending", IF(N8736&lt;=30, "Met", "Breached"))</f>
        <v/>
      </c>
      <c r="P8736" s="8" t="n"/>
      <c r="Q8736" s="8" t="n"/>
      <c r="R8736" s="8" t="n"/>
      <c r="S8736" s="8" t="n"/>
      <c r="T8736" s="8" t="n"/>
      <c r="U8736" s="8" t="n"/>
      <c r="V8736" s="8" t="n"/>
      <c r="W8736" s="8" t="n"/>
      <c r="X8736" s="8" t="n"/>
      <c r="Y8736" s="8" t="n"/>
    </row>
    <row r="8737">
      <c r="A8737" s="8" t="n"/>
      <c r="B8737" s="8" t="n"/>
      <c r="C8737" s="8" t="n"/>
      <c r="D8737" s="8" t="n"/>
      <c r="E8737" s="8" t="n"/>
      <c r="F8737" s="8" t="n"/>
      <c r="G8737" s="8" t="n"/>
      <c r="H8737" s="8" t="n"/>
      <c r="I8737" s="8" t="n"/>
      <c r="J8737" s="8" t="n"/>
      <c r="K8737" s="8" t="n"/>
      <c r="L8737" s="8" t="n"/>
      <c r="M8737" s="9">
        <f>B8737+30</f>
        <v/>
      </c>
      <c r="N8737">
        <f>IF(L8737="", "", L8737-B8737)</f>
        <v/>
      </c>
      <c r="O8737">
        <f>IF(L8737="", "Pending", IF(N8737&lt;=30, "Met", "Breached"))</f>
        <v/>
      </c>
      <c r="P8737" s="8" t="n"/>
      <c r="Q8737" s="8" t="n"/>
      <c r="R8737" s="8" t="n"/>
      <c r="S8737" s="8" t="n"/>
      <c r="T8737" s="8" t="n"/>
      <c r="U8737" s="8" t="n"/>
      <c r="V8737" s="8" t="n"/>
      <c r="W8737" s="8" t="n"/>
      <c r="X8737" s="8" t="n"/>
      <c r="Y8737" s="8" t="n"/>
    </row>
    <row r="8738">
      <c r="A8738" s="8" t="n"/>
      <c r="B8738" s="8" t="n"/>
      <c r="C8738" s="8" t="n"/>
      <c r="D8738" s="8" t="n"/>
      <c r="E8738" s="8" t="n"/>
      <c r="F8738" s="8" t="n"/>
      <c r="G8738" s="8" t="n"/>
      <c r="H8738" s="8" t="n"/>
      <c r="I8738" s="8" t="n"/>
      <c r="J8738" s="8" t="n"/>
      <c r="K8738" s="8" t="n"/>
      <c r="L8738" s="8" t="n"/>
      <c r="M8738" s="9">
        <f>B8738+30</f>
        <v/>
      </c>
      <c r="N8738">
        <f>IF(L8738="", "", L8738-B8738)</f>
        <v/>
      </c>
      <c r="O8738">
        <f>IF(L8738="", "Pending", IF(N8738&lt;=30, "Met", "Breached"))</f>
        <v/>
      </c>
      <c r="P8738" s="8" t="n"/>
      <c r="Q8738" s="8" t="n"/>
      <c r="R8738" s="8" t="n"/>
      <c r="S8738" s="8" t="n"/>
      <c r="T8738" s="8" t="n"/>
      <c r="U8738" s="8" t="n"/>
      <c r="V8738" s="8" t="n"/>
      <c r="W8738" s="8" t="n"/>
      <c r="X8738" s="8" t="n"/>
      <c r="Y8738" s="8" t="n"/>
    </row>
    <row r="8739">
      <c r="A8739" s="8" t="n"/>
      <c r="B8739" s="8" t="n"/>
      <c r="C8739" s="8" t="n"/>
      <c r="D8739" s="8" t="n"/>
      <c r="E8739" s="8" t="n"/>
      <c r="F8739" s="8" t="n"/>
      <c r="G8739" s="8" t="n"/>
      <c r="H8739" s="8" t="n"/>
      <c r="I8739" s="8" t="n"/>
      <c r="J8739" s="8" t="n"/>
      <c r="K8739" s="8" t="n"/>
      <c r="L8739" s="8" t="n"/>
      <c r="M8739" s="9">
        <f>B8739+30</f>
        <v/>
      </c>
      <c r="N8739">
        <f>IF(L8739="", "", L8739-B8739)</f>
        <v/>
      </c>
      <c r="O8739">
        <f>IF(L8739="", "Pending", IF(N8739&lt;=30, "Met", "Breached"))</f>
        <v/>
      </c>
      <c r="P8739" s="8" t="n"/>
      <c r="Q8739" s="8" t="n"/>
      <c r="R8739" s="8" t="n"/>
      <c r="S8739" s="8" t="n"/>
      <c r="T8739" s="8" t="n"/>
      <c r="U8739" s="8" t="n"/>
      <c r="V8739" s="8" t="n"/>
      <c r="W8739" s="8" t="n"/>
      <c r="X8739" s="8" t="n"/>
      <c r="Y8739" s="8" t="n"/>
    </row>
    <row r="8740">
      <c r="A8740" s="8" t="n"/>
      <c r="B8740" s="8" t="n"/>
      <c r="C8740" s="8" t="n"/>
      <c r="D8740" s="8" t="n"/>
      <c r="E8740" s="8" t="n"/>
      <c r="F8740" s="8" t="n"/>
      <c r="G8740" s="8" t="n"/>
      <c r="H8740" s="8" t="n"/>
      <c r="I8740" s="8" t="n"/>
      <c r="J8740" s="8" t="n"/>
      <c r="K8740" s="8" t="n"/>
      <c r="L8740" s="8" t="n"/>
      <c r="M8740" s="9">
        <f>B8740+30</f>
        <v/>
      </c>
      <c r="N8740">
        <f>IF(L8740="", "", L8740-B8740)</f>
        <v/>
      </c>
      <c r="O8740">
        <f>IF(L8740="", "Pending", IF(N8740&lt;=30, "Met", "Breached"))</f>
        <v/>
      </c>
      <c r="P8740" s="8" t="n"/>
      <c r="Q8740" s="8" t="n"/>
      <c r="R8740" s="8" t="n"/>
      <c r="S8740" s="8" t="n"/>
      <c r="T8740" s="8" t="n"/>
      <c r="U8740" s="8" t="n"/>
      <c r="V8740" s="8" t="n"/>
      <c r="W8740" s="8" t="n"/>
      <c r="X8740" s="8" t="n"/>
      <c r="Y8740" s="8" t="n"/>
    </row>
    <row r="8741">
      <c r="A8741" s="8" t="n"/>
      <c r="B8741" s="8" t="n"/>
      <c r="C8741" s="8" t="n"/>
      <c r="D8741" s="8" t="n"/>
      <c r="E8741" s="8" t="n"/>
      <c r="F8741" s="8" t="n"/>
      <c r="G8741" s="8" t="n"/>
      <c r="H8741" s="8" t="n"/>
      <c r="I8741" s="8" t="n"/>
      <c r="J8741" s="8" t="n"/>
      <c r="K8741" s="8" t="n"/>
      <c r="L8741" s="8" t="n"/>
      <c r="M8741" s="9">
        <f>B8741+30</f>
        <v/>
      </c>
      <c r="N8741">
        <f>IF(L8741="", "", L8741-B8741)</f>
        <v/>
      </c>
      <c r="O8741">
        <f>IF(L8741="", "Pending", IF(N8741&lt;=30, "Met", "Breached"))</f>
        <v/>
      </c>
      <c r="P8741" s="8" t="n"/>
      <c r="Q8741" s="8" t="n"/>
      <c r="R8741" s="8" t="n"/>
      <c r="S8741" s="8" t="n"/>
      <c r="T8741" s="8" t="n"/>
      <c r="U8741" s="8" t="n"/>
      <c r="V8741" s="8" t="n"/>
      <c r="W8741" s="8" t="n"/>
      <c r="X8741" s="8" t="n"/>
      <c r="Y8741" s="8" t="n"/>
    </row>
    <row r="8742">
      <c r="A8742" s="8" t="n"/>
      <c r="B8742" s="8" t="n"/>
      <c r="C8742" s="8" t="n"/>
      <c r="D8742" s="8" t="n"/>
      <c r="E8742" s="8" t="n"/>
      <c r="F8742" s="8" t="n"/>
      <c r="G8742" s="8" t="n"/>
      <c r="H8742" s="8" t="n"/>
      <c r="I8742" s="8" t="n"/>
      <c r="J8742" s="8" t="n"/>
      <c r="K8742" s="8" t="n"/>
      <c r="L8742" s="8" t="n"/>
      <c r="M8742" s="9">
        <f>B8742+30</f>
        <v/>
      </c>
      <c r="N8742">
        <f>IF(L8742="", "", L8742-B8742)</f>
        <v/>
      </c>
      <c r="O8742">
        <f>IF(L8742="", "Pending", IF(N8742&lt;=30, "Met", "Breached"))</f>
        <v/>
      </c>
      <c r="P8742" s="8" t="n"/>
      <c r="Q8742" s="8" t="n"/>
      <c r="R8742" s="8" t="n"/>
      <c r="S8742" s="8" t="n"/>
      <c r="T8742" s="8" t="n"/>
      <c r="U8742" s="8" t="n"/>
      <c r="V8742" s="8" t="n"/>
      <c r="W8742" s="8" t="n"/>
      <c r="X8742" s="8" t="n"/>
      <c r="Y8742" s="8" t="n"/>
    </row>
    <row r="8743">
      <c r="A8743" s="8" t="n"/>
      <c r="B8743" s="8" t="n"/>
      <c r="C8743" s="8" t="n"/>
      <c r="D8743" s="8" t="n"/>
      <c r="E8743" s="8" t="n"/>
      <c r="F8743" s="8" t="n"/>
      <c r="G8743" s="8" t="n"/>
      <c r="H8743" s="8" t="n"/>
      <c r="I8743" s="8" t="n"/>
      <c r="J8743" s="8" t="n"/>
      <c r="K8743" s="8" t="n"/>
      <c r="L8743" s="8" t="n"/>
      <c r="M8743" s="9">
        <f>B8743+30</f>
        <v/>
      </c>
      <c r="N8743">
        <f>IF(L8743="", "", L8743-B8743)</f>
        <v/>
      </c>
      <c r="O8743">
        <f>IF(L8743="", "Pending", IF(N8743&lt;=30, "Met", "Breached"))</f>
        <v/>
      </c>
      <c r="P8743" s="8" t="n"/>
      <c r="Q8743" s="8" t="n"/>
      <c r="R8743" s="8" t="n"/>
      <c r="S8743" s="8" t="n"/>
      <c r="T8743" s="8" t="n"/>
      <c r="U8743" s="8" t="n"/>
      <c r="V8743" s="8" t="n"/>
      <c r="W8743" s="8" t="n"/>
      <c r="X8743" s="8" t="n"/>
      <c r="Y8743" s="8" t="n"/>
    </row>
    <row r="8744">
      <c r="A8744" s="8" t="n"/>
      <c r="B8744" s="8" t="n"/>
      <c r="C8744" s="8" t="n"/>
      <c r="D8744" s="8" t="n"/>
      <c r="E8744" s="8" t="n"/>
      <c r="F8744" s="8" t="n"/>
      <c r="G8744" s="8" t="n"/>
      <c r="H8744" s="8" t="n"/>
      <c r="I8744" s="8" t="n"/>
      <c r="J8744" s="8" t="n"/>
      <c r="K8744" s="8" t="n"/>
      <c r="L8744" s="8" t="n"/>
      <c r="M8744" s="9">
        <f>B8744+30</f>
        <v/>
      </c>
      <c r="N8744">
        <f>IF(L8744="", "", L8744-B8744)</f>
        <v/>
      </c>
      <c r="O8744">
        <f>IF(L8744="", "Pending", IF(N8744&lt;=30, "Met", "Breached"))</f>
        <v/>
      </c>
      <c r="P8744" s="8" t="n"/>
      <c r="Q8744" s="8" t="n"/>
      <c r="R8744" s="8" t="n"/>
      <c r="S8744" s="8" t="n"/>
      <c r="T8744" s="8" t="n"/>
      <c r="U8744" s="8" t="n"/>
      <c r="V8744" s="8" t="n"/>
      <c r="W8744" s="8" t="n"/>
      <c r="X8744" s="8" t="n"/>
      <c r="Y8744" s="8" t="n"/>
    </row>
    <row r="8745">
      <c r="A8745" s="8" t="n"/>
      <c r="B8745" s="8" t="n"/>
      <c r="C8745" s="8" t="n"/>
      <c r="D8745" s="8" t="n"/>
      <c r="E8745" s="8" t="n"/>
      <c r="F8745" s="8" t="n"/>
      <c r="G8745" s="8" t="n"/>
      <c r="H8745" s="8" t="n"/>
      <c r="I8745" s="8" t="n"/>
      <c r="J8745" s="8" t="n"/>
      <c r="K8745" s="8" t="n"/>
      <c r="L8745" s="8" t="n"/>
      <c r="M8745" s="9">
        <f>B8745+30</f>
        <v/>
      </c>
      <c r="N8745">
        <f>IF(L8745="", "", L8745-B8745)</f>
        <v/>
      </c>
      <c r="O8745">
        <f>IF(L8745="", "Pending", IF(N8745&lt;=30, "Met", "Breached"))</f>
        <v/>
      </c>
      <c r="P8745" s="8" t="n"/>
      <c r="Q8745" s="8" t="n"/>
      <c r="R8745" s="8" t="n"/>
      <c r="S8745" s="8" t="n"/>
      <c r="T8745" s="8" t="n"/>
      <c r="U8745" s="8" t="n"/>
      <c r="V8745" s="8" t="n"/>
      <c r="W8745" s="8" t="n"/>
      <c r="X8745" s="8" t="n"/>
      <c r="Y8745" s="8" t="n"/>
    </row>
    <row r="8746">
      <c r="A8746" s="8" t="n"/>
      <c r="B8746" s="8" t="n"/>
      <c r="C8746" s="8" t="n"/>
      <c r="D8746" s="8" t="n"/>
      <c r="E8746" s="8" t="n"/>
      <c r="F8746" s="8" t="n"/>
      <c r="G8746" s="8" t="n"/>
      <c r="H8746" s="8" t="n"/>
      <c r="I8746" s="8" t="n"/>
      <c r="J8746" s="8" t="n"/>
      <c r="K8746" s="8" t="n"/>
      <c r="L8746" s="8" t="n"/>
      <c r="M8746" s="9">
        <f>B8746+30</f>
        <v/>
      </c>
      <c r="N8746">
        <f>IF(L8746="", "", L8746-B8746)</f>
        <v/>
      </c>
      <c r="O8746">
        <f>IF(L8746="", "Pending", IF(N8746&lt;=30, "Met", "Breached"))</f>
        <v/>
      </c>
      <c r="P8746" s="8" t="n"/>
      <c r="Q8746" s="8" t="n"/>
      <c r="R8746" s="8" t="n"/>
      <c r="S8746" s="8" t="n"/>
      <c r="T8746" s="8" t="n"/>
      <c r="U8746" s="8" t="n"/>
      <c r="V8746" s="8" t="n"/>
      <c r="W8746" s="8" t="n"/>
      <c r="X8746" s="8" t="n"/>
      <c r="Y8746" s="8" t="n"/>
    </row>
    <row r="8747">
      <c r="A8747" s="8" t="n"/>
      <c r="B8747" s="8" t="n"/>
      <c r="C8747" s="8" t="n"/>
      <c r="D8747" s="8" t="n"/>
      <c r="E8747" s="8" t="n"/>
      <c r="F8747" s="8" t="n"/>
      <c r="G8747" s="8" t="n"/>
      <c r="H8747" s="8" t="n"/>
      <c r="I8747" s="8" t="n"/>
      <c r="J8747" s="8" t="n"/>
      <c r="K8747" s="8" t="n"/>
      <c r="L8747" s="8" t="n"/>
      <c r="M8747" s="9">
        <f>B8747+30</f>
        <v/>
      </c>
      <c r="N8747">
        <f>IF(L8747="", "", L8747-B8747)</f>
        <v/>
      </c>
      <c r="O8747">
        <f>IF(L8747="", "Pending", IF(N8747&lt;=30, "Met", "Breached"))</f>
        <v/>
      </c>
      <c r="P8747" s="8" t="n"/>
      <c r="Q8747" s="8" t="n"/>
      <c r="R8747" s="8" t="n"/>
      <c r="S8747" s="8" t="n"/>
      <c r="T8747" s="8" t="n"/>
      <c r="U8747" s="8" t="n"/>
      <c r="V8747" s="8" t="n"/>
      <c r="W8747" s="8" t="n"/>
      <c r="X8747" s="8" t="n"/>
      <c r="Y8747" s="8" t="n"/>
    </row>
    <row r="8748">
      <c r="A8748" s="8" t="n"/>
      <c r="B8748" s="8" t="n"/>
      <c r="C8748" s="8" t="n"/>
      <c r="D8748" s="8" t="n"/>
      <c r="E8748" s="8" t="n"/>
      <c r="F8748" s="8" t="n"/>
      <c r="G8748" s="8" t="n"/>
      <c r="H8748" s="8" t="n"/>
      <c r="I8748" s="8" t="n"/>
      <c r="J8748" s="8" t="n"/>
      <c r="K8748" s="8" t="n"/>
      <c r="L8748" s="8" t="n"/>
      <c r="M8748" s="9">
        <f>B8748+30</f>
        <v/>
      </c>
      <c r="N8748">
        <f>IF(L8748="", "", L8748-B8748)</f>
        <v/>
      </c>
      <c r="O8748">
        <f>IF(L8748="", "Pending", IF(N8748&lt;=30, "Met", "Breached"))</f>
        <v/>
      </c>
      <c r="P8748" s="8" t="n"/>
      <c r="Q8748" s="8" t="n"/>
      <c r="R8748" s="8" t="n"/>
      <c r="S8748" s="8" t="n"/>
      <c r="T8748" s="8" t="n"/>
      <c r="U8748" s="8" t="n"/>
      <c r="V8748" s="8" t="n"/>
      <c r="W8748" s="8" t="n"/>
      <c r="X8748" s="8" t="n"/>
      <c r="Y8748" s="8" t="n"/>
    </row>
    <row r="8749">
      <c r="A8749" s="8" t="n"/>
      <c r="B8749" s="8" t="n"/>
      <c r="C8749" s="8" t="n"/>
      <c r="D8749" s="8" t="n"/>
      <c r="E8749" s="8" t="n"/>
      <c r="F8749" s="8" t="n"/>
      <c r="G8749" s="8" t="n"/>
      <c r="H8749" s="8" t="n"/>
      <c r="I8749" s="8" t="n"/>
      <c r="J8749" s="8" t="n"/>
      <c r="K8749" s="8" t="n"/>
      <c r="L8749" s="8" t="n"/>
      <c r="M8749" s="9">
        <f>B8749+30</f>
        <v/>
      </c>
      <c r="N8749">
        <f>IF(L8749="", "", L8749-B8749)</f>
        <v/>
      </c>
      <c r="O8749">
        <f>IF(L8749="", "Pending", IF(N8749&lt;=30, "Met", "Breached"))</f>
        <v/>
      </c>
      <c r="P8749" s="8" t="n"/>
      <c r="Q8749" s="8" t="n"/>
      <c r="R8749" s="8" t="n"/>
      <c r="S8749" s="8" t="n"/>
      <c r="T8749" s="8" t="n"/>
      <c r="U8749" s="8" t="n"/>
      <c r="V8749" s="8" t="n"/>
      <c r="W8749" s="8" t="n"/>
      <c r="X8749" s="8" t="n"/>
      <c r="Y8749" s="8" t="n"/>
    </row>
    <row r="8750">
      <c r="A8750" s="8" t="n"/>
      <c r="B8750" s="8" t="n"/>
      <c r="C8750" s="8" t="n"/>
      <c r="D8750" s="8" t="n"/>
      <c r="E8750" s="8" t="n"/>
      <c r="F8750" s="8" t="n"/>
      <c r="G8750" s="8" t="n"/>
      <c r="H8750" s="8" t="n"/>
      <c r="I8750" s="8" t="n"/>
      <c r="J8750" s="8" t="n"/>
      <c r="K8750" s="8" t="n"/>
      <c r="L8750" s="8" t="n"/>
      <c r="M8750" s="9">
        <f>B8750+30</f>
        <v/>
      </c>
      <c r="N8750">
        <f>IF(L8750="", "", L8750-B8750)</f>
        <v/>
      </c>
      <c r="O8750">
        <f>IF(L8750="", "Pending", IF(N8750&lt;=30, "Met", "Breached"))</f>
        <v/>
      </c>
      <c r="P8750" s="8" t="n"/>
      <c r="Q8750" s="8" t="n"/>
      <c r="R8750" s="8" t="n"/>
      <c r="S8750" s="8" t="n"/>
      <c r="T8750" s="8" t="n"/>
      <c r="U8750" s="8" t="n"/>
      <c r="V8750" s="8" t="n"/>
      <c r="W8750" s="8" t="n"/>
      <c r="X8750" s="8" t="n"/>
      <c r="Y8750" s="8" t="n"/>
    </row>
    <row r="8751">
      <c r="A8751" s="8" t="n"/>
      <c r="B8751" s="8" t="n"/>
      <c r="C8751" s="8" t="n"/>
      <c r="D8751" s="8" t="n"/>
      <c r="E8751" s="8" t="n"/>
      <c r="F8751" s="8" t="n"/>
      <c r="G8751" s="8" t="n"/>
      <c r="H8751" s="8" t="n"/>
      <c r="I8751" s="8" t="n"/>
      <c r="J8751" s="8" t="n"/>
      <c r="K8751" s="8" t="n"/>
      <c r="L8751" s="8" t="n"/>
      <c r="M8751" s="9">
        <f>B8751+30</f>
        <v/>
      </c>
      <c r="N8751">
        <f>IF(L8751="", "", L8751-B8751)</f>
        <v/>
      </c>
      <c r="O8751">
        <f>IF(L8751="", "Pending", IF(N8751&lt;=30, "Met", "Breached"))</f>
        <v/>
      </c>
      <c r="P8751" s="8" t="n"/>
      <c r="Q8751" s="8" t="n"/>
      <c r="R8751" s="8" t="n"/>
      <c r="S8751" s="8" t="n"/>
      <c r="T8751" s="8" t="n"/>
      <c r="U8751" s="8" t="n"/>
      <c r="V8751" s="8" t="n"/>
      <c r="W8751" s="8" t="n"/>
      <c r="X8751" s="8" t="n"/>
      <c r="Y8751" s="8" t="n"/>
    </row>
    <row r="8752">
      <c r="A8752" s="8" t="n"/>
      <c r="B8752" s="8" t="n"/>
      <c r="C8752" s="8" t="n"/>
      <c r="D8752" s="8" t="n"/>
      <c r="E8752" s="8" t="n"/>
      <c r="F8752" s="8" t="n"/>
      <c r="G8752" s="8" t="n"/>
      <c r="H8752" s="8" t="n"/>
      <c r="I8752" s="8" t="n"/>
      <c r="J8752" s="8" t="n"/>
      <c r="K8752" s="8" t="n"/>
      <c r="L8752" s="8" t="n"/>
      <c r="M8752" s="9">
        <f>B8752+30</f>
        <v/>
      </c>
      <c r="N8752">
        <f>IF(L8752="", "", L8752-B8752)</f>
        <v/>
      </c>
      <c r="O8752">
        <f>IF(L8752="", "Pending", IF(N8752&lt;=30, "Met", "Breached"))</f>
        <v/>
      </c>
      <c r="P8752" s="8" t="n"/>
      <c r="Q8752" s="8" t="n"/>
      <c r="R8752" s="8" t="n"/>
      <c r="S8752" s="8" t="n"/>
      <c r="T8752" s="8" t="n"/>
      <c r="U8752" s="8" t="n"/>
      <c r="V8752" s="8" t="n"/>
      <c r="W8752" s="8" t="n"/>
      <c r="X8752" s="8" t="n"/>
      <c r="Y8752" s="8" t="n"/>
    </row>
    <row r="8753">
      <c r="A8753" s="8" t="n"/>
      <c r="B8753" s="8" t="n"/>
      <c r="C8753" s="8" t="n"/>
      <c r="D8753" s="8" t="n"/>
      <c r="E8753" s="8" t="n"/>
      <c r="F8753" s="8" t="n"/>
      <c r="G8753" s="8" t="n"/>
      <c r="H8753" s="8" t="n"/>
      <c r="I8753" s="8" t="n"/>
      <c r="J8753" s="8" t="n"/>
      <c r="K8753" s="8" t="n"/>
      <c r="L8753" s="8" t="n"/>
      <c r="M8753" s="9">
        <f>B8753+30</f>
        <v/>
      </c>
      <c r="N8753">
        <f>IF(L8753="", "", L8753-B8753)</f>
        <v/>
      </c>
      <c r="O8753">
        <f>IF(L8753="", "Pending", IF(N8753&lt;=30, "Met", "Breached"))</f>
        <v/>
      </c>
      <c r="P8753" s="8" t="n"/>
      <c r="Q8753" s="8" t="n"/>
      <c r="R8753" s="8" t="n"/>
      <c r="S8753" s="8" t="n"/>
      <c r="T8753" s="8" t="n"/>
      <c r="U8753" s="8" t="n"/>
      <c r="V8753" s="8" t="n"/>
      <c r="W8753" s="8" t="n"/>
      <c r="X8753" s="8" t="n"/>
      <c r="Y8753" s="8" t="n"/>
    </row>
    <row r="8754">
      <c r="A8754" s="8" t="n"/>
      <c r="B8754" s="8" t="n"/>
      <c r="C8754" s="8" t="n"/>
      <c r="D8754" s="8" t="n"/>
      <c r="E8754" s="8" t="n"/>
      <c r="F8754" s="8" t="n"/>
      <c r="G8754" s="8" t="n"/>
      <c r="H8754" s="8" t="n"/>
      <c r="I8754" s="8" t="n"/>
      <c r="J8754" s="8" t="n"/>
      <c r="K8754" s="8" t="n"/>
      <c r="L8754" s="8" t="n"/>
      <c r="M8754" s="9">
        <f>B8754+30</f>
        <v/>
      </c>
      <c r="N8754">
        <f>IF(L8754="", "", L8754-B8754)</f>
        <v/>
      </c>
      <c r="O8754">
        <f>IF(L8754="", "Pending", IF(N8754&lt;=30, "Met", "Breached"))</f>
        <v/>
      </c>
      <c r="P8754" s="8" t="n"/>
      <c r="Q8754" s="8" t="n"/>
      <c r="R8754" s="8" t="n"/>
      <c r="S8754" s="8" t="n"/>
      <c r="T8754" s="8" t="n"/>
      <c r="U8754" s="8" t="n"/>
      <c r="V8754" s="8" t="n"/>
      <c r="W8754" s="8" t="n"/>
      <c r="X8754" s="8" t="n"/>
      <c r="Y8754" s="8" t="n"/>
    </row>
    <row r="8755">
      <c r="A8755" s="8" t="n"/>
      <c r="B8755" s="8" t="n"/>
      <c r="C8755" s="8" t="n"/>
      <c r="D8755" s="8" t="n"/>
      <c r="E8755" s="8" t="n"/>
      <c r="F8755" s="8" t="n"/>
      <c r="G8755" s="8" t="n"/>
      <c r="H8755" s="8" t="n"/>
      <c r="I8755" s="8" t="n"/>
      <c r="J8755" s="8" t="n"/>
      <c r="K8755" s="8" t="n"/>
      <c r="L8755" s="8" t="n"/>
      <c r="M8755" s="9">
        <f>B8755+30</f>
        <v/>
      </c>
      <c r="N8755">
        <f>IF(L8755="", "", L8755-B8755)</f>
        <v/>
      </c>
      <c r="O8755">
        <f>IF(L8755="", "Pending", IF(N8755&lt;=30, "Met", "Breached"))</f>
        <v/>
      </c>
      <c r="P8755" s="8" t="n"/>
      <c r="Q8755" s="8" t="n"/>
      <c r="R8755" s="8" t="n"/>
      <c r="S8755" s="8" t="n"/>
      <c r="T8755" s="8" t="n"/>
      <c r="U8755" s="8" t="n"/>
      <c r="V8755" s="8" t="n"/>
      <c r="W8755" s="8" t="n"/>
      <c r="X8755" s="8" t="n"/>
      <c r="Y8755" s="8" t="n"/>
    </row>
    <row r="8756">
      <c r="A8756" s="8" t="n"/>
      <c r="B8756" s="8" t="n"/>
      <c r="C8756" s="8" t="n"/>
      <c r="D8756" s="8" t="n"/>
      <c r="E8756" s="8" t="n"/>
      <c r="F8756" s="8" t="n"/>
      <c r="G8756" s="8" t="n"/>
      <c r="H8756" s="8" t="n"/>
      <c r="I8756" s="8" t="n"/>
      <c r="J8756" s="8" t="n"/>
      <c r="K8756" s="8" t="n"/>
      <c r="L8756" s="8" t="n"/>
      <c r="M8756" s="9">
        <f>B8756+30</f>
        <v/>
      </c>
      <c r="N8756">
        <f>IF(L8756="", "", L8756-B8756)</f>
        <v/>
      </c>
      <c r="O8756">
        <f>IF(L8756="", "Pending", IF(N8756&lt;=30, "Met", "Breached"))</f>
        <v/>
      </c>
      <c r="P8756" s="8" t="n"/>
      <c r="Q8756" s="8" t="n"/>
      <c r="R8756" s="8" t="n"/>
      <c r="S8756" s="8" t="n"/>
      <c r="T8756" s="8" t="n"/>
      <c r="U8756" s="8" t="n"/>
      <c r="V8756" s="8" t="n"/>
      <c r="W8756" s="8" t="n"/>
      <c r="X8756" s="8" t="n"/>
      <c r="Y8756" s="8" t="n"/>
    </row>
    <row r="8757">
      <c r="A8757" s="8" t="n"/>
      <c r="B8757" s="8" t="n"/>
      <c r="C8757" s="8" t="n"/>
      <c r="D8757" s="8" t="n"/>
      <c r="E8757" s="8" t="n"/>
      <c r="F8757" s="8" t="n"/>
      <c r="G8757" s="8" t="n"/>
      <c r="H8757" s="8" t="n"/>
      <c r="I8757" s="8" t="n"/>
      <c r="J8757" s="8" t="n"/>
      <c r="K8757" s="8" t="n"/>
      <c r="L8757" s="8" t="n"/>
      <c r="M8757" s="9">
        <f>B8757+30</f>
        <v/>
      </c>
      <c r="N8757">
        <f>IF(L8757="", "", L8757-B8757)</f>
        <v/>
      </c>
      <c r="O8757">
        <f>IF(L8757="", "Pending", IF(N8757&lt;=30, "Met", "Breached"))</f>
        <v/>
      </c>
      <c r="P8757" s="8" t="n"/>
      <c r="Q8757" s="8" t="n"/>
      <c r="R8757" s="8" t="n"/>
      <c r="S8757" s="8" t="n"/>
      <c r="T8757" s="8" t="n"/>
      <c r="U8757" s="8" t="n"/>
      <c r="V8757" s="8" t="n"/>
      <c r="W8757" s="8" t="n"/>
      <c r="X8757" s="8" t="n"/>
      <c r="Y8757" s="8" t="n"/>
    </row>
    <row r="8758">
      <c r="A8758" s="8" t="n"/>
      <c r="B8758" s="8" t="n"/>
      <c r="C8758" s="8" t="n"/>
      <c r="D8758" s="8" t="n"/>
      <c r="E8758" s="8" t="n"/>
      <c r="F8758" s="8" t="n"/>
      <c r="G8758" s="8" t="n"/>
      <c r="H8758" s="8" t="n"/>
      <c r="I8758" s="8" t="n"/>
      <c r="J8758" s="8" t="n"/>
      <c r="K8758" s="8" t="n"/>
      <c r="L8758" s="8" t="n"/>
      <c r="M8758" s="9">
        <f>B8758+30</f>
        <v/>
      </c>
      <c r="N8758">
        <f>IF(L8758="", "", L8758-B8758)</f>
        <v/>
      </c>
      <c r="O8758">
        <f>IF(L8758="", "Pending", IF(N8758&lt;=30, "Met", "Breached"))</f>
        <v/>
      </c>
      <c r="P8758" s="8" t="n"/>
      <c r="Q8758" s="8" t="n"/>
      <c r="R8758" s="8" t="n"/>
      <c r="S8758" s="8" t="n"/>
      <c r="T8758" s="8" t="n"/>
      <c r="U8758" s="8" t="n"/>
      <c r="V8758" s="8" t="n"/>
      <c r="W8758" s="8" t="n"/>
      <c r="X8758" s="8" t="n"/>
      <c r="Y8758" s="8" t="n"/>
    </row>
    <row r="8759">
      <c r="A8759" s="8" t="n"/>
      <c r="B8759" s="8" t="n"/>
      <c r="C8759" s="8" t="n"/>
      <c r="D8759" s="8" t="n"/>
      <c r="E8759" s="8" t="n"/>
      <c r="F8759" s="8" t="n"/>
      <c r="G8759" s="8" t="n"/>
      <c r="H8759" s="8" t="n"/>
      <c r="I8759" s="8" t="n"/>
      <c r="J8759" s="8" t="n"/>
      <c r="K8759" s="8" t="n"/>
      <c r="L8759" s="8" t="n"/>
      <c r="M8759" s="9">
        <f>B8759+30</f>
        <v/>
      </c>
      <c r="N8759">
        <f>IF(L8759="", "", L8759-B8759)</f>
        <v/>
      </c>
      <c r="O8759">
        <f>IF(L8759="", "Pending", IF(N8759&lt;=30, "Met", "Breached"))</f>
        <v/>
      </c>
      <c r="P8759" s="8" t="n"/>
      <c r="Q8759" s="8" t="n"/>
      <c r="R8759" s="8" t="n"/>
      <c r="S8759" s="8" t="n"/>
      <c r="T8759" s="8" t="n"/>
      <c r="U8759" s="8" t="n"/>
      <c r="V8759" s="8" t="n"/>
      <c r="W8759" s="8" t="n"/>
      <c r="X8759" s="8" t="n"/>
      <c r="Y8759" s="8" t="n"/>
    </row>
    <row r="8760">
      <c r="A8760" s="8" t="n"/>
      <c r="B8760" s="8" t="n"/>
      <c r="C8760" s="8" t="n"/>
      <c r="D8760" s="8" t="n"/>
      <c r="E8760" s="8" t="n"/>
      <c r="F8760" s="8" t="n"/>
      <c r="G8760" s="8" t="n"/>
      <c r="H8760" s="8" t="n"/>
      <c r="I8760" s="8" t="n"/>
      <c r="J8760" s="8" t="n"/>
      <c r="K8760" s="8" t="n"/>
      <c r="L8760" s="8" t="n"/>
      <c r="M8760" s="9">
        <f>B8760+30</f>
        <v/>
      </c>
      <c r="N8760">
        <f>IF(L8760="", "", L8760-B8760)</f>
        <v/>
      </c>
      <c r="O8760">
        <f>IF(L8760="", "Pending", IF(N8760&lt;=30, "Met", "Breached"))</f>
        <v/>
      </c>
      <c r="P8760" s="8" t="n"/>
      <c r="Q8760" s="8" t="n"/>
      <c r="R8760" s="8" t="n"/>
      <c r="S8760" s="8" t="n"/>
      <c r="T8760" s="8" t="n"/>
      <c r="U8760" s="8" t="n"/>
      <c r="V8760" s="8" t="n"/>
      <c r="W8760" s="8" t="n"/>
      <c r="X8760" s="8" t="n"/>
      <c r="Y8760" s="8" t="n"/>
    </row>
    <row r="8761">
      <c r="A8761" s="8" t="n"/>
      <c r="B8761" s="8" t="n"/>
      <c r="C8761" s="8" t="n"/>
      <c r="D8761" s="8" t="n"/>
      <c r="E8761" s="8" t="n"/>
      <c r="F8761" s="8" t="n"/>
      <c r="G8761" s="8" t="n"/>
      <c r="H8761" s="8" t="n"/>
      <c r="I8761" s="8" t="n"/>
      <c r="J8761" s="8" t="n"/>
      <c r="K8761" s="8" t="n"/>
      <c r="L8761" s="8" t="n"/>
      <c r="M8761" s="9">
        <f>B8761+30</f>
        <v/>
      </c>
      <c r="N8761">
        <f>IF(L8761="", "", L8761-B8761)</f>
        <v/>
      </c>
      <c r="O8761">
        <f>IF(L8761="", "Pending", IF(N8761&lt;=30, "Met", "Breached"))</f>
        <v/>
      </c>
      <c r="P8761" s="8" t="n"/>
      <c r="Q8761" s="8" t="n"/>
      <c r="R8761" s="8" t="n"/>
      <c r="S8761" s="8" t="n"/>
      <c r="T8761" s="8" t="n"/>
      <c r="U8761" s="8" t="n"/>
      <c r="V8761" s="8" t="n"/>
      <c r="W8761" s="8" t="n"/>
      <c r="X8761" s="8" t="n"/>
      <c r="Y8761" s="8" t="n"/>
    </row>
    <row r="8762">
      <c r="A8762" s="8" t="n"/>
      <c r="B8762" s="8" t="n"/>
      <c r="C8762" s="8" t="n"/>
      <c r="D8762" s="8" t="n"/>
      <c r="E8762" s="8" t="n"/>
      <c r="F8762" s="8" t="n"/>
      <c r="G8762" s="8" t="n"/>
      <c r="H8762" s="8" t="n"/>
      <c r="I8762" s="8" t="n"/>
      <c r="J8762" s="8" t="n"/>
      <c r="K8762" s="8" t="n"/>
      <c r="L8762" s="8" t="n"/>
      <c r="M8762" s="9">
        <f>B8762+30</f>
        <v/>
      </c>
      <c r="N8762">
        <f>IF(L8762="", "", L8762-B8762)</f>
        <v/>
      </c>
      <c r="O8762">
        <f>IF(L8762="", "Pending", IF(N8762&lt;=30, "Met", "Breached"))</f>
        <v/>
      </c>
      <c r="P8762" s="8" t="n"/>
      <c r="Q8762" s="8" t="n"/>
      <c r="R8762" s="8" t="n"/>
      <c r="S8762" s="8" t="n"/>
      <c r="T8762" s="8" t="n"/>
      <c r="U8762" s="8" t="n"/>
      <c r="V8762" s="8" t="n"/>
      <c r="W8762" s="8" t="n"/>
      <c r="X8762" s="8" t="n"/>
      <c r="Y8762" s="8" t="n"/>
    </row>
    <row r="8763">
      <c r="A8763" s="8" t="n"/>
      <c r="B8763" s="8" t="n"/>
      <c r="C8763" s="8" t="n"/>
      <c r="D8763" s="8" t="n"/>
      <c r="E8763" s="8" t="n"/>
      <c r="F8763" s="8" t="n"/>
      <c r="G8763" s="8" t="n"/>
      <c r="H8763" s="8" t="n"/>
      <c r="I8763" s="8" t="n"/>
      <c r="J8763" s="8" t="n"/>
      <c r="K8763" s="8" t="n"/>
      <c r="L8763" s="8" t="n"/>
      <c r="M8763" s="9">
        <f>B8763+30</f>
        <v/>
      </c>
      <c r="N8763">
        <f>IF(L8763="", "", L8763-B8763)</f>
        <v/>
      </c>
      <c r="O8763">
        <f>IF(L8763="", "Pending", IF(N8763&lt;=30, "Met", "Breached"))</f>
        <v/>
      </c>
      <c r="P8763" s="8" t="n"/>
      <c r="Q8763" s="8" t="n"/>
      <c r="R8763" s="8" t="n"/>
      <c r="S8763" s="8" t="n"/>
      <c r="T8763" s="8" t="n"/>
      <c r="U8763" s="8" t="n"/>
      <c r="V8763" s="8" t="n"/>
      <c r="W8763" s="8" t="n"/>
      <c r="X8763" s="8" t="n"/>
      <c r="Y8763" s="8" t="n"/>
    </row>
    <row r="8764">
      <c r="A8764" s="8" t="n"/>
      <c r="B8764" s="8" t="n"/>
      <c r="C8764" s="8" t="n"/>
      <c r="D8764" s="8" t="n"/>
      <c r="E8764" s="8" t="n"/>
      <c r="F8764" s="8" t="n"/>
      <c r="G8764" s="8" t="n"/>
      <c r="H8764" s="8" t="n"/>
      <c r="I8764" s="8" t="n"/>
      <c r="J8764" s="8" t="n"/>
      <c r="K8764" s="8" t="n"/>
      <c r="L8764" s="8" t="n"/>
      <c r="M8764" s="9">
        <f>B8764+30</f>
        <v/>
      </c>
      <c r="N8764">
        <f>IF(L8764="", "", L8764-B8764)</f>
        <v/>
      </c>
      <c r="O8764">
        <f>IF(L8764="", "Pending", IF(N8764&lt;=30, "Met", "Breached"))</f>
        <v/>
      </c>
      <c r="P8764" s="8" t="n"/>
      <c r="Q8764" s="8" t="n"/>
      <c r="R8764" s="8" t="n"/>
      <c r="S8764" s="8" t="n"/>
      <c r="T8764" s="8" t="n"/>
      <c r="U8764" s="8" t="n"/>
      <c r="V8764" s="8" t="n"/>
      <c r="W8764" s="8" t="n"/>
      <c r="X8764" s="8" t="n"/>
      <c r="Y8764" s="8" t="n"/>
    </row>
    <row r="8765">
      <c r="A8765" s="8" t="n"/>
      <c r="B8765" s="8" t="n"/>
      <c r="C8765" s="8" t="n"/>
      <c r="D8765" s="8" t="n"/>
      <c r="E8765" s="8" t="n"/>
      <c r="F8765" s="8" t="n"/>
      <c r="G8765" s="8" t="n"/>
      <c r="H8765" s="8" t="n"/>
      <c r="I8765" s="8" t="n"/>
      <c r="J8765" s="8" t="n"/>
      <c r="K8765" s="8" t="n"/>
      <c r="L8765" s="8" t="n"/>
      <c r="M8765" s="9">
        <f>B8765+30</f>
        <v/>
      </c>
      <c r="N8765">
        <f>IF(L8765="", "", L8765-B8765)</f>
        <v/>
      </c>
      <c r="O8765">
        <f>IF(L8765="", "Pending", IF(N8765&lt;=30, "Met", "Breached"))</f>
        <v/>
      </c>
      <c r="P8765" s="8" t="n"/>
      <c r="Q8765" s="8" t="n"/>
      <c r="R8765" s="8" t="n"/>
      <c r="S8765" s="8" t="n"/>
      <c r="T8765" s="8" t="n"/>
      <c r="U8765" s="8" t="n"/>
      <c r="V8765" s="8" t="n"/>
      <c r="W8765" s="8" t="n"/>
      <c r="X8765" s="8" t="n"/>
      <c r="Y8765" s="8" t="n"/>
    </row>
    <row r="8766">
      <c r="A8766" s="8" t="n"/>
      <c r="B8766" s="8" t="n"/>
      <c r="C8766" s="8" t="n"/>
      <c r="D8766" s="8" t="n"/>
      <c r="E8766" s="8" t="n"/>
      <c r="F8766" s="8" t="n"/>
      <c r="G8766" s="8" t="n"/>
      <c r="H8766" s="8" t="n"/>
      <c r="I8766" s="8" t="n"/>
      <c r="J8766" s="8" t="n"/>
      <c r="K8766" s="8" t="n"/>
      <c r="L8766" s="8" t="n"/>
      <c r="M8766" s="9">
        <f>B8766+30</f>
        <v/>
      </c>
      <c r="N8766">
        <f>IF(L8766="", "", L8766-B8766)</f>
        <v/>
      </c>
      <c r="O8766">
        <f>IF(L8766="", "Pending", IF(N8766&lt;=30, "Met", "Breached"))</f>
        <v/>
      </c>
      <c r="P8766" s="8" t="n"/>
      <c r="Q8766" s="8" t="n"/>
      <c r="R8766" s="8" t="n"/>
      <c r="S8766" s="8" t="n"/>
      <c r="T8766" s="8" t="n"/>
      <c r="U8766" s="8" t="n"/>
      <c r="V8766" s="8" t="n"/>
      <c r="W8766" s="8" t="n"/>
      <c r="X8766" s="8" t="n"/>
      <c r="Y8766" s="8" t="n"/>
    </row>
    <row r="8767">
      <c r="A8767" s="8" t="n"/>
      <c r="B8767" s="8" t="n"/>
      <c r="C8767" s="8" t="n"/>
      <c r="D8767" s="8" t="n"/>
      <c r="E8767" s="8" t="n"/>
      <c r="F8767" s="8" t="n"/>
      <c r="G8767" s="8" t="n"/>
      <c r="H8767" s="8" t="n"/>
      <c r="I8767" s="8" t="n"/>
      <c r="J8767" s="8" t="n"/>
      <c r="K8767" s="8" t="n"/>
      <c r="L8767" s="8" t="n"/>
      <c r="M8767" s="9">
        <f>B8767+30</f>
        <v/>
      </c>
      <c r="N8767">
        <f>IF(L8767="", "", L8767-B8767)</f>
        <v/>
      </c>
      <c r="O8767">
        <f>IF(L8767="", "Pending", IF(N8767&lt;=30, "Met", "Breached"))</f>
        <v/>
      </c>
      <c r="P8767" s="8" t="n"/>
      <c r="Q8767" s="8" t="n"/>
      <c r="R8767" s="8" t="n"/>
      <c r="S8767" s="8" t="n"/>
      <c r="T8767" s="8" t="n"/>
      <c r="U8767" s="8" t="n"/>
      <c r="V8767" s="8" t="n"/>
      <c r="W8767" s="8" t="n"/>
      <c r="X8767" s="8" t="n"/>
      <c r="Y8767" s="8" t="n"/>
    </row>
    <row r="8768">
      <c r="A8768" s="8" t="n"/>
      <c r="B8768" s="8" t="n"/>
      <c r="C8768" s="8" t="n"/>
      <c r="D8768" s="8" t="n"/>
      <c r="E8768" s="8" t="n"/>
      <c r="F8768" s="8" t="n"/>
      <c r="G8768" s="8" t="n"/>
      <c r="H8768" s="8" t="n"/>
      <c r="I8768" s="8" t="n"/>
      <c r="J8768" s="8" t="n"/>
      <c r="K8768" s="8" t="n"/>
      <c r="L8768" s="8" t="n"/>
      <c r="M8768" s="9">
        <f>B8768+30</f>
        <v/>
      </c>
      <c r="N8768">
        <f>IF(L8768="", "", L8768-B8768)</f>
        <v/>
      </c>
      <c r="O8768">
        <f>IF(L8768="", "Pending", IF(N8768&lt;=30, "Met", "Breached"))</f>
        <v/>
      </c>
      <c r="P8768" s="8" t="n"/>
      <c r="Q8768" s="8" t="n"/>
      <c r="R8768" s="8" t="n"/>
      <c r="S8768" s="8" t="n"/>
      <c r="T8768" s="8" t="n"/>
      <c r="U8768" s="8" t="n"/>
      <c r="V8768" s="8" t="n"/>
      <c r="W8768" s="8" t="n"/>
      <c r="X8768" s="8" t="n"/>
      <c r="Y8768" s="8" t="n"/>
    </row>
    <row r="8769">
      <c r="A8769" s="8" t="n"/>
      <c r="B8769" s="8" t="n"/>
      <c r="C8769" s="8" t="n"/>
      <c r="D8769" s="8" t="n"/>
      <c r="E8769" s="8" t="n"/>
      <c r="F8769" s="8" t="n"/>
      <c r="G8769" s="8" t="n"/>
      <c r="H8769" s="8" t="n"/>
      <c r="I8769" s="8" t="n"/>
      <c r="J8769" s="8" t="n"/>
      <c r="K8769" s="8" t="n"/>
      <c r="L8769" s="8" t="n"/>
      <c r="M8769" s="9">
        <f>B8769+30</f>
        <v/>
      </c>
      <c r="N8769">
        <f>IF(L8769="", "", L8769-B8769)</f>
        <v/>
      </c>
      <c r="O8769">
        <f>IF(L8769="", "Pending", IF(N8769&lt;=30, "Met", "Breached"))</f>
        <v/>
      </c>
      <c r="P8769" s="8" t="n"/>
      <c r="Q8769" s="8" t="n"/>
      <c r="R8769" s="8" t="n"/>
      <c r="S8769" s="8" t="n"/>
      <c r="T8769" s="8" t="n"/>
      <c r="U8769" s="8" t="n"/>
      <c r="V8769" s="8" t="n"/>
      <c r="W8769" s="8" t="n"/>
      <c r="X8769" s="8" t="n"/>
      <c r="Y8769" s="8" t="n"/>
    </row>
    <row r="8770">
      <c r="A8770" s="8" t="n"/>
      <c r="B8770" s="8" t="n"/>
      <c r="C8770" s="8" t="n"/>
      <c r="D8770" s="8" t="n"/>
      <c r="E8770" s="8" t="n"/>
      <c r="F8770" s="8" t="n"/>
      <c r="G8770" s="8" t="n"/>
      <c r="H8770" s="8" t="n"/>
      <c r="I8770" s="8" t="n"/>
      <c r="J8770" s="8" t="n"/>
      <c r="K8770" s="8" t="n"/>
      <c r="L8770" s="8" t="n"/>
      <c r="M8770" s="9">
        <f>B8770+30</f>
        <v/>
      </c>
      <c r="N8770">
        <f>IF(L8770="", "", L8770-B8770)</f>
        <v/>
      </c>
      <c r="O8770">
        <f>IF(L8770="", "Pending", IF(N8770&lt;=30, "Met", "Breached"))</f>
        <v/>
      </c>
      <c r="P8770" s="8" t="n"/>
      <c r="Q8770" s="8" t="n"/>
      <c r="R8770" s="8" t="n"/>
      <c r="S8770" s="8" t="n"/>
      <c r="T8770" s="8" t="n"/>
      <c r="U8770" s="8" t="n"/>
      <c r="V8770" s="8" t="n"/>
      <c r="W8770" s="8" t="n"/>
      <c r="X8770" s="8" t="n"/>
      <c r="Y8770" s="8" t="n"/>
    </row>
    <row r="8771">
      <c r="A8771" s="8" t="n"/>
      <c r="B8771" s="8" t="n"/>
      <c r="C8771" s="8" t="n"/>
      <c r="D8771" s="8" t="n"/>
      <c r="E8771" s="8" t="n"/>
      <c r="F8771" s="8" t="n"/>
      <c r="G8771" s="8" t="n"/>
      <c r="H8771" s="8" t="n"/>
      <c r="I8771" s="8" t="n"/>
      <c r="J8771" s="8" t="n"/>
      <c r="K8771" s="8" t="n"/>
      <c r="L8771" s="8" t="n"/>
      <c r="M8771" s="9">
        <f>B8771+30</f>
        <v/>
      </c>
      <c r="N8771">
        <f>IF(L8771="", "", L8771-B8771)</f>
        <v/>
      </c>
      <c r="O8771">
        <f>IF(L8771="", "Pending", IF(N8771&lt;=30, "Met", "Breached"))</f>
        <v/>
      </c>
      <c r="P8771" s="8" t="n"/>
      <c r="Q8771" s="8" t="n"/>
      <c r="R8771" s="8" t="n"/>
      <c r="S8771" s="8" t="n"/>
      <c r="T8771" s="8" t="n"/>
      <c r="U8771" s="8" t="n"/>
      <c r="V8771" s="8" t="n"/>
      <c r="W8771" s="8" t="n"/>
      <c r="X8771" s="8" t="n"/>
      <c r="Y8771" s="8" t="n"/>
    </row>
    <row r="8772">
      <c r="A8772" s="8" t="n"/>
      <c r="B8772" s="8" t="n"/>
      <c r="C8772" s="8" t="n"/>
      <c r="D8772" s="8" t="n"/>
      <c r="E8772" s="8" t="n"/>
      <c r="F8772" s="8" t="n"/>
      <c r="G8772" s="8" t="n"/>
      <c r="H8772" s="8" t="n"/>
      <c r="I8772" s="8" t="n"/>
      <c r="J8772" s="8" t="n"/>
      <c r="K8772" s="8" t="n"/>
      <c r="L8772" s="8" t="n"/>
      <c r="M8772" s="9">
        <f>B8772+30</f>
        <v/>
      </c>
      <c r="N8772">
        <f>IF(L8772="", "", L8772-B8772)</f>
        <v/>
      </c>
      <c r="O8772">
        <f>IF(L8772="", "Pending", IF(N8772&lt;=30, "Met", "Breached"))</f>
        <v/>
      </c>
      <c r="P8772" s="8" t="n"/>
      <c r="Q8772" s="8" t="n"/>
      <c r="R8772" s="8" t="n"/>
      <c r="S8772" s="8" t="n"/>
      <c r="T8772" s="8" t="n"/>
      <c r="U8772" s="8" t="n"/>
      <c r="V8772" s="8" t="n"/>
      <c r="W8772" s="8" t="n"/>
      <c r="X8772" s="8" t="n"/>
      <c r="Y8772" s="8" t="n"/>
    </row>
    <row r="8773">
      <c r="A8773" s="8" t="n"/>
      <c r="B8773" s="8" t="n"/>
      <c r="C8773" s="8" t="n"/>
      <c r="D8773" s="8" t="n"/>
      <c r="E8773" s="8" t="n"/>
      <c r="F8773" s="8" t="n"/>
      <c r="G8773" s="8" t="n"/>
      <c r="H8773" s="8" t="n"/>
      <c r="I8773" s="8" t="n"/>
      <c r="J8773" s="8" t="n"/>
      <c r="K8773" s="8" t="n"/>
      <c r="L8773" s="8" t="n"/>
      <c r="M8773" s="9">
        <f>B8773+30</f>
        <v/>
      </c>
      <c r="N8773">
        <f>IF(L8773="", "", L8773-B8773)</f>
        <v/>
      </c>
      <c r="O8773">
        <f>IF(L8773="", "Pending", IF(N8773&lt;=30, "Met", "Breached"))</f>
        <v/>
      </c>
      <c r="P8773" s="8" t="n"/>
      <c r="Q8773" s="8" t="n"/>
      <c r="R8773" s="8" t="n"/>
      <c r="S8773" s="8" t="n"/>
      <c r="T8773" s="8" t="n"/>
      <c r="U8773" s="8" t="n"/>
      <c r="V8773" s="8" t="n"/>
      <c r="W8773" s="8" t="n"/>
      <c r="X8773" s="8" t="n"/>
      <c r="Y8773" s="8" t="n"/>
    </row>
    <row r="8774">
      <c r="A8774" s="8" t="n"/>
      <c r="B8774" s="8" t="n"/>
      <c r="C8774" s="8" t="n"/>
      <c r="D8774" s="8" t="n"/>
      <c r="E8774" s="8" t="n"/>
      <c r="F8774" s="8" t="n"/>
      <c r="G8774" s="8" t="n"/>
      <c r="H8774" s="8" t="n"/>
      <c r="I8774" s="8" t="n"/>
      <c r="J8774" s="8" t="n"/>
      <c r="K8774" s="8" t="n"/>
      <c r="L8774" s="8" t="n"/>
      <c r="M8774" s="9">
        <f>B8774+30</f>
        <v/>
      </c>
      <c r="N8774">
        <f>IF(L8774="", "", L8774-B8774)</f>
        <v/>
      </c>
      <c r="O8774">
        <f>IF(L8774="", "Pending", IF(N8774&lt;=30, "Met", "Breached"))</f>
        <v/>
      </c>
      <c r="P8774" s="8" t="n"/>
      <c r="Q8774" s="8" t="n"/>
      <c r="R8774" s="8" t="n"/>
      <c r="S8774" s="8" t="n"/>
      <c r="T8774" s="8" t="n"/>
      <c r="U8774" s="8" t="n"/>
      <c r="V8774" s="8" t="n"/>
      <c r="W8774" s="8" t="n"/>
      <c r="X8774" s="8" t="n"/>
      <c r="Y8774" s="8" t="n"/>
    </row>
    <row r="8775">
      <c r="A8775" s="8" t="n"/>
      <c r="B8775" s="8" t="n"/>
      <c r="C8775" s="8" t="n"/>
      <c r="D8775" s="8" t="n"/>
      <c r="E8775" s="8" t="n"/>
      <c r="F8775" s="8" t="n"/>
      <c r="G8775" s="8" t="n"/>
      <c r="H8775" s="8" t="n"/>
      <c r="I8775" s="8" t="n"/>
      <c r="J8775" s="8" t="n"/>
      <c r="K8775" s="8" t="n"/>
      <c r="L8775" s="8" t="n"/>
      <c r="M8775" s="9">
        <f>B8775+30</f>
        <v/>
      </c>
      <c r="N8775">
        <f>IF(L8775="", "", L8775-B8775)</f>
        <v/>
      </c>
      <c r="O8775">
        <f>IF(L8775="", "Pending", IF(N8775&lt;=30, "Met", "Breached"))</f>
        <v/>
      </c>
      <c r="P8775" s="8" t="n"/>
      <c r="Q8775" s="8" t="n"/>
      <c r="R8775" s="8" t="n"/>
      <c r="S8775" s="8" t="n"/>
      <c r="T8775" s="8" t="n"/>
      <c r="U8775" s="8" t="n"/>
      <c r="V8775" s="8" t="n"/>
      <c r="W8775" s="8" t="n"/>
      <c r="X8775" s="8" t="n"/>
      <c r="Y8775" s="8" t="n"/>
    </row>
    <row r="8776">
      <c r="A8776" s="8" t="n"/>
      <c r="B8776" s="8" t="n"/>
      <c r="C8776" s="8" t="n"/>
      <c r="D8776" s="8" t="n"/>
      <c r="E8776" s="8" t="n"/>
      <c r="F8776" s="8" t="n"/>
      <c r="G8776" s="8" t="n"/>
      <c r="H8776" s="8" t="n"/>
      <c r="I8776" s="8" t="n"/>
      <c r="J8776" s="8" t="n"/>
      <c r="K8776" s="8" t="n"/>
      <c r="L8776" s="8" t="n"/>
      <c r="M8776" s="9">
        <f>B8776+30</f>
        <v/>
      </c>
      <c r="N8776">
        <f>IF(L8776="", "", L8776-B8776)</f>
        <v/>
      </c>
      <c r="O8776">
        <f>IF(L8776="", "Pending", IF(N8776&lt;=30, "Met", "Breached"))</f>
        <v/>
      </c>
      <c r="P8776" s="8" t="n"/>
      <c r="Q8776" s="8" t="n"/>
      <c r="R8776" s="8" t="n"/>
      <c r="S8776" s="8" t="n"/>
      <c r="T8776" s="8" t="n"/>
      <c r="U8776" s="8" t="n"/>
      <c r="V8776" s="8" t="n"/>
      <c r="W8776" s="8" t="n"/>
      <c r="X8776" s="8" t="n"/>
      <c r="Y8776" s="8" t="n"/>
    </row>
    <row r="8777">
      <c r="A8777" s="8" t="n"/>
      <c r="B8777" s="8" t="n"/>
      <c r="C8777" s="8" t="n"/>
      <c r="D8777" s="8" t="n"/>
      <c r="E8777" s="8" t="n"/>
      <c r="F8777" s="8" t="n"/>
      <c r="G8777" s="8" t="n"/>
      <c r="H8777" s="8" t="n"/>
      <c r="I8777" s="8" t="n"/>
      <c r="J8777" s="8" t="n"/>
      <c r="K8777" s="8" t="n"/>
      <c r="L8777" s="8" t="n"/>
      <c r="M8777" s="9">
        <f>B8777+30</f>
        <v/>
      </c>
      <c r="N8777">
        <f>IF(L8777="", "", L8777-B8777)</f>
        <v/>
      </c>
      <c r="O8777">
        <f>IF(L8777="", "Pending", IF(N8777&lt;=30, "Met", "Breached"))</f>
        <v/>
      </c>
      <c r="P8777" s="8" t="n"/>
      <c r="Q8777" s="8" t="n"/>
      <c r="R8777" s="8" t="n"/>
      <c r="S8777" s="8" t="n"/>
      <c r="T8777" s="8" t="n"/>
      <c r="U8777" s="8" t="n"/>
      <c r="V8777" s="8" t="n"/>
      <c r="W8777" s="8" t="n"/>
      <c r="X8777" s="8" t="n"/>
      <c r="Y8777" s="8" t="n"/>
    </row>
    <row r="8778">
      <c r="A8778" s="8" t="n"/>
      <c r="B8778" s="8" t="n"/>
      <c r="C8778" s="8" t="n"/>
      <c r="D8778" s="8" t="n"/>
      <c r="E8778" s="8" t="n"/>
      <c r="F8778" s="8" t="n"/>
      <c r="G8778" s="8" t="n"/>
      <c r="H8778" s="8" t="n"/>
      <c r="I8778" s="8" t="n"/>
      <c r="J8778" s="8" t="n"/>
      <c r="K8778" s="8" t="n"/>
      <c r="L8778" s="8" t="n"/>
      <c r="M8778" s="9">
        <f>B8778+30</f>
        <v/>
      </c>
      <c r="N8778">
        <f>IF(L8778="", "", L8778-B8778)</f>
        <v/>
      </c>
      <c r="O8778">
        <f>IF(L8778="", "Pending", IF(N8778&lt;=30, "Met", "Breached"))</f>
        <v/>
      </c>
      <c r="P8778" s="8" t="n"/>
      <c r="Q8778" s="8" t="n"/>
      <c r="R8778" s="8" t="n"/>
      <c r="S8778" s="8" t="n"/>
      <c r="T8778" s="8" t="n"/>
      <c r="U8778" s="8" t="n"/>
      <c r="V8778" s="8" t="n"/>
      <c r="W8778" s="8" t="n"/>
      <c r="X8778" s="8" t="n"/>
      <c r="Y8778" s="8" t="n"/>
    </row>
    <row r="8779">
      <c r="A8779" s="8" t="n"/>
      <c r="B8779" s="8" t="n"/>
      <c r="C8779" s="8" t="n"/>
      <c r="D8779" s="8" t="n"/>
      <c r="E8779" s="8" t="n"/>
      <c r="F8779" s="8" t="n"/>
      <c r="G8779" s="8" t="n"/>
      <c r="H8779" s="8" t="n"/>
      <c r="I8779" s="8" t="n"/>
      <c r="J8779" s="8" t="n"/>
      <c r="K8779" s="8" t="n"/>
      <c r="L8779" s="8" t="n"/>
      <c r="M8779" s="9">
        <f>B8779+30</f>
        <v/>
      </c>
      <c r="N8779">
        <f>IF(L8779="", "", L8779-B8779)</f>
        <v/>
      </c>
      <c r="O8779">
        <f>IF(L8779="", "Pending", IF(N8779&lt;=30, "Met", "Breached"))</f>
        <v/>
      </c>
      <c r="P8779" s="8" t="n"/>
      <c r="Q8779" s="8" t="n"/>
      <c r="R8779" s="8" t="n"/>
      <c r="S8779" s="8" t="n"/>
      <c r="T8779" s="8" t="n"/>
      <c r="U8779" s="8" t="n"/>
      <c r="V8779" s="8" t="n"/>
      <c r="W8779" s="8" t="n"/>
      <c r="X8779" s="8" t="n"/>
      <c r="Y8779" s="8" t="n"/>
    </row>
    <row r="8780">
      <c r="A8780" s="8" t="n"/>
      <c r="B8780" s="8" t="n"/>
      <c r="C8780" s="8" t="n"/>
      <c r="D8780" s="8" t="n"/>
      <c r="E8780" s="8" t="n"/>
      <c r="F8780" s="8" t="n"/>
      <c r="G8780" s="8" t="n"/>
      <c r="H8780" s="8" t="n"/>
      <c r="I8780" s="8" t="n"/>
      <c r="J8780" s="8" t="n"/>
      <c r="K8780" s="8" t="n"/>
      <c r="L8780" s="8" t="n"/>
      <c r="M8780" s="9">
        <f>B8780+30</f>
        <v/>
      </c>
      <c r="N8780">
        <f>IF(L8780="", "", L8780-B8780)</f>
        <v/>
      </c>
      <c r="O8780">
        <f>IF(L8780="", "Pending", IF(N8780&lt;=30, "Met", "Breached"))</f>
        <v/>
      </c>
      <c r="P8780" s="8" t="n"/>
      <c r="Q8780" s="8" t="n"/>
      <c r="R8780" s="8" t="n"/>
      <c r="S8780" s="8" t="n"/>
      <c r="T8780" s="8" t="n"/>
      <c r="U8780" s="8" t="n"/>
      <c r="V8780" s="8" t="n"/>
      <c r="W8780" s="8" t="n"/>
      <c r="X8780" s="8" t="n"/>
      <c r="Y8780" s="8" t="n"/>
    </row>
    <row r="8781">
      <c r="A8781" s="8" t="n"/>
      <c r="B8781" s="8" t="n"/>
      <c r="C8781" s="8" t="n"/>
      <c r="D8781" s="8" t="n"/>
      <c r="E8781" s="8" t="n"/>
      <c r="F8781" s="8" t="n"/>
      <c r="G8781" s="8" t="n"/>
      <c r="H8781" s="8" t="n"/>
      <c r="I8781" s="8" t="n"/>
      <c r="J8781" s="8" t="n"/>
      <c r="K8781" s="8" t="n"/>
      <c r="L8781" s="8" t="n"/>
      <c r="M8781" s="9">
        <f>B8781+30</f>
        <v/>
      </c>
      <c r="N8781">
        <f>IF(L8781="", "", L8781-B8781)</f>
        <v/>
      </c>
      <c r="O8781">
        <f>IF(L8781="", "Pending", IF(N8781&lt;=30, "Met", "Breached"))</f>
        <v/>
      </c>
      <c r="P8781" s="8" t="n"/>
      <c r="Q8781" s="8" t="n"/>
      <c r="R8781" s="8" t="n"/>
      <c r="S8781" s="8" t="n"/>
      <c r="T8781" s="8" t="n"/>
      <c r="U8781" s="8" t="n"/>
      <c r="V8781" s="8" t="n"/>
      <c r="W8781" s="8" t="n"/>
      <c r="X8781" s="8" t="n"/>
      <c r="Y8781" s="8" t="n"/>
    </row>
    <row r="8782">
      <c r="A8782" s="8" t="n"/>
      <c r="B8782" s="8" t="n"/>
      <c r="C8782" s="8" t="n"/>
      <c r="D8782" s="8" t="n"/>
      <c r="E8782" s="8" t="n"/>
      <c r="F8782" s="8" t="n"/>
      <c r="G8782" s="8" t="n"/>
      <c r="H8782" s="8" t="n"/>
      <c r="I8782" s="8" t="n"/>
      <c r="J8782" s="8" t="n"/>
      <c r="K8782" s="8" t="n"/>
      <c r="L8782" s="8" t="n"/>
      <c r="M8782" s="9">
        <f>B8782+30</f>
        <v/>
      </c>
      <c r="N8782">
        <f>IF(L8782="", "", L8782-B8782)</f>
        <v/>
      </c>
      <c r="O8782">
        <f>IF(L8782="", "Pending", IF(N8782&lt;=30, "Met", "Breached"))</f>
        <v/>
      </c>
      <c r="P8782" s="8" t="n"/>
      <c r="Q8782" s="8" t="n"/>
      <c r="R8782" s="8" t="n"/>
      <c r="S8782" s="8" t="n"/>
      <c r="T8782" s="8" t="n"/>
      <c r="U8782" s="8" t="n"/>
      <c r="V8782" s="8" t="n"/>
      <c r="W8782" s="8" t="n"/>
      <c r="X8782" s="8" t="n"/>
      <c r="Y8782" s="8" t="n"/>
    </row>
    <row r="8783">
      <c r="A8783" s="8" t="n"/>
      <c r="B8783" s="8" t="n"/>
      <c r="C8783" s="8" t="n"/>
      <c r="D8783" s="8" t="n"/>
      <c r="E8783" s="8" t="n"/>
      <c r="F8783" s="8" t="n"/>
      <c r="G8783" s="8" t="n"/>
      <c r="H8783" s="8" t="n"/>
      <c r="I8783" s="8" t="n"/>
      <c r="J8783" s="8" t="n"/>
      <c r="K8783" s="8" t="n"/>
      <c r="L8783" s="8" t="n"/>
      <c r="M8783" s="9">
        <f>B8783+30</f>
        <v/>
      </c>
      <c r="N8783">
        <f>IF(L8783="", "", L8783-B8783)</f>
        <v/>
      </c>
      <c r="O8783">
        <f>IF(L8783="", "Pending", IF(N8783&lt;=30, "Met", "Breached"))</f>
        <v/>
      </c>
      <c r="P8783" s="8" t="n"/>
      <c r="Q8783" s="8" t="n"/>
      <c r="R8783" s="8" t="n"/>
      <c r="S8783" s="8" t="n"/>
      <c r="T8783" s="8" t="n"/>
      <c r="U8783" s="8" t="n"/>
      <c r="V8783" s="8" t="n"/>
      <c r="W8783" s="8" t="n"/>
      <c r="X8783" s="8" t="n"/>
      <c r="Y8783" s="8" t="n"/>
    </row>
    <row r="8784">
      <c r="A8784" s="8" t="n"/>
      <c r="B8784" s="8" t="n"/>
      <c r="C8784" s="8" t="n"/>
      <c r="D8784" s="8" t="n"/>
      <c r="E8784" s="8" t="n"/>
      <c r="F8784" s="8" t="n"/>
      <c r="G8784" s="8" t="n"/>
      <c r="H8784" s="8" t="n"/>
      <c r="I8784" s="8" t="n"/>
      <c r="J8784" s="8" t="n"/>
      <c r="K8784" s="8" t="n"/>
      <c r="L8784" s="8" t="n"/>
      <c r="M8784" s="9">
        <f>B8784+30</f>
        <v/>
      </c>
      <c r="N8784">
        <f>IF(L8784="", "", L8784-B8784)</f>
        <v/>
      </c>
      <c r="O8784">
        <f>IF(L8784="", "Pending", IF(N8784&lt;=30, "Met", "Breached"))</f>
        <v/>
      </c>
      <c r="P8784" s="8" t="n"/>
      <c r="Q8784" s="8" t="n"/>
      <c r="R8784" s="8" t="n"/>
      <c r="S8784" s="8" t="n"/>
      <c r="T8784" s="8" t="n"/>
      <c r="U8784" s="8" t="n"/>
      <c r="V8784" s="8" t="n"/>
      <c r="W8784" s="8" t="n"/>
      <c r="X8784" s="8" t="n"/>
      <c r="Y8784" s="8" t="n"/>
    </row>
    <row r="8785">
      <c r="A8785" s="8" t="n"/>
      <c r="B8785" s="8" t="n"/>
      <c r="C8785" s="8" t="n"/>
      <c r="D8785" s="8" t="n"/>
      <c r="E8785" s="8" t="n"/>
      <c r="F8785" s="8" t="n"/>
      <c r="G8785" s="8" t="n"/>
      <c r="H8785" s="8" t="n"/>
      <c r="I8785" s="8" t="n"/>
      <c r="J8785" s="8" t="n"/>
      <c r="K8785" s="8" t="n"/>
      <c r="L8785" s="8" t="n"/>
      <c r="M8785" s="9">
        <f>B8785+30</f>
        <v/>
      </c>
      <c r="N8785">
        <f>IF(L8785="", "", L8785-B8785)</f>
        <v/>
      </c>
      <c r="O8785">
        <f>IF(L8785="", "Pending", IF(N8785&lt;=30, "Met", "Breached"))</f>
        <v/>
      </c>
      <c r="P8785" s="8" t="n"/>
      <c r="Q8785" s="8" t="n"/>
      <c r="R8785" s="8" t="n"/>
      <c r="S8785" s="8" t="n"/>
      <c r="T8785" s="8" t="n"/>
      <c r="U8785" s="8" t="n"/>
      <c r="V8785" s="8" t="n"/>
      <c r="W8785" s="8" t="n"/>
      <c r="X8785" s="8" t="n"/>
      <c r="Y8785" s="8" t="n"/>
    </row>
    <row r="8786">
      <c r="A8786" s="8" t="n"/>
      <c r="B8786" s="8" t="n"/>
      <c r="C8786" s="8" t="n"/>
      <c r="D8786" s="8" t="n"/>
      <c r="E8786" s="8" t="n"/>
      <c r="F8786" s="8" t="n"/>
      <c r="G8786" s="8" t="n"/>
      <c r="H8786" s="8" t="n"/>
      <c r="I8786" s="8" t="n"/>
      <c r="J8786" s="8" t="n"/>
      <c r="K8786" s="8" t="n"/>
      <c r="L8786" s="8" t="n"/>
      <c r="M8786" s="9">
        <f>B8786+30</f>
        <v/>
      </c>
      <c r="N8786">
        <f>IF(L8786="", "", L8786-B8786)</f>
        <v/>
      </c>
      <c r="O8786">
        <f>IF(L8786="", "Pending", IF(N8786&lt;=30, "Met", "Breached"))</f>
        <v/>
      </c>
      <c r="P8786" s="8" t="n"/>
      <c r="Q8786" s="8" t="n"/>
      <c r="R8786" s="8" t="n"/>
      <c r="S8786" s="8" t="n"/>
      <c r="T8786" s="8" t="n"/>
      <c r="U8786" s="8" t="n"/>
      <c r="V8786" s="8" t="n"/>
      <c r="W8786" s="8" t="n"/>
      <c r="X8786" s="8" t="n"/>
      <c r="Y8786" s="8" t="n"/>
    </row>
    <row r="8787">
      <c r="A8787" s="8" t="n"/>
      <c r="B8787" s="8" t="n"/>
      <c r="C8787" s="8" t="n"/>
      <c r="D8787" s="8" t="n"/>
      <c r="E8787" s="8" t="n"/>
      <c r="F8787" s="8" t="n"/>
      <c r="G8787" s="8" t="n"/>
      <c r="H8787" s="8" t="n"/>
      <c r="I8787" s="8" t="n"/>
      <c r="J8787" s="8" t="n"/>
      <c r="K8787" s="8" t="n"/>
      <c r="L8787" s="8" t="n"/>
      <c r="M8787" s="9">
        <f>B8787+30</f>
        <v/>
      </c>
      <c r="N8787">
        <f>IF(L8787="", "", L8787-B8787)</f>
        <v/>
      </c>
      <c r="O8787">
        <f>IF(L8787="", "Pending", IF(N8787&lt;=30, "Met", "Breached"))</f>
        <v/>
      </c>
      <c r="P8787" s="8" t="n"/>
      <c r="Q8787" s="8" t="n"/>
      <c r="R8787" s="8" t="n"/>
      <c r="S8787" s="8" t="n"/>
      <c r="T8787" s="8" t="n"/>
      <c r="U8787" s="8" t="n"/>
      <c r="V8787" s="8" t="n"/>
      <c r="W8787" s="8" t="n"/>
      <c r="X8787" s="8" t="n"/>
      <c r="Y8787" s="8" t="n"/>
    </row>
    <row r="8788">
      <c r="A8788" s="8" t="n"/>
      <c r="B8788" s="8" t="n"/>
      <c r="C8788" s="8" t="n"/>
      <c r="D8788" s="8" t="n"/>
      <c r="E8788" s="8" t="n"/>
      <c r="F8788" s="8" t="n"/>
      <c r="G8788" s="8" t="n"/>
      <c r="H8788" s="8" t="n"/>
      <c r="I8788" s="8" t="n"/>
      <c r="J8788" s="8" t="n"/>
      <c r="K8788" s="8" t="n"/>
      <c r="L8788" s="8" t="n"/>
      <c r="M8788" s="9">
        <f>B8788+30</f>
        <v/>
      </c>
      <c r="N8788">
        <f>IF(L8788="", "", L8788-B8788)</f>
        <v/>
      </c>
      <c r="O8788">
        <f>IF(L8788="", "Pending", IF(N8788&lt;=30, "Met", "Breached"))</f>
        <v/>
      </c>
      <c r="P8788" s="8" t="n"/>
      <c r="Q8788" s="8" t="n"/>
      <c r="R8788" s="8" t="n"/>
      <c r="S8788" s="8" t="n"/>
      <c r="T8788" s="8" t="n"/>
      <c r="U8788" s="8" t="n"/>
      <c r="V8788" s="8" t="n"/>
      <c r="W8788" s="8" t="n"/>
      <c r="X8788" s="8" t="n"/>
      <c r="Y8788" s="8" t="n"/>
    </row>
    <row r="8789">
      <c r="A8789" s="8" t="n"/>
      <c r="B8789" s="8" t="n"/>
      <c r="C8789" s="8" t="n"/>
      <c r="D8789" s="8" t="n"/>
      <c r="E8789" s="8" t="n"/>
      <c r="F8789" s="8" t="n"/>
      <c r="G8789" s="8" t="n"/>
      <c r="H8789" s="8" t="n"/>
      <c r="I8789" s="8" t="n"/>
      <c r="J8789" s="8" t="n"/>
      <c r="K8789" s="8" t="n"/>
      <c r="L8789" s="8" t="n"/>
      <c r="M8789" s="9">
        <f>B8789+30</f>
        <v/>
      </c>
      <c r="N8789">
        <f>IF(L8789="", "", L8789-B8789)</f>
        <v/>
      </c>
      <c r="O8789">
        <f>IF(L8789="", "Pending", IF(N8789&lt;=30, "Met", "Breached"))</f>
        <v/>
      </c>
      <c r="P8789" s="8" t="n"/>
      <c r="Q8789" s="8" t="n"/>
      <c r="R8789" s="8" t="n"/>
      <c r="S8789" s="8" t="n"/>
      <c r="T8789" s="8" t="n"/>
      <c r="U8789" s="8" t="n"/>
      <c r="V8789" s="8" t="n"/>
      <c r="W8789" s="8" t="n"/>
      <c r="X8789" s="8" t="n"/>
      <c r="Y8789" s="8" t="n"/>
    </row>
    <row r="8790">
      <c r="A8790" s="8" t="n"/>
      <c r="B8790" s="8" t="n"/>
      <c r="C8790" s="8" t="n"/>
      <c r="D8790" s="8" t="n"/>
      <c r="E8790" s="8" t="n"/>
      <c r="F8790" s="8" t="n"/>
      <c r="G8790" s="8" t="n"/>
      <c r="H8790" s="8" t="n"/>
      <c r="I8790" s="8" t="n"/>
      <c r="J8790" s="8" t="n"/>
      <c r="K8790" s="8" t="n"/>
      <c r="L8790" s="8" t="n"/>
      <c r="M8790" s="9">
        <f>B8790+30</f>
        <v/>
      </c>
      <c r="N8790">
        <f>IF(L8790="", "", L8790-B8790)</f>
        <v/>
      </c>
      <c r="O8790">
        <f>IF(L8790="", "Pending", IF(N8790&lt;=30, "Met", "Breached"))</f>
        <v/>
      </c>
      <c r="P8790" s="8" t="n"/>
      <c r="Q8790" s="8" t="n"/>
      <c r="R8790" s="8" t="n"/>
      <c r="S8790" s="8" t="n"/>
      <c r="T8790" s="8" t="n"/>
      <c r="U8790" s="8" t="n"/>
      <c r="V8790" s="8" t="n"/>
      <c r="W8790" s="8" t="n"/>
      <c r="X8790" s="8" t="n"/>
      <c r="Y8790" s="8" t="n"/>
    </row>
    <row r="8791">
      <c r="A8791" s="8" t="n"/>
      <c r="B8791" s="8" t="n"/>
      <c r="C8791" s="8" t="n"/>
      <c r="D8791" s="8" t="n"/>
      <c r="E8791" s="8" t="n"/>
      <c r="F8791" s="8" t="n"/>
      <c r="G8791" s="8" t="n"/>
      <c r="H8791" s="8" t="n"/>
      <c r="I8791" s="8" t="n"/>
      <c r="J8791" s="8" t="n"/>
      <c r="K8791" s="8" t="n"/>
      <c r="L8791" s="8" t="n"/>
      <c r="M8791" s="9">
        <f>B8791+30</f>
        <v/>
      </c>
      <c r="N8791">
        <f>IF(L8791="", "", L8791-B8791)</f>
        <v/>
      </c>
      <c r="O8791">
        <f>IF(L8791="", "Pending", IF(N8791&lt;=30, "Met", "Breached"))</f>
        <v/>
      </c>
      <c r="P8791" s="8" t="n"/>
      <c r="Q8791" s="8" t="n"/>
      <c r="R8791" s="8" t="n"/>
      <c r="S8791" s="8" t="n"/>
      <c r="T8791" s="8" t="n"/>
      <c r="U8791" s="8" t="n"/>
      <c r="V8791" s="8" t="n"/>
      <c r="W8791" s="8" t="n"/>
      <c r="X8791" s="8" t="n"/>
      <c r="Y8791" s="8" t="n"/>
    </row>
    <row r="8792">
      <c r="A8792" s="8" t="n"/>
      <c r="B8792" s="8" t="n"/>
      <c r="C8792" s="8" t="n"/>
      <c r="D8792" s="8" t="n"/>
      <c r="E8792" s="8" t="n"/>
      <c r="F8792" s="8" t="n"/>
      <c r="G8792" s="8" t="n"/>
      <c r="H8792" s="8" t="n"/>
      <c r="I8792" s="8" t="n"/>
      <c r="J8792" s="8" t="n"/>
      <c r="K8792" s="8" t="n"/>
      <c r="L8792" s="8" t="n"/>
      <c r="M8792" s="9">
        <f>B8792+30</f>
        <v/>
      </c>
      <c r="N8792">
        <f>IF(L8792="", "", L8792-B8792)</f>
        <v/>
      </c>
      <c r="O8792">
        <f>IF(L8792="", "Pending", IF(N8792&lt;=30, "Met", "Breached"))</f>
        <v/>
      </c>
      <c r="P8792" s="8" t="n"/>
      <c r="Q8792" s="8" t="n"/>
      <c r="R8792" s="8" t="n"/>
      <c r="S8792" s="8" t="n"/>
      <c r="T8792" s="8" t="n"/>
      <c r="U8792" s="8" t="n"/>
      <c r="V8792" s="8" t="n"/>
      <c r="W8792" s="8" t="n"/>
      <c r="X8792" s="8" t="n"/>
      <c r="Y8792" s="8" t="n"/>
    </row>
    <row r="8793">
      <c r="A8793" s="8" t="n"/>
      <c r="B8793" s="8" t="n"/>
      <c r="C8793" s="8" t="n"/>
      <c r="D8793" s="8" t="n"/>
      <c r="E8793" s="8" t="n"/>
      <c r="F8793" s="8" t="n"/>
      <c r="G8793" s="8" t="n"/>
      <c r="H8793" s="8" t="n"/>
      <c r="I8793" s="8" t="n"/>
      <c r="J8793" s="8" t="n"/>
      <c r="K8793" s="8" t="n"/>
      <c r="L8793" s="8" t="n"/>
      <c r="M8793" s="9">
        <f>B8793+30</f>
        <v/>
      </c>
      <c r="N8793">
        <f>IF(L8793="", "", L8793-B8793)</f>
        <v/>
      </c>
      <c r="O8793">
        <f>IF(L8793="", "Pending", IF(N8793&lt;=30, "Met", "Breached"))</f>
        <v/>
      </c>
      <c r="P8793" s="8" t="n"/>
      <c r="Q8793" s="8" t="n"/>
      <c r="R8793" s="8" t="n"/>
      <c r="S8793" s="8" t="n"/>
      <c r="T8793" s="8" t="n"/>
      <c r="U8793" s="8" t="n"/>
      <c r="V8793" s="8" t="n"/>
      <c r="W8793" s="8" t="n"/>
      <c r="X8793" s="8" t="n"/>
      <c r="Y8793" s="8" t="n"/>
    </row>
    <row r="8794">
      <c r="A8794" s="8" t="n"/>
      <c r="B8794" s="8" t="n"/>
      <c r="C8794" s="8" t="n"/>
      <c r="D8794" s="8" t="n"/>
      <c r="E8794" s="8" t="n"/>
      <c r="F8794" s="8" t="n"/>
      <c r="G8794" s="8" t="n"/>
      <c r="H8794" s="8" t="n"/>
      <c r="I8794" s="8" t="n"/>
      <c r="J8794" s="8" t="n"/>
      <c r="K8794" s="8" t="n"/>
      <c r="L8794" s="8" t="n"/>
      <c r="M8794" s="9">
        <f>B8794+30</f>
        <v/>
      </c>
      <c r="N8794">
        <f>IF(L8794="", "", L8794-B8794)</f>
        <v/>
      </c>
      <c r="O8794">
        <f>IF(L8794="", "Pending", IF(N8794&lt;=30, "Met", "Breached"))</f>
        <v/>
      </c>
      <c r="P8794" s="8" t="n"/>
      <c r="Q8794" s="8" t="n"/>
      <c r="R8794" s="8" t="n"/>
      <c r="S8794" s="8" t="n"/>
      <c r="T8794" s="8" t="n"/>
      <c r="U8794" s="8" t="n"/>
      <c r="V8794" s="8" t="n"/>
      <c r="W8794" s="8" t="n"/>
      <c r="X8794" s="8" t="n"/>
      <c r="Y8794" s="8" t="n"/>
    </row>
    <row r="8795">
      <c r="A8795" s="8" t="n"/>
      <c r="B8795" s="8" t="n"/>
      <c r="C8795" s="8" t="n"/>
      <c r="D8795" s="8" t="n"/>
      <c r="E8795" s="8" t="n"/>
      <c r="F8795" s="8" t="n"/>
      <c r="G8795" s="8" t="n"/>
      <c r="H8795" s="8" t="n"/>
      <c r="I8795" s="8" t="n"/>
      <c r="J8795" s="8" t="n"/>
      <c r="K8795" s="8" t="n"/>
      <c r="L8795" s="8" t="n"/>
      <c r="M8795" s="9">
        <f>B8795+30</f>
        <v/>
      </c>
      <c r="N8795">
        <f>IF(L8795="", "", L8795-B8795)</f>
        <v/>
      </c>
      <c r="O8795">
        <f>IF(L8795="", "Pending", IF(N8795&lt;=30, "Met", "Breached"))</f>
        <v/>
      </c>
      <c r="P8795" s="8" t="n"/>
      <c r="Q8795" s="8" t="n"/>
      <c r="R8795" s="8" t="n"/>
      <c r="S8795" s="8" t="n"/>
      <c r="T8795" s="8" t="n"/>
      <c r="U8795" s="8" t="n"/>
      <c r="V8795" s="8" t="n"/>
      <c r="W8795" s="8" t="n"/>
      <c r="X8795" s="8" t="n"/>
      <c r="Y8795" s="8" t="n"/>
    </row>
    <row r="8796">
      <c r="A8796" s="8" t="n"/>
      <c r="B8796" s="8" t="n"/>
      <c r="C8796" s="8" t="n"/>
      <c r="D8796" s="8" t="n"/>
      <c r="E8796" s="8" t="n"/>
      <c r="F8796" s="8" t="n"/>
      <c r="G8796" s="8" t="n"/>
      <c r="H8796" s="8" t="n"/>
      <c r="I8796" s="8" t="n"/>
      <c r="J8796" s="8" t="n"/>
      <c r="K8796" s="8" t="n"/>
      <c r="L8796" s="8" t="n"/>
      <c r="M8796" s="9">
        <f>B8796+30</f>
        <v/>
      </c>
      <c r="N8796">
        <f>IF(L8796="", "", L8796-B8796)</f>
        <v/>
      </c>
      <c r="O8796">
        <f>IF(L8796="", "Pending", IF(N8796&lt;=30, "Met", "Breached"))</f>
        <v/>
      </c>
      <c r="P8796" s="8" t="n"/>
      <c r="Q8796" s="8" t="n"/>
      <c r="R8796" s="8" t="n"/>
      <c r="S8796" s="8" t="n"/>
      <c r="T8796" s="8" t="n"/>
      <c r="U8796" s="8" t="n"/>
      <c r="V8796" s="8" t="n"/>
      <c r="W8796" s="8" t="n"/>
      <c r="X8796" s="8" t="n"/>
      <c r="Y8796" s="8" t="n"/>
    </row>
    <row r="8797">
      <c r="A8797" s="8" t="n"/>
      <c r="B8797" s="8" t="n"/>
      <c r="C8797" s="8" t="n"/>
      <c r="D8797" s="8" t="n"/>
      <c r="E8797" s="8" t="n"/>
      <c r="F8797" s="8" t="n"/>
      <c r="G8797" s="8" t="n"/>
      <c r="H8797" s="8" t="n"/>
      <c r="I8797" s="8" t="n"/>
      <c r="J8797" s="8" t="n"/>
      <c r="K8797" s="8" t="n"/>
      <c r="L8797" s="8" t="n"/>
      <c r="M8797" s="9">
        <f>B8797+30</f>
        <v/>
      </c>
      <c r="N8797">
        <f>IF(L8797="", "", L8797-B8797)</f>
        <v/>
      </c>
      <c r="O8797">
        <f>IF(L8797="", "Pending", IF(N8797&lt;=30, "Met", "Breached"))</f>
        <v/>
      </c>
      <c r="P8797" s="8" t="n"/>
      <c r="Q8797" s="8" t="n"/>
      <c r="R8797" s="8" t="n"/>
      <c r="S8797" s="8" t="n"/>
      <c r="T8797" s="8" t="n"/>
      <c r="U8797" s="8" t="n"/>
      <c r="V8797" s="8" t="n"/>
      <c r="W8797" s="8" t="n"/>
      <c r="X8797" s="8" t="n"/>
      <c r="Y8797" s="8" t="n"/>
    </row>
    <row r="8798">
      <c r="A8798" s="8" t="n"/>
      <c r="B8798" s="8" t="n"/>
      <c r="C8798" s="8" t="n"/>
      <c r="D8798" s="8" t="n"/>
      <c r="E8798" s="8" t="n"/>
      <c r="F8798" s="8" t="n"/>
      <c r="G8798" s="8" t="n"/>
      <c r="H8798" s="8" t="n"/>
      <c r="I8798" s="8" t="n"/>
      <c r="J8798" s="8" t="n"/>
      <c r="K8798" s="8" t="n"/>
      <c r="L8798" s="8" t="n"/>
      <c r="M8798" s="9">
        <f>B8798+30</f>
        <v/>
      </c>
      <c r="N8798">
        <f>IF(L8798="", "", L8798-B8798)</f>
        <v/>
      </c>
      <c r="O8798">
        <f>IF(L8798="", "Pending", IF(N8798&lt;=30, "Met", "Breached"))</f>
        <v/>
      </c>
      <c r="P8798" s="8" t="n"/>
      <c r="Q8798" s="8" t="n"/>
      <c r="R8798" s="8" t="n"/>
      <c r="S8798" s="8" t="n"/>
      <c r="T8798" s="8" t="n"/>
      <c r="U8798" s="8" t="n"/>
      <c r="V8798" s="8" t="n"/>
      <c r="W8798" s="8" t="n"/>
      <c r="X8798" s="8" t="n"/>
      <c r="Y8798" s="8" t="n"/>
    </row>
    <row r="8799">
      <c r="A8799" s="8" t="n"/>
      <c r="B8799" s="8" t="n"/>
      <c r="C8799" s="8" t="n"/>
      <c r="D8799" s="8" t="n"/>
      <c r="E8799" s="8" t="n"/>
      <c r="F8799" s="8" t="n"/>
      <c r="G8799" s="8" t="n"/>
      <c r="H8799" s="8" t="n"/>
      <c r="I8799" s="8" t="n"/>
      <c r="J8799" s="8" t="n"/>
      <c r="K8799" s="8" t="n"/>
      <c r="L8799" s="8" t="n"/>
      <c r="M8799" s="9">
        <f>B8799+30</f>
        <v/>
      </c>
      <c r="N8799">
        <f>IF(L8799="", "", L8799-B8799)</f>
        <v/>
      </c>
      <c r="O8799">
        <f>IF(L8799="", "Pending", IF(N8799&lt;=30, "Met", "Breached"))</f>
        <v/>
      </c>
      <c r="P8799" s="8" t="n"/>
      <c r="Q8799" s="8" t="n"/>
      <c r="R8799" s="8" t="n"/>
      <c r="S8799" s="8" t="n"/>
      <c r="T8799" s="8" t="n"/>
      <c r="U8799" s="8" t="n"/>
      <c r="V8799" s="8" t="n"/>
      <c r="W8799" s="8" t="n"/>
      <c r="X8799" s="8" t="n"/>
      <c r="Y8799" s="8" t="n"/>
    </row>
    <row r="8800">
      <c r="A8800" s="8" t="n"/>
      <c r="B8800" s="8" t="n"/>
      <c r="C8800" s="8" t="n"/>
      <c r="D8800" s="8" t="n"/>
      <c r="E8800" s="8" t="n"/>
      <c r="F8800" s="8" t="n"/>
      <c r="G8800" s="8" t="n"/>
      <c r="H8800" s="8" t="n"/>
      <c r="I8800" s="8" t="n"/>
      <c r="J8800" s="8" t="n"/>
      <c r="K8800" s="8" t="n"/>
      <c r="L8800" s="8" t="n"/>
      <c r="M8800" s="9">
        <f>B8800+30</f>
        <v/>
      </c>
      <c r="N8800">
        <f>IF(L8800="", "", L8800-B8800)</f>
        <v/>
      </c>
      <c r="O8800">
        <f>IF(L8800="", "Pending", IF(N8800&lt;=30, "Met", "Breached"))</f>
        <v/>
      </c>
      <c r="P8800" s="8" t="n"/>
      <c r="Q8800" s="8" t="n"/>
      <c r="R8800" s="8" t="n"/>
      <c r="S8800" s="8" t="n"/>
      <c r="T8800" s="8" t="n"/>
      <c r="U8800" s="8" t="n"/>
      <c r="V8800" s="8" t="n"/>
      <c r="W8800" s="8" t="n"/>
      <c r="X8800" s="8" t="n"/>
      <c r="Y8800" s="8" t="n"/>
    </row>
    <row r="8801">
      <c r="A8801" s="8" t="n"/>
      <c r="B8801" s="8" t="n"/>
      <c r="C8801" s="8" t="n"/>
      <c r="D8801" s="8" t="n"/>
      <c r="E8801" s="8" t="n"/>
      <c r="F8801" s="8" t="n"/>
      <c r="G8801" s="8" t="n"/>
      <c r="H8801" s="8" t="n"/>
      <c r="I8801" s="8" t="n"/>
      <c r="J8801" s="8" t="n"/>
      <c r="K8801" s="8" t="n"/>
      <c r="L8801" s="8" t="n"/>
      <c r="M8801" s="9">
        <f>B8801+30</f>
        <v/>
      </c>
      <c r="N8801">
        <f>IF(L8801="", "", L8801-B8801)</f>
        <v/>
      </c>
      <c r="O8801">
        <f>IF(L8801="", "Pending", IF(N8801&lt;=30, "Met", "Breached"))</f>
        <v/>
      </c>
      <c r="P8801" s="8" t="n"/>
      <c r="Q8801" s="8" t="n"/>
      <c r="R8801" s="8" t="n"/>
      <c r="S8801" s="8" t="n"/>
      <c r="T8801" s="8" t="n"/>
      <c r="U8801" s="8" t="n"/>
      <c r="V8801" s="8" t="n"/>
      <c r="W8801" s="8" t="n"/>
      <c r="X8801" s="8" t="n"/>
      <c r="Y8801" s="8" t="n"/>
    </row>
    <row r="8802">
      <c r="A8802" s="8" t="n"/>
      <c r="B8802" s="8" t="n"/>
      <c r="C8802" s="8" t="n"/>
      <c r="D8802" s="8" t="n"/>
      <c r="E8802" s="8" t="n"/>
      <c r="F8802" s="8" t="n"/>
      <c r="G8802" s="8" t="n"/>
      <c r="H8802" s="8" t="n"/>
      <c r="I8802" s="8" t="n"/>
      <c r="J8802" s="8" t="n"/>
      <c r="K8802" s="8" t="n"/>
      <c r="L8802" s="8" t="n"/>
      <c r="M8802" s="9">
        <f>B8802+30</f>
        <v/>
      </c>
      <c r="N8802">
        <f>IF(L8802="", "", L8802-B8802)</f>
        <v/>
      </c>
      <c r="O8802">
        <f>IF(L8802="", "Pending", IF(N8802&lt;=30, "Met", "Breached"))</f>
        <v/>
      </c>
      <c r="P8802" s="8" t="n"/>
      <c r="Q8802" s="8" t="n"/>
      <c r="R8802" s="8" t="n"/>
      <c r="S8802" s="8" t="n"/>
      <c r="T8802" s="8" t="n"/>
      <c r="U8802" s="8" t="n"/>
      <c r="V8802" s="8" t="n"/>
      <c r="W8802" s="8" t="n"/>
      <c r="X8802" s="8" t="n"/>
      <c r="Y8802" s="8" t="n"/>
    </row>
    <row r="8803">
      <c r="A8803" s="8" t="n"/>
      <c r="B8803" s="8" t="n"/>
      <c r="C8803" s="8" t="n"/>
      <c r="D8803" s="8" t="n"/>
      <c r="E8803" s="8" t="n"/>
      <c r="F8803" s="8" t="n"/>
      <c r="G8803" s="8" t="n"/>
      <c r="H8803" s="8" t="n"/>
      <c r="I8803" s="8" t="n"/>
      <c r="J8803" s="8" t="n"/>
      <c r="K8803" s="8" t="n"/>
      <c r="L8803" s="8" t="n"/>
      <c r="M8803" s="9">
        <f>B8803+30</f>
        <v/>
      </c>
      <c r="N8803">
        <f>IF(L8803="", "", L8803-B8803)</f>
        <v/>
      </c>
      <c r="O8803">
        <f>IF(L8803="", "Pending", IF(N8803&lt;=30, "Met", "Breached"))</f>
        <v/>
      </c>
      <c r="P8803" s="8" t="n"/>
      <c r="Q8803" s="8" t="n"/>
      <c r="R8803" s="8" t="n"/>
      <c r="S8803" s="8" t="n"/>
      <c r="T8803" s="8" t="n"/>
      <c r="U8803" s="8" t="n"/>
      <c r="V8803" s="8" t="n"/>
      <c r="W8803" s="8" t="n"/>
      <c r="X8803" s="8" t="n"/>
      <c r="Y8803" s="8" t="n"/>
    </row>
    <row r="8804">
      <c r="A8804" s="8" t="n"/>
      <c r="B8804" s="8" t="n"/>
      <c r="C8804" s="8" t="n"/>
      <c r="D8804" s="8" t="n"/>
      <c r="E8804" s="8" t="n"/>
      <c r="F8804" s="8" t="n"/>
      <c r="G8804" s="8" t="n"/>
      <c r="H8804" s="8" t="n"/>
      <c r="I8804" s="8" t="n"/>
      <c r="J8804" s="8" t="n"/>
      <c r="K8804" s="8" t="n"/>
      <c r="L8804" s="8" t="n"/>
      <c r="M8804" s="9">
        <f>B8804+30</f>
        <v/>
      </c>
      <c r="N8804">
        <f>IF(L8804="", "", L8804-B8804)</f>
        <v/>
      </c>
      <c r="O8804">
        <f>IF(L8804="", "Pending", IF(N8804&lt;=30, "Met", "Breached"))</f>
        <v/>
      </c>
      <c r="P8804" s="8" t="n"/>
      <c r="Q8804" s="8" t="n"/>
      <c r="R8804" s="8" t="n"/>
      <c r="S8804" s="8" t="n"/>
      <c r="T8804" s="8" t="n"/>
      <c r="U8804" s="8" t="n"/>
      <c r="V8804" s="8" t="n"/>
      <c r="W8804" s="8" t="n"/>
      <c r="X8804" s="8" t="n"/>
      <c r="Y8804" s="8" t="n"/>
    </row>
    <row r="8805">
      <c r="A8805" s="8" t="n"/>
      <c r="B8805" s="8" t="n"/>
      <c r="C8805" s="8" t="n"/>
      <c r="D8805" s="8" t="n"/>
      <c r="E8805" s="8" t="n"/>
      <c r="F8805" s="8" t="n"/>
      <c r="G8805" s="8" t="n"/>
      <c r="H8805" s="8" t="n"/>
      <c r="I8805" s="8" t="n"/>
      <c r="J8805" s="8" t="n"/>
      <c r="K8805" s="8" t="n"/>
      <c r="L8805" s="8" t="n"/>
      <c r="M8805" s="9">
        <f>B8805+30</f>
        <v/>
      </c>
      <c r="N8805">
        <f>IF(L8805="", "", L8805-B8805)</f>
        <v/>
      </c>
      <c r="O8805">
        <f>IF(L8805="", "Pending", IF(N8805&lt;=30, "Met", "Breached"))</f>
        <v/>
      </c>
      <c r="P8805" s="8" t="n"/>
      <c r="Q8805" s="8" t="n"/>
      <c r="R8805" s="8" t="n"/>
      <c r="S8805" s="8" t="n"/>
      <c r="T8805" s="8" t="n"/>
      <c r="U8805" s="8" t="n"/>
      <c r="V8805" s="8" t="n"/>
      <c r="W8805" s="8" t="n"/>
      <c r="X8805" s="8" t="n"/>
      <c r="Y8805" s="8" t="n"/>
    </row>
    <row r="8806">
      <c r="A8806" s="8" t="n"/>
      <c r="B8806" s="8" t="n"/>
      <c r="C8806" s="8" t="n"/>
      <c r="D8806" s="8" t="n"/>
      <c r="E8806" s="8" t="n"/>
      <c r="F8806" s="8" t="n"/>
      <c r="G8806" s="8" t="n"/>
      <c r="H8806" s="8" t="n"/>
      <c r="I8806" s="8" t="n"/>
      <c r="J8806" s="8" t="n"/>
      <c r="K8806" s="8" t="n"/>
      <c r="L8806" s="8" t="n"/>
      <c r="M8806" s="9">
        <f>B8806+30</f>
        <v/>
      </c>
      <c r="N8806">
        <f>IF(L8806="", "", L8806-B8806)</f>
        <v/>
      </c>
      <c r="O8806">
        <f>IF(L8806="", "Pending", IF(N8806&lt;=30, "Met", "Breached"))</f>
        <v/>
      </c>
      <c r="P8806" s="8" t="n"/>
      <c r="Q8806" s="8" t="n"/>
      <c r="R8806" s="8" t="n"/>
      <c r="S8806" s="8" t="n"/>
      <c r="T8806" s="8" t="n"/>
      <c r="U8806" s="8" t="n"/>
      <c r="V8806" s="8" t="n"/>
      <c r="W8806" s="8" t="n"/>
      <c r="X8806" s="8" t="n"/>
      <c r="Y8806" s="8" t="n"/>
    </row>
    <row r="8807">
      <c r="A8807" s="8" t="n"/>
      <c r="B8807" s="8" t="n"/>
      <c r="C8807" s="8" t="n"/>
      <c r="D8807" s="8" t="n"/>
      <c r="E8807" s="8" t="n"/>
      <c r="F8807" s="8" t="n"/>
      <c r="G8807" s="8" t="n"/>
      <c r="H8807" s="8" t="n"/>
      <c r="I8807" s="8" t="n"/>
      <c r="J8807" s="8" t="n"/>
      <c r="K8807" s="8" t="n"/>
      <c r="L8807" s="8" t="n"/>
      <c r="M8807" s="9">
        <f>B8807+30</f>
        <v/>
      </c>
      <c r="N8807">
        <f>IF(L8807="", "", L8807-B8807)</f>
        <v/>
      </c>
      <c r="O8807">
        <f>IF(L8807="", "Pending", IF(N8807&lt;=30, "Met", "Breached"))</f>
        <v/>
      </c>
      <c r="P8807" s="8" t="n"/>
      <c r="Q8807" s="8" t="n"/>
      <c r="R8807" s="8" t="n"/>
      <c r="S8807" s="8" t="n"/>
      <c r="T8807" s="8" t="n"/>
      <c r="U8807" s="8" t="n"/>
      <c r="V8807" s="8" t="n"/>
      <c r="W8807" s="8" t="n"/>
      <c r="X8807" s="8" t="n"/>
      <c r="Y8807" s="8" t="n"/>
    </row>
    <row r="8808">
      <c r="A8808" s="8" t="n"/>
      <c r="B8808" s="8" t="n"/>
      <c r="C8808" s="8" t="n"/>
      <c r="D8808" s="8" t="n"/>
      <c r="E8808" s="8" t="n"/>
      <c r="F8808" s="8" t="n"/>
      <c r="G8808" s="8" t="n"/>
      <c r="H8808" s="8" t="n"/>
      <c r="I8808" s="8" t="n"/>
      <c r="J8808" s="8" t="n"/>
      <c r="K8808" s="8" t="n"/>
      <c r="L8808" s="8" t="n"/>
      <c r="M8808" s="9">
        <f>B8808+30</f>
        <v/>
      </c>
      <c r="N8808">
        <f>IF(L8808="", "", L8808-B8808)</f>
        <v/>
      </c>
      <c r="O8808">
        <f>IF(L8808="", "Pending", IF(N8808&lt;=30, "Met", "Breached"))</f>
        <v/>
      </c>
      <c r="P8808" s="8" t="n"/>
      <c r="Q8808" s="8" t="n"/>
      <c r="R8808" s="8" t="n"/>
      <c r="S8808" s="8" t="n"/>
      <c r="T8808" s="8" t="n"/>
      <c r="U8808" s="8" t="n"/>
      <c r="V8808" s="8" t="n"/>
      <c r="W8808" s="8" t="n"/>
      <c r="X8808" s="8" t="n"/>
      <c r="Y8808" s="8" t="n"/>
    </row>
    <row r="8809">
      <c r="A8809" s="8" t="n"/>
      <c r="B8809" s="8" t="n"/>
      <c r="C8809" s="8" t="n"/>
      <c r="D8809" s="8" t="n"/>
      <c r="E8809" s="8" t="n"/>
      <c r="F8809" s="8" t="n"/>
      <c r="G8809" s="8" t="n"/>
      <c r="H8809" s="8" t="n"/>
      <c r="I8809" s="8" t="n"/>
      <c r="J8809" s="8" t="n"/>
      <c r="K8809" s="8" t="n"/>
      <c r="L8809" s="8" t="n"/>
      <c r="M8809" s="9">
        <f>B8809+30</f>
        <v/>
      </c>
      <c r="N8809">
        <f>IF(L8809="", "", L8809-B8809)</f>
        <v/>
      </c>
      <c r="O8809">
        <f>IF(L8809="", "Pending", IF(N8809&lt;=30, "Met", "Breached"))</f>
        <v/>
      </c>
      <c r="P8809" s="8" t="n"/>
      <c r="Q8809" s="8" t="n"/>
      <c r="R8809" s="8" t="n"/>
      <c r="S8809" s="8" t="n"/>
      <c r="T8809" s="8" t="n"/>
      <c r="U8809" s="8" t="n"/>
      <c r="V8809" s="8" t="n"/>
      <c r="W8809" s="8" t="n"/>
      <c r="X8809" s="8" t="n"/>
      <c r="Y8809" s="8" t="n"/>
    </row>
    <row r="8810">
      <c r="A8810" s="8" t="n"/>
      <c r="B8810" s="8" t="n"/>
      <c r="C8810" s="8" t="n"/>
      <c r="D8810" s="8" t="n"/>
      <c r="E8810" s="8" t="n"/>
      <c r="F8810" s="8" t="n"/>
      <c r="G8810" s="8" t="n"/>
      <c r="H8810" s="8" t="n"/>
      <c r="I8810" s="8" t="n"/>
      <c r="J8810" s="8" t="n"/>
      <c r="K8810" s="8" t="n"/>
      <c r="L8810" s="8" t="n"/>
      <c r="M8810" s="9">
        <f>B8810+30</f>
        <v/>
      </c>
      <c r="N8810">
        <f>IF(L8810="", "", L8810-B8810)</f>
        <v/>
      </c>
      <c r="O8810">
        <f>IF(L8810="", "Pending", IF(N8810&lt;=30, "Met", "Breached"))</f>
        <v/>
      </c>
      <c r="P8810" s="8" t="n"/>
      <c r="Q8810" s="8" t="n"/>
      <c r="R8810" s="8" t="n"/>
      <c r="S8810" s="8" t="n"/>
      <c r="T8810" s="8" t="n"/>
      <c r="U8810" s="8" t="n"/>
      <c r="V8810" s="8" t="n"/>
      <c r="W8810" s="8" t="n"/>
      <c r="X8810" s="8" t="n"/>
      <c r="Y8810" s="8" t="n"/>
    </row>
    <row r="8811">
      <c r="A8811" s="8" t="n"/>
      <c r="B8811" s="8" t="n"/>
      <c r="C8811" s="8" t="n"/>
      <c r="D8811" s="8" t="n"/>
      <c r="E8811" s="8" t="n"/>
      <c r="F8811" s="8" t="n"/>
      <c r="G8811" s="8" t="n"/>
      <c r="H8811" s="8" t="n"/>
      <c r="I8811" s="8" t="n"/>
      <c r="J8811" s="8" t="n"/>
      <c r="K8811" s="8" t="n"/>
      <c r="L8811" s="8" t="n"/>
      <c r="M8811" s="9">
        <f>B8811+30</f>
        <v/>
      </c>
      <c r="N8811">
        <f>IF(L8811="", "", L8811-B8811)</f>
        <v/>
      </c>
      <c r="O8811">
        <f>IF(L8811="", "Pending", IF(N8811&lt;=30, "Met", "Breached"))</f>
        <v/>
      </c>
      <c r="P8811" s="8" t="n"/>
      <c r="Q8811" s="8" t="n"/>
      <c r="R8811" s="8" t="n"/>
      <c r="S8811" s="8" t="n"/>
      <c r="T8811" s="8" t="n"/>
      <c r="U8811" s="8" t="n"/>
      <c r="V8811" s="8" t="n"/>
      <c r="W8811" s="8" t="n"/>
      <c r="X8811" s="8" t="n"/>
      <c r="Y8811" s="8" t="n"/>
    </row>
    <row r="8812">
      <c r="A8812" s="8" t="n"/>
      <c r="B8812" s="8" t="n"/>
      <c r="C8812" s="8" t="n"/>
      <c r="D8812" s="8" t="n"/>
      <c r="E8812" s="8" t="n"/>
      <c r="F8812" s="8" t="n"/>
      <c r="G8812" s="8" t="n"/>
      <c r="H8812" s="8" t="n"/>
      <c r="I8812" s="8" t="n"/>
      <c r="J8812" s="8" t="n"/>
      <c r="K8812" s="8" t="n"/>
      <c r="L8812" s="8" t="n"/>
      <c r="M8812" s="9">
        <f>B8812+30</f>
        <v/>
      </c>
      <c r="N8812">
        <f>IF(L8812="", "", L8812-B8812)</f>
        <v/>
      </c>
      <c r="O8812">
        <f>IF(L8812="", "Pending", IF(N8812&lt;=30, "Met", "Breached"))</f>
        <v/>
      </c>
      <c r="P8812" s="8" t="n"/>
      <c r="Q8812" s="8" t="n"/>
      <c r="R8812" s="8" t="n"/>
      <c r="S8812" s="8" t="n"/>
      <c r="T8812" s="8" t="n"/>
      <c r="U8812" s="8" t="n"/>
      <c r="V8812" s="8" t="n"/>
      <c r="W8812" s="8" t="n"/>
      <c r="X8812" s="8" t="n"/>
      <c r="Y8812" s="8" t="n"/>
    </row>
    <row r="8813">
      <c r="A8813" s="8" t="n"/>
      <c r="B8813" s="8" t="n"/>
      <c r="C8813" s="8" t="n"/>
      <c r="D8813" s="8" t="n"/>
      <c r="E8813" s="8" t="n"/>
      <c r="F8813" s="8" t="n"/>
      <c r="G8813" s="8" t="n"/>
      <c r="H8813" s="8" t="n"/>
      <c r="I8813" s="8" t="n"/>
      <c r="J8813" s="8" t="n"/>
      <c r="K8813" s="8" t="n"/>
      <c r="L8813" s="8" t="n"/>
      <c r="M8813" s="9">
        <f>B8813+30</f>
        <v/>
      </c>
      <c r="N8813">
        <f>IF(L8813="", "", L8813-B8813)</f>
        <v/>
      </c>
      <c r="O8813">
        <f>IF(L8813="", "Pending", IF(N8813&lt;=30, "Met", "Breached"))</f>
        <v/>
      </c>
      <c r="P8813" s="8" t="n"/>
      <c r="Q8813" s="8" t="n"/>
      <c r="R8813" s="8" t="n"/>
      <c r="S8813" s="8" t="n"/>
      <c r="T8813" s="8" t="n"/>
      <c r="U8813" s="8" t="n"/>
      <c r="V8813" s="8" t="n"/>
      <c r="W8813" s="8" t="n"/>
      <c r="X8813" s="8" t="n"/>
      <c r="Y8813" s="8" t="n"/>
    </row>
    <row r="8814">
      <c r="A8814" s="8" t="n"/>
      <c r="B8814" s="8" t="n"/>
      <c r="C8814" s="8" t="n"/>
      <c r="D8814" s="8" t="n"/>
      <c r="E8814" s="8" t="n"/>
      <c r="F8814" s="8" t="n"/>
      <c r="G8814" s="8" t="n"/>
      <c r="H8814" s="8" t="n"/>
      <c r="I8814" s="8" t="n"/>
      <c r="J8814" s="8" t="n"/>
      <c r="K8814" s="8" t="n"/>
      <c r="L8814" s="8" t="n"/>
      <c r="M8814" s="9">
        <f>B8814+30</f>
        <v/>
      </c>
      <c r="N8814">
        <f>IF(L8814="", "", L8814-B8814)</f>
        <v/>
      </c>
      <c r="O8814">
        <f>IF(L8814="", "Pending", IF(N8814&lt;=30, "Met", "Breached"))</f>
        <v/>
      </c>
      <c r="P8814" s="8" t="n"/>
      <c r="Q8814" s="8" t="n"/>
      <c r="R8814" s="8" t="n"/>
      <c r="S8814" s="8" t="n"/>
      <c r="T8814" s="8" t="n"/>
      <c r="U8814" s="8" t="n"/>
      <c r="V8814" s="8" t="n"/>
      <c r="W8814" s="8" t="n"/>
      <c r="X8814" s="8" t="n"/>
      <c r="Y8814" s="8" t="n"/>
    </row>
    <row r="8815">
      <c r="A8815" s="8" t="n"/>
      <c r="B8815" s="8" t="n"/>
      <c r="C8815" s="8" t="n"/>
      <c r="D8815" s="8" t="n"/>
      <c r="E8815" s="8" t="n"/>
      <c r="F8815" s="8" t="n"/>
      <c r="G8815" s="8" t="n"/>
      <c r="H8815" s="8" t="n"/>
      <c r="I8815" s="8" t="n"/>
      <c r="J8815" s="8" t="n"/>
      <c r="K8815" s="8" t="n"/>
      <c r="L8815" s="8" t="n"/>
      <c r="M8815" s="9">
        <f>B8815+30</f>
        <v/>
      </c>
      <c r="N8815">
        <f>IF(L8815="", "", L8815-B8815)</f>
        <v/>
      </c>
      <c r="O8815">
        <f>IF(L8815="", "Pending", IF(N8815&lt;=30, "Met", "Breached"))</f>
        <v/>
      </c>
      <c r="P8815" s="8" t="n"/>
      <c r="Q8815" s="8" t="n"/>
      <c r="R8815" s="8" t="n"/>
      <c r="S8815" s="8" t="n"/>
      <c r="T8815" s="8" t="n"/>
      <c r="U8815" s="8" t="n"/>
      <c r="V8815" s="8" t="n"/>
      <c r="W8815" s="8" t="n"/>
      <c r="X8815" s="8" t="n"/>
      <c r="Y8815" s="8" t="n"/>
    </row>
    <row r="8816">
      <c r="A8816" s="8" t="n"/>
      <c r="B8816" s="8" t="n"/>
      <c r="C8816" s="8" t="n"/>
      <c r="D8816" s="8" t="n"/>
      <c r="E8816" s="8" t="n"/>
      <c r="F8816" s="8" t="n"/>
      <c r="G8816" s="8" t="n"/>
      <c r="H8816" s="8" t="n"/>
      <c r="I8816" s="8" t="n"/>
      <c r="J8816" s="8" t="n"/>
      <c r="K8816" s="8" t="n"/>
      <c r="L8816" s="8" t="n"/>
      <c r="M8816" s="9">
        <f>B8816+30</f>
        <v/>
      </c>
      <c r="N8816">
        <f>IF(L8816="", "", L8816-B8816)</f>
        <v/>
      </c>
      <c r="O8816">
        <f>IF(L8816="", "Pending", IF(N8816&lt;=30, "Met", "Breached"))</f>
        <v/>
      </c>
      <c r="P8816" s="8" t="n"/>
      <c r="Q8816" s="8" t="n"/>
      <c r="R8816" s="8" t="n"/>
      <c r="S8816" s="8" t="n"/>
      <c r="T8816" s="8" t="n"/>
      <c r="U8816" s="8" t="n"/>
      <c r="V8816" s="8" t="n"/>
      <c r="W8816" s="8" t="n"/>
      <c r="X8816" s="8" t="n"/>
      <c r="Y8816" s="8" t="n"/>
    </row>
    <row r="8817">
      <c r="A8817" s="8" t="n"/>
      <c r="B8817" s="8" t="n"/>
      <c r="C8817" s="8" t="n"/>
      <c r="D8817" s="8" t="n"/>
      <c r="E8817" s="8" t="n"/>
      <c r="F8817" s="8" t="n"/>
      <c r="G8817" s="8" t="n"/>
      <c r="H8817" s="8" t="n"/>
      <c r="I8817" s="8" t="n"/>
      <c r="J8817" s="8" t="n"/>
      <c r="K8817" s="8" t="n"/>
      <c r="L8817" s="8" t="n"/>
      <c r="M8817" s="9">
        <f>B8817+30</f>
        <v/>
      </c>
      <c r="N8817">
        <f>IF(L8817="", "", L8817-B8817)</f>
        <v/>
      </c>
      <c r="O8817">
        <f>IF(L8817="", "Pending", IF(N8817&lt;=30, "Met", "Breached"))</f>
        <v/>
      </c>
      <c r="P8817" s="8" t="n"/>
      <c r="Q8817" s="8" t="n"/>
      <c r="R8817" s="8" t="n"/>
      <c r="S8817" s="8" t="n"/>
      <c r="T8817" s="8" t="n"/>
      <c r="U8817" s="8" t="n"/>
      <c r="V8817" s="8" t="n"/>
      <c r="W8817" s="8" t="n"/>
      <c r="X8817" s="8" t="n"/>
      <c r="Y8817" s="8" t="n"/>
    </row>
    <row r="8818">
      <c r="A8818" s="8" t="n"/>
      <c r="B8818" s="8" t="n"/>
      <c r="C8818" s="8" t="n"/>
      <c r="D8818" s="8" t="n"/>
      <c r="E8818" s="8" t="n"/>
      <c r="F8818" s="8" t="n"/>
      <c r="G8818" s="8" t="n"/>
      <c r="H8818" s="8" t="n"/>
      <c r="I8818" s="8" t="n"/>
      <c r="J8818" s="8" t="n"/>
      <c r="K8818" s="8" t="n"/>
      <c r="L8818" s="8" t="n"/>
      <c r="M8818" s="9">
        <f>B8818+30</f>
        <v/>
      </c>
      <c r="N8818">
        <f>IF(L8818="", "", L8818-B8818)</f>
        <v/>
      </c>
      <c r="O8818">
        <f>IF(L8818="", "Pending", IF(N8818&lt;=30, "Met", "Breached"))</f>
        <v/>
      </c>
      <c r="P8818" s="8" t="n"/>
      <c r="Q8818" s="8" t="n"/>
      <c r="R8818" s="8" t="n"/>
      <c r="S8818" s="8" t="n"/>
      <c r="T8818" s="8" t="n"/>
      <c r="U8818" s="8" t="n"/>
      <c r="V8818" s="8" t="n"/>
      <c r="W8818" s="8" t="n"/>
      <c r="X8818" s="8" t="n"/>
      <c r="Y8818" s="8" t="n"/>
    </row>
    <row r="8819">
      <c r="A8819" s="8" t="n"/>
      <c r="B8819" s="8" t="n"/>
      <c r="C8819" s="8" t="n"/>
      <c r="D8819" s="8" t="n"/>
      <c r="E8819" s="8" t="n"/>
      <c r="F8819" s="8" t="n"/>
      <c r="G8819" s="8" t="n"/>
      <c r="H8819" s="8" t="n"/>
      <c r="I8819" s="8" t="n"/>
      <c r="J8819" s="8" t="n"/>
      <c r="K8819" s="8" t="n"/>
      <c r="L8819" s="8" t="n"/>
      <c r="M8819" s="9">
        <f>B8819+30</f>
        <v/>
      </c>
      <c r="N8819">
        <f>IF(L8819="", "", L8819-B8819)</f>
        <v/>
      </c>
      <c r="O8819">
        <f>IF(L8819="", "Pending", IF(N8819&lt;=30, "Met", "Breached"))</f>
        <v/>
      </c>
      <c r="P8819" s="8" t="n"/>
      <c r="Q8819" s="8" t="n"/>
      <c r="R8819" s="8" t="n"/>
      <c r="S8819" s="8" t="n"/>
      <c r="T8819" s="8" t="n"/>
      <c r="U8819" s="8" t="n"/>
      <c r="V8819" s="8" t="n"/>
      <c r="W8819" s="8" t="n"/>
      <c r="X8819" s="8" t="n"/>
      <c r="Y8819" s="8" t="n"/>
    </row>
    <row r="8820">
      <c r="A8820" s="8" t="n"/>
      <c r="B8820" s="8" t="n"/>
      <c r="C8820" s="8" t="n"/>
      <c r="D8820" s="8" t="n"/>
      <c r="E8820" s="8" t="n"/>
      <c r="F8820" s="8" t="n"/>
      <c r="G8820" s="8" t="n"/>
      <c r="H8820" s="8" t="n"/>
      <c r="I8820" s="8" t="n"/>
      <c r="J8820" s="8" t="n"/>
      <c r="K8820" s="8" t="n"/>
      <c r="L8820" s="8" t="n"/>
      <c r="M8820" s="9">
        <f>B8820+30</f>
        <v/>
      </c>
      <c r="N8820">
        <f>IF(L8820="", "", L8820-B8820)</f>
        <v/>
      </c>
      <c r="O8820">
        <f>IF(L8820="", "Pending", IF(N8820&lt;=30, "Met", "Breached"))</f>
        <v/>
      </c>
      <c r="P8820" s="8" t="n"/>
      <c r="Q8820" s="8" t="n"/>
      <c r="R8820" s="8" t="n"/>
      <c r="S8820" s="8" t="n"/>
      <c r="T8820" s="8" t="n"/>
      <c r="U8820" s="8" t="n"/>
      <c r="V8820" s="8" t="n"/>
      <c r="W8820" s="8" t="n"/>
      <c r="X8820" s="8" t="n"/>
      <c r="Y8820" s="8" t="n"/>
    </row>
    <row r="8821">
      <c r="A8821" s="8" t="n"/>
      <c r="B8821" s="8" t="n"/>
      <c r="C8821" s="8" t="n"/>
      <c r="D8821" s="8" t="n"/>
      <c r="E8821" s="8" t="n"/>
      <c r="F8821" s="8" t="n"/>
      <c r="G8821" s="8" t="n"/>
      <c r="H8821" s="8" t="n"/>
      <c r="I8821" s="8" t="n"/>
      <c r="J8821" s="8" t="n"/>
      <c r="K8821" s="8" t="n"/>
      <c r="L8821" s="8" t="n"/>
      <c r="M8821" s="9">
        <f>B8821+30</f>
        <v/>
      </c>
      <c r="N8821">
        <f>IF(L8821="", "", L8821-B8821)</f>
        <v/>
      </c>
      <c r="O8821">
        <f>IF(L8821="", "Pending", IF(N8821&lt;=30, "Met", "Breached"))</f>
        <v/>
      </c>
      <c r="P8821" s="8" t="n"/>
      <c r="Q8821" s="8" t="n"/>
      <c r="R8821" s="8" t="n"/>
      <c r="S8821" s="8" t="n"/>
      <c r="T8821" s="8" t="n"/>
      <c r="U8821" s="8" t="n"/>
      <c r="V8821" s="8" t="n"/>
      <c r="W8821" s="8" t="n"/>
      <c r="X8821" s="8" t="n"/>
      <c r="Y8821" s="8" t="n"/>
    </row>
    <row r="8822">
      <c r="A8822" s="8" t="n"/>
      <c r="B8822" s="8" t="n"/>
      <c r="C8822" s="8" t="n"/>
      <c r="D8822" s="8" t="n"/>
      <c r="E8822" s="8" t="n"/>
      <c r="F8822" s="8" t="n"/>
      <c r="G8822" s="8" t="n"/>
      <c r="H8822" s="8" t="n"/>
      <c r="I8822" s="8" t="n"/>
      <c r="J8822" s="8" t="n"/>
      <c r="K8822" s="8" t="n"/>
      <c r="L8822" s="8" t="n"/>
      <c r="M8822" s="9">
        <f>B8822+30</f>
        <v/>
      </c>
      <c r="N8822">
        <f>IF(L8822="", "", L8822-B8822)</f>
        <v/>
      </c>
      <c r="O8822">
        <f>IF(L8822="", "Pending", IF(N8822&lt;=30, "Met", "Breached"))</f>
        <v/>
      </c>
      <c r="P8822" s="8" t="n"/>
      <c r="Q8822" s="8" t="n"/>
      <c r="R8822" s="8" t="n"/>
      <c r="S8822" s="8" t="n"/>
      <c r="T8822" s="8" t="n"/>
      <c r="U8822" s="8" t="n"/>
      <c r="V8822" s="8" t="n"/>
      <c r="W8822" s="8" t="n"/>
      <c r="X8822" s="8" t="n"/>
      <c r="Y8822" s="8" t="n"/>
    </row>
    <row r="8823">
      <c r="A8823" s="8" t="n"/>
      <c r="B8823" s="8" t="n"/>
      <c r="C8823" s="8" t="n"/>
      <c r="D8823" s="8" t="n"/>
      <c r="E8823" s="8" t="n"/>
      <c r="F8823" s="8" t="n"/>
      <c r="G8823" s="8" t="n"/>
      <c r="H8823" s="8" t="n"/>
      <c r="I8823" s="8" t="n"/>
      <c r="J8823" s="8" t="n"/>
      <c r="K8823" s="8" t="n"/>
      <c r="L8823" s="8" t="n"/>
      <c r="M8823" s="9">
        <f>B8823+30</f>
        <v/>
      </c>
      <c r="N8823">
        <f>IF(L8823="", "", L8823-B8823)</f>
        <v/>
      </c>
      <c r="O8823">
        <f>IF(L8823="", "Pending", IF(N8823&lt;=30, "Met", "Breached"))</f>
        <v/>
      </c>
      <c r="P8823" s="8" t="n"/>
      <c r="Q8823" s="8" t="n"/>
      <c r="R8823" s="8" t="n"/>
      <c r="S8823" s="8" t="n"/>
      <c r="T8823" s="8" t="n"/>
      <c r="U8823" s="8" t="n"/>
      <c r="V8823" s="8" t="n"/>
      <c r="W8823" s="8" t="n"/>
      <c r="X8823" s="8" t="n"/>
      <c r="Y8823" s="8" t="n"/>
    </row>
    <row r="8824">
      <c r="A8824" s="8" t="n"/>
      <c r="B8824" s="8" t="n"/>
      <c r="C8824" s="8" t="n"/>
      <c r="D8824" s="8" t="n"/>
      <c r="E8824" s="8" t="n"/>
      <c r="F8824" s="8" t="n"/>
      <c r="G8824" s="8" t="n"/>
      <c r="H8824" s="8" t="n"/>
      <c r="I8824" s="8" t="n"/>
      <c r="J8824" s="8" t="n"/>
      <c r="K8824" s="8" t="n"/>
      <c r="L8824" s="8" t="n"/>
      <c r="M8824" s="9">
        <f>B8824+30</f>
        <v/>
      </c>
      <c r="N8824">
        <f>IF(L8824="", "", L8824-B8824)</f>
        <v/>
      </c>
      <c r="O8824">
        <f>IF(L8824="", "Pending", IF(N8824&lt;=30, "Met", "Breached"))</f>
        <v/>
      </c>
      <c r="P8824" s="8" t="n"/>
      <c r="Q8824" s="8" t="n"/>
      <c r="R8824" s="8" t="n"/>
      <c r="S8824" s="8" t="n"/>
      <c r="T8824" s="8" t="n"/>
      <c r="U8824" s="8" t="n"/>
      <c r="V8824" s="8" t="n"/>
      <c r="W8824" s="8" t="n"/>
      <c r="X8824" s="8" t="n"/>
      <c r="Y8824" s="8" t="n"/>
    </row>
    <row r="8825">
      <c r="A8825" s="8" t="n"/>
      <c r="B8825" s="8" t="n"/>
      <c r="C8825" s="8" t="n"/>
      <c r="D8825" s="8" t="n"/>
      <c r="E8825" s="8" t="n"/>
      <c r="F8825" s="8" t="n"/>
      <c r="G8825" s="8" t="n"/>
      <c r="H8825" s="8" t="n"/>
      <c r="I8825" s="8" t="n"/>
      <c r="J8825" s="8" t="n"/>
      <c r="K8825" s="8" t="n"/>
      <c r="L8825" s="8" t="n"/>
      <c r="M8825" s="9">
        <f>B8825+30</f>
        <v/>
      </c>
      <c r="N8825">
        <f>IF(L8825="", "", L8825-B8825)</f>
        <v/>
      </c>
      <c r="O8825">
        <f>IF(L8825="", "Pending", IF(N8825&lt;=30, "Met", "Breached"))</f>
        <v/>
      </c>
      <c r="P8825" s="8" t="n"/>
      <c r="Q8825" s="8" t="n"/>
      <c r="R8825" s="8" t="n"/>
      <c r="S8825" s="8" t="n"/>
      <c r="T8825" s="8" t="n"/>
      <c r="U8825" s="8" t="n"/>
      <c r="V8825" s="8" t="n"/>
      <c r="W8825" s="8" t="n"/>
      <c r="X8825" s="8" t="n"/>
      <c r="Y8825" s="8" t="n"/>
    </row>
    <row r="8826">
      <c r="A8826" s="8" t="n"/>
      <c r="B8826" s="8" t="n"/>
      <c r="C8826" s="8" t="n"/>
      <c r="D8826" s="8" t="n"/>
      <c r="E8826" s="8" t="n"/>
      <c r="F8826" s="8" t="n"/>
      <c r="G8826" s="8" t="n"/>
      <c r="H8826" s="8" t="n"/>
      <c r="I8826" s="8" t="n"/>
      <c r="J8826" s="8" t="n"/>
      <c r="K8826" s="8" t="n"/>
      <c r="L8826" s="8" t="n"/>
      <c r="M8826" s="9">
        <f>B8826+30</f>
        <v/>
      </c>
      <c r="N8826">
        <f>IF(L8826="", "", L8826-B8826)</f>
        <v/>
      </c>
      <c r="O8826">
        <f>IF(L8826="", "Pending", IF(N8826&lt;=30, "Met", "Breached"))</f>
        <v/>
      </c>
      <c r="P8826" s="8" t="n"/>
      <c r="Q8826" s="8" t="n"/>
      <c r="R8826" s="8" t="n"/>
      <c r="S8826" s="8" t="n"/>
      <c r="T8826" s="8" t="n"/>
      <c r="U8826" s="8" t="n"/>
      <c r="V8826" s="8" t="n"/>
      <c r="W8826" s="8" t="n"/>
      <c r="X8826" s="8" t="n"/>
      <c r="Y8826" s="8" t="n"/>
    </row>
    <row r="8827">
      <c r="A8827" s="8" t="n"/>
      <c r="B8827" s="8" t="n"/>
      <c r="C8827" s="8" t="n"/>
      <c r="D8827" s="8" t="n"/>
      <c r="E8827" s="8" t="n"/>
      <c r="F8827" s="8" t="n"/>
      <c r="G8827" s="8" t="n"/>
      <c r="H8827" s="8" t="n"/>
      <c r="I8827" s="8" t="n"/>
      <c r="J8827" s="8" t="n"/>
      <c r="K8827" s="8" t="n"/>
      <c r="L8827" s="8" t="n"/>
      <c r="M8827" s="9">
        <f>B8827+30</f>
        <v/>
      </c>
      <c r="N8827">
        <f>IF(L8827="", "", L8827-B8827)</f>
        <v/>
      </c>
      <c r="O8827">
        <f>IF(L8827="", "Pending", IF(N8827&lt;=30, "Met", "Breached"))</f>
        <v/>
      </c>
      <c r="P8827" s="8" t="n"/>
      <c r="Q8827" s="8" t="n"/>
      <c r="R8827" s="8" t="n"/>
      <c r="S8827" s="8" t="n"/>
      <c r="T8827" s="8" t="n"/>
      <c r="U8827" s="8" t="n"/>
      <c r="V8827" s="8" t="n"/>
      <c r="W8827" s="8" t="n"/>
      <c r="X8827" s="8" t="n"/>
      <c r="Y8827" s="8" t="n"/>
    </row>
    <row r="8828">
      <c r="A8828" s="8" t="n"/>
      <c r="B8828" s="8" t="n"/>
      <c r="C8828" s="8" t="n"/>
      <c r="D8828" s="8" t="n"/>
      <c r="E8828" s="8" t="n"/>
      <c r="F8828" s="8" t="n"/>
      <c r="G8828" s="8" t="n"/>
      <c r="H8828" s="8" t="n"/>
      <c r="I8828" s="8" t="n"/>
      <c r="J8828" s="8" t="n"/>
      <c r="K8828" s="8" t="n"/>
      <c r="L8828" s="8" t="n"/>
      <c r="M8828" s="9">
        <f>B8828+30</f>
        <v/>
      </c>
      <c r="N8828">
        <f>IF(L8828="", "", L8828-B8828)</f>
        <v/>
      </c>
      <c r="O8828">
        <f>IF(L8828="", "Pending", IF(N8828&lt;=30, "Met", "Breached"))</f>
        <v/>
      </c>
      <c r="P8828" s="8" t="n"/>
      <c r="Q8828" s="8" t="n"/>
      <c r="R8828" s="8" t="n"/>
      <c r="S8828" s="8" t="n"/>
      <c r="T8828" s="8" t="n"/>
      <c r="U8828" s="8" t="n"/>
      <c r="V8828" s="8" t="n"/>
      <c r="W8828" s="8" t="n"/>
      <c r="X8828" s="8" t="n"/>
      <c r="Y8828" s="8" t="n"/>
    </row>
    <row r="8829">
      <c r="A8829" s="8" t="n"/>
      <c r="B8829" s="8" t="n"/>
      <c r="C8829" s="8" t="n"/>
      <c r="D8829" s="8" t="n"/>
      <c r="E8829" s="8" t="n"/>
      <c r="F8829" s="8" t="n"/>
      <c r="G8829" s="8" t="n"/>
      <c r="H8829" s="8" t="n"/>
      <c r="I8829" s="8" t="n"/>
      <c r="J8829" s="8" t="n"/>
      <c r="K8829" s="8" t="n"/>
      <c r="L8829" s="8" t="n"/>
      <c r="M8829" s="9">
        <f>B8829+30</f>
        <v/>
      </c>
      <c r="N8829">
        <f>IF(L8829="", "", L8829-B8829)</f>
        <v/>
      </c>
      <c r="O8829">
        <f>IF(L8829="", "Pending", IF(N8829&lt;=30, "Met", "Breached"))</f>
        <v/>
      </c>
      <c r="P8829" s="8" t="n"/>
      <c r="Q8829" s="8" t="n"/>
      <c r="R8829" s="8" t="n"/>
      <c r="S8829" s="8" t="n"/>
      <c r="T8829" s="8" t="n"/>
      <c r="U8829" s="8" t="n"/>
      <c r="V8829" s="8" t="n"/>
      <c r="W8829" s="8" t="n"/>
      <c r="X8829" s="8" t="n"/>
      <c r="Y8829" s="8" t="n"/>
    </row>
    <row r="8830">
      <c r="A8830" s="8" t="n"/>
      <c r="B8830" s="8" t="n"/>
      <c r="C8830" s="8" t="n"/>
      <c r="D8830" s="8" t="n"/>
      <c r="E8830" s="8" t="n"/>
      <c r="F8830" s="8" t="n"/>
      <c r="G8830" s="8" t="n"/>
      <c r="H8830" s="8" t="n"/>
      <c r="I8830" s="8" t="n"/>
      <c r="J8830" s="8" t="n"/>
      <c r="K8830" s="8" t="n"/>
      <c r="L8830" s="8" t="n"/>
      <c r="M8830" s="9">
        <f>B8830+30</f>
        <v/>
      </c>
      <c r="N8830">
        <f>IF(L8830="", "", L8830-B8830)</f>
        <v/>
      </c>
      <c r="O8830">
        <f>IF(L8830="", "Pending", IF(N8830&lt;=30, "Met", "Breached"))</f>
        <v/>
      </c>
      <c r="P8830" s="8" t="n"/>
      <c r="Q8830" s="8" t="n"/>
      <c r="R8830" s="8" t="n"/>
      <c r="S8830" s="8" t="n"/>
      <c r="T8830" s="8" t="n"/>
      <c r="U8830" s="8" t="n"/>
      <c r="V8830" s="8" t="n"/>
      <c r="W8830" s="8" t="n"/>
      <c r="X8830" s="8" t="n"/>
      <c r="Y8830" s="8" t="n"/>
    </row>
    <row r="8831">
      <c r="A8831" s="8" t="n"/>
      <c r="B8831" s="8" t="n"/>
      <c r="C8831" s="8" t="n"/>
      <c r="D8831" s="8" t="n"/>
      <c r="E8831" s="8" t="n"/>
      <c r="F8831" s="8" t="n"/>
      <c r="G8831" s="8" t="n"/>
      <c r="H8831" s="8" t="n"/>
      <c r="I8831" s="8" t="n"/>
      <c r="J8831" s="8" t="n"/>
      <c r="K8831" s="8" t="n"/>
      <c r="L8831" s="8" t="n"/>
      <c r="M8831" s="9">
        <f>B8831+30</f>
        <v/>
      </c>
      <c r="N8831">
        <f>IF(L8831="", "", L8831-B8831)</f>
        <v/>
      </c>
      <c r="O8831">
        <f>IF(L8831="", "Pending", IF(N8831&lt;=30, "Met", "Breached"))</f>
        <v/>
      </c>
      <c r="P8831" s="8" t="n"/>
      <c r="Q8831" s="8" t="n"/>
      <c r="R8831" s="8" t="n"/>
      <c r="S8831" s="8" t="n"/>
      <c r="T8831" s="8" t="n"/>
      <c r="U8831" s="8" t="n"/>
      <c r="V8831" s="8" t="n"/>
      <c r="W8831" s="8" t="n"/>
      <c r="X8831" s="8" t="n"/>
      <c r="Y8831" s="8" t="n"/>
    </row>
    <row r="8832">
      <c r="A8832" s="8" t="n"/>
      <c r="B8832" s="8" t="n"/>
      <c r="C8832" s="8" t="n"/>
      <c r="D8832" s="8" t="n"/>
      <c r="E8832" s="8" t="n"/>
      <c r="F8832" s="8" t="n"/>
      <c r="G8832" s="8" t="n"/>
      <c r="H8832" s="8" t="n"/>
      <c r="I8832" s="8" t="n"/>
      <c r="J8832" s="8" t="n"/>
      <c r="K8832" s="8" t="n"/>
      <c r="L8832" s="8" t="n"/>
      <c r="M8832" s="9">
        <f>B8832+30</f>
        <v/>
      </c>
      <c r="N8832">
        <f>IF(L8832="", "", L8832-B8832)</f>
        <v/>
      </c>
      <c r="O8832">
        <f>IF(L8832="", "Pending", IF(N8832&lt;=30, "Met", "Breached"))</f>
        <v/>
      </c>
      <c r="P8832" s="8" t="n"/>
      <c r="Q8832" s="8" t="n"/>
      <c r="R8832" s="8" t="n"/>
      <c r="S8832" s="8" t="n"/>
      <c r="T8832" s="8" t="n"/>
      <c r="U8832" s="8" t="n"/>
      <c r="V8832" s="8" t="n"/>
      <c r="W8832" s="8" t="n"/>
      <c r="X8832" s="8" t="n"/>
      <c r="Y8832" s="8" t="n"/>
    </row>
    <row r="8833">
      <c r="A8833" s="8" t="n"/>
      <c r="B8833" s="8" t="n"/>
      <c r="C8833" s="8" t="n"/>
      <c r="D8833" s="8" t="n"/>
      <c r="E8833" s="8" t="n"/>
      <c r="F8833" s="8" t="n"/>
      <c r="G8833" s="8" t="n"/>
      <c r="H8833" s="8" t="n"/>
      <c r="I8833" s="8" t="n"/>
      <c r="J8833" s="8" t="n"/>
      <c r="K8833" s="8" t="n"/>
      <c r="L8833" s="8" t="n"/>
      <c r="M8833" s="9">
        <f>B8833+30</f>
        <v/>
      </c>
      <c r="N8833">
        <f>IF(L8833="", "", L8833-B8833)</f>
        <v/>
      </c>
      <c r="O8833">
        <f>IF(L8833="", "Pending", IF(N8833&lt;=30, "Met", "Breached"))</f>
        <v/>
      </c>
      <c r="P8833" s="8" t="n"/>
      <c r="Q8833" s="8" t="n"/>
      <c r="R8833" s="8" t="n"/>
      <c r="S8833" s="8" t="n"/>
      <c r="T8833" s="8" t="n"/>
      <c r="U8833" s="8" t="n"/>
      <c r="V8833" s="8" t="n"/>
      <c r="W8833" s="8" t="n"/>
      <c r="X8833" s="8" t="n"/>
      <c r="Y8833" s="8" t="n"/>
    </row>
    <row r="8834">
      <c r="A8834" s="8" t="n"/>
      <c r="B8834" s="8" t="n"/>
      <c r="C8834" s="8" t="n"/>
      <c r="D8834" s="8" t="n"/>
      <c r="E8834" s="8" t="n"/>
      <c r="F8834" s="8" t="n"/>
      <c r="G8834" s="8" t="n"/>
      <c r="H8834" s="8" t="n"/>
      <c r="I8834" s="8" t="n"/>
      <c r="J8834" s="8" t="n"/>
      <c r="K8834" s="8" t="n"/>
      <c r="L8834" s="8" t="n"/>
      <c r="M8834" s="9">
        <f>B8834+30</f>
        <v/>
      </c>
      <c r="N8834">
        <f>IF(L8834="", "", L8834-B8834)</f>
        <v/>
      </c>
      <c r="O8834">
        <f>IF(L8834="", "Pending", IF(N8834&lt;=30, "Met", "Breached"))</f>
        <v/>
      </c>
      <c r="P8834" s="8" t="n"/>
      <c r="Q8834" s="8" t="n"/>
      <c r="R8834" s="8" t="n"/>
      <c r="S8834" s="8" t="n"/>
      <c r="T8834" s="8" t="n"/>
      <c r="U8834" s="8" t="n"/>
      <c r="V8834" s="8" t="n"/>
      <c r="W8834" s="8" t="n"/>
      <c r="X8834" s="8" t="n"/>
      <c r="Y8834" s="8" t="n"/>
    </row>
    <row r="8835">
      <c r="A8835" s="8" t="n"/>
      <c r="B8835" s="8" t="n"/>
      <c r="C8835" s="8" t="n"/>
      <c r="D8835" s="8" t="n"/>
      <c r="E8835" s="8" t="n"/>
      <c r="F8835" s="8" t="n"/>
      <c r="G8835" s="8" t="n"/>
      <c r="H8835" s="8" t="n"/>
      <c r="I8835" s="8" t="n"/>
      <c r="J8835" s="8" t="n"/>
      <c r="K8835" s="8" t="n"/>
      <c r="L8835" s="8" t="n"/>
      <c r="M8835" s="9">
        <f>B8835+30</f>
        <v/>
      </c>
      <c r="N8835">
        <f>IF(L8835="", "", L8835-B8835)</f>
        <v/>
      </c>
      <c r="O8835">
        <f>IF(L8835="", "Pending", IF(N8835&lt;=30, "Met", "Breached"))</f>
        <v/>
      </c>
      <c r="P8835" s="8" t="n"/>
      <c r="Q8835" s="8" t="n"/>
      <c r="R8835" s="8" t="n"/>
      <c r="S8835" s="8" t="n"/>
      <c r="T8835" s="8" t="n"/>
      <c r="U8835" s="8" t="n"/>
      <c r="V8835" s="8" t="n"/>
      <c r="W8835" s="8" t="n"/>
      <c r="X8835" s="8" t="n"/>
      <c r="Y8835" s="8" t="n"/>
    </row>
    <row r="8836">
      <c r="A8836" s="8" t="n"/>
      <c r="B8836" s="8" t="n"/>
      <c r="C8836" s="8" t="n"/>
      <c r="D8836" s="8" t="n"/>
      <c r="E8836" s="8" t="n"/>
      <c r="F8836" s="8" t="n"/>
      <c r="G8836" s="8" t="n"/>
      <c r="H8836" s="8" t="n"/>
      <c r="I8836" s="8" t="n"/>
      <c r="J8836" s="8" t="n"/>
      <c r="K8836" s="8" t="n"/>
      <c r="L8836" s="8" t="n"/>
      <c r="M8836" s="9">
        <f>B8836+30</f>
        <v/>
      </c>
      <c r="N8836">
        <f>IF(L8836="", "", L8836-B8836)</f>
        <v/>
      </c>
      <c r="O8836">
        <f>IF(L8836="", "Pending", IF(N8836&lt;=30, "Met", "Breached"))</f>
        <v/>
      </c>
      <c r="P8836" s="8" t="n"/>
      <c r="Q8836" s="8" t="n"/>
      <c r="R8836" s="8" t="n"/>
      <c r="S8836" s="8" t="n"/>
      <c r="T8836" s="8" t="n"/>
      <c r="U8836" s="8" t="n"/>
      <c r="V8836" s="8" t="n"/>
      <c r="W8836" s="8" t="n"/>
      <c r="X8836" s="8" t="n"/>
      <c r="Y8836" s="8" t="n"/>
    </row>
    <row r="8837">
      <c r="A8837" s="8" t="n"/>
      <c r="B8837" s="8" t="n"/>
      <c r="C8837" s="8" t="n"/>
      <c r="D8837" s="8" t="n"/>
      <c r="E8837" s="8" t="n"/>
      <c r="F8837" s="8" t="n"/>
      <c r="G8837" s="8" t="n"/>
      <c r="H8837" s="8" t="n"/>
      <c r="I8837" s="8" t="n"/>
      <c r="J8837" s="8" t="n"/>
      <c r="K8837" s="8" t="n"/>
      <c r="L8837" s="8" t="n"/>
      <c r="M8837" s="9">
        <f>B8837+30</f>
        <v/>
      </c>
      <c r="N8837">
        <f>IF(L8837="", "", L8837-B8837)</f>
        <v/>
      </c>
      <c r="O8837">
        <f>IF(L8837="", "Pending", IF(N8837&lt;=30, "Met", "Breached"))</f>
        <v/>
      </c>
      <c r="P8837" s="8" t="n"/>
      <c r="Q8837" s="8" t="n"/>
      <c r="R8837" s="8" t="n"/>
      <c r="S8837" s="8" t="n"/>
      <c r="T8837" s="8" t="n"/>
      <c r="U8837" s="8" t="n"/>
      <c r="V8837" s="8" t="n"/>
      <c r="W8837" s="8" t="n"/>
      <c r="X8837" s="8" t="n"/>
      <c r="Y8837" s="8" t="n"/>
    </row>
    <row r="8838">
      <c r="A8838" s="8" t="n"/>
      <c r="B8838" s="8" t="n"/>
      <c r="C8838" s="8" t="n"/>
      <c r="D8838" s="8" t="n"/>
      <c r="E8838" s="8" t="n"/>
      <c r="F8838" s="8" t="n"/>
      <c r="G8838" s="8" t="n"/>
      <c r="H8838" s="8" t="n"/>
      <c r="I8838" s="8" t="n"/>
      <c r="J8838" s="8" t="n"/>
      <c r="K8838" s="8" t="n"/>
      <c r="L8838" s="8" t="n"/>
      <c r="M8838" s="9">
        <f>B8838+30</f>
        <v/>
      </c>
      <c r="N8838">
        <f>IF(L8838="", "", L8838-B8838)</f>
        <v/>
      </c>
      <c r="O8838">
        <f>IF(L8838="", "Pending", IF(N8838&lt;=30, "Met", "Breached"))</f>
        <v/>
      </c>
      <c r="P8838" s="8" t="n"/>
      <c r="Q8838" s="8" t="n"/>
      <c r="R8838" s="8" t="n"/>
      <c r="S8838" s="8" t="n"/>
      <c r="T8838" s="8" t="n"/>
      <c r="U8838" s="8" t="n"/>
      <c r="V8838" s="8" t="n"/>
      <c r="W8838" s="8" t="n"/>
      <c r="X8838" s="8" t="n"/>
      <c r="Y8838" s="8" t="n"/>
    </row>
    <row r="8839">
      <c r="A8839" s="8" t="n"/>
      <c r="B8839" s="8" t="n"/>
      <c r="C8839" s="8" t="n"/>
      <c r="D8839" s="8" t="n"/>
      <c r="E8839" s="8" t="n"/>
      <c r="F8839" s="8" t="n"/>
      <c r="G8839" s="8" t="n"/>
      <c r="H8839" s="8" t="n"/>
      <c r="I8839" s="8" t="n"/>
      <c r="J8839" s="8" t="n"/>
      <c r="K8839" s="8" t="n"/>
      <c r="L8839" s="8" t="n"/>
      <c r="M8839" s="9">
        <f>B8839+30</f>
        <v/>
      </c>
      <c r="N8839">
        <f>IF(L8839="", "", L8839-B8839)</f>
        <v/>
      </c>
      <c r="O8839">
        <f>IF(L8839="", "Pending", IF(N8839&lt;=30, "Met", "Breached"))</f>
        <v/>
      </c>
      <c r="P8839" s="8" t="n"/>
      <c r="Q8839" s="8" t="n"/>
      <c r="R8839" s="8" t="n"/>
      <c r="S8839" s="8" t="n"/>
      <c r="T8839" s="8" t="n"/>
      <c r="U8839" s="8" t="n"/>
      <c r="V8839" s="8" t="n"/>
      <c r="W8839" s="8" t="n"/>
      <c r="X8839" s="8" t="n"/>
      <c r="Y8839" s="8" t="n"/>
    </row>
    <row r="8840">
      <c r="A8840" s="8" t="n"/>
      <c r="B8840" s="8" t="n"/>
      <c r="C8840" s="8" t="n"/>
      <c r="D8840" s="8" t="n"/>
      <c r="E8840" s="8" t="n"/>
      <c r="F8840" s="8" t="n"/>
      <c r="G8840" s="8" t="n"/>
      <c r="H8840" s="8" t="n"/>
      <c r="I8840" s="8" t="n"/>
      <c r="J8840" s="8" t="n"/>
      <c r="K8840" s="8" t="n"/>
      <c r="L8840" s="8" t="n"/>
      <c r="M8840" s="9">
        <f>B8840+30</f>
        <v/>
      </c>
      <c r="N8840">
        <f>IF(L8840="", "", L8840-B8840)</f>
        <v/>
      </c>
      <c r="O8840">
        <f>IF(L8840="", "Pending", IF(N8840&lt;=30, "Met", "Breached"))</f>
        <v/>
      </c>
      <c r="P8840" s="8" t="n"/>
      <c r="Q8840" s="8" t="n"/>
      <c r="R8840" s="8" t="n"/>
      <c r="S8840" s="8" t="n"/>
      <c r="T8840" s="8" t="n"/>
      <c r="U8840" s="8" t="n"/>
      <c r="V8840" s="8" t="n"/>
      <c r="W8840" s="8" t="n"/>
      <c r="X8840" s="8" t="n"/>
      <c r="Y8840" s="8" t="n"/>
    </row>
    <row r="8841">
      <c r="A8841" s="8" t="n"/>
      <c r="B8841" s="8" t="n"/>
      <c r="C8841" s="8" t="n"/>
      <c r="D8841" s="8" t="n"/>
      <c r="E8841" s="8" t="n"/>
      <c r="F8841" s="8" t="n"/>
      <c r="G8841" s="8" t="n"/>
      <c r="H8841" s="8" t="n"/>
      <c r="I8841" s="8" t="n"/>
      <c r="J8841" s="8" t="n"/>
      <c r="K8841" s="8" t="n"/>
      <c r="L8841" s="8" t="n"/>
      <c r="M8841" s="9">
        <f>B8841+30</f>
        <v/>
      </c>
      <c r="N8841">
        <f>IF(L8841="", "", L8841-B8841)</f>
        <v/>
      </c>
      <c r="O8841">
        <f>IF(L8841="", "Pending", IF(N8841&lt;=30, "Met", "Breached"))</f>
        <v/>
      </c>
      <c r="P8841" s="8" t="n"/>
      <c r="Q8841" s="8" t="n"/>
      <c r="R8841" s="8" t="n"/>
      <c r="S8841" s="8" t="n"/>
      <c r="T8841" s="8" t="n"/>
      <c r="U8841" s="8" t="n"/>
      <c r="V8841" s="8" t="n"/>
      <c r="W8841" s="8" t="n"/>
      <c r="X8841" s="8" t="n"/>
      <c r="Y8841" s="8" t="n"/>
    </row>
    <row r="8842">
      <c r="A8842" s="8" t="n"/>
      <c r="B8842" s="8" t="n"/>
      <c r="C8842" s="8" t="n"/>
      <c r="D8842" s="8" t="n"/>
      <c r="E8842" s="8" t="n"/>
      <c r="F8842" s="8" t="n"/>
      <c r="G8842" s="8" t="n"/>
      <c r="H8842" s="8" t="n"/>
      <c r="I8842" s="8" t="n"/>
      <c r="J8842" s="8" t="n"/>
      <c r="K8842" s="8" t="n"/>
      <c r="L8842" s="8" t="n"/>
      <c r="M8842" s="9">
        <f>B8842+30</f>
        <v/>
      </c>
      <c r="N8842">
        <f>IF(L8842="", "", L8842-B8842)</f>
        <v/>
      </c>
      <c r="O8842">
        <f>IF(L8842="", "Pending", IF(N8842&lt;=30, "Met", "Breached"))</f>
        <v/>
      </c>
      <c r="P8842" s="8" t="n"/>
      <c r="Q8842" s="8" t="n"/>
      <c r="R8842" s="8" t="n"/>
      <c r="S8842" s="8" t="n"/>
      <c r="T8842" s="8" t="n"/>
      <c r="U8842" s="8" t="n"/>
      <c r="V8842" s="8" t="n"/>
      <c r="W8842" s="8" t="n"/>
      <c r="X8842" s="8" t="n"/>
      <c r="Y8842" s="8" t="n"/>
    </row>
    <row r="8843">
      <c r="A8843" s="8" t="n"/>
      <c r="B8843" s="8" t="n"/>
      <c r="C8843" s="8" t="n"/>
      <c r="D8843" s="8" t="n"/>
      <c r="E8843" s="8" t="n"/>
      <c r="F8843" s="8" t="n"/>
      <c r="G8843" s="8" t="n"/>
      <c r="H8843" s="8" t="n"/>
      <c r="I8843" s="8" t="n"/>
      <c r="J8843" s="8" t="n"/>
      <c r="K8843" s="8" t="n"/>
      <c r="L8843" s="8" t="n"/>
      <c r="M8843" s="9">
        <f>B8843+30</f>
        <v/>
      </c>
      <c r="N8843">
        <f>IF(L8843="", "", L8843-B8843)</f>
        <v/>
      </c>
      <c r="O8843">
        <f>IF(L8843="", "Pending", IF(N8843&lt;=30, "Met", "Breached"))</f>
        <v/>
      </c>
      <c r="P8843" s="8" t="n"/>
      <c r="Q8843" s="8" t="n"/>
      <c r="R8843" s="8" t="n"/>
      <c r="S8843" s="8" t="n"/>
      <c r="T8843" s="8" t="n"/>
      <c r="U8843" s="8" t="n"/>
      <c r="V8843" s="8" t="n"/>
      <c r="W8843" s="8" t="n"/>
      <c r="X8843" s="8" t="n"/>
      <c r="Y8843" s="8" t="n"/>
    </row>
    <row r="8844">
      <c r="A8844" s="8" t="n"/>
      <c r="B8844" s="8" t="n"/>
      <c r="C8844" s="8" t="n"/>
      <c r="D8844" s="8" t="n"/>
      <c r="E8844" s="8" t="n"/>
      <c r="F8844" s="8" t="n"/>
      <c r="G8844" s="8" t="n"/>
      <c r="H8844" s="8" t="n"/>
      <c r="I8844" s="8" t="n"/>
      <c r="J8844" s="8" t="n"/>
      <c r="K8844" s="8" t="n"/>
      <c r="L8844" s="8" t="n"/>
      <c r="M8844" s="9">
        <f>B8844+30</f>
        <v/>
      </c>
      <c r="N8844">
        <f>IF(L8844="", "", L8844-B8844)</f>
        <v/>
      </c>
      <c r="O8844">
        <f>IF(L8844="", "Pending", IF(N8844&lt;=30, "Met", "Breached"))</f>
        <v/>
      </c>
      <c r="P8844" s="8" t="n"/>
      <c r="Q8844" s="8" t="n"/>
      <c r="R8844" s="8" t="n"/>
      <c r="S8844" s="8" t="n"/>
      <c r="T8844" s="8" t="n"/>
      <c r="U8844" s="8" t="n"/>
      <c r="V8844" s="8" t="n"/>
      <c r="W8844" s="8" t="n"/>
      <c r="X8844" s="8" t="n"/>
      <c r="Y8844" s="8" t="n"/>
    </row>
    <row r="8845">
      <c r="A8845" s="8" t="n"/>
      <c r="B8845" s="8" t="n"/>
      <c r="C8845" s="8" t="n"/>
      <c r="D8845" s="8" t="n"/>
      <c r="E8845" s="8" t="n"/>
      <c r="F8845" s="8" t="n"/>
      <c r="G8845" s="8" t="n"/>
      <c r="H8845" s="8" t="n"/>
      <c r="I8845" s="8" t="n"/>
      <c r="J8845" s="8" t="n"/>
      <c r="K8845" s="8" t="n"/>
      <c r="L8845" s="8" t="n"/>
      <c r="M8845" s="9">
        <f>B8845+30</f>
        <v/>
      </c>
      <c r="N8845">
        <f>IF(L8845="", "", L8845-B8845)</f>
        <v/>
      </c>
      <c r="O8845">
        <f>IF(L8845="", "Pending", IF(N8845&lt;=30, "Met", "Breached"))</f>
        <v/>
      </c>
      <c r="P8845" s="8" t="n"/>
      <c r="Q8845" s="8" t="n"/>
      <c r="R8845" s="8" t="n"/>
      <c r="S8845" s="8" t="n"/>
      <c r="T8845" s="8" t="n"/>
      <c r="U8845" s="8" t="n"/>
      <c r="V8845" s="8" t="n"/>
      <c r="W8845" s="8" t="n"/>
      <c r="X8845" s="8" t="n"/>
      <c r="Y8845" s="8" t="n"/>
    </row>
    <row r="8846">
      <c r="A8846" s="8" t="n"/>
      <c r="B8846" s="8" t="n"/>
      <c r="C8846" s="8" t="n"/>
      <c r="D8846" s="8" t="n"/>
      <c r="E8846" s="8" t="n"/>
      <c r="F8846" s="8" t="n"/>
      <c r="G8846" s="8" t="n"/>
      <c r="H8846" s="8" t="n"/>
      <c r="I8846" s="8" t="n"/>
      <c r="J8846" s="8" t="n"/>
      <c r="K8846" s="8" t="n"/>
      <c r="L8846" s="8" t="n"/>
      <c r="M8846" s="9">
        <f>B8846+30</f>
        <v/>
      </c>
      <c r="N8846">
        <f>IF(L8846="", "", L8846-B8846)</f>
        <v/>
      </c>
      <c r="O8846">
        <f>IF(L8846="", "Pending", IF(N8846&lt;=30, "Met", "Breached"))</f>
        <v/>
      </c>
      <c r="P8846" s="8" t="n"/>
      <c r="Q8846" s="8" t="n"/>
      <c r="R8846" s="8" t="n"/>
      <c r="S8846" s="8" t="n"/>
      <c r="T8846" s="8" t="n"/>
      <c r="U8846" s="8" t="n"/>
      <c r="V8846" s="8" t="n"/>
      <c r="W8846" s="8" t="n"/>
      <c r="X8846" s="8" t="n"/>
      <c r="Y8846" s="8" t="n"/>
    </row>
    <row r="8847">
      <c r="A8847" s="8" t="n"/>
      <c r="B8847" s="8" t="n"/>
      <c r="C8847" s="8" t="n"/>
      <c r="D8847" s="8" t="n"/>
      <c r="E8847" s="8" t="n"/>
      <c r="F8847" s="8" t="n"/>
      <c r="G8847" s="8" t="n"/>
      <c r="H8847" s="8" t="n"/>
      <c r="I8847" s="8" t="n"/>
      <c r="J8847" s="8" t="n"/>
      <c r="K8847" s="8" t="n"/>
      <c r="L8847" s="8" t="n"/>
      <c r="M8847" s="9">
        <f>B8847+30</f>
        <v/>
      </c>
      <c r="N8847">
        <f>IF(L8847="", "", L8847-B8847)</f>
        <v/>
      </c>
      <c r="O8847">
        <f>IF(L8847="", "Pending", IF(N8847&lt;=30, "Met", "Breached"))</f>
        <v/>
      </c>
      <c r="P8847" s="8" t="n"/>
      <c r="Q8847" s="8" t="n"/>
      <c r="R8847" s="8" t="n"/>
      <c r="S8847" s="8" t="n"/>
      <c r="T8847" s="8" t="n"/>
      <c r="U8847" s="8" t="n"/>
      <c r="V8847" s="8" t="n"/>
      <c r="W8847" s="8" t="n"/>
      <c r="X8847" s="8" t="n"/>
      <c r="Y8847" s="8" t="n"/>
    </row>
    <row r="8848">
      <c r="A8848" s="8" t="n"/>
      <c r="B8848" s="8" t="n"/>
      <c r="C8848" s="8" t="n"/>
      <c r="D8848" s="8" t="n"/>
      <c r="E8848" s="8" t="n"/>
      <c r="F8848" s="8" t="n"/>
      <c r="G8848" s="8" t="n"/>
      <c r="H8848" s="8" t="n"/>
      <c r="I8848" s="8" t="n"/>
      <c r="J8848" s="8" t="n"/>
      <c r="K8848" s="8" t="n"/>
      <c r="L8848" s="8" t="n"/>
      <c r="M8848" s="9">
        <f>B8848+30</f>
        <v/>
      </c>
      <c r="N8848">
        <f>IF(L8848="", "", L8848-B8848)</f>
        <v/>
      </c>
      <c r="O8848">
        <f>IF(L8848="", "Pending", IF(N8848&lt;=30, "Met", "Breached"))</f>
        <v/>
      </c>
      <c r="P8848" s="8" t="n"/>
      <c r="Q8848" s="8" t="n"/>
      <c r="R8848" s="8" t="n"/>
      <c r="S8848" s="8" t="n"/>
      <c r="T8848" s="8" t="n"/>
      <c r="U8848" s="8" t="n"/>
      <c r="V8848" s="8" t="n"/>
      <c r="W8848" s="8" t="n"/>
      <c r="X8848" s="8" t="n"/>
      <c r="Y8848" s="8" t="n"/>
    </row>
    <row r="8849">
      <c r="A8849" s="8" t="n"/>
      <c r="B8849" s="8" t="n"/>
      <c r="C8849" s="8" t="n"/>
      <c r="D8849" s="8" t="n"/>
      <c r="E8849" s="8" t="n"/>
      <c r="F8849" s="8" t="n"/>
      <c r="G8849" s="8" t="n"/>
      <c r="H8849" s="8" t="n"/>
      <c r="I8849" s="8" t="n"/>
      <c r="J8849" s="8" t="n"/>
      <c r="K8849" s="8" t="n"/>
      <c r="L8849" s="8" t="n"/>
      <c r="M8849" s="9">
        <f>B8849+30</f>
        <v/>
      </c>
      <c r="N8849">
        <f>IF(L8849="", "", L8849-B8849)</f>
        <v/>
      </c>
      <c r="O8849">
        <f>IF(L8849="", "Pending", IF(N8849&lt;=30, "Met", "Breached"))</f>
        <v/>
      </c>
      <c r="P8849" s="8" t="n"/>
      <c r="Q8849" s="8" t="n"/>
      <c r="R8849" s="8" t="n"/>
      <c r="S8849" s="8" t="n"/>
      <c r="T8849" s="8" t="n"/>
      <c r="U8849" s="8" t="n"/>
      <c r="V8849" s="8" t="n"/>
      <c r="W8849" s="8" t="n"/>
      <c r="X8849" s="8" t="n"/>
      <c r="Y8849" s="8" t="n"/>
    </row>
    <row r="8850">
      <c r="A8850" s="8" t="n"/>
      <c r="B8850" s="8" t="n"/>
      <c r="C8850" s="8" t="n"/>
      <c r="D8850" s="8" t="n"/>
      <c r="E8850" s="8" t="n"/>
      <c r="F8850" s="8" t="n"/>
      <c r="G8850" s="8" t="n"/>
      <c r="H8850" s="8" t="n"/>
      <c r="I8850" s="8" t="n"/>
      <c r="J8850" s="8" t="n"/>
      <c r="K8850" s="8" t="n"/>
      <c r="L8850" s="8" t="n"/>
      <c r="M8850" s="9">
        <f>B8850+30</f>
        <v/>
      </c>
      <c r="N8850">
        <f>IF(L8850="", "", L8850-B8850)</f>
        <v/>
      </c>
      <c r="O8850">
        <f>IF(L8850="", "Pending", IF(N8850&lt;=30, "Met", "Breached"))</f>
        <v/>
      </c>
      <c r="P8850" s="8" t="n"/>
      <c r="Q8850" s="8" t="n"/>
      <c r="R8850" s="8" t="n"/>
      <c r="S8850" s="8" t="n"/>
      <c r="T8850" s="8" t="n"/>
      <c r="U8850" s="8" t="n"/>
      <c r="V8850" s="8" t="n"/>
      <c r="W8850" s="8" t="n"/>
      <c r="X8850" s="8" t="n"/>
      <c r="Y8850" s="8" t="n"/>
    </row>
    <row r="8851">
      <c r="A8851" s="8" t="n"/>
      <c r="B8851" s="8" t="n"/>
      <c r="C8851" s="8" t="n"/>
      <c r="D8851" s="8" t="n"/>
      <c r="E8851" s="8" t="n"/>
      <c r="F8851" s="8" t="n"/>
      <c r="G8851" s="8" t="n"/>
      <c r="H8851" s="8" t="n"/>
      <c r="I8851" s="8" t="n"/>
      <c r="J8851" s="8" t="n"/>
      <c r="K8851" s="8" t="n"/>
      <c r="L8851" s="8" t="n"/>
      <c r="M8851" s="9">
        <f>B8851+30</f>
        <v/>
      </c>
      <c r="N8851">
        <f>IF(L8851="", "", L8851-B8851)</f>
        <v/>
      </c>
      <c r="O8851">
        <f>IF(L8851="", "Pending", IF(N8851&lt;=30, "Met", "Breached"))</f>
        <v/>
      </c>
      <c r="P8851" s="8" t="n"/>
      <c r="Q8851" s="8" t="n"/>
      <c r="R8851" s="8" t="n"/>
      <c r="S8851" s="8" t="n"/>
      <c r="T8851" s="8" t="n"/>
      <c r="U8851" s="8" t="n"/>
      <c r="V8851" s="8" t="n"/>
      <c r="W8851" s="8" t="n"/>
      <c r="X8851" s="8" t="n"/>
      <c r="Y8851" s="8" t="n"/>
    </row>
    <row r="8852">
      <c r="A8852" s="8" t="n"/>
      <c r="B8852" s="8" t="n"/>
      <c r="C8852" s="8" t="n"/>
      <c r="D8852" s="8" t="n"/>
      <c r="E8852" s="8" t="n"/>
      <c r="F8852" s="8" t="n"/>
      <c r="G8852" s="8" t="n"/>
      <c r="H8852" s="8" t="n"/>
      <c r="I8852" s="8" t="n"/>
      <c r="J8852" s="8" t="n"/>
      <c r="K8852" s="8" t="n"/>
      <c r="L8852" s="8" t="n"/>
      <c r="M8852" s="9">
        <f>B8852+30</f>
        <v/>
      </c>
      <c r="N8852">
        <f>IF(L8852="", "", L8852-B8852)</f>
        <v/>
      </c>
      <c r="O8852">
        <f>IF(L8852="", "Pending", IF(N8852&lt;=30, "Met", "Breached"))</f>
        <v/>
      </c>
      <c r="P8852" s="8" t="n"/>
      <c r="Q8852" s="8" t="n"/>
      <c r="R8852" s="8" t="n"/>
      <c r="S8852" s="8" t="n"/>
      <c r="T8852" s="8" t="n"/>
      <c r="U8852" s="8" t="n"/>
      <c r="V8852" s="8" t="n"/>
      <c r="W8852" s="8" t="n"/>
      <c r="X8852" s="8" t="n"/>
      <c r="Y8852" s="8" t="n"/>
    </row>
    <row r="8853">
      <c r="A8853" s="8" t="n"/>
      <c r="B8853" s="8" t="n"/>
      <c r="C8853" s="8" t="n"/>
      <c r="D8853" s="8" t="n"/>
      <c r="E8853" s="8" t="n"/>
      <c r="F8853" s="8" t="n"/>
      <c r="G8853" s="8" t="n"/>
      <c r="H8853" s="8" t="n"/>
      <c r="I8853" s="8" t="n"/>
      <c r="J8853" s="8" t="n"/>
      <c r="K8853" s="8" t="n"/>
      <c r="L8853" s="8" t="n"/>
      <c r="M8853" s="9">
        <f>B8853+30</f>
        <v/>
      </c>
      <c r="N8853">
        <f>IF(L8853="", "", L8853-B8853)</f>
        <v/>
      </c>
      <c r="O8853">
        <f>IF(L8853="", "Pending", IF(N8853&lt;=30, "Met", "Breached"))</f>
        <v/>
      </c>
      <c r="P8853" s="8" t="n"/>
      <c r="Q8853" s="8" t="n"/>
      <c r="R8853" s="8" t="n"/>
      <c r="S8853" s="8" t="n"/>
      <c r="T8853" s="8" t="n"/>
      <c r="U8853" s="8" t="n"/>
      <c r="V8853" s="8" t="n"/>
      <c r="W8853" s="8" t="n"/>
      <c r="X8853" s="8" t="n"/>
      <c r="Y8853" s="8" t="n"/>
    </row>
    <row r="8854">
      <c r="A8854" s="8" t="n"/>
      <c r="B8854" s="8" t="n"/>
      <c r="C8854" s="8" t="n"/>
      <c r="D8854" s="8" t="n"/>
      <c r="E8854" s="8" t="n"/>
      <c r="F8854" s="8" t="n"/>
      <c r="G8854" s="8" t="n"/>
      <c r="H8854" s="8" t="n"/>
      <c r="I8854" s="8" t="n"/>
      <c r="J8854" s="8" t="n"/>
      <c r="K8854" s="8" t="n"/>
      <c r="L8854" s="8" t="n"/>
      <c r="M8854" s="9">
        <f>B8854+30</f>
        <v/>
      </c>
      <c r="N8854">
        <f>IF(L8854="", "", L8854-B8854)</f>
        <v/>
      </c>
      <c r="O8854">
        <f>IF(L8854="", "Pending", IF(N8854&lt;=30, "Met", "Breached"))</f>
        <v/>
      </c>
      <c r="P8854" s="8" t="n"/>
      <c r="Q8854" s="8" t="n"/>
      <c r="R8854" s="8" t="n"/>
      <c r="S8854" s="8" t="n"/>
      <c r="T8854" s="8" t="n"/>
      <c r="U8854" s="8" t="n"/>
      <c r="V8854" s="8" t="n"/>
      <c r="W8854" s="8" t="n"/>
      <c r="X8854" s="8" t="n"/>
      <c r="Y8854" s="8" t="n"/>
    </row>
    <row r="8855">
      <c r="A8855" s="8" t="n"/>
      <c r="B8855" s="8" t="n"/>
      <c r="C8855" s="8" t="n"/>
      <c r="D8855" s="8" t="n"/>
      <c r="E8855" s="8" t="n"/>
      <c r="F8855" s="8" t="n"/>
      <c r="G8855" s="8" t="n"/>
      <c r="H8855" s="8" t="n"/>
      <c r="I8855" s="8" t="n"/>
      <c r="J8855" s="8" t="n"/>
      <c r="K8855" s="8" t="n"/>
      <c r="L8855" s="8" t="n"/>
      <c r="M8855" s="9">
        <f>B8855+30</f>
        <v/>
      </c>
      <c r="N8855">
        <f>IF(L8855="", "", L8855-B8855)</f>
        <v/>
      </c>
      <c r="O8855">
        <f>IF(L8855="", "Pending", IF(N8855&lt;=30, "Met", "Breached"))</f>
        <v/>
      </c>
      <c r="P8855" s="8" t="n"/>
      <c r="Q8855" s="8" t="n"/>
      <c r="R8855" s="8" t="n"/>
      <c r="S8855" s="8" t="n"/>
      <c r="T8855" s="8" t="n"/>
      <c r="U8855" s="8" t="n"/>
      <c r="V8855" s="8" t="n"/>
      <c r="W8855" s="8" t="n"/>
      <c r="X8855" s="8" t="n"/>
      <c r="Y8855" s="8" t="n"/>
    </row>
    <row r="8856">
      <c r="A8856" s="8" t="n"/>
      <c r="B8856" s="8" t="n"/>
      <c r="C8856" s="8" t="n"/>
      <c r="D8856" s="8" t="n"/>
      <c r="E8856" s="8" t="n"/>
      <c r="F8856" s="8" t="n"/>
      <c r="G8856" s="8" t="n"/>
      <c r="H8856" s="8" t="n"/>
      <c r="I8856" s="8" t="n"/>
      <c r="J8856" s="8" t="n"/>
      <c r="K8856" s="8" t="n"/>
      <c r="L8856" s="8" t="n"/>
      <c r="M8856" s="9">
        <f>B8856+30</f>
        <v/>
      </c>
      <c r="N8856">
        <f>IF(L8856="", "", L8856-B8856)</f>
        <v/>
      </c>
      <c r="O8856">
        <f>IF(L8856="", "Pending", IF(N8856&lt;=30, "Met", "Breached"))</f>
        <v/>
      </c>
      <c r="P8856" s="8" t="n"/>
      <c r="Q8856" s="8" t="n"/>
      <c r="R8856" s="8" t="n"/>
      <c r="S8856" s="8" t="n"/>
      <c r="T8856" s="8" t="n"/>
      <c r="U8856" s="8" t="n"/>
      <c r="V8856" s="8" t="n"/>
      <c r="W8856" s="8" t="n"/>
      <c r="X8856" s="8" t="n"/>
      <c r="Y8856" s="8" t="n"/>
    </row>
    <row r="8857">
      <c r="A8857" s="8" t="n"/>
      <c r="B8857" s="8" t="n"/>
      <c r="C8857" s="8" t="n"/>
      <c r="D8857" s="8" t="n"/>
      <c r="E8857" s="8" t="n"/>
      <c r="F8857" s="8" t="n"/>
      <c r="G8857" s="8" t="n"/>
      <c r="H8857" s="8" t="n"/>
      <c r="I8857" s="8" t="n"/>
      <c r="J8857" s="8" t="n"/>
      <c r="K8857" s="8" t="n"/>
      <c r="L8857" s="8" t="n"/>
      <c r="M8857" s="9">
        <f>B8857+30</f>
        <v/>
      </c>
      <c r="N8857">
        <f>IF(L8857="", "", L8857-B8857)</f>
        <v/>
      </c>
      <c r="O8857">
        <f>IF(L8857="", "Pending", IF(N8857&lt;=30, "Met", "Breached"))</f>
        <v/>
      </c>
      <c r="P8857" s="8" t="n"/>
      <c r="Q8857" s="8" t="n"/>
      <c r="R8857" s="8" t="n"/>
      <c r="S8857" s="8" t="n"/>
      <c r="T8857" s="8" t="n"/>
      <c r="U8857" s="8" t="n"/>
      <c r="V8857" s="8" t="n"/>
      <c r="W8857" s="8" t="n"/>
      <c r="X8857" s="8" t="n"/>
      <c r="Y8857" s="8" t="n"/>
    </row>
    <row r="8858">
      <c r="A8858" s="8" t="n"/>
      <c r="B8858" s="8" t="n"/>
      <c r="C8858" s="8" t="n"/>
      <c r="D8858" s="8" t="n"/>
      <c r="E8858" s="8" t="n"/>
      <c r="F8858" s="8" t="n"/>
      <c r="G8858" s="8" t="n"/>
      <c r="H8858" s="8" t="n"/>
      <c r="I8858" s="8" t="n"/>
      <c r="J8858" s="8" t="n"/>
      <c r="K8858" s="8" t="n"/>
      <c r="L8858" s="8" t="n"/>
      <c r="M8858" s="9">
        <f>B8858+30</f>
        <v/>
      </c>
      <c r="N8858">
        <f>IF(L8858="", "", L8858-B8858)</f>
        <v/>
      </c>
      <c r="O8858">
        <f>IF(L8858="", "Pending", IF(N8858&lt;=30, "Met", "Breached"))</f>
        <v/>
      </c>
      <c r="P8858" s="8" t="n"/>
      <c r="Q8858" s="8" t="n"/>
      <c r="R8858" s="8" t="n"/>
      <c r="S8858" s="8" t="n"/>
      <c r="T8858" s="8" t="n"/>
      <c r="U8858" s="8" t="n"/>
      <c r="V8858" s="8" t="n"/>
      <c r="W8858" s="8" t="n"/>
      <c r="X8858" s="8" t="n"/>
      <c r="Y8858" s="8" t="n"/>
    </row>
    <row r="8859">
      <c r="A8859" s="8" t="n"/>
      <c r="B8859" s="8" t="n"/>
      <c r="C8859" s="8" t="n"/>
      <c r="D8859" s="8" t="n"/>
      <c r="E8859" s="8" t="n"/>
      <c r="F8859" s="8" t="n"/>
      <c r="G8859" s="8" t="n"/>
      <c r="H8859" s="8" t="n"/>
      <c r="I8859" s="8" t="n"/>
      <c r="J8859" s="8" t="n"/>
      <c r="K8859" s="8" t="n"/>
      <c r="L8859" s="8" t="n"/>
      <c r="M8859" s="9">
        <f>B8859+30</f>
        <v/>
      </c>
      <c r="N8859">
        <f>IF(L8859="", "", L8859-B8859)</f>
        <v/>
      </c>
      <c r="O8859">
        <f>IF(L8859="", "Pending", IF(N8859&lt;=30, "Met", "Breached"))</f>
        <v/>
      </c>
      <c r="P8859" s="8" t="n"/>
      <c r="Q8859" s="8" t="n"/>
      <c r="R8859" s="8" t="n"/>
      <c r="S8859" s="8" t="n"/>
      <c r="T8859" s="8" t="n"/>
      <c r="U8859" s="8" t="n"/>
      <c r="V8859" s="8" t="n"/>
      <c r="W8859" s="8" t="n"/>
      <c r="X8859" s="8" t="n"/>
      <c r="Y8859" s="8" t="n"/>
    </row>
    <row r="8860">
      <c r="A8860" s="8" t="n"/>
      <c r="B8860" s="8" t="n"/>
      <c r="C8860" s="8" t="n"/>
      <c r="D8860" s="8" t="n"/>
      <c r="E8860" s="8" t="n"/>
      <c r="F8860" s="8" t="n"/>
      <c r="G8860" s="8" t="n"/>
      <c r="H8860" s="8" t="n"/>
      <c r="I8860" s="8" t="n"/>
      <c r="J8860" s="8" t="n"/>
      <c r="K8860" s="8" t="n"/>
      <c r="L8860" s="8" t="n"/>
      <c r="M8860" s="9">
        <f>B8860+30</f>
        <v/>
      </c>
      <c r="N8860">
        <f>IF(L8860="", "", L8860-B8860)</f>
        <v/>
      </c>
      <c r="O8860">
        <f>IF(L8860="", "Pending", IF(N8860&lt;=30, "Met", "Breached"))</f>
        <v/>
      </c>
      <c r="P8860" s="8" t="n"/>
      <c r="Q8860" s="8" t="n"/>
      <c r="R8860" s="8" t="n"/>
      <c r="S8860" s="8" t="n"/>
      <c r="T8860" s="8" t="n"/>
      <c r="U8860" s="8" t="n"/>
      <c r="V8860" s="8" t="n"/>
      <c r="W8860" s="8" t="n"/>
      <c r="X8860" s="8" t="n"/>
      <c r="Y8860" s="8" t="n"/>
    </row>
    <row r="8861">
      <c r="A8861" s="8" t="n"/>
      <c r="B8861" s="8" t="n"/>
      <c r="C8861" s="8" t="n"/>
      <c r="D8861" s="8" t="n"/>
      <c r="E8861" s="8" t="n"/>
      <c r="F8861" s="8" t="n"/>
      <c r="G8861" s="8" t="n"/>
      <c r="H8861" s="8" t="n"/>
      <c r="I8861" s="8" t="n"/>
      <c r="J8861" s="8" t="n"/>
      <c r="K8861" s="8" t="n"/>
      <c r="L8861" s="8" t="n"/>
      <c r="M8861" s="9">
        <f>B8861+30</f>
        <v/>
      </c>
      <c r="N8861">
        <f>IF(L8861="", "", L8861-B8861)</f>
        <v/>
      </c>
      <c r="O8861">
        <f>IF(L8861="", "Pending", IF(N8861&lt;=30, "Met", "Breached"))</f>
        <v/>
      </c>
      <c r="P8861" s="8" t="n"/>
      <c r="Q8861" s="8" t="n"/>
      <c r="R8861" s="8" t="n"/>
      <c r="S8861" s="8" t="n"/>
      <c r="T8861" s="8" t="n"/>
      <c r="U8861" s="8" t="n"/>
      <c r="V8861" s="8" t="n"/>
      <c r="W8861" s="8" t="n"/>
      <c r="X8861" s="8" t="n"/>
      <c r="Y8861" s="8" t="n"/>
    </row>
    <row r="8862">
      <c r="A8862" s="8" t="n"/>
      <c r="B8862" s="8" t="n"/>
      <c r="C8862" s="8" t="n"/>
      <c r="D8862" s="8" t="n"/>
      <c r="E8862" s="8" t="n"/>
      <c r="F8862" s="8" t="n"/>
      <c r="G8862" s="8" t="n"/>
      <c r="H8862" s="8" t="n"/>
      <c r="I8862" s="8" t="n"/>
      <c r="J8862" s="8" t="n"/>
      <c r="K8862" s="8" t="n"/>
      <c r="L8862" s="8" t="n"/>
      <c r="M8862" s="9">
        <f>B8862+30</f>
        <v/>
      </c>
      <c r="N8862">
        <f>IF(L8862="", "", L8862-B8862)</f>
        <v/>
      </c>
      <c r="O8862">
        <f>IF(L8862="", "Pending", IF(N8862&lt;=30, "Met", "Breached"))</f>
        <v/>
      </c>
      <c r="P8862" s="8" t="n"/>
      <c r="Q8862" s="8" t="n"/>
      <c r="R8862" s="8" t="n"/>
      <c r="S8862" s="8" t="n"/>
      <c r="T8862" s="8" t="n"/>
      <c r="U8862" s="8" t="n"/>
      <c r="V8862" s="8" t="n"/>
      <c r="W8862" s="8" t="n"/>
      <c r="X8862" s="8" t="n"/>
      <c r="Y8862" s="8" t="n"/>
    </row>
    <row r="8863">
      <c r="A8863" s="8" t="n"/>
      <c r="B8863" s="8" t="n"/>
      <c r="C8863" s="8" t="n"/>
      <c r="D8863" s="8" t="n"/>
      <c r="E8863" s="8" t="n"/>
      <c r="F8863" s="8" t="n"/>
      <c r="G8863" s="8" t="n"/>
      <c r="H8863" s="8" t="n"/>
      <c r="I8863" s="8" t="n"/>
      <c r="J8863" s="8" t="n"/>
      <c r="K8863" s="8" t="n"/>
      <c r="L8863" s="8" t="n"/>
      <c r="M8863" s="9">
        <f>B8863+30</f>
        <v/>
      </c>
      <c r="N8863">
        <f>IF(L8863="", "", L8863-B8863)</f>
        <v/>
      </c>
      <c r="O8863">
        <f>IF(L8863="", "Pending", IF(N8863&lt;=30, "Met", "Breached"))</f>
        <v/>
      </c>
      <c r="P8863" s="8" t="n"/>
      <c r="Q8863" s="8" t="n"/>
      <c r="R8863" s="8" t="n"/>
      <c r="S8863" s="8" t="n"/>
      <c r="T8863" s="8" t="n"/>
      <c r="U8863" s="8" t="n"/>
      <c r="V8863" s="8" t="n"/>
      <c r="W8863" s="8" t="n"/>
      <c r="X8863" s="8" t="n"/>
      <c r="Y8863" s="8" t="n"/>
    </row>
    <row r="8864">
      <c r="A8864" s="8" t="n"/>
      <c r="B8864" s="8" t="n"/>
      <c r="C8864" s="8" t="n"/>
      <c r="D8864" s="8" t="n"/>
      <c r="E8864" s="8" t="n"/>
      <c r="F8864" s="8" t="n"/>
      <c r="G8864" s="8" t="n"/>
      <c r="H8864" s="8" t="n"/>
      <c r="I8864" s="8" t="n"/>
      <c r="J8864" s="8" t="n"/>
      <c r="K8864" s="8" t="n"/>
      <c r="L8864" s="8" t="n"/>
      <c r="M8864" s="9">
        <f>B8864+30</f>
        <v/>
      </c>
      <c r="N8864">
        <f>IF(L8864="", "", L8864-B8864)</f>
        <v/>
      </c>
      <c r="O8864">
        <f>IF(L8864="", "Pending", IF(N8864&lt;=30, "Met", "Breached"))</f>
        <v/>
      </c>
      <c r="P8864" s="8" t="n"/>
      <c r="Q8864" s="8" t="n"/>
      <c r="R8864" s="8" t="n"/>
      <c r="S8864" s="8" t="n"/>
      <c r="T8864" s="8" t="n"/>
      <c r="U8864" s="8" t="n"/>
      <c r="V8864" s="8" t="n"/>
      <c r="W8864" s="8" t="n"/>
      <c r="X8864" s="8" t="n"/>
      <c r="Y8864" s="8" t="n"/>
    </row>
    <row r="8865">
      <c r="A8865" s="8" t="n"/>
      <c r="B8865" s="8" t="n"/>
      <c r="C8865" s="8" t="n"/>
      <c r="D8865" s="8" t="n"/>
      <c r="E8865" s="8" t="n"/>
      <c r="F8865" s="8" t="n"/>
      <c r="G8865" s="8" t="n"/>
      <c r="H8865" s="8" t="n"/>
      <c r="I8865" s="8" t="n"/>
      <c r="J8865" s="8" t="n"/>
      <c r="K8865" s="8" t="n"/>
      <c r="L8865" s="8" t="n"/>
      <c r="M8865" s="9">
        <f>B8865+30</f>
        <v/>
      </c>
      <c r="N8865">
        <f>IF(L8865="", "", L8865-B8865)</f>
        <v/>
      </c>
      <c r="O8865">
        <f>IF(L8865="", "Pending", IF(N8865&lt;=30, "Met", "Breached"))</f>
        <v/>
      </c>
      <c r="P8865" s="8" t="n"/>
      <c r="Q8865" s="8" t="n"/>
      <c r="R8865" s="8" t="n"/>
      <c r="S8865" s="8" t="n"/>
      <c r="T8865" s="8" t="n"/>
      <c r="U8865" s="8" t="n"/>
      <c r="V8865" s="8" t="n"/>
      <c r="W8865" s="8" t="n"/>
      <c r="X8865" s="8" t="n"/>
      <c r="Y8865" s="8" t="n"/>
    </row>
    <row r="8866">
      <c r="A8866" s="8" t="n"/>
      <c r="B8866" s="8" t="n"/>
      <c r="C8866" s="8" t="n"/>
      <c r="D8866" s="8" t="n"/>
      <c r="E8866" s="8" t="n"/>
      <c r="F8866" s="8" t="n"/>
      <c r="G8866" s="8" t="n"/>
      <c r="H8866" s="8" t="n"/>
      <c r="I8866" s="8" t="n"/>
      <c r="J8866" s="8" t="n"/>
      <c r="K8866" s="8" t="n"/>
      <c r="L8866" s="8" t="n"/>
      <c r="M8866" s="9">
        <f>B8866+30</f>
        <v/>
      </c>
      <c r="N8866">
        <f>IF(L8866="", "", L8866-B8866)</f>
        <v/>
      </c>
      <c r="O8866">
        <f>IF(L8866="", "Pending", IF(N8866&lt;=30, "Met", "Breached"))</f>
        <v/>
      </c>
      <c r="P8866" s="8" t="n"/>
      <c r="Q8866" s="8" t="n"/>
      <c r="R8866" s="8" t="n"/>
      <c r="S8866" s="8" t="n"/>
      <c r="T8866" s="8" t="n"/>
      <c r="U8866" s="8" t="n"/>
      <c r="V8866" s="8" t="n"/>
      <c r="W8866" s="8" t="n"/>
      <c r="X8866" s="8" t="n"/>
      <c r="Y8866" s="8" t="n"/>
    </row>
    <row r="8867">
      <c r="A8867" s="8" t="n"/>
      <c r="B8867" s="8" t="n"/>
      <c r="C8867" s="8" t="n"/>
      <c r="D8867" s="8" t="n"/>
      <c r="E8867" s="8" t="n"/>
      <c r="F8867" s="8" t="n"/>
      <c r="G8867" s="8" t="n"/>
      <c r="H8867" s="8" t="n"/>
      <c r="I8867" s="8" t="n"/>
      <c r="J8867" s="8" t="n"/>
      <c r="K8867" s="8" t="n"/>
      <c r="L8867" s="8" t="n"/>
      <c r="M8867" s="9">
        <f>B8867+30</f>
        <v/>
      </c>
      <c r="N8867">
        <f>IF(L8867="", "", L8867-B8867)</f>
        <v/>
      </c>
      <c r="O8867">
        <f>IF(L8867="", "Pending", IF(N8867&lt;=30, "Met", "Breached"))</f>
        <v/>
      </c>
      <c r="P8867" s="8" t="n"/>
      <c r="Q8867" s="8" t="n"/>
      <c r="R8867" s="8" t="n"/>
      <c r="S8867" s="8" t="n"/>
      <c r="T8867" s="8" t="n"/>
      <c r="U8867" s="8" t="n"/>
      <c r="V8867" s="8" t="n"/>
      <c r="W8867" s="8" t="n"/>
      <c r="X8867" s="8" t="n"/>
      <c r="Y8867" s="8" t="n"/>
    </row>
    <row r="8868">
      <c r="A8868" s="8" t="n"/>
      <c r="B8868" s="8" t="n"/>
      <c r="C8868" s="8" t="n"/>
      <c r="D8868" s="8" t="n"/>
      <c r="E8868" s="8" t="n"/>
      <c r="F8868" s="8" t="n"/>
      <c r="G8868" s="8" t="n"/>
      <c r="H8868" s="8" t="n"/>
      <c r="I8868" s="8" t="n"/>
      <c r="J8868" s="8" t="n"/>
      <c r="K8868" s="8" t="n"/>
      <c r="L8868" s="8" t="n"/>
      <c r="M8868" s="9">
        <f>B8868+30</f>
        <v/>
      </c>
      <c r="N8868">
        <f>IF(L8868="", "", L8868-B8868)</f>
        <v/>
      </c>
      <c r="O8868">
        <f>IF(L8868="", "Pending", IF(N8868&lt;=30, "Met", "Breached"))</f>
        <v/>
      </c>
      <c r="P8868" s="8" t="n"/>
      <c r="Q8868" s="8" t="n"/>
      <c r="R8868" s="8" t="n"/>
      <c r="S8868" s="8" t="n"/>
      <c r="T8868" s="8" t="n"/>
      <c r="U8868" s="8" t="n"/>
      <c r="V8868" s="8" t="n"/>
      <c r="W8868" s="8" t="n"/>
      <c r="X8868" s="8" t="n"/>
      <c r="Y8868" s="8" t="n"/>
    </row>
    <row r="8869">
      <c r="A8869" s="8" t="n"/>
      <c r="B8869" s="8" t="n"/>
      <c r="C8869" s="8" t="n"/>
      <c r="D8869" s="8" t="n"/>
      <c r="E8869" s="8" t="n"/>
      <c r="F8869" s="8" t="n"/>
      <c r="G8869" s="8" t="n"/>
      <c r="H8869" s="8" t="n"/>
      <c r="I8869" s="8" t="n"/>
      <c r="J8869" s="8" t="n"/>
      <c r="K8869" s="8" t="n"/>
      <c r="L8869" s="8" t="n"/>
      <c r="M8869" s="9">
        <f>B8869+30</f>
        <v/>
      </c>
      <c r="N8869">
        <f>IF(L8869="", "", L8869-B8869)</f>
        <v/>
      </c>
      <c r="O8869">
        <f>IF(L8869="", "Pending", IF(N8869&lt;=30, "Met", "Breached"))</f>
        <v/>
      </c>
      <c r="P8869" s="8" t="n"/>
      <c r="Q8869" s="8" t="n"/>
      <c r="R8869" s="8" t="n"/>
      <c r="S8869" s="8" t="n"/>
      <c r="T8869" s="8" t="n"/>
      <c r="U8869" s="8" t="n"/>
      <c r="V8869" s="8" t="n"/>
      <c r="W8869" s="8" t="n"/>
      <c r="X8869" s="8" t="n"/>
      <c r="Y8869" s="8" t="n"/>
    </row>
    <row r="8870">
      <c r="A8870" s="8" t="n"/>
      <c r="B8870" s="8" t="n"/>
      <c r="C8870" s="8" t="n"/>
      <c r="D8870" s="8" t="n"/>
      <c r="E8870" s="8" t="n"/>
      <c r="F8870" s="8" t="n"/>
      <c r="G8870" s="8" t="n"/>
      <c r="H8870" s="8" t="n"/>
      <c r="I8870" s="8" t="n"/>
      <c r="J8870" s="8" t="n"/>
      <c r="K8870" s="8" t="n"/>
      <c r="L8870" s="8" t="n"/>
      <c r="M8870" s="9">
        <f>B8870+30</f>
        <v/>
      </c>
      <c r="N8870">
        <f>IF(L8870="", "", L8870-B8870)</f>
        <v/>
      </c>
      <c r="O8870">
        <f>IF(L8870="", "Pending", IF(N8870&lt;=30, "Met", "Breached"))</f>
        <v/>
      </c>
      <c r="P8870" s="8" t="n"/>
      <c r="Q8870" s="8" t="n"/>
      <c r="R8870" s="8" t="n"/>
      <c r="S8870" s="8" t="n"/>
      <c r="T8870" s="8" t="n"/>
      <c r="U8870" s="8" t="n"/>
      <c r="V8870" s="8" t="n"/>
      <c r="W8870" s="8" t="n"/>
      <c r="X8870" s="8" t="n"/>
      <c r="Y8870" s="8" t="n"/>
    </row>
    <row r="8871">
      <c r="A8871" s="8" t="n"/>
      <c r="B8871" s="8" t="n"/>
      <c r="C8871" s="8" t="n"/>
      <c r="D8871" s="8" t="n"/>
      <c r="E8871" s="8" t="n"/>
      <c r="F8871" s="8" t="n"/>
      <c r="G8871" s="8" t="n"/>
      <c r="H8871" s="8" t="n"/>
      <c r="I8871" s="8" t="n"/>
      <c r="J8871" s="8" t="n"/>
      <c r="K8871" s="8" t="n"/>
      <c r="L8871" s="8" t="n"/>
      <c r="M8871" s="9">
        <f>B8871+30</f>
        <v/>
      </c>
      <c r="N8871">
        <f>IF(L8871="", "", L8871-B8871)</f>
        <v/>
      </c>
      <c r="O8871">
        <f>IF(L8871="", "Pending", IF(N8871&lt;=30, "Met", "Breached"))</f>
        <v/>
      </c>
      <c r="P8871" s="8" t="n"/>
      <c r="Q8871" s="8" t="n"/>
      <c r="R8871" s="8" t="n"/>
      <c r="S8871" s="8" t="n"/>
      <c r="T8871" s="8" t="n"/>
      <c r="U8871" s="8" t="n"/>
      <c r="V8871" s="8" t="n"/>
      <c r="W8871" s="8" t="n"/>
      <c r="X8871" s="8" t="n"/>
      <c r="Y8871" s="8" t="n"/>
    </row>
    <row r="8872">
      <c r="A8872" s="8" t="n"/>
      <c r="B8872" s="8" t="n"/>
      <c r="C8872" s="8" t="n"/>
      <c r="D8872" s="8" t="n"/>
      <c r="E8872" s="8" t="n"/>
      <c r="F8872" s="8" t="n"/>
      <c r="G8872" s="8" t="n"/>
      <c r="H8872" s="8" t="n"/>
      <c r="I8872" s="8" t="n"/>
      <c r="J8872" s="8" t="n"/>
      <c r="K8872" s="8" t="n"/>
      <c r="L8872" s="8" t="n"/>
      <c r="M8872" s="9">
        <f>B8872+30</f>
        <v/>
      </c>
      <c r="N8872">
        <f>IF(L8872="", "", L8872-B8872)</f>
        <v/>
      </c>
      <c r="O8872">
        <f>IF(L8872="", "Pending", IF(N8872&lt;=30, "Met", "Breached"))</f>
        <v/>
      </c>
      <c r="P8872" s="8" t="n"/>
      <c r="Q8872" s="8" t="n"/>
      <c r="R8872" s="8" t="n"/>
      <c r="S8872" s="8" t="n"/>
      <c r="T8872" s="8" t="n"/>
      <c r="U8872" s="8" t="n"/>
      <c r="V8872" s="8" t="n"/>
      <c r="W8872" s="8" t="n"/>
      <c r="X8872" s="8" t="n"/>
      <c r="Y8872" s="8" t="n"/>
    </row>
    <row r="8873">
      <c r="A8873" s="8" t="n"/>
      <c r="B8873" s="8" t="n"/>
      <c r="C8873" s="8" t="n"/>
      <c r="D8873" s="8" t="n"/>
      <c r="E8873" s="8" t="n"/>
      <c r="F8873" s="8" t="n"/>
      <c r="G8873" s="8" t="n"/>
      <c r="H8873" s="8" t="n"/>
      <c r="I8873" s="8" t="n"/>
      <c r="J8873" s="8" t="n"/>
      <c r="K8873" s="8" t="n"/>
      <c r="L8873" s="8" t="n"/>
      <c r="M8873" s="9">
        <f>B8873+30</f>
        <v/>
      </c>
      <c r="N8873">
        <f>IF(L8873="", "", L8873-B8873)</f>
        <v/>
      </c>
      <c r="O8873">
        <f>IF(L8873="", "Pending", IF(N8873&lt;=30, "Met", "Breached"))</f>
        <v/>
      </c>
      <c r="P8873" s="8" t="n"/>
      <c r="Q8873" s="8" t="n"/>
      <c r="R8873" s="8" t="n"/>
      <c r="S8873" s="8" t="n"/>
      <c r="T8873" s="8" t="n"/>
      <c r="U8873" s="8" t="n"/>
      <c r="V8873" s="8" t="n"/>
      <c r="W8873" s="8" t="n"/>
      <c r="X8873" s="8" t="n"/>
      <c r="Y8873" s="8" t="n"/>
    </row>
    <row r="8874">
      <c r="A8874" s="8" t="n"/>
      <c r="B8874" s="8" t="n"/>
      <c r="C8874" s="8" t="n"/>
      <c r="D8874" s="8" t="n"/>
      <c r="E8874" s="8" t="n"/>
      <c r="F8874" s="8" t="n"/>
      <c r="G8874" s="8" t="n"/>
      <c r="H8874" s="8" t="n"/>
      <c r="I8874" s="8" t="n"/>
      <c r="J8874" s="8" t="n"/>
      <c r="K8874" s="8" t="n"/>
      <c r="L8874" s="8" t="n"/>
      <c r="M8874" s="9">
        <f>B8874+30</f>
        <v/>
      </c>
      <c r="N8874">
        <f>IF(L8874="", "", L8874-B8874)</f>
        <v/>
      </c>
      <c r="O8874">
        <f>IF(L8874="", "Pending", IF(N8874&lt;=30, "Met", "Breached"))</f>
        <v/>
      </c>
      <c r="P8874" s="8" t="n"/>
      <c r="Q8874" s="8" t="n"/>
      <c r="R8874" s="8" t="n"/>
      <c r="S8874" s="8" t="n"/>
      <c r="T8874" s="8" t="n"/>
      <c r="U8874" s="8" t="n"/>
      <c r="V8874" s="8" t="n"/>
      <c r="W8874" s="8" t="n"/>
      <c r="X8874" s="8" t="n"/>
      <c r="Y8874" s="8" t="n"/>
    </row>
    <row r="8875">
      <c r="A8875" s="8" t="n"/>
      <c r="B8875" s="8" t="n"/>
      <c r="C8875" s="8" t="n"/>
      <c r="D8875" s="8" t="n"/>
      <c r="E8875" s="8" t="n"/>
      <c r="F8875" s="8" t="n"/>
      <c r="G8875" s="8" t="n"/>
      <c r="H8875" s="8" t="n"/>
      <c r="I8875" s="8" t="n"/>
      <c r="J8875" s="8" t="n"/>
      <c r="K8875" s="8" t="n"/>
      <c r="L8875" s="8" t="n"/>
      <c r="M8875" s="9">
        <f>B8875+30</f>
        <v/>
      </c>
      <c r="N8875">
        <f>IF(L8875="", "", L8875-B8875)</f>
        <v/>
      </c>
      <c r="O8875">
        <f>IF(L8875="", "Pending", IF(N8875&lt;=30, "Met", "Breached"))</f>
        <v/>
      </c>
      <c r="P8875" s="8" t="n"/>
      <c r="Q8875" s="8" t="n"/>
      <c r="R8875" s="8" t="n"/>
      <c r="S8875" s="8" t="n"/>
      <c r="T8875" s="8" t="n"/>
      <c r="U8875" s="8" t="n"/>
      <c r="V8875" s="8" t="n"/>
      <c r="W8875" s="8" t="n"/>
      <c r="X8875" s="8" t="n"/>
      <c r="Y8875" s="8" t="n"/>
    </row>
    <row r="8876">
      <c r="A8876" s="8" t="n"/>
      <c r="B8876" s="8" t="n"/>
      <c r="C8876" s="8" t="n"/>
      <c r="D8876" s="8" t="n"/>
      <c r="E8876" s="8" t="n"/>
      <c r="F8876" s="8" t="n"/>
      <c r="G8876" s="8" t="n"/>
      <c r="H8876" s="8" t="n"/>
      <c r="I8876" s="8" t="n"/>
      <c r="J8876" s="8" t="n"/>
      <c r="K8876" s="8" t="n"/>
      <c r="L8876" s="8" t="n"/>
      <c r="M8876" s="9">
        <f>B8876+30</f>
        <v/>
      </c>
      <c r="N8876">
        <f>IF(L8876="", "", L8876-B8876)</f>
        <v/>
      </c>
      <c r="O8876">
        <f>IF(L8876="", "Pending", IF(N8876&lt;=30, "Met", "Breached"))</f>
        <v/>
      </c>
      <c r="P8876" s="8" t="n"/>
      <c r="Q8876" s="8" t="n"/>
      <c r="R8876" s="8" t="n"/>
      <c r="S8876" s="8" t="n"/>
      <c r="T8876" s="8" t="n"/>
      <c r="U8876" s="8" t="n"/>
      <c r="V8876" s="8" t="n"/>
      <c r="W8876" s="8" t="n"/>
      <c r="X8876" s="8" t="n"/>
      <c r="Y8876" s="8" t="n"/>
    </row>
    <row r="8877">
      <c r="A8877" s="8" t="n"/>
      <c r="B8877" s="8" t="n"/>
      <c r="C8877" s="8" t="n"/>
      <c r="D8877" s="8" t="n"/>
      <c r="E8877" s="8" t="n"/>
      <c r="F8877" s="8" t="n"/>
      <c r="G8877" s="8" t="n"/>
      <c r="H8877" s="8" t="n"/>
      <c r="I8877" s="8" t="n"/>
      <c r="J8877" s="8" t="n"/>
      <c r="K8877" s="8" t="n"/>
      <c r="L8877" s="8" t="n"/>
      <c r="M8877" s="9">
        <f>B8877+30</f>
        <v/>
      </c>
      <c r="N8877">
        <f>IF(L8877="", "", L8877-B8877)</f>
        <v/>
      </c>
      <c r="O8877">
        <f>IF(L8877="", "Pending", IF(N8877&lt;=30, "Met", "Breached"))</f>
        <v/>
      </c>
      <c r="P8877" s="8" t="n"/>
      <c r="Q8877" s="8" t="n"/>
      <c r="R8877" s="8" t="n"/>
      <c r="S8877" s="8" t="n"/>
      <c r="T8877" s="8" t="n"/>
      <c r="U8877" s="8" t="n"/>
      <c r="V8877" s="8" t="n"/>
      <c r="W8877" s="8" t="n"/>
      <c r="X8877" s="8" t="n"/>
      <c r="Y8877" s="8" t="n"/>
    </row>
    <row r="8878">
      <c r="A8878" s="8" t="n"/>
      <c r="B8878" s="8" t="n"/>
      <c r="C8878" s="8" t="n"/>
      <c r="D8878" s="8" t="n"/>
      <c r="E8878" s="8" t="n"/>
      <c r="F8878" s="8" t="n"/>
      <c r="G8878" s="8" t="n"/>
      <c r="H8878" s="8" t="n"/>
      <c r="I8878" s="8" t="n"/>
      <c r="J8878" s="8" t="n"/>
      <c r="K8878" s="8" t="n"/>
      <c r="L8878" s="8" t="n"/>
      <c r="M8878" s="9">
        <f>B8878+30</f>
        <v/>
      </c>
      <c r="N8878">
        <f>IF(L8878="", "", L8878-B8878)</f>
        <v/>
      </c>
      <c r="O8878">
        <f>IF(L8878="", "Pending", IF(N8878&lt;=30, "Met", "Breached"))</f>
        <v/>
      </c>
      <c r="P8878" s="8" t="n"/>
      <c r="Q8878" s="8" t="n"/>
      <c r="R8878" s="8" t="n"/>
      <c r="S8878" s="8" t="n"/>
      <c r="T8878" s="8" t="n"/>
      <c r="U8878" s="8" t="n"/>
      <c r="V8878" s="8" t="n"/>
      <c r="W8878" s="8" t="n"/>
      <c r="X8878" s="8" t="n"/>
      <c r="Y8878" s="8" t="n"/>
    </row>
    <row r="8879">
      <c r="A8879" s="8" t="n"/>
      <c r="B8879" s="8" t="n"/>
      <c r="C8879" s="8" t="n"/>
      <c r="D8879" s="8" t="n"/>
      <c r="E8879" s="8" t="n"/>
      <c r="F8879" s="8" t="n"/>
      <c r="G8879" s="8" t="n"/>
      <c r="H8879" s="8" t="n"/>
      <c r="I8879" s="8" t="n"/>
      <c r="J8879" s="8" t="n"/>
      <c r="K8879" s="8" t="n"/>
      <c r="L8879" s="8" t="n"/>
      <c r="M8879" s="9">
        <f>B8879+30</f>
        <v/>
      </c>
      <c r="N8879">
        <f>IF(L8879="", "", L8879-B8879)</f>
        <v/>
      </c>
      <c r="O8879">
        <f>IF(L8879="", "Pending", IF(N8879&lt;=30, "Met", "Breached"))</f>
        <v/>
      </c>
      <c r="P8879" s="8" t="n"/>
      <c r="Q8879" s="8" t="n"/>
      <c r="R8879" s="8" t="n"/>
      <c r="S8879" s="8" t="n"/>
      <c r="T8879" s="8" t="n"/>
      <c r="U8879" s="8" t="n"/>
      <c r="V8879" s="8" t="n"/>
      <c r="W8879" s="8" t="n"/>
      <c r="X8879" s="8" t="n"/>
      <c r="Y8879" s="8" t="n"/>
    </row>
    <row r="8880">
      <c r="A8880" s="8" t="n"/>
      <c r="B8880" s="8" t="n"/>
      <c r="C8880" s="8" t="n"/>
      <c r="D8880" s="8" t="n"/>
      <c r="E8880" s="8" t="n"/>
      <c r="F8880" s="8" t="n"/>
      <c r="G8880" s="8" t="n"/>
      <c r="H8880" s="8" t="n"/>
      <c r="I8880" s="8" t="n"/>
      <c r="J8880" s="8" t="n"/>
      <c r="K8880" s="8" t="n"/>
      <c r="L8880" s="8" t="n"/>
      <c r="M8880" s="9">
        <f>B8880+30</f>
        <v/>
      </c>
      <c r="N8880">
        <f>IF(L8880="", "", L8880-B8880)</f>
        <v/>
      </c>
      <c r="O8880">
        <f>IF(L8880="", "Pending", IF(N8880&lt;=30, "Met", "Breached"))</f>
        <v/>
      </c>
      <c r="P8880" s="8" t="n"/>
      <c r="Q8880" s="8" t="n"/>
      <c r="R8880" s="8" t="n"/>
      <c r="S8880" s="8" t="n"/>
      <c r="T8880" s="8" t="n"/>
      <c r="U8880" s="8" t="n"/>
      <c r="V8880" s="8" t="n"/>
      <c r="W8880" s="8" t="n"/>
      <c r="X8880" s="8" t="n"/>
      <c r="Y8880" s="8" t="n"/>
    </row>
    <row r="8881">
      <c r="A8881" s="8" t="n"/>
      <c r="B8881" s="8" t="n"/>
      <c r="C8881" s="8" t="n"/>
      <c r="D8881" s="8" t="n"/>
      <c r="E8881" s="8" t="n"/>
      <c r="F8881" s="8" t="n"/>
      <c r="G8881" s="8" t="n"/>
      <c r="H8881" s="8" t="n"/>
      <c r="I8881" s="8" t="n"/>
      <c r="J8881" s="8" t="n"/>
      <c r="K8881" s="8" t="n"/>
      <c r="L8881" s="8" t="n"/>
      <c r="M8881" s="9">
        <f>B8881+30</f>
        <v/>
      </c>
      <c r="N8881">
        <f>IF(L8881="", "", L8881-B8881)</f>
        <v/>
      </c>
      <c r="O8881">
        <f>IF(L8881="", "Pending", IF(N8881&lt;=30, "Met", "Breached"))</f>
        <v/>
      </c>
      <c r="P8881" s="8" t="n"/>
      <c r="Q8881" s="8" t="n"/>
      <c r="R8881" s="8" t="n"/>
      <c r="S8881" s="8" t="n"/>
      <c r="T8881" s="8" t="n"/>
      <c r="U8881" s="8" t="n"/>
      <c r="V8881" s="8" t="n"/>
      <c r="W8881" s="8" t="n"/>
      <c r="X8881" s="8" t="n"/>
      <c r="Y8881" s="8" t="n"/>
    </row>
    <row r="8882">
      <c r="A8882" s="8" t="n"/>
      <c r="B8882" s="8" t="n"/>
      <c r="C8882" s="8" t="n"/>
      <c r="D8882" s="8" t="n"/>
      <c r="E8882" s="8" t="n"/>
      <c r="F8882" s="8" t="n"/>
      <c r="G8882" s="8" t="n"/>
      <c r="H8882" s="8" t="n"/>
      <c r="I8882" s="8" t="n"/>
      <c r="J8882" s="8" t="n"/>
      <c r="K8882" s="8" t="n"/>
      <c r="L8882" s="8" t="n"/>
      <c r="M8882" s="9">
        <f>B8882+30</f>
        <v/>
      </c>
      <c r="N8882">
        <f>IF(L8882="", "", L8882-B8882)</f>
        <v/>
      </c>
      <c r="O8882">
        <f>IF(L8882="", "Pending", IF(N8882&lt;=30, "Met", "Breached"))</f>
        <v/>
      </c>
      <c r="P8882" s="8" t="n"/>
      <c r="Q8882" s="8" t="n"/>
      <c r="R8882" s="8" t="n"/>
      <c r="S8882" s="8" t="n"/>
      <c r="T8882" s="8" t="n"/>
      <c r="U8882" s="8" t="n"/>
      <c r="V8882" s="8" t="n"/>
      <c r="W8882" s="8" t="n"/>
      <c r="X8882" s="8" t="n"/>
      <c r="Y8882" s="8" t="n"/>
    </row>
    <row r="8883">
      <c r="A8883" s="8" t="n"/>
      <c r="B8883" s="8" t="n"/>
      <c r="C8883" s="8" t="n"/>
      <c r="D8883" s="8" t="n"/>
      <c r="E8883" s="8" t="n"/>
      <c r="F8883" s="8" t="n"/>
      <c r="G8883" s="8" t="n"/>
      <c r="H8883" s="8" t="n"/>
      <c r="I8883" s="8" t="n"/>
      <c r="J8883" s="8" t="n"/>
      <c r="K8883" s="8" t="n"/>
      <c r="L8883" s="8" t="n"/>
      <c r="M8883" s="9">
        <f>B8883+30</f>
        <v/>
      </c>
      <c r="N8883">
        <f>IF(L8883="", "", L8883-B8883)</f>
        <v/>
      </c>
      <c r="O8883">
        <f>IF(L8883="", "Pending", IF(N8883&lt;=30, "Met", "Breached"))</f>
        <v/>
      </c>
      <c r="P8883" s="8" t="n"/>
      <c r="Q8883" s="8" t="n"/>
      <c r="R8883" s="8" t="n"/>
      <c r="S8883" s="8" t="n"/>
      <c r="T8883" s="8" t="n"/>
      <c r="U8883" s="8" t="n"/>
      <c r="V8883" s="8" t="n"/>
      <c r="W8883" s="8" t="n"/>
      <c r="X8883" s="8" t="n"/>
      <c r="Y8883" s="8" t="n"/>
    </row>
    <row r="8884">
      <c r="A8884" s="8" t="n"/>
      <c r="B8884" s="8" t="n"/>
      <c r="C8884" s="8" t="n"/>
      <c r="D8884" s="8" t="n"/>
      <c r="E8884" s="8" t="n"/>
      <c r="F8884" s="8" t="n"/>
      <c r="G8884" s="8" t="n"/>
      <c r="H8884" s="8" t="n"/>
      <c r="I8884" s="8" t="n"/>
      <c r="J8884" s="8" t="n"/>
      <c r="K8884" s="8" t="n"/>
      <c r="L8884" s="8" t="n"/>
      <c r="M8884" s="9">
        <f>B8884+30</f>
        <v/>
      </c>
      <c r="N8884">
        <f>IF(L8884="", "", L8884-B8884)</f>
        <v/>
      </c>
      <c r="O8884">
        <f>IF(L8884="", "Pending", IF(N8884&lt;=30, "Met", "Breached"))</f>
        <v/>
      </c>
      <c r="P8884" s="8" t="n"/>
      <c r="Q8884" s="8" t="n"/>
      <c r="R8884" s="8" t="n"/>
      <c r="S8884" s="8" t="n"/>
      <c r="T8884" s="8" t="n"/>
      <c r="U8884" s="8" t="n"/>
      <c r="V8884" s="8" t="n"/>
      <c r="W8884" s="8" t="n"/>
      <c r="X8884" s="8" t="n"/>
      <c r="Y8884" s="8" t="n"/>
    </row>
    <row r="8885">
      <c r="A8885" s="8" t="n"/>
      <c r="B8885" s="8" t="n"/>
      <c r="C8885" s="8" t="n"/>
      <c r="D8885" s="8" t="n"/>
      <c r="E8885" s="8" t="n"/>
      <c r="F8885" s="8" t="n"/>
      <c r="G8885" s="8" t="n"/>
      <c r="H8885" s="8" t="n"/>
      <c r="I8885" s="8" t="n"/>
      <c r="J8885" s="8" t="n"/>
      <c r="K8885" s="8" t="n"/>
      <c r="L8885" s="8" t="n"/>
      <c r="M8885" s="9">
        <f>B8885+30</f>
        <v/>
      </c>
      <c r="N8885">
        <f>IF(L8885="", "", L8885-B8885)</f>
        <v/>
      </c>
      <c r="O8885">
        <f>IF(L8885="", "Pending", IF(N8885&lt;=30, "Met", "Breached"))</f>
        <v/>
      </c>
      <c r="P8885" s="8" t="n"/>
      <c r="Q8885" s="8" t="n"/>
      <c r="R8885" s="8" t="n"/>
      <c r="S8885" s="8" t="n"/>
      <c r="T8885" s="8" t="n"/>
      <c r="U8885" s="8" t="n"/>
      <c r="V8885" s="8" t="n"/>
      <c r="W8885" s="8" t="n"/>
      <c r="X8885" s="8" t="n"/>
      <c r="Y8885" s="8" t="n"/>
    </row>
    <row r="8886">
      <c r="A8886" s="8" t="n"/>
      <c r="B8886" s="8" t="n"/>
      <c r="C8886" s="8" t="n"/>
      <c r="D8886" s="8" t="n"/>
      <c r="E8886" s="8" t="n"/>
      <c r="F8886" s="8" t="n"/>
      <c r="G8886" s="8" t="n"/>
      <c r="H8886" s="8" t="n"/>
      <c r="I8886" s="8" t="n"/>
      <c r="J8886" s="8" t="n"/>
      <c r="K8886" s="8" t="n"/>
      <c r="L8886" s="8" t="n"/>
      <c r="M8886" s="9">
        <f>B8886+30</f>
        <v/>
      </c>
      <c r="N8886">
        <f>IF(L8886="", "", L8886-B8886)</f>
        <v/>
      </c>
      <c r="O8886">
        <f>IF(L8886="", "Pending", IF(N8886&lt;=30, "Met", "Breached"))</f>
        <v/>
      </c>
      <c r="P8886" s="8" t="n"/>
      <c r="Q8886" s="8" t="n"/>
      <c r="R8886" s="8" t="n"/>
      <c r="S8886" s="8" t="n"/>
      <c r="T8886" s="8" t="n"/>
      <c r="U8886" s="8" t="n"/>
      <c r="V8886" s="8" t="n"/>
      <c r="W8886" s="8" t="n"/>
      <c r="X8886" s="8" t="n"/>
      <c r="Y8886" s="8" t="n"/>
    </row>
    <row r="8887">
      <c r="A8887" s="8" t="n"/>
      <c r="B8887" s="8" t="n"/>
      <c r="C8887" s="8" t="n"/>
      <c r="D8887" s="8" t="n"/>
      <c r="E8887" s="8" t="n"/>
      <c r="F8887" s="8" t="n"/>
      <c r="G8887" s="8" t="n"/>
      <c r="H8887" s="8" t="n"/>
      <c r="I8887" s="8" t="n"/>
      <c r="J8887" s="8" t="n"/>
      <c r="K8887" s="8" t="n"/>
      <c r="L8887" s="8" t="n"/>
      <c r="M8887" s="9">
        <f>B8887+30</f>
        <v/>
      </c>
      <c r="N8887">
        <f>IF(L8887="", "", L8887-B8887)</f>
        <v/>
      </c>
      <c r="O8887">
        <f>IF(L8887="", "Pending", IF(N8887&lt;=30, "Met", "Breached"))</f>
        <v/>
      </c>
      <c r="P8887" s="8" t="n"/>
      <c r="Q8887" s="8" t="n"/>
      <c r="R8887" s="8" t="n"/>
      <c r="S8887" s="8" t="n"/>
      <c r="T8887" s="8" t="n"/>
      <c r="U8887" s="8" t="n"/>
      <c r="V8887" s="8" t="n"/>
      <c r="W8887" s="8" t="n"/>
      <c r="X8887" s="8" t="n"/>
      <c r="Y8887" s="8" t="n"/>
    </row>
    <row r="8888">
      <c r="A8888" s="8" t="n"/>
      <c r="B8888" s="8" t="n"/>
      <c r="C8888" s="8" t="n"/>
      <c r="D8888" s="8" t="n"/>
      <c r="E8888" s="8" t="n"/>
      <c r="F8888" s="8" t="n"/>
      <c r="G8888" s="8" t="n"/>
      <c r="H8888" s="8" t="n"/>
      <c r="I8888" s="8" t="n"/>
      <c r="J8888" s="8" t="n"/>
      <c r="K8888" s="8" t="n"/>
      <c r="L8888" s="8" t="n"/>
      <c r="M8888" s="9">
        <f>B8888+30</f>
        <v/>
      </c>
      <c r="N8888">
        <f>IF(L8888="", "", L8888-B8888)</f>
        <v/>
      </c>
      <c r="O8888">
        <f>IF(L8888="", "Pending", IF(N8888&lt;=30, "Met", "Breached"))</f>
        <v/>
      </c>
      <c r="P8888" s="8" t="n"/>
      <c r="Q8888" s="8" t="n"/>
      <c r="R8888" s="8" t="n"/>
      <c r="S8888" s="8" t="n"/>
      <c r="T8888" s="8" t="n"/>
      <c r="U8888" s="8" t="n"/>
      <c r="V8888" s="8" t="n"/>
      <c r="W8888" s="8" t="n"/>
      <c r="X8888" s="8" t="n"/>
      <c r="Y8888" s="8" t="n"/>
    </row>
    <row r="8889">
      <c r="A8889" s="8" t="n"/>
      <c r="B8889" s="8" t="n"/>
      <c r="C8889" s="8" t="n"/>
      <c r="D8889" s="8" t="n"/>
      <c r="E8889" s="8" t="n"/>
      <c r="F8889" s="8" t="n"/>
      <c r="G8889" s="8" t="n"/>
      <c r="H8889" s="8" t="n"/>
      <c r="I8889" s="8" t="n"/>
      <c r="J8889" s="8" t="n"/>
      <c r="K8889" s="8" t="n"/>
      <c r="L8889" s="8" t="n"/>
      <c r="M8889" s="9">
        <f>B8889+30</f>
        <v/>
      </c>
      <c r="N8889">
        <f>IF(L8889="", "", L8889-B8889)</f>
        <v/>
      </c>
      <c r="O8889">
        <f>IF(L8889="", "Pending", IF(N8889&lt;=30, "Met", "Breached"))</f>
        <v/>
      </c>
      <c r="P8889" s="8" t="n"/>
      <c r="Q8889" s="8" t="n"/>
      <c r="R8889" s="8" t="n"/>
      <c r="S8889" s="8" t="n"/>
      <c r="T8889" s="8" t="n"/>
      <c r="U8889" s="8" t="n"/>
      <c r="V8889" s="8" t="n"/>
      <c r="W8889" s="8" t="n"/>
      <c r="X8889" s="8" t="n"/>
      <c r="Y8889" s="8" t="n"/>
    </row>
    <row r="8890">
      <c r="A8890" s="8" t="n"/>
      <c r="B8890" s="8" t="n"/>
      <c r="C8890" s="8" t="n"/>
      <c r="D8890" s="8" t="n"/>
      <c r="E8890" s="8" t="n"/>
      <c r="F8890" s="8" t="n"/>
      <c r="G8890" s="8" t="n"/>
      <c r="H8890" s="8" t="n"/>
      <c r="I8890" s="8" t="n"/>
      <c r="J8890" s="8" t="n"/>
      <c r="K8890" s="8" t="n"/>
      <c r="L8890" s="8" t="n"/>
      <c r="M8890" s="9">
        <f>B8890+30</f>
        <v/>
      </c>
      <c r="N8890">
        <f>IF(L8890="", "", L8890-B8890)</f>
        <v/>
      </c>
      <c r="O8890">
        <f>IF(L8890="", "Pending", IF(N8890&lt;=30, "Met", "Breached"))</f>
        <v/>
      </c>
      <c r="P8890" s="8" t="n"/>
      <c r="Q8890" s="8" t="n"/>
      <c r="R8890" s="8" t="n"/>
      <c r="S8890" s="8" t="n"/>
      <c r="T8890" s="8" t="n"/>
      <c r="U8890" s="8" t="n"/>
      <c r="V8890" s="8" t="n"/>
      <c r="W8890" s="8" t="n"/>
      <c r="X8890" s="8" t="n"/>
      <c r="Y8890" s="8" t="n"/>
    </row>
    <row r="8891">
      <c r="A8891" s="8" t="n"/>
      <c r="B8891" s="8" t="n"/>
      <c r="C8891" s="8" t="n"/>
      <c r="D8891" s="8" t="n"/>
      <c r="E8891" s="8" t="n"/>
      <c r="F8891" s="8" t="n"/>
      <c r="G8891" s="8" t="n"/>
      <c r="H8891" s="8" t="n"/>
      <c r="I8891" s="8" t="n"/>
      <c r="J8891" s="8" t="n"/>
      <c r="K8891" s="8" t="n"/>
      <c r="L8891" s="8" t="n"/>
      <c r="M8891" s="9">
        <f>B8891+30</f>
        <v/>
      </c>
      <c r="N8891">
        <f>IF(L8891="", "", L8891-B8891)</f>
        <v/>
      </c>
      <c r="O8891">
        <f>IF(L8891="", "Pending", IF(N8891&lt;=30, "Met", "Breached"))</f>
        <v/>
      </c>
      <c r="P8891" s="8" t="n"/>
      <c r="Q8891" s="8" t="n"/>
      <c r="R8891" s="8" t="n"/>
      <c r="S8891" s="8" t="n"/>
      <c r="T8891" s="8" t="n"/>
      <c r="U8891" s="8" t="n"/>
      <c r="V8891" s="8" t="n"/>
      <c r="W8891" s="8" t="n"/>
      <c r="X8891" s="8" t="n"/>
      <c r="Y8891" s="8" t="n"/>
    </row>
    <row r="8892">
      <c r="A8892" s="8" t="n"/>
      <c r="B8892" s="8" t="n"/>
      <c r="C8892" s="8" t="n"/>
      <c r="D8892" s="8" t="n"/>
      <c r="E8892" s="8" t="n"/>
      <c r="F8892" s="8" t="n"/>
      <c r="G8892" s="8" t="n"/>
      <c r="H8892" s="8" t="n"/>
      <c r="I8892" s="8" t="n"/>
      <c r="J8892" s="8" t="n"/>
      <c r="K8892" s="8" t="n"/>
      <c r="L8892" s="8" t="n"/>
      <c r="M8892" s="9">
        <f>B8892+30</f>
        <v/>
      </c>
      <c r="N8892">
        <f>IF(L8892="", "", L8892-B8892)</f>
        <v/>
      </c>
      <c r="O8892">
        <f>IF(L8892="", "Pending", IF(N8892&lt;=30, "Met", "Breached"))</f>
        <v/>
      </c>
      <c r="P8892" s="8" t="n"/>
      <c r="Q8892" s="8" t="n"/>
      <c r="R8892" s="8" t="n"/>
      <c r="S8892" s="8" t="n"/>
      <c r="T8892" s="8" t="n"/>
      <c r="U8892" s="8" t="n"/>
      <c r="V8892" s="8" t="n"/>
      <c r="W8892" s="8" t="n"/>
      <c r="X8892" s="8" t="n"/>
      <c r="Y8892" s="8" t="n"/>
    </row>
    <row r="8893">
      <c r="A8893" s="8" t="n"/>
      <c r="B8893" s="8" t="n"/>
      <c r="C8893" s="8" t="n"/>
      <c r="D8893" s="8" t="n"/>
      <c r="E8893" s="8" t="n"/>
      <c r="F8893" s="8" t="n"/>
      <c r="G8893" s="8" t="n"/>
      <c r="H8893" s="8" t="n"/>
      <c r="I8893" s="8" t="n"/>
      <c r="J8893" s="8" t="n"/>
      <c r="K8893" s="8" t="n"/>
      <c r="L8893" s="8" t="n"/>
      <c r="M8893" s="9">
        <f>B8893+30</f>
        <v/>
      </c>
      <c r="N8893">
        <f>IF(L8893="", "", L8893-B8893)</f>
        <v/>
      </c>
      <c r="O8893">
        <f>IF(L8893="", "Pending", IF(N8893&lt;=30, "Met", "Breached"))</f>
        <v/>
      </c>
      <c r="P8893" s="8" t="n"/>
      <c r="Q8893" s="8" t="n"/>
      <c r="R8893" s="8" t="n"/>
      <c r="S8893" s="8" t="n"/>
      <c r="T8893" s="8" t="n"/>
      <c r="U8893" s="8" t="n"/>
      <c r="V8893" s="8" t="n"/>
      <c r="W8893" s="8" t="n"/>
      <c r="X8893" s="8" t="n"/>
      <c r="Y8893" s="8" t="n"/>
    </row>
    <row r="8894">
      <c r="A8894" s="8" t="n"/>
      <c r="B8894" s="8" t="n"/>
      <c r="C8894" s="8" t="n"/>
      <c r="D8894" s="8" t="n"/>
      <c r="E8894" s="8" t="n"/>
      <c r="F8894" s="8" t="n"/>
      <c r="G8894" s="8" t="n"/>
      <c r="H8894" s="8" t="n"/>
      <c r="I8894" s="8" t="n"/>
      <c r="J8894" s="8" t="n"/>
      <c r="K8894" s="8" t="n"/>
      <c r="L8894" s="8" t="n"/>
      <c r="M8894" s="9">
        <f>B8894+30</f>
        <v/>
      </c>
      <c r="N8894">
        <f>IF(L8894="", "", L8894-B8894)</f>
        <v/>
      </c>
      <c r="O8894">
        <f>IF(L8894="", "Pending", IF(N8894&lt;=30, "Met", "Breached"))</f>
        <v/>
      </c>
      <c r="P8894" s="8" t="n"/>
      <c r="Q8894" s="8" t="n"/>
      <c r="R8894" s="8" t="n"/>
      <c r="S8894" s="8" t="n"/>
      <c r="T8894" s="8" t="n"/>
      <c r="U8894" s="8" t="n"/>
      <c r="V8894" s="8" t="n"/>
      <c r="W8894" s="8" t="n"/>
      <c r="X8894" s="8" t="n"/>
      <c r="Y8894" s="8" t="n"/>
    </row>
    <row r="8895">
      <c r="A8895" s="8" t="n"/>
      <c r="B8895" s="8" t="n"/>
      <c r="C8895" s="8" t="n"/>
      <c r="D8895" s="8" t="n"/>
      <c r="E8895" s="8" t="n"/>
      <c r="F8895" s="8" t="n"/>
      <c r="G8895" s="8" t="n"/>
      <c r="H8895" s="8" t="n"/>
      <c r="I8895" s="8" t="n"/>
      <c r="J8895" s="8" t="n"/>
      <c r="K8895" s="8" t="n"/>
      <c r="L8895" s="8" t="n"/>
      <c r="M8895" s="9">
        <f>B8895+30</f>
        <v/>
      </c>
      <c r="N8895">
        <f>IF(L8895="", "", L8895-B8895)</f>
        <v/>
      </c>
      <c r="O8895">
        <f>IF(L8895="", "Pending", IF(N8895&lt;=30, "Met", "Breached"))</f>
        <v/>
      </c>
      <c r="P8895" s="8" t="n"/>
      <c r="Q8895" s="8" t="n"/>
      <c r="R8895" s="8" t="n"/>
      <c r="S8895" s="8" t="n"/>
      <c r="T8895" s="8" t="n"/>
      <c r="U8895" s="8" t="n"/>
      <c r="V8895" s="8" t="n"/>
      <c r="W8895" s="8" t="n"/>
      <c r="X8895" s="8" t="n"/>
      <c r="Y8895" s="8" t="n"/>
    </row>
    <row r="8896">
      <c r="A8896" s="8" t="n"/>
      <c r="B8896" s="8" t="n"/>
      <c r="C8896" s="8" t="n"/>
      <c r="D8896" s="8" t="n"/>
      <c r="E8896" s="8" t="n"/>
      <c r="F8896" s="8" t="n"/>
      <c r="G8896" s="8" t="n"/>
      <c r="H8896" s="8" t="n"/>
      <c r="I8896" s="8" t="n"/>
      <c r="J8896" s="8" t="n"/>
      <c r="K8896" s="8" t="n"/>
      <c r="L8896" s="8" t="n"/>
      <c r="M8896" s="9">
        <f>B8896+30</f>
        <v/>
      </c>
      <c r="N8896">
        <f>IF(L8896="", "", L8896-B8896)</f>
        <v/>
      </c>
      <c r="O8896">
        <f>IF(L8896="", "Pending", IF(N8896&lt;=30, "Met", "Breached"))</f>
        <v/>
      </c>
      <c r="P8896" s="8" t="n"/>
      <c r="Q8896" s="8" t="n"/>
      <c r="R8896" s="8" t="n"/>
      <c r="S8896" s="8" t="n"/>
      <c r="T8896" s="8" t="n"/>
      <c r="U8896" s="8" t="n"/>
      <c r="V8896" s="8" t="n"/>
      <c r="W8896" s="8" t="n"/>
      <c r="X8896" s="8" t="n"/>
      <c r="Y8896" s="8" t="n"/>
    </row>
    <row r="8897">
      <c r="A8897" s="8" t="n"/>
      <c r="B8897" s="8" t="n"/>
      <c r="C8897" s="8" t="n"/>
      <c r="D8897" s="8" t="n"/>
      <c r="E8897" s="8" t="n"/>
      <c r="F8897" s="8" t="n"/>
      <c r="G8897" s="8" t="n"/>
      <c r="H8897" s="8" t="n"/>
      <c r="I8897" s="8" t="n"/>
      <c r="J8897" s="8" t="n"/>
      <c r="K8897" s="8" t="n"/>
      <c r="L8897" s="8" t="n"/>
      <c r="M8897" s="9">
        <f>B8897+30</f>
        <v/>
      </c>
      <c r="N8897">
        <f>IF(L8897="", "", L8897-B8897)</f>
        <v/>
      </c>
      <c r="O8897">
        <f>IF(L8897="", "Pending", IF(N8897&lt;=30, "Met", "Breached"))</f>
        <v/>
      </c>
      <c r="P8897" s="8" t="n"/>
      <c r="Q8897" s="8" t="n"/>
      <c r="R8897" s="8" t="n"/>
      <c r="S8897" s="8" t="n"/>
      <c r="T8897" s="8" t="n"/>
      <c r="U8897" s="8" t="n"/>
      <c r="V8897" s="8" t="n"/>
      <c r="W8897" s="8" t="n"/>
      <c r="X8897" s="8" t="n"/>
      <c r="Y8897" s="8" t="n"/>
    </row>
    <row r="8898">
      <c r="A8898" s="8" t="n"/>
      <c r="B8898" s="8" t="n"/>
      <c r="C8898" s="8" t="n"/>
      <c r="D8898" s="8" t="n"/>
      <c r="E8898" s="8" t="n"/>
      <c r="F8898" s="8" t="n"/>
      <c r="G8898" s="8" t="n"/>
      <c r="H8898" s="8" t="n"/>
      <c r="I8898" s="8" t="n"/>
      <c r="J8898" s="8" t="n"/>
      <c r="K8898" s="8" t="n"/>
      <c r="L8898" s="8" t="n"/>
      <c r="M8898" s="9">
        <f>B8898+30</f>
        <v/>
      </c>
      <c r="N8898">
        <f>IF(L8898="", "", L8898-B8898)</f>
        <v/>
      </c>
      <c r="O8898">
        <f>IF(L8898="", "Pending", IF(N8898&lt;=30, "Met", "Breached"))</f>
        <v/>
      </c>
      <c r="P8898" s="8" t="n"/>
      <c r="Q8898" s="8" t="n"/>
      <c r="R8898" s="8" t="n"/>
      <c r="S8898" s="8" t="n"/>
      <c r="T8898" s="8" t="n"/>
      <c r="U8898" s="8" t="n"/>
      <c r="V8898" s="8" t="n"/>
      <c r="W8898" s="8" t="n"/>
      <c r="X8898" s="8" t="n"/>
      <c r="Y8898" s="8" t="n"/>
    </row>
    <row r="8899">
      <c r="A8899" s="8" t="n"/>
      <c r="B8899" s="8" t="n"/>
      <c r="C8899" s="8" t="n"/>
      <c r="D8899" s="8" t="n"/>
      <c r="E8899" s="8" t="n"/>
      <c r="F8899" s="8" t="n"/>
      <c r="G8899" s="8" t="n"/>
      <c r="H8899" s="8" t="n"/>
      <c r="I8899" s="8" t="n"/>
      <c r="J8899" s="8" t="n"/>
      <c r="K8899" s="8" t="n"/>
      <c r="L8899" s="8" t="n"/>
      <c r="M8899" s="9">
        <f>B8899+30</f>
        <v/>
      </c>
      <c r="N8899">
        <f>IF(L8899="", "", L8899-B8899)</f>
        <v/>
      </c>
      <c r="O8899">
        <f>IF(L8899="", "Pending", IF(N8899&lt;=30, "Met", "Breached"))</f>
        <v/>
      </c>
      <c r="P8899" s="8" t="n"/>
      <c r="Q8899" s="8" t="n"/>
      <c r="R8899" s="8" t="n"/>
      <c r="S8899" s="8" t="n"/>
      <c r="T8899" s="8" t="n"/>
      <c r="U8899" s="8" t="n"/>
      <c r="V8899" s="8" t="n"/>
      <c r="W8899" s="8" t="n"/>
      <c r="X8899" s="8" t="n"/>
      <c r="Y8899" s="8" t="n"/>
    </row>
    <row r="8900">
      <c r="A8900" s="8" t="n"/>
      <c r="B8900" s="8" t="n"/>
      <c r="C8900" s="8" t="n"/>
      <c r="D8900" s="8" t="n"/>
      <c r="E8900" s="8" t="n"/>
      <c r="F8900" s="8" t="n"/>
      <c r="G8900" s="8" t="n"/>
      <c r="H8900" s="8" t="n"/>
      <c r="I8900" s="8" t="n"/>
      <c r="J8900" s="8" t="n"/>
      <c r="K8900" s="8" t="n"/>
      <c r="L8900" s="8" t="n"/>
      <c r="M8900" s="9">
        <f>B8900+30</f>
        <v/>
      </c>
      <c r="N8900">
        <f>IF(L8900="", "", L8900-B8900)</f>
        <v/>
      </c>
      <c r="O8900">
        <f>IF(L8900="", "Pending", IF(N8900&lt;=30, "Met", "Breached"))</f>
        <v/>
      </c>
      <c r="P8900" s="8" t="n"/>
      <c r="Q8900" s="8" t="n"/>
      <c r="R8900" s="8" t="n"/>
      <c r="S8900" s="8" t="n"/>
      <c r="T8900" s="8" t="n"/>
      <c r="U8900" s="8" t="n"/>
      <c r="V8900" s="8" t="n"/>
      <c r="W8900" s="8" t="n"/>
      <c r="X8900" s="8" t="n"/>
      <c r="Y8900" s="8" t="n"/>
    </row>
    <row r="8901">
      <c r="A8901" s="8" t="n"/>
      <c r="B8901" s="8" t="n"/>
      <c r="C8901" s="8" t="n"/>
      <c r="D8901" s="8" t="n"/>
      <c r="E8901" s="8" t="n"/>
      <c r="F8901" s="8" t="n"/>
      <c r="G8901" s="8" t="n"/>
      <c r="H8901" s="8" t="n"/>
      <c r="I8901" s="8" t="n"/>
      <c r="J8901" s="8" t="n"/>
      <c r="K8901" s="8" t="n"/>
      <c r="L8901" s="8" t="n"/>
      <c r="M8901" s="9">
        <f>B8901+30</f>
        <v/>
      </c>
      <c r="N8901">
        <f>IF(L8901="", "", L8901-B8901)</f>
        <v/>
      </c>
      <c r="O8901">
        <f>IF(L8901="", "Pending", IF(N8901&lt;=30, "Met", "Breached"))</f>
        <v/>
      </c>
      <c r="P8901" s="8" t="n"/>
      <c r="Q8901" s="8" t="n"/>
      <c r="R8901" s="8" t="n"/>
      <c r="S8901" s="8" t="n"/>
      <c r="T8901" s="8" t="n"/>
      <c r="U8901" s="8" t="n"/>
      <c r="V8901" s="8" t="n"/>
      <c r="W8901" s="8" t="n"/>
      <c r="X8901" s="8" t="n"/>
      <c r="Y8901" s="8" t="n"/>
    </row>
    <row r="8902">
      <c r="A8902" s="8" t="n"/>
      <c r="B8902" s="8" t="n"/>
      <c r="C8902" s="8" t="n"/>
      <c r="D8902" s="8" t="n"/>
      <c r="E8902" s="8" t="n"/>
      <c r="F8902" s="8" t="n"/>
      <c r="G8902" s="8" t="n"/>
      <c r="H8902" s="8" t="n"/>
      <c r="I8902" s="8" t="n"/>
      <c r="J8902" s="8" t="n"/>
      <c r="K8902" s="8" t="n"/>
      <c r="L8902" s="8" t="n"/>
      <c r="M8902" s="9">
        <f>B8902+30</f>
        <v/>
      </c>
      <c r="N8902">
        <f>IF(L8902="", "", L8902-B8902)</f>
        <v/>
      </c>
      <c r="O8902">
        <f>IF(L8902="", "Pending", IF(N8902&lt;=30, "Met", "Breached"))</f>
        <v/>
      </c>
      <c r="P8902" s="8" t="n"/>
      <c r="Q8902" s="8" t="n"/>
      <c r="R8902" s="8" t="n"/>
      <c r="S8902" s="8" t="n"/>
      <c r="T8902" s="8" t="n"/>
      <c r="U8902" s="8" t="n"/>
      <c r="V8902" s="8" t="n"/>
      <c r="W8902" s="8" t="n"/>
      <c r="X8902" s="8" t="n"/>
      <c r="Y8902" s="8" t="n"/>
    </row>
    <row r="8903">
      <c r="A8903" s="8" t="n"/>
      <c r="B8903" s="8" t="n"/>
      <c r="C8903" s="8" t="n"/>
      <c r="D8903" s="8" t="n"/>
      <c r="E8903" s="8" t="n"/>
      <c r="F8903" s="8" t="n"/>
      <c r="G8903" s="8" t="n"/>
      <c r="H8903" s="8" t="n"/>
      <c r="I8903" s="8" t="n"/>
      <c r="J8903" s="8" t="n"/>
      <c r="K8903" s="8" t="n"/>
      <c r="L8903" s="8" t="n"/>
      <c r="M8903" s="9">
        <f>B8903+30</f>
        <v/>
      </c>
      <c r="N8903">
        <f>IF(L8903="", "", L8903-B8903)</f>
        <v/>
      </c>
      <c r="O8903">
        <f>IF(L8903="", "Pending", IF(N8903&lt;=30, "Met", "Breached"))</f>
        <v/>
      </c>
      <c r="P8903" s="8" t="n"/>
      <c r="Q8903" s="8" t="n"/>
      <c r="R8903" s="8" t="n"/>
      <c r="S8903" s="8" t="n"/>
      <c r="T8903" s="8" t="n"/>
      <c r="U8903" s="8" t="n"/>
      <c r="V8903" s="8" t="n"/>
      <c r="W8903" s="8" t="n"/>
      <c r="X8903" s="8" t="n"/>
      <c r="Y8903" s="8" t="n"/>
    </row>
    <row r="8904">
      <c r="A8904" s="8" t="n"/>
      <c r="B8904" s="8" t="n"/>
      <c r="C8904" s="8" t="n"/>
      <c r="D8904" s="8" t="n"/>
      <c r="E8904" s="8" t="n"/>
      <c r="F8904" s="8" t="n"/>
      <c r="G8904" s="8" t="n"/>
      <c r="H8904" s="8" t="n"/>
      <c r="I8904" s="8" t="n"/>
      <c r="J8904" s="8" t="n"/>
      <c r="K8904" s="8" t="n"/>
      <c r="L8904" s="8" t="n"/>
      <c r="M8904" s="9">
        <f>B8904+30</f>
        <v/>
      </c>
      <c r="N8904">
        <f>IF(L8904="", "", L8904-B8904)</f>
        <v/>
      </c>
      <c r="O8904">
        <f>IF(L8904="", "Pending", IF(N8904&lt;=30, "Met", "Breached"))</f>
        <v/>
      </c>
      <c r="P8904" s="8" t="n"/>
      <c r="Q8904" s="8" t="n"/>
      <c r="R8904" s="8" t="n"/>
      <c r="S8904" s="8" t="n"/>
      <c r="T8904" s="8" t="n"/>
      <c r="U8904" s="8" t="n"/>
      <c r="V8904" s="8" t="n"/>
      <c r="W8904" s="8" t="n"/>
      <c r="X8904" s="8" t="n"/>
      <c r="Y8904" s="8" t="n"/>
    </row>
    <row r="8905">
      <c r="A8905" s="8" t="n"/>
      <c r="B8905" s="8" t="n"/>
      <c r="C8905" s="8" t="n"/>
      <c r="D8905" s="8" t="n"/>
      <c r="E8905" s="8" t="n"/>
      <c r="F8905" s="8" t="n"/>
      <c r="G8905" s="8" t="n"/>
      <c r="H8905" s="8" t="n"/>
      <c r="I8905" s="8" t="n"/>
      <c r="J8905" s="8" t="n"/>
      <c r="K8905" s="8" t="n"/>
      <c r="L8905" s="8" t="n"/>
      <c r="M8905" s="9">
        <f>B8905+30</f>
        <v/>
      </c>
      <c r="N8905">
        <f>IF(L8905="", "", L8905-B8905)</f>
        <v/>
      </c>
      <c r="O8905">
        <f>IF(L8905="", "Pending", IF(N8905&lt;=30, "Met", "Breached"))</f>
        <v/>
      </c>
      <c r="P8905" s="8" t="n"/>
      <c r="Q8905" s="8" t="n"/>
      <c r="R8905" s="8" t="n"/>
      <c r="S8905" s="8" t="n"/>
      <c r="T8905" s="8" t="n"/>
      <c r="U8905" s="8" t="n"/>
      <c r="V8905" s="8" t="n"/>
      <c r="W8905" s="8" t="n"/>
      <c r="X8905" s="8" t="n"/>
      <c r="Y8905" s="8" t="n"/>
    </row>
    <row r="8906">
      <c r="A8906" s="8" t="n"/>
      <c r="B8906" s="8" t="n"/>
      <c r="C8906" s="8" t="n"/>
      <c r="D8906" s="8" t="n"/>
      <c r="E8906" s="8" t="n"/>
      <c r="F8906" s="8" t="n"/>
      <c r="G8906" s="8" t="n"/>
      <c r="H8906" s="8" t="n"/>
      <c r="I8906" s="8" t="n"/>
      <c r="J8906" s="8" t="n"/>
      <c r="K8906" s="8" t="n"/>
      <c r="L8906" s="8" t="n"/>
      <c r="M8906" s="9">
        <f>B8906+30</f>
        <v/>
      </c>
      <c r="N8906">
        <f>IF(L8906="", "", L8906-B8906)</f>
        <v/>
      </c>
      <c r="O8906">
        <f>IF(L8906="", "Pending", IF(N8906&lt;=30, "Met", "Breached"))</f>
        <v/>
      </c>
      <c r="P8906" s="8" t="n"/>
      <c r="Q8906" s="8" t="n"/>
      <c r="R8906" s="8" t="n"/>
      <c r="S8906" s="8" t="n"/>
      <c r="T8906" s="8" t="n"/>
      <c r="U8906" s="8" t="n"/>
      <c r="V8906" s="8" t="n"/>
      <c r="W8906" s="8" t="n"/>
      <c r="X8906" s="8" t="n"/>
      <c r="Y8906" s="8" t="n"/>
    </row>
    <row r="8907">
      <c r="A8907" s="8" t="n"/>
      <c r="B8907" s="8" t="n"/>
      <c r="C8907" s="8" t="n"/>
      <c r="D8907" s="8" t="n"/>
      <c r="E8907" s="8" t="n"/>
      <c r="F8907" s="8" t="n"/>
      <c r="G8907" s="8" t="n"/>
      <c r="H8907" s="8" t="n"/>
      <c r="I8907" s="8" t="n"/>
      <c r="J8907" s="8" t="n"/>
      <c r="K8907" s="8" t="n"/>
      <c r="L8907" s="8" t="n"/>
      <c r="M8907" s="9">
        <f>B8907+30</f>
        <v/>
      </c>
      <c r="N8907">
        <f>IF(L8907="", "", L8907-B8907)</f>
        <v/>
      </c>
      <c r="O8907">
        <f>IF(L8907="", "Pending", IF(N8907&lt;=30, "Met", "Breached"))</f>
        <v/>
      </c>
      <c r="P8907" s="8" t="n"/>
      <c r="Q8907" s="8" t="n"/>
      <c r="R8907" s="8" t="n"/>
      <c r="S8907" s="8" t="n"/>
      <c r="T8907" s="8" t="n"/>
      <c r="U8907" s="8" t="n"/>
      <c r="V8907" s="8" t="n"/>
      <c r="W8907" s="8" t="n"/>
      <c r="X8907" s="8" t="n"/>
      <c r="Y8907" s="8" t="n"/>
    </row>
    <row r="8908">
      <c r="A8908" s="8" t="n"/>
      <c r="B8908" s="8" t="n"/>
      <c r="C8908" s="8" t="n"/>
      <c r="D8908" s="8" t="n"/>
      <c r="E8908" s="8" t="n"/>
      <c r="F8908" s="8" t="n"/>
      <c r="G8908" s="8" t="n"/>
      <c r="H8908" s="8" t="n"/>
      <c r="I8908" s="8" t="n"/>
      <c r="J8908" s="8" t="n"/>
      <c r="K8908" s="8" t="n"/>
      <c r="L8908" s="8" t="n"/>
      <c r="M8908" s="9">
        <f>B8908+30</f>
        <v/>
      </c>
      <c r="N8908">
        <f>IF(L8908="", "", L8908-B8908)</f>
        <v/>
      </c>
      <c r="O8908">
        <f>IF(L8908="", "Pending", IF(N8908&lt;=30, "Met", "Breached"))</f>
        <v/>
      </c>
      <c r="P8908" s="8" t="n"/>
      <c r="Q8908" s="8" t="n"/>
      <c r="R8908" s="8" t="n"/>
      <c r="S8908" s="8" t="n"/>
      <c r="T8908" s="8" t="n"/>
      <c r="U8908" s="8" t="n"/>
      <c r="V8908" s="8" t="n"/>
      <c r="W8908" s="8" t="n"/>
      <c r="X8908" s="8" t="n"/>
      <c r="Y8908" s="8" t="n"/>
    </row>
    <row r="8909">
      <c r="A8909" s="8" t="n"/>
      <c r="B8909" s="8" t="n"/>
      <c r="C8909" s="8" t="n"/>
      <c r="D8909" s="8" t="n"/>
      <c r="E8909" s="8" t="n"/>
      <c r="F8909" s="8" t="n"/>
      <c r="G8909" s="8" t="n"/>
      <c r="H8909" s="8" t="n"/>
      <c r="I8909" s="8" t="n"/>
      <c r="J8909" s="8" t="n"/>
      <c r="K8909" s="8" t="n"/>
      <c r="L8909" s="8" t="n"/>
      <c r="M8909" s="9">
        <f>B8909+30</f>
        <v/>
      </c>
      <c r="N8909">
        <f>IF(L8909="", "", L8909-B8909)</f>
        <v/>
      </c>
      <c r="O8909">
        <f>IF(L8909="", "Pending", IF(N8909&lt;=30, "Met", "Breached"))</f>
        <v/>
      </c>
      <c r="P8909" s="8" t="n"/>
      <c r="Q8909" s="8" t="n"/>
      <c r="R8909" s="8" t="n"/>
      <c r="S8909" s="8" t="n"/>
      <c r="T8909" s="8" t="n"/>
      <c r="U8909" s="8" t="n"/>
      <c r="V8909" s="8" t="n"/>
      <c r="W8909" s="8" t="n"/>
      <c r="X8909" s="8" t="n"/>
      <c r="Y8909" s="8" t="n"/>
    </row>
    <row r="8910">
      <c r="A8910" s="8" t="n"/>
      <c r="B8910" s="8" t="n"/>
      <c r="C8910" s="8" t="n"/>
      <c r="D8910" s="8" t="n"/>
      <c r="E8910" s="8" t="n"/>
      <c r="F8910" s="8" t="n"/>
      <c r="G8910" s="8" t="n"/>
      <c r="H8910" s="8" t="n"/>
      <c r="I8910" s="8" t="n"/>
      <c r="J8910" s="8" t="n"/>
      <c r="K8910" s="8" t="n"/>
      <c r="L8910" s="8" t="n"/>
      <c r="M8910" s="9">
        <f>B8910+30</f>
        <v/>
      </c>
      <c r="N8910">
        <f>IF(L8910="", "", L8910-B8910)</f>
        <v/>
      </c>
      <c r="O8910">
        <f>IF(L8910="", "Pending", IF(N8910&lt;=30, "Met", "Breached"))</f>
        <v/>
      </c>
      <c r="P8910" s="8" t="n"/>
      <c r="Q8910" s="8" t="n"/>
      <c r="R8910" s="8" t="n"/>
      <c r="S8910" s="8" t="n"/>
      <c r="T8910" s="8" t="n"/>
      <c r="U8910" s="8" t="n"/>
      <c r="V8910" s="8" t="n"/>
      <c r="W8910" s="8" t="n"/>
      <c r="X8910" s="8" t="n"/>
      <c r="Y8910" s="8" t="n"/>
    </row>
    <row r="8911">
      <c r="A8911" s="8" t="n"/>
      <c r="B8911" s="8" t="n"/>
      <c r="C8911" s="8" t="n"/>
      <c r="D8911" s="8" t="n"/>
      <c r="E8911" s="8" t="n"/>
      <c r="F8911" s="8" t="n"/>
      <c r="G8911" s="8" t="n"/>
      <c r="H8911" s="8" t="n"/>
      <c r="I8911" s="8" t="n"/>
      <c r="J8911" s="8" t="n"/>
      <c r="K8911" s="8" t="n"/>
      <c r="L8911" s="8" t="n"/>
      <c r="M8911" s="9">
        <f>B8911+30</f>
        <v/>
      </c>
      <c r="N8911">
        <f>IF(L8911="", "", L8911-B8911)</f>
        <v/>
      </c>
      <c r="O8911">
        <f>IF(L8911="", "Pending", IF(N8911&lt;=30, "Met", "Breached"))</f>
        <v/>
      </c>
      <c r="P8911" s="8" t="n"/>
      <c r="Q8911" s="8" t="n"/>
      <c r="R8911" s="8" t="n"/>
      <c r="S8911" s="8" t="n"/>
      <c r="T8911" s="8" t="n"/>
      <c r="U8911" s="8" t="n"/>
      <c r="V8911" s="8" t="n"/>
      <c r="W8911" s="8" t="n"/>
      <c r="X8911" s="8" t="n"/>
      <c r="Y8911" s="8" t="n"/>
    </row>
    <row r="8912">
      <c r="A8912" s="8" t="n"/>
      <c r="B8912" s="8" t="n"/>
      <c r="C8912" s="8" t="n"/>
      <c r="D8912" s="8" t="n"/>
      <c r="E8912" s="8" t="n"/>
      <c r="F8912" s="8" t="n"/>
      <c r="G8912" s="8" t="n"/>
      <c r="H8912" s="8" t="n"/>
      <c r="I8912" s="8" t="n"/>
      <c r="J8912" s="8" t="n"/>
      <c r="K8912" s="8" t="n"/>
      <c r="L8912" s="8" t="n"/>
      <c r="M8912" s="9">
        <f>B8912+30</f>
        <v/>
      </c>
      <c r="N8912">
        <f>IF(L8912="", "", L8912-B8912)</f>
        <v/>
      </c>
      <c r="O8912">
        <f>IF(L8912="", "Pending", IF(N8912&lt;=30, "Met", "Breached"))</f>
        <v/>
      </c>
      <c r="P8912" s="8" t="n"/>
      <c r="Q8912" s="8" t="n"/>
      <c r="R8912" s="8" t="n"/>
      <c r="S8912" s="8" t="n"/>
      <c r="T8912" s="8" t="n"/>
      <c r="U8912" s="8" t="n"/>
      <c r="V8912" s="8" t="n"/>
      <c r="W8912" s="8" t="n"/>
      <c r="X8912" s="8" t="n"/>
      <c r="Y8912" s="8" t="n"/>
    </row>
    <row r="8913">
      <c r="A8913" s="8" t="n"/>
      <c r="B8913" s="8" t="n"/>
      <c r="C8913" s="8" t="n"/>
      <c r="D8913" s="8" t="n"/>
      <c r="E8913" s="8" t="n"/>
      <c r="F8913" s="8" t="n"/>
      <c r="G8913" s="8" t="n"/>
      <c r="H8913" s="8" t="n"/>
      <c r="I8913" s="8" t="n"/>
      <c r="J8913" s="8" t="n"/>
      <c r="K8913" s="8" t="n"/>
      <c r="L8913" s="8" t="n"/>
      <c r="M8913" s="9">
        <f>B8913+30</f>
        <v/>
      </c>
      <c r="N8913">
        <f>IF(L8913="", "", L8913-B8913)</f>
        <v/>
      </c>
      <c r="O8913">
        <f>IF(L8913="", "Pending", IF(N8913&lt;=30, "Met", "Breached"))</f>
        <v/>
      </c>
      <c r="P8913" s="8" t="n"/>
      <c r="Q8913" s="8" t="n"/>
      <c r="R8913" s="8" t="n"/>
      <c r="S8913" s="8" t="n"/>
      <c r="T8913" s="8" t="n"/>
      <c r="U8913" s="8" t="n"/>
      <c r="V8913" s="8" t="n"/>
      <c r="W8913" s="8" t="n"/>
      <c r="X8913" s="8" t="n"/>
      <c r="Y8913" s="8" t="n"/>
    </row>
    <row r="8914">
      <c r="A8914" s="8" t="n"/>
      <c r="B8914" s="8" t="n"/>
      <c r="C8914" s="8" t="n"/>
      <c r="D8914" s="8" t="n"/>
      <c r="E8914" s="8" t="n"/>
      <c r="F8914" s="8" t="n"/>
      <c r="G8914" s="8" t="n"/>
      <c r="H8914" s="8" t="n"/>
      <c r="I8914" s="8" t="n"/>
      <c r="J8914" s="8" t="n"/>
      <c r="K8914" s="8" t="n"/>
      <c r="L8914" s="8" t="n"/>
      <c r="M8914" s="9">
        <f>B8914+30</f>
        <v/>
      </c>
      <c r="N8914">
        <f>IF(L8914="", "", L8914-B8914)</f>
        <v/>
      </c>
      <c r="O8914">
        <f>IF(L8914="", "Pending", IF(N8914&lt;=30, "Met", "Breached"))</f>
        <v/>
      </c>
      <c r="P8914" s="8" t="n"/>
      <c r="Q8914" s="8" t="n"/>
      <c r="R8914" s="8" t="n"/>
      <c r="S8914" s="8" t="n"/>
      <c r="T8914" s="8" t="n"/>
      <c r="U8914" s="8" t="n"/>
      <c r="V8914" s="8" t="n"/>
      <c r="W8914" s="8" t="n"/>
      <c r="X8914" s="8" t="n"/>
      <c r="Y8914" s="8" t="n"/>
    </row>
    <row r="8915">
      <c r="A8915" s="8" t="n"/>
      <c r="B8915" s="8" t="n"/>
      <c r="C8915" s="8" t="n"/>
      <c r="D8915" s="8" t="n"/>
      <c r="E8915" s="8" t="n"/>
      <c r="F8915" s="8" t="n"/>
      <c r="G8915" s="8" t="n"/>
      <c r="H8915" s="8" t="n"/>
      <c r="I8915" s="8" t="n"/>
      <c r="J8915" s="8" t="n"/>
      <c r="K8915" s="8" t="n"/>
      <c r="L8915" s="8" t="n"/>
      <c r="M8915" s="9">
        <f>B8915+30</f>
        <v/>
      </c>
      <c r="N8915">
        <f>IF(L8915="", "", L8915-B8915)</f>
        <v/>
      </c>
      <c r="O8915">
        <f>IF(L8915="", "Pending", IF(N8915&lt;=30, "Met", "Breached"))</f>
        <v/>
      </c>
      <c r="P8915" s="8" t="n"/>
      <c r="Q8915" s="8" t="n"/>
      <c r="R8915" s="8" t="n"/>
      <c r="S8915" s="8" t="n"/>
      <c r="T8915" s="8" t="n"/>
      <c r="U8915" s="8" t="n"/>
      <c r="V8915" s="8" t="n"/>
      <c r="W8915" s="8" t="n"/>
      <c r="X8915" s="8" t="n"/>
      <c r="Y8915" s="8" t="n"/>
    </row>
    <row r="8916">
      <c r="A8916" s="8" t="n"/>
      <c r="B8916" s="8" t="n"/>
      <c r="C8916" s="8" t="n"/>
      <c r="D8916" s="8" t="n"/>
      <c r="E8916" s="8" t="n"/>
      <c r="F8916" s="8" t="n"/>
      <c r="G8916" s="8" t="n"/>
      <c r="H8916" s="8" t="n"/>
      <c r="I8916" s="8" t="n"/>
      <c r="J8916" s="8" t="n"/>
      <c r="K8916" s="8" t="n"/>
      <c r="L8916" s="8" t="n"/>
      <c r="M8916" s="9">
        <f>B8916+30</f>
        <v/>
      </c>
      <c r="N8916">
        <f>IF(L8916="", "", L8916-B8916)</f>
        <v/>
      </c>
      <c r="O8916">
        <f>IF(L8916="", "Pending", IF(N8916&lt;=30, "Met", "Breached"))</f>
        <v/>
      </c>
      <c r="P8916" s="8" t="n"/>
      <c r="Q8916" s="8" t="n"/>
      <c r="R8916" s="8" t="n"/>
      <c r="S8916" s="8" t="n"/>
      <c r="T8916" s="8" t="n"/>
      <c r="U8916" s="8" t="n"/>
      <c r="V8916" s="8" t="n"/>
      <c r="W8916" s="8" t="n"/>
      <c r="X8916" s="8" t="n"/>
      <c r="Y8916" s="8" t="n"/>
    </row>
    <row r="8917">
      <c r="A8917" s="8" t="n"/>
      <c r="B8917" s="8" t="n"/>
      <c r="C8917" s="8" t="n"/>
      <c r="D8917" s="8" t="n"/>
      <c r="E8917" s="8" t="n"/>
      <c r="F8917" s="8" t="n"/>
      <c r="G8917" s="8" t="n"/>
      <c r="H8917" s="8" t="n"/>
      <c r="I8917" s="8" t="n"/>
      <c r="J8917" s="8" t="n"/>
      <c r="K8917" s="8" t="n"/>
      <c r="L8917" s="8" t="n"/>
      <c r="M8917" s="9">
        <f>B8917+30</f>
        <v/>
      </c>
      <c r="N8917">
        <f>IF(L8917="", "", L8917-B8917)</f>
        <v/>
      </c>
      <c r="O8917">
        <f>IF(L8917="", "Pending", IF(N8917&lt;=30, "Met", "Breached"))</f>
        <v/>
      </c>
      <c r="P8917" s="8" t="n"/>
      <c r="Q8917" s="8" t="n"/>
      <c r="R8917" s="8" t="n"/>
      <c r="S8917" s="8" t="n"/>
      <c r="T8917" s="8" t="n"/>
      <c r="U8917" s="8" t="n"/>
      <c r="V8917" s="8" t="n"/>
      <c r="W8917" s="8" t="n"/>
      <c r="X8917" s="8" t="n"/>
      <c r="Y8917" s="8" t="n"/>
    </row>
    <row r="8918">
      <c r="A8918" s="8" t="n"/>
      <c r="B8918" s="8" t="n"/>
      <c r="C8918" s="8" t="n"/>
      <c r="D8918" s="8" t="n"/>
      <c r="E8918" s="8" t="n"/>
      <c r="F8918" s="8" t="n"/>
      <c r="G8918" s="8" t="n"/>
      <c r="H8918" s="8" t="n"/>
      <c r="I8918" s="8" t="n"/>
      <c r="J8918" s="8" t="n"/>
      <c r="K8918" s="8" t="n"/>
      <c r="L8918" s="8" t="n"/>
      <c r="M8918" s="9">
        <f>B8918+30</f>
        <v/>
      </c>
      <c r="N8918">
        <f>IF(L8918="", "", L8918-B8918)</f>
        <v/>
      </c>
      <c r="O8918">
        <f>IF(L8918="", "Pending", IF(N8918&lt;=30, "Met", "Breached"))</f>
        <v/>
      </c>
      <c r="P8918" s="8" t="n"/>
      <c r="Q8918" s="8" t="n"/>
      <c r="R8918" s="8" t="n"/>
      <c r="S8918" s="8" t="n"/>
      <c r="T8918" s="8" t="n"/>
      <c r="U8918" s="8" t="n"/>
      <c r="V8918" s="8" t="n"/>
      <c r="W8918" s="8" t="n"/>
      <c r="X8918" s="8" t="n"/>
      <c r="Y8918" s="8" t="n"/>
    </row>
    <row r="8919">
      <c r="A8919" s="8" t="n"/>
      <c r="B8919" s="8" t="n"/>
      <c r="C8919" s="8" t="n"/>
      <c r="D8919" s="8" t="n"/>
      <c r="E8919" s="8" t="n"/>
      <c r="F8919" s="8" t="n"/>
      <c r="G8919" s="8" t="n"/>
      <c r="H8919" s="8" t="n"/>
      <c r="I8919" s="8" t="n"/>
      <c r="J8919" s="8" t="n"/>
      <c r="K8919" s="8" t="n"/>
      <c r="L8919" s="8" t="n"/>
      <c r="M8919" s="9">
        <f>B8919+30</f>
        <v/>
      </c>
      <c r="N8919">
        <f>IF(L8919="", "", L8919-B8919)</f>
        <v/>
      </c>
      <c r="O8919">
        <f>IF(L8919="", "Pending", IF(N8919&lt;=30, "Met", "Breached"))</f>
        <v/>
      </c>
      <c r="P8919" s="8" t="n"/>
      <c r="Q8919" s="8" t="n"/>
      <c r="R8919" s="8" t="n"/>
      <c r="S8919" s="8" t="n"/>
      <c r="T8919" s="8" t="n"/>
      <c r="U8919" s="8" t="n"/>
      <c r="V8919" s="8" t="n"/>
      <c r="W8919" s="8" t="n"/>
      <c r="X8919" s="8" t="n"/>
      <c r="Y8919" s="8" t="n"/>
    </row>
    <row r="8920">
      <c r="A8920" s="8" t="n"/>
      <c r="B8920" s="8" t="n"/>
      <c r="C8920" s="8" t="n"/>
      <c r="D8920" s="8" t="n"/>
      <c r="E8920" s="8" t="n"/>
      <c r="F8920" s="8" t="n"/>
      <c r="G8920" s="8" t="n"/>
      <c r="H8920" s="8" t="n"/>
      <c r="I8920" s="8" t="n"/>
      <c r="J8920" s="8" t="n"/>
      <c r="K8920" s="8" t="n"/>
      <c r="L8920" s="8" t="n"/>
      <c r="M8920" s="9">
        <f>B8920+30</f>
        <v/>
      </c>
      <c r="N8920">
        <f>IF(L8920="", "", L8920-B8920)</f>
        <v/>
      </c>
      <c r="O8920">
        <f>IF(L8920="", "Pending", IF(N8920&lt;=30, "Met", "Breached"))</f>
        <v/>
      </c>
      <c r="P8920" s="8" t="n"/>
      <c r="Q8920" s="8" t="n"/>
      <c r="R8920" s="8" t="n"/>
      <c r="S8920" s="8" t="n"/>
      <c r="T8920" s="8" t="n"/>
      <c r="U8920" s="8" t="n"/>
      <c r="V8920" s="8" t="n"/>
      <c r="W8920" s="8" t="n"/>
      <c r="X8920" s="8" t="n"/>
      <c r="Y8920" s="8" t="n"/>
    </row>
    <row r="8921">
      <c r="A8921" s="8" t="n"/>
      <c r="B8921" s="8" t="n"/>
      <c r="C8921" s="8" t="n"/>
      <c r="D8921" s="8" t="n"/>
      <c r="E8921" s="8" t="n"/>
      <c r="F8921" s="8" t="n"/>
      <c r="G8921" s="8" t="n"/>
      <c r="H8921" s="8" t="n"/>
      <c r="I8921" s="8" t="n"/>
      <c r="J8921" s="8" t="n"/>
      <c r="K8921" s="8" t="n"/>
      <c r="L8921" s="8" t="n"/>
      <c r="M8921" s="9">
        <f>B8921+30</f>
        <v/>
      </c>
      <c r="N8921">
        <f>IF(L8921="", "", L8921-B8921)</f>
        <v/>
      </c>
      <c r="O8921">
        <f>IF(L8921="", "Pending", IF(N8921&lt;=30, "Met", "Breached"))</f>
        <v/>
      </c>
      <c r="P8921" s="8" t="n"/>
      <c r="Q8921" s="8" t="n"/>
      <c r="R8921" s="8" t="n"/>
      <c r="S8921" s="8" t="n"/>
      <c r="T8921" s="8" t="n"/>
      <c r="U8921" s="8" t="n"/>
      <c r="V8921" s="8" t="n"/>
      <c r="W8921" s="8" t="n"/>
      <c r="X8921" s="8" t="n"/>
      <c r="Y8921" s="8" t="n"/>
    </row>
    <row r="8922">
      <c r="A8922" s="8" t="n"/>
      <c r="B8922" s="8" t="n"/>
      <c r="C8922" s="8" t="n"/>
      <c r="D8922" s="8" t="n"/>
      <c r="E8922" s="8" t="n"/>
      <c r="F8922" s="8" t="n"/>
      <c r="G8922" s="8" t="n"/>
      <c r="H8922" s="8" t="n"/>
      <c r="I8922" s="8" t="n"/>
      <c r="J8922" s="8" t="n"/>
      <c r="K8922" s="8" t="n"/>
      <c r="L8922" s="8" t="n"/>
      <c r="M8922" s="9">
        <f>B8922+30</f>
        <v/>
      </c>
      <c r="N8922">
        <f>IF(L8922="", "", L8922-B8922)</f>
        <v/>
      </c>
      <c r="O8922">
        <f>IF(L8922="", "Pending", IF(N8922&lt;=30, "Met", "Breached"))</f>
        <v/>
      </c>
      <c r="P8922" s="8" t="n"/>
      <c r="Q8922" s="8" t="n"/>
      <c r="R8922" s="8" t="n"/>
      <c r="S8922" s="8" t="n"/>
      <c r="T8922" s="8" t="n"/>
      <c r="U8922" s="8" t="n"/>
      <c r="V8922" s="8" t="n"/>
      <c r="W8922" s="8" t="n"/>
      <c r="X8922" s="8" t="n"/>
      <c r="Y8922" s="8" t="n"/>
    </row>
    <row r="8923">
      <c r="A8923" s="8" t="n"/>
      <c r="B8923" s="8" t="n"/>
      <c r="C8923" s="8" t="n"/>
      <c r="D8923" s="8" t="n"/>
      <c r="E8923" s="8" t="n"/>
      <c r="F8923" s="8" t="n"/>
      <c r="G8923" s="8" t="n"/>
      <c r="H8923" s="8" t="n"/>
      <c r="I8923" s="8" t="n"/>
      <c r="J8923" s="8" t="n"/>
      <c r="K8923" s="8" t="n"/>
      <c r="L8923" s="8" t="n"/>
      <c r="M8923" s="9">
        <f>B8923+30</f>
        <v/>
      </c>
      <c r="N8923">
        <f>IF(L8923="", "", L8923-B8923)</f>
        <v/>
      </c>
      <c r="O8923">
        <f>IF(L8923="", "Pending", IF(N8923&lt;=30, "Met", "Breached"))</f>
        <v/>
      </c>
      <c r="P8923" s="8" t="n"/>
      <c r="Q8923" s="8" t="n"/>
      <c r="R8923" s="8" t="n"/>
      <c r="S8923" s="8" t="n"/>
      <c r="T8923" s="8" t="n"/>
      <c r="U8923" s="8" t="n"/>
      <c r="V8923" s="8" t="n"/>
      <c r="W8923" s="8" t="n"/>
      <c r="X8923" s="8" t="n"/>
      <c r="Y8923" s="8" t="n"/>
    </row>
    <row r="8924">
      <c r="A8924" s="8" t="n"/>
      <c r="B8924" s="8" t="n"/>
      <c r="C8924" s="8" t="n"/>
      <c r="D8924" s="8" t="n"/>
      <c r="E8924" s="8" t="n"/>
      <c r="F8924" s="8" t="n"/>
      <c r="G8924" s="8" t="n"/>
      <c r="H8924" s="8" t="n"/>
      <c r="I8924" s="8" t="n"/>
      <c r="J8924" s="8" t="n"/>
      <c r="K8924" s="8" t="n"/>
      <c r="L8924" s="8" t="n"/>
      <c r="M8924" s="9">
        <f>B8924+30</f>
        <v/>
      </c>
      <c r="N8924">
        <f>IF(L8924="", "", L8924-B8924)</f>
        <v/>
      </c>
      <c r="O8924">
        <f>IF(L8924="", "Pending", IF(N8924&lt;=30, "Met", "Breached"))</f>
        <v/>
      </c>
      <c r="P8924" s="8" t="n"/>
      <c r="Q8924" s="8" t="n"/>
      <c r="R8924" s="8" t="n"/>
      <c r="S8924" s="8" t="n"/>
      <c r="T8924" s="8" t="n"/>
      <c r="U8924" s="8" t="n"/>
      <c r="V8924" s="8" t="n"/>
      <c r="W8924" s="8" t="n"/>
      <c r="X8924" s="8" t="n"/>
      <c r="Y8924" s="8" t="n"/>
    </row>
    <row r="8925">
      <c r="A8925" s="8" t="n"/>
      <c r="B8925" s="8" t="n"/>
      <c r="C8925" s="8" t="n"/>
      <c r="D8925" s="8" t="n"/>
      <c r="E8925" s="8" t="n"/>
      <c r="F8925" s="8" t="n"/>
      <c r="G8925" s="8" t="n"/>
      <c r="H8925" s="8" t="n"/>
      <c r="I8925" s="8" t="n"/>
      <c r="J8925" s="8" t="n"/>
      <c r="K8925" s="8" t="n"/>
      <c r="L8925" s="8" t="n"/>
      <c r="M8925" s="9">
        <f>B8925+30</f>
        <v/>
      </c>
      <c r="N8925">
        <f>IF(L8925="", "", L8925-B8925)</f>
        <v/>
      </c>
      <c r="O8925">
        <f>IF(L8925="", "Pending", IF(N8925&lt;=30, "Met", "Breached"))</f>
        <v/>
      </c>
      <c r="P8925" s="8" t="n"/>
      <c r="Q8925" s="8" t="n"/>
      <c r="R8925" s="8" t="n"/>
      <c r="S8925" s="8" t="n"/>
      <c r="T8925" s="8" t="n"/>
      <c r="U8925" s="8" t="n"/>
      <c r="V8925" s="8" t="n"/>
      <c r="W8925" s="8" t="n"/>
      <c r="X8925" s="8" t="n"/>
      <c r="Y8925" s="8" t="n"/>
    </row>
    <row r="8926">
      <c r="A8926" s="8" t="n"/>
      <c r="B8926" s="8" t="n"/>
      <c r="C8926" s="8" t="n"/>
      <c r="D8926" s="8" t="n"/>
      <c r="E8926" s="8" t="n"/>
      <c r="F8926" s="8" t="n"/>
      <c r="G8926" s="8" t="n"/>
      <c r="H8926" s="8" t="n"/>
      <c r="I8926" s="8" t="n"/>
      <c r="J8926" s="8" t="n"/>
      <c r="K8926" s="8" t="n"/>
      <c r="L8926" s="8" t="n"/>
      <c r="M8926" s="9">
        <f>B8926+30</f>
        <v/>
      </c>
      <c r="N8926">
        <f>IF(L8926="", "", L8926-B8926)</f>
        <v/>
      </c>
      <c r="O8926">
        <f>IF(L8926="", "Pending", IF(N8926&lt;=30, "Met", "Breached"))</f>
        <v/>
      </c>
      <c r="P8926" s="8" t="n"/>
      <c r="Q8926" s="8" t="n"/>
      <c r="R8926" s="8" t="n"/>
      <c r="S8926" s="8" t="n"/>
      <c r="T8926" s="8" t="n"/>
      <c r="U8926" s="8" t="n"/>
      <c r="V8926" s="8" t="n"/>
      <c r="W8926" s="8" t="n"/>
      <c r="X8926" s="8" t="n"/>
      <c r="Y8926" s="8" t="n"/>
    </row>
    <row r="8927">
      <c r="A8927" s="8" t="n"/>
      <c r="B8927" s="8" t="n"/>
      <c r="C8927" s="8" t="n"/>
      <c r="D8927" s="8" t="n"/>
      <c r="E8927" s="8" t="n"/>
      <c r="F8927" s="8" t="n"/>
      <c r="G8927" s="8" t="n"/>
      <c r="H8927" s="8" t="n"/>
      <c r="I8927" s="8" t="n"/>
      <c r="J8927" s="8" t="n"/>
      <c r="K8927" s="8" t="n"/>
      <c r="L8927" s="8" t="n"/>
      <c r="M8927" s="9">
        <f>B8927+30</f>
        <v/>
      </c>
      <c r="N8927">
        <f>IF(L8927="", "", L8927-B8927)</f>
        <v/>
      </c>
      <c r="O8927">
        <f>IF(L8927="", "Pending", IF(N8927&lt;=30, "Met", "Breached"))</f>
        <v/>
      </c>
      <c r="P8927" s="8" t="n"/>
      <c r="Q8927" s="8" t="n"/>
      <c r="R8927" s="8" t="n"/>
      <c r="S8927" s="8" t="n"/>
      <c r="T8927" s="8" t="n"/>
      <c r="U8927" s="8" t="n"/>
      <c r="V8927" s="8" t="n"/>
      <c r="W8927" s="8" t="n"/>
      <c r="X8927" s="8" t="n"/>
      <c r="Y8927" s="8" t="n"/>
    </row>
    <row r="8928">
      <c r="A8928" s="8" t="n"/>
      <c r="B8928" s="8" t="n"/>
      <c r="C8928" s="8" t="n"/>
      <c r="D8928" s="8" t="n"/>
      <c r="E8928" s="8" t="n"/>
      <c r="F8928" s="8" t="n"/>
      <c r="G8928" s="8" t="n"/>
      <c r="H8928" s="8" t="n"/>
      <c r="I8928" s="8" t="n"/>
      <c r="J8928" s="8" t="n"/>
      <c r="K8928" s="8" t="n"/>
      <c r="L8928" s="8" t="n"/>
      <c r="M8928" s="9">
        <f>B8928+30</f>
        <v/>
      </c>
      <c r="N8928">
        <f>IF(L8928="", "", L8928-B8928)</f>
        <v/>
      </c>
      <c r="O8928">
        <f>IF(L8928="", "Pending", IF(N8928&lt;=30, "Met", "Breached"))</f>
        <v/>
      </c>
      <c r="P8928" s="8" t="n"/>
      <c r="Q8928" s="8" t="n"/>
      <c r="R8928" s="8" t="n"/>
      <c r="S8928" s="8" t="n"/>
      <c r="T8928" s="8" t="n"/>
      <c r="U8928" s="8" t="n"/>
      <c r="V8928" s="8" t="n"/>
      <c r="W8928" s="8" t="n"/>
      <c r="X8928" s="8" t="n"/>
      <c r="Y8928" s="8" t="n"/>
    </row>
    <row r="8929">
      <c r="A8929" s="8" t="n"/>
      <c r="B8929" s="8" t="n"/>
      <c r="C8929" s="8" t="n"/>
      <c r="D8929" s="8" t="n"/>
      <c r="E8929" s="8" t="n"/>
      <c r="F8929" s="8" t="n"/>
      <c r="G8929" s="8" t="n"/>
      <c r="H8929" s="8" t="n"/>
      <c r="I8929" s="8" t="n"/>
      <c r="J8929" s="8" t="n"/>
      <c r="K8929" s="8" t="n"/>
      <c r="L8929" s="8" t="n"/>
      <c r="M8929" s="9">
        <f>B8929+30</f>
        <v/>
      </c>
      <c r="N8929">
        <f>IF(L8929="", "", L8929-B8929)</f>
        <v/>
      </c>
      <c r="O8929">
        <f>IF(L8929="", "Pending", IF(N8929&lt;=30, "Met", "Breached"))</f>
        <v/>
      </c>
      <c r="P8929" s="8" t="n"/>
      <c r="Q8929" s="8" t="n"/>
      <c r="R8929" s="8" t="n"/>
      <c r="S8929" s="8" t="n"/>
      <c r="T8929" s="8" t="n"/>
      <c r="U8929" s="8" t="n"/>
      <c r="V8929" s="8" t="n"/>
      <c r="W8929" s="8" t="n"/>
      <c r="X8929" s="8" t="n"/>
      <c r="Y8929" s="8" t="n"/>
    </row>
    <row r="8930">
      <c r="A8930" s="8" t="n"/>
      <c r="B8930" s="8" t="n"/>
      <c r="C8930" s="8" t="n"/>
      <c r="D8930" s="8" t="n"/>
      <c r="E8930" s="8" t="n"/>
      <c r="F8930" s="8" t="n"/>
      <c r="G8930" s="8" t="n"/>
      <c r="H8930" s="8" t="n"/>
      <c r="I8930" s="8" t="n"/>
      <c r="J8930" s="8" t="n"/>
      <c r="K8930" s="8" t="n"/>
      <c r="L8930" s="8" t="n"/>
      <c r="M8930" s="9">
        <f>B8930+30</f>
        <v/>
      </c>
      <c r="N8930">
        <f>IF(L8930="", "", L8930-B8930)</f>
        <v/>
      </c>
      <c r="O8930">
        <f>IF(L8930="", "Pending", IF(N8930&lt;=30, "Met", "Breached"))</f>
        <v/>
      </c>
      <c r="P8930" s="8" t="n"/>
      <c r="Q8930" s="8" t="n"/>
      <c r="R8930" s="8" t="n"/>
      <c r="S8930" s="8" t="n"/>
      <c r="T8930" s="8" t="n"/>
      <c r="U8930" s="8" t="n"/>
      <c r="V8930" s="8" t="n"/>
      <c r="W8930" s="8" t="n"/>
      <c r="X8930" s="8" t="n"/>
      <c r="Y8930" s="8" t="n"/>
    </row>
    <row r="8931">
      <c r="A8931" s="8" t="n"/>
      <c r="B8931" s="8" t="n"/>
      <c r="C8931" s="8" t="n"/>
      <c r="D8931" s="8" t="n"/>
      <c r="E8931" s="8" t="n"/>
      <c r="F8931" s="8" t="n"/>
      <c r="G8931" s="8" t="n"/>
      <c r="H8931" s="8" t="n"/>
      <c r="I8931" s="8" t="n"/>
      <c r="J8931" s="8" t="n"/>
      <c r="K8931" s="8" t="n"/>
      <c r="L8931" s="8" t="n"/>
      <c r="M8931" s="9">
        <f>B8931+30</f>
        <v/>
      </c>
      <c r="N8931">
        <f>IF(L8931="", "", L8931-B8931)</f>
        <v/>
      </c>
      <c r="O8931">
        <f>IF(L8931="", "Pending", IF(N8931&lt;=30, "Met", "Breached"))</f>
        <v/>
      </c>
      <c r="P8931" s="8" t="n"/>
      <c r="Q8931" s="8" t="n"/>
      <c r="R8931" s="8" t="n"/>
      <c r="S8931" s="8" t="n"/>
      <c r="T8931" s="8" t="n"/>
      <c r="U8931" s="8" t="n"/>
      <c r="V8931" s="8" t="n"/>
      <c r="W8931" s="8" t="n"/>
      <c r="X8931" s="8" t="n"/>
      <c r="Y8931" s="8" t="n"/>
    </row>
    <row r="8932">
      <c r="A8932" s="8" t="n"/>
      <c r="B8932" s="8" t="n"/>
      <c r="C8932" s="8" t="n"/>
      <c r="D8932" s="8" t="n"/>
      <c r="E8932" s="8" t="n"/>
      <c r="F8932" s="8" t="n"/>
      <c r="G8932" s="8" t="n"/>
      <c r="H8932" s="8" t="n"/>
      <c r="I8932" s="8" t="n"/>
      <c r="J8932" s="8" t="n"/>
      <c r="K8932" s="8" t="n"/>
      <c r="L8932" s="8" t="n"/>
      <c r="M8932" s="9">
        <f>B8932+30</f>
        <v/>
      </c>
      <c r="N8932">
        <f>IF(L8932="", "", L8932-B8932)</f>
        <v/>
      </c>
      <c r="O8932">
        <f>IF(L8932="", "Pending", IF(N8932&lt;=30, "Met", "Breached"))</f>
        <v/>
      </c>
      <c r="P8932" s="8" t="n"/>
      <c r="Q8932" s="8" t="n"/>
      <c r="R8932" s="8" t="n"/>
      <c r="S8932" s="8" t="n"/>
      <c r="T8932" s="8" t="n"/>
      <c r="U8932" s="8" t="n"/>
      <c r="V8932" s="8" t="n"/>
      <c r="W8932" s="8" t="n"/>
      <c r="X8932" s="8" t="n"/>
      <c r="Y8932" s="8" t="n"/>
    </row>
    <row r="8933">
      <c r="A8933" s="8" t="n"/>
      <c r="B8933" s="8" t="n"/>
      <c r="C8933" s="8" t="n"/>
      <c r="D8933" s="8" t="n"/>
      <c r="E8933" s="8" t="n"/>
      <c r="F8933" s="8" t="n"/>
      <c r="G8933" s="8" t="n"/>
      <c r="H8933" s="8" t="n"/>
      <c r="I8933" s="8" t="n"/>
      <c r="J8933" s="8" t="n"/>
      <c r="K8933" s="8" t="n"/>
      <c r="L8933" s="8" t="n"/>
      <c r="M8933" s="9">
        <f>B8933+30</f>
        <v/>
      </c>
      <c r="N8933">
        <f>IF(L8933="", "", L8933-B8933)</f>
        <v/>
      </c>
      <c r="O8933">
        <f>IF(L8933="", "Pending", IF(N8933&lt;=30, "Met", "Breached"))</f>
        <v/>
      </c>
      <c r="P8933" s="8" t="n"/>
      <c r="Q8933" s="8" t="n"/>
      <c r="R8933" s="8" t="n"/>
      <c r="S8933" s="8" t="n"/>
      <c r="T8933" s="8" t="n"/>
      <c r="U8933" s="8" t="n"/>
      <c r="V8933" s="8" t="n"/>
      <c r="W8933" s="8" t="n"/>
      <c r="X8933" s="8" t="n"/>
      <c r="Y8933" s="8" t="n"/>
    </row>
    <row r="8934">
      <c r="A8934" s="8" t="n"/>
      <c r="B8934" s="8" t="n"/>
      <c r="C8934" s="8" t="n"/>
      <c r="D8934" s="8" t="n"/>
      <c r="E8934" s="8" t="n"/>
      <c r="F8934" s="8" t="n"/>
      <c r="G8934" s="8" t="n"/>
      <c r="H8934" s="8" t="n"/>
      <c r="I8934" s="8" t="n"/>
      <c r="J8934" s="8" t="n"/>
      <c r="K8934" s="8" t="n"/>
      <c r="L8934" s="8" t="n"/>
      <c r="M8934" s="9">
        <f>B8934+30</f>
        <v/>
      </c>
      <c r="N8934">
        <f>IF(L8934="", "", L8934-B8934)</f>
        <v/>
      </c>
      <c r="O8934">
        <f>IF(L8934="", "Pending", IF(N8934&lt;=30, "Met", "Breached"))</f>
        <v/>
      </c>
      <c r="P8934" s="8" t="n"/>
      <c r="Q8934" s="8" t="n"/>
      <c r="R8934" s="8" t="n"/>
      <c r="S8934" s="8" t="n"/>
      <c r="T8934" s="8" t="n"/>
      <c r="U8934" s="8" t="n"/>
      <c r="V8934" s="8" t="n"/>
      <c r="W8934" s="8" t="n"/>
      <c r="X8934" s="8" t="n"/>
      <c r="Y8934" s="8" t="n"/>
    </row>
    <row r="8935">
      <c r="A8935" s="8" t="n"/>
      <c r="B8935" s="8" t="n"/>
      <c r="C8935" s="8" t="n"/>
      <c r="D8935" s="8" t="n"/>
      <c r="E8935" s="8" t="n"/>
      <c r="F8935" s="8" t="n"/>
      <c r="G8935" s="8" t="n"/>
      <c r="H8935" s="8" t="n"/>
      <c r="I8935" s="8" t="n"/>
      <c r="J8935" s="8" t="n"/>
      <c r="K8935" s="8" t="n"/>
      <c r="L8935" s="8" t="n"/>
      <c r="M8935" s="9">
        <f>B8935+30</f>
        <v/>
      </c>
      <c r="N8935">
        <f>IF(L8935="", "", L8935-B8935)</f>
        <v/>
      </c>
      <c r="O8935">
        <f>IF(L8935="", "Pending", IF(N8935&lt;=30, "Met", "Breached"))</f>
        <v/>
      </c>
      <c r="P8935" s="8" t="n"/>
      <c r="Q8935" s="8" t="n"/>
      <c r="R8935" s="8" t="n"/>
      <c r="S8935" s="8" t="n"/>
      <c r="T8935" s="8" t="n"/>
      <c r="U8935" s="8" t="n"/>
      <c r="V8935" s="8" t="n"/>
      <c r="W8935" s="8" t="n"/>
      <c r="X8935" s="8" t="n"/>
      <c r="Y8935" s="8" t="n"/>
    </row>
    <row r="8936">
      <c r="A8936" s="8" t="n"/>
      <c r="B8936" s="8" t="n"/>
      <c r="C8936" s="8" t="n"/>
      <c r="D8936" s="8" t="n"/>
      <c r="E8936" s="8" t="n"/>
      <c r="F8936" s="8" t="n"/>
      <c r="G8936" s="8" t="n"/>
      <c r="H8936" s="8" t="n"/>
      <c r="I8936" s="8" t="n"/>
      <c r="J8936" s="8" t="n"/>
      <c r="K8936" s="8" t="n"/>
      <c r="L8936" s="8" t="n"/>
      <c r="M8936" s="9">
        <f>B8936+30</f>
        <v/>
      </c>
      <c r="N8936">
        <f>IF(L8936="", "", L8936-B8936)</f>
        <v/>
      </c>
      <c r="O8936">
        <f>IF(L8936="", "Pending", IF(N8936&lt;=30, "Met", "Breached"))</f>
        <v/>
      </c>
      <c r="P8936" s="8" t="n"/>
      <c r="Q8936" s="8" t="n"/>
      <c r="R8936" s="8" t="n"/>
      <c r="S8936" s="8" t="n"/>
      <c r="T8936" s="8" t="n"/>
      <c r="U8936" s="8" t="n"/>
      <c r="V8936" s="8" t="n"/>
      <c r="W8936" s="8" t="n"/>
      <c r="X8936" s="8" t="n"/>
      <c r="Y8936" s="8" t="n"/>
    </row>
    <row r="8937">
      <c r="A8937" s="8" t="n"/>
      <c r="B8937" s="8" t="n"/>
      <c r="C8937" s="8" t="n"/>
      <c r="D8937" s="8" t="n"/>
      <c r="E8937" s="8" t="n"/>
      <c r="F8937" s="8" t="n"/>
      <c r="G8937" s="8" t="n"/>
      <c r="H8937" s="8" t="n"/>
      <c r="I8937" s="8" t="n"/>
      <c r="J8937" s="8" t="n"/>
      <c r="K8937" s="8" t="n"/>
      <c r="L8937" s="8" t="n"/>
      <c r="M8937" s="9">
        <f>B8937+30</f>
        <v/>
      </c>
      <c r="N8937">
        <f>IF(L8937="", "", L8937-B8937)</f>
        <v/>
      </c>
      <c r="O8937">
        <f>IF(L8937="", "Pending", IF(N8937&lt;=30, "Met", "Breached"))</f>
        <v/>
      </c>
      <c r="P8937" s="8" t="n"/>
      <c r="Q8937" s="8" t="n"/>
      <c r="R8937" s="8" t="n"/>
      <c r="S8937" s="8" t="n"/>
      <c r="T8937" s="8" t="n"/>
      <c r="U8937" s="8" t="n"/>
      <c r="V8937" s="8" t="n"/>
      <c r="W8937" s="8" t="n"/>
      <c r="X8937" s="8" t="n"/>
      <c r="Y8937" s="8" t="n"/>
    </row>
    <row r="8938">
      <c r="A8938" s="8" t="n"/>
      <c r="B8938" s="8" t="n"/>
      <c r="C8938" s="8" t="n"/>
      <c r="D8938" s="8" t="n"/>
      <c r="E8938" s="8" t="n"/>
      <c r="F8938" s="8" t="n"/>
      <c r="G8938" s="8" t="n"/>
      <c r="H8938" s="8" t="n"/>
      <c r="I8938" s="8" t="n"/>
      <c r="J8938" s="8" t="n"/>
      <c r="K8938" s="8" t="n"/>
      <c r="L8938" s="8" t="n"/>
      <c r="M8938" s="9">
        <f>B8938+30</f>
        <v/>
      </c>
      <c r="N8938">
        <f>IF(L8938="", "", L8938-B8938)</f>
        <v/>
      </c>
      <c r="O8938">
        <f>IF(L8938="", "Pending", IF(N8938&lt;=30, "Met", "Breached"))</f>
        <v/>
      </c>
      <c r="P8938" s="8" t="n"/>
      <c r="Q8938" s="8" t="n"/>
      <c r="R8938" s="8" t="n"/>
      <c r="S8938" s="8" t="n"/>
      <c r="T8938" s="8" t="n"/>
      <c r="U8938" s="8" t="n"/>
      <c r="V8938" s="8" t="n"/>
      <c r="W8938" s="8" t="n"/>
      <c r="X8938" s="8" t="n"/>
      <c r="Y8938" s="8" t="n"/>
    </row>
    <row r="8939">
      <c r="A8939" s="8" t="n"/>
      <c r="B8939" s="8" t="n"/>
      <c r="C8939" s="8" t="n"/>
      <c r="D8939" s="8" t="n"/>
      <c r="E8939" s="8" t="n"/>
      <c r="F8939" s="8" t="n"/>
      <c r="G8939" s="8" t="n"/>
      <c r="H8939" s="8" t="n"/>
      <c r="I8939" s="8" t="n"/>
      <c r="J8939" s="8" t="n"/>
      <c r="K8939" s="8" t="n"/>
      <c r="L8939" s="8" t="n"/>
      <c r="M8939" s="9">
        <f>B8939+30</f>
        <v/>
      </c>
      <c r="N8939">
        <f>IF(L8939="", "", L8939-B8939)</f>
        <v/>
      </c>
      <c r="O8939">
        <f>IF(L8939="", "Pending", IF(N8939&lt;=30, "Met", "Breached"))</f>
        <v/>
      </c>
      <c r="P8939" s="8" t="n"/>
      <c r="Q8939" s="8" t="n"/>
      <c r="R8939" s="8" t="n"/>
      <c r="S8939" s="8" t="n"/>
      <c r="T8939" s="8" t="n"/>
      <c r="U8939" s="8" t="n"/>
      <c r="V8939" s="8" t="n"/>
      <c r="W8939" s="8" t="n"/>
      <c r="X8939" s="8" t="n"/>
      <c r="Y8939" s="8" t="n"/>
    </row>
    <row r="8940">
      <c r="A8940" s="8" t="n"/>
      <c r="B8940" s="8" t="n"/>
      <c r="C8940" s="8" t="n"/>
      <c r="D8940" s="8" t="n"/>
      <c r="E8940" s="8" t="n"/>
      <c r="F8940" s="8" t="n"/>
      <c r="G8940" s="8" t="n"/>
      <c r="H8940" s="8" t="n"/>
      <c r="I8940" s="8" t="n"/>
      <c r="J8940" s="8" t="n"/>
      <c r="K8940" s="8" t="n"/>
      <c r="L8940" s="8" t="n"/>
      <c r="M8940" s="9">
        <f>B8940+30</f>
        <v/>
      </c>
      <c r="N8940">
        <f>IF(L8940="", "", L8940-B8940)</f>
        <v/>
      </c>
      <c r="O8940">
        <f>IF(L8940="", "Pending", IF(N8940&lt;=30, "Met", "Breached"))</f>
        <v/>
      </c>
      <c r="P8940" s="8" t="n"/>
      <c r="Q8940" s="8" t="n"/>
      <c r="R8940" s="8" t="n"/>
      <c r="S8940" s="8" t="n"/>
      <c r="T8940" s="8" t="n"/>
      <c r="U8940" s="8" t="n"/>
      <c r="V8940" s="8" t="n"/>
      <c r="W8940" s="8" t="n"/>
      <c r="X8940" s="8" t="n"/>
      <c r="Y8940" s="8" t="n"/>
    </row>
    <row r="8941">
      <c r="A8941" s="8" t="n"/>
      <c r="B8941" s="8" t="n"/>
      <c r="C8941" s="8" t="n"/>
      <c r="D8941" s="8" t="n"/>
      <c r="E8941" s="8" t="n"/>
      <c r="F8941" s="8" t="n"/>
      <c r="G8941" s="8" t="n"/>
      <c r="H8941" s="8" t="n"/>
      <c r="I8941" s="8" t="n"/>
      <c r="J8941" s="8" t="n"/>
      <c r="K8941" s="8" t="n"/>
      <c r="L8941" s="8" t="n"/>
      <c r="M8941" s="9">
        <f>B8941+30</f>
        <v/>
      </c>
      <c r="N8941">
        <f>IF(L8941="", "", L8941-B8941)</f>
        <v/>
      </c>
      <c r="O8941">
        <f>IF(L8941="", "Pending", IF(N8941&lt;=30, "Met", "Breached"))</f>
        <v/>
      </c>
      <c r="P8941" s="8" t="n"/>
      <c r="Q8941" s="8" t="n"/>
      <c r="R8941" s="8" t="n"/>
      <c r="S8941" s="8" t="n"/>
      <c r="T8941" s="8" t="n"/>
      <c r="U8941" s="8" t="n"/>
      <c r="V8941" s="8" t="n"/>
      <c r="W8941" s="8" t="n"/>
      <c r="X8941" s="8" t="n"/>
      <c r="Y8941" s="8" t="n"/>
    </row>
    <row r="8942">
      <c r="A8942" s="8" t="n"/>
      <c r="B8942" s="8" t="n"/>
      <c r="C8942" s="8" t="n"/>
      <c r="D8942" s="8" t="n"/>
      <c r="E8942" s="8" t="n"/>
      <c r="F8942" s="8" t="n"/>
      <c r="G8942" s="8" t="n"/>
      <c r="H8942" s="8" t="n"/>
      <c r="I8942" s="8" t="n"/>
      <c r="J8942" s="8" t="n"/>
      <c r="K8942" s="8" t="n"/>
      <c r="L8942" s="8" t="n"/>
      <c r="M8942" s="9">
        <f>B8942+30</f>
        <v/>
      </c>
      <c r="N8942">
        <f>IF(L8942="", "", L8942-B8942)</f>
        <v/>
      </c>
      <c r="O8942">
        <f>IF(L8942="", "Pending", IF(N8942&lt;=30, "Met", "Breached"))</f>
        <v/>
      </c>
      <c r="P8942" s="8" t="n"/>
      <c r="Q8942" s="8" t="n"/>
      <c r="R8942" s="8" t="n"/>
      <c r="S8942" s="8" t="n"/>
      <c r="T8942" s="8" t="n"/>
      <c r="U8942" s="8" t="n"/>
      <c r="V8942" s="8" t="n"/>
      <c r="W8942" s="8" t="n"/>
      <c r="X8942" s="8" t="n"/>
      <c r="Y8942" s="8" t="n"/>
    </row>
    <row r="8943">
      <c r="A8943" s="8" t="n"/>
      <c r="B8943" s="8" t="n"/>
      <c r="C8943" s="8" t="n"/>
      <c r="D8943" s="8" t="n"/>
      <c r="E8943" s="8" t="n"/>
      <c r="F8943" s="8" t="n"/>
      <c r="G8943" s="8" t="n"/>
      <c r="H8943" s="8" t="n"/>
      <c r="I8943" s="8" t="n"/>
      <c r="J8943" s="8" t="n"/>
      <c r="K8943" s="8" t="n"/>
      <c r="L8943" s="8" t="n"/>
      <c r="M8943" s="9">
        <f>B8943+30</f>
        <v/>
      </c>
      <c r="N8943">
        <f>IF(L8943="", "", L8943-B8943)</f>
        <v/>
      </c>
      <c r="O8943">
        <f>IF(L8943="", "Pending", IF(N8943&lt;=30, "Met", "Breached"))</f>
        <v/>
      </c>
      <c r="P8943" s="8" t="n"/>
      <c r="Q8943" s="8" t="n"/>
      <c r="R8943" s="8" t="n"/>
      <c r="S8943" s="8" t="n"/>
      <c r="T8943" s="8" t="n"/>
      <c r="U8943" s="8" t="n"/>
      <c r="V8943" s="8" t="n"/>
      <c r="W8943" s="8" t="n"/>
      <c r="X8943" s="8" t="n"/>
      <c r="Y8943" s="8" t="n"/>
    </row>
    <row r="8944">
      <c r="A8944" s="8" t="n"/>
      <c r="B8944" s="8" t="n"/>
      <c r="C8944" s="8" t="n"/>
      <c r="D8944" s="8" t="n"/>
      <c r="E8944" s="8" t="n"/>
      <c r="F8944" s="8" t="n"/>
      <c r="G8944" s="8" t="n"/>
      <c r="H8944" s="8" t="n"/>
      <c r="I8944" s="8" t="n"/>
      <c r="J8944" s="8" t="n"/>
      <c r="K8944" s="8" t="n"/>
      <c r="L8944" s="8" t="n"/>
      <c r="M8944" s="9">
        <f>B8944+30</f>
        <v/>
      </c>
      <c r="N8944">
        <f>IF(L8944="", "", L8944-B8944)</f>
        <v/>
      </c>
      <c r="O8944">
        <f>IF(L8944="", "Pending", IF(N8944&lt;=30, "Met", "Breached"))</f>
        <v/>
      </c>
      <c r="P8944" s="8" t="n"/>
      <c r="Q8944" s="8" t="n"/>
      <c r="R8944" s="8" t="n"/>
      <c r="S8944" s="8" t="n"/>
      <c r="T8944" s="8" t="n"/>
      <c r="U8944" s="8" t="n"/>
      <c r="V8944" s="8" t="n"/>
      <c r="W8944" s="8" t="n"/>
      <c r="X8944" s="8" t="n"/>
      <c r="Y8944" s="8" t="n"/>
    </row>
    <row r="8945">
      <c r="A8945" s="8" t="n"/>
      <c r="B8945" s="8" t="n"/>
      <c r="C8945" s="8" t="n"/>
      <c r="D8945" s="8" t="n"/>
      <c r="E8945" s="8" t="n"/>
      <c r="F8945" s="8" t="n"/>
      <c r="G8945" s="8" t="n"/>
      <c r="H8945" s="8" t="n"/>
      <c r="I8945" s="8" t="n"/>
      <c r="J8945" s="8" t="n"/>
      <c r="K8945" s="8" t="n"/>
      <c r="L8945" s="8" t="n"/>
      <c r="M8945" s="9">
        <f>B8945+30</f>
        <v/>
      </c>
      <c r="N8945">
        <f>IF(L8945="", "", L8945-B8945)</f>
        <v/>
      </c>
      <c r="O8945">
        <f>IF(L8945="", "Pending", IF(N8945&lt;=30, "Met", "Breached"))</f>
        <v/>
      </c>
      <c r="P8945" s="8" t="n"/>
      <c r="Q8945" s="8" t="n"/>
      <c r="R8945" s="8" t="n"/>
      <c r="S8945" s="8" t="n"/>
      <c r="T8945" s="8" t="n"/>
      <c r="U8945" s="8" t="n"/>
      <c r="V8945" s="8" t="n"/>
      <c r="W8945" s="8" t="n"/>
      <c r="X8945" s="8" t="n"/>
      <c r="Y8945" s="8" t="n"/>
    </row>
    <row r="8946">
      <c r="A8946" s="8" t="n"/>
      <c r="B8946" s="8" t="n"/>
      <c r="C8946" s="8" t="n"/>
      <c r="D8946" s="8" t="n"/>
      <c r="E8946" s="8" t="n"/>
      <c r="F8946" s="8" t="n"/>
      <c r="G8946" s="8" t="n"/>
      <c r="H8946" s="8" t="n"/>
      <c r="I8946" s="8" t="n"/>
      <c r="J8946" s="8" t="n"/>
      <c r="K8946" s="8" t="n"/>
      <c r="L8946" s="8" t="n"/>
      <c r="M8946" s="9">
        <f>B8946+30</f>
        <v/>
      </c>
      <c r="N8946">
        <f>IF(L8946="", "", L8946-B8946)</f>
        <v/>
      </c>
      <c r="O8946">
        <f>IF(L8946="", "Pending", IF(N8946&lt;=30, "Met", "Breached"))</f>
        <v/>
      </c>
      <c r="P8946" s="8" t="n"/>
      <c r="Q8946" s="8" t="n"/>
      <c r="R8946" s="8" t="n"/>
      <c r="S8946" s="8" t="n"/>
      <c r="T8946" s="8" t="n"/>
      <c r="U8946" s="8" t="n"/>
      <c r="V8946" s="8" t="n"/>
      <c r="W8946" s="8" t="n"/>
      <c r="X8946" s="8" t="n"/>
      <c r="Y8946" s="8" t="n"/>
    </row>
    <row r="8947">
      <c r="A8947" s="8" t="n"/>
      <c r="B8947" s="8" t="n"/>
      <c r="C8947" s="8" t="n"/>
      <c r="D8947" s="8" t="n"/>
      <c r="E8947" s="8" t="n"/>
      <c r="F8947" s="8" t="n"/>
      <c r="G8947" s="8" t="n"/>
      <c r="H8947" s="8" t="n"/>
      <c r="I8947" s="8" t="n"/>
      <c r="J8947" s="8" t="n"/>
      <c r="K8947" s="8" t="n"/>
      <c r="L8947" s="8" t="n"/>
      <c r="M8947" s="9">
        <f>B8947+30</f>
        <v/>
      </c>
      <c r="N8947">
        <f>IF(L8947="", "", L8947-B8947)</f>
        <v/>
      </c>
      <c r="O8947">
        <f>IF(L8947="", "Pending", IF(N8947&lt;=30, "Met", "Breached"))</f>
        <v/>
      </c>
      <c r="P8947" s="8" t="n"/>
      <c r="Q8947" s="8" t="n"/>
      <c r="R8947" s="8" t="n"/>
      <c r="S8947" s="8" t="n"/>
      <c r="T8947" s="8" t="n"/>
      <c r="U8947" s="8" t="n"/>
      <c r="V8947" s="8" t="n"/>
      <c r="W8947" s="8" t="n"/>
      <c r="X8947" s="8" t="n"/>
      <c r="Y8947" s="8" t="n"/>
    </row>
    <row r="8948">
      <c r="A8948" s="8" t="n"/>
      <c r="B8948" s="8" t="n"/>
      <c r="C8948" s="8" t="n"/>
      <c r="D8948" s="8" t="n"/>
      <c r="E8948" s="8" t="n"/>
      <c r="F8948" s="8" t="n"/>
      <c r="G8948" s="8" t="n"/>
      <c r="H8948" s="8" t="n"/>
      <c r="I8948" s="8" t="n"/>
      <c r="J8948" s="8" t="n"/>
      <c r="K8948" s="8" t="n"/>
      <c r="L8948" s="8" t="n"/>
      <c r="M8948" s="9">
        <f>B8948+30</f>
        <v/>
      </c>
      <c r="N8948">
        <f>IF(L8948="", "", L8948-B8948)</f>
        <v/>
      </c>
      <c r="O8948">
        <f>IF(L8948="", "Pending", IF(N8948&lt;=30, "Met", "Breached"))</f>
        <v/>
      </c>
      <c r="P8948" s="8" t="n"/>
      <c r="Q8948" s="8" t="n"/>
      <c r="R8948" s="8" t="n"/>
      <c r="S8948" s="8" t="n"/>
      <c r="T8948" s="8" t="n"/>
      <c r="U8948" s="8" t="n"/>
      <c r="V8948" s="8" t="n"/>
      <c r="W8948" s="8" t="n"/>
      <c r="X8948" s="8" t="n"/>
      <c r="Y8948" s="8" t="n"/>
    </row>
    <row r="8949">
      <c r="A8949" s="8" t="n"/>
      <c r="B8949" s="8" t="n"/>
      <c r="C8949" s="8" t="n"/>
      <c r="D8949" s="8" t="n"/>
      <c r="E8949" s="8" t="n"/>
      <c r="F8949" s="8" t="n"/>
      <c r="G8949" s="8" t="n"/>
      <c r="H8949" s="8" t="n"/>
      <c r="I8949" s="8" t="n"/>
      <c r="J8949" s="8" t="n"/>
      <c r="K8949" s="8" t="n"/>
      <c r="L8949" s="8" t="n"/>
      <c r="M8949" s="9">
        <f>B8949+30</f>
        <v/>
      </c>
      <c r="N8949">
        <f>IF(L8949="", "", L8949-B8949)</f>
        <v/>
      </c>
      <c r="O8949">
        <f>IF(L8949="", "Pending", IF(N8949&lt;=30, "Met", "Breached"))</f>
        <v/>
      </c>
      <c r="P8949" s="8" t="n"/>
      <c r="Q8949" s="8" t="n"/>
      <c r="R8949" s="8" t="n"/>
      <c r="S8949" s="8" t="n"/>
      <c r="T8949" s="8" t="n"/>
      <c r="U8949" s="8" t="n"/>
      <c r="V8949" s="8" t="n"/>
      <c r="W8949" s="8" t="n"/>
      <c r="X8949" s="8" t="n"/>
      <c r="Y8949" s="8" t="n"/>
    </row>
    <row r="8950">
      <c r="A8950" s="8" t="n"/>
      <c r="B8950" s="8" t="n"/>
      <c r="C8950" s="8" t="n"/>
      <c r="D8950" s="8" t="n"/>
      <c r="E8950" s="8" t="n"/>
      <c r="F8950" s="8" t="n"/>
      <c r="G8950" s="8" t="n"/>
      <c r="H8950" s="8" t="n"/>
      <c r="I8950" s="8" t="n"/>
      <c r="J8950" s="8" t="n"/>
      <c r="K8950" s="8" t="n"/>
      <c r="L8950" s="8" t="n"/>
      <c r="M8950" s="9">
        <f>B8950+30</f>
        <v/>
      </c>
      <c r="N8950">
        <f>IF(L8950="", "", L8950-B8950)</f>
        <v/>
      </c>
      <c r="O8950">
        <f>IF(L8950="", "Pending", IF(N8950&lt;=30, "Met", "Breached"))</f>
        <v/>
      </c>
      <c r="P8950" s="8" t="n"/>
      <c r="Q8950" s="8" t="n"/>
      <c r="R8950" s="8" t="n"/>
      <c r="S8950" s="8" t="n"/>
      <c r="T8950" s="8" t="n"/>
      <c r="U8950" s="8" t="n"/>
      <c r="V8950" s="8" t="n"/>
      <c r="W8950" s="8" t="n"/>
      <c r="X8950" s="8" t="n"/>
      <c r="Y8950" s="8" t="n"/>
    </row>
    <row r="8951">
      <c r="A8951" s="8" t="n"/>
      <c r="B8951" s="8" t="n"/>
      <c r="C8951" s="8" t="n"/>
      <c r="D8951" s="8" t="n"/>
      <c r="E8951" s="8" t="n"/>
      <c r="F8951" s="8" t="n"/>
      <c r="G8951" s="8" t="n"/>
      <c r="H8951" s="8" t="n"/>
      <c r="I8951" s="8" t="n"/>
      <c r="J8951" s="8" t="n"/>
      <c r="K8951" s="8" t="n"/>
      <c r="L8951" s="8" t="n"/>
      <c r="M8951" s="9">
        <f>B8951+30</f>
        <v/>
      </c>
      <c r="N8951">
        <f>IF(L8951="", "", L8951-B8951)</f>
        <v/>
      </c>
      <c r="O8951">
        <f>IF(L8951="", "Pending", IF(N8951&lt;=30, "Met", "Breached"))</f>
        <v/>
      </c>
      <c r="P8951" s="8" t="n"/>
      <c r="Q8951" s="8" t="n"/>
      <c r="R8951" s="8" t="n"/>
      <c r="S8951" s="8" t="n"/>
      <c r="T8951" s="8" t="n"/>
      <c r="U8951" s="8" t="n"/>
      <c r="V8951" s="8" t="n"/>
      <c r="W8951" s="8" t="n"/>
      <c r="X8951" s="8" t="n"/>
      <c r="Y8951" s="8" t="n"/>
    </row>
    <row r="8952">
      <c r="A8952" s="8" t="n"/>
      <c r="B8952" s="8" t="n"/>
      <c r="C8952" s="8" t="n"/>
      <c r="D8952" s="8" t="n"/>
      <c r="E8952" s="8" t="n"/>
      <c r="F8952" s="8" t="n"/>
      <c r="G8952" s="8" t="n"/>
      <c r="H8952" s="8" t="n"/>
      <c r="I8952" s="8" t="n"/>
      <c r="J8952" s="8" t="n"/>
      <c r="K8952" s="8" t="n"/>
      <c r="L8952" s="8" t="n"/>
      <c r="M8952" s="9">
        <f>B8952+30</f>
        <v/>
      </c>
      <c r="N8952">
        <f>IF(L8952="", "", L8952-B8952)</f>
        <v/>
      </c>
      <c r="O8952">
        <f>IF(L8952="", "Pending", IF(N8952&lt;=30, "Met", "Breached"))</f>
        <v/>
      </c>
      <c r="P8952" s="8" t="n"/>
      <c r="Q8952" s="8" t="n"/>
      <c r="R8952" s="8" t="n"/>
      <c r="S8952" s="8" t="n"/>
      <c r="T8952" s="8" t="n"/>
      <c r="U8952" s="8" t="n"/>
      <c r="V8952" s="8" t="n"/>
      <c r="W8952" s="8" t="n"/>
      <c r="X8952" s="8" t="n"/>
      <c r="Y8952" s="8" t="n"/>
    </row>
    <row r="8953">
      <c r="A8953" s="8" t="n"/>
      <c r="B8953" s="8" t="n"/>
      <c r="C8953" s="8" t="n"/>
      <c r="D8953" s="8" t="n"/>
      <c r="E8953" s="8" t="n"/>
      <c r="F8953" s="8" t="n"/>
      <c r="G8953" s="8" t="n"/>
      <c r="H8953" s="8" t="n"/>
      <c r="I8953" s="8" t="n"/>
      <c r="J8953" s="8" t="n"/>
      <c r="K8953" s="8" t="n"/>
      <c r="L8953" s="8" t="n"/>
      <c r="M8953" s="9">
        <f>B8953+30</f>
        <v/>
      </c>
      <c r="N8953">
        <f>IF(L8953="", "", L8953-B8953)</f>
        <v/>
      </c>
      <c r="O8953">
        <f>IF(L8953="", "Pending", IF(N8953&lt;=30, "Met", "Breached"))</f>
        <v/>
      </c>
      <c r="P8953" s="8" t="n"/>
      <c r="Q8953" s="8" t="n"/>
      <c r="R8953" s="8" t="n"/>
      <c r="S8953" s="8" t="n"/>
      <c r="T8953" s="8" t="n"/>
      <c r="U8953" s="8" t="n"/>
      <c r="V8953" s="8" t="n"/>
      <c r="W8953" s="8" t="n"/>
      <c r="X8953" s="8" t="n"/>
      <c r="Y8953" s="8" t="n"/>
    </row>
    <row r="8954">
      <c r="A8954" s="8" t="n"/>
      <c r="B8954" s="8" t="n"/>
      <c r="C8954" s="8" t="n"/>
      <c r="D8954" s="8" t="n"/>
      <c r="E8954" s="8" t="n"/>
      <c r="F8954" s="8" t="n"/>
      <c r="G8954" s="8" t="n"/>
      <c r="H8954" s="8" t="n"/>
      <c r="I8954" s="8" t="n"/>
      <c r="J8954" s="8" t="n"/>
      <c r="K8954" s="8" t="n"/>
      <c r="L8954" s="8" t="n"/>
      <c r="M8954" s="9">
        <f>B8954+30</f>
        <v/>
      </c>
      <c r="N8954">
        <f>IF(L8954="", "", L8954-B8954)</f>
        <v/>
      </c>
      <c r="O8954">
        <f>IF(L8954="", "Pending", IF(N8954&lt;=30, "Met", "Breached"))</f>
        <v/>
      </c>
      <c r="P8954" s="8" t="n"/>
      <c r="Q8954" s="8" t="n"/>
      <c r="R8954" s="8" t="n"/>
      <c r="S8954" s="8" t="n"/>
      <c r="T8954" s="8" t="n"/>
      <c r="U8954" s="8" t="n"/>
      <c r="V8954" s="8" t="n"/>
      <c r="W8954" s="8" t="n"/>
      <c r="X8954" s="8" t="n"/>
      <c r="Y8954" s="8" t="n"/>
    </row>
    <row r="8955">
      <c r="A8955" s="8" t="n"/>
      <c r="B8955" s="8" t="n"/>
      <c r="C8955" s="8" t="n"/>
      <c r="D8955" s="8" t="n"/>
      <c r="E8955" s="8" t="n"/>
      <c r="F8955" s="8" t="n"/>
      <c r="G8955" s="8" t="n"/>
      <c r="H8955" s="8" t="n"/>
      <c r="I8955" s="8" t="n"/>
      <c r="J8955" s="8" t="n"/>
      <c r="K8955" s="8" t="n"/>
      <c r="L8955" s="8" t="n"/>
      <c r="M8955" s="9">
        <f>B8955+30</f>
        <v/>
      </c>
      <c r="N8955">
        <f>IF(L8955="", "", L8955-B8955)</f>
        <v/>
      </c>
      <c r="O8955">
        <f>IF(L8955="", "Pending", IF(N8955&lt;=30, "Met", "Breached"))</f>
        <v/>
      </c>
      <c r="P8955" s="8" t="n"/>
      <c r="Q8955" s="8" t="n"/>
      <c r="R8955" s="8" t="n"/>
      <c r="S8955" s="8" t="n"/>
      <c r="T8955" s="8" t="n"/>
      <c r="U8955" s="8" t="n"/>
      <c r="V8955" s="8" t="n"/>
      <c r="W8955" s="8" t="n"/>
      <c r="X8955" s="8" t="n"/>
      <c r="Y8955" s="8" t="n"/>
    </row>
    <row r="8956">
      <c r="A8956" s="8" t="n"/>
      <c r="B8956" s="8" t="n"/>
      <c r="C8956" s="8" t="n"/>
      <c r="D8956" s="8" t="n"/>
      <c r="E8956" s="8" t="n"/>
      <c r="F8956" s="8" t="n"/>
      <c r="G8956" s="8" t="n"/>
      <c r="H8956" s="8" t="n"/>
      <c r="I8956" s="8" t="n"/>
      <c r="J8956" s="8" t="n"/>
      <c r="K8956" s="8" t="n"/>
      <c r="L8956" s="8" t="n"/>
      <c r="M8956" s="9">
        <f>B8956+30</f>
        <v/>
      </c>
      <c r="N8956">
        <f>IF(L8956="", "", L8956-B8956)</f>
        <v/>
      </c>
      <c r="O8956">
        <f>IF(L8956="", "Pending", IF(N8956&lt;=30, "Met", "Breached"))</f>
        <v/>
      </c>
      <c r="P8956" s="8" t="n"/>
      <c r="Q8956" s="8" t="n"/>
      <c r="R8956" s="8" t="n"/>
      <c r="S8956" s="8" t="n"/>
      <c r="T8956" s="8" t="n"/>
      <c r="U8956" s="8" t="n"/>
      <c r="V8956" s="8" t="n"/>
      <c r="W8956" s="8" t="n"/>
      <c r="X8956" s="8" t="n"/>
      <c r="Y8956" s="8" t="n"/>
    </row>
    <row r="8957">
      <c r="A8957" s="8" t="n"/>
      <c r="B8957" s="8" t="n"/>
      <c r="C8957" s="8" t="n"/>
      <c r="D8957" s="8" t="n"/>
      <c r="E8957" s="8" t="n"/>
      <c r="F8957" s="8" t="n"/>
      <c r="G8957" s="8" t="n"/>
      <c r="H8957" s="8" t="n"/>
      <c r="I8957" s="8" t="n"/>
      <c r="J8957" s="8" t="n"/>
      <c r="K8957" s="8" t="n"/>
      <c r="L8957" s="8" t="n"/>
      <c r="M8957" s="9">
        <f>B8957+30</f>
        <v/>
      </c>
      <c r="N8957">
        <f>IF(L8957="", "", L8957-B8957)</f>
        <v/>
      </c>
      <c r="O8957">
        <f>IF(L8957="", "Pending", IF(N8957&lt;=30, "Met", "Breached"))</f>
        <v/>
      </c>
      <c r="P8957" s="8" t="n"/>
      <c r="Q8957" s="8" t="n"/>
      <c r="R8957" s="8" t="n"/>
      <c r="S8957" s="8" t="n"/>
      <c r="T8957" s="8" t="n"/>
      <c r="U8957" s="8" t="n"/>
      <c r="V8957" s="8" t="n"/>
      <c r="W8957" s="8" t="n"/>
      <c r="X8957" s="8" t="n"/>
      <c r="Y8957" s="8" t="n"/>
    </row>
    <row r="8958">
      <c r="A8958" s="8" t="n"/>
      <c r="B8958" s="8" t="n"/>
      <c r="C8958" s="8" t="n"/>
      <c r="D8958" s="8" t="n"/>
      <c r="E8958" s="8" t="n"/>
      <c r="F8958" s="8" t="n"/>
      <c r="G8958" s="8" t="n"/>
      <c r="H8958" s="8" t="n"/>
      <c r="I8958" s="8" t="n"/>
      <c r="J8958" s="8" t="n"/>
      <c r="K8958" s="8" t="n"/>
      <c r="L8958" s="8" t="n"/>
      <c r="M8958" s="9">
        <f>B8958+30</f>
        <v/>
      </c>
      <c r="N8958">
        <f>IF(L8958="", "", L8958-B8958)</f>
        <v/>
      </c>
      <c r="O8958">
        <f>IF(L8958="", "Pending", IF(N8958&lt;=30, "Met", "Breached"))</f>
        <v/>
      </c>
      <c r="P8958" s="8" t="n"/>
      <c r="Q8958" s="8" t="n"/>
      <c r="R8958" s="8" t="n"/>
      <c r="S8958" s="8" t="n"/>
      <c r="T8958" s="8" t="n"/>
      <c r="U8958" s="8" t="n"/>
      <c r="V8958" s="8" t="n"/>
      <c r="W8958" s="8" t="n"/>
      <c r="X8958" s="8" t="n"/>
      <c r="Y8958" s="8" t="n"/>
    </row>
    <row r="8959">
      <c r="A8959" s="8" t="n"/>
      <c r="B8959" s="8" t="n"/>
      <c r="C8959" s="8" t="n"/>
      <c r="D8959" s="8" t="n"/>
      <c r="E8959" s="8" t="n"/>
      <c r="F8959" s="8" t="n"/>
      <c r="G8959" s="8" t="n"/>
      <c r="H8959" s="8" t="n"/>
      <c r="I8959" s="8" t="n"/>
      <c r="J8959" s="8" t="n"/>
      <c r="K8959" s="8" t="n"/>
      <c r="L8959" s="8" t="n"/>
      <c r="M8959" s="9">
        <f>B8959+30</f>
        <v/>
      </c>
      <c r="N8959">
        <f>IF(L8959="", "", L8959-B8959)</f>
        <v/>
      </c>
      <c r="O8959">
        <f>IF(L8959="", "Pending", IF(N8959&lt;=30, "Met", "Breached"))</f>
        <v/>
      </c>
      <c r="P8959" s="8" t="n"/>
      <c r="Q8959" s="8" t="n"/>
      <c r="R8959" s="8" t="n"/>
      <c r="S8959" s="8" t="n"/>
      <c r="T8959" s="8" t="n"/>
      <c r="U8959" s="8" t="n"/>
      <c r="V8959" s="8" t="n"/>
      <c r="W8959" s="8" t="n"/>
      <c r="X8959" s="8" t="n"/>
      <c r="Y8959" s="8" t="n"/>
    </row>
    <row r="8960">
      <c r="A8960" s="8" t="n"/>
      <c r="B8960" s="8" t="n"/>
      <c r="C8960" s="8" t="n"/>
      <c r="D8960" s="8" t="n"/>
      <c r="E8960" s="8" t="n"/>
      <c r="F8960" s="8" t="n"/>
      <c r="G8960" s="8" t="n"/>
      <c r="H8960" s="8" t="n"/>
      <c r="I8960" s="8" t="n"/>
      <c r="J8960" s="8" t="n"/>
      <c r="K8960" s="8" t="n"/>
      <c r="L8960" s="8" t="n"/>
      <c r="M8960" s="9">
        <f>B8960+30</f>
        <v/>
      </c>
      <c r="N8960">
        <f>IF(L8960="", "", L8960-B8960)</f>
        <v/>
      </c>
      <c r="O8960">
        <f>IF(L8960="", "Pending", IF(N8960&lt;=30, "Met", "Breached"))</f>
        <v/>
      </c>
      <c r="P8960" s="8" t="n"/>
      <c r="Q8960" s="8" t="n"/>
      <c r="R8960" s="8" t="n"/>
      <c r="S8960" s="8" t="n"/>
      <c r="T8960" s="8" t="n"/>
      <c r="U8960" s="8" t="n"/>
      <c r="V8960" s="8" t="n"/>
      <c r="W8960" s="8" t="n"/>
      <c r="X8960" s="8" t="n"/>
      <c r="Y8960" s="8" t="n"/>
    </row>
    <row r="8961">
      <c r="A8961" s="8" t="n"/>
      <c r="B8961" s="8" t="n"/>
      <c r="C8961" s="8" t="n"/>
      <c r="D8961" s="8" t="n"/>
      <c r="E8961" s="8" t="n"/>
      <c r="F8961" s="8" t="n"/>
      <c r="G8961" s="8" t="n"/>
      <c r="H8961" s="8" t="n"/>
      <c r="I8961" s="8" t="n"/>
      <c r="J8961" s="8" t="n"/>
      <c r="K8961" s="8" t="n"/>
      <c r="L8961" s="8" t="n"/>
      <c r="M8961" s="9">
        <f>B8961+30</f>
        <v/>
      </c>
      <c r="N8961">
        <f>IF(L8961="", "", L8961-B8961)</f>
        <v/>
      </c>
      <c r="O8961">
        <f>IF(L8961="", "Pending", IF(N8961&lt;=30, "Met", "Breached"))</f>
        <v/>
      </c>
      <c r="P8961" s="8" t="n"/>
      <c r="Q8961" s="8" t="n"/>
      <c r="R8961" s="8" t="n"/>
      <c r="S8961" s="8" t="n"/>
      <c r="T8961" s="8" t="n"/>
      <c r="U8961" s="8" t="n"/>
      <c r="V8961" s="8" t="n"/>
      <c r="W8961" s="8" t="n"/>
      <c r="X8961" s="8" t="n"/>
      <c r="Y8961" s="8" t="n"/>
    </row>
    <row r="8962">
      <c r="A8962" s="8" t="n"/>
      <c r="B8962" s="8" t="n"/>
      <c r="C8962" s="8" t="n"/>
      <c r="D8962" s="8" t="n"/>
      <c r="E8962" s="8" t="n"/>
      <c r="F8962" s="8" t="n"/>
      <c r="G8962" s="8" t="n"/>
      <c r="H8962" s="8" t="n"/>
      <c r="I8962" s="8" t="n"/>
      <c r="J8962" s="8" t="n"/>
      <c r="K8962" s="8" t="n"/>
      <c r="L8962" s="8" t="n"/>
      <c r="M8962" s="9">
        <f>B8962+30</f>
        <v/>
      </c>
      <c r="N8962">
        <f>IF(L8962="", "", L8962-B8962)</f>
        <v/>
      </c>
      <c r="O8962">
        <f>IF(L8962="", "Pending", IF(N8962&lt;=30, "Met", "Breached"))</f>
        <v/>
      </c>
      <c r="P8962" s="8" t="n"/>
      <c r="Q8962" s="8" t="n"/>
      <c r="R8962" s="8" t="n"/>
      <c r="S8962" s="8" t="n"/>
      <c r="T8962" s="8" t="n"/>
      <c r="U8962" s="8" t="n"/>
      <c r="V8962" s="8" t="n"/>
      <c r="W8962" s="8" t="n"/>
      <c r="X8962" s="8" t="n"/>
      <c r="Y8962" s="8" t="n"/>
    </row>
    <row r="8963">
      <c r="A8963" s="8" t="n"/>
      <c r="B8963" s="8" t="n"/>
      <c r="C8963" s="8" t="n"/>
      <c r="D8963" s="8" t="n"/>
      <c r="E8963" s="8" t="n"/>
      <c r="F8963" s="8" t="n"/>
      <c r="G8963" s="8" t="n"/>
      <c r="H8963" s="8" t="n"/>
      <c r="I8963" s="8" t="n"/>
      <c r="J8963" s="8" t="n"/>
      <c r="K8963" s="8" t="n"/>
      <c r="L8963" s="8" t="n"/>
      <c r="M8963" s="9">
        <f>B8963+30</f>
        <v/>
      </c>
      <c r="N8963">
        <f>IF(L8963="", "", L8963-B8963)</f>
        <v/>
      </c>
      <c r="O8963">
        <f>IF(L8963="", "Pending", IF(N8963&lt;=30, "Met", "Breached"))</f>
        <v/>
      </c>
      <c r="P8963" s="8" t="n"/>
      <c r="Q8963" s="8" t="n"/>
      <c r="R8963" s="8" t="n"/>
      <c r="S8963" s="8" t="n"/>
      <c r="T8963" s="8" t="n"/>
      <c r="U8963" s="8" t="n"/>
      <c r="V8963" s="8" t="n"/>
      <c r="W8963" s="8" t="n"/>
      <c r="X8963" s="8" t="n"/>
      <c r="Y8963" s="8" t="n"/>
    </row>
    <row r="8964">
      <c r="A8964" s="8" t="n"/>
      <c r="B8964" s="8" t="n"/>
      <c r="C8964" s="8" t="n"/>
      <c r="D8964" s="8" t="n"/>
      <c r="E8964" s="8" t="n"/>
      <c r="F8964" s="8" t="n"/>
      <c r="G8964" s="8" t="n"/>
      <c r="H8964" s="8" t="n"/>
      <c r="I8964" s="8" t="n"/>
      <c r="J8964" s="8" t="n"/>
      <c r="K8964" s="8" t="n"/>
      <c r="L8964" s="8" t="n"/>
      <c r="M8964" s="9">
        <f>B8964+30</f>
        <v/>
      </c>
      <c r="N8964">
        <f>IF(L8964="", "", L8964-B8964)</f>
        <v/>
      </c>
      <c r="O8964">
        <f>IF(L8964="", "Pending", IF(N8964&lt;=30, "Met", "Breached"))</f>
        <v/>
      </c>
      <c r="P8964" s="8" t="n"/>
      <c r="Q8964" s="8" t="n"/>
      <c r="R8964" s="8" t="n"/>
      <c r="S8964" s="8" t="n"/>
      <c r="T8964" s="8" t="n"/>
      <c r="U8964" s="8" t="n"/>
      <c r="V8964" s="8" t="n"/>
      <c r="W8964" s="8" t="n"/>
      <c r="X8964" s="8" t="n"/>
      <c r="Y8964" s="8" t="n"/>
    </row>
    <row r="8965">
      <c r="A8965" s="8" t="n"/>
      <c r="B8965" s="8" t="n"/>
      <c r="C8965" s="8" t="n"/>
      <c r="D8965" s="8" t="n"/>
      <c r="E8965" s="8" t="n"/>
      <c r="F8965" s="8" t="n"/>
      <c r="G8965" s="8" t="n"/>
      <c r="H8965" s="8" t="n"/>
      <c r="I8965" s="8" t="n"/>
      <c r="J8965" s="8" t="n"/>
      <c r="K8965" s="8" t="n"/>
      <c r="L8965" s="8" t="n"/>
      <c r="M8965" s="9">
        <f>B8965+30</f>
        <v/>
      </c>
      <c r="N8965">
        <f>IF(L8965="", "", L8965-B8965)</f>
        <v/>
      </c>
      <c r="O8965">
        <f>IF(L8965="", "Pending", IF(N8965&lt;=30, "Met", "Breached"))</f>
        <v/>
      </c>
      <c r="P8965" s="8" t="n"/>
      <c r="Q8965" s="8" t="n"/>
      <c r="R8965" s="8" t="n"/>
      <c r="S8965" s="8" t="n"/>
      <c r="T8965" s="8" t="n"/>
      <c r="U8965" s="8" t="n"/>
      <c r="V8965" s="8" t="n"/>
      <c r="W8965" s="8" t="n"/>
      <c r="X8965" s="8" t="n"/>
      <c r="Y8965" s="8" t="n"/>
    </row>
    <row r="8966">
      <c r="A8966" s="8" t="n"/>
      <c r="B8966" s="8" t="n"/>
      <c r="C8966" s="8" t="n"/>
      <c r="D8966" s="8" t="n"/>
      <c r="E8966" s="8" t="n"/>
      <c r="F8966" s="8" t="n"/>
      <c r="G8966" s="8" t="n"/>
      <c r="H8966" s="8" t="n"/>
      <c r="I8966" s="8" t="n"/>
      <c r="J8966" s="8" t="n"/>
      <c r="K8966" s="8" t="n"/>
      <c r="L8966" s="8" t="n"/>
      <c r="M8966" s="9">
        <f>B8966+30</f>
        <v/>
      </c>
      <c r="N8966">
        <f>IF(L8966="", "", L8966-B8966)</f>
        <v/>
      </c>
      <c r="O8966">
        <f>IF(L8966="", "Pending", IF(N8966&lt;=30, "Met", "Breached"))</f>
        <v/>
      </c>
      <c r="P8966" s="8" t="n"/>
      <c r="Q8966" s="8" t="n"/>
      <c r="R8966" s="8" t="n"/>
      <c r="S8966" s="8" t="n"/>
      <c r="T8966" s="8" t="n"/>
      <c r="U8966" s="8" t="n"/>
      <c r="V8966" s="8" t="n"/>
      <c r="W8966" s="8" t="n"/>
      <c r="X8966" s="8" t="n"/>
      <c r="Y8966" s="8" t="n"/>
    </row>
    <row r="8967">
      <c r="A8967" s="8" t="n"/>
      <c r="B8967" s="8" t="n"/>
      <c r="C8967" s="8" t="n"/>
      <c r="D8967" s="8" t="n"/>
      <c r="E8967" s="8" t="n"/>
      <c r="F8967" s="8" t="n"/>
      <c r="G8967" s="8" t="n"/>
      <c r="H8967" s="8" t="n"/>
      <c r="I8967" s="8" t="n"/>
      <c r="J8967" s="8" t="n"/>
      <c r="K8967" s="8" t="n"/>
      <c r="L8967" s="8" t="n"/>
      <c r="M8967" s="9">
        <f>B8967+30</f>
        <v/>
      </c>
      <c r="N8967">
        <f>IF(L8967="", "", L8967-B8967)</f>
        <v/>
      </c>
      <c r="O8967">
        <f>IF(L8967="", "Pending", IF(N8967&lt;=30, "Met", "Breached"))</f>
        <v/>
      </c>
      <c r="P8967" s="8" t="n"/>
      <c r="Q8967" s="8" t="n"/>
      <c r="R8967" s="8" t="n"/>
      <c r="S8967" s="8" t="n"/>
      <c r="T8967" s="8" t="n"/>
      <c r="U8967" s="8" t="n"/>
      <c r="V8967" s="8" t="n"/>
      <c r="W8967" s="8" t="n"/>
      <c r="X8967" s="8" t="n"/>
      <c r="Y8967" s="8" t="n"/>
    </row>
    <row r="8968">
      <c r="A8968" s="8" t="n"/>
      <c r="B8968" s="8" t="n"/>
      <c r="C8968" s="8" t="n"/>
      <c r="D8968" s="8" t="n"/>
      <c r="E8968" s="8" t="n"/>
      <c r="F8968" s="8" t="n"/>
      <c r="G8968" s="8" t="n"/>
      <c r="H8968" s="8" t="n"/>
      <c r="I8968" s="8" t="n"/>
      <c r="J8968" s="8" t="n"/>
      <c r="K8968" s="8" t="n"/>
      <c r="L8968" s="8" t="n"/>
      <c r="M8968" s="9">
        <f>B8968+30</f>
        <v/>
      </c>
      <c r="N8968">
        <f>IF(L8968="", "", L8968-B8968)</f>
        <v/>
      </c>
      <c r="O8968">
        <f>IF(L8968="", "Pending", IF(N8968&lt;=30, "Met", "Breached"))</f>
        <v/>
      </c>
      <c r="P8968" s="8" t="n"/>
      <c r="Q8968" s="8" t="n"/>
      <c r="R8968" s="8" t="n"/>
      <c r="S8968" s="8" t="n"/>
      <c r="T8968" s="8" t="n"/>
      <c r="U8968" s="8" t="n"/>
      <c r="V8968" s="8" t="n"/>
      <c r="W8968" s="8" t="n"/>
      <c r="X8968" s="8" t="n"/>
      <c r="Y8968" s="8" t="n"/>
    </row>
    <row r="8969">
      <c r="A8969" s="8" t="n"/>
      <c r="B8969" s="8" t="n"/>
      <c r="C8969" s="8" t="n"/>
      <c r="D8969" s="8" t="n"/>
      <c r="E8969" s="8" t="n"/>
      <c r="F8969" s="8" t="n"/>
      <c r="G8969" s="8" t="n"/>
      <c r="H8969" s="8" t="n"/>
      <c r="I8969" s="8" t="n"/>
      <c r="J8969" s="8" t="n"/>
      <c r="K8969" s="8" t="n"/>
      <c r="L8969" s="8" t="n"/>
      <c r="M8969" s="9">
        <f>B8969+30</f>
        <v/>
      </c>
      <c r="N8969">
        <f>IF(L8969="", "", L8969-B8969)</f>
        <v/>
      </c>
      <c r="O8969">
        <f>IF(L8969="", "Pending", IF(N8969&lt;=30, "Met", "Breached"))</f>
        <v/>
      </c>
      <c r="P8969" s="8" t="n"/>
      <c r="Q8969" s="8" t="n"/>
      <c r="R8969" s="8" t="n"/>
      <c r="S8969" s="8" t="n"/>
      <c r="T8969" s="8" t="n"/>
      <c r="U8969" s="8" t="n"/>
      <c r="V8969" s="8" t="n"/>
      <c r="W8969" s="8" t="n"/>
      <c r="X8969" s="8" t="n"/>
      <c r="Y8969" s="8" t="n"/>
    </row>
    <row r="8970">
      <c r="A8970" s="8" t="n"/>
      <c r="B8970" s="8" t="n"/>
      <c r="C8970" s="8" t="n"/>
      <c r="D8970" s="8" t="n"/>
      <c r="E8970" s="8" t="n"/>
      <c r="F8970" s="8" t="n"/>
      <c r="G8970" s="8" t="n"/>
      <c r="H8970" s="8" t="n"/>
      <c r="I8970" s="8" t="n"/>
      <c r="J8970" s="8" t="n"/>
      <c r="K8970" s="8" t="n"/>
      <c r="L8970" s="8" t="n"/>
      <c r="M8970" s="9">
        <f>B8970+30</f>
        <v/>
      </c>
      <c r="N8970">
        <f>IF(L8970="", "", L8970-B8970)</f>
        <v/>
      </c>
      <c r="O8970">
        <f>IF(L8970="", "Pending", IF(N8970&lt;=30, "Met", "Breached"))</f>
        <v/>
      </c>
      <c r="P8970" s="8" t="n"/>
      <c r="Q8970" s="8" t="n"/>
      <c r="R8970" s="8" t="n"/>
      <c r="S8970" s="8" t="n"/>
      <c r="T8970" s="8" t="n"/>
      <c r="U8970" s="8" t="n"/>
      <c r="V8970" s="8" t="n"/>
      <c r="W8970" s="8" t="n"/>
      <c r="X8970" s="8" t="n"/>
      <c r="Y8970" s="8" t="n"/>
    </row>
    <row r="8971">
      <c r="A8971" s="8" t="n"/>
      <c r="B8971" s="8" t="n"/>
      <c r="C8971" s="8" t="n"/>
      <c r="D8971" s="8" t="n"/>
      <c r="E8971" s="8" t="n"/>
      <c r="F8971" s="8" t="n"/>
      <c r="G8971" s="8" t="n"/>
      <c r="H8971" s="8" t="n"/>
      <c r="I8971" s="8" t="n"/>
      <c r="J8971" s="8" t="n"/>
      <c r="K8971" s="8" t="n"/>
      <c r="L8971" s="8" t="n"/>
      <c r="M8971" s="9">
        <f>B8971+30</f>
        <v/>
      </c>
      <c r="N8971">
        <f>IF(L8971="", "", L8971-B8971)</f>
        <v/>
      </c>
      <c r="O8971">
        <f>IF(L8971="", "Pending", IF(N8971&lt;=30, "Met", "Breached"))</f>
        <v/>
      </c>
      <c r="P8971" s="8" t="n"/>
      <c r="Q8971" s="8" t="n"/>
      <c r="R8971" s="8" t="n"/>
      <c r="S8971" s="8" t="n"/>
      <c r="T8971" s="8" t="n"/>
      <c r="U8971" s="8" t="n"/>
      <c r="V8971" s="8" t="n"/>
      <c r="W8971" s="8" t="n"/>
      <c r="X8971" s="8" t="n"/>
      <c r="Y8971" s="8" t="n"/>
    </row>
    <row r="8972">
      <c r="A8972" s="8" t="n"/>
      <c r="B8972" s="8" t="n"/>
      <c r="C8972" s="8" t="n"/>
      <c r="D8972" s="8" t="n"/>
      <c r="E8972" s="8" t="n"/>
      <c r="F8972" s="8" t="n"/>
      <c r="G8972" s="8" t="n"/>
      <c r="H8972" s="8" t="n"/>
      <c r="I8972" s="8" t="n"/>
      <c r="J8972" s="8" t="n"/>
      <c r="K8972" s="8" t="n"/>
      <c r="L8972" s="8" t="n"/>
      <c r="M8972" s="9">
        <f>B8972+30</f>
        <v/>
      </c>
      <c r="N8972">
        <f>IF(L8972="", "", L8972-B8972)</f>
        <v/>
      </c>
      <c r="O8972">
        <f>IF(L8972="", "Pending", IF(N8972&lt;=30, "Met", "Breached"))</f>
        <v/>
      </c>
      <c r="P8972" s="8" t="n"/>
      <c r="Q8972" s="8" t="n"/>
      <c r="R8972" s="8" t="n"/>
      <c r="S8972" s="8" t="n"/>
      <c r="T8972" s="8" t="n"/>
      <c r="U8972" s="8" t="n"/>
      <c r="V8972" s="8" t="n"/>
      <c r="W8972" s="8" t="n"/>
      <c r="X8972" s="8" t="n"/>
      <c r="Y8972" s="8" t="n"/>
    </row>
    <row r="8973">
      <c r="A8973" s="8" t="n"/>
      <c r="B8973" s="8" t="n"/>
      <c r="C8973" s="8" t="n"/>
      <c r="D8973" s="8" t="n"/>
      <c r="E8973" s="8" t="n"/>
      <c r="F8973" s="8" t="n"/>
      <c r="G8973" s="8" t="n"/>
      <c r="H8973" s="8" t="n"/>
      <c r="I8973" s="8" t="n"/>
      <c r="J8973" s="8" t="n"/>
      <c r="K8973" s="8" t="n"/>
      <c r="L8973" s="8" t="n"/>
      <c r="M8973" s="9">
        <f>B8973+30</f>
        <v/>
      </c>
      <c r="N8973">
        <f>IF(L8973="", "", L8973-B8973)</f>
        <v/>
      </c>
      <c r="O8973">
        <f>IF(L8973="", "Pending", IF(N8973&lt;=30, "Met", "Breached"))</f>
        <v/>
      </c>
      <c r="P8973" s="8" t="n"/>
      <c r="Q8973" s="8" t="n"/>
      <c r="R8973" s="8" t="n"/>
      <c r="S8973" s="8" t="n"/>
      <c r="T8973" s="8" t="n"/>
      <c r="U8973" s="8" t="n"/>
      <c r="V8973" s="8" t="n"/>
      <c r="W8973" s="8" t="n"/>
      <c r="X8973" s="8" t="n"/>
      <c r="Y8973" s="8" t="n"/>
    </row>
    <row r="8974">
      <c r="A8974" s="8" t="n"/>
      <c r="B8974" s="8" t="n"/>
      <c r="C8974" s="8" t="n"/>
      <c r="D8974" s="8" t="n"/>
      <c r="E8974" s="8" t="n"/>
      <c r="F8974" s="8" t="n"/>
      <c r="G8974" s="8" t="n"/>
      <c r="H8974" s="8" t="n"/>
      <c r="I8974" s="8" t="n"/>
      <c r="J8974" s="8" t="n"/>
      <c r="K8974" s="8" t="n"/>
      <c r="L8974" s="8" t="n"/>
      <c r="M8974" s="9">
        <f>B8974+30</f>
        <v/>
      </c>
      <c r="N8974">
        <f>IF(L8974="", "", L8974-B8974)</f>
        <v/>
      </c>
      <c r="O8974">
        <f>IF(L8974="", "Pending", IF(N8974&lt;=30, "Met", "Breached"))</f>
        <v/>
      </c>
      <c r="P8974" s="8" t="n"/>
      <c r="Q8974" s="8" t="n"/>
      <c r="R8974" s="8" t="n"/>
      <c r="S8974" s="8" t="n"/>
      <c r="T8974" s="8" t="n"/>
      <c r="U8974" s="8" t="n"/>
      <c r="V8974" s="8" t="n"/>
      <c r="W8974" s="8" t="n"/>
      <c r="X8974" s="8" t="n"/>
      <c r="Y8974" s="8" t="n"/>
    </row>
    <row r="8975">
      <c r="A8975" s="8" t="n"/>
      <c r="B8975" s="8" t="n"/>
      <c r="C8975" s="8" t="n"/>
      <c r="D8975" s="8" t="n"/>
      <c r="E8975" s="8" t="n"/>
      <c r="F8975" s="8" t="n"/>
      <c r="G8975" s="8" t="n"/>
      <c r="H8975" s="8" t="n"/>
      <c r="I8975" s="8" t="n"/>
      <c r="J8975" s="8" t="n"/>
      <c r="K8975" s="8" t="n"/>
      <c r="L8975" s="8" t="n"/>
      <c r="M8975" s="9">
        <f>B8975+30</f>
        <v/>
      </c>
      <c r="N8975">
        <f>IF(L8975="", "", L8975-B8975)</f>
        <v/>
      </c>
      <c r="O8975">
        <f>IF(L8975="", "Pending", IF(N8975&lt;=30, "Met", "Breached"))</f>
        <v/>
      </c>
      <c r="P8975" s="8" t="n"/>
      <c r="Q8975" s="8" t="n"/>
      <c r="R8975" s="8" t="n"/>
      <c r="S8975" s="8" t="n"/>
      <c r="T8975" s="8" t="n"/>
      <c r="U8975" s="8" t="n"/>
      <c r="V8975" s="8" t="n"/>
      <c r="W8975" s="8" t="n"/>
      <c r="X8975" s="8" t="n"/>
      <c r="Y8975" s="8" t="n"/>
    </row>
    <row r="8976">
      <c r="A8976" s="8" t="n"/>
      <c r="B8976" s="8" t="n"/>
      <c r="C8976" s="8" t="n"/>
      <c r="D8976" s="8" t="n"/>
      <c r="E8976" s="8" t="n"/>
      <c r="F8976" s="8" t="n"/>
      <c r="G8976" s="8" t="n"/>
      <c r="H8976" s="8" t="n"/>
      <c r="I8976" s="8" t="n"/>
      <c r="J8976" s="8" t="n"/>
      <c r="K8976" s="8" t="n"/>
      <c r="L8976" s="8" t="n"/>
      <c r="M8976" s="9">
        <f>B8976+30</f>
        <v/>
      </c>
      <c r="N8976">
        <f>IF(L8976="", "", L8976-B8976)</f>
        <v/>
      </c>
      <c r="O8976">
        <f>IF(L8976="", "Pending", IF(N8976&lt;=30, "Met", "Breached"))</f>
        <v/>
      </c>
      <c r="P8976" s="8" t="n"/>
      <c r="Q8976" s="8" t="n"/>
      <c r="R8976" s="8" t="n"/>
      <c r="S8976" s="8" t="n"/>
      <c r="T8976" s="8" t="n"/>
      <c r="U8976" s="8" t="n"/>
      <c r="V8976" s="8" t="n"/>
      <c r="W8976" s="8" t="n"/>
      <c r="X8976" s="8" t="n"/>
      <c r="Y8976" s="8" t="n"/>
    </row>
    <row r="8977">
      <c r="A8977" s="8" t="n"/>
      <c r="B8977" s="8" t="n"/>
      <c r="C8977" s="8" t="n"/>
      <c r="D8977" s="8" t="n"/>
      <c r="E8977" s="8" t="n"/>
      <c r="F8977" s="8" t="n"/>
      <c r="G8977" s="8" t="n"/>
      <c r="H8977" s="8" t="n"/>
      <c r="I8977" s="8" t="n"/>
      <c r="J8977" s="8" t="n"/>
      <c r="K8977" s="8" t="n"/>
      <c r="L8977" s="8" t="n"/>
      <c r="M8977" s="9">
        <f>B8977+30</f>
        <v/>
      </c>
      <c r="N8977">
        <f>IF(L8977="", "", L8977-B8977)</f>
        <v/>
      </c>
      <c r="O8977">
        <f>IF(L8977="", "Pending", IF(N8977&lt;=30, "Met", "Breached"))</f>
        <v/>
      </c>
      <c r="P8977" s="8" t="n"/>
      <c r="Q8977" s="8" t="n"/>
      <c r="R8977" s="8" t="n"/>
      <c r="S8977" s="8" t="n"/>
      <c r="T8977" s="8" t="n"/>
      <c r="U8977" s="8" t="n"/>
      <c r="V8977" s="8" t="n"/>
      <c r="W8977" s="8" t="n"/>
      <c r="X8977" s="8" t="n"/>
      <c r="Y8977" s="8" t="n"/>
    </row>
    <row r="8978">
      <c r="A8978" s="8" t="n"/>
      <c r="B8978" s="8" t="n"/>
      <c r="C8978" s="8" t="n"/>
      <c r="D8978" s="8" t="n"/>
      <c r="E8978" s="8" t="n"/>
      <c r="F8978" s="8" t="n"/>
      <c r="G8978" s="8" t="n"/>
      <c r="H8978" s="8" t="n"/>
      <c r="I8978" s="8" t="n"/>
      <c r="J8978" s="8" t="n"/>
      <c r="K8978" s="8" t="n"/>
      <c r="L8978" s="8" t="n"/>
      <c r="M8978" s="9">
        <f>B8978+30</f>
        <v/>
      </c>
      <c r="N8978">
        <f>IF(L8978="", "", L8978-B8978)</f>
        <v/>
      </c>
      <c r="O8978">
        <f>IF(L8978="", "Pending", IF(N8978&lt;=30, "Met", "Breached"))</f>
        <v/>
      </c>
      <c r="P8978" s="8" t="n"/>
      <c r="Q8978" s="8" t="n"/>
      <c r="R8978" s="8" t="n"/>
      <c r="S8978" s="8" t="n"/>
      <c r="T8978" s="8" t="n"/>
      <c r="U8978" s="8" t="n"/>
      <c r="V8978" s="8" t="n"/>
      <c r="W8978" s="8" t="n"/>
      <c r="X8978" s="8" t="n"/>
      <c r="Y8978" s="8" t="n"/>
    </row>
    <row r="8979">
      <c r="A8979" s="8" t="n"/>
      <c r="B8979" s="8" t="n"/>
      <c r="C8979" s="8" t="n"/>
      <c r="D8979" s="8" t="n"/>
      <c r="E8979" s="8" t="n"/>
      <c r="F8979" s="8" t="n"/>
      <c r="G8979" s="8" t="n"/>
      <c r="H8979" s="8" t="n"/>
      <c r="I8979" s="8" t="n"/>
      <c r="J8979" s="8" t="n"/>
      <c r="K8979" s="8" t="n"/>
      <c r="L8979" s="8" t="n"/>
      <c r="M8979" s="9">
        <f>B8979+30</f>
        <v/>
      </c>
      <c r="N8979">
        <f>IF(L8979="", "", L8979-B8979)</f>
        <v/>
      </c>
      <c r="O8979">
        <f>IF(L8979="", "Pending", IF(N8979&lt;=30, "Met", "Breached"))</f>
        <v/>
      </c>
      <c r="P8979" s="8" t="n"/>
      <c r="Q8979" s="8" t="n"/>
      <c r="R8979" s="8" t="n"/>
      <c r="S8979" s="8" t="n"/>
      <c r="T8979" s="8" t="n"/>
      <c r="U8979" s="8" t="n"/>
      <c r="V8979" s="8" t="n"/>
      <c r="W8979" s="8" t="n"/>
      <c r="X8979" s="8" t="n"/>
      <c r="Y8979" s="8" t="n"/>
    </row>
    <row r="8980">
      <c r="A8980" s="8" t="n"/>
      <c r="B8980" s="8" t="n"/>
      <c r="C8980" s="8" t="n"/>
      <c r="D8980" s="8" t="n"/>
      <c r="E8980" s="8" t="n"/>
      <c r="F8980" s="8" t="n"/>
      <c r="G8980" s="8" t="n"/>
      <c r="H8980" s="8" t="n"/>
      <c r="I8980" s="8" t="n"/>
      <c r="J8980" s="8" t="n"/>
      <c r="K8980" s="8" t="n"/>
      <c r="L8980" s="8" t="n"/>
      <c r="M8980" s="9">
        <f>B8980+30</f>
        <v/>
      </c>
      <c r="N8980">
        <f>IF(L8980="", "", L8980-B8980)</f>
        <v/>
      </c>
      <c r="O8980">
        <f>IF(L8980="", "Pending", IF(N8980&lt;=30, "Met", "Breached"))</f>
        <v/>
      </c>
      <c r="P8980" s="8" t="n"/>
      <c r="Q8980" s="8" t="n"/>
      <c r="R8980" s="8" t="n"/>
      <c r="S8980" s="8" t="n"/>
      <c r="T8980" s="8" t="n"/>
      <c r="U8980" s="8" t="n"/>
      <c r="V8980" s="8" t="n"/>
      <c r="W8980" s="8" t="n"/>
      <c r="X8980" s="8" t="n"/>
      <c r="Y8980" s="8" t="n"/>
    </row>
    <row r="8981">
      <c r="A8981" s="8" t="n"/>
      <c r="B8981" s="8" t="n"/>
      <c r="C8981" s="8" t="n"/>
      <c r="D8981" s="8" t="n"/>
      <c r="E8981" s="8" t="n"/>
      <c r="F8981" s="8" t="n"/>
      <c r="G8981" s="8" t="n"/>
      <c r="H8981" s="8" t="n"/>
      <c r="I8981" s="8" t="n"/>
      <c r="J8981" s="8" t="n"/>
      <c r="K8981" s="8" t="n"/>
      <c r="L8981" s="8" t="n"/>
      <c r="M8981" s="9">
        <f>B8981+30</f>
        <v/>
      </c>
      <c r="N8981">
        <f>IF(L8981="", "", L8981-B8981)</f>
        <v/>
      </c>
      <c r="O8981">
        <f>IF(L8981="", "Pending", IF(N8981&lt;=30, "Met", "Breached"))</f>
        <v/>
      </c>
      <c r="P8981" s="8" t="n"/>
      <c r="Q8981" s="8" t="n"/>
      <c r="R8981" s="8" t="n"/>
      <c r="S8981" s="8" t="n"/>
      <c r="T8981" s="8" t="n"/>
      <c r="U8981" s="8" t="n"/>
      <c r="V8981" s="8" t="n"/>
      <c r="W8981" s="8" t="n"/>
      <c r="X8981" s="8" t="n"/>
      <c r="Y8981" s="8" t="n"/>
    </row>
    <row r="8982">
      <c r="A8982" s="8" t="n"/>
      <c r="B8982" s="8" t="n"/>
      <c r="C8982" s="8" t="n"/>
      <c r="D8982" s="8" t="n"/>
      <c r="E8982" s="8" t="n"/>
      <c r="F8982" s="8" t="n"/>
      <c r="G8982" s="8" t="n"/>
      <c r="H8982" s="8" t="n"/>
      <c r="I8982" s="8" t="n"/>
      <c r="J8982" s="8" t="n"/>
      <c r="K8982" s="8" t="n"/>
      <c r="L8982" s="8" t="n"/>
      <c r="M8982" s="9">
        <f>B8982+30</f>
        <v/>
      </c>
      <c r="N8982">
        <f>IF(L8982="", "", L8982-B8982)</f>
        <v/>
      </c>
      <c r="O8982">
        <f>IF(L8982="", "Pending", IF(N8982&lt;=30, "Met", "Breached"))</f>
        <v/>
      </c>
      <c r="P8982" s="8" t="n"/>
      <c r="Q8982" s="8" t="n"/>
      <c r="R8982" s="8" t="n"/>
      <c r="S8982" s="8" t="n"/>
      <c r="T8982" s="8" t="n"/>
      <c r="U8982" s="8" t="n"/>
      <c r="V8982" s="8" t="n"/>
      <c r="W8982" s="8" t="n"/>
      <c r="X8982" s="8" t="n"/>
      <c r="Y8982" s="8" t="n"/>
    </row>
    <row r="8983">
      <c r="A8983" s="8" t="n"/>
      <c r="B8983" s="8" t="n"/>
      <c r="C8983" s="8" t="n"/>
      <c r="D8983" s="8" t="n"/>
      <c r="E8983" s="8" t="n"/>
      <c r="F8983" s="8" t="n"/>
      <c r="G8983" s="8" t="n"/>
      <c r="H8983" s="8" t="n"/>
      <c r="I8983" s="8" t="n"/>
      <c r="J8983" s="8" t="n"/>
      <c r="K8983" s="8" t="n"/>
      <c r="L8983" s="8" t="n"/>
      <c r="M8983" s="9">
        <f>B8983+30</f>
        <v/>
      </c>
      <c r="N8983">
        <f>IF(L8983="", "", L8983-B8983)</f>
        <v/>
      </c>
      <c r="O8983">
        <f>IF(L8983="", "Pending", IF(N8983&lt;=30, "Met", "Breached"))</f>
        <v/>
      </c>
      <c r="P8983" s="8" t="n"/>
      <c r="Q8983" s="8" t="n"/>
      <c r="R8983" s="8" t="n"/>
      <c r="S8983" s="8" t="n"/>
      <c r="T8983" s="8" t="n"/>
      <c r="U8983" s="8" t="n"/>
      <c r="V8983" s="8" t="n"/>
      <c r="W8983" s="8" t="n"/>
      <c r="X8983" s="8" t="n"/>
      <c r="Y8983" s="8" t="n"/>
    </row>
    <row r="8984">
      <c r="A8984" s="8" t="n"/>
      <c r="B8984" s="8" t="n"/>
      <c r="C8984" s="8" t="n"/>
      <c r="D8984" s="8" t="n"/>
      <c r="E8984" s="8" t="n"/>
      <c r="F8984" s="8" t="n"/>
      <c r="G8984" s="8" t="n"/>
      <c r="H8984" s="8" t="n"/>
      <c r="I8984" s="8" t="n"/>
      <c r="J8984" s="8" t="n"/>
      <c r="K8984" s="8" t="n"/>
      <c r="L8984" s="8" t="n"/>
      <c r="M8984" s="9">
        <f>B8984+30</f>
        <v/>
      </c>
      <c r="N8984">
        <f>IF(L8984="", "", L8984-B8984)</f>
        <v/>
      </c>
      <c r="O8984">
        <f>IF(L8984="", "Pending", IF(N8984&lt;=30, "Met", "Breached"))</f>
        <v/>
      </c>
      <c r="P8984" s="8" t="n"/>
      <c r="Q8984" s="8" t="n"/>
      <c r="R8984" s="8" t="n"/>
      <c r="S8984" s="8" t="n"/>
      <c r="T8984" s="8" t="n"/>
      <c r="U8984" s="8" t="n"/>
      <c r="V8984" s="8" t="n"/>
      <c r="W8984" s="8" t="n"/>
      <c r="X8984" s="8" t="n"/>
      <c r="Y8984" s="8" t="n"/>
    </row>
    <row r="8985">
      <c r="A8985" s="8" t="n"/>
      <c r="B8985" s="8" t="n"/>
      <c r="C8985" s="8" t="n"/>
      <c r="D8985" s="8" t="n"/>
      <c r="E8985" s="8" t="n"/>
      <c r="F8985" s="8" t="n"/>
      <c r="G8985" s="8" t="n"/>
      <c r="H8985" s="8" t="n"/>
      <c r="I8985" s="8" t="n"/>
      <c r="J8985" s="8" t="n"/>
      <c r="K8985" s="8" t="n"/>
      <c r="L8985" s="8" t="n"/>
      <c r="M8985" s="9">
        <f>B8985+30</f>
        <v/>
      </c>
      <c r="N8985">
        <f>IF(L8985="", "", L8985-B8985)</f>
        <v/>
      </c>
      <c r="O8985">
        <f>IF(L8985="", "Pending", IF(N8985&lt;=30, "Met", "Breached"))</f>
        <v/>
      </c>
      <c r="P8985" s="8" t="n"/>
      <c r="Q8985" s="8" t="n"/>
      <c r="R8985" s="8" t="n"/>
      <c r="S8985" s="8" t="n"/>
      <c r="T8985" s="8" t="n"/>
      <c r="U8985" s="8" t="n"/>
      <c r="V8985" s="8" t="n"/>
      <c r="W8985" s="8" t="n"/>
      <c r="X8985" s="8" t="n"/>
      <c r="Y8985" s="8" t="n"/>
    </row>
    <row r="8986">
      <c r="A8986" s="8" t="n"/>
      <c r="B8986" s="8" t="n"/>
      <c r="C8986" s="8" t="n"/>
      <c r="D8986" s="8" t="n"/>
      <c r="E8986" s="8" t="n"/>
      <c r="F8986" s="8" t="n"/>
      <c r="G8986" s="8" t="n"/>
      <c r="H8986" s="8" t="n"/>
      <c r="I8986" s="8" t="n"/>
      <c r="J8986" s="8" t="n"/>
      <c r="K8986" s="8" t="n"/>
      <c r="L8986" s="8" t="n"/>
      <c r="M8986" s="9">
        <f>B8986+30</f>
        <v/>
      </c>
      <c r="N8986">
        <f>IF(L8986="", "", L8986-B8986)</f>
        <v/>
      </c>
      <c r="O8986">
        <f>IF(L8986="", "Pending", IF(N8986&lt;=30, "Met", "Breached"))</f>
        <v/>
      </c>
      <c r="P8986" s="8" t="n"/>
      <c r="Q8986" s="8" t="n"/>
      <c r="R8986" s="8" t="n"/>
      <c r="S8986" s="8" t="n"/>
      <c r="T8986" s="8" t="n"/>
      <c r="U8986" s="8" t="n"/>
      <c r="V8986" s="8" t="n"/>
      <c r="W8986" s="8" t="n"/>
      <c r="X8986" s="8" t="n"/>
      <c r="Y8986" s="8" t="n"/>
    </row>
    <row r="8987">
      <c r="A8987" s="8" t="n"/>
      <c r="B8987" s="8" t="n"/>
      <c r="C8987" s="8" t="n"/>
      <c r="D8987" s="8" t="n"/>
      <c r="E8987" s="8" t="n"/>
      <c r="F8987" s="8" t="n"/>
      <c r="G8987" s="8" t="n"/>
      <c r="H8987" s="8" t="n"/>
      <c r="I8987" s="8" t="n"/>
      <c r="J8987" s="8" t="n"/>
      <c r="K8987" s="8" t="n"/>
      <c r="L8987" s="8" t="n"/>
      <c r="M8987" s="9">
        <f>B8987+30</f>
        <v/>
      </c>
      <c r="N8987">
        <f>IF(L8987="", "", L8987-B8987)</f>
        <v/>
      </c>
      <c r="O8987">
        <f>IF(L8987="", "Pending", IF(N8987&lt;=30, "Met", "Breached"))</f>
        <v/>
      </c>
      <c r="P8987" s="8" t="n"/>
      <c r="Q8987" s="8" t="n"/>
      <c r="R8987" s="8" t="n"/>
      <c r="S8987" s="8" t="n"/>
      <c r="T8987" s="8" t="n"/>
      <c r="U8987" s="8" t="n"/>
      <c r="V8987" s="8" t="n"/>
      <c r="W8987" s="8" t="n"/>
      <c r="X8987" s="8" t="n"/>
      <c r="Y8987" s="8" t="n"/>
    </row>
    <row r="8988">
      <c r="A8988" s="8" t="n"/>
      <c r="B8988" s="8" t="n"/>
      <c r="C8988" s="8" t="n"/>
      <c r="D8988" s="8" t="n"/>
      <c r="E8988" s="8" t="n"/>
      <c r="F8988" s="8" t="n"/>
      <c r="G8988" s="8" t="n"/>
      <c r="H8988" s="8" t="n"/>
      <c r="I8988" s="8" t="n"/>
      <c r="J8988" s="8" t="n"/>
      <c r="K8988" s="8" t="n"/>
      <c r="L8988" s="8" t="n"/>
      <c r="M8988" s="9">
        <f>B8988+30</f>
        <v/>
      </c>
      <c r="N8988">
        <f>IF(L8988="", "", L8988-B8988)</f>
        <v/>
      </c>
      <c r="O8988">
        <f>IF(L8988="", "Pending", IF(N8988&lt;=30, "Met", "Breached"))</f>
        <v/>
      </c>
      <c r="P8988" s="8" t="n"/>
      <c r="Q8988" s="8" t="n"/>
      <c r="R8988" s="8" t="n"/>
      <c r="S8988" s="8" t="n"/>
      <c r="T8988" s="8" t="n"/>
      <c r="U8988" s="8" t="n"/>
      <c r="V8988" s="8" t="n"/>
      <c r="W8988" s="8" t="n"/>
      <c r="X8988" s="8" t="n"/>
      <c r="Y8988" s="8" t="n"/>
    </row>
    <row r="8989">
      <c r="A8989" s="8" t="n"/>
      <c r="B8989" s="8" t="n"/>
      <c r="C8989" s="8" t="n"/>
      <c r="D8989" s="8" t="n"/>
      <c r="E8989" s="8" t="n"/>
      <c r="F8989" s="8" t="n"/>
      <c r="G8989" s="8" t="n"/>
      <c r="H8989" s="8" t="n"/>
      <c r="I8989" s="8" t="n"/>
      <c r="J8989" s="8" t="n"/>
      <c r="K8989" s="8" t="n"/>
      <c r="L8989" s="8" t="n"/>
      <c r="M8989" s="9">
        <f>B8989+30</f>
        <v/>
      </c>
      <c r="N8989">
        <f>IF(L8989="", "", L8989-B8989)</f>
        <v/>
      </c>
      <c r="O8989">
        <f>IF(L8989="", "Pending", IF(N8989&lt;=30, "Met", "Breached"))</f>
        <v/>
      </c>
      <c r="P8989" s="8" t="n"/>
      <c r="Q8989" s="8" t="n"/>
      <c r="R8989" s="8" t="n"/>
      <c r="S8989" s="8" t="n"/>
      <c r="T8989" s="8" t="n"/>
      <c r="U8989" s="8" t="n"/>
      <c r="V8989" s="8" t="n"/>
      <c r="W8989" s="8" t="n"/>
      <c r="X8989" s="8" t="n"/>
      <c r="Y8989" s="8" t="n"/>
    </row>
    <row r="8990">
      <c r="A8990" s="8" t="n"/>
      <c r="B8990" s="8" t="n"/>
      <c r="C8990" s="8" t="n"/>
      <c r="D8990" s="8" t="n"/>
      <c r="E8990" s="8" t="n"/>
      <c r="F8990" s="8" t="n"/>
      <c r="G8990" s="8" t="n"/>
      <c r="H8990" s="8" t="n"/>
      <c r="I8990" s="8" t="n"/>
      <c r="J8990" s="8" t="n"/>
      <c r="K8990" s="8" t="n"/>
      <c r="L8990" s="8" t="n"/>
      <c r="M8990" s="9">
        <f>B8990+30</f>
        <v/>
      </c>
      <c r="N8990">
        <f>IF(L8990="", "", L8990-B8990)</f>
        <v/>
      </c>
      <c r="O8990">
        <f>IF(L8990="", "Pending", IF(N8990&lt;=30, "Met", "Breached"))</f>
        <v/>
      </c>
      <c r="P8990" s="8" t="n"/>
      <c r="Q8990" s="8" t="n"/>
      <c r="R8990" s="8" t="n"/>
      <c r="S8990" s="8" t="n"/>
      <c r="T8990" s="8" t="n"/>
      <c r="U8990" s="8" t="n"/>
      <c r="V8990" s="8" t="n"/>
      <c r="W8990" s="8" t="n"/>
      <c r="X8990" s="8" t="n"/>
      <c r="Y8990" s="8" t="n"/>
    </row>
    <row r="8991">
      <c r="A8991" s="8" t="n"/>
      <c r="B8991" s="8" t="n"/>
      <c r="C8991" s="8" t="n"/>
      <c r="D8991" s="8" t="n"/>
      <c r="E8991" s="8" t="n"/>
      <c r="F8991" s="8" t="n"/>
      <c r="G8991" s="8" t="n"/>
      <c r="H8991" s="8" t="n"/>
      <c r="I8991" s="8" t="n"/>
      <c r="J8991" s="8" t="n"/>
      <c r="K8991" s="8" t="n"/>
      <c r="L8991" s="8" t="n"/>
      <c r="M8991" s="9">
        <f>B8991+30</f>
        <v/>
      </c>
      <c r="N8991">
        <f>IF(L8991="", "", L8991-B8991)</f>
        <v/>
      </c>
      <c r="O8991">
        <f>IF(L8991="", "Pending", IF(N8991&lt;=30, "Met", "Breached"))</f>
        <v/>
      </c>
      <c r="P8991" s="8" t="n"/>
      <c r="Q8991" s="8" t="n"/>
      <c r="R8991" s="8" t="n"/>
      <c r="S8991" s="8" t="n"/>
      <c r="T8991" s="8" t="n"/>
      <c r="U8991" s="8" t="n"/>
      <c r="V8991" s="8" t="n"/>
      <c r="W8991" s="8" t="n"/>
      <c r="X8991" s="8" t="n"/>
      <c r="Y8991" s="8" t="n"/>
    </row>
    <row r="8992">
      <c r="A8992" s="8" t="n"/>
      <c r="B8992" s="8" t="n"/>
      <c r="C8992" s="8" t="n"/>
      <c r="D8992" s="8" t="n"/>
      <c r="E8992" s="8" t="n"/>
      <c r="F8992" s="8" t="n"/>
      <c r="G8992" s="8" t="n"/>
      <c r="H8992" s="8" t="n"/>
      <c r="I8992" s="8" t="n"/>
      <c r="J8992" s="8" t="n"/>
      <c r="K8992" s="8" t="n"/>
      <c r="L8992" s="8" t="n"/>
      <c r="M8992" s="9">
        <f>B8992+30</f>
        <v/>
      </c>
      <c r="N8992">
        <f>IF(L8992="", "", L8992-B8992)</f>
        <v/>
      </c>
      <c r="O8992">
        <f>IF(L8992="", "Pending", IF(N8992&lt;=30, "Met", "Breached"))</f>
        <v/>
      </c>
      <c r="P8992" s="8" t="n"/>
      <c r="Q8992" s="8" t="n"/>
      <c r="R8992" s="8" t="n"/>
      <c r="S8992" s="8" t="n"/>
      <c r="T8992" s="8" t="n"/>
      <c r="U8992" s="8" t="n"/>
      <c r="V8992" s="8" t="n"/>
      <c r="W8992" s="8" t="n"/>
      <c r="X8992" s="8" t="n"/>
      <c r="Y8992" s="8" t="n"/>
    </row>
    <row r="8993">
      <c r="A8993" s="8" t="n"/>
      <c r="B8993" s="8" t="n"/>
      <c r="C8993" s="8" t="n"/>
      <c r="D8993" s="8" t="n"/>
      <c r="E8993" s="8" t="n"/>
      <c r="F8993" s="8" t="n"/>
      <c r="G8993" s="8" t="n"/>
      <c r="H8993" s="8" t="n"/>
      <c r="I8993" s="8" t="n"/>
      <c r="J8993" s="8" t="n"/>
      <c r="K8993" s="8" t="n"/>
      <c r="L8993" s="8" t="n"/>
      <c r="M8993" s="9">
        <f>B8993+30</f>
        <v/>
      </c>
      <c r="N8993">
        <f>IF(L8993="", "", L8993-B8993)</f>
        <v/>
      </c>
      <c r="O8993">
        <f>IF(L8993="", "Pending", IF(N8993&lt;=30, "Met", "Breached"))</f>
        <v/>
      </c>
      <c r="P8993" s="8" t="n"/>
      <c r="Q8993" s="8" t="n"/>
      <c r="R8993" s="8" t="n"/>
      <c r="S8993" s="8" t="n"/>
      <c r="T8993" s="8" t="n"/>
      <c r="U8993" s="8" t="n"/>
      <c r="V8993" s="8" t="n"/>
      <c r="W8993" s="8" t="n"/>
      <c r="X8993" s="8" t="n"/>
      <c r="Y8993" s="8" t="n"/>
    </row>
    <row r="8994">
      <c r="A8994" s="8" t="n"/>
      <c r="B8994" s="8" t="n"/>
      <c r="C8994" s="8" t="n"/>
      <c r="D8994" s="8" t="n"/>
      <c r="E8994" s="8" t="n"/>
      <c r="F8994" s="8" t="n"/>
      <c r="G8994" s="8" t="n"/>
      <c r="H8994" s="8" t="n"/>
      <c r="I8994" s="8" t="n"/>
      <c r="J8994" s="8" t="n"/>
      <c r="K8994" s="8" t="n"/>
      <c r="L8994" s="8" t="n"/>
      <c r="M8994" s="9">
        <f>B8994+30</f>
        <v/>
      </c>
      <c r="N8994">
        <f>IF(L8994="", "", L8994-B8994)</f>
        <v/>
      </c>
      <c r="O8994">
        <f>IF(L8994="", "Pending", IF(N8994&lt;=30, "Met", "Breached"))</f>
        <v/>
      </c>
      <c r="P8994" s="8" t="n"/>
      <c r="Q8994" s="8" t="n"/>
      <c r="R8994" s="8" t="n"/>
      <c r="S8994" s="8" t="n"/>
      <c r="T8994" s="8" t="n"/>
      <c r="U8994" s="8" t="n"/>
      <c r="V8994" s="8" t="n"/>
      <c r="W8994" s="8" t="n"/>
      <c r="X8994" s="8" t="n"/>
      <c r="Y8994" s="8" t="n"/>
    </row>
    <row r="8995">
      <c r="A8995" s="8" t="n"/>
      <c r="B8995" s="8" t="n"/>
      <c r="C8995" s="8" t="n"/>
      <c r="D8995" s="8" t="n"/>
      <c r="E8995" s="8" t="n"/>
      <c r="F8995" s="8" t="n"/>
      <c r="G8995" s="8" t="n"/>
      <c r="H8995" s="8" t="n"/>
      <c r="I8995" s="8" t="n"/>
      <c r="J8995" s="8" t="n"/>
      <c r="K8995" s="8" t="n"/>
      <c r="L8995" s="8" t="n"/>
      <c r="M8995" s="9">
        <f>B8995+30</f>
        <v/>
      </c>
      <c r="N8995">
        <f>IF(L8995="", "", L8995-B8995)</f>
        <v/>
      </c>
      <c r="O8995">
        <f>IF(L8995="", "Pending", IF(N8995&lt;=30, "Met", "Breached"))</f>
        <v/>
      </c>
      <c r="P8995" s="8" t="n"/>
      <c r="Q8995" s="8" t="n"/>
      <c r="R8995" s="8" t="n"/>
      <c r="S8995" s="8" t="n"/>
      <c r="T8995" s="8" t="n"/>
      <c r="U8995" s="8" t="n"/>
      <c r="V8995" s="8" t="n"/>
      <c r="W8995" s="8" t="n"/>
      <c r="X8995" s="8" t="n"/>
      <c r="Y8995" s="8" t="n"/>
    </row>
    <row r="8996">
      <c r="A8996" s="8" t="n"/>
      <c r="B8996" s="8" t="n"/>
      <c r="C8996" s="8" t="n"/>
      <c r="D8996" s="8" t="n"/>
      <c r="E8996" s="8" t="n"/>
      <c r="F8996" s="8" t="n"/>
      <c r="G8996" s="8" t="n"/>
      <c r="H8996" s="8" t="n"/>
      <c r="I8996" s="8" t="n"/>
      <c r="J8996" s="8" t="n"/>
      <c r="K8996" s="8" t="n"/>
      <c r="L8996" s="8" t="n"/>
      <c r="M8996" s="9">
        <f>B8996+30</f>
        <v/>
      </c>
      <c r="N8996">
        <f>IF(L8996="", "", L8996-B8996)</f>
        <v/>
      </c>
      <c r="O8996">
        <f>IF(L8996="", "Pending", IF(N8996&lt;=30, "Met", "Breached"))</f>
        <v/>
      </c>
      <c r="P8996" s="8" t="n"/>
      <c r="Q8996" s="8" t="n"/>
      <c r="R8996" s="8" t="n"/>
      <c r="S8996" s="8" t="n"/>
      <c r="T8996" s="8" t="n"/>
      <c r="U8996" s="8" t="n"/>
      <c r="V8996" s="8" t="n"/>
      <c r="W8996" s="8" t="n"/>
      <c r="X8996" s="8" t="n"/>
      <c r="Y8996" s="8" t="n"/>
    </row>
    <row r="8997">
      <c r="A8997" s="8" t="n"/>
      <c r="B8997" s="8" t="n"/>
      <c r="C8997" s="8" t="n"/>
      <c r="D8997" s="8" t="n"/>
      <c r="E8997" s="8" t="n"/>
      <c r="F8997" s="8" t="n"/>
      <c r="G8997" s="8" t="n"/>
      <c r="H8997" s="8" t="n"/>
      <c r="I8997" s="8" t="n"/>
      <c r="J8997" s="8" t="n"/>
      <c r="K8997" s="8" t="n"/>
      <c r="L8997" s="8" t="n"/>
      <c r="M8997" s="9">
        <f>B8997+30</f>
        <v/>
      </c>
      <c r="N8997">
        <f>IF(L8997="", "", L8997-B8997)</f>
        <v/>
      </c>
      <c r="O8997">
        <f>IF(L8997="", "Pending", IF(N8997&lt;=30, "Met", "Breached"))</f>
        <v/>
      </c>
      <c r="P8997" s="8" t="n"/>
      <c r="Q8997" s="8" t="n"/>
      <c r="R8997" s="8" t="n"/>
      <c r="S8997" s="8" t="n"/>
      <c r="T8997" s="8" t="n"/>
      <c r="U8997" s="8" t="n"/>
      <c r="V8997" s="8" t="n"/>
      <c r="W8997" s="8" t="n"/>
      <c r="X8997" s="8" t="n"/>
      <c r="Y8997" s="8" t="n"/>
    </row>
    <row r="8998">
      <c r="A8998" s="8" t="n"/>
      <c r="B8998" s="8" t="n"/>
      <c r="C8998" s="8" t="n"/>
      <c r="D8998" s="8" t="n"/>
      <c r="E8998" s="8" t="n"/>
      <c r="F8998" s="8" t="n"/>
      <c r="G8998" s="8" t="n"/>
      <c r="H8998" s="8" t="n"/>
      <c r="I8998" s="8" t="n"/>
      <c r="J8998" s="8" t="n"/>
      <c r="K8998" s="8" t="n"/>
      <c r="L8998" s="8" t="n"/>
      <c r="M8998" s="9">
        <f>B8998+30</f>
        <v/>
      </c>
      <c r="N8998">
        <f>IF(L8998="", "", L8998-B8998)</f>
        <v/>
      </c>
      <c r="O8998">
        <f>IF(L8998="", "Pending", IF(N8998&lt;=30, "Met", "Breached"))</f>
        <v/>
      </c>
      <c r="P8998" s="8" t="n"/>
      <c r="Q8998" s="8" t="n"/>
      <c r="R8998" s="8" t="n"/>
      <c r="S8998" s="8" t="n"/>
      <c r="T8998" s="8" t="n"/>
      <c r="U8998" s="8" t="n"/>
      <c r="V8998" s="8" t="n"/>
      <c r="W8998" s="8" t="n"/>
      <c r="X8998" s="8" t="n"/>
      <c r="Y8998" s="8" t="n"/>
    </row>
    <row r="8999">
      <c r="A8999" s="8" t="n"/>
      <c r="B8999" s="8" t="n"/>
      <c r="C8999" s="8" t="n"/>
      <c r="D8999" s="8" t="n"/>
      <c r="E8999" s="8" t="n"/>
      <c r="F8999" s="8" t="n"/>
      <c r="G8999" s="8" t="n"/>
      <c r="H8999" s="8" t="n"/>
      <c r="I8999" s="8" t="n"/>
      <c r="J8999" s="8" t="n"/>
      <c r="K8999" s="8" t="n"/>
      <c r="L8999" s="8" t="n"/>
      <c r="M8999" s="9">
        <f>B8999+30</f>
        <v/>
      </c>
      <c r="N8999">
        <f>IF(L8999="", "", L8999-B8999)</f>
        <v/>
      </c>
      <c r="O8999">
        <f>IF(L8999="", "Pending", IF(N8999&lt;=30, "Met", "Breached"))</f>
        <v/>
      </c>
      <c r="P8999" s="8" t="n"/>
      <c r="Q8999" s="8" t="n"/>
      <c r="R8999" s="8" t="n"/>
      <c r="S8999" s="8" t="n"/>
      <c r="T8999" s="8" t="n"/>
      <c r="U8999" s="8" t="n"/>
      <c r="V8999" s="8" t="n"/>
      <c r="W8999" s="8" t="n"/>
      <c r="X8999" s="8" t="n"/>
      <c r="Y8999" s="8" t="n"/>
    </row>
    <row r="9000">
      <c r="A9000" s="8" t="n"/>
      <c r="B9000" s="8" t="n"/>
      <c r="C9000" s="8" t="n"/>
      <c r="D9000" s="8" t="n"/>
      <c r="E9000" s="8" t="n"/>
      <c r="F9000" s="8" t="n"/>
      <c r="G9000" s="8" t="n"/>
      <c r="H9000" s="8" t="n"/>
      <c r="I9000" s="8" t="n"/>
      <c r="J9000" s="8" t="n"/>
      <c r="K9000" s="8" t="n"/>
      <c r="L9000" s="8" t="n"/>
      <c r="M9000" s="9">
        <f>B9000+30</f>
        <v/>
      </c>
      <c r="N9000">
        <f>IF(L9000="", "", L9000-B9000)</f>
        <v/>
      </c>
      <c r="O9000">
        <f>IF(L9000="", "Pending", IF(N9000&lt;=30, "Met", "Breached"))</f>
        <v/>
      </c>
      <c r="P9000" s="8" t="n"/>
      <c r="Q9000" s="8" t="n"/>
      <c r="R9000" s="8" t="n"/>
      <c r="S9000" s="8" t="n"/>
      <c r="T9000" s="8" t="n"/>
      <c r="U9000" s="8" t="n"/>
      <c r="V9000" s="8" t="n"/>
      <c r="W9000" s="8" t="n"/>
      <c r="X9000" s="8" t="n"/>
      <c r="Y9000" s="8" t="n"/>
    </row>
    <row r="9001">
      <c r="A9001" s="8" t="n"/>
      <c r="B9001" s="8" t="n"/>
      <c r="C9001" s="8" t="n"/>
      <c r="D9001" s="8" t="n"/>
      <c r="E9001" s="8" t="n"/>
      <c r="F9001" s="8" t="n"/>
      <c r="G9001" s="8" t="n"/>
      <c r="H9001" s="8" t="n"/>
      <c r="I9001" s="8" t="n"/>
      <c r="J9001" s="8" t="n"/>
      <c r="K9001" s="8" t="n"/>
      <c r="L9001" s="8" t="n"/>
      <c r="M9001" s="9">
        <f>B9001+30</f>
        <v/>
      </c>
      <c r="N9001">
        <f>IF(L9001="", "", L9001-B9001)</f>
        <v/>
      </c>
      <c r="O9001">
        <f>IF(L9001="", "Pending", IF(N9001&lt;=30, "Met", "Breached"))</f>
        <v/>
      </c>
      <c r="P9001" s="8" t="n"/>
      <c r="Q9001" s="8" t="n"/>
      <c r="R9001" s="8" t="n"/>
      <c r="S9001" s="8" t="n"/>
      <c r="T9001" s="8" t="n"/>
      <c r="U9001" s="8" t="n"/>
      <c r="V9001" s="8" t="n"/>
      <c r="W9001" s="8" t="n"/>
      <c r="X9001" s="8" t="n"/>
      <c r="Y9001" s="8" t="n"/>
    </row>
    <row r="9002">
      <c r="A9002" s="8" t="n"/>
      <c r="B9002" s="8" t="n"/>
      <c r="C9002" s="8" t="n"/>
      <c r="D9002" s="8" t="n"/>
      <c r="E9002" s="8" t="n"/>
      <c r="F9002" s="8" t="n"/>
      <c r="G9002" s="8" t="n"/>
      <c r="H9002" s="8" t="n"/>
      <c r="I9002" s="8" t="n"/>
      <c r="J9002" s="8" t="n"/>
      <c r="K9002" s="8" t="n"/>
      <c r="L9002" s="8" t="n"/>
      <c r="M9002" s="9">
        <f>B9002+30</f>
        <v/>
      </c>
      <c r="N9002">
        <f>IF(L9002="", "", L9002-B9002)</f>
        <v/>
      </c>
      <c r="O9002">
        <f>IF(L9002="", "Pending", IF(N9002&lt;=30, "Met", "Breached"))</f>
        <v/>
      </c>
      <c r="P9002" s="8" t="n"/>
      <c r="Q9002" s="8" t="n"/>
      <c r="R9002" s="8" t="n"/>
      <c r="S9002" s="8" t="n"/>
      <c r="T9002" s="8" t="n"/>
      <c r="U9002" s="8" t="n"/>
      <c r="V9002" s="8" t="n"/>
      <c r="W9002" s="8" t="n"/>
      <c r="X9002" s="8" t="n"/>
      <c r="Y9002" s="8" t="n"/>
    </row>
    <row r="9003">
      <c r="A9003" s="8" t="n"/>
      <c r="B9003" s="8" t="n"/>
      <c r="C9003" s="8" t="n"/>
      <c r="D9003" s="8" t="n"/>
      <c r="E9003" s="8" t="n"/>
      <c r="F9003" s="8" t="n"/>
      <c r="G9003" s="8" t="n"/>
      <c r="H9003" s="8" t="n"/>
      <c r="I9003" s="8" t="n"/>
      <c r="J9003" s="8" t="n"/>
      <c r="K9003" s="8" t="n"/>
      <c r="L9003" s="8" t="n"/>
      <c r="M9003" s="9">
        <f>B9003+30</f>
        <v/>
      </c>
      <c r="N9003">
        <f>IF(L9003="", "", L9003-B9003)</f>
        <v/>
      </c>
      <c r="O9003">
        <f>IF(L9003="", "Pending", IF(N9003&lt;=30, "Met", "Breached"))</f>
        <v/>
      </c>
      <c r="P9003" s="8" t="n"/>
      <c r="Q9003" s="8" t="n"/>
      <c r="R9003" s="8" t="n"/>
      <c r="S9003" s="8" t="n"/>
      <c r="T9003" s="8" t="n"/>
      <c r="U9003" s="8" t="n"/>
      <c r="V9003" s="8" t="n"/>
      <c r="W9003" s="8" t="n"/>
      <c r="X9003" s="8" t="n"/>
      <c r="Y9003" s="8" t="n"/>
    </row>
    <row r="9004">
      <c r="A9004" s="8" t="n"/>
      <c r="B9004" s="8" t="n"/>
      <c r="C9004" s="8" t="n"/>
      <c r="D9004" s="8" t="n"/>
      <c r="E9004" s="8" t="n"/>
      <c r="F9004" s="8" t="n"/>
      <c r="G9004" s="8" t="n"/>
      <c r="H9004" s="8" t="n"/>
      <c r="I9004" s="8" t="n"/>
      <c r="J9004" s="8" t="n"/>
      <c r="K9004" s="8" t="n"/>
      <c r="L9004" s="8" t="n"/>
      <c r="M9004" s="9">
        <f>B9004+30</f>
        <v/>
      </c>
      <c r="N9004">
        <f>IF(L9004="", "", L9004-B9004)</f>
        <v/>
      </c>
      <c r="O9004">
        <f>IF(L9004="", "Pending", IF(N9004&lt;=30, "Met", "Breached"))</f>
        <v/>
      </c>
      <c r="P9004" s="8" t="n"/>
      <c r="Q9004" s="8" t="n"/>
      <c r="R9004" s="8" t="n"/>
      <c r="S9004" s="8" t="n"/>
      <c r="T9004" s="8" t="n"/>
      <c r="U9004" s="8" t="n"/>
      <c r="V9004" s="8" t="n"/>
      <c r="W9004" s="8" t="n"/>
      <c r="X9004" s="8" t="n"/>
      <c r="Y9004" s="8" t="n"/>
    </row>
    <row r="9005">
      <c r="A9005" s="8" t="n"/>
      <c r="B9005" s="8" t="n"/>
      <c r="C9005" s="8" t="n"/>
      <c r="D9005" s="8" t="n"/>
      <c r="E9005" s="8" t="n"/>
      <c r="F9005" s="8" t="n"/>
      <c r="G9005" s="8" t="n"/>
      <c r="H9005" s="8" t="n"/>
      <c r="I9005" s="8" t="n"/>
      <c r="J9005" s="8" t="n"/>
      <c r="K9005" s="8" t="n"/>
      <c r="L9005" s="8" t="n"/>
      <c r="M9005" s="9">
        <f>B9005+30</f>
        <v/>
      </c>
      <c r="N9005">
        <f>IF(L9005="", "", L9005-B9005)</f>
        <v/>
      </c>
      <c r="O9005">
        <f>IF(L9005="", "Pending", IF(N9005&lt;=30, "Met", "Breached"))</f>
        <v/>
      </c>
      <c r="P9005" s="8" t="n"/>
      <c r="Q9005" s="8" t="n"/>
      <c r="R9005" s="8" t="n"/>
      <c r="S9005" s="8" t="n"/>
      <c r="T9005" s="8" t="n"/>
      <c r="U9005" s="8" t="n"/>
      <c r="V9005" s="8" t="n"/>
      <c r="W9005" s="8" t="n"/>
      <c r="X9005" s="8" t="n"/>
      <c r="Y9005" s="8" t="n"/>
    </row>
    <row r="9006">
      <c r="A9006" s="8" t="n"/>
      <c r="B9006" s="8" t="n"/>
      <c r="C9006" s="8" t="n"/>
      <c r="D9006" s="8" t="n"/>
      <c r="E9006" s="8" t="n"/>
      <c r="F9006" s="8" t="n"/>
      <c r="G9006" s="8" t="n"/>
      <c r="H9006" s="8" t="n"/>
      <c r="I9006" s="8" t="n"/>
      <c r="J9006" s="8" t="n"/>
      <c r="K9006" s="8" t="n"/>
      <c r="L9006" s="8" t="n"/>
      <c r="M9006" s="9">
        <f>B9006+30</f>
        <v/>
      </c>
      <c r="N9006">
        <f>IF(L9006="", "", L9006-B9006)</f>
        <v/>
      </c>
      <c r="O9006">
        <f>IF(L9006="", "Pending", IF(N9006&lt;=30, "Met", "Breached"))</f>
        <v/>
      </c>
      <c r="P9006" s="8" t="n"/>
      <c r="Q9006" s="8" t="n"/>
      <c r="R9006" s="8" t="n"/>
      <c r="S9006" s="8" t="n"/>
      <c r="T9006" s="8" t="n"/>
      <c r="U9006" s="8" t="n"/>
      <c r="V9006" s="8" t="n"/>
      <c r="W9006" s="8" t="n"/>
      <c r="X9006" s="8" t="n"/>
      <c r="Y9006" s="8" t="n"/>
    </row>
    <row r="9007">
      <c r="A9007" s="8" t="n"/>
      <c r="B9007" s="8" t="n"/>
      <c r="C9007" s="8" t="n"/>
      <c r="D9007" s="8" t="n"/>
      <c r="E9007" s="8" t="n"/>
      <c r="F9007" s="8" t="n"/>
      <c r="G9007" s="8" t="n"/>
      <c r="H9007" s="8" t="n"/>
      <c r="I9007" s="8" t="n"/>
      <c r="J9007" s="8" t="n"/>
      <c r="K9007" s="8" t="n"/>
      <c r="L9007" s="8" t="n"/>
      <c r="M9007" s="9">
        <f>B9007+30</f>
        <v/>
      </c>
      <c r="N9007">
        <f>IF(L9007="", "", L9007-B9007)</f>
        <v/>
      </c>
      <c r="O9007">
        <f>IF(L9007="", "Pending", IF(N9007&lt;=30, "Met", "Breached"))</f>
        <v/>
      </c>
      <c r="P9007" s="8" t="n"/>
      <c r="Q9007" s="8" t="n"/>
      <c r="R9007" s="8" t="n"/>
      <c r="S9007" s="8" t="n"/>
      <c r="T9007" s="8" t="n"/>
      <c r="U9007" s="8" t="n"/>
      <c r="V9007" s="8" t="n"/>
      <c r="W9007" s="8" t="n"/>
      <c r="X9007" s="8" t="n"/>
      <c r="Y9007" s="8" t="n"/>
    </row>
    <row r="9008">
      <c r="A9008" s="8" t="n"/>
      <c r="B9008" s="8" t="n"/>
      <c r="C9008" s="8" t="n"/>
      <c r="D9008" s="8" t="n"/>
      <c r="E9008" s="8" t="n"/>
      <c r="F9008" s="8" t="n"/>
      <c r="G9008" s="8" t="n"/>
      <c r="H9008" s="8" t="n"/>
      <c r="I9008" s="8" t="n"/>
      <c r="J9008" s="8" t="n"/>
      <c r="K9008" s="8" t="n"/>
      <c r="L9008" s="8" t="n"/>
      <c r="M9008" s="9">
        <f>B9008+30</f>
        <v/>
      </c>
      <c r="N9008">
        <f>IF(L9008="", "", L9008-B9008)</f>
        <v/>
      </c>
      <c r="O9008">
        <f>IF(L9008="", "Pending", IF(N9008&lt;=30, "Met", "Breached"))</f>
        <v/>
      </c>
      <c r="P9008" s="8" t="n"/>
      <c r="Q9008" s="8" t="n"/>
      <c r="R9008" s="8" t="n"/>
      <c r="S9008" s="8" t="n"/>
      <c r="T9008" s="8" t="n"/>
      <c r="U9008" s="8" t="n"/>
      <c r="V9008" s="8" t="n"/>
      <c r="W9008" s="8" t="n"/>
      <c r="X9008" s="8" t="n"/>
      <c r="Y9008" s="8" t="n"/>
    </row>
    <row r="9009">
      <c r="A9009" s="8" t="n"/>
      <c r="B9009" s="8" t="n"/>
      <c r="C9009" s="8" t="n"/>
      <c r="D9009" s="8" t="n"/>
      <c r="E9009" s="8" t="n"/>
      <c r="F9009" s="8" t="n"/>
      <c r="G9009" s="8" t="n"/>
      <c r="H9009" s="8" t="n"/>
      <c r="I9009" s="8" t="n"/>
      <c r="J9009" s="8" t="n"/>
      <c r="K9009" s="8" t="n"/>
      <c r="L9009" s="8" t="n"/>
      <c r="M9009" s="9">
        <f>B9009+30</f>
        <v/>
      </c>
      <c r="N9009">
        <f>IF(L9009="", "", L9009-B9009)</f>
        <v/>
      </c>
      <c r="O9009">
        <f>IF(L9009="", "Pending", IF(N9009&lt;=30, "Met", "Breached"))</f>
        <v/>
      </c>
      <c r="P9009" s="8" t="n"/>
      <c r="Q9009" s="8" t="n"/>
      <c r="R9009" s="8" t="n"/>
      <c r="S9009" s="8" t="n"/>
      <c r="T9009" s="8" t="n"/>
      <c r="U9009" s="8" t="n"/>
      <c r="V9009" s="8" t="n"/>
      <c r="W9009" s="8" t="n"/>
      <c r="X9009" s="8" t="n"/>
      <c r="Y9009" s="8" t="n"/>
    </row>
    <row r="9010">
      <c r="A9010" s="8" t="n"/>
      <c r="B9010" s="8" t="n"/>
      <c r="C9010" s="8" t="n"/>
      <c r="D9010" s="8" t="n"/>
      <c r="E9010" s="8" t="n"/>
      <c r="F9010" s="8" t="n"/>
      <c r="G9010" s="8" t="n"/>
      <c r="H9010" s="8" t="n"/>
      <c r="I9010" s="8" t="n"/>
      <c r="J9010" s="8" t="n"/>
      <c r="K9010" s="8" t="n"/>
      <c r="L9010" s="8" t="n"/>
      <c r="M9010" s="9">
        <f>B9010+30</f>
        <v/>
      </c>
      <c r="N9010">
        <f>IF(L9010="", "", L9010-B9010)</f>
        <v/>
      </c>
      <c r="O9010">
        <f>IF(L9010="", "Pending", IF(N9010&lt;=30, "Met", "Breached"))</f>
        <v/>
      </c>
      <c r="P9010" s="8" t="n"/>
      <c r="Q9010" s="8" t="n"/>
      <c r="R9010" s="8" t="n"/>
      <c r="S9010" s="8" t="n"/>
      <c r="T9010" s="8" t="n"/>
      <c r="U9010" s="8" t="n"/>
      <c r="V9010" s="8" t="n"/>
      <c r="W9010" s="8" t="n"/>
      <c r="X9010" s="8" t="n"/>
      <c r="Y9010" s="8" t="n"/>
    </row>
    <row r="9011">
      <c r="A9011" s="8" t="n"/>
      <c r="B9011" s="8" t="n"/>
      <c r="C9011" s="8" t="n"/>
      <c r="D9011" s="8" t="n"/>
      <c r="E9011" s="8" t="n"/>
      <c r="F9011" s="8" t="n"/>
      <c r="G9011" s="8" t="n"/>
      <c r="H9011" s="8" t="n"/>
      <c r="I9011" s="8" t="n"/>
      <c r="J9011" s="8" t="n"/>
      <c r="K9011" s="8" t="n"/>
      <c r="L9011" s="8" t="n"/>
      <c r="M9011" s="9">
        <f>B9011+30</f>
        <v/>
      </c>
      <c r="N9011">
        <f>IF(L9011="", "", L9011-B9011)</f>
        <v/>
      </c>
      <c r="O9011">
        <f>IF(L9011="", "Pending", IF(N9011&lt;=30, "Met", "Breached"))</f>
        <v/>
      </c>
      <c r="P9011" s="8" t="n"/>
      <c r="Q9011" s="8" t="n"/>
      <c r="R9011" s="8" t="n"/>
      <c r="S9011" s="8" t="n"/>
      <c r="T9011" s="8" t="n"/>
      <c r="U9011" s="8" t="n"/>
      <c r="V9011" s="8" t="n"/>
      <c r="W9011" s="8" t="n"/>
      <c r="X9011" s="8" t="n"/>
      <c r="Y9011" s="8" t="n"/>
    </row>
    <row r="9012">
      <c r="A9012" s="8" t="n"/>
      <c r="B9012" s="8" t="n"/>
      <c r="C9012" s="8" t="n"/>
      <c r="D9012" s="8" t="n"/>
      <c r="E9012" s="8" t="n"/>
      <c r="F9012" s="8" t="n"/>
      <c r="G9012" s="8" t="n"/>
      <c r="H9012" s="8" t="n"/>
      <c r="I9012" s="8" t="n"/>
      <c r="J9012" s="8" t="n"/>
      <c r="K9012" s="8" t="n"/>
      <c r="L9012" s="8" t="n"/>
      <c r="M9012" s="9">
        <f>B9012+30</f>
        <v/>
      </c>
      <c r="N9012">
        <f>IF(L9012="", "", L9012-B9012)</f>
        <v/>
      </c>
      <c r="O9012">
        <f>IF(L9012="", "Pending", IF(N9012&lt;=30, "Met", "Breached"))</f>
        <v/>
      </c>
      <c r="P9012" s="8" t="n"/>
      <c r="Q9012" s="8" t="n"/>
      <c r="R9012" s="8" t="n"/>
      <c r="S9012" s="8" t="n"/>
      <c r="T9012" s="8" t="n"/>
      <c r="U9012" s="8" t="n"/>
      <c r="V9012" s="8" t="n"/>
      <c r="W9012" s="8" t="n"/>
      <c r="X9012" s="8" t="n"/>
      <c r="Y9012" s="8" t="n"/>
    </row>
    <row r="9013">
      <c r="A9013" s="8" t="n"/>
      <c r="B9013" s="8" t="n"/>
      <c r="C9013" s="8" t="n"/>
      <c r="D9013" s="8" t="n"/>
      <c r="E9013" s="8" t="n"/>
      <c r="F9013" s="8" t="n"/>
      <c r="G9013" s="8" t="n"/>
      <c r="H9013" s="8" t="n"/>
      <c r="I9013" s="8" t="n"/>
      <c r="J9013" s="8" t="n"/>
      <c r="K9013" s="8" t="n"/>
      <c r="L9013" s="8" t="n"/>
      <c r="M9013" s="9">
        <f>B9013+30</f>
        <v/>
      </c>
      <c r="N9013">
        <f>IF(L9013="", "", L9013-B9013)</f>
        <v/>
      </c>
      <c r="O9013">
        <f>IF(L9013="", "Pending", IF(N9013&lt;=30, "Met", "Breached"))</f>
        <v/>
      </c>
      <c r="P9013" s="8" t="n"/>
      <c r="Q9013" s="8" t="n"/>
      <c r="R9013" s="8" t="n"/>
      <c r="S9013" s="8" t="n"/>
      <c r="T9013" s="8" t="n"/>
      <c r="U9013" s="8" t="n"/>
      <c r="V9013" s="8" t="n"/>
      <c r="W9013" s="8" t="n"/>
      <c r="X9013" s="8" t="n"/>
      <c r="Y9013" s="8" t="n"/>
    </row>
    <row r="9014">
      <c r="A9014" s="8" t="n"/>
      <c r="B9014" s="8" t="n"/>
      <c r="C9014" s="8" t="n"/>
      <c r="D9014" s="8" t="n"/>
      <c r="E9014" s="8" t="n"/>
      <c r="F9014" s="8" t="n"/>
      <c r="G9014" s="8" t="n"/>
      <c r="H9014" s="8" t="n"/>
      <c r="I9014" s="8" t="n"/>
      <c r="J9014" s="8" t="n"/>
      <c r="K9014" s="8" t="n"/>
      <c r="L9014" s="8" t="n"/>
      <c r="M9014" s="9">
        <f>B9014+30</f>
        <v/>
      </c>
      <c r="N9014">
        <f>IF(L9014="", "", L9014-B9014)</f>
        <v/>
      </c>
      <c r="O9014">
        <f>IF(L9014="", "Pending", IF(N9014&lt;=30, "Met", "Breached"))</f>
        <v/>
      </c>
      <c r="P9014" s="8" t="n"/>
      <c r="Q9014" s="8" t="n"/>
      <c r="R9014" s="8" t="n"/>
      <c r="S9014" s="8" t="n"/>
      <c r="T9014" s="8" t="n"/>
      <c r="U9014" s="8" t="n"/>
      <c r="V9014" s="8" t="n"/>
      <c r="W9014" s="8" t="n"/>
      <c r="X9014" s="8" t="n"/>
      <c r="Y9014" s="8" t="n"/>
    </row>
    <row r="9015">
      <c r="A9015" s="8" t="n"/>
      <c r="B9015" s="8" t="n"/>
      <c r="C9015" s="8" t="n"/>
      <c r="D9015" s="8" t="n"/>
      <c r="E9015" s="8" t="n"/>
      <c r="F9015" s="8" t="n"/>
      <c r="G9015" s="8" t="n"/>
      <c r="H9015" s="8" t="n"/>
      <c r="I9015" s="8" t="n"/>
      <c r="J9015" s="8" t="n"/>
      <c r="K9015" s="8" t="n"/>
      <c r="L9015" s="8" t="n"/>
      <c r="M9015" s="9">
        <f>B9015+30</f>
        <v/>
      </c>
      <c r="N9015">
        <f>IF(L9015="", "", L9015-B9015)</f>
        <v/>
      </c>
      <c r="O9015">
        <f>IF(L9015="", "Pending", IF(N9015&lt;=30, "Met", "Breached"))</f>
        <v/>
      </c>
      <c r="P9015" s="8" t="n"/>
      <c r="Q9015" s="8" t="n"/>
      <c r="R9015" s="8" t="n"/>
      <c r="S9015" s="8" t="n"/>
      <c r="T9015" s="8" t="n"/>
      <c r="U9015" s="8" t="n"/>
      <c r="V9015" s="8" t="n"/>
      <c r="W9015" s="8" t="n"/>
      <c r="X9015" s="8" t="n"/>
      <c r="Y9015" s="8" t="n"/>
    </row>
    <row r="9016">
      <c r="A9016" s="8" t="n"/>
      <c r="B9016" s="8" t="n"/>
      <c r="C9016" s="8" t="n"/>
      <c r="D9016" s="8" t="n"/>
      <c r="E9016" s="8" t="n"/>
      <c r="F9016" s="8" t="n"/>
      <c r="G9016" s="8" t="n"/>
      <c r="H9016" s="8" t="n"/>
      <c r="I9016" s="8" t="n"/>
      <c r="J9016" s="8" t="n"/>
      <c r="K9016" s="8" t="n"/>
      <c r="L9016" s="8" t="n"/>
      <c r="M9016" s="9">
        <f>B9016+30</f>
        <v/>
      </c>
      <c r="N9016">
        <f>IF(L9016="", "", L9016-B9016)</f>
        <v/>
      </c>
      <c r="O9016">
        <f>IF(L9016="", "Pending", IF(N9016&lt;=30, "Met", "Breached"))</f>
        <v/>
      </c>
      <c r="P9016" s="8" t="n"/>
      <c r="Q9016" s="8" t="n"/>
      <c r="R9016" s="8" t="n"/>
      <c r="S9016" s="8" t="n"/>
      <c r="T9016" s="8" t="n"/>
      <c r="U9016" s="8" t="n"/>
      <c r="V9016" s="8" t="n"/>
      <c r="W9016" s="8" t="n"/>
      <c r="X9016" s="8" t="n"/>
      <c r="Y9016" s="8" t="n"/>
    </row>
    <row r="9017">
      <c r="A9017" s="8" t="n"/>
      <c r="B9017" s="8" t="n"/>
      <c r="C9017" s="8" t="n"/>
      <c r="D9017" s="8" t="n"/>
      <c r="E9017" s="8" t="n"/>
      <c r="F9017" s="8" t="n"/>
      <c r="G9017" s="8" t="n"/>
      <c r="H9017" s="8" t="n"/>
      <c r="I9017" s="8" t="n"/>
      <c r="J9017" s="8" t="n"/>
      <c r="K9017" s="8" t="n"/>
      <c r="L9017" s="8" t="n"/>
      <c r="M9017" s="9">
        <f>B9017+30</f>
        <v/>
      </c>
      <c r="N9017">
        <f>IF(L9017="", "", L9017-B9017)</f>
        <v/>
      </c>
      <c r="O9017">
        <f>IF(L9017="", "Pending", IF(N9017&lt;=30, "Met", "Breached"))</f>
        <v/>
      </c>
      <c r="P9017" s="8" t="n"/>
      <c r="Q9017" s="8" t="n"/>
      <c r="R9017" s="8" t="n"/>
      <c r="S9017" s="8" t="n"/>
      <c r="T9017" s="8" t="n"/>
      <c r="U9017" s="8" t="n"/>
      <c r="V9017" s="8" t="n"/>
      <c r="W9017" s="8" t="n"/>
      <c r="X9017" s="8" t="n"/>
      <c r="Y9017" s="8" t="n"/>
    </row>
    <row r="9018">
      <c r="A9018" s="8" t="n"/>
      <c r="B9018" s="8" t="n"/>
      <c r="C9018" s="8" t="n"/>
      <c r="D9018" s="8" t="n"/>
      <c r="E9018" s="8" t="n"/>
      <c r="F9018" s="8" t="n"/>
      <c r="G9018" s="8" t="n"/>
      <c r="H9018" s="8" t="n"/>
      <c r="I9018" s="8" t="n"/>
      <c r="J9018" s="8" t="n"/>
      <c r="K9018" s="8" t="n"/>
      <c r="L9018" s="8" t="n"/>
      <c r="M9018" s="9">
        <f>B9018+30</f>
        <v/>
      </c>
      <c r="N9018">
        <f>IF(L9018="", "", L9018-B9018)</f>
        <v/>
      </c>
      <c r="O9018">
        <f>IF(L9018="", "Pending", IF(N9018&lt;=30, "Met", "Breached"))</f>
        <v/>
      </c>
      <c r="P9018" s="8" t="n"/>
      <c r="Q9018" s="8" t="n"/>
      <c r="R9018" s="8" t="n"/>
      <c r="S9018" s="8" t="n"/>
      <c r="T9018" s="8" t="n"/>
      <c r="U9018" s="8" t="n"/>
      <c r="V9018" s="8" t="n"/>
      <c r="W9018" s="8" t="n"/>
      <c r="X9018" s="8" t="n"/>
      <c r="Y9018" s="8" t="n"/>
    </row>
    <row r="9019">
      <c r="A9019" s="8" t="n"/>
      <c r="B9019" s="8" t="n"/>
      <c r="C9019" s="8" t="n"/>
      <c r="D9019" s="8" t="n"/>
      <c r="E9019" s="8" t="n"/>
      <c r="F9019" s="8" t="n"/>
      <c r="G9019" s="8" t="n"/>
      <c r="H9019" s="8" t="n"/>
      <c r="I9019" s="8" t="n"/>
      <c r="J9019" s="8" t="n"/>
      <c r="K9019" s="8" t="n"/>
      <c r="L9019" s="8" t="n"/>
      <c r="M9019" s="9">
        <f>B9019+30</f>
        <v/>
      </c>
      <c r="N9019">
        <f>IF(L9019="", "", L9019-B9019)</f>
        <v/>
      </c>
      <c r="O9019">
        <f>IF(L9019="", "Pending", IF(N9019&lt;=30, "Met", "Breached"))</f>
        <v/>
      </c>
      <c r="P9019" s="8" t="n"/>
      <c r="Q9019" s="8" t="n"/>
      <c r="R9019" s="8" t="n"/>
      <c r="S9019" s="8" t="n"/>
      <c r="T9019" s="8" t="n"/>
      <c r="U9019" s="8" t="n"/>
      <c r="V9019" s="8" t="n"/>
      <c r="W9019" s="8" t="n"/>
      <c r="X9019" s="8" t="n"/>
      <c r="Y9019" s="8" t="n"/>
    </row>
    <row r="9020">
      <c r="A9020" s="8" t="n"/>
      <c r="B9020" s="8" t="n"/>
      <c r="C9020" s="8" t="n"/>
      <c r="D9020" s="8" t="n"/>
      <c r="E9020" s="8" t="n"/>
      <c r="F9020" s="8" t="n"/>
      <c r="G9020" s="8" t="n"/>
      <c r="H9020" s="8" t="n"/>
      <c r="I9020" s="8" t="n"/>
      <c r="J9020" s="8" t="n"/>
      <c r="K9020" s="8" t="n"/>
      <c r="L9020" s="8" t="n"/>
      <c r="M9020" s="9">
        <f>B9020+30</f>
        <v/>
      </c>
      <c r="N9020">
        <f>IF(L9020="", "", L9020-B9020)</f>
        <v/>
      </c>
      <c r="O9020">
        <f>IF(L9020="", "Pending", IF(N9020&lt;=30, "Met", "Breached"))</f>
        <v/>
      </c>
      <c r="P9020" s="8" t="n"/>
      <c r="Q9020" s="8" t="n"/>
      <c r="R9020" s="8" t="n"/>
      <c r="S9020" s="8" t="n"/>
      <c r="T9020" s="8" t="n"/>
      <c r="U9020" s="8" t="n"/>
      <c r="V9020" s="8" t="n"/>
      <c r="W9020" s="8" t="n"/>
      <c r="X9020" s="8" t="n"/>
      <c r="Y9020" s="8" t="n"/>
    </row>
    <row r="9021">
      <c r="A9021" s="8" t="n"/>
      <c r="B9021" s="8" t="n"/>
      <c r="C9021" s="8" t="n"/>
      <c r="D9021" s="8" t="n"/>
      <c r="E9021" s="8" t="n"/>
      <c r="F9021" s="8" t="n"/>
      <c r="G9021" s="8" t="n"/>
      <c r="H9021" s="8" t="n"/>
      <c r="I9021" s="8" t="n"/>
      <c r="J9021" s="8" t="n"/>
      <c r="K9021" s="8" t="n"/>
      <c r="L9021" s="8" t="n"/>
      <c r="M9021" s="9">
        <f>B9021+30</f>
        <v/>
      </c>
      <c r="N9021">
        <f>IF(L9021="", "", L9021-B9021)</f>
        <v/>
      </c>
      <c r="O9021">
        <f>IF(L9021="", "Pending", IF(N9021&lt;=30, "Met", "Breached"))</f>
        <v/>
      </c>
      <c r="P9021" s="8" t="n"/>
      <c r="Q9021" s="8" t="n"/>
      <c r="R9021" s="8" t="n"/>
      <c r="S9021" s="8" t="n"/>
      <c r="T9021" s="8" t="n"/>
      <c r="U9021" s="8" t="n"/>
      <c r="V9021" s="8" t="n"/>
      <c r="W9021" s="8" t="n"/>
      <c r="X9021" s="8" t="n"/>
      <c r="Y9021" s="8" t="n"/>
    </row>
    <row r="9022">
      <c r="A9022" s="8" t="n"/>
      <c r="B9022" s="8" t="n"/>
      <c r="C9022" s="8" t="n"/>
      <c r="D9022" s="8" t="n"/>
      <c r="E9022" s="8" t="n"/>
      <c r="F9022" s="8" t="n"/>
      <c r="G9022" s="8" t="n"/>
      <c r="H9022" s="8" t="n"/>
      <c r="I9022" s="8" t="n"/>
      <c r="J9022" s="8" t="n"/>
      <c r="K9022" s="8" t="n"/>
      <c r="L9022" s="8" t="n"/>
      <c r="M9022" s="9">
        <f>B9022+30</f>
        <v/>
      </c>
      <c r="N9022">
        <f>IF(L9022="", "", L9022-B9022)</f>
        <v/>
      </c>
      <c r="O9022">
        <f>IF(L9022="", "Pending", IF(N9022&lt;=30, "Met", "Breached"))</f>
        <v/>
      </c>
      <c r="P9022" s="8" t="n"/>
      <c r="Q9022" s="8" t="n"/>
      <c r="R9022" s="8" t="n"/>
      <c r="S9022" s="8" t="n"/>
      <c r="T9022" s="8" t="n"/>
      <c r="U9022" s="8" t="n"/>
      <c r="V9022" s="8" t="n"/>
      <c r="W9022" s="8" t="n"/>
      <c r="X9022" s="8" t="n"/>
      <c r="Y9022" s="8" t="n"/>
    </row>
    <row r="9023">
      <c r="A9023" s="8" t="n"/>
      <c r="B9023" s="8" t="n"/>
      <c r="C9023" s="8" t="n"/>
      <c r="D9023" s="8" t="n"/>
      <c r="E9023" s="8" t="n"/>
      <c r="F9023" s="8" t="n"/>
      <c r="G9023" s="8" t="n"/>
      <c r="H9023" s="8" t="n"/>
      <c r="I9023" s="8" t="n"/>
      <c r="J9023" s="8" t="n"/>
      <c r="K9023" s="8" t="n"/>
      <c r="L9023" s="8" t="n"/>
      <c r="M9023" s="9">
        <f>B9023+30</f>
        <v/>
      </c>
      <c r="N9023">
        <f>IF(L9023="", "", L9023-B9023)</f>
        <v/>
      </c>
      <c r="O9023">
        <f>IF(L9023="", "Pending", IF(N9023&lt;=30, "Met", "Breached"))</f>
        <v/>
      </c>
      <c r="P9023" s="8" t="n"/>
      <c r="Q9023" s="8" t="n"/>
      <c r="R9023" s="8" t="n"/>
      <c r="S9023" s="8" t="n"/>
      <c r="T9023" s="8" t="n"/>
      <c r="U9023" s="8" t="n"/>
      <c r="V9023" s="8" t="n"/>
      <c r="W9023" s="8" t="n"/>
      <c r="X9023" s="8" t="n"/>
      <c r="Y9023" s="8" t="n"/>
    </row>
    <row r="9024">
      <c r="A9024" s="8" t="n"/>
      <c r="B9024" s="8" t="n"/>
      <c r="C9024" s="8" t="n"/>
      <c r="D9024" s="8" t="n"/>
      <c r="E9024" s="8" t="n"/>
      <c r="F9024" s="8" t="n"/>
      <c r="G9024" s="8" t="n"/>
      <c r="H9024" s="8" t="n"/>
      <c r="I9024" s="8" t="n"/>
      <c r="J9024" s="8" t="n"/>
      <c r="K9024" s="8" t="n"/>
      <c r="L9024" s="8" t="n"/>
      <c r="M9024" s="9">
        <f>B9024+30</f>
        <v/>
      </c>
      <c r="N9024">
        <f>IF(L9024="", "", L9024-B9024)</f>
        <v/>
      </c>
      <c r="O9024">
        <f>IF(L9024="", "Pending", IF(N9024&lt;=30, "Met", "Breached"))</f>
        <v/>
      </c>
      <c r="P9024" s="8" t="n"/>
      <c r="Q9024" s="8" t="n"/>
      <c r="R9024" s="8" t="n"/>
      <c r="S9024" s="8" t="n"/>
      <c r="T9024" s="8" t="n"/>
      <c r="U9024" s="8" t="n"/>
      <c r="V9024" s="8" t="n"/>
      <c r="W9024" s="8" t="n"/>
      <c r="X9024" s="8" t="n"/>
      <c r="Y9024" s="8" t="n"/>
    </row>
    <row r="9025">
      <c r="A9025" s="8" t="n"/>
      <c r="B9025" s="8" t="n"/>
      <c r="C9025" s="8" t="n"/>
      <c r="D9025" s="8" t="n"/>
      <c r="E9025" s="8" t="n"/>
      <c r="F9025" s="8" t="n"/>
      <c r="G9025" s="8" t="n"/>
      <c r="H9025" s="8" t="n"/>
      <c r="I9025" s="8" t="n"/>
      <c r="J9025" s="8" t="n"/>
      <c r="K9025" s="8" t="n"/>
      <c r="L9025" s="8" t="n"/>
      <c r="M9025" s="9">
        <f>B9025+30</f>
        <v/>
      </c>
      <c r="N9025">
        <f>IF(L9025="", "", L9025-B9025)</f>
        <v/>
      </c>
      <c r="O9025">
        <f>IF(L9025="", "Pending", IF(N9025&lt;=30, "Met", "Breached"))</f>
        <v/>
      </c>
      <c r="P9025" s="8" t="n"/>
      <c r="Q9025" s="8" t="n"/>
      <c r="R9025" s="8" t="n"/>
      <c r="S9025" s="8" t="n"/>
      <c r="T9025" s="8" t="n"/>
      <c r="U9025" s="8" t="n"/>
      <c r="V9025" s="8" t="n"/>
      <c r="W9025" s="8" t="n"/>
      <c r="X9025" s="8" t="n"/>
      <c r="Y9025" s="8" t="n"/>
    </row>
    <row r="9026">
      <c r="A9026" s="8" t="n"/>
      <c r="B9026" s="8" t="n"/>
      <c r="C9026" s="8" t="n"/>
      <c r="D9026" s="8" t="n"/>
      <c r="E9026" s="8" t="n"/>
      <c r="F9026" s="8" t="n"/>
      <c r="G9026" s="8" t="n"/>
      <c r="H9026" s="8" t="n"/>
      <c r="I9026" s="8" t="n"/>
      <c r="J9026" s="8" t="n"/>
      <c r="K9026" s="8" t="n"/>
      <c r="L9026" s="8" t="n"/>
      <c r="M9026" s="9">
        <f>B9026+30</f>
        <v/>
      </c>
      <c r="N9026">
        <f>IF(L9026="", "", L9026-B9026)</f>
        <v/>
      </c>
      <c r="O9026">
        <f>IF(L9026="", "Pending", IF(N9026&lt;=30, "Met", "Breached"))</f>
        <v/>
      </c>
      <c r="P9026" s="8" t="n"/>
      <c r="Q9026" s="8" t="n"/>
      <c r="R9026" s="8" t="n"/>
      <c r="S9026" s="8" t="n"/>
      <c r="T9026" s="8" t="n"/>
      <c r="U9026" s="8" t="n"/>
      <c r="V9026" s="8" t="n"/>
      <c r="W9026" s="8" t="n"/>
      <c r="X9026" s="8" t="n"/>
      <c r="Y9026" s="8" t="n"/>
    </row>
    <row r="9027">
      <c r="A9027" s="8" t="n"/>
      <c r="B9027" s="8" t="n"/>
      <c r="C9027" s="8" t="n"/>
      <c r="D9027" s="8" t="n"/>
      <c r="E9027" s="8" t="n"/>
      <c r="F9027" s="8" t="n"/>
      <c r="G9027" s="8" t="n"/>
      <c r="H9027" s="8" t="n"/>
      <c r="I9027" s="8" t="n"/>
      <c r="J9027" s="8" t="n"/>
      <c r="K9027" s="8" t="n"/>
      <c r="L9027" s="8" t="n"/>
      <c r="M9027" s="9">
        <f>B9027+30</f>
        <v/>
      </c>
      <c r="N9027">
        <f>IF(L9027="", "", L9027-B9027)</f>
        <v/>
      </c>
      <c r="O9027">
        <f>IF(L9027="", "Pending", IF(N9027&lt;=30, "Met", "Breached"))</f>
        <v/>
      </c>
      <c r="P9027" s="8" t="n"/>
      <c r="Q9027" s="8" t="n"/>
      <c r="R9027" s="8" t="n"/>
      <c r="S9027" s="8" t="n"/>
      <c r="T9027" s="8" t="n"/>
      <c r="U9027" s="8" t="n"/>
      <c r="V9027" s="8" t="n"/>
      <c r="W9027" s="8" t="n"/>
      <c r="X9027" s="8" t="n"/>
      <c r="Y9027" s="8" t="n"/>
    </row>
    <row r="9028">
      <c r="A9028" s="8" t="n"/>
      <c r="B9028" s="8" t="n"/>
      <c r="C9028" s="8" t="n"/>
      <c r="D9028" s="8" t="n"/>
      <c r="E9028" s="8" t="n"/>
      <c r="F9028" s="8" t="n"/>
      <c r="G9028" s="8" t="n"/>
      <c r="H9028" s="8" t="n"/>
      <c r="I9028" s="8" t="n"/>
      <c r="J9028" s="8" t="n"/>
      <c r="K9028" s="8" t="n"/>
      <c r="L9028" s="8" t="n"/>
      <c r="M9028" s="9">
        <f>B9028+30</f>
        <v/>
      </c>
      <c r="N9028">
        <f>IF(L9028="", "", L9028-B9028)</f>
        <v/>
      </c>
      <c r="O9028">
        <f>IF(L9028="", "Pending", IF(N9028&lt;=30, "Met", "Breached"))</f>
        <v/>
      </c>
      <c r="P9028" s="8" t="n"/>
      <c r="Q9028" s="8" t="n"/>
      <c r="R9028" s="8" t="n"/>
      <c r="S9028" s="8" t="n"/>
      <c r="T9028" s="8" t="n"/>
      <c r="U9028" s="8" t="n"/>
      <c r="V9028" s="8" t="n"/>
      <c r="W9028" s="8" t="n"/>
      <c r="X9028" s="8" t="n"/>
      <c r="Y9028" s="8" t="n"/>
    </row>
    <row r="9029">
      <c r="A9029" s="8" t="n"/>
      <c r="B9029" s="8" t="n"/>
      <c r="C9029" s="8" t="n"/>
      <c r="D9029" s="8" t="n"/>
      <c r="E9029" s="8" t="n"/>
      <c r="F9029" s="8" t="n"/>
      <c r="G9029" s="8" t="n"/>
      <c r="H9029" s="8" t="n"/>
      <c r="I9029" s="8" t="n"/>
      <c r="J9029" s="8" t="n"/>
      <c r="K9029" s="8" t="n"/>
      <c r="L9029" s="8" t="n"/>
      <c r="M9029" s="9">
        <f>B9029+30</f>
        <v/>
      </c>
      <c r="N9029">
        <f>IF(L9029="", "", L9029-B9029)</f>
        <v/>
      </c>
      <c r="O9029">
        <f>IF(L9029="", "Pending", IF(N9029&lt;=30, "Met", "Breached"))</f>
        <v/>
      </c>
      <c r="P9029" s="8" t="n"/>
      <c r="Q9029" s="8" t="n"/>
      <c r="R9029" s="8" t="n"/>
      <c r="S9029" s="8" t="n"/>
      <c r="T9029" s="8" t="n"/>
      <c r="U9029" s="8" t="n"/>
      <c r="V9029" s="8" t="n"/>
      <c r="W9029" s="8" t="n"/>
      <c r="X9029" s="8" t="n"/>
      <c r="Y9029" s="8" t="n"/>
    </row>
    <row r="9030">
      <c r="A9030" s="8" t="n"/>
      <c r="B9030" s="8" t="n"/>
      <c r="C9030" s="8" t="n"/>
      <c r="D9030" s="8" t="n"/>
      <c r="E9030" s="8" t="n"/>
      <c r="F9030" s="8" t="n"/>
      <c r="G9030" s="8" t="n"/>
      <c r="H9030" s="8" t="n"/>
      <c r="I9030" s="8" t="n"/>
      <c r="J9030" s="8" t="n"/>
      <c r="K9030" s="8" t="n"/>
      <c r="L9030" s="8" t="n"/>
      <c r="M9030" s="9">
        <f>B9030+30</f>
        <v/>
      </c>
      <c r="N9030">
        <f>IF(L9030="", "", L9030-B9030)</f>
        <v/>
      </c>
      <c r="O9030">
        <f>IF(L9030="", "Pending", IF(N9030&lt;=30, "Met", "Breached"))</f>
        <v/>
      </c>
      <c r="P9030" s="8" t="n"/>
      <c r="Q9030" s="8" t="n"/>
      <c r="R9030" s="8" t="n"/>
      <c r="S9030" s="8" t="n"/>
      <c r="T9030" s="8" t="n"/>
      <c r="U9030" s="8" t="n"/>
      <c r="V9030" s="8" t="n"/>
      <c r="W9030" s="8" t="n"/>
      <c r="X9030" s="8" t="n"/>
      <c r="Y9030" s="8" t="n"/>
    </row>
    <row r="9031">
      <c r="A9031" s="8" t="n"/>
      <c r="B9031" s="8" t="n"/>
      <c r="C9031" s="8" t="n"/>
      <c r="D9031" s="8" t="n"/>
      <c r="E9031" s="8" t="n"/>
      <c r="F9031" s="8" t="n"/>
      <c r="G9031" s="8" t="n"/>
      <c r="H9031" s="8" t="n"/>
      <c r="I9031" s="8" t="n"/>
      <c r="J9031" s="8" t="n"/>
      <c r="K9031" s="8" t="n"/>
      <c r="L9031" s="8" t="n"/>
      <c r="M9031" s="9">
        <f>B9031+30</f>
        <v/>
      </c>
      <c r="N9031">
        <f>IF(L9031="", "", L9031-B9031)</f>
        <v/>
      </c>
      <c r="O9031">
        <f>IF(L9031="", "Pending", IF(N9031&lt;=30, "Met", "Breached"))</f>
        <v/>
      </c>
      <c r="P9031" s="8" t="n"/>
      <c r="Q9031" s="8" t="n"/>
      <c r="R9031" s="8" t="n"/>
      <c r="S9031" s="8" t="n"/>
      <c r="T9031" s="8" t="n"/>
      <c r="U9031" s="8" t="n"/>
      <c r="V9031" s="8" t="n"/>
      <c r="W9031" s="8" t="n"/>
      <c r="X9031" s="8" t="n"/>
      <c r="Y9031" s="8" t="n"/>
    </row>
    <row r="9032">
      <c r="A9032" s="8" t="n"/>
      <c r="B9032" s="8" t="n"/>
      <c r="C9032" s="8" t="n"/>
      <c r="D9032" s="8" t="n"/>
      <c r="E9032" s="8" t="n"/>
      <c r="F9032" s="8" t="n"/>
      <c r="G9032" s="8" t="n"/>
      <c r="H9032" s="8" t="n"/>
      <c r="I9032" s="8" t="n"/>
      <c r="J9032" s="8" t="n"/>
      <c r="K9032" s="8" t="n"/>
      <c r="L9032" s="8" t="n"/>
      <c r="M9032" s="9">
        <f>B9032+30</f>
        <v/>
      </c>
      <c r="N9032">
        <f>IF(L9032="", "", L9032-B9032)</f>
        <v/>
      </c>
      <c r="O9032">
        <f>IF(L9032="", "Pending", IF(N9032&lt;=30, "Met", "Breached"))</f>
        <v/>
      </c>
      <c r="P9032" s="8" t="n"/>
      <c r="Q9032" s="8" t="n"/>
      <c r="R9032" s="8" t="n"/>
      <c r="S9032" s="8" t="n"/>
      <c r="T9032" s="8" t="n"/>
      <c r="U9032" s="8" t="n"/>
      <c r="V9032" s="8" t="n"/>
      <c r="W9032" s="8" t="n"/>
      <c r="X9032" s="8" t="n"/>
      <c r="Y9032" s="8" t="n"/>
    </row>
    <row r="9033">
      <c r="A9033" s="8" t="n"/>
      <c r="B9033" s="8" t="n"/>
      <c r="C9033" s="8" t="n"/>
      <c r="D9033" s="8" t="n"/>
      <c r="E9033" s="8" t="n"/>
      <c r="F9033" s="8" t="n"/>
      <c r="G9033" s="8" t="n"/>
      <c r="H9033" s="8" t="n"/>
      <c r="I9033" s="8" t="n"/>
      <c r="J9033" s="8" t="n"/>
      <c r="K9033" s="8" t="n"/>
      <c r="L9033" s="8" t="n"/>
      <c r="M9033" s="9">
        <f>B9033+30</f>
        <v/>
      </c>
      <c r="N9033">
        <f>IF(L9033="", "", L9033-B9033)</f>
        <v/>
      </c>
      <c r="O9033">
        <f>IF(L9033="", "Pending", IF(N9033&lt;=30, "Met", "Breached"))</f>
        <v/>
      </c>
      <c r="P9033" s="8" t="n"/>
      <c r="Q9033" s="8" t="n"/>
      <c r="R9033" s="8" t="n"/>
      <c r="S9033" s="8" t="n"/>
      <c r="T9033" s="8" t="n"/>
      <c r="U9033" s="8" t="n"/>
      <c r="V9033" s="8" t="n"/>
      <c r="W9033" s="8" t="n"/>
      <c r="X9033" s="8" t="n"/>
      <c r="Y9033" s="8" t="n"/>
    </row>
    <row r="9034">
      <c r="A9034" s="8" t="n"/>
      <c r="B9034" s="8" t="n"/>
      <c r="C9034" s="8" t="n"/>
      <c r="D9034" s="8" t="n"/>
      <c r="E9034" s="8" t="n"/>
      <c r="F9034" s="8" t="n"/>
      <c r="G9034" s="8" t="n"/>
      <c r="H9034" s="8" t="n"/>
      <c r="I9034" s="8" t="n"/>
      <c r="J9034" s="8" t="n"/>
      <c r="K9034" s="8" t="n"/>
      <c r="L9034" s="8" t="n"/>
      <c r="M9034" s="9">
        <f>B9034+30</f>
        <v/>
      </c>
      <c r="N9034">
        <f>IF(L9034="", "", L9034-B9034)</f>
        <v/>
      </c>
      <c r="O9034">
        <f>IF(L9034="", "Pending", IF(N9034&lt;=30, "Met", "Breached"))</f>
        <v/>
      </c>
      <c r="P9034" s="8" t="n"/>
      <c r="Q9034" s="8" t="n"/>
      <c r="R9034" s="8" t="n"/>
      <c r="S9034" s="8" t="n"/>
      <c r="T9034" s="8" t="n"/>
      <c r="U9034" s="8" t="n"/>
      <c r="V9034" s="8" t="n"/>
      <c r="W9034" s="8" t="n"/>
      <c r="X9034" s="8" t="n"/>
      <c r="Y9034" s="8" t="n"/>
    </row>
    <row r="9035">
      <c r="A9035" s="8" t="n"/>
      <c r="B9035" s="8" t="n"/>
      <c r="C9035" s="8" t="n"/>
      <c r="D9035" s="8" t="n"/>
      <c r="E9035" s="8" t="n"/>
      <c r="F9035" s="8" t="n"/>
      <c r="G9035" s="8" t="n"/>
      <c r="H9035" s="8" t="n"/>
      <c r="I9035" s="8" t="n"/>
      <c r="J9035" s="8" t="n"/>
      <c r="K9035" s="8" t="n"/>
      <c r="L9035" s="8" t="n"/>
      <c r="M9035" s="9">
        <f>B9035+30</f>
        <v/>
      </c>
      <c r="N9035">
        <f>IF(L9035="", "", L9035-B9035)</f>
        <v/>
      </c>
      <c r="O9035">
        <f>IF(L9035="", "Pending", IF(N9035&lt;=30, "Met", "Breached"))</f>
        <v/>
      </c>
      <c r="P9035" s="8" t="n"/>
      <c r="Q9035" s="8" t="n"/>
      <c r="R9035" s="8" t="n"/>
      <c r="S9035" s="8" t="n"/>
      <c r="T9035" s="8" t="n"/>
      <c r="U9035" s="8" t="n"/>
      <c r="V9035" s="8" t="n"/>
      <c r="W9035" s="8" t="n"/>
      <c r="X9035" s="8" t="n"/>
      <c r="Y9035" s="8" t="n"/>
    </row>
    <row r="9036">
      <c r="A9036" s="8" t="n"/>
      <c r="B9036" s="8" t="n"/>
      <c r="C9036" s="8" t="n"/>
      <c r="D9036" s="8" t="n"/>
      <c r="E9036" s="8" t="n"/>
      <c r="F9036" s="8" t="n"/>
      <c r="G9036" s="8" t="n"/>
      <c r="H9036" s="8" t="n"/>
      <c r="I9036" s="8" t="n"/>
      <c r="J9036" s="8" t="n"/>
      <c r="K9036" s="8" t="n"/>
      <c r="L9036" s="8" t="n"/>
      <c r="M9036" s="9">
        <f>B9036+30</f>
        <v/>
      </c>
      <c r="N9036">
        <f>IF(L9036="", "", L9036-B9036)</f>
        <v/>
      </c>
      <c r="O9036">
        <f>IF(L9036="", "Pending", IF(N9036&lt;=30, "Met", "Breached"))</f>
        <v/>
      </c>
      <c r="P9036" s="8" t="n"/>
      <c r="Q9036" s="8" t="n"/>
      <c r="R9036" s="8" t="n"/>
      <c r="S9036" s="8" t="n"/>
      <c r="T9036" s="8" t="n"/>
      <c r="U9036" s="8" t="n"/>
      <c r="V9036" s="8" t="n"/>
      <c r="W9036" s="8" t="n"/>
      <c r="X9036" s="8" t="n"/>
      <c r="Y9036" s="8" t="n"/>
    </row>
    <row r="9037">
      <c r="A9037" s="8" t="n"/>
      <c r="B9037" s="8" t="n"/>
      <c r="C9037" s="8" t="n"/>
      <c r="D9037" s="8" t="n"/>
      <c r="E9037" s="8" t="n"/>
      <c r="F9037" s="8" t="n"/>
      <c r="G9037" s="8" t="n"/>
      <c r="H9037" s="8" t="n"/>
      <c r="I9037" s="8" t="n"/>
      <c r="J9037" s="8" t="n"/>
      <c r="K9037" s="8" t="n"/>
      <c r="L9037" s="8" t="n"/>
      <c r="M9037" s="9">
        <f>B9037+30</f>
        <v/>
      </c>
      <c r="N9037">
        <f>IF(L9037="", "", L9037-B9037)</f>
        <v/>
      </c>
      <c r="O9037">
        <f>IF(L9037="", "Pending", IF(N9037&lt;=30, "Met", "Breached"))</f>
        <v/>
      </c>
      <c r="P9037" s="8" t="n"/>
      <c r="Q9037" s="8" t="n"/>
      <c r="R9037" s="8" t="n"/>
      <c r="S9037" s="8" t="n"/>
      <c r="T9037" s="8" t="n"/>
      <c r="U9037" s="8" t="n"/>
      <c r="V9037" s="8" t="n"/>
      <c r="W9037" s="8" t="n"/>
      <c r="X9037" s="8" t="n"/>
      <c r="Y9037" s="8" t="n"/>
    </row>
    <row r="9038">
      <c r="A9038" s="8" t="n"/>
      <c r="B9038" s="8" t="n"/>
      <c r="C9038" s="8" t="n"/>
      <c r="D9038" s="8" t="n"/>
      <c r="E9038" s="8" t="n"/>
      <c r="F9038" s="8" t="n"/>
      <c r="G9038" s="8" t="n"/>
      <c r="H9038" s="8" t="n"/>
      <c r="I9038" s="8" t="n"/>
      <c r="J9038" s="8" t="n"/>
      <c r="K9038" s="8" t="n"/>
      <c r="L9038" s="8" t="n"/>
      <c r="M9038" s="9">
        <f>B9038+30</f>
        <v/>
      </c>
      <c r="N9038">
        <f>IF(L9038="", "", L9038-B9038)</f>
        <v/>
      </c>
      <c r="O9038">
        <f>IF(L9038="", "Pending", IF(N9038&lt;=30, "Met", "Breached"))</f>
        <v/>
      </c>
      <c r="P9038" s="8" t="n"/>
      <c r="Q9038" s="8" t="n"/>
      <c r="R9038" s="8" t="n"/>
      <c r="S9038" s="8" t="n"/>
      <c r="T9038" s="8" t="n"/>
      <c r="U9038" s="8" t="n"/>
      <c r="V9038" s="8" t="n"/>
      <c r="W9038" s="8" t="n"/>
      <c r="X9038" s="8" t="n"/>
      <c r="Y9038" s="8" t="n"/>
    </row>
    <row r="9039">
      <c r="A9039" s="8" t="n"/>
      <c r="B9039" s="8" t="n"/>
      <c r="C9039" s="8" t="n"/>
      <c r="D9039" s="8" t="n"/>
      <c r="E9039" s="8" t="n"/>
      <c r="F9039" s="8" t="n"/>
      <c r="G9039" s="8" t="n"/>
      <c r="H9039" s="8" t="n"/>
      <c r="I9039" s="8" t="n"/>
      <c r="J9039" s="8" t="n"/>
      <c r="K9039" s="8" t="n"/>
      <c r="L9039" s="8" t="n"/>
      <c r="M9039" s="9">
        <f>B9039+30</f>
        <v/>
      </c>
      <c r="N9039">
        <f>IF(L9039="", "", L9039-B9039)</f>
        <v/>
      </c>
      <c r="O9039">
        <f>IF(L9039="", "Pending", IF(N9039&lt;=30, "Met", "Breached"))</f>
        <v/>
      </c>
      <c r="P9039" s="8" t="n"/>
      <c r="Q9039" s="8" t="n"/>
      <c r="R9039" s="8" t="n"/>
      <c r="S9039" s="8" t="n"/>
      <c r="T9039" s="8" t="n"/>
      <c r="U9039" s="8" t="n"/>
      <c r="V9039" s="8" t="n"/>
      <c r="W9039" s="8" t="n"/>
      <c r="X9039" s="8" t="n"/>
      <c r="Y9039" s="8" t="n"/>
    </row>
    <row r="9040">
      <c r="A9040" s="8" t="n"/>
      <c r="B9040" s="8" t="n"/>
      <c r="C9040" s="8" t="n"/>
      <c r="D9040" s="8" t="n"/>
      <c r="E9040" s="8" t="n"/>
      <c r="F9040" s="8" t="n"/>
      <c r="G9040" s="8" t="n"/>
      <c r="H9040" s="8" t="n"/>
      <c r="I9040" s="8" t="n"/>
      <c r="J9040" s="8" t="n"/>
      <c r="K9040" s="8" t="n"/>
      <c r="L9040" s="8" t="n"/>
      <c r="M9040" s="9">
        <f>B9040+30</f>
        <v/>
      </c>
      <c r="N9040">
        <f>IF(L9040="", "", L9040-B9040)</f>
        <v/>
      </c>
      <c r="O9040">
        <f>IF(L9040="", "Pending", IF(N9040&lt;=30, "Met", "Breached"))</f>
        <v/>
      </c>
      <c r="P9040" s="8" t="n"/>
      <c r="Q9040" s="8" t="n"/>
      <c r="R9040" s="8" t="n"/>
      <c r="S9040" s="8" t="n"/>
      <c r="T9040" s="8" t="n"/>
      <c r="U9040" s="8" t="n"/>
      <c r="V9040" s="8" t="n"/>
      <c r="W9040" s="8" t="n"/>
      <c r="X9040" s="8" t="n"/>
      <c r="Y9040" s="8" t="n"/>
    </row>
    <row r="9041">
      <c r="A9041" s="8" t="n"/>
      <c r="B9041" s="8" t="n"/>
      <c r="C9041" s="8" t="n"/>
      <c r="D9041" s="8" t="n"/>
      <c r="E9041" s="8" t="n"/>
      <c r="F9041" s="8" t="n"/>
      <c r="G9041" s="8" t="n"/>
      <c r="H9041" s="8" t="n"/>
      <c r="I9041" s="8" t="n"/>
      <c r="J9041" s="8" t="n"/>
      <c r="K9041" s="8" t="n"/>
      <c r="L9041" s="8" t="n"/>
      <c r="M9041" s="9">
        <f>B9041+30</f>
        <v/>
      </c>
      <c r="N9041">
        <f>IF(L9041="", "", L9041-B9041)</f>
        <v/>
      </c>
      <c r="O9041">
        <f>IF(L9041="", "Pending", IF(N9041&lt;=30, "Met", "Breached"))</f>
        <v/>
      </c>
      <c r="P9041" s="8" t="n"/>
      <c r="Q9041" s="8" t="n"/>
      <c r="R9041" s="8" t="n"/>
      <c r="S9041" s="8" t="n"/>
      <c r="T9041" s="8" t="n"/>
      <c r="U9041" s="8" t="n"/>
      <c r="V9041" s="8" t="n"/>
      <c r="W9041" s="8" t="n"/>
      <c r="X9041" s="8" t="n"/>
      <c r="Y9041" s="8" t="n"/>
    </row>
    <row r="9042">
      <c r="A9042" s="8" t="n"/>
      <c r="B9042" s="8" t="n"/>
      <c r="C9042" s="8" t="n"/>
      <c r="D9042" s="8" t="n"/>
      <c r="E9042" s="8" t="n"/>
      <c r="F9042" s="8" t="n"/>
      <c r="G9042" s="8" t="n"/>
      <c r="H9042" s="8" t="n"/>
      <c r="I9042" s="8" t="n"/>
      <c r="J9042" s="8" t="n"/>
      <c r="K9042" s="8" t="n"/>
      <c r="L9042" s="8" t="n"/>
      <c r="M9042" s="9">
        <f>B9042+30</f>
        <v/>
      </c>
      <c r="N9042">
        <f>IF(L9042="", "", L9042-B9042)</f>
        <v/>
      </c>
      <c r="O9042">
        <f>IF(L9042="", "Pending", IF(N9042&lt;=30, "Met", "Breached"))</f>
        <v/>
      </c>
      <c r="P9042" s="8" t="n"/>
      <c r="Q9042" s="8" t="n"/>
      <c r="R9042" s="8" t="n"/>
      <c r="S9042" s="8" t="n"/>
      <c r="T9042" s="8" t="n"/>
      <c r="U9042" s="8" t="n"/>
      <c r="V9042" s="8" t="n"/>
      <c r="W9042" s="8" t="n"/>
      <c r="X9042" s="8" t="n"/>
      <c r="Y9042" s="8" t="n"/>
    </row>
    <row r="9043">
      <c r="A9043" s="8" t="n"/>
      <c r="B9043" s="8" t="n"/>
      <c r="C9043" s="8" t="n"/>
      <c r="D9043" s="8" t="n"/>
      <c r="E9043" s="8" t="n"/>
      <c r="F9043" s="8" t="n"/>
      <c r="G9043" s="8" t="n"/>
      <c r="H9043" s="8" t="n"/>
      <c r="I9043" s="8" t="n"/>
      <c r="J9043" s="8" t="n"/>
      <c r="K9043" s="8" t="n"/>
      <c r="L9043" s="8" t="n"/>
      <c r="M9043" s="9">
        <f>B9043+30</f>
        <v/>
      </c>
      <c r="N9043">
        <f>IF(L9043="", "", L9043-B9043)</f>
        <v/>
      </c>
      <c r="O9043">
        <f>IF(L9043="", "Pending", IF(N9043&lt;=30, "Met", "Breached"))</f>
        <v/>
      </c>
      <c r="P9043" s="8" t="n"/>
      <c r="Q9043" s="8" t="n"/>
      <c r="R9043" s="8" t="n"/>
      <c r="S9043" s="8" t="n"/>
      <c r="T9043" s="8" t="n"/>
      <c r="U9043" s="8" t="n"/>
      <c r="V9043" s="8" t="n"/>
      <c r="W9043" s="8" t="n"/>
      <c r="X9043" s="8" t="n"/>
      <c r="Y9043" s="8" t="n"/>
    </row>
    <row r="9044">
      <c r="A9044" s="8" t="n"/>
      <c r="B9044" s="8" t="n"/>
      <c r="C9044" s="8" t="n"/>
      <c r="D9044" s="8" t="n"/>
      <c r="E9044" s="8" t="n"/>
      <c r="F9044" s="8" t="n"/>
      <c r="G9044" s="8" t="n"/>
      <c r="H9044" s="8" t="n"/>
      <c r="I9044" s="8" t="n"/>
      <c r="J9044" s="8" t="n"/>
      <c r="K9044" s="8" t="n"/>
      <c r="L9044" s="8" t="n"/>
      <c r="M9044" s="9">
        <f>B9044+30</f>
        <v/>
      </c>
      <c r="N9044">
        <f>IF(L9044="", "", L9044-B9044)</f>
        <v/>
      </c>
      <c r="O9044">
        <f>IF(L9044="", "Pending", IF(N9044&lt;=30, "Met", "Breached"))</f>
        <v/>
      </c>
      <c r="P9044" s="8" t="n"/>
      <c r="Q9044" s="8" t="n"/>
      <c r="R9044" s="8" t="n"/>
      <c r="S9044" s="8" t="n"/>
      <c r="T9044" s="8" t="n"/>
      <c r="U9044" s="8" t="n"/>
      <c r="V9044" s="8" t="n"/>
      <c r="W9044" s="8" t="n"/>
      <c r="X9044" s="8" t="n"/>
      <c r="Y9044" s="8" t="n"/>
    </row>
    <row r="9045">
      <c r="A9045" s="8" t="n"/>
      <c r="B9045" s="8" t="n"/>
      <c r="C9045" s="8" t="n"/>
      <c r="D9045" s="8" t="n"/>
      <c r="E9045" s="8" t="n"/>
      <c r="F9045" s="8" t="n"/>
      <c r="G9045" s="8" t="n"/>
      <c r="H9045" s="8" t="n"/>
      <c r="I9045" s="8" t="n"/>
      <c r="J9045" s="8" t="n"/>
      <c r="K9045" s="8" t="n"/>
      <c r="L9045" s="8" t="n"/>
      <c r="M9045" s="9">
        <f>B9045+30</f>
        <v/>
      </c>
      <c r="N9045">
        <f>IF(L9045="", "", L9045-B9045)</f>
        <v/>
      </c>
      <c r="O9045">
        <f>IF(L9045="", "Pending", IF(N9045&lt;=30, "Met", "Breached"))</f>
        <v/>
      </c>
      <c r="P9045" s="8" t="n"/>
      <c r="Q9045" s="8" t="n"/>
      <c r="R9045" s="8" t="n"/>
      <c r="S9045" s="8" t="n"/>
      <c r="T9045" s="8" t="n"/>
      <c r="U9045" s="8" t="n"/>
      <c r="V9045" s="8" t="n"/>
      <c r="W9045" s="8" t="n"/>
      <c r="X9045" s="8" t="n"/>
      <c r="Y9045" s="8" t="n"/>
    </row>
    <row r="9046">
      <c r="A9046" s="8" t="n"/>
      <c r="B9046" s="8" t="n"/>
      <c r="C9046" s="8" t="n"/>
      <c r="D9046" s="8" t="n"/>
      <c r="E9046" s="8" t="n"/>
      <c r="F9046" s="8" t="n"/>
      <c r="G9046" s="8" t="n"/>
      <c r="H9046" s="8" t="n"/>
      <c r="I9046" s="8" t="n"/>
      <c r="J9046" s="8" t="n"/>
      <c r="K9046" s="8" t="n"/>
      <c r="L9046" s="8" t="n"/>
      <c r="M9046" s="9">
        <f>B9046+30</f>
        <v/>
      </c>
      <c r="N9046">
        <f>IF(L9046="", "", L9046-B9046)</f>
        <v/>
      </c>
      <c r="O9046">
        <f>IF(L9046="", "Pending", IF(N9046&lt;=30, "Met", "Breached"))</f>
        <v/>
      </c>
      <c r="P9046" s="8" t="n"/>
      <c r="Q9046" s="8" t="n"/>
      <c r="R9046" s="8" t="n"/>
      <c r="S9046" s="8" t="n"/>
      <c r="T9046" s="8" t="n"/>
      <c r="U9046" s="8" t="n"/>
      <c r="V9046" s="8" t="n"/>
      <c r="W9046" s="8" t="n"/>
      <c r="X9046" s="8" t="n"/>
      <c r="Y9046" s="8" t="n"/>
    </row>
    <row r="9047">
      <c r="A9047" s="8" t="n"/>
      <c r="B9047" s="8" t="n"/>
      <c r="C9047" s="8" t="n"/>
      <c r="D9047" s="8" t="n"/>
      <c r="E9047" s="8" t="n"/>
      <c r="F9047" s="8" t="n"/>
      <c r="G9047" s="8" t="n"/>
      <c r="H9047" s="8" t="n"/>
      <c r="I9047" s="8" t="n"/>
      <c r="J9047" s="8" t="n"/>
      <c r="K9047" s="8" t="n"/>
      <c r="L9047" s="8" t="n"/>
      <c r="M9047" s="9">
        <f>B9047+30</f>
        <v/>
      </c>
      <c r="N9047">
        <f>IF(L9047="", "", L9047-B9047)</f>
        <v/>
      </c>
      <c r="O9047">
        <f>IF(L9047="", "Pending", IF(N9047&lt;=30, "Met", "Breached"))</f>
        <v/>
      </c>
      <c r="P9047" s="8" t="n"/>
      <c r="Q9047" s="8" t="n"/>
      <c r="R9047" s="8" t="n"/>
      <c r="S9047" s="8" t="n"/>
      <c r="T9047" s="8" t="n"/>
      <c r="U9047" s="8" t="n"/>
      <c r="V9047" s="8" t="n"/>
      <c r="W9047" s="8" t="n"/>
      <c r="X9047" s="8" t="n"/>
      <c r="Y9047" s="8" t="n"/>
    </row>
    <row r="9048">
      <c r="A9048" s="8" t="n"/>
      <c r="B9048" s="8" t="n"/>
      <c r="C9048" s="8" t="n"/>
      <c r="D9048" s="8" t="n"/>
      <c r="E9048" s="8" t="n"/>
      <c r="F9048" s="8" t="n"/>
      <c r="G9048" s="8" t="n"/>
      <c r="H9048" s="8" t="n"/>
      <c r="I9048" s="8" t="n"/>
      <c r="J9048" s="8" t="n"/>
      <c r="K9048" s="8" t="n"/>
      <c r="L9048" s="8" t="n"/>
      <c r="M9048" s="9">
        <f>B9048+30</f>
        <v/>
      </c>
      <c r="N9048">
        <f>IF(L9048="", "", L9048-B9048)</f>
        <v/>
      </c>
      <c r="O9048">
        <f>IF(L9048="", "Pending", IF(N9048&lt;=30, "Met", "Breached"))</f>
        <v/>
      </c>
      <c r="P9048" s="8" t="n"/>
      <c r="Q9048" s="8" t="n"/>
      <c r="R9048" s="8" t="n"/>
      <c r="S9048" s="8" t="n"/>
      <c r="T9048" s="8" t="n"/>
      <c r="U9048" s="8" t="n"/>
      <c r="V9048" s="8" t="n"/>
      <c r="W9048" s="8" t="n"/>
      <c r="X9048" s="8" t="n"/>
      <c r="Y9048" s="8" t="n"/>
    </row>
    <row r="9049">
      <c r="A9049" s="8" t="n"/>
      <c r="B9049" s="8" t="n"/>
      <c r="C9049" s="8" t="n"/>
      <c r="D9049" s="8" t="n"/>
      <c r="E9049" s="8" t="n"/>
      <c r="F9049" s="8" t="n"/>
      <c r="G9049" s="8" t="n"/>
      <c r="H9049" s="8" t="n"/>
      <c r="I9049" s="8" t="n"/>
      <c r="J9049" s="8" t="n"/>
      <c r="K9049" s="8" t="n"/>
      <c r="L9049" s="8" t="n"/>
      <c r="M9049" s="9">
        <f>B9049+30</f>
        <v/>
      </c>
      <c r="N9049">
        <f>IF(L9049="", "", L9049-B9049)</f>
        <v/>
      </c>
      <c r="O9049">
        <f>IF(L9049="", "Pending", IF(N9049&lt;=30, "Met", "Breached"))</f>
        <v/>
      </c>
      <c r="P9049" s="8" t="n"/>
      <c r="Q9049" s="8" t="n"/>
      <c r="R9049" s="8" t="n"/>
      <c r="S9049" s="8" t="n"/>
      <c r="T9049" s="8" t="n"/>
      <c r="U9049" s="8" t="n"/>
      <c r="V9049" s="8" t="n"/>
      <c r="W9049" s="8" t="n"/>
      <c r="X9049" s="8" t="n"/>
      <c r="Y9049" s="8" t="n"/>
    </row>
    <row r="9050">
      <c r="A9050" s="8" t="n"/>
      <c r="B9050" s="8" t="n"/>
      <c r="C9050" s="8" t="n"/>
      <c r="D9050" s="8" t="n"/>
      <c r="E9050" s="8" t="n"/>
      <c r="F9050" s="8" t="n"/>
      <c r="G9050" s="8" t="n"/>
      <c r="H9050" s="8" t="n"/>
      <c r="I9050" s="8" t="n"/>
      <c r="J9050" s="8" t="n"/>
      <c r="K9050" s="8" t="n"/>
      <c r="L9050" s="8" t="n"/>
      <c r="M9050" s="9">
        <f>B9050+30</f>
        <v/>
      </c>
      <c r="N9050">
        <f>IF(L9050="", "", L9050-B9050)</f>
        <v/>
      </c>
      <c r="O9050">
        <f>IF(L9050="", "Pending", IF(N9050&lt;=30, "Met", "Breached"))</f>
        <v/>
      </c>
      <c r="P9050" s="8" t="n"/>
      <c r="Q9050" s="8" t="n"/>
      <c r="R9050" s="8" t="n"/>
      <c r="S9050" s="8" t="n"/>
      <c r="T9050" s="8" t="n"/>
      <c r="U9050" s="8" t="n"/>
      <c r="V9050" s="8" t="n"/>
      <c r="W9050" s="8" t="n"/>
      <c r="X9050" s="8" t="n"/>
      <c r="Y9050" s="8" t="n"/>
    </row>
    <row r="9051">
      <c r="A9051" s="8" t="n"/>
      <c r="B9051" s="8" t="n"/>
      <c r="C9051" s="8" t="n"/>
      <c r="D9051" s="8" t="n"/>
      <c r="E9051" s="8" t="n"/>
      <c r="F9051" s="8" t="n"/>
      <c r="G9051" s="8" t="n"/>
      <c r="H9051" s="8" t="n"/>
      <c r="I9051" s="8" t="n"/>
      <c r="J9051" s="8" t="n"/>
      <c r="K9051" s="8" t="n"/>
      <c r="L9051" s="8" t="n"/>
      <c r="M9051" s="9">
        <f>B9051+30</f>
        <v/>
      </c>
      <c r="N9051">
        <f>IF(L9051="", "", L9051-B9051)</f>
        <v/>
      </c>
      <c r="O9051">
        <f>IF(L9051="", "Pending", IF(N9051&lt;=30, "Met", "Breached"))</f>
        <v/>
      </c>
      <c r="P9051" s="8" t="n"/>
      <c r="Q9051" s="8" t="n"/>
      <c r="R9051" s="8" t="n"/>
      <c r="S9051" s="8" t="n"/>
      <c r="T9051" s="8" t="n"/>
      <c r="U9051" s="8" t="n"/>
      <c r="V9051" s="8" t="n"/>
      <c r="W9051" s="8" t="n"/>
      <c r="X9051" s="8" t="n"/>
      <c r="Y9051" s="8" t="n"/>
    </row>
    <row r="9052">
      <c r="A9052" s="8" t="n"/>
      <c r="B9052" s="8" t="n"/>
      <c r="C9052" s="8" t="n"/>
      <c r="D9052" s="8" t="n"/>
      <c r="E9052" s="8" t="n"/>
      <c r="F9052" s="8" t="n"/>
      <c r="G9052" s="8" t="n"/>
      <c r="H9052" s="8" t="n"/>
      <c r="I9052" s="8" t="n"/>
      <c r="J9052" s="8" t="n"/>
      <c r="K9052" s="8" t="n"/>
      <c r="L9052" s="8" t="n"/>
      <c r="M9052" s="9">
        <f>B9052+30</f>
        <v/>
      </c>
      <c r="N9052">
        <f>IF(L9052="", "", L9052-B9052)</f>
        <v/>
      </c>
      <c r="O9052">
        <f>IF(L9052="", "Pending", IF(N9052&lt;=30, "Met", "Breached"))</f>
        <v/>
      </c>
      <c r="P9052" s="8" t="n"/>
      <c r="Q9052" s="8" t="n"/>
      <c r="R9052" s="8" t="n"/>
      <c r="S9052" s="8" t="n"/>
      <c r="T9052" s="8" t="n"/>
      <c r="U9052" s="8" t="n"/>
      <c r="V9052" s="8" t="n"/>
      <c r="W9052" s="8" t="n"/>
      <c r="X9052" s="8" t="n"/>
      <c r="Y9052" s="8" t="n"/>
    </row>
    <row r="9053">
      <c r="A9053" s="8" t="n"/>
      <c r="B9053" s="8" t="n"/>
      <c r="C9053" s="8" t="n"/>
      <c r="D9053" s="8" t="n"/>
      <c r="E9053" s="8" t="n"/>
      <c r="F9053" s="8" t="n"/>
      <c r="G9053" s="8" t="n"/>
      <c r="H9053" s="8" t="n"/>
      <c r="I9053" s="8" t="n"/>
      <c r="J9053" s="8" t="n"/>
      <c r="K9053" s="8" t="n"/>
      <c r="L9053" s="8" t="n"/>
      <c r="M9053" s="9">
        <f>B9053+30</f>
        <v/>
      </c>
      <c r="N9053">
        <f>IF(L9053="", "", L9053-B9053)</f>
        <v/>
      </c>
      <c r="O9053">
        <f>IF(L9053="", "Pending", IF(N9053&lt;=30, "Met", "Breached"))</f>
        <v/>
      </c>
      <c r="P9053" s="8" t="n"/>
      <c r="Q9053" s="8" t="n"/>
      <c r="R9053" s="8" t="n"/>
      <c r="S9053" s="8" t="n"/>
      <c r="T9053" s="8" t="n"/>
      <c r="U9053" s="8" t="n"/>
      <c r="V9053" s="8" t="n"/>
      <c r="W9053" s="8" t="n"/>
      <c r="X9053" s="8" t="n"/>
      <c r="Y9053" s="8" t="n"/>
    </row>
    <row r="9054">
      <c r="A9054" s="8" t="n"/>
      <c r="B9054" s="8" t="n"/>
      <c r="C9054" s="8" t="n"/>
      <c r="D9054" s="8" t="n"/>
      <c r="E9054" s="8" t="n"/>
      <c r="F9054" s="8" t="n"/>
      <c r="G9054" s="8" t="n"/>
      <c r="H9054" s="8" t="n"/>
      <c r="I9054" s="8" t="n"/>
      <c r="J9054" s="8" t="n"/>
      <c r="K9054" s="8" t="n"/>
      <c r="L9054" s="8" t="n"/>
      <c r="M9054" s="9">
        <f>B9054+30</f>
        <v/>
      </c>
      <c r="N9054">
        <f>IF(L9054="", "", L9054-B9054)</f>
        <v/>
      </c>
      <c r="O9054">
        <f>IF(L9054="", "Pending", IF(N9054&lt;=30, "Met", "Breached"))</f>
        <v/>
      </c>
      <c r="P9054" s="8" t="n"/>
      <c r="Q9054" s="8" t="n"/>
      <c r="R9054" s="8" t="n"/>
      <c r="S9054" s="8" t="n"/>
      <c r="T9054" s="8" t="n"/>
      <c r="U9054" s="8" t="n"/>
      <c r="V9054" s="8" t="n"/>
      <c r="W9054" s="8" t="n"/>
      <c r="X9054" s="8" t="n"/>
      <c r="Y9054" s="8" t="n"/>
    </row>
    <row r="9055">
      <c r="A9055" s="8" t="n"/>
      <c r="B9055" s="8" t="n"/>
      <c r="C9055" s="8" t="n"/>
      <c r="D9055" s="8" t="n"/>
      <c r="E9055" s="8" t="n"/>
      <c r="F9055" s="8" t="n"/>
      <c r="G9055" s="8" t="n"/>
      <c r="H9055" s="8" t="n"/>
      <c r="I9055" s="8" t="n"/>
      <c r="J9055" s="8" t="n"/>
      <c r="K9055" s="8" t="n"/>
      <c r="L9055" s="8" t="n"/>
      <c r="M9055" s="9">
        <f>B9055+30</f>
        <v/>
      </c>
      <c r="N9055">
        <f>IF(L9055="", "", L9055-B9055)</f>
        <v/>
      </c>
      <c r="O9055">
        <f>IF(L9055="", "Pending", IF(N9055&lt;=30, "Met", "Breached"))</f>
        <v/>
      </c>
      <c r="P9055" s="8" t="n"/>
      <c r="Q9055" s="8" t="n"/>
      <c r="R9055" s="8" t="n"/>
      <c r="S9055" s="8" t="n"/>
      <c r="T9055" s="8" t="n"/>
      <c r="U9055" s="8" t="n"/>
      <c r="V9055" s="8" t="n"/>
      <c r="W9055" s="8" t="n"/>
      <c r="X9055" s="8" t="n"/>
      <c r="Y9055" s="8" t="n"/>
    </row>
    <row r="9056">
      <c r="A9056" s="8" t="n"/>
      <c r="B9056" s="8" t="n"/>
      <c r="C9056" s="8" t="n"/>
      <c r="D9056" s="8" t="n"/>
      <c r="E9056" s="8" t="n"/>
      <c r="F9056" s="8" t="n"/>
      <c r="G9056" s="8" t="n"/>
      <c r="H9056" s="8" t="n"/>
      <c r="I9056" s="8" t="n"/>
      <c r="J9056" s="8" t="n"/>
      <c r="K9056" s="8" t="n"/>
      <c r="L9056" s="8" t="n"/>
      <c r="M9056" s="9">
        <f>B9056+30</f>
        <v/>
      </c>
      <c r="N9056">
        <f>IF(L9056="", "", L9056-B9056)</f>
        <v/>
      </c>
      <c r="O9056">
        <f>IF(L9056="", "Pending", IF(N9056&lt;=30, "Met", "Breached"))</f>
        <v/>
      </c>
      <c r="P9056" s="8" t="n"/>
      <c r="Q9056" s="8" t="n"/>
      <c r="R9056" s="8" t="n"/>
      <c r="S9056" s="8" t="n"/>
      <c r="T9056" s="8" t="n"/>
      <c r="U9056" s="8" t="n"/>
      <c r="V9056" s="8" t="n"/>
      <c r="W9056" s="8" t="n"/>
      <c r="X9056" s="8" t="n"/>
      <c r="Y9056" s="8" t="n"/>
    </row>
    <row r="9057">
      <c r="A9057" s="8" t="n"/>
      <c r="B9057" s="8" t="n"/>
      <c r="C9057" s="8" t="n"/>
      <c r="D9057" s="8" t="n"/>
      <c r="E9057" s="8" t="n"/>
      <c r="F9057" s="8" t="n"/>
      <c r="G9057" s="8" t="n"/>
      <c r="H9057" s="8" t="n"/>
      <c r="I9057" s="8" t="n"/>
      <c r="J9057" s="8" t="n"/>
      <c r="K9057" s="8" t="n"/>
      <c r="L9057" s="8" t="n"/>
      <c r="M9057" s="9">
        <f>B9057+30</f>
        <v/>
      </c>
      <c r="N9057">
        <f>IF(L9057="", "", L9057-B9057)</f>
        <v/>
      </c>
      <c r="O9057">
        <f>IF(L9057="", "Pending", IF(N9057&lt;=30, "Met", "Breached"))</f>
        <v/>
      </c>
      <c r="P9057" s="8" t="n"/>
      <c r="Q9057" s="8" t="n"/>
      <c r="R9057" s="8" t="n"/>
      <c r="S9057" s="8" t="n"/>
      <c r="T9057" s="8" t="n"/>
      <c r="U9057" s="8" t="n"/>
      <c r="V9057" s="8" t="n"/>
      <c r="W9057" s="8" t="n"/>
      <c r="X9057" s="8" t="n"/>
      <c r="Y9057" s="8" t="n"/>
    </row>
    <row r="9058">
      <c r="A9058" s="8" t="n"/>
      <c r="B9058" s="8" t="n"/>
      <c r="C9058" s="8" t="n"/>
      <c r="D9058" s="8" t="n"/>
      <c r="E9058" s="8" t="n"/>
      <c r="F9058" s="8" t="n"/>
      <c r="G9058" s="8" t="n"/>
      <c r="H9058" s="8" t="n"/>
      <c r="I9058" s="8" t="n"/>
      <c r="J9058" s="8" t="n"/>
      <c r="K9058" s="8" t="n"/>
      <c r="L9058" s="8" t="n"/>
      <c r="M9058" s="9">
        <f>B9058+30</f>
        <v/>
      </c>
      <c r="N9058">
        <f>IF(L9058="", "", L9058-B9058)</f>
        <v/>
      </c>
      <c r="O9058">
        <f>IF(L9058="", "Pending", IF(N9058&lt;=30, "Met", "Breached"))</f>
        <v/>
      </c>
      <c r="P9058" s="8" t="n"/>
      <c r="Q9058" s="8" t="n"/>
      <c r="R9058" s="8" t="n"/>
      <c r="S9058" s="8" t="n"/>
      <c r="T9058" s="8" t="n"/>
      <c r="U9058" s="8" t="n"/>
      <c r="V9058" s="8" t="n"/>
      <c r="W9058" s="8" t="n"/>
      <c r="X9058" s="8" t="n"/>
      <c r="Y9058" s="8" t="n"/>
    </row>
    <row r="9059">
      <c r="A9059" s="8" t="n"/>
      <c r="B9059" s="8" t="n"/>
      <c r="C9059" s="8" t="n"/>
      <c r="D9059" s="8" t="n"/>
      <c r="E9059" s="8" t="n"/>
      <c r="F9059" s="8" t="n"/>
      <c r="G9059" s="8" t="n"/>
      <c r="H9059" s="8" t="n"/>
      <c r="I9059" s="8" t="n"/>
      <c r="J9059" s="8" t="n"/>
      <c r="K9059" s="8" t="n"/>
      <c r="L9059" s="8" t="n"/>
      <c r="M9059" s="9">
        <f>B9059+30</f>
        <v/>
      </c>
      <c r="N9059">
        <f>IF(L9059="", "", L9059-B9059)</f>
        <v/>
      </c>
      <c r="O9059">
        <f>IF(L9059="", "Pending", IF(N9059&lt;=30, "Met", "Breached"))</f>
        <v/>
      </c>
      <c r="P9059" s="8" t="n"/>
      <c r="Q9059" s="8" t="n"/>
      <c r="R9059" s="8" t="n"/>
      <c r="S9059" s="8" t="n"/>
      <c r="T9059" s="8" t="n"/>
      <c r="U9059" s="8" t="n"/>
      <c r="V9059" s="8" t="n"/>
      <c r="W9059" s="8" t="n"/>
      <c r="X9059" s="8" t="n"/>
      <c r="Y9059" s="8" t="n"/>
    </row>
    <row r="9060">
      <c r="A9060" s="8" t="n"/>
      <c r="B9060" s="8" t="n"/>
      <c r="C9060" s="8" t="n"/>
      <c r="D9060" s="8" t="n"/>
      <c r="E9060" s="8" t="n"/>
      <c r="F9060" s="8" t="n"/>
      <c r="G9060" s="8" t="n"/>
      <c r="H9060" s="8" t="n"/>
      <c r="I9060" s="8" t="n"/>
      <c r="J9060" s="8" t="n"/>
      <c r="K9060" s="8" t="n"/>
      <c r="L9060" s="8" t="n"/>
      <c r="M9060" s="9">
        <f>B9060+30</f>
        <v/>
      </c>
      <c r="N9060">
        <f>IF(L9060="", "", L9060-B9060)</f>
        <v/>
      </c>
      <c r="O9060">
        <f>IF(L9060="", "Pending", IF(N9060&lt;=30, "Met", "Breached"))</f>
        <v/>
      </c>
      <c r="P9060" s="8" t="n"/>
      <c r="Q9060" s="8" t="n"/>
      <c r="R9060" s="8" t="n"/>
      <c r="S9060" s="8" t="n"/>
      <c r="T9060" s="8" t="n"/>
      <c r="U9060" s="8" t="n"/>
      <c r="V9060" s="8" t="n"/>
      <c r="W9060" s="8" t="n"/>
      <c r="X9060" s="8" t="n"/>
      <c r="Y9060" s="8" t="n"/>
    </row>
    <row r="9061">
      <c r="A9061" s="8" t="n"/>
      <c r="B9061" s="8" t="n"/>
      <c r="C9061" s="8" t="n"/>
      <c r="D9061" s="8" t="n"/>
      <c r="E9061" s="8" t="n"/>
      <c r="F9061" s="8" t="n"/>
      <c r="G9061" s="8" t="n"/>
      <c r="H9061" s="8" t="n"/>
      <c r="I9061" s="8" t="n"/>
      <c r="J9061" s="8" t="n"/>
      <c r="K9061" s="8" t="n"/>
      <c r="L9061" s="8" t="n"/>
      <c r="M9061" s="9">
        <f>B9061+30</f>
        <v/>
      </c>
      <c r="N9061">
        <f>IF(L9061="", "", L9061-B9061)</f>
        <v/>
      </c>
      <c r="O9061">
        <f>IF(L9061="", "Pending", IF(N9061&lt;=30, "Met", "Breached"))</f>
        <v/>
      </c>
      <c r="P9061" s="8" t="n"/>
      <c r="Q9061" s="8" t="n"/>
      <c r="R9061" s="8" t="n"/>
      <c r="S9061" s="8" t="n"/>
      <c r="T9061" s="8" t="n"/>
      <c r="U9061" s="8" t="n"/>
      <c r="V9061" s="8" t="n"/>
      <c r="W9061" s="8" t="n"/>
      <c r="X9061" s="8" t="n"/>
      <c r="Y9061" s="8" t="n"/>
    </row>
    <row r="9062">
      <c r="A9062" s="8" t="n"/>
      <c r="B9062" s="8" t="n"/>
      <c r="C9062" s="8" t="n"/>
      <c r="D9062" s="8" t="n"/>
      <c r="E9062" s="8" t="n"/>
      <c r="F9062" s="8" t="n"/>
      <c r="G9062" s="8" t="n"/>
      <c r="H9062" s="8" t="n"/>
      <c r="I9062" s="8" t="n"/>
      <c r="J9062" s="8" t="n"/>
      <c r="K9062" s="8" t="n"/>
      <c r="L9062" s="8" t="n"/>
      <c r="M9062" s="9">
        <f>B9062+30</f>
        <v/>
      </c>
      <c r="N9062">
        <f>IF(L9062="", "", L9062-B9062)</f>
        <v/>
      </c>
      <c r="O9062">
        <f>IF(L9062="", "Pending", IF(N9062&lt;=30, "Met", "Breached"))</f>
        <v/>
      </c>
      <c r="P9062" s="8" t="n"/>
      <c r="Q9062" s="8" t="n"/>
      <c r="R9062" s="8" t="n"/>
      <c r="S9062" s="8" t="n"/>
      <c r="T9062" s="8" t="n"/>
      <c r="U9062" s="8" t="n"/>
      <c r="V9062" s="8" t="n"/>
      <c r="W9062" s="8" t="n"/>
      <c r="X9062" s="8" t="n"/>
      <c r="Y9062" s="8" t="n"/>
    </row>
    <row r="9063">
      <c r="A9063" s="8" t="n"/>
      <c r="B9063" s="8" t="n"/>
      <c r="C9063" s="8" t="n"/>
      <c r="D9063" s="8" t="n"/>
      <c r="E9063" s="8" t="n"/>
      <c r="F9063" s="8" t="n"/>
      <c r="G9063" s="8" t="n"/>
      <c r="H9063" s="8" t="n"/>
      <c r="I9063" s="8" t="n"/>
      <c r="J9063" s="8" t="n"/>
      <c r="K9063" s="8" t="n"/>
      <c r="L9063" s="8" t="n"/>
      <c r="M9063" s="9">
        <f>B9063+30</f>
        <v/>
      </c>
      <c r="N9063">
        <f>IF(L9063="", "", L9063-B9063)</f>
        <v/>
      </c>
      <c r="O9063">
        <f>IF(L9063="", "Pending", IF(N9063&lt;=30, "Met", "Breached"))</f>
        <v/>
      </c>
      <c r="P9063" s="8" t="n"/>
      <c r="Q9063" s="8" t="n"/>
      <c r="R9063" s="8" t="n"/>
      <c r="S9063" s="8" t="n"/>
      <c r="T9063" s="8" t="n"/>
      <c r="U9063" s="8" t="n"/>
      <c r="V9063" s="8" t="n"/>
      <c r="W9063" s="8" t="n"/>
      <c r="X9063" s="8" t="n"/>
      <c r="Y9063" s="8" t="n"/>
    </row>
    <row r="9064">
      <c r="A9064" s="8" t="n"/>
      <c r="B9064" s="8" t="n"/>
      <c r="C9064" s="8" t="n"/>
      <c r="D9064" s="8" t="n"/>
      <c r="E9064" s="8" t="n"/>
      <c r="F9064" s="8" t="n"/>
      <c r="G9064" s="8" t="n"/>
      <c r="H9064" s="8" t="n"/>
      <c r="I9064" s="8" t="n"/>
      <c r="J9064" s="8" t="n"/>
      <c r="K9064" s="8" t="n"/>
      <c r="L9064" s="8" t="n"/>
      <c r="M9064" s="9">
        <f>B9064+30</f>
        <v/>
      </c>
      <c r="N9064">
        <f>IF(L9064="", "", L9064-B9064)</f>
        <v/>
      </c>
      <c r="O9064">
        <f>IF(L9064="", "Pending", IF(N9064&lt;=30, "Met", "Breached"))</f>
        <v/>
      </c>
      <c r="P9064" s="8" t="n"/>
      <c r="Q9064" s="8" t="n"/>
      <c r="R9064" s="8" t="n"/>
      <c r="S9064" s="8" t="n"/>
      <c r="T9064" s="8" t="n"/>
      <c r="U9064" s="8" t="n"/>
      <c r="V9064" s="8" t="n"/>
      <c r="W9064" s="8" t="n"/>
      <c r="X9064" s="8" t="n"/>
      <c r="Y9064" s="8" t="n"/>
    </row>
    <row r="9065">
      <c r="A9065" s="8" t="n"/>
      <c r="B9065" s="8" t="n"/>
      <c r="C9065" s="8" t="n"/>
      <c r="D9065" s="8" t="n"/>
      <c r="E9065" s="8" t="n"/>
      <c r="F9065" s="8" t="n"/>
      <c r="G9065" s="8" t="n"/>
      <c r="H9065" s="8" t="n"/>
      <c r="I9065" s="8" t="n"/>
      <c r="J9065" s="8" t="n"/>
      <c r="K9065" s="8" t="n"/>
      <c r="L9065" s="8" t="n"/>
      <c r="M9065" s="9">
        <f>B9065+30</f>
        <v/>
      </c>
      <c r="N9065">
        <f>IF(L9065="", "", L9065-B9065)</f>
        <v/>
      </c>
      <c r="O9065">
        <f>IF(L9065="", "Pending", IF(N9065&lt;=30, "Met", "Breached"))</f>
        <v/>
      </c>
      <c r="P9065" s="8" t="n"/>
      <c r="Q9065" s="8" t="n"/>
      <c r="R9065" s="8" t="n"/>
      <c r="S9065" s="8" t="n"/>
      <c r="T9065" s="8" t="n"/>
      <c r="U9065" s="8" t="n"/>
      <c r="V9065" s="8" t="n"/>
      <c r="W9065" s="8" t="n"/>
      <c r="X9065" s="8" t="n"/>
      <c r="Y9065" s="8" t="n"/>
    </row>
    <row r="9066">
      <c r="A9066" s="8" t="n"/>
      <c r="B9066" s="8" t="n"/>
      <c r="C9066" s="8" t="n"/>
      <c r="D9066" s="8" t="n"/>
      <c r="E9066" s="8" t="n"/>
      <c r="F9066" s="8" t="n"/>
      <c r="G9066" s="8" t="n"/>
      <c r="H9066" s="8" t="n"/>
      <c r="I9066" s="8" t="n"/>
      <c r="J9066" s="8" t="n"/>
      <c r="K9066" s="8" t="n"/>
      <c r="L9066" s="8" t="n"/>
      <c r="M9066" s="9">
        <f>B9066+30</f>
        <v/>
      </c>
      <c r="N9066">
        <f>IF(L9066="", "", L9066-B9066)</f>
        <v/>
      </c>
      <c r="O9066">
        <f>IF(L9066="", "Pending", IF(N9066&lt;=30, "Met", "Breached"))</f>
        <v/>
      </c>
      <c r="P9066" s="8" t="n"/>
      <c r="Q9066" s="8" t="n"/>
      <c r="R9066" s="8" t="n"/>
      <c r="S9066" s="8" t="n"/>
      <c r="T9066" s="8" t="n"/>
      <c r="U9066" s="8" t="n"/>
      <c r="V9066" s="8" t="n"/>
      <c r="W9066" s="8" t="n"/>
      <c r="X9066" s="8" t="n"/>
      <c r="Y9066" s="8" t="n"/>
    </row>
    <row r="9067">
      <c r="A9067" s="8" t="n"/>
      <c r="B9067" s="8" t="n"/>
      <c r="C9067" s="8" t="n"/>
      <c r="D9067" s="8" t="n"/>
      <c r="E9067" s="8" t="n"/>
      <c r="F9067" s="8" t="n"/>
      <c r="G9067" s="8" t="n"/>
      <c r="H9067" s="8" t="n"/>
      <c r="I9067" s="8" t="n"/>
      <c r="J9067" s="8" t="n"/>
      <c r="K9067" s="8" t="n"/>
      <c r="L9067" s="8" t="n"/>
      <c r="M9067" s="9">
        <f>B9067+30</f>
        <v/>
      </c>
      <c r="N9067">
        <f>IF(L9067="", "", L9067-B9067)</f>
        <v/>
      </c>
      <c r="O9067">
        <f>IF(L9067="", "Pending", IF(N9067&lt;=30, "Met", "Breached"))</f>
        <v/>
      </c>
      <c r="P9067" s="8" t="n"/>
      <c r="Q9067" s="8" t="n"/>
      <c r="R9067" s="8" t="n"/>
      <c r="S9067" s="8" t="n"/>
      <c r="T9067" s="8" t="n"/>
      <c r="U9067" s="8" t="n"/>
      <c r="V9067" s="8" t="n"/>
      <c r="W9067" s="8" t="n"/>
      <c r="X9067" s="8" t="n"/>
      <c r="Y9067" s="8" t="n"/>
    </row>
    <row r="9068">
      <c r="A9068" s="8" t="n"/>
      <c r="B9068" s="8" t="n"/>
      <c r="C9068" s="8" t="n"/>
      <c r="D9068" s="8" t="n"/>
      <c r="E9068" s="8" t="n"/>
      <c r="F9068" s="8" t="n"/>
      <c r="G9068" s="8" t="n"/>
      <c r="H9068" s="8" t="n"/>
      <c r="I9068" s="8" t="n"/>
      <c r="J9068" s="8" t="n"/>
      <c r="K9068" s="8" t="n"/>
      <c r="L9068" s="8" t="n"/>
      <c r="M9068" s="9">
        <f>B9068+30</f>
        <v/>
      </c>
      <c r="N9068">
        <f>IF(L9068="", "", L9068-B9068)</f>
        <v/>
      </c>
      <c r="O9068">
        <f>IF(L9068="", "Pending", IF(N9068&lt;=30, "Met", "Breached"))</f>
        <v/>
      </c>
      <c r="P9068" s="8" t="n"/>
      <c r="Q9068" s="8" t="n"/>
      <c r="R9068" s="8" t="n"/>
      <c r="S9068" s="8" t="n"/>
      <c r="T9068" s="8" t="n"/>
      <c r="U9068" s="8" t="n"/>
      <c r="V9068" s="8" t="n"/>
      <c r="W9068" s="8" t="n"/>
      <c r="X9068" s="8" t="n"/>
      <c r="Y9068" s="8" t="n"/>
    </row>
    <row r="9069">
      <c r="A9069" s="8" t="n"/>
      <c r="B9069" s="8" t="n"/>
      <c r="C9069" s="8" t="n"/>
      <c r="D9069" s="8" t="n"/>
      <c r="E9069" s="8" t="n"/>
      <c r="F9069" s="8" t="n"/>
      <c r="G9069" s="8" t="n"/>
      <c r="H9069" s="8" t="n"/>
      <c r="I9069" s="8" t="n"/>
      <c r="J9069" s="8" t="n"/>
      <c r="K9069" s="8" t="n"/>
      <c r="L9069" s="8" t="n"/>
      <c r="M9069" s="9">
        <f>B9069+30</f>
        <v/>
      </c>
      <c r="N9069">
        <f>IF(L9069="", "", L9069-B9069)</f>
        <v/>
      </c>
      <c r="O9069">
        <f>IF(L9069="", "Pending", IF(N9069&lt;=30, "Met", "Breached"))</f>
        <v/>
      </c>
      <c r="P9069" s="8" t="n"/>
      <c r="Q9069" s="8" t="n"/>
      <c r="R9069" s="8" t="n"/>
      <c r="S9069" s="8" t="n"/>
      <c r="T9069" s="8" t="n"/>
      <c r="U9069" s="8" t="n"/>
      <c r="V9069" s="8" t="n"/>
      <c r="W9069" s="8" t="n"/>
      <c r="X9069" s="8" t="n"/>
      <c r="Y9069" s="8" t="n"/>
    </row>
    <row r="9070">
      <c r="A9070" s="8" t="n"/>
      <c r="B9070" s="8" t="n"/>
      <c r="C9070" s="8" t="n"/>
      <c r="D9070" s="8" t="n"/>
      <c r="E9070" s="8" t="n"/>
      <c r="F9070" s="8" t="n"/>
      <c r="G9070" s="8" t="n"/>
      <c r="H9070" s="8" t="n"/>
      <c r="I9070" s="8" t="n"/>
      <c r="J9070" s="8" t="n"/>
      <c r="K9070" s="8" t="n"/>
      <c r="L9070" s="8" t="n"/>
      <c r="M9070" s="9">
        <f>B9070+30</f>
        <v/>
      </c>
      <c r="N9070">
        <f>IF(L9070="", "", L9070-B9070)</f>
        <v/>
      </c>
      <c r="O9070">
        <f>IF(L9070="", "Pending", IF(N9070&lt;=30, "Met", "Breached"))</f>
        <v/>
      </c>
      <c r="P9070" s="8" t="n"/>
      <c r="Q9070" s="8" t="n"/>
      <c r="R9070" s="8" t="n"/>
      <c r="S9070" s="8" t="n"/>
      <c r="T9070" s="8" t="n"/>
      <c r="U9070" s="8" t="n"/>
      <c r="V9070" s="8" t="n"/>
      <c r="W9070" s="8" t="n"/>
      <c r="X9070" s="8" t="n"/>
      <c r="Y9070" s="8" t="n"/>
    </row>
    <row r="9071">
      <c r="A9071" s="8" t="n"/>
      <c r="B9071" s="8" t="n"/>
      <c r="C9071" s="8" t="n"/>
      <c r="D9071" s="8" t="n"/>
      <c r="E9071" s="8" t="n"/>
      <c r="F9071" s="8" t="n"/>
      <c r="G9071" s="8" t="n"/>
      <c r="H9071" s="8" t="n"/>
      <c r="I9071" s="8" t="n"/>
      <c r="J9071" s="8" t="n"/>
      <c r="K9071" s="8" t="n"/>
      <c r="L9071" s="8" t="n"/>
      <c r="M9071" s="9">
        <f>B9071+30</f>
        <v/>
      </c>
      <c r="N9071">
        <f>IF(L9071="", "", L9071-B9071)</f>
        <v/>
      </c>
      <c r="O9071">
        <f>IF(L9071="", "Pending", IF(N9071&lt;=30, "Met", "Breached"))</f>
        <v/>
      </c>
      <c r="P9071" s="8" t="n"/>
      <c r="Q9071" s="8" t="n"/>
      <c r="R9071" s="8" t="n"/>
      <c r="S9071" s="8" t="n"/>
      <c r="T9071" s="8" t="n"/>
      <c r="U9071" s="8" t="n"/>
      <c r="V9071" s="8" t="n"/>
      <c r="W9071" s="8" t="n"/>
      <c r="X9071" s="8" t="n"/>
      <c r="Y9071" s="8" t="n"/>
    </row>
    <row r="9072">
      <c r="A9072" s="8" t="n"/>
      <c r="B9072" s="8" t="n"/>
      <c r="C9072" s="8" t="n"/>
      <c r="D9072" s="8" t="n"/>
      <c r="E9072" s="8" t="n"/>
      <c r="F9072" s="8" t="n"/>
      <c r="G9072" s="8" t="n"/>
      <c r="H9072" s="8" t="n"/>
      <c r="I9072" s="8" t="n"/>
      <c r="J9072" s="8" t="n"/>
      <c r="K9072" s="8" t="n"/>
      <c r="L9072" s="8" t="n"/>
      <c r="M9072" s="9">
        <f>B9072+30</f>
        <v/>
      </c>
      <c r="N9072">
        <f>IF(L9072="", "", L9072-B9072)</f>
        <v/>
      </c>
      <c r="O9072">
        <f>IF(L9072="", "Pending", IF(N9072&lt;=30, "Met", "Breached"))</f>
        <v/>
      </c>
      <c r="P9072" s="8" t="n"/>
      <c r="Q9072" s="8" t="n"/>
      <c r="R9072" s="8" t="n"/>
      <c r="S9072" s="8" t="n"/>
      <c r="T9072" s="8" t="n"/>
      <c r="U9072" s="8" t="n"/>
      <c r="V9072" s="8" t="n"/>
      <c r="W9072" s="8" t="n"/>
      <c r="X9072" s="8" t="n"/>
      <c r="Y9072" s="8" t="n"/>
    </row>
    <row r="9073">
      <c r="A9073" s="8" t="n"/>
      <c r="B9073" s="8" t="n"/>
      <c r="C9073" s="8" t="n"/>
      <c r="D9073" s="8" t="n"/>
      <c r="E9073" s="8" t="n"/>
      <c r="F9073" s="8" t="n"/>
      <c r="G9073" s="8" t="n"/>
      <c r="H9073" s="8" t="n"/>
      <c r="I9073" s="8" t="n"/>
      <c r="J9073" s="8" t="n"/>
      <c r="K9073" s="8" t="n"/>
      <c r="L9073" s="8" t="n"/>
      <c r="M9073" s="9">
        <f>B9073+30</f>
        <v/>
      </c>
      <c r="N9073">
        <f>IF(L9073="", "", L9073-B9073)</f>
        <v/>
      </c>
      <c r="O9073">
        <f>IF(L9073="", "Pending", IF(N9073&lt;=30, "Met", "Breached"))</f>
        <v/>
      </c>
      <c r="P9073" s="8" t="n"/>
      <c r="Q9073" s="8" t="n"/>
      <c r="R9073" s="8" t="n"/>
      <c r="S9073" s="8" t="n"/>
      <c r="T9073" s="8" t="n"/>
      <c r="U9073" s="8" t="n"/>
      <c r="V9073" s="8" t="n"/>
      <c r="W9073" s="8" t="n"/>
      <c r="X9073" s="8" t="n"/>
      <c r="Y9073" s="8" t="n"/>
    </row>
    <row r="9074">
      <c r="A9074" s="8" t="n"/>
      <c r="B9074" s="8" t="n"/>
      <c r="C9074" s="8" t="n"/>
      <c r="D9074" s="8" t="n"/>
      <c r="E9074" s="8" t="n"/>
      <c r="F9074" s="8" t="n"/>
      <c r="G9074" s="8" t="n"/>
      <c r="H9074" s="8" t="n"/>
      <c r="I9074" s="8" t="n"/>
      <c r="J9074" s="8" t="n"/>
      <c r="K9074" s="8" t="n"/>
      <c r="L9074" s="8" t="n"/>
      <c r="M9074" s="9">
        <f>B9074+30</f>
        <v/>
      </c>
      <c r="N9074">
        <f>IF(L9074="", "", L9074-B9074)</f>
        <v/>
      </c>
      <c r="O9074">
        <f>IF(L9074="", "Pending", IF(N9074&lt;=30, "Met", "Breached"))</f>
        <v/>
      </c>
      <c r="P9074" s="8" t="n"/>
      <c r="Q9074" s="8" t="n"/>
      <c r="R9074" s="8" t="n"/>
      <c r="S9074" s="8" t="n"/>
      <c r="T9074" s="8" t="n"/>
      <c r="U9074" s="8" t="n"/>
      <c r="V9074" s="8" t="n"/>
      <c r="W9074" s="8" t="n"/>
      <c r="X9074" s="8" t="n"/>
      <c r="Y9074" s="8" t="n"/>
    </row>
    <row r="9075">
      <c r="A9075" s="8" t="n"/>
      <c r="B9075" s="8" t="n"/>
      <c r="C9075" s="8" t="n"/>
      <c r="D9075" s="8" t="n"/>
      <c r="E9075" s="8" t="n"/>
      <c r="F9075" s="8" t="n"/>
      <c r="G9075" s="8" t="n"/>
      <c r="H9075" s="8" t="n"/>
      <c r="I9075" s="8" t="n"/>
      <c r="J9075" s="8" t="n"/>
      <c r="K9075" s="8" t="n"/>
      <c r="L9075" s="8" t="n"/>
      <c r="M9075" s="9">
        <f>B9075+30</f>
        <v/>
      </c>
      <c r="N9075">
        <f>IF(L9075="", "", L9075-B9075)</f>
        <v/>
      </c>
      <c r="O9075">
        <f>IF(L9075="", "Pending", IF(N9075&lt;=30, "Met", "Breached"))</f>
        <v/>
      </c>
      <c r="P9075" s="8" t="n"/>
      <c r="Q9075" s="8" t="n"/>
      <c r="R9075" s="8" t="n"/>
      <c r="S9075" s="8" t="n"/>
      <c r="T9075" s="8" t="n"/>
      <c r="U9075" s="8" t="n"/>
      <c r="V9075" s="8" t="n"/>
      <c r="W9075" s="8" t="n"/>
      <c r="X9075" s="8" t="n"/>
      <c r="Y9075" s="8" t="n"/>
    </row>
    <row r="9076">
      <c r="A9076" s="8" t="n"/>
      <c r="B9076" s="8" t="n"/>
      <c r="C9076" s="8" t="n"/>
      <c r="D9076" s="8" t="n"/>
      <c r="E9076" s="8" t="n"/>
      <c r="F9076" s="8" t="n"/>
      <c r="G9076" s="8" t="n"/>
      <c r="H9076" s="8" t="n"/>
      <c r="I9076" s="8" t="n"/>
      <c r="J9076" s="8" t="n"/>
      <c r="K9076" s="8" t="n"/>
      <c r="L9076" s="8" t="n"/>
      <c r="M9076" s="9">
        <f>B9076+30</f>
        <v/>
      </c>
      <c r="N9076">
        <f>IF(L9076="", "", L9076-B9076)</f>
        <v/>
      </c>
      <c r="O9076">
        <f>IF(L9076="", "Pending", IF(N9076&lt;=30, "Met", "Breached"))</f>
        <v/>
      </c>
      <c r="P9076" s="8" t="n"/>
      <c r="Q9076" s="8" t="n"/>
      <c r="R9076" s="8" t="n"/>
      <c r="S9076" s="8" t="n"/>
      <c r="T9076" s="8" t="n"/>
      <c r="U9076" s="8" t="n"/>
      <c r="V9076" s="8" t="n"/>
      <c r="W9076" s="8" t="n"/>
      <c r="X9076" s="8" t="n"/>
      <c r="Y9076" s="8" t="n"/>
    </row>
    <row r="9077">
      <c r="A9077" s="8" t="n"/>
      <c r="B9077" s="8" t="n"/>
      <c r="C9077" s="8" t="n"/>
      <c r="D9077" s="8" t="n"/>
      <c r="E9077" s="8" t="n"/>
      <c r="F9077" s="8" t="n"/>
      <c r="G9077" s="8" t="n"/>
      <c r="H9077" s="8" t="n"/>
      <c r="I9077" s="8" t="n"/>
      <c r="J9077" s="8" t="n"/>
      <c r="K9077" s="8" t="n"/>
      <c r="L9077" s="8" t="n"/>
      <c r="M9077" s="9">
        <f>B9077+30</f>
        <v/>
      </c>
      <c r="N9077">
        <f>IF(L9077="", "", L9077-B9077)</f>
        <v/>
      </c>
      <c r="O9077">
        <f>IF(L9077="", "Pending", IF(N9077&lt;=30, "Met", "Breached"))</f>
        <v/>
      </c>
      <c r="P9077" s="8" t="n"/>
      <c r="Q9077" s="8" t="n"/>
      <c r="R9077" s="8" t="n"/>
      <c r="S9077" s="8" t="n"/>
      <c r="T9077" s="8" t="n"/>
      <c r="U9077" s="8" t="n"/>
      <c r="V9077" s="8" t="n"/>
      <c r="W9077" s="8" t="n"/>
      <c r="X9077" s="8" t="n"/>
      <c r="Y9077" s="8" t="n"/>
    </row>
    <row r="9078">
      <c r="A9078" s="8" t="n"/>
      <c r="B9078" s="8" t="n"/>
      <c r="C9078" s="8" t="n"/>
      <c r="D9078" s="8" t="n"/>
      <c r="E9078" s="8" t="n"/>
      <c r="F9078" s="8" t="n"/>
      <c r="G9078" s="8" t="n"/>
      <c r="H9078" s="8" t="n"/>
      <c r="I9078" s="8" t="n"/>
      <c r="J9078" s="8" t="n"/>
      <c r="K9078" s="8" t="n"/>
      <c r="L9078" s="8" t="n"/>
      <c r="M9078" s="9">
        <f>B9078+30</f>
        <v/>
      </c>
      <c r="N9078">
        <f>IF(L9078="", "", L9078-B9078)</f>
        <v/>
      </c>
      <c r="O9078">
        <f>IF(L9078="", "Pending", IF(N9078&lt;=30, "Met", "Breached"))</f>
        <v/>
      </c>
      <c r="P9078" s="8" t="n"/>
      <c r="Q9078" s="8" t="n"/>
      <c r="R9078" s="8" t="n"/>
      <c r="S9078" s="8" t="n"/>
      <c r="T9078" s="8" t="n"/>
      <c r="U9078" s="8" t="n"/>
      <c r="V9078" s="8" t="n"/>
      <c r="W9078" s="8" t="n"/>
      <c r="X9078" s="8" t="n"/>
      <c r="Y9078" s="8" t="n"/>
    </row>
    <row r="9079">
      <c r="A9079" s="8" t="n"/>
      <c r="B9079" s="8" t="n"/>
      <c r="C9079" s="8" t="n"/>
      <c r="D9079" s="8" t="n"/>
      <c r="E9079" s="8" t="n"/>
      <c r="F9079" s="8" t="n"/>
      <c r="G9079" s="8" t="n"/>
      <c r="H9079" s="8" t="n"/>
      <c r="I9079" s="8" t="n"/>
      <c r="J9079" s="8" t="n"/>
      <c r="K9079" s="8" t="n"/>
      <c r="L9079" s="8" t="n"/>
      <c r="M9079" s="9">
        <f>B9079+30</f>
        <v/>
      </c>
      <c r="N9079">
        <f>IF(L9079="", "", L9079-B9079)</f>
        <v/>
      </c>
      <c r="O9079">
        <f>IF(L9079="", "Pending", IF(N9079&lt;=30, "Met", "Breached"))</f>
        <v/>
      </c>
      <c r="P9079" s="8" t="n"/>
      <c r="Q9079" s="8" t="n"/>
      <c r="R9079" s="8" t="n"/>
      <c r="S9079" s="8" t="n"/>
      <c r="T9079" s="8" t="n"/>
      <c r="U9079" s="8" t="n"/>
      <c r="V9079" s="8" t="n"/>
      <c r="W9079" s="8" t="n"/>
      <c r="X9079" s="8" t="n"/>
      <c r="Y9079" s="8" t="n"/>
    </row>
    <row r="9080">
      <c r="A9080" s="8" t="n"/>
      <c r="B9080" s="8" t="n"/>
      <c r="C9080" s="8" t="n"/>
      <c r="D9080" s="8" t="n"/>
      <c r="E9080" s="8" t="n"/>
      <c r="F9080" s="8" t="n"/>
      <c r="G9080" s="8" t="n"/>
      <c r="H9080" s="8" t="n"/>
      <c r="I9080" s="8" t="n"/>
      <c r="J9080" s="8" t="n"/>
      <c r="K9080" s="8" t="n"/>
      <c r="L9080" s="8" t="n"/>
      <c r="M9080" s="9">
        <f>B9080+30</f>
        <v/>
      </c>
      <c r="N9080">
        <f>IF(L9080="", "", L9080-B9080)</f>
        <v/>
      </c>
      <c r="O9080">
        <f>IF(L9080="", "Pending", IF(N9080&lt;=30, "Met", "Breached"))</f>
        <v/>
      </c>
      <c r="P9080" s="8" t="n"/>
      <c r="Q9080" s="8" t="n"/>
      <c r="R9080" s="8" t="n"/>
      <c r="S9080" s="8" t="n"/>
      <c r="T9080" s="8" t="n"/>
      <c r="U9080" s="8" t="n"/>
      <c r="V9080" s="8" t="n"/>
      <c r="W9080" s="8" t="n"/>
      <c r="X9080" s="8" t="n"/>
      <c r="Y9080" s="8" t="n"/>
    </row>
    <row r="9081">
      <c r="A9081" s="8" t="n"/>
      <c r="B9081" s="8" t="n"/>
      <c r="C9081" s="8" t="n"/>
      <c r="D9081" s="8" t="n"/>
      <c r="E9081" s="8" t="n"/>
      <c r="F9081" s="8" t="n"/>
      <c r="G9081" s="8" t="n"/>
      <c r="H9081" s="8" t="n"/>
      <c r="I9081" s="8" t="n"/>
      <c r="J9081" s="8" t="n"/>
      <c r="K9081" s="8" t="n"/>
      <c r="L9081" s="8" t="n"/>
      <c r="M9081" s="9">
        <f>B9081+30</f>
        <v/>
      </c>
      <c r="N9081">
        <f>IF(L9081="", "", L9081-B9081)</f>
        <v/>
      </c>
      <c r="O9081">
        <f>IF(L9081="", "Pending", IF(N9081&lt;=30, "Met", "Breached"))</f>
        <v/>
      </c>
      <c r="P9081" s="8" t="n"/>
      <c r="Q9081" s="8" t="n"/>
      <c r="R9081" s="8" t="n"/>
      <c r="S9081" s="8" t="n"/>
      <c r="T9081" s="8" t="n"/>
      <c r="U9081" s="8" t="n"/>
      <c r="V9081" s="8" t="n"/>
      <c r="W9081" s="8" t="n"/>
      <c r="X9081" s="8" t="n"/>
      <c r="Y9081" s="8" t="n"/>
    </row>
    <row r="9082">
      <c r="A9082" s="8" t="n"/>
      <c r="B9082" s="8" t="n"/>
      <c r="C9082" s="8" t="n"/>
      <c r="D9082" s="8" t="n"/>
      <c r="E9082" s="8" t="n"/>
      <c r="F9082" s="8" t="n"/>
      <c r="G9082" s="8" t="n"/>
      <c r="H9082" s="8" t="n"/>
      <c r="I9082" s="8" t="n"/>
      <c r="J9082" s="8" t="n"/>
      <c r="K9082" s="8" t="n"/>
      <c r="L9082" s="8" t="n"/>
      <c r="M9082" s="9">
        <f>B9082+30</f>
        <v/>
      </c>
      <c r="N9082">
        <f>IF(L9082="", "", L9082-B9082)</f>
        <v/>
      </c>
      <c r="O9082">
        <f>IF(L9082="", "Pending", IF(N9082&lt;=30, "Met", "Breached"))</f>
        <v/>
      </c>
      <c r="P9082" s="8" t="n"/>
      <c r="Q9082" s="8" t="n"/>
      <c r="R9082" s="8" t="n"/>
      <c r="S9082" s="8" t="n"/>
      <c r="T9082" s="8" t="n"/>
      <c r="U9082" s="8" t="n"/>
      <c r="V9082" s="8" t="n"/>
      <c r="W9082" s="8" t="n"/>
      <c r="X9082" s="8" t="n"/>
      <c r="Y9082" s="8" t="n"/>
    </row>
    <row r="9083">
      <c r="A9083" s="8" t="n"/>
      <c r="B9083" s="8" t="n"/>
      <c r="C9083" s="8" t="n"/>
      <c r="D9083" s="8" t="n"/>
      <c r="E9083" s="8" t="n"/>
      <c r="F9083" s="8" t="n"/>
      <c r="G9083" s="8" t="n"/>
      <c r="H9083" s="8" t="n"/>
      <c r="I9083" s="8" t="n"/>
      <c r="J9083" s="8" t="n"/>
      <c r="K9083" s="8" t="n"/>
      <c r="L9083" s="8" t="n"/>
      <c r="M9083" s="9">
        <f>B9083+30</f>
        <v/>
      </c>
      <c r="N9083">
        <f>IF(L9083="", "", L9083-B9083)</f>
        <v/>
      </c>
      <c r="O9083">
        <f>IF(L9083="", "Pending", IF(N9083&lt;=30, "Met", "Breached"))</f>
        <v/>
      </c>
      <c r="P9083" s="8" t="n"/>
      <c r="Q9083" s="8" t="n"/>
      <c r="R9083" s="8" t="n"/>
      <c r="S9083" s="8" t="n"/>
      <c r="T9083" s="8" t="n"/>
      <c r="U9083" s="8" t="n"/>
      <c r="V9083" s="8" t="n"/>
      <c r="W9083" s="8" t="n"/>
      <c r="X9083" s="8" t="n"/>
      <c r="Y9083" s="8" t="n"/>
    </row>
    <row r="9084">
      <c r="A9084" s="8" t="n"/>
      <c r="B9084" s="8" t="n"/>
      <c r="C9084" s="8" t="n"/>
      <c r="D9084" s="8" t="n"/>
      <c r="E9084" s="8" t="n"/>
      <c r="F9084" s="8" t="n"/>
      <c r="G9084" s="8" t="n"/>
      <c r="H9084" s="8" t="n"/>
      <c r="I9084" s="8" t="n"/>
      <c r="J9084" s="8" t="n"/>
      <c r="K9084" s="8" t="n"/>
      <c r="L9084" s="8" t="n"/>
      <c r="M9084" s="9">
        <f>B9084+30</f>
        <v/>
      </c>
      <c r="N9084">
        <f>IF(L9084="", "", L9084-B9084)</f>
        <v/>
      </c>
      <c r="O9084">
        <f>IF(L9084="", "Pending", IF(N9084&lt;=30, "Met", "Breached"))</f>
        <v/>
      </c>
      <c r="P9084" s="8" t="n"/>
      <c r="Q9084" s="8" t="n"/>
      <c r="R9084" s="8" t="n"/>
      <c r="S9084" s="8" t="n"/>
      <c r="T9084" s="8" t="n"/>
      <c r="U9084" s="8" t="n"/>
      <c r="V9084" s="8" t="n"/>
      <c r="W9084" s="8" t="n"/>
      <c r="X9084" s="8" t="n"/>
      <c r="Y9084" s="8" t="n"/>
    </row>
    <row r="9085">
      <c r="A9085" s="8" t="n"/>
      <c r="B9085" s="8" t="n"/>
      <c r="C9085" s="8" t="n"/>
      <c r="D9085" s="8" t="n"/>
      <c r="E9085" s="8" t="n"/>
      <c r="F9085" s="8" t="n"/>
      <c r="G9085" s="8" t="n"/>
      <c r="H9085" s="8" t="n"/>
      <c r="I9085" s="8" t="n"/>
      <c r="J9085" s="8" t="n"/>
      <c r="K9085" s="8" t="n"/>
      <c r="L9085" s="8" t="n"/>
      <c r="M9085" s="9">
        <f>B9085+30</f>
        <v/>
      </c>
      <c r="N9085">
        <f>IF(L9085="", "", L9085-B9085)</f>
        <v/>
      </c>
      <c r="O9085">
        <f>IF(L9085="", "Pending", IF(N9085&lt;=30, "Met", "Breached"))</f>
        <v/>
      </c>
      <c r="P9085" s="8" t="n"/>
      <c r="Q9085" s="8" t="n"/>
      <c r="R9085" s="8" t="n"/>
      <c r="S9085" s="8" t="n"/>
      <c r="T9085" s="8" t="n"/>
      <c r="U9085" s="8" t="n"/>
      <c r="V9085" s="8" t="n"/>
      <c r="W9085" s="8" t="n"/>
      <c r="X9085" s="8" t="n"/>
      <c r="Y9085" s="8" t="n"/>
    </row>
    <row r="9086">
      <c r="A9086" s="8" t="n"/>
      <c r="B9086" s="8" t="n"/>
      <c r="C9086" s="8" t="n"/>
      <c r="D9086" s="8" t="n"/>
      <c r="E9086" s="8" t="n"/>
      <c r="F9086" s="8" t="n"/>
      <c r="G9086" s="8" t="n"/>
      <c r="H9086" s="8" t="n"/>
      <c r="I9086" s="8" t="n"/>
      <c r="J9086" s="8" t="n"/>
      <c r="K9086" s="8" t="n"/>
      <c r="L9086" s="8" t="n"/>
      <c r="M9086" s="9">
        <f>B9086+30</f>
        <v/>
      </c>
      <c r="N9086">
        <f>IF(L9086="", "", L9086-B9086)</f>
        <v/>
      </c>
      <c r="O9086">
        <f>IF(L9086="", "Pending", IF(N9086&lt;=30, "Met", "Breached"))</f>
        <v/>
      </c>
      <c r="P9086" s="8" t="n"/>
      <c r="Q9086" s="8" t="n"/>
      <c r="R9086" s="8" t="n"/>
      <c r="S9086" s="8" t="n"/>
      <c r="T9086" s="8" t="n"/>
      <c r="U9086" s="8" t="n"/>
      <c r="V9086" s="8" t="n"/>
      <c r="W9086" s="8" t="n"/>
      <c r="X9086" s="8" t="n"/>
      <c r="Y9086" s="8" t="n"/>
    </row>
    <row r="9087">
      <c r="A9087" s="8" t="n"/>
      <c r="B9087" s="8" t="n"/>
      <c r="C9087" s="8" t="n"/>
      <c r="D9087" s="8" t="n"/>
      <c r="E9087" s="8" t="n"/>
      <c r="F9087" s="8" t="n"/>
      <c r="G9087" s="8" t="n"/>
      <c r="H9087" s="8" t="n"/>
      <c r="I9087" s="8" t="n"/>
      <c r="J9087" s="8" t="n"/>
      <c r="K9087" s="8" t="n"/>
      <c r="L9087" s="8" t="n"/>
      <c r="M9087" s="9">
        <f>B9087+30</f>
        <v/>
      </c>
      <c r="N9087">
        <f>IF(L9087="", "", L9087-B9087)</f>
        <v/>
      </c>
      <c r="O9087">
        <f>IF(L9087="", "Pending", IF(N9087&lt;=30, "Met", "Breached"))</f>
        <v/>
      </c>
      <c r="P9087" s="8" t="n"/>
      <c r="Q9087" s="8" t="n"/>
      <c r="R9087" s="8" t="n"/>
      <c r="S9087" s="8" t="n"/>
      <c r="T9087" s="8" t="n"/>
      <c r="U9087" s="8" t="n"/>
      <c r="V9087" s="8" t="n"/>
      <c r="W9087" s="8" t="n"/>
      <c r="X9087" s="8" t="n"/>
      <c r="Y9087" s="8" t="n"/>
    </row>
    <row r="9088">
      <c r="A9088" s="8" t="n"/>
      <c r="B9088" s="8" t="n"/>
      <c r="C9088" s="8" t="n"/>
      <c r="D9088" s="8" t="n"/>
      <c r="E9088" s="8" t="n"/>
      <c r="F9088" s="8" t="n"/>
      <c r="G9088" s="8" t="n"/>
      <c r="H9088" s="8" t="n"/>
      <c r="I9088" s="8" t="n"/>
      <c r="J9088" s="8" t="n"/>
      <c r="K9088" s="8" t="n"/>
      <c r="L9088" s="8" t="n"/>
      <c r="M9088" s="9">
        <f>B9088+30</f>
        <v/>
      </c>
      <c r="N9088">
        <f>IF(L9088="", "", L9088-B9088)</f>
        <v/>
      </c>
      <c r="O9088">
        <f>IF(L9088="", "Pending", IF(N9088&lt;=30, "Met", "Breached"))</f>
        <v/>
      </c>
      <c r="P9088" s="8" t="n"/>
      <c r="Q9088" s="8" t="n"/>
      <c r="R9088" s="8" t="n"/>
      <c r="S9088" s="8" t="n"/>
      <c r="T9088" s="8" t="n"/>
      <c r="U9088" s="8" t="n"/>
      <c r="V9088" s="8" t="n"/>
      <c r="W9088" s="8" t="n"/>
      <c r="X9088" s="8" t="n"/>
      <c r="Y9088" s="8" t="n"/>
    </row>
    <row r="9089">
      <c r="A9089" s="8" t="n"/>
      <c r="B9089" s="8" t="n"/>
      <c r="C9089" s="8" t="n"/>
      <c r="D9089" s="8" t="n"/>
      <c r="E9089" s="8" t="n"/>
      <c r="F9089" s="8" t="n"/>
      <c r="G9089" s="8" t="n"/>
      <c r="H9089" s="8" t="n"/>
      <c r="I9089" s="8" t="n"/>
      <c r="J9089" s="8" t="n"/>
      <c r="K9089" s="8" t="n"/>
      <c r="L9089" s="8" t="n"/>
      <c r="M9089" s="9">
        <f>B9089+30</f>
        <v/>
      </c>
      <c r="N9089">
        <f>IF(L9089="", "", L9089-B9089)</f>
        <v/>
      </c>
      <c r="O9089">
        <f>IF(L9089="", "Pending", IF(N9089&lt;=30, "Met", "Breached"))</f>
        <v/>
      </c>
      <c r="P9089" s="8" t="n"/>
      <c r="Q9089" s="8" t="n"/>
      <c r="R9089" s="8" t="n"/>
      <c r="S9089" s="8" t="n"/>
      <c r="T9089" s="8" t="n"/>
      <c r="U9089" s="8" t="n"/>
      <c r="V9089" s="8" t="n"/>
      <c r="W9089" s="8" t="n"/>
      <c r="X9089" s="8" t="n"/>
      <c r="Y9089" s="8" t="n"/>
    </row>
    <row r="9090">
      <c r="A9090" s="8" t="n"/>
      <c r="B9090" s="8" t="n"/>
      <c r="C9090" s="8" t="n"/>
      <c r="D9090" s="8" t="n"/>
      <c r="E9090" s="8" t="n"/>
      <c r="F9090" s="8" t="n"/>
      <c r="G9090" s="8" t="n"/>
      <c r="H9090" s="8" t="n"/>
      <c r="I9090" s="8" t="n"/>
      <c r="J9090" s="8" t="n"/>
      <c r="K9090" s="8" t="n"/>
      <c r="L9090" s="8" t="n"/>
      <c r="M9090" s="9">
        <f>B9090+30</f>
        <v/>
      </c>
      <c r="N9090">
        <f>IF(L9090="", "", L9090-B9090)</f>
        <v/>
      </c>
      <c r="O9090">
        <f>IF(L9090="", "Pending", IF(N9090&lt;=30, "Met", "Breached"))</f>
        <v/>
      </c>
      <c r="P9090" s="8" t="n"/>
      <c r="Q9090" s="8" t="n"/>
      <c r="R9090" s="8" t="n"/>
      <c r="S9090" s="8" t="n"/>
      <c r="T9090" s="8" t="n"/>
      <c r="U9090" s="8" t="n"/>
      <c r="V9090" s="8" t="n"/>
      <c r="W9090" s="8" t="n"/>
      <c r="X9090" s="8" t="n"/>
      <c r="Y9090" s="8" t="n"/>
    </row>
    <row r="9091">
      <c r="A9091" s="8" t="n"/>
      <c r="B9091" s="8" t="n"/>
      <c r="C9091" s="8" t="n"/>
      <c r="D9091" s="8" t="n"/>
      <c r="E9091" s="8" t="n"/>
      <c r="F9091" s="8" t="n"/>
      <c r="G9091" s="8" t="n"/>
      <c r="H9091" s="8" t="n"/>
      <c r="I9091" s="8" t="n"/>
      <c r="J9091" s="8" t="n"/>
      <c r="K9091" s="8" t="n"/>
      <c r="L9091" s="8" t="n"/>
      <c r="M9091" s="9">
        <f>B9091+30</f>
        <v/>
      </c>
      <c r="N9091">
        <f>IF(L9091="", "", L9091-B9091)</f>
        <v/>
      </c>
      <c r="O9091">
        <f>IF(L9091="", "Pending", IF(N9091&lt;=30, "Met", "Breached"))</f>
        <v/>
      </c>
      <c r="P9091" s="8" t="n"/>
      <c r="Q9091" s="8" t="n"/>
      <c r="R9091" s="8" t="n"/>
      <c r="S9091" s="8" t="n"/>
      <c r="T9091" s="8" t="n"/>
      <c r="U9091" s="8" t="n"/>
      <c r="V9091" s="8" t="n"/>
      <c r="W9091" s="8" t="n"/>
      <c r="X9091" s="8" t="n"/>
      <c r="Y9091" s="8" t="n"/>
    </row>
    <row r="9092">
      <c r="A9092" s="8" t="n"/>
      <c r="B9092" s="8" t="n"/>
      <c r="C9092" s="8" t="n"/>
      <c r="D9092" s="8" t="n"/>
      <c r="E9092" s="8" t="n"/>
      <c r="F9092" s="8" t="n"/>
      <c r="G9092" s="8" t="n"/>
      <c r="H9092" s="8" t="n"/>
      <c r="I9092" s="8" t="n"/>
      <c r="J9092" s="8" t="n"/>
      <c r="K9092" s="8" t="n"/>
      <c r="L9092" s="8" t="n"/>
      <c r="M9092" s="9">
        <f>B9092+30</f>
        <v/>
      </c>
      <c r="N9092">
        <f>IF(L9092="", "", L9092-B9092)</f>
        <v/>
      </c>
      <c r="O9092">
        <f>IF(L9092="", "Pending", IF(N9092&lt;=30, "Met", "Breached"))</f>
        <v/>
      </c>
      <c r="P9092" s="8" t="n"/>
      <c r="Q9092" s="8" t="n"/>
      <c r="R9092" s="8" t="n"/>
      <c r="S9092" s="8" t="n"/>
      <c r="T9092" s="8" t="n"/>
      <c r="U9092" s="8" t="n"/>
      <c r="V9092" s="8" t="n"/>
      <c r="W9092" s="8" t="n"/>
      <c r="X9092" s="8" t="n"/>
      <c r="Y9092" s="8" t="n"/>
    </row>
    <row r="9093">
      <c r="A9093" s="8" t="n"/>
      <c r="B9093" s="8" t="n"/>
      <c r="C9093" s="8" t="n"/>
      <c r="D9093" s="8" t="n"/>
      <c r="E9093" s="8" t="n"/>
      <c r="F9093" s="8" t="n"/>
      <c r="G9093" s="8" t="n"/>
      <c r="H9093" s="8" t="n"/>
      <c r="I9093" s="8" t="n"/>
      <c r="J9093" s="8" t="n"/>
      <c r="K9093" s="8" t="n"/>
      <c r="L9093" s="8" t="n"/>
      <c r="M9093" s="9">
        <f>B9093+30</f>
        <v/>
      </c>
      <c r="N9093">
        <f>IF(L9093="", "", L9093-B9093)</f>
        <v/>
      </c>
      <c r="O9093">
        <f>IF(L9093="", "Pending", IF(N9093&lt;=30, "Met", "Breached"))</f>
        <v/>
      </c>
      <c r="P9093" s="8" t="n"/>
      <c r="Q9093" s="8" t="n"/>
      <c r="R9093" s="8" t="n"/>
      <c r="S9093" s="8" t="n"/>
      <c r="T9093" s="8" t="n"/>
      <c r="U9093" s="8" t="n"/>
      <c r="V9093" s="8" t="n"/>
      <c r="W9093" s="8" t="n"/>
      <c r="X9093" s="8" t="n"/>
      <c r="Y9093" s="8" t="n"/>
    </row>
    <row r="9094">
      <c r="A9094" s="8" t="n"/>
      <c r="B9094" s="8" t="n"/>
      <c r="C9094" s="8" t="n"/>
      <c r="D9094" s="8" t="n"/>
      <c r="E9094" s="8" t="n"/>
      <c r="F9094" s="8" t="n"/>
      <c r="G9094" s="8" t="n"/>
      <c r="H9094" s="8" t="n"/>
      <c r="I9094" s="8" t="n"/>
      <c r="J9094" s="8" t="n"/>
      <c r="K9094" s="8" t="n"/>
      <c r="L9094" s="8" t="n"/>
      <c r="M9094" s="9">
        <f>B9094+30</f>
        <v/>
      </c>
      <c r="N9094">
        <f>IF(L9094="", "", L9094-B9094)</f>
        <v/>
      </c>
      <c r="O9094">
        <f>IF(L9094="", "Pending", IF(N9094&lt;=30, "Met", "Breached"))</f>
        <v/>
      </c>
      <c r="P9094" s="8" t="n"/>
      <c r="Q9094" s="8" t="n"/>
      <c r="R9094" s="8" t="n"/>
      <c r="S9094" s="8" t="n"/>
      <c r="T9094" s="8" t="n"/>
      <c r="U9094" s="8" t="n"/>
      <c r="V9094" s="8" t="n"/>
      <c r="W9094" s="8" t="n"/>
      <c r="X9094" s="8" t="n"/>
      <c r="Y9094" s="8" t="n"/>
    </row>
    <row r="9095">
      <c r="A9095" s="8" t="n"/>
      <c r="B9095" s="8" t="n"/>
      <c r="C9095" s="8" t="n"/>
      <c r="D9095" s="8" t="n"/>
      <c r="E9095" s="8" t="n"/>
      <c r="F9095" s="8" t="n"/>
      <c r="G9095" s="8" t="n"/>
      <c r="H9095" s="8" t="n"/>
      <c r="I9095" s="8" t="n"/>
      <c r="J9095" s="8" t="n"/>
      <c r="K9095" s="8" t="n"/>
      <c r="L9095" s="8" t="n"/>
      <c r="M9095" s="9">
        <f>B9095+30</f>
        <v/>
      </c>
      <c r="N9095">
        <f>IF(L9095="", "", L9095-B9095)</f>
        <v/>
      </c>
      <c r="O9095">
        <f>IF(L9095="", "Pending", IF(N9095&lt;=30, "Met", "Breached"))</f>
        <v/>
      </c>
      <c r="P9095" s="8" t="n"/>
      <c r="Q9095" s="8" t="n"/>
      <c r="R9095" s="8" t="n"/>
      <c r="S9095" s="8" t="n"/>
      <c r="T9095" s="8" t="n"/>
      <c r="U9095" s="8" t="n"/>
      <c r="V9095" s="8" t="n"/>
      <c r="W9095" s="8" t="n"/>
      <c r="X9095" s="8" t="n"/>
      <c r="Y9095" s="8" t="n"/>
    </row>
    <row r="9096">
      <c r="A9096" s="8" t="n"/>
      <c r="B9096" s="8" t="n"/>
      <c r="C9096" s="8" t="n"/>
      <c r="D9096" s="8" t="n"/>
      <c r="E9096" s="8" t="n"/>
      <c r="F9096" s="8" t="n"/>
      <c r="G9096" s="8" t="n"/>
      <c r="H9096" s="8" t="n"/>
      <c r="I9096" s="8" t="n"/>
      <c r="J9096" s="8" t="n"/>
      <c r="K9096" s="8" t="n"/>
      <c r="L9096" s="8" t="n"/>
      <c r="M9096" s="9">
        <f>B9096+30</f>
        <v/>
      </c>
      <c r="N9096">
        <f>IF(L9096="", "", L9096-B9096)</f>
        <v/>
      </c>
      <c r="O9096">
        <f>IF(L9096="", "Pending", IF(N9096&lt;=30, "Met", "Breached"))</f>
        <v/>
      </c>
      <c r="P9096" s="8" t="n"/>
      <c r="Q9096" s="8" t="n"/>
      <c r="R9096" s="8" t="n"/>
      <c r="S9096" s="8" t="n"/>
      <c r="T9096" s="8" t="n"/>
      <c r="U9096" s="8" t="n"/>
      <c r="V9096" s="8" t="n"/>
      <c r="W9096" s="8" t="n"/>
      <c r="X9096" s="8" t="n"/>
      <c r="Y9096" s="8" t="n"/>
    </row>
    <row r="9097">
      <c r="A9097" s="8" t="n"/>
      <c r="B9097" s="8" t="n"/>
      <c r="C9097" s="8" t="n"/>
      <c r="D9097" s="8" t="n"/>
      <c r="E9097" s="8" t="n"/>
      <c r="F9097" s="8" t="n"/>
      <c r="G9097" s="8" t="n"/>
      <c r="H9097" s="8" t="n"/>
      <c r="I9097" s="8" t="n"/>
      <c r="J9097" s="8" t="n"/>
      <c r="K9097" s="8" t="n"/>
      <c r="L9097" s="8" t="n"/>
      <c r="M9097" s="9">
        <f>B9097+30</f>
        <v/>
      </c>
      <c r="N9097">
        <f>IF(L9097="", "", L9097-B9097)</f>
        <v/>
      </c>
      <c r="O9097">
        <f>IF(L9097="", "Pending", IF(N9097&lt;=30, "Met", "Breached"))</f>
        <v/>
      </c>
      <c r="P9097" s="8" t="n"/>
      <c r="Q9097" s="8" t="n"/>
      <c r="R9097" s="8" t="n"/>
      <c r="S9097" s="8" t="n"/>
      <c r="T9097" s="8" t="n"/>
      <c r="U9097" s="8" t="n"/>
      <c r="V9097" s="8" t="n"/>
      <c r="W9097" s="8" t="n"/>
      <c r="X9097" s="8" t="n"/>
      <c r="Y9097" s="8" t="n"/>
    </row>
    <row r="9098">
      <c r="A9098" s="8" t="n"/>
      <c r="B9098" s="8" t="n"/>
      <c r="C9098" s="8" t="n"/>
      <c r="D9098" s="8" t="n"/>
      <c r="E9098" s="8" t="n"/>
      <c r="F9098" s="8" t="n"/>
      <c r="G9098" s="8" t="n"/>
      <c r="H9098" s="8" t="n"/>
      <c r="I9098" s="8" t="n"/>
      <c r="J9098" s="8" t="n"/>
      <c r="K9098" s="8" t="n"/>
      <c r="L9098" s="8" t="n"/>
      <c r="M9098" s="9">
        <f>B9098+30</f>
        <v/>
      </c>
      <c r="N9098">
        <f>IF(L9098="", "", L9098-B9098)</f>
        <v/>
      </c>
      <c r="O9098">
        <f>IF(L9098="", "Pending", IF(N9098&lt;=30, "Met", "Breached"))</f>
        <v/>
      </c>
      <c r="P9098" s="8" t="n"/>
      <c r="Q9098" s="8" t="n"/>
      <c r="R9098" s="8" t="n"/>
      <c r="S9098" s="8" t="n"/>
      <c r="T9098" s="8" t="n"/>
      <c r="U9098" s="8" t="n"/>
      <c r="V9098" s="8" t="n"/>
      <c r="W9098" s="8" t="n"/>
      <c r="X9098" s="8" t="n"/>
      <c r="Y9098" s="8" t="n"/>
    </row>
    <row r="9099">
      <c r="A9099" s="8" t="n"/>
      <c r="B9099" s="8" t="n"/>
      <c r="C9099" s="8" t="n"/>
      <c r="D9099" s="8" t="n"/>
      <c r="E9099" s="8" t="n"/>
      <c r="F9099" s="8" t="n"/>
      <c r="G9099" s="8" t="n"/>
      <c r="H9099" s="8" t="n"/>
      <c r="I9099" s="8" t="n"/>
      <c r="J9099" s="8" t="n"/>
      <c r="K9099" s="8" t="n"/>
      <c r="L9099" s="8" t="n"/>
      <c r="M9099" s="9">
        <f>B9099+30</f>
        <v/>
      </c>
      <c r="N9099">
        <f>IF(L9099="", "", L9099-B9099)</f>
        <v/>
      </c>
      <c r="O9099">
        <f>IF(L9099="", "Pending", IF(N9099&lt;=30, "Met", "Breached"))</f>
        <v/>
      </c>
      <c r="P9099" s="8" t="n"/>
      <c r="Q9099" s="8" t="n"/>
      <c r="R9099" s="8" t="n"/>
      <c r="S9099" s="8" t="n"/>
      <c r="T9099" s="8" t="n"/>
      <c r="U9099" s="8" t="n"/>
      <c r="V9099" s="8" t="n"/>
      <c r="W9099" s="8" t="n"/>
      <c r="X9099" s="8" t="n"/>
      <c r="Y9099" s="8" t="n"/>
    </row>
    <row r="9100">
      <c r="A9100" s="8" t="n"/>
      <c r="B9100" s="8" t="n"/>
      <c r="C9100" s="8" t="n"/>
      <c r="D9100" s="8" t="n"/>
      <c r="E9100" s="8" t="n"/>
      <c r="F9100" s="8" t="n"/>
      <c r="G9100" s="8" t="n"/>
      <c r="H9100" s="8" t="n"/>
      <c r="I9100" s="8" t="n"/>
      <c r="J9100" s="8" t="n"/>
      <c r="K9100" s="8" t="n"/>
      <c r="L9100" s="8" t="n"/>
      <c r="M9100" s="9">
        <f>B9100+30</f>
        <v/>
      </c>
      <c r="N9100">
        <f>IF(L9100="", "", L9100-B9100)</f>
        <v/>
      </c>
      <c r="O9100">
        <f>IF(L9100="", "Pending", IF(N9100&lt;=30, "Met", "Breached"))</f>
        <v/>
      </c>
      <c r="P9100" s="8" t="n"/>
      <c r="Q9100" s="8" t="n"/>
      <c r="R9100" s="8" t="n"/>
      <c r="S9100" s="8" t="n"/>
      <c r="T9100" s="8" t="n"/>
      <c r="U9100" s="8" t="n"/>
      <c r="V9100" s="8" t="n"/>
      <c r="W9100" s="8" t="n"/>
      <c r="X9100" s="8" t="n"/>
      <c r="Y9100" s="8" t="n"/>
    </row>
    <row r="9101">
      <c r="A9101" s="8" t="n"/>
      <c r="B9101" s="8" t="n"/>
      <c r="C9101" s="8" t="n"/>
      <c r="D9101" s="8" t="n"/>
      <c r="E9101" s="8" t="n"/>
      <c r="F9101" s="8" t="n"/>
      <c r="G9101" s="8" t="n"/>
      <c r="H9101" s="8" t="n"/>
      <c r="I9101" s="8" t="n"/>
      <c r="J9101" s="8" t="n"/>
      <c r="K9101" s="8" t="n"/>
      <c r="L9101" s="8" t="n"/>
      <c r="M9101" s="9">
        <f>B9101+30</f>
        <v/>
      </c>
      <c r="N9101">
        <f>IF(L9101="", "", L9101-B9101)</f>
        <v/>
      </c>
      <c r="O9101">
        <f>IF(L9101="", "Pending", IF(N9101&lt;=30, "Met", "Breached"))</f>
        <v/>
      </c>
      <c r="P9101" s="8" t="n"/>
      <c r="Q9101" s="8" t="n"/>
      <c r="R9101" s="8" t="n"/>
      <c r="S9101" s="8" t="n"/>
      <c r="T9101" s="8" t="n"/>
      <c r="U9101" s="8" t="n"/>
      <c r="V9101" s="8" t="n"/>
      <c r="W9101" s="8" t="n"/>
      <c r="X9101" s="8" t="n"/>
      <c r="Y9101" s="8" t="n"/>
    </row>
    <row r="9102">
      <c r="A9102" s="8" t="n"/>
      <c r="B9102" s="8" t="n"/>
      <c r="C9102" s="8" t="n"/>
      <c r="D9102" s="8" t="n"/>
      <c r="E9102" s="8" t="n"/>
      <c r="F9102" s="8" t="n"/>
      <c r="G9102" s="8" t="n"/>
      <c r="H9102" s="8" t="n"/>
      <c r="I9102" s="8" t="n"/>
      <c r="J9102" s="8" t="n"/>
      <c r="K9102" s="8" t="n"/>
      <c r="L9102" s="8" t="n"/>
      <c r="M9102" s="9">
        <f>B9102+30</f>
        <v/>
      </c>
      <c r="N9102">
        <f>IF(L9102="", "", L9102-B9102)</f>
        <v/>
      </c>
      <c r="O9102">
        <f>IF(L9102="", "Pending", IF(N9102&lt;=30, "Met", "Breached"))</f>
        <v/>
      </c>
      <c r="P9102" s="8" t="n"/>
      <c r="Q9102" s="8" t="n"/>
      <c r="R9102" s="8" t="n"/>
      <c r="S9102" s="8" t="n"/>
      <c r="T9102" s="8" t="n"/>
      <c r="U9102" s="8" t="n"/>
      <c r="V9102" s="8" t="n"/>
      <c r="W9102" s="8" t="n"/>
      <c r="X9102" s="8" t="n"/>
      <c r="Y9102" s="8" t="n"/>
    </row>
    <row r="9103">
      <c r="A9103" s="8" t="n"/>
      <c r="B9103" s="8" t="n"/>
      <c r="C9103" s="8" t="n"/>
      <c r="D9103" s="8" t="n"/>
      <c r="E9103" s="8" t="n"/>
      <c r="F9103" s="8" t="n"/>
      <c r="G9103" s="8" t="n"/>
      <c r="H9103" s="8" t="n"/>
      <c r="I9103" s="8" t="n"/>
      <c r="J9103" s="8" t="n"/>
      <c r="K9103" s="8" t="n"/>
      <c r="L9103" s="8" t="n"/>
      <c r="M9103" s="9">
        <f>B9103+30</f>
        <v/>
      </c>
      <c r="N9103">
        <f>IF(L9103="", "", L9103-B9103)</f>
        <v/>
      </c>
      <c r="O9103">
        <f>IF(L9103="", "Pending", IF(N9103&lt;=30, "Met", "Breached"))</f>
        <v/>
      </c>
      <c r="P9103" s="8" t="n"/>
      <c r="Q9103" s="8" t="n"/>
      <c r="R9103" s="8" t="n"/>
      <c r="S9103" s="8" t="n"/>
      <c r="T9103" s="8" t="n"/>
      <c r="U9103" s="8" t="n"/>
      <c r="V9103" s="8" t="n"/>
      <c r="W9103" s="8" t="n"/>
      <c r="X9103" s="8" t="n"/>
      <c r="Y9103" s="8" t="n"/>
    </row>
    <row r="9104">
      <c r="A9104" s="8" t="n"/>
      <c r="B9104" s="8" t="n"/>
      <c r="C9104" s="8" t="n"/>
      <c r="D9104" s="8" t="n"/>
      <c r="E9104" s="8" t="n"/>
      <c r="F9104" s="8" t="n"/>
      <c r="G9104" s="8" t="n"/>
      <c r="H9104" s="8" t="n"/>
      <c r="I9104" s="8" t="n"/>
      <c r="J9104" s="8" t="n"/>
      <c r="K9104" s="8" t="n"/>
      <c r="L9104" s="8" t="n"/>
      <c r="M9104" s="9">
        <f>B9104+30</f>
        <v/>
      </c>
      <c r="N9104">
        <f>IF(L9104="", "", L9104-B9104)</f>
        <v/>
      </c>
      <c r="O9104">
        <f>IF(L9104="", "Pending", IF(N9104&lt;=30, "Met", "Breached"))</f>
        <v/>
      </c>
      <c r="P9104" s="8" t="n"/>
      <c r="Q9104" s="8" t="n"/>
      <c r="R9104" s="8" t="n"/>
      <c r="S9104" s="8" t="n"/>
      <c r="T9104" s="8" t="n"/>
      <c r="U9104" s="8" t="n"/>
      <c r="V9104" s="8" t="n"/>
      <c r="W9104" s="8" t="n"/>
      <c r="X9104" s="8" t="n"/>
      <c r="Y9104" s="8" t="n"/>
    </row>
    <row r="9105">
      <c r="A9105" s="8" t="n"/>
      <c r="B9105" s="8" t="n"/>
      <c r="C9105" s="8" t="n"/>
      <c r="D9105" s="8" t="n"/>
      <c r="E9105" s="8" t="n"/>
      <c r="F9105" s="8" t="n"/>
      <c r="G9105" s="8" t="n"/>
      <c r="H9105" s="8" t="n"/>
      <c r="I9105" s="8" t="n"/>
      <c r="J9105" s="8" t="n"/>
      <c r="K9105" s="8" t="n"/>
      <c r="L9105" s="8" t="n"/>
      <c r="M9105" s="9">
        <f>B9105+30</f>
        <v/>
      </c>
      <c r="N9105">
        <f>IF(L9105="", "", L9105-B9105)</f>
        <v/>
      </c>
      <c r="O9105">
        <f>IF(L9105="", "Pending", IF(N9105&lt;=30, "Met", "Breached"))</f>
        <v/>
      </c>
      <c r="P9105" s="8" t="n"/>
      <c r="Q9105" s="8" t="n"/>
      <c r="R9105" s="8" t="n"/>
      <c r="S9105" s="8" t="n"/>
      <c r="T9105" s="8" t="n"/>
      <c r="U9105" s="8" t="n"/>
      <c r="V9105" s="8" t="n"/>
      <c r="W9105" s="8" t="n"/>
      <c r="X9105" s="8" t="n"/>
      <c r="Y9105" s="8" t="n"/>
    </row>
    <row r="9106">
      <c r="A9106" s="8" t="n"/>
      <c r="B9106" s="8" t="n"/>
      <c r="C9106" s="8" t="n"/>
      <c r="D9106" s="8" t="n"/>
      <c r="E9106" s="8" t="n"/>
      <c r="F9106" s="8" t="n"/>
      <c r="G9106" s="8" t="n"/>
      <c r="H9106" s="8" t="n"/>
      <c r="I9106" s="8" t="n"/>
      <c r="J9106" s="8" t="n"/>
      <c r="K9106" s="8" t="n"/>
      <c r="L9106" s="8" t="n"/>
      <c r="M9106" s="9">
        <f>B9106+30</f>
        <v/>
      </c>
      <c r="N9106">
        <f>IF(L9106="", "", L9106-B9106)</f>
        <v/>
      </c>
      <c r="O9106">
        <f>IF(L9106="", "Pending", IF(N9106&lt;=30, "Met", "Breached"))</f>
        <v/>
      </c>
      <c r="P9106" s="8" t="n"/>
      <c r="Q9106" s="8" t="n"/>
      <c r="R9106" s="8" t="n"/>
      <c r="S9106" s="8" t="n"/>
      <c r="T9106" s="8" t="n"/>
      <c r="U9106" s="8" t="n"/>
      <c r="V9106" s="8" t="n"/>
      <c r="W9106" s="8" t="n"/>
      <c r="X9106" s="8" t="n"/>
      <c r="Y9106" s="8" t="n"/>
    </row>
    <row r="9107">
      <c r="A9107" s="8" t="n"/>
      <c r="B9107" s="8" t="n"/>
      <c r="C9107" s="8" t="n"/>
      <c r="D9107" s="8" t="n"/>
      <c r="E9107" s="8" t="n"/>
      <c r="F9107" s="8" t="n"/>
      <c r="G9107" s="8" t="n"/>
      <c r="H9107" s="8" t="n"/>
      <c r="I9107" s="8" t="n"/>
      <c r="J9107" s="8" t="n"/>
      <c r="K9107" s="8" t="n"/>
      <c r="L9107" s="8" t="n"/>
      <c r="M9107" s="9">
        <f>B9107+30</f>
        <v/>
      </c>
      <c r="N9107">
        <f>IF(L9107="", "", L9107-B9107)</f>
        <v/>
      </c>
      <c r="O9107">
        <f>IF(L9107="", "Pending", IF(N9107&lt;=30, "Met", "Breached"))</f>
        <v/>
      </c>
      <c r="P9107" s="8" t="n"/>
      <c r="Q9107" s="8" t="n"/>
      <c r="R9107" s="8" t="n"/>
      <c r="S9107" s="8" t="n"/>
      <c r="T9107" s="8" t="n"/>
      <c r="U9107" s="8" t="n"/>
      <c r="V9107" s="8" t="n"/>
      <c r="W9107" s="8" t="n"/>
      <c r="X9107" s="8" t="n"/>
      <c r="Y9107" s="8" t="n"/>
    </row>
    <row r="9108">
      <c r="A9108" s="8" t="n"/>
      <c r="B9108" s="8" t="n"/>
      <c r="C9108" s="8" t="n"/>
      <c r="D9108" s="8" t="n"/>
      <c r="E9108" s="8" t="n"/>
      <c r="F9108" s="8" t="n"/>
      <c r="G9108" s="8" t="n"/>
      <c r="H9108" s="8" t="n"/>
      <c r="I9108" s="8" t="n"/>
      <c r="J9108" s="8" t="n"/>
      <c r="K9108" s="8" t="n"/>
      <c r="L9108" s="8" t="n"/>
      <c r="M9108" s="9">
        <f>B9108+30</f>
        <v/>
      </c>
      <c r="N9108">
        <f>IF(L9108="", "", L9108-B9108)</f>
        <v/>
      </c>
      <c r="O9108">
        <f>IF(L9108="", "Pending", IF(N9108&lt;=30, "Met", "Breached"))</f>
        <v/>
      </c>
      <c r="P9108" s="8" t="n"/>
      <c r="Q9108" s="8" t="n"/>
      <c r="R9108" s="8" t="n"/>
      <c r="S9108" s="8" t="n"/>
      <c r="T9108" s="8" t="n"/>
      <c r="U9108" s="8" t="n"/>
      <c r="V9108" s="8" t="n"/>
      <c r="W9108" s="8" t="n"/>
      <c r="X9108" s="8" t="n"/>
      <c r="Y9108" s="8" t="n"/>
    </row>
    <row r="9109">
      <c r="A9109" s="8" t="n"/>
      <c r="B9109" s="8" t="n"/>
      <c r="C9109" s="8" t="n"/>
      <c r="D9109" s="8" t="n"/>
      <c r="E9109" s="8" t="n"/>
      <c r="F9109" s="8" t="n"/>
      <c r="G9109" s="8" t="n"/>
      <c r="H9109" s="8" t="n"/>
      <c r="I9109" s="8" t="n"/>
      <c r="J9109" s="8" t="n"/>
      <c r="K9109" s="8" t="n"/>
      <c r="L9109" s="8" t="n"/>
      <c r="M9109" s="9">
        <f>B9109+30</f>
        <v/>
      </c>
      <c r="N9109">
        <f>IF(L9109="", "", L9109-B9109)</f>
        <v/>
      </c>
      <c r="O9109">
        <f>IF(L9109="", "Pending", IF(N9109&lt;=30, "Met", "Breached"))</f>
        <v/>
      </c>
      <c r="P9109" s="8" t="n"/>
      <c r="Q9109" s="8" t="n"/>
      <c r="R9109" s="8" t="n"/>
      <c r="S9109" s="8" t="n"/>
      <c r="T9109" s="8" t="n"/>
      <c r="U9109" s="8" t="n"/>
      <c r="V9109" s="8" t="n"/>
      <c r="W9109" s="8" t="n"/>
      <c r="X9109" s="8" t="n"/>
      <c r="Y9109" s="8" t="n"/>
    </row>
    <row r="9110">
      <c r="A9110" s="8" t="n"/>
      <c r="B9110" s="8" t="n"/>
      <c r="C9110" s="8" t="n"/>
      <c r="D9110" s="8" t="n"/>
      <c r="E9110" s="8" t="n"/>
      <c r="F9110" s="8" t="n"/>
      <c r="G9110" s="8" t="n"/>
      <c r="H9110" s="8" t="n"/>
      <c r="I9110" s="8" t="n"/>
      <c r="J9110" s="8" t="n"/>
      <c r="K9110" s="8" t="n"/>
      <c r="L9110" s="8" t="n"/>
      <c r="M9110" s="9">
        <f>B9110+30</f>
        <v/>
      </c>
      <c r="N9110">
        <f>IF(L9110="", "", L9110-B9110)</f>
        <v/>
      </c>
      <c r="O9110">
        <f>IF(L9110="", "Pending", IF(N9110&lt;=30, "Met", "Breached"))</f>
        <v/>
      </c>
      <c r="P9110" s="8" t="n"/>
      <c r="Q9110" s="8" t="n"/>
      <c r="R9110" s="8" t="n"/>
      <c r="S9110" s="8" t="n"/>
      <c r="T9110" s="8" t="n"/>
      <c r="U9110" s="8" t="n"/>
      <c r="V9110" s="8" t="n"/>
      <c r="W9110" s="8" t="n"/>
      <c r="X9110" s="8" t="n"/>
      <c r="Y9110" s="8" t="n"/>
    </row>
    <row r="9111">
      <c r="A9111" s="8" t="n"/>
      <c r="B9111" s="8" t="n"/>
      <c r="C9111" s="8" t="n"/>
      <c r="D9111" s="8" t="n"/>
      <c r="E9111" s="8" t="n"/>
      <c r="F9111" s="8" t="n"/>
      <c r="G9111" s="8" t="n"/>
      <c r="H9111" s="8" t="n"/>
      <c r="I9111" s="8" t="n"/>
      <c r="J9111" s="8" t="n"/>
      <c r="K9111" s="8" t="n"/>
      <c r="L9111" s="8" t="n"/>
      <c r="M9111" s="9">
        <f>B9111+30</f>
        <v/>
      </c>
      <c r="N9111">
        <f>IF(L9111="", "", L9111-B9111)</f>
        <v/>
      </c>
      <c r="O9111">
        <f>IF(L9111="", "Pending", IF(N9111&lt;=30, "Met", "Breached"))</f>
        <v/>
      </c>
      <c r="P9111" s="8" t="n"/>
      <c r="Q9111" s="8" t="n"/>
      <c r="R9111" s="8" t="n"/>
      <c r="S9111" s="8" t="n"/>
      <c r="T9111" s="8" t="n"/>
      <c r="U9111" s="8" t="n"/>
      <c r="V9111" s="8" t="n"/>
      <c r="W9111" s="8" t="n"/>
      <c r="X9111" s="8" t="n"/>
      <c r="Y9111" s="8" t="n"/>
    </row>
    <row r="9112">
      <c r="A9112" s="8" t="n"/>
      <c r="B9112" s="8" t="n"/>
      <c r="C9112" s="8" t="n"/>
      <c r="D9112" s="8" t="n"/>
      <c r="E9112" s="8" t="n"/>
      <c r="F9112" s="8" t="n"/>
      <c r="G9112" s="8" t="n"/>
      <c r="H9112" s="8" t="n"/>
      <c r="I9112" s="8" t="n"/>
      <c r="J9112" s="8" t="n"/>
      <c r="K9112" s="8" t="n"/>
      <c r="L9112" s="8" t="n"/>
      <c r="M9112" s="9">
        <f>B9112+30</f>
        <v/>
      </c>
      <c r="N9112">
        <f>IF(L9112="", "", L9112-B9112)</f>
        <v/>
      </c>
      <c r="O9112">
        <f>IF(L9112="", "Pending", IF(N9112&lt;=30, "Met", "Breached"))</f>
        <v/>
      </c>
      <c r="P9112" s="8" t="n"/>
      <c r="Q9112" s="8" t="n"/>
      <c r="R9112" s="8" t="n"/>
      <c r="S9112" s="8" t="n"/>
      <c r="T9112" s="8" t="n"/>
      <c r="U9112" s="8" t="n"/>
      <c r="V9112" s="8" t="n"/>
      <c r="W9112" s="8" t="n"/>
      <c r="X9112" s="8" t="n"/>
      <c r="Y9112" s="8" t="n"/>
    </row>
    <row r="9113">
      <c r="A9113" s="8" t="n"/>
      <c r="B9113" s="8" t="n"/>
      <c r="C9113" s="8" t="n"/>
      <c r="D9113" s="8" t="n"/>
      <c r="E9113" s="8" t="n"/>
      <c r="F9113" s="8" t="n"/>
      <c r="G9113" s="8" t="n"/>
      <c r="H9113" s="8" t="n"/>
      <c r="I9113" s="8" t="n"/>
      <c r="J9113" s="8" t="n"/>
      <c r="K9113" s="8" t="n"/>
      <c r="L9113" s="8" t="n"/>
      <c r="M9113" s="9">
        <f>B9113+30</f>
        <v/>
      </c>
      <c r="N9113">
        <f>IF(L9113="", "", L9113-B9113)</f>
        <v/>
      </c>
      <c r="O9113">
        <f>IF(L9113="", "Pending", IF(N9113&lt;=30, "Met", "Breached"))</f>
        <v/>
      </c>
      <c r="P9113" s="8" t="n"/>
      <c r="Q9113" s="8" t="n"/>
      <c r="R9113" s="8" t="n"/>
      <c r="S9113" s="8" t="n"/>
      <c r="T9113" s="8" t="n"/>
      <c r="U9113" s="8" t="n"/>
      <c r="V9113" s="8" t="n"/>
      <c r="W9113" s="8" t="n"/>
      <c r="X9113" s="8" t="n"/>
      <c r="Y9113" s="8" t="n"/>
    </row>
    <row r="9114">
      <c r="A9114" s="8" t="n"/>
      <c r="B9114" s="8" t="n"/>
      <c r="C9114" s="8" t="n"/>
      <c r="D9114" s="8" t="n"/>
      <c r="E9114" s="8" t="n"/>
      <c r="F9114" s="8" t="n"/>
      <c r="G9114" s="8" t="n"/>
      <c r="H9114" s="8" t="n"/>
      <c r="I9114" s="8" t="n"/>
      <c r="J9114" s="8" t="n"/>
      <c r="K9114" s="8" t="n"/>
      <c r="L9114" s="8" t="n"/>
      <c r="M9114" s="9">
        <f>B9114+30</f>
        <v/>
      </c>
      <c r="N9114">
        <f>IF(L9114="", "", L9114-B9114)</f>
        <v/>
      </c>
      <c r="O9114">
        <f>IF(L9114="", "Pending", IF(N9114&lt;=30, "Met", "Breached"))</f>
        <v/>
      </c>
      <c r="P9114" s="8" t="n"/>
      <c r="Q9114" s="8" t="n"/>
      <c r="R9114" s="8" t="n"/>
      <c r="S9114" s="8" t="n"/>
      <c r="T9114" s="8" t="n"/>
      <c r="U9114" s="8" t="n"/>
      <c r="V9114" s="8" t="n"/>
      <c r="W9114" s="8" t="n"/>
      <c r="X9114" s="8" t="n"/>
      <c r="Y9114" s="8" t="n"/>
    </row>
    <row r="9115">
      <c r="A9115" s="8" t="n"/>
      <c r="B9115" s="8" t="n"/>
      <c r="C9115" s="8" t="n"/>
      <c r="D9115" s="8" t="n"/>
      <c r="E9115" s="8" t="n"/>
      <c r="F9115" s="8" t="n"/>
      <c r="G9115" s="8" t="n"/>
      <c r="H9115" s="8" t="n"/>
      <c r="I9115" s="8" t="n"/>
      <c r="J9115" s="8" t="n"/>
      <c r="K9115" s="8" t="n"/>
      <c r="L9115" s="8" t="n"/>
      <c r="M9115" s="9">
        <f>B9115+30</f>
        <v/>
      </c>
      <c r="N9115">
        <f>IF(L9115="", "", L9115-B9115)</f>
        <v/>
      </c>
      <c r="O9115">
        <f>IF(L9115="", "Pending", IF(N9115&lt;=30, "Met", "Breached"))</f>
        <v/>
      </c>
      <c r="P9115" s="8" t="n"/>
      <c r="Q9115" s="8" t="n"/>
      <c r="R9115" s="8" t="n"/>
      <c r="S9115" s="8" t="n"/>
      <c r="T9115" s="8" t="n"/>
      <c r="U9115" s="8" t="n"/>
      <c r="V9115" s="8" t="n"/>
      <c r="W9115" s="8" t="n"/>
      <c r="X9115" s="8" t="n"/>
      <c r="Y9115" s="8" t="n"/>
    </row>
    <row r="9116">
      <c r="A9116" s="8" t="n"/>
      <c r="B9116" s="8" t="n"/>
      <c r="C9116" s="8" t="n"/>
      <c r="D9116" s="8" t="n"/>
      <c r="E9116" s="8" t="n"/>
      <c r="F9116" s="8" t="n"/>
      <c r="G9116" s="8" t="n"/>
      <c r="H9116" s="8" t="n"/>
      <c r="I9116" s="8" t="n"/>
      <c r="J9116" s="8" t="n"/>
      <c r="K9116" s="8" t="n"/>
      <c r="L9116" s="8" t="n"/>
      <c r="M9116" s="9">
        <f>B9116+30</f>
        <v/>
      </c>
      <c r="N9116">
        <f>IF(L9116="", "", L9116-B9116)</f>
        <v/>
      </c>
      <c r="O9116">
        <f>IF(L9116="", "Pending", IF(N9116&lt;=30, "Met", "Breached"))</f>
        <v/>
      </c>
      <c r="P9116" s="8" t="n"/>
      <c r="Q9116" s="8" t="n"/>
      <c r="R9116" s="8" t="n"/>
      <c r="S9116" s="8" t="n"/>
      <c r="T9116" s="8" t="n"/>
      <c r="U9116" s="8" t="n"/>
      <c r="V9116" s="8" t="n"/>
      <c r="W9116" s="8" t="n"/>
      <c r="X9116" s="8" t="n"/>
      <c r="Y9116" s="8" t="n"/>
    </row>
    <row r="9117">
      <c r="A9117" s="8" t="n"/>
      <c r="B9117" s="8" t="n"/>
      <c r="C9117" s="8" t="n"/>
      <c r="D9117" s="8" t="n"/>
      <c r="E9117" s="8" t="n"/>
      <c r="F9117" s="8" t="n"/>
      <c r="G9117" s="8" t="n"/>
      <c r="H9117" s="8" t="n"/>
      <c r="I9117" s="8" t="n"/>
      <c r="J9117" s="8" t="n"/>
      <c r="K9117" s="8" t="n"/>
      <c r="L9117" s="8" t="n"/>
      <c r="M9117" s="9">
        <f>B9117+30</f>
        <v/>
      </c>
      <c r="N9117">
        <f>IF(L9117="", "", L9117-B9117)</f>
        <v/>
      </c>
      <c r="O9117">
        <f>IF(L9117="", "Pending", IF(N9117&lt;=30, "Met", "Breached"))</f>
        <v/>
      </c>
      <c r="P9117" s="8" t="n"/>
      <c r="Q9117" s="8" t="n"/>
      <c r="R9117" s="8" t="n"/>
      <c r="S9117" s="8" t="n"/>
      <c r="T9117" s="8" t="n"/>
      <c r="U9117" s="8" t="n"/>
      <c r="V9117" s="8" t="n"/>
      <c r="W9117" s="8" t="n"/>
      <c r="X9117" s="8" t="n"/>
      <c r="Y9117" s="8" t="n"/>
    </row>
    <row r="9118">
      <c r="A9118" s="8" t="n"/>
      <c r="B9118" s="8" t="n"/>
      <c r="C9118" s="8" t="n"/>
      <c r="D9118" s="8" t="n"/>
      <c r="E9118" s="8" t="n"/>
      <c r="F9118" s="8" t="n"/>
      <c r="G9118" s="8" t="n"/>
      <c r="H9118" s="8" t="n"/>
      <c r="I9118" s="8" t="n"/>
      <c r="J9118" s="8" t="n"/>
      <c r="K9118" s="8" t="n"/>
      <c r="L9118" s="8" t="n"/>
      <c r="M9118" s="9">
        <f>B9118+30</f>
        <v/>
      </c>
      <c r="N9118">
        <f>IF(L9118="", "", L9118-B9118)</f>
        <v/>
      </c>
      <c r="O9118">
        <f>IF(L9118="", "Pending", IF(N9118&lt;=30, "Met", "Breached"))</f>
        <v/>
      </c>
      <c r="P9118" s="8" t="n"/>
      <c r="Q9118" s="8" t="n"/>
      <c r="R9118" s="8" t="n"/>
      <c r="S9118" s="8" t="n"/>
      <c r="T9118" s="8" t="n"/>
      <c r="U9118" s="8" t="n"/>
      <c r="V9118" s="8" t="n"/>
      <c r="W9118" s="8" t="n"/>
      <c r="X9118" s="8" t="n"/>
      <c r="Y9118" s="8" t="n"/>
    </row>
    <row r="9119">
      <c r="A9119" s="8" t="n"/>
      <c r="B9119" s="8" t="n"/>
      <c r="C9119" s="8" t="n"/>
      <c r="D9119" s="8" t="n"/>
      <c r="E9119" s="8" t="n"/>
      <c r="F9119" s="8" t="n"/>
      <c r="G9119" s="8" t="n"/>
      <c r="H9119" s="8" t="n"/>
      <c r="I9119" s="8" t="n"/>
      <c r="J9119" s="8" t="n"/>
      <c r="K9119" s="8" t="n"/>
      <c r="L9119" s="8" t="n"/>
      <c r="M9119" s="9">
        <f>B9119+30</f>
        <v/>
      </c>
      <c r="N9119">
        <f>IF(L9119="", "", L9119-B9119)</f>
        <v/>
      </c>
      <c r="O9119">
        <f>IF(L9119="", "Pending", IF(N9119&lt;=30, "Met", "Breached"))</f>
        <v/>
      </c>
      <c r="P9119" s="8" t="n"/>
      <c r="Q9119" s="8" t="n"/>
      <c r="R9119" s="8" t="n"/>
      <c r="S9119" s="8" t="n"/>
      <c r="T9119" s="8" t="n"/>
      <c r="U9119" s="8" t="n"/>
      <c r="V9119" s="8" t="n"/>
      <c r="W9119" s="8" t="n"/>
      <c r="X9119" s="8" t="n"/>
      <c r="Y9119" s="8" t="n"/>
    </row>
    <row r="9120">
      <c r="A9120" s="8" t="n"/>
      <c r="B9120" s="8" t="n"/>
      <c r="C9120" s="8" t="n"/>
      <c r="D9120" s="8" t="n"/>
      <c r="E9120" s="8" t="n"/>
      <c r="F9120" s="8" t="n"/>
      <c r="G9120" s="8" t="n"/>
      <c r="H9120" s="8" t="n"/>
      <c r="I9120" s="8" t="n"/>
      <c r="J9120" s="8" t="n"/>
      <c r="K9120" s="8" t="n"/>
      <c r="L9120" s="8" t="n"/>
      <c r="M9120" s="9">
        <f>B9120+30</f>
        <v/>
      </c>
      <c r="N9120">
        <f>IF(L9120="", "", L9120-B9120)</f>
        <v/>
      </c>
      <c r="O9120">
        <f>IF(L9120="", "Pending", IF(N9120&lt;=30, "Met", "Breached"))</f>
        <v/>
      </c>
      <c r="P9120" s="8" t="n"/>
      <c r="Q9120" s="8" t="n"/>
      <c r="R9120" s="8" t="n"/>
      <c r="S9120" s="8" t="n"/>
      <c r="T9120" s="8" t="n"/>
      <c r="U9120" s="8" t="n"/>
      <c r="V9120" s="8" t="n"/>
      <c r="W9120" s="8" t="n"/>
      <c r="X9120" s="8" t="n"/>
      <c r="Y9120" s="8" t="n"/>
    </row>
    <row r="9121">
      <c r="A9121" s="8" t="n"/>
      <c r="B9121" s="8" t="n"/>
      <c r="C9121" s="8" t="n"/>
      <c r="D9121" s="8" t="n"/>
      <c r="E9121" s="8" t="n"/>
      <c r="F9121" s="8" t="n"/>
      <c r="G9121" s="8" t="n"/>
      <c r="H9121" s="8" t="n"/>
      <c r="I9121" s="8" t="n"/>
      <c r="J9121" s="8" t="n"/>
      <c r="K9121" s="8" t="n"/>
      <c r="L9121" s="8" t="n"/>
      <c r="M9121" s="9">
        <f>B9121+30</f>
        <v/>
      </c>
      <c r="N9121">
        <f>IF(L9121="", "", L9121-B9121)</f>
        <v/>
      </c>
      <c r="O9121">
        <f>IF(L9121="", "Pending", IF(N9121&lt;=30, "Met", "Breached"))</f>
        <v/>
      </c>
      <c r="P9121" s="8" t="n"/>
      <c r="Q9121" s="8" t="n"/>
      <c r="R9121" s="8" t="n"/>
      <c r="S9121" s="8" t="n"/>
      <c r="T9121" s="8" t="n"/>
      <c r="U9121" s="8" t="n"/>
      <c r="V9121" s="8" t="n"/>
      <c r="W9121" s="8" t="n"/>
      <c r="X9121" s="8" t="n"/>
      <c r="Y9121" s="8" t="n"/>
    </row>
    <row r="9122">
      <c r="A9122" s="8" t="n"/>
      <c r="B9122" s="8" t="n"/>
      <c r="C9122" s="8" t="n"/>
      <c r="D9122" s="8" t="n"/>
      <c r="E9122" s="8" t="n"/>
      <c r="F9122" s="8" t="n"/>
      <c r="G9122" s="8" t="n"/>
      <c r="H9122" s="8" t="n"/>
      <c r="I9122" s="8" t="n"/>
      <c r="J9122" s="8" t="n"/>
      <c r="K9122" s="8" t="n"/>
      <c r="L9122" s="8" t="n"/>
      <c r="M9122" s="9">
        <f>B9122+30</f>
        <v/>
      </c>
      <c r="N9122">
        <f>IF(L9122="", "", L9122-B9122)</f>
        <v/>
      </c>
      <c r="O9122">
        <f>IF(L9122="", "Pending", IF(N9122&lt;=30, "Met", "Breached"))</f>
        <v/>
      </c>
      <c r="P9122" s="8" t="n"/>
      <c r="Q9122" s="8" t="n"/>
      <c r="R9122" s="8" t="n"/>
      <c r="S9122" s="8" t="n"/>
      <c r="T9122" s="8" t="n"/>
      <c r="U9122" s="8" t="n"/>
      <c r="V9122" s="8" t="n"/>
      <c r="W9122" s="8" t="n"/>
      <c r="X9122" s="8" t="n"/>
      <c r="Y9122" s="8" t="n"/>
    </row>
    <row r="9123">
      <c r="A9123" s="8" t="n"/>
      <c r="B9123" s="8" t="n"/>
      <c r="C9123" s="8" t="n"/>
      <c r="D9123" s="8" t="n"/>
      <c r="E9123" s="8" t="n"/>
      <c r="F9123" s="8" t="n"/>
      <c r="G9123" s="8" t="n"/>
      <c r="H9123" s="8" t="n"/>
      <c r="I9123" s="8" t="n"/>
      <c r="J9123" s="8" t="n"/>
      <c r="K9123" s="8" t="n"/>
      <c r="L9123" s="8" t="n"/>
      <c r="M9123" s="9">
        <f>B9123+30</f>
        <v/>
      </c>
      <c r="N9123">
        <f>IF(L9123="", "", L9123-B9123)</f>
        <v/>
      </c>
      <c r="O9123">
        <f>IF(L9123="", "Pending", IF(N9123&lt;=30, "Met", "Breached"))</f>
        <v/>
      </c>
      <c r="P9123" s="8" t="n"/>
      <c r="Q9123" s="8" t="n"/>
      <c r="R9123" s="8" t="n"/>
      <c r="S9123" s="8" t="n"/>
      <c r="T9123" s="8" t="n"/>
      <c r="U9123" s="8" t="n"/>
      <c r="V9123" s="8" t="n"/>
      <c r="W9123" s="8" t="n"/>
      <c r="X9123" s="8" t="n"/>
      <c r="Y9123" s="8" t="n"/>
    </row>
    <row r="9124">
      <c r="A9124" s="8" t="n"/>
      <c r="B9124" s="8" t="n"/>
      <c r="C9124" s="8" t="n"/>
      <c r="D9124" s="8" t="n"/>
      <c r="E9124" s="8" t="n"/>
      <c r="F9124" s="8" t="n"/>
      <c r="G9124" s="8" t="n"/>
      <c r="H9124" s="8" t="n"/>
      <c r="I9124" s="8" t="n"/>
      <c r="J9124" s="8" t="n"/>
      <c r="K9124" s="8" t="n"/>
      <c r="L9124" s="8" t="n"/>
      <c r="M9124" s="9">
        <f>B9124+30</f>
        <v/>
      </c>
      <c r="N9124">
        <f>IF(L9124="", "", L9124-B9124)</f>
        <v/>
      </c>
      <c r="O9124">
        <f>IF(L9124="", "Pending", IF(N9124&lt;=30, "Met", "Breached"))</f>
        <v/>
      </c>
      <c r="P9124" s="8" t="n"/>
      <c r="Q9124" s="8" t="n"/>
      <c r="R9124" s="8" t="n"/>
      <c r="S9124" s="8" t="n"/>
      <c r="T9124" s="8" t="n"/>
      <c r="U9124" s="8" t="n"/>
      <c r="V9124" s="8" t="n"/>
      <c r="W9124" s="8" t="n"/>
      <c r="X9124" s="8" t="n"/>
      <c r="Y9124" s="8" t="n"/>
    </row>
    <row r="9125">
      <c r="A9125" s="8" t="n"/>
      <c r="B9125" s="8" t="n"/>
      <c r="C9125" s="8" t="n"/>
      <c r="D9125" s="8" t="n"/>
      <c r="E9125" s="8" t="n"/>
      <c r="F9125" s="8" t="n"/>
      <c r="G9125" s="8" t="n"/>
      <c r="H9125" s="8" t="n"/>
      <c r="I9125" s="8" t="n"/>
      <c r="J9125" s="8" t="n"/>
      <c r="K9125" s="8" t="n"/>
      <c r="L9125" s="8" t="n"/>
      <c r="M9125" s="9">
        <f>B9125+30</f>
        <v/>
      </c>
      <c r="N9125">
        <f>IF(L9125="", "", L9125-B9125)</f>
        <v/>
      </c>
      <c r="O9125">
        <f>IF(L9125="", "Pending", IF(N9125&lt;=30, "Met", "Breached"))</f>
        <v/>
      </c>
      <c r="P9125" s="8" t="n"/>
      <c r="Q9125" s="8" t="n"/>
      <c r="R9125" s="8" t="n"/>
      <c r="S9125" s="8" t="n"/>
      <c r="T9125" s="8" t="n"/>
      <c r="U9125" s="8" t="n"/>
      <c r="V9125" s="8" t="n"/>
      <c r="W9125" s="8" t="n"/>
      <c r="X9125" s="8" t="n"/>
      <c r="Y9125" s="8" t="n"/>
    </row>
    <row r="9126">
      <c r="A9126" s="8" t="n"/>
      <c r="B9126" s="8" t="n"/>
      <c r="C9126" s="8" t="n"/>
      <c r="D9126" s="8" t="n"/>
      <c r="E9126" s="8" t="n"/>
      <c r="F9126" s="8" t="n"/>
      <c r="G9126" s="8" t="n"/>
      <c r="H9126" s="8" t="n"/>
      <c r="I9126" s="8" t="n"/>
      <c r="J9126" s="8" t="n"/>
      <c r="K9126" s="8" t="n"/>
      <c r="L9126" s="8" t="n"/>
      <c r="M9126" s="9">
        <f>B9126+30</f>
        <v/>
      </c>
      <c r="N9126">
        <f>IF(L9126="", "", L9126-B9126)</f>
        <v/>
      </c>
      <c r="O9126">
        <f>IF(L9126="", "Pending", IF(N9126&lt;=30, "Met", "Breached"))</f>
        <v/>
      </c>
      <c r="P9126" s="8" t="n"/>
      <c r="Q9126" s="8" t="n"/>
      <c r="R9126" s="8" t="n"/>
      <c r="S9126" s="8" t="n"/>
      <c r="T9126" s="8" t="n"/>
      <c r="U9126" s="8" t="n"/>
      <c r="V9126" s="8" t="n"/>
      <c r="W9126" s="8" t="n"/>
      <c r="X9126" s="8" t="n"/>
      <c r="Y9126" s="8" t="n"/>
    </row>
    <row r="9127">
      <c r="A9127" s="8" t="n"/>
      <c r="B9127" s="8" t="n"/>
      <c r="C9127" s="8" t="n"/>
      <c r="D9127" s="8" t="n"/>
      <c r="E9127" s="8" t="n"/>
      <c r="F9127" s="8" t="n"/>
      <c r="G9127" s="8" t="n"/>
      <c r="H9127" s="8" t="n"/>
      <c r="I9127" s="8" t="n"/>
      <c r="J9127" s="8" t="n"/>
      <c r="K9127" s="8" t="n"/>
      <c r="L9127" s="8" t="n"/>
      <c r="M9127" s="9">
        <f>B9127+30</f>
        <v/>
      </c>
      <c r="N9127">
        <f>IF(L9127="", "", L9127-B9127)</f>
        <v/>
      </c>
      <c r="O9127">
        <f>IF(L9127="", "Pending", IF(N9127&lt;=30, "Met", "Breached"))</f>
        <v/>
      </c>
      <c r="P9127" s="8" t="n"/>
      <c r="Q9127" s="8" t="n"/>
      <c r="R9127" s="8" t="n"/>
      <c r="S9127" s="8" t="n"/>
      <c r="T9127" s="8" t="n"/>
      <c r="U9127" s="8" t="n"/>
      <c r="V9127" s="8" t="n"/>
      <c r="W9127" s="8" t="n"/>
      <c r="X9127" s="8" t="n"/>
      <c r="Y9127" s="8" t="n"/>
    </row>
    <row r="9128">
      <c r="A9128" s="8" t="n"/>
      <c r="B9128" s="8" t="n"/>
      <c r="C9128" s="8" t="n"/>
      <c r="D9128" s="8" t="n"/>
      <c r="E9128" s="8" t="n"/>
      <c r="F9128" s="8" t="n"/>
      <c r="G9128" s="8" t="n"/>
      <c r="H9128" s="8" t="n"/>
      <c r="I9128" s="8" t="n"/>
      <c r="J9128" s="8" t="n"/>
      <c r="K9128" s="8" t="n"/>
      <c r="L9128" s="8" t="n"/>
      <c r="M9128" s="9">
        <f>B9128+30</f>
        <v/>
      </c>
      <c r="N9128">
        <f>IF(L9128="", "", L9128-B9128)</f>
        <v/>
      </c>
      <c r="O9128">
        <f>IF(L9128="", "Pending", IF(N9128&lt;=30, "Met", "Breached"))</f>
        <v/>
      </c>
      <c r="P9128" s="8" t="n"/>
      <c r="Q9128" s="8" t="n"/>
      <c r="R9128" s="8" t="n"/>
      <c r="S9128" s="8" t="n"/>
      <c r="T9128" s="8" t="n"/>
      <c r="U9128" s="8" t="n"/>
      <c r="V9128" s="8" t="n"/>
      <c r="W9128" s="8" t="n"/>
      <c r="X9128" s="8" t="n"/>
      <c r="Y9128" s="8" t="n"/>
    </row>
    <row r="9129">
      <c r="A9129" s="8" t="n"/>
      <c r="B9129" s="8" t="n"/>
      <c r="C9129" s="8" t="n"/>
      <c r="D9129" s="8" t="n"/>
      <c r="E9129" s="8" t="n"/>
      <c r="F9129" s="8" t="n"/>
      <c r="G9129" s="8" t="n"/>
      <c r="H9129" s="8" t="n"/>
      <c r="I9129" s="8" t="n"/>
      <c r="J9129" s="8" t="n"/>
      <c r="K9129" s="8" t="n"/>
      <c r="L9129" s="8" t="n"/>
      <c r="M9129" s="9">
        <f>B9129+30</f>
        <v/>
      </c>
      <c r="N9129">
        <f>IF(L9129="", "", L9129-B9129)</f>
        <v/>
      </c>
      <c r="O9129">
        <f>IF(L9129="", "Pending", IF(N9129&lt;=30, "Met", "Breached"))</f>
        <v/>
      </c>
      <c r="P9129" s="8" t="n"/>
      <c r="Q9129" s="8" t="n"/>
      <c r="R9129" s="8" t="n"/>
      <c r="S9129" s="8" t="n"/>
      <c r="T9129" s="8" t="n"/>
      <c r="U9129" s="8" t="n"/>
      <c r="V9129" s="8" t="n"/>
      <c r="W9129" s="8" t="n"/>
      <c r="X9129" s="8" t="n"/>
      <c r="Y9129" s="8" t="n"/>
    </row>
    <row r="9130">
      <c r="A9130" s="8" t="n"/>
      <c r="B9130" s="8" t="n"/>
      <c r="C9130" s="8" t="n"/>
      <c r="D9130" s="8" t="n"/>
      <c r="E9130" s="8" t="n"/>
      <c r="F9130" s="8" t="n"/>
      <c r="G9130" s="8" t="n"/>
      <c r="H9130" s="8" t="n"/>
      <c r="I9130" s="8" t="n"/>
      <c r="J9130" s="8" t="n"/>
      <c r="K9130" s="8" t="n"/>
      <c r="L9130" s="8" t="n"/>
      <c r="M9130" s="9">
        <f>B9130+30</f>
        <v/>
      </c>
      <c r="N9130">
        <f>IF(L9130="", "", L9130-B9130)</f>
        <v/>
      </c>
      <c r="O9130">
        <f>IF(L9130="", "Pending", IF(N9130&lt;=30, "Met", "Breached"))</f>
        <v/>
      </c>
      <c r="P9130" s="8" t="n"/>
      <c r="Q9130" s="8" t="n"/>
      <c r="R9130" s="8" t="n"/>
      <c r="S9130" s="8" t="n"/>
      <c r="T9130" s="8" t="n"/>
      <c r="U9130" s="8" t="n"/>
      <c r="V9130" s="8" t="n"/>
      <c r="W9130" s="8" t="n"/>
      <c r="X9130" s="8" t="n"/>
      <c r="Y9130" s="8" t="n"/>
    </row>
    <row r="9131">
      <c r="A9131" s="8" t="n"/>
      <c r="B9131" s="8" t="n"/>
      <c r="C9131" s="8" t="n"/>
      <c r="D9131" s="8" t="n"/>
      <c r="E9131" s="8" t="n"/>
      <c r="F9131" s="8" t="n"/>
      <c r="G9131" s="8" t="n"/>
      <c r="H9131" s="8" t="n"/>
      <c r="I9131" s="8" t="n"/>
      <c r="J9131" s="8" t="n"/>
      <c r="K9131" s="8" t="n"/>
      <c r="L9131" s="8" t="n"/>
      <c r="M9131" s="9">
        <f>B9131+30</f>
        <v/>
      </c>
      <c r="N9131">
        <f>IF(L9131="", "", L9131-B9131)</f>
        <v/>
      </c>
      <c r="O9131">
        <f>IF(L9131="", "Pending", IF(N9131&lt;=30, "Met", "Breached"))</f>
        <v/>
      </c>
      <c r="P9131" s="8" t="n"/>
      <c r="Q9131" s="8" t="n"/>
      <c r="R9131" s="8" t="n"/>
      <c r="S9131" s="8" t="n"/>
      <c r="T9131" s="8" t="n"/>
      <c r="U9131" s="8" t="n"/>
      <c r="V9131" s="8" t="n"/>
      <c r="W9131" s="8" t="n"/>
      <c r="X9131" s="8" t="n"/>
      <c r="Y9131" s="8" t="n"/>
    </row>
    <row r="9132">
      <c r="A9132" s="8" t="n"/>
      <c r="B9132" s="8" t="n"/>
      <c r="C9132" s="8" t="n"/>
      <c r="D9132" s="8" t="n"/>
      <c r="E9132" s="8" t="n"/>
      <c r="F9132" s="8" t="n"/>
      <c r="G9132" s="8" t="n"/>
      <c r="H9132" s="8" t="n"/>
      <c r="I9132" s="8" t="n"/>
      <c r="J9132" s="8" t="n"/>
      <c r="K9132" s="8" t="n"/>
      <c r="L9132" s="8" t="n"/>
      <c r="M9132" s="9">
        <f>B9132+30</f>
        <v/>
      </c>
      <c r="N9132">
        <f>IF(L9132="", "", L9132-B9132)</f>
        <v/>
      </c>
      <c r="O9132">
        <f>IF(L9132="", "Pending", IF(N9132&lt;=30, "Met", "Breached"))</f>
        <v/>
      </c>
      <c r="P9132" s="8" t="n"/>
      <c r="Q9132" s="8" t="n"/>
      <c r="R9132" s="8" t="n"/>
      <c r="S9132" s="8" t="n"/>
      <c r="T9132" s="8" t="n"/>
      <c r="U9132" s="8" t="n"/>
      <c r="V9132" s="8" t="n"/>
      <c r="W9132" s="8" t="n"/>
      <c r="X9132" s="8" t="n"/>
      <c r="Y9132" s="8" t="n"/>
    </row>
    <row r="9133">
      <c r="A9133" s="8" t="n"/>
      <c r="B9133" s="8" t="n"/>
      <c r="C9133" s="8" t="n"/>
      <c r="D9133" s="8" t="n"/>
      <c r="E9133" s="8" t="n"/>
      <c r="F9133" s="8" t="n"/>
      <c r="G9133" s="8" t="n"/>
      <c r="H9133" s="8" t="n"/>
      <c r="I9133" s="8" t="n"/>
      <c r="J9133" s="8" t="n"/>
      <c r="K9133" s="8" t="n"/>
      <c r="L9133" s="8" t="n"/>
      <c r="M9133" s="9">
        <f>B9133+30</f>
        <v/>
      </c>
      <c r="N9133">
        <f>IF(L9133="", "", L9133-B9133)</f>
        <v/>
      </c>
      <c r="O9133">
        <f>IF(L9133="", "Pending", IF(N9133&lt;=30, "Met", "Breached"))</f>
        <v/>
      </c>
      <c r="P9133" s="8" t="n"/>
      <c r="Q9133" s="8" t="n"/>
      <c r="R9133" s="8" t="n"/>
      <c r="S9133" s="8" t="n"/>
      <c r="T9133" s="8" t="n"/>
      <c r="U9133" s="8" t="n"/>
      <c r="V9133" s="8" t="n"/>
      <c r="W9133" s="8" t="n"/>
      <c r="X9133" s="8" t="n"/>
      <c r="Y9133" s="8" t="n"/>
    </row>
    <row r="9134">
      <c r="A9134" s="8" t="n"/>
      <c r="B9134" s="8" t="n"/>
      <c r="C9134" s="8" t="n"/>
      <c r="D9134" s="8" t="n"/>
      <c r="E9134" s="8" t="n"/>
      <c r="F9134" s="8" t="n"/>
      <c r="G9134" s="8" t="n"/>
      <c r="H9134" s="8" t="n"/>
      <c r="I9134" s="8" t="n"/>
      <c r="J9134" s="8" t="n"/>
      <c r="K9134" s="8" t="n"/>
      <c r="L9134" s="8" t="n"/>
      <c r="M9134" s="9">
        <f>B9134+30</f>
        <v/>
      </c>
      <c r="N9134">
        <f>IF(L9134="", "", L9134-B9134)</f>
        <v/>
      </c>
      <c r="O9134">
        <f>IF(L9134="", "Pending", IF(N9134&lt;=30, "Met", "Breached"))</f>
        <v/>
      </c>
      <c r="P9134" s="8" t="n"/>
      <c r="Q9134" s="8" t="n"/>
      <c r="R9134" s="8" t="n"/>
      <c r="S9134" s="8" t="n"/>
      <c r="T9134" s="8" t="n"/>
      <c r="U9134" s="8" t="n"/>
      <c r="V9134" s="8" t="n"/>
      <c r="W9134" s="8" t="n"/>
      <c r="X9134" s="8" t="n"/>
      <c r="Y9134" s="8" t="n"/>
    </row>
    <row r="9135">
      <c r="A9135" s="8" t="n"/>
      <c r="B9135" s="8" t="n"/>
      <c r="C9135" s="8" t="n"/>
      <c r="D9135" s="8" t="n"/>
      <c r="E9135" s="8" t="n"/>
      <c r="F9135" s="8" t="n"/>
      <c r="G9135" s="8" t="n"/>
      <c r="H9135" s="8" t="n"/>
      <c r="I9135" s="8" t="n"/>
      <c r="J9135" s="8" t="n"/>
      <c r="K9135" s="8" t="n"/>
      <c r="L9135" s="8" t="n"/>
      <c r="M9135" s="9">
        <f>B9135+30</f>
        <v/>
      </c>
      <c r="N9135">
        <f>IF(L9135="", "", L9135-B9135)</f>
        <v/>
      </c>
      <c r="O9135">
        <f>IF(L9135="", "Pending", IF(N9135&lt;=30, "Met", "Breached"))</f>
        <v/>
      </c>
      <c r="P9135" s="8" t="n"/>
      <c r="Q9135" s="8" t="n"/>
      <c r="R9135" s="8" t="n"/>
      <c r="S9135" s="8" t="n"/>
      <c r="T9135" s="8" t="n"/>
      <c r="U9135" s="8" t="n"/>
      <c r="V9135" s="8" t="n"/>
      <c r="W9135" s="8" t="n"/>
      <c r="X9135" s="8" t="n"/>
      <c r="Y9135" s="8" t="n"/>
    </row>
    <row r="9136">
      <c r="A9136" s="8" t="n"/>
      <c r="B9136" s="8" t="n"/>
      <c r="C9136" s="8" t="n"/>
      <c r="D9136" s="8" t="n"/>
      <c r="E9136" s="8" t="n"/>
      <c r="F9136" s="8" t="n"/>
      <c r="G9136" s="8" t="n"/>
      <c r="H9136" s="8" t="n"/>
      <c r="I9136" s="8" t="n"/>
      <c r="J9136" s="8" t="n"/>
      <c r="K9136" s="8" t="n"/>
      <c r="L9136" s="8" t="n"/>
      <c r="M9136" s="9">
        <f>B9136+30</f>
        <v/>
      </c>
      <c r="N9136">
        <f>IF(L9136="", "", L9136-B9136)</f>
        <v/>
      </c>
      <c r="O9136">
        <f>IF(L9136="", "Pending", IF(N9136&lt;=30, "Met", "Breached"))</f>
        <v/>
      </c>
      <c r="P9136" s="8" t="n"/>
      <c r="Q9136" s="8" t="n"/>
      <c r="R9136" s="8" t="n"/>
      <c r="S9136" s="8" t="n"/>
      <c r="T9136" s="8" t="n"/>
      <c r="U9136" s="8" t="n"/>
      <c r="V9136" s="8" t="n"/>
      <c r="W9136" s="8" t="n"/>
      <c r="X9136" s="8" t="n"/>
      <c r="Y9136" s="8" t="n"/>
    </row>
    <row r="9137">
      <c r="A9137" s="8" t="n"/>
      <c r="B9137" s="8" t="n"/>
      <c r="C9137" s="8" t="n"/>
      <c r="D9137" s="8" t="n"/>
      <c r="E9137" s="8" t="n"/>
      <c r="F9137" s="8" t="n"/>
      <c r="G9137" s="8" t="n"/>
      <c r="H9137" s="8" t="n"/>
      <c r="I9137" s="8" t="n"/>
      <c r="J9137" s="8" t="n"/>
      <c r="K9137" s="8" t="n"/>
      <c r="L9137" s="8" t="n"/>
      <c r="M9137" s="9">
        <f>B9137+30</f>
        <v/>
      </c>
      <c r="N9137">
        <f>IF(L9137="", "", L9137-B9137)</f>
        <v/>
      </c>
      <c r="O9137">
        <f>IF(L9137="", "Pending", IF(N9137&lt;=30, "Met", "Breached"))</f>
        <v/>
      </c>
      <c r="P9137" s="8" t="n"/>
      <c r="Q9137" s="8" t="n"/>
      <c r="R9137" s="8" t="n"/>
      <c r="S9137" s="8" t="n"/>
      <c r="T9137" s="8" t="n"/>
      <c r="U9137" s="8" t="n"/>
      <c r="V9137" s="8" t="n"/>
      <c r="W9137" s="8" t="n"/>
      <c r="X9137" s="8" t="n"/>
      <c r="Y9137" s="8" t="n"/>
    </row>
    <row r="9138">
      <c r="A9138" s="8" t="n"/>
      <c r="B9138" s="8" t="n"/>
      <c r="C9138" s="8" t="n"/>
      <c r="D9138" s="8" t="n"/>
      <c r="E9138" s="8" t="n"/>
      <c r="F9138" s="8" t="n"/>
      <c r="G9138" s="8" t="n"/>
      <c r="H9138" s="8" t="n"/>
      <c r="I9138" s="8" t="n"/>
      <c r="J9138" s="8" t="n"/>
      <c r="K9138" s="8" t="n"/>
      <c r="L9138" s="8" t="n"/>
      <c r="M9138" s="9">
        <f>B9138+30</f>
        <v/>
      </c>
      <c r="N9138">
        <f>IF(L9138="", "", L9138-B9138)</f>
        <v/>
      </c>
      <c r="O9138">
        <f>IF(L9138="", "Pending", IF(N9138&lt;=30, "Met", "Breached"))</f>
        <v/>
      </c>
      <c r="P9138" s="8" t="n"/>
      <c r="Q9138" s="8" t="n"/>
      <c r="R9138" s="8" t="n"/>
      <c r="S9138" s="8" t="n"/>
      <c r="T9138" s="8" t="n"/>
      <c r="U9138" s="8" t="n"/>
      <c r="V9138" s="8" t="n"/>
      <c r="W9138" s="8" t="n"/>
      <c r="X9138" s="8" t="n"/>
      <c r="Y9138" s="8" t="n"/>
    </row>
    <row r="9139">
      <c r="A9139" s="8" t="n"/>
      <c r="B9139" s="8" t="n"/>
      <c r="C9139" s="8" t="n"/>
      <c r="D9139" s="8" t="n"/>
      <c r="E9139" s="8" t="n"/>
      <c r="F9139" s="8" t="n"/>
      <c r="G9139" s="8" t="n"/>
      <c r="H9139" s="8" t="n"/>
      <c r="I9139" s="8" t="n"/>
      <c r="J9139" s="8" t="n"/>
      <c r="K9139" s="8" t="n"/>
      <c r="L9139" s="8" t="n"/>
      <c r="M9139" s="9">
        <f>B9139+30</f>
        <v/>
      </c>
      <c r="N9139">
        <f>IF(L9139="", "", L9139-B9139)</f>
        <v/>
      </c>
      <c r="O9139">
        <f>IF(L9139="", "Pending", IF(N9139&lt;=30, "Met", "Breached"))</f>
        <v/>
      </c>
      <c r="P9139" s="8" t="n"/>
      <c r="Q9139" s="8" t="n"/>
      <c r="R9139" s="8" t="n"/>
      <c r="S9139" s="8" t="n"/>
      <c r="T9139" s="8" t="n"/>
      <c r="U9139" s="8" t="n"/>
      <c r="V9139" s="8" t="n"/>
      <c r="W9139" s="8" t="n"/>
      <c r="X9139" s="8" t="n"/>
      <c r="Y9139" s="8" t="n"/>
    </row>
    <row r="9140">
      <c r="A9140" s="8" t="n"/>
      <c r="B9140" s="8" t="n"/>
      <c r="C9140" s="8" t="n"/>
      <c r="D9140" s="8" t="n"/>
      <c r="E9140" s="8" t="n"/>
      <c r="F9140" s="8" t="n"/>
      <c r="G9140" s="8" t="n"/>
      <c r="H9140" s="8" t="n"/>
      <c r="I9140" s="8" t="n"/>
      <c r="J9140" s="8" t="n"/>
      <c r="K9140" s="8" t="n"/>
      <c r="L9140" s="8" t="n"/>
      <c r="M9140" s="9">
        <f>B9140+30</f>
        <v/>
      </c>
      <c r="N9140">
        <f>IF(L9140="", "", L9140-B9140)</f>
        <v/>
      </c>
      <c r="O9140">
        <f>IF(L9140="", "Pending", IF(N9140&lt;=30, "Met", "Breached"))</f>
        <v/>
      </c>
      <c r="P9140" s="8" t="n"/>
      <c r="Q9140" s="8" t="n"/>
      <c r="R9140" s="8" t="n"/>
      <c r="S9140" s="8" t="n"/>
      <c r="T9140" s="8" t="n"/>
      <c r="U9140" s="8" t="n"/>
      <c r="V9140" s="8" t="n"/>
      <c r="W9140" s="8" t="n"/>
      <c r="X9140" s="8" t="n"/>
      <c r="Y9140" s="8" t="n"/>
    </row>
    <row r="9141">
      <c r="A9141" s="8" t="n"/>
      <c r="B9141" s="8" t="n"/>
      <c r="C9141" s="8" t="n"/>
      <c r="D9141" s="8" t="n"/>
      <c r="E9141" s="8" t="n"/>
      <c r="F9141" s="8" t="n"/>
      <c r="G9141" s="8" t="n"/>
      <c r="H9141" s="8" t="n"/>
      <c r="I9141" s="8" t="n"/>
      <c r="J9141" s="8" t="n"/>
      <c r="K9141" s="8" t="n"/>
      <c r="L9141" s="8" t="n"/>
      <c r="M9141" s="9">
        <f>B9141+30</f>
        <v/>
      </c>
      <c r="N9141">
        <f>IF(L9141="", "", L9141-B9141)</f>
        <v/>
      </c>
      <c r="O9141">
        <f>IF(L9141="", "Pending", IF(N9141&lt;=30, "Met", "Breached"))</f>
        <v/>
      </c>
      <c r="P9141" s="8" t="n"/>
      <c r="Q9141" s="8" t="n"/>
      <c r="R9141" s="8" t="n"/>
      <c r="S9141" s="8" t="n"/>
      <c r="T9141" s="8" t="n"/>
      <c r="U9141" s="8" t="n"/>
      <c r="V9141" s="8" t="n"/>
      <c r="W9141" s="8" t="n"/>
      <c r="X9141" s="8" t="n"/>
      <c r="Y9141" s="8" t="n"/>
    </row>
    <row r="9142">
      <c r="A9142" s="8" t="n"/>
      <c r="B9142" s="8" t="n"/>
      <c r="C9142" s="8" t="n"/>
      <c r="D9142" s="8" t="n"/>
      <c r="E9142" s="8" t="n"/>
      <c r="F9142" s="8" t="n"/>
      <c r="G9142" s="8" t="n"/>
      <c r="H9142" s="8" t="n"/>
      <c r="I9142" s="8" t="n"/>
      <c r="J9142" s="8" t="n"/>
      <c r="K9142" s="8" t="n"/>
      <c r="L9142" s="8" t="n"/>
      <c r="M9142" s="9">
        <f>B9142+30</f>
        <v/>
      </c>
      <c r="N9142">
        <f>IF(L9142="", "", L9142-B9142)</f>
        <v/>
      </c>
      <c r="O9142">
        <f>IF(L9142="", "Pending", IF(N9142&lt;=30, "Met", "Breached"))</f>
        <v/>
      </c>
      <c r="P9142" s="8" t="n"/>
      <c r="Q9142" s="8" t="n"/>
      <c r="R9142" s="8" t="n"/>
      <c r="S9142" s="8" t="n"/>
      <c r="T9142" s="8" t="n"/>
      <c r="U9142" s="8" t="n"/>
      <c r="V9142" s="8" t="n"/>
      <c r="W9142" s="8" t="n"/>
      <c r="X9142" s="8" t="n"/>
      <c r="Y9142" s="8" t="n"/>
    </row>
    <row r="9143">
      <c r="A9143" s="8" t="n"/>
      <c r="B9143" s="8" t="n"/>
      <c r="C9143" s="8" t="n"/>
      <c r="D9143" s="8" t="n"/>
      <c r="E9143" s="8" t="n"/>
      <c r="F9143" s="8" t="n"/>
      <c r="G9143" s="8" t="n"/>
      <c r="H9143" s="8" t="n"/>
      <c r="I9143" s="8" t="n"/>
      <c r="J9143" s="8" t="n"/>
      <c r="K9143" s="8" t="n"/>
      <c r="L9143" s="8" t="n"/>
      <c r="M9143" s="9">
        <f>B9143+30</f>
        <v/>
      </c>
      <c r="N9143">
        <f>IF(L9143="", "", L9143-B9143)</f>
        <v/>
      </c>
      <c r="O9143">
        <f>IF(L9143="", "Pending", IF(N9143&lt;=30, "Met", "Breached"))</f>
        <v/>
      </c>
      <c r="P9143" s="8" t="n"/>
      <c r="Q9143" s="8" t="n"/>
      <c r="R9143" s="8" t="n"/>
      <c r="S9143" s="8" t="n"/>
      <c r="T9143" s="8" t="n"/>
      <c r="U9143" s="8" t="n"/>
      <c r="V9143" s="8" t="n"/>
      <c r="W9143" s="8" t="n"/>
      <c r="X9143" s="8" t="n"/>
      <c r="Y9143" s="8" t="n"/>
    </row>
    <row r="9144">
      <c r="A9144" s="8" t="n"/>
      <c r="B9144" s="8" t="n"/>
      <c r="C9144" s="8" t="n"/>
      <c r="D9144" s="8" t="n"/>
      <c r="E9144" s="8" t="n"/>
      <c r="F9144" s="8" t="n"/>
      <c r="G9144" s="8" t="n"/>
      <c r="H9144" s="8" t="n"/>
      <c r="I9144" s="8" t="n"/>
      <c r="J9144" s="8" t="n"/>
      <c r="K9144" s="8" t="n"/>
      <c r="L9144" s="8" t="n"/>
      <c r="M9144" s="9">
        <f>B9144+30</f>
        <v/>
      </c>
      <c r="N9144">
        <f>IF(L9144="", "", L9144-B9144)</f>
        <v/>
      </c>
      <c r="O9144">
        <f>IF(L9144="", "Pending", IF(N9144&lt;=30, "Met", "Breached"))</f>
        <v/>
      </c>
      <c r="P9144" s="8" t="n"/>
      <c r="Q9144" s="8" t="n"/>
      <c r="R9144" s="8" t="n"/>
      <c r="S9144" s="8" t="n"/>
      <c r="T9144" s="8" t="n"/>
      <c r="U9144" s="8" t="n"/>
      <c r="V9144" s="8" t="n"/>
      <c r="W9144" s="8" t="n"/>
      <c r="X9144" s="8" t="n"/>
      <c r="Y9144" s="8" t="n"/>
    </row>
    <row r="9145">
      <c r="A9145" s="8" t="n"/>
      <c r="B9145" s="8" t="n"/>
      <c r="C9145" s="8" t="n"/>
      <c r="D9145" s="8" t="n"/>
      <c r="E9145" s="8" t="n"/>
      <c r="F9145" s="8" t="n"/>
      <c r="G9145" s="8" t="n"/>
      <c r="H9145" s="8" t="n"/>
      <c r="I9145" s="8" t="n"/>
      <c r="J9145" s="8" t="n"/>
      <c r="K9145" s="8" t="n"/>
      <c r="L9145" s="8" t="n"/>
      <c r="M9145" s="9">
        <f>B9145+30</f>
        <v/>
      </c>
      <c r="N9145">
        <f>IF(L9145="", "", L9145-B9145)</f>
        <v/>
      </c>
      <c r="O9145">
        <f>IF(L9145="", "Pending", IF(N9145&lt;=30, "Met", "Breached"))</f>
        <v/>
      </c>
      <c r="P9145" s="8" t="n"/>
      <c r="Q9145" s="8" t="n"/>
      <c r="R9145" s="8" t="n"/>
      <c r="S9145" s="8" t="n"/>
      <c r="T9145" s="8" t="n"/>
      <c r="U9145" s="8" t="n"/>
      <c r="V9145" s="8" t="n"/>
      <c r="W9145" s="8" t="n"/>
      <c r="X9145" s="8" t="n"/>
      <c r="Y9145" s="8" t="n"/>
    </row>
    <row r="9146">
      <c r="A9146" s="8" t="n"/>
      <c r="B9146" s="8" t="n"/>
      <c r="C9146" s="8" t="n"/>
      <c r="D9146" s="8" t="n"/>
      <c r="E9146" s="8" t="n"/>
      <c r="F9146" s="8" t="n"/>
      <c r="G9146" s="8" t="n"/>
      <c r="H9146" s="8" t="n"/>
      <c r="I9146" s="8" t="n"/>
      <c r="J9146" s="8" t="n"/>
      <c r="K9146" s="8" t="n"/>
      <c r="L9146" s="8" t="n"/>
      <c r="M9146" s="9">
        <f>B9146+30</f>
        <v/>
      </c>
      <c r="N9146">
        <f>IF(L9146="", "", L9146-B9146)</f>
        <v/>
      </c>
      <c r="O9146">
        <f>IF(L9146="", "Pending", IF(N9146&lt;=30, "Met", "Breached"))</f>
        <v/>
      </c>
      <c r="P9146" s="8" t="n"/>
      <c r="Q9146" s="8" t="n"/>
      <c r="R9146" s="8" t="n"/>
      <c r="S9146" s="8" t="n"/>
      <c r="T9146" s="8" t="n"/>
      <c r="U9146" s="8" t="n"/>
      <c r="V9146" s="8" t="n"/>
      <c r="W9146" s="8" t="n"/>
      <c r="X9146" s="8" t="n"/>
      <c r="Y9146" s="8" t="n"/>
    </row>
    <row r="9147">
      <c r="A9147" s="8" t="n"/>
      <c r="B9147" s="8" t="n"/>
      <c r="C9147" s="8" t="n"/>
      <c r="D9147" s="8" t="n"/>
      <c r="E9147" s="8" t="n"/>
      <c r="F9147" s="8" t="n"/>
      <c r="G9147" s="8" t="n"/>
      <c r="H9147" s="8" t="n"/>
      <c r="I9147" s="8" t="n"/>
      <c r="J9147" s="8" t="n"/>
      <c r="K9147" s="8" t="n"/>
      <c r="L9147" s="8" t="n"/>
      <c r="M9147" s="9">
        <f>B9147+30</f>
        <v/>
      </c>
      <c r="N9147">
        <f>IF(L9147="", "", L9147-B9147)</f>
        <v/>
      </c>
      <c r="O9147">
        <f>IF(L9147="", "Pending", IF(N9147&lt;=30, "Met", "Breached"))</f>
        <v/>
      </c>
      <c r="P9147" s="8" t="n"/>
      <c r="Q9147" s="8" t="n"/>
      <c r="R9147" s="8" t="n"/>
      <c r="S9147" s="8" t="n"/>
      <c r="T9147" s="8" t="n"/>
      <c r="U9147" s="8" t="n"/>
      <c r="V9147" s="8" t="n"/>
      <c r="W9147" s="8" t="n"/>
      <c r="X9147" s="8" t="n"/>
      <c r="Y9147" s="8" t="n"/>
    </row>
    <row r="9148">
      <c r="A9148" s="8" t="n"/>
      <c r="B9148" s="8" t="n"/>
      <c r="C9148" s="8" t="n"/>
      <c r="D9148" s="8" t="n"/>
      <c r="E9148" s="8" t="n"/>
      <c r="F9148" s="8" t="n"/>
      <c r="G9148" s="8" t="n"/>
      <c r="H9148" s="8" t="n"/>
      <c r="I9148" s="8" t="n"/>
      <c r="J9148" s="8" t="n"/>
      <c r="K9148" s="8" t="n"/>
      <c r="L9148" s="8" t="n"/>
      <c r="M9148" s="9">
        <f>B9148+30</f>
        <v/>
      </c>
      <c r="N9148">
        <f>IF(L9148="", "", L9148-B9148)</f>
        <v/>
      </c>
      <c r="O9148">
        <f>IF(L9148="", "Pending", IF(N9148&lt;=30, "Met", "Breached"))</f>
        <v/>
      </c>
      <c r="P9148" s="8" t="n"/>
      <c r="Q9148" s="8" t="n"/>
      <c r="R9148" s="8" t="n"/>
      <c r="S9148" s="8" t="n"/>
      <c r="T9148" s="8" t="n"/>
      <c r="U9148" s="8" t="n"/>
      <c r="V9148" s="8" t="n"/>
      <c r="W9148" s="8" t="n"/>
      <c r="X9148" s="8" t="n"/>
      <c r="Y9148" s="8" t="n"/>
    </row>
    <row r="9149">
      <c r="A9149" s="8" t="n"/>
      <c r="B9149" s="8" t="n"/>
      <c r="C9149" s="8" t="n"/>
      <c r="D9149" s="8" t="n"/>
      <c r="E9149" s="8" t="n"/>
      <c r="F9149" s="8" t="n"/>
      <c r="G9149" s="8" t="n"/>
      <c r="H9149" s="8" t="n"/>
      <c r="I9149" s="8" t="n"/>
      <c r="J9149" s="8" t="n"/>
      <c r="K9149" s="8" t="n"/>
      <c r="L9149" s="8" t="n"/>
      <c r="M9149" s="9">
        <f>B9149+30</f>
        <v/>
      </c>
      <c r="N9149">
        <f>IF(L9149="", "", L9149-B9149)</f>
        <v/>
      </c>
      <c r="O9149">
        <f>IF(L9149="", "Pending", IF(N9149&lt;=30, "Met", "Breached"))</f>
        <v/>
      </c>
      <c r="P9149" s="8" t="n"/>
      <c r="Q9149" s="8" t="n"/>
      <c r="R9149" s="8" t="n"/>
      <c r="S9149" s="8" t="n"/>
      <c r="T9149" s="8" t="n"/>
      <c r="U9149" s="8" t="n"/>
      <c r="V9149" s="8" t="n"/>
      <c r="W9149" s="8" t="n"/>
      <c r="X9149" s="8" t="n"/>
      <c r="Y9149" s="8" t="n"/>
    </row>
    <row r="9150">
      <c r="A9150" s="8" t="n"/>
      <c r="B9150" s="8" t="n"/>
      <c r="C9150" s="8" t="n"/>
      <c r="D9150" s="8" t="n"/>
      <c r="E9150" s="8" t="n"/>
      <c r="F9150" s="8" t="n"/>
      <c r="G9150" s="8" t="n"/>
      <c r="H9150" s="8" t="n"/>
      <c r="I9150" s="8" t="n"/>
      <c r="J9150" s="8" t="n"/>
      <c r="K9150" s="8" t="n"/>
      <c r="L9150" s="8" t="n"/>
      <c r="M9150" s="9">
        <f>B9150+30</f>
        <v/>
      </c>
      <c r="N9150">
        <f>IF(L9150="", "", L9150-B9150)</f>
        <v/>
      </c>
      <c r="O9150">
        <f>IF(L9150="", "Pending", IF(N9150&lt;=30, "Met", "Breached"))</f>
        <v/>
      </c>
      <c r="P9150" s="8" t="n"/>
      <c r="Q9150" s="8" t="n"/>
      <c r="R9150" s="8" t="n"/>
      <c r="S9150" s="8" t="n"/>
      <c r="T9150" s="8" t="n"/>
      <c r="U9150" s="8" t="n"/>
      <c r="V9150" s="8" t="n"/>
      <c r="W9150" s="8" t="n"/>
      <c r="X9150" s="8" t="n"/>
      <c r="Y9150" s="8" t="n"/>
    </row>
    <row r="9151">
      <c r="A9151" s="8" t="n"/>
      <c r="B9151" s="8" t="n"/>
      <c r="C9151" s="8" t="n"/>
      <c r="D9151" s="8" t="n"/>
      <c r="E9151" s="8" t="n"/>
      <c r="F9151" s="8" t="n"/>
      <c r="G9151" s="8" t="n"/>
      <c r="H9151" s="8" t="n"/>
      <c r="I9151" s="8" t="n"/>
      <c r="J9151" s="8" t="n"/>
      <c r="K9151" s="8" t="n"/>
      <c r="L9151" s="8" t="n"/>
      <c r="M9151" s="9">
        <f>B9151+30</f>
        <v/>
      </c>
      <c r="N9151">
        <f>IF(L9151="", "", L9151-B9151)</f>
        <v/>
      </c>
      <c r="O9151">
        <f>IF(L9151="", "Pending", IF(N9151&lt;=30, "Met", "Breached"))</f>
        <v/>
      </c>
      <c r="P9151" s="8" t="n"/>
      <c r="Q9151" s="8" t="n"/>
      <c r="R9151" s="8" t="n"/>
      <c r="S9151" s="8" t="n"/>
      <c r="T9151" s="8" t="n"/>
      <c r="U9151" s="8" t="n"/>
      <c r="V9151" s="8" t="n"/>
      <c r="W9151" s="8" t="n"/>
      <c r="X9151" s="8" t="n"/>
      <c r="Y9151" s="8" t="n"/>
    </row>
    <row r="9152">
      <c r="A9152" s="8" t="n"/>
      <c r="B9152" s="8" t="n"/>
      <c r="C9152" s="8" t="n"/>
      <c r="D9152" s="8" t="n"/>
      <c r="E9152" s="8" t="n"/>
      <c r="F9152" s="8" t="n"/>
      <c r="G9152" s="8" t="n"/>
      <c r="H9152" s="8" t="n"/>
      <c r="I9152" s="8" t="n"/>
      <c r="J9152" s="8" t="n"/>
      <c r="K9152" s="8" t="n"/>
      <c r="L9152" s="8" t="n"/>
      <c r="M9152" s="9">
        <f>B9152+30</f>
        <v/>
      </c>
      <c r="N9152">
        <f>IF(L9152="", "", L9152-B9152)</f>
        <v/>
      </c>
      <c r="O9152">
        <f>IF(L9152="", "Pending", IF(N9152&lt;=30, "Met", "Breached"))</f>
        <v/>
      </c>
      <c r="P9152" s="8" t="n"/>
      <c r="Q9152" s="8" t="n"/>
      <c r="R9152" s="8" t="n"/>
      <c r="S9152" s="8" t="n"/>
      <c r="T9152" s="8" t="n"/>
      <c r="U9152" s="8" t="n"/>
      <c r="V9152" s="8" t="n"/>
      <c r="W9152" s="8" t="n"/>
      <c r="X9152" s="8" t="n"/>
      <c r="Y9152" s="8" t="n"/>
    </row>
    <row r="9153">
      <c r="A9153" s="8" t="n"/>
      <c r="B9153" s="8" t="n"/>
      <c r="C9153" s="8" t="n"/>
      <c r="D9153" s="8" t="n"/>
      <c r="E9153" s="8" t="n"/>
      <c r="F9153" s="8" t="n"/>
      <c r="G9153" s="8" t="n"/>
      <c r="H9153" s="8" t="n"/>
      <c r="I9153" s="8" t="n"/>
      <c r="J9153" s="8" t="n"/>
      <c r="K9153" s="8" t="n"/>
      <c r="L9153" s="8" t="n"/>
      <c r="M9153" s="9">
        <f>B9153+30</f>
        <v/>
      </c>
      <c r="N9153">
        <f>IF(L9153="", "", L9153-B9153)</f>
        <v/>
      </c>
      <c r="O9153">
        <f>IF(L9153="", "Pending", IF(N9153&lt;=30, "Met", "Breached"))</f>
        <v/>
      </c>
      <c r="P9153" s="8" t="n"/>
      <c r="Q9153" s="8" t="n"/>
      <c r="R9153" s="8" t="n"/>
      <c r="S9153" s="8" t="n"/>
      <c r="T9153" s="8" t="n"/>
      <c r="U9153" s="8" t="n"/>
      <c r="V9153" s="8" t="n"/>
      <c r="W9153" s="8" t="n"/>
      <c r="X9153" s="8" t="n"/>
      <c r="Y9153" s="8" t="n"/>
    </row>
    <row r="9154">
      <c r="A9154" s="8" t="n"/>
      <c r="B9154" s="8" t="n"/>
      <c r="C9154" s="8" t="n"/>
      <c r="D9154" s="8" t="n"/>
      <c r="E9154" s="8" t="n"/>
      <c r="F9154" s="8" t="n"/>
      <c r="G9154" s="8" t="n"/>
      <c r="H9154" s="8" t="n"/>
      <c r="I9154" s="8" t="n"/>
      <c r="J9154" s="8" t="n"/>
      <c r="K9154" s="8" t="n"/>
      <c r="L9154" s="8" t="n"/>
      <c r="M9154" s="9">
        <f>B9154+30</f>
        <v/>
      </c>
      <c r="N9154">
        <f>IF(L9154="", "", L9154-B9154)</f>
        <v/>
      </c>
      <c r="O9154">
        <f>IF(L9154="", "Pending", IF(N9154&lt;=30, "Met", "Breached"))</f>
        <v/>
      </c>
      <c r="P9154" s="8" t="n"/>
      <c r="Q9154" s="8" t="n"/>
      <c r="R9154" s="8" t="n"/>
      <c r="S9154" s="8" t="n"/>
      <c r="T9154" s="8" t="n"/>
      <c r="U9154" s="8" t="n"/>
      <c r="V9154" s="8" t="n"/>
      <c r="W9154" s="8" t="n"/>
      <c r="X9154" s="8" t="n"/>
      <c r="Y9154" s="8" t="n"/>
    </row>
    <row r="9155">
      <c r="A9155" s="8" t="n"/>
      <c r="B9155" s="8" t="n"/>
      <c r="C9155" s="8" t="n"/>
      <c r="D9155" s="8" t="n"/>
      <c r="E9155" s="8" t="n"/>
      <c r="F9155" s="8" t="n"/>
      <c r="G9155" s="8" t="n"/>
      <c r="H9155" s="8" t="n"/>
      <c r="I9155" s="8" t="n"/>
      <c r="J9155" s="8" t="n"/>
      <c r="K9155" s="8" t="n"/>
      <c r="L9155" s="8" t="n"/>
      <c r="M9155" s="9">
        <f>B9155+30</f>
        <v/>
      </c>
      <c r="N9155">
        <f>IF(L9155="", "", L9155-B9155)</f>
        <v/>
      </c>
      <c r="O9155">
        <f>IF(L9155="", "Pending", IF(N9155&lt;=30, "Met", "Breached"))</f>
        <v/>
      </c>
      <c r="P9155" s="8" t="n"/>
      <c r="Q9155" s="8" t="n"/>
      <c r="R9155" s="8" t="n"/>
      <c r="S9155" s="8" t="n"/>
      <c r="T9155" s="8" t="n"/>
      <c r="U9155" s="8" t="n"/>
      <c r="V9155" s="8" t="n"/>
      <c r="W9155" s="8" t="n"/>
      <c r="X9155" s="8" t="n"/>
      <c r="Y9155" s="8" t="n"/>
    </row>
    <row r="9156">
      <c r="A9156" s="8" t="n"/>
      <c r="B9156" s="8" t="n"/>
      <c r="C9156" s="8" t="n"/>
      <c r="D9156" s="8" t="n"/>
      <c r="E9156" s="8" t="n"/>
      <c r="F9156" s="8" t="n"/>
      <c r="G9156" s="8" t="n"/>
      <c r="H9156" s="8" t="n"/>
      <c r="I9156" s="8" t="n"/>
      <c r="J9156" s="8" t="n"/>
      <c r="K9156" s="8" t="n"/>
      <c r="L9156" s="8" t="n"/>
      <c r="M9156" s="9">
        <f>B9156+30</f>
        <v/>
      </c>
      <c r="N9156">
        <f>IF(L9156="", "", L9156-B9156)</f>
        <v/>
      </c>
      <c r="O9156">
        <f>IF(L9156="", "Pending", IF(N9156&lt;=30, "Met", "Breached"))</f>
        <v/>
      </c>
      <c r="P9156" s="8" t="n"/>
      <c r="Q9156" s="8" t="n"/>
      <c r="R9156" s="8" t="n"/>
      <c r="S9156" s="8" t="n"/>
      <c r="T9156" s="8" t="n"/>
      <c r="U9156" s="8" t="n"/>
      <c r="V9156" s="8" t="n"/>
      <c r="W9156" s="8" t="n"/>
      <c r="X9156" s="8" t="n"/>
      <c r="Y9156" s="8" t="n"/>
    </row>
    <row r="9157">
      <c r="A9157" s="8" t="n"/>
      <c r="B9157" s="8" t="n"/>
      <c r="C9157" s="8" t="n"/>
      <c r="D9157" s="8" t="n"/>
      <c r="E9157" s="8" t="n"/>
      <c r="F9157" s="8" t="n"/>
      <c r="G9157" s="8" t="n"/>
      <c r="H9157" s="8" t="n"/>
      <c r="I9157" s="8" t="n"/>
      <c r="J9157" s="8" t="n"/>
      <c r="K9157" s="8" t="n"/>
      <c r="L9157" s="8" t="n"/>
      <c r="M9157" s="9">
        <f>B9157+30</f>
        <v/>
      </c>
      <c r="N9157">
        <f>IF(L9157="", "", L9157-B9157)</f>
        <v/>
      </c>
      <c r="O9157">
        <f>IF(L9157="", "Pending", IF(N9157&lt;=30, "Met", "Breached"))</f>
        <v/>
      </c>
      <c r="P9157" s="8" t="n"/>
      <c r="Q9157" s="8" t="n"/>
      <c r="R9157" s="8" t="n"/>
      <c r="S9157" s="8" t="n"/>
      <c r="T9157" s="8" t="n"/>
      <c r="U9157" s="8" t="n"/>
      <c r="V9157" s="8" t="n"/>
      <c r="W9157" s="8" t="n"/>
      <c r="X9157" s="8" t="n"/>
      <c r="Y9157" s="8" t="n"/>
    </row>
    <row r="9158">
      <c r="A9158" s="8" t="n"/>
      <c r="B9158" s="8" t="n"/>
      <c r="C9158" s="8" t="n"/>
      <c r="D9158" s="8" t="n"/>
      <c r="E9158" s="8" t="n"/>
      <c r="F9158" s="8" t="n"/>
      <c r="G9158" s="8" t="n"/>
      <c r="H9158" s="8" t="n"/>
      <c r="I9158" s="8" t="n"/>
      <c r="J9158" s="8" t="n"/>
      <c r="K9158" s="8" t="n"/>
      <c r="L9158" s="8" t="n"/>
      <c r="M9158" s="9">
        <f>B9158+30</f>
        <v/>
      </c>
      <c r="N9158">
        <f>IF(L9158="", "", L9158-B9158)</f>
        <v/>
      </c>
      <c r="O9158">
        <f>IF(L9158="", "Pending", IF(N9158&lt;=30, "Met", "Breached"))</f>
        <v/>
      </c>
      <c r="P9158" s="8" t="n"/>
      <c r="Q9158" s="8" t="n"/>
      <c r="R9158" s="8" t="n"/>
      <c r="S9158" s="8" t="n"/>
      <c r="T9158" s="8" t="n"/>
      <c r="U9158" s="8" t="n"/>
      <c r="V9158" s="8" t="n"/>
      <c r="W9158" s="8" t="n"/>
      <c r="X9158" s="8" t="n"/>
      <c r="Y9158" s="8" t="n"/>
    </row>
    <row r="9159">
      <c r="A9159" s="8" t="n"/>
      <c r="B9159" s="8" t="n"/>
      <c r="C9159" s="8" t="n"/>
      <c r="D9159" s="8" t="n"/>
      <c r="E9159" s="8" t="n"/>
      <c r="F9159" s="8" t="n"/>
      <c r="G9159" s="8" t="n"/>
      <c r="H9159" s="8" t="n"/>
      <c r="I9159" s="8" t="n"/>
      <c r="J9159" s="8" t="n"/>
      <c r="K9159" s="8" t="n"/>
      <c r="L9159" s="8" t="n"/>
      <c r="M9159" s="9">
        <f>B9159+30</f>
        <v/>
      </c>
      <c r="N9159">
        <f>IF(L9159="", "", L9159-B9159)</f>
        <v/>
      </c>
      <c r="O9159">
        <f>IF(L9159="", "Pending", IF(N9159&lt;=30, "Met", "Breached"))</f>
        <v/>
      </c>
      <c r="P9159" s="8" t="n"/>
      <c r="Q9159" s="8" t="n"/>
      <c r="R9159" s="8" t="n"/>
      <c r="S9159" s="8" t="n"/>
      <c r="T9159" s="8" t="n"/>
      <c r="U9159" s="8" t="n"/>
      <c r="V9159" s="8" t="n"/>
      <c r="W9159" s="8" t="n"/>
      <c r="X9159" s="8" t="n"/>
      <c r="Y9159" s="8" t="n"/>
    </row>
    <row r="9160">
      <c r="A9160" s="8" t="n"/>
      <c r="B9160" s="8" t="n"/>
      <c r="C9160" s="8" t="n"/>
      <c r="D9160" s="8" t="n"/>
      <c r="E9160" s="8" t="n"/>
      <c r="F9160" s="8" t="n"/>
      <c r="G9160" s="8" t="n"/>
      <c r="H9160" s="8" t="n"/>
      <c r="I9160" s="8" t="n"/>
      <c r="J9160" s="8" t="n"/>
      <c r="K9160" s="8" t="n"/>
      <c r="L9160" s="8" t="n"/>
      <c r="M9160" s="9">
        <f>B9160+30</f>
        <v/>
      </c>
      <c r="N9160">
        <f>IF(L9160="", "", L9160-B9160)</f>
        <v/>
      </c>
      <c r="O9160">
        <f>IF(L9160="", "Pending", IF(N9160&lt;=30, "Met", "Breached"))</f>
        <v/>
      </c>
      <c r="P9160" s="8" t="n"/>
      <c r="Q9160" s="8" t="n"/>
      <c r="R9160" s="8" t="n"/>
      <c r="S9160" s="8" t="n"/>
      <c r="T9160" s="8" t="n"/>
      <c r="U9160" s="8" t="n"/>
      <c r="V9160" s="8" t="n"/>
      <c r="W9160" s="8" t="n"/>
      <c r="X9160" s="8" t="n"/>
      <c r="Y9160" s="8" t="n"/>
    </row>
    <row r="9161">
      <c r="A9161" s="8" t="n"/>
      <c r="B9161" s="8" t="n"/>
      <c r="C9161" s="8" t="n"/>
      <c r="D9161" s="8" t="n"/>
      <c r="E9161" s="8" t="n"/>
      <c r="F9161" s="8" t="n"/>
      <c r="G9161" s="8" t="n"/>
      <c r="H9161" s="8" t="n"/>
      <c r="I9161" s="8" t="n"/>
      <c r="J9161" s="8" t="n"/>
      <c r="K9161" s="8" t="n"/>
      <c r="L9161" s="8" t="n"/>
      <c r="M9161" s="9">
        <f>B9161+30</f>
        <v/>
      </c>
      <c r="N9161">
        <f>IF(L9161="", "", L9161-B9161)</f>
        <v/>
      </c>
      <c r="O9161">
        <f>IF(L9161="", "Pending", IF(N9161&lt;=30, "Met", "Breached"))</f>
        <v/>
      </c>
      <c r="P9161" s="8" t="n"/>
      <c r="Q9161" s="8" t="n"/>
      <c r="R9161" s="8" t="n"/>
      <c r="S9161" s="8" t="n"/>
      <c r="T9161" s="8" t="n"/>
      <c r="U9161" s="8" t="n"/>
      <c r="V9161" s="8" t="n"/>
      <c r="W9161" s="8" t="n"/>
      <c r="X9161" s="8" t="n"/>
      <c r="Y9161" s="8" t="n"/>
    </row>
    <row r="9162">
      <c r="A9162" s="8" t="n"/>
      <c r="B9162" s="8" t="n"/>
      <c r="C9162" s="8" t="n"/>
      <c r="D9162" s="8" t="n"/>
      <c r="E9162" s="8" t="n"/>
      <c r="F9162" s="8" t="n"/>
      <c r="G9162" s="8" t="n"/>
      <c r="H9162" s="8" t="n"/>
      <c r="I9162" s="8" t="n"/>
      <c r="J9162" s="8" t="n"/>
      <c r="K9162" s="8" t="n"/>
      <c r="L9162" s="8" t="n"/>
      <c r="M9162" s="9">
        <f>B9162+30</f>
        <v/>
      </c>
      <c r="N9162">
        <f>IF(L9162="", "", L9162-B9162)</f>
        <v/>
      </c>
      <c r="O9162">
        <f>IF(L9162="", "Pending", IF(N9162&lt;=30, "Met", "Breached"))</f>
        <v/>
      </c>
      <c r="P9162" s="8" t="n"/>
      <c r="Q9162" s="8" t="n"/>
      <c r="R9162" s="8" t="n"/>
      <c r="S9162" s="8" t="n"/>
      <c r="T9162" s="8" t="n"/>
      <c r="U9162" s="8" t="n"/>
      <c r="V9162" s="8" t="n"/>
      <c r="W9162" s="8" t="n"/>
      <c r="X9162" s="8" t="n"/>
      <c r="Y9162" s="8" t="n"/>
    </row>
    <row r="9163">
      <c r="A9163" s="8" t="n"/>
      <c r="B9163" s="8" t="n"/>
      <c r="C9163" s="8" t="n"/>
      <c r="D9163" s="8" t="n"/>
      <c r="E9163" s="8" t="n"/>
      <c r="F9163" s="8" t="n"/>
      <c r="G9163" s="8" t="n"/>
      <c r="H9163" s="8" t="n"/>
      <c r="I9163" s="8" t="n"/>
      <c r="J9163" s="8" t="n"/>
      <c r="K9163" s="8" t="n"/>
      <c r="L9163" s="8" t="n"/>
      <c r="M9163" s="9">
        <f>B9163+30</f>
        <v/>
      </c>
      <c r="N9163">
        <f>IF(L9163="", "", L9163-B9163)</f>
        <v/>
      </c>
      <c r="O9163">
        <f>IF(L9163="", "Pending", IF(N9163&lt;=30, "Met", "Breached"))</f>
        <v/>
      </c>
      <c r="P9163" s="8" t="n"/>
      <c r="Q9163" s="8" t="n"/>
      <c r="R9163" s="8" t="n"/>
      <c r="S9163" s="8" t="n"/>
      <c r="T9163" s="8" t="n"/>
      <c r="U9163" s="8" t="n"/>
      <c r="V9163" s="8" t="n"/>
      <c r="W9163" s="8" t="n"/>
      <c r="X9163" s="8" t="n"/>
      <c r="Y9163" s="8" t="n"/>
    </row>
    <row r="9164">
      <c r="A9164" s="8" t="n"/>
      <c r="B9164" s="8" t="n"/>
      <c r="C9164" s="8" t="n"/>
      <c r="D9164" s="8" t="n"/>
      <c r="E9164" s="8" t="n"/>
      <c r="F9164" s="8" t="n"/>
      <c r="G9164" s="8" t="n"/>
      <c r="H9164" s="8" t="n"/>
      <c r="I9164" s="8" t="n"/>
      <c r="J9164" s="8" t="n"/>
      <c r="K9164" s="8" t="n"/>
      <c r="L9164" s="8" t="n"/>
      <c r="M9164" s="9">
        <f>B9164+30</f>
        <v/>
      </c>
      <c r="N9164">
        <f>IF(L9164="", "", L9164-B9164)</f>
        <v/>
      </c>
      <c r="O9164">
        <f>IF(L9164="", "Pending", IF(N9164&lt;=30, "Met", "Breached"))</f>
        <v/>
      </c>
      <c r="P9164" s="8" t="n"/>
      <c r="Q9164" s="8" t="n"/>
      <c r="R9164" s="8" t="n"/>
      <c r="S9164" s="8" t="n"/>
      <c r="T9164" s="8" t="n"/>
      <c r="U9164" s="8" t="n"/>
      <c r="V9164" s="8" t="n"/>
      <c r="W9164" s="8" t="n"/>
      <c r="X9164" s="8" t="n"/>
      <c r="Y9164" s="8" t="n"/>
    </row>
    <row r="9165">
      <c r="A9165" s="8" t="n"/>
      <c r="B9165" s="8" t="n"/>
      <c r="C9165" s="8" t="n"/>
      <c r="D9165" s="8" t="n"/>
      <c r="E9165" s="8" t="n"/>
      <c r="F9165" s="8" t="n"/>
      <c r="G9165" s="8" t="n"/>
      <c r="H9165" s="8" t="n"/>
      <c r="I9165" s="8" t="n"/>
      <c r="J9165" s="8" t="n"/>
      <c r="K9165" s="8" t="n"/>
      <c r="L9165" s="8" t="n"/>
      <c r="M9165" s="9">
        <f>B9165+30</f>
        <v/>
      </c>
      <c r="N9165">
        <f>IF(L9165="", "", L9165-B9165)</f>
        <v/>
      </c>
      <c r="O9165">
        <f>IF(L9165="", "Pending", IF(N9165&lt;=30, "Met", "Breached"))</f>
        <v/>
      </c>
      <c r="P9165" s="8" t="n"/>
      <c r="Q9165" s="8" t="n"/>
      <c r="R9165" s="8" t="n"/>
      <c r="S9165" s="8" t="n"/>
      <c r="T9165" s="8" t="n"/>
      <c r="U9165" s="8" t="n"/>
      <c r="V9165" s="8" t="n"/>
      <c r="W9165" s="8" t="n"/>
      <c r="X9165" s="8" t="n"/>
      <c r="Y9165" s="8" t="n"/>
    </row>
    <row r="9166">
      <c r="A9166" s="8" t="n"/>
      <c r="B9166" s="8" t="n"/>
      <c r="C9166" s="8" t="n"/>
      <c r="D9166" s="8" t="n"/>
      <c r="E9166" s="8" t="n"/>
      <c r="F9166" s="8" t="n"/>
      <c r="G9166" s="8" t="n"/>
      <c r="H9166" s="8" t="n"/>
      <c r="I9166" s="8" t="n"/>
      <c r="J9166" s="8" t="n"/>
      <c r="K9166" s="8" t="n"/>
      <c r="L9166" s="8" t="n"/>
      <c r="M9166" s="9">
        <f>B9166+30</f>
        <v/>
      </c>
      <c r="N9166">
        <f>IF(L9166="", "", L9166-B9166)</f>
        <v/>
      </c>
      <c r="O9166">
        <f>IF(L9166="", "Pending", IF(N9166&lt;=30, "Met", "Breached"))</f>
        <v/>
      </c>
      <c r="P9166" s="8" t="n"/>
      <c r="Q9166" s="8" t="n"/>
      <c r="R9166" s="8" t="n"/>
      <c r="S9166" s="8" t="n"/>
      <c r="T9166" s="8" t="n"/>
      <c r="U9166" s="8" t="n"/>
      <c r="V9166" s="8" t="n"/>
      <c r="W9166" s="8" t="n"/>
      <c r="X9166" s="8" t="n"/>
      <c r="Y9166" s="8" t="n"/>
    </row>
    <row r="9167">
      <c r="A9167" s="8" t="n"/>
      <c r="B9167" s="8" t="n"/>
      <c r="C9167" s="8" t="n"/>
      <c r="D9167" s="8" t="n"/>
      <c r="E9167" s="8" t="n"/>
      <c r="F9167" s="8" t="n"/>
      <c r="G9167" s="8" t="n"/>
      <c r="H9167" s="8" t="n"/>
      <c r="I9167" s="8" t="n"/>
      <c r="J9167" s="8" t="n"/>
      <c r="K9167" s="8" t="n"/>
      <c r="L9167" s="8" t="n"/>
      <c r="M9167" s="9">
        <f>B9167+30</f>
        <v/>
      </c>
      <c r="N9167">
        <f>IF(L9167="", "", L9167-B9167)</f>
        <v/>
      </c>
      <c r="O9167">
        <f>IF(L9167="", "Pending", IF(N9167&lt;=30, "Met", "Breached"))</f>
        <v/>
      </c>
      <c r="P9167" s="8" t="n"/>
      <c r="Q9167" s="8" t="n"/>
      <c r="R9167" s="8" t="n"/>
      <c r="S9167" s="8" t="n"/>
      <c r="T9167" s="8" t="n"/>
      <c r="U9167" s="8" t="n"/>
      <c r="V9167" s="8" t="n"/>
      <c r="W9167" s="8" t="n"/>
      <c r="X9167" s="8" t="n"/>
      <c r="Y9167" s="8" t="n"/>
    </row>
    <row r="9168">
      <c r="A9168" s="8" t="n"/>
      <c r="B9168" s="8" t="n"/>
      <c r="C9168" s="8" t="n"/>
      <c r="D9168" s="8" t="n"/>
      <c r="E9168" s="8" t="n"/>
      <c r="F9168" s="8" t="n"/>
      <c r="G9168" s="8" t="n"/>
      <c r="H9168" s="8" t="n"/>
      <c r="I9168" s="8" t="n"/>
      <c r="J9168" s="8" t="n"/>
      <c r="K9168" s="8" t="n"/>
      <c r="L9168" s="8" t="n"/>
      <c r="M9168" s="9">
        <f>B9168+30</f>
        <v/>
      </c>
      <c r="N9168">
        <f>IF(L9168="", "", L9168-B9168)</f>
        <v/>
      </c>
      <c r="O9168">
        <f>IF(L9168="", "Pending", IF(N9168&lt;=30, "Met", "Breached"))</f>
        <v/>
      </c>
      <c r="P9168" s="8" t="n"/>
      <c r="Q9168" s="8" t="n"/>
      <c r="R9168" s="8" t="n"/>
      <c r="S9168" s="8" t="n"/>
      <c r="T9168" s="8" t="n"/>
      <c r="U9168" s="8" t="n"/>
      <c r="V9168" s="8" t="n"/>
      <c r="W9168" s="8" t="n"/>
      <c r="X9168" s="8" t="n"/>
      <c r="Y9168" s="8" t="n"/>
    </row>
    <row r="9169">
      <c r="A9169" s="8" t="n"/>
      <c r="B9169" s="8" t="n"/>
      <c r="C9169" s="8" t="n"/>
      <c r="D9169" s="8" t="n"/>
      <c r="E9169" s="8" t="n"/>
      <c r="F9169" s="8" t="n"/>
      <c r="G9169" s="8" t="n"/>
      <c r="H9169" s="8" t="n"/>
      <c r="I9169" s="8" t="n"/>
      <c r="J9169" s="8" t="n"/>
      <c r="K9169" s="8" t="n"/>
      <c r="L9169" s="8" t="n"/>
      <c r="M9169" s="9">
        <f>B9169+30</f>
        <v/>
      </c>
      <c r="N9169">
        <f>IF(L9169="", "", L9169-B9169)</f>
        <v/>
      </c>
      <c r="O9169">
        <f>IF(L9169="", "Pending", IF(N9169&lt;=30, "Met", "Breached"))</f>
        <v/>
      </c>
      <c r="P9169" s="8" t="n"/>
      <c r="Q9169" s="8" t="n"/>
      <c r="R9169" s="8" t="n"/>
      <c r="S9169" s="8" t="n"/>
      <c r="T9169" s="8" t="n"/>
      <c r="U9169" s="8" t="n"/>
      <c r="V9169" s="8" t="n"/>
      <c r="W9169" s="8" t="n"/>
      <c r="X9169" s="8" t="n"/>
      <c r="Y9169" s="8" t="n"/>
    </row>
    <row r="9170">
      <c r="A9170" s="8" t="n"/>
      <c r="B9170" s="8" t="n"/>
      <c r="C9170" s="8" t="n"/>
      <c r="D9170" s="8" t="n"/>
      <c r="E9170" s="8" t="n"/>
      <c r="F9170" s="8" t="n"/>
      <c r="G9170" s="8" t="n"/>
      <c r="H9170" s="8" t="n"/>
      <c r="I9170" s="8" t="n"/>
      <c r="J9170" s="8" t="n"/>
      <c r="K9170" s="8" t="n"/>
      <c r="L9170" s="8" t="n"/>
      <c r="M9170" s="9">
        <f>B9170+30</f>
        <v/>
      </c>
      <c r="N9170">
        <f>IF(L9170="", "", L9170-B9170)</f>
        <v/>
      </c>
      <c r="O9170">
        <f>IF(L9170="", "Pending", IF(N9170&lt;=30, "Met", "Breached"))</f>
        <v/>
      </c>
      <c r="P9170" s="8" t="n"/>
      <c r="Q9170" s="8" t="n"/>
      <c r="R9170" s="8" t="n"/>
      <c r="S9170" s="8" t="n"/>
      <c r="T9170" s="8" t="n"/>
      <c r="U9170" s="8" t="n"/>
      <c r="V9170" s="8" t="n"/>
      <c r="W9170" s="8" t="n"/>
      <c r="X9170" s="8" t="n"/>
      <c r="Y9170" s="8" t="n"/>
    </row>
    <row r="9171">
      <c r="A9171" s="8" t="n"/>
      <c r="B9171" s="8" t="n"/>
      <c r="C9171" s="8" t="n"/>
      <c r="D9171" s="8" t="n"/>
      <c r="E9171" s="8" t="n"/>
      <c r="F9171" s="8" t="n"/>
      <c r="G9171" s="8" t="n"/>
      <c r="H9171" s="8" t="n"/>
      <c r="I9171" s="8" t="n"/>
      <c r="J9171" s="8" t="n"/>
      <c r="K9171" s="8" t="n"/>
      <c r="L9171" s="8" t="n"/>
      <c r="M9171" s="9">
        <f>B9171+30</f>
        <v/>
      </c>
      <c r="N9171">
        <f>IF(L9171="", "", L9171-B9171)</f>
        <v/>
      </c>
      <c r="O9171">
        <f>IF(L9171="", "Pending", IF(N9171&lt;=30, "Met", "Breached"))</f>
        <v/>
      </c>
      <c r="P9171" s="8" t="n"/>
      <c r="Q9171" s="8" t="n"/>
      <c r="R9171" s="8" t="n"/>
      <c r="S9171" s="8" t="n"/>
      <c r="T9171" s="8" t="n"/>
      <c r="U9171" s="8" t="n"/>
      <c r="V9171" s="8" t="n"/>
      <c r="W9171" s="8" t="n"/>
      <c r="X9171" s="8" t="n"/>
      <c r="Y9171" s="8" t="n"/>
    </row>
    <row r="9172">
      <c r="A9172" s="8" t="n"/>
      <c r="B9172" s="8" t="n"/>
      <c r="C9172" s="8" t="n"/>
      <c r="D9172" s="8" t="n"/>
      <c r="E9172" s="8" t="n"/>
      <c r="F9172" s="8" t="n"/>
      <c r="G9172" s="8" t="n"/>
      <c r="H9172" s="8" t="n"/>
      <c r="I9172" s="8" t="n"/>
      <c r="J9172" s="8" t="n"/>
      <c r="K9172" s="8" t="n"/>
      <c r="L9172" s="8" t="n"/>
      <c r="M9172" s="9">
        <f>B9172+30</f>
        <v/>
      </c>
      <c r="N9172">
        <f>IF(L9172="", "", L9172-B9172)</f>
        <v/>
      </c>
      <c r="O9172">
        <f>IF(L9172="", "Pending", IF(N9172&lt;=30, "Met", "Breached"))</f>
        <v/>
      </c>
      <c r="P9172" s="8" t="n"/>
      <c r="Q9172" s="8" t="n"/>
      <c r="R9172" s="8" t="n"/>
      <c r="S9172" s="8" t="n"/>
      <c r="T9172" s="8" t="n"/>
      <c r="U9172" s="8" t="n"/>
      <c r="V9172" s="8" t="n"/>
      <c r="W9172" s="8" t="n"/>
      <c r="X9172" s="8" t="n"/>
      <c r="Y9172" s="8" t="n"/>
    </row>
    <row r="9173">
      <c r="A9173" s="8" t="n"/>
      <c r="B9173" s="8" t="n"/>
      <c r="C9173" s="8" t="n"/>
      <c r="D9173" s="8" t="n"/>
      <c r="E9173" s="8" t="n"/>
      <c r="F9173" s="8" t="n"/>
      <c r="G9173" s="8" t="n"/>
      <c r="H9173" s="8" t="n"/>
      <c r="I9173" s="8" t="n"/>
      <c r="J9173" s="8" t="n"/>
      <c r="K9173" s="8" t="n"/>
      <c r="L9173" s="8" t="n"/>
      <c r="M9173" s="9">
        <f>B9173+30</f>
        <v/>
      </c>
      <c r="N9173">
        <f>IF(L9173="", "", L9173-B9173)</f>
        <v/>
      </c>
      <c r="O9173">
        <f>IF(L9173="", "Pending", IF(N9173&lt;=30, "Met", "Breached"))</f>
        <v/>
      </c>
      <c r="P9173" s="8" t="n"/>
      <c r="Q9173" s="8" t="n"/>
      <c r="R9173" s="8" t="n"/>
      <c r="S9173" s="8" t="n"/>
      <c r="T9173" s="8" t="n"/>
      <c r="U9173" s="8" t="n"/>
      <c r="V9173" s="8" t="n"/>
      <c r="W9173" s="8" t="n"/>
      <c r="X9173" s="8" t="n"/>
      <c r="Y9173" s="8" t="n"/>
    </row>
    <row r="9174">
      <c r="A9174" s="8" t="n"/>
      <c r="B9174" s="8" t="n"/>
      <c r="C9174" s="8" t="n"/>
      <c r="D9174" s="8" t="n"/>
      <c r="E9174" s="8" t="n"/>
      <c r="F9174" s="8" t="n"/>
      <c r="G9174" s="8" t="n"/>
      <c r="H9174" s="8" t="n"/>
      <c r="I9174" s="8" t="n"/>
      <c r="J9174" s="8" t="n"/>
      <c r="K9174" s="8" t="n"/>
      <c r="L9174" s="8" t="n"/>
      <c r="M9174" s="9">
        <f>B9174+30</f>
        <v/>
      </c>
      <c r="N9174">
        <f>IF(L9174="", "", L9174-B9174)</f>
        <v/>
      </c>
      <c r="O9174">
        <f>IF(L9174="", "Pending", IF(N9174&lt;=30, "Met", "Breached"))</f>
        <v/>
      </c>
      <c r="P9174" s="8" t="n"/>
      <c r="Q9174" s="8" t="n"/>
      <c r="R9174" s="8" t="n"/>
      <c r="S9174" s="8" t="n"/>
      <c r="T9174" s="8" t="n"/>
      <c r="U9174" s="8" t="n"/>
      <c r="V9174" s="8" t="n"/>
      <c r="W9174" s="8" t="n"/>
      <c r="X9174" s="8" t="n"/>
      <c r="Y9174" s="8" t="n"/>
    </row>
    <row r="9175">
      <c r="A9175" s="8" t="n"/>
      <c r="B9175" s="8" t="n"/>
      <c r="C9175" s="8" t="n"/>
      <c r="D9175" s="8" t="n"/>
      <c r="E9175" s="8" t="n"/>
      <c r="F9175" s="8" t="n"/>
      <c r="G9175" s="8" t="n"/>
      <c r="H9175" s="8" t="n"/>
      <c r="I9175" s="8" t="n"/>
      <c r="J9175" s="8" t="n"/>
      <c r="K9175" s="8" t="n"/>
      <c r="L9175" s="8" t="n"/>
      <c r="M9175" s="9">
        <f>B9175+30</f>
        <v/>
      </c>
      <c r="N9175">
        <f>IF(L9175="", "", L9175-B9175)</f>
        <v/>
      </c>
      <c r="O9175">
        <f>IF(L9175="", "Pending", IF(N9175&lt;=30, "Met", "Breached"))</f>
        <v/>
      </c>
      <c r="P9175" s="8" t="n"/>
      <c r="Q9175" s="8" t="n"/>
      <c r="R9175" s="8" t="n"/>
      <c r="S9175" s="8" t="n"/>
      <c r="T9175" s="8" t="n"/>
      <c r="U9175" s="8" t="n"/>
      <c r="V9175" s="8" t="n"/>
      <c r="W9175" s="8" t="n"/>
      <c r="X9175" s="8" t="n"/>
      <c r="Y9175" s="8" t="n"/>
    </row>
    <row r="9176">
      <c r="A9176" s="8" t="n"/>
      <c r="B9176" s="8" t="n"/>
      <c r="C9176" s="8" t="n"/>
      <c r="D9176" s="8" t="n"/>
      <c r="E9176" s="8" t="n"/>
      <c r="F9176" s="8" t="n"/>
      <c r="G9176" s="8" t="n"/>
      <c r="H9176" s="8" t="n"/>
      <c r="I9176" s="8" t="n"/>
      <c r="J9176" s="8" t="n"/>
      <c r="K9176" s="8" t="n"/>
      <c r="L9176" s="8" t="n"/>
      <c r="M9176" s="9">
        <f>B9176+30</f>
        <v/>
      </c>
      <c r="N9176">
        <f>IF(L9176="", "", L9176-B9176)</f>
        <v/>
      </c>
      <c r="O9176">
        <f>IF(L9176="", "Pending", IF(N9176&lt;=30, "Met", "Breached"))</f>
        <v/>
      </c>
      <c r="P9176" s="8" t="n"/>
      <c r="Q9176" s="8" t="n"/>
      <c r="R9176" s="8" t="n"/>
      <c r="S9176" s="8" t="n"/>
      <c r="T9176" s="8" t="n"/>
      <c r="U9176" s="8" t="n"/>
      <c r="V9176" s="8" t="n"/>
      <c r="W9176" s="8" t="n"/>
      <c r="X9176" s="8" t="n"/>
      <c r="Y9176" s="8" t="n"/>
    </row>
    <row r="9177">
      <c r="A9177" s="8" t="n"/>
      <c r="B9177" s="8" t="n"/>
      <c r="C9177" s="8" t="n"/>
      <c r="D9177" s="8" t="n"/>
      <c r="E9177" s="8" t="n"/>
      <c r="F9177" s="8" t="n"/>
      <c r="G9177" s="8" t="n"/>
      <c r="H9177" s="8" t="n"/>
      <c r="I9177" s="8" t="n"/>
      <c r="J9177" s="8" t="n"/>
      <c r="K9177" s="8" t="n"/>
      <c r="L9177" s="8" t="n"/>
      <c r="M9177" s="9">
        <f>B9177+30</f>
        <v/>
      </c>
      <c r="N9177">
        <f>IF(L9177="", "", L9177-B9177)</f>
        <v/>
      </c>
      <c r="O9177">
        <f>IF(L9177="", "Pending", IF(N9177&lt;=30, "Met", "Breached"))</f>
        <v/>
      </c>
      <c r="P9177" s="8" t="n"/>
      <c r="Q9177" s="8" t="n"/>
      <c r="R9177" s="8" t="n"/>
      <c r="S9177" s="8" t="n"/>
      <c r="T9177" s="8" t="n"/>
      <c r="U9177" s="8" t="n"/>
      <c r="V9177" s="8" t="n"/>
      <c r="W9177" s="8" t="n"/>
      <c r="X9177" s="8" t="n"/>
      <c r="Y9177" s="8" t="n"/>
    </row>
    <row r="9178">
      <c r="A9178" s="8" t="n"/>
      <c r="B9178" s="8" t="n"/>
      <c r="C9178" s="8" t="n"/>
      <c r="D9178" s="8" t="n"/>
      <c r="E9178" s="8" t="n"/>
      <c r="F9178" s="8" t="n"/>
      <c r="G9178" s="8" t="n"/>
      <c r="H9178" s="8" t="n"/>
      <c r="I9178" s="8" t="n"/>
      <c r="J9178" s="8" t="n"/>
      <c r="K9178" s="8" t="n"/>
      <c r="L9178" s="8" t="n"/>
      <c r="M9178" s="9">
        <f>B9178+30</f>
        <v/>
      </c>
      <c r="N9178">
        <f>IF(L9178="", "", L9178-B9178)</f>
        <v/>
      </c>
      <c r="O9178">
        <f>IF(L9178="", "Pending", IF(N9178&lt;=30, "Met", "Breached"))</f>
        <v/>
      </c>
      <c r="P9178" s="8" t="n"/>
      <c r="Q9178" s="8" t="n"/>
      <c r="R9178" s="8" t="n"/>
      <c r="S9178" s="8" t="n"/>
      <c r="T9178" s="8" t="n"/>
      <c r="U9178" s="8" t="n"/>
      <c r="V9178" s="8" t="n"/>
      <c r="W9178" s="8" t="n"/>
      <c r="X9178" s="8" t="n"/>
      <c r="Y9178" s="8" t="n"/>
    </row>
    <row r="9179">
      <c r="A9179" s="8" t="n"/>
      <c r="B9179" s="8" t="n"/>
      <c r="C9179" s="8" t="n"/>
      <c r="D9179" s="8" t="n"/>
      <c r="E9179" s="8" t="n"/>
      <c r="F9179" s="8" t="n"/>
      <c r="G9179" s="8" t="n"/>
      <c r="H9179" s="8" t="n"/>
      <c r="I9179" s="8" t="n"/>
      <c r="J9179" s="8" t="n"/>
      <c r="K9179" s="8" t="n"/>
      <c r="L9179" s="8" t="n"/>
      <c r="M9179" s="9">
        <f>B9179+30</f>
        <v/>
      </c>
      <c r="N9179">
        <f>IF(L9179="", "", L9179-B9179)</f>
        <v/>
      </c>
      <c r="O9179">
        <f>IF(L9179="", "Pending", IF(N9179&lt;=30, "Met", "Breached"))</f>
        <v/>
      </c>
      <c r="P9179" s="8" t="n"/>
      <c r="Q9179" s="8" t="n"/>
      <c r="R9179" s="8" t="n"/>
      <c r="S9179" s="8" t="n"/>
      <c r="T9179" s="8" t="n"/>
      <c r="U9179" s="8" t="n"/>
      <c r="V9179" s="8" t="n"/>
      <c r="W9179" s="8" t="n"/>
      <c r="X9179" s="8" t="n"/>
      <c r="Y9179" s="8" t="n"/>
    </row>
    <row r="9180">
      <c r="A9180" s="8" t="n"/>
      <c r="B9180" s="8" t="n"/>
      <c r="C9180" s="8" t="n"/>
      <c r="D9180" s="8" t="n"/>
      <c r="E9180" s="8" t="n"/>
      <c r="F9180" s="8" t="n"/>
      <c r="G9180" s="8" t="n"/>
      <c r="H9180" s="8" t="n"/>
      <c r="I9180" s="8" t="n"/>
      <c r="J9180" s="8" t="n"/>
      <c r="K9180" s="8" t="n"/>
      <c r="L9180" s="8" t="n"/>
      <c r="M9180" s="9">
        <f>B9180+30</f>
        <v/>
      </c>
      <c r="N9180">
        <f>IF(L9180="", "", L9180-B9180)</f>
        <v/>
      </c>
      <c r="O9180">
        <f>IF(L9180="", "Pending", IF(N9180&lt;=30, "Met", "Breached"))</f>
        <v/>
      </c>
      <c r="P9180" s="8" t="n"/>
      <c r="Q9180" s="8" t="n"/>
      <c r="R9180" s="8" t="n"/>
      <c r="S9180" s="8" t="n"/>
      <c r="T9180" s="8" t="n"/>
      <c r="U9180" s="8" t="n"/>
      <c r="V9180" s="8" t="n"/>
      <c r="W9180" s="8" t="n"/>
      <c r="X9180" s="8" t="n"/>
      <c r="Y9180" s="8" t="n"/>
    </row>
    <row r="9181">
      <c r="A9181" s="8" t="n"/>
      <c r="B9181" s="8" t="n"/>
      <c r="C9181" s="8" t="n"/>
      <c r="D9181" s="8" t="n"/>
      <c r="E9181" s="8" t="n"/>
      <c r="F9181" s="8" t="n"/>
      <c r="G9181" s="8" t="n"/>
      <c r="H9181" s="8" t="n"/>
      <c r="I9181" s="8" t="n"/>
      <c r="J9181" s="8" t="n"/>
      <c r="K9181" s="8" t="n"/>
      <c r="L9181" s="8" t="n"/>
      <c r="M9181" s="9">
        <f>B9181+30</f>
        <v/>
      </c>
      <c r="N9181">
        <f>IF(L9181="", "", L9181-B9181)</f>
        <v/>
      </c>
      <c r="O9181">
        <f>IF(L9181="", "Pending", IF(N9181&lt;=30, "Met", "Breached"))</f>
        <v/>
      </c>
      <c r="P9181" s="8" t="n"/>
      <c r="Q9181" s="8" t="n"/>
      <c r="R9181" s="8" t="n"/>
      <c r="S9181" s="8" t="n"/>
      <c r="T9181" s="8" t="n"/>
      <c r="U9181" s="8" t="n"/>
      <c r="V9181" s="8" t="n"/>
      <c r="W9181" s="8" t="n"/>
      <c r="X9181" s="8" t="n"/>
      <c r="Y9181" s="8" t="n"/>
    </row>
    <row r="9182">
      <c r="A9182" s="8" t="n"/>
      <c r="B9182" s="8" t="n"/>
      <c r="C9182" s="8" t="n"/>
      <c r="D9182" s="8" t="n"/>
      <c r="E9182" s="8" t="n"/>
      <c r="F9182" s="8" t="n"/>
      <c r="G9182" s="8" t="n"/>
      <c r="H9182" s="8" t="n"/>
      <c r="I9182" s="8" t="n"/>
      <c r="J9182" s="8" t="n"/>
      <c r="K9182" s="8" t="n"/>
      <c r="L9182" s="8" t="n"/>
      <c r="M9182" s="9">
        <f>B9182+30</f>
        <v/>
      </c>
      <c r="N9182">
        <f>IF(L9182="", "", L9182-B9182)</f>
        <v/>
      </c>
      <c r="O9182">
        <f>IF(L9182="", "Pending", IF(N9182&lt;=30, "Met", "Breached"))</f>
        <v/>
      </c>
      <c r="P9182" s="8" t="n"/>
      <c r="Q9182" s="8" t="n"/>
      <c r="R9182" s="8" t="n"/>
      <c r="S9182" s="8" t="n"/>
      <c r="T9182" s="8" t="n"/>
      <c r="U9182" s="8" t="n"/>
      <c r="V9182" s="8" t="n"/>
      <c r="W9182" s="8" t="n"/>
      <c r="X9182" s="8" t="n"/>
      <c r="Y9182" s="8" t="n"/>
    </row>
    <row r="9183">
      <c r="A9183" s="8" t="n"/>
      <c r="B9183" s="8" t="n"/>
      <c r="C9183" s="8" t="n"/>
      <c r="D9183" s="8" t="n"/>
      <c r="E9183" s="8" t="n"/>
      <c r="F9183" s="8" t="n"/>
      <c r="G9183" s="8" t="n"/>
      <c r="H9183" s="8" t="n"/>
      <c r="I9183" s="8" t="n"/>
      <c r="J9183" s="8" t="n"/>
      <c r="K9183" s="8" t="n"/>
      <c r="L9183" s="8" t="n"/>
      <c r="M9183" s="9">
        <f>B9183+30</f>
        <v/>
      </c>
      <c r="N9183">
        <f>IF(L9183="", "", L9183-B9183)</f>
        <v/>
      </c>
      <c r="O9183">
        <f>IF(L9183="", "Pending", IF(N9183&lt;=30, "Met", "Breached"))</f>
        <v/>
      </c>
      <c r="P9183" s="8" t="n"/>
      <c r="Q9183" s="8" t="n"/>
      <c r="R9183" s="8" t="n"/>
      <c r="S9183" s="8" t="n"/>
      <c r="T9183" s="8" t="n"/>
      <c r="U9183" s="8" t="n"/>
      <c r="V9183" s="8" t="n"/>
      <c r="W9183" s="8" t="n"/>
      <c r="X9183" s="8" t="n"/>
      <c r="Y9183" s="8" t="n"/>
    </row>
    <row r="9184">
      <c r="A9184" s="8" t="n"/>
      <c r="B9184" s="8" t="n"/>
      <c r="C9184" s="8" t="n"/>
      <c r="D9184" s="8" t="n"/>
      <c r="E9184" s="8" t="n"/>
      <c r="F9184" s="8" t="n"/>
      <c r="G9184" s="8" t="n"/>
      <c r="H9184" s="8" t="n"/>
      <c r="I9184" s="8" t="n"/>
      <c r="J9184" s="8" t="n"/>
      <c r="K9184" s="8" t="n"/>
      <c r="L9184" s="8" t="n"/>
      <c r="M9184" s="9">
        <f>B9184+30</f>
        <v/>
      </c>
      <c r="N9184">
        <f>IF(L9184="", "", L9184-B9184)</f>
        <v/>
      </c>
      <c r="O9184">
        <f>IF(L9184="", "Pending", IF(N9184&lt;=30, "Met", "Breached"))</f>
        <v/>
      </c>
      <c r="P9184" s="8" t="n"/>
      <c r="Q9184" s="8" t="n"/>
      <c r="R9184" s="8" t="n"/>
      <c r="S9184" s="8" t="n"/>
      <c r="T9184" s="8" t="n"/>
      <c r="U9184" s="8" t="n"/>
      <c r="V9184" s="8" t="n"/>
      <c r="W9184" s="8" t="n"/>
      <c r="X9184" s="8" t="n"/>
      <c r="Y9184" s="8" t="n"/>
    </row>
    <row r="9185">
      <c r="A9185" s="8" t="n"/>
      <c r="B9185" s="8" t="n"/>
      <c r="C9185" s="8" t="n"/>
      <c r="D9185" s="8" t="n"/>
      <c r="E9185" s="8" t="n"/>
      <c r="F9185" s="8" t="n"/>
      <c r="G9185" s="8" t="n"/>
      <c r="H9185" s="8" t="n"/>
      <c r="I9185" s="8" t="n"/>
      <c r="J9185" s="8" t="n"/>
      <c r="K9185" s="8" t="n"/>
      <c r="L9185" s="8" t="n"/>
      <c r="M9185" s="9">
        <f>B9185+30</f>
        <v/>
      </c>
      <c r="N9185">
        <f>IF(L9185="", "", L9185-B9185)</f>
        <v/>
      </c>
      <c r="O9185">
        <f>IF(L9185="", "Pending", IF(N9185&lt;=30, "Met", "Breached"))</f>
        <v/>
      </c>
      <c r="P9185" s="8" t="n"/>
      <c r="Q9185" s="8" t="n"/>
      <c r="R9185" s="8" t="n"/>
      <c r="S9185" s="8" t="n"/>
      <c r="T9185" s="8" t="n"/>
      <c r="U9185" s="8" t="n"/>
      <c r="V9185" s="8" t="n"/>
      <c r="W9185" s="8" t="n"/>
      <c r="X9185" s="8" t="n"/>
      <c r="Y9185" s="8" t="n"/>
    </row>
    <row r="9186">
      <c r="A9186" s="8" t="n"/>
      <c r="B9186" s="8" t="n"/>
      <c r="C9186" s="8" t="n"/>
      <c r="D9186" s="8" t="n"/>
      <c r="E9186" s="8" t="n"/>
      <c r="F9186" s="8" t="n"/>
      <c r="G9186" s="8" t="n"/>
      <c r="H9186" s="8" t="n"/>
      <c r="I9186" s="8" t="n"/>
      <c r="J9186" s="8" t="n"/>
      <c r="K9186" s="8" t="n"/>
      <c r="L9186" s="8" t="n"/>
      <c r="M9186" s="9">
        <f>B9186+30</f>
        <v/>
      </c>
      <c r="N9186">
        <f>IF(L9186="", "", L9186-B9186)</f>
        <v/>
      </c>
      <c r="O9186">
        <f>IF(L9186="", "Pending", IF(N9186&lt;=30, "Met", "Breached"))</f>
        <v/>
      </c>
      <c r="P9186" s="8" t="n"/>
      <c r="Q9186" s="8" t="n"/>
      <c r="R9186" s="8" t="n"/>
      <c r="S9186" s="8" t="n"/>
      <c r="T9186" s="8" t="n"/>
      <c r="U9186" s="8" t="n"/>
      <c r="V9186" s="8" t="n"/>
      <c r="W9186" s="8" t="n"/>
      <c r="X9186" s="8" t="n"/>
      <c r="Y9186" s="8" t="n"/>
    </row>
    <row r="9187">
      <c r="A9187" s="8" t="n"/>
      <c r="B9187" s="8" t="n"/>
      <c r="C9187" s="8" t="n"/>
      <c r="D9187" s="8" t="n"/>
      <c r="E9187" s="8" t="n"/>
      <c r="F9187" s="8" t="n"/>
      <c r="G9187" s="8" t="n"/>
      <c r="H9187" s="8" t="n"/>
      <c r="I9187" s="8" t="n"/>
      <c r="J9187" s="8" t="n"/>
      <c r="K9187" s="8" t="n"/>
      <c r="L9187" s="8" t="n"/>
      <c r="M9187" s="9">
        <f>B9187+30</f>
        <v/>
      </c>
      <c r="N9187">
        <f>IF(L9187="", "", L9187-B9187)</f>
        <v/>
      </c>
      <c r="O9187">
        <f>IF(L9187="", "Pending", IF(N9187&lt;=30, "Met", "Breached"))</f>
        <v/>
      </c>
      <c r="P9187" s="8" t="n"/>
      <c r="Q9187" s="8" t="n"/>
      <c r="R9187" s="8" t="n"/>
      <c r="S9187" s="8" t="n"/>
      <c r="T9187" s="8" t="n"/>
      <c r="U9187" s="8" t="n"/>
      <c r="V9187" s="8" t="n"/>
      <c r="W9187" s="8" t="n"/>
      <c r="X9187" s="8" t="n"/>
      <c r="Y9187" s="8" t="n"/>
    </row>
    <row r="9188">
      <c r="A9188" s="8" t="n"/>
      <c r="B9188" s="8" t="n"/>
      <c r="C9188" s="8" t="n"/>
      <c r="D9188" s="8" t="n"/>
      <c r="E9188" s="8" t="n"/>
      <c r="F9188" s="8" t="n"/>
      <c r="G9188" s="8" t="n"/>
      <c r="H9188" s="8" t="n"/>
      <c r="I9188" s="8" t="n"/>
      <c r="J9188" s="8" t="n"/>
      <c r="K9188" s="8" t="n"/>
      <c r="L9188" s="8" t="n"/>
      <c r="M9188" s="9">
        <f>B9188+30</f>
        <v/>
      </c>
      <c r="N9188">
        <f>IF(L9188="", "", L9188-B9188)</f>
        <v/>
      </c>
      <c r="O9188">
        <f>IF(L9188="", "Pending", IF(N9188&lt;=30, "Met", "Breached"))</f>
        <v/>
      </c>
      <c r="P9188" s="8" t="n"/>
      <c r="Q9188" s="8" t="n"/>
      <c r="R9188" s="8" t="n"/>
      <c r="S9188" s="8" t="n"/>
      <c r="T9188" s="8" t="n"/>
      <c r="U9188" s="8" t="n"/>
      <c r="V9188" s="8" t="n"/>
      <c r="W9188" s="8" t="n"/>
      <c r="X9188" s="8" t="n"/>
      <c r="Y9188" s="8" t="n"/>
    </row>
    <row r="9189">
      <c r="A9189" s="8" t="n"/>
      <c r="B9189" s="8" t="n"/>
      <c r="C9189" s="8" t="n"/>
      <c r="D9189" s="8" t="n"/>
      <c r="E9189" s="8" t="n"/>
      <c r="F9189" s="8" t="n"/>
      <c r="G9189" s="8" t="n"/>
      <c r="H9189" s="8" t="n"/>
      <c r="I9189" s="8" t="n"/>
      <c r="J9189" s="8" t="n"/>
      <c r="K9189" s="8" t="n"/>
      <c r="L9189" s="8" t="n"/>
      <c r="M9189" s="9">
        <f>B9189+30</f>
        <v/>
      </c>
      <c r="N9189">
        <f>IF(L9189="", "", L9189-B9189)</f>
        <v/>
      </c>
      <c r="O9189">
        <f>IF(L9189="", "Pending", IF(N9189&lt;=30, "Met", "Breached"))</f>
        <v/>
      </c>
      <c r="P9189" s="8" t="n"/>
      <c r="Q9189" s="8" t="n"/>
      <c r="R9189" s="8" t="n"/>
      <c r="S9189" s="8" t="n"/>
      <c r="T9189" s="8" t="n"/>
      <c r="U9189" s="8" t="n"/>
      <c r="V9189" s="8" t="n"/>
      <c r="W9189" s="8" t="n"/>
      <c r="X9189" s="8" t="n"/>
      <c r="Y9189" s="8" t="n"/>
    </row>
    <row r="9190">
      <c r="A9190" s="8" t="n"/>
      <c r="B9190" s="8" t="n"/>
      <c r="C9190" s="8" t="n"/>
      <c r="D9190" s="8" t="n"/>
      <c r="E9190" s="8" t="n"/>
      <c r="F9190" s="8" t="n"/>
      <c r="G9190" s="8" t="n"/>
      <c r="H9190" s="8" t="n"/>
      <c r="I9190" s="8" t="n"/>
      <c r="J9190" s="8" t="n"/>
      <c r="K9190" s="8" t="n"/>
      <c r="L9190" s="8" t="n"/>
      <c r="M9190" s="9">
        <f>B9190+30</f>
        <v/>
      </c>
      <c r="N9190">
        <f>IF(L9190="", "", L9190-B9190)</f>
        <v/>
      </c>
      <c r="O9190">
        <f>IF(L9190="", "Pending", IF(N9190&lt;=30, "Met", "Breached"))</f>
        <v/>
      </c>
      <c r="P9190" s="8" t="n"/>
      <c r="Q9190" s="8" t="n"/>
      <c r="R9190" s="8" t="n"/>
      <c r="S9190" s="8" t="n"/>
      <c r="T9190" s="8" t="n"/>
      <c r="U9190" s="8" t="n"/>
      <c r="V9190" s="8" t="n"/>
      <c r="W9190" s="8" t="n"/>
      <c r="X9190" s="8" t="n"/>
      <c r="Y9190" s="8" t="n"/>
    </row>
    <row r="9191">
      <c r="A9191" s="8" t="n"/>
      <c r="B9191" s="8" t="n"/>
      <c r="C9191" s="8" t="n"/>
      <c r="D9191" s="8" t="n"/>
      <c r="E9191" s="8" t="n"/>
      <c r="F9191" s="8" t="n"/>
      <c r="G9191" s="8" t="n"/>
      <c r="H9191" s="8" t="n"/>
      <c r="I9191" s="8" t="n"/>
      <c r="J9191" s="8" t="n"/>
      <c r="K9191" s="8" t="n"/>
      <c r="L9191" s="8" t="n"/>
      <c r="M9191" s="9">
        <f>B9191+30</f>
        <v/>
      </c>
      <c r="N9191">
        <f>IF(L9191="", "", L9191-B9191)</f>
        <v/>
      </c>
      <c r="O9191">
        <f>IF(L9191="", "Pending", IF(N9191&lt;=30, "Met", "Breached"))</f>
        <v/>
      </c>
      <c r="P9191" s="8" t="n"/>
      <c r="Q9191" s="8" t="n"/>
      <c r="R9191" s="8" t="n"/>
      <c r="S9191" s="8" t="n"/>
      <c r="T9191" s="8" t="n"/>
      <c r="U9191" s="8" t="n"/>
      <c r="V9191" s="8" t="n"/>
      <c r="W9191" s="8" t="n"/>
      <c r="X9191" s="8" t="n"/>
      <c r="Y9191" s="8" t="n"/>
    </row>
    <row r="9192">
      <c r="A9192" s="8" t="n"/>
      <c r="B9192" s="8" t="n"/>
      <c r="C9192" s="8" t="n"/>
      <c r="D9192" s="8" t="n"/>
      <c r="E9192" s="8" t="n"/>
      <c r="F9192" s="8" t="n"/>
      <c r="G9192" s="8" t="n"/>
      <c r="H9192" s="8" t="n"/>
      <c r="I9192" s="8" t="n"/>
      <c r="J9192" s="8" t="n"/>
      <c r="K9192" s="8" t="n"/>
      <c r="L9192" s="8" t="n"/>
      <c r="M9192" s="9">
        <f>B9192+30</f>
        <v/>
      </c>
      <c r="N9192">
        <f>IF(L9192="", "", L9192-B9192)</f>
        <v/>
      </c>
      <c r="O9192">
        <f>IF(L9192="", "Pending", IF(N9192&lt;=30, "Met", "Breached"))</f>
        <v/>
      </c>
      <c r="P9192" s="8" t="n"/>
      <c r="Q9192" s="8" t="n"/>
      <c r="R9192" s="8" t="n"/>
      <c r="S9192" s="8" t="n"/>
      <c r="T9192" s="8" t="n"/>
      <c r="U9192" s="8" t="n"/>
      <c r="V9192" s="8" t="n"/>
      <c r="W9192" s="8" t="n"/>
      <c r="X9192" s="8" t="n"/>
      <c r="Y9192" s="8" t="n"/>
    </row>
    <row r="9193">
      <c r="A9193" s="8" t="n"/>
      <c r="B9193" s="8" t="n"/>
      <c r="C9193" s="8" t="n"/>
      <c r="D9193" s="8" t="n"/>
      <c r="E9193" s="8" t="n"/>
      <c r="F9193" s="8" t="n"/>
      <c r="G9193" s="8" t="n"/>
      <c r="H9193" s="8" t="n"/>
      <c r="I9193" s="8" t="n"/>
      <c r="J9193" s="8" t="n"/>
      <c r="K9193" s="8" t="n"/>
      <c r="L9193" s="8" t="n"/>
      <c r="M9193" s="9">
        <f>B9193+30</f>
        <v/>
      </c>
      <c r="N9193">
        <f>IF(L9193="", "", L9193-B9193)</f>
        <v/>
      </c>
      <c r="O9193">
        <f>IF(L9193="", "Pending", IF(N9193&lt;=30, "Met", "Breached"))</f>
        <v/>
      </c>
      <c r="P9193" s="8" t="n"/>
      <c r="Q9193" s="8" t="n"/>
      <c r="R9193" s="8" t="n"/>
      <c r="S9193" s="8" t="n"/>
      <c r="T9193" s="8" t="n"/>
      <c r="U9193" s="8" t="n"/>
      <c r="V9193" s="8" t="n"/>
      <c r="W9193" s="8" t="n"/>
      <c r="X9193" s="8" t="n"/>
      <c r="Y9193" s="8" t="n"/>
    </row>
    <row r="9194">
      <c r="A9194" s="8" t="n"/>
      <c r="B9194" s="8" t="n"/>
      <c r="C9194" s="8" t="n"/>
      <c r="D9194" s="8" t="n"/>
      <c r="E9194" s="8" t="n"/>
      <c r="F9194" s="8" t="n"/>
      <c r="G9194" s="8" t="n"/>
      <c r="H9194" s="8" t="n"/>
      <c r="I9194" s="8" t="n"/>
      <c r="J9194" s="8" t="n"/>
      <c r="K9194" s="8" t="n"/>
      <c r="L9194" s="8" t="n"/>
      <c r="M9194" s="9">
        <f>B9194+30</f>
        <v/>
      </c>
      <c r="N9194">
        <f>IF(L9194="", "", L9194-B9194)</f>
        <v/>
      </c>
      <c r="O9194">
        <f>IF(L9194="", "Pending", IF(N9194&lt;=30, "Met", "Breached"))</f>
        <v/>
      </c>
      <c r="P9194" s="8" t="n"/>
      <c r="Q9194" s="8" t="n"/>
      <c r="R9194" s="8" t="n"/>
      <c r="S9194" s="8" t="n"/>
      <c r="T9194" s="8" t="n"/>
      <c r="U9194" s="8" t="n"/>
      <c r="V9194" s="8" t="n"/>
      <c r="W9194" s="8" t="n"/>
      <c r="X9194" s="8" t="n"/>
      <c r="Y9194" s="8" t="n"/>
    </row>
    <row r="9195">
      <c r="A9195" s="8" t="n"/>
      <c r="B9195" s="8" t="n"/>
      <c r="C9195" s="8" t="n"/>
      <c r="D9195" s="8" t="n"/>
      <c r="E9195" s="8" t="n"/>
      <c r="F9195" s="8" t="n"/>
      <c r="G9195" s="8" t="n"/>
      <c r="H9195" s="8" t="n"/>
      <c r="I9195" s="8" t="n"/>
      <c r="J9195" s="8" t="n"/>
      <c r="K9195" s="8" t="n"/>
      <c r="L9195" s="8" t="n"/>
      <c r="M9195" s="9">
        <f>B9195+30</f>
        <v/>
      </c>
      <c r="N9195">
        <f>IF(L9195="", "", L9195-B9195)</f>
        <v/>
      </c>
      <c r="O9195">
        <f>IF(L9195="", "Pending", IF(N9195&lt;=30, "Met", "Breached"))</f>
        <v/>
      </c>
      <c r="P9195" s="8" t="n"/>
      <c r="Q9195" s="8" t="n"/>
      <c r="R9195" s="8" t="n"/>
      <c r="S9195" s="8" t="n"/>
      <c r="T9195" s="8" t="n"/>
      <c r="U9195" s="8" t="n"/>
      <c r="V9195" s="8" t="n"/>
      <c r="W9195" s="8" t="n"/>
      <c r="X9195" s="8" t="n"/>
      <c r="Y9195" s="8" t="n"/>
    </row>
    <row r="9196">
      <c r="A9196" s="8" t="n"/>
      <c r="B9196" s="8" t="n"/>
      <c r="C9196" s="8" t="n"/>
      <c r="D9196" s="8" t="n"/>
      <c r="E9196" s="8" t="n"/>
      <c r="F9196" s="8" t="n"/>
      <c r="G9196" s="8" t="n"/>
      <c r="H9196" s="8" t="n"/>
      <c r="I9196" s="8" t="n"/>
      <c r="J9196" s="8" t="n"/>
      <c r="K9196" s="8" t="n"/>
      <c r="L9196" s="8" t="n"/>
      <c r="M9196" s="9">
        <f>B9196+30</f>
        <v/>
      </c>
      <c r="N9196">
        <f>IF(L9196="", "", L9196-B9196)</f>
        <v/>
      </c>
      <c r="O9196">
        <f>IF(L9196="", "Pending", IF(N9196&lt;=30, "Met", "Breached"))</f>
        <v/>
      </c>
      <c r="P9196" s="8" t="n"/>
      <c r="Q9196" s="8" t="n"/>
      <c r="R9196" s="8" t="n"/>
      <c r="S9196" s="8" t="n"/>
      <c r="T9196" s="8" t="n"/>
      <c r="U9196" s="8" t="n"/>
      <c r="V9196" s="8" t="n"/>
      <c r="W9196" s="8" t="n"/>
      <c r="X9196" s="8" t="n"/>
      <c r="Y9196" s="8" t="n"/>
    </row>
    <row r="9197">
      <c r="A9197" s="8" t="n"/>
      <c r="B9197" s="8" t="n"/>
      <c r="C9197" s="8" t="n"/>
      <c r="D9197" s="8" t="n"/>
      <c r="E9197" s="8" t="n"/>
      <c r="F9197" s="8" t="n"/>
      <c r="G9197" s="8" t="n"/>
      <c r="H9197" s="8" t="n"/>
      <c r="I9197" s="8" t="n"/>
      <c r="J9197" s="8" t="n"/>
      <c r="K9197" s="8" t="n"/>
      <c r="L9197" s="8" t="n"/>
      <c r="M9197" s="9">
        <f>B9197+30</f>
        <v/>
      </c>
      <c r="N9197">
        <f>IF(L9197="", "", L9197-B9197)</f>
        <v/>
      </c>
      <c r="O9197">
        <f>IF(L9197="", "Pending", IF(N9197&lt;=30, "Met", "Breached"))</f>
        <v/>
      </c>
      <c r="P9197" s="8" t="n"/>
      <c r="Q9197" s="8" t="n"/>
      <c r="R9197" s="8" t="n"/>
      <c r="S9197" s="8" t="n"/>
      <c r="T9197" s="8" t="n"/>
      <c r="U9197" s="8" t="n"/>
      <c r="V9197" s="8" t="n"/>
      <c r="W9197" s="8" t="n"/>
      <c r="X9197" s="8" t="n"/>
      <c r="Y9197" s="8" t="n"/>
    </row>
    <row r="9198">
      <c r="A9198" s="8" t="n"/>
      <c r="B9198" s="8" t="n"/>
      <c r="C9198" s="8" t="n"/>
      <c r="D9198" s="8" t="n"/>
      <c r="E9198" s="8" t="n"/>
      <c r="F9198" s="8" t="n"/>
      <c r="G9198" s="8" t="n"/>
      <c r="H9198" s="8" t="n"/>
      <c r="I9198" s="8" t="n"/>
      <c r="J9198" s="8" t="n"/>
      <c r="K9198" s="8" t="n"/>
      <c r="L9198" s="8" t="n"/>
      <c r="M9198" s="9">
        <f>B9198+30</f>
        <v/>
      </c>
      <c r="N9198">
        <f>IF(L9198="", "", L9198-B9198)</f>
        <v/>
      </c>
      <c r="O9198">
        <f>IF(L9198="", "Pending", IF(N9198&lt;=30, "Met", "Breached"))</f>
        <v/>
      </c>
      <c r="P9198" s="8" t="n"/>
      <c r="Q9198" s="8" t="n"/>
      <c r="R9198" s="8" t="n"/>
      <c r="S9198" s="8" t="n"/>
      <c r="T9198" s="8" t="n"/>
      <c r="U9198" s="8" t="n"/>
      <c r="V9198" s="8" t="n"/>
      <c r="W9198" s="8" t="n"/>
      <c r="X9198" s="8" t="n"/>
      <c r="Y9198" s="8" t="n"/>
    </row>
    <row r="9199">
      <c r="A9199" s="8" t="n"/>
      <c r="B9199" s="8" t="n"/>
      <c r="C9199" s="8" t="n"/>
      <c r="D9199" s="8" t="n"/>
      <c r="E9199" s="8" t="n"/>
      <c r="F9199" s="8" t="n"/>
      <c r="G9199" s="8" t="n"/>
      <c r="H9199" s="8" t="n"/>
      <c r="I9199" s="8" t="n"/>
      <c r="J9199" s="8" t="n"/>
      <c r="K9199" s="8" t="n"/>
      <c r="L9199" s="8" t="n"/>
      <c r="M9199" s="9">
        <f>B9199+30</f>
        <v/>
      </c>
      <c r="N9199">
        <f>IF(L9199="", "", L9199-B9199)</f>
        <v/>
      </c>
      <c r="O9199">
        <f>IF(L9199="", "Pending", IF(N9199&lt;=30, "Met", "Breached"))</f>
        <v/>
      </c>
      <c r="P9199" s="8" t="n"/>
      <c r="Q9199" s="8" t="n"/>
      <c r="R9199" s="8" t="n"/>
      <c r="S9199" s="8" t="n"/>
      <c r="T9199" s="8" t="n"/>
      <c r="U9199" s="8" t="n"/>
      <c r="V9199" s="8" t="n"/>
      <c r="W9199" s="8" t="n"/>
      <c r="X9199" s="8" t="n"/>
      <c r="Y9199" s="8" t="n"/>
    </row>
    <row r="9200">
      <c r="A9200" s="8" t="n"/>
      <c r="B9200" s="8" t="n"/>
      <c r="C9200" s="8" t="n"/>
      <c r="D9200" s="8" t="n"/>
      <c r="E9200" s="8" t="n"/>
      <c r="F9200" s="8" t="n"/>
      <c r="G9200" s="8" t="n"/>
      <c r="H9200" s="8" t="n"/>
      <c r="I9200" s="8" t="n"/>
      <c r="J9200" s="8" t="n"/>
      <c r="K9200" s="8" t="n"/>
      <c r="L9200" s="8" t="n"/>
      <c r="M9200" s="9">
        <f>B9200+30</f>
        <v/>
      </c>
      <c r="N9200">
        <f>IF(L9200="", "", L9200-B9200)</f>
        <v/>
      </c>
      <c r="O9200">
        <f>IF(L9200="", "Pending", IF(N9200&lt;=30, "Met", "Breached"))</f>
        <v/>
      </c>
      <c r="P9200" s="8" t="n"/>
      <c r="Q9200" s="8" t="n"/>
      <c r="R9200" s="8" t="n"/>
      <c r="S9200" s="8" t="n"/>
      <c r="T9200" s="8" t="n"/>
      <c r="U9200" s="8" t="n"/>
      <c r="V9200" s="8" t="n"/>
      <c r="W9200" s="8" t="n"/>
      <c r="X9200" s="8" t="n"/>
      <c r="Y9200" s="8" t="n"/>
    </row>
    <row r="9201">
      <c r="A9201" s="8" t="n"/>
      <c r="B9201" s="8" t="n"/>
      <c r="C9201" s="8" t="n"/>
      <c r="D9201" s="8" t="n"/>
      <c r="E9201" s="8" t="n"/>
      <c r="F9201" s="8" t="n"/>
      <c r="G9201" s="8" t="n"/>
      <c r="H9201" s="8" t="n"/>
      <c r="I9201" s="8" t="n"/>
      <c r="J9201" s="8" t="n"/>
      <c r="K9201" s="8" t="n"/>
      <c r="L9201" s="8" t="n"/>
      <c r="M9201" s="9">
        <f>B9201+30</f>
        <v/>
      </c>
      <c r="N9201">
        <f>IF(L9201="", "", L9201-B9201)</f>
        <v/>
      </c>
      <c r="O9201">
        <f>IF(L9201="", "Pending", IF(N9201&lt;=30, "Met", "Breached"))</f>
        <v/>
      </c>
      <c r="P9201" s="8" t="n"/>
      <c r="Q9201" s="8" t="n"/>
      <c r="R9201" s="8" t="n"/>
      <c r="S9201" s="8" t="n"/>
      <c r="T9201" s="8" t="n"/>
      <c r="U9201" s="8" t="n"/>
      <c r="V9201" s="8" t="n"/>
      <c r="W9201" s="8" t="n"/>
      <c r="X9201" s="8" t="n"/>
      <c r="Y9201" s="8" t="n"/>
    </row>
    <row r="9202">
      <c r="A9202" s="8" t="n"/>
      <c r="B9202" s="8" t="n"/>
      <c r="C9202" s="8" t="n"/>
      <c r="D9202" s="8" t="n"/>
      <c r="E9202" s="8" t="n"/>
      <c r="F9202" s="8" t="n"/>
      <c r="G9202" s="8" t="n"/>
      <c r="H9202" s="8" t="n"/>
      <c r="I9202" s="8" t="n"/>
      <c r="J9202" s="8" t="n"/>
      <c r="K9202" s="8" t="n"/>
      <c r="L9202" s="8" t="n"/>
      <c r="M9202" s="9">
        <f>B9202+30</f>
        <v/>
      </c>
      <c r="N9202">
        <f>IF(L9202="", "", L9202-B9202)</f>
        <v/>
      </c>
      <c r="O9202">
        <f>IF(L9202="", "Pending", IF(N9202&lt;=30, "Met", "Breached"))</f>
        <v/>
      </c>
      <c r="P9202" s="8" t="n"/>
      <c r="Q9202" s="8" t="n"/>
      <c r="R9202" s="8" t="n"/>
      <c r="S9202" s="8" t="n"/>
      <c r="T9202" s="8" t="n"/>
      <c r="U9202" s="8" t="n"/>
      <c r="V9202" s="8" t="n"/>
      <c r="W9202" s="8" t="n"/>
      <c r="X9202" s="8" t="n"/>
      <c r="Y9202" s="8" t="n"/>
    </row>
    <row r="9203">
      <c r="A9203" s="8" t="n"/>
      <c r="B9203" s="8" t="n"/>
      <c r="C9203" s="8" t="n"/>
      <c r="D9203" s="8" t="n"/>
      <c r="E9203" s="8" t="n"/>
      <c r="F9203" s="8" t="n"/>
      <c r="G9203" s="8" t="n"/>
      <c r="H9203" s="8" t="n"/>
      <c r="I9203" s="8" t="n"/>
      <c r="J9203" s="8" t="n"/>
      <c r="K9203" s="8" t="n"/>
      <c r="L9203" s="8" t="n"/>
      <c r="M9203" s="9">
        <f>B9203+30</f>
        <v/>
      </c>
      <c r="N9203">
        <f>IF(L9203="", "", L9203-B9203)</f>
        <v/>
      </c>
      <c r="O9203">
        <f>IF(L9203="", "Pending", IF(N9203&lt;=30, "Met", "Breached"))</f>
        <v/>
      </c>
      <c r="P9203" s="8" t="n"/>
      <c r="Q9203" s="8" t="n"/>
      <c r="R9203" s="8" t="n"/>
      <c r="S9203" s="8" t="n"/>
      <c r="T9203" s="8" t="n"/>
      <c r="U9203" s="8" t="n"/>
      <c r="V9203" s="8" t="n"/>
      <c r="W9203" s="8" t="n"/>
      <c r="X9203" s="8" t="n"/>
      <c r="Y9203" s="8" t="n"/>
    </row>
    <row r="9204">
      <c r="A9204" s="8" t="n"/>
      <c r="B9204" s="8" t="n"/>
      <c r="C9204" s="8" t="n"/>
      <c r="D9204" s="8" t="n"/>
      <c r="E9204" s="8" t="n"/>
      <c r="F9204" s="8" t="n"/>
      <c r="G9204" s="8" t="n"/>
      <c r="H9204" s="8" t="n"/>
      <c r="I9204" s="8" t="n"/>
      <c r="J9204" s="8" t="n"/>
      <c r="K9204" s="8" t="n"/>
      <c r="L9204" s="8" t="n"/>
      <c r="M9204" s="9">
        <f>B9204+30</f>
        <v/>
      </c>
      <c r="N9204">
        <f>IF(L9204="", "", L9204-B9204)</f>
        <v/>
      </c>
      <c r="O9204">
        <f>IF(L9204="", "Pending", IF(N9204&lt;=30, "Met", "Breached"))</f>
        <v/>
      </c>
      <c r="P9204" s="8" t="n"/>
      <c r="Q9204" s="8" t="n"/>
      <c r="R9204" s="8" t="n"/>
      <c r="S9204" s="8" t="n"/>
      <c r="T9204" s="8" t="n"/>
      <c r="U9204" s="8" t="n"/>
      <c r="V9204" s="8" t="n"/>
      <c r="W9204" s="8" t="n"/>
      <c r="X9204" s="8" t="n"/>
      <c r="Y9204" s="8" t="n"/>
    </row>
    <row r="9205">
      <c r="A9205" s="8" t="n"/>
      <c r="B9205" s="8" t="n"/>
      <c r="C9205" s="8" t="n"/>
      <c r="D9205" s="8" t="n"/>
      <c r="E9205" s="8" t="n"/>
      <c r="F9205" s="8" t="n"/>
      <c r="G9205" s="8" t="n"/>
      <c r="H9205" s="8" t="n"/>
      <c r="I9205" s="8" t="n"/>
      <c r="J9205" s="8" t="n"/>
      <c r="K9205" s="8" t="n"/>
      <c r="L9205" s="8" t="n"/>
      <c r="M9205" s="9">
        <f>B9205+30</f>
        <v/>
      </c>
      <c r="N9205">
        <f>IF(L9205="", "", L9205-B9205)</f>
        <v/>
      </c>
      <c r="O9205">
        <f>IF(L9205="", "Pending", IF(N9205&lt;=30, "Met", "Breached"))</f>
        <v/>
      </c>
      <c r="P9205" s="8" t="n"/>
      <c r="Q9205" s="8" t="n"/>
      <c r="R9205" s="8" t="n"/>
      <c r="S9205" s="8" t="n"/>
      <c r="T9205" s="8" t="n"/>
      <c r="U9205" s="8" t="n"/>
      <c r="V9205" s="8" t="n"/>
      <c r="W9205" s="8" t="n"/>
      <c r="X9205" s="8" t="n"/>
      <c r="Y9205" s="8" t="n"/>
    </row>
    <row r="9206">
      <c r="A9206" s="8" t="n"/>
      <c r="B9206" s="8" t="n"/>
      <c r="C9206" s="8" t="n"/>
      <c r="D9206" s="8" t="n"/>
      <c r="E9206" s="8" t="n"/>
      <c r="F9206" s="8" t="n"/>
      <c r="G9206" s="8" t="n"/>
      <c r="H9206" s="8" t="n"/>
      <c r="I9206" s="8" t="n"/>
      <c r="J9206" s="8" t="n"/>
      <c r="K9206" s="8" t="n"/>
      <c r="L9206" s="8" t="n"/>
      <c r="M9206" s="9">
        <f>B9206+30</f>
        <v/>
      </c>
      <c r="N9206">
        <f>IF(L9206="", "", L9206-B9206)</f>
        <v/>
      </c>
      <c r="O9206">
        <f>IF(L9206="", "Pending", IF(N9206&lt;=30, "Met", "Breached"))</f>
        <v/>
      </c>
      <c r="P9206" s="8" t="n"/>
      <c r="Q9206" s="8" t="n"/>
      <c r="R9206" s="8" t="n"/>
      <c r="S9206" s="8" t="n"/>
      <c r="T9206" s="8" t="n"/>
      <c r="U9206" s="8" t="n"/>
      <c r="V9206" s="8" t="n"/>
      <c r="W9206" s="8" t="n"/>
      <c r="X9206" s="8" t="n"/>
      <c r="Y9206" s="8" t="n"/>
    </row>
    <row r="9207">
      <c r="A9207" s="8" t="n"/>
      <c r="B9207" s="8" t="n"/>
      <c r="C9207" s="8" t="n"/>
      <c r="D9207" s="8" t="n"/>
      <c r="E9207" s="8" t="n"/>
      <c r="F9207" s="8" t="n"/>
      <c r="G9207" s="8" t="n"/>
      <c r="H9207" s="8" t="n"/>
      <c r="I9207" s="8" t="n"/>
      <c r="J9207" s="8" t="n"/>
      <c r="K9207" s="8" t="n"/>
      <c r="L9207" s="8" t="n"/>
      <c r="M9207" s="9">
        <f>B9207+30</f>
        <v/>
      </c>
      <c r="N9207">
        <f>IF(L9207="", "", L9207-B9207)</f>
        <v/>
      </c>
      <c r="O9207">
        <f>IF(L9207="", "Pending", IF(N9207&lt;=30, "Met", "Breached"))</f>
        <v/>
      </c>
      <c r="P9207" s="8" t="n"/>
      <c r="Q9207" s="8" t="n"/>
      <c r="R9207" s="8" t="n"/>
      <c r="S9207" s="8" t="n"/>
      <c r="T9207" s="8" t="n"/>
      <c r="U9207" s="8" t="n"/>
      <c r="V9207" s="8" t="n"/>
      <c r="W9207" s="8" t="n"/>
      <c r="X9207" s="8" t="n"/>
      <c r="Y9207" s="8" t="n"/>
    </row>
    <row r="9208">
      <c r="A9208" s="8" t="n"/>
      <c r="B9208" s="8" t="n"/>
      <c r="C9208" s="8" t="n"/>
      <c r="D9208" s="8" t="n"/>
      <c r="E9208" s="8" t="n"/>
      <c r="F9208" s="8" t="n"/>
      <c r="G9208" s="8" t="n"/>
      <c r="H9208" s="8" t="n"/>
      <c r="I9208" s="8" t="n"/>
      <c r="J9208" s="8" t="n"/>
      <c r="K9208" s="8" t="n"/>
      <c r="L9208" s="8" t="n"/>
      <c r="M9208" s="9">
        <f>B9208+30</f>
        <v/>
      </c>
      <c r="N9208">
        <f>IF(L9208="", "", L9208-B9208)</f>
        <v/>
      </c>
      <c r="O9208">
        <f>IF(L9208="", "Pending", IF(N9208&lt;=30, "Met", "Breached"))</f>
        <v/>
      </c>
      <c r="P9208" s="8" t="n"/>
      <c r="Q9208" s="8" t="n"/>
      <c r="R9208" s="8" t="n"/>
      <c r="S9208" s="8" t="n"/>
      <c r="T9208" s="8" t="n"/>
      <c r="U9208" s="8" t="n"/>
      <c r="V9208" s="8" t="n"/>
      <c r="W9208" s="8" t="n"/>
      <c r="X9208" s="8" t="n"/>
      <c r="Y9208" s="8" t="n"/>
    </row>
    <row r="9209">
      <c r="A9209" s="8" t="n"/>
      <c r="B9209" s="8" t="n"/>
      <c r="C9209" s="8" t="n"/>
      <c r="D9209" s="8" t="n"/>
      <c r="E9209" s="8" t="n"/>
      <c r="F9209" s="8" t="n"/>
      <c r="G9209" s="8" t="n"/>
      <c r="H9209" s="8" t="n"/>
      <c r="I9209" s="8" t="n"/>
      <c r="J9209" s="8" t="n"/>
      <c r="K9209" s="8" t="n"/>
      <c r="L9209" s="8" t="n"/>
      <c r="M9209" s="9">
        <f>B9209+30</f>
        <v/>
      </c>
      <c r="N9209">
        <f>IF(L9209="", "", L9209-B9209)</f>
        <v/>
      </c>
      <c r="O9209">
        <f>IF(L9209="", "Pending", IF(N9209&lt;=30, "Met", "Breached"))</f>
        <v/>
      </c>
      <c r="P9209" s="8" t="n"/>
      <c r="Q9209" s="8" t="n"/>
      <c r="R9209" s="8" t="n"/>
      <c r="S9209" s="8" t="n"/>
      <c r="T9209" s="8" t="n"/>
      <c r="U9209" s="8" t="n"/>
      <c r="V9209" s="8" t="n"/>
      <c r="W9209" s="8" t="n"/>
      <c r="X9209" s="8" t="n"/>
      <c r="Y9209" s="8" t="n"/>
    </row>
    <row r="9210">
      <c r="A9210" s="8" t="n"/>
      <c r="B9210" s="8" t="n"/>
      <c r="C9210" s="8" t="n"/>
      <c r="D9210" s="8" t="n"/>
      <c r="E9210" s="8" t="n"/>
      <c r="F9210" s="8" t="n"/>
      <c r="G9210" s="8" t="n"/>
      <c r="H9210" s="8" t="n"/>
      <c r="I9210" s="8" t="n"/>
      <c r="J9210" s="8" t="n"/>
      <c r="K9210" s="8" t="n"/>
      <c r="L9210" s="8" t="n"/>
      <c r="M9210" s="9">
        <f>B9210+30</f>
        <v/>
      </c>
      <c r="N9210">
        <f>IF(L9210="", "", L9210-B9210)</f>
        <v/>
      </c>
      <c r="O9210">
        <f>IF(L9210="", "Pending", IF(N9210&lt;=30, "Met", "Breached"))</f>
        <v/>
      </c>
      <c r="P9210" s="8" t="n"/>
      <c r="Q9210" s="8" t="n"/>
      <c r="R9210" s="8" t="n"/>
      <c r="S9210" s="8" t="n"/>
      <c r="T9210" s="8" t="n"/>
      <c r="U9210" s="8" t="n"/>
      <c r="V9210" s="8" t="n"/>
      <c r="W9210" s="8" t="n"/>
      <c r="X9210" s="8" t="n"/>
      <c r="Y9210" s="8" t="n"/>
    </row>
    <row r="9211">
      <c r="A9211" s="8" t="n"/>
      <c r="B9211" s="8" t="n"/>
      <c r="C9211" s="8" t="n"/>
      <c r="D9211" s="8" t="n"/>
      <c r="E9211" s="8" t="n"/>
      <c r="F9211" s="8" t="n"/>
      <c r="G9211" s="8" t="n"/>
      <c r="H9211" s="8" t="n"/>
      <c r="I9211" s="8" t="n"/>
      <c r="J9211" s="8" t="n"/>
      <c r="K9211" s="8" t="n"/>
      <c r="L9211" s="8" t="n"/>
      <c r="M9211" s="9">
        <f>B9211+30</f>
        <v/>
      </c>
      <c r="N9211">
        <f>IF(L9211="", "", L9211-B9211)</f>
        <v/>
      </c>
      <c r="O9211">
        <f>IF(L9211="", "Pending", IF(N9211&lt;=30, "Met", "Breached"))</f>
        <v/>
      </c>
      <c r="P9211" s="8" t="n"/>
      <c r="Q9211" s="8" t="n"/>
      <c r="R9211" s="8" t="n"/>
      <c r="S9211" s="8" t="n"/>
      <c r="T9211" s="8" t="n"/>
      <c r="U9211" s="8" t="n"/>
      <c r="V9211" s="8" t="n"/>
      <c r="W9211" s="8" t="n"/>
      <c r="X9211" s="8" t="n"/>
      <c r="Y9211" s="8" t="n"/>
    </row>
    <row r="9212">
      <c r="A9212" s="8" t="n"/>
      <c r="B9212" s="8" t="n"/>
      <c r="C9212" s="8" t="n"/>
      <c r="D9212" s="8" t="n"/>
      <c r="E9212" s="8" t="n"/>
      <c r="F9212" s="8" t="n"/>
      <c r="G9212" s="8" t="n"/>
      <c r="H9212" s="8" t="n"/>
      <c r="I9212" s="8" t="n"/>
      <c r="J9212" s="8" t="n"/>
      <c r="K9212" s="8" t="n"/>
      <c r="L9212" s="8" t="n"/>
      <c r="M9212" s="9">
        <f>B9212+30</f>
        <v/>
      </c>
      <c r="N9212">
        <f>IF(L9212="", "", L9212-B9212)</f>
        <v/>
      </c>
      <c r="O9212">
        <f>IF(L9212="", "Pending", IF(N9212&lt;=30, "Met", "Breached"))</f>
        <v/>
      </c>
      <c r="P9212" s="8" t="n"/>
      <c r="Q9212" s="8" t="n"/>
      <c r="R9212" s="8" t="n"/>
      <c r="S9212" s="8" t="n"/>
      <c r="T9212" s="8" t="n"/>
      <c r="U9212" s="8" t="n"/>
      <c r="V9212" s="8" t="n"/>
      <c r="W9212" s="8" t="n"/>
      <c r="X9212" s="8" t="n"/>
      <c r="Y9212" s="8" t="n"/>
    </row>
    <row r="9213">
      <c r="A9213" s="8" t="n"/>
      <c r="B9213" s="8" t="n"/>
      <c r="C9213" s="8" t="n"/>
      <c r="D9213" s="8" t="n"/>
      <c r="E9213" s="8" t="n"/>
      <c r="F9213" s="8" t="n"/>
      <c r="G9213" s="8" t="n"/>
      <c r="H9213" s="8" t="n"/>
      <c r="I9213" s="8" t="n"/>
      <c r="J9213" s="8" t="n"/>
      <c r="K9213" s="8" t="n"/>
      <c r="L9213" s="8" t="n"/>
      <c r="M9213" s="9">
        <f>B9213+30</f>
        <v/>
      </c>
      <c r="N9213">
        <f>IF(L9213="", "", L9213-B9213)</f>
        <v/>
      </c>
      <c r="O9213">
        <f>IF(L9213="", "Pending", IF(N9213&lt;=30, "Met", "Breached"))</f>
        <v/>
      </c>
      <c r="P9213" s="8" t="n"/>
      <c r="Q9213" s="8" t="n"/>
      <c r="R9213" s="8" t="n"/>
      <c r="S9213" s="8" t="n"/>
      <c r="T9213" s="8" t="n"/>
      <c r="U9213" s="8" t="n"/>
      <c r="V9213" s="8" t="n"/>
      <c r="W9213" s="8" t="n"/>
      <c r="X9213" s="8" t="n"/>
      <c r="Y9213" s="8" t="n"/>
    </row>
    <row r="9214">
      <c r="A9214" s="8" t="n"/>
      <c r="B9214" s="8" t="n"/>
      <c r="C9214" s="8" t="n"/>
      <c r="D9214" s="8" t="n"/>
      <c r="E9214" s="8" t="n"/>
      <c r="F9214" s="8" t="n"/>
      <c r="G9214" s="8" t="n"/>
      <c r="H9214" s="8" t="n"/>
      <c r="I9214" s="8" t="n"/>
      <c r="J9214" s="8" t="n"/>
      <c r="K9214" s="8" t="n"/>
      <c r="L9214" s="8" t="n"/>
      <c r="M9214" s="9">
        <f>B9214+30</f>
        <v/>
      </c>
      <c r="N9214">
        <f>IF(L9214="", "", L9214-B9214)</f>
        <v/>
      </c>
      <c r="O9214">
        <f>IF(L9214="", "Pending", IF(N9214&lt;=30, "Met", "Breached"))</f>
        <v/>
      </c>
      <c r="P9214" s="8" t="n"/>
      <c r="Q9214" s="8" t="n"/>
      <c r="R9214" s="8" t="n"/>
      <c r="S9214" s="8" t="n"/>
      <c r="T9214" s="8" t="n"/>
      <c r="U9214" s="8" t="n"/>
      <c r="V9214" s="8" t="n"/>
      <c r="W9214" s="8" t="n"/>
      <c r="X9214" s="8" t="n"/>
      <c r="Y9214" s="8" t="n"/>
    </row>
    <row r="9215">
      <c r="A9215" s="8" t="n"/>
      <c r="B9215" s="8" t="n"/>
      <c r="C9215" s="8" t="n"/>
      <c r="D9215" s="8" t="n"/>
      <c r="E9215" s="8" t="n"/>
      <c r="F9215" s="8" t="n"/>
      <c r="G9215" s="8" t="n"/>
      <c r="H9215" s="8" t="n"/>
      <c r="I9215" s="8" t="n"/>
      <c r="J9215" s="8" t="n"/>
      <c r="K9215" s="8" t="n"/>
      <c r="L9215" s="8" t="n"/>
      <c r="M9215" s="9">
        <f>B9215+30</f>
        <v/>
      </c>
      <c r="N9215">
        <f>IF(L9215="", "", L9215-B9215)</f>
        <v/>
      </c>
      <c r="O9215">
        <f>IF(L9215="", "Pending", IF(N9215&lt;=30, "Met", "Breached"))</f>
        <v/>
      </c>
      <c r="P9215" s="8" t="n"/>
      <c r="Q9215" s="8" t="n"/>
      <c r="R9215" s="8" t="n"/>
      <c r="S9215" s="8" t="n"/>
      <c r="T9215" s="8" t="n"/>
      <c r="U9215" s="8" t="n"/>
      <c r="V9215" s="8" t="n"/>
      <c r="W9215" s="8" t="n"/>
      <c r="X9215" s="8" t="n"/>
      <c r="Y9215" s="8" t="n"/>
    </row>
    <row r="9216">
      <c r="A9216" s="8" t="n"/>
      <c r="B9216" s="8" t="n"/>
      <c r="C9216" s="8" t="n"/>
      <c r="D9216" s="8" t="n"/>
      <c r="E9216" s="8" t="n"/>
      <c r="F9216" s="8" t="n"/>
      <c r="G9216" s="8" t="n"/>
      <c r="H9216" s="8" t="n"/>
      <c r="I9216" s="8" t="n"/>
      <c r="J9216" s="8" t="n"/>
      <c r="K9216" s="8" t="n"/>
      <c r="L9216" s="8" t="n"/>
      <c r="M9216" s="9">
        <f>B9216+30</f>
        <v/>
      </c>
      <c r="N9216">
        <f>IF(L9216="", "", L9216-B9216)</f>
        <v/>
      </c>
      <c r="O9216">
        <f>IF(L9216="", "Pending", IF(N9216&lt;=30, "Met", "Breached"))</f>
        <v/>
      </c>
      <c r="P9216" s="8" t="n"/>
      <c r="Q9216" s="8" t="n"/>
      <c r="R9216" s="8" t="n"/>
      <c r="S9216" s="8" t="n"/>
      <c r="T9216" s="8" t="n"/>
      <c r="U9216" s="8" t="n"/>
      <c r="V9216" s="8" t="n"/>
      <c r="W9216" s="8" t="n"/>
      <c r="X9216" s="8" t="n"/>
      <c r="Y9216" s="8" t="n"/>
    </row>
    <row r="9217">
      <c r="A9217" s="8" t="n"/>
      <c r="B9217" s="8" t="n"/>
      <c r="C9217" s="8" t="n"/>
      <c r="D9217" s="8" t="n"/>
      <c r="E9217" s="8" t="n"/>
      <c r="F9217" s="8" t="n"/>
      <c r="G9217" s="8" t="n"/>
      <c r="H9217" s="8" t="n"/>
      <c r="I9217" s="8" t="n"/>
      <c r="J9217" s="8" t="n"/>
      <c r="K9217" s="8" t="n"/>
      <c r="L9217" s="8" t="n"/>
      <c r="M9217" s="9">
        <f>B9217+30</f>
        <v/>
      </c>
      <c r="N9217">
        <f>IF(L9217="", "", L9217-B9217)</f>
        <v/>
      </c>
      <c r="O9217">
        <f>IF(L9217="", "Pending", IF(N9217&lt;=30, "Met", "Breached"))</f>
        <v/>
      </c>
      <c r="P9217" s="8" t="n"/>
      <c r="Q9217" s="8" t="n"/>
      <c r="R9217" s="8" t="n"/>
      <c r="S9217" s="8" t="n"/>
      <c r="T9217" s="8" t="n"/>
      <c r="U9217" s="8" t="n"/>
      <c r="V9217" s="8" t="n"/>
      <c r="W9217" s="8" t="n"/>
      <c r="X9217" s="8" t="n"/>
      <c r="Y9217" s="8" t="n"/>
    </row>
    <row r="9218">
      <c r="A9218" s="8" t="n"/>
      <c r="B9218" s="8" t="n"/>
      <c r="C9218" s="8" t="n"/>
      <c r="D9218" s="8" t="n"/>
      <c r="E9218" s="8" t="n"/>
      <c r="F9218" s="8" t="n"/>
      <c r="G9218" s="8" t="n"/>
      <c r="H9218" s="8" t="n"/>
      <c r="I9218" s="8" t="n"/>
      <c r="J9218" s="8" t="n"/>
      <c r="K9218" s="8" t="n"/>
      <c r="L9218" s="8" t="n"/>
      <c r="M9218" s="9">
        <f>B9218+30</f>
        <v/>
      </c>
      <c r="N9218">
        <f>IF(L9218="", "", L9218-B9218)</f>
        <v/>
      </c>
      <c r="O9218">
        <f>IF(L9218="", "Pending", IF(N9218&lt;=30, "Met", "Breached"))</f>
        <v/>
      </c>
      <c r="P9218" s="8" t="n"/>
      <c r="Q9218" s="8" t="n"/>
      <c r="R9218" s="8" t="n"/>
      <c r="S9218" s="8" t="n"/>
      <c r="T9218" s="8" t="n"/>
      <c r="U9218" s="8" t="n"/>
      <c r="V9218" s="8" t="n"/>
      <c r="W9218" s="8" t="n"/>
      <c r="X9218" s="8" t="n"/>
      <c r="Y9218" s="8" t="n"/>
    </row>
    <row r="9219">
      <c r="A9219" s="8" t="n"/>
      <c r="B9219" s="8" t="n"/>
      <c r="C9219" s="8" t="n"/>
      <c r="D9219" s="8" t="n"/>
      <c r="E9219" s="8" t="n"/>
      <c r="F9219" s="8" t="n"/>
      <c r="G9219" s="8" t="n"/>
      <c r="H9219" s="8" t="n"/>
      <c r="I9219" s="8" t="n"/>
      <c r="J9219" s="8" t="n"/>
      <c r="K9219" s="8" t="n"/>
      <c r="L9219" s="8" t="n"/>
      <c r="M9219" s="9">
        <f>B9219+30</f>
        <v/>
      </c>
      <c r="N9219">
        <f>IF(L9219="", "", L9219-B9219)</f>
        <v/>
      </c>
      <c r="O9219">
        <f>IF(L9219="", "Pending", IF(N9219&lt;=30, "Met", "Breached"))</f>
        <v/>
      </c>
      <c r="P9219" s="8" t="n"/>
      <c r="Q9219" s="8" t="n"/>
      <c r="R9219" s="8" t="n"/>
      <c r="S9219" s="8" t="n"/>
      <c r="T9219" s="8" t="n"/>
      <c r="U9219" s="8" t="n"/>
      <c r="V9219" s="8" t="n"/>
      <c r="W9219" s="8" t="n"/>
      <c r="X9219" s="8" t="n"/>
      <c r="Y9219" s="8" t="n"/>
    </row>
    <row r="9220">
      <c r="A9220" s="8" t="n"/>
      <c r="B9220" s="8" t="n"/>
      <c r="C9220" s="8" t="n"/>
      <c r="D9220" s="8" t="n"/>
      <c r="E9220" s="8" t="n"/>
      <c r="F9220" s="8" t="n"/>
      <c r="G9220" s="8" t="n"/>
      <c r="H9220" s="8" t="n"/>
      <c r="I9220" s="8" t="n"/>
      <c r="J9220" s="8" t="n"/>
      <c r="K9220" s="8" t="n"/>
      <c r="L9220" s="8" t="n"/>
      <c r="M9220" s="9">
        <f>B9220+30</f>
        <v/>
      </c>
      <c r="N9220">
        <f>IF(L9220="", "", L9220-B9220)</f>
        <v/>
      </c>
      <c r="O9220">
        <f>IF(L9220="", "Pending", IF(N9220&lt;=30, "Met", "Breached"))</f>
        <v/>
      </c>
      <c r="P9220" s="8" t="n"/>
      <c r="Q9220" s="8" t="n"/>
      <c r="R9220" s="8" t="n"/>
      <c r="S9220" s="8" t="n"/>
      <c r="T9220" s="8" t="n"/>
      <c r="U9220" s="8" t="n"/>
      <c r="V9220" s="8" t="n"/>
      <c r="W9220" s="8" t="n"/>
      <c r="X9220" s="8" t="n"/>
      <c r="Y9220" s="8" t="n"/>
    </row>
    <row r="9221">
      <c r="A9221" s="8" t="n"/>
      <c r="B9221" s="8" t="n"/>
      <c r="C9221" s="8" t="n"/>
      <c r="D9221" s="8" t="n"/>
      <c r="E9221" s="8" t="n"/>
      <c r="F9221" s="8" t="n"/>
      <c r="G9221" s="8" t="n"/>
      <c r="H9221" s="8" t="n"/>
      <c r="I9221" s="8" t="n"/>
      <c r="J9221" s="8" t="n"/>
      <c r="K9221" s="8" t="n"/>
      <c r="L9221" s="8" t="n"/>
      <c r="M9221" s="9">
        <f>B9221+30</f>
        <v/>
      </c>
      <c r="N9221">
        <f>IF(L9221="", "", L9221-B9221)</f>
        <v/>
      </c>
      <c r="O9221">
        <f>IF(L9221="", "Pending", IF(N9221&lt;=30, "Met", "Breached"))</f>
        <v/>
      </c>
      <c r="P9221" s="8" t="n"/>
      <c r="Q9221" s="8" t="n"/>
      <c r="R9221" s="8" t="n"/>
      <c r="S9221" s="8" t="n"/>
      <c r="T9221" s="8" t="n"/>
      <c r="U9221" s="8" t="n"/>
      <c r="V9221" s="8" t="n"/>
      <c r="W9221" s="8" t="n"/>
      <c r="X9221" s="8" t="n"/>
      <c r="Y9221" s="8" t="n"/>
    </row>
    <row r="9222">
      <c r="A9222" s="8" t="n"/>
      <c r="B9222" s="8" t="n"/>
      <c r="C9222" s="8" t="n"/>
      <c r="D9222" s="8" t="n"/>
      <c r="E9222" s="8" t="n"/>
      <c r="F9222" s="8" t="n"/>
      <c r="G9222" s="8" t="n"/>
      <c r="H9222" s="8" t="n"/>
      <c r="I9222" s="8" t="n"/>
      <c r="J9222" s="8" t="n"/>
      <c r="K9222" s="8" t="n"/>
      <c r="L9222" s="8" t="n"/>
      <c r="M9222" s="9">
        <f>B9222+30</f>
        <v/>
      </c>
      <c r="N9222">
        <f>IF(L9222="", "", L9222-B9222)</f>
        <v/>
      </c>
      <c r="O9222">
        <f>IF(L9222="", "Pending", IF(N9222&lt;=30, "Met", "Breached"))</f>
        <v/>
      </c>
      <c r="P9222" s="8" t="n"/>
      <c r="Q9222" s="8" t="n"/>
      <c r="R9222" s="8" t="n"/>
      <c r="S9222" s="8" t="n"/>
      <c r="T9222" s="8" t="n"/>
      <c r="U9222" s="8" t="n"/>
      <c r="V9222" s="8" t="n"/>
      <c r="W9222" s="8" t="n"/>
      <c r="X9222" s="8" t="n"/>
      <c r="Y9222" s="8" t="n"/>
    </row>
    <row r="9223">
      <c r="A9223" s="8" t="n"/>
      <c r="B9223" s="8" t="n"/>
      <c r="C9223" s="8" t="n"/>
      <c r="D9223" s="8" t="n"/>
      <c r="E9223" s="8" t="n"/>
      <c r="F9223" s="8" t="n"/>
      <c r="G9223" s="8" t="n"/>
      <c r="H9223" s="8" t="n"/>
      <c r="I9223" s="8" t="n"/>
      <c r="J9223" s="8" t="n"/>
      <c r="K9223" s="8" t="n"/>
      <c r="L9223" s="8" t="n"/>
      <c r="M9223" s="9">
        <f>B9223+30</f>
        <v/>
      </c>
      <c r="N9223">
        <f>IF(L9223="", "", L9223-B9223)</f>
        <v/>
      </c>
      <c r="O9223">
        <f>IF(L9223="", "Pending", IF(N9223&lt;=30, "Met", "Breached"))</f>
        <v/>
      </c>
      <c r="P9223" s="8" t="n"/>
      <c r="Q9223" s="8" t="n"/>
      <c r="R9223" s="8" t="n"/>
      <c r="S9223" s="8" t="n"/>
      <c r="T9223" s="8" t="n"/>
      <c r="U9223" s="8" t="n"/>
      <c r="V9223" s="8" t="n"/>
      <c r="W9223" s="8" t="n"/>
      <c r="X9223" s="8" t="n"/>
      <c r="Y9223" s="8" t="n"/>
    </row>
    <row r="9224">
      <c r="A9224" s="8" t="n"/>
      <c r="B9224" s="8" t="n"/>
      <c r="C9224" s="8" t="n"/>
      <c r="D9224" s="8" t="n"/>
      <c r="E9224" s="8" t="n"/>
      <c r="F9224" s="8" t="n"/>
      <c r="G9224" s="8" t="n"/>
      <c r="H9224" s="8" t="n"/>
      <c r="I9224" s="8" t="n"/>
      <c r="J9224" s="8" t="n"/>
      <c r="K9224" s="8" t="n"/>
      <c r="L9224" s="8" t="n"/>
      <c r="M9224" s="9">
        <f>B9224+30</f>
        <v/>
      </c>
      <c r="N9224">
        <f>IF(L9224="", "", L9224-B9224)</f>
        <v/>
      </c>
      <c r="O9224">
        <f>IF(L9224="", "Pending", IF(N9224&lt;=30, "Met", "Breached"))</f>
        <v/>
      </c>
      <c r="P9224" s="8" t="n"/>
      <c r="Q9224" s="8" t="n"/>
      <c r="R9224" s="8" t="n"/>
      <c r="S9224" s="8" t="n"/>
      <c r="T9224" s="8" t="n"/>
      <c r="U9224" s="8" t="n"/>
      <c r="V9224" s="8" t="n"/>
      <c r="W9224" s="8" t="n"/>
      <c r="X9224" s="8" t="n"/>
      <c r="Y9224" s="8" t="n"/>
    </row>
    <row r="9225">
      <c r="A9225" s="8" t="n"/>
      <c r="B9225" s="8" t="n"/>
      <c r="C9225" s="8" t="n"/>
      <c r="D9225" s="8" t="n"/>
      <c r="E9225" s="8" t="n"/>
      <c r="F9225" s="8" t="n"/>
      <c r="G9225" s="8" t="n"/>
      <c r="H9225" s="8" t="n"/>
      <c r="I9225" s="8" t="n"/>
      <c r="J9225" s="8" t="n"/>
      <c r="K9225" s="8" t="n"/>
      <c r="L9225" s="8" t="n"/>
      <c r="M9225" s="9">
        <f>B9225+30</f>
        <v/>
      </c>
      <c r="N9225">
        <f>IF(L9225="", "", L9225-B9225)</f>
        <v/>
      </c>
      <c r="O9225">
        <f>IF(L9225="", "Pending", IF(N9225&lt;=30, "Met", "Breached"))</f>
        <v/>
      </c>
      <c r="P9225" s="8" t="n"/>
      <c r="Q9225" s="8" t="n"/>
      <c r="R9225" s="8" t="n"/>
      <c r="S9225" s="8" t="n"/>
      <c r="T9225" s="8" t="n"/>
      <c r="U9225" s="8" t="n"/>
      <c r="V9225" s="8" t="n"/>
      <c r="W9225" s="8" t="n"/>
      <c r="X9225" s="8" t="n"/>
      <c r="Y9225" s="8" t="n"/>
    </row>
    <row r="9226">
      <c r="A9226" s="8" t="n"/>
      <c r="B9226" s="8" t="n"/>
      <c r="C9226" s="8" t="n"/>
      <c r="D9226" s="8" t="n"/>
      <c r="E9226" s="8" t="n"/>
      <c r="F9226" s="8" t="n"/>
      <c r="G9226" s="8" t="n"/>
      <c r="H9226" s="8" t="n"/>
      <c r="I9226" s="8" t="n"/>
      <c r="J9226" s="8" t="n"/>
      <c r="K9226" s="8" t="n"/>
      <c r="L9226" s="8" t="n"/>
      <c r="M9226" s="9">
        <f>B9226+30</f>
        <v/>
      </c>
      <c r="N9226">
        <f>IF(L9226="", "", L9226-B9226)</f>
        <v/>
      </c>
      <c r="O9226">
        <f>IF(L9226="", "Pending", IF(N9226&lt;=30, "Met", "Breached"))</f>
        <v/>
      </c>
      <c r="P9226" s="8" t="n"/>
      <c r="Q9226" s="8" t="n"/>
      <c r="R9226" s="8" t="n"/>
      <c r="S9226" s="8" t="n"/>
      <c r="T9226" s="8" t="n"/>
      <c r="U9226" s="8" t="n"/>
      <c r="V9226" s="8" t="n"/>
      <c r="W9226" s="8" t="n"/>
      <c r="X9226" s="8" t="n"/>
      <c r="Y9226" s="8" t="n"/>
    </row>
    <row r="9227">
      <c r="A9227" s="8" t="n"/>
      <c r="B9227" s="8" t="n"/>
      <c r="C9227" s="8" t="n"/>
      <c r="D9227" s="8" t="n"/>
      <c r="E9227" s="8" t="n"/>
      <c r="F9227" s="8" t="n"/>
      <c r="G9227" s="8" t="n"/>
      <c r="H9227" s="8" t="n"/>
      <c r="I9227" s="8" t="n"/>
      <c r="J9227" s="8" t="n"/>
      <c r="K9227" s="8" t="n"/>
      <c r="L9227" s="8" t="n"/>
      <c r="M9227" s="9">
        <f>B9227+30</f>
        <v/>
      </c>
      <c r="N9227">
        <f>IF(L9227="", "", L9227-B9227)</f>
        <v/>
      </c>
      <c r="O9227">
        <f>IF(L9227="", "Pending", IF(N9227&lt;=30, "Met", "Breached"))</f>
        <v/>
      </c>
      <c r="P9227" s="8" t="n"/>
      <c r="Q9227" s="8" t="n"/>
      <c r="R9227" s="8" t="n"/>
      <c r="S9227" s="8" t="n"/>
      <c r="T9227" s="8" t="n"/>
      <c r="U9227" s="8" t="n"/>
      <c r="V9227" s="8" t="n"/>
      <c r="W9227" s="8" t="n"/>
      <c r="X9227" s="8" t="n"/>
      <c r="Y9227" s="8" t="n"/>
    </row>
    <row r="9228">
      <c r="A9228" s="8" t="n"/>
      <c r="B9228" s="8" t="n"/>
      <c r="C9228" s="8" t="n"/>
      <c r="D9228" s="8" t="n"/>
      <c r="E9228" s="8" t="n"/>
      <c r="F9228" s="8" t="n"/>
      <c r="G9228" s="8" t="n"/>
      <c r="H9228" s="8" t="n"/>
      <c r="I9228" s="8" t="n"/>
      <c r="J9228" s="8" t="n"/>
      <c r="K9228" s="8" t="n"/>
      <c r="L9228" s="8" t="n"/>
      <c r="M9228" s="9">
        <f>B9228+30</f>
        <v/>
      </c>
      <c r="N9228">
        <f>IF(L9228="", "", L9228-B9228)</f>
        <v/>
      </c>
      <c r="O9228">
        <f>IF(L9228="", "Pending", IF(N9228&lt;=30, "Met", "Breached"))</f>
        <v/>
      </c>
      <c r="P9228" s="8" t="n"/>
      <c r="Q9228" s="8" t="n"/>
      <c r="R9228" s="8" t="n"/>
      <c r="S9228" s="8" t="n"/>
      <c r="T9228" s="8" t="n"/>
      <c r="U9228" s="8" t="n"/>
      <c r="V9228" s="8" t="n"/>
      <c r="W9228" s="8" t="n"/>
      <c r="X9228" s="8" t="n"/>
      <c r="Y9228" s="8" t="n"/>
    </row>
    <row r="9229">
      <c r="A9229" s="8" t="n"/>
      <c r="B9229" s="8" t="n"/>
      <c r="C9229" s="8" t="n"/>
      <c r="D9229" s="8" t="n"/>
      <c r="E9229" s="8" t="n"/>
      <c r="F9229" s="8" t="n"/>
      <c r="G9229" s="8" t="n"/>
      <c r="H9229" s="8" t="n"/>
      <c r="I9229" s="8" t="n"/>
      <c r="J9229" s="8" t="n"/>
      <c r="K9229" s="8" t="n"/>
      <c r="L9229" s="8" t="n"/>
      <c r="M9229" s="9">
        <f>B9229+30</f>
        <v/>
      </c>
      <c r="N9229">
        <f>IF(L9229="", "", L9229-B9229)</f>
        <v/>
      </c>
      <c r="O9229">
        <f>IF(L9229="", "Pending", IF(N9229&lt;=30, "Met", "Breached"))</f>
        <v/>
      </c>
      <c r="P9229" s="8" t="n"/>
      <c r="Q9229" s="8" t="n"/>
      <c r="R9229" s="8" t="n"/>
      <c r="S9229" s="8" t="n"/>
      <c r="T9229" s="8" t="n"/>
      <c r="U9229" s="8" t="n"/>
      <c r="V9229" s="8" t="n"/>
      <c r="W9229" s="8" t="n"/>
      <c r="X9229" s="8" t="n"/>
      <c r="Y9229" s="8" t="n"/>
    </row>
    <row r="9230">
      <c r="A9230" s="8" t="n"/>
      <c r="B9230" s="8" t="n"/>
      <c r="C9230" s="8" t="n"/>
      <c r="D9230" s="8" t="n"/>
      <c r="E9230" s="8" t="n"/>
      <c r="F9230" s="8" t="n"/>
      <c r="G9230" s="8" t="n"/>
      <c r="H9230" s="8" t="n"/>
      <c r="I9230" s="8" t="n"/>
      <c r="J9230" s="8" t="n"/>
      <c r="K9230" s="8" t="n"/>
      <c r="L9230" s="8" t="n"/>
      <c r="M9230" s="9">
        <f>B9230+30</f>
        <v/>
      </c>
      <c r="N9230">
        <f>IF(L9230="", "", L9230-B9230)</f>
        <v/>
      </c>
      <c r="O9230">
        <f>IF(L9230="", "Pending", IF(N9230&lt;=30, "Met", "Breached"))</f>
        <v/>
      </c>
      <c r="P9230" s="8" t="n"/>
      <c r="Q9230" s="8" t="n"/>
      <c r="R9230" s="8" t="n"/>
      <c r="S9230" s="8" t="n"/>
      <c r="T9230" s="8" t="n"/>
      <c r="U9230" s="8" t="n"/>
      <c r="V9230" s="8" t="n"/>
      <c r="W9230" s="8" t="n"/>
      <c r="X9230" s="8" t="n"/>
      <c r="Y9230" s="8" t="n"/>
    </row>
    <row r="9231">
      <c r="A9231" s="8" t="n"/>
      <c r="B9231" s="8" t="n"/>
      <c r="C9231" s="8" t="n"/>
      <c r="D9231" s="8" t="n"/>
      <c r="E9231" s="8" t="n"/>
      <c r="F9231" s="8" t="n"/>
      <c r="G9231" s="8" t="n"/>
      <c r="H9231" s="8" t="n"/>
      <c r="I9231" s="8" t="n"/>
      <c r="J9231" s="8" t="n"/>
      <c r="K9231" s="8" t="n"/>
      <c r="L9231" s="8" t="n"/>
      <c r="M9231" s="9">
        <f>B9231+30</f>
        <v/>
      </c>
      <c r="N9231">
        <f>IF(L9231="", "", L9231-B9231)</f>
        <v/>
      </c>
      <c r="O9231">
        <f>IF(L9231="", "Pending", IF(N9231&lt;=30, "Met", "Breached"))</f>
        <v/>
      </c>
      <c r="P9231" s="8" t="n"/>
      <c r="Q9231" s="8" t="n"/>
      <c r="R9231" s="8" t="n"/>
      <c r="S9231" s="8" t="n"/>
      <c r="T9231" s="8" t="n"/>
      <c r="U9231" s="8" t="n"/>
      <c r="V9231" s="8" t="n"/>
      <c r="W9231" s="8" t="n"/>
      <c r="X9231" s="8" t="n"/>
      <c r="Y9231" s="8" t="n"/>
    </row>
    <row r="9232">
      <c r="A9232" s="8" t="n"/>
      <c r="B9232" s="8" t="n"/>
      <c r="C9232" s="8" t="n"/>
      <c r="D9232" s="8" t="n"/>
      <c r="E9232" s="8" t="n"/>
      <c r="F9232" s="8" t="n"/>
      <c r="G9232" s="8" t="n"/>
      <c r="H9232" s="8" t="n"/>
      <c r="I9232" s="8" t="n"/>
      <c r="J9232" s="8" t="n"/>
      <c r="K9232" s="8" t="n"/>
      <c r="L9232" s="8" t="n"/>
      <c r="M9232" s="9">
        <f>B9232+30</f>
        <v/>
      </c>
      <c r="N9232">
        <f>IF(L9232="", "", L9232-B9232)</f>
        <v/>
      </c>
      <c r="O9232">
        <f>IF(L9232="", "Pending", IF(N9232&lt;=30, "Met", "Breached"))</f>
        <v/>
      </c>
      <c r="P9232" s="8" t="n"/>
      <c r="Q9232" s="8" t="n"/>
      <c r="R9232" s="8" t="n"/>
      <c r="S9232" s="8" t="n"/>
      <c r="T9232" s="8" t="n"/>
      <c r="U9232" s="8" t="n"/>
      <c r="V9232" s="8" t="n"/>
      <c r="W9232" s="8" t="n"/>
      <c r="X9232" s="8" t="n"/>
      <c r="Y9232" s="8" t="n"/>
    </row>
    <row r="9233">
      <c r="A9233" s="8" t="n"/>
      <c r="B9233" s="8" t="n"/>
      <c r="C9233" s="8" t="n"/>
      <c r="D9233" s="8" t="n"/>
      <c r="E9233" s="8" t="n"/>
      <c r="F9233" s="8" t="n"/>
      <c r="G9233" s="8" t="n"/>
      <c r="H9233" s="8" t="n"/>
      <c r="I9233" s="8" t="n"/>
      <c r="J9233" s="8" t="n"/>
      <c r="K9233" s="8" t="n"/>
      <c r="L9233" s="8" t="n"/>
      <c r="M9233" s="9">
        <f>B9233+30</f>
        <v/>
      </c>
      <c r="N9233">
        <f>IF(L9233="", "", L9233-B9233)</f>
        <v/>
      </c>
      <c r="O9233">
        <f>IF(L9233="", "Pending", IF(N9233&lt;=30, "Met", "Breached"))</f>
        <v/>
      </c>
      <c r="P9233" s="8" t="n"/>
      <c r="Q9233" s="8" t="n"/>
      <c r="R9233" s="8" t="n"/>
      <c r="S9233" s="8" t="n"/>
      <c r="T9233" s="8" t="n"/>
      <c r="U9233" s="8" t="n"/>
      <c r="V9233" s="8" t="n"/>
      <c r="W9233" s="8" t="n"/>
      <c r="X9233" s="8" t="n"/>
      <c r="Y9233" s="8" t="n"/>
    </row>
    <row r="9234">
      <c r="A9234" s="8" t="n"/>
      <c r="B9234" s="8" t="n"/>
      <c r="C9234" s="8" t="n"/>
      <c r="D9234" s="8" t="n"/>
      <c r="E9234" s="8" t="n"/>
      <c r="F9234" s="8" t="n"/>
      <c r="G9234" s="8" t="n"/>
      <c r="H9234" s="8" t="n"/>
      <c r="I9234" s="8" t="n"/>
      <c r="J9234" s="8" t="n"/>
      <c r="K9234" s="8" t="n"/>
      <c r="L9234" s="8" t="n"/>
      <c r="M9234" s="9">
        <f>B9234+30</f>
        <v/>
      </c>
      <c r="N9234">
        <f>IF(L9234="", "", L9234-B9234)</f>
        <v/>
      </c>
      <c r="O9234">
        <f>IF(L9234="", "Pending", IF(N9234&lt;=30, "Met", "Breached"))</f>
        <v/>
      </c>
      <c r="P9234" s="8" t="n"/>
      <c r="Q9234" s="8" t="n"/>
      <c r="R9234" s="8" t="n"/>
      <c r="S9234" s="8" t="n"/>
      <c r="T9234" s="8" t="n"/>
      <c r="U9234" s="8" t="n"/>
      <c r="V9234" s="8" t="n"/>
      <c r="W9234" s="8" t="n"/>
      <c r="X9234" s="8" t="n"/>
      <c r="Y9234" s="8" t="n"/>
    </row>
    <row r="9235">
      <c r="A9235" s="8" t="n"/>
      <c r="B9235" s="8" t="n"/>
      <c r="C9235" s="8" t="n"/>
      <c r="D9235" s="8" t="n"/>
      <c r="E9235" s="8" t="n"/>
      <c r="F9235" s="8" t="n"/>
      <c r="G9235" s="8" t="n"/>
      <c r="H9235" s="8" t="n"/>
      <c r="I9235" s="8" t="n"/>
      <c r="J9235" s="8" t="n"/>
      <c r="K9235" s="8" t="n"/>
      <c r="L9235" s="8" t="n"/>
      <c r="M9235" s="9">
        <f>B9235+30</f>
        <v/>
      </c>
      <c r="N9235">
        <f>IF(L9235="", "", L9235-B9235)</f>
        <v/>
      </c>
      <c r="O9235">
        <f>IF(L9235="", "Pending", IF(N9235&lt;=30, "Met", "Breached"))</f>
        <v/>
      </c>
      <c r="P9235" s="8" t="n"/>
      <c r="Q9235" s="8" t="n"/>
      <c r="R9235" s="8" t="n"/>
      <c r="S9235" s="8" t="n"/>
      <c r="T9235" s="8" t="n"/>
      <c r="U9235" s="8" t="n"/>
      <c r="V9235" s="8" t="n"/>
      <c r="W9235" s="8" t="n"/>
      <c r="X9235" s="8" t="n"/>
      <c r="Y9235" s="8" t="n"/>
    </row>
    <row r="9236">
      <c r="A9236" s="8" t="n"/>
      <c r="B9236" s="8" t="n"/>
      <c r="C9236" s="8" t="n"/>
      <c r="D9236" s="8" t="n"/>
      <c r="E9236" s="8" t="n"/>
      <c r="F9236" s="8" t="n"/>
      <c r="G9236" s="8" t="n"/>
      <c r="H9236" s="8" t="n"/>
      <c r="I9236" s="8" t="n"/>
      <c r="J9236" s="8" t="n"/>
      <c r="K9236" s="8" t="n"/>
      <c r="L9236" s="8" t="n"/>
      <c r="M9236" s="9">
        <f>B9236+30</f>
        <v/>
      </c>
      <c r="N9236">
        <f>IF(L9236="", "", L9236-B9236)</f>
        <v/>
      </c>
      <c r="O9236">
        <f>IF(L9236="", "Pending", IF(N9236&lt;=30, "Met", "Breached"))</f>
        <v/>
      </c>
      <c r="P9236" s="8" t="n"/>
      <c r="Q9236" s="8" t="n"/>
      <c r="R9236" s="8" t="n"/>
      <c r="S9236" s="8" t="n"/>
      <c r="T9236" s="8" t="n"/>
      <c r="U9236" s="8" t="n"/>
      <c r="V9236" s="8" t="n"/>
      <c r="W9236" s="8" t="n"/>
      <c r="X9236" s="8" t="n"/>
      <c r="Y9236" s="8" t="n"/>
    </row>
    <row r="9237">
      <c r="A9237" s="8" t="n"/>
      <c r="B9237" s="8" t="n"/>
      <c r="C9237" s="8" t="n"/>
      <c r="D9237" s="8" t="n"/>
      <c r="E9237" s="8" t="n"/>
      <c r="F9237" s="8" t="n"/>
      <c r="G9237" s="8" t="n"/>
      <c r="H9237" s="8" t="n"/>
      <c r="I9237" s="8" t="n"/>
      <c r="J9237" s="8" t="n"/>
      <c r="K9237" s="8" t="n"/>
      <c r="L9237" s="8" t="n"/>
      <c r="M9237" s="9">
        <f>B9237+30</f>
        <v/>
      </c>
      <c r="N9237">
        <f>IF(L9237="", "", L9237-B9237)</f>
        <v/>
      </c>
      <c r="O9237">
        <f>IF(L9237="", "Pending", IF(N9237&lt;=30, "Met", "Breached"))</f>
        <v/>
      </c>
      <c r="P9237" s="8" t="n"/>
      <c r="Q9237" s="8" t="n"/>
      <c r="R9237" s="8" t="n"/>
      <c r="S9237" s="8" t="n"/>
      <c r="T9237" s="8" t="n"/>
      <c r="U9237" s="8" t="n"/>
      <c r="V9237" s="8" t="n"/>
      <c r="W9237" s="8" t="n"/>
      <c r="X9237" s="8" t="n"/>
      <c r="Y9237" s="8" t="n"/>
    </row>
    <row r="9238">
      <c r="A9238" s="8" t="n"/>
      <c r="B9238" s="8" t="n"/>
      <c r="C9238" s="8" t="n"/>
      <c r="D9238" s="8" t="n"/>
      <c r="E9238" s="8" t="n"/>
      <c r="F9238" s="8" t="n"/>
      <c r="G9238" s="8" t="n"/>
      <c r="H9238" s="8" t="n"/>
      <c r="I9238" s="8" t="n"/>
      <c r="J9238" s="8" t="n"/>
      <c r="K9238" s="8" t="n"/>
      <c r="L9238" s="8" t="n"/>
      <c r="M9238" s="9">
        <f>B9238+30</f>
        <v/>
      </c>
      <c r="N9238">
        <f>IF(L9238="", "", L9238-B9238)</f>
        <v/>
      </c>
      <c r="O9238">
        <f>IF(L9238="", "Pending", IF(N9238&lt;=30, "Met", "Breached"))</f>
        <v/>
      </c>
      <c r="P9238" s="8" t="n"/>
      <c r="Q9238" s="8" t="n"/>
      <c r="R9238" s="8" t="n"/>
      <c r="S9238" s="8" t="n"/>
      <c r="T9238" s="8" t="n"/>
      <c r="U9238" s="8" t="n"/>
      <c r="V9238" s="8" t="n"/>
      <c r="W9238" s="8" t="n"/>
      <c r="X9238" s="8" t="n"/>
      <c r="Y9238" s="8" t="n"/>
    </row>
    <row r="9239">
      <c r="A9239" s="8" t="n"/>
      <c r="B9239" s="8" t="n"/>
      <c r="C9239" s="8" t="n"/>
      <c r="D9239" s="8" t="n"/>
      <c r="E9239" s="8" t="n"/>
      <c r="F9239" s="8" t="n"/>
      <c r="G9239" s="8" t="n"/>
      <c r="H9239" s="8" t="n"/>
      <c r="I9239" s="8" t="n"/>
      <c r="J9239" s="8" t="n"/>
      <c r="K9239" s="8" t="n"/>
      <c r="L9239" s="8" t="n"/>
      <c r="M9239" s="9">
        <f>B9239+30</f>
        <v/>
      </c>
      <c r="N9239">
        <f>IF(L9239="", "", L9239-B9239)</f>
        <v/>
      </c>
      <c r="O9239">
        <f>IF(L9239="", "Pending", IF(N9239&lt;=30, "Met", "Breached"))</f>
        <v/>
      </c>
      <c r="P9239" s="8" t="n"/>
      <c r="Q9239" s="8" t="n"/>
      <c r="R9239" s="8" t="n"/>
      <c r="S9239" s="8" t="n"/>
      <c r="T9239" s="8" t="n"/>
      <c r="U9239" s="8" t="n"/>
      <c r="V9239" s="8" t="n"/>
      <c r="W9239" s="8" t="n"/>
      <c r="X9239" s="8" t="n"/>
      <c r="Y9239" s="8" t="n"/>
    </row>
    <row r="9240">
      <c r="A9240" s="8" t="n"/>
      <c r="B9240" s="8" t="n"/>
      <c r="C9240" s="8" t="n"/>
      <c r="D9240" s="8" t="n"/>
      <c r="E9240" s="8" t="n"/>
      <c r="F9240" s="8" t="n"/>
      <c r="G9240" s="8" t="n"/>
      <c r="H9240" s="8" t="n"/>
      <c r="I9240" s="8" t="n"/>
      <c r="J9240" s="8" t="n"/>
      <c r="K9240" s="8" t="n"/>
      <c r="L9240" s="8" t="n"/>
      <c r="M9240" s="9">
        <f>B9240+30</f>
        <v/>
      </c>
      <c r="N9240">
        <f>IF(L9240="", "", L9240-B9240)</f>
        <v/>
      </c>
      <c r="O9240">
        <f>IF(L9240="", "Pending", IF(N9240&lt;=30, "Met", "Breached"))</f>
        <v/>
      </c>
      <c r="P9240" s="8" t="n"/>
      <c r="Q9240" s="8" t="n"/>
      <c r="R9240" s="8" t="n"/>
      <c r="S9240" s="8" t="n"/>
      <c r="T9240" s="8" t="n"/>
      <c r="U9240" s="8" t="n"/>
      <c r="V9240" s="8" t="n"/>
      <c r="W9240" s="8" t="n"/>
      <c r="X9240" s="8" t="n"/>
      <c r="Y9240" s="8" t="n"/>
    </row>
    <row r="9241">
      <c r="A9241" s="8" t="n"/>
      <c r="B9241" s="8" t="n"/>
      <c r="C9241" s="8" t="n"/>
      <c r="D9241" s="8" t="n"/>
      <c r="E9241" s="8" t="n"/>
      <c r="F9241" s="8" t="n"/>
      <c r="G9241" s="8" t="n"/>
      <c r="H9241" s="8" t="n"/>
      <c r="I9241" s="8" t="n"/>
      <c r="J9241" s="8" t="n"/>
      <c r="K9241" s="8" t="n"/>
      <c r="L9241" s="8" t="n"/>
      <c r="M9241" s="9">
        <f>B9241+30</f>
        <v/>
      </c>
      <c r="N9241">
        <f>IF(L9241="", "", L9241-B9241)</f>
        <v/>
      </c>
      <c r="O9241">
        <f>IF(L9241="", "Pending", IF(N9241&lt;=30, "Met", "Breached"))</f>
        <v/>
      </c>
      <c r="P9241" s="8" t="n"/>
      <c r="Q9241" s="8" t="n"/>
      <c r="R9241" s="8" t="n"/>
      <c r="S9241" s="8" t="n"/>
      <c r="T9241" s="8" t="n"/>
      <c r="U9241" s="8" t="n"/>
      <c r="V9241" s="8" t="n"/>
      <c r="W9241" s="8" t="n"/>
      <c r="X9241" s="8" t="n"/>
      <c r="Y9241" s="8" t="n"/>
    </row>
    <row r="9242">
      <c r="A9242" s="8" t="n"/>
      <c r="B9242" s="8" t="n"/>
      <c r="C9242" s="8" t="n"/>
      <c r="D9242" s="8" t="n"/>
      <c r="E9242" s="8" t="n"/>
      <c r="F9242" s="8" t="n"/>
      <c r="G9242" s="8" t="n"/>
      <c r="H9242" s="8" t="n"/>
      <c r="I9242" s="8" t="n"/>
      <c r="J9242" s="8" t="n"/>
      <c r="K9242" s="8" t="n"/>
      <c r="L9242" s="8" t="n"/>
      <c r="M9242" s="9">
        <f>B9242+30</f>
        <v/>
      </c>
      <c r="N9242">
        <f>IF(L9242="", "", L9242-B9242)</f>
        <v/>
      </c>
      <c r="O9242">
        <f>IF(L9242="", "Pending", IF(N9242&lt;=30, "Met", "Breached"))</f>
        <v/>
      </c>
      <c r="P9242" s="8" t="n"/>
      <c r="Q9242" s="8" t="n"/>
      <c r="R9242" s="8" t="n"/>
      <c r="S9242" s="8" t="n"/>
      <c r="T9242" s="8" t="n"/>
      <c r="U9242" s="8" t="n"/>
      <c r="V9242" s="8" t="n"/>
      <c r="W9242" s="8" t="n"/>
      <c r="X9242" s="8" t="n"/>
      <c r="Y9242" s="8" t="n"/>
    </row>
    <row r="9243">
      <c r="A9243" s="8" t="n"/>
      <c r="B9243" s="8" t="n"/>
      <c r="C9243" s="8" t="n"/>
      <c r="D9243" s="8" t="n"/>
      <c r="E9243" s="8" t="n"/>
      <c r="F9243" s="8" t="n"/>
      <c r="G9243" s="8" t="n"/>
      <c r="H9243" s="8" t="n"/>
      <c r="I9243" s="8" t="n"/>
      <c r="J9243" s="8" t="n"/>
      <c r="K9243" s="8" t="n"/>
      <c r="L9243" s="8" t="n"/>
      <c r="M9243" s="9">
        <f>B9243+30</f>
        <v/>
      </c>
      <c r="N9243">
        <f>IF(L9243="", "", L9243-B9243)</f>
        <v/>
      </c>
      <c r="O9243">
        <f>IF(L9243="", "Pending", IF(N9243&lt;=30, "Met", "Breached"))</f>
        <v/>
      </c>
      <c r="P9243" s="8" t="n"/>
      <c r="Q9243" s="8" t="n"/>
      <c r="R9243" s="8" t="n"/>
      <c r="S9243" s="8" t="n"/>
      <c r="T9243" s="8" t="n"/>
      <c r="U9243" s="8" t="n"/>
      <c r="V9243" s="8" t="n"/>
      <c r="W9243" s="8" t="n"/>
      <c r="X9243" s="8" t="n"/>
      <c r="Y9243" s="8" t="n"/>
    </row>
    <row r="9244">
      <c r="A9244" s="8" t="n"/>
      <c r="B9244" s="8" t="n"/>
      <c r="C9244" s="8" t="n"/>
      <c r="D9244" s="8" t="n"/>
      <c r="E9244" s="8" t="n"/>
      <c r="F9244" s="8" t="n"/>
      <c r="G9244" s="8" t="n"/>
      <c r="H9244" s="8" t="n"/>
      <c r="I9244" s="8" t="n"/>
      <c r="J9244" s="8" t="n"/>
      <c r="K9244" s="8" t="n"/>
      <c r="L9244" s="8" t="n"/>
      <c r="M9244" s="9">
        <f>B9244+30</f>
        <v/>
      </c>
      <c r="N9244">
        <f>IF(L9244="", "", L9244-B9244)</f>
        <v/>
      </c>
      <c r="O9244">
        <f>IF(L9244="", "Pending", IF(N9244&lt;=30, "Met", "Breached"))</f>
        <v/>
      </c>
      <c r="P9244" s="8" t="n"/>
      <c r="Q9244" s="8" t="n"/>
      <c r="R9244" s="8" t="n"/>
      <c r="S9244" s="8" t="n"/>
      <c r="T9244" s="8" t="n"/>
      <c r="U9244" s="8" t="n"/>
      <c r="V9244" s="8" t="n"/>
      <c r="W9244" s="8" t="n"/>
      <c r="X9244" s="8" t="n"/>
      <c r="Y9244" s="8" t="n"/>
    </row>
    <row r="9245">
      <c r="A9245" s="8" t="n"/>
      <c r="B9245" s="8" t="n"/>
      <c r="C9245" s="8" t="n"/>
      <c r="D9245" s="8" t="n"/>
      <c r="E9245" s="8" t="n"/>
      <c r="F9245" s="8" t="n"/>
      <c r="G9245" s="8" t="n"/>
      <c r="H9245" s="8" t="n"/>
      <c r="I9245" s="8" t="n"/>
      <c r="J9245" s="8" t="n"/>
      <c r="K9245" s="8" t="n"/>
      <c r="L9245" s="8" t="n"/>
      <c r="M9245" s="9">
        <f>B9245+30</f>
        <v/>
      </c>
      <c r="N9245">
        <f>IF(L9245="", "", L9245-B9245)</f>
        <v/>
      </c>
      <c r="O9245">
        <f>IF(L9245="", "Pending", IF(N9245&lt;=30, "Met", "Breached"))</f>
        <v/>
      </c>
      <c r="P9245" s="8" t="n"/>
      <c r="Q9245" s="8" t="n"/>
      <c r="R9245" s="8" t="n"/>
      <c r="S9245" s="8" t="n"/>
      <c r="T9245" s="8" t="n"/>
      <c r="U9245" s="8" t="n"/>
      <c r="V9245" s="8" t="n"/>
      <c r="W9245" s="8" t="n"/>
      <c r="X9245" s="8" t="n"/>
      <c r="Y9245" s="8" t="n"/>
    </row>
    <row r="9246">
      <c r="A9246" s="8" t="n"/>
      <c r="B9246" s="8" t="n"/>
      <c r="C9246" s="8" t="n"/>
      <c r="D9246" s="8" t="n"/>
      <c r="E9246" s="8" t="n"/>
      <c r="F9246" s="8" t="n"/>
      <c r="G9246" s="8" t="n"/>
      <c r="H9246" s="8" t="n"/>
      <c r="I9246" s="8" t="n"/>
      <c r="J9246" s="8" t="n"/>
      <c r="K9246" s="8" t="n"/>
      <c r="L9246" s="8" t="n"/>
      <c r="M9246" s="9">
        <f>B9246+30</f>
        <v/>
      </c>
      <c r="N9246">
        <f>IF(L9246="", "", L9246-B9246)</f>
        <v/>
      </c>
      <c r="O9246">
        <f>IF(L9246="", "Pending", IF(N9246&lt;=30, "Met", "Breached"))</f>
        <v/>
      </c>
      <c r="P9246" s="8" t="n"/>
      <c r="Q9246" s="8" t="n"/>
      <c r="R9246" s="8" t="n"/>
      <c r="S9246" s="8" t="n"/>
      <c r="T9246" s="8" t="n"/>
      <c r="U9246" s="8" t="n"/>
      <c r="V9246" s="8" t="n"/>
      <c r="W9246" s="8" t="n"/>
      <c r="X9246" s="8" t="n"/>
      <c r="Y9246" s="8" t="n"/>
    </row>
    <row r="9247">
      <c r="A9247" s="8" t="n"/>
      <c r="B9247" s="8" t="n"/>
      <c r="C9247" s="8" t="n"/>
      <c r="D9247" s="8" t="n"/>
      <c r="E9247" s="8" t="n"/>
      <c r="F9247" s="8" t="n"/>
      <c r="G9247" s="8" t="n"/>
      <c r="H9247" s="8" t="n"/>
      <c r="I9247" s="8" t="n"/>
      <c r="J9247" s="8" t="n"/>
      <c r="K9247" s="8" t="n"/>
      <c r="L9247" s="8" t="n"/>
      <c r="M9247" s="9">
        <f>B9247+30</f>
        <v/>
      </c>
      <c r="N9247">
        <f>IF(L9247="", "", L9247-B9247)</f>
        <v/>
      </c>
      <c r="O9247">
        <f>IF(L9247="", "Pending", IF(N9247&lt;=30, "Met", "Breached"))</f>
        <v/>
      </c>
      <c r="P9247" s="8" t="n"/>
      <c r="Q9247" s="8" t="n"/>
      <c r="R9247" s="8" t="n"/>
      <c r="S9247" s="8" t="n"/>
      <c r="T9247" s="8" t="n"/>
      <c r="U9247" s="8" t="n"/>
      <c r="V9247" s="8" t="n"/>
      <c r="W9247" s="8" t="n"/>
      <c r="X9247" s="8" t="n"/>
      <c r="Y9247" s="8" t="n"/>
    </row>
    <row r="9248">
      <c r="A9248" s="8" t="n"/>
      <c r="B9248" s="8" t="n"/>
      <c r="C9248" s="8" t="n"/>
      <c r="D9248" s="8" t="n"/>
      <c r="E9248" s="8" t="n"/>
      <c r="F9248" s="8" t="n"/>
      <c r="G9248" s="8" t="n"/>
      <c r="H9248" s="8" t="n"/>
      <c r="I9248" s="8" t="n"/>
      <c r="J9248" s="8" t="n"/>
      <c r="K9248" s="8" t="n"/>
      <c r="L9248" s="8" t="n"/>
      <c r="M9248" s="9">
        <f>B9248+30</f>
        <v/>
      </c>
      <c r="N9248">
        <f>IF(L9248="", "", L9248-B9248)</f>
        <v/>
      </c>
      <c r="O9248">
        <f>IF(L9248="", "Pending", IF(N9248&lt;=30, "Met", "Breached"))</f>
        <v/>
      </c>
      <c r="P9248" s="8" t="n"/>
      <c r="Q9248" s="8" t="n"/>
      <c r="R9248" s="8" t="n"/>
      <c r="S9248" s="8" t="n"/>
      <c r="T9248" s="8" t="n"/>
      <c r="U9248" s="8" t="n"/>
      <c r="V9248" s="8" t="n"/>
      <c r="W9248" s="8" t="n"/>
      <c r="X9248" s="8" t="n"/>
      <c r="Y9248" s="8" t="n"/>
    </row>
    <row r="9249">
      <c r="A9249" s="8" t="n"/>
      <c r="B9249" s="8" t="n"/>
      <c r="C9249" s="8" t="n"/>
      <c r="D9249" s="8" t="n"/>
      <c r="E9249" s="8" t="n"/>
      <c r="F9249" s="8" t="n"/>
      <c r="G9249" s="8" t="n"/>
      <c r="H9249" s="8" t="n"/>
      <c r="I9249" s="8" t="n"/>
      <c r="J9249" s="8" t="n"/>
      <c r="K9249" s="8" t="n"/>
      <c r="L9249" s="8" t="n"/>
      <c r="M9249" s="9">
        <f>B9249+30</f>
        <v/>
      </c>
      <c r="N9249">
        <f>IF(L9249="", "", L9249-B9249)</f>
        <v/>
      </c>
      <c r="O9249">
        <f>IF(L9249="", "Pending", IF(N9249&lt;=30, "Met", "Breached"))</f>
        <v/>
      </c>
      <c r="P9249" s="8" t="n"/>
      <c r="Q9249" s="8" t="n"/>
      <c r="R9249" s="8" t="n"/>
      <c r="S9249" s="8" t="n"/>
      <c r="T9249" s="8" t="n"/>
      <c r="U9249" s="8" t="n"/>
      <c r="V9249" s="8" t="n"/>
      <c r="W9249" s="8" t="n"/>
      <c r="X9249" s="8" t="n"/>
      <c r="Y9249" s="8" t="n"/>
    </row>
    <row r="9250">
      <c r="A9250" s="8" t="n"/>
      <c r="B9250" s="8" t="n"/>
      <c r="C9250" s="8" t="n"/>
      <c r="D9250" s="8" t="n"/>
      <c r="E9250" s="8" t="n"/>
      <c r="F9250" s="8" t="n"/>
      <c r="G9250" s="8" t="n"/>
      <c r="H9250" s="8" t="n"/>
      <c r="I9250" s="8" t="n"/>
      <c r="J9250" s="8" t="n"/>
      <c r="K9250" s="8" t="n"/>
      <c r="L9250" s="8" t="n"/>
      <c r="M9250" s="9">
        <f>B9250+30</f>
        <v/>
      </c>
      <c r="N9250">
        <f>IF(L9250="", "", L9250-B9250)</f>
        <v/>
      </c>
      <c r="O9250">
        <f>IF(L9250="", "Pending", IF(N9250&lt;=30, "Met", "Breached"))</f>
        <v/>
      </c>
      <c r="P9250" s="8" t="n"/>
      <c r="Q9250" s="8" t="n"/>
      <c r="R9250" s="8" t="n"/>
      <c r="S9250" s="8" t="n"/>
      <c r="T9250" s="8" t="n"/>
      <c r="U9250" s="8" t="n"/>
      <c r="V9250" s="8" t="n"/>
      <c r="W9250" s="8" t="n"/>
      <c r="X9250" s="8" t="n"/>
      <c r="Y9250" s="8" t="n"/>
    </row>
    <row r="9251">
      <c r="A9251" s="8" t="n"/>
      <c r="B9251" s="8" t="n"/>
      <c r="C9251" s="8" t="n"/>
      <c r="D9251" s="8" t="n"/>
      <c r="E9251" s="8" t="n"/>
      <c r="F9251" s="8" t="n"/>
      <c r="G9251" s="8" t="n"/>
      <c r="H9251" s="8" t="n"/>
      <c r="I9251" s="8" t="n"/>
      <c r="J9251" s="8" t="n"/>
      <c r="K9251" s="8" t="n"/>
      <c r="L9251" s="8" t="n"/>
      <c r="M9251" s="9">
        <f>B9251+30</f>
        <v/>
      </c>
      <c r="N9251">
        <f>IF(L9251="", "", L9251-B9251)</f>
        <v/>
      </c>
      <c r="O9251">
        <f>IF(L9251="", "Pending", IF(N9251&lt;=30, "Met", "Breached"))</f>
        <v/>
      </c>
      <c r="P9251" s="8" t="n"/>
      <c r="Q9251" s="8" t="n"/>
      <c r="R9251" s="8" t="n"/>
      <c r="S9251" s="8" t="n"/>
      <c r="T9251" s="8" t="n"/>
      <c r="U9251" s="8" t="n"/>
      <c r="V9251" s="8" t="n"/>
      <c r="W9251" s="8" t="n"/>
      <c r="X9251" s="8" t="n"/>
      <c r="Y9251" s="8" t="n"/>
    </row>
    <row r="9252">
      <c r="A9252" s="8" t="n"/>
      <c r="B9252" s="8" t="n"/>
      <c r="C9252" s="8" t="n"/>
      <c r="D9252" s="8" t="n"/>
      <c r="E9252" s="8" t="n"/>
      <c r="F9252" s="8" t="n"/>
      <c r="G9252" s="8" t="n"/>
      <c r="H9252" s="8" t="n"/>
      <c r="I9252" s="8" t="n"/>
      <c r="J9252" s="8" t="n"/>
      <c r="K9252" s="8" t="n"/>
      <c r="L9252" s="8" t="n"/>
      <c r="M9252" s="9">
        <f>B9252+30</f>
        <v/>
      </c>
      <c r="N9252">
        <f>IF(L9252="", "", L9252-B9252)</f>
        <v/>
      </c>
      <c r="O9252">
        <f>IF(L9252="", "Pending", IF(N9252&lt;=30, "Met", "Breached"))</f>
        <v/>
      </c>
      <c r="P9252" s="8" t="n"/>
      <c r="Q9252" s="8" t="n"/>
      <c r="R9252" s="8" t="n"/>
      <c r="S9252" s="8" t="n"/>
      <c r="T9252" s="8" t="n"/>
      <c r="U9252" s="8" t="n"/>
      <c r="V9252" s="8" t="n"/>
      <c r="W9252" s="8" t="n"/>
      <c r="X9252" s="8" t="n"/>
      <c r="Y9252" s="8" t="n"/>
    </row>
    <row r="9253">
      <c r="A9253" s="8" t="n"/>
      <c r="B9253" s="8" t="n"/>
      <c r="C9253" s="8" t="n"/>
      <c r="D9253" s="8" t="n"/>
      <c r="E9253" s="8" t="n"/>
      <c r="F9253" s="8" t="n"/>
      <c r="G9253" s="8" t="n"/>
      <c r="H9253" s="8" t="n"/>
      <c r="I9253" s="8" t="n"/>
      <c r="J9253" s="8" t="n"/>
      <c r="K9253" s="8" t="n"/>
      <c r="L9253" s="8" t="n"/>
      <c r="M9253" s="9">
        <f>B9253+30</f>
        <v/>
      </c>
      <c r="N9253">
        <f>IF(L9253="", "", L9253-B9253)</f>
        <v/>
      </c>
      <c r="O9253">
        <f>IF(L9253="", "Pending", IF(N9253&lt;=30, "Met", "Breached"))</f>
        <v/>
      </c>
      <c r="P9253" s="8" t="n"/>
      <c r="Q9253" s="8" t="n"/>
      <c r="R9253" s="8" t="n"/>
      <c r="S9253" s="8" t="n"/>
      <c r="T9253" s="8" t="n"/>
      <c r="U9253" s="8" t="n"/>
      <c r="V9253" s="8" t="n"/>
      <c r="W9253" s="8" t="n"/>
      <c r="X9253" s="8" t="n"/>
      <c r="Y9253" s="8" t="n"/>
    </row>
    <row r="9254">
      <c r="A9254" s="8" t="n"/>
      <c r="B9254" s="8" t="n"/>
      <c r="C9254" s="8" t="n"/>
      <c r="D9254" s="8" t="n"/>
      <c r="E9254" s="8" t="n"/>
      <c r="F9254" s="8" t="n"/>
      <c r="G9254" s="8" t="n"/>
      <c r="H9254" s="8" t="n"/>
      <c r="I9254" s="8" t="n"/>
      <c r="J9254" s="8" t="n"/>
      <c r="K9254" s="8" t="n"/>
      <c r="L9254" s="8" t="n"/>
      <c r="M9254" s="9">
        <f>B9254+30</f>
        <v/>
      </c>
      <c r="N9254">
        <f>IF(L9254="", "", L9254-B9254)</f>
        <v/>
      </c>
      <c r="O9254">
        <f>IF(L9254="", "Pending", IF(N9254&lt;=30, "Met", "Breached"))</f>
        <v/>
      </c>
      <c r="P9254" s="8" t="n"/>
      <c r="Q9254" s="8" t="n"/>
      <c r="R9254" s="8" t="n"/>
      <c r="S9254" s="8" t="n"/>
      <c r="T9254" s="8" t="n"/>
      <c r="U9254" s="8" t="n"/>
      <c r="V9254" s="8" t="n"/>
      <c r="W9254" s="8" t="n"/>
      <c r="X9254" s="8" t="n"/>
      <c r="Y9254" s="8" t="n"/>
    </row>
    <row r="9255">
      <c r="A9255" s="8" t="n"/>
      <c r="B9255" s="8" t="n"/>
      <c r="C9255" s="8" t="n"/>
      <c r="D9255" s="8" t="n"/>
      <c r="E9255" s="8" t="n"/>
      <c r="F9255" s="8" t="n"/>
      <c r="G9255" s="8" t="n"/>
      <c r="H9255" s="8" t="n"/>
      <c r="I9255" s="8" t="n"/>
      <c r="J9255" s="8" t="n"/>
      <c r="K9255" s="8" t="n"/>
      <c r="L9255" s="8" t="n"/>
      <c r="M9255" s="9">
        <f>B9255+30</f>
        <v/>
      </c>
      <c r="N9255">
        <f>IF(L9255="", "", L9255-B9255)</f>
        <v/>
      </c>
      <c r="O9255">
        <f>IF(L9255="", "Pending", IF(N9255&lt;=30, "Met", "Breached"))</f>
        <v/>
      </c>
      <c r="P9255" s="8" t="n"/>
      <c r="Q9255" s="8" t="n"/>
      <c r="R9255" s="8" t="n"/>
      <c r="S9255" s="8" t="n"/>
      <c r="T9255" s="8" t="n"/>
      <c r="U9255" s="8" t="n"/>
      <c r="V9255" s="8" t="n"/>
      <c r="W9255" s="8" t="n"/>
      <c r="X9255" s="8" t="n"/>
      <c r="Y9255" s="8" t="n"/>
    </row>
    <row r="9256">
      <c r="A9256" s="8" t="n"/>
      <c r="B9256" s="8" t="n"/>
      <c r="C9256" s="8" t="n"/>
      <c r="D9256" s="8" t="n"/>
      <c r="E9256" s="8" t="n"/>
      <c r="F9256" s="8" t="n"/>
      <c r="G9256" s="8" t="n"/>
      <c r="H9256" s="8" t="n"/>
      <c r="I9256" s="8" t="n"/>
      <c r="J9256" s="8" t="n"/>
      <c r="K9256" s="8" t="n"/>
      <c r="L9256" s="8" t="n"/>
      <c r="M9256" s="9">
        <f>B9256+30</f>
        <v/>
      </c>
      <c r="N9256">
        <f>IF(L9256="", "", L9256-B9256)</f>
        <v/>
      </c>
      <c r="O9256">
        <f>IF(L9256="", "Pending", IF(N9256&lt;=30, "Met", "Breached"))</f>
        <v/>
      </c>
      <c r="P9256" s="8" t="n"/>
      <c r="Q9256" s="8" t="n"/>
      <c r="R9256" s="8" t="n"/>
      <c r="S9256" s="8" t="n"/>
      <c r="T9256" s="8" t="n"/>
      <c r="U9256" s="8" t="n"/>
      <c r="V9256" s="8" t="n"/>
      <c r="W9256" s="8" t="n"/>
      <c r="X9256" s="8" t="n"/>
      <c r="Y9256" s="8" t="n"/>
    </row>
    <row r="9257">
      <c r="A9257" s="8" t="n"/>
      <c r="B9257" s="8" t="n"/>
      <c r="C9257" s="8" t="n"/>
      <c r="D9257" s="8" t="n"/>
      <c r="E9257" s="8" t="n"/>
      <c r="F9257" s="8" t="n"/>
      <c r="G9257" s="8" t="n"/>
      <c r="H9257" s="8" t="n"/>
      <c r="I9257" s="8" t="n"/>
      <c r="J9257" s="8" t="n"/>
      <c r="K9257" s="8" t="n"/>
      <c r="L9257" s="8" t="n"/>
      <c r="M9257" s="9">
        <f>B9257+30</f>
        <v/>
      </c>
      <c r="N9257">
        <f>IF(L9257="", "", L9257-B9257)</f>
        <v/>
      </c>
      <c r="O9257">
        <f>IF(L9257="", "Pending", IF(N9257&lt;=30, "Met", "Breached"))</f>
        <v/>
      </c>
      <c r="P9257" s="8" t="n"/>
      <c r="Q9257" s="8" t="n"/>
      <c r="R9257" s="8" t="n"/>
      <c r="S9257" s="8" t="n"/>
      <c r="T9257" s="8" t="n"/>
      <c r="U9257" s="8" t="n"/>
      <c r="V9257" s="8" t="n"/>
      <c r="W9257" s="8" t="n"/>
      <c r="X9257" s="8" t="n"/>
      <c r="Y9257" s="8" t="n"/>
    </row>
    <row r="9258">
      <c r="A9258" s="8" t="n"/>
      <c r="B9258" s="8" t="n"/>
      <c r="C9258" s="8" t="n"/>
      <c r="D9258" s="8" t="n"/>
      <c r="E9258" s="8" t="n"/>
      <c r="F9258" s="8" t="n"/>
      <c r="G9258" s="8" t="n"/>
      <c r="H9258" s="8" t="n"/>
      <c r="I9258" s="8" t="n"/>
      <c r="J9258" s="8" t="n"/>
      <c r="K9258" s="8" t="n"/>
      <c r="L9258" s="8" t="n"/>
      <c r="M9258" s="9">
        <f>B9258+30</f>
        <v/>
      </c>
      <c r="N9258">
        <f>IF(L9258="", "", L9258-B9258)</f>
        <v/>
      </c>
      <c r="O9258">
        <f>IF(L9258="", "Pending", IF(N9258&lt;=30, "Met", "Breached"))</f>
        <v/>
      </c>
      <c r="P9258" s="8" t="n"/>
      <c r="Q9258" s="8" t="n"/>
      <c r="R9258" s="8" t="n"/>
      <c r="S9258" s="8" t="n"/>
      <c r="T9258" s="8" t="n"/>
      <c r="U9258" s="8" t="n"/>
      <c r="V9258" s="8" t="n"/>
      <c r="W9258" s="8" t="n"/>
      <c r="X9258" s="8" t="n"/>
      <c r="Y9258" s="8" t="n"/>
    </row>
    <row r="9259">
      <c r="A9259" s="8" t="n"/>
      <c r="B9259" s="8" t="n"/>
      <c r="C9259" s="8" t="n"/>
      <c r="D9259" s="8" t="n"/>
      <c r="E9259" s="8" t="n"/>
      <c r="F9259" s="8" t="n"/>
      <c r="G9259" s="8" t="n"/>
      <c r="H9259" s="8" t="n"/>
      <c r="I9259" s="8" t="n"/>
      <c r="J9259" s="8" t="n"/>
      <c r="K9259" s="8" t="n"/>
      <c r="L9259" s="8" t="n"/>
      <c r="M9259" s="9">
        <f>B9259+30</f>
        <v/>
      </c>
      <c r="N9259">
        <f>IF(L9259="", "", L9259-B9259)</f>
        <v/>
      </c>
      <c r="O9259">
        <f>IF(L9259="", "Pending", IF(N9259&lt;=30, "Met", "Breached"))</f>
        <v/>
      </c>
      <c r="P9259" s="8" t="n"/>
      <c r="Q9259" s="8" t="n"/>
      <c r="R9259" s="8" t="n"/>
      <c r="S9259" s="8" t="n"/>
      <c r="T9259" s="8" t="n"/>
      <c r="U9259" s="8" t="n"/>
      <c r="V9259" s="8" t="n"/>
      <c r="W9259" s="8" t="n"/>
      <c r="X9259" s="8" t="n"/>
      <c r="Y9259" s="8" t="n"/>
    </row>
    <row r="9260">
      <c r="A9260" s="8" t="n"/>
      <c r="B9260" s="8" t="n"/>
      <c r="C9260" s="8" t="n"/>
      <c r="D9260" s="8" t="n"/>
      <c r="E9260" s="8" t="n"/>
      <c r="F9260" s="8" t="n"/>
      <c r="G9260" s="8" t="n"/>
      <c r="H9260" s="8" t="n"/>
      <c r="I9260" s="8" t="n"/>
      <c r="J9260" s="8" t="n"/>
      <c r="K9260" s="8" t="n"/>
      <c r="L9260" s="8" t="n"/>
      <c r="M9260" s="9">
        <f>B9260+30</f>
        <v/>
      </c>
      <c r="N9260">
        <f>IF(L9260="", "", L9260-B9260)</f>
        <v/>
      </c>
      <c r="O9260">
        <f>IF(L9260="", "Pending", IF(N9260&lt;=30, "Met", "Breached"))</f>
        <v/>
      </c>
      <c r="P9260" s="8" t="n"/>
      <c r="Q9260" s="8" t="n"/>
      <c r="R9260" s="8" t="n"/>
      <c r="S9260" s="8" t="n"/>
      <c r="T9260" s="8" t="n"/>
      <c r="U9260" s="8" t="n"/>
      <c r="V9260" s="8" t="n"/>
      <c r="W9260" s="8" t="n"/>
      <c r="X9260" s="8" t="n"/>
      <c r="Y9260" s="8" t="n"/>
    </row>
    <row r="9261">
      <c r="A9261" s="8" t="n"/>
      <c r="B9261" s="8" t="n"/>
      <c r="C9261" s="8" t="n"/>
      <c r="D9261" s="8" t="n"/>
      <c r="E9261" s="8" t="n"/>
      <c r="F9261" s="8" t="n"/>
      <c r="G9261" s="8" t="n"/>
      <c r="H9261" s="8" t="n"/>
      <c r="I9261" s="8" t="n"/>
      <c r="J9261" s="8" t="n"/>
      <c r="K9261" s="8" t="n"/>
      <c r="L9261" s="8" t="n"/>
      <c r="M9261" s="9">
        <f>B9261+30</f>
        <v/>
      </c>
      <c r="N9261">
        <f>IF(L9261="", "", L9261-B9261)</f>
        <v/>
      </c>
      <c r="O9261">
        <f>IF(L9261="", "Pending", IF(N9261&lt;=30, "Met", "Breached"))</f>
        <v/>
      </c>
      <c r="P9261" s="8" t="n"/>
      <c r="Q9261" s="8" t="n"/>
      <c r="R9261" s="8" t="n"/>
      <c r="S9261" s="8" t="n"/>
      <c r="T9261" s="8" t="n"/>
      <c r="U9261" s="8" t="n"/>
      <c r="V9261" s="8" t="n"/>
      <c r="W9261" s="8" t="n"/>
      <c r="X9261" s="8" t="n"/>
      <c r="Y9261" s="8" t="n"/>
    </row>
    <row r="9262">
      <c r="A9262" s="8" t="n"/>
      <c r="B9262" s="8" t="n"/>
      <c r="C9262" s="8" t="n"/>
      <c r="D9262" s="8" t="n"/>
      <c r="E9262" s="8" t="n"/>
      <c r="F9262" s="8" t="n"/>
      <c r="G9262" s="8" t="n"/>
      <c r="H9262" s="8" t="n"/>
      <c r="I9262" s="8" t="n"/>
      <c r="J9262" s="8" t="n"/>
      <c r="K9262" s="8" t="n"/>
      <c r="L9262" s="8" t="n"/>
      <c r="M9262" s="9">
        <f>B9262+30</f>
        <v/>
      </c>
      <c r="N9262">
        <f>IF(L9262="", "", L9262-B9262)</f>
        <v/>
      </c>
      <c r="O9262">
        <f>IF(L9262="", "Pending", IF(N9262&lt;=30, "Met", "Breached"))</f>
        <v/>
      </c>
      <c r="P9262" s="8" t="n"/>
      <c r="Q9262" s="8" t="n"/>
      <c r="R9262" s="8" t="n"/>
      <c r="S9262" s="8" t="n"/>
      <c r="T9262" s="8" t="n"/>
      <c r="U9262" s="8" t="n"/>
      <c r="V9262" s="8" t="n"/>
      <c r="W9262" s="8" t="n"/>
      <c r="X9262" s="8" t="n"/>
      <c r="Y9262" s="8" t="n"/>
    </row>
    <row r="9263">
      <c r="A9263" s="8" t="n"/>
      <c r="B9263" s="8" t="n"/>
      <c r="C9263" s="8" t="n"/>
      <c r="D9263" s="8" t="n"/>
      <c r="E9263" s="8" t="n"/>
      <c r="F9263" s="8" t="n"/>
      <c r="G9263" s="8" t="n"/>
      <c r="H9263" s="8" t="n"/>
      <c r="I9263" s="8" t="n"/>
      <c r="J9263" s="8" t="n"/>
      <c r="K9263" s="8" t="n"/>
      <c r="L9263" s="8" t="n"/>
      <c r="M9263" s="9">
        <f>B9263+30</f>
        <v/>
      </c>
      <c r="N9263">
        <f>IF(L9263="", "", L9263-B9263)</f>
        <v/>
      </c>
      <c r="O9263">
        <f>IF(L9263="", "Pending", IF(N9263&lt;=30, "Met", "Breached"))</f>
        <v/>
      </c>
      <c r="P9263" s="8" t="n"/>
      <c r="Q9263" s="8" t="n"/>
      <c r="R9263" s="8" t="n"/>
      <c r="S9263" s="8" t="n"/>
      <c r="T9263" s="8" t="n"/>
      <c r="U9263" s="8" t="n"/>
      <c r="V9263" s="8" t="n"/>
      <c r="W9263" s="8" t="n"/>
      <c r="X9263" s="8" t="n"/>
      <c r="Y9263" s="8" t="n"/>
    </row>
    <row r="9264">
      <c r="A9264" s="8" t="n"/>
      <c r="B9264" s="8" t="n"/>
      <c r="C9264" s="8" t="n"/>
      <c r="D9264" s="8" t="n"/>
      <c r="E9264" s="8" t="n"/>
      <c r="F9264" s="8" t="n"/>
      <c r="G9264" s="8" t="n"/>
      <c r="H9264" s="8" t="n"/>
      <c r="I9264" s="8" t="n"/>
      <c r="J9264" s="8" t="n"/>
      <c r="K9264" s="8" t="n"/>
      <c r="L9264" s="8" t="n"/>
      <c r="M9264" s="9">
        <f>B9264+30</f>
        <v/>
      </c>
      <c r="N9264">
        <f>IF(L9264="", "", L9264-B9264)</f>
        <v/>
      </c>
      <c r="O9264">
        <f>IF(L9264="", "Pending", IF(N9264&lt;=30, "Met", "Breached"))</f>
        <v/>
      </c>
      <c r="P9264" s="8" t="n"/>
      <c r="Q9264" s="8" t="n"/>
      <c r="R9264" s="8" t="n"/>
      <c r="S9264" s="8" t="n"/>
      <c r="T9264" s="8" t="n"/>
      <c r="U9264" s="8" t="n"/>
      <c r="V9264" s="8" t="n"/>
      <c r="W9264" s="8" t="n"/>
      <c r="X9264" s="8" t="n"/>
      <c r="Y9264" s="8" t="n"/>
    </row>
    <row r="9265">
      <c r="A9265" s="8" t="n"/>
      <c r="B9265" s="8" t="n"/>
      <c r="C9265" s="8" t="n"/>
      <c r="D9265" s="8" t="n"/>
      <c r="E9265" s="8" t="n"/>
      <c r="F9265" s="8" t="n"/>
      <c r="G9265" s="8" t="n"/>
      <c r="H9265" s="8" t="n"/>
      <c r="I9265" s="8" t="n"/>
      <c r="J9265" s="8" t="n"/>
      <c r="K9265" s="8" t="n"/>
      <c r="L9265" s="8" t="n"/>
      <c r="M9265" s="9">
        <f>B9265+30</f>
        <v/>
      </c>
      <c r="N9265">
        <f>IF(L9265="", "", L9265-B9265)</f>
        <v/>
      </c>
      <c r="O9265">
        <f>IF(L9265="", "Pending", IF(N9265&lt;=30, "Met", "Breached"))</f>
        <v/>
      </c>
      <c r="P9265" s="8" t="n"/>
      <c r="Q9265" s="8" t="n"/>
      <c r="R9265" s="8" t="n"/>
      <c r="S9265" s="8" t="n"/>
      <c r="T9265" s="8" t="n"/>
      <c r="U9265" s="8" t="n"/>
      <c r="V9265" s="8" t="n"/>
      <c r="W9265" s="8" t="n"/>
      <c r="X9265" s="8" t="n"/>
      <c r="Y9265" s="8" t="n"/>
    </row>
    <row r="9266">
      <c r="A9266" s="8" t="n"/>
      <c r="B9266" s="8" t="n"/>
      <c r="C9266" s="8" t="n"/>
      <c r="D9266" s="8" t="n"/>
      <c r="E9266" s="8" t="n"/>
      <c r="F9266" s="8" t="n"/>
      <c r="G9266" s="8" t="n"/>
      <c r="H9266" s="8" t="n"/>
      <c r="I9266" s="8" t="n"/>
      <c r="J9266" s="8" t="n"/>
      <c r="K9266" s="8" t="n"/>
      <c r="L9266" s="8" t="n"/>
      <c r="M9266" s="9">
        <f>B9266+30</f>
        <v/>
      </c>
      <c r="N9266">
        <f>IF(L9266="", "", L9266-B9266)</f>
        <v/>
      </c>
      <c r="O9266">
        <f>IF(L9266="", "Pending", IF(N9266&lt;=30, "Met", "Breached"))</f>
        <v/>
      </c>
      <c r="P9266" s="8" t="n"/>
      <c r="Q9266" s="8" t="n"/>
      <c r="R9266" s="8" t="n"/>
      <c r="S9266" s="8" t="n"/>
      <c r="T9266" s="8" t="n"/>
      <c r="U9266" s="8" t="n"/>
      <c r="V9266" s="8" t="n"/>
      <c r="W9266" s="8" t="n"/>
      <c r="X9266" s="8" t="n"/>
      <c r="Y9266" s="8" t="n"/>
    </row>
    <row r="9267">
      <c r="A9267" s="8" t="n"/>
      <c r="B9267" s="8" t="n"/>
      <c r="C9267" s="8" t="n"/>
      <c r="D9267" s="8" t="n"/>
      <c r="E9267" s="8" t="n"/>
      <c r="F9267" s="8" t="n"/>
      <c r="G9267" s="8" t="n"/>
      <c r="H9267" s="8" t="n"/>
      <c r="I9267" s="8" t="n"/>
      <c r="J9267" s="8" t="n"/>
      <c r="K9267" s="8" t="n"/>
      <c r="L9267" s="8" t="n"/>
      <c r="M9267" s="9">
        <f>B9267+30</f>
        <v/>
      </c>
      <c r="N9267">
        <f>IF(L9267="", "", L9267-B9267)</f>
        <v/>
      </c>
      <c r="O9267">
        <f>IF(L9267="", "Pending", IF(N9267&lt;=30, "Met", "Breached"))</f>
        <v/>
      </c>
      <c r="P9267" s="8" t="n"/>
      <c r="Q9267" s="8" t="n"/>
      <c r="R9267" s="8" t="n"/>
      <c r="S9267" s="8" t="n"/>
      <c r="T9267" s="8" t="n"/>
      <c r="U9267" s="8" t="n"/>
      <c r="V9267" s="8" t="n"/>
      <c r="W9267" s="8" t="n"/>
      <c r="X9267" s="8" t="n"/>
      <c r="Y9267" s="8" t="n"/>
    </row>
    <row r="9268">
      <c r="A9268" s="8" t="n"/>
      <c r="B9268" s="8" t="n"/>
      <c r="C9268" s="8" t="n"/>
      <c r="D9268" s="8" t="n"/>
      <c r="E9268" s="8" t="n"/>
      <c r="F9268" s="8" t="n"/>
      <c r="G9268" s="8" t="n"/>
      <c r="H9268" s="8" t="n"/>
      <c r="I9268" s="8" t="n"/>
      <c r="J9268" s="8" t="n"/>
      <c r="K9268" s="8" t="n"/>
      <c r="L9268" s="8" t="n"/>
      <c r="M9268" s="9">
        <f>B9268+30</f>
        <v/>
      </c>
      <c r="N9268">
        <f>IF(L9268="", "", L9268-B9268)</f>
        <v/>
      </c>
      <c r="O9268">
        <f>IF(L9268="", "Pending", IF(N9268&lt;=30, "Met", "Breached"))</f>
        <v/>
      </c>
      <c r="P9268" s="8" t="n"/>
      <c r="Q9268" s="8" t="n"/>
      <c r="R9268" s="8" t="n"/>
      <c r="S9268" s="8" t="n"/>
      <c r="T9268" s="8" t="n"/>
      <c r="U9268" s="8" t="n"/>
      <c r="V9268" s="8" t="n"/>
      <c r="W9268" s="8" t="n"/>
      <c r="X9268" s="8" t="n"/>
      <c r="Y9268" s="8" t="n"/>
    </row>
    <row r="9269">
      <c r="A9269" s="8" t="n"/>
      <c r="B9269" s="8" t="n"/>
      <c r="C9269" s="8" t="n"/>
      <c r="D9269" s="8" t="n"/>
      <c r="E9269" s="8" t="n"/>
      <c r="F9269" s="8" t="n"/>
      <c r="G9269" s="8" t="n"/>
      <c r="H9269" s="8" t="n"/>
      <c r="I9269" s="8" t="n"/>
      <c r="J9269" s="8" t="n"/>
      <c r="K9269" s="8" t="n"/>
      <c r="L9269" s="8" t="n"/>
      <c r="M9269" s="9">
        <f>B9269+30</f>
        <v/>
      </c>
      <c r="N9269">
        <f>IF(L9269="", "", L9269-B9269)</f>
        <v/>
      </c>
      <c r="O9269">
        <f>IF(L9269="", "Pending", IF(N9269&lt;=30, "Met", "Breached"))</f>
        <v/>
      </c>
      <c r="P9269" s="8" t="n"/>
      <c r="Q9269" s="8" t="n"/>
      <c r="R9269" s="8" t="n"/>
      <c r="S9269" s="8" t="n"/>
      <c r="T9269" s="8" t="n"/>
      <c r="U9269" s="8" t="n"/>
      <c r="V9269" s="8" t="n"/>
      <c r="W9269" s="8" t="n"/>
      <c r="X9269" s="8" t="n"/>
      <c r="Y9269" s="8" t="n"/>
    </row>
    <row r="9270">
      <c r="A9270" s="8" t="n"/>
      <c r="B9270" s="8" t="n"/>
      <c r="C9270" s="8" t="n"/>
      <c r="D9270" s="8" t="n"/>
      <c r="E9270" s="8" t="n"/>
      <c r="F9270" s="8" t="n"/>
      <c r="G9270" s="8" t="n"/>
      <c r="H9270" s="8" t="n"/>
      <c r="I9270" s="8" t="n"/>
      <c r="J9270" s="8" t="n"/>
      <c r="K9270" s="8" t="n"/>
      <c r="L9270" s="8" t="n"/>
      <c r="M9270" s="9">
        <f>B9270+30</f>
        <v/>
      </c>
      <c r="N9270">
        <f>IF(L9270="", "", L9270-B9270)</f>
        <v/>
      </c>
      <c r="O9270">
        <f>IF(L9270="", "Pending", IF(N9270&lt;=30, "Met", "Breached"))</f>
        <v/>
      </c>
      <c r="P9270" s="8" t="n"/>
      <c r="Q9270" s="8" t="n"/>
      <c r="R9270" s="8" t="n"/>
      <c r="S9270" s="8" t="n"/>
      <c r="T9270" s="8" t="n"/>
      <c r="U9270" s="8" t="n"/>
      <c r="V9270" s="8" t="n"/>
      <c r="W9270" s="8" t="n"/>
      <c r="X9270" s="8" t="n"/>
      <c r="Y9270" s="8" t="n"/>
    </row>
    <row r="9271">
      <c r="A9271" s="8" t="n"/>
      <c r="B9271" s="8" t="n"/>
      <c r="C9271" s="8" t="n"/>
      <c r="D9271" s="8" t="n"/>
      <c r="E9271" s="8" t="n"/>
      <c r="F9271" s="8" t="n"/>
      <c r="G9271" s="8" t="n"/>
      <c r="H9271" s="8" t="n"/>
      <c r="I9271" s="8" t="n"/>
      <c r="J9271" s="8" t="n"/>
      <c r="K9271" s="8" t="n"/>
      <c r="L9271" s="8" t="n"/>
      <c r="M9271" s="9">
        <f>B9271+30</f>
        <v/>
      </c>
      <c r="N9271">
        <f>IF(L9271="", "", L9271-B9271)</f>
        <v/>
      </c>
      <c r="O9271">
        <f>IF(L9271="", "Pending", IF(N9271&lt;=30, "Met", "Breached"))</f>
        <v/>
      </c>
      <c r="P9271" s="8" t="n"/>
      <c r="Q9271" s="8" t="n"/>
      <c r="R9271" s="8" t="n"/>
      <c r="S9271" s="8" t="n"/>
      <c r="T9271" s="8" t="n"/>
      <c r="U9271" s="8" t="n"/>
      <c r="V9271" s="8" t="n"/>
      <c r="W9271" s="8" t="n"/>
      <c r="X9271" s="8" t="n"/>
      <c r="Y9271" s="8" t="n"/>
    </row>
    <row r="9272">
      <c r="A9272" s="8" t="n"/>
      <c r="B9272" s="8" t="n"/>
      <c r="C9272" s="8" t="n"/>
      <c r="D9272" s="8" t="n"/>
      <c r="E9272" s="8" t="n"/>
      <c r="F9272" s="8" t="n"/>
      <c r="G9272" s="8" t="n"/>
      <c r="H9272" s="8" t="n"/>
      <c r="I9272" s="8" t="n"/>
      <c r="J9272" s="8" t="n"/>
      <c r="K9272" s="8" t="n"/>
      <c r="L9272" s="8" t="n"/>
      <c r="M9272" s="9">
        <f>B9272+30</f>
        <v/>
      </c>
      <c r="N9272">
        <f>IF(L9272="", "", L9272-B9272)</f>
        <v/>
      </c>
      <c r="O9272">
        <f>IF(L9272="", "Pending", IF(N9272&lt;=30, "Met", "Breached"))</f>
        <v/>
      </c>
      <c r="P9272" s="8" t="n"/>
      <c r="Q9272" s="8" t="n"/>
      <c r="R9272" s="8" t="n"/>
      <c r="S9272" s="8" t="n"/>
      <c r="T9272" s="8" t="n"/>
      <c r="U9272" s="8" t="n"/>
      <c r="V9272" s="8" t="n"/>
      <c r="W9272" s="8" t="n"/>
      <c r="X9272" s="8" t="n"/>
      <c r="Y9272" s="8" t="n"/>
    </row>
    <row r="9273">
      <c r="A9273" s="8" t="n"/>
      <c r="B9273" s="8" t="n"/>
      <c r="C9273" s="8" t="n"/>
      <c r="D9273" s="8" t="n"/>
      <c r="E9273" s="8" t="n"/>
      <c r="F9273" s="8" t="n"/>
      <c r="G9273" s="8" t="n"/>
      <c r="H9273" s="8" t="n"/>
      <c r="I9273" s="8" t="n"/>
      <c r="J9273" s="8" t="n"/>
      <c r="K9273" s="8" t="n"/>
      <c r="L9273" s="8" t="n"/>
      <c r="M9273" s="9">
        <f>B9273+30</f>
        <v/>
      </c>
      <c r="N9273">
        <f>IF(L9273="", "", L9273-B9273)</f>
        <v/>
      </c>
      <c r="O9273">
        <f>IF(L9273="", "Pending", IF(N9273&lt;=30, "Met", "Breached"))</f>
        <v/>
      </c>
      <c r="P9273" s="8" t="n"/>
      <c r="Q9273" s="8" t="n"/>
      <c r="R9273" s="8" t="n"/>
      <c r="S9273" s="8" t="n"/>
      <c r="T9273" s="8" t="n"/>
      <c r="U9273" s="8" t="n"/>
      <c r="V9273" s="8" t="n"/>
      <c r="W9273" s="8" t="n"/>
      <c r="X9273" s="8" t="n"/>
      <c r="Y9273" s="8" t="n"/>
    </row>
    <row r="9274">
      <c r="A9274" s="8" t="n"/>
      <c r="B9274" s="8" t="n"/>
      <c r="C9274" s="8" t="n"/>
      <c r="D9274" s="8" t="n"/>
      <c r="E9274" s="8" t="n"/>
      <c r="F9274" s="8" t="n"/>
      <c r="G9274" s="8" t="n"/>
      <c r="H9274" s="8" t="n"/>
      <c r="I9274" s="8" t="n"/>
      <c r="J9274" s="8" t="n"/>
      <c r="K9274" s="8" t="n"/>
      <c r="L9274" s="8" t="n"/>
      <c r="M9274" s="9">
        <f>B9274+30</f>
        <v/>
      </c>
      <c r="N9274">
        <f>IF(L9274="", "", L9274-B9274)</f>
        <v/>
      </c>
      <c r="O9274">
        <f>IF(L9274="", "Pending", IF(N9274&lt;=30, "Met", "Breached"))</f>
        <v/>
      </c>
      <c r="P9274" s="8" t="n"/>
      <c r="Q9274" s="8" t="n"/>
      <c r="R9274" s="8" t="n"/>
      <c r="S9274" s="8" t="n"/>
      <c r="T9274" s="8" t="n"/>
      <c r="U9274" s="8" t="n"/>
      <c r="V9274" s="8" t="n"/>
      <c r="W9274" s="8" t="n"/>
      <c r="X9274" s="8" t="n"/>
      <c r="Y9274" s="8" t="n"/>
    </row>
    <row r="9275">
      <c r="A9275" s="8" t="n"/>
      <c r="B9275" s="8" t="n"/>
      <c r="C9275" s="8" t="n"/>
      <c r="D9275" s="8" t="n"/>
      <c r="E9275" s="8" t="n"/>
      <c r="F9275" s="8" t="n"/>
      <c r="G9275" s="8" t="n"/>
      <c r="H9275" s="8" t="n"/>
      <c r="I9275" s="8" t="n"/>
      <c r="J9275" s="8" t="n"/>
      <c r="K9275" s="8" t="n"/>
      <c r="L9275" s="8" t="n"/>
      <c r="M9275" s="9">
        <f>B9275+30</f>
        <v/>
      </c>
      <c r="N9275">
        <f>IF(L9275="", "", L9275-B9275)</f>
        <v/>
      </c>
      <c r="O9275">
        <f>IF(L9275="", "Pending", IF(N9275&lt;=30, "Met", "Breached"))</f>
        <v/>
      </c>
      <c r="P9275" s="8" t="n"/>
      <c r="Q9275" s="8" t="n"/>
      <c r="R9275" s="8" t="n"/>
      <c r="S9275" s="8" t="n"/>
      <c r="T9275" s="8" t="n"/>
      <c r="U9275" s="8" t="n"/>
      <c r="V9275" s="8" t="n"/>
      <c r="W9275" s="8" t="n"/>
      <c r="X9275" s="8" t="n"/>
      <c r="Y9275" s="8" t="n"/>
    </row>
    <row r="9276">
      <c r="A9276" s="8" t="n"/>
      <c r="B9276" s="8" t="n"/>
      <c r="C9276" s="8" t="n"/>
      <c r="D9276" s="8" t="n"/>
      <c r="E9276" s="8" t="n"/>
      <c r="F9276" s="8" t="n"/>
      <c r="G9276" s="8" t="n"/>
      <c r="H9276" s="8" t="n"/>
      <c r="I9276" s="8" t="n"/>
      <c r="J9276" s="8" t="n"/>
      <c r="K9276" s="8" t="n"/>
      <c r="L9276" s="8" t="n"/>
      <c r="M9276" s="9">
        <f>B9276+30</f>
        <v/>
      </c>
      <c r="N9276">
        <f>IF(L9276="", "", L9276-B9276)</f>
        <v/>
      </c>
      <c r="O9276">
        <f>IF(L9276="", "Pending", IF(N9276&lt;=30, "Met", "Breached"))</f>
        <v/>
      </c>
      <c r="P9276" s="8" t="n"/>
      <c r="Q9276" s="8" t="n"/>
      <c r="R9276" s="8" t="n"/>
      <c r="S9276" s="8" t="n"/>
      <c r="T9276" s="8" t="n"/>
      <c r="U9276" s="8" t="n"/>
      <c r="V9276" s="8" t="n"/>
      <c r="W9276" s="8" t="n"/>
      <c r="X9276" s="8" t="n"/>
      <c r="Y9276" s="8" t="n"/>
    </row>
    <row r="9277">
      <c r="A9277" s="8" t="n"/>
      <c r="B9277" s="8" t="n"/>
      <c r="C9277" s="8" t="n"/>
      <c r="D9277" s="8" t="n"/>
      <c r="E9277" s="8" t="n"/>
      <c r="F9277" s="8" t="n"/>
      <c r="G9277" s="8" t="n"/>
      <c r="H9277" s="8" t="n"/>
      <c r="I9277" s="8" t="n"/>
      <c r="J9277" s="8" t="n"/>
      <c r="K9277" s="8" t="n"/>
      <c r="L9277" s="8" t="n"/>
      <c r="M9277" s="9">
        <f>B9277+30</f>
        <v/>
      </c>
      <c r="N9277">
        <f>IF(L9277="", "", L9277-B9277)</f>
        <v/>
      </c>
      <c r="O9277">
        <f>IF(L9277="", "Pending", IF(N9277&lt;=30, "Met", "Breached"))</f>
        <v/>
      </c>
      <c r="P9277" s="8" t="n"/>
      <c r="Q9277" s="8" t="n"/>
      <c r="R9277" s="8" t="n"/>
      <c r="S9277" s="8" t="n"/>
      <c r="T9277" s="8" t="n"/>
      <c r="U9277" s="8" t="n"/>
      <c r="V9277" s="8" t="n"/>
      <c r="W9277" s="8" t="n"/>
      <c r="X9277" s="8" t="n"/>
      <c r="Y9277" s="8" t="n"/>
    </row>
    <row r="9278">
      <c r="A9278" s="8" t="n"/>
      <c r="B9278" s="8" t="n"/>
      <c r="C9278" s="8" t="n"/>
      <c r="D9278" s="8" t="n"/>
      <c r="E9278" s="8" t="n"/>
      <c r="F9278" s="8" t="n"/>
      <c r="G9278" s="8" t="n"/>
      <c r="H9278" s="8" t="n"/>
      <c r="I9278" s="8" t="n"/>
      <c r="J9278" s="8" t="n"/>
      <c r="K9278" s="8" t="n"/>
      <c r="L9278" s="8" t="n"/>
      <c r="M9278" s="9">
        <f>B9278+30</f>
        <v/>
      </c>
      <c r="N9278">
        <f>IF(L9278="", "", L9278-B9278)</f>
        <v/>
      </c>
      <c r="O9278">
        <f>IF(L9278="", "Pending", IF(N9278&lt;=30, "Met", "Breached"))</f>
        <v/>
      </c>
      <c r="P9278" s="8" t="n"/>
      <c r="Q9278" s="8" t="n"/>
      <c r="R9278" s="8" t="n"/>
      <c r="S9278" s="8" t="n"/>
      <c r="T9278" s="8" t="n"/>
      <c r="U9278" s="8" t="n"/>
      <c r="V9278" s="8" t="n"/>
      <c r="W9278" s="8" t="n"/>
      <c r="X9278" s="8" t="n"/>
      <c r="Y9278" s="8" t="n"/>
    </row>
    <row r="9279">
      <c r="A9279" s="8" t="n"/>
      <c r="B9279" s="8" t="n"/>
      <c r="C9279" s="8" t="n"/>
      <c r="D9279" s="8" t="n"/>
      <c r="E9279" s="8" t="n"/>
      <c r="F9279" s="8" t="n"/>
      <c r="G9279" s="8" t="n"/>
      <c r="H9279" s="8" t="n"/>
      <c r="I9279" s="8" t="n"/>
      <c r="J9279" s="8" t="n"/>
      <c r="K9279" s="8" t="n"/>
      <c r="L9279" s="8" t="n"/>
      <c r="M9279" s="9">
        <f>B9279+30</f>
        <v/>
      </c>
      <c r="N9279">
        <f>IF(L9279="", "", L9279-B9279)</f>
        <v/>
      </c>
      <c r="O9279">
        <f>IF(L9279="", "Pending", IF(N9279&lt;=30, "Met", "Breached"))</f>
        <v/>
      </c>
      <c r="P9279" s="8" t="n"/>
      <c r="Q9279" s="8" t="n"/>
      <c r="R9279" s="8" t="n"/>
      <c r="S9279" s="8" t="n"/>
      <c r="T9279" s="8" t="n"/>
      <c r="U9279" s="8" t="n"/>
      <c r="V9279" s="8" t="n"/>
      <c r="W9279" s="8" t="n"/>
      <c r="X9279" s="8" t="n"/>
      <c r="Y9279" s="8" t="n"/>
    </row>
    <row r="9280">
      <c r="A9280" s="8" t="n"/>
      <c r="B9280" s="8" t="n"/>
      <c r="C9280" s="8" t="n"/>
      <c r="D9280" s="8" t="n"/>
      <c r="E9280" s="8" t="n"/>
      <c r="F9280" s="8" t="n"/>
      <c r="G9280" s="8" t="n"/>
      <c r="H9280" s="8" t="n"/>
      <c r="I9280" s="8" t="n"/>
      <c r="J9280" s="8" t="n"/>
      <c r="K9280" s="8" t="n"/>
      <c r="L9280" s="8" t="n"/>
      <c r="M9280" s="9">
        <f>B9280+30</f>
        <v/>
      </c>
      <c r="N9280">
        <f>IF(L9280="", "", L9280-B9280)</f>
        <v/>
      </c>
      <c r="O9280">
        <f>IF(L9280="", "Pending", IF(N9280&lt;=30, "Met", "Breached"))</f>
        <v/>
      </c>
      <c r="P9280" s="8" t="n"/>
      <c r="Q9280" s="8" t="n"/>
      <c r="R9280" s="8" t="n"/>
      <c r="S9280" s="8" t="n"/>
      <c r="T9280" s="8" t="n"/>
      <c r="U9280" s="8" t="n"/>
      <c r="V9280" s="8" t="n"/>
      <c r="W9280" s="8" t="n"/>
      <c r="X9280" s="8" t="n"/>
      <c r="Y9280" s="8" t="n"/>
    </row>
    <row r="9281">
      <c r="A9281" s="8" t="n"/>
      <c r="B9281" s="8" t="n"/>
      <c r="C9281" s="8" t="n"/>
      <c r="D9281" s="8" t="n"/>
      <c r="E9281" s="8" t="n"/>
      <c r="F9281" s="8" t="n"/>
      <c r="G9281" s="8" t="n"/>
      <c r="H9281" s="8" t="n"/>
      <c r="I9281" s="8" t="n"/>
      <c r="J9281" s="8" t="n"/>
      <c r="K9281" s="8" t="n"/>
      <c r="L9281" s="8" t="n"/>
      <c r="M9281" s="9">
        <f>B9281+30</f>
        <v/>
      </c>
      <c r="N9281">
        <f>IF(L9281="", "", L9281-B9281)</f>
        <v/>
      </c>
      <c r="O9281">
        <f>IF(L9281="", "Pending", IF(N9281&lt;=30, "Met", "Breached"))</f>
        <v/>
      </c>
      <c r="P9281" s="8" t="n"/>
      <c r="Q9281" s="8" t="n"/>
      <c r="R9281" s="8" t="n"/>
      <c r="S9281" s="8" t="n"/>
      <c r="T9281" s="8" t="n"/>
      <c r="U9281" s="8" t="n"/>
      <c r="V9281" s="8" t="n"/>
      <c r="W9281" s="8" t="n"/>
      <c r="X9281" s="8" t="n"/>
      <c r="Y9281" s="8" t="n"/>
    </row>
    <row r="9282">
      <c r="A9282" s="8" t="n"/>
      <c r="B9282" s="8" t="n"/>
      <c r="C9282" s="8" t="n"/>
      <c r="D9282" s="8" t="n"/>
      <c r="E9282" s="8" t="n"/>
      <c r="F9282" s="8" t="n"/>
      <c r="G9282" s="8" t="n"/>
      <c r="H9282" s="8" t="n"/>
      <c r="I9282" s="8" t="n"/>
      <c r="J9282" s="8" t="n"/>
      <c r="K9282" s="8" t="n"/>
      <c r="L9282" s="8" t="n"/>
      <c r="M9282" s="9">
        <f>B9282+30</f>
        <v/>
      </c>
      <c r="N9282">
        <f>IF(L9282="", "", L9282-B9282)</f>
        <v/>
      </c>
      <c r="O9282">
        <f>IF(L9282="", "Pending", IF(N9282&lt;=30, "Met", "Breached"))</f>
        <v/>
      </c>
      <c r="P9282" s="8" t="n"/>
      <c r="Q9282" s="8" t="n"/>
      <c r="R9282" s="8" t="n"/>
      <c r="S9282" s="8" t="n"/>
      <c r="T9282" s="8" t="n"/>
      <c r="U9282" s="8" t="n"/>
      <c r="V9282" s="8" t="n"/>
      <c r="W9282" s="8" t="n"/>
      <c r="X9282" s="8" t="n"/>
      <c r="Y9282" s="8" t="n"/>
    </row>
    <row r="9283">
      <c r="A9283" s="8" t="n"/>
      <c r="B9283" s="8" t="n"/>
      <c r="C9283" s="8" t="n"/>
      <c r="D9283" s="8" t="n"/>
      <c r="E9283" s="8" t="n"/>
      <c r="F9283" s="8" t="n"/>
      <c r="G9283" s="8" t="n"/>
      <c r="H9283" s="8" t="n"/>
      <c r="I9283" s="8" t="n"/>
      <c r="J9283" s="8" t="n"/>
      <c r="K9283" s="8" t="n"/>
      <c r="L9283" s="8" t="n"/>
      <c r="M9283" s="9">
        <f>B9283+30</f>
        <v/>
      </c>
      <c r="N9283">
        <f>IF(L9283="", "", L9283-B9283)</f>
        <v/>
      </c>
      <c r="O9283">
        <f>IF(L9283="", "Pending", IF(N9283&lt;=30, "Met", "Breached"))</f>
        <v/>
      </c>
      <c r="P9283" s="8" t="n"/>
      <c r="Q9283" s="8" t="n"/>
      <c r="R9283" s="8" t="n"/>
      <c r="S9283" s="8" t="n"/>
      <c r="T9283" s="8" t="n"/>
      <c r="U9283" s="8" t="n"/>
      <c r="V9283" s="8" t="n"/>
      <c r="W9283" s="8" t="n"/>
      <c r="X9283" s="8" t="n"/>
      <c r="Y9283" s="8" t="n"/>
    </row>
    <row r="9284">
      <c r="A9284" s="8" t="n"/>
      <c r="B9284" s="8" t="n"/>
      <c r="C9284" s="8" t="n"/>
      <c r="D9284" s="8" t="n"/>
      <c r="E9284" s="8" t="n"/>
      <c r="F9284" s="8" t="n"/>
      <c r="G9284" s="8" t="n"/>
      <c r="H9284" s="8" t="n"/>
      <c r="I9284" s="8" t="n"/>
      <c r="J9284" s="8" t="n"/>
      <c r="K9284" s="8" t="n"/>
      <c r="L9284" s="8" t="n"/>
      <c r="M9284" s="9">
        <f>B9284+30</f>
        <v/>
      </c>
      <c r="N9284">
        <f>IF(L9284="", "", L9284-B9284)</f>
        <v/>
      </c>
      <c r="O9284">
        <f>IF(L9284="", "Pending", IF(N9284&lt;=30, "Met", "Breached"))</f>
        <v/>
      </c>
      <c r="P9284" s="8" t="n"/>
      <c r="Q9284" s="8" t="n"/>
      <c r="R9284" s="8" t="n"/>
      <c r="S9284" s="8" t="n"/>
      <c r="T9284" s="8" t="n"/>
      <c r="U9284" s="8" t="n"/>
      <c r="V9284" s="8" t="n"/>
      <c r="W9284" s="8" t="n"/>
      <c r="X9284" s="8" t="n"/>
      <c r="Y9284" s="8" t="n"/>
    </row>
    <row r="9285">
      <c r="A9285" s="8" t="n"/>
      <c r="B9285" s="8" t="n"/>
      <c r="C9285" s="8" t="n"/>
      <c r="D9285" s="8" t="n"/>
      <c r="E9285" s="8" t="n"/>
      <c r="F9285" s="8" t="n"/>
      <c r="G9285" s="8" t="n"/>
      <c r="H9285" s="8" t="n"/>
      <c r="I9285" s="8" t="n"/>
      <c r="J9285" s="8" t="n"/>
      <c r="K9285" s="8" t="n"/>
      <c r="L9285" s="8" t="n"/>
      <c r="M9285" s="9">
        <f>B9285+30</f>
        <v/>
      </c>
      <c r="N9285">
        <f>IF(L9285="", "", L9285-B9285)</f>
        <v/>
      </c>
      <c r="O9285">
        <f>IF(L9285="", "Pending", IF(N9285&lt;=30, "Met", "Breached"))</f>
        <v/>
      </c>
      <c r="P9285" s="8" t="n"/>
      <c r="Q9285" s="8" t="n"/>
      <c r="R9285" s="8" t="n"/>
      <c r="S9285" s="8" t="n"/>
      <c r="T9285" s="8" t="n"/>
      <c r="U9285" s="8" t="n"/>
      <c r="V9285" s="8" t="n"/>
      <c r="W9285" s="8" t="n"/>
      <c r="X9285" s="8" t="n"/>
      <c r="Y9285" s="8" t="n"/>
    </row>
    <row r="9286">
      <c r="A9286" s="8" t="n"/>
      <c r="B9286" s="8" t="n"/>
      <c r="C9286" s="8" t="n"/>
      <c r="D9286" s="8" t="n"/>
      <c r="E9286" s="8" t="n"/>
      <c r="F9286" s="8" t="n"/>
      <c r="G9286" s="8" t="n"/>
      <c r="H9286" s="8" t="n"/>
      <c r="I9286" s="8" t="n"/>
      <c r="J9286" s="8" t="n"/>
      <c r="K9286" s="8" t="n"/>
      <c r="L9286" s="8" t="n"/>
      <c r="M9286" s="9">
        <f>B9286+30</f>
        <v/>
      </c>
      <c r="N9286">
        <f>IF(L9286="", "", L9286-B9286)</f>
        <v/>
      </c>
      <c r="O9286">
        <f>IF(L9286="", "Pending", IF(N9286&lt;=30, "Met", "Breached"))</f>
        <v/>
      </c>
      <c r="P9286" s="8" t="n"/>
      <c r="Q9286" s="8" t="n"/>
      <c r="R9286" s="8" t="n"/>
      <c r="S9286" s="8" t="n"/>
      <c r="T9286" s="8" t="n"/>
      <c r="U9286" s="8" t="n"/>
      <c r="V9286" s="8" t="n"/>
      <c r="W9286" s="8" t="n"/>
      <c r="X9286" s="8" t="n"/>
      <c r="Y9286" s="8" t="n"/>
    </row>
    <row r="9287">
      <c r="A9287" s="8" t="n"/>
      <c r="B9287" s="8" t="n"/>
      <c r="C9287" s="8" t="n"/>
      <c r="D9287" s="8" t="n"/>
      <c r="E9287" s="8" t="n"/>
      <c r="F9287" s="8" t="n"/>
      <c r="G9287" s="8" t="n"/>
      <c r="H9287" s="8" t="n"/>
      <c r="I9287" s="8" t="n"/>
      <c r="J9287" s="8" t="n"/>
      <c r="K9287" s="8" t="n"/>
      <c r="L9287" s="8" t="n"/>
      <c r="M9287" s="9">
        <f>B9287+30</f>
        <v/>
      </c>
      <c r="N9287">
        <f>IF(L9287="", "", L9287-B9287)</f>
        <v/>
      </c>
      <c r="O9287">
        <f>IF(L9287="", "Pending", IF(N9287&lt;=30, "Met", "Breached"))</f>
        <v/>
      </c>
      <c r="P9287" s="8" t="n"/>
      <c r="Q9287" s="8" t="n"/>
      <c r="R9287" s="8" t="n"/>
      <c r="S9287" s="8" t="n"/>
      <c r="T9287" s="8" t="n"/>
      <c r="U9287" s="8" t="n"/>
      <c r="V9287" s="8" t="n"/>
      <c r="W9287" s="8" t="n"/>
      <c r="X9287" s="8" t="n"/>
      <c r="Y9287" s="8" t="n"/>
    </row>
    <row r="9288">
      <c r="A9288" s="8" t="n"/>
      <c r="B9288" s="8" t="n"/>
      <c r="C9288" s="8" t="n"/>
      <c r="D9288" s="8" t="n"/>
      <c r="E9288" s="8" t="n"/>
      <c r="F9288" s="8" t="n"/>
      <c r="G9288" s="8" t="n"/>
      <c r="H9288" s="8" t="n"/>
      <c r="I9288" s="8" t="n"/>
      <c r="J9288" s="8" t="n"/>
      <c r="K9288" s="8" t="n"/>
      <c r="L9288" s="8" t="n"/>
      <c r="M9288" s="9">
        <f>B9288+30</f>
        <v/>
      </c>
      <c r="N9288">
        <f>IF(L9288="", "", L9288-B9288)</f>
        <v/>
      </c>
      <c r="O9288">
        <f>IF(L9288="", "Pending", IF(N9288&lt;=30, "Met", "Breached"))</f>
        <v/>
      </c>
      <c r="P9288" s="8" t="n"/>
      <c r="Q9288" s="8" t="n"/>
      <c r="R9288" s="8" t="n"/>
      <c r="S9288" s="8" t="n"/>
      <c r="T9288" s="8" t="n"/>
      <c r="U9288" s="8" t="n"/>
      <c r="V9288" s="8" t="n"/>
      <c r="W9288" s="8" t="n"/>
      <c r="X9288" s="8" t="n"/>
      <c r="Y9288" s="8" t="n"/>
    </row>
    <row r="9289">
      <c r="A9289" s="8" t="n"/>
      <c r="B9289" s="8" t="n"/>
      <c r="C9289" s="8" t="n"/>
      <c r="D9289" s="8" t="n"/>
      <c r="E9289" s="8" t="n"/>
      <c r="F9289" s="8" t="n"/>
      <c r="G9289" s="8" t="n"/>
      <c r="H9289" s="8" t="n"/>
      <c r="I9289" s="8" t="n"/>
      <c r="J9289" s="8" t="n"/>
      <c r="K9289" s="8" t="n"/>
      <c r="L9289" s="8" t="n"/>
      <c r="M9289" s="9">
        <f>B9289+30</f>
        <v/>
      </c>
      <c r="N9289">
        <f>IF(L9289="", "", L9289-B9289)</f>
        <v/>
      </c>
      <c r="O9289">
        <f>IF(L9289="", "Pending", IF(N9289&lt;=30, "Met", "Breached"))</f>
        <v/>
      </c>
      <c r="P9289" s="8" t="n"/>
      <c r="Q9289" s="8" t="n"/>
      <c r="R9289" s="8" t="n"/>
      <c r="S9289" s="8" t="n"/>
      <c r="T9289" s="8" t="n"/>
      <c r="U9289" s="8" t="n"/>
      <c r="V9289" s="8" t="n"/>
      <c r="W9289" s="8" t="n"/>
      <c r="X9289" s="8" t="n"/>
      <c r="Y9289" s="8" t="n"/>
    </row>
    <row r="9290">
      <c r="A9290" s="8" t="n"/>
      <c r="B9290" s="8" t="n"/>
      <c r="C9290" s="8" t="n"/>
      <c r="D9290" s="8" t="n"/>
      <c r="E9290" s="8" t="n"/>
      <c r="F9290" s="8" t="n"/>
      <c r="G9290" s="8" t="n"/>
      <c r="H9290" s="8" t="n"/>
      <c r="I9290" s="8" t="n"/>
      <c r="J9290" s="8" t="n"/>
      <c r="K9290" s="8" t="n"/>
      <c r="L9290" s="8" t="n"/>
      <c r="M9290" s="9">
        <f>B9290+30</f>
        <v/>
      </c>
      <c r="N9290">
        <f>IF(L9290="", "", L9290-B9290)</f>
        <v/>
      </c>
      <c r="O9290">
        <f>IF(L9290="", "Pending", IF(N9290&lt;=30, "Met", "Breached"))</f>
        <v/>
      </c>
      <c r="P9290" s="8" t="n"/>
      <c r="Q9290" s="8" t="n"/>
      <c r="R9290" s="8" t="n"/>
      <c r="S9290" s="8" t="n"/>
      <c r="T9290" s="8" t="n"/>
      <c r="U9290" s="8" t="n"/>
      <c r="V9290" s="8" t="n"/>
      <c r="W9290" s="8" t="n"/>
      <c r="X9290" s="8" t="n"/>
      <c r="Y9290" s="8" t="n"/>
    </row>
    <row r="9291">
      <c r="A9291" s="8" t="n"/>
      <c r="B9291" s="8" t="n"/>
      <c r="C9291" s="8" t="n"/>
      <c r="D9291" s="8" t="n"/>
      <c r="E9291" s="8" t="n"/>
      <c r="F9291" s="8" t="n"/>
      <c r="G9291" s="8" t="n"/>
      <c r="H9291" s="8" t="n"/>
      <c r="I9291" s="8" t="n"/>
      <c r="J9291" s="8" t="n"/>
      <c r="K9291" s="8" t="n"/>
      <c r="L9291" s="8" t="n"/>
      <c r="M9291" s="9">
        <f>B9291+30</f>
        <v/>
      </c>
      <c r="N9291">
        <f>IF(L9291="", "", L9291-B9291)</f>
        <v/>
      </c>
      <c r="O9291">
        <f>IF(L9291="", "Pending", IF(N9291&lt;=30, "Met", "Breached"))</f>
        <v/>
      </c>
      <c r="P9291" s="8" t="n"/>
      <c r="Q9291" s="8" t="n"/>
      <c r="R9291" s="8" t="n"/>
      <c r="S9291" s="8" t="n"/>
      <c r="T9291" s="8" t="n"/>
      <c r="U9291" s="8" t="n"/>
      <c r="V9291" s="8" t="n"/>
      <c r="W9291" s="8" t="n"/>
      <c r="X9291" s="8" t="n"/>
      <c r="Y9291" s="8" t="n"/>
    </row>
    <row r="9292">
      <c r="A9292" s="8" t="n"/>
      <c r="B9292" s="8" t="n"/>
      <c r="C9292" s="8" t="n"/>
      <c r="D9292" s="8" t="n"/>
      <c r="E9292" s="8" t="n"/>
      <c r="F9292" s="8" t="n"/>
      <c r="G9292" s="8" t="n"/>
      <c r="H9292" s="8" t="n"/>
      <c r="I9292" s="8" t="n"/>
      <c r="J9292" s="8" t="n"/>
      <c r="K9292" s="8" t="n"/>
      <c r="L9292" s="8" t="n"/>
      <c r="M9292" s="9">
        <f>B9292+30</f>
        <v/>
      </c>
      <c r="N9292">
        <f>IF(L9292="", "", L9292-B9292)</f>
        <v/>
      </c>
      <c r="O9292">
        <f>IF(L9292="", "Pending", IF(N9292&lt;=30, "Met", "Breached"))</f>
        <v/>
      </c>
      <c r="P9292" s="8" t="n"/>
      <c r="Q9292" s="8" t="n"/>
      <c r="R9292" s="8" t="n"/>
      <c r="S9292" s="8" t="n"/>
      <c r="T9292" s="8" t="n"/>
      <c r="U9292" s="8" t="n"/>
      <c r="V9292" s="8" t="n"/>
      <c r="W9292" s="8" t="n"/>
      <c r="X9292" s="8" t="n"/>
      <c r="Y9292" s="8" t="n"/>
    </row>
    <row r="9293">
      <c r="A9293" s="8" t="n"/>
      <c r="B9293" s="8" t="n"/>
      <c r="C9293" s="8" t="n"/>
      <c r="D9293" s="8" t="n"/>
      <c r="E9293" s="8" t="n"/>
      <c r="F9293" s="8" t="n"/>
      <c r="G9293" s="8" t="n"/>
      <c r="H9293" s="8" t="n"/>
      <c r="I9293" s="8" t="n"/>
      <c r="J9293" s="8" t="n"/>
      <c r="K9293" s="8" t="n"/>
      <c r="L9293" s="8" t="n"/>
      <c r="M9293" s="9">
        <f>B9293+30</f>
        <v/>
      </c>
      <c r="N9293">
        <f>IF(L9293="", "", L9293-B9293)</f>
        <v/>
      </c>
      <c r="O9293">
        <f>IF(L9293="", "Pending", IF(N9293&lt;=30, "Met", "Breached"))</f>
        <v/>
      </c>
      <c r="P9293" s="8" t="n"/>
      <c r="Q9293" s="8" t="n"/>
      <c r="R9293" s="8" t="n"/>
      <c r="S9293" s="8" t="n"/>
      <c r="T9293" s="8" t="n"/>
      <c r="U9293" s="8" t="n"/>
      <c r="V9293" s="8" t="n"/>
      <c r="W9293" s="8" t="n"/>
      <c r="X9293" s="8" t="n"/>
      <c r="Y9293" s="8" t="n"/>
    </row>
    <row r="9294">
      <c r="A9294" s="8" t="n"/>
      <c r="B9294" s="8" t="n"/>
      <c r="C9294" s="8" t="n"/>
      <c r="D9294" s="8" t="n"/>
      <c r="E9294" s="8" t="n"/>
      <c r="F9294" s="8" t="n"/>
      <c r="G9294" s="8" t="n"/>
      <c r="H9294" s="8" t="n"/>
      <c r="I9294" s="8" t="n"/>
      <c r="J9294" s="8" t="n"/>
      <c r="K9294" s="8" t="n"/>
      <c r="L9294" s="8" t="n"/>
      <c r="M9294" s="9">
        <f>B9294+30</f>
        <v/>
      </c>
      <c r="N9294">
        <f>IF(L9294="", "", L9294-B9294)</f>
        <v/>
      </c>
      <c r="O9294">
        <f>IF(L9294="", "Pending", IF(N9294&lt;=30, "Met", "Breached"))</f>
        <v/>
      </c>
      <c r="P9294" s="8" t="n"/>
      <c r="Q9294" s="8" t="n"/>
      <c r="R9294" s="8" t="n"/>
      <c r="S9294" s="8" t="n"/>
      <c r="T9294" s="8" t="n"/>
      <c r="U9294" s="8" t="n"/>
      <c r="V9294" s="8" t="n"/>
      <c r="W9294" s="8" t="n"/>
      <c r="X9294" s="8" t="n"/>
      <c r="Y9294" s="8" t="n"/>
    </row>
    <row r="9295">
      <c r="A9295" s="8" t="n"/>
      <c r="B9295" s="8" t="n"/>
      <c r="C9295" s="8" t="n"/>
      <c r="D9295" s="8" t="n"/>
      <c r="E9295" s="8" t="n"/>
      <c r="F9295" s="8" t="n"/>
      <c r="G9295" s="8" t="n"/>
      <c r="H9295" s="8" t="n"/>
      <c r="I9295" s="8" t="n"/>
      <c r="J9295" s="8" t="n"/>
      <c r="K9295" s="8" t="n"/>
      <c r="L9295" s="8" t="n"/>
      <c r="M9295" s="9">
        <f>B9295+30</f>
        <v/>
      </c>
      <c r="N9295">
        <f>IF(L9295="", "", L9295-B9295)</f>
        <v/>
      </c>
      <c r="O9295">
        <f>IF(L9295="", "Pending", IF(N9295&lt;=30, "Met", "Breached"))</f>
        <v/>
      </c>
      <c r="P9295" s="8" t="n"/>
      <c r="Q9295" s="8" t="n"/>
      <c r="R9295" s="8" t="n"/>
      <c r="S9295" s="8" t="n"/>
      <c r="T9295" s="8" t="n"/>
      <c r="U9295" s="8" t="n"/>
      <c r="V9295" s="8" t="n"/>
      <c r="W9295" s="8" t="n"/>
      <c r="X9295" s="8" t="n"/>
      <c r="Y9295" s="8" t="n"/>
    </row>
    <row r="9296">
      <c r="A9296" s="8" t="n"/>
      <c r="B9296" s="8" t="n"/>
      <c r="C9296" s="8" t="n"/>
      <c r="D9296" s="8" t="n"/>
      <c r="E9296" s="8" t="n"/>
      <c r="F9296" s="8" t="n"/>
      <c r="G9296" s="8" t="n"/>
      <c r="H9296" s="8" t="n"/>
      <c r="I9296" s="8" t="n"/>
      <c r="J9296" s="8" t="n"/>
      <c r="K9296" s="8" t="n"/>
      <c r="L9296" s="8" t="n"/>
      <c r="M9296" s="9">
        <f>B9296+30</f>
        <v/>
      </c>
      <c r="N9296">
        <f>IF(L9296="", "", L9296-B9296)</f>
        <v/>
      </c>
      <c r="O9296">
        <f>IF(L9296="", "Pending", IF(N9296&lt;=30, "Met", "Breached"))</f>
        <v/>
      </c>
      <c r="P9296" s="8" t="n"/>
      <c r="Q9296" s="8" t="n"/>
      <c r="R9296" s="8" t="n"/>
      <c r="S9296" s="8" t="n"/>
      <c r="T9296" s="8" t="n"/>
      <c r="U9296" s="8" t="n"/>
      <c r="V9296" s="8" t="n"/>
      <c r="W9296" s="8" t="n"/>
      <c r="X9296" s="8" t="n"/>
      <c r="Y9296" s="8" t="n"/>
    </row>
    <row r="9297">
      <c r="A9297" s="8" t="n"/>
      <c r="B9297" s="8" t="n"/>
      <c r="C9297" s="8" t="n"/>
      <c r="D9297" s="8" t="n"/>
      <c r="E9297" s="8" t="n"/>
      <c r="F9297" s="8" t="n"/>
      <c r="G9297" s="8" t="n"/>
      <c r="H9297" s="8" t="n"/>
      <c r="I9297" s="8" t="n"/>
      <c r="J9297" s="8" t="n"/>
      <c r="K9297" s="8" t="n"/>
      <c r="L9297" s="8" t="n"/>
      <c r="M9297" s="9">
        <f>B9297+30</f>
        <v/>
      </c>
      <c r="N9297">
        <f>IF(L9297="", "", L9297-B9297)</f>
        <v/>
      </c>
      <c r="O9297">
        <f>IF(L9297="", "Pending", IF(N9297&lt;=30, "Met", "Breached"))</f>
        <v/>
      </c>
      <c r="P9297" s="8" t="n"/>
      <c r="Q9297" s="8" t="n"/>
      <c r="R9297" s="8" t="n"/>
      <c r="S9297" s="8" t="n"/>
      <c r="T9297" s="8" t="n"/>
      <c r="U9297" s="8" t="n"/>
      <c r="V9297" s="8" t="n"/>
      <c r="W9297" s="8" t="n"/>
      <c r="X9297" s="8" t="n"/>
      <c r="Y9297" s="8" t="n"/>
    </row>
    <row r="9298">
      <c r="A9298" s="8" t="n"/>
      <c r="B9298" s="8" t="n"/>
      <c r="C9298" s="8" t="n"/>
      <c r="D9298" s="8" t="n"/>
      <c r="E9298" s="8" t="n"/>
      <c r="F9298" s="8" t="n"/>
      <c r="G9298" s="8" t="n"/>
      <c r="H9298" s="8" t="n"/>
      <c r="I9298" s="8" t="n"/>
      <c r="J9298" s="8" t="n"/>
      <c r="K9298" s="8" t="n"/>
      <c r="L9298" s="8" t="n"/>
      <c r="M9298" s="9">
        <f>B9298+30</f>
        <v/>
      </c>
      <c r="N9298">
        <f>IF(L9298="", "", L9298-B9298)</f>
        <v/>
      </c>
      <c r="O9298">
        <f>IF(L9298="", "Pending", IF(N9298&lt;=30, "Met", "Breached"))</f>
        <v/>
      </c>
      <c r="P9298" s="8" t="n"/>
      <c r="Q9298" s="8" t="n"/>
      <c r="R9298" s="8" t="n"/>
      <c r="S9298" s="8" t="n"/>
      <c r="T9298" s="8" t="n"/>
      <c r="U9298" s="8" t="n"/>
      <c r="V9298" s="8" t="n"/>
      <c r="W9298" s="8" t="n"/>
      <c r="X9298" s="8" t="n"/>
      <c r="Y9298" s="8" t="n"/>
    </row>
    <row r="9299">
      <c r="A9299" s="8" t="n"/>
      <c r="B9299" s="8" t="n"/>
      <c r="C9299" s="8" t="n"/>
      <c r="D9299" s="8" t="n"/>
      <c r="E9299" s="8" t="n"/>
      <c r="F9299" s="8" t="n"/>
      <c r="G9299" s="8" t="n"/>
      <c r="H9299" s="8" t="n"/>
      <c r="I9299" s="8" t="n"/>
      <c r="J9299" s="8" t="n"/>
      <c r="K9299" s="8" t="n"/>
      <c r="L9299" s="8" t="n"/>
      <c r="M9299" s="9">
        <f>B9299+30</f>
        <v/>
      </c>
      <c r="N9299">
        <f>IF(L9299="", "", L9299-B9299)</f>
        <v/>
      </c>
      <c r="O9299">
        <f>IF(L9299="", "Pending", IF(N9299&lt;=30, "Met", "Breached"))</f>
        <v/>
      </c>
      <c r="P9299" s="8" t="n"/>
      <c r="Q9299" s="8" t="n"/>
      <c r="R9299" s="8" t="n"/>
      <c r="S9299" s="8" t="n"/>
      <c r="T9299" s="8" t="n"/>
      <c r="U9299" s="8" t="n"/>
      <c r="V9299" s="8" t="n"/>
      <c r="W9299" s="8" t="n"/>
      <c r="X9299" s="8" t="n"/>
      <c r="Y9299" s="8" t="n"/>
    </row>
    <row r="9300">
      <c r="A9300" s="8" t="n"/>
      <c r="B9300" s="8" t="n"/>
      <c r="C9300" s="8" t="n"/>
      <c r="D9300" s="8" t="n"/>
      <c r="E9300" s="8" t="n"/>
      <c r="F9300" s="8" t="n"/>
      <c r="G9300" s="8" t="n"/>
      <c r="H9300" s="8" t="n"/>
      <c r="I9300" s="8" t="n"/>
      <c r="J9300" s="8" t="n"/>
      <c r="K9300" s="8" t="n"/>
      <c r="L9300" s="8" t="n"/>
      <c r="M9300" s="9">
        <f>B9300+30</f>
        <v/>
      </c>
      <c r="N9300">
        <f>IF(L9300="", "", L9300-B9300)</f>
        <v/>
      </c>
      <c r="O9300">
        <f>IF(L9300="", "Pending", IF(N9300&lt;=30, "Met", "Breached"))</f>
        <v/>
      </c>
      <c r="P9300" s="8" t="n"/>
      <c r="Q9300" s="8" t="n"/>
      <c r="R9300" s="8" t="n"/>
      <c r="S9300" s="8" t="n"/>
      <c r="T9300" s="8" t="n"/>
      <c r="U9300" s="8" t="n"/>
      <c r="V9300" s="8" t="n"/>
      <c r="W9300" s="8" t="n"/>
      <c r="X9300" s="8" t="n"/>
      <c r="Y9300" s="8" t="n"/>
    </row>
    <row r="9301">
      <c r="A9301" s="8" t="n"/>
      <c r="B9301" s="8" t="n"/>
      <c r="C9301" s="8" t="n"/>
      <c r="D9301" s="8" t="n"/>
      <c r="E9301" s="8" t="n"/>
      <c r="F9301" s="8" t="n"/>
      <c r="G9301" s="8" t="n"/>
      <c r="H9301" s="8" t="n"/>
      <c r="I9301" s="8" t="n"/>
      <c r="J9301" s="8" t="n"/>
      <c r="K9301" s="8" t="n"/>
      <c r="L9301" s="8" t="n"/>
      <c r="M9301" s="9">
        <f>B9301+30</f>
        <v/>
      </c>
      <c r="N9301">
        <f>IF(L9301="", "", L9301-B9301)</f>
        <v/>
      </c>
      <c r="O9301">
        <f>IF(L9301="", "Pending", IF(N9301&lt;=30, "Met", "Breached"))</f>
        <v/>
      </c>
      <c r="P9301" s="8" t="n"/>
      <c r="Q9301" s="8" t="n"/>
      <c r="R9301" s="8" t="n"/>
      <c r="S9301" s="8" t="n"/>
      <c r="T9301" s="8" t="n"/>
      <c r="U9301" s="8" t="n"/>
      <c r="V9301" s="8" t="n"/>
      <c r="W9301" s="8" t="n"/>
      <c r="X9301" s="8" t="n"/>
      <c r="Y9301" s="8" t="n"/>
    </row>
    <row r="9302">
      <c r="A9302" s="8" t="n"/>
      <c r="B9302" s="8" t="n"/>
      <c r="C9302" s="8" t="n"/>
      <c r="D9302" s="8" t="n"/>
      <c r="E9302" s="8" t="n"/>
      <c r="F9302" s="8" t="n"/>
      <c r="G9302" s="8" t="n"/>
      <c r="H9302" s="8" t="n"/>
      <c r="I9302" s="8" t="n"/>
      <c r="J9302" s="8" t="n"/>
      <c r="K9302" s="8" t="n"/>
      <c r="L9302" s="8" t="n"/>
      <c r="M9302" s="9">
        <f>B9302+30</f>
        <v/>
      </c>
      <c r="N9302">
        <f>IF(L9302="", "", L9302-B9302)</f>
        <v/>
      </c>
      <c r="O9302">
        <f>IF(L9302="", "Pending", IF(N9302&lt;=30, "Met", "Breached"))</f>
        <v/>
      </c>
      <c r="P9302" s="8" t="n"/>
      <c r="Q9302" s="8" t="n"/>
      <c r="R9302" s="8" t="n"/>
      <c r="S9302" s="8" t="n"/>
      <c r="T9302" s="8" t="n"/>
      <c r="U9302" s="8" t="n"/>
      <c r="V9302" s="8" t="n"/>
      <c r="W9302" s="8" t="n"/>
      <c r="X9302" s="8" t="n"/>
      <c r="Y9302" s="8" t="n"/>
    </row>
    <row r="9303">
      <c r="A9303" s="8" t="n"/>
      <c r="B9303" s="8" t="n"/>
      <c r="C9303" s="8" t="n"/>
      <c r="D9303" s="8" t="n"/>
      <c r="E9303" s="8" t="n"/>
      <c r="F9303" s="8" t="n"/>
      <c r="G9303" s="8" t="n"/>
      <c r="H9303" s="8" t="n"/>
      <c r="I9303" s="8" t="n"/>
      <c r="J9303" s="8" t="n"/>
      <c r="K9303" s="8" t="n"/>
      <c r="L9303" s="8" t="n"/>
      <c r="M9303" s="9">
        <f>B9303+30</f>
        <v/>
      </c>
      <c r="N9303">
        <f>IF(L9303="", "", L9303-B9303)</f>
        <v/>
      </c>
      <c r="O9303">
        <f>IF(L9303="", "Pending", IF(N9303&lt;=30, "Met", "Breached"))</f>
        <v/>
      </c>
      <c r="P9303" s="8" t="n"/>
      <c r="Q9303" s="8" t="n"/>
      <c r="R9303" s="8" t="n"/>
      <c r="S9303" s="8" t="n"/>
      <c r="T9303" s="8" t="n"/>
      <c r="U9303" s="8" t="n"/>
      <c r="V9303" s="8" t="n"/>
      <c r="W9303" s="8" t="n"/>
      <c r="X9303" s="8" t="n"/>
      <c r="Y9303" s="8" t="n"/>
    </row>
    <row r="9304">
      <c r="A9304" s="8" t="n"/>
      <c r="B9304" s="8" t="n"/>
      <c r="C9304" s="8" t="n"/>
      <c r="D9304" s="8" t="n"/>
      <c r="E9304" s="8" t="n"/>
      <c r="F9304" s="8" t="n"/>
      <c r="G9304" s="8" t="n"/>
      <c r="H9304" s="8" t="n"/>
      <c r="I9304" s="8" t="n"/>
      <c r="J9304" s="8" t="n"/>
      <c r="K9304" s="8" t="n"/>
      <c r="L9304" s="8" t="n"/>
      <c r="M9304" s="9">
        <f>B9304+30</f>
        <v/>
      </c>
      <c r="N9304">
        <f>IF(L9304="", "", L9304-B9304)</f>
        <v/>
      </c>
      <c r="O9304">
        <f>IF(L9304="", "Pending", IF(N9304&lt;=30, "Met", "Breached"))</f>
        <v/>
      </c>
      <c r="P9304" s="8" t="n"/>
      <c r="Q9304" s="8" t="n"/>
      <c r="R9304" s="8" t="n"/>
      <c r="S9304" s="8" t="n"/>
      <c r="T9304" s="8" t="n"/>
      <c r="U9304" s="8" t="n"/>
      <c r="V9304" s="8" t="n"/>
      <c r="W9304" s="8" t="n"/>
      <c r="X9304" s="8" t="n"/>
      <c r="Y9304" s="8" t="n"/>
    </row>
    <row r="9305">
      <c r="A9305" s="8" t="n"/>
      <c r="B9305" s="8" t="n"/>
      <c r="C9305" s="8" t="n"/>
      <c r="D9305" s="8" t="n"/>
      <c r="E9305" s="8" t="n"/>
      <c r="F9305" s="8" t="n"/>
      <c r="G9305" s="8" t="n"/>
      <c r="H9305" s="8" t="n"/>
      <c r="I9305" s="8" t="n"/>
      <c r="J9305" s="8" t="n"/>
      <c r="K9305" s="8" t="n"/>
      <c r="L9305" s="8" t="n"/>
      <c r="M9305" s="9">
        <f>B9305+30</f>
        <v/>
      </c>
      <c r="N9305">
        <f>IF(L9305="", "", L9305-B9305)</f>
        <v/>
      </c>
      <c r="O9305">
        <f>IF(L9305="", "Pending", IF(N9305&lt;=30, "Met", "Breached"))</f>
        <v/>
      </c>
      <c r="P9305" s="8" t="n"/>
      <c r="Q9305" s="8" t="n"/>
      <c r="R9305" s="8" t="n"/>
      <c r="S9305" s="8" t="n"/>
      <c r="T9305" s="8" t="n"/>
      <c r="U9305" s="8" t="n"/>
      <c r="V9305" s="8" t="n"/>
      <c r="W9305" s="8" t="n"/>
      <c r="X9305" s="8" t="n"/>
      <c r="Y9305" s="8" t="n"/>
    </row>
    <row r="9306">
      <c r="A9306" s="8" t="n"/>
      <c r="B9306" s="8" t="n"/>
      <c r="C9306" s="8" t="n"/>
      <c r="D9306" s="8" t="n"/>
      <c r="E9306" s="8" t="n"/>
      <c r="F9306" s="8" t="n"/>
      <c r="G9306" s="8" t="n"/>
      <c r="H9306" s="8" t="n"/>
      <c r="I9306" s="8" t="n"/>
      <c r="J9306" s="8" t="n"/>
      <c r="K9306" s="8" t="n"/>
      <c r="L9306" s="8" t="n"/>
      <c r="M9306" s="9">
        <f>B9306+30</f>
        <v/>
      </c>
      <c r="N9306">
        <f>IF(L9306="", "", L9306-B9306)</f>
        <v/>
      </c>
      <c r="O9306">
        <f>IF(L9306="", "Pending", IF(N9306&lt;=30, "Met", "Breached"))</f>
        <v/>
      </c>
      <c r="P9306" s="8" t="n"/>
      <c r="Q9306" s="8" t="n"/>
      <c r="R9306" s="8" t="n"/>
      <c r="S9306" s="8" t="n"/>
      <c r="T9306" s="8" t="n"/>
      <c r="U9306" s="8" t="n"/>
      <c r="V9306" s="8" t="n"/>
      <c r="W9306" s="8" t="n"/>
      <c r="X9306" s="8" t="n"/>
      <c r="Y9306" s="8" t="n"/>
    </row>
    <row r="9307">
      <c r="A9307" s="8" t="n"/>
      <c r="B9307" s="8" t="n"/>
      <c r="C9307" s="8" t="n"/>
      <c r="D9307" s="8" t="n"/>
      <c r="E9307" s="8" t="n"/>
      <c r="F9307" s="8" t="n"/>
      <c r="G9307" s="8" t="n"/>
      <c r="H9307" s="8" t="n"/>
      <c r="I9307" s="8" t="n"/>
      <c r="J9307" s="8" t="n"/>
      <c r="K9307" s="8" t="n"/>
      <c r="L9307" s="8" t="n"/>
      <c r="M9307" s="9">
        <f>B9307+30</f>
        <v/>
      </c>
      <c r="N9307">
        <f>IF(L9307="", "", L9307-B9307)</f>
        <v/>
      </c>
      <c r="O9307">
        <f>IF(L9307="", "Pending", IF(N9307&lt;=30, "Met", "Breached"))</f>
        <v/>
      </c>
      <c r="P9307" s="8" t="n"/>
      <c r="Q9307" s="8" t="n"/>
      <c r="R9307" s="8" t="n"/>
      <c r="S9307" s="8" t="n"/>
      <c r="T9307" s="8" t="n"/>
      <c r="U9307" s="8" t="n"/>
      <c r="V9307" s="8" t="n"/>
      <c r="W9307" s="8" t="n"/>
      <c r="X9307" s="8" t="n"/>
      <c r="Y9307" s="8" t="n"/>
    </row>
    <row r="9308">
      <c r="A9308" s="8" t="n"/>
      <c r="B9308" s="8" t="n"/>
      <c r="C9308" s="8" t="n"/>
      <c r="D9308" s="8" t="n"/>
      <c r="E9308" s="8" t="n"/>
      <c r="F9308" s="8" t="n"/>
      <c r="G9308" s="8" t="n"/>
      <c r="H9308" s="8" t="n"/>
      <c r="I9308" s="8" t="n"/>
      <c r="J9308" s="8" t="n"/>
      <c r="K9308" s="8" t="n"/>
      <c r="L9308" s="8" t="n"/>
      <c r="M9308" s="9">
        <f>B9308+30</f>
        <v/>
      </c>
      <c r="N9308">
        <f>IF(L9308="", "", L9308-B9308)</f>
        <v/>
      </c>
      <c r="O9308">
        <f>IF(L9308="", "Pending", IF(N9308&lt;=30, "Met", "Breached"))</f>
        <v/>
      </c>
      <c r="P9308" s="8" t="n"/>
      <c r="Q9308" s="8" t="n"/>
      <c r="R9308" s="8" t="n"/>
      <c r="S9308" s="8" t="n"/>
      <c r="T9308" s="8" t="n"/>
      <c r="U9308" s="8" t="n"/>
      <c r="V9308" s="8" t="n"/>
      <c r="W9308" s="8" t="n"/>
      <c r="X9308" s="8" t="n"/>
      <c r="Y9308" s="8" t="n"/>
    </row>
    <row r="9309">
      <c r="A9309" s="8" t="n"/>
      <c r="B9309" s="8" t="n"/>
      <c r="C9309" s="8" t="n"/>
      <c r="D9309" s="8" t="n"/>
      <c r="E9309" s="8" t="n"/>
      <c r="F9309" s="8" t="n"/>
      <c r="G9309" s="8" t="n"/>
      <c r="H9309" s="8" t="n"/>
      <c r="I9309" s="8" t="n"/>
      <c r="J9309" s="8" t="n"/>
      <c r="K9309" s="8" t="n"/>
      <c r="L9309" s="8" t="n"/>
      <c r="M9309" s="9">
        <f>B9309+30</f>
        <v/>
      </c>
      <c r="N9309">
        <f>IF(L9309="", "", L9309-B9309)</f>
        <v/>
      </c>
      <c r="O9309">
        <f>IF(L9309="", "Pending", IF(N9309&lt;=30, "Met", "Breached"))</f>
        <v/>
      </c>
      <c r="P9309" s="8" t="n"/>
      <c r="Q9309" s="8" t="n"/>
      <c r="R9309" s="8" t="n"/>
      <c r="S9309" s="8" t="n"/>
      <c r="T9309" s="8" t="n"/>
      <c r="U9309" s="8" t="n"/>
      <c r="V9309" s="8" t="n"/>
      <c r="W9309" s="8" t="n"/>
      <c r="X9309" s="8" t="n"/>
      <c r="Y9309" s="8" t="n"/>
    </row>
    <row r="9310">
      <c r="A9310" s="8" t="n"/>
      <c r="B9310" s="8" t="n"/>
      <c r="C9310" s="8" t="n"/>
      <c r="D9310" s="8" t="n"/>
      <c r="E9310" s="8" t="n"/>
      <c r="F9310" s="8" t="n"/>
      <c r="G9310" s="8" t="n"/>
      <c r="H9310" s="8" t="n"/>
      <c r="I9310" s="8" t="n"/>
      <c r="J9310" s="8" t="n"/>
      <c r="K9310" s="8" t="n"/>
      <c r="L9310" s="8" t="n"/>
      <c r="M9310" s="9">
        <f>B9310+30</f>
        <v/>
      </c>
      <c r="N9310">
        <f>IF(L9310="", "", L9310-B9310)</f>
        <v/>
      </c>
      <c r="O9310">
        <f>IF(L9310="", "Pending", IF(N9310&lt;=30, "Met", "Breached"))</f>
        <v/>
      </c>
      <c r="P9310" s="8" t="n"/>
      <c r="Q9310" s="8" t="n"/>
      <c r="R9310" s="8" t="n"/>
      <c r="S9310" s="8" t="n"/>
      <c r="T9310" s="8" t="n"/>
      <c r="U9310" s="8" t="n"/>
      <c r="V9310" s="8" t="n"/>
      <c r="W9310" s="8" t="n"/>
      <c r="X9310" s="8" t="n"/>
      <c r="Y9310" s="8" t="n"/>
    </row>
    <row r="9311">
      <c r="A9311" s="8" t="n"/>
      <c r="B9311" s="8" t="n"/>
      <c r="C9311" s="8" t="n"/>
      <c r="D9311" s="8" t="n"/>
      <c r="E9311" s="8" t="n"/>
      <c r="F9311" s="8" t="n"/>
      <c r="G9311" s="8" t="n"/>
      <c r="H9311" s="8" t="n"/>
      <c r="I9311" s="8" t="n"/>
      <c r="J9311" s="8" t="n"/>
      <c r="K9311" s="8" t="n"/>
      <c r="L9311" s="8" t="n"/>
      <c r="M9311" s="9">
        <f>B9311+30</f>
        <v/>
      </c>
      <c r="N9311">
        <f>IF(L9311="", "", L9311-B9311)</f>
        <v/>
      </c>
      <c r="O9311">
        <f>IF(L9311="", "Pending", IF(N9311&lt;=30, "Met", "Breached"))</f>
        <v/>
      </c>
      <c r="P9311" s="8" t="n"/>
      <c r="Q9311" s="8" t="n"/>
      <c r="R9311" s="8" t="n"/>
      <c r="S9311" s="8" t="n"/>
      <c r="T9311" s="8" t="n"/>
      <c r="U9311" s="8" t="n"/>
      <c r="V9311" s="8" t="n"/>
      <c r="W9311" s="8" t="n"/>
      <c r="X9311" s="8" t="n"/>
      <c r="Y9311" s="8" t="n"/>
    </row>
    <row r="9312">
      <c r="A9312" s="8" t="n"/>
      <c r="B9312" s="8" t="n"/>
      <c r="C9312" s="8" t="n"/>
      <c r="D9312" s="8" t="n"/>
      <c r="E9312" s="8" t="n"/>
      <c r="F9312" s="8" t="n"/>
      <c r="G9312" s="8" t="n"/>
      <c r="H9312" s="8" t="n"/>
      <c r="I9312" s="8" t="n"/>
      <c r="J9312" s="8" t="n"/>
      <c r="K9312" s="8" t="n"/>
      <c r="L9312" s="8" t="n"/>
      <c r="M9312" s="9">
        <f>B9312+30</f>
        <v/>
      </c>
      <c r="N9312">
        <f>IF(L9312="", "", L9312-B9312)</f>
        <v/>
      </c>
      <c r="O9312">
        <f>IF(L9312="", "Pending", IF(N9312&lt;=30, "Met", "Breached"))</f>
        <v/>
      </c>
      <c r="P9312" s="8" t="n"/>
      <c r="Q9312" s="8" t="n"/>
      <c r="R9312" s="8" t="n"/>
      <c r="S9312" s="8" t="n"/>
      <c r="T9312" s="8" t="n"/>
      <c r="U9312" s="8" t="n"/>
      <c r="V9312" s="8" t="n"/>
      <c r="W9312" s="8" t="n"/>
      <c r="X9312" s="8" t="n"/>
      <c r="Y9312" s="8" t="n"/>
    </row>
    <row r="9313">
      <c r="A9313" s="8" t="n"/>
      <c r="B9313" s="8" t="n"/>
      <c r="C9313" s="8" t="n"/>
      <c r="D9313" s="8" t="n"/>
      <c r="E9313" s="8" t="n"/>
      <c r="F9313" s="8" t="n"/>
      <c r="G9313" s="8" t="n"/>
      <c r="H9313" s="8" t="n"/>
      <c r="I9313" s="8" t="n"/>
      <c r="J9313" s="8" t="n"/>
      <c r="K9313" s="8" t="n"/>
      <c r="L9313" s="8" t="n"/>
      <c r="M9313" s="9">
        <f>B9313+30</f>
        <v/>
      </c>
      <c r="N9313">
        <f>IF(L9313="", "", L9313-B9313)</f>
        <v/>
      </c>
      <c r="O9313">
        <f>IF(L9313="", "Pending", IF(N9313&lt;=30, "Met", "Breached"))</f>
        <v/>
      </c>
      <c r="P9313" s="8" t="n"/>
      <c r="Q9313" s="8" t="n"/>
      <c r="R9313" s="8" t="n"/>
      <c r="S9313" s="8" t="n"/>
      <c r="T9313" s="8" t="n"/>
      <c r="U9313" s="8" t="n"/>
      <c r="V9313" s="8" t="n"/>
      <c r="W9313" s="8" t="n"/>
      <c r="X9313" s="8" t="n"/>
      <c r="Y9313" s="8" t="n"/>
    </row>
    <row r="9314">
      <c r="A9314" s="8" t="n"/>
      <c r="B9314" s="8" t="n"/>
      <c r="C9314" s="8" t="n"/>
      <c r="D9314" s="8" t="n"/>
      <c r="E9314" s="8" t="n"/>
      <c r="F9314" s="8" t="n"/>
      <c r="G9314" s="8" t="n"/>
      <c r="H9314" s="8" t="n"/>
      <c r="I9314" s="8" t="n"/>
      <c r="J9314" s="8" t="n"/>
      <c r="K9314" s="8" t="n"/>
      <c r="L9314" s="8" t="n"/>
      <c r="M9314" s="9">
        <f>B9314+30</f>
        <v/>
      </c>
      <c r="N9314">
        <f>IF(L9314="", "", L9314-B9314)</f>
        <v/>
      </c>
      <c r="O9314">
        <f>IF(L9314="", "Pending", IF(N9314&lt;=30, "Met", "Breached"))</f>
        <v/>
      </c>
      <c r="P9314" s="8" t="n"/>
      <c r="Q9314" s="8" t="n"/>
      <c r="R9314" s="8" t="n"/>
      <c r="S9314" s="8" t="n"/>
      <c r="T9314" s="8" t="n"/>
      <c r="U9314" s="8" t="n"/>
      <c r="V9314" s="8" t="n"/>
      <c r="W9314" s="8" t="n"/>
      <c r="X9314" s="8" t="n"/>
      <c r="Y9314" s="8" t="n"/>
    </row>
    <row r="9315">
      <c r="A9315" s="8" t="n"/>
      <c r="B9315" s="8" t="n"/>
      <c r="C9315" s="8" t="n"/>
      <c r="D9315" s="8" t="n"/>
      <c r="E9315" s="8" t="n"/>
      <c r="F9315" s="8" t="n"/>
      <c r="G9315" s="8" t="n"/>
      <c r="H9315" s="8" t="n"/>
      <c r="I9315" s="8" t="n"/>
      <c r="J9315" s="8" t="n"/>
      <c r="K9315" s="8" t="n"/>
      <c r="L9315" s="8" t="n"/>
      <c r="M9315" s="9">
        <f>B9315+30</f>
        <v/>
      </c>
      <c r="N9315">
        <f>IF(L9315="", "", L9315-B9315)</f>
        <v/>
      </c>
      <c r="O9315">
        <f>IF(L9315="", "Pending", IF(N9315&lt;=30, "Met", "Breached"))</f>
        <v/>
      </c>
      <c r="P9315" s="8" t="n"/>
      <c r="Q9315" s="8" t="n"/>
      <c r="R9315" s="8" t="n"/>
      <c r="S9315" s="8" t="n"/>
      <c r="T9315" s="8" t="n"/>
      <c r="U9315" s="8" t="n"/>
      <c r="V9315" s="8" t="n"/>
      <c r="W9315" s="8" t="n"/>
      <c r="X9315" s="8" t="n"/>
      <c r="Y9315" s="8" t="n"/>
    </row>
    <row r="9316">
      <c r="A9316" s="8" t="n"/>
      <c r="B9316" s="8" t="n"/>
      <c r="C9316" s="8" t="n"/>
      <c r="D9316" s="8" t="n"/>
      <c r="E9316" s="8" t="n"/>
      <c r="F9316" s="8" t="n"/>
      <c r="G9316" s="8" t="n"/>
      <c r="H9316" s="8" t="n"/>
      <c r="I9316" s="8" t="n"/>
      <c r="J9316" s="8" t="n"/>
      <c r="K9316" s="8" t="n"/>
      <c r="L9316" s="8" t="n"/>
      <c r="M9316" s="9">
        <f>B9316+30</f>
        <v/>
      </c>
      <c r="N9316">
        <f>IF(L9316="", "", L9316-B9316)</f>
        <v/>
      </c>
      <c r="O9316">
        <f>IF(L9316="", "Pending", IF(N9316&lt;=30, "Met", "Breached"))</f>
        <v/>
      </c>
      <c r="P9316" s="8" t="n"/>
      <c r="Q9316" s="8" t="n"/>
      <c r="R9316" s="8" t="n"/>
      <c r="S9316" s="8" t="n"/>
      <c r="T9316" s="8" t="n"/>
      <c r="U9316" s="8" t="n"/>
      <c r="V9316" s="8" t="n"/>
      <c r="W9316" s="8" t="n"/>
      <c r="X9316" s="8" t="n"/>
      <c r="Y9316" s="8" t="n"/>
    </row>
    <row r="9317">
      <c r="A9317" s="8" t="n"/>
      <c r="B9317" s="8" t="n"/>
      <c r="C9317" s="8" t="n"/>
      <c r="D9317" s="8" t="n"/>
      <c r="E9317" s="8" t="n"/>
      <c r="F9317" s="8" t="n"/>
      <c r="G9317" s="8" t="n"/>
      <c r="H9317" s="8" t="n"/>
      <c r="I9317" s="8" t="n"/>
      <c r="J9317" s="8" t="n"/>
      <c r="K9317" s="8" t="n"/>
      <c r="L9317" s="8" t="n"/>
      <c r="M9317" s="9">
        <f>B9317+30</f>
        <v/>
      </c>
      <c r="N9317">
        <f>IF(L9317="", "", L9317-B9317)</f>
        <v/>
      </c>
      <c r="O9317">
        <f>IF(L9317="", "Pending", IF(N9317&lt;=30, "Met", "Breached"))</f>
        <v/>
      </c>
      <c r="P9317" s="8" t="n"/>
      <c r="Q9317" s="8" t="n"/>
      <c r="R9317" s="8" t="n"/>
      <c r="S9317" s="8" t="n"/>
      <c r="T9317" s="8" t="n"/>
      <c r="U9317" s="8" t="n"/>
      <c r="V9317" s="8" t="n"/>
      <c r="W9317" s="8" t="n"/>
      <c r="X9317" s="8" t="n"/>
      <c r="Y9317" s="8" t="n"/>
    </row>
    <row r="9318">
      <c r="A9318" s="8" t="n"/>
      <c r="B9318" s="8" t="n"/>
      <c r="C9318" s="8" t="n"/>
      <c r="D9318" s="8" t="n"/>
      <c r="E9318" s="8" t="n"/>
      <c r="F9318" s="8" t="n"/>
      <c r="G9318" s="8" t="n"/>
      <c r="H9318" s="8" t="n"/>
      <c r="I9318" s="8" t="n"/>
      <c r="J9318" s="8" t="n"/>
      <c r="K9318" s="8" t="n"/>
      <c r="L9318" s="8" t="n"/>
      <c r="M9318" s="9">
        <f>B9318+30</f>
        <v/>
      </c>
      <c r="N9318">
        <f>IF(L9318="", "", L9318-B9318)</f>
        <v/>
      </c>
      <c r="O9318">
        <f>IF(L9318="", "Pending", IF(N9318&lt;=30, "Met", "Breached"))</f>
        <v/>
      </c>
      <c r="P9318" s="8" t="n"/>
      <c r="Q9318" s="8" t="n"/>
      <c r="R9318" s="8" t="n"/>
      <c r="S9318" s="8" t="n"/>
      <c r="T9318" s="8" t="n"/>
      <c r="U9318" s="8" t="n"/>
      <c r="V9318" s="8" t="n"/>
      <c r="W9318" s="8" t="n"/>
      <c r="X9318" s="8" t="n"/>
      <c r="Y9318" s="8" t="n"/>
    </row>
    <row r="9319">
      <c r="A9319" s="8" t="n"/>
      <c r="B9319" s="8" t="n"/>
      <c r="C9319" s="8" t="n"/>
      <c r="D9319" s="8" t="n"/>
      <c r="E9319" s="8" t="n"/>
      <c r="F9319" s="8" t="n"/>
      <c r="G9319" s="8" t="n"/>
      <c r="H9319" s="8" t="n"/>
      <c r="I9319" s="8" t="n"/>
      <c r="J9319" s="8" t="n"/>
      <c r="K9319" s="8" t="n"/>
      <c r="L9319" s="8" t="n"/>
      <c r="M9319" s="9">
        <f>B9319+30</f>
        <v/>
      </c>
      <c r="N9319">
        <f>IF(L9319="", "", L9319-B9319)</f>
        <v/>
      </c>
      <c r="O9319">
        <f>IF(L9319="", "Pending", IF(N9319&lt;=30, "Met", "Breached"))</f>
        <v/>
      </c>
      <c r="P9319" s="8" t="n"/>
      <c r="Q9319" s="8" t="n"/>
      <c r="R9319" s="8" t="n"/>
      <c r="S9319" s="8" t="n"/>
      <c r="T9319" s="8" t="n"/>
      <c r="U9319" s="8" t="n"/>
      <c r="V9319" s="8" t="n"/>
      <c r="W9319" s="8" t="n"/>
      <c r="X9319" s="8" t="n"/>
      <c r="Y9319" s="8" t="n"/>
    </row>
    <row r="9320">
      <c r="A9320" s="8" t="n"/>
      <c r="B9320" s="8" t="n"/>
      <c r="C9320" s="8" t="n"/>
      <c r="D9320" s="8" t="n"/>
      <c r="E9320" s="8" t="n"/>
      <c r="F9320" s="8" t="n"/>
      <c r="G9320" s="8" t="n"/>
      <c r="H9320" s="8" t="n"/>
      <c r="I9320" s="8" t="n"/>
      <c r="J9320" s="8" t="n"/>
      <c r="K9320" s="8" t="n"/>
      <c r="L9320" s="8" t="n"/>
      <c r="M9320" s="9">
        <f>B9320+30</f>
        <v/>
      </c>
      <c r="N9320">
        <f>IF(L9320="", "", L9320-B9320)</f>
        <v/>
      </c>
      <c r="O9320">
        <f>IF(L9320="", "Pending", IF(N9320&lt;=30, "Met", "Breached"))</f>
        <v/>
      </c>
      <c r="P9320" s="8" t="n"/>
      <c r="Q9320" s="8" t="n"/>
      <c r="R9320" s="8" t="n"/>
      <c r="S9320" s="8" t="n"/>
      <c r="T9320" s="8" t="n"/>
      <c r="U9320" s="8" t="n"/>
      <c r="V9320" s="8" t="n"/>
      <c r="W9320" s="8" t="n"/>
      <c r="X9320" s="8" t="n"/>
      <c r="Y9320" s="8" t="n"/>
    </row>
    <row r="9321">
      <c r="A9321" s="8" t="n"/>
      <c r="B9321" s="8" t="n"/>
      <c r="C9321" s="8" t="n"/>
      <c r="D9321" s="8" t="n"/>
      <c r="E9321" s="8" t="n"/>
      <c r="F9321" s="8" t="n"/>
      <c r="G9321" s="8" t="n"/>
      <c r="H9321" s="8" t="n"/>
      <c r="I9321" s="8" t="n"/>
      <c r="J9321" s="8" t="n"/>
      <c r="K9321" s="8" t="n"/>
      <c r="L9321" s="8" t="n"/>
      <c r="M9321" s="9">
        <f>B9321+30</f>
        <v/>
      </c>
      <c r="N9321">
        <f>IF(L9321="", "", L9321-B9321)</f>
        <v/>
      </c>
      <c r="O9321">
        <f>IF(L9321="", "Pending", IF(N9321&lt;=30, "Met", "Breached"))</f>
        <v/>
      </c>
      <c r="P9321" s="8" t="n"/>
      <c r="Q9321" s="8" t="n"/>
      <c r="R9321" s="8" t="n"/>
      <c r="S9321" s="8" t="n"/>
      <c r="T9321" s="8" t="n"/>
      <c r="U9321" s="8" t="n"/>
      <c r="V9321" s="8" t="n"/>
      <c r="W9321" s="8" t="n"/>
      <c r="X9321" s="8" t="n"/>
      <c r="Y9321" s="8" t="n"/>
    </row>
    <row r="9322">
      <c r="A9322" s="8" t="n"/>
      <c r="B9322" s="8" t="n"/>
      <c r="C9322" s="8" t="n"/>
      <c r="D9322" s="8" t="n"/>
      <c r="E9322" s="8" t="n"/>
      <c r="F9322" s="8" t="n"/>
      <c r="G9322" s="8" t="n"/>
      <c r="H9322" s="8" t="n"/>
      <c r="I9322" s="8" t="n"/>
      <c r="J9322" s="8" t="n"/>
      <c r="K9322" s="8" t="n"/>
      <c r="L9322" s="8" t="n"/>
      <c r="M9322" s="9">
        <f>B9322+30</f>
        <v/>
      </c>
      <c r="N9322">
        <f>IF(L9322="", "", L9322-B9322)</f>
        <v/>
      </c>
      <c r="O9322">
        <f>IF(L9322="", "Pending", IF(N9322&lt;=30, "Met", "Breached"))</f>
        <v/>
      </c>
      <c r="P9322" s="8" t="n"/>
      <c r="Q9322" s="8" t="n"/>
      <c r="R9322" s="8" t="n"/>
      <c r="S9322" s="8" t="n"/>
      <c r="T9322" s="8" t="n"/>
      <c r="U9322" s="8" t="n"/>
      <c r="V9322" s="8" t="n"/>
      <c r="W9322" s="8" t="n"/>
      <c r="X9322" s="8" t="n"/>
      <c r="Y9322" s="8" t="n"/>
    </row>
    <row r="9323">
      <c r="A9323" s="8" t="n"/>
      <c r="B9323" s="8" t="n"/>
      <c r="C9323" s="8" t="n"/>
      <c r="D9323" s="8" t="n"/>
      <c r="E9323" s="8" t="n"/>
      <c r="F9323" s="8" t="n"/>
      <c r="G9323" s="8" t="n"/>
      <c r="H9323" s="8" t="n"/>
      <c r="I9323" s="8" t="n"/>
      <c r="J9323" s="8" t="n"/>
      <c r="K9323" s="8" t="n"/>
      <c r="L9323" s="8" t="n"/>
      <c r="M9323" s="9">
        <f>B9323+30</f>
        <v/>
      </c>
      <c r="N9323">
        <f>IF(L9323="", "", L9323-B9323)</f>
        <v/>
      </c>
      <c r="O9323">
        <f>IF(L9323="", "Pending", IF(N9323&lt;=30, "Met", "Breached"))</f>
        <v/>
      </c>
      <c r="P9323" s="8" t="n"/>
      <c r="Q9323" s="8" t="n"/>
      <c r="R9323" s="8" t="n"/>
      <c r="S9323" s="8" t="n"/>
      <c r="T9323" s="8" t="n"/>
      <c r="U9323" s="8" t="n"/>
      <c r="V9323" s="8" t="n"/>
      <c r="W9323" s="8" t="n"/>
      <c r="X9323" s="8" t="n"/>
      <c r="Y9323" s="8" t="n"/>
    </row>
    <row r="9324">
      <c r="A9324" s="8" t="n"/>
      <c r="B9324" s="8" t="n"/>
      <c r="C9324" s="8" t="n"/>
      <c r="D9324" s="8" t="n"/>
      <c r="E9324" s="8" t="n"/>
      <c r="F9324" s="8" t="n"/>
      <c r="G9324" s="8" t="n"/>
      <c r="H9324" s="8" t="n"/>
      <c r="I9324" s="8" t="n"/>
      <c r="J9324" s="8" t="n"/>
      <c r="K9324" s="8" t="n"/>
      <c r="L9324" s="8" t="n"/>
      <c r="M9324" s="9">
        <f>B9324+30</f>
        <v/>
      </c>
      <c r="N9324">
        <f>IF(L9324="", "", L9324-B9324)</f>
        <v/>
      </c>
      <c r="O9324">
        <f>IF(L9324="", "Pending", IF(N9324&lt;=30, "Met", "Breached"))</f>
        <v/>
      </c>
      <c r="P9324" s="8" t="n"/>
      <c r="Q9324" s="8" t="n"/>
      <c r="R9324" s="8" t="n"/>
      <c r="S9324" s="8" t="n"/>
      <c r="T9324" s="8" t="n"/>
      <c r="U9324" s="8" t="n"/>
      <c r="V9324" s="8" t="n"/>
      <c r="W9324" s="8" t="n"/>
      <c r="X9324" s="8" t="n"/>
      <c r="Y9324" s="8" t="n"/>
    </row>
    <row r="9325">
      <c r="A9325" s="8" t="n"/>
      <c r="B9325" s="8" t="n"/>
      <c r="C9325" s="8" t="n"/>
      <c r="D9325" s="8" t="n"/>
      <c r="E9325" s="8" t="n"/>
      <c r="F9325" s="8" t="n"/>
      <c r="G9325" s="8" t="n"/>
      <c r="H9325" s="8" t="n"/>
      <c r="I9325" s="8" t="n"/>
      <c r="J9325" s="8" t="n"/>
      <c r="K9325" s="8" t="n"/>
      <c r="L9325" s="8" t="n"/>
      <c r="M9325" s="9">
        <f>B9325+30</f>
        <v/>
      </c>
      <c r="N9325">
        <f>IF(L9325="", "", L9325-B9325)</f>
        <v/>
      </c>
      <c r="O9325">
        <f>IF(L9325="", "Pending", IF(N9325&lt;=30, "Met", "Breached"))</f>
        <v/>
      </c>
      <c r="P9325" s="8" t="n"/>
      <c r="Q9325" s="8" t="n"/>
      <c r="R9325" s="8" t="n"/>
      <c r="S9325" s="8" t="n"/>
      <c r="T9325" s="8" t="n"/>
      <c r="U9325" s="8" t="n"/>
      <c r="V9325" s="8" t="n"/>
      <c r="W9325" s="8" t="n"/>
      <c r="X9325" s="8" t="n"/>
      <c r="Y9325" s="8" t="n"/>
    </row>
    <row r="9326">
      <c r="A9326" s="8" t="n"/>
      <c r="B9326" s="8" t="n"/>
      <c r="C9326" s="8" t="n"/>
      <c r="D9326" s="8" t="n"/>
      <c r="E9326" s="8" t="n"/>
      <c r="F9326" s="8" t="n"/>
      <c r="G9326" s="8" t="n"/>
      <c r="H9326" s="8" t="n"/>
      <c r="I9326" s="8" t="n"/>
      <c r="J9326" s="8" t="n"/>
      <c r="K9326" s="8" t="n"/>
      <c r="L9326" s="8" t="n"/>
      <c r="M9326" s="9">
        <f>B9326+30</f>
        <v/>
      </c>
      <c r="N9326">
        <f>IF(L9326="", "", L9326-B9326)</f>
        <v/>
      </c>
      <c r="O9326">
        <f>IF(L9326="", "Pending", IF(N9326&lt;=30, "Met", "Breached"))</f>
        <v/>
      </c>
      <c r="P9326" s="8" t="n"/>
      <c r="Q9326" s="8" t="n"/>
      <c r="R9326" s="8" t="n"/>
      <c r="S9326" s="8" t="n"/>
      <c r="T9326" s="8" t="n"/>
      <c r="U9326" s="8" t="n"/>
      <c r="V9326" s="8" t="n"/>
      <c r="W9326" s="8" t="n"/>
      <c r="X9326" s="8" t="n"/>
      <c r="Y9326" s="8" t="n"/>
    </row>
    <row r="9327">
      <c r="A9327" s="8" t="n"/>
      <c r="B9327" s="8" t="n"/>
      <c r="C9327" s="8" t="n"/>
      <c r="D9327" s="8" t="n"/>
      <c r="E9327" s="8" t="n"/>
      <c r="F9327" s="8" t="n"/>
      <c r="G9327" s="8" t="n"/>
      <c r="H9327" s="8" t="n"/>
      <c r="I9327" s="8" t="n"/>
      <c r="J9327" s="8" t="n"/>
      <c r="K9327" s="8" t="n"/>
      <c r="L9327" s="8" t="n"/>
      <c r="M9327" s="9">
        <f>B9327+30</f>
        <v/>
      </c>
      <c r="N9327">
        <f>IF(L9327="", "", L9327-B9327)</f>
        <v/>
      </c>
      <c r="O9327">
        <f>IF(L9327="", "Pending", IF(N9327&lt;=30, "Met", "Breached"))</f>
        <v/>
      </c>
      <c r="P9327" s="8" t="n"/>
      <c r="Q9327" s="8" t="n"/>
      <c r="R9327" s="8" t="n"/>
      <c r="S9327" s="8" t="n"/>
      <c r="T9327" s="8" t="n"/>
      <c r="U9327" s="8" t="n"/>
      <c r="V9327" s="8" t="n"/>
      <c r="W9327" s="8" t="n"/>
      <c r="X9327" s="8" t="n"/>
      <c r="Y9327" s="8" t="n"/>
    </row>
    <row r="9328">
      <c r="A9328" s="8" t="n"/>
      <c r="B9328" s="8" t="n"/>
      <c r="C9328" s="8" t="n"/>
      <c r="D9328" s="8" t="n"/>
      <c r="E9328" s="8" t="n"/>
      <c r="F9328" s="8" t="n"/>
      <c r="G9328" s="8" t="n"/>
      <c r="H9328" s="8" t="n"/>
      <c r="I9328" s="8" t="n"/>
      <c r="J9328" s="8" t="n"/>
      <c r="K9328" s="8" t="n"/>
      <c r="L9328" s="8" t="n"/>
      <c r="M9328" s="9">
        <f>B9328+30</f>
        <v/>
      </c>
      <c r="N9328">
        <f>IF(L9328="", "", L9328-B9328)</f>
        <v/>
      </c>
      <c r="O9328">
        <f>IF(L9328="", "Pending", IF(N9328&lt;=30, "Met", "Breached"))</f>
        <v/>
      </c>
      <c r="P9328" s="8" t="n"/>
      <c r="Q9328" s="8" t="n"/>
      <c r="R9328" s="8" t="n"/>
      <c r="S9328" s="8" t="n"/>
      <c r="T9328" s="8" t="n"/>
      <c r="U9328" s="8" t="n"/>
      <c r="V9328" s="8" t="n"/>
      <c r="W9328" s="8" t="n"/>
      <c r="X9328" s="8" t="n"/>
      <c r="Y9328" s="8" t="n"/>
    </row>
    <row r="9329">
      <c r="A9329" s="8" t="n"/>
      <c r="B9329" s="8" t="n"/>
      <c r="C9329" s="8" t="n"/>
      <c r="D9329" s="8" t="n"/>
      <c r="E9329" s="8" t="n"/>
      <c r="F9329" s="8" t="n"/>
      <c r="G9329" s="8" t="n"/>
      <c r="H9329" s="8" t="n"/>
      <c r="I9329" s="8" t="n"/>
      <c r="J9329" s="8" t="n"/>
      <c r="K9329" s="8" t="n"/>
      <c r="L9329" s="8" t="n"/>
      <c r="M9329" s="9">
        <f>B9329+30</f>
        <v/>
      </c>
      <c r="N9329">
        <f>IF(L9329="", "", L9329-B9329)</f>
        <v/>
      </c>
      <c r="O9329">
        <f>IF(L9329="", "Pending", IF(N9329&lt;=30, "Met", "Breached"))</f>
        <v/>
      </c>
      <c r="P9329" s="8" t="n"/>
      <c r="Q9329" s="8" t="n"/>
      <c r="R9329" s="8" t="n"/>
      <c r="S9329" s="8" t="n"/>
      <c r="T9329" s="8" t="n"/>
      <c r="U9329" s="8" t="n"/>
      <c r="V9329" s="8" t="n"/>
      <c r="W9329" s="8" t="n"/>
      <c r="X9329" s="8" t="n"/>
      <c r="Y9329" s="8" t="n"/>
    </row>
    <row r="9330">
      <c r="A9330" s="8" t="n"/>
      <c r="B9330" s="8" t="n"/>
      <c r="C9330" s="8" t="n"/>
      <c r="D9330" s="8" t="n"/>
      <c r="E9330" s="8" t="n"/>
      <c r="F9330" s="8" t="n"/>
      <c r="G9330" s="8" t="n"/>
      <c r="H9330" s="8" t="n"/>
      <c r="I9330" s="8" t="n"/>
      <c r="J9330" s="8" t="n"/>
      <c r="K9330" s="8" t="n"/>
      <c r="L9330" s="8" t="n"/>
      <c r="M9330" s="9">
        <f>B9330+30</f>
        <v/>
      </c>
      <c r="N9330">
        <f>IF(L9330="", "", L9330-B9330)</f>
        <v/>
      </c>
      <c r="O9330">
        <f>IF(L9330="", "Pending", IF(N9330&lt;=30, "Met", "Breached"))</f>
        <v/>
      </c>
      <c r="P9330" s="8" t="n"/>
      <c r="Q9330" s="8" t="n"/>
      <c r="R9330" s="8" t="n"/>
      <c r="S9330" s="8" t="n"/>
      <c r="T9330" s="8" t="n"/>
      <c r="U9330" s="8" t="n"/>
      <c r="V9330" s="8" t="n"/>
      <c r="W9330" s="8" t="n"/>
      <c r="X9330" s="8" t="n"/>
      <c r="Y9330" s="8" t="n"/>
    </row>
    <row r="9331">
      <c r="A9331" s="8" t="n"/>
      <c r="B9331" s="8" t="n"/>
      <c r="C9331" s="8" t="n"/>
      <c r="D9331" s="8" t="n"/>
      <c r="E9331" s="8" t="n"/>
      <c r="F9331" s="8" t="n"/>
      <c r="G9331" s="8" t="n"/>
      <c r="H9331" s="8" t="n"/>
      <c r="I9331" s="8" t="n"/>
      <c r="J9331" s="8" t="n"/>
      <c r="K9331" s="8" t="n"/>
      <c r="L9331" s="8" t="n"/>
      <c r="M9331" s="9">
        <f>B9331+30</f>
        <v/>
      </c>
      <c r="N9331">
        <f>IF(L9331="", "", L9331-B9331)</f>
        <v/>
      </c>
      <c r="O9331">
        <f>IF(L9331="", "Pending", IF(N9331&lt;=30, "Met", "Breached"))</f>
        <v/>
      </c>
      <c r="P9331" s="8" t="n"/>
      <c r="Q9331" s="8" t="n"/>
      <c r="R9331" s="8" t="n"/>
      <c r="S9331" s="8" t="n"/>
      <c r="T9331" s="8" t="n"/>
      <c r="U9331" s="8" t="n"/>
      <c r="V9331" s="8" t="n"/>
      <c r="W9331" s="8" t="n"/>
      <c r="X9331" s="8" t="n"/>
      <c r="Y9331" s="8" t="n"/>
    </row>
    <row r="9332">
      <c r="A9332" s="8" t="n"/>
      <c r="B9332" s="8" t="n"/>
      <c r="C9332" s="8" t="n"/>
      <c r="D9332" s="8" t="n"/>
      <c r="E9332" s="8" t="n"/>
      <c r="F9332" s="8" t="n"/>
      <c r="G9332" s="8" t="n"/>
      <c r="H9332" s="8" t="n"/>
      <c r="I9332" s="8" t="n"/>
      <c r="J9332" s="8" t="n"/>
      <c r="K9332" s="8" t="n"/>
      <c r="L9332" s="8" t="n"/>
      <c r="M9332" s="9">
        <f>B9332+30</f>
        <v/>
      </c>
      <c r="N9332">
        <f>IF(L9332="", "", L9332-B9332)</f>
        <v/>
      </c>
      <c r="O9332">
        <f>IF(L9332="", "Pending", IF(N9332&lt;=30, "Met", "Breached"))</f>
        <v/>
      </c>
      <c r="P9332" s="8" t="n"/>
      <c r="Q9332" s="8" t="n"/>
      <c r="R9332" s="8" t="n"/>
      <c r="S9332" s="8" t="n"/>
      <c r="T9332" s="8" t="n"/>
      <c r="U9332" s="8" t="n"/>
      <c r="V9332" s="8" t="n"/>
      <c r="W9332" s="8" t="n"/>
      <c r="X9332" s="8" t="n"/>
      <c r="Y9332" s="8" t="n"/>
    </row>
    <row r="9333">
      <c r="A9333" s="8" t="n"/>
      <c r="B9333" s="8" t="n"/>
      <c r="C9333" s="8" t="n"/>
      <c r="D9333" s="8" t="n"/>
      <c r="E9333" s="8" t="n"/>
      <c r="F9333" s="8" t="n"/>
      <c r="G9333" s="8" t="n"/>
      <c r="H9333" s="8" t="n"/>
      <c r="I9333" s="8" t="n"/>
      <c r="J9333" s="8" t="n"/>
      <c r="K9333" s="8" t="n"/>
      <c r="L9333" s="8" t="n"/>
      <c r="M9333" s="9">
        <f>B9333+30</f>
        <v/>
      </c>
      <c r="N9333">
        <f>IF(L9333="", "", L9333-B9333)</f>
        <v/>
      </c>
      <c r="O9333">
        <f>IF(L9333="", "Pending", IF(N9333&lt;=30, "Met", "Breached"))</f>
        <v/>
      </c>
      <c r="P9333" s="8" t="n"/>
      <c r="Q9333" s="8" t="n"/>
      <c r="R9333" s="8" t="n"/>
      <c r="S9333" s="8" t="n"/>
      <c r="T9333" s="8" t="n"/>
      <c r="U9333" s="8" t="n"/>
      <c r="V9333" s="8" t="n"/>
      <c r="W9333" s="8" t="n"/>
      <c r="X9333" s="8" t="n"/>
      <c r="Y9333" s="8" t="n"/>
    </row>
    <row r="9334">
      <c r="A9334" s="8" t="n"/>
      <c r="B9334" s="8" t="n"/>
      <c r="C9334" s="8" t="n"/>
      <c r="D9334" s="8" t="n"/>
      <c r="E9334" s="8" t="n"/>
      <c r="F9334" s="8" t="n"/>
      <c r="G9334" s="8" t="n"/>
      <c r="H9334" s="8" t="n"/>
      <c r="I9334" s="8" t="n"/>
      <c r="J9334" s="8" t="n"/>
      <c r="K9334" s="8" t="n"/>
      <c r="L9334" s="8" t="n"/>
      <c r="M9334" s="9">
        <f>B9334+30</f>
        <v/>
      </c>
      <c r="N9334">
        <f>IF(L9334="", "", L9334-B9334)</f>
        <v/>
      </c>
      <c r="O9334">
        <f>IF(L9334="", "Pending", IF(N9334&lt;=30, "Met", "Breached"))</f>
        <v/>
      </c>
      <c r="P9334" s="8" t="n"/>
      <c r="Q9334" s="8" t="n"/>
      <c r="R9334" s="8" t="n"/>
      <c r="S9334" s="8" t="n"/>
      <c r="T9334" s="8" t="n"/>
      <c r="U9334" s="8" t="n"/>
      <c r="V9334" s="8" t="n"/>
      <c r="W9334" s="8" t="n"/>
      <c r="X9334" s="8" t="n"/>
      <c r="Y9334" s="8" t="n"/>
    </row>
    <row r="9335">
      <c r="A9335" s="8" t="n"/>
      <c r="B9335" s="8" t="n"/>
      <c r="C9335" s="8" t="n"/>
      <c r="D9335" s="8" t="n"/>
      <c r="E9335" s="8" t="n"/>
      <c r="F9335" s="8" t="n"/>
      <c r="G9335" s="8" t="n"/>
      <c r="H9335" s="8" t="n"/>
      <c r="I9335" s="8" t="n"/>
      <c r="J9335" s="8" t="n"/>
      <c r="K9335" s="8" t="n"/>
      <c r="L9335" s="8" t="n"/>
      <c r="M9335" s="9">
        <f>B9335+30</f>
        <v/>
      </c>
      <c r="N9335">
        <f>IF(L9335="", "", L9335-B9335)</f>
        <v/>
      </c>
      <c r="O9335">
        <f>IF(L9335="", "Pending", IF(N9335&lt;=30, "Met", "Breached"))</f>
        <v/>
      </c>
      <c r="P9335" s="8" t="n"/>
      <c r="Q9335" s="8" t="n"/>
      <c r="R9335" s="8" t="n"/>
      <c r="S9335" s="8" t="n"/>
      <c r="T9335" s="8" t="n"/>
      <c r="U9335" s="8" t="n"/>
      <c r="V9335" s="8" t="n"/>
      <c r="W9335" s="8" t="n"/>
      <c r="X9335" s="8" t="n"/>
      <c r="Y9335" s="8" t="n"/>
    </row>
    <row r="9336">
      <c r="A9336" s="8" t="n"/>
      <c r="B9336" s="8" t="n"/>
      <c r="C9336" s="8" t="n"/>
      <c r="D9336" s="8" t="n"/>
      <c r="E9336" s="8" t="n"/>
      <c r="F9336" s="8" t="n"/>
      <c r="G9336" s="8" t="n"/>
      <c r="H9336" s="8" t="n"/>
      <c r="I9336" s="8" t="n"/>
      <c r="J9336" s="8" t="n"/>
      <c r="K9336" s="8" t="n"/>
      <c r="L9336" s="8" t="n"/>
      <c r="M9336" s="9">
        <f>B9336+30</f>
        <v/>
      </c>
      <c r="N9336">
        <f>IF(L9336="", "", L9336-B9336)</f>
        <v/>
      </c>
      <c r="O9336">
        <f>IF(L9336="", "Pending", IF(N9336&lt;=30, "Met", "Breached"))</f>
        <v/>
      </c>
      <c r="P9336" s="8" t="n"/>
      <c r="Q9336" s="8" t="n"/>
      <c r="R9336" s="8" t="n"/>
      <c r="S9336" s="8" t="n"/>
      <c r="T9336" s="8" t="n"/>
      <c r="U9336" s="8" t="n"/>
      <c r="V9336" s="8" t="n"/>
      <c r="W9336" s="8" t="n"/>
      <c r="X9336" s="8" t="n"/>
      <c r="Y9336" s="8" t="n"/>
    </row>
    <row r="9337">
      <c r="A9337" s="8" t="n"/>
      <c r="B9337" s="8" t="n"/>
      <c r="C9337" s="8" t="n"/>
      <c r="D9337" s="8" t="n"/>
      <c r="E9337" s="8" t="n"/>
      <c r="F9337" s="8" t="n"/>
      <c r="G9337" s="8" t="n"/>
      <c r="H9337" s="8" t="n"/>
      <c r="I9337" s="8" t="n"/>
      <c r="J9337" s="8" t="n"/>
      <c r="K9337" s="8" t="n"/>
      <c r="L9337" s="8" t="n"/>
      <c r="M9337" s="9">
        <f>B9337+30</f>
        <v/>
      </c>
      <c r="N9337">
        <f>IF(L9337="", "", L9337-B9337)</f>
        <v/>
      </c>
      <c r="O9337">
        <f>IF(L9337="", "Pending", IF(N9337&lt;=30, "Met", "Breached"))</f>
        <v/>
      </c>
      <c r="P9337" s="8" t="n"/>
      <c r="Q9337" s="8" t="n"/>
      <c r="R9337" s="8" t="n"/>
      <c r="S9337" s="8" t="n"/>
      <c r="T9337" s="8" t="n"/>
      <c r="U9337" s="8" t="n"/>
      <c r="V9337" s="8" t="n"/>
      <c r="W9337" s="8" t="n"/>
      <c r="X9337" s="8" t="n"/>
      <c r="Y9337" s="8" t="n"/>
    </row>
    <row r="9338">
      <c r="A9338" s="8" t="n"/>
      <c r="B9338" s="8" t="n"/>
      <c r="C9338" s="8" t="n"/>
      <c r="D9338" s="8" t="n"/>
      <c r="E9338" s="8" t="n"/>
      <c r="F9338" s="8" t="n"/>
      <c r="G9338" s="8" t="n"/>
      <c r="H9338" s="8" t="n"/>
      <c r="I9338" s="8" t="n"/>
      <c r="J9338" s="8" t="n"/>
      <c r="K9338" s="8" t="n"/>
      <c r="L9338" s="8" t="n"/>
      <c r="M9338" s="9">
        <f>B9338+30</f>
        <v/>
      </c>
      <c r="N9338">
        <f>IF(L9338="", "", L9338-B9338)</f>
        <v/>
      </c>
      <c r="O9338">
        <f>IF(L9338="", "Pending", IF(N9338&lt;=30, "Met", "Breached"))</f>
        <v/>
      </c>
      <c r="P9338" s="8" t="n"/>
      <c r="Q9338" s="8" t="n"/>
      <c r="R9338" s="8" t="n"/>
      <c r="S9338" s="8" t="n"/>
      <c r="T9338" s="8" t="n"/>
      <c r="U9338" s="8" t="n"/>
      <c r="V9338" s="8" t="n"/>
      <c r="W9338" s="8" t="n"/>
      <c r="X9338" s="8" t="n"/>
      <c r="Y9338" s="8" t="n"/>
    </row>
    <row r="9339">
      <c r="A9339" s="8" t="n"/>
      <c r="B9339" s="8" t="n"/>
      <c r="C9339" s="8" t="n"/>
      <c r="D9339" s="8" t="n"/>
      <c r="E9339" s="8" t="n"/>
      <c r="F9339" s="8" t="n"/>
      <c r="G9339" s="8" t="n"/>
      <c r="H9339" s="8" t="n"/>
      <c r="I9339" s="8" t="n"/>
      <c r="J9339" s="8" t="n"/>
      <c r="K9339" s="8" t="n"/>
      <c r="L9339" s="8" t="n"/>
      <c r="M9339" s="9">
        <f>B9339+30</f>
        <v/>
      </c>
      <c r="N9339">
        <f>IF(L9339="", "", L9339-B9339)</f>
        <v/>
      </c>
      <c r="O9339">
        <f>IF(L9339="", "Pending", IF(N9339&lt;=30, "Met", "Breached"))</f>
        <v/>
      </c>
      <c r="P9339" s="8" t="n"/>
      <c r="Q9339" s="8" t="n"/>
      <c r="R9339" s="8" t="n"/>
      <c r="S9339" s="8" t="n"/>
      <c r="T9339" s="8" t="n"/>
      <c r="U9339" s="8" t="n"/>
      <c r="V9339" s="8" t="n"/>
      <c r="W9339" s="8" t="n"/>
      <c r="X9339" s="8" t="n"/>
      <c r="Y9339" s="8" t="n"/>
    </row>
    <row r="9340">
      <c r="A9340" s="8" t="n"/>
      <c r="B9340" s="8" t="n"/>
      <c r="C9340" s="8" t="n"/>
      <c r="D9340" s="8" t="n"/>
      <c r="E9340" s="8" t="n"/>
      <c r="F9340" s="8" t="n"/>
      <c r="G9340" s="8" t="n"/>
      <c r="H9340" s="8" t="n"/>
      <c r="I9340" s="8" t="n"/>
      <c r="J9340" s="8" t="n"/>
      <c r="K9340" s="8" t="n"/>
      <c r="L9340" s="8" t="n"/>
      <c r="M9340" s="9">
        <f>B9340+30</f>
        <v/>
      </c>
      <c r="N9340">
        <f>IF(L9340="", "", L9340-B9340)</f>
        <v/>
      </c>
      <c r="O9340">
        <f>IF(L9340="", "Pending", IF(N9340&lt;=30, "Met", "Breached"))</f>
        <v/>
      </c>
      <c r="P9340" s="8" t="n"/>
      <c r="Q9340" s="8" t="n"/>
      <c r="R9340" s="8" t="n"/>
      <c r="S9340" s="8" t="n"/>
      <c r="T9340" s="8" t="n"/>
      <c r="U9340" s="8" t="n"/>
      <c r="V9340" s="8" t="n"/>
      <c r="W9340" s="8" t="n"/>
      <c r="X9340" s="8" t="n"/>
      <c r="Y9340" s="8" t="n"/>
    </row>
    <row r="9341">
      <c r="A9341" s="8" t="n"/>
      <c r="B9341" s="8" t="n"/>
      <c r="C9341" s="8" t="n"/>
      <c r="D9341" s="8" t="n"/>
      <c r="E9341" s="8" t="n"/>
      <c r="F9341" s="8" t="n"/>
      <c r="G9341" s="8" t="n"/>
      <c r="H9341" s="8" t="n"/>
      <c r="I9341" s="8" t="n"/>
      <c r="J9341" s="8" t="n"/>
      <c r="K9341" s="8" t="n"/>
      <c r="L9341" s="8" t="n"/>
      <c r="M9341" s="9">
        <f>B9341+30</f>
        <v/>
      </c>
      <c r="N9341">
        <f>IF(L9341="", "", L9341-B9341)</f>
        <v/>
      </c>
      <c r="O9341">
        <f>IF(L9341="", "Pending", IF(N9341&lt;=30, "Met", "Breached"))</f>
        <v/>
      </c>
      <c r="P9341" s="8" t="n"/>
      <c r="Q9341" s="8" t="n"/>
      <c r="R9341" s="8" t="n"/>
      <c r="S9341" s="8" t="n"/>
      <c r="T9341" s="8" t="n"/>
      <c r="U9341" s="8" t="n"/>
      <c r="V9341" s="8" t="n"/>
      <c r="W9341" s="8" t="n"/>
      <c r="X9341" s="8" t="n"/>
      <c r="Y9341" s="8" t="n"/>
    </row>
    <row r="9342">
      <c r="A9342" s="8" t="n"/>
      <c r="B9342" s="8" t="n"/>
      <c r="C9342" s="8" t="n"/>
      <c r="D9342" s="8" t="n"/>
      <c r="E9342" s="8" t="n"/>
      <c r="F9342" s="8" t="n"/>
      <c r="G9342" s="8" t="n"/>
      <c r="H9342" s="8" t="n"/>
      <c r="I9342" s="8" t="n"/>
      <c r="J9342" s="8" t="n"/>
      <c r="K9342" s="8" t="n"/>
      <c r="L9342" s="8" t="n"/>
      <c r="M9342" s="9">
        <f>B9342+30</f>
        <v/>
      </c>
      <c r="N9342">
        <f>IF(L9342="", "", L9342-B9342)</f>
        <v/>
      </c>
      <c r="O9342">
        <f>IF(L9342="", "Pending", IF(N9342&lt;=30, "Met", "Breached"))</f>
        <v/>
      </c>
      <c r="P9342" s="8" t="n"/>
      <c r="Q9342" s="8" t="n"/>
      <c r="R9342" s="8" t="n"/>
      <c r="S9342" s="8" t="n"/>
      <c r="T9342" s="8" t="n"/>
      <c r="U9342" s="8" t="n"/>
      <c r="V9342" s="8" t="n"/>
      <c r="W9342" s="8" t="n"/>
      <c r="X9342" s="8" t="n"/>
      <c r="Y9342" s="8" t="n"/>
    </row>
    <row r="9343">
      <c r="A9343" s="8" t="n"/>
      <c r="B9343" s="8" t="n"/>
      <c r="C9343" s="8" t="n"/>
      <c r="D9343" s="8" t="n"/>
      <c r="E9343" s="8" t="n"/>
      <c r="F9343" s="8" t="n"/>
      <c r="G9343" s="8" t="n"/>
      <c r="H9343" s="8" t="n"/>
      <c r="I9343" s="8" t="n"/>
      <c r="J9343" s="8" t="n"/>
      <c r="K9343" s="8" t="n"/>
      <c r="L9343" s="8" t="n"/>
      <c r="M9343" s="9">
        <f>B9343+30</f>
        <v/>
      </c>
      <c r="N9343">
        <f>IF(L9343="", "", L9343-B9343)</f>
        <v/>
      </c>
      <c r="O9343">
        <f>IF(L9343="", "Pending", IF(N9343&lt;=30, "Met", "Breached"))</f>
        <v/>
      </c>
      <c r="P9343" s="8" t="n"/>
      <c r="Q9343" s="8" t="n"/>
      <c r="R9343" s="8" t="n"/>
      <c r="S9343" s="8" t="n"/>
      <c r="T9343" s="8" t="n"/>
      <c r="U9343" s="8" t="n"/>
      <c r="V9343" s="8" t="n"/>
      <c r="W9343" s="8" t="n"/>
      <c r="X9343" s="8" t="n"/>
      <c r="Y9343" s="8" t="n"/>
    </row>
    <row r="9344">
      <c r="A9344" s="8" t="n"/>
      <c r="B9344" s="8" t="n"/>
      <c r="C9344" s="8" t="n"/>
      <c r="D9344" s="8" t="n"/>
      <c r="E9344" s="8" t="n"/>
      <c r="F9344" s="8" t="n"/>
      <c r="G9344" s="8" t="n"/>
      <c r="H9344" s="8" t="n"/>
      <c r="I9344" s="8" t="n"/>
      <c r="J9344" s="8" t="n"/>
      <c r="K9344" s="8" t="n"/>
      <c r="L9344" s="8" t="n"/>
      <c r="M9344" s="9">
        <f>B9344+30</f>
        <v/>
      </c>
      <c r="N9344">
        <f>IF(L9344="", "", L9344-B9344)</f>
        <v/>
      </c>
      <c r="O9344">
        <f>IF(L9344="", "Pending", IF(N9344&lt;=30, "Met", "Breached"))</f>
        <v/>
      </c>
      <c r="P9344" s="8" t="n"/>
      <c r="Q9344" s="8" t="n"/>
      <c r="R9344" s="8" t="n"/>
      <c r="S9344" s="8" t="n"/>
      <c r="T9344" s="8" t="n"/>
      <c r="U9344" s="8" t="n"/>
      <c r="V9344" s="8" t="n"/>
      <c r="W9344" s="8" t="n"/>
      <c r="X9344" s="8" t="n"/>
      <c r="Y9344" s="8" t="n"/>
    </row>
    <row r="9345">
      <c r="A9345" s="8" t="n"/>
      <c r="B9345" s="8" t="n"/>
      <c r="C9345" s="8" t="n"/>
      <c r="D9345" s="8" t="n"/>
      <c r="E9345" s="8" t="n"/>
      <c r="F9345" s="8" t="n"/>
      <c r="G9345" s="8" t="n"/>
      <c r="H9345" s="8" t="n"/>
      <c r="I9345" s="8" t="n"/>
      <c r="J9345" s="8" t="n"/>
      <c r="K9345" s="8" t="n"/>
      <c r="L9345" s="8" t="n"/>
      <c r="M9345" s="9">
        <f>B9345+30</f>
        <v/>
      </c>
      <c r="N9345">
        <f>IF(L9345="", "", L9345-B9345)</f>
        <v/>
      </c>
      <c r="O9345">
        <f>IF(L9345="", "Pending", IF(N9345&lt;=30, "Met", "Breached"))</f>
        <v/>
      </c>
      <c r="P9345" s="8" t="n"/>
      <c r="Q9345" s="8" t="n"/>
      <c r="R9345" s="8" t="n"/>
      <c r="S9345" s="8" t="n"/>
      <c r="T9345" s="8" t="n"/>
      <c r="U9345" s="8" t="n"/>
      <c r="V9345" s="8" t="n"/>
      <c r="W9345" s="8" t="n"/>
      <c r="X9345" s="8" t="n"/>
      <c r="Y9345" s="8" t="n"/>
    </row>
    <row r="9346">
      <c r="A9346" s="8" t="n"/>
      <c r="B9346" s="8" t="n"/>
      <c r="C9346" s="8" t="n"/>
      <c r="D9346" s="8" t="n"/>
      <c r="E9346" s="8" t="n"/>
      <c r="F9346" s="8" t="n"/>
      <c r="G9346" s="8" t="n"/>
      <c r="H9346" s="8" t="n"/>
      <c r="I9346" s="8" t="n"/>
      <c r="J9346" s="8" t="n"/>
      <c r="K9346" s="8" t="n"/>
      <c r="L9346" s="8" t="n"/>
      <c r="M9346" s="9">
        <f>B9346+30</f>
        <v/>
      </c>
      <c r="N9346">
        <f>IF(L9346="", "", L9346-B9346)</f>
        <v/>
      </c>
      <c r="O9346">
        <f>IF(L9346="", "Pending", IF(N9346&lt;=30, "Met", "Breached"))</f>
        <v/>
      </c>
      <c r="P9346" s="8" t="n"/>
      <c r="Q9346" s="8" t="n"/>
      <c r="R9346" s="8" t="n"/>
      <c r="S9346" s="8" t="n"/>
      <c r="T9346" s="8" t="n"/>
      <c r="U9346" s="8" t="n"/>
      <c r="V9346" s="8" t="n"/>
      <c r="W9346" s="8" t="n"/>
      <c r="X9346" s="8" t="n"/>
      <c r="Y9346" s="8" t="n"/>
    </row>
    <row r="9347">
      <c r="A9347" s="8" t="n"/>
      <c r="B9347" s="8" t="n"/>
      <c r="C9347" s="8" t="n"/>
      <c r="D9347" s="8" t="n"/>
      <c r="E9347" s="8" t="n"/>
      <c r="F9347" s="8" t="n"/>
      <c r="G9347" s="8" t="n"/>
      <c r="H9347" s="8" t="n"/>
      <c r="I9347" s="8" t="n"/>
      <c r="J9347" s="8" t="n"/>
      <c r="K9347" s="8" t="n"/>
      <c r="L9347" s="8" t="n"/>
      <c r="M9347" s="9">
        <f>B9347+30</f>
        <v/>
      </c>
      <c r="N9347">
        <f>IF(L9347="", "", L9347-B9347)</f>
        <v/>
      </c>
      <c r="O9347">
        <f>IF(L9347="", "Pending", IF(N9347&lt;=30, "Met", "Breached"))</f>
        <v/>
      </c>
      <c r="P9347" s="8" t="n"/>
      <c r="Q9347" s="8" t="n"/>
      <c r="R9347" s="8" t="n"/>
      <c r="S9347" s="8" t="n"/>
      <c r="T9347" s="8" t="n"/>
      <c r="U9347" s="8" t="n"/>
      <c r="V9347" s="8" t="n"/>
      <c r="W9347" s="8" t="n"/>
      <c r="X9347" s="8" t="n"/>
      <c r="Y9347" s="8" t="n"/>
    </row>
    <row r="9348">
      <c r="A9348" s="8" t="n"/>
      <c r="B9348" s="8" t="n"/>
      <c r="C9348" s="8" t="n"/>
      <c r="D9348" s="8" t="n"/>
      <c r="E9348" s="8" t="n"/>
      <c r="F9348" s="8" t="n"/>
      <c r="G9348" s="8" t="n"/>
      <c r="H9348" s="8" t="n"/>
      <c r="I9348" s="8" t="n"/>
      <c r="J9348" s="8" t="n"/>
      <c r="K9348" s="8" t="n"/>
      <c r="L9348" s="8" t="n"/>
      <c r="M9348" s="9">
        <f>B9348+30</f>
        <v/>
      </c>
      <c r="N9348">
        <f>IF(L9348="", "", L9348-B9348)</f>
        <v/>
      </c>
      <c r="O9348">
        <f>IF(L9348="", "Pending", IF(N9348&lt;=30, "Met", "Breached"))</f>
        <v/>
      </c>
      <c r="P9348" s="8" t="n"/>
      <c r="Q9348" s="8" t="n"/>
      <c r="R9348" s="8" t="n"/>
      <c r="S9348" s="8" t="n"/>
      <c r="T9348" s="8" t="n"/>
      <c r="U9348" s="8" t="n"/>
      <c r="V9348" s="8" t="n"/>
      <c r="W9348" s="8" t="n"/>
      <c r="X9348" s="8" t="n"/>
      <c r="Y9348" s="8" t="n"/>
    </row>
    <row r="9349">
      <c r="A9349" s="8" t="n"/>
      <c r="B9349" s="8" t="n"/>
      <c r="C9349" s="8" t="n"/>
      <c r="D9349" s="8" t="n"/>
      <c r="E9349" s="8" t="n"/>
      <c r="F9349" s="8" t="n"/>
      <c r="G9349" s="8" t="n"/>
      <c r="H9349" s="8" t="n"/>
      <c r="I9349" s="8" t="n"/>
      <c r="J9349" s="8" t="n"/>
      <c r="K9349" s="8" t="n"/>
      <c r="L9349" s="8" t="n"/>
      <c r="M9349" s="9">
        <f>B9349+30</f>
        <v/>
      </c>
      <c r="N9349">
        <f>IF(L9349="", "", L9349-B9349)</f>
        <v/>
      </c>
      <c r="O9349">
        <f>IF(L9349="", "Pending", IF(N9349&lt;=30, "Met", "Breached"))</f>
        <v/>
      </c>
      <c r="P9349" s="8" t="n"/>
      <c r="Q9349" s="8" t="n"/>
      <c r="R9349" s="8" t="n"/>
      <c r="S9349" s="8" t="n"/>
      <c r="T9349" s="8" t="n"/>
      <c r="U9349" s="8" t="n"/>
      <c r="V9349" s="8" t="n"/>
      <c r="W9349" s="8" t="n"/>
      <c r="X9349" s="8" t="n"/>
      <c r="Y9349" s="8" t="n"/>
    </row>
    <row r="9350">
      <c r="A9350" s="8" t="n"/>
      <c r="B9350" s="8" t="n"/>
      <c r="C9350" s="8" t="n"/>
      <c r="D9350" s="8" t="n"/>
      <c r="E9350" s="8" t="n"/>
      <c r="F9350" s="8" t="n"/>
      <c r="G9350" s="8" t="n"/>
      <c r="H9350" s="8" t="n"/>
      <c r="I9350" s="8" t="n"/>
      <c r="J9350" s="8" t="n"/>
      <c r="K9350" s="8" t="n"/>
      <c r="L9350" s="8" t="n"/>
      <c r="M9350" s="9">
        <f>B9350+30</f>
        <v/>
      </c>
      <c r="N9350">
        <f>IF(L9350="", "", L9350-B9350)</f>
        <v/>
      </c>
      <c r="O9350">
        <f>IF(L9350="", "Pending", IF(N9350&lt;=30, "Met", "Breached"))</f>
        <v/>
      </c>
      <c r="P9350" s="8" t="n"/>
      <c r="Q9350" s="8" t="n"/>
      <c r="R9350" s="8" t="n"/>
      <c r="S9350" s="8" t="n"/>
      <c r="T9350" s="8" t="n"/>
      <c r="U9350" s="8" t="n"/>
      <c r="V9350" s="8" t="n"/>
      <c r="W9350" s="8" t="n"/>
      <c r="X9350" s="8" t="n"/>
      <c r="Y9350" s="8" t="n"/>
    </row>
    <row r="9351">
      <c r="A9351" s="8" t="n"/>
      <c r="B9351" s="8" t="n"/>
      <c r="C9351" s="8" t="n"/>
      <c r="D9351" s="8" t="n"/>
      <c r="E9351" s="8" t="n"/>
      <c r="F9351" s="8" t="n"/>
      <c r="G9351" s="8" t="n"/>
      <c r="H9351" s="8" t="n"/>
      <c r="I9351" s="8" t="n"/>
      <c r="J9351" s="8" t="n"/>
      <c r="K9351" s="8" t="n"/>
      <c r="L9351" s="8" t="n"/>
      <c r="M9351" s="9">
        <f>B9351+30</f>
        <v/>
      </c>
      <c r="N9351">
        <f>IF(L9351="", "", L9351-B9351)</f>
        <v/>
      </c>
      <c r="O9351">
        <f>IF(L9351="", "Pending", IF(N9351&lt;=30, "Met", "Breached"))</f>
        <v/>
      </c>
      <c r="P9351" s="8" t="n"/>
      <c r="Q9351" s="8" t="n"/>
      <c r="R9351" s="8" t="n"/>
      <c r="S9351" s="8" t="n"/>
      <c r="T9351" s="8" t="n"/>
      <c r="U9351" s="8" t="n"/>
      <c r="V9351" s="8" t="n"/>
      <c r="W9351" s="8" t="n"/>
      <c r="X9351" s="8" t="n"/>
      <c r="Y9351" s="8" t="n"/>
    </row>
    <row r="9352">
      <c r="A9352" s="8" t="n"/>
      <c r="B9352" s="8" t="n"/>
      <c r="C9352" s="8" t="n"/>
      <c r="D9352" s="8" t="n"/>
      <c r="E9352" s="8" t="n"/>
      <c r="F9352" s="8" t="n"/>
      <c r="G9352" s="8" t="n"/>
      <c r="H9352" s="8" t="n"/>
      <c r="I9352" s="8" t="n"/>
      <c r="J9352" s="8" t="n"/>
      <c r="K9352" s="8" t="n"/>
      <c r="L9352" s="8" t="n"/>
      <c r="M9352" s="9">
        <f>B9352+30</f>
        <v/>
      </c>
      <c r="N9352">
        <f>IF(L9352="", "", L9352-B9352)</f>
        <v/>
      </c>
      <c r="O9352">
        <f>IF(L9352="", "Pending", IF(N9352&lt;=30, "Met", "Breached"))</f>
        <v/>
      </c>
      <c r="P9352" s="8" t="n"/>
      <c r="Q9352" s="8" t="n"/>
      <c r="R9352" s="8" t="n"/>
      <c r="S9352" s="8" t="n"/>
      <c r="T9352" s="8" t="n"/>
      <c r="U9352" s="8" t="n"/>
      <c r="V9352" s="8" t="n"/>
      <c r="W9352" s="8" t="n"/>
      <c r="X9352" s="8" t="n"/>
      <c r="Y9352" s="8" t="n"/>
    </row>
    <row r="9353">
      <c r="A9353" s="8" t="n"/>
      <c r="B9353" s="8" t="n"/>
      <c r="C9353" s="8" t="n"/>
      <c r="D9353" s="8" t="n"/>
      <c r="E9353" s="8" t="n"/>
      <c r="F9353" s="8" t="n"/>
      <c r="G9353" s="8" t="n"/>
      <c r="H9353" s="8" t="n"/>
      <c r="I9353" s="8" t="n"/>
      <c r="J9353" s="8" t="n"/>
      <c r="K9353" s="8" t="n"/>
      <c r="L9353" s="8" t="n"/>
      <c r="M9353" s="9">
        <f>B9353+30</f>
        <v/>
      </c>
      <c r="N9353">
        <f>IF(L9353="", "", L9353-B9353)</f>
        <v/>
      </c>
      <c r="O9353">
        <f>IF(L9353="", "Pending", IF(N9353&lt;=30, "Met", "Breached"))</f>
        <v/>
      </c>
      <c r="P9353" s="8" t="n"/>
      <c r="Q9353" s="8" t="n"/>
      <c r="R9353" s="8" t="n"/>
      <c r="S9353" s="8" t="n"/>
      <c r="T9353" s="8" t="n"/>
      <c r="U9353" s="8" t="n"/>
      <c r="V9353" s="8" t="n"/>
      <c r="W9353" s="8" t="n"/>
      <c r="X9353" s="8" t="n"/>
      <c r="Y9353" s="8" t="n"/>
    </row>
    <row r="9354">
      <c r="A9354" s="8" t="n"/>
      <c r="B9354" s="8" t="n"/>
      <c r="C9354" s="8" t="n"/>
      <c r="D9354" s="8" t="n"/>
      <c r="E9354" s="8" t="n"/>
      <c r="F9354" s="8" t="n"/>
      <c r="G9354" s="8" t="n"/>
      <c r="H9354" s="8" t="n"/>
      <c r="I9354" s="8" t="n"/>
      <c r="J9354" s="8" t="n"/>
      <c r="K9354" s="8" t="n"/>
      <c r="L9354" s="8" t="n"/>
      <c r="M9354" s="9">
        <f>B9354+30</f>
        <v/>
      </c>
      <c r="N9354">
        <f>IF(L9354="", "", L9354-B9354)</f>
        <v/>
      </c>
      <c r="O9354">
        <f>IF(L9354="", "Pending", IF(N9354&lt;=30, "Met", "Breached"))</f>
        <v/>
      </c>
      <c r="P9354" s="8" t="n"/>
      <c r="Q9354" s="8" t="n"/>
      <c r="R9354" s="8" t="n"/>
      <c r="S9354" s="8" t="n"/>
      <c r="T9354" s="8" t="n"/>
      <c r="U9354" s="8" t="n"/>
      <c r="V9354" s="8" t="n"/>
      <c r="W9354" s="8" t="n"/>
      <c r="X9354" s="8" t="n"/>
      <c r="Y9354" s="8" t="n"/>
    </row>
    <row r="9355">
      <c r="A9355" s="8" t="n"/>
      <c r="B9355" s="8" t="n"/>
      <c r="C9355" s="8" t="n"/>
      <c r="D9355" s="8" t="n"/>
      <c r="E9355" s="8" t="n"/>
      <c r="F9355" s="8" t="n"/>
      <c r="G9355" s="8" t="n"/>
      <c r="H9355" s="8" t="n"/>
      <c r="I9355" s="8" t="n"/>
      <c r="J9355" s="8" t="n"/>
      <c r="K9355" s="8" t="n"/>
      <c r="L9355" s="8" t="n"/>
      <c r="M9355" s="9">
        <f>B9355+30</f>
        <v/>
      </c>
      <c r="N9355">
        <f>IF(L9355="", "", L9355-B9355)</f>
        <v/>
      </c>
      <c r="O9355">
        <f>IF(L9355="", "Pending", IF(N9355&lt;=30, "Met", "Breached"))</f>
        <v/>
      </c>
      <c r="P9355" s="8" t="n"/>
      <c r="Q9355" s="8" t="n"/>
      <c r="R9355" s="8" t="n"/>
      <c r="S9355" s="8" t="n"/>
      <c r="T9355" s="8" t="n"/>
      <c r="U9355" s="8" t="n"/>
      <c r="V9355" s="8" t="n"/>
      <c r="W9355" s="8" t="n"/>
      <c r="X9355" s="8" t="n"/>
      <c r="Y9355" s="8" t="n"/>
    </row>
    <row r="9356">
      <c r="A9356" s="8" t="n"/>
      <c r="B9356" s="8" t="n"/>
      <c r="C9356" s="8" t="n"/>
      <c r="D9356" s="8" t="n"/>
      <c r="E9356" s="8" t="n"/>
      <c r="F9356" s="8" t="n"/>
      <c r="G9356" s="8" t="n"/>
      <c r="H9356" s="8" t="n"/>
      <c r="I9356" s="8" t="n"/>
      <c r="J9356" s="8" t="n"/>
      <c r="K9356" s="8" t="n"/>
      <c r="L9356" s="8" t="n"/>
      <c r="M9356" s="9">
        <f>B9356+30</f>
        <v/>
      </c>
      <c r="N9356">
        <f>IF(L9356="", "", L9356-B9356)</f>
        <v/>
      </c>
      <c r="O9356">
        <f>IF(L9356="", "Pending", IF(N9356&lt;=30, "Met", "Breached"))</f>
        <v/>
      </c>
      <c r="P9356" s="8" t="n"/>
      <c r="Q9356" s="8" t="n"/>
      <c r="R9356" s="8" t="n"/>
      <c r="S9356" s="8" t="n"/>
      <c r="T9356" s="8" t="n"/>
      <c r="U9356" s="8" t="n"/>
      <c r="V9356" s="8" t="n"/>
      <c r="W9356" s="8" t="n"/>
      <c r="X9356" s="8" t="n"/>
      <c r="Y9356" s="8" t="n"/>
    </row>
    <row r="9357">
      <c r="A9357" s="8" t="n"/>
      <c r="B9357" s="8" t="n"/>
      <c r="C9357" s="8" t="n"/>
      <c r="D9357" s="8" t="n"/>
      <c r="E9357" s="8" t="n"/>
      <c r="F9357" s="8" t="n"/>
      <c r="G9357" s="8" t="n"/>
      <c r="H9357" s="8" t="n"/>
      <c r="I9357" s="8" t="n"/>
      <c r="J9357" s="8" t="n"/>
      <c r="K9357" s="8" t="n"/>
      <c r="L9357" s="8" t="n"/>
      <c r="M9357" s="9">
        <f>B9357+30</f>
        <v/>
      </c>
      <c r="N9357">
        <f>IF(L9357="", "", L9357-B9357)</f>
        <v/>
      </c>
      <c r="O9357">
        <f>IF(L9357="", "Pending", IF(N9357&lt;=30, "Met", "Breached"))</f>
        <v/>
      </c>
      <c r="P9357" s="8" t="n"/>
      <c r="Q9357" s="8" t="n"/>
      <c r="R9357" s="8" t="n"/>
      <c r="S9357" s="8" t="n"/>
      <c r="T9357" s="8" t="n"/>
      <c r="U9357" s="8" t="n"/>
      <c r="V9357" s="8" t="n"/>
      <c r="W9357" s="8" t="n"/>
      <c r="X9357" s="8" t="n"/>
      <c r="Y9357" s="8" t="n"/>
    </row>
    <row r="9358">
      <c r="A9358" s="8" t="n"/>
      <c r="B9358" s="8" t="n"/>
      <c r="C9358" s="8" t="n"/>
      <c r="D9358" s="8" t="n"/>
      <c r="E9358" s="8" t="n"/>
      <c r="F9358" s="8" t="n"/>
      <c r="G9358" s="8" t="n"/>
      <c r="H9358" s="8" t="n"/>
      <c r="I9358" s="8" t="n"/>
      <c r="J9358" s="8" t="n"/>
      <c r="K9358" s="8" t="n"/>
      <c r="L9358" s="8" t="n"/>
      <c r="M9358" s="9">
        <f>B9358+30</f>
        <v/>
      </c>
      <c r="N9358">
        <f>IF(L9358="", "", L9358-B9358)</f>
        <v/>
      </c>
      <c r="O9358">
        <f>IF(L9358="", "Pending", IF(N9358&lt;=30, "Met", "Breached"))</f>
        <v/>
      </c>
      <c r="P9358" s="8" t="n"/>
      <c r="Q9358" s="8" t="n"/>
      <c r="R9358" s="8" t="n"/>
      <c r="S9358" s="8" t="n"/>
      <c r="T9358" s="8" t="n"/>
      <c r="U9358" s="8" t="n"/>
      <c r="V9358" s="8" t="n"/>
      <c r="W9358" s="8" t="n"/>
      <c r="X9358" s="8" t="n"/>
      <c r="Y9358" s="8" t="n"/>
    </row>
    <row r="9359">
      <c r="A9359" s="8" t="n"/>
      <c r="B9359" s="8" t="n"/>
      <c r="C9359" s="8" t="n"/>
      <c r="D9359" s="8" t="n"/>
      <c r="E9359" s="8" t="n"/>
      <c r="F9359" s="8" t="n"/>
      <c r="G9359" s="8" t="n"/>
      <c r="H9359" s="8" t="n"/>
      <c r="I9359" s="8" t="n"/>
      <c r="J9359" s="8" t="n"/>
      <c r="K9359" s="8" t="n"/>
      <c r="L9359" s="8" t="n"/>
      <c r="M9359" s="9">
        <f>B9359+30</f>
        <v/>
      </c>
      <c r="N9359">
        <f>IF(L9359="", "", L9359-B9359)</f>
        <v/>
      </c>
      <c r="O9359">
        <f>IF(L9359="", "Pending", IF(N9359&lt;=30, "Met", "Breached"))</f>
        <v/>
      </c>
      <c r="P9359" s="8" t="n"/>
      <c r="Q9359" s="8" t="n"/>
      <c r="R9359" s="8" t="n"/>
      <c r="S9359" s="8" t="n"/>
      <c r="T9359" s="8" t="n"/>
      <c r="U9359" s="8" t="n"/>
      <c r="V9359" s="8" t="n"/>
      <c r="W9359" s="8" t="n"/>
      <c r="X9359" s="8" t="n"/>
      <c r="Y9359" s="8" t="n"/>
    </row>
    <row r="9360">
      <c r="A9360" s="8" t="n"/>
      <c r="B9360" s="8" t="n"/>
      <c r="C9360" s="8" t="n"/>
      <c r="D9360" s="8" t="n"/>
      <c r="E9360" s="8" t="n"/>
      <c r="F9360" s="8" t="n"/>
      <c r="G9360" s="8" t="n"/>
      <c r="H9360" s="8" t="n"/>
      <c r="I9360" s="8" t="n"/>
      <c r="J9360" s="8" t="n"/>
      <c r="K9360" s="8" t="n"/>
      <c r="L9360" s="8" t="n"/>
      <c r="M9360" s="9">
        <f>B9360+30</f>
        <v/>
      </c>
      <c r="N9360">
        <f>IF(L9360="", "", L9360-B9360)</f>
        <v/>
      </c>
      <c r="O9360">
        <f>IF(L9360="", "Pending", IF(N9360&lt;=30, "Met", "Breached"))</f>
        <v/>
      </c>
      <c r="P9360" s="8" t="n"/>
      <c r="Q9360" s="8" t="n"/>
      <c r="R9360" s="8" t="n"/>
      <c r="S9360" s="8" t="n"/>
      <c r="T9360" s="8" t="n"/>
      <c r="U9360" s="8" t="n"/>
      <c r="V9360" s="8" t="n"/>
      <c r="W9360" s="8" t="n"/>
      <c r="X9360" s="8" t="n"/>
      <c r="Y9360" s="8" t="n"/>
    </row>
    <row r="9361">
      <c r="A9361" s="8" t="n"/>
      <c r="B9361" s="8" t="n"/>
      <c r="C9361" s="8" t="n"/>
      <c r="D9361" s="8" t="n"/>
      <c r="E9361" s="8" t="n"/>
      <c r="F9361" s="8" t="n"/>
      <c r="G9361" s="8" t="n"/>
      <c r="H9361" s="8" t="n"/>
      <c r="I9361" s="8" t="n"/>
      <c r="J9361" s="8" t="n"/>
      <c r="K9361" s="8" t="n"/>
      <c r="L9361" s="8" t="n"/>
      <c r="M9361" s="9">
        <f>B9361+30</f>
        <v/>
      </c>
      <c r="N9361">
        <f>IF(L9361="", "", L9361-B9361)</f>
        <v/>
      </c>
      <c r="O9361">
        <f>IF(L9361="", "Pending", IF(N9361&lt;=30, "Met", "Breached"))</f>
        <v/>
      </c>
      <c r="P9361" s="8" t="n"/>
      <c r="Q9361" s="8" t="n"/>
      <c r="R9361" s="8" t="n"/>
      <c r="S9361" s="8" t="n"/>
      <c r="T9361" s="8" t="n"/>
      <c r="U9361" s="8" t="n"/>
      <c r="V9361" s="8" t="n"/>
      <c r="W9361" s="8" t="n"/>
      <c r="X9361" s="8" t="n"/>
      <c r="Y9361" s="8" t="n"/>
    </row>
    <row r="9362">
      <c r="A9362" s="8" t="n"/>
      <c r="B9362" s="8" t="n"/>
      <c r="C9362" s="8" t="n"/>
      <c r="D9362" s="8" t="n"/>
      <c r="E9362" s="8" t="n"/>
      <c r="F9362" s="8" t="n"/>
      <c r="G9362" s="8" t="n"/>
      <c r="H9362" s="8" t="n"/>
      <c r="I9362" s="8" t="n"/>
      <c r="J9362" s="8" t="n"/>
      <c r="K9362" s="8" t="n"/>
      <c r="L9362" s="8" t="n"/>
      <c r="M9362" s="9">
        <f>B9362+30</f>
        <v/>
      </c>
      <c r="N9362">
        <f>IF(L9362="", "", L9362-B9362)</f>
        <v/>
      </c>
      <c r="O9362">
        <f>IF(L9362="", "Pending", IF(N9362&lt;=30, "Met", "Breached"))</f>
        <v/>
      </c>
      <c r="P9362" s="8" t="n"/>
      <c r="Q9362" s="8" t="n"/>
      <c r="R9362" s="8" t="n"/>
      <c r="S9362" s="8" t="n"/>
      <c r="T9362" s="8" t="n"/>
      <c r="U9362" s="8" t="n"/>
      <c r="V9362" s="8" t="n"/>
      <c r="W9362" s="8" t="n"/>
      <c r="X9362" s="8" t="n"/>
      <c r="Y9362" s="8" t="n"/>
    </row>
    <row r="9363">
      <c r="A9363" s="8" t="n"/>
      <c r="B9363" s="8" t="n"/>
      <c r="C9363" s="8" t="n"/>
      <c r="D9363" s="8" t="n"/>
      <c r="E9363" s="8" t="n"/>
      <c r="F9363" s="8" t="n"/>
      <c r="G9363" s="8" t="n"/>
      <c r="H9363" s="8" t="n"/>
      <c r="I9363" s="8" t="n"/>
      <c r="J9363" s="8" t="n"/>
      <c r="K9363" s="8" t="n"/>
      <c r="L9363" s="8" t="n"/>
      <c r="M9363" s="9">
        <f>B9363+30</f>
        <v/>
      </c>
      <c r="N9363">
        <f>IF(L9363="", "", L9363-B9363)</f>
        <v/>
      </c>
      <c r="O9363">
        <f>IF(L9363="", "Pending", IF(N9363&lt;=30, "Met", "Breached"))</f>
        <v/>
      </c>
      <c r="P9363" s="8" t="n"/>
      <c r="Q9363" s="8" t="n"/>
      <c r="R9363" s="8" t="n"/>
      <c r="S9363" s="8" t="n"/>
      <c r="T9363" s="8" t="n"/>
      <c r="U9363" s="8" t="n"/>
      <c r="V9363" s="8" t="n"/>
      <c r="W9363" s="8" t="n"/>
      <c r="X9363" s="8" t="n"/>
      <c r="Y9363" s="8" t="n"/>
    </row>
    <row r="9364">
      <c r="A9364" s="8" t="n"/>
      <c r="B9364" s="8" t="n"/>
      <c r="C9364" s="8" t="n"/>
      <c r="D9364" s="8" t="n"/>
      <c r="E9364" s="8" t="n"/>
      <c r="F9364" s="8" t="n"/>
      <c r="G9364" s="8" t="n"/>
      <c r="H9364" s="8" t="n"/>
      <c r="I9364" s="8" t="n"/>
      <c r="J9364" s="8" t="n"/>
      <c r="K9364" s="8" t="n"/>
      <c r="L9364" s="8" t="n"/>
      <c r="M9364" s="9">
        <f>B9364+30</f>
        <v/>
      </c>
      <c r="N9364">
        <f>IF(L9364="", "", L9364-B9364)</f>
        <v/>
      </c>
      <c r="O9364">
        <f>IF(L9364="", "Pending", IF(N9364&lt;=30, "Met", "Breached"))</f>
        <v/>
      </c>
      <c r="P9364" s="8" t="n"/>
      <c r="Q9364" s="8" t="n"/>
      <c r="R9364" s="8" t="n"/>
      <c r="S9364" s="8" t="n"/>
      <c r="T9364" s="8" t="n"/>
      <c r="U9364" s="8" t="n"/>
      <c r="V9364" s="8" t="n"/>
      <c r="W9364" s="8" t="n"/>
      <c r="X9364" s="8" t="n"/>
      <c r="Y9364" s="8" t="n"/>
    </row>
    <row r="9365">
      <c r="A9365" s="8" t="n"/>
      <c r="B9365" s="8" t="n"/>
      <c r="C9365" s="8" t="n"/>
      <c r="D9365" s="8" t="n"/>
      <c r="E9365" s="8" t="n"/>
      <c r="F9365" s="8" t="n"/>
      <c r="G9365" s="8" t="n"/>
      <c r="H9365" s="8" t="n"/>
      <c r="I9365" s="8" t="n"/>
      <c r="J9365" s="8" t="n"/>
      <c r="K9365" s="8" t="n"/>
      <c r="L9365" s="8" t="n"/>
      <c r="M9365" s="9">
        <f>B9365+30</f>
        <v/>
      </c>
      <c r="N9365">
        <f>IF(L9365="", "", L9365-B9365)</f>
        <v/>
      </c>
      <c r="O9365">
        <f>IF(L9365="", "Pending", IF(N9365&lt;=30, "Met", "Breached"))</f>
        <v/>
      </c>
      <c r="P9365" s="8" t="n"/>
      <c r="Q9365" s="8" t="n"/>
      <c r="R9365" s="8" t="n"/>
      <c r="S9365" s="8" t="n"/>
      <c r="T9365" s="8" t="n"/>
      <c r="U9365" s="8" t="n"/>
      <c r="V9365" s="8" t="n"/>
      <c r="W9365" s="8" t="n"/>
      <c r="X9365" s="8" t="n"/>
      <c r="Y9365" s="8" t="n"/>
    </row>
    <row r="9366">
      <c r="A9366" s="8" t="n"/>
      <c r="B9366" s="8" t="n"/>
      <c r="C9366" s="8" t="n"/>
      <c r="D9366" s="8" t="n"/>
      <c r="E9366" s="8" t="n"/>
      <c r="F9366" s="8" t="n"/>
      <c r="G9366" s="8" t="n"/>
      <c r="H9366" s="8" t="n"/>
      <c r="I9366" s="8" t="n"/>
      <c r="J9366" s="8" t="n"/>
      <c r="K9366" s="8" t="n"/>
      <c r="L9366" s="8" t="n"/>
      <c r="M9366" s="9">
        <f>B9366+30</f>
        <v/>
      </c>
      <c r="N9366">
        <f>IF(L9366="", "", L9366-B9366)</f>
        <v/>
      </c>
      <c r="O9366">
        <f>IF(L9366="", "Pending", IF(N9366&lt;=30, "Met", "Breached"))</f>
        <v/>
      </c>
      <c r="P9366" s="8" t="n"/>
      <c r="Q9366" s="8" t="n"/>
      <c r="R9366" s="8" t="n"/>
      <c r="S9366" s="8" t="n"/>
      <c r="T9366" s="8" t="n"/>
      <c r="U9366" s="8" t="n"/>
      <c r="V9366" s="8" t="n"/>
      <c r="W9366" s="8" t="n"/>
      <c r="X9366" s="8" t="n"/>
      <c r="Y9366" s="8" t="n"/>
    </row>
    <row r="9367">
      <c r="A9367" s="8" t="n"/>
      <c r="B9367" s="8" t="n"/>
      <c r="C9367" s="8" t="n"/>
      <c r="D9367" s="8" t="n"/>
      <c r="E9367" s="8" t="n"/>
      <c r="F9367" s="8" t="n"/>
      <c r="G9367" s="8" t="n"/>
      <c r="H9367" s="8" t="n"/>
      <c r="I9367" s="8" t="n"/>
      <c r="J9367" s="8" t="n"/>
      <c r="K9367" s="8" t="n"/>
      <c r="L9367" s="8" t="n"/>
      <c r="M9367" s="9">
        <f>B9367+30</f>
        <v/>
      </c>
      <c r="N9367">
        <f>IF(L9367="", "", L9367-B9367)</f>
        <v/>
      </c>
      <c r="O9367">
        <f>IF(L9367="", "Pending", IF(N9367&lt;=30, "Met", "Breached"))</f>
        <v/>
      </c>
      <c r="P9367" s="8" t="n"/>
      <c r="Q9367" s="8" t="n"/>
      <c r="R9367" s="8" t="n"/>
      <c r="S9367" s="8" t="n"/>
      <c r="T9367" s="8" t="n"/>
      <c r="U9367" s="8" t="n"/>
      <c r="V9367" s="8" t="n"/>
      <c r="W9367" s="8" t="n"/>
      <c r="X9367" s="8" t="n"/>
      <c r="Y9367" s="8" t="n"/>
    </row>
    <row r="9368">
      <c r="A9368" s="8" t="n"/>
      <c r="B9368" s="8" t="n"/>
      <c r="C9368" s="8" t="n"/>
      <c r="D9368" s="8" t="n"/>
      <c r="E9368" s="8" t="n"/>
      <c r="F9368" s="8" t="n"/>
      <c r="G9368" s="8" t="n"/>
      <c r="H9368" s="8" t="n"/>
      <c r="I9368" s="8" t="n"/>
      <c r="J9368" s="8" t="n"/>
      <c r="K9368" s="8" t="n"/>
      <c r="L9368" s="8" t="n"/>
      <c r="M9368" s="9">
        <f>B9368+30</f>
        <v/>
      </c>
      <c r="N9368">
        <f>IF(L9368="", "", L9368-B9368)</f>
        <v/>
      </c>
      <c r="O9368">
        <f>IF(L9368="", "Pending", IF(N9368&lt;=30, "Met", "Breached"))</f>
        <v/>
      </c>
      <c r="P9368" s="8" t="n"/>
      <c r="Q9368" s="8" t="n"/>
      <c r="R9368" s="8" t="n"/>
      <c r="S9368" s="8" t="n"/>
      <c r="T9368" s="8" t="n"/>
      <c r="U9368" s="8" t="n"/>
      <c r="V9368" s="8" t="n"/>
      <c r="W9368" s="8" t="n"/>
      <c r="X9368" s="8" t="n"/>
      <c r="Y9368" s="8" t="n"/>
    </row>
    <row r="9369">
      <c r="A9369" s="8" t="n"/>
      <c r="B9369" s="8" t="n"/>
      <c r="C9369" s="8" t="n"/>
      <c r="D9369" s="8" t="n"/>
      <c r="E9369" s="8" t="n"/>
      <c r="F9369" s="8" t="n"/>
      <c r="G9369" s="8" t="n"/>
      <c r="H9369" s="8" t="n"/>
      <c r="I9369" s="8" t="n"/>
      <c r="J9369" s="8" t="n"/>
      <c r="K9369" s="8" t="n"/>
      <c r="L9369" s="8" t="n"/>
      <c r="M9369" s="9">
        <f>B9369+30</f>
        <v/>
      </c>
      <c r="N9369">
        <f>IF(L9369="", "", L9369-B9369)</f>
        <v/>
      </c>
      <c r="O9369">
        <f>IF(L9369="", "Pending", IF(N9369&lt;=30, "Met", "Breached"))</f>
        <v/>
      </c>
      <c r="P9369" s="8" t="n"/>
      <c r="Q9369" s="8" t="n"/>
      <c r="R9369" s="8" t="n"/>
      <c r="S9369" s="8" t="n"/>
      <c r="T9369" s="8" t="n"/>
      <c r="U9369" s="8" t="n"/>
      <c r="V9369" s="8" t="n"/>
      <c r="W9369" s="8" t="n"/>
      <c r="X9369" s="8" t="n"/>
      <c r="Y9369" s="8" t="n"/>
    </row>
    <row r="9370">
      <c r="A9370" s="8" t="n"/>
      <c r="B9370" s="8" t="n"/>
      <c r="C9370" s="8" t="n"/>
      <c r="D9370" s="8" t="n"/>
      <c r="E9370" s="8" t="n"/>
      <c r="F9370" s="8" t="n"/>
      <c r="G9370" s="8" t="n"/>
      <c r="H9370" s="8" t="n"/>
      <c r="I9370" s="8" t="n"/>
      <c r="J9370" s="8" t="n"/>
      <c r="K9370" s="8" t="n"/>
      <c r="L9370" s="8" t="n"/>
      <c r="M9370" s="9">
        <f>B9370+30</f>
        <v/>
      </c>
      <c r="N9370">
        <f>IF(L9370="", "", L9370-B9370)</f>
        <v/>
      </c>
      <c r="O9370">
        <f>IF(L9370="", "Pending", IF(N9370&lt;=30, "Met", "Breached"))</f>
        <v/>
      </c>
      <c r="P9370" s="8" t="n"/>
      <c r="Q9370" s="8" t="n"/>
      <c r="R9370" s="8" t="n"/>
      <c r="S9370" s="8" t="n"/>
      <c r="T9370" s="8" t="n"/>
      <c r="U9370" s="8" t="n"/>
      <c r="V9370" s="8" t="n"/>
      <c r="W9370" s="8" t="n"/>
      <c r="X9370" s="8" t="n"/>
      <c r="Y9370" s="8" t="n"/>
    </row>
    <row r="9371">
      <c r="A9371" s="8" t="n"/>
      <c r="B9371" s="8" t="n"/>
      <c r="C9371" s="8" t="n"/>
      <c r="D9371" s="8" t="n"/>
      <c r="E9371" s="8" t="n"/>
      <c r="F9371" s="8" t="n"/>
      <c r="G9371" s="8" t="n"/>
      <c r="H9371" s="8" t="n"/>
      <c r="I9371" s="8" t="n"/>
      <c r="J9371" s="8" t="n"/>
      <c r="K9371" s="8" t="n"/>
      <c r="L9371" s="8" t="n"/>
      <c r="M9371" s="9">
        <f>B9371+30</f>
        <v/>
      </c>
      <c r="N9371">
        <f>IF(L9371="", "", L9371-B9371)</f>
        <v/>
      </c>
      <c r="O9371">
        <f>IF(L9371="", "Pending", IF(N9371&lt;=30, "Met", "Breached"))</f>
        <v/>
      </c>
      <c r="P9371" s="8" t="n"/>
      <c r="Q9371" s="8" t="n"/>
      <c r="R9371" s="8" t="n"/>
      <c r="S9371" s="8" t="n"/>
      <c r="T9371" s="8" t="n"/>
      <c r="U9371" s="8" t="n"/>
      <c r="V9371" s="8" t="n"/>
      <c r="W9371" s="8" t="n"/>
      <c r="X9371" s="8" t="n"/>
      <c r="Y9371" s="8" t="n"/>
    </row>
    <row r="9372">
      <c r="A9372" s="8" t="n"/>
      <c r="B9372" s="8" t="n"/>
      <c r="C9372" s="8" t="n"/>
      <c r="D9372" s="8" t="n"/>
      <c r="E9372" s="8" t="n"/>
      <c r="F9372" s="8" t="n"/>
      <c r="G9372" s="8" t="n"/>
      <c r="H9372" s="8" t="n"/>
      <c r="I9372" s="8" t="n"/>
      <c r="J9372" s="8" t="n"/>
      <c r="K9372" s="8" t="n"/>
      <c r="L9372" s="8" t="n"/>
      <c r="M9372" s="9">
        <f>B9372+30</f>
        <v/>
      </c>
      <c r="N9372">
        <f>IF(L9372="", "", L9372-B9372)</f>
        <v/>
      </c>
      <c r="O9372">
        <f>IF(L9372="", "Pending", IF(N9372&lt;=30, "Met", "Breached"))</f>
        <v/>
      </c>
      <c r="P9372" s="8" t="n"/>
      <c r="Q9372" s="8" t="n"/>
      <c r="R9372" s="8" t="n"/>
      <c r="S9372" s="8" t="n"/>
      <c r="T9372" s="8" t="n"/>
      <c r="U9372" s="8" t="n"/>
      <c r="V9372" s="8" t="n"/>
      <c r="W9372" s="8" t="n"/>
      <c r="X9372" s="8" t="n"/>
      <c r="Y9372" s="8" t="n"/>
    </row>
    <row r="9373">
      <c r="A9373" s="8" t="n"/>
      <c r="B9373" s="8" t="n"/>
      <c r="C9373" s="8" t="n"/>
      <c r="D9373" s="8" t="n"/>
      <c r="E9373" s="8" t="n"/>
      <c r="F9373" s="8" t="n"/>
      <c r="G9373" s="8" t="n"/>
      <c r="H9373" s="8" t="n"/>
      <c r="I9373" s="8" t="n"/>
      <c r="J9373" s="8" t="n"/>
      <c r="K9373" s="8" t="n"/>
      <c r="L9373" s="8" t="n"/>
      <c r="M9373" s="9">
        <f>B9373+30</f>
        <v/>
      </c>
      <c r="N9373">
        <f>IF(L9373="", "", L9373-B9373)</f>
        <v/>
      </c>
      <c r="O9373">
        <f>IF(L9373="", "Pending", IF(N9373&lt;=30, "Met", "Breached"))</f>
        <v/>
      </c>
      <c r="P9373" s="8" t="n"/>
      <c r="Q9373" s="8" t="n"/>
      <c r="R9373" s="8" t="n"/>
      <c r="S9373" s="8" t="n"/>
      <c r="T9373" s="8" t="n"/>
      <c r="U9373" s="8" t="n"/>
      <c r="V9373" s="8" t="n"/>
      <c r="W9373" s="8" t="n"/>
      <c r="X9373" s="8" t="n"/>
      <c r="Y9373" s="8" t="n"/>
    </row>
    <row r="9374">
      <c r="A9374" s="8" t="n"/>
      <c r="B9374" s="8" t="n"/>
      <c r="C9374" s="8" t="n"/>
      <c r="D9374" s="8" t="n"/>
      <c r="E9374" s="8" t="n"/>
      <c r="F9374" s="8" t="n"/>
      <c r="G9374" s="8" t="n"/>
      <c r="H9374" s="8" t="n"/>
      <c r="I9374" s="8" t="n"/>
      <c r="J9374" s="8" t="n"/>
      <c r="K9374" s="8" t="n"/>
      <c r="L9374" s="8" t="n"/>
      <c r="M9374" s="9">
        <f>B9374+30</f>
        <v/>
      </c>
      <c r="N9374">
        <f>IF(L9374="", "", L9374-B9374)</f>
        <v/>
      </c>
      <c r="O9374">
        <f>IF(L9374="", "Pending", IF(N9374&lt;=30, "Met", "Breached"))</f>
        <v/>
      </c>
      <c r="P9374" s="8" t="n"/>
      <c r="Q9374" s="8" t="n"/>
      <c r="R9374" s="8" t="n"/>
      <c r="S9374" s="8" t="n"/>
      <c r="T9374" s="8" t="n"/>
      <c r="U9374" s="8" t="n"/>
      <c r="V9374" s="8" t="n"/>
      <c r="W9374" s="8" t="n"/>
      <c r="X9374" s="8" t="n"/>
      <c r="Y9374" s="8" t="n"/>
    </row>
    <row r="9375">
      <c r="A9375" s="8" t="n"/>
      <c r="B9375" s="8" t="n"/>
      <c r="C9375" s="8" t="n"/>
      <c r="D9375" s="8" t="n"/>
      <c r="E9375" s="8" t="n"/>
      <c r="F9375" s="8" t="n"/>
      <c r="G9375" s="8" t="n"/>
      <c r="H9375" s="8" t="n"/>
      <c r="I9375" s="8" t="n"/>
      <c r="J9375" s="8" t="n"/>
      <c r="K9375" s="8" t="n"/>
      <c r="L9375" s="8" t="n"/>
      <c r="M9375" s="9">
        <f>B9375+30</f>
        <v/>
      </c>
      <c r="N9375">
        <f>IF(L9375="", "", L9375-B9375)</f>
        <v/>
      </c>
      <c r="O9375">
        <f>IF(L9375="", "Pending", IF(N9375&lt;=30, "Met", "Breached"))</f>
        <v/>
      </c>
      <c r="P9375" s="8" t="n"/>
      <c r="Q9375" s="8" t="n"/>
      <c r="R9375" s="8" t="n"/>
      <c r="S9375" s="8" t="n"/>
      <c r="T9375" s="8" t="n"/>
      <c r="U9375" s="8" t="n"/>
      <c r="V9375" s="8" t="n"/>
      <c r="W9375" s="8" t="n"/>
      <c r="X9375" s="8" t="n"/>
      <c r="Y9375" s="8" t="n"/>
    </row>
    <row r="9376">
      <c r="A9376" s="8" t="n"/>
      <c r="B9376" s="8" t="n"/>
      <c r="C9376" s="8" t="n"/>
      <c r="D9376" s="8" t="n"/>
      <c r="E9376" s="8" t="n"/>
      <c r="F9376" s="8" t="n"/>
      <c r="G9376" s="8" t="n"/>
      <c r="H9376" s="8" t="n"/>
      <c r="I9376" s="8" t="n"/>
      <c r="J9376" s="8" t="n"/>
      <c r="K9376" s="8" t="n"/>
      <c r="L9376" s="8" t="n"/>
      <c r="M9376" s="9">
        <f>B9376+30</f>
        <v/>
      </c>
      <c r="N9376">
        <f>IF(L9376="", "", L9376-B9376)</f>
        <v/>
      </c>
      <c r="O9376">
        <f>IF(L9376="", "Pending", IF(N9376&lt;=30, "Met", "Breached"))</f>
        <v/>
      </c>
      <c r="P9376" s="8" t="n"/>
      <c r="Q9376" s="8" t="n"/>
      <c r="R9376" s="8" t="n"/>
      <c r="S9376" s="8" t="n"/>
      <c r="T9376" s="8" t="n"/>
      <c r="U9376" s="8" t="n"/>
      <c r="V9376" s="8" t="n"/>
      <c r="W9376" s="8" t="n"/>
      <c r="X9376" s="8" t="n"/>
      <c r="Y9376" s="8" t="n"/>
    </row>
    <row r="9377">
      <c r="A9377" s="8" t="n"/>
      <c r="B9377" s="8" t="n"/>
      <c r="C9377" s="8" t="n"/>
      <c r="D9377" s="8" t="n"/>
      <c r="E9377" s="8" t="n"/>
      <c r="F9377" s="8" t="n"/>
      <c r="G9377" s="8" t="n"/>
      <c r="H9377" s="8" t="n"/>
      <c r="I9377" s="8" t="n"/>
      <c r="J9377" s="8" t="n"/>
      <c r="K9377" s="8" t="n"/>
      <c r="L9377" s="8" t="n"/>
      <c r="M9377" s="9">
        <f>B9377+30</f>
        <v/>
      </c>
      <c r="N9377">
        <f>IF(L9377="", "", L9377-B9377)</f>
        <v/>
      </c>
      <c r="O9377">
        <f>IF(L9377="", "Pending", IF(N9377&lt;=30, "Met", "Breached"))</f>
        <v/>
      </c>
      <c r="P9377" s="8" t="n"/>
      <c r="Q9377" s="8" t="n"/>
      <c r="R9377" s="8" t="n"/>
      <c r="S9377" s="8" t="n"/>
      <c r="T9377" s="8" t="n"/>
      <c r="U9377" s="8" t="n"/>
      <c r="V9377" s="8" t="n"/>
      <c r="W9377" s="8" t="n"/>
      <c r="X9377" s="8" t="n"/>
      <c r="Y9377" s="8" t="n"/>
    </row>
    <row r="9378">
      <c r="A9378" s="8" t="n"/>
      <c r="B9378" s="8" t="n"/>
      <c r="C9378" s="8" t="n"/>
      <c r="D9378" s="8" t="n"/>
      <c r="E9378" s="8" t="n"/>
      <c r="F9378" s="8" t="n"/>
      <c r="G9378" s="8" t="n"/>
      <c r="H9378" s="8" t="n"/>
      <c r="I9378" s="8" t="n"/>
      <c r="J9378" s="8" t="n"/>
      <c r="K9378" s="8" t="n"/>
      <c r="L9378" s="8" t="n"/>
      <c r="M9378" s="9">
        <f>B9378+30</f>
        <v/>
      </c>
      <c r="N9378">
        <f>IF(L9378="", "", L9378-B9378)</f>
        <v/>
      </c>
      <c r="O9378">
        <f>IF(L9378="", "Pending", IF(N9378&lt;=30, "Met", "Breached"))</f>
        <v/>
      </c>
      <c r="P9378" s="8" t="n"/>
      <c r="Q9378" s="8" t="n"/>
      <c r="R9378" s="8" t="n"/>
      <c r="S9378" s="8" t="n"/>
      <c r="T9378" s="8" t="n"/>
      <c r="U9378" s="8" t="n"/>
      <c r="V9378" s="8" t="n"/>
      <c r="W9378" s="8" t="n"/>
      <c r="X9378" s="8" t="n"/>
      <c r="Y9378" s="8" t="n"/>
    </row>
    <row r="9379">
      <c r="A9379" s="8" t="n"/>
      <c r="B9379" s="8" t="n"/>
      <c r="C9379" s="8" t="n"/>
      <c r="D9379" s="8" t="n"/>
      <c r="E9379" s="8" t="n"/>
      <c r="F9379" s="8" t="n"/>
      <c r="G9379" s="8" t="n"/>
      <c r="H9379" s="8" t="n"/>
      <c r="I9379" s="8" t="n"/>
      <c r="J9379" s="8" t="n"/>
      <c r="K9379" s="8" t="n"/>
      <c r="L9379" s="8" t="n"/>
      <c r="M9379" s="9">
        <f>B9379+30</f>
        <v/>
      </c>
      <c r="N9379">
        <f>IF(L9379="", "", L9379-B9379)</f>
        <v/>
      </c>
      <c r="O9379">
        <f>IF(L9379="", "Pending", IF(N9379&lt;=30, "Met", "Breached"))</f>
        <v/>
      </c>
      <c r="P9379" s="8" t="n"/>
      <c r="Q9379" s="8" t="n"/>
      <c r="R9379" s="8" t="n"/>
      <c r="S9379" s="8" t="n"/>
      <c r="T9379" s="8" t="n"/>
      <c r="U9379" s="8" t="n"/>
      <c r="V9379" s="8" t="n"/>
      <c r="W9379" s="8" t="n"/>
      <c r="X9379" s="8" t="n"/>
      <c r="Y9379" s="8" t="n"/>
    </row>
    <row r="9380">
      <c r="A9380" s="8" t="n"/>
      <c r="B9380" s="8" t="n"/>
      <c r="C9380" s="8" t="n"/>
      <c r="D9380" s="8" t="n"/>
      <c r="E9380" s="8" t="n"/>
      <c r="F9380" s="8" t="n"/>
      <c r="G9380" s="8" t="n"/>
      <c r="H9380" s="8" t="n"/>
      <c r="I9380" s="8" t="n"/>
      <c r="J9380" s="8" t="n"/>
      <c r="K9380" s="8" t="n"/>
      <c r="L9380" s="8" t="n"/>
      <c r="M9380" s="9">
        <f>B9380+30</f>
        <v/>
      </c>
      <c r="N9380">
        <f>IF(L9380="", "", L9380-B9380)</f>
        <v/>
      </c>
      <c r="O9380">
        <f>IF(L9380="", "Pending", IF(N9380&lt;=30, "Met", "Breached"))</f>
        <v/>
      </c>
      <c r="P9380" s="8" t="n"/>
      <c r="Q9380" s="8" t="n"/>
      <c r="R9380" s="8" t="n"/>
      <c r="S9380" s="8" t="n"/>
      <c r="T9380" s="8" t="n"/>
      <c r="U9380" s="8" t="n"/>
      <c r="V9380" s="8" t="n"/>
      <c r="W9380" s="8" t="n"/>
      <c r="X9380" s="8" t="n"/>
      <c r="Y9380" s="8" t="n"/>
    </row>
    <row r="9381">
      <c r="A9381" s="8" t="n"/>
      <c r="B9381" s="8" t="n"/>
      <c r="C9381" s="8" t="n"/>
      <c r="D9381" s="8" t="n"/>
      <c r="E9381" s="8" t="n"/>
      <c r="F9381" s="8" t="n"/>
      <c r="G9381" s="8" t="n"/>
      <c r="H9381" s="8" t="n"/>
      <c r="I9381" s="8" t="n"/>
      <c r="J9381" s="8" t="n"/>
      <c r="K9381" s="8" t="n"/>
      <c r="L9381" s="8" t="n"/>
      <c r="M9381" s="9">
        <f>B9381+30</f>
        <v/>
      </c>
      <c r="N9381">
        <f>IF(L9381="", "", L9381-B9381)</f>
        <v/>
      </c>
      <c r="O9381">
        <f>IF(L9381="", "Pending", IF(N9381&lt;=30, "Met", "Breached"))</f>
        <v/>
      </c>
      <c r="P9381" s="8" t="n"/>
      <c r="Q9381" s="8" t="n"/>
      <c r="R9381" s="8" t="n"/>
      <c r="S9381" s="8" t="n"/>
      <c r="T9381" s="8" t="n"/>
      <c r="U9381" s="8" t="n"/>
      <c r="V9381" s="8" t="n"/>
      <c r="W9381" s="8" t="n"/>
      <c r="X9381" s="8" t="n"/>
      <c r="Y9381" s="8" t="n"/>
    </row>
    <row r="9382">
      <c r="A9382" s="8" t="n"/>
      <c r="B9382" s="8" t="n"/>
      <c r="C9382" s="8" t="n"/>
      <c r="D9382" s="8" t="n"/>
      <c r="E9382" s="8" t="n"/>
      <c r="F9382" s="8" t="n"/>
      <c r="G9382" s="8" t="n"/>
      <c r="H9382" s="8" t="n"/>
      <c r="I9382" s="8" t="n"/>
      <c r="J9382" s="8" t="n"/>
      <c r="K9382" s="8" t="n"/>
      <c r="L9382" s="8" t="n"/>
      <c r="M9382" s="9">
        <f>B9382+30</f>
        <v/>
      </c>
      <c r="N9382">
        <f>IF(L9382="", "", L9382-B9382)</f>
        <v/>
      </c>
      <c r="O9382">
        <f>IF(L9382="", "Pending", IF(N9382&lt;=30, "Met", "Breached"))</f>
        <v/>
      </c>
      <c r="P9382" s="8" t="n"/>
      <c r="Q9382" s="8" t="n"/>
      <c r="R9382" s="8" t="n"/>
      <c r="S9382" s="8" t="n"/>
      <c r="T9382" s="8" t="n"/>
      <c r="U9382" s="8" t="n"/>
      <c r="V9382" s="8" t="n"/>
      <c r="W9382" s="8" t="n"/>
      <c r="X9382" s="8" t="n"/>
      <c r="Y9382" s="8" t="n"/>
    </row>
    <row r="9383">
      <c r="A9383" s="8" t="n"/>
      <c r="B9383" s="8" t="n"/>
      <c r="C9383" s="8" t="n"/>
      <c r="D9383" s="8" t="n"/>
      <c r="E9383" s="8" t="n"/>
      <c r="F9383" s="8" t="n"/>
      <c r="G9383" s="8" t="n"/>
      <c r="H9383" s="8" t="n"/>
      <c r="I9383" s="8" t="n"/>
      <c r="J9383" s="8" t="n"/>
      <c r="K9383" s="8" t="n"/>
      <c r="L9383" s="8" t="n"/>
      <c r="M9383" s="9">
        <f>B9383+30</f>
        <v/>
      </c>
      <c r="N9383">
        <f>IF(L9383="", "", L9383-B9383)</f>
        <v/>
      </c>
      <c r="O9383">
        <f>IF(L9383="", "Pending", IF(N9383&lt;=30, "Met", "Breached"))</f>
        <v/>
      </c>
      <c r="P9383" s="8" t="n"/>
      <c r="Q9383" s="8" t="n"/>
      <c r="R9383" s="8" t="n"/>
      <c r="S9383" s="8" t="n"/>
      <c r="T9383" s="8" t="n"/>
      <c r="U9383" s="8" t="n"/>
      <c r="V9383" s="8" t="n"/>
      <c r="W9383" s="8" t="n"/>
      <c r="X9383" s="8" t="n"/>
      <c r="Y9383" s="8" t="n"/>
    </row>
    <row r="9384">
      <c r="A9384" s="8" t="n"/>
      <c r="B9384" s="8" t="n"/>
      <c r="C9384" s="8" t="n"/>
      <c r="D9384" s="8" t="n"/>
      <c r="E9384" s="8" t="n"/>
      <c r="F9384" s="8" t="n"/>
      <c r="G9384" s="8" t="n"/>
      <c r="H9384" s="8" t="n"/>
      <c r="I9384" s="8" t="n"/>
      <c r="J9384" s="8" t="n"/>
      <c r="K9384" s="8" t="n"/>
      <c r="L9384" s="8" t="n"/>
      <c r="M9384" s="9">
        <f>B9384+30</f>
        <v/>
      </c>
      <c r="N9384">
        <f>IF(L9384="", "", L9384-B9384)</f>
        <v/>
      </c>
      <c r="O9384">
        <f>IF(L9384="", "Pending", IF(N9384&lt;=30, "Met", "Breached"))</f>
        <v/>
      </c>
      <c r="P9384" s="8" t="n"/>
      <c r="Q9384" s="8" t="n"/>
      <c r="R9384" s="8" t="n"/>
      <c r="S9384" s="8" t="n"/>
      <c r="T9384" s="8" t="n"/>
      <c r="U9384" s="8" t="n"/>
      <c r="V9384" s="8" t="n"/>
      <c r="W9384" s="8" t="n"/>
      <c r="X9384" s="8" t="n"/>
      <c r="Y9384" s="8" t="n"/>
    </row>
    <row r="9385">
      <c r="A9385" s="8" t="n"/>
      <c r="B9385" s="8" t="n"/>
      <c r="C9385" s="8" t="n"/>
      <c r="D9385" s="8" t="n"/>
      <c r="E9385" s="8" t="n"/>
      <c r="F9385" s="8" t="n"/>
      <c r="G9385" s="8" t="n"/>
      <c r="H9385" s="8" t="n"/>
      <c r="I9385" s="8" t="n"/>
      <c r="J9385" s="8" t="n"/>
      <c r="K9385" s="8" t="n"/>
      <c r="L9385" s="8" t="n"/>
      <c r="M9385" s="9">
        <f>B9385+30</f>
        <v/>
      </c>
      <c r="N9385">
        <f>IF(L9385="", "", L9385-B9385)</f>
        <v/>
      </c>
      <c r="O9385">
        <f>IF(L9385="", "Pending", IF(N9385&lt;=30, "Met", "Breached"))</f>
        <v/>
      </c>
      <c r="P9385" s="8" t="n"/>
      <c r="Q9385" s="8" t="n"/>
      <c r="R9385" s="8" t="n"/>
      <c r="S9385" s="8" t="n"/>
      <c r="T9385" s="8" t="n"/>
      <c r="U9385" s="8" t="n"/>
      <c r="V9385" s="8" t="n"/>
      <c r="W9385" s="8" t="n"/>
      <c r="X9385" s="8" t="n"/>
      <c r="Y9385" s="8" t="n"/>
    </row>
    <row r="9386">
      <c r="A9386" s="8" t="n"/>
      <c r="B9386" s="8" t="n"/>
      <c r="C9386" s="8" t="n"/>
      <c r="D9386" s="8" t="n"/>
      <c r="E9386" s="8" t="n"/>
      <c r="F9386" s="8" t="n"/>
      <c r="G9386" s="8" t="n"/>
      <c r="H9386" s="8" t="n"/>
      <c r="I9386" s="8" t="n"/>
      <c r="J9386" s="8" t="n"/>
      <c r="K9386" s="8" t="n"/>
      <c r="L9386" s="8" t="n"/>
      <c r="M9386" s="9">
        <f>B9386+30</f>
        <v/>
      </c>
      <c r="N9386">
        <f>IF(L9386="", "", L9386-B9386)</f>
        <v/>
      </c>
      <c r="O9386">
        <f>IF(L9386="", "Pending", IF(N9386&lt;=30, "Met", "Breached"))</f>
        <v/>
      </c>
      <c r="P9386" s="8" t="n"/>
      <c r="Q9386" s="8" t="n"/>
      <c r="R9386" s="8" t="n"/>
      <c r="S9386" s="8" t="n"/>
      <c r="T9386" s="8" t="n"/>
      <c r="U9386" s="8" t="n"/>
      <c r="V9386" s="8" t="n"/>
      <c r="W9386" s="8" t="n"/>
      <c r="X9386" s="8" t="n"/>
      <c r="Y9386" s="8" t="n"/>
    </row>
    <row r="9387">
      <c r="A9387" s="8" t="n"/>
      <c r="B9387" s="8" t="n"/>
      <c r="C9387" s="8" t="n"/>
      <c r="D9387" s="8" t="n"/>
      <c r="E9387" s="8" t="n"/>
      <c r="F9387" s="8" t="n"/>
      <c r="G9387" s="8" t="n"/>
      <c r="H9387" s="8" t="n"/>
      <c r="I9387" s="8" t="n"/>
      <c r="J9387" s="8" t="n"/>
      <c r="K9387" s="8" t="n"/>
      <c r="L9387" s="8" t="n"/>
      <c r="M9387" s="9">
        <f>B9387+30</f>
        <v/>
      </c>
      <c r="N9387">
        <f>IF(L9387="", "", L9387-B9387)</f>
        <v/>
      </c>
      <c r="O9387">
        <f>IF(L9387="", "Pending", IF(N9387&lt;=30, "Met", "Breached"))</f>
        <v/>
      </c>
      <c r="P9387" s="8" t="n"/>
      <c r="Q9387" s="8" t="n"/>
      <c r="R9387" s="8" t="n"/>
      <c r="S9387" s="8" t="n"/>
      <c r="T9387" s="8" t="n"/>
      <c r="U9387" s="8" t="n"/>
      <c r="V9387" s="8" t="n"/>
      <c r="W9387" s="8" t="n"/>
      <c r="X9387" s="8" t="n"/>
      <c r="Y9387" s="8" t="n"/>
    </row>
    <row r="9388">
      <c r="A9388" s="8" t="n"/>
      <c r="B9388" s="8" t="n"/>
      <c r="C9388" s="8" t="n"/>
      <c r="D9388" s="8" t="n"/>
      <c r="E9388" s="8" t="n"/>
      <c r="F9388" s="8" t="n"/>
      <c r="G9388" s="8" t="n"/>
      <c r="H9388" s="8" t="n"/>
      <c r="I9388" s="8" t="n"/>
      <c r="J9388" s="8" t="n"/>
      <c r="K9388" s="8" t="n"/>
      <c r="L9388" s="8" t="n"/>
      <c r="M9388" s="9">
        <f>B9388+30</f>
        <v/>
      </c>
      <c r="N9388">
        <f>IF(L9388="", "", L9388-B9388)</f>
        <v/>
      </c>
      <c r="O9388">
        <f>IF(L9388="", "Pending", IF(N9388&lt;=30, "Met", "Breached"))</f>
        <v/>
      </c>
      <c r="P9388" s="8" t="n"/>
      <c r="Q9388" s="8" t="n"/>
      <c r="R9388" s="8" t="n"/>
      <c r="S9388" s="8" t="n"/>
      <c r="T9388" s="8" t="n"/>
      <c r="U9388" s="8" t="n"/>
      <c r="V9388" s="8" t="n"/>
      <c r="W9388" s="8" t="n"/>
      <c r="X9388" s="8" t="n"/>
      <c r="Y9388" s="8" t="n"/>
    </row>
    <row r="9389">
      <c r="A9389" s="8" t="n"/>
      <c r="B9389" s="8" t="n"/>
      <c r="C9389" s="8" t="n"/>
      <c r="D9389" s="8" t="n"/>
      <c r="E9389" s="8" t="n"/>
      <c r="F9389" s="8" t="n"/>
      <c r="G9389" s="8" t="n"/>
      <c r="H9389" s="8" t="n"/>
      <c r="I9389" s="8" t="n"/>
      <c r="J9389" s="8" t="n"/>
      <c r="K9389" s="8" t="n"/>
      <c r="L9389" s="8" t="n"/>
      <c r="M9389" s="9">
        <f>B9389+30</f>
        <v/>
      </c>
      <c r="N9389">
        <f>IF(L9389="", "", L9389-B9389)</f>
        <v/>
      </c>
      <c r="O9389">
        <f>IF(L9389="", "Pending", IF(N9389&lt;=30, "Met", "Breached"))</f>
        <v/>
      </c>
      <c r="P9389" s="8" t="n"/>
      <c r="Q9389" s="8" t="n"/>
      <c r="R9389" s="8" t="n"/>
      <c r="S9389" s="8" t="n"/>
      <c r="T9389" s="8" t="n"/>
      <c r="U9389" s="8" t="n"/>
      <c r="V9389" s="8" t="n"/>
      <c r="W9389" s="8" t="n"/>
      <c r="X9389" s="8" t="n"/>
      <c r="Y9389" s="8" t="n"/>
    </row>
    <row r="9390">
      <c r="A9390" s="8" t="n"/>
      <c r="B9390" s="8" t="n"/>
      <c r="C9390" s="8" t="n"/>
      <c r="D9390" s="8" t="n"/>
      <c r="E9390" s="8" t="n"/>
      <c r="F9390" s="8" t="n"/>
      <c r="G9390" s="8" t="n"/>
      <c r="H9390" s="8" t="n"/>
      <c r="I9390" s="8" t="n"/>
      <c r="J9390" s="8" t="n"/>
      <c r="K9390" s="8" t="n"/>
      <c r="L9390" s="8" t="n"/>
      <c r="M9390" s="9">
        <f>B9390+30</f>
        <v/>
      </c>
      <c r="N9390">
        <f>IF(L9390="", "", L9390-B9390)</f>
        <v/>
      </c>
      <c r="O9390">
        <f>IF(L9390="", "Pending", IF(N9390&lt;=30, "Met", "Breached"))</f>
        <v/>
      </c>
      <c r="P9390" s="8" t="n"/>
      <c r="Q9390" s="8" t="n"/>
      <c r="R9390" s="8" t="n"/>
      <c r="S9390" s="8" t="n"/>
      <c r="T9390" s="8" t="n"/>
      <c r="U9390" s="8" t="n"/>
      <c r="V9390" s="8" t="n"/>
      <c r="W9390" s="8" t="n"/>
      <c r="X9390" s="8" t="n"/>
      <c r="Y9390" s="8" t="n"/>
    </row>
    <row r="9391">
      <c r="A9391" s="8" t="n"/>
      <c r="B9391" s="8" t="n"/>
      <c r="C9391" s="8" t="n"/>
      <c r="D9391" s="8" t="n"/>
      <c r="E9391" s="8" t="n"/>
      <c r="F9391" s="8" t="n"/>
      <c r="G9391" s="8" t="n"/>
      <c r="H9391" s="8" t="n"/>
      <c r="I9391" s="8" t="n"/>
      <c r="J9391" s="8" t="n"/>
      <c r="K9391" s="8" t="n"/>
      <c r="L9391" s="8" t="n"/>
      <c r="M9391" s="9">
        <f>B9391+30</f>
        <v/>
      </c>
      <c r="N9391">
        <f>IF(L9391="", "", L9391-B9391)</f>
        <v/>
      </c>
      <c r="O9391">
        <f>IF(L9391="", "Pending", IF(N9391&lt;=30, "Met", "Breached"))</f>
        <v/>
      </c>
      <c r="P9391" s="8" t="n"/>
      <c r="Q9391" s="8" t="n"/>
      <c r="R9391" s="8" t="n"/>
      <c r="S9391" s="8" t="n"/>
      <c r="T9391" s="8" t="n"/>
      <c r="U9391" s="8" t="n"/>
      <c r="V9391" s="8" t="n"/>
      <c r="W9391" s="8" t="n"/>
      <c r="X9391" s="8" t="n"/>
      <c r="Y9391" s="8" t="n"/>
    </row>
    <row r="9392">
      <c r="A9392" s="8" t="n"/>
      <c r="B9392" s="8" t="n"/>
      <c r="C9392" s="8" t="n"/>
      <c r="D9392" s="8" t="n"/>
      <c r="E9392" s="8" t="n"/>
      <c r="F9392" s="8" t="n"/>
      <c r="G9392" s="8" t="n"/>
      <c r="H9392" s="8" t="n"/>
      <c r="I9392" s="8" t="n"/>
      <c r="J9392" s="8" t="n"/>
      <c r="K9392" s="8" t="n"/>
      <c r="L9392" s="8" t="n"/>
      <c r="M9392" s="9">
        <f>B9392+30</f>
        <v/>
      </c>
      <c r="N9392">
        <f>IF(L9392="", "", L9392-B9392)</f>
        <v/>
      </c>
      <c r="O9392">
        <f>IF(L9392="", "Pending", IF(N9392&lt;=30, "Met", "Breached"))</f>
        <v/>
      </c>
      <c r="P9392" s="8" t="n"/>
      <c r="Q9392" s="8" t="n"/>
      <c r="R9392" s="8" t="n"/>
      <c r="S9392" s="8" t="n"/>
      <c r="T9392" s="8" t="n"/>
      <c r="U9392" s="8" t="n"/>
      <c r="V9392" s="8" t="n"/>
      <c r="W9392" s="8" t="n"/>
      <c r="X9392" s="8" t="n"/>
      <c r="Y9392" s="8" t="n"/>
    </row>
    <row r="9393">
      <c r="A9393" s="8" t="n"/>
      <c r="B9393" s="8" t="n"/>
      <c r="C9393" s="8" t="n"/>
      <c r="D9393" s="8" t="n"/>
      <c r="E9393" s="8" t="n"/>
      <c r="F9393" s="8" t="n"/>
      <c r="G9393" s="8" t="n"/>
      <c r="H9393" s="8" t="n"/>
      <c r="I9393" s="8" t="n"/>
      <c r="J9393" s="8" t="n"/>
      <c r="K9393" s="8" t="n"/>
      <c r="L9393" s="8" t="n"/>
      <c r="M9393" s="9">
        <f>B9393+30</f>
        <v/>
      </c>
      <c r="N9393">
        <f>IF(L9393="", "", L9393-B9393)</f>
        <v/>
      </c>
      <c r="O9393">
        <f>IF(L9393="", "Pending", IF(N9393&lt;=30, "Met", "Breached"))</f>
        <v/>
      </c>
      <c r="P9393" s="8" t="n"/>
      <c r="Q9393" s="8" t="n"/>
      <c r="R9393" s="8" t="n"/>
      <c r="S9393" s="8" t="n"/>
      <c r="T9393" s="8" t="n"/>
      <c r="U9393" s="8" t="n"/>
      <c r="V9393" s="8" t="n"/>
      <c r="W9393" s="8" t="n"/>
      <c r="X9393" s="8" t="n"/>
      <c r="Y9393" s="8" t="n"/>
    </row>
    <row r="9394">
      <c r="A9394" s="8" t="n"/>
      <c r="B9394" s="8" t="n"/>
      <c r="C9394" s="8" t="n"/>
      <c r="D9394" s="8" t="n"/>
      <c r="E9394" s="8" t="n"/>
      <c r="F9394" s="8" t="n"/>
      <c r="G9394" s="8" t="n"/>
      <c r="H9394" s="8" t="n"/>
      <c r="I9394" s="8" t="n"/>
      <c r="J9394" s="8" t="n"/>
      <c r="K9394" s="8" t="n"/>
      <c r="L9394" s="8" t="n"/>
      <c r="M9394" s="9">
        <f>B9394+30</f>
        <v/>
      </c>
      <c r="N9394">
        <f>IF(L9394="", "", L9394-B9394)</f>
        <v/>
      </c>
      <c r="O9394">
        <f>IF(L9394="", "Pending", IF(N9394&lt;=30, "Met", "Breached"))</f>
        <v/>
      </c>
      <c r="P9394" s="8" t="n"/>
      <c r="Q9394" s="8" t="n"/>
      <c r="R9394" s="8" t="n"/>
      <c r="S9394" s="8" t="n"/>
      <c r="T9394" s="8" t="n"/>
      <c r="U9394" s="8" t="n"/>
      <c r="V9394" s="8" t="n"/>
      <c r="W9394" s="8" t="n"/>
      <c r="X9394" s="8" t="n"/>
      <c r="Y9394" s="8" t="n"/>
    </row>
    <row r="9395">
      <c r="A9395" s="8" t="n"/>
      <c r="B9395" s="8" t="n"/>
      <c r="C9395" s="8" t="n"/>
      <c r="D9395" s="8" t="n"/>
      <c r="E9395" s="8" t="n"/>
      <c r="F9395" s="8" t="n"/>
      <c r="G9395" s="8" t="n"/>
      <c r="H9395" s="8" t="n"/>
      <c r="I9395" s="8" t="n"/>
      <c r="J9395" s="8" t="n"/>
      <c r="K9395" s="8" t="n"/>
      <c r="L9395" s="8" t="n"/>
      <c r="M9395" s="9">
        <f>B9395+30</f>
        <v/>
      </c>
      <c r="N9395">
        <f>IF(L9395="", "", L9395-B9395)</f>
        <v/>
      </c>
      <c r="O9395">
        <f>IF(L9395="", "Pending", IF(N9395&lt;=30, "Met", "Breached"))</f>
        <v/>
      </c>
      <c r="P9395" s="8" t="n"/>
      <c r="Q9395" s="8" t="n"/>
      <c r="R9395" s="8" t="n"/>
      <c r="S9395" s="8" t="n"/>
      <c r="T9395" s="8" t="n"/>
      <c r="U9395" s="8" t="n"/>
      <c r="V9395" s="8" t="n"/>
      <c r="W9395" s="8" t="n"/>
      <c r="X9395" s="8" t="n"/>
      <c r="Y9395" s="8" t="n"/>
    </row>
    <row r="9396">
      <c r="A9396" s="8" t="n"/>
      <c r="B9396" s="8" t="n"/>
      <c r="C9396" s="8" t="n"/>
      <c r="D9396" s="8" t="n"/>
      <c r="E9396" s="8" t="n"/>
      <c r="F9396" s="8" t="n"/>
      <c r="G9396" s="8" t="n"/>
      <c r="H9396" s="8" t="n"/>
      <c r="I9396" s="8" t="n"/>
      <c r="J9396" s="8" t="n"/>
      <c r="K9396" s="8" t="n"/>
      <c r="L9396" s="8" t="n"/>
      <c r="M9396" s="9">
        <f>B9396+30</f>
        <v/>
      </c>
      <c r="N9396">
        <f>IF(L9396="", "", L9396-B9396)</f>
        <v/>
      </c>
      <c r="O9396">
        <f>IF(L9396="", "Pending", IF(N9396&lt;=30, "Met", "Breached"))</f>
        <v/>
      </c>
      <c r="P9396" s="8" t="n"/>
      <c r="Q9396" s="8" t="n"/>
      <c r="R9396" s="8" t="n"/>
      <c r="S9396" s="8" t="n"/>
      <c r="T9396" s="8" t="n"/>
      <c r="U9396" s="8" t="n"/>
      <c r="V9396" s="8" t="n"/>
      <c r="W9396" s="8" t="n"/>
      <c r="X9396" s="8" t="n"/>
      <c r="Y9396" s="8" t="n"/>
    </row>
    <row r="9397">
      <c r="A9397" s="8" t="n"/>
      <c r="B9397" s="8" t="n"/>
      <c r="C9397" s="8" t="n"/>
      <c r="D9397" s="8" t="n"/>
      <c r="E9397" s="8" t="n"/>
      <c r="F9397" s="8" t="n"/>
      <c r="G9397" s="8" t="n"/>
      <c r="H9397" s="8" t="n"/>
      <c r="I9397" s="8" t="n"/>
      <c r="J9397" s="8" t="n"/>
      <c r="K9397" s="8" t="n"/>
      <c r="L9397" s="8" t="n"/>
      <c r="M9397" s="9">
        <f>B9397+30</f>
        <v/>
      </c>
      <c r="N9397">
        <f>IF(L9397="", "", L9397-B9397)</f>
        <v/>
      </c>
      <c r="O9397">
        <f>IF(L9397="", "Pending", IF(N9397&lt;=30, "Met", "Breached"))</f>
        <v/>
      </c>
      <c r="P9397" s="8" t="n"/>
      <c r="Q9397" s="8" t="n"/>
      <c r="R9397" s="8" t="n"/>
      <c r="S9397" s="8" t="n"/>
      <c r="T9397" s="8" t="n"/>
      <c r="U9397" s="8" t="n"/>
      <c r="V9397" s="8" t="n"/>
      <c r="W9397" s="8" t="n"/>
      <c r="X9397" s="8" t="n"/>
      <c r="Y9397" s="8" t="n"/>
    </row>
    <row r="9398">
      <c r="A9398" s="8" t="n"/>
      <c r="B9398" s="8" t="n"/>
      <c r="C9398" s="8" t="n"/>
      <c r="D9398" s="8" t="n"/>
      <c r="E9398" s="8" t="n"/>
      <c r="F9398" s="8" t="n"/>
      <c r="G9398" s="8" t="n"/>
      <c r="H9398" s="8" t="n"/>
      <c r="I9398" s="8" t="n"/>
      <c r="J9398" s="8" t="n"/>
      <c r="K9398" s="8" t="n"/>
      <c r="L9398" s="8" t="n"/>
      <c r="M9398" s="9">
        <f>B9398+30</f>
        <v/>
      </c>
      <c r="N9398">
        <f>IF(L9398="", "", L9398-B9398)</f>
        <v/>
      </c>
      <c r="O9398">
        <f>IF(L9398="", "Pending", IF(N9398&lt;=30, "Met", "Breached"))</f>
        <v/>
      </c>
      <c r="P9398" s="8" t="n"/>
      <c r="Q9398" s="8" t="n"/>
      <c r="R9398" s="8" t="n"/>
      <c r="S9398" s="8" t="n"/>
      <c r="T9398" s="8" t="n"/>
      <c r="U9398" s="8" t="n"/>
      <c r="V9398" s="8" t="n"/>
      <c r="W9398" s="8" t="n"/>
      <c r="X9398" s="8" t="n"/>
      <c r="Y9398" s="8" t="n"/>
    </row>
    <row r="9399">
      <c r="A9399" s="8" t="n"/>
      <c r="B9399" s="8" t="n"/>
      <c r="C9399" s="8" t="n"/>
      <c r="D9399" s="8" t="n"/>
      <c r="E9399" s="8" t="n"/>
      <c r="F9399" s="8" t="n"/>
      <c r="G9399" s="8" t="n"/>
      <c r="H9399" s="8" t="n"/>
      <c r="I9399" s="8" t="n"/>
      <c r="J9399" s="8" t="n"/>
      <c r="K9399" s="8" t="n"/>
      <c r="L9399" s="8" t="n"/>
      <c r="M9399" s="9">
        <f>B9399+30</f>
        <v/>
      </c>
      <c r="N9399">
        <f>IF(L9399="", "", L9399-B9399)</f>
        <v/>
      </c>
      <c r="O9399">
        <f>IF(L9399="", "Pending", IF(N9399&lt;=30, "Met", "Breached"))</f>
        <v/>
      </c>
      <c r="P9399" s="8" t="n"/>
      <c r="Q9399" s="8" t="n"/>
      <c r="R9399" s="8" t="n"/>
      <c r="S9399" s="8" t="n"/>
      <c r="T9399" s="8" t="n"/>
      <c r="U9399" s="8" t="n"/>
      <c r="V9399" s="8" t="n"/>
      <c r="W9399" s="8" t="n"/>
      <c r="X9399" s="8" t="n"/>
      <c r="Y9399" s="8" t="n"/>
    </row>
    <row r="9400">
      <c r="A9400" s="8" t="n"/>
      <c r="B9400" s="8" t="n"/>
      <c r="C9400" s="8" t="n"/>
      <c r="D9400" s="8" t="n"/>
      <c r="E9400" s="8" t="n"/>
      <c r="F9400" s="8" t="n"/>
      <c r="G9400" s="8" t="n"/>
      <c r="H9400" s="8" t="n"/>
      <c r="I9400" s="8" t="n"/>
      <c r="J9400" s="8" t="n"/>
      <c r="K9400" s="8" t="n"/>
      <c r="L9400" s="8" t="n"/>
      <c r="M9400" s="9">
        <f>B9400+30</f>
        <v/>
      </c>
      <c r="N9400">
        <f>IF(L9400="", "", L9400-B9400)</f>
        <v/>
      </c>
      <c r="O9400">
        <f>IF(L9400="", "Pending", IF(N9400&lt;=30, "Met", "Breached"))</f>
        <v/>
      </c>
      <c r="P9400" s="8" t="n"/>
      <c r="Q9400" s="8" t="n"/>
      <c r="R9400" s="8" t="n"/>
      <c r="S9400" s="8" t="n"/>
      <c r="T9400" s="8" t="n"/>
      <c r="U9400" s="8" t="n"/>
      <c r="V9400" s="8" t="n"/>
      <c r="W9400" s="8" t="n"/>
      <c r="X9400" s="8" t="n"/>
      <c r="Y9400" s="8" t="n"/>
    </row>
    <row r="9401">
      <c r="A9401" s="8" t="n"/>
      <c r="B9401" s="8" t="n"/>
      <c r="C9401" s="8" t="n"/>
      <c r="D9401" s="8" t="n"/>
      <c r="E9401" s="8" t="n"/>
      <c r="F9401" s="8" t="n"/>
      <c r="G9401" s="8" t="n"/>
      <c r="H9401" s="8" t="n"/>
      <c r="I9401" s="8" t="n"/>
      <c r="J9401" s="8" t="n"/>
      <c r="K9401" s="8" t="n"/>
      <c r="L9401" s="8" t="n"/>
      <c r="M9401" s="9">
        <f>B9401+30</f>
        <v/>
      </c>
      <c r="N9401">
        <f>IF(L9401="", "", L9401-B9401)</f>
        <v/>
      </c>
      <c r="O9401">
        <f>IF(L9401="", "Pending", IF(N9401&lt;=30, "Met", "Breached"))</f>
        <v/>
      </c>
      <c r="P9401" s="8" t="n"/>
      <c r="Q9401" s="8" t="n"/>
      <c r="R9401" s="8" t="n"/>
      <c r="S9401" s="8" t="n"/>
      <c r="T9401" s="8" t="n"/>
      <c r="U9401" s="8" t="n"/>
      <c r="V9401" s="8" t="n"/>
      <c r="W9401" s="8" t="n"/>
      <c r="X9401" s="8" t="n"/>
      <c r="Y9401" s="8" t="n"/>
    </row>
    <row r="9402">
      <c r="A9402" s="8" t="n"/>
      <c r="B9402" s="8" t="n"/>
      <c r="C9402" s="8" t="n"/>
      <c r="D9402" s="8" t="n"/>
      <c r="E9402" s="8" t="n"/>
      <c r="F9402" s="8" t="n"/>
      <c r="G9402" s="8" t="n"/>
      <c r="H9402" s="8" t="n"/>
      <c r="I9402" s="8" t="n"/>
      <c r="J9402" s="8" t="n"/>
      <c r="K9402" s="8" t="n"/>
      <c r="L9402" s="8" t="n"/>
      <c r="M9402" s="9">
        <f>B9402+30</f>
        <v/>
      </c>
      <c r="N9402">
        <f>IF(L9402="", "", L9402-B9402)</f>
        <v/>
      </c>
      <c r="O9402">
        <f>IF(L9402="", "Pending", IF(N9402&lt;=30, "Met", "Breached"))</f>
        <v/>
      </c>
      <c r="P9402" s="8" t="n"/>
      <c r="Q9402" s="8" t="n"/>
      <c r="R9402" s="8" t="n"/>
      <c r="S9402" s="8" t="n"/>
      <c r="T9402" s="8" t="n"/>
      <c r="U9402" s="8" t="n"/>
      <c r="V9402" s="8" t="n"/>
      <c r="W9402" s="8" t="n"/>
      <c r="X9402" s="8" t="n"/>
      <c r="Y9402" s="8" t="n"/>
    </row>
    <row r="9403">
      <c r="A9403" s="8" t="n"/>
      <c r="B9403" s="8" t="n"/>
      <c r="C9403" s="8" t="n"/>
      <c r="D9403" s="8" t="n"/>
      <c r="E9403" s="8" t="n"/>
      <c r="F9403" s="8" t="n"/>
      <c r="G9403" s="8" t="n"/>
      <c r="H9403" s="8" t="n"/>
      <c r="I9403" s="8" t="n"/>
      <c r="J9403" s="8" t="n"/>
      <c r="K9403" s="8" t="n"/>
      <c r="L9403" s="8" t="n"/>
      <c r="M9403" s="9">
        <f>B9403+30</f>
        <v/>
      </c>
      <c r="N9403">
        <f>IF(L9403="", "", L9403-B9403)</f>
        <v/>
      </c>
      <c r="O9403">
        <f>IF(L9403="", "Pending", IF(N9403&lt;=30, "Met", "Breached"))</f>
        <v/>
      </c>
      <c r="P9403" s="8" t="n"/>
      <c r="Q9403" s="8" t="n"/>
      <c r="R9403" s="8" t="n"/>
      <c r="S9403" s="8" t="n"/>
      <c r="T9403" s="8" t="n"/>
      <c r="U9403" s="8" t="n"/>
      <c r="V9403" s="8" t="n"/>
      <c r="W9403" s="8" t="n"/>
      <c r="X9403" s="8" t="n"/>
      <c r="Y9403" s="8" t="n"/>
    </row>
    <row r="9404">
      <c r="A9404" s="8" t="n"/>
      <c r="B9404" s="8" t="n"/>
      <c r="C9404" s="8" t="n"/>
      <c r="D9404" s="8" t="n"/>
      <c r="E9404" s="8" t="n"/>
      <c r="F9404" s="8" t="n"/>
      <c r="G9404" s="8" t="n"/>
      <c r="H9404" s="8" t="n"/>
      <c r="I9404" s="8" t="n"/>
      <c r="J9404" s="8" t="n"/>
      <c r="K9404" s="8" t="n"/>
      <c r="L9404" s="8" t="n"/>
      <c r="M9404" s="9">
        <f>B9404+30</f>
        <v/>
      </c>
      <c r="N9404">
        <f>IF(L9404="", "", L9404-B9404)</f>
        <v/>
      </c>
      <c r="O9404">
        <f>IF(L9404="", "Pending", IF(N9404&lt;=30, "Met", "Breached"))</f>
        <v/>
      </c>
      <c r="P9404" s="8" t="n"/>
      <c r="Q9404" s="8" t="n"/>
      <c r="R9404" s="8" t="n"/>
      <c r="S9404" s="8" t="n"/>
      <c r="T9404" s="8" t="n"/>
      <c r="U9404" s="8" t="n"/>
      <c r="V9404" s="8" t="n"/>
      <c r="W9404" s="8" t="n"/>
      <c r="X9404" s="8" t="n"/>
      <c r="Y9404" s="8" t="n"/>
    </row>
    <row r="9405">
      <c r="A9405" s="8" t="n"/>
      <c r="B9405" s="8" t="n"/>
      <c r="C9405" s="8" t="n"/>
      <c r="D9405" s="8" t="n"/>
      <c r="E9405" s="8" t="n"/>
      <c r="F9405" s="8" t="n"/>
      <c r="G9405" s="8" t="n"/>
      <c r="H9405" s="8" t="n"/>
      <c r="I9405" s="8" t="n"/>
      <c r="J9405" s="8" t="n"/>
      <c r="K9405" s="8" t="n"/>
      <c r="L9405" s="8" t="n"/>
      <c r="M9405" s="9">
        <f>B9405+30</f>
        <v/>
      </c>
      <c r="N9405">
        <f>IF(L9405="", "", L9405-B9405)</f>
        <v/>
      </c>
      <c r="O9405">
        <f>IF(L9405="", "Pending", IF(N9405&lt;=30, "Met", "Breached"))</f>
        <v/>
      </c>
      <c r="P9405" s="8" t="n"/>
      <c r="Q9405" s="8" t="n"/>
      <c r="R9405" s="8" t="n"/>
      <c r="S9405" s="8" t="n"/>
      <c r="T9405" s="8" t="n"/>
      <c r="U9405" s="8" t="n"/>
      <c r="V9405" s="8" t="n"/>
      <c r="W9405" s="8" t="n"/>
      <c r="X9405" s="8" t="n"/>
      <c r="Y9405" s="8" t="n"/>
    </row>
    <row r="9406">
      <c r="A9406" s="8" t="n"/>
      <c r="B9406" s="8" t="n"/>
      <c r="C9406" s="8" t="n"/>
      <c r="D9406" s="8" t="n"/>
      <c r="E9406" s="8" t="n"/>
      <c r="F9406" s="8" t="n"/>
      <c r="G9406" s="8" t="n"/>
      <c r="H9406" s="8" t="n"/>
      <c r="I9406" s="8" t="n"/>
      <c r="J9406" s="8" t="n"/>
      <c r="K9406" s="8" t="n"/>
      <c r="L9406" s="8" t="n"/>
      <c r="M9406" s="9">
        <f>B9406+30</f>
        <v/>
      </c>
      <c r="N9406">
        <f>IF(L9406="", "", L9406-B9406)</f>
        <v/>
      </c>
      <c r="O9406">
        <f>IF(L9406="", "Pending", IF(N9406&lt;=30, "Met", "Breached"))</f>
        <v/>
      </c>
      <c r="P9406" s="8" t="n"/>
      <c r="Q9406" s="8" t="n"/>
      <c r="R9406" s="8" t="n"/>
      <c r="S9406" s="8" t="n"/>
      <c r="T9406" s="8" t="n"/>
      <c r="U9406" s="8" t="n"/>
      <c r="V9406" s="8" t="n"/>
      <c r="W9406" s="8" t="n"/>
      <c r="X9406" s="8" t="n"/>
      <c r="Y9406" s="8" t="n"/>
    </row>
    <row r="9407">
      <c r="A9407" s="8" t="n"/>
      <c r="B9407" s="8" t="n"/>
      <c r="C9407" s="8" t="n"/>
      <c r="D9407" s="8" t="n"/>
      <c r="E9407" s="8" t="n"/>
      <c r="F9407" s="8" t="n"/>
      <c r="G9407" s="8" t="n"/>
      <c r="H9407" s="8" t="n"/>
      <c r="I9407" s="8" t="n"/>
      <c r="J9407" s="8" t="n"/>
      <c r="K9407" s="8" t="n"/>
      <c r="L9407" s="8" t="n"/>
      <c r="M9407" s="9">
        <f>B9407+30</f>
        <v/>
      </c>
      <c r="N9407">
        <f>IF(L9407="", "", L9407-B9407)</f>
        <v/>
      </c>
      <c r="O9407">
        <f>IF(L9407="", "Pending", IF(N9407&lt;=30, "Met", "Breached"))</f>
        <v/>
      </c>
      <c r="P9407" s="8" t="n"/>
      <c r="Q9407" s="8" t="n"/>
      <c r="R9407" s="8" t="n"/>
      <c r="S9407" s="8" t="n"/>
      <c r="T9407" s="8" t="n"/>
      <c r="U9407" s="8" t="n"/>
      <c r="V9407" s="8" t="n"/>
      <c r="W9407" s="8" t="n"/>
      <c r="X9407" s="8" t="n"/>
      <c r="Y9407" s="8" t="n"/>
    </row>
    <row r="9408">
      <c r="A9408" s="8" t="n"/>
      <c r="B9408" s="8" t="n"/>
      <c r="C9408" s="8" t="n"/>
      <c r="D9408" s="8" t="n"/>
      <c r="E9408" s="8" t="n"/>
      <c r="F9408" s="8" t="n"/>
      <c r="G9408" s="8" t="n"/>
      <c r="H9408" s="8" t="n"/>
      <c r="I9408" s="8" t="n"/>
      <c r="J9408" s="8" t="n"/>
      <c r="K9408" s="8" t="n"/>
      <c r="L9408" s="8" t="n"/>
      <c r="M9408" s="9">
        <f>B9408+30</f>
        <v/>
      </c>
      <c r="N9408">
        <f>IF(L9408="", "", L9408-B9408)</f>
        <v/>
      </c>
      <c r="O9408">
        <f>IF(L9408="", "Pending", IF(N9408&lt;=30, "Met", "Breached"))</f>
        <v/>
      </c>
      <c r="P9408" s="8" t="n"/>
      <c r="Q9408" s="8" t="n"/>
      <c r="R9408" s="8" t="n"/>
      <c r="S9408" s="8" t="n"/>
      <c r="T9408" s="8" t="n"/>
      <c r="U9408" s="8" t="n"/>
      <c r="V9408" s="8" t="n"/>
      <c r="W9408" s="8" t="n"/>
      <c r="X9408" s="8" t="n"/>
      <c r="Y9408" s="8" t="n"/>
    </row>
    <row r="9409">
      <c r="A9409" s="8" t="n"/>
      <c r="B9409" s="8" t="n"/>
      <c r="C9409" s="8" t="n"/>
      <c r="D9409" s="8" t="n"/>
      <c r="E9409" s="8" t="n"/>
      <c r="F9409" s="8" t="n"/>
      <c r="G9409" s="8" t="n"/>
      <c r="H9409" s="8" t="n"/>
      <c r="I9409" s="8" t="n"/>
      <c r="J9409" s="8" t="n"/>
      <c r="K9409" s="8" t="n"/>
      <c r="L9409" s="8" t="n"/>
      <c r="M9409" s="9">
        <f>B9409+30</f>
        <v/>
      </c>
      <c r="N9409">
        <f>IF(L9409="", "", L9409-B9409)</f>
        <v/>
      </c>
      <c r="O9409">
        <f>IF(L9409="", "Pending", IF(N9409&lt;=30, "Met", "Breached"))</f>
        <v/>
      </c>
      <c r="P9409" s="8" t="n"/>
      <c r="Q9409" s="8" t="n"/>
      <c r="R9409" s="8" t="n"/>
      <c r="S9409" s="8" t="n"/>
      <c r="T9409" s="8" t="n"/>
      <c r="U9409" s="8" t="n"/>
      <c r="V9409" s="8" t="n"/>
      <c r="W9409" s="8" t="n"/>
      <c r="X9409" s="8" t="n"/>
      <c r="Y9409" s="8" t="n"/>
    </row>
    <row r="9410">
      <c r="A9410" s="8" t="n"/>
      <c r="B9410" s="8" t="n"/>
      <c r="C9410" s="8" t="n"/>
      <c r="D9410" s="8" t="n"/>
      <c r="E9410" s="8" t="n"/>
      <c r="F9410" s="8" t="n"/>
      <c r="G9410" s="8" t="n"/>
      <c r="H9410" s="8" t="n"/>
      <c r="I9410" s="8" t="n"/>
      <c r="J9410" s="8" t="n"/>
      <c r="K9410" s="8" t="n"/>
      <c r="L9410" s="8" t="n"/>
      <c r="M9410" s="9">
        <f>B9410+30</f>
        <v/>
      </c>
      <c r="N9410">
        <f>IF(L9410="", "", L9410-B9410)</f>
        <v/>
      </c>
      <c r="O9410">
        <f>IF(L9410="", "Pending", IF(N9410&lt;=30, "Met", "Breached"))</f>
        <v/>
      </c>
      <c r="P9410" s="8" t="n"/>
      <c r="Q9410" s="8" t="n"/>
      <c r="R9410" s="8" t="n"/>
      <c r="S9410" s="8" t="n"/>
      <c r="T9410" s="8" t="n"/>
      <c r="U9410" s="8" t="n"/>
      <c r="V9410" s="8" t="n"/>
      <c r="W9410" s="8" t="n"/>
      <c r="X9410" s="8" t="n"/>
      <c r="Y9410" s="8" t="n"/>
    </row>
    <row r="9411">
      <c r="A9411" s="8" t="n"/>
      <c r="B9411" s="8" t="n"/>
      <c r="C9411" s="8" t="n"/>
      <c r="D9411" s="8" t="n"/>
      <c r="E9411" s="8" t="n"/>
      <c r="F9411" s="8" t="n"/>
      <c r="G9411" s="8" t="n"/>
      <c r="H9411" s="8" t="n"/>
      <c r="I9411" s="8" t="n"/>
      <c r="J9411" s="8" t="n"/>
      <c r="K9411" s="8" t="n"/>
      <c r="L9411" s="8" t="n"/>
      <c r="M9411" s="9">
        <f>B9411+30</f>
        <v/>
      </c>
      <c r="N9411">
        <f>IF(L9411="", "", L9411-B9411)</f>
        <v/>
      </c>
      <c r="O9411">
        <f>IF(L9411="", "Pending", IF(N9411&lt;=30, "Met", "Breached"))</f>
        <v/>
      </c>
      <c r="P9411" s="8" t="n"/>
      <c r="Q9411" s="8" t="n"/>
      <c r="R9411" s="8" t="n"/>
      <c r="S9411" s="8" t="n"/>
      <c r="T9411" s="8" t="n"/>
      <c r="U9411" s="8" t="n"/>
      <c r="V9411" s="8" t="n"/>
      <c r="W9411" s="8" t="n"/>
      <c r="X9411" s="8" t="n"/>
      <c r="Y9411" s="8" t="n"/>
    </row>
    <row r="9412">
      <c r="A9412" s="8" t="n"/>
      <c r="B9412" s="8" t="n"/>
      <c r="C9412" s="8" t="n"/>
      <c r="D9412" s="8" t="n"/>
      <c r="E9412" s="8" t="n"/>
      <c r="F9412" s="8" t="n"/>
      <c r="G9412" s="8" t="n"/>
      <c r="H9412" s="8" t="n"/>
      <c r="I9412" s="8" t="n"/>
      <c r="J9412" s="8" t="n"/>
      <c r="K9412" s="8" t="n"/>
      <c r="L9412" s="8" t="n"/>
      <c r="M9412" s="9">
        <f>B9412+30</f>
        <v/>
      </c>
      <c r="N9412">
        <f>IF(L9412="", "", L9412-B9412)</f>
        <v/>
      </c>
      <c r="O9412">
        <f>IF(L9412="", "Pending", IF(N9412&lt;=30, "Met", "Breached"))</f>
        <v/>
      </c>
      <c r="P9412" s="8" t="n"/>
      <c r="Q9412" s="8" t="n"/>
      <c r="R9412" s="8" t="n"/>
      <c r="S9412" s="8" t="n"/>
      <c r="T9412" s="8" t="n"/>
      <c r="U9412" s="8" t="n"/>
      <c r="V9412" s="8" t="n"/>
      <c r="W9412" s="8" t="n"/>
      <c r="X9412" s="8" t="n"/>
      <c r="Y9412" s="8" t="n"/>
    </row>
    <row r="9413">
      <c r="A9413" s="8" t="n"/>
      <c r="B9413" s="8" t="n"/>
      <c r="C9413" s="8" t="n"/>
      <c r="D9413" s="8" t="n"/>
      <c r="E9413" s="8" t="n"/>
      <c r="F9413" s="8" t="n"/>
      <c r="G9413" s="8" t="n"/>
      <c r="H9413" s="8" t="n"/>
      <c r="I9413" s="8" t="n"/>
      <c r="J9413" s="8" t="n"/>
      <c r="K9413" s="8" t="n"/>
      <c r="L9413" s="8" t="n"/>
      <c r="M9413" s="9">
        <f>B9413+30</f>
        <v/>
      </c>
      <c r="N9413">
        <f>IF(L9413="", "", L9413-B9413)</f>
        <v/>
      </c>
      <c r="O9413">
        <f>IF(L9413="", "Pending", IF(N9413&lt;=30, "Met", "Breached"))</f>
        <v/>
      </c>
      <c r="P9413" s="8" t="n"/>
      <c r="Q9413" s="8" t="n"/>
      <c r="R9413" s="8" t="n"/>
      <c r="S9413" s="8" t="n"/>
      <c r="T9413" s="8" t="n"/>
      <c r="U9413" s="8" t="n"/>
      <c r="V9413" s="8" t="n"/>
      <c r="W9413" s="8" t="n"/>
      <c r="X9413" s="8" t="n"/>
      <c r="Y9413" s="8" t="n"/>
    </row>
    <row r="9414">
      <c r="A9414" s="8" t="n"/>
      <c r="B9414" s="8" t="n"/>
      <c r="C9414" s="8" t="n"/>
      <c r="D9414" s="8" t="n"/>
      <c r="E9414" s="8" t="n"/>
      <c r="F9414" s="8" t="n"/>
      <c r="G9414" s="8" t="n"/>
      <c r="H9414" s="8" t="n"/>
      <c r="I9414" s="8" t="n"/>
      <c r="J9414" s="8" t="n"/>
      <c r="K9414" s="8" t="n"/>
      <c r="L9414" s="8" t="n"/>
      <c r="M9414" s="9">
        <f>B9414+30</f>
        <v/>
      </c>
      <c r="N9414">
        <f>IF(L9414="", "", L9414-B9414)</f>
        <v/>
      </c>
      <c r="O9414">
        <f>IF(L9414="", "Pending", IF(N9414&lt;=30, "Met", "Breached"))</f>
        <v/>
      </c>
      <c r="P9414" s="8" t="n"/>
      <c r="Q9414" s="8" t="n"/>
      <c r="R9414" s="8" t="n"/>
      <c r="S9414" s="8" t="n"/>
      <c r="T9414" s="8" t="n"/>
      <c r="U9414" s="8" t="n"/>
      <c r="V9414" s="8" t="n"/>
      <c r="W9414" s="8" t="n"/>
      <c r="X9414" s="8" t="n"/>
      <c r="Y9414" s="8" t="n"/>
    </row>
    <row r="9415">
      <c r="A9415" s="8" t="n"/>
      <c r="B9415" s="8" t="n"/>
      <c r="C9415" s="8" t="n"/>
      <c r="D9415" s="8" t="n"/>
      <c r="E9415" s="8" t="n"/>
      <c r="F9415" s="8" t="n"/>
      <c r="G9415" s="8" t="n"/>
      <c r="H9415" s="8" t="n"/>
      <c r="I9415" s="8" t="n"/>
      <c r="J9415" s="8" t="n"/>
      <c r="K9415" s="8" t="n"/>
      <c r="L9415" s="8" t="n"/>
      <c r="M9415" s="9">
        <f>B9415+30</f>
        <v/>
      </c>
      <c r="N9415">
        <f>IF(L9415="", "", L9415-B9415)</f>
        <v/>
      </c>
      <c r="O9415">
        <f>IF(L9415="", "Pending", IF(N9415&lt;=30, "Met", "Breached"))</f>
        <v/>
      </c>
      <c r="P9415" s="8" t="n"/>
      <c r="Q9415" s="8" t="n"/>
      <c r="R9415" s="8" t="n"/>
      <c r="S9415" s="8" t="n"/>
      <c r="T9415" s="8" t="n"/>
      <c r="U9415" s="8" t="n"/>
      <c r="V9415" s="8" t="n"/>
      <c r="W9415" s="8" t="n"/>
      <c r="X9415" s="8" t="n"/>
      <c r="Y9415" s="8" t="n"/>
    </row>
    <row r="9416">
      <c r="A9416" s="8" t="n"/>
      <c r="B9416" s="8" t="n"/>
      <c r="C9416" s="8" t="n"/>
      <c r="D9416" s="8" t="n"/>
      <c r="E9416" s="8" t="n"/>
      <c r="F9416" s="8" t="n"/>
      <c r="G9416" s="8" t="n"/>
      <c r="H9416" s="8" t="n"/>
      <c r="I9416" s="8" t="n"/>
      <c r="J9416" s="8" t="n"/>
      <c r="K9416" s="8" t="n"/>
      <c r="L9416" s="8" t="n"/>
      <c r="M9416" s="9">
        <f>B9416+30</f>
        <v/>
      </c>
      <c r="N9416">
        <f>IF(L9416="", "", L9416-B9416)</f>
        <v/>
      </c>
      <c r="O9416">
        <f>IF(L9416="", "Pending", IF(N9416&lt;=30, "Met", "Breached"))</f>
        <v/>
      </c>
      <c r="P9416" s="8" t="n"/>
      <c r="Q9416" s="8" t="n"/>
      <c r="R9416" s="8" t="n"/>
      <c r="S9416" s="8" t="n"/>
      <c r="T9416" s="8" t="n"/>
      <c r="U9416" s="8" t="n"/>
      <c r="V9416" s="8" t="n"/>
      <c r="W9416" s="8" t="n"/>
      <c r="X9416" s="8" t="n"/>
      <c r="Y9416" s="8" t="n"/>
    </row>
    <row r="9417">
      <c r="A9417" s="8" t="n"/>
      <c r="B9417" s="8" t="n"/>
      <c r="C9417" s="8" t="n"/>
      <c r="D9417" s="8" t="n"/>
      <c r="E9417" s="8" t="n"/>
      <c r="F9417" s="8" t="n"/>
      <c r="G9417" s="8" t="n"/>
      <c r="H9417" s="8" t="n"/>
      <c r="I9417" s="8" t="n"/>
      <c r="J9417" s="8" t="n"/>
      <c r="K9417" s="8" t="n"/>
      <c r="L9417" s="8" t="n"/>
      <c r="M9417" s="9">
        <f>B9417+30</f>
        <v/>
      </c>
      <c r="N9417">
        <f>IF(L9417="", "", L9417-B9417)</f>
        <v/>
      </c>
      <c r="O9417">
        <f>IF(L9417="", "Pending", IF(N9417&lt;=30, "Met", "Breached"))</f>
        <v/>
      </c>
      <c r="P9417" s="8" t="n"/>
      <c r="Q9417" s="8" t="n"/>
      <c r="R9417" s="8" t="n"/>
      <c r="S9417" s="8" t="n"/>
      <c r="T9417" s="8" t="n"/>
      <c r="U9417" s="8" t="n"/>
      <c r="V9417" s="8" t="n"/>
      <c r="W9417" s="8" t="n"/>
      <c r="X9417" s="8" t="n"/>
      <c r="Y9417" s="8" t="n"/>
    </row>
    <row r="9418">
      <c r="A9418" s="8" t="n"/>
      <c r="B9418" s="8" t="n"/>
      <c r="C9418" s="8" t="n"/>
      <c r="D9418" s="8" t="n"/>
      <c r="E9418" s="8" t="n"/>
      <c r="F9418" s="8" t="n"/>
      <c r="G9418" s="8" t="n"/>
      <c r="H9418" s="8" t="n"/>
      <c r="I9418" s="8" t="n"/>
      <c r="J9418" s="8" t="n"/>
      <c r="K9418" s="8" t="n"/>
      <c r="L9418" s="8" t="n"/>
      <c r="M9418" s="9">
        <f>B9418+30</f>
        <v/>
      </c>
      <c r="N9418">
        <f>IF(L9418="", "", L9418-B9418)</f>
        <v/>
      </c>
      <c r="O9418">
        <f>IF(L9418="", "Pending", IF(N9418&lt;=30, "Met", "Breached"))</f>
        <v/>
      </c>
      <c r="P9418" s="8" t="n"/>
      <c r="Q9418" s="8" t="n"/>
      <c r="R9418" s="8" t="n"/>
      <c r="S9418" s="8" t="n"/>
      <c r="T9418" s="8" t="n"/>
      <c r="U9418" s="8" t="n"/>
      <c r="V9418" s="8" t="n"/>
      <c r="W9418" s="8" t="n"/>
      <c r="X9418" s="8" t="n"/>
      <c r="Y9418" s="8" t="n"/>
    </row>
    <row r="9419">
      <c r="A9419" s="8" t="n"/>
      <c r="B9419" s="8" t="n"/>
      <c r="C9419" s="8" t="n"/>
      <c r="D9419" s="8" t="n"/>
      <c r="E9419" s="8" t="n"/>
      <c r="F9419" s="8" t="n"/>
      <c r="G9419" s="8" t="n"/>
      <c r="H9419" s="8" t="n"/>
      <c r="I9419" s="8" t="n"/>
      <c r="J9419" s="8" t="n"/>
      <c r="K9419" s="8" t="n"/>
      <c r="L9419" s="8" t="n"/>
      <c r="M9419" s="9">
        <f>B9419+30</f>
        <v/>
      </c>
      <c r="N9419">
        <f>IF(L9419="", "", L9419-B9419)</f>
        <v/>
      </c>
      <c r="O9419">
        <f>IF(L9419="", "Pending", IF(N9419&lt;=30, "Met", "Breached"))</f>
        <v/>
      </c>
      <c r="P9419" s="8" t="n"/>
      <c r="Q9419" s="8" t="n"/>
      <c r="R9419" s="8" t="n"/>
      <c r="S9419" s="8" t="n"/>
      <c r="T9419" s="8" t="n"/>
      <c r="U9419" s="8" t="n"/>
      <c r="V9419" s="8" t="n"/>
      <c r="W9419" s="8" t="n"/>
      <c r="X9419" s="8" t="n"/>
      <c r="Y9419" s="8" t="n"/>
    </row>
    <row r="9420">
      <c r="A9420" s="8" t="n"/>
      <c r="B9420" s="8" t="n"/>
      <c r="C9420" s="8" t="n"/>
      <c r="D9420" s="8" t="n"/>
      <c r="E9420" s="8" t="n"/>
      <c r="F9420" s="8" t="n"/>
      <c r="G9420" s="8" t="n"/>
      <c r="H9420" s="8" t="n"/>
      <c r="I9420" s="8" t="n"/>
      <c r="J9420" s="8" t="n"/>
      <c r="K9420" s="8" t="n"/>
      <c r="L9420" s="8" t="n"/>
      <c r="M9420" s="9">
        <f>B9420+30</f>
        <v/>
      </c>
      <c r="N9420">
        <f>IF(L9420="", "", L9420-B9420)</f>
        <v/>
      </c>
      <c r="O9420">
        <f>IF(L9420="", "Pending", IF(N9420&lt;=30, "Met", "Breached"))</f>
        <v/>
      </c>
      <c r="P9420" s="8" t="n"/>
      <c r="Q9420" s="8" t="n"/>
      <c r="R9420" s="8" t="n"/>
      <c r="S9420" s="8" t="n"/>
      <c r="T9420" s="8" t="n"/>
      <c r="U9420" s="8" t="n"/>
      <c r="V9420" s="8" t="n"/>
      <c r="W9420" s="8" t="n"/>
      <c r="X9420" s="8" t="n"/>
      <c r="Y9420" s="8" t="n"/>
    </row>
    <row r="9421">
      <c r="A9421" s="8" t="n"/>
      <c r="B9421" s="8" t="n"/>
      <c r="C9421" s="8" t="n"/>
      <c r="D9421" s="8" t="n"/>
      <c r="E9421" s="8" t="n"/>
      <c r="F9421" s="8" t="n"/>
      <c r="G9421" s="8" t="n"/>
      <c r="H9421" s="8" t="n"/>
      <c r="I9421" s="8" t="n"/>
      <c r="J9421" s="8" t="n"/>
      <c r="K9421" s="8" t="n"/>
      <c r="L9421" s="8" t="n"/>
      <c r="M9421" s="9">
        <f>B9421+30</f>
        <v/>
      </c>
      <c r="N9421">
        <f>IF(L9421="", "", L9421-B9421)</f>
        <v/>
      </c>
      <c r="O9421">
        <f>IF(L9421="", "Pending", IF(N9421&lt;=30, "Met", "Breached"))</f>
        <v/>
      </c>
      <c r="P9421" s="8" t="n"/>
      <c r="Q9421" s="8" t="n"/>
      <c r="R9421" s="8" t="n"/>
      <c r="S9421" s="8" t="n"/>
      <c r="T9421" s="8" t="n"/>
      <c r="U9421" s="8" t="n"/>
      <c r="V9421" s="8" t="n"/>
      <c r="W9421" s="8" t="n"/>
      <c r="X9421" s="8" t="n"/>
      <c r="Y9421" s="8" t="n"/>
    </row>
    <row r="9422">
      <c r="A9422" s="8" t="n"/>
      <c r="B9422" s="8" t="n"/>
      <c r="C9422" s="8" t="n"/>
      <c r="D9422" s="8" t="n"/>
      <c r="E9422" s="8" t="n"/>
      <c r="F9422" s="8" t="n"/>
      <c r="G9422" s="8" t="n"/>
      <c r="H9422" s="8" t="n"/>
      <c r="I9422" s="8" t="n"/>
      <c r="J9422" s="8" t="n"/>
      <c r="K9422" s="8" t="n"/>
      <c r="L9422" s="8" t="n"/>
      <c r="M9422" s="9">
        <f>B9422+30</f>
        <v/>
      </c>
      <c r="N9422">
        <f>IF(L9422="", "", L9422-B9422)</f>
        <v/>
      </c>
      <c r="O9422">
        <f>IF(L9422="", "Pending", IF(N9422&lt;=30, "Met", "Breached"))</f>
        <v/>
      </c>
      <c r="P9422" s="8" t="n"/>
      <c r="Q9422" s="8" t="n"/>
      <c r="R9422" s="8" t="n"/>
      <c r="S9422" s="8" t="n"/>
      <c r="T9422" s="8" t="n"/>
      <c r="U9422" s="8" t="n"/>
      <c r="V9422" s="8" t="n"/>
      <c r="W9422" s="8" t="n"/>
      <c r="X9422" s="8" t="n"/>
      <c r="Y9422" s="8" t="n"/>
    </row>
    <row r="9423">
      <c r="A9423" s="8" t="n"/>
      <c r="B9423" s="8" t="n"/>
      <c r="C9423" s="8" t="n"/>
      <c r="D9423" s="8" t="n"/>
      <c r="E9423" s="8" t="n"/>
      <c r="F9423" s="8" t="n"/>
      <c r="G9423" s="8" t="n"/>
      <c r="H9423" s="8" t="n"/>
      <c r="I9423" s="8" t="n"/>
      <c r="J9423" s="8" t="n"/>
      <c r="K9423" s="8" t="n"/>
      <c r="L9423" s="8" t="n"/>
      <c r="M9423" s="9">
        <f>B9423+30</f>
        <v/>
      </c>
      <c r="N9423">
        <f>IF(L9423="", "", L9423-B9423)</f>
        <v/>
      </c>
      <c r="O9423">
        <f>IF(L9423="", "Pending", IF(N9423&lt;=30, "Met", "Breached"))</f>
        <v/>
      </c>
      <c r="P9423" s="8" t="n"/>
      <c r="Q9423" s="8" t="n"/>
      <c r="R9423" s="8" t="n"/>
      <c r="S9423" s="8" t="n"/>
      <c r="T9423" s="8" t="n"/>
      <c r="U9423" s="8" t="n"/>
      <c r="V9423" s="8" t="n"/>
      <c r="W9423" s="8" t="n"/>
      <c r="X9423" s="8" t="n"/>
      <c r="Y9423" s="8" t="n"/>
    </row>
    <row r="9424">
      <c r="A9424" s="8" t="n"/>
      <c r="B9424" s="8" t="n"/>
      <c r="C9424" s="8" t="n"/>
      <c r="D9424" s="8" t="n"/>
      <c r="E9424" s="8" t="n"/>
      <c r="F9424" s="8" t="n"/>
      <c r="G9424" s="8" t="n"/>
      <c r="H9424" s="8" t="n"/>
      <c r="I9424" s="8" t="n"/>
      <c r="J9424" s="8" t="n"/>
      <c r="K9424" s="8" t="n"/>
      <c r="L9424" s="8" t="n"/>
      <c r="M9424" s="9">
        <f>B9424+30</f>
        <v/>
      </c>
      <c r="N9424">
        <f>IF(L9424="", "", L9424-B9424)</f>
        <v/>
      </c>
      <c r="O9424">
        <f>IF(L9424="", "Pending", IF(N9424&lt;=30, "Met", "Breached"))</f>
        <v/>
      </c>
      <c r="P9424" s="8" t="n"/>
      <c r="Q9424" s="8" t="n"/>
      <c r="R9424" s="8" t="n"/>
      <c r="S9424" s="8" t="n"/>
      <c r="T9424" s="8" t="n"/>
      <c r="U9424" s="8" t="n"/>
      <c r="V9424" s="8" t="n"/>
      <c r="W9424" s="8" t="n"/>
      <c r="X9424" s="8" t="n"/>
      <c r="Y9424" s="8" t="n"/>
    </row>
    <row r="9425">
      <c r="A9425" s="8" t="n"/>
      <c r="B9425" s="8" t="n"/>
      <c r="C9425" s="8" t="n"/>
      <c r="D9425" s="8" t="n"/>
      <c r="E9425" s="8" t="n"/>
      <c r="F9425" s="8" t="n"/>
      <c r="G9425" s="8" t="n"/>
      <c r="H9425" s="8" t="n"/>
      <c r="I9425" s="8" t="n"/>
      <c r="J9425" s="8" t="n"/>
      <c r="K9425" s="8" t="n"/>
      <c r="L9425" s="8" t="n"/>
      <c r="M9425" s="9">
        <f>B9425+30</f>
        <v/>
      </c>
      <c r="N9425">
        <f>IF(L9425="", "", L9425-B9425)</f>
        <v/>
      </c>
      <c r="O9425">
        <f>IF(L9425="", "Pending", IF(N9425&lt;=30, "Met", "Breached"))</f>
        <v/>
      </c>
      <c r="P9425" s="8" t="n"/>
      <c r="Q9425" s="8" t="n"/>
      <c r="R9425" s="8" t="n"/>
      <c r="S9425" s="8" t="n"/>
      <c r="T9425" s="8" t="n"/>
      <c r="U9425" s="8" t="n"/>
      <c r="V9425" s="8" t="n"/>
      <c r="W9425" s="8" t="n"/>
      <c r="X9425" s="8" t="n"/>
      <c r="Y9425" s="8" t="n"/>
    </row>
    <row r="9426">
      <c r="A9426" s="8" t="n"/>
      <c r="B9426" s="8" t="n"/>
      <c r="C9426" s="8" t="n"/>
      <c r="D9426" s="8" t="n"/>
      <c r="E9426" s="8" t="n"/>
      <c r="F9426" s="8" t="n"/>
      <c r="G9426" s="8" t="n"/>
      <c r="H9426" s="8" t="n"/>
      <c r="I9426" s="8" t="n"/>
      <c r="J9426" s="8" t="n"/>
      <c r="K9426" s="8" t="n"/>
      <c r="L9426" s="8" t="n"/>
      <c r="M9426" s="9">
        <f>B9426+30</f>
        <v/>
      </c>
      <c r="N9426">
        <f>IF(L9426="", "", L9426-B9426)</f>
        <v/>
      </c>
      <c r="O9426">
        <f>IF(L9426="", "Pending", IF(N9426&lt;=30, "Met", "Breached"))</f>
        <v/>
      </c>
      <c r="P9426" s="8" t="n"/>
      <c r="Q9426" s="8" t="n"/>
      <c r="R9426" s="8" t="n"/>
      <c r="S9426" s="8" t="n"/>
      <c r="T9426" s="8" t="n"/>
      <c r="U9426" s="8" t="n"/>
      <c r="V9426" s="8" t="n"/>
      <c r="W9426" s="8" t="n"/>
      <c r="X9426" s="8" t="n"/>
      <c r="Y9426" s="8" t="n"/>
    </row>
    <row r="9427">
      <c r="A9427" s="8" t="n"/>
      <c r="B9427" s="8" t="n"/>
      <c r="C9427" s="8" t="n"/>
      <c r="D9427" s="8" t="n"/>
      <c r="E9427" s="8" t="n"/>
      <c r="F9427" s="8" t="n"/>
      <c r="G9427" s="8" t="n"/>
      <c r="H9427" s="8" t="n"/>
      <c r="I9427" s="8" t="n"/>
      <c r="J9427" s="8" t="n"/>
      <c r="K9427" s="8" t="n"/>
      <c r="L9427" s="8" t="n"/>
      <c r="M9427" s="9">
        <f>B9427+30</f>
        <v/>
      </c>
      <c r="N9427">
        <f>IF(L9427="", "", L9427-B9427)</f>
        <v/>
      </c>
      <c r="O9427">
        <f>IF(L9427="", "Pending", IF(N9427&lt;=30, "Met", "Breached"))</f>
        <v/>
      </c>
      <c r="P9427" s="8" t="n"/>
      <c r="Q9427" s="8" t="n"/>
      <c r="R9427" s="8" t="n"/>
      <c r="S9427" s="8" t="n"/>
      <c r="T9427" s="8" t="n"/>
      <c r="U9427" s="8" t="n"/>
      <c r="V9427" s="8" t="n"/>
      <c r="W9427" s="8" t="n"/>
      <c r="X9427" s="8" t="n"/>
      <c r="Y9427" s="8" t="n"/>
    </row>
    <row r="9428">
      <c r="A9428" s="8" t="n"/>
      <c r="B9428" s="8" t="n"/>
      <c r="C9428" s="8" t="n"/>
      <c r="D9428" s="8" t="n"/>
      <c r="E9428" s="8" t="n"/>
      <c r="F9428" s="8" t="n"/>
      <c r="G9428" s="8" t="n"/>
      <c r="H9428" s="8" t="n"/>
      <c r="I9428" s="8" t="n"/>
      <c r="J9428" s="8" t="n"/>
      <c r="K9428" s="8" t="n"/>
      <c r="L9428" s="8" t="n"/>
      <c r="M9428" s="9">
        <f>B9428+30</f>
        <v/>
      </c>
      <c r="N9428">
        <f>IF(L9428="", "", L9428-B9428)</f>
        <v/>
      </c>
      <c r="O9428">
        <f>IF(L9428="", "Pending", IF(N9428&lt;=30, "Met", "Breached"))</f>
        <v/>
      </c>
      <c r="P9428" s="8" t="n"/>
      <c r="Q9428" s="8" t="n"/>
      <c r="R9428" s="8" t="n"/>
      <c r="S9428" s="8" t="n"/>
      <c r="T9428" s="8" t="n"/>
      <c r="U9428" s="8" t="n"/>
      <c r="V9428" s="8" t="n"/>
      <c r="W9428" s="8" t="n"/>
      <c r="X9428" s="8" t="n"/>
      <c r="Y9428" s="8" t="n"/>
    </row>
    <row r="9429">
      <c r="A9429" s="8" t="n"/>
      <c r="B9429" s="8" t="n"/>
      <c r="C9429" s="8" t="n"/>
      <c r="D9429" s="8" t="n"/>
      <c r="E9429" s="8" t="n"/>
      <c r="F9429" s="8" t="n"/>
      <c r="G9429" s="8" t="n"/>
      <c r="H9429" s="8" t="n"/>
      <c r="I9429" s="8" t="n"/>
      <c r="J9429" s="8" t="n"/>
      <c r="K9429" s="8" t="n"/>
      <c r="L9429" s="8" t="n"/>
      <c r="M9429" s="9">
        <f>B9429+30</f>
        <v/>
      </c>
      <c r="N9429">
        <f>IF(L9429="", "", L9429-B9429)</f>
        <v/>
      </c>
      <c r="O9429">
        <f>IF(L9429="", "Pending", IF(N9429&lt;=30, "Met", "Breached"))</f>
        <v/>
      </c>
      <c r="P9429" s="8" t="n"/>
      <c r="Q9429" s="8" t="n"/>
      <c r="R9429" s="8" t="n"/>
      <c r="S9429" s="8" t="n"/>
      <c r="T9429" s="8" t="n"/>
      <c r="U9429" s="8" t="n"/>
      <c r="V9429" s="8" t="n"/>
      <c r="W9429" s="8" t="n"/>
      <c r="X9429" s="8" t="n"/>
      <c r="Y9429" s="8" t="n"/>
    </row>
    <row r="9430">
      <c r="A9430" s="8" t="n"/>
      <c r="B9430" s="8" t="n"/>
      <c r="C9430" s="8" t="n"/>
      <c r="D9430" s="8" t="n"/>
      <c r="E9430" s="8" t="n"/>
      <c r="F9430" s="8" t="n"/>
      <c r="G9430" s="8" t="n"/>
      <c r="H9430" s="8" t="n"/>
      <c r="I9430" s="8" t="n"/>
      <c r="J9430" s="8" t="n"/>
      <c r="K9430" s="8" t="n"/>
      <c r="L9430" s="8" t="n"/>
      <c r="M9430" s="9">
        <f>B9430+30</f>
        <v/>
      </c>
      <c r="N9430">
        <f>IF(L9430="", "", L9430-B9430)</f>
        <v/>
      </c>
      <c r="O9430">
        <f>IF(L9430="", "Pending", IF(N9430&lt;=30, "Met", "Breached"))</f>
        <v/>
      </c>
      <c r="P9430" s="8" t="n"/>
      <c r="Q9430" s="8" t="n"/>
      <c r="R9430" s="8" t="n"/>
      <c r="S9430" s="8" t="n"/>
      <c r="T9430" s="8" t="n"/>
      <c r="U9430" s="8" t="n"/>
      <c r="V9430" s="8" t="n"/>
      <c r="W9430" s="8" t="n"/>
      <c r="X9430" s="8" t="n"/>
      <c r="Y9430" s="8" t="n"/>
    </row>
    <row r="9431">
      <c r="A9431" s="8" t="n"/>
      <c r="B9431" s="8" t="n"/>
      <c r="C9431" s="8" t="n"/>
      <c r="D9431" s="8" t="n"/>
      <c r="E9431" s="8" t="n"/>
      <c r="F9431" s="8" t="n"/>
      <c r="G9431" s="8" t="n"/>
      <c r="H9431" s="8" t="n"/>
      <c r="I9431" s="8" t="n"/>
      <c r="J9431" s="8" t="n"/>
      <c r="K9431" s="8" t="n"/>
      <c r="L9431" s="8" t="n"/>
      <c r="M9431" s="9">
        <f>B9431+30</f>
        <v/>
      </c>
      <c r="N9431">
        <f>IF(L9431="", "", L9431-B9431)</f>
        <v/>
      </c>
      <c r="O9431">
        <f>IF(L9431="", "Pending", IF(N9431&lt;=30, "Met", "Breached"))</f>
        <v/>
      </c>
      <c r="P9431" s="8" t="n"/>
      <c r="Q9431" s="8" t="n"/>
      <c r="R9431" s="8" t="n"/>
      <c r="S9431" s="8" t="n"/>
      <c r="T9431" s="8" t="n"/>
      <c r="U9431" s="8" t="n"/>
      <c r="V9431" s="8" t="n"/>
      <c r="W9431" s="8" t="n"/>
      <c r="X9431" s="8" t="n"/>
      <c r="Y9431" s="8" t="n"/>
    </row>
    <row r="9432">
      <c r="A9432" s="8" t="n"/>
      <c r="B9432" s="8" t="n"/>
      <c r="C9432" s="8" t="n"/>
      <c r="D9432" s="8" t="n"/>
      <c r="E9432" s="8" t="n"/>
      <c r="F9432" s="8" t="n"/>
      <c r="G9432" s="8" t="n"/>
      <c r="H9432" s="8" t="n"/>
      <c r="I9432" s="8" t="n"/>
      <c r="J9432" s="8" t="n"/>
      <c r="K9432" s="8" t="n"/>
      <c r="L9432" s="8" t="n"/>
      <c r="M9432" s="9">
        <f>B9432+30</f>
        <v/>
      </c>
      <c r="N9432">
        <f>IF(L9432="", "", L9432-B9432)</f>
        <v/>
      </c>
      <c r="O9432">
        <f>IF(L9432="", "Pending", IF(N9432&lt;=30, "Met", "Breached"))</f>
        <v/>
      </c>
      <c r="P9432" s="8" t="n"/>
      <c r="Q9432" s="8" t="n"/>
      <c r="R9432" s="8" t="n"/>
      <c r="S9432" s="8" t="n"/>
      <c r="T9432" s="8" t="n"/>
      <c r="U9432" s="8" t="n"/>
      <c r="V9432" s="8" t="n"/>
      <c r="W9432" s="8" t="n"/>
      <c r="X9432" s="8" t="n"/>
      <c r="Y9432" s="8" t="n"/>
    </row>
    <row r="9433">
      <c r="A9433" s="8" t="n"/>
      <c r="B9433" s="8" t="n"/>
      <c r="C9433" s="8" t="n"/>
      <c r="D9433" s="8" t="n"/>
      <c r="E9433" s="8" t="n"/>
      <c r="F9433" s="8" t="n"/>
      <c r="G9433" s="8" t="n"/>
      <c r="H9433" s="8" t="n"/>
      <c r="I9433" s="8" t="n"/>
      <c r="J9433" s="8" t="n"/>
      <c r="K9433" s="8" t="n"/>
      <c r="L9433" s="8" t="n"/>
      <c r="M9433" s="9">
        <f>B9433+30</f>
        <v/>
      </c>
      <c r="N9433">
        <f>IF(L9433="", "", L9433-B9433)</f>
        <v/>
      </c>
      <c r="O9433">
        <f>IF(L9433="", "Pending", IF(N9433&lt;=30, "Met", "Breached"))</f>
        <v/>
      </c>
      <c r="P9433" s="8" t="n"/>
      <c r="Q9433" s="8" t="n"/>
      <c r="R9433" s="8" t="n"/>
      <c r="S9433" s="8" t="n"/>
      <c r="T9433" s="8" t="n"/>
      <c r="U9433" s="8" t="n"/>
      <c r="V9433" s="8" t="n"/>
      <c r="W9433" s="8" t="n"/>
      <c r="X9433" s="8" t="n"/>
      <c r="Y9433" s="8" t="n"/>
    </row>
    <row r="9434">
      <c r="A9434" s="8" t="n"/>
      <c r="B9434" s="8" t="n"/>
      <c r="C9434" s="8" t="n"/>
      <c r="D9434" s="8" t="n"/>
      <c r="E9434" s="8" t="n"/>
      <c r="F9434" s="8" t="n"/>
      <c r="G9434" s="8" t="n"/>
      <c r="H9434" s="8" t="n"/>
      <c r="I9434" s="8" t="n"/>
      <c r="J9434" s="8" t="n"/>
      <c r="K9434" s="8" t="n"/>
      <c r="L9434" s="8" t="n"/>
      <c r="M9434" s="9">
        <f>B9434+30</f>
        <v/>
      </c>
      <c r="N9434">
        <f>IF(L9434="", "", L9434-B9434)</f>
        <v/>
      </c>
      <c r="O9434">
        <f>IF(L9434="", "Pending", IF(N9434&lt;=30, "Met", "Breached"))</f>
        <v/>
      </c>
      <c r="P9434" s="8" t="n"/>
      <c r="Q9434" s="8" t="n"/>
      <c r="R9434" s="8" t="n"/>
      <c r="S9434" s="8" t="n"/>
      <c r="T9434" s="8" t="n"/>
      <c r="U9434" s="8" t="n"/>
      <c r="V9434" s="8" t="n"/>
      <c r="W9434" s="8" t="n"/>
      <c r="X9434" s="8" t="n"/>
      <c r="Y9434" s="8" t="n"/>
    </row>
    <row r="9435">
      <c r="A9435" s="8" t="n"/>
      <c r="B9435" s="8" t="n"/>
      <c r="C9435" s="8" t="n"/>
      <c r="D9435" s="8" t="n"/>
      <c r="E9435" s="8" t="n"/>
      <c r="F9435" s="8" t="n"/>
      <c r="G9435" s="8" t="n"/>
      <c r="H9435" s="8" t="n"/>
      <c r="I9435" s="8" t="n"/>
      <c r="J9435" s="8" t="n"/>
      <c r="K9435" s="8" t="n"/>
      <c r="L9435" s="8" t="n"/>
      <c r="M9435" s="9">
        <f>B9435+30</f>
        <v/>
      </c>
      <c r="N9435">
        <f>IF(L9435="", "", L9435-B9435)</f>
        <v/>
      </c>
      <c r="O9435">
        <f>IF(L9435="", "Pending", IF(N9435&lt;=30, "Met", "Breached"))</f>
        <v/>
      </c>
      <c r="P9435" s="8" t="n"/>
      <c r="Q9435" s="8" t="n"/>
      <c r="R9435" s="8" t="n"/>
      <c r="S9435" s="8" t="n"/>
      <c r="T9435" s="8" t="n"/>
      <c r="U9435" s="8" t="n"/>
      <c r="V9435" s="8" t="n"/>
      <c r="W9435" s="8" t="n"/>
      <c r="X9435" s="8" t="n"/>
      <c r="Y9435" s="8" t="n"/>
    </row>
    <row r="9436">
      <c r="A9436" s="8" t="n"/>
      <c r="B9436" s="8" t="n"/>
      <c r="C9436" s="8" t="n"/>
      <c r="D9436" s="8" t="n"/>
      <c r="E9436" s="8" t="n"/>
      <c r="F9436" s="8" t="n"/>
      <c r="G9436" s="8" t="n"/>
      <c r="H9436" s="8" t="n"/>
      <c r="I9436" s="8" t="n"/>
      <c r="J9436" s="8" t="n"/>
      <c r="K9436" s="8" t="n"/>
      <c r="L9436" s="8" t="n"/>
      <c r="M9436" s="9">
        <f>B9436+30</f>
        <v/>
      </c>
      <c r="N9436">
        <f>IF(L9436="", "", L9436-B9436)</f>
        <v/>
      </c>
      <c r="O9436">
        <f>IF(L9436="", "Pending", IF(N9436&lt;=30, "Met", "Breached"))</f>
        <v/>
      </c>
      <c r="P9436" s="8" t="n"/>
      <c r="Q9436" s="8" t="n"/>
      <c r="R9436" s="8" t="n"/>
      <c r="S9436" s="8" t="n"/>
      <c r="T9436" s="8" t="n"/>
      <c r="U9436" s="8" t="n"/>
      <c r="V9436" s="8" t="n"/>
      <c r="W9436" s="8" t="n"/>
      <c r="X9436" s="8" t="n"/>
      <c r="Y9436" s="8" t="n"/>
    </row>
    <row r="9437">
      <c r="A9437" s="8" t="n"/>
      <c r="B9437" s="8" t="n"/>
      <c r="C9437" s="8" t="n"/>
      <c r="D9437" s="8" t="n"/>
      <c r="E9437" s="8" t="n"/>
      <c r="F9437" s="8" t="n"/>
      <c r="G9437" s="8" t="n"/>
      <c r="H9437" s="8" t="n"/>
      <c r="I9437" s="8" t="n"/>
      <c r="J9437" s="8" t="n"/>
      <c r="K9437" s="8" t="n"/>
      <c r="L9437" s="8" t="n"/>
      <c r="M9437" s="9">
        <f>B9437+30</f>
        <v/>
      </c>
      <c r="N9437">
        <f>IF(L9437="", "", L9437-B9437)</f>
        <v/>
      </c>
      <c r="O9437">
        <f>IF(L9437="", "Pending", IF(N9437&lt;=30, "Met", "Breached"))</f>
        <v/>
      </c>
      <c r="P9437" s="8" t="n"/>
      <c r="Q9437" s="8" t="n"/>
      <c r="R9437" s="8" t="n"/>
      <c r="S9437" s="8" t="n"/>
      <c r="T9437" s="8" t="n"/>
      <c r="U9437" s="8" t="n"/>
      <c r="V9437" s="8" t="n"/>
      <c r="W9437" s="8" t="n"/>
      <c r="X9437" s="8" t="n"/>
      <c r="Y9437" s="8" t="n"/>
    </row>
    <row r="9438">
      <c r="A9438" s="8" t="n"/>
      <c r="B9438" s="8" t="n"/>
      <c r="C9438" s="8" t="n"/>
      <c r="D9438" s="8" t="n"/>
      <c r="E9438" s="8" t="n"/>
      <c r="F9438" s="8" t="n"/>
      <c r="G9438" s="8" t="n"/>
      <c r="H9438" s="8" t="n"/>
      <c r="I9438" s="8" t="n"/>
      <c r="J9438" s="8" t="n"/>
      <c r="K9438" s="8" t="n"/>
      <c r="L9438" s="8" t="n"/>
      <c r="M9438" s="9">
        <f>B9438+30</f>
        <v/>
      </c>
      <c r="N9438">
        <f>IF(L9438="", "", L9438-B9438)</f>
        <v/>
      </c>
      <c r="O9438">
        <f>IF(L9438="", "Pending", IF(N9438&lt;=30, "Met", "Breached"))</f>
        <v/>
      </c>
      <c r="P9438" s="8" t="n"/>
      <c r="Q9438" s="8" t="n"/>
      <c r="R9438" s="8" t="n"/>
      <c r="S9438" s="8" t="n"/>
      <c r="T9438" s="8" t="n"/>
      <c r="U9438" s="8" t="n"/>
      <c r="V9438" s="8" t="n"/>
      <c r="W9438" s="8" t="n"/>
      <c r="X9438" s="8" t="n"/>
      <c r="Y9438" s="8" t="n"/>
    </row>
    <row r="9439">
      <c r="A9439" s="8" t="n"/>
      <c r="B9439" s="8" t="n"/>
      <c r="C9439" s="8" t="n"/>
      <c r="D9439" s="8" t="n"/>
      <c r="E9439" s="8" t="n"/>
      <c r="F9439" s="8" t="n"/>
      <c r="G9439" s="8" t="n"/>
      <c r="H9439" s="8" t="n"/>
      <c r="I9439" s="8" t="n"/>
      <c r="J9439" s="8" t="n"/>
      <c r="K9439" s="8" t="n"/>
      <c r="L9439" s="8" t="n"/>
      <c r="M9439" s="9">
        <f>B9439+30</f>
        <v/>
      </c>
      <c r="N9439">
        <f>IF(L9439="", "", L9439-B9439)</f>
        <v/>
      </c>
      <c r="O9439">
        <f>IF(L9439="", "Pending", IF(N9439&lt;=30, "Met", "Breached"))</f>
        <v/>
      </c>
      <c r="P9439" s="8" t="n"/>
      <c r="Q9439" s="8" t="n"/>
      <c r="R9439" s="8" t="n"/>
      <c r="S9439" s="8" t="n"/>
      <c r="T9439" s="8" t="n"/>
      <c r="U9439" s="8" t="n"/>
      <c r="V9439" s="8" t="n"/>
      <c r="W9439" s="8" t="n"/>
      <c r="X9439" s="8" t="n"/>
      <c r="Y9439" s="8" t="n"/>
    </row>
    <row r="9440">
      <c r="A9440" s="8" t="n"/>
      <c r="B9440" s="8" t="n"/>
      <c r="C9440" s="8" t="n"/>
      <c r="D9440" s="8" t="n"/>
      <c r="E9440" s="8" t="n"/>
      <c r="F9440" s="8" t="n"/>
      <c r="G9440" s="8" t="n"/>
      <c r="H9440" s="8" t="n"/>
      <c r="I9440" s="8" t="n"/>
      <c r="J9440" s="8" t="n"/>
      <c r="K9440" s="8" t="n"/>
      <c r="L9440" s="8" t="n"/>
      <c r="M9440" s="9">
        <f>B9440+30</f>
        <v/>
      </c>
      <c r="N9440">
        <f>IF(L9440="", "", L9440-B9440)</f>
        <v/>
      </c>
      <c r="O9440">
        <f>IF(L9440="", "Pending", IF(N9440&lt;=30, "Met", "Breached"))</f>
        <v/>
      </c>
      <c r="P9440" s="8" t="n"/>
      <c r="Q9440" s="8" t="n"/>
      <c r="R9440" s="8" t="n"/>
      <c r="S9440" s="8" t="n"/>
      <c r="T9440" s="8" t="n"/>
      <c r="U9440" s="8" t="n"/>
      <c r="V9440" s="8" t="n"/>
      <c r="W9440" s="8" t="n"/>
      <c r="X9440" s="8" t="n"/>
      <c r="Y9440" s="8" t="n"/>
    </row>
    <row r="9441">
      <c r="A9441" s="8" t="n"/>
      <c r="B9441" s="8" t="n"/>
      <c r="C9441" s="8" t="n"/>
      <c r="D9441" s="8" t="n"/>
      <c r="E9441" s="8" t="n"/>
      <c r="F9441" s="8" t="n"/>
      <c r="G9441" s="8" t="n"/>
      <c r="H9441" s="8" t="n"/>
      <c r="I9441" s="8" t="n"/>
      <c r="J9441" s="8" t="n"/>
      <c r="K9441" s="8" t="n"/>
      <c r="L9441" s="8" t="n"/>
      <c r="M9441" s="9">
        <f>B9441+30</f>
        <v/>
      </c>
      <c r="N9441">
        <f>IF(L9441="", "", L9441-B9441)</f>
        <v/>
      </c>
      <c r="O9441">
        <f>IF(L9441="", "Pending", IF(N9441&lt;=30, "Met", "Breached"))</f>
        <v/>
      </c>
      <c r="P9441" s="8" t="n"/>
      <c r="Q9441" s="8" t="n"/>
      <c r="R9441" s="8" t="n"/>
      <c r="S9441" s="8" t="n"/>
      <c r="T9441" s="8" t="n"/>
      <c r="U9441" s="8" t="n"/>
      <c r="V9441" s="8" t="n"/>
      <c r="W9441" s="8" t="n"/>
      <c r="X9441" s="8" t="n"/>
      <c r="Y9441" s="8" t="n"/>
    </row>
    <row r="9442">
      <c r="A9442" s="8" t="n"/>
      <c r="B9442" s="8" t="n"/>
      <c r="C9442" s="8" t="n"/>
      <c r="D9442" s="8" t="n"/>
      <c r="E9442" s="8" t="n"/>
      <c r="F9442" s="8" t="n"/>
      <c r="G9442" s="8" t="n"/>
      <c r="H9442" s="8" t="n"/>
      <c r="I9442" s="8" t="n"/>
      <c r="J9442" s="8" t="n"/>
      <c r="K9442" s="8" t="n"/>
      <c r="L9442" s="8" t="n"/>
      <c r="M9442" s="9">
        <f>B9442+30</f>
        <v/>
      </c>
      <c r="N9442">
        <f>IF(L9442="", "", L9442-B9442)</f>
        <v/>
      </c>
      <c r="O9442">
        <f>IF(L9442="", "Pending", IF(N9442&lt;=30, "Met", "Breached"))</f>
        <v/>
      </c>
      <c r="P9442" s="8" t="n"/>
      <c r="Q9442" s="8" t="n"/>
      <c r="R9442" s="8" t="n"/>
      <c r="S9442" s="8" t="n"/>
      <c r="T9442" s="8" t="n"/>
      <c r="U9442" s="8" t="n"/>
      <c r="V9442" s="8" t="n"/>
      <c r="W9442" s="8" t="n"/>
      <c r="X9442" s="8" t="n"/>
      <c r="Y9442" s="8" t="n"/>
    </row>
    <row r="9443">
      <c r="A9443" s="8" t="n"/>
      <c r="B9443" s="8" t="n"/>
      <c r="C9443" s="8" t="n"/>
      <c r="D9443" s="8" t="n"/>
      <c r="E9443" s="8" t="n"/>
      <c r="F9443" s="8" t="n"/>
      <c r="G9443" s="8" t="n"/>
      <c r="H9443" s="8" t="n"/>
      <c r="I9443" s="8" t="n"/>
      <c r="J9443" s="8" t="n"/>
      <c r="K9443" s="8" t="n"/>
      <c r="L9443" s="8" t="n"/>
      <c r="M9443" s="9">
        <f>B9443+30</f>
        <v/>
      </c>
      <c r="N9443">
        <f>IF(L9443="", "", L9443-B9443)</f>
        <v/>
      </c>
      <c r="O9443">
        <f>IF(L9443="", "Pending", IF(N9443&lt;=30, "Met", "Breached"))</f>
        <v/>
      </c>
      <c r="P9443" s="8" t="n"/>
      <c r="Q9443" s="8" t="n"/>
      <c r="R9443" s="8" t="n"/>
      <c r="S9443" s="8" t="n"/>
      <c r="T9443" s="8" t="n"/>
      <c r="U9443" s="8" t="n"/>
      <c r="V9443" s="8" t="n"/>
      <c r="W9443" s="8" t="n"/>
      <c r="X9443" s="8" t="n"/>
      <c r="Y9443" s="8" t="n"/>
    </row>
    <row r="9444">
      <c r="A9444" s="8" t="n"/>
      <c r="B9444" s="8" t="n"/>
      <c r="C9444" s="8" t="n"/>
      <c r="D9444" s="8" t="n"/>
      <c r="E9444" s="8" t="n"/>
      <c r="F9444" s="8" t="n"/>
      <c r="G9444" s="8" t="n"/>
      <c r="H9444" s="8" t="n"/>
      <c r="I9444" s="8" t="n"/>
      <c r="J9444" s="8" t="n"/>
      <c r="K9444" s="8" t="n"/>
      <c r="L9444" s="8" t="n"/>
      <c r="M9444" s="9">
        <f>B9444+30</f>
        <v/>
      </c>
      <c r="N9444">
        <f>IF(L9444="", "", L9444-B9444)</f>
        <v/>
      </c>
      <c r="O9444">
        <f>IF(L9444="", "Pending", IF(N9444&lt;=30, "Met", "Breached"))</f>
        <v/>
      </c>
      <c r="P9444" s="8" t="n"/>
      <c r="Q9444" s="8" t="n"/>
      <c r="R9444" s="8" t="n"/>
      <c r="S9444" s="8" t="n"/>
      <c r="T9444" s="8" t="n"/>
      <c r="U9444" s="8" t="n"/>
      <c r="V9444" s="8" t="n"/>
      <c r="W9444" s="8" t="n"/>
      <c r="X9444" s="8" t="n"/>
      <c r="Y9444" s="8" t="n"/>
    </row>
    <row r="9445">
      <c r="A9445" s="8" t="n"/>
      <c r="B9445" s="8" t="n"/>
      <c r="C9445" s="8" t="n"/>
      <c r="D9445" s="8" t="n"/>
      <c r="E9445" s="8" t="n"/>
      <c r="F9445" s="8" t="n"/>
      <c r="G9445" s="8" t="n"/>
      <c r="H9445" s="8" t="n"/>
      <c r="I9445" s="8" t="n"/>
      <c r="J9445" s="8" t="n"/>
      <c r="K9445" s="8" t="n"/>
      <c r="L9445" s="8" t="n"/>
      <c r="M9445" s="9">
        <f>B9445+30</f>
        <v/>
      </c>
      <c r="N9445">
        <f>IF(L9445="", "", L9445-B9445)</f>
        <v/>
      </c>
      <c r="O9445">
        <f>IF(L9445="", "Pending", IF(N9445&lt;=30, "Met", "Breached"))</f>
        <v/>
      </c>
      <c r="P9445" s="8" t="n"/>
      <c r="Q9445" s="8" t="n"/>
      <c r="R9445" s="8" t="n"/>
      <c r="S9445" s="8" t="n"/>
      <c r="T9445" s="8" t="n"/>
      <c r="U9445" s="8" t="n"/>
      <c r="V9445" s="8" t="n"/>
      <c r="W9445" s="8" t="n"/>
      <c r="X9445" s="8" t="n"/>
      <c r="Y9445" s="8" t="n"/>
    </row>
    <row r="9446">
      <c r="A9446" s="8" t="n"/>
      <c r="B9446" s="8" t="n"/>
      <c r="C9446" s="8" t="n"/>
      <c r="D9446" s="8" t="n"/>
      <c r="E9446" s="8" t="n"/>
      <c r="F9446" s="8" t="n"/>
      <c r="G9446" s="8" t="n"/>
      <c r="H9446" s="8" t="n"/>
      <c r="I9446" s="8" t="n"/>
      <c r="J9446" s="8" t="n"/>
      <c r="K9446" s="8" t="n"/>
      <c r="L9446" s="8" t="n"/>
      <c r="M9446" s="9">
        <f>B9446+30</f>
        <v/>
      </c>
      <c r="N9446">
        <f>IF(L9446="", "", L9446-B9446)</f>
        <v/>
      </c>
      <c r="O9446">
        <f>IF(L9446="", "Pending", IF(N9446&lt;=30, "Met", "Breached"))</f>
        <v/>
      </c>
      <c r="P9446" s="8" t="n"/>
      <c r="Q9446" s="8" t="n"/>
      <c r="R9446" s="8" t="n"/>
      <c r="S9446" s="8" t="n"/>
      <c r="T9446" s="8" t="n"/>
      <c r="U9446" s="8" t="n"/>
      <c r="V9446" s="8" t="n"/>
      <c r="W9446" s="8" t="n"/>
      <c r="X9446" s="8" t="n"/>
      <c r="Y9446" s="8" t="n"/>
    </row>
    <row r="9447">
      <c r="A9447" s="8" t="n"/>
      <c r="B9447" s="8" t="n"/>
      <c r="C9447" s="8" t="n"/>
      <c r="D9447" s="8" t="n"/>
      <c r="E9447" s="8" t="n"/>
      <c r="F9447" s="8" t="n"/>
      <c r="G9447" s="8" t="n"/>
      <c r="H9447" s="8" t="n"/>
      <c r="I9447" s="8" t="n"/>
      <c r="J9447" s="8" t="n"/>
      <c r="K9447" s="8" t="n"/>
      <c r="L9447" s="8" t="n"/>
      <c r="M9447" s="9">
        <f>B9447+30</f>
        <v/>
      </c>
      <c r="N9447">
        <f>IF(L9447="", "", L9447-B9447)</f>
        <v/>
      </c>
      <c r="O9447">
        <f>IF(L9447="", "Pending", IF(N9447&lt;=30, "Met", "Breached"))</f>
        <v/>
      </c>
      <c r="P9447" s="8" t="n"/>
      <c r="Q9447" s="8" t="n"/>
      <c r="R9447" s="8" t="n"/>
      <c r="S9447" s="8" t="n"/>
      <c r="T9447" s="8" t="n"/>
      <c r="U9447" s="8" t="n"/>
      <c r="V9447" s="8" t="n"/>
      <c r="W9447" s="8" t="n"/>
      <c r="X9447" s="8" t="n"/>
      <c r="Y9447" s="8" t="n"/>
    </row>
    <row r="9448">
      <c r="A9448" s="8" t="n"/>
      <c r="B9448" s="8" t="n"/>
      <c r="C9448" s="8" t="n"/>
      <c r="D9448" s="8" t="n"/>
      <c r="E9448" s="8" t="n"/>
      <c r="F9448" s="8" t="n"/>
      <c r="G9448" s="8" t="n"/>
      <c r="H9448" s="8" t="n"/>
      <c r="I9448" s="8" t="n"/>
      <c r="J9448" s="8" t="n"/>
      <c r="K9448" s="8" t="n"/>
      <c r="L9448" s="8" t="n"/>
      <c r="M9448" s="9">
        <f>B9448+30</f>
        <v/>
      </c>
      <c r="N9448">
        <f>IF(L9448="", "", L9448-B9448)</f>
        <v/>
      </c>
      <c r="O9448">
        <f>IF(L9448="", "Pending", IF(N9448&lt;=30, "Met", "Breached"))</f>
        <v/>
      </c>
      <c r="P9448" s="8" t="n"/>
      <c r="Q9448" s="8" t="n"/>
      <c r="R9448" s="8" t="n"/>
      <c r="S9448" s="8" t="n"/>
      <c r="T9448" s="8" t="n"/>
      <c r="U9448" s="8" t="n"/>
      <c r="V9448" s="8" t="n"/>
      <c r="W9448" s="8" t="n"/>
      <c r="X9448" s="8" t="n"/>
      <c r="Y9448" s="8" t="n"/>
    </row>
    <row r="9449">
      <c r="A9449" s="8" t="n"/>
      <c r="B9449" s="8" t="n"/>
      <c r="C9449" s="8" t="n"/>
      <c r="D9449" s="8" t="n"/>
      <c r="E9449" s="8" t="n"/>
      <c r="F9449" s="8" t="n"/>
      <c r="G9449" s="8" t="n"/>
      <c r="H9449" s="8" t="n"/>
      <c r="I9449" s="8" t="n"/>
      <c r="J9449" s="8" t="n"/>
      <c r="K9449" s="8" t="n"/>
      <c r="L9449" s="8" t="n"/>
      <c r="M9449" s="9">
        <f>B9449+30</f>
        <v/>
      </c>
      <c r="N9449">
        <f>IF(L9449="", "", L9449-B9449)</f>
        <v/>
      </c>
      <c r="O9449">
        <f>IF(L9449="", "Pending", IF(N9449&lt;=30, "Met", "Breached"))</f>
        <v/>
      </c>
      <c r="P9449" s="8" t="n"/>
      <c r="Q9449" s="8" t="n"/>
      <c r="R9449" s="8" t="n"/>
      <c r="S9449" s="8" t="n"/>
      <c r="T9449" s="8" t="n"/>
      <c r="U9449" s="8" t="n"/>
      <c r="V9449" s="8" t="n"/>
      <c r="W9449" s="8" t="n"/>
      <c r="X9449" s="8" t="n"/>
      <c r="Y9449" s="8" t="n"/>
    </row>
    <row r="9450">
      <c r="A9450" s="8" t="n"/>
      <c r="B9450" s="8" t="n"/>
      <c r="C9450" s="8" t="n"/>
      <c r="D9450" s="8" t="n"/>
      <c r="E9450" s="8" t="n"/>
      <c r="F9450" s="8" t="n"/>
      <c r="G9450" s="8" t="n"/>
      <c r="H9450" s="8" t="n"/>
      <c r="I9450" s="8" t="n"/>
      <c r="J9450" s="8" t="n"/>
      <c r="K9450" s="8" t="n"/>
      <c r="L9450" s="8" t="n"/>
      <c r="M9450" s="9">
        <f>B9450+30</f>
        <v/>
      </c>
      <c r="N9450">
        <f>IF(L9450="", "", L9450-B9450)</f>
        <v/>
      </c>
      <c r="O9450">
        <f>IF(L9450="", "Pending", IF(N9450&lt;=30, "Met", "Breached"))</f>
        <v/>
      </c>
      <c r="P9450" s="8" t="n"/>
      <c r="Q9450" s="8" t="n"/>
      <c r="R9450" s="8" t="n"/>
      <c r="S9450" s="8" t="n"/>
      <c r="T9450" s="8" t="n"/>
      <c r="U9450" s="8" t="n"/>
      <c r="V9450" s="8" t="n"/>
      <c r="W9450" s="8" t="n"/>
      <c r="X9450" s="8" t="n"/>
      <c r="Y9450" s="8" t="n"/>
    </row>
    <row r="9451">
      <c r="A9451" s="8" t="n"/>
      <c r="B9451" s="8" t="n"/>
      <c r="C9451" s="8" t="n"/>
      <c r="D9451" s="8" t="n"/>
      <c r="E9451" s="8" t="n"/>
      <c r="F9451" s="8" t="n"/>
      <c r="G9451" s="8" t="n"/>
      <c r="H9451" s="8" t="n"/>
      <c r="I9451" s="8" t="n"/>
      <c r="J9451" s="8" t="n"/>
      <c r="K9451" s="8" t="n"/>
      <c r="L9451" s="8" t="n"/>
      <c r="M9451" s="9">
        <f>B9451+30</f>
        <v/>
      </c>
      <c r="N9451">
        <f>IF(L9451="", "", L9451-B9451)</f>
        <v/>
      </c>
      <c r="O9451">
        <f>IF(L9451="", "Pending", IF(N9451&lt;=30, "Met", "Breached"))</f>
        <v/>
      </c>
      <c r="P9451" s="8" t="n"/>
      <c r="Q9451" s="8" t="n"/>
      <c r="R9451" s="8" t="n"/>
      <c r="S9451" s="8" t="n"/>
      <c r="T9451" s="8" t="n"/>
      <c r="U9451" s="8" t="n"/>
      <c r="V9451" s="8" t="n"/>
      <c r="W9451" s="8" t="n"/>
      <c r="X9451" s="8" t="n"/>
      <c r="Y9451" s="8" t="n"/>
    </row>
    <row r="9452">
      <c r="A9452" s="8" t="n"/>
      <c r="B9452" s="8" t="n"/>
      <c r="C9452" s="8" t="n"/>
      <c r="D9452" s="8" t="n"/>
      <c r="E9452" s="8" t="n"/>
      <c r="F9452" s="8" t="n"/>
      <c r="G9452" s="8" t="n"/>
      <c r="H9452" s="8" t="n"/>
      <c r="I9452" s="8" t="n"/>
      <c r="J9452" s="8" t="n"/>
      <c r="K9452" s="8" t="n"/>
      <c r="L9452" s="8" t="n"/>
      <c r="M9452" s="9">
        <f>B9452+30</f>
        <v/>
      </c>
      <c r="N9452">
        <f>IF(L9452="", "", L9452-B9452)</f>
        <v/>
      </c>
      <c r="O9452">
        <f>IF(L9452="", "Pending", IF(N9452&lt;=30, "Met", "Breached"))</f>
        <v/>
      </c>
      <c r="P9452" s="8" t="n"/>
      <c r="Q9452" s="8" t="n"/>
      <c r="R9452" s="8" t="n"/>
      <c r="S9452" s="8" t="n"/>
      <c r="T9452" s="8" t="n"/>
      <c r="U9452" s="8" t="n"/>
      <c r="V9452" s="8" t="n"/>
      <c r="W9452" s="8" t="n"/>
      <c r="X9452" s="8" t="n"/>
      <c r="Y9452" s="8" t="n"/>
    </row>
    <row r="9453">
      <c r="A9453" s="8" t="n"/>
      <c r="B9453" s="8" t="n"/>
      <c r="C9453" s="8" t="n"/>
      <c r="D9453" s="8" t="n"/>
      <c r="E9453" s="8" t="n"/>
      <c r="F9453" s="8" t="n"/>
      <c r="G9453" s="8" t="n"/>
      <c r="H9453" s="8" t="n"/>
      <c r="I9453" s="8" t="n"/>
      <c r="J9453" s="8" t="n"/>
      <c r="K9453" s="8" t="n"/>
      <c r="L9453" s="8" t="n"/>
      <c r="M9453" s="9">
        <f>B9453+30</f>
        <v/>
      </c>
      <c r="N9453">
        <f>IF(L9453="", "", L9453-B9453)</f>
        <v/>
      </c>
      <c r="O9453">
        <f>IF(L9453="", "Pending", IF(N9453&lt;=30, "Met", "Breached"))</f>
        <v/>
      </c>
      <c r="P9453" s="8" t="n"/>
      <c r="Q9453" s="8" t="n"/>
      <c r="R9453" s="8" t="n"/>
      <c r="S9453" s="8" t="n"/>
      <c r="T9453" s="8" t="n"/>
      <c r="U9453" s="8" t="n"/>
      <c r="V9453" s="8" t="n"/>
      <c r="W9453" s="8" t="n"/>
      <c r="X9453" s="8" t="n"/>
      <c r="Y9453" s="8" t="n"/>
    </row>
    <row r="9454">
      <c r="A9454" s="8" t="n"/>
      <c r="B9454" s="8" t="n"/>
      <c r="C9454" s="8" t="n"/>
      <c r="D9454" s="8" t="n"/>
      <c r="E9454" s="8" t="n"/>
      <c r="F9454" s="8" t="n"/>
      <c r="G9454" s="8" t="n"/>
      <c r="H9454" s="8" t="n"/>
      <c r="I9454" s="8" t="n"/>
      <c r="J9454" s="8" t="n"/>
      <c r="K9454" s="8" t="n"/>
      <c r="L9454" s="8" t="n"/>
      <c r="M9454" s="9">
        <f>B9454+30</f>
        <v/>
      </c>
      <c r="N9454">
        <f>IF(L9454="", "", L9454-B9454)</f>
        <v/>
      </c>
      <c r="O9454">
        <f>IF(L9454="", "Pending", IF(N9454&lt;=30, "Met", "Breached"))</f>
        <v/>
      </c>
      <c r="P9454" s="8" t="n"/>
      <c r="Q9454" s="8" t="n"/>
      <c r="R9454" s="8" t="n"/>
      <c r="S9454" s="8" t="n"/>
      <c r="T9454" s="8" t="n"/>
      <c r="U9454" s="8" t="n"/>
      <c r="V9454" s="8" t="n"/>
      <c r="W9454" s="8" t="n"/>
      <c r="X9454" s="8" t="n"/>
      <c r="Y9454" s="8" t="n"/>
    </row>
    <row r="9455">
      <c r="A9455" s="8" t="n"/>
      <c r="B9455" s="8" t="n"/>
      <c r="C9455" s="8" t="n"/>
      <c r="D9455" s="8" t="n"/>
      <c r="E9455" s="8" t="n"/>
      <c r="F9455" s="8" t="n"/>
      <c r="G9455" s="8" t="n"/>
      <c r="H9455" s="8" t="n"/>
      <c r="I9455" s="8" t="n"/>
      <c r="J9455" s="8" t="n"/>
      <c r="K9455" s="8" t="n"/>
      <c r="L9455" s="8" t="n"/>
      <c r="M9455" s="9">
        <f>B9455+30</f>
        <v/>
      </c>
      <c r="N9455">
        <f>IF(L9455="", "", L9455-B9455)</f>
        <v/>
      </c>
      <c r="O9455">
        <f>IF(L9455="", "Pending", IF(N9455&lt;=30, "Met", "Breached"))</f>
        <v/>
      </c>
      <c r="P9455" s="8" t="n"/>
      <c r="Q9455" s="8" t="n"/>
      <c r="R9455" s="8" t="n"/>
      <c r="S9455" s="8" t="n"/>
      <c r="T9455" s="8" t="n"/>
      <c r="U9455" s="8" t="n"/>
      <c r="V9455" s="8" t="n"/>
      <c r="W9455" s="8" t="n"/>
      <c r="X9455" s="8" t="n"/>
      <c r="Y9455" s="8" t="n"/>
    </row>
    <row r="9456">
      <c r="A9456" s="8" t="n"/>
      <c r="B9456" s="8" t="n"/>
      <c r="C9456" s="8" t="n"/>
      <c r="D9456" s="8" t="n"/>
      <c r="E9456" s="8" t="n"/>
      <c r="F9456" s="8" t="n"/>
      <c r="G9456" s="8" t="n"/>
      <c r="H9456" s="8" t="n"/>
      <c r="I9456" s="8" t="n"/>
      <c r="J9456" s="8" t="n"/>
      <c r="K9456" s="8" t="n"/>
      <c r="L9456" s="8" t="n"/>
      <c r="M9456" s="9">
        <f>B9456+30</f>
        <v/>
      </c>
      <c r="N9456">
        <f>IF(L9456="", "", L9456-B9456)</f>
        <v/>
      </c>
      <c r="O9456">
        <f>IF(L9456="", "Pending", IF(N9456&lt;=30, "Met", "Breached"))</f>
        <v/>
      </c>
      <c r="P9456" s="8" t="n"/>
      <c r="Q9456" s="8" t="n"/>
      <c r="R9456" s="8" t="n"/>
      <c r="S9456" s="8" t="n"/>
      <c r="T9456" s="8" t="n"/>
      <c r="U9456" s="8" t="n"/>
      <c r="V9456" s="8" t="n"/>
      <c r="W9456" s="8" t="n"/>
      <c r="X9456" s="8" t="n"/>
      <c r="Y9456" s="8" t="n"/>
    </row>
    <row r="9457">
      <c r="A9457" s="8" t="n"/>
      <c r="B9457" s="8" t="n"/>
      <c r="C9457" s="8" t="n"/>
      <c r="D9457" s="8" t="n"/>
      <c r="E9457" s="8" t="n"/>
      <c r="F9457" s="8" t="n"/>
      <c r="G9457" s="8" t="n"/>
      <c r="H9457" s="8" t="n"/>
      <c r="I9457" s="8" t="n"/>
      <c r="J9457" s="8" t="n"/>
      <c r="K9457" s="8" t="n"/>
      <c r="L9457" s="8" t="n"/>
      <c r="M9457" s="9">
        <f>B9457+30</f>
        <v/>
      </c>
      <c r="N9457">
        <f>IF(L9457="", "", L9457-B9457)</f>
        <v/>
      </c>
      <c r="O9457">
        <f>IF(L9457="", "Pending", IF(N9457&lt;=30, "Met", "Breached"))</f>
        <v/>
      </c>
      <c r="P9457" s="8" t="n"/>
      <c r="Q9457" s="8" t="n"/>
      <c r="R9457" s="8" t="n"/>
      <c r="S9457" s="8" t="n"/>
      <c r="T9457" s="8" t="n"/>
      <c r="U9457" s="8" t="n"/>
      <c r="V9457" s="8" t="n"/>
      <c r="W9457" s="8" t="n"/>
      <c r="X9457" s="8" t="n"/>
      <c r="Y9457" s="8" t="n"/>
    </row>
    <row r="9458">
      <c r="A9458" s="8" t="n"/>
      <c r="B9458" s="8" t="n"/>
      <c r="C9458" s="8" t="n"/>
      <c r="D9458" s="8" t="n"/>
      <c r="E9458" s="8" t="n"/>
      <c r="F9458" s="8" t="n"/>
      <c r="G9458" s="8" t="n"/>
      <c r="H9458" s="8" t="n"/>
      <c r="I9458" s="8" t="n"/>
      <c r="J9458" s="8" t="n"/>
      <c r="K9458" s="8" t="n"/>
      <c r="L9458" s="8" t="n"/>
      <c r="M9458" s="9">
        <f>B9458+30</f>
        <v/>
      </c>
      <c r="N9458">
        <f>IF(L9458="", "", L9458-B9458)</f>
        <v/>
      </c>
      <c r="O9458">
        <f>IF(L9458="", "Pending", IF(N9458&lt;=30, "Met", "Breached"))</f>
        <v/>
      </c>
      <c r="P9458" s="8" t="n"/>
      <c r="Q9458" s="8" t="n"/>
      <c r="R9458" s="8" t="n"/>
      <c r="S9458" s="8" t="n"/>
      <c r="T9458" s="8" t="n"/>
      <c r="U9458" s="8" t="n"/>
      <c r="V9458" s="8" t="n"/>
      <c r="W9458" s="8" t="n"/>
      <c r="X9458" s="8" t="n"/>
      <c r="Y9458" s="8" t="n"/>
    </row>
    <row r="9459">
      <c r="A9459" s="8" t="n"/>
      <c r="B9459" s="8" t="n"/>
      <c r="C9459" s="8" t="n"/>
      <c r="D9459" s="8" t="n"/>
      <c r="E9459" s="8" t="n"/>
      <c r="F9459" s="8" t="n"/>
      <c r="G9459" s="8" t="n"/>
      <c r="H9459" s="8" t="n"/>
      <c r="I9459" s="8" t="n"/>
      <c r="J9459" s="8" t="n"/>
      <c r="K9459" s="8" t="n"/>
      <c r="L9459" s="8" t="n"/>
      <c r="M9459" s="9">
        <f>B9459+30</f>
        <v/>
      </c>
      <c r="N9459">
        <f>IF(L9459="", "", L9459-B9459)</f>
        <v/>
      </c>
      <c r="O9459">
        <f>IF(L9459="", "Pending", IF(N9459&lt;=30, "Met", "Breached"))</f>
        <v/>
      </c>
      <c r="P9459" s="8" t="n"/>
      <c r="Q9459" s="8" t="n"/>
      <c r="R9459" s="8" t="n"/>
      <c r="S9459" s="8" t="n"/>
      <c r="T9459" s="8" t="n"/>
      <c r="U9459" s="8" t="n"/>
      <c r="V9459" s="8" t="n"/>
      <c r="W9459" s="8" t="n"/>
      <c r="X9459" s="8" t="n"/>
      <c r="Y9459" s="8" t="n"/>
    </row>
    <row r="9460">
      <c r="A9460" s="8" t="n"/>
      <c r="B9460" s="8" t="n"/>
      <c r="C9460" s="8" t="n"/>
      <c r="D9460" s="8" t="n"/>
      <c r="E9460" s="8" t="n"/>
      <c r="F9460" s="8" t="n"/>
      <c r="G9460" s="8" t="n"/>
      <c r="H9460" s="8" t="n"/>
      <c r="I9460" s="8" t="n"/>
      <c r="J9460" s="8" t="n"/>
      <c r="K9460" s="8" t="n"/>
      <c r="L9460" s="8" t="n"/>
      <c r="M9460" s="9">
        <f>B9460+30</f>
        <v/>
      </c>
      <c r="N9460">
        <f>IF(L9460="", "", L9460-B9460)</f>
        <v/>
      </c>
      <c r="O9460">
        <f>IF(L9460="", "Pending", IF(N9460&lt;=30, "Met", "Breached"))</f>
        <v/>
      </c>
      <c r="P9460" s="8" t="n"/>
      <c r="Q9460" s="8" t="n"/>
      <c r="R9460" s="8" t="n"/>
      <c r="S9460" s="8" t="n"/>
      <c r="T9460" s="8" t="n"/>
      <c r="U9460" s="8" t="n"/>
      <c r="V9460" s="8" t="n"/>
      <c r="W9460" s="8" t="n"/>
      <c r="X9460" s="8" t="n"/>
      <c r="Y9460" s="8" t="n"/>
    </row>
    <row r="9461">
      <c r="A9461" s="8" t="n"/>
      <c r="B9461" s="8" t="n"/>
      <c r="C9461" s="8" t="n"/>
      <c r="D9461" s="8" t="n"/>
      <c r="E9461" s="8" t="n"/>
      <c r="F9461" s="8" t="n"/>
      <c r="G9461" s="8" t="n"/>
      <c r="H9461" s="8" t="n"/>
      <c r="I9461" s="8" t="n"/>
      <c r="J9461" s="8" t="n"/>
      <c r="K9461" s="8" t="n"/>
      <c r="L9461" s="8" t="n"/>
      <c r="M9461" s="9">
        <f>B9461+30</f>
        <v/>
      </c>
      <c r="N9461">
        <f>IF(L9461="", "", L9461-B9461)</f>
        <v/>
      </c>
      <c r="O9461">
        <f>IF(L9461="", "Pending", IF(N9461&lt;=30, "Met", "Breached"))</f>
        <v/>
      </c>
      <c r="P9461" s="8" t="n"/>
      <c r="Q9461" s="8" t="n"/>
      <c r="R9461" s="8" t="n"/>
      <c r="S9461" s="8" t="n"/>
      <c r="T9461" s="8" t="n"/>
      <c r="U9461" s="8" t="n"/>
      <c r="V9461" s="8" t="n"/>
      <c r="W9461" s="8" t="n"/>
      <c r="X9461" s="8" t="n"/>
      <c r="Y9461" s="8" t="n"/>
    </row>
    <row r="9462">
      <c r="A9462" s="8" t="n"/>
      <c r="B9462" s="8" t="n"/>
      <c r="C9462" s="8" t="n"/>
      <c r="D9462" s="8" t="n"/>
      <c r="E9462" s="8" t="n"/>
      <c r="F9462" s="8" t="n"/>
      <c r="G9462" s="8" t="n"/>
      <c r="H9462" s="8" t="n"/>
      <c r="I9462" s="8" t="n"/>
      <c r="J9462" s="8" t="n"/>
      <c r="K9462" s="8" t="n"/>
      <c r="L9462" s="8" t="n"/>
      <c r="M9462" s="9">
        <f>B9462+30</f>
        <v/>
      </c>
      <c r="N9462">
        <f>IF(L9462="", "", L9462-B9462)</f>
        <v/>
      </c>
      <c r="O9462">
        <f>IF(L9462="", "Pending", IF(N9462&lt;=30, "Met", "Breached"))</f>
        <v/>
      </c>
      <c r="P9462" s="8" t="n"/>
      <c r="Q9462" s="8" t="n"/>
      <c r="R9462" s="8" t="n"/>
      <c r="S9462" s="8" t="n"/>
      <c r="T9462" s="8" t="n"/>
      <c r="U9462" s="8" t="n"/>
      <c r="V9462" s="8" t="n"/>
      <c r="W9462" s="8" t="n"/>
      <c r="X9462" s="8" t="n"/>
      <c r="Y9462" s="8" t="n"/>
    </row>
    <row r="9463">
      <c r="A9463" s="8" t="n"/>
      <c r="B9463" s="8" t="n"/>
      <c r="C9463" s="8" t="n"/>
      <c r="D9463" s="8" t="n"/>
      <c r="E9463" s="8" t="n"/>
      <c r="F9463" s="8" t="n"/>
      <c r="G9463" s="8" t="n"/>
      <c r="H9463" s="8" t="n"/>
      <c r="I9463" s="8" t="n"/>
      <c r="J9463" s="8" t="n"/>
      <c r="K9463" s="8" t="n"/>
      <c r="L9463" s="8" t="n"/>
      <c r="M9463" s="9">
        <f>B9463+30</f>
        <v/>
      </c>
      <c r="N9463">
        <f>IF(L9463="", "", L9463-B9463)</f>
        <v/>
      </c>
      <c r="O9463">
        <f>IF(L9463="", "Pending", IF(N9463&lt;=30, "Met", "Breached"))</f>
        <v/>
      </c>
      <c r="P9463" s="8" t="n"/>
      <c r="Q9463" s="8" t="n"/>
      <c r="R9463" s="8" t="n"/>
      <c r="S9463" s="8" t="n"/>
      <c r="T9463" s="8" t="n"/>
      <c r="U9463" s="8" t="n"/>
      <c r="V9463" s="8" t="n"/>
      <c r="W9463" s="8" t="n"/>
      <c r="X9463" s="8" t="n"/>
      <c r="Y9463" s="8" t="n"/>
    </row>
    <row r="9464">
      <c r="A9464" s="8" t="n"/>
      <c r="B9464" s="8" t="n"/>
      <c r="C9464" s="8" t="n"/>
      <c r="D9464" s="8" t="n"/>
      <c r="E9464" s="8" t="n"/>
      <c r="F9464" s="8" t="n"/>
      <c r="G9464" s="8" t="n"/>
      <c r="H9464" s="8" t="n"/>
      <c r="I9464" s="8" t="n"/>
      <c r="J9464" s="8" t="n"/>
      <c r="K9464" s="8" t="n"/>
      <c r="L9464" s="8" t="n"/>
      <c r="M9464" s="9">
        <f>B9464+30</f>
        <v/>
      </c>
      <c r="N9464">
        <f>IF(L9464="", "", L9464-B9464)</f>
        <v/>
      </c>
      <c r="O9464">
        <f>IF(L9464="", "Pending", IF(N9464&lt;=30, "Met", "Breached"))</f>
        <v/>
      </c>
      <c r="P9464" s="8" t="n"/>
      <c r="Q9464" s="8" t="n"/>
      <c r="R9464" s="8" t="n"/>
      <c r="S9464" s="8" t="n"/>
      <c r="T9464" s="8" t="n"/>
      <c r="U9464" s="8" t="n"/>
      <c r="V9464" s="8" t="n"/>
      <c r="W9464" s="8" t="n"/>
      <c r="X9464" s="8" t="n"/>
      <c r="Y9464" s="8" t="n"/>
    </row>
    <row r="9465">
      <c r="A9465" s="8" t="n"/>
      <c r="B9465" s="8" t="n"/>
      <c r="C9465" s="8" t="n"/>
      <c r="D9465" s="8" t="n"/>
      <c r="E9465" s="8" t="n"/>
      <c r="F9465" s="8" t="n"/>
      <c r="G9465" s="8" t="n"/>
      <c r="H9465" s="8" t="n"/>
      <c r="I9465" s="8" t="n"/>
      <c r="J9465" s="8" t="n"/>
      <c r="K9465" s="8" t="n"/>
      <c r="L9465" s="8" t="n"/>
      <c r="M9465" s="9">
        <f>B9465+30</f>
        <v/>
      </c>
      <c r="N9465">
        <f>IF(L9465="", "", L9465-B9465)</f>
        <v/>
      </c>
      <c r="O9465">
        <f>IF(L9465="", "Pending", IF(N9465&lt;=30, "Met", "Breached"))</f>
        <v/>
      </c>
      <c r="P9465" s="8" t="n"/>
      <c r="Q9465" s="8" t="n"/>
      <c r="R9465" s="8" t="n"/>
      <c r="S9465" s="8" t="n"/>
      <c r="T9465" s="8" t="n"/>
      <c r="U9465" s="8" t="n"/>
      <c r="V9465" s="8" t="n"/>
      <c r="W9465" s="8" t="n"/>
      <c r="X9465" s="8" t="n"/>
      <c r="Y9465" s="8" t="n"/>
    </row>
    <row r="9466">
      <c r="A9466" s="8" t="n"/>
      <c r="B9466" s="8" t="n"/>
      <c r="C9466" s="8" t="n"/>
      <c r="D9466" s="8" t="n"/>
      <c r="E9466" s="8" t="n"/>
      <c r="F9466" s="8" t="n"/>
      <c r="G9466" s="8" t="n"/>
      <c r="H9466" s="8" t="n"/>
      <c r="I9466" s="8" t="n"/>
      <c r="J9466" s="8" t="n"/>
      <c r="K9466" s="8" t="n"/>
      <c r="L9466" s="8" t="n"/>
      <c r="M9466" s="9">
        <f>B9466+30</f>
        <v/>
      </c>
      <c r="N9466">
        <f>IF(L9466="", "", L9466-B9466)</f>
        <v/>
      </c>
      <c r="O9466">
        <f>IF(L9466="", "Pending", IF(N9466&lt;=30, "Met", "Breached"))</f>
        <v/>
      </c>
      <c r="P9466" s="8" t="n"/>
      <c r="Q9466" s="8" t="n"/>
      <c r="R9466" s="8" t="n"/>
      <c r="S9466" s="8" t="n"/>
      <c r="T9466" s="8" t="n"/>
      <c r="U9466" s="8" t="n"/>
      <c r="V9466" s="8" t="n"/>
      <c r="W9466" s="8" t="n"/>
      <c r="X9466" s="8" t="n"/>
      <c r="Y9466" s="8" t="n"/>
    </row>
    <row r="9467">
      <c r="A9467" s="8" t="n"/>
      <c r="B9467" s="8" t="n"/>
      <c r="C9467" s="8" t="n"/>
      <c r="D9467" s="8" t="n"/>
      <c r="E9467" s="8" t="n"/>
      <c r="F9467" s="8" t="n"/>
      <c r="G9467" s="8" t="n"/>
      <c r="H9467" s="8" t="n"/>
      <c r="I9467" s="8" t="n"/>
      <c r="J9467" s="8" t="n"/>
      <c r="K9467" s="8" t="n"/>
      <c r="L9467" s="8" t="n"/>
      <c r="M9467" s="9">
        <f>B9467+30</f>
        <v/>
      </c>
      <c r="N9467">
        <f>IF(L9467="", "", L9467-B9467)</f>
        <v/>
      </c>
      <c r="O9467">
        <f>IF(L9467="", "Pending", IF(N9467&lt;=30, "Met", "Breached"))</f>
        <v/>
      </c>
      <c r="P9467" s="8" t="n"/>
      <c r="Q9467" s="8" t="n"/>
      <c r="R9467" s="8" t="n"/>
      <c r="S9467" s="8" t="n"/>
      <c r="T9467" s="8" t="n"/>
      <c r="U9467" s="8" t="n"/>
      <c r="V9467" s="8" t="n"/>
      <c r="W9467" s="8" t="n"/>
      <c r="X9467" s="8" t="n"/>
      <c r="Y9467" s="8" t="n"/>
    </row>
    <row r="9468">
      <c r="A9468" s="8" t="n"/>
      <c r="B9468" s="8" t="n"/>
      <c r="C9468" s="8" t="n"/>
      <c r="D9468" s="8" t="n"/>
      <c r="E9468" s="8" t="n"/>
      <c r="F9468" s="8" t="n"/>
      <c r="G9468" s="8" t="n"/>
      <c r="H9468" s="8" t="n"/>
      <c r="I9468" s="8" t="n"/>
      <c r="J9468" s="8" t="n"/>
      <c r="K9468" s="8" t="n"/>
      <c r="L9468" s="8" t="n"/>
      <c r="M9468" s="9">
        <f>B9468+30</f>
        <v/>
      </c>
      <c r="N9468">
        <f>IF(L9468="", "", L9468-B9468)</f>
        <v/>
      </c>
      <c r="O9468">
        <f>IF(L9468="", "Pending", IF(N9468&lt;=30, "Met", "Breached"))</f>
        <v/>
      </c>
      <c r="P9468" s="8" t="n"/>
      <c r="Q9468" s="8" t="n"/>
      <c r="R9468" s="8" t="n"/>
      <c r="S9468" s="8" t="n"/>
      <c r="T9468" s="8" t="n"/>
      <c r="U9468" s="8" t="n"/>
      <c r="V9468" s="8" t="n"/>
      <c r="W9468" s="8" t="n"/>
      <c r="X9468" s="8" t="n"/>
      <c r="Y9468" s="8" t="n"/>
    </row>
    <row r="9469">
      <c r="A9469" s="8" t="n"/>
      <c r="B9469" s="8" t="n"/>
      <c r="C9469" s="8" t="n"/>
      <c r="D9469" s="8" t="n"/>
      <c r="E9469" s="8" t="n"/>
      <c r="F9469" s="8" t="n"/>
      <c r="G9469" s="8" t="n"/>
      <c r="H9469" s="8" t="n"/>
      <c r="I9469" s="8" t="n"/>
      <c r="J9469" s="8" t="n"/>
      <c r="K9469" s="8" t="n"/>
      <c r="L9469" s="8" t="n"/>
      <c r="M9469" s="9">
        <f>B9469+30</f>
        <v/>
      </c>
      <c r="N9469">
        <f>IF(L9469="", "", L9469-B9469)</f>
        <v/>
      </c>
      <c r="O9469">
        <f>IF(L9469="", "Pending", IF(N9469&lt;=30, "Met", "Breached"))</f>
        <v/>
      </c>
      <c r="P9469" s="8" t="n"/>
      <c r="Q9469" s="8" t="n"/>
      <c r="R9469" s="8" t="n"/>
      <c r="S9469" s="8" t="n"/>
      <c r="T9469" s="8" t="n"/>
      <c r="U9469" s="8" t="n"/>
      <c r="V9469" s="8" t="n"/>
      <c r="W9469" s="8" t="n"/>
      <c r="X9469" s="8" t="n"/>
      <c r="Y9469" s="8" t="n"/>
    </row>
    <row r="9470">
      <c r="A9470" s="8" t="n"/>
      <c r="B9470" s="8" t="n"/>
      <c r="C9470" s="8" t="n"/>
      <c r="D9470" s="8" t="n"/>
      <c r="E9470" s="8" t="n"/>
      <c r="F9470" s="8" t="n"/>
      <c r="G9470" s="8" t="n"/>
      <c r="H9470" s="8" t="n"/>
      <c r="I9470" s="8" t="n"/>
      <c r="J9470" s="8" t="n"/>
      <c r="K9470" s="8" t="n"/>
      <c r="L9470" s="8" t="n"/>
      <c r="M9470" s="9">
        <f>B9470+30</f>
        <v/>
      </c>
      <c r="N9470">
        <f>IF(L9470="", "", L9470-B9470)</f>
        <v/>
      </c>
      <c r="O9470">
        <f>IF(L9470="", "Pending", IF(N9470&lt;=30, "Met", "Breached"))</f>
        <v/>
      </c>
      <c r="P9470" s="8" t="n"/>
      <c r="Q9470" s="8" t="n"/>
      <c r="R9470" s="8" t="n"/>
      <c r="S9470" s="8" t="n"/>
      <c r="T9470" s="8" t="n"/>
      <c r="U9470" s="8" t="n"/>
      <c r="V9470" s="8" t="n"/>
      <c r="W9470" s="8" t="n"/>
      <c r="X9470" s="8" t="n"/>
      <c r="Y9470" s="8" t="n"/>
    </row>
    <row r="9471">
      <c r="A9471" s="8" t="n"/>
      <c r="B9471" s="8" t="n"/>
      <c r="C9471" s="8" t="n"/>
      <c r="D9471" s="8" t="n"/>
      <c r="E9471" s="8" t="n"/>
      <c r="F9471" s="8" t="n"/>
      <c r="G9471" s="8" t="n"/>
      <c r="H9471" s="8" t="n"/>
      <c r="I9471" s="8" t="n"/>
      <c r="J9471" s="8" t="n"/>
      <c r="K9471" s="8" t="n"/>
      <c r="L9471" s="8" t="n"/>
      <c r="M9471" s="9">
        <f>B9471+30</f>
        <v/>
      </c>
      <c r="N9471">
        <f>IF(L9471="", "", L9471-B9471)</f>
        <v/>
      </c>
      <c r="O9471">
        <f>IF(L9471="", "Pending", IF(N9471&lt;=30, "Met", "Breached"))</f>
        <v/>
      </c>
      <c r="P9471" s="8" t="n"/>
      <c r="Q9471" s="8" t="n"/>
      <c r="R9471" s="8" t="n"/>
      <c r="S9471" s="8" t="n"/>
      <c r="T9471" s="8" t="n"/>
      <c r="U9471" s="8" t="n"/>
      <c r="V9471" s="8" t="n"/>
      <c r="W9471" s="8" t="n"/>
      <c r="X9471" s="8" t="n"/>
      <c r="Y9471" s="8" t="n"/>
    </row>
    <row r="9472">
      <c r="A9472" s="8" t="n"/>
      <c r="B9472" s="8" t="n"/>
      <c r="C9472" s="8" t="n"/>
      <c r="D9472" s="8" t="n"/>
      <c r="E9472" s="8" t="n"/>
      <c r="F9472" s="8" t="n"/>
      <c r="G9472" s="8" t="n"/>
      <c r="H9472" s="8" t="n"/>
      <c r="I9472" s="8" t="n"/>
      <c r="J9472" s="8" t="n"/>
      <c r="K9472" s="8" t="n"/>
      <c r="L9472" s="8" t="n"/>
      <c r="M9472" s="9">
        <f>B9472+30</f>
        <v/>
      </c>
      <c r="N9472">
        <f>IF(L9472="", "", L9472-B9472)</f>
        <v/>
      </c>
      <c r="O9472">
        <f>IF(L9472="", "Pending", IF(N9472&lt;=30, "Met", "Breached"))</f>
        <v/>
      </c>
      <c r="P9472" s="8" t="n"/>
      <c r="Q9472" s="8" t="n"/>
      <c r="R9472" s="8" t="n"/>
      <c r="S9472" s="8" t="n"/>
      <c r="T9472" s="8" t="n"/>
      <c r="U9472" s="8" t="n"/>
      <c r="V9472" s="8" t="n"/>
      <c r="W9472" s="8" t="n"/>
      <c r="X9472" s="8" t="n"/>
      <c r="Y9472" s="8" t="n"/>
    </row>
    <row r="9473">
      <c r="A9473" s="8" t="n"/>
      <c r="B9473" s="8" t="n"/>
      <c r="C9473" s="8" t="n"/>
      <c r="D9473" s="8" t="n"/>
      <c r="E9473" s="8" t="n"/>
      <c r="F9473" s="8" t="n"/>
      <c r="G9473" s="8" t="n"/>
      <c r="H9473" s="8" t="n"/>
      <c r="I9473" s="8" t="n"/>
      <c r="J9473" s="8" t="n"/>
      <c r="K9473" s="8" t="n"/>
      <c r="L9473" s="8" t="n"/>
      <c r="M9473" s="9">
        <f>B9473+30</f>
        <v/>
      </c>
      <c r="N9473">
        <f>IF(L9473="", "", L9473-B9473)</f>
        <v/>
      </c>
      <c r="O9473">
        <f>IF(L9473="", "Pending", IF(N9473&lt;=30, "Met", "Breached"))</f>
        <v/>
      </c>
      <c r="P9473" s="8" t="n"/>
      <c r="Q9473" s="8" t="n"/>
      <c r="R9473" s="8" t="n"/>
      <c r="S9473" s="8" t="n"/>
      <c r="T9473" s="8" t="n"/>
      <c r="U9473" s="8" t="n"/>
      <c r="V9473" s="8" t="n"/>
      <c r="W9473" s="8" t="n"/>
      <c r="X9473" s="8" t="n"/>
      <c r="Y9473" s="8" t="n"/>
    </row>
    <row r="9474">
      <c r="A9474" s="8" t="n"/>
      <c r="B9474" s="8" t="n"/>
      <c r="C9474" s="8" t="n"/>
      <c r="D9474" s="8" t="n"/>
      <c r="E9474" s="8" t="n"/>
      <c r="F9474" s="8" t="n"/>
      <c r="G9474" s="8" t="n"/>
      <c r="H9474" s="8" t="n"/>
      <c r="I9474" s="8" t="n"/>
      <c r="J9474" s="8" t="n"/>
      <c r="K9474" s="8" t="n"/>
      <c r="L9474" s="8" t="n"/>
      <c r="M9474" s="9">
        <f>B9474+30</f>
        <v/>
      </c>
      <c r="N9474">
        <f>IF(L9474="", "", L9474-B9474)</f>
        <v/>
      </c>
      <c r="O9474">
        <f>IF(L9474="", "Pending", IF(N9474&lt;=30, "Met", "Breached"))</f>
        <v/>
      </c>
      <c r="P9474" s="8" t="n"/>
      <c r="Q9474" s="8" t="n"/>
      <c r="R9474" s="8" t="n"/>
      <c r="S9474" s="8" t="n"/>
      <c r="T9474" s="8" t="n"/>
      <c r="U9474" s="8" t="n"/>
      <c r="V9474" s="8" t="n"/>
      <c r="W9474" s="8" t="n"/>
      <c r="X9474" s="8" t="n"/>
      <c r="Y9474" s="8" t="n"/>
    </row>
    <row r="9475">
      <c r="A9475" s="8" t="n"/>
      <c r="B9475" s="8" t="n"/>
      <c r="C9475" s="8" t="n"/>
      <c r="D9475" s="8" t="n"/>
      <c r="E9475" s="8" t="n"/>
      <c r="F9475" s="8" t="n"/>
      <c r="G9475" s="8" t="n"/>
      <c r="H9475" s="8" t="n"/>
      <c r="I9475" s="8" t="n"/>
      <c r="J9475" s="8" t="n"/>
      <c r="K9475" s="8" t="n"/>
      <c r="L9475" s="8" t="n"/>
      <c r="M9475" s="9">
        <f>B9475+30</f>
        <v/>
      </c>
      <c r="N9475">
        <f>IF(L9475="", "", L9475-B9475)</f>
        <v/>
      </c>
      <c r="O9475">
        <f>IF(L9475="", "Pending", IF(N9475&lt;=30, "Met", "Breached"))</f>
        <v/>
      </c>
      <c r="P9475" s="8" t="n"/>
      <c r="Q9475" s="8" t="n"/>
      <c r="R9475" s="8" t="n"/>
      <c r="S9475" s="8" t="n"/>
      <c r="T9475" s="8" t="n"/>
      <c r="U9475" s="8" t="n"/>
      <c r="V9475" s="8" t="n"/>
      <c r="W9475" s="8" t="n"/>
      <c r="X9475" s="8" t="n"/>
      <c r="Y9475" s="8" t="n"/>
    </row>
    <row r="9476">
      <c r="A9476" s="8" t="n"/>
      <c r="B9476" s="8" t="n"/>
      <c r="C9476" s="8" t="n"/>
      <c r="D9476" s="8" t="n"/>
      <c r="E9476" s="8" t="n"/>
      <c r="F9476" s="8" t="n"/>
      <c r="G9476" s="8" t="n"/>
      <c r="H9476" s="8" t="n"/>
      <c r="I9476" s="8" t="n"/>
      <c r="J9476" s="8" t="n"/>
      <c r="K9476" s="8" t="n"/>
      <c r="L9476" s="8" t="n"/>
      <c r="M9476" s="9">
        <f>B9476+30</f>
        <v/>
      </c>
      <c r="N9476">
        <f>IF(L9476="", "", L9476-B9476)</f>
        <v/>
      </c>
      <c r="O9476">
        <f>IF(L9476="", "Pending", IF(N9476&lt;=30, "Met", "Breached"))</f>
        <v/>
      </c>
      <c r="P9476" s="8" t="n"/>
      <c r="Q9476" s="8" t="n"/>
      <c r="R9476" s="8" t="n"/>
      <c r="S9476" s="8" t="n"/>
      <c r="T9476" s="8" t="n"/>
      <c r="U9476" s="8" t="n"/>
      <c r="V9476" s="8" t="n"/>
      <c r="W9476" s="8" t="n"/>
      <c r="X9476" s="8" t="n"/>
      <c r="Y9476" s="8" t="n"/>
    </row>
    <row r="9477">
      <c r="A9477" s="8" t="n"/>
      <c r="B9477" s="8" t="n"/>
      <c r="C9477" s="8" t="n"/>
      <c r="D9477" s="8" t="n"/>
      <c r="E9477" s="8" t="n"/>
      <c r="F9477" s="8" t="n"/>
      <c r="G9477" s="8" t="n"/>
      <c r="H9477" s="8" t="n"/>
      <c r="I9477" s="8" t="n"/>
      <c r="J9477" s="8" t="n"/>
      <c r="K9477" s="8" t="n"/>
      <c r="L9477" s="8" t="n"/>
      <c r="M9477" s="9">
        <f>B9477+30</f>
        <v/>
      </c>
      <c r="N9477">
        <f>IF(L9477="", "", L9477-B9477)</f>
        <v/>
      </c>
      <c r="O9477">
        <f>IF(L9477="", "Pending", IF(N9477&lt;=30, "Met", "Breached"))</f>
        <v/>
      </c>
      <c r="P9477" s="8" t="n"/>
      <c r="Q9477" s="8" t="n"/>
      <c r="R9477" s="8" t="n"/>
      <c r="S9477" s="8" t="n"/>
      <c r="T9477" s="8" t="n"/>
      <c r="U9477" s="8" t="n"/>
      <c r="V9477" s="8" t="n"/>
      <c r="W9477" s="8" t="n"/>
      <c r="X9477" s="8" t="n"/>
      <c r="Y9477" s="8" t="n"/>
    </row>
    <row r="9478">
      <c r="A9478" s="8" t="n"/>
      <c r="B9478" s="8" t="n"/>
      <c r="C9478" s="8" t="n"/>
      <c r="D9478" s="8" t="n"/>
      <c r="E9478" s="8" t="n"/>
      <c r="F9478" s="8" t="n"/>
      <c r="G9478" s="8" t="n"/>
      <c r="H9478" s="8" t="n"/>
      <c r="I9478" s="8" t="n"/>
      <c r="J9478" s="8" t="n"/>
      <c r="K9478" s="8" t="n"/>
      <c r="L9478" s="8" t="n"/>
      <c r="M9478" s="9">
        <f>B9478+30</f>
        <v/>
      </c>
      <c r="N9478">
        <f>IF(L9478="", "", L9478-B9478)</f>
        <v/>
      </c>
      <c r="O9478">
        <f>IF(L9478="", "Pending", IF(N9478&lt;=30, "Met", "Breached"))</f>
        <v/>
      </c>
      <c r="P9478" s="8" t="n"/>
      <c r="Q9478" s="8" t="n"/>
      <c r="R9478" s="8" t="n"/>
      <c r="S9478" s="8" t="n"/>
      <c r="T9478" s="8" t="n"/>
      <c r="U9478" s="8" t="n"/>
      <c r="V9478" s="8" t="n"/>
      <c r="W9478" s="8" t="n"/>
      <c r="X9478" s="8" t="n"/>
      <c r="Y9478" s="8" t="n"/>
    </row>
    <row r="9479">
      <c r="A9479" s="8" t="n"/>
      <c r="B9479" s="8" t="n"/>
      <c r="C9479" s="8" t="n"/>
      <c r="D9479" s="8" t="n"/>
      <c r="E9479" s="8" t="n"/>
      <c r="F9479" s="8" t="n"/>
      <c r="G9479" s="8" t="n"/>
      <c r="H9479" s="8" t="n"/>
      <c r="I9479" s="8" t="n"/>
      <c r="J9479" s="8" t="n"/>
      <c r="K9479" s="8" t="n"/>
      <c r="L9479" s="8" t="n"/>
      <c r="M9479" s="9">
        <f>B9479+30</f>
        <v/>
      </c>
      <c r="N9479">
        <f>IF(L9479="", "", L9479-B9479)</f>
        <v/>
      </c>
      <c r="O9479">
        <f>IF(L9479="", "Pending", IF(N9479&lt;=30, "Met", "Breached"))</f>
        <v/>
      </c>
      <c r="P9479" s="8" t="n"/>
      <c r="Q9479" s="8" t="n"/>
      <c r="R9479" s="8" t="n"/>
      <c r="S9479" s="8" t="n"/>
      <c r="T9479" s="8" t="n"/>
      <c r="U9479" s="8" t="n"/>
      <c r="V9479" s="8" t="n"/>
      <c r="W9479" s="8" t="n"/>
      <c r="X9479" s="8" t="n"/>
      <c r="Y9479" s="8" t="n"/>
    </row>
    <row r="9480">
      <c r="A9480" s="8" t="n"/>
      <c r="B9480" s="8" t="n"/>
      <c r="C9480" s="8" t="n"/>
      <c r="D9480" s="8" t="n"/>
      <c r="E9480" s="8" t="n"/>
      <c r="F9480" s="8" t="n"/>
      <c r="G9480" s="8" t="n"/>
      <c r="H9480" s="8" t="n"/>
      <c r="I9480" s="8" t="n"/>
      <c r="J9480" s="8" t="n"/>
      <c r="K9480" s="8" t="n"/>
      <c r="L9480" s="8" t="n"/>
      <c r="M9480" s="9">
        <f>B9480+30</f>
        <v/>
      </c>
      <c r="N9480">
        <f>IF(L9480="", "", L9480-B9480)</f>
        <v/>
      </c>
      <c r="O9480">
        <f>IF(L9480="", "Pending", IF(N9480&lt;=30, "Met", "Breached"))</f>
        <v/>
      </c>
      <c r="P9480" s="8" t="n"/>
      <c r="Q9480" s="8" t="n"/>
      <c r="R9480" s="8" t="n"/>
      <c r="S9480" s="8" t="n"/>
      <c r="T9480" s="8" t="n"/>
      <c r="U9480" s="8" t="n"/>
      <c r="V9480" s="8" t="n"/>
      <c r="W9480" s="8" t="n"/>
      <c r="X9480" s="8" t="n"/>
      <c r="Y9480" s="8" t="n"/>
    </row>
    <row r="9481">
      <c r="A9481" s="8" t="n"/>
      <c r="B9481" s="8" t="n"/>
      <c r="C9481" s="8" t="n"/>
      <c r="D9481" s="8" t="n"/>
      <c r="E9481" s="8" t="n"/>
      <c r="F9481" s="8" t="n"/>
      <c r="G9481" s="8" t="n"/>
      <c r="H9481" s="8" t="n"/>
      <c r="I9481" s="8" t="n"/>
      <c r="J9481" s="8" t="n"/>
      <c r="K9481" s="8" t="n"/>
      <c r="L9481" s="8" t="n"/>
      <c r="M9481" s="9">
        <f>B9481+30</f>
        <v/>
      </c>
      <c r="N9481">
        <f>IF(L9481="", "", L9481-B9481)</f>
        <v/>
      </c>
      <c r="O9481">
        <f>IF(L9481="", "Pending", IF(N9481&lt;=30, "Met", "Breached"))</f>
        <v/>
      </c>
      <c r="P9481" s="8" t="n"/>
      <c r="Q9481" s="8" t="n"/>
      <c r="R9481" s="8" t="n"/>
      <c r="S9481" s="8" t="n"/>
      <c r="T9481" s="8" t="n"/>
      <c r="U9481" s="8" t="n"/>
      <c r="V9481" s="8" t="n"/>
      <c r="W9481" s="8" t="n"/>
      <c r="X9481" s="8" t="n"/>
      <c r="Y9481" s="8" t="n"/>
    </row>
    <row r="9482">
      <c r="A9482" s="8" t="n"/>
      <c r="B9482" s="8" t="n"/>
      <c r="C9482" s="8" t="n"/>
      <c r="D9482" s="8" t="n"/>
      <c r="E9482" s="8" t="n"/>
      <c r="F9482" s="8" t="n"/>
      <c r="G9482" s="8" t="n"/>
      <c r="H9482" s="8" t="n"/>
      <c r="I9482" s="8" t="n"/>
      <c r="J9482" s="8" t="n"/>
      <c r="K9482" s="8" t="n"/>
      <c r="L9482" s="8" t="n"/>
      <c r="M9482" s="9">
        <f>B9482+30</f>
        <v/>
      </c>
      <c r="N9482">
        <f>IF(L9482="", "", L9482-B9482)</f>
        <v/>
      </c>
      <c r="O9482">
        <f>IF(L9482="", "Pending", IF(N9482&lt;=30, "Met", "Breached"))</f>
        <v/>
      </c>
      <c r="P9482" s="8" t="n"/>
      <c r="Q9482" s="8" t="n"/>
      <c r="R9482" s="8" t="n"/>
      <c r="S9482" s="8" t="n"/>
      <c r="T9482" s="8" t="n"/>
      <c r="U9482" s="8" t="n"/>
      <c r="V9482" s="8" t="n"/>
      <c r="W9482" s="8" t="n"/>
      <c r="X9482" s="8" t="n"/>
      <c r="Y9482" s="8" t="n"/>
    </row>
    <row r="9483">
      <c r="A9483" s="8" t="n"/>
      <c r="B9483" s="8" t="n"/>
      <c r="C9483" s="8" t="n"/>
      <c r="D9483" s="8" t="n"/>
      <c r="E9483" s="8" t="n"/>
      <c r="F9483" s="8" t="n"/>
      <c r="G9483" s="8" t="n"/>
      <c r="H9483" s="8" t="n"/>
      <c r="I9483" s="8" t="n"/>
      <c r="J9483" s="8" t="n"/>
      <c r="K9483" s="8" t="n"/>
      <c r="L9483" s="8" t="n"/>
      <c r="M9483" s="9">
        <f>B9483+30</f>
        <v/>
      </c>
      <c r="N9483">
        <f>IF(L9483="", "", L9483-B9483)</f>
        <v/>
      </c>
      <c r="O9483">
        <f>IF(L9483="", "Pending", IF(N9483&lt;=30, "Met", "Breached"))</f>
        <v/>
      </c>
      <c r="P9483" s="8" t="n"/>
      <c r="Q9483" s="8" t="n"/>
      <c r="R9483" s="8" t="n"/>
      <c r="S9483" s="8" t="n"/>
      <c r="T9483" s="8" t="n"/>
      <c r="U9483" s="8" t="n"/>
      <c r="V9483" s="8" t="n"/>
      <c r="W9483" s="8" t="n"/>
      <c r="X9483" s="8" t="n"/>
      <c r="Y9483" s="8" t="n"/>
    </row>
    <row r="9484">
      <c r="A9484" s="8" t="n"/>
      <c r="B9484" s="8" t="n"/>
      <c r="C9484" s="8" t="n"/>
      <c r="D9484" s="8" t="n"/>
      <c r="E9484" s="8" t="n"/>
      <c r="F9484" s="8" t="n"/>
      <c r="G9484" s="8" t="n"/>
      <c r="H9484" s="8" t="n"/>
      <c r="I9484" s="8" t="n"/>
      <c r="J9484" s="8" t="n"/>
      <c r="K9484" s="8" t="n"/>
      <c r="L9484" s="8" t="n"/>
      <c r="M9484" s="9">
        <f>B9484+30</f>
        <v/>
      </c>
      <c r="N9484">
        <f>IF(L9484="", "", L9484-B9484)</f>
        <v/>
      </c>
      <c r="O9484">
        <f>IF(L9484="", "Pending", IF(N9484&lt;=30, "Met", "Breached"))</f>
        <v/>
      </c>
      <c r="P9484" s="8" t="n"/>
      <c r="Q9484" s="8" t="n"/>
      <c r="R9484" s="8" t="n"/>
      <c r="S9484" s="8" t="n"/>
      <c r="T9484" s="8" t="n"/>
      <c r="U9484" s="8" t="n"/>
      <c r="V9484" s="8" t="n"/>
      <c r="W9484" s="8" t="n"/>
      <c r="X9484" s="8" t="n"/>
      <c r="Y9484" s="8" t="n"/>
    </row>
    <row r="9485">
      <c r="A9485" s="8" t="n"/>
      <c r="B9485" s="8" t="n"/>
      <c r="C9485" s="8" t="n"/>
      <c r="D9485" s="8" t="n"/>
      <c r="E9485" s="8" t="n"/>
      <c r="F9485" s="8" t="n"/>
      <c r="G9485" s="8" t="n"/>
      <c r="H9485" s="8" t="n"/>
      <c r="I9485" s="8" t="n"/>
      <c r="J9485" s="8" t="n"/>
      <c r="K9485" s="8" t="n"/>
      <c r="L9485" s="8" t="n"/>
      <c r="M9485" s="9">
        <f>B9485+30</f>
        <v/>
      </c>
      <c r="N9485">
        <f>IF(L9485="", "", L9485-B9485)</f>
        <v/>
      </c>
      <c r="O9485">
        <f>IF(L9485="", "Pending", IF(N9485&lt;=30, "Met", "Breached"))</f>
        <v/>
      </c>
      <c r="P9485" s="8" t="n"/>
      <c r="Q9485" s="8" t="n"/>
      <c r="R9485" s="8" t="n"/>
      <c r="S9485" s="8" t="n"/>
      <c r="T9485" s="8" t="n"/>
      <c r="U9485" s="8" t="n"/>
      <c r="V9485" s="8" t="n"/>
      <c r="W9485" s="8" t="n"/>
      <c r="X9485" s="8" t="n"/>
      <c r="Y9485" s="8" t="n"/>
    </row>
    <row r="9486">
      <c r="A9486" s="8" t="n"/>
      <c r="B9486" s="8" t="n"/>
      <c r="C9486" s="8" t="n"/>
      <c r="D9486" s="8" t="n"/>
      <c r="E9486" s="8" t="n"/>
      <c r="F9486" s="8" t="n"/>
      <c r="G9486" s="8" t="n"/>
      <c r="H9486" s="8" t="n"/>
      <c r="I9486" s="8" t="n"/>
      <c r="J9486" s="8" t="n"/>
      <c r="K9486" s="8" t="n"/>
      <c r="L9486" s="8" t="n"/>
      <c r="M9486" s="9">
        <f>B9486+30</f>
        <v/>
      </c>
      <c r="N9486">
        <f>IF(L9486="", "", L9486-B9486)</f>
        <v/>
      </c>
      <c r="O9486">
        <f>IF(L9486="", "Pending", IF(N9486&lt;=30, "Met", "Breached"))</f>
        <v/>
      </c>
      <c r="P9486" s="8" t="n"/>
      <c r="Q9486" s="8" t="n"/>
      <c r="R9486" s="8" t="n"/>
      <c r="S9486" s="8" t="n"/>
      <c r="T9486" s="8" t="n"/>
      <c r="U9486" s="8" t="n"/>
      <c r="V9486" s="8" t="n"/>
      <c r="W9486" s="8" t="n"/>
      <c r="X9486" s="8" t="n"/>
      <c r="Y9486" s="8" t="n"/>
    </row>
    <row r="9487">
      <c r="A9487" s="8" t="n"/>
      <c r="B9487" s="8" t="n"/>
      <c r="C9487" s="8" t="n"/>
      <c r="D9487" s="8" t="n"/>
      <c r="E9487" s="8" t="n"/>
      <c r="F9487" s="8" t="n"/>
      <c r="G9487" s="8" t="n"/>
      <c r="H9487" s="8" t="n"/>
      <c r="I9487" s="8" t="n"/>
      <c r="J9487" s="8" t="n"/>
      <c r="K9487" s="8" t="n"/>
      <c r="L9487" s="8" t="n"/>
      <c r="M9487" s="9">
        <f>B9487+30</f>
        <v/>
      </c>
      <c r="N9487">
        <f>IF(L9487="", "", L9487-B9487)</f>
        <v/>
      </c>
      <c r="O9487">
        <f>IF(L9487="", "Pending", IF(N9487&lt;=30, "Met", "Breached"))</f>
        <v/>
      </c>
      <c r="P9487" s="8" t="n"/>
      <c r="Q9487" s="8" t="n"/>
      <c r="R9487" s="8" t="n"/>
      <c r="S9487" s="8" t="n"/>
      <c r="T9487" s="8" t="n"/>
      <c r="U9487" s="8" t="n"/>
      <c r="V9487" s="8" t="n"/>
      <c r="W9487" s="8" t="n"/>
      <c r="X9487" s="8" t="n"/>
      <c r="Y9487" s="8" t="n"/>
    </row>
    <row r="9488">
      <c r="A9488" s="8" t="n"/>
      <c r="B9488" s="8" t="n"/>
      <c r="C9488" s="8" t="n"/>
      <c r="D9488" s="8" t="n"/>
      <c r="E9488" s="8" t="n"/>
      <c r="F9488" s="8" t="n"/>
      <c r="G9488" s="8" t="n"/>
      <c r="H9488" s="8" t="n"/>
      <c r="I9488" s="8" t="n"/>
      <c r="J9488" s="8" t="n"/>
      <c r="K9488" s="8" t="n"/>
      <c r="L9488" s="8" t="n"/>
      <c r="M9488" s="9">
        <f>B9488+30</f>
        <v/>
      </c>
      <c r="N9488">
        <f>IF(L9488="", "", L9488-B9488)</f>
        <v/>
      </c>
      <c r="O9488">
        <f>IF(L9488="", "Pending", IF(N9488&lt;=30, "Met", "Breached"))</f>
        <v/>
      </c>
      <c r="P9488" s="8" t="n"/>
      <c r="Q9488" s="8" t="n"/>
      <c r="R9488" s="8" t="n"/>
      <c r="S9488" s="8" t="n"/>
      <c r="T9488" s="8" t="n"/>
      <c r="U9488" s="8" t="n"/>
      <c r="V9488" s="8" t="n"/>
      <c r="W9488" s="8" t="n"/>
      <c r="X9488" s="8" t="n"/>
      <c r="Y9488" s="8" t="n"/>
    </row>
    <row r="9489">
      <c r="A9489" s="8" t="n"/>
      <c r="B9489" s="8" t="n"/>
      <c r="C9489" s="8" t="n"/>
      <c r="D9489" s="8" t="n"/>
      <c r="E9489" s="8" t="n"/>
      <c r="F9489" s="8" t="n"/>
      <c r="G9489" s="8" t="n"/>
      <c r="H9489" s="8" t="n"/>
      <c r="I9489" s="8" t="n"/>
      <c r="J9489" s="8" t="n"/>
      <c r="K9489" s="8" t="n"/>
      <c r="L9489" s="8" t="n"/>
      <c r="M9489" s="9">
        <f>B9489+30</f>
        <v/>
      </c>
      <c r="N9489">
        <f>IF(L9489="", "", L9489-B9489)</f>
        <v/>
      </c>
      <c r="O9489">
        <f>IF(L9489="", "Pending", IF(N9489&lt;=30, "Met", "Breached"))</f>
        <v/>
      </c>
      <c r="P9489" s="8" t="n"/>
      <c r="Q9489" s="8" t="n"/>
      <c r="R9489" s="8" t="n"/>
      <c r="S9489" s="8" t="n"/>
      <c r="T9489" s="8" t="n"/>
      <c r="U9489" s="8" t="n"/>
      <c r="V9489" s="8" t="n"/>
      <c r="W9489" s="8" t="n"/>
      <c r="X9489" s="8" t="n"/>
      <c r="Y9489" s="8" t="n"/>
    </row>
    <row r="9490">
      <c r="A9490" s="8" t="n"/>
      <c r="B9490" s="8" t="n"/>
      <c r="C9490" s="8" t="n"/>
      <c r="D9490" s="8" t="n"/>
      <c r="E9490" s="8" t="n"/>
      <c r="F9490" s="8" t="n"/>
      <c r="G9490" s="8" t="n"/>
      <c r="H9490" s="8" t="n"/>
      <c r="I9490" s="8" t="n"/>
      <c r="J9490" s="8" t="n"/>
      <c r="K9490" s="8" t="n"/>
      <c r="L9490" s="8" t="n"/>
      <c r="M9490" s="9">
        <f>B9490+30</f>
        <v/>
      </c>
      <c r="N9490">
        <f>IF(L9490="", "", L9490-B9490)</f>
        <v/>
      </c>
      <c r="O9490">
        <f>IF(L9490="", "Pending", IF(N9490&lt;=30, "Met", "Breached"))</f>
        <v/>
      </c>
      <c r="P9490" s="8" t="n"/>
      <c r="Q9490" s="8" t="n"/>
      <c r="R9490" s="8" t="n"/>
      <c r="S9490" s="8" t="n"/>
      <c r="T9490" s="8" t="n"/>
      <c r="U9490" s="8" t="n"/>
      <c r="V9490" s="8" t="n"/>
      <c r="W9490" s="8" t="n"/>
      <c r="X9490" s="8" t="n"/>
      <c r="Y9490" s="8" t="n"/>
    </row>
    <row r="9491">
      <c r="A9491" s="8" t="n"/>
      <c r="B9491" s="8" t="n"/>
      <c r="C9491" s="8" t="n"/>
      <c r="D9491" s="8" t="n"/>
      <c r="E9491" s="8" t="n"/>
      <c r="F9491" s="8" t="n"/>
      <c r="G9491" s="8" t="n"/>
      <c r="H9491" s="8" t="n"/>
      <c r="I9491" s="8" t="n"/>
      <c r="J9491" s="8" t="n"/>
      <c r="K9491" s="8" t="n"/>
      <c r="L9491" s="8" t="n"/>
      <c r="M9491" s="9">
        <f>B9491+30</f>
        <v/>
      </c>
      <c r="N9491">
        <f>IF(L9491="", "", L9491-B9491)</f>
        <v/>
      </c>
      <c r="O9491">
        <f>IF(L9491="", "Pending", IF(N9491&lt;=30, "Met", "Breached"))</f>
        <v/>
      </c>
      <c r="P9491" s="8" t="n"/>
      <c r="Q9491" s="8" t="n"/>
      <c r="R9491" s="8" t="n"/>
      <c r="S9491" s="8" t="n"/>
      <c r="T9491" s="8" t="n"/>
      <c r="U9491" s="8" t="n"/>
      <c r="V9491" s="8" t="n"/>
      <c r="W9491" s="8" t="n"/>
      <c r="X9491" s="8" t="n"/>
      <c r="Y9491" s="8" t="n"/>
    </row>
    <row r="9492">
      <c r="A9492" s="8" t="n"/>
      <c r="B9492" s="8" t="n"/>
      <c r="C9492" s="8" t="n"/>
      <c r="D9492" s="8" t="n"/>
      <c r="E9492" s="8" t="n"/>
      <c r="F9492" s="8" t="n"/>
      <c r="G9492" s="8" t="n"/>
      <c r="H9492" s="8" t="n"/>
      <c r="I9492" s="8" t="n"/>
      <c r="J9492" s="8" t="n"/>
      <c r="K9492" s="8" t="n"/>
      <c r="L9492" s="8" t="n"/>
      <c r="M9492" s="9">
        <f>B9492+30</f>
        <v/>
      </c>
      <c r="N9492">
        <f>IF(L9492="", "", L9492-B9492)</f>
        <v/>
      </c>
      <c r="O9492">
        <f>IF(L9492="", "Pending", IF(N9492&lt;=30, "Met", "Breached"))</f>
        <v/>
      </c>
      <c r="P9492" s="8" t="n"/>
      <c r="Q9492" s="8" t="n"/>
      <c r="R9492" s="8" t="n"/>
      <c r="S9492" s="8" t="n"/>
      <c r="T9492" s="8" t="n"/>
      <c r="U9492" s="8" t="n"/>
      <c r="V9492" s="8" t="n"/>
      <c r="W9492" s="8" t="n"/>
      <c r="X9492" s="8" t="n"/>
      <c r="Y9492" s="8" t="n"/>
    </row>
    <row r="9493">
      <c r="A9493" s="8" t="n"/>
      <c r="B9493" s="8" t="n"/>
      <c r="C9493" s="8" t="n"/>
      <c r="D9493" s="8" t="n"/>
      <c r="E9493" s="8" t="n"/>
      <c r="F9493" s="8" t="n"/>
      <c r="G9493" s="8" t="n"/>
      <c r="H9493" s="8" t="n"/>
      <c r="I9493" s="8" t="n"/>
      <c r="J9493" s="8" t="n"/>
      <c r="K9493" s="8" t="n"/>
      <c r="L9493" s="8" t="n"/>
      <c r="M9493" s="9">
        <f>B9493+30</f>
        <v/>
      </c>
      <c r="N9493">
        <f>IF(L9493="", "", L9493-B9493)</f>
        <v/>
      </c>
      <c r="O9493">
        <f>IF(L9493="", "Pending", IF(N9493&lt;=30, "Met", "Breached"))</f>
        <v/>
      </c>
      <c r="P9493" s="8" t="n"/>
      <c r="Q9493" s="8" t="n"/>
      <c r="R9493" s="8" t="n"/>
      <c r="S9493" s="8" t="n"/>
      <c r="T9493" s="8" t="n"/>
      <c r="U9493" s="8" t="n"/>
      <c r="V9493" s="8" t="n"/>
      <c r="W9493" s="8" t="n"/>
      <c r="X9493" s="8" t="n"/>
      <c r="Y9493" s="8" t="n"/>
    </row>
    <row r="9494">
      <c r="A9494" s="8" t="n"/>
      <c r="B9494" s="8" t="n"/>
      <c r="C9494" s="8" t="n"/>
      <c r="D9494" s="8" t="n"/>
      <c r="E9494" s="8" t="n"/>
      <c r="F9494" s="8" t="n"/>
      <c r="G9494" s="8" t="n"/>
      <c r="H9494" s="8" t="n"/>
      <c r="I9494" s="8" t="n"/>
      <c r="J9494" s="8" t="n"/>
      <c r="K9494" s="8" t="n"/>
      <c r="L9494" s="8" t="n"/>
      <c r="M9494" s="9">
        <f>B9494+30</f>
        <v/>
      </c>
      <c r="N9494">
        <f>IF(L9494="", "", L9494-B9494)</f>
        <v/>
      </c>
      <c r="O9494">
        <f>IF(L9494="", "Pending", IF(N9494&lt;=30, "Met", "Breached"))</f>
        <v/>
      </c>
      <c r="P9494" s="8" t="n"/>
      <c r="Q9494" s="8" t="n"/>
      <c r="R9494" s="8" t="n"/>
      <c r="S9494" s="8" t="n"/>
      <c r="T9494" s="8" t="n"/>
      <c r="U9494" s="8" t="n"/>
      <c r="V9494" s="8" t="n"/>
      <c r="W9494" s="8" t="n"/>
      <c r="X9494" s="8" t="n"/>
      <c r="Y9494" s="8" t="n"/>
    </row>
    <row r="9495">
      <c r="A9495" s="8" t="n"/>
      <c r="B9495" s="8" t="n"/>
      <c r="C9495" s="8" t="n"/>
      <c r="D9495" s="8" t="n"/>
      <c r="E9495" s="8" t="n"/>
      <c r="F9495" s="8" t="n"/>
      <c r="G9495" s="8" t="n"/>
      <c r="H9495" s="8" t="n"/>
      <c r="I9495" s="8" t="n"/>
      <c r="J9495" s="8" t="n"/>
      <c r="K9495" s="8" t="n"/>
      <c r="L9495" s="8" t="n"/>
      <c r="M9495" s="9">
        <f>B9495+30</f>
        <v/>
      </c>
      <c r="N9495">
        <f>IF(L9495="", "", L9495-B9495)</f>
        <v/>
      </c>
      <c r="O9495">
        <f>IF(L9495="", "Pending", IF(N9495&lt;=30, "Met", "Breached"))</f>
        <v/>
      </c>
      <c r="P9495" s="8" t="n"/>
      <c r="Q9495" s="8" t="n"/>
      <c r="R9495" s="8" t="n"/>
      <c r="S9495" s="8" t="n"/>
      <c r="T9495" s="8" t="n"/>
      <c r="U9495" s="8" t="n"/>
      <c r="V9495" s="8" t="n"/>
      <c r="W9495" s="8" t="n"/>
      <c r="X9495" s="8" t="n"/>
      <c r="Y9495" s="8" t="n"/>
    </row>
    <row r="9496">
      <c r="A9496" s="8" t="n"/>
      <c r="B9496" s="8" t="n"/>
      <c r="C9496" s="8" t="n"/>
      <c r="D9496" s="8" t="n"/>
      <c r="E9496" s="8" t="n"/>
      <c r="F9496" s="8" t="n"/>
      <c r="G9496" s="8" t="n"/>
      <c r="H9496" s="8" t="n"/>
      <c r="I9496" s="8" t="n"/>
      <c r="J9496" s="8" t="n"/>
      <c r="K9496" s="8" t="n"/>
      <c r="L9496" s="8" t="n"/>
      <c r="M9496" s="9">
        <f>B9496+30</f>
        <v/>
      </c>
      <c r="N9496">
        <f>IF(L9496="", "", L9496-B9496)</f>
        <v/>
      </c>
      <c r="O9496">
        <f>IF(L9496="", "Pending", IF(N9496&lt;=30, "Met", "Breached"))</f>
        <v/>
      </c>
      <c r="P9496" s="8" t="n"/>
      <c r="Q9496" s="8" t="n"/>
      <c r="R9496" s="8" t="n"/>
      <c r="S9496" s="8" t="n"/>
      <c r="T9496" s="8" t="n"/>
      <c r="U9496" s="8" t="n"/>
      <c r="V9496" s="8" t="n"/>
      <c r="W9496" s="8" t="n"/>
      <c r="X9496" s="8" t="n"/>
      <c r="Y9496" s="8" t="n"/>
    </row>
    <row r="9497">
      <c r="A9497" s="8" t="n"/>
      <c r="B9497" s="8" t="n"/>
      <c r="C9497" s="8" t="n"/>
      <c r="D9497" s="8" t="n"/>
      <c r="E9497" s="8" t="n"/>
      <c r="F9497" s="8" t="n"/>
      <c r="G9497" s="8" t="n"/>
      <c r="H9497" s="8" t="n"/>
      <c r="I9497" s="8" t="n"/>
      <c r="J9497" s="8" t="n"/>
      <c r="K9497" s="8" t="n"/>
      <c r="L9497" s="8" t="n"/>
      <c r="M9497" s="9">
        <f>B9497+30</f>
        <v/>
      </c>
      <c r="N9497">
        <f>IF(L9497="", "", L9497-B9497)</f>
        <v/>
      </c>
      <c r="O9497">
        <f>IF(L9497="", "Pending", IF(N9497&lt;=30, "Met", "Breached"))</f>
        <v/>
      </c>
      <c r="P9497" s="8" t="n"/>
      <c r="Q9497" s="8" t="n"/>
      <c r="R9497" s="8" t="n"/>
      <c r="S9497" s="8" t="n"/>
      <c r="T9497" s="8" t="n"/>
      <c r="U9497" s="8" t="n"/>
      <c r="V9497" s="8" t="n"/>
      <c r="W9497" s="8" t="n"/>
      <c r="X9497" s="8" t="n"/>
      <c r="Y9497" s="8" t="n"/>
    </row>
    <row r="9498">
      <c r="A9498" s="8" t="n"/>
      <c r="B9498" s="8" t="n"/>
      <c r="C9498" s="8" t="n"/>
      <c r="D9498" s="8" t="n"/>
      <c r="E9498" s="8" t="n"/>
      <c r="F9498" s="8" t="n"/>
      <c r="G9498" s="8" t="n"/>
      <c r="H9498" s="8" t="n"/>
      <c r="I9498" s="8" t="n"/>
      <c r="J9498" s="8" t="n"/>
      <c r="K9498" s="8" t="n"/>
      <c r="L9498" s="8" t="n"/>
      <c r="M9498" s="9">
        <f>B9498+30</f>
        <v/>
      </c>
      <c r="N9498">
        <f>IF(L9498="", "", L9498-B9498)</f>
        <v/>
      </c>
      <c r="O9498">
        <f>IF(L9498="", "Pending", IF(N9498&lt;=30, "Met", "Breached"))</f>
        <v/>
      </c>
      <c r="P9498" s="8" t="n"/>
      <c r="Q9498" s="8" t="n"/>
      <c r="R9498" s="8" t="n"/>
      <c r="S9498" s="8" t="n"/>
      <c r="T9498" s="8" t="n"/>
      <c r="U9498" s="8" t="n"/>
      <c r="V9498" s="8" t="n"/>
      <c r="W9498" s="8" t="n"/>
      <c r="X9498" s="8" t="n"/>
      <c r="Y9498" s="8" t="n"/>
    </row>
    <row r="9499">
      <c r="A9499" s="8" t="n"/>
      <c r="B9499" s="8" t="n"/>
      <c r="C9499" s="8" t="n"/>
      <c r="D9499" s="8" t="n"/>
      <c r="E9499" s="8" t="n"/>
      <c r="F9499" s="8" t="n"/>
      <c r="G9499" s="8" t="n"/>
      <c r="H9499" s="8" t="n"/>
      <c r="I9499" s="8" t="n"/>
      <c r="J9499" s="8" t="n"/>
      <c r="K9499" s="8" t="n"/>
      <c r="L9499" s="8" t="n"/>
      <c r="M9499" s="9">
        <f>B9499+30</f>
        <v/>
      </c>
      <c r="N9499">
        <f>IF(L9499="", "", L9499-B9499)</f>
        <v/>
      </c>
      <c r="O9499">
        <f>IF(L9499="", "Pending", IF(N9499&lt;=30, "Met", "Breached"))</f>
        <v/>
      </c>
      <c r="P9499" s="8" t="n"/>
      <c r="Q9499" s="8" t="n"/>
      <c r="R9499" s="8" t="n"/>
      <c r="S9499" s="8" t="n"/>
      <c r="T9499" s="8" t="n"/>
      <c r="U9499" s="8" t="n"/>
      <c r="V9499" s="8" t="n"/>
      <c r="W9499" s="8" t="n"/>
      <c r="X9499" s="8" t="n"/>
      <c r="Y9499" s="8" t="n"/>
    </row>
    <row r="9500">
      <c r="A9500" s="8" t="n"/>
      <c r="B9500" s="8" t="n"/>
      <c r="C9500" s="8" t="n"/>
      <c r="D9500" s="8" t="n"/>
      <c r="E9500" s="8" t="n"/>
      <c r="F9500" s="8" t="n"/>
      <c r="G9500" s="8" t="n"/>
      <c r="H9500" s="8" t="n"/>
      <c r="I9500" s="8" t="n"/>
      <c r="J9500" s="8" t="n"/>
      <c r="K9500" s="8" t="n"/>
      <c r="L9500" s="8" t="n"/>
      <c r="M9500" s="9">
        <f>B9500+30</f>
        <v/>
      </c>
      <c r="N9500">
        <f>IF(L9500="", "", L9500-B9500)</f>
        <v/>
      </c>
      <c r="O9500">
        <f>IF(L9500="", "Pending", IF(N9500&lt;=30, "Met", "Breached"))</f>
        <v/>
      </c>
      <c r="P9500" s="8" t="n"/>
      <c r="Q9500" s="8" t="n"/>
      <c r="R9500" s="8" t="n"/>
      <c r="S9500" s="8" t="n"/>
      <c r="T9500" s="8" t="n"/>
      <c r="U9500" s="8" t="n"/>
      <c r="V9500" s="8" t="n"/>
      <c r="W9500" s="8" t="n"/>
      <c r="X9500" s="8" t="n"/>
      <c r="Y9500" s="8" t="n"/>
    </row>
    <row r="9501">
      <c r="A9501" s="8" t="n"/>
      <c r="B9501" s="8" t="n"/>
      <c r="C9501" s="8" t="n"/>
      <c r="D9501" s="8" t="n"/>
      <c r="E9501" s="8" t="n"/>
      <c r="F9501" s="8" t="n"/>
      <c r="G9501" s="8" t="n"/>
      <c r="H9501" s="8" t="n"/>
      <c r="I9501" s="8" t="n"/>
      <c r="J9501" s="8" t="n"/>
      <c r="K9501" s="8" t="n"/>
      <c r="L9501" s="8" t="n"/>
      <c r="M9501" s="9">
        <f>B9501+30</f>
        <v/>
      </c>
      <c r="N9501">
        <f>IF(L9501="", "", L9501-B9501)</f>
        <v/>
      </c>
      <c r="O9501">
        <f>IF(L9501="", "Pending", IF(N9501&lt;=30, "Met", "Breached"))</f>
        <v/>
      </c>
      <c r="P9501" s="8" t="n"/>
      <c r="Q9501" s="8" t="n"/>
      <c r="R9501" s="8" t="n"/>
      <c r="S9501" s="8" t="n"/>
      <c r="T9501" s="8" t="n"/>
      <c r="U9501" s="8" t="n"/>
      <c r="V9501" s="8" t="n"/>
      <c r="W9501" s="8" t="n"/>
      <c r="X9501" s="8" t="n"/>
      <c r="Y9501" s="8" t="n"/>
    </row>
    <row r="9502">
      <c r="A9502" s="8" t="n"/>
      <c r="B9502" s="8" t="n"/>
      <c r="C9502" s="8" t="n"/>
      <c r="D9502" s="8" t="n"/>
      <c r="E9502" s="8" t="n"/>
      <c r="F9502" s="8" t="n"/>
      <c r="G9502" s="8" t="n"/>
      <c r="H9502" s="8" t="n"/>
      <c r="I9502" s="8" t="n"/>
      <c r="J9502" s="8" t="n"/>
      <c r="K9502" s="8" t="n"/>
      <c r="L9502" s="8" t="n"/>
      <c r="M9502" s="9">
        <f>B9502+30</f>
        <v/>
      </c>
      <c r="N9502">
        <f>IF(L9502="", "", L9502-B9502)</f>
        <v/>
      </c>
      <c r="O9502">
        <f>IF(L9502="", "Pending", IF(N9502&lt;=30, "Met", "Breached"))</f>
        <v/>
      </c>
      <c r="P9502" s="8" t="n"/>
      <c r="Q9502" s="8" t="n"/>
      <c r="R9502" s="8" t="n"/>
      <c r="S9502" s="8" t="n"/>
      <c r="T9502" s="8" t="n"/>
      <c r="U9502" s="8" t="n"/>
      <c r="V9502" s="8" t="n"/>
      <c r="W9502" s="8" t="n"/>
      <c r="X9502" s="8" t="n"/>
      <c r="Y9502" s="8" t="n"/>
    </row>
    <row r="9503">
      <c r="A9503" s="8" t="n"/>
      <c r="B9503" s="8" t="n"/>
      <c r="C9503" s="8" t="n"/>
      <c r="D9503" s="8" t="n"/>
      <c r="E9503" s="8" t="n"/>
      <c r="F9503" s="8" t="n"/>
      <c r="G9503" s="8" t="n"/>
      <c r="H9503" s="8" t="n"/>
      <c r="I9503" s="8" t="n"/>
      <c r="J9503" s="8" t="n"/>
      <c r="K9503" s="8" t="n"/>
      <c r="L9503" s="8" t="n"/>
      <c r="M9503" s="9">
        <f>B9503+30</f>
        <v/>
      </c>
      <c r="N9503">
        <f>IF(L9503="", "", L9503-B9503)</f>
        <v/>
      </c>
      <c r="O9503">
        <f>IF(L9503="", "Pending", IF(N9503&lt;=30, "Met", "Breached"))</f>
        <v/>
      </c>
      <c r="P9503" s="8" t="n"/>
      <c r="Q9503" s="8" t="n"/>
      <c r="R9503" s="8" t="n"/>
      <c r="S9503" s="8" t="n"/>
      <c r="T9503" s="8" t="n"/>
      <c r="U9503" s="8" t="n"/>
      <c r="V9503" s="8" t="n"/>
      <c r="W9503" s="8" t="n"/>
      <c r="X9503" s="8" t="n"/>
      <c r="Y9503" s="8" t="n"/>
    </row>
    <row r="9504">
      <c r="A9504" s="8" t="n"/>
      <c r="B9504" s="8" t="n"/>
      <c r="C9504" s="8" t="n"/>
      <c r="D9504" s="8" t="n"/>
      <c r="E9504" s="8" t="n"/>
      <c r="F9504" s="8" t="n"/>
      <c r="G9504" s="8" t="n"/>
      <c r="H9504" s="8" t="n"/>
      <c r="I9504" s="8" t="n"/>
      <c r="J9504" s="8" t="n"/>
      <c r="K9504" s="8" t="n"/>
      <c r="L9504" s="8" t="n"/>
      <c r="M9504" s="9">
        <f>B9504+30</f>
        <v/>
      </c>
      <c r="N9504">
        <f>IF(L9504="", "", L9504-B9504)</f>
        <v/>
      </c>
      <c r="O9504">
        <f>IF(L9504="", "Pending", IF(N9504&lt;=30, "Met", "Breached"))</f>
        <v/>
      </c>
      <c r="P9504" s="8" t="n"/>
      <c r="Q9504" s="8" t="n"/>
      <c r="R9504" s="8" t="n"/>
      <c r="S9504" s="8" t="n"/>
      <c r="T9504" s="8" t="n"/>
      <c r="U9504" s="8" t="n"/>
      <c r="V9504" s="8" t="n"/>
      <c r="W9504" s="8" t="n"/>
      <c r="X9504" s="8" t="n"/>
      <c r="Y9504" s="8" t="n"/>
    </row>
    <row r="9505">
      <c r="A9505" s="8" t="n"/>
      <c r="B9505" s="8" t="n"/>
      <c r="C9505" s="8" t="n"/>
      <c r="D9505" s="8" t="n"/>
      <c r="E9505" s="8" t="n"/>
      <c r="F9505" s="8" t="n"/>
      <c r="G9505" s="8" t="n"/>
      <c r="H9505" s="8" t="n"/>
      <c r="I9505" s="8" t="n"/>
      <c r="J9505" s="8" t="n"/>
      <c r="K9505" s="8" t="n"/>
      <c r="L9505" s="8" t="n"/>
      <c r="M9505" s="9">
        <f>B9505+30</f>
        <v/>
      </c>
      <c r="N9505">
        <f>IF(L9505="", "", L9505-B9505)</f>
        <v/>
      </c>
      <c r="O9505">
        <f>IF(L9505="", "Pending", IF(N9505&lt;=30, "Met", "Breached"))</f>
        <v/>
      </c>
      <c r="P9505" s="8" t="n"/>
      <c r="Q9505" s="8" t="n"/>
      <c r="R9505" s="8" t="n"/>
      <c r="S9505" s="8" t="n"/>
      <c r="T9505" s="8" t="n"/>
      <c r="U9505" s="8" t="n"/>
      <c r="V9505" s="8" t="n"/>
      <c r="W9505" s="8" t="n"/>
      <c r="X9505" s="8" t="n"/>
      <c r="Y9505" s="8" t="n"/>
    </row>
    <row r="9506">
      <c r="A9506" s="8" t="n"/>
      <c r="B9506" s="8" t="n"/>
      <c r="C9506" s="8" t="n"/>
      <c r="D9506" s="8" t="n"/>
      <c r="E9506" s="8" t="n"/>
      <c r="F9506" s="8" t="n"/>
      <c r="G9506" s="8" t="n"/>
      <c r="H9506" s="8" t="n"/>
      <c r="I9506" s="8" t="n"/>
      <c r="J9506" s="8" t="n"/>
      <c r="K9506" s="8" t="n"/>
      <c r="L9506" s="8" t="n"/>
      <c r="M9506" s="9">
        <f>B9506+30</f>
        <v/>
      </c>
      <c r="N9506">
        <f>IF(L9506="", "", L9506-B9506)</f>
        <v/>
      </c>
      <c r="O9506">
        <f>IF(L9506="", "Pending", IF(N9506&lt;=30, "Met", "Breached"))</f>
        <v/>
      </c>
      <c r="P9506" s="8" t="n"/>
      <c r="Q9506" s="8" t="n"/>
      <c r="R9506" s="8" t="n"/>
      <c r="S9506" s="8" t="n"/>
      <c r="T9506" s="8" t="n"/>
      <c r="U9506" s="8" t="n"/>
      <c r="V9506" s="8" t="n"/>
      <c r="W9506" s="8" t="n"/>
      <c r="X9506" s="8" t="n"/>
      <c r="Y9506" s="8" t="n"/>
    </row>
    <row r="9507">
      <c r="A9507" s="8" t="n"/>
      <c r="B9507" s="8" t="n"/>
      <c r="C9507" s="8" t="n"/>
      <c r="D9507" s="8" t="n"/>
      <c r="E9507" s="8" t="n"/>
      <c r="F9507" s="8" t="n"/>
      <c r="G9507" s="8" t="n"/>
      <c r="H9507" s="8" t="n"/>
      <c r="I9507" s="8" t="n"/>
      <c r="J9507" s="8" t="n"/>
      <c r="K9507" s="8" t="n"/>
      <c r="L9507" s="8" t="n"/>
      <c r="M9507" s="9">
        <f>B9507+30</f>
        <v/>
      </c>
      <c r="N9507">
        <f>IF(L9507="", "", L9507-B9507)</f>
        <v/>
      </c>
      <c r="O9507">
        <f>IF(L9507="", "Pending", IF(N9507&lt;=30, "Met", "Breached"))</f>
        <v/>
      </c>
      <c r="P9507" s="8" t="n"/>
      <c r="Q9507" s="8" t="n"/>
      <c r="R9507" s="8" t="n"/>
      <c r="S9507" s="8" t="n"/>
      <c r="T9507" s="8" t="n"/>
      <c r="U9507" s="8" t="n"/>
      <c r="V9507" s="8" t="n"/>
      <c r="W9507" s="8" t="n"/>
      <c r="X9507" s="8" t="n"/>
      <c r="Y9507" s="8" t="n"/>
    </row>
    <row r="9508">
      <c r="A9508" s="8" t="n"/>
      <c r="B9508" s="8" t="n"/>
      <c r="C9508" s="8" t="n"/>
      <c r="D9508" s="8" t="n"/>
      <c r="E9508" s="8" t="n"/>
      <c r="F9508" s="8" t="n"/>
      <c r="G9508" s="8" t="n"/>
      <c r="H9508" s="8" t="n"/>
      <c r="I9508" s="8" t="n"/>
      <c r="J9508" s="8" t="n"/>
      <c r="K9508" s="8" t="n"/>
      <c r="L9508" s="8" t="n"/>
      <c r="M9508" s="9">
        <f>B9508+30</f>
        <v/>
      </c>
      <c r="N9508">
        <f>IF(L9508="", "", L9508-B9508)</f>
        <v/>
      </c>
      <c r="O9508">
        <f>IF(L9508="", "Pending", IF(N9508&lt;=30, "Met", "Breached"))</f>
        <v/>
      </c>
      <c r="P9508" s="8" t="n"/>
      <c r="Q9508" s="8" t="n"/>
      <c r="R9508" s="8" t="n"/>
      <c r="S9508" s="8" t="n"/>
      <c r="T9508" s="8" t="n"/>
      <c r="U9508" s="8" t="n"/>
      <c r="V9508" s="8" t="n"/>
      <c r="W9508" s="8" t="n"/>
      <c r="X9508" s="8" t="n"/>
      <c r="Y9508" s="8" t="n"/>
    </row>
    <row r="9509">
      <c r="A9509" s="8" t="n"/>
      <c r="B9509" s="8" t="n"/>
      <c r="C9509" s="8" t="n"/>
      <c r="D9509" s="8" t="n"/>
      <c r="E9509" s="8" t="n"/>
      <c r="F9509" s="8" t="n"/>
      <c r="G9509" s="8" t="n"/>
      <c r="H9509" s="8" t="n"/>
      <c r="I9509" s="8" t="n"/>
      <c r="J9509" s="8" t="n"/>
      <c r="K9509" s="8" t="n"/>
      <c r="L9509" s="8" t="n"/>
      <c r="M9509" s="9">
        <f>B9509+30</f>
        <v/>
      </c>
      <c r="N9509">
        <f>IF(L9509="", "", L9509-B9509)</f>
        <v/>
      </c>
      <c r="O9509">
        <f>IF(L9509="", "Pending", IF(N9509&lt;=30, "Met", "Breached"))</f>
        <v/>
      </c>
      <c r="P9509" s="8" t="n"/>
      <c r="Q9509" s="8" t="n"/>
      <c r="R9509" s="8" t="n"/>
      <c r="S9509" s="8" t="n"/>
      <c r="T9509" s="8" t="n"/>
      <c r="U9509" s="8" t="n"/>
      <c r="V9509" s="8" t="n"/>
      <c r="W9509" s="8" t="n"/>
      <c r="X9509" s="8" t="n"/>
      <c r="Y9509" s="8" t="n"/>
    </row>
    <row r="9510">
      <c r="A9510" s="8" t="n"/>
      <c r="B9510" s="8" t="n"/>
      <c r="C9510" s="8" t="n"/>
      <c r="D9510" s="8" t="n"/>
      <c r="E9510" s="8" t="n"/>
      <c r="F9510" s="8" t="n"/>
      <c r="G9510" s="8" t="n"/>
      <c r="H9510" s="8" t="n"/>
      <c r="I9510" s="8" t="n"/>
      <c r="J9510" s="8" t="n"/>
      <c r="K9510" s="8" t="n"/>
      <c r="L9510" s="8" t="n"/>
      <c r="M9510" s="9">
        <f>B9510+30</f>
        <v/>
      </c>
      <c r="N9510">
        <f>IF(L9510="", "", L9510-B9510)</f>
        <v/>
      </c>
      <c r="O9510">
        <f>IF(L9510="", "Pending", IF(N9510&lt;=30, "Met", "Breached"))</f>
        <v/>
      </c>
      <c r="P9510" s="8" t="n"/>
      <c r="Q9510" s="8" t="n"/>
      <c r="R9510" s="8" t="n"/>
      <c r="S9510" s="8" t="n"/>
      <c r="T9510" s="8" t="n"/>
      <c r="U9510" s="8" t="n"/>
      <c r="V9510" s="8" t="n"/>
      <c r="W9510" s="8" t="n"/>
      <c r="X9510" s="8" t="n"/>
      <c r="Y9510" s="8" t="n"/>
    </row>
    <row r="9511">
      <c r="A9511" s="8" t="n"/>
      <c r="B9511" s="8" t="n"/>
      <c r="C9511" s="8" t="n"/>
      <c r="D9511" s="8" t="n"/>
      <c r="E9511" s="8" t="n"/>
      <c r="F9511" s="8" t="n"/>
      <c r="G9511" s="8" t="n"/>
      <c r="H9511" s="8" t="n"/>
      <c r="I9511" s="8" t="n"/>
      <c r="J9511" s="8" t="n"/>
      <c r="K9511" s="8" t="n"/>
      <c r="L9511" s="8" t="n"/>
      <c r="M9511" s="9">
        <f>B9511+30</f>
        <v/>
      </c>
      <c r="N9511">
        <f>IF(L9511="", "", L9511-B9511)</f>
        <v/>
      </c>
      <c r="O9511">
        <f>IF(L9511="", "Pending", IF(N9511&lt;=30, "Met", "Breached"))</f>
        <v/>
      </c>
      <c r="P9511" s="8" t="n"/>
      <c r="Q9511" s="8" t="n"/>
      <c r="R9511" s="8" t="n"/>
      <c r="S9511" s="8" t="n"/>
      <c r="T9511" s="8" t="n"/>
      <c r="U9511" s="8" t="n"/>
      <c r="V9511" s="8" t="n"/>
      <c r="W9511" s="8" t="n"/>
      <c r="X9511" s="8" t="n"/>
      <c r="Y9511" s="8" t="n"/>
    </row>
    <row r="9512">
      <c r="A9512" s="8" t="n"/>
      <c r="B9512" s="8" t="n"/>
      <c r="C9512" s="8" t="n"/>
      <c r="D9512" s="8" t="n"/>
      <c r="E9512" s="8" t="n"/>
      <c r="F9512" s="8" t="n"/>
      <c r="G9512" s="8" t="n"/>
      <c r="H9512" s="8" t="n"/>
      <c r="I9512" s="8" t="n"/>
      <c r="J9512" s="8" t="n"/>
      <c r="K9512" s="8" t="n"/>
      <c r="L9512" s="8" t="n"/>
      <c r="M9512" s="9">
        <f>B9512+30</f>
        <v/>
      </c>
      <c r="N9512">
        <f>IF(L9512="", "", L9512-B9512)</f>
        <v/>
      </c>
      <c r="O9512">
        <f>IF(L9512="", "Pending", IF(N9512&lt;=30, "Met", "Breached"))</f>
        <v/>
      </c>
      <c r="P9512" s="8" t="n"/>
      <c r="Q9512" s="8" t="n"/>
      <c r="R9512" s="8" t="n"/>
      <c r="S9512" s="8" t="n"/>
      <c r="T9512" s="8" t="n"/>
      <c r="U9512" s="8" t="n"/>
      <c r="V9512" s="8" t="n"/>
      <c r="W9512" s="8" t="n"/>
      <c r="X9512" s="8" t="n"/>
      <c r="Y9512" s="8" t="n"/>
    </row>
    <row r="9513">
      <c r="A9513" s="8" t="n"/>
      <c r="B9513" s="8" t="n"/>
      <c r="C9513" s="8" t="n"/>
      <c r="D9513" s="8" t="n"/>
      <c r="E9513" s="8" t="n"/>
      <c r="F9513" s="8" t="n"/>
      <c r="G9513" s="8" t="n"/>
      <c r="H9513" s="8" t="n"/>
      <c r="I9513" s="8" t="n"/>
      <c r="J9513" s="8" t="n"/>
      <c r="K9513" s="8" t="n"/>
      <c r="L9513" s="8" t="n"/>
      <c r="M9513" s="9">
        <f>B9513+30</f>
        <v/>
      </c>
      <c r="N9513">
        <f>IF(L9513="", "", L9513-B9513)</f>
        <v/>
      </c>
      <c r="O9513">
        <f>IF(L9513="", "Pending", IF(N9513&lt;=30, "Met", "Breached"))</f>
        <v/>
      </c>
      <c r="P9513" s="8" t="n"/>
      <c r="Q9513" s="8" t="n"/>
      <c r="R9513" s="8" t="n"/>
      <c r="S9513" s="8" t="n"/>
      <c r="T9513" s="8" t="n"/>
      <c r="U9513" s="8" t="n"/>
      <c r="V9513" s="8" t="n"/>
      <c r="W9513" s="8" t="n"/>
      <c r="X9513" s="8" t="n"/>
      <c r="Y9513" s="8" t="n"/>
    </row>
    <row r="9514">
      <c r="A9514" s="8" t="n"/>
      <c r="B9514" s="8" t="n"/>
      <c r="C9514" s="8" t="n"/>
      <c r="D9514" s="8" t="n"/>
      <c r="E9514" s="8" t="n"/>
      <c r="F9514" s="8" t="n"/>
      <c r="G9514" s="8" t="n"/>
      <c r="H9514" s="8" t="n"/>
      <c r="I9514" s="8" t="n"/>
      <c r="J9514" s="8" t="n"/>
      <c r="K9514" s="8" t="n"/>
      <c r="L9514" s="8" t="n"/>
      <c r="M9514" s="9">
        <f>B9514+30</f>
        <v/>
      </c>
      <c r="N9514">
        <f>IF(L9514="", "", L9514-B9514)</f>
        <v/>
      </c>
      <c r="O9514">
        <f>IF(L9514="", "Pending", IF(N9514&lt;=30, "Met", "Breached"))</f>
        <v/>
      </c>
      <c r="P9514" s="8" t="n"/>
      <c r="Q9514" s="8" t="n"/>
      <c r="R9514" s="8" t="n"/>
      <c r="S9514" s="8" t="n"/>
      <c r="T9514" s="8" t="n"/>
      <c r="U9514" s="8" t="n"/>
      <c r="V9514" s="8" t="n"/>
      <c r="W9514" s="8" t="n"/>
      <c r="X9514" s="8" t="n"/>
      <c r="Y9514" s="8" t="n"/>
    </row>
    <row r="9515">
      <c r="A9515" s="8" t="n"/>
      <c r="B9515" s="8" t="n"/>
      <c r="C9515" s="8" t="n"/>
      <c r="D9515" s="8" t="n"/>
      <c r="E9515" s="8" t="n"/>
      <c r="F9515" s="8" t="n"/>
      <c r="G9515" s="8" t="n"/>
      <c r="H9515" s="8" t="n"/>
      <c r="I9515" s="8" t="n"/>
      <c r="J9515" s="8" t="n"/>
      <c r="K9515" s="8" t="n"/>
      <c r="L9515" s="8" t="n"/>
      <c r="M9515" s="9">
        <f>B9515+30</f>
        <v/>
      </c>
      <c r="N9515">
        <f>IF(L9515="", "", L9515-B9515)</f>
        <v/>
      </c>
      <c r="O9515">
        <f>IF(L9515="", "Pending", IF(N9515&lt;=30, "Met", "Breached"))</f>
        <v/>
      </c>
      <c r="P9515" s="8" t="n"/>
      <c r="Q9515" s="8" t="n"/>
      <c r="R9515" s="8" t="n"/>
      <c r="S9515" s="8" t="n"/>
      <c r="T9515" s="8" t="n"/>
      <c r="U9515" s="8" t="n"/>
      <c r="V9515" s="8" t="n"/>
      <c r="W9515" s="8" t="n"/>
      <c r="X9515" s="8" t="n"/>
      <c r="Y9515" s="8" t="n"/>
    </row>
    <row r="9516">
      <c r="A9516" s="8" t="n"/>
      <c r="B9516" s="8" t="n"/>
      <c r="C9516" s="8" t="n"/>
      <c r="D9516" s="8" t="n"/>
      <c r="E9516" s="8" t="n"/>
      <c r="F9516" s="8" t="n"/>
      <c r="G9516" s="8" t="n"/>
      <c r="H9516" s="8" t="n"/>
      <c r="I9516" s="8" t="n"/>
      <c r="J9516" s="8" t="n"/>
      <c r="K9516" s="8" t="n"/>
      <c r="L9516" s="8" t="n"/>
      <c r="M9516" s="9">
        <f>B9516+30</f>
        <v/>
      </c>
      <c r="N9516">
        <f>IF(L9516="", "", L9516-B9516)</f>
        <v/>
      </c>
      <c r="O9516">
        <f>IF(L9516="", "Pending", IF(N9516&lt;=30, "Met", "Breached"))</f>
        <v/>
      </c>
      <c r="P9516" s="8" t="n"/>
      <c r="Q9516" s="8" t="n"/>
      <c r="R9516" s="8" t="n"/>
      <c r="S9516" s="8" t="n"/>
      <c r="T9516" s="8" t="n"/>
      <c r="U9516" s="8" t="n"/>
      <c r="V9516" s="8" t="n"/>
      <c r="W9516" s="8" t="n"/>
      <c r="X9516" s="8" t="n"/>
      <c r="Y9516" s="8" t="n"/>
    </row>
    <row r="9517">
      <c r="A9517" s="8" t="n"/>
      <c r="B9517" s="8" t="n"/>
      <c r="C9517" s="8" t="n"/>
      <c r="D9517" s="8" t="n"/>
      <c r="E9517" s="8" t="n"/>
      <c r="F9517" s="8" t="n"/>
      <c r="G9517" s="8" t="n"/>
      <c r="H9517" s="8" t="n"/>
      <c r="I9517" s="8" t="n"/>
      <c r="J9517" s="8" t="n"/>
      <c r="K9517" s="8" t="n"/>
      <c r="L9517" s="8" t="n"/>
      <c r="M9517" s="9">
        <f>B9517+30</f>
        <v/>
      </c>
      <c r="N9517">
        <f>IF(L9517="", "", L9517-B9517)</f>
        <v/>
      </c>
      <c r="O9517">
        <f>IF(L9517="", "Pending", IF(N9517&lt;=30, "Met", "Breached"))</f>
        <v/>
      </c>
      <c r="P9517" s="8" t="n"/>
      <c r="Q9517" s="8" t="n"/>
      <c r="R9517" s="8" t="n"/>
      <c r="S9517" s="8" t="n"/>
      <c r="T9517" s="8" t="n"/>
      <c r="U9517" s="8" t="n"/>
      <c r="V9517" s="8" t="n"/>
      <c r="W9517" s="8" t="n"/>
      <c r="X9517" s="8" t="n"/>
      <c r="Y9517" s="8" t="n"/>
    </row>
    <row r="9518">
      <c r="A9518" s="8" t="n"/>
      <c r="B9518" s="8" t="n"/>
      <c r="C9518" s="8" t="n"/>
      <c r="D9518" s="8" t="n"/>
      <c r="E9518" s="8" t="n"/>
      <c r="F9518" s="8" t="n"/>
      <c r="G9518" s="8" t="n"/>
      <c r="H9518" s="8" t="n"/>
      <c r="I9518" s="8" t="n"/>
      <c r="J9518" s="8" t="n"/>
      <c r="K9518" s="8" t="n"/>
      <c r="L9518" s="8" t="n"/>
      <c r="M9518" s="9">
        <f>B9518+30</f>
        <v/>
      </c>
      <c r="N9518">
        <f>IF(L9518="", "", L9518-B9518)</f>
        <v/>
      </c>
      <c r="O9518">
        <f>IF(L9518="", "Pending", IF(N9518&lt;=30, "Met", "Breached"))</f>
        <v/>
      </c>
      <c r="P9518" s="8" t="n"/>
      <c r="Q9518" s="8" t="n"/>
      <c r="R9518" s="8" t="n"/>
      <c r="S9518" s="8" t="n"/>
      <c r="T9518" s="8" t="n"/>
      <c r="U9518" s="8" t="n"/>
      <c r="V9518" s="8" t="n"/>
      <c r="W9518" s="8" t="n"/>
      <c r="X9518" s="8" t="n"/>
      <c r="Y9518" s="8" t="n"/>
    </row>
    <row r="9519">
      <c r="A9519" s="8" t="n"/>
      <c r="B9519" s="8" t="n"/>
      <c r="C9519" s="8" t="n"/>
      <c r="D9519" s="8" t="n"/>
      <c r="E9519" s="8" t="n"/>
      <c r="F9519" s="8" t="n"/>
      <c r="G9519" s="8" t="n"/>
      <c r="H9519" s="8" t="n"/>
      <c r="I9519" s="8" t="n"/>
      <c r="J9519" s="8" t="n"/>
      <c r="K9519" s="8" t="n"/>
      <c r="L9519" s="8" t="n"/>
      <c r="M9519" s="9">
        <f>B9519+30</f>
        <v/>
      </c>
      <c r="N9519">
        <f>IF(L9519="", "", L9519-B9519)</f>
        <v/>
      </c>
      <c r="O9519">
        <f>IF(L9519="", "Pending", IF(N9519&lt;=30, "Met", "Breached"))</f>
        <v/>
      </c>
      <c r="P9519" s="8" t="n"/>
      <c r="Q9519" s="8" t="n"/>
      <c r="R9519" s="8" t="n"/>
      <c r="S9519" s="8" t="n"/>
      <c r="T9519" s="8" t="n"/>
      <c r="U9519" s="8" t="n"/>
      <c r="V9519" s="8" t="n"/>
      <c r="W9519" s="8" t="n"/>
      <c r="X9519" s="8" t="n"/>
      <c r="Y9519" s="8" t="n"/>
    </row>
    <row r="9520">
      <c r="A9520" s="8" t="n"/>
      <c r="B9520" s="8" t="n"/>
      <c r="C9520" s="8" t="n"/>
      <c r="D9520" s="8" t="n"/>
      <c r="E9520" s="8" t="n"/>
      <c r="F9520" s="8" t="n"/>
      <c r="G9520" s="8" t="n"/>
      <c r="H9520" s="8" t="n"/>
      <c r="I9520" s="8" t="n"/>
      <c r="J9520" s="8" t="n"/>
      <c r="K9520" s="8" t="n"/>
      <c r="L9520" s="8" t="n"/>
      <c r="M9520" s="9">
        <f>B9520+30</f>
        <v/>
      </c>
      <c r="N9520">
        <f>IF(L9520="", "", L9520-B9520)</f>
        <v/>
      </c>
      <c r="O9520">
        <f>IF(L9520="", "Pending", IF(N9520&lt;=30, "Met", "Breached"))</f>
        <v/>
      </c>
      <c r="P9520" s="8" t="n"/>
      <c r="Q9520" s="8" t="n"/>
      <c r="R9520" s="8" t="n"/>
      <c r="S9520" s="8" t="n"/>
      <c r="T9520" s="8" t="n"/>
      <c r="U9520" s="8" t="n"/>
      <c r="V9520" s="8" t="n"/>
      <c r="W9520" s="8" t="n"/>
      <c r="X9520" s="8" t="n"/>
      <c r="Y9520" s="8" t="n"/>
    </row>
    <row r="9521">
      <c r="A9521" s="8" t="n"/>
      <c r="B9521" s="8" t="n"/>
      <c r="C9521" s="8" t="n"/>
      <c r="D9521" s="8" t="n"/>
      <c r="E9521" s="8" t="n"/>
      <c r="F9521" s="8" t="n"/>
      <c r="G9521" s="8" t="n"/>
      <c r="H9521" s="8" t="n"/>
      <c r="I9521" s="8" t="n"/>
      <c r="J9521" s="8" t="n"/>
      <c r="K9521" s="8" t="n"/>
      <c r="L9521" s="8" t="n"/>
      <c r="M9521" s="9">
        <f>B9521+30</f>
        <v/>
      </c>
      <c r="N9521">
        <f>IF(L9521="", "", L9521-B9521)</f>
        <v/>
      </c>
      <c r="O9521">
        <f>IF(L9521="", "Pending", IF(N9521&lt;=30, "Met", "Breached"))</f>
        <v/>
      </c>
      <c r="P9521" s="8" t="n"/>
      <c r="Q9521" s="8" t="n"/>
      <c r="R9521" s="8" t="n"/>
      <c r="S9521" s="8" t="n"/>
      <c r="T9521" s="8" t="n"/>
      <c r="U9521" s="8" t="n"/>
      <c r="V9521" s="8" t="n"/>
      <c r="W9521" s="8" t="n"/>
      <c r="X9521" s="8" t="n"/>
      <c r="Y9521" s="8" t="n"/>
    </row>
    <row r="9522">
      <c r="A9522" s="8" t="n"/>
      <c r="B9522" s="8" t="n"/>
      <c r="C9522" s="8" t="n"/>
      <c r="D9522" s="8" t="n"/>
      <c r="E9522" s="8" t="n"/>
      <c r="F9522" s="8" t="n"/>
      <c r="G9522" s="8" t="n"/>
      <c r="H9522" s="8" t="n"/>
      <c r="I9522" s="8" t="n"/>
      <c r="J9522" s="8" t="n"/>
      <c r="K9522" s="8" t="n"/>
      <c r="L9522" s="8" t="n"/>
      <c r="M9522" s="9">
        <f>B9522+30</f>
        <v/>
      </c>
      <c r="N9522">
        <f>IF(L9522="", "", L9522-B9522)</f>
        <v/>
      </c>
      <c r="O9522">
        <f>IF(L9522="", "Pending", IF(N9522&lt;=30, "Met", "Breached"))</f>
        <v/>
      </c>
      <c r="P9522" s="8" t="n"/>
      <c r="Q9522" s="8" t="n"/>
      <c r="R9522" s="8" t="n"/>
      <c r="S9522" s="8" t="n"/>
      <c r="T9522" s="8" t="n"/>
      <c r="U9522" s="8" t="n"/>
      <c r="V9522" s="8" t="n"/>
      <c r="W9522" s="8" t="n"/>
      <c r="X9522" s="8" t="n"/>
      <c r="Y9522" s="8" t="n"/>
    </row>
    <row r="9523">
      <c r="A9523" s="8" t="n"/>
      <c r="B9523" s="8" t="n"/>
      <c r="C9523" s="8" t="n"/>
      <c r="D9523" s="8" t="n"/>
      <c r="E9523" s="8" t="n"/>
      <c r="F9523" s="8" t="n"/>
      <c r="G9523" s="8" t="n"/>
      <c r="H9523" s="8" t="n"/>
      <c r="I9523" s="8" t="n"/>
      <c r="J9523" s="8" t="n"/>
      <c r="K9523" s="8" t="n"/>
      <c r="L9523" s="8" t="n"/>
      <c r="M9523" s="9">
        <f>B9523+30</f>
        <v/>
      </c>
      <c r="N9523">
        <f>IF(L9523="", "", L9523-B9523)</f>
        <v/>
      </c>
      <c r="O9523">
        <f>IF(L9523="", "Pending", IF(N9523&lt;=30, "Met", "Breached"))</f>
        <v/>
      </c>
      <c r="P9523" s="8" t="n"/>
      <c r="Q9523" s="8" t="n"/>
      <c r="R9523" s="8" t="n"/>
      <c r="S9523" s="8" t="n"/>
      <c r="T9523" s="8" t="n"/>
      <c r="U9523" s="8" t="n"/>
      <c r="V9523" s="8" t="n"/>
      <c r="W9523" s="8" t="n"/>
      <c r="X9523" s="8" t="n"/>
      <c r="Y9523" s="8" t="n"/>
    </row>
    <row r="9524">
      <c r="A9524" s="8" t="n"/>
      <c r="B9524" s="8" t="n"/>
      <c r="C9524" s="8" t="n"/>
      <c r="D9524" s="8" t="n"/>
      <c r="E9524" s="8" t="n"/>
      <c r="F9524" s="8" t="n"/>
      <c r="G9524" s="8" t="n"/>
      <c r="H9524" s="8" t="n"/>
      <c r="I9524" s="8" t="n"/>
      <c r="J9524" s="8" t="n"/>
      <c r="K9524" s="8" t="n"/>
      <c r="L9524" s="8" t="n"/>
      <c r="M9524" s="9">
        <f>B9524+30</f>
        <v/>
      </c>
      <c r="N9524">
        <f>IF(L9524="", "", L9524-B9524)</f>
        <v/>
      </c>
      <c r="O9524">
        <f>IF(L9524="", "Pending", IF(N9524&lt;=30, "Met", "Breached"))</f>
        <v/>
      </c>
      <c r="P9524" s="8" t="n"/>
      <c r="Q9524" s="8" t="n"/>
      <c r="R9524" s="8" t="n"/>
      <c r="S9524" s="8" t="n"/>
      <c r="T9524" s="8" t="n"/>
      <c r="U9524" s="8" t="n"/>
      <c r="V9524" s="8" t="n"/>
      <c r="W9524" s="8" t="n"/>
      <c r="X9524" s="8" t="n"/>
      <c r="Y9524" s="8" t="n"/>
    </row>
    <row r="9525">
      <c r="A9525" s="8" t="n"/>
      <c r="B9525" s="8" t="n"/>
      <c r="C9525" s="8" t="n"/>
      <c r="D9525" s="8" t="n"/>
      <c r="E9525" s="8" t="n"/>
      <c r="F9525" s="8" t="n"/>
      <c r="G9525" s="8" t="n"/>
      <c r="H9525" s="8" t="n"/>
      <c r="I9525" s="8" t="n"/>
      <c r="J9525" s="8" t="n"/>
      <c r="K9525" s="8" t="n"/>
      <c r="L9525" s="8" t="n"/>
      <c r="M9525" s="9">
        <f>B9525+30</f>
        <v/>
      </c>
      <c r="N9525">
        <f>IF(L9525="", "", L9525-B9525)</f>
        <v/>
      </c>
      <c r="O9525">
        <f>IF(L9525="", "Pending", IF(N9525&lt;=30, "Met", "Breached"))</f>
        <v/>
      </c>
      <c r="P9525" s="8" t="n"/>
      <c r="Q9525" s="8" t="n"/>
      <c r="R9525" s="8" t="n"/>
      <c r="S9525" s="8" t="n"/>
      <c r="T9525" s="8" t="n"/>
      <c r="U9525" s="8" t="n"/>
      <c r="V9525" s="8" t="n"/>
      <c r="W9525" s="8" t="n"/>
      <c r="X9525" s="8" t="n"/>
      <c r="Y9525" s="8" t="n"/>
    </row>
    <row r="9526">
      <c r="A9526" s="8" t="n"/>
      <c r="B9526" s="8" t="n"/>
      <c r="C9526" s="8" t="n"/>
      <c r="D9526" s="8" t="n"/>
      <c r="E9526" s="8" t="n"/>
      <c r="F9526" s="8" t="n"/>
      <c r="G9526" s="8" t="n"/>
      <c r="H9526" s="8" t="n"/>
      <c r="I9526" s="8" t="n"/>
      <c r="J9526" s="8" t="n"/>
      <c r="K9526" s="8" t="n"/>
      <c r="L9526" s="8" t="n"/>
      <c r="M9526" s="9">
        <f>B9526+30</f>
        <v/>
      </c>
      <c r="N9526">
        <f>IF(L9526="", "", L9526-B9526)</f>
        <v/>
      </c>
      <c r="O9526">
        <f>IF(L9526="", "Pending", IF(N9526&lt;=30, "Met", "Breached"))</f>
        <v/>
      </c>
      <c r="P9526" s="8" t="n"/>
      <c r="Q9526" s="8" t="n"/>
      <c r="R9526" s="8" t="n"/>
      <c r="S9526" s="8" t="n"/>
      <c r="T9526" s="8" t="n"/>
      <c r="U9526" s="8" t="n"/>
      <c r="V9526" s="8" t="n"/>
      <c r="W9526" s="8" t="n"/>
      <c r="X9526" s="8" t="n"/>
      <c r="Y9526" s="8" t="n"/>
    </row>
    <row r="9527">
      <c r="A9527" s="8" t="n"/>
      <c r="B9527" s="8" t="n"/>
      <c r="C9527" s="8" t="n"/>
      <c r="D9527" s="8" t="n"/>
      <c r="E9527" s="8" t="n"/>
      <c r="F9527" s="8" t="n"/>
      <c r="G9527" s="8" t="n"/>
      <c r="H9527" s="8" t="n"/>
      <c r="I9527" s="8" t="n"/>
      <c r="J9527" s="8" t="n"/>
      <c r="K9527" s="8" t="n"/>
      <c r="L9527" s="8" t="n"/>
      <c r="M9527" s="9">
        <f>B9527+30</f>
        <v/>
      </c>
      <c r="N9527">
        <f>IF(L9527="", "", L9527-B9527)</f>
        <v/>
      </c>
      <c r="O9527">
        <f>IF(L9527="", "Pending", IF(N9527&lt;=30, "Met", "Breached"))</f>
        <v/>
      </c>
      <c r="P9527" s="8" t="n"/>
      <c r="Q9527" s="8" t="n"/>
      <c r="R9527" s="8" t="n"/>
      <c r="S9527" s="8" t="n"/>
      <c r="T9527" s="8" t="n"/>
      <c r="U9527" s="8" t="n"/>
      <c r="V9527" s="8" t="n"/>
      <c r="W9527" s="8" t="n"/>
      <c r="X9527" s="8" t="n"/>
      <c r="Y9527" s="8" t="n"/>
    </row>
    <row r="9528">
      <c r="A9528" s="8" t="n"/>
      <c r="B9528" s="8" t="n"/>
      <c r="C9528" s="8" t="n"/>
      <c r="D9528" s="8" t="n"/>
      <c r="E9528" s="8" t="n"/>
      <c r="F9528" s="8" t="n"/>
      <c r="G9528" s="8" t="n"/>
      <c r="H9528" s="8" t="n"/>
      <c r="I9528" s="8" t="n"/>
      <c r="J9528" s="8" t="n"/>
      <c r="K9528" s="8" t="n"/>
      <c r="L9528" s="8" t="n"/>
      <c r="M9528" s="9">
        <f>B9528+30</f>
        <v/>
      </c>
      <c r="N9528">
        <f>IF(L9528="", "", L9528-B9528)</f>
        <v/>
      </c>
      <c r="O9528">
        <f>IF(L9528="", "Pending", IF(N9528&lt;=30, "Met", "Breached"))</f>
        <v/>
      </c>
      <c r="P9528" s="8" t="n"/>
      <c r="Q9528" s="8" t="n"/>
      <c r="R9528" s="8" t="n"/>
      <c r="S9528" s="8" t="n"/>
      <c r="T9528" s="8" t="n"/>
      <c r="U9528" s="8" t="n"/>
      <c r="V9528" s="8" t="n"/>
      <c r="W9528" s="8" t="n"/>
      <c r="X9528" s="8" t="n"/>
      <c r="Y9528" s="8" t="n"/>
    </row>
    <row r="9529">
      <c r="A9529" s="8" t="n"/>
      <c r="B9529" s="8" t="n"/>
      <c r="C9529" s="8" t="n"/>
      <c r="D9529" s="8" t="n"/>
      <c r="E9529" s="8" t="n"/>
      <c r="F9529" s="8" t="n"/>
      <c r="G9529" s="8" t="n"/>
      <c r="H9529" s="8" t="n"/>
      <c r="I9529" s="8" t="n"/>
      <c r="J9529" s="8" t="n"/>
      <c r="K9529" s="8" t="n"/>
      <c r="L9529" s="8" t="n"/>
      <c r="M9529" s="9">
        <f>B9529+30</f>
        <v/>
      </c>
      <c r="N9529">
        <f>IF(L9529="", "", L9529-B9529)</f>
        <v/>
      </c>
      <c r="O9529">
        <f>IF(L9529="", "Pending", IF(N9529&lt;=30, "Met", "Breached"))</f>
        <v/>
      </c>
      <c r="P9529" s="8" t="n"/>
      <c r="Q9529" s="8" t="n"/>
      <c r="R9529" s="8" t="n"/>
      <c r="S9529" s="8" t="n"/>
      <c r="T9529" s="8" t="n"/>
      <c r="U9529" s="8" t="n"/>
      <c r="V9529" s="8" t="n"/>
      <c r="W9529" s="8" t="n"/>
      <c r="X9529" s="8" t="n"/>
      <c r="Y9529" s="8" t="n"/>
    </row>
    <row r="9530">
      <c r="A9530" s="8" t="n"/>
      <c r="B9530" s="8" t="n"/>
      <c r="C9530" s="8" t="n"/>
      <c r="D9530" s="8" t="n"/>
      <c r="E9530" s="8" t="n"/>
      <c r="F9530" s="8" t="n"/>
      <c r="G9530" s="8" t="n"/>
      <c r="H9530" s="8" t="n"/>
      <c r="I9530" s="8" t="n"/>
      <c r="J9530" s="8" t="n"/>
      <c r="K9530" s="8" t="n"/>
      <c r="L9530" s="8" t="n"/>
      <c r="M9530" s="9">
        <f>B9530+30</f>
        <v/>
      </c>
      <c r="N9530">
        <f>IF(L9530="", "", L9530-B9530)</f>
        <v/>
      </c>
      <c r="O9530">
        <f>IF(L9530="", "Pending", IF(N9530&lt;=30, "Met", "Breached"))</f>
        <v/>
      </c>
      <c r="P9530" s="8" t="n"/>
      <c r="Q9530" s="8" t="n"/>
      <c r="R9530" s="8" t="n"/>
      <c r="S9530" s="8" t="n"/>
      <c r="T9530" s="8" t="n"/>
      <c r="U9530" s="8" t="n"/>
      <c r="V9530" s="8" t="n"/>
      <c r="W9530" s="8" t="n"/>
      <c r="X9530" s="8" t="n"/>
      <c r="Y9530" s="8" t="n"/>
    </row>
    <row r="9531">
      <c r="A9531" s="8" t="n"/>
      <c r="B9531" s="8" t="n"/>
      <c r="C9531" s="8" t="n"/>
      <c r="D9531" s="8" t="n"/>
      <c r="E9531" s="8" t="n"/>
      <c r="F9531" s="8" t="n"/>
      <c r="G9531" s="8" t="n"/>
      <c r="H9531" s="8" t="n"/>
      <c r="I9531" s="8" t="n"/>
      <c r="J9531" s="8" t="n"/>
      <c r="K9531" s="8" t="n"/>
      <c r="L9531" s="8" t="n"/>
      <c r="M9531" s="9">
        <f>B9531+30</f>
        <v/>
      </c>
      <c r="N9531">
        <f>IF(L9531="", "", L9531-B9531)</f>
        <v/>
      </c>
      <c r="O9531">
        <f>IF(L9531="", "Pending", IF(N9531&lt;=30, "Met", "Breached"))</f>
        <v/>
      </c>
      <c r="P9531" s="8" t="n"/>
      <c r="Q9531" s="8" t="n"/>
      <c r="R9531" s="8" t="n"/>
      <c r="S9531" s="8" t="n"/>
      <c r="T9531" s="8" t="n"/>
      <c r="U9531" s="8" t="n"/>
      <c r="V9531" s="8" t="n"/>
      <c r="W9531" s="8" t="n"/>
      <c r="X9531" s="8" t="n"/>
      <c r="Y9531" s="8" t="n"/>
    </row>
    <row r="9532">
      <c r="A9532" s="8" t="n"/>
      <c r="B9532" s="8" t="n"/>
      <c r="C9532" s="8" t="n"/>
      <c r="D9532" s="8" t="n"/>
      <c r="E9532" s="8" t="n"/>
      <c r="F9532" s="8" t="n"/>
      <c r="G9532" s="8" t="n"/>
      <c r="H9532" s="8" t="n"/>
      <c r="I9532" s="8" t="n"/>
      <c r="J9532" s="8" t="n"/>
      <c r="K9532" s="8" t="n"/>
      <c r="L9532" s="8" t="n"/>
      <c r="M9532" s="9">
        <f>B9532+30</f>
        <v/>
      </c>
      <c r="N9532">
        <f>IF(L9532="", "", L9532-B9532)</f>
        <v/>
      </c>
      <c r="O9532">
        <f>IF(L9532="", "Pending", IF(N9532&lt;=30, "Met", "Breached"))</f>
        <v/>
      </c>
      <c r="P9532" s="8" t="n"/>
      <c r="Q9532" s="8" t="n"/>
      <c r="R9532" s="8" t="n"/>
      <c r="S9532" s="8" t="n"/>
      <c r="T9532" s="8" t="n"/>
      <c r="U9532" s="8" t="n"/>
      <c r="V9532" s="8" t="n"/>
      <c r="W9532" s="8" t="n"/>
      <c r="X9532" s="8" t="n"/>
      <c r="Y9532" s="8" t="n"/>
    </row>
    <row r="9533">
      <c r="A9533" s="8" t="n"/>
      <c r="B9533" s="8" t="n"/>
      <c r="C9533" s="8" t="n"/>
      <c r="D9533" s="8" t="n"/>
      <c r="E9533" s="8" t="n"/>
      <c r="F9533" s="8" t="n"/>
      <c r="G9533" s="8" t="n"/>
      <c r="H9533" s="8" t="n"/>
      <c r="I9533" s="8" t="n"/>
      <c r="J9533" s="8" t="n"/>
      <c r="K9533" s="8" t="n"/>
      <c r="L9533" s="8" t="n"/>
      <c r="M9533" s="9">
        <f>B9533+30</f>
        <v/>
      </c>
      <c r="N9533">
        <f>IF(L9533="", "", L9533-B9533)</f>
        <v/>
      </c>
      <c r="O9533">
        <f>IF(L9533="", "Pending", IF(N9533&lt;=30, "Met", "Breached"))</f>
        <v/>
      </c>
      <c r="P9533" s="8" t="n"/>
      <c r="Q9533" s="8" t="n"/>
      <c r="R9533" s="8" t="n"/>
      <c r="S9533" s="8" t="n"/>
      <c r="T9533" s="8" t="n"/>
      <c r="U9533" s="8" t="n"/>
      <c r="V9533" s="8" t="n"/>
      <c r="W9533" s="8" t="n"/>
      <c r="X9533" s="8" t="n"/>
      <c r="Y9533" s="8" t="n"/>
    </row>
    <row r="9534">
      <c r="A9534" s="8" t="n"/>
      <c r="B9534" s="8" t="n"/>
      <c r="C9534" s="8" t="n"/>
      <c r="D9534" s="8" t="n"/>
      <c r="E9534" s="8" t="n"/>
      <c r="F9534" s="8" t="n"/>
      <c r="G9534" s="8" t="n"/>
      <c r="H9534" s="8" t="n"/>
      <c r="I9534" s="8" t="n"/>
      <c r="J9534" s="8" t="n"/>
      <c r="K9534" s="8" t="n"/>
      <c r="L9534" s="8" t="n"/>
      <c r="M9534" s="9">
        <f>B9534+30</f>
        <v/>
      </c>
      <c r="N9534">
        <f>IF(L9534="", "", L9534-B9534)</f>
        <v/>
      </c>
      <c r="O9534">
        <f>IF(L9534="", "Pending", IF(N9534&lt;=30, "Met", "Breached"))</f>
        <v/>
      </c>
      <c r="P9534" s="8" t="n"/>
      <c r="Q9534" s="8" t="n"/>
      <c r="R9534" s="8" t="n"/>
      <c r="S9534" s="8" t="n"/>
      <c r="T9534" s="8" t="n"/>
      <c r="U9534" s="8" t="n"/>
      <c r="V9534" s="8" t="n"/>
      <c r="W9534" s="8" t="n"/>
      <c r="X9534" s="8" t="n"/>
      <c r="Y9534" s="8" t="n"/>
    </row>
    <row r="9535">
      <c r="A9535" s="8" t="n"/>
      <c r="B9535" s="8" t="n"/>
      <c r="C9535" s="8" t="n"/>
      <c r="D9535" s="8" t="n"/>
      <c r="E9535" s="8" t="n"/>
      <c r="F9535" s="8" t="n"/>
      <c r="G9535" s="8" t="n"/>
      <c r="H9535" s="8" t="n"/>
      <c r="I9535" s="8" t="n"/>
      <c r="J9535" s="8" t="n"/>
      <c r="K9535" s="8" t="n"/>
      <c r="L9535" s="8" t="n"/>
      <c r="M9535" s="9">
        <f>B9535+30</f>
        <v/>
      </c>
      <c r="N9535">
        <f>IF(L9535="", "", L9535-B9535)</f>
        <v/>
      </c>
      <c r="O9535">
        <f>IF(L9535="", "Pending", IF(N9535&lt;=30, "Met", "Breached"))</f>
        <v/>
      </c>
      <c r="P9535" s="8" t="n"/>
      <c r="Q9535" s="8" t="n"/>
      <c r="R9535" s="8" t="n"/>
      <c r="S9535" s="8" t="n"/>
      <c r="T9535" s="8" t="n"/>
      <c r="U9535" s="8" t="n"/>
      <c r="V9535" s="8" t="n"/>
      <c r="W9535" s="8" t="n"/>
      <c r="X9535" s="8" t="n"/>
      <c r="Y9535" s="8" t="n"/>
    </row>
    <row r="9536">
      <c r="A9536" s="8" t="n"/>
      <c r="B9536" s="8" t="n"/>
      <c r="C9536" s="8" t="n"/>
      <c r="D9536" s="8" t="n"/>
      <c r="E9536" s="8" t="n"/>
      <c r="F9536" s="8" t="n"/>
      <c r="G9536" s="8" t="n"/>
      <c r="H9536" s="8" t="n"/>
      <c r="I9536" s="8" t="n"/>
      <c r="J9536" s="8" t="n"/>
      <c r="K9536" s="8" t="n"/>
      <c r="L9536" s="8" t="n"/>
      <c r="M9536" s="9">
        <f>B9536+30</f>
        <v/>
      </c>
      <c r="N9536">
        <f>IF(L9536="", "", L9536-B9536)</f>
        <v/>
      </c>
      <c r="O9536">
        <f>IF(L9536="", "Pending", IF(N9536&lt;=30, "Met", "Breached"))</f>
        <v/>
      </c>
      <c r="P9536" s="8" t="n"/>
      <c r="Q9536" s="8" t="n"/>
      <c r="R9536" s="8" t="n"/>
      <c r="S9536" s="8" t="n"/>
      <c r="T9536" s="8" t="n"/>
      <c r="U9536" s="8" t="n"/>
      <c r="V9536" s="8" t="n"/>
      <c r="W9536" s="8" t="n"/>
      <c r="X9536" s="8" t="n"/>
      <c r="Y9536" s="8" t="n"/>
    </row>
    <row r="9537">
      <c r="A9537" s="8" t="n"/>
      <c r="B9537" s="8" t="n"/>
      <c r="C9537" s="8" t="n"/>
      <c r="D9537" s="8" t="n"/>
      <c r="E9537" s="8" t="n"/>
      <c r="F9537" s="8" t="n"/>
      <c r="G9537" s="8" t="n"/>
      <c r="H9537" s="8" t="n"/>
      <c r="I9537" s="8" t="n"/>
      <c r="J9537" s="8" t="n"/>
      <c r="K9537" s="8" t="n"/>
      <c r="L9537" s="8" t="n"/>
      <c r="M9537" s="9">
        <f>B9537+30</f>
        <v/>
      </c>
      <c r="N9537">
        <f>IF(L9537="", "", L9537-B9537)</f>
        <v/>
      </c>
      <c r="O9537">
        <f>IF(L9537="", "Pending", IF(N9537&lt;=30, "Met", "Breached"))</f>
        <v/>
      </c>
      <c r="P9537" s="8" t="n"/>
      <c r="Q9537" s="8" t="n"/>
      <c r="R9537" s="8" t="n"/>
      <c r="S9537" s="8" t="n"/>
      <c r="T9537" s="8" t="n"/>
      <c r="U9537" s="8" t="n"/>
      <c r="V9537" s="8" t="n"/>
      <c r="W9537" s="8" t="n"/>
      <c r="X9537" s="8" t="n"/>
      <c r="Y9537" s="8" t="n"/>
    </row>
    <row r="9538">
      <c r="A9538" s="8" t="n"/>
      <c r="B9538" s="8" t="n"/>
      <c r="C9538" s="8" t="n"/>
      <c r="D9538" s="8" t="n"/>
      <c r="E9538" s="8" t="n"/>
      <c r="F9538" s="8" t="n"/>
      <c r="G9538" s="8" t="n"/>
      <c r="H9538" s="8" t="n"/>
      <c r="I9538" s="8" t="n"/>
      <c r="J9538" s="8" t="n"/>
      <c r="K9538" s="8" t="n"/>
      <c r="L9538" s="8" t="n"/>
      <c r="M9538" s="9">
        <f>B9538+30</f>
        <v/>
      </c>
      <c r="N9538">
        <f>IF(L9538="", "", L9538-B9538)</f>
        <v/>
      </c>
      <c r="O9538">
        <f>IF(L9538="", "Pending", IF(N9538&lt;=30, "Met", "Breached"))</f>
        <v/>
      </c>
      <c r="P9538" s="8" t="n"/>
      <c r="Q9538" s="8" t="n"/>
      <c r="R9538" s="8" t="n"/>
      <c r="S9538" s="8" t="n"/>
      <c r="T9538" s="8" t="n"/>
      <c r="U9538" s="8" t="n"/>
      <c r="V9538" s="8" t="n"/>
      <c r="W9538" s="8" t="n"/>
      <c r="X9538" s="8" t="n"/>
      <c r="Y9538" s="8" t="n"/>
    </row>
    <row r="9539">
      <c r="A9539" s="8" t="n"/>
      <c r="B9539" s="8" t="n"/>
      <c r="C9539" s="8" t="n"/>
      <c r="D9539" s="8" t="n"/>
      <c r="E9539" s="8" t="n"/>
      <c r="F9539" s="8" t="n"/>
      <c r="G9539" s="8" t="n"/>
      <c r="H9539" s="8" t="n"/>
      <c r="I9539" s="8" t="n"/>
      <c r="J9539" s="8" t="n"/>
      <c r="K9539" s="8" t="n"/>
      <c r="L9539" s="8" t="n"/>
      <c r="M9539" s="9">
        <f>B9539+30</f>
        <v/>
      </c>
      <c r="N9539">
        <f>IF(L9539="", "", L9539-B9539)</f>
        <v/>
      </c>
      <c r="O9539">
        <f>IF(L9539="", "Pending", IF(N9539&lt;=30, "Met", "Breached"))</f>
        <v/>
      </c>
      <c r="P9539" s="8" t="n"/>
      <c r="Q9539" s="8" t="n"/>
      <c r="R9539" s="8" t="n"/>
      <c r="S9539" s="8" t="n"/>
      <c r="T9539" s="8" t="n"/>
      <c r="U9539" s="8" t="n"/>
      <c r="V9539" s="8" t="n"/>
      <c r="W9539" s="8" t="n"/>
      <c r="X9539" s="8" t="n"/>
      <c r="Y9539" s="8" t="n"/>
    </row>
    <row r="9540">
      <c r="A9540" s="8" t="n"/>
      <c r="B9540" s="8" t="n"/>
      <c r="C9540" s="8" t="n"/>
      <c r="D9540" s="8" t="n"/>
      <c r="E9540" s="8" t="n"/>
      <c r="F9540" s="8" t="n"/>
      <c r="G9540" s="8" t="n"/>
      <c r="H9540" s="8" t="n"/>
      <c r="I9540" s="8" t="n"/>
      <c r="J9540" s="8" t="n"/>
      <c r="K9540" s="8" t="n"/>
      <c r="L9540" s="8" t="n"/>
      <c r="M9540" s="9">
        <f>B9540+30</f>
        <v/>
      </c>
      <c r="N9540">
        <f>IF(L9540="", "", L9540-B9540)</f>
        <v/>
      </c>
      <c r="O9540">
        <f>IF(L9540="", "Pending", IF(N9540&lt;=30, "Met", "Breached"))</f>
        <v/>
      </c>
      <c r="P9540" s="8" t="n"/>
      <c r="Q9540" s="8" t="n"/>
      <c r="R9540" s="8" t="n"/>
      <c r="S9540" s="8" t="n"/>
      <c r="T9540" s="8" t="n"/>
      <c r="U9540" s="8" t="n"/>
      <c r="V9540" s="8" t="n"/>
      <c r="W9540" s="8" t="n"/>
      <c r="X9540" s="8" t="n"/>
      <c r="Y9540" s="8" t="n"/>
    </row>
    <row r="9541">
      <c r="A9541" s="8" t="n"/>
      <c r="B9541" s="8" t="n"/>
      <c r="C9541" s="8" t="n"/>
      <c r="D9541" s="8" t="n"/>
      <c r="E9541" s="8" t="n"/>
      <c r="F9541" s="8" t="n"/>
      <c r="G9541" s="8" t="n"/>
      <c r="H9541" s="8" t="n"/>
      <c r="I9541" s="8" t="n"/>
      <c r="J9541" s="8" t="n"/>
      <c r="K9541" s="8" t="n"/>
      <c r="L9541" s="8" t="n"/>
      <c r="M9541" s="9">
        <f>B9541+30</f>
        <v/>
      </c>
      <c r="N9541">
        <f>IF(L9541="", "", L9541-B9541)</f>
        <v/>
      </c>
      <c r="O9541">
        <f>IF(L9541="", "Pending", IF(N9541&lt;=30, "Met", "Breached"))</f>
        <v/>
      </c>
      <c r="P9541" s="8" t="n"/>
      <c r="Q9541" s="8" t="n"/>
      <c r="R9541" s="8" t="n"/>
      <c r="S9541" s="8" t="n"/>
      <c r="T9541" s="8" t="n"/>
      <c r="U9541" s="8" t="n"/>
      <c r="V9541" s="8" t="n"/>
      <c r="W9541" s="8" t="n"/>
      <c r="X9541" s="8" t="n"/>
      <c r="Y9541" s="8" t="n"/>
    </row>
    <row r="9542">
      <c r="A9542" s="8" t="n"/>
      <c r="B9542" s="8" t="n"/>
      <c r="C9542" s="8" t="n"/>
      <c r="D9542" s="8" t="n"/>
      <c r="E9542" s="8" t="n"/>
      <c r="F9542" s="8" t="n"/>
      <c r="G9542" s="8" t="n"/>
      <c r="H9542" s="8" t="n"/>
      <c r="I9542" s="8" t="n"/>
      <c r="J9542" s="8" t="n"/>
      <c r="K9542" s="8" t="n"/>
      <c r="L9542" s="8" t="n"/>
      <c r="M9542" s="9">
        <f>B9542+30</f>
        <v/>
      </c>
      <c r="N9542">
        <f>IF(L9542="", "", L9542-B9542)</f>
        <v/>
      </c>
      <c r="O9542">
        <f>IF(L9542="", "Pending", IF(N9542&lt;=30, "Met", "Breached"))</f>
        <v/>
      </c>
      <c r="P9542" s="8" t="n"/>
      <c r="Q9542" s="8" t="n"/>
      <c r="R9542" s="8" t="n"/>
      <c r="S9542" s="8" t="n"/>
      <c r="T9542" s="8" t="n"/>
      <c r="U9542" s="8" t="n"/>
      <c r="V9542" s="8" t="n"/>
      <c r="W9542" s="8" t="n"/>
      <c r="X9542" s="8" t="n"/>
      <c r="Y9542" s="8" t="n"/>
    </row>
    <row r="9543">
      <c r="A9543" s="8" t="n"/>
      <c r="B9543" s="8" t="n"/>
      <c r="C9543" s="8" t="n"/>
      <c r="D9543" s="8" t="n"/>
      <c r="E9543" s="8" t="n"/>
      <c r="F9543" s="8" t="n"/>
      <c r="G9543" s="8" t="n"/>
      <c r="H9543" s="8" t="n"/>
      <c r="I9543" s="8" t="n"/>
      <c r="J9543" s="8" t="n"/>
      <c r="K9543" s="8" t="n"/>
      <c r="L9543" s="8" t="n"/>
      <c r="M9543" s="9">
        <f>B9543+30</f>
        <v/>
      </c>
      <c r="N9543">
        <f>IF(L9543="", "", L9543-B9543)</f>
        <v/>
      </c>
      <c r="O9543">
        <f>IF(L9543="", "Pending", IF(N9543&lt;=30, "Met", "Breached"))</f>
        <v/>
      </c>
      <c r="P9543" s="8" t="n"/>
      <c r="Q9543" s="8" t="n"/>
      <c r="R9543" s="8" t="n"/>
      <c r="S9543" s="8" t="n"/>
      <c r="T9543" s="8" t="n"/>
      <c r="U9543" s="8" t="n"/>
      <c r="V9543" s="8" t="n"/>
      <c r="W9543" s="8" t="n"/>
      <c r="X9543" s="8" t="n"/>
      <c r="Y9543" s="8" t="n"/>
    </row>
    <row r="9544">
      <c r="A9544" s="8" t="n"/>
      <c r="B9544" s="8" t="n"/>
      <c r="C9544" s="8" t="n"/>
      <c r="D9544" s="8" t="n"/>
      <c r="E9544" s="8" t="n"/>
      <c r="F9544" s="8" t="n"/>
      <c r="G9544" s="8" t="n"/>
      <c r="H9544" s="8" t="n"/>
      <c r="I9544" s="8" t="n"/>
      <c r="J9544" s="8" t="n"/>
      <c r="K9544" s="8" t="n"/>
      <c r="L9544" s="8" t="n"/>
      <c r="M9544" s="9">
        <f>B9544+30</f>
        <v/>
      </c>
      <c r="N9544">
        <f>IF(L9544="", "", L9544-B9544)</f>
        <v/>
      </c>
      <c r="O9544">
        <f>IF(L9544="", "Pending", IF(N9544&lt;=30, "Met", "Breached"))</f>
        <v/>
      </c>
      <c r="P9544" s="8" t="n"/>
      <c r="Q9544" s="8" t="n"/>
      <c r="R9544" s="8" t="n"/>
      <c r="S9544" s="8" t="n"/>
      <c r="T9544" s="8" t="n"/>
      <c r="U9544" s="8" t="n"/>
      <c r="V9544" s="8" t="n"/>
      <c r="W9544" s="8" t="n"/>
      <c r="X9544" s="8" t="n"/>
      <c r="Y9544" s="8" t="n"/>
    </row>
    <row r="9545">
      <c r="A9545" s="8" t="n"/>
      <c r="B9545" s="8" t="n"/>
      <c r="C9545" s="8" t="n"/>
      <c r="D9545" s="8" t="n"/>
      <c r="E9545" s="8" t="n"/>
      <c r="F9545" s="8" t="n"/>
      <c r="G9545" s="8" t="n"/>
      <c r="H9545" s="8" t="n"/>
      <c r="I9545" s="8" t="n"/>
      <c r="J9545" s="8" t="n"/>
      <c r="K9545" s="8" t="n"/>
      <c r="L9545" s="8" t="n"/>
      <c r="M9545" s="9">
        <f>B9545+30</f>
        <v/>
      </c>
      <c r="N9545">
        <f>IF(L9545="", "", L9545-B9545)</f>
        <v/>
      </c>
      <c r="O9545">
        <f>IF(L9545="", "Pending", IF(N9545&lt;=30, "Met", "Breached"))</f>
        <v/>
      </c>
      <c r="P9545" s="8" t="n"/>
      <c r="Q9545" s="8" t="n"/>
      <c r="R9545" s="8" t="n"/>
      <c r="S9545" s="8" t="n"/>
      <c r="T9545" s="8" t="n"/>
      <c r="U9545" s="8" t="n"/>
      <c r="V9545" s="8" t="n"/>
      <c r="W9545" s="8" t="n"/>
      <c r="X9545" s="8" t="n"/>
      <c r="Y9545" s="8" t="n"/>
    </row>
    <row r="9546">
      <c r="A9546" s="8" t="n"/>
      <c r="B9546" s="8" t="n"/>
      <c r="C9546" s="8" t="n"/>
      <c r="D9546" s="8" t="n"/>
      <c r="E9546" s="8" t="n"/>
      <c r="F9546" s="8" t="n"/>
      <c r="G9546" s="8" t="n"/>
      <c r="H9546" s="8" t="n"/>
      <c r="I9546" s="8" t="n"/>
      <c r="J9546" s="8" t="n"/>
      <c r="K9546" s="8" t="n"/>
      <c r="L9546" s="8" t="n"/>
      <c r="M9546" s="9">
        <f>B9546+30</f>
        <v/>
      </c>
      <c r="N9546">
        <f>IF(L9546="", "", L9546-B9546)</f>
        <v/>
      </c>
      <c r="O9546">
        <f>IF(L9546="", "Pending", IF(N9546&lt;=30, "Met", "Breached"))</f>
        <v/>
      </c>
      <c r="P9546" s="8" t="n"/>
      <c r="Q9546" s="8" t="n"/>
      <c r="R9546" s="8" t="n"/>
      <c r="S9546" s="8" t="n"/>
      <c r="T9546" s="8" t="n"/>
      <c r="U9546" s="8" t="n"/>
      <c r="V9546" s="8" t="n"/>
      <c r="W9546" s="8" t="n"/>
      <c r="X9546" s="8" t="n"/>
      <c r="Y9546" s="8" t="n"/>
    </row>
    <row r="9547">
      <c r="A9547" s="8" t="n"/>
      <c r="B9547" s="8" t="n"/>
      <c r="C9547" s="8" t="n"/>
      <c r="D9547" s="8" t="n"/>
      <c r="E9547" s="8" t="n"/>
      <c r="F9547" s="8" t="n"/>
      <c r="G9547" s="8" t="n"/>
      <c r="H9547" s="8" t="n"/>
      <c r="I9547" s="8" t="n"/>
      <c r="J9547" s="8" t="n"/>
      <c r="K9547" s="8" t="n"/>
      <c r="L9547" s="8" t="n"/>
      <c r="M9547" s="9">
        <f>B9547+30</f>
        <v/>
      </c>
      <c r="N9547">
        <f>IF(L9547="", "", L9547-B9547)</f>
        <v/>
      </c>
      <c r="O9547">
        <f>IF(L9547="", "Pending", IF(N9547&lt;=30, "Met", "Breached"))</f>
        <v/>
      </c>
      <c r="P9547" s="8" t="n"/>
      <c r="Q9547" s="8" t="n"/>
      <c r="R9547" s="8" t="n"/>
      <c r="S9547" s="8" t="n"/>
      <c r="T9547" s="8" t="n"/>
      <c r="U9547" s="8" t="n"/>
      <c r="V9547" s="8" t="n"/>
      <c r="W9547" s="8" t="n"/>
      <c r="X9547" s="8" t="n"/>
      <c r="Y9547" s="8" t="n"/>
    </row>
    <row r="9548">
      <c r="A9548" s="8" t="n"/>
      <c r="B9548" s="8" t="n"/>
      <c r="C9548" s="8" t="n"/>
      <c r="D9548" s="8" t="n"/>
      <c r="E9548" s="8" t="n"/>
      <c r="F9548" s="8" t="n"/>
      <c r="G9548" s="8" t="n"/>
      <c r="H9548" s="8" t="n"/>
      <c r="I9548" s="8" t="n"/>
      <c r="J9548" s="8" t="n"/>
      <c r="K9548" s="8" t="n"/>
      <c r="L9548" s="8" t="n"/>
      <c r="M9548" s="9">
        <f>B9548+30</f>
        <v/>
      </c>
      <c r="N9548">
        <f>IF(L9548="", "", L9548-B9548)</f>
        <v/>
      </c>
      <c r="O9548">
        <f>IF(L9548="", "Pending", IF(N9548&lt;=30, "Met", "Breached"))</f>
        <v/>
      </c>
      <c r="P9548" s="8" t="n"/>
      <c r="Q9548" s="8" t="n"/>
      <c r="R9548" s="8" t="n"/>
      <c r="S9548" s="8" t="n"/>
      <c r="T9548" s="8" t="n"/>
      <c r="U9548" s="8" t="n"/>
      <c r="V9548" s="8" t="n"/>
      <c r="W9548" s="8" t="n"/>
      <c r="X9548" s="8" t="n"/>
      <c r="Y9548" s="8" t="n"/>
    </row>
    <row r="9549">
      <c r="A9549" s="8" t="n"/>
      <c r="B9549" s="8" t="n"/>
      <c r="C9549" s="8" t="n"/>
      <c r="D9549" s="8" t="n"/>
      <c r="E9549" s="8" t="n"/>
      <c r="F9549" s="8" t="n"/>
      <c r="G9549" s="8" t="n"/>
      <c r="H9549" s="8" t="n"/>
      <c r="I9549" s="8" t="n"/>
      <c r="J9549" s="8" t="n"/>
      <c r="K9549" s="8" t="n"/>
      <c r="L9549" s="8" t="n"/>
      <c r="M9549" s="9">
        <f>B9549+30</f>
        <v/>
      </c>
      <c r="N9549">
        <f>IF(L9549="", "", L9549-B9549)</f>
        <v/>
      </c>
      <c r="O9549">
        <f>IF(L9549="", "Pending", IF(N9549&lt;=30, "Met", "Breached"))</f>
        <v/>
      </c>
      <c r="P9549" s="8" t="n"/>
      <c r="Q9549" s="8" t="n"/>
      <c r="R9549" s="8" t="n"/>
      <c r="S9549" s="8" t="n"/>
      <c r="T9549" s="8" t="n"/>
      <c r="U9549" s="8" t="n"/>
      <c r="V9549" s="8" t="n"/>
      <c r="W9549" s="8" t="n"/>
      <c r="X9549" s="8" t="n"/>
      <c r="Y9549" s="8" t="n"/>
    </row>
    <row r="9550">
      <c r="A9550" s="8" t="n"/>
      <c r="B9550" s="8" t="n"/>
      <c r="C9550" s="8" t="n"/>
      <c r="D9550" s="8" t="n"/>
      <c r="E9550" s="8" t="n"/>
      <c r="F9550" s="8" t="n"/>
      <c r="G9550" s="8" t="n"/>
      <c r="H9550" s="8" t="n"/>
      <c r="I9550" s="8" t="n"/>
      <c r="J9550" s="8" t="n"/>
      <c r="K9550" s="8" t="n"/>
      <c r="L9550" s="8" t="n"/>
      <c r="M9550" s="9">
        <f>B9550+30</f>
        <v/>
      </c>
      <c r="N9550">
        <f>IF(L9550="", "", L9550-B9550)</f>
        <v/>
      </c>
      <c r="O9550">
        <f>IF(L9550="", "Pending", IF(N9550&lt;=30, "Met", "Breached"))</f>
        <v/>
      </c>
      <c r="P9550" s="8" t="n"/>
      <c r="Q9550" s="8" t="n"/>
      <c r="R9550" s="8" t="n"/>
      <c r="S9550" s="8" t="n"/>
      <c r="T9550" s="8" t="n"/>
      <c r="U9550" s="8" t="n"/>
      <c r="V9550" s="8" t="n"/>
      <c r="W9550" s="8" t="n"/>
      <c r="X9550" s="8" t="n"/>
      <c r="Y9550" s="8" t="n"/>
    </row>
    <row r="9551">
      <c r="A9551" s="8" t="n"/>
      <c r="B9551" s="8" t="n"/>
      <c r="C9551" s="8" t="n"/>
      <c r="D9551" s="8" t="n"/>
      <c r="E9551" s="8" t="n"/>
      <c r="F9551" s="8" t="n"/>
      <c r="G9551" s="8" t="n"/>
      <c r="H9551" s="8" t="n"/>
      <c r="I9551" s="8" t="n"/>
      <c r="J9551" s="8" t="n"/>
      <c r="K9551" s="8" t="n"/>
      <c r="L9551" s="8" t="n"/>
      <c r="M9551" s="9">
        <f>B9551+30</f>
        <v/>
      </c>
      <c r="N9551">
        <f>IF(L9551="", "", L9551-B9551)</f>
        <v/>
      </c>
      <c r="O9551">
        <f>IF(L9551="", "Pending", IF(N9551&lt;=30, "Met", "Breached"))</f>
        <v/>
      </c>
      <c r="P9551" s="8" t="n"/>
      <c r="Q9551" s="8" t="n"/>
      <c r="R9551" s="8" t="n"/>
      <c r="S9551" s="8" t="n"/>
      <c r="T9551" s="8" t="n"/>
      <c r="U9551" s="8" t="n"/>
      <c r="V9551" s="8" t="n"/>
      <c r="W9551" s="8" t="n"/>
      <c r="X9551" s="8" t="n"/>
      <c r="Y9551" s="8" t="n"/>
    </row>
    <row r="9552">
      <c r="A9552" s="8" t="n"/>
      <c r="B9552" s="8" t="n"/>
      <c r="C9552" s="8" t="n"/>
      <c r="D9552" s="8" t="n"/>
      <c r="E9552" s="8" t="n"/>
      <c r="F9552" s="8" t="n"/>
      <c r="G9552" s="8" t="n"/>
      <c r="H9552" s="8" t="n"/>
      <c r="I9552" s="8" t="n"/>
      <c r="J9552" s="8" t="n"/>
      <c r="K9552" s="8" t="n"/>
      <c r="L9552" s="8" t="n"/>
      <c r="M9552" s="9">
        <f>B9552+30</f>
        <v/>
      </c>
      <c r="N9552">
        <f>IF(L9552="", "", L9552-B9552)</f>
        <v/>
      </c>
      <c r="O9552">
        <f>IF(L9552="", "Pending", IF(N9552&lt;=30, "Met", "Breached"))</f>
        <v/>
      </c>
      <c r="P9552" s="8" t="n"/>
      <c r="Q9552" s="8" t="n"/>
      <c r="R9552" s="8" t="n"/>
      <c r="S9552" s="8" t="n"/>
      <c r="T9552" s="8" t="n"/>
      <c r="U9552" s="8" t="n"/>
      <c r="V9552" s="8" t="n"/>
      <c r="W9552" s="8" t="n"/>
      <c r="X9552" s="8" t="n"/>
      <c r="Y9552" s="8" t="n"/>
    </row>
    <row r="9553">
      <c r="A9553" s="8" t="n"/>
      <c r="B9553" s="8" t="n"/>
      <c r="C9553" s="8" t="n"/>
      <c r="D9553" s="8" t="n"/>
      <c r="E9553" s="8" t="n"/>
      <c r="F9553" s="8" t="n"/>
      <c r="G9553" s="8" t="n"/>
      <c r="H9553" s="8" t="n"/>
      <c r="I9553" s="8" t="n"/>
      <c r="J9553" s="8" t="n"/>
      <c r="K9553" s="8" t="n"/>
      <c r="L9553" s="8" t="n"/>
      <c r="M9553" s="9">
        <f>B9553+30</f>
        <v/>
      </c>
      <c r="N9553">
        <f>IF(L9553="", "", L9553-B9553)</f>
        <v/>
      </c>
      <c r="O9553">
        <f>IF(L9553="", "Pending", IF(N9553&lt;=30, "Met", "Breached"))</f>
        <v/>
      </c>
      <c r="P9553" s="8" t="n"/>
      <c r="Q9553" s="8" t="n"/>
      <c r="R9553" s="8" t="n"/>
      <c r="S9553" s="8" t="n"/>
      <c r="T9553" s="8" t="n"/>
      <c r="U9553" s="8" t="n"/>
      <c r="V9553" s="8" t="n"/>
      <c r="W9553" s="8" t="n"/>
      <c r="X9553" s="8" t="n"/>
      <c r="Y9553" s="8" t="n"/>
    </row>
    <row r="9554">
      <c r="A9554" s="8" t="n"/>
      <c r="B9554" s="8" t="n"/>
      <c r="C9554" s="8" t="n"/>
      <c r="D9554" s="8" t="n"/>
      <c r="E9554" s="8" t="n"/>
      <c r="F9554" s="8" t="n"/>
      <c r="G9554" s="8" t="n"/>
      <c r="H9554" s="8" t="n"/>
      <c r="I9554" s="8" t="n"/>
      <c r="J9554" s="8" t="n"/>
      <c r="K9554" s="8" t="n"/>
      <c r="L9554" s="8" t="n"/>
      <c r="M9554" s="9">
        <f>B9554+30</f>
        <v/>
      </c>
      <c r="N9554">
        <f>IF(L9554="", "", L9554-B9554)</f>
        <v/>
      </c>
      <c r="O9554">
        <f>IF(L9554="", "Pending", IF(N9554&lt;=30, "Met", "Breached"))</f>
        <v/>
      </c>
      <c r="P9554" s="8" t="n"/>
      <c r="Q9554" s="8" t="n"/>
      <c r="R9554" s="8" t="n"/>
      <c r="S9554" s="8" t="n"/>
      <c r="T9554" s="8" t="n"/>
      <c r="U9554" s="8" t="n"/>
      <c r="V9554" s="8" t="n"/>
      <c r="W9554" s="8" t="n"/>
      <c r="X9554" s="8" t="n"/>
      <c r="Y9554" s="8" t="n"/>
    </row>
    <row r="9555">
      <c r="A9555" s="8" t="n"/>
      <c r="B9555" s="8" t="n"/>
      <c r="C9555" s="8" t="n"/>
      <c r="D9555" s="8" t="n"/>
      <c r="E9555" s="8" t="n"/>
      <c r="F9555" s="8" t="n"/>
      <c r="G9555" s="8" t="n"/>
      <c r="H9555" s="8" t="n"/>
      <c r="I9555" s="8" t="n"/>
      <c r="J9555" s="8" t="n"/>
      <c r="K9555" s="8" t="n"/>
      <c r="L9555" s="8" t="n"/>
      <c r="M9555" s="9">
        <f>B9555+30</f>
        <v/>
      </c>
      <c r="N9555">
        <f>IF(L9555="", "", L9555-B9555)</f>
        <v/>
      </c>
      <c r="O9555">
        <f>IF(L9555="", "Pending", IF(N9555&lt;=30, "Met", "Breached"))</f>
        <v/>
      </c>
      <c r="P9555" s="8" t="n"/>
      <c r="Q9555" s="8" t="n"/>
      <c r="R9555" s="8" t="n"/>
      <c r="S9555" s="8" t="n"/>
      <c r="T9555" s="8" t="n"/>
      <c r="U9555" s="8" t="n"/>
      <c r="V9555" s="8" t="n"/>
      <c r="W9555" s="8" t="n"/>
      <c r="X9555" s="8" t="n"/>
      <c r="Y9555" s="8" t="n"/>
    </row>
    <row r="9556">
      <c r="A9556" s="8" t="n"/>
      <c r="B9556" s="8" t="n"/>
      <c r="C9556" s="8" t="n"/>
      <c r="D9556" s="8" t="n"/>
      <c r="E9556" s="8" t="n"/>
      <c r="F9556" s="8" t="n"/>
      <c r="G9556" s="8" t="n"/>
      <c r="H9556" s="8" t="n"/>
      <c r="I9556" s="8" t="n"/>
      <c r="J9556" s="8" t="n"/>
      <c r="K9556" s="8" t="n"/>
      <c r="L9556" s="8" t="n"/>
      <c r="M9556" s="9">
        <f>B9556+30</f>
        <v/>
      </c>
      <c r="N9556">
        <f>IF(L9556="", "", L9556-B9556)</f>
        <v/>
      </c>
      <c r="O9556">
        <f>IF(L9556="", "Pending", IF(N9556&lt;=30, "Met", "Breached"))</f>
        <v/>
      </c>
      <c r="P9556" s="8" t="n"/>
      <c r="Q9556" s="8" t="n"/>
      <c r="R9556" s="8" t="n"/>
      <c r="S9556" s="8" t="n"/>
      <c r="T9556" s="8" t="n"/>
      <c r="U9556" s="8" t="n"/>
      <c r="V9556" s="8" t="n"/>
      <c r="W9556" s="8" t="n"/>
      <c r="X9556" s="8" t="n"/>
      <c r="Y9556" s="8" t="n"/>
    </row>
    <row r="9557">
      <c r="A9557" s="8" t="n"/>
      <c r="B9557" s="8" t="n"/>
      <c r="C9557" s="8" t="n"/>
      <c r="D9557" s="8" t="n"/>
      <c r="E9557" s="8" t="n"/>
      <c r="F9557" s="8" t="n"/>
      <c r="G9557" s="8" t="n"/>
      <c r="H9557" s="8" t="n"/>
      <c r="I9557" s="8" t="n"/>
      <c r="J9557" s="8" t="n"/>
      <c r="K9557" s="8" t="n"/>
      <c r="L9557" s="8" t="n"/>
      <c r="M9557" s="9">
        <f>B9557+30</f>
        <v/>
      </c>
      <c r="N9557">
        <f>IF(L9557="", "", L9557-B9557)</f>
        <v/>
      </c>
      <c r="O9557">
        <f>IF(L9557="", "Pending", IF(N9557&lt;=30, "Met", "Breached"))</f>
        <v/>
      </c>
      <c r="P9557" s="8" t="n"/>
      <c r="Q9557" s="8" t="n"/>
      <c r="R9557" s="8" t="n"/>
      <c r="S9557" s="8" t="n"/>
      <c r="T9557" s="8" t="n"/>
      <c r="U9557" s="8" t="n"/>
      <c r="V9557" s="8" t="n"/>
      <c r="W9557" s="8" t="n"/>
      <c r="X9557" s="8" t="n"/>
      <c r="Y9557" s="8" t="n"/>
    </row>
    <row r="9558">
      <c r="A9558" s="8" t="n"/>
      <c r="B9558" s="8" t="n"/>
      <c r="C9558" s="8" t="n"/>
      <c r="D9558" s="8" t="n"/>
      <c r="E9558" s="8" t="n"/>
      <c r="F9558" s="8" t="n"/>
      <c r="G9558" s="8" t="n"/>
      <c r="H9558" s="8" t="n"/>
      <c r="I9558" s="8" t="n"/>
      <c r="J9558" s="8" t="n"/>
      <c r="K9558" s="8" t="n"/>
      <c r="L9558" s="8" t="n"/>
      <c r="M9558" s="9">
        <f>B9558+30</f>
        <v/>
      </c>
      <c r="N9558">
        <f>IF(L9558="", "", L9558-B9558)</f>
        <v/>
      </c>
      <c r="O9558">
        <f>IF(L9558="", "Pending", IF(N9558&lt;=30, "Met", "Breached"))</f>
        <v/>
      </c>
      <c r="P9558" s="8" t="n"/>
      <c r="Q9558" s="8" t="n"/>
      <c r="R9558" s="8" t="n"/>
      <c r="S9558" s="8" t="n"/>
      <c r="T9558" s="8" t="n"/>
      <c r="U9558" s="8" t="n"/>
      <c r="V9558" s="8" t="n"/>
      <c r="W9558" s="8" t="n"/>
      <c r="X9558" s="8" t="n"/>
      <c r="Y9558" s="8" t="n"/>
    </row>
    <row r="9559">
      <c r="A9559" s="8" t="n"/>
      <c r="B9559" s="8" t="n"/>
      <c r="C9559" s="8" t="n"/>
      <c r="D9559" s="8" t="n"/>
      <c r="E9559" s="8" t="n"/>
      <c r="F9559" s="8" t="n"/>
      <c r="G9559" s="8" t="n"/>
      <c r="H9559" s="8" t="n"/>
      <c r="I9559" s="8" t="n"/>
      <c r="J9559" s="8" t="n"/>
      <c r="K9559" s="8" t="n"/>
      <c r="L9559" s="8" t="n"/>
      <c r="M9559" s="9">
        <f>B9559+30</f>
        <v/>
      </c>
      <c r="N9559">
        <f>IF(L9559="", "", L9559-B9559)</f>
        <v/>
      </c>
      <c r="O9559">
        <f>IF(L9559="", "Pending", IF(N9559&lt;=30, "Met", "Breached"))</f>
        <v/>
      </c>
      <c r="P9559" s="8" t="n"/>
      <c r="Q9559" s="8" t="n"/>
      <c r="R9559" s="8" t="n"/>
      <c r="S9559" s="8" t="n"/>
      <c r="T9559" s="8" t="n"/>
      <c r="U9559" s="8" t="n"/>
      <c r="V9559" s="8" t="n"/>
      <c r="W9559" s="8" t="n"/>
      <c r="X9559" s="8" t="n"/>
      <c r="Y9559" s="8" t="n"/>
    </row>
    <row r="9560">
      <c r="A9560" s="8" t="n"/>
      <c r="B9560" s="8" t="n"/>
      <c r="C9560" s="8" t="n"/>
      <c r="D9560" s="8" t="n"/>
      <c r="E9560" s="8" t="n"/>
      <c r="F9560" s="8" t="n"/>
      <c r="G9560" s="8" t="n"/>
      <c r="H9560" s="8" t="n"/>
      <c r="I9560" s="8" t="n"/>
      <c r="J9560" s="8" t="n"/>
      <c r="K9560" s="8" t="n"/>
      <c r="L9560" s="8" t="n"/>
      <c r="M9560" s="9">
        <f>B9560+30</f>
        <v/>
      </c>
      <c r="N9560">
        <f>IF(L9560="", "", L9560-B9560)</f>
        <v/>
      </c>
      <c r="O9560">
        <f>IF(L9560="", "Pending", IF(N9560&lt;=30, "Met", "Breached"))</f>
        <v/>
      </c>
      <c r="P9560" s="8" t="n"/>
      <c r="Q9560" s="8" t="n"/>
      <c r="R9560" s="8" t="n"/>
      <c r="S9560" s="8" t="n"/>
      <c r="T9560" s="8" t="n"/>
      <c r="U9560" s="8" t="n"/>
      <c r="V9560" s="8" t="n"/>
      <c r="W9560" s="8" t="n"/>
      <c r="X9560" s="8" t="n"/>
      <c r="Y9560" s="8" t="n"/>
    </row>
    <row r="9561">
      <c r="A9561" s="8" t="n"/>
      <c r="B9561" s="8" t="n"/>
      <c r="C9561" s="8" t="n"/>
      <c r="D9561" s="8" t="n"/>
      <c r="E9561" s="8" t="n"/>
      <c r="F9561" s="8" t="n"/>
      <c r="G9561" s="8" t="n"/>
      <c r="H9561" s="8" t="n"/>
      <c r="I9561" s="8" t="n"/>
      <c r="J9561" s="8" t="n"/>
      <c r="K9561" s="8" t="n"/>
      <c r="L9561" s="8" t="n"/>
      <c r="M9561" s="9">
        <f>B9561+30</f>
        <v/>
      </c>
      <c r="N9561">
        <f>IF(L9561="", "", L9561-B9561)</f>
        <v/>
      </c>
      <c r="O9561">
        <f>IF(L9561="", "Pending", IF(N9561&lt;=30, "Met", "Breached"))</f>
        <v/>
      </c>
      <c r="P9561" s="8" t="n"/>
      <c r="Q9561" s="8" t="n"/>
      <c r="R9561" s="8" t="n"/>
      <c r="S9561" s="8" t="n"/>
      <c r="T9561" s="8" t="n"/>
      <c r="U9561" s="8" t="n"/>
      <c r="V9561" s="8" t="n"/>
      <c r="W9561" s="8" t="n"/>
      <c r="X9561" s="8" t="n"/>
      <c r="Y9561" s="8" t="n"/>
    </row>
    <row r="9562">
      <c r="A9562" s="8" t="n"/>
      <c r="B9562" s="8" t="n"/>
      <c r="C9562" s="8" t="n"/>
      <c r="D9562" s="8" t="n"/>
      <c r="E9562" s="8" t="n"/>
      <c r="F9562" s="8" t="n"/>
      <c r="G9562" s="8" t="n"/>
      <c r="H9562" s="8" t="n"/>
      <c r="I9562" s="8" t="n"/>
      <c r="J9562" s="8" t="n"/>
      <c r="K9562" s="8" t="n"/>
      <c r="L9562" s="8" t="n"/>
      <c r="M9562" s="9">
        <f>B9562+30</f>
        <v/>
      </c>
      <c r="N9562">
        <f>IF(L9562="", "", L9562-B9562)</f>
        <v/>
      </c>
      <c r="O9562">
        <f>IF(L9562="", "Pending", IF(N9562&lt;=30, "Met", "Breached"))</f>
        <v/>
      </c>
      <c r="P9562" s="8" t="n"/>
      <c r="Q9562" s="8" t="n"/>
      <c r="R9562" s="8" t="n"/>
      <c r="S9562" s="8" t="n"/>
      <c r="T9562" s="8" t="n"/>
      <c r="U9562" s="8" t="n"/>
      <c r="V9562" s="8" t="n"/>
      <c r="W9562" s="8" t="n"/>
      <c r="X9562" s="8" t="n"/>
      <c r="Y9562" s="8" t="n"/>
    </row>
    <row r="9563">
      <c r="A9563" s="8" t="n"/>
      <c r="B9563" s="8" t="n"/>
      <c r="C9563" s="8" t="n"/>
      <c r="D9563" s="8" t="n"/>
      <c r="E9563" s="8" t="n"/>
      <c r="F9563" s="8" t="n"/>
      <c r="G9563" s="8" t="n"/>
      <c r="H9563" s="8" t="n"/>
      <c r="I9563" s="8" t="n"/>
      <c r="J9563" s="8" t="n"/>
      <c r="K9563" s="8" t="n"/>
      <c r="L9563" s="8" t="n"/>
      <c r="M9563" s="9">
        <f>B9563+30</f>
        <v/>
      </c>
      <c r="N9563">
        <f>IF(L9563="", "", L9563-B9563)</f>
        <v/>
      </c>
      <c r="O9563">
        <f>IF(L9563="", "Pending", IF(N9563&lt;=30, "Met", "Breached"))</f>
        <v/>
      </c>
      <c r="P9563" s="8" t="n"/>
      <c r="Q9563" s="8" t="n"/>
      <c r="R9563" s="8" t="n"/>
      <c r="S9563" s="8" t="n"/>
      <c r="T9563" s="8" t="n"/>
      <c r="U9563" s="8" t="n"/>
      <c r="V9563" s="8" t="n"/>
      <c r="W9563" s="8" t="n"/>
      <c r="X9563" s="8" t="n"/>
      <c r="Y9563" s="8" t="n"/>
    </row>
    <row r="9564">
      <c r="A9564" s="8" t="n"/>
      <c r="B9564" s="8" t="n"/>
      <c r="C9564" s="8" t="n"/>
      <c r="D9564" s="8" t="n"/>
      <c r="E9564" s="8" t="n"/>
      <c r="F9564" s="8" t="n"/>
      <c r="G9564" s="8" t="n"/>
      <c r="H9564" s="8" t="n"/>
      <c r="I9564" s="8" t="n"/>
      <c r="J9564" s="8" t="n"/>
      <c r="K9564" s="8" t="n"/>
      <c r="L9564" s="8" t="n"/>
      <c r="M9564" s="9">
        <f>B9564+30</f>
        <v/>
      </c>
      <c r="N9564">
        <f>IF(L9564="", "", L9564-B9564)</f>
        <v/>
      </c>
      <c r="O9564">
        <f>IF(L9564="", "Pending", IF(N9564&lt;=30, "Met", "Breached"))</f>
        <v/>
      </c>
      <c r="P9564" s="8" t="n"/>
      <c r="Q9564" s="8" t="n"/>
      <c r="R9564" s="8" t="n"/>
      <c r="S9564" s="8" t="n"/>
      <c r="T9564" s="8" t="n"/>
      <c r="U9564" s="8" t="n"/>
      <c r="V9564" s="8" t="n"/>
      <c r="W9564" s="8" t="n"/>
      <c r="X9564" s="8" t="n"/>
      <c r="Y9564" s="8" t="n"/>
    </row>
    <row r="9565">
      <c r="A9565" s="8" t="n"/>
      <c r="B9565" s="8" t="n"/>
      <c r="C9565" s="8" t="n"/>
      <c r="D9565" s="8" t="n"/>
      <c r="E9565" s="8" t="n"/>
      <c r="F9565" s="8" t="n"/>
      <c r="G9565" s="8" t="n"/>
      <c r="H9565" s="8" t="n"/>
      <c r="I9565" s="8" t="n"/>
      <c r="J9565" s="8" t="n"/>
      <c r="K9565" s="8" t="n"/>
      <c r="L9565" s="8" t="n"/>
      <c r="M9565" s="9">
        <f>B9565+30</f>
        <v/>
      </c>
      <c r="N9565">
        <f>IF(L9565="", "", L9565-B9565)</f>
        <v/>
      </c>
      <c r="O9565">
        <f>IF(L9565="", "Pending", IF(N9565&lt;=30, "Met", "Breached"))</f>
        <v/>
      </c>
      <c r="P9565" s="8" t="n"/>
      <c r="Q9565" s="8" t="n"/>
      <c r="R9565" s="8" t="n"/>
      <c r="S9565" s="8" t="n"/>
      <c r="T9565" s="8" t="n"/>
      <c r="U9565" s="8" t="n"/>
      <c r="V9565" s="8" t="n"/>
      <c r="W9565" s="8" t="n"/>
      <c r="X9565" s="8" t="n"/>
      <c r="Y9565" s="8" t="n"/>
    </row>
    <row r="9566">
      <c r="A9566" s="8" t="n"/>
      <c r="B9566" s="8" t="n"/>
      <c r="C9566" s="8" t="n"/>
      <c r="D9566" s="8" t="n"/>
      <c r="E9566" s="8" t="n"/>
      <c r="F9566" s="8" t="n"/>
      <c r="G9566" s="8" t="n"/>
      <c r="H9566" s="8" t="n"/>
      <c r="I9566" s="8" t="n"/>
      <c r="J9566" s="8" t="n"/>
      <c r="K9566" s="8" t="n"/>
      <c r="L9566" s="8" t="n"/>
      <c r="M9566" s="9">
        <f>B9566+30</f>
        <v/>
      </c>
      <c r="N9566">
        <f>IF(L9566="", "", L9566-B9566)</f>
        <v/>
      </c>
      <c r="O9566">
        <f>IF(L9566="", "Pending", IF(N9566&lt;=30, "Met", "Breached"))</f>
        <v/>
      </c>
      <c r="P9566" s="8" t="n"/>
      <c r="Q9566" s="8" t="n"/>
      <c r="R9566" s="8" t="n"/>
      <c r="S9566" s="8" t="n"/>
      <c r="T9566" s="8" t="n"/>
      <c r="U9566" s="8" t="n"/>
      <c r="V9566" s="8" t="n"/>
      <c r="W9566" s="8" t="n"/>
      <c r="X9566" s="8" t="n"/>
      <c r="Y9566" s="8" t="n"/>
    </row>
    <row r="9567">
      <c r="A9567" s="8" t="n"/>
      <c r="B9567" s="8" t="n"/>
      <c r="C9567" s="8" t="n"/>
      <c r="D9567" s="8" t="n"/>
      <c r="E9567" s="8" t="n"/>
      <c r="F9567" s="8" t="n"/>
      <c r="G9567" s="8" t="n"/>
      <c r="H9567" s="8" t="n"/>
      <c r="I9567" s="8" t="n"/>
      <c r="J9567" s="8" t="n"/>
      <c r="K9567" s="8" t="n"/>
      <c r="L9567" s="8" t="n"/>
      <c r="M9567" s="9">
        <f>B9567+30</f>
        <v/>
      </c>
      <c r="N9567">
        <f>IF(L9567="", "", L9567-B9567)</f>
        <v/>
      </c>
      <c r="O9567">
        <f>IF(L9567="", "Pending", IF(N9567&lt;=30, "Met", "Breached"))</f>
        <v/>
      </c>
      <c r="P9567" s="8" t="n"/>
      <c r="Q9567" s="8" t="n"/>
      <c r="R9567" s="8" t="n"/>
      <c r="S9567" s="8" t="n"/>
      <c r="T9567" s="8" t="n"/>
      <c r="U9567" s="8" t="n"/>
      <c r="V9567" s="8" t="n"/>
      <c r="W9567" s="8" t="n"/>
      <c r="X9567" s="8" t="n"/>
      <c r="Y9567" s="8" t="n"/>
    </row>
    <row r="9568">
      <c r="A9568" s="8" t="n"/>
      <c r="B9568" s="8" t="n"/>
      <c r="C9568" s="8" t="n"/>
      <c r="D9568" s="8" t="n"/>
      <c r="E9568" s="8" t="n"/>
      <c r="F9568" s="8" t="n"/>
      <c r="G9568" s="8" t="n"/>
      <c r="H9568" s="8" t="n"/>
      <c r="I9568" s="8" t="n"/>
      <c r="J9568" s="8" t="n"/>
      <c r="K9568" s="8" t="n"/>
      <c r="L9568" s="8" t="n"/>
      <c r="M9568" s="9">
        <f>B9568+30</f>
        <v/>
      </c>
      <c r="N9568">
        <f>IF(L9568="", "", L9568-B9568)</f>
        <v/>
      </c>
      <c r="O9568">
        <f>IF(L9568="", "Pending", IF(N9568&lt;=30, "Met", "Breached"))</f>
        <v/>
      </c>
      <c r="P9568" s="8" t="n"/>
      <c r="Q9568" s="8" t="n"/>
      <c r="R9568" s="8" t="n"/>
      <c r="S9568" s="8" t="n"/>
      <c r="T9568" s="8" t="n"/>
      <c r="U9568" s="8" t="n"/>
      <c r="V9568" s="8" t="n"/>
      <c r="W9568" s="8" t="n"/>
      <c r="X9568" s="8" t="n"/>
      <c r="Y9568" s="8" t="n"/>
    </row>
    <row r="9569">
      <c r="A9569" s="8" t="n"/>
      <c r="B9569" s="8" t="n"/>
      <c r="C9569" s="8" t="n"/>
      <c r="D9569" s="8" t="n"/>
      <c r="E9569" s="8" t="n"/>
      <c r="F9569" s="8" t="n"/>
      <c r="G9569" s="8" t="n"/>
      <c r="H9569" s="8" t="n"/>
      <c r="I9569" s="8" t="n"/>
      <c r="J9569" s="8" t="n"/>
      <c r="K9569" s="8" t="n"/>
      <c r="L9569" s="8" t="n"/>
      <c r="M9569" s="9">
        <f>B9569+30</f>
        <v/>
      </c>
      <c r="N9569">
        <f>IF(L9569="", "", L9569-B9569)</f>
        <v/>
      </c>
      <c r="O9569">
        <f>IF(L9569="", "Pending", IF(N9569&lt;=30, "Met", "Breached"))</f>
        <v/>
      </c>
      <c r="P9569" s="8" t="n"/>
      <c r="Q9569" s="8" t="n"/>
      <c r="R9569" s="8" t="n"/>
      <c r="S9569" s="8" t="n"/>
      <c r="T9569" s="8" t="n"/>
      <c r="U9569" s="8" t="n"/>
      <c r="V9569" s="8" t="n"/>
      <c r="W9569" s="8" t="n"/>
      <c r="X9569" s="8" t="n"/>
      <c r="Y9569" s="8" t="n"/>
    </row>
    <row r="9570">
      <c r="A9570" s="8" t="n"/>
      <c r="B9570" s="8" t="n"/>
      <c r="C9570" s="8" t="n"/>
      <c r="D9570" s="8" t="n"/>
      <c r="E9570" s="8" t="n"/>
      <c r="F9570" s="8" t="n"/>
      <c r="G9570" s="8" t="n"/>
      <c r="H9570" s="8" t="n"/>
      <c r="I9570" s="8" t="n"/>
      <c r="J9570" s="8" t="n"/>
      <c r="K9570" s="8" t="n"/>
      <c r="L9570" s="8" t="n"/>
      <c r="M9570" s="9">
        <f>B9570+30</f>
        <v/>
      </c>
      <c r="N9570">
        <f>IF(L9570="", "", L9570-B9570)</f>
        <v/>
      </c>
      <c r="O9570">
        <f>IF(L9570="", "Pending", IF(N9570&lt;=30, "Met", "Breached"))</f>
        <v/>
      </c>
      <c r="P9570" s="8" t="n"/>
      <c r="Q9570" s="8" t="n"/>
      <c r="R9570" s="8" t="n"/>
      <c r="S9570" s="8" t="n"/>
      <c r="T9570" s="8" t="n"/>
      <c r="U9570" s="8" t="n"/>
      <c r="V9570" s="8" t="n"/>
      <c r="W9570" s="8" t="n"/>
      <c r="X9570" s="8" t="n"/>
      <c r="Y9570" s="8" t="n"/>
    </row>
    <row r="9571">
      <c r="A9571" s="8" t="n"/>
      <c r="B9571" s="8" t="n"/>
      <c r="C9571" s="8" t="n"/>
      <c r="D9571" s="8" t="n"/>
      <c r="E9571" s="8" t="n"/>
      <c r="F9571" s="8" t="n"/>
      <c r="G9571" s="8" t="n"/>
      <c r="H9571" s="8" t="n"/>
      <c r="I9571" s="8" t="n"/>
      <c r="J9571" s="8" t="n"/>
      <c r="K9571" s="8" t="n"/>
      <c r="L9571" s="8" t="n"/>
      <c r="M9571" s="9">
        <f>B9571+30</f>
        <v/>
      </c>
      <c r="N9571">
        <f>IF(L9571="", "", L9571-B9571)</f>
        <v/>
      </c>
      <c r="O9571">
        <f>IF(L9571="", "Pending", IF(N9571&lt;=30, "Met", "Breached"))</f>
        <v/>
      </c>
      <c r="P9571" s="8" t="n"/>
      <c r="Q9571" s="8" t="n"/>
      <c r="R9571" s="8" t="n"/>
      <c r="S9571" s="8" t="n"/>
      <c r="T9571" s="8" t="n"/>
      <c r="U9571" s="8" t="n"/>
      <c r="V9571" s="8" t="n"/>
      <c r="W9571" s="8" t="n"/>
      <c r="X9571" s="8" t="n"/>
      <c r="Y9571" s="8" t="n"/>
    </row>
    <row r="9572">
      <c r="A9572" s="8" t="n"/>
      <c r="B9572" s="8" t="n"/>
      <c r="C9572" s="8" t="n"/>
      <c r="D9572" s="8" t="n"/>
      <c r="E9572" s="8" t="n"/>
      <c r="F9572" s="8" t="n"/>
      <c r="G9572" s="8" t="n"/>
      <c r="H9572" s="8" t="n"/>
      <c r="I9572" s="8" t="n"/>
      <c r="J9572" s="8" t="n"/>
      <c r="K9572" s="8" t="n"/>
      <c r="L9572" s="8" t="n"/>
      <c r="M9572" s="9">
        <f>B9572+30</f>
        <v/>
      </c>
      <c r="N9572">
        <f>IF(L9572="", "", L9572-B9572)</f>
        <v/>
      </c>
      <c r="O9572">
        <f>IF(L9572="", "Pending", IF(N9572&lt;=30, "Met", "Breached"))</f>
        <v/>
      </c>
      <c r="P9572" s="8" t="n"/>
      <c r="Q9572" s="8" t="n"/>
      <c r="R9572" s="8" t="n"/>
      <c r="S9572" s="8" t="n"/>
      <c r="T9572" s="8" t="n"/>
      <c r="U9572" s="8" t="n"/>
      <c r="V9572" s="8" t="n"/>
      <c r="W9572" s="8" t="n"/>
      <c r="X9572" s="8" t="n"/>
      <c r="Y9572" s="8" t="n"/>
    </row>
    <row r="9573">
      <c r="A9573" s="8" t="n"/>
      <c r="B9573" s="8" t="n"/>
      <c r="C9573" s="8" t="n"/>
      <c r="D9573" s="8" t="n"/>
      <c r="E9573" s="8" t="n"/>
      <c r="F9573" s="8" t="n"/>
      <c r="G9573" s="8" t="n"/>
      <c r="H9573" s="8" t="n"/>
      <c r="I9573" s="8" t="n"/>
      <c r="J9573" s="8" t="n"/>
      <c r="K9573" s="8" t="n"/>
      <c r="L9573" s="8" t="n"/>
      <c r="M9573" s="9">
        <f>B9573+30</f>
        <v/>
      </c>
      <c r="N9573">
        <f>IF(L9573="", "", L9573-B9573)</f>
        <v/>
      </c>
      <c r="O9573">
        <f>IF(L9573="", "Pending", IF(N9573&lt;=30, "Met", "Breached"))</f>
        <v/>
      </c>
      <c r="P9573" s="8" t="n"/>
      <c r="Q9573" s="8" t="n"/>
      <c r="R9573" s="8" t="n"/>
      <c r="S9573" s="8" t="n"/>
      <c r="T9573" s="8" t="n"/>
      <c r="U9573" s="8" t="n"/>
      <c r="V9573" s="8" t="n"/>
      <c r="W9573" s="8" t="n"/>
      <c r="X9573" s="8" t="n"/>
      <c r="Y9573" s="8" t="n"/>
    </row>
    <row r="9574">
      <c r="A9574" s="8" t="n"/>
      <c r="B9574" s="8" t="n"/>
      <c r="C9574" s="8" t="n"/>
      <c r="D9574" s="8" t="n"/>
      <c r="E9574" s="8" t="n"/>
      <c r="F9574" s="8" t="n"/>
      <c r="G9574" s="8" t="n"/>
      <c r="H9574" s="8" t="n"/>
      <c r="I9574" s="8" t="n"/>
      <c r="J9574" s="8" t="n"/>
      <c r="K9574" s="8" t="n"/>
      <c r="L9574" s="8" t="n"/>
      <c r="M9574" s="9">
        <f>B9574+30</f>
        <v/>
      </c>
      <c r="N9574">
        <f>IF(L9574="", "", L9574-B9574)</f>
        <v/>
      </c>
      <c r="O9574">
        <f>IF(L9574="", "Pending", IF(N9574&lt;=30, "Met", "Breached"))</f>
        <v/>
      </c>
      <c r="P9574" s="8" t="n"/>
      <c r="Q9574" s="8" t="n"/>
      <c r="R9574" s="8" t="n"/>
      <c r="S9574" s="8" t="n"/>
      <c r="T9574" s="8" t="n"/>
      <c r="U9574" s="8" t="n"/>
      <c r="V9574" s="8" t="n"/>
      <c r="W9574" s="8" t="n"/>
      <c r="X9574" s="8" t="n"/>
      <c r="Y9574" s="8" t="n"/>
    </row>
    <row r="9575">
      <c r="A9575" s="8" t="n"/>
      <c r="B9575" s="8" t="n"/>
      <c r="C9575" s="8" t="n"/>
      <c r="D9575" s="8" t="n"/>
      <c r="E9575" s="8" t="n"/>
      <c r="F9575" s="8" t="n"/>
      <c r="G9575" s="8" t="n"/>
      <c r="H9575" s="8" t="n"/>
      <c r="I9575" s="8" t="n"/>
      <c r="J9575" s="8" t="n"/>
      <c r="K9575" s="8" t="n"/>
      <c r="L9575" s="8" t="n"/>
      <c r="M9575" s="9">
        <f>B9575+30</f>
        <v/>
      </c>
      <c r="N9575">
        <f>IF(L9575="", "", L9575-B9575)</f>
        <v/>
      </c>
      <c r="O9575">
        <f>IF(L9575="", "Pending", IF(N9575&lt;=30, "Met", "Breached"))</f>
        <v/>
      </c>
      <c r="P9575" s="8" t="n"/>
      <c r="Q9575" s="8" t="n"/>
      <c r="R9575" s="8" t="n"/>
      <c r="S9575" s="8" t="n"/>
      <c r="T9575" s="8" t="n"/>
      <c r="U9575" s="8" t="n"/>
      <c r="V9575" s="8" t="n"/>
      <c r="W9575" s="8" t="n"/>
      <c r="X9575" s="8" t="n"/>
      <c r="Y9575" s="8" t="n"/>
    </row>
    <row r="9576">
      <c r="A9576" s="8" t="n"/>
      <c r="B9576" s="8" t="n"/>
      <c r="C9576" s="8" t="n"/>
      <c r="D9576" s="8" t="n"/>
      <c r="E9576" s="8" t="n"/>
      <c r="F9576" s="8" t="n"/>
      <c r="G9576" s="8" t="n"/>
      <c r="H9576" s="8" t="n"/>
      <c r="I9576" s="8" t="n"/>
      <c r="J9576" s="8" t="n"/>
      <c r="K9576" s="8" t="n"/>
      <c r="L9576" s="8" t="n"/>
      <c r="M9576" s="9">
        <f>B9576+30</f>
        <v/>
      </c>
      <c r="N9576">
        <f>IF(L9576="", "", L9576-B9576)</f>
        <v/>
      </c>
      <c r="O9576">
        <f>IF(L9576="", "Pending", IF(N9576&lt;=30, "Met", "Breached"))</f>
        <v/>
      </c>
      <c r="P9576" s="8" t="n"/>
      <c r="Q9576" s="8" t="n"/>
      <c r="R9576" s="8" t="n"/>
      <c r="S9576" s="8" t="n"/>
      <c r="T9576" s="8" t="n"/>
      <c r="U9576" s="8" t="n"/>
      <c r="V9576" s="8" t="n"/>
      <c r="W9576" s="8" t="n"/>
      <c r="X9576" s="8" t="n"/>
      <c r="Y9576" s="8" t="n"/>
    </row>
    <row r="9577">
      <c r="A9577" s="8" t="n"/>
      <c r="B9577" s="8" t="n"/>
      <c r="C9577" s="8" t="n"/>
      <c r="D9577" s="8" t="n"/>
      <c r="E9577" s="8" t="n"/>
      <c r="F9577" s="8" t="n"/>
      <c r="G9577" s="8" t="n"/>
      <c r="H9577" s="8" t="n"/>
      <c r="I9577" s="8" t="n"/>
      <c r="J9577" s="8" t="n"/>
      <c r="K9577" s="8" t="n"/>
      <c r="L9577" s="8" t="n"/>
      <c r="M9577" s="9">
        <f>B9577+30</f>
        <v/>
      </c>
      <c r="N9577">
        <f>IF(L9577="", "", L9577-B9577)</f>
        <v/>
      </c>
      <c r="O9577">
        <f>IF(L9577="", "Pending", IF(N9577&lt;=30, "Met", "Breached"))</f>
        <v/>
      </c>
      <c r="P9577" s="8" t="n"/>
      <c r="Q9577" s="8" t="n"/>
      <c r="R9577" s="8" t="n"/>
      <c r="S9577" s="8" t="n"/>
      <c r="T9577" s="8" t="n"/>
      <c r="U9577" s="8" t="n"/>
      <c r="V9577" s="8" t="n"/>
      <c r="W9577" s="8" t="n"/>
      <c r="X9577" s="8" t="n"/>
      <c r="Y9577" s="8" t="n"/>
    </row>
    <row r="9578">
      <c r="A9578" s="8" t="n"/>
      <c r="B9578" s="8" t="n"/>
      <c r="C9578" s="8" t="n"/>
      <c r="D9578" s="8" t="n"/>
      <c r="E9578" s="8" t="n"/>
      <c r="F9578" s="8" t="n"/>
      <c r="G9578" s="8" t="n"/>
      <c r="H9578" s="8" t="n"/>
      <c r="I9578" s="8" t="n"/>
      <c r="J9578" s="8" t="n"/>
      <c r="K9578" s="8" t="n"/>
      <c r="L9578" s="8" t="n"/>
      <c r="M9578" s="9">
        <f>B9578+30</f>
        <v/>
      </c>
      <c r="N9578">
        <f>IF(L9578="", "", L9578-B9578)</f>
        <v/>
      </c>
      <c r="O9578">
        <f>IF(L9578="", "Pending", IF(N9578&lt;=30, "Met", "Breached"))</f>
        <v/>
      </c>
      <c r="P9578" s="8" t="n"/>
      <c r="Q9578" s="8" t="n"/>
      <c r="R9578" s="8" t="n"/>
      <c r="S9578" s="8" t="n"/>
      <c r="T9578" s="8" t="n"/>
      <c r="U9578" s="8" t="n"/>
      <c r="V9578" s="8" t="n"/>
      <c r="W9578" s="8" t="n"/>
      <c r="X9578" s="8" t="n"/>
      <c r="Y9578" s="8" t="n"/>
    </row>
    <row r="9579">
      <c r="A9579" s="8" t="n"/>
      <c r="B9579" s="8" t="n"/>
      <c r="C9579" s="8" t="n"/>
      <c r="D9579" s="8" t="n"/>
      <c r="E9579" s="8" t="n"/>
      <c r="F9579" s="8" t="n"/>
      <c r="G9579" s="8" t="n"/>
      <c r="H9579" s="8" t="n"/>
      <c r="I9579" s="8" t="n"/>
      <c r="J9579" s="8" t="n"/>
      <c r="K9579" s="8" t="n"/>
      <c r="L9579" s="8" t="n"/>
      <c r="M9579" s="9">
        <f>B9579+30</f>
        <v/>
      </c>
      <c r="N9579">
        <f>IF(L9579="", "", L9579-B9579)</f>
        <v/>
      </c>
      <c r="O9579">
        <f>IF(L9579="", "Pending", IF(N9579&lt;=30, "Met", "Breached"))</f>
        <v/>
      </c>
      <c r="P9579" s="8" t="n"/>
      <c r="Q9579" s="8" t="n"/>
      <c r="R9579" s="8" t="n"/>
      <c r="S9579" s="8" t="n"/>
      <c r="T9579" s="8" t="n"/>
      <c r="U9579" s="8" t="n"/>
      <c r="V9579" s="8" t="n"/>
      <c r="W9579" s="8" t="n"/>
      <c r="X9579" s="8" t="n"/>
      <c r="Y9579" s="8" t="n"/>
    </row>
    <row r="9580">
      <c r="A9580" s="8" t="n"/>
      <c r="B9580" s="8" t="n"/>
      <c r="C9580" s="8" t="n"/>
      <c r="D9580" s="8" t="n"/>
      <c r="E9580" s="8" t="n"/>
      <c r="F9580" s="8" t="n"/>
      <c r="G9580" s="8" t="n"/>
      <c r="H9580" s="8" t="n"/>
      <c r="I9580" s="8" t="n"/>
      <c r="J9580" s="8" t="n"/>
      <c r="K9580" s="8" t="n"/>
      <c r="L9580" s="8" t="n"/>
      <c r="M9580" s="9">
        <f>B9580+30</f>
        <v/>
      </c>
      <c r="N9580">
        <f>IF(L9580="", "", L9580-B9580)</f>
        <v/>
      </c>
      <c r="O9580">
        <f>IF(L9580="", "Pending", IF(N9580&lt;=30, "Met", "Breached"))</f>
        <v/>
      </c>
      <c r="P9580" s="8" t="n"/>
      <c r="Q9580" s="8" t="n"/>
      <c r="R9580" s="8" t="n"/>
      <c r="S9580" s="8" t="n"/>
      <c r="T9580" s="8" t="n"/>
      <c r="U9580" s="8" t="n"/>
      <c r="V9580" s="8" t="n"/>
      <c r="W9580" s="8" t="n"/>
      <c r="X9580" s="8" t="n"/>
      <c r="Y9580" s="8" t="n"/>
    </row>
    <row r="9581">
      <c r="A9581" s="8" t="n"/>
      <c r="B9581" s="8" t="n"/>
      <c r="C9581" s="8" t="n"/>
      <c r="D9581" s="8" t="n"/>
      <c r="E9581" s="8" t="n"/>
      <c r="F9581" s="8" t="n"/>
      <c r="G9581" s="8" t="n"/>
      <c r="H9581" s="8" t="n"/>
      <c r="I9581" s="8" t="n"/>
      <c r="J9581" s="8" t="n"/>
      <c r="K9581" s="8" t="n"/>
      <c r="L9581" s="8" t="n"/>
      <c r="M9581" s="9">
        <f>B9581+30</f>
        <v/>
      </c>
      <c r="N9581">
        <f>IF(L9581="", "", L9581-B9581)</f>
        <v/>
      </c>
      <c r="O9581">
        <f>IF(L9581="", "Pending", IF(N9581&lt;=30, "Met", "Breached"))</f>
        <v/>
      </c>
      <c r="P9581" s="8" t="n"/>
      <c r="Q9581" s="8" t="n"/>
      <c r="R9581" s="8" t="n"/>
      <c r="S9581" s="8" t="n"/>
      <c r="T9581" s="8" t="n"/>
      <c r="U9581" s="8" t="n"/>
      <c r="V9581" s="8" t="n"/>
      <c r="W9581" s="8" t="n"/>
      <c r="X9581" s="8" t="n"/>
      <c r="Y9581" s="8" t="n"/>
    </row>
    <row r="9582">
      <c r="A9582" s="8" t="n"/>
      <c r="B9582" s="8" t="n"/>
      <c r="C9582" s="8" t="n"/>
      <c r="D9582" s="8" t="n"/>
      <c r="E9582" s="8" t="n"/>
      <c r="F9582" s="8" t="n"/>
      <c r="G9582" s="8" t="n"/>
      <c r="H9582" s="8" t="n"/>
      <c r="I9582" s="8" t="n"/>
      <c r="J9582" s="8" t="n"/>
      <c r="K9582" s="8" t="n"/>
      <c r="L9582" s="8" t="n"/>
      <c r="M9582" s="9">
        <f>B9582+30</f>
        <v/>
      </c>
      <c r="N9582">
        <f>IF(L9582="", "", L9582-B9582)</f>
        <v/>
      </c>
      <c r="O9582">
        <f>IF(L9582="", "Pending", IF(N9582&lt;=30, "Met", "Breached"))</f>
        <v/>
      </c>
      <c r="P9582" s="8" t="n"/>
      <c r="Q9582" s="8" t="n"/>
      <c r="R9582" s="8" t="n"/>
      <c r="S9582" s="8" t="n"/>
      <c r="T9582" s="8" t="n"/>
      <c r="U9582" s="8" t="n"/>
      <c r="V9582" s="8" t="n"/>
      <c r="W9582" s="8" t="n"/>
      <c r="X9582" s="8" t="n"/>
      <c r="Y9582" s="8" t="n"/>
    </row>
    <row r="9583">
      <c r="A9583" s="8" t="n"/>
      <c r="B9583" s="8" t="n"/>
      <c r="C9583" s="8" t="n"/>
      <c r="D9583" s="8" t="n"/>
      <c r="E9583" s="8" t="n"/>
      <c r="F9583" s="8" t="n"/>
      <c r="G9583" s="8" t="n"/>
      <c r="H9583" s="8" t="n"/>
      <c r="I9583" s="8" t="n"/>
      <c r="J9583" s="8" t="n"/>
      <c r="K9583" s="8" t="n"/>
      <c r="L9583" s="8" t="n"/>
      <c r="M9583" s="9">
        <f>B9583+30</f>
        <v/>
      </c>
      <c r="N9583">
        <f>IF(L9583="", "", L9583-B9583)</f>
        <v/>
      </c>
      <c r="O9583">
        <f>IF(L9583="", "Pending", IF(N9583&lt;=30, "Met", "Breached"))</f>
        <v/>
      </c>
      <c r="P9583" s="8" t="n"/>
      <c r="Q9583" s="8" t="n"/>
      <c r="R9583" s="8" t="n"/>
      <c r="S9583" s="8" t="n"/>
      <c r="T9583" s="8" t="n"/>
      <c r="U9583" s="8" t="n"/>
      <c r="V9583" s="8" t="n"/>
      <c r="W9583" s="8" t="n"/>
      <c r="X9583" s="8" t="n"/>
      <c r="Y9583" s="8" t="n"/>
    </row>
    <row r="9584">
      <c r="A9584" s="8" t="n"/>
      <c r="B9584" s="8" t="n"/>
      <c r="C9584" s="8" t="n"/>
      <c r="D9584" s="8" t="n"/>
      <c r="E9584" s="8" t="n"/>
      <c r="F9584" s="8" t="n"/>
      <c r="G9584" s="8" t="n"/>
      <c r="H9584" s="8" t="n"/>
      <c r="I9584" s="8" t="n"/>
      <c r="J9584" s="8" t="n"/>
      <c r="K9584" s="8" t="n"/>
      <c r="L9584" s="8" t="n"/>
      <c r="M9584" s="9">
        <f>B9584+30</f>
        <v/>
      </c>
      <c r="N9584">
        <f>IF(L9584="", "", L9584-B9584)</f>
        <v/>
      </c>
      <c r="O9584">
        <f>IF(L9584="", "Pending", IF(N9584&lt;=30, "Met", "Breached"))</f>
        <v/>
      </c>
      <c r="P9584" s="8" t="n"/>
      <c r="Q9584" s="8" t="n"/>
      <c r="R9584" s="8" t="n"/>
      <c r="S9584" s="8" t="n"/>
      <c r="T9584" s="8" t="n"/>
      <c r="U9584" s="8" t="n"/>
      <c r="V9584" s="8" t="n"/>
      <c r="W9584" s="8" t="n"/>
      <c r="X9584" s="8" t="n"/>
      <c r="Y9584" s="8" t="n"/>
    </row>
    <row r="9585">
      <c r="A9585" s="8" t="n"/>
      <c r="B9585" s="8" t="n"/>
      <c r="C9585" s="8" t="n"/>
      <c r="D9585" s="8" t="n"/>
      <c r="E9585" s="8" t="n"/>
      <c r="F9585" s="8" t="n"/>
      <c r="G9585" s="8" t="n"/>
      <c r="H9585" s="8" t="n"/>
      <c r="I9585" s="8" t="n"/>
      <c r="J9585" s="8" t="n"/>
      <c r="K9585" s="8" t="n"/>
      <c r="L9585" s="8" t="n"/>
      <c r="M9585" s="9">
        <f>B9585+30</f>
        <v/>
      </c>
      <c r="N9585">
        <f>IF(L9585="", "", L9585-B9585)</f>
        <v/>
      </c>
      <c r="O9585">
        <f>IF(L9585="", "Pending", IF(N9585&lt;=30, "Met", "Breached"))</f>
        <v/>
      </c>
      <c r="P9585" s="8" t="n"/>
      <c r="Q9585" s="8" t="n"/>
      <c r="R9585" s="8" t="n"/>
      <c r="S9585" s="8" t="n"/>
      <c r="T9585" s="8" t="n"/>
      <c r="U9585" s="8" t="n"/>
      <c r="V9585" s="8" t="n"/>
      <c r="W9585" s="8" t="n"/>
      <c r="X9585" s="8" t="n"/>
      <c r="Y9585" s="8" t="n"/>
    </row>
    <row r="9586">
      <c r="A9586" s="8" t="n"/>
      <c r="B9586" s="8" t="n"/>
      <c r="C9586" s="8" t="n"/>
      <c r="D9586" s="8" t="n"/>
      <c r="E9586" s="8" t="n"/>
      <c r="F9586" s="8" t="n"/>
      <c r="G9586" s="8" t="n"/>
      <c r="H9586" s="8" t="n"/>
      <c r="I9586" s="8" t="n"/>
      <c r="J9586" s="8" t="n"/>
      <c r="K9586" s="8" t="n"/>
      <c r="L9586" s="8" t="n"/>
      <c r="M9586" s="9">
        <f>B9586+30</f>
        <v/>
      </c>
      <c r="N9586">
        <f>IF(L9586="", "", L9586-B9586)</f>
        <v/>
      </c>
      <c r="O9586">
        <f>IF(L9586="", "Pending", IF(N9586&lt;=30, "Met", "Breached"))</f>
        <v/>
      </c>
      <c r="P9586" s="8" t="n"/>
      <c r="Q9586" s="8" t="n"/>
      <c r="R9586" s="8" t="n"/>
      <c r="S9586" s="8" t="n"/>
      <c r="T9586" s="8" t="n"/>
      <c r="U9586" s="8" t="n"/>
      <c r="V9586" s="8" t="n"/>
      <c r="W9586" s="8" t="n"/>
      <c r="X9586" s="8" t="n"/>
      <c r="Y9586" s="8" t="n"/>
    </row>
    <row r="9587">
      <c r="A9587" s="8" t="n"/>
      <c r="B9587" s="8" t="n"/>
      <c r="C9587" s="8" t="n"/>
      <c r="D9587" s="8" t="n"/>
      <c r="E9587" s="8" t="n"/>
      <c r="F9587" s="8" t="n"/>
      <c r="G9587" s="8" t="n"/>
      <c r="H9587" s="8" t="n"/>
      <c r="I9587" s="8" t="n"/>
      <c r="J9587" s="8" t="n"/>
      <c r="K9587" s="8" t="n"/>
      <c r="L9587" s="8" t="n"/>
      <c r="M9587" s="9">
        <f>B9587+30</f>
        <v/>
      </c>
      <c r="N9587">
        <f>IF(L9587="", "", L9587-B9587)</f>
        <v/>
      </c>
      <c r="O9587">
        <f>IF(L9587="", "Pending", IF(N9587&lt;=30, "Met", "Breached"))</f>
        <v/>
      </c>
      <c r="P9587" s="8" t="n"/>
      <c r="Q9587" s="8" t="n"/>
      <c r="R9587" s="8" t="n"/>
      <c r="S9587" s="8" t="n"/>
      <c r="T9587" s="8" t="n"/>
      <c r="U9587" s="8" t="n"/>
      <c r="V9587" s="8" t="n"/>
      <c r="W9587" s="8" t="n"/>
      <c r="X9587" s="8" t="n"/>
      <c r="Y9587" s="8" t="n"/>
    </row>
    <row r="9588">
      <c r="A9588" s="8" t="n"/>
      <c r="B9588" s="8" t="n"/>
      <c r="C9588" s="8" t="n"/>
      <c r="D9588" s="8" t="n"/>
      <c r="E9588" s="8" t="n"/>
      <c r="F9588" s="8" t="n"/>
      <c r="G9588" s="8" t="n"/>
      <c r="H9588" s="8" t="n"/>
      <c r="I9588" s="8" t="n"/>
      <c r="J9588" s="8" t="n"/>
      <c r="K9588" s="8" t="n"/>
      <c r="L9588" s="8" t="n"/>
      <c r="M9588" s="9">
        <f>B9588+30</f>
        <v/>
      </c>
      <c r="N9588">
        <f>IF(L9588="", "", L9588-B9588)</f>
        <v/>
      </c>
      <c r="O9588">
        <f>IF(L9588="", "Pending", IF(N9588&lt;=30, "Met", "Breached"))</f>
        <v/>
      </c>
      <c r="P9588" s="8" t="n"/>
      <c r="Q9588" s="8" t="n"/>
      <c r="R9588" s="8" t="n"/>
      <c r="S9588" s="8" t="n"/>
      <c r="T9588" s="8" t="n"/>
      <c r="U9588" s="8" t="n"/>
      <c r="V9588" s="8" t="n"/>
      <c r="W9588" s="8" t="n"/>
      <c r="X9588" s="8" t="n"/>
      <c r="Y9588" s="8" t="n"/>
    </row>
    <row r="9589">
      <c r="A9589" s="8" t="n"/>
      <c r="B9589" s="8" t="n"/>
      <c r="C9589" s="8" t="n"/>
      <c r="D9589" s="8" t="n"/>
      <c r="E9589" s="8" t="n"/>
      <c r="F9589" s="8" t="n"/>
      <c r="G9589" s="8" t="n"/>
      <c r="H9589" s="8" t="n"/>
      <c r="I9589" s="8" t="n"/>
      <c r="J9589" s="8" t="n"/>
      <c r="K9589" s="8" t="n"/>
      <c r="L9589" s="8" t="n"/>
      <c r="M9589" s="9">
        <f>B9589+30</f>
        <v/>
      </c>
      <c r="N9589">
        <f>IF(L9589="", "", L9589-B9589)</f>
        <v/>
      </c>
      <c r="O9589">
        <f>IF(L9589="", "Pending", IF(N9589&lt;=30, "Met", "Breached"))</f>
        <v/>
      </c>
      <c r="P9589" s="8" t="n"/>
      <c r="Q9589" s="8" t="n"/>
      <c r="R9589" s="8" t="n"/>
      <c r="S9589" s="8" t="n"/>
      <c r="T9589" s="8" t="n"/>
      <c r="U9589" s="8" t="n"/>
      <c r="V9589" s="8" t="n"/>
      <c r="W9589" s="8" t="n"/>
      <c r="X9589" s="8" t="n"/>
      <c r="Y9589" s="8" t="n"/>
    </row>
    <row r="9590">
      <c r="A9590" s="8" t="n"/>
      <c r="B9590" s="8" t="n"/>
      <c r="C9590" s="8" t="n"/>
      <c r="D9590" s="8" t="n"/>
      <c r="E9590" s="8" t="n"/>
      <c r="F9590" s="8" t="n"/>
      <c r="G9590" s="8" t="n"/>
      <c r="H9590" s="8" t="n"/>
      <c r="I9590" s="8" t="n"/>
      <c r="J9590" s="8" t="n"/>
      <c r="K9590" s="8" t="n"/>
      <c r="L9590" s="8" t="n"/>
      <c r="M9590" s="9">
        <f>B9590+30</f>
        <v/>
      </c>
      <c r="N9590">
        <f>IF(L9590="", "", L9590-B9590)</f>
        <v/>
      </c>
      <c r="O9590">
        <f>IF(L9590="", "Pending", IF(N9590&lt;=30, "Met", "Breached"))</f>
        <v/>
      </c>
      <c r="P9590" s="8" t="n"/>
      <c r="Q9590" s="8" t="n"/>
      <c r="R9590" s="8" t="n"/>
      <c r="S9590" s="8" t="n"/>
      <c r="T9590" s="8" t="n"/>
      <c r="U9590" s="8" t="n"/>
      <c r="V9590" s="8" t="n"/>
      <c r="W9590" s="8" t="n"/>
      <c r="X9590" s="8" t="n"/>
      <c r="Y9590" s="8" t="n"/>
    </row>
    <row r="9591">
      <c r="A9591" s="8" t="n"/>
      <c r="B9591" s="8" t="n"/>
      <c r="C9591" s="8" t="n"/>
      <c r="D9591" s="8" t="n"/>
      <c r="E9591" s="8" t="n"/>
      <c r="F9591" s="8" t="n"/>
      <c r="G9591" s="8" t="n"/>
      <c r="H9591" s="8" t="n"/>
      <c r="I9591" s="8" t="n"/>
      <c r="J9591" s="8" t="n"/>
      <c r="K9591" s="8" t="n"/>
      <c r="L9591" s="8" t="n"/>
      <c r="M9591" s="9">
        <f>B9591+30</f>
        <v/>
      </c>
      <c r="N9591">
        <f>IF(L9591="", "", L9591-B9591)</f>
        <v/>
      </c>
      <c r="O9591">
        <f>IF(L9591="", "Pending", IF(N9591&lt;=30, "Met", "Breached"))</f>
        <v/>
      </c>
      <c r="P9591" s="8" t="n"/>
      <c r="Q9591" s="8" t="n"/>
      <c r="R9591" s="8" t="n"/>
      <c r="S9591" s="8" t="n"/>
      <c r="T9591" s="8" t="n"/>
      <c r="U9591" s="8" t="n"/>
      <c r="V9591" s="8" t="n"/>
      <c r="W9591" s="8" t="n"/>
      <c r="X9591" s="8" t="n"/>
      <c r="Y9591" s="8" t="n"/>
    </row>
    <row r="9592">
      <c r="A9592" s="8" t="n"/>
      <c r="B9592" s="8" t="n"/>
      <c r="C9592" s="8" t="n"/>
      <c r="D9592" s="8" t="n"/>
      <c r="E9592" s="8" t="n"/>
      <c r="F9592" s="8" t="n"/>
      <c r="G9592" s="8" t="n"/>
      <c r="H9592" s="8" t="n"/>
      <c r="I9592" s="8" t="n"/>
      <c r="J9592" s="8" t="n"/>
      <c r="K9592" s="8" t="n"/>
      <c r="L9592" s="8" t="n"/>
      <c r="M9592" s="9">
        <f>B9592+30</f>
        <v/>
      </c>
      <c r="N9592">
        <f>IF(L9592="", "", L9592-B9592)</f>
        <v/>
      </c>
      <c r="O9592">
        <f>IF(L9592="", "Pending", IF(N9592&lt;=30, "Met", "Breached"))</f>
        <v/>
      </c>
      <c r="P9592" s="8" t="n"/>
      <c r="Q9592" s="8" t="n"/>
      <c r="R9592" s="8" t="n"/>
      <c r="S9592" s="8" t="n"/>
      <c r="T9592" s="8" t="n"/>
      <c r="U9592" s="8" t="n"/>
      <c r="V9592" s="8" t="n"/>
      <c r="W9592" s="8" t="n"/>
      <c r="X9592" s="8" t="n"/>
      <c r="Y9592" s="8" t="n"/>
    </row>
    <row r="9593">
      <c r="A9593" s="8" t="n"/>
      <c r="B9593" s="8" t="n"/>
      <c r="C9593" s="8" t="n"/>
      <c r="D9593" s="8" t="n"/>
      <c r="E9593" s="8" t="n"/>
      <c r="F9593" s="8" t="n"/>
      <c r="G9593" s="8" t="n"/>
      <c r="H9593" s="8" t="n"/>
      <c r="I9593" s="8" t="n"/>
      <c r="J9593" s="8" t="n"/>
      <c r="K9593" s="8" t="n"/>
      <c r="L9593" s="8" t="n"/>
      <c r="M9593" s="9">
        <f>B9593+30</f>
        <v/>
      </c>
      <c r="N9593">
        <f>IF(L9593="", "", L9593-B9593)</f>
        <v/>
      </c>
      <c r="O9593">
        <f>IF(L9593="", "Pending", IF(N9593&lt;=30, "Met", "Breached"))</f>
        <v/>
      </c>
      <c r="P9593" s="8" t="n"/>
      <c r="Q9593" s="8" t="n"/>
      <c r="R9593" s="8" t="n"/>
      <c r="S9593" s="8" t="n"/>
      <c r="T9593" s="8" t="n"/>
      <c r="U9593" s="8" t="n"/>
      <c r="V9593" s="8" t="n"/>
      <c r="W9593" s="8" t="n"/>
      <c r="X9593" s="8" t="n"/>
      <c r="Y9593" s="8" t="n"/>
    </row>
    <row r="9594">
      <c r="A9594" s="8" t="n"/>
      <c r="B9594" s="8" t="n"/>
      <c r="C9594" s="8" t="n"/>
      <c r="D9594" s="8" t="n"/>
      <c r="E9594" s="8" t="n"/>
      <c r="F9594" s="8" t="n"/>
      <c r="G9594" s="8" t="n"/>
      <c r="H9594" s="8" t="n"/>
      <c r="I9594" s="8" t="n"/>
      <c r="J9594" s="8" t="n"/>
      <c r="K9594" s="8" t="n"/>
      <c r="L9594" s="8" t="n"/>
      <c r="M9594" s="9">
        <f>B9594+30</f>
        <v/>
      </c>
      <c r="N9594">
        <f>IF(L9594="", "", L9594-B9594)</f>
        <v/>
      </c>
      <c r="O9594">
        <f>IF(L9594="", "Pending", IF(N9594&lt;=30, "Met", "Breached"))</f>
        <v/>
      </c>
      <c r="P9594" s="8" t="n"/>
      <c r="Q9594" s="8" t="n"/>
      <c r="R9594" s="8" t="n"/>
      <c r="S9594" s="8" t="n"/>
      <c r="T9594" s="8" t="n"/>
      <c r="U9594" s="8" t="n"/>
      <c r="V9594" s="8" t="n"/>
      <c r="W9594" s="8" t="n"/>
      <c r="X9594" s="8" t="n"/>
      <c r="Y9594" s="8" t="n"/>
    </row>
    <row r="9595">
      <c r="A9595" s="8" t="n"/>
      <c r="B9595" s="8" t="n"/>
      <c r="C9595" s="8" t="n"/>
      <c r="D9595" s="8" t="n"/>
      <c r="E9595" s="8" t="n"/>
      <c r="F9595" s="8" t="n"/>
      <c r="G9595" s="8" t="n"/>
      <c r="H9595" s="8" t="n"/>
      <c r="I9595" s="8" t="n"/>
      <c r="J9595" s="8" t="n"/>
      <c r="K9595" s="8" t="n"/>
      <c r="L9595" s="8" t="n"/>
      <c r="M9595" s="9">
        <f>B9595+30</f>
        <v/>
      </c>
      <c r="N9595">
        <f>IF(L9595="", "", L9595-B9595)</f>
        <v/>
      </c>
      <c r="O9595">
        <f>IF(L9595="", "Pending", IF(N9595&lt;=30, "Met", "Breached"))</f>
        <v/>
      </c>
      <c r="P9595" s="8" t="n"/>
      <c r="Q9595" s="8" t="n"/>
      <c r="R9595" s="8" t="n"/>
      <c r="S9595" s="8" t="n"/>
      <c r="T9595" s="8" t="n"/>
      <c r="U9595" s="8" t="n"/>
      <c r="V9595" s="8" t="n"/>
      <c r="W9595" s="8" t="n"/>
      <c r="X9595" s="8" t="n"/>
      <c r="Y9595" s="8" t="n"/>
    </row>
    <row r="9596">
      <c r="A9596" s="8" t="n"/>
      <c r="B9596" s="8" t="n"/>
      <c r="C9596" s="8" t="n"/>
      <c r="D9596" s="8" t="n"/>
      <c r="E9596" s="8" t="n"/>
      <c r="F9596" s="8" t="n"/>
      <c r="G9596" s="8" t="n"/>
      <c r="H9596" s="8" t="n"/>
      <c r="I9596" s="8" t="n"/>
      <c r="J9596" s="8" t="n"/>
      <c r="K9596" s="8" t="n"/>
      <c r="L9596" s="8" t="n"/>
      <c r="M9596" s="9">
        <f>B9596+30</f>
        <v/>
      </c>
      <c r="N9596">
        <f>IF(L9596="", "", L9596-B9596)</f>
        <v/>
      </c>
      <c r="O9596">
        <f>IF(L9596="", "Pending", IF(N9596&lt;=30, "Met", "Breached"))</f>
        <v/>
      </c>
      <c r="P9596" s="8" t="n"/>
      <c r="Q9596" s="8" t="n"/>
      <c r="R9596" s="8" t="n"/>
      <c r="S9596" s="8" t="n"/>
      <c r="T9596" s="8" t="n"/>
      <c r="U9596" s="8" t="n"/>
      <c r="V9596" s="8" t="n"/>
      <c r="W9596" s="8" t="n"/>
      <c r="X9596" s="8" t="n"/>
      <c r="Y9596" s="8" t="n"/>
    </row>
    <row r="9597">
      <c r="A9597" s="8" t="n"/>
      <c r="B9597" s="8" t="n"/>
      <c r="C9597" s="8" t="n"/>
      <c r="D9597" s="8" t="n"/>
      <c r="E9597" s="8" t="n"/>
      <c r="F9597" s="8" t="n"/>
      <c r="G9597" s="8" t="n"/>
      <c r="H9597" s="8" t="n"/>
      <c r="I9597" s="8" t="n"/>
      <c r="J9597" s="8" t="n"/>
      <c r="K9597" s="8" t="n"/>
      <c r="L9597" s="8" t="n"/>
      <c r="M9597" s="9">
        <f>B9597+30</f>
        <v/>
      </c>
      <c r="N9597">
        <f>IF(L9597="", "", L9597-B9597)</f>
        <v/>
      </c>
      <c r="O9597">
        <f>IF(L9597="", "Pending", IF(N9597&lt;=30, "Met", "Breached"))</f>
        <v/>
      </c>
      <c r="P9597" s="8" t="n"/>
      <c r="Q9597" s="8" t="n"/>
      <c r="R9597" s="8" t="n"/>
      <c r="S9597" s="8" t="n"/>
      <c r="T9597" s="8" t="n"/>
      <c r="U9597" s="8" t="n"/>
      <c r="V9597" s="8" t="n"/>
      <c r="W9597" s="8" t="n"/>
      <c r="X9597" s="8" t="n"/>
      <c r="Y9597" s="8" t="n"/>
    </row>
    <row r="9598">
      <c r="A9598" s="8" t="n"/>
      <c r="B9598" s="8" t="n"/>
      <c r="C9598" s="8" t="n"/>
      <c r="D9598" s="8" t="n"/>
      <c r="E9598" s="8" t="n"/>
      <c r="F9598" s="8" t="n"/>
      <c r="G9598" s="8" t="n"/>
      <c r="H9598" s="8" t="n"/>
      <c r="I9598" s="8" t="n"/>
      <c r="J9598" s="8" t="n"/>
      <c r="K9598" s="8" t="n"/>
      <c r="L9598" s="8" t="n"/>
      <c r="M9598" s="9">
        <f>B9598+30</f>
        <v/>
      </c>
      <c r="N9598">
        <f>IF(L9598="", "", L9598-B9598)</f>
        <v/>
      </c>
      <c r="O9598">
        <f>IF(L9598="", "Pending", IF(N9598&lt;=30, "Met", "Breached"))</f>
        <v/>
      </c>
      <c r="P9598" s="8" t="n"/>
      <c r="Q9598" s="8" t="n"/>
      <c r="R9598" s="8" t="n"/>
      <c r="S9598" s="8" t="n"/>
      <c r="T9598" s="8" t="n"/>
      <c r="U9598" s="8" t="n"/>
      <c r="V9598" s="8" t="n"/>
      <c r="W9598" s="8" t="n"/>
      <c r="X9598" s="8" t="n"/>
      <c r="Y9598" s="8" t="n"/>
    </row>
    <row r="9599">
      <c r="A9599" s="8" t="n"/>
      <c r="B9599" s="8" t="n"/>
      <c r="C9599" s="8" t="n"/>
      <c r="D9599" s="8" t="n"/>
      <c r="E9599" s="8" t="n"/>
      <c r="F9599" s="8" t="n"/>
      <c r="G9599" s="8" t="n"/>
      <c r="H9599" s="8" t="n"/>
      <c r="I9599" s="8" t="n"/>
      <c r="J9599" s="8" t="n"/>
      <c r="K9599" s="8" t="n"/>
      <c r="L9599" s="8" t="n"/>
      <c r="M9599" s="9">
        <f>B9599+30</f>
        <v/>
      </c>
      <c r="N9599">
        <f>IF(L9599="", "", L9599-B9599)</f>
        <v/>
      </c>
      <c r="O9599">
        <f>IF(L9599="", "Pending", IF(N9599&lt;=30, "Met", "Breached"))</f>
        <v/>
      </c>
      <c r="P9599" s="8" t="n"/>
      <c r="Q9599" s="8" t="n"/>
      <c r="R9599" s="8" t="n"/>
      <c r="S9599" s="8" t="n"/>
      <c r="T9599" s="8" t="n"/>
      <c r="U9599" s="8" t="n"/>
      <c r="V9599" s="8" t="n"/>
      <c r="W9599" s="8" t="n"/>
      <c r="X9599" s="8" t="n"/>
      <c r="Y9599" s="8" t="n"/>
    </row>
    <row r="9600">
      <c r="A9600" s="8" t="n"/>
      <c r="B9600" s="8" t="n"/>
      <c r="C9600" s="8" t="n"/>
      <c r="D9600" s="8" t="n"/>
      <c r="E9600" s="8" t="n"/>
      <c r="F9600" s="8" t="n"/>
      <c r="G9600" s="8" t="n"/>
      <c r="H9600" s="8" t="n"/>
      <c r="I9600" s="8" t="n"/>
      <c r="J9600" s="8" t="n"/>
      <c r="K9600" s="8" t="n"/>
      <c r="L9600" s="8" t="n"/>
      <c r="M9600" s="9">
        <f>B9600+30</f>
        <v/>
      </c>
      <c r="N9600">
        <f>IF(L9600="", "", L9600-B9600)</f>
        <v/>
      </c>
      <c r="O9600">
        <f>IF(L9600="", "Pending", IF(N9600&lt;=30, "Met", "Breached"))</f>
        <v/>
      </c>
      <c r="P9600" s="8" t="n"/>
      <c r="Q9600" s="8" t="n"/>
      <c r="R9600" s="8" t="n"/>
      <c r="S9600" s="8" t="n"/>
      <c r="T9600" s="8" t="n"/>
      <c r="U9600" s="8" t="n"/>
      <c r="V9600" s="8" t="n"/>
      <c r="W9600" s="8" t="n"/>
      <c r="X9600" s="8" t="n"/>
      <c r="Y9600" s="8" t="n"/>
    </row>
    <row r="9601">
      <c r="A9601" s="8" t="n"/>
      <c r="B9601" s="8" t="n"/>
      <c r="C9601" s="8" t="n"/>
      <c r="D9601" s="8" t="n"/>
      <c r="E9601" s="8" t="n"/>
      <c r="F9601" s="8" t="n"/>
      <c r="G9601" s="8" t="n"/>
      <c r="H9601" s="8" t="n"/>
      <c r="I9601" s="8" t="n"/>
      <c r="J9601" s="8" t="n"/>
      <c r="K9601" s="8" t="n"/>
      <c r="L9601" s="8" t="n"/>
      <c r="M9601" s="9">
        <f>B9601+30</f>
        <v/>
      </c>
      <c r="N9601">
        <f>IF(L9601="", "", L9601-B9601)</f>
        <v/>
      </c>
      <c r="O9601">
        <f>IF(L9601="", "Pending", IF(N9601&lt;=30, "Met", "Breached"))</f>
        <v/>
      </c>
      <c r="P9601" s="8" t="n"/>
      <c r="Q9601" s="8" t="n"/>
      <c r="R9601" s="8" t="n"/>
      <c r="S9601" s="8" t="n"/>
      <c r="T9601" s="8" t="n"/>
      <c r="U9601" s="8" t="n"/>
      <c r="V9601" s="8" t="n"/>
      <c r="W9601" s="8" t="n"/>
      <c r="X9601" s="8" t="n"/>
      <c r="Y9601" s="8" t="n"/>
    </row>
    <row r="9602">
      <c r="A9602" s="8" t="n"/>
      <c r="B9602" s="8" t="n"/>
      <c r="C9602" s="8" t="n"/>
      <c r="D9602" s="8" t="n"/>
      <c r="E9602" s="8" t="n"/>
      <c r="F9602" s="8" t="n"/>
      <c r="G9602" s="8" t="n"/>
      <c r="H9602" s="8" t="n"/>
      <c r="I9602" s="8" t="n"/>
      <c r="J9602" s="8" t="n"/>
      <c r="K9602" s="8" t="n"/>
      <c r="L9602" s="8" t="n"/>
      <c r="M9602" s="9">
        <f>B9602+30</f>
        <v/>
      </c>
      <c r="N9602">
        <f>IF(L9602="", "", L9602-B9602)</f>
        <v/>
      </c>
      <c r="O9602">
        <f>IF(L9602="", "Pending", IF(N9602&lt;=30, "Met", "Breached"))</f>
        <v/>
      </c>
      <c r="P9602" s="8" t="n"/>
      <c r="Q9602" s="8" t="n"/>
      <c r="R9602" s="8" t="n"/>
      <c r="S9602" s="8" t="n"/>
      <c r="T9602" s="8" t="n"/>
      <c r="U9602" s="8" t="n"/>
      <c r="V9602" s="8" t="n"/>
      <c r="W9602" s="8" t="n"/>
      <c r="X9602" s="8" t="n"/>
      <c r="Y9602" s="8" t="n"/>
    </row>
    <row r="9603">
      <c r="A9603" s="8" t="n"/>
      <c r="B9603" s="8" t="n"/>
      <c r="C9603" s="8" t="n"/>
      <c r="D9603" s="8" t="n"/>
      <c r="E9603" s="8" t="n"/>
      <c r="F9603" s="8" t="n"/>
      <c r="G9603" s="8" t="n"/>
      <c r="H9603" s="8" t="n"/>
      <c r="I9603" s="8" t="n"/>
      <c r="J9603" s="8" t="n"/>
      <c r="K9603" s="8" t="n"/>
      <c r="L9603" s="8" t="n"/>
      <c r="M9603" s="9">
        <f>B9603+30</f>
        <v/>
      </c>
      <c r="N9603">
        <f>IF(L9603="", "", L9603-B9603)</f>
        <v/>
      </c>
      <c r="O9603">
        <f>IF(L9603="", "Pending", IF(N9603&lt;=30, "Met", "Breached"))</f>
        <v/>
      </c>
      <c r="P9603" s="8" t="n"/>
      <c r="Q9603" s="8" t="n"/>
      <c r="R9603" s="8" t="n"/>
      <c r="S9603" s="8" t="n"/>
      <c r="T9603" s="8" t="n"/>
      <c r="U9603" s="8" t="n"/>
      <c r="V9603" s="8" t="n"/>
      <c r="W9603" s="8" t="n"/>
      <c r="X9603" s="8" t="n"/>
      <c r="Y9603" s="8" t="n"/>
    </row>
    <row r="9604">
      <c r="A9604" s="8" t="n"/>
      <c r="B9604" s="8" t="n"/>
      <c r="C9604" s="8" t="n"/>
      <c r="D9604" s="8" t="n"/>
      <c r="E9604" s="8" t="n"/>
      <c r="F9604" s="8" t="n"/>
      <c r="G9604" s="8" t="n"/>
      <c r="H9604" s="8" t="n"/>
      <c r="I9604" s="8" t="n"/>
      <c r="J9604" s="8" t="n"/>
      <c r="K9604" s="8" t="n"/>
      <c r="L9604" s="8" t="n"/>
      <c r="M9604" s="9">
        <f>B9604+30</f>
        <v/>
      </c>
      <c r="N9604">
        <f>IF(L9604="", "", L9604-B9604)</f>
        <v/>
      </c>
      <c r="O9604">
        <f>IF(L9604="", "Pending", IF(N9604&lt;=30, "Met", "Breached"))</f>
        <v/>
      </c>
      <c r="P9604" s="8" t="n"/>
      <c r="Q9604" s="8" t="n"/>
      <c r="R9604" s="8" t="n"/>
      <c r="S9604" s="8" t="n"/>
      <c r="T9604" s="8" t="n"/>
      <c r="U9604" s="8" t="n"/>
      <c r="V9604" s="8" t="n"/>
      <c r="W9604" s="8" t="n"/>
      <c r="X9604" s="8" t="n"/>
      <c r="Y9604" s="8" t="n"/>
    </row>
    <row r="9605">
      <c r="A9605" s="8" t="n"/>
      <c r="B9605" s="8" t="n"/>
      <c r="C9605" s="8" t="n"/>
      <c r="D9605" s="8" t="n"/>
      <c r="E9605" s="8" t="n"/>
      <c r="F9605" s="8" t="n"/>
      <c r="G9605" s="8" t="n"/>
      <c r="H9605" s="8" t="n"/>
      <c r="I9605" s="8" t="n"/>
      <c r="J9605" s="8" t="n"/>
      <c r="K9605" s="8" t="n"/>
      <c r="L9605" s="8" t="n"/>
      <c r="M9605" s="9">
        <f>B9605+30</f>
        <v/>
      </c>
      <c r="N9605">
        <f>IF(L9605="", "", L9605-B9605)</f>
        <v/>
      </c>
      <c r="O9605">
        <f>IF(L9605="", "Pending", IF(N9605&lt;=30, "Met", "Breached"))</f>
        <v/>
      </c>
      <c r="P9605" s="8" t="n"/>
      <c r="Q9605" s="8" t="n"/>
      <c r="R9605" s="8" t="n"/>
      <c r="S9605" s="8" t="n"/>
      <c r="T9605" s="8" t="n"/>
      <c r="U9605" s="8" t="n"/>
      <c r="V9605" s="8" t="n"/>
      <c r="W9605" s="8" t="n"/>
      <c r="X9605" s="8" t="n"/>
      <c r="Y9605" s="8" t="n"/>
    </row>
    <row r="9606">
      <c r="A9606" s="8" t="n"/>
      <c r="B9606" s="8" t="n"/>
      <c r="C9606" s="8" t="n"/>
      <c r="D9606" s="8" t="n"/>
      <c r="E9606" s="8" t="n"/>
      <c r="F9606" s="8" t="n"/>
      <c r="G9606" s="8" t="n"/>
      <c r="H9606" s="8" t="n"/>
      <c r="I9606" s="8" t="n"/>
      <c r="J9606" s="8" t="n"/>
      <c r="K9606" s="8" t="n"/>
      <c r="L9606" s="8" t="n"/>
      <c r="M9606" s="9">
        <f>B9606+30</f>
        <v/>
      </c>
      <c r="N9606">
        <f>IF(L9606="", "", L9606-B9606)</f>
        <v/>
      </c>
      <c r="O9606">
        <f>IF(L9606="", "Pending", IF(N9606&lt;=30, "Met", "Breached"))</f>
        <v/>
      </c>
      <c r="P9606" s="8" t="n"/>
      <c r="Q9606" s="8" t="n"/>
      <c r="R9606" s="8" t="n"/>
      <c r="S9606" s="8" t="n"/>
      <c r="T9606" s="8" t="n"/>
      <c r="U9606" s="8" t="n"/>
      <c r="V9606" s="8" t="n"/>
      <c r="W9606" s="8" t="n"/>
      <c r="X9606" s="8" t="n"/>
      <c r="Y9606" s="8" t="n"/>
    </row>
    <row r="9607">
      <c r="A9607" s="8" t="n"/>
      <c r="B9607" s="8" t="n"/>
      <c r="C9607" s="8" t="n"/>
      <c r="D9607" s="8" t="n"/>
      <c r="E9607" s="8" t="n"/>
      <c r="F9607" s="8" t="n"/>
      <c r="G9607" s="8" t="n"/>
      <c r="H9607" s="8" t="n"/>
      <c r="I9607" s="8" t="n"/>
      <c r="J9607" s="8" t="n"/>
      <c r="K9607" s="8" t="n"/>
      <c r="L9607" s="8" t="n"/>
      <c r="M9607" s="9">
        <f>B9607+30</f>
        <v/>
      </c>
      <c r="N9607">
        <f>IF(L9607="", "", L9607-B9607)</f>
        <v/>
      </c>
      <c r="O9607">
        <f>IF(L9607="", "Pending", IF(N9607&lt;=30, "Met", "Breached"))</f>
        <v/>
      </c>
      <c r="P9607" s="8" t="n"/>
      <c r="Q9607" s="8" t="n"/>
      <c r="R9607" s="8" t="n"/>
      <c r="S9607" s="8" t="n"/>
      <c r="T9607" s="8" t="n"/>
      <c r="U9607" s="8" t="n"/>
      <c r="V9607" s="8" t="n"/>
      <c r="W9607" s="8" t="n"/>
      <c r="X9607" s="8" t="n"/>
      <c r="Y9607" s="8" t="n"/>
    </row>
    <row r="9608">
      <c r="A9608" s="8" t="n"/>
      <c r="B9608" s="8" t="n"/>
      <c r="C9608" s="8" t="n"/>
      <c r="D9608" s="8" t="n"/>
      <c r="E9608" s="8" t="n"/>
      <c r="F9608" s="8" t="n"/>
      <c r="G9608" s="8" t="n"/>
      <c r="H9608" s="8" t="n"/>
      <c r="I9608" s="8" t="n"/>
      <c r="J9608" s="8" t="n"/>
      <c r="K9608" s="8" t="n"/>
      <c r="L9608" s="8" t="n"/>
      <c r="M9608" s="9">
        <f>B9608+30</f>
        <v/>
      </c>
      <c r="N9608">
        <f>IF(L9608="", "", L9608-B9608)</f>
        <v/>
      </c>
      <c r="O9608">
        <f>IF(L9608="", "Pending", IF(N9608&lt;=30, "Met", "Breached"))</f>
        <v/>
      </c>
      <c r="P9608" s="8" t="n"/>
      <c r="Q9608" s="8" t="n"/>
      <c r="R9608" s="8" t="n"/>
      <c r="S9608" s="8" t="n"/>
      <c r="T9608" s="8" t="n"/>
      <c r="U9608" s="8" t="n"/>
      <c r="V9608" s="8" t="n"/>
      <c r="W9608" s="8" t="n"/>
      <c r="X9608" s="8" t="n"/>
      <c r="Y9608" s="8" t="n"/>
    </row>
    <row r="9609">
      <c r="A9609" s="8" t="n"/>
      <c r="B9609" s="8" t="n"/>
      <c r="C9609" s="8" t="n"/>
      <c r="D9609" s="8" t="n"/>
      <c r="E9609" s="8" t="n"/>
      <c r="F9609" s="8" t="n"/>
      <c r="G9609" s="8" t="n"/>
      <c r="H9609" s="8" t="n"/>
      <c r="I9609" s="8" t="n"/>
      <c r="J9609" s="8" t="n"/>
      <c r="K9609" s="8" t="n"/>
      <c r="L9609" s="8" t="n"/>
      <c r="M9609" s="9">
        <f>B9609+30</f>
        <v/>
      </c>
      <c r="N9609">
        <f>IF(L9609="", "", L9609-B9609)</f>
        <v/>
      </c>
      <c r="O9609">
        <f>IF(L9609="", "Pending", IF(N9609&lt;=30, "Met", "Breached"))</f>
        <v/>
      </c>
      <c r="P9609" s="8" t="n"/>
      <c r="Q9609" s="8" t="n"/>
      <c r="R9609" s="8" t="n"/>
      <c r="S9609" s="8" t="n"/>
      <c r="T9609" s="8" t="n"/>
      <c r="U9609" s="8" t="n"/>
      <c r="V9609" s="8" t="n"/>
      <c r="W9609" s="8" t="n"/>
      <c r="X9609" s="8" t="n"/>
      <c r="Y9609" s="8" t="n"/>
    </row>
    <row r="9610">
      <c r="A9610" s="8" t="n"/>
      <c r="B9610" s="8" t="n"/>
      <c r="C9610" s="8" t="n"/>
      <c r="D9610" s="8" t="n"/>
      <c r="E9610" s="8" t="n"/>
      <c r="F9610" s="8" t="n"/>
      <c r="G9610" s="8" t="n"/>
      <c r="H9610" s="8" t="n"/>
      <c r="I9610" s="8" t="n"/>
      <c r="J9610" s="8" t="n"/>
      <c r="K9610" s="8" t="n"/>
      <c r="L9610" s="8" t="n"/>
      <c r="M9610" s="9">
        <f>B9610+30</f>
        <v/>
      </c>
      <c r="N9610">
        <f>IF(L9610="", "", L9610-B9610)</f>
        <v/>
      </c>
      <c r="O9610">
        <f>IF(L9610="", "Pending", IF(N9610&lt;=30, "Met", "Breached"))</f>
        <v/>
      </c>
      <c r="P9610" s="8" t="n"/>
      <c r="Q9610" s="8" t="n"/>
      <c r="R9610" s="8" t="n"/>
      <c r="S9610" s="8" t="n"/>
      <c r="T9610" s="8" t="n"/>
      <c r="U9610" s="8" t="n"/>
      <c r="V9610" s="8" t="n"/>
      <c r="W9610" s="8" t="n"/>
      <c r="X9610" s="8" t="n"/>
      <c r="Y9610" s="8" t="n"/>
    </row>
    <row r="9611">
      <c r="A9611" s="8" t="n"/>
      <c r="B9611" s="8" t="n"/>
      <c r="C9611" s="8" t="n"/>
      <c r="D9611" s="8" t="n"/>
      <c r="E9611" s="8" t="n"/>
      <c r="F9611" s="8" t="n"/>
      <c r="G9611" s="8" t="n"/>
      <c r="H9611" s="8" t="n"/>
      <c r="I9611" s="8" t="n"/>
      <c r="J9611" s="8" t="n"/>
      <c r="K9611" s="8" t="n"/>
      <c r="L9611" s="8" t="n"/>
      <c r="M9611" s="9">
        <f>B9611+30</f>
        <v/>
      </c>
      <c r="N9611">
        <f>IF(L9611="", "", L9611-B9611)</f>
        <v/>
      </c>
      <c r="O9611">
        <f>IF(L9611="", "Pending", IF(N9611&lt;=30, "Met", "Breached"))</f>
        <v/>
      </c>
      <c r="P9611" s="8" t="n"/>
      <c r="Q9611" s="8" t="n"/>
      <c r="R9611" s="8" t="n"/>
      <c r="S9611" s="8" t="n"/>
      <c r="T9611" s="8" t="n"/>
      <c r="U9611" s="8" t="n"/>
      <c r="V9611" s="8" t="n"/>
      <c r="W9611" s="8" t="n"/>
      <c r="X9611" s="8" t="n"/>
      <c r="Y9611" s="8" t="n"/>
    </row>
    <row r="9612">
      <c r="A9612" s="8" t="n"/>
      <c r="B9612" s="8" t="n"/>
      <c r="C9612" s="8" t="n"/>
      <c r="D9612" s="8" t="n"/>
      <c r="E9612" s="8" t="n"/>
      <c r="F9612" s="8" t="n"/>
      <c r="G9612" s="8" t="n"/>
      <c r="H9612" s="8" t="n"/>
      <c r="I9612" s="8" t="n"/>
      <c r="J9612" s="8" t="n"/>
      <c r="K9612" s="8" t="n"/>
      <c r="L9612" s="8" t="n"/>
      <c r="M9612" s="9">
        <f>B9612+30</f>
        <v/>
      </c>
      <c r="N9612">
        <f>IF(L9612="", "", L9612-B9612)</f>
        <v/>
      </c>
      <c r="O9612">
        <f>IF(L9612="", "Pending", IF(N9612&lt;=30, "Met", "Breached"))</f>
        <v/>
      </c>
      <c r="P9612" s="8" t="n"/>
      <c r="Q9612" s="8" t="n"/>
      <c r="R9612" s="8" t="n"/>
      <c r="S9612" s="8" t="n"/>
      <c r="T9612" s="8" t="n"/>
      <c r="U9612" s="8" t="n"/>
      <c r="V9612" s="8" t="n"/>
      <c r="W9612" s="8" t="n"/>
      <c r="X9612" s="8" t="n"/>
      <c r="Y9612" s="8" t="n"/>
    </row>
    <row r="9613">
      <c r="A9613" s="8" t="n"/>
      <c r="B9613" s="8" t="n"/>
      <c r="C9613" s="8" t="n"/>
      <c r="D9613" s="8" t="n"/>
      <c r="E9613" s="8" t="n"/>
      <c r="F9613" s="8" t="n"/>
      <c r="G9613" s="8" t="n"/>
      <c r="H9613" s="8" t="n"/>
      <c r="I9613" s="8" t="n"/>
      <c r="J9613" s="8" t="n"/>
      <c r="K9613" s="8" t="n"/>
      <c r="L9613" s="8" t="n"/>
      <c r="M9613" s="9">
        <f>B9613+30</f>
        <v/>
      </c>
      <c r="N9613">
        <f>IF(L9613="", "", L9613-B9613)</f>
        <v/>
      </c>
      <c r="O9613">
        <f>IF(L9613="", "Pending", IF(N9613&lt;=30, "Met", "Breached"))</f>
        <v/>
      </c>
      <c r="P9613" s="8" t="n"/>
      <c r="Q9613" s="8" t="n"/>
      <c r="R9613" s="8" t="n"/>
      <c r="S9613" s="8" t="n"/>
      <c r="T9613" s="8" t="n"/>
      <c r="U9613" s="8" t="n"/>
      <c r="V9613" s="8" t="n"/>
      <c r="W9613" s="8" t="n"/>
      <c r="X9613" s="8" t="n"/>
      <c r="Y9613" s="8" t="n"/>
    </row>
    <row r="9614">
      <c r="A9614" s="8" t="n"/>
      <c r="B9614" s="8" t="n"/>
      <c r="C9614" s="8" t="n"/>
      <c r="D9614" s="8" t="n"/>
      <c r="E9614" s="8" t="n"/>
      <c r="F9614" s="8" t="n"/>
      <c r="G9614" s="8" t="n"/>
      <c r="H9614" s="8" t="n"/>
      <c r="I9614" s="8" t="n"/>
      <c r="J9614" s="8" t="n"/>
      <c r="K9614" s="8" t="n"/>
      <c r="L9614" s="8" t="n"/>
      <c r="M9614" s="9">
        <f>B9614+30</f>
        <v/>
      </c>
      <c r="N9614">
        <f>IF(L9614="", "", L9614-B9614)</f>
        <v/>
      </c>
      <c r="O9614">
        <f>IF(L9614="", "Pending", IF(N9614&lt;=30, "Met", "Breached"))</f>
        <v/>
      </c>
      <c r="P9614" s="8" t="n"/>
      <c r="Q9614" s="8" t="n"/>
      <c r="R9614" s="8" t="n"/>
      <c r="S9614" s="8" t="n"/>
      <c r="T9614" s="8" t="n"/>
      <c r="U9614" s="8" t="n"/>
      <c r="V9614" s="8" t="n"/>
      <c r="W9614" s="8" t="n"/>
      <c r="X9614" s="8" t="n"/>
      <c r="Y9614" s="8" t="n"/>
    </row>
    <row r="9615">
      <c r="A9615" s="8" t="n"/>
      <c r="B9615" s="8" t="n"/>
      <c r="C9615" s="8" t="n"/>
      <c r="D9615" s="8" t="n"/>
      <c r="E9615" s="8" t="n"/>
      <c r="F9615" s="8" t="n"/>
      <c r="G9615" s="8" t="n"/>
      <c r="H9615" s="8" t="n"/>
      <c r="I9615" s="8" t="n"/>
      <c r="J9615" s="8" t="n"/>
      <c r="K9615" s="8" t="n"/>
      <c r="L9615" s="8" t="n"/>
      <c r="M9615" s="9">
        <f>B9615+30</f>
        <v/>
      </c>
      <c r="N9615">
        <f>IF(L9615="", "", L9615-B9615)</f>
        <v/>
      </c>
      <c r="O9615">
        <f>IF(L9615="", "Pending", IF(N9615&lt;=30, "Met", "Breached"))</f>
        <v/>
      </c>
      <c r="P9615" s="8" t="n"/>
      <c r="Q9615" s="8" t="n"/>
      <c r="R9615" s="8" t="n"/>
      <c r="S9615" s="8" t="n"/>
      <c r="T9615" s="8" t="n"/>
      <c r="U9615" s="8" t="n"/>
      <c r="V9615" s="8" t="n"/>
      <c r="W9615" s="8" t="n"/>
      <c r="X9615" s="8" t="n"/>
      <c r="Y9615" s="8" t="n"/>
    </row>
    <row r="9616">
      <c r="A9616" s="8" t="n"/>
      <c r="B9616" s="8" t="n"/>
      <c r="C9616" s="8" t="n"/>
      <c r="D9616" s="8" t="n"/>
      <c r="E9616" s="8" t="n"/>
      <c r="F9616" s="8" t="n"/>
      <c r="G9616" s="8" t="n"/>
      <c r="H9616" s="8" t="n"/>
      <c r="I9616" s="8" t="n"/>
      <c r="J9616" s="8" t="n"/>
      <c r="K9616" s="8" t="n"/>
      <c r="L9616" s="8" t="n"/>
      <c r="M9616" s="9">
        <f>B9616+30</f>
        <v/>
      </c>
      <c r="N9616">
        <f>IF(L9616="", "", L9616-B9616)</f>
        <v/>
      </c>
      <c r="O9616">
        <f>IF(L9616="", "Pending", IF(N9616&lt;=30, "Met", "Breached"))</f>
        <v/>
      </c>
      <c r="P9616" s="8" t="n"/>
      <c r="Q9616" s="8" t="n"/>
      <c r="R9616" s="8" t="n"/>
      <c r="S9616" s="8" t="n"/>
      <c r="T9616" s="8" t="n"/>
      <c r="U9616" s="8" t="n"/>
      <c r="V9616" s="8" t="n"/>
      <c r="W9616" s="8" t="n"/>
      <c r="X9616" s="8" t="n"/>
      <c r="Y9616" s="8" t="n"/>
    </row>
    <row r="9617">
      <c r="A9617" s="8" t="n"/>
      <c r="B9617" s="8" t="n"/>
      <c r="C9617" s="8" t="n"/>
      <c r="D9617" s="8" t="n"/>
      <c r="E9617" s="8" t="n"/>
      <c r="F9617" s="8" t="n"/>
      <c r="G9617" s="8" t="n"/>
      <c r="H9617" s="8" t="n"/>
      <c r="I9617" s="8" t="n"/>
      <c r="J9617" s="8" t="n"/>
      <c r="K9617" s="8" t="n"/>
      <c r="L9617" s="8" t="n"/>
      <c r="M9617" s="9">
        <f>B9617+30</f>
        <v/>
      </c>
      <c r="N9617">
        <f>IF(L9617="", "", L9617-B9617)</f>
        <v/>
      </c>
      <c r="O9617">
        <f>IF(L9617="", "Pending", IF(N9617&lt;=30, "Met", "Breached"))</f>
        <v/>
      </c>
      <c r="P9617" s="8" t="n"/>
      <c r="Q9617" s="8" t="n"/>
      <c r="R9617" s="8" t="n"/>
      <c r="S9617" s="8" t="n"/>
      <c r="T9617" s="8" t="n"/>
      <c r="U9617" s="8" t="n"/>
      <c r="V9617" s="8" t="n"/>
      <c r="W9617" s="8" t="n"/>
      <c r="X9617" s="8" t="n"/>
      <c r="Y9617" s="8" t="n"/>
    </row>
    <row r="9618">
      <c r="A9618" s="8" t="n"/>
      <c r="B9618" s="8" t="n"/>
      <c r="C9618" s="8" t="n"/>
      <c r="D9618" s="8" t="n"/>
      <c r="E9618" s="8" t="n"/>
      <c r="F9618" s="8" t="n"/>
      <c r="G9618" s="8" t="n"/>
      <c r="H9618" s="8" t="n"/>
      <c r="I9618" s="8" t="n"/>
      <c r="J9618" s="8" t="n"/>
      <c r="K9618" s="8" t="n"/>
      <c r="L9618" s="8" t="n"/>
      <c r="M9618" s="9">
        <f>B9618+30</f>
        <v/>
      </c>
      <c r="N9618">
        <f>IF(L9618="", "", L9618-B9618)</f>
        <v/>
      </c>
      <c r="O9618">
        <f>IF(L9618="", "Pending", IF(N9618&lt;=30, "Met", "Breached"))</f>
        <v/>
      </c>
      <c r="P9618" s="8" t="n"/>
      <c r="Q9618" s="8" t="n"/>
      <c r="R9618" s="8" t="n"/>
      <c r="S9618" s="8" t="n"/>
      <c r="T9618" s="8" t="n"/>
      <c r="U9618" s="8" t="n"/>
      <c r="V9618" s="8" t="n"/>
      <c r="W9618" s="8" t="n"/>
      <c r="X9618" s="8" t="n"/>
      <c r="Y9618" s="8" t="n"/>
    </row>
    <row r="9619">
      <c r="A9619" s="8" t="n"/>
      <c r="B9619" s="8" t="n"/>
      <c r="C9619" s="8" t="n"/>
      <c r="D9619" s="8" t="n"/>
      <c r="E9619" s="8" t="n"/>
      <c r="F9619" s="8" t="n"/>
      <c r="G9619" s="8" t="n"/>
      <c r="H9619" s="8" t="n"/>
      <c r="I9619" s="8" t="n"/>
      <c r="J9619" s="8" t="n"/>
      <c r="K9619" s="8" t="n"/>
      <c r="L9619" s="8" t="n"/>
      <c r="M9619" s="9">
        <f>B9619+30</f>
        <v/>
      </c>
      <c r="N9619">
        <f>IF(L9619="", "", L9619-B9619)</f>
        <v/>
      </c>
      <c r="O9619">
        <f>IF(L9619="", "Pending", IF(N9619&lt;=30, "Met", "Breached"))</f>
        <v/>
      </c>
      <c r="P9619" s="8" t="n"/>
      <c r="Q9619" s="8" t="n"/>
      <c r="R9619" s="8" t="n"/>
      <c r="S9619" s="8" t="n"/>
      <c r="T9619" s="8" t="n"/>
      <c r="U9619" s="8" t="n"/>
      <c r="V9619" s="8" t="n"/>
      <c r="W9619" s="8" t="n"/>
      <c r="X9619" s="8" t="n"/>
      <c r="Y9619" s="8" t="n"/>
    </row>
    <row r="9620">
      <c r="A9620" s="8" t="n"/>
      <c r="B9620" s="8" t="n"/>
      <c r="C9620" s="8" t="n"/>
      <c r="D9620" s="8" t="n"/>
      <c r="E9620" s="8" t="n"/>
      <c r="F9620" s="8" t="n"/>
      <c r="G9620" s="8" t="n"/>
      <c r="H9620" s="8" t="n"/>
      <c r="I9620" s="8" t="n"/>
      <c r="J9620" s="8" t="n"/>
      <c r="K9620" s="8" t="n"/>
      <c r="L9620" s="8" t="n"/>
      <c r="M9620" s="9">
        <f>B9620+30</f>
        <v/>
      </c>
      <c r="N9620">
        <f>IF(L9620="", "", L9620-B9620)</f>
        <v/>
      </c>
      <c r="O9620">
        <f>IF(L9620="", "Pending", IF(N9620&lt;=30, "Met", "Breached"))</f>
        <v/>
      </c>
      <c r="P9620" s="8" t="n"/>
      <c r="Q9620" s="8" t="n"/>
      <c r="R9620" s="8" t="n"/>
      <c r="S9620" s="8" t="n"/>
      <c r="T9620" s="8" t="n"/>
      <c r="U9620" s="8" t="n"/>
      <c r="V9620" s="8" t="n"/>
      <c r="W9620" s="8" t="n"/>
      <c r="X9620" s="8" t="n"/>
      <c r="Y9620" s="8" t="n"/>
    </row>
    <row r="9621">
      <c r="A9621" s="8" t="n"/>
      <c r="B9621" s="8" t="n"/>
      <c r="C9621" s="8" t="n"/>
      <c r="D9621" s="8" t="n"/>
      <c r="E9621" s="8" t="n"/>
      <c r="F9621" s="8" t="n"/>
      <c r="G9621" s="8" t="n"/>
      <c r="H9621" s="8" t="n"/>
      <c r="I9621" s="8" t="n"/>
      <c r="J9621" s="8" t="n"/>
      <c r="K9621" s="8" t="n"/>
      <c r="L9621" s="8" t="n"/>
      <c r="M9621" s="9">
        <f>B9621+30</f>
        <v/>
      </c>
      <c r="N9621">
        <f>IF(L9621="", "", L9621-B9621)</f>
        <v/>
      </c>
      <c r="O9621">
        <f>IF(L9621="", "Pending", IF(N9621&lt;=30, "Met", "Breached"))</f>
        <v/>
      </c>
      <c r="P9621" s="8" t="n"/>
      <c r="Q9621" s="8" t="n"/>
      <c r="R9621" s="8" t="n"/>
      <c r="S9621" s="8" t="n"/>
      <c r="T9621" s="8" t="n"/>
      <c r="U9621" s="8" t="n"/>
      <c r="V9621" s="8" t="n"/>
      <c r="W9621" s="8" t="n"/>
      <c r="X9621" s="8" t="n"/>
      <c r="Y9621" s="8" t="n"/>
    </row>
    <row r="9622">
      <c r="A9622" s="8" t="n"/>
      <c r="B9622" s="8" t="n"/>
      <c r="C9622" s="8" t="n"/>
      <c r="D9622" s="8" t="n"/>
      <c r="E9622" s="8" t="n"/>
      <c r="F9622" s="8" t="n"/>
      <c r="G9622" s="8" t="n"/>
      <c r="H9622" s="8" t="n"/>
      <c r="I9622" s="8" t="n"/>
      <c r="J9622" s="8" t="n"/>
      <c r="K9622" s="8" t="n"/>
      <c r="L9622" s="8" t="n"/>
      <c r="M9622" s="9">
        <f>B9622+30</f>
        <v/>
      </c>
      <c r="N9622">
        <f>IF(L9622="", "", L9622-B9622)</f>
        <v/>
      </c>
      <c r="O9622">
        <f>IF(L9622="", "Pending", IF(N9622&lt;=30, "Met", "Breached"))</f>
        <v/>
      </c>
      <c r="P9622" s="8" t="n"/>
      <c r="Q9622" s="8" t="n"/>
      <c r="R9622" s="8" t="n"/>
      <c r="S9622" s="8" t="n"/>
      <c r="T9622" s="8" t="n"/>
      <c r="U9622" s="8" t="n"/>
      <c r="V9622" s="8" t="n"/>
      <c r="W9622" s="8" t="n"/>
      <c r="X9622" s="8" t="n"/>
      <c r="Y9622" s="8" t="n"/>
    </row>
    <row r="9623">
      <c r="A9623" s="8" t="n"/>
      <c r="B9623" s="8" t="n"/>
      <c r="C9623" s="8" t="n"/>
      <c r="D9623" s="8" t="n"/>
      <c r="E9623" s="8" t="n"/>
      <c r="F9623" s="8" t="n"/>
      <c r="G9623" s="8" t="n"/>
      <c r="H9623" s="8" t="n"/>
      <c r="I9623" s="8" t="n"/>
      <c r="J9623" s="8" t="n"/>
      <c r="K9623" s="8" t="n"/>
      <c r="L9623" s="8" t="n"/>
      <c r="M9623" s="9">
        <f>B9623+30</f>
        <v/>
      </c>
      <c r="N9623">
        <f>IF(L9623="", "", L9623-B9623)</f>
        <v/>
      </c>
      <c r="O9623">
        <f>IF(L9623="", "Pending", IF(N9623&lt;=30, "Met", "Breached"))</f>
        <v/>
      </c>
      <c r="P9623" s="8" t="n"/>
      <c r="Q9623" s="8" t="n"/>
      <c r="R9623" s="8" t="n"/>
      <c r="S9623" s="8" t="n"/>
      <c r="T9623" s="8" t="n"/>
      <c r="U9623" s="8" t="n"/>
      <c r="V9623" s="8" t="n"/>
      <c r="W9623" s="8" t="n"/>
      <c r="X9623" s="8" t="n"/>
      <c r="Y9623" s="8" t="n"/>
    </row>
    <row r="9624">
      <c r="A9624" s="8" t="n"/>
      <c r="B9624" s="8" t="n"/>
      <c r="C9624" s="8" t="n"/>
      <c r="D9624" s="8" t="n"/>
      <c r="E9624" s="8" t="n"/>
      <c r="F9624" s="8" t="n"/>
      <c r="G9624" s="8" t="n"/>
      <c r="H9624" s="8" t="n"/>
      <c r="I9624" s="8" t="n"/>
      <c r="J9624" s="8" t="n"/>
      <c r="K9624" s="8" t="n"/>
      <c r="L9624" s="8" t="n"/>
      <c r="M9624" s="9">
        <f>B9624+30</f>
        <v/>
      </c>
      <c r="N9624">
        <f>IF(L9624="", "", L9624-B9624)</f>
        <v/>
      </c>
      <c r="O9624">
        <f>IF(L9624="", "Pending", IF(N9624&lt;=30, "Met", "Breached"))</f>
        <v/>
      </c>
      <c r="P9624" s="8" t="n"/>
      <c r="Q9624" s="8" t="n"/>
      <c r="R9624" s="8" t="n"/>
      <c r="S9624" s="8" t="n"/>
      <c r="T9624" s="8" t="n"/>
      <c r="U9624" s="8" t="n"/>
      <c r="V9624" s="8" t="n"/>
      <c r="W9624" s="8" t="n"/>
      <c r="X9624" s="8" t="n"/>
      <c r="Y9624" s="8" t="n"/>
    </row>
    <row r="9625">
      <c r="A9625" s="8" t="n"/>
      <c r="B9625" s="8" t="n"/>
      <c r="C9625" s="8" t="n"/>
      <c r="D9625" s="8" t="n"/>
      <c r="E9625" s="8" t="n"/>
      <c r="F9625" s="8" t="n"/>
      <c r="G9625" s="8" t="n"/>
      <c r="H9625" s="8" t="n"/>
      <c r="I9625" s="8" t="n"/>
      <c r="J9625" s="8" t="n"/>
      <c r="K9625" s="8" t="n"/>
      <c r="L9625" s="8" t="n"/>
      <c r="M9625" s="9">
        <f>B9625+30</f>
        <v/>
      </c>
      <c r="N9625">
        <f>IF(L9625="", "", L9625-B9625)</f>
        <v/>
      </c>
      <c r="O9625">
        <f>IF(L9625="", "Pending", IF(N9625&lt;=30, "Met", "Breached"))</f>
        <v/>
      </c>
      <c r="P9625" s="8" t="n"/>
      <c r="Q9625" s="8" t="n"/>
      <c r="R9625" s="8" t="n"/>
      <c r="S9625" s="8" t="n"/>
      <c r="T9625" s="8" t="n"/>
      <c r="U9625" s="8" t="n"/>
      <c r="V9625" s="8" t="n"/>
      <c r="W9625" s="8" t="n"/>
      <c r="X9625" s="8" t="n"/>
      <c r="Y9625" s="8" t="n"/>
    </row>
    <row r="9626">
      <c r="A9626" s="8" t="n"/>
      <c r="B9626" s="8" t="n"/>
      <c r="C9626" s="8" t="n"/>
      <c r="D9626" s="8" t="n"/>
      <c r="E9626" s="8" t="n"/>
      <c r="F9626" s="8" t="n"/>
      <c r="G9626" s="8" t="n"/>
      <c r="H9626" s="8" t="n"/>
      <c r="I9626" s="8" t="n"/>
      <c r="J9626" s="8" t="n"/>
      <c r="K9626" s="8" t="n"/>
      <c r="L9626" s="8" t="n"/>
      <c r="M9626" s="9">
        <f>B9626+30</f>
        <v/>
      </c>
      <c r="N9626">
        <f>IF(L9626="", "", L9626-B9626)</f>
        <v/>
      </c>
      <c r="O9626">
        <f>IF(L9626="", "Pending", IF(N9626&lt;=30, "Met", "Breached"))</f>
        <v/>
      </c>
      <c r="P9626" s="8" t="n"/>
      <c r="Q9626" s="8" t="n"/>
      <c r="R9626" s="8" t="n"/>
      <c r="S9626" s="8" t="n"/>
      <c r="T9626" s="8" t="n"/>
      <c r="U9626" s="8" t="n"/>
      <c r="V9626" s="8" t="n"/>
      <c r="W9626" s="8" t="n"/>
      <c r="X9626" s="8" t="n"/>
      <c r="Y9626" s="8" t="n"/>
    </row>
    <row r="9627">
      <c r="A9627" s="8" t="n"/>
      <c r="B9627" s="8" t="n"/>
      <c r="C9627" s="8" t="n"/>
      <c r="D9627" s="8" t="n"/>
      <c r="E9627" s="8" t="n"/>
      <c r="F9627" s="8" t="n"/>
      <c r="G9627" s="8" t="n"/>
      <c r="H9627" s="8" t="n"/>
      <c r="I9627" s="8" t="n"/>
      <c r="J9627" s="8" t="n"/>
      <c r="K9627" s="8" t="n"/>
      <c r="L9627" s="8" t="n"/>
      <c r="M9627" s="9">
        <f>B9627+30</f>
        <v/>
      </c>
      <c r="N9627">
        <f>IF(L9627="", "", L9627-B9627)</f>
        <v/>
      </c>
      <c r="O9627">
        <f>IF(L9627="", "Pending", IF(N9627&lt;=30, "Met", "Breached"))</f>
        <v/>
      </c>
      <c r="P9627" s="8" t="n"/>
      <c r="Q9627" s="8" t="n"/>
      <c r="R9627" s="8" t="n"/>
      <c r="S9627" s="8" t="n"/>
      <c r="T9627" s="8" t="n"/>
      <c r="U9627" s="8" t="n"/>
      <c r="V9627" s="8" t="n"/>
      <c r="W9627" s="8" t="n"/>
      <c r="X9627" s="8" t="n"/>
      <c r="Y9627" s="8" t="n"/>
    </row>
    <row r="9628">
      <c r="A9628" s="8" t="n"/>
      <c r="B9628" s="8" t="n"/>
      <c r="C9628" s="8" t="n"/>
      <c r="D9628" s="8" t="n"/>
      <c r="E9628" s="8" t="n"/>
      <c r="F9628" s="8" t="n"/>
      <c r="G9628" s="8" t="n"/>
      <c r="H9628" s="8" t="n"/>
      <c r="I9628" s="8" t="n"/>
      <c r="J9628" s="8" t="n"/>
      <c r="K9628" s="8" t="n"/>
      <c r="L9628" s="8" t="n"/>
      <c r="M9628" s="9">
        <f>B9628+30</f>
        <v/>
      </c>
      <c r="N9628">
        <f>IF(L9628="", "", L9628-B9628)</f>
        <v/>
      </c>
      <c r="O9628">
        <f>IF(L9628="", "Pending", IF(N9628&lt;=30, "Met", "Breached"))</f>
        <v/>
      </c>
      <c r="P9628" s="8" t="n"/>
      <c r="Q9628" s="8" t="n"/>
      <c r="R9628" s="8" t="n"/>
      <c r="S9628" s="8" t="n"/>
      <c r="T9628" s="8" t="n"/>
      <c r="U9628" s="8" t="n"/>
      <c r="V9628" s="8" t="n"/>
      <c r="W9628" s="8" t="n"/>
      <c r="X9628" s="8" t="n"/>
      <c r="Y9628" s="8" t="n"/>
    </row>
    <row r="9629">
      <c r="A9629" s="8" t="n"/>
      <c r="B9629" s="8" t="n"/>
      <c r="C9629" s="8" t="n"/>
      <c r="D9629" s="8" t="n"/>
      <c r="E9629" s="8" t="n"/>
      <c r="F9629" s="8" t="n"/>
      <c r="G9629" s="8" t="n"/>
      <c r="H9629" s="8" t="n"/>
      <c r="I9629" s="8" t="n"/>
      <c r="J9629" s="8" t="n"/>
      <c r="K9629" s="8" t="n"/>
      <c r="L9629" s="8" t="n"/>
      <c r="M9629" s="9">
        <f>B9629+30</f>
        <v/>
      </c>
      <c r="N9629">
        <f>IF(L9629="", "", L9629-B9629)</f>
        <v/>
      </c>
      <c r="O9629">
        <f>IF(L9629="", "Pending", IF(N9629&lt;=30, "Met", "Breached"))</f>
        <v/>
      </c>
      <c r="P9629" s="8" t="n"/>
      <c r="Q9629" s="8" t="n"/>
      <c r="R9629" s="8" t="n"/>
      <c r="S9629" s="8" t="n"/>
      <c r="T9629" s="8" t="n"/>
      <c r="U9629" s="8" t="n"/>
      <c r="V9629" s="8" t="n"/>
      <c r="W9629" s="8" t="n"/>
      <c r="X9629" s="8" t="n"/>
      <c r="Y9629" s="8" t="n"/>
    </row>
    <row r="9630">
      <c r="A9630" s="8" t="n"/>
      <c r="B9630" s="8" t="n"/>
      <c r="C9630" s="8" t="n"/>
      <c r="D9630" s="8" t="n"/>
      <c r="E9630" s="8" t="n"/>
      <c r="F9630" s="8" t="n"/>
      <c r="G9630" s="8" t="n"/>
      <c r="H9630" s="8" t="n"/>
      <c r="I9630" s="8" t="n"/>
      <c r="J9630" s="8" t="n"/>
      <c r="K9630" s="8" t="n"/>
      <c r="L9630" s="8" t="n"/>
      <c r="M9630" s="9">
        <f>B9630+30</f>
        <v/>
      </c>
      <c r="N9630">
        <f>IF(L9630="", "", L9630-B9630)</f>
        <v/>
      </c>
      <c r="O9630">
        <f>IF(L9630="", "Pending", IF(N9630&lt;=30, "Met", "Breached"))</f>
        <v/>
      </c>
      <c r="P9630" s="8" t="n"/>
      <c r="Q9630" s="8" t="n"/>
      <c r="R9630" s="8" t="n"/>
      <c r="S9630" s="8" t="n"/>
      <c r="T9630" s="8" t="n"/>
      <c r="U9630" s="8" t="n"/>
      <c r="V9630" s="8" t="n"/>
      <c r="W9630" s="8" t="n"/>
      <c r="X9630" s="8" t="n"/>
      <c r="Y9630" s="8" t="n"/>
    </row>
    <row r="9631">
      <c r="A9631" s="8" t="n"/>
      <c r="B9631" s="8" t="n"/>
      <c r="C9631" s="8" t="n"/>
      <c r="D9631" s="8" t="n"/>
      <c r="E9631" s="8" t="n"/>
      <c r="F9631" s="8" t="n"/>
      <c r="G9631" s="8" t="n"/>
      <c r="H9631" s="8" t="n"/>
      <c r="I9631" s="8" t="n"/>
      <c r="J9631" s="8" t="n"/>
      <c r="K9631" s="8" t="n"/>
      <c r="L9631" s="8" t="n"/>
      <c r="M9631" s="9">
        <f>B9631+30</f>
        <v/>
      </c>
      <c r="N9631">
        <f>IF(L9631="", "", L9631-B9631)</f>
        <v/>
      </c>
      <c r="O9631">
        <f>IF(L9631="", "Pending", IF(N9631&lt;=30, "Met", "Breached"))</f>
        <v/>
      </c>
      <c r="P9631" s="8" t="n"/>
      <c r="Q9631" s="8" t="n"/>
      <c r="R9631" s="8" t="n"/>
      <c r="S9631" s="8" t="n"/>
      <c r="T9631" s="8" t="n"/>
      <c r="U9631" s="8" t="n"/>
      <c r="V9631" s="8" t="n"/>
      <c r="W9631" s="8" t="n"/>
      <c r="X9631" s="8" t="n"/>
      <c r="Y9631" s="8" t="n"/>
    </row>
    <row r="9632">
      <c r="A9632" s="8" t="n"/>
      <c r="B9632" s="8" t="n"/>
      <c r="C9632" s="8" t="n"/>
      <c r="D9632" s="8" t="n"/>
      <c r="E9632" s="8" t="n"/>
      <c r="F9632" s="8" t="n"/>
      <c r="G9632" s="8" t="n"/>
      <c r="H9632" s="8" t="n"/>
      <c r="I9632" s="8" t="n"/>
      <c r="J9632" s="8" t="n"/>
      <c r="K9632" s="8" t="n"/>
      <c r="L9632" s="8" t="n"/>
      <c r="M9632" s="9">
        <f>B9632+30</f>
        <v/>
      </c>
      <c r="N9632">
        <f>IF(L9632="", "", L9632-B9632)</f>
        <v/>
      </c>
      <c r="O9632">
        <f>IF(L9632="", "Pending", IF(N9632&lt;=30, "Met", "Breached"))</f>
        <v/>
      </c>
      <c r="P9632" s="8" t="n"/>
      <c r="Q9632" s="8" t="n"/>
      <c r="R9632" s="8" t="n"/>
      <c r="S9632" s="8" t="n"/>
      <c r="T9632" s="8" t="n"/>
      <c r="U9632" s="8" t="n"/>
      <c r="V9632" s="8" t="n"/>
      <c r="W9632" s="8" t="n"/>
      <c r="X9632" s="8" t="n"/>
      <c r="Y9632" s="8" t="n"/>
    </row>
    <row r="9633">
      <c r="A9633" s="8" t="n"/>
      <c r="B9633" s="8" t="n"/>
      <c r="C9633" s="8" t="n"/>
      <c r="D9633" s="8" t="n"/>
      <c r="E9633" s="8" t="n"/>
      <c r="F9633" s="8" t="n"/>
      <c r="G9633" s="8" t="n"/>
      <c r="H9633" s="8" t="n"/>
      <c r="I9633" s="8" t="n"/>
      <c r="J9633" s="8" t="n"/>
      <c r="K9633" s="8" t="n"/>
      <c r="L9633" s="8" t="n"/>
      <c r="M9633" s="9">
        <f>B9633+30</f>
        <v/>
      </c>
      <c r="N9633">
        <f>IF(L9633="", "", L9633-B9633)</f>
        <v/>
      </c>
      <c r="O9633">
        <f>IF(L9633="", "Pending", IF(N9633&lt;=30, "Met", "Breached"))</f>
        <v/>
      </c>
      <c r="P9633" s="8" t="n"/>
      <c r="Q9633" s="8" t="n"/>
      <c r="R9633" s="8" t="n"/>
      <c r="S9633" s="8" t="n"/>
      <c r="T9633" s="8" t="n"/>
      <c r="U9633" s="8" t="n"/>
      <c r="V9633" s="8" t="n"/>
      <c r="W9633" s="8" t="n"/>
      <c r="X9633" s="8" t="n"/>
      <c r="Y9633" s="8" t="n"/>
    </row>
    <row r="9634">
      <c r="A9634" s="8" t="n"/>
      <c r="B9634" s="8" t="n"/>
      <c r="C9634" s="8" t="n"/>
      <c r="D9634" s="8" t="n"/>
      <c r="E9634" s="8" t="n"/>
      <c r="F9634" s="8" t="n"/>
      <c r="G9634" s="8" t="n"/>
      <c r="H9634" s="8" t="n"/>
      <c r="I9634" s="8" t="n"/>
      <c r="J9634" s="8" t="n"/>
      <c r="K9634" s="8" t="n"/>
      <c r="L9634" s="8" t="n"/>
      <c r="M9634" s="9">
        <f>B9634+30</f>
        <v/>
      </c>
      <c r="N9634">
        <f>IF(L9634="", "", L9634-B9634)</f>
        <v/>
      </c>
      <c r="O9634">
        <f>IF(L9634="", "Pending", IF(N9634&lt;=30, "Met", "Breached"))</f>
        <v/>
      </c>
      <c r="P9634" s="8" t="n"/>
      <c r="Q9634" s="8" t="n"/>
      <c r="R9634" s="8" t="n"/>
      <c r="S9634" s="8" t="n"/>
      <c r="T9634" s="8" t="n"/>
      <c r="U9634" s="8" t="n"/>
      <c r="V9634" s="8" t="n"/>
      <c r="W9634" s="8" t="n"/>
      <c r="X9634" s="8" t="n"/>
      <c r="Y9634" s="8" t="n"/>
    </row>
    <row r="9635">
      <c r="A9635" s="8" t="n"/>
      <c r="B9635" s="8" t="n"/>
      <c r="C9635" s="8" t="n"/>
      <c r="D9635" s="8" t="n"/>
      <c r="E9635" s="8" t="n"/>
      <c r="F9635" s="8" t="n"/>
      <c r="G9635" s="8" t="n"/>
      <c r="H9635" s="8" t="n"/>
      <c r="I9635" s="8" t="n"/>
      <c r="J9635" s="8" t="n"/>
      <c r="K9635" s="8" t="n"/>
      <c r="L9635" s="8" t="n"/>
      <c r="M9635" s="9">
        <f>B9635+30</f>
        <v/>
      </c>
      <c r="N9635">
        <f>IF(L9635="", "", L9635-B9635)</f>
        <v/>
      </c>
      <c r="O9635">
        <f>IF(L9635="", "Pending", IF(N9635&lt;=30, "Met", "Breached"))</f>
        <v/>
      </c>
      <c r="P9635" s="8" t="n"/>
      <c r="Q9635" s="8" t="n"/>
      <c r="R9635" s="8" t="n"/>
      <c r="S9635" s="8" t="n"/>
      <c r="T9635" s="8" t="n"/>
      <c r="U9635" s="8" t="n"/>
      <c r="V9635" s="8" t="n"/>
      <c r="W9635" s="8" t="n"/>
      <c r="X9635" s="8" t="n"/>
      <c r="Y9635" s="8" t="n"/>
    </row>
    <row r="9636">
      <c r="A9636" s="8" t="n"/>
      <c r="B9636" s="8" t="n"/>
      <c r="C9636" s="8" t="n"/>
      <c r="D9636" s="8" t="n"/>
      <c r="E9636" s="8" t="n"/>
      <c r="F9636" s="8" t="n"/>
      <c r="G9636" s="8" t="n"/>
      <c r="H9636" s="8" t="n"/>
      <c r="I9636" s="8" t="n"/>
      <c r="J9636" s="8" t="n"/>
      <c r="K9636" s="8" t="n"/>
      <c r="L9636" s="8" t="n"/>
      <c r="M9636" s="9">
        <f>B9636+30</f>
        <v/>
      </c>
      <c r="N9636">
        <f>IF(L9636="", "", L9636-B9636)</f>
        <v/>
      </c>
      <c r="O9636">
        <f>IF(L9636="", "Pending", IF(N9636&lt;=30, "Met", "Breached"))</f>
        <v/>
      </c>
      <c r="P9636" s="8" t="n"/>
      <c r="Q9636" s="8" t="n"/>
      <c r="R9636" s="8" t="n"/>
      <c r="S9636" s="8" t="n"/>
      <c r="T9636" s="8" t="n"/>
      <c r="U9636" s="8" t="n"/>
      <c r="V9636" s="8" t="n"/>
      <c r="W9636" s="8" t="n"/>
      <c r="X9636" s="8" t="n"/>
      <c r="Y9636" s="8" t="n"/>
    </row>
    <row r="9637">
      <c r="A9637" s="8" t="n"/>
      <c r="B9637" s="8" t="n"/>
      <c r="C9637" s="8" t="n"/>
      <c r="D9637" s="8" t="n"/>
      <c r="E9637" s="8" t="n"/>
      <c r="F9637" s="8" t="n"/>
      <c r="G9637" s="8" t="n"/>
      <c r="H9637" s="8" t="n"/>
      <c r="I9637" s="8" t="n"/>
      <c r="J9637" s="8" t="n"/>
      <c r="K9637" s="8" t="n"/>
      <c r="L9637" s="8" t="n"/>
      <c r="M9637" s="9">
        <f>B9637+30</f>
        <v/>
      </c>
      <c r="N9637">
        <f>IF(L9637="", "", L9637-B9637)</f>
        <v/>
      </c>
      <c r="O9637">
        <f>IF(L9637="", "Pending", IF(N9637&lt;=30, "Met", "Breached"))</f>
        <v/>
      </c>
      <c r="P9637" s="8" t="n"/>
      <c r="Q9637" s="8" t="n"/>
      <c r="R9637" s="8" t="n"/>
      <c r="S9637" s="8" t="n"/>
      <c r="T9637" s="8" t="n"/>
      <c r="U9637" s="8" t="n"/>
      <c r="V9637" s="8" t="n"/>
      <c r="W9637" s="8" t="n"/>
      <c r="X9637" s="8" t="n"/>
      <c r="Y9637" s="8" t="n"/>
    </row>
    <row r="9638">
      <c r="A9638" s="8" t="n"/>
      <c r="B9638" s="8" t="n"/>
      <c r="C9638" s="8" t="n"/>
      <c r="D9638" s="8" t="n"/>
      <c r="E9638" s="8" t="n"/>
      <c r="F9638" s="8" t="n"/>
      <c r="G9638" s="8" t="n"/>
      <c r="H9638" s="8" t="n"/>
      <c r="I9638" s="8" t="n"/>
      <c r="J9638" s="8" t="n"/>
      <c r="K9638" s="8" t="n"/>
      <c r="L9638" s="8" t="n"/>
      <c r="M9638" s="9">
        <f>B9638+30</f>
        <v/>
      </c>
      <c r="N9638">
        <f>IF(L9638="", "", L9638-B9638)</f>
        <v/>
      </c>
      <c r="O9638">
        <f>IF(L9638="", "Pending", IF(N9638&lt;=30, "Met", "Breached"))</f>
        <v/>
      </c>
      <c r="P9638" s="8" t="n"/>
      <c r="Q9638" s="8" t="n"/>
      <c r="R9638" s="8" t="n"/>
      <c r="S9638" s="8" t="n"/>
      <c r="T9638" s="8" t="n"/>
      <c r="U9638" s="8" t="n"/>
      <c r="V9638" s="8" t="n"/>
      <c r="W9638" s="8" t="n"/>
      <c r="X9638" s="8" t="n"/>
      <c r="Y9638" s="8" t="n"/>
    </row>
    <row r="9639">
      <c r="A9639" s="8" t="n"/>
      <c r="B9639" s="8" t="n"/>
      <c r="C9639" s="8" t="n"/>
      <c r="D9639" s="8" t="n"/>
      <c r="E9639" s="8" t="n"/>
      <c r="F9639" s="8" t="n"/>
      <c r="G9639" s="8" t="n"/>
      <c r="H9639" s="8" t="n"/>
      <c r="I9639" s="8" t="n"/>
      <c r="J9639" s="8" t="n"/>
      <c r="K9639" s="8" t="n"/>
      <c r="L9639" s="8" t="n"/>
      <c r="M9639" s="9">
        <f>B9639+30</f>
        <v/>
      </c>
      <c r="N9639">
        <f>IF(L9639="", "", L9639-B9639)</f>
        <v/>
      </c>
      <c r="O9639">
        <f>IF(L9639="", "Pending", IF(N9639&lt;=30, "Met", "Breached"))</f>
        <v/>
      </c>
      <c r="P9639" s="8" t="n"/>
      <c r="Q9639" s="8" t="n"/>
      <c r="R9639" s="8" t="n"/>
      <c r="S9639" s="8" t="n"/>
      <c r="T9639" s="8" t="n"/>
      <c r="U9639" s="8" t="n"/>
      <c r="V9639" s="8" t="n"/>
      <c r="W9639" s="8" t="n"/>
      <c r="X9639" s="8" t="n"/>
      <c r="Y9639" s="8" t="n"/>
    </row>
    <row r="9640">
      <c r="A9640" s="8" t="n"/>
      <c r="B9640" s="8" t="n"/>
      <c r="C9640" s="8" t="n"/>
      <c r="D9640" s="8" t="n"/>
      <c r="E9640" s="8" t="n"/>
      <c r="F9640" s="8" t="n"/>
      <c r="G9640" s="8" t="n"/>
      <c r="H9640" s="8" t="n"/>
      <c r="I9640" s="8" t="n"/>
      <c r="J9640" s="8" t="n"/>
      <c r="K9640" s="8" t="n"/>
      <c r="L9640" s="8" t="n"/>
      <c r="M9640" s="9">
        <f>B9640+30</f>
        <v/>
      </c>
      <c r="N9640">
        <f>IF(L9640="", "", L9640-B9640)</f>
        <v/>
      </c>
      <c r="O9640">
        <f>IF(L9640="", "Pending", IF(N9640&lt;=30, "Met", "Breached"))</f>
        <v/>
      </c>
      <c r="P9640" s="8" t="n"/>
      <c r="Q9640" s="8" t="n"/>
      <c r="R9640" s="8" t="n"/>
      <c r="S9640" s="8" t="n"/>
      <c r="T9640" s="8" t="n"/>
      <c r="U9640" s="8" t="n"/>
      <c r="V9640" s="8" t="n"/>
      <c r="W9640" s="8" t="n"/>
      <c r="X9640" s="8" t="n"/>
      <c r="Y9640" s="8" t="n"/>
    </row>
    <row r="9641">
      <c r="A9641" s="8" t="n"/>
      <c r="B9641" s="8" t="n"/>
      <c r="C9641" s="8" t="n"/>
      <c r="D9641" s="8" t="n"/>
      <c r="E9641" s="8" t="n"/>
      <c r="F9641" s="8" t="n"/>
      <c r="G9641" s="8" t="n"/>
      <c r="H9641" s="8" t="n"/>
      <c r="I9641" s="8" t="n"/>
      <c r="J9641" s="8" t="n"/>
      <c r="K9641" s="8" t="n"/>
      <c r="L9641" s="8" t="n"/>
      <c r="M9641" s="9">
        <f>B9641+30</f>
        <v/>
      </c>
      <c r="N9641">
        <f>IF(L9641="", "", L9641-B9641)</f>
        <v/>
      </c>
      <c r="O9641">
        <f>IF(L9641="", "Pending", IF(N9641&lt;=30, "Met", "Breached"))</f>
        <v/>
      </c>
      <c r="P9641" s="8" t="n"/>
      <c r="Q9641" s="8" t="n"/>
      <c r="R9641" s="8" t="n"/>
      <c r="S9641" s="8" t="n"/>
      <c r="T9641" s="8" t="n"/>
      <c r="U9641" s="8" t="n"/>
      <c r="V9641" s="8" t="n"/>
      <c r="W9641" s="8" t="n"/>
      <c r="X9641" s="8" t="n"/>
      <c r="Y9641" s="8" t="n"/>
    </row>
    <row r="9642">
      <c r="A9642" s="8" t="n"/>
      <c r="B9642" s="8" t="n"/>
      <c r="C9642" s="8" t="n"/>
      <c r="D9642" s="8" t="n"/>
      <c r="E9642" s="8" t="n"/>
      <c r="F9642" s="8" t="n"/>
      <c r="G9642" s="8" t="n"/>
      <c r="H9642" s="8" t="n"/>
      <c r="I9642" s="8" t="n"/>
      <c r="J9642" s="8" t="n"/>
      <c r="K9642" s="8" t="n"/>
      <c r="L9642" s="8" t="n"/>
      <c r="M9642" s="9">
        <f>B9642+30</f>
        <v/>
      </c>
      <c r="N9642">
        <f>IF(L9642="", "", L9642-B9642)</f>
        <v/>
      </c>
      <c r="O9642">
        <f>IF(L9642="", "Pending", IF(N9642&lt;=30, "Met", "Breached"))</f>
        <v/>
      </c>
      <c r="P9642" s="8" t="n"/>
      <c r="Q9642" s="8" t="n"/>
      <c r="R9642" s="8" t="n"/>
      <c r="S9642" s="8" t="n"/>
      <c r="T9642" s="8" t="n"/>
      <c r="U9642" s="8" t="n"/>
      <c r="V9642" s="8" t="n"/>
      <c r="W9642" s="8" t="n"/>
      <c r="X9642" s="8" t="n"/>
      <c r="Y9642" s="8" t="n"/>
    </row>
    <row r="9643">
      <c r="A9643" s="8" t="n"/>
      <c r="B9643" s="8" t="n"/>
      <c r="C9643" s="8" t="n"/>
      <c r="D9643" s="8" t="n"/>
      <c r="E9643" s="8" t="n"/>
      <c r="F9643" s="8" t="n"/>
      <c r="G9643" s="8" t="n"/>
      <c r="H9643" s="8" t="n"/>
      <c r="I9643" s="8" t="n"/>
      <c r="J9643" s="8" t="n"/>
      <c r="K9643" s="8" t="n"/>
      <c r="L9643" s="8" t="n"/>
      <c r="M9643" s="9">
        <f>B9643+30</f>
        <v/>
      </c>
      <c r="N9643">
        <f>IF(L9643="", "", L9643-B9643)</f>
        <v/>
      </c>
      <c r="O9643">
        <f>IF(L9643="", "Pending", IF(N9643&lt;=30, "Met", "Breached"))</f>
        <v/>
      </c>
      <c r="P9643" s="8" t="n"/>
      <c r="Q9643" s="8" t="n"/>
      <c r="R9643" s="8" t="n"/>
      <c r="S9643" s="8" t="n"/>
      <c r="T9643" s="8" t="n"/>
      <c r="U9643" s="8" t="n"/>
      <c r="V9643" s="8" t="n"/>
      <c r="W9643" s="8" t="n"/>
      <c r="X9643" s="8" t="n"/>
      <c r="Y9643" s="8" t="n"/>
    </row>
    <row r="9644">
      <c r="A9644" s="8" t="n"/>
      <c r="B9644" s="8" t="n"/>
      <c r="C9644" s="8" t="n"/>
      <c r="D9644" s="8" t="n"/>
      <c r="E9644" s="8" t="n"/>
      <c r="F9644" s="8" t="n"/>
      <c r="G9644" s="8" t="n"/>
      <c r="H9644" s="8" t="n"/>
      <c r="I9644" s="8" t="n"/>
      <c r="J9644" s="8" t="n"/>
      <c r="K9644" s="8" t="n"/>
      <c r="L9644" s="8" t="n"/>
      <c r="M9644" s="9">
        <f>B9644+30</f>
        <v/>
      </c>
      <c r="N9644">
        <f>IF(L9644="", "", L9644-B9644)</f>
        <v/>
      </c>
      <c r="O9644">
        <f>IF(L9644="", "Pending", IF(N9644&lt;=30, "Met", "Breached"))</f>
        <v/>
      </c>
      <c r="P9644" s="8" t="n"/>
      <c r="Q9644" s="8" t="n"/>
      <c r="R9644" s="8" t="n"/>
      <c r="S9644" s="8" t="n"/>
      <c r="T9644" s="8" t="n"/>
      <c r="U9644" s="8" t="n"/>
      <c r="V9644" s="8" t="n"/>
      <c r="W9644" s="8" t="n"/>
      <c r="X9644" s="8" t="n"/>
      <c r="Y9644" s="8" t="n"/>
    </row>
    <row r="9645">
      <c r="A9645" s="8" t="n"/>
      <c r="B9645" s="8" t="n"/>
      <c r="C9645" s="8" t="n"/>
      <c r="D9645" s="8" t="n"/>
      <c r="E9645" s="8" t="n"/>
      <c r="F9645" s="8" t="n"/>
      <c r="G9645" s="8" t="n"/>
      <c r="H9645" s="8" t="n"/>
      <c r="I9645" s="8" t="n"/>
      <c r="J9645" s="8" t="n"/>
      <c r="K9645" s="8" t="n"/>
      <c r="L9645" s="8" t="n"/>
      <c r="M9645" s="9">
        <f>B9645+30</f>
        <v/>
      </c>
      <c r="N9645">
        <f>IF(L9645="", "", L9645-B9645)</f>
        <v/>
      </c>
      <c r="O9645">
        <f>IF(L9645="", "Pending", IF(N9645&lt;=30, "Met", "Breached"))</f>
        <v/>
      </c>
      <c r="P9645" s="8" t="n"/>
      <c r="Q9645" s="8" t="n"/>
      <c r="R9645" s="8" t="n"/>
      <c r="S9645" s="8" t="n"/>
      <c r="T9645" s="8" t="n"/>
      <c r="U9645" s="8" t="n"/>
      <c r="V9645" s="8" t="n"/>
      <c r="W9645" s="8" t="n"/>
      <c r="X9645" s="8" t="n"/>
      <c r="Y9645" s="8" t="n"/>
    </row>
    <row r="9646">
      <c r="A9646" s="8" t="n"/>
      <c r="B9646" s="8" t="n"/>
      <c r="C9646" s="8" t="n"/>
      <c r="D9646" s="8" t="n"/>
      <c r="E9646" s="8" t="n"/>
      <c r="F9646" s="8" t="n"/>
      <c r="G9646" s="8" t="n"/>
      <c r="H9646" s="8" t="n"/>
      <c r="I9646" s="8" t="n"/>
      <c r="J9646" s="8" t="n"/>
      <c r="K9646" s="8" t="n"/>
      <c r="L9646" s="8" t="n"/>
      <c r="M9646" s="9">
        <f>B9646+30</f>
        <v/>
      </c>
      <c r="N9646">
        <f>IF(L9646="", "", L9646-B9646)</f>
        <v/>
      </c>
      <c r="O9646">
        <f>IF(L9646="", "Pending", IF(N9646&lt;=30, "Met", "Breached"))</f>
        <v/>
      </c>
      <c r="P9646" s="8" t="n"/>
      <c r="Q9646" s="8" t="n"/>
      <c r="R9646" s="8" t="n"/>
      <c r="S9646" s="8" t="n"/>
      <c r="T9646" s="8" t="n"/>
      <c r="U9646" s="8" t="n"/>
      <c r="V9646" s="8" t="n"/>
      <c r="W9646" s="8" t="n"/>
      <c r="X9646" s="8" t="n"/>
      <c r="Y9646" s="8" t="n"/>
    </row>
    <row r="9647">
      <c r="A9647" s="8" t="n"/>
      <c r="B9647" s="8" t="n"/>
      <c r="C9647" s="8" t="n"/>
      <c r="D9647" s="8" t="n"/>
      <c r="E9647" s="8" t="n"/>
      <c r="F9647" s="8" t="n"/>
      <c r="G9647" s="8" t="n"/>
      <c r="H9647" s="8" t="n"/>
      <c r="I9647" s="8" t="n"/>
      <c r="J9647" s="8" t="n"/>
      <c r="K9647" s="8" t="n"/>
      <c r="L9647" s="8" t="n"/>
      <c r="M9647" s="9">
        <f>B9647+30</f>
        <v/>
      </c>
      <c r="N9647">
        <f>IF(L9647="", "", L9647-B9647)</f>
        <v/>
      </c>
      <c r="O9647">
        <f>IF(L9647="", "Pending", IF(N9647&lt;=30, "Met", "Breached"))</f>
        <v/>
      </c>
      <c r="P9647" s="8" t="n"/>
      <c r="Q9647" s="8" t="n"/>
      <c r="R9647" s="8" t="n"/>
      <c r="S9647" s="8" t="n"/>
      <c r="T9647" s="8" t="n"/>
      <c r="U9647" s="8" t="n"/>
      <c r="V9647" s="8" t="n"/>
      <c r="W9647" s="8" t="n"/>
      <c r="X9647" s="8" t="n"/>
      <c r="Y9647" s="8" t="n"/>
    </row>
    <row r="9648">
      <c r="A9648" s="8" t="n"/>
      <c r="B9648" s="8" t="n"/>
      <c r="C9648" s="8" t="n"/>
      <c r="D9648" s="8" t="n"/>
      <c r="E9648" s="8" t="n"/>
      <c r="F9648" s="8" t="n"/>
      <c r="G9648" s="8" t="n"/>
      <c r="H9648" s="8" t="n"/>
      <c r="I9648" s="8" t="n"/>
      <c r="J9648" s="8" t="n"/>
      <c r="K9648" s="8" t="n"/>
      <c r="L9648" s="8" t="n"/>
      <c r="M9648" s="9">
        <f>B9648+30</f>
        <v/>
      </c>
      <c r="N9648">
        <f>IF(L9648="", "", L9648-B9648)</f>
        <v/>
      </c>
      <c r="O9648">
        <f>IF(L9648="", "Pending", IF(N9648&lt;=30, "Met", "Breached"))</f>
        <v/>
      </c>
      <c r="P9648" s="8" t="n"/>
      <c r="Q9648" s="8" t="n"/>
      <c r="R9648" s="8" t="n"/>
      <c r="S9648" s="8" t="n"/>
      <c r="T9648" s="8" t="n"/>
      <c r="U9648" s="8" t="n"/>
      <c r="V9648" s="8" t="n"/>
      <c r="W9648" s="8" t="n"/>
      <c r="X9648" s="8" t="n"/>
      <c r="Y9648" s="8" t="n"/>
    </row>
    <row r="9649">
      <c r="A9649" s="8" t="n"/>
      <c r="B9649" s="8" t="n"/>
      <c r="C9649" s="8" t="n"/>
      <c r="D9649" s="8" t="n"/>
      <c r="E9649" s="8" t="n"/>
      <c r="F9649" s="8" t="n"/>
      <c r="G9649" s="8" t="n"/>
      <c r="H9649" s="8" t="n"/>
      <c r="I9649" s="8" t="n"/>
      <c r="J9649" s="8" t="n"/>
      <c r="K9649" s="8" t="n"/>
      <c r="L9649" s="8" t="n"/>
      <c r="M9649" s="9">
        <f>B9649+30</f>
        <v/>
      </c>
      <c r="N9649">
        <f>IF(L9649="", "", L9649-B9649)</f>
        <v/>
      </c>
      <c r="O9649">
        <f>IF(L9649="", "Pending", IF(N9649&lt;=30, "Met", "Breached"))</f>
        <v/>
      </c>
      <c r="P9649" s="8" t="n"/>
      <c r="Q9649" s="8" t="n"/>
      <c r="R9649" s="8" t="n"/>
      <c r="S9649" s="8" t="n"/>
      <c r="T9649" s="8" t="n"/>
      <c r="U9649" s="8" t="n"/>
      <c r="V9649" s="8" t="n"/>
      <c r="W9649" s="8" t="n"/>
      <c r="X9649" s="8" t="n"/>
      <c r="Y9649" s="8" t="n"/>
    </row>
    <row r="9650">
      <c r="A9650" s="8" t="n"/>
      <c r="B9650" s="8" t="n"/>
      <c r="C9650" s="8" t="n"/>
      <c r="D9650" s="8" t="n"/>
      <c r="E9650" s="8" t="n"/>
      <c r="F9650" s="8" t="n"/>
      <c r="G9650" s="8" t="n"/>
      <c r="H9650" s="8" t="n"/>
      <c r="I9650" s="8" t="n"/>
      <c r="J9650" s="8" t="n"/>
      <c r="K9650" s="8" t="n"/>
      <c r="L9650" s="8" t="n"/>
      <c r="M9650" s="9">
        <f>B9650+30</f>
        <v/>
      </c>
      <c r="N9650">
        <f>IF(L9650="", "", L9650-B9650)</f>
        <v/>
      </c>
      <c r="O9650">
        <f>IF(L9650="", "Pending", IF(N9650&lt;=30, "Met", "Breached"))</f>
        <v/>
      </c>
      <c r="P9650" s="8" t="n"/>
      <c r="Q9650" s="8" t="n"/>
      <c r="R9650" s="8" t="n"/>
      <c r="S9650" s="8" t="n"/>
      <c r="T9650" s="8" t="n"/>
      <c r="U9650" s="8" t="n"/>
      <c r="V9650" s="8" t="n"/>
      <c r="W9650" s="8" t="n"/>
      <c r="X9650" s="8" t="n"/>
      <c r="Y9650" s="8" t="n"/>
    </row>
    <row r="9651">
      <c r="A9651" s="8" t="n"/>
      <c r="B9651" s="8" t="n"/>
      <c r="C9651" s="8" t="n"/>
      <c r="D9651" s="8" t="n"/>
      <c r="E9651" s="8" t="n"/>
      <c r="F9651" s="8" t="n"/>
      <c r="G9651" s="8" t="n"/>
      <c r="H9651" s="8" t="n"/>
      <c r="I9651" s="8" t="n"/>
      <c r="J9651" s="8" t="n"/>
      <c r="K9651" s="8" t="n"/>
      <c r="L9651" s="8" t="n"/>
      <c r="M9651" s="9">
        <f>B9651+30</f>
        <v/>
      </c>
      <c r="N9651">
        <f>IF(L9651="", "", L9651-B9651)</f>
        <v/>
      </c>
      <c r="O9651">
        <f>IF(L9651="", "Pending", IF(N9651&lt;=30, "Met", "Breached"))</f>
        <v/>
      </c>
      <c r="P9651" s="8" t="n"/>
      <c r="Q9651" s="8" t="n"/>
      <c r="R9651" s="8" t="n"/>
      <c r="S9651" s="8" t="n"/>
      <c r="T9651" s="8" t="n"/>
      <c r="U9651" s="8" t="n"/>
      <c r="V9651" s="8" t="n"/>
      <c r="W9651" s="8" t="n"/>
      <c r="X9651" s="8" t="n"/>
      <c r="Y9651" s="8" t="n"/>
    </row>
    <row r="9652">
      <c r="A9652" s="8" t="n"/>
      <c r="B9652" s="8" t="n"/>
      <c r="C9652" s="8" t="n"/>
      <c r="D9652" s="8" t="n"/>
      <c r="E9652" s="8" t="n"/>
      <c r="F9652" s="8" t="n"/>
      <c r="G9652" s="8" t="n"/>
      <c r="H9652" s="8" t="n"/>
      <c r="I9652" s="8" t="n"/>
      <c r="J9652" s="8" t="n"/>
      <c r="K9652" s="8" t="n"/>
      <c r="L9652" s="8" t="n"/>
      <c r="M9652" s="9">
        <f>B9652+30</f>
        <v/>
      </c>
      <c r="N9652">
        <f>IF(L9652="", "", L9652-B9652)</f>
        <v/>
      </c>
      <c r="O9652">
        <f>IF(L9652="", "Pending", IF(N9652&lt;=30, "Met", "Breached"))</f>
        <v/>
      </c>
      <c r="P9652" s="8" t="n"/>
      <c r="Q9652" s="8" t="n"/>
      <c r="R9652" s="8" t="n"/>
      <c r="S9652" s="8" t="n"/>
      <c r="T9652" s="8" t="n"/>
      <c r="U9652" s="8" t="n"/>
      <c r="V9652" s="8" t="n"/>
      <c r="W9652" s="8" t="n"/>
      <c r="X9652" s="8" t="n"/>
      <c r="Y9652" s="8" t="n"/>
    </row>
    <row r="9653">
      <c r="A9653" s="8" t="n"/>
      <c r="B9653" s="8" t="n"/>
      <c r="C9653" s="8" t="n"/>
      <c r="D9653" s="8" t="n"/>
      <c r="E9653" s="8" t="n"/>
      <c r="F9653" s="8" t="n"/>
      <c r="G9653" s="8" t="n"/>
      <c r="H9653" s="8" t="n"/>
      <c r="I9653" s="8" t="n"/>
      <c r="J9653" s="8" t="n"/>
      <c r="K9653" s="8" t="n"/>
      <c r="L9653" s="8" t="n"/>
      <c r="M9653" s="9">
        <f>B9653+30</f>
        <v/>
      </c>
      <c r="N9653">
        <f>IF(L9653="", "", L9653-B9653)</f>
        <v/>
      </c>
      <c r="O9653">
        <f>IF(L9653="", "Pending", IF(N9653&lt;=30, "Met", "Breached"))</f>
        <v/>
      </c>
      <c r="P9653" s="8" t="n"/>
      <c r="Q9653" s="8" t="n"/>
      <c r="R9653" s="8" t="n"/>
      <c r="S9653" s="8" t="n"/>
      <c r="T9653" s="8" t="n"/>
      <c r="U9653" s="8" t="n"/>
      <c r="V9653" s="8" t="n"/>
      <c r="W9653" s="8" t="n"/>
      <c r="X9653" s="8" t="n"/>
      <c r="Y9653" s="8" t="n"/>
    </row>
    <row r="9654">
      <c r="A9654" s="8" t="n"/>
      <c r="B9654" s="8" t="n"/>
      <c r="C9654" s="8" t="n"/>
      <c r="D9654" s="8" t="n"/>
      <c r="E9654" s="8" t="n"/>
      <c r="F9654" s="8" t="n"/>
      <c r="G9654" s="8" t="n"/>
      <c r="H9654" s="8" t="n"/>
      <c r="I9654" s="8" t="n"/>
      <c r="J9654" s="8" t="n"/>
      <c r="K9654" s="8" t="n"/>
      <c r="L9654" s="8" t="n"/>
      <c r="M9654" s="9">
        <f>B9654+30</f>
        <v/>
      </c>
      <c r="N9654">
        <f>IF(L9654="", "", L9654-B9654)</f>
        <v/>
      </c>
      <c r="O9654">
        <f>IF(L9654="", "Pending", IF(N9654&lt;=30, "Met", "Breached"))</f>
        <v/>
      </c>
      <c r="P9654" s="8" t="n"/>
      <c r="Q9654" s="8" t="n"/>
      <c r="R9654" s="8" t="n"/>
      <c r="S9654" s="8" t="n"/>
      <c r="T9654" s="8" t="n"/>
      <c r="U9654" s="8" t="n"/>
      <c r="V9654" s="8" t="n"/>
      <c r="W9654" s="8" t="n"/>
      <c r="X9654" s="8" t="n"/>
      <c r="Y9654" s="8" t="n"/>
    </row>
    <row r="9655">
      <c r="A9655" s="8" t="n"/>
      <c r="B9655" s="8" t="n"/>
      <c r="C9655" s="8" t="n"/>
      <c r="D9655" s="8" t="n"/>
      <c r="E9655" s="8" t="n"/>
      <c r="F9655" s="8" t="n"/>
      <c r="G9655" s="8" t="n"/>
      <c r="H9655" s="8" t="n"/>
      <c r="I9655" s="8" t="n"/>
      <c r="J9655" s="8" t="n"/>
      <c r="K9655" s="8" t="n"/>
      <c r="L9655" s="8" t="n"/>
      <c r="M9655" s="9">
        <f>B9655+30</f>
        <v/>
      </c>
      <c r="N9655">
        <f>IF(L9655="", "", L9655-B9655)</f>
        <v/>
      </c>
      <c r="O9655">
        <f>IF(L9655="", "Pending", IF(N9655&lt;=30, "Met", "Breached"))</f>
        <v/>
      </c>
      <c r="P9655" s="8" t="n"/>
      <c r="Q9655" s="8" t="n"/>
      <c r="R9655" s="8" t="n"/>
      <c r="S9655" s="8" t="n"/>
      <c r="T9655" s="8" t="n"/>
      <c r="U9655" s="8" t="n"/>
      <c r="V9655" s="8" t="n"/>
      <c r="W9655" s="8" t="n"/>
      <c r="X9655" s="8" t="n"/>
      <c r="Y9655" s="8" t="n"/>
    </row>
    <row r="9656">
      <c r="A9656" s="8" t="n"/>
      <c r="B9656" s="8" t="n"/>
      <c r="C9656" s="8" t="n"/>
      <c r="D9656" s="8" t="n"/>
      <c r="E9656" s="8" t="n"/>
      <c r="F9656" s="8" t="n"/>
      <c r="G9656" s="8" t="n"/>
      <c r="H9656" s="8" t="n"/>
      <c r="I9656" s="8" t="n"/>
      <c r="J9656" s="8" t="n"/>
      <c r="K9656" s="8" t="n"/>
      <c r="L9656" s="8" t="n"/>
      <c r="M9656" s="9">
        <f>B9656+30</f>
        <v/>
      </c>
      <c r="N9656">
        <f>IF(L9656="", "", L9656-B9656)</f>
        <v/>
      </c>
      <c r="O9656">
        <f>IF(L9656="", "Pending", IF(N9656&lt;=30, "Met", "Breached"))</f>
        <v/>
      </c>
      <c r="P9656" s="8" t="n"/>
      <c r="Q9656" s="8" t="n"/>
      <c r="R9656" s="8" t="n"/>
      <c r="S9656" s="8" t="n"/>
      <c r="T9656" s="8" t="n"/>
      <c r="U9656" s="8" t="n"/>
      <c r="V9656" s="8" t="n"/>
      <c r="W9656" s="8" t="n"/>
      <c r="X9656" s="8" t="n"/>
      <c r="Y9656" s="8" t="n"/>
    </row>
    <row r="9657">
      <c r="A9657" s="8" t="n"/>
      <c r="B9657" s="8" t="n"/>
      <c r="C9657" s="8" t="n"/>
      <c r="D9657" s="8" t="n"/>
      <c r="E9657" s="8" t="n"/>
      <c r="F9657" s="8" t="n"/>
      <c r="G9657" s="8" t="n"/>
      <c r="H9657" s="8" t="n"/>
      <c r="I9657" s="8" t="n"/>
      <c r="J9657" s="8" t="n"/>
      <c r="K9657" s="8" t="n"/>
      <c r="L9657" s="8" t="n"/>
      <c r="M9657" s="9">
        <f>B9657+30</f>
        <v/>
      </c>
      <c r="N9657">
        <f>IF(L9657="", "", L9657-B9657)</f>
        <v/>
      </c>
      <c r="O9657">
        <f>IF(L9657="", "Pending", IF(N9657&lt;=30, "Met", "Breached"))</f>
        <v/>
      </c>
      <c r="P9657" s="8" t="n"/>
      <c r="Q9657" s="8" t="n"/>
      <c r="R9657" s="8" t="n"/>
      <c r="S9657" s="8" t="n"/>
      <c r="T9657" s="8" t="n"/>
      <c r="U9657" s="8" t="n"/>
      <c r="V9657" s="8" t="n"/>
      <c r="W9657" s="8" t="n"/>
      <c r="X9657" s="8" t="n"/>
      <c r="Y9657" s="8" t="n"/>
    </row>
    <row r="9658">
      <c r="A9658" s="8" t="n"/>
      <c r="B9658" s="8" t="n"/>
      <c r="C9658" s="8" t="n"/>
      <c r="D9658" s="8" t="n"/>
      <c r="E9658" s="8" t="n"/>
      <c r="F9658" s="8" t="n"/>
      <c r="G9658" s="8" t="n"/>
      <c r="H9658" s="8" t="n"/>
      <c r="I9658" s="8" t="n"/>
      <c r="J9658" s="8" t="n"/>
      <c r="K9658" s="8" t="n"/>
      <c r="L9658" s="8" t="n"/>
      <c r="M9658" s="9">
        <f>B9658+30</f>
        <v/>
      </c>
      <c r="N9658">
        <f>IF(L9658="", "", L9658-B9658)</f>
        <v/>
      </c>
      <c r="O9658">
        <f>IF(L9658="", "Pending", IF(N9658&lt;=30, "Met", "Breached"))</f>
        <v/>
      </c>
      <c r="P9658" s="8" t="n"/>
      <c r="Q9658" s="8" t="n"/>
      <c r="R9658" s="8" t="n"/>
      <c r="S9658" s="8" t="n"/>
      <c r="T9658" s="8" t="n"/>
      <c r="U9658" s="8" t="n"/>
      <c r="V9658" s="8" t="n"/>
      <c r="W9658" s="8" t="n"/>
      <c r="X9658" s="8" t="n"/>
      <c r="Y9658" s="8" t="n"/>
    </row>
    <row r="9659">
      <c r="A9659" s="8" t="n"/>
      <c r="B9659" s="8" t="n"/>
      <c r="C9659" s="8" t="n"/>
      <c r="D9659" s="8" t="n"/>
      <c r="E9659" s="8" t="n"/>
      <c r="F9659" s="8" t="n"/>
      <c r="G9659" s="8" t="n"/>
      <c r="H9659" s="8" t="n"/>
      <c r="I9659" s="8" t="n"/>
      <c r="J9659" s="8" t="n"/>
      <c r="K9659" s="8" t="n"/>
      <c r="L9659" s="8" t="n"/>
      <c r="M9659" s="9">
        <f>B9659+30</f>
        <v/>
      </c>
      <c r="N9659">
        <f>IF(L9659="", "", L9659-B9659)</f>
        <v/>
      </c>
      <c r="O9659">
        <f>IF(L9659="", "Pending", IF(N9659&lt;=30, "Met", "Breached"))</f>
        <v/>
      </c>
      <c r="P9659" s="8" t="n"/>
      <c r="Q9659" s="8" t="n"/>
      <c r="R9659" s="8" t="n"/>
      <c r="S9659" s="8" t="n"/>
      <c r="T9659" s="8" t="n"/>
      <c r="U9659" s="8" t="n"/>
      <c r="V9659" s="8" t="n"/>
      <c r="W9659" s="8" t="n"/>
      <c r="X9659" s="8" t="n"/>
      <c r="Y9659" s="8" t="n"/>
    </row>
    <row r="9660">
      <c r="A9660" s="8" t="n"/>
      <c r="B9660" s="8" t="n"/>
      <c r="C9660" s="8" t="n"/>
      <c r="D9660" s="8" t="n"/>
      <c r="E9660" s="8" t="n"/>
      <c r="F9660" s="8" t="n"/>
      <c r="G9660" s="8" t="n"/>
      <c r="H9660" s="8" t="n"/>
      <c r="I9660" s="8" t="n"/>
      <c r="J9660" s="8" t="n"/>
      <c r="K9660" s="8" t="n"/>
      <c r="L9660" s="8" t="n"/>
      <c r="M9660" s="9">
        <f>B9660+30</f>
        <v/>
      </c>
      <c r="N9660">
        <f>IF(L9660="", "", L9660-B9660)</f>
        <v/>
      </c>
      <c r="O9660">
        <f>IF(L9660="", "Pending", IF(N9660&lt;=30, "Met", "Breached"))</f>
        <v/>
      </c>
      <c r="P9660" s="8" t="n"/>
      <c r="Q9660" s="8" t="n"/>
      <c r="R9660" s="8" t="n"/>
      <c r="S9660" s="8" t="n"/>
      <c r="T9660" s="8" t="n"/>
      <c r="U9660" s="8" t="n"/>
      <c r="V9660" s="8" t="n"/>
      <c r="W9660" s="8" t="n"/>
      <c r="X9660" s="8" t="n"/>
      <c r="Y9660" s="8" t="n"/>
    </row>
    <row r="9661">
      <c r="A9661" s="8" t="n"/>
      <c r="B9661" s="8" t="n"/>
      <c r="C9661" s="8" t="n"/>
      <c r="D9661" s="8" t="n"/>
      <c r="E9661" s="8" t="n"/>
      <c r="F9661" s="8" t="n"/>
      <c r="G9661" s="8" t="n"/>
      <c r="H9661" s="8" t="n"/>
      <c r="I9661" s="8" t="n"/>
      <c r="J9661" s="8" t="n"/>
      <c r="K9661" s="8" t="n"/>
      <c r="L9661" s="8" t="n"/>
      <c r="M9661" s="9">
        <f>B9661+30</f>
        <v/>
      </c>
      <c r="N9661">
        <f>IF(L9661="", "", L9661-B9661)</f>
        <v/>
      </c>
      <c r="O9661">
        <f>IF(L9661="", "Pending", IF(N9661&lt;=30, "Met", "Breached"))</f>
        <v/>
      </c>
      <c r="P9661" s="8" t="n"/>
      <c r="Q9661" s="8" t="n"/>
      <c r="R9661" s="8" t="n"/>
      <c r="S9661" s="8" t="n"/>
      <c r="T9661" s="8" t="n"/>
      <c r="U9661" s="8" t="n"/>
      <c r="V9661" s="8" t="n"/>
      <c r="W9661" s="8" t="n"/>
      <c r="X9661" s="8" t="n"/>
      <c r="Y9661" s="8" t="n"/>
    </row>
    <row r="9662">
      <c r="A9662" s="8" t="n"/>
      <c r="B9662" s="8" t="n"/>
      <c r="C9662" s="8" t="n"/>
      <c r="D9662" s="8" t="n"/>
      <c r="E9662" s="8" t="n"/>
      <c r="F9662" s="8" t="n"/>
      <c r="G9662" s="8" t="n"/>
      <c r="H9662" s="8" t="n"/>
      <c r="I9662" s="8" t="n"/>
      <c r="J9662" s="8" t="n"/>
      <c r="K9662" s="8" t="n"/>
      <c r="L9662" s="8" t="n"/>
      <c r="M9662" s="9">
        <f>B9662+30</f>
        <v/>
      </c>
      <c r="N9662">
        <f>IF(L9662="", "", L9662-B9662)</f>
        <v/>
      </c>
      <c r="O9662">
        <f>IF(L9662="", "Pending", IF(N9662&lt;=30, "Met", "Breached"))</f>
        <v/>
      </c>
      <c r="P9662" s="8" t="n"/>
      <c r="Q9662" s="8" t="n"/>
      <c r="R9662" s="8" t="n"/>
      <c r="S9662" s="8" t="n"/>
      <c r="T9662" s="8" t="n"/>
      <c r="U9662" s="8" t="n"/>
      <c r="V9662" s="8" t="n"/>
      <c r="W9662" s="8" t="n"/>
      <c r="X9662" s="8" t="n"/>
      <c r="Y9662" s="8" t="n"/>
    </row>
    <row r="9663">
      <c r="A9663" s="8" t="n"/>
      <c r="B9663" s="8" t="n"/>
      <c r="C9663" s="8" t="n"/>
      <c r="D9663" s="8" t="n"/>
      <c r="E9663" s="8" t="n"/>
      <c r="F9663" s="8" t="n"/>
      <c r="G9663" s="8" t="n"/>
      <c r="H9663" s="8" t="n"/>
      <c r="I9663" s="8" t="n"/>
      <c r="J9663" s="8" t="n"/>
      <c r="K9663" s="8" t="n"/>
      <c r="L9663" s="8" t="n"/>
      <c r="M9663" s="9">
        <f>B9663+30</f>
        <v/>
      </c>
      <c r="N9663">
        <f>IF(L9663="", "", L9663-B9663)</f>
        <v/>
      </c>
      <c r="O9663">
        <f>IF(L9663="", "Pending", IF(N9663&lt;=30, "Met", "Breached"))</f>
        <v/>
      </c>
      <c r="P9663" s="8" t="n"/>
      <c r="Q9663" s="8" t="n"/>
      <c r="R9663" s="8" t="n"/>
      <c r="S9663" s="8" t="n"/>
      <c r="T9663" s="8" t="n"/>
      <c r="U9663" s="8" t="n"/>
      <c r="V9663" s="8" t="n"/>
      <c r="W9663" s="8" t="n"/>
      <c r="X9663" s="8" t="n"/>
      <c r="Y9663" s="8" t="n"/>
    </row>
    <row r="9664">
      <c r="A9664" s="8" t="n"/>
      <c r="B9664" s="8" t="n"/>
      <c r="C9664" s="8" t="n"/>
      <c r="D9664" s="8" t="n"/>
      <c r="E9664" s="8" t="n"/>
      <c r="F9664" s="8" t="n"/>
      <c r="G9664" s="8" t="n"/>
      <c r="H9664" s="8" t="n"/>
      <c r="I9664" s="8" t="n"/>
      <c r="J9664" s="8" t="n"/>
      <c r="K9664" s="8" t="n"/>
      <c r="L9664" s="8" t="n"/>
      <c r="M9664" s="9">
        <f>B9664+30</f>
        <v/>
      </c>
      <c r="N9664">
        <f>IF(L9664="", "", L9664-B9664)</f>
        <v/>
      </c>
      <c r="O9664">
        <f>IF(L9664="", "Pending", IF(N9664&lt;=30, "Met", "Breached"))</f>
        <v/>
      </c>
      <c r="P9664" s="8" t="n"/>
      <c r="Q9664" s="8" t="n"/>
      <c r="R9664" s="8" t="n"/>
      <c r="S9664" s="8" t="n"/>
      <c r="T9664" s="8" t="n"/>
      <c r="U9664" s="8" t="n"/>
      <c r="V9664" s="8" t="n"/>
      <c r="W9664" s="8" t="n"/>
      <c r="X9664" s="8" t="n"/>
      <c r="Y9664" s="8" t="n"/>
    </row>
    <row r="9665">
      <c r="A9665" s="8" t="n"/>
      <c r="B9665" s="8" t="n"/>
      <c r="C9665" s="8" t="n"/>
      <c r="D9665" s="8" t="n"/>
      <c r="E9665" s="8" t="n"/>
      <c r="F9665" s="8" t="n"/>
      <c r="G9665" s="8" t="n"/>
      <c r="H9665" s="8" t="n"/>
      <c r="I9665" s="8" t="n"/>
      <c r="J9665" s="8" t="n"/>
      <c r="K9665" s="8" t="n"/>
      <c r="L9665" s="8" t="n"/>
      <c r="M9665" s="9">
        <f>B9665+30</f>
        <v/>
      </c>
      <c r="N9665">
        <f>IF(L9665="", "", L9665-B9665)</f>
        <v/>
      </c>
      <c r="O9665">
        <f>IF(L9665="", "Pending", IF(N9665&lt;=30, "Met", "Breached"))</f>
        <v/>
      </c>
      <c r="P9665" s="8" t="n"/>
      <c r="Q9665" s="8" t="n"/>
      <c r="R9665" s="8" t="n"/>
      <c r="S9665" s="8" t="n"/>
      <c r="T9665" s="8" t="n"/>
      <c r="U9665" s="8" t="n"/>
      <c r="V9665" s="8" t="n"/>
      <c r="W9665" s="8" t="n"/>
      <c r="X9665" s="8" t="n"/>
      <c r="Y9665" s="8" t="n"/>
    </row>
    <row r="9666">
      <c r="A9666" s="8" t="n"/>
      <c r="B9666" s="8" t="n"/>
      <c r="C9666" s="8" t="n"/>
      <c r="D9666" s="8" t="n"/>
      <c r="E9666" s="8" t="n"/>
      <c r="F9666" s="8" t="n"/>
      <c r="G9666" s="8" t="n"/>
      <c r="H9666" s="8" t="n"/>
      <c r="I9666" s="8" t="n"/>
      <c r="J9666" s="8" t="n"/>
      <c r="K9666" s="8" t="n"/>
      <c r="L9666" s="8" t="n"/>
      <c r="M9666" s="9">
        <f>B9666+30</f>
        <v/>
      </c>
      <c r="N9666">
        <f>IF(L9666="", "", L9666-B9666)</f>
        <v/>
      </c>
      <c r="O9666">
        <f>IF(L9666="", "Pending", IF(N9666&lt;=30, "Met", "Breached"))</f>
        <v/>
      </c>
      <c r="P9666" s="8" t="n"/>
      <c r="Q9666" s="8" t="n"/>
      <c r="R9666" s="8" t="n"/>
      <c r="S9666" s="8" t="n"/>
      <c r="T9666" s="8" t="n"/>
      <c r="U9666" s="8" t="n"/>
      <c r="V9666" s="8" t="n"/>
      <c r="W9666" s="8" t="n"/>
      <c r="X9666" s="8" t="n"/>
      <c r="Y9666" s="8" t="n"/>
    </row>
    <row r="9667">
      <c r="A9667" s="8" t="n"/>
      <c r="B9667" s="8" t="n"/>
      <c r="C9667" s="8" t="n"/>
      <c r="D9667" s="8" t="n"/>
      <c r="E9667" s="8" t="n"/>
      <c r="F9667" s="8" t="n"/>
      <c r="G9667" s="8" t="n"/>
      <c r="H9667" s="8" t="n"/>
      <c r="I9667" s="8" t="n"/>
      <c r="J9667" s="8" t="n"/>
      <c r="K9667" s="8" t="n"/>
      <c r="L9667" s="8" t="n"/>
      <c r="M9667" s="9">
        <f>B9667+30</f>
        <v/>
      </c>
      <c r="N9667">
        <f>IF(L9667="", "", L9667-B9667)</f>
        <v/>
      </c>
      <c r="O9667">
        <f>IF(L9667="", "Pending", IF(N9667&lt;=30, "Met", "Breached"))</f>
        <v/>
      </c>
      <c r="P9667" s="8" t="n"/>
      <c r="Q9667" s="8" t="n"/>
      <c r="R9667" s="8" t="n"/>
      <c r="S9667" s="8" t="n"/>
      <c r="T9667" s="8" t="n"/>
      <c r="U9667" s="8" t="n"/>
      <c r="V9667" s="8" t="n"/>
      <c r="W9667" s="8" t="n"/>
      <c r="X9667" s="8" t="n"/>
      <c r="Y9667" s="8" t="n"/>
    </row>
    <row r="9668">
      <c r="A9668" s="8" t="n"/>
      <c r="B9668" s="8" t="n"/>
      <c r="C9668" s="8" t="n"/>
      <c r="D9668" s="8" t="n"/>
      <c r="E9668" s="8" t="n"/>
      <c r="F9668" s="8" t="n"/>
      <c r="G9668" s="8" t="n"/>
      <c r="H9668" s="8" t="n"/>
      <c r="I9668" s="8" t="n"/>
      <c r="J9668" s="8" t="n"/>
      <c r="K9668" s="8" t="n"/>
      <c r="L9668" s="8" t="n"/>
      <c r="M9668" s="9">
        <f>B9668+30</f>
        <v/>
      </c>
      <c r="N9668">
        <f>IF(L9668="", "", L9668-B9668)</f>
        <v/>
      </c>
      <c r="O9668">
        <f>IF(L9668="", "Pending", IF(N9668&lt;=30, "Met", "Breached"))</f>
        <v/>
      </c>
      <c r="P9668" s="8" t="n"/>
      <c r="Q9668" s="8" t="n"/>
      <c r="R9668" s="8" t="n"/>
      <c r="S9668" s="8" t="n"/>
      <c r="T9668" s="8" t="n"/>
      <c r="U9668" s="8" t="n"/>
      <c r="V9668" s="8" t="n"/>
      <c r="W9668" s="8" t="n"/>
      <c r="X9668" s="8" t="n"/>
      <c r="Y9668" s="8" t="n"/>
    </row>
    <row r="9669">
      <c r="A9669" s="8" t="n"/>
      <c r="B9669" s="8" t="n"/>
      <c r="C9669" s="8" t="n"/>
      <c r="D9669" s="8" t="n"/>
      <c r="E9669" s="8" t="n"/>
      <c r="F9669" s="8" t="n"/>
      <c r="G9669" s="8" t="n"/>
      <c r="H9669" s="8" t="n"/>
      <c r="I9669" s="8" t="n"/>
      <c r="J9669" s="8" t="n"/>
      <c r="K9669" s="8" t="n"/>
      <c r="L9669" s="8" t="n"/>
      <c r="M9669" s="9">
        <f>B9669+30</f>
        <v/>
      </c>
      <c r="N9669">
        <f>IF(L9669="", "", L9669-B9669)</f>
        <v/>
      </c>
      <c r="O9669">
        <f>IF(L9669="", "Pending", IF(N9669&lt;=30, "Met", "Breached"))</f>
        <v/>
      </c>
      <c r="P9669" s="8" t="n"/>
      <c r="Q9669" s="8" t="n"/>
      <c r="R9669" s="8" t="n"/>
      <c r="S9669" s="8" t="n"/>
      <c r="T9669" s="8" t="n"/>
      <c r="U9669" s="8" t="n"/>
      <c r="V9669" s="8" t="n"/>
      <c r="W9669" s="8" t="n"/>
      <c r="X9669" s="8" t="n"/>
      <c r="Y9669" s="8" t="n"/>
    </row>
    <row r="9670">
      <c r="A9670" s="8" t="n"/>
      <c r="B9670" s="8" t="n"/>
      <c r="C9670" s="8" t="n"/>
      <c r="D9670" s="8" t="n"/>
      <c r="E9670" s="8" t="n"/>
      <c r="F9670" s="8" t="n"/>
      <c r="G9670" s="8" t="n"/>
      <c r="H9670" s="8" t="n"/>
      <c r="I9670" s="8" t="n"/>
      <c r="J9670" s="8" t="n"/>
      <c r="K9670" s="8" t="n"/>
      <c r="L9670" s="8" t="n"/>
      <c r="M9670" s="9">
        <f>B9670+30</f>
        <v/>
      </c>
      <c r="N9670">
        <f>IF(L9670="", "", L9670-B9670)</f>
        <v/>
      </c>
      <c r="O9670">
        <f>IF(L9670="", "Pending", IF(N9670&lt;=30, "Met", "Breached"))</f>
        <v/>
      </c>
      <c r="P9670" s="8" t="n"/>
      <c r="Q9670" s="8" t="n"/>
      <c r="R9670" s="8" t="n"/>
      <c r="S9670" s="8" t="n"/>
      <c r="T9670" s="8" t="n"/>
      <c r="U9670" s="8" t="n"/>
      <c r="V9670" s="8" t="n"/>
      <c r="W9670" s="8" t="n"/>
      <c r="X9670" s="8" t="n"/>
      <c r="Y9670" s="8" t="n"/>
    </row>
    <row r="9671">
      <c r="A9671" s="8" t="n"/>
      <c r="B9671" s="8" t="n"/>
      <c r="C9671" s="8" t="n"/>
      <c r="D9671" s="8" t="n"/>
      <c r="E9671" s="8" t="n"/>
      <c r="F9671" s="8" t="n"/>
      <c r="G9671" s="8" t="n"/>
      <c r="H9671" s="8" t="n"/>
      <c r="I9671" s="8" t="n"/>
      <c r="J9671" s="8" t="n"/>
      <c r="K9671" s="8" t="n"/>
      <c r="L9671" s="8" t="n"/>
      <c r="M9671" s="9">
        <f>B9671+30</f>
        <v/>
      </c>
      <c r="N9671">
        <f>IF(L9671="", "", L9671-B9671)</f>
        <v/>
      </c>
      <c r="O9671">
        <f>IF(L9671="", "Pending", IF(N9671&lt;=30, "Met", "Breached"))</f>
        <v/>
      </c>
      <c r="P9671" s="8" t="n"/>
      <c r="Q9671" s="8" t="n"/>
      <c r="R9671" s="8" t="n"/>
      <c r="S9671" s="8" t="n"/>
      <c r="T9671" s="8" t="n"/>
      <c r="U9671" s="8" t="n"/>
      <c r="V9671" s="8" t="n"/>
      <c r="W9671" s="8" t="n"/>
      <c r="X9671" s="8" t="n"/>
      <c r="Y9671" s="8" t="n"/>
    </row>
    <row r="9672">
      <c r="A9672" s="8" t="n"/>
      <c r="B9672" s="8" t="n"/>
      <c r="C9672" s="8" t="n"/>
      <c r="D9672" s="8" t="n"/>
      <c r="E9672" s="8" t="n"/>
      <c r="F9672" s="8" t="n"/>
      <c r="G9672" s="8" t="n"/>
      <c r="H9672" s="8" t="n"/>
      <c r="I9672" s="8" t="n"/>
      <c r="J9672" s="8" t="n"/>
      <c r="K9672" s="8" t="n"/>
      <c r="L9672" s="8" t="n"/>
      <c r="M9672" s="9">
        <f>B9672+30</f>
        <v/>
      </c>
      <c r="N9672">
        <f>IF(L9672="", "", L9672-B9672)</f>
        <v/>
      </c>
      <c r="O9672">
        <f>IF(L9672="", "Pending", IF(N9672&lt;=30, "Met", "Breached"))</f>
        <v/>
      </c>
      <c r="P9672" s="8" t="n"/>
      <c r="Q9672" s="8" t="n"/>
      <c r="R9672" s="8" t="n"/>
      <c r="S9672" s="8" t="n"/>
      <c r="T9672" s="8" t="n"/>
      <c r="U9672" s="8" t="n"/>
      <c r="V9672" s="8" t="n"/>
      <c r="W9672" s="8" t="n"/>
      <c r="X9672" s="8" t="n"/>
      <c r="Y9672" s="8" t="n"/>
    </row>
    <row r="9673">
      <c r="A9673" s="8" t="n"/>
      <c r="B9673" s="8" t="n"/>
      <c r="C9673" s="8" t="n"/>
      <c r="D9673" s="8" t="n"/>
      <c r="E9673" s="8" t="n"/>
      <c r="F9673" s="8" t="n"/>
      <c r="G9673" s="8" t="n"/>
      <c r="H9673" s="8" t="n"/>
      <c r="I9673" s="8" t="n"/>
      <c r="J9673" s="8" t="n"/>
      <c r="K9673" s="8" t="n"/>
      <c r="L9673" s="8" t="n"/>
      <c r="M9673" s="9">
        <f>B9673+30</f>
        <v/>
      </c>
      <c r="N9673">
        <f>IF(L9673="", "", L9673-B9673)</f>
        <v/>
      </c>
      <c r="O9673">
        <f>IF(L9673="", "Pending", IF(N9673&lt;=30, "Met", "Breached"))</f>
        <v/>
      </c>
      <c r="P9673" s="8" t="n"/>
      <c r="Q9673" s="8" t="n"/>
      <c r="R9673" s="8" t="n"/>
      <c r="S9673" s="8" t="n"/>
      <c r="T9673" s="8" t="n"/>
      <c r="U9673" s="8" t="n"/>
      <c r="V9673" s="8" t="n"/>
      <c r="W9673" s="8" t="n"/>
      <c r="X9673" s="8" t="n"/>
      <c r="Y9673" s="8" t="n"/>
    </row>
    <row r="9674">
      <c r="A9674" s="8" t="n"/>
      <c r="B9674" s="8" t="n"/>
      <c r="C9674" s="8" t="n"/>
      <c r="D9674" s="8" t="n"/>
      <c r="E9674" s="8" t="n"/>
      <c r="F9674" s="8" t="n"/>
      <c r="G9674" s="8" t="n"/>
      <c r="H9674" s="8" t="n"/>
      <c r="I9674" s="8" t="n"/>
      <c r="J9674" s="8" t="n"/>
      <c r="K9674" s="8" t="n"/>
      <c r="L9674" s="8" t="n"/>
      <c r="M9674" s="9">
        <f>B9674+30</f>
        <v/>
      </c>
      <c r="N9674">
        <f>IF(L9674="", "", L9674-B9674)</f>
        <v/>
      </c>
      <c r="O9674">
        <f>IF(L9674="", "Pending", IF(N9674&lt;=30, "Met", "Breached"))</f>
        <v/>
      </c>
      <c r="P9674" s="8" t="n"/>
      <c r="Q9674" s="8" t="n"/>
      <c r="R9674" s="8" t="n"/>
      <c r="S9674" s="8" t="n"/>
      <c r="T9674" s="8" t="n"/>
      <c r="U9674" s="8" t="n"/>
      <c r="V9674" s="8" t="n"/>
      <c r="W9674" s="8" t="n"/>
      <c r="X9674" s="8" t="n"/>
      <c r="Y9674" s="8" t="n"/>
    </row>
    <row r="9675">
      <c r="A9675" s="8" t="n"/>
      <c r="B9675" s="8" t="n"/>
      <c r="C9675" s="8" t="n"/>
      <c r="D9675" s="8" t="n"/>
      <c r="E9675" s="8" t="n"/>
      <c r="F9675" s="8" t="n"/>
      <c r="G9675" s="8" t="n"/>
      <c r="H9675" s="8" t="n"/>
      <c r="I9675" s="8" t="n"/>
      <c r="J9675" s="8" t="n"/>
      <c r="K9675" s="8" t="n"/>
      <c r="L9675" s="8" t="n"/>
      <c r="M9675" s="9">
        <f>B9675+30</f>
        <v/>
      </c>
      <c r="N9675">
        <f>IF(L9675="", "", L9675-B9675)</f>
        <v/>
      </c>
      <c r="O9675">
        <f>IF(L9675="", "Pending", IF(N9675&lt;=30, "Met", "Breached"))</f>
        <v/>
      </c>
      <c r="P9675" s="8" t="n"/>
      <c r="Q9675" s="8" t="n"/>
      <c r="R9675" s="8" t="n"/>
      <c r="S9675" s="8" t="n"/>
      <c r="T9675" s="8" t="n"/>
      <c r="U9675" s="8" t="n"/>
      <c r="V9675" s="8" t="n"/>
      <c r="W9675" s="8" t="n"/>
      <c r="X9675" s="8" t="n"/>
      <c r="Y9675" s="8" t="n"/>
    </row>
    <row r="9676">
      <c r="A9676" s="8" t="n"/>
      <c r="B9676" s="8" t="n"/>
      <c r="C9676" s="8" t="n"/>
      <c r="D9676" s="8" t="n"/>
      <c r="E9676" s="8" t="n"/>
      <c r="F9676" s="8" t="n"/>
      <c r="G9676" s="8" t="n"/>
      <c r="H9676" s="8" t="n"/>
      <c r="I9676" s="8" t="n"/>
      <c r="J9676" s="8" t="n"/>
      <c r="K9676" s="8" t="n"/>
      <c r="L9676" s="8" t="n"/>
      <c r="M9676" s="9">
        <f>B9676+30</f>
        <v/>
      </c>
      <c r="N9676">
        <f>IF(L9676="", "", L9676-B9676)</f>
        <v/>
      </c>
      <c r="O9676">
        <f>IF(L9676="", "Pending", IF(N9676&lt;=30, "Met", "Breached"))</f>
        <v/>
      </c>
      <c r="P9676" s="8" t="n"/>
      <c r="Q9676" s="8" t="n"/>
      <c r="R9676" s="8" t="n"/>
      <c r="S9676" s="8" t="n"/>
      <c r="T9676" s="8" t="n"/>
      <c r="U9676" s="8" t="n"/>
      <c r="V9676" s="8" t="n"/>
      <c r="W9676" s="8" t="n"/>
      <c r="X9676" s="8" t="n"/>
      <c r="Y9676" s="8" t="n"/>
    </row>
    <row r="9677">
      <c r="A9677" s="8" t="n"/>
      <c r="B9677" s="8" t="n"/>
      <c r="C9677" s="8" t="n"/>
      <c r="D9677" s="8" t="n"/>
      <c r="E9677" s="8" t="n"/>
      <c r="F9677" s="8" t="n"/>
      <c r="G9677" s="8" t="n"/>
      <c r="H9677" s="8" t="n"/>
      <c r="I9677" s="8" t="n"/>
      <c r="J9677" s="8" t="n"/>
      <c r="K9677" s="8" t="n"/>
      <c r="L9677" s="8" t="n"/>
      <c r="M9677" s="9">
        <f>B9677+30</f>
        <v/>
      </c>
      <c r="N9677">
        <f>IF(L9677="", "", L9677-B9677)</f>
        <v/>
      </c>
      <c r="O9677">
        <f>IF(L9677="", "Pending", IF(N9677&lt;=30, "Met", "Breached"))</f>
        <v/>
      </c>
      <c r="P9677" s="8" t="n"/>
      <c r="Q9677" s="8" t="n"/>
      <c r="R9677" s="8" t="n"/>
      <c r="S9677" s="8" t="n"/>
      <c r="T9677" s="8" t="n"/>
      <c r="U9677" s="8" t="n"/>
      <c r="V9677" s="8" t="n"/>
      <c r="W9677" s="8" t="n"/>
      <c r="X9677" s="8" t="n"/>
      <c r="Y9677" s="8" t="n"/>
    </row>
    <row r="9678">
      <c r="A9678" s="8" t="n"/>
      <c r="B9678" s="8" t="n"/>
      <c r="C9678" s="8" t="n"/>
      <c r="D9678" s="8" t="n"/>
      <c r="E9678" s="8" t="n"/>
      <c r="F9678" s="8" t="n"/>
      <c r="G9678" s="8" t="n"/>
      <c r="H9678" s="8" t="n"/>
      <c r="I9678" s="8" t="n"/>
      <c r="J9678" s="8" t="n"/>
      <c r="K9678" s="8" t="n"/>
      <c r="L9678" s="8" t="n"/>
      <c r="M9678" s="9">
        <f>B9678+30</f>
        <v/>
      </c>
      <c r="N9678">
        <f>IF(L9678="", "", L9678-B9678)</f>
        <v/>
      </c>
      <c r="O9678">
        <f>IF(L9678="", "Pending", IF(N9678&lt;=30, "Met", "Breached"))</f>
        <v/>
      </c>
      <c r="P9678" s="8" t="n"/>
      <c r="Q9678" s="8" t="n"/>
      <c r="R9678" s="8" t="n"/>
      <c r="S9678" s="8" t="n"/>
      <c r="T9678" s="8" t="n"/>
      <c r="U9678" s="8" t="n"/>
      <c r="V9678" s="8" t="n"/>
      <c r="W9678" s="8" t="n"/>
      <c r="X9678" s="8" t="n"/>
      <c r="Y9678" s="8" t="n"/>
    </row>
    <row r="9679">
      <c r="A9679" s="8" t="n"/>
      <c r="B9679" s="8" t="n"/>
      <c r="C9679" s="8" t="n"/>
      <c r="D9679" s="8" t="n"/>
      <c r="E9679" s="8" t="n"/>
      <c r="F9679" s="8" t="n"/>
      <c r="G9679" s="8" t="n"/>
      <c r="H9679" s="8" t="n"/>
      <c r="I9679" s="8" t="n"/>
      <c r="J9679" s="8" t="n"/>
      <c r="K9679" s="8" t="n"/>
      <c r="L9679" s="8" t="n"/>
      <c r="M9679" s="9">
        <f>B9679+30</f>
        <v/>
      </c>
      <c r="N9679">
        <f>IF(L9679="", "", L9679-B9679)</f>
        <v/>
      </c>
      <c r="O9679">
        <f>IF(L9679="", "Pending", IF(N9679&lt;=30, "Met", "Breached"))</f>
        <v/>
      </c>
      <c r="P9679" s="8" t="n"/>
      <c r="Q9679" s="8" t="n"/>
      <c r="R9679" s="8" t="n"/>
      <c r="S9679" s="8" t="n"/>
      <c r="T9679" s="8" t="n"/>
      <c r="U9679" s="8" t="n"/>
      <c r="V9679" s="8" t="n"/>
      <c r="W9679" s="8" t="n"/>
      <c r="X9679" s="8" t="n"/>
      <c r="Y9679" s="8" t="n"/>
    </row>
    <row r="9680">
      <c r="A9680" s="8" t="n"/>
      <c r="B9680" s="8" t="n"/>
      <c r="C9680" s="8" t="n"/>
      <c r="D9680" s="8" t="n"/>
      <c r="E9680" s="8" t="n"/>
      <c r="F9680" s="8" t="n"/>
      <c r="G9680" s="8" t="n"/>
      <c r="H9680" s="8" t="n"/>
      <c r="I9680" s="8" t="n"/>
      <c r="J9680" s="8" t="n"/>
      <c r="K9680" s="8" t="n"/>
      <c r="L9680" s="8" t="n"/>
      <c r="M9680" s="9">
        <f>B9680+30</f>
        <v/>
      </c>
      <c r="N9680">
        <f>IF(L9680="", "", L9680-B9680)</f>
        <v/>
      </c>
      <c r="O9680">
        <f>IF(L9680="", "Pending", IF(N9680&lt;=30, "Met", "Breached"))</f>
        <v/>
      </c>
      <c r="P9680" s="8" t="n"/>
      <c r="Q9680" s="8" t="n"/>
      <c r="R9680" s="8" t="n"/>
      <c r="S9680" s="8" t="n"/>
      <c r="T9680" s="8" t="n"/>
      <c r="U9680" s="8" t="n"/>
      <c r="V9680" s="8" t="n"/>
      <c r="W9680" s="8" t="n"/>
      <c r="X9680" s="8" t="n"/>
      <c r="Y9680" s="8" t="n"/>
    </row>
    <row r="9681">
      <c r="A9681" s="8" t="n"/>
      <c r="B9681" s="8" t="n"/>
      <c r="C9681" s="8" t="n"/>
      <c r="D9681" s="8" t="n"/>
      <c r="E9681" s="8" t="n"/>
      <c r="F9681" s="8" t="n"/>
      <c r="G9681" s="8" t="n"/>
      <c r="H9681" s="8" t="n"/>
      <c r="I9681" s="8" t="n"/>
      <c r="J9681" s="8" t="n"/>
      <c r="K9681" s="8" t="n"/>
      <c r="L9681" s="8" t="n"/>
      <c r="M9681" s="9">
        <f>B9681+30</f>
        <v/>
      </c>
      <c r="N9681">
        <f>IF(L9681="", "", L9681-B9681)</f>
        <v/>
      </c>
      <c r="O9681">
        <f>IF(L9681="", "Pending", IF(N9681&lt;=30, "Met", "Breached"))</f>
        <v/>
      </c>
      <c r="P9681" s="8" t="n"/>
      <c r="Q9681" s="8" t="n"/>
      <c r="R9681" s="8" t="n"/>
      <c r="S9681" s="8" t="n"/>
      <c r="T9681" s="8" t="n"/>
      <c r="U9681" s="8" t="n"/>
      <c r="V9681" s="8" t="n"/>
      <c r="W9681" s="8" t="n"/>
      <c r="X9681" s="8" t="n"/>
      <c r="Y9681" s="8" t="n"/>
    </row>
    <row r="9682">
      <c r="A9682" s="8" t="n"/>
      <c r="B9682" s="8" t="n"/>
      <c r="C9682" s="8" t="n"/>
      <c r="D9682" s="8" t="n"/>
      <c r="E9682" s="8" t="n"/>
      <c r="F9682" s="8" t="n"/>
      <c r="G9682" s="8" t="n"/>
      <c r="H9682" s="8" t="n"/>
      <c r="I9682" s="8" t="n"/>
      <c r="J9682" s="8" t="n"/>
      <c r="K9682" s="8" t="n"/>
      <c r="L9682" s="8" t="n"/>
      <c r="M9682" s="9">
        <f>B9682+30</f>
        <v/>
      </c>
      <c r="N9682">
        <f>IF(L9682="", "", L9682-B9682)</f>
        <v/>
      </c>
      <c r="O9682">
        <f>IF(L9682="", "Pending", IF(N9682&lt;=30, "Met", "Breached"))</f>
        <v/>
      </c>
      <c r="P9682" s="8" t="n"/>
      <c r="Q9682" s="8" t="n"/>
      <c r="R9682" s="8" t="n"/>
      <c r="S9682" s="8" t="n"/>
      <c r="T9682" s="8" t="n"/>
      <c r="U9682" s="8" t="n"/>
      <c r="V9682" s="8" t="n"/>
      <c r="W9682" s="8" t="n"/>
      <c r="X9682" s="8" t="n"/>
      <c r="Y9682" s="8" t="n"/>
    </row>
    <row r="9683">
      <c r="A9683" s="8" t="n"/>
      <c r="B9683" s="8" t="n"/>
      <c r="C9683" s="8" t="n"/>
      <c r="D9683" s="8" t="n"/>
      <c r="E9683" s="8" t="n"/>
      <c r="F9683" s="8" t="n"/>
      <c r="G9683" s="8" t="n"/>
      <c r="H9683" s="8" t="n"/>
      <c r="I9683" s="8" t="n"/>
      <c r="J9683" s="8" t="n"/>
      <c r="K9683" s="8" t="n"/>
      <c r="L9683" s="8" t="n"/>
      <c r="M9683" s="9">
        <f>B9683+30</f>
        <v/>
      </c>
      <c r="N9683">
        <f>IF(L9683="", "", L9683-B9683)</f>
        <v/>
      </c>
      <c r="O9683">
        <f>IF(L9683="", "Pending", IF(N9683&lt;=30, "Met", "Breached"))</f>
        <v/>
      </c>
      <c r="P9683" s="8" t="n"/>
      <c r="Q9683" s="8" t="n"/>
      <c r="R9683" s="8" t="n"/>
      <c r="S9683" s="8" t="n"/>
      <c r="T9683" s="8" t="n"/>
      <c r="U9683" s="8" t="n"/>
      <c r="V9683" s="8" t="n"/>
      <c r="W9683" s="8" t="n"/>
      <c r="X9683" s="8" t="n"/>
      <c r="Y9683" s="8" t="n"/>
    </row>
    <row r="9684">
      <c r="A9684" s="8" t="n"/>
      <c r="B9684" s="8" t="n"/>
      <c r="C9684" s="8" t="n"/>
      <c r="D9684" s="8" t="n"/>
      <c r="E9684" s="8" t="n"/>
      <c r="F9684" s="8" t="n"/>
      <c r="G9684" s="8" t="n"/>
      <c r="H9684" s="8" t="n"/>
      <c r="I9684" s="8" t="n"/>
      <c r="J9684" s="8" t="n"/>
      <c r="K9684" s="8" t="n"/>
      <c r="L9684" s="8" t="n"/>
      <c r="M9684" s="9">
        <f>B9684+30</f>
        <v/>
      </c>
      <c r="N9684">
        <f>IF(L9684="", "", L9684-B9684)</f>
        <v/>
      </c>
      <c r="O9684">
        <f>IF(L9684="", "Pending", IF(N9684&lt;=30, "Met", "Breached"))</f>
        <v/>
      </c>
      <c r="P9684" s="8" t="n"/>
      <c r="Q9684" s="8" t="n"/>
      <c r="R9684" s="8" t="n"/>
      <c r="S9684" s="8" t="n"/>
      <c r="T9684" s="8" t="n"/>
      <c r="U9684" s="8" t="n"/>
      <c r="V9684" s="8" t="n"/>
      <c r="W9684" s="8" t="n"/>
      <c r="X9684" s="8" t="n"/>
      <c r="Y9684" s="8" t="n"/>
    </row>
    <row r="9685">
      <c r="A9685" s="8" t="n"/>
      <c r="B9685" s="8" t="n"/>
      <c r="C9685" s="8" t="n"/>
      <c r="D9685" s="8" t="n"/>
      <c r="E9685" s="8" t="n"/>
      <c r="F9685" s="8" t="n"/>
      <c r="G9685" s="8" t="n"/>
      <c r="H9685" s="8" t="n"/>
      <c r="I9685" s="8" t="n"/>
      <c r="J9685" s="8" t="n"/>
      <c r="K9685" s="8" t="n"/>
      <c r="L9685" s="8" t="n"/>
      <c r="M9685" s="9">
        <f>B9685+30</f>
        <v/>
      </c>
      <c r="N9685">
        <f>IF(L9685="", "", L9685-B9685)</f>
        <v/>
      </c>
      <c r="O9685">
        <f>IF(L9685="", "Pending", IF(N9685&lt;=30, "Met", "Breached"))</f>
        <v/>
      </c>
      <c r="P9685" s="8" t="n"/>
      <c r="Q9685" s="8" t="n"/>
      <c r="R9685" s="8" t="n"/>
      <c r="S9685" s="8" t="n"/>
      <c r="T9685" s="8" t="n"/>
      <c r="U9685" s="8" t="n"/>
      <c r="V9685" s="8" t="n"/>
      <c r="W9685" s="8" t="n"/>
      <c r="X9685" s="8" t="n"/>
      <c r="Y9685" s="8" t="n"/>
    </row>
    <row r="9686">
      <c r="A9686" s="8" t="n"/>
      <c r="B9686" s="8" t="n"/>
      <c r="C9686" s="8" t="n"/>
      <c r="D9686" s="8" t="n"/>
      <c r="E9686" s="8" t="n"/>
      <c r="F9686" s="8" t="n"/>
      <c r="G9686" s="8" t="n"/>
      <c r="H9686" s="8" t="n"/>
      <c r="I9686" s="8" t="n"/>
      <c r="J9686" s="8" t="n"/>
      <c r="K9686" s="8" t="n"/>
      <c r="L9686" s="8" t="n"/>
      <c r="M9686" s="9">
        <f>B9686+30</f>
        <v/>
      </c>
      <c r="N9686">
        <f>IF(L9686="", "", L9686-B9686)</f>
        <v/>
      </c>
      <c r="O9686">
        <f>IF(L9686="", "Pending", IF(N9686&lt;=30, "Met", "Breached"))</f>
        <v/>
      </c>
      <c r="P9686" s="8" t="n"/>
      <c r="Q9686" s="8" t="n"/>
      <c r="R9686" s="8" t="n"/>
      <c r="S9686" s="8" t="n"/>
      <c r="T9686" s="8" t="n"/>
      <c r="U9686" s="8" t="n"/>
      <c r="V9686" s="8" t="n"/>
      <c r="W9686" s="8" t="n"/>
      <c r="X9686" s="8" t="n"/>
      <c r="Y9686" s="8" t="n"/>
    </row>
    <row r="9687">
      <c r="A9687" s="8" t="n"/>
      <c r="B9687" s="8" t="n"/>
      <c r="C9687" s="8" t="n"/>
      <c r="D9687" s="8" t="n"/>
      <c r="E9687" s="8" t="n"/>
      <c r="F9687" s="8" t="n"/>
      <c r="G9687" s="8" t="n"/>
      <c r="H9687" s="8" t="n"/>
      <c r="I9687" s="8" t="n"/>
      <c r="J9687" s="8" t="n"/>
      <c r="K9687" s="8" t="n"/>
      <c r="L9687" s="8" t="n"/>
      <c r="M9687" s="9">
        <f>B9687+30</f>
        <v/>
      </c>
      <c r="N9687">
        <f>IF(L9687="", "", L9687-B9687)</f>
        <v/>
      </c>
      <c r="O9687">
        <f>IF(L9687="", "Pending", IF(N9687&lt;=30, "Met", "Breached"))</f>
        <v/>
      </c>
      <c r="P9687" s="8" t="n"/>
      <c r="Q9687" s="8" t="n"/>
      <c r="R9687" s="8" t="n"/>
      <c r="S9687" s="8" t="n"/>
      <c r="T9687" s="8" t="n"/>
      <c r="U9687" s="8" t="n"/>
      <c r="V9687" s="8" t="n"/>
      <c r="W9687" s="8" t="n"/>
      <c r="X9687" s="8" t="n"/>
      <c r="Y9687" s="8" t="n"/>
    </row>
    <row r="9688">
      <c r="A9688" s="8" t="n"/>
      <c r="B9688" s="8" t="n"/>
      <c r="C9688" s="8" t="n"/>
      <c r="D9688" s="8" t="n"/>
      <c r="E9688" s="8" t="n"/>
      <c r="F9688" s="8" t="n"/>
      <c r="G9688" s="8" t="n"/>
      <c r="H9688" s="8" t="n"/>
      <c r="I9688" s="8" t="n"/>
      <c r="J9688" s="8" t="n"/>
      <c r="K9688" s="8" t="n"/>
      <c r="L9688" s="8" t="n"/>
      <c r="M9688" s="9">
        <f>B9688+30</f>
        <v/>
      </c>
      <c r="N9688">
        <f>IF(L9688="", "", L9688-B9688)</f>
        <v/>
      </c>
      <c r="O9688">
        <f>IF(L9688="", "Pending", IF(N9688&lt;=30, "Met", "Breached"))</f>
        <v/>
      </c>
      <c r="P9688" s="8" t="n"/>
      <c r="Q9688" s="8" t="n"/>
      <c r="R9688" s="8" t="n"/>
      <c r="S9688" s="8" t="n"/>
      <c r="T9688" s="8" t="n"/>
      <c r="U9688" s="8" t="n"/>
      <c r="V9688" s="8" t="n"/>
      <c r="W9688" s="8" t="n"/>
      <c r="X9688" s="8" t="n"/>
      <c r="Y9688" s="8" t="n"/>
    </row>
    <row r="9689">
      <c r="A9689" s="8" t="n"/>
      <c r="B9689" s="8" t="n"/>
      <c r="C9689" s="8" t="n"/>
      <c r="D9689" s="8" t="n"/>
      <c r="E9689" s="8" t="n"/>
      <c r="F9689" s="8" t="n"/>
      <c r="G9689" s="8" t="n"/>
      <c r="H9689" s="8" t="n"/>
      <c r="I9689" s="8" t="n"/>
      <c r="J9689" s="8" t="n"/>
      <c r="K9689" s="8" t="n"/>
      <c r="L9689" s="8" t="n"/>
      <c r="M9689" s="9">
        <f>B9689+30</f>
        <v/>
      </c>
      <c r="N9689">
        <f>IF(L9689="", "", L9689-B9689)</f>
        <v/>
      </c>
      <c r="O9689">
        <f>IF(L9689="", "Pending", IF(N9689&lt;=30, "Met", "Breached"))</f>
        <v/>
      </c>
      <c r="P9689" s="8" t="n"/>
      <c r="Q9689" s="8" t="n"/>
      <c r="R9689" s="8" t="n"/>
      <c r="S9689" s="8" t="n"/>
      <c r="T9689" s="8" t="n"/>
      <c r="U9689" s="8" t="n"/>
      <c r="V9689" s="8" t="n"/>
      <c r="W9689" s="8" t="n"/>
      <c r="X9689" s="8" t="n"/>
      <c r="Y9689" s="8" t="n"/>
    </row>
    <row r="9690">
      <c r="A9690" s="8" t="n"/>
      <c r="B9690" s="8" t="n"/>
      <c r="C9690" s="8" t="n"/>
      <c r="D9690" s="8" t="n"/>
      <c r="E9690" s="8" t="n"/>
      <c r="F9690" s="8" t="n"/>
      <c r="G9690" s="8" t="n"/>
      <c r="H9690" s="8" t="n"/>
      <c r="I9690" s="8" t="n"/>
      <c r="J9690" s="8" t="n"/>
      <c r="K9690" s="8" t="n"/>
      <c r="L9690" s="8" t="n"/>
      <c r="M9690" s="9">
        <f>B9690+30</f>
        <v/>
      </c>
      <c r="N9690">
        <f>IF(L9690="", "", L9690-B9690)</f>
        <v/>
      </c>
      <c r="O9690">
        <f>IF(L9690="", "Pending", IF(N9690&lt;=30, "Met", "Breached"))</f>
        <v/>
      </c>
      <c r="P9690" s="8" t="n"/>
      <c r="Q9690" s="8" t="n"/>
      <c r="R9690" s="8" t="n"/>
      <c r="S9690" s="8" t="n"/>
      <c r="T9690" s="8" t="n"/>
      <c r="U9690" s="8" t="n"/>
      <c r="V9690" s="8" t="n"/>
      <c r="W9690" s="8" t="n"/>
      <c r="X9690" s="8" t="n"/>
      <c r="Y9690" s="8" t="n"/>
    </row>
    <row r="9691">
      <c r="A9691" s="8" t="n"/>
      <c r="B9691" s="8" t="n"/>
      <c r="C9691" s="8" t="n"/>
      <c r="D9691" s="8" t="n"/>
      <c r="E9691" s="8" t="n"/>
      <c r="F9691" s="8" t="n"/>
      <c r="G9691" s="8" t="n"/>
      <c r="H9691" s="8" t="n"/>
      <c r="I9691" s="8" t="n"/>
      <c r="J9691" s="8" t="n"/>
      <c r="K9691" s="8" t="n"/>
      <c r="L9691" s="8" t="n"/>
      <c r="M9691" s="9">
        <f>B9691+30</f>
        <v/>
      </c>
      <c r="N9691">
        <f>IF(L9691="", "", L9691-B9691)</f>
        <v/>
      </c>
      <c r="O9691">
        <f>IF(L9691="", "Pending", IF(N9691&lt;=30, "Met", "Breached"))</f>
        <v/>
      </c>
      <c r="P9691" s="8" t="n"/>
      <c r="Q9691" s="8" t="n"/>
      <c r="R9691" s="8" t="n"/>
      <c r="S9691" s="8" t="n"/>
      <c r="T9691" s="8" t="n"/>
      <c r="U9691" s="8" t="n"/>
      <c r="V9691" s="8" t="n"/>
      <c r="W9691" s="8" t="n"/>
      <c r="X9691" s="8" t="n"/>
      <c r="Y9691" s="8" t="n"/>
    </row>
    <row r="9692">
      <c r="A9692" s="8" t="n"/>
      <c r="B9692" s="8" t="n"/>
      <c r="C9692" s="8" t="n"/>
      <c r="D9692" s="8" t="n"/>
      <c r="E9692" s="8" t="n"/>
      <c r="F9692" s="8" t="n"/>
      <c r="G9692" s="8" t="n"/>
      <c r="H9692" s="8" t="n"/>
      <c r="I9692" s="8" t="n"/>
      <c r="J9692" s="8" t="n"/>
      <c r="K9692" s="8" t="n"/>
      <c r="L9692" s="8" t="n"/>
      <c r="M9692" s="9">
        <f>B9692+30</f>
        <v/>
      </c>
      <c r="N9692">
        <f>IF(L9692="", "", L9692-B9692)</f>
        <v/>
      </c>
      <c r="O9692">
        <f>IF(L9692="", "Pending", IF(N9692&lt;=30, "Met", "Breached"))</f>
        <v/>
      </c>
      <c r="P9692" s="8" t="n"/>
      <c r="Q9692" s="8" t="n"/>
      <c r="R9692" s="8" t="n"/>
      <c r="S9692" s="8" t="n"/>
      <c r="T9692" s="8" t="n"/>
      <c r="U9692" s="8" t="n"/>
      <c r="V9692" s="8" t="n"/>
      <c r="W9692" s="8" t="n"/>
      <c r="X9692" s="8" t="n"/>
      <c r="Y9692" s="8" t="n"/>
    </row>
    <row r="9693">
      <c r="A9693" s="8" t="n"/>
      <c r="B9693" s="8" t="n"/>
      <c r="C9693" s="8" t="n"/>
      <c r="D9693" s="8" t="n"/>
      <c r="E9693" s="8" t="n"/>
      <c r="F9693" s="8" t="n"/>
      <c r="G9693" s="8" t="n"/>
      <c r="H9693" s="8" t="n"/>
      <c r="I9693" s="8" t="n"/>
      <c r="J9693" s="8" t="n"/>
      <c r="K9693" s="8" t="n"/>
      <c r="L9693" s="8" t="n"/>
      <c r="M9693" s="9">
        <f>B9693+30</f>
        <v/>
      </c>
      <c r="N9693">
        <f>IF(L9693="", "", L9693-B9693)</f>
        <v/>
      </c>
      <c r="O9693">
        <f>IF(L9693="", "Pending", IF(N9693&lt;=30, "Met", "Breached"))</f>
        <v/>
      </c>
      <c r="P9693" s="8" t="n"/>
      <c r="Q9693" s="8" t="n"/>
      <c r="R9693" s="8" t="n"/>
      <c r="S9693" s="8" t="n"/>
      <c r="T9693" s="8" t="n"/>
      <c r="U9693" s="8" t="n"/>
      <c r="V9693" s="8" t="n"/>
      <c r="W9693" s="8" t="n"/>
      <c r="X9693" s="8" t="n"/>
      <c r="Y9693" s="8" t="n"/>
    </row>
    <row r="9694">
      <c r="A9694" s="8" t="n"/>
      <c r="B9694" s="8" t="n"/>
      <c r="C9694" s="8" t="n"/>
      <c r="D9694" s="8" t="n"/>
      <c r="E9694" s="8" t="n"/>
      <c r="F9694" s="8" t="n"/>
      <c r="G9694" s="8" t="n"/>
      <c r="H9694" s="8" t="n"/>
      <c r="I9694" s="8" t="n"/>
      <c r="J9694" s="8" t="n"/>
      <c r="K9694" s="8" t="n"/>
      <c r="L9694" s="8" t="n"/>
      <c r="M9694" s="9">
        <f>B9694+30</f>
        <v/>
      </c>
      <c r="N9694">
        <f>IF(L9694="", "", L9694-B9694)</f>
        <v/>
      </c>
      <c r="O9694">
        <f>IF(L9694="", "Pending", IF(N9694&lt;=30, "Met", "Breached"))</f>
        <v/>
      </c>
      <c r="P9694" s="8" t="n"/>
      <c r="Q9694" s="8" t="n"/>
      <c r="R9694" s="8" t="n"/>
      <c r="S9694" s="8" t="n"/>
      <c r="T9694" s="8" t="n"/>
      <c r="U9694" s="8" t="n"/>
      <c r="V9694" s="8" t="n"/>
      <c r="W9694" s="8" t="n"/>
      <c r="X9694" s="8" t="n"/>
      <c r="Y9694" s="8" t="n"/>
    </row>
    <row r="9695">
      <c r="A9695" s="8" t="n"/>
      <c r="B9695" s="8" t="n"/>
      <c r="C9695" s="8" t="n"/>
      <c r="D9695" s="8" t="n"/>
      <c r="E9695" s="8" t="n"/>
      <c r="F9695" s="8" t="n"/>
      <c r="G9695" s="8" t="n"/>
      <c r="H9695" s="8" t="n"/>
      <c r="I9695" s="8" t="n"/>
      <c r="J9695" s="8" t="n"/>
      <c r="K9695" s="8" t="n"/>
      <c r="L9695" s="8" t="n"/>
      <c r="M9695" s="9">
        <f>B9695+30</f>
        <v/>
      </c>
      <c r="N9695">
        <f>IF(L9695="", "", L9695-B9695)</f>
        <v/>
      </c>
      <c r="O9695">
        <f>IF(L9695="", "Pending", IF(N9695&lt;=30, "Met", "Breached"))</f>
        <v/>
      </c>
      <c r="P9695" s="8" t="n"/>
      <c r="Q9695" s="8" t="n"/>
      <c r="R9695" s="8" t="n"/>
      <c r="S9695" s="8" t="n"/>
      <c r="T9695" s="8" t="n"/>
      <c r="U9695" s="8" t="n"/>
      <c r="V9695" s="8" t="n"/>
      <c r="W9695" s="8" t="n"/>
      <c r="X9695" s="8" t="n"/>
      <c r="Y9695" s="8" t="n"/>
    </row>
    <row r="9696">
      <c r="A9696" s="8" t="n"/>
      <c r="B9696" s="8" t="n"/>
      <c r="C9696" s="8" t="n"/>
      <c r="D9696" s="8" t="n"/>
      <c r="E9696" s="8" t="n"/>
      <c r="F9696" s="8" t="n"/>
      <c r="G9696" s="8" t="n"/>
      <c r="H9696" s="8" t="n"/>
      <c r="I9696" s="8" t="n"/>
      <c r="J9696" s="8" t="n"/>
      <c r="K9696" s="8" t="n"/>
      <c r="L9696" s="8" t="n"/>
      <c r="M9696" s="9">
        <f>B9696+30</f>
        <v/>
      </c>
      <c r="N9696">
        <f>IF(L9696="", "", L9696-B9696)</f>
        <v/>
      </c>
      <c r="O9696">
        <f>IF(L9696="", "Pending", IF(N9696&lt;=30, "Met", "Breached"))</f>
        <v/>
      </c>
      <c r="P9696" s="8" t="n"/>
      <c r="Q9696" s="8" t="n"/>
      <c r="R9696" s="8" t="n"/>
      <c r="S9696" s="8" t="n"/>
      <c r="T9696" s="8" t="n"/>
      <c r="U9696" s="8" t="n"/>
      <c r="V9696" s="8" t="n"/>
      <c r="W9696" s="8" t="n"/>
      <c r="X9696" s="8" t="n"/>
      <c r="Y9696" s="8" t="n"/>
    </row>
    <row r="9697">
      <c r="A9697" s="8" t="n"/>
      <c r="B9697" s="8" t="n"/>
      <c r="C9697" s="8" t="n"/>
      <c r="D9697" s="8" t="n"/>
      <c r="E9697" s="8" t="n"/>
      <c r="F9697" s="8" t="n"/>
      <c r="G9697" s="8" t="n"/>
      <c r="H9697" s="8" t="n"/>
      <c r="I9697" s="8" t="n"/>
      <c r="J9697" s="8" t="n"/>
      <c r="K9697" s="8" t="n"/>
      <c r="L9697" s="8" t="n"/>
      <c r="M9697" s="9">
        <f>B9697+30</f>
        <v/>
      </c>
      <c r="N9697">
        <f>IF(L9697="", "", L9697-B9697)</f>
        <v/>
      </c>
      <c r="O9697">
        <f>IF(L9697="", "Pending", IF(N9697&lt;=30, "Met", "Breached"))</f>
        <v/>
      </c>
      <c r="P9697" s="8" t="n"/>
      <c r="Q9697" s="8" t="n"/>
      <c r="R9697" s="8" t="n"/>
      <c r="S9697" s="8" t="n"/>
      <c r="T9697" s="8" t="n"/>
      <c r="U9697" s="8" t="n"/>
      <c r="V9697" s="8" t="n"/>
      <c r="W9697" s="8" t="n"/>
      <c r="X9697" s="8" t="n"/>
      <c r="Y9697" s="8" t="n"/>
    </row>
    <row r="9698">
      <c r="A9698" s="8" t="n"/>
      <c r="B9698" s="8" t="n"/>
      <c r="C9698" s="8" t="n"/>
      <c r="D9698" s="8" t="n"/>
      <c r="E9698" s="8" t="n"/>
      <c r="F9698" s="8" t="n"/>
      <c r="G9698" s="8" t="n"/>
      <c r="H9698" s="8" t="n"/>
      <c r="I9698" s="8" t="n"/>
      <c r="J9698" s="8" t="n"/>
      <c r="K9698" s="8" t="n"/>
      <c r="L9698" s="8" t="n"/>
      <c r="M9698" s="9">
        <f>B9698+30</f>
        <v/>
      </c>
      <c r="N9698">
        <f>IF(L9698="", "", L9698-B9698)</f>
        <v/>
      </c>
      <c r="O9698">
        <f>IF(L9698="", "Pending", IF(N9698&lt;=30, "Met", "Breached"))</f>
        <v/>
      </c>
      <c r="P9698" s="8" t="n"/>
      <c r="Q9698" s="8" t="n"/>
      <c r="R9698" s="8" t="n"/>
      <c r="S9698" s="8" t="n"/>
      <c r="T9698" s="8" t="n"/>
      <c r="U9698" s="8" t="n"/>
      <c r="V9698" s="8" t="n"/>
      <c r="W9698" s="8" t="n"/>
      <c r="X9698" s="8" t="n"/>
      <c r="Y9698" s="8" t="n"/>
    </row>
    <row r="9699">
      <c r="A9699" s="8" t="n"/>
      <c r="B9699" s="8" t="n"/>
      <c r="C9699" s="8" t="n"/>
      <c r="D9699" s="8" t="n"/>
      <c r="E9699" s="8" t="n"/>
      <c r="F9699" s="8" t="n"/>
      <c r="G9699" s="8" t="n"/>
      <c r="H9699" s="8" t="n"/>
      <c r="I9699" s="8" t="n"/>
      <c r="J9699" s="8" t="n"/>
      <c r="K9699" s="8" t="n"/>
      <c r="L9699" s="8" t="n"/>
      <c r="M9699" s="9">
        <f>B9699+30</f>
        <v/>
      </c>
      <c r="N9699">
        <f>IF(L9699="", "", L9699-B9699)</f>
        <v/>
      </c>
      <c r="O9699">
        <f>IF(L9699="", "Pending", IF(N9699&lt;=30, "Met", "Breached"))</f>
        <v/>
      </c>
      <c r="P9699" s="8" t="n"/>
      <c r="Q9699" s="8" t="n"/>
      <c r="R9699" s="8" t="n"/>
      <c r="S9699" s="8" t="n"/>
      <c r="T9699" s="8" t="n"/>
      <c r="U9699" s="8" t="n"/>
      <c r="V9699" s="8" t="n"/>
      <c r="W9699" s="8" t="n"/>
      <c r="X9699" s="8" t="n"/>
      <c r="Y9699" s="8" t="n"/>
    </row>
    <row r="9700">
      <c r="A9700" s="8" t="n"/>
      <c r="B9700" s="8" t="n"/>
      <c r="C9700" s="8" t="n"/>
      <c r="D9700" s="8" t="n"/>
      <c r="E9700" s="8" t="n"/>
      <c r="F9700" s="8" t="n"/>
      <c r="G9700" s="8" t="n"/>
      <c r="H9700" s="8" t="n"/>
      <c r="I9700" s="8" t="n"/>
      <c r="J9700" s="8" t="n"/>
      <c r="K9700" s="8" t="n"/>
      <c r="L9700" s="8" t="n"/>
      <c r="M9700" s="9">
        <f>B9700+30</f>
        <v/>
      </c>
      <c r="N9700">
        <f>IF(L9700="", "", L9700-B9700)</f>
        <v/>
      </c>
      <c r="O9700">
        <f>IF(L9700="", "Pending", IF(N9700&lt;=30, "Met", "Breached"))</f>
        <v/>
      </c>
      <c r="P9700" s="8" t="n"/>
      <c r="Q9700" s="8" t="n"/>
      <c r="R9700" s="8" t="n"/>
      <c r="S9700" s="8" t="n"/>
      <c r="T9700" s="8" t="n"/>
      <c r="U9700" s="8" t="n"/>
      <c r="V9700" s="8" t="n"/>
      <c r="W9700" s="8" t="n"/>
      <c r="X9700" s="8" t="n"/>
      <c r="Y9700" s="8" t="n"/>
    </row>
    <row r="9701">
      <c r="A9701" s="8" t="n"/>
      <c r="B9701" s="8" t="n"/>
      <c r="C9701" s="8" t="n"/>
      <c r="D9701" s="8" t="n"/>
      <c r="E9701" s="8" t="n"/>
      <c r="F9701" s="8" t="n"/>
      <c r="G9701" s="8" t="n"/>
      <c r="H9701" s="8" t="n"/>
      <c r="I9701" s="8" t="n"/>
      <c r="J9701" s="8" t="n"/>
      <c r="K9701" s="8" t="n"/>
      <c r="L9701" s="8" t="n"/>
      <c r="M9701" s="9">
        <f>B9701+30</f>
        <v/>
      </c>
      <c r="N9701">
        <f>IF(L9701="", "", L9701-B9701)</f>
        <v/>
      </c>
      <c r="O9701">
        <f>IF(L9701="", "Pending", IF(N9701&lt;=30, "Met", "Breached"))</f>
        <v/>
      </c>
      <c r="P9701" s="8" t="n"/>
      <c r="Q9701" s="8" t="n"/>
      <c r="R9701" s="8" t="n"/>
      <c r="S9701" s="8" t="n"/>
      <c r="T9701" s="8" t="n"/>
      <c r="U9701" s="8" t="n"/>
      <c r="V9701" s="8" t="n"/>
      <c r="W9701" s="8" t="n"/>
      <c r="X9701" s="8" t="n"/>
      <c r="Y9701" s="8" t="n"/>
    </row>
    <row r="9702">
      <c r="A9702" s="8" t="n"/>
      <c r="B9702" s="8" t="n"/>
      <c r="C9702" s="8" t="n"/>
      <c r="D9702" s="8" t="n"/>
      <c r="E9702" s="8" t="n"/>
      <c r="F9702" s="8" t="n"/>
      <c r="G9702" s="8" t="n"/>
      <c r="H9702" s="8" t="n"/>
      <c r="I9702" s="8" t="n"/>
      <c r="J9702" s="8" t="n"/>
      <c r="K9702" s="8" t="n"/>
      <c r="L9702" s="8" t="n"/>
      <c r="M9702" s="9">
        <f>B9702+30</f>
        <v/>
      </c>
      <c r="N9702">
        <f>IF(L9702="", "", L9702-B9702)</f>
        <v/>
      </c>
      <c r="O9702">
        <f>IF(L9702="", "Pending", IF(N9702&lt;=30, "Met", "Breached"))</f>
        <v/>
      </c>
      <c r="P9702" s="8" t="n"/>
      <c r="Q9702" s="8" t="n"/>
      <c r="R9702" s="8" t="n"/>
      <c r="S9702" s="8" t="n"/>
      <c r="T9702" s="8" t="n"/>
      <c r="U9702" s="8" t="n"/>
      <c r="V9702" s="8" t="n"/>
      <c r="W9702" s="8" t="n"/>
      <c r="X9702" s="8" t="n"/>
      <c r="Y9702" s="8" t="n"/>
    </row>
    <row r="9703">
      <c r="A9703" s="8" t="n"/>
      <c r="B9703" s="8" t="n"/>
      <c r="C9703" s="8" t="n"/>
      <c r="D9703" s="8" t="n"/>
      <c r="E9703" s="8" t="n"/>
      <c r="F9703" s="8" t="n"/>
      <c r="G9703" s="8" t="n"/>
      <c r="H9703" s="8" t="n"/>
      <c r="I9703" s="8" t="n"/>
      <c r="J9703" s="8" t="n"/>
      <c r="K9703" s="8" t="n"/>
      <c r="L9703" s="8" t="n"/>
      <c r="M9703" s="9">
        <f>B9703+30</f>
        <v/>
      </c>
      <c r="N9703">
        <f>IF(L9703="", "", L9703-B9703)</f>
        <v/>
      </c>
      <c r="O9703">
        <f>IF(L9703="", "Pending", IF(N9703&lt;=30, "Met", "Breached"))</f>
        <v/>
      </c>
      <c r="P9703" s="8" t="n"/>
      <c r="Q9703" s="8" t="n"/>
      <c r="R9703" s="8" t="n"/>
      <c r="S9703" s="8" t="n"/>
      <c r="T9703" s="8" t="n"/>
      <c r="U9703" s="8" t="n"/>
      <c r="V9703" s="8" t="n"/>
      <c r="W9703" s="8" t="n"/>
      <c r="X9703" s="8" t="n"/>
      <c r="Y9703" s="8" t="n"/>
    </row>
    <row r="9704">
      <c r="A9704" s="8" t="n"/>
      <c r="B9704" s="8" t="n"/>
      <c r="C9704" s="8" t="n"/>
      <c r="D9704" s="8" t="n"/>
      <c r="E9704" s="8" t="n"/>
      <c r="F9704" s="8" t="n"/>
      <c r="G9704" s="8" t="n"/>
      <c r="H9704" s="8" t="n"/>
      <c r="I9704" s="8" t="n"/>
      <c r="J9704" s="8" t="n"/>
      <c r="K9704" s="8" t="n"/>
      <c r="L9704" s="8" t="n"/>
      <c r="M9704" s="9">
        <f>B9704+30</f>
        <v/>
      </c>
      <c r="N9704">
        <f>IF(L9704="", "", L9704-B9704)</f>
        <v/>
      </c>
      <c r="O9704">
        <f>IF(L9704="", "Pending", IF(N9704&lt;=30, "Met", "Breached"))</f>
        <v/>
      </c>
      <c r="P9704" s="8" t="n"/>
      <c r="Q9704" s="8" t="n"/>
      <c r="R9704" s="8" t="n"/>
      <c r="S9704" s="8" t="n"/>
      <c r="T9704" s="8" t="n"/>
      <c r="U9704" s="8" t="n"/>
      <c r="V9704" s="8" t="n"/>
      <c r="W9704" s="8" t="n"/>
      <c r="X9704" s="8" t="n"/>
      <c r="Y9704" s="8" t="n"/>
    </row>
    <row r="9705">
      <c r="A9705" s="8" t="n"/>
      <c r="B9705" s="8" t="n"/>
      <c r="C9705" s="8" t="n"/>
      <c r="D9705" s="8" t="n"/>
      <c r="E9705" s="8" t="n"/>
      <c r="F9705" s="8" t="n"/>
      <c r="G9705" s="8" t="n"/>
      <c r="H9705" s="8" t="n"/>
      <c r="I9705" s="8" t="n"/>
      <c r="J9705" s="8" t="n"/>
      <c r="K9705" s="8" t="n"/>
      <c r="L9705" s="8" t="n"/>
      <c r="M9705" s="9">
        <f>B9705+30</f>
        <v/>
      </c>
      <c r="N9705">
        <f>IF(L9705="", "", L9705-B9705)</f>
        <v/>
      </c>
      <c r="O9705">
        <f>IF(L9705="", "Pending", IF(N9705&lt;=30, "Met", "Breached"))</f>
        <v/>
      </c>
      <c r="P9705" s="8" t="n"/>
      <c r="Q9705" s="8" t="n"/>
      <c r="R9705" s="8" t="n"/>
      <c r="S9705" s="8" t="n"/>
      <c r="T9705" s="8" t="n"/>
      <c r="U9705" s="8" t="n"/>
      <c r="V9705" s="8" t="n"/>
      <c r="W9705" s="8" t="n"/>
      <c r="X9705" s="8" t="n"/>
      <c r="Y9705" s="8" t="n"/>
    </row>
    <row r="9706">
      <c r="A9706" s="8" t="n"/>
      <c r="B9706" s="8" t="n"/>
      <c r="C9706" s="8" t="n"/>
      <c r="D9706" s="8" t="n"/>
      <c r="E9706" s="8" t="n"/>
      <c r="F9706" s="8" t="n"/>
      <c r="G9706" s="8" t="n"/>
      <c r="H9706" s="8" t="n"/>
      <c r="I9706" s="8" t="n"/>
      <c r="J9706" s="8" t="n"/>
      <c r="K9706" s="8" t="n"/>
      <c r="L9706" s="8" t="n"/>
      <c r="M9706" s="9">
        <f>B9706+30</f>
        <v/>
      </c>
      <c r="N9706">
        <f>IF(L9706="", "", L9706-B9706)</f>
        <v/>
      </c>
      <c r="O9706">
        <f>IF(L9706="", "Pending", IF(N9706&lt;=30, "Met", "Breached"))</f>
        <v/>
      </c>
      <c r="P9706" s="8" t="n"/>
      <c r="Q9706" s="8" t="n"/>
      <c r="R9706" s="8" t="n"/>
      <c r="S9706" s="8" t="n"/>
      <c r="T9706" s="8" t="n"/>
      <c r="U9706" s="8" t="n"/>
      <c r="V9706" s="8" t="n"/>
      <c r="W9706" s="8" t="n"/>
      <c r="X9706" s="8" t="n"/>
      <c r="Y9706" s="8" t="n"/>
    </row>
    <row r="9707">
      <c r="A9707" s="8" t="n"/>
      <c r="B9707" s="8" t="n"/>
      <c r="C9707" s="8" t="n"/>
      <c r="D9707" s="8" t="n"/>
      <c r="E9707" s="8" t="n"/>
      <c r="F9707" s="8" t="n"/>
      <c r="G9707" s="8" t="n"/>
      <c r="H9707" s="8" t="n"/>
      <c r="I9707" s="8" t="n"/>
      <c r="J9707" s="8" t="n"/>
      <c r="K9707" s="8" t="n"/>
      <c r="L9707" s="8" t="n"/>
      <c r="M9707" s="9">
        <f>B9707+30</f>
        <v/>
      </c>
      <c r="N9707">
        <f>IF(L9707="", "", L9707-B9707)</f>
        <v/>
      </c>
      <c r="O9707">
        <f>IF(L9707="", "Pending", IF(N9707&lt;=30, "Met", "Breached"))</f>
        <v/>
      </c>
      <c r="P9707" s="8" t="n"/>
      <c r="Q9707" s="8" t="n"/>
      <c r="R9707" s="8" t="n"/>
      <c r="S9707" s="8" t="n"/>
      <c r="T9707" s="8" t="n"/>
      <c r="U9707" s="8" t="n"/>
      <c r="V9707" s="8" t="n"/>
      <c r="W9707" s="8" t="n"/>
      <c r="X9707" s="8" t="n"/>
      <c r="Y9707" s="8" t="n"/>
    </row>
    <row r="9708">
      <c r="A9708" s="8" t="n"/>
      <c r="B9708" s="8" t="n"/>
      <c r="C9708" s="8" t="n"/>
      <c r="D9708" s="8" t="n"/>
      <c r="E9708" s="8" t="n"/>
      <c r="F9708" s="8" t="n"/>
      <c r="G9708" s="8" t="n"/>
      <c r="H9708" s="8" t="n"/>
      <c r="I9708" s="8" t="n"/>
      <c r="J9708" s="8" t="n"/>
      <c r="K9708" s="8" t="n"/>
      <c r="L9708" s="8" t="n"/>
      <c r="M9708" s="9">
        <f>B9708+30</f>
        <v/>
      </c>
      <c r="N9708">
        <f>IF(L9708="", "", L9708-B9708)</f>
        <v/>
      </c>
      <c r="O9708">
        <f>IF(L9708="", "Pending", IF(N9708&lt;=30, "Met", "Breached"))</f>
        <v/>
      </c>
      <c r="P9708" s="8" t="n"/>
      <c r="Q9708" s="8" t="n"/>
      <c r="R9708" s="8" t="n"/>
      <c r="S9708" s="8" t="n"/>
      <c r="T9708" s="8" t="n"/>
      <c r="U9708" s="8" t="n"/>
      <c r="V9708" s="8" t="n"/>
      <c r="W9708" s="8" t="n"/>
      <c r="X9708" s="8" t="n"/>
      <c r="Y9708" s="8" t="n"/>
    </row>
    <row r="9709">
      <c r="A9709" s="8" t="n"/>
      <c r="B9709" s="8" t="n"/>
      <c r="C9709" s="8" t="n"/>
      <c r="D9709" s="8" t="n"/>
      <c r="E9709" s="8" t="n"/>
      <c r="F9709" s="8" t="n"/>
      <c r="G9709" s="8" t="n"/>
      <c r="H9709" s="8" t="n"/>
      <c r="I9709" s="8" t="n"/>
      <c r="J9709" s="8" t="n"/>
      <c r="K9709" s="8" t="n"/>
      <c r="L9709" s="8" t="n"/>
      <c r="M9709" s="9">
        <f>B9709+30</f>
        <v/>
      </c>
      <c r="N9709">
        <f>IF(L9709="", "", L9709-B9709)</f>
        <v/>
      </c>
      <c r="O9709">
        <f>IF(L9709="", "Pending", IF(N9709&lt;=30, "Met", "Breached"))</f>
        <v/>
      </c>
      <c r="P9709" s="8" t="n"/>
      <c r="Q9709" s="8" t="n"/>
      <c r="R9709" s="8" t="n"/>
      <c r="S9709" s="8" t="n"/>
      <c r="T9709" s="8" t="n"/>
      <c r="U9709" s="8" t="n"/>
      <c r="V9709" s="8" t="n"/>
      <c r="W9709" s="8" t="n"/>
      <c r="X9709" s="8" t="n"/>
      <c r="Y9709" s="8" t="n"/>
    </row>
    <row r="9710">
      <c r="A9710" s="8" t="n"/>
      <c r="B9710" s="8" t="n"/>
      <c r="C9710" s="8" t="n"/>
      <c r="D9710" s="8" t="n"/>
      <c r="E9710" s="8" t="n"/>
      <c r="F9710" s="8" t="n"/>
      <c r="G9710" s="8" t="n"/>
      <c r="H9710" s="8" t="n"/>
      <c r="I9710" s="8" t="n"/>
      <c r="J9710" s="8" t="n"/>
      <c r="K9710" s="8" t="n"/>
      <c r="L9710" s="8" t="n"/>
      <c r="M9710" s="9">
        <f>B9710+30</f>
        <v/>
      </c>
      <c r="N9710">
        <f>IF(L9710="", "", L9710-B9710)</f>
        <v/>
      </c>
      <c r="O9710">
        <f>IF(L9710="", "Pending", IF(N9710&lt;=30, "Met", "Breached"))</f>
        <v/>
      </c>
      <c r="P9710" s="8" t="n"/>
      <c r="Q9710" s="8" t="n"/>
      <c r="R9710" s="8" t="n"/>
      <c r="S9710" s="8" t="n"/>
      <c r="T9710" s="8" t="n"/>
      <c r="U9710" s="8" t="n"/>
      <c r="V9710" s="8" t="n"/>
      <c r="W9710" s="8" t="n"/>
      <c r="X9710" s="8" t="n"/>
      <c r="Y9710" s="8" t="n"/>
    </row>
    <row r="9711">
      <c r="A9711" s="8" t="n"/>
      <c r="B9711" s="8" t="n"/>
      <c r="C9711" s="8" t="n"/>
      <c r="D9711" s="8" t="n"/>
      <c r="E9711" s="8" t="n"/>
      <c r="F9711" s="8" t="n"/>
      <c r="G9711" s="8" t="n"/>
      <c r="H9711" s="8" t="n"/>
      <c r="I9711" s="8" t="n"/>
      <c r="J9711" s="8" t="n"/>
      <c r="K9711" s="8" t="n"/>
      <c r="L9711" s="8" t="n"/>
      <c r="M9711" s="9">
        <f>B9711+30</f>
        <v/>
      </c>
      <c r="N9711">
        <f>IF(L9711="", "", L9711-B9711)</f>
        <v/>
      </c>
      <c r="O9711">
        <f>IF(L9711="", "Pending", IF(N9711&lt;=30, "Met", "Breached"))</f>
        <v/>
      </c>
      <c r="P9711" s="8" t="n"/>
      <c r="Q9711" s="8" t="n"/>
      <c r="R9711" s="8" t="n"/>
      <c r="S9711" s="8" t="n"/>
      <c r="T9711" s="8" t="n"/>
      <c r="U9711" s="8" t="n"/>
      <c r="V9711" s="8" t="n"/>
      <c r="W9711" s="8" t="n"/>
      <c r="X9711" s="8" t="n"/>
      <c r="Y9711" s="8" t="n"/>
    </row>
    <row r="9712">
      <c r="A9712" s="8" t="n"/>
      <c r="B9712" s="8" t="n"/>
      <c r="C9712" s="8" t="n"/>
      <c r="D9712" s="8" t="n"/>
      <c r="E9712" s="8" t="n"/>
      <c r="F9712" s="8" t="n"/>
      <c r="G9712" s="8" t="n"/>
      <c r="H9712" s="8" t="n"/>
      <c r="I9712" s="8" t="n"/>
      <c r="J9712" s="8" t="n"/>
      <c r="K9712" s="8" t="n"/>
      <c r="L9712" s="8" t="n"/>
      <c r="M9712" s="9">
        <f>B9712+30</f>
        <v/>
      </c>
      <c r="N9712">
        <f>IF(L9712="", "", L9712-B9712)</f>
        <v/>
      </c>
      <c r="O9712">
        <f>IF(L9712="", "Pending", IF(N9712&lt;=30, "Met", "Breached"))</f>
        <v/>
      </c>
      <c r="P9712" s="8" t="n"/>
      <c r="Q9712" s="8" t="n"/>
      <c r="R9712" s="8" t="n"/>
      <c r="S9712" s="8" t="n"/>
      <c r="T9712" s="8" t="n"/>
      <c r="U9712" s="8" t="n"/>
      <c r="V9712" s="8" t="n"/>
      <c r="W9712" s="8" t="n"/>
      <c r="X9712" s="8" t="n"/>
      <c r="Y9712" s="8" t="n"/>
    </row>
    <row r="9713">
      <c r="A9713" s="8" t="n"/>
      <c r="B9713" s="8" t="n"/>
      <c r="C9713" s="8" t="n"/>
      <c r="D9713" s="8" t="n"/>
      <c r="E9713" s="8" t="n"/>
      <c r="F9713" s="8" t="n"/>
      <c r="G9713" s="8" t="n"/>
      <c r="H9713" s="8" t="n"/>
      <c r="I9713" s="8" t="n"/>
      <c r="J9713" s="8" t="n"/>
      <c r="K9713" s="8" t="n"/>
      <c r="L9713" s="8" t="n"/>
      <c r="M9713" s="9">
        <f>B9713+30</f>
        <v/>
      </c>
      <c r="N9713">
        <f>IF(L9713="", "", L9713-B9713)</f>
        <v/>
      </c>
      <c r="O9713">
        <f>IF(L9713="", "Pending", IF(N9713&lt;=30, "Met", "Breached"))</f>
        <v/>
      </c>
      <c r="P9713" s="8" t="n"/>
      <c r="Q9713" s="8" t="n"/>
      <c r="R9713" s="8" t="n"/>
      <c r="S9713" s="8" t="n"/>
      <c r="T9713" s="8" t="n"/>
      <c r="U9713" s="8" t="n"/>
      <c r="V9713" s="8" t="n"/>
      <c r="W9713" s="8" t="n"/>
      <c r="X9713" s="8" t="n"/>
      <c r="Y9713" s="8" t="n"/>
    </row>
    <row r="9714">
      <c r="A9714" s="8" t="n"/>
      <c r="B9714" s="8" t="n"/>
      <c r="C9714" s="8" t="n"/>
      <c r="D9714" s="8" t="n"/>
      <c r="E9714" s="8" t="n"/>
      <c r="F9714" s="8" t="n"/>
      <c r="G9714" s="8" t="n"/>
      <c r="H9714" s="8" t="n"/>
      <c r="I9714" s="8" t="n"/>
      <c r="J9714" s="8" t="n"/>
      <c r="K9714" s="8" t="n"/>
      <c r="L9714" s="8" t="n"/>
      <c r="M9714" s="9">
        <f>B9714+30</f>
        <v/>
      </c>
      <c r="N9714">
        <f>IF(L9714="", "", L9714-B9714)</f>
        <v/>
      </c>
      <c r="O9714">
        <f>IF(L9714="", "Pending", IF(N9714&lt;=30, "Met", "Breached"))</f>
        <v/>
      </c>
      <c r="P9714" s="8" t="n"/>
      <c r="Q9714" s="8" t="n"/>
      <c r="R9714" s="8" t="n"/>
      <c r="S9714" s="8" t="n"/>
      <c r="T9714" s="8" t="n"/>
      <c r="U9714" s="8" t="n"/>
      <c r="V9714" s="8" t="n"/>
      <c r="W9714" s="8" t="n"/>
      <c r="X9714" s="8" t="n"/>
      <c r="Y9714" s="8" t="n"/>
    </row>
    <row r="9715">
      <c r="A9715" s="8" t="n"/>
      <c r="B9715" s="8" t="n"/>
      <c r="C9715" s="8" t="n"/>
      <c r="D9715" s="8" t="n"/>
      <c r="E9715" s="8" t="n"/>
      <c r="F9715" s="8" t="n"/>
      <c r="G9715" s="8" t="n"/>
      <c r="H9715" s="8" t="n"/>
      <c r="I9715" s="8" t="n"/>
      <c r="J9715" s="8" t="n"/>
      <c r="K9715" s="8" t="n"/>
      <c r="L9715" s="8" t="n"/>
      <c r="M9715" s="9">
        <f>B9715+30</f>
        <v/>
      </c>
      <c r="N9715">
        <f>IF(L9715="", "", L9715-B9715)</f>
        <v/>
      </c>
      <c r="O9715">
        <f>IF(L9715="", "Pending", IF(N9715&lt;=30, "Met", "Breached"))</f>
        <v/>
      </c>
      <c r="P9715" s="8" t="n"/>
      <c r="Q9715" s="8" t="n"/>
      <c r="R9715" s="8" t="n"/>
      <c r="S9715" s="8" t="n"/>
      <c r="T9715" s="8" t="n"/>
      <c r="U9715" s="8" t="n"/>
      <c r="V9715" s="8" t="n"/>
      <c r="W9715" s="8" t="n"/>
      <c r="X9715" s="8" t="n"/>
      <c r="Y9715" s="8" t="n"/>
    </row>
    <row r="9716">
      <c r="A9716" s="8" t="n"/>
      <c r="B9716" s="8" t="n"/>
      <c r="C9716" s="8" t="n"/>
      <c r="D9716" s="8" t="n"/>
      <c r="E9716" s="8" t="n"/>
      <c r="F9716" s="8" t="n"/>
      <c r="G9716" s="8" t="n"/>
      <c r="H9716" s="8" t="n"/>
      <c r="I9716" s="8" t="n"/>
      <c r="J9716" s="8" t="n"/>
      <c r="K9716" s="8" t="n"/>
      <c r="L9716" s="8" t="n"/>
      <c r="M9716" s="9">
        <f>B9716+30</f>
        <v/>
      </c>
      <c r="N9716">
        <f>IF(L9716="", "", L9716-B9716)</f>
        <v/>
      </c>
      <c r="O9716">
        <f>IF(L9716="", "Pending", IF(N9716&lt;=30, "Met", "Breached"))</f>
        <v/>
      </c>
      <c r="P9716" s="8" t="n"/>
      <c r="Q9716" s="8" t="n"/>
      <c r="R9716" s="8" t="n"/>
      <c r="S9716" s="8" t="n"/>
      <c r="T9716" s="8" t="n"/>
      <c r="U9716" s="8" t="n"/>
      <c r="V9716" s="8" t="n"/>
      <c r="W9716" s="8" t="n"/>
      <c r="X9716" s="8" t="n"/>
      <c r="Y9716" s="8" t="n"/>
    </row>
    <row r="9717">
      <c r="A9717" s="8" t="n"/>
      <c r="B9717" s="8" t="n"/>
      <c r="C9717" s="8" t="n"/>
      <c r="D9717" s="8" t="n"/>
      <c r="E9717" s="8" t="n"/>
      <c r="F9717" s="8" t="n"/>
      <c r="G9717" s="8" t="n"/>
      <c r="H9717" s="8" t="n"/>
      <c r="I9717" s="8" t="n"/>
      <c r="J9717" s="8" t="n"/>
      <c r="K9717" s="8" t="n"/>
      <c r="L9717" s="8" t="n"/>
      <c r="M9717" s="9">
        <f>B9717+30</f>
        <v/>
      </c>
      <c r="N9717">
        <f>IF(L9717="", "", L9717-B9717)</f>
        <v/>
      </c>
      <c r="O9717">
        <f>IF(L9717="", "Pending", IF(N9717&lt;=30, "Met", "Breached"))</f>
        <v/>
      </c>
      <c r="P9717" s="8" t="n"/>
      <c r="Q9717" s="8" t="n"/>
      <c r="R9717" s="8" t="n"/>
      <c r="S9717" s="8" t="n"/>
      <c r="T9717" s="8" t="n"/>
      <c r="U9717" s="8" t="n"/>
      <c r="V9717" s="8" t="n"/>
      <c r="W9717" s="8" t="n"/>
      <c r="X9717" s="8" t="n"/>
      <c r="Y9717" s="8" t="n"/>
    </row>
    <row r="9718">
      <c r="A9718" s="8" t="n"/>
      <c r="B9718" s="8" t="n"/>
      <c r="C9718" s="8" t="n"/>
      <c r="D9718" s="8" t="n"/>
      <c r="E9718" s="8" t="n"/>
      <c r="F9718" s="8" t="n"/>
      <c r="G9718" s="8" t="n"/>
      <c r="H9718" s="8" t="n"/>
      <c r="I9718" s="8" t="n"/>
      <c r="J9718" s="8" t="n"/>
      <c r="K9718" s="8" t="n"/>
      <c r="L9718" s="8" t="n"/>
      <c r="M9718" s="9">
        <f>B9718+30</f>
        <v/>
      </c>
      <c r="N9718">
        <f>IF(L9718="", "", L9718-B9718)</f>
        <v/>
      </c>
      <c r="O9718">
        <f>IF(L9718="", "Pending", IF(N9718&lt;=30, "Met", "Breached"))</f>
        <v/>
      </c>
      <c r="P9718" s="8" t="n"/>
      <c r="Q9718" s="8" t="n"/>
      <c r="R9718" s="8" t="n"/>
      <c r="S9718" s="8" t="n"/>
      <c r="T9718" s="8" t="n"/>
      <c r="U9718" s="8" t="n"/>
      <c r="V9718" s="8" t="n"/>
      <c r="W9718" s="8" t="n"/>
      <c r="X9718" s="8" t="n"/>
      <c r="Y9718" s="8" t="n"/>
    </row>
    <row r="9719">
      <c r="A9719" s="8" t="n"/>
      <c r="B9719" s="8" t="n"/>
      <c r="C9719" s="8" t="n"/>
      <c r="D9719" s="8" t="n"/>
      <c r="E9719" s="8" t="n"/>
      <c r="F9719" s="8" t="n"/>
      <c r="G9719" s="8" t="n"/>
      <c r="H9719" s="8" t="n"/>
      <c r="I9719" s="8" t="n"/>
      <c r="J9719" s="8" t="n"/>
      <c r="K9719" s="8" t="n"/>
      <c r="L9719" s="8" t="n"/>
      <c r="M9719" s="9">
        <f>B9719+30</f>
        <v/>
      </c>
      <c r="N9719">
        <f>IF(L9719="", "", L9719-B9719)</f>
        <v/>
      </c>
      <c r="O9719">
        <f>IF(L9719="", "Pending", IF(N9719&lt;=30, "Met", "Breached"))</f>
        <v/>
      </c>
      <c r="P9719" s="8" t="n"/>
      <c r="Q9719" s="8" t="n"/>
      <c r="R9719" s="8" t="n"/>
      <c r="S9719" s="8" t="n"/>
      <c r="T9719" s="8" t="n"/>
      <c r="U9719" s="8" t="n"/>
      <c r="V9719" s="8" t="n"/>
      <c r="W9719" s="8" t="n"/>
      <c r="X9719" s="8" t="n"/>
      <c r="Y9719" s="8" t="n"/>
    </row>
    <row r="9720">
      <c r="A9720" s="8" t="n"/>
      <c r="B9720" s="8" t="n"/>
      <c r="C9720" s="8" t="n"/>
      <c r="D9720" s="8" t="n"/>
      <c r="E9720" s="8" t="n"/>
      <c r="F9720" s="8" t="n"/>
      <c r="G9720" s="8" t="n"/>
      <c r="H9720" s="8" t="n"/>
      <c r="I9720" s="8" t="n"/>
      <c r="J9720" s="8" t="n"/>
      <c r="K9720" s="8" t="n"/>
      <c r="L9720" s="8" t="n"/>
      <c r="M9720" s="9">
        <f>B9720+30</f>
        <v/>
      </c>
      <c r="N9720">
        <f>IF(L9720="", "", L9720-B9720)</f>
        <v/>
      </c>
      <c r="O9720">
        <f>IF(L9720="", "Pending", IF(N9720&lt;=30, "Met", "Breached"))</f>
        <v/>
      </c>
      <c r="P9720" s="8" t="n"/>
      <c r="Q9720" s="8" t="n"/>
      <c r="R9720" s="8" t="n"/>
      <c r="S9720" s="8" t="n"/>
      <c r="T9720" s="8" t="n"/>
      <c r="U9720" s="8" t="n"/>
      <c r="V9720" s="8" t="n"/>
      <c r="W9720" s="8" t="n"/>
      <c r="X9720" s="8" t="n"/>
      <c r="Y9720" s="8" t="n"/>
    </row>
    <row r="9721">
      <c r="A9721" s="8" t="n"/>
      <c r="B9721" s="8" t="n"/>
      <c r="C9721" s="8" t="n"/>
      <c r="D9721" s="8" t="n"/>
      <c r="E9721" s="8" t="n"/>
      <c r="F9721" s="8" t="n"/>
      <c r="G9721" s="8" t="n"/>
      <c r="H9721" s="8" t="n"/>
      <c r="I9721" s="8" t="n"/>
      <c r="J9721" s="8" t="n"/>
      <c r="K9721" s="8" t="n"/>
      <c r="L9721" s="8" t="n"/>
      <c r="M9721" s="9">
        <f>B9721+30</f>
        <v/>
      </c>
      <c r="N9721">
        <f>IF(L9721="", "", L9721-B9721)</f>
        <v/>
      </c>
      <c r="O9721">
        <f>IF(L9721="", "Pending", IF(N9721&lt;=30, "Met", "Breached"))</f>
        <v/>
      </c>
      <c r="P9721" s="8" t="n"/>
      <c r="Q9721" s="8" t="n"/>
      <c r="R9721" s="8" t="n"/>
      <c r="S9721" s="8" t="n"/>
      <c r="T9721" s="8" t="n"/>
      <c r="U9721" s="8" t="n"/>
      <c r="V9721" s="8" t="n"/>
      <c r="W9721" s="8" t="n"/>
      <c r="X9721" s="8" t="n"/>
      <c r="Y9721" s="8" t="n"/>
    </row>
    <row r="9722">
      <c r="A9722" s="8" t="n"/>
      <c r="B9722" s="8" t="n"/>
      <c r="C9722" s="8" t="n"/>
      <c r="D9722" s="8" t="n"/>
      <c r="E9722" s="8" t="n"/>
      <c r="F9722" s="8" t="n"/>
      <c r="G9722" s="8" t="n"/>
      <c r="H9722" s="8" t="n"/>
      <c r="I9722" s="8" t="n"/>
      <c r="J9722" s="8" t="n"/>
      <c r="K9722" s="8" t="n"/>
      <c r="L9722" s="8" t="n"/>
      <c r="M9722" s="9">
        <f>B9722+30</f>
        <v/>
      </c>
      <c r="N9722">
        <f>IF(L9722="", "", L9722-B9722)</f>
        <v/>
      </c>
      <c r="O9722">
        <f>IF(L9722="", "Pending", IF(N9722&lt;=30, "Met", "Breached"))</f>
        <v/>
      </c>
      <c r="P9722" s="8" t="n"/>
      <c r="Q9722" s="8" t="n"/>
      <c r="R9722" s="8" t="n"/>
      <c r="S9722" s="8" t="n"/>
      <c r="T9722" s="8" t="n"/>
      <c r="U9722" s="8" t="n"/>
      <c r="V9722" s="8" t="n"/>
      <c r="W9722" s="8" t="n"/>
      <c r="X9722" s="8" t="n"/>
      <c r="Y9722" s="8" t="n"/>
    </row>
    <row r="9723">
      <c r="A9723" s="8" t="n"/>
      <c r="B9723" s="8" t="n"/>
      <c r="C9723" s="8" t="n"/>
      <c r="D9723" s="8" t="n"/>
      <c r="E9723" s="8" t="n"/>
      <c r="F9723" s="8" t="n"/>
      <c r="G9723" s="8" t="n"/>
      <c r="H9723" s="8" t="n"/>
      <c r="I9723" s="8" t="n"/>
      <c r="J9723" s="8" t="n"/>
      <c r="K9723" s="8" t="n"/>
      <c r="L9723" s="8" t="n"/>
      <c r="M9723" s="9">
        <f>B9723+30</f>
        <v/>
      </c>
      <c r="N9723">
        <f>IF(L9723="", "", L9723-B9723)</f>
        <v/>
      </c>
      <c r="O9723">
        <f>IF(L9723="", "Pending", IF(N9723&lt;=30, "Met", "Breached"))</f>
        <v/>
      </c>
      <c r="P9723" s="8" t="n"/>
      <c r="Q9723" s="8" t="n"/>
      <c r="R9723" s="8" t="n"/>
      <c r="S9723" s="8" t="n"/>
      <c r="T9723" s="8" t="n"/>
      <c r="U9723" s="8" t="n"/>
      <c r="V9723" s="8" t="n"/>
      <c r="W9723" s="8" t="n"/>
      <c r="X9723" s="8" t="n"/>
      <c r="Y9723" s="8" t="n"/>
    </row>
    <row r="9724">
      <c r="A9724" s="8" t="n"/>
      <c r="B9724" s="8" t="n"/>
      <c r="C9724" s="8" t="n"/>
      <c r="D9724" s="8" t="n"/>
      <c r="E9724" s="8" t="n"/>
      <c r="F9724" s="8" t="n"/>
      <c r="G9724" s="8" t="n"/>
      <c r="H9724" s="8" t="n"/>
      <c r="I9724" s="8" t="n"/>
      <c r="J9724" s="8" t="n"/>
      <c r="K9724" s="8" t="n"/>
      <c r="L9724" s="8" t="n"/>
      <c r="M9724" s="9">
        <f>B9724+30</f>
        <v/>
      </c>
      <c r="N9724">
        <f>IF(L9724="", "", L9724-B9724)</f>
        <v/>
      </c>
      <c r="O9724">
        <f>IF(L9724="", "Pending", IF(N9724&lt;=30, "Met", "Breached"))</f>
        <v/>
      </c>
      <c r="P9724" s="8" t="n"/>
      <c r="Q9724" s="8" t="n"/>
      <c r="R9724" s="8" t="n"/>
      <c r="S9724" s="8" t="n"/>
      <c r="T9724" s="8" t="n"/>
      <c r="U9724" s="8" t="n"/>
      <c r="V9724" s="8" t="n"/>
      <c r="W9724" s="8" t="n"/>
      <c r="X9724" s="8" t="n"/>
      <c r="Y9724" s="8" t="n"/>
    </row>
    <row r="9725">
      <c r="A9725" s="8" t="n"/>
      <c r="B9725" s="8" t="n"/>
      <c r="C9725" s="8" t="n"/>
      <c r="D9725" s="8" t="n"/>
      <c r="E9725" s="8" t="n"/>
      <c r="F9725" s="8" t="n"/>
      <c r="G9725" s="8" t="n"/>
      <c r="H9725" s="8" t="n"/>
      <c r="I9725" s="8" t="n"/>
      <c r="J9725" s="8" t="n"/>
      <c r="K9725" s="8" t="n"/>
      <c r="L9725" s="8" t="n"/>
      <c r="M9725" s="9">
        <f>B9725+30</f>
        <v/>
      </c>
      <c r="N9725">
        <f>IF(L9725="", "", L9725-B9725)</f>
        <v/>
      </c>
      <c r="O9725">
        <f>IF(L9725="", "Pending", IF(N9725&lt;=30, "Met", "Breached"))</f>
        <v/>
      </c>
      <c r="P9725" s="8" t="n"/>
      <c r="Q9725" s="8" t="n"/>
      <c r="R9725" s="8" t="n"/>
      <c r="S9725" s="8" t="n"/>
      <c r="T9725" s="8" t="n"/>
      <c r="U9725" s="8" t="n"/>
      <c r="V9725" s="8" t="n"/>
      <c r="W9725" s="8" t="n"/>
      <c r="X9725" s="8" t="n"/>
      <c r="Y9725" s="8" t="n"/>
    </row>
    <row r="9726">
      <c r="A9726" s="8" t="n"/>
      <c r="B9726" s="8" t="n"/>
      <c r="C9726" s="8" t="n"/>
      <c r="D9726" s="8" t="n"/>
      <c r="E9726" s="8" t="n"/>
      <c r="F9726" s="8" t="n"/>
      <c r="G9726" s="8" t="n"/>
      <c r="H9726" s="8" t="n"/>
      <c r="I9726" s="8" t="n"/>
      <c r="J9726" s="8" t="n"/>
      <c r="K9726" s="8" t="n"/>
      <c r="L9726" s="8" t="n"/>
      <c r="M9726" s="9">
        <f>B9726+30</f>
        <v/>
      </c>
      <c r="N9726">
        <f>IF(L9726="", "", L9726-B9726)</f>
        <v/>
      </c>
      <c r="O9726">
        <f>IF(L9726="", "Pending", IF(N9726&lt;=30, "Met", "Breached"))</f>
        <v/>
      </c>
      <c r="P9726" s="8" t="n"/>
      <c r="Q9726" s="8" t="n"/>
      <c r="R9726" s="8" t="n"/>
      <c r="S9726" s="8" t="n"/>
      <c r="T9726" s="8" t="n"/>
      <c r="U9726" s="8" t="n"/>
      <c r="V9726" s="8" t="n"/>
      <c r="W9726" s="8" t="n"/>
      <c r="X9726" s="8" t="n"/>
      <c r="Y9726" s="8" t="n"/>
    </row>
    <row r="9727">
      <c r="A9727" s="8" t="n"/>
      <c r="B9727" s="8" t="n"/>
      <c r="C9727" s="8" t="n"/>
      <c r="D9727" s="8" t="n"/>
      <c r="E9727" s="8" t="n"/>
      <c r="F9727" s="8" t="n"/>
      <c r="G9727" s="8" t="n"/>
      <c r="H9727" s="8" t="n"/>
      <c r="I9727" s="8" t="n"/>
      <c r="J9727" s="8" t="n"/>
      <c r="K9727" s="8" t="n"/>
      <c r="L9727" s="8" t="n"/>
      <c r="M9727" s="9">
        <f>B9727+30</f>
        <v/>
      </c>
      <c r="N9727">
        <f>IF(L9727="", "", L9727-B9727)</f>
        <v/>
      </c>
      <c r="O9727">
        <f>IF(L9727="", "Pending", IF(N9727&lt;=30, "Met", "Breached"))</f>
        <v/>
      </c>
      <c r="P9727" s="8" t="n"/>
      <c r="Q9727" s="8" t="n"/>
      <c r="R9727" s="8" t="n"/>
      <c r="S9727" s="8" t="n"/>
      <c r="T9727" s="8" t="n"/>
      <c r="U9727" s="8" t="n"/>
      <c r="V9727" s="8" t="n"/>
      <c r="W9727" s="8" t="n"/>
      <c r="X9727" s="8" t="n"/>
      <c r="Y9727" s="8" t="n"/>
    </row>
    <row r="9728">
      <c r="A9728" s="8" t="n"/>
      <c r="B9728" s="8" t="n"/>
      <c r="C9728" s="8" t="n"/>
      <c r="D9728" s="8" t="n"/>
      <c r="E9728" s="8" t="n"/>
      <c r="F9728" s="8" t="n"/>
      <c r="G9728" s="8" t="n"/>
      <c r="H9728" s="8" t="n"/>
      <c r="I9728" s="8" t="n"/>
      <c r="J9728" s="8" t="n"/>
      <c r="K9728" s="8" t="n"/>
      <c r="L9728" s="8" t="n"/>
      <c r="M9728" s="9">
        <f>B9728+30</f>
        <v/>
      </c>
      <c r="N9728">
        <f>IF(L9728="", "", L9728-B9728)</f>
        <v/>
      </c>
      <c r="O9728">
        <f>IF(L9728="", "Pending", IF(N9728&lt;=30, "Met", "Breached"))</f>
        <v/>
      </c>
      <c r="P9728" s="8" t="n"/>
      <c r="Q9728" s="8" t="n"/>
      <c r="R9728" s="8" t="n"/>
      <c r="S9728" s="8" t="n"/>
      <c r="T9728" s="8" t="n"/>
      <c r="U9728" s="8" t="n"/>
      <c r="V9728" s="8" t="n"/>
      <c r="W9728" s="8" t="n"/>
      <c r="X9728" s="8" t="n"/>
      <c r="Y9728" s="8" t="n"/>
    </row>
    <row r="9729">
      <c r="A9729" s="8" t="n"/>
      <c r="B9729" s="8" t="n"/>
      <c r="C9729" s="8" t="n"/>
      <c r="D9729" s="8" t="n"/>
      <c r="E9729" s="8" t="n"/>
      <c r="F9729" s="8" t="n"/>
      <c r="G9729" s="8" t="n"/>
      <c r="H9729" s="8" t="n"/>
      <c r="I9729" s="8" t="n"/>
      <c r="J9729" s="8" t="n"/>
      <c r="K9729" s="8" t="n"/>
      <c r="L9729" s="8" t="n"/>
      <c r="M9729" s="9">
        <f>B9729+30</f>
        <v/>
      </c>
      <c r="N9729">
        <f>IF(L9729="", "", L9729-B9729)</f>
        <v/>
      </c>
      <c r="O9729">
        <f>IF(L9729="", "Pending", IF(N9729&lt;=30, "Met", "Breached"))</f>
        <v/>
      </c>
      <c r="P9729" s="8" t="n"/>
      <c r="Q9729" s="8" t="n"/>
      <c r="R9729" s="8" t="n"/>
      <c r="S9729" s="8" t="n"/>
      <c r="T9729" s="8" t="n"/>
      <c r="U9729" s="8" t="n"/>
      <c r="V9729" s="8" t="n"/>
      <c r="W9729" s="8" t="n"/>
      <c r="X9729" s="8" t="n"/>
      <c r="Y9729" s="8" t="n"/>
    </row>
    <row r="9730">
      <c r="A9730" s="8" t="n"/>
      <c r="B9730" s="8" t="n"/>
      <c r="C9730" s="8" t="n"/>
      <c r="D9730" s="8" t="n"/>
      <c r="E9730" s="8" t="n"/>
      <c r="F9730" s="8" t="n"/>
      <c r="G9730" s="8" t="n"/>
      <c r="H9730" s="8" t="n"/>
      <c r="I9730" s="8" t="n"/>
      <c r="J9730" s="8" t="n"/>
      <c r="K9730" s="8" t="n"/>
      <c r="L9730" s="8" t="n"/>
      <c r="M9730" s="9">
        <f>B9730+30</f>
        <v/>
      </c>
      <c r="N9730">
        <f>IF(L9730="", "", L9730-B9730)</f>
        <v/>
      </c>
      <c r="O9730">
        <f>IF(L9730="", "Pending", IF(N9730&lt;=30, "Met", "Breached"))</f>
        <v/>
      </c>
      <c r="P9730" s="8" t="n"/>
      <c r="Q9730" s="8" t="n"/>
      <c r="R9730" s="8" t="n"/>
      <c r="S9730" s="8" t="n"/>
      <c r="T9730" s="8" t="n"/>
      <c r="U9730" s="8" t="n"/>
      <c r="V9730" s="8" t="n"/>
      <c r="W9730" s="8" t="n"/>
      <c r="X9730" s="8" t="n"/>
      <c r="Y9730" s="8" t="n"/>
    </row>
    <row r="9731">
      <c r="A9731" s="8" t="n"/>
      <c r="B9731" s="8" t="n"/>
      <c r="C9731" s="8" t="n"/>
      <c r="D9731" s="8" t="n"/>
      <c r="E9731" s="8" t="n"/>
      <c r="F9731" s="8" t="n"/>
      <c r="G9731" s="8" t="n"/>
      <c r="H9731" s="8" t="n"/>
      <c r="I9731" s="8" t="n"/>
      <c r="J9731" s="8" t="n"/>
      <c r="K9731" s="8" t="n"/>
      <c r="L9731" s="8" t="n"/>
      <c r="M9731" s="9">
        <f>B9731+30</f>
        <v/>
      </c>
      <c r="N9731">
        <f>IF(L9731="", "", L9731-B9731)</f>
        <v/>
      </c>
      <c r="O9731">
        <f>IF(L9731="", "Pending", IF(N9731&lt;=30, "Met", "Breached"))</f>
        <v/>
      </c>
      <c r="P9731" s="8" t="n"/>
      <c r="Q9731" s="8" t="n"/>
      <c r="R9731" s="8" t="n"/>
      <c r="S9731" s="8" t="n"/>
      <c r="T9731" s="8" t="n"/>
      <c r="U9731" s="8" t="n"/>
      <c r="V9731" s="8" t="n"/>
      <c r="W9731" s="8" t="n"/>
      <c r="X9731" s="8" t="n"/>
      <c r="Y9731" s="8" t="n"/>
    </row>
    <row r="9732">
      <c r="A9732" s="8" t="n"/>
      <c r="B9732" s="8" t="n"/>
      <c r="C9732" s="8" t="n"/>
      <c r="D9732" s="8" t="n"/>
      <c r="E9732" s="8" t="n"/>
      <c r="F9732" s="8" t="n"/>
      <c r="G9732" s="8" t="n"/>
      <c r="H9732" s="8" t="n"/>
      <c r="I9732" s="8" t="n"/>
      <c r="J9732" s="8" t="n"/>
      <c r="K9732" s="8" t="n"/>
      <c r="L9732" s="8" t="n"/>
      <c r="M9732" s="9">
        <f>B9732+30</f>
        <v/>
      </c>
      <c r="N9732">
        <f>IF(L9732="", "", L9732-B9732)</f>
        <v/>
      </c>
      <c r="O9732">
        <f>IF(L9732="", "Pending", IF(N9732&lt;=30, "Met", "Breached"))</f>
        <v/>
      </c>
      <c r="P9732" s="8" t="n"/>
      <c r="Q9732" s="8" t="n"/>
      <c r="R9732" s="8" t="n"/>
      <c r="S9732" s="8" t="n"/>
      <c r="T9732" s="8" t="n"/>
      <c r="U9732" s="8" t="n"/>
      <c r="V9732" s="8" t="n"/>
      <c r="W9732" s="8" t="n"/>
      <c r="X9732" s="8" t="n"/>
      <c r="Y9732" s="8" t="n"/>
    </row>
    <row r="9733">
      <c r="A9733" s="8" t="n"/>
      <c r="B9733" s="8" t="n"/>
      <c r="C9733" s="8" t="n"/>
      <c r="D9733" s="8" t="n"/>
      <c r="E9733" s="8" t="n"/>
      <c r="F9733" s="8" t="n"/>
      <c r="G9733" s="8" t="n"/>
      <c r="H9733" s="8" t="n"/>
      <c r="I9733" s="8" t="n"/>
      <c r="J9733" s="8" t="n"/>
      <c r="K9733" s="8" t="n"/>
      <c r="L9733" s="8" t="n"/>
      <c r="M9733" s="9">
        <f>B9733+30</f>
        <v/>
      </c>
      <c r="N9733">
        <f>IF(L9733="", "", L9733-B9733)</f>
        <v/>
      </c>
      <c r="O9733">
        <f>IF(L9733="", "Pending", IF(N9733&lt;=30, "Met", "Breached"))</f>
        <v/>
      </c>
      <c r="P9733" s="8" t="n"/>
      <c r="Q9733" s="8" t="n"/>
      <c r="R9733" s="8" t="n"/>
      <c r="S9733" s="8" t="n"/>
      <c r="T9733" s="8" t="n"/>
      <c r="U9733" s="8" t="n"/>
      <c r="V9733" s="8" t="n"/>
      <c r="W9733" s="8" t="n"/>
      <c r="X9733" s="8" t="n"/>
      <c r="Y9733" s="8" t="n"/>
    </row>
    <row r="9734">
      <c r="A9734" s="8" t="n"/>
      <c r="B9734" s="8" t="n"/>
      <c r="C9734" s="8" t="n"/>
      <c r="D9734" s="8" t="n"/>
      <c r="E9734" s="8" t="n"/>
      <c r="F9734" s="8" t="n"/>
      <c r="G9734" s="8" t="n"/>
      <c r="H9734" s="8" t="n"/>
      <c r="I9734" s="8" t="n"/>
      <c r="J9734" s="8" t="n"/>
      <c r="K9734" s="8" t="n"/>
      <c r="L9734" s="8" t="n"/>
      <c r="M9734" s="9">
        <f>B9734+30</f>
        <v/>
      </c>
      <c r="N9734">
        <f>IF(L9734="", "", L9734-B9734)</f>
        <v/>
      </c>
      <c r="O9734">
        <f>IF(L9734="", "Pending", IF(N9734&lt;=30, "Met", "Breached"))</f>
        <v/>
      </c>
      <c r="P9734" s="8" t="n"/>
      <c r="Q9734" s="8" t="n"/>
      <c r="R9734" s="8" t="n"/>
      <c r="S9734" s="8" t="n"/>
      <c r="T9734" s="8" t="n"/>
      <c r="U9734" s="8" t="n"/>
      <c r="V9734" s="8" t="n"/>
      <c r="W9734" s="8" t="n"/>
      <c r="X9734" s="8" t="n"/>
      <c r="Y9734" s="8" t="n"/>
    </row>
    <row r="9735">
      <c r="A9735" s="8" t="n"/>
      <c r="B9735" s="8" t="n"/>
      <c r="C9735" s="8" t="n"/>
      <c r="D9735" s="8" t="n"/>
      <c r="E9735" s="8" t="n"/>
      <c r="F9735" s="8" t="n"/>
      <c r="G9735" s="8" t="n"/>
      <c r="H9735" s="8" t="n"/>
      <c r="I9735" s="8" t="n"/>
      <c r="J9735" s="8" t="n"/>
      <c r="K9735" s="8" t="n"/>
      <c r="L9735" s="8" t="n"/>
      <c r="M9735" s="9">
        <f>B9735+30</f>
        <v/>
      </c>
      <c r="N9735">
        <f>IF(L9735="", "", L9735-B9735)</f>
        <v/>
      </c>
      <c r="O9735">
        <f>IF(L9735="", "Pending", IF(N9735&lt;=30, "Met", "Breached"))</f>
        <v/>
      </c>
      <c r="P9735" s="8" t="n"/>
      <c r="Q9735" s="8" t="n"/>
      <c r="R9735" s="8" t="n"/>
      <c r="S9735" s="8" t="n"/>
      <c r="T9735" s="8" t="n"/>
      <c r="U9735" s="8" t="n"/>
      <c r="V9735" s="8" t="n"/>
      <c r="W9735" s="8" t="n"/>
      <c r="X9735" s="8" t="n"/>
      <c r="Y9735" s="8" t="n"/>
    </row>
    <row r="9736">
      <c r="A9736" s="8" t="n"/>
      <c r="B9736" s="8" t="n"/>
      <c r="C9736" s="8" t="n"/>
      <c r="D9736" s="8" t="n"/>
      <c r="E9736" s="8" t="n"/>
      <c r="F9736" s="8" t="n"/>
      <c r="G9736" s="8" t="n"/>
      <c r="H9736" s="8" t="n"/>
      <c r="I9736" s="8" t="n"/>
      <c r="J9736" s="8" t="n"/>
      <c r="K9736" s="8" t="n"/>
      <c r="L9736" s="8" t="n"/>
      <c r="M9736" s="9">
        <f>B9736+30</f>
        <v/>
      </c>
      <c r="N9736">
        <f>IF(L9736="", "", L9736-B9736)</f>
        <v/>
      </c>
      <c r="O9736">
        <f>IF(L9736="", "Pending", IF(N9736&lt;=30, "Met", "Breached"))</f>
        <v/>
      </c>
      <c r="P9736" s="8" t="n"/>
      <c r="Q9736" s="8" t="n"/>
      <c r="R9736" s="8" t="n"/>
      <c r="S9736" s="8" t="n"/>
      <c r="T9736" s="8" t="n"/>
      <c r="U9736" s="8" t="n"/>
      <c r="V9736" s="8" t="n"/>
      <c r="W9736" s="8" t="n"/>
      <c r="X9736" s="8" t="n"/>
      <c r="Y9736" s="8" t="n"/>
    </row>
    <row r="9737">
      <c r="A9737" s="8" t="n"/>
      <c r="B9737" s="8" t="n"/>
      <c r="C9737" s="8" t="n"/>
      <c r="D9737" s="8" t="n"/>
      <c r="E9737" s="8" t="n"/>
      <c r="F9737" s="8" t="n"/>
      <c r="G9737" s="8" t="n"/>
      <c r="H9737" s="8" t="n"/>
      <c r="I9737" s="8" t="n"/>
      <c r="J9737" s="8" t="n"/>
      <c r="K9737" s="8" t="n"/>
      <c r="L9737" s="8" t="n"/>
      <c r="M9737" s="9">
        <f>B9737+30</f>
        <v/>
      </c>
      <c r="N9737">
        <f>IF(L9737="", "", L9737-B9737)</f>
        <v/>
      </c>
      <c r="O9737">
        <f>IF(L9737="", "Pending", IF(N9737&lt;=30, "Met", "Breached"))</f>
        <v/>
      </c>
      <c r="P9737" s="8" t="n"/>
      <c r="Q9737" s="8" t="n"/>
      <c r="R9737" s="8" t="n"/>
      <c r="S9737" s="8" t="n"/>
      <c r="T9737" s="8" t="n"/>
      <c r="U9737" s="8" t="n"/>
      <c r="V9737" s="8" t="n"/>
      <c r="W9737" s="8" t="n"/>
      <c r="X9737" s="8" t="n"/>
      <c r="Y9737" s="8" t="n"/>
    </row>
    <row r="9738">
      <c r="A9738" s="8" t="n"/>
      <c r="B9738" s="8" t="n"/>
      <c r="C9738" s="8" t="n"/>
      <c r="D9738" s="8" t="n"/>
      <c r="E9738" s="8" t="n"/>
      <c r="F9738" s="8" t="n"/>
      <c r="G9738" s="8" t="n"/>
      <c r="H9738" s="8" t="n"/>
      <c r="I9738" s="8" t="n"/>
      <c r="J9738" s="8" t="n"/>
      <c r="K9738" s="8" t="n"/>
      <c r="L9738" s="8" t="n"/>
      <c r="M9738" s="9">
        <f>B9738+30</f>
        <v/>
      </c>
      <c r="N9738">
        <f>IF(L9738="", "", L9738-B9738)</f>
        <v/>
      </c>
      <c r="O9738">
        <f>IF(L9738="", "Pending", IF(N9738&lt;=30, "Met", "Breached"))</f>
        <v/>
      </c>
      <c r="P9738" s="8" t="n"/>
      <c r="Q9738" s="8" t="n"/>
      <c r="R9738" s="8" t="n"/>
      <c r="S9738" s="8" t="n"/>
      <c r="T9738" s="8" t="n"/>
      <c r="U9738" s="8" t="n"/>
      <c r="V9738" s="8" t="n"/>
      <c r="W9738" s="8" t="n"/>
      <c r="X9738" s="8" t="n"/>
      <c r="Y9738" s="8" t="n"/>
    </row>
    <row r="9739">
      <c r="A9739" s="8" t="n"/>
      <c r="B9739" s="8" t="n"/>
      <c r="C9739" s="8" t="n"/>
      <c r="D9739" s="8" t="n"/>
      <c r="E9739" s="8" t="n"/>
      <c r="F9739" s="8" t="n"/>
      <c r="G9739" s="8" t="n"/>
      <c r="H9739" s="8" t="n"/>
      <c r="I9739" s="8" t="n"/>
      <c r="J9739" s="8" t="n"/>
      <c r="K9739" s="8" t="n"/>
      <c r="L9739" s="8" t="n"/>
      <c r="M9739" s="9">
        <f>B9739+30</f>
        <v/>
      </c>
      <c r="N9739">
        <f>IF(L9739="", "", L9739-B9739)</f>
        <v/>
      </c>
      <c r="O9739">
        <f>IF(L9739="", "Pending", IF(N9739&lt;=30, "Met", "Breached"))</f>
        <v/>
      </c>
      <c r="P9739" s="8" t="n"/>
      <c r="Q9739" s="8" t="n"/>
      <c r="R9739" s="8" t="n"/>
      <c r="S9739" s="8" t="n"/>
      <c r="T9739" s="8" t="n"/>
      <c r="U9739" s="8" t="n"/>
      <c r="V9739" s="8" t="n"/>
      <c r="W9739" s="8" t="n"/>
      <c r="X9739" s="8" t="n"/>
      <c r="Y9739" s="8" t="n"/>
    </row>
    <row r="9740">
      <c r="A9740" s="8" t="n"/>
      <c r="B9740" s="8" t="n"/>
      <c r="C9740" s="8" t="n"/>
      <c r="D9740" s="8" t="n"/>
      <c r="E9740" s="8" t="n"/>
      <c r="F9740" s="8" t="n"/>
      <c r="G9740" s="8" t="n"/>
      <c r="H9740" s="8" t="n"/>
      <c r="I9740" s="8" t="n"/>
      <c r="J9740" s="8" t="n"/>
      <c r="K9740" s="8" t="n"/>
      <c r="L9740" s="8" t="n"/>
      <c r="M9740" s="9">
        <f>B9740+30</f>
        <v/>
      </c>
      <c r="N9740">
        <f>IF(L9740="", "", L9740-B9740)</f>
        <v/>
      </c>
      <c r="O9740">
        <f>IF(L9740="", "Pending", IF(N9740&lt;=30, "Met", "Breached"))</f>
        <v/>
      </c>
      <c r="P9740" s="8" t="n"/>
      <c r="Q9740" s="8" t="n"/>
      <c r="R9740" s="8" t="n"/>
      <c r="S9740" s="8" t="n"/>
      <c r="T9740" s="8" t="n"/>
      <c r="U9740" s="8" t="n"/>
      <c r="V9740" s="8" t="n"/>
      <c r="W9740" s="8" t="n"/>
      <c r="X9740" s="8" t="n"/>
      <c r="Y9740" s="8" t="n"/>
    </row>
    <row r="9741">
      <c r="A9741" s="8" t="n"/>
      <c r="B9741" s="8" t="n"/>
      <c r="C9741" s="8" t="n"/>
      <c r="D9741" s="8" t="n"/>
      <c r="E9741" s="8" t="n"/>
      <c r="F9741" s="8" t="n"/>
      <c r="G9741" s="8" t="n"/>
      <c r="H9741" s="8" t="n"/>
      <c r="I9741" s="8" t="n"/>
      <c r="J9741" s="8" t="n"/>
      <c r="K9741" s="8" t="n"/>
      <c r="L9741" s="8" t="n"/>
      <c r="M9741" s="9">
        <f>B9741+30</f>
        <v/>
      </c>
      <c r="N9741">
        <f>IF(L9741="", "", L9741-B9741)</f>
        <v/>
      </c>
      <c r="O9741">
        <f>IF(L9741="", "Pending", IF(N9741&lt;=30, "Met", "Breached"))</f>
        <v/>
      </c>
      <c r="P9741" s="8" t="n"/>
      <c r="Q9741" s="8" t="n"/>
      <c r="R9741" s="8" t="n"/>
      <c r="S9741" s="8" t="n"/>
      <c r="T9741" s="8" t="n"/>
      <c r="U9741" s="8" t="n"/>
      <c r="V9741" s="8" t="n"/>
      <c r="W9741" s="8" t="n"/>
      <c r="X9741" s="8" t="n"/>
      <c r="Y9741" s="8" t="n"/>
    </row>
    <row r="9742">
      <c r="A9742" s="8" t="n"/>
      <c r="B9742" s="8" t="n"/>
      <c r="C9742" s="8" t="n"/>
      <c r="D9742" s="8" t="n"/>
      <c r="E9742" s="8" t="n"/>
      <c r="F9742" s="8" t="n"/>
      <c r="G9742" s="8" t="n"/>
      <c r="H9742" s="8" t="n"/>
      <c r="I9742" s="8" t="n"/>
      <c r="J9742" s="8" t="n"/>
      <c r="K9742" s="8" t="n"/>
      <c r="L9742" s="8" t="n"/>
      <c r="M9742" s="9">
        <f>B9742+30</f>
        <v/>
      </c>
      <c r="N9742">
        <f>IF(L9742="", "", L9742-B9742)</f>
        <v/>
      </c>
      <c r="O9742">
        <f>IF(L9742="", "Pending", IF(N9742&lt;=30, "Met", "Breached"))</f>
        <v/>
      </c>
      <c r="P9742" s="8" t="n"/>
      <c r="Q9742" s="8" t="n"/>
      <c r="R9742" s="8" t="n"/>
      <c r="S9742" s="8" t="n"/>
      <c r="T9742" s="8" t="n"/>
      <c r="U9742" s="8" t="n"/>
      <c r="V9742" s="8" t="n"/>
      <c r="W9742" s="8" t="n"/>
      <c r="X9742" s="8" t="n"/>
      <c r="Y9742" s="8" t="n"/>
    </row>
    <row r="9743">
      <c r="A9743" s="8" t="n"/>
      <c r="B9743" s="8" t="n"/>
      <c r="C9743" s="8" t="n"/>
      <c r="D9743" s="8" t="n"/>
      <c r="E9743" s="8" t="n"/>
      <c r="F9743" s="8" t="n"/>
      <c r="G9743" s="8" t="n"/>
      <c r="H9743" s="8" t="n"/>
      <c r="I9743" s="8" t="n"/>
      <c r="J9743" s="8" t="n"/>
      <c r="K9743" s="8" t="n"/>
      <c r="L9743" s="8" t="n"/>
      <c r="M9743" s="9">
        <f>B9743+30</f>
        <v/>
      </c>
      <c r="N9743">
        <f>IF(L9743="", "", L9743-B9743)</f>
        <v/>
      </c>
      <c r="O9743">
        <f>IF(L9743="", "Pending", IF(N9743&lt;=30, "Met", "Breached"))</f>
        <v/>
      </c>
      <c r="P9743" s="8" t="n"/>
      <c r="Q9743" s="8" t="n"/>
      <c r="R9743" s="8" t="n"/>
      <c r="S9743" s="8" t="n"/>
      <c r="T9743" s="8" t="n"/>
      <c r="U9743" s="8" t="n"/>
      <c r="V9743" s="8" t="n"/>
      <c r="W9743" s="8" t="n"/>
      <c r="X9743" s="8" t="n"/>
      <c r="Y9743" s="8" t="n"/>
    </row>
    <row r="9744">
      <c r="A9744" s="8" t="n"/>
      <c r="B9744" s="8" t="n"/>
      <c r="C9744" s="8" t="n"/>
      <c r="D9744" s="8" t="n"/>
      <c r="E9744" s="8" t="n"/>
      <c r="F9744" s="8" t="n"/>
      <c r="G9744" s="8" t="n"/>
      <c r="H9744" s="8" t="n"/>
      <c r="I9744" s="8" t="n"/>
      <c r="J9744" s="8" t="n"/>
      <c r="K9744" s="8" t="n"/>
      <c r="L9744" s="8" t="n"/>
      <c r="M9744" s="9">
        <f>B9744+30</f>
        <v/>
      </c>
      <c r="N9744">
        <f>IF(L9744="", "", L9744-B9744)</f>
        <v/>
      </c>
      <c r="O9744">
        <f>IF(L9744="", "Pending", IF(N9744&lt;=30, "Met", "Breached"))</f>
        <v/>
      </c>
      <c r="P9744" s="8" t="n"/>
      <c r="Q9744" s="8" t="n"/>
      <c r="R9744" s="8" t="n"/>
      <c r="S9744" s="8" t="n"/>
      <c r="T9744" s="8" t="n"/>
      <c r="U9744" s="8" t="n"/>
      <c r="V9744" s="8" t="n"/>
      <c r="W9744" s="8" t="n"/>
      <c r="X9744" s="8" t="n"/>
      <c r="Y9744" s="8" t="n"/>
    </row>
    <row r="9745">
      <c r="A9745" s="8" t="n"/>
      <c r="B9745" s="8" t="n"/>
      <c r="C9745" s="8" t="n"/>
      <c r="D9745" s="8" t="n"/>
      <c r="E9745" s="8" t="n"/>
      <c r="F9745" s="8" t="n"/>
      <c r="G9745" s="8" t="n"/>
      <c r="H9745" s="8" t="n"/>
      <c r="I9745" s="8" t="n"/>
      <c r="J9745" s="8" t="n"/>
      <c r="K9745" s="8" t="n"/>
      <c r="L9745" s="8" t="n"/>
      <c r="M9745" s="9">
        <f>B9745+30</f>
        <v/>
      </c>
      <c r="N9745">
        <f>IF(L9745="", "", L9745-B9745)</f>
        <v/>
      </c>
      <c r="O9745">
        <f>IF(L9745="", "Pending", IF(N9745&lt;=30, "Met", "Breached"))</f>
        <v/>
      </c>
      <c r="P9745" s="8" t="n"/>
      <c r="Q9745" s="8" t="n"/>
      <c r="R9745" s="8" t="n"/>
      <c r="S9745" s="8" t="n"/>
      <c r="T9745" s="8" t="n"/>
      <c r="U9745" s="8" t="n"/>
      <c r="V9745" s="8" t="n"/>
      <c r="W9745" s="8" t="n"/>
      <c r="X9745" s="8" t="n"/>
      <c r="Y9745" s="8" t="n"/>
    </row>
    <row r="9746">
      <c r="A9746" s="8" t="n"/>
      <c r="B9746" s="8" t="n"/>
      <c r="C9746" s="8" t="n"/>
      <c r="D9746" s="8" t="n"/>
      <c r="E9746" s="8" t="n"/>
      <c r="F9746" s="8" t="n"/>
      <c r="G9746" s="8" t="n"/>
      <c r="H9746" s="8" t="n"/>
      <c r="I9746" s="8" t="n"/>
      <c r="J9746" s="8" t="n"/>
      <c r="K9746" s="8" t="n"/>
      <c r="L9746" s="8" t="n"/>
      <c r="M9746" s="9">
        <f>B9746+30</f>
        <v/>
      </c>
      <c r="N9746">
        <f>IF(L9746="", "", L9746-B9746)</f>
        <v/>
      </c>
      <c r="O9746">
        <f>IF(L9746="", "Pending", IF(N9746&lt;=30, "Met", "Breached"))</f>
        <v/>
      </c>
      <c r="P9746" s="8" t="n"/>
      <c r="Q9746" s="8" t="n"/>
      <c r="R9746" s="8" t="n"/>
      <c r="S9746" s="8" t="n"/>
      <c r="T9746" s="8" t="n"/>
      <c r="U9746" s="8" t="n"/>
      <c r="V9746" s="8" t="n"/>
      <c r="W9746" s="8" t="n"/>
      <c r="X9746" s="8" t="n"/>
      <c r="Y9746" s="8" t="n"/>
    </row>
    <row r="9747">
      <c r="A9747" s="8" t="n"/>
      <c r="B9747" s="8" t="n"/>
      <c r="C9747" s="8" t="n"/>
      <c r="D9747" s="8" t="n"/>
      <c r="E9747" s="8" t="n"/>
      <c r="F9747" s="8" t="n"/>
      <c r="G9747" s="8" t="n"/>
      <c r="H9747" s="8" t="n"/>
      <c r="I9747" s="8" t="n"/>
      <c r="J9747" s="8" t="n"/>
      <c r="K9747" s="8" t="n"/>
      <c r="L9747" s="8" t="n"/>
      <c r="M9747" s="9">
        <f>B9747+30</f>
        <v/>
      </c>
      <c r="N9747">
        <f>IF(L9747="", "", L9747-B9747)</f>
        <v/>
      </c>
      <c r="O9747">
        <f>IF(L9747="", "Pending", IF(N9747&lt;=30, "Met", "Breached"))</f>
        <v/>
      </c>
      <c r="P9747" s="8" t="n"/>
      <c r="Q9747" s="8" t="n"/>
      <c r="R9747" s="8" t="n"/>
      <c r="S9747" s="8" t="n"/>
      <c r="T9747" s="8" t="n"/>
      <c r="U9747" s="8" t="n"/>
      <c r="V9747" s="8" t="n"/>
      <c r="W9747" s="8" t="n"/>
      <c r="X9747" s="8" t="n"/>
      <c r="Y9747" s="8" t="n"/>
    </row>
    <row r="9748">
      <c r="A9748" s="8" t="n"/>
      <c r="B9748" s="8" t="n"/>
      <c r="C9748" s="8" t="n"/>
      <c r="D9748" s="8" t="n"/>
      <c r="E9748" s="8" t="n"/>
      <c r="F9748" s="8" t="n"/>
      <c r="G9748" s="8" t="n"/>
      <c r="H9748" s="8" t="n"/>
      <c r="I9748" s="8" t="n"/>
      <c r="J9748" s="8" t="n"/>
      <c r="K9748" s="8" t="n"/>
      <c r="L9748" s="8" t="n"/>
      <c r="M9748" s="9">
        <f>B9748+30</f>
        <v/>
      </c>
      <c r="N9748">
        <f>IF(L9748="", "", L9748-B9748)</f>
        <v/>
      </c>
      <c r="O9748">
        <f>IF(L9748="", "Pending", IF(N9748&lt;=30, "Met", "Breached"))</f>
        <v/>
      </c>
      <c r="P9748" s="8" t="n"/>
      <c r="Q9748" s="8" t="n"/>
      <c r="R9748" s="8" t="n"/>
      <c r="S9748" s="8" t="n"/>
      <c r="T9748" s="8" t="n"/>
      <c r="U9748" s="8" t="n"/>
      <c r="V9748" s="8" t="n"/>
      <c r="W9748" s="8" t="n"/>
      <c r="X9748" s="8" t="n"/>
      <c r="Y9748" s="8" t="n"/>
    </row>
    <row r="9749">
      <c r="A9749" s="8" t="n"/>
      <c r="B9749" s="8" t="n"/>
      <c r="C9749" s="8" t="n"/>
      <c r="D9749" s="8" t="n"/>
      <c r="E9749" s="8" t="n"/>
      <c r="F9749" s="8" t="n"/>
      <c r="G9749" s="8" t="n"/>
      <c r="H9749" s="8" t="n"/>
      <c r="I9749" s="8" t="n"/>
      <c r="J9749" s="8" t="n"/>
      <c r="K9749" s="8" t="n"/>
      <c r="L9749" s="8" t="n"/>
      <c r="M9749" s="9">
        <f>B9749+30</f>
        <v/>
      </c>
      <c r="N9749">
        <f>IF(L9749="", "", L9749-B9749)</f>
        <v/>
      </c>
      <c r="O9749">
        <f>IF(L9749="", "Pending", IF(N9749&lt;=30, "Met", "Breached"))</f>
        <v/>
      </c>
      <c r="P9749" s="8" t="n"/>
      <c r="Q9749" s="8" t="n"/>
      <c r="R9749" s="8" t="n"/>
      <c r="S9749" s="8" t="n"/>
      <c r="T9749" s="8" t="n"/>
      <c r="U9749" s="8" t="n"/>
      <c r="V9749" s="8" t="n"/>
      <c r="W9749" s="8" t="n"/>
      <c r="X9749" s="8" t="n"/>
      <c r="Y9749" s="8" t="n"/>
    </row>
    <row r="9750">
      <c r="A9750" s="8" t="n"/>
      <c r="B9750" s="8" t="n"/>
      <c r="C9750" s="8" t="n"/>
      <c r="D9750" s="8" t="n"/>
      <c r="E9750" s="8" t="n"/>
      <c r="F9750" s="8" t="n"/>
      <c r="G9750" s="8" t="n"/>
      <c r="H9750" s="8" t="n"/>
      <c r="I9750" s="8" t="n"/>
      <c r="J9750" s="8" t="n"/>
      <c r="K9750" s="8" t="n"/>
      <c r="L9750" s="8" t="n"/>
      <c r="M9750" s="9">
        <f>B9750+30</f>
        <v/>
      </c>
      <c r="N9750">
        <f>IF(L9750="", "", L9750-B9750)</f>
        <v/>
      </c>
      <c r="O9750">
        <f>IF(L9750="", "Pending", IF(N9750&lt;=30, "Met", "Breached"))</f>
        <v/>
      </c>
      <c r="P9750" s="8" t="n"/>
      <c r="Q9750" s="8" t="n"/>
      <c r="R9750" s="8" t="n"/>
      <c r="S9750" s="8" t="n"/>
      <c r="T9750" s="8" t="n"/>
      <c r="U9750" s="8" t="n"/>
      <c r="V9750" s="8" t="n"/>
      <c r="W9750" s="8" t="n"/>
      <c r="X9750" s="8" t="n"/>
      <c r="Y9750" s="8" t="n"/>
    </row>
    <row r="9751">
      <c r="A9751" s="8" t="n"/>
      <c r="B9751" s="8" t="n"/>
      <c r="C9751" s="8" t="n"/>
      <c r="D9751" s="8" t="n"/>
      <c r="E9751" s="8" t="n"/>
      <c r="F9751" s="8" t="n"/>
      <c r="G9751" s="8" t="n"/>
      <c r="H9751" s="8" t="n"/>
      <c r="I9751" s="8" t="n"/>
      <c r="J9751" s="8" t="n"/>
      <c r="K9751" s="8" t="n"/>
      <c r="L9751" s="8" t="n"/>
      <c r="M9751" s="9">
        <f>B9751+30</f>
        <v/>
      </c>
      <c r="N9751">
        <f>IF(L9751="", "", L9751-B9751)</f>
        <v/>
      </c>
      <c r="O9751">
        <f>IF(L9751="", "Pending", IF(N9751&lt;=30, "Met", "Breached"))</f>
        <v/>
      </c>
      <c r="P9751" s="8" t="n"/>
      <c r="Q9751" s="8" t="n"/>
      <c r="R9751" s="8" t="n"/>
      <c r="S9751" s="8" t="n"/>
      <c r="T9751" s="8" t="n"/>
      <c r="U9751" s="8" t="n"/>
      <c r="V9751" s="8" t="n"/>
      <c r="W9751" s="8" t="n"/>
      <c r="X9751" s="8" t="n"/>
      <c r="Y9751" s="8" t="n"/>
    </row>
    <row r="9752">
      <c r="A9752" s="8" t="n"/>
      <c r="B9752" s="8" t="n"/>
      <c r="C9752" s="8" t="n"/>
      <c r="D9752" s="8" t="n"/>
      <c r="E9752" s="8" t="n"/>
      <c r="F9752" s="8" t="n"/>
      <c r="G9752" s="8" t="n"/>
      <c r="H9752" s="8" t="n"/>
      <c r="I9752" s="8" t="n"/>
      <c r="J9752" s="8" t="n"/>
      <c r="K9752" s="8" t="n"/>
      <c r="L9752" s="8" t="n"/>
      <c r="M9752" s="9">
        <f>B9752+30</f>
        <v/>
      </c>
      <c r="N9752">
        <f>IF(L9752="", "", L9752-B9752)</f>
        <v/>
      </c>
      <c r="O9752">
        <f>IF(L9752="", "Pending", IF(N9752&lt;=30, "Met", "Breached"))</f>
        <v/>
      </c>
      <c r="P9752" s="8" t="n"/>
      <c r="Q9752" s="8" t="n"/>
      <c r="R9752" s="8" t="n"/>
      <c r="S9752" s="8" t="n"/>
      <c r="T9752" s="8" t="n"/>
      <c r="U9752" s="8" t="n"/>
      <c r="V9752" s="8" t="n"/>
      <c r="W9752" s="8" t="n"/>
      <c r="X9752" s="8" t="n"/>
      <c r="Y9752" s="8" t="n"/>
    </row>
    <row r="9753">
      <c r="A9753" s="8" t="n"/>
      <c r="B9753" s="8" t="n"/>
      <c r="C9753" s="8" t="n"/>
      <c r="D9753" s="8" t="n"/>
      <c r="E9753" s="8" t="n"/>
      <c r="F9753" s="8" t="n"/>
      <c r="G9753" s="8" t="n"/>
      <c r="H9753" s="8" t="n"/>
      <c r="I9753" s="8" t="n"/>
      <c r="J9753" s="8" t="n"/>
      <c r="K9753" s="8" t="n"/>
      <c r="L9753" s="8" t="n"/>
      <c r="M9753" s="9">
        <f>B9753+30</f>
        <v/>
      </c>
      <c r="N9753">
        <f>IF(L9753="", "", L9753-B9753)</f>
        <v/>
      </c>
      <c r="O9753">
        <f>IF(L9753="", "Pending", IF(N9753&lt;=30, "Met", "Breached"))</f>
        <v/>
      </c>
      <c r="P9753" s="8" t="n"/>
      <c r="Q9753" s="8" t="n"/>
      <c r="R9753" s="8" t="n"/>
      <c r="S9753" s="8" t="n"/>
      <c r="T9753" s="8" t="n"/>
      <c r="U9753" s="8" t="n"/>
      <c r="V9753" s="8" t="n"/>
      <c r="W9753" s="8" t="n"/>
      <c r="X9753" s="8" t="n"/>
      <c r="Y9753" s="8" t="n"/>
    </row>
    <row r="9754">
      <c r="A9754" s="8" t="n"/>
      <c r="B9754" s="8" t="n"/>
      <c r="C9754" s="8" t="n"/>
      <c r="D9754" s="8" t="n"/>
      <c r="E9754" s="8" t="n"/>
      <c r="F9754" s="8" t="n"/>
      <c r="G9754" s="8" t="n"/>
      <c r="H9754" s="8" t="n"/>
      <c r="I9754" s="8" t="n"/>
      <c r="J9754" s="8" t="n"/>
      <c r="K9754" s="8" t="n"/>
      <c r="L9754" s="8" t="n"/>
      <c r="M9754" s="9">
        <f>B9754+30</f>
        <v/>
      </c>
      <c r="N9754">
        <f>IF(L9754="", "", L9754-B9754)</f>
        <v/>
      </c>
      <c r="O9754">
        <f>IF(L9754="", "Pending", IF(N9754&lt;=30, "Met", "Breached"))</f>
        <v/>
      </c>
      <c r="P9754" s="8" t="n"/>
      <c r="Q9754" s="8" t="n"/>
      <c r="R9754" s="8" t="n"/>
      <c r="S9754" s="8" t="n"/>
      <c r="T9754" s="8" t="n"/>
      <c r="U9754" s="8" t="n"/>
      <c r="V9754" s="8" t="n"/>
      <c r="W9754" s="8" t="n"/>
      <c r="X9754" s="8" t="n"/>
      <c r="Y9754" s="8" t="n"/>
    </row>
    <row r="9755">
      <c r="A9755" s="8" t="n"/>
      <c r="B9755" s="8" t="n"/>
      <c r="C9755" s="8" t="n"/>
      <c r="D9755" s="8" t="n"/>
      <c r="E9755" s="8" t="n"/>
      <c r="F9755" s="8" t="n"/>
      <c r="G9755" s="8" t="n"/>
      <c r="H9755" s="8" t="n"/>
      <c r="I9755" s="8" t="n"/>
      <c r="J9755" s="8" t="n"/>
      <c r="K9755" s="8" t="n"/>
      <c r="L9755" s="8" t="n"/>
      <c r="M9755" s="9">
        <f>B9755+30</f>
        <v/>
      </c>
      <c r="N9755">
        <f>IF(L9755="", "", L9755-B9755)</f>
        <v/>
      </c>
      <c r="O9755">
        <f>IF(L9755="", "Pending", IF(N9755&lt;=30, "Met", "Breached"))</f>
        <v/>
      </c>
      <c r="P9755" s="8" t="n"/>
      <c r="Q9755" s="8" t="n"/>
      <c r="R9755" s="8" t="n"/>
      <c r="S9755" s="8" t="n"/>
      <c r="T9755" s="8" t="n"/>
      <c r="U9755" s="8" t="n"/>
      <c r="V9755" s="8" t="n"/>
      <c r="W9755" s="8" t="n"/>
      <c r="X9755" s="8" t="n"/>
      <c r="Y9755" s="8" t="n"/>
    </row>
    <row r="9756">
      <c r="A9756" s="8" t="n"/>
      <c r="B9756" s="8" t="n"/>
      <c r="C9756" s="8" t="n"/>
      <c r="D9756" s="8" t="n"/>
      <c r="E9756" s="8" t="n"/>
      <c r="F9756" s="8" t="n"/>
      <c r="G9756" s="8" t="n"/>
      <c r="H9756" s="8" t="n"/>
      <c r="I9756" s="8" t="n"/>
      <c r="J9756" s="8" t="n"/>
      <c r="K9756" s="8" t="n"/>
      <c r="L9756" s="8" t="n"/>
      <c r="M9756" s="9">
        <f>B9756+30</f>
        <v/>
      </c>
      <c r="N9756">
        <f>IF(L9756="", "", L9756-B9756)</f>
        <v/>
      </c>
      <c r="O9756">
        <f>IF(L9756="", "Pending", IF(N9756&lt;=30, "Met", "Breached"))</f>
        <v/>
      </c>
      <c r="P9756" s="8" t="n"/>
      <c r="Q9756" s="8" t="n"/>
      <c r="R9756" s="8" t="n"/>
      <c r="S9756" s="8" t="n"/>
      <c r="T9756" s="8" t="n"/>
      <c r="U9756" s="8" t="n"/>
      <c r="V9756" s="8" t="n"/>
      <c r="W9756" s="8" t="n"/>
      <c r="X9756" s="8" t="n"/>
      <c r="Y9756" s="8" t="n"/>
    </row>
    <row r="9757">
      <c r="A9757" s="8" t="n"/>
      <c r="B9757" s="8" t="n"/>
      <c r="C9757" s="8" t="n"/>
      <c r="D9757" s="8" t="n"/>
      <c r="E9757" s="8" t="n"/>
      <c r="F9757" s="8" t="n"/>
      <c r="G9757" s="8" t="n"/>
      <c r="H9757" s="8" t="n"/>
      <c r="I9757" s="8" t="n"/>
      <c r="J9757" s="8" t="n"/>
      <c r="K9757" s="8" t="n"/>
      <c r="L9757" s="8" t="n"/>
      <c r="M9757" s="9">
        <f>B9757+30</f>
        <v/>
      </c>
      <c r="N9757">
        <f>IF(L9757="", "", L9757-B9757)</f>
        <v/>
      </c>
      <c r="O9757">
        <f>IF(L9757="", "Pending", IF(N9757&lt;=30, "Met", "Breached"))</f>
        <v/>
      </c>
      <c r="P9757" s="8" t="n"/>
      <c r="Q9757" s="8" t="n"/>
      <c r="R9757" s="8" t="n"/>
      <c r="S9757" s="8" t="n"/>
      <c r="T9757" s="8" t="n"/>
      <c r="U9757" s="8" t="n"/>
      <c r="V9757" s="8" t="n"/>
      <c r="W9757" s="8" t="n"/>
      <c r="X9757" s="8" t="n"/>
      <c r="Y9757" s="8" t="n"/>
    </row>
    <row r="9758">
      <c r="A9758" s="8" t="n"/>
      <c r="B9758" s="8" t="n"/>
      <c r="C9758" s="8" t="n"/>
      <c r="D9758" s="8" t="n"/>
      <c r="E9758" s="8" t="n"/>
      <c r="F9758" s="8" t="n"/>
      <c r="G9758" s="8" t="n"/>
      <c r="H9758" s="8" t="n"/>
      <c r="I9758" s="8" t="n"/>
      <c r="J9758" s="8" t="n"/>
      <c r="K9758" s="8" t="n"/>
      <c r="L9758" s="8" t="n"/>
      <c r="M9758" s="9">
        <f>B9758+30</f>
        <v/>
      </c>
      <c r="N9758">
        <f>IF(L9758="", "", L9758-B9758)</f>
        <v/>
      </c>
      <c r="O9758">
        <f>IF(L9758="", "Pending", IF(N9758&lt;=30, "Met", "Breached"))</f>
        <v/>
      </c>
      <c r="P9758" s="8" t="n"/>
      <c r="Q9758" s="8" t="n"/>
      <c r="R9758" s="8" t="n"/>
      <c r="S9758" s="8" t="n"/>
      <c r="T9758" s="8" t="n"/>
      <c r="U9758" s="8" t="n"/>
      <c r="V9758" s="8" t="n"/>
      <c r="W9758" s="8" t="n"/>
      <c r="X9758" s="8" t="n"/>
      <c r="Y9758" s="8" t="n"/>
    </row>
    <row r="9759">
      <c r="A9759" s="8" t="n"/>
      <c r="B9759" s="8" t="n"/>
      <c r="C9759" s="8" t="n"/>
      <c r="D9759" s="8" t="n"/>
      <c r="E9759" s="8" t="n"/>
      <c r="F9759" s="8" t="n"/>
      <c r="G9759" s="8" t="n"/>
      <c r="H9759" s="8" t="n"/>
      <c r="I9759" s="8" t="n"/>
      <c r="J9759" s="8" t="n"/>
      <c r="K9759" s="8" t="n"/>
      <c r="L9759" s="8" t="n"/>
      <c r="M9759" s="9">
        <f>B9759+30</f>
        <v/>
      </c>
      <c r="N9759">
        <f>IF(L9759="", "", L9759-B9759)</f>
        <v/>
      </c>
      <c r="O9759">
        <f>IF(L9759="", "Pending", IF(N9759&lt;=30, "Met", "Breached"))</f>
        <v/>
      </c>
      <c r="P9759" s="8" t="n"/>
      <c r="Q9759" s="8" t="n"/>
      <c r="R9759" s="8" t="n"/>
      <c r="S9759" s="8" t="n"/>
      <c r="T9759" s="8" t="n"/>
      <c r="U9759" s="8" t="n"/>
      <c r="V9759" s="8" t="n"/>
      <c r="W9759" s="8" t="n"/>
      <c r="X9759" s="8" t="n"/>
      <c r="Y9759" s="8" t="n"/>
    </row>
    <row r="9760">
      <c r="A9760" s="8" t="n"/>
      <c r="B9760" s="8" t="n"/>
      <c r="C9760" s="8" t="n"/>
      <c r="D9760" s="8" t="n"/>
      <c r="E9760" s="8" t="n"/>
      <c r="F9760" s="8" t="n"/>
      <c r="G9760" s="8" t="n"/>
      <c r="H9760" s="8" t="n"/>
      <c r="I9760" s="8" t="n"/>
      <c r="J9760" s="8" t="n"/>
      <c r="K9760" s="8" t="n"/>
      <c r="L9760" s="8" t="n"/>
      <c r="M9760" s="9">
        <f>B9760+30</f>
        <v/>
      </c>
      <c r="N9760">
        <f>IF(L9760="", "", L9760-B9760)</f>
        <v/>
      </c>
      <c r="O9760">
        <f>IF(L9760="", "Pending", IF(N9760&lt;=30, "Met", "Breached"))</f>
        <v/>
      </c>
      <c r="P9760" s="8" t="n"/>
      <c r="Q9760" s="8" t="n"/>
      <c r="R9760" s="8" t="n"/>
      <c r="S9760" s="8" t="n"/>
      <c r="T9760" s="8" t="n"/>
      <c r="U9760" s="8" t="n"/>
      <c r="V9760" s="8" t="n"/>
      <c r="W9760" s="8" t="n"/>
      <c r="X9760" s="8" t="n"/>
      <c r="Y9760" s="8" t="n"/>
    </row>
    <row r="9761">
      <c r="A9761" s="8" t="n"/>
      <c r="B9761" s="8" t="n"/>
      <c r="C9761" s="8" t="n"/>
      <c r="D9761" s="8" t="n"/>
      <c r="E9761" s="8" t="n"/>
      <c r="F9761" s="8" t="n"/>
      <c r="G9761" s="8" t="n"/>
      <c r="H9761" s="8" t="n"/>
      <c r="I9761" s="8" t="n"/>
      <c r="J9761" s="8" t="n"/>
      <c r="K9761" s="8" t="n"/>
      <c r="L9761" s="8" t="n"/>
      <c r="M9761" s="9">
        <f>B9761+30</f>
        <v/>
      </c>
      <c r="N9761">
        <f>IF(L9761="", "", L9761-B9761)</f>
        <v/>
      </c>
      <c r="O9761">
        <f>IF(L9761="", "Pending", IF(N9761&lt;=30, "Met", "Breached"))</f>
        <v/>
      </c>
      <c r="P9761" s="8" t="n"/>
      <c r="Q9761" s="8" t="n"/>
      <c r="R9761" s="8" t="n"/>
      <c r="S9761" s="8" t="n"/>
      <c r="T9761" s="8" t="n"/>
      <c r="U9761" s="8" t="n"/>
      <c r="V9761" s="8" t="n"/>
      <c r="W9761" s="8" t="n"/>
      <c r="X9761" s="8" t="n"/>
      <c r="Y9761" s="8" t="n"/>
    </row>
    <row r="9762">
      <c r="A9762" s="8" t="n"/>
      <c r="B9762" s="8" t="n"/>
      <c r="C9762" s="8" t="n"/>
      <c r="D9762" s="8" t="n"/>
      <c r="E9762" s="8" t="n"/>
      <c r="F9762" s="8" t="n"/>
      <c r="G9762" s="8" t="n"/>
      <c r="H9762" s="8" t="n"/>
      <c r="I9762" s="8" t="n"/>
      <c r="J9762" s="8" t="n"/>
      <c r="K9762" s="8" t="n"/>
      <c r="L9762" s="8" t="n"/>
      <c r="M9762" s="9">
        <f>B9762+30</f>
        <v/>
      </c>
      <c r="N9762">
        <f>IF(L9762="", "", L9762-B9762)</f>
        <v/>
      </c>
      <c r="O9762">
        <f>IF(L9762="", "Pending", IF(N9762&lt;=30, "Met", "Breached"))</f>
        <v/>
      </c>
      <c r="P9762" s="8" t="n"/>
      <c r="Q9762" s="8" t="n"/>
      <c r="R9762" s="8" t="n"/>
      <c r="S9762" s="8" t="n"/>
      <c r="T9762" s="8" t="n"/>
      <c r="U9762" s="8" t="n"/>
      <c r="V9762" s="8" t="n"/>
      <c r="W9762" s="8" t="n"/>
      <c r="X9762" s="8" t="n"/>
      <c r="Y9762" s="8" t="n"/>
    </row>
    <row r="9763">
      <c r="A9763" s="8" t="n"/>
      <c r="B9763" s="8" t="n"/>
      <c r="C9763" s="8" t="n"/>
      <c r="D9763" s="8" t="n"/>
      <c r="E9763" s="8" t="n"/>
      <c r="F9763" s="8" t="n"/>
      <c r="G9763" s="8" t="n"/>
      <c r="H9763" s="8" t="n"/>
      <c r="I9763" s="8" t="n"/>
      <c r="J9763" s="8" t="n"/>
      <c r="K9763" s="8" t="n"/>
      <c r="L9763" s="8" t="n"/>
      <c r="M9763" s="9">
        <f>B9763+30</f>
        <v/>
      </c>
      <c r="N9763">
        <f>IF(L9763="", "", L9763-B9763)</f>
        <v/>
      </c>
      <c r="O9763">
        <f>IF(L9763="", "Pending", IF(N9763&lt;=30, "Met", "Breached"))</f>
        <v/>
      </c>
      <c r="P9763" s="8" t="n"/>
      <c r="Q9763" s="8" t="n"/>
      <c r="R9763" s="8" t="n"/>
      <c r="S9763" s="8" t="n"/>
      <c r="T9763" s="8" t="n"/>
      <c r="U9763" s="8" t="n"/>
      <c r="V9763" s="8" t="n"/>
      <c r="W9763" s="8" t="n"/>
      <c r="X9763" s="8" t="n"/>
      <c r="Y9763" s="8" t="n"/>
    </row>
    <row r="9764">
      <c r="A9764" s="8" t="n"/>
      <c r="B9764" s="8" t="n"/>
      <c r="C9764" s="8" t="n"/>
      <c r="D9764" s="8" t="n"/>
      <c r="E9764" s="8" t="n"/>
      <c r="F9764" s="8" t="n"/>
      <c r="G9764" s="8" t="n"/>
      <c r="H9764" s="8" t="n"/>
      <c r="I9764" s="8" t="n"/>
      <c r="J9764" s="8" t="n"/>
      <c r="K9764" s="8" t="n"/>
      <c r="L9764" s="8" t="n"/>
      <c r="M9764" s="9">
        <f>B9764+30</f>
        <v/>
      </c>
      <c r="N9764">
        <f>IF(L9764="", "", L9764-B9764)</f>
        <v/>
      </c>
      <c r="O9764">
        <f>IF(L9764="", "Pending", IF(N9764&lt;=30, "Met", "Breached"))</f>
        <v/>
      </c>
      <c r="P9764" s="8" t="n"/>
      <c r="Q9764" s="8" t="n"/>
      <c r="R9764" s="8" t="n"/>
      <c r="S9764" s="8" t="n"/>
      <c r="T9764" s="8" t="n"/>
      <c r="U9764" s="8" t="n"/>
      <c r="V9764" s="8" t="n"/>
      <c r="W9764" s="8" t="n"/>
      <c r="X9764" s="8" t="n"/>
      <c r="Y9764" s="8" t="n"/>
    </row>
    <row r="9765">
      <c r="A9765" s="8" t="n"/>
      <c r="B9765" s="8" t="n"/>
      <c r="C9765" s="8" t="n"/>
      <c r="D9765" s="8" t="n"/>
      <c r="E9765" s="8" t="n"/>
      <c r="F9765" s="8" t="n"/>
      <c r="G9765" s="8" t="n"/>
      <c r="H9765" s="8" t="n"/>
      <c r="I9765" s="8" t="n"/>
      <c r="J9765" s="8" t="n"/>
      <c r="K9765" s="8" t="n"/>
      <c r="L9765" s="8" t="n"/>
      <c r="M9765" s="9">
        <f>B9765+30</f>
        <v/>
      </c>
      <c r="N9765">
        <f>IF(L9765="", "", L9765-B9765)</f>
        <v/>
      </c>
      <c r="O9765">
        <f>IF(L9765="", "Pending", IF(N9765&lt;=30, "Met", "Breached"))</f>
        <v/>
      </c>
      <c r="P9765" s="8" t="n"/>
      <c r="Q9765" s="8" t="n"/>
      <c r="R9765" s="8" t="n"/>
      <c r="S9765" s="8" t="n"/>
      <c r="T9765" s="8" t="n"/>
      <c r="U9765" s="8" t="n"/>
      <c r="V9765" s="8" t="n"/>
      <c r="W9765" s="8" t="n"/>
      <c r="X9765" s="8" t="n"/>
      <c r="Y9765" s="8" t="n"/>
    </row>
    <row r="9766">
      <c r="A9766" s="8" t="n"/>
      <c r="B9766" s="8" t="n"/>
      <c r="C9766" s="8" t="n"/>
      <c r="D9766" s="8" t="n"/>
      <c r="E9766" s="8" t="n"/>
      <c r="F9766" s="8" t="n"/>
      <c r="G9766" s="8" t="n"/>
      <c r="H9766" s="8" t="n"/>
      <c r="I9766" s="8" t="n"/>
      <c r="J9766" s="8" t="n"/>
      <c r="K9766" s="8" t="n"/>
      <c r="L9766" s="8" t="n"/>
      <c r="M9766" s="9">
        <f>B9766+30</f>
        <v/>
      </c>
      <c r="N9766">
        <f>IF(L9766="", "", L9766-B9766)</f>
        <v/>
      </c>
      <c r="O9766">
        <f>IF(L9766="", "Pending", IF(N9766&lt;=30, "Met", "Breached"))</f>
        <v/>
      </c>
      <c r="P9766" s="8" t="n"/>
      <c r="Q9766" s="8" t="n"/>
      <c r="R9766" s="8" t="n"/>
      <c r="S9766" s="8" t="n"/>
      <c r="T9766" s="8" t="n"/>
      <c r="U9766" s="8" t="n"/>
      <c r="V9766" s="8" t="n"/>
      <c r="W9766" s="8" t="n"/>
      <c r="X9766" s="8" t="n"/>
      <c r="Y9766" s="8" t="n"/>
    </row>
    <row r="9767">
      <c r="A9767" s="8" t="n"/>
      <c r="B9767" s="8" t="n"/>
      <c r="C9767" s="8" t="n"/>
      <c r="D9767" s="8" t="n"/>
      <c r="E9767" s="8" t="n"/>
      <c r="F9767" s="8" t="n"/>
      <c r="G9767" s="8" t="n"/>
      <c r="H9767" s="8" t="n"/>
      <c r="I9767" s="8" t="n"/>
      <c r="J9767" s="8" t="n"/>
      <c r="K9767" s="8" t="n"/>
      <c r="L9767" s="8" t="n"/>
      <c r="M9767" s="9">
        <f>B9767+30</f>
        <v/>
      </c>
      <c r="N9767">
        <f>IF(L9767="", "", L9767-B9767)</f>
        <v/>
      </c>
      <c r="O9767">
        <f>IF(L9767="", "Pending", IF(N9767&lt;=30, "Met", "Breached"))</f>
        <v/>
      </c>
      <c r="P9767" s="8" t="n"/>
      <c r="Q9767" s="8" t="n"/>
      <c r="R9767" s="8" t="n"/>
      <c r="S9767" s="8" t="n"/>
      <c r="T9767" s="8" t="n"/>
      <c r="U9767" s="8" t="n"/>
      <c r="V9767" s="8" t="n"/>
      <c r="W9767" s="8" t="n"/>
      <c r="X9767" s="8" t="n"/>
      <c r="Y9767" s="8" t="n"/>
    </row>
    <row r="9768">
      <c r="A9768" s="8" t="n"/>
      <c r="B9768" s="8" t="n"/>
      <c r="C9768" s="8" t="n"/>
      <c r="D9768" s="8" t="n"/>
      <c r="E9768" s="8" t="n"/>
      <c r="F9768" s="8" t="n"/>
      <c r="G9768" s="8" t="n"/>
      <c r="H9768" s="8" t="n"/>
      <c r="I9768" s="8" t="n"/>
      <c r="J9768" s="8" t="n"/>
      <c r="K9768" s="8" t="n"/>
      <c r="L9768" s="8" t="n"/>
      <c r="M9768" s="9">
        <f>B9768+30</f>
        <v/>
      </c>
      <c r="N9768">
        <f>IF(L9768="", "", L9768-B9768)</f>
        <v/>
      </c>
      <c r="O9768">
        <f>IF(L9768="", "Pending", IF(N9768&lt;=30, "Met", "Breached"))</f>
        <v/>
      </c>
      <c r="P9768" s="8" t="n"/>
      <c r="Q9768" s="8" t="n"/>
      <c r="R9768" s="8" t="n"/>
      <c r="S9768" s="8" t="n"/>
      <c r="T9768" s="8" t="n"/>
      <c r="U9768" s="8" t="n"/>
      <c r="V9768" s="8" t="n"/>
      <c r="W9768" s="8" t="n"/>
      <c r="X9768" s="8" t="n"/>
      <c r="Y9768" s="8" t="n"/>
    </row>
    <row r="9769">
      <c r="A9769" s="8" t="n"/>
      <c r="B9769" s="8" t="n"/>
      <c r="C9769" s="8" t="n"/>
      <c r="D9769" s="8" t="n"/>
      <c r="E9769" s="8" t="n"/>
      <c r="F9769" s="8" t="n"/>
      <c r="G9769" s="8" t="n"/>
      <c r="H9769" s="8" t="n"/>
      <c r="I9769" s="8" t="n"/>
      <c r="J9769" s="8" t="n"/>
      <c r="K9769" s="8" t="n"/>
      <c r="L9769" s="8" t="n"/>
      <c r="M9769" s="9">
        <f>B9769+30</f>
        <v/>
      </c>
      <c r="N9769">
        <f>IF(L9769="", "", L9769-B9769)</f>
        <v/>
      </c>
      <c r="O9769">
        <f>IF(L9769="", "Pending", IF(N9769&lt;=30, "Met", "Breached"))</f>
        <v/>
      </c>
      <c r="P9769" s="8" t="n"/>
      <c r="Q9769" s="8" t="n"/>
      <c r="R9769" s="8" t="n"/>
      <c r="S9769" s="8" t="n"/>
      <c r="T9769" s="8" t="n"/>
      <c r="U9769" s="8" t="n"/>
      <c r="V9769" s="8" t="n"/>
      <c r="W9769" s="8" t="n"/>
      <c r="X9769" s="8" t="n"/>
      <c r="Y9769" s="8" t="n"/>
    </row>
    <row r="9770">
      <c r="A9770" s="8" t="n"/>
      <c r="B9770" s="8" t="n"/>
      <c r="C9770" s="8" t="n"/>
      <c r="D9770" s="8" t="n"/>
      <c r="E9770" s="8" t="n"/>
      <c r="F9770" s="8" t="n"/>
      <c r="G9770" s="8" t="n"/>
      <c r="H9770" s="8" t="n"/>
      <c r="I9770" s="8" t="n"/>
      <c r="J9770" s="8" t="n"/>
      <c r="K9770" s="8" t="n"/>
      <c r="L9770" s="8" t="n"/>
      <c r="M9770" s="9">
        <f>B9770+30</f>
        <v/>
      </c>
      <c r="N9770">
        <f>IF(L9770="", "", L9770-B9770)</f>
        <v/>
      </c>
      <c r="O9770">
        <f>IF(L9770="", "Pending", IF(N9770&lt;=30, "Met", "Breached"))</f>
        <v/>
      </c>
      <c r="P9770" s="8" t="n"/>
      <c r="Q9770" s="8" t="n"/>
      <c r="R9770" s="8" t="n"/>
      <c r="S9770" s="8" t="n"/>
      <c r="T9770" s="8" t="n"/>
      <c r="U9770" s="8" t="n"/>
      <c r="V9770" s="8" t="n"/>
      <c r="W9770" s="8" t="n"/>
      <c r="X9770" s="8" t="n"/>
      <c r="Y9770" s="8" t="n"/>
    </row>
    <row r="9771">
      <c r="A9771" s="8" t="n"/>
      <c r="B9771" s="8" t="n"/>
      <c r="C9771" s="8" t="n"/>
      <c r="D9771" s="8" t="n"/>
      <c r="E9771" s="8" t="n"/>
      <c r="F9771" s="8" t="n"/>
      <c r="G9771" s="8" t="n"/>
      <c r="H9771" s="8" t="n"/>
      <c r="I9771" s="8" t="n"/>
      <c r="J9771" s="8" t="n"/>
      <c r="K9771" s="8" t="n"/>
      <c r="L9771" s="8" t="n"/>
      <c r="M9771" s="9">
        <f>B9771+30</f>
        <v/>
      </c>
      <c r="N9771">
        <f>IF(L9771="", "", L9771-B9771)</f>
        <v/>
      </c>
      <c r="O9771">
        <f>IF(L9771="", "Pending", IF(N9771&lt;=30, "Met", "Breached"))</f>
        <v/>
      </c>
      <c r="P9771" s="8" t="n"/>
      <c r="Q9771" s="8" t="n"/>
      <c r="R9771" s="8" t="n"/>
      <c r="S9771" s="8" t="n"/>
      <c r="T9771" s="8" t="n"/>
      <c r="U9771" s="8" t="n"/>
      <c r="V9771" s="8" t="n"/>
      <c r="W9771" s="8" t="n"/>
      <c r="X9771" s="8" t="n"/>
      <c r="Y9771" s="8" t="n"/>
    </row>
    <row r="9772">
      <c r="A9772" s="8" t="n"/>
      <c r="B9772" s="8" t="n"/>
      <c r="C9772" s="8" t="n"/>
      <c r="D9772" s="8" t="n"/>
      <c r="E9772" s="8" t="n"/>
      <c r="F9772" s="8" t="n"/>
      <c r="G9772" s="8" t="n"/>
      <c r="H9772" s="8" t="n"/>
      <c r="I9772" s="8" t="n"/>
      <c r="J9772" s="8" t="n"/>
      <c r="K9772" s="8" t="n"/>
      <c r="L9772" s="8" t="n"/>
      <c r="M9772" s="9">
        <f>B9772+30</f>
        <v/>
      </c>
      <c r="N9772">
        <f>IF(L9772="", "", L9772-B9772)</f>
        <v/>
      </c>
      <c r="O9772">
        <f>IF(L9772="", "Pending", IF(N9772&lt;=30, "Met", "Breached"))</f>
        <v/>
      </c>
      <c r="P9772" s="8" t="n"/>
      <c r="Q9772" s="8" t="n"/>
      <c r="R9772" s="8" t="n"/>
      <c r="S9772" s="8" t="n"/>
      <c r="T9772" s="8" t="n"/>
      <c r="U9772" s="8" t="n"/>
      <c r="V9772" s="8" t="n"/>
      <c r="W9772" s="8" t="n"/>
      <c r="X9772" s="8" t="n"/>
      <c r="Y9772" s="8" t="n"/>
    </row>
    <row r="9773">
      <c r="A9773" s="8" t="n"/>
      <c r="B9773" s="8" t="n"/>
      <c r="C9773" s="8" t="n"/>
      <c r="D9773" s="8" t="n"/>
      <c r="E9773" s="8" t="n"/>
      <c r="F9773" s="8" t="n"/>
      <c r="G9773" s="8" t="n"/>
      <c r="H9773" s="8" t="n"/>
      <c r="I9773" s="8" t="n"/>
      <c r="J9773" s="8" t="n"/>
      <c r="K9773" s="8" t="n"/>
      <c r="L9773" s="8" t="n"/>
      <c r="M9773" s="9">
        <f>B9773+30</f>
        <v/>
      </c>
      <c r="N9773">
        <f>IF(L9773="", "", L9773-B9773)</f>
        <v/>
      </c>
      <c r="O9773">
        <f>IF(L9773="", "Pending", IF(N9773&lt;=30, "Met", "Breached"))</f>
        <v/>
      </c>
      <c r="P9773" s="8" t="n"/>
      <c r="Q9773" s="8" t="n"/>
      <c r="R9773" s="8" t="n"/>
      <c r="S9773" s="8" t="n"/>
      <c r="T9773" s="8" t="n"/>
      <c r="U9773" s="8" t="n"/>
      <c r="V9773" s="8" t="n"/>
      <c r="W9773" s="8" t="n"/>
      <c r="X9773" s="8" t="n"/>
      <c r="Y9773" s="8" t="n"/>
    </row>
    <row r="9774">
      <c r="A9774" s="8" t="n"/>
      <c r="B9774" s="8" t="n"/>
      <c r="C9774" s="8" t="n"/>
      <c r="D9774" s="8" t="n"/>
      <c r="E9774" s="8" t="n"/>
      <c r="F9774" s="8" t="n"/>
      <c r="G9774" s="8" t="n"/>
      <c r="H9774" s="8" t="n"/>
      <c r="I9774" s="8" t="n"/>
      <c r="J9774" s="8" t="n"/>
      <c r="K9774" s="8" t="n"/>
      <c r="L9774" s="8" t="n"/>
      <c r="M9774" s="9">
        <f>B9774+30</f>
        <v/>
      </c>
      <c r="N9774">
        <f>IF(L9774="", "", L9774-B9774)</f>
        <v/>
      </c>
      <c r="O9774">
        <f>IF(L9774="", "Pending", IF(N9774&lt;=30, "Met", "Breached"))</f>
        <v/>
      </c>
      <c r="P9774" s="8" t="n"/>
      <c r="Q9774" s="8" t="n"/>
      <c r="R9774" s="8" t="n"/>
      <c r="S9774" s="8" t="n"/>
      <c r="T9774" s="8" t="n"/>
      <c r="U9774" s="8" t="n"/>
      <c r="V9774" s="8" t="n"/>
      <c r="W9774" s="8" t="n"/>
      <c r="X9774" s="8" t="n"/>
      <c r="Y9774" s="8" t="n"/>
    </row>
    <row r="9775">
      <c r="A9775" s="8" t="n"/>
      <c r="B9775" s="8" t="n"/>
      <c r="C9775" s="8" t="n"/>
      <c r="D9775" s="8" t="n"/>
      <c r="E9775" s="8" t="n"/>
      <c r="F9775" s="8" t="n"/>
      <c r="G9775" s="8" t="n"/>
      <c r="H9775" s="8" t="n"/>
      <c r="I9775" s="8" t="n"/>
      <c r="J9775" s="8" t="n"/>
      <c r="K9775" s="8" t="n"/>
      <c r="L9775" s="8" t="n"/>
      <c r="M9775" s="9">
        <f>B9775+30</f>
        <v/>
      </c>
      <c r="N9775">
        <f>IF(L9775="", "", L9775-B9775)</f>
        <v/>
      </c>
      <c r="O9775">
        <f>IF(L9775="", "Pending", IF(N9775&lt;=30, "Met", "Breached"))</f>
        <v/>
      </c>
      <c r="P9775" s="8" t="n"/>
      <c r="Q9775" s="8" t="n"/>
      <c r="R9775" s="8" t="n"/>
      <c r="S9775" s="8" t="n"/>
      <c r="T9775" s="8" t="n"/>
      <c r="U9775" s="8" t="n"/>
      <c r="V9775" s="8" t="n"/>
      <c r="W9775" s="8" t="n"/>
      <c r="X9775" s="8" t="n"/>
      <c r="Y9775" s="8" t="n"/>
    </row>
    <row r="9776">
      <c r="A9776" s="8" t="n"/>
      <c r="B9776" s="8" t="n"/>
      <c r="C9776" s="8" t="n"/>
      <c r="D9776" s="8" t="n"/>
      <c r="E9776" s="8" t="n"/>
      <c r="F9776" s="8" t="n"/>
      <c r="G9776" s="8" t="n"/>
      <c r="H9776" s="8" t="n"/>
      <c r="I9776" s="8" t="n"/>
      <c r="J9776" s="8" t="n"/>
      <c r="K9776" s="8" t="n"/>
      <c r="L9776" s="8" t="n"/>
      <c r="M9776" s="9">
        <f>B9776+30</f>
        <v/>
      </c>
      <c r="N9776">
        <f>IF(L9776="", "", L9776-B9776)</f>
        <v/>
      </c>
      <c r="O9776">
        <f>IF(L9776="", "Pending", IF(N9776&lt;=30, "Met", "Breached"))</f>
        <v/>
      </c>
      <c r="P9776" s="8" t="n"/>
      <c r="Q9776" s="8" t="n"/>
      <c r="R9776" s="8" t="n"/>
      <c r="S9776" s="8" t="n"/>
      <c r="T9776" s="8" t="n"/>
      <c r="U9776" s="8" t="n"/>
      <c r="V9776" s="8" t="n"/>
      <c r="W9776" s="8" t="n"/>
      <c r="X9776" s="8" t="n"/>
      <c r="Y9776" s="8" t="n"/>
    </row>
    <row r="9777">
      <c r="A9777" s="8" t="n"/>
      <c r="B9777" s="8" t="n"/>
      <c r="C9777" s="8" t="n"/>
      <c r="D9777" s="8" t="n"/>
      <c r="E9777" s="8" t="n"/>
      <c r="F9777" s="8" t="n"/>
      <c r="G9777" s="8" t="n"/>
      <c r="H9777" s="8" t="n"/>
      <c r="I9777" s="8" t="n"/>
      <c r="J9777" s="8" t="n"/>
      <c r="K9777" s="8" t="n"/>
      <c r="L9777" s="8" t="n"/>
      <c r="M9777" s="9">
        <f>B9777+30</f>
        <v/>
      </c>
      <c r="N9777">
        <f>IF(L9777="", "", L9777-B9777)</f>
        <v/>
      </c>
      <c r="O9777">
        <f>IF(L9777="", "Pending", IF(N9777&lt;=30, "Met", "Breached"))</f>
        <v/>
      </c>
      <c r="P9777" s="8" t="n"/>
      <c r="Q9777" s="8" t="n"/>
      <c r="R9777" s="8" t="n"/>
      <c r="S9777" s="8" t="n"/>
      <c r="T9777" s="8" t="n"/>
      <c r="U9777" s="8" t="n"/>
      <c r="V9777" s="8" t="n"/>
      <c r="W9777" s="8" t="n"/>
      <c r="X9777" s="8" t="n"/>
      <c r="Y9777" s="8" t="n"/>
    </row>
    <row r="9778">
      <c r="A9778" s="8" t="n"/>
      <c r="B9778" s="8" t="n"/>
      <c r="C9778" s="8" t="n"/>
      <c r="D9778" s="8" t="n"/>
      <c r="E9778" s="8" t="n"/>
      <c r="F9778" s="8" t="n"/>
      <c r="G9778" s="8" t="n"/>
      <c r="H9778" s="8" t="n"/>
      <c r="I9778" s="8" t="n"/>
      <c r="J9778" s="8" t="n"/>
      <c r="K9778" s="8" t="n"/>
      <c r="L9778" s="8" t="n"/>
      <c r="M9778" s="9">
        <f>B9778+30</f>
        <v/>
      </c>
      <c r="N9778">
        <f>IF(L9778="", "", L9778-B9778)</f>
        <v/>
      </c>
      <c r="O9778">
        <f>IF(L9778="", "Pending", IF(N9778&lt;=30, "Met", "Breached"))</f>
        <v/>
      </c>
      <c r="P9778" s="8" t="n"/>
      <c r="Q9778" s="8" t="n"/>
      <c r="R9778" s="8" t="n"/>
      <c r="S9778" s="8" t="n"/>
      <c r="T9778" s="8" t="n"/>
      <c r="U9778" s="8" t="n"/>
      <c r="V9778" s="8" t="n"/>
      <c r="W9778" s="8" t="n"/>
      <c r="X9778" s="8" t="n"/>
      <c r="Y9778" s="8" t="n"/>
    </row>
    <row r="9779">
      <c r="A9779" s="8" t="n"/>
      <c r="B9779" s="8" t="n"/>
      <c r="C9779" s="8" t="n"/>
      <c r="D9779" s="8" t="n"/>
      <c r="E9779" s="8" t="n"/>
      <c r="F9779" s="8" t="n"/>
      <c r="G9779" s="8" t="n"/>
      <c r="H9779" s="8" t="n"/>
      <c r="I9779" s="8" t="n"/>
      <c r="J9779" s="8" t="n"/>
      <c r="K9779" s="8" t="n"/>
      <c r="L9779" s="8" t="n"/>
      <c r="M9779" s="9">
        <f>B9779+30</f>
        <v/>
      </c>
      <c r="N9779">
        <f>IF(L9779="", "", L9779-B9779)</f>
        <v/>
      </c>
      <c r="O9779">
        <f>IF(L9779="", "Pending", IF(N9779&lt;=30, "Met", "Breached"))</f>
        <v/>
      </c>
      <c r="P9779" s="8" t="n"/>
      <c r="Q9779" s="8" t="n"/>
      <c r="R9779" s="8" t="n"/>
      <c r="S9779" s="8" t="n"/>
      <c r="T9779" s="8" t="n"/>
      <c r="U9779" s="8" t="n"/>
      <c r="V9779" s="8" t="n"/>
      <c r="W9779" s="8" t="n"/>
      <c r="X9779" s="8" t="n"/>
      <c r="Y9779" s="8" t="n"/>
    </row>
    <row r="9780">
      <c r="A9780" s="8" t="n"/>
      <c r="B9780" s="8" t="n"/>
      <c r="C9780" s="8" t="n"/>
      <c r="D9780" s="8" t="n"/>
      <c r="E9780" s="8" t="n"/>
      <c r="F9780" s="8" t="n"/>
      <c r="G9780" s="8" t="n"/>
      <c r="H9780" s="8" t="n"/>
      <c r="I9780" s="8" t="n"/>
      <c r="J9780" s="8" t="n"/>
      <c r="K9780" s="8" t="n"/>
      <c r="L9780" s="8" t="n"/>
      <c r="M9780" s="9">
        <f>B9780+30</f>
        <v/>
      </c>
      <c r="N9780">
        <f>IF(L9780="", "", L9780-B9780)</f>
        <v/>
      </c>
      <c r="O9780">
        <f>IF(L9780="", "Pending", IF(N9780&lt;=30, "Met", "Breached"))</f>
        <v/>
      </c>
      <c r="P9780" s="8" t="n"/>
      <c r="Q9780" s="8" t="n"/>
      <c r="R9780" s="8" t="n"/>
      <c r="S9780" s="8" t="n"/>
      <c r="T9780" s="8" t="n"/>
      <c r="U9780" s="8" t="n"/>
      <c r="V9780" s="8" t="n"/>
      <c r="W9780" s="8" t="n"/>
      <c r="X9780" s="8" t="n"/>
      <c r="Y9780" s="8" t="n"/>
    </row>
    <row r="9781">
      <c r="A9781" s="8" t="n"/>
      <c r="B9781" s="8" t="n"/>
      <c r="C9781" s="8" t="n"/>
      <c r="D9781" s="8" t="n"/>
      <c r="E9781" s="8" t="n"/>
      <c r="F9781" s="8" t="n"/>
      <c r="G9781" s="8" t="n"/>
      <c r="H9781" s="8" t="n"/>
      <c r="I9781" s="8" t="n"/>
      <c r="J9781" s="8" t="n"/>
      <c r="K9781" s="8" t="n"/>
      <c r="L9781" s="8" t="n"/>
      <c r="M9781" s="9">
        <f>B9781+30</f>
        <v/>
      </c>
      <c r="N9781">
        <f>IF(L9781="", "", L9781-B9781)</f>
        <v/>
      </c>
      <c r="O9781">
        <f>IF(L9781="", "Pending", IF(N9781&lt;=30, "Met", "Breached"))</f>
        <v/>
      </c>
      <c r="P9781" s="8" t="n"/>
      <c r="Q9781" s="8" t="n"/>
      <c r="R9781" s="8" t="n"/>
      <c r="S9781" s="8" t="n"/>
      <c r="T9781" s="8" t="n"/>
      <c r="U9781" s="8" t="n"/>
      <c r="V9781" s="8" t="n"/>
      <c r="W9781" s="8" t="n"/>
      <c r="X9781" s="8" t="n"/>
      <c r="Y9781" s="8" t="n"/>
    </row>
    <row r="9782">
      <c r="A9782" s="8" t="n"/>
      <c r="B9782" s="8" t="n"/>
      <c r="C9782" s="8" t="n"/>
      <c r="D9782" s="8" t="n"/>
      <c r="E9782" s="8" t="n"/>
      <c r="F9782" s="8" t="n"/>
      <c r="G9782" s="8" t="n"/>
      <c r="H9782" s="8" t="n"/>
      <c r="I9782" s="8" t="n"/>
      <c r="J9782" s="8" t="n"/>
      <c r="K9782" s="8" t="n"/>
      <c r="L9782" s="8" t="n"/>
      <c r="M9782" s="9">
        <f>B9782+30</f>
        <v/>
      </c>
      <c r="N9782">
        <f>IF(L9782="", "", L9782-B9782)</f>
        <v/>
      </c>
      <c r="O9782">
        <f>IF(L9782="", "Pending", IF(N9782&lt;=30, "Met", "Breached"))</f>
        <v/>
      </c>
      <c r="P9782" s="8" t="n"/>
      <c r="Q9782" s="8" t="n"/>
      <c r="R9782" s="8" t="n"/>
      <c r="S9782" s="8" t="n"/>
      <c r="T9782" s="8" t="n"/>
      <c r="U9782" s="8" t="n"/>
      <c r="V9782" s="8" t="n"/>
      <c r="W9782" s="8" t="n"/>
      <c r="X9782" s="8" t="n"/>
      <c r="Y9782" s="8" t="n"/>
    </row>
    <row r="9783">
      <c r="A9783" s="8" t="n"/>
      <c r="B9783" s="8" t="n"/>
      <c r="C9783" s="8" t="n"/>
      <c r="D9783" s="8" t="n"/>
      <c r="E9783" s="8" t="n"/>
      <c r="F9783" s="8" t="n"/>
      <c r="G9783" s="8" t="n"/>
      <c r="H9783" s="8" t="n"/>
      <c r="I9783" s="8" t="n"/>
      <c r="J9783" s="8" t="n"/>
      <c r="K9783" s="8" t="n"/>
      <c r="L9783" s="8" t="n"/>
      <c r="M9783" s="9">
        <f>B9783+30</f>
        <v/>
      </c>
      <c r="N9783">
        <f>IF(L9783="", "", L9783-B9783)</f>
        <v/>
      </c>
      <c r="O9783">
        <f>IF(L9783="", "Pending", IF(N9783&lt;=30, "Met", "Breached"))</f>
        <v/>
      </c>
      <c r="P9783" s="8" t="n"/>
      <c r="Q9783" s="8" t="n"/>
      <c r="R9783" s="8" t="n"/>
      <c r="S9783" s="8" t="n"/>
      <c r="T9783" s="8" t="n"/>
      <c r="U9783" s="8" t="n"/>
      <c r="V9783" s="8" t="n"/>
      <c r="W9783" s="8" t="n"/>
      <c r="X9783" s="8" t="n"/>
      <c r="Y9783" s="8" t="n"/>
    </row>
    <row r="9784">
      <c r="A9784" s="8" t="n"/>
      <c r="B9784" s="8" t="n"/>
      <c r="C9784" s="8" t="n"/>
      <c r="D9784" s="8" t="n"/>
      <c r="E9784" s="8" t="n"/>
      <c r="F9784" s="8" t="n"/>
      <c r="G9784" s="8" t="n"/>
      <c r="H9784" s="8" t="n"/>
      <c r="I9784" s="8" t="n"/>
      <c r="J9784" s="8" t="n"/>
      <c r="K9784" s="8" t="n"/>
      <c r="L9784" s="8" t="n"/>
      <c r="M9784" s="9">
        <f>B9784+30</f>
        <v/>
      </c>
      <c r="N9784">
        <f>IF(L9784="", "", L9784-B9784)</f>
        <v/>
      </c>
      <c r="O9784">
        <f>IF(L9784="", "Pending", IF(N9784&lt;=30, "Met", "Breached"))</f>
        <v/>
      </c>
      <c r="P9784" s="8" t="n"/>
      <c r="Q9784" s="8" t="n"/>
      <c r="R9784" s="8" t="n"/>
      <c r="S9784" s="8" t="n"/>
      <c r="T9784" s="8" t="n"/>
      <c r="U9784" s="8" t="n"/>
      <c r="V9784" s="8" t="n"/>
      <c r="W9784" s="8" t="n"/>
      <c r="X9784" s="8" t="n"/>
      <c r="Y9784" s="8" t="n"/>
    </row>
    <row r="9785">
      <c r="A9785" s="8" t="n"/>
      <c r="B9785" s="8" t="n"/>
      <c r="C9785" s="8" t="n"/>
      <c r="D9785" s="8" t="n"/>
      <c r="E9785" s="8" t="n"/>
      <c r="F9785" s="8" t="n"/>
      <c r="G9785" s="8" t="n"/>
      <c r="H9785" s="8" t="n"/>
      <c r="I9785" s="8" t="n"/>
      <c r="J9785" s="8" t="n"/>
      <c r="K9785" s="8" t="n"/>
      <c r="L9785" s="8" t="n"/>
      <c r="M9785" s="9">
        <f>B9785+30</f>
        <v/>
      </c>
      <c r="N9785">
        <f>IF(L9785="", "", L9785-B9785)</f>
        <v/>
      </c>
      <c r="O9785">
        <f>IF(L9785="", "Pending", IF(N9785&lt;=30, "Met", "Breached"))</f>
        <v/>
      </c>
      <c r="P9785" s="8" t="n"/>
      <c r="Q9785" s="8" t="n"/>
      <c r="R9785" s="8" t="n"/>
      <c r="S9785" s="8" t="n"/>
      <c r="T9785" s="8" t="n"/>
      <c r="U9785" s="8" t="n"/>
      <c r="V9785" s="8" t="n"/>
      <c r="W9785" s="8" t="n"/>
      <c r="X9785" s="8" t="n"/>
      <c r="Y9785" s="8" t="n"/>
    </row>
    <row r="9786">
      <c r="A9786" s="8" t="n"/>
      <c r="B9786" s="8" t="n"/>
      <c r="C9786" s="8" t="n"/>
      <c r="D9786" s="8" t="n"/>
      <c r="E9786" s="8" t="n"/>
      <c r="F9786" s="8" t="n"/>
      <c r="G9786" s="8" t="n"/>
      <c r="H9786" s="8" t="n"/>
      <c r="I9786" s="8" t="n"/>
      <c r="J9786" s="8" t="n"/>
      <c r="K9786" s="8" t="n"/>
      <c r="L9786" s="8" t="n"/>
      <c r="M9786" s="9">
        <f>B9786+30</f>
        <v/>
      </c>
      <c r="N9786">
        <f>IF(L9786="", "", L9786-B9786)</f>
        <v/>
      </c>
      <c r="O9786">
        <f>IF(L9786="", "Pending", IF(N9786&lt;=30, "Met", "Breached"))</f>
        <v/>
      </c>
      <c r="P9786" s="8" t="n"/>
      <c r="Q9786" s="8" t="n"/>
      <c r="R9786" s="8" t="n"/>
      <c r="S9786" s="8" t="n"/>
      <c r="T9786" s="8" t="n"/>
      <c r="U9786" s="8" t="n"/>
      <c r="V9786" s="8" t="n"/>
      <c r="W9786" s="8" t="n"/>
      <c r="X9786" s="8" t="n"/>
      <c r="Y9786" s="8" t="n"/>
    </row>
    <row r="9787">
      <c r="A9787" s="8" t="n"/>
      <c r="B9787" s="8" t="n"/>
      <c r="C9787" s="8" t="n"/>
      <c r="D9787" s="8" t="n"/>
      <c r="E9787" s="8" t="n"/>
      <c r="F9787" s="8" t="n"/>
      <c r="G9787" s="8" t="n"/>
      <c r="H9787" s="8" t="n"/>
      <c r="I9787" s="8" t="n"/>
      <c r="J9787" s="8" t="n"/>
      <c r="K9787" s="8" t="n"/>
      <c r="L9787" s="8" t="n"/>
      <c r="M9787" s="9">
        <f>B9787+30</f>
        <v/>
      </c>
      <c r="N9787">
        <f>IF(L9787="", "", L9787-B9787)</f>
        <v/>
      </c>
      <c r="O9787">
        <f>IF(L9787="", "Pending", IF(N9787&lt;=30, "Met", "Breached"))</f>
        <v/>
      </c>
      <c r="P9787" s="8" t="n"/>
      <c r="Q9787" s="8" t="n"/>
      <c r="R9787" s="8" t="n"/>
      <c r="S9787" s="8" t="n"/>
      <c r="T9787" s="8" t="n"/>
      <c r="U9787" s="8" t="n"/>
      <c r="V9787" s="8" t="n"/>
      <c r="W9787" s="8" t="n"/>
      <c r="X9787" s="8" t="n"/>
      <c r="Y9787" s="8" t="n"/>
    </row>
    <row r="9788">
      <c r="A9788" s="8" t="n"/>
      <c r="B9788" s="8" t="n"/>
      <c r="C9788" s="8" t="n"/>
      <c r="D9788" s="8" t="n"/>
      <c r="E9788" s="8" t="n"/>
      <c r="F9788" s="8" t="n"/>
      <c r="G9788" s="8" t="n"/>
      <c r="H9788" s="8" t="n"/>
      <c r="I9788" s="8" t="n"/>
      <c r="J9788" s="8" t="n"/>
      <c r="K9788" s="8" t="n"/>
      <c r="L9788" s="8" t="n"/>
      <c r="M9788" s="9">
        <f>B9788+30</f>
        <v/>
      </c>
      <c r="N9788">
        <f>IF(L9788="", "", L9788-B9788)</f>
        <v/>
      </c>
      <c r="O9788">
        <f>IF(L9788="", "Pending", IF(N9788&lt;=30, "Met", "Breached"))</f>
        <v/>
      </c>
      <c r="P9788" s="8" t="n"/>
      <c r="Q9788" s="8" t="n"/>
      <c r="R9788" s="8" t="n"/>
      <c r="S9788" s="8" t="n"/>
      <c r="T9788" s="8" t="n"/>
      <c r="U9788" s="8" t="n"/>
      <c r="V9788" s="8" t="n"/>
      <c r="W9788" s="8" t="n"/>
      <c r="X9788" s="8" t="n"/>
      <c r="Y9788" s="8" t="n"/>
    </row>
    <row r="9789">
      <c r="A9789" s="8" t="n"/>
      <c r="B9789" s="8" t="n"/>
      <c r="C9789" s="8" t="n"/>
      <c r="D9789" s="8" t="n"/>
      <c r="E9789" s="8" t="n"/>
      <c r="F9789" s="8" t="n"/>
      <c r="G9789" s="8" t="n"/>
      <c r="H9789" s="8" t="n"/>
      <c r="I9789" s="8" t="n"/>
      <c r="J9789" s="8" t="n"/>
      <c r="K9789" s="8" t="n"/>
      <c r="L9789" s="8" t="n"/>
      <c r="M9789" s="9">
        <f>B9789+30</f>
        <v/>
      </c>
      <c r="N9789">
        <f>IF(L9789="", "", L9789-B9789)</f>
        <v/>
      </c>
      <c r="O9789">
        <f>IF(L9789="", "Pending", IF(N9789&lt;=30, "Met", "Breached"))</f>
        <v/>
      </c>
      <c r="P9789" s="8" t="n"/>
      <c r="Q9789" s="8" t="n"/>
      <c r="R9789" s="8" t="n"/>
      <c r="S9789" s="8" t="n"/>
      <c r="T9789" s="8" t="n"/>
      <c r="U9789" s="8" t="n"/>
      <c r="V9789" s="8" t="n"/>
      <c r="W9789" s="8" t="n"/>
      <c r="X9789" s="8" t="n"/>
      <c r="Y9789" s="8" t="n"/>
    </row>
    <row r="9790">
      <c r="A9790" s="8" t="n"/>
      <c r="B9790" s="8" t="n"/>
      <c r="C9790" s="8" t="n"/>
      <c r="D9790" s="8" t="n"/>
      <c r="E9790" s="8" t="n"/>
      <c r="F9790" s="8" t="n"/>
      <c r="G9790" s="8" t="n"/>
      <c r="H9790" s="8" t="n"/>
      <c r="I9790" s="8" t="n"/>
      <c r="J9790" s="8" t="n"/>
      <c r="K9790" s="8" t="n"/>
      <c r="L9790" s="8" t="n"/>
      <c r="M9790" s="9">
        <f>B9790+30</f>
        <v/>
      </c>
      <c r="N9790">
        <f>IF(L9790="", "", L9790-B9790)</f>
        <v/>
      </c>
      <c r="O9790">
        <f>IF(L9790="", "Pending", IF(N9790&lt;=30, "Met", "Breached"))</f>
        <v/>
      </c>
      <c r="P9790" s="8" t="n"/>
      <c r="Q9790" s="8" t="n"/>
      <c r="R9790" s="8" t="n"/>
      <c r="S9790" s="8" t="n"/>
      <c r="T9790" s="8" t="n"/>
      <c r="U9790" s="8" t="n"/>
      <c r="V9790" s="8" t="n"/>
      <c r="W9790" s="8" t="n"/>
      <c r="X9790" s="8" t="n"/>
      <c r="Y9790" s="8" t="n"/>
    </row>
    <row r="9791">
      <c r="A9791" s="8" t="n"/>
      <c r="B9791" s="8" t="n"/>
      <c r="C9791" s="8" t="n"/>
      <c r="D9791" s="8" t="n"/>
      <c r="E9791" s="8" t="n"/>
      <c r="F9791" s="8" t="n"/>
      <c r="G9791" s="8" t="n"/>
      <c r="H9791" s="8" t="n"/>
      <c r="I9791" s="8" t="n"/>
      <c r="J9791" s="8" t="n"/>
      <c r="K9791" s="8" t="n"/>
      <c r="L9791" s="8" t="n"/>
      <c r="M9791" s="9">
        <f>B9791+30</f>
        <v/>
      </c>
      <c r="N9791">
        <f>IF(L9791="", "", L9791-B9791)</f>
        <v/>
      </c>
      <c r="O9791">
        <f>IF(L9791="", "Pending", IF(N9791&lt;=30, "Met", "Breached"))</f>
        <v/>
      </c>
      <c r="P9791" s="8" t="n"/>
      <c r="Q9791" s="8" t="n"/>
      <c r="R9791" s="8" t="n"/>
      <c r="S9791" s="8" t="n"/>
      <c r="T9791" s="8" t="n"/>
      <c r="U9791" s="8" t="n"/>
      <c r="V9791" s="8" t="n"/>
      <c r="W9791" s="8" t="n"/>
      <c r="X9791" s="8" t="n"/>
      <c r="Y9791" s="8" t="n"/>
    </row>
    <row r="9792">
      <c r="A9792" s="8" t="n"/>
      <c r="B9792" s="8" t="n"/>
      <c r="C9792" s="8" t="n"/>
      <c r="D9792" s="8" t="n"/>
      <c r="E9792" s="8" t="n"/>
      <c r="F9792" s="8" t="n"/>
      <c r="G9792" s="8" t="n"/>
      <c r="H9792" s="8" t="n"/>
      <c r="I9792" s="8" t="n"/>
      <c r="J9792" s="8" t="n"/>
      <c r="K9792" s="8" t="n"/>
      <c r="L9792" s="8" t="n"/>
      <c r="M9792" s="9">
        <f>B9792+30</f>
        <v/>
      </c>
      <c r="N9792">
        <f>IF(L9792="", "", L9792-B9792)</f>
        <v/>
      </c>
      <c r="O9792">
        <f>IF(L9792="", "Pending", IF(N9792&lt;=30, "Met", "Breached"))</f>
        <v/>
      </c>
      <c r="P9792" s="8" t="n"/>
      <c r="Q9792" s="8" t="n"/>
      <c r="R9792" s="8" t="n"/>
      <c r="S9792" s="8" t="n"/>
      <c r="T9792" s="8" t="n"/>
      <c r="U9792" s="8" t="n"/>
      <c r="V9792" s="8" t="n"/>
      <c r="W9792" s="8" t="n"/>
      <c r="X9792" s="8" t="n"/>
      <c r="Y9792" s="8" t="n"/>
    </row>
    <row r="9793">
      <c r="A9793" s="8" t="n"/>
      <c r="B9793" s="8" t="n"/>
      <c r="C9793" s="8" t="n"/>
      <c r="D9793" s="8" t="n"/>
      <c r="E9793" s="8" t="n"/>
      <c r="F9793" s="8" t="n"/>
      <c r="G9793" s="8" t="n"/>
      <c r="H9793" s="8" t="n"/>
      <c r="I9793" s="8" t="n"/>
      <c r="J9793" s="8" t="n"/>
      <c r="K9793" s="8" t="n"/>
      <c r="L9793" s="8" t="n"/>
      <c r="M9793" s="9">
        <f>B9793+30</f>
        <v/>
      </c>
      <c r="N9793">
        <f>IF(L9793="", "", L9793-B9793)</f>
        <v/>
      </c>
      <c r="O9793">
        <f>IF(L9793="", "Pending", IF(N9793&lt;=30, "Met", "Breached"))</f>
        <v/>
      </c>
      <c r="P9793" s="8" t="n"/>
      <c r="Q9793" s="8" t="n"/>
      <c r="R9793" s="8" t="n"/>
      <c r="S9793" s="8" t="n"/>
      <c r="T9793" s="8" t="n"/>
      <c r="U9793" s="8" t="n"/>
      <c r="V9793" s="8" t="n"/>
      <c r="W9793" s="8" t="n"/>
      <c r="X9793" s="8" t="n"/>
      <c r="Y9793" s="8" t="n"/>
    </row>
    <row r="9794">
      <c r="A9794" s="8" t="n"/>
      <c r="B9794" s="8" t="n"/>
      <c r="C9794" s="8" t="n"/>
      <c r="D9794" s="8" t="n"/>
      <c r="E9794" s="8" t="n"/>
      <c r="F9794" s="8" t="n"/>
      <c r="G9794" s="8" t="n"/>
      <c r="H9794" s="8" t="n"/>
      <c r="I9794" s="8" t="n"/>
      <c r="J9794" s="8" t="n"/>
      <c r="K9794" s="8" t="n"/>
      <c r="L9794" s="8" t="n"/>
      <c r="M9794" s="9">
        <f>B9794+30</f>
        <v/>
      </c>
      <c r="N9794">
        <f>IF(L9794="", "", L9794-B9794)</f>
        <v/>
      </c>
      <c r="O9794">
        <f>IF(L9794="", "Pending", IF(N9794&lt;=30, "Met", "Breached"))</f>
        <v/>
      </c>
      <c r="P9794" s="8" t="n"/>
      <c r="Q9794" s="8" t="n"/>
      <c r="R9794" s="8" t="n"/>
      <c r="S9794" s="8" t="n"/>
      <c r="T9794" s="8" t="n"/>
      <c r="U9794" s="8" t="n"/>
      <c r="V9794" s="8" t="n"/>
      <c r="W9794" s="8" t="n"/>
      <c r="X9794" s="8" t="n"/>
      <c r="Y9794" s="8" t="n"/>
    </row>
    <row r="9795">
      <c r="A9795" s="8" t="n"/>
      <c r="B9795" s="8" t="n"/>
      <c r="C9795" s="8" t="n"/>
      <c r="D9795" s="8" t="n"/>
      <c r="E9795" s="8" t="n"/>
      <c r="F9795" s="8" t="n"/>
      <c r="G9795" s="8" t="n"/>
      <c r="H9795" s="8" t="n"/>
      <c r="I9795" s="8" t="n"/>
      <c r="J9795" s="8" t="n"/>
      <c r="K9795" s="8" t="n"/>
      <c r="L9795" s="8" t="n"/>
      <c r="M9795" s="9">
        <f>B9795+30</f>
        <v/>
      </c>
      <c r="N9795">
        <f>IF(L9795="", "", L9795-B9795)</f>
        <v/>
      </c>
      <c r="O9795">
        <f>IF(L9795="", "Pending", IF(N9795&lt;=30, "Met", "Breached"))</f>
        <v/>
      </c>
      <c r="P9795" s="8" t="n"/>
      <c r="Q9795" s="8" t="n"/>
      <c r="R9795" s="8" t="n"/>
      <c r="S9795" s="8" t="n"/>
      <c r="T9795" s="8" t="n"/>
      <c r="U9795" s="8" t="n"/>
      <c r="V9795" s="8" t="n"/>
      <c r="W9795" s="8" t="n"/>
      <c r="X9795" s="8" t="n"/>
      <c r="Y9795" s="8" t="n"/>
    </row>
    <row r="9796">
      <c r="A9796" s="8" t="n"/>
      <c r="B9796" s="8" t="n"/>
      <c r="C9796" s="8" t="n"/>
      <c r="D9796" s="8" t="n"/>
      <c r="E9796" s="8" t="n"/>
      <c r="F9796" s="8" t="n"/>
      <c r="G9796" s="8" t="n"/>
      <c r="H9796" s="8" t="n"/>
      <c r="I9796" s="8" t="n"/>
      <c r="J9796" s="8" t="n"/>
      <c r="K9796" s="8" t="n"/>
      <c r="L9796" s="8" t="n"/>
      <c r="M9796" s="9">
        <f>B9796+30</f>
        <v/>
      </c>
      <c r="N9796">
        <f>IF(L9796="", "", L9796-B9796)</f>
        <v/>
      </c>
      <c r="O9796">
        <f>IF(L9796="", "Pending", IF(N9796&lt;=30, "Met", "Breached"))</f>
        <v/>
      </c>
      <c r="P9796" s="8" t="n"/>
      <c r="Q9796" s="8" t="n"/>
      <c r="R9796" s="8" t="n"/>
      <c r="S9796" s="8" t="n"/>
      <c r="T9796" s="8" t="n"/>
      <c r="U9796" s="8" t="n"/>
      <c r="V9796" s="8" t="n"/>
      <c r="W9796" s="8" t="n"/>
      <c r="X9796" s="8" t="n"/>
      <c r="Y9796" s="8" t="n"/>
    </row>
    <row r="9797">
      <c r="A9797" s="8" t="n"/>
      <c r="B9797" s="8" t="n"/>
      <c r="C9797" s="8" t="n"/>
      <c r="D9797" s="8" t="n"/>
      <c r="E9797" s="8" t="n"/>
      <c r="F9797" s="8" t="n"/>
      <c r="G9797" s="8" t="n"/>
      <c r="H9797" s="8" t="n"/>
      <c r="I9797" s="8" t="n"/>
      <c r="J9797" s="8" t="n"/>
      <c r="K9797" s="8" t="n"/>
      <c r="L9797" s="8" t="n"/>
      <c r="M9797" s="9">
        <f>B9797+30</f>
        <v/>
      </c>
      <c r="N9797">
        <f>IF(L9797="", "", L9797-B9797)</f>
        <v/>
      </c>
      <c r="O9797">
        <f>IF(L9797="", "Pending", IF(N9797&lt;=30, "Met", "Breached"))</f>
        <v/>
      </c>
      <c r="P9797" s="8" t="n"/>
      <c r="Q9797" s="8" t="n"/>
      <c r="R9797" s="8" t="n"/>
      <c r="S9797" s="8" t="n"/>
      <c r="T9797" s="8" t="n"/>
      <c r="U9797" s="8" t="n"/>
      <c r="V9797" s="8" t="n"/>
      <c r="W9797" s="8" t="n"/>
      <c r="X9797" s="8" t="n"/>
      <c r="Y9797" s="8" t="n"/>
    </row>
    <row r="9798">
      <c r="A9798" s="8" t="n"/>
      <c r="B9798" s="8" t="n"/>
      <c r="C9798" s="8" t="n"/>
      <c r="D9798" s="8" t="n"/>
      <c r="E9798" s="8" t="n"/>
      <c r="F9798" s="8" t="n"/>
      <c r="G9798" s="8" t="n"/>
      <c r="H9798" s="8" t="n"/>
      <c r="I9798" s="8" t="n"/>
      <c r="J9798" s="8" t="n"/>
      <c r="K9798" s="8" t="n"/>
      <c r="L9798" s="8" t="n"/>
      <c r="M9798" s="9">
        <f>B9798+30</f>
        <v/>
      </c>
      <c r="N9798">
        <f>IF(L9798="", "", L9798-B9798)</f>
        <v/>
      </c>
      <c r="O9798">
        <f>IF(L9798="", "Pending", IF(N9798&lt;=30, "Met", "Breached"))</f>
        <v/>
      </c>
      <c r="P9798" s="8" t="n"/>
      <c r="Q9798" s="8" t="n"/>
      <c r="R9798" s="8" t="n"/>
      <c r="S9798" s="8" t="n"/>
      <c r="T9798" s="8" t="n"/>
      <c r="U9798" s="8" t="n"/>
      <c r="V9798" s="8" t="n"/>
      <c r="W9798" s="8" t="n"/>
      <c r="X9798" s="8" t="n"/>
      <c r="Y9798" s="8" t="n"/>
    </row>
    <row r="9799">
      <c r="A9799" s="8" t="n"/>
      <c r="B9799" s="8" t="n"/>
      <c r="C9799" s="8" t="n"/>
      <c r="D9799" s="8" t="n"/>
      <c r="E9799" s="8" t="n"/>
      <c r="F9799" s="8" t="n"/>
      <c r="G9799" s="8" t="n"/>
      <c r="H9799" s="8" t="n"/>
      <c r="I9799" s="8" t="n"/>
      <c r="J9799" s="8" t="n"/>
      <c r="K9799" s="8" t="n"/>
      <c r="L9799" s="8" t="n"/>
      <c r="M9799" s="9">
        <f>B9799+30</f>
        <v/>
      </c>
      <c r="N9799">
        <f>IF(L9799="", "", L9799-B9799)</f>
        <v/>
      </c>
      <c r="O9799">
        <f>IF(L9799="", "Pending", IF(N9799&lt;=30, "Met", "Breached"))</f>
        <v/>
      </c>
      <c r="P9799" s="8" t="n"/>
      <c r="Q9799" s="8" t="n"/>
      <c r="R9799" s="8" t="n"/>
      <c r="S9799" s="8" t="n"/>
      <c r="T9799" s="8" t="n"/>
      <c r="U9799" s="8" t="n"/>
      <c r="V9799" s="8" t="n"/>
      <c r="W9799" s="8" t="n"/>
      <c r="X9799" s="8" t="n"/>
      <c r="Y9799" s="8" t="n"/>
    </row>
    <row r="9800">
      <c r="A9800" s="8" t="n"/>
      <c r="B9800" s="8" t="n"/>
      <c r="C9800" s="8" t="n"/>
      <c r="D9800" s="8" t="n"/>
      <c r="E9800" s="8" t="n"/>
      <c r="F9800" s="8" t="n"/>
      <c r="G9800" s="8" t="n"/>
      <c r="H9800" s="8" t="n"/>
      <c r="I9800" s="8" t="n"/>
      <c r="J9800" s="8" t="n"/>
      <c r="K9800" s="8" t="n"/>
      <c r="L9800" s="8" t="n"/>
      <c r="M9800" s="9">
        <f>B9800+30</f>
        <v/>
      </c>
      <c r="N9800">
        <f>IF(L9800="", "", L9800-B9800)</f>
        <v/>
      </c>
      <c r="O9800">
        <f>IF(L9800="", "Pending", IF(N9800&lt;=30, "Met", "Breached"))</f>
        <v/>
      </c>
      <c r="P9800" s="8" t="n"/>
      <c r="Q9800" s="8" t="n"/>
      <c r="R9800" s="8" t="n"/>
      <c r="S9800" s="8" t="n"/>
      <c r="T9800" s="8" t="n"/>
      <c r="U9800" s="8" t="n"/>
      <c r="V9800" s="8" t="n"/>
      <c r="W9800" s="8" t="n"/>
      <c r="X9800" s="8" t="n"/>
      <c r="Y9800" s="8" t="n"/>
    </row>
    <row r="9801">
      <c r="A9801" s="8" t="n"/>
      <c r="B9801" s="8" t="n"/>
      <c r="C9801" s="8" t="n"/>
      <c r="D9801" s="8" t="n"/>
      <c r="E9801" s="8" t="n"/>
      <c r="F9801" s="8" t="n"/>
      <c r="G9801" s="8" t="n"/>
      <c r="H9801" s="8" t="n"/>
      <c r="I9801" s="8" t="n"/>
      <c r="J9801" s="8" t="n"/>
      <c r="K9801" s="8" t="n"/>
      <c r="L9801" s="8" t="n"/>
      <c r="M9801" s="9">
        <f>B9801+30</f>
        <v/>
      </c>
      <c r="N9801">
        <f>IF(L9801="", "", L9801-B9801)</f>
        <v/>
      </c>
      <c r="O9801">
        <f>IF(L9801="", "Pending", IF(N9801&lt;=30, "Met", "Breached"))</f>
        <v/>
      </c>
      <c r="P9801" s="8" t="n"/>
      <c r="Q9801" s="8" t="n"/>
      <c r="R9801" s="8" t="n"/>
      <c r="S9801" s="8" t="n"/>
      <c r="T9801" s="8" t="n"/>
      <c r="U9801" s="8" t="n"/>
      <c r="V9801" s="8" t="n"/>
      <c r="W9801" s="8" t="n"/>
      <c r="X9801" s="8" t="n"/>
      <c r="Y9801" s="8" t="n"/>
    </row>
    <row r="9802">
      <c r="A9802" s="8" t="n"/>
      <c r="B9802" s="8" t="n"/>
      <c r="C9802" s="8" t="n"/>
      <c r="D9802" s="8" t="n"/>
      <c r="E9802" s="8" t="n"/>
      <c r="F9802" s="8" t="n"/>
      <c r="G9802" s="8" t="n"/>
      <c r="H9802" s="8" t="n"/>
      <c r="I9802" s="8" t="n"/>
      <c r="J9802" s="8" t="n"/>
      <c r="K9802" s="8" t="n"/>
      <c r="L9802" s="8" t="n"/>
      <c r="M9802" s="9">
        <f>B9802+30</f>
        <v/>
      </c>
      <c r="N9802">
        <f>IF(L9802="", "", L9802-B9802)</f>
        <v/>
      </c>
      <c r="O9802">
        <f>IF(L9802="", "Pending", IF(N9802&lt;=30, "Met", "Breached"))</f>
        <v/>
      </c>
      <c r="P9802" s="8" t="n"/>
      <c r="Q9802" s="8" t="n"/>
      <c r="R9802" s="8" t="n"/>
      <c r="S9802" s="8" t="n"/>
      <c r="T9802" s="8" t="n"/>
      <c r="U9802" s="8" t="n"/>
      <c r="V9802" s="8" t="n"/>
      <c r="W9802" s="8" t="n"/>
      <c r="X9802" s="8" t="n"/>
      <c r="Y9802" s="8" t="n"/>
    </row>
    <row r="9803">
      <c r="A9803" s="8" t="n"/>
      <c r="B9803" s="8" t="n"/>
      <c r="C9803" s="8" t="n"/>
      <c r="D9803" s="8" t="n"/>
      <c r="E9803" s="8" t="n"/>
      <c r="F9803" s="8" t="n"/>
      <c r="G9803" s="8" t="n"/>
      <c r="H9803" s="8" t="n"/>
      <c r="I9803" s="8" t="n"/>
      <c r="J9803" s="8" t="n"/>
      <c r="K9803" s="8" t="n"/>
      <c r="L9803" s="8" t="n"/>
      <c r="M9803" s="9">
        <f>B9803+30</f>
        <v/>
      </c>
      <c r="N9803">
        <f>IF(L9803="", "", L9803-B9803)</f>
        <v/>
      </c>
      <c r="O9803">
        <f>IF(L9803="", "Pending", IF(N9803&lt;=30, "Met", "Breached"))</f>
        <v/>
      </c>
      <c r="P9803" s="8" t="n"/>
      <c r="Q9803" s="8" t="n"/>
      <c r="R9803" s="8" t="n"/>
      <c r="S9803" s="8" t="n"/>
      <c r="T9803" s="8" t="n"/>
      <c r="U9803" s="8" t="n"/>
      <c r="V9803" s="8" t="n"/>
      <c r="W9803" s="8" t="n"/>
      <c r="X9803" s="8" t="n"/>
      <c r="Y9803" s="8" t="n"/>
    </row>
    <row r="9804">
      <c r="A9804" s="8" t="n"/>
      <c r="B9804" s="8" t="n"/>
      <c r="C9804" s="8" t="n"/>
      <c r="D9804" s="8" t="n"/>
      <c r="E9804" s="8" t="n"/>
      <c r="F9804" s="8" t="n"/>
      <c r="G9804" s="8" t="n"/>
      <c r="H9804" s="8" t="n"/>
      <c r="I9804" s="8" t="n"/>
      <c r="J9804" s="8" t="n"/>
      <c r="K9804" s="8" t="n"/>
      <c r="L9804" s="8" t="n"/>
      <c r="M9804" s="9">
        <f>B9804+30</f>
        <v/>
      </c>
      <c r="N9804">
        <f>IF(L9804="", "", L9804-B9804)</f>
        <v/>
      </c>
      <c r="O9804">
        <f>IF(L9804="", "Pending", IF(N9804&lt;=30, "Met", "Breached"))</f>
        <v/>
      </c>
      <c r="P9804" s="8" t="n"/>
      <c r="Q9804" s="8" t="n"/>
      <c r="R9804" s="8" t="n"/>
      <c r="S9804" s="8" t="n"/>
      <c r="T9804" s="8" t="n"/>
      <c r="U9804" s="8" t="n"/>
      <c r="V9804" s="8" t="n"/>
      <c r="W9804" s="8" t="n"/>
      <c r="X9804" s="8" t="n"/>
      <c r="Y9804" s="8" t="n"/>
    </row>
    <row r="9805">
      <c r="A9805" s="8" t="n"/>
      <c r="B9805" s="8" t="n"/>
      <c r="C9805" s="8" t="n"/>
      <c r="D9805" s="8" t="n"/>
      <c r="E9805" s="8" t="n"/>
      <c r="F9805" s="8" t="n"/>
      <c r="G9805" s="8" t="n"/>
      <c r="H9805" s="8" t="n"/>
      <c r="I9805" s="8" t="n"/>
      <c r="J9805" s="8" t="n"/>
      <c r="K9805" s="8" t="n"/>
      <c r="L9805" s="8" t="n"/>
      <c r="M9805" s="9">
        <f>B9805+30</f>
        <v/>
      </c>
      <c r="N9805">
        <f>IF(L9805="", "", L9805-B9805)</f>
        <v/>
      </c>
      <c r="O9805">
        <f>IF(L9805="", "Pending", IF(N9805&lt;=30, "Met", "Breached"))</f>
        <v/>
      </c>
      <c r="P9805" s="8" t="n"/>
      <c r="Q9805" s="8" t="n"/>
      <c r="R9805" s="8" t="n"/>
      <c r="S9805" s="8" t="n"/>
      <c r="T9805" s="8" t="n"/>
      <c r="U9805" s="8" t="n"/>
      <c r="V9805" s="8" t="n"/>
      <c r="W9805" s="8" t="n"/>
      <c r="X9805" s="8" t="n"/>
      <c r="Y9805" s="8" t="n"/>
    </row>
    <row r="9806">
      <c r="A9806" s="8" t="n"/>
      <c r="B9806" s="8" t="n"/>
      <c r="C9806" s="8" t="n"/>
      <c r="D9806" s="8" t="n"/>
      <c r="E9806" s="8" t="n"/>
      <c r="F9806" s="8" t="n"/>
      <c r="G9806" s="8" t="n"/>
      <c r="H9806" s="8" t="n"/>
      <c r="I9806" s="8" t="n"/>
      <c r="J9806" s="8" t="n"/>
      <c r="K9806" s="8" t="n"/>
      <c r="L9806" s="8" t="n"/>
      <c r="M9806" s="9">
        <f>B9806+30</f>
        <v/>
      </c>
      <c r="N9806">
        <f>IF(L9806="", "", L9806-B9806)</f>
        <v/>
      </c>
      <c r="O9806">
        <f>IF(L9806="", "Pending", IF(N9806&lt;=30, "Met", "Breached"))</f>
        <v/>
      </c>
      <c r="P9806" s="8" t="n"/>
      <c r="Q9806" s="8" t="n"/>
      <c r="R9806" s="8" t="n"/>
      <c r="S9806" s="8" t="n"/>
      <c r="T9806" s="8" t="n"/>
      <c r="U9806" s="8" t="n"/>
      <c r="V9806" s="8" t="n"/>
      <c r="W9806" s="8" t="n"/>
      <c r="X9806" s="8" t="n"/>
      <c r="Y9806" s="8" t="n"/>
    </row>
    <row r="9807">
      <c r="A9807" s="8" t="n"/>
      <c r="B9807" s="8" t="n"/>
      <c r="C9807" s="8" t="n"/>
      <c r="D9807" s="8" t="n"/>
      <c r="E9807" s="8" t="n"/>
      <c r="F9807" s="8" t="n"/>
      <c r="G9807" s="8" t="n"/>
      <c r="H9807" s="8" t="n"/>
      <c r="I9807" s="8" t="n"/>
      <c r="J9807" s="8" t="n"/>
      <c r="K9807" s="8" t="n"/>
      <c r="L9807" s="8" t="n"/>
      <c r="M9807" s="9">
        <f>B9807+30</f>
        <v/>
      </c>
      <c r="N9807">
        <f>IF(L9807="", "", L9807-B9807)</f>
        <v/>
      </c>
      <c r="O9807">
        <f>IF(L9807="", "Pending", IF(N9807&lt;=30, "Met", "Breached"))</f>
        <v/>
      </c>
      <c r="P9807" s="8" t="n"/>
      <c r="Q9807" s="8" t="n"/>
      <c r="R9807" s="8" t="n"/>
      <c r="S9807" s="8" t="n"/>
      <c r="T9807" s="8" t="n"/>
      <c r="U9807" s="8" t="n"/>
      <c r="V9807" s="8" t="n"/>
      <c r="W9807" s="8" t="n"/>
      <c r="X9807" s="8" t="n"/>
      <c r="Y9807" s="8" t="n"/>
    </row>
    <row r="9808">
      <c r="A9808" s="8" t="n"/>
      <c r="B9808" s="8" t="n"/>
      <c r="C9808" s="8" t="n"/>
      <c r="D9808" s="8" t="n"/>
      <c r="E9808" s="8" t="n"/>
      <c r="F9808" s="8" t="n"/>
      <c r="G9808" s="8" t="n"/>
      <c r="H9808" s="8" t="n"/>
      <c r="I9808" s="8" t="n"/>
      <c r="J9808" s="8" t="n"/>
      <c r="K9808" s="8" t="n"/>
      <c r="L9808" s="8" t="n"/>
      <c r="M9808" s="9">
        <f>B9808+30</f>
        <v/>
      </c>
      <c r="N9808">
        <f>IF(L9808="", "", L9808-B9808)</f>
        <v/>
      </c>
      <c r="O9808">
        <f>IF(L9808="", "Pending", IF(N9808&lt;=30, "Met", "Breached"))</f>
        <v/>
      </c>
      <c r="P9808" s="8" t="n"/>
      <c r="Q9808" s="8" t="n"/>
      <c r="R9808" s="8" t="n"/>
      <c r="S9808" s="8" t="n"/>
      <c r="T9808" s="8" t="n"/>
      <c r="U9808" s="8" t="n"/>
      <c r="V9808" s="8" t="n"/>
      <c r="W9808" s="8" t="n"/>
      <c r="X9808" s="8" t="n"/>
      <c r="Y9808" s="8" t="n"/>
    </row>
    <row r="9809">
      <c r="A9809" s="8" t="n"/>
      <c r="B9809" s="8" t="n"/>
      <c r="C9809" s="8" t="n"/>
      <c r="D9809" s="8" t="n"/>
      <c r="E9809" s="8" t="n"/>
      <c r="F9809" s="8" t="n"/>
      <c r="G9809" s="8" t="n"/>
      <c r="H9809" s="8" t="n"/>
      <c r="I9809" s="8" t="n"/>
      <c r="J9809" s="8" t="n"/>
      <c r="K9809" s="8" t="n"/>
      <c r="L9809" s="8" t="n"/>
      <c r="M9809" s="9">
        <f>B9809+30</f>
        <v/>
      </c>
      <c r="N9809">
        <f>IF(L9809="", "", L9809-B9809)</f>
        <v/>
      </c>
      <c r="O9809">
        <f>IF(L9809="", "Pending", IF(N9809&lt;=30, "Met", "Breached"))</f>
        <v/>
      </c>
      <c r="P9809" s="8" t="n"/>
      <c r="Q9809" s="8" t="n"/>
      <c r="R9809" s="8" t="n"/>
      <c r="S9809" s="8" t="n"/>
      <c r="T9809" s="8" t="n"/>
      <c r="U9809" s="8" t="n"/>
      <c r="V9809" s="8" t="n"/>
      <c r="W9809" s="8" t="n"/>
      <c r="X9809" s="8" t="n"/>
      <c r="Y9809" s="8" t="n"/>
    </row>
    <row r="9810">
      <c r="A9810" s="8" t="n"/>
      <c r="B9810" s="8" t="n"/>
      <c r="C9810" s="8" t="n"/>
      <c r="D9810" s="8" t="n"/>
      <c r="E9810" s="8" t="n"/>
      <c r="F9810" s="8" t="n"/>
      <c r="G9810" s="8" t="n"/>
      <c r="H9810" s="8" t="n"/>
      <c r="I9810" s="8" t="n"/>
      <c r="J9810" s="8" t="n"/>
      <c r="K9810" s="8" t="n"/>
      <c r="L9810" s="8" t="n"/>
      <c r="M9810" s="9">
        <f>B9810+30</f>
        <v/>
      </c>
      <c r="N9810">
        <f>IF(L9810="", "", L9810-B9810)</f>
        <v/>
      </c>
      <c r="O9810">
        <f>IF(L9810="", "Pending", IF(N9810&lt;=30, "Met", "Breached"))</f>
        <v/>
      </c>
      <c r="P9810" s="8" t="n"/>
      <c r="Q9810" s="8" t="n"/>
      <c r="R9810" s="8" t="n"/>
      <c r="S9810" s="8" t="n"/>
      <c r="T9810" s="8" t="n"/>
      <c r="U9810" s="8" t="n"/>
      <c r="V9810" s="8" t="n"/>
      <c r="W9810" s="8" t="n"/>
      <c r="X9810" s="8" t="n"/>
      <c r="Y9810" s="8" t="n"/>
    </row>
    <row r="9811">
      <c r="A9811" s="8" t="n"/>
      <c r="B9811" s="8" t="n"/>
      <c r="C9811" s="8" t="n"/>
      <c r="D9811" s="8" t="n"/>
      <c r="E9811" s="8" t="n"/>
      <c r="F9811" s="8" t="n"/>
      <c r="G9811" s="8" t="n"/>
      <c r="H9811" s="8" t="n"/>
      <c r="I9811" s="8" t="n"/>
      <c r="J9811" s="8" t="n"/>
      <c r="K9811" s="8" t="n"/>
      <c r="L9811" s="8" t="n"/>
      <c r="M9811" s="9">
        <f>B9811+30</f>
        <v/>
      </c>
      <c r="N9811">
        <f>IF(L9811="", "", L9811-B9811)</f>
        <v/>
      </c>
      <c r="O9811">
        <f>IF(L9811="", "Pending", IF(N9811&lt;=30, "Met", "Breached"))</f>
        <v/>
      </c>
      <c r="P9811" s="8" t="n"/>
      <c r="Q9811" s="8" t="n"/>
      <c r="R9811" s="8" t="n"/>
      <c r="S9811" s="8" t="n"/>
      <c r="T9811" s="8" t="n"/>
      <c r="U9811" s="8" t="n"/>
      <c r="V9811" s="8" t="n"/>
      <c r="W9811" s="8" t="n"/>
      <c r="X9811" s="8" t="n"/>
      <c r="Y9811" s="8" t="n"/>
    </row>
    <row r="9812">
      <c r="A9812" s="8" t="n"/>
      <c r="B9812" s="8" t="n"/>
      <c r="C9812" s="8" t="n"/>
      <c r="D9812" s="8" t="n"/>
      <c r="E9812" s="8" t="n"/>
      <c r="F9812" s="8" t="n"/>
      <c r="G9812" s="8" t="n"/>
      <c r="H9812" s="8" t="n"/>
      <c r="I9812" s="8" t="n"/>
      <c r="J9812" s="8" t="n"/>
      <c r="K9812" s="8" t="n"/>
      <c r="L9812" s="8" t="n"/>
      <c r="M9812" s="9">
        <f>B9812+30</f>
        <v/>
      </c>
      <c r="N9812">
        <f>IF(L9812="", "", L9812-B9812)</f>
        <v/>
      </c>
      <c r="O9812">
        <f>IF(L9812="", "Pending", IF(N9812&lt;=30, "Met", "Breached"))</f>
        <v/>
      </c>
      <c r="P9812" s="8" t="n"/>
      <c r="Q9812" s="8" t="n"/>
      <c r="R9812" s="8" t="n"/>
      <c r="S9812" s="8" t="n"/>
      <c r="T9812" s="8" t="n"/>
      <c r="U9812" s="8" t="n"/>
      <c r="V9812" s="8" t="n"/>
      <c r="W9812" s="8" t="n"/>
      <c r="X9812" s="8" t="n"/>
      <c r="Y9812" s="8" t="n"/>
    </row>
    <row r="9813">
      <c r="A9813" s="8" t="n"/>
      <c r="B9813" s="8" t="n"/>
      <c r="C9813" s="8" t="n"/>
      <c r="D9813" s="8" t="n"/>
      <c r="E9813" s="8" t="n"/>
      <c r="F9813" s="8" t="n"/>
      <c r="G9813" s="8" t="n"/>
      <c r="H9813" s="8" t="n"/>
      <c r="I9813" s="8" t="n"/>
      <c r="J9813" s="8" t="n"/>
      <c r="K9813" s="8" t="n"/>
      <c r="L9813" s="8" t="n"/>
      <c r="M9813" s="9">
        <f>B9813+30</f>
        <v/>
      </c>
      <c r="N9813">
        <f>IF(L9813="", "", L9813-B9813)</f>
        <v/>
      </c>
      <c r="O9813">
        <f>IF(L9813="", "Pending", IF(N9813&lt;=30, "Met", "Breached"))</f>
        <v/>
      </c>
      <c r="P9813" s="8" t="n"/>
      <c r="Q9813" s="8" t="n"/>
      <c r="R9813" s="8" t="n"/>
      <c r="S9813" s="8" t="n"/>
      <c r="T9813" s="8" t="n"/>
      <c r="U9813" s="8" t="n"/>
      <c r="V9813" s="8" t="n"/>
      <c r="W9813" s="8" t="n"/>
      <c r="X9813" s="8" t="n"/>
      <c r="Y9813" s="8" t="n"/>
    </row>
    <row r="9814">
      <c r="A9814" s="8" t="n"/>
      <c r="B9814" s="8" t="n"/>
      <c r="C9814" s="8" t="n"/>
      <c r="D9814" s="8" t="n"/>
      <c r="E9814" s="8" t="n"/>
      <c r="F9814" s="8" t="n"/>
      <c r="G9814" s="8" t="n"/>
      <c r="H9814" s="8" t="n"/>
      <c r="I9814" s="8" t="n"/>
      <c r="J9814" s="8" t="n"/>
      <c r="K9814" s="8" t="n"/>
      <c r="L9814" s="8" t="n"/>
      <c r="M9814" s="9">
        <f>B9814+30</f>
        <v/>
      </c>
      <c r="N9814">
        <f>IF(L9814="", "", L9814-B9814)</f>
        <v/>
      </c>
      <c r="O9814">
        <f>IF(L9814="", "Pending", IF(N9814&lt;=30, "Met", "Breached"))</f>
        <v/>
      </c>
      <c r="P9814" s="8" t="n"/>
      <c r="Q9814" s="8" t="n"/>
      <c r="R9814" s="8" t="n"/>
      <c r="S9814" s="8" t="n"/>
      <c r="T9814" s="8" t="n"/>
      <c r="U9814" s="8" t="n"/>
      <c r="V9814" s="8" t="n"/>
      <c r="W9814" s="8" t="n"/>
      <c r="X9814" s="8" t="n"/>
      <c r="Y9814" s="8" t="n"/>
    </row>
    <row r="9815">
      <c r="A9815" s="8" t="n"/>
      <c r="B9815" s="8" t="n"/>
      <c r="C9815" s="8" t="n"/>
      <c r="D9815" s="8" t="n"/>
      <c r="E9815" s="8" t="n"/>
      <c r="F9815" s="8" t="n"/>
      <c r="G9815" s="8" t="n"/>
      <c r="H9815" s="8" t="n"/>
      <c r="I9815" s="8" t="n"/>
      <c r="J9815" s="8" t="n"/>
      <c r="K9815" s="8" t="n"/>
      <c r="L9815" s="8" t="n"/>
      <c r="M9815" s="9">
        <f>B9815+30</f>
        <v/>
      </c>
      <c r="N9815">
        <f>IF(L9815="", "", L9815-B9815)</f>
        <v/>
      </c>
      <c r="O9815">
        <f>IF(L9815="", "Pending", IF(N9815&lt;=30, "Met", "Breached"))</f>
        <v/>
      </c>
      <c r="P9815" s="8" t="n"/>
      <c r="Q9815" s="8" t="n"/>
      <c r="R9815" s="8" t="n"/>
      <c r="S9815" s="8" t="n"/>
      <c r="T9815" s="8" t="n"/>
      <c r="U9815" s="8" t="n"/>
      <c r="V9815" s="8" t="n"/>
      <c r="W9815" s="8" t="n"/>
      <c r="X9815" s="8" t="n"/>
      <c r="Y9815" s="8" t="n"/>
    </row>
    <row r="9816">
      <c r="A9816" s="8" t="n"/>
      <c r="B9816" s="8" t="n"/>
      <c r="C9816" s="8" t="n"/>
      <c r="D9816" s="8" t="n"/>
      <c r="E9816" s="8" t="n"/>
      <c r="F9816" s="8" t="n"/>
      <c r="G9816" s="8" t="n"/>
      <c r="H9816" s="8" t="n"/>
      <c r="I9816" s="8" t="n"/>
      <c r="J9816" s="8" t="n"/>
      <c r="K9816" s="8" t="n"/>
      <c r="L9816" s="8" t="n"/>
      <c r="M9816" s="9">
        <f>B9816+30</f>
        <v/>
      </c>
      <c r="N9816">
        <f>IF(L9816="", "", L9816-B9816)</f>
        <v/>
      </c>
      <c r="O9816">
        <f>IF(L9816="", "Pending", IF(N9816&lt;=30, "Met", "Breached"))</f>
        <v/>
      </c>
      <c r="P9816" s="8" t="n"/>
      <c r="Q9816" s="8" t="n"/>
      <c r="R9816" s="8" t="n"/>
      <c r="S9816" s="8" t="n"/>
      <c r="T9816" s="8" t="n"/>
      <c r="U9816" s="8" t="n"/>
      <c r="V9816" s="8" t="n"/>
      <c r="W9816" s="8" t="n"/>
      <c r="X9816" s="8" t="n"/>
      <c r="Y9816" s="8" t="n"/>
    </row>
    <row r="9817">
      <c r="A9817" s="8" t="n"/>
      <c r="B9817" s="8" t="n"/>
      <c r="C9817" s="8" t="n"/>
      <c r="D9817" s="8" t="n"/>
      <c r="E9817" s="8" t="n"/>
      <c r="F9817" s="8" t="n"/>
      <c r="G9817" s="8" t="n"/>
      <c r="H9817" s="8" t="n"/>
      <c r="I9817" s="8" t="n"/>
      <c r="J9817" s="8" t="n"/>
      <c r="K9817" s="8" t="n"/>
      <c r="L9817" s="8" t="n"/>
      <c r="M9817" s="9">
        <f>B9817+30</f>
        <v/>
      </c>
      <c r="N9817">
        <f>IF(L9817="", "", L9817-B9817)</f>
        <v/>
      </c>
      <c r="O9817">
        <f>IF(L9817="", "Pending", IF(N9817&lt;=30, "Met", "Breached"))</f>
        <v/>
      </c>
      <c r="P9817" s="8" t="n"/>
      <c r="Q9817" s="8" t="n"/>
      <c r="R9817" s="8" t="n"/>
      <c r="S9817" s="8" t="n"/>
      <c r="T9817" s="8" t="n"/>
      <c r="U9817" s="8" t="n"/>
      <c r="V9817" s="8" t="n"/>
      <c r="W9817" s="8" t="n"/>
      <c r="X9817" s="8" t="n"/>
      <c r="Y9817" s="8" t="n"/>
    </row>
    <row r="9818">
      <c r="A9818" s="8" t="n"/>
      <c r="B9818" s="8" t="n"/>
      <c r="C9818" s="8" t="n"/>
      <c r="D9818" s="8" t="n"/>
      <c r="E9818" s="8" t="n"/>
      <c r="F9818" s="8" t="n"/>
      <c r="G9818" s="8" t="n"/>
      <c r="H9818" s="8" t="n"/>
      <c r="I9818" s="8" t="n"/>
      <c r="J9818" s="8" t="n"/>
      <c r="K9818" s="8" t="n"/>
      <c r="L9818" s="8" t="n"/>
      <c r="M9818" s="9">
        <f>B9818+30</f>
        <v/>
      </c>
      <c r="N9818">
        <f>IF(L9818="", "", L9818-B9818)</f>
        <v/>
      </c>
      <c r="O9818">
        <f>IF(L9818="", "Pending", IF(N9818&lt;=30, "Met", "Breached"))</f>
        <v/>
      </c>
      <c r="P9818" s="8" t="n"/>
      <c r="Q9818" s="8" t="n"/>
      <c r="R9818" s="8" t="n"/>
      <c r="S9818" s="8" t="n"/>
      <c r="T9818" s="8" t="n"/>
      <c r="U9818" s="8" t="n"/>
      <c r="V9818" s="8" t="n"/>
      <c r="W9818" s="8" t="n"/>
      <c r="X9818" s="8" t="n"/>
      <c r="Y9818" s="8" t="n"/>
    </row>
    <row r="9819">
      <c r="A9819" s="8" t="n"/>
      <c r="B9819" s="8" t="n"/>
      <c r="C9819" s="8" t="n"/>
      <c r="D9819" s="8" t="n"/>
      <c r="E9819" s="8" t="n"/>
      <c r="F9819" s="8" t="n"/>
      <c r="G9819" s="8" t="n"/>
      <c r="H9819" s="8" t="n"/>
      <c r="I9819" s="8" t="n"/>
      <c r="J9819" s="8" t="n"/>
      <c r="K9819" s="8" t="n"/>
      <c r="L9819" s="8" t="n"/>
      <c r="M9819" s="9">
        <f>B9819+30</f>
        <v/>
      </c>
      <c r="N9819">
        <f>IF(L9819="", "", L9819-B9819)</f>
        <v/>
      </c>
      <c r="O9819">
        <f>IF(L9819="", "Pending", IF(N9819&lt;=30, "Met", "Breached"))</f>
        <v/>
      </c>
      <c r="P9819" s="8" t="n"/>
      <c r="Q9819" s="8" t="n"/>
      <c r="R9819" s="8" t="n"/>
      <c r="S9819" s="8" t="n"/>
      <c r="T9819" s="8" t="n"/>
      <c r="U9819" s="8" t="n"/>
      <c r="V9819" s="8" t="n"/>
      <c r="W9819" s="8" t="n"/>
      <c r="X9819" s="8" t="n"/>
      <c r="Y9819" s="8" t="n"/>
    </row>
    <row r="9820">
      <c r="A9820" s="8" t="n"/>
      <c r="B9820" s="8" t="n"/>
      <c r="C9820" s="8" t="n"/>
      <c r="D9820" s="8" t="n"/>
      <c r="E9820" s="8" t="n"/>
      <c r="F9820" s="8" t="n"/>
      <c r="G9820" s="8" t="n"/>
      <c r="H9820" s="8" t="n"/>
      <c r="I9820" s="8" t="n"/>
      <c r="J9820" s="8" t="n"/>
      <c r="K9820" s="8" t="n"/>
      <c r="L9820" s="8" t="n"/>
      <c r="M9820" s="9">
        <f>B9820+30</f>
        <v/>
      </c>
      <c r="N9820">
        <f>IF(L9820="", "", L9820-B9820)</f>
        <v/>
      </c>
      <c r="O9820">
        <f>IF(L9820="", "Pending", IF(N9820&lt;=30, "Met", "Breached"))</f>
        <v/>
      </c>
      <c r="P9820" s="8" t="n"/>
      <c r="Q9820" s="8" t="n"/>
      <c r="R9820" s="8" t="n"/>
      <c r="S9820" s="8" t="n"/>
      <c r="T9820" s="8" t="n"/>
      <c r="U9820" s="8" t="n"/>
      <c r="V9820" s="8" t="n"/>
      <c r="W9820" s="8" t="n"/>
      <c r="X9820" s="8" t="n"/>
      <c r="Y9820" s="8" t="n"/>
    </row>
    <row r="9821">
      <c r="A9821" s="8" t="n"/>
      <c r="B9821" s="8" t="n"/>
      <c r="C9821" s="8" t="n"/>
      <c r="D9821" s="8" t="n"/>
      <c r="E9821" s="8" t="n"/>
      <c r="F9821" s="8" t="n"/>
      <c r="G9821" s="8" t="n"/>
      <c r="H9821" s="8" t="n"/>
      <c r="I9821" s="8" t="n"/>
      <c r="J9821" s="8" t="n"/>
      <c r="K9821" s="8" t="n"/>
      <c r="L9821" s="8" t="n"/>
      <c r="M9821" s="9">
        <f>B9821+30</f>
        <v/>
      </c>
      <c r="N9821">
        <f>IF(L9821="", "", L9821-B9821)</f>
        <v/>
      </c>
      <c r="O9821">
        <f>IF(L9821="", "Pending", IF(N9821&lt;=30, "Met", "Breached"))</f>
        <v/>
      </c>
      <c r="P9821" s="8" t="n"/>
      <c r="Q9821" s="8" t="n"/>
      <c r="R9821" s="8" t="n"/>
      <c r="S9821" s="8" t="n"/>
      <c r="T9821" s="8" t="n"/>
      <c r="U9821" s="8" t="n"/>
      <c r="V9821" s="8" t="n"/>
      <c r="W9821" s="8" t="n"/>
      <c r="X9821" s="8" t="n"/>
      <c r="Y9821" s="8" t="n"/>
    </row>
    <row r="9822">
      <c r="A9822" s="8" t="n"/>
      <c r="B9822" s="8" t="n"/>
      <c r="C9822" s="8" t="n"/>
      <c r="D9822" s="8" t="n"/>
      <c r="E9822" s="8" t="n"/>
      <c r="F9822" s="8" t="n"/>
      <c r="G9822" s="8" t="n"/>
      <c r="H9822" s="8" t="n"/>
      <c r="I9822" s="8" t="n"/>
      <c r="J9822" s="8" t="n"/>
      <c r="K9822" s="8" t="n"/>
      <c r="L9822" s="8" t="n"/>
      <c r="M9822" s="9">
        <f>B9822+30</f>
        <v/>
      </c>
      <c r="N9822">
        <f>IF(L9822="", "", L9822-B9822)</f>
        <v/>
      </c>
      <c r="O9822">
        <f>IF(L9822="", "Pending", IF(N9822&lt;=30, "Met", "Breached"))</f>
        <v/>
      </c>
      <c r="P9822" s="8" t="n"/>
      <c r="Q9822" s="8" t="n"/>
      <c r="R9822" s="8" t="n"/>
      <c r="S9822" s="8" t="n"/>
      <c r="T9822" s="8" t="n"/>
      <c r="U9822" s="8" t="n"/>
      <c r="V9822" s="8" t="n"/>
      <c r="W9822" s="8" t="n"/>
      <c r="X9822" s="8" t="n"/>
      <c r="Y9822" s="8" t="n"/>
    </row>
    <row r="9823">
      <c r="A9823" s="8" t="n"/>
      <c r="B9823" s="8" t="n"/>
      <c r="C9823" s="8" t="n"/>
      <c r="D9823" s="8" t="n"/>
      <c r="E9823" s="8" t="n"/>
      <c r="F9823" s="8" t="n"/>
      <c r="G9823" s="8" t="n"/>
      <c r="H9823" s="8" t="n"/>
      <c r="I9823" s="8" t="n"/>
      <c r="J9823" s="8" t="n"/>
      <c r="K9823" s="8" t="n"/>
      <c r="L9823" s="8" t="n"/>
      <c r="M9823" s="9">
        <f>B9823+30</f>
        <v/>
      </c>
      <c r="N9823">
        <f>IF(L9823="", "", L9823-B9823)</f>
        <v/>
      </c>
      <c r="O9823">
        <f>IF(L9823="", "Pending", IF(N9823&lt;=30, "Met", "Breached"))</f>
        <v/>
      </c>
      <c r="P9823" s="8" t="n"/>
      <c r="Q9823" s="8" t="n"/>
      <c r="R9823" s="8" t="n"/>
      <c r="S9823" s="8" t="n"/>
      <c r="T9823" s="8" t="n"/>
      <c r="U9823" s="8" t="n"/>
      <c r="V9823" s="8" t="n"/>
      <c r="W9823" s="8" t="n"/>
      <c r="X9823" s="8" t="n"/>
      <c r="Y9823" s="8" t="n"/>
    </row>
    <row r="9824">
      <c r="A9824" s="8" t="n"/>
      <c r="B9824" s="8" t="n"/>
      <c r="C9824" s="8" t="n"/>
      <c r="D9824" s="8" t="n"/>
      <c r="E9824" s="8" t="n"/>
      <c r="F9824" s="8" t="n"/>
      <c r="G9824" s="8" t="n"/>
      <c r="H9824" s="8" t="n"/>
      <c r="I9824" s="8" t="n"/>
      <c r="J9824" s="8" t="n"/>
      <c r="K9824" s="8" t="n"/>
      <c r="L9824" s="8" t="n"/>
      <c r="M9824" s="9">
        <f>B9824+30</f>
        <v/>
      </c>
      <c r="N9824">
        <f>IF(L9824="", "", L9824-B9824)</f>
        <v/>
      </c>
      <c r="O9824">
        <f>IF(L9824="", "Pending", IF(N9824&lt;=30, "Met", "Breached"))</f>
        <v/>
      </c>
      <c r="P9824" s="8" t="n"/>
      <c r="Q9824" s="8" t="n"/>
      <c r="R9824" s="8" t="n"/>
      <c r="S9824" s="8" t="n"/>
      <c r="T9824" s="8" t="n"/>
      <c r="U9824" s="8" t="n"/>
      <c r="V9824" s="8" t="n"/>
      <c r="W9824" s="8" t="n"/>
      <c r="X9824" s="8" t="n"/>
      <c r="Y9824" s="8" t="n"/>
    </row>
    <row r="9825">
      <c r="A9825" s="8" t="n"/>
      <c r="B9825" s="8" t="n"/>
      <c r="C9825" s="8" t="n"/>
      <c r="D9825" s="8" t="n"/>
      <c r="E9825" s="8" t="n"/>
      <c r="F9825" s="8" t="n"/>
      <c r="G9825" s="8" t="n"/>
      <c r="H9825" s="8" t="n"/>
      <c r="I9825" s="8" t="n"/>
      <c r="J9825" s="8" t="n"/>
      <c r="K9825" s="8" t="n"/>
      <c r="L9825" s="8" t="n"/>
      <c r="M9825" s="9">
        <f>B9825+30</f>
        <v/>
      </c>
      <c r="N9825">
        <f>IF(L9825="", "", L9825-B9825)</f>
        <v/>
      </c>
      <c r="O9825">
        <f>IF(L9825="", "Pending", IF(N9825&lt;=30, "Met", "Breached"))</f>
        <v/>
      </c>
      <c r="P9825" s="8" t="n"/>
      <c r="Q9825" s="8" t="n"/>
      <c r="R9825" s="8" t="n"/>
      <c r="S9825" s="8" t="n"/>
      <c r="T9825" s="8" t="n"/>
      <c r="U9825" s="8" t="n"/>
      <c r="V9825" s="8" t="n"/>
      <c r="W9825" s="8" t="n"/>
      <c r="X9825" s="8" t="n"/>
      <c r="Y9825" s="8" t="n"/>
    </row>
    <row r="9826">
      <c r="A9826" s="8" t="n"/>
      <c r="B9826" s="8" t="n"/>
      <c r="C9826" s="8" t="n"/>
      <c r="D9826" s="8" t="n"/>
      <c r="E9826" s="8" t="n"/>
      <c r="F9826" s="8" t="n"/>
      <c r="G9826" s="8" t="n"/>
      <c r="H9826" s="8" t="n"/>
      <c r="I9826" s="8" t="n"/>
      <c r="J9826" s="8" t="n"/>
      <c r="K9826" s="8" t="n"/>
      <c r="L9826" s="8" t="n"/>
      <c r="M9826" s="9">
        <f>B9826+30</f>
        <v/>
      </c>
      <c r="N9826">
        <f>IF(L9826="", "", L9826-B9826)</f>
        <v/>
      </c>
      <c r="O9826">
        <f>IF(L9826="", "Pending", IF(N9826&lt;=30, "Met", "Breached"))</f>
        <v/>
      </c>
      <c r="P9826" s="8" t="n"/>
      <c r="Q9826" s="8" t="n"/>
      <c r="R9826" s="8" t="n"/>
      <c r="S9826" s="8" t="n"/>
      <c r="T9826" s="8" t="n"/>
      <c r="U9826" s="8" t="n"/>
      <c r="V9826" s="8" t="n"/>
      <c r="W9826" s="8" t="n"/>
      <c r="X9826" s="8" t="n"/>
      <c r="Y9826" s="8" t="n"/>
    </row>
    <row r="9827">
      <c r="A9827" s="8" t="n"/>
      <c r="B9827" s="8" t="n"/>
      <c r="C9827" s="8" t="n"/>
      <c r="D9827" s="8" t="n"/>
      <c r="E9827" s="8" t="n"/>
      <c r="F9827" s="8" t="n"/>
      <c r="G9827" s="8" t="n"/>
      <c r="H9827" s="8" t="n"/>
      <c r="I9827" s="8" t="n"/>
      <c r="J9827" s="8" t="n"/>
      <c r="K9827" s="8" t="n"/>
      <c r="L9827" s="8" t="n"/>
      <c r="M9827" s="9">
        <f>B9827+30</f>
        <v/>
      </c>
      <c r="N9827">
        <f>IF(L9827="", "", L9827-B9827)</f>
        <v/>
      </c>
      <c r="O9827">
        <f>IF(L9827="", "Pending", IF(N9827&lt;=30, "Met", "Breached"))</f>
        <v/>
      </c>
      <c r="P9827" s="8" t="n"/>
      <c r="Q9827" s="8" t="n"/>
      <c r="R9827" s="8" t="n"/>
      <c r="S9827" s="8" t="n"/>
      <c r="T9827" s="8" t="n"/>
      <c r="U9827" s="8" t="n"/>
      <c r="V9827" s="8" t="n"/>
      <c r="W9827" s="8" t="n"/>
      <c r="X9827" s="8" t="n"/>
      <c r="Y9827" s="8" t="n"/>
    </row>
    <row r="9828">
      <c r="A9828" s="8" t="n"/>
      <c r="B9828" s="8" t="n"/>
      <c r="C9828" s="8" t="n"/>
      <c r="D9828" s="8" t="n"/>
      <c r="E9828" s="8" t="n"/>
      <c r="F9828" s="8" t="n"/>
      <c r="G9828" s="8" t="n"/>
      <c r="H9828" s="8" t="n"/>
      <c r="I9828" s="8" t="n"/>
      <c r="J9828" s="8" t="n"/>
      <c r="K9828" s="8" t="n"/>
      <c r="L9828" s="8" t="n"/>
      <c r="M9828" s="9">
        <f>B9828+30</f>
        <v/>
      </c>
      <c r="N9828">
        <f>IF(L9828="", "", L9828-B9828)</f>
        <v/>
      </c>
      <c r="O9828">
        <f>IF(L9828="", "Pending", IF(N9828&lt;=30, "Met", "Breached"))</f>
        <v/>
      </c>
      <c r="P9828" s="8" t="n"/>
      <c r="Q9828" s="8" t="n"/>
      <c r="R9828" s="8" t="n"/>
      <c r="S9828" s="8" t="n"/>
      <c r="T9828" s="8" t="n"/>
      <c r="U9828" s="8" t="n"/>
      <c r="V9828" s="8" t="n"/>
      <c r="W9828" s="8" t="n"/>
      <c r="X9828" s="8" t="n"/>
      <c r="Y9828" s="8" t="n"/>
    </row>
    <row r="9829">
      <c r="A9829" s="8" t="n"/>
      <c r="B9829" s="8" t="n"/>
      <c r="C9829" s="8" t="n"/>
      <c r="D9829" s="8" t="n"/>
      <c r="E9829" s="8" t="n"/>
      <c r="F9829" s="8" t="n"/>
      <c r="G9829" s="8" t="n"/>
      <c r="H9829" s="8" t="n"/>
      <c r="I9829" s="8" t="n"/>
      <c r="J9829" s="8" t="n"/>
      <c r="K9829" s="8" t="n"/>
      <c r="L9829" s="8" t="n"/>
      <c r="M9829" s="9">
        <f>B9829+30</f>
        <v/>
      </c>
      <c r="N9829">
        <f>IF(L9829="", "", L9829-B9829)</f>
        <v/>
      </c>
      <c r="O9829">
        <f>IF(L9829="", "Pending", IF(N9829&lt;=30, "Met", "Breached"))</f>
        <v/>
      </c>
      <c r="P9829" s="8" t="n"/>
      <c r="Q9829" s="8" t="n"/>
      <c r="R9829" s="8" t="n"/>
      <c r="S9829" s="8" t="n"/>
      <c r="T9829" s="8" t="n"/>
      <c r="U9829" s="8" t="n"/>
      <c r="V9829" s="8" t="n"/>
      <c r="W9829" s="8" t="n"/>
      <c r="X9829" s="8" t="n"/>
      <c r="Y9829" s="8" t="n"/>
    </row>
    <row r="9830">
      <c r="A9830" s="8" t="n"/>
      <c r="B9830" s="8" t="n"/>
      <c r="C9830" s="8" t="n"/>
      <c r="D9830" s="8" t="n"/>
      <c r="E9830" s="8" t="n"/>
      <c r="F9830" s="8" t="n"/>
      <c r="G9830" s="8" t="n"/>
      <c r="H9830" s="8" t="n"/>
      <c r="I9830" s="8" t="n"/>
      <c r="J9830" s="8" t="n"/>
      <c r="K9830" s="8" t="n"/>
      <c r="L9830" s="8" t="n"/>
      <c r="M9830" s="9">
        <f>B9830+30</f>
        <v/>
      </c>
      <c r="N9830">
        <f>IF(L9830="", "", L9830-B9830)</f>
        <v/>
      </c>
      <c r="O9830">
        <f>IF(L9830="", "Pending", IF(N9830&lt;=30, "Met", "Breached"))</f>
        <v/>
      </c>
      <c r="P9830" s="8" t="n"/>
      <c r="Q9830" s="8" t="n"/>
      <c r="R9830" s="8" t="n"/>
      <c r="S9830" s="8" t="n"/>
      <c r="T9830" s="8" t="n"/>
      <c r="U9830" s="8" t="n"/>
      <c r="V9830" s="8" t="n"/>
      <c r="W9830" s="8" t="n"/>
      <c r="X9830" s="8" t="n"/>
      <c r="Y9830" s="8" t="n"/>
    </row>
    <row r="9831">
      <c r="A9831" s="8" t="n"/>
      <c r="B9831" s="8" t="n"/>
      <c r="C9831" s="8" t="n"/>
      <c r="D9831" s="8" t="n"/>
      <c r="E9831" s="8" t="n"/>
      <c r="F9831" s="8" t="n"/>
      <c r="G9831" s="8" t="n"/>
      <c r="H9831" s="8" t="n"/>
      <c r="I9831" s="8" t="n"/>
      <c r="J9831" s="8" t="n"/>
      <c r="K9831" s="8" t="n"/>
      <c r="L9831" s="8" t="n"/>
      <c r="M9831" s="9">
        <f>B9831+30</f>
        <v/>
      </c>
      <c r="N9831">
        <f>IF(L9831="", "", L9831-B9831)</f>
        <v/>
      </c>
      <c r="O9831">
        <f>IF(L9831="", "Pending", IF(N9831&lt;=30, "Met", "Breached"))</f>
        <v/>
      </c>
      <c r="P9831" s="8" t="n"/>
      <c r="Q9831" s="8" t="n"/>
      <c r="R9831" s="8" t="n"/>
      <c r="S9831" s="8" t="n"/>
      <c r="T9831" s="8" t="n"/>
      <c r="U9831" s="8" t="n"/>
      <c r="V9831" s="8" t="n"/>
      <c r="W9831" s="8" t="n"/>
      <c r="X9831" s="8" t="n"/>
      <c r="Y9831" s="8" t="n"/>
    </row>
    <row r="9832">
      <c r="A9832" s="8" t="n"/>
      <c r="B9832" s="8" t="n"/>
      <c r="C9832" s="8" t="n"/>
      <c r="D9832" s="8" t="n"/>
      <c r="E9832" s="8" t="n"/>
      <c r="F9832" s="8" t="n"/>
      <c r="G9832" s="8" t="n"/>
      <c r="H9832" s="8" t="n"/>
      <c r="I9832" s="8" t="n"/>
      <c r="J9832" s="8" t="n"/>
      <c r="K9832" s="8" t="n"/>
      <c r="L9832" s="8" t="n"/>
      <c r="M9832" s="9">
        <f>B9832+30</f>
        <v/>
      </c>
      <c r="N9832">
        <f>IF(L9832="", "", L9832-B9832)</f>
        <v/>
      </c>
      <c r="O9832">
        <f>IF(L9832="", "Pending", IF(N9832&lt;=30, "Met", "Breached"))</f>
        <v/>
      </c>
      <c r="P9832" s="8" t="n"/>
      <c r="Q9832" s="8" t="n"/>
      <c r="R9832" s="8" t="n"/>
      <c r="S9832" s="8" t="n"/>
      <c r="T9832" s="8" t="n"/>
      <c r="U9832" s="8" t="n"/>
      <c r="V9832" s="8" t="n"/>
      <c r="W9832" s="8" t="n"/>
      <c r="X9832" s="8" t="n"/>
      <c r="Y9832" s="8" t="n"/>
    </row>
    <row r="9833">
      <c r="A9833" s="8" t="n"/>
      <c r="B9833" s="8" t="n"/>
      <c r="C9833" s="8" t="n"/>
      <c r="D9833" s="8" t="n"/>
      <c r="E9833" s="8" t="n"/>
      <c r="F9833" s="8" t="n"/>
      <c r="G9833" s="8" t="n"/>
      <c r="H9833" s="8" t="n"/>
      <c r="I9833" s="8" t="n"/>
      <c r="J9833" s="8" t="n"/>
      <c r="K9833" s="8" t="n"/>
      <c r="L9833" s="8" t="n"/>
      <c r="M9833" s="9">
        <f>B9833+30</f>
        <v/>
      </c>
      <c r="N9833">
        <f>IF(L9833="", "", L9833-B9833)</f>
        <v/>
      </c>
      <c r="O9833">
        <f>IF(L9833="", "Pending", IF(N9833&lt;=30, "Met", "Breached"))</f>
        <v/>
      </c>
      <c r="P9833" s="8" t="n"/>
      <c r="Q9833" s="8" t="n"/>
      <c r="R9833" s="8" t="n"/>
      <c r="S9833" s="8" t="n"/>
      <c r="T9833" s="8" t="n"/>
      <c r="U9833" s="8" t="n"/>
      <c r="V9833" s="8" t="n"/>
      <c r="W9833" s="8" t="n"/>
      <c r="X9833" s="8" t="n"/>
      <c r="Y9833" s="8" t="n"/>
    </row>
    <row r="9834">
      <c r="A9834" s="8" t="n"/>
      <c r="B9834" s="8" t="n"/>
      <c r="C9834" s="8" t="n"/>
      <c r="D9834" s="8" t="n"/>
      <c r="E9834" s="8" t="n"/>
      <c r="F9834" s="8" t="n"/>
      <c r="G9834" s="8" t="n"/>
      <c r="H9834" s="8" t="n"/>
      <c r="I9834" s="8" t="n"/>
      <c r="J9834" s="8" t="n"/>
      <c r="K9834" s="8" t="n"/>
      <c r="L9834" s="8" t="n"/>
      <c r="M9834" s="9">
        <f>B9834+30</f>
        <v/>
      </c>
      <c r="N9834">
        <f>IF(L9834="", "", L9834-B9834)</f>
        <v/>
      </c>
      <c r="O9834">
        <f>IF(L9834="", "Pending", IF(N9834&lt;=30, "Met", "Breached"))</f>
        <v/>
      </c>
      <c r="P9834" s="8" t="n"/>
      <c r="Q9834" s="8" t="n"/>
      <c r="R9834" s="8" t="n"/>
      <c r="S9834" s="8" t="n"/>
      <c r="T9834" s="8" t="n"/>
      <c r="U9834" s="8" t="n"/>
      <c r="V9834" s="8" t="n"/>
      <c r="W9834" s="8" t="n"/>
      <c r="X9834" s="8" t="n"/>
      <c r="Y9834" s="8" t="n"/>
    </row>
    <row r="9835">
      <c r="A9835" s="8" t="n"/>
      <c r="B9835" s="8" t="n"/>
      <c r="C9835" s="8" t="n"/>
      <c r="D9835" s="8" t="n"/>
      <c r="E9835" s="8" t="n"/>
      <c r="F9835" s="8" t="n"/>
      <c r="G9835" s="8" t="n"/>
      <c r="H9835" s="8" t="n"/>
      <c r="I9835" s="8" t="n"/>
      <c r="J9835" s="8" t="n"/>
      <c r="K9835" s="8" t="n"/>
      <c r="L9835" s="8" t="n"/>
      <c r="M9835" s="9">
        <f>B9835+30</f>
        <v/>
      </c>
      <c r="N9835">
        <f>IF(L9835="", "", L9835-B9835)</f>
        <v/>
      </c>
      <c r="O9835">
        <f>IF(L9835="", "Pending", IF(N9835&lt;=30, "Met", "Breached"))</f>
        <v/>
      </c>
      <c r="P9835" s="8" t="n"/>
      <c r="Q9835" s="8" t="n"/>
      <c r="R9835" s="8" t="n"/>
      <c r="S9835" s="8" t="n"/>
      <c r="T9835" s="8" t="n"/>
      <c r="U9835" s="8" t="n"/>
      <c r="V9835" s="8" t="n"/>
      <c r="W9835" s="8" t="n"/>
      <c r="X9835" s="8" t="n"/>
      <c r="Y9835" s="8" t="n"/>
    </row>
    <row r="9836">
      <c r="A9836" s="8" t="n"/>
      <c r="B9836" s="8" t="n"/>
      <c r="C9836" s="8" t="n"/>
      <c r="D9836" s="8" t="n"/>
      <c r="E9836" s="8" t="n"/>
      <c r="F9836" s="8" t="n"/>
      <c r="G9836" s="8" t="n"/>
      <c r="H9836" s="8" t="n"/>
      <c r="I9836" s="8" t="n"/>
      <c r="J9836" s="8" t="n"/>
      <c r="K9836" s="8" t="n"/>
      <c r="L9836" s="8" t="n"/>
      <c r="M9836" s="9">
        <f>B9836+30</f>
        <v/>
      </c>
      <c r="N9836">
        <f>IF(L9836="", "", L9836-B9836)</f>
        <v/>
      </c>
      <c r="O9836">
        <f>IF(L9836="", "Pending", IF(N9836&lt;=30, "Met", "Breached"))</f>
        <v/>
      </c>
      <c r="P9836" s="8" t="n"/>
      <c r="Q9836" s="8" t="n"/>
      <c r="R9836" s="8" t="n"/>
      <c r="S9836" s="8" t="n"/>
      <c r="T9836" s="8" t="n"/>
      <c r="U9836" s="8" t="n"/>
      <c r="V9836" s="8" t="n"/>
      <c r="W9836" s="8" t="n"/>
      <c r="X9836" s="8" t="n"/>
      <c r="Y9836" s="8" t="n"/>
    </row>
    <row r="9837">
      <c r="A9837" s="8" t="n"/>
      <c r="B9837" s="8" t="n"/>
      <c r="C9837" s="8" t="n"/>
      <c r="D9837" s="8" t="n"/>
      <c r="E9837" s="8" t="n"/>
      <c r="F9837" s="8" t="n"/>
      <c r="G9837" s="8" t="n"/>
      <c r="H9837" s="8" t="n"/>
      <c r="I9837" s="8" t="n"/>
      <c r="J9837" s="8" t="n"/>
      <c r="K9837" s="8" t="n"/>
      <c r="L9837" s="8" t="n"/>
      <c r="M9837" s="9">
        <f>B9837+30</f>
        <v/>
      </c>
      <c r="N9837">
        <f>IF(L9837="", "", L9837-B9837)</f>
        <v/>
      </c>
      <c r="O9837">
        <f>IF(L9837="", "Pending", IF(N9837&lt;=30, "Met", "Breached"))</f>
        <v/>
      </c>
      <c r="P9837" s="8" t="n"/>
      <c r="Q9837" s="8" t="n"/>
      <c r="R9837" s="8" t="n"/>
      <c r="S9837" s="8" t="n"/>
      <c r="T9837" s="8" t="n"/>
      <c r="U9837" s="8" t="n"/>
      <c r="V9837" s="8" t="n"/>
      <c r="W9837" s="8" t="n"/>
      <c r="X9837" s="8" t="n"/>
      <c r="Y9837" s="8" t="n"/>
    </row>
    <row r="9838">
      <c r="A9838" s="8" t="n"/>
      <c r="B9838" s="8" t="n"/>
      <c r="C9838" s="8" t="n"/>
      <c r="D9838" s="8" t="n"/>
      <c r="E9838" s="8" t="n"/>
      <c r="F9838" s="8" t="n"/>
      <c r="G9838" s="8" t="n"/>
      <c r="H9838" s="8" t="n"/>
      <c r="I9838" s="8" t="n"/>
      <c r="J9838" s="8" t="n"/>
      <c r="K9838" s="8" t="n"/>
      <c r="L9838" s="8" t="n"/>
      <c r="M9838" s="9">
        <f>B9838+30</f>
        <v/>
      </c>
      <c r="N9838">
        <f>IF(L9838="", "", L9838-B9838)</f>
        <v/>
      </c>
      <c r="O9838">
        <f>IF(L9838="", "Pending", IF(N9838&lt;=30, "Met", "Breached"))</f>
        <v/>
      </c>
      <c r="P9838" s="8" t="n"/>
      <c r="Q9838" s="8" t="n"/>
      <c r="R9838" s="8" t="n"/>
      <c r="S9838" s="8" t="n"/>
      <c r="T9838" s="8" t="n"/>
      <c r="U9838" s="8" t="n"/>
      <c r="V9838" s="8" t="n"/>
      <c r="W9838" s="8" t="n"/>
      <c r="X9838" s="8" t="n"/>
      <c r="Y9838" s="8" t="n"/>
    </row>
    <row r="9839">
      <c r="A9839" s="8" t="n"/>
      <c r="B9839" s="8" t="n"/>
      <c r="C9839" s="8" t="n"/>
      <c r="D9839" s="8" t="n"/>
      <c r="E9839" s="8" t="n"/>
      <c r="F9839" s="8" t="n"/>
      <c r="G9839" s="8" t="n"/>
      <c r="H9839" s="8" t="n"/>
      <c r="I9839" s="8" t="n"/>
      <c r="J9839" s="8" t="n"/>
      <c r="K9839" s="8" t="n"/>
      <c r="L9839" s="8" t="n"/>
      <c r="M9839" s="9">
        <f>B9839+30</f>
        <v/>
      </c>
      <c r="N9839">
        <f>IF(L9839="", "", L9839-B9839)</f>
        <v/>
      </c>
      <c r="O9839">
        <f>IF(L9839="", "Pending", IF(N9839&lt;=30, "Met", "Breached"))</f>
        <v/>
      </c>
      <c r="P9839" s="8" t="n"/>
      <c r="Q9839" s="8" t="n"/>
      <c r="R9839" s="8" t="n"/>
      <c r="S9839" s="8" t="n"/>
      <c r="T9839" s="8" t="n"/>
      <c r="U9839" s="8" t="n"/>
      <c r="V9839" s="8" t="n"/>
      <c r="W9839" s="8" t="n"/>
      <c r="X9839" s="8" t="n"/>
      <c r="Y9839" s="8" t="n"/>
    </row>
    <row r="9840">
      <c r="A9840" s="8" t="n"/>
      <c r="B9840" s="8" t="n"/>
      <c r="C9840" s="8" t="n"/>
      <c r="D9840" s="8" t="n"/>
      <c r="E9840" s="8" t="n"/>
      <c r="F9840" s="8" t="n"/>
      <c r="G9840" s="8" t="n"/>
      <c r="H9840" s="8" t="n"/>
      <c r="I9840" s="8" t="n"/>
      <c r="J9840" s="8" t="n"/>
      <c r="K9840" s="8" t="n"/>
      <c r="L9840" s="8" t="n"/>
      <c r="M9840" s="9">
        <f>B9840+30</f>
        <v/>
      </c>
      <c r="N9840">
        <f>IF(L9840="", "", L9840-B9840)</f>
        <v/>
      </c>
      <c r="O9840">
        <f>IF(L9840="", "Pending", IF(N9840&lt;=30, "Met", "Breached"))</f>
        <v/>
      </c>
      <c r="P9840" s="8" t="n"/>
      <c r="Q9840" s="8" t="n"/>
      <c r="R9840" s="8" t="n"/>
      <c r="S9840" s="8" t="n"/>
      <c r="T9840" s="8" t="n"/>
      <c r="U9840" s="8" t="n"/>
      <c r="V9840" s="8" t="n"/>
      <c r="W9840" s="8" t="n"/>
      <c r="X9840" s="8" t="n"/>
      <c r="Y9840" s="8" t="n"/>
    </row>
    <row r="9841">
      <c r="A9841" s="8" t="n"/>
      <c r="B9841" s="8" t="n"/>
      <c r="C9841" s="8" t="n"/>
      <c r="D9841" s="8" t="n"/>
      <c r="E9841" s="8" t="n"/>
      <c r="F9841" s="8" t="n"/>
      <c r="G9841" s="8" t="n"/>
      <c r="H9841" s="8" t="n"/>
      <c r="I9841" s="8" t="n"/>
      <c r="J9841" s="8" t="n"/>
      <c r="K9841" s="8" t="n"/>
      <c r="L9841" s="8" t="n"/>
      <c r="M9841" s="9">
        <f>B9841+30</f>
        <v/>
      </c>
      <c r="N9841">
        <f>IF(L9841="", "", L9841-B9841)</f>
        <v/>
      </c>
      <c r="O9841">
        <f>IF(L9841="", "Pending", IF(N9841&lt;=30, "Met", "Breached"))</f>
        <v/>
      </c>
      <c r="P9841" s="8" t="n"/>
      <c r="Q9841" s="8" t="n"/>
      <c r="R9841" s="8" t="n"/>
      <c r="S9841" s="8" t="n"/>
      <c r="T9841" s="8" t="n"/>
      <c r="U9841" s="8" t="n"/>
      <c r="V9841" s="8" t="n"/>
      <c r="W9841" s="8" t="n"/>
      <c r="X9841" s="8" t="n"/>
      <c r="Y9841" s="8" t="n"/>
    </row>
    <row r="9842">
      <c r="A9842" s="8" t="n"/>
      <c r="B9842" s="8" t="n"/>
      <c r="C9842" s="8" t="n"/>
      <c r="D9842" s="8" t="n"/>
      <c r="E9842" s="8" t="n"/>
      <c r="F9842" s="8" t="n"/>
      <c r="G9842" s="8" t="n"/>
      <c r="H9842" s="8" t="n"/>
      <c r="I9842" s="8" t="n"/>
      <c r="J9842" s="8" t="n"/>
      <c r="K9842" s="8" t="n"/>
      <c r="L9842" s="8" t="n"/>
      <c r="M9842" s="9">
        <f>B9842+30</f>
        <v/>
      </c>
      <c r="N9842">
        <f>IF(L9842="", "", L9842-B9842)</f>
        <v/>
      </c>
      <c r="O9842">
        <f>IF(L9842="", "Pending", IF(N9842&lt;=30, "Met", "Breached"))</f>
        <v/>
      </c>
      <c r="P9842" s="8" t="n"/>
      <c r="Q9842" s="8" t="n"/>
      <c r="R9842" s="8" t="n"/>
      <c r="S9842" s="8" t="n"/>
      <c r="T9842" s="8" t="n"/>
      <c r="U9842" s="8" t="n"/>
      <c r="V9842" s="8" t="n"/>
      <c r="W9842" s="8" t="n"/>
      <c r="X9842" s="8" t="n"/>
      <c r="Y9842" s="8" t="n"/>
    </row>
    <row r="9843">
      <c r="A9843" s="8" t="n"/>
      <c r="B9843" s="8" t="n"/>
      <c r="C9843" s="8" t="n"/>
      <c r="D9843" s="8" t="n"/>
      <c r="E9843" s="8" t="n"/>
      <c r="F9843" s="8" t="n"/>
      <c r="G9843" s="8" t="n"/>
      <c r="H9843" s="8" t="n"/>
      <c r="I9843" s="8" t="n"/>
      <c r="J9843" s="8" t="n"/>
      <c r="K9843" s="8" t="n"/>
      <c r="L9843" s="8" t="n"/>
      <c r="M9843" s="9">
        <f>B9843+30</f>
        <v/>
      </c>
      <c r="N9843">
        <f>IF(L9843="", "", L9843-B9843)</f>
        <v/>
      </c>
      <c r="O9843">
        <f>IF(L9843="", "Pending", IF(N9843&lt;=30, "Met", "Breached"))</f>
        <v/>
      </c>
      <c r="P9843" s="8" t="n"/>
      <c r="Q9843" s="8" t="n"/>
      <c r="R9843" s="8" t="n"/>
      <c r="S9843" s="8" t="n"/>
      <c r="T9843" s="8" t="n"/>
      <c r="U9843" s="8" t="n"/>
      <c r="V9843" s="8" t="n"/>
      <c r="W9843" s="8" t="n"/>
      <c r="X9843" s="8" t="n"/>
      <c r="Y9843" s="8" t="n"/>
    </row>
    <row r="9844">
      <c r="A9844" s="8" t="n"/>
      <c r="B9844" s="8" t="n"/>
      <c r="C9844" s="8" t="n"/>
      <c r="D9844" s="8" t="n"/>
      <c r="E9844" s="8" t="n"/>
      <c r="F9844" s="8" t="n"/>
      <c r="G9844" s="8" t="n"/>
      <c r="H9844" s="8" t="n"/>
      <c r="I9844" s="8" t="n"/>
      <c r="J9844" s="8" t="n"/>
      <c r="K9844" s="8" t="n"/>
      <c r="L9844" s="8" t="n"/>
      <c r="M9844" s="9">
        <f>B9844+30</f>
        <v/>
      </c>
      <c r="N9844">
        <f>IF(L9844="", "", L9844-B9844)</f>
        <v/>
      </c>
      <c r="O9844">
        <f>IF(L9844="", "Pending", IF(N9844&lt;=30, "Met", "Breached"))</f>
        <v/>
      </c>
      <c r="P9844" s="8" t="n"/>
      <c r="Q9844" s="8" t="n"/>
      <c r="R9844" s="8" t="n"/>
      <c r="S9844" s="8" t="n"/>
      <c r="T9844" s="8" t="n"/>
      <c r="U9844" s="8" t="n"/>
      <c r="V9844" s="8" t="n"/>
      <c r="W9844" s="8" t="n"/>
      <c r="X9844" s="8" t="n"/>
      <c r="Y9844" s="8" t="n"/>
    </row>
    <row r="9845">
      <c r="A9845" s="8" t="n"/>
      <c r="B9845" s="8" t="n"/>
      <c r="C9845" s="8" t="n"/>
      <c r="D9845" s="8" t="n"/>
      <c r="E9845" s="8" t="n"/>
      <c r="F9845" s="8" t="n"/>
      <c r="G9845" s="8" t="n"/>
      <c r="H9845" s="8" t="n"/>
      <c r="I9845" s="8" t="n"/>
      <c r="J9845" s="8" t="n"/>
      <c r="K9845" s="8" t="n"/>
      <c r="L9845" s="8" t="n"/>
      <c r="M9845" s="9">
        <f>B9845+30</f>
        <v/>
      </c>
      <c r="N9845">
        <f>IF(L9845="", "", L9845-B9845)</f>
        <v/>
      </c>
      <c r="O9845">
        <f>IF(L9845="", "Pending", IF(N9845&lt;=30, "Met", "Breached"))</f>
        <v/>
      </c>
      <c r="P9845" s="8" t="n"/>
      <c r="Q9845" s="8" t="n"/>
      <c r="R9845" s="8" t="n"/>
      <c r="S9845" s="8" t="n"/>
      <c r="T9845" s="8" t="n"/>
      <c r="U9845" s="8" t="n"/>
      <c r="V9845" s="8" t="n"/>
      <c r="W9845" s="8" t="n"/>
      <c r="X9845" s="8" t="n"/>
      <c r="Y9845" s="8" t="n"/>
    </row>
    <row r="9846">
      <c r="A9846" s="8" t="n"/>
      <c r="B9846" s="8" t="n"/>
      <c r="C9846" s="8" t="n"/>
      <c r="D9846" s="8" t="n"/>
      <c r="E9846" s="8" t="n"/>
      <c r="F9846" s="8" t="n"/>
      <c r="G9846" s="8" t="n"/>
      <c r="H9846" s="8" t="n"/>
      <c r="I9846" s="8" t="n"/>
      <c r="J9846" s="8" t="n"/>
      <c r="K9846" s="8" t="n"/>
      <c r="L9846" s="8" t="n"/>
      <c r="M9846" s="9">
        <f>B9846+30</f>
        <v/>
      </c>
      <c r="N9846">
        <f>IF(L9846="", "", L9846-B9846)</f>
        <v/>
      </c>
      <c r="O9846">
        <f>IF(L9846="", "Pending", IF(N9846&lt;=30, "Met", "Breached"))</f>
        <v/>
      </c>
      <c r="P9846" s="8" t="n"/>
      <c r="Q9846" s="8" t="n"/>
      <c r="R9846" s="8" t="n"/>
      <c r="S9846" s="8" t="n"/>
      <c r="T9846" s="8" t="n"/>
      <c r="U9846" s="8" t="n"/>
      <c r="V9846" s="8" t="n"/>
      <c r="W9846" s="8" t="n"/>
      <c r="X9846" s="8" t="n"/>
      <c r="Y9846" s="8" t="n"/>
    </row>
    <row r="9847">
      <c r="A9847" s="8" t="n"/>
      <c r="B9847" s="8" t="n"/>
      <c r="C9847" s="8" t="n"/>
      <c r="D9847" s="8" t="n"/>
      <c r="E9847" s="8" t="n"/>
      <c r="F9847" s="8" t="n"/>
      <c r="G9847" s="8" t="n"/>
      <c r="H9847" s="8" t="n"/>
      <c r="I9847" s="8" t="n"/>
      <c r="J9847" s="8" t="n"/>
      <c r="K9847" s="8" t="n"/>
      <c r="L9847" s="8" t="n"/>
      <c r="M9847" s="9">
        <f>B9847+30</f>
        <v/>
      </c>
      <c r="N9847">
        <f>IF(L9847="", "", L9847-B9847)</f>
        <v/>
      </c>
      <c r="O9847">
        <f>IF(L9847="", "Pending", IF(N9847&lt;=30, "Met", "Breached"))</f>
        <v/>
      </c>
      <c r="P9847" s="8" t="n"/>
      <c r="Q9847" s="8" t="n"/>
      <c r="R9847" s="8" t="n"/>
      <c r="S9847" s="8" t="n"/>
      <c r="T9847" s="8" t="n"/>
      <c r="U9847" s="8" t="n"/>
      <c r="V9847" s="8" t="n"/>
      <c r="W9847" s="8" t="n"/>
      <c r="X9847" s="8" t="n"/>
      <c r="Y9847" s="8" t="n"/>
    </row>
    <row r="9848">
      <c r="A9848" s="8" t="n"/>
      <c r="B9848" s="8" t="n"/>
      <c r="C9848" s="8" t="n"/>
      <c r="D9848" s="8" t="n"/>
      <c r="E9848" s="8" t="n"/>
      <c r="F9848" s="8" t="n"/>
      <c r="G9848" s="8" t="n"/>
      <c r="H9848" s="8" t="n"/>
      <c r="I9848" s="8" t="n"/>
      <c r="J9848" s="8" t="n"/>
      <c r="K9848" s="8" t="n"/>
      <c r="L9848" s="8" t="n"/>
      <c r="M9848" s="9">
        <f>B9848+30</f>
        <v/>
      </c>
      <c r="N9848">
        <f>IF(L9848="", "", L9848-B9848)</f>
        <v/>
      </c>
      <c r="O9848">
        <f>IF(L9848="", "Pending", IF(N9848&lt;=30, "Met", "Breached"))</f>
        <v/>
      </c>
      <c r="P9848" s="8" t="n"/>
      <c r="Q9848" s="8" t="n"/>
      <c r="R9848" s="8" t="n"/>
      <c r="S9848" s="8" t="n"/>
      <c r="T9848" s="8" t="n"/>
      <c r="U9848" s="8" t="n"/>
      <c r="V9848" s="8" t="n"/>
      <c r="W9848" s="8" t="n"/>
      <c r="X9848" s="8" t="n"/>
      <c r="Y9848" s="8" t="n"/>
    </row>
    <row r="9849">
      <c r="A9849" s="8" t="n"/>
      <c r="B9849" s="8" t="n"/>
      <c r="C9849" s="8" t="n"/>
      <c r="D9849" s="8" t="n"/>
      <c r="E9849" s="8" t="n"/>
      <c r="F9849" s="8" t="n"/>
      <c r="G9849" s="8" t="n"/>
      <c r="H9849" s="8" t="n"/>
      <c r="I9849" s="8" t="n"/>
      <c r="J9849" s="8" t="n"/>
      <c r="K9849" s="8" t="n"/>
      <c r="L9849" s="8" t="n"/>
      <c r="M9849" s="9">
        <f>B9849+30</f>
        <v/>
      </c>
      <c r="N9849">
        <f>IF(L9849="", "", L9849-B9849)</f>
        <v/>
      </c>
      <c r="O9849">
        <f>IF(L9849="", "Pending", IF(N9849&lt;=30, "Met", "Breached"))</f>
        <v/>
      </c>
      <c r="P9849" s="8" t="n"/>
      <c r="Q9849" s="8" t="n"/>
      <c r="R9849" s="8" t="n"/>
      <c r="S9849" s="8" t="n"/>
      <c r="T9849" s="8" t="n"/>
      <c r="U9849" s="8" t="n"/>
      <c r="V9849" s="8" t="n"/>
      <c r="W9849" s="8" t="n"/>
      <c r="X9849" s="8" t="n"/>
      <c r="Y9849" s="8" t="n"/>
    </row>
    <row r="9850">
      <c r="A9850" s="8" t="n"/>
      <c r="B9850" s="8" t="n"/>
      <c r="C9850" s="8" t="n"/>
      <c r="D9850" s="8" t="n"/>
      <c r="E9850" s="8" t="n"/>
      <c r="F9850" s="8" t="n"/>
      <c r="G9850" s="8" t="n"/>
      <c r="H9850" s="8" t="n"/>
      <c r="I9850" s="8" t="n"/>
      <c r="J9850" s="8" t="n"/>
      <c r="K9850" s="8" t="n"/>
      <c r="L9850" s="8" t="n"/>
      <c r="M9850" s="9">
        <f>B9850+30</f>
        <v/>
      </c>
      <c r="N9850">
        <f>IF(L9850="", "", L9850-B9850)</f>
        <v/>
      </c>
      <c r="O9850">
        <f>IF(L9850="", "Pending", IF(N9850&lt;=30, "Met", "Breached"))</f>
        <v/>
      </c>
      <c r="P9850" s="8" t="n"/>
      <c r="Q9850" s="8" t="n"/>
      <c r="R9850" s="8" t="n"/>
      <c r="S9850" s="8" t="n"/>
      <c r="T9850" s="8" t="n"/>
      <c r="U9850" s="8" t="n"/>
      <c r="V9850" s="8" t="n"/>
      <c r="W9850" s="8" t="n"/>
      <c r="X9850" s="8" t="n"/>
      <c r="Y9850" s="8" t="n"/>
    </row>
    <row r="9851">
      <c r="A9851" s="8" t="n"/>
      <c r="B9851" s="8" t="n"/>
      <c r="C9851" s="8" t="n"/>
      <c r="D9851" s="8" t="n"/>
      <c r="E9851" s="8" t="n"/>
      <c r="F9851" s="8" t="n"/>
      <c r="G9851" s="8" t="n"/>
      <c r="H9851" s="8" t="n"/>
      <c r="I9851" s="8" t="n"/>
      <c r="J9851" s="8" t="n"/>
      <c r="K9851" s="8" t="n"/>
      <c r="L9851" s="8" t="n"/>
      <c r="M9851" s="9">
        <f>B9851+30</f>
        <v/>
      </c>
      <c r="N9851">
        <f>IF(L9851="", "", L9851-B9851)</f>
        <v/>
      </c>
      <c r="O9851">
        <f>IF(L9851="", "Pending", IF(N9851&lt;=30, "Met", "Breached"))</f>
        <v/>
      </c>
      <c r="P9851" s="8" t="n"/>
      <c r="Q9851" s="8" t="n"/>
      <c r="R9851" s="8" t="n"/>
      <c r="S9851" s="8" t="n"/>
      <c r="T9851" s="8" t="n"/>
      <c r="U9851" s="8" t="n"/>
      <c r="V9851" s="8" t="n"/>
      <c r="W9851" s="8" t="n"/>
      <c r="X9851" s="8" t="n"/>
      <c r="Y9851" s="8" t="n"/>
    </row>
    <row r="9852">
      <c r="A9852" s="8" t="n"/>
      <c r="B9852" s="8" t="n"/>
      <c r="C9852" s="8" t="n"/>
      <c r="D9852" s="8" t="n"/>
      <c r="E9852" s="8" t="n"/>
      <c r="F9852" s="8" t="n"/>
      <c r="G9852" s="8" t="n"/>
      <c r="H9852" s="8" t="n"/>
      <c r="I9852" s="8" t="n"/>
      <c r="J9852" s="8" t="n"/>
      <c r="K9852" s="8" t="n"/>
      <c r="L9852" s="8" t="n"/>
      <c r="M9852" s="9">
        <f>B9852+30</f>
        <v/>
      </c>
      <c r="N9852">
        <f>IF(L9852="", "", L9852-B9852)</f>
        <v/>
      </c>
      <c r="O9852">
        <f>IF(L9852="", "Pending", IF(N9852&lt;=30, "Met", "Breached"))</f>
        <v/>
      </c>
      <c r="P9852" s="8" t="n"/>
      <c r="Q9852" s="8" t="n"/>
      <c r="R9852" s="8" t="n"/>
      <c r="S9852" s="8" t="n"/>
      <c r="T9852" s="8" t="n"/>
      <c r="U9852" s="8" t="n"/>
      <c r="V9852" s="8" t="n"/>
      <c r="W9852" s="8" t="n"/>
      <c r="X9852" s="8" t="n"/>
      <c r="Y9852" s="8" t="n"/>
    </row>
    <row r="9853">
      <c r="A9853" s="8" t="n"/>
      <c r="B9853" s="8" t="n"/>
      <c r="C9853" s="8" t="n"/>
      <c r="D9853" s="8" t="n"/>
      <c r="E9853" s="8" t="n"/>
      <c r="F9853" s="8" t="n"/>
      <c r="G9853" s="8" t="n"/>
      <c r="H9853" s="8" t="n"/>
      <c r="I9853" s="8" t="n"/>
      <c r="J9853" s="8" t="n"/>
      <c r="K9853" s="8" t="n"/>
      <c r="L9853" s="8" t="n"/>
      <c r="M9853" s="9">
        <f>B9853+30</f>
        <v/>
      </c>
      <c r="N9853">
        <f>IF(L9853="", "", L9853-B9853)</f>
        <v/>
      </c>
      <c r="O9853">
        <f>IF(L9853="", "Pending", IF(N9853&lt;=30, "Met", "Breached"))</f>
        <v/>
      </c>
      <c r="P9853" s="8" t="n"/>
      <c r="Q9853" s="8" t="n"/>
      <c r="R9853" s="8" t="n"/>
      <c r="S9853" s="8" t="n"/>
      <c r="T9853" s="8" t="n"/>
      <c r="U9853" s="8" t="n"/>
      <c r="V9853" s="8" t="n"/>
      <c r="W9853" s="8" t="n"/>
      <c r="X9853" s="8" t="n"/>
      <c r="Y9853" s="8" t="n"/>
    </row>
    <row r="9854">
      <c r="A9854" s="8" t="n"/>
      <c r="B9854" s="8" t="n"/>
      <c r="C9854" s="8" t="n"/>
      <c r="D9854" s="8" t="n"/>
      <c r="E9854" s="8" t="n"/>
      <c r="F9854" s="8" t="n"/>
      <c r="G9854" s="8" t="n"/>
      <c r="H9854" s="8" t="n"/>
      <c r="I9854" s="8" t="n"/>
      <c r="J9854" s="8" t="n"/>
      <c r="K9854" s="8" t="n"/>
      <c r="L9854" s="8" t="n"/>
      <c r="M9854" s="9">
        <f>B9854+30</f>
        <v/>
      </c>
      <c r="N9854">
        <f>IF(L9854="", "", L9854-B9854)</f>
        <v/>
      </c>
      <c r="O9854">
        <f>IF(L9854="", "Pending", IF(N9854&lt;=30, "Met", "Breached"))</f>
        <v/>
      </c>
      <c r="P9854" s="8" t="n"/>
      <c r="Q9854" s="8" t="n"/>
      <c r="R9854" s="8" t="n"/>
      <c r="S9854" s="8" t="n"/>
      <c r="T9854" s="8" t="n"/>
      <c r="U9854" s="8" t="n"/>
      <c r="V9854" s="8" t="n"/>
      <c r="W9854" s="8" t="n"/>
      <c r="X9854" s="8" t="n"/>
      <c r="Y9854" s="8" t="n"/>
    </row>
    <row r="9855">
      <c r="A9855" s="8" t="n"/>
      <c r="B9855" s="8" t="n"/>
      <c r="C9855" s="8" t="n"/>
      <c r="D9855" s="8" t="n"/>
      <c r="E9855" s="8" t="n"/>
      <c r="F9855" s="8" t="n"/>
      <c r="G9855" s="8" t="n"/>
      <c r="H9855" s="8" t="n"/>
      <c r="I9855" s="8" t="n"/>
      <c r="J9855" s="8" t="n"/>
      <c r="K9855" s="8" t="n"/>
      <c r="L9855" s="8" t="n"/>
      <c r="M9855" s="9">
        <f>B9855+30</f>
        <v/>
      </c>
      <c r="N9855">
        <f>IF(L9855="", "", L9855-B9855)</f>
        <v/>
      </c>
      <c r="O9855">
        <f>IF(L9855="", "Pending", IF(N9855&lt;=30, "Met", "Breached"))</f>
        <v/>
      </c>
      <c r="P9855" s="8" t="n"/>
      <c r="Q9855" s="8" t="n"/>
      <c r="R9855" s="8" t="n"/>
      <c r="S9855" s="8" t="n"/>
      <c r="T9855" s="8" t="n"/>
      <c r="U9855" s="8" t="n"/>
      <c r="V9855" s="8" t="n"/>
      <c r="W9855" s="8" t="n"/>
      <c r="X9855" s="8" t="n"/>
      <c r="Y9855" s="8" t="n"/>
    </row>
    <row r="9856">
      <c r="A9856" s="8" t="n"/>
      <c r="B9856" s="8" t="n"/>
      <c r="C9856" s="8" t="n"/>
      <c r="D9856" s="8" t="n"/>
      <c r="E9856" s="8" t="n"/>
      <c r="F9856" s="8" t="n"/>
      <c r="G9856" s="8" t="n"/>
      <c r="H9856" s="8" t="n"/>
      <c r="I9856" s="8" t="n"/>
      <c r="J9856" s="8" t="n"/>
      <c r="K9856" s="8" t="n"/>
      <c r="L9856" s="8" t="n"/>
      <c r="M9856" s="9">
        <f>B9856+30</f>
        <v/>
      </c>
      <c r="N9856">
        <f>IF(L9856="", "", L9856-B9856)</f>
        <v/>
      </c>
      <c r="O9856">
        <f>IF(L9856="", "Pending", IF(N9856&lt;=30, "Met", "Breached"))</f>
        <v/>
      </c>
      <c r="P9856" s="8" t="n"/>
      <c r="Q9856" s="8" t="n"/>
      <c r="R9856" s="8" t="n"/>
      <c r="S9856" s="8" t="n"/>
      <c r="T9856" s="8" t="n"/>
      <c r="U9856" s="8" t="n"/>
      <c r="V9856" s="8" t="n"/>
      <c r="W9856" s="8" t="n"/>
      <c r="X9856" s="8" t="n"/>
      <c r="Y9856" s="8" t="n"/>
    </row>
    <row r="9857">
      <c r="A9857" s="8" t="n"/>
      <c r="B9857" s="8" t="n"/>
      <c r="C9857" s="8" t="n"/>
      <c r="D9857" s="8" t="n"/>
      <c r="E9857" s="8" t="n"/>
      <c r="F9857" s="8" t="n"/>
      <c r="G9857" s="8" t="n"/>
      <c r="H9857" s="8" t="n"/>
      <c r="I9857" s="8" t="n"/>
      <c r="J9857" s="8" t="n"/>
      <c r="K9857" s="8" t="n"/>
      <c r="L9857" s="8" t="n"/>
      <c r="M9857" s="9">
        <f>B9857+30</f>
        <v/>
      </c>
      <c r="N9857">
        <f>IF(L9857="", "", L9857-B9857)</f>
        <v/>
      </c>
      <c r="O9857">
        <f>IF(L9857="", "Pending", IF(N9857&lt;=30, "Met", "Breached"))</f>
        <v/>
      </c>
      <c r="P9857" s="8" t="n"/>
      <c r="Q9857" s="8" t="n"/>
      <c r="R9857" s="8" t="n"/>
      <c r="S9857" s="8" t="n"/>
      <c r="T9857" s="8" t="n"/>
      <c r="U9857" s="8" t="n"/>
      <c r="V9857" s="8" t="n"/>
      <c r="W9857" s="8" t="n"/>
      <c r="X9857" s="8" t="n"/>
      <c r="Y9857" s="8" t="n"/>
    </row>
    <row r="9858">
      <c r="A9858" s="8" t="n"/>
      <c r="B9858" s="8" t="n"/>
      <c r="C9858" s="8" t="n"/>
      <c r="D9858" s="8" t="n"/>
      <c r="E9858" s="8" t="n"/>
      <c r="F9858" s="8" t="n"/>
      <c r="G9858" s="8" t="n"/>
      <c r="H9858" s="8" t="n"/>
      <c r="I9858" s="8" t="n"/>
      <c r="J9858" s="8" t="n"/>
      <c r="K9858" s="8" t="n"/>
      <c r="L9858" s="8" t="n"/>
      <c r="M9858" s="9">
        <f>B9858+30</f>
        <v/>
      </c>
      <c r="N9858">
        <f>IF(L9858="", "", L9858-B9858)</f>
        <v/>
      </c>
      <c r="O9858">
        <f>IF(L9858="", "Pending", IF(N9858&lt;=30, "Met", "Breached"))</f>
        <v/>
      </c>
      <c r="P9858" s="8" t="n"/>
      <c r="Q9858" s="8" t="n"/>
      <c r="R9858" s="8" t="n"/>
      <c r="S9858" s="8" t="n"/>
      <c r="T9858" s="8" t="n"/>
      <c r="U9858" s="8" t="n"/>
      <c r="V9858" s="8" t="n"/>
      <c r="W9858" s="8" t="n"/>
      <c r="X9858" s="8" t="n"/>
      <c r="Y9858" s="8" t="n"/>
    </row>
    <row r="9859">
      <c r="A9859" s="8" t="n"/>
      <c r="B9859" s="8" t="n"/>
      <c r="C9859" s="8" t="n"/>
      <c r="D9859" s="8" t="n"/>
      <c r="E9859" s="8" t="n"/>
      <c r="F9859" s="8" t="n"/>
      <c r="G9859" s="8" t="n"/>
      <c r="H9859" s="8" t="n"/>
      <c r="I9859" s="8" t="n"/>
      <c r="J9859" s="8" t="n"/>
      <c r="K9859" s="8" t="n"/>
      <c r="L9859" s="8" t="n"/>
      <c r="M9859" s="9">
        <f>B9859+30</f>
        <v/>
      </c>
      <c r="N9859">
        <f>IF(L9859="", "", L9859-B9859)</f>
        <v/>
      </c>
      <c r="O9859">
        <f>IF(L9859="", "Pending", IF(N9859&lt;=30, "Met", "Breached"))</f>
        <v/>
      </c>
      <c r="P9859" s="8" t="n"/>
      <c r="Q9859" s="8" t="n"/>
      <c r="R9859" s="8" t="n"/>
      <c r="S9859" s="8" t="n"/>
      <c r="T9859" s="8" t="n"/>
      <c r="U9859" s="8" t="n"/>
      <c r="V9859" s="8" t="n"/>
      <c r="W9859" s="8" t="n"/>
      <c r="X9859" s="8" t="n"/>
      <c r="Y9859" s="8" t="n"/>
    </row>
    <row r="9860">
      <c r="A9860" s="8" t="n"/>
      <c r="B9860" s="8" t="n"/>
      <c r="C9860" s="8" t="n"/>
      <c r="D9860" s="8" t="n"/>
      <c r="E9860" s="8" t="n"/>
      <c r="F9860" s="8" t="n"/>
      <c r="G9860" s="8" t="n"/>
      <c r="H9860" s="8" t="n"/>
      <c r="I9860" s="8" t="n"/>
      <c r="J9860" s="8" t="n"/>
      <c r="K9860" s="8" t="n"/>
      <c r="L9860" s="8" t="n"/>
      <c r="M9860" s="9">
        <f>B9860+30</f>
        <v/>
      </c>
      <c r="N9860">
        <f>IF(L9860="", "", L9860-B9860)</f>
        <v/>
      </c>
      <c r="O9860">
        <f>IF(L9860="", "Pending", IF(N9860&lt;=30, "Met", "Breached"))</f>
        <v/>
      </c>
      <c r="P9860" s="8" t="n"/>
      <c r="Q9860" s="8" t="n"/>
      <c r="R9860" s="8" t="n"/>
      <c r="S9860" s="8" t="n"/>
      <c r="T9860" s="8" t="n"/>
      <c r="U9860" s="8" t="n"/>
      <c r="V9860" s="8" t="n"/>
      <c r="W9860" s="8" t="n"/>
      <c r="X9860" s="8" t="n"/>
      <c r="Y9860" s="8" t="n"/>
    </row>
    <row r="9861">
      <c r="A9861" s="8" t="n"/>
      <c r="B9861" s="8" t="n"/>
      <c r="C9861" s="8" t="n"/>
      <c r="D9861" s="8" t="n"/>
      <c r="E9861" s="8" t="n"/>
      <c r="F9861" s="8" t="n"/>
      <c r="G9861" s="8" t="n"/>
      <c r="H9861" s="8" t="n"/>
      <c r="I9861" s="8" t="n"/>
      <c r="J9861" s="8" t="n"/>
      <c r="K9861" s="8" t="n"/>
      <c r="L9861" s="8" t="n"/>
      <c r="M9861" s="9">
        <f>B9861+30</f>
        <v/>
      </c>
      <c r="N9861">
        <f>IF(L9861="", "", L9861-B9861)</f>
        <v/>
      </c>
      <c r="O9861">
        <f>IF(L9861="", "Pending", IF(N9861&lt;=30, "Met", "Breached"))</f>
        <v/>
      </c>
      <c r="P9861" s="8" t="n"/>
      <c r="Q9861" s="8" t="n"/>
      <c r="R9861" s="8" t="n"/>
      <c r="S9861" s="8" t="n"/>
      <c r="T9861" s="8" t="n"/>
      <c r="U9861" s="8" t="n"/>
      <c r="V9861" s="8" t="n"/>
      <c r="W9861" s="8" t="n"/>
      <c r="X9861" s="8" t="n"/>
      <c r="Y9861" s="8" t="n"/>
    </row>
    <row r="9862">
      <c r="A9862" s="8" t="n"/>
      <c r="B9862" s="8" t="n"/>
      <c r="C9862" s="8" t="n"/>
      <c r="D9862" s="8" t="n"/>
      <c r="E9862" s="8" t="n"/>
      <c r="F9862" s="8" t="n"/>
      <c r="G9862" s="8" t="n"/>
      <c r="H9862" s="8" t="n"/>
      <c r="I9862" s="8" t="n"/>
      <c r="J9862" s="8" t="n"/>
      <c r="K9862" s="8" t="n"/>
      <c r="L9862" s="8" t="n"/>
      <c r="M9862" s="9">
        <f>B9862+30</f>
        <v/>
      </c>
      <c r="N9862">
        <f>IF(L9862="", "", L9862-B9862)</f>
        <v/>
      </c>
      <c r="O9862">
        <f>IF(L9862="", "Pending", IF(N9862&lt;=30, "Met", "Breached"))</f>
        <v/>
      </c>
      <c r="P9862" s="8" t="n"/>
      <c r="Q9862" s="8" t="n"/>
      <c r="R9862" s="8" t="n"/>
      <c r="S9862" s="8" t="n"/>
      <c r="T9862" s="8" t="n"/>
      <c r="U9862" s="8" t="n"/>
      <c r="V9862" s="8" t="n"/>
      <c r="W9862" s="8" t="n"/>
      <c r="X9862" s="8" t="n"/>
      <c r="Y9862" s="8" t="n"/>
    </row>
    <row r="9863">
      <c r="A9863" s="8" t="n"/>
      <c r="B9863" s="8" t="n"/>
      <c r="C9863" s="8" t="n"/>
      <c r="D9863" s="8" t="n"/>
      <c r="E9863" s="8" t="n"/>
      <c r="F9863" s="8" t="n"/>
      <c r="G9863" s="8" t="n"/>
      <c r="H9863" s="8" t="n"/>
      <c r="I9863" s="8" t="n"/>
      <c r="J9863" s="8" t="n"/>
      <c r="K9863" s="8" t="n"/>
      <c r="L9863" s="8" t="n"/>
      <c r="M9863" s="9">
        <f>B9863+30</f>
        <v/>
      </c>
      <c r="N9863">
        <f>IF(L9863="", "", L9863-B9863)</f>
        <v/>
      </c>
      <c r="O9863">
        <f>IF(L9863="", "Pending", IF(N9863&lt;=30, "Met", "Breached"))</f>
        <v/>
      </c>
      <c r="P9863" s="8" t="n"/>
      <c r="Q9863" s="8" t="n"/>
      <c r="R9863" s="8" t="n"/>
      <c r="S9863" s="8" t="n"/>
      <c r="T9863" s="8" t="n"/>
      <c r="U9863" s="8" t="n"/>
      <c r="V9863" s="8" t="n"/>
      <c r="W9863" s="8" t="n"/>
      <c r="X9863" s="8" t="n"/>
      <c r="Y9863" s="8" t="n"/>
    </row>
    <row r="9864">
      <c r="A9864" s="8" t="n"/>
      <c r="B9864" s="8" t="n"/>
      <c r="C9864" s="8" t="n"/>
      <c r="D9864" s="8" t="n"/>
      <c r="E9864" s="8" t="n"/>
      <c r="F9864" s="8" t="n"/>
      <c r="G9864" s="8" t="n"/>
      <c r="H9864" s="8" t="n"/>
      <c r="I9864" s="8" t="n"/>
      <c r="J9864" s="8" t="n"/>
      <c r="K9864" s="8" t="n"/>
      <c r="L9864" s="8" t="n"/>
      <c r="M9864" s="9">
        <f>B9864+30</f>
        <v/>
      </c>
      <c r="N9864">
        <f>IF(L9864="", "", L9864-B9864)</f>
        <v/>
      </c>
      <c r="O9864">
        <f>IF(L9864="", "Pending", IF(N9864&lt;=30, "Met", "Breached"))</f>
        <v/>
      </c>
      <c r="P9864" s="8" t="n"/>
      <c r="Q9864" s="8" t="n"/>
      <c r="R9864" s="8" t="n"/>
      <c r="S9864" s="8" t="n"/>
      <c r="T9864" s="8" t="n"/>
      <c r="U9864" s="8" t="n"/>
      <c r="V9864" s="8" t="n"/>
      <c r="W9864" s="8" t="n"/>
      <c r="X9864" s="8" t="n"/>
      <c r="Y9864" s="8" t="n"/>
    </row>
    <row r="9865">
      <c r="A9865" s="8" t="n"/>
      <c r="B9865" s="8" t="n"/>
      <c r="C9865" s="8" t="n"/>
      <c r="D9865" s="8" t="n"/>
      <c r="E9865" s="8" t="n"/>
      <c r="F9865" s="8" t="n"/>
      <c r="G9865" s="8" t="n"/>
      <c r="H9865" s="8" t="n"/>
      <c r="I9865" s="8" t="n"/>
      <c r="J9865" s="8" t="n"/>
      <c r="K9865" s="8" t="n"/>
      <c r="L9865" s="8" t="n"/>
      <c r="M9865" s="9">
        <f>B9865+30</f>
        <v/>
      </c>
      <c r="N9865">
        <f>IF(L9865="", "", L9865-B9865)</f>
        <v/>
      </c>
      <c r="O9865">
        <f>IF(L9865="", "Pending", IF(N9865&lt;=30, "Met", "Breached"))</f>
        <v/>
      </c>
      <c r="P9865" s="8" t="n"/>
      <c r="Q9865" s="8" t="n"/>
      <c r="R9865" s="8" t="n"/>
      <c r="S9865" s="8" t="n"/>
      <c r="T9865" s="8" t="n"/>
      <c r="U9865" s="8" t="n"/>
      <c r="V9865" s="8" t="n"/>
      <c r="W9865" s="8" t="n"/>
      <c r="X9865" s="8" t="n"/>
      <c r="Y9865" s="8" t="n"/>
    </row>
    <row r="9866">
      <c r="A9866" s="8" t="n"/>
      <c r="B9866" s="8" t="n"/>
      <c r="C9866" s="8" t="n"/>
      <c r="D9866" s="8" t="n"/>
      <c r="E9866" s="8" t="n"/>
      <c r="F9866" s="8" t="n"/>
      <c r="G9866" s="8" t="n"/>
      <c r="H9866" s="8" t="n"/>
      <c r="I9866" s="8" t="n"/>
      <c r="J9866" s="8" t="n"/>
      <c r="K9866" s="8" t="n"/>
      <c r="L9866" s="8" t="n"/>
      <c r="M9866" s="9">
        <f>B9866+30</f>
        <v/>
      </c>
      <c r="N9866">
        <f>IF(L9866="", "", L9866-B9866)</f>
        <v/>
      </c>
      <c r="O9866">
        <f>IF(L9866="", "Pending", IF(N9866&lt;=30, "Met", "Breached"))</f>
        <v/>
      </c>
      <c r="P9866" s="8" t="n"/>
      <c r="Q9866" s="8" t="n"/>
      <c r="R9866" s="8" t="n"/>
      <c r="S9866" s="8" t="n"/>
      <c r="T9866" s="8" t="n"/>
      <c r="U9866" s="8" t="n"/>
      <c r="V9866" s="8" t="n"/>
      <c r="W9866" s="8" t="n"/>
      <c r="X9866" s="8" t="n"/>
      <c r="Y9866" s="8" t="n"/>
    </row>
    <row r="9867">
      <c r="A9867" s="8" t="n"/>
      <c r="B9867" s="8" t="n"/>
      <c r="C9867" s="8" t="n"/>
      <c r="D9867" s="8" t="n"/>
      <c r="E9867" s="8" t="n"/>
      <c r="F9867" s="8" t="n"/>
      <c r="G9867" s="8" t="n"/>
      <c r="H9867" s="8" t="n"/>
      <c r="I9867" s="8" t="n"/>
      <c r="J9867" s="8" t="n"/>
      <c r="K9867" s="8" t="n"/>
      <c r="L9867" s="8" t="n"/>
      <c r="M9867" s="9">
        <f>B9867+30</f>
        <v/>
      </c>
      <c r="N9867">
        <f>IF(L9867="", "", L9867-B9867)</f>
        <v/>
      </c>
      <c r="O9867">
        <f>IF(L9867="", "Pending", IF(N9867&lt;=30, "Met", "Breached"))</f>
        <v/>
      </c>
      <c r="P9867" s="8" t="n"/>
      <c r="Q9867" s="8" t="n"/>
      <c r="R9867" s="8" t="n"/>
      <c r="S9867" s="8" t="n"/>
      <c r="T9867" s="8" t="n"/>
      <c r="U9867" s="8" t="n"/>
      <c r="V9867" s="8" t="n"/>
      <c r="W9867" s="8" t="n"/>
      <c r="X9867" s="8" t="n"/>
      <c r="Y9867" s="8" t="n"/>
    </row>
    <row r="9868">
      <c r="A9868" s="8" t="n"/>
      <c r="B9868" s="8" t="n"/>
      <c r="C9868" s="8" t="n"/>
      <c r="D9868" s="8" t="n"/>
      <c r="E9868" s="8" t="n"/>
      <c r="F9868" s="8" t="n"/>
      <c r="G9868" s="8" t="n"/>
      <c r="H9868" s="8" t="n"/>
      <c r="I9868" s="8" t="n"/>
      <c r="J9868" s="8" t="n"/>
      <c r="K9868" s="8" t="n"/>
      <c r="L9868" s="8" t="n"/>
      <c r="M9868" s="9">
        <f>B9868+30</f>
        <v/>
      </c>
      <c r="N9868">
        <f>IF(L9868="", "", L9868-B9868)</f>
        <v/>
      </c>
      <c r="O9868">
        <f>IF(L9868="", "Pending", IF(N9868&lt;=30, "Met", "Breached"))</f>
        <v/>
      </c>
      <c r="P9868" s="8" t="n"/>
      <c r="Q9868" s="8" t="n"/>
      <c r="R9868" s="8" t="n"/>
      <c r="S9868" s="8" t="n"/>
      <c r="T9868" s="8" t="n"/>
      <c r="U9868" s="8" t="n"/>
      <c r="V9868" s="8" t="n"/>
      <c r="W9868" s="8" t="n"/>
      <c r="X9868" s="8" t="n"/>
      <c r="Y9868" s="8" t="n"/>
    </row>
    <row r="9869">
      <c r="A9869" s="8" t="n"/>
      <c r="B9869" s="8" t="n"/>
      <c r="C9869" s="8" t="n"/>
      <c r="D9869" s="8" t="n"/>
      <c r="E9869" s="8" t="n"/>
      <c r="F9869" s="8" t="n"/>
      <c r="G9869" s="8" t="n"/>
      <c r="H9869" s="8" t="n"/>
      <c r="I9869" s="8" t="n"/>
      <c r="J9869" s="8" t="n"/>
      <c r="K9869" s="8" t="n"/>
      <c r="L9869" s="8" t="n"/>
      <c r="M9869" s="9">
        <f>B9869+30</f>
        <v/>
      </c>
      <c r="N9869">
        <f>IF(L9869="", "", L9869-B9869)</f>
        <v/>
      </c>
      <c r="O9869">
        <f>IF(L9869="", "Pending", IF(N9869&lt;=30, "Met", "Breached"))</f>
        <v/>
      </c>
      <c r="P9869" s="8" t="n"/>
      <c r="Q9869" s="8" t="n"/>
      <c r="R9869" s="8" t="n"/>
      <c r="S9869" s="8" t="n"/>
      <c r="T9869" s="8" t="n"/>
      <c r="U9869" s="8" t="n"/>
      <c r="V9869" s="8" t="n"/>
      <c r="W9869" s="8" t="n"/>
      <c r="X9869" s="8" t="n"/>
      <c r="Y9869" s="8" t="n"/>
    </row>
    <row r="9870">
      <c r="A9870" s="8" t="n"/>
      <c r="B9870" s="8" t="n"/>
      <c r="C9870" s="8" t="n"/>
      <c r="D9870" s="8" t="n"/>
      <c r="E9870" s="8" t="n"/>
      <c r="F9870" s="8" t="n"/>
      <c r="G9870" s="8" t="n"/>
      <c r="H9870" s="8" t="n"/>
      <c r="I9870" s="8" t="n"/>
      <c r="J9870" s="8" t="n"/>
      <c r="K9870" s="8" t="n"/>
      <c r="L9870" s="8" t="n"/>
      <c r="M9870" s="9">
        <f>B9870+30</f>
        <v/>
      </c>
      <c r="N9870">
        <f>IF(L9870="", "", L9870-B9870)</f>
        <v/>
      </c>
      <c r="O9870">
        <f>IF(L9870="", "Pending", IF(N9870&lt;=30, "Met", "Breached"))</f>
        <v/>
      </c>
      <c r="P9870" s="8" t="n"/>
      <c r="Q9870" s="8" t="n"/>
      <c r="R9870" s="8" t="n"/>
      <c r="S9870" s="8" t="n"/>
      <c r="T9870" s="8" t="n"/>
      <c r="U9870" s="8" t="n"/>
      <c r="V9870" s="8" t="n"/>
      <c r="W9870" s="8" t="n"/>
      <c r="X9870" s="8" t="n"/>
      <c r="Y9870" s="8" t="n"/>
    </row>
    <row r="9871">
      <c r="A9871" s="8" t="n"/>
      <c r="B9871" s="8" t="n"/>
      <c r="C9871" s="8" t="n"/>
      <c r="D9871" s="8" t="n"/>
      <c r="E9871" s="8" t="n"/>
      <c r="F9871" s="8" t="n"/>
      <c r="G9871" s="8" t="n"/>
      <c r="H9871" s="8" t="n"/>
      <c r="I9871" s="8" t="n"/>
      <c r="J9871" s="8" t="n"/>
      <c r="K9871" s="8" t="n"/>
      <c r="L9871" s="8" t="n"/>
      <c r="M9871" s="9">
        <f>B9871+30</f>
        <v/>
      </c>
      <c r="N9871">
        <f>IF(L9871="", "", L9871-B9871)</f>
        <v/>
      </c>
      <c r="O9871">
        <f>IF(L9871="", "Pending", IF(N9871&lt;=30, "Met", "Breached"))</f>
        <v/>
      </c>
      <c r="P9871" s="8" t="n"/>
      <c r="Q9871" s="8" t="n"/>
      <c r="R9871" s="8" t="n"/>
      <c r="S9871" s="8" t="n"/>
      <c r="T9871" s="8" t="n"/>
      <c r="U9871" s="8" t="n"/>
      <c r="V9871" s="8" t="n"/>
      <c r="W9871" s="8" t="n"/>
      <c r="X9871" s="8" t="n"/>
      <c r="Y9871" s="8" t="n"/>
    </row>
    <row r="9872">
      <c r="A9872" s="8" t="n"/>
      <c r="B9872" s="8" t="n"/>
      <c r="C9872" s="8" t="n"/>
      <c r="D9872" s="8" t="n"/>
      <c r="E9872" s="8" t="n"/>
      <c r="F9872" s="8" t="n"/>
      <c r="G9872" s="8" t="n"/>
      <c r="H9872" s="8" t="n"/>
      <c r="I9872" s="8" t="n"/>
      <c r="J9872" s="8" t="n"/>
      <c r="K9872" s="8" t="n"/>
      <c r="L9872" s="8" t="n"/>
      <c r="M9872" s="9">
        <f>B9872+30</f>
        <v/>
      </c>
      <c r="N9872">
        <f>IF(L9872="", "", L9872-B9872)</f>
        <v/>
      </c>
      <c r="O9872">
        <f>IF(L9872="", "Pending", IF(N9872&lt;=30, "Met", "Breached"))</f>
        <v/>
      </c>
      <c r="P9872" s="8" t="n"/>
      <c r="Q9872" s="8" t="n"/>
      <c r="R9872" s="8" t="n"/>
      <c r="S9872" s="8" t="n"/>
      <c r="T9872" s="8" t="n"/>
      <c r="U9872" s="8" t="n"/>
      <c r="V9872" s="8" t="n"/>
      <c r="W9872" s="8" t="n"/>
      <c r="X9872" s="8" t="n"/>
      <c r="Y9872" s="8" t="n"/>
    </row>
    <row r="9873">
      <c r="A9873" s="8" t="n"/>
      <c r="B9873" s="8" t="n"/>
      <c r="C9873" s="8" t="n"/>
      <c r="D9873" s="8" t="n"/>
      <c r="E9873" s="8" t="n"/>
      <c r="F9873" s="8" t="n"/>
      <c r="G9873" s="8" t="n"/>
      <c r="H9873" s="8" t="n"/>
      <c r="I9873" s="8" t="n"/>
      <c r="J9873" s="8" t="n"/>
      <c r="K9873" s="8" t="n"/>
      <c r="L9873" s="8" t="n"/>
      <c r="M9873" s="9">
        <f>B9873+30</f>
        <v/>
      </c>
      <c r="N9873">
        <f>IF(L9873="", "", L9873-B9873)</f>
        <v/>
      </c>
      <c r="O9873">
        <f>IF(L9873="", "Pending", IF(N9873&lt;=30, "Met", "Breached"))</f>
        <v/>
      </c>
      <c r="P9873" s="8" t="n"/>
      <c r="Q9873" s="8" t="n"/>
      <c r="R9873" s="8" t="n"/>
      <c r="S9873" s="8" t="n"/>
      <c r="T9873" s="8" t="n"/>
      <c r="U9873" s="8" t="n"/>
      <c r="V9873" s="8" t="n"/>
      <c r="W9873" s="8" t="n"/>
      <c r="X9873" s="8" t="n"/>
      <c r="Y9873" s="8" t="n"/>
    </row>
    <row r="9874">
      <c r="A9874" s="8" t="n"/>
      <c r="B9874" s="8" t="n"/>
      <c r="C9874" s="8" t="n"/>
      <c r="D9874" s="8" t="n"/>
      <c r="E9874" s="8" t="n"/>
      <c r="F9874" s="8" t="n"/>
      <c r="G9874" s="8" t="n"/>
      <c r="H9874" s="8" t="n"/>
      <c r="I9874" s="8" t="n"/>
      <c r="J9874" s="8" t="n"/>
      <c r="K9874" s="8" t="n"/>
      <c r="L9874" s="8" t="n"/>
      <c r="M9874" s="9">
        <f>B9874+30</f>
        <v/>
      </c>
      <c r="N9874">
        <f>IF(L9874="", "", L9874-B9874)</f>
        <v/>
      </c>
      <c r="O9874">
        <f>IF(L9874="", "Pending", IF(N9874&lt;=30, "Met", "Breached"))</f>
        <v/>
      </c>
      <c r="P9874" s="8" t="n"/>
      <c r="Q9874" s="8" t="n"/>
      <c r="R9874" s="8" t="n"/>
      <c r="S9874" s="8" t="n"/>
      <c r="T9874" s="8" t="n"/>
      <c r="U9874" s="8" t="n"/>
      <c r="V9874" s="8" t="n"/>
      <c r="W9874" s="8" t="n"/>
      <c r="X9874" s="8" t="n"/>
      <c r="Y9874" s="8" t="n"/>
    </row>
    <row r="9875">
      <c r="A9875" s="8" t="n"/>
      <c r="B9875" s="8" t="n"/>
      <c r="C9875" s="8" t="n"/>
      <c r="D9875" s="8" t="n"/>
      <c r="E9875" s="8" t="n"/>
      <c r="F9875" s="8" t="n"/>
      <c r="G9875" s="8" t="n"/>
      <c r="H9875" s="8" t="n"/>
      <c r="I9875" s="8" t="n"/>
      <c r="J9875" s="8" t="n"/>
      <c r="K9875" s="8" t="n"/>
      <c r="L9875" s="8" t="n"/>
      <c r="M9875" s="9">
        <f>B9875+30</f>
        <v/>
      </c>
      <c r="N9875">
        <f>IF(L9875="", "", L9875-B9875)</f>
        <v/>
      </c>
      <c r="O9875">
        <f>IF(L9875="", "Pending", IF(N9875&lt;=30, "Met", "Breached"))</f>
        <v/>
      </c>
      <c r="P9875" s="8" t="n"/>
      <c r="Q9875" s="8" t="n"/>
      <c r="R9875" s="8" t="n"/>
      <c r="S9875" s="8" t="n"/>
      <c r="T9875" s="8" t="n"/>
      <c r="U9875" s="8" t="n"/>
      <c r="V9875" s="8" t="n"/>
      <c r="W9875" s="8" t="n"/>
      <c r="X9875" s="8" t="n"/>
      <c r="Y9875" s="8" t="n"/>
    </row>
    <row r="9876">
      <c r="A9876" s="8" t="n"/>
      <c r="B9876" s="8" t="n"/>
      <c r="C9876" s="8" t="n"/>
      <c r="D9876" s="8" t="n"/>
      <c r="E9876" s="8" t="n"/>
      <c r="F9876" s="8" t="n"/>
      <c r="G9876" s="8" t="n"/>
      <c r="H9876" s="8" t="n"/>
      <c r="I9876" s="8" t="n"/>
      <c r="J9876" s="8" t="n"/>
      <c r="K9876" s="8" t="n"/>
      <c r="L9876" s="8" t="n"/>
      <c r="M9876" s="9">
        <f>B9876+30</f>
        <v/>
      </c>
      <c r="N9876">
        <f>IF(L9876="", "", L9876-B9876)</f>
        <v/>
      </c>
      <c r="O9876">
        <f>IF(L9876="", "Pending", IF(N9876&lt;=30, "Met", "Breached"))</f>
        <v/>
      </c>
      <c r="P9876" s="8" t="n"/>
      <c r="Q9876" s="8" t="n"/>
      <c r="R9876" s="8" t="n"/>
      <c r="S9876" s="8" t="n"/>
      <c r="T9876" s="8" t="n"/>
      <c r="U9876" s="8" t="n"/>
      <c r="V9876" s="8" t="n"/>
      <c r="W9876" s="8" t="n"/>
      <c r="X9876" s="8" t="n"/>
      <c r="Y9876" s="8" t="n"/>
    </row>
    <row r="9877">
      <c r="A9877" s="8" t="n"/>
      <c r="B9877" s="8" t="n"/>
      <c r="C9877" s="8" t="n"/>
      <c r="D9877" s="8" t="n"/>
      <c r="E9877" s="8" t="n"/>
      <c r="F9877" s="8" t="n"/>
      <c r="G9877" s="8" t="n"/>
      <c r="H9877" s="8" t="n"/>
      <c r="I9877" s="8" t="n"/>
      <c r="J9877" s="8" t="n"/>
      <c r="K9877" s="8" t="n"/>
      <c r="L9877" s="8" t="n"/>
      <c r="M9877" s="9">
        <f>B9877+30</f>
        <v/>
      </c>
      <c r="N9877">
        <f>IF(L9877="", "", L9877-B9877)</f>
        <v/>
      </c>
      <c r="O9877">
        <f>IF(L9877="", "Pending", IF(N9877&lt;=30, "Met", "Breached"))</f>
        <v/>
      </c>
      <c r="P9877" s="8" t="n"/>
      <c r="Q9877" s="8" t="n"/>
      <c r="R9877" s="8" t="n"/>
      <c r="S9877" s="8" t="n"/>
      <c r="T9877" s="8" t="n"/>
      <c r="U9877" s="8" t="n"/>
      <c r="V9877" s="8" t="n"/>
      <c r="W9877" s="8" t="n"/>
      <c r="X9877" s="8" t="n"/>
      <c r="Y9877" s="8" t="n"/>
    </row>
    <row r="9878">
      <c r="A9878" s="8" t="n"/>
      <c r="B9878" s="8" t="n"/>
      <c r="C9878" s="8" t="n"/>
      <c r="D9878" s="8" t="n"/>
      <c r="E9878" s="8" t="n"/>
      <c r="F9878" s="8" t="n"/>
      <c r="G9878" s="8" t="n"/>
      <c r="H9878" s="8" t="n"/>
      <c r="I9878" s="8" t="n"/>
      <c r="J9878" s="8" t="n"/>
      <c r="K9878" s="8" t="n"/>
      <c r="L9878" s="8" t="n"/>
      <c r="M9878" s="9">
        <f>B9878+30</f>
        <v/>
      </c>
      <c r="N9878">
        <f>IF(L9878="", "", L9878-B9878)</f>
        <v/>
      </c>
      <c r="O9878">
        <f>IF(L9878="", "Pending", IF(N9878&lt;=30, "Met", "Breached"))</f>
        <v/>
      </c>
      <c r="P9878" s="8" t="n"/>
      <c r="Q9878" s="8" t="n"/>
      <c r="R9878" s="8" t="n"/>
      <c r="S9878" s="8" t="n"/>
      <c r="T9878" s="8" t="n"/>
      <c r="U9878" s="8" t="n"/>
      <c r="V9878" s="8" t="n"/>
      <c r="W9878" s="8" t="n"/>
      <c r="X9878" s="8" t="n"/>
      <c r="Y9878" s="8" t="n"/>
    </row>
    <row r="9879">
      <c r="A9879" s="8" t="n"/>
      <c r="B9879" s="8" t="n"/>
      <c r="C9879" s="8" t="n"/>
      <c r="D9879" s="8" t="n"/>
      <c r="E9879" s="8" t="n"/>
      <c r="F9879" s="8" t="n"/>
      <c r="G9879" s="8" t="n"/>
      <c r="H9879" s="8" t="n"/>
      <c r="I9879" s="8" t="n"/>
      <c r="J9879" s="8" t="n"/>
      <c r="K9879" s="8" t="n"/>
      <c r="L9879" s="8" t="n"/>
      <c r="M9879" s="9">
        <f>B9879+30</f>
        <v/>
      </c>
      <c r="N9879">
        <f>IF(L9879="", "", L9879-B9879)</f>
        <v/>
      </c>
      <c r="O9879">
        <f>IF(L9879="", "Pending", IF(N9879&lt;=30, "Met", "Breached"))</f>
        <v/>
      </c>
      <c r="P9879" s="8" t="n"/>
      <c r="Q9879" s="8" t="n"/>
      <c r="R9879" s="8" t="n"/>
      <c r="S9879" s="8" t="n"/>
      <c r="T9879" s="8" t="n"/>
      <c r="U9879" s="8" t="n"/>
      <c r="V9879" s="8" t="n"/>
      <c r="W9879" s="8" t="n"/>
      <c r="X9879" s="8" t="n"/>
      <c r="Y9879" s="8" t="n"/>
    </row>
    <row r="9880">
      <c r="A9880" s="8" t="n"/>
      <c r="B9880" s="8" t="n"/>
      <c r="C9880" s="8" t="n"/>
      <c r="D9880" s="8" t="n"/>
      <c r="E9880" s="8" t="n"/>
      <c r="F9880" s="8" t="n"/>
      <c r="G9880" s="8" t="n"/>
      <c r="H9880" s="8" t="n"/>
      <c r="I9880" s="8" t="n"/>
      <c r="J9880" s="8" t="n"/>
      <c r="K9880" s="8" t="n"/>
      <c r="L9880" s="8" t="n"/>
      <c r="M9880" s="9">
        <f>B9880+30</f>
        <v/>
      </c>
      <c r="N9880">
        <f>IF(L9880="", "", L9880-B9880)</f>
        <v/>
      </c>
      <c r="O9880">
        <f>IF(L9880="", "Pending", IF(N9880&lt;=30, "Met", "Breached"))</f>
        <v/>
      </c>
      <c r="P9880" s="8" t="n"/>
      <c r="Q9880" s="8" t="n"/>
      <c r="R9880" s="8" t="n"/>
      <c r="S9880" s="8" t="n"/>
      <c r="T9880" s="8" t="n"/>
      <c r="U9880" s="8" t="n"/>
      <c r="V9880" s="8" t="n"/>
      <c r="W9880" s="8" t="n"/>
      <c r="X9880" s="8" t="n"/>
      <c r="Y9880" s="8" t="n"/>
    </row>
    <row r="9881">
      <c r="A9881" s="8" t="n"/>
      <c r="B9881" s="8" t="n"/>
      <c r="C9881" s="8" t="n"/>
      <c r="D9881" s="8" t="n"/>
      <c r="E9881" s="8" t="n"/>
      <c r="F9881" s="8" t="n"/>
      <c r="G9881" s="8" t="n"/>
      <c r="H9881" s="8" t="n"/>
      <c r="I9881" s="8" t="n"/>
      <c r="J9881" s="8" t="n"/>
      <c r="K9881" s="8" t="n"/>
      <c r="L9881" s="8" t="n"/>
      <c r="M9881" s="9">
        <f>B9881+30</f>
        <v/>
      </c>
      <c r="N9881">
        <f>IF(L9881="", "", L9881-B9881)</f>
        <v/>
      </c>
      <c r="O9881">
        <f>IF(L9881="", "Pending", IF(N9881&lt;=30, "Met", "Breached"))</f>
        <v/>
      </c>
      <c r="P9881" s="8" t="n"/>
      <c r="Q9881" s="8" t="n"/>
      <c r="R9881" s="8" t="n"/>
      <c r="S9881" s="8" t="n"/>
      <c r="T9881" s="8" t="n"/>
      <c r="U9881" s="8" t="n"/>
      <c r="V9881" s="8" t="n"/>
      <c r="W9881" s="8" t="n"/>
      <c r="X9881" s="8" t="n"/>
      <c r="Y9881" s="8" t="n"/>
    </row>
    <row r="9882">
      <c r="A9882" s="8" t="n"/>
      <c r="B9882" s="8" t="n"/>
      <c r="C9882" s="8" t="n"/>
      <c r="D9882" s="8" t="n"/>
      <c r="E9882" s="8" t="n"/>
      <c r="F9882" s="8" t="n"/>
      <c r="G9882" s="8" t="n"/>
      <c r="H9882" s="8" t="n"/>
      <c r="I9882" s="8" t="n"/>
      <c r="J9882" s="8" t="n"/>
      <c r="K9882" s="8" t="n"/>
      <c r="L9882" s="8" t="n"/>
      <c r="M9882" s="9">
        <f>B9882+30</f>
        <v/>
      </c>
      <c r="N9882">
        <f>IF(L9882="", "", L9882-B9882)</f>
        <v/>
      </c>
      <c r="O9882">
        <f>IF(L9882="", "Pending", IF(N9882&lt;=30, "Met", "Breached"))</f>
        <v/>
      </c>
      <c r="P9882" s="8" t="n"/>
      <c r="Q9882" s="8" t="n"/>
      <c r="R9882" s="8" t="n"/>
      <c r="S9882" s="8" t="n"/>
      <c r="T9882" s="8" t="n"/>
      <c r="U9882" s="8" t="n"/>
      <c r="V9882" s="8" t="n"/>
      <c r="W9882" s="8" t="n"/>
      <c r="X9882" s="8" t="n"/>
      <c r="Y9882" s="8" t="n"/>
    </row>
    <row r="9883">
      <c r="A9883" s="8" t="n"/>
      <c r="B9883" s="8" t="n"/>
      <c r="C9883" s="8" t="n"/>
      <c r="D9883" s="8" t="n"/>
      <c r="E9883" s="8" t="n"/>
      <c r="F9883" s="8" t="n"/>
      <c r="G9883" s="8" t="n"/>
      <c r="H9883" s="8" t="n"/>
      <c r="I9883" s="8" t="n"/>
      <c r="J9883" s="8" t="n"/>
      <c r="K9883" s="8" t="n"/>
      <c r="L9883" s="8" t="n"/>
      <c r="M9883" s="9">
        <f>B9883+30</f>
        <v/>
      </c>
      <c r="N9883">
        <f>IF(L9883="", "", L9883-B9883)</f>
        <v/>
      </c>
      <c r="O9883">
        <f>IF(L9883="", "Pending", IF(N9883&lt;=30, "Met", "Breached"))</f>
        <v/>
      </c>
      <c r="P9883" s="8" t="n"/>
      <c r="Q9883" s="8" t="n"/>
      <c r="R9883" s="8" t="n"/>
      <c r="S9883" s="8" t="n"/>
      <c r="T9883" s="8" t="n"/>
      <c r="U9883" s="8" t="n"/>
      <c r="V9883" s="8" t="n"/>
      <c r="W9883" s="8" t="n"/>
      <c r="X9883" s="8" t="n"/>
      <c r="Y9883" s="8" t="n"/>
    </row>
    <row r="9884">
      <c r="A9884" s="8" t="n"/>
      <c r="B9884" s="8" t="n"/>
      <c r="C9884" s="8" t="n"/>
      <c r="D9884" s="8" t="n"/>
      <c r="E9884" s="8" t="n"/>
      <c r="F9884" s="8" t="n"/>
      <c r="G9884" s="8" t="n"/>
      <c r="H9884" s="8" t="n"/>
      <c r="I9884" s="8" t="n"/>
      <c r="J9884" s="8" t="n"/>
      <c r="K9884" s="8" t="n"/>
      <c r="L9884" s="8" t="n"/>
      <c r="M9884" s="9">
        <f>B9884+30</f>
        <v/>
      </c>
      <c r="N9884">
        <f>IF(L9884="", "", L9884-B9884)</f>
        <v/>
      </c>
      <c r="O9884">
        <f>IF(L9884="", "Pending", IF(N9884&lt;=30, "Met", "Breached"))</f>
        <v/>
      </c>
      <c r="P9884" s="8" t="n"/>
      <c r="Q9884" s="8" t="n"/>
      <c r="R9884" s="8" t="n"/>
      <c r="S9884" s="8" t="n"/>
      <c r="T9884" s="8" t="n"/>
      <c r="U9884" s="8" t="n"/>
      <c r="V9884" s="8" t="n"/>
      <c r="W9884" s="8" t="n"/>
      <c r="X9884" s="8" t="n"/>
      <c r="Y9884" s="8" t="n"/>
    </row>
    <row r="9885">
      <c r="A9885" s="8" t="n"/>
      <c r="B9885" s="8" t="n"/>
      <c r="C9885" s="8" t="n"/>
      <c r="D9885" s="8" t="n"/>
      <c r="E9885" s="8" t="n"/>
      <c r="F9885" s="8" t="n"/>
      <c r="G9885" s="8" t="n"/>
      <c r="H9885" s="8" t="n"/>
      <c r="I9885" s="8" t="n"/>
      <c r="J9885" s="8" t="n"/>
      <c r="K9885" s="8" t="n"/>
      <c r="L9885" s="8" t="n"/>
      <c r="M9885" s="9">
        <f>B9885+30</f>
        <v/>
      </c>
      <c r="N9885">
        <f>IF(L9885="", "", L9885-B9885)</f>
        <v/>
      </c>
      <c r="O9885">
        <f>IF(L9885="", "Pending", IF(N9885&lt;=30, "Met", "Breached"))</f>
        <v/>
      </c>
      <c r="P9885" s="8" t="n"/>
      <c r="Q9885" s="8" t="n"/>
      <c r="R9885" s="8" t="n"/>
      <c r="S9885" s="8" t="n"/>
      <c r="T9885" s="8" t="n"/>
      <c r="U9885" s="8" t="n"/>
      <c r="V9885" s="8" t="n"/>
      <c r="W9885" s="8" t="n"/>
      <c r="X9885" s="8" t="n"/>
      <c r="Y9885" s="8" t="n"/>
    </row>
    <row r="9886">
      <c r="A9886" s="8" t="n"/>
      <c r="B9886" s="8" t="n"/>
      <c r="C9886" s="8" t="n"/>
      <c r="D9886" s="8" t="n"/>
      <c r="E9886" s="8" t="n"/>
      <c r="F9886" s="8" t="n"/>
      <c r="G9886" s="8" t="n"/>
      <c r="H9886" s="8" t="n"/>
      <c r="I9886" s="8" t="n"/>
      <c r="J9886" s="8" t="n"/>
      <c r="K9886" s="8" t="n"/>
      <c r="L9886" s="8" t="n"/>
      <c r="M9886" s="9">
        <f>B9886+30</f>
        <v/>
      </c>
      <c r="N9886">
        <f>IF(L9886="", "", L9886-B9886)</f>
        <v/>
      </c>
      <c r="O9886">
        <f>IF(L9886="", "Pending", IF(N9886&lt;=30, "Met", "Breached"))</f>
        <v/>
      </c>
      <c r="P9886" s="8" t="n"/>
      <c r="Q9886" s="8" t="n"/>
      <c r="R9886" s="8" t="n"/>
      <c r="S9886" s="8" t="n"/>
      <c r="T9886" s="8" t="n"/>
      <c r="U9886" s="8" t="n"/>
      <c r="V9886" s="8" t="n"/>
      <c r="W9886" s="8" t="n"/>
      <c r="X9886" s="8" t="n"/>
      <c r="Y9886" s="8" t="n"/>
    </row>
    <row r="9887">
      <c r="A9887" s="8" t="n"/>
      <c r="B9887" s="8" t="n"/>
      <c r="C9887" s="8" t="n"/>
      <c r="D9887" s="8" t="n"/>
      <c r="E9887" s="8" t="n"/>
      <c r="F9887" s="8" t="n"/>
      <c r="G9887" s="8" t="n"/>
      <c r="H9887" s="8" t="n"/>
      <c r="I9887" s="8" t="n"/>
      <c r="J9887" s="8" t="n"/>
      <c r="K9887" s="8" t="n"/>
      <c r="L9887" s="8" t="n"/>
      <c r="M9887" s="9">
        <f>B9887+30</f>
        <v/>
      </c>
      <c r="N9887">
        <f>IF(L9887="", "", L9887-B9887)</f>
        <v/>
      </c>
      <c r="O9887">
        <f>IF(L9887="", "Pending", IF(N9887&lt;=30, "Met", "Breached"))</f>
        <v/>
      </c>
      <c r="P9887" s="8" t="n"/>
      <c r="Q9887" s="8" t="n"/>
      <c r="R9887" s="8" t="n"/>
      <c r="S9887" s="8" t="n"/>
      <c r="T9887" s="8" t="n"/>
      <c r="U9887" s="8" t="n"/>
      <c r="V9887" s="8" t="n"/>
      <c r="W9887" s="8" t="n"/>
      <c r="X9887" s="8" t="n"/>
      <c r="Y9887" s="8" t="n"/>
    </row>
    <row r="9888">
      <c r="A9888" s="8" t="n"/>
      <c r="B9888" s="8" t="n"/>
      <c r="C9888" s="8" t="n"/>
      <c r="D9888" s="8" t="n"/>
      <c r="E9888" s="8" t="n"/>
      <c r="F9888" s="8" t="n"/>
      <c r="G9888" s="8" t="n"/>
      <c r="H9888" s="8" t="n"/>
      <c r="I9888" s="8" t="n"/>
      <c r="J9888" s="8" t="n"/>
      <c r="K9888" s="8" t="n"/>
      <c r="L9888" s="8" t="n"/>
      <c r="M9888" s="9">
        <f>B9888+30</f>
        <v/>
      </c>
      <c r="N9888">
        <f>IF(L9888="", "", L9888-B9888)</f>
        <v/>
      </c>
      <c r="O9888">
        <f>IF(L9888="", "Pending", IF(N9888&lt;=30, "Met", "Breached"))</f>
        <v/>
      </c>
      <c r="P9888" s="8" t="n"/>
      <c r="Q9888" s="8" t="n"/>
      <c r="R9888" s="8" t="n"/>
      <c r="S9888" s="8" t="n"/>
      <c r="T9888" s="8" t="n"/>
      <c r="U9888" s="8" t="n"/>
      <c r="V9888" s="8" t="n"/>
      <c r="W9888" s="8" t="n"/>
      <c r="X9888" s="8" t="n"/>
      <c r="Y9888" s="8" t="n"/>
    </row>
    <row r="9889">
      <c r="A9889" s="8" t="n"/>
      <c r="B9889" s="8" t="n"/>
      <c r="C9889" s="8" t="n"/>
      <c r="D9889" s="8" t="n"/>
      <c r="E9889" s="8" t="n"/>
      <c r="F9889" s="8" t="n"/>
      <c r="G9889" s="8" t="n"/>
      <c r="H9889" s="8" t="n"/>
      <c r="I9889" s="8" t="n"/>
      <c r="J9889" s="8" t="n"/>
      <c r="K9889" s="8" t="n"/>
      <c r="L9889" s="8" t="n"/>
      <c r="M9889" s="9">
        <f>B9889+30</f>
        <v/>
      </c>
      <c r="N9889">
        <f>IF(L9889="", "", L9889-B9889)</f>
        <v/>
      </c>
      <c r="O9889">
        <f>IF(L9889="", "Pending", IF(N9889&lt;=30, "Met", "Breached"))</f>
        <v/>
      </c>
      <c r="P9889" s="8" t="n"/>
      <c r="Q9889" s="8" t="n"/>
      <c r="R9889" s="8" t="n"/>
      <c r="S9889" s="8" t="n"/>
      <c r="T9889" s="8" t="n"/>
      <c r="U9889" s="8" t="n"/>
      <c r="V9889" s="8" t="n"/>
      <c r="W9889" s="8" t="n"/>
      <c r="X9889" s="8" t="n"/>
      <c r="Y9889" s="8" t="n"/>
    </row>
    <row r="9890">
      <c r="A9890" s="8" t="n"/>
      <c r="B9890" s="8" t="n"/>
      <c r="C9890" s="8" t="n"/>
      <c r="D9890" s="8" t="n"/>
      <c r="E9890" s="8" t="n"/>
      <c r="F9890" s="8" t="n"/>
      <c r="G9890" s="8" t="n"/>
      <c r="H9890" s="8" t="n"/>
      <c r="I9890" s="8" t="n"/>
      <c r="J9890" s="8" t="n"/>
      <c r="K9890" s="8" t="n"/>
      <c r="L9890" s="8" t="n"/>
      <c r="M9890" s="9">
        <f>B9890+30</f>
        <v/>
      </c>
      <c r="N9890">
        <f>IF(L9890="", "", L9890-B9890)</f>
        <v/>
      </c>
      <c r="O9890">
        <f>IF(L9890="", "Pending", IF(N9890&lt;=30, "Met", "Breached"))</f>
        <v/>
      </c>
      <c r="P9890" s="8" t="n"/>
      <c r="Q9890" s="8" t="n"/>
      <c r="R9890" s="8" t="n"/>
      <c r="S9890" s="8" t="n"/>
      <c r="T9890" s="8" t="n"/>
      <c r="U9890" s="8" t="n"/>
      <c r="V9890" s="8" t="n"/>
      <c r="W9890" s="8" t="n"/>
      <c r="X9890" s="8" t="n"/>
      <c r="Y9890" s="8" t="n"/>
    </row>
    <row r="9891">
      <c r="A9891" s="8" t="n"/>
      <c r="B9891" s="8" t="n"/>
      <c r="C9891" s="8" t="n"/>
      <c r="D9891" s="8" t="n"/>
      <c r="E9891" s="8" t="n"/>
      <c r="F9891" s="8" t="n"/>
      <c r="G9891" s="8" t="n"/>
      <c r="H9891" s="8" t="n"/>
      <c r="I9891" s="8" t="n"/>
      <c r="J9891" s="8" t="n"/>
      <c r="K9891" s="8" t="n"/>
      <c r="L9891" s="8" t="n"/>
      <c r="M9891" s="9">
        <f>B9891+30</f>
        <v/>
      </c>
      <c r="N9891">
        <f>IF(L9891="", "", L9891-B9891)</f>
        <v/>
      </c>
      <c r="O9891">
        <f>IF(L9891="", "Pending", IF(N9891&lt;=30, "Met", "Breached"))</f>
        <v/>
      </c>
      <c r="P9891" s="8" t="n"/>
      <c r="Q9891" s="8" t="n"/>
      <c r="R9891" s="8" t="n"/>
      <c r="S9891" s="8" t="n"/>
      <c r="T9891" s="8" t="n"/>
      <c r="U9891" s="8" t="n"/>
      <c r="V9891" s="8" t="n"/>
      <c r="W9891" s="8" t="n"/>
      <c r="X9891" s="8" t="n"/>
      <c r="Y9891" s="8" t="n"/>
    </row>
    <row r="9892">
      <c r="A9892" s="8" t="n"/>
      <c r="B9892" s="8" t="n"/>
      <c r="C9892" s="8" t="n"/>
      <c r="D9892" s="8" t="n"/>
      <c r="E9892" s="8" t="n"/>
      <c r="F9892" s="8" t="n"/>
      <c r="G9892" s="8" t="n"/>
      <c r="H9892" s="8" t="n"/>
      <c r="I9892" s="8" t="n"/>
      <c r="J9892" s="8" t="n"/>
      <c r="K9892" s="8" t="n"/>
      <c r="L9892" s="8" t="n"/>
      <c r="M9892" s="9">
        <f>B9892+30</f>
        <v/>
      </c>
      <c r="N9892">
        <f>IF(L9892="", "", L9892-B9892)</f>
        <v/>
      </c>
      <c r="O9892">
        <f>IF(L9892="", "Pending", IF(N9892&lt;=30, "Met", "Breached"))</f>
        <v/>
      </c>
      <c r="P9892" s="8" t="n"/>
      <c r="Q9892" s="8" t="n"/>
      <c r="R9892" s="8" t="n"/>
      <c r="S9892" s="8" t="n"/>
      <c r="T9892" s="8" t="n"/>
      <c r="U9892" s="8" t="n"/>
      <c r="V9892" s="8" t="n"/>
      <c r="W9892" s="8" t="n"/>
      <c r="X9892" s="8" t="n"/>
      <c r="Y9892" s="8" t="n"/>
    </row>
    <row r="9893">
      <c r="A9893" s="8" t="n"/>
      <c r="B9893" s="8" t="n"/>
      <c r="C9893" s="8" t="n"/>
      <c r="D9893" s="8" t="n"/>
      <c r="E9893" s="8" t="n"/>
      <c r="F9893" s="8" t="n"/>
      <c r="G9893" s="8" t="n"/>
      <c r="H9893" s="8" t="n"/>
      <c r="I9893" s="8" t="n"/>
      <c r="J9893" s="8" t="n"/>
      <c r="K9893" s="8" t="n"/>
      <c r="L9893" s="8" t="n"/>
      <c r="M9893" s="9">
        <f>B9893+30</f>
        <v/>
      </c>
      <c r="N9893">
        <f>IF(L9893="", "", L9893-B9893)</f>
        <v/>
      </c>
      <c r="O9893">
        <f>IF(L9893="", "Pending", IF(N9893&lt;=30, "Met", "Breached"))</f>
        <v/>
      </c>
      <c r="P9893" s="8" t="n"/>
      <c r="Q9893" s="8" t="n"/>
      <c r="R9893" s="8" t="n"/>
      <c r="S9893" s="8" t="n"/>
      <c r="T9893" s="8" t="n"/>
      <c r="U9893" s="8" t="n"/>
      <c r="V9893" s="8" t="n"/>
      <c r="W9893" s="8" t="n"/>
      <c r="X9893" s="8" t="n"/>
      <c r="Y9893" s="8" t="n"/>
    </row>
    <row r="9894">
      <c r="A9894" s="8" t="n"/>
      <c r="B9894" s="8" t="n"/>
      <c r="C9894" s="8" t="n"/>
      <c r="D9894" s="8" t="n"/>
      <c r="E9894" s="8" t="n"/>
      <c r="F9894" s="8" t="n"/>
      <c r="G9894" s="8" t="n"/>
      <c r="H9894" s="8" t="n"/>
      <c r="I9894" s="8" t="n"/>
      <c r="J9894" s="8" t="n"/>
      <c r="K9894" s="8" t="n"/>
      <c r="L9894" s="8" t="n"/>
      <c r="M9894" s="9">
        <f>B9894+30</f>
        <v/>
      </c>
      <c r="N9894">
        <f>IF(L9894="", "", L9894-B9894)</f>
        <v/>
      </c>
      <c r="O9894">
        <f>IF(L9894="", "Pending", IF(N9894&lt;=30, "Met", "Breached"))</f>
        <v/>
      </c>
      <c r="P9894" s="8" t="n"/>
      <c r="Q9894" s="8" t="n"/>
      <c r="R9894" s="8" t="n"/>
      <c r="S9894" s="8" t="n"/>
      <c r="T9894" s="8" t="n"/>
      <c r="U9894" s="8" t="n"/>
      <c r="V9894" s="8" t="n"/>
      <c r="W9894" s="8" t="n"/>
      <c r="X9894" s="8" t="n"/>
      <c r="Y9894" s="8" t="n"/>
    </row>
    <row r="9895">
      <c r="A9895" s="8" t="n"/>
      <c r="B9895" s="8" t="n"/>
      <c r="C9895" s="8" t="n"/>
      <c r="D9895" s="8" t="n"/>
      <c r="E9895" s="8" t="n"/>
      <c r="F9895" s="8" t="n"/>
      <c r="G9895" s="8" t="n"/>
      <c r="H9895" s="8" t="n"/>
      <c r="I9895" s="8" t="n"/>
      <c r="J9895" s="8" t="n"/>
      <c r="K9895" s="8" t="n"/>
      <c r="L9895" s="8" t="n"/>
      <c r="M9895" s="9">
        <f>B9895+30</f>
        <v/>
      </c>
      <c r="N9895">
        <f>IF(L9895="", "", L9895-B9895)</f>
        <v/>
      </c>
      <c r="O9895">
        <f>IF(L9895="", "Pending", IF(N9895&lt;=30, "Met", "Breached"))</f>
        <v/>
      </c>
      <c r="P9895" s="8" t="n"/>
      <c r="Q9895" s="8" t="n"/>
      <c r="R9895" s="8" t="n"/>
      <c r="S9895" s="8" t="n"/>
      <c r="T9895" s="8" t="n"/>
      <c r="U9895" s="8" t="n"/>
      <c r="V9895" s="8" t="n"/>
      <c r="W9895" s="8" t="n"/>
      <c r="X9895" s="8" t="n"/>
      <c r="Y9895" s="8" t="n"/>
    </row>
    <row r="9896">
      <c r="A9896" s="8" t="n"/>
      <c r="B9896" s="8" t="n"/>
      <c r="C9896" s="8" t="n"/>
      <c r="D9896" s="8" t="n"/>
      <c r="E9896" s="8" t="n"/>
      <c r="F9896" s="8" t="n"/>
      <c r="G9896" s="8" t="n"/>
      <c r="H9896" s="8" t="n"/>
      <c r="I9896" s="8" t="n"/>
      <c r="J9896" s="8" t="n"/>
      <c r="K9896" s="8" t="n"/>
      <c r="L9896" s="8" t="n"/>
      <c r="M9896" s="9">
        <f>B9896+30</f>
        <v/>
      </c>
      <c r="N9896">
        <f>IF(L9896="", "", L9896-B9896)</f>
        <v/>
      </c>
      <c r="O9896">
        <f>IF(L9896="", "Pending", IF(N9896&lt;=30, "Met", "Breached"))</f>
        <v/>
      </c>
      <c r="P9896" s="8" t="n"/>
      <c r="Q9896" s="8" t="n"/>
      <c r="R9896" s="8" t="n"/>
      <c r="S9896" s="8" t="n"/>
      <c r="T9896" s="8" t="n"/>
      <c r="U9896" s="8" t="n"/>
      <c r="V9896" s="8" t="n"/>
      <c r="W9896" s="8" t="n"/>
      <c r="X9896" s="8" t="n"/>
      <c r="Y9896" s="8" t="n"/>
    </row>
    <row r="9897">
      <c r="A9897" s="8" t="n"/>
      <c r="B9897" s="8" t="n"/>
      <c r="C9897" s="8" t="n"/>
      <c r="D9897" s="8" t="n"/>
      <c r="E9897" s="8" t="n"/>
      <c r="F9897" s="8" t="n"/>
      <c r="G9897" s="8" t="n"/>
      <c r="H9897" s="8" t="n"/>
      <c r="I9897" s="8" t="n"/>
      <c r="J9897" s="8" t="n"/>
      <c r="K9897" s="8" t="n"/>
      <c r="L9897" s="8" t="n"/>
      <c r="M9897" s="9">
        <f>B9897+30</f>
        <v/>
      </c>
      <c r="N9897">
        <f>IF(L9897="", "", L9897-B9897)</f>
        <v/>
      </c>
      <c r="O9897">
        <f>IF(L9897="", "Pending", IF(N9897&lt;=30, "Met", "Breached"))</f>
        <v/>
      </c>
      <c r="P9897" s="8" t="n"/>
      <c r="Q9897" s="8" t="n"/>
      <c r="R9897" s="8" t="n"/>
      <c r="S9897" s="8" t="n"/>
      <c r="T9897" s="8" t="n"/>
      <c r="U9897" s="8" t="n"/>
      <c r="V9897" s="8" t="n"/>
      <c r="W9897" s="8" t="n"/>
      <c r="X9897" s="8" t="n"/>
      <c r="Y9897" s="8" t="n"/>
    </row>
    <row r="9898">
      <c r="A9898" s="8" t="n"/>
      <c r="B9898" s="8" t="n"/>
      <c r="C9898" s="8" t="n"/>
      <c r="D9898" s="8" t="n"/>
      <c r="E9898" s="8" t="n"/>
      <c r="F9898" s="8" t="n"/>
      <c r="G9898" s="8" t="n"/>
      <c r="H9898" s="8" t="n"/>
      <c r="I9898" s="8" t="n"/>
      <c r="J9898" s="8" t="n"/>
      <c r="K9898" s="8" t="n"/>
      <c r="L9898" s="8" t="n"/>
      <c r="M9898" s="9">
        <f>B9898+30</f>
        <v/>
      </c>
      <c r="N9898">
        <f>IF(L9898="", "", L9898-B9898)</f>
        <v/>
      </c>
      <c r="O9898">
        <f>IF(L9898="", "Pending", IF(N9898&lt;=30, "Met", "Breached"))</f>
        <v/>
      </c>
      <c r="P9898" s="8" t="n"/>
      <c r="Q9898" s="8" t="n"/>
      <c r="R9898" s="8" t="n"/>
      <c r="S9898" s="8" t="n"/>
      <c r="T9898" s="8" t="n"/>
      <c r="U9898" s="8" t="n"/>
      <c r="V9898" s="8" t="n"/>
      <c r="W9898" s="8" t="n"/>
      <c r="X9898" s="8" t="n"/>
      <c r="Y9898" s="8" t="n"/>
    </row>
    <row r="9899">
      <c r="A9899" s="8" t="n"/>
      <c r="B9899" s="8" t="n"/>
      <c r="C9899" s="8" t="n"/>
      <c r="D9899" s="8" t="n"/>
      <c r="E9899" s="8" t="n"/>
      <c r="F9899" s="8" t="n"/>
      <c r="G9899" s="8" t="n"/>
      <c r="H9899" s="8" t="n"/>
      <c r="I9899" s="8" t="n"/>
      <c r="J9899" s="8" t="n"/>
      <c r="K9899" s="8" t="n"/>
      <c r="L9899" s="8" t="n"/>
      <c r="M9899" s="9">
        <f>B9899+30</f>
        <v/>
      </c>
      <c r="N9899">
        <f>IF(L9899="", "", L9899-B9899)</f>
        <v/>
      </c>
      <c r="O9899">
        <f>IF(L9899="", "Pending", IF(N9899&lt;=30, "Met", "Breached"))</f>
        <v/>
      </c>
      <c r="P9899" s="8" t="n"/>
      <c r="Q9899" s="8" t="n"/>
      <c r="R9899" s="8" t="n"/>
      <c r="S9899" s="8" t="n"/>
      <c r="T9899" s="8" t="n"/>
      <c r="U9899" s="8" t="n"/>
      <c r="V9899" s="8" t="n"/>
      <c r="W9899" s="8" t="n"/>
      <c r="X9899" s="8" t="n"/>
      <c r="Y9899" s="8" t="n"/>
    </row>
    <row r="9900">
      <c r="A9900" s="8" t="n"/>
      <c r="B9900" s="8" t="n"/>
      <c r="C9900" s="8" t="n"/>
      <c r="D9900" s="8" t="n"/>
      <c r="E9900" s="8" t="n"/>
      <c r="F9900" s="8" t="n"/>
      <c r="G9900" s="8" t="n"/>
      <c r="H9900" s="8" t="n"/>
      <c r="I9900" s="8" t="n"/>
      <c r="J9900" s="8" t="n"/>
      <c r="K9900" s="8" t="n"/>
      <c r="L9900" s="8" t="n"/>
      <c r="M9900" s="9">
        <f>B9900+30</f>
        <v/>
      </c>
      <c r="N9900">
        <f>IF(L9900="", "", L9900-B9900)</f>
        <v/>
      </c>
      <c r="O9900">
        <f>IF(L9900="", "Pending", IF(N9900&lt;=30, "Met", "Breached"))</f>
        <v/>
      </c>
      <c r="P9900" s="8" t="n"/>
      <c r="Q9900" s="8" t="n"/>
      <c r="R9900" s="8" t="n"/>
      <c r="S9900" s="8" t="n"/>
      <c r="T9900" s="8" t="n"/>
      <c r="U9900" s="8" t="n"/>
      <c r="V9900" s="8" t="n"/>
      <c r="W9900" s="8" t="n"/>
      <c r="X9900" s="8" t="n"/>
      <c r="Y9900" s="8" t="n"/>
    </row>
    <row r="9901">
      <c r="A9901" s="8" t="n"/>
      <c r="B9901" s="8" t="n"/>
      <c r="C9901" s="8" t="n"/>
      <c r="D9901" s="8" t="n"/>
      <c r="E9901" s="8" t="n"/>
      <c r="F9901" s="8" t="n"/>
      <c r="G9901" s="8" t="n"/>
      <c r="H9901" s="8" t="n"/>
      <c r="I9901" s="8" t="n"/>
      <c r="J9901" s="8" t="n"/>
      <c r="K9901" s="8" t="n"/>
      <c r="L9901" s="8" t="n"/>
      <c r="M9901" s="9">
        <f>B9901+30</f>
        <v/>
      </c>
      <c r="N9901">
        <f>IF(L9901="", "", L9901-B9901)</f>
        <v/>
      </c>
      <c r="O9901">
        <f>IF(L9901="", "Pending", IF(N9901&lt;=30, "Met", "Breached"))</f>
        <v/>
      </c>
      <c r="P9901" s="8" t="n"/>
      <c r="Q9901" s="8" t="n"/>
      <c r="R9901" s="8" t="n"/>
      <c r="S9901" s="8" t="n"/>
      <c r="T9901" s="8" t="n"/>
      <c r="U9901" s="8" t="n"/>
      <c r="V9901" s="8" t="n"/>
      <c r="W9901" s="8" t="n"/>
      <c r="X9901" s="8" t="n"/>
      <c r="Y9901" s="8" t="n"/>
    </row>
    <row r="9902">
      <c r="A9902" s="8" t="n"/>
      <c r="B9902" s="8" t="n"/>
      <c r="C9902" s="8" t="n"/>
      <c r="D9902" s="8" t="n"/>
      <c r="E9902" s="8" t="n"/>
      <c r="F9902" s="8" t="n"/>
      <c r="G9902" s="8" t="n"/>
      <c r="H9902" s="8" t="n"/>
      <c r="I9902" s="8" t="n"/>
      <c r="J9902" s="8" t="n"/>
      <c r="K9902" s="8" t="n"/>
      <c r="L9902" s="8" t="n"/>
      <c r="M9902" s="9">
        <f>B9902+30</f>
        <v/>
      </c>
      <c r="N9902">
        <f>IF(L9902="", "", L9902-B9902)</f>
        <v/>
      </c>
      <c r="O9902">
        <f>IF(L9902="", "Pending", IF(N9902&lt;=30, "Met", "Breached"))</f>
        <v/>
      </c>
      <c r="P9902" s="8" t="n"/>
      <c r="Q9902" s="8" t="n"/>
      <c r="R9902" s="8" t="n"/>
      <c r="S9902" s="8" t="n"/>
      <c r="T9902" s="8" t="n"/>
      <c r="U9902" s="8" t="n"/>
      <c r="V9902" s="8" t="n"/>
      <c r="W9902" s="8" t="n"/>
      <c r="X9902" s="8" t="n"/>
      <c r="Y9902" s="8" t="n"/>
    </row>
    <row r="9903">
      <c r="A9903" s="8" t="n"/>
      <c r="B9903" s="8" t="n"/>
      <c r="C9903" s="8" t="n"/>
      <c r="D9903" s="8" t="n"/>
      <c r="E9903" s="8" t="n"/>
      <c r="F9903" s="8" t="n"/>
      <c r="G9903" s="8" t="n"/>
      <c r="H9903" s="8" t="n"/>
      <c r="I9903" s="8" t="n"/>
      <c r="J9903" s="8" t="n"/>
      <c r="K9903" s="8" t="n"/>
      <c r="L9903" s="8" t="n"/>
      <c r="M9903" s="9">
        <f>B9903+30</f>
        <v/>
      </c>
      <c r="N9903">
        <f>IF(L9903="", "", L9903-B9903)</f>
        <v/>
      </c>
      <c r="O9903">
        <f>IF(L9903="", "Pending", IF(N9903&lt;=30, "Met", "Breached"))</f>
        <v/>
      </c>
      <c r="P9903" s="8" t="n"/>
      <c r="Q9903" s="8" t="n"/>
      <c r="R9903" s="8" t="n"/>
      <c r="S9903" s="8" t="n"/>
      <c r="T9903" s="8" t="n"/>
      <c r="U9903" s="8" t="n"/>
      <c r="V9903" s="8" t="n"/>
      <c r="W9903" s="8" t="n"/>
      <c r="X9903" s="8" t="n"/>
      <c r="Y9903" s="8" t="n"/>
    </row>
    <row r="9904">
      <c r="A9904" s="8" t="n"/>
      <c r="B9904" s="8" t="n"/>
      <c r="C9904" s="8" t="n"/>
      <c r="D9904" s="8" t="n"/>
      <c r="E9904" s="8" t="n"/>
      <c r="F9904" s="8" t="n"/>
      <c r="G9904" s="8" t="n"/>
      <c r="H9904" s="8" t="n"/>
      <c r="I9904" s="8" t="n"/>
      <c r="J9904" s="8" t="n"/>
      <c r="K9904" s="8" t="n"/>
      <c r="L9904" s="8" t="n"/>
      <c r="M9904" s="9">
        <f>B9904+30</f>
        <v/>
      </c>
      <c r="N9904">
        <f>IF(L9904="", "", L9904-B9904)</f>
        <v/>
      </c>
      <c r="O9904">
        <f>IF(L9904="", "Pending", IF(N9904&lt;=30, "Met", "Breached"))</f>
        <v/>
      </c>
      <c r="P9904" s="8" t="n"/>
      <c r="Q9904" s="8" t="n"/>
      <c r="R9904" s="8" t="n"/>
      <c r="S9904" s="8" t="n"/>
      <c r="T9904" s="8" t="n"/>
      <c r="U9904" s="8" t="n"/>
      <c r="V9904" s="8" t="n"/>
      <c r="W9904" s="8" t="n"/>
      <c r="X9904" s="8" t="n"/>
      <c r="Y9904" s="8" t="n"/>
    </row>
    <row r="9905">
      <c r="A9905" s="8" t="n"/>
      <c r="B9905" s="8" t="n"/>
      <c r="C9905" s="8" t="n"/>
      <c r="D9905" s="8" t="n"/>
      <c r="E9905" s="8" t="n"/>
      <c r="F9905" s="8" t="n"/>
      <c r="G9905" s="8" t="n"/>
      <c r="H9905" s="8" t="n"/>
      <c r="I9905" s="8" t="n"/>
      <c r="J9905" s="8" t="n"/>
      <c r="K9905" s="8" t="n"/>
      <c r="L9905" s="8" t="n"/>
      <c r="M9905" s="9">
        <f>B9905+30</f>
        <v/>
      </c>
      <c r="N9905">
        <f>IF(L9905="", "", L9905-B9905)</f>
        <v/>
      </c>
      <c r="O9905">
        <f>IF(L9905="", "Pending", IF(N9905&lt;=30, "Met", "Breached"))</f>
        <v/>
      </c>
      <c r="P9905" s="8" t="n"/>
      <c r="Q9905" s="8" t="n"/>
      <c r="R9905" s="8" t="n"/>
      <c r="S9905" s="8" t="n"/>
      <c r="T9905" s="8" t="n"/>
      <c r="U9905" s="8" t="n"/>
      <c r="V9905" s="8" t="n"/>
      <c r="W9905" s="8" t="n"/>
      <c r="X9905" s="8" t="n"/>
      <c r="Y9905" s="8" t="n"/>
    </row>
    <row r="9906">
      <c r="A9906" s="8" t="n"/>
      <c r="B9906" s="8" t="n"/>
      <c r="C9906" s="8" t="n"/>
      <c r="D9906" s="8" t="n"/>
      <c r="E9906" s="8" t="n"/>
      <c r="F9906" s="8" t="n"/>
      <c r="G9906" s="8" t="n"/>
      <c r="H9906" s="8" t="n"/>
      <c r="I9906" s="8" t="n"/>
      <c r="J9906" s="8" t="n"/>
      <c r="K9906" s="8" t="n"/>
      <c r="L9906" s="8" t="n"/>
      <c r="M9906" s="9">
        <f>B9906+30</f>
        <v/>
      </c>
      <c r="N9906">
        <f>IF(L9906="", "", L9906-B9906)</f>
        <v/>
      </c>
      <c r="O9906">
        <f>IF(L9906="", "Pending", IF(N9906&lt;=30, "Met", "Breached"))</f>
        <v/>
      </c>
      <c r="P9906" s="8" t="n"/>
      <c r="Q9906" s="8" t="n"/>
      <c r="R9906" s="8" t="n"/>
      <c r="S9906" s="8" t="n"/>
      <c r="T9906" s="8" t="n"/>
      <c r="U9906" s="8" t="n"/>
      <c r="V9906" s="8" t="n"/>
      <c r="W9906" s="8" t="n"/>
      <c r="X9906" s="8" t="n"/>
      <c r="Y9906" s="8" t="n"/>
    </row>
    <row r="9907">
      <c r="A9907" s="8" t="n"/>
      <c r="B9907" s="8" t="n"/>
      <c r="C9907" s="8" t="n"/>
      <c r="D9907" s="8" t="n"/>
      <c r="E9907" s="8" t="n"/>
      <c r="F9907" s="8" t="n"/>
      <c r="G9907" s="8" t="n"/>
      <c r="H9907" s="8" t="n"/>
      <c r="I9907" s="8" t="n"/>
      <c r="J9907" s="8" t="n"/>
      <c r="K9907" s="8" t="n"/>
      <c r="L9907" s="8" t="n"/>
      <c r="M9907" s="9">
        <f>B9907+30</f>
        <v/>
      </c>
      <c r="N9907">
        <f>IF(L9907="", "", L9907-B9907)</f>
        <v/>
      </c>
      <c r="O9907">
        <f>IF(L9907="", "Pending", IF(N9907&lt;=30, "Met", "Breached"))</f>
        <v/>
      </c>
      <c r="P9907" s="8" t="n"/>
      <c r="Q9907" s="8" t="n"/>
      <c r="R9907" s="8" t="n"/>
      <c r="S9907" s="8" t="n"/>
      <c r="T9907" s="8" t="n"/>
      <c r="U9907" s="8" t="n"/>
      <c r="V9907" s="8" t="n"/>
      <c r="W9907" s="8" t="n"/>
      <c r="X9907" s="8" t="n"/>
      <c r="Y9907" s="8" t="n"/>
    </row>
    <row r="9908">
      <c r="A9908" s="8" t="n"/>
      <c r="B9908" s="8" t="n"/>
      <c r="C9908" s="8" t="n"/>
      <c r="D9908" s="8" t="n"/>
      <c r="E9908" s="8" t="n"/>
      <c r="F9908" s="8" t="n"/>
      <c r="G9908" s="8" t="n"/>
      <c r="H9908" s="8" t="n"/>
      <c r="I9908" s="8" t="n"/>
      <c r="J9908" s="8" t="n"/>
      <c r="K9908" s="8" t="n"/>
      <c r="L9908" s="8" t="n"/>
      <c r="M9908" s="9">
        <f>B9908+30</f>
        <v/>
      </c>
      <c r="N9908">
        <f>IF(L9908="", "", L9908-B9908)</f>
        <v/>
      </c>
      <c r="O9908">
        <f>IF(L9908="", "Pending", IF(N9908&lt;=30, "Met", "Breached"))</f>
        <v/>
      </c>
      <c r="P9908" s="8" t="n"/>
      <c r="Q9908" s="8" t="n"/>
      <c r="R9908" s="8" t="n"/>
      <c r="S9908" s="8" t="n"/>
      <c r="T9908" s="8" t="n"/>
      <c r="U9908" s="8" t="n"/>
      <c r="V9908" s="8" t="n"/>
      <c r="W9908" s="8" t="n"/>
      <c r="X9908" s="8" t="n"/>
      <c r="Y9908" s="8" t="n"/>
    </row>
    <row r="9909">
      <c r="A9909" s="8" t="n"/>
      <c r="B9909" s="8" t="n"/>
      <c r="C9909" s="8" t="n"/>
      <c r="D9909" s="8" t="n"/>
      <c r="E9909" s="8" t="n"/>
      <c r="F9909" s="8" t="n"/>
      <c r="G9909" s="8" t="n"/>
      <c r="H9909" s="8" t="n"/>
      <c r="I9909" s="8" t="n"/>
      <c r="J9909" s="8" t="n"/>
      <c r="K9909" s="8" t="n"/>
      <c r="L9909" s="8" t="n"/>
      <c r="M9909" s="9">
        <f>B9909+30</f>
        <v/>
      </c>
      <c r="N9909">
        <f>IF(L9909="", "", L9909-B9909)</f>
        <v/>
      </c>
      <c r="O9909">
        <f>IF(L9909="", "Pending", IF(N9909&lt;=30, "Met", "Breached"))</f>
        <v/>
      </c>
      <c r="P9909" s="8" t="n"/>
      <c r="Q9909" s="8" t="n"/>
      <c r="R9909" s="8" t="n"/>
      <c r="S9909" s="8" t="n"/>
      <c r="T9909" s="8" t="n"/>
      <c r="U9909" s="8" t="n"/>
      <c r="V9909" s="8" t="n"/>
      <c r="W9909" s="8" t="n"/>
      <c r="X9909" s="8" t="n"/>
      <c r="Y9909" s="8" t="n"/>
    </row>
    <row r="9910">
      <c r="A9910" s="8" t="n"/>
      <c r="B9910" s="8" t="n"/>
      <c r="C9910" s="8" t="n"/>
      <c r="D9910" s="8" t="n"/>
      <c r="E9910" s="8" t="n"/>
      <c r="F9910" s="8" t="n"/>
      <c r="G9910" s="8" t="n"/>
      <c r="H9910" s="8" t="n"/>
      <c r="I9910" s="8" t="n"/>
      <c r="J9910" s="8" t="n"/>
      <c r="K9910" s="8" t="n"/>
      <c r="L9910" s="8" t="n"/>
      <c r="M9910" s="9">
        <f>B9910+30</f>
        <v/>
      </c>
      <c r="N9910">
        <f>IF(L9910="", "", L9910-B9910)</f>
        <v/>
      </c>
      <c r="O9910">
        <f>IF(L9910="", "Pending", IF(N9910&lt;=30, "Met", "Breached"))</f>
        <v/>
      </c>
      <c r="P9910" s="8" t="n"/>
      <c r="Q9910" s="8" t="n"/>
      <c r="R9910" s="8" t="n"/>
      <c r="S9910" s="8" t="n"/>
      <c r="T9910" s="8" t="n"/>
      <c r="U9910" s="8" t="n"/>
      <c r="V9910" s="8" t="n"/>
      <c r="W9910" s="8" t="n"/>
      <c r="X9910" s="8" t="n"/>
      <c r="Y9910" s="8" t="n"/>
    </row>
    <row r="9911">
      <c r="A9911" s="8" t="n"/>
      <c r="B9911" s="8" t="n"/>
      <c r="C9911" s="8" t="n"/>
      <c r="D9911" s="8" t="n"/>
      <c r="E9911" s="8" t="n"/>
      <c r="F9911" s="8" t="n"/>
      <c r="G9911" s="8" t="n"/>
      <c r="H9911" s="8" t="n"/>
      <c r="I9911" s="8" t="n"/>
      <c r="J9911" s="8" t="n"/>
      <c r="K9911" s="8" t="n"/>
      <c r="L9911" s="8" t="n"/>
      <c r="M9911" s="9">
        <f>B9911+30</f>
        <v/>
      </c>
      <c r="N9911">
        <f>IF(L9911="", "", L9911-B9911)</f>
        <v/>
      </c>
      <c r="O9911">
        <f>IF(L9911="", "Pending", IF(N9911&lt;=30, "Met", "Breached"))</f>
        <v/>
      </c>
      <c r="P9911" s="8" t="n"/>
      <c r="Q9911" s="8" t="n"/>
      <c r="R9911" s="8" t="n"/>
      <c r="S9911" s="8" t="n"/>
      <c r="T9911" s="8" t="n"/>
      <c r="U9911" s="8" t="n"/>
      <c r="V9911" s="8" t="n"/>
      <c r="W9911" s="8" t="n"/>
      <c r="X9911" s="8" t="n"/>
      <c r="Y9911" s="8" t="n"/>
    </row>
    <row r="9912">
      <c r="A9912" s="8" t="n"/>
      <c r="B9912" s="8" t="n"/>
      <c r="C9912" s="8" t="n"/>
      <c r="D9912" s="8" t="n"/>
      <c r="E9912" s="8" t="n"/>
      <c r="F9912" s="8" t="n"/>
      <c r="G9912" s="8" t="n"/>
      <c r="H9912" s="8" t="n"/>
      <c r="I9912" s="8" t="n"/>
      <c r="J9912" s="8" t="n"/>
      <c r="K9912" s="8" t="n"/>
      <c r="L9912" s="8" t="n"/>
      <c r="M9912" s="9">
        <f>B9912+30</f>
        <v/>
      </c>
      <c r="N9912">
        <f>IF(L9912="", "", L9912-B9912)</f>
        <v/>
      </c>
      <c r="O9912">
        <f>IF(L9912="", "Pending", IF(N9912&lt;=30, "Met", "Breached"))</f>
        <v/>
      </c>
      <c r="P9912" s="8" t="n"/>
      <c r="Q9912" s="8" t="n"/>
      <c r="R9912" s="8" t="n"/>
      <c r="S9912" s="8" t="n"/>
      <c r="T9912" s="8" t="n"/>
      <c r="U9912" s="8" t="n"/>
      <c r="V9912" s="8" t="n"/>
      <c r="W9912" s="8" t="n"/>
      <c r="X9912" s="8" t="n"/>
      <c r="Y9912" s="8" t="n"/>
    </row>
    <row r="9913">
      <c r="A9913" s="8" t="n"/>
      <c r="B9913" s="8" t="n"/>
      <c r="C9913" s="8" t="n"/>
      <c r="D9913" s="8" t="n"/>
      <c r="E9913" s="8" t="n"/>
      <c r="F9913" s="8" t="n"/>
      <c r="G9913" s="8" t="n"/>
      <c r="H9913" s="8" t="n"/>
      <c r="I9913" s="8" t="n"/>
      <c r="J9913" s="8" t="n"/>
      <c r="K9913" s="8" t="n"/>
      <c r="L9913" s="8" t="n"/>
      <c r="M9913" s="9">
        <f>B9913+30</f>
        <v/>
      </c>
      <c r="N9913">
        <f>IF(L9913="", "", L9913-B9913)</f>
        <v/>
      </c>
      <c r="O9913">
        <f>IF(L9913="", "Pending", IF(N9913&lt;=30, "Met", "Breached"))</f>
        <v/>
      </c>
      <c r="P9913" s="8" t="n"/>
      <c r="Q9913" s="8" t="n"/>
      <c r="R9913" s="8" t="n"/>
      <c r="S9913" s="8" t="n"/>
      <c r="T9913" s="8" t="n"/>
      <c r="U9913" s="8" t="n"/>
      <c r="V9913" s="8" t="n"/>
      <c r="W9913" s="8" t="n"/>
      <c r="X9913" s="8" t="n"/>
      <c r="Y9913" s="8" t="n"/>
    </row>
    <row r="9914">
      <c r="A9914" s="8" t="n"/>
      <c r="B9914" s="8" t="n"/>
      <c r="C9914" s="8" t="n"/>
      <c r="D9914" s="8" t="n"/>
      <c r="E9914" s="8" t="n"/>
      <c r="F9914" s="8" t="n"/>
      <c r="G9914" s="8" t="n"/>
      <c r="H9914" s="8" t="n"/>
      <c r="I9914" s="8" t="n"/>
      <c r="J9914" s="8" t="n"/>
      <c r="K9914" s="8" t="n"/>
      <c r="L9914" s="8" t="n"/>
      <c r="M9914" s="9">
        <f>B9914+30</f>
        <v/>
      </c>
      <c r="N9914">
        <f>IF(L9914="", "", L9914-B9914)</f>
        <v/>
      </c>
      <c r="O9914">
        <f>IF(L9914="", "Pending", IF(N9914&lt;=30, "Met", "Breached"))</f>
        <v/>
      </c>
      <c r="P9914" s="8" t="n"/>
      <c r="Q9914" s="8" t="n"/>
      <c r="R9914" s="8" t="n"/>
      <c r="S9914" s="8" t="n"/>
      <c r="T9914" s="8" t="n"/>
      <c r="U9914" s="8" t="n"/>
      <c r="V9914" s="8" t="n"/>
      <c r="W9914" s="8" t="n"/>
      <c r="X9914" s="8" t="n"/>
      <c r="Y9914" s="8" t="n"/>
    </row>
    <row r="9915">
      <c r="A9915" s="8" t="n"/>
      <c r="B9915" s="8" t="n"/>
      <c r="C9915" s="8" t="n"/>
      <c r="D9915" s="8" t="n"/>
      <c r="E9915" s="8" t="n"/>
      <c r="F9915" s="8" t="n"/>
      <c r="G9915" s="8" t="n"/>
      <c r="H9915" s="8" t="n"/>
      <c r="I9915" s="8" t="n"/>
      <c r="J9915" s="8" t="n"/>
      <c r="K9915" s="8" t="n"/>
      <c r="L9915" s="8" t="n"/>
      <c r="M9915" s="9">
        <f>B9915+30</f>
        <v/>
      </c>
      <c r="N9915">
        <f>IF(L9915="", "", L9915-B9915)</f>
        <v/>
      </c>
      <c r="O9915">
        <f>IF(L9915="", "Pending", IF(N9915&lt;=30, "Met", "Breached"))</f>
        <v/>
      </c>
      <c r="P9915" s="8" t="n"/>
      <c r="Q9915" s="8" t="n"/>
      <c r="R9915" s="8" t="n"/>
      <c r="S9915" s="8" t="n"/>
      <c r="T9915" s="8" t="n"/>
      <c r="U9915" s="8" t="n"/>
      <c r="V9915" s="8" t="n"/>
      <c r="W9915" s="8" t="n"/>
      <c r="X9915" s="8" t="n"/>
      <c r="Y9915" s="8" t="n"/>
    </row>
    <row r="9916">
      <c r="A9916" s="8" t="n"/>
      <c r="B9916" s="8" t="n"/>
      <c r="C9916" s="8" t="n"/>
      <c r="D9916" s="8" t="n"/>
      <c r="E9916" s="8" t="n"/>
      <c r="F9916" s="8" t="n"/>
      <c r="G9916" s="8" t="n"/>
      <c r="H9916" s="8" t="n"/>
      <c r="I9916" s="8" t="n"/>
      <c r="J9916" s="8" t="n"/>
      <c r="K9916" s="8" t="n"/>
      <c r="L9916" s="8" t="n"/>
      <c r="M9916" s="9">
        <f>B9916+30</f>
        <v/>
      </c>
      <c r="N9916">
        <f>IF(L9916="", "", L9916-B9916)</f>
        <v/>
      </c>
      <c r="O9916">
        <f>IF(L9916="", "Pending", IF(N9916&lt;=30, "Met", "Breached"))</f>
        <v/>
      </c>
      <c r="P9916" s="8" t="n"/>
      <c r="Q9916" s="8" t="n"/>
      <c r="R9916" s="8" t="n"/>
      <c r="S9916" s="8" t="n"/>
      <c r="T9916" s="8" t="n"/>
      <c r="U9916" s="8" t="n"/>
      <c r="V9916" s="8" t="n"/>
      <c r="W9916" s="8" t="n"/>
      <c r="X9916" s="8" t="n"/>
      <c r="Y9916" s="8" t="n"/>
    </row>
    <row r="9917">
      <c r="A9917" s="8" t="n"/>
      <c r="B9917" s="8" t="n"/>
      <c r="C9917" s="8" t="n"/>
      <c r="D9917" s="8" t="n"/>
      <c r="E9917" s="8" t="n"/>
      <c r="F9917" s="8" t="n"/>
      <c r="G9917" s="8" t="n"/>
      <c r="H9917" s="8" t="n"/>
      <c r="I9917" s="8" t="n"/>
      <c r="J9917" s="8" t="n"/>
      <c r="K9917" s="8" t="n"/>
      <c r="L9917" s="8" t="n"/>
      <c r="M9917" s="9">
        <f>B9917+30</f>
        <v/>
      </c>
      <c r="N9917">
        <f>IF(L9917="", "", L9917-B9917)</f>
        <v/>
      </c>
      <c r="O9917">
        <f>IF(L9917="", "Pending", IF(N9917&lt;=30, "Met", "Breached"))</f>
        <v/>
      </c>
      <c r="P9917" s="8" t="n"/>
      <c r="Q9917" s="8" t="n"/>
      <c r="R9917" s="8" t="n"/>
      <c r="S9917" s="8" t="n"/>
      <c r="T9917" s="8" t="n"/>
      <c r="U9917" s="8" t="n"/>
      <c r="V9917" s="8" t="n"/>
      <c r="W9917" s="8" t="n"/>
      <c r="X9917" s="8" t="n"/>
      <c r="Y9917" s="8" t="n"/>
    </row>
    <row r="9918">
      <c r="A9918" s="8" t="n"/>
      <c r="B9918" s="8" t="n"/>
      <c r="C9918" s="8" t="n"/>
      <c r="D9918" s="8" t="n"/>
      <c r="E9918" s="8" t="n"/>
      <c r="F9918" s="8" t="n"/>
      <c r="G9918" s="8" t="n"/>
      <c r="H9918" s="8" t="n"/>
      <c r="I9918" s="8" t="n"/>
      <c r="J9918" s="8" t="n"/>
      <c r="K9918" s="8" t="n"/>
      <c r="L9918" s="8" t="n"/>
      <c r="M9918" s="9">
        <f>B9918+30</f>
        <v/>
      </c>
      <c r="N9918">
        <f>IF(L9918="", "", L9918-B9918)</f>
        <v/>
      </c>
      <c r="O9918">
        <f>IF(L9918="", "Pending", IF(N9918&lt;=30, "Met", "Breached"))</f>
        <v/>
      </c>
      <c r="P9918" s="8" t="n"/>
      <c r="Q9918" s="8" t="n"/>
      <c r="R9918" s="8" t="n"/>
      <c r="S9918" s="8" t="n"/>
      <c r="T9918" s="8" t="n"/>
      <c r="U9918" s="8" t="n"/>
      <c r="V9918" s="8" t="n"/>
      <c r="W9918" s="8" t="n"/>
      <c r="X9918" s="8" t="n"/>
      <c r="Y9918" s="8" t="n"/>
    </row>
    <row r="9919">
      <c r="A9919" s="8" t="n"/>
      <c r="B9919" s="8" t="n"/>
      <c r="C9919" s="8" t="n"/>
      <c r="D9919" s="8" t="n"/>
      <c r="E9919" s="8" t="n"/>
      <c r="F9919" s="8" t="n"/>
      <c r="G9919" s="8" t="n"/>
      <c r="H9919" s="8" t="n"/>
      <c r="I9919" s="8" t="n"/>
      <c r="J9919" s="8" t="n"/>
      <c r="K9919" s="8" t="n"/>
      <c r="L9919" s="8" t="n"/>
      <c r="M9919" s="9">
        <f>B9919+30</f>
        <v/>
      </c>
      <c r="N9919">
        <f>IF(L9919="", "", L9919-B9919)</f>
        <v/>
      </c>
      <c r="O9919">
        <f>IF(L9919="", "Pending", IF(N9919&lt;=30, "Met", "Breached"))</f>
        <v/>
      </c>
      <c r="P9919" s="8" t="n"/>
      <c r="Q9919" s="8" t="n"/>
      <c r="R9919" s="8" t="n"/>
      <c r="S9919" s="8" t="n"/>
      <c r="T9919" s="8" t="n"/>
      <c r="U9919" s="8" t="n"/>
      <c r="V9919" s="8" t="n"/>
      <c r="W9919" s="8" t="n"/>
      <c r="X9919" s="8" t="n"/>
      <c r="Y9919" s="8" t="n"/>
    </row>
    <row r="9920">
      <c r="A9920" s="8" t="n"/>
      <c r="B9920" s="8" t="n"/>
      <c r="C9920" s="8" t="n"/>
      <c r="D9920" s="8" t="n"/>
      <c r="E9920" s="8" t="n"/>
      <c r="F9920" s="8" t="n"/>
      <c r="G9920" s="8" t="n"/>
      <c r="H9920" s="8" t="n"/>
      <c r="I9920" s="8" t="n"/>
      <c r="J9920" s="8" t="n"/>
      <c r="K9920" s="8" t="n"/>
      <c r="L9920" s="8" t="n"/>
      <c r="M9920" s="9">
        <f>B9920+30</f>
        <v/>
      </c>
      <c r="N9920">
        <f>IF(L9920="", "", L9920-B9920)</f>
        <v/>
      </c>
      <c r="O9920">
        <f>IF(L9920="", "Pending", IF(N9920&lt;=30, "Met", "Breached"))</f>
        <v/>
      </c>
      <c r="P9920" s="8" t="n"/>
      <c r="Q9920" s="8" t="n"/>
      <c r="R9920" s="8" t="n"/>
      <c r="S9920" s="8" t="n"/>
      <c r="T9920" s="8" t="n"/>
      <c r="U9920" s="8" t="n"/>
      <c r="V9920" s="8" t="n"/>
      <c r="W9920" s="8" t="n"/>
      <c r="X9920" s="8" t="n"/>
      <c r="Y9920" s="8" t="n"/>
    </row>
    <row r="9921">
      <c r="A9921" s="8" t="n"/>
      <c r="B9921" s="8" t="n"/>
      <c r="C9921" s="8" t="n"/>
      <c r="D9921" s="8" t="n"/>
      <c r="E9921" s="8" t="n"/>
      <c r="F9921" s="8" t="n"/>
      <c r="G9921" s="8" t="n"/>
      <c r="H9921" s="8" t="n"/>
      <c r="I9921" s="8" t="n"/>
      <c r="J9921" s="8" t="n"/>
      <c r="K9921" s="8" t="n"/>
      <c r="L9921" s="8" t="n"/>
      <c r="M9921" s="9">
        <f>B9921+30</f>
        <v/>
      </c>
      <c r="N9921">
        <f>IF(L9921="", "", L9921-B9921)</f>
        <v/>
      </c>
      <c r="O9921">
        <f>IF(L9921="", "Pending", IF(N9921&lt;=30, "Met", "Breached"))</f>
        <v/>
      </c>
      <c r="P9921" s="8" t="n"/>
      <c r="Q9921" s="8" t="n"/>
      <c r="R9921" s="8" t="n"/>
      <c r="S9921" s="8" t="n"/>
      <c r="T9921" s="8" t="n"/>
      <c r="U9921" s="8" t="n"/>
      <c r="V9921" s="8" t="n"/>
      <c r="W9921" s="8" t="n"/>
      <c r="X9921" s="8" t="n"/>
      <c r="Y9921" s="8" t="n"/>
    </row>
    <row r="9922">
      <c r="A9922" s="8" t="n"/>
      <c r="B9922" s="8" t="n"/>
      <c r="C9922" s="8" t="n"/>
      <c r="D9922" s="8" t="n"/>
      <c r="E9922" s="8" t="n"/>
      <c r="F9922" s="8" t="n"/>
      <c r="G9922" s="8" t="n"/>
      <c r="H9922" s="8" t="n"/>
      <c r="I9922" s="8" t="n"/>
      <c r="J9922" s="8" t="n"/>
      <c r="K9922" s="8" t="n"/>
      <c r="L9922" s="8" t="n"/>
      <c r="M9922" s="9">
        <f>B9922+30</f>
        <v/>
      </c>
      <c r="N9922">
        <f>IF(L9922="", "", L9922-B9922)</f>
        <v/>
      </c>
      <c r="O9922">
        <f>IF(L9922="", "Pending", IF(N9922&lt;=30, "Met", "Breached"))</f>
        <v/>
      </c>
      <c r="P9922" s="8" t="n"/>
      <c r="Q9922" s="8" t="n"/>
      <c r="R9922" s="8" t="n"/>
      <c r="S9922" s="8" t="n"/>
      <c r="T9922" s="8" t="n"/>
      <c r="U9922" s="8" t="n"/>
      <c r="V9922" s="8" t="n"/>
      <c r="W9922" s="8" t="n"/>
      <c r="X9922" s="8" t="n"/>
      <c r="Y9922" s="8" t="n"/>
    </row>
    <row r="9923">
      <c r="A9923" s="8" t="n"/>
      <c r="B9923" s="8" t="n"/>
      <c r="C9923" s="8" t="n"/>
      <c r="D9923" s="8" t="n"/>
      <c r="E9923" s="8" t="n"/>
      <c r="F9923" s="8" t="n"/>
      <c r="G9923" s="8" t="n"/>
      <c r="H9923" s="8" t="n"/>
      <c r="I9923" s="8" t="n"/>
      <c r="J9923" s="8" t="n"/>
      <c r="K9923" s="8" t="n"/>
      <c r="L9923" s="8" t="n"/>
      <c r="M9923" s="9">
        <f>B9923+30</f>
        <v/>
      </c>
      <c r="N9923">
        <f>IF(L9923="", "", L9923-B9923)</f>
        <v/>
      </c>
      <c r="O9923">
        <f>IF(L9923="", "Pending", IF(N9923&lt;=30, "Met", "Breached"))</f>
        <v/>
      </c>
      <c r="P9923" s="8" t="n"/>
      <c r="Q9923" s="8" t="n"/>
      <c r="R9923" s="8" t="n"/>
      <c r="S9923" s="8" t="n"/>
      <c r="T9923" s="8" t="n"/>
      <c r="U9923" s="8" t="n"/>
      <c r="V9923" s="8" t="n"/>
      <c r="W9923" s="8" t="n"/>
      <c r="X9923" s="8" t="n"/>
      <c r="Y9923" s="8" t="n"/>
    </row>
    <row r="9924">
      <c r="A9924" s="8" t="n"/>
      <c r="B9924" s="8" t="n"/>
      <c r="C9924" s="8" t="n"/>
      <c r="D9924" s="8" t="n"/>
      <c r="E9924" s="8" t="n"/>
      <c r="F9924" s="8" t="n"/>
      <c r="G9924" s="8" t="n"/>
      <c r="H9924" s="8" t="n"/>
      <c r="I9924" s="8" t="n"/>
      <c r="J9924" s="8" t="n"/>
      <c r="K9924" s="8" t="n"/>
      <c r="L9924" s="8" t="n"/>
      <c r="M9924" s="9">
        <f>B9924+30</f>
        <v/>
      </c>
      <c r="N9924">
        <f>IF(L9924="", "", L9924-B9924)</f>
        <v/>
      </c>
      <c r="O9924">
        <f>IF(L9924="", "Pending", IF(N9924&lt;=30, "Met", "Breached"))</f>
        <v/>
      </c>
      <c r="P9924" s="8" t="n"/>
      <c r="Q9924" s="8" t="n"/>
      <c r="R9924" s="8" t="n"/>
      <c r="S9924" s="8" t="n"/>
      <c r="T9924" s="8" t="n"/>
      <c r="U9924" s="8" t="n"/>
      <c r="V9924" s="8" t="n"/>
      <c r="W9924" s="8" t="n"/>
      <c r="X9924" s="8" t="n"/>
      <c r="Y9924" s="8" t="n"/>
    </row>
    <row r="9925">
      <c r="A9925" s="8" t="n"/>
      <c r="B9925" s="8" t="n"/>
      <c r="C9925" s="8" t="n"/>
      <c r="D9925" s="8" t="n"/>
      <c r="E9925" s="8" t="n"/>
      <c r="F9925" s="8" t="n"/>
      <c r="G9925" s="8" t="n"/>
      <c r="H9925" s="8" t="n"/>
      <c r="I9925" s="8" t="n"/>
      <c r="J9925" s="8" t="n"/>
      <c r="K9925" s="8" t="n"/>
      <c r="L9925" s="8" t="n"/>
      <c r="M9925" s="9">
        <f>B9925+30</f>
        <v/>
      </c>
      <c r="N9925">
        <f>IF(L9925="", "", L9925-B9925)</f>
        <v/>
      </c>
      <c r="O9925">
        <f>IF(L9925="", "Pending", IF(N9925&lt;=30, "Met", "Breached"))</f>
        <v/>
      </c>
      <c r="P9925" s="8" t="n"/>
      <c r="Q9925" s="8" t="n"/>
      <c r="R9925" s="8" t="n"/>
      <c r="S9925" s="8" t="n"/>
      <c r="T9925" s="8" t="n"/>
      <c r="U9925" s="8" t="n"/>
      <c r="V9925" s="8" t="n"/>
      <c r="W9925" s="8" t="n"/>
      <c r="X9925" s="8" t="n"/>
      <c r="Y9925" s="8" t="n"/>
    </row>
    <row r="9926">
      <c r="A9926" s="8" t="n"/>
      <c r="B9926" s="8" t="n"/>
      <c r="C9926" s="8" t="n"/>
      <c r="D9926" s="8" t="n"/>
      <c r="E9926" s="8" t="n"/>
      <c r="F9926" s="8" t="n"/>
      <c r="G9926" s="8" t="n"/>
      <c r="H9926" s="8" t="n"/>
      <c r="I9926" s="8" t="n"/>
      <c r="J9926" s="8" t="n"/>
      <c r="K9926" s="8" t="n"/>
      <c r="L9926" s="8" t="n"/>
      <c r="M9926" s="9">
        <f>B9926+30</f>
        <v/>
      </c>
      <c r="N9926">
        <f>IF(L9926="", "", L9926-B9926)</f>
        <v/>
      </c>
      <c r="O9926">
        <f>IF(L9926="", "Pending", IF(N9926&lt;=30, "Met", "Breached"))</f>
        <v/>
      </c>
      <c r="P9926" s="8" t="n"/>
      <c r="Q9926" s="8" t="n"/>
      <c r="R9926" s="8" t="n"/>
      <c r="S9926" s="8" t="n"/>
      <c r="T9926" s="8" t="n"/>
      <c r="U9926" s="8" t="n"/>
      <c r="V9926" s="8" t="n"/>
      <c r="W9926" s="8" t="n"/>
      <c r="X9926" s="8" t="n"/>
      <c r="Y9926" s="8" t="n"/>
    </row>
    <row r="9927">
      <c r="A9927" s="8" t="n"/>
      <c r="B9927" s="8" t="n"/>
      <c r="C9927" s="8" t="n"/>
      <c r="D9927" s="8" t="n"/>
      <c r="E9927" s="8" t="n"/>
      <c r="F9927" s="8" t="n"/>
      <c r="G9927" s="8" t="n"/>
      <c r="H9927" s="8" t="n"/>
      <c r="I9927" s="8" t="n"/>
      <c r="J9927" s="8" t="n"/>
      <c r="K9927" s="8" t="n"/>
      <c r="L9927" s="8" t="n"/>
      <c r="M9927" s="9">
        <f>B9927+30</f>
        <v/>
      </c>
      <c r="N9927">
        <f>IF(L9927="", "", L9927-B9927)</f>
        <v/>
      </c>
      <c r="O9927">
        <f>IF(L9927="", "Pending", IF(N9927&lt;=30, "Met", "Breached"))</f>
        <v/>
      </c>
      <c r="P9927" s="8" t="n"/>
      <c r="Q9927" s="8" t="n"/>
      <c r="R9927" s="8" t="n"/>
      <c r="S9927" s="8" t="n"/>
      <c r="T9927" s="8" t="n"/>
      <c r="U9927" s="8" t="n"/>
      <c r="V9927" s="8" t="n"/>
      <c r="W9927" s="8" t="n"/>
      <c r="X9927" s="8" t="n"/>
      <c r="Y9927" s="8" t="n"/>
    </row>
    <row r="9928">
      <c r="A9928" s="8" t="n"/>
      <c r="B9928" s="8" t="n"/>
      <c r="C9928" s="8" t="n"/>
      <c r="D9928" s="8" t="n"/>
      <c r="E9928" s="8" t="n"/>
      <c r="F9928" s="8" t="n"/>
      <c r="G9928" s="8" t="n"/>
      <c r="H9928" s="8" t="n"/>
      <c r="I9928" s="8" t="n"/>
      <c r="J9928" s="8" t="n"/>
      <c r="K9928" s="8" t="n"/>
      <c r="L9928" s="8" t="n"/>
      <c r="M9928" s="9">
        <f>B9928+30</f>
        <v/>
      </c>
      <c r="N9928">
        <f>IF(L9928="", "", L9928-B9928)</f>
        <v/>
      </c>
      <c r="O9928">
        <f>IF(L9928="", "Pending", IF(N9928&lt;=30, "Met", "Breached"))</f>
        <v/>
      </c>
      <c r="P9928" s="8" t="n"/>
      <c r="Q9928" s="8" t="n"/>
      <c r="R9928" s="8" t="n"/>
      <c r="S9928" s="8" t="n"/>
      <c r="T9928" s="8" t="n"/>
      <c r="U9928" s="8" t="n"/>
      <c r="V9928" s="8" t="n"/>
      <c r="W9928" s="8" t="n"/>
      <c r="X9928" s="8" t="n"/>
      <c r="Y9928" s="8" t="n"/>
    </row>
    <row r="9929">
      <c r="A9929" s="8" t="n"/>
      <c r="B9929" s="8" t="n"/>
      <c r="C9929" s="8" t="n"/>
      <c r="D9929" s="8" t="n"/>
      <c r="E9929" s="8" t="n"/>
      <c r="F9929" s="8" t="n"/>
      <c r="G9929" s="8" t="n"/>
      <c r="H9929" s="8" t="n"/>
      <c r="I9929" s="8" t="n"/>
      <c r="J9929" s="8" t="n"/>
      <c r="K9929" s="8" t="n"/>
      <c r="L9929" s="8" t="n"/>
      <c r="M9929" s="9">
        <f>B9929+30</f>
        <v/>
      </c>
      <c r="N9929">
        <f>IF(L9929="", "", L9929-B9929)</f>
        <v/>
      </c>
      <c r="O9929">
        <f>IF(L9929="", "Pending", IF(N9929&lt;=30, "Met", "Breached"))</f>
        <v/>
      </c>
      <c r="P9929" s="8" t="n"/>
      <c r="Q9929" s="8" t="n"/>
      <c r="R9929" s="8" t="n"/>
      <c r="S9929" s="8" t="n"/>
      <c r="T9929" s="8" t="n"/>
      <c r="U9929" s="8" t="n"/>
      <c r="V9929" s="8" t="n"/>
      <c r="W9929" s="8" t="n"/>
      <c r="X9929" s="8" t="n"/>
      <c r="Y9929" s="8" t="n"/>
    </row>
    <row r="9930">
      <c r="A9930" s="8" t="n"/>
      <c r="B9930" s="8" t="n"/>
      <c r="C9930" s="8" t="n"/>
      <c r="D9930" s="8" t="n"/>
      <c r="E9930" s="8" t="n"/>
      <c r="F9930" s="8" t="n"/>
      <c r="G9930" s="8" t="n"/>
      <c r="H9930" s="8" t="n"/>
      <c r="I9930" s="8" t="n"/>
      <c r="J9930" s="8" t="n"/>
      <c r="K9930" s="8" t="n"/>
      <c r="L9930" s="8" t="n"/>
      <c r="M9930" s="9">
        <f>B9930+30</f>
        <v/>
      </c>
      <c r="N9930">
        <f>IF(L9930="", "", L9930-B9930)</f>
        <v/>
      </c>
      <c r="O9930">
        <f>IF(L9930="", "Pending", IF(N9930&lt;=30, "Met", "Breached"))</f>
        <v/>
      </c>
      <c r="P9930" s="8" t="n"/>
      <c r="Q9930" s="8" t="n"/>
      <c r="R9930" s="8" t="n"/>
      <c r="S9930" s="8" t="n"/>
      <c r="T9930" s="8" t="n"/>
      <c r="U9930" s="8" t="n"/>
      <c r="V9930" s="8" t="n"/>
      <c r="W9930" s="8" t="n"/>
      <c r="X9930" s="8" t="n"/>
      <c r="Y9930" s="8" t="n"/>
    </row>
    <row r="9931">
      <c r="A9931" s="8" t="n"/>
      <c r="B9931" s="8" t="n"/>
      <c r="C9931" s="8" t="n"/>
      <c r="D9931" s="8" t="n"/>
      <c r="E9931" s="8" t="n"/>
      <c r="F9931" s="8" t="n"/>
      <c r="G9931" s="8" t="n"/>
      <c r="H9931" s="8" t="n"/>
      <c r="I9931" s="8" t="n"/>
      <c r="J9931" s="8" t="n"/>
      <c r="K9931" s="8" t="n"/>
      <c r="L9931" s="8" t="n"/>
      <c r="M9931" s="9">
        <f>B9931+30</f>
        <v/>
      </c>
      <c r="N9931">
        <f>IF(L9931="", "", L9931-B9931)</f>
        <v/>
      </c>
      <c r="O9931">
        <f>IF(L9931="", "Pending", IF(N9931&lt;=30, "Met", "Breached"))</f>
        <v/>
      </c>
      <c r="P9931" s="8" t="n"/>
      <c r="Q9931" s="8" t="n"/>
      <c r="R9931" s="8" t="n"/>
      <c r="S9931" s="8" t="n"/>
      <c r="T9931" s="8" t="n"/>
      <c r="U9931" s="8" t="n"/>
      <c r="V9931" s="8" t="n"/>
      <c r="W9931" s="8" t="n"/>
      <c r="X9931" s="8" t="n"/>
      <c r="Y9931" s="8" t="n"/>
    </row>
    <row r="9932">
      <c r="A9932" s="8" t="n"/>
      <c r="B9932" s="8" t="n"/>
      <c r="C9932" s="8" t="n"/>
      <c r="D9932" s="8" t="n"/>
      <c r="E9932" s="8" t="n"/>
      <c r="F9932" s="8" t="n"/>
      <c r="G9932" s="8" t="n"/>
      <c r="H9932" s="8" t="n"/>
      <c r="I9932" s="8" t="n"/>
      <c r="J9932" s="8" t="n"/>
      <c r="K9932" s="8" t="n"/>
      <c r="L9932" s="8" t="n"/>
      <c r="M9932" s="9">
        <f>B9932+30</f>
        <v/>
      </c>
      <c r="N9932">
        <f>IF(L9932="", "", L9932-B9932)</f>
        <v/>
      </c>
      <c r="O9932">
        <f>IF(L9932="", "Pending", IF(N9932&lt;=30, "Met", "Breached"))</f>
        <v/>
      </c>
      <c r="P9932" s="8" t="n"/>
      <c r="Q9932" s="8" t="n"/>
      <c r="R9932" s="8" t="n"/>
      <c r="S9932" s="8" t="n"/>
      <c r="T9932" s="8" t="n"/>
      <c r="U9932" s="8" t="n"/>
      <c r="V9932" s="8" t="n"/>
      <c r="W9932" s="8" t="n"/>
      <c r="X9932" s="8" t="n"/>
      <c r="Y9932" s="8" t="n"/>
    </row>
    <row r="9933">
      <c r="A9933" s="8" t="n"/>
      <c r="B9933" s="8" t="n"/>
      <c r="C9933" s="8" t="n"/>
      <c r="D9933" s="8" t="n"/>
      <c r="E9933" s="8" t="n"/>
      <c r="F9933" s="8" t="n"/>
      <c r="G9933" s="8" t="n"/>
      <c r="H9933" s="8" t="n"/>
      <c r="I9933" s="8" t="n"/>
      <c r="J9933" s="8" t="n"/>
      <c r="K9933" s="8" t="n"/>
      <c r="L9933" s="8" t="n"/>
      <c r="M9933" s="9">
        <f>B9933+30</f>
        <v/>
      </c>
      <c r="N9933">
        <f>IF(L9933="", "", L9933-B9933)</f>
        <v/>
      </c>
      <c r="O9933">
        <f>IF(L9933="", "Pending", IF(N9933&lt;=30, "Met", "Breached"))</f>
        <v/>
      </c>
      <c r="P9933" s="8" t="n"/>
      <c r="Q9933" s="8" t="n"/>
      <c r="R9933" s="8" t="n"/>
      <c r="S9933" s="8" t="n"/>
      <c r="T9933" s="8" t="n"/>
      <c r="U9933" s="8" t="n"/>
      <c r="V9933" s="8" t="n"/>
      <c r="W9933" s="8" t="n"/>
      <c r="X9933" s="8" t="n"/>
      <c r="Y9933" s="8" t="n"/>
    </row>
    <row r="9934">
      <c r="A9934" s="8" t="n"/>
      <c r="B9934" s="8" t="n"/>
      <c r="C9934" s="8" t="n"/>
      <c r="D9934" s="8" t="n"/>
      <c r="E9934" s="8" t="n"/>
      <c r="F9934" s="8" t="n"/>
      <c r="G9934" s="8" t="n"/>
      <c r="H9934" s="8" t="n"/>
      <c r="I9934" s="8" t="n"/>
      <c r="J9934" s="8" t="n"/>
      <c r="K9934" s="8" t="n"/>
      <c r="L9934" s="8" t="n"/>
      <c r="M9934" s="9">
        <f>B9934+30</f>
        <v/>
      </c>
      <c r="N9934">
        <f>IF(L9934="", "", L9934-B9934)</f>
        <v/>
      </c>
      <c r="O9934">
        <f>IF(L9934="", "Pending", IF(N9934&lt;=30, "Met", "Breached"))</f>
        <v/>
      </c>
      <c r="P9934" s="8" t="n"/>
      <c r="Q9934" s="8" t="n"/>
      <c r="R9934" s="8" t="n"/>
      <c r="S9934" s="8" t="n"/>
      <c r="T9934" s="8" t="n"/>
      <c r="U9934" s="8" t="n"/>
      <c r="V9934" s="8" t="n"/>
      <c r="W9934" s="8" t="n"/>
      <c r="X9934" s="8" t="n"/>
      <c r="Y9934" s="8" t="n"/>
    </row>
    <row r="9935">
      <c r="A9935" s="8" t="n"/>
      <c r="B9935" s="8" t="n"/>
      <c r="C9935" s="8" t="n"/>
      <c r="D9935" s="8" t="n"/>
      <c r="E9935" s="8" t="n"/>
      <c r="F9935" s="8" t="n"/>
      <c r="G9935" s="8" t="n"/>
      <c r="H9935" s="8" t="n"/>
      <c r="I9935" s="8" t="n"/>
      <c r="J9935" s="8" t="n"/>
      <c r="K9935" s="8" t="n"/>
      <c r="L9935" s="8" t="n"/>
      <c r="M9935" s="9">
        <f>B9935+30</f>
        <v/>
      </c>
      <c r="N9935">
        <f>IF(L9935="", "", L9935-B9935)</f>
        <v/>
      </c>
      <c r="O9935">
        <f>IF(L9935="", "Pending", IF(N9935&lt;=30, "Met", "Breached"))</f>
        <v/>
      </c>
      <c r="P9935" s="8" t="n"/>
      <c r="Q9935" s="8" t="n"/>
      <c r="R9935" s="8" t="n"/>
      <c r="S9935" s="8" t="n"/>
      <c r="T9935" s="8" t="n"/>
      <c r="U9935" s="8" t="n"/>
      <c r="V9935" s="8" t="n"/>
      <c r="W9935" s="8" t="n"/>
      <c r="X9935" s="8" t="n"/>
      <c r="Y9935" s="8" t="n"/>
    </row>
    <row r="9936">
      <c r="A9936" s="8" t="n"/>
      <c r="B9936" s="8" t="n"/>
      <c r="C9936" s="8" t="n"/>
      <c r="D9936" s="8" t="n"/>
      <c r="E9936" s="8" t="n"/>
      <c r="F9936" s="8" t="n"/>
      <c r="G9936" s="8" t="n"/>
      <c r="H9936" s="8" t="n"/>
      <c r="I9936" s="8" t="n"/>
      <c r="J9936" s="8" t="n"/>
      <c r="K9936" s="8" t="n"/>
      <c r="L9936" s="8" t="n"/>
      <c r="M9936" s="9">
        <f>B9936+30</f>
        <v/>
      </c>
      <c r="N9936">
        <f>IF(L9936="", "", L9936-B9936)</f>
        <v/>
      </c>
      <c r="O9936">
        <f>IF(L9936="", "Pending", IF(N9936&lt;=30, "Met", "Breached"))</f>
        <v/>
      </c>
      <c r="P9936" s="8" t="n"/>
      <c r="Q9936" s="8" t="n"/>
      <c r="R9936" s="8" t="n"/>
      <c r="S9936" s="8" t="n"/>
      <c r="T9936" s="8" t="n"/>
      <c r="U9936" s="8" t="n"/>
      <c r="V9936" s="8" t="n"/>
      <c r="W9936" s="8" t="n"/>
      <c r="X9936" s="8" t="n"/>
      <c r="Y9936" s="8" t="n"/>
    </row>
    <row r="9937">
      <c r="A9937" s="8" t="n"/>
      <c r="B9937" s="8" t="n"/>
      <c r="C9937" s="8" t="n"/>
      <c r="D9937" s="8" t="n"/>
      <c r="E9937" s="8" t="n"/>
      <c r="F9937" s="8" t="n"/>
      <c r="G9937" s="8" t="n"/>
      <c r="H9937" s="8" t="n"/>
      <c r="I9937" s="8" t="n"/>
      <c r="J9937" s="8" t="n"/>
      <c r="K9937" s="8" t="n"/>
      <c r="L9937" s="8" t="n"/>
      <c r="M9937" s="9">
        <f>B9937+30</f>
        <v/>
      </c>
      <c r="N9937">
        <f>IF(L9937="", "", L9937-B9937)</f>
        <v/>
      </c>
      <c r="O9937">
        <f>IF(L9937="", "Pending", IF(N9937&lt;=30, "Met", "Breached"))</f>
        <v/>
      </c>
      <c r="P9937" s="8" t="n"/>
      <c r="Q9937" s="8" t="n"/>
      <c r="R9937" s="8" t="n"/>
      <c r="S9937" s="8" t="n"/>
      <c r="T9937" s="8" t="n"/>
      <c r="U9937" s="8" t="n"/>
      <c r="V9937" s="8" t="n"/>
      <c r="W9937" s="8" t="n"/>
      <c r="X9937" s="8" t="n"/>
      <c r="Y9937" s="8" t="n"/>
    </row>
    <row r="9938">
      <c r="A9938" s="8" t="n"/>
      <c r="B9938" s="8" t="n"/>
      <c r="C9938" s="8" t="n"/>
      <c r="D9938" s="8" t="n"/>
      <c r="E9938" s="8" t="n"/>
      <c r="F9938" s="8" t="n"/>
      <c r="G9938" s="8" t="n"/>
      <c r="H9938" s="8" t="n"/>
      <c r="I9938" s="8" t="n"/>
      <c r="J9938" s="8" t="n"/>
      <c r="K9938" s="8" t="n"/>
      <c r="L9938" s="8" t="n"/>
      <c r="M9938" s="9">
        <f>B9938+30</f>
        <v/>
      </c>
      <c r="N9938">
        <f>IF(L9938="", "", L9938-B9938)</f>
        <v/>
      </c>
      <c r="O9938">
        <f>IF(L9938="", "Pending", IF(N9938&lt;=30, "Met", "Breached"))</f>
        <v/>
      </c>
      <c r="P9938" s="8" t="n"/>
      <c r="Q9938" s="8" t="n"/>
      <c r="R9938" s="8" t="n"/>
      <c r="S9938" s="8" t="n"/>
      <c r="T9938" s="8" t="n"/>
      <c r="U9938" s="8" t="n"/>
      <c r="V9938" s="8" t="n"/>
      <c r="W9938" s="8" t="n"/>
      <c r="X9938" s="8" t="n"/>
      <c r="Y9938" s="8" t="n"/>
    </row>
    <row r="9939">
      <c r="A9939" s="8" t="n"/>
      <c r="B9939" s="8" t="n"/>
      <c r="C9939" s="8" t="n"/>
      <c r="D9939" s="8" t="n"/>
      <c r="E9939" s="8" t="n"/>
      <c r="F9939" s="8" t="n"/>
      <c r="G9939" s="8" t="n"/>
      <c r="H9939" s="8" t="n"/>
      <c r="I9939" s="8" t="n"/>
      <c r="J9939" s="8" t="n"/>
      <c r="K9939" s="8" t="n"/>
      <c r="L9939" s="8" t="n"/>
      <c r="M9939" s="9">
        <f>B9939+30</f>
        <v/>
      </c>
      <c r="N9939">
        <f>IF(L9939="", "", L9939-B9939)</f>
        <v/>
      </c>
      <c r="O9939">
        <f>IF(L9939="", "Pending", IF(N9939&lt;=30, "Met", "Breached"))</f>
        <v/>
      </c>
      <c r="P9939" s="8" t="n"/>
      <c r="Q9939" s="8" t="n"/>
      <c r="R9939" s="8" t="n"/>
      <c r="S9939" s="8" t="n"/>
      <c r="T9939" s="8" t="n"/>
      <c r="U9939" s="8" t="n"/>
      <c r="V9939" s="8" t="n"/>
      <c r="W9939" s="8" t="n"/>
      <c r="X9939" s="8" t="n"/>
      <c r="Y9939" s="8" t="n"/>
    </row>
    <row r="9940">
      <c r="A9940" s="8" t="n"/>
      <c r="B9940" s="8" t="n"/>
      <c r="C9940" s="8" t="n"/>
      <c r="D9940" s="8" t="n"/>
      <c r="E9940" s="8" t="n"/>
      <c r="F9940" s="8" t="n"/>
      <c r="G9940" s="8" t="n"/>
      <c r="H9940" s="8" t="n"/>
      <c r="I9940" s="8" t="n"/>
      <c r="J9940" s="8" t="n"/>
      <c r="K9940" s="8" t="n"/>
      <c r="L9940" s="8" t="n"/>
      <c r="M9940" s="9">
        <f>B9940+30</f>
        <v/>
      </c>
      <c r="N9940">
        <f>IF(L9940="", "", L9940-B9940)</f>
        <v/>
      </c>
      <c r="O9940">
        <f>IF(L9940="", "Pending", IF(N9940&lt;=30, "Met", "Breached"))</f>
        <v/>
      </c>
      <c r="P9940" s="8" t="n"/>
      <c r="Q9940" s="8" t="n"/>
      <c r="R9940" s="8" t="n"/>
      <c r="S9940" s="8" t="n"/>
      <c r="T9940" s="8" t="n"/>
      <c r="U9940" s="8" t="n"/>
      <c r="V9940" s="8" t="n"/>
      <c r="W9940" s="8" t="n"/>
      <c r="X9940" s="8" t="n"/>
      <c r="Y9940" s="8" t="n"/>
    </row>
    <row r="9941">
      <c r="A9941" s="8" t="n"/>
      <c r="B9941" s="8" t="n"/>
      <c r="C9941" s="8" t="n"/>
      <c r="D9941" s="8" t="n"/>
      <c r="E9941" s="8" t="n"/>
      <c r="F9941" s="8" t="n"/>
      <c r="G9941" s="8" t="n"/>
      <c r="H9941" s="8" t="n"/>
      <c r="I9941" s="8" t="n"/>
      <c r="J9941" s="8" t="n"/>
      <c r="K9941" s="8" t="n"/>
      <c r="L9941" s="8" t="n"/>
      <c r="M9941" s="9">
        <f>B9941+30</f>
        <v/>
      </c>
      <c r="N9941">
        <f>IF(L9941="", "", L9941-B9941)</f>
        <v/>
      </c>
      <c r="O9941">
        <f>IF(L9941="", "Pending", IF(N9941&lt;=30, "Met", "Breached"))</f>
        <v/>
      </c>
      <c r="P9941" s="8" t="n"/>
      <c r="Q9941" s="8" t="n"/>
      <c r="R9941" s="8" t="n"/>
      <c r="S9941" s="8" t="n"/>
      <c r="T9941" s="8" t="n"/>
      <c r="U9941" s="8" t="n"/>
      <c r="V9941" s="8" t="n"/>
      <c r="W9941" s="8" t="n"/>
      <c r="X9941" s="8" t="n"/>
      <c r="Y9941" s="8" t="n"/>
    </row>
    <row r="9942">
      <c r="A9942" s="8" t="n"/>
      <c r="B9942" s="8" t="n"/>
      <c r="C9942" s="8" t="n"/>
      <c r="D9942" s="8" t="n"/>
      <c r="E9942" s="8" t="n"/>
      <c r="F9942" s="8" t="n"/>
      <c r="G9942" s="8" t="n"/>
      <c r="H9942" s="8" t="n"/>
      <c r="I9942" s="8" t="n"/>
      <c r="J9942" s="8" t="n"/>
      <c r="K9942" s="8" t="n"/>
      <c r="L9942" s="8" t="n"/>
      <c r="M9942" s="9">
        <f>B9942+30</f>
        <v/>
      </c>
      <c r="N9942">
        <f>IF(L9942="", "", L9942-B9942)</f>
        <v/>
      </c>
      <c r="O9942">
        <f>IF(L9942="", "Pending", IF(N9942&lt;=30, "Met", "Breached"))</f>
        <v/>
      </c>
      <c r="P9942" s="8" t="n"/>
      <c r="Q9942" s="8" t="n"/>
      <c r="R9942" s="8" t="n"/>
      <c r="S9942" s="8" t="n"/>
      <c r="T9942" s="8" t="n"/>
      <c r="U9942" s="8" t="n"/>
      <c r="V9942" s="8" t="n"/>
      <c r="W9942" s="8" t="n"/>
      <c r="X9942" s="8" t="n"/>
      <c r="Y9942" s="8" t="n"/>
    </row>
    <row r="9943">
      <c r="A9943" s="8" t="n"/>
      <c r="B9943" s="8" t="n"/>
      <c r="C9943" s="8" t="n"/>
      <c r="D9943" s="8" t="n"/>
      <c r="E9943" s="8" t="n"/>
      <c r="F9943" s="8" t="n"/>
      <c r="G9943" s="8" t="n"/>
      <c r="H9943" s="8" t="n"/>
      <c r="I9943" s="8" t="n"/>
      <c r="J9943" s="8" t="n"/>
      <c r="K9943" s="8" t="n"/>
      <c r="L9943" s="8" t="n"/>
      <c r="M9943" s="9">
        <f>B9943+30</f>
        <v/>
      </c>
      <c r="N9943">
        <f>IF(L9943="", "", L9943-B9943)</f>
        <v/>
      </c>
      <c r="O9943">
        <f>IF(L9943="", "Pending", IF(N9943&lt;=30, "Met", "Breached"))</f>
        <v/>
      </c>
      <c r="P9943" s="8" t="n"/>
      <c r="Q9943" s="8" t="n"/>
      <c r="R9943" s="8" t="n"/>
      <c r="S9943" s="8" t="n"/>
      <c r="T9943" s="8" t="n"/>
      <c r="U9943" s="8" t="n"/>
      <c r="V9943" s="8" t="n"/>
      <c r="W9943" s="8" t="n"/>
      <c r="X9943" s="8" t="n"/>
      <c r="Y9943" s="8" t="n"/>
    </row>
    <row r="9944">
      <c r="A9944" s="8" t="n"/>
      <c r="B9944" s="8" t="n"/>
      <c r="C9944" s="8" t="n"/>
      <c r="D9944" s="8" t="n"/>
      <c r="E9944" s="8" t="n"/>
      <c r="F9944" s="8" t="n"/>
      <c r="G9944" s="8" t="n"/>
      <c r="H9944" s="8" t="n"/>
      <c r="I9944" s="8" t="n"/>
      <c r="J9944" s="8" t="n"/>
      <c r="K9944" s="8" t="n"/>
      <c r="L9944" s="8" t="n"/>
      <c r="M9944" s="9">
        <f>B9944+30</f>
        <v/>
      </c>
      <c r="N9944">
        <f>IF(L9944="", "", L9944-B9944)</f>
        <v/>
      </c>
      <c r="O9944">
        <f>IF(L9944="", "Pending", IF(N9944&lt;=30, "Met", "Breached"))</f>
        <v/>
      </c>
      <c r="P9944" s="8" t="n"/>
      <c r="Q9944" s="8" t="n"/>
      <c r="R9944" s="8" t="n"/>
      <c r="S9944" s="8" t="n"/>
      <c r="T9944" s="8" t="n"/>
      <c r="U9944" s="8" t="n"/>
      <c r="V9944" s="8" t="n"/>
      <c r="W9944" s="8" t="n"/>
      <c r="X9944" s="8" t="n"/>
      <c r="Y9944" s="8" t="n"/>
    </row>
    <row r="9945">
      <c r="A9945" s="8" t="n"/>
      <c r="B9945" s="8" t="n"/>
      <c r="C9945" s="8" t="n"/>
      <c r="D9945" s="8" t="n"/>
      <c r="E9945" s="8" t="n"/>
      <c r="F9945" s="8" t="n"/>
      <c r="G9945" s="8" t="n"/>
      <c r="H9945" s="8" t="n"/>
      <c r="I9945" s="8" t="n"/>
      <c r="J9945" s="8" t="n"/>
      <c r="K9945" s="8" t="n"/>
      <c r="L9945" s="8" t="n"/>
      <c r="M9945" s="9">
        <f>B9945+30</f>
        <v/>
      </c>
      <c r="N9945">
        <f>IF(L9945="", "", L9945-B9945)</f>
        <v/>
      </c>
      <c r="O9945">
        <f>IF(L9945="", "Pending", IF(N9945&lt;=30, "Met", "Breached"))</f>
        <v/>
      </c>
      <c r="P9945" s="8" t="n"/>
      <c r="Q9945" s="8" t="n"/>
      <c r="R9945" s="8" t="n"/>
      <c r="S9945" s="8" t="n"/>
      <c r="T9945" s="8" t="n"/>
      <c r="U9945" s="8" t="n"/>
      <c r="V9945" s="8" t="n"/>
      <c r="W9945" s="8" t="n"/>
      <c r="X9945" s="8" t="n"/>
      <c r="Y9945" s="8" t="n"/>
    </row>
    <row r="9946">
      <c r="A9946" s="8" t="n"/>
      <c r="B9946" s="8" t="n"/>
      <c r="C9946" s="8" t="n"/>
      <c r="D9946" s="8" t="n"/>
      <c r="E9946" s="8" t="n"/>
      <c r="F9946" s="8" t="n"/>
      <c r="G9946" s="8" t="n"/>
      <c r="H9946" s="8" t="n"/>
      <c r="I9946" s="8" t="n"/>
      <c r="J9946" s="8" t="n"/>
      <c r="K9946" s="8" t="n"/>
      <c r="L9946" s="8" t="n"/>
      <c r="M9946" s="9">
        <f>B9946+30</f>
        <v/>
      </c>
      <c r="N9946">
        <f>IF(L9946="", "", L9946-B9946)</f>
        <v/>
      </c>
      <c r="O9946">
        <f>IF(L9946="", "Pending", IF(N9946&lt;=30, "Met", "Breached"))</f>
        <v/>
      </c>
      <c r="P9946" s="8" t="n"/>
      <c r="Q9946" s="8" t="n"/>
      <c r="R9946" s="8" t="n"/>
      <c r="S9946" s="8" t="n"/>
      <c r="T9946" s="8" t="n"/>
      <c r="U9946" s="8" t="n"/>
      <c r="V9946" s="8" t="n"/>
      <c r="W9946" s="8" t="n"/>
      <c r="X9946" s="8" t="n"/>
      <c r="Y9946" s="8" t="n"/>
    </row>
    <row r="9947">
      <c r="A9947" s="8" t="n"/>
      <c r="B9947" s="8" t="n"/>
      <c r="C9947" s="8" t="n"/>
      <c r="D9947" s="8" t="n"/>
      <c r="E9947" s="8" t="n"/>
      <c r="F9947" s="8" t="n"/>
      <c r="G9947" s="8" t="n"/>
      <c r="H9947" s="8" t="n"/>
      <c r="I9947" s="8" t="n"/>
      <c r="J9947" s="8" t="n"/>
      <c r="K9947" s="8" t="n"/>
      <c r="L9947" s="8" t="n"/>
      <c r="M9947" s="9">
        <f>B9947+30</f>
        <v/>
      </c>
      <c r="N9947">
        <f>IF(L9947="", "", L9947-B9947)</f>
        <v/>
      </c>
      <c r="O9947">
        <f>IF(L9947="", "Pending", IF(N9947&lt;=30, "Met", "Breached"))</f>
        <v/>
      </c>
      <c r="P9947" s="8" t="n"/>
      <c r="Q9947" s="8" t="n"/>
      <c r="R9947" s="8" t="n"/>
      <c r="S9947" s="8" t="n"/>
      <c r="T9947" s="8" t="n"/>
      <c r="U9947" s="8" t="n"/>
      <c r="V9947" s="8" t="n"/>
      <c r="W9947" s="8" t="n"/>
      <c r="X9947" s="8" t="n"/>
      <c r="Y9947" s="8" t="n"/>
    </row>
    <row r="9948">
      <c r="A9948" s="8" t="n"/>
      <c r="B9948" s="8" t="n"/>
      <c r="C9948" s="8" t="n"/>
      <c r="D9948" s="8" t="n"/>
      <c r="E9948" s="8" t="n"/>
      <c r="F9948" s="8" t="n"/>
      <c r="G9948" s="8" t="n"/>
      <c r="H9948" s="8" t="n"/>
      <c r="I9948" s="8" t="n"/>
      <c r="J9948" s="8" t="n"/>
      <c r="K9948" s="8" t="n"/>
      <c r="L9948" s="8" t="n"/>
      <c r="M9948" s="9">
        <f>B9948+30</f>
        <v/>
      </c>
      <c r="N9948">
        <f>IF(L9948="", "", L9948-B9948)</f>
        <v/>
      </c>
      <c r="O9948">
        <f>IF(L9948="", "Pending", IF(N9948&lt;=30, "Met", "Breached"))</f>
        <v/>
      </c>
      <c r="P9948" s="8" t="n"/>
      <c r="Q9948" s="8" t="n"/>
      <c r="R9948" s="8" t="n"/>
      <c r="S9948" s="8" t="n"/>
      <c r="T9948" s="8" t="n"/>
      <c r="U9948" s="8" t="n"/>
      <c r="V9948" s="8" t="n"/>
      <c r="W9948" s="8" t="n"/>
      <c r="X9948" s="8" t="n"/>
      <c r="Y9948" s="8" t="n"/>
    </row>
    <row r="9949">
      <c r="A9949" s="8" t="n"/>
      <c r="B9949" s="8" t="n"/>
      <c r="C9949" s="8" t="n"/>
      <c r="D9949" s="8" t="n"/>
      <c r="E9949" s="8" t="n"/>
      <c r="F9949" s="8" t="n"/>
      <c r="G9949" s="8" t="n"/>
      <c r="H9949" s="8" t="n"/>
      <c r="I9949" s="8" t="n"/>
      <c r="J9949" s="8" t="n"/>
      <c r="K9949" s="8" t="n"/>
      <c r="L9949" s="8" t="n"/>
      <c r="M9949" s="9">
        <f>B9949+30</f>
        <v/>
      </c>
      <c r="N9949">
        <f>IF(L9949="", "", L9949-B9949)</f>
        <v/>
      </c>
      <c r="O9949">
        <f>IF(L9949="", "Pending", IF(N9949&lt;=30, "Met", "Breached"))</f>
        <v/>
      </c>
      <c r="P9949" s="8" t="n"/>
      <c r="Q9949" s="8" t="n"/>
      <c r="R9949" s="8" t="n"/>
      <c r="S9949" s="8" t="n"/>
      <c r="T9949" s="8" t="n"/>
      <c r="U9949" s="8" t="n"/>
      <c r="V9949" s="8" t="n"/>
      <c r="W9949" s="8" t="n"/>
      <c r="X9949" s="8" t="n"/>
      <c r="Y9949" s="8" t="n"/>
    </row>
    <row r="9950">
      <c r="A9950" s="8" t="n"/>
      <c r="B9950" s="8" t="n"/>
      <c r="C9950" s="8" t="n"/>
      <c r="D9950" s="8" t="n"/>
      <c r="E9950" s="8" t="n"/>
      <c r="F9950" s="8" t="n"/>
      <c r="G9950" s="8" t="n"/>
      <c r="H9950" s="8" t="n"/>
      <c r="I9950" s="8" t="n"/>
      <c r="J9950" s="8" t="n"/>
      <c r="K9950" s="8" t="n"/>
      <c r="L9950" s="8" t="n"/>
      <c r="M9950" s="9">
        <f>B9950+30</f>
        <v/>
      </c>
      <c r="N9950">
        <f>IF(L9950="", "", L9950-B9950)</f>
        <v/>
      </c>
      <c r="O9950">
        <f>IF(L9950="", "Pending", IF(N9950&lt;=30, "Met", "Breached"))</f>
        <v/>
      </c>
      <c r="P9950" s="8" t="n"/>
      <c r="Q9950" s="8" t="n"/>
      <c r="R9950" s="8" t="n"/>
      <c r="S9950" s="8" t="n"/>
      <c r="T9950" s="8" t="n"/>
      <c r="U9950" s="8" t="n"/>
      <c r="V9950" s="8" t="n"/>
      <c r="W9950" s="8" t="n"/>
      <c r="X9950" s="8" t="n"/>
      <c r="Y9950" s="8" t="n"/>
    </row>
    <row r="9951">
      <c r="A9951" s="8" t="n"/>
      <c r="B9951" s="8" t="n"/>
      <c r="C9951" s="8" t="n"/>
      <c r="D9951" s="8" t="n"/>
      <c r="E9951" s="8" t="n"/>
      <c r="F9951" s="8" t="n"/>
      <c r="G9951" s="8" t="n"/>
      <c r="H9951" s="8" t="n"/>
      <c r="I9951" s="8" t="n"/>
      <c r="J9951" s="8" t="n"/>
      <c r="K9951" s="8" t="n"/>
      <c r="L9951" s="8" t="n"/>
      <c r="M9951" s="9">
        <f>B9951+30</f>
        <v/>
      </c>
      <c r="N9951">
        <f>IF(L9951="", "", L9951-B9951)</f>
        <v/>
      </c>
      <c r="O9951">
        <f>IF(L9951="", "Pending", IF(N9951&lt;=30, "Met", "Breached"))</f>
        <v/>
      </c>
      <c r="P9951" s="8" t="n"/>
      <c r="Q9951" s="8" t="n"/>
      <c r="R9951" s="8" t="n"/>
      <c r="S9951" s="8" t="n"/>
      <c r="T9951" s="8" t="n"/>
      <c r="U9951" s="8" t="n"/>
      <c r="V9951" s="8" t="n"/>
      <c r="W9951" s="8" t="n"/>
      <c r="X9951" s="8" t="n"/>
      <c r="Y9951" s="8" t="n"/>
    </row>
    <row r="9952">
      <c r="A9952" s="8" t="n"/>
      <c r="B9952" s="8" t="n"/>
      <c r="C9952" s="8" t="n"/>
      <c r="D9952" s="8" t="n"/>
      <c r="E9952" s="8" t="n"/>
      <c r="F9952" s="8" t="n"/>
      <c r="G9952" s="8" t="n"/>
      <c r="H9952" s="8" t="n"/>
      <c r="I9952" s="8" t="n"/>
      <c r="J9952" s="8" t="n"/>
      <c r="K9952" s="8" t="n"/>
      <c r="L9952" s="8" t="n"/>
      <c r="M9952" s="9">
        <f>B9952+30</f>
        <v/>
      </c>
      <c r="N9952">
        <f>IF(L9952="", "", L9952-B9952)</f>
        <v/>
      </c>
      <c r="O9952">
        <f>IF(L9952="", "Pending", IF(N9952&lt;=30, "Met", "Breached"))</f>
        <v/>
      </c>
      <c r="P9952" s="8" t="n"/>
      <c r="Q9952" s="8" t="n"/>
      <c r="R9952" s="8" t="n"/>
      <c r="S9952" s="8" t="n"/>
      <c r="T9952" s="8" t="n"/>
      <c r="U9952" s="8" t="n"/>
      <c r="V9952" s="8" t="n"/>
      <c r="W9952" s="8" t="n"/>
      <c r="X9952" s="8" t="n"/>
      <c r="Y9952" s="8" t="n"/>
    </row>
    <row r="9953">
      <c r="A9953" s="8" t="n"/>
      <c r="B9953" s="8" t="n"/>
      <c r="C9953" s="8" t="n"/>
      <c r="D9953" s="8" t="n"/>
      <c r="E9953" s="8" t="n"/>
      <c r="F9953" s="8" t="n"/>
      <c r="G9953" s="8" t="n"/>
      <c r="H9953" s="8" t="n"/>
      <c r="I9953" s="8" t="n"/>
      <c r="J9953" s="8" t="n"/>
      <c r="K9953" s="8" t="n"/>
      <c r="L9953" s="8" t="n"/>
      <c r="M9953" s="9">
        <f>B9953+30</f>
        <v/>
      </c>
      <c r="N9953">
        <f>IF(L9953="", "", L9953-B9953)</f>
        <v/>
      </c>
      <c r="O9953">
        <f>IF(L9953="", "Pending", IF(N9953&lt;=30, "Met", "Breached"))</f>
        <v/>
      </c>
      <c r="P9953" s="8" t="n"/>
      <c r="Q9953" s="8" t="n"/>
      <c r="R9953" s="8" t="n"/>
      <c r="S9953" s="8" t="n"/>
      <c r="T9953" s="8" t="n"/>
      <c r="U9953" s="8" t="n"/>
      <c r="V9953" s="8" t="n"/>
      <c r="W9953" s="8" t="n"/>
      <c r="X9953" s="8" t="n"/>
      <c r="Y9953" s="8" t="n"/>
    </row>
    <row r="9954">
      <c r="A9954" s="8" t="n"/>
      <c r="B9954" s="8" t="n"/>
      <c r="C9954" s="8" t="n"/>
      <c r="D9954" s="8" t="n"/>
      <c r="E9954" s="8" t="n"/>
      <c r="F9954" s="8" t="n"/>
      <c r="G9954" s="8" t="n"/>
      <c r="H9954" s="8" t="n"/>
      <c r="I9954" s="8" t="n"/>
      <c r="J9954" s="8" t="n"/>
      <c r="K9954" s="8" t="n"/>
      <c r="L9954" s="8" t="n"/>
      <c r="M9954" s="9">
        <f>B9954+30</f>
        <v/>
      </c>
      <c r="N9954">
        <f>IF(L9954="", "", L9954-B9954)</f>
        <v/>
      </c>
      <c r="O9954">
        <f>IF(L9954="", "Pending", IF(N9954&lt;=30, "Met", "Breached"))</f>
        <v/>
      </c>
      <c r="P9954" s="8" t="n"/>
      <c r="Q9954" s="8" t="n"/>
      <c r="R9954" s="8" t="n"/>
      <c r="S9954" s="8" t="n"/>
      <c r="T9954" s="8" t="n"/>
      <c r="U9954" s="8" t="n"/>
      <c r="V9954" s="8" t="n"/>
      <c r="W9954" s="8" t="n"/>
      <c r="X9954" s="8" t="n"/>
      <c r="Y9954" s="8" t="n"/>
    </row>
    <row r="9955">
      <c r="A9955" s="8" t="n"/>
      <c r="B9955" s="8" t="n"/>
      <c r="C9955" s="8" t="n"/>
      <c r="D9955" s="8" t="n"/>
      <c r="E9955" s="8" t="n"/>
      <c r="F9955" s="8" t="n"/>
      <c r="G9955" s="8" t="n"/>
      <c r="H9955" s="8" t="n"/>
      <c r="I9955" s="8" t="n"/>
      <c r="J9955" s="8" t="n"/>
      <c r="K9955" s="8" t="n"/>
      <c r="L9955" s="8" t="n"/>
      <c r="M9955" s="9">
        <f>B9955+30</f>
        <v/>
      </c>
      <c r="N9955">
        <f>IF(L9955="", "", L9955-B9955)</f>
        <v/>
      </c>
      <c r="O9955">
        <f>IF(L9955="", "Pending", IF(N9955&lt;=30, "Met", "Breached"))</f>
        <v/>
      </c>
      <c r="P9955" s="8" t="n"/>
      <c r="Q9955" s="8" t="n"/>
      <c r="R9955" s="8" t="n"/>
      <c r="S9955" s="8" t="n"/>
      <c r="T9955" s="8" t="n"/>
      <c r="U9955" s="8" t="n"/>
      <c r="V9955" s="8" t="n"/>
      <c r="W9955" s="8" t="n"/>
      <c r="X9955" s="8" t="n"/>
      <c r="Y9955" s="8" t="n"/>
    </row>
    <row r="9956">
      <c r="A9956" s="8" t="n"/>
      <c r="B9956" s="8" t="n"/>
      <c r="C9956" s="8" t="n"/>
      <c r="D9956" s="8" t="n"/>
      <c r="E9956" s="8" t="n"/>
      <c r="F9956" s="8" t="n"/>
      <c r="G9956" s="8" t="n"/>
      <c r="H9956" s="8" t="n"/>
      <c r="I9956" s="8" t="n"/>
      <c r="J9956" s="8" t="n"/>
      <c r="K9956" s="8" t="n"/>
      <c r="L9956" s="8" t="n"/>
      <c r="M9956" s="9">
        <f>B9956+30</f>
        <v/>
      </c>
      <c r="N9956">
        <f>IF(L9956="", "", L9956-B9956)</f>
        <v/>
      </c>
      <c r="O9956">
        <f>IF(L9956="", "Pending", IF(N9956&lt;=30, "Met", "Breached"))</f>
        <v/>
      </c>
      <c r="P9956" s="8" t="n"/>
      <c r="Q9956" s="8" t="n"/>
      <c r="R9956" s="8" t="n"/>
      <c r="S9956" s="8" t="n"/>
      <c r="T9956" s="8" t="n"/>
      <c r="U9956" s="8" t="n"/>
      <c r="V9956" s="8" t="n"/>
      <c r="W9956" s="8" t="n"/>
      <c r="X9956" s="8" t="n"/>
      <c r="Y9956" s="8" t="n"/>
    </row>
    <row r="9957">
      <c r="A9957" s="8" t="n"/>
      <c r="B9957" s="8" t="n"/>
      <c r="C9957" s="8" t="n"/>
      <c r="D9957" s="8" t="n"/>
      <c r="E9957" s="8" t="n"/>
      <c r="F9957" s="8" t="n"/>
      <c r="G9957" s="8" t="n"/>
      <c r="H9957" s="8" t="n"/>
      <c r="I9957" s="8" t="n"/>
      <c r="J9957" s="8" t="n"/>
      <c r="K9957" s="8" t="n"/>
      <c r="L9957" s="8" t="n"/>
      <c r="M9957" s="9">
        <f>B9957+30</f>
        <v/>
      </c>
      <c r="N9957">
        <f>IF(L9957="", "", L9957-B9957)</f>
        <v/>
      </c>
      <c r="O9957">
        <f>IF(L9957="", "Pending", IF(N9957&lt;=30, "Met", "Breached"))</f>
        <v/>
      </c>
      <c r="P9957" s="8" t="n"/>
      <c r="Q9957" s="8" t="n"/>
      <c r="R9957" s="8" t="n"/>
      <c r="S9957" s="8" t="n"/>
      <c r="T9957" s="8" t="n"/>
      <c r="U9957" s="8" t="n"/>
      <c r="V9957" s="8" t="n"/>
      <c r="W9957" s="8" t="n"/>
      <c r="X9957" s="8" t="n"/>
      <c r="Y9957" s="8" t="n"/>
    </row>
    <row r="9958">
      <c r="A9958" s="8" t="n"/>
      <c r="B9958" s="8" t="n"/>
      <c r="C9958" s="8" t="n"/>
      <c r="D9958" s="8" t="n"/>
      <c r="E9958" s="8" t="n"/>
      <c r="F9958" s="8" t="n"/>
      <c r="G9958" s="8" t="n"/>
      <c r="H9958" s="8" t="n"/>
      <c r="I9958" s="8" t="n"/>
      <c r="J9958" s="8" t="n"/>
      <c r="K9958" s="8" t="n"/>
      <c r="L9958" s="8" t="n"/>
      <c r="M9958" s="9">
        <f>B9958+30</f>
        <v/>
      </c>
      <c r="N9958">
        <f>IF(L9958="", "", L9958-B9958)</f>
        <v/>
      </c>
      <c r="O9958">
        <f>IF(L9958="", "Pending", IF(N9958&lt;=30, "Met", "Breached"))</f>
        <v/>
      </c>
      <c r="P9958" s="8" t="n"/>
      <c r="Q9958" s="8" t="n"/>
      <c r="R9958" s="8" t="n"/>
      <c r="S9958" s="8" t="n"/>
      <c r="T9958" s="8" t="n"/>
      <c r="U9958" s="8" t="n"/>
      <c r="V9958" s="8" t="n"/>
      <c r="W9958" s="8" t="n"/>
      <c r="X9958" s="8" t="n"/>
      <c r="Y9958" s="8" t="n"/>
    </row>
    <row r="9959">
      <c r="A9959" s="8" t="n"/>
      <c r="B9959" s="8" t="n"/>
      <c r="C9959" s="8" t="n"/>
      <c r="D9959" s="8" t="n"/>
      <c r="E9959" s="8" t="n"/>
      <c r="F9959" s="8" t="n"/>
      <c r="G9959" s="8" t="n"/>
      <c r="H9959" s="8" t="n"/>
      <c r="I9959" s="8" t="n"/>
      <c r="J9959" s="8" t="n"/>
      <c r="K9959" s="8" t="n"/>
      <c r="L9959" s="8" t="n"/>
      <c r="M9959" s="9">
        <f>B9959+30</f>
        <v/>
      </c>
      <c r="N9959">
        <f>IF(L9959="", "", L9959-B9959)</f>
        <v/>
      </c>
      <c r="O9959">
        <f>IF(L9959="", "Pending", IF(N9959&lt;=30, "Met", "Breached"))</f>
        <v/>
      </c>
      <c r="P9959" s="8" t="n"/>
      <c r="Q9959" s="8" t="n"/>
      <c r="R9959" s="8" t="n"/>
      <c r="S9959" s="8" t="n"/>
      <c r="T9959" s="8" t="n"/>
      <c r="U9959" s="8" t="n"/>
      <c r="V9959" s="8" t="n"/>
      <c r="W9959" s="8" t="n"/>
      <c r="X9959" s="8" t="n"/>
      <c r="Y9959" s="8" t="n"/>
    </row>
    <row r="9960">
      <c r="A9960" s="8" t="n"/>
      <c r="B9960" s="8" t="n"/>
      <c r="C9960" s="8" t="n"/>
      <c r="D9960" s="8" t="n"/>
      <c r="E9960" s="8" t="n"/>
      <c r="F9960" s="8" t="n"/>
      <c r="G9960" s="8" t="n"/>
      <c r="H9960" s="8" t="n"/>
      <c r="I9960" s="8" t="n"/>
      <c r="J9960" s="8" t="n"/>
      <c r="K9960" s="8" t="n"/>
      <c r="L9960" s="8" t="n"/>
      <c r="M9960" s="9">
        <f>B9960+30</f>
        <v/>
      </c>
      <c r="N9960">
        <f>IF(L9960="", "", L9960-B9960)</f>
        <v/>
      </c>
      <c r="O9960">
        <f>IF(L9960="", "Pending", IF(N9960&lt;=30, "Met", "Breached"))</f>
        <v/>
      </c>
      <c r="P9960" s="8" t="n"/>
      <c r="Q9960" s="8" t="n"/>
      <c r="R9960" s="8" t="n"/>
      <c r="S9960" s="8" t="n"/>
      <c r="T9960" s="8" t="n"/>
      <c r="U9960" s="8" t="n"/>
      <c r="V9960" s="8" t="n"/>
      <c r="W9960" s="8" t="n"/>
      <c r="X9960" s="8" t="n"/>
      <c r="Y9960" s="8" t="n"/>
    </row>
    <row r="9961">
      <c r="A9961" s="8" t="n"/>
      <c r="B9961" s="8" t="n"/>
      <c r="C9961" s="8" t="n"/>
      <c r="D9961" s="8" t="n"/>
      <c r="E9961" s="8" t="n"/>
      <c r="F9961" s="8" t="n"/>
      <c r="G9961" s="8" t="n"/>
      <c r="H9961" s="8" t="n"/>
      <c r="I9961" s="8" t="n"/>
      <c r="J9961" s="8" t="n"/>
      <c r="K9961" s="8" t="n"/>
      <c r="L9961" s="8" t="n"/>
      <c r="M9961" s="9">
        <f>B9961+30</f>
        <v/>
      </c>
      <c r="N9961">
        <f>IF(L9961="", "", L9961-B9961)</f>
        <v/>
      </c>
      <c r="O9961">
        <f>IF(L9961="", "Pending", IF(N9961&lt;=30, "Met", "Breached"))</f>
        <v/>
      </c>
      <c r="P9961" s="8" t="n"/>
      <c r="Q9961" s="8" t="n"/>
      <c r="R9961" s="8" t="n"/>
      <c r="S9961" s="8" t="n"/>
      <c r="T9961" s="8" t="n"/>
      <c r="U9961" s="8" t="n"/>
      <c r="V9961" s="8" t="n"/>
      <c r="W9961" s="8" t="n"/>
      <c r="X9961" s="8" t="n"/>
      <c r="Y9961" s="8" t="n"/>
    </row>
    <row r="9962">
      <c r="A9962" s="8" t="n"/>
      <c r="B9962" s="8" t="n"/>
      <c r="C9962" s="8" t="n"/>
      <c r="D9962" s="8" t="n"/>
      <c r="E9962" s="8" t="n"/>
      <c r="F9962" s="8" t="n"/>
      <c r="G9962" s="8" t="n"/>
      <c r="H9962" s="8" t="n"/>
      <c r="I9962" s="8" t="n"/>
      <c r="J9962" s="8" t="n"/>
      <c r="K9962" s="8" t="n"/>
      <c r="L9962" s="8" t="n"/>
      <c r="M9962" s="9">
        <f>B9962+30</f>
        <v/>
      </c>
      <c r="N9962">
        <f>IF(L9962="", "", L9962-B9962)</f>
        <v/>
      </c>
      <c r="O9962">
        <f>IF(L9962="", "Pending", IF(N9962&lt;=30, "Met", "Breached"))</f>
        <v/>
      </c>
      <c r="P9962" s="8" t="n"/>
      <c r="Q9962" s="8" t="n"/>
      <c r="R9962" s="8" t="n"/>
      <c r="S9962" s="8" t="n"/>
      <c r="T9962" s="8" t="n"/>
      <c r="U9962" s="8" t="n"/>
      <c r="V9962" s="8" t="n"/>
      <c r="W9962" s="8" t="n"/>
      <c r="X9962" s="8" t="n"/>
      <c r="Y9962" s="8" t="n"/>
    </row>
    <row r="9963">
      <c r="A9963" s="8" t="n"/>
      <c r="B9963" s="8" t="n"/>
      <c r="C9963" s="8" t="n"/>
      <c r="D9963" s="8" t="n"/>
      <c r="E9963" s="8" t="n"/>
      <c r="F9963" s="8" t="n"/>
      <c r="G9963" s="8" t="n"/>
      <c r="H9963" s="8" t="n"/>
      <c r="I9963" s="8" t="n"/>
      <c r="J9963" s="8" t="n"/>
      <c r="K9963" s="8" t="n"/>
      <c r="L9963" s="8" t="n"/>
      <c r="M9963" s="9">
        <f>B9963+30</f>
        <v/>
      </c>
      <c r="N9963">
        <f>IF(L9963="", "", L9963-B9963)</f>
        <v/>
      </c>
      <c r="O9963">
        <f>IF(L9963="", "Pending", IF(N9963&lt;=30, "Met", "Breached"))</f>
        <v/>
      </c>
      <c r="P9963" s="8" t="n"/>
      <c r="Q9963" s="8" t="n"/>
      <c r="R9963" s="8" t="n"/>
      <c r="S9963" s="8" t="n"/>
      <c r="T9963" s="8" t="n"/>
      <c r="U9963" s="8" t="n"/>
      <c r="V9963" s="8" t="n"/>
      <c r="W9963" s="8" t="n"/>
      <c r="X9963" s="8" t="n"/>
      <c r="Y9963" s="8" t="n"/>
    </row>
    <row r="9964">
      <c r="A9964" s="8" t="n"/>
      <c r="B9964" s="8" t="n"/>
      <c r="C9964" s="8" t="n"/>
      <c r="D9964" s="8" t="n"/>
      <c r="E9964" s="8" t="n"/>
      <c r="F9964" s="8" t="n"/>
      <c r="G9964" s="8" t="n"/>
      <c r="H9964" s="8" t="n"/>
      <c r="I9964" s="8" t="n"/>
      <c r="J9964" s="8" t="n"/>
      <c r="K9964" s="8" t="n"/>
      <c r="L9964" s="8" t="n"/>
      <c r="M9964" s="9">
        <f>B9964+30</f>
        <v/>
      </c>
      <c r="N9964">
        <f>IF(L9964="", "", L9964-B9964)</f>
        <v/>
      </c>
      <c r="O9964">
        <f>IF(L9964="", "Pending", IF(N9964&lt;=30, "Met", "Breached"))</f>
        <v/>
      </c>
      <c r="P9964" s="8" t="n"/>
      <c r="Q9964" s="8" t="n"/>
      <c r="R9964" s="8" t="n"/>
      <c r="S9964" s="8" t="n"/>
      <c r="T9964" s="8" t="n"/>
      <c r="U9964" s="8" t="n"/>
      <c r="V9964" s="8" t="n"/>
      <c r="W9964" s="8" t="n"/>
      <c r="X9964" s="8" t="n"/>
      <c r="Y9964" s="8" t="n"/>
    </row>
    <row r="9965">
      <c r="A9965" s="8" t="n"/>
      <c r="B9965" s="8" t="n"/>
      <c r="C9965" s="8" t="n"/>
      <c r="D9965" s="8" t="n"/>
      <c r="E9965" s="8" t="n"/>
      <c r="F9965" s="8" t="n"/>
      <c r="G9965" s="8" t="n"/>
      <c r="H9965" s="8" t="n"/>
      <c r="I9965" s="8" t="n"/>
      <c r="J9965" s="8" t="n"/>
      <c r="K9965" s="8" t="n"/>
      <c r="L9965" s="8" t="n"/>
      <c r="M9965" s="9">
        <f>B9965+30</f>
        <v/>
      </c>
      <c r="N9965">
        <f>IF(L9965="", "", L9965-B9965)</f>
        <v/>
      </c>
      <c r="O9965">
        <f>IF(L9965="", "Pending", IF(N9965&lt;=30, "Met", "Breached"))</f>
        <v/>
      </c>
      <c r="P9965" s="8" t="n"/>
      <c r="Q9965" s="8" t="n"/>
      <c r="R9965" s="8" t="n"/>
      <c r="S9965" s="8" t="n"/>
      <c r="T9965" s="8" t="n"/>
      <c r="U9965" s="8" t="n"/>
      <c r="V9965" s="8" t="n"/>
      <c r="W9965" s="8" t="n"/>
      <c r="X9965" s="8" t="n"/>
      <c r="Y9965" s="8" t="n"/>
    </row>
    <row r="9966">
      <c r="A9966" s="8" t="n"/>
      <c r="B9966" s="8" t="n"/>
      <c r="C9966" s="8" t="n"/>
      <c r="D9966" s="8" t="n"/>
      <c r="E9966" s="8" t="n"/>
      <c r="F9966" s="8" t="n"/>
      <c r="G9966" s="8" t="n"/>
      <c r="H9966" s="8" t="n"/>
      <c r="I9966" s="8" t="n"/>
      <c r="J9966" s="8" t="n"/>
      <c r="K9966" s="8" t="n"/>
      <c r="L9966" s="8" t="n"/>
      <c r="M9966" s="9">
        <f>B9966+30</f>
        <v/>
      </c>
      <c r="N9966">
        <f>IF(L9966="", "", L9966-B9966)</f>
        <v/>
      </c>
      <c r="O9966">
        <f>IF(L9966="", "Pending", IF(N9966&lt;=30, "Met", "Breached"))</f>
        <v/>
      </c>
      <c r="P9966" s="8" t="n"/>
      <c r="Q9966" s="8" t="n"/>
      <c r="R9966" s="8" t="n"/>
      <c r="S9966" s="8" t="n"/>
      <c r="T9966" s="8" t="n"/>
      <c r="U9966" s="8" t="n"/>
      <c r="V9966" s="8" t="n"/>
      <c r="W9966" s="8" t="n"/>
      <c r="X9966" s="8" t="n"/>
      <c r="Y9966" s="8" t="n"/>
    </row>
    <row r="9967">
      <c r="A9967" s="8" t="n"/>
      <c r="B9967" s="8" t="n"/>
      <c r="C9967" s="8" t="n"/>
      <c r="D9967" s="8" t="n"/>
      <c r="E9967" s="8" t="n"/>
      <c r="F9967" s="8" t="n"/>
      <c r="G9967" s="8" t="n"/>
      <c r="H9967" s="8" t="n"/>
      <c r="I9967" s="8" t="n"/>
      <c r="J9967" s="8" t="n"/>
      <c r="K9967" s="8" t="n"/>
      <c r="L9967" s="8" t="n"/>
      <c r="M9967" s="9">
        <f>B9967+30</f>
        <v/>
      </c>
      <c r="N9967">
        <f>IF(L9967="", "", L9967-B9967)</f>
        <v/>
      </c>
      <c r="O9967">
        <f>IF(L9967="", "Pending", IF(N9967&lt;=30, "Met", "Breached"))</f>
        <v/>
      </c>
      <c r="P9967" s="8" t="n"/>
      <c r="Q9967" s="8" t="n"/>
      <c r="R9967" s="8" t="n"/>
      <c r="S9967" s="8" t="n"/>
      <c r="T9967" s="8" t="n"/>
      <c r="U9967" s="8" t="n"/>
      <c r="V9967" s="8" t="n"/>
      <c r="W9967" s="8" t="n"/>
      <c r="X9967" s="8" t="n"/>
      <c r="Y9967" s="8" t="n"/>
    </row>
    <row r="9968">
      <c r="A9968" s="8" t="n"/>
      <c r="B9968" s="8" t="n"/>
      <c r="C9968" s="8" t="n"/>
      <c r="D9968" s="8" t="n"/>
      <c r="E9968" s="8" t="n"/>
      <c r="F9968" s="8" t="n"/>
      <c r="G9968" s="8" t="n"/>
      <c r="H9968" s="8" t="n"/>
      <c r="I9968" s="8" t="n"/>
      <c r="J9968" s="8" t="n"/>
      <c r="K9968" s="8" t="n"/>
      <c r="L9968" s="8" t="n"/>
      <c r="M9968" s="9">
        <f>B9968+30</f>
        <v/>
      </c>
      <c r="N9968">
        <f>IF(L9968="", "", L9968-B9968)</f>
        <v/>
      </c>
      <c r="O9968">
        <f>IF(L9968="", "Pending", IF(N9968&lt;=30, "Met", "Breached"))</f>
        <v/>
      </c>
      <c r="P9968" s="8" t="n"/>
      <c r="Q9968" s="8" t="n"/>
      <c r="R9968" s="8" t="n"/>
      <c r="S9968" s="8" t="n"/>
      <c r="T9968" s="8" t="n"/>
      <c r="U9968" s="8" t="n"/>
      <c r="V9968" s="8" t="n"/>
      <c r="W9968" s="8" t="n"/>
      <c r="X9968" s="8" t="n"/>
      <c r="Y9968" s="8" t="n"/>
    </row>
    <row r="9969">
      <c r="A9969" s="8" t="n"/>
      <c r="B9969" s="8" t="n"/>
      <c r="C9969" s="8" t="n"/>
      <c r="D9969" s="8" t="n"/>
      <c r="E9969" s="8" t="n"/>
      <c r="F9969" s="8" t="n"/>
      <c r="G9969" s="8" t="n"/>
      <c r="H9969" s="8" t="n"/>
      <c r="I9969" s="8" t="n"/>
      <c r="J9969" s="8" t="n"/>
      <c r="K9969" s="8" t="n"/>
      <c r="L9969" s="8" t="n"/>
      <c r="M9969" s="9">
        <f>B9969+30</f>
        <v/>
      </c>
      <c r="N9969">
        <f>IF(L9969="", "", L9969-B9969)</f>
        <v/>
      </c>
      <c r="O9969">
        <f>IF(L9969="", "Pending", IF(N9969&lt;=30, "Met", "Breached"))</f>
        <v/>
      </c>
      <c r="P9969" s="8" t="n"/>
      <c r="Q9969" s="8" t="n"/>
      <c r="R9969" s="8" t="n"/>
      <c r="S9969" s="8" t="n"/>
      <c r="T9969" s="8" t="n"/>
      <c r="U9969" s="8" t="n"/>
      <c r="V9969" s="8" t="n"/>
      <c r="W9969" s="8" t="n"/>
      <c r="X9969" s="8" t="n"/>
      <c r="Y9969" s="8" t="n"/>
    </row>
    <row r="9970">
      <c r="A9970" s="8" t="n"/>
      <c r="B9970" s="8" t="n"/>
      <c r="C9970" s="8" t="n"/>
      <c r="D9970" s="8" t="n"/>
      <c r="E9970" s="8" t="n"/>
      <c r="F9970" s="8" t="n"/>
      <c r="G9970" s="8" t="n"/>
      <c r="H9970" s="8" t="n"/>
      <c r="I9970" s="8" t="n"/>
      <c r="J9970" s="8" t="n"/>
      <c r="K9970" s="8" t="n"/>
      <c r="L9970" s="8" t="n"/>
      <c r="M9970" s="9">
        <f>B9970+30</f>
        <v/>
      </c>
      <c r="N9970">
        <f>IF(L9970="", "", L9970-B9970)</f>
        <v/>
      </c>
      <c r="O9970">
        <f>IF(L9970="", "Pending", IF(N9970&lt;=30, "Met", "Breached"))</f>
        <v/>
      </c>
      <c r="P9970" s="8" t="n"/>
      <c r="Q9970" s="8" t="n"/>
      <c r="R9970" s="8" t="n"/>
      <c r="S9970" s="8" t="n"/>
      <c r="T9970" s="8" t="n"/>
      <c r="U9970" s="8" t="n"/>
      <c r="V9970" s="8" t="n"/>
      <c r="W9970" s="8" t="n"/>
      <c r="X9970" s="8" t="n"/>
      <c r="Y9970" s="8" t="n"/>
    </row>
    <row r="9971">
      <c r="A9971" s="8" t="n"/>
      <c r="B9971" s="8" t="n"/>
      <c r="C9971" s="8" t="n"/>
      <c r="D9971" s="8" t="n"/>
      <c r="E9971" s="8" t="n"/>
      <c r="F9971" s="8" t="n"/>
      <c r="G9971" s="8" t="n"/>
      <c r="H9971" s="8" t="n"/>
      <c r="I9971" s="8" t="n"/>
      <c r="J9971" s="8" t="n"/>
      <c r="K9971" s="8" t="n"/>
      <c r="L9971" s="8" t="n"/>
      <c r="M9971" s="9">
        <f>B9971+30</f>
        <v/>
      </c>
      <c r="N9971">
        <f>IF(L9971="", "", L9971-B9971)</f>
        <v/>
      </c>
      <c r="O9971">
        <f>IF(L9971="", "Pending", IF(N9971&lt;=30, "Met", "Breached"))</f>
        <v/>
      </c>
      <c r="P9971" s="8" t="n"/>
      <c r="Q9971" s="8" t="n"/>
      <c r="R9971" s="8" t="n"/>
      <c r="S9971" s="8" t="n"/>
      <c r="T9971" s="8" t="n"/>
      <c r="U9971" s="8" t="n"/>
      <c r="V9971" s="8" t="n"/>
      <c r="W9971" s="8" t="n"/>
      <c r="X9971" s="8" t="n"/>
      <c r="Y9971" s="8" t="n"/>
    </row>
    <row r="9972">
      <c r="A9972" s="8" t="n"/>
      <c r="B9972" s="8" t="n"/>
      <c r="C9972" s="8" t="n"/>
      <c r="D9972" s="8" t="n"/>
      <c r="E9972" s="8" t="n"/>
      <c r="F9972" s="8" t="n"/>
      <c r="G9972" s="8" t="n"/>
      <c r="H9972" s="8" t="n"/>
      <c r="I9972" s="8" t="n"/>
      <c r="J9972" s="8" t="n"/>
      <c r="K9972" s="8" t="n"/>
      <c r="L9972" s="8" t="n"/>
      <c r="M9972" s="9">
        <f>B9972+30</f>
        <v/>
      </c>
      <c r="N9972">
        <f>IF(L9972="", "", L9972-B9972)</f>
        <v/>
      </c>
      <c r="O9972">
        <f>IF(L9972="", "Pending", IF(N9972&lt;=30, "Met", "Breached"))</f>
        <v/>
      </c>
      <c r="P9972" s="8" t="n"/>
      <c r="Q9972" s="8" t="n"/>
      <c r="R9972" s="8" t="n"/>
      <c r="S9972" s="8" t="n"/>
      <c r="T9972" s="8" t="n"/>
      <c r="U9972" s="8" t="n"/>
      <c r="V9972" s="8" t="n"/>
      <c r="W9972" s="8" t="n"/>
      <c r="X9972" s="8" t="n"/>
      <c r="Y9972" s="8" t="n"/>
    </row>
    <row r="9973">
      <c r="A9973" s="8" t="n"/>
      <c r="B9973" s="8" t="n"/>
      <c r="C9973" s="8" t="n"/>
      <c r="D9973" s="8" t="n"/>
      <c r="E9973" s="8" t="n"/>
      <c r="F9973" s="8" t="n"/>
      <c r="G9973" s="8" t="n"/>
      <c r="H9973" s="8" t="n"/>
      <c r="I9973" s="8" t="n"/>
      <c r="J9973" s="8" t="n"/>
      <c r="K9973" s="8" t="n"/>
      <c r="L9973" s="8" t="n"/>
      <c r="M9973" s="9">
        <f>B9973+30</f>
        <v/>
      </c>
      <c r="N9973">
        <f>IF(L9973="", "", L9973-B9973)</f>
        <v/>
      </c>
      <c r="O9973">
        <f>IF(L9973="", "Pending", IF(N9973&lt;=30, "Met", "Breached"))</f>
        <v/>
      </c>
      <c r="P9973" s="8" t="n"/>
      <c r="Q9973" s="8" t="n"/>
      <c r="R9973" s="8" t="n"/>
      <c r="S9973" s="8" t="n"/>
      <c r="T9973" s="8" t="n"/>
      <c r="U9973" s="8" t="n"/>
      <c r="V9973" s="8" t="n"/>
      <c r="W9973" s="8" t="n"/>
      <c r="X9973" s="8" t="n"/>
      <c r="Y9973" s="8" t="n"/>
    </row>
    <row r="9974">
      <c r="A9974" s="8" t="n"/>
      <c r="B9974" s="8" t="n"/>
      <c r="C9974" s="8" t="n"/>
      <c r="D9974" s="8" t="n"/>
      <c r="E9974" s="8" t="n"/>
      <c r="F9974" s="8" t="n"/>
      <c r="G9974" s="8" t="n"/>
      <c r="H9974" s="8" t="n"/>
      <c r="I9974" s="8" t="n"/>
      <c r="J9974" s="8" t="n"/>
      <c r="K9974" s="8" t="n"/>
      <c r="L9974" s="8" t="n"/>
      <c r="M9974" s="9">
        <f>B9974+30</f>
        <v/>
      </c>
      <c r="N9974">
        <f>IF(L9974="", "", L9974-B9974)</f>
        <v/>
      </c>
      <c r="O9974">
        <f>IF(L9974="", "Pending", IF(N9974&lt;=30, "Met", "Breached"))</f>
        <v/>
      </c>
      <c r="P9974" s="8" t="n"/>
      <c r="Q9974" s="8" t="n"/>
      <c r="R9974" s="8" t="n"/>
      <c r="S9974" s="8" t="n"/>
      <c r="T9974" s="8" t="n"/>
      <c r="U9974" s="8" t="n"/>
      <c r="V9974" s="8" t="n"/>
      <c r="W9974" s="8" t="n"/>
      <c r="X9974" s="8" t="n"/>
      <c r="Y9974" s="8" t="n"/>
    </row>
    <row r="9975">
      <c r="A9975" s="8" t="n"/>
      <c r="B9975" s="8" t="n"/>
      <c r="C9975" s="8" t="n"/>
      <c r="D9975" s="8" t="n"/>
      <c r="E9975" s="8" t="n"/>
      <c r="F9975" s="8" t="n"/>
      <c r="G9975" s="8" t="n"/>
      <c r="H9975" s="8" t="n"/>
      <c r="I9975" s="8" t="n"/>
      <c r="J9975" s="8" t="n"/>
      <c r="K9975" s="8" t="n"/>
      <c r="L9975" s="8" t="n"/>
      <c r="M9975" s="9">
        <f>B9975+30</f>
        <v/>
      </c>
      <c r="N9975">
        <f>IF(L9975="", "", L9975-B9975)</f>
        <v/>
      </c>
      <c r="O9975">
        <f>IF(L9975="", "Pending", IF(N9975&lt;=30, "Met", "Breached"))</f>
        <v/>
      </c>
      <c r="P9975" s="8" t="n"/>
      <c r="Q9975" s="8" t="n"/>
      <c r="R9975" s="8" t="n"/>
      <c r="S9975" s="8" t="n"/>
      <c r="T9975" s="8" t="n"/>
      <c r="U9975" s="8" t="n"/>
      <c r="V9975" s="8" t="n"/>
      <c r="W9975" s="8" t="n"/>
      <c r="X9975" s="8" t="n"/>
      <c r="Y9975" s="8" t="n"/>
    </row>
    <row r="9976">
      <c r="A9976" s="8" t="n"/>
      <c r="B9976" s="8" t="n"/>
      <c r="C9976" s="8" t="n"/>
      <c r="D9976" s="8" t="n"/>
      <c r="E9976" s="8" t="n"/>
      <c r="F9976" s="8" t="n"/>
      <c r="G9976" s="8" t="n"/>
      <c r="H9976" s="8" t="n"/>
      <c r="I9976" s="8" t="n"/>
      <c r="J9976" s="8" t="n"/>
      <c r="K9976" s="8" t="n"/>
      <c r="L9976" s="8" t="n"/>
      <c r="M9976" s="9">
        <f>B9976+30</f>
        <v/>
      </c>
      <c r="N9976">
        <f>IF(L9976="", "", L9976-B9976)</f>
        <v/>
      </c>
      <c r="O9976">
        <f>IF(L9976="", "Pending", IF(N9976&lt;=30, "Met", "Breached"))</f>
        <v/>
      </c>
      <c r="P9976" s="8" t="n"/>
      <c r="Q9976" s="8" t="n"/>
      <c r="R9976" s="8" t="n"/>
      <c r="S9976" s="8" t="n"/>
      <c r="T9976" s="8" t="n"/>
      <c r="U9976" s="8" t="n"/>
      <c r="V9976" s="8" t="n"/>
      <c r="W9976" s="8" t="n"/>
      <c r="X9976" s="8" t="n"/>
      <c r="Y9976" s="8" t="n"/>
    </row>
    <row r="9977">
      <c r="A9977" s="8" t="n"/>
      <c r="B9977" s="8" t="n"/>
      <c r="C9977" s="8" t="n"/>
      <c r="D9977" s="8" t="n"/>
      <c r="E9977" s="8" t="n"/>
      <c r="F9977" s="8" t="n"/>
      <c r="G9977" s="8" t="n"/>
      <c r="H9977" s="8" t="n"/>
      <c r="I9977" s="8" t="n"/>
      <c r="J9977" s="8" t="n"/>
      <c r="K9977" s="8" t="n"/>
      <c r="L9977" s="8" t="n"/>
      <c r="M9977" s="9">
        <f>B9977+30</f>
        <v/>
      </c>
      <c r="N9977">
        <f>IF(L9977="", "", L9977-B9977)</f>
        <v/>
      </c>
      <c r="O9977">
        <f>IF(L9977="", "Pending", IF(N9977&lt;=30, "Met", "Breached"))</f>
        <v/>
      </c>
      <c r="P9977" s="8" t="n"/>
      <c r="Q9977" s="8" t="n"/>
      <c r="R9977" s="8" t="n"/>
      <c r="S9977" s="8" t="n"/>
      <c r="T9977" s="8" t="n"/>
      <c r="U9977" s="8" t="n"/>
      <c r="V9977" s="8" t="n"/>
      <c r="W9977" s="8" t="n"/>
      <c r="X9977" s="8" t="n"/>
      <c r="Y9977" s="8" t="n"/>
    </row>
    <row r="9978">
      <c r="A9978" s="8" t="n"/>
      <c r="B9978" s="8" t="n"/>
      <c r="C9978" s="8" t="n"/>
      <c r="D9978" s="8" t="n"/>
      <c r="E9978" s="8" t="n"/>
      <c r="F9978" s="8" t="n"/>
      <c r="G9978" s="8" t="n"/>
      <c r="H9978" s="8" t="n"/>
      <c r="I9978" s="8" t="n"/>
      <c r="J9978" s="8" t="n"/>
      <c r="K9978" s="8" t="n"/>
      <c r="L9978" s="8" t="n"/>
      <c r="M9978" s="9">
        <f>B9978+30</f>
        <v/>
      </c>
      <c r="N9978">
        <f>IF(L9978="", "", L9978-B9978)</f>
        <v/>
      </c>
      <c r="O9978">
        <f>IF(L9978="", "Pending", IF(N9978&lt;=30, "Met", "Breached"))</f>
        <v/>
      </c>
      <c r="P9978" s="8" t="n"/>
      <c r="Q9978" s="8" t="n"/>
      <c r="R9978" s="8" t="n"/>
      <c r="S9978" s="8" t="n"/>
      <c r="T9978" s="8" t="n"/>
      <c r="U9978" s="8" t="n"/>
      <c r="V9978" s="8" t="n"/>
      <c r="W9978" s="8" t="n"/>
      <c r="X9978" s="8" t="n"/>
      <c r="Y9978" s="8" t="n"/>
    </row>
    <row r="9979">
      <c r="A9979" s="8" t="n"/>
      <c r="B9979" s="8" t="n"/>
      <c r="C9979" s="8" t="n"/>
      <c r="D9979" s="8" t="n"/>
      <c r="E9979" s="8" t="n"/>
      <c r="F9979" s="8" t="n"/>
      <c r="G9979" s="8" t="n"/>
      <c r="H9979" s="8" t="n"/>
      <c r="I9979" s="8" t="n"/>
      <c r="J9979" s="8" t="n"/>
      <c r="K9979" s="8" t="n"/>
      <c r="L9979" s="8" t="n"/>
      <c r="M9979" s="9">
        <f>B9979+30</f>
        <v/>
      </c>
      <c r="N9979">
        <f>IF(L9979="", "", L9979-B9979)</f>
        <v/>
      </c>
      <c r="O9979">
        <f>IF(L9979="", "Pending", IF(N9979&lt;=30, "Met", "Breached"))</f>
        <v/>
      </c>
      <c r="P9979" s="8" t="n"/>
      <c r="Q9979" s="8" t="n"/>
      <c r="R9979" s="8" t="n"/>
      <c r="S9979" s="8" t="n"/>
      <c r="T9979" s="8" t="n"/>
      <c r="U9979" s="8" t="n"/>
      <c r="V9979" s="8" t="n"/>
      <c r="W9979" s="8" t="n"/>
      <c r="X9979" s="8" t="n"/>
      <c r="Y9979" s="8" t="n"/>
    </row>
    <row r="9980">
      <c r="A9980" s="8" t="n"/>
      <c r="B9980" s="8" t="n"/>
      <c r="C9980" s="8" t="n"/>
      <c r="D9980" s="8" t="n"/>
      <c r="E9980" s="8" t="n"/>
      <c r="F9980" s="8" t="n"/>
      <c r="G9980" s="8" t="n"/>
      <c r="H9980" s="8" t="n"/>
      <c r="I9980" s="8" t="n"/>
      <c r="J9980" s="8" t="n"/>
      <c r="K9980" s="8" t="n"/>
      <c r="L9980" s="8" t="n"/>
      <c r="M9980" s="9">
        <f>B9980+30</f>
        <v/>
      </c>
      <c r="N9980">
        <f>IF(L9980="", "", L9980-B9980)</f>
        <v/>
      </c>
      <c r="O9980">
        <f>IF(L9980="", "Pending", IF(N9980&lt;=30, "Met", "Breached"))</f>
        <v/>
      </c>
      <c r="P9980" s="8" t="n"/>
      <c r="Q9980" s="8" t="n"/>
      <c r="R9980" s="8" t="n"/>
      <c r="S9980" s="8" t="n"/>
      <c r="T9980" s="8" t="n"/>
      <c r="U9980" s="8" t="n"/>
      <c r="V9980" s="8" t="n"/>
      <c r="W9980" s="8" t="n"/>
      <c r="X9980" s="8" t="n"/>
      <c r="Y9980" s="8" t="n"/>
    </row>
    <row r="9981">
      <c r="A9981" s="8" t="n"/>
      <c r="B9981" s="8" t="n"/>
      <c r="C9981" s="8" t="n"/>
      <c r="D9981" s="8" t="n"/>
      <c r="E9981" s="8" t="n"/>
      <c r="F9981" s="8" t="n"/>
      <c r="G9981" s="8" t="n"/>
      <c r="H9981" s="8" t="n"/>
      <c r="I9981" s="8" t="n"/>
      <c r="J9981" s="8" t="n"/>
      <c r="K9981" s="8" t="n"/>
      <c r="L9981" s="8" t="n"/>
      <c r="M9981" s="9">
        <f>B9981+30</f>
        <v/>
      </c>
      <c r="N9981">
        <f>IF(L9981="", "", L9981-B9981)</f>
        <v/>
      </c>
      <c r="O9981">
        <f>IF(L9981="", "Pending", IF(N9981&lt;=30, "Met", "Breached"))</f>
        <v/>
      </c>
      <c r="P9981" s="8" t="n"/>
      <c r="Q9981" s="8" t="n"/>
      <c r="R9981" s="8" t="n"/>
      <c r="S9981" s="8" t="n"/>
      <c r="T9981" s="8" t="n"/>
      <c r="U9981" s="8" t="n"/>
      <c r="V9981" s="8" t="n"/>
      <c r="W9981" s="8" t="n"/>
      <c r="X9981" s="8" t="n"/>
      <c r="Y9981" s="8" t="n"/>
    </row>
    <row r="9982">
      <c r="A9982" s="8" t="n"/>
      <c r="B9982" s="8" t="n"/>
      <c r="C9982" s="8" t="n"/>
      <c r="D9982" s="8" t="n"/>
      <c r="E9982" s="8" t="n"/>
      <c r="F9982" s="8" t="n"/>
      <c r="G9982" s="8" t="n"/>
      <c r="H9982" s="8" t="n"/>
      <c r="I9982" s="8" t="n"/>
      <c r="J9982" s="8" t="n"/>
      <c r="K9982" s="8" t="n"/>
      <c r="L9982" s="8" t="n"/>
      <c r="M9982" s="9">
        <f>B9982+30</f>
        <v/>
      </c>
      <c r="N9982">
        <f>IF(L9982="", "", L9982-B9982)</f>
        <v/>
      </c>
      <c r="O9982">
        <f>IF(L9982="", "Pending", IF(N9982&lt;=30, "Met", "Breached"))</f>
        <v/>
      </c>
      <c r="P9982" s="8" t="n"/>
      <c r="Q9982" s="8" t="n"/>
      <c r="R9982" s="8" t="n"/>
      <c r="S9982" s="8" t="n"/>
      <c r="T9982" s="8" t="n"/>
      <c r="U9982" s="8" t="n"/>
      <c r="V9982" s="8" t="n"/>
      <c r="W9982" s="8" t="n"/>
      <c r="X9982" s="8" t="n"/>
      <c r="Y9982" s="8" t="n"/>
    </row>
    <row r="9983">
      <c r="A9983" s="8" t="n"/>
      <c r="B9983" s="8" t="n"/>
      <c r="C9983" s="8" t="n"/>
      <c r="D9983" s="8" t="n"/>
      <c r="E9983" s="8" t="n"/>
      <c r="F9983" s="8" t="n"/>
      <c r="G9983" s="8" t="n"/>
      <c r="H9983" s="8" t="n"/>
      <c r="I9983" s="8" t="n"/>
      <c r="J9983" s="8" t="n"/>
      <c r="K9983" s="8" t="n"/>
      <c r="L9983" s="8" t="n"/>
      <c r="M9983" s="9">
        <f>B9983+30</f>
        <v/>
      </c>
      <c r="N9983">
        <f>IF(L9983="", "", L9983-B9983)</f>
        <v/>
      </c>
      <c r="O9983">
        <f>IF(L9983="", "Pending", IF(N9983&lt;=30, "Met", "Breached"))</f>
        <v/>
      </c>
      <c r="P9983" s="8" t="n"/>
      <c r="Q9983" s="8" t="n"/>
      <c r="R9983" s="8" t="n"/>
      <c r="S9983" s="8" t="n"/>
      <c r="T9983" s="8" t="n"/>
      <c r="U9983" s="8" t="n"/>
      <c r="V9983" s="8" t="n"/>
      <c r="W9983" s="8" t="n"/>
      <c r="X9983" s="8" t="n"/>
      <c r="Y9983" s="8" t="n"/>
    </row>
    <row r="9984">
      <c r="A9984" s="8" t="n"/>
      <c r="B9984" s="8" t="n"/>
      <c r="C9984" s="8" t="n"/>
      <c r="D9984" s="8" t="n"/>
      <c r="E9984" s="8" t="n"/>
      <c r="F9984" s="8" t="n"/>
      <c r="G9984" s="8" t="n"/>
      <c r="H9984" s="8" t="n"/>
      <c r="I9984" s="8" t="n"/>
      <c r="J9984" s="8" t="n"/>
      <c r="K9984" s="8" t="n"/>
      <c r="L9984" s="8" t="n"/>
      <c r="M9984" s="9">
        <f>B9984+30</f>
        <v/>
      </c>
      <c r="N9984">
        <f>IF(L9984="", "", L9984-B9984)</f>
        <v/>
      </c>
      <c r="O9984">
        <f>IF(L9984="", "Pending", IF(N9984&lt;=30, "Met", "Breached"))</f>
        <v/>
      </c>
      <c r="P9984" s="8" t="n"/>
      <c r="Q9984" s="8" t="n"/>
      <c r="R9984" s="8" t="n"/>
      <c r="S9984" s="8" t="n"/>
      <c r="T9984" s="8" t="n"/>
      <c r="U9984" s="8" t="n"/>
      <c r="V9984" s="8" t="n"/>
      <c r="W9984" s="8" t="n"/>
      <c r="X9984" s="8" t="n"/>
      <c r="Y9984" s="8" t="n"/>
    </row>
    <row r="9985">
      <c r="A9985" s="8" t="n"/>
      <c r="B9985" s="8" t="n"/>
      <c r="C9985" s="8" t="n"/>
      <c r="D9985" s="8" t="n"/>
      <c r="E9985" s="8" t="n"/>
      <c r="F9985" s="8" t="n"/>
      <c r="G9985" s="8" t="n"/>
      <c r="H9985" s="8" t="n"/>
      <c r="I9985" s="8" t="n"/>
      <c r="J9985" s="8" t="n"/>
      <c r="K9985" s="8" t="n"/>
      <c r="L9985" s="8" t="n"/>
      <c r="M9985" s="9">
        <f>B9985+30</f>
        <v/>
      </c>
      <c r="N9985">
        <f>IF(L9985="", "", L9985-B9985)</f>
        <v/>
      </c>
      <c r="O9985">
        <f>IF(L9985="", "Pending", IF(N9985&lt;=30, "Met", "Breached"))</f>
        <v/>
      </c>
      <c r="P9985" s="8" t="n"/>
      <c r="Q9985" s="8" t="n"/>
      <c r="R9985" s="8" t="n"/>
      <c r="S9985" s="8" t="n"/>
      <c r="T9985" s="8" t="n"/>
      <c r="U9985" s="8" t="n"/>
      <c r="V9985" s="8" t="n"/>
      <c r="W9985" s="8" t="n"/>
      <c r="X9985" s="8" t="n"/>
      <c r="Y9985" s="8" t="n"/>
    </row>
    <row r="9986">
      <c r="A9986" s="8" t="n"/>
      <c r="B9986" s="8" t="n"/>
      <c r="C9986" s="8" t="n"/>
      <c r="D9986" s="8" t="n"/>
      <c r="E9986" s="8" t="n"/>
      <c r="F9986" s="8" t="n"/>
      <c r="G9986" s="8" t="n"/>
      <c r="H9986" s="8" t="n"/>
      <c r="I9986" s="8" t="n"/>
      <c r="J9986" s="8" t="n"/>
      <c r="K9986" s="8" t="n"/>
      <c r="L9986" s="8" t="n"/>
      <c r="M9986" s="9">
        <f>B9986+30</f>
        <v/>
      </c>
      <c r="N9986">
        <f>IF(L9986="", "", L9986-B9986)</f>
        <v/>
      </c>
      <c r="O9986">
        <f>IF(L9986="", "Pending", IF(N9986&lt;=30, "Met", "Breached"))</f>
        <v/>
      </c>
      <c r="P9986" s="8" t="n"/>
      <c r="Q9986" s="8" t="n"/>
      <c r="R9986" s="8" t="n"/>
      <c r="S9986" s="8" t="n"/>
      <c r="T9986" s="8" t="n"/>
      <c r="U9986" s="8" t="n"/>
      <c r="V9986" s="8" t="n"/>
      <c r="W9986" s="8" t="n"/>
      <c r="X9986" s="8" t="n"/>
      <c r="Y9986" s="8" t="n"/>
    </row>
    <row r="9987">
      <c r="A9987" s="8" t="n"/>
      <c r="B9987" s="8" t="n"/>
      <c r="C9987" s="8" t="n"/>
      <c r="D9987" s="8" t="n"/>
      <c r="E9987" s="8" t="n"/>
      <c r="F9987" s="8" t="n"/>
      <c r="G9987" s="8" t="n"/>
      <c r="H9987" s="8" t="n"/>
      <c r="I9987" s="8" t="n"/>
      <c r="J9987" s="8" t="n"/>
      <c r="K9987" s="8" t="n"/>
      <c r="L9987" s="8" t="n"/>
      <c r="M9987" s="9">
        <f>B9987+30</f>
        <v/>
      </c>
      <c r="N9987">
        <f>IF(L9987="", "", L9987-B9987)</f>
        <v/>
      </c>
      <c r="O9987">
        <f>IF(L9987="", "Pending", IF(N9987&lt;=30, "Met", "Breached"))</f>
        <v/>
      </c>
      <c r="P9987" s="8" t="n"/>
      <c r="Q9987" s="8" t="n"/>
      <c r="R9987" s="8" t="n"/>
      <c r="S9987" s="8" t="n"/>
      <c r="T9987" s="8" t="n"/>
      <c r="U9987" s="8" t="n"/>
      <c r="V9987" s="8" t="n"/>
      <c r="W9987" s="8" t="n"/>
      <c r="X9987" s="8" t="n"/>
      <c r="Y9987" s="8" t="n"/>
    </row>
    <row r="9988">
      <c r="A9988" s="8" t="n"/>
      <c r="B9988" s="8" t="n"/>
      <c r="C9988" s="8" t="n"/>
      <c r="D9988" s="8" t="n"/>
      <c r="E9988" s="8" t="n"/>
      <c r="F9988" s="8" t="n"/>
      <c r="G9988" s="8" t="n"/>
      <c r="H9988" s="8" t="n"/>
      <c r="I9988" s="8" t="n"/>
      <c r="J9988" s="8" t="n"/>
      <c r="K9988" s="8" t="n"/>
      <c r="L9988" s="8" t="n"/>
      <c r="M9988" s="9">
        <f>B9988+30</f>
        <v/>
      </c>
      <c r="N9988">
        <f>IF(L9988="", "", L9988-B9988)</f>
        <v/>
      </c>
      <c r="O9988">
        <f>IF(L9988="", "Pending", IF(N9988&lt;=30, "Met", "Breached"))</f>
        <v/>
      </c>
      <c r="P9988" s="8" t="n"/>
      <c r="Q9988" s="8" t="n"/>
      <c r="R9988" s="8" t="n"/>
      <c r="S9988" s="8" t="n"/>
      <c r="T9988" s="8" t="n"/>
      <c r="U9988" s="8" t="n"/>
      <c r="V9988" s="8" t="n"/>
      <c r="W9988" s="8" t="n"/>
      <c r="X9988" s="8" t="n"/>
      <c r="Y9988" s="8" t="n"/>
    </row>
    <row r="9989">
      <c r="A9989" s="8" t="n"/>
      <c r="B9989" s="8" t="n"/>
      <c r="C9989" s="8" t="n"/>
      <c r="D9989" s="8" t="n"/>
      <c r="E9989" s="8" t="n"/>
      <c r="F9989" s="8" t="n"/>
      <c r="G9989" s="8" t="n"/>
      <c r="H9989" s="8" t="n"/>
      <c r="I9989" s="8" t="n"/>
      <c r="J9989" s="8" t="n"/>
      <c r="K9989" s="8" t="n"/>
      <c r="L9989" s="8" t="n"/>
      <c r="M9989" s="9">
        <f>B9989+30</f>
        <v/>
      </c>
      <c r="N9989">
        <f>IF(L9989="", "", L9989-B9989)</f>
        <v/>
      </c>
      <c r="O9989">
        <f>IF(L9989="", "Pending", IF(N9989&lt;=30, "Met", "Breached"))</f>
        <v/>
      </c>
      <c r="P9989" s="8" t="n"/>
      <c r="Q9989" s="8" t="n"/>
      <c r="R9989" s="8" t="n"/>
      <c r="S9989" s="8" t="n"/>
      <c r="T9989" s="8" t="n"/>
      <c r="U9989" s="8" t="n"/>
      <c r="V9989" s="8" t="n"/>
      <c r="W9989" s="8" t="n"/>
      <c r="X9989" s="8" t="n"/>
      <c r="Y9989" s="8" t="n"/>
    </row>
    <row r="9990">
      <c r="A9990" s="8" t="n"/>
      <c r="B9990" s="8" t="n"/>
      <c r="C9990" s="8" t="n"/>
      <c r="D9990" s="8" t="n"/>
      <c r="E9990" s="8" t="n"/>
      <c r="F9990" s="8" t="n"/>
      <c r="G9990" s="8" t="n"/>
      <c r="H9990" s="8" t="n"/>
      <c r="I9990" s="8" t="n"/>
      <c r="J9990" s="8" t="n"/>
      <c r="K9990" s="8" t="n"/>
      <c r="L9990" s="8" t="n"/>
      <c r="M9990" s="9">
        <f>B9990+30</f>
        <v/>
      </c>
      <c r="N9990">
        <f>IF(L9990="", "", L9990-B9990)</f>
        <v/>
      </c>
      <c r="O9990">
        <f>IF(L9990="", "Pending", IF(N9990&lt;=30, "Met", "Breached"))</f>
        <v/>
      </c>
      <c r="P9990" s="8" t="n"/>
      <c r="Q9990" s="8" t="n"/>
      <c r="R9990" s="8" t="n"/>
      <c r="S9990" s="8" t="n"/>
      <c r="T9990" s="8" t="n"/>
      <c r="U9990" s="8" t="n"/>
      <c r="V9990" s="8" t="n"/>
      <c r="W9990" s="8" t="n"/>
      <c r="X9990" s="8" t="n"/>
      <c r="Y9990" s="8" t="n"/>
    </row>
    <row r="9991">
      <c r="A9991" s="8" t="n"/>
      <c r="B9991" s="8" t="n"/>
      <c r="C9991" s="8" t="n"/>
      <c r="D9991" s="8" t="n"/>
      <c r="E9991" s="8" t="n"/>
      <c r="F9991" s="8" t="n"/>
      <c r="G9991" s="8" t="n"/>
      <c r="H9991" s="8" t="n"/>
      <c r="I9991" s="8" t="n"/>
      <c r="J9991" s="8" t="n"/>
      <c r="K9991" s="8" t="n"/>
      <c r="L9991" s="8" t="n"/>
      <c r="M9991" s="9">
        <f>B9991+30</f>
        <v/>
      </c>
      <c r="N9991">
        <f>IF(L9991="", "", L9991-B9991)</f>
        <v/>
      </c>
      <c r="O9991">
        <f>IF(L9991="", "Pending", IF(N9991&lt;=30, "Met", "Breached"))</f>
        <v/>
      </c>
      <c r="P9991" s="8" t="n"/>
      <c r="Q9991" s="8" t="n"/>
      <c r="R9991" s="8" t="n"/>
      <c r="S9991" s="8" t="n"/>
      <c r="T9991" s="8" t="n"/>
      <c r="U9991" s="8" t="n"/>
      <c r="V9991" s="8" t="n"/>
      <c r="W9991" s="8" t="n"/>
      <c r="X9991" s="8" t="n"/>
      <c r="Y9991" s="8" t="n"/>
    </row>
    <row r="9992">
      <c r="A9992" s="8" t="n"/>
      <c r="B9992" s="8" t="n"/>
      <c r="C9992" s="8" t="n"/>
      <c r="D9992" s="8" t="n"/>
      <c r="E9992" s="8" t="n"/>
      <c r="F9992" s="8" t="n"/>
      <c r="G9992" s="8" t="n"/>
      <c r="H9992" s="8" t="n"/>
      <c r="I9992" s="8" t="n"/>
      <c r="J9992" s="8" t="n"/>
      <c r="K9992" s="8" t="n"/>
      <c r="L9992" s="8" t="n"/>
      <c r="M9992" s="9">
        <f>B9992+30</f>
        <v/>
      </c>
      <c r="N9992">
        <f>IF(L9992="", "", L9992-B9992)</f>
        <v/>
      </c>
      <c r="O9992">
        <f>IF(L9992="", "Pending", IF(N9992&lt;=30, "Met", "Breached"))</f>
        <v/>
      </c>
      <c r="P9992" s="8" t="n"/>
      <c r="Q9992" s="8" t="n"/>
      <c r="R9992" s="8" t="n"/>
      <c r="S9992" s="8" t="n"/>
      <c r="T9992" s="8" t="n"/>
      <c r="U9992" s="8" t="n"/>
      <c r="V9992" s="8" t="n"/>
      <c r="W9992" s="8" t="n"/>
      <c r="X9992" s="8" t="n"/>
      <c r="Y9992" s="8" t="n"/>
    </row>
    <row r="9993">
      <c r="A9993" s="8" t="n"/>
      <c r="B9993" s="8" t="n"/>
      <c r="C9993" s="8" t="n"/>
      <c r="D9993" s="8" t="n"/>
      <c r="E9993" s="8" t="n"/>
      <c r="F9993" s="8" t="n"/>
      <c r="G9993" s="8" t="n"/>
      <c r="H9993" s="8" t="n"/>
      <c r="I9993" s="8" t="n"/>
      <c r="J9993" s="8" t="n"/>
      <c r="K9993" s="8" t="n"/>
      <c r="L9993" s="8" t="n"/>
      <c r="M9993" s="9">
        <f>B9993+30</f>
        <v/>
      </c>
      <c r="N9993">
        <f>IF(L9993="", "", L9993-B9993)</f>
        <v/>
      </c>
      <c r="O9993">
        <f>IF(L9993="", "Pending", IF(N9993&lt;=30, "Met", "Breached"))</f>
        <v/>
      </c>
      <c r="P9993" s="8" t="n"/>
      <c r="Q9993" s="8" t="n"/>
      <c r="R9993" s="8" t="n"/>
      <c r="S9993" s="8" t="n"/>
      <c r="T9993" s="8" t="n"/>
      <c r="U9993" s="8" t="n"/>
      <c r="V9993" s="8" t="n"/>
      <c r="W9993" s="8" t="n"/>
      <c r="X9993" s="8" t="n"/>
      <c r="Y9993" s="8" t="n"/>
    </row>
    <row r="9994">
      <c r="A9994" s="8" t="n"/>
      <c r="B9994" s="8" t="n"/>
      <c r="C9994" s="8" t="n"/>
      <c r="D9994" s="8" t="n"/>
      <c r="E9994" s="8" t="n"/>
      <c r="F9994" s="8" t="n"/>
      <c r="G9994" s="8" t="n"/>
      <c r="H9994" s="8" t="n"/>
      <c r="I9994" s="8" t="n"/>
      <c r="J9994" s="8" t="n"/>
      <c r="K9994" s="8" t="n"/>
      <c r="L9994" s="8" t="n"/>
      <c r="M9994" s="9">
        <f>B9994+30</f>
        <v/>
      </c>
      <c r="N9994">
        <f>IF(L9994="", "", L9994-B9994)</f>
        <v/>
      </c>
      <c r="O9994">
        <f>IF(L9994="", "Pending", IF(N9994&lt;=30, "Met", "Breached"))</f>
        <v/>
      </c>
      <c r="P9994" s="8" t="n"/>
      <c r="Q9994" s="8" t="n"/>
      <c r="R9994" s="8" t="n"/>
      <c r="S9994" s="8" t="n"/>
      <c r="T9994" s="8" t="n"/>
      <c r="U9994" s="8" t="n"/>
      <c r="V9994" s="8" t="n"/>
      <c r="W9994" s="8" t="n"/>
      <c r="X9994" s="8" t="n"/>
      <c r="Y9994" s="8" t="n"/>
    </row>
    <row r="9995">
      <c r="A9995" s="8" t="n"/>
      <c r="B9995" s="8" t="n"/>
      <c r="C9995" s="8" t="n"/>
      <c r="D9995" s="8" t="n"/>
      <c r="E9995" s="8" t="n"/>
      <c r="F9995" s="8" t="n"/>
      <c r="G9995" s="8" t="n"/>
      <c r="H9995" s="8" t="n"/>
      <c r="I9995" s="8" t="n"/>
      <c r="J9995" s="8" t="n"/>
      <c r="K9995" s="8" t="n"/>
      <c r="L9995" s="8" t="n"/>
      <c r="M9995" s="9">
        <f>B9995+30</f>
        <v/>
      </c>
      <c r="N9995">
        <f>IF(L9995="", "", L9995-B9995)</f>
        <v/>
      </c>
      <c r="O9995">
        <f>IF(L9995="", "Pending", IF(N9995&lt;=30, "Met", "Breached"))</f>
        <v/>
      </c>
      <c r="P9995" s="8" t="n"/>
      <c r="Q9995" s="8" t="n"/>
      <c r="R9995" s="8" t="n"/>
      <c r="S9995" s="8" t="n"/>
      <c r="T9995" s="8" t="n"/>
      <c r="U9995" s="8" t="n"/>
      <c r="V9995" s="8" t="n"/>
      <c r="W9995" s="8" t="n"/>
      <c r="X9995" s="8" t="n"/>
      <c r="Y9995" s="8" t="n"/>
    </row>
    <row r="9996">
      <c r="A9996" s="8" t="n"/>
      <c r="B9996" s="8" t="n"/>
      <c r="C9996" s="8" t="n"/>
      <c r="D9996" s="8" t="n"/>
      <c r="E9996" s="8" t="n"/>
      <c r="F9996" s="8" t="n"/>
      <c r="G9996" s="8" t="n"/>
      <c r="H9996" s="8" t="n"/>
      <c r="I9996" s="8" t="n"/>
      <c r="J9996" s="8" t="n"/>
      <c r="K9996" s="8" t="n"/>
      <c r="L9996" s="8" t="n"/>
      <c r="M9996" s="9">
        <f>B9996+30</f>
        <v/>
      </c>
      <c r="N9996">
        <f>IF(L9996="", "", L9996-B9996)</f>
        <v/>
      </c>
      <c r="O9996">
        <f>IF(L9996="", "Pending", IF(N9996&lt;=30, "Met", "Breached"))</f>
        <v/>
      </c>
      <c r="P9996" s="8" t="n"/>
      <c r="Q9996" s="8" t="n"/>
      <c r="R9996" s="8" t="n"/>
      <c r="S9996" s="8" t="n"/>
      <c r="T9996" s="8" t="n"/>
      <c r="U9996" s="8" t="n"/>
      <c r="V9996" s="8" t="n"/>
      <c r="W9996" s="8" t="n"/>
      <c r="X9996" s="8" t="n"/>
      <c r="Y9996" s="8" t="n"/>
    </row>
    <row r="9997">
      <c r="A9997" s="8" t="n"/>
      <c r="B9997" s="8" t="n"/>
      <c r="C9997" s="8" t="n"/>
      <c r="D9997" s="8" t="n"/>
      <c r="E9997" s="8" t="n"/>
      <c r="F9997" s="8" t="n"/>
      <c r="G9997" s="8" t="n"/>
      <c r="H9997" s="8" t="n"/>
      <c r="I9997" s="8" t="n"/>
      <c r="J9997" s="8" t="n"/>
      <c r="K9997" s="8" t="n"/>
      <c r="L9997" s="8" t="n"/>
      <c r="M9997" s="9">
        <f>B9997+30</f>
        <v/>
      </c>
      <c r="N9997">
        <f>IF(L9997="", "", L9997-B9997)</f>
        <v/>
      </c>
      <c r="O9997">
        <f>IF(L9997="", "Pending", IF(N9997&lt;=30, "Met", "Breached"))</f>
        <v/>
      </c>
      <c r="P9997" s="8" t="n"/>
      <c r="Q9997" s="8" t="n"/>
      <c r="R9997" s="8" t="n"/>
      <c r="S9997" s="8" t="n"/>
      <c r="T9997" s="8" t="n"/>
      <c r="U9997" s="8" t="n"/>
      <c r="V9997" s="8" t="n"/>
      <c r="W9997" s="8" t="n"/>
      <c r="X9997" s="8" t="n"/>
      <c r="Y9997" s="8" t="n"/>
    </row>
    <row r="9998">
      <c r="A9998" s="8" t="n"/>
      <c r="B9998" s="8" t="n"/>
      <c r="C9998" s="8" t="n"/>
      <c r="D9998" s="8" t="n"/>
      <c r="E9998" s="8" t="n"/>
      <c r="F9998" s="8" t="n"/>
      <c r="G9998" s="8" t="n"/>
      <c r="H9998" s="8" t="n"/>
      <c r="I9998" s="8" t="n"/>
      <c r="J9998" s="8" t="n"/>
      <c r="K9998" s="8" t="n"/>
      <c r="L9998" s="8" t="n"/>
      <c r="M9998" s="9">
        <f>B9998+30</f>
        <v/>
      </c>
      <c r="N9998">
        <f>IF(L9998="", "", L9998-B9998)</f>
        <v/>
      </c>
      <c r="O9998">
        <f>IF(L9998="", "Pending", IF(N9998&lt;=30, "Met", "Breached"))</f>
        <v/>
      </c>
      <c r="P9998" s="8" t="n"/>
      <c r="Q9998" s="8" t="n"/>
      <c r="R9998" s="8" t="n"/>
      <c r="S9998" s="8" t="n"/>
      <c r="T9998" s="8" t="n"/>
      <c r="U9998" s="8" t="n"/>
      <c r="V9998" s="8" t="n"/>
      <c r="W9998" s="8" t="n"/>
      <c r="X9998" s="8" t="n"/>
      <c r="Y9998" s="8" t="n"/>
    </row>
    <row r="9999">
      <c r="A9999" s="8" t="n"/>
      <c r="B9999" s="8" t="n"/>
      <c r="C9999" s="8" t="n"/>
      <c r="D9999" s="8" t="n"/>
      <c r="E9999" s="8" t="n"/>
      <c r="F9999" s="8" t="n"/>
      <c r="G9999" s="8" t="n"/>
      <c r="H9999" s="8" t="n"/>
      <c r="I9999" s="8" t="n"/>
      <c r="J9999" s="8" t="n"/>
      <c r="K9999" s="8" t="n"/>
      <c r="L9999" s="8" t="n"/>
      <c r="M9999" s="9">
        <f>B9999+30</f>
        <v/>
      </c>
      <c r="N9999">
        <f>IF(L9999="", "", L9999-B9999)</f>
        <v/>
      </c>
      <c r="O9999">
        <f>IF(L9999="", "Pending", IF(N9999&lt;=30, "Met", "Breached"))</f>
        <v/>
      </c>
      <c r="P9999" s="8" t="n"/>
      <c r="Q9999" s="8" t="n"/>
      <c r="R9999" s="8" t="n"/>
      <c r="S9999" s="8" t="n"/>
      <c r="T9999" s="8" t="n"/>
      <c r="U9999" s="8" t="n"/>
      <c r="V9999" s="8" t="n"/>
      <c r="W9999" s="8" t="n"/>
      <c r="X9999" s="8" t="n"/>
      <c r="Y9999" s="8" t="n"/>
    </row>
    <row r="10000">
      <c r="A10000" s="8" t="n"/>
      <c r="B10000" s="8" t="n"/>
      <c r="C10000" s="8" t="n"/>
      <c r="D10000" s="8" t="n"/>
      <c r="E10000" s="8" t="n"/>
      <c r="F10000" s="8" t="n"/>
      <c r="G10000" s="8" t="n"/>
      <c r="H10000" s="8" t="n"/>
      <c r="I10000" s="8" t="n"/>
      <c r="J10000" s="8" t="n"/>
      <c r="K10000" s="8" t="n"/>
      <c r="L10000" s="8" t="n"/>
      <c r="M10000" s="9">
        <f>B10000+30</f>
        <v/>
      </c>
      <c r="N10000">
        <f>IF(L10000="", "", L10000-B10000)</f>
        <v/>
      </c>
      <c r="O10000">
        <f>IF(L10000="", "Pending", IF(N10000&lt;=30, "Met", "Breached"))</f>
        <v/>
      </c>
      <c r="P10000" s="8" t="n"/>
      <c r="Q10000" s="8" t="n"/>
      <c r="R10000" s="8" t="n"/>
      <c r="S10000" s="8" t="n"/>
      <c r="T10000" s="8" t="n"/>
      <c r="U10000" s="8" t="n"/>
      <c r="V10000" s="8" t="n"/>
      <c r="W10000" s="8" t="n"/>
      <c r="X10000" s="8" t="n"/>
      <c r="Y10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O2:O10000">
    <cfRule type="cellIs" priority="1" operator="equal" dxfId="0">
      <formula>"Met"</formula>
    </cfRule>
    <cfRule type="cellIs" priority="2" operator="equal" dxfId="1">
      <formula>"Breached"</formula>
    </cfRule>
    <cfRule type="cellIs" priority="3" operator="equal" dxfId="2">
      <formula>"Pending"</formula>
    </cfRule>
  </conditionalFormatting>
  <conditionalFormatting sqref="M2:M10000">
    <cfRule type="expression" priority="4" dxfId="1">
      <formula>AND(M2&lt;TODAY(), L2="")</formula>
    </cfRule>
  </conditionalFormatting>
  <conditionalFormatting sqref="J2:J10000">
    <cfRule type="cellIs" priority="5" operator="equal" dxfId="3">
      <formula>"Verification Failed"</formula>
    </cfRule>
  </conditionalFormatting>
  <conditionalFormatting sqref="R2:R10000">
    <cfRule type="cellIs" priority="6" operator="equal" dxfId="3">
      <formula>"Rejected"</formula>
    </cfRule>
  </conditionalFormatting>
  <dataValidations count="9">
    <dataValidation sqref="C2:C10000" showDropDown="0" showInputMessage="0" showErrorMessage="0" allowBlank="0" type="list">
      <formula1>"Email,Web Portal,Phone,Postal Mail,In-Person"</formula1>
    </dataValidation>
    <dataValidation sqref="D2:D10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I2:I10000" showDropDown="0" showInputMessage="0" showErrorMessage="0" allowBlank="0" type="list">
      <formula1>"Account Login,Email Confirmation,ID Document,Phone Verification,In-Person,Not Required"</formula1>
    </dataValidation>
    <dataValidation sqref="J2:J10000" showDropDown="0" showInputMessage="0" showErrorMessage="0" allowBlank="0" type="list">
      <formula1>"Verified,Verification Failed,Verification Pending,Not Required"</formula1>
    </dataValidation>
    <dataValidation sqref="P2:P10000" showDropDown="0" showInputMessage="0" showErrorMessage="0" allowBlank="0" type="list">
      <formula1>"Email,Secure Portal,Postal Mail,In-Person,Download Link"</formula1>
    </dataValidation>
    <dataValidation sqref="R2:R10000" showDropDown="0" showInputMessage="0" showErrorMessage="0" allowBlank="0" type="list">
      <formula1>"Fulfilled,Partially Fulfilled,Rejected,Extended,Withdrawn"</formula1>
    </dataValidation>
    <dataValidation sqref="S2:S10000" showDropDown="0" showInputMessage="0" showErrorMessage="0" allowBlank="1" type="list">
      <formula1>"Legal Obligation (Art. 17(3)(b) - Tax, Employment Law),Legal Claims (Art. 17(3)(e) - Litigation, Defense),Public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U2:U10000" showDropDown="0" showInputMessage="0" showErrorMessage="0" allowBlank="1" type="list">
      <formula1>"Satisfied,Neutral,Dissatisfied,No Feedback"</formula1>
    </dataValidation>
    <dataValidation sqref="V2:V10000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60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7" t="inlineStr">
        <is>
          <t>Right Type</t>
        </is>
      </c>
      <c r="B1" s="7" t="inlineStr">
        <is>
          <t>Standard Response Time</t>
        </is>
      </c>
      <c r="C1" s="7" t="inlineStr">
        <is>
          <t>Identity Verification Required</t>
        </is>
      </c>
      <c r="D1" s="7" t="inlineStr">
        <is>
          <t>Typical Fulfillment Steps</t>
        </is>
      </c>
      <c r="E1" s="7" t="inlineStr">
        <is>
          <t>Systems Involved</t>
        </is>
      </c>
      <c r="F1" s="7" t="inlineStr">
        <is>
          <t>Quality Checklist</t>
        </is>
      </c>
      <c r="G1" s="7" t="inlineStr">
        <is>
          <t>Common Exceptions</t>
        </is>
      </c>
      <c r="H1" s="7" t="inlineStr">
        <is>
          <t>Escalation Criteria</t>
        </is>
      </c>
    </row>
    <row r="2">
      <c r="A2" s="5" t="inlineStr">
        <is>
          <t>Access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5" t="inlineStr">
        <is>
          <t>Rectification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5" t="inlineStr">
        <is>
          <t>Erasure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5" t="inlineStr">
        <is>
          <t>Restriction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5" t="inlineStr">
        <is>
          <t>Data Portability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5" t="inlineStr">
        <is>
          <t>Object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5" t="inlineStr">
        <is>
          <t>Automated Decision-Making</t>
        </is>
      </c>
      <c r="B8" s="8" t="n"/>
      <c r="C8" s="8" t="n"/>
      <c r="D8" s="8" t="n"/>
      <c r="E8" s="8" t="n"/>
      <c r="F8" s="8" t="n"/>
      <c r="G8" s="8" t="n"/>
      <c r="H8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dataValidations count="1">
    <dataValidation sqref="C2:C8" showDropDown="0" showInputMessage="0" showErrorMessage="0" allowBlank="0" type="list">
      <formula1>"Yes - Always,Yes - High Risk Only,No - 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0" t="inlineStr">
        <is>
          <t>SLA COMPLIANCE DASHBOARD</t>
        </is>
      </c>
    </row>
    <row r="2"/>
    <row r="3"/>
    <row r="4">
      <c r="A4" s="11" t="inlineStr">
        <is>
          <t>SUMMARY METRICS</t>
        </is>
      </c>
    </row>
    <row r="5">
      <c r="A5" s="5" t="inlineStr">
        <is>
          <t>Total Requests in Period</t>
        </is>
      </c>
      <c r="B5">
        <f>COUNTA('2. DSR Request Inventory'!A2:A10000)</f>
        <v/>
      </c>
    </row>
    <row r="6">
      <c r="A6" s="5" t="inlineStr">
        <is>
          <t>Requests Met SLA</t>
        </is>
      </c>
      <c r="B6">
        <f>COUNTIF('2. DSR Request Inventory'!O2:O10000, "Met")</f>
        <v/>
      </c>
    </row>
    <row r="7">
      <c r="A7" s="5" t="inlineStr">
        <is>
          <t>Requests Breached SLA</t>
        </is>
      </c>
      <c r="B7">
        <f>COUNTIF('2. DSR Request Inventory'!O2:O10000, "Breached")</f>
        <v/>
      </c>
    </row>
    <row r="8">
      <c r="A8" s="5" t="inlineStr">
        <is>
          <t>Requests Pending</t>
        </is>
      </c>
      <c r="B8">
        <f>COUNTIF('2. DSR Request Inventory'!O2:O10000, "Pending")</f>
        <v/>
      </c>
    </row>
    <row r="9">
      <c r="A9" s="5" t="inlineStr">
        <is>
          <t>SLA Compliance Rate</t>
        </is>
      </c>
      <c r="B9" s="12">
        <f>IF(B5-B8=0, 0, B6/(B5-B8))</f>
        <v/>
      </c>
    </row>
    <row r="10">
      <c r="A10" s="5" t="inlineStr">
        <is>
          <t>Average Response Time (Days)</t>
        </is>
      </c>
      <c r="B10">
        <f>AVERAGE('2. DSR Request Inventory'!N2:N10000)</f>
        <v/>
      </c>
    </row>
    <row r="11"/>
    <row r="12"/>
    <row r="13">
      <c r="A13" s="11" t="inlineStr">
        <is>
          <t>BREAKDOWN BY RIGHT TYPE</t>
        </is>
      </c>
    </row>
    <row r="14">
      <c r="A14" s="13" t="inlineStr">
        <is>
          <t>Right Type</t>
        </is>
      </c>
      <c r="B14" s="13" t="inlineStr">
        <is>
          <t>Total</t>
        </is>
      </c>
      <c r="C14" s="13" t="inlineStr">
        <is>
          <t>SLA Met</t>
        </is>
      </c>
      <c r="D14" s="13" t="inlineStr">
        <is>
          <t>SLA Breached</t>
        </is>
      </c>
      <c r="E14" s="13" t="inlineStr">
        <is>
          <t>Avg Response Time</t>
        </is>
      </c>
    </row>
    <row r="15">
      <c r="A15" s="5" t="inlineStr">
        <is>
          <t>Access</t>
        </is>
      </c>
      <c r="B15">
        <f>COUNTIF('2. DSR Request Inventory'!D2:D10000, "Access (Art. 15)*")</f>
        <v/>
      </c>
      <c r="C15">
        <f>COUNTIFS('2. DSR Request Inventory'!D2:D10000, "Access (Art. 15)*", '2. DSR Request Inventory'!O2:O10000, "Met")</f>
        <v/>
      </c>
      <c r="D15">
        <f>COUNTIFS('2. DSR Request Inventory'!D2:D10000, "Access (Art. 15)*", '2. DSR Request Inventory'!O2:O10000, "Breached")</f>
        <v/>
      </c>
      <c r="E15">
        <f>AVERAGEIF('2. DSR Request Inventory'!D2:D10000, "Access (Art. 15)*", '2. DSR Request Inventory'!N2:N10000)</f>
        <v/>
      </c>
    </row>
    <row r="16">
      <c r="A16" s="5" t="inlineStr">
        <is>
          <t>Rectification</t>
        </is>
      </c>
      <c r="B16">
        <f>COUNTIF('2. DSR Request Inventory'!D2:D10000, "Rectification (Art. 16)*")</f>
        <v/>
      </c>
      <c r="C16">
        <f>COUNTIFS('2. DSR Request Inventory'!D2:D10000, "Rectification (Art. 16)*", '2. DSR Request Inventory'!O2:O10000, "Met")</f>
        <v/>
      </c>
      <c r="D16">
        <f>COUNTIFS('2. DSR Request Inventory'!D2:D10000, "Rectification (Art. 16)*", '2. DSR Request Inventory'!O2:O10000, "Breached")</f>
        <v/>
      </c>
      <c r="E16">
        <f>AVERAGEIF('2. DSR Request Inventory'!D2:D10000, "Rectification (Art. 16)*", '2. DSR Request Inventory'!N2:N10000)</f>
        <v/>
      </c>
    </row>
    <row r="17">
      <c r="A17" s="5" t="inlineStr">
        <is>
          <t>Erasure</t>
        </is>
      </c>
      <c r="B17">
        <f>COUNTIF('2. DSR Request Inventory'!D2:D10000, "Erasure (Art. 17)*")</f>
        <v/>
      </c>
      <c r="C17">
        <f>COUNTIFS('2. DSR Request Inventory'!D2:D10000, "Erasure (Art. 17)*", '2. DSR Request Inventory'!O2:O10000, "Met")</f>
        <v/>
      </c>
      <c r="D17">
        <f>COUNTIFS('2. DSR Request Inventory'!D2:D10000, "Erasure (Art. 17)*", '2. DSR Request Inventory'!O2:O10000, "Breached")</f>
        <v/>
      </c>
      <c r="E17">
        <f>AVERAGEIF('2. DSR Request Inventory'!D2:D10000, "Erasure (Art. 17)*", '2. DSR Request Inventory'!N2:N10000)</f>
        <v/>
      </c>
    </row>
    <row r="18">
      <c r="A18" s="5" t="inlineStr">
        <is>
          <t>Restriction</t>
        </is>
      </c>
      <c r="B18">
        <f>COUNTIF('2. DSR Request Inventory'!D2:D10000, "Restriction (Art. 18)*")</f>
        <v/>
      </c>
      <c r="C18">
        <f>COUNTIFS('2. DSR Request Inventory'!D2:D10000, "Restriction (Art. 18)*", '2. DSR Request Inventory'!O2:O10000, "Met")</f>
        <v/>
      </c>
      <c r="D18">
        <f>COUNTIFS('2. DSR Request Inventory'!D2:D10000, "Restriction (Art. 18)*", '2. DSR Request Inventory'!O2:O10000, "Breached")</f>
        <v/>
      </c>
      <c r="E18">
        <f>AVERAGEIF('2. DSR Request Inventory'!D2:D10000, "Restriction (Art. 18)*", '2. DSR Request Inventory'!N2:N10000)</f>
        <v/>
      </c>
    </row>
    <row r="19">
      <c r="A19" s="5" t="inlineStr">
        <is>
          <t>Data Portability</t>
        </is>
      </c>
      <c r="B19">
        <f>COUNTIF('2. DSR Request Inventory'!D2:D10000, "Data Portability (Art. 20)*")</f>
        <v/>
      </c>
      <c r="C19">
        <f>COUNTIFS('2. DSR Request Inventory'!D2:D10000, "Data Portability (Art. 20)*", '2. DSR Request Inventory'!O2:O10000, "Met")</f>
        <v/>
      </c>
      <c r="D19">
        <f>COUNTIFS('2. DSR Request Inventory'!D2:D10000, "Data Portability (Art. 20)*", '2. DSR Request Inventory'!O2:O10000, "Breached")</f>
        <v/>
      </c>
      <c r="E19">
        <f>AVERAGEIF('2. DSR Request Inventory'!D2:D10000, "Data Portability (Art. 20)*", '2. DSR Request Inventory'!N2:N10000)</f>
        <v/>
      </c>
    </row>
    <row r="20">
      <c r="A20" s="5" t="inlineStr">
        <is>
          <t>Object</t>
        </is>
      </c>
      <c r="B20">
        <f>COUNTIF('2. DSR Request Inventory'!D2:D10000, "Object (Art. 21)*")</f>
        <v/>
      </c>
      <c r="C20">
        <f>COUNTIFS('2. DSR Request Inventory'!D2:D10000, "Object (Art. 21)*", '2. DSR Request Inventory'!O2:O10000, "Met")</f>
        <v/>
      </c>
      <c r="D20">
        <f>COUNTIFS('2. DSR Request Inventory'!D2:D10000, "Object (Art. 21)*", '2. DSR Request Inventory'!O2:O10000, "Breached")</f>
        <v/>
      </c>
      <c r="E20">
        <f>AVERAGEIF('2. DSR Request Inventory'!D2:D10000, "Object (Art. 21)*", '2. DSR Request Inventory'!N2:N10000)</f>
        <v/>
      </c>
    </row>
    <row r="21">
      <c r="A21" s="5" t="inlineStr">
        <is>
          <t>Automated Decision-Making</t>
        </is>
      </c>
      <c r="B21">
        <f>COUNTIF('2. DSR Request Inventory'!D2:D10000, "Automated Decision-Making (Art. 22)*")</f>
        <v/>
      </c>
      <c r="C21">
        <f>COUNTIFS('2. DSR Request Inventory'!D2:D10000, "Automated Decision-Making (Art. 22)*", '2. DSR Request Inventory'!O2:O10000, "Met")</f>
        <v/>
      </c>
      <c r="D21">
        <f>COUNTIFS('2. DSR Request Inventory'!D2:D10000, "Automated Decision-Making (Art. 22)*", '2. DSR Request Inventory'!O2:O10000, "Breached")</f>
        <v/>
      </c>
      <c r="E21">
        <f>AVERAGEIF('2. DSR Request Inventory'!D2:D10000, "Automated Decision-Making (Art. 22)*", '2. DSR Request Inventory'!N2:N10000)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3">
    <mergeCell ref="A4:B4"/>
    <mergeCell ref="A1:D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6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25" customWidth="1" min="10" max="10"/>
  </cols>
  <sheetData>
    <row r="1">
      <c r="A1" s="7" t="inlineStr">
        <is>
          <t>Request ID</t>
        </is>
      </c>
      <c r="B1" s="7" t="inlineStr">
        <is>
          <t>Right Type</t>
        </is>
      </c>
      <c r="C1" s="7" t="inlineStr">
        <is>
          <t>Exception Legal Basis</t>
        </is>
      </c>
      <c r="D1" s="7" t="inlineStr">
        <is>
          <t>Detailed Justification</t>
        </is>
      </c>
      <c r="E1" s="7" t="inlineStr">
        <is>
          <t>Data Subject Notified</t>
        </is>
      </c>
      <c r="F1" s="7" t="inlineStr">
        <is>
          <t>Appeal Rights Communicated</t>
        </is>
      </c>
      <c r="G1" s="7" t="inlineStr">
        <is>
          <t>Alternative Measures Offered</t>
        </is>
      </c>
      <c r="H1" s="7" t="inlineStr">
        <is>
          <t>DPO Review</t>
        </is>
      </c>
      <c r="I1" s="7" t="inlineStr">
        <is>
          <t>Legal Counsel Review</t>
        </is>
      </c>
      <c r="J1" s="7" t="inlineStr">
        <is>
          <t>Requester Response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F2:F1000">
    <cfRule type="cellIs" priority="1" operator="equal" dxfId="1">
      <formula>"No"</formula>
    </cfRule>
  </conditionalFormatting>
  <conditionalFormatting sqref="H2:H1000">
    <cfRule type="expression" priority="2" dxfId="3">
      <formula>AND(B2&lt;&gt;"", H2="No")</formula>
    </cfRule>
  </conditionalFormatting>
  <dataValidations count="7">
    <dataValidation sqref="B2:B1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C2:C1000" showDropDown="0" showInputMessage="0" showErrorMessage="0" allowBlank="0" type="list">
      <formula1>"Legal Obligation (Art. 17(3)(b) - Tax, Employment Law),Legal Claims (Art. 17(3)(e) - Litigation, Defense),Public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E2:E1000" showDropDown="0" showInputMessage="0" showErrorMessage="0" allowBlank="0" type="list">
      <formula1>"Yes,No,Pending"</formula1>
    </dataValidation>
    <dataValidation sqref="F2:F1000" showDropDown="0" showInputMessage="0" showErrorMessage="0" allowBlank="0" type="list">
      <formula1>"Yes,No"</formula1>
    </dataValidation>
    <dataValidation sqref="H2:H1000" showDropDown="0" showInputMessage="0" showErrorMessage="0" allowBlank="0" type="list">
      <formula1>"Yes,No,N/A"</formula1>
    </dataValidation>
    <dataValidation sqref="I2:I1000" showDropDown="0" showInputMessage="0" showErrorMessage="0" allowBlank="0" type="list">
      <formula1>"Yes,No,N/A"</formula1>
    </dataValidation>
    <dataValidation sqref="J2:J1000" showDropDown="0" showInputMessage="0" showErrorMessage="0" allowBlank="1" type="list">
      <formula1>"Accepted,Appealed to Supervisory Authority,Disputed,No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0" t="inlineStr">
        <is>
          <t>RIGHTS-SPECIFIC DEEP-DIVE ANALYSIS</t>
        </is>
      </c>
    </row>
    <row r="2"/>
    <row r="3"/>
    <row r="4">
      <c r="A4" s="14" t="inlineStr">
        <is>
          <t>ACCESS</t>
        </is>
      </c>
    </row>
    <row r="5">
      <c r="A5" s="5" t="inlineStr">
        <is>
          <t>Total Requests</t>
        </is>
      </c>
      <c r="B5">
        <f>COUNTIF('2. DSR Request Inventory'!D2:D10000, "Access (Art. 15)*")</f>
        <v/>
      </c>
    </row>
    <row r="6">
      <c r="A6" s="5" t="inlineStr">
        <is>
          <t>Avg Response Time</t>
        </is>
      </c>
      <c r="B6">
        <f>AVERAGEIF('2. DSR Request Inventory'!D2:D10000, "Access (Art. 15)*", '2. DSR Request Inventory'!N2:N10000)</f>
        <v/>
      </c>
    </row>
    <row r="7">
      <c r="A7" s="5" t="inlineStr">
        <is>
          <t>SLA Compliance Rate</t>
        </is>
      </c>
      <c r="B7" s="12">
        <f>IFERROR(COUNTIFS('2. DSR Request Inventory'!D2:D10000, "Access (Art. 15)*", '2. DSR Request Inventory'!O2:O10000, "Met")/COUNTIF('2. DSR Request Inventory'!D2:D10000, "Access (Art. 15)*"), 0)</f>
        <v/>
      </c>
    </row>
    <row r="8">
      <c r="A8" s="5" t="inlineStr">
        <is>
          <t>Rejection Rate</t>
        </is>
      </c>
      <c r="B8" s="12">
        <f>IFERROR(COUNTIFS('2. DSR Request Inventory'!D2:D10000, "Access (Art. 15)*", '2. DSR Request Inventory'!R2:R10000, "Rejected")/COUNTIF('2. DSR Request Inventory'!D2:D10000, "Access (Art. 15)*"), 0)</f>
        <v/>
      </c>
    </row>
    <row r="9"/>
    <row r="10"/>
    <row r="11">
      <c r="A11" s="14" t="inlineStr">
        <is>
          <t>RECTIFICATION</t>
        </is>
      </c>
    </row>
    <row r="12">
      <c r="A12" s="5" t="inlineStr">
        <is>
          <t>Total Requests</t>
        </is>
      </c>
      <c r="B12">
        <f>COUNTIF('2. DSR Request Inventory'!D2:D10000, "Rectification (Art. 16)*")</f>
        <v/>
      </c>
    </row>
    <row r="13">
      <c r="A13" s="5" t="inlineStr">
        <is>
          <t>Avg Response Time</t>
        </is>
      </c>
      <c r="B13">
        <f>AVERAGEIF('2. DSR Request Inventory'!D2:D10000, "Rectification (Art. 16)*", '2. DSR Request Inventory'!N2:N10000)</f>
        <v/>
      </c>
    </row>
    <row r="14">
      <c r="A14" s="5" t="inlineStr">
        <is>
          <t>SLA Compliance Rate</t>
        </is>
      </c>
      <c r="B14" s="12">
        <f>IFERROR(COUNTIFS('2. DSR Request Inventory'!D2:D10000, "Rectification (Art. 16)*", '2. DSR Request Inventory'!O2:O10000, "Met")/COUNTIF('2. DSR Request Inventory'!D2:D10000, "Rectification (Art. 16)*"), 0)</f>
        <v/>
      </c>
    </row>
    <row r="15">
      <c r="A15" s="5" t="inlineStr">
        <is>
          <t>Rejection Rate</t>
        </is>
      </c>
      <c r="B15" s="12">
        <f>IFERROR(COUNTIFS('2. DSR Request Inventory'!D2:D10000, "Rectification (Art. 16)*", '2. DSR Request Inventory'!R2:R10000, "Rejected")/COUNTIF('2. DSR Request Inventory'!D2:D10000, "Rectification (Art. 16)*"), 0)</f>
        <v/>
      </c>
    </row>
    <row r="16"/>
    <row r="17"/>
    <row r="18">
      <c r="A18" s="14" t="inlineStr">
        <is>
          <t>ERASURE</t>
        </is>
      </c>
    </row>
    <row r="19">
      <c r="A19" s="5" t="inlineStr">
        <is>
          <t>Total Requests</t>
        </is>
      </c>
      <c r="B19">
        <f>COUNTIF('2. DSR Request Inventory'!D2:D10000, "Erasure (Art. 17)*")</f>
        <v/>
      </c>
    </row>
    <row r="20">
      <c r="A20" s="5" t="inlineStr">
        <is>
          <t>Avg Response Time</t>
        </is>
      </c>
      <c r="B20">
        <f>AVERAGEIF('2. DSR Request Inventory'!D2:D10000, "Erasure (Art. 17)*", '2. DSR Request Inventory'!N2:N10000)</f>
        <v/>
      </c>
    </row>
    <row r="21">
      <c r="A21" s="5" t="inlineStr">
        <is>
          <t>SLA Compliance Rate</t>
        </is>
      </c>
      <c r="B21" s="12">
        <f>IFERROR(COUNTIFS('2. DSR Request Inventory'!D2:D10000, "Erasure (Art. 17)*", '2. DSR Request Inventory'!O2:O10000, "Met")/COUNTIF('2. DSR Request Inventory'!D2:D10000, "Erasure (Art. 17)*"), 0)</f>
        <v/>
      </c>
    </row>
    <row r="22">
      <c r="A22" s="5" t="inlineStr">
        <is>
          <t>Rejection Rate</t>
        </is>
      </c>
      <c r="B22" s="12">
        <f>IFERROR(COUNTIFS('2. DSR Request Inventory'!D2:D10000, "Erasure (Art. 17)*", '2. DSR Request Inventory'!R2:R10000, "Rejected")/COUNTIF('2. DSR Request Inventory'!D2:D10000, "Erasure (Art. 17)*"), 0)</f>
        <v/>
      </c>
    </row>
    <row r="23"/>
    <row r="24"/>
    <row r="25">
      <c r="A25" s="14" t="inlineStr">
        <is>
          <t>RESTRICTION</t>
        </is>
      </c>
    </row>
    <row r="26">
      <c r="A26" s="5" t="inlineStr">
        <is>
          <t>Total Requests</t>
        </is>
      </c>
      <c r="B26">
        <f>COUNTIF('2. DSR Request Inventory'!D2:D10000, "Restriction (Art. 18)*")</f>
        <v/>
      </c>
    </row>
    <row r="27">
      <c r="A27" s="5" t="inlineStr">
        <is>
          <t>Avg Response Time</t>
        </is>
      </c>
      <c r="B27">
        <f>AVERAGEIF('2. DSR Request Inventory'!D2:D10000, "Restriction (Art. 18)*", '2. DSR Request Inventory'!N2:N10000)</f>
        <v/>
      </c>
    </row>
    <row r="28">
      <c r="A28" s="5" t="inlineStr">
        <is>
          <t>SLA Compliance Rate</t>
        </is>
      </c>
      <c r="B28" s="12">
        <f>IFERROR(COUNTIFS('2. DSR Request Inventory'!D2:D10000, "Restriction (Art. 18)*", '2. DSR Request Inventory'!O2:O10000, "Met")/COUNTIF('2. DSR Request Inventory'!D2:D10000, "Restriction (Art. 18)*"), 0)</f>
        <v/>
      </c>
    </row>
    <row r="29">
      <c r="A29" s="5" t="inlineStr">
        <is>
          <t>Rejection Rate</t>
        </is>
      </c>
      <c r="B29" s="12">
        <f>IFERROR(COUNTIFS('2. DSR Request Inventory'!D2:D10000, "Restriction (Art. 18)*", '2. DSR Request Inventory'!R2:R10000, "Rejected")/COUNTIF('2. DSR Request Inventory'!D2:D10000, "Restriction (Art. 18)*"), 0)</f>
        <v/>
      </c>
    </row>
    <row r="30"/>
    <row r="31"/>
    <row r="32">
      <c r="A32" s="14" t="inlineStr">
        <is>
          <t>DATA PORTABILITY</t>
        </is>
      </c>
    </row>
    <row r="33">
      <c r="A33" s="5" t="inlineStr">
        <is>
          <t>Total Requests</t>
        </is>
      </c>
      <c r="B33">
        <f>COUNTIF('2. DSR Request Inventory'!D2:D10000, "Data Portability (Art. 20)*")</f>
        <v/>
      </c>
    </row>
    <row r="34">
      <c r="A34" s="5" t="inlineStr">
        <is>
          <t>Avg Response Time</t>
        </is>
      </c>
      <c r="B34">
        <f>AVERAGEIF('2. DSR Request Inventory'!D2:D10000, "Data Portability (Art. 20)*", '2. DSR Request Inventory'!N2:N10000)</f>
        <v/>
      </c>
    </row>
    <row r="35">
      <c r="A35" s="5" t="inlineStr">
        <is>
          <t>SLA Compliance Rate</t>
        </is>
      </c>
      <c r="B35" s="12">
        <f>IFERROR(COUNTIFS('2. DSR Request Inventory'!D2:D10000, "Data Portability (Art. 20)*", '2. DSR Request Inventory'!O2:O10000, "Met")/COUNTIF('2. DSR Request Inventory'!D2:D10000, "Data Portability (Art. 20)*"), 0)</f>
        <v/>
      </c>
    </row>
    <row r="36">
      <c r="A36" s="5" t="inlineStr">
        <is>
          <t>Rejection Rate</t>
        </is>
      </c>
      <c r="B36" s="12">
        <f>IFERROR(COUNTIFS('2. DSR Request Inventory'!D2:D10000, "Data Portability (Art. 20)*", '2. DSR Request Inventory'!R2:R10000, "Rejected")/COUNTIF('2. DSR Request Inventory'!D2:D10000, "Data Portability (Art. 20)*"), 0)</f>
        <v/>
      </c>
    </row>
    <row r="37"/>
    <row r="38"/>
    <row r="39">
      <c r="A39" s="14" t="inlineStr">
        <is>
          <t>OBJECT</t>
        </is>
      </c>
    </row>
    <row r="40">
      <c r="A40" s="5" t="inlineStr">
        <is>
          <t>Total Requests</t>
        </is>
      </c>
      <c r="B40">
        <f>COUNTIF('2. DSR Request Inventory'!D2:D10000, "Object (Art. 21)*")</f>
        <v/>
      </c>
    </row>
    <row r="41">
      <c r="A41" s="5" t="inlineStr">
        <is>
          <t>Avg Response Time</t>
        </is>
      </c>
      <c r="B41">
        <f>AVERAGEIF('2. DSR Request Inventory'!D2:D10000, "Object (Art. 21)*", '2. DSR Request Inventory'!N2:N10000)</f>
        <v/>
      </c>
    </row>
    <row r="42">
      <c r="A42" s="5" t="inlineStr">
        <is>
          <t>SLA Compliance Rate</t>
        </is>
      </c>
      <c r="B42" s="12">
        <f>IFERROR(COUNTIFS('2. DSR Request Inventory'!D2:D10000, "Object (Art. 21)*", '2. DSR Request Inventory'!O2:O10000, "Met")/COUNTIF('2. DSR Request Inventory'!D2:D10000, "Object (Art. 21)*"), 0)</f>
        <v/>
      </c>
    </row>
    <row r="43">
      <c r="A43" s="5" t="inlineStr">
        <is>
          <t>Rejection Rate</t>
        </is>
      </c>
      <c r="B43" s="12">
        <f>IFERROR(COUNTIFS('2. DSR Request Inventory'!D2:D10000, "Object (Art. 21)*", '2. DSR Request Inventory'!R2:R10000, "Rejected")/COUNTIF('2. DSR Request Inventory'!D2:D10000, "Object (Art. 21)*"), 0)</f>
        <v/>
      </c>
    </row>
    <row r="44"/>
    <row r="45"/>
    <row r="46">
      <c r="A46" s="14" t="inlineStr">
        <is>
          <t>AUTOMATED DECISION-MAKING</t>
        </is>
      </c>
    </row>
    <row r="47">
      <c r="A47" s="5" t="inlineStr">
        <is>
          <t>Total Requests</t>
        </is>
      </c>
      <c r="B47">
        <f>COUNTIF('2. DSR Request Inventory'!D2:D10000, "Automated Decision-Making (Art. 22)*")</f>
        <v/>
      </c>
    </row>
    <row r="48">
      <c r="A48" s="5" t="inlineStr">
        <is>
          <t>Avg Response Time</t>
        </is>
      </c>
      <c r="B48">
        <f>AVERAGEIF('2. DSR Request Inventory'!D2:D10000, "Automated Decision-Making (Art. 22)*", '2. DSR Request Inventory'!N2:N10000)</f>
        <v/>
      </c>
    </row>
    <row r="49">
      <c r="A49" s="5" t="inlineStr">
        <is>
          <t>SLA Compliance Rate</t>
        </is>
      </c>
      <c r="B49" s="12">
        <f>IFERROR(COUNTIFS('2. DSR Request Inventory'!D2:D10000, "Automated Decision-Making (Art. 22)*", '2. DSR Request Inventory'!O2:O10000, "Met")/COUNTIF('2. DSR Request Inventory'!D2:D10000, "Automated Decision-Making (Art. 22)*"), 0)</f>
        <v/>
      </c>
    </row>
    <row r="50">
      <c r="A50" s="5" t="inlineStr">
        <is>
          <t>Rejection Rate</t>
        </is>
      </c>
      <c r="B50" s="12">
        <f>IFERROR(COUNTIFS('2. DSR Request Inventory'!D2:D10000, "Automated Decision-Making (Art. 22)*", '2. DSR Request Inventory'!R2:R10000, "Rejected")/COUNTIF('2. DSR Request Inventory'!D2:D10000, "Automated Decision-Making (Art. 22)*"), 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25:C25"/>
    <mergeCell ref="A11:C11"/>
    <mergeCell ref="A1:C1"/>
    <mergeCell ref="A46:C46"/>
    <mergeCell ref="A32:C32"/>
    <mergeCell ref="A18:C18"/>
    <mergeCell ref="A39:C39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60" customWidth="1" min="5" max="5"/>
    <col width="12" customWidth="1" min="6" max="6"/>
    <col width="10" customWidth="1" min="7" max="7"/>
    <col width="20" customWidth="1" min="8" max="8"/>
    <col width="50" customWidth="1" min="9" max="9"/>
  </cols>
  <sheetData>
    <row r="1">
      <c r="A1" s="7" t="inlineStr">
        <is>
          <t>Evidence ID</t>
        </is>
      </c>
      <c r="B1" s="7" t="inlineStr">
        <is>
          <t>Request ID (Link)</t>
        </is>
      </c>
      <c r="C1" s="7" t="inlineStr">
        <is>
          <t>Evidence Type</t>
        </is>
      </c>
      <c r="D1" s="7" t="inlineStr">
        <is>
          <t>Description</t>
        </is>
      </c>
      <c r="E1" s="7" t="inlineStr">
        <is>
          <t>File Location</t>
        </is>
      </c>
      <c r="F1" s="7" t="inlineStr">
        <is>
          <t>Evidence Date</t>
        </is>
      </c>
      <c r="G1" s="7" t="inlineStr">
        <is>
          <t>Retention Period (Years)</t>
        </is>
      </c>
      <c r="H1" s="7" t="inlineStr">
        <is>
          <t>Verification Status</t>
        </is>
      </c>
      <c r="I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3">
      <formula>"Incomplete"</formula>
    </cfRule>
  </conditionalFormatting>
  <conditionalFormatting sqref="F2:F1000">
    <cfRule type="expression" priority="2" dxfId="4">
      <formula>F2+G2*365&lt;TODAY()</formula>
    </cfRule>
  </conditionalFormatting>
  <dataValidations count="2">
    <dataValidation sqref="C2:C1000" showDropDown="0" showInputMessage="0" showErrorMessage="0" allowBlank="0" type="list">
      <formula1>"Request Email,Response Email,Data Export (Access/Portability),Deletion Certificate (Erasure),Identity Verification Document,Legal Analysis (Rejection),Third-Party Notification (Art. 19),Appeal Documentation,Extension Notification,Fee Justification"</formula1>
    </dataValidation>
    <dataValidation sqref="H2:H1000" showDropDown="0" showInputMessage="0" showErrorMessage="0" allowBlank="0" type="list">
      <formula1>"Complete,Incomplete,Under Review,Archived"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DSR COMPLIANCE DASHBOARD</t>
        </is>
      </c>
    </row>
    <row r="2">
      <c r="A2" s="15" t="inlineStr">
        <is>
          <t>Generated: 08.02.2026 11:49</t>
        </is>
      </c>
    </row>
    <row r="3"/>
    <row r="4"/>
    <row r="5">
      <c r="A5" s="14" t="inlineStr">
        <is>
          <t>REQUEST VOLUME</t>
        </is>
      </c>
    </row>
    <row r="6">
      <c r="A6" s="5" t="inlineStr">
        <is>
          <t>Total Requests</t>
        </is>
      </c>
      <c r="B6">
        <f>COUNTA('2. DSR Request Inventory'!A2:A10000)</f>
        <v/>
      </c>
    </row>
    <row r="7">
      <c r="A7" s="5" t="inlineStr">
        <is>
          <t>Requests by Channel - Email</t>
        </is>
      </c>
      <c r="B7">
        <f>COUNTIF('2. DSR Request Inventory'!C2:C10000, "Email")</f>
        <v/>
      </c>
    </row>
    <row r="8">
      <c r="A8" s="5" t="inlineStr">
        <is>
          <t>Requests by Channel - Web Portal</t>
        </is>
      </c>
      <c r="B8">
        <f>COUNTIF('2. DSR Request Inventory'!C2:C10000, "Web Portal")</f>
        <v/>
      </c>
    </row>
    <row r="9"/>
    <row r="10"/>
    <row r="11">
      <c r="A11" s="14" t="inlineStr">
        <is>
          <t>SLA COMPLIANCE</t>
        </is>
      </c>
    </row>
    <row r="12">
      <c r="A12" s="5" t="inlineStr">
        <is>
          <t>Overall SLA Compliance Rate</t>
        </is>
      </c>
      <c r="B12" s="12">
        <f>'4. SLA Compliance Tracking'!B9</f>
        <v/>
      </c>
    </row>
    <row r="13">
      <c r="A13" s="5" t="inlineStr">
        <is>
          <t>Average Response Time (Days)</t>
        </is>
      </c>
      <c r="B13">
        <f>'4. SLA Compliance Tracking'!B10</f>
        <v/>
      </c>
    </row>
    <row r="14">
      <c r="A14" s="5" t="inlineStr">
        <is>
          <t>SLA Breaches</t>
        </is>
      </c>
      <c r="B14">
        <f>COUNTIF('2. DSR Request Inventory'!O2:O10000, "Breached")</f>
        <v/>
      </c>
    </row>
    <row r="15"/>
    <row r="16"/>
    <row r="17">
      <c r="A17" s="14" t="inlineStr">
        <is>
          <t>REQUEST OUTCOMES</t>
        </is>
      </c>
    </row>
    <row r="18">
      <c r="A18" s="5" t="inlineStr">
        <is>
          <t>Fulfilled</t>
        </is>
      </c>
      <c r="B18">
        <f>COUNTIF('2. DSR Request Inventory'!R2:R10000, "Fulfilled")</f>
        <v/>
      </c>
    </row>
    <row r="19">
      <c r="A19" s="5" t="inlineStr">
        <is>
          <t>Rejected</t>
        </is>
      </c>
      <c r="B19">
        <f>COUNTIF('2. DSR Request Inventory'!R2:R10000, "Rejected")</f>
        <v/>
      </c>
    </row>
    <row r="20">
      <c r="A20" s="5" t="inlineStr">
        <is>
          <t>Extended</t>
        </is>
      </c>
      <c r="B20">
        <f>COUNTIF('2. DSR Request Inventory'!R2:R10000, "Extended")</f>
        <v/>
      </c>
    </row>
    <row r="21"/>
    <row r="22"/>
    <row r="23">
      <c r="A23" s="14" t="inlineStr">
        <is>
          <t>EFFORT ANALYSIS</t>
        </is>
      </c>
    </row>
    <row r="24">
      <c r="A24" s="5" t="inlineStr">
        <is>
          <t>Total Effort (Hours)</t>
        </is>
      </c>
      <c r="B24">
        <f>SUM('2. DSR Request Inventory'!W2:W10000)</f>
        <v/>
      </c>
    </row>
    <row r="25">
      <c r="A25" s="5" t="inlineStr">
        <is>
          <t>Average Effort per Request</t>
        </is>
      </c>
      <c r="B25">
        <f>AVERAGE('2. DSR Request Inventory'!W2:W10000)</f>
        <v/>
      </c>
    </row>
    <row r="26"/>
    <row r="27"/>
    <row r="28">
      <c r="A28" s="14" t="inlineStr">
        <is>
          <t>OVERALL DSR COMPLIANCE SCORE</t>
        </is>
      </c>
    </row>
    <row r="29">
      <c r="A29" s="16" t="inlineStr">
        <is>
          <t>Compliance Score</t>
        </is>
      </c>
      <c r="B29" s="17">
        <f>'4. SLA Compliance Tracking'!B9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7">
    <mergeCell ref="A1:D1"/>
    <mergeCell ref="A11:B11"/>
    <mergeCell ref="A23:B23"/>
    <mergeCell ref="A5:B5"/>
    <mergeCell ref="A28:B28"/>
    <mergeCell ref="A2:D2"/>
    <mergeCell ref="A17:B17"/>
  </mergeCells>
  <conditionalFormatting sqref="B29">
    <cfRule type="cellIs" priority="1" operator="greaterThanOrEqual" dxfId="5">
      <formula>0.9</formula>
    </cfRule>
    <cfRule type="cellIs" priority="2" operator="between" dxfId="6">
      <formula>0.7</formula>
      <formula>0.9</formula>
    </cfRule>
    <cfRule type="cellIs" priority="3" operator="lessThan" dxfId="7">
      <formula>0.7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8" t="inlineStr">
        <is>
          <t>DSR Assessment - Approval and Sign-Off</t>
        </is>
      </c>
    </row>
    <row r="4">
      <c r="A4" s="14" t="inlineStr">
        <is>
          <t>ASSESSMENT COMPLETION</t>
        </is>
      </c>
    </row>
    <row r="5">
      <c r="A5" s="5" t="inlineStr">
        <is>
          <t>Assessor Name:</t>
        </is>
      </c>
      <c r="B5" s="8" t="n"/>
    </row>
    <row r="6">
      <c r="A6" s="5" t="inlineStr">
        <is>
          <t>Role:</t>
        </is>
      </c>
      <c r="B6" s="8" t="n"/>
    </row>
    <row r="7">
      <c r="A7" s="5" t="inlineStr">
        <is>
          <t>Completion Date:</t>
        </is>
      </c>
      <c r="B7" s="19" t="n"/>
    </row>
    <row r="10">
      <c r="A10" s="14" t="inlineStr">
        <is>
          <t>STAKEHOLDER REVIEWS</t>
        </is>
      </c>
    </row>
    <row r="11">
      <c r="A11" s="13" t="inlineStr">
        <is>
          <t>Stakeholder</t>
        </is>
      </c>
      <c r="B11" s="13" t="inlineStr">
        <is>
          <t>Name</t>
        </is>
      </c>
      <c r="C11" s="13" t="inlineStr">
        <is>
          <t>Date</t>
        </is>
      </c>
      <c r="D11" s="13" t="inlineStr">
        <is>
          <t>Approval Status</t>
        </is>
      </c>
      <c r="E11" s="13" t="inlineStr">
        <is>
          <t>Comments</t>
        </is>
      </c>
    </row>
    <row r="12">
      <c r="A12" s="5" t="inlineStr">
        <is>
          <t>Data Protection Officer (DPO)</t>
        </is>
      </c>
      <c r="B12" s="8" t="n"/>
      <c r="C12" s="19" t="n"/>
      <c r="D12" s="8" t="n"/>
      <c r="E12" s="8" t="n"/>
    </row>
    <row r="13">
      <c r="A13" s="5" t="inlineStr">
        <is>
          <t>Legal Counsel</t>
        </is>
      </c>
      <c r="B13" s="8" t="n"/>
      <c r="C13" s="19" t="n"/>
      <c r="D13" s="8" t="n"/>
      <c r="E13" s="8" t="n"/>
    </row>
    <row r="14">
      <c r="A14" s="5" t="inlineStr">
        <is>
          <t>Customer Service Lead</t>
        </is>
      </c>
      <c r="B14" s="8" t="n"/>
      <c r="C14" s="19" t="n"/>
      <c r="D14" s="8" t="n"/>
      <c r="E14" s="8" t="n"/>
    </row>
    <row r="15">
      <c r="A15" s="5" t="inlineStr">
        <is>
          <t>CISO / Chief Privacy Officer</t>
        </is>
      </c>
      <c r="B15" s="8" t="n"/>
      <c r="C15" s="19" t="n"/>
      <c r="D15" s="8" t="n"/>
      <c r="E15" s="8" t="n"/>
    </row>
    <row r="18">
      <c r="A18" s="14" t="inlineStr">
        <is>
          <t>FINAL APPROVAL</t>
        </is>
      </c>
    </row>
    <row r="19">
      <c r="A19" s="5" t="inlineStr">
        <is>
          <t>Final Approver:</t>
        </is>
      </c>
      <c r="B19" s="8" t="n"/>
    </row>
    <row r="20">
      <c r="A20" s="5" t="inlineStr">
        <is>
          <t>Title:</t>
        </is>
      </c>
      <c r="B20" s="8" t="n"/>
    </row>
    <row r="21">
      <c r="A21" s="5" t="inlineStr">
        <is>
          <t>Approval Date:</t>
        </is>
      </c>
      <c r="B21" s="19" t="n"/>
    </row>
    <row r="22">
      <c r="A22" s="5" t="inlineStr">
        <is>
          <t>Next Review Date:</t>
        </is>
      </c>
      <c r="B22" s="9">
        <f>DATE(YEAR(B20)+1, MONTH(B20), DAY(B20))</f>
        <v/>
      </c>
    </row>
    <row r="23">
      <c r="A23" s="5" t="inlineStr">
        <is>
          <t>Signature:</t>
        </is>
      </c>
      <c r="B23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:E1"/>
    <mergeCell ref="A4:E4"/>
    <mergeCell ref="A18:E18"/>
    <mergeCell ref="A10:E10"/>
  </mergeCells>
  <conditionalFormatting sqref="D12:D15">
    <cfRule type="cellIs" priority="1" operator="equal" dxfId="0">
      <formula>"Approved"</formula>
    </cfRule>
    <cfRule type="cellIs" priority="2" operator="equal" dxfId="4">
      <formula>"Requires Revision"</formula>
    </cfRule>
  </conditionalFormatting>
  <dataValidations count="1">
    <dataValidation sqref="D12:D15" showDropDown="0" showInputMessage="0" showErrorMessage="0" allowBlank="0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2026-02-08T10:49:04Z</dcterms:created>
  <dcterms:modified xmlns:dcterms="http://purl.org/dc/terms/" xmlns:xsi="http://www.w3.org/2001/XMLSchema-instance" xsi:type="dcterms:W3CDTF">2026-02-08T10:49:07Z</dcterms:modified>
</cp:coreProperties>
</file>