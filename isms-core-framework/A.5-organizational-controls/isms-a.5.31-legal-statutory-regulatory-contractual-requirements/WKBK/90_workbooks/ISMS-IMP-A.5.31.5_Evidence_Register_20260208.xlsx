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idence_Register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Evidence_by_Regulation" sheetId="3" state="visible" r:id="rId3"/>
    <sheet xmlns:r="http://schemas.openxmlformats.org/officeDocument/2006/relationships" name="Evidence_by_Control" sheetId="4" state="visible" r:id="rId4"/>
    <sheet xmlns:r="http://schemas.openxmlformats.org/officeDocument/2006/relationships" name="Alerts_Actions" sheetId="5" state="visible" r:id="rId5"/>
  </sheets>
  <definedNames>
    <definedName name="_xlnm._FilterDatabase" localSheetId="0" hidden="1">'Evidence_Register'!$A$1:$Q$1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"/>
  </numFmts>
  <fonts count="11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color rgb="00FFFFFF"/>
      <sz val="16"/>
    </font>
    <font>
      <b val="1"/>
      <color rgb="00FFFFFF"/>
      <sz val="14"/>
    </font>
    <font>
      <b val="1"/>
      <color rgb="00FFFFFF"/>
    </font>
    <font>
      <b val="1"/>
      <sz val="9"/>
    </font>
    <font>
      <sz val="9"/>
    </font>
    <font>
      <b val="1"/>
      <color rgb="00C00000"/>
      <sz val="12"/>
    </font>
    <font>
      <i val="1"/>
      <sz val="9"/>
    </font>
    <font>
      <color rgb="00C00000"/>
      <sz val="9"/>
    </font>
  </fonts>
  <fills count="5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C00000"/>
      </patternFill>
    </fill>
    <fill>
      <patternFill patternType="solid">
        <fgColor rgb="00D9D9D9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center" vertical="center"/>
    </xf>
    <xf numFmtId="165" fontId="2" fillId="0" borderId="1" applyAlignment="1" pivotButton="0" quotePrefix="0" xfId="0">
      <alignment horizontal="center" vertical="center"/>
    </xf>
    <xf numFmtId="0" fontId="3" fillId="2" borderId="0" applyAlignment="1" pivotButton="0" quotePrefix="0" xfId="0">
      <alignment horizontal="center" vertical="center"/>
    </xf>
    <xf numFmtId="0" fontId="2" fillId="0" borderId="0" applyAlignment="1" pivotButton="0" quotePrefix="0" xfId="0">
      <alignment wrapText="1"/>
    </xf>
    <xf numFmtId="0" fontId="4" fillId="2" borderId="0" applyAlignment="1" pivotButton="0" quotePrefix="0" xfId="0">
      <alignment horizontal="center"/>
    </xf>
    <xf numFmtId="0" fontId="5" fillId="2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4" fillId="2" borderId="0" pivotButton="0" quotePrefix="0" xfId="0"/>
    <xf numFmtId="0" fontId="4" fillId="3" borderId="0" pivotButton="0" quotePrefix="0" xfId="0"/>
    <xf numFmtId="0" fontId="8" fillId="0" borderId="0" pivotButton="0" quotePrefix="0" xfId="0"/>
    <xf numFmtId="0" fontId="9" fillId="0" borderId="0" pivotButton="0" quotePrefix="0" xfId="0"/>
    <xf numFmtId="0" fontId="6" fillId="4" borderId="0" pivotButton="0" quotePrefix="0" xfId="0"/>
    <xf numFmtId="0" fontId="10" fillId="0" borderId="0" pivotButton="0" quotePrefix="0" xfId="0"/>
  </cellXfs>
  <cellStyles count="1">
    <cellStyle name="Normal" xfId="0" builtinId="0" hidden="0"/>
  </cellStyles>
  <dxfs count="4">
    <dxf>
      <fill>
        <patternFill patternType="solid">
          <fgColor rgb="0000FF00"/>
        </patternFill>
      </fill>
    </dxf>
    <dxf>
      <fill>
        <patternFill patternType="solid">
          <fgColor rgb="00FFFFCC"/>
        </patternFill>
      </fill>
    </dxf>
    <dxf>
      <fill>
        <patternFill patternType="solid">
          <fgColor rgb="00FFC7CE"/>
        </patternFill>
      </fill>
    </dxf>
    <dxf>
      <fill>
        <patternFill patternType="solid">
          <fgColor rgb="00D9D9D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2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5" customWidth="1" min="1" max="1"/>
    <col width="18" customWidth="1" min="2" max="2"/>
    <col width="15" customWidth="1" min="3" max="3"/>
    <col width="15" customWidth="1" min="4" max="4"/>
    <col width="20" customWidth="1" min="5" max="5"/>
    <col width="45" customWidth="1" min="6" max="6"/>
    <col width="40" customWidth="1" min="7" max="7"/>
    <col width="15" customWidth="1" min="8" max="8"/>
    <col width="15" customWidth="1" min="9" max="9"/>
    <col width="20" customWidth="1" min="10" max="10"/>
    <col width="20" customWidth="1" min="11" max="11"/>
    <col width="25" customWidth="1" min="12" max="12"/>
    <col width="18" customWidth="1" min="13" max="13"/>
    <col width="15" customWidth="1" min="14" max="14"/>
    <col width="15" customWidth="1" min="15" max="15"/>
    <col width="35" customWidth="1" min="16" max="16"/>
    <col width="15" customWidth="1" min="17" max="17"/>
  </cols>
  <sheetData>
    <row r="1">
      <c r="A1" s="1" t="inlineStr">
        <is>
          <t>Evidence ID</t>
        </is>
      </c>
      <c r="B1" s="1" t="inlineStr">
        <is>
          <t>Requirement ID</t>
        </is>
      </c>
      <c r="C1" s="1" t="inlineStr">
        <is>
          <t>Control ID</t>
        </is>
      </c>
      <c r="D1" s="1" t="inlineStr">
        <is>
          <t>Regulation ID</t>
        </is>
      </c>
      <c r="E1" s="1" t="inlineStr">
        <is>
          <t>Evidence Type</t>
        </is>
      </c>
      <c r="F1" s="1" t="inlineStr">
        <is>
          <t>Evidence Description</t>
        </is>
      </c>
      <c r="G1" s="1" t="inlineStr">
        <is>
          <t>Evidence Location</t>
        </is>
      </c>
      <c r="H1" s="1" t="inlineStr">
        <is>
          <t>Collection Date</t>
        </is>
      </c>
      <c r="I1" s="1" t="inlineStr">
        <is>
          <t>Valid Until</t>
        </is>
      </c>
      <c r="J1" s="1" t="inlineStr">
        <is>
          <t>Responsible Party</t>
        </is>
      </c>
      <c r="K1" s="1" t="inlineStr">
        <is>
          <t>Verification Status</t>
        </is>
      </c>
      <c r="L1" s="1" t="inlineStr">
        <is>
          <t>Last Verified By</t>
        </is>
      </c>
      <c r="M1" s="1" t="inlineStr">
        <is>
          <t>Refresh Frequency</t>
        </is>
      </c>
      <c r="N1" s="1" t="inlineStr">
        <is>
          <t>Next Refresh Date</t>
        </is>
      </c>
      <c r="O1" s="1" t="inlineStr">
        <is>
          <t>Audit Ready</t>
        </is>
      </c>
      <c r="P1" s="1" t="inlineStr">
        <is>
          <t>Notes</t>
        </is>
      </c>
      <c r="Q1" s="1" t="inlineStr">
        <is>
          <t>Last Updated</t>
        </is>
      </c>
    </row>
    <row r="2">
      <c r="A2" s="2" t="inlineStr">
        <is>
          <t>EV-2025-001</t>
        </is>
      </c>
      <c r="B2" s="2" t="inlineStr">
        <is>
          <t>REG-GDPR-32-001</t>
        </is>
      </c>
      <c r="C2" s="2" t="inlineStr">
        <is>
          <t>A.8.24</t>
        </is>
      </c>
      <c r="D2" s="2" t="inlineStr">
        <is>
          <t>REG-EU-001</t>
        </is>
      </c>
      <c r="E2" s="3" t="inlineStr">
        <is>
          <t>📄 Policy</t>
        </is>
      </c>
      <c r="F2" s="2" t="inlineStr">
        <is>
          <t>Information Security Policy v3.0 - Encryption Requirements</t>
        </is>
      </c>
      <c r="G2" s="2" t="inlineStr">
        <is>
          <t>/Evidence/REG-GDPR/Policies/InfoSec_Policy_v3.0.pdf</t>
        </is>
      </c>
      <c r="H2" s="4" t="n">
        <v>46001.51767944697</v>
      </c>
      <c r="I2" s="4" t="n">
        <v>46426.51767944697</v>
      </c>
      <c r="J2" s="2" t="inlineStr">
        <is>
          <t>ISMS Manager</t>
        </is>
      </c>
      <c r="K2" s="3" t="inlineStr">
        <is>
          <t>✅ Verified</t>
        </is>
      </c>
      <c r="L2" s="2" t="inlineStr">
        <is>
          <t>Compliance Analyst / 2024-12-15</t>
        </is>
      </c>
      <c r="M2" s="2" t="inlineStr">
        <is>
          <t>Annual</t>
        </is>
      </c>
      <c r="N2" s="4" t="n">
        <v>46426.51767944697</v>
      </c>
      <c r="O2" s="3" t="inlineStr">
        <is>
          <t>✅ Yes</t>
        </is>
      </c>
      <c r="P2" s="2" t="inlineStr">
        <is>
          <t>Approved by CISO 2024-11-15</t>
        </is>
      </c>
      <c r="Q2" s="4" t="n">
        <v>46061.51767944697</v>
      </c>
    </row>
    <row r="3">
      <c r="A3" s="2" t="inlineStr">
        <is>
          <t>EV-2025-002</t>
        </is>
      </c>
      <c r="B3" s="2" t="inlineStr">
        <is>
          <t>REG-GDPR-32-001</t>
        </is>
      </c>
      <c r="C3" s="2" t="inlineStr">
        <is>
          <t>A.5.10</t>
        </is>
      </c>
      <c r="D3" s="2" t="inlineStr">
        <is>
          <t>REG-EU-001</t>
        </is>
      </c>
      <c r="E3" s="3" t="inlineStr">
        <is>
          <t>📋 Procedure</t>
        </is>
      </c>
      <c r="F3" s="2" t="inlineStr">
        <is>
          <t>Data Encryption Standard Operating Procedure</t>
        </is>
      </c>
      <c r="G3" s="2" t="inlineStr">
        <is>
          <t>/Evidence/REG-GDPR/Procedures/Encryption_SOP_v2.1.pdf</t>
        </is>
      </c>
      <c r="H3" s="4" t="n">
        <v>46016.51767944697</v>
      </c>
      <c r="I3" s="4" t="n">
        <v>46426.51767944697</v>
      </c>
      <c r="J3" s="2" t="inlineStr">
        <is>
          <t>CISO</t>
        </is>
      </c>
      <c r="K3" s="3" t="inlineStr">
        <is>
          <t>✅ Verified</t>
        </is>
      </c>
      <c r="L3" s="2" t="inlineStr">
        <is>
          <t>Security Ops Lead / 2024-12-10</t>
        </is>
      </c>
      <c r="M3" s="2" t="inlineStr">
        <is>
          <t>Annual</t>
        </is>
      </c>
      <c r="N3" s="4" t="n">
        <v>46426.51767944697</v>
      </c>
      <c r="O3" s="3" t="inlineStr">
        <is>
          <t>✅ Yes</t>
        </is>
      </c>
      <c r="P3" s="2" t="inlineStr">
        <is>
          <t>Updated for GDPR compliance Q4 2024</t>
        </is>
      </c>
      <c r="Q3" s="4" t="n">
        <v>46061.51767944697</v>
      </c>
    </row>
    <row r="4">
      <c r="A4" s="2" t="inlineStr">
        <is>
          <t>EV-2025-003</t>
        </is>
      </c>
      <c r="B4" s="2" t="inlineStr">
        <is>
          <t>REG-GDPR-33-001</t>
        </is>
      </c>
      <c r="C4" s="2" t="inlineStr">
        <is>
          <t>A.5.26</t>
        </is>
      </c>
      <c r="D4" s="2" t="inlineStr">
        <is>
          <t>REG-EU-001</t>
        </is>
      </c>
      <c r="E4" s="3" t="inlineStr">
        <is>
          <t>📋 Procedure</t>
        </is>
      </c>
      <c r="F4" s="2" t="inlineStr">
        <is>
          <t>Data Breach Notification Procedure (72h)</t>
        </is>
      </c>
      <c r="G4" s="2" t="inlineStr">
        <is>
          <t>/Evidence/REG-GDPR/Procedures/Breach_Notification_v1.0.pdf</t>
        </is>
      </c>
      <c r="H4" s="4" t="n">
        <v>45971.51767944697</v>
      </c>
      <c r="I4" s="4" t="n">
        <v>46426.51767944697</v>
      </c>
      <c r="J4" s="2" t="inlineStr">
        <is>
          <t>Incident Response Lead</t>
        </is>
      </c>
      <c r="K4" s="3" t="inlineStr">
        <is>
          <t>⏳ Pending</t>
        </is>
      </c>
      <c r="L4" s="2" t="inlineStr">
        <is>
          <t>Awaiting legal review</t>
        </is>
      </c>
      <c r="M4" s="2" t="inlineStr">
        <is>
          <t>Annual</t>
        </is>
      </c>
      <c r="N4" s="4" t="n">
        <v>46426.51767944697</v>
      </c>
      <c r="O4" s="3" t="inlineStr">
        <is>
          <t>⚠ Needs Update</t>
        </is>
      </c>
      <c r="P4" s="2" t="inlineStr">
        <is>
          <t>Needs update for FDPIC notification (Swiss FADP)</t>
        </is>
      </c>
      <c r="Q4" s="4" t="n">
        <v>46061.51767944697</v>
      </c>
    </row>
    <row r="5">
      <c r="A5" s="2" t="inlineStr">
        <is>
          <t>EV-2025-004</t>
        </is>
      </c>
      <c r="B5" s="2" t="inlineStr">
        <is>
          <t>REG-GDPR-37-001</t>
        </is>
      </c>
      <c r="C5" s="2" t="inlineStr">
        <is>
          <t>A.5.2</t>
        </is>
      </c>
      <c r="D5" s="2" t="inlineStr">
        <is>
          <t>REG-EU-001</t>
        </is>
      </c>
      <c r="E5" s="3" t="inlineStr">
        <is>
          <t>📸 Screenshot</t>
        </is>
      </c>
      <c r="F5" s="2" t="inlineStr">
        <is>
          <t>DPO Appointment Documentation &amp; Contact Info</t>
        </is>
      </c>
      <c r="G5" s="2" t="inlineStr">
        <is>
          <t>/Evidence/REG-GDPR/Organizational/DPO_Appointment_2024.pdf</t>
        </is>
      </c>
      <c r="H5" s="4" t="n">
        <v>45881.51767944697</v>
      </c>
      <c r="I5" s="2" t="n"/>
      <c r="J5" s="2" t="inlineStr">
        <is>
          <t>HR Manager</t>
        </is>
      </c>
      <c r="K5" s="3" t="inlineStr">
        <is>
          <t>✅ Verified</t>
        </is>
      </c>
      <c r="L5" s="2" t="inlineStr">
        <is>
          <t>Compliance Officer / 2024-11-20</t>
        </is>
      </c>
      <c r="M5" s="2" t="inlineStr">
        <is>
          <t>One-time</t>
        </is>
      </c>
      <c r="N5" s="2" t="n"/>
      <c r="O5" s="3" t="inlineStr">
        <is>
          <t>✅ Yes</t>
        </is>
      </c>
      <c r="P5" s="2" t="inlineStr">
        <is>
          <t>DPO: dpo@organization.ch, appointed June 2024</t>
        </is>
      </c>
      <c r="Q5" s="4" t="n">
        <v>46061.51767944697</v>
      </c>
    </row>
    <row r="6">
      <c r="A6" s="2" t="inlineStr">
        <is>
          <t>EV-2025-005</t>
        </is>
      </c>
      <c r="B6" s="2" t="inlineStr">
        <is>
          <t>REG-ISO27001-5.1-001</t>
        </is>
      </c>
      <c r="C6" s="2" t="inlineStr">
        <is>
          <t>A.5.1</t>
        </is>
      </c>
      <c r="D6" s="2" t="inlineStr">
        <is>
          <t>REG-INT-001</t>
        </is>
      </c>
      <c r="E6" s="3" t="inlineStr">
        <is>
          <t>📄 Policy</t>
        </is>
      </c>
      <c r="F6" s="2" t="inlineStr">
        <is>
          <t>ISMS Policy Suite (Master Document)</t>
        </is>
      </c>
      <c r="G6" s="2" t="inlineStr">
        <is>
          <t>/Evidence/ISO27001/Policies/ISMS_Master_Policy_v2.0.pdf</t>
        </is>
      </c>
      <c r="H6" s="4" t="n">
        <v>46031.51767944697</v>
      </c>
      <c r="I6" s="4" t="n">
        <v>46396.51767944697</v>
      </c>
      <c r="J6" s="2" t="inlineStr">
        <is>
          <t>ISMS Manager</t>
        </is>
      </c>
      <c r="K6" s="3" t="inlineStr">
        <is>
          <t>✅ Verified</t>
        </is>
      </c>
      <c r="L6" s="2" t="inlineStr">
        <is>
          <t>ISMS Manager / 2024-12-01</t>
        </is>
      </c>
      <c r="M6" s="2" t="inlineStr">
        <is>
          <t>Annual</t>
        </is>
      </c>
      <c r="N6" s="4" t="n">
        <v>46396.51767944697</v>
      </c>
      <c r="O6" s="3" t="inlineStr">
        <is>
          <t>✅ Yes</t>
        </is>
      </c>
      <c r="P6" s="2" t="inlineStr">
        <is>
          <t>Annual review scheduled Q4 2025</t>
        </is>
      </c>
      <c r="Q6" s="4" t="n">
        <v>46061.51767944697</v>
      </c>
    </row>
    <row r="7">
      <c r="A7" s="2" t="inlineStr">
        <is>
          <t>EV-2025-006</t>
        </is>
      </c>
      <c r="B7" s="2" t="inlineStr">
        <is>
          <t>REG-ISO27001-6.1-001</t>
        </is>
      </c>
      <c r="C7" s="2" t="inlineStr">
        <is>
          <t>A.5.7</t>
        </is>
      </c>
      <c r="D7" s="2" t="inlineStr">
        <is>
          <t>REG-INT-001</t>
        </is>
      </c>
      <c r="E7" s="3" t="inlineStr">
        <is>
          <t>📈 Report</t>
        </is>
      </c>
      <c r="F7" s="2" t="inlineStr">
        <is>
          <t>Risk Assessment Report 2024</t>
        </is>
      </c>
      <c r="G7" s="2" t="inlineStr">
        <is>
          <t>/Evidence/ISO27001/Risk/Risk_Assessment_Report_2024.xlsx</t>
        </is>
      </c>
      <c r="H7" s="4" t="n">
        <v>46046.51767944697</v>
      </c>
      <c r="I7" s="4" t="n">
        <v>46411.51767944697</v>
      </c>
      <c r="J7" s="2" t="inlineStr">
        <is>
          <t>CISO</t>
        </is>
      </c>
      <c r="K7" s="3" t="inlineStr">
        <is>
          <t>✅ Verified</t>
        </is>
      </c>
      <c r="L7" s="2" t="inlineStr">
        <is>
          <t>Risk Manager / 2024-12-20</t>
        </is>
      </c>
      <c r="M7" s="2" t="inlineStr">
        <is>
          <t>Annual</t>
        </is>
      </c>
      <c r="N7" s="4" t="n">
        <v>46411.51767944697</v>
      </c>
      <c r="O7" s="3" t="inlineStr">
        <is>
          <t>✅ Yes</t>
        </is>
      </c>
      <c r="P7" s="2" t="inlineStr">
        <is>
          <t>Annual risk assessment completed Q4 2024</t>
        </is>
      </c>
      <c r="Q7" s="4" t="n">
        <v>46061.51767944697</v>
      </c>
    </row>
    <row r="8">
      <c r="A8" s="2" t="inlineStr">
        <is>
          <t>EV-2025-007</t>
        </is>
      </c>
      <c r="B8" s="2" t="inlineStr">
        <is>
          <t>REG-FADP-7-001</t>
        </is>
      </c>
      <c r="C8" s="2" t="inlineStr">
        <is>
          <t>A.8.24</t>
        </is>
      </c>
      <c r="D8" s="2" t="inlineStr">
        <is>
          <t>REG-CH-001</t>
        </is>
      </c>
      <c r="E8" s="3" t="inlineStr">
        <is>
          <t>⚙️ Configuration</t>
        </is>
      </c>
      <c r="F8" s="2" t="inlineStr">
        <is>
          <t>Database Encryption Configuration Export</t>
        </is>
      </c>
      <c r="G8" s="2" t="inlineStr">
        <is>
          <t>/Evidence/REG-FADP/Technical/DB_Encryption_Config_2024.json</t>
        </is>
      </c>
      <c r="H8" s="4" t="n">
        <v>46056.51767944697</v>
      </c>
      <c r="I8" s="2" t="n"/>
      <c r="J8" s="2" t="inlineStr">
        <is>
          <t>Database Admin</t>
        </is>
      </c>
      <c r="K8" s="3" t="inlineStr">
        <is>
          <t>⏳ Pending</t>
        </is>
      </c>
      <c r="L8" s="2" t="inlineStr">
        <is>
          <t>Awaiting verification</t>
        </is>
      </c>
      <c r="M8" s="2" t="inlineStr">
        <is>
          <t>Quarterly</t>
        </is>
      </c>
      <c r="N8" s="4" t="n">
        <v>46081.51767944697</v>
      </c>
      <c r="O8" s="3" t="inlineStr">
        <is>
          <t>⚠ Needs Update</t>
        </is>
      </c>
      <c r="P8" s="2" t="inlineStr">
        <is>
          <t>Configuration export from production DB. Needs verification.</t>
        </is>
      </c>
      <c r="Q8" s="4" t="n">
        <v>46061.51767944697</v>
      </c>
    </row>
    <row r="9">
      <c r="A9" s="2" t="inlineStr">
        <is>
          <t>EV-2025-008</t>
        </is>
      </c>
      <c r="B9" s="2" t="inlineStr">
        <is>
          <t>REG-FADP-24-001</t>
        </is>
      </c>
      <c r="C9" s="2" t="inlineStr">
        <is>
          <t>A.5.26</t>
        </is>
      </c>
      <c r="D9" s="2" t="inlineStr">
        <is>
          <t>REG-CH-001</t>
        </is>
      </c>
      <c r="E9" s="3" t="inlineStr">
        <is>
          <t>📋 Procedure</t>
        </is>
      </c>
      <c r="F9" s="2" t="inlineStr">
        <is>
          <t>FDPIC Breach Notification Procedure</t>
        </is>
      </c>
      <c r="G9" s="2" t="inlineStr">
        <is>
          <t>/Evidence/REG-FADP/Procedures/FDPIC_Notification_v1.0.pdf</t>
        </is>
      </c>
      <c r="H9" s="2" t="n"/>
      <c r="I9" s="2" t="n"/>
      <c r="J9" s="2" t="inlineStr">
        <is>
          <t>Incident Response Lead</t>
        </is>
      </c>
      <c r="K9" s="3" t="inlineStr">
        <is>
          <t>❓ Missing</t>
        </is>
      </c>
      <c r="L9" s="2" t="inlineStr">
        <is>
          <t>Not collected</t>
        </is>
      </c>
      <c r="M9" s="2" t="inlineStr">
        <is>
          <t>As-needed</t>
        </is>
      </c>
      <c r="N9" s="2" t="n"/>
      <c r="O9" s="3" t="inlineStr">
        <is>
          <t>❌ No</t>
        </is>
      </c>
      <c r="P9" s="2" t="inlineStr">
        <is>
          <t>CRITICAL: Procedure not yet created. Target: Q1 2025</t>
        </is>
      </c>
      <c r="Q9" s="4" t="n">
        <v>46061.51767944697</v>
      </c>
    </row>
    <row r="10">
      <c r="A10" s="2" t="inlineStr">
        <is>
          <t>EV-2025-009</t>
        </is>
      </c>
      <c r="B10" s="2" t="inlineStr">
        <is>
          <t>REG-NIS2-21-001</t>
        </is>
      </c>
      <c r="C10" s="2" t="inlineStr">
        <is>
          <t>A.8.8</t>
        </is>
      </c>
      <c r="D10" s="2" t="inlineStr">
        <is>
          <t>REG-EU-002</t>
        </is>
      </c>
      <c r="E10" s="3" t="inlineStr">
        <is>
          <t>🧪 Test Result</t>
        </is>
      </c>
      <c r="F10" s="2" t="inlineStr">
        <is>
          <t>Vulnerability Scan Results Q4 2024</t>
        </is>
      </c>
      <c r="G10" s="2" t="inlineStr">
        <is>
          <t>/Evidence/REG-NIS2/Testing/Vuln_Scan_2024Q4.pdf</t>
        </is>
      </c>
      <c r="H10" s="4" t="n">
        <v>46051.51767944697</v>
      </c>
      <c r="I10" s="4" t="n">
        <v>46141.51767944697</v>
      </c>
      <c r="J10" s="2" t="inlineStr">
        <is>
          <t>Security Ops</t>
        </is>
      </c>
      <c r="K10" s="3" t="inlineStr">
        <is>
          <t>✅ Verified</t>
        </is>
      </c>
      <c r="L10" s="2" t="inlineStr">
        <is>
          <t>Security Analyst / 2024-12-22</t>
        </is>
      </c>
      <c r="M10" s="2" t="inlineStr">
        <is>
          <t>Quarterly</t>
        </is>
      </c>
      <c r="N10" s="4" t="n">
        <v>46081.51767944697</v>
      </c>
      <c r="O10" s="3" t="inlineStr">
        <is>
          <t>✅ Yes</t>
        </is>
      </c>
      <c r="P10" s="2" t="inlineStr">
        <is>
          <t>Tier 2 (Conditional) - maintained for readiness</t>
        </is>
      </c>
      <c r="Q10" s="4" t="n">
        <v>46061.51767944697</v>
      </c>
    </row>
    <row r="11">
      <c r="A11" s="2" t="inlineStr">
        <is>
          <t>EV-2025-010</t>
        </is>
      </c>
      <c r="B11" s="2" t="inlineStr">
        <is>
          <t>REG-NIST-ID.AM-001</t>
        </is>
      </c>
      <c r="C11" s="2" t="inlineStr">
        <is>
          <t>A.5.9</t>
        </is>
      </c>
      <c r="D11" s="2" t="inlineStr">
        <is>
          <t>REG-VOL-001</t>
        </is>
      </c>
      <c r="E11" s="3" t="inlineStr">
        <is>
          <t>📊 Log</t>
        </is>
      </c>
      <c r="F11" s="2" t="inlineStr">
        <is>
          <t>Asset Inventory System Export</t>
        </is>
      </c>
      <c r="G11" s="2" t="inlineStr">
        <is>
          <t>/Evidence/NIST/Inventory/Asset_Inventory_2024-12.csv</t>
        </is>
      </c>
      <c r="H11" s="4" t="n">
        <v>46059.51767944697</v>
      </c>
      <c r="I11" s="4" t="n">
        <v>46089.51767944697</v>
      </c>
      <c r="J11" s="2" t="inlineStr">
        <is>
          <t>IT Ops Manager</t>
        </is>
      </c>
      <c r="K11" s="3" t="inlineStr">
        <is>
          <t>✅ Verified</t>
        </is>
      </c>
      <c r="L11" s="2" t="inlineStr">
        <is>
          <t>IT Operations / 2024-12-30</t>
        </is>
      </c>
      <c r="M11" s="2" t="inlineStr">
        <is>
          <t>Monthly</t>
        </is>
      </c>
      <c r="N11" s="4" t="n">
        <v>46089.51767944697</v>
      </c>
      <c r="O11" s="3" t="inlineStr">
        <is>
          <t>✅ Yes</t>
        </is>
      </c>
      <c r="P11" s="2" t="inlineStr">
        <is>
          <t>80% coverage achieved. Monthly exports automated.</t>
        </is>
      </c>
      <c r="Q11" s="4" t="n">
        <v>46061.51767944697</v>
      </c>
    </row>
    <row r="12">
      <c r="A12" s="2" t="inlineStr">
        <is>
          <t>EV-2025-011</t>
        </is>
      </c>
      <c r="B12" s="2" t="inlineStr">
        <is>
          <t>REG-GDPR-32-001</t>
        </is>
      </c>
      <c r="C12" s="2" t="inlineStr">
        <is>
          <t>A.8.24</t>
        </is>
      </c>
      <c r="D12" s="2" t="inlineStr">
        <is>
          <t>REG-EU-001</t>
        </is>
      </c>
      <c r="E12" s="3" t="inlineStr">
        <is>
          <t>🎓 Certificate</t>
        </is>
      </c>
      <c r="F12" s="2" t="inlineStr">
        <is>
          <t>TLS Certificate for production systems</t>
        </is>
      </c>
      <c r="G12" s="2" t="inlineStr">
        <is>
          <t>/Evidence/REG-GDPR/Certificates/TLS_Cert_2024.pem</t>
        </is>
      </c>
      <c r="H12" s="4" t="n">
        <v>45971.51767944697</v>
      </c>
      <c r="I12" s="4" t="n">
        <v>46031.51767944697</v>
      </c>
      <c r="J12" s="2" t="inlineStr">
        <is>
          <t>Security Engineer</t>
        </is>
      </c>
      <c r="K12" s="3" t="inlineStr">
        <is>
          <t>❌ Expired</t>
        </is>
      </c>
      <c r="L12" s="2" t="inlineStr">
        <is>
          <t>Certificate expired</t>
        </is>
      </c>
      <c r="M12" s="2" t="inlineStr">
        <is>
          <t>Annual</t>
        </is>
      </c>
      <c r="N12" s="4" t="n">
        <v>46031.51767944697</v>
      </c>
      <c r="O12" s="3" t="inlineStr">
        <is>
          <t>❌ No</t>
        </is>
      </c>
      <c r="P12" s="2" t="inlineStr">
        <is>
          <t>URGENT: TLS certificate expired! Needs renewal immediately.</t>
        </is>
      </c>
      <c r="Q12" s="4" t="n">
        <v>46061.51767944697</v>
      </c>
    </row>
  </sheetData>
  <autoFilter ref="A1:Q1"/>
  <conditionalFormatting sqref="K2:K1000">
    <cfRule type="cellIs" priority="1" operator="containsText" dxfId="0">
      <formula>"{CHECK}"</formula>
    </cfRule>
    <cfRule type="cellIs" priority="2" operator="containsText" dxfId="1">
      <formula>"⏳"</formula>
    </cfRule>
    <cfRule type="cellIs" priority="3" operator="containsText" dxfId="2">
      <formula>"{XMARK}"</formula>
    </cfRule>
    <cfRule type="cellIs" priority="4" operator="containsText" dxfId="3">
      <formula>"❓"</formula>
    </cfRule>
  </conditionalFormatting>
  <conditionalFormatting sqref="O2:O1000">
    <cfRule type="cellIs" priority="5" operator="containsText" dxfId="0">
      <formula>"{CHECK}"</formula>
    </cfRule>
    <cfRule type="cellIs" priority="6" operator="containsText" dxfId="1">
      <formula>"{WARNING}"</formula>
    </cfRule>
    <cfRule type="cellIs" priority="7" operator="containsText" dxfId="2">
      <formula>"{XMARK}"</formula>
    </cfRule>
  </conditionalFormatting>
  <dataValidations count="4">
    <dataValidation sqref="E2:E1000" showDropDown="0" showInputMessage="0" showErrorMessage="0" allowBlank="0" type="list">
      <formula1>"📄 Policy,📋 Procedure,⚙️ Configuration,📊 Log,📈 Report,🎓 Certificate,🧪 Test Result,📸 Screenshot,Other"</formula1>
    </dataValidation>
    <dataValidation sqref="K2:K1000" showDropDown="0" showInputMessage="0" showErrorMessage="0" allowBlank="0" type="list">
      <formula1>"✅ Verified,⏳ Pending,❌ Expired,❓ Missing"</formula1>
    </dataValidation>
    <dataValidation sqref="M2:M1000" showDropDown="0" showInputMessage="0" showErrorMessage="0" allowBlank="0" type="list">
      <formula1>"Annual,Quarterly,Monthly,One-time,As-needed"</formula1>
    </dataValidation>
    <dataValidation sqref="O2:O1000" showDropDown="0" showInputMessage="0" showErrorMessage="0" allowBlank="0" type="list">
      <formula1>"✅ Yes,⚠️ Needs Update,❌ No"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40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0" customWidth="1" min="1" max="1"/>
  </cols>
  <sheetData>
    <row r="1" ht="40" customHeight="1">
      <c r="A1" s="5" t="inlineStr">
        <is>
          <t>ISMS-IMP-A.5.31.5 | EVIDENCE REGISTER - INSTRUCTIONS | ISO/IEC 27001:2022 - Control A.5.31: Legal, Statutory, Regulatory and Contractual Requirements</t>
        </is>
      </c>
    </row>
    <row r="2">
      <c r="A2" s="6" t="inlineStr"/>
    </row>
    <row r="3">
      <c r="A3" s="6" t="inlineStr">
        <is>
          <t>PURPOSE:</t>
        </is>
      </c>
    </row>
    <row r="4">
      <c r="A4" s="6" t="inlineStr">
        <is>
          <t>Track all evidence demonstrating compliance with regulatory requirements.</t>
        </is>
      </c>
    </row>
    <row r="5">
      <c r="A5" s="6" t="inlineStr">
        <is>
          <t>Ensures audit readiness and ongoing compliance monitoring.</t>
        </is>
      </c>
    </row>
    <row r="6">
      <c r="A6" s="6" t="inlineStr"/>
    </row>
    <row r="7">
      <c r="A7" s="6" t="inlineStr">
        <is>
          <t>EVIDENCE ID FORMAT:</t>
        </is>
      </c>
    </row>
    <row r="8">
      <c r="A8" s="6" t="inlineStr">
        <is>
          <t>EV-[Year]-[Seq]</t>
        </is>
      </c>
    </row>
    <row r="9">
      <c r="A9" s="6" t="inlineStr">
        <is>
          <t>Example: EV-2025-001</t>
        </is>
      </c>
    </row>
    <row r="10">
      <c r="A10" s="6" t="inlineStr"/>
    </row>
    <row r="11">
      <c r="A11" s="6" t="inlineStr">
        <is>
          <t>EVIDENCE TYPES:</t>
        </is>
      </c>
    </row>
    <row r="12">
      <c r="A12" s="6" t="inlineStr">
        <is>
          <t>📄 Policy: Policy documents</t>
        </is>
      </c>
    </row>
    <row r="13">
      <c r="A13" s="6" t="inlineStr">
        <is>
          <t>📋 Procedure: Documented procedures</t>
        </is>
      </c>
    </row>
    <row r="14">
      <c r="A14" s="6" t="inlineStr">
        <is>
          <t>⚙️ Configuration: System settings</t>
        </is>
      </c>
    </row>
    <row r="15">
      <c r="A15" s="6" t="inlineStr">
        <is>
          <t>📊 Log: Security logs, access logs</t>
        </is>
      </c>
    </row>
    <row r="16">
      <c r="A16" s="6" t="inlineStr">
        <is>
          <t>📈 Report: Assessment reports</t>
        </is>
      </c>
    </row>
    <row r="17">
      <c r="A17" s="6" t="inlineStr">
        <is>
          <t>🎓 Certificate: Certifications</t>
        </is>
      </c>
    </row>
    <row r="18">
      <c r="A18" s="6" t="inlineStr">
        <is>
          <t>🧪 Test Result: Test results</t>
        </is>
      </c>
    </row>
    <row r="19">
      <c r="A19" s="6" t="inlineStr">
        <is>
          <t>📸 Screenshot: System screenshots</t>
        </is>
      </c>
    </row>
    <row r="20">
      <c r="A20" s="6" t="inlineStr"/>
    </row>
    <row r="21">
      <c r="A21" s="6" t="inlineStr">
        <is>
          <t>VERIFICATION STATUS:</t>
        </is>
      </c>
    </row>
    <row r="22">
      <c r="A22" s="6" t="inlineStr">
        <is>
          <t>✅ Verified: Current, complete, authentic</t>
        </is>
      </c>
    </row>
    <row r="23">
      <c r="A23" s="6" t="inlineStr">
        <is>
          <t>⏳ Pending: Collected but not verified</t>
        </is>
      </c>
    </row>
    <row r="24">
      <c r="A24" s="6" t="inlineStr">
        <is>
          <t>❌ Expired: Past valid date</t>
        </is>
      </c>
    </row>
    <row r="25">
      <c r="A25" s="6" t="inlineStr">
        <is>
          <t>❓ Missing: Identified but not collected</t>
        </is>
      </c>
    </row>
    <row r="26">
      <c r="A26" s="6" t="inlineStr"/>
    </row>
    <row r="27">
      <c r="A27" s="6" t="inlineStr">
        <is>
          <t>REFRESH FREQUENCY:</t>
        </is>
      </c>
    </row>
    <row r="28">
      <c r="A28" s="6" t="inlineStr">
        <is>
          <t>Annual: Once per year</t>
        </is>
      </c>
    </row>
    <row r="29">
      <c r="A29" s="6" t="inlineStr">
        <is>
          <t>Quarterly: Every 3 months</t>
        </is>
      </c>
    </row>
    <row r="30">
      <c r="A30" s="6" t="inlineStr">
        <is>
          <t>Monthly: Every month</t>
        </is>
      </c>
    </row>
    <row r="31">
      <c r="A31" s="6" t="inlineStr">
        <is>
          <t>One-time: Doesn't expire</t>
        </is>
      </c>
    </row>
    <row r="32">
      <c r="A32" s="6" t="inlineStr">
        <is>
          <t>As-needed: When changes occur</t>
        </is>
      </c>
    </row>
    <row r="33">
      <c r="A33" s="6" t="inlineStr"/>
    </row>
    <row r="34">
      <c r="A34" s="6" t="inlineStr">
        <is>
          <t>AUDIT READY:</t>
        </is>
      </c>
    </row>
    <row r="35">
      <c r="A35" s="6" t="inlineStr">
        <is>
          <t>✅ Yes: Would satisfy auditor</t>
        </is>
      </c>
    </row>
    <row r="36">
      <c r="A36" s="6" t="inlineStr">
        <is>
          <t>⚠ Needs Update: Needs refresh</t>
        </is>
      </c>
    </row>
    <row r="37">
      <c r="A37" s="6" t="inlineStr">
        <is>
          <t>❌ No: Missing or inadequate</t>
        </is>
      </c>
    </row>
    <row r="38">
      <c r="A38" s="6" t="inlineStr"/>
    </row>
    <row r="39">
      <c r="A39" s="6" t="inlineStr">
        <is>
          <t>WORKFLOW:</t>
        </is>
      </c>
    </row>
    <row r="40">
      <c r="A40" s="6" t="inlineStr">
        <is>
          <t>Requirements → Controls → Evidence Collection → This Register</t>
        </is>
      </c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15" customWidth="1" min="1" max="1"/>
    <col width="30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7" t="inlineStr">
        <is>
          <t>EVIDENCE SUMMARY - BY REGULATION</t>
        </is>
      </c>
    </row>
    <row r="2">
      <c r="A2" s="8" t="inlineStr">
        <is>
          <t>Regulation ID</t>
        </is>
      </c>
      <c r="B2" s="8" t="inlineStr">
        <is>
          <t>Regulation</t>
        </is>
      </c>
      <c r="C2" s="8" t="inlineStr">
        <is>
          <t>Total Evidence</t>
        </is>
      </c>
      <c r="D2" s="8" t="inlineStr">
        <is>
          <t>Verified</t>
        </is>
      </c>
      <c r="E2" s="8" t="inlineStr">
        <is>
          <t>Pending</t>
        </is>
      </c>
      <c r="F2" s="8" t="inlineStr">
        <is>
          <t>Expired</t>
        </is>
      </c>
      <c r="G2" s="8" t="inlineStr">
        <is>
          <t>Missing</t>
        </is>
      </c>
    </row>
    <row r="3">
      <c r="A3" s="9" t="inlineStr">
        <is>
          <t>REG-EU-001</t>
        </is>
      </c>
      <c r="B3" s="10" t="inlineStr">
        <is>
          <t>GDPR</t>
        </is>
      </c>
      <c r="C3" s="9">
        <f>COUNTIF(Evidence_Register!D:D,"REG-EU-001")</f>
        <v/>
      </c>
      <c r="D3" s="10">
        <f>COUNTIFS(Evidence_Register!D:D,"REG-EU-001",Evidence_Register!K:K,"*✅*")</f>
        <v/>
      </c>
      <c r="E3" s="10">
        <f>COUNTIFS(Evidence_Register!D:D,"REG-EU-001",Evidence_Register!K:K,"*⏳*")</f>
        <v/>
      </c>
      <c r="F3" s="10">
        <f>COUNTIFS(Evidence_Register!D:D,"REG-EU-001",Evidence_Register!K:K,"*❌*")</f>
        <v/>
      </c>
      <c r="G3" s="10">
        <f>COUNTIFS(Evidence_Register!D:D,"REG-EU-001",Evidence_Register!K:K,"*❓*")</f>
        <v/>
      </c>
    </row>
    <row r="4">
      <c r="A4" s="9" t="inlineStr">
        <is>
          <t>REG-INT-001</t>
        </is>
      </c>
      <c r="B4" s="10" t="inlineStr">
        <is>
          <t>ISO 27001</t>
        </is>
      </c>
      <c r="C4" s="9">
        <f>COUNTIF(Evidence_Register!D:D,"REG-INT-001")</f>
        <v/>
      </c>
      <c r="D4" s="10">
        <f>COUNTIFS(Evidence_Register!D:D,"REG-INT-001",Evidence_Register!K:K,"*✅*")</f>
        <v/>
      </c>
      <c r="E4" s="10">
        <f>COUNTIFS(Evidence_Register!D:D,"REG-INT-001",Evidence_Register!K:K,"*⏳*")</f>
        <v/>
      </c>
      <c r="F4" s="10">
        <f>COUNTIFS(Evidence_Register!D:D,"REG-INT-001",Evidence_Register!K:K,"*❌*")</f>
        <v/>
      </c>
      <c r="G4" s="10">
        <f>COUNTIFS(Evidence_Register!D:D,"REG-INT-001",Evidence_Register!K:K,"*❓*")</f>
        <v/>
      </c>
    </row>
    <row r="5">
      <c r="A5" s="9" t="inlineStr">
        <is>
          <t>REG-CH-001</t>
        </is>
      </c>
      <c r="B5" s="10" t="inlineStr">
        <is>
          <t>Swiss FADP</t>
        </is>
      </c>
      <c r="C5" s="9">
        <f>COUNTIF(Evidence_Register!D:D,"REG-CH-001")</f>
        <v/>
      </c>
      <c r="D5" s="10">
        <f>COUNTIFS(Evidence_Register!D:D,"REG-CH-001",Evidence_Register!K:K,"*✅*")</f>
        <v/>
      </c>
      <c r="E5" s="10">
        <f>COUNTIFS(Evidence_Register!D:D,"REG-CH-001",Evidence_Register!K:K,"*⏳*")</f>
        <v/>
      </c>
      <c r="F5" s="10">
        <f>COUNTIFS(Evidence_Register!D:D,"REG-CH-001",Evidence_Register!K:K,"*❌*")</f>
        <v/>
      </c>
      <c r="G5" s="10">
        <f>COUNTIFS(Evidence_Register!D:D,"REG-CH-001",Evidence_Register!K:K,"*❓*")</f>
        <v/>
      </c>
    </row>
  </sheetData>
  <mergeCells count="1">
    <mergeCell ref="A1:G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cols>
    <col width="12" customWidth="1" min="1" max="1"/>
    <col width="50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1" t="inlineStr">
        <is>
          <t>EVIDENCE SUMMARY - BY ISO 27001 CONTROL</t>
        </is>
      </c>
    </row>
    <row r="2">
      <c r="A2" s="8" t="inlineStr">
        <is>
          <t>Control ID</t>
        </is>
      </c>
      <c r="B2" s="8" t="inlineStr">
        <is>
          <t>Control</t>
        </is>
      </c>
      <c r="C2" s="8" t="inlineStr">
        <is>
          <t>Total Evidence</t>
        </is>
      </c>
      <c r="D2" s="8" t="inlineStr">
        <is>
          <t>Verified</t>
        </is>
      </c>
      <c r="E2" s="8" t="inlineStr">
        <is>
          <t>Pending</t>
        </is>
      </c>
      <c r="F2" s="8" t="inlineStr">
        <is>
          <t>Missing</t>
        </is>
      </c>
    </row>
    <row r="3">
      <c r="A3" s="9" t="inlineStr">
        <is>
          <t>A.5.1</t>
        </is>
      </c>
      <c r="B3" s="10" t="inlineStr">
        <is>
          <t>Policies for information security</t>
        </is>
      </c>
      <c r="C3" s="9">
        <f>COUNTIF(Evidence_Register!C:C,"A.5.1")</f>
        <v/>
      </c>
      <c r="D3" s="10">
        <f>COUNTIFS(Evidence_Register!C:C,"A.5.1",Evidence_Register!K:K,"*✅*")</f>
        <v/>
      </c>
      <c r="E3" s="10">
        <f>COUNTIFS(Evidence_Register!C:C,"A.5.1",Evidence_Register!K:K,"*⏳*")</f>
        <v/>
      </c>
      <c r="F3" s="10">
        <f>COUNTIFS(Evidence_Register!C:C,"A.5.1",Evidence_Register!K:K,"*❓*")</f>
        <v/>
      </c>
    </row>
    <row r="4">
      <c r="A4" s="9" t="inlineStr">
        <is>
          <t>A.5.2</t>
        </is>
      </c>
      <c r="B4" s="10" t="inlineStr">
        <is>
          <t>Roles and responsibilities</t>
        </is>
      </c>
      <c r="C4" s="9">
        <f>COUNTIF(Evidence_Register!C:C,"A.5.2")</f>
        <v/>
      </c>
      <c r="D4" s="10">
        <f>COUNTIFS(Evidence_Register!C:C,"A.5.2",Evidence_Register!K:K,"*✅*")</f>
        <v/>
      </c>
      <c r="E4" s="10">
        <f>COUNTIFS(Evidence_Register!C:C,"A.5.2",Evidence_Register!K:K,"*⏳*")</f>
        <v/>
      </c>
      <c r="F4" s="10">
        <f>COUNTIFS(Evidence_Register!C:C,"A.5.2",Evidence_Register!K:K,"*❓*")</f>
        <v/>
      </c>
    </row>
    <row r="5">
      <c r="A5" s="9" t="inlineStr">
        <is>
          <t>A.8.24</t>
        </is>
      </c>
      <c r="B5" s="10" t="inlineStr">
        <is>
          <t>Use of cryptography</t>
        </is>
      </c>
      <c r="C5" s="9">
        <f>COUNTIF(Evidence_Register!C:C,"A.8.24")</f>
        <v/>
      </c>
      <c r="D5" s="10">
        <f>COUNTIFS(Evidence_Register!C:C,"A.8.24",Evidence_Register!K:K,"*✅*")</f>
        <v/>
      </c>
      <c r="E5" s="10">
        <f>COUNTIFS(Evidence_Register!C:C,"A.8.24",Evidence_Register!K:K,"*⏳*")</f>
        <v/>
      </c>
      <c r="F5" s="10">
        <f>COUNTIFS(Evidence_Register!C:C,"A.8.24",Evidence_Register!K:K,"*❓*")</f>
        <v/>
      </c>
    </row>
    <row r="6">
      <c r="A6" s="9" t="inlineStr">
        <is>
          <t>A.5.26</t>
        </is>
      </c>
      <c r="B6" s="10" t="inlineStr">
        <is>
          <t>Response to incidents</t>
        </is>
      </c>
      <c r="C6" s="9">
        <f>COUNTIF(Evidence_Register!C:C,"A.5.26")</f>
        <v/>
      </c>
      <c r="D6" s="10">
        <f>COUNTIFS(Evidence_Register!C:C,"A.5.26",Evidence_Register!K:K,"*✅*")</f>
        <v/>
      </c>
      <c r="E6" s="10">
        <f>COUNTIFS(Evidence_Register!C:C,"A.5.26",Evidence_Register!K:K,"*⏳*")</f>
        <v/>
      </c>
      <c r="F6" s="10">
        <f>COUNTIFS(Evidence_Register!C:C,"A.5.26",Evidence_Register!K:K,"*❓*")</f>
        <v/>
      </c>
    </row>
  </sheetData>
  <mergeCells count="1">
    <mergeCell ref="A1:F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3"/>
  <sheetViews>
    <sheetView workbookViewId="0">
      <selection activeCell="A1" sqref="A1"/>
    </sheetView>
  </sheetViews>
  <sheetFormatPr baseColWidth="8" defaultRowHeight="15"/>
  <cols>
    <col width="18" customWidth="1" min="1" max="1"/>
    <col width="25" customWidth="1" min="2" max="2"/>
    <col width="18" customWidth="1" min="3" max="3"/>
    <col width="18" customWidth="1" min="4" max="4"/>
    <col width="18" customWidth="1" min="5" max="5"/>
  </cols>
  <sheetData>
    <row r="1">
      <c r="A1" s="12" t="inlineStr">
        <is>
          <t>EVIDENCE ALERTS &amp; ACTION ITEMS</t>
        </is>
      </c>
    </row>
    <row r="3">
      <c r="A3" s="13" t="inlineStr">
        <is>
          <t>EXPIRED EVIDENCE</t>
        </is>
      </c>
    </row>
    <row r="4">
      <c r="A4" s="14" t="inlineStr">
        <is>
          <t>Evidence with Valid Until &lt; Today</t>
        </is>
      </c>
    </row>
    <row r="5">
      <c r="A5" s="15" t="inlineStr">
        <is>
          <t>Evidence ID</t>
        </is>
      </c>
      <c r="B5" s="15" t="inlineStr">
        <is>
          <t>Description</t>
        </is>
      </c>
      <c r="C5" s="15" t="inlineStr">
        <is>
          <t>Control</t>
        </is>
      </c>
      <c r="D5" s="15" t="inlineStr">
        <is>
          <t>Issue</t>
        </is>
      </c>
      <c r="E5" s="15" t="inlineStr">
        <is>
          <t>Responsible</t>
        </is>
      </c>
    </row>
    <row r="6">
      <c r="A6" s="10" t="inlineStr">
        <is>
          <t>EV-2025-011</t>
        </is>
      </c>
      <c r="B6" s="10" t="inlineStr">
        <is>
          <t>TLS Certificate expired</t>
        </is>
      </c>
      <c r="C6" s="10" t="inlineStr">
        <is>
          <t>A.8.24</t>
        </is>
      </c>
      <c r="D6" s="16" t="inlineStr">
        <is>
          <t>Expired 30 days ago</t>
        </is>
      </c>
      <c r="E6" s="10" t="inlineStr">
        <is>
          <t>Security Engineer</t>
        </is>
      </c>
    </row>
    <row r="9">
      <c r="A9" s="13" t="inlineStr">
        <is>
          <t>UPCOMING REFRESH (30 days)</t>
        </is>
      </c>
    </row>
    <row r="10">
      <c r="A10" s="14" t="inlineStr">
        <is>
          <t>Evidence approaching refresh date</t>
        </is>
      </c>
    </row>
    <row r="11">
      <c r="A11" s="15" t="inlineStr">
        <is>
          <t>Evidence ID</t>
        </is>
      </c>
      <c r="B11" s="15" t="inlineStr">
        <is>
          <t>Description</t>
        </is>
      </c>
      <c r="C11" s="15" t="inlineStr">
        <is>
          <t>Control</t>
        </is>
      </c>
      <c r="D11" s="15" t="inlineStr">
        <is>
          <t>Issue</t>
        </is>
      </c>
      <c r="E11" s="15" t="inlineStr">
        <is>
          <t>Responsible</t>
        </is>
      </c>
    </row>
    <row r="15">
      <c r="A15" s="13" t="inlineStr">
        <is>
          <t>MISSING EVIDENCE</t>
        </is>
      </c>
    </row>
    <row r="16">
      <c r="A16" s="14" t="inlineStr">
        <is>
          <t>Evidence not yet collected</t>
        </is>
      </c>
    </row>
    <row r="17">
      <c r="A17" s="15" t="inlineStr">
        <is>
          <t>Evidence ID</t>
        </is>
      </c>
      <c r="B17" s="15" t="inlineStr">
        <is>
          <t>Description</t>
        </is>
      </c>
      <c r="C17" s="15" t="inlineStr">
        <is>
          <t>Control</t>
        </is>
      </c>
      <c r="D17" s="15" t="inlineStr">
        <is>
          <t>Issue</t>
        </is>
      </c>
      <c r="E17" s="15" t="inlineStr">
        <is>
          <t>Responsible</t>
        </is>
      </c>
    </row>
    <row r="18">
      <c r="A18" s="10" t="inlineStr">
        <is>
          <t>EV-2025-008</t>
        </is>
      </c>
      <c r="B18" s="10" t="inlineStr">
        <is>
          <t>FDPIC notification procedure</t>
        </is>
      </c>
      <c r="C18" s="10" t="inlineStr">
        <is>
          <t>A.5.26</t>
        </is>
      </c>
      <c r="D18" s="16" t="inlineStr">
        <is>
          <t>Not collected</t>
        </is>
      </c>
      <c r="E18" s="10" t="inlineStr">
        <is>
          <t>Incident Response Lead</t>
        </is>
      </c>
    </row>
    <row r="21">
      <c r="A21" s="13" t="inlineStr">
        <is>
          <t>NOT AUDIT READY</t>
        </is>
      </c>
    </row>
    <row r="22">
      <c r="A22" s="14" t="inlineStr">
        <is>
          <t>Evidence that would not satisfy audit</t>
        </is>
      </c>
    </row>
    <row r="23">
      <c r="A23" s="15" t="inlineStr">
        <is>
          <t>Evidence ID</t>
        </is>
      </c>
      <c r="B23" s="15" t="inlineStr">
        <is>
          <t>Description</t>
        </is>
      </c>
      <c r="C23" s="15" t="inlineStr">
        <is>
          <t>Control</t>
        </is>
      </c>
      <c r="D23" s="15" t="inlineStr">
        <is>
          <t>Issue</t>
        </is>
      </c>
      <c r="E23" s="15" t="inlineStr">
        <is>
          <t>Responsible</t>
        </is>
      </c>
    </row>
  </sheetData>
  <mergeCells count="9">
    <mergeCell ref="A21:E21"/>
    <mergeCell ref="A4:E4"/>
    <mergeCell ref="A16:E16"/>
    <mergeCell ref="A15:E15"/>
    <mergeCell ref="A10:E10"/>
    <mergeCell ref="A1:E1"/>
    <mergeCell ref="A22:E22"/>
    <mergeCell ref="A9:E9"/>
    <mergeCell ref="A3:E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2026-02-08T11:25:27Z</dcterms:created>
  <dcterms:modified xmlns:dcterms="http://purl.org/dc/terms/" xmlns:xsi="http://www.w3.org/2001/XMLSchema-instance" xsi:type="dcterms:W3CDTF">2026-02-08T11:25:27Z</dcterms:modified>
</cp:coreProperties>
</file>