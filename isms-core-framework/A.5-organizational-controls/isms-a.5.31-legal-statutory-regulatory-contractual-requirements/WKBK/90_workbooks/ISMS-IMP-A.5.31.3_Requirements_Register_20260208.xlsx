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_Register" sheetId="1" state="visible" r:id="rId1"/>
    <sheet xmlns:r="http://schemas.openxmlformats.org/officeDocument/2006/relationships" name="Instructions" sheetId="2" state="visible" r:id="rId2"/>
    <sheet xmlns:r="http://schemas.openxmlformats.org/officeDocument/2006/relationships" name="Summary_Metrics" sheetId="3" state="visible" r:id="rId3"/>
    <sheet xmlns:r="http://schemas.openxmlformats.org/officeDocument/2006/relationships" name="Extraction_Worksheet" sheetId="4" state="visible" r:id="rId4"/>
  </sheets>
  <definedNames>
    <definedName name="_xlnm._FilterDatabase" localSheetId="0" hidden="1">'Requirements_Register'!$A$1:$R$1</definedName>
    <definedName name="_xlnm._FilterDatabase" localSheetId="3" hidden="1">'Extraction_Worksheet'!$A$2:$I$2</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6">
    <font>
      <name val="Calibri"/>
      <family val="2"/>
      <color theme="1"/>
      <sz val="11"/>
      <scheme val="minor"/>
    </font>
    <font>
      <name val="Calibri"/>
      <b val="1"/>
      <color rgb="00FFFFFF"/>
      <sz val="11"/>
    </font>
    <font>
      <name val="Calibri"/>
      <sz val="10"/>
    </font>
    <font>
      <name val="Calibri"/>
      <b val="1"/>
      <color rgb="00FFFFFF"/>
      <sz val="16"/>
    </font>
    <font>
      <name val="Calibri"/>
      <b val="1"/>
      <color rgb="00FFFFFF"/>
      <sz val="14"/>
    </font>
    <font>
      <b val="1"/>
      <sz val="12"/>
    </font>
    <font>
      <b val="1"/>
      <color rgb="00003366"/>
      <sz val="12"/>
    </font>
    <font>
      <b val="1"/>
      <sz val="11"/>
    </font>
    <font>
      <b val="1"/>
      <color rgb="00C00000"/>
      <sz val="11"/>
    </font>
    <font>
      <b val="1"/>
      <color rgb="00FF9900"/>
      <sz val="11"/>
    </font>
    <font>
      <b val="1"/>
      <color rgb="0000B050"/>
      <sz val="11"/>
    </font>
    <font>
      <b val="1"/>
      <color rgb="00808080"/>
      <sz val="11"/>
    </font>
    <font>
      <b val="1"/>
      <color rgb="00003366"/>
      <sz val="11"/>
    </font>
    <font>
      <b val="1"/>
      <color rgb="00FF0000"/>
      <sz val="11"/>
    </font>
    <font>
      <b val="1"/>
      <color rgb="00FFFFFF"/>
      <sz val="10"/>
    </font>
    <font>
      <sz val="9"/>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165" fontId="2" fillId="0" borderId="1" applyAlignment="1" pivotButton="0" quotePrefix="0" xfId="0">
      <alignment horizontal="center" vertical="center"/>
    </xf>
    <xf numFmtId="0" fontId="3" fillId="2" borderId="0" applyAlignment="1" pivotButton="0" quotePrefix="0" xfId="0">
      <alignment horizontal="center" vertical="center"/>
    </xf>
    <xf numFmtId="0" fontId="2" fillId="0" borderId="0" applyAlignment="1" pivotButton="0" quotePrefix="0" xfId="0">
      <alignment horizontal="left" vertical="top" wrapText="1"/>
    </xf>
    <xf numFmtId="0" fontId="4" fillId="2" borderId="0"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9" fontId="12" fillId="0" borderId="0" pivotButton="0" quotePrefix="0" xfId="0"/>
    <xf numFmtId="0" fontId="12" fillId="0" borderId="0" pivotButton="0" quotePrefix="0" xfId="0"/>
    <xf numFmtId="0" fontId="13" fillId="0" borderId="0" pivotButton="0" quotePrefix="0" xfId="0"/>
    <xf numFmtId="0" fontId="14" fillId="2" borderId="0" applyAlignment="1" pivotButton="0" quotePrefix="0" xfId="0">
      <alignment horizontal="center" vertical="center" wrapText="1"/>
    </xf>
    <xf numFmtId="0" fontId="15" fillId="0" borderId="1" applyAlignment="1" pivotButton="0" quotePrefix="0" xfId="0">
      <alignment horizontal="center" vertical="center" wrapText="1"/>
    </xf>
    <xf numFmtId="0" fontId="15" fillId="0" borderId="1" applyAlignment="1" pivotButton="0" quotePrefix="0" xfId="0">
      <alignment horizontal="left" vertical="center" wrapText="1"/>
    </xf>
  </cellXfs>
  <cellStyles count="1">
    <cellStyle name="Normal" xfId="0" builtinId="0" hidden="0"/>
  </cellStyles>
  <dxfs count="5">
    <dxf>
      <fill>
        <patternFill patternType="solid">
          <fgColor rgb="00FFC7CE"/>
          <bgColor rgb="00FFC7CE"/>
        </patternFill>
      </fill>
    </dxf>
    <dxf>
      <fill>
        <patternFill patternType="solid">
          <fgColor rgb="00FFFFCC"/>
          <bgColor rgb="00FFFFCC"/>
        </patternFill>
      </fill>
    </dxf>
    <dxf>
      <fill>
        <patternFill patternType="solid">
          <fgColor rgb="0000FF00"/>
          <bgColor rgb="0000FF00"/>
        </patternFill>
      </fill>
    </dxf>
    <dxf>
      <fill>
        <patternFill patternType="solid">
          <fgColor rgb="00D9D9D9"/>
          <bgColor rgb="00D9D9D9"/>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35" customWidth="1" min="3" max="3"/>
    <col width="20" customWidth="1" min="4" max="4"/>
    <col width="50" customWidth="1" min="5" max="5"/>
    <col width="50" customWidth="1" min="6" max="6"/>
    <col width="18" customWidth="1" min="7" max="7"/>
    <col width="15" customWidth="1" min="8" max="8"/>
    <col width="18" customWidth="1" min="9" max="9"/>
    <col width="20" customWidth="1" min="10" max="10"/>
    <col width="25" customWidth="1" min="11" max="11"/>
    <col width="18" customWidth="1" min="12" max="12"/>
    <col width="20" customWidth="1" min="13" max="13"/>
    <col width="40" customWidth="1" min="14" max="14"/>
    <col width="25" customWidth="1" min="15" max="15"/>
    <col width="25" customWidth="1" min="16" max="16"/>
    <col width="25" customWidth="1" min="17" max="17"/>
    <col width="15" customWidth="1" min="18" max="18"/>
  </cols>
  <sheetData>
    <row r="1">
      <c r="A1" s="1" t="inlineStr">
        <is>
          <t>Requirement ID</t>
        </is>
      </c>
      <c r="B1" s="1" t="inlineStr">
        <is>
          <t>Regulation ID</t>
        </is>
      </c>
      <c r="C1" s="1" t="inlineStr">
        <is>
          <t>Regulation Name</t>
        </is>
      </c>
      <c r="D1" s="1" t="inlineStr">
        <is>
          <t>Citation</t>
        </is>
      </c>
      <c r="E1" s="1" t="inlineStr">
        <is>
          <t>Original Requirement Text</t>
        </is>
      </c>
      <c r="F1" s="1" t="inlineStr">
        <is>
          <t>Interpreted Requirement</t>
        </is>
      </c>
      <c r="G1" s="1" t="inlineStr">
        <is>
          <t>Category</t>
        </is>
      </c>
      <c r="H1" s="1" t="inlineStr">
        <is>
          <t>Priority</t>
        </is>
      </c>
      <c r="I1" s="1" t="inlineStr">
        <is>
          <t>Implementation Deadline</t>
        </is>
      </c>
      <c r="J1" s="1" t="inlineStr">
        <is>
          <t>Implementation Status</t>
        </is>
      </c>
      <c r="K1" s="1" t="inlineStr">
        <is>
          <t>Mapped Controls</t>
        </is>
      </c>
      <c r="L1" s="1" t="inlineStr">
        <is>
          <t>Gap Status</t>
        </is>
      </c>
      <c r="M1" s="1" t="inlineStr">
        <is>
          <t>Responsible Party</t>
        </is>
      </c>
      <c r="N1" s="1" t="inlineStr">
        <is>
          <t>Notes</t>
        </is>
      </c>
      <c r="O1" s="1" t="inlineStr">
        <is>
          <t>Extracted By</t>
        </is>
      </c>
      <c r="P1" s="1" t="inlineStr">
        <is>
          <t>Reviewed By</t>
        </is>
      </c>
      <c r="Q1" s="1" t="inlineStr">
        <is>
          <t>Approved By</t>
        </is>
      </c>
      <c r="R1" s="1" t="inlineStr">
        <is>
          <t>Last Updated</t>
        </is>
      </c>
    </row>
    <row r="2">
      <c r="A2" s="2" t="inlineStr">
        <is>
          <t>REG-GDPR-32-001</t>
        </is>
      </c>
      <c r="B2" s="2" t="inlineStr">
        <is>
          <t>REG-EU-001</t>
        </is>
      </c>
      <c r="C2" s="2" t="inlineStr">
        <is>
          <t>GDPR</t>
        </is>
      </c>
      <c r="D2" s="2" t="inlineStr">
        <is>
          <t>Article 32(1)(a)</t>
        </is>
      </c>
      <c r="E2" s="2" t="inlineStr">
        <is>
          <t>The controller and the processor shall implement appropriate technical and organisational measures to ensure a level of security appropriate to the risk, including inter alia as appropriate: (a) the pseudonymisation and encryption of personal data</t>
        </is>
      </c>
      <c r="F2" s="2" t="inlineStr">
        <is>
          <t>Implement encryption for personal data at rest and in transit where appropriate based on risk assessment</t>
        </is>
      </c>
      <c r="G2" s="2" t="inlineStr">
        <is>
          <t>Technical</t>
        </is>
      </c>
      <c r="H2" s="3" t="inlineStr">
        <is>
          <t>🔴 High</t>
        </is>
      </c>
      <c r="I2" s="4" t="n">
        <v>45809</v>
      </c>
      <c r="J2" s="3" t="inlineStr">
        <is>
          <t>⏳ In Progress</t>
        </is>
      </c>
      <c r="K2" s="2" t="inlineStr">
        <is>
          <t>A.8.24, A.5.10</t>
        </is>
      </c>
      <c r="L2" s="3" t="inlineStr">
        <is>
          <t>⚠ Partial Gap</t>
        </is>
      </c>
      <c r="M2" s="2" t="inlineStr">
        <is>
          <t>CISO</t>
        </is>
      </c>
      <c r="N2" s="2" t="inlineStr">
        <is>
          <t>Encryption in transit complete (TLS 1.3). Database encryption in progress (Q1 2025).</t>
        </is>
      </c>
      <c r="O2" s="2" t="inlineStr">
        <is>
          <t>Compliance Analyst / 2024-11-15</t>
        </is>
      </c>
      <c r="P2" s="2" t="inlineStr">
        <is>
          <t>Legal Counsel / 2024-11-20</t>
        </is>
      </c>
      <c r="Q2" s="2" t="inlineStr">
        <is>
          <t>Compliance Officer / 2024-11-22</t>
        </is>
      </c>
      <c r="R2" s="4" t="n">
        <v>46061.49235408171</v>
      </c>
    </row>
    <row r="3">
      <c r="A3" s="2" t="inlineStr">
        <is>
          <t>REG-GDPR-33-001</t>
        </is>
      </c>
      <c r="B3" s="2" t="inlineStr">
        <is>
          <t>REG-EU-001</t>
        </is>
      </c>
      <c r="C3" s="2" t="inlineStr">
        <is>
          <t>GDPR</t>
        </is>
      </c>
      <c r="D3" s="2" t="inlineStr">
        <is>
          <t>Article 33(1)</t>
        </is>
      </c>
      <c r="E3" s="2" t="inlineStr">
        <is>
          <t>In the case of a personal data breach, the controller shall without undue delay and, where feasible, not later than 72 hours after having become aware of it, notify the personal data breach to the supervisory authority</t>
        </is>
      </c>
      <c r="F3" s="2" t="inlineStr">
        <is>
          <t>Notify data protection authority within 72 hours of becoming aware of personal data breach</t>
        </is>
      </c>
      <c r="G3" s="2" t="inlineStr">
        <is>
          <t>Reporting</t>
        </is>
      </c>
      <c r="H3" s="3" t="inlineStr">
        <is>
          <t>🔴 High</t>
        </is>
      </c>
      <c r="I3" s="4" t="n">
        <v>45717</v>
      </c>
      <c r="J3" s="3" t="inlineStr">
        <is>
          <t>➖ Not Started</t>
        </is>
      </c>
      <c r="K3" s="2" t="inlineStr">
        <is>
          <t>A.5.26, A.5.25</t>
        </is>
      </c>
      <c r="L3" s="3" t="inlineStr">
        <is>
          <t>❌ Complete Gap</t>
        </is>
      </c>
      <c r="M3" s="2" t="inlineStr">
        <is>
          <t>Incident Response Lead</t>
        </is>
      </c>
      <c r="N3" s="2" t="inlineStr">
        <is>
          <t>Requires incident response procedure update and SIEM alerting configuration.</t>
        </is>
      </c>
      <c r="O3" s="2" t="inlineStr">
        <is>
          <t>Compliance Analyst / 2024-11-15</t>
        </is>
      </c>
      <c r="P3" s="2" t="inlineStr">
        <is>
          <t>Legal Counsel / 2024-11-20</t>
        </is>
      </c>
      <c r="Q3" s="2" t="inlineStr">
        <is>
          <t>Compliance Officer / 2024-11-22</t>
        </is>
      </c>
      <c r="R3" s="4" t="n">
        <v>46061.49235408171</v>
      </c>
    </row>
    <row r="4">
      <c r="A4" s="2" t="inlineStr">
        <is>
          <t>REG-GDPR-37-001</t>
        </is>
      </c>
      <c r="B4" s="2" t="inlineStr">
        <is>
          <t>REG-EU-001</t>
        </is>
      </c>
      <c r="C4" s="2" t="inlineStr">
        <is>
          <t>GDPR</t>
        </is>
      </c>
      <c r="D4" s="2" t="inlineStr">
        <is>
          <t>Article 37(1)</t>
        </is>
      </c>
      <c r="E4" s="2" t="inlineStr">
        <is>
          <t>The controller and the processor shall designate a data protection officer in cases where processing is carried out by a public authority or body</t>
        </is>
      </c>
      <c r="F4" s="2" t="inlineStr">
        <is>
          <t>Appoint Data Protection Officer (DPO) where required by Article 37 criteria</t>
        </is>
      </c>
      <c r="G4" s="2" t="inlineStr">
        <is>
          <t>Organizational</t>
        </is>
      </c>
      <c r="H4" s="3" t="inlineStr">
        <is>
          <t>🔴 High</t>
        </is>
      </c>
      <c r="I4" s="4" t="n">
        <v>45657</v>
      </c>
      <c r="J4" s="3" t="inlineStr">
        <is>
          <t>✅ Implemented</t>
        </is>
      </c>
      <c r="K4" s="2" t="inlineStr">
        <is>
          <t>A.5.2, A.6.1</t>
        </is>
      </c>
      <c r="L4" s="3" t="inlineStr">
        <is>
          <t>✅ No Gap</t>
        </is>
      </c>
      <c r="M4" s="2" t="inlineStr">
        <is>
          <t>Executive Management</t>
        </is>
      </c>
      <c r="N4" s="2" t="inlineStr">
        <is>
          <t>DPO appointed June 2024. Contact: dpo@organization.ch</t>
        </is>
      </c>
      <c r="O4" s="2" t="inlineStr">
        <is>
          <t>Compliance Analyst / 2024-11-15</t>
        </is>
      </c>
      <c r="P4" s="2" t="inlineStr">
        <is>
          <t>Legal Counsel / 2024-11-20</t>
        </is>
      </c>
      <c r="Q4" s="2" t="inlineStr">
        <is>
          <t>Compliance Officer / 2024-11-22</t>
        </is>
      </c>
      <c r="R4" s="4" t="n">
        <v>46061.49235408171</v>
      </c>
    </row>
    <row r="5">
      <c r="A5" s="2" t="inlineStr">
        <is>
          <t>REG-ISO27001-5.1-001</t>
        </is>
      </c>
      <c r="B5" s="2" t="inlineStr">
        <is>
          <t>REG-INT-001</t>
        </is>
      </c>
      <c r="C5" s="2" t="inlineStr">
        <is>
          <t>ISO 27001:2022</t>
        </is>
      </c>
      <c r="D5" s="2" t="inlineStr">
        <is>
          <t>Clause 5.1 / A.5.1</t>
        </is>
      </c>
      <c r="E5" s="2" t="inlineStr">
        <is>
          <t>Top management shall establish, implement and maintain information security policies that are approved, communicated to all relevant parties, and available as documented information</t>
        </is>
      </c>
      <c r="F5" s="2" t="inlineStr">
        <is>
          <t>Establish, document, approve, and communicate information security policies to all relevant parties</t>
        </is>
      </c>
      <c r="G5" s="2" t="inlineStr">
        <is>
          <t>Organizational</t>
        </is>
      </c>
      <c r="H5" s="3" t="inlineStr">
        <is>
          <t>🔴 High</t>
        </is>
      </c>
      <c r="I5" s="4" t="n">
        <v>45688</v>
      </c>
      <c r="J5" s="3" t="inlineStr">
        <is>
          <t>✅ Implemented</t>
        </is>
      </c>
      <c r="K5" s="2" t="inlineStr">
        <is>
          <t>A.5.1</t>
        </is>
      </c>
      <c r="L5" s="3" t="inlineStr">
        <is>
          <t>✅ No Gap</t>
        </is>
      </c>
      <c r="M5" s="2" t="inlineStr">
        <is>
          <t>ISMS Manager</t>
        </is>
      </c>
      <c r="N5" s="2" t="inlineStr">
        <is>
          <t>ISMS policies documented and approved. Annual review scheduled Q4.</t>
        </is>
      </c>
      <c r="O5" s="2" t="inlineStr">
        <is>
          <t>ISMS Analyst / 2024-10-01</t>
        </is>
      </c>
      <c r="P5" s="2" t="inlineStr">
        <is>
          <t>ISMS Manager / 2024-10-05</t>
        </is>
      </c>
      <c r="Q5" s="2" t="inlineStr">
        <is>
          <t>Executive Management / 2024-10-10</t>
        </is>
      </c>
      <c r="R5" s="4" t="n">
        <v>46061.49235408171</v>
      </c>
    </row>
    <row r="6">
      <c r="A6" s="2" t="inlineStr">
        <is>
          <t>REG-ISO27001-6.1-001</t>
        </is>
      </c>
      <c r="B6" s="2" t="inlineStr">
        <is>
          <t>REG-INT-001</t>
        </is>
      </c>
      <c r="C6" s="2" t="inlineStr">
        <is>
          <t>ISO 27001:2022</t>
        </is>
      </c>
      <c r="D6" s="2" t="inlineStr">
        <is>
          <t>Clause 6.1.2</t>
        </is>
      </c>
      <c r="E6" s="2" t="inlineStr">
        <is>
          <t>The organization shall define and apply an information security risk assessment process</t>
        </is>
      </c>
      <c r="F6" s="2" t="inlineStr">
        <is>
          <t>Define and implement systematic information security risk assessment process</t>
        </is>
      </c>
      <c r="G6" s="2" t="inlineStr">
        <is>
          <t>Organizational</t>
        </is>
      </c>
      <c r="H6" s="3" t="inlineStr">
        <is>
          <t>🔴 High</t>
        </is>
      </c>
      <c r="I6" s="4" t="n">
        <v>45716</v>
      </c>
      <c r="J6" s="3" t="inlineStr">
        <is>
          <t>⏳ In Progress</t>
        </is>
      </c>
      <c r="K6" s="2" t="inlineStr">
        <is>
          <t>A.5.7, A.8.8</t>
        </is>
      </c>
      <c r="L6" s="3" t="inlineStr">
        <is>
          <t>⚠ Partial Gap</t>
        </is>
      </c>
      <c r="M6" s="2" t="inlineStr">
        <is>
          <t>CISO</t>
        </is>
      </c>
      <c r="N6" s="2" t="inlineStr">
        <is>
          <t>Risk assessment methodology documented. Tool selection in progress (Q1 2025).</t>
        </is>
      </c>
      <c r="O6" s="2" t="inlineStr">
        <is>
          <t>ISMS Analyst / 2024-10-01</t>
        </is>
      </c>
      <c r="P6" s="2" t="inlineStr">
        <is>
          <t>ISMS Manager / 2024-10-05</t>
        </is>
      </c>
      <c r="Q6" s="2" t="inlineStr">
        <is>
          <t>Executive Management / 2024-10-10</t>
        </is>
      </c>
      <c r="R6" s="4" t="n">
        <v>46061.49235408171</v>
      </c>
    </row>
    <row r="7">
      <c r="A7" s="2" t="inlineStr">
        <is>
          <t>REG-ISO27001-8.1-001</t>
        </is>
      </c>
      <c r="B7" s="2" t="inlineStr">
        <is>
          <t>REG-INT-001</t>
        </is>
      </c>
      <c r="C7" s="2" t="inlineStr">
        <is>
          <t>ISO 27001:2022</t>
        </is>
      </c>
      <c r="D7" s="2" t="inlineStr">
        <is>
          <t>Clause 8.1 / Annex A</t>
        </is>
      </c>
      <c r="E7" s="2" t="inlineStr">
        <is>
          <t>The organization shall plan, implement and control the processes needed to meet information security requirements, and to implement the actions determined in 6.1</t>
        </is>
      </c>
      <c r="F7" s="2" t="inlineStr">
        <is>
          <t>Implement and control all applicable Annex A controls as documented in Statement of Applicability</t>
        </is>
      </c>
      <c r="G7" s="2" t="inlineStr">
        <is>
          <t>Technical</t>
        </is>
      </c>
      <c r="H7" s="3" t="inlineStr">
        <is>
          <t>🔴 High</t>
        </is>
      </c>
      <c r="I7" s="4" t="n">
        <v>45930</v>
      </c>
      <c r="J7" s="3" t="inlineStr">
        <is>
          <t>⏳ In Progress</t>
        </is>
      </c>
      <c r="K7" s="2" t="inlineStr">
        <is>
          <t>All 93 Annex A controls</t>
        </is>
      </c>
      <c r="L7" s="3" t="inlineStr">
        <is>
          <t>⚠ Partial Gap</t>
        </is>
      </c>
      <c r="M7" s="2" t="inlineStr">
        <is>
          <t>ISMS Manager</t>
        </is>
      </c>
      <c r="N7" s="2" t="inlineStr">
        <is>
          <t>Control implementation roadmap in progress. 65/93 controls implemented (70%).</t>
        </is>
      </c>
      <c r="O7" s="2" t="inlineStr">
        <is>
          <t>ISMS Analyst / 2024-10-01</t>
        </is>
      </c>
      <c r="P7" s="2" t="inlineStr">
        <is>
          <t>ISMS Manager / 2024-10-05</t>
        </is>
      </c>
      <c r="Q7" s="2" t="inlineStr">
        <is>
          <t>Executive Management / 2024-10-10</t>
        </is>
      </c>
      <c r="R7" s="4" t="n">
        <v>46061.49235408171</v>
      </c>
    </row>
    <row r="8">
      <c r="A8" s="2" t="inlineStr">
        <is>
          <t>REG-FADP-7-001</t>
        </is>
      </c>
      <c r="B8" s="2" t="inlineStr">
        <is>
          <t>REG-CH-001</t>
        </is>
      </c>
      <c r="C8" s="2" t="inlineStr">
        <is>
          <t>Swiss FADP</t>
        </is>
      </c>
      <c r="D8" s="2" t="inlineStr">
        <is>
          <t>Article 7</t>
        </is>
      </c>
      <c r="E8" s="2" t="inlineStr">
        <is>
          <t>The controller shall implement appropriate technical and organizational measures to ensure a level of data security appropriate to the risk to the personality and fundamental rights of the data subject arising from the processing</t>
        </is>
      </c>
      <c r="F8" s="2" t="inlineStr">
        <is>
          <t>Implement risk-appropriate technical and organizational measures to protect personal data</t>
        </is>
      </c>
      <c r="G8" s="2" t="inlineStr">
        <is>
          <t>Technical</t>
        </is>
      </c>
      <c r="H8" s="3" t="inlineStr">
        <is>
          <t>🔴 High</t>
        </is>
      </c>
      <c r="I8" s="4" t="n">
        <v>45838</v>
      </c>
      <c r="J8" s="3" t="inlineStr">
        <is>
          <t>⏳ In Progress</t>
        </is>
      </c>
      <c r="K8" s="2" t="inlineStr">
        <is>
          <t>A.5.10, A.5.14, A.8.1-8.34</t>
        </is>
      </c>
      <c r="L8" s="3" t="inlineStr">
        <is>
          <t>⚠ Partial Gap</t>
        </is>
      </c>
      <c r="M8" s="2" t="inlineStr">
        <is>
          <t>CISO</t>
        </is>
      </c>
      <c r="N8" s="2" t="inlineStr">
        <is>
          <t>Overlaps significantly with GDPR Art. 32. Using ISO 27001 controls framework.</t>
        </is>
      </c>
      <c r="O8" s="2" t="inlineStr">
        <is>
          <t>Compliance Analyst / 2024-12-01</t>
        </is>
      </c>
      <c r="P8" s="2" t="inlineStr">
        <is>
          <t>Legal Counsel (CH) / 2024-12-05</t>
        </is>
      </c>
      <c r="Q8" s="2" t="inlineStr">
        <is>
          <t>Compliance Officer / 2024-12-08</t>
        </is>
      </c>
      <c r="R8" s="4" t="n">
        <v>46061.49235408171</v>
      </c>
    </row>
    <row r="9">
      <c r="A9" s="2" t="inlineStr">
        <is>
          <t>REG-FADP-24-001</t>
        </is>
      </c>
      <c r="B9" s="2" t="inlineStr">
        <is>
          <t>REG-CH-001</t>
        </is>
      </c>
      <c r="C9" s="2" t="inlineStr">
        <is>
          <t>Swiss FADP</t>
        </is>
      </c>
      <c r="D9" s="2" t="inlineStr">
        <is>
          <t>Article 24</t>
        </is>
      </c>
      <c r="E9" s="2" t="inlineStr">
        <is>
          <t>Controllers and processors shall notify the Federal Data Protection and Information Commissioner (FDPIC) of any data breach likely to result in a high risk to the personality or fundamental rights of the data subject as quickly as possible</t>
        </is>
      </c>
      <c r="F9" s="2" t="inlineStr">
        <is>
          <t>Notify FDPIC of high-risk data breaches as quickly as possible</t>
        </is>
      </c>
      <c r="G9" s="2" t="inlineStr">
        <is>
          <t>Reporting</t>
        </is>
      </c>
      <c r="H9" s="3" t="inlineStr">
        <is>
          <t>🔴 High</t>
        </is>
      </c>
      <c r="I9" s="4" t="n">
        <v>45717</v>
      </c>
      <c r="J9" s="3" t="inlineStr">
        <is>
          <t>➖ Not Started</t>
        </is>
      </c>
      <c r="K9" s="2" t="inlineStr">
        <is>
          <t>A.5.26, A.5.25</t>
        </is>
      </c>
      <c r="L9" s="3" t="inlineStr">
        <is>
          <t>❌ Complete Gap</t>
        </is>
      </c>
      <c r="M9" s="2" t="inlineStr">
        <is>
          <t>Incident Response Lead</t>
        </is>
      </c>
      <c r="N9" s="2" t="inlineStr">
        <is>
          <t>Similar to GDPR but reported to FDPIC. No 72-hour explicit deadline but 'quickly as possible'.</t>
        </is>
      </c>
      <c r="O9" s="2" t="inlineStr">
        <is>
          <t>Compliance Analyst / 2024-12-01</t>
        </is>
      </c>
      <c r="P9" s="2" t="inlineStr">
        <is>
          <t>Legal Counsel (CH) / 2024-12-05</t>
        </is>
      </c>
      <c r="Q9" s="2" t="inlineStr">
        <is>
          <t>Compliance Officer / 2024-12-08</t>
        </is>
      </c>
      <c r="R9" s="4" t="n">
        <v>46061.49235408171</v>
      </c>
    </row>
    <row r="10">
      <c r="A10" s="2" t="inlineStr">
        <is>
          <t>REG-NIS2-21-001</t>
        </is>
      </c>
      <c r="B10" s="2" t="inlineStr">
        <is>
          <t>REG-EU-002</t>
        </is>
      </c>
      <c r="C10" s="2" t="inlineStr">
        <is>
          <t>NIS2</t>
        </is>
      </c>
      <c r="D10" s="2" t="inlineStr">
        <is>
          <t>Article 21</t>
        </is>
      </c>
      <c r="E10" s="2" t="inlineStr">
        <is>
          <t>Essential and important entities shall take appropriate and proportionate technical, operational and organisational measures to manage the risks posed to the security of network and information systems</t>
        </is>
      </c>
      <c r="F10" s="2" t="inlineStr">
        <is>
          <t>Implement risk management measures for network and information systems security</t>
        </is>
      </c>
      <c r="G10" s="2" t="inlineStr">
        <is>
          <t>Technical</t>
        </is>
      </c>
      <c r="H10" s="3" t="inlineStr">
        <is>
          <t>🟡 Medium</t>
        </is>
      </c>
      <c r="I10" s="4" t="n">
        <v>45947</v>
      </c>
      <c r="J10" s="3" t="inlineStr">
        <is>
          <t>➖ Not Started</t>
        </is>
      </c>
      <c r="K10" s="2" t="inlineStr">
        <is>
          <t>A.5.7, A.8.8, A.8.20</t>
        </is>
      </c>
      <c r="L10" s="3" t="inlineStr">
        <is>
          <t>🔍 TBD</t>
        </is>
      </c>
      <c r="M10" s="2" t="inlineStr">
        <is>
          <t>CISO</t>
        </is>
      </c>
      <c r="N10" s="2" t="inlineStr">
        <is>
          <t>Tier 2 (Conditional): Only applicable if thresholds met. Monitor quarterly.</t>
        </is>
      </c>
      <c r="O10" s="2" t="inlineStr">
        <is>
          <t>Compliance Analyst / 2024-12-10</t>
        </is>
      </c>
      <c r="P10" s="2" t="inlineStr">
        <is>
          <t>Legal Counsel / 2024-12-12</t>
        </is>
      </c>
      <c r="Q10" s="2" t="inlineStr">
        <is>
          <t>Compliance Officer / 2024-12-15</t>
        </is>
      </c>
      <c r="R10" s="4" t="n">
        <v>46061.49235408171</v>
      </c>
    </row>
    <row r="11">
      <c r="A11" s="2" t="inlineStr">
        <is>
          <t>REG-NIS2-23-001</t>
        </is>
      </c>
      <c r="B11" s="2" t="inlineStr">
        <is>
          <t>REG-EU-002</t>
        </is>
      </c>
      <c r="C11" s="2" t="inlineStr">
        <is>
          <t>NIS2</t>
        </is>
      </c>
      <c r="D11" s="2" t="inlineStr">
        <is>
          <t>Article 23</t>
        </is>
      </c>
      <c r="E11" s="2" t="inlineStr">
        <is>
          <t>Essential and important entities shall notify, without undue delay, the CSIRT or, where applicable, the competent authority, of any incident having a significant impact on the provision of their services</t>
        </is>
      </c>
      <c r="F11" s="2" t="inlineStr">
        <is>
          <t>Notify CSIRT/competent authority of significant incidents without undue delay</t>
        </is>
      </c>
      <c r="G11" s="2" t="inlineStr">
        <is>
          <t>Reporting</t>
        </is>
      </c>
      <c r="H11" s="3" t="inlineStr">
        <is>
          <t>🟡 Medium</t>
        </is>
      </c>
      <c r="I11" s="4" t="n">
        <v>45947</v>
      </c>
      <c r="J11" s="3" t="inlineStr">
        <is>
          <t>➖ Not Started</t>
        </is>
      </c>
      <c r="K11" s="2" t="inlineStr">
        <is>
          <t>A.5.26, A.5.27</t>
        </is>
      </c>
      <c r="L11" s="3" t="inlineStr">
        <is>
          <t>🔍 TBD</t>
        </is>
      </c>
      <c r="M11" s="2" t="inlineStr">
        <is>
          <t>Incident Response Lead</t>
        </is>
      </c>
      <c r="N11" s="2" t="inlineStr">
        <is>
          <t>Tier 2 (Conditional): Two-stage notification (24h initial, 72h detailed report).</t>
        </is>
      </c>
      <c r="O11" s="2" t="inlineStr">
        <is>
          <t>Compliance Analyst / 2024-12-10</t>
        </is>
      </c>
      <c r="P11" s="2" t="inlineStr">
        <is>
          <t>Legal Counsel / 2024-12-12</t>
        </is>
      </c>
      <c r="Q11" s="2" t="inlineStr">
        <is>
          <t>Compliance Officer / 2024-12-15</t>
        </is>
      </c>
      <c r="R11" s="4" t="n">
        <v>46061.49235408171</v>
      </c>
    </row>
    <row r="12">
      <c r="A12" s="2" t="inlineStr">
        <is>
          <t>REG-NIST-ID.AM-001</t>
        </is>
      </c>
      <c r="B12" s="2" t="inlineStr">
        <is>
          <t>REG-VOL-001</t>
        </is>
      </c>
      <c r="C12" s="2" t="inlineStr">
        <is>
          <t>NIST CSF 2.0</t>
        </is>
      </c>
      <c r="D12" s="2" t="inlineStr">
        <is>
          <t>ID.AM-1</t>
        </is>
      </c>
      <c r="E12" s="2" t="inlineStr">
        <is>
          <t>Inventories of hardware managed by the organization are maintained</t>
        </is>
      </c>
      <c r="F12" s="2" t="inlineStr">
        <is>
          <t>Maintain inventory of all hardware assets managed by organization</t>
        </is>
      </c>
      <c r="G12" s="2" t="inlineStr">
        <is>
          <t>Organizational</t>
        </is>
      </c>
      <c r="H12" s="3" t="inlineStr">
        <is>
          <t>🟢 Low</t>
        </is>
      </c>
      <c r="I12" s="4" t="n">
        <v>46203</v>
      </c>
      <c r="J12" s="3" t="inlineStr">
        <is>
          <t>⏳ In Progress</t>
        </is>
      </c>
      <c r="K12" s="2" t="inlineStr">
        <is>
          <t>A.5.9, A.8.9</t>
        </is>
      </c>
      <c r="L12" s="3" t="inlineStr">
        <is>
          <t>⚠ Partial Gap</t>
        </is>
      </c>
      <c r="M12" s="2" t="inlineStr">
        <is>
          <t>IT Operations Manager</t>
        </is>
      </c>
      <c r="N12" s="2" t="inlineStr">
        <is>
          <t>Tier 3 (Informational): Voluntary framework. Asset inventory tool deployed (80% coverage).</t>
        </is>
      </c>
      <c r="O12" s="2" t="inlineStr">
        <is>
          <t>Security Analyst / 2024-11-01</t>
        </is>
      </c>
      <c r="P12" s="2" t="inlineStr">
        <is>
          <t>CISO / 2024-11-05</t>
        </is>
      </c>
      <c r="Q12" s="2" t="inlineStr">
        <is>
          <t>ISMS Manager / 2024-11-08</t>
        </is>
      </c>
      <c r="R12" s="4" t="n">
        <v>46061.49235408171</v>
      </c>
    </row>
    <row r="13">
      <c r="A13" s="2" t="inlineStr">
        <is>
          <t>REG-NIST-PR.DS-001</t>
        </is>
      </c>
      <c r="B13" s="2" t="inlineStr">
        <is>
          <t>REG-VOL-001</t>
        </is>
      </c>
      <c r="C13" s="2" t="inlineStr">
        <is>
          <t>NIST CSF 2.0</t>
        </is>
      </c>
      <c r="D13" s="2" t="inlineStr">
        <is>
          <t>PR.DS-1</t>
        </is>
      </c>
      <c r="E13" s="2" t="inlineStr">
        <is>
          <t>Data-at-rest is protected</t>
        </is>
      </c>
      <c r="F13" s="2" t="inlineStr">
        <is>
          <t>Implement protection measures for data at rest (encryption, access controls)</t>
        </is>
      </c>
      <c r="G13" s="2" t="inlineStr">
        <is>
          <t>Technical</t>
        </is>
      </c>
      <c r="H13" s="3" t="inlineStr">
        <is>
          <t>🟢 Low</t>
        </is>
      </c>
      <c r="I13" s="4" t="n">
        <v>46203</v>
      </c>
      <c r="J13" s="3" t="inlineStr">
        <is>
          <t>⏳ In Progress</t>
        </is>
      </c>
      <c r="K13" s="2" t="inlineStr">
        <is>
          <t>A.8.24, A.5.10, A.8.11</t>
        </is>
      </c>
      <c r="L13" s="3" t="inlineStr">
        <is>
          <t>⚠ Partial Gap</t>
        </is>
      </c>
      <c r="M13" s="2" t="inlineStr">
        <is>
          <t>CISO</t>
        </is>
      </c>
      <c r="N13" s="2" t="inlineStr">
        <is>
          <t>Tier 3 (Informational): Overlaps with GDPR/FADP requirements.</t>
        </is>
      </c>
      <c r="O13" s="2" t="inlineStr">
        <is>
          <t>Security Analyst / 2024-11-01</t>
        </is>
      </c>
      <c r="P13" s="2" t="inlineStr">
        <is>
          <t>CISO / 2024-11-05</t>
        </is>
      </c>
      <c r="Q13" s="2" t="inlineStr">
        <is>
          <t>ISMS Manager / 2024-11-08</t>
        </is>
      </c>
      <c r="R13" s="4" t="n">
        <v>46061.49235408171</v>
      </c>
    </row>
  </sheetData>
  <autoFilter ref="A1:R1"/>
  <conditionalFormatting sqref="H2:H1000">
    <cfRule type="cellIs" priority="1" operator="containsText" dxfId="0">
      <formula>"🔴"</formula>
    </cfRule>
    <cfRule type="cellIs" priority="2" operator="containsText" dxfId="1">
      <formula>"🟡"</formula>
    </cfRule>
    <cfRule type="cellIs" priority="3" operator="containsText" dxfId="2">
      <formula>"🟢"</formula>
    </cfRule>
  </conditionalFormatting>
  <conditionalFormatting sqref="J2:J1000">
    <cfRule type="cellIs" priority="4" operator="containsText" dxfId="3">
      <formula>"➖"</formula>
    </cfRule>
    <cfRule type="cellIs" priority="5" operator="containsText" dxfId="1">
      <formula>"⏳"</formula>
    </cfRule>
    <cfRule type="cellIs" priority="6" operator="containsText" dxfId="2">
      <formula>"{CHECK}"</formula>
    </cfRule>
    <cfRule type="cellIs" priority="7" operator="containsText" dxfId="4">
      <formula>"❓"</formula>
    </cfRule>
  </conditionalFormatting>
  <conditionalFormatting sqref="L2:L1000">
    <cfRule type="cellIs" priority="8" operator="containsText" dxfId="0">
      <formula>"{XMARK}"</formula>
    </cfRule>
    <cfRule type="cellIs" priority="9" operator="containsText" dxfId="1">
      <formula>"{WARNING}"</formula>
    </cfRule>
    <cfRule type="cellIs" priority="10" operator="containsText" dxfId="2">
      <formula>"{CHECK}"</formula>
    </cfRule>
    <cfRule type="cellIs" priority="11" operator="containsText" dxfId="3">
      <formula>"🔍"</formula>
    </cfRule>
  </conditionalFormatting>
  <dataValidations count="4">
    <dataValidation sqref="G2:G1000" showDropDown="0" showInputMessage="0" showErrorMessage="0" allowBlank="0" errorTitle="Invalid Category" error="Please select from the list" type="list">
      <formula1>"Technical,Organizational,Reporting,Operational"</formula1>
    </dataValidation>
    <dataValidation sqref="H2:H1000" showDropDown="0" showInputMessage="0" showErrorMessage="0" allowBlank="0" errorTitle="Invalid Priority" error="Please select from the list" type="list">
      <formula1>"🔴 High,🟡 Medium,🟢 Low"</formula1>
    </dataValidation>
    <dataValidation sqref="J2:J1000" showDropDown="0" showInputMessage="0" showErrorMessage="0" allowBlank="0" errorTitle="Invalid Status" error="Please select from the list" type="list">
      <formula1>"➖ Not Started,⏳ In Progress,✅ Implemented,❓ N/A"</formula1>
    </dataValidation>
    <dataValidation sqref="L2:L1000" showDropDown="0" showInputMessage="0" showErrorMessage="0" allowBlank="0" errorTitle="Invalid Gap Status" error="Please select from the list" type="list">
      <formula1>"❌ Complete Gap,⚠️ Partial Gap,✅ No Gap,🔍 TBD"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8"/>
  <sheetViews>
    <sheetView workbookViewId="0">
      <pane ySplit="1" topLeftCell="A2" activePane="bottomLeft" state="frozen"/>
      <selection pane="bottomLeft" activeCell="A1" sqref="A1"/>
    </sheetView>
  </sheetViews>
  <sheetFormatPr baseColWidth="8" defaultRowHeight="15"/>
  <cols>
    <col width="100" customWidth="1" min="1" max="1"/>
  </cols>
  <sheetData>
    <row r="1" ht="40" customHeight="1">
      <c r="A1" s="5" t="inlineStr">
        <is>
          <t>ISMS-IMP-A.5.31.3 | REQUIREMENTS REGISTER - INSTRUCTIONS | ISO/IEC 27001:2022 - Control A.5.31: Legal, Statutory, Regulatory and Contractual Requirements</t>
        </is>
      </c>
    </row>
    <row r="2">
      <c r="A2" s="6" t="inlineStr"/>
    </row>
    <row r="3">
      <c r="A3" s="6" t="inlineStr">
        <is>
          <t>PURPOSE:</t>
        </is>
      </c>
    </row>
    <row r="4">
      <c r="A4" s="6" t="inlineStr">
        <is>
          <t>Master list of all requirements extracted from applicable regulations.</t>
        </is>
      </c>
    </row>
    <row r="5">
      <c r="A5" s="6" t="inlineStr">
        <is>
          <t>Bridge between regulatory text and implementable controls.</t>
        </is>
      </c>
    </row>
    <row r="6">
      <c r="A6" s="6" t="inlineStr"/>
    </row>
    <row r="7">
      <c r="A7" s="6" t="inlineStr">
        <is>
          <t>REQUIREMENT ID FORMAT:</t>
        </is>
      </c>
    </row>
    <row r="8">
      <c r="A8" s="6" t="inlineStr">
        <is>
          <t>REG-[RegCode]-[Article]-[Seq]</t>
        </is>
      </c>
    </row>
    <row r="9">
      <c r="A9" s="6" t="inlineStr">
        <is>
          <t>Example: REG-GDPR-32-001 (First requirement from GDPR Article 32)</t>
        </is>
      </c>
    </row>
    <row r="10">
      <c r="A10" s="6" t="inlineStr"/>
    </row>
    <row r="11">
      <c r="A11" s="6" t="inlineStr">
        <is>
          <t>CATEGORIES:</t>
        </is>
      </c>
    </row>
    <row r="12">
      <c r="A12" s="6" t="inlineStr">
        <is>
          <t>• Technical: Systems, technology, technical controls</t>
        </is>
      </c>
    </row>
    <row r="13">
      <c r="A13" s="6" t="inlineStr">
        <is>
          <t>• Organizational: Policies, procedures, governance, roles</t>
        </is>
      </c>
    </row>
    <row r="14">
      <c r="A14" s="6" t="inlineStr">
        <is>
          <t>• Reporting: Notifications, submissions, disclosures to authorities</t>
        </is>
      </c>
    </row>
    <row r="15">
      <c r="A15" s="6" t="inlineStr">
        <is>
          <t>• Operational: Ongoing operations, monitoring, testing</t>
        </is>
      </c>
    </row>
    <row r="16">
      <c r="A16" s="6" t="inlineStr"/>
    </row>
    <row r="17">
      <c r="A17" s="6" t="inlineStr">
        <is>
          <t>PRIORITY CRITERIA:</t>
        </is>
      </c>
    </row>
    <row r="18">
      <c r="A18" s="6" t="inlineStr">
        <is>
          <t>🔴 High Priority:</t>
        </is>
      </c>
    </row>
    <row r="19">
      <c r="A19" s="6" t="inlineStr">
        <is>
          <t xml:space="preserve">  • Tier 1 regulation with severe penalties</t>
        </is>
      </c>
    </row>
    <row r="20">
      <c r="A20" s="6" t="inlineStr">
        <is>
          <t xml:space="preserve">  • Explicit deadline approaching</t>
        </is>
      </c>
    </row>
    <row r="21">
      <c r="A21" s="6" t="inlineStr">
        <is>
          <t xml:space="preserve">  • High impact on operations or data subjects</t>
        </is>
      </c>
    </row>
    <row r="22">
      <c r="A22" s="6" t="inlineStr">
        <is>
          <t xml:space="preserve">  • Legal/contractual obligation</t>
        </is>
      </c>
    </row>
    <row r="23">
      <c r="A23" s="6" t="inlineStr"/>
    </row>
    <row r="24">
      <c r="A24" s="6" t="inlineStr">
        <is>
          <t>🟡 Medium Priority:</t>
        </is>
      </c>
    </row>
    <row r="25">
      <c r="A25" s="6" t="inlineStr">
        <is>
          <t xml:space="preserve">  • Tier 1 but less severe consequences</t>
        </is>
      </c>
    </row>
    <row r="26">
      <c r="A26" s="6" t="inlineStr">
        <is>
          <t xml:space="preserve">  • Tier 2 approaching applicability</t>
        </is>
      </c>
    </row>
    <row r="27">
      <c r="A27" s="6" t="inlineStr">
        <is>
          <t xml:space="preserve">  • Moderate operational impact</t>
        </is>
      </c>
    </row>
    <row r="28">
      <c r="A28" s="6" t="inlineStr"/>
    </row>
    <row r="29">
      <c r="A29" s="6" t="inlineStr">
        <is>
          <t>🟢 Low Priority:</t>
        </is>
      </c>
    </row>
    <row r="30">
      <c r="A30" s="6" t="inlineStr">
        <is>
          <t xml:space="preserve">  • Tier 2 not near applicability threshold</t>
        </is>
      </c>
    </row>
    <row r="31">
      <c r="A31" s="6" t="inlineStr">
        <is>
          <t xml:space="preserve">  • Tier 3 (voluntary frameworks)</t>
        </is>
      </c>
    </row>
    <row r="32">
      <c r="A32" s="6" t="inlineStr">
        <is>
          <t xml:space="preserve">  • No imminent deadline</t>
        </is>
      </c>
    </row>
    <row r="33">
      <c r="A33" s="6" t="inlineStr">
        <is>
          <t xml:space="preserve">  • Low operational impact</t>
        </is>
      </c>
    </row>
    <row r="34">
      <c r="A34" s="6" t="inlineStr"/>
    </row>
    <row r="35">
      <c r="A35" s="6" t="inlineStr">
        <is>
          <t>IMPLEMENTATION STATUS:</t>
        </is>
      </c>
    </row>
    <row r="36">
      <c r="A36" s="6" t="inlineStr">
        <is>
          <t>➖ Not Started: Requirement identified but implementation not begun</t>
        </is>
      </c>
    </row>
    <row r="37">
      <c r="A37" s="6" t="inlineStr">
        <is>
          <t>⏳ In Progress: Implementation underway, partially complete</t>
        </is>
      </c>
    </row>
    <row r="38">
      <c r="A38" s="6" t="inlineStr">
        <is>
          <t>✅ Implemented: Requirement fully satisfied by controls</t>
        </is>
      </c>
    </row>
    <row r="39">
      <c r="A39" s="6" t="inlineStr">
        <is>
          <t>❓ N/A: Requirement determined to be not applicable</t>
        </is>
      </c>
    </row>
    <row r="40">
      <c r="A40" s="6" t="inlineStr"/>
    </row>
    <row r="41">
      <c r="A41" s="6" t="inlineStr">
        <is>
          <t>GAP STATUS:</t>
        </is>
      </c>
    </row>
    <row r="42">
      <c r="A42" s="6" t="inlineStr">
        <is>
          <t>❌ Complete Gap: No controls currently address this requirement</t>
        </is>
      </c>
    </row>
    <row r="43">
      <c r="A43" s="6" t="inlineStr">
        <is>
          <t>⚠ Partial Gap: Some controls exist but insufficient to fully satisfy</t>
        </is>
      </c>
    </row>
    <row r="44">
      <c r="A44" s="6" t="inlineStr">
        <is>
          <t>✅ No Gap: Requirement fully covered by existing controls</t>
        </is>
      </c>
    </row>
    <row r="45">
      <c r="A45" s="6" t="inlineStr">
        <is>
          <t>🔍 TBD: Gap analysis not yet completed (to be determined)</t>
        </is>
      </c>
    </row>
    <row r="46">
      <c r="A46" s="6" t="inlineStr"/>
    </row>
    <row r="47">
      <c r="A47" s="6" t="inlineStr">
        <is>
          <t>WORKFLOW:</t>
        </is>
      </c>
    </row>
    <row r="48">
      <c r="A48" s="6" t="inlineStr">
        <is>
          <t>1. Requirements Extraction (IMP-5.31.3):</t>
        </is>
      </c>
    </row>
    <row r="49">
      <c r="A49" s="6" t="inlineStr">
        <is>
          <t xml:space="preserve">   • Review regulation article-by-article</t>
        </is>
      </c>
    </row>
    <row r="50">
      <c r="A50" s="6" t="inlineStr">
        <is>
          <t xml:space="preserve">   • Identify obligations (shall, must, required)</t>
        </is>
      </c>
    </row>
    <row r="51">
      <c r="A51" s="6" t="inlineStr">
        <is>
          <t xml:space="preserve">   • Extract specific requirements</t>
        </is>
      </c>
    </row>
    <row r="52">
      <c r="A52" s="6" t="inlineStr">
        <is>
          <t xml:space="preserve">   • Populate Original Requirement Text</t>
        </is>
      </c>
    </row>
    <row r="53">
      <c r="A53" s="6" t="inlineStr">
        <is>
          <t xml:space="preserve">   • Rewrite as actionable Interpreted Requirement</t>
        </is>
      </c>
    </row>
    <row r="54">
      <c r="A54" s="6" t="inlineStr">
        <is>
          <t xml:space="preserve">   • Assign Category and Priority</t>
        </is>
      </c>
    </row>
    <row r="55">
      <c r="A55" s="6" t="inlineStr"/>
    </row>
    <row r="56">
      <c r="A56" s="6" t="inlineStr">
        <is>
          <t>2. Requirements Register Population:</t>
        </is>
      </c>
    </row>
    <row r="57">
      <c r="A57" s="6" t="inlineStr">
        <is>
          <t xml:space="preserve">   • Add row for each requirement</t>
        </is>
      </c>
    </row>
    <row r="58">
      <c r="A58" s="6" t="inlineStr">
        <is>
          <t xml:space="preserve">   • Complete all required fields (A-R)</t>
        </is>
      </c>
    </row>
    <row r="59">
      <c r="A59" s="6" t="inlineStr">
        <is>
          <t xml:space="preserve">   • Set realistic Implementation Deadline</t>
        </is>
      </c>
    </row>
    <row r="60">
      <c r="A60" s="6" t="inlineStr">
        <is>
          <t xml:space="preserve">   • Initial Gap Status = '🔍 TBD'</t>
        </is>
      </c>
    </row>
    <row r="61">
      <c r="A61" s="6" t="inlineStr"/>
    </row>
    <row r="62">
      <c r="A62" s="6" t="inlineStr">
        <is>
          <t>3. Control Mapping (Workbook 4):</t>
        </is>
      </c>
    </row>
    <row r="63">
      <c r="A63" s="6" t="inlineStr">
        <is>
          <t xml:space="preserve">   • Map each requirement to ISO 27001 controls</t>
        </is>
      </c>
    </row>
    <row r="64">
      <c r="A64" s="6" t="inlineStr">
        <is>
          <t xml:space="preserve">   • Identify gaps (requirements with no controls)</t>
        </is>
      </c>
    </row>
    <row r="65">
      <c r="A65" s="6" t="inlineStr">
        <is>
          <t xml:space="preserve">   • Update Gap Status based on mapping</t>
        </is>
      </c>
    </row>
    <row r="66">
      <c r="A66" s="6" t="inlineStr">
        <is>
          <t xml:space="preserve">   • Update Mapped Controls field</t>
        </is>
      </c>
    </row>
    <row r="67">
      <c r="A67" s="6" t="inlineStr"/>
    </row>
    <row r="68">
      <c r="A68" s="6" t="inlineStr">
        <is>
          <t>4. Implementation:</t>
        </is>
      </c>
    </row>
    <row r="69">
      <c r="A69" s="6" t="inlineStr">
        <is>
          <t xml:space="preserve">   • Implement controls to satisfy requirements</t>
        </is>
      </c>
    </row>
    <row r="70">
      <c r="A70" s="6" t="inlineStr">
        <is>
          <t xml:space="preserve">   • Update Implementation Status as progress made</t>
        </is>
      </c>
    </row>
    <row r="71">
      <c r="A71" s="6" t="inlineStr">
        <is>
          <t xml:space="preserve">   • Update Gap Status when gaps closed</t>
        </is>
      </c>
    </row>
    <row r="72">
      <c r="A72" s="6" t="inlineStr"/>
    </row>
    <row r="73">
      <c r="A73" s="6" t="inlineStr">
        <is>
          <t>5. Evidence Collection (Workbook 5):</t>
        </is>
      </c>
    </row>
    <row r="74">
      <c r="A74" s="6" t="inlineStr">
        <is>
          <t xml:space="preserve">   • Collect evidence demonstrating compliance</t>
        </is>
      </c>
    </row>
    <row r="75">
      <c r="A75" s="6" t="inlineStr">
        <is>
          <t xml:space="preserve">   • Link evidence to requirements</t>
        </is>
      </c>
    </row>
    <row r="76">
      <c r="A76" s="6" t="inlineStr"/>
    </row>
    <row r="77">
      <c r="A77" s="6" t="inlineStr">
        <is>
          <t>MAINTENANCE:</t>
        </is>
      </c>
    </row>
    <row r="78">
      <c r="A78" s="6" t="inlineStr">
        <is>
          <t>• Review quarterly: Implementation progress</t>
        </is>
      </c>
    </row>
    <row r="79">
      <c r="A79" s="6" t="inlineStr">
        <is>
          <t>• Update when: Regulatory changes, control implementations, gap remediation</t>
        </is>
      </c>
    </row>
    <row r="80">
      <c r="A80" s="6" t="inlineStr">
        <is>
          <t>• Archive: Requirements from regulations no longer applicable</t>
        </is>
      </c>
    </row>
    <row r="81">
      <c r="A81" s="6" t="inlineStr"/>
    </row>
    <row r="82">
      <c r="A82" s="6" t="inlineStr">
        <is>
          <t>RELATED PROCESSES:</t>
        </is>
      </c>
    </row>
    <row r="83">
      <c r="A83" s="6" t="inlineStr">
        <is>
          <t>• 5.31.2: Applicability Assessment (determines which regulations apply)</t>
        </is>
      </c>
    </row>
    <row r="84">
      <c r="A84" s="6" t="inlineStr">
        <is>
          <t>• IMP-5.31.3: Requirements Extraction Process (how to extract from regulations)</t>
        </is>
      </c>
    </row>
    <row r="85">
      <c r="A85" s="6" t="inlineStr">
        <is>
          <t>• IMP-5.31.4: Control Mapping Process (how to map to ISO 27001 controls)</t>
        </is>
      </c>
    </row>
    <row r="86">
      <c r="A86" s="6" t="inlineStr">
        <is>
          <t>• IMP-5.31.5: Evidence Management Process (how to collect compliance evidence)</t>
        </is>
      </c>
    </row>
    <row r="87">
      <c r="A87" s="6" t="inlineStr"/>
    </row>
    <row r="88">
      <c r="A88" s="6" t="inlineStr">
        <is>
          <t>OUTPUTS:</t>
        </is>
      </c>
    </row>
    <row r="89">
      <c r="A89" s="6" t="inlineStr">
        <is>
          <t>• Feeds into: Control Mapping Matrix (Workbook 4)</t>
        </is>
      </c>
    </row>
    <row r="90">
      <c r="A90" s="6" t="inlineStr">
        <is>
          <t>• Feeds into: Evidence Register (Workbook 5)</t>
        </is>
      </c>
    </row>
    <row r="91">
      <c r="A91" s="6" t="inlineStr">
        <is>
          <t>• Feeds into: Compliance Dashboard (Workbook 6)</t>
        </is>
      </c>
    </row>
    <row r="92">
      <c r="A92" s="6" t="inlineStr"/>
    </row>
    <row r="93">
      <c r="A93" s="6" t="inlineStr">
        <is>
          <t>COLOR CODING:</t>
        </is>
      </c>
    </row>
    <row r="94">
      <c r="A94" s="6" t="inlineStr">
        <is>
          <t>Priority:</t>
        </is>
      </c>
    </row>
    <row r="95">
      <c r="A95" s="6" t="inlineStr">
        <is>
          <t xml:space="preserve">  • 🔴 Red = High priority (immediate action required)</t>
        </is>
      </c>
    </row>
    <row r="96">
      <c r="A96" s="6" t="inlineStr">
        <is>
          <t xml:space="preserve">  • 🟡 Yellow = Medium priority (plan implementation)</t>
        </is>
      </c>
    </row>
    <row r="97">
      <c r="A97" s="6" t="inlineStr">
        <is>
          <t xml:space="preserve">  • 🟢 Green = Low priority (informational/long-term)</t>
        </is>
      </c>
    </row>
    <row r="98">
      <c r="A98" s="6" t="inlineStr"/>
    </row>
    <row r="99">
      <c r="A99" s="6" t="inlineStr">
        <is>
          <t>Implementation Status:</t>
        </is>
      </c>
    </row>
    <row r="100">
      <c r="A100" s="6" t="inlineStr">
        <is>
          <t xml:space="preserve">  • Gray = Not started (needs action)</t>
        </is>
      </c>
    </row>
    <row r="101">
      <c r="A101" s="6" t="inlineStr">
        <is>
          <t xml:space="preserve">  • Yellow = In progress (continue work)</t>
        </is>
      </c>
    </row>
    <row r="102">
      <c r="A102" s="6" t="inlineStr">
        <is>
          <t xml:space="preserve">  • Green = Implemented (complete)</t>
        </is>
      </c>
    </row>
    <row r="103">
      <c r="A103" s="6" t="inlineStr">
        <is>
          <t xml:space="preserve">  • Light gray = N/A (not applicable)</t>
        </is>
      </c>
    </row>
    <row r="104">
      <c r="A104" s="6" t="inlineStr"/>
    </row>
    <row r="105">
      <c r="A105" s="6" t="inlineStr">
        <is>
          <t>Gap Status:</t>
        </is>
      </c>
    </row>
    <row r="106">
      <c r="A106" s="6" t="inlineStr">
        <is>
          <t xml:space="preserve">  • Red = Complete gap (critical - needs controls)</t>
        </is>
      </c>
    </row>
    <row r="107">
      <c r="A107" s="6" t="inlineStr">
        <is>
          <t xml:space="preserve">  • Yellow = Partial gap (needs enhancement)</t>
        </is>
      </c>
    </row>
    <row r="108">
      <c r="A108" s="6" t="inlineStr">
        <is>
          <t xml:space="preserve">  • Green = No gap (requirement satisfied)</t>
        </is>
      </c>
    </row>
    <row r="109">
      <c r="A109" s="6" t="inlineStr">
        <is>
          <t xml:space="preserve">  • Blue = TBD (needs gap analysis)</t>
        </is>
      </c>
    </row>
    <row r="110">
      <c r="A110" s="6" t="inlineStr"/>
    </row>
    <row r="111">
      <c r="A111" s="6" t="inlineStr">
        <is>
          <t>QUALITY CHECKS:</t>
        </is>
      </c>
    </row>
    <row r="112">
      <c r="A112" s="6" t="inlineStr">
        <is>
          <t>✓ All Requirement IDs unique and follow format</t>
        </is>
      </c>
    </row>
    <row r="113">
      <c r="A113" s="6" t="inlineStr">
        <is>
          <t>✓ Original text is exact quote from regulation</t>
        </is>
      </c>
    </row>
    <row r="114">
      <c r="A114" s="6" t="inlineStr">
        <is>
          <t>✓ Interpreted requirement is clear and actionable</t>
        </is>
      </c>
    </row>
    <row r="115">
      <c r="A115" s="6" t="inlineStr">
        <is>
          <t>✓ Category accurately reflects requirement type</t>
        </is>
      </c>
    </row>
    <row r="116">
      <c r="A116" s="6" t="inlineStr">
        <is>
          <t>✓ Priority aligns with regulation tier and impact</t>
        </is>
      </c>
    </row>
    <row r="117">
      <c r="A117" s="6" t="inlineStr">
        <is>
          <t>✓ Deadlines realistic and tracked</t>
        </is>
      </c>
    </row>
    <row r="118">
      <c r="A118" s="6" t="inlineStr">
        <is>
          <t>✓ Gap Status updated after control mapping</t>
        </is>
      </c>
    </row>
    <row r="119">
      <c r="A119" s="6" t="inlineStr">
        <is>
          <t>✓ Mapped Controls field populated (after Workbook 4)</t>
        </is>
      </c>
    </row>
    <row r="120">
      <c r="A120" s="6" t="inlineStr"/>
    </row>
    <row r="121">
      <c r="A121" s="6" t="inlineStr">
        <is>
          <t>TIPS:</t>
        </is>
      </c>
    </row>
    <row r="122">
      <c r="A122" s="6" t="inlineStr">
        <is>
          <t>• One requirement per row (don't combine multiple obligations)</t>
        </is>
      </c>
    </row>
    <row r="123">
      <c r="A123" s="6" t="inlineStr">
        <is>
          <t>• Use Extraction Worksheet (Sheet 4) for article-by-article review</t>
        </is>
      </c>
    </row>
    <row r="124">
      <c r="A124" s="6" t="inlineStr">
        <is>
          <t>• For complex articles, extract multiple requirements</t>
        </is>
      </c>
    </row>
    <row r="125">
      <c r="A125" s="6" t="inlineStr">
        <is>
          <t>• Update regularly - this is a living document</t>
        </is>
      </c>
    </row>
    <row r="126">
      <c r="A126" s="6" t="inlineStr">
        <is>
          <t>• Filter by Priority to focus on high-priority gaps</t>
        </is>
      </c>
    </row>
    <row r="127">
      <c r="A127" s="6" t="inlineStr">
        <is>
          <t>• Filter by Gap Status to identify control gaps</t>
        </is>
      </c>
    </row>
    <row r="128">
      <c r="A128" s="6" t="inlineStr">
        <is>
          <t>• Filter by Implementation Status to track progress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40" customWidth="1" min="1" max="1"/>
    <col width="15" customWidth="1" min="2" max="2"/>
    <col width="15" customWidth="1" min="3" max="3"/>
  </cols>
  <sheetData>
    <row r="1" ht="25" customHeight="1">
      <c r="A1" s="7" t="inlineStr">
        <is>
          <t>REQUIREMENTS REGISTER - SUMMARY METRICS</t>
        </is>
      </c>
    </row>
    <row r="3">
      <c r="A3" s="8" t="inlineStr">
        <is>
          <t>OVERVIEW</t>
        </is>
      </c>
    </row>
    <row r="4">
      <c r="A4" t="inlineStr">
        <is>
          <t>Total Requirements:</t>
        </is>
      </c>
      <c r="B4" s="9">
        <f>COUNTA(Requirements_Register!A2:A1000)</f>
        <v/>
      </c>
    </row>
    <row r="6">
      <c r="A6" s="8" t="inlineStr">
        <is>
          <t>BY REGULATION (Top 5)</t>
        </is>
      </c>
    </row>
    <row r="7">
      <c r="A7" t="inlineStr">
        <is>
          <t>GDPR:</t>
        </is>
      </c>
      <c r="B7" s="10">
        <f>COUNTIF(Requirements_Register!C:C,"*GDPR*")</f>
        <v/>
      </c>
    </row>
    <row r="8">
      <c r="A8" t="inlineStr">
        <is>
          <t>ISO 27001:2022:</t>
        </is>
      </c>
      <c r="B8" s="10">
        <f>COUNTIF(Requirements_Register!C:C,"*ISO 27001:2022*")</f>
        <v/>
      </c>
    </row>
    <row r="9">
      <c r="A9" t="inlineStr">
        <is>
          <t>Swiss FADP:</t>
        </is>
      </c>
      <c r="B9" s="10">
        <f>COUNTIF(Requirements_Register!C:C,"*Swiss FADP*")</f>
        <v/>
      </c>
    </row>
    <row r="10">
      <c r="A10" t="inlineStr">
        <is>
          <t>NIS2:</t>
        </is>
      </c>
      <c r="B10" s="10">
        <f>COUNTIF(Requirements_Register!C:C,"*NIS2*")</f>
        <v/>
      </c>
    </row>
    <row r="11">
      <c r="A11" t="inlineStr">
        <is>
          <t>NIST CSF 2.0:</t>
        </is>
      </c>
      <c r="B11" s="10">
        <f>COUNTIF(Requirements_Register!C:C,"*NIST CSF 2.0*")</f>
        <v/>
      </c>
    </row>
    <row r="13">
      <c r="A13" s="8" t="inlineStr">
        <is>
          <t>BY CATEGORY</t>
        </is>
      </c>
    </row>
    <row r="14">
      <c r="A14" t="inlineStr">
        <is>
          <t>Technical:</t>
        </is>
      </c>
      <c r="B14" s="10">
        <f>COUNTIF(Requirements_Register!G:G,"Technical")</f>
        <v/>
      </c>
    </row>
    <row r="15">
      <c r="A15" t="inlineStr">
        <is>
          <t>Organizational:</t>
        </is>
      </c>
      <c r="B15" s="10">
        <f>COUNTIF(Requirements_Register!G:G,"Organizational")</f>
        <v/>
      </c>
    </row>
    <row r="16">
      <c r="A16" t="inlineStr">
        <is>
          <t>Reporting:</t>
        </is>
      </c>
      <c r="B16" s="10">
        <f>COUNTIF(Requirements_Register!G:G,"Reporting")</f>
        <v/>
      </c>
    </row>
    <row r="17">
      <c r="A17" t="inlineStr">
        <is>
          <t>Operational:</t>
        </is>
      </c>
      <c r="B17" s="10">
        <f>COUNTIF(Requirements_Register!G:G,"Operational")</f>
        <v/>
      </c>
    </row>
    <row r="19">
      <c r="A19" s="8" t="inlineStr">
        <is>
          <t>BY PRIORITY</t>
        </is>
      </c>
    </row>
    <row r="20">
      <c r="A20" t="inlineStr">
        <is>
          <t>🔴 High:</t>
        </is>
      </c>
      <c r="B20" s="11">
        <f>COUNTIF(Requirements_Register!H:H,"*🔴*")</f>
        <v/>
      </c>
    </row>
    <row r="21">
      <c r="A21" t="inlineStr">
        <is>
          <t>🟡 Medium:</t>
        </is>
      </c>
      <c r="B21" s="12">
        <f>COUNTIF(Requirements_Register!H:H,"*🟡*")</f>
        <v/>
      </c>
    </row>
    <row r="22">
      <c r="A22" t="inlineStr">
        <is>
          <t>🟢 Low:</t>
        </is>
      </c>
      <c r="B22" s="13">
        <f>COUNTIF(Requirements_Register!H:H,"*🟢*")</f>
        <v/>
      </c>
    </row>
    <row r="24">
      <c r="A24" s="8" t="inlineStr">
        <is>
          <t>BY IMPLEMENTATION STATUS</t>
        </is>
      </c>
    </row>
    <row r="25">
      <c r="A25" t="inlineStr">
        <is>
          <t>{CHECK} Implemented:</t>
        </is>
      </c>
      <c r="B25" s="13">
        <f>COUNTIF(Requirements_Register!J:J,"*✅*")</f>
        <v/>
      </c>
    </row>
    <row r="26">
      <c r="A26" t="inlineStr">
        <is>
          <t>⏳ In Progress:</t>
        </is>
      </c>
      <c r="B26" s="12">
        <f>COUNTIF(Requirements_Register!J:J,"*⏳*")</f>
        <v/>
      </c>
    </row>
    <row r="27">
      <c r="A27" t="inlineStr">
        <is>
          <t>➖ Not Started:</t>
        </is>
      </c>
      <c r="B27" s="11">
        <f>COUNTIF(Requirements_Register!J:J,"*➖*")</f>
        <v/>
      </c>
    </row>
    <row r="28">
      <c r="A28" t="inlineStr">
        <is>
          <t>❓ N/A:</t>
        </is>
      </c>
      <c r="B28" s="14">
        <f>COUNTIF(Requirements_Register!J:J,"*❓*")</f>
        <v/>
      </c>
    </row>
    <row r="29">
      <c r="A29" t="inlineStr">
        <is>
          <t>Implementation Progress:</t>
        </is>
      </c>
      <c r="B29" s="15">
        <f>COUNTIF(Requirements_Register!J:J,"*✅*")/(COUNTA(Requirements_Register!A2:A1000)-COUNTIF(Requirements_Register!J:J,"*❓*"))</f>
        <v/>
      </c>
    </row>
    <row r="31">
      <c r="A31" s="8" t="inlineStr">
        <is>
          <t>BY GAP STATUS</t>
        </is>
      </c>
    </row>
    <row r="32">
      <c r="A32" t="inlineStr">
        <is>
          <t>{XMARK} Complete Gap:</t>
        </is>
      </c>
      <c r="B32" s="11">
        <f>COUNTIF(Requirements_Register!L:L,"*❌*")</f>
        <v/>
      </c>
    </row>
    <row r="33">
      <c r="A33" t="inlineStr">
        <is>
          <t>{WARNING} Partial Gap:</t>
        </is>
      </c>
      <c r="B33" s="12">
        <f>COUNTIF(Requirements_Register!L:L,"*⚠*")</f>
        <v/>
      </c>
    </row>
    <row r="34">
      <c r="A34" t="inlineStr">
        <is>
          <t>{CHECK} No Gap:</t>
        </is>
      </c>
      <c r="B34" s="13">
        <f>COUNTIF(Requirements_Register!L:L,"*✅*")</f>
        <v/>
      </c>
    </row>
    <row r="35">
      <c r="A35" t="inlineStr">
        <is>
          <t>🔍 TBD:</t>
        </is>
      </c>
      <c r="B35" s="16">
        <f>COUNTIF(Requirements_Register!L:L,"*🔍*")</f>
        <v/>
      </c>
    </row>
    <row r="37">
      <c r="A37" s="8" t="inlineStr">
        <is>
          <t>APPROACHING DEADLINES</t>
        </is>
      </c>
    </row>
    <row r="38">
      <c r="A38" t="inlineStr">
        <is>
          <t>Overdue:</t>
        </is>
      </c>
      <c r="B38" s="11">
        <f>COUNTIFS(Requirements_Register!I:I,"&lt;"&amp;TODAY(),Requirements_Register!J:J,"&lt;&gt;*✅*")</f>
        <v/>
      </c>
    </row>
    <row r="39">
      <c r="A39" t="inlineStr">
        <is>
          <t>Next 30 days:</t>
        </is>
      </c>
      <c r="B39" s="17">
        <f>COUNTIFS(Requirements_Register!I:I,"&gt;="&amp;TODAY(),Requirements_Register!I:I,"&lt;="&amp;TODAY()+30,Requirements_Register!J:J,"&lt;&gt;*✅*")</f>
        <v/>
      </c>
    </row>
    <row r="40">
      <c r="A40" t="inlineStr">
        <is>
          <t>Next 90 days:</t>
        </is>
      </c>
      <c r="B40" s="12">
        <f>COUNTIFS(Requirements_Register!I:I,"&gt;="&amp;TODAY(),Requirements_Register!I:I,"&lt;="&amp;TODAY()+90,Requirements_Register!J:J,"&lt;&gt;*✅*")</f>
        <v/>
      </c>
    </row>
  </sheetData>
  <mergeCells count="8">
    <mergeCell ref="A19:C19"/>
    <mergeCell ref="A13:C13"/>
    <mergeCell ref="A1:C1"/>
    <mergeCell ref="A37:C37"/>
    <mergeCell ref="A31:C31"/>
    <mergeCell ref="A6:C6"/>
    <mergeCell ref="A3:C3"/>
    <mergeCell ref="A24:C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2" topLeftCell="A3" activePane="bottomLeft" state="frozen"/>
      <selection pane="bottomLeft" activeCell="A1" sqref="A1"/>
    </sheetView>
  </sheetViews>
  <sheetFormatPr baseColWidth="8" defaultRowHeight="15"/>
  <cols>
    <col width="12" customWidth="1" min="1" max="1"/>
    <col width="25" customWidth="1" min="2" max="2"/>
    <col width="40" customWidth="1" min="3" max="3"/>
    <col width="18" customWidth="1" min="4" max="4"/>
    <col width="18" customWidth="1" min="5" max="5"/>
    <col width="12" customWidth="1" min="6" max="6"/>
    <col width="15" customWidth="1" min="7" max="7"/>
    <col width="20" customWidth="1" min="8" max="8"/>
    <col width="30" customWidth="1" min="9" max="9"/>
  </cols>
  <sheetData>
    <row r="1" ht="25" customHeight="1">
      <c r="A1" s="7" t="inlineStr">
        <is>
          <t>EXTRACTION WORKSHEET - Article-by-Article Review</t>
        </is>
      </c>
    </row>
    <row r="2">
      <c r="A2" s="18" t="inlineStr">
        <is>
          <t>Article #</t>
        </is>
      </c>
      <c r="B2" s="18" t="inlineStr">
        <is>
          <t>Article Title</t>
        </is>
      </c>
      <c r="C2" s="18" t="inlineStr">
        <is>
          <t>Summary</t>
        </is>
      </c>
      <c r="D2" s="18" t="inlineStr">
        <is>
          <t>Contains Obligations?</t>
        </is>
      </c>
      <c r="E2" s="18" t="inlineStr">
        <is>
          <t>Est. # Requirements</t>
        </is>
      </c>
      <c r="F2" s="18" t="inlineStr">
        <is>
          <t>Complexity</t>
        </is>
      </c>
      <c r="G2" s="18" t="inlineStr">
        <is>
          <t>Legal Review?</t>
        </is>
      </c>
      <c r="H2" s="18" t="inlineStr">
        <is>
          <t>Status</t>
        </is>
      </c>
      <c r="I2" s="18" t="inlineStr">
        <is>
          <t>Notes</t>
        </is>
      </c>
    </row>
    <row r="3">
      <c r="A3" s="19" t="inlineStr">
        <is>
          <t>Art. 32</t>
        </is>
      </c>
      <c r="B3" s="20" t="inlineStr">
        <is>
          <t>Security of processing</t>
        </is>
      </c>
      <c r="C3" s="20" t="inlineStr">
        <is>
          <t>Requirements for technical and organizational measures</t>
        </is>
      </c>
      <c r="D3" s="19" t="inlineStr">
        <is>
          <t>Y</t>
        </is>
      </c>
      <c r="E3" s="19" t="inlineStr">
        <is>
          <t>5</t>
        </is>
      </c>
      <c r="F3" s="19" t="inlineStr">
        <is>
          <t>M</t>
        </is>
      </c>
      <c r="G3" s="19" t="inlineStr">
        <is>
          <t>N</t>
        </is>
      </c>
      <c r="H3" s="19" t="inlineStr">
        <is>
          <t>✅ Complete</t>
        </is>
      </c>
      <c r="I3" s="20" t="inlineStr">
        <is>
          <t>5 requirements extracted</t>
        </is>
      </c>
    </row>
    <row r="4">
      <c r="A4" s="19" t="inlineStr">
        <is>
          <t>Art. 33</t>
        </is>
      </c>
      <c r="B4" s="20" t="inlineStr">
        <is>
          <t>Breach notification</t>
        </is>
      </c>
      <c r="C4" s="20" t="inlineStr">
        <is>
          <t>72-hour notification requirement</t>
        </is>
      </c>
      <c r="D4" s="19" t="inlineStr">
        <is>
          <t>Y</t>
        </is>
      </c>
      <c r="E4" s="19" t="inlineStr">
        <is>
          <t>1</t>
        </is>
      </c>
      <c r="F4" s="19" t="inlineStr">
        <is>
          <t>S</t>
        </is>
      </c>
      <c r="G4" s="19" t="inlineStr">
        <is>
          <t>Y</t>
        </is>
      </c>
      <c r="H4" s="19" t="inlineStr">
        <is>
          <t>✅ Complete</t>
        </is>
      </c>
      <c r="I4" s="20" t="inlineStr">
        <is>
          <t>1 requirement extracted</t>
        </is>
      </c>
    </row>
    <row r="5">
      <c r="A5" s="19" t="inlineStr">
        <is>
          <t>Art. 34</t>
        </is>
      </c>
      <c r="B5" s="20" t="inlineStr">
        <is>
          <t>Communication to data subjects</t>
        </is>
      </c>
      <c r="C5" s="20" t="inlineStr">
        <is>
          <t>Notification to affected individuals</t>
        </is>
      </c>
      <c r="D5" s="19" t="inlineStr">
        <is>
          <t>Y</t>
        </is>
      </c>
      <c r="E5" s="19" t="inlineStr">
        <is>
          <t>2</t>
        </is>
      </c>
      <c r="F5" s="19" t="inlineStr">
        <is>
          <t>M</t>
        </is>
      </c>
      <c r="G5" s="19" t="inlineStr">
        <is>
          <t>Y</t>
        </is>
      </c>
      <c r="H5" s="19" t="inlineStr">
        <is>
          <t>⏳ In Progress</t>
        </is>
      </c>
      <c r="I5" s="20" t="inlineStr"/>
    </row>
    <row r="6">
      <c r="A6" s="19" t="inlineStr">
        <is>
          <t>Art. 35</t>
        </is>
      </c>
      <c r="B6" s="20" t="inlineStr">
        <is>
          <t>Data protection impact assessment</t>
        </is>
      </c>
      <c r="C6" s="20" t="inlineStr">
        <is>
          <t>DPIA requirements and process</t>
        </is>
      </c>
      <c r="D6" s="19" t="inlineStr">
        <is>
          <t>Y</t>
        </is>
      </c>
      <c r="E6" s="19" t="inlineStr">
        <is>
          <t>4</t>
        </is>
      </c>
      <c r="F6" s="19" t="inlineStr">
        <is>
          <t>C</t>
        </is>
      </c>
      <c r="G6" s="19" t="inlineStr">
        <is>
          <t>Y</t>
        </is>
      </c>
      <c r="H6" s="19" t="inlineStr">
        <is>
          <t>➖ Not Started</t>
        </is>
      </c>
      <c r="I6" s="20" t="inlineStr"/>
    </row>
    <row r="7">
      <c r="A7" s="19" t="inlineStr">
        <is>
          <t>Art. 36</t>
        </is>
      </c>
      <c r="B7" s="20" t="inlineStr">
        <is>
          <t>Prior consultation</t>
        </is>
      </c>
      <c r="C7" s="20" t="inlineStr">
        <is>
          <t>Consultation with supervisory authority</t>
        </is>
      </c>
      <c r="D7" s="19" t="inlineStr">
        <is>
          <t>Y</t>
        </is>
      </c>
      <c r="E7" s="19" t="inlineStr">
        <is>
          <t>1</t>
        </is>
      </c>
      <c r="F7" s="19" t="inlineStr">
        <is>
          <t>M</t>
        </is>
      </c>
      <c r="G7" s="19" t="inlineStr">
        <is>
          <t>Y</t>
        </is>
      </c>
      <c r="H7" s="19" t="inlineStr">
        <is>
          <t>➖ Not Started</t>
        </is>
      </c>
      <c r="I7" s="20" t="inlineStr"/>
    </row>
  </sheetData>
  <autoFilter ref="A2:I2"/>
  <mergeCells count="1">
    <mergeCell ref="A1:I1"/>
  </mergeCells>
  <dataValidations count="4">
    <dataValidation sqref="D3:D100" showDropDown="0" showInputMessage="0" showErrorMessage="0" allowBlank="1" type="list">
      <formula1>"Y,N"</formula1>
    </dataValidation>
    <dataValidation sqref="F3:F100" showDropDown="0" showInputMessage="0" showErrorMessage="0" allowBlank="1" type="list">
      <formula1>"S,M,C"</formula1>
    </dataValidation>
    <dataValidation sqref="G3:G100" showDropDown="0" showInputMessage="0" showErrorMessage="0" allowBlank="1" type="list">
      <formula1>"Y,N"</formula1>
    </dataValidation>
    <dataValidation sqref="H3:H100" showDropDown="0" showInputMessage="0" showErrorMessage="0" allowBlank="1" type="list">
      <formula1>"➖ Not Started,⏳ In Progress,✅ Complete"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2026-02-08T10:48:59Z</dcterms:created>
  <dcterms:modified xmlns:dcterms="http://purl.org/dc/terms/" xmlns:xsi="http://www.w3.org/2001/XMLSchema-instance" xsi:type="dcterms:W3CDTF">2026-02-08T10:48:59Z</dcterms:modified>
</cp:coreProperties>
</file>