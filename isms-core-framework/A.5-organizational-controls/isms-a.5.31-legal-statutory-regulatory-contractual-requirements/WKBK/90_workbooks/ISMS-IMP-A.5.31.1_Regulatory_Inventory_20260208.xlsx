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_Invento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_Metrics" sheetId="3" state="visible" r:id="rId3"/>
  </sheets>
  <definedNames>
    <definedName name="_xlnm._FilterDatabase" localSheetId="0" hidden="1">'Regulatory_Inventory'!$A$1:$P$1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4"/>
    </font>
    <font>
      <b val="1"/>
      <sz val="12"/>
    </font>
    <font>
      <b val="1"/>
      <color rgb="00003366"/>
      <sz val="12"/>
    </font>
    <font>
      <b val="1"/>
      <color rgb="00C00000"/>
      <sz val="11"/>
    </font>
    <font>
      <b val="1"/>
      <color rgb="00FF9900"/>
      <sz val="11"/>
    </font>
    <font>
      <b val="1"/>
      <color rgb="0000B050"/>
      <sz val="11"/>
    </font>
    <font>
      <b val="1"/>
      <color rgb="00808080"/>
      <sz val="11"/>
    </font>
    <font>
      <b val="1"/>
      <color rgb="00003366"/>
      <sz val="11"/>
    </font>
    <font>
      <b val="1"/>
      <sz val="11"/>
    </font>
    <font>
      <b val="1"/>
      <color rgb="00FF0000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5" customWidth="1" min="5" max="5"/>
    <col width="30" customWidth="1" min="6" max="6"/>
    <col width="15" customWidth="1" min="7" max="7"/>
    <col width="18" customWidth="1" min="8" max="8"/>
    <col width="20" customWidth="1" min="9" max="9"/>
    <col width="50" customWidth="1" min="10" max="10"/>
    <col width="50" customWidth="1" min="11" max="11"/>
    <col width="35" customWidth="1" min="12" max="12"/>
    <col width="15" customWidth="1" min="13" max="13"/>
    <col width="20" customWidth="1" min="14" max="14"/>
    <col width="40" customWidth="1" min="15" max="15"/>
    <col width="15" customWidth="1" min="16" max="16"/>
  </cols>
  <sheetData>
    <row r="1">
      <c r="A1" s="1" t="inlineStr">
        <is>
          <t>Regulation ID</t>
        </is>
      </c>
      <c r="B1" s="1" t="inlineStr">
        <is>
          <t>Regulation Name</t>
        </is>
      </c>
      <c r="C1" s="1" t="inlineStr">
        <is>
          <t>Short Name / Acronym</t>
        </is>
      </c>
      <c r="D1" s="1" t="inlineStr">
        <is>
          <t>Jurisdiction</t>
        </is>
      </c>
      <c r="E1" s="1" t="inlineStr">
        <is>
          <t>Issuing Authority</t>
        </is>
      </c>
      <c r="F1" s="1" t="inlineStr">
        <is>
          <t>Citation</t>
        </is>
      </c>
      <c r="G1" s="1" t="inlineStr">
        <is>
          <t>Effective Date</t>
        </is>
      </c>
      <c r="H1" s="1" t="inlineStr">
        <is>
          <t>Tier</t>
        </is>
      </c>
      <c r="I1" s="1" t="inlineStr">
        <is>
          <t>Applicability Status</t>
        </is>
      </c>
      <c r="J1" s="1" t="inlineStr">
        <is>
          <t>Applicability Rationale</t>
        </is>
      </c>
      <c r="K1" s="1" t="inlineStr">
        <is>
          <t>Key Requirements (Summary)</t>
        </is>
      </c>
      <c r="L1" s="1" t="inlineStr">
        <is>
          <t>Assessment Reference</t>
        </is>
      </c>
      <c r="M1" s="1" t="inlineStr">
        <is>
          <t>Next Review Date</t>
        </is>
      </c>
      <c r="N1" s="1" t="inlineStr">
        <is>
          <t>Responsible Party</t>
        </is>
      </c>
      <c r="O1" s="1" t="inlineStr">
        <is>
          <t>Notes</t>
        </is>
      </c>
      <c r="P1" s="1" t="inlineStr">
        <is>
          <t>Last Updated</t>
        </is>
      </c>
    </row>
    <row r="2">
      <c r="A2" s="2" t="inlineStr">
        <is>
          <t>REG-EU-001</t>
        </is>
      </c>
      <c r="B2" s="2" t="inlineStr">
        <is>
          <t>General Data Protection Regulation</t>
        </is>
      </c>
      <c r="C2" s="2" t="inlineStr">
        <is>
          <t>GDPR</t>
        </is>
      </c>
      <c r="D2" s="2" t="inlineStr">
        <is>
          <t>European Union</t>
        </is>
      </c>
      <c r="E2" s="2" t="inlineStr">
        <is>
          <t>European Commission</t>
        </is>
      </c>
      <c r="F2" s="2" t="inlineStr">
        <is>
          <t>Regulation (EU) 2016/679</t>
        </is>
      </c>
      <c r="G2" s="3" t="n">
        <v>43245</v>
      </c>
      <c r="H2" s="2" t="inlineStr">
        <is>
          <t>1-Mandatory</t>
        </is>
      </c>
      <c r="I2" s="2" t="inlineStr">
        <is>
          <t>Applicable</t>
        </is>
      </c>
      <c r="J2" s="2" t="inlineStr">
        <is>
          <t>Legal obligation - [Organization] processes personal data of EU residents and has operations in EU member states.</t>
        </is>
      </c>
      <c r="K2" s="2" t="inlineStr">
        <is>
          <t>• Data protection by design and default
• Breach notification within 72 hours
• DPO appointment required
• Data subject rights (access, erasure, portability)</t>
        </is>
      </c>
      <c r="L2" s="2" t="inlineStr">
        <is>
          <t>/Assessments/2024/REG-EU-001_GDPR_Assessment.pdf</t>
        </is>
      </c>
      <c r="M2" s="3" t="n">
        <v>46022</v>
      </c>
      <c r="N2" s="2" t="inlineStr">
        <is>
          <t>Compliance Officer</t>
        </is>
      </c>
      <c r="O2" s="2" t="inlineStr">
        <is>
          <t>Annual review required. Regular updates from EDPB guidance.</t>
        </is>
      </c>
      <c r="P2" s="3" t="n">
        <v>46061.49234961349</v>
      </c>
    </row>
    <row r="3">
      <c r="A3" s="2" t="inlineStr">
        <is>
          <t>REG-INT-001</t>
        </is>
      </c>
      <c r="B3" s="2" t="inlineStr">
        <is>
          <t>Information Security Management Systems - Requirements</t>
        </is>
      </c>
      <c r="C3" s="2" t="inlineStr">
        <is>
          <t>ISO 27001:2022</t>
        </is>
      </c>
      <c r="D3" s="2" t="inlineStr">
        <is>
          <t>International</t>
        </is>
      </c>
      <c r="E3" s="2" t="inlineStr">
        <is>
          <t>ISO/IEC</t>
        </is>
      </c>
      <c r="F3" s="2" t="inlineStr">
        <is>
          <t>ISO/IEC 27001:2022</t>
        </is>
      </c>
      <c r="G3" s="3" t="n">
        <v>44859</v>
      </c>
      <c r="H3" s="2" t="inlineStr">
        <is>
          <t>1-Mandatory</t>
        </is>
      </c>
      <c r="I3" s="2" t="inlineStr">
        <is>
          <t>Applicable</t>
        </is>
      </c>
      <c r="J3" s="2" t="inlineStr">
        <is>
          <t>Contractual obligation - required by multiple enterprise customers and certification pursued for competitive advantage.</t>
        </is>
      </c>
      <c r="K3" s="2" t="inlineStr">
        <is>
          <t>• 93 Annex A controls assessment
• Risk assessment and treatment
• Statement of Applicability
• Management review and continual improvement</t>
        </is>
      </c>
      <c r="L3" s="2" t="inlineStr">
        <is>
          <t>/Assessments/2024/REG-INT-001_ISO27001_Assessment.pdf</t>
        </is>
      </c>
      <c r="M3" s="3" t="n">
        <v>45961</v>
      </c>
      <c r="N3" s="2" t="inlineStr">
        <is>
          <t>ISMS Manager</t>
        </is>
      </c>
      <c r="O3" s="2" t="inlineStr">
        <is>
          <t>Certification audit scheduled Q4 2025. Control A.5.31 addresses this regulatory inventory.</t>
        </is>
      </c>
      <c r="P3" s="3" t="n">
        <v>46061.49234961349</v>
      </c>
    </row>
    <row r="4">
      <c r="A4" s="2" t="inlineStr">
        <is>
          <t>REG-CH-001</t>
        </is>
      </c>
      <c r="B4" s="2" t="inlineStr">
        <is>
          <t>Federal Act on Data Protection</t>
        </is>
      </c>
      <c r="C4" s="2" t="inlineStr">
        <is>
          <t>FADP / nFADP</t>
        </is>
      </c>
      <c r="D4" s="2" t="inlineStr">
        <is>
          <t>Switzerland</t>
        </is>
      </c>
      <c r="E4" s="2" t="inlineStr">
        <is>
          <t>Swiss Federal Council</t>
        </is>
      </c>
      <c r="F4" s="2" t="inlineStr">
        <is>
          <t>SR 235.1 (revised 2020)</t>
        </is>
      </c>
      <c r="G4" s="3" t="n">
        <v>45170</v>
      </c>
      <c r="H4" s="2" t="inlineStr">
        <is>
          <t>1-Mandatory</t>
        </is>
      </c>
      <c r="I4" s="2" t="inlineStr">
        <is>
          <t>Applicable</t>
        </is>
      </c>
      <c r="J4" s="2" t="inlineStr">
        <is>
          <t>Legal obligation - [Organization] headquartered in Switzerland and processes personal data of Swiss residents.</t>
        </is>
      </c>
      <c r="K4" s="2" t="inlineStr">
        <is>
          <t>• Data protection by design
• Breach notification to FDPIC
• Cross-border data transfer restrictions
• Data processing register maintenance</t>
        </is>
      </c>
      <c r="L4" s="2" t="inlineStr">
        <is>
          <t>/Assessments/2024/REG-CH-001_FADP_Assessment.pdf</t>
        </is>
      </c>
      <c r="M4" s="3" t="n">
        <v>45930</v>
      </c>
      <c r="N4" s="2" t="inlineStr">
        <is>
          <t>Compliance Officer</t>
        </is>
      </c>
      <c r="O4" s="2" t="inlineStr">
        <is>
          <t>Swiss FADP similar to GDPR but with Swiss-specific requirements. Regular FDPIC guidance updates.</t>
        </is>
      </c>
      <c r="P4" s="3" t="n">
        <v>46061.49234961349</v>
      </c>
    </row>
    <row r="5">
      <c r="A5" s="2" t="inlineStr">
        <is>
          <t>REG-EU-002</t>
        </is>
      </c>
      <c r="B5" s="2" t="inlineStr">
        <is>
          <t>Network and Information Systems Directive (Revised)</t>
        </is>
      </c>
      <c r="C5" s="2" t="inlineStr">
        <is>
          <t>NIS2</t>
        </is>
      </c>
      <c r="D5" s="2" t="inlineStr">
        <is>
          <t>European Union</t>
        </is>
      </c>
      <c r="E5" s="2" t="inlineStr">
        <is>
          <t>European Commission</t>
        </is>
      </c>
      <c r="F5" s="2" t="inlineStr">
        <is>
          <t>Directive (EU) 2022/2555</t>
        </is>
      </c>
      <c r="G5" s="3" t="n">
        <v>45582</v>
      </c>
      <c r="H5" s="2" t="inlineStr">
        <is>
          <t>2-Conditional</t>
        </is>
      </c>
      <c r="I5" s="2" t="inlineStr">
        <is>
          <t>Conditional</t>
        </is>
      </c>
      <c r="J5" s="2" t="inlineStr">
        <is>
          <t>Conditional applicability - would apply if [Organization] qualifies as 'essential' or 'important' entity under NIS2 definitions. Currently under size thresholds but approaching.</t>
        </is>
      </c>
      <c r="K5" s="2" t="inlineStr">
        <is>
          <t>• Cybersecurity risk management measures
• Incident reporting (24/72 hours)
• Supply chain security
• Executive accountability</t>
        </is>
      </c>
      <c r="L5" s="2" t="inlineStr">
        <is>
          <t>/Assessments/2024/REG-EU-002_NIS2_Conditional_Assessment.pdf</t>
        </is>
      </c>
      <c r="M5" s="3" t="n">
        <v>45777</v>
      </c>
      <c r="N5" s="2" t="inlineStr">
        <is>
          <t>CISO</t>
        </is>
      </c>
      <c r="O5" s="2" t="inlineStr">
        <is>
          <t>Monitor: Annual revenue, employee count, critical services. Reassess Q2 2025 based on growth projections.</t>
        </is>
      </c>
      <c r="P5" s="3" t="n">
        <v>46061.49234961349</v>
      </c>
    </row>
    <row r="6">
      <c r="A6" s="2" t="inlineStr">
        <is>
          <t>REG-EU-003</t>
        </is>
      </c>
      <c r="B6" s="2" t="inlineStr">
        <is>
          <t>Digital Operational Resilience Act</t>
        </is>
      </c>
      <c r="C6" s="2" t="inlineStr">
        <is>
          <t>DORA</t>
        </is>
      </c>
      <c r="D6" s="2" t="inlineStr">
        <is>
          <t>European Union</t>
        </is>
      </c>
      <c r="E6" s="2" t="inlineStr">
        <is>
          <t>European Commission</t>
        </is>
      </c>
      <c r="F6" s="2" t="inlineStr">
        <is>
          <t>Regulation (EU) 2022/2554</t>
        </is>
      </c>
      <c r="G6" s="3" t="n">
        <v>45674</v>
      </c>
      <c r="H6" s="2" t="inlineStr">
        <is>
          <t>2-Conditional</t>
        </is>
      </c>
      <c r="I6" s="2" t="inlineStr">
        <is>
          <t>Not Applicable</t>
        </is>
      </c>
      <c r="J6" s="2" t="inlineStr">
        <is>
          <t>Not currently applicable - DORA applies to financial entities. [Organization] not in financial services sector. Would apply only if we enter fintech market.</t>
        </is>
      </c>
      <c r="K6" s="2" t="inlineStr">
        <is>
          <t>• ICT risk management framework
• Digital resilience testing
• Third-party ICT service provider oversight
• Incident reporting to authorities</t>
        </is>
      </c>
      <c r="L6" s="2" t="inlineStr">
        <is>
          <t>/Assessments/2024/REG-EU-003_DORA_Not_Applicable.pdf</t>
        </is>
      </c>
      <c r="M6" s="3" t="n">
        <v>46053</v>
      </c>
      <c r="N6" s="2" t="inlineStr">
        <is>
          <t>Compliance Officer</t>
        </is>
      </c>
      <c r="O6" s="2" t="inlineStr">
        <is>
          <t>Reassess if: (1) Enter financial services market, (2) Provide services to financial entities, (3) Acquire fintech companies.</t>
        </is>
      </c>
      <c r="P6" s="3" t="n">
        <v>46061.49234961349</v>
      </c>
    </row>
    <row r="7">
      <c r="A7" s="2" t="inlineStr">
        <is>
          <t>REG-US-001</t>
        </is>
      </c>
      <c r="B7" s="2" t="inlineStr">
        <is>
          <t>California Consumer Privacy Act</t>
        </is>
      </c>
      <c r="C7" s="2" t="inlineStr">
        <is>
          <t>CCPA / CPRA</t>
        </is>
      </c>
      <c r="D7" s="2" t="inlineStr">
        <is>
          <t>United States (California)</t>
        </is>
      </c>
      <c r="E7" s="2" t="inlineStr">
        <is>
          <t>State of California</t>
        </is>
      </c>
      <c r="F7" s="2" t="inlineStr">
        <is>
          <t>California Civil Code §§ 1798.100–1798.199</t>
        </is>
      </c>
      <c r="G7" s="3" t="n">
        <v>43831</v>
      </c>
      <c r="H7" s="2" t="inlineStr">
        <is>
          <t>2-Conditional</t>
        </is>
      </c>
      <c r="I7" s="2" t="inlineStr">
        <is>
          <t>Under Review</t>
        </is>
      </c>
      <c r="J7" s="2" t="inlineStr">
        <is>
          <t>Under assessment - [Organization] has some California customers. Reviewing if thresholds met (revenue from CA, number of CA consumers, data sold).</t>
        </is>
      </c>
      <c r="K7" s="2" t="inlineStr">
        <is>
          <t>• Consumer rights (know, delete, opt-out)
• Privacy notice requirements
• Data sale disclosure and opt-out
• Risk assessments for high-risk processing</t>
        </is>
      </c>
      <c r="L7" s="2" t="inlineStr">
        <is>
          <t>/Assessments/2024/REG-US-001_CCPA_Under_Assessment.pdf</t>
        </is>
      </c>
      <c r="M7" s="3" t="n">
        <v>45747</v>
      </c>
      <c r="N7" s="2" t="inlineStr">
        <is>
          <t>Compliance Officer / Legal Counsel</t>
        </is>
      </c>
      <c r="O7" s="2" t="inlineStr">
        <is>
          <t>Legal counsel reviewing Q1 2025. Decision expected by Q2 2025 based on California revenue analysis.</t>
        </is>
      </c>
      <c r="P7" s="3" t="n">
        <v>46061.49234961349</v>
      </c>
    </row>
    <row r="8">
      <c r="A8" s="2" t="inlineStr">
        <is>
          <t>REG-VOL-001</t>
        </is>
      </c>
      <c r="B8" s="2" t="inlineStr">
        <is>
          <t>Cybersecurity Framework</t>
        </is>
      </c>
      <c r="C8" s="2" t="inlineStr">
        <is>
          <t>NIST CSF 2.0</t>
        </is>
      </c>
      <c r="D8" s="2" t="inlineStr">
        <is>
          <t>International (US-origin)</t>
        </is>
      </c>
      <c r="E8" s="2" t="inlineStr">
        <is>
          <t>NIST</t>
        </is>
      </c>
      <c r="F8" s="2" t="inlineStr">
        <is>
          <t>NIST Cybersecurity Framework v2.0</t>
        </is>
      </c>
      <c r="G8" s="3" t="n">
        <v>45348</v>
      </c>
      <c r="H8" s="2" t="inlineStr">
        <is>
          <t>3-Informational</t>
        </is>
      </c>
      <c r="I8" s="2" t="inlineStr">
        <is>
          <t>Applicable</t>
        </is>
      </c>
      <c r="J8" s="2" t="inlineStr">
        <is>
          <t>Voluntary framework - adopted as best practice reference for cybersecurity program. Used for gap analysis and benchmarking.</t>
        </is>
      </c>
      <c r="K8" s="2" t="inlineStr">
        <is>
          <t>• Govern, Identify, Protect, Detect, Respond, Recover functions
• Organizational profile and implementation tiers
• Supply chain risk management</t>
        </is>
      </c>
      <c r="L8" s="2" t="inlineStr">
        <is>
          <t>/Assessments/2024/REG-VOL-001_NIST_CSF_Mapping.xlsx</t>
        </is>
      </c>
      <c r="M8" s="3" t="n">
        <v>46081</v>
      </c>
      <c r="N8" s="2" t="inlineStr">
        <is>
          <t>CISO</t>
        </is>
      </c>
      <c r="O8" s="2" t="inlineStr">
        <is>
          <t>Used for internal maturity assessment. Not required but helpful for continuous improvement.</t>
        </is>
      </c>
      <c r="P8" s="3" t="n">
        <v>46061.49234961349</v>
      </c>
    </row>
    <row r="9">
      <c r="A9" s="2" t="inlineStr">
        <is>
          <t>REG-VOL-002</t>
        </is>
      </c>
      <c r="B9" s="2" t="inlineStr">
        <is>
          <t>Cloud Controls Matrix</t>
        </is>
      </c>
      <c r="C9" s="2" t="inlineStr">
        <is>
          <t>CCM v4.0</t>
        </is>
      </c>
      <c r="D9" s="2" t="inlineStr">
        <is>
          <t>International</t>
        </is>
      </c>
      <c r="E9" s="2" t="inlineStr">
        <is>
          <t>Cloud Security Alliance</t>
        </is>
      </c>
      <c r="F9" s="2" t="inlineStr">
        <is>
          <t>CSA CCM v4.0.10</t>
        </is>
      </c>
      <c r="G9" s="3" t="n">
        <v>44409</v>
      </c>
      <c r="H9" s="2" t="inlineStr">
        <is>
          <t>3-Informational</t>
        </is>
      </c>
      <c r="I9" s="2" t="inlineStr">
        <is>
          <t>Applicable</t>
        </is>
      </c>
      <c r="J9" s="2" t="inlineStr">
        <is>
          <t>Voluntary framework - used for cloud vendor assessments and internal cloud security control mapping.</t>
        </is>
      </c>
      <c r="K9" s="2" t="inlineStr">
        <is>
          <t>• 197 cloud security controls across 17 domains
• Mapping to ISO 27001, SOC 2, GDPR, etc.
• Vendor assessment questionnaires</t>
        </is>
      </c>
      <c r="L9" s="2" t="inlineStr">
        <is>
          <t>/Assessments/2024/REG-VOL-002_CCM_Mapping.xlsx</t>
        </is>
      </c>
      <c r="M9" s="3" t="n">
        <v>46265</v>
      </c>
      <c r="N9" s="2" t="inlineStr">
        <is>
          <t>Cloud Security Lead</t>
        </is>
      </c>
      <c r="O9" s="2" t="inlineStr">
        <is>
          <t>Used in Control A.5.23 (Cloud Services) vendor due diligence. CAIQ questionnaires sent to cloud vendors.</t>
        </is>
      </c>
      <c r="P9" s="3" t="n">
        <v>46061.49234961349</v>
      </c>
    </row>
  </sheetData>
  <autoFilter ref="A1:P1"/>
  <conditionalFormatting sqref="H2:H1000">
    <cfRule type="cellIs" priority="1" operator="containsText" dxfId="0">
      <formula>"1-Mandatory"</formula>
    </cfRule>
    <cfRule type="cellIs" priority="2" operator="containsText" dxfId="1">
      <formula>"2-Conditional"</formula>
    </cfRule>
    <cfRule type="cellIs" priority="3" operator="containsText" dxfId="2">
      <formula>"3-Informational"</formula>
    </cfRule>
  </conditionalFormatting>
  <conditionalFormatting sqref="I2:I1000">
    <cfRule type="cellIs" priority="4" operator="equal" dxfId="2">
      <formula>"Applicable"</formula>
    </cfRule>
    <cfRule type="cellIs" priority="5" operator="equal" dxfId="1">
      <formula>"Conditional"</formula>
    </cfRule>
    <cfRule type="cellIs" priority="6" operator="equal" dxfId="3">
      <formula>"Not Applicable"</formula>
    </cfRule>
    <cfRule type="cellIs" priority="7" operator="equal" dxfId="3">
      <formula>"Under Review"</formula>
    </cfRule>
  </conditionalFormatting>
  <dataValidations count="2">
    <dataValidation sqref="H2:H1000" showDropDown="0" showInputMessage="0" showErrorMessage="0" allowBlank="0" errorTitle="Invalid Tier" error="Please select from the list" type="list">
      <formula1>"1-Mandatory,2-Conditional,3-Informational"</formula1>
    </dataValidation>
    <dataValidation sqref="I2:I1000" showDropDown="0" showInputMessage="0" showErrorMessage="0" allowBlank="0" errorTitle="Invalid Status" error="Please select from the list" type="list">
      <formula1>"Applicable,Conditional,Not Applicable,Under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40" customHeight="1">
      <c r="A1" s="4" t="inlineStr">
        <is>
          <t>ISMS-IMP-A.5.31.1 | REGULATORY INVENTORY - INSTRUCTIONS | ISO/IEC 27001:2022 - Control A.5.31: Legal, Statutory, Regulatory and Contractual Requirements</t>
        </is>
      </c>
    </row>
    <row r="2">
      <c r="A2" s="5" t="inlineStr"/>
    </row>
    <row r="3">
      <c r="A3" s="5" t="inlineStr">
        <is>
          <t>PURPOSE:</t>
        </is>
      </c>
    </row>
    <row r="4">
      <c r="A4" s="5" t="inlineStr">
        <is>
          <t>Master list of all regulations, frameworks, and standards relevant to [Organization]'s</t>
        </is>
      </c>
    </row>
    <row r="5">
      <c r="A5" s="5" t="inlineStr">
        <is>
          <t>information security compliance obligations.</t>
        </is>
      </c>
    </row>
    <row r="6">
      <c r="A6" s="5" t="inlineStr"/>
    </row>
    <row r="7">
      <c r="A7" s="5" t="inlineStr">
        <is>
          <t>HOW TO USE:</t>
        </is>
      </c>
    </row>
    <row r="8">
      <c r="A8" s="5" t="inlineStr">
        <is>
          <t>1. Add New Regulation:</t>
        </is>
      </c>
    </row>
    <row r="9">
      <c r="A9" s="5" t="inlineStr">
        <is>
          <t xml:space="preserve">   • Assign unique Regulation ID (format: REG-[Jurisdiction]-[Seq])</t>
        </is>
      </c>
    </row>
    <row r="10">
      <c r="A10" s="5" t="inlineStr">
        <is>
          <t xml:space="preserve">   • Complete all required fields (A-P)</t>
        </is>
      </c>
    </row>
    <row r="11">
      <c r="A11" s="5" t="inlineStr">
        <is>
          <t xml:space="preserve">   • Select Tier from dropdown (H)</t>
        </is>
      </c>
    </row>
    <row r="12">
      <c r="A12" s="5" t="inlineStr">
        <is>
          <t xml:space="preserve">   • Select Applicability Status from dropdown (I)</t>
        </is>
      </c>
    </row>
    <row r="13">
      <c r="A13" s="5" t="inlineStr">
        <is>
          <t xml:space="preserve">   • Document clear Applicability Rationale (J)</t>
        </is>
      </c>
    </row>
    <row r="14">
      <c r="A14" s="5" t="inlineStr"/>
    </row>
    <row r="15">
      <c r="A15" s="5" t="inlineStr">
        <is>
          <t>2. Regulation ID Format:</t>
        </is>
      </c>
    </row>
    <row r="16">
      <c r="A16" s="5" t="inlineStr">
        <is>
          <t xml:space="preserve">   • REG-[Jurisdiction Code]-[Sequence Number]</t>
        </is>
      </c>
    </row>
    <row r="17">
      <c r="A17" s="5" t="inlineStr">
        <is>
          <t xml:space="preserve">   • Examples: REG-EU-001 (GDPR), REG-CH-001 (Swiss FADP), REG-INT-001 (ISO 27001)</t>
        </is>
      </c>
    </row>
    <row r="18">
      <c r="A18" s="5" t="inlineStr">
        <is>
          <t xml:space="preserve">   • Jurisdiction Codes: EU (European Union), CH (Switzerland), US (United States),</t>
        </is>
      </c>
    </row>
    <row r="19">
      <c r="A19" s="5" t="inlineStr">
        <is>
          <t xml:space="preserve">     UK (United Kingdom), INT (International), CUST (Customer contractual),</t>
        </is>
      </c>
    </row>
    <row r="20">
      <c r="A20" s="5" t="inlineStr">
        <is>
          <t xml:space="preserve">     VOL (Voluntary frameworks)</t>
        </is>
      </c>
    </row>
    <row r="21">
      <c r="A21" s="5" t="inlineStr"/>
    </row>
    <row r="22">
      <c r="A22" s="5" t="inlineStr">
        <is>
          <t>3. Tier Definitions:</t>
        </is>
      </c>
    </row>
    <row r="23">
      <c r="A23" s="5" t="inlineStr">
        <is>
          <t xml:space="preserve">   • Tier 1 (Mandatory): Legal or contractual obligation, must comply</t>
        </is>
      </c>
    </row>
    <row r="24">
      <c r="A24" s="5" t="inlineStr">
        <is>
          <t xml:space="preserve">   • Tier 2 (Conditional): Would apply if specific conditions met</t>
        </is>
      </c>
    </row>
    <row r="25">
      <c r="A25" s="5" t="inlineStr">
        <is>
          <t xml:space="preserve">     (market entry, revenue threshold, service type, etc.)</t>
        </is>
      </c>
    </row>
    <row r="26">
      <c r="A26" s="5" t="inlineStr">
        <is>
          <t xml:space="preserve">   • Tier 3 (Informational): Voluntary framework used for guidance/benchmarking</t>
        </is>
      </c>
    </row>
    <row r="27">
      <c r="A27" s="5" t="inlineStr"/>
    </row>
    <row r="28">
      <c r="A28" s="5" t="inlineStr">
        <is>
          <t>4. Applicability Status:</t>
        </is>
      </c>
    </row>
    <row r="29">
      <c r="A29" s="5" t="inlineStr">
        <is>
          <t xml:space="preserve">   • Applicable: Regulation currently applies to [Organization]</t>
        </is>
      </c>
    </row>
    <row r="30">
      <c r="A30" s="5" t="inlineStr">
        <is>
          <t xml:space="preserve">   • Conditional: Applies only under specific conditions (document in Rationale)</t>
        </is>
      </c>
    </row>
    <row r="31">
      <c r="A31" s="5" t="inlineStr">
        <is>
          <t xml:space="preserve">   • Not Applicable: Does not apply to [Organization] (document why)</t>
        </is>
      </c>
    </row>
    <row r="32">
      <c r="A32" s="5" t="inlineStr">
        <is>
          <t xml:space="preserve">   • Under Review: Assessment in progress, determination pending</t>
        </is>
      </c>
    </row>
    <row r="33">
      <c r="A33" s="5" t="inlineStr"/>
    </row>
    <row r="34">
      <c r="A34" s="5" t="inlineStr">
        <is>
          <t>5. Applicability Rationale:</t>
        </is>
      </c>
    </row>
    <row r="35">
      <c r="A35" s="5" t="inlineStr">
        <is>
          <t xml:space="preserve">   • CRITICAL FIELD: Explain WHY this tier and status were determined</t>
        </is>
      </c>
    </row>
    <row r="36">
      <c r="A36" s="5" t="inlineStr">
        <is>
          <t xml:space="preserve">   • Include specific criteria: geographic scope, operational scope, contractual scope</t>
        </is>
      </c>
    </row>
    <row r="37">
      <c r="A37" s="5" t="inlineStr">
        <is>
          <t xml:space="preserve">   • For 'Not Applicable': Document why AND what would trigger reassessment</t>
        </is>
      </c>
    </row>
    <row r="38">
      <c r="A38" s="5" t="inlineStr">
        <is>
          <t xml:space="preserve">   • For 'Conditional': Document the specific trigger condition</t>
        </is>
      </c>
    </row>
    <row r="39">
      <c r="A39" s="5" t="inlineStr"/>
    </row>
    <row r="40">
      <c r="A40" s="5" t="inlineStr">
        <is>
          <t>6. Key Requirements Summary:</t>
        </is>
      </c>
    </row>
    <row r="41">
      <c r="A41" s="5" t="inlineStr">
        <is>
          <t xml:space="preserve">   • 2-4 bullet points summarizing main requirements</t>
        </is>
      </c>
    </row>
    <row r="42">
      <c r="A42" s="5" t="inlineStr">
        <is>
          <t xml:space="preserve">   • High-level only (detailed extraction in Workbook 3)</t>
        </is>
      </c>
    </row>
    <row r="43">
      <c r="A43" s="5" t="inlineStr">
        <is>
          <t xml:space="preserve">   • Helps quickly understand what regulation requires</t>
        </is>
      </c>
    </row>
    <row r="44">
      <c r="A44" s="5" t="inlineStr"/>
    </row>
    <row r="45">
      <c r="A45" s="5" t="inlineStr">
        <is>
          <t>7. Assessment Reference:</t>
        </is>
      </c>
    </row>
    <row r="46">
      <c r="A46" s="5" t="inlineStr">
        <is>
          <t xml:space="preserve">   • Link to detailed applicability assessment (Workbook 2)</t>
        </is>
      </c>
    </row>
    <row r="47">
      <c r="A47" s="5" t="inlineStr">
        <is>
          <t xml:space="preserve">   • File path or document ID for audit trail</t>
        </is>
      </c>
    </row>
    <row r="48">
      <c r="A48" s="5" t="inlineStr"/>
    </row>
    <row r="49">
      <c r="A49" s="5" t="inlineStr">
        <is>
          <t>8. Maintenance:</t>
        </is>
      </c>
    </row>
    <row r="50">
      <c r="A50" s="5" t="inlineStr">
        <is>
          <t xml:space="preserve">   • Review all Tier 1 regulations annually (minimum)</t>
        </is>
      </c>
    </row>
    <row r="51">
      <c r="A51" s="5" t="inlineStr">
        <is>
          <t xml:space="preserve">   • Review all Tier 2 regulations quarterly (check if conditions triggered)</t>
        </is>
      </c>
    </row>
    <row r="52">
      <c r="A52" s="5" t="inlineStr">
        <is>
          <t xml:space="preserve">   • Review all Tier 3 regulations biennially</t>
        </is>
      </c>
    </row>
    <row r="53">
      <c r="A53" s="5" t="inlineStr">
        <is>
          <t xml:space="preserve">   • Update 'Next Review Date' after each review</t>
        </is>
      </c>
    </row>
    <row r="54">
      <c r="A54" s="5" t="inlineStr">
        <is>
          <t xml:space="preserve">   • Update 'Last Updated' whenever ANY field changes</t>
        </is>
      </c>
    </row>
    <row r="55">
      <c r="A55" s="5" t="inlineStr"/>
    </row>
    <row r="56">
      <c r="A56" s="5" t="inlineStr">
        <is>
          <t>RELATED PROCESSES:</t>
        </is>
      </c>
    </row>
    <row r="57">
      <c r="A57" s="5" t="inlineStr">
        <is>
          <t xml:space="preserve">   • IMP-5.31.1: Regulatory Inventory Management Process (how to use this workbook)</t>
        </is>
      </c>
    </row>
    <row r="58">
      <c r="A58" s="5" t="inlineStr">
        <is>
          <t xml:space="preserve">   • IMP-5.31.2: Applicability Assessment Process (how to determine tier)</t>
        </is>
      </c>
    </row>
    <row r="59">
      <c r="A59" s="5" t="inlineStr">
        <is>
          <t xml:space="preserve">   • POL-5.31.2: Regulatory Applicability Methodology (framework)</t>
        </is>
      </c>
    </row>
    <row r="60">
      <c r="A60" s="5" t="inlineStr"/>
    </row>
    <row r="61">
      <c r="A61" s="5" t="inlineStr">
        <is>
          <t>OUTPUTS:</t>
        </is>
      </c>
    </row>
    <row r="62">
      <c r="A62" s="5" t="inlineStr">
        <is>
          <t xml:space="preserve">   • Feeds into: ISMS-POL-00 (Regulatory Applicability Framework)</t>
        </is>
      </c>
    </row>
    <row r="63">
      <c r="A63" s="5" t="inlineStr">
        <is>
          <t xml:space="preserve">   • Feeds into: Requirements Extraction (Workbook 3)</t>
        </is>
      </c>
    </row>
    <row r="64">
      <c r="A64" s="5" t="inlineStr">
        <is>
          <t xml:space="preserve">   • Feeds into: Compliance Dashboard (Workbook 6)</t>
        </is>
      </c>
    </row>
    <row r="65">
      <c r="A65" s="5" t="inlineStr"/>
    </row>
    <row r="66">
      <c r="A66" s="5" t="inlineStr">
        <is>
          <t>COLOR CODING:</t>
        </is>
      </c>
    </row>
    <row r="67">
      <c r="A67" s="5" t="inlineStr">
        <is>
          <t xml:space="preserve">   Tier Column:</t>
        </is>
      </c>
    </row>
    <row r="68">
      <c r="A68" s="5" t="inlineStr">
        <is>
          <t xml:space="preserve">   • Red background = Tier 1 (Mandatory) - Highest priority</t>
        </is>
      </c>
    </row>
    <row r="69">
      <c r="A69" s="5" t="inlineStr">
        <is>
          <t xml:space="preserve">   • Yellow background = Tier 2 (Conditional) - Monitor triggers</t>
        </is>
      </c>
    </row>
    <row r="70">
      <c r="A70" s="5" t="inlineStr">
        <is>
          <t xml:space="preserve">   • Green background = Tier 3 (Informational) - Reference only</t>
        </is>
      </c>
    </row>
    <row r="71">
      <c r="A71" s="5" t="inlineStr"/>
    </row>
    <row r="72">
      <c r="A72" s="5" t="inlineStr">
        <is>
          <t xml:space="preserve">   Applicability Status Column:</t>
        </is>
      </c>
    </row>
    <row r="73">
      <c r="A73" s="5" t="inlineStr">
        <is>
          <t xml:space="preserve">   • Green background = Applicable - Requires compliance action</t>
        </is>
      </c>
    </row>
    <row r="74">
      <c r="A74" s="5" t="inlineStr">
        <is>
          <t xml:space="preserve">   • Yellow background = Conditional - Monitor condition</t>
        </is>
      </c>
    </row>
    <row r="75">
      <c r="A75" s="5" t="inlineStr">
        <is>
          <t xml:space="preserve">   • Gray background = Not Applicable - Document rationale</t>
        </is>
      </c>
    </row>
    <row r="76">
      <c r="A76" s="5" t="inlineStr">
        <is>
          <t xml:space="preserve">   • Blue background = Under Review - Assessment in progress</t>
        </is>
      </c>
    </row>
    <row r="77">
      <c r="A77" s="5" t="inlineStr"/>
    </row>
    <row r="78">
      <c r="A78" s="5" t="inlineStr">
        <is>
          <t>QUALITY CHECKS:</t>
        </is>
      </c>
    </row>
    <row r="79">
      <c r="A79" s="5" t="inlineStr">
        <is>
          <t xml:space="preserve">   Before finalizing inventory:</t>
        </is>
      </c>
    </row>
    <row r="80">
      <c r="A80" s="5" t="inlineStr">
        <is>
          <t xml:space="preserve">   ✓ All Regulation IDs unique and follow format</t>
        </is>
      </c>
    </row>
    <row r="81">
      <c r="A81" s="5" t="inlineStr">
        <is>
          <t xml:space="preserve">   ✓ All Tier 1 regulations have Legal Counsel review</t>
        </is>
      </c>
    </row>
    <row r="82">
      <c r="A82" s="5" t="inlineStr">
        <is>
          <t xml:space="preserve">   ✓ All rationales are specific and audit-ready</t>
        </is>
      </c>
    </row>
    <row r="83">
      <c r="A83" s="5" t="inlineStr">
        <is>
          <t xml:space="preserve">   ✓ All Next Review Dates set appropriately</t>
        </is>
      </c>
    </row>
    <row r="84">
      <c r="A84" s="5" t="inlineStr">
        <is>
          <t xml:space="preserve">   ✓ All Assessment References link to valid documents</t>
        </is>
      </c>
    </row>
    <row r="85">
      <c r="A85" s="5" t="inlineStr">
        <is>
          <t xml:space="preserve">   ✓ No duplicate regulations (check by Citation)</t>
        </is>
      </c>
    </row>
    <row r="86">
      <c r="A86" s="5" t="inlineStr"/>
    </row>
    <row r="87">
      <c r="A87" s="5" t="inlineStr">
        <is>
          <t>APPROVAL WORKFLOW:</t>
        </is>
      </c>
    </row>
    <row r="88">
      <c r="A88" s="5" t="inlineStr">
        <is>
          <t xml:space="preserve">   • Tier 3 or Not Applicable: Compliance Officer approval (1 day)</t>
        </is>
      </c>
    </row>
    <row r="89">
      <c r="A89" s="5" t="inlineStr">
        <is>
          <t xml:space="preserve">   • Tier 2: Compliance Officer + ISMS Manager approval (2-3 days)</t>
        </is>
      </c>
    </row>
    <row r="90">
      <c r="A90" s="5" t="inlineStr">
        <is>
          <t xml:space="preserve">   • Tier 1: Compliance Officer + Legal Counsel + ISMS Manager +</t>
        </is>
      </c>
    </row>
    <row r="91">
      <c r="A91" s="5" t="inlineStr">
        <is>
          <t xml:space="preserve">     Executive Management approval (1-2 weeks)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 ht="25" customHeight="1">
      <c r="A1" s="6" t="inlineStr">
        <is>
          <t>REGULATORY INVENTORY - SUMMARY METRICS</t>
        </is>
      </c>
    </row>
    <row r="3">
      <c r="A3" s="7" t="inlineStr">
        <is>
          <t>OVERVIEW</t>
        </is>
      </c>
    </row>
    <row r="4">
      <c r="A4" t="inlineStr">
        <is>
          <t>Total Regulations:</t>
        </is>
      </c>
      <c r="B4" s="8">
        <f>COUNTA(Regulatory_Inventory!A2:A1000)</f>
        <v/>
      </c>
    </row>
    <row r="6">
      <c r="A6" s="7" t="inlineStr">
        <is>
          <t>BY TIER</t>
        </is>
      </c>
    </row>
    <row r="7">
      <c r="A7" t="inlineStr">
        <is>
          <t>Tier 1 (Mandatory):</t>
        </is>
      </c>
      <c r="B7" s="9">
        <f>COUNTIF(Regulatory_Inventory!H:H,"1-Mandatory")</f>
        <v/>
      </c>
    </row>
    <row r="8">
      <c r="A8" t="inlineStr">
        <is>
          <t>Tier 2 (Conditional):</t>
        </is>
      </c>
      <c r="B8" s="10">
        <f>COUNTIF(Regulatory_Inventory!H:H,"2-Conditional")</f>
        <v/>
      </c>
    </row>
    <row r="9">
      <c r="A9" t="inlineStr">
        <is>
          <t>Tier 3 (Informational):</t>
        </is>
      </c>
      <c r="B9" s="11">
        <f>COUNTIF(Regulatory_Inventory!H:H,"3-Informational")</f>
        <v/>
      </c>
    </row>
    <row r="11">
      <c r="A11" s="7" t="inlineStr">
        <is>
          <t>BY APPLICABILITY STATUS</t>
        </is>
      </c>
    </row>
    <row r="12">
      <c r="A12" t="inlineStr">
        <is>
          <t>Applicable:</t>
        </is>
      </c>
      <c r="B12" s="11">
        <f>COUNTIF(Regulatory_Inventory!I:I,"Applicable")</f>
        <v/>
      </c>
    </row>
    <row r="13">
      <c r="A13" t="inlineStr">
        <is>
          <t>Conditional:</t>
        </is>
      </c>
      <c r="B13" s="10">
        <f>COUNTIF(Regulatory_Inventory!I:I,"Conditional")</f>
        <v/>
      </c>
    </row>
    <row r="14">
      <c r="A14" t="inlineStr">
        <is>
          <t>Not Applicable:</t>
        </is>
      </c>
      <c r="B14" s="12">
        <f>COUNTIF(Regulatory_Inventory!I:I,"Not Applicable")</f>
        <v/>
      </c>
    </row>
    <row r="15">
      <c r="A15" t="inlineStr">
        <is>
          <t>Under Review:</t>
        </is>
      </c>
      <c r="B15" s="13">
        <f>COUNTIF(Regulatory_Inventory!I:I,"Under Review")</f>
        <v/>
      </c>
    </row>
    <row r="17">
      <c r="A17" s="7" t="inlineStr">
        <is>
          <t>BY JURISDICTION (Top 5)</t>
        </is>
      </c>
    </row>
    <row r="18">
      <c r="A18" t="inlineStr">
        <is>
          <t>European Union:</t>
        </is>
      </c>
      <c r="B18" s="14">
        <f>COUNTIF(Regulatory_Inventory!D:D,"European Union")</f>
        <v/>
      </c>
    </row>
    <row r="19">
      <c r="A19" t="inlineStr">
        <is>
          <t>Switzerland:</t>
        </is>
      </c>
      <c r="B19" s="14">
        <f>COUNTIF(Regulatory_Inventory!D:D,"Switzerland")</f>
        <v/>
      </c>
    </row>
    <row r="20">
      <c r="A20" t="inlineStr">
        <is>
          <t>International:</t>
        </is>
      </c>
      <c r="B20" s="14">
        <f>COUNTIF(Regulatory_Inventory!D:D,"International")</f>
        <v/>
      </c>
    </row>
    <row r="21">
      <c r="A21" t="inlineStr">
        <is>
          <t>United States:</t>
        </is>
      </c>
      <c r="B21" s="14">
        <f>COUNTIF(Regulatory_Inventory!D:D,"United States")</f>
        <v/>
      </c>
    </row>
    <row r="22">
      <c r="A22" t="inlineStr">
        <is>
          <t>United Kingdom:</t>
        </is>
      </c>
      <c r="B22" s="14">
        <f>COUNTIF(Regulatory_Inventory!D:D,"United Kingdom")</f>
        <v/>
      </c>
    </row>
    <row r="24">
      <c r="A24" s="7" t="inlineStr">
        <is>
          <t>UPCOMING REVIEWS</t>
        </is>
      </c>
    </row>
    <row r="25">
      <c r="A25" t="inlineStr">
        <is>
          <t>Next 30 days:</t>
        </is>
      </c>
      <c r="B25" s="15">
        <f>COUNTIFS(Regulatory_Inventory!M:M,"&gt;="&amp;TODAY()+0,Regulatory_Inventory!M:M,"&lt;="&amp;TODAY()+30)</f>
        <v/>
      </c>
    </row>
    <row r="26">
      <c r="A26" t="inlineStr">
        <is>
          <t>Next 60 days:</t>
        </is>
      </c>
      <c r="B26" s="10">
        <f>COUNTIFS(Regulatory_Inventory!M:M,"&gt;="&amp;TODAY()+0,Regulatory_Inventory!M:M,"&lt;="&amp;TODAY()+60)</f>
        <v/>
      </c>
    </row>
    <row r="27">
      <c r="A27" t="inlineStr">
        <is>
          <t>Next 90 days:</t>
        </is>
      </c>
      <c r="B27" s="10">
        <f>COUNTIFS(Regulatory_Inventory!M:M,"&gt;="&amp;TODAY()+0,Regulatory_Inventory!M:M,"&lt;="&amp;TODAY()+90)</f>
        <v/>
      </c>
    </row>
    <row r="29">
      <c r="A29" s="7" t="inlineStr">
        <is>
          <t>DATA QUALITY CHECKS</t>
        </is>
      </c>
    </row>
    <row r="30">
      <c r="A30" t="inlineStr">
        <is>
          <t>Regulations without Assessment Reference:</t>
        </is>
      </c>
      <c r="B30" s="15">
        <f>COUNTIF(Regulatory_Inventory!L:L,"")</f>
        <v/>
      </c>
    </row>
    <row r="31">
      <c r="A31" t="inlineStr">
        <is>
          <t>Regulations with empty Rationale:</t>
        </is>
      </c>
      <c r="B31" s="15">
        <f>COUNTIF(Regulatory_Inventory!J:J,"")</f>
        <v/>
      </c>
    </row>
    <row r="34">
      <c r="A34" s="16" t="inlineStr">
        <is>
          <t>Note: Metrics auto-calculate from Regulatory_Inventory sheet data.</t>
        </is>
      </c>
    </row>
  </sheetData>
  <mergeCells count="8">
    <mergeCell ref="A11:C11"/>
    <mergeCell ref="A1:C1"/>
    <mergeCell ref="A6:C6"/>
    <mergeCell ref="A17:C17"/>
    <mergeCell ref="A3:C3"/>
    <mergeCell ref="A34:C34"/>
    <mergeCell ref="A29:C29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2026-02-08T10:48:59Z</dcterms:created>
  <dcterms:modified xmlns:dcterms="http://purl.org/dc/terms/" xmlns:xsi="http://www.w3.org/2001/XMLSchema-instance" xsi:type="dcterms:W3CDTF">2026-02-08T10:48:59Z</dcterms:modified>
</cp:coreProperties>
</file>