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Test_Schedule" sheetId="3" state="visible" r:id="rId3"/>
    <sheet xmlns:r="http://schemas.openxmlformats.org/officeDocument/2006/relationships" name="Test_Results_Log" sheetId="4" state="visible" r:id="rId4"/>
    <sheet xmlns:r="http://schemas.openxmlformats.org/officeDocument/2006/relationships" name="Issue_Remediation" sheetId="5" state="visible" r:id="rId5"/>
    <sheet xmlns:r="http://schemas.openxmlformats.org/officeDocument/2006/relationships" name="Testing_Compliance" sheetId="6" state="visible" r:id="rId6"/>
    <sheet xmlns:r="http://schemas.openxmlformats.org/officeDocument/2006/relationships" name="Evidence_Register" sheetId="7" state="visible" r:id="rId7"/>
    <sheet xmlns:r="http://schemas.openxmlformats.org/officeDocument/2006/relationships" name="Approval_Sign_Off"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0.0"/>
  </numFmts>
  <fonts count="16">
    <font>
      <name val="Calibri"/>
      <family val="2"/>
      <color theme="1"/>
      <sz val="11"/>
      <scheme val="minor"/>
    </font>
    <font>
      <name val="Calibri"/>
      <b val="1"/>
      <color rgb="00003366"/>
      <sz val="16"/>
    </font>
    <font>
      <b val="1"/>
    </font>
    <font>
      <name val="Calibri"/>
      <b val="1"/>
      <color rgb="00FFFFFF"/>
      <sz val="12"/>
    </font>
    <font>
      <name val="Calibri"/>
      <sz val="10"/>
    </font>
    <font>
      <name val="Calibri"/>
      <b val="1"/>
      <sz val="10"/>
    </font>
    <font>
      <name val="Calibri"/>
      <b val="1"/>
      <color rgb="00C00000"/>
      <sz val="10"/>
    </font>
    <font>
      <i val="1"/>
      <sz val="11"/>
    </font>
    <font>
      <b val="1"/>
      <sz val="12"/>
    </font>
    <font>
      <b val="1"/>
      <sz val="11"/>
    </font>
    <font>
      <b val="1"/>
      <color rgb="00C00000"/>
      <sz val="11"/>
    </font>
    <font>
      <name val="Calibri"/>
      <b val="1"/>
      <color rgb="00FFFFFF"/>
      <sz val="14"/>
    </font>
    <font>
      <b val="1"/>
      <sz val="9"/>
    </font>
    <font>
      <i val="1"/>
      <color rgb="00666666"/>
    </font>
    <font>
      <b val="1"/>
      <color rgb="00C00000"/>
    </font>
    <font>
      <i val="1"/>
      <color rgb="00808080"/>
    </font>
  </fonts>
  <fills count="7">
    <fill>
      <patternFill/>
    </fill>
    <fill>
      <patternFill patternType="gray125"/>
    </fill>
    <fill>
      <patternFill patternType="solid">
        <fgColor rgb="004472C4"/>
        <bgColor rgb="004472C4"/>
      </patternFill>
    </fill>
    <fill>
      <patternFill patternType="solid">
        <fgColor rgb="00C00000"/>
        <bgColor rgb="00C00000"/>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xf>
    <xf numFmtId="0" fontId="4" fillId="0" borderId="0" applyAlignment="1" pivotButton="0" quotePrefix="0" xfId="0">
      <alignment wrapText="1"/>
    </xf>
    <xf numFmtId="0" fontId="4" fillId="0" borderId="0" pivotButton="0" quotePrefix="0" xfId="0"/>
    <xf numFmtId="0" fontId="5" fillId="0" borderId="0" pivotButton="0" quotePrefix="0" xfId="0"/>
    <xf numFmtId="0" fontId="0" fillId="0" borderId="0" applyAlignment="1" pivotButton="0" quotePrefix="0" xfId="0">
      <alignment horizontal="center"/>
    </xf>
    <xf numFmtId="0" fontId="3" fillId="3" borderId="0" applyAlignment="1" pivotButton="0" quotePrefix="0" xfId="0">
      <alignment horizontal="center"/>
    </xf>
    <xf numFmtId="0" fontId="6" fillId="0" borderId="0" pivotButton="0" quotePrefix="0" xfId="0"/>
    <xf numFmtId="0" fontId="7" fillId="0" borderId="0" applyAlignment="1" pivotButton="0" quotePrefix="0" xfId="0">
      <alignment horizontal="center"/>
    </xf>
    <xf numFmtId="0" fontId="8" fillId="0" borderId="0" pivotButton="0" quotePrefix="0" xfId="0"/>
    <xf numFmtId="164" fontId="8" fillId="0" borderId="0" pivotButton="0" quotePrefix="0" xfId="0"/>
    <xf numFmtId="0" fontId="9" fillId="0" borderId="0" pivotButton="0" quotePrefix="0" xfId="0"/>
    <xf numFmtId="164" fontId="9" fillId="0" borderId="0" pivotButton="0" quotePrefix="0" xfId="0"/>
    <xf numFmtId="0" fontId="10" fillId="0" borderId="0" pivotButton="0" quotePrefix="0" xfId="0"/>
    <xf numFmtId="0" fontId="11" fillId="4" borderId="0" applyAlignment="1" pivotButton="0" quotePrefix="0" xfId="0">
      <alignment horizontal="center" vertical="center"/>
    </xf>
    <xf numFmtId="0" fontId="5" fillId="5" borderId="1" applyAlignment="1" pivotButton="0" quotePrefix="0" xfId="0">
      <alignment horizontal="center" vertical="center" wrapText="1"/>
    </xf>
    <xf numFmtId="0" fontId="12" fillId="0" borderId="1" pivotButton="0" quotePrefix="0" xfId="0"/>
    <xf numFmtId="0" fontId="0" fillId="0" borderId="1" applyAlignment="1" pivotButton="0" quotePrefix="0" xfId="0">
      <alignment vertical="top" wrapText="1"/>
    </xf>
    <xf numFmtId="0" fontId="0" fillId="0" borderId="1" pivotButton="0" quotePrefix="0" xfId="0"/>
    <xf numFmtId="165" fontId="0" fillId="0" borderId="1" pivotButton="0" quotePrefix="0" xfId="0"/>
    <xf numFmtId="0" fontId="0" fillId="6" borderId="1" applyAlignment="1" pivotButton="0" quotePrefix="0" xfId="0">
      <alignment vertical="top" wrapText="1"/>
    </xf>
    <xf numFmtId="165" fontId="0" fillId="6" borderId="1" pivotButton="0" quotePrefix="0" xfId="0"/>
    <xf numFmtId="0" fontId="0" fillId="6" borderId="1" pivotButton="0" quotePrefix="0" xfId="0"/>
    <xf numFmtId="164" fontId="5" fillId="0" borderId="0" pivotButton="0" quotePrefix="0" xfId="0"/>
    <xf numFmtId="166" fontId="5" fillId="0" borderId="0" pivotButton="0" quotePrefix="0" xfId="0"/>
    <xf numFmtId="165" fontId="0" fillId="0" borderId="1" applyAlignment="1" pivotButton="0" quotePrefix="0" xfId="0">
      <alignment vertical="top" wrapText="1"/>
    </xf>
    <xf numFmtId="0" fontId="13" fillId="0" borderId="1" pivotButton="0" quotePrefix="0" xfId="0"/>
    <xf numFmtId="165" fontId="13" fillId="0" borderId="1" pivotButton="0" quotePrefix="0" xfId="0"/>
    <xf numFmtId="0" fontId="14" fillId="0" borderId="0" pivotButton="0" quotePrefix="0" xfId="0"/>
    <xf numFmtId="0" fontId="0" fillId="6" borderId="0" pivotButton="0" quotePrefix="0" xfId="0"/>
    <xf numFmtId="164" fontId="0" fillId="0" borderId="0" pivotButton="0" quotePrefix="0" xfId="0"/>
    <xf numFmtId="165" fontId="15" fillId="6" borderId="0" pivotButton="0" quotePrefix="0" xfId="0"/>
    <xf numFmtId="165" fontId="0" fillId="6" borderId="0" pivotButton="0" quotePrefix="0" xfId="0"/>
    <xf numFmtId="0" fontId="0" fillId="6" borderId="0" applyAlignment="1" pivotButton="0" quotePrefix="0" xfId="0">
      <alignment vertical="top" wrapText="1"/>
    </xf>
    <xf numFmtId="0" fontId="1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80" customWidth="1" min="1" max="1"/>
    <col width="50" customWidth="1" min="2" max="2"/>
    <col width="15" customWidth="1" min="3" max="3"/>
    <col width="15" customWidth="1" min="4" max="4"/>
    <col width="15" customWidth="1" min="5" max="5"/>
    <col width="15" customWidth="1" min="6" max="6"/>
  </cols>
  <sheetData>
    <row r="1" ht="35" customHeight="1">
      <c r="A1" s="1" t="inlineStr">
        <is>
          <t>ISMS BC/DR Assessment - BC/DR Testing Results Tracker</t>
        </is>
      </c>
    </row>
    <row r="3">
      <c r="A3" s="2" t="inlineStr">
        <is>
          <t>Document ID:</t>
        </is>
      </c>
      <c r="B3" t="inlineStr">
        <is>
          <t>ISMS-IMP-A.5.30.S4</t>
        </is>
      </c>
    </row>
    <row r="4">
      <c r="A4" s="2" t="inlineStr">
        <is>
          <t>Assessment:</t>
        </is>
      </c>
      <c r="B4" t="inlineStr">
        <is>
          <t>BC/DR Testing Results</t>
        </is>
      </c>
    </row>
    <row r="5">
      <c r="A5" s="2" t="inlineStr">
        <is>
          <t>Version:</t>
        </is>
      </c>
      <c r="B5" t="inlineStr">
        <is>
          <t>1.0</t>
        </is>
      </c>
    </row>
    <row r="6">
      <c r="A6" s="2" t="inlineStr">
        <is>
          <t>Generated:</t>
        </is>
      </c>
      <c r="B6" t="inlineStr">
        <is>
          <t>08.02.2026 11:48</t>
        </is>
      </c>
    </row>
    <row r="8">
      <c r="A8" s="3" t="inlineStr">
        <is>
          <t>PURPOSE</t>
        </is>
      </c>
    </row>
    <row r="9">
      <c r="A9" s="4" t="inlineStr">
        <is>
          <t>This workbook tracks all BC/DR testing activities, results, issues discovered, and testing compliance.</t>
        </is>
      </c>
    </row>
    <row r="10">
      <c r="A10" s="4" t="inlineStr">
        <is>
          <t>Use this to demonstrate that backup, failover, and DR capabilities are regularly TESTED, not just assumed.</t>
        </is>
      </c>
    </row>
    <row r="11">
      <c r="A11" s="4" t="inlineStr"/>
    </row>
    <row r="12">
      <c r="A12" s="4" t="inlineStr">
        <is>
          <t>KEY PRINCIPLE: "Test or it doesn't work" - Untested recovery capability = no recovery capability.</t>
        </is>
      </c>
    </row>
    <row r="14">
      <c r="A14" s="3" t="inlineStr">
        <is>
          <t>TESTING WORKFLOW</t>
        </is>
      </c>
    </row>
    <row r="15">
      <c r="A15" s="5" t="inlineStr">
        <is>
          <t>1. Plan tests in Test_Schedule (define annual test plan)</t>
        </is>
      </c>
    </row>
    <row r="16">
      <c r="A16" s="5" t="inlineStr">
        <is>
          <t>2. Execute tests according to schedule</t>
        </is>
      </c>
    </row>
    <row r="17">
      <c r="A17" s="5" t="inlineStr">
        <is>
          <t>3. Log results in Test_Results_Log (document actual test execution)</t>
        </is>
      </c>
    </row>
    <row r="18">
      <c r="A18" s="5" t="inlineStr">
        <is>
          <t>4. Document issues in Issue_Remediation (problems discovered during testing)</t>
        </is>
      </c>
    </row>
    <row r="19">
      <c r="A19" s="5" t="inlineStr">
        <is>
          <t>5. Track remediation of issues to closure</t>
        </is>
      </c>
    </row>
    <row r="20">
      <c r="A20" s="5" t="inlineStr">
        <is>
          <t>6. Review Testing_Compliance (annual compliance assessment)</t>
        </is>
      </c>
    </row>
    <row r="21">
      <c r="A21" s="5" t="inlineStr">
        <is>
          <t>7. Collect evidence in Evidence_Register (MINIMUM 5 evidence items for audit)</t>
        </is>
      </c>
    </row>
    <row r="22">
      <c r="A22" s="5" t="inlineStr">
        <is>
          <t>8. Review Summary dashboard for overall testing compliance</t>
        </is>
      </c>
    </row>
    <row r="23">
      <c r="A23" s="5" t="inlineStr">
        <is>
          <t>9. Complete Approval_Sign_Off workflow (3 levels: Assessor → ISO → CISO)</t>
        </is>
      </c>
    </row>
    <row r="24">
      <c r="A24" s="5" t="inlineStr">
        <is>
          <t>10. Repeat annually for continuous compliance</t>
        </is>
      </c>
    </row>
    <row r="26">
      <c r="A26" s="3" t="inlineStr">
        <is>
          <t>TEST TYPES EXPLAINED</t>
        </is>
      </c>
    </row>
    <row r="27">
      <c r="A27" s="6" t="inlineStr">
        <is>
          <t>Backup Restore:</t>
        </is>
      </c>
      <c r="B27" s="5" t="inlineStr">
        <is>
          <t>Test restoring data from backup - verify RPO capability (A.5.30)</t>
        </is>
      </c>
    </row>
    <row r="28">
      <c r="A28" s="6" t="inlineStr">
        <is>
          <t>Failover Test:</t>
        </is>
      </c>
      <c r="B28" s="5" t="inlineStr">
        <is>
          <t>Test switching to redundant system - verify RTO capability (A.8.14)</t>
        </is>
      </c>
    </row>
    <row r="29">
      <c r="A29" s="6" t="inlineStr">
        <is>
          <t>Full DR Scenario:</t>
        </is>
      </c>
      <c r="B29" s="5" t="inlineStr">
        <is>
          <t>End-to-end disaster recovery test - complete system recovery (A.5.30)</t>
        </is>
      </c>
    </row>
    <row r="30">
      <c r="A30" s="6" t="inlineStr">
        <is>
          <t>Tabletop Exercise:</t>
        </is>
      </c>
      <c r="B30" s="5" t="inlineStr">
        <is>
          <t>Discussion-based walkthrough of DR procedures (no actual execution)</t>
        </is>
      </c>
    </row>
    <row r="31">
      <c r="A31" s="6" t="inlineStr">
        <is>
          <t>Component Test:</t>
        </is>
      </c>
      <c r="B31" s="5" t="inlineStr">
        <is>
          <t>Test individual component (e.g., database restore only)</t>
        </is>
      </c>
    </row>
    <row r="32">
      <c r="A32" s="6" t="inlineStr">
        <is>
          <t>Integration Test:</t>
        </is>
      </c>
      <c r="B32" s="5" t="inlineStr">
        <is>
          <t>Test multiple components together (e.g., app + database recovery)</t>
        </is>
      </c>
    </row>
    <row r="34">
      <c r="A34" s="3" t="inlineStr">
        <is>
          <t>WORKSHEET DESCRIPTIONS</t>
        </is>
      </c>
    </row>
    <row r="35">
      <c r="A35" s="6" t="inlineStr">
        <is>
          <t>Instructions:</t>
        </is>
      </c>
      <c r="B35" s="5" t="inlineStr">
        <is>
          <t>This sheet - comprehensive usage guide</t>
        </is>
      </c>
    </row>
    <row r="36">
      <c r="A36" s="6" t="inlineStr">
        <is>
          <t>Summary:</t>
        </is>
      </c>
      <c r="B36" s="5" t="inlineStr">
        <is>
          <t>Executive dashboard with testing compliance metrics</t>
        </is>
      </c>
    </row>
    <row r="37">
      <c r="A37" s="6" t="inlineStr">
        <is>
          <t>Test_Schedule:</t>
        </is>
      </c>
      <c r="B37" s="5" t="inlineStr">
        <is>
          <t>Annual test plan - what tests to perform when (110 rows)</t>
        </is>
      </c>
    </row>
    <row r="38">
      <c r="A38" s="6" t="inlineStr">
        <is>
          <t>Test_Results_Log:</t>
        </is>
      </c>
      <c r="B38" s="5" t="inlineStr">
        <is>
          <t>All test executions - actual test results (110 rows)</t>
        </is>
      </c>
    </row>
    <row r="39">
      <c r="A39" s="6" t="inlineStr">
        <is>
          <t>Issue_Remediation:</t>
        </is>
      </c>
      <c r="B39" s="5" t="inlineStr">
        <is>
          <t>Issues discovered during testing - track to closure (110 rows)</t>
        </is>
      </c>
    </row>
    <row r="40">
      <c r="A40" s="6" t="inlineStr">
        <is>
          <t>Testing_Compliance:</t>
        </is>
      </c>
      <c r="B40" s="5" t="inlineStr">
        <is>
          <t>Annual compliance assessment - are we testing enough? (110 rows)</t>
        </is>
      </c>
    </row>
    <row r="41">
      <c r="A41" s="6" t="inlineStr">
        <is>
          <t>Evidence_Register:</t>
        </is>
      </c>
      <c r="B41" s="5" t="inlineStr">
        <is>
          <t>100 evidence slots for audit traceability (minimum 5 required)</t>
        </is>
      </c>
    </row>
    <row r="42">
      <c r="A42" s="6" t="inlineStr">
        <is>
          <t>Approval_Sign_Off:</t>
        </is>
      </c>
      <c r="B42" s="5" t="inlineStr">
        <is>
          <t>3-level approval workflow (Assessor → ISO → CISO)</t>
        </is>
      </c>
    </row>
    <row r="44">
      <c r="A44" s="3" t="inlineStr">
        <is>
          <t>TESTING FREQUENCY GUIDELINES</t>
        </is>
      </c>
    </row>
    <row r="45">
      <c r="A45" s="6" t="inlineStr">
        <is>
          <t>TIER 1 - CRITICAL SYSTEMS:</t>
        </is>
      </c>
    </row>
    <row r="46">
      <c r="A46" s="5" t="inlineStr">
        <is>
          <t xml:space="preserve">  • Backup Restore: Quarterly (every 3 months)</t>
        </is>
      </c>
    </row>
    <row r="47">
      <c r="A47" s="5" t="inlineStr">
        <is>
          <t xml:space="preserve">  • Failover Test: Quarterly (every 3 months)</t>
        </is>
      </c>
    </row>
    <row r="48">
      <c r="A48" s="5" t="inlineStr">
        <is>
          <t xml:space="preserve">  • Full DR Scenario: Annual (at least once per year)</t>
        </is>
      </c>
    </row>
    <row r="49">
      <c r="A49" s="5" t="inlineStr"/>
    </row>
    <row r="50">
      <c r="A50" s="6" t="inlineStr">
        <is>
          <t>TIER 2 - IMPORTANT SYSTEMS:</t>
        </is>
      </c>
    </row>
    <row r="51">
      <c r="A51" s="5" t="inlineStr">
        <is>
          <t xml:space="preserve">  • Backup Restore: Semi-Annual (every 6 months)</t>
        </is>
      </c>
    </row>
    <row r="52">
      <c r="A52" s="5" t="inlineStr">
        <is>
          <t xml:space="preserve">  • Failover Test: Semi-Annual (every 6 months)</t>
        </is>
      </c>
    </row>
    <row r="53">
      <c r="A53" s="5" t="inlineStr">
        <is>
          <t xml:space="preserve">  • Full DR Scenario: Annual (at least once per year)</t>
        </is>
      </c>
    </row>
    <row r="54">
      <c r="A54" s="5" t="inlineStr"/>
    </row>
    <row r="55">
      <c r="A55" s="6" t="inlineStr">
        <is>
          <t>TIER 3 - STANDARD SYSTEMS:</t>
        </is>
      </c>
    </row>
    <row r="56">
      <c r="A56" s="5" t="inlineStr">
        <is>
          <t xml:space="preserve">  • Backup Restore: Annual (at least once per year)</t>
        </is>
      </c>
    </row>
    <row r="57">
      <c r="A57" s="5" t="inlineStr">
        <is>
          <t xml:space="preserve">  • Failover Test: Annual (if redundancy exists)</t>
        </is>
      </c>
    </row>
    <row r="58">
      <c r="A58" s="5" t="inlineStr"/>
    </row>
    <row r="59">
      <c r="A59" s="6" t="inlineStr">
        <is>
          <t>TIER 4 - LOW SYSTEMS:</t>
        </is>
      </c>
    </row>
    <row r="60">
      <c r="A60" s="5" t="inlineStr">
        <is>
          <t xml:space="preserve">  • Testing may be ad-hoc or not required (risk acceptance)</t>
        </is>
      </c>
    </row>
    <row r="62">
      <c r="A62" s="3" t="inlineStr">
        <is>
          <t>STATUS INDICATOR LEGEND</t>
        </is>
      </c>
    </row>
    <row r="63">
      <c r="A63" s="7" t="inlineStr">
        <is>
          <t>✅</t>
        </is>
      </c>
      <c r="B63" t="inlineStr">
        <is>
          <t>Success / Compliant / Closed / Verified</t>
        </is>
      </c>
    </row>
    <row r="64">
      <c r="A64" s="7" t="inlineStr">
        <is>
          <t>❌</t>
        </is>
      </c>
      <c r="B64" t="inlineStr">
        <is>
          <t>Failure / Non-Compliant / Open</t>
        </is>
      </c>
    </row>
    <row r="65">
      <c r="A65" s="7" t="inlineStr">
        <is>
          <t>⚠</t>
        </is>
      </c>
      <c r="B65" t="inlineStr">
        <is>
          <t>Partial Success / Overdue / Warning</t>
        </is>
      </c>
    </row>
    <row r="66">
      <c r="A66" s="7" t="inlineStr">
        <is>
          <t>⏳</t>
        </is>
      </c>
      <c r="B66" t="inlineStr">
        <is>
          <t>In Progress / Pending</t>
        </is>
      </c>
    </row>
    <row r="67">
      <c r="A67" s="7" t="inlineStr">
        <is>
          <t>❓</t>
        </is>
      </c>
      <c r="B67" t="inlineStr">
        <is>
          <t>Unknown / Not Tested</t>
        </is>
      </c>
    </row>
    <row r="68">
      <c r="A68" s="7" t="inlineStr">
        <is>
          <t>➖</t>
        </is>
      </c>
      <c r="B68" t="inlineStr">
        <is>
          <t>Not Started / Risk Accepted / Not Applicable</t>
        </is>
      </c>
    </row>
    <row r="69">
      <c r="A69" s="7" t="inlineStr">
        <is>
          <t>🔄</t>
        </is>
      </c>
      <c r="B69" t="inlineStr">
        <is>
          <t>Cancelled / Rescheduled</t>
        </is>
      </c>
    </row>
    <row r="70">
      <c r="A70" s="7" t="inlineStr">
        <is>
          <t>🔴</t>
        </is>
      </c>
      <c r="B70" t="inlineStr">
        <is>
          <t>Critical Severity / Open Issue</t>
        </is>
      </c>
    </row>
    <row r="71">
      <c r="A71" s="7" t="inlineStr">
        <is>
          <t>🟡</t>
        </is>
      </c>
      <c r="B71" t="inlineStr">
        <is>
          <t>High Severity</t>
        </is>
      </c>
    </row>
    <row r="72">
      <c r="A72" s="7" t="inlineStr">
        <is>
          <t>🟢</t>
        </is>
      </c>
      <c r="B72" t="inlineStr">
        <is>
          <t>Medium Severity</t>
        </is>
      </c>
    </row>
    <row r="73">
      <c r="A73" s="7" t="inlineStr">
        <is>
          <t>⚪</t>
        </is>
      </c>
      <c r="B73" t="inlineStr">
        <is>
          <t>Low Severity</t>
        </is>
      </c>
    </row>
    <row r="75">
      <c r="A75" s="8" t="inlineStr">
        <is>
          <t>CRITICAL TESTING REQUIREMENTS</t>
        </is>
      </c>
    </row>
    <row r="76">
      <c r="A76" s="9" t="inlineStr">
        <is>
          <t>❗ CRITICAL SYSTEMS: Tier 1 systems MUST be tested quarterly (backup &amp; failover)</t>
        </is>
      </c>
    </row>
    <row r="77">
      <c r="A77" s="9" t="inlineStr">
        <is>
          <t>❗ EVIDENCE: Minimum 5 evidence items required (test reports, logs, screenshots)</t>
        </is>
      </c>
    </row>
    <row r="78">
      <c r="A78" s="9" t="inlineStr">
        <is>
          <t>❗ ISSUES: All 🔴 Critical issues must have remediation plans</t>
        </is>
      </c>
    </row>
    <row r="79">
      <c r="A79" s="9" t="inlineStr">
        <is>
          <t>❗ APPROVAL: All 3 sign-off levels required (Assessor, ISO, CISO)</t>
        </is>
      </c>
    </row>
    <row r="80">
      <c r="A80" s="9" t="inlineStr">
        <is>
          <t>❗ ANNUAL DR: Full DR scenario test required at least once per year</t>
        </is>
      </c>
    </row>
    <row r="81">
      <c r="A81" s="9" t="inlineStr">
        <is>
          <t>❗ DOCUMENTATION: All tests must be documented with results (success/failure)</t>
        </is>
      </c>
    </row>
  </sheetData>
  <mergeCells count="8">
    <mergeCell ref="A14:F14"/>
    <mergeCell ref="A44:F44"/>
    <mergeCell ref="A1:F1"/>
    <mergeCell ref="A75:F75"/>
    <mergeCell ref="A8:F8"/>
    <mergeCell ref="A34:F34"/>
    <mergeCell ref="A62:F62"/>
    <mergeCell ref="A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1" t="inlineStr">
        <is>
          <t>BC/DR TESTING COMPLIANCE DASHBOARD</t>
        </is>
      </c>
    </row>
    <row r="2">
      <c r="A2" s="10" t="inlineStr">
        <is>
          <t>Assessment Date: 08.02.2026 | Assessment ID: ISMS-IMP-A.5.30.S4</t>
        </is>
      </c>
    </row>
    <row r="4">
      <c r="A4" s="3" t="inlineStr">
        <is>
          <t>TESTING ACTIVITY SUMMARY</t>
        </is>
      </c>
    </row>
    <row r="5">
      <c r="A5" s="6" t="inlineStr">
        <is>
          <t>Total Tests Scheduled:</t>
        </is>
      </c>
      <c r="B5" s="11">
        <f>COUNTA(Test_Schedule!A5:A114)</f>
        <v/>
      </c>
    </row>
    <row r="6">
      <c r="A6" s="6" t="inlineStr">
        <is>
          <t>Tests Completed (✅ Success):</t>
        </is>
      </c>
      <c r="B6" s="11">
        <f>COUNTIF(Test_Results_Log!F5:F114,"{CHECK}*")</f>
        <v/>
      </c>
    </row>
    <row r="7">
      <c r="A7" s="6" t="inlineStr">
        <is>
          <t>Tests Partial Success (⚠️):</t>
        </is>
      </c>
      <c r="B7" s="11">
        <f>COUNTIF(Test_Results_Log!F5:F114,"{WARNING}*")</f>
        <v/>
      </c>
    </row>
    <row r="8">
      <c r="A8" s="6" t="inlineStr">
        <is>
          <t>Tests Failed (❌):</t>
        </is>
      </c>
      <c r="B8" s="11">
        <f>COUNTIF(Test_Results_Log!F5:F114,"{XMARK}*")</f>
        <v/>
      </c>
    </row>
    <row r="9">
      <c r="A9" s="6" t="inlineStr">
        <is>
          <t>Tests In Progress (⏳):</t>
        </is>
      </c>
      <c r="B9" s="11">
        <f>COUNTIF(Test_Results_Log!F5:F114,"⏳*")</f>
        <v/>
      </c>
    </row>
    <row r="10">
      <c r="A10" s="6" t="inlineStr">
        <is>
          <t>Tests Not Started (➖):</t>
        </is>
      </c>
      <c r="B10" s="11">
        <f>COUNTIF(Test_Results_Log!F5:F114,"➖*")</f>
        <v/>
      </c>
    </row>
    <row r="12">
      <c r="A12" s="6" t="inlineStr">
        <is>
          <t>Test Success Rate:</t>
        </is>
      </c>
      <c r="B12" s="12">
        <f>IF(B5&gt;0,(B6+B7*0.5)/B5,0)</f>
        <v/>
      </c>
    </row>
    <row r="14">
      <c r="A14" s="3" t="inlineStr">
        <is>
          <t>TESTING COMPLIANCE BY CRITICALITY</t>
        </is>
      </c>
    </row>
    <row r="15">
      <c r="A15" s="6" t="inlineStr">
        <is>
          <t>Tier 1 - Critical Systems:</t>
        </is>
      </c>
      <c r="B15" s="13">
        <f>COUNTIF(Testing_Compliance!C5:C114,"Tier 1*")</f>
        <v/>
      </c>
    </row>
    <row r="16">
      <c r="A16" s="6" t="inlineStr">
        <is>
          <t>Tier 1 - Compliant:</t>
        </is>
      </c>
      <c r="B16" s="13">
        <f>SUMPRODUCT((Testing_Compliance!C5:C114="Tier 1 - Critical")*(Testing_Compliance!G5:G114="{CHECK} Compliant"))</f>
        <v/>
      </c>
    </row>
    <row r="17">
      <c r="A17" s="6" t="inlineStr">
        <is>
          <t>Tier 1 - Compliance Rate:</t>
        </is>
      </c>
      <c r="B17" s="14">
        <f>IF(B15&gt;0,B16/B15,0)</f>
        <v/>
      </c>
    </row>
    <row r="19">
      <c r="A19" s="6" t="inlineStr">
        <is>
          <t>Tier 2 - Important Systems:</t>
        </is>
      </c>
      <c r="B19" s="13">
        <f>COUNTIF(Testing_Compliance!C5:C114,"Tier 2*")</f>
        <v/>
      </c>
    </row>
    <row r="20">
      <c r="A20" s="6" t="inlineStr">
        <is>
          <t>Tier 2 - Compliant:</t>
        </is>
      </c>
      <c r="B20" s="13">
        <f>SUMPRODUCT((Testing_Compliance!C5:C114="Tier 2 - Important")*(Testing_Compliance!G5:G114="{CHECK} Compliant"))</f>
        <v/>
      </c>
    </row>
    <row r="21">
      <c r="A21" s="6" t="inlineStr">
        <is>
          <t>Tier 2 - Compliance Rate:</t>
        </is>
      </c>
      <c r="B21" s="14">
        <f>IF(B19&gt;0,B20/B19,0)</f>
        <v/>
      </c>
    </row>
    <row r="23">
      <c r="A23" s="3" t="inlineStr">
        <is>
          <t>ISSUE SUMMARY</t>
        </is>
      </c>
    </row>
    <row r="24">
      <c r="A24" s="6" t="inlineStr">
        <is>
          <t>Total Issues Identified:</t>
        </is>
      </c>
      <c r="B24" s="13">
        <f>COUNTA(Issue_Remediation!A5:A114)</f>
        <v/>
      </c>
    </row>
    <row r="25">
      <c r="A25" s="6" t="inlineStr">
        <is>
          <t>🔴 Critical Issues:</t>
        </is>
      </c>
      <c r="B25" s="13">
        <f>COUNTIF(Issue_Remediation!E5:E114,"🔴*")</f>
        <v/>
      </c>
    </row>
    <row r="26">
      <c r="A26" s="6" t="inlineStr">
        <is>
          <t>🟡 High Severity Issues:</t>
        </is>
      </c>
      <c r="B26" s="13">
        <f>COUNTIF(Issue_Remediation!E5:E114,"🟡*")</f>
        <v/>
      </c>
    </row>
    <row r="27">
      <c r="A27" s="6" t="inlineStr">
        <is>
          <t>🟢 Medium Severity Issues:</t>
        </is>
      </c>
      <c r="B27" s="13">
        <f>COUNTIF(Issue_Remediation!E5:E114,"🟢*")</f>
        <v/>
      </c>
    </row>
    <row r="28">
      <c r="A28" s="6" t="inlineStr">
        <is>
          <t>⚪ Low Severity Issues:</t>
        </is>
      </c>
      <c r="B28" s="13">
        <f>COUNTIF(Issue_Remediation!E5:E114,"⚪*")</f>
        <v/>
      </c>
    </row>
    <row r="30">
      <c r="A30" s="6" t="inlineStr">
        <is>
          <t>Open Issues (🔴):</t>
        </is>
      </c>
      <c r="B30" s="13">
        <f>COUNTIF(Issue_Remediation!F5:F114,"🔴*")</f>
        <v/>
      </c>
    </row>
    <row r="31">
      <c r="A31" s="6" t="inlineStr">
        <is>
          <t>In Progress (⏳):</t>
        </is>
      </c>
      <c r="B31" s="13">
        <f>COUNTIF(Issue_Remediation!F5:F114,"⏳*")</f>
        <v/>
      </c>
    </row>
    <row r="32">
      <c r="A32" s="6" t="inlineStr">
        <is>
          <t>Closed Issues (✅):</t>
        </is>
      </c>
      <c r="B32" s="13">
        <f>COUNTIF(Issue_Remediation!F5:F114,"{CHECK}*")</f>
        <v/>
      </c>
    </row>
    <row r="34">
      <c r="A34" s="3" t="inlineStr">
        <is>
          <t>EVIDENCE &amp; APPROVAL STATUS</t>
        </is>
      </c>
    </row>
    <row r="35">
      <c r="A35" s="6" t="inlineStr">
        <is>
          <t>Evidence Items Collected:</t>
        </is>
      </c>
      <c r="B35" s="13">
        <f>COUNTA(Evidence_Register!A5:A104)</f>
        <v/>
      </c>
    </row>
    <row r="36">
      <c r="A36" s="6" t="inlineStr">
        <is>
          <t>Verified Evidence:</t>
        </is>
      </c>
      <c r="B36" s="13">
        <f>COUNTIF(Evidence_Register!H5:H104,"{CHECK}*")</f>
        <v/>
      </c>
    </row>
    <row r="37">
      <c r="A37" s="6" t="inlineStr">
        <is>
          <t>Minimum Evidence Required:</t>
        </is>
      </c>
      <c r="B37" s="15" t="inlineStr">
        <is>
          <t>5</t>
        </is>
      </c>
    </row>
    <row r="38">
      <c r="A38" s="6" t="inlineStr">
        <is>
          <t>Evidence Compliance:</t>
        </is>
      </c>
      <c r="B38" s="13">
        <f>IF(B39&gt;=B41,"{CHECK} Sufficient","{XMARK} Insufficient")</f>
        <v/>
      </c>
    </row>
    <row r="40">
      <c r="A40" s="6" t="inlineStr">
        <is>
          <t>Assessment Status:</t>
        </is>
      </c>
      <c r="B40" s="13">
        <f>Approval_Sign_Off!B14</f>
        <v/>
      </c>
    </row>
    <row r="41">
      <c r="A41" s="6" t="inlineStr">
        <is>
          <t>Level 1 - Assessor Completed:</t>
        </is>
      </c>
      <c r="B41" s="13">
        <f>IF(Approval_Sign_Off!B26&lt;&gt;"","{CHECK} Complete","⏳ Pending")</f>
        <v/>
      </c>
    </row>
    <row r="42">
      <c r="A42" s="6" t="inlineStr">
        <is>
          <t>Level 2 - ISO Review:</t>
        </is>
      </c>
      <c r="B42" s="13">
        <f>IF(Approval_Sign_Off!B37&lt;&gt;"","{CHECK} Complete","⏳ Pending")</f>
        <v/>
      </c>
    </row>
    <row r="43">
      <c r="A43" s="6" t="inlineStr">
        <is>
          <t>Level 3 - CISO Approval:</t>
        </is>
      </c>
      <c r="B43" s="13">
        <f>IF(Approval_Sign_Off!B49&lt;&gt;"","{CHECK} Complete","⏳ Pending")</f>
        <v/>
      </c>
    </row>
    <row r="45">
      <c r="A45" s="3" t="inlineStr">
        <is>
          <t>PRIORITY ACTIONS</t>
        </is>
      </c>
    </row>
    <row r="46">
      <c r="A46" s="5" t="inlineStr">
        <is>
          <t>1. Address all 🔴 Critical issues discovered during testing</t>
        </is>
      </c>
    </row>
    <row r="47">
      <c r="A47" s="5" t="inlineStr">
        <is>
          <t>2. Complete all overdue tests (⚠️ Overdue in Testing_Compliance)</t>
        </is>
      </c>
    </row>
    <row r="48">
      <c r="A48" s="5" t="inlineStr">
        <is>
          <t>3. Schedule quarterly tests for Tier 1 systems</t>
        </is>
      </c>
    </row>
    <row r="49">
      <c r="A49" s="5" t="inlineStr">
        <is>
          <t>4. Remediate test failures (❌ Failed tests in Test_Results_Log)</t>
        </is>
      </c>
    </row>
    <row r="50">
      <c r="A50" s="5" t="inlineStr">
        <is>
          <t>5. Document lessons learned from partial successes (⚠️)</t>
        </is>
      </c>
    </row>
    <row r="51">
      <c r="A51" s="5" t="inlineStr">
        <is>
          <t>6. Collect minimum 5 evidence items in Evidence_Register</t>
        </is>
      </c>
    </row>
    <row r="52">
      <c r="A52" s="5" t="inlineStr">
        <is>
          <t>7. Complete all 3 approval levels (Assessor → ISO → CISO)</t>
        </is>
      </c>
    </row>
    <row r="53">
      <c r="A53" s="5" t="inlineStr">
        <is>
          <t>8. Plan next annual full DR scenario test</t>
        </is>
      </c>
    </row>
    <row r="54">
      <c r="A54" s="5" t="inlineStr">
        <is>
          <t>9. Update runbooks based on test findings</t>
        </is>
      </c>
    </row>
  </sheetData>
  <mergeCells count="7">
    <mergeCell ref="A34:E34"/>
    <mergeCell ref="A4:E4"/>
    <mergeCell ref="A2:E2"/>
    <mergeCell ref="A1:E1"/>
    <mergeCell ref="A23:E23"/>
    <mergeCell ref="A45:E45"/>
    <mergeCell ref="A14:E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3"/>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18" customWidth="1" min="4" max="4"/>
    <col width="18" customWidth="1" min="5" max="5"/>
    <col width="15" customWidth="1" min="6" max="6"/>
    <col width="20" customWidth="1" min="7" max="7"/>
    <col width="40" customWidth="1" min="8" max="8"/>
  </cols>
  <sheetData>
    <row r="1" ht="30" customHeight="1">
      <c r="A1" s="16" t="inlineStr">
        <is>
          <t>BC/DR TEST SCHEDULE (Annual Plan)</t>
        </is>
      </c>
    </row>
    <row r="2">
      <c r="A2" s="3" t="inlineStr">
        <is>
          <t>Define annual test plan - what tests to perform when (schedule all required tests)</t>
        </is>
      </c>
    </row>
    <row r="4">
      <c r="A4" s="17" t="inlineStr">
        <is>
          <t>Test ID</t>
        </is>
      </c>
      <c r="B4" s="17" t="inlineStr">
        <is>
          <t>System Name</t>
        </is>
      </c>
      <c r="C4" s="17" t="inlineStr">
        <is>
          <t>Test Type</t>
        </is>
      </c>
      <c r="D4" s="17" t="inlineStr">
        <is>
          <t>Criticality</t>
        </is>
      </c>
      <c r="E4" s="17" t="inlineStr">
        <is>
          <t>Required Frequency</t>
        </is>
      </c>
      <c r="F4" s="17" t="inlineStr">
        <is>
          <t>Scheduled Date</t>
        </is>
      </c>
      <c r="G4" s="17" t="inlineStr">
        <is>
          <t>Test Owner</t>
        </is>
      </c>
      <c r="H4" s="17" t="inlineStr">
        <is>
          <t>Notes / Prerequisites</t>
        </is>
      </c>
    </row>
    <row r="5">
      <c r="A5" s="18" t="inlineStr">
        <is>
          <t>TEST-001</t>
        </is>
      </c>
      <c r="B5" s="19" t="n"/>
      <c r="C5" s="19" t="inlineStr">
        <is>
          <t>E-Commerce Website</t>
        </is>
      </c>
      <c r="D5" s="20" t="inlineStr">
        <is>
          <t>Backup Restore</t>
        </is>
      </c>
      <c r="E5" s="20" t="inlineStr">
        <is>
          <t>Tier 1 - Critical</t>
        </is>
      </c>
      <c r="F5" s="21" t="inlineStr">
        <is>
          <t>Quarterly</t>
        </is>
      </c>
      <c r="G5" s="19" t="inlineStr">
        <is>
          <t>23.02.2026</t>
        </is>
      </c>
      <c r="H5" s="19" t="inlineStr">
        <is>
          <t>Infrastructure Team</t>
        </is>
      </c>
      <c r="I5" s="19" t="inlineStr">
        <is>
          <t>Restore full website DB, verify data integrity, test 4hr restore time</t>
        </is>
      </c>
    </row>
    <row r="6">
      <c r="A6" s="18" t="inlineStr">
        <is>
          <t>TEST-002</t>
        </is>
      </c>
      <c r="B6" s="19" t="n"/>
      <c r="C6" s="19" t="inlineStr">
        <is>
          <t>E-Commerce Website</t>
        </is>
      </c>
      <c r="D6" s="20" t="inlineStr">
        <is>
          <t>Failover Test</t>
        </is>
      </c>
      <c r="E6" s="20" t="inlineStr">
        <is>
          <t>Tier 1 - Critical</t>
        </is>
      </c>
      <c r="F6" s="21" t="inlineStr">
        <is>
          <t>Quarterly</t>
        </is>
      </c>
      <c r="G6" s="19" t="inlineStr">
        <is>
          <t>25.03.2026</t>
        </is>
      </c>
      <c r="H6" s="19" t="inlineStr">
        <is>
          <t>Infrastructure Team</t>
        </is>
      </c>
      <c r="I6" s="19" t="inlineStr">
        <is>
          <t>Test Active-Passive cluster failover, verify &lt;30min RTO</t>
        </is>
      </c>
    </row>
    <row r="7">
      <c r="A7" s="18" t="inlineStr">
        <is>
          <t>TEST-003</t>
        </is>
      </c>
      <c r="B7" s="19" t="n"/>
      <c r="C7" s="19" t="inlineStr">
        <is>
          <t>Payment Gateway</t>
        </is>
      </c>
      <c r="D7" s="20" t="inlineStr">
        <is>
          <t>Failover Test</t>
        </is>
      </c>
      <c r="E7" s="20" t="inlineStr">
        <is>
          <t>Tier 1 - Critical</t>
        </is>
      </c>
      <c r="F7" s="21" t="inlineStr">
        <is>
          <t>Quarterly</t>
        </is>
      </c>
      <c r="G7" s="19" t="inlineStr">
        <is>
          <t>10.03.2026</t>
        </is>
      </c>
      <c r="H7" s="19" t="inlineStr">
        <is>
          <t>Payments Team</t>
        </is>
      </c>
      <c r="I7" s="19" t="inlineStr">
        <is>
          <t>Test Active-Active failover, critical system, must coordinate with processor</t>
        </is>
      </c>
    </row>
    <row r="8">
      <c r="A8" s="18" t="inlineStr">
        <is>
          <t>TEST-004</t>
        </is>
      </c>
      <c r="B8" s="19" t="n"/>
      <c r="C8" s="19" t="inlineStr">
        <is>
          <t>Email System</t>
        </is>
      </c>
      <c r="D8" s="20" t="inlineStr">
        <is>
          <t>Backup Restore</t>
        </is>
      </c>
      <c r="E8" s="20" t="inlineStr">
        <is>
          <t>Tier 1 - Critical</t>
        </is>
      </c>
      <c r="F8" s="21" t="inlineStr">
        <is>
          <t>Quarterly</t>
        </is>
      </c>
      <c r="G8" s="19" t="inlineStr">
        <is>
          <t>09.04.2026</t>
        </is>
      </c>
      <c r="H8" s="19" t="inlineStr">
        <is>
          <t>IT Operations</t>
        </is>
      </c>
      <c r="I8" s="19" t="inlineStr">
        <is>
          <t>Restore mailbox data, test 12hr restore time, verify user access</t>
        </is>
      </c>
    </row>
    <row r="9">
      <c r="A9" s="18" t="inlineStr">
        <is>
          <t>TEST-005</t>
        </is>
      </c>
      <c r="B9" s="19" t="n"/>
      <c r="C9" s="19" t="inlineStr">
        <is>
          <t>CRM System</t>
        </is>
      </c>
      <c r="D9" s="20" t="inlineStr">
        <is>
          <t>Backup Restore</t>
        </is>
      </c>
      <c r="E9" s="20" t="inlineStr">
        <is>
          <t>Tier 1 - Critical</t>
        </is>
      </c>
      <c r="F9" s="21" t="inlineStr">
        <is>
          <t>Quarterly</t>
        </is>
      </c>
      <c r="G9" s="19" t="inlineStr">
        <is>
          <t>24.04.2026</t>
        </is>
      </c>
      <c r="H9" s="19" t="inlineStr">
        <is>
          <t>App Support Team</t>
        </is>
      </c>
      <c r="I9" s="19" t="inlineStr">
        <is>
          <t>Restore CRM DB, verify integrations work, test 8hr restore time</t>
        </is>
      </c>
    </row>
    <row r="10">
      <c r="A10" s="18" t="inlineStr">
        <is>
          <t>TEST-006</t>
        </is>
      </c>
      <c r="B10" s="19" t="n"/>
      <c r="C10" s="19" t="inlineStr">
        <is>
          <t>ERP System</t>
        </is>
      </c>
      <c r="D10" s="20" t="inlineStr">
        <is>
          <t>Backup Restore</t>
        </is>
      </c>
      <c r="E10" s="20" t="inlineStr">
        <is>
          <t>Tier 2 - Important</t>
        </is>
      </c>
      <c r="F10" s="21" t="inlineStr">
        <is>
          <t>Semi-Annual</t>
        </is>
      </c>
      <c r="G10" s="19" t="inlineStr">
        <is>
          <t>09.05.2026</t>
        </is>
      </c>
      <c r="H10" s="19" t="inlineStr">
        <is>
          <t>ERP Team</t>
        </is>
      </c>
      <c r="I10" s="19" t="inlineStr">
        <is>
          <t>Restore ERP DB, complex dependencies, test 8hr restore, schedule during low activity</t>
        </is>
      </c>
    </row>
    <row r="11">
      <c r="A11" s="18" t="inlineStr">
        <is>
          <t>TEST-007</t>
        </is>
      </c>
      <c r="B11" s="19" t="n"/>
      <c r="C11" s="19" t="inlineStr">
        <is>
          <t>HR Information System</t>
        </is>
      </c>
      <c r="D11" s="20" t="inlineStr">
        <is>
          <t>Backup Restore</t>
        </is>
      </c>
      <c r="E11" s="20" t="inlineStr">
        <is>
          <t>Tier 2 - Important</t>
        </is>
      </c>
      <c r="F11" s="21" t="inlineStr">
        <is>
          <t>Semi-Annual</t>
        </is>
      </c>
      <c r="G11" s="19" t="inlineStr">
        <is>
          <t>08.06.2026</t>
        </is>
      </c>
      <c r="H11" s="19" t="inlineStr">
        <is>
          <t>HR IT Team</t>
        </is>
      </c>
      <c r="I11" s="19" t="inlineStr">
        <is>
          <t>Restore HR DB, sensitive data, coordinate with CISO, test 20hr restore</t>
        </is>
      </c>
    </row>
    <row r="12">
      <c r="A12" s="18" t="inlineStr">
        <is>
          <t>TEST-008</t>
        </is>
      </c>
      <c r="B12" s="19" t="n"/>
      <c r="C12" s="19" t="inlineStr">
        <is>
          <t>All Critical Systems</t>
        </is>
      </c>
      <c r="D12" s="20" t="inlineStr">
        <is>
          <t>Full DR Scenario</t>
        </is>
      </c>
      <c r="E12" s="20" t="inlineStr">
        <is>
          <t>Tier 1 - Critical</t>
        </is>
      </c>
      <c r="F12" s="21" t="inlineStr">
        <is>
          <t>Annual</t>
        </is>
      </c>
      <c r="G12" s="19" t="inlineStr">
        <is>
          <t>07.08.2026</t>
        </is>
      </c>
      <c r="H12" s="19" t="inlineStr">
        <is>
          <t>BC/DR Coordinator</t>
        </is>
      </c>
      <c r="I12" s="19" t="inlineStr">
        <is>
          <t>Full DR exercise - simulate datacenter loss, recover all Tier 1 systems</t>
        </is>
      </c>
    </row>
    <row r="13">
      <c r="A13" s="18" t="inlineStr">
        <is>
          <t>TEST-009</t>
        </is>
      </c>
      <c r="B13" s="19" t="n"/>
      <c r="C13" s="19" t="inlineStr">
        <is>
          <t>File Server</t>
        </is>
      </c>
      <c r="D13" s="20" t="inlineStr">
        <is>
          <t>Backup Restore</t>
        </is>
      </c>
      <c r="E13" s="20" t="inlineStr">
        <is>
          <t>Tier 3 - Standard</t>
        </is>
      </c>
      <c r="F13" s="21" t="inlineStr">
        <is>
          <t>Annual</t>
        </is>
      </c>
      <c r="G13" s="19" t="inlineStr">
        <is>
          <t>06.09.2026</t>
        </is>
      </c>
      <c r="H13" s="19" t="inlineStr">
        <is>
          <t>IT Operations</t>
        </is>
      </c>
      <c r="I13" s="19" t="inlineStr">
        <is>
          <t>Restore file share, test 24hr restore time, low priority</t>
        </is>
      </c>
    </row>
    <row r="14">
      <c r="A14" s="18" t="inlineStr">
        <is>
          <t>TEST-010</t>
        </is>
      </c>
      <c r="B14" s="19" t="n"/>
      <c r="C14" s="19" t="inlineStr">
        <is>
          <t>BC/DR Team</t>
        </is>
      </c>
      <c r="D14" s="20" t="inlineStr">
        <is>
          <t>Tabletop Exercise</t>
        </is>
      </c>
      <c r="E14" s="20" t="inlineStr">
        <is>
          <t>Tier 1 - Critical</t>
        </is>
      </c>
      <c r="F14" s="21" t="inlineStr">
        <is>
          <t>Annual</t>
        </is>
      </c>
      <c r="G14" s="19" t="inlineStr">
        <is>
          <t>10.03.2026</t>
        </is>
      </c>
      <c r="H14" s="19" t="inlineStr">
        <is>
          <t>BC/DR Coordinator</t>
        </is>
      </c>
      <c r="I14" s="19" t="inlineStr">
        <is>
          <t>Walkthrough DR procedures with stakeholders, no actual execution</t>
        </is>
      </c>
    </row>
    <row r="15">
      <c r="A15" s="18" t="inlineStr">
        <is>
          <t>TEST-011</t>
        </is>
      </c>
      <c r="B15" s="22" t="n"/>
      <c r="C15" s="20" t="n"/>
      <c r="D15" s="20" t="n"/>
      <c r="E15" s="20" t="n"/>
      <c r="F15" s="23" t="n"/>
      <c r="G15" s="22" t="n"/>
      <c r="H15" s="22" t="n"/>
    </row>
    <row r="16">
      <c r="A16" s="18" t="inlineStr">
        <is>
          <t>TEST-012</t>
        </is>
      </c>
      <c r="B16" s="22" t="n"/>
      <c r="C16" s="20" t="n"/>
      <c r="D16" s="20" t="n"/>
      <c r="E16" s="20" t="n"/>
      <c r="F16" s="23" t="n"/>
      <c r="G16" s="22" t="n"/>
      <c r="H16" s="22" t="n"/>
    </row>
    <row r="17">
      <c r="A17" s="18" t="inlineStr">
        <is>
          <t>TEST-013</t>
        </is>
      </c>
      <c r="B17" s="22" t="n"/>
      <c r="C17" s="20" t="n"/>
      <c r="D17" s="20" t="n"/>
      <c r="E17" s="20" t="n"/>
      <c r="F17" s="23" t="n"/>
      <c r="G17" s="22" t="n"/>
      <c r="H17" s="22" t="n"/>
    </row>
    <row r="18">
      <c r="A18" s="18" t="inlineStr">
        <is>
          <t>TEST-014</t>
        </is>
      </c>
      <c r="B18" s="22" t="n"/>
      <c r="C18" s="20" t="n"/>
      <c r="D18" s="20" t="n"/>
      <c r="E18" s="20" t="n"/>
      <c r="F18" s="23" t="n"/>
      <c r="G18" s="22" t="n"/>
      <c r="H18" s="22" t="n"/>
    </row>
    <row r="19">
      <c r="A19" s="18" t="inlineStr">
        <is>
          <t>TEST-015</t>
        </is>
      </c>
      <c r="B19" s="22" t="n"/>
      <c r="C19" s="20" t="n"/>
      <c r="D19" s="20" t="n"/>
      <c r="E19" s="20" t="n"/>
      <c r="F19" s="23" t="n"/>
      <c r="G19" s="22" t="n"/>
      <c r="H19" s="22" t="n"/>
    </row>
    <row r="20">
      <c r="A20" s="18" t="inlineStr">
        <is>
          <t>TEST-016</t>
        </is>
      </c>
      <c r="B20" s="22" t="n"/>
      <c r="C20" s="20" t="n"/>
      <c r="D20" s="20" t="n"/>
      <c r="E20" s="20" t="n"/>
      <c r="F20" s="23" t="n"/>
      <c r="G20" s="22" t="n"/>
      <c r="H20" s="22" t="n"/>
    </row>
    <row r="21">
      <c r="A21" s="18" t="inlineStr">
        <is>
          <t>TEST-017</t>
        </is>
      </c>
      <c r="B21" s="22" t="n"/>
      <c r="C21" s="20" t="n"/>
      <c r="D21" s="20" t="n"/>
      <c r="E21" s="20" t="n"/>
      <c r="F21" s="23" t="n"/>
      <c r="G21" s="22" t="n"/>
      <c r="H21" s="22" t="n"/>
    </row>
    <row r="22">
      <c r="A22" s="18" t="inlineStr">
        <is>
          <t>TEST-018</t>
        </is>
      </c>
      <c r="B22" s="22" t="n"/>
      <c r="C22" s="20" t="n"/>
      <c r="D22" s="20" t="n"/>
      <c r="E22" s="20" t="n"/>
      <c r="F22" s="23" t="n"/>
      <c r="G22" s="22" t="n"/>
      <c r="H22" s="22" t="n"/>
    </row>
    <row r="23">
      <c r="A23" s="18" t="inlineStr">
        <is>
          <t>TEST-019</t>
        </is>
      </c>
      <c r="B23" s="22" t="n"/>
      <c r="C23" s="20" t="n"/>
      <c r="D23" s="20" t="n"/>
      <c r="E23" s="20" t="n"/>
      <c r="F23" s="23" t="n"/>
      <c r="G23" s="22" t="n"/>
      <c r="H23" s="22" t="n"/>
    </row>
    <row r="24">
      <c r="A24" s="18" t="inlineStr">
        <is>
          <t>TEST-020</t>
        </is>
      </c>
      <c r="B24" s="22" t="n"/>
      <c r="C24" s="20" t="n"/>
      <c r="D24" s="20" t="n"/>
      <c r="E24" s="20" t="n"/>
      <c r="F24" s="23" t="n"/>
      <c r="G24" s="22" t="n"/>
      <c r="H24" s="22" t="n"/>
    </row>
    <row r="25">
      <c r="A25" s="18" t="inlineStr">
        <is>
          <t>TEST-021</t>
        </is>
      </c>
      <c r="B25" s="22" t="n"/>
      <c r="C25" s="20" t="n"/>
      <c r="D25" s="20" t="n"/>
      <c r="E25" s="20" t="n"/>
      <c r="F25" s="23" t="n"/>
      <c r="G25" s="22" t="n"/>
      <c r="H25" s="22" t="n"/>
    </row>
    <row r="26">
      <c r="A26" s="18" t="inlineStr">
        <is>
          <t>TEST-022</t>
        </is>
      </c>
      <c r="B26" s="22" t="n"/>
      <c r="C26" s="20" t="n"/>
      <c r="D26" s="20" t="n"/>
      <c r="E26" s="20" t="n"/>
      <c r="F26" s="23" t="n"/>
      <c r="G26" s="22" t="n"/>
      <c r="H26" s="22" t="n"/>
    </row>
    <row r="27">
      <c r="A27" s="18" t="inlineStr">
        <is>
          <t>TEST-023</t>
        </is>
      </c>
      <c r="B27" s="22" t="n"/>
      <c r="C27" s="20" t="n"/>
      <c r="D27" s="20" t="n"/>
      <c r="E27" s="20" t="n"/>
      <c r="F27" s="23" t="n"/>
      <c r="G27" s="22" t="n"/>
      <c r="H27" s="22" t="n"/>
    </row>
    <row r="28">
      <c r="A28" s="18" t="inlineStr">
        <is>
          <t>TEST-024</t>
        </is>
      </c>
      <c r="B28" s="22" t="n"/>
      <c r="C28" s="20" t="n"/>
      <c r="D28" s="20" t="n"/>
      <c r="E28" s="20" t="n"/>
      <c r="F28" s="23" t="n"/>
      <c r="G28" s="22" t="n"/>
      <c r="H28" s="22" t="n"/>
    </row>
    <row r="29">
      <c r="A29" s="18" t="inlineStr">
        <is>
          <t>TEST-025</t>
        </is>
      </c>
      <c r="B29" s="22" t="n"/>
      <c r="C29" s="20" t="n"/>
      <c r="D29" s="20" t="n"/>
      <c r="E29" s="20" t="n"/>
      <c r="F29" s="23" t="n"/>
      <c r="G29" s="22" t="n"/>
      <c r="H29" s="22" t="n"/>
    </row>
    <row r="30">
      <c r="A30" s="18" t="inlineStr">
        <is>
          <t>TEST-026</t>
        </is>
      </c>
      <c r="B30" s="22" t="n"/>
      <c r="C30" s="20" t="n"/>
      <c r="D30" s="20" t="n"/>
      <c r="E30" s="20" t="n"/>
      <c r="F30" s="23" t="n"/>
      <c r="G30" s="22" t="n"/>
      <c r="H30" s="22" t="n"/>
    </row>
    <row r="31">
      <c r="A31" s="18" t="inlineStr">
        <is>
          <t>TEST-027</t>
        </is>
      </c>
      <c r="B31" s="22" t="n"/>
      <c r="C31" s="20" t="n"/>
      <c r="D31" s="20" t="n"/>
      <c r="E31" s="20" t="n"/>
      <c r="F31" s="23" t="n"/>
      <c r="G31" s="22" t="n"/>
      <c r="H31" s="22" t="n"/>
    </row>
    <row r="32">
      <c r="A32" s="18" t="inlineStr">
        <is>
          <t>TEST-028</t>
        </is>
      </c>
      <c r="B32" s="22" t="n"/>
      <c r="C32" s="20" t="n"/>
      <c r="D32" s="20" t="n"/>
      <c r="E32" s="20" t="n"/>
      <c r="F32" s="23" t="n"/>
      <c r="G32" s="22" t="n"/>
      <c r="H32" s="22" t="n"/>
    </row>
    <row r="33">
      <c r="A33" s="18" t="inlineStr">
        <is>
          <t>TEST-029</t>
        </is>
      </c>
      <c r="B33" s="22" t="n"/>
      <c r="C33" s="20" t="n"/>
      <c r="D33" s="20" t="n"/>
      <c r="E33" s="20" t="n"/>
      <c r="F33" s="23" t="n"/>
      <c r="G33" s="22" t="n"/>
      <c r="H33" s="22" t="n"/>
    </row>
    <row r="34">
      <c r="A34" s="18" t="inlineStr">
        <is>
          <t>TEST-030</t>
        </is>
      </c>
      <c r="B34" s="22" t="n"/>
      <c r="C34" s="20" t="n"/>
      <c r="D34" s="20" t="n"/>
      <c r="E34" s="20" t="n"/>
      <c r="F34" s="23" t="n"/>
      <c r="G34" s="22" t="n"/>
      <c r="H34" s="22" t="n"/>
    </row>
    <row r="35">
      <c r="A35" s="18" t="inlineStr">
        <is>
          <t>TEST-031</t>
        </is>
      </c>
      <c r="B35" s="22" t="n"/>
      <c r="C35" s="20" t="n"/>
      <c r="D35" s="20" t="n"/>
      <c r="E35" s="20" t="n"/>
      <c r="F35" s="23" t="n"/>
      <c r="G35" s="22" t="n"/>
      <c r="H35" s="22" t="n"/>
    </row>
    <row r="36">
      <c r="A36" s="18" t="inlineStr">
        <is>
          <t>TEST-032</t>
        </is>
      </c>
      <c r="B36" s="22" t="n"/>
      <c r="C36" s="20" t="n"/>
      <c r="D36" s="20" t="n"/>
      <c r="E36" s="20" t="n"/>
      <c r="F36" s="23" t="n"/>
      <c r="G36" s="22" t="n"/>
      <c r="H36" s="22" t="n"/>
    </row>
    <row r="37">
      <c r="A37" s="18" t="inlineStr">
        <is>
          <t>TEST-033</t>
        </is>
      </c>
      <c r="B37" s="22" t="n"/>
      <c r="C37" s="20" t="n"/>
      <c r="D37" s="20" t="n"/>
      <c r="E37" s="20" t="n"/>
      <c r="F37" s="23" t="n"/>
      <c r="G37" s="22" t="n"/>
      <c r="H37" s="22" t="n"/>
    </row>
    <row r="38">
      <c r="A38" s="18" t="inlineStr">
        <is>
          <t>TEST-034</t>
        </is>
      </c>
      <c r="B38" s="22" t="n"/>
      <c r="C38" s="20" t="n"/>
      <c r="D38" s="20" t="n"/>
      <c r="E38" s="20" t="n"/>
      <c r="F38" s="23" t="n"/>
      <c r="G38" s="22" t="n"/>
      <c r="H38" s="22" t="n"/>
    </row>
    <row r="39">
      <c r="A39" s="18" t="inlineStr">
        <is>
          <t>TEST-035</t>
        </is>
      </c>
      <c r="B39" s="22" t="n"/>
      <c r="C39" s="20" t="n"/>
      <c r="D39" s="20" t="n"/>
      <c r="E39" s="20" t="n"/>
      <c r="F39" s="23" t="n"/>
      <c r="G39" s="22" t="n"/>
      <c r="H39" s="22" t="n"/>
    </row>
    <row r="40">
      <c r="A40" s="18" t="inlineStr">
        <is>
          <t>TEST-036</t>
        </is>
      </c>
      <c r="B40" s="22" t="n"/>
      <c r="C40" s="20" t="n"/>
      <c r="D40" s="20" t="n"/>
      <c r="E40" s="20" t="n"/>
      <c r="F40" s="23" t="n"/>
      <c r="G40" s="22" t="n"/>
      <c r="H40" s="22" t="n"/>
    </row>
    <row r="41">
      <c r="A41" s="18" t="inlineStr">
        <is>
          <t>TEST-037</t>
        </is>
      </c>
      <c r="B41" s="22" t="n"/>
      <c r="C41" s="20" t="n"/>
      <c r="D41" s="20" t="n"/>
      <c r="E41" s="20" t="n"/>
      <c r="F41" s="23" t="n"/>
      <c r="G41" s="22" t="n"/>
      <c r="H41" s="22" t="n"/>
    </row>
    <row r="42">
      <c r="A42" s="18" t="inlineStr">
        <is>
          <t>TEST-038</t>
        </is>
      </c>
      <c r="B42" s="22" t="n"/>
      <c r="C42" s="20" t="n"/>
      <c r="D42" s="20" t="n"/>
      <c r="E42" s="20" t="n"/>
      <c r="F42" s="23" t="n"/>
      <c r="G42" s="22" t="n"/>
      <c r="H42" s="22" t="n"/>
    </row>
    <row r="43">
      <c r="A43" s="18" t="inlineStr">
        <is>
          <t>TEST-039</t>
        </is>
      </c>
      <c r="B43" s="22" t="n"/>
      <c r="C43" s="20" t="n"/>
      <c r="D43" s="20" t="n"/>
      <c r="E43" s="20" t="n"/>
      <c r="F43" s="23" t="n"/>
      <c r="G43" s="22" t="n"/>
      <c r="H43" s="22" t="n"/>
    </row>
    <row r="44">
      <c r="A44" s="18" t="inlineStr">
        <is>
          <t>TEST-040</t>
        </is>
      </c>
      <c r="B44" s="22" t="n"/>
      <c r="C44" s="20" t="n"/>
      <c r="D44" s="20" t="n"/>
      <c r="E44" s="20" t="n"/>
      <c r="F44" s="23" t="n"/>
      <c r="G44" s="22" t="n"/>
      <c r="H44" s="22" t="n"/>
    </row>
    <row r="45">
      <c r="A45" s="18" t="inlineStr">
        <is>
          <t>TEST-041</t>
        </is>
      </c>
      <c r="B45" s="22" t="n"/>
      <c r="C45" s="20" t="n"/>
      <c r="D45" s="20" t="n"/>
      <c r="E45" s="20" t="n"/>
      <c r="F45" s="23" t="n"/>
      <c r="G45" s="22" t="n"/>
      <c r="H45" s="22" t="n"/>
    </row>
    <row r="46">
      <c r="A46" s="18" t="inlineStr">
        <is>
          <t>TEST-042</t>
        </is>
      </c>
      <c r="B46" s="22" t="n"/>
      <c r="C46" s="20" t="n"/>
      <c r="D46" s="20" t="n"/>
      <c r="E46" s="20" t="n"/>
      <c r="F46" s="23" t="n"/>
      <c r="G46" s="22" t="n"/>
      <c r="H46" s="22" t="n"/>
    </row>
    <row r="47">
      <c r="A47" s="18" t="inlineStr">
        <is>
          <t>TEST-043</t>
        </is>
      </c>
      <c r="B47" s="22" t="n"/>
      <c r="C47" s="20" t="n"/>
      <c r="D47" s="20" t="n"/>
      <c r="E47" s="20" t="n"/>
      <c r="F47" s="23" t="n"/>
      <c r="G47" s="22" t="n"/>
      <c r="H47" s="22" t="n"/>
    </row>
    <row r="48">
      <c r="A48" s="18" t="inlineStr">
        <is>
          <t>TEST-044</t>
        </is>
      </c>
      <c r="B48" s="22" t="n"/>
      <c r="C48" s="20" t="n"/>
      <c r="D48" s="20" t="n"/>
      <c r="E48" s="20" t="n"/>
      <c r="F48" s="23" t="n"/>
      <c r="G48" s="22" t="n"/>
      <c r="H48" s="22" t="n"/>
    </row>
    <row r="49">
      <c r="A49" s="18" t="inlineStr">
        <is>
          <t>TEST-045</t>
        </is>
      </c>
      <c r="B49" s="22" t="n"/>
      <c r="C49" s="20" t="n"/>
      <c r="D49" s="20" t="n"/>
      <c r="E49" s="20" t="n"/>
      <c r="F49" s="23" t="n"/>
      <c r="G49" s="22" t="n"/>
      <c r="H49" s="22" t="n"/>
    </row>
    <row r="50">
      <c r="A50" s="18" t="inlineStr">
        <is>
          <t>TEST-046</t>
        </is>
      </c>
      <c r="B50" s="22" t="n"/>
      <c r="C50" s="20" t="n"/>
      <c r="D50" s="20" t="n"/>
      <c r="E50" s="20" t="n"/>
      <c r="F50" s="23" t="n"/>
      <c r="G50" s="22" t="n"/>
      <c r="H50" s="22" t="n"/>
    </row>
    <row r="51">
      <c r="A51" s="18" t="inlineStr">
        <is>
          <t>TEST-047</t>
        </is>
      </c>
      <c r="B51" s="22" t="n"/>
      <c r="C51" s="20" t="n"/>
      <c r="D51" s="20" t="n"/>
      <c r="E51" s="20" t="n"/>
      <c r="F51" s="23" t="n"/>
      <c r="G51" s="22" t="n"/>
      <c r="H51" s="22" t="n"/>
    </row>
    <row r="52">
      <c r="A52" s="18" t="inlineStr">
        <is>
          <t>TEST-048</t>
        </is>
      </c>
      <c r="B52" s="22" t="n"/>
      <c r="C52" s="20" t="n"/>
      <c r="D52" s="20" t="n"/>
      <c r="E52" s="20" t="n"/>
      <c r="F52" s="23" t="n"/>
      <c r="G52" s="22" t="n"/>
      <c r="H52" s="22" t="n"/>
    </row>
    <row r="53">
      <c r="A53" s="18" t="inlineStr">
        <is>
          <t>TEST-049</t>
        </is>
      </c>
      <c r="B53" s="22" t="n"/>
      <c r="C53" s="20" t="n"/>
      <c r="D53" s="20" t="n"/>
      <c r="E53" s="20" t="n"/>
      <c r="F53" s="23" t="n"/>
      <c r="G53" s="22" t="n"/>
      <c r="H53" s="22" t="n"/>
    </row>
    <row r="54">
      <c r="A54" s="18" t="inlineStr">
        <is>
          <t>TEST-050</t>
        </is>
      </c>
      <c r="B54" s="22" t="n"/>
      <c r="C54" s="20" t="n"/>
      <c r="D54" s="20" t="n"/>
      <c r="E54" s="20" t="n"/>
      <c r="F54" s="23" t="n"/>
      <c r="G54" s="22" t="n"/>
      <c r="H54" s="22" t="n"/>
    </row>
    <row r="55">
      <c r="A55" s="18" t="inlineStr">
        <is>
          <t>TEST-051</t>
        </is>
      </c>
      <c r="B55" s="22" t="n"/>
      <c r="C55" s="20" t="n"/>
      <c r="D55" s="20" t="n"/>
      <c r="E55" s="20" t="n"/>
      <c r="F55" s="23" t="n"/>
      <c r="G55" s="22" t="n"/>
      <c r="H55" s="22" t="n"/>
    </row>
    <row r="56">
      <c r="A56" s="18" t="inlineStr">
        <is>
          <t>TEST-052</t>
        </is>
      </c>
      <c r="B56" s="22" t="n"/>
      <c r="C56" s="20" t="n"/>
      <c r="D56" s="20" t="n"/>
      <c r="E56" s="20" t="n"/>
      <c r="F56" s="23" t="n"/>
      <c r="G56" s="22" t="n"/>
      <c r="H56" s="22" t="n"/>
    </row>
    <row r="57">
      <c r="A57" s="18" t="inlineStr">
        <is>
          <t>TEST-053</t>
        </is>
      </c>
      <c r="B57" s="22" t="n"/>
      <c r="C57" s="20" t="n"/>
      <c r="D57" s="20" t="n"/>
      <c r="E57" s="20" t="n"/>
      <c r="F57" s="23" t="n"/>
      <c r="G57" s="22" t="n"/>
      <c r="H57" s="22" t="n"/>
    </row>
    <row r="58">
      <c r="A58" s="18" t="inlineStr">
        <is>
          <t>TEST-054</t>
        </is>
      </c>
      <c r="B58" s="22" t="n"/>
      <c r="C58" s="20" t="n"/>
      <c r="D58" s="20" t="n"/>
      <c r="E58" s="20" t="n"/>
      <c r="F58" s="23" t="n"/>
      <c r="G58" s="22" t="n"/>
      <c r="H58" s="22" t="n"/>
    </row>
    <row r="59">
      <c r="A59" s="18" t="inlineStr">
        <is>
          <t>TEST-055</t>
        </is>
      </c>
      <c r="B59" s="22" t="n"/>
      <c r="C59" s="20" t="n"/>
      <c r="D59" s="20" t="n"/>
      <c r="E59" s="20" t="n"/>
      <c r="F59" s="23" t="n"/>
      <c r="G59" s="22" t="n"/>
      <c r="H59" s="22" t="n"/>
    </row>
    <row r="60">
      <c r="A60" s="18" t="inlineStr">
        <is>
          <t>TEST-056</t>
        </is>
      </c>
      <c r="B60" s="22" t="n"/>
      <c r="C60" s="20" t="n"/>
      <c r="D60" s="20" t="n"/>
      <c r="E60" s="20" t="n"/>
      <c r="F60" s="23" t="n"/>
      <c r="G60" s="22" t="n"/>
      <c r="H60" s="22" t="n"/>
    </row>
    <row r="61">
      <c r="A61" s="18" t="inlineStr">
        <is>
          <t>TEST-057</t>
        </is>
      </c>
      <c r="B61" s="22" t="n"/>
      <c r="C61" s="20" t="n"/>
      <c r="D61" s="20" t="n"/>
      <c r="E61" s="20" t="n"/>
      <c r="F61" s="23" t="n"/>
      <c r="G61" s="22" t="n"/>
      <c r="H61" s="22" t="n"/>
    </row>
    <row r="62">
      <c r="A62" s="18" t="inlineStr">
        <is>
          <t>TEST-058</t>
        </is>
      </c>
      <c r="B62" s="22" t="n"/>
      <c r="C62" s="20" t="n"/>
      <c r="D62" s="20" t="n"/>
      <c r="E62" s="20" t="n"/>
      <c r="F62" s="23" t="n"/>
      <c r="G62" s="22" t="n"/>
      <c r="H62" s="22" t="n"/>
    </row>
    <row r="63">
      <c r="A63" s="18" t="inlineStr">
        <is>
          <t>TEST-059</t>
        </is>
      </c>
      <c r="B63" s="22" t="n"/>
      <c r="C63" s="20" t="n"/>
      <c r="D63" s="20" t="n"/>
      <c r="E63" s="20" t="n"/>
      <c r="F63" s="23" t="n"/>
      <c r="G63" s="22" t="n"/>
      <c r="H63" s="22" t="n"/>
    </row>
    <row r="64">
      <c r="A64" s="18" t="inlineStr">
        <is>
          <t>TEST-060</t>
        </is>
      </c>
      <c r="B64" s="22" t="n"/>
      <c r="C64" s="20" t="n"/>
      <c r="D64" s="20" t="n"/>
      <c r="E64" s="20" t="n"/>
      <c r="F64" s="23" t="n"/>
      <c r="G64" s="22" t="n"/>
      <c r="H64" s="22" t="n"/>
    </row>
    <row r="65">
      <c r="A65" s="18" t="inlineStr">
        <is>
          <t>TEST-061</t>
        </is>
      </c>
      <c r="B65" s="22" t="n"/>
      <c r="C65" s="20" t="n"/>
      <c r="D65" s="20" t="n"/>
      <c r="E65" s="20" t="n"/>
      <c r="F65" s="23" t="n"/>
      <c r="G65" s="22" t="n"/>
      <c r="H65" s="22" t="n"/>
    </row>
    <row r="66">
      <c r="A66" s="18" t="inlineStr">
        <is>
          <t>TEST-062</t>
        </is>
      </c>
      <c r="B66" s="22" t="n"/>
      <c r="C66" s="20" t="n"/>
      <c r="D66" s="20" t="n"/>
      <c r="E66" s="20" t="n"/>
      <c r="F66" s="23" t="n"/>
      <c r="G66" s="22" t="n"/>
      <c r="H66" s="22" t="n"/>
    </row>
    <row r="67">
      <c r="A67" s="18" t="inlineStr">
        <is>
          <t>TEST-063</t>
        </is>
      </c>
      <c r="B67" s="22" t="n"/>
      <c r="C67" s="20" t="n"/>
      <c r="D67" s="20" t="n"/>
      <c r="E67" s="20" t="n"/>
      <c r="F67" s="23" t="n"/>
      <c r="G67" s="22" t="n"/>
      <c r="H67" s="22" t="n"/>
    </row>
    <row r="68">
      <c r="A68" s="18" t="inlineStr">
        <is>
          <t>TEST-064</t>
        </is>
      </c>
      <c r="B68" s="22" t="n"/>
      <c r="C68" s="20" t="n"/>
      <c r="D68" s="20" t="n"/>
      <c r="E68" s="20" t="n"/>
      <c r="F68" s="23" t="n"/>
      <c r="G68" s="22" t="n"/>
      <c r="H68" s="22" t="n"/>
    </row>
    <row r="69">
      <c r="A69" s="18" t="inlineStr">
        <is>
          <t>TEST-065</t>
        </is>
      </c>
      <c r="B69" s="22" t="n"/>
      <c r="C69" s="20" t="n"/>
      <c r="D69" s="20" t="n"/>
      <c r="E69" s="20" t="n"/>
      <c r="F69" s="23" t="n"/>
      <c r="G69" s="22" t="n"/>
      <c r="H69" s="22" t="n"/>
    </row>
    <row r="70">
      <c r="A70" s="18" t="inlineStr">
        <is>
          <t>TEST-066</t>
        </is>
      </c>
      <c r="B70" s="22" t="n"/>
      <c r="C70" s="20" t="n"/>
      <c r="D70" s="20" t="n"/>
      <c r="E70" s="20" t="n"/>
      <c r="F70" s="23" t="n"/>
      <c r="G70" s="22" t="n"/>
      <c r="H70" s="22" t="n"/>
    </row>
    <row r="71">
      <c r="A71" s="18" t="inlineStr">
        <is>
          <t>TEST-067</t>
        </is>
      </c>
      <c r="B71" s="22" t="n"/>
      <c r="C71" s="20" t="n"/>
      <c r="D71" s="20" t="n"/>
      <c r="E71" s="20" t="n"/>
      <c r="F71" s="23" t="n"/>
      <c r="G71" s="22" t="n"/>
      <c r="H71" s="22" t="n"/>
    </row>
    <row r="72">
      <c r="A72" s="18" t="inlineStr">
        <is>
          <t>TEST-068</t>
        </is>
      </c>
      <c r="B72" s="22" t="n"/>
      <c r="C72" s="20" t="n"/>
      <c r="D72" s="20" t="n"/>
      <c r="E72" s="20" t="n"/>
      <c r="F72" s="23" t="n"/>
      <c r="G72" s="22" t="n"/>
      <c r="H72" s="22" t="n"/>
    </row>
    <row r="73">
      <c r="A73" s="18" t="inlineStr">
        <is>
          <t>TEST-069</t>
        </is>
      </c>
      <c r="B73" s="22" t="n"/>
      <c r="C73" s="20" t="n"/>
      <c r="D73" s="20" t="n"/>
      <c r="E73" s="20" t="n"/>
      <c r="F73" s="23" t="n"/>
      <c r="G73" s="22" t="n"/>
      <c r="H73" s="22" t="n"/>
    </row>
    <row r="74">
      <c r="A74" s="18" t="inlineStr">
        <is>
          <t>TEST-070</t>
        </is>
      </c>
      <c r="B74" s="22" t="n"/>
      <c r="C74" s="20" t="n"/>
      <c r="D74" s="20" t="n"/>
      <c r="E74" s="20" t="n"/>
      <c r="F74" s="23" t="n"/>
      <c r="G74" s="22" t="n"/>
      <c r="H74" s="22" t="n"/>
    </row>
    <row r="75">
      <c r="A75" s="18" t="inlineStr">
        <is>
          <t>TEST-071</t>
        </is>
      </c>
      <c r="B75" s="22" t="n"/>
      <c r="C75" s="20" t="n"/>
      <c r="D75" s="20" t="n"/>
      <c r="E75" s="20" t="n"/>
      <c r="F75" s="23" t="n"/>
      <c r="G75" s="22" t="n"/>
      <c r="H75" s="22" t="n"/>
    </row>
    <row r="76">
      <c r="A76" s="18" t="inlineStr">
        <is>
          <t>TEST-072</t>
        </is>
      </c>
      <c r="B76" s="22" t="n"/>
      <c r="C76" s="20" t="n"/>
      <c r="D76" s="20" t="n"/>
      <c r="E76" s="20" t="n"/>
      <c r="F76" s="23" t="n"/>
      <c r="G76" s="22" t="n"/>
      <c r="H76" s="22" t="n"/>
    </row>
    <row r="77">
      <c r="A77" s="18" t="inlineStr">
        <is>
          <t>TEST-073</t>
        </is>
      </c>
      <c r="B77" s="22" t="n"/>
      <c r="C77" s="20" t="n"/>
      <c r="D77" s="20" t="n"/>
      <c r="E77" s="20" t="n"/>
      <c r="F77" s="23" t="n"/>
      <c r="G77" s="22" t="n"/>
      <c r="H77" s="22" t="n"/>
    </row>
    <row r="78">
      <c r="A78" s="18" t="inlineStr">
        <is>
          <t>TEST-074</t>
        </is>
      </c>
      <c r="B78" s="22" t="n"/>
      <c r="C78" s="20" t="n"/>
      <c r="D78" s="20" t="n"/>
      <c r="E78" s="20" t="n"/>
      <c r="F78" s="23" t="n"/>
      <c r="G78" s="22" t="n"/>
      <c r="H78" s="22" t="n"/>
    </row>
    <row r="79">
      <c r="A79" s="18" t="inlineStr">
        <is>
          <t>TEST-075</t>
        </is>
      </c>
      <c r="B79" s="22" t="n"/>
      <c r="C79" s="20" t="n"/>
      <c r="D79" s="20" t="n"/>
      <c r="E79" s="20" t="n"/>
      <c r="F79" s="23" t="n"/>
      <c r="G79" s="22" t="n"/>
      <c r="H79" s="22" t="n"/>
    </row>
    <row r="80">
      <c r="A80" s="18" t="inlineStr">
        <is>
          <t>TEST-076</t>
        </is>
      </c>
      <c r="B80" s="22" t="n"/>
      <c r="C80" s="20" t="n"/>
      <c r="D80" s="20" t="n"/>
      <c r="E80" s="20" t="n"/>
      <c r="F80" s="23" t="n"/>
      <c r="G80" s="22" t="n"/>
      <c r="H80" s="22" t="n"/>
    </row>
    <row r="81">
      <c r="A81" s="18" t="inlineStr">
        <is>
          <t>TEST-077</t>
        </is>
      </c>
      <c r="B81" s="22" t="n"/>
      <c r="C81" s="20" t="n"/>
      <c r="D81" s="20" t="n"/>
      <c r="E81" s="20" t="n"/>
      <c r="F81" s="23" t="n"/>
      <c r="G81" s="22" t="n"/>
      <c r="H81" s="22" t="n"/>
    </row>
    <row r="82">
      <c r="A82" s="18" t="inlineStr">
        <is>
          <t>TEST-078</t>
        </is>
      </c>
      <c r="B82" s="22" t="n"/>
      <c r="C82" s="20" t="n"/>
      <c r="D82" s="20" t="n"/>
      <c r="E82" s="20" t="n"/>
      <c r="F82" s="23" t="n"/>
      <c r="G82" s="22" t="n"/>
      <c r="H82" s="22" t="n"/>
    </row>
    <row r="83">
      <c r="A83" s="18" t="inlineStr">
        <is>
          <t>TEST-079</t>
        </is>
      </c>
      <c r="B83" s="22" t="n"/>
      <c r="C83" s="20" t="n"/>
      <c r="D83" s="20" t="n"/>
      <c r="E83" s="20" t="n"/>
      <c r="F83" s="23" t="n"/>
      <c r="G83" s="22" t="n"/>
      <c r="H83" s="22" t="n"/>
    </row>
    <row r="84">
      <c r="A84" s="18" t="inlineStr">
        <is>
          <t>TEST-080</t>
        </is>
      </c>
      <c r="B84" s="22" t="n"/>
      <c r="C84" s="20" t="n"/>
      <c r="D84" s="20" t="n"/>
      <c r="E84" s="20" t="n"/>
      <c r="F84" s="23" t="n"/>
      <c r="G84" s="22" t="n"/>
      <c r="H84" s="22" t="n"/>
    </row>
    <row r="85">
      <c r="A85" s="18" t="inlineStr">
        <is>
          <t>TEST-081</t>
        </is>
      </c>
      <c r="B85" s="22" t="n"/>
      <c r="C85" s="20" t="n"/>
      <c r="D85" s="20" t="n"/>
      <c r="E85" s="20" t="n"/>
      <c r="F85" s="23" t="n"/>
      <c r="G85" s="22" t="n"/>
      <c r="H85" s="22" t="n"/>
    </row>
    <row r="86">
      <c r="A86" s="18" t="inlineStr">
        <is>
          <t>TEST-082</t>
        </is>
      </c>
      <c r="B86" s="22" t="n"/>
      <c r="C86" s="20" t="n"/>
      <c r="D86" s="20" t="n"/>
      <c r="E86" s="20" t="n"/>
      <c r="F86" s="23" t="n"/>
      <c r="G86" s="22" t="n"/>
      <c r="H86" s="22" t="n"/>
    </row>
    <row r="87">
      <c r="A87" s="18" t="inlineStr">
        <is>
          <t>TEST-083</t>
        </is>
      </c>
      <c r="B87" s="22" t="n"/>
      <c r="C87" s="20" t="n"/>
      <c r="D87" s="20" t="n"/>
      <c r="E87" s="20" t="n"/>
      <c r="F87" s="23" t="n"/>
      <c r="G87" s="22" t="n"/>
      <c r="H87" s="22" t="n"/>
    </row>
    <row r="88">
      <c r="A88" s="18" t="inlineStr">
        <is>
          <t>TEST-084</t>
        </is>
      </c>
      <c r="B88" s="22" t="n"/>
      <c r="C88" s="20" t="n"/>
      <c r="D88" s="20" t="n"/>
      <c r="E88" s="20" t="n"/>
      <c r="F88" s="23" t="n"/>
      <c r="G88" s="22" t="n"/>
      <c r="H88" s="22" t="n"/>
    </row>
    <row r="89">
      <c r="A89" s="18" t="inlineStr">
        <is>
          <t>TEST-085</t>
        </is>
      </c>
      <c r="B89" s="22" t="n"/>
      <c r="C89" s="20" t="n"/>
      <c r="D89" s="20" t="n"/>
      <c r="E89" s="20" t="n"/>
      <c r="F89" s="23" t="n"/>
      <c r="G89" s="22" t="n"/>
      <c r="H89" s="22" t="n"/>
    </row>
    <row r="90">
      <c r="A90" s="18" t="inlineStr">
        <is>
          <t>TEST-086</t>
        </is>
      </c>
      <c r="B90" s="22" t="n"/>
      <c r="C90" s="20" t="n"/>
      <c r="D90" s="20" t="n"/>
      <c r="E90" s="20" t="n"/>
      <c r="F90" s="23" t="n"/>
      <c r="G90" s="22" t="n"/>
      <c r="H90" s="22" t="n"/>
    </row>
    <row r="91">
      <c r="A91" s="18" t="inlineStr">
        <is>
          <t>TEST-087</t>
        </is>
      </c>
      <c r="B91" s="22" t="n"/>
      <c r="C91" s="20" t="n"/>
      <c r="D91" s="20" t="n"/>
      <c r="E91" s="20" t="n"/>
      <c r="F91" s="23" t="n"/>
      <c r="G91" s="22" t="n"/>
      <c r="H91" s="22" t="n"/>
    </row>
    <row r="92">
      <c r="A92" s="18" t="inlineStr">
        <is>
          <t>TEST-088</t>
        </is>
      </c>
      <c r="B92" s="22" t="n"/>
      <c r="C92" s="20" t="n"/>
      <c r="D92" s="20" t="n"/>
      <c r="E92" s="20" t="n"/>
      <c r="F92" s="23" t="n"/>
      <c r="G92" s="22" t="n"/>
      <c r="H92" s="22" t="n"/>
    </row>
    <row r="93">
      <c r="A93" s="18" t="inlineStr">
        <is>
          <t>TEST-089</t>
        </is>
      </c>
      <c r="B93" s="22" t="n"/>
      <c r="C93" s="20" t="n"/>
      <c r="D93" s="20" t="n"/>
      <c r="E93" s="20" t="n"/>
      <c r="F93" s="23" t="n"/>
      <c r="G93" s="22" t="n"/>
      <c r="H93" s="22" t="n"/>
    </row>
    <row r="94">
      <c r="A94" s="18" t="inlineStr">
        <is>
          <t>TEST-090</t>
        </is>
      </c>
      <c r="B94" s="22" t="n"/>
      <c r="C94" s="20" t="n"/>
      <c r="D94" s="20" t="n"/>
      <c r="E94" s="20" t="n"/>
      <c r="F94" s="23" t="n"/>
      <c r="G94" s="22" t="n"/>
      <c r="H94" s="22" t="n"/>
    </row>
    <row r="95">
      <c r="A95" s="18" t="inlineStr">
        <is>
          <t>TEST-091</t>
        </is>
      </c>
      <c r="B95" s="22" t="n"/>
      <c r="C95" s="20" t="n"/>
      <c r="D95" s="20" t="n"/>
      <c r="E95" s="20" t="n"/>
      <c r="F95" s="23" t="n"/>
      <c r="G95" s="22" t="n"/>
      <c r="H95" s="22" t="n"/>
    </row>
    <row r="96">
      <c r="A96" s="18" t="inlineStr">
        <is>
          <t>TEST-092</t>
        </is>
      </c>
      <c r="B96" s="22" t="n"/>
      <c r="C96" s="20" t="n"/>
      <c r="D96" s="20" t="n"/>
      <c r="E96" s="20" t="n"/>
      <c r="F96" s="23" t="n"/>
      <c r="G96" s="22" t="n"/>
      <c r="H96" s="22" t="n"/>
    </row>
    <row r="97">
      <c r="A97" s="18" t="inlineStr">
        <is>
          <t>TEST-093</t>
        </is>
      </c>
      <c r="B97" s="22" t="n"/>
      <c r="C97" s="20" t="n"/>
      <c r="D97" s="20" t="n"/>
      <c r="E97" s="20" t="n"/>
      <c r="F97" s="23" t="n"/>
      <c r="G97" s="22" t="n"/>
      <c r="H97" s="22" t="n"/>
    </row>
    <row r="98">
      <c r="A98" s="18" t="inlineStr">
        <is>
          <t>TEST-094</t>
        </is>
      </c>
      <c r="B98" s="22" t="n"/>
      <c r="C98" s="20" t="n"/>
      <c r="D98" s="20" t="n"/>
      <c r="E98" s="20" t="n"/>
      <c r="F98" s="23" t="n"/>
      <c r="G98" s="22" t="n"/>
      <c r="H98" s="22" t="n"/>
    </row>
    <row r="99">
      <c r="A99" s="18" t="inlineStr">
        <is>
          <t>TEST-095</t>
        </is>
      </c>
      <c r="B99" s="22" t="n"/>
      <c r="C99" s="20" t="n"/>
      <c r="D99" s="20" t="n"/>
      <c r="E99" s="20" t="n"/>
      <c r="F99" s="23" t="n"/>
      <c r="G99" s="22" t="n"/>
      <c r="H99" s="22" t="n"/>
    </row>
    <row r="100">
      <c r="A100" s="18" t="inlineStr">
        <is>
          <t>TEST-096</t>
        </is>
      </c>
      <c r="B100" s="22" t="n"/>
      <c r="C100" s="20" t="n"/>
      <c r="D100" s="20" t="n"/>
      <c r="E100" s="20" t="n"/>
      <c r="F100" s="23" t="n"/>
      <c r="G100" s="22" t="n"/>
      <c r="H100" s="22" t="n"/>
    </row>
    <row r="101">
      <c r="A101" s="18" t="inlineStr">
        <is>
          <t>TEST-097</t>
        </is>
      </c>
      <c r="B101" s="22" t="n"/>
      <c r="C101" s="20" t="n"/>
      <c r="D101" s="20" t="n"/>
      <c r="E101" s="20" t="n"/>
      <c r="F101" s="23" t="n"/>
      <c r="G101" s="22" t="n"/>
      <c r="H101" s="22" t="n"/>
    </row>
    <row r="102">
      <c r="A102" s="18" t="inlineStr">
        <is>
          <t>TEST-098</t>
        </is>
      </c>
      <c r="B102" s="22" t="n"/>
      <c r="C102" s="20" t="n"/>
      <c r="D102" s="20" t="n"/>
      <c r="E102" s="20" t="n"/>
      <c r="F102" s="23" t="n"/>
      <c r="G102" s="22" t="n"/>
      <c r="H102" s="22" t="n"/>
    </row>
    <row r="103">
      <c r="A103" s="18" t="inlineStr">
        <is>
          <t>TEST-099</t>
        </is>
      </c>
      <c r="B103" s="22" t="n"/>
      <c r="C103" s="20" t="n"/>
      <c r="D103" s="20" t="n"/>
      <c r="E103" s="20" t="n"/>
      <c r="F103" s="23" t="n"/>
      <c r="G103" s="22" t="n"/>
      <c r="H103" s="22" t="n"/>
    </row>
    <row r="104">
      <c r="A104" s="18" t="inlineStr">
        <is>
          <t>TEST-100</t>
        </is>
      </c>
      <c r="B104" s="22" t="n"/>
      <c r="C104" s="20" t="n"/>
      <c r="D104" s="20" t="n"/>
      <c r="E104" s="20" t="n"/>
      <c r="F104" s="23" t="n"/>
      <c r="G104" s="22" t="n"/>
      <c r="H104" s="22" t="n"/>
    </row>
    <row r="105">
      <c r="A105" s="18" t="inlineStr">
        <is>
          <t>TEST-101</t>
        </is>
      </c>
      <c r="B105" s="22" t="n"/>
      <c r="C105" s="20" t="n"/>
      <c r="D105" s="20" t="n"/>
      <c r="E105" s="20" t="n"/>
      <c r="F105" s="23" t="n"/>
      <c r="G105" s="22" t="n"/>
      <c r="H105" s="22" t="n"/>
    </row>
    <row r="106">
      <c r="A106" s="18" t="inlineStr">
        <is>
          <t>TEST-102</t>
        </is>
      </c>
      <c r="B106" s="22" t="n"/>
      <c r="C106" s="20" t="n"/>
      <c r="D106" s="20" t="n"/>
      <c r="E106" s="20" t="n"/>
      <c r="F106" s="23" t="n"/>
      <c r="G106" s="22" t="n"/>
      <c r="H106" s="22" t="n"/>
    </row>
    <row r="107">
      <c r="A107" s="18" t="inlineStr">
        <is>
          <t>TEST-103</t>
        </is>
      </c>
      <c r="B107" s="22" t="n"/>
      <c r="C107" s="20" t="n"/>
      <c r="D107" s="20" t="n"/>
      <c r="E107" s="20" t="n"/>
      <c r="F107" s="23" t="n"/>
      <c r="G107" s="22" t="n"/>
      <c r="H107" s="22" t="n"/>
    </row>
    <row r="108">
      <c r="A108" s="18" t="inlineStr">
        <is>
          <t>TEST-104</t>
        </is>
      </c>
      <c r="B108" s="22" t="n"/>
      <c r="C108" s="20" t="n"/>
      <c r="D108" s="20" t="n"/>
      <c r="E108" s="20" t="n"/>
      <c r="F108" s="23" t="n"/>
      <c r="G108" s="22" t="n"/>
      <c r="H108" s="22" t="n"/>
    </row>
    <row r="109">
      <c r="A109" s="18" t="inlineStr">
        <is>
          <t>TEST-105</t>
        </is>
      </c>
      <c r="B109" s="22" t="n"/>
      <c r="C109" s="20" t="n"/>
      <c r="D109" s="20" t="n"/>
      <c r="E109" s="20" t="n"/>
      <c r="F109" s="23" t="n"/>
      <c r="G109" s="22" t="n"/>
      <c r="H109" s="22" t="n"/>
    </row>
    <row r="110">
      <c r="A110" s="18" t="inlineStr">
        <is>
          <t>TEST-106</t>
        </is>
      </c>
      <c r="B110" s="22" t="n"/>
      <c r="C110" s="20" t="n"/>
      <c r="D110" s="20" t="n"/>
      <c r="E110" s="20" t="n"/>
      <c r="F110" s="23" t="n"/>
      <c r="G110" s="22" t="n"/>
      <c r="H110" s="22" t="n"/>
    </row>
    <row r="111">
      <c r="A111" s="18" t="inlineStr">
        <is>
          <t>TEST-107</t>
        </is>
      </c>
      <c r="B111" s="22" t="n"/>
      <c r="C111" s="20" t="n"/>
      <c r="D111" s="20" t="n"/>
      <c r="E111" s="20" t="n"/>
      <c r="F111" s="23" t="n"/>
      <c r="G111" s="22" t="n"/>
      <c r="H111" s="22" t="n"/>
    </row>
    <row r="112">
      <c r="A112" s="18" t="inlineStr">
        <is>
          <t>TEST-108</t>
        </is>
      </c>
      <c r="B112" s="22" t="n"/>
      <c r="C112" s="20" t="n"/>
      <c r="D112" s="20" t="n"/>
      <c r="E112" s="20" t="n"/>
      <c r="F112" s="23" t="n"/>
      <c r="G112" s="22" t="n"/>
      <c r="H112" s="22" t="n"/>
    </row>
    <row r="113">
      <c r="A113" s="18" t="inlineStr">
        <is>
          <t>TEST-109</t>
        </is>
      </c>
      <c r="B113" s="22" t="n"/>
      <c r="C113" s="20" t="n"/>
      <c r="D113" s="20" t="n"/>
      <c r="E113" s="20" t="n"/>
      <c r="F113" s="23" t="n"/>
      <c r="G113" s="22" t="n"/>
      <c r="H113" s="22" t="n"/>
    </row>
    <row r="114">
      <c r="A114" s="18" t="inlineStr">
        <is>
          <t>TEST-110</t>
        </is>
      </c>
      <c r="B114" s="22" t="n"/>
      <c r="C114" s="20" t="n"/>
      <c r="D114" s="20" t="n"/>
      <c r="E114" s="20" t="n"/>
      <c r="F114" s="23" t="n"/>
      <c r="G114" s="22" t="n"/>
      <c r="H114" s="22" t="n"/>
    </row>
    <row r="117">
      <c r="A117" s="3" t="inlineStr">
        <is>
          <t>TEST SCHEDULE SUMMARY</t>
        </is>
      </c>
    </row>
    <row r="118">
      <c r="A118" s="6" t="inlineStr">
        <is>
          <t>Total Tests Scheduled:</t>
        </is>
      </c>
      <c r="B118" s="6">
        <f>COUNTA(B5:B114)</f>
        <v/>
      </c>
    </row>
    <row r="119">
      <c r="A119" s="6" t="inlineStr">
        <is>
          <t>Backup Restore Tests:</t>
        </is>
      </c>
      <c r="B119" s="6">
        <f>COUNTIF(C5:C114,"Backup*")</f>
        <v/>
      </c>
    </row>
    <row r="120">
      <c r="A120" s="6" t="inlineStr">
        <is>
          <t>Failover Tests:</t>
        </is>
      </c>
      <c r="B120" s="6">
        <f>COUNTIF(C5:C114,"Failover*")</f>
        <v/>
      </c>
    </row>
    <row r="121">
      <c r="A121" s="6" t="inlineStr">
        <is>
          <t>Full DR Scenarios:</t>
        </is>
      </c>
      <c r="B121" s="6">
        <f>COUNTIF(C5:C114,"Full DR*")</f>
        <v/>
      </c>
    </row>
    <row r="122">
      <c r="A122" s="6" t="inlineStr">
        <is>
          <t>Tier 1 System Tests:</t>
        </is>
      </c>
      <c r="B122" s="6">
        <f>COUNTIF(D5:D114,"Tier 1*")</f>
        <v/>
      </c>
    </row>
    <row r="123">
      <c r="A123" s="6" t="inlineStr">
        <is>
          <t>Quarterly Tests:</t>
        </is>
      </c>
      <c r="B123" s="6">
        <f>COUNTIF(E5:E114,"Quarterly")</f>
        <v/>
      </c>
    </row>
  </sheetData>
  <mergeCells count="3">
    <mergeCell ref="A117:H117"/>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"Backup Restore,Failover Test,Full DR Scenario,Tabletop Exercise,Component Test,Integration Test"</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"Tier 1 - Critical,Tier 2 - Important,Tier 3 - Standard,Tier 4 - Low"</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showDropDown="0" showInputMessage="0" showErrorMessage="0" allowBlank="0" type="list">
      <formula1>"Quarterly,Semi-Annual,Annual,Ad-Hoc,Not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3"/>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25" customWidth="1" min="3" max="3"/>
    <col width="20" customWidth="1" min="4" max="4"/>
    <col width="15" customWidth="1" min="5" max="5"/>
    <col width="18" customWidth="1" min="6" max="6"/>
    <col width="18" customWidth="1" min="7" max="7"/>
    <col width="20" customWidth="1" min="8" max="8"/>
    <col width="20" customWidth="1" min="9" max="9"/>
    <col width="45" customWidth="1" min="10" max="10"/>
  </cols>
  <sheetData>
    <row r="1" ht="30" customHeight="1">
      <c r="A1" s="16" t="inlineStr">
        <is>
          <t>BC/DR TEST RESULTS LOG (Execution History)</t>
        </is>
      </c>
    </row>
    <row r="2">
      <c r="A2" s="3" t="inlineStr">
        <is>
          <t>Document all test executions - actual test results (log every test performed)</t>
        </is>
      </c>
    </row>
    <row r="4">
      <c r="A4" s="17" t="inlineStr">
        <is>
          <t>Result ID</t>
        </is>
      </c>
      <c r="B4" s="17" t="inlineStr">
        <is>
          <t>Test ID (Schedule)</t>
        </is>
      </c>
      <c r="C4" s="17" t="inlineStr">
        <is>
          <t>System Name</t>
        </is>
      </c>
      <c r="D4" s="17" t="inlineStr">
        <is>
          <t>Test Type</t>
        </is>
      </c>
      <c r="E4" s="17" t="inlineStr">
        <is>
          <t>Test Date</t>
        </is>
      </c>
      <c r="F4" s="17" t="inlineStr">
        <is>
          <t>Result</t>
        </is>
      </c>
      <c r="G4" s="17" t="inlineStr">
        <is>
          <t>Actual Duration (hrs)</t>
        </is>
      </c>
      <c r="H4" s="17" t="inlineStr">
        <is>
          <t>Tested By</t>
        </is>
      </c>
      <c r="I4" s="17" t="inlineStr">
        <is>
          <t>Issues Found</t>
        </is>
      </c>
      <c r="J4" s="17" t="inlineStr">
        <is>
          <t>Detailed Notes</t>
        </is>
      </c>
    </row>
    <row r="5">
      <c r="A5" s="18" t="inlineStr">
        <is>
          <t>RES-001</t>
        </is>
      </c>
      <c r="B5" s="19" t="n"/>
      <c r="C5" s="19" t="inlineStr">
        <is>
          <t>TEST-001</t>
        </is>
      </c>
      <c r="D5" s="19" t="inlineStr">
        <is>
          <t>E-Commerce Website</t>
        </is>
      </c>
      <c r="E5" s="21" t="inlineStr">
        <is>
          <t>Backup Restore</t>
        </is>
      </c>
      <c r="F5" s="20" t="inlineStr">
        <is>
          <t>03.02.2026</t>
        </is>
      </c>
      <c r="G5" s="20" t="inlineStr">
        <is>
          <t>✅ Success</t>
        </is>
      </c>
      <c r="H5" s="19" t="n">
        <v>3.8</v>
      </c>
      <c r="I5" s="19" t="inlineStr">
        <is>
          <t>Infrastructure Team</t>
        </is>
      </c>
      <c r="J5" s="19" t="inlineStr">
        <is>
          <t>None</t>
        </is>
      </c>
      <c r="K5" s="19" t="inlineStr">
        <is>
          <t>Full restore successful, verified data integrity, 3.8hr restore time</t>
        </is>
      </c>
    </row>
    <row r="6">
      <c r="A6" s="18" t="inlineStr">
        <is>
          <t>RES-002</t>
        </is>
      </c>
      <c r="B6" s="19" t="n"/>
      <c r="C6" s="19" t="inlineStr">
        <is>
          <t>TEST-002</t>
        </is>
      </c>
      <c r="D6" s="19" t="inlineStr">
        <is>
          <t>E-Commerce Website</t>
        </is>
      </c>
      <c r="E6" s="21" t="inlineStr">
        <is>
          <t>Failover Test</t>
        </is>
      </c>
      <c r="F6" s="20" t="inlineStr">
        <is>
          <t>24.01.2026</t>
        </is>
      </c>
      <c r="G6" s="20" t="inlineStr">
        <is>
          <t>⚠ Partial Success</t>
        </is>
      </c>
      <c r="H6" s="19" t="n">
        <v>0.6</v>
      </c>
      <c r="I6" s="19" t="inlineStr">
        <is>
          <t>Infrastructure Team</t>
        </is>
      </c>
      <c r="J6" s="19" t="inlineStr">
        <is>
          <t>ISS-002, ISS-003</t>
        </is>
      </c>
      <c r="K6" s="19" t="inlineStr">
        <is>
          <t>Failover worked but took 36min (exceeds 30min RTO), found monitoring gaps</t>
        </is>
      </c>
    </row>
    <row r="7">
      <c r="A7" s="18" t="inlineStr">
        <is>
          <t>RES-003</t>
        </is>
      </c>
      <c r="B7" s="19" t="n"/>
      <c r="C7" s="19" t="inlineStr">
        <is>
          <t>TEST-003</t>
        </is>
      </c>
      <c r="D7" s="19" t="inlineStr">
        <is>
          <t>Payment Gateway</t>
        </is>
      </c>
      <c r="E7" s="21" t="inlineStr">
        <is>
          <t>Failover Test</t>
        </is>
      </c>
      <c r="F7" s="20" t="inlineStr">
        <is>
          <t>19.01.2026</t>
        </is>
      </c>
      <c r="G7" s="20" t="inlineStr">
        <is>
          <t>✅ Success</t>
        </is>
      </c>
      <c r="H7" s="19" t="n">
        <v>0.08</v>
      </c>
      <c r="I7" s="19" t="inlineStr">
        <is>
          <t>Payments Team</t>
        </is>
      </c>
      <c r="J7" s="19" t="inlineStr">
        <is>
          <t>None</t>
        </is>
      </c>
      <c r="K7" s="19" t="inlineStr">
        <is>
          <t>Failover successful, ~5min, no transaction loss, excellent result</t>
        </is>
      </c>
    </row>
    <row r="8">
      <c r="A8" s="18" t="inlineStr">
        <is>
          <t>RES-004</t>
        </is>
      </c>
      <c r="B8" s="19" t="n"/>
      <c r="C8" s="19" t="inlineStr">
        <is>
          <t>TEST-004</t>
        </is>
      </c>
      <c r="D8" s="19" t="inlineStr">
        <is>
          <t>Email System</t>
        </is>
      </c>
      <c r="E8" s="21" t="inlineStr">
        <is>
          <t>Backup Restore</t>
        </is>
      </c>
      <c r="F8" s="20" t="inlineStr">
        <is>
          <t>09.01.2026</t>
        </is>
      </c>
      <c r="G8" s="20" t="inlineStr">
        <is>
          <t>❌ Failure</t>
        </is>
      </c>
      <c r="H8" s="19" t="n">
        <v>16</v>
      </c>
      <c r="I8" s="19" t="inlineStr">
        <is>
          <t>IT Operations</t>
        </is>
      </c>
      <c r="J8" s="19" t="inlineStr">
        <is>
          <t>ISS-001</t>
        </is>
      </c>
      <c r="K8" s="19" t="inlineStr">
        <is>
          <t>Restore failed, backup corrupted, root cause: backup job misconfiguration</t>
        </is>
      </c>
    </row>
    <row r="9">
      <c r="A9" s="18" t="inlineStr">
        <is>
          <t>RES-005</t>
        </is>
      </c>
      <c r="B9" s="19" t="n"/>
      <c r="C9" s="19" t="inlineStr">
        <is>
          <t>TEST-005</t>
        </is>
      </c>
      <c r="D9" s="19" t="inlineStr">
        <is>
          <t>CRM System</t>
        </is>
      </c>
      <c r="E9" s="21" t="inlineStr">
        <is>
          <t>Backup Restore</t>
        </is>
      </c>
      <c r="F9" s="20" t="inlineStr">
        <is>
          <t>25.12.2025</t>
        </is>
      </c>
      <c r="G9" s="20" t="inlineStr">
        <is>
          <t>⚠ Partial Success</t>
        </is>
      </c>
      <c r="H9" s="19" t="n">
        <v>9.5</v>
      </c>
      <c r="I9" s="19" t="inlineStr">
        <is>
          <t>App Support Team</t>
        </is>
      </c>
      <c r="J9" s="19" t="inlineStr">
        <is>
          <t>ISS-004</t>
        </is>
      </c>
      <c r="K9" s="19" t="inlineStr">
        <is>
          <t>Restore successful but took 9.5hr (exceeds 8hr RTO), integration issues post-restore</t>
        </is>
      </c>
    </row>
    <row r="10">
      <c r="A10" s="18" t="inlineStr">
        <is>
          <t>RES-006</t>
        </is>
      </c>
      <c r="B10" s="19" t="n"/>
      <c r="C10" s="19" t="inlineStr">
        <is>
          <t>TEST-006</t>
        </is>
      </c>
      <c r="D10" s="19" t="inlineStr">
        <is>
          <t>ERP System</t>
        </is>
      </c>
      <c r="E10" s="21" t="inlineStr">
        <is>
          <t>Backup Restore</t>
        </is>
      </c>
      <c r="F10" s="20" t="inlineStr">
        <is>
          <t>10.12.2025</t>
        </is>
      </c>
      <c r="G10" s="20" t="inlineStr">
        <is>
          <t>✅ Success</t>
        </is>
      </c>
      <c r="H10" s="19" t="n">
        <v>7.2</v>
      </c>
      <c r="I10" s="19" t="inlineStr">
        <is>
          <t>ERP Team</t>
        </is>
      </c>
      <c r="J10" s="19" t="inlineStr">
        <is>
          <t>None</t>
        </is>
      </c>
      <c r="K10" s="19" t="inlineStr">
        <is>
          <t>Restore successful, complex dependencies resolved, 7.2hr within 8hr target</t>
        </is>
      </c>
    </row>
    <row r="11">
      <c r="A11" s="18" t="inlineStr">
        <is>
          <t>RES-007</t>
        </is>
      </c>
      <c r="B11" s="19" t="n"/>
      <c r="C11" s="19" t="inlineStr">
        <is>
          <t>TEST-010</t>
        </is>
      </c>
      <c r="D11" s="19" t="inlineStr">
        <is>
          <t>BC/DR Team</t>
        </is>
      </c>
      <c r="E11" s="21" t="inlineStr">
        <is>
          <t>Tabletop Exercise</t>
        </is>
      </c>
      <c r="F11" s="20" t="inlineStr">
        <is>
          <t>29.01.2026</t>
        </is>
      </c>
      <c r="G11" s="20" t="inlineStr">
        <is>
          <t>✅ Success</t>
        </is>
      </c>
      <c r="H11" s="19" t="n">
        <v>2</v>
      </c>
      <c r="I11" s="19" t="inlineStr">
        <is>
          <t>BC/DR Coordinator</t>
        </is>
      </c>
      <c r="J11" s="19" t="inlineStr">
        <is>
          <t>ISS-005</t>
        </is>
      </c>
      <c r="K11" s="19" t="inlineStr">
        <is>
          <t>Tabletop successful, identified gaps in communication procedures</t>
        </is>
      </c>
    </row>
    <row r="12">
      <c r="A12" s="18" t="inlineStr">
        <is>
          <t>RES-008</t>
        </is>
      </c>
      <c r="B12" s="19" t="n"/>
      <c r="C12" s="19" t="inlineStr">
        <is>
          <t>TEST-008</t>
        </is>
      </c>
      <c r="D12" s="19" t="inlineStr">
        <is>
          <t>All Critical Systems</t>
        </is>
      </c>
      <c r="E12" s="21" t="inlineStr">
        <is>
          <t>Full DR Scenario</t>
        </is>
      </c>
      <c r="F12" s="20" t="inlineStr">
        <is>
          <t>10.11.2025</t>
        </is>
      </c>
      <c r="G12" s="20" t="inlineStr">
        <is>
          <t>⚠ Partial Success</t>
        </is>
      </c>
      <c r="H12" s="19" t="n">
        <v>12</v>
      </c>
      <c r="I12" s="19" t="inlineStr">
        <is>
          <t>BC/DR Coordinator</t>
        </is>
      </c>
      <c r="J12" s="19" t="inlineStr">
        <is>
          <t>ISS-006, ISS-007, ISS-008</t>
        </is>
      </c>
      <c r="K12" s="19" t="inlineStr">
        <is>
          <t>DR scenario partially successful, 3/5 Tier 1 systems recovered within RTO</t>
        </is>
      </c>
    </row>
    <row r="13">
      <c r="A13" s="18" t="inlineStr">
        <is>
          <t>RES-009</t>
        </is>
      </c>
      <c r="B13" s="19" t="n"/>
      <c r="C13" s="19" t="inlineStr">
        <is>
          <t>TEST-009</t>
        </is>
      </c>
      <c r="D13" s="19" t="inlineStr">
        <is>
          <t>File Server</t>
        </is>
      </c>
      <c r="E13" s="21" t="inlineStr">
        <is>
          <t>Backup Restore</t>
        </is>
      </c>
      <c r="F13" s="20" t="inlineStr">
        <is>
          <t>11.10.2025</t>
        </is>
      </c>
      <c r="G13" s="20" t="inlineStr">
        <is>
          <t>✅ Success</t>
        </is>
      </c>
      <c r="H13" s="19" t="n">
        <v>22</v>
      </c>
      <c r="I13" s="19" t="inlineStr">
        <is>
          <t>IT Operations</t>
        </is>
      </c>
      <c r="J13" s="19" t="inlineStr">
        <is>
          <t>None</t>
        </is>
      </c>
      <c r="K13" s="19" t="inlineStr">
        <is>
          <t>Restore successful, 22hr within 24hr target, Tier 3 system</t>
        </is>
      </c>
    </row>
    <row r="14">
      <c r="A14" s="18" t="inlineStr">
        <is>
          <t>RES-010</t>
        </is>
      </c>
      <c r="B14" s="19" t="n"/>
      <c r="C14" s="19" t="inlineStr">
        <is>
          <t>TEST-007</t>
        </is>
      </c>
      <c r="D14" s="19" t="inlineStr">
        <is>
          <t>HR Information System</t>
        </is>
      </c>
      <c r="E14" s="21" t="inlineStr">
        <is>
          <t>Backup Restore</t>
        </is>
      </c>
      <c r="F14" s="20" t="inlineStr">
        <is>
          <t>26.09.2025</t>
        </is>
      </c>
      <c r="G14" s="20" t="inlineStr">
        <is>
          <t>✅ Success</t>
        </is>
      </c>
      <c r="H14" s="19" t="n">
        <v>18.5</v>
      </c>
      <c r="I14" s="19" t="inlineStr">
        <is>
          <t>HR IT Team</t>
        </is>
      </c>
      <c r="J14" s="19" t="inlineStr">
        <is>
          <t>None</t>
        </is>
      </c>
      <c r="K14" s="19" t="inlineStr">
        <is>
          <t>Restore successful, 18.5hr within 20hr target, sensitive data verified</t>
        </is>
      </c>
    </row>
    <row r="15">
      <c r="A15" s="18" t="inlineStr">
        <is>
          <t>RES-011</t>
        </is>
      </c>
      <c r="B15" s="22" t="n"/>
      <c r="C15" s="22" t="n"/>
      <c r="D15" s="20" t="n"/>
      <c r="E15" s="23" t="n"/>
      <c r="F15" s="20" t="n"/>
      <c r="G15" s="24" t="n"/>
      <c r="H15" s="22" t="n"/>
      <c r="I15" s="22" t="n"/>
      <c r="J15" s="22" t="n"/>
    </row>
    <row r="16">
      <c r="A16" s="18" t="inlineStr">
        <is>
          <t>RES-012</t>
        </is>
      </c>
      <c r="B16" s="22" t="n"/>
      <c r="C16" s="22" t="n"/>
      <c r="D16" s="20" t="n"/>
      <c r="E16" s="23" t="n"/>
      <c r="F16" s="20" t="n"/>
      <c r="G16" s="24" t="n"/>
      <c r="H16" s="22" t="n"/>
      <c r="I16" s="22" t="n"/>
      <c r="J16" s="22" t="n"/>
    </row>
    <row r="17">
      <c r="A17" s="18" t="inlineStr">
        <is>
          <t>RES-013</t>
        </is>
      </c>
      <c r="B17" s="22" t="n"/>
      <c r="C17" s="22" t="n"/>
      <c r="D17" s="20" t="n"/>
      <c r="E17" s="23" t="n"/>
      <c r="F17" s="20" t="n"/>
      <c r="G17" s="24" t="n"/>
      <c r="H17" s="22" t="n"/>
      <c r="I17" s="22" t="n"/>
      <c r="J17" s="22" t="n"/>
    </row>
    <row r="18">
      <c r="A18" s="18" t="inlineStr">
        <is>
          <t>RES-014</t>
        </is>
      </c>
      <c r="B18" s="22" t="n"/>
      <c r="C18" s="22" t="n"/>
      <c r="D18" s="20" t="n"/>
      <c r="E18" s="23" t="n"/>
      <c r="F18" s="20" t="n"/>
      <c r="G18" s="24" t="n"/>
      <c r="H18" s="22" t="n"/>
      <c r="I18" s="22" t="n"/>
      <c r="J18" s="22" t="n"/>
    </row>
    <row r="19">
      <c r="A19" s="18" t="inlineStr">
        <is>
          <t>RES-015</t>
        </is>
      </c>
      <c r="B19" s="22" t="n"/>
      <c r="C19" s="22" t="n"/>
      <c r="D19" s="20" t="n"/>
      <c r="E19" s="23" t="n"/>
      <c r="F19" s="20" t="n"/>
      <c r="G19" s="24" t="n"/>
      <c r="H19" s="22" t="n"/>
      <c r="I19" s="22" t="n"/>
      <c r="J19" s="22" t="n"/>
    </row>
    <row r="20">
      <c r="A20" s="18" t="inlineStr">
        <is>
          <t>RES-016</t>
        </is>
      </c>
      <c r="B20" s="22" t="n"/>
      <c r="C20" s="22" t="n"/>
      <c r="D20" s="20" t="n"/>
      <c r="E20" s="23" t="n"/>
      <c r="F20" s="20" t="n"/>
      <c r="G20" s="24" t="n"/>
      <c r="H20" s="22" t="n"/>
      <c r="I20" s="22" t="n"/>
      <c r="J20" s="22" t="n"/>
    </row>
    <row r="21">
      <c r="A21" s="18" t="inlineStr">
        <is>
          <t>RES-017</t>
        </is>
      </c>
      <c r="B21" s="22" t="n"/>
      <c r="C21" s="22" t="n"/>
      <c r="D21" s="20" t="n"/>
      <c r="E21" s="23" t="n"/>
      <c r="F21" s="20" t="n"/>
      <c r="G21" s="24" t="n"/>
      <c r="H21" s="22" t="n"/>
      <c r="I21" s="22" t="n"/>
      <c r="J21" s="22" t="n"/>
    </row>
    <row r="22">
      <c r="A22" s="18" t="inlineStr">
        <is>
          <t>RES-018</t>
        </is>
      </c>
      <c r="B22" s="22" t="n"/>
      <c r="C22" s="22" t="n"/>
      <c r="D22" s="20" t="n"/>
      <c r="E22" s="23" t="n"/>
      <c r="F22" s="20" t="n"/>
      <c r="G22" s="24" t="n"/>
      <c r="H22" s="22" t="n"/>
      <c r="I22" s="22" t="n"/>
      <c r="J22" s="22" t="n"/>
    </row>
    <row r="23">
      <c r="A23" s="18" t="inlineStr">
        <is>
          <t>RES-019</t>
        </is>
      </c>
      <c r="B23" s="22" t="n"/>
      <c r="C23" s="22" t="n"/>
      <c r="D23" s="20" t="n"/>
      <c r="E23" s="23" t="n"/>
      <c r="F23" s="20" t="n"/>
      <c r="G23" s="24" t="n"/>
      <c r="H23" s="22" t="n"/>
      <c r="I23" s="22" t="n"/>
      <c r="J23" s="22" t="n"/>
    </row>
    <row r="24">
      <c r="A24" s="18" t="inlineStr">
        <is>
          <t>RES-020</t>
        </is>
      </c>
      <c r="B24" s="22" t="n"/>
      <c r="C24" s="22" t="n"/>
      <c r="D24" s="20" t="n"/>
      <c r="E24" s="23" t="n"/>
      <c r="F24" s="20" t="n"/>
      <c r="G24" s="24" t="n"/>
      <c r="H24" s="22" t="n"/>
      <c r="I24" s="22" t="n"/>
      <c r="J24" s="22" t="n"/>
    </row>
    <row r="25">
      <c r="A25" s="18" t="inlineStr">
        <is>
          <t>RES-021</t>
        </is>
      </c>
      <c r="B25" s="22" t="n"/>
      <c r="C25" s="22" t="n"/>
      <c r="D25" s="20" t="n"/>
      <c r="E25" s="23" t="n"/>
      <c r="F25" s="20" t="n"/>
      <c r="G25" s="24" t="n"/>
      <c r="H25" s="22" t="n"/>
      <c r="I25" s="22" t="n"/>
      <c r="J25" s="22" t="n"/>
    </row>
    <row r="26">
      <c r="A26" s="18" t="inlineStr">
        <is>
          <t>RES-022</t>
        </is>
      </c>
      <c r="B26" s="22" t="n"/>
      <c r="C26" s="22" t="n"/>
      <c r="D26" s="20" t="n"/>
      <c r="E26" s="23" t="n"/>
      <c r="F26" s="20" t="n"/>
      <c r="G26" s="24" t="n"/>
      <c r="H26" s="22" t="n"/>
      <c r="I26" s="22" t="n"/>
      <c r="J26" s="22" t="n"/>
    </row>
    <row r="27">
      <c r="A27" s="18" t="inlineStr">
        <is>
          <t>RES-023</t>
        </is>
      </c>
      <c r="B27" s="22" t="n"/>
      <c r="C27" s="22" t="n"/>
      <c r="D27" s="20" t="n"/>
      <c r="E27" s="23" t="n"/>
      <c r="F27" s="20" t="n"/>
      <c r="G27" s="24" t="n"/>
      <c r="H27" s="22" t="n"/>
      <c r="I27" s="22" t="n"/>
      <c r="J27" s="22" t="n"/>
    </row>
    <row r="28">
      <c r="A28" s="18" t="inlineStr">
        <is>
          <t>RES-024</t>
        </is>
      </c>
      <c r="B28" s="22" t="n"/>
      <c r="C28" s="22" t="n"/>
      <c r="D28" s="20" t="n"/>
      <c r="E28" s="23" t="n"/>
      <c r="F28" s="20" t="n"/>
      <c r="G28" s="24" t="n"/>
      <c r="H28" s="22" t="n"/>
      <c r="I28" s="22" t="n"/>
      <c r="J28" s="22" t="n"/>
    </row>
    <row r="29">
      <c r="A29" s="18" t="inlineStr">
        <is>
          <t>RES-025</t>
        </is>
      </c>
      <c r="B29" s="22" t="n"/>
      <c r="C29" s="22" t="n"/>
      <c r="D29" s="20" t="n"/>
      <c r="E29" s="23" t="n"/>
      <c r="F29" s="20" t="n"/>
      <c r="G29" s="24" t="n"/>
      <c r="H29" s="22" t="n"/>
      <c r="I29" s="22" t="n"/>
      <c r="J29" s="22" t="n"/>
    </row>
    <row r="30">
      <c r="A30" s="18" t="inlineStr">
        <is>
          <t>RES-026</t>
        </is>
      </c>
      <c r="B30" s="22" t="n"/>
      <c r="C30" s="22" t="n"/>
      <c r="D30" s="20" t="n"/>
      <c r="E30" s="23" t="n"/>
      <c r="F30" s="20" t="n"/>
      <c r="G30" s="24" t="n"/>
      <c r="H30" s="22" t="n"/>
      <c r="I30" s="22" t="n"/>
      <c r="J30" s="22" t="n"/>
    </row>
    <row r="31">
      <c r="A31" s="18" t="inlineStr">
        <is>
          <t>RES-027</t>
        </is>
      </c>
      <c r="B31" s="22" t="n"/>
      <c r="C31" s="22" t="n"/>
      <c r="D31" s="20" t="n"/>
      <c r="E31" s="23" t="n"/>
      <c r="F31" s="20" t="n"/>
      <c r="G31" s="24" t="n"/>
      <c r="H31" s="22" t="n"/>
      <c r="I31" s="22" t="n"/>
      <c r="J31" s="22" t="n"/>
    </row>
    <row r="32">
      <c r="A32" s="18" t="inlineStr">
        <is>
          <t>RES-028</t>
        </is>
      </c>
      <c r="B32" s="22" t="n"/>
      <c r="C32" s="22" t="n"/>
      <c r="D32" s="20" t="n"/>
      <c r="E32" s="23" t="n"/>
      <c r="F32" s="20" t="n"/>
      <c r="G32" s="24" t="n"/>
      <c r="H32" s="22" t="n"/>
      <c r="I32" s="22" t="n"/>
      <c r="J32" s="22" t="n"/>
    </row>
    <row r="33">
      <c r="A33" s="18" t="inlineStr">
        <is>
          <t>RES-029</t>
        </is>
      </c>
      <c r="B33" s="22" t="n"/>
      <c r="C33" s="22" t="n"/>
      <c r="D33" s="20" t="n"/>
      <c r="E33" s="23" t="n"/>
      <c r="F33" s="20" t="n"/>
      <c r="G33" s="24" t="n"/>
      <c r="H33" s="22" t="n"/>
      <c r="I33" s="22" t="n"/>
      <c r="J33" s="22" t="n"/>
    </row>
    <row r="34">
      <c r="A34" s="18" t="inlineStr">
        <is>
          <t>RES-030</t>
        </is>
      </c>
      <c r="B34" s="22" t="n"/>
      <c r="C34" s="22" t="n"/>
      <c r="D34" s="20" t="n"/>
      <c r="E34" s="23" t="n"/>
      <c r="F34" s="20" t="n"/>
      <c r="G34" s="24" t="n"/>
      <c r="H34" s="22" t="n"/>
      <c r="I34" s="22" t="n"/>
      <c r="J34" s="22" t="n"/>
    </row>
    <row r="35">
      <c r="A35" s="18" t="inlineStr">
        <is>
          <t>RES-031</t>
        </is>
      </c>
      <c r="B35" s="22" t="n"/>
      <c r="C35" s="22" t="n"/>
      <c r="D35" s="20" t="n"/>
      <c r="E35" s="23" t="n"/>
      <c r="F35" s="20" t="n"/>
      <c r="G35" s="24" t="n"/>
      <c r="H35" s="22" t="n"/>
      <c r="I35" s="22" t="n"/>
      <c r="J35" s="22" t="n"/>
    </row>
    <row r="36">
      <c r="A36" s="18" t="inlineStr">
        <is>
          <t>RES-032</t>
        </is>
      </c>
      <c r="B36" s="22" t="n"/>
      <c r="C36" s="22" t="n"/>
      <c r="D36" s="20" t="n"/>
      <c r="E36" s="23" t="n"/>
      <c r="F36" s="20" t="n"/>
      <c r="G36" s="24" t="n"/>
      <c r="H36" s="22" t="n"/>
      <c r="I36" s="22" t="n"/>
      <c r="J36" s="22" t="n"/>
    </row>
    <row r="37">
      <c r="A37" s="18" t="inlineStr">
        <is>
          <t>RES-033</t>
        </is>
      </c>
      <c r="B37" s="22" t="n"/>
      <c r="C37" s="22" t="n"/>
      <c r="D37" s="20" t="n"/>
      <c r="E37" s="23" t="n"/>
      <c r="F37" s="20" t="n"/>
      <c r="G37" s="24" t="n"/>
      <c r="H37" s="22" t="n"/>
      <c r="I37" s="22" t="n"/>
      <c r="J37" s="22" t="n"/>
    </row>
    <row r="38">
      <c r="A38" s="18" t="inlineStr">
        <is>
          <t>RES-034</t>
        </is>
      </c>
      <c r="B38" s="22" t="n"/>
      <c r="C38" s="22" t="n"/>
      <c r="D38" s="20" t="n"/>
      <c r="E38" s="23" t="n"/>
      <c r="F38" s="20" t="n"/>
      <c r="G38" s="24" t="n"/>
      <c r="H38" s="22" t="n"/>
      <c r="I38" s="22" t="n"/>
      <c r="J38" s="22" t="n"/>
    </row>
    <row r="39">
      <c r="A39" s="18" t="inlineStr">
        <is>
          <t>RES-035</t>
        </is>
      </c>
      <c r="B39" s="22" t="n"/>
      <c r="C39" s="22" t="n"/>
      <c r="D39" s="20" t="n"/>
      <c r="E39" s="23" t="n"/>
      <c r="F39" s="20" t="n"/>
      <c r="G39" s="24" t="n"/>
      <c r="H39" s="22" t="n"/>
      <c r="I39" s="22" t="n"/>
      <c r="J39" s="22" t="n"/>
    </row>
    <row r="40">
      <c r="A40" s="18" t="inlineStr">
        <is>
          <t>RES-036</t>
        </is>
      </c>
      <c r="B40" s="22" t="n"/>
      <c r="C40" s="22" t="n"/>
      <c r="D40" s="20" t="n"/>
      <c r="E40" s="23" t="n"/>
      <c r="F40" s="20" t="n"/>
      <c r="G40" s="24" t="n"/>
      <c r="H40" s="22" t="n"/>
      <c r="I40" s="22" t="n"/>
      <c r="J40" s="22" t="n"/>
    </row>
    <row r="41">
      <c r="A41" s="18" t="inlineStr">
        <is>
          <t>RES-037</t>
        </is>
      </c>
      <c r="B41" s="22" t="n"/>
      <c r="C41" s="22" t="n"/>
      <c r="D41" s="20" t="n"/>
      <c r="E41" s="23" t="n"/>
      <c r="F41" s="20" t="n"/>
      <c r="G41" s="24" t="n"/>
      <c r="H41" s="22" t="n"/>
      <c r="I41" s="22" t="n"/>
      <c r="J41" s="22" t="n"/>
    </row>
    <row r="42">
      <c r="A42" s="18" t="inlineStr">
        <is>
          <t>RES-038</t>
        </is>
      </c>
      <c r="B42" s="22" t="n"/>
      <c r="C42" s="22" t="n"/>
      <c r="D42" s="20" t="n"/>
      <c r="E42" s="23" t="n"/>
      <c r="F42" s="20" t="n"/>
      <c r="G42" s="24" t="n"/>
      <c r="H42" s="22" t="n"/>
      <c r="I42" s="22" t="n"/>
      <c r="J42" s="22" t="n"/>
    </row>
    <row r="43">
      <c r="A43" s="18" t="inlineStr">
        <is>
          <t>RES-039</t>
        </is>
      </c>
      <c r="B43" s="22" t="n"/>
      <c r="C43" s="22" t="n"/>
      <c r="D43" s="20" t="n"/>
      <c r="E43" s="23" t="n"/>
      <c r="F43" s="20" t="n"/>
      <c r="G43" s="24" t="n"/>
      <c r="H43" s="22" t="n"/>
      <c r="I43" s="22" t="n"/>
      <c r="J43" s="22" t="n"/>
    </row>
    <row r="44">
      <c r="A44" s="18" t="inlineStr">
        <is>
          <t>RES-040</t>
        </is>
      </c>
      <c r="B44" s="22" t="n"/>
      <c r="C44" s="22" t="n"/>
      <c r="D44" s="20" t="n"/>
      <c r="E44" s="23" t="n"/>
      <c r="F44" s="20" t="n"/>
      <c r="G44" s="24" t="n"/>
      <c r="H44" s="22" t="n"/>
      <c r="I44" s="22" t="n"/>
      <c r="J44" s="22" t="n"/>
    </row>
    <row r="45">
      <c r="A45" s="18" t="inlineStr">
        <is>
          <t>RES-041</t>
        </is>
      </c>
      <c r="B45" s="22" t="n"/>
      <c r="C45" s="22" t="n"/>
      <c r="D45" s="20" t="n"/>
      <c r="E45" s="23" t="n"/>
      <c r="F45" s="20" t="n"/>
      <c r="G45" s="24" t="n"/>
      <c r="H45" s="22" t="n"/>
      <c r="I45" s="22" t="n"/>
      <c r="J45" s="22" t="n"/>
    </row>
    <row r="46">
      <c r="A46" s="18" t="inlineStr">
        <is>
          <t>RES-042</t>
        </is>
      </c>
      <c r="B46" s="22" t="n"/>
      <c r="C46" s="22" t="n"/>
      <c r="D46" s="20" t="n"/>
      <c r="E46" s="23" t="n"/>
      <c r="F46" s="20" t="n"/>
      <c r="G46" s="24" t="n"/>
      <c r="H46" s="22" t="n"/>
      <c r="I46" s="22" t="n"/>
      <c r="J46" s="22" t="n"/>
    </row>
    <row r="47">
      <c r="A47" s="18" t="inlineStr">
        <is>
          <t>RES-043</t>
        </is>
      </c>
      <c r="B47" s="22" t="n"/>
      <c r="C47" s="22" t="n"/>
      <c r="D47" s="20" t="n"/>
      <c r="E47" s="23" t="n"/>
      <c r="F47" s="20" t="n"/>
      <c r="G47" s="24" t="n"/>
      <c r="H47" s="22" t="n"/>
      <c r="I47" s="22" t="n"/>
      <c r="J47" s="22" t="n"/>
    </row>
    <row r="48">
      <c r="A48" s="18" t="inlineStr">
        <is>
          <t>RES-044</t>
        </is>
      </c>
      <c r="B48" s="22" t="n"/>
      <c r="C48" s="22" t="n"/>
      <c r="D48" s="20" t="n"/>
      <c r="E48" s="23" t="n"/>
      <c r="F48" s="20" t="n"/>
      <c r="G48" s="24" t="n"/>
      <c r="H48" s="22" t="n"/>
      <c r="I48" s="22" t="n"/>
      <c r="J48" s="22" t="n"/>
    </row>
    <row r="49">
      <c r="A49" s="18" t="inlineStr">
        <is>
          <t>RES-045</t>
        </is>
      </c>
      <c r="B49" s="22" t="n"/>
      <c r="C49" s="22" t="n"/>
      <c r="D49" s="20" t="n"/>
      <c r="E49" s="23" t="n"/>
      <c r="F49" s="20" t="n"/>
      <c r="G49" s="24" t="n"/>
      <c r="H49" s="22" t="n"/>
      <c r="I49" s="22" t="n"/>
      <c r="J49" s="22" t="n"/>
    </row>
    <row r="50">
      <c r="A50" s="18" t="inlineStr">
        <is>
          <t>RES-046</t>
        </is>
      </c>
      <c r="B50" s="22" t="n"/>
      <c r="C50" s="22" t="n"/>
      <c r="D50" s="20" t="n"/>
      <c r="E50" s="23" t="n"/>
      <c r="F50" s="20" t="n"/>
      <c r="G50" s="24" t="n"/>
      <c r="H50" s="22" t="n"/>
      <c r="I50" s="22" t="n"/>
      <c r="J50" s="22" t="n"/>
    </row>
    <row r="51">
      <c r="A51" s="18" t="inlineStr">
        <is>
          <t>RES-047</t>
        </is>
      </c>
      <c r="B51" s="22" t="n"/>
      <c r="C51" s="22" t="n"/>
      <c r="D51" s="20" t="n"/>
      <c r="E51" s="23" t="n"/>
      <c r="F51" s="20" t="n"/>
      <c r="G51" s="24" t="n"/>
      <c r="H51" s="22" t="n"/>
      <c r="I51" s="22" t="n"/>
      <c r="J51" s="22" t="n"/>
    </row>
    <row r="52">
      <c r="A52" s="18" t="inlineStr">
        <is>
          <t>RES-048</t>
        </is>
      </c>
      <c r="B52" s="22" t="n"/>
      <c r="C52" s="22" t="n"/>
      <c r="D52" s="20" t="n"/>
      <c r="E52" s="23" t="n"/>
      <c r="F52" s="20" t="n"/>
      <c r="G52" s="24" t="n"/>
      <c r="H52" s="22" t="n"/>
      <c r="I52" s="22" t="n"/>
      <c r="J52" s="22" t="n"/>
    </row>
    <row r="53">
      <c r="A53" s="18" t="inlineStr">
        <is>
          <t>RES-049</t>
        </is>
      </c>
      <c r="B53" s="22" t="n"/>
      <c r="C53" s="22" t="n"/>
      <c r="D53" s="20" t="n"/>
      <c r="E53" s="23" t="n"/>
      <c r="F53" s="20" t="n"/>
      <c r="G53" s="24" t="n"/>
      <c r="H53" s="22" t="n"/>
      <c r="I53" s="22" t="n"/>
      <c r="J53" s="22" t="n"/>
    </row>
    <row r="54">
      <c r="A54" s="18" t="inlineStr">
        <is>
          <t>RES-050</t>
        </is>
      </c>
      <c r="B54" s="22" t="n"/>
      <c r="C54" s="22" t="n"/>
      <c r="D54" s="20" t="n"/>
      <c r="E54" s="23" t="n"/>
      <c r="F54" s="20" t="n"/>
      <c r="G54" s="24" t="n"/>
      <c r="H54" s="22" t="n"/>
      <c r="I54" s="22" t="n"/>
      <c r="J54" s="22" t="n"/>
    </row>
    <row r="55">
      <c r="A55" s="18" t="inlineStr">
        <is>
          <t>RES-051</t>
        </is>
      </c>
      <c r="B55" s="22" t="n"/>
      <c r="C55" s="22" t="n"/>
      <c r="D55" s="20" t="n"/>
      <c r="E55" s="23" t="n"/>
      <c r="F55" s="20" t="n"/>
      <c r="G55" s="24" t="n"/>
      <c r="H55" s="22" t="n"/>
      <c r="I55" s="22" t="n"/>
      <c r="J55" s="22" t="n"/>
    </row>
    <row r="56">
      <c r="A56" s="18" t="inlineStr">
        <is>
          <t>RES-052</t>
        </is>
      </c>
      <c r="B56" s="22" t="n"/>
      <c r="C56" s="22" t="n"/>
      <c r="D56" s="20" t="n"/>
      <c r="E56" s="23" t="n"/>
      <c r="F56" s="20" t="n"/>
      <c r="G56" s="24" t="n"/>
      <c r="H56" s="22" t="n"/>
      <c r="I56" s="22" t="n"/>
      <c r="J56" s="22" t="n"/>
    </row>
    <row r="57">
      <c r="A57" s="18" t="inlineStr">
        <is>
          <t>RES-053</t>
        </is>
      </c>
      <c r="B57" s="22" t="n"/>
      <c r="C57" s="22" t="n"/>
      <c r="D57" s="20" t="n"/>
      <c r="E57" s="23" t="n"/>
      <c r="F57" s="20" t="n"/>
      <c r="G57" s="24" t="n"/>
      <c r="H57" s="22" t="n"/>
      <c r="I57" s="22" t="n"/>
      <c r="J57" s="22" t="n"/>
    </row>
    <row r="58">
      <c r="A58" s="18" t="inlineStr">
        <is>
          <t>RES-054</t>
        </is>
      </c>
      <c r="B58" s="22" t="n"/>
      <c r="C58" s="22" t="n"/>
      <c r="D58" s="20" t="n"/>
      <c r="E58" s="23" t="n"/>
      <c r="F58" s="20" t="n"/>
      <c r="G58" s="24" t="n"/>
      <c r="H58" s="22" t="n"/>
      <c r="I58" s="22" t="n"/>
      <c r="J58" s="22" t="n"/>
    </row>
    <row r="59">
      <c r="A59" s="18" t="inlineStr">
        <is>
          <t>RES-055</t>
        </is>
      </c>
      <c r="B59" s="22" t="n"/>
      <c r="C59" s="22" t="n"/>
      <c r="D59" s="20" t="n"/>
      <c r="E59" s="23" t="n"/>
      <c r="F59" s="20" t="n"/>
      <c r="G59" s="24" t="n"/>
      <c r="H59" s="22" t="n"/>
      <c r="I59" s="22" t="n"/>
      <c r="J59" s="22" t="n"/>
    </row>
    <row r="60">
      <c r="A60" s="18" t="inlineStr">
        <is>
          <t>RES-056</t>
        </is>
      </c>
      <c r="B60" s="22" t="n"/>
      <c r="C60" s="22" t="n"/>
      <c r="D60" s="20" t="n"/>
      <c r="E60" s="23" t="n"/>
      <c r="F60" s="20" t="n"/>
      <c r="G60" s="24" t="n"/>
      <c r="H60" s="22" t="n"/>
      <c r="I60" s="22" t="n"/>
      <c r="J60" s="22" t="n"/>
    </row>
    <row r="61">
      <c r="A61" s="18" t="inlineStr">
        <is>
          <t>RES-057</t>
        </is>
      </c>
      <c r="B61" s="22" t="n"/>
      <c r="C61" s="22" t="n"/>
      <c r="D61" s="20" t="n"/>
      <c r="E61" s="23" t="n"/>
      <c r="F61" s="20" t="n"/>
      <c r="G61" s="24" t="n"/>
      <c r="H61" s="22" t="n"/>
      <c r="I61" s="22" t="n"/>
      <c r="J61" s="22" t="n"/>
    </row>
    <row r="62">
      <c r="A62" s="18" t="inlineStr">
        <is>
          <t>RES-058</t>
        </is>
      </c>
      <c r="B62" s="22" t="n"/>
      <c r="C62" s="22" t="n"/>
      <c r="D62" s="20" t="n"/>
      <c r="E62" s="23" t="n"/>
      <c r="F62" s="20" t="n"/>
      <c r="G62" s="24" t="n"/>
      <c r="H62" s="22" t="n"/>
      <c r="I62" s="22" t="n"/>
      <c r="J62" s="22" t="n"/>
    </row>
    <row r="63">
      <c r="A63" s="18" t="inlineStr">
        <is>
          <t>RES-059</t>
        </is>
      </c>
      <c r="B63" s="22" t="n"/>
      <c r="C63" s="22" t="n"/>
      <c r="D63" s="20" t="n"/>
      <c r="E63" s="23" t="n"/>
      <c r="F63" s="20" t="n"/>
      <c r="G63" s="24" t="n"/>
      <c r="H63" s="22" t="n"/>
      <c r="I63" s="22" t="n"/>
      <c r="J63" s="22" t="n"/>
    </row>
    <row r="64">
      <c r="A64" s="18" t="inlineStr">
        <is>
          <t>RES-060</t>
        </is>
      </c>
      <c r="B64" s="22" t="n"/>
      <c r="C64" s="22" t="n"/>
      <c r="D64" s="20" t="n"/>
      <c r="E64" s="23" t="n"/>
      <c r="F64" s="20" t="n"/>
      <c r="G64" s="24" t="n"/>
      <c r="H64" s="22" t="n"/>
      <c r="I64" s="22" t="n"/>
      <c r="J64" s="22" t="n"/>
    </row>
    <row r="65">
      <c r="A65" s="18" t="inlineStr">
        <is>
          <t>RES-061</t>
        </is>
      </c>
      <c r="B65" s="22" t="n"/>
      <c r="C65" s="22" t="n"/>
      <c r="D65" s="20" t="n"/>
      <c r="E65" s="23" t="n"/>
      <c r="F65" s="20" t="n"/>
      <c r="G65" s="24" t="n"/>
      <c r="H65" s="22" t="n"/>
      <c r="I65" s="22" t="n"/>
      <c r="J65" s="22" t="n"/>
    </row>
    <row r="66">
      <c r="A66" s="18" t="inlineStr">
        <is>
          <t>RES-062</t>
        </is>
      </c>
      <c r="B66" s="22" t="n"/>
      <c r="C66" s="22" t="n"/>
      <c r="D66" s="20" t="n"/>
      <c r="E66" s="23" t="n"/>
      <c r="F66" s="20" t="n"/>
      <c r="G66" s="24" t="n"/>
      <c r="H66" s="22" t="n"/>
      <c r="I66" s="22" t="n"/>
      <c r="J66" s="22" t="n"/>
    </row>
    <row r="67">
      <c r="A67" s="18" t="inlineStr">
        <is>
          <t>RES-063</t>
        </is>
      </c>
      <c r="B67" s="22" t="n"/>
      <c r="C67" s="22" t="n"/>
      <c r="D67" s="20" t="n"/>
      <c r="E67" s="23" t="n"/>
      <c r="F67" s="20" t="n"/>
      <c r="G67" s="24" t="n"/>
      <c r="H67" s="22" t="n"/>
      <c r="I67" s="22" t="n"/>
      <c r="J67" s="22" t="n"/>
    </row>
    <row r="68">
      <c r="A68" s="18" t="inlineStr">
        <is>
          <t>RES-064</t>
        </is>
      </c>
      <c r="B68" s="22" t="n"/>
      <c r="C68" s="22" t="n"/>
      <c r="D68" s="20" t="n"/>
      <c r="E68" s="23" t="n"/>
      <c r="F68" s="20" t="n"/>
      <c r="G68" s="24" t="n"/>
      <c r="H68" s="22" t="n"/>
      <c r="I68" s="22" t="n"/>
      <c r="J68" s="22" t="n"/>
    </row>
    <row r="69">
      <c r="A69" s="18" t="inlineStr">
        <is>
          <t>RES-065</t>
        </is>
      </c>
      <c r="B69" s="22" t="n"/>
      <c r="C69" s="22" t="n"/>
      <c r="D69" s="20" t="n"/>
      <c r="E69" s="23" t="n"/>
      <c r="F69" s="20" t="n"/>
      <c r="G69" s="24" t="n"/>
      <c r="H69" s="22" t="n"/>
      <c r="I69" s="22" t="n"/>
      <c r="J69" s="22" t="n"/>
    </row>
    <row r="70">
      <c r="A70" s="18" t="inlineStr">
        <is>
          <t>RES-066</t>
        </is>
      </c>
      <c r="B70" s="22" t="n"/>
      <c r="C70" s="22" t="n"/>
      <c r="D70" s="20" t="n"/>
      <c r="E70" s="23" t="n"/>
      <c r="F70" s="20" t="n"/>
      <c r="G70" s="24" t="n"/>
      <c r="H70" s="22" t="n"/>
      <c r="I70" s="22" t="n"/>
      <c r="J70" s="22" t="n"/>
    </row>
    <row r="71">
      <c r="A71" s="18" t="inlineStr">
        <is>
          <t>RES-067</t>
        </is>
      </c>
      <c r="B71" s="22" t="n"/>
      <c r="C71" s="22" t="n"/>
      <c r="D71" s="20" t="n"/>
      <c r="E71" s="23" t="n"/>
      <c r="F71" s="20" t="n"/>
      <c r="G71" s="24" t="n"/>
      <c r="H71" s="22" t="n"/>
      <c r="I71" s="22" t="n"/>
      <c r="J71" s="22" t="n"/>
    </row>
    <row r="72">
      <c r="A72" s="18" t="inlineStr">
        <is>
          <t>RES-068</t>
        </is>
      </c>
      <c r="B72" s="22" t="n"/>
      <c r="C72" s="22" t="n"/>
      <c r="D72" s="20" t="n"/>
      <c r="E72" s="23" t="n"/>
      <c r="F72" s="20" t="n"/>
      <c r="G72" s="24" t="n"/>
      <c r="H72" s="22" t="n"/>
      <c r="I72" s="22" t="n"/>
      <c r="J72" s="22" t="n"/>
    </row>
    <row r="73">
      <c r="A73" s="18" t="inlineStr">
        <is>
          <t>RES-069</t>
        </is>
      </c>
      <c r="B73" s="22" t="n"/>
      <c r="C73" s="22" t="n"/>
      <c r="D73" s="20" t="n"/>
      <c r="E73" s="23" t="n"/>
      <c r="F73" s="20" t="n"/>
      <c r="G73" s="24" t="n"/>
      <c r="H73" s="22" t="n"/>
      <c r="I73" s="22" t="n"/>
      <c r="J73" s="22" t="n"/>
    </row>
    <row r="74">
      <c r="A74" s="18" t="inlineStr">
        <is>
          <t>RES-070</t>
        </is>
      </c>
      <c r="B74" s="22" t="n"/>
      <c r="C74" s="22" t="n"/>
      <c r="D74" s="20" t="n"/>
      <c r="E74" s="23" t="n"/>
      <c r="F74" s="20" t="n"/>
      <c r="G74" s="24" t="n"/>
      <c r="H74" s="22" t="n"/>
      <c r="I74" s="22" t="n"/>
      <c r="J74" s="22" t="n"/>
    </row>
    <row r="75">
      <c r="A75" s="18" t="inlineStr">
        <is>
          <t>RES-071</t>
        </is>
      </c>
      <c r="B75" s="22" t="n"/>
      <c r="C75" s="22" t="n"/>
      <c r="D75" s="20" t="n"/>
      <c r="E75" s="23" t="n"/>
      <c r="F75" s="20" t="n"/>
      <c r="G75" s="24" t="n"/>
      <c r="H75" s="22" t="n"/>
      <c r="I75" s="22" t="n"/>
      <c r="J75" s="22" t="n"/>
    </row>
    <row r="76">
      <c r="A76" s="18" t="inlineStr">
        <is>
          <t>RES-072</t>
        </is>
      </c>
      <c r="B76" s="22" t="n"/>
      <c r="C76" s="22" t="n"/>
      <c r="D76" s="20" t="n"/>
      <c r="E76" s="23" t="n"/>
      <c r="F76" s="20" t="n"/>
      <c r="G76" s="24" t="n"/>
      <c r="H76" s="22" t="n"/>
      <c r="I76" s="22" t="n"/>
      <c r="J76" s="22" t="n"/>
    </row>
    <row r="77">
      <c r="A77" s="18" t="inlineStr">
        <is>
          <t>RES-073</t>
        </is>
      </c>
      <c r="B77" s="22" t="n"/>
      <c r="C77" s="22" t="n"/>
      <c r="D77" s="20" t="n"/>
      <c r="E77" s="23" t="n"/>
      <c r="F77" s="20" t="n"/>
      <c r="G77" s="24" t="n"/>
      <c r="H77" s="22" t="n"/>
      <c r="I77" s="22" t="n"/>
      <c r="J77" s="22" t="n"/>
    </row>
    <row r="78">
      <c r="A78" s="18" t="inlineStr">
        <is>
          <t>RES-074</t>
        </is>
      </c>
      <c r="B78" s="22" t="n"/>
      <c r="C78" s="22" t="n"/>
      <c r="D78" s="20" t="n"/>
      <c r="E78" s="23" t="n"/>
      <c r="F78" s="20" t="n"/>
      <c r="G78" s="24" t="n"/>
      <c r="H78" s="22" t="n"/>
      <c r="I78" s="22" t="n"/>
      <c r="J78" s="22" t="n"/>
    </row>
    <row r="79">
      <c r="A79" s="18" t="inlineStr">
        <is>
          <t>RES-075</t>
        </is>
      </c>
      <c r="B79" s="22" t="n"/>
      <c r="C79" s="22" t="n"/>
      <c r="D79" s="20" t="n"/>
      <c r="E79" s="23" t="n"/>
      <c r="F79" s="20" t="n"/>
      <c r="G79" s="24" t="n"/>
      <c r="H79" s="22" t="n"/>
      <c r="I79" s="22" t="n"/>
      <c r="J79" s="22" t="n"/>
    </row>
    <row r="80">
      <c r="A80" s="18" t="inlineStr">
        <is>
          <t>RES-076</t>
        </is>
      </c>
      <c r="B80" s="22" t="n"/>
      <c r="C80" s="22" t="n"/>
      <c r="D80" s="20" t="n"/>
      <c r="E80" s="23" t="n"/>
      <c r="F80" s="20" t="n"/>
      <c r="G80" s="24" t="n"/>
      <c r="H80" s="22" t="n"/>
      <c r="I80" s="22" t="n"/>
      <c r="J80" s="22" t="n"/>
    </row>
    <row r="81">
      <c r="A81" s="18" t="inlineStr">
        <is>
          <t>RES-077</t>
        </is>
      </c>
      <c r="B81" s="22" t="n"/>
      <c r="C81" s="22" t="n"/>
      <c r="D81" s="20" t="n"/>
      <c r="E81" s="23" t="n"/>
      <c r="F81" s="20" t="n"/>
      <c r="G81" s="24" t="n"/>
      <c r="H81" s="22" t="n"/>
      <c r="I81" s="22" t="n"/>
      <c r="J81" s="22" t="n"/>
    </row>
    <row r="82">
      <c r="A82" s="18" t="inlineStr">
        <is>
          <t>RES-078</t>
        </is>
      </c>
      <c r="B82" s="22" t="n"/>
      <c r="C82" s="22" t="n"/>
      <c r="D82" s="20" t="n"/>
      <c r="E82" s="23" t="n"/>
      <c r="F82" s="20" t="n"/>
      <c r="G82" s="24" t="n"/>
      <c r="H82" s="22" t="n"/>
      <c r="I82" s="22" t="n"/>
      <c r="J82" s="22" t="n"/>
    </row>
    <row r="83">
      <c r="A83" s="18" t="inlineStr">
        <is>
          <t>RES-079</t>
        </is>
      </c>
      <c r="B83" s="22" t="n"/>
      <c r="C83" s="22" t="n"/>
      <c r="D83" s="20" t="n"/>
      <c r="E83" s="23" t="n"/>
      <c r="F83" s="20" t="n"/>
      <c r="G83" s="24" t="n"/>
      <c r="H83" s="22" t="n"/>
      <c r="I83" s="22" t="n"/>
      <c r="J83" s="22" t="n"/>
    </row>
    <row r="84">
      <c r="A84" s="18" t="inlineStr">
        <is>
          <t>RES-080</t>
        </is>
      </c>
      <c r="B84" s="22" t="n"/>
      <c r="C84" s="22" t="n"/>
      <c r="D84" s="20" t="n"/>
      <c r="E84" s="23" t="n"/>
      <c r="F84" s="20" t="n"/>
      <c r="G84" s="24" t="n"/>
      <c r="H84" s="22" t="n"/>
      <c r="I84" s="22" t="n"/>
      <c r="J84" s="22" t="n"/>
    </row>
    <row r="85">
      <c r="A85" s="18" t="inlineStr">
        <is>
          <t>RES-081</t>
        </is>
      </c>
      <c r="B85" s="22" t="n"/>
      <c r="C85" s="22" t="n"/>
      <c r="D85" s="20" t="n"/>
      <c r="E85" s="23" t="n"/>
      <c r="F85" s="20" t="n"/>
      <c r="G85" s="24" t="n"/>
      <c r="H85" s="22" t="n"/>
      <c r="I85" s="22" t="n"/>
      <c r="J85" s="22" t="n"/>
    </row>
    <row r="86">
      <c r="A86" s="18" t="inlineStr">
        <is>
          <t>RES-082</t>
        </is>
      </c>
      <c r="B86" s="22" t="n"/>
      <c r="C86" s="22" t="n"/>
      <c r="D86" s="20" t="n"/>
      <c r="E86" s="23" t="n"/>
      <c r="F86" s="20" t="n"/>
      <c r="G86" s="24" t="n"/>
      <c r="H86" s="22" t="n"/>
      <c r="I86" s="22" t="n"/>
      <c r="J86" s="22" t="n"/>
    </row>
    <row r="87">
      <c r="A87" s="18" t="inlineStr">
        <is>
          <t>RES-083</t>
        </is>
      </c>
      <c r="B87" s="22" t="n"/>
      <c r="C87" s="22" t="n"/>
      <c r="D87" s="20" t="n"/>
      <c r="E87" s="23" t="n"/>
      <c r="F87" s="20" t="n"/>
      <c r="G87" s="24" t="n"/>
      <c r="H87" s="22" t="n"/>
      <c r="I87" s="22" t="n"/>
      <c r="J87" s="22" t="n"/>
    </row>
    <row r="88">
      <c r="A88" s="18" t="inlineStr">
        <is>
          <t>RES-084</t>
        </is>
      </c>
      <c r="B88" s="22" t="n"/>
      <c r="C88" s="22" t="n"/>
      <c r="D88" s="20" t="n"/>
      <c r="E88" s="23" t="n"/>
      <c r="F88" s="20" t="n"/>
      <c r="G88" s="24" t="n"/>
      <c r="H88" s="22" t="n"/>
      <c r="I88" s="22" t="n"/>
      <c r="J88" s="22" t="n"/>
    </row>
    <row r="89">
      <c r="A89" s="18" t="inlineStr">
        <is>
          <t>RES-085</t>
        </is>
      </c>
      <c r="B89" s="22" t="n"/>
      <c r="C89" s="22" t="n"/>
      <c r="D89" s="20" t="n"/>
      <c r="E89" s="23" t="n"/>
      <c r="F89" s="20" t="n"/>
      <c r="G89" s="24" t="n"/>
      <c r="H89" s="22" t="n"/>
      <c r="I89" s="22" t="n"/>
      <c r="J89" s="22" t="n"/>
    </row>
    <row r="90">
      <c r="A90" s="18" t="inlineStr">
        <is>
          <t>RES-086</t>
        </is>
      </c>
      <c r="B90" s="22" t="n"/>
      <c r="C90" s="22" t="n"/>
      <c r="D90" s="20" t="n"/>
      <c r="E90" s="23" t="n"/>
      <c r="F90" s="20" t="n"/>
      <c r="G90" s="24" t="n"/>
      <c r="H90" s="22" t="n"/>
      <c r="I90" s="22" t="n"/>
      <c r="J90" s="22" t="n"/>
    </row>
    <row r="91">
      <c r="A91" s="18" t="inlineStr">
        <is>
          <t>RES-087</t>
        </is>
      </c>
      <c r="B91" s="22" t="n"/>
      <c r="C91" s="22" t="n"/>
      <c r="D91" s="20" t="n"/>
      <c r="E91" s="23" t="n"/>
      <c r="F91" s="20" t="n"/>
      <c r="G91" s="24" t="n"/>
      <c r="H91" s="22" t="n"/>
      <c r="I91" s="22" t="n"/>
      <c r="J91" s="22" t="n"/>
    </row>
    <row r="92">
      <c r="A92" s="18" t="inlineStr">
        <is>
          <t>RES-088</t>
        </is>
      </c>
      <c r="B92" s="22" t="n"/>
      <c r="C92" s="22" t="n"/>
      <c r="D92" s="20" t="n"/>
      <c r="E92" s="23" t="n"/>
      <c r="F92" s="20" t="n"/>
      <c r="G92" s="24" t="n"/>
      <c r="H92" s="22" t="n"/>
      <c r="I92" s="22" t="n"/>
      <c r="J92" s="22" t="n"/>
    </row>
    <row r="93">
      <c r="A93" s="18" t="inlineStr">
        <is>
          <t>RES-089</t>
        </is>
      </c>
      <c r="B93" s="22" t="n"/>
      <c r="C93" s="22" t="n"/>
      <c r="D93" s="20" t="n"/>
      <c r="E93" s="23" t="n"/>
      <c r="F93" s="20" t="n"/>
      <c r="G93" s="24" t="n"/>
      <c r="H93" s="22" t="n"/>
      <c r="I93" s="22" t="n"/>
      <c r="J93" s="22" t="n"/>
    </row>
    <row r="94">
      <c r="A94" s="18" t="inlineStr">
        <is>
          <t>RES-090</t>
        </is>
      </c>
      <c r="B94" s="22" t="n"/>
      <c r="C94" s="22" t="n"/>
      <c r="D94" s="20" t="n"/>
      <c r="E94" s="23" t="n"/>
      <c r="F94" s="20" t="n"/>
      <c r="G94" s="24" t="n"/>
      <c r="H94" s="22" t="n"/>
      <c r="I94" s="22" t="n"/>
      <c r="J94" s="22" t="n"/>
    </row>
    <row r="95">
      <c r="A95" s="18" t="inlineStr">
        <is>
          <t>RES-091</t>
        </is>
      </c>
      <c r="B95" s="22" t="n"/>
      <c r="C95" s="22" t="n"/>
      <c r="D95" s="20" t="n"/>
      <c r="E95" s="23" t="n"/>
      <c r="F95" s="20" t="n"/>
      <c r="G95" s="24" t="n"/>
      <c r="H95" s="22" t="n"/>
      <c r="I95" s="22" t="n"/>
      <c r="J95" s="22" t="n"/>
    </row>
    <row r="96">
      <c r="A96" s="18" t="inlineStr">
        <is>
          <t>RES-092</t>
        </is>
      </c>
      <c r="B96" s="22" t="n"/>
      <c r="C96" s="22" t="n"/>
      <c r="D96" s="20" t="n"/>
      <c r="E96" s="23" t="n"/>
      <c r="F96" s="20" t="n"/>
      <c r="G96" s="24" t="n"/>
      <c r="H96" s="22" t="n"/>
      <c r="I96" s="22" t="n"/>
      <c r="J96" s="22" t="n"/>
    </row>
    <row r="97">
      <c r="A97" s="18" t="inlineStr">
        <is>
          <t>RES-093</t>
        </is>
      </c>
      <c r="B97" s="22" t="n"/>
      <c r="C97" s="22" t="n"/>
      <c r="D97" s="20" t="n"/>
      <c r="E97" s="23" t="n"/>
      <c r="F97" s="20" t="n"/>
      <c r="G97" s="24" t="n"/>
      <c r="H97" s="22" t="n"/>
      <c r="I97" s="22" t="n"/>
      <c r="J97" s="22" t="n"/>
    </row>
    <row r="98">
      <c r="A98" s="18" t="inlineStr">
        <is>
          <t>RES-094</t>
        </is>
      </c>
      <c r="B98" s="22" t="n"/>
      <c r="C98" s="22" t="n"/>
      <c r="D98" s="20" t="n"/>
      <c r="E98" s="23" t="n"/>
      <c r="F98" s="20" t="n"/>
      <c r="G98" s="24" t="n"/>
      <c r="H98" s="22" t="n"/>
      <c r="I98" s="22" t="n"/>
      <c r="J98" s="22" t="n"/>
    </row>
    <row r="99">
      <c r="A99" s="18" t="inlineStr">
        <is>
          <t>RES-095</t>
        </is>
      </c>
      <c r="B99" s="22" t="n"/>
      <c r="C99" s="22" t="n"/>
      <c r="D99" s="20" t="n"/>
      <c r="E99" s="23" t="n"/>
      <c r="F99" s="20" t="n"/>
      <c r="G99" s="24" t="n"/>
      <c r="H99" s="22" t="n"/>
      <c r="I99" s="22" t="n"/>
      <c r="J99" s="22" t="n"/>
    </row>
    <row r="100">
      <c r="A100" s="18" t="inlineStr">
        <is>
          <t>RES-096</t>
        </is>
      </c>
      <c r="B100" s="22" t="n"/>
      <c r="C100" s="22" t="n"/>
      <c r="D100" s="20" t="n"/>
      <c r="E100" s="23" t="n"/>
      <c r="F100" s="20" t="n"/>
      <c r="G100" s="24" t="n"/>
      <c r="H100" s="22" t="n"/>
      <c r="I100" s="22" t="n"/>
      <c r="J100" s="22" t="n"/>
    </row>
    <row r="101">
      <c r="A101" s="18" t="inlineStr">
        <is>
          <t>RES-097</t>
        </is>
      </c>
      <c r="B101" s="22" t="n"/>
      <c r="C101" s="22" t="n"/>
      <c r="D101" s="20" t="n"/>
      <c r="E101" s="23" t="n"/>
      <c r="F101" s="20" t="n"/>
      <c r="G101" s="24" t="n"/>
      <c r="H101" s="22" t="n"/>
      <c r="I101" s="22" t="n"/>
      <c r="J101" s="22" t="n"/>
    </row>
    <row r="102">
      <c r="A102" s="18" t="inlineStr">
        <is>
          <t>RES-098</t>
        </is>
      </c>
      <c r="B102" s="22" t="n"/>
      <c r="C102" s="22" t="n"/>
      <c r="D102" s="20" t="n"/>
      <c r="E102" s="23" t="n"/>
      <c r="F102" s="20" t="n"/>
      <c r="G102" s="24" t="n"/>
      <c r="H102" s="22" t="n"/>
      <c r="I102" s="22" t="n"/>
      <c r="J102" s="22" t="n"/>
    </row>
    <row r="103">
      <c r="A103" s="18" t="inlineStr">
        <is>
          <t>RES-099</t>
        </is>
      </c>
      <c r="B103" s="22" t="n"/>
      <c r="C103" s="22" t="n"/>
      <c r="D103" s="20" t="n"/>
      <c r="E103" s="23" t="n"/>
      <c r="F103" s="20" t="n"/>
      <c r="G103" s="24" t="n"/>
      <c r="H103" s="22" t="n"/>
      <c r="I103" s="22" t="n"/>
      <c r="J103" s="22" t="n"/>
    </row>
    <row r="104">
      <c r="A104" s="18" t="inlineStr">
        <is>
          <t>RES-100</t>
        </is>
      </c>
      <c r="B104" s="22" t="n"/>
      <c r="C104" s="22" t="n"/>
      <c r="D104" s="20" t="n"/>
      <c r="E104" s="23" t="n"/>
      <c r="F104" s="20" t="n"/>
      <c r="G104" s="24" t="n"/>
      <c r="H104" s="22" t="n"/>
      <c r="I104" s="22" t="n"/>
      <c r="J104" s="22" t="n"/>
    </row>
    <row r="105">
      <c r="A105" s="18" t="inlineStr">
        <is>
          <t>RES-101</t>
        </is>
      </c>
      <c r="B105" s="22" t="n"/>
      <c r="C105" s="22" t="n"/>
      <c r="D105" s="20" t="n"/>
      <c r="E105" s="23" t="n"/>
      <c r="F105" s="20" t="n"/>
      <c r="G105" s="24" t="n"/>
      <c r="H105" s="22" t="n"/>
      <c r="I105" s="22" t="n"/>
      <c r="J105" s="22" t="n"/>
    </row>
    <row r="106">
      <c r="A106" s="18" t="inlineStr">
        <is>
          <t>RES-102</t>
        </is>
      </c>
      <c r="B106" s="22" t="n"/>
      <c r="C106" s="22" t="n"/>
      <c r="D106" s="20" t="n"/>
      <c r="E106" s="23" t="n"/>
      <c r="F106" s="20" t="n"/>
      <c r="G106" s="24" t="n"/>
      <c r="H106" s="22" t="n"/>
      <c r="I106" s="22" t="n"/>
      <c r="J106" s="22" t="n"/>
    </row>
    <row r="107">
      <c r="A107" s="18" t="inlineStr">
        <is>
          <t>RES-103</t>
        </is>
      </c>
      <c r="B107" s="22" t="n"/>
      <c r="C107" s="22" t="n"/>
      <c r="D107" s="20" t="n"/>
      <c r="E107" s="23" t="n"/>
      <c r="F107" s="20" t="n"/>
      <c r="G107" s="24" t="n"/>
      <c r="H107" s="22" t="n"/>
      <c r="I107" s="22" t="n"/>
      <c r="J107" s="22" t="n"/>
    </row>
    <row r="108">
      <c r="A108" s="18" t="inlineStr">
        <is>
          <t>RES-104</t>
        </is>
      </c>
      <c r="B108" s="22" t="n"/>
      <c r="C108" s="22" t="n"/>
      <c r="D108" s="20" t="n"/>
      <c r="E108" s="23" t="n"/>
      <c r="F108" s="20" t="n"/>
      <c r="G108" s="24" t="n"/>
      <c r="H108" s="22" t="n"/>
      <c r="I108" s="22" t="n"/>
      <c r="J108" s="22" t="n"/>
    </row>
    <row r="109">
      <c r="A109" s="18" t="inlineStr">
        <is>
          <t>RES-105</t>
        </is>
      </c>
      <c r="B109" s="22" t="n"/>
      <c r="C109" s="22" t="n"/>
      <c r="D109" s="20" t="n"/>
      <c r="E109" s="23" t="n"/>
      <c r="F109" s="20" t="n"/>
      <c r="G109" s="24" t="n"/>
      <c r="H109" s="22" t="n"/>
      <c r="I109" s="22" t="n"/>
      <c r="J109" s="22" t="n"/>
    </row>
    <row r="110">
      <c r="A110" s="18" t="inlineStr">
        <is>
          <t>RES-106</t>
        </is>
      </c>
      <c r="B110" s="22" t="n"/>
      <c r="C110" s="22" t="n"/>
      <c r="D110" s="20" t="n"/>
      <c r="E110" s="23" t="n"/>
      <c r="F110" s="20" t="n"/>
      <c r="G110" s="24" t="n"/>
      <c r="H110" s="22" t="n"/>
      <c r="I110" s="22" t="n"/>
      <c r="J110" s="22" t="n"/>
    </row>
    <row r="111">
      <c r="A111" s="18" t="inlineStr">
        <is>
          <t>RES-107</t>
        </is>
      </c>
      <c r="B111" s="22" t="n"/>
      <c r="C111" s="22" t="n"/>
      <c r="D111" s="20" t="n"/>
      <c r="E111" s="23" t="n"/>
      <c r="F111" s="20" t="n"/>
      <c r="G111" s="24" t="n"/>
      <c r="H111" s="22" t="n"/>
      <c r="I111" s="22" t="n"/>
      <c r="J111" s="22" t="n"/>
    </row>
    <row r="112">
      <c r="A112" s="18" t="inlineStr">
        <is>
          <t>RES-108</t>
        </is>
      </c>
      <c r="B112" s="22" t="n"/>
      <c r="C112" s="22" t="n"/>
      <c r="D112" s="20" t="n"/>
      <c r="E112" s="23" t="n"/>
      <c r="F112" s="20" t="n"/>
      <c r="G112" s="24" t="n"/>
      <c r="H112" s="22" t="n"/>
      <c r="I112" s="22" t="n"/>
      <c r="J112" s="22" t="n"/>
    </row>
    <row r="113">
      <c r="A113" s="18" t="inlineStr">
        <is>
          <t>RES-109</t>
        </is>
      </c>
      <c r="B113" s="22" t="n"/>
      <c r="C113" s="22" t="n"/>
      <c r="D113" s="20" t="n"/>
      <c r="E113" s="23" t="n"/>
      <c r="F113" s="20" t="n"/>
      <c r="G113" s="24" t="n"/>
      <c r="H113" s="22" t="n"/>
      <c r="I113" s="22" t="n"/>
      <c r="J113" s="22" t="n"/>
    </row>
    <row r="114">
      <c r="A114" s="18" t="inlineStr">
        <is>
          <t>RES-110</t>
        </is>
      </c>
      <c r="B114" s="22" t="n"/>
      <c r="C114" s="22" t="n"/>
      <c r="D114" s="20" t="n"/>
      <c r="E114" s="23" t="n"/>
      <c r="F114" s="20" t="n"/>
      <c r="G114" s="24" t="n"/>
      <c r="H114" s="22" t="n"/>
      <c r="I114" s="22" t="n"/>
      <c r="J114" s="22" t="n"/>
    </row>
    <row r="117">
      <c r="A117" s="3" t="inlineStr">
        <is>
          <t>TEST RESULTS SUMMARY</t>
        </is>
      </c>
    </row>
    <row r="118">
      <c r="A118" s="6" t="inlineStr">
        <is>
          <t>Total Tests Executed:</t>
        </is>
      </c>
      <c r="B118" s="6">
        <f>COUNTA(C5:C114)</f>
        <v/>
      </c>
    </row>
    <row r="119">
      <c r="A119" s="6" t="inlineStr">
        <is>
          <t>✅ Successful Tests:</t>
        </is>
      </c>
      <c r="B119" s="6">
        <f>COUNTIF(F5:F114,"✅*")</f>
        <v/>
      </c>
    </row>
    <row r="120">
      <c r="A120" s="6" t="inlineStr">
        <is>
          <t>⚠ Partial Success:</t>
        </is>
      </c>
      <c r="B120" s="6">
        <f>COUNTIF(F5:F114,"⚠*")</f>
        <v/>
      </c>
    </row>
    <row r="121">
      <c r="A121" s="6" t="inlineStr">
        <is>
          <t>❌ Failed Tests:</t>
        </is>
      </c>
      <c r="B121" s="6">
        <f>COUNTIF(F5:F114,"❌*")</f>
        <v/>
      </c>
    </row>
    <row r="122">
      <c r="A122" s="6" t="inlineStr">
        <is>
          <t>Success Rate:</t>
        </is>
      </c>
      <c r="B122" s="25">
        <f>IF(B118&gt;0,(B119+B120*0.5)/B118,0)</f>
        <v/>
      </c>
    </row>
    <row r="123">
      <c r="A123" s="6" t="inlineStr">
        <is>
          <t>Average Test Duration (hrs):</t>
        </is>
      </c>
      <c r="B123" s="26">
        <f>IFERROR(AVERAGE(G5:G114),0)</f>
        <v/>
      </c>
    </row>
  </sheetData>
  <mergeCells count="3">
    <mergeCell ref="A117:J117"/>
    <mergeCell ref="A1:J1"/>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"Backup Restore,Failover Test,Full DR Scenario,Tabletop Exercise,Component Test,Integration Test"</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showDropDown="0" showInputMessage="0" showErrorMessage="0" allowBlank="0" type="list">
      <formula1>"✅ Success,⚠️ Partial Success,❌ Failure,⏳ In Progress,➖ Not Started,🔄 Cancelled"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6"/>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45" customWidth="1" min="7" max="7"/>
    <col width="20" customWidth="1" min="8" max="8"/>
  </cols>
  <sheetData>
    <row r="1" ht="30" customHeight="1">
      <c r="A1" s="16" t="inlineStr">
        <is>
          <t>ISSUE REMEDIATION TRACKER</t>
        </is>
      </c>
    </row>
    <row r="2">
      <c r="A2" s="3" t="inlineStr">
        <is>
          <t>Track issues discovered during testing to closure</t>
        </is>
      </c>
    </row>
    <row r="4">
      <c r="A4" s="17" t="inlineStr">
        <is>
          <t>Issue ID</t>
        </is>
      </c>
      <c r="B4" s="17" t="inlineStr">
        <is>
          <t>Related Test (Result ID)</t>
        </is>
      </c>
      <c r="C4" s="17" t="inlineStr">
        <is>
          <t>Issue Description</t>
        </is>
      </c>
      <c r="D4" s="17" t="inlineStr">
        <is>
          <t>Root Cause</t>
        </is>
      </c>
      <c r="E4" s="17" t="inlineStr">
        <is>
          <t>Severity</t>
        </is>
      </c>
      <c r="F4" s="17" t="inlineStr">
        <is>
          <t>Status</t>
        </is>
      </c>
      <c r="G4" s="17" t="inlineStr">
        <is>
          <t>Remediation Plan</t>
        </is>
      </c>
      <c r="H4" s="17" t="inlineStr">
        <is>
          <t>Target Resolution Date</t>
        </is>
      </c>
    </row>
    <row r="5">
      <c r="A5" s="18" t="inlineStr">
        <is>
          <t>ISS-001</t>
        </is>
      </c>
      <c r="B5" s="19" t="n"/>
      <c r="C5" s="19" t="inlineStr">
        <is>
          <t>RES-004</t>
        </is>
      </c>
      <c r="D5" s="19" t="inlineStr">
        <is>
          <t>Email system backup corrupted - restore failed</t>
        </is>
      </c>
      <c r="E5" s="19" t="inlineStr">
        <is>
          <t>Backup job misconfigured, missing transaction log backups</t>
        </is>
      </c>
      <c r="F5" s="20" t="inlineStr">
        <is>
          <t>🔴 Critical</t>
        </is>
      </c>
      <c r="G5" s="19" t="inlineStr">
        <is>
          <t>✅ Closed</t>
        </is>
      </c>
      <c r="H5" s="27" t="inlineStr">
        <is>
          <t>Reconfigured backup job, added transaction log backups, verified with successful test</t>
        </is>
      </c>
      <c r="I5" s="20" t="inlineStr">
        <is>
          <t>19.01.2026</t>
        </is>
      </c>
    </row>
    <row r="6">
      <c r="A6" s="18" t="inlineStr">
        <is>
          <t>ISS-002</t>
        </is>
      </c>
      <c r="B6" s="19" t="n"/>
      <c r="C6" s="19" t="inlineStr">
        <is>
          <t>RES-002</t>
        </is>
      </c>
      <c r="D6" s="19" t="inlineStr">
        <is>
          <t>E-Commerce failover took 36min (exceeds 30min RTO)</t>
        </is>
      </c>
      <c r="E6" s="19" t="inlineStr">
        <is>
          <t>Manual DNS update required, not automated</t>
        </is>
      </c>
      <c r="F6" s="20" t="inlineStr">
        <is>
          <t>🟡 High</t>
        </is>
      </c>
      <c r="G6" s="19" t="inlineStr">
        <is>
          <t>✅ Closed</t>
        </is>
      </c>
      <c r="H6" s="27" t="inlineStr">
        <is>
          <t>Automated DNS failover, reduced to &lt;30min, retested successfully</t>
        </is>
      </c>
      <c r="I6" s="20" t="inlineStr">
        <is>
          <t>29.01.2026</t>
        </is>
      </c>
    </row>
    <row r="7">
      <c r="A7" s="18" t="inlineStr">
        <is>
          <t>ISS-003</t>
        </is>
      </c>
      <c r="B7" s="19" t="n"/>
      <c r="C7" s="19" t="inlineStr">
        <is>
          <t>RES-002</t>
        </is>
      </c>
      <c r="D7" s="19" t="inlineStr">
        <is>
          <t>Monitoring did not alert during failover</t>
        </is>
      </c>
      <c r="E7" s="19" t="inlineStr">
        <is>
          <t>Monitoring not configured for cluster failover events</t>
        </is>
      </c>
      <c r="F7" s="20" t="inlineStr">
        <is>
          <t>🟢 Medium</t>
        </is>
      </c>
      <c r="G7" s="19" t="inlineStr">
        <is>
          <t>✅ Closed</t>
        </is>
      </c>
      <c r="H7" s="27" t="inlineStr">
        <is>
          <t>Configured monitoring for failover events, tested alerts</t>
        </is>
      </c>
      <c r="I7" s="20" t="inlineStr">
        <is>
          <t>31.01.2026</t>
        </is>
      </c>
    </row>
    <row r="8">
      <c r="A8" s="18" t="inlineStr">
        <is>
          <t>ISS-004</t>
        </is>
      </c>
      <c r="B8" s="19" t="n"/>
      <c r="C8" s="19" t="inlineStr">
        <is>
          <t>RES-005</t>
        </is>
      </c>
      <c r="D8" s="19" t="inlineStr">
        <is>
          <t>CRM restore took 9.5hr (exceeds 8hr RTO)</t>
        </is>
      </c>
      <c r="E8" s="19" t="inlineStr">
        <is>
          <t>Integration dependencies not documented in restore procedure</t>
        </is>
      </c>
      <c r="F8" s="20" t="inlineStr">
        <is>
          <t>🟡 High</t>
        </is>
      </c>
      <c r="G8" s="19" t="inlineStr">
        <is>
          <t>⏳ In Progress</t>
        </is>
      </c>
      <c r="H8" s="27" t="inlineStr">
        <is>
          <t>Update restore runbook with integration steps, optimize restore process</t>
        </is>
      </c>
      <c r="I8" s="20" t="inlineStr">
        <is>
          <t>10.03.2026</t>
        </is>
      </c>
    </row>
    <row r="9">
      <c r="A9" s="18" t="inlineStr">
        <is>
          <t>ISS-005</t>
        </is>
      </c>
      <c r="B9" s="19" t="n"/>
      <c r="C9" s="19" t="inlineStr">
        <is>
          <t>RES-007</t>
        </is>
      </c>
      <c r="D9" s="19" t="inlineStr">
        <is>
          <t>Communication procedures gap identified in tabletop</t>
        </is>
      </c>
      <c r="E9" s="19" t="inlineStr">
        <is>
          <t>No clear escalation path defined for DR coordinator</t>
        </is>
      </c>
      <c r="F9" s="20" t="inlineStr">
        <is>
          <t>🟡 High</t>
        </is>
      </c>
      <c r="G9" s="19" t="inlineStr">
        <is>
          <t>✅ Closed</t>
        </is>
      </c>
      <c r="H9" s="27" t="inlineStr">
        <is>
          <t>Documented escalation procedures, updated BC/DR plan</t>
        </is>
      </c>
      <c r="I9" s="20" t="inlineStr">
        <is>
          <t>03.02.2026</t>
        </is>
      </c>
    </row>
    <row r="10">
      <c r="A10" s="18" t="inlineStr">
        <is>
          <t>ISS-006</t>
        </is>
      </c>
      <c r="B10" s="19" t="n"/>
      <c r="C10" s="19" t="inlineStr">
        <is>
          <t>RES-008</t>
        </is>
      </c>
      <c r="D10" s="19" t="inlineStr">
        <is>
          <t>Payment Gateway not recovered during DR scenario</t>
        </is>
      </c>
      <c r="E10" s="19" t="inlineStr">
        <is>
          <t>Active-Active failover requires manual processor notification</t>
        </is>
      </c>
      <c r="F10" s="20" t="inlineStr">
        <is>
          <t>🔴 Critical</t>
        </is>
      </c>
      <c r="G10" s="19" t="inlineStr">
        <is>
          <t>⏳ In Progress</t>
        </is>
      </c>
      <c r="H10" s="27" t="inlineStr">
        <is>
          <t>Automate processor notification, create runbook, retest in next DR scenario</t>
        </is>
      </c>
      <c r="I10" s="20" t="inlineStr">
        <is>
          <t>09.04.2026</t>
        </is>
      </c>
    </row>
    <row r="11">
      <c r="A11" s="18" t="inlineStr">
        <is>
          <t>ISS-007</t>
        </is>
      </c>
      <c r="B11" s="19" t="n"/>
      <c r="C11" s="19" t="inlineStr">
        <is>
          <t>RES-008</t>
        </is>
      </c>
      <c r="D11" s="19" t="inlineStr">
        <is>
          <t>CRM not recovered within RTO during DR scenario</t>
        </is>
      </c>
      <c r="E11" s="19" t="inlineStr">
        <is>
          <t>Complex dependencies, restore order not documented</t>
        </is>
      </c>
      <c r="F11" s="20" t="inlineStr">
        <is>
          <t>🟡 High</t>
        </is>
      </c>
      <c r="G11" s="19" t="inlineStr">
        <is>
          <t>⏳ In Progress</t>
        </is>
      </c>
      <c r="H11" s="27" t="inlineStr">
        <is>
          <t>Document system dependency tree, define restore order, update runbook</t>
        </is>
      </c>
      <c r="I11" s="20" t="inlineStr">
        <is>
          <t>25.03.2026</t>
        </is>
      </c>
    </row>
    <row r="12">
      <c r="A12" s="18" t="inlineStr">
        <is>
          <t>ISS-008</t>
        </is>
      </c>
      <c r="B12" s="19" t="n"/>
      <c r="C12" s="19" t="inlineStr">
        <is>
          <t>RES-008</t>
        </is>
      </c>
      <c r="D12" s="19" t="inlineStr">
        <is>
          <t>Network connectivity issues during DR scenario</t>
        </is>
      </c>
      <c r="E12" s="19" t="inlineStr">
        <is>
          <t>DR site network not pre-configured, manual setup required</t>
        </is>
      </c>
      <c r="F12" s="20" t="inlineStr">
        <is>
          <t>🟡 High</t>
        </is>
      </c>
      <c r="G12" s="19" t="inlineStr">
        <is>
          <t>🔴 Open</t>
        </is>
      </c>
      <c r="H12" s="27" t="inlineStr">
        <is>
          <t>Pre-configure DR site network, automate VPN setup, document procedures</t>
        </is>
      </c>
      <c r="I12" s="20" t="inlineStr">
        <is>
          <t>09.05.2026</t>
        </is>
      </c>
    </row>
    <row r="13">
      <c r="A13" s="18" t="inlineStr">
        <is>
          <t>ISS-009</t>
        </is>
      </c>
      <c r="B13" s="19" t="n"/>
      <c r="C13" s="19" t="inlineStr">
        <is>
          <t>[General]</t>
        </is>
      </c>
      <c r="D13" s="19" t="inlineStr">
        <is>
          <t>Test documentation inconsistent across teams</t>
        </is>
      </c>
      <c r="E13" s="19" t="inlineStr">
        <is>
          <t>No standard template for test documentation</t>
        </is>
      </c>
      <c r="F13" s="20" t="inlineStr">
        <is>
          <t>🟢 Medium</t>
        </is>
      </c>
      <c r="G13" s="19" t="inlineStr">
        <is>
          <t>✅ Closed</t>
        </is>
      </c>
      <c r="H13" s="27" t="inlineStr">
        <is>
          <t>Created standard test report template, distributed to all teams</t>
        </is>
      </c>
      <c r="I13" s="20" t="inlineStr">
        <is>
          <t>24.01.2026</t>
        </is>
      </c>
    </row>
    <row r="14">
      <c r="A14" s="18" t="inlineStr">
        <is>
          <t>ISS-010</t>
        </is>
      </c>
      <c r="B14" s="19" t="n"/>
      <c r="C14" s="19" t="inlineStr">
        <is>
          <t>[General]</t>
        </is>
      </c>
      <c r="D14" s="19" t="inlineStr">
        <is>
          <t>Lack of training for restore procedures</t>
        </is>
      </c>
      <c r="E14" s="19" t="inlineStr">
        <is>
          <t>Staff turnover, new team members not trained on DR procedures</t>
        </is>
      </c>
      <c r="F14" s="20" t="inlineStr">
        <is>
          <t>🟡 High</t>
        </is>
      </c>
      <c r="G14" s="19" t="inlineStr">
        <is>
          <t>⏳ In Progress</t>
        </is>
      </c>
      <c r="H14" s="27" t="inlineStr">
        <is>
          <t>Schedule quarterly DR training, create training materials, track completion</t>
        </is>
      </c>
      <c r="I14" s="20" t="inlineStr">
        <is>
          <t>10.03.2026</t>
        </is>
      </c>
    </row>
    <row r="15">
      <c r="A15" s="18" t="inlineStr">
        <is>
          <t>ISS-011</t>
        </is>
      </c>
      <c r="B15" s="22" t="n"/>
      <c r="C15" s="22" t="n"/>
      <c r="D15" s="22" t="n"/>
      <c r="E15" s="20" t="n"/>
      <c r="F15" s="20" t="n"/>
      <c r="G15" s="22" t="n"/>
      <c r="H15" s="23" t="n"/>
    </row>
    <row r="16">
      <c r="A16" s="18" t="inlineStr">
        <is>
          <t>ISS-012</t>
        </is>
      </c>
      <c r="B16" s="22" t="n"/>
      <c r="C16" s="22" t="n"/>
      <c r="D16" s="22" t="n"/>
      <c r="E16" s="20" t="n"/>
      <c r="F16" s="20" t="n"/>
      <c r="G16" s="22" t="n"/>
      <c r="H16" s="23" t="n"/>
    </row>
    <row r="17">
      <c r="A17" s="18" t="inlineStr">
        <is>
          <t>ISS-013</t>
        </is>
      </c>
      <c r="B17" s="22" t="n"/>
      <c r="C17" s="22" t="n"/>
      <c r="D17" s="22" t="n"/>
      <c r="E17" s="20" t="n"/>
      <c r="F17" s="20" t="n"/>
      <c r="G17" s="22" t="n"/>
      <c r="H17" s="23" t="n"/>
    </row>
    <row r="18">
      <c r="A18" s="18" t="inlineStr">
        <is>
          <t>ISS-014</t>
        </is>
      </c>
      <c r="B18" s="22" t="n"/>
      <c r="C18" s="22" t="n"/>
      <c r="D18" s="22" t="n"/>
      <c r="E18" s="20" t="n"/>
      <c r="F18" s="20" t="n"/>
      <c r="G18" s="22" t="n"/>
      <c r="H18" s="23" t="n"/>
    </row>
    <row r="19">
      <c r="A19" s="18" t="inlineStr">
        <is>
          <t>ISS-015</t>
        </is>
      </c>
      <c r="B19" s="22" t="n"/>
      <c r="C19" s="22" t="n"/>
      <c r="D19" s="22" t="n"/>
      <c r="E19" s="20" t="n"/>
      <c r="F19" s="20" t="n"/>
      <c r="G19" s="22" t="n"/>
      <c r="H19" s="23" t="n"/>
    </row>
    <row r="20">
      <c r="A20" s="18" t="inlineStr">
        <is>
          <t>ISS-016</t>
        </is>
      </c>
      <c r="B20" s="22" t="n"/>
      <c r="C20" s="22" t="n"/>
      <c r="D20" s="22" t="n"/>
      <c r="E20" s="20" t="n"/>
      <c r="F20" s="20" t="n"/>
      <c r="G20" s="22" t="n"/>
      <c r="H20" s="23" t="n"/>
    </row>
    <row r="21">
      <c r="A21" s="18" t="inlineStr">
        <is>
          <t>ISS-017</t>
        </is>
      </c>
      <c r="B21" s="22" t="n"/>
      <c r="C21" s="22" t="n"/>
      <c r="D21" s="22" t="n"/>
      <c r="E21" s="20" t="n"/>
      <c r="F21" s="20" t="n"/>
      <c r="G21" s="22" t="n"/>
      <c r="H21" s="23" t="n"/>
    </row>
    <row r="22">
      <c r="A22" s="18" t="inlineStr">
        <is>
          <t>ISS-018</t>
        </is>
      </c>
      <c r="B22" s="22" t="n"/>
      <c r="C22" s="22" t="n"/>
      <c r="D22" s="22" t="n"/>
      <c r="E22" s="20" t="n"/>
      <c r="F22" s="20" t="n"/>
      <c r="G22" s="22" t="n"/>
      <c r="H22" s="23" t="n"/>
    </row>
    <row r="23">
      <c r="A23" s="18" t="inlineStr">
        <is>
          <t>ISS-019</t>
        </is>
      </c>
      <c r="B23" s="22" t="n"/>
      <c r="C23" s="22" t="n"/>
      <c r="D23" s="22" t="n"/>
      <c r="E23" s="20" t="n"/>
      <c r="F23" s="20" t="n"/>
      <c r="G23" s="22" t="n"/>
      <c r="H23" s="23" t="n"/>
    </row>
    <row r="24">
      <c r="A24" s="18" t="inlineStr">
        <is>
          <t>ISS-020</t>
        </is>
      </c>
      <c r="B24" s="22" t="n"/>
      <c r="C24" s="22" t="n"/>
      <c r="D24" s="22" t="n"/>
      <c r="E24" s="20" t="n"/>
      <c r="F24" s="20" t="n"/>
      <c r="G24" s="22" t="n"/>
      <c r="H24" s="23" t="n"/>
    </row>
    <row r="25">
      <c r="A25" s="18" t="inlineStr">
        <is>
          <t>ISS-021</t>
        </is>
      </c>
      <c r="B25" s="22" t="n"/>
      <c r="C25" s="22" t="n"/>
      <c r="D25" s="22" t="n"/>
      <c r="E25" s="20" t="n"/>
      <c r="F25" s="20" t="n"/>
      <c r="G25" s="22" t="n"/>
      <c r="H25" s="23" t="n"/>
    </row>
    <row r="26">
      <c r="A26" s="18" t="inlineStr">
        <is>
          <t>ISS-022</t>
        </is>
      </c>
      <c r="B26" s="22" t="n"/>
      <c r="C26" s="22" t="n"/>
      <c r="D26" s="22" t="n"/>
      <c r="E26" s="20" t="n"/>
      <c r="F26" s="20" t="n"/>
      <c r="G26" s="22" t="n"/>
      <c r="H26" s="23" t="n"/>
    </row>
    <row r="27">
      <c r="A27" s="18" t="inlineStr">
        <is>
          <t>ISS-023</t>
        </is>
      </c>
      <c r="B27" s="22" t="n"/>
      <c r="C27" s="22" t="n"/>
      <c r="D27" s="22" t="n"/>
      <c r="E27" s="20" t="n"/>
      <c r="F27" s="20" t="n"/>
      <c r="G27" s="22" t="n"/>
      <c r="H27" s="23" t="n"/>
    </row>
    <row r="28">
      <c r="A28" s="18" t="inlineStr">
        <is>
          <t>ISS-024</t>
        </is>
      </c>
      <c r="B28" s="22" t="n"/>
      <c r="C28" s="22" t="n"/>
      <c r="D28" s="22" t="n"/>
      <c r="E28" s="20" t="n"/>
      <c r="F28" s="20" t="n"/>
      <c r="G28" s="22" t="n"/>
      <c r="H28" s="23" t="n"/>
    </row>
    <row r="29">
      <c r="A29" s="18" t="inlineStr">
        <is>
          <t>ISS-025</t>
        </is>
      </c>
      <c r="B29" s="22" t="n"/>
      <c r="C29" s="22" t="n"/>
      <c r="D29" s="22" t="n"/>
      <c r="E29" s="20" t="n"/>
      <c r="F29" s="20" t="n"/>
      <c r="G29" s="22" t="n"/>
      <c r="H29" s="23" t="n"/>
    </row>
    <row r="30">
      <c r="A30" s="18" t="inlineStr">
        <is>
          <t>ISS-026</t>
        </is>
      </c>
      <c r="B30" s="22" t="n"/>
      <c r="C30" s="22" t="n"/>
      <c r="D30" s="22" t="n"/>
      <c r="E30" s="20" t="n"/>
      <c r="F30" s="20" t="n"/>
      <c r="G30" s="22" t="n"/>
      <c r="H30" s="23" t="n"/>
    </row>
    <row r="31">
      <c r="A31" s="18" t="inlineStr">
        <is>
          <t>ISS-027</t>
        </is>
      </c>
      <c r="B31" s="22" t="n"/>
      <c r="C31" s="22" t="n"/>
      <c r="D31" s="22" t="n"/>
      <c r="E31" s="20" t="n"/>
      <c r="F31" s="20" t="n"/>
      <c r="G31" s="22" t="n"/>
      <c r="H31" s="23" t="n"/>
    </row>
    <row r="32">
      <c r="A32" s="18" t="inlineStr">
        <is>
          <t>ISS-028</t>
        </is>
      </c>
      <c r="B32" s="22" t="n"/>
      <c r="C32" s="22" t="n"/>
      <c r="D32" s="22" t="n"/>
      <c r="E32" s="20" t="n"/>
      <c r="F32" s="20" t="n"/>
      <c r="G32" s="22" t="n"/>
      <c r="H32" s="23" t="n"/>
    </row>
    <row r="33">
      <c r="A33" s="18" t="inlineStr">
        <is>
          <t>ISS-029</t>
        </is>
      </c>
      <c r="B33" s="22" t="n"/>
      <c r="C33" s="22" t="n"/>
      <c r="D33" s="22" t="n"/>
      <c r="E33" s="20" t="n"/>
      <c r="F33" s="20" t="n"/>
      <c r="G33" s="22" t="n"/>
      <c r="H33" s="23" t="n"/>
    </row>
    <row r="34">
      <c r="A34" s="18" t="inlineStr">
        <is>
          <t>ISS-030</t>
        </is>
      </c>
      <c r="B34" s="22" t="n"/>
      <c r="C34" s="22" t="n"/>
      <c r="D34" s="22" t="n"/>
      <c r="E34" s="20" t="n"/>
      <c r="F34" s="20" t="n"/>
      <c r="G34" s="22" t="n"/>
      <c r="H34" s="23" t="n"/>
    </row>
    <row r="35">
      <c r="A35" s="18" t="inlineStr">
        <is>
          <t>ISS-031</t>
        </is>
      </c>
      <c r="B35" s="22" t="n"/>
      <c r="C35" s="22" t="n"/>
      <c r="D35" s="22" t="n"/>
      <c r="E35" s="20" t="n"/>
      <c r="F35" s="20" t="n"/>
      <c r="G35" s="22" t="n"/>
      <c r="H35" s="23" t="n"/>
    </row>
    <row r="36">
      <c r="A36" s="18" t="inlineStr">
        <is>
          <t>ISS-032</t>
        </is>
      </c>
      <c r="B36" s="22" t="n"/>
      <c r="C36" s="22" t="n"/>
      <c r="D36" s="22" t="n"/>
      <c r="E36" s="20" t="n"/>
      <c r="F36" s="20" t="n"/>
      <c r="G36" s="22" t="n"/>
      <c r="H36" s="23" t="n"/>
    </row>
    <row r="37">
      <c r="A37" s="18" t="inlineStr">
        <is>
          <t>ISS-033</t>
        </is>
      </c>
      <c r="B37" s="22" t="n"/>
      <c r="C37" s="22" t="n"/>
      <c r="D37" s="22" t="n"/>
      <c r="E37" s="20" t="n"/>
      <c r="F37" s="20" t="n"/>
      <c r="G37" s="22" t="n"/>
      <c r="H37" s="23" t="n"/>
    </row>
    <row r="38">
      <c r="A38" s="18" t="inlineStr">
        <is>
          <t>ISS-034</t>
        </is>
      </c>
      <c r="B38" s="22" t="n"/>
      <c r="C38" s="22" t="n"/>
      <c r="D38" s="22" t="n"/>
      <c r="E38" s="20" t="n"/>
      <c r="F38" s="20" t="n"/>
      <c r="G38" s="22" t="n"/>
      <c r="H38" s="23" t="n"/>
    </row>
    <row r="39">
      <c r="A39" s="18" t="inlineStr">
        <is>
          <t>ISS-035</t>
        </is>
      </c>
      <c r="B39" s="22" t="n"/>
      <c r="C39" s="22" t="n"/>
      <c r="D39" s="22" t="n"/>
      <c r="E39" s="20" t="n"/>
      <c r="F39" s="20" t="n"/>
      <c r="G39" s="22" t="n"/>
      <c r="H39" s="23" t="n"/>
    </row>
    <row r="40">
      <c r="A40" s="18" t="inlineStr">
        <is>
          <t>ISS-036</t>
        </is>
      </c>
      <c r="B40" s="22" t="n"/>
      <c r="C40" s="22" t="n"/>
      <c r="D40" s="22" t="n"/>
      <c r="E40" s="20" t="n"/>
      <c r="F40" s="20" t="n"/>
      <c r="G40" s="22" t="n"/>
      <c r="H40" s="23" t="n"/>
    </row>
    <row r="41">
      <c r="A41" s="18" t="inlineStr">
        <is>
          <t>ISS-037</t>
        </is>
      </c>
      <c r="B41" s="22" t="n"/>
      <c r="C41" s="22" t="n"/>
      <c r="D41" s="22" t="n"/>
      <c r="E41" s="20" t="n"/>
      <c r="F41" s="20" t="n"/>
      <c r="G41" s="22" t="n"/>
      <c r="H41" s="23" t="n"/>
    </row>
    <row r="42">
      <c r="A42" s="18" t="inlineStr">
        <is>
          <t>ISS-038</t>
        </is>
      </c>
      <c r="B42" s="22" t="n"/>
      <c r="C42" s="22" t="n"/>
      <c r="D42" s="22" t="n"/>
      <c r="E42" s="20" t="n"/>
      <c r="F42" s="20" t="n"/>
      <c r="G42" s="22" t="n"/>
      <c r="H42" s="23" t="n"/>
    </row>
    <row r="43">
      <c r="A43" s="18" t="inlineStr">
        <is>
          <t>ISS-039</t>
        </is>
      </c>
      <c r="B43" s="22" t="n"/>
      <c r="C43" s="22" t="n"/>
      <c r="D43" s="22" t="n"/>
      <c r="E43" s="20" t="n"/>
      <c r="F43" s="20" t="n"/>
      <c r="G43" s="22" t="n"/>
      <c r="H43" s="23" t="n"/>
    </row>
    <row r="44">
      <c r="A44" s="18" t="inlineStr">
        <is>
          <t>ISS-040</t>
        </is>
      </c>
      <c r="B44" s="22" t="n"/>
      <c r="C44" s="22" t="n"/>
      <c r="D44" s="22" t="n"/>
      <c r="E44" s="20" t="n"/>
      <c r="F44" s="20" t="n"/>
      <c r="G44" s="22" t="n"/>
      <c r="H44" s="23" t="n"/>
    </row>
    <row r="45">
      <c r="A45" s="18" t="inlineStr">
        <is>
          <t>ISS-041</t>
        </is>
      </c>
      <c r="B45" s="22" t="n"/>
      <c r="C45" s="22" t="n"/>
      <c r="D45" s="22" t="n"/>
      <c r="E45" s="20" t="n"/>
      <c r="F45" s="20" t="n"/>
      <c r="G45" s="22" t="n"/>
      <c r="H45" s="23" t="n"/>
    </row>
    <row r="46">
      <c r="A46" s="18" t="inlineStr">
        <is>
          <t>ISS-042</t>
        </is>
      </c>
      <c r="B46" s="22" t="n"/>
      <c r="C46" s="22" t="n"/>
      <c r="D46" s="22" t="n"/>
      <c r="E46" s="20" t="n"/>
      <c r="F46" s="20" t="n"/>
      <c r="G46" s="22" t="n"/>
      <c r="H46" s="23" t="n"/>
    </row>
    <row r="47">
      <c r="A47" s="18" t="inlineStr">
        <is>
          <t>ISS-043</t>
        </is>
      </c>
      <c r="B47" s="22" t="n"/>
      <c r="C47" s="22" t="n"/>
      <c r="D47" s="22" t="n"/>
      <c r="E47" s="20" t="n"/>
      <c r="F47" s="20" t="n"/>
      <c r="G47" s="22" t="n"/>
      <c r="H47" s="23" t="n"/>
    </row>
    <row r="48">
      <c r="A48" s="18" t="inlineStr">
        <is>
          <t>ISS-044</t>
        </is>
      </c>
      <c r="B48" s="22" t="n"/>
      <c r="C48" s="22" t="n"/>
      <c r="D48" s="22" t="n"/>
      <c r="E48" s="20" t="n"/>
      <c r="F48" s="20" t="n"/>
      <c r="G48" s="22" t="n"/>
      <c r="H48" s="23" t="n"/>
    </row>
    <row r="49">
      <c r="A49" s="18" t="inlineStr">
        <is>
          <t>ISS-045</t>
        </is>
      </c>
      <c r="B49" s="22" t="n"/>
      <c r="C49" s="22" t="n"/>
      <c r="D49" s="22" t="n"/>
      <c r="E49" s="20" t="n"/>
      <c r="F49" s="20" t="n"/>
      <c r="G49" s="22" t="n"/>
      <c r="H49" s="23" t="n"/>
    </row>
    <row r="50">
      <c r="A50" s="18" t="inlineStr">
        <is>
          <t>ISS-046</t>
        </is>
      </c>
      <c r="B50" s="22" t="n"/>
      <c r="C50" s="22" t="n"/>
      <c r="D50" s="22" t="n"/>
      <c r="E50" s="20" t="n"/>
      <c r="F50" s="20" t="n"/>
      <c r="G50" s="22" t="n"/>
      <c r="H50" s="23" t="n"/>
    </row>
    <row r="51">
      <c r="A51" s="18" t="inlineStr">
        <is>
          <t>ISS-047</t>
        </is>
      </c>
      <c r="B51" s="22" t="n"/>
      <c r="C51" s="22" t="n"/>
      <c r="D51" s="22" t="n"/>
      <c r="E51" s="20" t="n"/>
      <c r="F51" s="20" t="n"/>
      <c r="G51" s="22" t="n"/>
      <c r="H51" s="23" t="n"/>
    </row>
    <row r="52">
      <c r="A52" s="18" t="inlineStr">
        <is>
          <t>ISS-048</t>
        </is>
      </c>
      <c r="B52" s="22" t="n"/>
      <c r="C52" s="22" t="n"/>
      <c r="D52" s="22" t="n"/>
      <c r="E52" s="20" t="n"/>
      <c r="F52" s="20" t="n"/>
      <c r="G52" s="22" t="n"/>
      <c r="H52" s="23" t="n"/>
    </row>
    <row r="53">
      <c r="A53" s="18" t="inlineStr">
        <is>
          <t>ISS-049</t>
        </is>
      </c>
      <c r="B53" s="22" t="n"/>
      <c r="C53" s="22" t="n"/>
      <c r="D53" s="22" t="n"/>
      <c r="E53" s="20" t="n"/>
      <c r="F53" s="20" t="n"/>
      <c r="G53" s="22" t="n"/>
      <c r="H53" s="23" t="n"/>
    </row>
    <row r="54">
      <c r="A54" s="18" t="inlineStr">
        <is>
          <t>ISS-050</t>
        </is>
      </c>
      <c r="B54" s="22" t="n"/>
      <c r="C54" s="22" t="n"/>
      <c r="D54" s="22" t="n"/>
      <c r="E54" s="20" t="n"/>
      <c r="F54" s="20" t="n"/>
      <c r="G54" s="22" t="n"/>
      <c r="H54" s="23" t="n"/>
    </row>
    <row r="55">
      <c r="A55" s="18" t="inlineStr">
        <is>
          <t>ISS-051</t>
        </is>
      </c>
      <c r="B55" s="22" t="n"/>
      <c r="C55" s="22" t="n"/>
      <c r="D55" s="22" t="n"/>
      <c r="E55" s="20" t="n"/>
      <c r="F55" s="20" t="n"/>
      <c r="G55" s="22" t="n"/>
      <c r="H55" s="23" t="n"/>
    </row>
    <row r="56">
      <c r="A56" s="18" t="inlineStr">
        <is>
          <t>ISS-052</t>
        </is>
      </c>
      <c r="B56" s="22" t="n"/>
      <c r="C56" s="22" t="n"/>
      <c r="D56" s="22" t="n"/>
      <c r="E56" s="20" t="n"/>
      <c r="F56" s="20" t="n"/>
      <c r="G56" s="22" t="n"/>
      <c r="H56" s="23" t="n"/>
    </row>
    <row r="57">
      <c r="A57" s="18" t="inlineStr">
        <is>
          <t>ISS-053</t>
        </is>
      </c>
      <c r="B57" s="22" t="n"/>
      <c r="C57" s="22" t="n"/>
      <c r="D57" s="22" t="n"/>
      <c r="E57" s="20" t="n"/>
      <c r="F57" s="20" t="n"/>
      <c r="G57" s="22" t="n"/>
      <c r="H57" s="23" t="n"/>
    </row>
    <row r="58">
      <c r="A58" s="18" t="inlineStr">
        <is>
          <t>ISS-054</t>
        </is>
      </c>
      <c r="B58" s="22" t="n"/>
      <c r="C58" s="22" t="n"/>
      <c r="D58" s="22" t="n"/>
      <c r="E58" s="20" t="n"/>
      <c r="F58" s="20" t="n"/>
      <c r="G58" s="22" t="n"/>
      <c r="H58" s="23" t="n"/>
    </row>
    <row r="59">
      <c r="A59" s="18" t="inlineStr">
        <is>
          <t>ISS-055</t>
        </is>
      </c>
      <c r="B59" s="22" t="n"/>
      <c r="C59" s="22" t="n"/>
      <c r="D59" s="22" t="n"/>
      <c r="E59" s="20" t="n"/>
      <c r="F59" s="20" t="n"/>
      <c r="G59" s="22" t="n"/>
      <c r="H59" s="23" t="n"/>
    </row>
    <row r="60">
      <c r="A60" s="18" t="inlineStr">
        <is>
          <t>ISS-056</t>
        </is>
      </c>
      <c r="B60" s="22" t="n"/>
      <c r="C60" s="22" t="n"/>
      <c r="D60" s="22" t="n"/>
      <c r="E60" s="20" t="n"/>
      <c r="F60" s="20" t="n"/>
      <c r="G60" s="22" t="n"/>
      <c r="H60" s="23" t="n"/>
    </row>
    <row r="61">
      <c r="A61" s="18" t="inlineStr">
        <is>
          <t>ISS-057</t>
        </is>
      </c>
      <c r="B61" s="22" t="n"/>
      <c r="C61" s="22" t="n"/>
      <c r="D61" s="22" t="n"/>
      <c r="E61" s="20" t="n"/>
      <c r="F61" s="20" t="n"/>
      <c r="G61" s="22" t="n"/>
      <c r="H61" s="23" t="n"/>
    </row>
    <row r="62">
      <c r="A62" s="18" t="inlineStr">
        <is>
          <t>ISS-058</t>
        </is>
      </c>
      <c r="B62" s="22" t="n"/>
      <c r="C62" s="22" t="n"/>
      <c r="D62" s="22" t="n"/>
      <c r="E62" s="20" t="n"/>
      <c r="F62" s="20" t="n"/>
      <c r="G62" s="22" t="n"/>
      <c r="H62" s="23" t="n"/>
    </row>
    <row r="63">
      <c r="A63" s="18" t="inlineStr">
        <is>
          <t>ISS-059</t>
        </is>
      </c>
      <c r="B63" s="22" t="n"/>
      <c r="C63" s="22" t="n"/>
      <c r="D63" s="22" t="n"/>
      <c r="E63" s="20" t="n"/>
      <c r="F63" s="20" t="n"/>
      <c r="G63" s="22" t="n"/>
      <c r="H63" s="23" t="n"/>
    </row>
    <row r="64">
      <c r="A64" s="18" t="inlineStr">
        <is>
          <t>ISS-060</t>
        </is>
      </c>
      <c r="B64" s="22" t="n"/>
      <c r="C64" s="22" t="n"/>
      <c r="D64" s="22" t="n"/>
      <c r="E64" s="20" t="n"/>
      <c r="F64" s="20" t="n"/>
      <c r="G64" s="22" t="n"/>
      <c r="H64" s="23" t="n"/>
    </row>
    <row r="65">
      <c r="A65" s="18" t="inlineStr">
        <is>
          <t>ISS-061</t>
        </is>
      </c>
      <c r="B65" s="22" t="n"/>
      <c r="C65" s="22" t="n"/>
      <c r="D65" s="22" t="n"/>
      <c r="E65" s="20" t="n"/>
      <c r="F65" s="20" t="n"/>
      <c r="G65" s="22" t="n"/>
      <c r="H65" s="23" t="n"/>
    </row>
    <row r="66">
      <c r="A66" s="18" t="inlineStr">
        <is>
          <t>ISS-062</t>
        </is>
      </c>
      <c r="B66" s="22" t="n"/>
      <c r="C66" s="22" t="n"/>
      <c r="D66" s="22" t="n"/>
      <c r="E66" s="20" t="n"/>
      <c r="F66" s="20" t="n"/>
      <c r="G66" s="22" t="n"/>
      <c r="H66" s="23" t="n"/>
    </row>
    <row r="67">
      <c r="A67" s="18" t="inlineStr">
        <is>
          <t>ISS-063</t>
        </is>
      </c>
      <c r="B67" s="22" t="n"/>
      <c r="C67" s="22" t="n"/>
      <c r="D67" s="22" t="n"/>
      <c r="E67" s="20" t="n"/>
      <c r="F67" s="20" t="n"/>
      <c r="G67" s="22" t="n"/>
      <c r="H67" s="23" t="n"/>
    </row>
    <row r="68">
      <c r="A68" s="18" t="inlineStr">
        <is>
          <t>ISS-064</t>
        </is>
      </c>
      <c r="B68" s="22" t="n"/>
      <c r="C68" s="22" t="n"/>
      <c r="D68" s="22" t="n"/>
      <c r="E68" s="20" t="n"/>
      <c r="F68" s="20" t="n"/>
      <c r="G68" s="22" t="n"/>
      <c r="H68" s="23" t="n"/>
    </row>
    <row r="69">
      <c r="A69" s="18" t="inlineStr">
        <is>
          <t>ISS-065</t>
        </is>
      </c>
      <c r="B69" s="22" t="n"/>
      <c r="C69" s="22" t="n"/>
      <c r="D69" s="22" t="n"/>
      <c r="E69" s="20" t="n"/>
      <c r="F69" s="20" t="n"/>
      <c r="G69" s="22" t="n"/>
      <c r="H69" s="23" t="n"/>
    </row>
    <row r="70">
      <c r="A70" s="18" t="inlineStr">
        <is>
          <t>ISS-066</t>
        </is>
      </c>
      <c r="B70" s="22" t="n"/>
      <c r="C70" s="22" t="n"/>
      <c r="D70" s="22" t="n"/>
      <c r="E70" s="20" t="n"/>
      <c r="F70" s="20" t="n"/>
      <c r="G70" s="22" t="n"/>
      <c r="H70" s="23" t="n"/>
    </row>
    <row r="71">
      <c r="A71" s="18" t="inlineStr">
        <is>
          <t>ISS-067</t>
        </is>
      </c>
      <c r="B71" s="22" t="n"/>
      <c r="C71" s="22" t="n"/>
      <c r="D71" s="22" t="n"/>
      <c r="E71" s="20" t="n"/>
      <c r="F71" s="20" t="n"/>
      <c r="G71" s="22" t="n"/>
      <c r="H71" s="23" t="n"/>
    </row>
    <row r="72">
      <c r="A72" s="18" t="inlineStr">
        <is>
          <t>ISS-068</t>
        </is>
      </c>
      <c r="B72" s="22" t="n"/>
      <c r="C72" s="22" t="n"/>
      <c r="D72" s="22" t="n"/>
      <c r="E72" s="20" t="n"/>
      <c r="F72" s="20" t="n"/>
      <c r="G72" s="22" t="n"/>
      <c r="H72" s="23" t="n"/>
    </row>
    <row r="73">
      <c r="A73" s="18" t="inlineStr">
        <is>
          <t>ISS-069</t>
        </is>
      </c>
      <c r="B73" s="22" t="n"/>
      <c r="C73" s="22" t="n"/>
      <c r="D73" s="22" t="n"/>
      <c r="E73" s="20" t="n"/>
      <c r="F73" s="20" t="n"/>
      <c r="G73" s="22" t="n"/>
      <c r="H73" s="23" t="n"/>
    </row>
    <row r="74">
      <c r="A74" s="18" t="inlineStr">
        <is>
          <t>ISS-070</t>
        </is>
      </c>
      <c r="B74" s="22" t="n"/>
      <c r="C74" s="22" t="n"/>
      <c r="D74" s="22" t="n"/>
      <c r="E74" s="20" t="n"/>
      <c r="F74" s="20" t="n"/>
      <c r="G74" s="22" t="n"/>
      <c r="H74" s="23" t="n"/>
    </row>
    <row r="75">
      <c r="A75" s="18" t="inlineStr">
        <is>
          <t>ISS-071</t>
        </is>
      </c>
      <c r="B75" s="22" t="n"/>
      <c r="C75" s="22" t="n"/>
      <c r="D75" s="22" t="n"/>
      <c r="E75" s="20" t="n"/>
      <c r="F75" s="20" t="n"/>
      <c r="G75" s="22" t="n"/>
      <c r="H75" s="23" t="n"/>
    </row>
    <row r="76">
      <c r="A76" s="18" t="inlineStr">
        <is>
          <t>ISS-072</t>
        </is>
      </c>
      <c r="B76" s="22" t="n"/>
      <c r="C76" s="22" t="n"/>
      <c r="D76" s="22" t="n"/>
      <c r="E76" s="20" t="n"/>
      <c r="F76" s="20" t="n"/>
      <c r="G76" s="22" t="n"/>
      <c r="H76" s="23" t="n"/>
    </row>
    <row r="77">
      <c r="A77" s="18" t="inlineStr">
        <is>
          <t>ISS-073</t>
        </is>
      </c>
      <c r="B77" s="22" t="n"/>
      <c r="C77" s="22" t="n"/>
      <c r="D77" s="22" t="n"/>
      <c r="E77" s="20" t="n"/>
      <c r="F77" s="20" t="n"/>
      <c r="G77" s="22" t="n"/>
      <c r="H77" s="23" t="n"/>
    </row>
    <row r="78">
      <c r="A78" s="18" t="inlineStr">
        <is>
          <t>ISS-074</t>
        </is>
      </c>
      <c r="B78" s="22" t="n"/>
      <c r="C78" s="22" t="n"/>
      <c r="D78" s="22" t="n"/>
      <c r="E78" s="20" t="n"/>
      <c r="F78" s="20" t="n"/>
      <c r="G78" s="22" t="n"/>
      <c r="H78" s="23" t="n"/>
    </row>
    <row r="79">
      <c r="A79" s="18" t="inlineStr">
        <is>
          <t>ISS-075</t>
        </is>
      </c>
      <c r="B79" s="22" t="n"/>
      <c r="C79" s="22" t="n"/>
      <c r="D79" s="22" t="n"/>
      <c r="E79" s="20" t="n"/>
      <c r="F79" s="20" t="n"/>
      <c r="G79" s="22" t="n"/>
      <c r="H79" s="23" t="n"/>
    </row>
    <row r="80">
      <c r="A80" s="18" t="inlineStr">
        <is>
          <t>ISS-076</t>
        </is>
      </c>
      <c r="B80" s="22" t="n"/>
      <c r="C80" s="22" t="n"/>
      <c r="D80" s="22" t="n"/>
      <c r="E80" s="20" t="n"/>
      <c r="F80" s="20" t="n"/>
      <c r="G80" s="22" t="n"/>
      <c r="H80" s="23" t="n"/>
    </row>
    <row r="81">
      <c r="A81" s="18" t="inlineStr">
        <is>
          <t>ISS-077</t>
        </is>
      </c>
      <c r="B81" s="22" t="n"/>
      <c r="C81" s="22" t="n"/>
      <c r="D81" s="22" t="n"/>
      <c r="E81" s="20" t="n"/>
      <c r="F81" s="20" t="n"/>
      <c r="G81" s="22" t="n"/>
      <c r="H81" s="23" t="n"/>
    </row>
    <row r="82">
      <c r="A82" s="18" t="inlineStr">
        <is>
          <t>ISS-078</t>
        </is>
      </c>
      <c r="B82" s="22" t="n"/>
      <c r="C82" s="22" t="n"/>
      <c r="D82" s="22" t="n"/>
      <c r="E82" s="20" t="n"/>
      <c r="F82" s="20" t="n"/>
      <c r="G82" s="22" t="n"/>
      <c r="H82" s="23" t="n"/>
    </row>
    <row r="83">
      <c r="A83" s="18" t="inlineStr">
        <is>
          <t>ISS-079</t>
        </is>
      </c>
      <c r="B83" s="22" t="n"/>
      <c r="C83" s="22" t="n"/>
      <c r="D83" s="22" t="n"/>
      <c r="E83" s="20" t="n"/>
      <c r="F83" s="20" t="n"/>
      <c r="G83" s="22" t="n"/>
      <c r="H83" s="23" t="n"/>
    </row>
    <row r="84">
      <c r="A84" s="18" t="inlineStr">
        <is>
          <t>ISS-080</t>
        </is>
      </c>
      <c r="B84" s="22" t="n"/>
      <c r="C84" s="22" t="n"/>
      <c r="D84" s="22" t="n"/>
      <c r="E84" s="20" t="n"/>
      <c r="F84" s="20" t="n"/>
      <c r="G84" s="22" t="n"/>
      <c r="H84" s="23" t="n"/>
    </row>
    <row r="85">
      <c r="A85" s="18" t="inlineStr">
        <is>
          <t>ISS-081</t>
        </is>
      </c>
      <c r="B85" s="22" t="n"/>
      <c r="C85" s="22" t="n"/>
      <c r="D85" s="22" t="n"/>
      <c r="E85" s="20" t="n"/>
      <c r="F85" s="20" t="n"/>
      <c r="G85" s="22" t="n"/>
      <c r="H85" s="23" t="n"/>
    </row>
    <row r="86">
      <c r="A86" s="18" t="inlineStr">
        <is>
          <t>ISS-082</t>
        </is>
      </c>
      <c r="B86" s="22" t="n"/>
      <c r="C86" s="22" t="n"/>
      <c r="D86" s="22" t="n"/>
      <c r="E86" s="20" t="n"/>
      <c r="F86" s="20" t="n"/>
      <c r="G86" s="22" t="n"/>
      <c r="H86" s="23" t="n"/>
    </row>
    <row r="87">
      <c r="A87" s="18" t="inlineStr">
        <is>
          <t>ISS-083</t>
        </is>
      </c>
      <c r="B87" s="22" t="n"/>
      <c r="C87" s="22" t="n"/>
      <c r="D87" s="22" t="n"/>
      <c r="E87" s="20" t="n"/>
      <c r="F87" s="20" t="n"/>
      <c r="G87" s="22" t="n"/>
      <c r="H87" s="23" t="n"/>
    </row>
    <row r="88">
      <c r="A88" s="18" t="inlineStr">
        <is>
          <t>ISS-084</t>
        </is>
      </c>
      <c r="B88" s="22" t="n"/>
      <c r="C88" s="22" t="n"/>
      <c r="D88" s="22" t="n"/>
      <c r="E88" s="20" t="n"/>
      <c r="F88" s="20" t="n"/>
      <c r="G88" s="22" t="n"/>
      <c r="H88" s="23" t="n"/>
    </row>
    <row r="89">
      <c r="A89" s="18" t="inlineStr">
        <is>
          <t>ISS-085</t>
        </is>
      </c>
      <c r="B89" s="22" t="n"/>
      <c r="C89" s="22" t="n"/>
      <c r="D89" s="22" t="n"/>
      <c r="E89" s="20" t="n"/>
      <c r="F89" s="20" t="n"/>
      <c r="G89" s="22" t="n"/>
      <c r="H89" s="23" t="n"/>
    </row>
    <row r="90">
      <c r="A90" s="18" t="inlineStr">
        <is>
          <t>ISS-086</t>
        </is>
      </c>
      <c r="B90" s="22" t="n"/>
      <c r="C90" s="22" t="n"/>
      <c r="D90" s="22" t="n"/>
      <c r="E90" s="20" t="n"/>
      <c r="F90" s="20" t="n"/>
      <c r="G90" s="22" t="n"/>
      <c r="H90" s="23" t="n"/>
    </row>
    <row r="91">
      <c r="A91" s="18" t="inlineStr">
        <is>
          <t>ISS-087</t>
        </is>
      </c>
      <c r="B91" s="22" t="n"/>
      <c r="C91" s="22" t="n"/>
      <c r="D91" s="22" t="n"/>
      <c r="E91" s="20" t="n"/>
      <c r="F91" s="20" t="n"/>
      <c r="G91" s="22" t="n"/>
      <c r="H91" s="23" t="n"/>
    </row>
    <row r="92">
      <c r="A92" s="18" t="inlineStr">
        <is>
          <t>ISS-088</t>
        </is>
      </c>
      <c r="B92" s="22" t="n"/>
      <c r="C92" s="22" t="n"/>
      <c r="D92" s="22" t="n"/>
      <c r="E92" s="20" t="n"/>
      <c r="F92" s="20" t="n"/>
      <c r="G92" s="22" t="n"/>
      <c r="H92" s="23" t="n"/>
    </row>
    <row r="93">
      <c r="A93" s="18" t="inlineStr">
        <is>
          <t>ISS-089</t>
        </is>
      </c>
      <c r="B93" s="22" t="n"/>
      <c r="C93" s="22" t="n"/>
      <c r="D93" s="22" t="n"/>
      <c r="E93" s="20" t="n"/>
      <c r="F93" s="20" t="n"/>
      <c r="G93" s="22" t="n"/>
      <c r="H93" s="23" t="n"/>
    </row>
    <row r="94">
      <c r="A94" s="18" t="inlineStr">
        <is>
          <t>ISS-090</t>
        </is>
      </c>
      <c r="B94" s="22" t="n"/>
      <c r="C94" s="22" t="n"/>
      <c r="D94" s="22" t="n"/>
      <c r="E94" s="20" t="n"/>
      <c r="F94" s="20" t="n"/>
      <c r="G94" s="22" t="n"/>
      <c r="H94" s="23" t="n"/>
    </row>
    <row r="95">
      <c r="A95" s="18" t="inlineStr">
        <is>
          <t>ISS-091</t>
        </is>
      </c>
      <c r="B95" s="22" t="n"/>
      <c r="C95" s="22" t="n"/>
      <c r="D95" s="22" t="n"/>
      <c r="E95" s="20" t="n"/>
      <c r="F95" s="20" t="n"/>
      <c r="G95" s="22" t="n"/>
      <c r="H95" s="23" t="n"/>
    </row>
    <row r="96">
      <c r="A96" s="18" t="inlineStr">
        <is>
          <t>ISS-092</t>
        </is>
      </c>
      <c r="B96" s="22" t="n"/>
      <c r="C96" s="22" t="n"/>
      <c r="D96" s="22" t="n"/>
      <c r="E96" s="20" t="n"/>
      <c r="F96" s="20" t="n"/>
      <c r="G96" s="22" t="n"/>
      <c r="H96" s="23" t="n"/>
    </row>
    <row r="97">
      <c r="A97" s="18" t="inlineStr">
        <is>
          <t>ISS-093</t>
        </is>
      </c>
      <c r="B97" s="22" t="n"/>
      <c r="C97" s="22" t="n"/>
      <c r="D97" s="22" t="n"/>
      <c r="E97" s="20" t="n"/>
      <c r="F97" s="20" t="n"/>
      <c r="G97" s="22" t="n"/>
      <c r="H97" s="23" t="n"/>
    </row>
    <row r="98">
      <c r="A98" s="18" t="inlineStr">
        <is>
          <t>ISS-094</t>
        </is>
      </c>
      <c r="B98" s="22" t="n"/>
      <c r="C98" s="22" t="n"/>
      <c r="D98" s="22" t="n"/>
      <c r="E98" s="20" t="n"/>
      <c r="F98" s="20" t="n"/>
      <c r="G98" s="22" t="n"/>
      <c r="H98" s="23" t="n"/>
    </row>
    <row r="99">
      <c r="A99" s="18" t="inlineStr">
        <is>
          <t>ISS-095</t>
        </is>
      </c>
      <c r="B99" s="22" t="n"/>
      <c r="C99" s="22" t="n"/>
      <c r="D99" s="22" t="n"/>
      <c r="E99" s="20" t="n"/>
      <c r="F99" s="20" t="n"/>
      <c r="G99" s="22" t="n"/>
      <c r="H99" s="23" t="n"/>
    </row>
    <row r="100">
      <c r="A100" s="18" t="inlineStr">
        <is>
          <t>ISS-096</t>
        </is>
      </c>
      <c r="B100" s="22" t="n"/>
      <c r="C100" s="22" t="n"/>
      <c r="D100" s="22" t="n"/>
      <c r="E100" s="20" t="n"/>
      <c r="F100" s="20" t="n"/>
      <c r="G100" s="22" t="n"/>
      <c r="H100" s="23" t="n"/>
    </row>
    <row r="101">
      <c r="A101" s="18" t="inlineStr">
        <is>
          <t>ISS-097</t>
        </is>
      </c>
      <c r="B101" s="22" t="n"/>
      <c r="C101" s="22" t="n"/>
      <c r="D101" s="22" t="n"/>
      <c r="E101" s="20" t="n"/>
      <c r="F101" s="20" t="n"/>
      <c r="G101" s="22" t="n"/>
      <c r="H101" s="23" t="n"/>
    </row>
    <row r="102">
      <c r="A102" s="18" t="inlineStr">
        <is>
          <t>ISS-098</t>
        </is>
      </c>
      <c r="B102" s="22" t="n"/>
      <c r="C102" s="22" t="n"/>
      <c r="D102" s="22" t="n"/>
      <c r="E102" s="20" t="n"/>
      <c r="F102" s="20" t="n"/>
      <c r="G102" s="22" t="n"/>
      <c r="H102" s="23" t="n"/>
    </row>
    <row r="103">
      <c r="A103" s="18" t="inlineStr">
        <is>
          <t>ISS-099</t>
        </is>
      </c>
      <c r="B103" s="22" t="n"/>
      <c r="C103" s="22" t="n"/>
      <c r="D103" s="22" t="n"/>
      <c r="E103" s="20" t="n"/>
      <c r="F103" s="20" t="n"/>
      <c r="G103" s="22" t="n"/>
      <c r="H103" s="23" t="n"/>
    </row>
    <row r="104">
      <c r="A104" s="18" t="inlineStr">
        <is>
          <t>ISS-100</t>
        </is>
      </c>
      <c r="B104" s="22" t="n"/>
      <c r="C104" s="22" t="n"/>
      <c r="D104" s="22" t="n"/>
      <c r="E104" s="20" t="n"/>
      <c r="F104" s="20" t="n"/>
      <c r="G104" s="22" t="n"/>
      <c r="H104" s="23" t="n"/>
    </row>
    <row r="105">
      <c r="A105" s="18" t="inlineStr">
        <is>
          <t>ISS-101</t>
        </is>
      </c>
      <c r="B105" s="22" t="n"/>
      <c r="C105" s="22" t="n"/>
      <c r="D105" s="22" t="n"/>
      <c r="E105" s="20" t="n"/>
      <c r="F105" s="20" t="n"/>
      <c r="G105" s="22" t="n"/>
      <c r="H105" s="23" t="n"/>
    </row>
    <row r="106">
      <c r="A106" s="18" t="inlineStr">
        <is>
          <t>ISS-102</t>
        </is>
      </c>
      <c r="B106" s="22" t="n"/>
      <c r="C106" s="22" t="n"/>
      <c r="D106" s="22" t="n"/>
      <c r="E106" s="20" t="n"/>
      <c r="F106" s="20" t="n"/>
      <c r="G106" s="22" t="n"/>
      <c r="H106" s="23" t="n"/>
    </row>
    <row r="107">
      <c r="A107" s="18" t="inlineStr">
        <is>
          <t>ISS-103</t>
        </is>
      </c>
      <c r="B107" s="22" t="n"/>
      <c r="C107" s="22" t="n"/>
      <c r="D107" s="22" t="n"/>
      <c r="E107" s="20" t="n"/>
      <c r="F107" s="20" t="n"/>
      <c r="G107" s="22" t="n"/>
      <c r="H107" s="23" t="n"/>
    </row>
    <row r="108">
      <c r="A108" s="18" t="inlineStr">
        <is>
          <t>ISS-104</t>
        </is>
      </c>
      <c r="B108" s="22" t="n"/>
      <c r="C108" s="22" t="n"/>
      <c r="D108" s="22" t="n"/>
      <c r="E108" s="20" t="n"/>
      <c r="F108" s="20" t="n"/>
      <c r="G108" s="22" t="n"/>
      <c r="H108" s="23" t="n"/>
    </row>
    <row r="109">
      <c r="A109" s="18" t="inlineStr">
        <is>
          <t>ISS-105</t>
        </is>
      </c>
      <c r="B109" s="22" t="n"/>
      <c r="C109" s="22" t="n"/>
      <c r="D109" s="22" t="n"/>
      <c r="E109" s="20" t="n"/>
      <c r="F109" s="20" t="n"/>
      <c r="G109" s="22" t="n"/>
      <c r="H109" s="23" t="n"/>
    </row>
    <row r="110">
      <c r="A110" s="18" t="inlineStr">
        <is>
          <t>ISS-106</t>
        </is>
      </c>
      <c r="B110" s="22" t="n"/>
      <c r="C110" s="22" t="n"/>
      <c r="D110" s="22" t="n"/>
      <c r="E110" s="20" t="n"/>
      <c r="F110" s="20" t="n"/>
      <c r="G110" s="22" t="n"/>
      <c r="H110" s="23" t="n"/>
    </row>
    <row r="111">
      <c r="A111" s="18" t="inlineStr">
        <is>
          <t>ISS-107</t>
        </is>
      </c>
      <c r="B111" s="22" t="n"/>
      <c r="C111" s="22" t="n"/>
      <c r="D111" s="22" t="n"/>
      <c r="E111" s="20" t="n"/>
      <c r="F111" s="20" t="n"/>
      <c r="G111" s="22" t="n"/>
      <c r="H111" s="23" t="n"/>
    </row>
    <row r="112">
      <c r="A112" s="18" t="inlineStr">
        <is>
          <t>ISS-108</t>
        </is>
      </c>
      <c r="B112" s="22" t="n"/>
      <c r="C112" s="22" t="n"/>
      <c r="D112" s="22" t="n"/>
      <c r="E112" s="20" t="n"/>
      <c r="F112" s="20" t="n"/>
      <c r="G112" s="22" t="n"/>
      <c r="H112" s="23" t="n"/>
    </row>
    <row r="113">
      <c r="A113" s="18" t="inlineStr">
        <is>
          <t>ISS-109</t>
        </is>
      </c>
      <c r="B113" s="22" t="n"/>
      <c r="C113" s="22" t="n"/>
      <c r="D113" s="22" t="n"/>
      <c r="E113" s="20" t="n"/>
      <c r="F113" s="20" t="n"/>
      <c r="G113" s="22" t="n"/>
      <c r="H113" s="23" t="n"/>
    </row>
    <row r="114">
      <c r="A114" s="18" t="inlineStr">
        <is>
          <t>ISS-110</t>
        </is>
      </c>
      <c r="B114" s="22" t="n"/>
      <c r="C114" s="22" t="n"/>
      <c r="D114" s="22" t="n"/>
      <c r="E114" s="20" t="n"/>
      <c r="F114" s="20" t="n"/>
      <c r="G114" s="22" t="n"/>
      <c r="H114" s="23" t="n"/>
    </row>
    <row r="117">
      <c r="A117" s="3" t="inlineStr">
        <is>
          <t>ISSUE REMEDIATION SUMMARY</t>
        </is>
      </c>
    </row>
    <row r="118">
      <c r="A118" s="6" t="inlineStr">
        <is>
          <t>Total Issues:</t>
        </is>
      </c>
      <c r="B118" s="6">
        <f>COUNTA(C5:C114)</f>
        <v/>
      </c>
    </row>
    <row r="119">
      <c r="A119" s="6" t="inlineStr">
        <is>
          <t>🔴 Critical Issues:</t>
        </is>
      </c>
      <c r="B119" s="6">
        <f>COUNTIF(E5:E114,"🔴*")</f>
        <v/>
      </c>
    </row>
    <row r="120">
      <c r="A120" s="6" t="inlineStr">
        <is>
          <t>🟡 High Severity:</t>
        </is>
      </c>
      <c r="B120" s="6">
        <f>COUNTIF(E5:E114,"🟡*")</f>
        <v/>
      </c>
    </row>
    <row r="121">
      <c r="A121" s="6" t="inlineStr">
        <is>
          <t>🟢 Medium Severity:</t>
        </is>
      </c>
      <c r="B121" s="6">
        <f>COUNTIF(E5:E114,"🟢*")</f>
        <v/>
      </c>
    </row>
    <row r="123">
      <c r="A123" s="6" t="inlineStr">
        <is>
          <t>🔴 Open Issues:</t>
        </is>
      </c>
      <c r="B123" s="6">
        <f>COUNTIF(F5:F114,"🔴*")</f>
        <v/>
      </c>
    </row>
    <row r="124">
      <c r="A124" s="6" t="inlineStr">
        <is>
          <t>⏳ In Progress:</t>
        </is>
      </c>
      <c r="B124" s="6">
        <f>COUNTIF(F5:F114,"⏳*")</f>
        <v/>
      </c>
    </row>
    <row r="125">
      <c r="A125" s="6" t="inlineStr">
        <is>
          <t>✅ Closed Issues:</t>
        </is>
      </c>
      <c r="B125" s="6">
        <f>COUNTIF(F5:F114,"✅*")</f>
        <v/>
      </c>
    </row>
    <row r="126">
      <c r="A126" s="6" t="inlineStr">
        <is>
          <t>Issue Closure Rate:</t>
        </is>
      </c>
      <c r="B126" s="25">
        <f>IF(B118&gt;0,B125/B118,0)</f>
        <v/>
      </c>
    </row>
  </sheetData>
  <mergeCells count="3">
    <mergeCell ref="A117:H117"/>
    <mergeCell ref="A2:H2"/>
    <mergeCell ref="A1:H1"/>
  </mergeCells>
  <dataValidations count="2">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showDropDown="0" showInputMessage="0" showErrorMessage="0" allowBlank="0" type="list">
      <formula1>"🔴 Critical,🟡 High,🟢 Medium,⚪ Low"</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showDropDown="0" showInputMessage="0" showErrorMessage="0" allowBlank="0" type="list">
      <formula1>"🔴 Open,⏳ In Progress,✅ Closed,➖ 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5"/>
  <sheetViews>
    <sheetView workbookViewId="0">
      <pane ySplit="4" topLeftCell="A5"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5" customWidth="1" min="5" max="5"/>
    <col width="20" customWidth="1" min="6" max="6"/>
    <col width="20" customWidth="1" min="7" max="7"/>
    <col width="15" customWidth="1" min="8" max="8"/>
  </cols>
  <sheetData>
    <row r="1" ht="30" customHeight="1">
      <c r="A1" s="16" t="inlineStr">
        <is>
          <t>TESTING COMPLIANCE ASSESSMENT (Annual Review)</t>
        </is>
      </c>
    </row>
    <row r="2">
      <c r="A2" s="3" t="inlineStr">
        <is>
          <t>Annual compliance assessment - are systems being tested according to requirements?</t>
        </is>
      </c>
    </row>
    <row r="4">
      <c r="A4" s="17" t="inlineStr">
        <is>
          <t>System Name</t>
        </is>
      </c>
      <c r="B4" s="17" t="inlineStr">
        <is>
          <t>Test Type</t>
        </is>
      </c>
      <c r="C4" s="17" t="inlineStr">
        <is>
          <t>Criticality</t>
        </is>
      </c>
      <c r="D4" s="17" t="inlineStr">
        <is>
          <t>Required Frequency</t>
        </is>
      </c>
      <c r="E4" s="17" t="inlineStr">
        <is>
          <t>Last Test Date</t>
        </is>
      </c>
      <c r="F4" s="17" t="inlineStr">
        <is>
          <t>Days Since Last Test</t>
        </is>
      </c>
      <c r="G4" s="17" t="inlineStr">
        <is>
          <t>Compliance Status</t>
        </is>
      </c>
      <c r="H4" s="17" t="inlineStr">
        <is>
          <t>Next Test Due</t>
        </is>
      </c>
    </row>
    <row r="5">
      <c r="A5" s="20" t="inlineStr">
        <is>
          <t>E-Commerce Website</t>
        </is>
      </c>
      <c r="B5" s="20" t="inlineStr">
        <is>
          <t>Backup Restore</t>
        </is>
      </c>
      <c r="C5" s="20" t="inlineStr">
        <is>
          <t>Tier 1 - Critical</t>
        </is>
      </c>
      <c r="D5" s="20" t="inlineStr">
        <is>
          <t>Quarterly</t>
        </is>
      </c>
      <c r="E5" s="21" t="inlineStr">
        <is>
          <t>30.11.2025</t>
        </is>
      </c>
      <c r="F5" s="28">
        <f>IF(E5="","",TODAY()-E5)</f>
        <v/>
      </c>
      <c r="G5" s="28">
        <f>IF(A5="","",IF(E5="","❓ Unknown",IF(D5="Quarterly",IF(F5&lt;=90,"✅ Compliant",IF(F5&lt;=105,"⚠ Overdue","❌ Non-Compliant")),IF(D5="Semi-Annual",IF(F5&lt;=180,"✅ Compliant",IF(F5&lt;=200,"⚠ Overdue","❌ Non-Compliant")),IF(D5="Annual",IF(F5&lt;=365,"✅ Compliant",IF(F5&lt;=400,"⚠ Overdue","❌ Non-Compliant")),"✅ Compliant")))))</f>
        <v/>
      </c>
      <c r="H5" s="29">
        <f>IF(E5="","",IF(D5="Quarterly",E5+90,IF(D5="Semi-Annual",E5+180,IF(D5="Annual",E5+365,E5))))</f>
        <v/>
      </c>
    </row>
    <row r="6">
      <c r="A6" s="20" t="inlineStr">
        <is>
          <t>E-Commerce Website</t>
        </is>
      </c>
      <c r="B6" s="20" t="inlineStr">
        <is>
          <t>Failover Test</t>
        </is>
      </c>
      <c r="C6" s="20" t="inlineStr">
        <is>
          <t>Tier 1 - Critical</t>
        </is>
      </c>
      <c r="D6" s="20" t="inlineStr">
        <is>
          <t>Quarterly</t>
        </is>
      </c>
      <c r="E6" s="21" t="inlineStr">
        <is>
          <t>05.11.2025</t>
        </is>
      </c>
      <c r="F6" s="28">
        <f>IF(E6="","",TODAY()-E6)</f>
        <v/>
      </c>
      <c r="G6" s="28">
        <f>IF(A6="","",IF(E6="","❓ Unknown",IF(D6="Quarterly",IF(F6&lt;=90,"✅ Compliant",IF(F6&lt;=105,"⚠ Overdue","❌ Non-Compliant")),IF(D6="Semi-Annual",IF(F6&lt;=180,"✅ Compliant",IF(F6&lt;=200,"⚠ Overdue","❌ Non-Compliant")),IF(D6="Annual",IF(F6&lt;=365,"✅ Compliant",IF(F6&lt;=400,"⚠ Overdue","❌ Non-Compliant")),"✅ Compliant")))))</f>
        <v/>
      </c>
      <c r="H6" s="29">
        <f>IF(E6="","",IF(D6="Quarterly",E6+90,IF(D6="Semi-Annual",E6+180,IF(D6="Annual",E6+365,E6))))</f>
        <v/>
      </c>
    </row>
    <row r="7">
      <c r="A7" s="20" t="inlineStr">
        <is>
          <t>Payment Gateway</t>
        </is>
      </c>
      <c r="B7" s="20" t="inlineStr">
        <is>
          <t>Failover Test</t>
        </is>
      </c>
      <c r="C7" s="20" t="inlineStr">
        <is>
          <t>Tier 1 - Critical</t>
        </is>
      </c>
      <c r="D7" s="20" t="inlineStr">
        <is>
          <t>Quarterly</t>
        </is>
      </c>
      <c r="E7" s="21" t="inlineStr">
        <is>
          <t>10.12.2025</t>
        </is>
      </c>
      <c r="F7" s="28">
        <f>IF(E7="","",TODAY()-E7)</f>
        <v/>
      </c>
      <c r="G7" s="28">
        <f>IF(A7="","",IF(E7="","❓ Unknown",IF(D7="Quarterly",IF(F7&lt;=90,"✅ Compliant",IF(F7&lt;=105,"⚠ Overdue","❌ Non-Compliant")),IF(D7="Semi-Annual",IF(F7&lt;=180,"✅ Compliant",IF(F7&lt;=200,"⚠ Overdue","❌ Non-Compliant")),IF(D7="Annual",IF(F7&lt;=365,"✅ Compliant",IF(F7&lt;=400,"⚠ Overdue","❌ Non-Compliant")),"✅ Compliant")))))</f>
        <v/>
      </c>
      <c r="H7" s="29">
        <f>IF(E7="","",IF(D7="Quarterly",E7+90,IF(D7="Semi-Annual",E7+180,IF(D7="Annual",E7+365,E7))))</f>
        <v/>
      </c>
    </row>
    <row r="8">
      <c r="A8" s="20" t="inlineStr">
        <is>
          <t>Email System</t>
        </is>
      </c>
      <c r="B8" s="20" t="inlineStr">
        <is>
          <t>Backup Restore</t>
        </is>
      </c>
      <c r="C8" s="20" t="inlineStr">
        <is>
          <t>Tier 1 - Critical</t>
        </is>
      </c>
      <c r="D8" s="20" t="inlineStr">
        <is>
          <t>Quarterly</t>
        </is>
      </c>
      <c r="E8" s="21" t="inlineStr">
        <is>
          <t>11.10.2025</t>
        </is>
      </c>
      <c r="F8" s="28">
        <f>IF(E8="","",TODAY()-E8)</f>
        <v/>
      </c>
      <c r="G8" s="28">
        <f>IF(A8="","",IF(E8="","❓ Unknown",IF(D8="Quarterly",IF(F8&lt;=90,"✅ Compliant",IF(F8&lt;=105,"⚠ Overdue","❌ Non-Compliant")),IF(D8="Semi-Annual",IF(F8&lt;=180,"✅ Compliant",IF(F8&lt;=200,"⚠ Overdue","❌ Non-Compliant")),IF(D8="Annual",IF(F8&lt;=365,"✅ Compliant",IF(F8&lt;=400,"⚠ Overdue","❌ Non-Compliant")),"✅ Compliant")))))</f>
        <v/>
      </c>
      <c r="H8" s="29">
        <f>IF(E8="","",IF(D8="Quarterly",E8+90,IF(D8="Semi-Annual",E8+180,IF(D8="Annual",E8+365,E8))))</f>
        <v/>
      </c>
    </row>
    <row r="9">
      <c r="A9" s="20" t="inlineStr">
        <is>
          <t>CRM System</t>
        </is>
      </c>
      <c r="B9" s="20" t="inlineStr">
        <is>
          <t>Backup Restore</t>
        </is>
      </c>
      <c r="C9" s="20" t="inlineStr">
        <is>
          <t>Tier 1 - Critical</t>
        </is>
      </c>
      <c r="D9" s="20" t="inlineStr">
        <is>
          <t>Quarterly</t>
        </is>
      </c>
      <c r="E9" s="21" t="inlineStr">
        <is>
          <t>20.11.2025</t>
        </is>
      </c>
      <c r="F9" s="28">
        <f>IF(E9="","",TODAY()-E9)</f>
        <v/>
      </c>
      <c r="G9" s="28">
        <f>IF(A9="","",IF(E9="","❓ Unknown",IF(D9="Quarterly",IF(F9&lt;=90,"✅ Compliant",IF(F9&lt;=105,"⚠ Overdue","❌ Non-Compliant")),IF(D9="Semi-Annual",IF(F9&lt;=180,"✅ Compliant",IF(F9&lt;=200,"⚠ Overdue","❌ Non-Compliant")),IF(D9="Annual",IF(F9&lt;=365,"✅ Compliant",IF(F9&lt;=400,"⚠ Overdue","❌ Non-Compliant")),"✅ Compliant")))))</f>
        <v/>
      </c>
      <c r="H9" s="29">
        <f>IF(E9="","",IF(D9="Quarterly",E9+90,IF(D9="Semi-Annual",E9+180,IF(D9="Annual",E9+365,E9))))</f>
        <v/>
      </c>
    </row>
    <row r="10">
      <c r="A10" s="20" t="inlineStr">
        <is>
          <t>ERP System</t>
        </is>
      </c>
      <c r="B10" s="20" t="inlineStr">
        <is>
          <t>Backup Restore</t>
        </is>
      </c>
      <c r="C10" s="20" t="inlineStr">
        <is>
          <t>Tier 2 - Important</t>
        </is>
      </c>
      <c r="D10" s="20" t="inlineStr">
        <is>
          <t>Semi-Annual</t>
        </is>
      </c>
      <c r="E10" s="21" t="inlineStr">
        <is>
          <t>01.09.2025</t>
        </is>
      </c>
      <c r="F10" s="28">
        <f>IF(E10="","",TODAY()-E10)</f>
        <v/>
      </c>
      <c r="G10" s="28">
        <f>IF(A10="","",IF(E10="","❓ Unknown",IF(D10="Quarterly",IF(F10&lt;=90,"✅ Compliant",IF(F10&lt;=105,"⚠ Overdue","❌ Non-Compliant")),IF(D10="Semi-Annual",IF(F10&lt;=180,"✅ Compliant",IF(F10&lt;=200,"⚠ Overdue","❌ Non-Compliant")),IF(D10="Annual",IF(F10&lt;=365,"✅ Compliant",IF(F10&lt;=400,"⚠ Overdue","❌ Non-Compliant")),"✅ Compliant")))))</f>
        <v/>
      </c>
      <c r="H10" s="29">
        <f>IF(E10="","",IF(D10="Quarterly",E10+90,IF(D10="Semi-Annual",E10+180,IF(D10="Annual",E10+365,E10))))</f>
        <v/>
      </c>
    </row>
    <row r="11">
      <c r="A11" s="20" t="inlineStr">
        <is>
          <t>HR Information System</t>
        </is>
      </c>
      <c r="B11" s="20" t="inlineStr">
        <is>
          <t>Backup Restore</t>
        </is>
      </c>
      <c r="C11" s="20" t="inlineStr">
        <is>
          <t>Tier 2 - Important</t>
        </is>
      </c>
      <c r="D11" s="20" t="inlineStr">
        <is>
          <t>Semi-Annual</t>
        </is>
      </c>
      <c r="E11" s="21" t="inlineStr">
        <is>
          <t>02.08.2025</t>
        </is>
      </c>
      <c r="F11" s="28">
        <f>IF(E11="","",TODAY()-E11)</f>
        <v/>
      </c>
      <c r="G11" s="28">
        <f>IF(A11="","",IF(E11="","❓ Unknown",IF(D11="Quarterly",IF(F11&lt;=90,"✅ Compliant",IF(F11&lt;=105,"⚠ Overdue","❌ Non-Compliant")),IF(D11="Semi-Annual",IF(F11&lt;=180,"✅ Compliant",IF(F11&lt;=200,"⚠ Overdue","❌ Non-Compliant")),IF(D11="Annual",IF(F11&lt;=365,"✅ Compliant",IF(F11&lt;=400,"⚠ Overdue","❌ Non-Compliant")),"✅ Compliant")))))</f>
        <v/>
      </c>
      <c r="H11" s="29">
        <f>IF(E11="","",IF(D11="Quarterly",E11+90,IF(D11="Semi-Annual",E11+180,IF(D11="Annual",E11+365,E11))))</f>
        <v/>
      </c>
    </row>
    <row r="12">
      <c r="A12" s="20" t="inlineStr">
        <is>
          <t>File Server</t>
        </is>
      </c>
      <c r="B12" s="20" t="inlineStr">
        <is>
          <t>Backup Restore</t>
        </is>
      </c>
      <c r="C12" s="20" t="inlineStr">
        <is>
          <t>Tier 3 - Standard</t>
        </is>
      </c>
      <c r="D12" s="20" t="inlineStr">
        <is>
          <t>Annual</t>
        </is>
      </c>
      <c r="E12" s="21" t="inlineStr">
        <is>
          <t>14.04.2025</t>
        </is>
      </c>
      <c r="F12" s="28">
        <f>IF(E12="","",TODAY()-E12)</f>
        <v/>
      </c>
      <c r="G12" s="28">
        <f>IF(A12="","",IF(E12="","❓ Unknown",IF(D12="Quarterly",IF(F12&lt;=90,"✅ Compliant",IF(F12&lt;=105,"⚠ Overdue","❌ Non-Compliant")),IF(D12="Semi-Annual",IF(F12&lt;=180,"✅ Compliant",IF(F12&lt;=200,"⚠ Overdue","❌ Non-Compliant")),IF(D12="Annual",IF(F12&lt;=365,"✅ Compliant",IF(F12&lt;=400,"⚠ Overdue","❌ Non-Compliant")),"✅ Compliant")))))</f>
        <v/>
      </c>
      <c r="H12" s="29">
        <f>IF(E12="","",IF(D12="Quarterly",E12+90,IF(D12="Semi-Annual",E12+180,IF(D12="Annual",E12+365,E12))))</f>
        <v/>
      </c>
    </row>
    <row r="13">
      <c r="A13" s="20" t="inlineStr">
        <is>
          <t>Document Repository</t>
        </is>
      </c>
      <c r="B13" s="20" t="inlineStr">
        <is>
          <t>Backup Restore</t>
        </is>
      </c>
      <c r="C13" s="20" t="inlineStr">
        <is>
          <t>Tier 3 - Standard</t>
        </is>
      </c>
      <c r="D13" s="20" t="inlineStr">
        <is>
          <t>Annual</t>
        </is>
      </c>
      <c r="E13" s="21" t="inlineStr">
        <is>
          <t>24.01.2025</t>
        </is>
      </c>
      <c r="F13" s="28">
        <f>IF(E13="","",TODAY()-E13)</f>
        <v/>
      </c>
      <c r="G13" s="28">
        <f>IF(A13="","",IF(E13="","❓ Unknown",IF(D13="Quarterly",IF(F13&lt;=90,"✅ Compliant",IF(F13&lt;=105,"⚠ Overdue","❌ Non-Compliant")),IF(D13="Semi-Annual",IF(F13&lt;=180,"✅ Compliant",IF(F13&lt;=200,"⚠ Overdue","❌ Non-Compliant")),IF(D13="Annual",IF(F13&lt;=365,"✅ Compliant",IF(F13&lt;=400,"⚠ Overdue","❌ Non-Compliant")),"✅ Compliant")))))</f>
        <v/>
      </c>
      <c r="H13" s="29">
        <f>IF(E13="","",IF(D13="Quarterly",E13+90,IF(D13="Semi-Annual",E13+180,IF(D13="Annual",E13+365,E13))))</f>
        <v/>
      </c>
    </row>
    <row r="14">
      <c r="A14" s="20" t="inlineStr">
        <is>
          <t>Test Database</t>
        </is>
      </c>
      <c r="B14" s="20" t="inlineStr">
        <is>
          <t>Backup Restore</t>
        </is>
      </c>
      <c r="C14" s="20" t="inlineStr">
        <is>
          <t>Tier 4 - Low</t>
        </is>
      </c>
      <c r="D14" s="20" t="inlineStr">
        <is>
          <t>Ad-Hoc</t>
        </is>
      </c>
      <c r="E14" s="21" t="inlineStr"/>
      <c r="F14" s="28">
        <f>IF(E14="","",TODAY()-E14)</f>
        <v/>
      </c>
      <c r="G14" s="28">
        <f>IF(A14="","",IF(E14="","❓ Unknown",IF(D14="Quarterly",IF(F14&lt;=90,"✅ Compliant",IF(F14&lt;=105,"⚠ Overdue","❌ Non-Compliant")),IF(D14="Semi-Annual",IF(F14&lt;=180,"✅ Compliant",IF(F14&lt;=200,"⚠ Overdue","❌ Non-Compliant")),IF(D14="Annual",IF(F14&lt;=365,"✅ Compliant",IF(F14&lt;=400,"⚠ Overdue","❌ Non-Compliant")),"✅ Compliant")))))</f>
        <v/>
      </c>
      <c r="H14" s="29">
        <f>IF(E14="","",IF(D14="Quarterly",E14+90,IF(D14="Semi-Annual",E14+180,IF(D14="Annual",E14+365,E14))))</f>
        <v/>
      </c>
    </row>
    <row r="15">
      <c r="A15" s="24" t="n"/>
      <c r="B15" s="20" t="n"/>
      <c r="C15" s="20" t="n"/>
      <c r="D15" s="20" t="n"/>
      <c r="E15" s="23" t="n"/>
      <c r="F15" s="28">
        <f>IF(E15="","",TODAY()-E15)</f>
        <v/>
      </c>
      <c r="G15" s="28">
        <f>IF(A15="","",IF(E15="","❓ Unknown",IF(D15="Quarterly",IF(F15&lt;=90,"✅ Compliant",IF(F15&lt;=105,"⚠ Overdue","❌ Non-Compliant")),IF(D15="Semi-Annual",IF(F15&lt;=180,"✅ Compliant",IF(F15&lt;=200,"⚠ Overdue","❌ Non-Compliant")),IF(D15="Annual",IF(F15&lt;=365,"✅ Compliant",IF(F15&lt;=400,"⚠ Overdue","❌ Non-Compliant")),"✅ Compliant")))))</f>
        <v/>
      </c>
      <c r="H15" s="29">
        <f>IF(E15="","",IF(D15="Quarterly",E15+90,IF(D15="Semi-Annual",E15+180,IF(D15="Annual",E15+365,E15))))</f>
        <v/>
      </c>
    </row>
    <row r="16">
      <c r="A16" s="24" t="n"/>
      <c r="B16" s="20" t="n"/>
      <c r="C16" s="20" t="n"/>
      <c r="D16" s="20" t="n"/>
      <c r="E16" s="23" t="n"/>
      <c r="F16" s="28">
        <f>IF(E16="","",TODAY()-E16)</f>
        <v/>
      </c>
      <c r="G16" s="28">
        <f>IF(A16="","",IF(E16="","❓ Unknown",IF(D16="Quarterly",IF(F16&lt;=90,"✅ Compliant",IF(F16&lt;=105,"⚠ Overdue","❌ Non-Compliant")),IF(D16="Semi-Annual",IF(F16&lt;=180,"✅ Compliant",IF(F16&lt;=200,"⚠ Overdue","❌ Non-Compliant")),IF(D16="Annual",IF(F16&lt;=365,"✅ Compliant",IF(F16&lt;=400,"⚠ Overdue","❌ Non-Compliant")),"✅ Compliant")))))</f>
        <v/>
      </c>
      <c r="H16" s="29">
        <f>IF(E16="","",IF(D16="Quarterly",E16+90,IF(D16="Semi-Annual",E16+180,IF(D16="Annual",E16+365,E16))))</f>
        <v/>
      </c>
    </row>
    <row r="17">
      <c r="A17" s="24" t="n"/>
      <c r="B17" s="20" t="n"/>
      <c r="C17" s="20" t="n"/>
      <c r="D17" s="20" t="n"/>
      <c r="E17" s="23" t="n"/>
      <c r="F17" s="28">
        <f>IF(E17="","",TODAY()-E17)</f>
        <v/>
      </c>
      <c r="G17" s="28">
        <f>IF(A17="","",IF(E17="","❓ Unknown",IF(D17="Quarterly",IF(F17&lt;=90,"✅ Compliant",IF(F17&lt;=105,"⚠ Overdue","❌ Non-Compliant")),IF(D17="Semi-Annual",IF(F17&lt;=180,"✅ Compliant",IF(F17&lt;=200,"⚠ Overdue","❌ Non-Compliant")),IF(D17="Annual",IF(F17&lt;=365,"✅ Compliant",IF(F17&lt;=400,"⚠ Overdue","❌ Non-Compliant")),"✅ Compliant")))))</f>
        <v/>
      </c>
      <c r="H17" s="29">
        <f>IF(E17="","",IF(D17="Quarterly",E17+90,IF(D17="Semi-Annual",E17+180,IF(D17="Annual",E17+365,E17))))</f>
        <v/>
      </c>
    </row>
    <row r="18">
      <c r="A18" s="24" t="n"/>
      <c r="B18" s="20" t="n"/>
      <c r="C18" s="20" t="n"/>
      <c r="D18" s="20" t="n"/>
      <c r="E18" s="23" t="n"/>
      <c r="F18" s="28">
        <f>IF(E18="","",TODAY()-E18)</f>
        <v/>
      </c>
      <c r="G18" s="28">
        <f>IF(A18="","",IF(E18="","❓ Unknown",IF(D18="Quarterly",IF(F18&lt;=90,"✅ Compliant",IF(F18&lt;=105,"⚠ Overdue","❌ Non-Compliant")),IF(D18="Semi-Annual",IF(F18&lt;=180,"✅ Compliant",IF(F18&lt;=200,"⚠ Overdue","❌ Non-Compliant")),IF(D18="Annual",IF(F18&lt;=365,"✅ Compliant",IF(F18&lt;=400,"⚠ Overdue","❌ Non-Compliant")),"✅ Compliant")))))</f>
        <v/>
      </c>
      <c r="H18" s="29">
        <f>IF(E18="","",IF(D18="Quarterly",E18+90,IF(D18="Semi-Annual",E18+180,IF(D18="Annual",E18+365,E18))))</f>
        <v/>
      </c>
    </row>
    <row r="19">
      <c r="A19" s="24" t="n"/>
      <c r="B19" s="20" t="n"/>
      <c r="C19" s="20" t="n"/>
      <c r="D19" s="20" t="n"/>
      <c r="E19" s="23" t="n"/>
      <c r="F19" s="28">
        <f>IF(E19="","",TODAY()-E19)</f>
        <v/>
      </c>
      <c r="G19" s="28">
        <f>IF(A19="","",IF(E19="","❓ Unknown",IF(D19="Quarterly",IF(F19&lt;=90,"✅ Compliant",IF(F19&lt;=105,"⚠ Overdue","❌ Non-Compliant")),IF(D19="Semi-Annual",IF(F19&lt;=180,"✅ Compliant",IF(F19&lt;=200,"⚠ Overdue","❌ Non-Compliant")),IF(D19="Annual",IF(F19&lt;=365,"✅ Compliant",IF(F19&lt;=400,"⚠ Overdue","❌ Non-Compliant")),"✅ Compliant")))))</f>
        <v/>
      </c>
      <c r="H19" s="29">
        <f>IF(E19="","",IF(D19="Quarterly",E19+90,IF(D19="Semi-Annual",E19+180,IF(D19="Annual",E19+365,E19))))</f>
        <v/>
      </c>
    </row>
    <row r="20">
      <c r="A20" s="24" t="n"/>
      <c r="B20" s="20" t="n"/>
      <c r="C20" s="20" t="n"/>
      <c r="D20" s="20" t="n"/>
      <c r="E20" s="23" t="n"/>
      <c r="F20" s="28">
        <f>IF(E20="","",TODAY()-E20)</f>
        <v/>
      </c>
      <c r="G20" s="28">
        <f>IF(A20="","",IF(E20="","❓ Unknown",IF(D20="Quarterly",IF(F20&lt;=90,"✅ Compliant",IF(F20&lt;=105,"⚠ Overdue","❌ Non-Compliant")),IF(D20="Semi-Annual",IF(F20&lt;=180,"✅ Compliant",IF(F20&lt;=200,"⚠ Overdue","❌ Non-Compliant")),IF(D20="Annual",IF(F20&lt;=365,"✅ Compliant",IF(F20&lt;=400,"⚠ Overdue","❌ Non-Compliant")),"✅ Compliant")))))</f>
        <v/>
      </c>
      <c r="H20" s="29">
        <f>IF(E20="","",IF(D20="Quarterly",E20+90,IF(D20="Semi-Annual",E20+180,IF(D20="Annual",E20+365,E20))))</f>
        <v/>
      </c>
    </row>
    <row r="21">
      <c r="A21" s="24" t="n"/>
      <c r="B21" s="20" t="n"/>
      <c r="C21" s="20" t="n"/>
      <c r="D21" s="20" t="n"/>
      <c r="E21" s="23" t="n"/>
      <c r="F21" s="28">
        <f>IF(E21="","",TODAY()-E21)</f>
        <v/>
      </c>
      <c r="G21" s="28">
        <f>IF(A21="","",IF(E21="","❓ Unknown",IF(D21="Quarterly",IF(F21&lt;=90,"✅ Compliant",IF(F21&lt;=105,"⚠ Overdue","❌ Non-Compliant")),IF(D21="Semi-Annual",IF(F21&lt;=180,"✅ Compliant",IF(F21&lt;=200,"⚠ Overdue","❌ Non-Compliant")),IF(D21="Annual",IF(F21&lt;=365,"✅ Compliant",IF(F21&lt;=400,"⚠ Overdue","❌ Non-Compliant")),"✅ Compliant")))))</f>
        <v/>
      </c>
      <c r="H21" s="29">
        <f>IF(E21="","",IF(D21="Quarterly",E21+90,IF(D21="Semi-Annual",E21+180,IF(D21="Annual",E21+365,E21))))</f>
        <v/>
      </c>
    </row>
    <row r="22">
      <c r="A22" s="24" t="n"/>
      <c r="B22" s="20" t="n"/>
      <c r="C22" s="20" t="n"/>
      <c r="D22" s="20" t="n"/>
      <c r="E22" s="23" t="n"/>
      <c r="F22" s="28">
        <f>IF(E22="","",TODAY()-E22)</f>
        <v/>
      </c>
      <c r="G22" s="28">
        <f>IF(A22="","",IF(E22="","❓ Unknown",IF(D22="Quarterly",IF(F22&lt;=90,"✅ Compliant",IF(F22&lt;=105,"⚠ Overdue","❌ Non-Compliant")),IF(D22="Semi-Annual",IF(F22&lt;=180,"✅ Compliant",IF(F22&lt;=200,"⚠ Overdue","❌ Non-Compliant")),IF(D22="Annual",IF(F22&lt;=365,"✅ Compliant",IF(F22&lt;=400,"⚠ Overdue","❌ Non-Compliant")),"✅ Compliant")))))</f>
        <v/>
      </c>
      <c r="H22" s="29">
        <f>IF(E22="","",IF(D22="Quarterly",E22+90,IF(D22="Semi-Annual",E22+180,IF(D22="Annual",E22+365,E22))))</f>
        <v/>
      </c>
    </row>
    <row r="23">
      <c r="A23" s="24" t="n"/>
      <c r="B23" s="20" t="n"/>
      <c r="C23" s="20" t="n"/>
      <c r="D23" s="20" t="n"/>
      <c r="E23" s="23" t="n"/>
      <c r="F23" s="28">
        <f>IF(E23="","",TODAY()-E23)</f>
        <v/>
      </c>
      <c r="G23" s="28">
        <f>IF(A23="","",IF(E23="","❓ Unknown",IF(D23="Quarterly",IF(F23&lt;=90,"✅ Compliant",IF(F23&lt;=105,"⚠ Overdue","❌ Non-Compliant")),IF(D23="Semi-Annual",IF(F23&lt;=180,"✅ Compliant",IF(F23&lt;=200,"⚠ Overdue","❌ Non-Compliant")),IF(D23="Annual",IF(F23&lt;=365,"✅ Compliant",IF(F23&lt;=400,"⚠ Overdue","❌ Non-Compliant")),"✅ Compliant")))))</f>
        <v/>
      </c>
      <c r="H23" s="29">
        <f>IF(E23="","",IF(D23="Quarterly",E23+90,IF(D23="Semi-Annual",E23+180,IF(D23="Annual",E23+365,E23))))</f>
        <v/>
      </c>
    </row>
    <row r="24">
      <c r="A24" s="24" t="n"/>
      <c r="B24" s="20" t="n"/>
      <c r="C24" s="20" t="n"/>
      <c r="D24" s="20" t="n"/>
      <c r="E24" s="23" t="n"/>
      <c r="F24" s="28">
        <f>IF(E24="","",TODAY()-E24)</f>
        <v/>
      </c>
      <c r="G24" s="28">
        <f>IF(A24="","",IF(E24="","❓ Unknown",IF(D24="Quarterly",IF(F24&lt;=90,"✅ Compliant",IF(F24&lt;=105,"⚠ Overdue","❌ Non-Compliant")),IF(D24="Semi-Annual",IF(F24&lt;=180,"✅ Compliant",IF(F24&lt;=200,"⚠ Overdue","❌ Non-Compliant")),IF(D24="Annual",IF(F24&lt;=365,"✅ Compliant",IF(F24&lt;=400,"⚠ Overdue","❌ Non-Compliant")),"✅ Compliant")))))</f>
        <v/>
      </c>
      <c r="H24" s="29">
        <f>IF(E24="","",IF(D24="Quarterly",E24+90,IF(D24="Semi-Annual",E24+180,IF(D24="Annual",E24+365,E24))))</f>
        <v/>
      </c>
    </row>
    <row r="25">
      <c r="A25" s="24" t="n"/>
      <c r="B25" s="20" t="n"/>
      <c r="C25" s="20" t="n"/>
      <c r="D25" s="20" t="n"/>
      <c r="E25" s="23" t="n"/>
      <c r="F25" s="28">
        <f>IF(E25="","",TODAY()-E25)</f>
        <v/>
      </c>
      <c r="G25" s="28">
        <f>IF(A25="","",IF(E25="","❓ Unknown",IF(D25="Quarterly",IF(F25&lt;=90,"✅ Compliant",IF(F25&lt;=105,"⚠ Overdue","❌ Non-Compliant")),IF(D25="Semi-Annual",IF(F25&lt;=180,"✅ Compliant",IF(F25&lt;=200,"⚠ Overdue","❌ Non-Compliant")),IF(D25="Annual",IF(F25&lt;=365,"✅ Compliant",IF(F25&lt;=400,"⚠ Overdue","❌ Non-Compliant")),"✅ Compliant")))))</f>
        <v/>
      </c>
      <c r="H25" s="29">
        <f>IF(E25="","",IF(D25="Quarterly",E25+90,IF(D25="Semi-Annual",E25+180,IF(D25="Annual",E25+365,E25))))</f>
        <v/>
      </c>
    </row>
    <row r="26">
      <c r="A26" s="24" t="n"/>
      <c r="B26" s="20" t="n"/>
      <c r="C26" s="20" t="n"/>
      <c r="D26" s="20" t="n"/>
      <c r="E26" s="23" t="n"/>
      <c r="F26" s="28">
        <f>IF(E26="","",TODAY()-E26)</f>
        <v/>
      </c>
      <c r="G26" s="28">
        <f>IF(A26="","",IF(E26="","❓ Unknown",IF(D26="Quarterly",IF(F26&lt;=90,"✅ Compliant",IF(F26&lt;=105,"⚠ Overdue","❌ Non-Compliant")),IF(D26="Semi-Annual",IF(F26&lt;=180,"✅ Compliant",IF(F26&lt;=200,"⚠ Overdue","❌ Non-Compliant")),IF(D26="Annual",IF(F26&lt;=365,"✅ Compliant",IF(F26&lt;=400,"⚠ Overdue","❌ Non-Compliant")),"✅ Compliant")))))</f>
        <v/>
      </c>
      <c r="H26" s="29">
        <f>IF(E26="","",IF(D26="Quarterly",E26+90,IF(D26="Semi-Annual",E26+180,IF(D26="Annual",E26+365,E26))))</f>
        <v/>
      </c>
    </row>
    <row r="27">
      <c r="A27" s="24" t="n"/>
      <c r="B27" s="20" t="n"/>
      <c r="C27" s="20" t="n"/>
      <c r="D27" s="20" t="n"/>
      <c r="E27" s="23" t="n"/>
      <c r="F27" s="28">
        <f>IF(E27="","",TODAY()-E27)</f>
        <v/>
      </c>
      <c r="G27" s="28">
        <f>IF(A27="","",IF(E27="","❓ Unknown",IF(D27="Quarterly",IF(F27&lt;=90,"✅ Compliant",IF(F27&lt;=105,"⚠ Overdue","❌ Non-Compliant")),IF(D27="Semi-Annual",IF(F27&lt;=180,"✅ Compliant",IF(F27&lt;=200,"⚠ Overdue","❌ Non-Compliant")),IF(D27="Annual",IF(F27&lt;=365,"✅ Compliant",IF(F27&lt;=400,"⚠ Overdue","❌ Non-Compliant")),"✅ Compliant")))))</f>
        <v/>
      </c>
      <c r="H27" s="29">
        <f>IF(E27="","",IF(D27="Quarterly",E27+90,IF(D27="Semi-Annual",E27+180,IF(D27="Annual",E27+365,E27))))</f>
        <v/>
      </c>
    </row>
    <row r="28">
      <c r="A28" s="24" t="n"/>
      <c r="B28" s="20" t="n"/>
      <c r="C28" s="20" t="n"/>
      <c r="D28" s="20" t="n"/>
      <c r="E28" s="23" t="n"/>
      <c r="F28" s="28">
        <f>IF(E28="","",TODAY()-E28)</f>
        <v/>
      </c>
      <c r="G28" s="28">
        <f>IF(A28="","",IF(E28="","❓ Unknown",IF(D28="Quarterly",IF(F28&lt;=90,"✅ Compliant",IF(F28&lt;=105,"⚠ Overdue","❌ Non-Compliant")),IF(D28="Semi-Annual",IF(F28&lt;=180,"✅ Compliant",IF(F28&lt;=200,"⚠ Overdue","❌ Non-Compliant")),IF(D28="Annual",IF(F28&lt;=365,"✅ Compliant",IF(F28&lt;=400,"⚠ Overdue","❌ Non-Compliant")),"✅ Compliant")))))</f>
        <v/>
      </c>
      <c r="H28" s="29">
        <f>IF(E28="","",IF(D28="Quarterly",E28+90,IF(D28="Semi-Annual",E28+180,IF(D28="Annual",E28+365,E28))))</f>
        <v/>
      </c>
    </row>
    <row r="29">
      <c r="A29" s="24" t="n"/>
      <c r="B29" s="20" t="n"/>
      <c r="C29" s="20" t="n"/>
      <c r="D29" s="20" t="n"/>
      <c r="E29" s="23" t="n"/>
      <c r="F29" s="28">
        <f>IF(E29="","",TODAY()-E29)</f>
        <v/>
      </c>
      <c r="G29" s="28">
        <f>IF(A29="","",IF(E29="","❓ Unknown",IF(D29="Quarterly",IF(F29&lt;=90,"✅ Compliant",IF(F29&lt;=105,"⚠ Overdue","❌ Non-Compliant")),IF(D29="Semi-Annual",IF(F29&lt;=180,"✅ Compliant",IF(F29&lt;=200,"⚠ Overdue","❌ Non-Compliant")),IF(D29="Annual",IF(F29&lt;=365,"✅ Compliant",IF(F29&lt;=400,"⚠ Overdue","❌ Non-Compliant")),"✅ Compliant")))))</f>
        <v/>
      </c>
      <c r="H29" s="29">
        <f>IF(E29="","",IF(D29="Quarterly",E29+90,IF(D29="Semi-Annual",E29+180,IF(D29="Annual",E29+365,E29))))</f>
        <v/>
      </c>
    </row>
    <row r="30">
      <c r="A30" s="24" t="n"/>
      <c r="B30" s="20" t="n"/>
      <c r="C30" s="20" t="n"/>
      <c r="D30" s="20" t="n"/>
      <c r="E30" s="23" t="n"/>
      <c r="F30" s="28">
        <f>IF(E30="","",TODAY()-E30)</f>
        <v/>
      </c>
      <c r="G30" s="28">
        <f>IF(A30="","",IF(E30="","❓ Unknown",IF(D30="Quarterly",IF(F30&lt;=90,"✅ Compliant",IF(F30&lt;=105,"⚠ Overdue","❌ Non-Compliant")),IF(D30="Semi-Annual",IF(F30&lt;=180,"✅ Compliant",IF(F30&lt;=200,"⚠ Overdue","❌ Non-Compliant")),IF(D30="Annual",IF(F30&lt;=365,"✅ Compliant",IF(F30&lt;=400,"⚠ Overdue","❌ Non-Compliant")),"✅ Compliant")))))</f>
        <v/>
      </c>
      <c r="H30" s="29">
        <f>IF(E30="","",IF(D30="Quarterly",E30+90,IF(D30="Semi-Annual",E30+180,IF(D30="Annual",E30+365,E30))))</f>
        <v/>
      </c>
    </row>
    <row r="31">
      <c r="A31" s="24" t="n"/>
      <c r="B31" s="20" t="n"/>
      <c r="C31" s="20" t="n"/>
      <c r="D31" s="20" t="n"/>
      <c r="E31" s="23" t="n"/>
      <c r="F31" s="28">
        <f>IF(E31="","",TODAY()-E31)</f>
        <v/>
      </c>
      <c r="G31" s="28">
        <f>IF(A31="","",IF(E31="","❓ Unknown",IF(D31="Quarterly",IF(F31&lt;=90,"✅ Compliant",IF(F31&lt;=105,"⚠ Overdue","❌ Non-Compliant")),IF(D31="Semi-Annual",IF(F31&lt;=180,"✅ Compliant",IF(F31&lt;=200,"⚠ Overdue","❌ Non-Compliant")),IF(D31="Annual",IF(F31&lt;=365,"✅ Compliant",IF(F31&lt;=400,"⚠ Overdue","❌ Non-Compliant")),"✅ Compliant")))))</f>
        <v/>
      </c>
      <c r="H31" s="29">
        <f>IF(E31="","",IF(D31="Quarterly",E31+90,IF(D31="Semi-Annual",E31+180,IF(D31="Annual",E31+365,E31))))</f>
        <v/>
      </c>
    </row>
    <row r="32">
      <c r="A32" s="24" t="n"/>
      <c r="B32" s="20" t="n"/>
      <c r="C32" s="20" t="n"/>
      <c r="D32" s="20" t="n"/>
      <c r="E32" s="23" t="n"/>
      <c r="F32" s="28">
        <f>IF(E32="","",TODAY()-E32)</f>
        <v/>
      </c>
      <c r="G32" s="28">
        <f>IF(A32="","",IF(E32="","❓ Unknown",IF(D32="Quarterly",IF(F32&lt;=90,"✅ Compliant",IF(F32&lt;=105,"⚠ Overdue","❌ Non-Compliant")),IF(D32="Semi-Annual",IF(F32&lt;=180,"✅ Compliant",IF(F32&lt;=200,"⚠ Overdue","❌ Non-Compliant")),IF(D32="Annual",IF(F32&lt;=365,"✅ Compliant",IF(F32&lt;=400,"⚠ Overdue","❌ Non-Compliant")),"✅ Compliant")))))</f>
        <v/>
      </c>
      <c r="H32" s="29">
        <f>IF(E32="","",IF(D32="Quarterly",E32+90,IF(D32="Semi-Annual",E32+180,IF(D32="Annual",E32+365,E32))))</f>
        <v/>
      </c>
    </row>
    <row r="33">
      <c r="A33" s="24" t="n"/>
      <c r="B33" s="20" t="n"/>
      <c r="C33" s="20" t="n"/>
      <c r="D33" s="20" t="n"/>
      <c r="E33" s="23" t="n"/>
      <c r="F33" s="28">
        <f>IF(E33="","",TODAY()-E33)</f>
        <v/>
      </c>
      <c r="G33" s="28">
        <f>IF(A33="","",IF(E33="","❓ Unknown",IF(D33="Quarterly",IF(F33&lt;=90,"✅ Compliant",IF(F33&lt;=105,"⚠ Overdue","❌ Non-Compliant")),IF(D33="Semi-Annual",IF(F33&lt;=180,"✅ Compliant",IF(F33&lt;=200,"⚠ Overdue","❌ Non-Compliant")),IF(D33="Annual",IF(F33&lt;=365,"✅ Compliant",IF(F33&lt;=400,"⚠ Overdue","❌ Non-Compliant")),"✅ Compliant")))))</f>
        <v/>
      </c>
      <c r="H33" s="29">
        <f>IF(E33="","",IF(D33="Quarterly",E33+90,IF(D33="Semi-Annual",E33+180,IF(D33="Annual",E33+365,E33))))</f>
        <v/>
      </c>
    </row>
    <row r="34">
      <c r="A34" s="24" t="n"/>
      <c r="B34" s="20" t="n"/>
      <c r="C34" s="20" t="n"/>
      <c r="D34" s="20" t="n"/>
      <c r="E34" s="23" t="n"/>
      <c r="F34" s="28">
        <f>IF(E34="","",TODAY()-E34)</f>
        <v/>
      </c>
      <c r="G34" s="28">
        <f>IF(A34="","",IF(E34="","❓ Unknown",IF(D34="Quarterly",IF(F34&lt;=90,"✅ Compliant",IF(F34&lt;=105,"⚠ Overdue","❌ Non-Compliant")),IF(D34="Semi-Annual",IF(F34&lt;=180,"✅ Compliant",IF(F34&lt;=200,"⚠ Overdue","❌ Non-Compliant")),IF(D34="Annual",IF(F34&lt;=365,"✅ Compliant",IF(F34&lt;=400,"⚠ Overdue","❌ Non-Compliant")),"✅ Compliant")))))</f>
        <v/>
      </c>
      <c r="H34" s="29">
        <f>IF(E34="","",IF(D34="Quarterly",E34+90,IF(D34="Semi-Annual",E34+180,IF(D34="Annual",E34+365,E34))))</f>
        <v/>
      </c>
    </row>
    <row r="35">
      <c r="A35" s="24" t="n"/>
      <c r="B35" s="20" t="n"/>
      <c r="C35" s="20" t="n"/>
      <c r="D35" s="20" t="n"/>
      <c r="E35" s="23" t="n"/>
      <c r="F35" s="28">
        <f>IF(E35="","",TODAY()-E35)</f>
        <v/>
      </c>
      <c r="G35" s="28">
        <f>IF(A35="","",IF(E35="","❓ Unknown",IF(D35="Quarterly",IF(F35&lt;=90,"✅ Compliant",IF(F35&lt;=105,"⚠ Overdue","❌ Non-Compliant")),IF(D35="Semi-Annual",IF(F35&lt;=180,"✅ Compliant",IF(F35&lt;=200,"⚠ Overdue","❌ Non-Compliant")),IF(D35="Annual",IF(F35&lt;=365,"✅ Compliant",IF(F35&lt;=400,"⚠ Overdue","❌ Non-Compliant")),"✅ Compliant")))))</f>
        <v/>
      </c>
      <c r="H35" s="29">
        <f>IF(E35="","",IF(D35="Quarterly",E35+90,IF(D35="Semi-Annual",E35+180,IF(D35="Annual",E35+365,E35))))</f>
        <v/>
      </c>
    </row>
    <row r="36">
      <c r="A36" s="24" t="n"/>
      <c r="B36" s="20" t="n"/>
      <c r="C36" s="20" t="n"/>
      <c r="D36" s="20" t="n"/>
      <c r="E36" s="23" t="n"/>
      <c r="F36" s="28">
        <f>IF(E36="","",TODAY()-E36)</f>
        <v/>
      </c>
      <c r="G36" s="28">
        <f>IF(A36="","",IF(E36="","❓ Unknown",IF(D36="Quarterly",IF(F36&lt;=90,"✅ Compliant",IF(F36&lt;=105,"⚠ Overdue","❌ Non-Compliant")),IF(D36="Semi-Annual",IF(F36&lt;=180,"✅ Compliant",IF(F36&lt;=200,"⚠ Overdue","❌ Non-Compliant")),IF(D36="Annual",IF(F36&lt;=365,"✅ Compliant",IF(F36&lt;=400,"⚠ Overdue","❌ Non-Compliant")),"✅ Compliant")))))</f>
        <v/>
      </c>
      <c r="H36" s="29">
        <f>IF(E36="","",IF(D36="Quarterly",E36+90,IF(D36="Semi-Annual",E36+180,IF(D36="Annual",E36+365,E36))))</f>
        <v/>
      </c>
    </row>
    <row r="37">
      <c r="A37" s="24" t="n"/>
      <c r="B37" s="20" t="n"/>
      <c r="C37" s="20" t="n"/>
      <c r="D37" s="20" t="n"/>
      <c r="E37" s="23" t="n"/>
      <c r="F37" s="28">
        <f>IF(E37="","",TODAY()-E37)</f>
        <v/>
      </c>
      <c r="G37" s="28">
        <f>IF(A37="","",IF(E37="","❓ Unknown",IF(D37="Quarterly",IF(F37&lt;=90,"✅ Compliant",IF(F37&lt;=105,"⚠ Overdue","❌ Non-Compliant")),IF(D37="Semi-Annual",IF(F37&lt;=180,"✅ Compliant",IF(F37&lt;=200,"⚠ Overdue","❌ Non-Compliant")),IF(D37="Annual",IF(F37&lt;=365,"✅ Compliant",IF(F37&lt;=400,"⚠ Overdue","❌ Non-Compliant")),"✅ Compliant")))))</f>
        <v/>
      </c>
      <c r="H37" s="29">
        <f>IF(E37="","",IF(D37="Quarterly",E37+90,IF(D37="Semi-Annual",E37+180,IF(D37="Annual",E37+365,E37))))</f>
        <v/>
      </c>
    </row>
    <row r="38">
      <c r="A38" s="24" t="n"/>
      <c r="B38" s="20" t="n"/>
      <c r="C38" s="20" t="n"/>
      <c r="D38" s="20" t="n"/>
      <c r="E38" s="23" t="n"/>
      <c r="F38" s="28">
        <f>IF(E38="","",TODAY()-E38)</f>
        <v/>
      </c>
      <c r="G38" s="28">
        <f>IF(A38="","",IF(E38="","❓ Unknown",IF(D38="Quarterly",IF(F38&lt;=90,"✅ Compliant",IF(F38&lt;=105,"⚠ Overdue","❌ Non-Compliant")),IF(D38="Semi-Annual",IF(F38&lt;=180,"✅ Compliant",IF(F38&lt;=200,"⚠ Overdue","❌ Non-Compliant")),IF(D38="Annual",IF(F38&lt;=365,"✅ Compliant",IF(F38&lt;=400,"⚠ Overdue","❌ Non-Compliant")),"✅ Compliant")))))</f>
        <v/>
      </c>
      <c r="H38" s="29">
        <f>IF(E38="","",IF(D38="Quarterly",E38+90,IF(D38="Semi-Annual",E38+180,IF(D38="Annual",E38+365,E38))))</f>
        <v/>
      </c>
    </row>
    <row r="39">
      <c r="A39" s="24" t="n"/>
      <c r="B39" s="20" t="n"/>
      <c r="C39" s="20" t="n"/>
      <c r="D39" s="20" t="n"/>
      <c r="E39" s="23" t="n"/>
      <c r="F39" s="28">
        <f>IF(E39="","",TODAY()-E39)</f>
        <v/>
      </c>
      <c r="G39" s="28">
        <f>IF(A39="","",IF(E39="","❓ Unknown",IF(D39="Quarterly",IF(F39&lt;=90,"✅ Compliant",IF(F39&lt;=105,"⚠ Overdue","❌ Non-Compliant")),IF(D39="Semi-Annual",IF(F39&lt;=180,"✅ Compliant",IF(F39&lt;=200,"⚠ Overdue","❌ Non-Compliant")),IF(D39="Annual",IF(F39&lt;=365,"✅ Compliant",IF(F39&lt;=400,"⚠ Overdue","❌ Non-Compliant")),"✅ Compliant")))))</f>
        <v/>
      </c>
      <c r="H39" s="29">
        <f>IF(E39="","",IF(D39="Quarterly",E39+90,IF(D39="Semi-Annual",E39+180,IF(D39="Annual",E39+365,E39))))</f>
        <v/>
      </c>
    </row>
    <row r="40">
      <c r="A40" s="24" t="n"/>
      <c r="B40" s="20" t="n"/>
      <c r="C40" s="20" t="n"/>
      <c r="D40" s="20" t="n"/>
      <c r="E40" s="23" t="n"/>
      <c r="F40" s="28">
        <f>IF(E40="","",TODAY()-E40)</f>
        <v/>
      </c>
      <c r="G40" s="28">
        <f>IF(A40="","",IF(E40="","❓ Unknown",IF(D40="Quarterly",IF(F40&lt;=90,"✅ Compliant",IF(F40&lt;=105,"⚠ Overdue","❌ Non-Compliant")),IF(D40="Semi-Annual",IF(F40&lt;=180,"✅ Compliant",IF(F40&lt;=200,"⚠ Overdue","❌ Non-Compliant")),IF(D40="Annual",IF(F40&lt;=365,"✅ Compliant",IF(F40&lt;=400,"⚠ Overdue","❌ Non-Compliant")),"✅ Compliant")))))</f>
        <v/>
      </c>
      <c r="H40" s="29">
        <f>IF(E40="","",IF(D40="Quarterly",E40+90,IF(D40="Semi-Annual",E40+180,IF(D40="Annual",E40+365,E40))))</f>
        <v/>
      </c>
    </row>
    <row r="41">
      <c r="A41" s="24" t="n"/>
      <c r="B41" s="20" t="n"/>
      <c r="C41" s="20" t="n"/>
      <c r="D41" s="20" t="n"/>
      <c r="E41" s="23" t="n"/>
      <c r="F41" s="28">
        <f>IF(E41="","",TODAY()-E41)</f>
        <v/>
      </c>
      <c r="G41" s="28">
        <f>IF(A41="","",IF(E41="","❓ Unknown",IF(D41="Quarterly",IF(F41&lt;=90,"✅ Compliant",IF(F41&lt;=105,"⚠ Overdue","❌ Non-Compliant")),IF(D41="Semi-Annual",IF(F41&lt;=180,"✅ Compliant",IF(F41&lt;=200,"⚠ Overdue","❌ Non-Compliant")),IF(D41="Annual",IF(F41&lt;=365,"✅ Compliant",IF(F41&lt;=400,"⚠ Overdue","❌ Non-Compliant")),"✅ Compliant")))))</f>
        <v/>
      </c>
      <c r="H41" s="29">
        <f>IF(E41="","",IF(D41="Quarterly",E41+90,IF(D41="Semi-Annual",E41+180,IF(D41="Annual",E41+365,E41))))</f>
        <v/>
      </c>
    </row>
    <row r="42">
      <c r="A42" s="24" t="n"/>
      <c r="B42" s="20" t="n"/>
      <c r="C42" s="20" t="n"/>
      <c r="D42" s="20" t="n"/>
      <c r="E42" s="23" t="n"/>
      <c r="F42" s="28">
        <f>IF(E42="","",TODAY()-E42)</f>
        <v/>
      </c>
      <c r="G42" s="28">
        <f>IF(A42="","",IF(E42="","❓ Unknown",IF(D42="Quarterly",IF(F42&lt;=90,"✅ Compliant",IF(F42&lt;=105,"⚠ Overdue","❌ Non-Compliant")),IF(D42="Semi-Annual",IF(F42&lt;=180,"✅ Compliant",IF(F42&lt;=200,"⚠ Overdue","❌ Non-Compliant")),IF(D42="Annual",IF(F42&lt;=365,"✅ Compliant",IF(F42&lt;=400,"⚠ Overdue","❌ Non-Compliant")),"✅ Compliant")))))</f>
        <v/>
      </c>
      <c r="H42" s="29">
        <f>IF(E42="","",IF(D42="Quarterly",E42+90,IF(D42="Semi-Annual",E42+180,IF(D42="Annual",E42+365,E42))))</f>
        <v/>
      </c>
    </row>
    <row r="43">
      <c r="A43" s="24" t="n"/>
      <c r="B43" s="20" t="n"/>
      <c r="C43" s="20" t="n"/>
      <c r="D43" s="20" t="n"/>
      <c r="E43" s="23" t="n"/>
      <c r="F43" s="28">
        <f>IF(E43="","",TODAY()-E43)</f>
        <v/>
      </c>
      <c r="G43" s="28">
        <f>IF(A43="","",IF(E43="","❓ Unknown",IF(D43="Quarterly",IF(F43&lt;=90,"✅ Compliant",IF(F43&lt;=105,"⚠ Overdue","❌ Non-Compliant")),IF(D43="Semi-Annual",IF(F43&lt;=180,"✅ Compliant",IF(F43&lt;=200,"⚠ Overdue","❌ Non-Compliant")),IF(D43="Annual",IF(F43&lt;=365,"✅ Compliant",IF(F43&lt;=400,"⚠ Overdue","❌ Non-Compliant")),"✅ Compliant")))))</f>
        <v/>
      </c>
      <c r="H43" s="29">
        <f>IF(E43="","",IF(D43="Quarterly",E43+90,IF(D43="Semi-Annual",E43+180,IF(D43="Annual",E43+365,E43))))</f>
        <v/>
      </c>
    </row>
    <row r="44">
      <c r="A44" s="24" t="n"/>
      <c r="B44" s="20" t="n"/>
      <c r="C44" s="20" t="n"/>
      <c r="D44" s="20" t="n"/>
      <c r="E44" s="23" t="n"/>
      <c r="F44" s="28">
        <f>IF(E44="","",TODAY()-E44)</f>
        <v/>
      </c>
      <c r="G44" s="28">
        <f>IF(A44="","",IF(E44="","❓ Unknown",IF(D44="Quarterly",IF(F44&lt;=90,"✅ Compliant",IF(F44&lt;=105,"⚠ Overdue","❌ Non-Compliant")),IF(D44="Semi-Annual",IF(F44&lt;=180,"✅ Compliant",IF(F44&lt;=200,"⚠ Overdue","❌ Non-Compliant")),IF(D44="Annual",IF(F44&lt;=365,"✅ Compliant",IF(F44&lt;=400,"⚠ Overdue","❌ Non-Compliant")),"✅ Compliant")))))</f>
        <v/>
      </c>
      <c r="H44" s="29">
        <f>IF(E44="","",IF(D44="Quarterly",E44+90,IF(D44="Semi-Annual",E44+180,IF(D44="Annual",E44+365,E44))))</f>
        <v/>
      </c>
    </row>
    <row r="45">
      <c r="A45" s="24" t="n"/>
      <c r="B45" s="20" t="n"/>
      <c r="C45" s="20" t="n"/>
      <c r="D45" s="20" t="n"/>
      <c r="E45" s="23" t="n"/>
      <c r="F45" s="28">
        <f>IF(E45="","",TODAY()-E45)</f>
        <v/>
      </c>
      <c r="G45" s="28">
        <f>IF(A45="","",IF(E45="","❓ Unknown",IF(D45="Quarterly",IF(F45&lt;=90,"✅ Compliant",IF(F45&lt;=105,"⚠ Overdue","❌ Non-Compliant")),IF(D45="Semi-Annual",IF(F45&lt;=180,"✅ Compliant",IF(F45&lt;=200,"⚠ Overdue","❌ Non-Compliant")),IF(D45="Annual",IF(F45&lt;=365,"✅ Compliant",IF(F45&lt;=400,"⚠ Overdue","❌ Non-Compliant")),"✅ Compliant")))))</f>
        <v/>
      </c>
      <c r="H45" s="29">
        <f>IF(E45="","",IF(D45="Quarterly",E45+90,IF(D45="Semi-Annual",E45+180,IF(D45="Annual",E45+365,E45))))</f>
        <v/>
      </c>
    </row>
    <row r="46">
      <c r="A46" s="24" t="n"/>
      <c r="B46" s="20" t="n"/>
      <c r="C46" s="20" t="n"/>
      <c r="D46" s="20" t="n"/>
      <c r="E46" s="23" t="n"/>
      <c r="F46" s="28">
        <f>IF(E46="","",TODAY()-E46)</f>
        <v/>
      </c>
      <c r="G46" s="28">
        <f>IF(A46="","",IF(E46="","❓ Unknown",IF(D46="Quarterly",IF(F46&lt;=90,"✅ Compliant",IF(F46&lt;=105,"⚠ Overdue","❌ Non-Compliant")),IF(D46="Semi-Annual",IF(F46&lt;=180,"✅ Compliant",IF(F46&lt;=200,"⚠ Overdue","❌ Non-Compliant")),IF(D46="Annual",IF(F46&lt;=365,"✅ Compliant",IF(F46&lt;=400,"⚠ Overdue","❌ Non-Compliant")),"✅ Compliant")))))</f>
        <v/>
      </c>
      <c r="H46" s="29">
        <f>IF(E46="","",IF(D46="Quarterly",E46+90,IF(D46="Semi-Annual",E46+180,IF(D46="Annual",E46+365,E46))))</f>
        <v/>
      </c>
    </row>
    <row r="47">
      <c r="A47" s="24" t="n"/>
      <c r="B47" s="20" t="n"/>
      <c r="C47" s="20" t="n"/>
      <c r="D47" s="20" t="n"/>
      <c r="E47" s="23" t="n"/>
      <c r="F47" s="28">
        <f>IF(E47="","",TODAY()-E47)</f>
        <v/>
      </c>
      <c r="G47" s="28">
        <f>IF(A47="","",IF(E47="","❓ Unknown",IF(D47="Quarterly",IF(F47&lt;=90,"✅ Compliant",IF(F47&lt;=105,"⚠ Overdue","❌ Non-Compliant")),IF(D47="Semi-Annual",IF(F47&lt;=180,"✅ Compliant",IF(F47&lt;=200,"⚠ Overdue","❌ Non-Compliant")),IF(D47="Annual",IF(F47&lt;=365,"✅ Compliant",IF(F47&lt;=400,"⚠ Overdue","❌ Non-Compliant")),"✅ Compliant")))))</f>
        <v/>
      </c>
      <c r="H47" s="29">
        <f>IF(E47="","",IF(D47="Quarterly",E47+90,IF(D47="Semi-Annual",E47+180,IF(D47="Annual",E47+365,E47))))</f>
        <v/>
      </c>
    </row>
    <row r="48">
      <c r="A48" s="24" t="n"/>
      <c r="B48" s="20" t="n"/>
      <c r="C48" s="20" t="n"/>
      <c r="D48" s="20" t="n"/>
      <c r="E48" s="23" t="n"/>
      <c r="F48" s="28">
        <f>IF(E48="","",TODAY()-E48)</f>
        <v/>
      </c>
      <c r="G48" s="28">
        <f>IF(A48="","",IF(E48="","❓ Unknown",IF(D48="Quarterly",IF(F48&lt;=90,"✅ Compliant",IF(F48&lt;=105,"⚠ Overdue","❌ Non-Compliant")),IF(D48="Semi-Annual",IF(F48&lt;=180,"✅ Compliant",IF(F48&lt;=200,"⚠ Overdue","❌ Non-Compliant")),IF(D48="Annual",IF(F48&lt;=365,"✅ Compliant",IF(F48&lt;=400,"⚠ Overdue","❌ Non-Compliant")),"✅ Compliant")))))</f>
        <v/>
      </c>
      <c r="H48" s="29">
        <f>IF(E48="","",IF(D48="Quarterly",E48+90,IF(D48="Semi-Annual",E48+180,IF(D48="Annual",E48+365,E48))))</f>
        <v/>
      </c>
    </row>
    <row r="49">
      <c r="A49" s="24" t="n"/>
      <c r="B49" s="20" t="n"/>
      <c r="C49" s="20" t="n"/>
      <c r="D49" s="20" t="n"/>
      <c r="E49" s="23" t="n"/>
      <c r="F49" s="28">
        <f>IF(E49="","",TODAY()-E49)</f>
        <v/>
      </c>
      <c r="G49" s="28">
        <f>IF(A49="","",IF(E49="","❓ Unknown",IF(D49="Quarterly",IF(F49&lt;=90,"✅ Compliant",IF(F49&lt;=105,"⚠ Overdue","❌ Non-Compliant")),IF(D49="Semi-Annual",IF(F49&lt;=180,"✅ Compliant",IF(F49&lt;=200,"⚠ Overdue","❌ Non-Compliant")),IF(D49="Annual",IF(F49&lt;=365,"✅ Compliant",IF(F49&lt;=400,"⚠ Overdue","❌ Non-Compliant")),"✅ Compliant")))))</f>
        <v/>
      </c>
      <c r="H49" s="29">
        <f>IF(E49="","",IF(D49="Quarterly",E49+90,IF(D49="Semi-Annual",E49+180,IF(D49="Annual",E49+365,E49))))</f>
        <v/>
      </c>
    </row>
    <row r="50">
      <c r="A50" s="24" t="n"/>
      <c r="B50" s="20" t="n"/>
      <c r="C50" s="20" t="n"/>
      <c r="D50" s="20" t="n"/>
      <c r="E50" s="23" t="n"/>
      <c r="F50" s="28">
        <f>IF(E50="","",TODAY()-E50)</f>
        <v/>
      </c>
      <c r="G50" s="28">
        <f>IF(A50="","",IF(E50="","❓ Unknown",IF(D50="Quarterly",IF(F50&lt;=90,"✅ Compliant",IF(F50&lt;=105,"⚠ Overdue","❌ Non-Compliant")),IF(D50="Semi-Annual",IF(F50&lt;=180,"✅ Compliant",IF(F50&lt;=200,"⚠ Overdue","❌ Non-Compliant")),IF(D50="Annual",IF(F50&lt;=365,"✅ Compliant",IF(F50&lt;=400,"⚠ Overdue","❌ Non-Compliant")),"✅ Compliant")))))</f>
        <v/>
      </c>
      <c r="H50" s="29">
        <f>IF(E50="","",IF(D50="Quarterly",E50+90,IF(D50="Semi-Annual",E50+180,IF(D50="Annual",E50+365,E50))))</f>
        <v/>
      </c>
    </row>
    <row r="51">
      <c r="A51" s="24" t="n"/>
      <c r="B51" s="20" t="n"/>
      <c r="C51" s="20" t="n"/>
      <c r="D51" s="20" t="n"/>
      <c r="E51" s="23" t="n"/>
      <c r="F51" s="28">
        <f>IF(E51="","",TODAY()-E51)</f>
        <v/>
      </c>
      <c r="G51" s="28">
        <f>IF(A51="","",IF(E51="","❓ Unknown",IF(D51="Quarterly",IF(F51&lt;=90,"✅ Compliant",IF(F51&lt;=105,"⚠ Overdue","❌ Non-Compliant")),IF(D51="Semi-Annual",IF(F51&lt;=180,"✅ Compliant",IF(F51&lt;=200,"⚠ Overdue","❌ Non-Compliant")),IF(D51="Annual",IF(F51&lt;=365,"✅ Compliant",IF(F51&lt;=400,"⚠ Overdue","❌ Non-Compliant")),"✅ Compliant")))))</f>
        <v/>
      </c>
      <c r="H51" s="29">
        <f>IF(E51="","",IF(D51="Quarterly",E51+90,IF(D51="Semi-Annual",E51+180,IF(D51="Annual",E51+365,E51))))</f>
        <v/>
      </c>
    </row>
    <row r="52">
      <c r="A52" s="24" t="n"/>
      <c r="B52" s="20" t="n"/>
      <c r="C52" s="20" t="n"/>
      <c r="D52" s="20" t="n"/>
      <c r="E52" s="23" t="n"/>
      <c r="F52" s="28">
        <f>IF(E52="","",TODAY()-E52)</f>
        <v/>
      </c>
      <c r="G52" s="28">
        <f>IF(A52="","",IF(E52="","❓ Unknown",IF(D52="Quarterly",IF(F52&lt;=90,"✅ Compliant",IF(F52&lt;=105,"⚠ Overdue","❌ Non-Compliant")),IF(D52="Semi-Annual",IF(F52&lt;=180,"✅ Compliant",IF(F52&lt;=200,"⚠ Overdue","❌ Non-Compliant")),IF(D52="Annual",IF(F52&lt;=365,"✅ Compliant",IF(F52&lt;=400,"⚠ Overdue","❌ Non-Compliant")),"✅ Compliant")))))</f>
        <v/>
      </c>
      <c r="H52" s="29">
        <f>IF(E52="","",IF(D52="Quarterly",E52+90,IF(D52="Semi-Annual",E52+180,IF(D52="Annual",E52+365,E52))))</f>
        <v/>
      </c>
    </row>
    <row r="53">
      <c r="A53" s="24" t="n"/>
      <c r="B53" s="20" t="n"/>
      <c r="C53" s="20" t="n"/>
      <c r="D53" s="20" t="n"/>
      <c r="E53" s="23" t="n"/>
      <c r="F53" s="28">
        <f>IF(E53="","",TODAY()-E53)</f>
        <v/>
      </c>
      <c r="G53" s="28">
        <f>IF(A53="","",IF(E53="","❓ Unknown",IF(D53="Quarterly",IF(F53&lt;=90,"✅ Compliant",IF(F53&lt;=105,"⚠ Overdue","❌ Non-Compliant")),IF(D53="Semi-Annual",IF(F53&lt;=180,"✅ Compliant",IF(F53&lt;=200,"⚠ Overdue","❌ Non-Compliant")),IF(D53="Annual",IF(F53&lt;=365,"✅ Compliant",IF(F53&lt;=400,"⚠ Overdue","❌ Non-Compliant")),"✅ Compliant")))))</f>
        <v/>
      </c>
      <c r="H53" s="29">
        <f>IF(E53="","",IF(D53="Quarterly",E53+90,IF(D53="Semi-Annual",E53+180,IF(D53="Annual",E53+365,E53))))</f>
        <v/>
      </c>
    </row>
    <row r="54">
      <c r="A54" s="24" t="n"/>
      <c r="B54" s="20" t="n"/>
      <c r="C54" s="20" t="n"/>
      <c r="D54" s="20" t="n"/>
      <c r="E54" s="23" t="n"/>
      <c r="F54" s="28">
        <f>IF(E54="","",TODAY()-E54)</f>
        <v/>
      </c>
      <c r="G54" s="28">
        <f>IF(A54="","",IF(E54="","❓ Unknown",IF(D54="Quarterly",IF(F54&lt;=90,"✅ Compliant",IF(F54&lt;=105,"⚠ Overdue","❌ Non-Compliant")),IF(D54="Semi-Annual",IF(F54&lt;=180,"✅ Compliant",IF(F54&lt;=200,"⚠ Overdue","❌ Non-Compliant")),IF(D54="Annual",IF(F54&lt;=365,"✅ Compliant",IF(F54&lt;=400,"⚠ Overdue","❌ Non-Compliant")),"✅ Compliant")))))</f>
        <v/>
      </c>
      <c r="H54" s="29">
        <f>IF(E54="","",IF(D54="Quarterly",E54+90,IF(D54="Semi-Annual",E54+180,IF(D54="Annual",E54+365,E54))))</f>
        <v/>
      </c>
    </row>
    <row r="55">
      <c r="A55" s="24" t="n"/>
      <c r="B55" s="20" t="n"/>
      <c r="C55" s="20" t="n"/>
      <c r="D55" s="20" t="n"/>
      <c r="E55" s="23" t="n"/>
      <c r="F55" s="28">
        <f>IF(E55="","",TODAY()-E55)</f>
        <v/>
      </c>
      <c r="G55" s="28">
        <f>IF(A55="","",IF(E55="","❓ Unknown",IF(D55="Quarterly",IF(F55&lt;=90,"✅ Compliant",IF(F55&lt;=105,"⚠ Overdue","❌ Non-Compliant")),IF(D55="Semi-Annual",IF(F55&lt;=180,"✅ Compliant",IF(F55&lt;=200,"⚠ Overdue","❌ Non-Compliant")),IF(D55="Annual",IF(F55&lt;=365,"✅ Compliant",IF(F55&lt;=400,"⚠ Overdue","❌ Non-Compliant")),"✅ Compliant")))))</f>
        <v/>
      </c>
      <c r="H55" s="29">
        <f>IF(E55="","",IF(D55="Quarterly",E55+90,IF(D55="Semi-Annual",E55+180,IF(D55="Annual",E55+365,E55))))</f>
        <v/>
      </c>
    </row>
    <row r="56">
      <c r="A56" s="24" t="n"/>
      <c r="B56" s="20" t="n"/>
      <c r="C56" s="20" t="n"/>
      <c r="D56" s="20" t="n"/>
      <c r="E56" s="23" t="n"/>
      <c r="F56" s="28">
        <f>IF(E56="","",TODAY()-E56)</f>
        <v/>
      </c>
      <c r="G56" s="28">
        <f>IF(A56="","",IF(E56="","❓ Unknown",IF(D56="Quarterly",IF(F56&lt;=90,"✅ Compliant",IF(F56&lt;=105,"⚠ Overdue","❌ Non-Compliant")),IF(D56="Semi-Annual",IF(F56&lt;=180,"✅ Compliant",IF(F56&lt;=200,"⚠ Overdue","❌ Non-Compliant")),IF(D56="Annual",IF(F56&lt;=365,"✅ Compliant",IF(F56&lt;=400,"⚠ Overdue","❌ Non-Compliant")),"✅ Compliant")))))</f>
        <v/>
      </c>
      <c r="H56" s="29">
        <f>IF(E56="","",IF(D56="Quarterly",E56+90,IF(D56="Semi-Annual",E56+180,IF(D56="Annual",E56+365,E56))))</f>
        <v/>
      </c>
    </row>
    <row r="57">
      <c r="A57" s="24" t="n"/>
      <c r="B57" s="20" t="n"/>
      <c r="C57" s="20" t="n"/>
      <c r="D57" s="20" t="n"/>
      <c r="E57" s="23" t="n"/>
      <c r="F57" s="28">
        <f>IF(E57="","",TODAY()-E57)</f>
        <v/>
      </c>
      <c r="G57" s="28">
        <f>IF(A57="","",IF(E57="","❓ Unknown",IF(D57="Quarterly",IF(F57&lt;=90,"✅ Compliant",IF(F57&lt;=105,"⚠ Overdue","❌ Non-Compliant")),IF(D57="Semi-Annual",IF(F57&lt;=180,"✅ Compliant",IF(F57&lt;=200,"⚠ Overdue","❌ Non-Compliant")),IF(D57="Annual",IF(F57&lt;=365,"✅ Compliant",IF(F57&lt;=400,"⚠ Overdue","❌ Non-Compliant")),"✅ Compliant")))))</f>
        <v/>
      </c>
      <c r="H57" s="29">
        <f>IF(E57="","",IF(D57="Quarterly",E57+90,IF(D57="Semi-Annual",E57+180,IF(D57="Annual",E57+365,E57))))</f>
        <v/>
      </c>
    </row>
    <row r="58">
      <c r="A58" s="24" t="n"/>
      <c r="B58" s="20" t="n"/>
      <c r="C58" s="20" t="n"/>
      <c r="D58" s="20" t="n"/>
      <c r="E58" s="23" t="n"/>
      <c r="F58" s="28">
        <f>IF(E58="","",TODAY()-E58)</f>
        <v/>
      </c>
      <c r="G58" s="28">
        <f>IF(A58="","",IF(E58="","❓ Unknown",IF(D58="Quarterly",IF(F58&lt;=90,"✅ Compliant",IF(F58&lt;=105,"⚠ Overdue","❌ Non-Compliant")),IF(D58="Semi-Annual",IF(F58&lt;=180,"✅ Compliant",IF(F58&lt;=200,"⚠ Overdue","❌ Non-Compliant")),IF(D58="Annual",IF(F58&lt;=365,"✅ Compliant",IF(F58&lt;=400,"⚠ Overdue","❌ Non-Compliant")),"✅ Compliant")))))</f>
        <v/>
      </c>
      <c r="H58" s="29">
        <f>IF(E58="","",IF(D58="Quarterly",E58+90,IF(D58="Semi-Annual",E58+180,IF(D58="Annual",E58+365,E58))))</f>
        <v/>
      </c>
    </row>
    <row r="59">
      <c r="A59" s="24" t="n"/>
      <c r="B59" s="20" t="n"/>
      <c r="C59" s="20" t="n"/>
      <c r="D59" s="20" t="n"/>
      <c r="E59" s="23" t="n"/>
      <c r="F59" s="28">
        <f>IF(E59="","",TODAY()-E59)</f>
        <v/>
      </c>
      <c r="G59" s="28">
        <f>IF(A59="","",IF(E59="","❓ Unknown",IF(D59="Quarterly",IF(F59&lt;=90,"✅ Compliant",IF(F59&lt;=105,"⚠ Overdue","❌ Non-Compliant")),IF(D59="Semi-Annual",IF(F59&lt;=180,"✅ Compliant",IF(F59&lt;=200,"⚠ Overdue","❌ Non-Compliant")),IF(D59="Annual",IF(F59&lt;=365,"✅ Compliant",IF(F59&lt;=400,"⚠ Overdue","❌ Non-Compliant")),"✅ Compliant")))))</f>
        <v/>
      </c>
      <c r="H59" s="29">
        <f>IF(E59="","",IF(D59="Quarterly",E59+90,IF(D59="Semi-Annual",E59+180,IF(D59="Annual",E59+365,E59))))</f>
        <v/>
      </c>
    </row>
    <row r="60">
      <c r="A60" s="24" t="n"/>
      <c r="B60" s="20" t="n"/>
      <c r="C60" s="20" t="n"/>
      <c r="D60" s="20" t="n"/>
      <c r="E60" s="23" t="n"/>
      <c r="F60" s="28">
        <f>IF(E60="","",TODAY()-E60)</f>
        <v/>
      </c>
      <c r="G60" s="28">
        <f>IF(A60="","",IF(E60="","❓ Unknown",IF(D60="Quarterly",IF(F60&lt;=90,"✅ Compliant",IF(F60&lt;=105,"⚠ Overdue","❌ Non-Compliant")),IF(D60="Semi-Annual",IF(F60&lt;=180,"✅ Compliant",IF(F60&lt;=200,"⚠ Overdue","❌ Non-Compliant")),IF(D60="Annual",IF(F60&lt;=365,"✅ Compliant",IF(F60&lt;=400,"⚠ Overdue","❌ Non-Compliant")),"✅ Compliant")))))</f>
        <v/>
      </c>
      <c r="H60" s="29">
        <f>IF(E60="","",IF(D60="Quarterly",E60+90,IF(D60="Semi-Annual",E60+180,IF(D60="Annual",E60+365,E60))))</f>
        <v/>
      </c>
    </row>
    <row r="61">
      <c r="A61" s="24" t="n"/>
      <c r="B61" s="20" t="n"/>
      <c r="C61" s="20" t="n"/>
      <c r="D61" s="20" t="n"/>
      <c r="E61" s="23" t="n"/>
      <c r="F61" s="28">
        <f>IF(E61="","",TODAY()-E61)</f>
        <v/>
      </c>
      <c r="G61" s="28">
        <f>IF(A61="","",IF(E61="","❓ Unknown",IF(D61="Quarterly",IF(F61&lt;=90,"✅ Compliant",IF(F61&lt;=105,"⚠ Overdue","❌ Non-Compliant")),IF(D61="Semi-Annual",IF(F61&lt;=180,"✅ Compliant",IF(F61&lt;=200,"⚠ Overdue","❌ Non-Compliant")),IF(D61="Annual",IF(F61&lt;=365,"✅ Compliant",IF(F61&lt;=400,"⚠ Overdue","❌ Non-Compliant")),"✅ Compliant")))))</f>
        <v/>
      </c>
      <c r="H61" s="29">
        <f>IF(E61="","",IF(D61="Quarterly",E61+90,IF(D61="Semi-Annual",E61+180,IF(D61="Annual",E61+365,E61))))</f>
        <v/>
      </c>
    </row>
    <row r="62">
      <c r="A62" s="24" t="n"/>
      <c r="B62" s="20" t="n"/>
      <c r="C62" s="20" t="n"/>
      <c r="D62" s="20" t="n"/>
      <c r="E62" s="23" t="n"/>
      <c r="F62" s="28">
        <f>IF(E62="","",TODAY()-E62)</f>
        <v/>
      </c>
      <c r="G62" s="28">
        <f>IF(A62="","",IF(E62="","❓ Unknown",IF(D62="Quarterly",IF(F62&lt;=90,"✅ Compliant",IF(F62&lt;=105,"⚠ Overdue","❌ Non-Compliant")),IF(D62="Semi-Annual",IF(F62&lt;=180,"✅ Compliant",IF(F62&lt;=200,"⚠ Overdue","❌ Non-Compliant")),IF(D62="Annual",IF(F62&lt;=365,"✅ Compliant",IF(F62&lt;=400,"⚠ Overdue","❌ Non-Compliant")),"✅ Compliant")))))</f>
        <v/>
      </c>
      <c r="H62" s="29">
        <f>IF(E62="","",IF(D62="Quarterly",E62+90,IF(D62="Semi-Annual",E62+180,IF(D62="Annual",E62+365,E62))))</f>
        <v/>
      </c>
    </row>
    <row r="63">
      <c r="A63" s="24" t="n"/>
      <c r="B63" s="20" t="n"/>
      <c r="C63" s="20" t="n"/>
      <c r="D63" s="20" t="n"/>
      <c r="E63" s="23" t="n"/>
      <c r="F63" s="28">
        <f>IF(E63="","",TODAY()-E63)</f>
        <v/>
      </c>
      <c r="G63" s="28">
        <f>IF(A63="","",IF(E63="","❓ Unknown",IF(D63="Quarterly",IF(F63&lt;=90,"✅ Compliant",IF(F63&lt;=105,"⚠ Overdue","❌ Non-Compliant")),IF(D63="Semi-Annual",IF(F63&lt;=180,"✅ Compliant",IF(F63&lt;=200,"⚠ Overdue","❌ Non-Compliant")),IF(D63="Annual",IF(F63&lt;=365,"✅ Compliant",IF(F63&lt;=400,"⚠ Overdue","❌ Non-Compliant")),"✅ Compliant")))))</f>
        <v/>
      </c>
      <c r="H63" s="29">
        <f>IF(E63="","",IF(D63="Quarterly",E63+90,IF(D63="Semi-Annual",E63+180,IF(D63="Annual",E63+365,E63))))</f>
        <v/>
      </c>
    </row>
    <row r="64">
      <c r="A64" s="24" t="n"/>
      <c r="B64" s="20" t="n"/>
      <c r="C64" s="20" t="n"/>
      <c r="D64" s="20" t="n"/>
      <c r="E64" s="23" t="n"/>
      <c r="F64" s="28">
        <f>IF(E64="","",TODAY()-E64)</f>
        <v/>
      </c>
      <c r="G64" s="28">
        <f>IF(A64="","",IF(E64="","❓ Unknown",IF(D64="Quarterly",IF(F64&lt;=90,"✅ Compliant",IF(F64&lt;=105,"⚠ Overdue","❌ Non-Compliant")),IF(D64="Semi-Annual",IF(F64&lt;=180,"✅ Compliant",IF(F64&lt;=200,"⚠ Overdue","❌ Non-Compliant")),IF(D64="Annual",IF(F64&lt;=365,"✅ Compliant",IF(F64&lt;=400,"⚠ Overdue","❌ Non-Compliant")),"✅ Compliant")))))</f>
        <v/>
      </c>
      <c r="H64" s="29">
        <f>IF(E64="","",IF(D64="Quarterly",E64+90,IF(D64="Semi-Annual",E64+180,IF(D64="Annual",E64+365,E64))))</f>
        <v/>
      </c>
    </row>
    <row r="65">
      <c r="A65" s="24" t="n"/>
      <c r="B65" s="20" t="n"/>
      <c r="C65" s="20" t="n"/>
      <c r="D65" s="20" t="n"/>
      <c r="E65" s="23" t="n"/>
      <c r="F65" s="28">
        <f>IF(E65="","",TODAY()-E65)</f>
        <v/>
      </c>
      <c r="G65" s="28">
        <f>IF(A65="","",IF(E65="","❓ Unknown",IF(D65="Quarterly",IF(F65&lt;=90,"✅ Compliant",IF(F65&lt;=105,"⚠ Overdue","❌ Non-Compliant")),IF(D65="Semi-Annual",IF(F65&lt;=180,"✅ Compliant",IF(F65&lt;=200,"⚠ Overdue","❌ Non-Compliant")),IF(D65="Annual",IF(F65&lt;=365,"✅ Compliant",IF(F65&lt;=400,"⚠ Overdue","❌ Non-Compliant")),"✅ Compliant")))))</f>
        <v/>
      </c>
      <c r="H65" s="29">
        <f>IF(E65="","",IF(D65="Quarterly",E65+90,IF(D65="Semi-Annual",E65+180,IF(D65="Annual",E65+365,E65))))</f>
        <v/>
      </c>
    </row>
    <row r="66">
      <c r="A66" s="24" t="n"/>
      <c r="B66" s="20" t="n"/>
      <c r="C66" s="20" t="n"/>
      <c r="D66" s="20" t="n"/>
      <c r="E66" s="23" t="n"/>
      <c r="F66" s="28">
        <f>IF(E66="","",TODAY()-E66)</f>
        <v/>
      </c>
      <c r="G66" s="28">
        <f>IF(A66="","",IF(E66="","❓ Unknown",IF(D66="Quarterly",IF(F66&lt;=90,"✅ Compliant",IF(F66&lt;=105,"⚠ Overdue","❌ Non-Compliant")),IF(D66="Semi-Annual",IF(F66&lt;=180,"✅ Compliant",IF(F66&lt;=200,"⚠ Overdue","❌ Non-Compliant")),IF(D66="Annual",IF(F66&lt;=365,"✅ Compliant",IF(F66&lt;=400,"⚠ Overdue","❌ Non-Compliant")),"✅ Compliant")))))</f>
        <v/>
      </c>
      <c r="H66" s="29">
        <f>IF(E66="","",IF(D66="Quarterly",E66+90,IF(D66="Semi-Annual",E66+180,IF(D66="Annual",E66+365,E66))))</f>
        <v/>
      </c>
    </row>
    <row r="67">
      <c r="A67" s="24" t="n"/>
      <c r="B67" s="20" t="n"/>
      <c r="C67" s="20" t="n"/>
      <c r="D67" s="20" t="n"/>
      <c r="E67" s="23" t="n"/>
      <c r="F67" s="28">
        <f>IF(E67="","",TODAY()-E67)</f>
        <v/>
      </c>
      <c r="G67" s="28">
        <f>IF(A67="","",IF(E67="","❓ Unknown",IF(D67="Quarterly",IF(F67&lt;=90,"✅ Compliant",IF(F67&lt;=105,"⚠ Overdue","❌ Non-Compliant")),IF(D67="Semi-Annual",IF(F67&lt;=180,"✅ Compliant",IF(F67&lt;=200,"⚠ Overdue","❌ Non-Compliant")),IF(D67="Annual",IF(F67&lt;=365,"✅ Compliant",IF(F67&lt;=400,"⚠ Overdue","❌ Non-Compliant")),"✅ Compliant")))))</f>
        <v/>
      </c>
      <c r="H67" s="29">
        <f>IF(E67="","",IF(D67="Quarterly",E67+90,IF(D67="Semi-Annual",E67+180,IF(D67="Annual",E67+365,E67))))</f>
        <v/>
      </c>
    </row>
    <row r="68">
      <c r="A68" s="24" t="n"/>
      <c r="B68" s="20" t="n"/>
      <c r="C68" s="20" t="n"/>
      <c r="D68" s="20" t="n"/>
      <c r="E68" s="23" t="n"/>
      <c r="F68" s="28">
        <f>IF(E68="","",TODAY()-E68)</f>
        <v/>
      </c>
      <c r="G68" s="28">
        <f>IF(A68="","",IF(E68="","❓ Unknown",IF(D68="Quarterly",IF(F68&lt;=90,"✅ Compliant",IF(F68&lt;=105,"⚠ Overdue","❌ Non-Compliant")),IF(D68="Semi-Annual",IF(F68&lt;=180,"✅ Compliant",IF(F68&lt;=200,"⚠ Overdue","❌ Non-Compliant")),IF(D68="Annual",IF(F68&lt;=365,"✅ Compliant",IF(F68&lt;=400,"⚠ Overdue","❌ Non-Compliant")),"✅ Compliant")))))</f>
        <v/>
      </c>
      <c r="H68" s="29">
        <f>IF(E68="","",IF(D68="Quarterly",E68+90,IF(D68="Semi-Annual",E68+180,IF(D68="Annual",E68+365,E68))))</f>
        <v/>
      </c>
    </row>
    <row r="69">
      <c r="A69" s="24" t="n"/>
      <c r="B69" s="20" t="n"/>
      <c r="C69" s="20" t="n"/>
      <c r="D69" s="20" t="n"/>
      <c r="E69" s="23" t="n"/>
      <c r="F69" s="28">
        <f>IF(E69="","",TODAY()-E69)</f>
        <v/>
      </c>
      <c r="G69" s="28">
        <f>IF(A69="","",IF(E69="","❓ Unknown",IF(D69="Quarterly",IF(F69&lt;=90,"✅ Compliant",IF(F69&lt;=105,"⚠ Overdue","❌ Non-Compliant")),IF(D69="Semi-Annual",IF(F69&lt;=180,"✅ Compliant",IF(F69&lt;=200,"⚠ Overdue","❌ Non-Compliant")),IF(D69="Annual",IF(F69&lt;=365,"✅ Compliant",IF(F69&lt;=400,"⚠ Overdue","❌ Non-Compliant")),"✅ Compliant")))))</f>
        <v/>
      </c>
      <c r="H69" s="29">
        <f>IF(E69="","",IF(D69="Quarterly",E69+90,IF(D69="Semi-Annual",E69+180,IF(D69="Annual",E69+365,E69))))</f>
        <v/>
      </c>
    </row>
    <row r="70">
      <c r="A70" s="24" t="n"/>
      <c r="B70" s="20" t="n"/>
      <c r="C70" s="20" t="n"/>
      <c r="D70" s="20" t="n"/>
      <c r="E70" s="23" t="n"/>
      <c r="F70" s="28">
        <f>IF(E70="","",TODAY()-E70)</f>
        <v/>
      </c>
      <c r="G70" s="28">
        <f>IF(A70="","",IF(E70="","❓ Unknown",IF(D70="Quarterly",IF(F70&lt;=90,"✅ Compliant",IF(F70&lt;=105,"⚠ Overdue","❌ Non-Compliant")),IF(D70="Semi-Annual",IF(F70&lt;=180,"✅ Compliant",IF(F70&lt;=200,"⚠ Overdue","❌ Non-Compliant")),IF(D70="Annual",IF(F70&lt;=365,"✅ Compliant",IF(F70&lt;=400,"⚠ Overdue","❌ Non-Compliant")),"✅ Compliant")))))</f>
        <v/>
      </c>
      <c r="H70" s="29">
        <f>IF(E70="","",IF(D70="Quarterly",E70+90,IF(D70="Semi-Annual",E70+180,IF(D70="Annual",E70+365,E70))))</f>
        <v/>
      </c>
    </row>
    <row r="71">
      <c r="A71" s="24" t="n"/>
      <c r="B71" s="20" t="n"/>
      <c r="C71" s="20" t="n"/>
      <c r="D71" s="20" t="n"/>
      <c r="E71" s="23" t="n"/>
      <c r="F71" s="28">
        <f>IF(E71="","",TODAY()-E71)</f>
        <v/>
      </c>
      <c r="G71" s="28">
        <f>IF(A71="","",IF(E71="","❓ Unknown",IF(D71="Quarterly",IF(F71&lt;=90,"✅ Compliant",IF(F71&lt;=105,"⚠ Overdue","❌ Non-Compliant")),IF(D71="Semi-Annual",IF(F71&lt;=180,"✅ Compliant",IF(F71&lt;=200,"⚠ Overdue","❌ Non-Compliant")),IF(D71="Annual",IF(F71&lt;=365,"✅ Compliant",IF(F71&lt;=400,"⚠ Overdue","❌ Non-Compliant")),"✅ Compliant")))))</f>
        <v/>
      </c>
      <c r="H71" s="29">
        <f>IF(E71="","",IF(D71="Quarterly",E71+90,IF(D71="Semi-Annual",E71+180,IF(D71="Annual",E71+365,E71))))</f>
        <v/>
      </c>
    </row>
    <row r="72">
      <c r="A72" s="24" t="n"/>
      <c r="B72" s="20" t="n"/>
      <c r="C72" s="20" t="n"/>
      <c r="D72" s="20" t="n"/>
      <c r="E72" s="23" t="n"/>
      <c r="F72" s="28">
        <f>IF(E72="","",TODAY()-E72)</f>
        <v/>
      </c>
      <c r="G72" s="28">
        <f>IF(A72="","",IF(E72="","❓ Unknown",IF(D72="Quarterly",IF(F72&lt;=90,"✅ Compliant",IF(F72&lt;=105,"⚠ Overdue","❌ Non-Compliant")),IF(D72="Semi-Annual",IF(F72&lt;=180,"✅ Compliant",IF(F72&lt;=200,"⚠ Overdue","❌ Non-Compliant")),IF(D72="Annual",IF(F72&lt;=365,"✅ Compliant",IF(F72&lt;=400,"⚠ Overdue","❌ Non-Compliant")),"✅ Compliant")))))</f>
        <v/>
      </c>
      <c r="H72" s="29">
        <f>IF(E72="","",IF(D72="Quarterly",E72+90,IF(D72="Semi-Annual",E72+180,IF(D72="Annual",E72+365,E72))))</f>
        <v/>
      </c>
    </row>
    <row r="73">
      <c r="A73" s="24" t="n"/>
      <c r="B73" s="20" t="n"/>
      <c r="C73" s="20" t="n"/>
      <c r="D73" s="20" t="n"/>
      <c r="E73" s="23" t="n"/>
      <c r="F73" s="28">
        <f>IF(E73="","",TODAY()-E73)</f>
        <v/>
      </c>
      <c r="G73" s="28">
        <f>IF(A73="","",IF(E73="","❓ Unknown",IF(D73="Quarterly",IF(F73&lt;=90,"✅ Compliant",IF(F73&lt;=105,"⚠ Overdue","❌ Non-Compliant")),IF(D73="Semi-Annual",IF(F73&lt;=180,"✅ Compliant",IF(F73&lt;=200,"⚠ Overdue","❌ Non-Compliant")),IF(D73="Annual",IF(F73&lt;=365,"✅ Compliant",IF(F73&lt;=400,"⚠ Overdue","❌ Non-Compliant")),"✅ Compliant")))))</f>
        <v/>
      </c>
      <c r="H73" s="29">
        <f>IF(E73="","",IF(D73="Quarterly",E73+90,IF(D73="Semi-Annual",E73+180,IF(D73="Annual",E73+365,E73))))</f>
        <v/>
      </c>
    </row>
    <row r="74">
      <c r="A74" s="24" t="n"/>
      <c r="B74" s="20" t="n"/>
      <c r="C74" s="20" t="n"/>
      <c r="D74" s="20" t="n"/>
      <c r="E74" s="23" t="n"/>
      <c r="F74" s="28">
        <f>IF(E74="","",TODAY()-E74)</f>
        <v/>
      </c>
      <c r="G74" s="28">
        <f>IF(A74="","",IF(E74="","❓ Unknown",IF(D74="Quarterly",IF(F74&lt;=90,"✅ Compliant",IF(F74&lt;=105,"⚠ Overdue","❌ Non-Compliant")),IF(D74="Semi-Annual",IF(F74&lt;=180,"✅ Compliant",IF(F74&lt;=200,"⚠ Overdue","❌ Non-Compliant")),IF(D74="Annual",IF(F74&lt;=365,"✅ Compliant",IF(F74&lt;=400,"⚠ Overdue","❌ Non-Compliant")),"✅ Compliant")))))</f>
        <v/>
      </c>
      <c r="H74" s="29">
        <f>IF(E74="","",IF(D74="Quarterly",E74+90,IF(D74="Semi-Annual",E74+180,IF(D74="Annual",E74+365,E74))))</f>
        <v/>
      </c>
    </row>
    <row r="75">
      <c r="A75" s="24" t="n"/>
      <c r="B75" s="20" t="n"/>
      <c r="C75" s="20" t="n"/>
      <c r="D75" s="20" t="n"/>
      <c r="E75" s="23" t="n"/>
      <c r="F75" s="28">
        <f>IF(E75="","",TODAY()-E75)</f>
        <v/>
      </c>
      <c r="G75" s="28">
        <f>IF(A75="","",IF(E75="","❓ Unknown",IF(D75="Quarterly",IF(F75&lt;=90,"✅ Compliant",IF(F75&lt;=105,"⚠ Overdue","❌ Non-Compliant")),IF(D75="Semi-Annual",IF(F75&lt;=180,"✅ Compliant",IF(F75&lt;=200,"⚠ Overdue","❌ Non-Compliant")),IF(D75="Annual",IF(F75&lt;=365,"✅ Compliant",IF(F75&lt;=400,"⚠ Overdue","❌ Non-Compliant")),"✅ Compliant")))))</f>
        <v/>
      </c>
      <c r="H75" s="29">
        <f>IF(E75="","",IF(D75="Quarterly",E75+90,IF(D75="Semi-Annual",E75+180,IF(D75="Annual",E75+365,E75))))</f>
        <v/>
      </c>
    </row>
    <row r="76">
      <c r="A76" s="24" t="n"/>
      <c r="B76" s="20" t="n"/>
      <c r="C76" s="20" t="n"/>
      <c r="D76" s="20" t="n"/>
      <c r="E76" s="23" t="n"/>
      <c r="F76" s="28">
        <f>IF(E76="","",TODAY()-E76)</f>
        <v/>
      </c>
      <c r="G76" s="28">
        <f>IF(A76="","",IF(E76="","❓ Unknown",IF(D76="Quarterly",IF(F76&lt;=90,"✅ Compliant",IF(F76&lt;=105,"⚠ Overdue","❌ Non-Compliant")),IF(D76="Semi-Annual",IF(F76&lt;=180,"✅ Compliant",IF(F76&lt;=200,"⚠ Overdue","❌ Non-Compliant")),IF(D76="Annual",IF(F76&lt;=365,"✅ Compliant",IF(F76&lt;=400,"⚠ Overdue","❌ Non-Compliant")),"✅ Compliant")))))</f>
        <v/>
      </c>
      <c r="H76" s="29">
        <f>IF(E76="","",IF(D76="Quarterly",E76+90,IF(D76="Semi-Annual",E76+180,IF(D76="Annual",E76+365,E76))))</f>
        <v/>
      </c>
    </row>
    <row r="77">
      <c r="A77" s="24" t="n"/>
      <c r="B77" s="20" t="n"/>
      <c r="C77" s="20" t="n"/>
      <c r="D77" s="20" t="n"/>
      <c r="E77" s="23" t="n"/>
      <c r="F77" s="28">
        <f>IF(E77="","",TODAY()-E77)</f>
        <v/>
      </c>
      <c r="G77" s="28">
        <f>IF(A77="","",IF(E77="","❓ Unknown",IF(D77="Quarterly",IF(F77&lt;=90,"✅ Compliant",IF(F77&lt;=105,"⚠ Overdue","❌ Non-Compliant")),IF(D77="Semi-Annual",IF(F77&lt;=180,"✅ Compliant",IF(F77&lt;=200,"⚠ Overdue","❌ Non-Compliant")),IF(D77="Annual",IF(F77&lt;=365,"✅ Compliant",IF(F77&lt;=400,"⚠ Overdue","❌ Non-Compliant")),"✅ Compliant")))))</f>
        <v/>
      </c>
      <c r="H77" s="29">
        <f>IF(E77="","",IF(D77="Quarterly",E77+90,IF(D77="Semi-Annual",E77+180,IF(D77="Annual",E77+365,E77))))</f>
        <v/>
      </c>
    </row>
    <row r="78">
      <c r="A78" s="24" t="n"/>
      <c r="B78" s="20" t="n"/>
      <c r="C78" s="20" t="n"/>
      <c r="D78" s="20" t="n"/>
      <c r="E78" s="23" t="n"/>
      <c r="F78" s="28">
        <f>IF(E78="","",TODAY()-E78)</f>
        <v/>
      </c>
      <c r="G78" s="28">
        <f>IF(A78="","",IF(E78="","❓ Unknown",IF(D78="Quarterly",IF(F78&lt;=90,"✅ Compliant",IF(F78&lt;=105,"⚠ Overdue","❌ Non-Compliant")),IF(D78="Semi-Annual",IF(F78&lt;=180,"✅ Compliant",IF(F78&lt;=200,"⚠ Overdue","❌ Non-Compliant")),IF(D78="Annual",IF(F78&lt;=365,"✅ Compliant",IF(F78&lt;=400,"⚠ Overdue","❌ Non-Compliant")),"✅ Compliant")))))</f>
        <v/>
      </c>
      <c r="H78" s="29">
        <f>IF(E78="","",IF(D78="Quarterly",E78+90,IF(D78="Semi-Annual",E78+180,IF(D78="Annual",E78+365,E78))))</f>
        <v/>
      </c>
    </row>
    <row r="79">
      <c r="A79" s="24" t="n"/>
      <c r="B79" s="20" t="n"/>
      <c r="C79" s="20" t="n"/>
      <c r="D79" s="20" t="n"/>
      <c r="E79" s="23" t="n"/>
      <c r="F79" s="28">
        <f>IF(E79="","",TODAY()-E79)</f>
        <v/>
      </c>
      <c r="G79" s="28">
        <f>IF(A79="","",IF(E79="","❓ Unknown",IF(D79="Quarterly",IF(F79&lt;=90,"✅ Compliant",IF(F79&lt;=105,"⚠ Overdue","❌ Non-Compliant")),IF(D79="Semi-Annual",IF(F79&lt;=180,"✅ Compliant",IF(F79&lt;=200,"⚠ Overdue","❌ Non-Compliant")),IF(D79="Annual",IF(F79&lt;=365,"✅ Compliant",IF(F79&lt;=400,"⚠ Overdue","❌ Non-Compliant")),"✅ Compliant")))))</f>
        <v/>
      </c>
      <c r="H79" s="29">
        <f>IF(E79="","",IF(D79="Quarterly",E79+90,IF(D79="Semi-Annual",E79+180,IF(D79="Annual",E79+365,E79))))</f>
        <v/>
      </c>
    </row>
    <row r="80">
      <c r="A80" s="24" t="n"/>
      <c r="B80" s="20" t="n"/>
      <c r="C80" s="20" t="n"/>
      <c r="D80" s="20" t="n"/>
      <c r="E80" s="23" t="n"/>
      <c r="F80" s="28">
        <f>IF(E80="","",TODAY()-E80)</f>
        <v/>
      </c>
      <c r="G80" s="28">
        <f>IF(A80="","",IF(E80="","❓ Unknown",IF(D80="Quarterly",IF(F80&lt;=90,"✅ Compliant",IF(F80&lt;=105,"⚠ Overdue","❌ Non-Compliant")),IF(D80="Semi-Annual",IF(F80&lt;=180,"✅ Compliant",IF(F80&lt;=200,"⚠ Overdue","❌ Non-Compliant")),IF(D80="Annual",IF(F80&lt;=365,"✅ Compliant",IF(F80&lt;=400,"⚠ Overdue","❌ Non-Compliant")),"✅ Compliant")))))</f>
        <v/>
      </c>
      <c r="H80" s="29">
        <f>IF(E80="","",IF(D80="Quarterly",E80+90,IF(D80="Semi-Annual",E80+180,IF(D80="Annual",E80+365,E80))))</f>
        <v/>
      </c>
    </row>
    <row r="81">
      <c r="A81" s="24" t="n"/>
      <c r="B81" s="20" t="n"/>
      <c r="C81" s="20" t="n"/>
      <c r="D81" s="20" t="n"/>
      <c r="E81" s="23" t="n"/>
      <c r="F81" s="28">
        <f>IF(E81="","",TODAY()-E81)</f>
        <v/>
      </c>
      <c r="G81" s="28">
        <f>IF(A81="","",IF(E81="","❓ Unknown",IF(D81="Quarterly",IF(F81&lt;=90,"✅ Compliant",IF(F81&lt;=105,"⚠ Overdue","❌ Non-Compliant")),IF(D81="Semi-Annual",IF(F81&lt;=180,"✅ Compliant",IF(F81&lt;=200,"⚠ Overdue","❌ Non-Compliant")),IF(D81="Annual",IF(F81&lt;=365,"✅ Compliant",IF(F81&lt;=400,"⚠ Overdue","❌ Non-Compliant")),"✅ Compliant")))))</f>
        <v/>
      </c>
      <c r="H81" s="29">
        <f>IF(E81="","",IF(D81="Quarterly",E81+90,IF(D81="Semi-Annual",E81+180,IF(D81="Annual",E81+365,E81))))</f>
        <v/>
      </c>
    </row>
    <row r="82">
      <c r="A82" s="24" t="n"/>
      <c r="B82" s="20" t="n"/>
      <c r="C82" s="20" t="n"/>
      <c r="D82" s="20" t="n"/>
      <c r="E82" s="23" t="n"/>
      <c r="F82" s="28">
        <f>IF(E82="","",TODAY()-E82)</f>
        <v/>
      </c>
      <c r="G82" s="28">
        <f>IF(A82="","",IF(E82="","❓ Unknown",IF(D82="Quarterly",IF(F82&lt;=90,"✅ Compliant",IF(F82&lt;=105,"⚠ Overdue","❌ Non-Compliant")),IF(D82="Semi-Annual",IF(F82&lt;=180,"✅ Compliant",IF(F82&lt;=200,"⚠ Overdue","❌ Non-Compliant")),IF(D82="Annual",IF(F82&lt;=365,"✅ Compliant",IF(F82&lt;=400,"⚠ Overdue","❌ Non-Compliant")),"✅ Compliant")))))</f>
        <v/>
      </c>
      <c r="H82" s="29">
        <f>IF(E82="","",IF(D82="Quarterly",E82+90,IF(D82="Semi-Annual",E82+180,IF(D82="Annual",E82+365,E82))))</f>
        <v/>
      </c>
    </row>
    <row r="83">
      <c r="A83" s="24" t="n"/>
      <c r="B83" s="20" t="n"/>
      <c r="C83" s="20" t="n"/>
      <c r="D83" s="20" t="n"/>
      <c r="E83" s="23" t="n"/>
      <c r="F83" s="28">
        <f>IF(E83="","",TODAY()-E83)</f>
        <v/>
      </c>
      <c r="G83" s="28">
        <f>IF(A83="","",IF(E83="","❓ Unknown",IF(D83="Quarterly",IF(F83&lt;=90,"✅ Compliant",IF(F83&lt;=105,"⚠ Overdue","❌ Non-Compliant")),IF(D83="Semi-Annual",IF(F83&lt;=180,"✅ Compliant",IF(F83&lt;=200,"⚠ Overdue","❌ Non-Compliant")),IF(D83="Annual",IF(F83&lt;=365,"✅ Compliant",IF(F83&lt;=400,"⚠ Overdue","❌ Non-Compliant")),"✅ Compliant")))))</f>
        <v/>
      </c>
      <c r="H83" s="29">
        <f>IF(E83="","",IF(D83="Quarterly",E83+90,IF(D83="Semi-Annual",E83+180,IF(D83="Annual",E83+365,E83))))</f>
        <v/>
      </c>
    </row>
    <row r="84">
      <c r="A84" s="24" t="n"/>
      <c r="B84" s="20" t="n"/>
      <c r="C84" s="20" t="n"/>
      <c r="D84" s="20" t="n"/>
      <c r="E84" s="23" t="n"/>
      <c r="F84" s="28">
        <f>IF(E84="","",TODAY()-E84)</f>
        <v/>
      </c>
      <c r="G84" s="28">
        <f>IF(A84="","",IF(E84="","❓ Unknown",IF(D84="Quarterly",IF(F84&lt;=90,"✅ Compliant",IF(F84&lt;=105,"⚠ Overdue","❌ Non-Compliant")),IF(D84="Semi-Annual",IF(F84&lt;=180,"✅ Compliant",IF(F84&lt;=200,"⚠ Overdue","❌ Non-Compliant")),IF(D84="Annual",IF(F84&lt;=365,"✅ Compliant",IF(F84&lt;=400,"⚠ Overdue","❌ Non-Compliant")),"✅ Compliant")))))</f>
        <v/>
      </c>
      <c r="H84" s="29">
        <f>IF(E84="","",IF(D84="Quarterly",E84+90,IF(D84="Semi-Annual",E84+180,IF(D84="Annual",E84+365,E84))))</f>
        <v/>
      </c>
    </row>
    <row r="85">
      <c r="A85" s="24" t="n"/>
      <c r="B85" s="20" t="n"/>
      <c r="C85" s="20" t="n"/>
      <c r="D85" s="20" t="n"/>
      <c r="E85" s="23" t="n"/>
      <c r="F85" s="28">
        <f>IF(E85="","",TODAY()-E85)</f>
        <v/>
      </c>
      <c r="G85" s="28">
        <f>IF(A85="","",IF(E85="","❓ Unknown",IF(D85="Quarterly",IF(F85&lt;=90,"✅ Compliant",IF(F85&lt;=105,"⚠ Overdue","❌ Non-Compliant")),IF(D85="Semi-Annual",IF(F85&lt;=180,"✅ Compliant",IF(F85&lt;=200,"⚠ Overdue","❌ Non-Compliant")),IF(D85="Annual",IF(F85&lt;=365,"✅ Compliant",IF(F85&lt;=400,"⚠ Overdue","❌ Non-Compliant")),"✅ Compliant")))))</f>
        <v/>
      </c>
      <c r="H85" s="29">
        <f>IF(E85="","",IF(D85="Quarterly",E85+90,IF(D85="Semi-Annual",E85+180,IF(D85="Annual",E85+365,E85))))</f>
        <v/>
      </c>
    </row>
    <row r="86">
      <c r="A86" s="24" t="n"/>
      <c r="B86" s="20" t="n"/>
      <c r="C86" s="20" t="n"/>
      <c r="D86" s="20" t="n"/>
      <c r="E86" s="23" t="n"/>
      <c r="F86" s="28">
        <f>IF(E86="","",TODAY()-E86)</f>
        <v/>
      </c>
      <c r="G86" s="28">
        <f>IF(A86="","",IF(E86="","❓ Unknown",IF(D86="Quarterly",IF(F86&lt;=90,"✅ Compliant",IF(F86&lt;=105,"⚠ Overdue","❌ Non-Compliant")),IF(D86="Semi-Annual",IF(F86&lt;=180,"✅ Compliant",IF(F86&lt;=200,"⚠ Overdue","❌ Non-Compliant")),IF(D86="Annual",IF(F86&lt;=365,"✅ Compliant",IF(F86&lt;=400,"⚠ Overdue","❌ Non-Compliant")),"✅ Compliant")))))</f>
        <v/>
      </c>
      <c r="H86" s="29">
        <f>IF(E86="","",IF(D86="Quarterly",E86+90,IF(D86="Semi-Annual",E86+180,IF(D86="Annual",E86+365,E86))))</f>
        <v/>
      </c>
    </row>
    <row r="87">
      <c r="A87" s="24" t="n"/>
      <c r="B87" s="20" t="n"/>
      <c r="C87" s="20" t="n"/>
      <c r="D87" s="20" t="n"/>
      <c r="E87" s="23" t="n"/>
      <c r="F87" s="28">
        <f>IF(E87="","",TODAY()-E87)</f>
        <v/>
      </c>
      <c r="G87" s="28">
        <f>IF(A87="","",IF(E87="","❓ Unknown",IF(D87="Quarterly",IF(F87&lt;=90,"✅ Compliant",IF(F87&lt;=105,"⚠ Overdue","❌ Non-Compliant")),IF(D87="Semi-Annual",IF(F87&lt;=180,"✅ Compliant",IF(F87&lt;=200,"⚠ Overdue","❌ Non-Compliant")),IF(D87="Annual",IF(F87&lt;=365,"✅ Compliant",IF(F87&lt;=400,"⚠ Overdue","❌ Non-Compliant")),"✅ Compliant")))))</f>
        <v/>
      </c>
      <c r="H87" s="29">
        <f>IF(E87="","",IF(D87="Quarterly",E87+90,IF(D87="Semi-Annual",E87+180,IF(D87="Annual",E87+365,E87))))</f>
        <v/>
      </c>
    </row>
    <row r="88">
      <c r="A88" s="24" t="n"/>
      <c r="B88" s="20" t="n"/>
      <c r="C88" s="20" t="n"/>
      <c r="D88" s="20" t="n"/>
      <c r="E88" s="23" t="n"/>
      <c r="F88" s="28">
        <f>IF(E88="","",TODAY()-E88)</f>
        <v/>
      </c>
      <c r="G88" s="28">
        <f>IF(A88="","",IF(E88="","❓ Unknown",IF(D88="Quarterly",IF(F88&lt;=90,"✅ Compliant",IF(F88&lt;=105,"⚠ Overdue","❌ Non-Compliant")),IF(D88="Semi-Annual",IF(F88&lt;=180,"✅ Compliant",IF(F88&lt;=200,"⚠ Overdue","❌ Non-Compliant")),IF(D88="Annual",IF(F88&lt;=365,"✅ Compliant",IF(F88&lt;=400,"⚠ Overdue","❌ Non-Compliant")),"✅ Compliant")))))</f>
        <v/>
      </c>
      <c r="H88" s="29">
        <f>IF(E88="","",IF(D88="Quarterly",E88+90,IF(D88="Semi-Annual",E88+180,IF(D88="Annual",E88+365,E88))))</f>
        <v/>
      </c>
    </row>
    <row r="89">
      <c r="A89" s="24" t="n"/>
      <c r="B89" s="20" t="n"/>
      <c r="C89" s="20" t="n"/>
      <c r="D89" s="20" t="n"/>
      <c r="E89" s="23" t="n"/>
      <c r="F89" s="28">
        <f>IF(E89="","",TODAY()-E89)</f>
        <v/>
      </c>
      <c r="G89" s="28">
        <f>IF(A89="","",IF(E89="","❓ Unknown",IF(D89="Quarterly",IF(F89&lt;=90,"✅ Compliant",IF(F89&lt;=105,"⚠ Overdue","❌ Non-Compliant")),IF(D89="Semi-Annual",IF(F89&lt;=180,"✅ Compliant",IF(F89&lt;=200,"⚠ Overdue","❌ Non-Compliant")),IF(D89="Annual",IF(F89&lt;=365,"✅ Compliant",IF(F89&lt;=400,"⚠ Overdue","❌ Non-Compliant")),"✅ Compliant")))))</f>
        <v/>
      </c>
      <c r="H89" s="29">
        <f>IF(E89="","",IF(D89="Quarterly",E89+90,IF(D89="Semi-Annual",E89+180,IF(D89="Annual",E89+365,E89))))</f>
        <v/>
      </c>
    </row>
    <row r="90">
      <c r="A90" s="24" t="n"/>
      <c r="B90" s="20" t="n"/>
      <c r="C90" s="20" t="n"/>
      <c r="D90" s="20" t="n"/>
      <c r="E90" s="23" t="n"/>
      <c r="F90" s="28">
        <f>IF(E90="","",TODAY()-E90)</f>
        <v/>
      </c>
      <c r="G90" s="28">
        <f>IF(A90="","",IF(E90="","❓ Unknown",IF(D90="Quarterly",IF(F90&lt;=90,"✅ Compliant",IF(F90&lt;=105,"⚠ Overdue","❌ Non-Compliant")),IF(D90="Semi-Annual",IF(F90&lt;=180,"✅ Compliant",IF(F90&lt;=200,"⚠ Overdue","❌ Non-Compliant")),IF(D90="Annual",IF(F90&lt;=365,"✅ Compliant",IF(F90&lt;=400,"⚠ Overdue","❌ Non-Compliant")),"✅ Compliant")))))</f>
        <v/>
      </c>
      <c r="H90" s="29">
        <f>IF(E90="","",IF(D90="Quarterly",E90+90,IF(D90="Semi-Annual",E90+180,IF(D90="Annual",E90+365,E90))))</f>
        <v/>
      </c>
    </row>
    <row r="91">
      <c r="A91" s="24" t="n"/>
      <c r="B91" s="20" t="n"/>
      <c r="C91" s="20" t="n"/>
      <c r="D91" s="20" t="n"/>
      <c r="E91" s="23" t="n"/>
      <c r="F91" s="28">
        <f>IF(E91="","",TODAY()-E91)</f>
        <v/>
      </c>
      <c r="G91" s="28">
        <f>IF(A91="","",IF(E91="","❓ Unknown",IF(D91="Quarterly",IF(F91&lt;=90,"✅ Compliant",IF(F91&lt;=105,"⚠ Overdue","❌ Non-Compliant")),IF(D91="Semi-Annual",IF(F91&lt;=180,"✅ Compliant",IF(F91&lt;=200,"⚠ Overdue","❌ Non-Compliant")),IF(D91="Annual",IF(F91&lt;=365,"✅ Compliant",IF(F91&lt;=400,"⚠ Overdue","❌ Non-Compliant")),"✅ Compliant")))))</f>
        <v/>
      </c>
      <c r="H91" s="29">
        <f>IF(E91="","",IF(D91="Quarterly",E91+90,IF(D91="Semi-Annual",E91+180,IF(D91="Annual",E91+365,E91))))</f>
        <v/>
      </c>
    </row>
    <row r="92">
      <c r="A92" s="24" t="n"/>
      <c r="B92" s="20" t="n"/>
      <c r="C92" s="20" t="n"/>
      <c r="D92" s="20" t="n"/>
      <c r="E92" s="23" t="n"/>
      <c r="F92" s="28">
        <f>IF(E92="","",TODAY()-E92)</f>
        <v/>
      </c>
      <c r="G92" s="28">
        <f>IF(A92="","",IF(E92="","❓ Unknown",IF(D92="Quarterly",IF(F92&lt;=90,"✅ Compliant",IF(F92&lt;=105,"⚠ Overdue","❌ Non-Compliant")),IF(D92="Semi-Annual",IF(F92&lt;=180,"✅ Compliant",IF(F92&lt;=200,"⚠ Overdue","❌ Non-Compliant")),IF(D92="Annual",IF(F92&lt;=365,"✅ Compliant",IF(F92&lt;=400,"⚠ Overdue","❌ Non-Compliant")),"✅ Compliant")))))</f>
        <v/>
      </c>
      <c r="H92" s="29">
        <f>IF(E92="","",IF(D92="Quarterly",E92+90,IF(D92="Semi-Annual",E92+180,IF(D92="Annual",E92+365,E92))))</f>
        <v/>
      </c>
    </row>
    <row r="93">
      <c r="A93" s="24" t="n"/>
      <c r="B93" s="20" t="n"/>
      <c r="C93" s="20" t="n"/>
      <c r="D93" s="20" t="n"/>
      <c r="E93" s="23" t="n"/>
      <c r="F93" s="28">
        <f>IF(E93="","",TODAY()-E93)</f>
        <v/>
      </c>
      <c r="G93" s="28">
        <f>IF(A93="","",IF(E93="","❓ Unknown",IF(D93="Quarterly",IF(F93&lt;=90,"✅ Compliant",IF(F93&lt;=105,"⚠ Overdue","❌ Non-Compliant")),IF(D93="Semi-Annual",IF(F93&lt;=180,"✅ Compliant",IF(F93&lt;=200,"⚠ Overdue","❌ Non-Compliant")),IF(D93="Annual",IF(F93&lt;=365,"✅ Compliant",IF(F93&lt;=400,"⚠ Overdue","❌ Non-Compliant")),"✅ Compliant")))))</f>
        <v/>
      </c>
      <c r="H93" s="29">
        <f>IF(E93="","",IF(D93="Quarterly",E93+90,IF(D93="Semi-Annual",E93+180,IF(D93="Annual",E93+365,E93))))</f>
        <v/>
      </c>
    </row>
    <row r="94">
      <c r="A94" s="24" t="n"/>
      <c r="B94" s="20" t="n"/>
      <c r="C94" s="20" t="n"/>
      <c r="D94" s="20" t="n"/>
      <c r="E94" s="23" t="n"/>
      <c r="F94" s="28">
        <f>IF(E94="","",TODAY()-E94)</f>
        <v/>
      </c>
      <c r="G94" s="28">
        <f>IF(A94="","",IF(E94="","❓ Unknown",IF(D94="Quarterly",IF(F94&lt;=90,"✅ Compliant",IF(F94&lt;=105,"⚠ Overdue","❌ Non-Compliant")),IF(D94="Semi-Annual",IF(F94&lt;=180,"✅ Compliant",IF(F94&lt;=200,"⚠ Overdue","❌ Non-Compliant")),IF(D94="Annual",IF(F94&lt;=365,"✅ Compliant",IF(F94&lt;=400,"⚠ Overdue","❌ Non-Compliant")),"✅ Compliant")))))</f>
        <v/>
      </c>
      <c r="H94" s="29">
        <f>IF(E94="","",IF(D94="Quarterly",E94+90,IF(D94="Semi-Annual",E94+180,IF(D94="Annual",E94+365,E94))))</f>
        <v/>
      </c>
    </row>
    <row r="95">
      <c r="A95" s="24" t="n"/>
      <c r="B95" s="20" t="n"/>
      <c r="C95" s="20" t="n"/>
      <c r="D95" s="20" t="n"/>
      <c r="E95" s="23" t="n"/>
      <c r="F95" s="28">
        <f>IF(E95="","",TODAY()-E95)</f>
        <v/>
      </c>
      <c r="G95" s="28">
        <f>IF(A95="","",IF(E95="","❓ Unknown",IF(D95="Quarterly",IF(F95&lt;=90,"✅ Compliant",IF(F95&lt;=105,"⚠ Overdue","❌ Non-Compliant")),IF(D95="Semi-Annual",IF(F95&lt;=180,"✅ Compliant",IF(F95&lt;=200,"⚠ Overdue","❌ Non-Compliant")),IF(D95="Annual",IF(F95&lt;=365,"✅ Compliant",IF(F95&lt;=400,"⚠ Overdue","❌ Non-Compliant")),"✅ Compliant")))))</f>
        <v/>
      </c>
      <c r="H95" s="29">
        <f>IF(E95="","",IF(D95="Quarterly",E95+90,IF(D95="Semi-Annual",E95+180,IF(D95="Annual",E95+365,E95))))</f>
        <v/>
      </c>
    </row>
    <row r="96">
      <c r="A96" s="24" t="n"/>
      <c r="B96" s="20" t="n"/>
      <c r="C96" s="20" t="n"/>
      <c r="D96" s="20" t="n"/>
      <c r="E96" s="23" t="n"/>
      <c r="F96" s="28">
        <f>IF(E96="","",TODAY()-E96)</f>
        <v/>
      </c>
      <c r="G96" s="28">
        <f>IF(A96="","",IF(E96="","❓ Unknown",IF(D96="Quarterly",IF(F96&lt;=90,"✅ Compliant",IF(F96&lt;=105,"⚠ Overdue","❌ Non-Compliant")),IF(D96="Semi-Annual",IF(F96&lt;=180,"✅ Compliant",IF(F96&lt;=200,"⚠ Overdue","❌ Non-Compliant")),IF(D96="Annual",IF(F96&lt;=365,"✅ Compliant",IF(F96&lt;=400,"⚠ Overdue","❌ Non-Compliant")),"✅ Compliant")))))</f>
        <v/>
      </c>
      <c r="H96" s="29">
        <f>IF(E96="","",IF(D96="Quarterly",E96+90,IF(D96="Semi-Annual",E96+180,IF(D96="Annual",E96+365,E96))))</f>
        <v/>
      </c>
    </row>
    <row r="97">
      <c r="A97" s="24" t="n"/>
      <c r="B97" s="20" t="n"/>
      <c r="C97" s="20" t="n"/>
      <c r="D97" s="20" t="n"/>
      <c r="E97" s="23" t="n"/>
      <c r="F97" s="28">
        <f>IF(E97="","",TODAY()-E97)</f>
        <v/>
      </c>
      <c r="G97" s="28">
        <f>IF(A97="","",IF(E97="","❓ Unknown",IF(D97="Quarterly",IF(F97&lt;=90,"✅ Compliant",IF(F97&lt;=105,"⚠ Overdue","❌ Non-Compliant")),IF(D97="Semi-Annual",IF(F97&lt;=180,"✅ Compliant",IF(F97&lt;=200,"⚠ Overdue","❌ Non-Compliant")),IF(D97="Annual",IF(F97&lt;=365,"✅ Compliant",IF(F97&lt;=400,"⚠ Overdue","❌ Non-Compliant")),"✅ Compliant")))))</f>
        <v/>
      </c>
      <c r="H97" s="29">
        <f>IF(E97="","",IF(D97="Quarterly",E97+90,IF(D97="Semi-Annual",E97+180,IF(D97="Annual",E97+365,E97))))</f>
        <v/>
      </c>
    </row>
    <row r="98">
      <c r="A98" s="24" t="n"/>
      <c r="B98" s="20" t="n"/>
      <c r="C98" s="20" t="n"/>
      <c r="D98" s="20" t="n"/>
      <c r="E98" s="23" t="n"/>
      <c r="F98" s="28">
        <f>IF(E98="","",TODAY()-E98)</f>
        <v/>
      </c>
      <c r="G98" s="28">
        <f>IF(A98="","",IF(E98="","❓ Unknown",IF(D98="Quarterly",IF(F98&lt;=90,"✅ Compliant",IF(F98&lt;=105,"⚠ Overdue","❌ Non-Compliant")),IF(D98="Semi-Annual",IF(F98&lt;=180,"✅ Compliant",IF(F98&lt;=200,"⚠ Overdue","❌ Non-Compliant")),IF(D98="Annual",IF(F98&lt;=365,"✅ Compliant",IF(F98&lt;=400,"⚠ Overdue","❌ Non-Compliant")),"✅ Compliant")))))</f>
        <v/>
      </c>
      <c r="H98" s="29">
        <f>IF(E98="","",IF(D98="Quarterly",E98+90,IF(D98="Semi-Annual",E98+180,IF(D98="Annual",E98+365,E98))))</f>
        <v/>
      </c>
    </row>
    <row r="99">
      <c r="A99" s="24" t="n"/>
      <c r="B99" s="20" t="n"/>
      <c r="C99" s="20" t="n"/>
      <c r="D99" s="20" t="n"/>
      <c r="E99" s="23" t="n"/>
      <c r="F99" s="28">
        <f>IF(E99="","",TODAY()-E99)</f>
        <v/>
      </c>
      <c r="G99" s="28">
        <f>IF(A99="","",IF(E99="","❓ Unknown",IF(D99="Quarterly",IF(F99&lt;=90,"✅ Compliant",IF(F99&lt;=105,"⚠ Overdue","❌ Non-Compliant")),IF(D99="Semi-Annual",IF(F99&lt;=180,"✅ Compliant",IF(F99&lt;=200,"⚠ Overdue","❌ Non-Compliant")),IF(D99="Annual",IF(F99&lt;=365,"✅ Compliant",IF(F99&lt;=400,"⚠ Overdue","❌ Non-Compliant")),"✅ Compliant")))))</f>
        <v/>
      </c>
      <c r="H99" s="29">
        <f>IF(E99="","",IF(D99="Quarterly",E99+90,IF(D99="Semi-Annual",E99+180,IF(D99="Annual",E99+365,E99))))</f>
        <v/>
      </c>
    </row>
    <row r="100">
      <c r="A100" s="24" t="n"/>
      <c r="B100" s="20" t="n"/>
      <c r="C100" s="20" t="n"/>
      <c r="D100" s="20" t="n"/>
      <c r="E100" s="23" t="n"/>
      <c r="F100" s="28">
        <f>IF(E100="","",TODAY()-E100)</f>
        <v/>
      </c>
      <c r="G100" s="28">
        <f>IF(A100="","",IF(E100="","❓ Unknown",IF(D100="Quarterly",IF(F100&lt;=90,"✅ Compliant",IF(F100&lt;=105,"⚠ Overdue","❌ Non-Compliant")),IF(D100="Semi-Annual",IF(F100&lt;=180,"✅ Compliant",IF(F100&lt;=200,"⚠ Overdue","❌ Non-Compliant")),IF(D100="Annual",IF(F100&lt;=365,"✅ Compliant",IF(F100&lt;=400,"⚠ Overdue","❌ Non-Compliant")),"✅ Compliant")))))</f>
        <v/>
      </c>
      <c r="H100" s="29">
        <f>IF(E100="","",IF(D100="Quarterly",E100+90,IF(D100="Semi-Annual",E100+180,IF(D100="Annual",E100+365,E100))))</f>
        <v/>
      </c>
    </row>
    <row r="101">
      <c r="A101" s="24" t="n"/>
      <c r="B101" s="20" t="n"/>
      <c r="C101" s="20" t="n"/>
      <c r="D101" s="20" t="n"/>
      <c r="E101" s="23" t="n"/>
      <c r="F101" s="28">
        <f>IF(E101="","",TODAY()-E101)</f>
        <v/>
      </c>
      <c r="G101" s="28">
        <f>IF(A101="","",IF(E101="","❓ Unknown",IF(D101="Quarterly",IF(F101&lt;=90,"✅ Compliant",IF(F101&lt;=105,"⚠ Overdue","❌ Non-Compliant")),IF(D101="Semi-Annual",IF(F101&lt;=180,"✅ Compliant",IF(F101&lt;=200,"⚠ Overdue","❌ Non-Compliant")),IF(D101="Annual",IF(F101&lt;=365,"✅ Compliant",IF(F101&lt;=400,"⚠ Overdue","❌ Non-Compliant")),"✅ Compliant")))))</f>
        <v/>
      </c>
      <c r="H101" s="29">
        <f>IF(E101="","",IF(D101="Quarterly",E101+90,IF(D101="Semi-Annual",E101+180,IF(D101="Annual",E101+365,E101))))</f>
        <v/>
      </c>
    </row>
    <row r="102">
      <c r="A102" s="24" t="n"/>
      <c r="B102" s="20" t="n"/>
      <c r="C102" s="20" t="n"/>
      <c r="D102" s="20" t="n"/>
      <c r="E102" s="23" t="n"/>
      <c r="F102" s="28">
        <f>IF(E102="","",TODAY()-E102)</f>
        <v/>
      </c>
      <c r="G102" s="28">
        <f>IF(A102="","",IF(E102="","❓ Unknown",IF(D102="Quarterly",IF(F102&lt;=90,"✅ Compliant",IF(F102&lt;=105,"⚠ Overdue","❌ Non-Compliant")),IF(D102="Semi-Annual",IF(F102&lt;=180,"✅ Compliant",IF(F102&lt;=200,"⚠ Overdue","❌ Non-Compliant")),IF(D102="Annual",IF(F102&lt;=365,"✅ Compliant",IF(F102&lt;=400,"⚠ Overdue","❌ Non-Compliant")),"✅ Compliant")))))</f>
        <v/>
      </c>
      <c r="H102" s="29">
        <f>IF(E102="","",IF(D102="Quarterly",E102+90,IF(D102="Semi-Annual",E102+180,IF(D102="Annual",E102+365,E102))))</f>
        <v/>
      </c>
    </row>
    <row r="103">
      <c r="A103" s="24" t="n"/>
      <c r="B103" s="20" t="n"/>
      <c r="C103" s="20" t="n"/>
      <c r="D103" s="20" t="n"/>
      <c r="E103" s="23" t="n"/>
      <c r="F103" s="28">
        <f>IF(E103="","",TODAY()-E103)</f>
        <v/>
      </c>
      <c r="G103" s="28">
        <f>IF(A103="","",IF(E103="","❓ Unknown",IF(D103="Quarterly",IF(F103&lt;=90,"✅ Compliant",IF(F103&lt;=105,"⚠ Overdue","❌ Non-Compliant")),IF(D103="Semi-Annual",IF(F103&lt;=180,"✅ Compliant",IF(F103&lt;=200,"⚠ Overdue","❌ Non-Compliant")),IF(D103="Annual",IF(F103&lt;=365,"✅ Compliant",IF(F103&lt;=400,"⚠ Overdue","❌ Non-Compliant")),"✅ Compliant")))))</f>
        <v/>
      </c>
      <c r="H103" s="29">
        <f>IF(E103="","",IF(D103="Quarterly",E103+90,IF(D103="Semi-Annual",E103+180,IF(D103="Annual",E103+365,E103))))</f>
        <v/>
      </c>
    </row>
    <row r="104">
      <c r="A104" s="24" t="n"/>
      <c r="B104" s="20" t="n"/>
      <c r="C104" s="20" t="n"/>
      <c r="D104" s="20" t="n"/>
      <c r="E104" s="23" t="n"/>
      <c r="F104" s="28">
        <f>IF(E104="","",TODAY()-E104)</f>
        <v/>
      </c>
      <c r="G104" s="28">
        <f>IF(A104="","",IF(E104="","❓ Unknown",IF(D104="Quarterly",IF(F104&lt;=90,"✅ Compliant",IF(F104&lt;=105,"⚠ Overdue","❌ Non-Compliant")),IF(D104="Semi-Annual",IF(F104&lt;=180,"✅ Compliant",IF(F104&lt;=200,"⚠ Overdue","❌ Non-Compliant")),IF(D104="Annual",IF(F104&lt;=365,"✅ Compliant",IF(F104&lt;=400,"⚠ Overdue","❌ Non-Compliant")),"✅ Compliant")))))</f>
        <v/>
      </c>
      <c r="H104" s="29">
        <f>IF(E104="","",IF(D104="Quarterly",E104+90,IF(D104="Semi-Annual",E104+180,IF(D104="Annual",E104+365,E104))))</f>
        <v/>
      </c>
    </row>
    <row r="105">
      <c r="A105" s="24" t="n"/>
      <c r="B105" s="20" t="n"/>
      <c r="C105" s="20" t="n"/>
      <c r="D105" s="20" t="n"/>
      <c r="E105" s="23" t="n"/>
      <c r="F105" s="28">
        <f>IF(E105="","",TODAY()-E105)</f>
        <v/>
      </c>
      <c r="G105" s="28">
        <f>IF(A105="","",IF(E105="","❓ Unknown",IF(D105="Quarterly",IF(F105&lt;=90,"✅ Compliant",IF(F105&lt;=105,"⚠ Overdue","❌ Non-Compliant")),IF(D105="Semi-Annual",IF(F105&lt;=180,"✅ Compliant",IF(F105&lt;=200,"⚠ Overdue","❌ Non-Compliant")),IF(D105="Annual",IF(F105&lt;=365,"✅ Compliant",IF(F105&lt;=400,"⚠ Overdue","❌ Non-Compliant")),"✅ Compliant")))))</f>
        <v/>
      </c>
      <c r="H105" s="29">
        <f>IF(E105="","",IF(D105="Quarterly",E105+90,IF(D105="Semi-Annual",E105+180,IF(D105="Annual",E105+365,E105))))</f>
        <v/>
      </c>
    </row>
    <row r="106">
      <c r="A106" s="24" t="n"/>
      <c r="B106" s="20" t="n"/>
      <c r="C106" s="20" t="n"/>
      <c r="D106" s="20" t="n"/>
      <c r="E106" s="23" t="n"/>
      <c r="F106" s="28">
        <f>IF(E106="","",TODAY()-E106)</f>
        <v/>
      </c>
      <c r="G106" s="28">
        <f>IF(A106="","",IF(E106="","❓ Unknown",IF(D106="Quarterly",IF(F106&lt;=90,"✅ Compliant",IF(F106&lt;=105,"⚠ Overdue","❌ Non-Compliant")),IF(D106="Semi-Annual",IF(F106&lt;=180,"✅ Compliant",IF(F106&lt;=200,"⚠ Overdue","❌ Non-Compliant")),IF(D106="Annual",IF(F106&lt;=365,"✅ Compliant",IF(F106&lt;=400,"⚠ Overdue","❌ Non-Compliant")),"✅ Compliant")))))</f>
        <v/>
      </c>
      <c r="H106" s="29">
        <f>IF(E106="","",IF(D106="Quarterly",E106+90,IF(D106="Semi-Annual",E106+180,IF(D106="Annual",E106+365,E106))))</f>
        <v/>
      </c>
    </row>
    <row r="107">
      <c r="A107" s="24" t="n"/>
      <c r="B107" s="20" t="n"/>
      <c r="C107" s="20" t="n"/>
      <c r="D107" s="20" t="n"/>
      <c r="E107" s="23" t="n"/>
      <c r="F107" s="28">
        <f>IF(E107="","",TODAY()-E107)</f>
        <v/>
      </c>
      <c r="G107" s="28">
        <f>IF(A107="","",IF(E107="","❓ Unknown",IF(D107="Quarterly",IF(F107&lt;=90,"✅ Compliant",IF(F107&lt;=105,"⚠ Overdue","❌ Non-Compliant")),IF(D107="Semi-Annual",IF(F107&lt;=180,"✅ Compliant",IF(F107&lt;=200,"⚠ Overdue","❌ Non-Compliant")),IF(D107="Annual",IF(F107&lt;=365,"✅ Compliant",IF(F107&lt;=400,"⚠ Overdue","❌ Non-Compliant")),"✅ Compliant")))))</f>
        <v/>
      </c>
      <c r="H107" s="29">
        <f>IF(E107="","",IF(D107="Quarterly",E107+90,IF(D107="Semi-Annual",E107+180,IF(D107="Annual",E107+365,E107))))</f>
        <v/>
      </c>
    </row>
    <row r="108">
      <c r="A108" s="24" t="n"/>
      <c r="B108" s="20" t="n"/>
      <c r="C108" s="20" t="n"/>
      <c r="D108" s="20" t="n"/>
      <c r="E108" s="23" t="n"/>
      <c r="F108" s="28">
        <f>IF(E108="","",TODAY()-E108)</f>
        <v/>
      </c>
      <c r="G108" s="28">
        <f>IF(A108="","",IF(E108="","❓ Unknown",IF(D108="Quarterly",IF(F108&lt;=90,"✅ Compliant",IF(F108&lt;=105,"⚠ Overdue","❌ Non-Compliant")),IF(D108="Semi-Annual",IF(F108&lt;=180,"✅ Compliant",IF(F108&lt;=200,"⚠ Overdue","❌ Non-Compliant")),IF(D108="Annual",IF(F108&lt;=365,"✅ Compliant",IF(F108&lt;=400,"⚠ Overdue","❌ Non-Compliant")),"✅ Compliant")))))</f>
        <v/>
      </c>
      <c r="H108" s="29">
        <f>IF(E108="","",IF(D108="Quarterly",E108+90,IF(D108="Semi-Annual",E108+180,IF(D108="Annual",E108+365,E108))))</f>
        <v/>
      </c>
    </row>
    <row r="109">
      <c r="A109" s="24" t="n"/>
      <c r="B109" s="20" t="n"/>
      <c r="C109" s="20" t="n"/>
      <c r="D109" s="20" t="n"/>
      <c r="E109" s="23" t="n"/>
      <c r="F109" s="28">
        <f>IF(E109="","",TODAY()-E109)</f>
        <v/>
      </c>
      <c r="G109" s="28">
        <f>IF(A109="","",IF(E109="","❓ Unknown",IF(D109="Quarterly",IF(F109&lt;=90,"✅ Compliant",IF(F109&lt;=105,"⚠ Overdue","❌ Non-Compliant")),IF(D109="Semi-Annual",IF(F109&lt;=180,"✅ Compliant",IF(F109&lt;=200,"⚠ Overdue","❌ Non-Compliant")),IF(D109="Annual",IF(F109&lt;=365,"✅ Compliant",IF(F109&lt;=400,"⚠ Overdue","❌ Non-Compliant")),"✅ Compliant")))))</f>
        <v/>
      </c>
      <c r="H109" s="29">
        <f>IF(E109="","",IF(D109="Quarterly",E109+90,IF(D109="Semi-Annual",E109+180,IF(D109="Annual",E109+365,E109))))</f>
        <v/>
      </c>
    </row>
    <row r="110">
      <c r="A110" s="24" t="n"/>
      <c r="B110" s="20" t="n"/>
      <c r="C110" s="20" t="n"/>
      <c r="D110" s="20" t="n"/>
      <c r="E110" s="23" t="n"/>
      <c r="F110" s="28">
        <f>IF(E110="","",TODAY()-E110)</f>
        <v/>
      </c>
      <c r="G110" s="28">
        <f>IF(A110="","",IF(E110="","❓ Unknown",IF(D110="Quarterly",IF(F110&lt;=90,"✅ Compliant",IF(F110&lt;=105,"⚠ Overdue","❌ Non-Compliant")),IF(D110="Semi-Annual",IF(F110&lt;=180,"✅ Compliant",IF(F110&lt;=200,"⚠ Overdue","❌ Non-Compliant")),IF(D110="Annual",IF(F110&lt;=365,"✅ Compliant",IF(F110&lt;=400,"⚠ Overdue","❌ Non-Compliant")),"✅ Compliant")))))</f>
        <v/>
      </c>
      <c r="H110" s="29">
        <f>IF(E110="","",IF(D110="Quarterly",E110+90,IF(D110="Semi-Annual",E110+180,IF(D110="Annual",E110+365,E110))))</f>
        <v/>
      </c>
    </row>
    <row r="111">
      <c r="A111" s="24" t="n"/>
      <c r="B111" s="20" t="n"/>
      <c r="C111" s="20" t="n"/>
      <c r="D111" s="20" t="n"/>
      <c r="E111" s="23" t="n"/>
      <c r="F111" s="28">
        <f>IF(E111="","",TODAY()-E111)</f>
        <v/>
      </c>
      <c r="G111" s="28">
        <f>IF(A111="","",IF(E111="","❓ Unknown",IF(D111="Quarterly",IF(F111&lt;=90,"✅ Compliant",IF(F111&lt;=105,"⚠ Overdue","❌ Non-Compliant")),IF(D111="Semi-Annual",IF(F111&lt;=180,"✅ Compliant",IF(F111&lt;=200,"⚠ Overdue","❌ Non-Compliant")),IF(D111="Annual",IF(F111&lt;=365,"✅ Compliant",IF(F111&lt;=400,"⚠ Overdue","❌ Non-Compliant")),"✅ Compliant")))))</f>
        <v/>
      </c>
      <c r="H111" s="29">
        <f>IF(E111="","",IF(D111="Quarterly",E111+90,IF(D111="Semi-Annual",E111+180,IF(D111="Annual",E111+365,E111))))</f>
        <v/>
      </c>
    </row>
    <row r="112">
      <c r="A112" s="24" t="n"/>
      <c r="B112" s="20" t="n"/>
      <c r="C112" s="20" t="n"/>
      <c r="D112" s="20" t="n"/>
      <c r="E112" s="23" t="n"/>
      <c r="F112" s="28">
        <f>IF(E112="","",TODAY()-E112)</f>
        <v/>
      </c>
      <c r="G112" s="28">
        <f>IF(A112="","",IF(E112="","❓ Unknown",IF(D112="Quarterly",IF(F112&lt;=90,"✅ Compliant",IF(F112&lt;=105,"⚠ Overdue","❌ Non-Compliant")),IF(D112="Semi-Annual",IF(F112&lt;=180,"✅ Compliant",IF(F112&lt;=200,"⚠ Overdue","❌ Non-Compliant")),IF(D112="Annual",IF(F112&lt;=365,"✅ Compliant",IF(F112&lt;=400,"⚠ Overdue","❌ Non-Compliant")),"✅ Compliant")))))</f>
        <v/>
      </c>
      <c r="H112" s="29">
        <f>IF(E112="","",IF(D112="Quarterly",E112+90,IF(D112="Semi-Annual",E112+180,IF(D112="Annual",E112+365,E112))))</f>
        <v/>
      </c>
    </row>
    <row r="113">
      <c r="A113" s="24" t="n"/>
      <c r="B113" s="20" t="n"/>
      <c r="C113" s="20" t="n"/>
      <c r="D113" s="20" t="n"/>
      <c r="E113" s="23" t="n"/>
      <c r="F113" s="28">
        <f>IF(E113="","",TODAY()-E113)</f>
        <v/>
      </c>
      <c r="G113" s="28">
        <f>IF(A113="","",IF(E113="","❓ Unknown",IF(D113="Quarterly",IF(F113&lt;=90,"✅ Compliant",IF(F113&lt;=105,"⚠ Overdue","❌ Non-Compliant")),IF(D113="Semi-Annual",IF(F113&lt;=180,"✅ Compliant",IF(F113&lt;=200,"⚠ Overdue","❌ Non-Compliant")),IF(D113="Annual",IF(F113&lt;=365,"✅ Compliant",IF(F113&lt;=400,"⚠ Overdue","❌ Non-Compliant")),"✅ Compliant")))))</f>
        <v/>
      </c>
      <c r="H113" s="29">
        <f>IF(E113="","",IF(D113="Quarterly",E113+90,IF(D113="Semi-Annual",E113+180,IF(D113="Annual",E113+365,E113))))</f>
        <v/>
      </c>
    </row>
    <row r="114">
      <c r="A114" s="24" t="n"/>
      <c r="B114" s="20" t="n"/>
      <c r="C114" s="20" t="n"/>
      <c r="D114" s="20" t="n"/>
      <c r="E114" s="23" t="n"/>
      <c r="F114" s="28">
        <f>IF(E114="","",TODAY()-E114)</f>
        <v/>
      </c>
      <c r="G114" s="28">
        <f>IF(A114="","",IF(E114="","❓ Unknown",IF(D114="Quarterly",IF(F114&lt;=90,"✅ Compliant",IF(F114&lt;=105,"⚠ Overdue","❌ Non-Compliant")),IF(D114="Semi-Annual",IF(F114&lt;=180,"✅ Compliant",IF(F114&lt;=200,"⚠ Overdue","❌ Non-Compliant")),IF(D114="Annual",IF(F114&lt;=365,"✅ Compliant",IF(F114&lt;=400,"⚠ Overdue","❌ Non-Compliant")),"✅ Compliant")))))</f>
        <v/>
      </c>
      <c r="H114" s="29">
        <f>IF(E114="","",IF(D114="Quarterly",E114+90,IF(D114="Semi-Annual",E114+180,IF(D114="Annual",E114+365,E114))))</f>
        <v/>
      </c>
    </row>
    <row r="117">
      <c r="A117" s="3" t="inlineStr">
        <is>
          <t>TESTING COMPLIANCE SUMMARY</t>
        </is>
      </c>
    </row>
    <row r="118">
      <c r="A118" s="6" t="inlineStr">
        <is>
          <t>Total Systems Tracked:</t>
        </is>
      </c>
      <c r="B118" s="6">
        <f>COUNTA(A5:A114)</f>
        <v/>
      </c>
    </row>
    <row r="119">
      <c r="A119" s="6" t="inlineStr">
        <is>
          <t>✅ Compliant:</t>
        </is>
      </c>
      <c r="B119" s="6">
        <f>COUNTIF(G5:G114,"✅*")</f>
        <v/>
      </c>
    </row>
    <row r="120">
      <c r="A120" s="6" t="inlineStr">
        <is>
          <t>⚠ Overdue:</t>
        </is>
      </c>
      <c r="B120" s="6">
        <f>COUNTIF(G5:G114,"⚠*")</f>
        <v/>
      </c>
    </row>
    <row r="121">
      <c r="A121" s="6" t="inlineStr">
        <is>
          <t>❌ Non-Compliant:</t>
        </is>
      </c>
      <c r="B121" s="6">
        <f>COUNTIF(G5:G114,"❌*")</f>
        <v/>
      </c>
    </row>
    <row r="122">
      <c r="A122" s="6" t="inlineStr">
        <is>
          <t>❓ Unknown (Never Tested):</t>
        </is>
      </c>
      <c r="B122" s="6">
        <f>COUNTIF(G5:G114,"❓*")</f>
        <v/>
      </c>
    </row>
    <row r="124">
      <c r="A124" s="6" t="inlineStr">
        <is>
          <t>Overall Compliance Rate:</t>
        </is>
      </c>
      <c r="B124" s="25">
        <f>IF(B118&gt;0,B119/B118,0)</f>
        <v/>
      </c>
    </row>
    <row r="125">
      <c r="A125" s="6" t="inlineStr">
        <is>
          <t>Tests Overdue/Non-Compliant:</t>
        </is>
      </c>
      <c r="B125" s="6">
        <f>B120+B121</f>
        <v/>
      </c>
    </row>
  </sheetData>
  <mergeCells count="3">
    <mergeCell ref="A117:H117"/>
    <mergeCell ref="A2:H2"/>
    <mergeCell ref="A1:H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"Backup Restore,Failover Test,Full DR Scenario,Tabletop Exercise,Component Test,Integration Test"</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"Quarterly,Semi-Annual,Annual,Ad-Hoc,Not Required"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2" customWidth="1" min="4" max="4"/>
    <col width="35" customWidth="1" min="5" max="5"/>
    <col width="15" customWidth="1" min="6" max="6"/>
    <col width="20" customWidth="1" min="7" max="7"/>
    <col width="20" customWidth="1" min="8" max="8"/>
  </cols>
  <sheetData>
    <row r="1" ht="30" customHeight="1">
      <c r="A1" s="16" t="inlineStr">
        <is>
          <t>EVIDENCE REGISTER</t>
        </is>
      </c>
    </row>
    <row r="2">
      <c r="A2" s="3" t="inlineStr">
        <is>
          <t>Document all evidence supporting this assessment (MINIMUM 5 evidence items required for audit compliance)</t>
        </is>
      </c>
    </row>
    <row r="4">
      <c r="A4" s="17" t="inlineStr">
        <is>
          <t>Evidence ID</t>
        </is>
      </c>
      <c r="B4" s="17" t="inlineStr">
        <is>
          <t>Evidence Type</t>
        </is>
      </c>
      <c r="C4" s="17" t="inlineStr">
        <is>
          <t>Description</t>
        </is>
      </c>
      <c r="D4" s="17" t="inlineStr">
        <is>
          <t>Related Sheet/Row</t>
        </is>
      </c>
      <c r="E4" s="17" t="inlineStr">
        <is>
          <t>Location/Path</t>
        </is>
      </c>
      <c r="F4" s="17" t="inlineStr">
        <is>
          <t>Date Collected</t>
        </is>
      </c>
      <c r="G4" s="17" t="inlineStr">
        <is>
          <t>Collected By</t>
        </is>
      </c>
      <c r="H4" s="17" t="inlineStr">
        <is>
          <t>Verification Status</t>
        </is>
      </c>
    </row>
    <row r="5">
      <c r="A5" s="18" t="inlineStr">
        <is>
          <t>EVD-001</t>
        </is>
      </c>
      <c r="B5" s="20" t="n"/>
      <c r="C5" s="19" t="inlineStr">
        <is>
          <t>Test Report</t>
        </is>
      </c>
      <c r="D5" s="19" t="inlineStr">
        <is>
          <t>E-Commerce backup restore test report - Q1 2024</t>
        </is>
      </c>
      <c r="E5" s="19" t="inlineStr">
        <is>
          <t>Test_Results_Log!A5 (RES-001)</t>
        </is>
      </c>
      <c r="F5" s="27" t="inlineStr">
        <is>
          <t>/evidence/testing/ecommerce_restore_Q1_2024.pdf</t>
        </is>
      </c>
      <c r="G5" s="19" t="inlineStr">
        <is>
          <t>03.02.2026</t>
        </is>
      </c>
      <c r="H5" s="20" t="inlineStr">
        <is>
          <t>Infrastructure Team</t>
        </is>
      </c>
      <c r="I5" s="20" t="inlineStr">
        <is>
          <t>✅ Verified</t>
        </is>
      </c>
    </row>
    <row r="6">
      <c r="A6" s="18" t="inlineStr">
        <is>
          <t>EVD-002</t>
        </is>
      </c>
      <c r="B6" s="20" t="n"/>
      <c r="C6" s="19" t="inlineStr">
        <is>
          <t>Test Report</t>
        </is>
      </c>
      <c r="D6" s="19" t="inlineStr">
        <is>
          <t>Payment Gateway failover test report with timing data</t>
        </is>
      </c>
      <c r="E6" s="19" t="inlineStr">
        <is>
          <t>Test_Results_Log!A7 (RES-003)</t>
        </is>
      </c>
      <c r="F6" s="27" t="inlineStr">
        <is>
          <t>/evidence/testing/payment_failover_2024-01-03.pdf</t>
        </is>
      </c>
      <c r="G6" s="19" t="inlineStr">
        <is>
          <t>19.01.2026</t>
        </is>
      </c>
      <c r="H6" s="20" t="inlineStr">
        <is>
          <t>Payments Team</t>
        </is>
      </c>
      <c r="I6" s="20" t="inlineStr">
        <is>
          <t>✅ Verified</t>
        </is>
      </c>
    </row>
    <row r="7">
      <c r="A7" s="18" t="inlineStr">
        <is>
          <t>EVD-003</t>
        </is>
      </c>
      <c r="B7" s="20" t="n"/>
      <c r="C7" s="19" t="inlineStr">
        <is>
          <t>Screenshot</t>
        </is>
      </c>
      <c r="D7" s="19" t="inlineStr">
        <is>
          <t>Full DR scenario test dashboard - all system status</t>
        </is>
      </c>
      <c r="E7" s="19" t="inlineStr">
        <is>
          <t>Test_Results_Log!A12 (RES-008)</t>
        </is>
      </c>
      <c r="F7" s="27" t="inlineStr">
        <is>
          <t>/evidence/testing/dr_scenario_dashboard_2023-10-15.png</t>
        </is>
      </c>
      <c r="G7" s="19" t="inlineStr">
        <is>
          <t>10.11.2025</t>
        </is>
      </c>
      <c r="H7" s="20" t="inlineStr">
        <is>
          <t>BC/DR Coordinator</t>
        </is>
      </c>
      <c r="I7" s="20" t="inlineStr">
        <is>
          <t>✅ Verified</t>
        </is>
      </c>
    </row>
    <row r="8">
      <c r="A8" s="18" t="inlineStr">
        <is>
          <t>EVD-004</t>
        </is>
      </c>
      <c r="B8" s="20" t="n"/>
      <c r="C8" s="19" t="inlineStr">
        <is>
          <t>Video Recording</t>
        </is>
      </c>
      <c r="D8" s="19" t="inlineStr">
        <is>
          <t>Tabletop exercise recording - team walkthrough</t>
        </is>
      </c>
      <c r="E8" s="19" t="inlineStr">
        <is>
          <t>Test_Results_Log!A11 (RES-007)</t>
        </is>
      </c>
      <c r="F8" s="27" t="inlineStr">
        <is>
          <t>/evidence/testing/tabletop_exercise_2024-01-01.mp4</t>
        </is>
      </c>
      <c r="G8" s="19" t="inlineStr">
        <is>
          <t>29.01.2026</t>
        </is>
      </c>
      <c r="H8" s="20" t="inlineStr">
        <is>
          <t>BC/DR Coordinator</t>
        </is>
      </c>
      <c r="I8" s="20" t="inlineStr">
        <is>
          <t>✅ Verified</t>
        </is>
      </c>
    </row>
    <row r="9">
      <c r="A9" s="18" t="inlineStr">
        <is>
          <t>EVD-005</t>
        </is>
      </c>
      <c r="B9" s="20" t="n"/>
      <c r="C9" s="19" t="inlineStr">
        <is>
          <t>Log File</t>
        </is>
      </c>
      <c r="D9" s="19" t="inlineStr">
        <is>
          <t>Email backup job failure logs - ISS-001 root cause</t>
        </is>
      </c>
      <c r="E9" s="19" t="inlineStr">
        <is>
          <t>Issue_Remediation!A5 (ISS-001)</t>
        </is>
      </c>
      <c r="F9" s="27" t="inlineStr">
        <is>
          <t>/evidence/logs/email_backup_failure_2023-12-10.log</t>
        </is>
      </c>
      <c r="G9" s="19" t="inlineStr">
        <is>
          <t>04.01.2026</t>
        </is>
      </c>
      <c r="H9" s="20" t="inlineStr">
        <is>
          <t>IT Operations</t>
        </is>
      </c>
      <c r="I9" s="20" t="inlineStr">
        <is>
          <t>✅ Verified</t>
        </is>
      </c>
    </row>
    <row r="10">
      <c r="A10" s="18" t="inlineStr">
        <is>
          <t>EVD-006</t>
        </is>
      </c>
      <c r="B10" s="20" t="n"/>
      <c r="C10" s="19" t="inlineStr">
        <is>
          <t>Issue Ticket</t>
        </is>
      </c>
      <c r="D10" s="19" t="inlineStr">
        <is>
          <t>Jira ticket ISS-006 - Payment Gateway DR scenario issue</t>
        </is>
      </c>
      <c r="E10" s="19" t="inlineStr">
        <is>
          <t>Issue_Remediation!A10 (ISS-006)</t>
        </is>
      </c>
      <c r="F10" s="27" t="inlineStr">
        <is>
          <t>/evidence/tickets/JIRA-BCDR-156.pdf</t>
        </is>
      </c>
      <c r="G10" s="19" t="inlineStr">
        <is>
          <t>15.11.2025</t>
        </is>
      </c>
      <c r="H10" s="20" t="inlineStr">
        <is>
          <t>BC/DR Coordinator</t>
        </is>
      </c>
      <c r="I10" s="20" t="inlineStr">
        <is>
          <t>✅ Verified</t>
        </is>
      </c>
    </row>
    <row r="11">
      <c r="A11" s="18" t="inlineStr">
        <is>
          <t>EVD-007</t>
        </is>
      </c>
      <c r="B11" s="20" t="n"/>
      <c r="C11" s="19" t="inlineStr">
        <is>
          <t>Runbook</t>
        </is>
      </c>
      <c r="D11" s="19" t="inlineStr">
        <is>
          <t>Updated E-Commerce restore runbook - post-test improvements</t>
        </is>
      </c>
      <c r="E11" s="19" t="inlineStr">
        <is>
          <t>Test_Results_Log!A5</t>
        </is>
      </c>
      <c r="F11" s="27" t="inlineStr">
        <is>
          <t>/evidence/runbooks/ecommerce_restore_runbook_v2.2.pdf</t>
        </is>
      </c>
      <c r="G11" s="19" t="inlineStr">
        <is>
          <t>05.02.2026</t>
        </is>
      </c>
      <c r="H11" s="20" t="inlineStr">
        <is>
          <t>Infrastructure Team</t>
        </is>
      </c>
      <c r="I11" s="20" t="inlineStr">
        <is>
          <t>⏳ Pending</t>
        </is>
      </c>
    </row>
    <row r="12">
      <c r="A12" s="18" t="inlineStr">
        <is>
          <t>EVD-008</t>
        </is>
      </c>
      <c r="B12" s="20" t="n"/>
      <c r="C12" s="19" t="inlineStr">
        <is>
          <t>Sign-Of</t>
        </is>
      </c>
      <c r="D12" s="19" t="inlineStr">
        <is>
          <t>Annual DR test sign-off from CISO</t>
        </is>
      </c>
      <c r="E12" s="19" t="inlineStr">
        <is>
          <t>Test_Results_Log!A12</t>
        </is>
      </c>
      <c r="F12" s="27" t="inlineStr">
        <is>
          <t>/evidence/approvals/annual_dr_test_signoff_2023.pdf</t>
        </is>
      </c>
      <c r="G12" s="19" t="inlineStr">
        <is>
          <t>10.11.2025</t>
        </is>
      </c>
      <c r="H12" s="20" t="inlineStr">
        <is>
          <t>CISO Office</t>
        </is>
      </c>
      <c r="I12" s="20" t="inlineStr">
        <is>
          <t>✅ Verified</t>
        </is>
      </c>
    </row>
    <row r="13">
      <c r="A13" s="18" t="inlineStr">
        <is>
          <t>EVD-009</t>
        </is>
      </c>
      <c r="B13" s="20" t="n"/>
      <c r="C13" s="22" t="n"/>
      <c r="D13" s="22" t="n"/>
      <c r="E13" s="22" t="n"/>
      <c r="F13" s="23" t="n"/>
      <c r="G13" s="22" t="n"/>
      <c r="H13" s="20" t="n"/>
    </row>
    <row r="14">
      <c r="A14" s="18" t="inlineStr">
        <is>
          <t>EVD-010</t>
        </is>
      </c>
      <c r="B14" s="20" t="n"/>
      <c r="C14" s="22" t="n"/>
      <c r="D14" s="22" t="n"/>
      <c r="E14" s="22" t="n"/>
      <c r="F14" s="23" t="n"/>
      <c r="G14" s="22" t="n"/>
      <c r="H14" s="20" t="n"/>
    </row>
    <row r="15">
      <c r="A15" s="18" t="inlineStr">
        <is>
          <t>EVD-011</t>
        </is>
      </c>
      <c r="B15" s="20" t="n"/>
      <c r="C15" s="22" t="n"/>
      <c r="D15" s="22" t="n"/>
      <c r="E15" s="22" t="n"/>
      <c r="F15" s="23" t="n"/>
      <c r="G15" s="22" t="n"/>
      <c r="H15" s="20" t="n"/>
    </row>
    <row r="16">
      <c r="A16" s="18" t="inlineStr">
        <is>
          <t>EVD-012</t>
        </is>
      </c>
      <c r="B16" s="20" t="n"/>
      <c r="C16" s="22" t="n"/>
      <c r="D16" s="22" t="n"/>
      <c r="E16" s="22" t="n"/>
      <c r="F16" s="23" t="n"/>
      <c r="G16" s="22" t="n"/>
      <c r="H16" s="20" t="n"/>
    </row>
    <row r="17">
      <c r="A17" s="18" t="inlineStr">
        <is>
          <t>EVD-013</t>
        </is>
      </c>
      <c r="B17" s="20" t="n"/>
      <c r="C17" s="22" t="n"/>
      <c r="D17" s="22" t="n"/>
      <c r="E17" s="22" t="n"/>
      <c r="F17" s="23" t="n"/>
      <c r="G17" s="22" t="n"/>
      <c r="H17" s="20" t="n"/>
    </row>
    <row r="18">
      <c r="A18" s="18" t="inlineStr">
        <is>
          <t>EVD-014</t>
        </is>
      </c>
      <c r="B18" s="20" t="n"/>
      <c r="C18" s="22" t="n"/>
      <c r="D18" s="22" t="n"/>
      <c r="E18" s="22" t="n"/>
      <c r="F18" s="23" t="n"/>
      <c r="G18" s="22" t="n"/>
      <c r="H18" s="20" t="n"/>
    </row>
    <row r="19">
      <c r="A19" s="18" t="inlineStr">
        <is>
          <t>EVD-015</t>
        </is>
      </c>
      <c r="B19" s="20" t="n"/>
      <c r="C19" s="22" t="n"/>
      <c r="D19" s="22" t="n"/>
      <c r="E19" s="22" t="n"/>
      <c r="F19" s="23" t="n"/>
      <c r="G19" s="22" t="n"/>
      <c r="H19" s="20" t="n"/>
    </row>
    <row r="20">
      <c r="A20" s="18" t="inlineStr">
        <is>
          <t>EVD-016</t>
        </is>
      </c>
      <c r="B20" s="20" t="n"/>
      <c r="C20" s="22" t="n"/>
      <c r="D20" s="22" t="n"/>
      <c r="E20" s="22" t="n"/>
      <c r="F20" s="23" t="n"/>
      <c r="G20" s="22" t="n"/>
      <c r="H20" s="20" t="n"/>
    </row>
    <row r="21">
      <c r="A21" s="18" t="inlineStr">
        <is>
          <t>EVD-017</t>
        </is>
      </c>
      <c r="B21" s="20" t="n"/>
      <c r="C21" s="22" t="n"/>
      <c r="D21" s="22" t="n"/>
      <c r="E21" s="22" t="n"/>
      <c r="F21" s="23" t="n"/>
      <c r="G21" s="22" t="n"/>
      <c r="H21" s="20" t="n"/>
    </row>
    <row r="22">
      <c r="A22" s="18" t="inlineStr">
        <is>
          <t>EVD-018</t>
        </is>
      </c>
      <c r="B22" s="20" t="n"/>
      <c r="C22" s="22" t="n"/>
      <c r="D22" s="22" t="n"/>
      <c r="E22" s="22" t="n"/>
      <c r="F22" s="23" t="n"/>
      <c r="G22" s="22" t="n"/>
      <c r="H22" s="20" t="n"/>
    </row>
    <row r="23">
      <c r="A23" s="18" t="inlineStr">
        <is>
          <t>EVD-019</t>
        </is>
      </c>
      <c r="B23" s="20" t="n"/>
      <c r="C23" s="22" t="n"/>
      <c r="D23" s="22" t="n"/>
      <c r="E23" s="22" t="n"/>
      <c r="F23" s="23" t="n"/>
      <c r="G23" s="22" t="n"/>
      <c r="H23" s="20" t="n"/>
    </row>
    <row r="24">
      <c r="A24" s="18" t="inlineStr">
        <is>
          <t>EVD-020</t>
        </is>
      </c>
      <c r="B24" s="20" t="n"/>
      <c r="C24" s="22" t="n"/>
      <c r="D24" s="22" t="n"/>
      <c r="E24" s="22" t="n"/>
      <c r="F24" s="23" t="n"/>
      <c r="G24" s="22" t="n"/>
      <c r="H24" s="20" t="n"/>
    </row>
    <row r="25">
      <c r="A25" s="18" t="inlineStr">
        <is>
          <t>EVD-021</t>
        </is>
      </c>
      <c r="B25" s="20" t="n"/>
      <c r="C25" s="22" t="n"/>
      <c r="D25" s="22" t="n"/>
      <c r="E25" s="22" t="n"/>
      <c r="F25" s="23" t="n"/>
      <c r="G25" s="22" t="n"/>
      <c r="H25" s="20" t="n"/>
    </row>
    <row r="26">
      <c r="A26" s="18" t="inlineStr">
        <is>
          <t>EVD-022</t>
        </is>
      </c>
      <c r="B26" s="20" t="n"/>
      <c r="C26" s="22" t="n"/>
      <c r="D26" s="22" t="n"/>
      <c r="E26" s="22" t="n"/>
      <c r="F26" s="23" t="n"/>
      <c r="G26" s="22" t="n"/>
      <c r="H26" s="20" t="n"/>
    </row>
    <row r="27">
      <c r="A27" s="18" t="inlineStr">
        <is>
          <t>EVD-023</t>
        </is>
      </c>
      <c r="B27" s="20" t="n"/>
      <c r="C27" s="22" t="n"/>
      <c r="D27" s="22" t="n"/>
      <c r="E27" s="22" t="n"/>
      <c r="F27" s="23" t="n"/>
      <c r="G27" s="22" t="n"/>
      <c r="H27" s="20" t="n"/>
    </row>
    <row r="28">
      <c r="A28" s="18" t="inlineStr">
        <is>
          <t>EVD-024</t>
        </is>
      </c>
      <c r="B28" s="20" t="n"/>
      <c r="C28" s="22" t="n"/>
      <c r="D28" s="22" t="n"/>
      <c r="E28" s="22" t="n"/>
      <c r="F28" s="23" t="n"/>
      <c r="G28" s="22" t="n"/>
      <c r="H28" s="20" t="n"/>
    </row>
    <row r="29">
      <c r="A29" s="18" t="inlineStr">
        <is>
          <t>EVD-025</t>
        </is>
      </c>
      <c r="B29" s="20" t="n"/>
      <c r="C29" s="22" t="n"/>
      <c r="D29" s="22" t="n"/>
      <c r="E29" s="22" t="n"/>
      <c r="F29" s="23" t="n"/>
      <c r="G29" s="22" t="n"/>
      <c r="H29" s="20" t="n"/>
    </row>
    <row r="30">
      <c r="A30" s="18" t="inlineStr">
        <is>
          <t>EVD-026</t>
        </is>
      </c>
      <c r="B30" s="20" t="n"/>
      <c r="C30" s="22" t="n"/>
      <c r="D30" s="22" t="n"/>
      <c r="E30" s="22" t="n"/>
      <c r="F30" s="23" t="n"/>
      <c r="G30" s="22" t="n"/>
      <c r="H30" s="20" t="n"/>
    </row>
    <row r="31">
      <c r="A31" s="18" t="inlineStr">
        <is>
          <t>EVD-027</t>
        </is>
      </c>
      <c r="B31" s="20" t="n"/>
      <c r="C31" s="22" t="n"/>
      <c r="D31" s="22" t="n"/>
      <c r="E31" s="22" t="n"/>
      <c r="F31" s="23" t="n"/>
      <c r="G31" s="22" t="n"/>
      <c r="H31" s="20" t="n"/>
    </row>
    <row r="32">
      <c r="A32" s="18" t="inlineStr">
        <is>
          <t>EVD-028</t>
        </is>
      </c>
      <c r="B32" s="20" t="n"/>
      <c r="C32" s="22" t="n"/>
      <c r="D32" s="22" t="n"/>
      <c r="E32" s="22" t="n"/>
      <c r="F32" s="23" t="n"/>
      <c r="G32" s="22" t="n"/>
      <c r="H32" s="20" t="n"/>
    </row>
    <row r="33">
      <c r="A33" s="18" t="inlineStr">
        <is>
          <t>EVD-029</t>
        </is>
      </c>
      <c r="B33" s="20" t="n"/>
      <c r="C33" s="22" t="n"/>
      <c r="D33" s="22" t="n"/>
      <c r="E33" s="22" t="n"/>
      <c r="F33" s="23" t="n"/>
      <c r="G33" s="22" t="n"/>
      <c r="H33" s="20" t="n"/>
    </row>
    <row r="34">
      <c r="A34" s="18" t="inlineStr">
        <is>
          <t>EVD-030</t>
        </is>
      </c>
      <c r="B34" s="20" t="n"/>
      <c r="C34" s="22" t="n"/>
      <c r="D34" s="22" t="n"/>
      <c r="E34" s="22" t="n"/>
      <c r="F34" s="23" t="n"/>
      <c r="G34" s="22" t="n"/>
      <c r="H34" s="20" t="n"/>
    </row>
    <row r="35">
      <c r="A35" s="18" t="inlineStr">
        <is>
          <t>EVD-031</t>
        </is>
      </c>
      <c r="B35" s="20" t="n"/>
      <c r="C35" s="22" t="n"/>
      <c r="D35" s="22" t="n"/>
      <c r="E35" s="22" t="n"/>
      <c r="F35" s="23" t="n"/>
      <c r="G35" s="22" t="n"/>
      <c r="H35" s="20" t="n"/>
    </row>
    <row r="36">
      <c r="A36" s="18" t="inlineStr">
        <is>
          <t>EVD-032</t>
        </is>
      </c>
      <c r="B36" s="20" t="n"/>
      <c r="C36" s="22" t="n"/>
      <c r="D36" s="22" t="n"/>
      <c r="E36" s="22" t="n"/>
      <c r="F36" s="23" t="n"/>
      <c r="G36" s="22" t="n"/>
      <c r="H36" s="20" t="n"/>
    </row>
    <row r="37">
      <c r="A37" s="18" t="inlineStr">
        <is>
          <t>EVD-033</t>
        </is>
      </c>
      <c r="B37" s="20" t="n"/>
      <c r="C37" s="22" t="n"/>
      <c r="D37" s="22" t="n"/>
      <c r="E37" s="22" t="n"/>
      <c r="F37" s="23" t="n"/>
      <c r="G37" s="22" t="n"/>
      <c r="H37" s="20" t="n"/>
    </row>
    <row r="38">
      <c r="A38" s="18" t="inlineStr">
        <is>
          <t>EVD-034</t>
        </is>
      </c>
      <c r="B38" s="20" t="n"/>
      <c r="C38" s="22" t="n"/>
      <c r="D38" s="22" t="n"/>
      <c r="E38" s="22" t="n"/>
      <c r="F38" s="23" t="n"/>
      <c r="G38" s="22" t="n"/>
      <c r="H38" s="20" t="n"/>
    </row>
    <row r="39">
      <c r="A39" s="18" t="inlineStr">
        <is>
          <t>EVD-035</t>
        </is>
      </c>
      <c r="B39" s="20" t="n"/>
      <c r="C39" s="22" t="n"/>
      <c r="D39" s="22" t="n"/>
      <c r="E39" s="22" t="n"/>
      <c r="F39" s="23" t="n"/>
      <c r="G39" s="22" t="n"/>
      <c r="H39" s="20" t="n"/>
    </row>
    <row r="40">
      <c r="A40" s="18" t="inlineStr">
        <is>
          <t>EVD-036</t>
        </is>
      </c>
      <c r="B40" s="20" t="n"/>
      <c r="C40" s="22" t="n"/>
      <c r="D40" s="22" t="n"/>
      <c r="E40" s="22" t="n"/>
      <c r="F40" s="23" t="n"/>
      <c r="G40" s="22" t="n"/>
      <c r="H40" s="20" t="n"/>
    </row>
    <row r="41">
      <c r="A41" s="18" t="inlineStr">
        <is>
          <t>EVD-037</t>
        </is>
      </c>
      <c r="B41" s="20" t="n"/>
      <c r="C41" s="22" t="n"/>
      <c r="D41" s="22" t="n"/>
      <c r="E41" s="22" t="n"/>
      <c r="F41" s="23" t="n"/>
      <c r="G41" s="22" t="n"/>
      <c r="H41" s="20" t="n"/>
    </row>
    <row r="42">
      <c r="A42" s="18" t="inlineStr">
        <is>
          <t>EVD-038</t>
        </is>
      </c>
      <c r="B42" s="20" t="n"/>
      <c r="C42" s="22" t="n"/>
      <c r="D42" s="22" t="n"/>
      <c r="E42" s="22" t="n"/>
      <c r="F42" s="23" t="n"/>
      <c r="G42" s="22" t="n"/>
      <c r="H42" s="20" t="n"/>
    </row>
    <row r="43">
      <c r="A43" s="18" t="inlineStr">
        <is>
          <t>EVD-039</t>
        </is>
      </c>
      <c r="B43" s="20" t="n"/>
      <c r="C43" s="22" t="n"/>
      <c r="D43" s="22" t="n"/>
      <c r="E43" s="22" t="n"/>
      <c r="F43" s="23" t="n"/>
      <c r="G43" s="22" t="n"/>
      <c r="H43" s="20" t="n"/>
    </row>
    <row r="44">
      <c r="A44" s="18" t="inlineStr">
        <is>
          <t>EVD-040</t>
        </is>
      </c>
      <c r="B44" s="20" t="n"/>
      <c r="C44" s="22" t="n"/>
      <c r="D44" s="22" t="n"/>
      <c r="E44" s="22" t="n"/>
      <c r="F44" s="23" t="n"/>
      <c r="G44" s="22" t="n"/>
      <c r="H44" s="20" t="n"/>
    </row>
    <row r="45">
      <c r="A45" s="18" t="inlineStr">
        <is>
          <t>EVD-041</t>
        </is>
      </c>
      <c r="B45" s="20" t="n"/>
      <c r="C45" s="22" t="n"/>
      <c r="D45" s="22" t="n"/>
      <c r="E45" s="22" t="n"/>
      <c r="F45" s="23" t="n"/>
      <c r="G45" s="22" t="n"/>
      <c r="H45" s="20" t="n"/>
    </row>
    <row r="46">
      <c r="A46" s="18" t="inlineStr">
        <is>
          <t>EVD-042</t>
        </is>
      </c>
      <c r="B46" s="20" t="n"/>
      <c r="C46" s="22" t="n"/>
      <c r="D46" s="22" t="n"/>
      <c r="E46" s="22" t="n"/>
      <c r="F46" s="23" t="n"/>
      <c r="G46" s="22" t="n"/>
      <c r="H46" s="20" t="n"/>
    </row>
    <row r="47">
      <c r="A47" s="18" t="inlineStr">
        <is>
          <t>EVD-043</t>
        </is>
      </c>
      <c r="B47" s="20" t="n"/>
      <c r="C47" s="22" t="n"/>
      <c r="D47" s="22" t="n"/>
      <c r="E47" s="22" t="n"/>
      <c r="F47" s="23" t="n"/>
      <c r="G47" s="22" t="n"/>
      <c r="H47" s="20" t="n"/>
    </row>
    <row r="48">
      <c r="A48" s="18" t="inlineStr">
        <is>
          <t>EVD-044</t>
        </is>
      </c>
      <c r="B48" s="20" t="n"/>
      <c r="C48" s="22" t="n"/>
      <c r="D48" s="22" t="n"/>
      <c r="E48" s="22" t="n"/>
      <c r="F48" s="23" t="n"/>
      <c r="G48" s="22" t="n"/>
      <c r="H48" s="20" t="n"/>
    </row>
    <row r="49">
      <c r="A49" s="18" t="inlineStr">
        <is>
          <t>EVD-045</t>
        </is>
      </c>
      <c r="B49" s="20" t="n"/>
      <c r="C49" s="22" t="n"/>
      <c r="D49" s="22" t="n"/>
      <c r="E49" s="22" t="n"/>
      <c r="F49" s="23" t="n"/>
      <c r="G49" s="22" t="n"/>
      <c r="H49" s="20" t="n"/>
    </row>
    <row r="50">
      <c r="A50" s="18" t="inlineStr">
        <is>
          <t>EVD-046</t>
        </is>
      </c>
      <c r="B50" s="20" t="n"/>
      <c r="C50" s="22" t="n"/>
      <c r="D50" s="22" t="n"/>
      <c r="E50" s="22" t="n"/>
      <c r="F50" s="23" t="n"/>
      <c r="G50" s="22" t="n"/>
      <c r="H50" s="20" t="n"/>
    </row>
    <row r="51">
      <c r="A51" s="18" t="inlineStr">
        <is>
          <t>EVD-047</t>
        </is>
      </c>
      <c r="B51" s="20" t="n"/>
      <c r="C51" s="22" t="n"/>
      <c r="D51" s="22" t="n"/>
      <c r="E51" s="22" t="n"/>
      <c r="F51" s="23" t="n"/>
      <c r="G51" s="22" t="n"/>
      <c r="H51" s="20" t="n"/>
    </row>
    <row r="52">
      <c r="A52" s="18" t="inlineStr">
        <is>
          <t>EVD-048</t>
        </is>
      </c>
      <c r="B52" s="20" t="n"/>
      <c r="C52" s="22" t="n"/>
      <c r="D52" s="22" t="n"/>
      <c r="E52" s="22" t="n"/>
      <c r="F52" s="23" t="n"/>
      <c r="G52" s="22" t="n"/>
      <c r="H52" s="20" t="n"/>
    </row>
    <row r="53">
      <c r="A53" s="18" t="inlineStr">
        <is>
          <t>EVD-049</t>
        </is>
      </c>
      <c r="B53" s="20" t="n"/>
      <c r="C53" s="22" t="n"/>
      <c r="D53" s="22" t="n"/>
      <c r="E53" s="22" t="n"/>
      <c r="F53" s="23" t="n"/>
      <c r="G53" s="22" t="n"/>
      <c r="H53" s="20" t="n"/>
    </row>
    <row r="54">
      <c r="A54" s="18" t="inlineStr">
        <is>
          <t>EVD-050</t>
        </is>
      </c>
      <c r="B54" s="20" t="n"/>
      <c r="C54" s="22" t="n"/>
      <c r="D54" s="22" t="n"/>
      <c r="E54" s="22" t="n"/>
      <c r="F54" s="23" t="n"/>
      <c r="G54" s="22" t="n"/>
      <c r="H54" s="20" t="n"/>
    </row>
    <row r="55">
      <c r="A55" s="18" t="inlineStr">
        <is>
          <t>EVD-051</t>
        </is>
      </c>
      <c r="B55" s="20" t="n"/>
      <c r="C55" s="22" t="n"/>
      <c r="D55" s="22" t="n"/>
      <c r="E55" s="22" t="n"/>
      <c r="F55" s="23" t="n"/>
      <c r="G55" s="22" t="n"/>
      <c r="H55" s="20" t="n"/>
    </row>
    <row r="56">
      <c r="A56" s="18" t="inlineStr">
        <is>
          <t>EVD-052</t>
        </is>
      </c>
      <c r="B56" s="20" t="n"/>
      <c r="C56" s="22" t="n"/>
      <c r="D56" s="22" t="n"/>
      <c r="E56" s="22" t="n"/>
      <c r="F56" s="23" t="n"/>
      <c r="G56" s="22" t="n"/>
      <c r="H56" s="20" t="n"/>
    </row>
    <row r="57">
      <c r="A57" s="18" t="inlineStr">
        <is>
          <t>EVD-053</t>
        </is>
      </c>
      <c r="B57" s="20" t="n"/>
      <c r="C57" s="22" t="n"/>
      <c r="D57" s="22" t="n"/>
      <c r="E57" s="22" t="n"/>
      <c r="F57" s="23" t="n"/>
      <c r="G57" s="22" t="n"/>
      <c r="H57" s="20" t="n"/>
    </row>
    <row r="58">
      <c r="A58" s="18" t="inlineStr">
        <is>
          <t>EVD-054</t>
        </is>
      </c>
      <c r="B58" s="20" t="n"/>
      <c r="C58" s="22" t="n"/>
      <c r="D58" s="22" t="n"/>
      <c r="E58" s="22" t="n"/>
      <c r="F58" s="23" t="n"/>
      <c r="G58" s="22" t="n"/>
      <c r="H58" s="20" t="n"/>
    </row>
    <row r="59">
      <c r="A59" s="18" t="inlineStr">
        <is>
          <t>EVD-055</t>
        </is>
      </c>
      <c r="B59" s="20" t="n"/>
      <c r="C59" s="22" t="n"/>
      <c r="D59" s="22" t="n"/>
      <c r="E59" s="22" t="n"/>
      <c r="F59" s="23" t="n"/>
      <c r="G59" s="22" t="n"/>
      <c r="H59" s="20" t="n"/>
    </row>
    <row r="60">
      <c r="A60" s="18" t="inlineStr">
        <is>
          <t>EVD-056</t>
        </is>
      </c>
      <c r="B60" s="20" t="n"/>
      <c r="C60" s="22" t="n"/>
      <c r="D60" s="22" t="n"/>
      <c r="E60" s="22" t="n"/>
      <c r="F60" s="23" t="n"/>
      <c r="G60" s="22" t="n"/>
      <c r="H60" s="20" t="n"/>
    </row>
    <row r="61">
      <c r="A61" s="18" t="inlineStr">
        <is>
          <t>EVD-057</t>
        </is>
      </c>
      <c r="B61" s="20" t="n"/>
      <c r="C61" s="22" t="n"/>
      <c r="D61" s="22" t="n"/>
      <c r="E61" s="22" t="n"/>
      <c r="F61" s="23" t="n"/>
      <c r="G61" s="22" t="n"/>
      <c r="H61" s="20" t="n"/>
    </row>
    <row r="62">
      <c r="A62" s="18" t="inlineStr">
        <is>
          <t>EVD-058</t>
        </is>
      </c>
      <c r="B62" s="20" t="n"/>
      <c r="C62" s="22" t="n"/>
      <c r="D62" s="22" t="n"/>
      <c r="E62" s="22" t="n"/>
      <c r="F62" s="23" t="n"/>
      <c r="G62" s="22" t="n"/>
      <c r="H62" s="20" t="n"/>
    </row>
    <row r="63">
      <c r="A63" s="18" t="inlineStr">
        <is>
          <t>EVD-059</t>
        </is>
      </c>
      <c r="B63" s="20" t="n"/>
      <c r="C63" s="22" t="n"/>
      <c r="D63" s="22" t="n"/>
      <c r="E63" s="22" t="n"/>
      <c r="F63" s="23" t="n"/>
      <c r="G63" s="22" t="n"/>
      <c r="H63" s="20" t="n"/>
    </row>
    <row r="64">
      <c r="A64" s="18" t="inlineStr">
        <is>
          <t>EVD-060</t>
        </is>
      </c>
      <c r="B64" s="20" t="n"/>
      <c r="C64" s="22" t="n"/>
      <c r="D64" s="22" t="n"/>
      <c r="E64" s="22" t="n"/>
      <c r="F64" s="23" t="n"/>
      <c r="G64" s="22" t="n"/>
      <c r="H64" s="20" t="n"/>
    </row>
    <row r="65">
      <c r="A65" s="18" t="inlineStr">
        <is>
          <t>EVD-061</t>
        </is>
      </c>
      <c r="B65" s="20" t="n"/>
      <c r="C65" s="22" t="n"/>
      <c r="D65" s="22" t="n"/>
      <c r="E65" s="22" t="n"/>
      <c r="F65" s="23" t="n"/>
      <c r="G65" s="22" t="n"/>
      <c r="H65" s="20" t="n"/>
    </row>
    <row r="66">
      <c r="A66" s="18" t="inlineStr">
        <is>
          <t>EVD-062</t>
        </is>
      </c>
      <c r="B66" s="20" t="n"/>
      <c r="C66" s="22" t="n"/>
      <c r="D66" s="22" t="n"/>
      <c r="E66" s="22" t="n"/>
      <c r="F66" s="23" t="n"/>
      <c r="G66" s="22" t="n"/>
      <c r="H66" s="20" t="n"/>
    </row>
    <row r="67">
      <c r="A67" s="18" t="inlineStr">
        <is>
          <t>EVD-063</t>
        </is>
      </c>
      <c r="B67" s="20" t="n"/>
      <c r="C67" s="22" t="n"/>
      <c r="D67" s="22" t="n"/>
      <c r="E67" s="22" t="n"/>
      <c r="F67" s="23" t="n"/>
      <c r="G67" s="22" t="n"/>
      <c r="H67" s="20" t="n"/>
    </row>
    <row r="68">
      <c r="A68" s="18" t="inlineStr">
        <is>
          <t>EVD-064</t>
        </is>
      </c>
      <c r="B68" s="20" t="n"/>
      <c r="C68" s="22" t="n"/>
      <c r="D68" s="22" t="n"/>
      <c r="E68" s="22" t="n"/>
      <c r="F68" s="23" t="n"/>
      <c r="G68" s="22" t="n"/>
      <c r="H68" s="20" t="n"/>
    </row>
    <row r="69">
      <c r="A69" s="18" t="inlineStr">
        <is>
          <t>EVD-065</t>
        </is>
      </c>
      <c r="B69" s="20" t="n"/>
      <c r="C69" s="22" t="n"/>
      <c r="D69" s="22" t="n"/>
      <c r="E69" s="22" t="n"/>
      <c r="F69" s="23" t="n"/>
      <c r="G69" s="22" t="n"/>
      <c r="H69" s="20" t="n"/>
    </row>
    <row r="70">
      <c r="A70" s="18" t="inlineStr">
        <is>
          <t>EVD-066</t>
        </is>
      </c>
      <c r="B70" s="20" t="n"/>
      <c r="C70" s="22" t="n"/>
      <c r="D70" s="22" t="n"/>
      <c r="E70" s="22" t="n"/>
      <c r="F70" s="23" t="n"/>
      <c r="G70" s="22" t="n"/>
      <c r="H70" s="20" t="n"/>
    </row>
    <row r="71">
      <c r="A71" s="18" t="inlineStr">
        <is>
          <t>EVD-067</t>
        </is>
      </c>
      <c r="B71" s="20" t="n"/>
      <c r="C71" s="22" t="n"/>
      <c r="D71" s="22" t="n"/>
      <c r="E71" s="22" t="n"/>
      <c r="F71" s="23" t="n"/>
      <c r="G71" s="22" t="n"/>
      <c r="H71" s="20" t="n"/>
    </row>
    <row r="72">
      <c r="A72" s="18" t="inlineStr">
        <is>
          <t>EVD-068</t>
        </is>
      </c>
      <c r="B72" s="20" t="n"/>
      <c r="C72" s="22" t="n"/>
      <c r="D72" s="22" t="n"/>
      <c r="E72" s="22" t="n"/>
      <c r="F72" s="23" t="n"/>
      <c r="G72" s="22" t="n"/>
      <c r="H72" s="20" t="n"/>
    </row>
    <row r="73">
      <c r="A73" s="18" t="inlineStr">
        <is>
          <t>EVD-069</t>
        </is>
      </c>
      <c r="B73" s="20" t="n"/>
      <c r="C73" s="22" t="n"/>
      <c r="D73" s="22" t="n"/>
      <c r="E73" s="22" t="n"/>
      <c r="F73" s="23" t="n"/>
      <c r="G73" s="22" t="n"/>
      <c r="H73" s="20" t="n"/>
    </row>
    <row r="74">
      <c r="A74" s="18" t="inlineStr">
        <is>
          <t>EVD-070</t>
        </is>
      </c>
      <c r="B74" s="20" t="n"/>
      <c r="C74" s="22" t="n"/>
      <c r="D74" s="22" t="n"/>
      <c r="E74" s="22" t="n"/>
      <c r="F74" s="23" t="n"/>
      <c r="G74" s="22" t="n"/>
      <c r="H74" s="20" t="n"/>
    </row>
    <row r="75">
      <c r="A75" s="18" t="inlineStr">
        <is>
          <t>EVD-071</t>
        </is>
      </c>
      <c r="B75" s="20" t="n"/>
      <c r="C75" s="22" t="n"/>
      <c r="D75" s="22" t="n"/>
      <c r="E75" s="22" t="n"/>
      <c r="F75" s="23" t="n"/>
      <c r="G75" s="22" t="n"/>
      <c r="H75" s="20" t="n"/>
    </row>
    <row r="76">
      <c r="A76" s="18" t="inlineStr">
        <is>
          <t>EVD-072</t>
        </is>
      </c>
      <c r="B76" s="20" t="n"/>
      <c r="C76" s="22" t="n"/>
      <c r="D76" s="22" t="n"/>
      <c r="E76" s="22" t="n"/>
      <c r="F76" s="23" t="n"/>
      <c r="G76" s="22" t="n"/>
      <c r="H76" s="20" t="n"/>
    </row>
    <row r="77">
      <c r="A77" s="18" t="inlineStr">
        <is>
          <t>EVD-073</t>
        </is>
      </c>
      <c r="B77" s="20" t="n"/>
      <c r="C77" s="22" t="n"/>
      <c r="D77" s="22" t="n"/>
      <c r="E77" s="22" t="n"/>
      <c r="F77" s="23" t="n"/>
      <c r="G77" s="22" t="n"/>
      <c r="H77" s="20" t="n"/>
    </row>
    <row r="78">
      <c r="A78" s="18" t="inlineStr">
        <is>
          <t>EVD-074</t>
        </is>
      </c>
      <c r="B78" s="20" t="n"/>
      <c r="C78" s="22" t="n"/>
      <c r="D78" s="22" t="n"/>
      <c r="E78" s="22" t="n"/>
      <c r="F78" s="23" t="n"/>
      <c r="G78" s="22" t="n"/>
      <c r="H78" s="20" t="n"/>
    </row>
    <row r="79">
      <c r="A79" s="18" t="inlineStr">
        <is>
          <t>EVD-075</t>
        </is>
      </c>
      <c r="B79" s="20" t="n"/>
      <c r="C79" s="22" t="n"/>
      <c r="D79" s="22" t="n"/>
      <c r="E79" s="22" t="n"/>
      <c r="F79" s="23" t="n"/>
      <c r="G79" s="22" t="n"/>
      <c r="H79" s="20" t="n"/>
    </row>
    <row r="80">
      <c r="A80" s="18" t="inlineStr">
        <is>
          <t>EVD-076</t>
        </is>
      </c>
      <c r="B80" s="20" t="n"/>
      <c r="C80" s="22" t="n"/>
      <c r="D80" s="22" t="n"/>
      <c r="E80" s="22" t="n"/>
      <c r="F80" s="23" t="n"/>
      <c r="G80" s="22" t="n"/>
      <c r="H80" s="20" t="n"/>
    </row>
    <row r="81">
      <c r="A81" s="18" t="inlineStr">
        <is>
          <t>EVD-077</t>
        </is>
      </c>
      <c r="B81" s="20" t="n"/>
      <c r="C81" s="22" t="n"/>
      <c r="D81" s="22" t="n"/>
      <c r="E81" s="22" t="n"/>
      <c r="F81" s="23" t="n"/>
      <c r="G81" s="22" t="n"/>
      <c r="H81" s="20" t="n"/>
    </row>
    <row r="82">
      <c r="A82" s="18" t="inlineStr">
        <is>
          <t>EVD-078</t>
        </is>
      </c>
      <c r="B82" s="20" t="n"/>
      <c r="C82" s="22" t="n"/>
      <c r="D82" s="22" t="n"/>
      <c r="E82" s="22" t="n"/>
      <c r="F82" s="23" t="n"/>
      <c r="G82" s="22" t="n"/>
      <c r="H82" s="20" t="n"/>
    </row>
    <row r="83">
      <c r="A83" s="18" t="inlineStr">
        <is>
          <t>EVD-079</t>
        </is>
      </c>
      <c r="B83" s="20" t="n"/>
      <c r="C83" s="22" t="n"/>
      <c r="D83" s="22" t="n"/>
      <c r="E83" s="22" t="n"/>
      <c r="F83" s="23" t="n"/>
      <c r="G83" s="22" t="n"/>
      <c r="H83" s="20" t="n"/>
    </row>
    <row r="84">
      <c r="A84" s="18" t="inlineStr">
        <is>
          <t>EVD-080</t>
        </is>
      </c>
      <c r="B84" s="20" t="n"/>
      <c r="C84" s="22" t="n"/>
      <c r="D84" s="22" t="n"/>
      <c r="E84" s="22" t="n"/>
      <c r="F84" s="23" t="n"/>
      <c r="G84" s="22" t="n"/>
      <c r="H84" s="20" t="n"/>
    </row>
    <row r="85">
      <c r="A85" s="18" t="inlineStr">
        <is>
          <t>EVD-081</t>
        </is>
      </c>
      <c r="B85" s="20" t="n"/>
      <c r="C85" s="22" t="n"/>
      <c r="D85" s="22" t="n"/>
      <c r="E85" s="22" t="n"/>
      <c r="F85" s="23" t="n"/>
      <c r="G85" s="22" t="n"/>
      <c r="H85" s="20" t="n"/>
    </row>
    <row r="86">
      <c r="A86" s="18" t="inlineStr">
        <is>
          <t>EVD-082</t>
        </is>
      </c>
      <c r="B86" s="20" t="n"/>
      <c r="C86" s="22" t="n"/>
      <c r="D86" s="22" t="n"/>
      <c r="E86" s="22" t="n"/>
      <c r="F86" s="23" t="n"/>
      <c r="G86" s="22" t="n"/>
      <c r="H86" s="20" t="n"/>
    </row>
    <row r="87">
      <c r="A87" s="18" t="inlineStr">
        <is>
          <t>EVD-083</t>
        </is>
      </c>
      <c r="B87" s="20" t="n"/>
      <c r="C87" s="22" t="n"/>
      <c r="D87" s="22" t="n"/>
      <c r="E87" s="22" t="n"/>
      <c r="F87" s="23" t="n"/>
      <c r="G87" s="22" t="n"/>
      <c r="H87" s="20" t="n"/>
    </row>
    <row r="88">
      <c r="A88" s="18" t="inlineStr">
        <is>
          <t>EVD-084</t>
        </is>
      </c>
      <c r="B88" s="20" t="n"/>
      <c r="C88" s="22" t="n"/>
      <c r="D88" s="22" t="n"/>
      <c r="E88" s="22" t="n"/>
      <c r="F88" s="23" t="n"/>
      <c r="G88" s="22" t="n"/>
      <c r="H88" s="20" t="n"/>
    </row>
    <row r="89">
      <c r="A89" s="18" t="inlineStr">
        <is>
          <t>EVD-085</t>
        </is>
      </c>
      <c r="B89" s="20" t="n"/>
      <c r="C89" s="22" t="n"/>
      <c r="D89" s="22" t="n"/>
      <c r="E89" s="22" t="n"/>
      <c r="F89" s="23" t="n"/>
      <c r="G89" s="22" t="n"/>
      <c r="H89" s="20" t="n"/>
    </row>
    <row r="90">
      <c r="A90" s="18" t="inlineStr">
        <is>
          <t>EVD-086</t>
        </is>
      </c>
      <c r="B90" s="20" t="n"/>
      <c r="C90" s="22" t="n"/>
      <c r="D90" s="22" t="n"/>
      <c r="E90" s="22" t="n"/>
      <c r="F90" s="23" t="n"/>
      <c r="G90" s="22" t="n"/>
      <c r="H90" s="20" t="n"/>
    </row>
    <row r="91">
      <c r="A91" s="18" t="inlineStr">
        <is>
          <t>EVD-087</t>
        </is>
      </c>
      <c r="B91" s="20" t="n"/>
      <c r="C91" s="22" t="n"/>
      <c r="D91" s="22" t="n"/>
      <c r="E91" s="22" t="n"/>
      <c r="F91" s="23" t="n"/>
      <c r="G91" s="22" t="n"/>
      <c r="H91" s="20" t="n"/>
    </row>
    <row r="92">
      <c r="A92" s="18" t="inlineStr">
        <is>
          <t>EVD-088</t>
        </is>
      </c>
      <c r="B92" s="20" t="n"/>
      <c r="C92" s="22" t="n"/>
      <c r="D92" s="22" t="n"/>
      <c r="E92" s="22" t="n"/>
      <c r="F92" s="23" t="n"/>
      <c r="G92" s="22" t="n"/>
      <c r="H92" s="20" t="n"/>
    </row>
    <row r="93">
      <c r="A93" s="18" t="inlineStr">
        <is>
          <t>EVD-089</t>
        </is>
      </c>
      <c r="B93" s="20" t="n"/>
      <c r="C93" s="22" t="n"/>
      <c r="D93" s="22" t="n"/>
      <c r="E93" s="22" t="n"/>
      <c r="F93" s="23" t="n"/>
      <c r="G93" s="22" t="n"/>
      <c r="H93" s="20" t="n"/>
    </row>
    <row r="94">
      <c r="A94" s="18" t="inlineStr">
        <is>
          <t>EVD-090</t>
        </is>
      </c>
      <c r="B94" s="20" t="n"/>
      <c r="C94" s="22" t="n"/>
      <c r="D94" s="22" t="n"/>
      <c r="E94" s="22" t="n"/>
      <c r="F94" s="23" t="n"/>
      <c r="G94" s="22" t="n"/>
      <c r="H94" s="20" t="n"/>
    </row>
    <row r="95">
      <c r="A95" s="18" t="inlineStr">
        <is>
          <t>EVD-091</t>
        </is>
      </c>
      <c r="B95" s="20" t="n"/>
      <c r="C95" s="22" t="n"/>
      <c r="D95" s="22" t="n"/>
      <c r="E95" s="22" t="n"/>
      <c r="F95" s="23" t="n"/>
      <c r="G95" s="22" t="n"/>
      <c r="H95" s="20" t="n"/>
    </row>
    <row r="96">
      <c r="A96" s="18" t="inlineStr">
        <is>
          <t>EVD-092</t>
        </is>
      </c>
      <c r="B96" s="20" t="n"/>
      <c r="C96" s="22" t="n"/>
      <c r="D96" s="22" t="n"/>
      <c r="E96" s="22" t="n"/>
      <c r="F96" s="23" t="n"/>
      <c r="G96" s="22" t="n"/>
      <c r="H96" s="20" t="n"/>
    </row>
    <row r="97">
      <c r="A97" s="18" t="inlineStr">
        <is>
          <t>EVD-093</t>
        </is>
      </c>
      <c r="B97" s="20" t="n"/>
      <c r="C97" s="22" t="n"/>
      <c r="D97" s="22" t="n"/>
      <c r="E97" s="22" t="n"/>
      <c r="F97" s="23" t="n"/>
      <c r="G97" s="22" t="n"/>
      <c r="H97" s="20" t="n"/>
    </row>
    <row r="98">
      <c r="A98" s="18" t="inlineStr">
        <is>
          <t>EVD-094</t>
        </is>
      </c>
      <c r="B98" s="20" t="n"/>
      <c r="C98" s="22" t="n"/>
      <c r="D98" s="22" t="n"/>
      <c r="E98" s="22" t="n"/>
      <c r="F98" s="23" t="n"/>
      <c r="G98" s="22" t="n"/>
      <c r="H98" s="20" t="n"/>
    </row>
    <row r="99">
      <c r="A99" s="18" t="inlineStr">
        <is>
          <t>EVD-095</t>
        </is>
      </c>
      <c r="B99" s="20" t="n"/>
      <c r="C99" s="22" t="n"/>
      <c r="D99" s="22" t="n"/>
      <c r="E99" s="22" t="n"/>
      <c r="F99" s="23" t="n"/>
      <c r="G99" s="22" t="n"/>
      <c r="H99" s="20" t="n"/>
    </row>
    <row r="100">
      <c r="A100" s="18" t="inlineStr">
        <is>
          <t>EVD-096</t>
        </is>
      </c>
      <c r="B100" s="20" t="n"/>
      <c r="C100" s="22" t="n"/>
      <c r="D100" s="22" t="n"/>
      <c r="E100" s="22" t="n"/>
      <c r="F100" s="23" t="n"/>
      <c r="G100" s="22" t="n"/>
      <c r="H100" s="20" t="n"/>
    </row>
    <row r="101">
      <c r="A101" s="18" t="inlineStr">
        <is>
          <t>EVD-097</t>
        </is>
      </c>
      <c r="B101" s="20" t="n"/>
      <c r="C101" s="22" t="n"/>
      <c r="D101" s="22" t="n"/>
      <c r="E101" s="22" t="n"/>
      <c r="F101" s="23" t="n"/>
      <c r="G101" s="22" t="n"/>
      <c r="H101" s="20" t="n"/>
    </row>
    <row r="102">
      <c r="A102" s="18" t="inlineStr">
        <is>
          <t>EVD-098</t>
        </is>
      </c>
      <c r="B102" s="20" t="n"/>
      <c r="C102" s="22" t="n"/>
      <c r="D102" s="22" t="n"/>
      <c r="E102" s="22" t="n"/>
      <c r="F102" s="23" t="n"/>
      <c r="G102" s="22" t="n"/>
      <c r="H102" s="20" t="n"/>
    </row>
    <row r="103">
      <c r="A103" s="18" t="inlineStr">
        <is>
          <t>EVD-099</t>
        </is>
      </c>
      <c r="B103" s="20" t="n"/>
      <c r="C103" s="22" t="n"/>
      <c r="D103" s="22" t="n"/>
      <c r="E103" s="22" t="n"/>
      <c r="F103" s="23" t="n"/>
      <c r="G103" s="22" t="n"/>
      <c r="H103" s="20" t="n"/>
    </row>
    <row r="104">
      <c r="A104" s="18" t="inlineStr">
        <is>
          <t>EVD-100</t>
        </is>
      </c>
      <c r="B104" s="20" t="n"/>
      <c r="C104" s="22" t="n"/>
      <c r="D104" s="22" t="n"/>
      <c r="E104" s="22" t="n"/>
      <c r="F104" s="23" t="n"/>
      <c r="G104" s="22" t="n"/>
      <c r="H104" s="20" t="n"/>
    </row>
    <row r="107">
      <c r="A107" s="3" t="inlineStr">
        <is>
          <t>EVIDENCE COLLECTION SUMMARY</t>
        </is>
      </c>
    </row>
    <row r="108">
      <c r="A108" s="6" t="inlineStr">
        <is>
          <t>Total Evidence Items:</t>
        </is>
      </c>
      <c r="B108" s="6">
        <f>COUNTA(A5:A104)</f>
        <v/>
      </c>
    </row>
    <row r="109">
      <c r="A109" s="6" t="inlineStr">
        <is>
          <t>✅ Verified Evidence:</t>
        </is>
      </c>
      <c r="B109" s="6">
        <f>COUNTIF(H5:H104,"✅*")</f>
        <v/>
      </c>
    </row>
    <row r="110">
      <c r="A110" s="6" t="inlineStr">
        <is>
          <t>⏳ Pending Verification:</t>
        </is>
      </c>
      <c r="B110" s="6">
        <f>COUNTIF(H5:H104,"⏳*")</f>
        <v/>
      </c>
    </row>
    <row r="111">
      <c r="A111" s="6" t="inlineStr">
        <is>
          <t>❌ Not Verified:</t>
        </is>
      </c>
      <c r="B111" s="6">
        <f>COUNTIF(H5:H104,"❌*")</f>
        <v/>
      </c>
    </row>
    <row r="113">
      <c r="A113" s="6" t="inlineStr">
        <is>
          <t>Minimum Required:</t>
        </is>
      </c>
      <c r="B113" s="30" t="inlineStr">
        <is>
          <t>5</t>
        </is>
      </c>
    </row>
    <row r="114">
      <c r="A114" s="6" t="inlineStr">
        <is>
          <t>Compliance Status:</t>
        </is>
      </c>
      <c r="B114" s="6">
        <f>IF(B108&gt;=5,"✅ Sufficient Evidence","❌ Insufficient Evidence")</f>
        <v/>
      </c>
    </row>
  </sheetData>
  <mergeCells count="3">
    <mergeCell ref="A2:H2"/>
    <mergeCell ref="A107:H107"/>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"Test Report,Screenshot,Log File,Video Recording,Configuration File,Runbook,Issue Ticket,Sign-Off,Other"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s>
  <sheetData>
    <row r="1" ht="30" customHeight="1">
      <c r="A1" s="16" t="inlineStr">
        <is>
          <t>ASSESSMENT APPROVAL &amp; SIGN-OFF</t>
        </is>
      </c>
    </row>
    <row r="3">
      <c r="A3" s="3" t="inlineStr">
        <is>
          <t>ASSESSMENT SUMMARY</t>
        </is>
      </c>
    </row>
    <row r="4">
      <c r="A4" s="6" t="inlineStr">
        <is>
          <t>Assessment Document:</t>
        </is>
      </c>
      <c r="B4" t="inlineStr">
        <is>
          <t>BC/DR Testing Results Tracker</t>
        </is>
      </c>
    </row>
    <row r="5">
      <c r="A5" s="6" t="inlineStr">
        <is>
          <t>Assessment ID:</t>
        </is>
      </c>
      <c r="B5" t="inlineStr">
        <is>
          <t>ISMS-IMP-A.5.30.S4</t>
        </is>
      </c>
    </row>
    <row r="6">
      <c r="A6" s="6" t="inlineStr">
        <is>
          <t>ISO 27001:2022 Controls:</t>
        </is>
      </c>
      <c r="B6" t="inlineStr">
        <is>
          <t>A.5.30 (Information Backup)</t>
        </is>
      </c>
    </row>
    <row r="7">
      <c r="A7" s="6" t="inlineStr">
        <is>
          <t>Assessment Period:</t>
        </is>
      </c>
      <c r="B7" s="31" t="inlineStr">
        <is>
          <t>[USER INPUT - e.g., Annual 2024, Q1-Q4 2024]</t>
        </is>
      </c>
    </row>
    <row r="8">
      <c r="A8" s="6" t="inlineStr">
        <is>
          <t>Total Tests Executed:</t>
        </is>
      </c>
      <c r="B8">
        <f>Summary!B5</f>
        <v/>
      </c>
    </row>
    <row r="9">
      <c r="A9" s="6" t="inlineStr">
        <is>
          <t>Test Success Rate:</t>
        </is>
      </c>
      <c r="B9" s="32">
        <f>Summary!B12</f>
        <v/>
      </c>
    </row>
    <row r="10">
      <c r="A10" s="6" t="inlineStr">
        <is>
          <t>Critical Issues Open:</t>
        </is>
      </c>
      <c r="B10">
        <f>Summary!B29</f>
        <v/>
      </c>
    </row>
    <row r="11">
      <c r="A11" s="6" t="inlineStr">
        <is>
          <t>Testing Compliance Rate (Tier 1):</t>
        </is>
      </c>
      <c r="B11" s="32">
        <f>Summary!B17</f>
        <v/>
      </c>
    </row>
    <row r="12">
      <c r="A12" s="6" t="inlineStr">
        <is>
          <t>Critical Issues Summary:</t>
        </is>
      </c>
      <c r="B12" s="31" t="inlineStr">
        <is>
          <t>[USER INPUT - list critical issues from Issue_Remediation]</t>
        </is>
      </c>
    </row>
    <row r="13">
      <c r="A13" s="6" t="inlineStr">
        <is>
          <t>Evidence Items Collected:</t>
        </is>
      </c>
      <c r="B13">
        <f>COUNTA(Evidence_Register!A5:A104)</f>
        <v/>
      </c>
    </row>
    <row r="14">
      <c r="A14" s="6" t="inlineStr">
        <is>
          <t>Assessment Status:</t>
        </is>
      </c>
      <c r="B14" s="31" t="inlineStr">
        <is>
          <t>[SELECT FROM DROPDOWN]</t>
        </is>
      </c>
    </row>
    <row r="17">
      <c r="A17" s="3" t="inlineStr">
        <is>
          <t>LEVEL 1: ASSESSMENT COMPLETED BY</t>
        </is>
      </c>
    </row>
    <row r="18">
      <c r="A18" s="6" t="inlineStr">
        <is>
          <t>Name:</t>
        </is>
      </c>
      <c r="B18" s="31" t="n"/>
    </row>
    <row r="19">
      <c r="A19" s="6" t="inlineStr">
        <is>
          <t>Role/Title:</t>
        </is>
      </c>
      <c r="B19" s="31" t="n"/>
    </row>
    <row r="20">
      <c r="A20" s="6" t="inlineStr">
        <is>
          <t>Department:</t>
        </is>
      </c>
      <c r="B20" s="31" t="n"/>
    </row>
    <row r="21">
      <c r="A21" s="6" t="inlineStr">
        <is>
          <t>Email:</t>
        </is>
      </c>
      <c r="B21" s="31" t="n"/>
    </row>
    <row r="22">
      <c r="A22" s="6" t="inlineStr">
        <is>
          <t>Date Completed:</t>
        </is>
      </c>
      <c r="B22" s="33">
        <f>TODAY()</f>
        <v/>
      </c>
    </row>
    <row r="23">
      <c r="A23" s="6" t="inlineStr">
        <is>
          <t>Signature/Initials:</t>
        </is>
      </c>
      <c r="B23" s="31" t="n"/>
    </row>
    <row r="26">
      <c r="A26" s="3" t="inlineStr">
        <is>
          <t>LEVEL 2: REVIEWED BY (INFORMATION SECURITY OFFICER)</t>
        </is>
      </c>
    </row>
    <row r="27">
      <c r="A27" s="6" t="inlineStr">
        <is>
          <t>Name:</t>
        </is>
      </c>
      <c r="B27" s="31" t="n"/>
    </row>
    <row r="28">
      <c r="A28" s="6" t="inlineStr">
        <is>
          <t>Review Date:</t>
        </is>
      </c>
      <c r="B28" s="34" t="n"/>
    </row>
    <row r="29">
      <c r="A29" s="6" t="inlineStr">
        <is>
          <t>Review Notes:</t>
        </is>
      </c>
      <c r="B29" s="35" t="n"/>
    </row>
    <row r="30"/>
    <row r="31"/>
    <row r="32">
      <c r="A32" s="6" t="inlineStr">
        <is>
          <t>Recommendation:</t>
        </is>
      </c>
      <c r="B32" s="31" t="n"/>
    </row>
    <row r="35">
      <c r="A35" s="36" t="inlineStr">
        <is>
          <t>LEVEL 3: APPROVED BY (CISO / SECURITY DIRECTOR)</t>
        </is>
      </c>
    </row>
    <row r="36">
      <c r="A36" s="6" t="inlineStr">
        <is>
          <t>Name:</t>
        </is>
      </c>
      <c r="B36" s="31" t="n"/>
    </row>
    <row r="37">
      <c r="A37" s="6" t="inlineStr">
        <is>
          <t>Approval Date:</t>
        </is>
      </c>
      <c r="B37" s="34" t="n"/>
    </row>
    <row r="38">
      <c r="A38" s="6" t="inlineStr">
        <is>
          <t>Approval Decision:</t>
        </is>
      </c>
      <c r="B38" s="31" t="n"/>
    </row>
    <row r="39">
      <c r="A39" s="6" t="inlineStr">
        <is>
          <t>Conditions/Notes:</t>
        </is>
      </c>
      <c r="B39" s="35" t="n"/>
    </row>
    <row r="40"/>
    <row r="41"/>
    <row r="44">
      <c r="A44" s="3" t="inlineStr">
        <is>
          <t>NEXT REVIEW DETAILS</t>
        </is>
      </c>
    </row>
    <row r="45">
      <c r="A45" s="6" t="inlineStr">
        <is>
          <t>Next Annual Assessment:</t>
        </is>
      </c>
      <c r="B45" s="33">
        <f>TODAY()+365</f>
        <v/>
      </c>
    </row>
    <row r="46">
      <c r="A46" s="6" t="inlineStr">
        <is>
          <t>Review Responsible:</t>
        </is>
      </c>
      <c r="B46" s="31" t="n"/>
    </row>
    <row r="47">
      <c r="A47" s="6" t="inlineStr">
        <is>
          <t>Special Considerations:</t>
        </is>
      </c>
      <c r="B47" s="31" t="n"/>
    </row>
    <row r="50">
      <c r="A50" s="3" t="inlineStr">
        <is>
          <t>APPROVAL WORKFLOW REQUIREMENTS</t>
        </is>
      </c>
    </row>
    <row r="51">
      <c r="A51" s="5" t="inlineStr">
        <is>
          <t>• All 3 approval levels must be completed for final approval</t>
        </is>
      </c>
    </row>
    <row r="52">
      <c r="A52" s="5" t="inlineStr">
        <is>
          <t>• Minimum 5 evidence items must be documented in Evidence_Register</t>
        </is>
      </c>
    </row>
    <row r="53">
      <c r="A53" s="5" t="inlineStr">
        <is>
          <t>• Assessment status must be "Final" before CISO approval</t>
        </is>
      </c>
    </row>
    <row r="54">
      <c r="A54" s="5" t="inlineStr">
        <is>
          <t>• All 🔴 Critical issues must have remediation plans</t>
        </is>
      </c>
    </row>
    <row r="55">
      <c r="A55" s="5" t="inlineStr">
        <is>
          <t>• Annual re-assessment required (next assessment due in 365 days)</t>
        </is>
      </c>
    </row>
    <row r="56">
      <c r="A56" s="5" t="inlineStr">
        <is>
          <t>• Quarterly testing required for Tier 1 systems (ongoing throughout year)</t>
        </is>
      </c>
    </row>
  </sheetData>
  <mergeCells count="37">
    <mergeCell ref="B9:E9"/>
    <mergeCell ref="B37:E37"/>
    <mergeCell ref="B6:E6"/>
    <mergeCell ref="A1:E1"/>
    <mergeCell ref="B5:E5"/>
    <mergeCell ref="B20:E20"/>
    <mergeCell ref="B36:E36"/>
    <mergeCell ref="B32:E32"/>
    <mergeCell ref="B45:E45"/>
    <mergeCell ref="B4:E4"/>
    <mergeCell ref="B7:E7"/>
    <mergeCell ref="B47:E47"/>
    <mergeCell ref="B46:E46"/>
    <mergeCell ref="B22:E22"/>
    <mergeCell ref="A3:E3"/>
    <mergeCell ref="B18:E18"/>
    <mergeCell ref="B27:E27"/>
    <mergeCell ref="A50:E50"/>
    <mergeCell ref="A26:E26"/>
    <mergeCell ref="B12:E12"/>
    <mergeCell ref="B21:E21"/>
    <mergeCell ref="B39:E39"/>
    <mergeCell ref="B11:E11"/>
    <mergeCell ref="A17:E17"/>
    <mergeCell ref="B14:E14"/>
    <mergeCell ref="B23:E23"/>
    <mergeCell ref="A35:E35"/>
    <mergeCell ref="B8:E8"/>
    <mergeCell ref="B39:E41"/>
    <mergeCell ref="B13:E13"/>
    <mergeCell ref="B38:E38"/>
    <mergeCell ref="B29:E29"/>
    <mergeCell ref="B19:E19"/>
    <mergeCell ref="B29:E31"/>
    <mergeCell ref="A44:E44"/>
    <mergeCell ref="B10:E10"/>
    <mergeCell ref="B28:E28"/>
  </mergeCells>
  <dataValidations count="3">
    <dataValidation sqref="B14" showDropDown="0" showInputMessage="0" showErrorMessage="0" allowBlank="0" type="list">
      <formula1>"Draft,Under Review,Final,Requires Remediation"</formula1>
    </dataValidation>
    <dataValidation sqref="B38" showDropDown="0" showInputMessage="0" showErrorMessage="0" allowBlank="0" type="list">
      <formula1>"Approved,Approved with Conditions,Rejected,Requires Rework"</formula1>
    </dataValidation>
    <dataValidation sqref="B32"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2026-02-08T10:48:58Z</dcterms:created>
  <dcterms:modified xmlns:dcterms="http://purl.org/dc/terms/" xmlns:xsi="http://www.w3.org/2001/XMLSchema-instance" xsi:type="dcterms:W3CDTF">2026-02-08T10:48:58Z</dcterms:modified>
</cp:coreProperties>
</file>