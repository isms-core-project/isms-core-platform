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Policy_Assessment" sheetId="2" state="visible" r:id="rId2"/>
    <sheet xmlns:r="http://schemas.openxmlformats.org/officeDocument/2006/relationships" name="Asset_Coverage" sheetId="3" state="visible" r:id="rId3"/>
    <sheet xmlns:r="http://schemas.openxmlformats.org/officeDocument/2006/relationships" name="Awareness_Tracking" sheetId="4" state="visible" r:id="rId4"/>
    <sheet xmlns:r="http://schemas.openxmlformats.org/officeDocument/2006/relationships" name="Communication_Matrix" sheetId="5" state="visible" r:id="rId5"/>
    <sheet xmlns:r="http://schemas.openxmlformats.org/officeDocument/2006/relationships" name="Evidence_Register" sheetId="6" state="visible" r:id="rId6"/>
    <sheet xmlns:r="http://schemas.openxmlformats.org/officeDocument/2006/relationships" name="Approval_SignOff" sheetId="7" state="visible" r:id="rId7"/>
  </sheets>
  <definedNames/>
  <calcPr calcId="124519" fullCalcOnLoad="1"/>
</workbook>
</file>

<file path=xl/styles.xml><?xml version="1.0" encoding="utf-8"?>
<styleSheet xmlns="http://schemas.openxmlformats.org/spreadsheetml/2006/main">
  <numFmts count="1">
    <numFmt numFmtId="164" formatCode="0.0&quot;%&quot;"/>
  </numFmts>
  <fonts count="7">
    <font>
      <name val="Calibri"/>
      <family val="2"/>
      <color theme="1"/>
      <sz val="11"/>
      <scheme val="minor"/>
    </font>
    <font>
      <name val="Calibri"/>
      <b val="1"/>
      <color rgb="00FFFFFF"/>
      <sz val="14"/>
    </font>
    <font>
      <b val="1"/>
      <sz val="12"/>
    </font>
    <font>
      <b val="1"/>
    </font>
    <font>
      <name val="Calibri"/>
      <b val="1"/>
      <sz val="10"/>
    </font>
    <font>
      <color rgb="00808080"/>
    </font>
    <font>
      <b val="1"/>
      <color rgb="00FFFFFF"/>
      <sz val="11"/>
    </font>
  </fonts>
  <fills count="7">
    <fill>
      <patternFill/>
    </fill>
    <fill>
      <patternFill patternType="gray125"/>
    </fill>
    <fill>
      <patternFill patternType="solid">
        <fgColor rgb="00003366"/>
        <bgColor rgb="00003366"/>
      </patternFill>
    </fill>
    <fill>
      <patternFill patternType="solid">
        <fgColor rgb="00FFFFCC"/>
        <bgColor rgb="00FFFFCC"/>
      </patternFill>
    </fill>
    <fill>
      <patternFill patternType="solid">
        <fgColor rgb="00D9D9D9"/>
        <bgColor rgb="00D9D9D9"/>
      </patternFill>
    </fill>
    <fill>
      <patternFill patternType="solid">
        <fgColor rgb="00E2EFDA"/>
        <bgColor rgb="00E2EFDA"/>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3" borderId="1" applyAlignment="1" pivotButton="0" quotePrefix="0" xfId="0">
      <alignment horizontal="left" vertical="center" wrapText="1"/>
    </xf>
    <xf numFmtId="164" fontId="0" fillId="5" borderId="1" applyAlignment="1" pivotButton="0" quotePrefix="0" xfId="0">
      <alignment horizontal="left" vertical="center" wrapText="1"/>
    </xf>
    <xf numFmtId="0" fontId="0" fillId="5" borderId="1" applyAlignment="1" pivotButton="0" quotePrefix="0" xfId="0">
      <alignment horizontal="left" vertical="center" wrapText="1"/>
    </xf>
    <xf numFmtId="0" fontId="3" fillId="4" borderId="1" pivotButton="0" quotePrefix="0" xfId="0"/>
    <xf numFmtId="164" fontId="3" fillId="4" borderId="1" pivotButton="0" quotePrefix="0" xfId="0"/>
    <xf numFmtId="0" fontId="5" fillId="0" borderId="0" pivotButton="0" quotePrefix="0" xfId="0"/>
    <xf numFmtId="0" fontId="6" fillId="6" borderId="0" applyAlignment="1" pivotButton="0" quotePrefix="0" xfId="0">
      <alignment horizontal="center" vertical="center"/>
    </xf>
    <xf numFmtId="0" fontId="6"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2"/>
  <sheetViews>
    <sheetView workbookViewId="0">
      <pane ySplit="3" topLeftCell="A4" activePane="bottomLeft" state="frozen"/>
      <selection pane="bottomLeft" activeCell="A1" sqref="A1"/>
    </sheetView>
  </sheetViews>
  <sheetFormatPr baseColWidth="8" defaultRowHeight="15"/>
  <cols>
    <col width="28" customWidth="1" min="1" max="1"/>
    <col width="60" customWidth="1" min="2" max="2"/>
  </cols>
  <sheetData>
    <row r="1" ht="40" customHeight="1">
      <c r="A1" s="1" t="inlineStr">
        <is>
          <t>ISMS-IMP-A.5.10-11.S1 - Acceptable Use Policy Assessment
ISO/IEC 27001:2022 - Control A.5.10: Acceptable Use of Information and Other Associated Assets</t>
        </is>
      </c>
    </row>
    <row r="3">
      <c r="A3" s="2" t="inlineStr">
        <is>
          <t>Document Information</t>
        </is>
      </c>
    </row>
    <row r="4">
      <c r="A4" s="3" t="inlineStr">
        <is>
          <t>Document ID</t>
        </is>
      </c>
      <c r="B4" t="inlineStr">
        <is>
          <t>ISMS-IMP-A.5.10-11.S1</t>
        </is>
      </c>
    </row>
    <row r="5">
      <c r="A5" s="3" t="inlineStr">
        <is>
          <t>Assessment Area</t>
        </is>
      </c>
      <c r="B5" t="inlineStr">
        <is>
          <t>Acceptable Use Policy Completeness</t>
        </is>
      </c>
    </row>
    <row r="6">
      <c r="A6" s="3" t="inlineStr">
        <is>
          <t>Control Reference</t>
        </is>
      </c>
      <c r="B6" t="inlineStr">
        <is>
          <t>A.5.10</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1">
      <c r="A11" s="3" t="inlineStr">
        <is>
          <t>Review Cycle</t>
        </is>
      </c>
      <c r="B11" t="inlineStr">
        <is>
          <t>Annual</t>
        </is>
      </c>
    </row>
    <row r="13">
      <c r="A13" s="2" t="inlineStr">
        <is>
          <t>CONTROL REQUIREMENT</t>
        </is>
      </c>
    </row>
    <row r="14">
      <c r="A14" t="inlineStr">
        <is>
          <t>ISO 27001:2022 A.5.10 requires that rules for the acceptable use of information and other associated assets should be identified, documented and implemented.</t>
        </is>
      </c>
    </row>
    <row r="16">
      <c r="A16" s="2" t="inlineStr">
        <is>
          <t>HOW TO USE THIS WORKBOOK</t>
        </is>
      </c>
    </row>
    <row r="17">
      <c r="A17" t="inlineStr">
        <is>
          <t>1. Complete Policy_Assessment to evaluate AUP content completeness</t>
        </is>
      </c>
    </row>
    <row r="18">
      <c r="A18" t="inlineStr">
        <is>
          <t>2. Review Asset_Coverage to verify all asset categories are addressed</t>
        </is>
      </c>
    </row>
    <row r="19">
      <c r="A19" t="inlineStr">
        <is>
          <t>3. Track user acknowledgments in Awareness_Tracking</t>
        </is>
      </c>
    </row>
    <row r="20">
      <c r="A20" t="inlineStr">
        <is>
          <t>4. Assess communication effectiveness in Communication_Matrix</t>
        </is>
      </c>
    </row>
    <row r="21">
      <c r="A21" t="inlineStr">
        <is>
          <t>5. Link supporting evidence in Evidence_Register</t>
        </is>
      </c>
    </row>
    <row r="22">
      <c r="A22" t="inlineStr">
        <is>
          <t>6. Obtain approvals in Approval_SignOff sheet</t>
        </is>
      </c>
    </row>
    <row r="24">
      <c r="A24" s="2" t="inlineStr">
        <is>
          <t>AUP REQUIRED CONTENT AREAS</t>
        </is>
      </c>
    </row>
    <row r="25">
      <c r="A25" s="3" t="inlineStr">
        <is>
          <t>Permitted Use</t>
        </is>
      </c>
      <c r="B25" t="inlineStr">
        <is>
          <t>Clear definition of acceptable activities</t>
        </is>
      </c>
    </row>
    <row r="26">
      <c r="A26" s="3" t="inlineStr">
        <is>
          <t>Prohibited Use</t>
        </is>
      </c>
      <c r="B26" t="inlineStr">
        <is>
          <t>Explicit list of forbidden activities</t>
        </is>
      </c>
    </row>
    <row r="27">
      <c r="A27" s="3" t="inlineStr">
        <is>
          <t>Personal Use</t>
        </is>
      </c>
      <c r="B27" t="inlineStr">
        <is>
          <t>Guidelines for personal use of company assets</t>
        </is>
      </c>
    </row>
    <row r="28">
      <c r="A28" s="3" t="inlineStr">
        <is>
          <t>Monitoring Notice</t>
        </is>
      </c>
      <c r="B28" t="inlineStr">
        <is>
          <t>Disclosure of monitoring activities</t>
        </is>
      </c>
    </row>
    <row r="29">
      <c r="A29" s="3" t="inlineStr">
        <is>
          <t>Consequences</t>
        </is>
      </c>
      <c r="B29" t="inlineStr">
        <is>
          <t>Disciplinary actions for violations</t>
        </is>
      </c>
    </row>
    <row r="30">
      <c r="A30" s="3" t="inlineStr">
        <is>
          <t>Exceptions</t>
        </is>
      </c>
      <c r="B30" t="inlineStr">
        <is>
          <t>Process for requesting policy exceptions</t>
        </is>
      </c>
    </row>
    <row r="31">
      <c r="A31" s="3" t="inlineStr">
        <is>
          <t>Intellectual Property</t>
        </is>
      </c>
      <c r="B31" t="inlineStr">
        <is>
          <t>IP ownership and handling rules</t>
        </is>
      </c>
    </row>
    <row r="32">
      <c r="A32" s="3" t="inlineStr">
        <is>
          <t>Data Classification</t>
        </is>
      </c>
      <c r="B32" t="inlineStr">
        <is>
          <t>Handling requirements by classification</t>
        </is>
      </c>
    </row>
  </sheetData>
  <mergeCells count="2">
    <mergeCell ref="A14:G14"/>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3"/>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5" customWidth="1" min="1" max="1"/>
    <col width="45" customWidth="1" min="2" max="2"/>
    <col width="20" customWidth="1" min="3" max="3"/>
    <col width="14" customWidth="1" min="4" max="4"/>
    <col width="20" customWidth="1" min="5" max="5"/>
    <col width="16" customWidth="1" min="6" max="6"/>
    <col width="16" customWidth="1" min="7" max="7"/>
    <col width="22" customWidth="1" min="8" max="8"/>
    <col width="16" customWidth="1" min="9" max="9"/>
    <col width="35" customWidth="1" min="10" max="10"/>
    <col width="18" customWidth="1" min="11" max="11"/>
  </cols>
  <sheetData>
    <row r="1" ht="30" customHeight="1">
      <c r="A1" s="1" t="inlineStr">
        <is>
          <t>ACCEPTABLE USE POLICY ASSESSMENT</t>
        </is>
      </c>
    </row>
    <row r="3">
      <c r="A3" s="5" t="inlineStr">
        <is>
          <t>Requirement_ID</t>
        </is>
      </c>
      <c r="B3" s="5" t="inlineStr">
        <is>
          <t>Policy_Requirement</t>
        </is>
      </c>
      <c r="C3" s="5" t="inlineStr">
        <is>
          <t>Category</t>
        </is>
      </c>
      <c r="D3" s="5" t="inlineStr">
        <is>
          <t>Addressed</t>
        </is>
      </c>
      <c r="E3" s="5" t="inlineStr">
        <is>
          <t>Policy_Section</t>
        </is>
      </c>
      <c r="F3" s="5" t="inlineStr">
        <is>
          <t>Clarity_Rating</t>
        </is>
      </c>
      <c r="G3" s="5" t="inlineStr">
        <is>
          <t>Last_Updated</t>
        </is>
      </c>
      <c r="H3" s="5" t="inlineStr">
        <is>
          <t>Owner</t>
        </is>
      </c>
      <c r="I3" s="5" t="inlineStr">
        <is>
          <t>Gap_Status</t>
        </is>
      </c>
      <c r="J3" s="5" t="inlineStr">
        <is>
          <t>Remediation_Notes</t>
        </is>
      </c>
      <c r="K3" s="5" t="inlineStr">
        <is>
          <t>Evidence_Ref</t>
        </is>
      </c>
    </row>
    <row r="4">
      <c r="A4" t="inlineStr">
        <is>
          <t>REQ-001</t>
        </is>
      </c>
      <c r="B4" t="inlineStr">
        <is>
          <t>Policy scope defines applicable assets</t>
        </is>
      </c>
      <c r="C4" t="inlineStr">
        <is>
          <t>Scope</t>
        </is>
      </c>
      <c r="D4" s="6" t="n"/>
      <c r="E4" s="6" t="n"/>
      <c r="F4" s="6" t="n"/>
      <c r="G4" s="6" t="n"/>
      <c r="H4" s="6" t="n"/>
      <c r="I4" s="6" t="n"/>
      <c r="J4" s="6" t="n"/>
      <c r="K4" s="6" t="n"/>
    </row>
    <row r="5">
      <c r="A5" t="inlineStr">
        <is>
          <t>REQ-002</t>
        </is>
      </c>
      <c r="B5" t="inlineStr">
        <is>
          <t>Policy defines acceptable business use</t>
        </is>
      </c>
      <c r="C5" t="inlineStr">
        <is>
          <t>Permitted Use</t>
        </is>
      </c>
      <c r="D5" s="6" t="n"/>
      <c r="E5" s="6" t="n"/>
      <c r="F5" s="6" t="n"/>
      <c r="G5" s="6" t="n"/>
      <c r="H5" s="6" t="n"/>
      <c r="I5" s="6" t="n"/>
      <c r="J5" s="6" t="n"/>
      <c r="K5" s="6" t="n"/>
    </row>
    <row r="6">
      <c r="A6" t="inlineStr">
        <is>
          <t>REQ-003</t>
        </is>
      </c>
      <c r="B6" t="inlineStr">
        <is>
          <t>Policy explicitly prohibits unauthorized activities</t>
        </is>
      </c>
      <c r="C6" t="inlineStr">
        <is>
          <t>Prohibited Use</t>
        </is>
      </c>
      <c r="D6" s="6" t="n"/>
      <c r="E6" s="6" t="n"/>
      <c r="F6" s="6" t="n"/>
      <c r="G6" s="6" t="n"/>
      <c r="H6" s="6" t="n"/>
      <c r="I6" s="6" t="n"/>
      <c r="J6" s="6" t="n"/>
      <c r="K6" s="6" t="n"/>
    </row>
    <row r="7">
      <c r="A7" t="inlineStr">
        <is>
          <t>REQ-004</t>
        </is>
      </c>
      <c r="B7" t="inlineStr">
        <is>
          <t>Personal use guidelines are documented</t>
        </is>
      </c>
      <c r="C7" t="inlineStr">
        <is>
          <t>Personal Use</t>
        </is>
      </c>
      <c r="D7" s="6" t="n"/>
      <c r="E7" s="6" t="n"/>
      <c r="F7" s="6" t="n"/>
      <c r="G7" s="6" t="n"/>
      <c r="H7" s="6" t="n"/>
      <c r="I7" s="6" t="n"/>
      <c r="J7" s="6" t="n"/>
      <c r="K7" s="6" t="n"/>
    </row>
    <row r="8">
      <c r="A8" t="inlineStr">
        <is>
          <t>REQ-005</t>
        </is>
      </c>
      <c r="B8" t="inlineStr">
        <is>
          <t>Monitoring and logging disclosure included</t>
        </is>
      </c>
      <c r="C8" t="inlineStr">
        <is>
          <t>Monitoring</t>
        </is>
      </c>
      <c r="D8" s="6" t="n"/>
      <c r="E8" s="6" t="n"/>
      <c r="F8" s="6" t="n"/>
      <c r="G8" s="6" t="n"/>
      <c r="H8" s="6" t="n"/>
      <c r="I8" s="6" t="n"/>
      <c r="J8" s="6" t="n"/>
      <c r="K8" s="6" t="n"/>
    </row>
    <row r="9">
      <c r="A9" t="inlineStr">
        <is>
          <t>REQ-006</t>
        </is>
      </c>
      <c r="B9" t="inlineStr">
        <is>
          <t>Consequences of violation are stated</t>
        </is>
      </c>
      <c r="C9" t="inlineStr">
        <is>
          <t>Enforcement</t>
        </is>
      </c>
      <c r="D9" s="6" t="n"/>
      <c r="E9" s="6" t="n"/>
      <c r="F9" s="6" t="n"/>
      <c r="G9" s="6" t="n"/>
      <c r="H9" s="6" t="n"/>
      <c r="I9" s="6" t="n"/>
      <c r="J9" s="6" t="n"/>
      <c r="K9" s="6" t="n"/>
    </row>
    <row r="10">
      <c r="A10" t="inlineStr">
        <is>
          <t>REQ-007</t>
        </is>
      </c>
      <c r="B10" t="inlineStr">
        <is>
          <t>Exception request process documented</t>
        </is>
      </c>
      <c r="C10" t="inlineStr">
        <is>
          <t>Exceptions</t>
        </is>
      </c>
      <c r="D10" s="6" t="n"/>
      <c r="E10" s="6" t="n"/>
      <c r="F10" s="6" t="n"/>
      <c r="G10" s="6" t="n"/>
      <c r="H10" s="6" t="n"/>
      <c r="I10" s="6" t="n"/>
      <c r="J10" s="6" t="n"/>
      <c r="K10" s="6" t="n"/>
    </row>
    <row r="11">
      <c r="A11" t="inlineStr">
        <is>
          <t>REQ-008</t>
        </is>
      </c>
      <c r="B11" t="inlineStr">
        <is>
          <t>Intellectual property rules defined</t>
        </is>
      </c>
      <c r="C11" t="inlineStr">
        <is>
          <t>IP Protection</t>
        </is>
      </c>
      <c r="D11" s="6" t="n"/>
      <c r="E11" s="6" t="n"/>
      <c r="F11" s="6" t="n"/>
      <c r="G11" s="6" t="n"/>
      <c r="H11" s="6" t="n"/>
      <c r="I11" s="6" t="n"/>
      <c r="J11" s="6" t="n"/>
      <c r="K11" s="6" t="n"/>
    </row>
    <row r="12">
      <c r="A12" t="inlineStr">
        <is>
          <t>REQ-009</t>
        </is>
      </c>
      <c r="B12" t="inlineStr">
        <is>
          <t>Data classification handling requirements</t>
        </is>
      </c>
      <c r="C12" t="inlineStr">
        <is>
          <t>Data Handling</t>
        </is>
      </c>
      <c r="D12" s="6" t="n"/>
      <c r="E12" s="6" t="n"/>
      <c r="F12" s="6" t="n"/>
      <c r="G12" s="6" t="n"/>
      <c r="H12" s="6" t="n"/>
      <c r="I12" s="6" t="n"/>
      <c r="J12" s="6" t="n"/>
      <c r="K12" s="6" t="n"/>
    </row>
    <row r="13">
      <c r="A13" t="inlineStr">
        <is>
          <t>REQ-010</t>
        </is>
      </c>
      <c r="B13" t="inlineStr">
        <is>
          <t>Mobile device acceptable use rules</t>
        </is>
      </c>
      <c r="C13" t="inlineStr">
        <is>
          <t>Mobile Devices</t>
        </is>
      </c>
      <c r="D13" s="6" t="n"/>
      <c r="E13" s="6" t="n"/>
      <c r="F13" s="6" t="n"/>
      <c r="G13" s="6" t="n"/>
      <c r="H13" s="6" t="n"/>
      <c r="I13" s="6" t="n"/>
      <c r="J13" s="6" t="n"/>
      <c r="K13" s="6" t="n"/>
    </row>
    <row r="14">
      <c r="A14" t="inlineStr">
        <is>
          <t>REQ-011</t>
        </is>
      </c>
      <c r="B14" t="inlineStr">
        <is>
          <t>Remote working asset use guidelines</t>
        </is>
      </c>
      <c r="C14" t="inlineStr">
        <is>
          <t>Remote Work</t>
        </is>
      </c>
      <c r="D14" s="6" t="n"/>
      <c r="E14" s="6" t="n"/>
      <c r="F14" s="6" t="n"/>
      <c r="G14" s="6" t="n"/>
      <c r="H14" s="6" t="n"/>
      <c r="I14" s="6" t="n"/>
      <c r="J14" s="6" t="n"/>
      <c r="K14" s="6" t="n"/>
    </row>
    <row r="15">
      <c r="A15" t="inlineStr">
        <is>
          <t>REQ-012</t>
        </is>
      </c>
      <c r="B15" t="inlineStr">
        <is>
          <t>Cloud service usage rules</t>
        </is>
      </c>
      <c r="C15" t="inlineStr">
        <is>
          <t>Cloud Services</t>
        </is>
      </c>
      <c r="D15" s="6" t="n"/>
      <c r="E15" s="6" t="n"/>
      <c r="F15" s="6" t="n"/>
      <c r="G15" s="6" t="n"/>
      <c r="H15" s="6" t="n"/>
      <c r="I15" s="6" t="n"/>
      <c r="J15" s="6" t="n"/>
      <c r="K15" s="6" t="n"/>
    </row>
    <row r="16">
      <c r="A16" t="inlineStr">
        <is>
          <t>REQ-013</t>
        </is>
      </c>
      <c r="B16" t="inlineStr">
        <is>
          <t>Social media usage guidelines</t>
        </is>
      </c>
      <c r="C16" t="inlineStr">
        <is>
          <t>Social Media</t>
        </is>
      </c>
      <c r="D16" s="6" t="n"/>
      <c r="E16" s="6" t="n"/>
      <c r="F16" s="6" t="n"/>
      <c r="G16" s="6" t="n"/>
      <c r="H16" s="6" t="n"/>
      <c r="I16" s="6" t="n"/>
      <c r="J16" s="6" t="n"/>
      <c r="K16" s="6" t="n"/>
    </row>
    <row r="17">
      <c r="A17" t="inlineStr">
        <is>
          <t>REQ-014</t>
        </is>
      </c>
      <c r="B17" t="inlineStr">
        <is>
          <t>Email and messaging acceptable use</t>
        </is>
      </c>
      <c r="C17" t="inlineStr">
        <is>
          <t>Communications</t>
        </is>
      </c>
      <c r="D17" s="6" t="n"/>
      <c r="E17" s="6" t="n"/>
      <c r="F17" s="6" t="n"/>
      <c r="G17" s="6" t="n"/>
      <c r="H17" s="6" t="n"/>
      <c r="I17" s="6" t="n"/>
      <c r="J17" s="6" t="n"/>
      <c r="K17" s="6" t="n"/>
    </row>
    <row r="18">
      <c r="A18" t="inlineStr">
        <is>
          <t>REQ-015</t>
        </is>
      </c>
      <c r="B18" t="inlineStr">
        <is>
          <t>Internet usage guidelines</t>
        </is>
      </c>
      <c r="C18" t="inlineStr">
        <is>
          <t>Internet</t>
        </is>
      </c>
      <c r="D18" s="6" t="n"/>
      <c r="E18" s="6" t="n"/>
      <c r="F18" s="6" t="n"/>
      <c r="G18" s="6" t="n"/>
      <c r="H18" s="6" t="n"/>
      <c r="I18" s="6" t="n"/>
      <c r="J18" s="6" t="n"/>
      <c r="K18" s="6" t="n"/>
    </row>
    <row r="19">
      <c r="A19" t="inlineStr">
        <is>
          <t>REQ-016</t>
        </is>
      </c>
      <c r="B19" t="inlineStr">
        <is>
          <t>Password and authentication requirements</t>
        </is>
      </c>
      <c r="C19" t="inlineStr">
        <is>
          <t>Authentication</t>
        </is>
      </c>
      <c r="D19" s="6" t="n"/>
      <c r="E19" s="6" t="n"/>
      <c r="F19" s="6" t="n"/>
      <c r="G19" s="6" t="n"/>
      <c r="H19" s="6" t="n"/>
      <c r="I19" s="6" t="n"/>
      <c r="J19" s="6" t="n"/>
      <c r="K19" s="6" t="n"/>
    </row>
    <row r="20">
      <c r="A20" t="inlineStr">
        <is>
          <t>REQ-017</t>
        </is>
      </c>
      <c r="B20" t="inlineStr">
        <is>
          <t>Physical asset protection responsibilities</t>
        </is>
      </c>
      <c r="C20" t="inlineStr">
        <is>
          <t>Physical Security</t>
        </is>
      </c>
      <c r="D20" s="6" t="n"/>
      <c r="E20" s="6" t="n"/>
      <c r="F20" s="6" t="n"/>
      <c r="G20" s="6" t="n"/>
      <c r="H20" s="6" t="n"/>
      <c r="I20" s="6" t="n"/>
      <c r="J20" s="6" t="n"/>
      <c r="K20" s="6" t="n"/>
    </row>
    <row r="21">
      <c r="A21" t="inlineStr">
        <is>
          <t>REQ-018</t>
        </is>
      </c>
      <c r="B21" t="inlineStr">
        <is>
          <t>Incident reporting obligations</t>
        </is>
      </c>
      <c r="C21" t="inlineStr">
        <is>
          <t>Reporting</t>
        </is>
      </c>
      <c r="D21" s="6" t="n"/>
      <c r="E21" s="6" t="n"/>
      <c r="F21" s="6" t="n"/>
      <c r="G21" s="6" t="n"/>
      <c r="H21" s="6" t="n"/>
      <c r="I21" s="6" t="n"/>
      <c r="J21" s="6" t="n"/>
      <c r="K21" s="6" t="n"/>
    </row>
    <row r="22">
      <c r="A22" t="inlineStr">
        <is>
          <t>REQ-019</t>
        </is>
      </c>
      <c r="B22" t="inlineStr">
        <is>
          <t>Third-party access provisions</t>
        </is>
      </c>
      <c r="C22" t="inlineStr">
        <is>
          <t>Third Parties</t>
        </is>
      </c>
      <c r="D22" s="6" t="n"/>
      <c r="E22" s="6" t="n"/>
      <c r="F22" s="6" t="n"/>
      <c r="G22" s="6" t="n"/>
      <c r="H22" s="6" t="n"/>
      <c r="I22" s="6" t="n"/>
      <c r="J22" s="6" t="n"/>
      <c r="K22" s="6" t="n"/>
    </row>
    <row r="23">
      <c r="A23" t="inlineStr">
        <is>
          <t>REQ-020</t>
        </is>
      </c>
      <c r="B23" t="inlineStr">
        <is>
          <t>Policy acknowledgment requirement</t>
        </is>
      </c>
      <c r="C23" t="inlineStr">
        <is>
          <t>Acknowledgment</t>
        </is>
      </c>
      <c r="D23" s="6" t="n"/>
      <c r="E23" s="6" t="n"/>
      <c r="F23" s="6" t="n"/>
      <c r="G23" s="6" t="n"/>
      <c r="H23" s="6" t="n"/>
      <c r="I23" s="6" t="n"/>
      <c r="J23" s="6" t="n"/>
      <c r="K23" s="6" t="n"/>
    </row>
    <row r="24">
      <c r="A24" s="6" t="n"/>
      <c r="B24" s="6" t="n"/>
      <c r="C24" s="6" t="n"/>
      <c r="D24" s="6" t="n"/>
      <c r="E24" s="6" t="n"/>
      <c r="F24" s="6" t="n"/>
      <c r="G24" s="6" t="n"/>
      <c r="H24" s="6" t="n"/>
      <c r="I24" s="6" t="n"/>
      <c r="J24" s="6" t="n"/>
      <c r="K24" s="6" t="n"/>
    </row>
    <row r="25">
      <c r="A25" s="6" t="n"/>
      <c r="B25" s="6" t="n"/>
      <c r="C25" s="6" t="n"/>
      <c r="D25" s="6" t="n"/>
      <c r="E25" s="6" t="n"/>
      <c r="F25" s="6" t="n"/>
      <c r="G25" s="6" t="n"/>
      <c r="H25" s="6" t="n"/>
      <c r="I25" s="6" t="n"/>
      <c r="J25" s="6" t="n"/>
      <c r="K25" s="6" t="n"/>
    </row>
    <row r="26">
      <c r="A26" s="6" t="n"/>
      <c r="B26" s="6" t="n"/>
      <c r="C26" s="6" t="n"/>
      <c r="D26" s="6" t="n"/>
      <c r="E26" s="6" t="n"/>
      <c r="F26" s="6" t="n"/>
      <c r="G26" s="6" t="n"/>
      <c r="H26" s="6" t="n"/>
      <c r="I26" s="6" t="n"/>
      <c r="J26" s="6" t="n"/>
      <c r="K26" s="6" t="n"/>
    </row>
    <row r="27">
      <c r="A27" s="6" t="n"/>
      <c r="B27" s="6" t="n"/>
      <c r="C27" s="6" t="n"/>
      <c r="D27" s="6" t="n"/>
      <c r="E27" s="6" t="n"/>
      <c r="F27" s="6" t="n"/>
      <c r="G27" s="6" t="n"/>
      <c r="H27" s="6" t="n"/>
      <c r="I27" s="6" t="n"/>
      <c r="J27" s="6" t="n"/>
      <c r="K27" s="6" t="n"/>
    </row>
    <row r="28">
      <c r="A28" s="6" t="n"/>
      <c r="B28" s="6" t="n"/>
      <c r="C28" s="6" t="n"/>
      <c r="D28" s="6" t="n"/>
      <c r="E28" s="6" t="n"/>
      <c r="F28" s="6" t="n"/>
      <c r="G28" s="6" t="n"/>
      <c r="H28" s="6" t="n"/>
      <c r="I28" s="6" t="n"/>
      <c r="J28" s="6" t="n"/>
      <c r="K28" s="6" t="n"/>
    </row>
    <row r="29">
      <c r="A29" s="6" t="n"/>
      <c r="B29" s="6" t="n"/>
      <c r="C29" s="6" t="n"/>
      <c r="D29" s="6" t="n"/>
      <c r="E29" s="6" t="n"/>
      <c r="F29" s="6" t="n"/>
      <c r="G29" s="6" t="n"/>
      <c r="H29" s="6" t="n"/>
      <c r="I29" s="6" t="n"/>
      <c r="J29" s="6" t="n"/>
      <c r="K29" s="6" t="n"/>
    </row>
    <row r="30">
      <c r="A30" s="6" t="n"/>
      <c r="B30" s="6" t="n"/>
      <c r="C30" s="6" t="n"/>
      <c r="D30" s="6" t="n"/>
      <c r="E30" s="6" t="n"/>
      <c r="F30" s="6" t="n"/>
      <c r="G30" s="6" t="n"/>
      <c r="H30" s="6" t="n"/>
      <c r="I30" s="6" t="n"/>
      <c r="J30" s="6" t="n"/>
      <c r="K30" s="6" t="n"/>
    </row>
    <row r="31">
      <c r="A31" s="6" t="n"/>
      <c r="B31" s="6" t="n"/>
      <c r="C31" s="6" t="n"/>
      <c r="D31" s="6" t="n"/>
      <c r="E31" s="6" t="n"/>
      <c r="F31" s="6" t="n"/>
      <c r="G31" s="6" t="n"/>
      <c r="H31" s="6" t="n"/>
      <c r="I31" s="6" t="n"/>
      <c r="J31" s="6" t="n"/>
      <c r="K31" s="6" t="n"/>
    </row>
    <row r="32">
      <c r="A32" s="6" t="n"/>
      <c r="B32" s="6" t="n"/>
      <c r="C32" s="6" t="n"/>
      <c r="D32" s="6" t="n"/>
      <c r="E32" s="6" t="n"/>
      <c r="F32" s="6" t="n"/>
      <c r="G32" s="6" t="n"/>
      <c r="H32" s="6" t="n"/>
      <c r="I32" s="6" t="n"/>
      <c r="J32" s="6" t="n"/>
      <c r="K32" s="6" t="n"/>
    </row>
    <row r="33">
      <c r="A33" s="6" t="n"/>
      <c r="B33" s="6" t="n"/>
      <c r="C33" s="6" t="n"/>
      <c r="D33" s="6" t="n"/>
      <c r="E33" s="6" t="n"/>
      <c r="F33" s="6" t="n"/>
      <c r="G33" s="6" t="n"/>
      <c r="H33" s="6" t="n"/>
      <c r="I33" s="6" t="n"/>
      <c r="J33" s="6" t="n"/>
      <c r="K33" s="6" t="n"/>
    </row>
  </sheetData>
  <mergeCells count="1">
    <mergeCell ref="A1:K1"/>
  </mergeCells>
  <dataValidations count="3">
    <dataValidation sqref="D4 D5 D6 D7 D8 D9 D10 D11 D12 D13 D14 D15 D16 D17 D18 D19 D20 D21 D22 D23 D24 D25 D26 D27 D28 D29 D30 D31 D32 D33" showDropDown="0" showInputMessage="0" showErrorMessage="0" allowBlank="0" type="list">
      <formula1>"Yes,Partial,No,N/A"</formula1>
    </dataValidation>
    <dataValidation sqref="F4 F5 F6 F7 F8 F9 F10 F11 F12 F13 F14 F15 F16 F17 F18 F19 F20 F21 F22 F23 F24 F25 F26 F27 F28 F29 F30 F31 F32 F33" showDropDown="0" showInputMessage="0" showErrorMessage="0" allowBlank="0" type="list">
      <formula1>"Clear,Needs Improvement,Unclear"</formula1>
    </dataValidation>
    <dataValidation sqref="I4 I5 I6 I7 I8 I9 I10 I11 I12 I13 I14 I15 I16 I17 I18 I19 I20 I21 I22 I23 I24 I25 I26 I27 I28 I29 I30 I31 I32 I33" showDropDown="0" showInputMessage="0" showErrorMessage="0" allowBlank="0" type="list">
      <formula1>"Compliant,Gap Identified,Remediation In Progress"</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5"/>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25" customWidth="1" min="1" max="1"/>
    <col width="40" customWidth="1" min="2" max="2"/>
    <col width="16" customWidth="1" min="3" max="3"/>
    <col width="20" customWidth="1" min="4" max="4"/>
    <col width="18" customWidth="1" min="5" max="5"/>
    <col width="18" customWidth="1" min="6" max="6"/>
    <col width="35" customWidth="1" min="7" max="7"/>
    <col width="18" customWidth="1" min="8" max="8"/>
    <col width="18" customWidth="1" min="9" max="9"/>
  </cols>
  <sheetData>
    <row r="1" ht="30" customHeight="1">
      <c r="A1" s="1" t="inlineStr">
        <is>
          <t>ASSET COVERAGE MATRIX</t>
        </is>
      </c>
    </row>
    <row r="3">
      <c r="A3" s="5" t="inlineStr">
        <is>
          <t>Asset_Category</t>
        </is>
      </c>
      <c r="B3" s="5" t="inlineStr">
        <is>
          <t>Asset_Examples</t>
        </is>
      </c>
      <c r="C3" s="5" t="inlineStr">
        <is>
          <t>Covered_In_AUP</t>
        </is>
      </c>
      <c r="D3" s="5" t="inlineStr">
        <is>
          <t>Policy_Section</t>
        </is>
      </c>
      <c r="E3" s="5" t="inlineStr">
        <is>
          <t>Usage_Rules_Defined</t>
        </is>
      </c>
      <c r="F3" s="5" t="inlineStr">
        <is>
          <t>Handling_Rules_Defined</t>
        </is>
      </c>
      <c r="G3" s="5" t="inlineStr">
        <is>
          <t>Gap_Notes</t>
        </is>
      </c>
      <c r="H3" s="5" t="inlineStr">
        <is>
          <t>Remediation_Required</t>
        </is>
      </c>
      <c r="I3" s="5" t="inlineStr">
        <is>
          <t>Evidence_Ref</t>
        </is>
      </c>
    </row>
    <row r="4">
      <c r="A4" t="inlineStr">
        <is>
          <t>Information Assets</t>
        </is>
      </c>
      <c r="B4" t="inlineStr">
        <is>
          <t>Documents, databases, intellectual property</t>
        </is>
      </c>
      <c r="C4" s="6" t="n"/>
      <c r="D4" s="6" t="n"/>
      <c r="E4" s="6" t="n"/>
      <c r="F4" s="6" t="n"/>
      <c r="G4" s="6" t="n"/>
      <c r="H4" s="6" t="n"/>
      <c r="I4" s="6" t="n"/>
    </row>
    <row r="5">
      <c r="A5" t="inlineStr">
        <is>
          <t>Software Assets</t>
        </is>
      </c>
      <c r="B5" t="inlineStr">
        <is>
          <t>Applications, operating systems, development tools</t>
        </is>
      </c>
      <c r="C5" s="6" t="n"/>
      <c r="D5" s="6" t="n"/>
      <c r="E5" s="6" t="n"/>
      <c r="F5" s="6" t="n"/>
      <c r="G5" s="6" t="n"/>
      <c r="H5" s="6" t="n"/>
      <c r="I5" s="6" t="n"/>
    </row>
    <row r="6">
      <c r="A6" t="inlineStr">
        <is>
          <t>Hardware Assets</t>
        </is>
      </c>
      <c r="B6" t="inlineStr">
        <is>
          <t>Laptops, desktops, servers, mobile devices</t>
        </is>
      </c>
      <c r="C6" s="6" t="n"/>
      <c r="D6" s="6" t="n"/>
      <c r="E6" s="6" t="n"/>
      <c r="F6" s="6" t="n"/>
      <c r="G6" s="6" t="n"/>
      <c r="H6" s="6" t="n"/>
      <c r="I6" s="6" t="n"/>
    </row>
    <row r="7">
      <c r="A7" t="inlineStr">
        <is>
          <t>Network Assets</t>
        </is>
      </c>
      <c r="B7" t="inlineStr">
        <is>
          <t>Routers, switches, firewalls, VPN</t>
        </is>
      </c>
      <c r="C7" s="6" t="n"/>
      <c r="D7" s="6" t="n"/>
      <c r="E7" s="6" t="n"/>
      <c r="F7" s="6" t="n"/>
      <c r="G7" s="6" t="n"/>
      <c r="H7" s="6" t="n"/>
      <c r="I7" s="6" t="n"/>
    </row>
    <row r="8">
      <c r="A8" t="inlineStr">
        <is>
          <t>Cloud Services</t>
        </is>
      </c>
      <c r="B8" t="inlineStr">
        <is>
          <t>SaaS, IaaS, PaaS platforms</t>
        </is>
      </c>
      <c r="C8" s="6" t="n"/>
      <c r="D8" s="6" t="n"/>
      <c r="E8" s="6" t="n"/>
      <c r="F8" s="6" t="n"/>
      <c r="G8" s="6" t="n"/>
      <c r="H8" s="6" t="n"/>
      <c r="I8" s="6" t="n"/>
    </row>
    <row r="9">
      <c r="A9" t="inlineStr">
        <is>
          <t>Communication Tools</t>
        </is>
      </c>
      <c r="B9" t="inlineStr">
        <is>
          <t>Email, Teams, Slack, video conferencing</t>
        </is>
      </c>
      <c r="C9" s="6" t="n"/>
      <c r="D9" s="6" t="n"/>
      <c r="E9" s="6" t="n"/>
      <c r="F9" s="6" t="n"/>
      <c r="G9" s="6" t="n"/>
      <c r="H9" s="6" t="n"/>
      <c r="I9" s="6" t="n"/>
    </row>
    <row r="10">
      <c r="A10" t="inlineStr">
        <is>
          <t>Physical Media</t>
        </is>
      </c>
      <c r="B10" t="inlineStr">
        <is>
          <t>USB drives, external HDDs, backup tapes</t>
        </is>
      </c>
      <c r="C10" s="6" t="n"/>
      <c r="D10" s="6" t="n"/>
      <c r="E10" s="6" t="n"/>
      <c r="F10" s="6" t="n"/>
      <c r="G10" s="6" t="n"/>
      <c r="H10" s="6" t="n"/>
      <c r="I10" s="6" t="n"/>
    </row>
    <row r="11">
      <c r="A11" t="inlineStr">
        <is>
          <t>Authentication Assets</t>
        </is>
      </c>
      <c r="B11" t="inlineStr">
        <is>
          <t>Tokens, smart cards, certificates</t>
        </is>
      </c>
      <c r="C11" s="6" t="n"/>
      <c r="D11" s="6" t="n"/>
      <c r="E11" s="6" t="n"/>
      <c r="F11" s="6" t="n"/>
      <c r="G11" s="6" t="n"/>
      <c r="H11" s="6" t="n"/>
      <c r="I11" s="6" t="n"/>
    </row>
    <row r="12">
      <c r="A12" t="inlineStr">
        <is>
          <t>Development Environments</t>
        </is>
      </c>
      <c r="B12" t="inlineStr">
        <is>
          <t>IDEs, repositories, CI/CD pipelines</t>
        </is>
      </c>
      <c r="C12" s="6" t="n"/>
      <c r="D12" s="6" t="n"/>
      <c r="E12" s="6" t="n"/>
      <c r="F12" s="6" t="n"/>
      <c r="G12" s="6" t="n"/>
      <c r="H12" s="6" t="n"/>
      <c r="I12" s="6" t="n"/>
    </row>
    <row r="13">
      <c r="A13" t="inlineStr">
        <is>
          <t>Monitoring Systems</t>
        </is>
      </c>
      <c r="B13" t="inlineStr">
        <is>
          <t>SIEM, logging, alerting tools</t>
        </is>
      </c>
      <c r="C13" s="6" t="n"/>
      <c r="D13" s="6" t="n"/>
      <c r="E13" s="6" t="n"/>
      <c r="F13" s="6" t="n"/>
      <c r="G13" s="6" t="n"/>
      <c r="H13" s="6" t="n"/>
      <c r="I13" s="6" t="n"/>
    </row>
    <row r="14">
      <c r="A14" t="inlineStr">
        <is>
          <t>Personal Devices (BYOD)</t>
        </is>
      </c>
      <c r="B14" t="inlineStr">
        <is>
          <t>Personal phones, tablets, laptops</t>
        </is>
      </c>
      <c r="C14" s="6" t="n"/>
      <c r="D14" s="6" t="n"/>
      <c r="E14" s="6" t="n"/>
      <c r="F14" s="6" t="n"/>
      <c r="G14" s="6" t="n"/>
      <c r="H14" s="6" t="n"/>
      <c r="I14" s="6" t="n"/>
    </row>
    <row r="15">
      <c r="A15" t="inlineStr">
        <is>
          <t>IoT Devices</t>
        </is>
      </c>
      <c r="B15" t="inlineStr">
        <is>
          <t>Sensors, cameras, smart devices</t>
        </is>
      </c>
      <c r="C15" s="6" t="n"/>
      <c r="D15" s="6" t="n"/>
      <c r="E15" s="6" t="n"/>
      <c r="F15" s="6" t="n"/>
      <c r="G15" s="6" t="n"/>
      <c r="H15" s="6" t="n"/>
      <c r="I15" s="6" t="n"/>
    </row>
    <row r="16">
      <c r="A16" s="6" t="n"/>
      <c r="B16" s="6" t="n"/>
      <c r="C16" s="6" t="n"/>
      <c r="D16" s="6" t="n"/>
      <c r="E16" s="6" t="n"/>
      <c r="F16" s="6" t="n"/>
      <c r="G16" s="6" t="n"/>
      <c r="H16" s="6" t="n"/>
      <c r="I16" s="6" t="n"/>
    </row>
    <row r="17">
      <c r="A17" s="6" t="n"/>
      <c r="B17" s="6" t="n"/>
      <c r="C17" s="6" t="n"/>
      <c r="D17" s="6" t="n"/>
      <c r="E17" s="6" t="n"/>
      <c r="F17" s="6" t="n"/>
      <c r="G17" s="6" t="n"/>
      <c r="H17" s="6" t="n"/>
      <c r="I17" s="6" t="n"/>
    </row>
    <row r="18">
      <c r="A18" s="6" t="n"/>
      <c r="B18" s="6" t="n"/>
      <c r="C18" s="6" t="n"/>
      <c r="D18" s="6" t="n"/>
      <c r="E18" s="6" t="n"/>
      <c r="F18" s="6" t="n"/>
      <c r="G18" s="6" t="n"/>
      <c r="H18" s="6" t="n"/>
      <c r="I18" s="6" t="n"/>
    </row>
    <row r="19">
      <c r="A19" s="6" t="n"/>
      <c r="B19" s="6" t="n"/>
      <c r="C19" s="6" t="n"/>
      <c r="D19" s="6" t="n"/>
      <c r="E19" s="6" t="n"/>
      <c r="F19" s="6" t="n"/>
      <c r="G19" s="6" t="n"/>
      <c r="H19" s="6" t="n"/>
      <c r="I19" s="6" t="n"/>
    </row>
    <row r="20">
      <c r="A20" s="6" t="n"/>
      <c r="B20" s="6" t="n"/>
      <c r="C20" s="6" t="n"/>
      <c r="D20" s="6" t="n"/>
      <c r="E20" s="6" t="n"/>
      <c r="F20" s="6" t="n"/>
      <c r="G20" s="6" t="n"/>
      <c r="H20" s="6" t="n"/>
      <c r="I20" s="6" t="n"/>
    </row>
    <row r="21">
      <c r="A21" s="6" t="n"/>
      <c r="B21" s="6" t="n"/>
      <c r="C21" s="6" t="n"/>
      <c r="D21" s="6" t="n"/>
      <c r="E21" s="6" t="n"/>
      <c r="F21" s="6" t="n"/>
      <c r="G21" s="6" t="n"/>
      <c r="H21" s="6" t="n"/>
      <c r="I21" s="6" t="n"/>
    </row>
    <row r="22">
      <c r="A22" s="6" t="n"/>
      <c r="B22" s="6" t="n"/>
      <c r="C22" s="6" t="n"/>
      <c r="D22" s="6" t="n"/>
      <c r="E22" s="6" t="n"/>
      <c r="F22" s="6" t="n"/>
      <c r="G22" s="6" t="n"/>
      <c r="H22" s="6" t="n"/>
      <c r="I22" s="6" t="n"/>
    </row>
    <row r="23">
      <c r="A23" s="6" t="n"/>
      <c r="B23" s="6" t="n"/>
      <c r="C23" s="6" t="n"/>
      <c r="D23" s="6" t="n"/>
      <c r="E23" s="6" t="n"/>
      <c r="F23" s="6" t="n"/>
      <c r="G23" s="6" t="n"/>
      <c r="H23" s="6" t="n"/>
      <c r="I23" s="6" t="n"/>
    </row>
    <row r="24">
      <c r="A24" s="6" t="n"/>
      <c r="B24" s="6" t="n"/>
      <c r="C24" s="6" t="n"/>
      <c r="D24" s="6" t="n"/>
      <c r="E24" s="6" t="n"/>
      <c r="F24" s="6" t="n"/>
      <c r="G24" s="6" t="n"/>
      <c r="H24" s="6" t="n"/>
      <c r="I24" s="6" t="n"/>
    </row>
    <row r="25">
      <c r="A25" s="6" t="n"/>
      <c r="B25" s="6" t="n"/>
      <c r="C25" s="6" t="n"/>
      <c r="D25" s="6" t="n"/>
      <c r="E25" s="6" t="n"/>
      <c r="F25" s="6" t="n"/>
      <c r="G25" s="6" t="n"/>
      <c r="H25" s="6" t="n"/>
      <c r="I25" s="6" t="n"/>
    </row>
  </sheetData>
  <mergeCells count="1">
    <mergeCell ref="A1:I1"/>
  </mergeCells>
  <dataValidations count="2">
    <dataValidation sqref="C4 C5 C6 C7 C8 C9 C10 C11 C12 C13 C14 C15 C16 C17 C18 C19 C20 C21 C22 C23 C24 C25" showDropDown="0" showInputMessage="0" showErrorMessage="0" allowBlank="0" type="list">
      <formula1>"Yes,Partial,No"</formula1>
    </dataValidation>
    <dataValidation sqref="E4 E5 E6 E7 E8 E9 E10 E11 E12 E13 E14 E15 E16 E17 E18 E19 E20 E21 E22 E23 E24 E25 F4 F5 F6 F7 F8 F9 F10 F11 F12 F13 F14 F15 F16 F17 F18 F19 F20 F21 F22 F23 F24 F25 H4 H5 H6 H7 H8 H9 H10 H11 H12 H13 H14 H15 H16 H17 H18 H19 H20 H21 H22 H23 H24 H25" showDropDown="0" showInputMessage="0" showErrorMessage="0" allowBlank="0" type="list">
      <formula1>"Yes,No,N/A"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22" customWidth="1" min="1" max="1"/>
    <col width="14" customWidth="1" min="2" max="2"/>
    <col width="14" customWidth="1" min="3" max="3"/>
    <col width="14" customWidth="1" min="4" max="4"/>
    <col width="16" customWidth="1" min="5" max="5"/>
    <col width="18" customWidth="1" min="6" max="6"/>
    <col width="16" customWidth="1" min="7" max="7"/>
    <col width="22" customWidth="1" min="8" max="8"/>
    <col width="18" customWidth="1" min="9" max="9"/>
    <col width="35" customWidth="1" min="10" max="10"/>
  </cols>
  <sheetData>
    <row r="1" ht="30" customHeight="1">
      <c r="A1" s="1" t="inlineStr">
        <is>
          <t>USER AWARENESS AND ACKNOWLEDGMENT TRACKING</t>
        </is>
      </c>
    </row>
    <row r="3">
      <c r="A3" s="5" t="inlineStr">
        <is>
          <t>Department</t>
        </is>
      </c>
      <c r="B3" s="5" t="inlineStr">
        <is>
          <t>Total_Users</t>
        </is>
      </c>
      <c r="C3" s="5" t="inlineStr">
        <is>
          <t>Acknowledged</t>
        </is>
      </c>
      <c r="D3" s="5" t="inlineStr">
        <is>
          <t>Pending</t>
        </is>
      </c>
      <c r="E3" s="5" t="inlineStr">
        <is>
          <t>Acknowledgment_%</t>
        </is>
      </c>
      <c r="F3" s="5" t="inlineStr">
        <is>
          <t>Last_Campaign_Date</t>
        </is>
      </c>
      <c r="G3" s="5" t="inlineStr">
        <is>
          <t>Next_Due_Date</t>
        </is>
      </c>
      <c r="H3" s="5" t="inlineStr">
        <is>
          <t>Campaign_Method</t>
        </is>
      </c>
      <c r="I3" s="5" t="inlineStr">
        <is>
          <t>Escalation_Status</t>
        </is>
      </c>
      <c r="J3" s="5" t="inlineStr">
        <is>
          <t>Notes</t>
        </is>
      </c>
    </row>
    <row r="4">
      <c r="A4" t="inlineStr">
        <is>
          <t>Executive Leadership</t>
        </is>
      </c>
      <c r="B4" s="6" t="n"/>
      <c r="C4" s="6" t="n"/>
      <c r="D4" s="6" t="n"/>
      <c r="E4" s="7">
        <f>IF(B4&gt;0,C4/B4*100,"")</f>
        <v/>
      </c>
      <c r="F4" s="6" t="n"/>
      <c r="G4" s="6" t="n"/>
      <c r="H4" s="6" t="n"/>
      <c r="I4" s="6" t="n"/>
      <c r="J4" s="6" t="n"/>
    </row>
    <row r="5">
      <c r="A5" t="inlineStr">
        <is>
          <t>Finance</t>
        </is>
      </c>
      <c r="B5" s="6" t="n"/>
      <c r="C5" s="6" t="n"/>
      <c r="D5" s="6" t="n"/>
      <c r="E5" s="7">
        <f>IF(B5&gt;0,C5/B5*100,"")</f>
        <v/>
      </c>
      <c r="F5" s="6" t="n"/>
      <c r="G5" s="6" t="n"/>
      <c r="H5" s="6" t="n"/>
      <c r="I5" s="6" t="n"/>
      <c r="J5" s="6" t="n"/>
    </row>
    <row r="6">
      <c r="A6" t="inlineStr">
        <is>
          <t>Human Resources</t>
        </is>
      </c>
      <c r="B6" s="6" t="n"/>
      <c r="C6" s="6" t="n"/>
      <c r="D6" s="6" t="n"/>
      <c r="E6" s="7">
        <f>IF(B6&gt;0,C6/B6*100,"")</f>
        <v/>
      </c>
      <c r="F6" s="6" t="n"/>
      <c r="G6" s="6" t="n"/>
      <c r="H6" s="6" t="n"/>
      <c r="I6" s="6" t="n"/>
      <c r="J6" s="6" t="n"/>
    </row>
    <row r="7">
      <c r="A7" t="inlineStr">
        <is>
          <t>IT Operations</t>
        </is>
      </c>
      <c r="B7" s="6" t="n"/>
      <c r="C7" s="6" t="n"/>
      <c r="D7" s="6" t="n"/>
      <c r="E7" s="7">
        <f>IF(B7&gt;0,C7/B7*100,"")</f>
        <v/>
      </c>
      <c r="F7" s="6" t="n"/>
      <c r="G7" s="6" t="n"/>
      <c r="H7" s="6" t="n"/>
      <c r="I7" s="6" t="n"/>
      <c r="J7" s="6" t="n"/>
    </row>
    <row r="8">
      <c r="A8" t="inlineStr">
        <is>
          <t>Software Development</t>
        </is>
      </c>
      <c r="B8" s="6" t="n"/>
      <c r="C8" s="6" t="n"/>
      <c r="D8" s="6" t="n"/>
      <c r="E8" s="7">
        <f>IF(B8&gt;0,C8/B8*100,"")</f>
        <v/>
      </c>
      <c r="F8" s="6" t="n"/>
      <c r="G8" s="6" t="n"/>
      <c r="H8" s="6" t="n"/>
      <c r="I8" s="6" t="n"/>
      <c r="J8" s="6" t="n"/>
    </row>
    <row r="9">
      <c r="A9" t="inlineStr">
        <is>
          <t>Sales</t>
        </is>
      </c>
      <c r="B9" s="6" t="n"/>
      <c r="C9" s="6" t="n"/>
      <c r="D9" s="6" t="n"/>
      <c r="E9" s="7">
        <f>IF(B9&gt;0,C9/B9*100,"")</f>
        <v/>
      </c>
      <c r="F9" s="6" t="n"/>
      <c r="G9" s="6" t="n"/>
      <c r="H9" s="6" t="n"/>
      <c r="I9" s="6" t="n"/>
      <c r="J9" s="6" t="n"/>
    </row>
    <row r="10">
      <c r="A10" t="inlineStr">
        <is>
          <t>Marketing</t>
        </is>
      </c>
      <c r="B10" s="6" t="n"/>
      <c r="C10" s="6" t="n"/>
      <c r="D10" s="6" t="n"/>
      <c r="E10" s="7">
        <f>IF(B10&gt;0,C10/B10*100,"")</f>
        <v/>
      </c>
      <c r="F10" s="6" t="n"/>
      <c r="G10" s="6" t="n"/>
      <c r="H10" s="6" t="n"/>
      <c r="I10" s="6" t="n"/>
      <c r="J10" s="6" t="n"/>
    </row>
    <row r="11">
      <c r="A11" t="inlineStr">
        <is>
          <t>Customer Support</t>
        </is>
      </c>
      <c r="B11" s="6" t="n"/>
      <c r="C11" s="6" t="n"/>
      <c r="D11" s="6" t="n"/>
      <c r="E11" s="7">
        <f>IF(B11&gt;0,C11/B11*100,"")</f>
        <v/>
      </c>
      <c r="F11" s="6" t="n"/>
      <c r="G11" s="6" t="n"/>
      <c r="H11" s="6" t="n"/>
      <c r="I11" s="6" t="n"/>
      <c r="J11" s="6" t="n"/>
    </row>
    <row r="12">
      <c r="A12" t="inlineStr">
        <is>
          <t>Legal</t>
        </is>
      </c>
      <c r="B12" s="6" t="n"/>
      <c r="C12" s="6" t="n"/>
      <c r="D12" s="6" t="n"/>
      <c r="E12" s="7">
        <f>IF(B12&gt;0,C12/B12*100,"")</f>
        <v/>
      </c>
      <c r="F12" s="6" t="n"/>
      <c r="G12" s="6" t="n"/>
      <c r="H12" s="6" t="n"/>
      <c r="I12" s="6" t="n"/>
      <c r="J12" s="6" t="n"/>
    </row>
    <row r="13">
      <c r="A13" t="inlineStr">
        <is>
          <t>Facilities</t>
        </is>
      </c>
      <c r="B13" s="6" t="n"/>
      <c r="C13" s="6" t="n"/>
      <c r="D13" s="6" t="n"/>
      <c r="E13" s="7">
        <f>IF(B13&gt;0,C13/B13*100,"")</f>
        <v/>
      </c>
      <c r="F13" s="6" t="n"/>
      <c r="G13" s="6" t="n"/>
      <c r="H13" s="6" t="n"/>
      <c r="I13" s="6" t="n"/>
      <c r="J13" s="6" t="n"/>
    </row>
    <row r="14">
      <c r="A14" t="inlineStr">
        <is>
          <t>External Contractors</t>
        </is>
      </c>
      <c r="B14" s="6" t="n"/>
      <c r="C14" s="6" t="n"/>
      <c r="D14" s="6" t="n"/>
      <c r="E14" s="7">
        <f>IF(B14&gt;0,C14/B14*100,"")</f>
        <v/>
      </c>
      <c r="F14" s="6" t="n"/>
      <c r="G14" s="6" t="n"/>
      <c r="H14" s="6" t="n"/>
      <c r="I14" s="6" t="n"/>
      <c r="J14" s="6" t="n"/>
    </row>
    <row r="15">
      <c r="A15" s="6" t="n"/>
      <c r="B15" s="6" t="n"/>
      <c r="C15" s="6" t="n"/>
      <c r="D15" s="6" t="n"/>
      <c r="E15" s="8">
        <f>IF(B15&gt;0,C15/B15*100,"")</f>
        <v/>
      </c>
      <c r="F15" s="6" t="n"/>
      <c r="G15" s="6" t="n"/>
      <c r="H15" s="6" t="n"/>
      <c r="I15" s="6" t="n"/>
      <c r="J15" s="6" t="n"/>
    </row>
    <row r="16">
      <c r="A16" s="6" t="n"/>
      <c r="B16" s="6" t="n"/>
      <c r="C16" s="6" t="n"/>
      <c r="D16" s="6" t="n"/>
      <c r="E16" s="8">
        <f>IF(B16&gt;0,C16/B16*100,"")</f>
        <v/>
      </c>
      <c r="F16" s="6" t="n"/>
      <c r="G16" s="6" t="n"/>
      <c r="H16" s="6" t="n"/>
      <c r="I16" s="6" t="n"/>
      <c r="J16" s="6" t="n"/>
    </row>
    <row r="17">
      <c r="A17" s="6" t="n"/>
      <c r="B17" s="6" t="n"/>
      <c r="C17" s="6" t="n"/>
      <c r="D17" s="6" t="n"/>
      <c r="E17" s="8">
        <f>IF(B17&gt;0,C17/B17*100,"")</f>
        <v/>
      </c>
      <c r="F17" s="6" t="n"/>
      <c r="G17" s="6" t="n"/>
      <c r="H17" s="6" t="n"/>
      <c r="I17" s="6" t="n"/>
      <c r="J17" s="6" t="n"/>
    </row>
    <row r="18">
      <c r="A18" s="6" t="n"/>
      <c r="B18" s="6" t="n"/>
      <c r="C18" s="6" t="n"/>
      <c r="D18" s="6" t="n"/>
      <c r="E18" s="8">
        <f>IF(B18&gt;0,C18/B18*100,"")</f>
        <v/>
      </c>
      <c r="F18" s="6" t="n"/>
      <c r="G18" s="6" t="n"/>
      <c r="H18" s="6" t="n"/>
      <c r="I18" s="6" t="n"/>
      <c r="J18" s="6" t="n"/>
    </row>
    <row r="19">
      <c r="A19" s="6" t="n"/>
      <c r="B19" s="6" t="n"/>
      <c r="C19" s="6" t="n"/>
      <c r="D19" s="6" t="n"/>
      <c r="E19" s="8">
        <f>IF(B19&gt;0,C19/B19*100,"")</f>
        <v/>
      </c>
      <c r="F19" s="6" t="n"/>
      <c r="G19" s="6" t="n"/>
      <c r="H19" s="6" t="n"/>
      <c r="I19" s="6" t="n"/>
      <c r="J19" s="6" t="n"/>
    </row>
    <row r="20">
      <c r="A20" s="6" t="n"/>
      <c r="B20" s="6" t="n"/>
      <c r="C20" s="6" t="n"/>
      <c r="D20" s="6" t="n"/>
      <c r="E20" s="8">
        <f>IF(B20&gt;0,C20/B20*100,"")</f>
        <v/>
      </c>
      <c r="F20" s="6" t="n"/>
      <c r="G20" s="6" t="n"/>
      <c r="H20" s="6" t="n"/>
      <c r="I20" s="6" t="n"/>
      <c r="J20" s="6" t="n"/>
    </row>
    <row r="21">
      <c r="A21" s="6" t="n"/>
      <c r="B21" s="6" t="n"/>
      <c r="C21" s="6" t="n"/>
      <c r="D21" s="6" t="n"/>
      <c r="E21" s="8">
        <f>IF(B21&gt;0,C21/B21*100,"")</f>
        <v/>
      </c>
      <c r="F21" s="6" t="n"/>
      <c r="G21" s="6" t="n"/>
      <c r="H21" s="6" t="n"/>
      <c r="I21" s="6" t="n"/>
      <c r="J21" s="6" t="n"/>
    </row>
    <row r="22">
      <c r="A22" s="6" t="n"/>
      <c r="B22" s="6" t="n"/>
      <c r="C22" s="6" t="n"/>
      <c r="D22" s="6" t="n"/>
      <c r="E22" s="8">
        <f>IF(B22&gt;0,C22/B22*100,"")</f>
        <v/>
      </c>
      <c r="F22" s="6" t="n"/>
      <c r="G22" s="6" t="n"/>
      <c r="H22" s="6" t="n"/>
      <c r="I22" s="6" t="n"/>
      <c r="J22" s="6" t="n"/>
    </row>
    <row r="23">
      <c r="A23" s="6" t="n"/>
      <c r="B23" s="6" t="n"/>
      <c r="C23" s="6" t="n"/>
      <c r="D23" s="6" t="n"/>
      <c r="E23" s="8">
        <f>IF(B23&gt;0,C23/B23*100,"")</f>
        <v/>
      </c>
      <c r="F23" s="6" t="n"/>
      <c r="G23" s="6" t="n"/>
      <c r="H23" s="6" t="n"/>
      <c r="I23" s="6" t="n"/>
      <c r="J23" s="6" t="n"/>
    </row>
    <row r="24">
      <c r="A24" s="6" t="n"/>
      <c r="B24" s="6" t="n"/>
      <c r="C24" s="6" t="n"/>
      <c r="D24" s="6" t="n"/>
      <c r="E24" s="8">
        <f>IF(B24&gt;0,C24/B24*100,"")</f>
        <v/>
      </c>
      <c r="F24" s="6" t="n"/>
      <c r="G24" s="6" t="n"/>
      <c r="H24" s="6" t="n"/>
      <c r="I24" s="6" t="n"/>
      <c r="J24" s="6" t="n"/>
    </row>
    <row r="26">
      <c r="A26" s="9" t="inlineStr">
        <is>
          <t>TOTAL</t>
        </is>
      </c>
      <c r="B26" s="9">
        <f>SUM(B4:B25)</f>
        <v/>
      </c>
      <c r="C26" s="9">
        <f>SUM(C4:C25)</f>
        <v/>
      </c>
      <c r="D26" s="9">
        <f>SUM(D4:D25)</f>
        <v/>
      </c>
      <c r="E26" s="10">
        <f>IF(B26&gt;0,C26/B26*100,"")</f>
        <v/>
      </c>
    </row>
  </sheetData>
  <mergeCells count="1">
    <mergeCell ref="A1:J1"/>
  </mergeCells>
  <dataValidations count="2">
    <dataValidation sqref="H4 H5 H6 H7 H8 H9 H10 H11 H12 H13 H14 H15 H16 H17 H18 H19 H20 H21 H22 H23 H24" showDropDown="0" showInputMessage="0" showErrorMessage="0" allowBlank="0" type="list">
      <formula1>"Email,LMS,Intranet,In-Person,Onboarding"</formula1>
    </dataValidation>
    <dataValidation sqref="I4 I5 I6 I7 I8 I9 I10 I11 I12 I13 I14 I15 I16 I17 I18 I19 I20 I21 I22 I23 I24" showDropDown="0" showInputMessage="0" showErrorMessage="0" allowBlank="0" type="list">
      <formula1>"None Required,Reminder Sent,Manager Notified,HR Escalation"</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28" customWidth="1" min="1" max="1"/>
    <col width="25" customWidth="1" min="2" max="2"/>
    <col width="18" customWidth="1" min="3" max="3"/>
    <col width="18" customWidth="1" min="4" max="4"/>
    <col width="18" customWidth="1" min="5" max="5"/>
    <col width="18" customWidth="1" min="6" max="6"/>
    <col width="22" customWidth="1" min="7" max="7"/>
    <col width="35" customWidth="1" min="8" max="8"/>
    <col width="18" customWidth="1" min="9" max="9"/>
  </cols>
  <sheetData>
    <row r="1" ht="30" customHeight="1">
      <c r="A1" s="1" t="inlineStr">
        <is>
          <t>POLICY COMMUNICATION MATRIX</t>
        </is>
      </c>
    </row>
    <row r="3">
      <c r="A3" s="5" t="inlineStr">
        <is>
          <t>Communication_Channel</t>
        </is>
      </c>
      <c r="B3" s="5" t="inlineStr">
        <is>
          <t>Audience</t>
        </is>
      </c>
      <c r="C3" s="5" t="inlineStr">
        <is>
          <t>Frequency</t>
        </is>
      </c>
      <c r="D3" s="5" t="inlineStr">
        <is>
          <t>Last_Communication</t>
        </is>
      </c>
      <c r="E3" s="5" t="inlineStr">
        <is>
          <t>Next_Scheduled</t>
        </is>
      </c>
      <c r="F3" s="5" t="inlineStr">
        <is>
          <t>Effectiveness_Rating</t>
        </is>
      </c>
      <c r="G3" s="5" t="inlineStr">
        <is>
          <t>Owner</t>
        </is>
      </c>
      <c r="H3" s="5" t="inlineStr">
        <is>
          <t>Improvement_Actions</t>
        </is>
      </c>
      <c r="I3" s="5" t="inlineStr">
        <is>
          <t>Evidence_Ref</t>
        </is>
      </c>
    </row>
    <row r="4">
      <c r="A4" t="inlineStr">
        <is>
          <t>New Employee Onboarding</t>
        </is>
      </c>
      <c r="B4" t="inlineStr">
        <is>
          <t>New hires</t>
        </is>
      </c>
      <c r="C4" t="inlineStr">
        <is>
          <t>Per hire</t>
        </is>
      </c>
      <c r="D4" s="6" t="n"/>
      <c r="E4" s="6" t="n"/>
      <c r="F4" s="6" t="n"/>
      <c r="G4" s="6" t="n"/>
      <c r="H4" s="6" t="n"/>
      <c r="I4" s="6" t="n"/>
    </row>
    <row r="5">
      <c r="A5" t="inlineStr">
        <is>
          <t>Annual AUP Refresh Campaign</t>
        </is>
      </c>
      <c r="B5" t="inlineStr">
        <is>
          <t>All employees</t>
        </is>
      </c>
      <c r="C5" t="inlineStr">
        <is>
          <t>Annual</t>
        </is>
      </c>
      <c r="D5" s="6" t="n"/>
      <c r="E5" s="6" t="n"/>
      <c r="F5" s="6" t="n"/>
      <c r="G5" s="6" t="n"/>
      <c r="H5" s="6" t="n"/>
      <c r="I5" s="6" t="n"/>
    </row>
    <row r="6">
      <c r="A6" t="inlineStr">
        <is>
          <t>Intranet Policy Portal</t>
        </is>
      </c>
      <c r="B6" t="inlineStr">
        <is>
          <t>All employees</t>
        </is>
      </c>
      <c r="C6" t="inlineStr">
        <is>
          <t>Always available</t>
        </is>
      </c>
      <c r="D6" s="6" t="n"/>
      <c r="E6" s="6" t="n"/>
      <c r="F6" s="6" t="n"/>
      <c r="G6" s="6" t="n"/>
      <c r="H6" s="6" t="n"/>
      <c r="I6" s="6" t="n"/>
    </row>
    <row r="7">
      <c r="A7" t="inlineStr">
        <is>
          <t>Security Awareness Training</t>
        </is>
      </c>
      <c r="B7" t="inlineStr">
        <is>
          <t>All employees</t>
        </is>
      </c>
      <c r="C7" t="inlineStr">
        <is>
          <t>Annual</t>
        </is>
      </c>
      <c r="D7" s="6" t="n"/>
      <c r="E7" s="6" t="n"/>
      <c r="F7" s="6" t="n"/>
      <c r="G7" s="6" t="n"/>
      <c r="H7" s="6" t="n"/>
      <c r="I7" s="6" t="n"/>
    </row>
    <row r="8">
      <c r="A8" t="inlineStr">
        <is>
          <t>Manager Briefings</t>
        </is>
      </c>
      <c r="B8" t="inlineStr">
        <is>
          <t>People managers</t>
        </is>
      </c>
      <c r="C8" t="inlineStr">
        <is>
          <t>Quarterly</t>
        </is>
      </c>
      <c r="D8" s="6" t="n"/>
      <c r="E8" s="6" t="n"/>
      <c r="F8" s="6" t="n"/>
      <c r="G8" s="6" t="n"/>
      <c r="H8" s="6" t="n"/>
      <c r="I8" s="6" t="n"/>
    </row>
    <row r="9">
      <c r="A9" t="inlineStr">
        <is>
          <t>Contractor Onboarding</t>
        </is>
      </c>
      <c r="B9" t="inlineStr">
        <is>
          <t>New contractors</t>
        </is>
      </c>
      <c r="C9" t="inlineStr">
        <is>
          <t>Per engagement</t>
        </is>
      </c>
      <c r="D9" s="6" t="n"/>
      <c r="E9" s="6" t="n"/>
      <c r="F9" s="6" t="n"/>
      <c r="G9" s="6" t="n"/>
      <c r="H9" s="6" t="n"/>
      <c r="I9" s="6" t="n"/>
    </row>
    <row r="10">
      <c r="A10" t="inlineStr">
        <is>
          <t>Policy Update Notifications</t>
        </is>
      </c>
      <c r="B10" t="inlineStr">
        <is>
          <t>All employees</t>
        </is>
      </c>
      <c r="C10" t="inlineStr">
        <is>
          <t>As needed</t>
        </is>
      </c>
      <c r="D10" s="6" t="n"/>
      <c r="E10" s="6" t="n"/>
      <c r="F10" s="6" t="n"/>
      <c r="G10" s="6" t="n"/>
      <c r="H10" s="6" t="n"/>
      <c r="I10" s="6" t="n"/>
    </row>
    <row r="11">
      <c r="A11" t="inlineStr">
        <is>
          <t>Compliance Reminders</t>
        </is>
      </c>
      <c r="B11" t="inlineStr">
        <is>
          <t>Non-compliant users</t>
        </is>
      </c>
      <c r="C11" t="inlineStr">
        <is>
          <t>As needed</t>
        </is>
      </c>
      <c r="D11" s="6" t="n"/>
      <c r="E11" s="6" t="n"/>
      <c r="F11" s="6" t="n"/>
      <c r="G11" s="6" t="n"/>
      <c r="H11" s="6" t="n"/>
      <c r="I11" s="6" t="n"/>
    </row>
    <row r="12">
      <c r="A12" s="6" t="n"/>
      <c r="B12" s="6" t="n"/>
      <c r="C12" s="6" t="n"/>
      <c r="D12" s="6" t="n"/>
      <c r="E12" s="6" t="n"/>
      <c r="F12" s="6" t="n"/>
      <c r="G12" s="6" t="n"/>
      <c r="H12" s="6" t="n"/>
      <c r="I12" s="6" t="n"/>
    </row>
    <row r="13">
      <c r="A13" s="6" t="n"/>
      <c r="B13" s="6" t="n"/>
      <c r="C13" s="6" t="n"/>
      <c r="D13" s="6" t="n"/>
      <c r="E13" s="6" t="n"/>
      <c r="F13" s="6" t="n"/>
      <c r="G13" s="6" t="n"/>
      <c r="H13" s="6" t="n"/>
      <c r="I13" s="6" t="n"/>
    </row>
    <row r="14">
      <c r="A14" s="6" t="n"/>
      <c r="B14" s="6" t="n"/>
      <c r="C14" s="6" t="n"/>
      <c r="D14" s="6" t="n"/>
      <c r="E14" s="6" t="n"/>
      <c r="F14" s="6" t="n"/>
      <c r="G14" s="6" t="n"/>
      <c r="H14" s="6" t="n"/>
      <c r="I14" s="6" t="n"/>
    </row>
    <row r="15">
      <c r="A15" s="6" t="n"/>
      <c r="B15" s="6" t="n"/>
      <c r="C15" s="6" t="n"/>
      <c r="D15" s="6" t="n"/>
      <c r="E15" s="6" t="n"/>
      <c r="F15" s="6" t="n"/>
      <c r="G15" s="6" t="n"/>
      <c r="H15" s="6" t="n"/>
      <c r="I15" s="6" t="n"/>
    </row>
    <row r="16">
      <c r="A16" s="6" t="n"/>
      <c r="B16" s="6" t="n"/>
      <c r="C16" s="6" t="n"/>
      <c r="D16" s="6" t="n"/>
      <c r="E16" s="6" t="n"/>
      <c r="F16" s="6" t="n"/>
      <c r="G16" s="6" t="n"/>
      <c r="H16" s="6" t="n"/>
      <c r="I16" s="6" t="n"/>
    </row>
    <row r="17">
      <c r="A17" s="6" t="n"/>
      <c r="B17" s="6" t="n"/>
      <c r="C17" s="6" t="n"/>
      <c r="D17" s="6" t="n"/>
      <c r="E17" s="6" t="n"/>
      <c r="F17" s="6" t="n"/>
      <c r="G17" s="6" t="n"/>
      <c r="H17" s="6" t="n"/>
      <c r="I17" s="6" t="n"/>
    </row>
    <row r="18">
      <c r="A18" s="6" t="n"/>
      <c r="B18" s="6" t="n"/>
      <c r="C18" s="6" t="n"/>
      <c r="D18" s="6" t="n"/>
      <c r="E18" s="6" t="n"/>
      <c r="F18" s="6" t="n"/>
      <c r="G18" s="6" t="n"/>
      <c r="H18" s="6" t="n"/>
      <c r="I18" s="6" t="n"/>
    </row>
    <row r="19">
      <c r="A19" s="6" t="n"/>
      <c r="B19" s="6" t="n"/>
      <c r="C19" s="6" t="n"/>
      <c r="D19" s="6" t="n"/>
      <c r="E19" s="6" t="n"/>
      <c r="F19" s="6" t="n"/>
      <c r="G19" s="6" t="n"/>
      <c r="H19" s="6" t="n"/>
      <c r="I19" s="6" t="n"/>
    </row>
    <row r="20">
      <c r="A20" s="6" t="n"/>
      <c r="B20" s="6" t="n"/>
      <c r="C20" s="6" t="n"/>
      <c r="D20" s="6" t="n"/>
      <c r="E20" s="6" t="n"/>
      <c r="F20" s="6" t="n"/>
      <c r="G20" s="6" t="n"/>
      <c r="H20" s="6" t="n"/>
      <c r="I20" s="6" t="n"/>
    </row>
    <row r="21">
      <c r="A21" s="6" t="n"/>
      <c r="B21" s="6" t="n"/>
      <c r="C21" s="6" t="n"/>
      <c r="D21" s="6" t="n"/>
      <c r="E21" s="6" t="n"/>
      <c r="F21" s="6" t="n"/>
      <c r="G21" s="6" t="n"/>
      <c r="H21" s="6" t="n"/>
      <c r="I21" s="6" t="n"/>
    </row>
  </sheetData>
  <mergeCells count="1">
    <mergeCell ref="A1:I1"/>
  </mergeCells>
  <dataValidations count="2">
    <dataValidation sqref="C4 C5 C6 C7 C8 C9 C10 C11 C12 C13 C14 C15 C16 C17 C18 C19 C20 C21" showDropDown="0" showInputMessage="0" showErrorMessage="0" allowBlank="0" type="list">
      <formula1>"Daily,Weekly,Monthly,Quarterly,Annual,Per hire,As needed,Always available"</formula1>
    </dataValidation>
    <dataValidation sqref="F4 F5 F6 F7 F8 F9 F10 F11 F12 F13 F14 F15 F16 F17 F18 F19 F20 F21" showDropDown="0" showInputMessage="0" showErrorMessage="0" allowBlank="0" type="list">
      <formula1>"Highly Effective,Effective,Needs Improvement,Ineffective"</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53"/>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5" customWidth="1" min="1" max="1"/>
    <col width="22" customWidth="1" min="2" max="2"/>
    <col width="45" customWidth="1" min="3" max="3"/>
    <col width="25" customWidth="1" min="4" max="4"/>
    <col width="16" customWidth="1" min="5" max="5"/>
    <col width="40" customWidth="1" min="6" max="6"/>
    <col width="25" customWidth="1" min="7" max="7"/>
    <col width="16" customWidth="1" min="8" max="8"/>
  </cols>
  <sheetData>
    <row r="1" ht="30" customHeight="1">
      <c r="A1" s="1" t="inlineStr">
        <is>
          <t>EVIDENCE REGISTER</t>
        </is>
      </c>
    </row>
    <row r="3">
      <c r="A3" s="5" t="inlineStr">
        <is>
          <t>Evidence_ID</t>
        </is>
      </c>
      <c r="B3" s="5" t="inlineStr">
        <is>
          <t>Evidence_Type</t>
        </is>
      </c>
      <c r="C3" s="5" t="inlineStr">
        <is>
          <t>Description</t>
        </is>
      </c>
      <c r="D3" s="5" t="inlineStr">
        <is>
          <t>Related_Requirement</t>
        </is>
      </c>
      <c r="E3" s="5" t="inlineStr">
        <is>
          <t>Collection_Date</t>
        </is>
      </c>
      <c r="F3" s="5" t="inlineStr">
        <is>
          <t>Location</t>
        </is>
      </c>
      <c r="G3" s="5" t="inlineStr">
        <is>
          <t>Collected_By</t>
        </is>
      </c>
      <c r="H3" s="5" t="inlineStr">
        <is>
          <t>Valid_Until</t>
        </is>
      </c>
    </row>
    <row r="4">
      <c r="A4" s="11" t="inlineStr">
        <is>
          <t>EV-001</t>
        </is>
      </c>
      <c r="B4" s="6" t="n"/>
      <c r="C4" s="6" t="n"/>
      <c r="D4" s="6" t="n"/>
      <c r="E4" s="6" t="n"/>
      <c r="F4" s="6" t="n"/>
      <c r="G4" s="6" t="n"/>
      <c r="H4" s="6" t="n"/>
    </row>
    <row r="5">
      <c r="A5" s="11" t="inlineStr">
        <is>
          <t>EV-002</t>
        </is>
      </c>
      <c r="B5" s="6" t="n"/>
      <c r="C5" s="6" t="n"/>
      <c r="D5" s="6" t="n"/>
      <c r="E5" s="6" t="n"/>
      <c r="F5" s="6" t="n"/>
      <c r="G5" s="6" t="n"/>
      <c r="H5" s="6" t="n"/>
    </row>
    <row r="6">
      <c r="A6" s="11" t="inlineStr">
        <is>
          <t>EV-003</t>
        </is>
      </c>
      <c r="B6" s="6" t="n"/>
      <c r="C6" s="6" t="n"/>
      <c r="D6" s="6" t="n"/>
      <c r="E6" s="6" t="n"/>
      <c r="F6" s="6" t="n"/>
      <c r="G6" s="6" t="n"/>
      <c r="H6" s="6" t="n"/>
    </row>
    <row r="7">
      <c r="A7" s="11" t="inlineStr">
        <is>
          <t>EV-004</t>
        </is>
      </c>
      <c r="B7" s="6" t="n"/>
      <c r="C7" s="6" t="n"/>
      <c r="D7" s="6" t="n"/>
      <c r="E7" s="6" t="n"/>
      <c r="F7" s="6" t="n"/>
      <c r="G7" s="6" t="n"/>
      <c r="H7" s="6" t="n"/>
    </row>
    <row r="8">
      <c r="A8" s="11" t="inlineStr">
        <is>
          <t>EV-005</t>
        </is>
      </c>
      <c r="B8" s="6" t="n"/>
      <c r="C8" s="6" t="n"/>
      <c r="D8" s="6" t="n"/>
      <c r="E8" s="6" t="n"/>
      <c r="F8" s="6" t="n"/>
      <c r="G8" s="6" t="n"/>
      <c r="H8" s="6" t="n"/>
    </row>
    <row r="9">
      <c r="A9" s="11" t="inlineStr">
        <is>
          <t>EV-006</t>
        </is>
      </c>
      <c r="B9" s="6" t="n"/>
      <c r="C9" s="6" t="n"/>
      <c r="D9" s="6" t="n"/>
      <c r="E9" s="6" t="n"/>
      <c r="F9" s="6" t="n"/>
      <c r="G9" s="6" t="n"/>
      <c r="H9" s="6" t="n"/>
    </row>
    <row r="10">
      <c r="A10" s="11" t="inlineStr">
        <is>
          <t>EV-007</t>
        </is>
      </c>
      <c r="B10" s="6" t="n"/>
      <c r="C10" s="6" t="n"/>
      <c r="D10" s="6" t="n"/>
      <c r="E10" s="6" t="n"/>
      <c r="F10" s="6" t="n"/>
      <c r="G10" s="6" t="n"/>
      <c r="H10" s="6" t="n"/>
    </row>
    <row r="11">
      <c r="A11" s="11" t="inlineStr">
        <is>
          <t>EV-008</t>
        </is>
      </c>
      <c r="B11" s="6" t="n"/>
      <c r="C11" s="6" t="n"/>
      <c r="D11" s="6" t="n"/>
      <c r="E11" s="6" t="n"/>
      <c r="F11" s="6" t="n"/>
      <c r="G11" s="6" t="n"/>
      <c r="H11" s="6" t="n"/>
    </row>
    <row r="12">
      <c r="A12" s="11" t="inlineStr">
        <is>
          <t>EV-009</t>
        </is>
      </c>
      <c r="B12" s="6" t="n"/>
      <c r="C12" s="6" t="n"/>
      <c r="D12" s="6" t="n"/>
      <c r="E12" s="6" t="n"/>
      <c r="F12" s="6" t="n"/>
      <c r="G12" s="6" t="n"/>
      <c r="H12" s="6" t="n"/>
    </row>
    <row r="13">
      <c r="A13" s="11" t="inlineStr">
        <is>
          <t>EV-010</t>
        </is>
      </c>
      <c r="B13" s="6" t="n"/>
      <c r="C13" s="6" t="n"/>
      <c r="D13" s="6" t="n"/>
      <c r="E13" s="6" t="n"/>
      <c r="F13" s="6" t="n"/>
      <c r="G13" s="6" t="n"/>
      <c r="H13" s="6" t="n"/>
    </row>
    <row r="14">
      <c r="A14" s="11" t="inlineStr">
        <is>
          <t>EV-011</t>
        </is>
      </c>
      <c r="B14" s="6" t="n"/>
      <c r="C14" s="6" t="n"/>
      <c r="D14" s="6" t="n"/>
      <c r="E14" s="6" t="n"/>
      <c r="F14" s="6" t="n"/>
      <c r="G14" s="6" t="n"/>
      <c r="H14" s="6" t="n"/>
    </row>
    <row r="15">
      <c r="A15" s="11" t="inlineStr">
        <is>
          <t>EV-012</t>
        </is>
      </c>
      <c r="B15" s="6" t="n"/>
      <c r="C15" s="6" t="n"/>
      <c r="D15" s="6" t="n"/>
      <c r="E15" s="6" t="n"/>
      <c r="F15" s="6" t="n"/>
      <c r="G15" s="6" t="n"/>
      <c r="H15" s="6" t="n"/>
    </row>
    <row r="16">
      <c r="A16" s="11" t="inlineStr">
        <is>
          <t>EV-013</t>
        </is>
      </c>
      <c r="B16" s="6" t="n"/>
      <c r="C16" s="6" t="n"/>
      <c r="D16" s="6" t="n"/>
      <c r="E16" s="6" t="n"/>
      <c r="F16" s="6" t="n"/>
      <c r="G16" s="6" t="n"/>
      <c r="H16" s="6" t="n"/>
    </row>
    <row r="17">
      <c r="A17" s="11" t="inlineStr">
        <is>
          <t>EV-014</t>
        </is>
      </c>
      <c r="B17" s="6" t="n"/>
      <c r="C17" s="6" t="n"/>
      <c r="D17" s="6" t="n"/>
      <c r="E17" s="6" t="n"/>
      <c r="F17" s="6" t="n"/>
      <c r="G17" s="6" t="n"/>
      <c r="H17" s="6" t="n"/>
    </row>
    <row r="18">
      <c r="A18" s="11" t="inlineStr">
        <is>
          <t>EV-015</t>
        </is>
      </c>
      <c r="B18" s="6" t="n"/>
      <c r="C18" s="6" t="n"/>
      <c r="D18" s="6" t="n"/>
      <c r="E18" s="6" t="n"/>
      <c r="F18" s="6" t="n"/>
      <c r="G18" s="6" t="n"/>
      <c r="H18" s="6" t="n"/>
    </row>
    <row r="19">
      <c r="A19" s="11" t="inlineStr">
        <is>
          <t>EV-016</t>
        </is>
      </c>
      <c r="B19" s="6" t="n"/>
      <c r="C19" s="6" t="n"/>
      <c r="D19" s="6" t="n"/>
      <c r="E19" s="6" t="n"/>
      <c r="F19" s="6" t="n"/>
      <c r="G19" s="6" t="n"/>
      <c r="H19" s="6" t="n"/>
    </row>
    <row r="20">
      <c r="A20" s="11" t="inlineStr">
        <is>
          <t>EV-017</t>
        </is>
      </c>
      <c r="B20" s="6" t="n"/>
      <c r="C20" s="6" t="n"/>
      <c r="D20" s="6" t="n"/>
      <c r="E20" s="6" t="n"/>
      <c r="F20" s="6" t="n"/>
      <c r="G20" s="6" t="n"/>
      <c r="H20" s="6" t="n"/>
    </row>
    <row r="21">
      <c r="A21" s="11" t="inlineStr">
        <is>
          <t>EV-018</t>
        </is>
      </c>
      <c r="B21" s="6" t="n"/>
      <c r="C21" s="6" t="n"/>
      <c r="D21" s="6" t="n"/>
      <c r="E21" s="6" t="n"/>
      <c r="F21" s="6" t="n"/>
      <c r="G21" s="6" t="n"/>
      <c r="H21" s="6" t="n"/>
    </row>
    <row r="22">
      <c r="A22" s="11" t="inlineStr">
        <is>
          <t>EV-019</t>
        </is>
      </c>
      <c r="B22" s="6" t="n"/>
      <c r="C22" s="6" t="n"/>
      <c r="D22" s="6" t="n"/>
      <c r="E22" s="6" t="n"/>
      <c r="F22" s="6" t="n"/>
      <c r="G22" s="6" t="n"/>
      <c r="H22" s="6" t="n"/>
    </row>
    <row r="23">
      <c r="A23" s="11" t="inlineStr">
        <is>
          <t>EV-020</t>
        </is>
      </c>
      <c r="B23" s="6" t="n"/>
      <c r="C23" s="6" t="n"/>
      <c r="D23" s="6" t="n"/>
      <c r="E23" s="6" t="n"/>
      <c r="F23" s="6" t="n"/>
      <c r="G23" s="6" t="n"/>
      <c r="H23" s="6" t="n"/>
    </row>
    <row r="24">
      <c r="A24" s="11" t="inlineStr">
        <is>
          <t>EV-021</t>
        </is>
      </c>
      <c r="B24" s="6" t="n"/>
      <c r="C24" s="6" t="n"/>
      <c r="D24" s="6" t="n"/>
      <c r="E24" s="6" t="n"/>
      <c r="F24" s="6" t="n"/>
      <c r="G24" s="6" t="n"/>
      <c r="H24" s="6" t="n"/>
    </row>
    <row r="25">
      <c r="A25" s="11" t="inlineStr">
        <is>
          <t>EV-022</t>
        </is>
      </c>
      <c r="B25" s="6" t="n"/>
      <c r="C25" s="6" t="n"/>
      <c r="D25" s="6" t="n"/>
      <c r="E25" s="6" t="n"/>
      <c r="F25" s="6" t="n"/>
      <c r="G25" s="6" t="n"/>
      <c r="H25" s="6" t="n"/>
    </row>
    <row r="26">
      <c r="A26" s="11" t="inlineStr">
        <is>
          <t>EV-023</t>
        </is>
      </c>
      <c r="B26" s="6" t="n"/>
      <c r="C26" s="6" t="n"/>
      <c r="D26" s="6" t="n"/>
      <c r="E26" s="6" t="n"/>
      <c r="F26" s="6" t="n"/>
      <c r="G26" s="6" t="n"/>
      <c r="H26" s="6" t="n"/>
    </row>
    <row r="27">
      <c r="A27" s="11" t="inlineStr">
        <is>
          <t>EV-024</t>
        </is>
      </c>
      <c r="B27" s="6" t="n"/>
      <c r="C27" s="6" t="n"/>
      <c r="D27" s="6" t="n"/>
      <c r="E27" s="6" t="n"/>
      <c r="F27" s="6" t="n"/>
      <c r="G27" s="6" t="n"/>
      <c r="H27" s="6" t="n"/>
    </row>
    <row r="28">
      <c r="A28" s="11" t="inlineStr">
        <is>
          <t>EV-025</t>
        </is>
      </c>
      <c r="B28" s="6" t="n"/>
      <c r="C28" s="6" t="n"/>
      <c r="D28" s="6" t="n"/>
      <c r="E28" s="6" t="n"/>
      <c r="F28" s="6" t="n"/>
      <c r="G28" s="6" t="n"/>
      <c r="H28" s="6" t="n"/>
    </row>
    <row r="29">
      <c r="A29" s="11" t="inlineStr">
        <is>
          <t>EV-026</t>
        </is>
      </c>
      <c r="B29" s="6" t="n"/>
      <c r="C29" s="6" t="n"/>
      <c r="D29" s="6" t="n"/>
      <c r="E29" s="6" t="n"/>
      <c r="F29" s="6" t="n"/>
      <c r="G29" s="6" t="n"/>
      <c r="H29" s="6" t="n"/>
    </row>
    <row r="30">
      <c r="A30" s="11" t="inlineStr">
        <is>
          <t>EV-027</t>
        </is>
      </c>
      <c r="B30" s="6" t="n"/>
      <c r="C30" s="6" t="n"/>
      <c r="D30" s="6" t="n"/>
      <c r="E30" s="6" t="n"/>
      <c r="F30" s="6" t="n"/>
      <c r="G30" s="6" t="n"/>
      <c r="H30" s="6" t="n"/>
    </row>
    <row r="31">
      <c r="A31" s="11" t="inlineStr">
        <is>
          <t>EV-028</t>
        </is>
      </c>
      <c r="B31" s="6" t="n"/>
      <c r="C31" s="6" t="n"/>
      <c r="D31" s="6" t="n"/>
      <c r="E31" s="6" t="n"/>
      <c r="F31" s="6" t="n"/>
      <c r="G31" s="6" t="n"/>
      <c r="H31" s="6" t="n"/>
    </row>
    <row r="32">
      <c r="A32" s="11" t="inlineStr">
        <is>
          <t>EV-029</t>
        </is>
      </c>
      <c r="B32" s="6" t="n"/>
      <c r="C32" s="6" t="n"/>
      <c r="D32" s="6" t="n"/>
      <c r="E32" s="6" t="n"/>
      <c r="F32" s="6" t="n"/>
      <c r="G32" s="6" t="n"/>
      <c r="H32" s="6" t="n"/>
    </row>
    <row r="33">
      <c r="A33" s="11" t="inlineStr">
        <is>
          <t>EV-030</t>
        </is>
      </c>
      <c r="B33" s="6" t="n"/>
      <c r="C33" s="6" t="n"/>
      <c r="D33" s="6" t="n"/>
      <c r="E33" s="6" t="n"/>
      <c r="F33" s="6" t="n"/>
      <c r="G33" s="6" t="n"/>
      <c r="H33" s="6" t="n"/>
    </row>
    <row r="34">
      <c r="A34" s="11" t="inlineStr">
        <is>
          <t>EV-031</t>
        </is>
      </c>
      <c r="B34" s="6" t="n"/>
      <c r="C34" s="6" t="n"/>
      <c r="D34" s="6" t="n"/>
      <c r="E34" s="6" t="n"/>
      <c r="F34" s="6" t="n"/>
      <c r="G34" s="6" t="n"/>
      <c r="H34" s="6" t="n"/>
    </row>
    <row r="35">
      <c r="A35" s="11" t="inlineStr">
        <is>
          <t>EV-032</t>
        </is>
      </c>
      <c r="B35" s="6" t="n"/>
      <c r="C35" s="6" t="n"/>
      <c r="D35" s="6" t="n"/>
      <c r="E35" s="6" t="n"/>
      <c r="F35" s="6" t="n"/>
      <c r="G35" s="6" t="n"/>
      <c r="H35" s="6" t="n"/>
    </row>
    <row r="36">
      <c r="A36" s="11" t="inlineStr">
        <is>
          <t>EV-033</t>
        </is>
      </c>
      <c r="B36" s="6" t="n"/>
      <c r="C36" s="6" t="n"/>
      <c r="D36" s="6" t="n"/>
      <c r="E36" s="6" t="n"/>
      <c r="F36" s="6" t="n"/>
      <c r="G36" s="6" t="n"/>
      <c r="H36" s="6" t="n"/>
    </row>
    <row r="37">
      <c r="A37" s="11" t="inlineStr">
        <is>
          <t>EV-034</t>
        </is>
      </c>
      <c r="B37" s="6" t="n"/>
      <c r="C37" s="6" t="n"/>
      <c r="D37" s="6" t="n"/>
      <c r="E37" s="6" t="n"/>
      <c r="F37" s="6" t="n"/>
      <c r="G37" s="6" t="n"/>
      <c r="H37" s="6" t="n"/>
    </row>
    <row r="38">
      <c r="A38" s="11" t="inlineStr">
        <is>
          <t>EV-035</t>
        </is>
      </c>
      <c r="B38" s="6" t="n"/>
      <c r="C38" s="6" t="n"/>
      <c r="D38" s="6" t="n"/>
      <c r="E38" s="6" t="n"/>
      <c r="F38" s="6" t="n"/>
      <c r="G38" s="6" t="n"/>
      <c r="H38" s="6" t="n"/>
    </row>
    <row r="39">
      <c r="A39" s="11" t="inlineStr">
        <is>
          <t>EV-036</t>
        </is>
      </c>
      <c r="B39" s="6" t="n"/>
      <c r="C39" s="6" t="n"/>
      <c r="D39" s="6" t="n"/>
      <c r="E39" s="6" t="n"/>
      <c r="F39" s="6" t="n"/>
      <c r="G39" s="6" t="n"/>
      <c r="H39" s="6" t="n"/>
    </row>
    <row r="40">
      <c r="A40" s="11" t="inlineStr">
        <is>
          <t>EV-037</t>
        </is>
      </c>
      <c r="B40" s="6" t="n"/>
      <c r="C40" s="6" t="n"/>
      <c r="D40" s="6" t="n"/>
      <c r="E40" s="6" t="n"/>
      <c r="F40" s="6" t="n"/>
      <c r="G40" s="6" t="n"/>
      <c r="H40" s="6" t="n"/>
    </row>
    <row r="41">
      <c r="A41" s="11" t="inlineStr">
        <is>
          <t>EV-038</t>
        </is>
      </c>
      <c r="B41" s="6" t="n"/>
      <c r="C41" s="6" t="n"/>
      <c r="D41" s="6" t="n"/>
      <c r="E41" s="6" t="n"/>
      <c r="F41" s="6" t="n"/>
      <c r="G41" s="6" t="n"/>
      <c r="H41" s="6" t="n"/>
    </row>
    <row r="42">
      <c r="A42" s="11" t="inlineStr">
        <is>
          <t>EV-039</t>
        </is>
      </c>
      <c r="B42" s="6" t="n"/>
      <c r="C42" s="6" t="n"/>
      <c r="D42" s="6" t="n"/>
      <c r="E42" s="6" t="n"/>
      <c r="F42" s="6" t="n"/>
      <c r="G42" s="6" t="n"/>
      <c r="H42" s="6" t="n"/>
    </row>
    <row r="43">
      <c r="A43" s="11" t="inlineStr">
        <is>
          <t>EV-040</t>
        </is>
      </c>
      <c r="B43" s="6" t="n"/>
      <c r="C43" s="6" t="n"/>
      <c r="D43" s="6" t="n"/>
      <c r="E43" s="6" t="n"/>
      <c r="F43" s="6" t="n"/>
      <c r="G43" s="6" t="n"/>
      <c r="H43" s="6" t="n"/>
    </row>
    <row r="44">
      <c r="A44" s="11" t="inlineStr">
        <is>
          <t>EV-041</t>
        </is>
      </c>
      <c r="B44" s="6" t="n"/>
      <c r="C44" s="6" t="n"/>
      <c r="D44" s="6" t="n"/>
      <c r="E44" s="6" t="n"/>
      <c r="F44" s="6" t="n"/>
      <c r="G44" s="6" t="n"/>
      <c r="H44" s="6" t="n"/>
    </row>
    <row r="45">
      <c r="A45" s="11" t="inlineStr">
        <is>
          <t>EV-042</t>
        </is>
      </c>
      <c r="B45" s="6" t="n"/>
      <c r="C45" s="6" t="n"/>
      <c r="D45" s="6" t="n"/>
      <c r="E45" s="6" t="n"/>
      <c r="F45" s="6" t="n"/>
      <c r="G45" s="6" t="n"/>
      <c r="H45" s="6" t="n"/>
    </row>
    <row r="46">
      <c r="A46" s="11" t="inlineStr">
        <is>
          <t>EV-043</t>
        </is>
      </c>
      <c r="B46" s="6" t="n"/>
      <c r="C46" s="6" t="n"/>
      <c r="D46" s="6" t="n"/>
      <c r="E46" s="6" t="n"/>
      <c r="F46" s="6" t="n"/>
      <c r="G46" s="6" t="n"/>
      <c r="H46" s="6" t="n"/>
    </row>
    <row r="47">
      <c r="A47" s="11" t="inlineStr">
        <is>
          <t>EV-044</t>
        </is>
      </c>
      <c r="B47" s="6" t="n"/>
      <c r="C47" s="6" t="n"/>
      <c r="D47" s="6" t="n"/>
      <c r="E47" s="6" t="n"/>
      <c r="F47" s="6" t="n"/>
      <c r="G47" s="6" t="n"/>
      <c r="H47" s="6" t="n"/>
    </row>
    <row r="48">
      <c r="A48" s="11" t="inlineStr">
        <is>
          <t>EV-045</t>
        </is>
      </c>
      <c r="B48" s="6" t="n"/>
      <c r="C48" s="6" t="n"/>
      <c r="D48" s="6" t="n"/>
      <c r="E48" s="6" t="n"/>
      <c r="F48" s="6" t="n"/>
      <c r="G48" s="6" t="n"/>
      <c r="H48" s="6" t="n"/>
    </row>
    <row r="49">
      <c r="A49" s="11" t="inlineStr">
        <is>
          <t>EV-046</t>
        </is>
      </c>
      <c r="B49" s="6" t="n"/>
      <c r="C49" s="6" t="n"/>
      <c r="D49" s="6" t="n"/>
      <c r="E49" s="6" t="n"/>
      <c r="F49" s="6" t="n"/>
      <c r="G49" s="6" t="n"/>
      <c r="H49" s="6" t="n"/>
    </row>
    <row r="50">
      <c r="A50" s="11" t="inlineStr">
        <is>
          <t>EV-047</t>
        </is>
      </c>
      <c r="B50" s="6" t="n"/>
      <c r="C50" s="6" t="n"/>
      <c r="D50" s="6" t="n"/>
      <c r="E50" s="6" t="n"/>
      <c r="F50" s="6" t="n"/>
      <c r="G50" s="6" t="n"/>
      <c r="H50" s="6" t="n"/>
    </row>
    <row r="51">
      <c r="A51" s="11" t="inlineStr">
        <is>
          <t>EV-048</t>
        </is>
      </c>
      <c r="B51" s="6" t="n"/>
      <c r="C51" s="6" t="n"/>
      <c r="D51" s="6" t="n"/>
      <c r="E51" s="6" t="n"/>
      <c r="F51" s="6" t="n"/>
      <c r="G51" s="6" t="n"/>
      <c r="H51" s="6" t="n"/>
    </row>
    <row r="52">
      <c r="A52" s="11" t="inlineStr">
        <is>
          <t>EV-049</t>
        </is>
      </c>
      <c r="B52" s="6" t="n"/>
      <c r="C52" s="6" t="n"/>
      <c r="D52" s="6" t="n"/>
      <c r="E52" s="6" t="n"/>
      <c r="F52" s="6" t="n"/>
      <c r="G52" s="6" t="n"/>
      <c r="H52" s="6" t="n"/>
    </row>
    <row r="53">
      <c r="A53" s="11" t="inlineStr">
        <is>
          <t>EV-050</t>
        </is>
      </c>
      <c r="B53" s="6" t="n"/>
      <c r="C53" s="6" t="n"/>
      <c r="D53" s="6" t="n"/>
      <c r="E53" s="6" t="n"/>
      <c r="F53" s="6" t="n"/>
      <c r="G53" s="6" t="n"/>
      <c r="H53" s="6" t="n"/>
    </row>
  </sheetData>
  <mergeCells count="1">
    <mergeCell ref="A1:H1"/>
  </mergeCells>
  <dataValidations count="1">
    <dataValidation sqref="B4 B5 B6 B7 B8 B9 B10 B11 B12 B13 B14 B15 B16 B17 B18 B19 B20 B21 B22 B23 B24 B25 B26 B27 B28 B29 B30 B31 B32 B33 B34 B35 B36 B37 B38 B39 B40 B41 B42 B43 B44 B45 B46 B47 B48 B49 B50 B51 B52 B53" showDropDown="0" showInputMessage="0" showErrorMessage="0" allowBlank="0" type="list">
      <formula1>"Policy Document,Acknowledgment Record,Training Record,Screenshot,Export,Attestation,Email,Meeting Minutes"</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32"/>
  <sheetViews>
    <sheetView workbookViewId="0">
      <pane ySplit="2" topLeftCell="A3" activePane="bottomLeft" state="frozen"/>
      <selection pane="bottomLeft" activeCell="A1" sqref="A1"/>
    </sheetView>
  </sheetViews>
  <sheetFormatPr baseColWidth="8" defaultRowHeight="15"/>
  <cols>
    <col width="35" customWidth="1" min="1" max="1"/>
    <col width="35" customWidth="1" min="2" max="2"/>
  </cols>
  <sheetData>
    <row r="1" ht="30" customHeight="1">
      <c r="A1" s="1" t="inlineStr">
        <is>
          <t>ASSESSMENT APPROVAL AND SIGN-OFF</t>
        </is>
      </c>
    </row>
    <row r="3">
      <c r="A3" s="2" t="inlineStr">
        <is>
          <t>Assessment Summary</t>
        </is>
      </c>
    </row>
    <row r="4">
      <c r="A4" s="3" t="inlineStr">
        <is>
          <t>Assessment Document</t>
        </is>
      </c>
      <c r="B4" s="4" t="inlineStr">
        <is>
          <t>ISMS-IMP-A.5.10-11.S1 - Acceptable Use Policy Assessment</t>
        </is>
      </c>
    </row>
    <row r="5">
      <c r="A5" s="3" t="inlineStr">
        <is>
          <t>Assessment Period</t>
        </is>
      </c>
      <c r="B5" s="4" t="inlineStr"/>
    </row>
    <row r="6">
      <c r="A6" s="3" t="inlineStr">
        <is>
          <t>Total Policy Requirements Assessed</t>
        </is>
      </c>
      <c r="B6">
        <f>COUNTA(Policy_Assessment!A4:A33)-COUNTBLANK(Policy_Assessment!B4:B33)</f>
        <v/>
      </c>
    </row>
    <row r="7">
      <c r="A7" s="3" t="inlineStr">
        <is>
          <t>Requirements Addressed</t>
        </is>
      </c>
      <c r="B7">
        <f>COUNTIF(Policy_Assessment!D4:D33,"Yes")</f>
        <v/>
      </c>
    </row>
    <row r="8">
      <c r="A8" s="3" t="inlineStr">
        <is>
          <t>Requirements Partially Addressed</t>
        </is>
      </c>
      <c r="B8">
        <f>COUNTIF(Policy_Assessment!D4:D33,"Partial")</f>
        <v/>
      </c>
    </row>
    <row r="9">
      <c r="A9" s="3" t="inlineStr">
        <is>
          <t>Gaps Identified</t>
        </is>
      </c>
      <c r="B9">
        <f>COUNTIF(Policy_Assessment!D4:D33,"No")</f>
        <v/>
      </c>
    </row>
    <row r="10">
      <c r="A10" s="3" t="inlineStr">
        <is>
          <t>Overall AUP Acknowledgment %</t>
        </is>
      </c>
      <c r="B10">
        <f>Awareness_Tracking!E26</f>
        <v/>
      </c>
    </row>
    <row r="11">
      <c r="A11" s="3" t="inlineStr">
        <is>
          <t>Assessment Status</t>
        </is>
      </c>
      <c r="B11" s="4" t="inlineStr"/>
    </row>
    <row r="14">
      <c r="A14" s="12" t="inlineStr">
        <is>
          <t>ASSESSMENT COMPLETED BY</t>
        </is>
      </c>
    </row>
    <row r="15">
      <c r="A15" s="3" t="inlineStr">
        <is>
          <t>Name:</t>
        </is>
      </c>
      <c r="B15" s="4" t="n"/>
    </row>
    <row r="16">
      <c r="A16" s="3" t="inlineStr">
        <is>
          <t>Role/Title:</t>
        </is>
      </c>
      <c r="B16" s="4" t="n"/>
    </row>
    <row r="17">
      <c r="A17" s="3" t="inlineStr">
        <is>
          <t>Department:</t>
        </is>
      </c>
      <c r="B17" s="4" t="n"/>
    </row>
    <row r="18">
      <c r="A18" s="3" t="inlineStr">
        <is>
          <t>Email:</t>
        </is>
      </c>
      <c r="B18" s="4" t="n"/>
    </row>
    <row r="19">
      <c r="A19" s="3" t="inlineStr">
        <is>
          <t>Date:</t>
        </is>
      </c>
      <c r="B19" s="4" t="n"/>
    </row>
    <row r="22">
      <c r="A22" s="12" t="inlineStr">
        <is>
          <t>REVIEWED BY (Information Security Manager)</t>
        </is>
      </c>
    </row>
    <row r="23">
      <c r="A23" s="3" t="inlineStr">
        <is>
          <t>Name:</t>
        </is>
      </c>
      <c r="B23" s="4" t="n"/>
    </row>
    <row r="24">
      <c r="A24" s="3" t="inlineStr">
        <is>
          <t>Date:</t>
        </is>
      </c>
      <c r="B24" s="4" t="n"/>
    </row>
    <row r="25">
      <c r="A25" s="3" t="inlineStr">
        <is>
          <t>Signature:</t>
        </is>
      </c>
      <c r="B25" s="4" t="n"/>
    </row>
    <row r="28">
      <c r="A28" s="13" t="inlineStr">
        <is>
          <t>APPROVED BY (CISO)</t>
        </is>
      </c>
    </row>
    <row r="29">
      <c r="A29" s="3" t="inlineStr">
        <is>
          <t>Name:</t>
        </is>
      </c>
      <c r="B29" s="4" t="n"/>
    </row>
    <row r="30">
      <c r="A30" s="3" t="inlineStr">
        <is>
          <t>Date:</t>
        </is>
      </c>
      <c r="B30" s="4" t="n"/>
    </row>
    <row r="31">
      <c r="A31" s="3" t="inlineStr">
        <is>
          <t>Approval Decision:</t>
        </is>
      </c>
      <c r="B31" s="4" t="n"/>
    </row>
    <row r="32">
      <c r="A32" s="3" t="inlineStr">
        <is>
          <t>Signature:</t>
        </is>
      </c>
      <c r="B32" s="4" t="n"/>
    </row>
  </sheetData>
  <mergeCells count="16">
    <mergeCell ref="B31:E31"/>
    <mergeCell ref="B17:E17"/>
    <mergeCell ref="B18:E18"/>
    <mergeCell ref="B23:E23"/>
    <mergeCell ref="A28:E28"/>
    <mergeCell ref="B30:E30"/>
    <mergeCell ref="B16:E16"/>
    <mergeCell ref="B15:E15"/>
    <mergeCell ref="B29:E29"/>
    <mergeCell ref="A1:E1"/>
    <mergeCell ref="B25:E25"/>
    <mergeCell ref="B24:E24"/>
    <mergeCell ref="B19:E19"/>
    <mergeCell ref="A14:E14"/>
    <mergeCell ref="A22:E22"/>
    <mergeCell ref="B32:E32"/>
  </mergeCells>
  <dataValidations count="1">
    <dataValidation sqref="B31" showDropDown="0" showInputMessage="0" showErrorMessage="0" allowBlank="0" type="list">
      <formula1>"Approved,Approved with conditions,Rejected"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2026-02-08T10:48:46Z</dcterms:created>
  <dcterms:modified xmlns:dcterms="http://purl.org/dc/terms/" xmlns:xsi="http://www.w3.org/2001/XMLSchema-instance" xsi:type="dcterms:W3CDTF">2026-02-08T10:48:46Z</dcterms:modified>
</cp:coreProperties>
</file>