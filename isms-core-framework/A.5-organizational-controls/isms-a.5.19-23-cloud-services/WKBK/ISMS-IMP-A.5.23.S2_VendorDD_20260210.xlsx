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Security Certifications" sheetId="2" state="visible" r:id="rId2"/>
    <sheet xmlns:r="http://schemas.openxmlformats.org/officeDocument/2006/relationships" name="3. Contract Terms" sheetId="3" state="visible" r:id="rId3"/>
    <sheet xmlns:r="http://schemas.openxmlformats.org/officeDocument/2006/relationships" name="4. SLA Performance" sheetId="4" state="visible" r:id="rId4"/>
    <sheet xmlns:r="http://schemas.openxmlformats.org/officeDocument/2006/relationships" name="5. Data Sovereignty" sheetId="5" state="visible" r:id="rId5"/>
    <sheet xmlns:r="http://schemas.openxmlformats.org/officeDocument/2006/relationships" name="6. Forensics &amp; Audi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8. Summary Dashboard" sheetId="8" state="visible" r:id="rId8"/>
    <sheet xmlns:r="http://schemas.openxmlformats.org/officeDocument/2006/relationships" name="9. Evidence Register" sheetId="9" state="visible" r:id="rId9"/>
    <sheet xmlns:r="http://schemas.openxmlformats.org/officeDocument/2006/relationships"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003366"/>
      <sz val="12"/>
    </font>
    <font>
      <b val="1"/>
      <color rgb="00FFFFFF"/>
    </font>
    <font>
      <name val="Calibri"/>
      <b val="1"/>
      <color rgb="00FFFFFF"/>
      <sz val="11"/>
    </font>
    <font>
      <name val="Calibri"/>
      <b val="1"/>
      <sz val="10"/>
    </font>
    <font>
      <b val="1"/>
      <sz val="11"/>
    </font>
    <font>
      <i val="1"/>
      <color rgb="00C00000"/>
      <sz val="10"/>
    </font>
    <font>
      <i val="1"/>
      <color rgb="00666666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3" borderId="0" pivotButton="0" quotePrefix="0" xfId="0"/>
    <xf numFmtId="0" fontId="9" fillId="0" borderId="0" applyAlignment="1" pivotButton="0" quotePrefix="0" xfId="0">
      <alignment wrapText="1"/>
    </xf>
    <xf numFmtId="0" fontId="10" fillId="3" borderId="1" pivotButton="0" quotePrefix="0" xfId="0"/>
    <xf numFmtId="0" fontId="11" fillId="2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ISMS-IMP-A.5.23.S2  -  Vendor Due Diligence &amp; Contracts
ISO/IEC 27001:2022 - Control A.5.23: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ISMS-IMP-A.5.23.S2</t>
        </is>
      </c>
    </row>
    <row r="5">
      <c r="A5" s="3" t="inlineStr">
        <is>
          <t>Assessment Area</t>
        </is>
      </c>
      <c r="B5" t="inlineStr">
        <is>
          <t>Vendor Due Diligence &amp; Contracts</t>
        </is>
      </c>
    </row>
    <row r="6">
      <c r="A6" s="3" t="inlineStr">
        <is>
          <t>Related Policy</t>
        </is>
      </c>
      <c r="B6" t="inlineStr">
        <is>
          <t>ISMS-POL-A.5.19-23-S1, S2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Quarterly</t>
        </is>
      </c>
    </row>
    <row r="13">
      <c r="A13" s="5" t="inlineStr">
        <is>
          <t>REGULATORY COMPLIANCE</t>
        </is>
      </c>
    </row>
    <row r="14">
      <c r="A14" s="6" t="inlineStr">
        <is>
          <t>This workbook includes regulatory compliance tracking for:</t>
        </is>
      </c>
    </row>
    <row r="15">
      <c r="A15" s="6" t="inlineStr">
        <is>
          <t>• DORA (Digital Operational Resilience Act) - Art.30 contract clauses</t>
        </is>
      </c>
    </row>
    <row r="16">
      <c r="A16" s="6" t="inlineStr">
        <is>
          <t>• NIS2 (Network and Information Security Directive 2) - Supply chain security</t>
        </is>
      </c>
    </row>
    <row r="17">
      <c r="A17" s="6" t="inlineStr">
        <is>
          <t>• EU AI Act - AI service provider evaluation criteria</t>
        </is>
      </c>
    </row>
    <row r="18">
      <c r="A18" s="6" t="inlineStr">
        <is>
          <t>• US CLOUD Act - Jurisdictional risk assessment</t>
        </is>
      </c>
    </row>
    <row r="19">
      <c r="A19" s="6" t="inlineStr"/>
    </row>
    <row r="20">
      <c r="A20" s="6" t="inlineStr">
        <is>
          <t>Sheet 7 (Jurisdictional Risk) helps assess CLOUD Act exposure for US-nexus providers.</t>
        </is>
      </c>
    </row>
    <row r="21">
      <c r="A21" s="6" t="inlineStr">
        <is>
          <t>Contract Terms checklist now includes DORA Art.30 and NIS2 requirements.</t>
        </is>
      </c>
    </row>
    <row r="23">
      <c r="A23" s="2" t="inlineStr">
        <is>
          <t>HOW TO USE THIS WORKBOOK</t>
        </is>
      </c>
    </row>
    <row r="24">
      <c r="A24" t="inlineStr">
        <is>
          <t>1. Complete each worksheet tab (2-7) for all cloud service vendors.</t>
        </is>
      </c>
    </row>
    <row r="25">
      <c r="A25" t="inlineStr">
        <is>
          <t>2. Use dropdown menus for standardised entries.</t>
        </is>
      </c>
    </row>
    <row r="26">
      <c r="A26" t="inlineStr">
        <is>
          <t>3. Fill in yellow-highlighted cells with vendor-specific information.</t>
        </is>
      </c>
    </row>
    <row r="27">
      <c r="A27" t="inlineStr">
        <is>
          <t>4. Attach evidence: contracts (MSA, DPA, SLA), security certifications, audit reports.</t>
        </is>
      </c>
    </row>
    <row r="28">
      <c r="A28" t="inlineStr">
        <is>
          <t>5. Complete Jurisdictional Risk sheet (7) for all US-nexus providers.</t>
        </is>
      </c>
    </row>
    <row r="29">
      <c r="A29" t="inlineStr">
        <is>
          <t>6. Document SLA performance metrics and track contract renewal dates.</t>
        </is>
      </c>
    </row>
    <row r="30">
      <c r="A30" t="inlineStr">
        <is>
          <t>7. Update vendor security posture assessments annually or upon significant changes.</t>
        </is>
      </c>
    </row>
    <row r="31">
      <c r="A31" t="inlineStr">
        <is>
          <t>8. Summary Dashboard auto-calculates vendor compliance statistics.</t>
        </is>
      </c>
    </row>
    <row r="32">
      <c r="A32" t="inlineStr">
        <is>
          <t>9. Maintain the Evidence Register with all contract documents and certifications.</t>
        </is>
      </c>
    </row>
    <row r="33">
      <c r="A33" t="inlineStr">
        <is>
          <t>10. Obtain final approval and sign-off from Legal, Procurement, and CISO.</t>
        </is>
      </c>
    </row>
    <row r="35">
      <c r="A35" s="2" t="inlineStr">
        <is>
          <t>STATUS LEGEND</t>
        </is>
      </c>
    </row>
    <row r="36">
      <c r="A36" s="7" t="inlineStr">
        <is>
          <t>Symbol</t>
        </is>
      </c>
      <c r="B36" s="7" t="inlineStr">
        <is>
          <t>Status</t>
        </is>
      </c>
      <c r="C36" s="7" t="inlineStr">
        <is>
          <t>Description</t>
        </is>
      </c>
    </row>
    <row r="37">
      <c r="A37" s="8" t="inlineStr">
        <is>
          <t>✅</t>
        </is>
      </c>
      <c r="B37" s="9" t="inlineStr">
        <is>
          <t>Compliant</t>
        </is>
      </c>
      <c r="C37" s="10" t="inlineStr">
        <is>
          <t>Vendor meets all security and contractual requirements</t>
        </is>
      </c>
    </row>
    <row r="38">
      <c r="A38" s="8" t="inlineStr">
        <is>
          <t>⚠</t>
        </is>
      </c>
      <c r="B38" s="11" t="inlineStr">
        <is>
          <t>Partial</t>
        </is>
      </c>
      <c r="C38" s="10" t="inlineStr">
        <is>
          <t>Some requirements met, gaps exist (e.g., cert pending)</t>
        </is>
      </c>
    </row>
    <row r="39">
      <c r="A39" s="8" t="inlineStr">
        <is>
          <t>❌</t>
        </is>
      </c>
      <c r="B39" s="12" t="inlineStr">
        <is>
          <t>Non-Compliant</t>
        </is>
      </c>
      <c r="C39" s="10" t="inlineStr">
        <is>
          <t>Vendor does not meet minimum requirements</t>
        </is>
      </c>
    </row>
    <row r="40">
      <c r="A40" s="8" t="inlineStr">
        <is>
          <t>N/A</t>
        </is>
      </c>
      <c r="B40" s="10" t="inlineStr">
        <is>
          <t>Not Applicable</t>
        </is>
      </c>
      <c r="C40" s="10" t="inlineStr">
        <is>
          <t>Requirement does not apply to this vendor/service</t>
        </is>
      </c>
    </row>
    <row r="42">
      <c r="A42" s="2" t="inlineStr">
        <is>
          <t>ACCEPTABLE EVIDENCE (examples)</t>
        </is>
      </c>
    </row>
    <row r="43">
      <c r="A43" t="inlineStr">
        <is>
          <t>✓ Master Service Agreement (MSA)</t>
        </is>
      </c>
    </row>
    <row r="44">
      <c r="A44" t="inlineStr">
        <is>
          <t>✓ Data Processing Agreement (DPA) / Addendum</t>
        </is>
      </c>
    </row>
    <row r="45">
      <c r="A45" t="inlineStr">
        <is>
          <t>✓ Service Level Agreement (SLA)</t>
        </is>
      </c>
    </row>
    <row r="46">
      <c r="A46" t="inlineStr">
        <is>
          <t>✓ ISO 27001 certificate (current, not expired)</t>
        </is>
      </c>
    </row>
    <row r="47">
      <c r="A47" t="inlineStr">
        <is>
          <t>✓ SOC 2 Type II report (within last 12 months)</t>
        </is>
      </c>
    </row>
    <row r="48">
      <c r="A48" t="inlineStr">
        <is>
          <t>✓ FedRAMP authorization letter</t>
        </is>
      </c>
    </row>
    <row r="49">
      <c r="A49" t="inlineStr">
        <is>
          <t>✓ GDPR/nFADP compliance attestation</t>
        </is>
      </c>
    </row>
    <row r="50">
      <c r="A50" t="inlineStr">
        <is>
          <t>✓ Vendor security questionnaire (completed)</t>
        </is>
      </c>
    </row>
    <row r="51">
      <c r="A51" t="inlineStr">
        <is>
          <t>✓ Penetration test results (if available)</t>
        </is>
      </c>
    </row>
    <row r="52">
      <c r="A52" t="inlineStr">
        <is>
          <t>✓ Incident response plan documentation</t>
        </is>
      </c>
    </row>
    <row r="53">
      <c r="A53" t="inlineStr">
        <is>
          <t>✓ Business continuity/disaster recovery plan</t>
        </is>
      </c>
    </row>
    <row r="54">
      <c r="A54" t="inlineStr">
        <is>
          <t>✓ Insurance certificates (cyber liability)</t>
        </is>
      </c>
    </row>
    <row r="55">
      <c r="A55" t="inlineStr">
        <is>
          <t>✓ Right to audit clause (contract section reference)</t>
        </is>
      </c>
    </row>
    <row r="56">
      <c r="A56" t="inlineStr">
        <is>
          <t>✓ Data sovereignty documentation (data center locations)</t>
        </is>
      </c>
    </row>
    <row r="57">
      <c r="A57" t="inlineStr">
        <is>
          <t>✓ Jurisdictional risk assessment (for US-nexus providers)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50" customHeight="1">
      <c r="A1" s="1" t="inlineStr">
        <is>
          <t>VENDOR SECURITY CERTIFICATIONS
Policy Requirement: All cloud vendors must maintain ISO 27001 or equivalent security certification (Policy S2 Section 3.1)</t>
        </is>
      </c>
    </row>
    <row r="2" ht="30" customHeight="1">
      <c r="A2" s="13" t="inlineStr">
        <is>
          <t>Assessment Question: Do your cloud service vendors hold current security certifications (ISO 27001, SOC 2, FedRAMP, etc.)?</t>
        </is>
      </c>
    </row>
    <row r="4">
      <c r="A4" s="14" t="inlineStr">
        <is>
          <t>Cloud Service Name</t>
        </is>
      </c>
      <c r="B4" s="14" t="inlineStr">
        <is>
          <t>Vendor Name</t>
        </is>
      </c>
      <c r="C4" s="14" t="inlineStr">
        <is>
          <t>Service Type</t>
        </is>
      </c>
      <c r="D4" s="14" t="inlineStr">
        <is>
          <t>Service Criticality</t>
        </is>
      </c>
      <c r="E4" s="14" t="inlineStr">
        <is>
          <t>Data Classification</t>
        </is>
      </c>
      <c r="F4" s="14" t="inlineStr">
        <is>
          <t>Contract Type</t>
        </is>
      </c>
      <c r="G4" s="14" t="inlineStr">
        <is>
          <t>Contract Start Date</t>
        </is>
      </c>
      <c r="H4" s="14" t="inlineStr">
        <is>
          <t>Status</t>
        </is>
      </c>
      <c r="I4" s="14" t="inlineStr">
        <is>
          <t>Evidence Location</t>
        </is>
      </c>
      <c r="J4" s="14" t="inlineStr">
        <is>
          <t>Gap Description</t>
        </is>
      </c>
      <c r="K4" s="14" t="inlineStr">
        <is>
          <t>Remediation Needed</t>
        </is>
      </c>
      <c r="L4" s="14" t="inlineStr">
        <is>
          <t>Exception ID</t>
        </is>
      </c>
      <c r="M4" s="14" t="inlineStr">
        <is>
          <t>Risk ID</t>
        </is>
      </c>
      <c r="N4" s="14" t="inlineStr">
        <is>
          <t>Compensating Controls</t>
        </is>
      </c>
      <c r="O4" s="14" t="inlineStr">
        <is>
          <t>Vendor Contact (Legal)</t>
        </is>
      </c>
      <c r="P4" s="14" t="inlineStr">
        <is>
          <t>Target Remediation Date</t>
        </is>
      </c>
      <c r="Q4" s="14" t="inlineStr">
        <is>
          <t>Contract Owner</t>
        </is>
      </c>
      <c r="R4" s="14" t="inlineStr">
        <is>
          <t>ISO 27001 Certified</t>
        </is>
      </c>
      <c r="S4" s="14" t="inlineStr">
        <is>
          <t>ISO 27001 Cert Number</t>
        </is>
      </c>
      <c r="T4" s="14" t="inlineStr">
        <is>
          <t>ISO 27001 Expiry Date</t>
        </is>
      </c>
      <c r="U4" s="14" t="inlineStr">
        <is>
          <t>SOC 2 Type II Report</t>
        </is>
      </c>
      <c r="V4" s="14" t="inlineStr">
        <is>
          <t>SOC 2 Report Date</t>
        </is>
      </c>
      <c r="W4" s="14" t="inlineStr">
        <is>
          <t>FedRAMP Authorized</t>
        </is>
      </c>
      <c r="X4" s="14" t="inlineStr">
        <is>
          <t>Other Certifications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7">
      <c r="A27" s="15" t="inlineStr">
        <is>
          <t>COMPLIANCE CHECKLIST</t>
        </is>
      </c>
    </row>
    <row r="28">
      <c r="A28" s="14" t="inlineStr">
        <is>
          <t>☐</t>
        </is>
      </c>
      <c r="B28" s="14" t="inlineStr">
        <is>
          <t>Requirement</t>
        </is>
      </c>
      <c r="C28" s="14" t="inlineStr">
        <is>
          <t>Status</t>
        </is>
      </c>
      <c r="D28" s="14" t="inlineStr">
        <is>
          <t>Evidence Type</t>
        </is>
      </c>
    </row>
    <row r="29">
      <c r="A29" t="inlineStr">
        <is>
          <t>☐</t>
        </is>
      </c>
      <c r="B29" t="inlineStr">
        <is>
          <t>All critical/high services have ISO 27001 or SOC 2 Type II</t>
        </is>
      </c>
      <c r="C29" s="16" t="inlineStr"/>
      <c r="D29" t="inlineStr">
        <is>
          <t>Certification register</t>
        </is>
      </c>
    </row>
    <row r="30">
      <c r="A30" t="inlineStr">
        <is>
          <t>☐</t>
        </is>
      </c>
      <c r="B30" t="inlineStr">
        <is>
          <t>Certificates verified as current (not expired)</t>
        </is>
      </c>
      <c r="C30" s="16" t="inlineStr"/>
      <c r="D30" t="inlineStr">
        <is>
          <t>Certificate expiry tracking</t>
        </is>
      </c>
    </row>
    <row r="31">
      <c r="A31" t="inlineStr">
        <is>
          <t>☐</t>
        </is>
      </c>
      <c r="B31" t="inlineStr">
        <is>
          <t>SOC 2 reports obtained within last 12 months</t>
        </is>
      </c>
      <c r="C31" s="16" t="inlineStr"/>
      <c r="D31" t="inlineStr">
        <is>
          <t>Vendor portal, NDA required</t>
        </is>
      </c>
    </row>
    <row r="32">
      <c r="A32" t="inlineStr">
        <is>
          <t>☐</t>
        </is>
      </c>
      <c r="B32" t="inlineStr">
        <is>
          <t>Certificate scope covers services in use</t>
        </is>
      </c>
      <c r="C32" s="16" t="inlineStr"/>
      <c r="D32" t="inlineStr">
        <is>
          <t>Certificate scope statement</t>
        </is>
      </c>
    </row>
    <row r="33">
      <c r="A33" t="inlineStr">
        <is>
          <t>☐</t>
        </is>
      </c>
      <c r="B33" t="inlineStr">
        <is>
          <t>Certificate issuing body is accredited (e.g., UKAS, ANAB)</t>
        </is>
      </c>
      <c r="C33" s="16" t="inlineStr"/>
      <c r="D33" t="inlineStr">
        <is>
          <t>Issuer verification</t>
        </is>
      </c>
    </row>
    <row r="34">
      <c r="A34" t="inlineStr">
        <is>
          <t>☐</t>
        </is>
      </c>
      <c r="B34" t="inlineStr">
        <is>
          <t>FedRAMP authorization verified for US government workloads</t>
        </is>
      </c>
      <c r="C34" s="16" t="inlineStr"/>
      <c r="D34" t="inlineStr">
        <is>
          <t>FedRAMP marketplace</t>
        </is>
      </c>
    </row>
    <row r="35">
      <c r="A35" t="inlineStr">
        <is>
          <t>☐</t>
        </is>
      </c>
      <c r="B35" t="inlineStr">
        <is>
          <t>Industry-specific certs documented (PCI-DSS, HIPAA, etc.)</t>
        </is>
      </c>
      <c r="C35" s="16" t="inlineStr"/>
      <c r="D35" t="inlineStr">
        <is>
          <t>Compliance attestations</t>
        </is>
      </c>
    </row>
    <row r="36">
      <c r="A36" t="inlineStr">
        <is>
          <t>☐</t>
        </is>
      </c>
      <c r="B36" t="inlineStr">
        <is>
          <t>Certificate renewal dates tracked in contract management system</t>
        </is>
      </c>
      <c r="C36" s="16" t="inlineStr"/>
      <c r="D36" t="inlineStr">
        <is>
          <t>CMS reports</t>
        </is>
      </c>
    </row>
  </sheetData>
  <mergeCells count="3">
    <mergeCell ref="A2:X2"/>
    <mergeCell ref="A27:D27"/>
    <mergeCell ref="A1:X1"/>
  </mergeCells>
  <dataValidations count="10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(Current),Yes (Expired),No,Unknown"</formula1>
    </dataValidation>
    <dataValidation sqref="U5:U24" showDropDown="0" showInputMessage="0" showErrorMessage="0" allowBlank="0" type="list">
      <formula1>"Yes (&lt; 6 months),Yes (6-12 months),No,Unknown"</formula1>
    </dataValidation>
    <dataValidation sqref="W5:W24" showDropDown="0" showInputMessage="0" showErrorMessage="0" allowBlank="0" type="list">
      <formula1>"Yes (High),Yes (Moderate),Yes (Low),No,N/A"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50" customHeight="1">
      <c r="A1" s="1" t="inlineStr">
        <is>
          <t>CONTRACT TERMS ANALYSIS (incl. DORA/NIS2)
Policy Requirement: All cloud service contracts must include security clauses, data protection terms, and termination rights (Policy S2 Section 3.2)</t>
        </is>
      </c>
    </row>
    <row r="2" ht="30" customHeight="1">
      <c r="A2" s="13" t="inlineStr">
        <is>
          <t>Assessment Question: Have all cloud service contracts been reviewed for security, data protection, and regulatory clauses (DORA Art.30, NIS2)?</t>
        </is>
      </c>
    </row>
    <row r="4">
      <c r="A4" s="14" t="inlineStr">
        <is>
          <t>Cloud Service Name</t>
        </is>
      </c>
      <c r="B4" s="14" t="inlineStr">
        <is>
          <t>Vendor Name</t>
        </is>
      </c>
      <c r="C4" s="14" t="inlineStr">
        <is>
          <t>Service Type</t>
        </is>
      </c>
      <c r="D4" s="14" t="inlineStr">
        <is>
          <t>Service Criticality</t>
        </is>
      </c>
      <c r="E4" s="14" t="inlineStr">
        <is>
          <t>Data Classification</t>
        </is>
      </c>
      <c r="F4" s="14" t="inlineStr">
        <is>
          <t>Contract Type</t>
        </is>
      </c>
      <c r="G4" s="14" t="inlineStr">
        <is>
          <t>Contract Start Date</t>
        </is>
      </c>
      <c r="H4" s="14" t="inlineStr">
        <is>
          <t>Status</t>
        </is>
      </c>
      <c r="I4" s="14" t="inlineStr">
        <is>
          <t>Evidence Location</t>
        </is>
      </c>
      <c r="J4" s="14" t="inlineStr">
        <is>
          <t>Gap Description</t>
        </is>
      </c>
      <c r="K4" s="14" t="inlineStr">
        <is>
          <t>Remediation Needed</t>
        </is>
      </c>
      <c r="L4" s="14" t="inlineStr">
        <is>
          <t>Exception ID</t>
        </is>
      </c>
      <c r="M4" s="14" t="inlineStr">
        <is>
          <t>Risk ID</t>
        </is>
      </c>
      <c r="N4" s="14" t="inlineStr">
        <is>
          <t>Compensating Controls</t>
        </is>
      </c>
      <c r="O4" s="14" t="inlineStr">
        <is>
          <t>Vendor Contact (Legal)</t>
        </is>
      </c>
      <c r="P4" s="14" t="inlineStr">
        <is>
          <t>Target Remediation Date</t>
        </is>
      </c>
      <c r="Q4" s="14" t="inlineStr">
        <is>
          <t>Contract Owner</t>
        </is>
      </c>
      <c r="R4" s="14" t="inlineStr">
        <is>
          <t>Data Protection Clause</t>
        </is>
      </c>
      <c r="S4" s="14" t="inlineStr">
        <is>
          <t>Subprocessor Disclosure</t>
        </is>
      </c>
      <c r="T4" s="14" t="inlineStr">
        <is>
          <t>Liability Cap (CHF)</t>
        </is>
      </c>
      <c r="U4" s="14" t="inlineStr">
        <is>
          <t>Indemnification Clause</t>
        </is>
      </c>
      <c r="V4" s="14" t="inlineStr">
        <is>
          <t>Termination Notice Period</t>
        </is>
      </c>
      <c r="W4" s="14" t="inlineStr">
        <is>
          <t>Data Return on Termination</t>
        </is>
      </c>
      <c r="X4" s="14" t="inlineStr">
        <is>
          <t>Auto-Renewal Clause</t>
        </is>
      </c>
      <c r="Y4" s="14" t="inlineStr">
        <is>
          <t>DORA Art.30 Compliance</t>
        </is>
      </c>
      <c r="Z4" s="14" t="inlineStr">
        <is>
          <t>NIS2 Supply Chain Clause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</row>
    <row r="27">
      <c r="A27" s="15" t="inlineStr">
        <is>
          <t>COMPLIANCE CHECKLIST</t>
        </is>
      </c>
    </row>
    <row r="28">
      <c r="A28" s="14" t="inlineStr">
        <is>
          <t>☐</t>
        </is>
      </c>
      <c r="B28" s="14" t="inlineStr">
        <is>
          <t>Requirement</t>
        </is>
      </c>
      <c r="C28" s="14" t="inlineStr">
        <is>
          <t>Status</t>
        </is>
      </c>
      <c r="D28" s="14" t="inlineStr">
        <is>
          <t>Evidence Type</t>
        </is>
      </c>
    </row>
    <row r="29">
      <c r="A29" t="inlineStr">
        <is>
          <t>☐</t>
        </is>
      </c>
      <c r="B29" t="inlineStr">
        <is>
          <t>Data protection clause references GDPR/nFADP</t>
        </is>
      </c>
      <c r="C29" s="16" t="inlineStr"/>
      <c r="D29" t="inlineStr">
        <is>
          <t>Contract review</t>
        </is>
      </c>
    </row>
    <row r="30">
      <c r="A30" t="inlineStr">
        <is>
          <t>☐</t>
        </is>
      </c>
      <c r="B30" t="inlineStr">
        <is>
          <t>Subprocessor list reviewed by Legal</t>
        </is>
      </c>
      <c r="C30" s="16" t="inlineStr"/>
      <c r="D30" t="inlineStr">
        <is>
          <t>Legal sign-of</t>
        </is>
      </c>
    </row>
    <row r="31">
      <c r="A31" t="inlineStr">
        <is>
          <t>☐</t>
        </is>
      </c>
      <c r="B31" t="inlineStr">
        <is>
          <t>Liability cap reasonable for service criticality</t>
        </is>
      </c>
      <c r="C31" s="16" t="inlineStr"/>
      <c r="D31" t="inlineStr">
        <is>
          <t>Risk assessment</t>
        </is>
      </c>
    </row>
    <row r="32">
      <c r="A32" t="inlineStr">
        <is>
          <t>☐</t>
        </is>
      </c>
      <c r="B32" t="inlineStr">
        <is>
          <t>Termination notice ≤90 days for non-critical services</t>
        </is>
      </c>
      <c r="C32" s="16" t="inlineStr"/>
      <c r="D32" t="inlineStr">
        <is>
          <t>Contract terms</t>
        </is>
      </c>
    </row>
    <row r="33">
      <c r="A33" t="inlineStr">
        <is>
          <t>☐</t>
        </is>
      </c>
      <c r="B33" t="inlineStr">
        <is>
          <t>Data return process documented with timeline</t>
        </is>
      </c>
      <c r="C33" s="16" t="inlineStr"/>
      <c r="D33" t="inlineStr">
        <is>
          <t>Exit annex</t>
        </is>
      </c>
    </row>
    <row r="34">
      <c r="A34" t="inlineStr">
        <is>
          <t>☐</t>
        </is>
      </c>
      <c r="B34" t="inlineStr">
        <is>
          <t>Insurance requirements verified (cyber liability)</t>
        </is>
      </c>
      <c r="C34" s="16" t="inlineStr"/>
      <c r="D34" t="inlineStr">
        <is>
          <t>Insurance cert</t>
        </is>
      </c>
    </row>
    <row r="35">
      <c r="A35" t="inlineStr">
        <is>
          <t>☐</t>
        </is>
      </c>
      <c r="B35" t="inlineStr">
        <is>
          <t>Governing law and jurisdiction acceptable</t>
        </is>
      </c>
      <c r="C35" s="16" t="inlineStr"/>
      <c r="D35" t="inlineStr">
        <is>
          <t>Legal review</t>
        </is>
      </c>
    </row>
    <row r="36">
      <c r="A36" t="inlineStr">
        <is>
          <t>☐</t>
        </is>
      </c>
      <c r="B36" t="inlineStr">
        <is>
          <t>DORA Art.30(2)(a): Clear service descriptions</t>
        </is>
      </c>
      <c r="C36" s="16" t="inlineStr"/>
      <c r="D36" t="inlineStr">
        <is>
          <t>Contract clause</t>
        </is>
      </c>
    </row>
    <row r="37">
      <c r="A37" t="inlineStr">
        <is>
          <t>☐</t>
        </is>
      </c>
      <c r="B37" t="inlineStr">
        <is>
          <t>DORA Art.30(2)(b): Data processing locations specified</t>
        </is>
      </c>
      <c r="C37" s="16" t="inlineStr"/>
      <c r="D37" t="inlineStr">
        <is>
          <t>DPA/Contract</t>
        </is>
      </c>
    </row>
    <row r="38">
      <c r="A38" t="inlineStr">
        <is>
          <t>☐</t>
        </is>
      </c>
      <c r="B38" t="inlineStr">
        <is>
          <t>DORA Art.30(2)(c): Subcontracting conditions defined</t>
        </is>
      </c>
      <c r="C38" s="16" t="inlineStr"/>
      <c r="D38" t="inlineStr">
        <is>
          <t>Subprocessor annex</t>
        </is>
      </c>
    </row>
    <row r="39">
      <c r="A39" t="inlineStr">
        <is>
          <t>☐</t>
        </is>
      </c>
      <c r="B39" t="inlineStr">
        <is>
          <t>DORA Art.30(2)(d): Full access and audit rights</t>
        </is>
      </c>
      <c r="C39" s="16" t="inlineStr"/>
      <c r="D39" t="inlineStr">
        <is>
          <t>Audit clause</t>
        </is>
      </c>
    </row>
    <row r="40">
      <c r="A40" t="inlineStr">
        <is>
          <t>☐</t>
        </is>
      </c>
      <c r="B40" t="inlineStr">
        <is>
          <t>DORA Art.30(2)(e): Cooperation with regulators</t>
        </is>
      </c>
      <c r="C40" s="16" t="inlineStr"/>
      <c r="D40" t="inlineStr">
        <is>
          <t>Regulatory clause</t>
        </is>
      </c>
    </row>
    <row r="41">
      <c r="A41" t="inlineStr">
        <is>
          <t>☐</t>
        </is>
      </c>
      <c r="B41" t="inlineStr">
        <is>
          <t>DORA Art.30(3): Exit strategy provisions</t>
        </is>
      </c>
      <c r="C41" s="16" t="inlineStr"/>
      <c r="D41" t="inlineStr">
        <is>
          <t>Exit annex</t>
        </is>
      </c>
    </row>
    <row r="42">
      <c r="A42" t="inlineStr">
        <is>
          <t>☐</t>
        </is>
      </c>
      <c r="B42" t="inlineStr">
        <is>
          <t>DORA Art.30(3): Termination rights defined</t>
        </is>
      </c>
      <c r="C42" s="16" t="inlineStr"/>
      <c r="D42" t="inlineStr">
        <is>
          <t>Termination clause</t>
        </is>
      </c>
    </row>
    <row r="43">
      <c r="A43" t="inlineStr">
        <is>
          <t>☐</t>
        </is>
      </c>
      <c r="B43" t="inlineStr">
        <is>
          <t>NIS2 Art.21: Supply chain security requirements</t>
        </is>
      </c>
      <c r="C43" s="16" t="inlineStr"/>
      <c r="D43" t="inlineStr">
        <is>
          <t>Security annex</t>
        </is>
      </c>
    </row>
    <row r="44">
      <c r="A44" t="inlineStr">
        <is>
          <t>☐</t>
        </is>
      </c>
      <c r="B44" t="inlineStr">
        <is>
          <t>NIS2: Incident notification ≤24h to customer</t>
        </is>
      </c>
      <c r="C44" s="16" t="inlineStr"/>
      <c r="D44" t="inlineStr">
        <is>
          <t>Incident clause</t>
        </is>
      </c>
    </row>
    <row r="45">
      <c r="A45" t="inlineStr">
        <is>
          <t>☐</t>
        </is>
      </c>
      <c r="B45" t="inlineStr">
        <is>
          <t>NIS2: Vulnerability handling process defined</t>
        </is>
      </c>
      <c r="C45" s="16" t="inlineStr"/>
      <c r="D45" t="inlineStr">
        <is>
          <t>Security annex</t>
        </is>
      </c>
    </row>
  </sheetData>
  <mergeCells count="3">
    <mergeCell ref="A1:Z1"/>
    <mergeCell ref="A27:D27"/>
    <mergeCell ref="A2:Z2"/>
  </mergeCells>
  <dataValidations count="15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(Adequate),Yes (Weak),No,Under Negotiation"</formula1>
    </dataValidation>
    <dataValidation sqref="S5:S24" showDropDown="0" showInputMessage="0" showErrorMessage="0" allowBlank="0" type="list">
      <formula1>"Yes (List Provided),Yes (Generic),No"</formula1>
    </dataValidation>
    <dataValidation sqref="U5:U24" showDropDown="0" showInputMessage="0" showErrorMessage="0" allowBlank="0" type="list">
      <formula1>"Yes (Favorable),Yes (Limited),No"</formula1>
    </dataValidation>
    <dataValidation sqref="V5:V24" showDropDown="0" showInputMessage="0" showErrorMessage="0" allowBlank="0" type="list">
      <formula1>"≤30 days,31-60 days,61-90 days,&gt;90 days"</formula1>
    </dataValidation>
    <dataValidation sqref="W5:W24" showDropDown="0" showInputMessage="0" showErrorMessage="0" allowBlank="0" type="list">
      <formula1>"Yes (30 days),Yes (60 days),Yes (90 days),No"</formula1>
    </dataValidation>
    <dataValidation sqref="X5:X24" showDropDown="0" showInputMessage="0" showErrorMessage="0" allowBlank="0" type="list">
      <formula1>"Yes (Opt-Out),Yes (Opt-In),No"</formula1>
    </dataValidation>
    <dataValidation sqref="Y5:Y24" showDropDown="0" showInputMessage="0" showErrorMessage="0" allowBlank="0" type="list">
      <formula1>"Yes (Full),Yes (Partial),No,N/A (Not in scope)"</formula1>
    </dataValidation>
    <dataValidation sqref="Z5:Z24" showDropDown="0" showInputMessage="0" showErrorMessage="0" allowBlank="0" type="list">
      <formula1>"Yes,No,N/A"</formula1>
    </dataValidation>
    <dataValidation sqref="C29 C30 C31 C32 C33 C34 C35 C36 C37 C38 C39 C40 C41 C42 C43 C44 C45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50" customHeight="1">
      <c r="A1" s="1" t="inlineStr">
        <is>
          <t>SLA REQUIREMENTS &amp; PERFORMANCE TRACKING
Policy Requirement: SLAs must define availability, support response times, and performance penalties (Policy S2 Section 3.3)</t>
        </is>
      </c>
    </row>
    <row r="2" ht="30" customHeight="1">
      <c r="A2" s="13" t="inlineStr">
        <is>
          <t>Assessment Question: Do all cloud services have documented SLAs with performance commitments?</t>
        </is>
      </c>
    </row>
    <row r="4">
      <c r="A4" s="14" t="inlineStr">
        <is>
          <t>Cloud Service Name</t>
        </is>
      </c>
      <c r="B4" s="14" t="inlineStr">
        <is>
          <t>Vendor Name</t>
        </is>
      </c>
      <c r="C4" s="14" t="inlineStr">
        <is>
          <t>Service Type</t>
        </is>
      </c>
      <c r="D4" s="14" t="inlineStr">
        <is>
          <t>Service Criticality</t>
        </is>
      </c>
      <c r="E4" s="14" t="inlineStr">
        <is>
          <t>Data Classification</t>
        </is>
      </c>
      <c r="F4" s="14" t="inlineStr">
        <is>
          <t>Contract Type</t>
        </is>
      </c>
      <c r="G4" s="14" t="inlineStr">
        <is>
          <t>Contract Start Date</t>
        </is>
      </c>
      <c r="H4" s="14" t="inlineStr">
        <is>
          <t>Status</t>
        </is>
      </c>
      <c r="I4" s="14" t="inlineStr">
        <is>
          <t>Evidence Location</t>
        </is>
      </c>
      <c r="J4" s="14" t="inlineStr">
        <is>
          <t>Gap Description</t>
        </is>
      </c>
      <c r="K4" s="14" t="inlineStr">
        <is>
          <t>Remediation Needed</t>
        </is>
      </c>
      <c r="L4" s="14" t="inlineStr">
        <is>
          <t>Exception ID</t>
        </is>
      </c>
      <c r="M4" s="14" t="inlineStr">
        <is>
          <t>Risk ID</t>
        </is>
      </c>
      <c r="N4" s="14" t="inlineStr">
        <is>
          <t>Compensating Controls</t>
        </is>
      </c>
      <c r="O4" s="14" t="inlineStr">
        <is>
          <t>Vendor Contact (Legal)</t>
        </is>
      </c>
      <c r="P4" s="14" t="inlineStr">
        <is>
          <t>Target Remediation Date</t>
        </is>
      </c>
      <c r="Q4" s="14" t="inlineStr">
        <is>
          <t>Contract Owner</t>
        </is>
      </c>
      <c r="R4" s="14" t="inlineStr">
        <is>
          <t>SLA Availability %</t>
        </is>
      </c>
      <c r="S4" s="14" t="inlineStr">
        <is>
          <t>Actual Availability Q4</t>
        </is>
      </c>
      <c r="T4" s="14" t="inlineStr">
        <is>
          <t>SLA Credits Claimed</t>
        </is>
      </c>
      <c r="U4" s="14" t="inlineStr">
        <is>
          <t>Support Response Time</t>
        </is>
      </c>
      <c r="V4" s="14" t="inlineStr">
        <is>
          <t>Incident Count Q4</t>
        </is>
      </c>
      <c r="W4" s="14" t="inlineStr">
        <is>
          <t>Mean Time to Resolve</t>
        </is>
      </c>
      <c r="X4" s="14" t="inlineStr">
        <is>
          <t>SLA Review Date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7">
      <c r="A27" s="15" t="inlineStr">
        <is>
          <t>COMPLIANCE CHECKLIST</t>
        </is>
      </c>
    </row>
    <row r="28">
      <c r="A28" s="14" t="inlineStr">
        <is>
          <t>☐</t>
        </is>
      </c>
      <c r="B28" s="14" t="inlineStr">
        <is>
          <t>Requirement</t>
        </is>
      </c>
      <c r="C28" s="14" t="inlineStr">
        <is>
          <t>Status</t>
        </is>
      </c>
      <c r="D28" s="14" t="inlineStr">
        <is>
          <t>Evidence Type</t>
        </is>
      </c>
    </row>
    <row r="29">
      <c r="A29" t="inlineStr">
        <is>
          <t>☐</t>
        </is>
      </c>
      <c r="B29" t="inlineStr">
        <is>
          <t>SLA availability target documented (e.g., 99.9%)</t>
        </is>
      </c>
      <c r="C29" s="16" t="inlineStr"/>
      <c r="D29" t="inlineStr">
        <is>
          <t>SLA document</t>
        </is>
      </c>
    </row>
    <row r="30">
      <c r="A30" t="inlineStr">
        <is>
          <t>☐</t>
        </is>
      </c>
      <c r="B30" t="inlineStr">
        <is>
          <t>SLA credits/penalties defined for breaches</t>
        </is>
      </c>
      <c r="C30" s="16" t="inlineStr"/>
      <c r="D30" t="inlineStr">
        <is>
          <t>SLA terms</t>
        </is>
      </c>
    </row>
    <row r="31">
      <c r="A31" t="inlineStr">
        <is>
          <t>☐</t>
        </is>
      </c>
      <c r="B31" t="inlineStr">
        <is>
          <t>Support response times defined by severity</t>
        </is>
      </c>
      <c r="C31" s="16" t="inlineStr"/>
      <c r="D31" t="inlineStr">
        <is>
          <t>Support matrix</t>
        </is>
      </c>
    </row>
    <row r="32">
      <c r="A32" t="inlineStr">
        <is>
          <t>☐</t>
        </is>
      </c>
      <c r="B32" t="inlineStr">
        <is>
          <t>Incident escalation path documented</t>
        </is>
      </c>
      <c r="C32" s="16" t="inlineStr"/>
      <c r="D32" t="inlineStr">
        <is>
          <t>Support procedures</t>
        </is>
      </c>
    </row>
    <row r="33">
      <c r="A33" t="inlineStr">
        <is>
          <t>☐</t>
        </is>
      </c>
      <c r="B33" t="inlineStr">
        <is>
          <t>Planned maintenance notification requirements</t>
        </is>
      </c>
      <c r="C33" s="16" t="inlineStr"/>
      <c r="D33" t="inlineStr">
        <is>
          <t>SLA terms</t>
        </is>
      </c>
    </row>
    <row r="34">
      <c r="A34" t="inlineStr">
        <is>
          <t>☐</t>
        </is>
      </c>
      <c r="B34" t="inlineStr">
        <is>
          <t>Performance metrics reporting frequency defined</t>
        </is>
      </c>
      <c r="C34" s="16" t="inlineStr"/>
      <c r="D34" t="inlineStr">
        <is>
          <t>SLA reporting</t>
        </is>
      </c>
    </row>
    <row r="35">
      <c r="A35" t="inlineStr">
        <is>
          <t>☐</t>
        </is>
      </c>
      <c r="B35" t="inlineStr">
        <is>
          <t>SLA review cadence established (quarterly/annual)</t>
        </is>
      </c>
      <c r="C35" s="16" t="inlineStr"/>
      <c r="D35" t="inlineStr">
        <is>
          <t>Contract terms</t>
        </is>
      </c>
    </row>
    <row r="36">
      <c r="A36" t="inlineStr">
        <is>
          <t>☐</t>
        </is>
      </c>
      <c r="B36" t="inlineStr">
        <is>
          <t>Historical SLA performance reviewed</t>
        </is>
      </c>
      <c r="C36" s="16" t="inlineStr"/>
      <c r="D36" t="inlineStr">
        <is>
          <t>Vendor reports</t>
        </is>
      </c>
    </row>
  </sheetData>
  <mergeCells count="3">
    <mergeCell ref="A2:X2"/>
    <mergeCell ref="A27:D27"/>
    <mergeCell ref="A1:X1"/>
  </mergeCells>
  <dataValidations count="7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50" customHeight="1">
      <c r="A1" s="1" t="inlineStr">
        <is>
          <t>DATA SOVEREIGNTY &amp; COMPLIANCE
Policy Requirement: Vendor data processing locations must comply with organisational data residency requirements (Policy S2 Section 3.4)</t>
        </is>
      </c>
    </row>
    <row r="2" ht="30" customHeight="1">
      <c r="A2" s="13" t="inlineStr">
        <is>
          <t>Assessment Question: Do vendors comply with data sovereignty and regulatory requirements for your data?</t>
        </is>
      </c>
    </row>
    <row r="4">
      <c r="A4" s="14" t="inlineStr">
        <is>
          <t>Cloud Service Name</t>
        </is>
      </c>
      <c r="B4" s="14" t="inlineStr">
        <is>
          <t>Vendor Name</t>
        </is>
      </c>
      <c r="C4" s="14" t="inlineStr">
        <is>
          <t>Service Type</t>
        </is>
      </c>
      <c r="D4" s="14" t="inlineStr">
        <is>
          <t>Service Criticality</t>
        </is>
      </c>
      <c r="E4" s="14" t="inlineStr">
        <is>
          <t>Data Classification</t>
        </is>
      </c>
      <c r="F4" s="14" t="inlineStr">
        <is>
          <t>Contract Type</t>
        </is>
      </c>
      <c r="G4" s="14" t="inlineStr">
        <is>
          <t>Contract Start Date</t>
        </is>
      </c>
      <c r="H4" s="14" t="inlineStr">
        <is>
          <t>Status</t>
        </is>
      </c>
      <c r="I4" s="14" t="inlineStr">
        <is>
          <t>Evidence Location</t>
        </is>
      </c>
      <c r="J4" s="14" t="inlineStr">
        <is>
          <t>Gap Description</t>
        </is>
      </c>
      <c r="K4" s="14" t="inlineStr">
        <is>
          <t>Remediation Needed</t>
        </is>
      </c>
      <c r="L4" s="14" t="inlineStr">
        <is>
          <t>Exception ID</t>
        </is>
      </c>
      <c r="M4" s="14" t="inlineStr">
        <is>
          <t>Risk ID</t>
        </is>
      </c>
      <c r="N4" s="14" t="inlineStr">
        <is>
          <t>Compensating Controls</t>
        </is>
      </c>
      <c r="O4" s="14" t="inlineStr">
        <is>
          <t>Vendor Contact (Legal)</t>
        </is>
      </c>
      <c r="P4" s="14" t="inlineStr">
        <is>
          <t>Target Remediation Date</t>
        </is>
      </c>
      <c r="Q4" s="14" t="inlineStr">
        <is>
          <t>Contract Owner</t>
        </is>
      </c>
      <c r="R4" s="14" t="inlineStr">
        <is>
          <t>Data Processing Region</t>
        </is>
      </c>
      <c r="S4" s="14" t="inlineStr">
        <is>
          <t>Data Residency Verified</t>
        </is>
      </c>
      <c r="T4" s="14" t="inlineStr">
        <is>
          <t>Standard Contractual Clauses</t>
        </is>
      </c>
      <c r="U4" s="14" t="inlineStr">
        <is>
          <t>Data Transfer Mechanism</t>
        </is>
      </c>
      <c r="V4" s="14" t="inlineStr">
        <is>
          <t>GDPR Compliance</t>
        </is>
      </c>
      <c r="W4" s="14" t="inlineStr">
        <is>
          <t>Swiss nFADP Compliance</t>
        </is>
      </c>
      <c r="X4" s="14" t="inlineStr">
        <is>
          <t>Regulatory Framework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7">
      <c r="A27" s="15" t="inlineStr">
        <is>
          <t>COMPLIANCE CHECKLIST</t>
        </is>
      </c>
    </row>
    <row r="28">
      <c r="A28" s="14" t="inlineStr">
        <is>
          <t>☐</t>
        </is>
      </c>
      <c r="B28" s="14" t="inlineStr">
        <is>
          <t>Requirement</t>
        </is>
      </c>
      <c r="C28" s="14" t="inlineStr">
        <is>
          <t>Status</t>
        </is>
      </c>
      <c r="D28" s="14" t="inlineStr">
        <is>
          <t>Evidence Type</t>
        </is>
      </c>
    </row>
    <row r="29">
      <c r="A29" t="inlineStr">
        <is>
          <t>☐</t>
        </is>
      </c>
      <c r="B29" t="inlineStr">
        <is>
          <t>Data processing locations documented</t>
        </is>
      </c>
      <c r="C29" s="16" t="inlineStr"/>
      <c r="D29" t="inlineStr">
        <is>
          <t>DPA, vendor docs</t>
        </is>
      </c>
    </row>
    <row r="30">
      <c r="A30" t="inlineStr">
        <is>
          <t>☐</t>
        </is>
      </c>
      <c r="B30" t="inlineStr">
        <is>
          <t>Data residency meets regulatory requirements</t>
        </is>
      </c>
      <c r="C30" s="16" t="inlineStr"/>
      <c r="D30" t="inlineStr">
        <is>
          <t>Compliance review</t>
        </is>
      </c>
    </row>
    <row r="31">
      <c r="A31" t="inlineStr">
        <is>
          <t>☐</t>
        </is>
      </c>
      <c r="B31" t="inlineStr">
        <is>
          <t>Standard Contractual Clauses (SCCs) in place</t>
        </is>
      </c>
      <c r="C31" s="16" t="inlineStr"/>
      <c r="D31" t="inlineStr">
        <is>
          <t>DPA annex</t>
        </is>
      </c>
    </row>
    <row r="32">
      <c r="A32" t="inlineStr">
        <is>
          <t>☐</t>
        </is>
      </c>
      <c r="B32" t="inlineStr">
        <is>
          <t>Transfer Impact Assessment completed</t>
        </is>
      </c>
      <c r="C32" s="16" t="inlineStr"/>
      <c r="D32" t="inlineStr">
        <is>
          <t>TIA document</t>
        </is>
      </c>
    </row>
    <row r="33">
      <c r="A33" t="inlineStr">
        <is>
          <t>☐</t>
        </is>
      </c>
      <c r="B33" t="inlineStr">
        <is>
          <t>GDPR compliance verified</t>
        </is>
      </c>
      <c r="C33" s="16" t="inlineStr"/>
      <c r="D33" t="inlineStr">
        <is>
          <t>Compliance attestation</t>
        </is>
      </c>
    </row>
    <row r="34">
      <c r="A34" t="inlineStr">
        <is>
          <t>☐</t>
        </is>
      </c>
      <c r="B34" t="inlineStr">
        <is>
          <t>Swiss nFADP compliance verified</t>
        </is>
      </c>
      <c r="C34" s="16" t="inlineStr"/>
      <c r="D34" t="inlineStr">
        <is>
          <t>Compliance attestation</t>
        </is>
      </c>
    </row>
    <row r="35">
      <c r="A35" t="inlineStr">
        <is>
          <t>☐</t>
        </is>
      </c>
      <c r="B35" t="inlineStr">
        <is>
          <t>Restricted data not processed outside approved regions</t>
        </is>
      </c>
      <c r="C35" s="16" t="inlineStr"/>
      <c r="D35" t="inlineStr">
        <is>
          <t>Data mapping</t>
        </is>
      </c>
    </row>
    <row r="36">
      <c r="A36" t="inlineStr">
        <is>
          <t>☐</t>
        </is>
      </c>
      <c r="B36" t="inlineStr">
        <is>
          <t>Sub-processor locations reviewed and approved</t>
        </is>
      </c>
      <c r="C36" s="16" t="inlineStr"/>
      <c r="D36" t="inlineStr">
        <is>
          <t>Sub-processor list</t>
        </is>
      </c>
    </row>
  </sheetData>
  <mergeCells count="3">
    <mergeCell ref="A2:X2"/>
    <mergeCell ref="A27:D27"/>
    <mergeCell ref="A1:X1"/>
  </mergeCells>
  <dataValidations count="12">
    <dataValidation sqref="R5:R24" showDropDown="0" showInputMessage="0" showErrorMessage="0" allowBlank="0" type="list">
      <formula1>"Switzerland,EU/EEA,USA,Asia-Pacific,Global,Unknown"</formula1>
    </dataValidation>
    <dataValidation sqref="S5:S24" showDropDown="0" showInputMessage="0" showErrorMessage="0" allowBlank="0" type="list">
      <formula1>"Yes (Contractual),Yes (Technical),No,Unknown"</formula1>
    </dataValidation>
    <dataValidation sqref="T5:T24" showDropDown="0" showInputMessage="0" showErrorMessage="0" allowBlank="0" type="list">
      <formula1>"Yes (EU SCC),Yes (Swiss SCC),Yes (Other),No,N/A"</formula1>
    </dataValidation>
    <dataValidation sqref="U5:U24" showDropDown="0" showInputMessage="0" showErrorMessage="0" allowBlank="0" type="list">
      <formula1>"Adequacy Decision,SCC,BCR,Derogations,None"</formula1>
    </dataValidation>
    <dataValidation sqref="V5:V24 W5:W24" showDropDown="0" showInputMessage="0" showErrorMessage="0" allowBlank="0" type="list">
      <formula1>"Yes (Certified),Yes (Self-Assessed),No,N/A"</formula1>
    </dataValidation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50" customHeight="1">
      <c r="A1" s="1" t="inlineStr">
        <is>
          <t>FORENSICS, AUDIT RIGHTS &amp; INCIDENT RESPONSE
Policy Requirement: Vendors must support forensic investigations and grant audit rights (Policy S2 Section 3.5)</t>
        </is>
      </c>
    </row>
    <row r="2" ht="30" customHeight="1">
      <c r="A2" s="13" t="inlineStr">
        <is>
          <t>Assessment Question: Do vendors provide forensic capabilities, audit rights, and incident response support?</t>
        </is>
      </c>
    </row>
    <row r="4">
      <c r="A4" s="14" t="inlineStr">
        <is>
          <t>Cloud Service Name</t>
        </is>
      </c>
      <c r="B4" s="14" t="inlineStr">
        <is>
          <t>Vendor Name</t>
        </is>
      </c>
      <c r="C4" s="14" t="inlineStr">
        <is>
          <t>Service Type</t>
        </is>
      </c>
      <c r="D4" s="14" t="inlineStr">
        <is>
          <t>Service Criticality</t>
        </is>
      </c>
      <c r="E4" s="14" t="inlineStr">
        <is>
          <t>Data Classification</t>
        </is>
      </c>
      <c r="F4" s="14" t="inlineStr">
        <is>
          <t>Contract Type</t>
        </is>
      </c>
      <c r="G4" s="14" t="inlineStr">
        <is>
          <t>Contract Start Date</t>
        </is>
      </c>
      <c r="H4" s="14" t="inlineStr">
        <is>
          <t>Status</t>
        </is>
      </c>
      <c r="I4" s="14" t="inlineStr">
        <is>
          <t>Evidence Location</t>
        </is>
      </c>
      <c r="J4" s="14" t="inlineStr">
        <is>
          <t>Gap Description</t>
        </is>
      </c>
      <c r="K4" s="14" t="inlineStr">
        <is>
          <t>Remediation Needed</t>
        </is>
      </c>
      <c r="L4" s="14" t="inlineStr">
        <is>
          <t>Exception ID</t>
        </is>
      </c>
      <c r="M4" s="14" t="inlineStr">
        <is>
          <t>Risk ID</t>
        </is>
      </c>
      <c r="N4" s="14" t="inlineStr">
        <is>
          <t>Compensating Controls</t>
        </is>
      </c>
      <c r="O4" s="14" t="inlineStr">
        <is>
          <t>Vendor Contact (Legal)</t>
        </is>
      </c>
      <c r="P4" s="14" t="inlineStr">
        <is>
          <t>Target Remediation Date</t>
        </is>
      </c>
      <c r="Q4" s="14" t="inlineStr">
        <is>
          <t>Contract Owner</t>
        </is>
      </c>
      <c r="R4" s="14" t="inlineStr">
        <is>
          <t>Forensics Support</t>
        </is>
      </c>
      <c r="S4" s="14" t="inlineStr">
        <is>
          <t>Forensics SLA</t>
        </is>
      </c>
      <c r="T4" s="14" t="inlineStr">
        <is>
          <t>Right to Audit</t>
        </is>
      </c>
      <c r="U4" s="14" t="inlineStr">
        <is>
          <t>Audit Notice Period</t>
        </is>
      </c>
      <c r="V4" s="14" t="inlineStr">
        <is>
          <t>Incident Notification SLA</t>
        </is>
      </c>
      <c r="W4" s="14" t="inlineStr">
        <is>
          <t>Breach Notification</t>
        </is>
      </c>
      <c r="X4" s="14" t="inlineStr">
        <is>
          <t>IR Playbook Provided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7">
      <c r="A27" s="15" t="inlineStr">
        <is>
          <t>COMPLIANCE CHECKLIST</t>
        </is>
      </c>
    </row>
    <row r="28">
      <c r="A28" s="14" t="inlineStr">
        <is>
          <t>☐</t>
        </is>
      </c>
      <c r="B28" s="14" t="inlineStr">
        <is>
          <t>Requirement</t>
        </is>
      </c>
      <c r="C28" s="14" t="inlineStr">
        <is>
          <t>Status</t>
        </is>
      </c>
      <c r="D28" s="14" t="inlineStr">
        <is>
          <t>Evidence Type</t>
        </is>
      </c>
    </row>
    <row r="29">
      <c r="A29" t="inlineStr">
        <is>
          <t>☐</t>
        </is>
      </c>
      <c r="B29" t="inlineStr">
        <is>
          <t>Forensics support verified for critical/high services</t>
        </is>
      </c>
      <c r="C29" s="16" t="inlineStr"/>
      <c r="D29" t="inlineStr">
        <is>
          <t>Vendor capability</t>
        </is>
      </c>
    </row>
    <row r="30">
      <c r="A30" t="inlineStr">
        <is>
          <t>☐</t>
        </is>
      </c>
      <c r="B30" t="inlineStr">
        <is>
          <t>Forensics SLA documented (log retention, data export)</t>
        </is>
      </c>
      <c r="C30" s="16" t="inlineStr"/>
      <c r="D30" t="inlineStr">
        <is>
          <t>IR annex</t>
        </is>
      </c>
    </row>
    <row r="31">
      <c r="A31" t="inlineStr">
        <is>
          <t>☐</t>
        </is>
      </c>
      <c r="B31" t="inlineStr">
        <is>
          <t>Right to audit clause in contract</t>
        </is>
      </c>
      <c r="C31" s="16" t="inlineStr"/>
      <c r="D31" t="inlineStr">
        <is>
          <t>Contract clause</t>
        </is>
      </c>
    </row>
    <row r="32">
      <c r="A32" t="inlineStr">
        <is>
          <t>☐</t>
        </is>
      </c>
      <c r="B32" t="inlineStr">
        <is>
          <t>Audit notice period ≤30 days for critical services</t>
        </is>
      </c>
      <c r="C32" s="16" t="inlineStr"/>
      <c r="D32" t="inlineStr">
        <is>
          <t>Audit terms</t>
        </is>
      </c>
    </row>
    <row r="33">
      <c r="A33" t="inlineStr">
        <is>
          <t>☐</t>
        </is>
      </c>
      <c r="B33" t="inlineStr">
        <is>
          <t>Incident notification SLA ≤24 hours</t>
        </is>
      </c>
      <c r="C33" s="16" t="inlineStr"/>
      <c r="D33" t="inlineStr">
        <is>
          <t>Incident SLA</t>
        </is>
      </c>
    </row>
    <row r="34">
      <c r="A34" t="inlineStr">
        <is>
          <t>☐</t>
        </is>
      </c>
      <c r="B34" t="inlineStr">
        <is>
          <t>Breach notification meets GDPR 72-hour requirement</t>
        </is>
      </c>
      <c r="C34" s="16" t="inlineStr"/>
      <c r="D34" t="inlineStr">
        <is>
          <t>Breach clause</t>
        </is>
      </c>
    </row>
    <row r="35">
      <c r="A35" t="inlineStr">
        <is>
          <t>☐</t>
        </is>
      </c>
      <c r="B35" t="inlineStr">
        <is>
          <t>Incident response playbook obtained and reviewed</t>
        </is>
      </c>
      <c r="C35" s="16" t="inlineStr"/>
      <c r="D35" t="inlineStr">
        <is>
          <t>IR playbook</t>
        </is>
      </c>
    </row>
    <row r="36">
      <c r="A36" t="inlineStr">
        <is>
          <t>☐</t>
        </is>
      </c>
      <c r="B36" t="inlineStr">
        <is>
          <t>Vendor participates in tabletop exercises (if critical)</t>
        </is>
      </c>
      <c r="C36" s="16" t="inlineStr"/>
      <c r="D36" t="inlineStr">
        <is>
          <t>Exercise records</t>
        </is>
      </c>
    </row>
  </sheetData>
  <mergeCells count="3">
    <mergeCell ref="A2:X2"/>
    <mergeCell ref="A27:D27"/>
    <mergeCell ref="A1:X1"/>
  </mergeCells>
  <dataValidations count="13">
    <dataValidation sqref="R5:R24" showDropDown="0" showInputMessage="0" showErrorMessage="0" allowBlank="0" type="list">
      <formula1>"Yes (Full),Yes (Limited),No,Unknown"</formula1>
    </dataValidation>
    <dataValidation sqref="T5:T24" showDropDown="0" showInputMessage="0" showErrorMessage="0" allowBlank="0" type="list">
      <formula1>"Yes (Unrestricted),Yes (With Notice),No"</formula1>
    </dataValidation>
    <dataValidation sqref="U5:U24" showDropDown="0" showInputMessage="0" showErrorMessage="0" allowBlank="0" type="list">
      <formula1>"No Notice,≤7 days,8-30 days,&gt;30 days,N/A"</formula1>
    </dataValidation>
    <dataValidation sqref="V5:V24" showDropDown="0" showInputMessage="0" showErrorMessage="0" allowBlank="0" type="list">
      <formula1>"&lt;1 hour,1-4 hours,4-24 hours,&gt;24 hours,None"</formula1>
    </dataValidation>
    <dataValidation sqref="W5:W24" showDropDown="0" showInputMessage="0" showErrorMessage="0" allowBlank="0" type="list">
      <formula1>"Yes (72 hours),Yes (Custom),No,Unknown"</formula1>
    </dataValidation>
    <dataValidation sqref="X5:X24" showDropDown="0" showInputMessage="0" showErrorMessage="0" allowBlank="0" type="list">
      <formula1>"Yes,No,Upon Request"</formula1>
    </dataValidation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50" customHeight="1">
      <c r="A1" s="1" t="inlineStr">
        <is>
          <t>JURISDICTIONAL RISK ASSESSMENT
CLOUD Act, Data Sovereignty, and Cross-Border Transfer Analysis</t>
        </is>
      </c>
    </row>
    <row r="2" ht="30" customHeight="1">
      <c r="A2" s="13" t="inlineStr">
        <is>
          <t>Policy Requirement: Assess jurisdictional risks for all cloud providers, particularly US-headquartered providers subject to CLOUD Act (Policy S5 Section 4)</t>
        </is>
      </c>
    </row>
    <row r="3">
      <c r="A3" s="17" t="inlineStr">
        <is>
          <t>⚠ US-headquartered providers (or providers with US parent companies) may be compelled to disclose data under CLOUD Act regardless of data location. Assess and document mitigations.</t>
        </is>
      </c>
    </row>
    <row r="5">
      <c r="A5" s="14" t="inlineStr">
        <is>
          <t>Assessment ID</t>
        </is>
      </c>
      <c r="B5" s="14" t="inlineStr">
        <is>
          <t>Cloud Service Name</t>
        </is>
      </c>
      <c r="C5" s="14" t="inlineStr">
        <is>
          <t>Provider Name</t>
        </is>
      </c>
      <c r="D5" s="14" t="inlineStr">
        <is>
          <t>Provider HQ Country</t>
        </is>
      </c>
      <c r="E5" s="14" t="inlineStr">
        <is>
          <t>Provider HQ Jurisdiction</t>
        </is>
      </c>
      <c r="F5" s="14" t="inlineStr">
        <is>
          <t>US Parent Company</t>
        </is>
      </c>
      <c r="G5" s="14" t="inlineStr">
        <is>
          <t>CLOUD Act Applicability</t>
        </is>
      </c>
      <c r="H5" s="14" t="inlineStr">
        <is>
          <t>Data Processing Locations</t>
        </is>
      </c>
      <c r="I5" s="14" t="inlineStr">
        <is>
          <t>EU Data Boundary Available</t>
        </is>
      </c>
      <c r="J5" s="14" t="inlineStr">
        <is>
          <t>Customer Managed Keys</t>
        </is>
      </c>
      <c r="K5" s="14" t="inlineStr">
        <is>
          <t>Legal Challenge Commitment</t>
        </is>
      </c>
      <c r="L5" s="14" t="inlineStr">
        <is>
          <t>Adequacy Decision Status</t>
        </is>
      </c>
      <c r="M5" s="14" t="inlineStr">
        <is>
          <t>Transfer Mechanism</t>
        </is>
      </c>
      <c r="N5" s="14" t="inlineStr">
        <is>
          <t>Risk Level</t>
        </is>
      </c>
      <c r="O5" s="14" t="inlineStr">
        <is>
          <t>Risk Accepted By</t>
        </is>
      </c>
      <c r="P5" s="14" t="inlineStr">
        <is>
          <t>Risk Acceptance Date</t>
        </is>
      </c>
      <c r="Q5" s="14" t="inlineStr">
        <is>
          <t>Compensating Controls</t>
        </is>
      </c>
      <c r="R5" s="14" t="inlineStr">
        <is>
          <t>Review Date</t>
        </is>
      </c>
      <c r="S5" s="14" t="inlineStr">
        <is>
          <t>Evidence Reference</t>
        </is>
      </c>
      <c r="T5" s="14" t="inlineStr">
        <is>
          <t>Notes</t>
        </is>
      </c>
    </row>
    <row r="7">
      <c r="A7" t="inlineStr">
        <is>
          <t>JRA-001</t>
        </is>
      </c>
      <c r="B7" s="18" t="inlineStr">
        <is>
          <t>Microsoft 365</t>
        </is>
      </c>
      <c r="C7" s="18" t="inlineStr">
        <is>
          <t>Microsoft Corporation</t>
        </is>
      </c>
      <c r="D7" s="18" t="inlineStr">
        <is>
          <t>United States</t>
        </is>
      </c>
      <c r="E7" s="18" t="inlineStr">
        <is>
          <t>United States</t>
        </is>
      </c>
      <c r="F7" s="18" t="inlineStr">
        <is>
          <t>No</t>
        </is>
      </c>
      <c r="G7" s="18" t="inlineStr">
        <is>
          <t>Mitigated (EU Data Boundary)</t>
        </is>
      </c>
      <c r="H7" s="18" t="inlineStr">
        <is>
          <t>EU, Switzerland (EU Data Boundary enabled)</t>
        </is>
      </c>
      <c r="I7" s="18" t="inlineStr">
        <is>
          <t>Yes</t>
        </is>
      </c>
      <c r="J7" s="18" t="inlineStr">
        <is>
          <t>Yes</t>
        </is>
      </c>
      <c r="K7" s="18" t="inlineStr">
        <is>
          <t>Yes</t>
        </is>
      </c>
      <c r="L7" s="18" t="inlineStr">
        <is>
          <t>Adequacy Decision (Swiss-US DPF)</t>
        </is>
      </c>
      <c r="M7" s="18" t="inlineStr">
        <is>
          <t>SCCs</t>
        </is>
      </c>
      <c r="N7" s="18" t="inlineStr">
        <is>
          <t>Medium</t>
        </is>
      </c>
      <c r="O7" s="18" t="inlineStr">
        <is>
          <t>CISO</t>
        </is>
      </c>
      <c r="P7" s="18" t="inlineStr">
        <is>
          <t>2025-01-15</t>
        </is>
      </c>
      <c r="Q7" s="18" t="inlineStr">
        <is>
          <t>EU Data Boundary + Customer Lockbox</t>
        </is>
      </c>
      <c r="R7" s="18" t="inlineStr">
        <is>
          <t>2025-07-01</t>
        </is>
      </c>
      <c r="S7" s="18" t="inlineStr">
        <is>
          <t>EV-JRA-001</t>
        </is>
      </c>
      <c r="T7" s="18" t="inlineStr">
        <is>
          <t>Example entry - delete or overwrite</t>
        </is>
      </c>
    </row>
    <row r="8">
      <c r="A8" t="inlineStr">
        <is>
          <t>JRA-002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 t="inlineStr">
        <is>
          <t>JRA-003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</row>
    <row r="10">
      <c r="A10" t="inlineStr">
        <is>
          <t>JRA-004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</row>
    <row r="11">
      <c r="A11" t="inlineStr">
        <is>
          <t>JRA-005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</row>
    <row r="12">
      <c r="A12" t="inlineStr">
        <is>
          <t>JRA-006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</row>
    <row r="13">
      <c r="A13" t="inlineStr">
        <is>
          <t>JRA-007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t="inlineStr">
        <is>
          <t>JRA-008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t="inlineStr">
        <is>
          <t>JRA-009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t="inlineStr">
        <is>
          <t>JRA-010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t="inlineStr">
        <is>
          <t>JRA-011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t="inlineStr">
        <is>
          <t>JRA-012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</row>
    <row r="19">
      <c r="A19" t="inlineStr">
        <is>
          <t>JRA-013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</row>
    <row r="20">
      <c r="A20" t="inlineStr">
        <is>
          <t>JRA-014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</row>
    <row r="21">
      <c r="A21" t="inlineStr">
        <is>
          <t>JRA-015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</row>
    <row r="22">
      <c r="A22" t="inlineStr">
        <is>
          <t>JRA-016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</row>
    <row r="23">
      <c r="A23" t="inlineStr">
        <is>
          <t>JRA-017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</row>
    <row r="24">
      <c r="A24" t="inlineStr">
        <is>
          <t>JRA-018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</row>
    <row r="25">
      <c r="A25" t="inlineStr">
        <is>
          <t>JRA-019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</row>
    <row r="26">
      <c r="A26" t="inlineStr">
        <is>
          <t>JRA-020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</row>
    <row r="27">
      <c r="A27" t="inlineStr">
        <is>
          <t>JRA-021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</row>
    <row r="28">
      <c r="A28" t="inlineStr">
        <is>
          <t>JRA-022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</row>
    <row r="29">
      <c r="A29" t="inlineStr">
        <is>
          <t>JRA-023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</row>
    <row r="30">
      <c r="A30" t="inlineStr">
        <is>
          <t>JRA-024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</row>
    <row r="33">
      <c r="A33" s="15" t="inlineStr">
        <is>
          <t>JURISDICTIONAL RISK CHECKLIST</t>
        </is>
      </c>
    </row>
    <row r="34">
      <c r="A34" s="14" t="inlineStr">
        <is>
          <t>☐</t>
        </is>
      </c>
      <c r="B34" s="14" t="inlineStr">
        <is>
          <t>Requirement</t>
        </is>
      </c>
      <c r="C34" s="14" t="inlineStr">
        <is>
          <t>Status</t>
        </is>
      </c>
      <c r="D34" s="14" t="inlineStr">
        <is>
          <t>Evidence Type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s="4" t="inlineStr"/>
      <c r="D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s="4" t="inlineStr"/>
      <c r="D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s="4" t="inlineStr"/>
      <c r="D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s="4" t="inlineStr"/>
      <c r="D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s="4" t="inlineStr"/>
      <c r="D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s="4" t="inlineStr"/>
      <c r="D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s="4" t="inlineStr"/>
      <c r="D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s="4" t="inlineStr"/>
      <c r="D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s="4" t="inlineStr"/>
      <c r="D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s="4" t="inlineStr"/>
      <c r="D44" t="inlineStr">
        <is>
          <t>Control documentation</t>
        </is>
      </c>
    </row>
    <row r="47">
      <c r="A47" s="15" t="inlineStr">
        <is>
          <t>CLOUD ACT MITIGATION STRATEGIES (Reference)</t>
        </is>
      </c>
    </row>
    <row r="48">
      <c r="A48" s="3" t="inlineStr">
        <is>
          <t>• Technical:</t>
        </is>
      </c>
      <c r="B48" t="inlineStr">
        <is>
          <t>EU Data Boundary, Customer-managed encryption keys, Confidential Computing</t>
        </is>
      </c>
    </row>
    <row r="49">
      <c r="A49" s="3" t="inlineStr">
        <is>
          <t>• Contractual:</t>
        </is>
      </c>
      <c r="B49" t="inlineStr">
        <is>
          <t>Legal challenge commitment, Data disclosure notification, SCCs with supplementary measures</t>
        </is>
      </c>
    </row>
    <row r="50">
      <c r="A50" s="3" t="inlineStr">
        <is>
          <t>• Organisational:</t>
        </is>
      </c>
      <c r="B50" t="inlineStr">
        <is>
          <t>Risk acceptance by CISO/DPO, Documented risk assessment, Regular review cycle</t>
        </is>
      </c>
    </row>
    <row r="51">
      <c r="A51" s="3" t="inlineStr">
        <is>
          <t>• Alternative:</t>
        </is>
      </c>
      <c r="B51" t="inlineStr">
        <is>
          <t>Consider EU-headquartered alternatives for highest-risk data categories</t>
        </is>
      </c>
    </row>
  </sheetData>
  <mergeCells count="8">
    <mergeCell ref="A1:T1"/>
    <mergeCell ref="B49:E49"/>
    <mergeCell ref="B50:E50"/>
    <mergeCell ref="A3:T3"/>
    <mergeCell ref="B48:E48"/>
    <mergeCell ref="A2:T2"/>
    <mergeCell ref="A33:D33"/>
    <mergeCell ref="B51:E51"/>
  </mergeCells>
  <dataValidations count="8">
    <dataValidation sqref="C35 C36 C37 C38 C39 C40 C41 C42 C43 C44" showDropDown="0" showInputMessage="0" showErrorMessage="0" allowBlank="1" type="list">
      <formula1>"✅,"⚠","❌",N/A"</formula1>
    </dataValidation>
    <dataValidation sqref="E7:E30" showDropDown="0" showInputMessage="0" showErrorMessage="0" allowBlank="0" type="list">
      <formula1>"Switzerland,EU/EEA,United Kingdom,United States,Other Adequate Country,Non-Adequate Country"</formula1>
    </dataValidation>
    <dataValidation sqref="G7:G30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30" showDropDown="0" showInputMessage="0" showErrorMessage="0" allowBlank="0" type="list">
      <formula1>"Yes,No,Unknown"</formula1>
    </dataValidation>
    <dataValidation sqref="K7:K30" showDropDown="0" showInputMessage="0" showErrorMessage="0" allowBlank="0" type="list">
      <formula1>"Yes,No,Partial,Unknown"</formula1>
    </dataValidation>
    <dataValidation sqref="I7:I30 J7:J30" showDropDown="0" showInputMessage="0" showErrorMessage="0" allowBlank="0" type="list">
      <formula1>"Yes,No,Planned"</formula1>
    </dataValidation>
    <dataValidation sqref="M7:M30" showDropDown="0" showInputMessage="0" showErrorMessage="0" allowBlank="0" type="list">
      <formula1>"SCCs,BCRs,Adequacy Decision,None,N/A"</formula1>
    </dataValidation>
    <dataValidation sqref="N7:N30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VENDOR DUE DILIGENCE - COMPLIANCE SUMMARY DASHBOARD</t>
        </is>
      </c>
    </row>
    <row r="3">
      <c r="A3" s="19" t="inlineStr">
        <is>
          <t>TABLE 1: COMPLIANCE SUMMARY BY ASSESSMENT AREA</t>
        </is>
      </c>
    </row>
    <row r="4">
      <c r="A4" s="14" t="inlineStr">
        <is>
          <t>Assessment Area</t>
        </is>
      </c>
      <c r="B4" s="14" t="inlineStr">
        <is>
          <t>Total Vendors</t>
        </is>
      </c>
      <c r="C4" s="14" t="inlineStr">
        <is>
          <t>✅ Compliant</t>
        </is>
      </c>
      <c r="D4" s="14" t="inlineStr">
        <is>
          <t>⚠ Partial</t>
        </is>
      </c>
      <c r="E4" s="14" t="inlineStr">
        <is>
          <t>❌ Non-Compliant</t>
        </is>
      </c>
      <c r="F4" s="14" t="inlineStr">
        <is>
          <t>N/A</t>
        </is>
      </c>
      <c r="G4" s="14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Certifications'!A7:A30)-COUNTBLANK('2. Security Certifications'!B7:B30)</f>
        <v/>
      </c>
      <c r="C5">
        <f>COUNTIF('2. Security Certifications'!H5:H24,"✅*")</f>
        <v/>
      </c>
      <c r="D5">
        <f>COUNTIF('2. Security Certifications'!H5:H24,"⚠*")</f>
        <v/>
      </c>
      <c r="E5">
        <f>COUNTIF('2. Security Certifications'!H5:H24,"❌*")</f>
        <v/>
      </c>
      <c r="F5">
        <f>COUNTIF('2. Security Certifications'!H5:H24,"N/A")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Terms'!A7:A30)-COUNTBLANK('3. Contract Terms'!B7:B30)</f>
        <v/>
      </c>
      <c r="C6">
        <f>COUNTIF('3. Contract Terms'!H5:H24,"✅*")</f>
        <v/>
      </c>
      <c r="D6">
        <f>COUNTIF('3. Contract Terms'!H5:H24,"⚠*")</f>
        <v/>
      </c>
      <c r="E6">
        <f>COUNTIF('3. Contract Terms'!H5:H24,"❌*")</f>
        <v/>
      </c>
      <c r="F6">
        <f>COUNTIF('3. Contract Terms'!H5:H24,"N/A")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Performance'!A7:A30)-COUNTBLANK('4. SLA Performance'!B7:B30)</f>
        <v/>
      </c>
      <c r="C7">
        <f>COUNTIF('4. SLA Performance'!H5:H24,"✅*")</f>
        <v/>
      </c>
      <c r="D7">
        <f>COUNTIF('4. SLA Performance'!H5:H24,"⚠*")</f>
        <v/>
      </c>
      <c r="E7">
        <f>COUNTIF('4. SLA Performance'!H5:H24,"❌*")</f>
        <v/>
      </c>
      <c r="F7">
        <f>COUNTIF('4. SLA Performance'!H5:H24,"N/A")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Sovereignty'!A7:A30)-COUNTBLANK('5. Data Sovereignty'!B7:B30)</f>
        <v/>
      </c>
      <c r="C8">
        <f>COUNTIF('5. Data Sovereignty'!H5:H24,"✅*")</f>
        <v/>
      </c>
      <c r="D8">
        <f>COUNTIF('5. Data Sovereignty'!H5:H24,"⚠*")</f>
        <v/>
      </c>
      <c r="E8">
        <f>COUNTIF('5. Data Sovereignty'!H5:H24,"❌*")</f>
        <v/>
      </c>
      <c r="F8">
        <f>COUNTIF('5. Data Sovereignty'!H5:H24,"N/A")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Audit'!A7:A30)-COUNTBLANK('6. Forensics &amp; Audit'!B7:B30)</f>
        <v/>
      </c>
      <c r="C9">
        <f>COUNTIF('6. Forensics &amp; Audit'!H5:H24,"✅*")</f>
        <v/>
      </c>
      <c r="D9">
        <f>COUNTIF('6. Forensics &amp; Audit'!H5:H24,"⚠*")</f>
        <v/>
      </c>
      <c r="E9">
        <f>COUNTIF('6. Forensics &amp; Audit'!H5:H24,"❌*")</f>
        <v/>
      </c>
      <c r="F9">
        <f>COUNTIF('6. Forensics &amp; Audit'!H5:H24,"N/A")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Risk'!A7:A30)-COUNTBLANK('7. Jurisdictional Risk'!B7:B30)</f>
        <v/>
      </c>
      <c r="C10">
        <f>COUNTIF('7. Jurisdictional Risk'!N7:N30,"Low")+COUNTIF('7. Jurisdictional Risk'!N7:N30,"Medium")</f>
        <v/>
      </c>
      <c r="D10">
        <f>COUNTIF('7. Jurisdictional Risk'!N7:N30,"High")</f>
        <v/>
      </c>
      <c r="E10">
        <f>COUNTIF('7. Jurisdictional Risk'!N7:N30,"Critical")</f>
        <v/>
      </c>
      <c r="F10">
        <f>COUNTIF('7. Jurisdictional Risk'!N5:N24,"N/A")</f>
        <v/>
      </c>
      <c r="G10">
        <f>IF(B10=0,"N/A",ROUND((C10/(B10-F10))*100,1)&amp;"%")</f>
        <v/>
      </c>
    </row>
    <row r="11">
      <c r="A11" s="3" t="inlineStr">
        <is>
          <t>TOTAL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19" t="inlineStr">
        <is>
          <t>TABLE 2: JURISDICTIONAL &amp; CLOUD ACT RISK SUMMARY</t>
        </is>
      </c>
    </row>
    <row r="16">
      <c r="A16" s="14" t="inlineStr">
        <is>
          <t>Metric</t>
        </is>
      </c>
      <c r="B16" s="14" t="inlineStr">
        <is>
          <t>Count</t>
        </is>
      </c>
      <c r="C16" s="14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Risk'!E7:E30,"United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Risk'!F7:F30,"Yes")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Risk'!G7:G30,"Potential*")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Risk'!G7:G30,"Mitigated*")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Risk'!N7:N30,"High")+COUNTIF('7. Jurisdictional Risk'!N7:N30,"Critical")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Risk'!I7:I30,"No")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Risk'!J7:J30,"No")</f>
        <v/>
      </c>
      <c r="C23">
        <f>IF(B23&gt;0,"⚠ Review Required","✅ OK")</f>
        <v/>
      </c>
    </row>
    <row r="26">
      <c r="A26" s="19" t="inlineStr">
        <is>
          <t>TABLE 3: SECURITY CERTIFICATION STATUS</t>
        </is>
      </c>
    </row>
    <row r="27">
      <c r="A27" s="14" t="inlineStr">
        <is>
          <t>Certification</t>
        </is>
      </c>
      <c r="B27" s="14" t="inlineStr">
        <is>
          <t>Yes (Current)</t>
        </is>
      </c>
      <c r="C27" s="14" t="inlineStr">
        <is>
          <t>Expired/Pending</t>
        </is>
      </c>
      <c r="D27" s="14" t="inlineStr">
        <is>
          <t>No/Unknown</t>
        </is>
      </c>
    </row>
    <row r="28">
      <c r="A28" t="inlineStr">
        <is>
          <t>ISO 27001</t>
        </is>
      </c>
      <c r="B28">
        <f>COUNTIF('2. Security Certifications'!R5:R24,"Yes (Current)")</f>
        <v/>
      </c>
      <c r="C28">
        <f>COUNTIF('2. Security Certifications'!R5:R24,"Yes (Expired)")</f>
        <v/>
      </c>
      <c r="D28">
        <f>COUNTIF('2. Security Certifications'!R5:R24,"No")+COUNTIF('2. Security Certifications'!R5:R24,"Unknown")</f>
        <v/>
      </c>
    </row>
    <row r="29">
      <c r="A29" t="inlineStr">
        <is>
          <t>SOC 2 Type II</t>
        </is>
      </c>
      <c r="B29">
        <f>COUNTIF('2. Security Certifications'!U5:U24,"Yes*")</f>
        <v/>
      </c>
      <c r="C29">
        <f>0</f>
        <v/>
      </c>
      <c r="D29">
        <f>COUNTIF('2. Security Certifications'!U5:U24,"No")+COUNTIF('2. Security Certifications'!U5:U24,"Unknown")</f>
        <v/>
      </c>
    </row>
    <row r="30">
      <c r="A30" t="inlineStr">
        <is>
          <t>FedRAMP</t>
        </is>
      </c>
      <c r="B30">
        <f>COUNTIF('2. Security Certifications'!W5:W24,"Yes*")</f>
        <v/>
      </c>
      <c r="C30">
        <f>0</f>
        <v/>
      </c>
      <c r="D30">
        <f>COUNTIF('2. Security Certifications'!W5:W24,"No")+COUNTIF('2. Security Certifications'!W5:W24,"N/A")</f>
        <v/>
      </c>
    </row>
    <row r="33">
      <c r="A33" s="19" t="inlineStr">
        <is>
          <t>TABLE 4: DATA SOVEREIGNTY RISKS</t>
        </is>
      </c>
    </row>
    <row r="34">
      <c r="A34" s="14" t="inlineStr">
        <is>
          <t>Risk</t>
        </is>
      </c>
      <c r="B34" s="14" t="inlineStr">
        <is>
          <t>Count</t>
        </is>
      </c>
      <c r="C34" s="14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Sovereignty'!R5:R24,"USA")+COUNTIF('5. Data Sovereignty'!R5:R24,"Asia-Pacific")</f>
        <v/>
      </c>
      <c r="C35" s="20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Sovereignty'!T5:T24,"No")</f>
        <v/>
      </c>
      <c r="C36" s="21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Sovereignty'!V5:V24,"No")+COUNTIF('5. Data Sovereignty'!V5:V24,"N/A")</f>
        <v/>
      </c>
      <c r="C37" s="21" t="inlineStr">
        <is>
          <t>High</t>
        </is>
      </c>
    </row>
  </sheetData>
  <mergeCells count="5">
    <mergeCell ref="A33:C33"/>
    <mergeCell ref="A1:G1"/>
    <mergeCell ref="A14:F14"/>
    <mergeCell ref="A3:G3"/>
    <mergeCell ref="A26:D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0" customWidth="1" min="4" max="4"/>
    <col width="40" customWidth="1" min="5" max="5"/>
    <col width="14" customWidth="1" min="6" max="6"/>
    <col width="16" customWidth="1" min="7" max="7"/>
    <col width="20" customWidth="1" min="8" max="8"/>
    <col width="14" customWidth="1" min="9" max="9"/>
    <col width="30" customWidth="1" min="10" max="10"/>
  </cols>
  <sheetData>
    <row r="1" ht="35" customHeight="1">
      <c r="A1" s="1" t="inlineStr">
        <is>
          <t>EVIDENCE REGISTER - VENDOR DUE DILIGENCE &amp; CONTRACTS</t>
        </is>
      </c>
    </row>
    <row r="2">
      <c r="A2" s="13" t="inlineStr">
        <is>
          <t>Track all vendor contracts, certifications, and compliance documentation</t>
        </is>
      </c>
    </row>
    <row r="4">
      <c r="A4" s="14" t="inlineStr">
        <is>
          <t>Evidence ID</t>
        </is>
      </c>
      <c r="B4" s="14" t="inlineStr">
        <is>
          <t>Vendor Name</t>
        </is>
      </c>
      <c r="C4" s="14" t="inlineStr">
        <is>
          <t>Evidence Type</t>
        </is>
      </c>
      <c r="D4" s="14" t="inlineStr">
        <is>
          <t>Description</t>
        </is>
      </c>
      <c r="E4" s="14" t="inlineStr">
        <is>
          <t>File Location / URL</t>
        </is>
      </c>
      <c r="F4" s="14" t="inlineStr">
        <is>
          <t>Document Date</t>
        </is>
      </c>
      <c r="G4" s="14" t="inlineStr">
        <is>
          <t>Expiry/Renewal Date</t>
        </is>
      </c>
      <c r="H4" s="14" t="inlineStr">
        <is>
          <t>Document Owner</t>
        </is>
      </c>
      <c r="I4" s="14" t="inlineStr">
        <is>
          <t>Status</t>
        </is>
      </c>
      <c r="J4" s="14" t="inlineStr">
        <is>
          <t>Notes</t>
        </is>
      </c>
    </row>
    <row r="5">
      <c r="A5" t="inlineStr">
        <is>
          <t>EV-VDD-001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t="inlineStr">
        <is>
          <t>EV-VDD-002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t="inlineStr">
        <is>
          <t>EV-VDD-003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t="inlineStr">
        <is>
          <t>EV-VDD-004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t="inlineStr">
        <is>
          <t>EV-VDD-005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t="inlineStr">
        <is>
          <t>EV-VDD-006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t="inlineStr">
        <is>
          <t>EV-VDD-007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t="inlineStr">
        <is>
          <t>EV-VDD-008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t="inlineStr">
        <is>
          <t>EV-VDD-009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t="inlineStr">
        <is>
          <t>EV-VDD-010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t="inlineStr">
        <is>
          <t>EV-VDD-011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t="inlineStr">
        <is>
          <t>EV-VDD-012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t="inlineStr">
        <is>
          <t>EV-VDD-013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t="inlineStr">
        <is>
          <t>EV-VDD-014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t="inlineStr">
        <is>
          <t>EV-VDD-015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t="inlineStr">
        <is>
          <t>EV-VDD-016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t="inlineStr">
        <is>
          <t>EV-VDD-017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t="inlineStr">
        <is>
          <t>EV-VDD-018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t="inlineStr">
        <is>
          <t>EV-VDD-019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t="inlineStr">
        <is>
          <t>EV-VDD-020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t="inlineStr">
        <is>
          <t>EV-VDD-021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t="inlineStr">
        <is>
          <t>EV-VDD-022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t="inlineStr">
        <is>
          <t>EV-VDD-023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t="inlineStr">
        <is>
          <t>EV-VDD-024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>
      <c r="A29" t="inlineStr">
        <is>
          <t>EV-VDD-025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t="inlineStr">
        <is>
          <t>EV-VDD-026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t="inlineStr">
        <is>
          <t>EV-VDD-027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t="inlineStr">
        <is>
          <t>EV-VDD-028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t="inlineStr">
        <is>
          <t>EV-VDD-029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t="inlineStr">
        <is>
          <t>EV-VDD-030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t="inlineStr">
        <is>
          <t>EV-VDD-031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t="inlineStr">
        <is>
          <t>EV-VDD-032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t="inlineStr">
        <is>
          <t>EV-VDD-033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t="inlineStr">
        <is>
          <t>EV-VDD-034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t="inlineStr">
        <is>
          <t>EV-VDD-035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>
      <c r="A40" t="inlineStr">
        <is>
          <t>EV-VDD-036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>
      <c r="A41" t="inlineStr">
        <is>
          <t>EV-VDD-037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>
      <c r="A42" t="inlineStr">
        <is>
          <t>EV-VDD-038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>
      <c r="A43" t="inlineStr">
        <is>
          <t>EV-VDD-039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</row>
    <row r="44">
      <c r="A44" t="inlineStr">
        <is>
          <t>EV-VDD-040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>
      <c r="A45" t="inlineStr">
        <is>
          <t>EV-VDD-041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>
      <c r="A46" t="inlineStr">
        <is>
          <t>EV-VDD-042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</row>
    <row r="47">
      <c r="A47" t="inlineStr">
        <is>
          <t>EV-VDD-043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</row>
    <row r="48">
      <c r="A48" t="inlineStr">
        <is>
          <t>EV-VDD-044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</row>
    <row r="49">
      <c r="A49" t="inlineStr">
        <is>
          <t>EV-VDD-045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</row>
    <row r="50">
      <c r="A50" t="inlineStr">
        <is>
          <t>EV-VDD-046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</row>
    <row r="51">
      <c r="A51" t="inlineStr">
        <is>
          <t>EV-VDD-047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</row>
    <row r="52">
      <c r="A52" t="inlineStr">
        <is>
          <t>EV-VDD-048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</row>
    <row r="53">
      <c r="A53" t="inlineStr">
        <is>
          <t>EV-VDD-049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</row>
    <row r="54">
      <c r="A54" t="inlineStr">
        <is>
          <t>EV-VDD-050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</row>
    <row r="55">
      <c r="A55" t="inlineStr">
        <is>
          <t>EV-VDD-051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</row>
    <row r="56">
      <c r="A56" t="inlineStr">
        <is>
          <t>EV-VDD-052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</row>
    <row r="57">
      <c r="A57" t="inlineStr">
        <is>
          <t>EV-VDD-053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</row>
    <row r="58">
      <c r="A58" t="inlineStr">
        <is>
          <t>EV-VDD-054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</row>
    <row r="59">
      <c r="A59" t="inlineStr">
        <is>
          <t>EV-VDD-055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</row>
    <row r="60">
      <c r="A60" t="inlineStr">
        <is>
          <t>EV-VDD-056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</row>
    <row r="61">
      <c r="A61" t="inlineStr">
        <is>
          <t>EV-VDD-057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</row>
    <row r="62">
      <c r="A62" t="inlineStr">
        <is>
          <t>EV-VDD-058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</row>
    <row r="63">
      <c r="A63" t="inlineStr">
        <is>
          <t>EV-VDD-059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</row>
    <row r="64">
      <c r="A64" t="inlineStr">
        <is>
          <t>EV-VDD-060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</row>
    <row r="65">
      <c r="A65" t="inlineStr">
        <is>
          <t>EV-VDD-061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</row>
    <row r="66">
      <c r="A66" t="inlineStr">
        <is>
          <t>EV-VDD-062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</row>
    <row r="67">
      <c r="A67" t="inlineStr">
        <is>
          <t>EV-VDD-063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</row>
    <row r="68">
      <c r="A68" t="inlineStr">
        <is>
          <t>EV-VDD-064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</row>
    <row r="69">
      <c r="A69" t="inlineStr">
        <is>
          <t>EV-VDD-065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</row>
    <row r="70">
      <c r="A70" t="inlineStr">
        <is>
          <t>EV-VDD-066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</row>
    <row r="71">
      <c r="A71" t="inlineStr">
        <is>
          <t>EV-VDD-067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</row>
    <row r="72">
      <c r="A72" t="inlineStr">
        <is>
          <t>EV-VDD-068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</row>
    <row r="73">
      <c r="A73" t="inlineStr">
        <is>
          <t>EV-VDD-069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</row>
    <row r="74">
      <c r="A74" t="inlineStr">
        <is>
          <t>EV-VDD-070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</row>
    <row r="75">
      <c r="A75" t="inlineStr">
        <is>
          <t>EV-VDD-071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</row>
    <row r="76">
      <c r="A76" t="inlineStr">
        <is>
          <t>EV-VDD-072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</row>
    <row r="77">
      <c r="A77" t="inlineStr">
        <is>
          <t>EV-VDD-073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</row>
    <row r="78">
      <c r="A78" t="inlineStr">
        <is>
          <t>EV-VDD-074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</row>
    <row r="79">
      <c r="A79" t="inlineStr">
        <is>
          <t>EV-VDD-075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</row>
    <row r="80">
      <c r="A80" t="inlineStr">
        <is>
          <t>EV-VDD-076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</row>
    <row r="81">
      <c r="A81" t="inlineStr">
        <is>
          <t>EV-VDD-077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</row>
    <row r="82">
      <c r="A82" t="inlineStr">
        <is>
          <t>EV-VDD-078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</row>
    <row r="83">
      <c r="A83" t="inlineStr">
        <is>
          <t>EV-VDD-079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</row>
    <row r="84">
      <c r="A84" t="inlineStr">
        <is>
          <t>EV-VDD-080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</row>
    <row r="85">
      <c r="A85" t="inlineStr">
        <is>
          <t>EV-VDD-081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</row>
    <row r="86">
      <c r="A86" t="inlineStr">
        <is>
          <t>EV-VDD-082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</row>
    <row r="87">
      <c r="A87" t="inlineStr">
        <is>
          <t>EV-VDD-083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</row>
    <row r="88">
      <c r="A88" t="inlineStr">
        <is>
          <t>EV-VDD-084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</row>
    <row r="89">
      <c r="A89" t="inlineStr">
        <is>
          <t>EV-VDD-085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</row>
    <row r="90">
      <c r="A90" t="inlineStr">
        <is>
          <t>EV-VDD-086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</row>
    <row r="91">
      <c r="A91" t="inlineStr">
        <is>
          <t>EV-VDD-087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</row>
    <row r="92">
      <c r="A92" t="inlineStr">
        <is>
          <t>EV-VDD-088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</row>
    <row r="93">
      <c r="A93" t="inlineStr">
        <is>
          <t>EV-VDD-089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</row>
    <row r="94">
      <c r="A94" t="inlineStr">
        <is>
          <t>EV-VDD-090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</row>
    <row r="95">
      <c r="A95" t="inlineStr">
        <is>
          <t>EV-VDD-091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</row>
    <row r="96">
      <c r="A96" t="inlineStr">
        <is>
          <t>EV-VDD-092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</row>
    <row r="97">
      <c r="A97" t="inlineStr">
        <is>
          <t>EV-VDD-093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</row>
    <row r="98">
      <c r="A98" t="inlineStr">
        <is>
          <t>EV-VDD-094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</row>
    <row r="99">
      <c r="A99" t="inlineStr">
        <is>
          <t>EV-VDD-095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</row>
    <row r="100">
      <c r="A100" t="inlineStr">
        <is>
          <t>EV-VDD-096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</row>
    <row r="101">
      <c r="A101" t="inlineStr">
        <is>
          <t>EV-VDD-097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</row>
    <row r="102">
      <c r="A102" t="inlineStr">
        <is>
          <t>EV-VDD-098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</row>
    <row r="103">
      <c r="A103" t="inlineStr">
        <is>
          <t>EV-VDD-099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</row>
    <row r="104">
      <c r="A104" t="inlineStr">
        <is>
          <t>EV-VDD-100</t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</row>
    <row r="108">
      <c r="A108" s="15" t="inlineStr">
        <is>
          <t>EVIDENCE CHECKLIST</t>
        </is>
      </c>
    </row>
    <row r="109">
      <c r="A109" t="inlineStr">
        <is>
          <t>☐ All MSAs uploaded to contract management system</t>
        </is>
      </c>
    </row>
    <row r="110">
      <c r="A110" t="inlineStr">
        <is>
          <t>☐ DPAs reviewed by Legal and Data Protection Officer</t>
        </is>
      </c>
    </row>
    <row r="111">
      <c r="A111" t="inlineStr">
        <is>
          <t>☐ SLAs attached to vendor records</t>
        </is>
      </c>
    </row>
    <row r="112">
      <c r="A112" t="inlineStr">
        <is>
          <t>☐ Current ISO 27001/SOC 2 reports on file (&lt;12 months old)</t>
        </is>
      </c>
    </row>
    <row r="113">
      <c r="A113" t="inlineStr">
        <is>
          <t>☐ FedRAMP authorization letters archived (if applicable)</t>
        </is>
      </c>
    </row>
    <row r="114">
      <c r="A114" t="inlineStr">
        <is>
          <t>☐ Vendor security questionnaires completed annually</t>
        </is>
      </c>
    </row>
    <row r="115">
      <c r="A115" t="inlineStr">
        <is>
          <t>☐ Cyber insurance certificates verified (&gt;$1M coverage)</t>
        </is>
      </c>
    </row>
    <row r="116">
      <c r="A116" t="inlineStr">
        <is>
          <t>☐ Jurisdictional risk assessments documented for US-nexus providers</t>
        </is>
      </c>
    </row>
    <row r="117">
      <c r="A117" t="inlineStr">
        <is>
          <t>☐ Risk acceptance forms signed for high-risk vendors</t>
        </is>
      </c>
    </row>
  </sheetData>
  <mergeCells count="2">
    <mergeCell ref="A1:J1"/>
    <mergeCell ref="A2:J2"/>
  </mergeCells>
  <dataValidations count="2">
    <dataValidation sqref="C5:C104" showDropDown="0" showInputMessage="0" showErrorMessage="0" allowBlank="1" type="list">
      <formula1>"Contract (MSA),Contract (DPA),Contract (SLA),ISO 27001 Cert,SOC 2 Report,FedRAMP Letter,Vendor Questionnaire,Jurisdictional Assessment,Risk Acceptance,Audit Report,Insurance Cert,Other"</formula1>
    </dataValidation>
    <dataValidation sqref="I5:I104" showDropDown="0" showInputMessage="0" showErrorMessage="0" allowBlank="1" type="list">
      <formula1>"Current,Expired,Pending Renewal,Under Review,Superseded"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VENDOR DUE DILIGENCE ASSESSMENT</t>
        </is>
      </c>
    </row>
    <row r="3">
      <c r="A3" s="22" t="inlineStr">
        <is>
          <t>ASSESSMENT SUMMARY</t>
        </is>
      </c>
    </row>
    <row r="4">
      <c r="A4" s="3" t="inlineStr">
        <is>
          <t>Assessment Completed By:</t>
        </is>
      </c>
      <c r="B4" s="16" t="n"/>
    </row>
    <row r="5">
      <c r="A5" s="3" t="inlineStr">
        <is>
          <t>Completion Date:</t>
        </is>
      </c>
      <c r="B5" s="16" t="n"/>
    </row>
    <row r="6">
      <c r="A6" s="3" t="inlineStr">
        <is>
          <t>Total Vendors Assessed:</t>
        </is>
      </c>
      <c r="B6">
        <f>'8. Summary Dashboard'!B10</f>
        <v/>
      </c>
    </row>
    <row r="7">
      <c r="A7" s="3" t="inlineStr">
        <is>
          <t>Overall Compliance %:</t>
        </is>
      </c>
      <c r="B7">
        <f>'8. Summary Dashboard'!G10</f>
        <v/>
      </c>
    </row>
    <row r="8">
      <c r="A8" s="3" t="inlineStr">
        <is>
          <t>Jurisdictional Risks Identified:</t>
        </is>
      </c>
      <c r="B8">
        <f>'8. Summary Dashboard'!B20</f>
        <v/>
      </c>
    </row>
    <row r="9">
      <c r="A9" s="3" t="inlineStr">
        <is>
          <t>Critical Issues Identified:</t>
        </is>
      </c>
      <c r="B9" s="16" t="n"/>
    </row>
    <row r="10">
      <c r="A10" s="3" t="inlineStr">
        <is>
          <t>Remediation Plan Attached:</t>
        </is>
      </c>
      <c r="B10" s="16" t="n"/>
    </row>
    <row r="13">
      <c r="A13" s="22" t="inlineStr">
        <is>
          <t>LEGAL REVIEW</t>
        </is>
      </c>
    </row>
    <row r="14">
      <c r="A14" s="3" t="inlineStr">
        <is>
          <t>Reviewed By (Legal Counsel):</t>
        </is>
      </c>
      <c r="B14" s="4" t="n"/>
    </row>
    <row r="15">
      <c r="A15" s="3" t="inlineStr">
        <is>
          <t>Review Date:</t>
        </is>
      </c>
      <c r="B15" s="4" t="n"/>
    </row>
    <row r="16">
      <c r="A16" s="3" t="inlineStr">
        <is>
          <t>Contract Compliance Status:</t>
        </is>
      </c>
      <c r="B16" s="4" t="n"/>
    </row>
    <row r="17">
      <c r="A17" s="3" t="inlineStr">
        <is>
          <t>Jurisdictional Risk Acceptance:</t>
        </is>
      </c>
      <c r="B17" s="4" t="n"/>
    </row>
    <row r="18">
      <c r="A18" s="3" t="inlineStr">
        <is>
          <t>Legal Comments:</t>
        </is>
      </c>
      <c r="B18" s="4" t="n"/>
    </row>
    <row r="21">
      <c r="A21" s="22" t="inlineStr">
        <is>
          <t>PROCUREMENT REVIEW</t>
        </is>
      </c>
    </row>
    <row r="22">
      <c r="A22" s="3" t="inlineStr">
        <is>
          <t>Reviewed By (Procurement):</t>
        </is>
      </c>
      <c r="B22" s="4" t="n"/>
    </row>
    <row r="23">
      <c r="A23" s="3" t="inlineStr">
        <is>
          <t>Review Date:</t>
        </is>
      </c>
      <c r="B23" s="4" t="n"/>
    </row>
    <row r="24">
      <c r="A24" s="3" t="inlineStr">
        <is>
          <t>Commercial Terms Status:</t>
        </is>
      </c>
      <c r="B24" s="4" t="n"/>
    </row>
    <row r="25">
      <c r="A25" s="3" t="inlineStr">
        <is>
          <t>Procurement Comments:</t>
        </is>
      </c>
      <c r="B25" s="4" t="n"/>
    </row>
    <row r="28">
      <c r="A28" s="22" t="inlineStr">
        <is>
          <t>DATA PROTECTION OFFICER REVIEW</t>
        </is>
      </c>
    </row>
    <row r="29">
      <c r="A29" s="3" t="inlineStr">
        <is>
          <t>Reviewed By (DPO):</t>
        </is>
      </c>
      <c r="B29" s="4" t="n"/>
    </row>
    <row r="30">
      <c r="A30" s="3" t="inlineStr">
        <is>
          <t>Review Date:</t>
        </is>
      </c>
      <c r="B30" s="4" t="n"/>
    </row>
    <row r="31">
      <c r="A31" s="3" t="inlineStr">
        <is>
          <t>Data Protection Compliance:</t>
        </is>
      </c>
      <c r="B31" s="4" t="n"/>
    </row>
    <row r="32">
      <c r="A32" s="3" t="inlineStr">
        <is>
          <t>Cross-Border Transfer Status:</t>
        </is>
      </c>
      <c r="B32" s="4" t="n"/>
    </row>
    <row r="33">
      <c r="A33" s="3" t="inlineStr">
        <is>
          <t>DPO Comments:</t>
        </is>
      </c>
      <c r="B33" s="4" t="n"/>
    </row>
    <row r="36">
      <c r="A36" s="19" t="inlineStr">
        <is>
          <t>CISO APPROVAL</t>
        </is>
      </c>
    </row>
    <row r="37">
      <c r="A37" s="3" t="inlineStr">
        <is>
          <t>Approved By (CISO):</t>
        </is>
      </c>
      <c r="B37" s="4" t="n"/>
    </row>
    <row r="38">
      <c r="A38" s="3" t="inlineStr">
        <is>
          <t>Approval Date:</t>
        </is>
      </c>
      <c r="B38" s="4" t="n"/>
    </row>
    <row r="39">
      <c r="A39" s="3" t="inlineStr">
        <is>
          <t>Security Risk Assessment:</t>
        </is>
      </c>
      <c r="B39" s="4" t="n"/>
    </row>
    <row r="40">
      <c r="A40" s="3" t="inlineStr">
        <is>
          <t>Jurisdictional Risk Acceptance:</t>
        </is>
      </c>
      <c r="B40" s="4" t="n"/>
    </row>
    <row r="41">
      <c r="A41" s="3" t="inlineStr">
        <is>
          <t>Executive Comments:</t>
        </is>
      </c>
      <c r="B41" s="4" t="n"/>
    </row>
    <row r="43">
      <c r="A43" s="3" t="inlineStr">
        <is>
          <t>FINAL DECISION:</t>
        </is>
      </c>
      <c r="B43" s="4" t="n"/>
    </row>
    <row r="46">
      <c r="A46" s="22" t="inlineStr">
        <is>
          <t>NEXT REVIEW DETAILS</t>
        </is>
      </c>
    </row>
    <row r="47">
      <c r="A47" s="3" t="inlineStr">
        <is>
          <t>Next Review Date:</t>
        </is>
      </c>
      <c r="B47" s="4" t="n"/>
    </row>
    <row r="48">
      <c r="A48" s="3" t="inlineStr">
        <is>
          <t>Review Responsible:</t>
        </is>
      </c>
      <c r="B48" s="4" t="n"/>
    </row>
    <row r="49">
      <c r="A49" s="3" t="inlineStr">
        <is>
          <t>Special Considerations:</t>
        </is>
      </c>
      <c r="B49" s="4" t="n"/>
    </row>
  </sheetData>
  <mergeCells count="37">
    <mergeCell ref="B40:E40"/>
    <mergeCell ref="B9:E9"/>
    <mergeCell ref="B49:E49"/>
    <mergeCell ref="B6:E6"/>
    <mergeCell ref="B30:E30"/>
    <mergeCell ref="B15:E15"/>
    <mergeCell ref="B33:E33"/>
    <mergeCell ref="A1:E1"/>
    <mergeCell ref="B24:E24"/>
    <mergeCell ref="B5:E5"/>
    <mergeCell ref="A36:E36"/>
    <mergeCell ref="B32:E32"/>
    <mergeCell ref="B41:E41"/>
    <mergeCell ref="B4:E4"/>
    <mergeCell ref="B16:E16"/>
    <mergeCell ref="B7:E7"/>
    <mergeCell ref="B25:E25"/>
    <mergeCell ref="A46:E46"/>
    <mergeCell ref="B47:E47"/>
    <mergeCell ref="B22:E22"/>
    <mergeCell ref="A3:E3"/>
    <mergeCell ref="A21:E21"/>
    <mergeCell ref="B31:E31"/>
    <mergeCell ref="B18:E18"/>
    <mergeCell ref="B43:E43"/>
    <mergeCell ref="B48:E48"/>
    <mergeCell ref="B39:E39"/>
    <mergeCell ref="B14:E14"/>
    <mergeCell ref="B17:E17"/>
    <mergeCell ref="B23:E23"/>
    <mergeCell ref="B8:E8"/>
    <mergeCell ref="A28:E28"/>
    <mergeCell ref="B38:E38"/>
    <mergeCell ref="B29:E29"/>
    <mergeCell ref="A13:E13"/>
    <mergeCell ref="B37:E37"/>
    <mergeCell ref="B10:E10"/>
  </mergeCells>
  <dataValidations count="8">
    <dataValidation sqref="B10" showDropDown="0" showInputMessage="0" showErrorMessage="0" allowBlank="0" type="list">
      <formula1>"Yes,No,In Progress"</formula1>
    </dataValidation>
    <dataValidation sqref="B16" showDropDown="0" showInputMessage="0" showErrorMessage="0" allowBlank="0" type="list">
      <formula1>"Approved,Requires Negotiation,Non-Compliant"</formula1>
    </dataValidation>
    <dataValidation sqref="B17" showDropDown="0" showInputMessage="0" showErrorMessage="0" allowBlank="0" type="list">
      <formula1>"Approved,Approved with Conditions,Rejected,N/A"</formula1>
    </dataValidation>
    <dataValidation sqref="B24" showDropDown="0" showInputMessage="0" showErrorMessage="0" allowBlank="0" type="list">
      <formula1>"Approved,Under Negotiation,Rejected"</formula1>
    </dataValidation>
    <dataValidation sqref="B31" showDropDown="0" showInputMessage="0" showErrorMessage="0" allowBlank="0" type="list">
      <formula1>"Compliant,Partially Compliant,Non-Compliant"</formula1>
    </dataValidation>
    <dataValidation sqref="B32" showDropDown="0" showInputMessage="0" showErrorMessage="0" allowBlank="0" type="list">
      <formula1>"Approved,Approved with SCCs,Requires TIA,Rejected"</formula1>
    </dataValidation>
    <dataValidation sqref="B39 B40" showDropDown="0" showInputMessage="0" showErrorMessage="0" allowBlank="0" type="list">
      <formula1>"Approved,Approved with Conditions,Rejected"</formula1>
    </dataValidation>
    <dataValidation sqref="B43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2026-02-10T22:03:25Z</dcterms:created>
  <dcterms:modified xmlns:dcterms="http://purl.org/dc/terms/" xmlns:xsi="http://www.w3.org/2001/XMLSchema-instance" xsi:type="dcterms:W3CDTF">2026-02-10T22:03:25Z</dcterms:modified>
</cp:coreProperties>
</file>