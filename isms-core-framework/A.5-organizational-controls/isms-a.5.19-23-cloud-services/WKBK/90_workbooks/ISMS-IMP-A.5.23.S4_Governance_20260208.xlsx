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Access Review" sheetId="2" state="visible" r:id="rId2"/>
    <sheet xmlns:r="http://schemas.openxmlformats.org/officeDocument/2006/relationships" name="3. Change Management" sheetId="3" state="visible" r:id="rId3"/>
    <sheet xmlns:r="http://schemas.openxmlformats.org/officeDocument/2006/relationships" name="4. Incident Management" sheetId="4" state="visible" r:id="rId4"/>
    <sheet xmlns:r="http://schemas.openxmlformats.org/officeDocument/2006/relationships" name="5. Business Continuity" sheetId="5" state="visible" r:id="rId5"/>
    <sheet xmlns:r="http://schemas.openxmlformats.org/officeDocument/2006/relationships" name="6. Vendor Risk Monitoring" sheetId="6" state="visible" r:id="rId6"/>
    <sheet xmlns:r="http://schemas.openxmlformats.org/officeDocument/2006/relationships" name="7. Exit Strategy Review" sheetId="7" state="visible" r:id="rId7"/>
    <sheet xmlns:r="http://schemas.openxmlformats.org/officeDocument/2006/relationships" name="8. Jurisdictional Risk" sheetId="8" state="visible" r:id="rId8"/>
    <sheet xmlns:r="http://schemas.openxmlformats.org/officeDocument/2006/relationships" name="9. Summary Dashboard" sheetId="9" state="visible" r:id="rId9"/>
    <sheet xmlns:r="http://schemas.openxmlformats.org/officeDocument/2006/relationships" name="10. Evidence Register" sheetId="10" state="visible" r:id="rId10"/>
    <sheet xmlns:r="http://schemas.openxmlformats.org/officeDocument/2006/relationships" name="11. Approval Sign-Of" sheetId="11" state="visible" r:id="rId11"/>
  </sheets>
  <definedNames/>
  <calcPr calcId="124519" fullCalcOnLoad="1"/>
</workbook>
</file>

<file path=xl/styles.xml><?xml version="1.0" encoding="utf-8"?>
<styleSheet xmlns="http://schemas.openxmlformats.org/spreadsheetml/2006/main">
  <numFmts count="1">
    <numFmt numFmtId="164" formatCode="YYYY-MM-DD"/>
  </numFmts>
  <fonts count="15">
    <font>
      <name val="Calibri"/>
      <family val="2"/>
      <color theme="1"/>
      <sz val="11"/>
      <scheme val="minor"/>
    </font>
    <font>
      <b val="1"/>
      <color rgb="00FFFFFF"/>
      <sz val="14"/>
    </font>
    <font>
      <b val="1"/>
      <color rgb="00FFFFFF"/>
      <sz val="11"/>
    </font>
    <font>
      <b val="1"/>
      <sz val="11"/>
    </font>
    <font>
      <sz val="10"/>
    </font>
    <font>
      <b val="1"/>
      <color rgb="00FF0000"/>
      <sz val="11"/>
    </font>
    <font>
      <i val="1"/>
      <sz val="10"/>
    </font>
    <font>
      <i val="1"/>
      <color rgb="00808080"/>
      <sz val="10"/>
    </font>
    <font>
      <b val="1"/>
      <color rgb="000000FF"/>
      <sz val="12"/>
    </font>
    <font>
      <name val="Calibri"/>
      <i val="1"/>
      <sz val="9"/>
    </font>
    <font>
      <name val="Calibri"/>
      <b val="1"/>
      <sz val="10"/>
    </font>
    <font>
      <name val="Calibri"/>
      <b val="1"/>
      <color rgb="00FFFFFF"/>
      <sz val="12"/>
    </font>
    <font>
      <b val="1"/>
      <color rgb="00FF0000"/>
      <sz val="10"/>
    </font>
    <font>
      <b val="1"/>
    </font>
    <font>
      <b val="1"/>
      <color rgb="000000FF"/>
      <sz val="18"/>
    </font>
  </fonts>
  <fills count="11">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
      <patternFill patternType="solid">
        <fgColor rgb="00E7E6E6"/>
        <bgColor rgb="00E7E6E6"/>
      </patternFill>
    </fill>
    <fill>
      <patternFill patternType="solid">
        <fgColor rgb="0070AD47"/>
        <bgColor rgb="0070AD47"/>
      </patternFill>
    </fill>
  </fills>
  <borders count="3">
    <border>
      <left/>
      <right/>
      <top/>
      <bottom/>
      <diagonal/>
    </border>
    <border>
      <left style="thin">
        <color rgb="00000000"/>
      </left>
      <right style="thin">
        <color rgb="00000000"/>
      </right>
      <top style="thin">
        <color rgb="00000000"/>
      </top>
      <bottom style="thin">
        <color rgb="00000000"/>
      </bottom>
    </border>
    <border>
      <left style="thin"/>
      <right style="thin"/>
      <top style="thin"/>
      <bottom style="thin"/>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0" fillId="0" borderId="1" pivotButton="0" quotePrefix="0" xfId="0"/>
    <xf numFmtId="0" fontId="0" fillId="4" borderId="1" pivotButton="0" quotePrefix="0" xfId="0"/>
    <xf numFmtId="0" fontId="4" fillId="0" borderId="0" pivotButton="0" quotePrefix="0" xfId="0"/>
    <xf numFmtId="0" fontId="3" fillId="0" borderId="1" pivotButton="0" quotePrefix="0" xfId="0"/>
    <xf numFmtId="0" fontId="0" fillId="5" borderId="1" pivotButton="0" quotePrefix="0" xfId="0"/>
    <xf numFmtId="0" fontId="0" fillId="6" borderId="1" pivotButton="0" quotePrefix="0" xfId="0"/>
    <xf numFmtId="0" fontId="0" fillId="7" borderId="1" pivotButton="0" quotePrefix="0" xfId="0"/>
    <xf numFmtId="0" fontId="0" fillId="8" borderId="1" pivotButton="0" quotePrefix="0" xfId="0"/>
    <xf numFmtId="0" fontId="5" fillId="0" borderId="0" pivotButton="0" quotePrefix="0" xfId="0"/>
    <xf numFmtId="0" fontId="6" fillId="0" borderId="0" applyAlignment="1" pivotButton="0" quotePrefix="0" xfId="0">
      <alignment horizontal="left" wrapText="1"/>
    </xf>
    <xf numFmtId="0" fontId="3" fillId="8" borderId="1" applyAlignment="1" pivotButton="0" quotePrefix="0" xfId="0">
      <alignment horizontal="center" wrapText="1"/>
    </xf>
    <xf numFmtId="0" fontId="7" fillId="0" borderId="1" pivotButton="0" quotePrefix="0" xfId="0"/>
    <xf numFmtId="0" fontId="2" fillId="3" borderId="0" pivotButton="0" quotePrefix="0" xfId="0"/>
    <xf numFmtId="0" fontId="0" fillId="0" borderId="0" applyAlignment="1" pivotButton="0" quotePrefix="0" xfId="0">
      <alignment horizontal="center"/>
    </xf>
    <xf numFmtId="0" fontId="0" fillId="0" borderId="0" applyAlignment="1" pivotButton="0" quotePrefix="0" xfId="0">
      <alignment wrapText="1"/>
    </xf>
    <xf numFmtId="0" fontId="8" fillId="0" borderId="0" pivotButton="0" quotePrefix="0" xfId="0"/>
    <xf numFmtId="0" fontId="1" fillId="2" borderId="0" applyAlignment="1" pivotButton="0" quotePrefix="0" xfId="0">
      <alignment horizontal="center" vertical="center" wrapText="1"/>
    </xf>
    <xf numFmtId="0" fontId="9" fillId="9" borderId="0" applyAlignment="1" pivotButton="0" quotePrefix="0" xfId="0">
      <alignment horizontal="center" vertical="center" wrapText="1"/>
    </xf>
    <xf numFmtId="0" fontId="10" fillId="8" borderId="2" applyAlignment="1" pivotButton="0" quotePrefix="0" xfId="0">
      <alignment horizontal="center" vertical="center" wrapText="1"/>
    </xf>
    <xf numFmtId="0" fontId="0" fillId="4" borderId="2" pivotButton="0" quotePrefix="0" xfId="0"/>
    <xf numFmtId="164" fontId="0" fillId="4" borderId="2" pivotButton="0" quotePrefix="0" xfId="0"/>
    <xf numFmtId="0" fontId="11" fillId="3" borderId="0" applyAlignment="1" pivotButton="0" quotePrefix="0" xfId="0">
      <alignment horizontal="center" vertical="center"/>
    </xf>
    <xf numFmtId="0" fontId="0" fillId="0" borderId="0" applyAlignment="1" pivotButton="0" quotePrefix="0" xfId="0">
      <alignment horizontal="left" vertical="center" wrapText="1"/>
    </xf>
    <xf numFmtId="0" fontId="11" fillId="10" borderId="0" applyAlignment="1" pivotButton="0" quotePrefix="0" xfId="0">
      <alignment horizontal="center" vertical="center"/>
    </xf>
    <xf numFmtId="0" fontId="12" fillId="6" borderId="0" applyAlignment="1" pivotButton="0" quotePrefix="0" xfId="0">
      <alignment horizontal="center" vertical="center" wrapText="1"/>
    </xf>
    <xf numFmtId="0" fontId="13" fillId="8" borderId="0" pivotButton="0" quotePrefix="0" xfId="0"/>
    <xf numFmtId="0" fontId="0" fillId="4" borderId="0" pivotButton="0" quotePrefix="0" xfId="0"/>
    <xf numFmtId="0" fontId="2" fillId="2" borderId="0" pivotButton="0" quotePrefix="0" xfId="0"/>
    <xf numFmtId="0" fontId="3" fillId="8" borderId="1" applyAlignment="1" pivotButton="0" quotePrefix="0" xfId="0">
      <alignment horizontal="center"/>
    </xf>
    <xf numFmtId="0" fontId="8" fillId="0" borderId="1" pivotButton="0" quotePrefix="0" xfId="0"/>
    <xf numFmtId="0" fontId="3" fillId="8" borderId="1" pivotButton="0" quotePrefix="0" xfId="0"/>
    <xf numFmtId="0" fontId="1" fillId="2" borderId="0" pivotButton="0" quotePrefix="0" xfId="0"/>
    <xf numFmtId="0" fontId="14" fillId="0" borderId="0" pivotButton="0" quotePrefix="0" xfId="0"/>
    <xf numFmtId="0" fontId="6" fillId="0" borderId="0" applyAlignment="1" pivotButton="0" quotePrefix="0" xfId="0">
      <alignment horizontal="center"/>
    </xf>
    <xf numFmtId="0" fontId="13" fillId="8" borderId="1" pivotButton="0" quotePrefix="0" xfId="0"/>
    <xf numFmtId="0" fontId="2" fillId="3" borderId="0" applyAlignment="1" pivotButton="0" quotePrefix="0" xfId="0">
      <alignment horizontal="center"/>
    </xf>
    <xf numFmtId="0" fontId="2" fillId="2" borderId="0" applyAlignment="1" pivotButton="0" quotePrefix="0" xfId="0">
      <alignment horizontal="center"/>
    </xf>
  </cellXfs>
  <cellStyles count="1">
    <cellStyle name="Normal" xfId="0" builtinId="0" hidden="0"/>
  </cellStyles>
  <dxfs count="3">
    <dxf>
      <font>
        <b val="1"/>
        <color rgb="00FFFFFF"/>
      </font>
      <fill>
        <patternFill patternType="solid">
          <fgColor rgb="00FFC7CE"/>
          <bgColor rgb="00FFC7CE"/>
        </patternFill>
      </fill>
    </dxf>
    <dxf>
      <font>
        <b val="1"/>
      </font>
      <fill>
        <patternFill patternType="solid">
          <fgColor rgb="00FFEB9C"/>
          <bgColor rgb="00FFEB9C"/>
        </patternFill>
      </fill>
    </dxf>
    <dxf>
      <fill>
        <patternFill patternType="solid">
          <fgColor rgb="00FFFFCC"/>
          <bgColor rgb="00FFFF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4"/>
  <sheetViews>
    <sheetView workbookViewId="0">
      <selection activeCell="A1" sqref="A1"/>
    </sheetView>
  </sheetViews>
  <sheetFormatPr baseColWidth="8" defaultRowHeight="15"/>
  <cols>
    <col width="50" customWidth="1" min="1" max="1"/>
    <col width="50" customWidth="1" min="2" max="2"/>
    <col width="40" customWidth="1" min="3" max="3"/>
  </cols>
  <sheetData>
    <row r="1" ht="40" customHeight="1">
      <c r="A1" s="1" t="inlineStr">
        <is>
          <t>ISMS-IMP-A.5.23.S4 - Ongoing Governance &amp; Risk Management v1.0</t>
        </is>
      </c>
    </row>
    <row r="2" ht="25" customHeight="1">
      <c r="A2" s="2" t="inlineStr">
        <is>
          <t>ISO/IEC 27001:2022 - Control A.5.23: Cloud Services Security</t>
        </is>
      </c>
    </row>
    <row r="4">
      <c r="A4" s="3" t="inlineStr">
        <is>
          <t>Document ID:</t>
        </is>
      </c>
      <c r="B4" s="4" t="inlineStr">
        <is>
          <t>ISMS-IMP-A.5.23.S4</t>
        </is>
      </c>
    </row>
    <row r="5">
      <c r="A5" s="3" t="inlineStr">
        <is>
          <t>Assessment Area:</t>
        </is>
      </c>
      <c r="B5" s="4" t="inlineStr">
        <is>
          <t>Ongoing Cloud Service Governance &amp; Risk Management</t>
        </is>
      </c>
    </row>
    <row r="6">
      <c r="A6" s="3" t="inlineStr">
        <is>
          <t>Related Policy:</t>
        </is>
      </c>
      <c r="B6" s="4" t="inlineStr">
        <is>
          <t>ISMS-POL-A.5.19-23-S5 Section 6</t>
        </is>
      </c>
    </row>
    <row r="7">
      <c r="A7" s="3" t="inlineStr">
        <is>
          <t>Version:</t>
        </is>
      </c>
      <c r="B7" s="4" t="inlineStr">
        <is>
          <t>2.0 (Regulatory Update)</t>
        </is>
      </c>
    </row>
    <row r="8">
      <c r="A8" s="3" t="inlineStr">
        <is>
          <t>Assessment Date:</t>
        </is>
      </c>
      <c r="B8" s="5" t="inlineStr">
        <is>
          <t>[ENTER DATE]</t>
        </is>
      </c>
    </row>
    <row r="9">
      <c r="A9" s="3" t="inlineStr">
        <is>
          <t>Completed By:</t>
        </is>
      </c>
      <c r="B9" s="5" t="inlineStr">
        <is>
          <t>[ENTER NAME]</t>
        </is>
      </c>
    </row>
    <row r="10">
      <c r="A10" s="3" t="inlineStr">
        <is>
          <t>Organization:</t>
        </is>
      </c>
      <c r="B10" s="5" t="inlineStr">
        <is>
          <t>[ENTER ORGANIZATION]</t>
        </is>
      </c>
    </row>
    <row r="11">
      <c r="A11" s="3" t="inlineStr">
        <is>
          <t>Review Cycle:</t>
        </is>
      </c>
      <c r="B11" s="4" t="inlineStr">
        <is>
          <t>Quarterly</t>
        </is>
      </c>
    </row>
    <row r="13">
      <c r="A13" s="3" t="inlineStr">
        <is>
          <t>HOW TO USE THIS WORKBOOK</t>
        </is>
      </c>
    </row>
    <row r="14">
      <c r="A14" s="6" t="inlineStr">
        <is>
          <t>1. Complete each assessment sheet (2-7) for all cloud services in scope</t>
        </is>
      </c>
    </row>
    <row r="15">
      <c r="A15" s="6" t="inlineStr">
        <is>
          <t>2. Use dropdown menus for standardized entries</t>
        </is>
      </c>
    </row>
    <row r="16">
      <c r="A16" s="6" t="inlineStr">
        <is>
          <t>3. Fill in yellow-highlighted cells with your information</t>
        </is>
      </c>
    </row>
    <row r="17">
      <c r="A17" s="6" t="inlineStr">
        <is>
          <t>4. If Status = Partial or Non-Compliant, document gaps and remediation</t>
        </is>
      </c>
    </row>
    <row r="18">
      <c r="A18" s="6" t="inlineStr">
        <is>
          <t>5. Provide evidence location/path for each assessment entry</t>
        </is>
      </c>
    </row>
    <row r="19">
      <c r="A19" s="6" t="inlineStr">
        <is>
          <t>6. Complete Jurisdictional Risk sheet (8) for all US-nexus providers (NEW)</t>
        </is>
      </c>
    </row>
    <row r="20">
      <c r="A20" s="6" t="inlineStr">
        <is>
          <t>7. Document DORA ICT risk monitoring frequency if in scope</t>
        </is>
      </c>
    </row>
    <row r="21">
      <c r="A21" s="6" t="inlineStr">
        <is>
          <t>8. Classify NIS2 incidents according to severity thresholds</t>
        </is>
      </c>
    </row>
    <row r="22">
      <c r="A22" s="6" t="inlineStr">
        <is>
          <t>9. Monitor AI systems according to AI Act risk classification</t>
        </is>
      </c>
    </row>
    <row r="23">
      <c r="A23" s="6" t="inlineStr">
        <is>
          <t>10. Assign regulatory risk owners for all identified risks</t>
        </is>
      </c>
    </row>
    <row r="24">
      <c r="A24" s="6" t="inlineStr">
        <is>
          <t>11. Summary Dashboard auto-calculates compliance statistics</t>
        </is>
      </c>
    </row>
    <row r="25">
      <c r="A25" s="6" t="inlineStr">
        <is>
          <t>12. Maintain Evidence Register for audit traceability</t>
        </is>
      </c>
    </row>
    <row r="26">
      <c r="A26" s="6" t="inlineStr">
        <is>
          <t>13. Obtain sign-offs in sequence: IT Ops → Compliance → DPO → CRO → CISO</t>
        </is>
      </c>
    </row>
    <row r="28">
      <c r="A28" s="3" t="inlineStr">
        <is>
          <t>STATUS LEGEND</t>
        </is>
      </c>
    </row>
    <row r="29">
      <c r="A29" s="7" t="inlineStr">
        <is>
          <t>Status</t>
        </is>
      </c>
      <c r="B29" s="7" t="inlineStr">
        <is>
          <t>Color</t>
        </is>
      </c>
      <c r="C29" s="7" t="inlineStr">
        <is>
          <t>Meaning</t>
        </is>
      </c>
    </row>
    <row r="30">
      <c r="A30" s="4" t="inlineStr">
        <is>
          <t>{CHECK} Compliant</t>
        </is>
      </c>
      <c r="B30" s="8" t="n"/>
      <c r="C30" s="4" t="inlineStr">
        <is>
          <t>Fully meets requirements</t>
        </is>
      </c>
    </row>
    <row r="31">
      <c r="A31" s="4" t="inlineStr">
        <is>
          <t>{WARNING} Partial</t>
        </is>
      </c>
      <c r="B31" s="9" t="n"/>
      <c r="C31" s="4" t="inlineStr">
        <is>
          <t>Partially implemented, gaps exist</t>
        </is>
      </c>
    </row>
    <row r="32">
      <c r="A32" s="4" t="inlineStr">
        <is>
          <t>{XMARK} Non-Compliant</t>
        </is>
      </c>
      <c r="B32" s="10" t="n"/>
      <c r="C32" s="4" t="inlineStr">
        <is>
          <t>Not implemented or major gaps</t>
        </is>
      </c>
    </row>
    <row r="33">
      <c r="A33" s="4" t="inlineStr">
        <is>
          <t>N/A</t>
        </is>
      </c>
      <c r="B33" s="11" t="n"/>
      <c r="C33" s="4" t="inlineStr">
        <is>
          <t>Not applicable to this service</t>
        </is>
      </c>
    </row>
    <row r="36">
      <c r="A36" s="12" t="inlineStr">
        <is>
          <t>REGULATORY COMPLIANCE (NEW IN v1.0)</t>
        </is>
      </c>
    </row>
    <row r="37">
      <c r="A37" t="inlineStr">
        <is>
          <t>This workbook includes updated requirements for:</t>
        </is>
      </c>
    </row>
    <row r="38">
      <c r="A38" t="inlineStr">
        <is>
          <t>• DORA (Digital Operational Resilience Act) - ICT risk management</t>
        </is>
      </c>
    </row>
    <row r="39">
      <c r="A39" t="inlineStr">
        <is>
          <t>• NIS2 (Network and Information Security Directive 2) - Incident management</t>
        </is>
      </c>
    </row>
    <row r="40">
      <c r="A40" t="inlineStr">
        <is>
          <t>• EU AI Act - AI system risk monitoring</t>
        </is>
      </c>
    </row>
    <row r="41">
      <c r="A41" t="inlineStr">
        <is>
          <t>• US CLOUD Act - Jurisdictional risk assessment (NEW Sheet 8)</t>
        </is>
      </c>
    </row>
    <row r="43">
      <c r="A43" s="3" t="inlineStr">
        <is>
          <t>REGULATORY APPLICABILITY GUIDANCE</t>
        </is>
      </c>
    </row>
    <row r="44">
      <c r="A44" s="3" t="inlineStr">
        <is>
          <t>If You Are...</t>
        </is>
      </c>
      <c r="B44" s="3" t="inlineStr">
        <is>
          <t>Complete These Fields</t>
        </is>
      </c>
    </row>
    <row r="45">
      <c r="A45" t="inlineStr">
        <is>
          <t>EU Financial Entity (DORA scope)</t>
        </is>
      </c>
      <c r="B45" t="inlineStr">
        <is>
          <t>All DORA fields (mandatory)</t>
        </is>
      </c>
    </row>
    <row r="46">
      <c r="A46" t="inlineStr">
        <is>
          <t>EU Essential/Important Entity (NIS2)</t>
        </is>
      </c>
      <c r="B46" t="inlineStr">
        <is>
          <t>All NIS2 fields (mandatory)</t>
        </is>
      </c>
    </row>
    <row r="47">
      <c r="A47" t="inlineStr">
        <is>
          <t>Operating AI Systems from vendors</t>
        </is>
      </c>
      <c r="B47" t="inlineStr">
        <is>
          <t>All AI Act risk monitoring fields</t>
        </is>
      </c>
    </row>
    <row r="48">
      <c r="A48" t="inlineStr">
        <is>
          <t>Using US-HQ Providers</t>
        </is>
      </c>
      <c r="B48" t="inlineStr">
        <is>
          <t>Sheet 8 Jurisdictional Risk (all)</t>
        </is>
      </c>
    </row>
    <row r="49">
      <c r="A49" t="inlineStr">
        <is>
          <t>None of the Above</t>
        </is>
      </c>
      <c r="B49" t="inlineStr">
        <is>
          <t>Mark as "N/A" or "Not Applicable"</t>
        </is>
      </c>
    </row>
    <row r="52">
      <c r="A52" s="3" t="inlineStr">
        <is>
          <t>RISK MONITORING CONSIDERATIONS</t>
        </is>
      </c>
    </row>
    <row r="53">
      <c r="A53" t="inlineStr">
        <is>
          <t>• DORA: Quarterly ICT risk register reviews mandatory</t>
        </is>
      </c>
    </row>
    <row r="54">
      <c r="A54" t="inlineStr">
        <is>
          <t>• NIS2: Significant incidents require ≤24h notification to authorities</t>
        </is>
      </c>
    </row>
    <row r="55">
      <c r="A55" t="inlineStr">
        <is>
          <t>• AI Act: High-risk AI systems require continuous monitoring</t>
        </is>
      </c>
    </row>
    <row r="56">
      <c r="A56" t="inlineStr">
        <is>
          <t>• Maintain audit trail of all risk assessments and decisions</t>
        </is>
      </c>
    </row>
    <row r="57">
      <c r="A57" t="inlineStr">
        <is>
          <t>• Document vendor concentration risks (single-vendor dependencies)</t>
        </is>
      </c>
    </row>
    <row r="58">
      <c r="A58" t="inlineStr">
        <is>
          <t>• Test business continuity plans annually minimum</t>
        </is>
      </c>
    </row>
    <row r="61">
      <c r="A61" s="3" t="inlineStr">
        <is>
          <t>ACCEPTABLE EVIDENCE (EXAMPLES)</t>
        </is>
      </c>
    </row>
    <row r="62">
      <c r="A62" t="inlineStr">
        <is>
          <t>✓ Access review reports with sign-offs</t>
        </is>
      </c>
    </row>
    <row r="63">
      <c r="A63" t="inlineStr">
        <is>
          <t>✓ Change management tickets and approvals</t>
        </is>
      </c>
    </row>
    <row r="64">
      <c r="A64" t="inlineStr">
        <is>
          <t>✓ Incident reports and root cause analyses</t>
        </is>
      </c>
    </row>
    <row r="65">
      <c r="A65" t="inlineStr">
        <is>
          <t>✓ BC/DR test results and RTO/RPO measurements</t>
        </is>
      </c>
    </row>
    <row r="66">
      <c r="A66" t="inlineStr">
        <is>
          <t>✓ Vendor risk assessments and scorecards</t>
        </is>
      </c>
    </row>
    <row r="67">
      <c r="A67" t="inlineStr">
        <is>
          <t>✓ Quarterly ICT risk register reviews (DORA)</t>
        </is>
      </c>
    </row>
    <row r="68">
      <c r="A68" t="inlineStr">
        <is>
          <t>✓ Vendor concentration risk assessment</t>
        </is>
      </c>
    </row>
    <row r="69">
      <c r="A69" t="inlineStr">
        <is>
          <t>✓ Business continuity test reports (annual minimum)</t>
        </is>
      </c>
    </row>
    <row r="70">
      <c r="A70" t="inlineStr">
        <is>
          <t>✓ Incident notification records (NIS2 ≤24h threshold)</t>
        </is>
      </c>
    </row>
    <row r="71">
      <c r="A71" t="inlineStr">
        <is>
          <t>✓ AI system monitoring logs (for high-risk AI)</t>
        </is>
      </c>
    </row>
    <row r="72">
      <c r="A72" t="inlineStr">
        <is>
          <t>✓ Risk ownership assignments (signed by risk owners)</t>
        </is>
      </c>
    </row>
    <row r="73">
      <c r="A73" t="inlineStr">
        <is>
          <t>✓ Jurisdictional risk assessment (for US-nexus providers)</t>
        </is>
      </c>
    </row>
    <row r="74">
      <c r="A74" t="inlineStr">
        <is>
          <t>✓ Risk acceptance forms (signed by CISO/DPO/CRO)</t>
        </is>
      </c>
    </row>
  </sheetData>
  <mergeCells count="4">
    <mergeCell ref="A36:H36"/>
    <mergeCell ref="A13:H13"/>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44"/>
  <sheetViews>
    <sheetView workbookViewId="0">
      <pane ySplit="5" topLeftCell="A6"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8"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6" customWidth="1" min="18" max="18"/>
    <col width="18" customWidth="1" min="19" max="19"/>
    <col width="18" customWidth="1" min="20" max="20"/>
    <col width="18" customWidth="1" min="21" max="21"/>
    <col width="20" customWidth="1" min="22" max="22"/>
    <col width="18" customWidth="1" min="23" max="23"/>
    <col width="16" customWidth="1" min="24" max="24"/>
  </cols>
  <sheetData>
    <row r="1" ht="35" customHeight="1">
      <c r="A1" s="1" t="inlineStr">
        <is>
          <t>2. ACCESS REVIEW &amp; RECERTIFICATION</t>
        </is>
      </c>
    </row>
    <row r="2" ht="30" customHeight="1">
      <c r="A2" s="13" t="inlineStr">
        <is>
          <t>Policy Reference: Access to cloud services MUST be reviewed quarterly. Orphan accounts MUST be disabled within 24 hours. (Policy Section 6.1)</t>
        </is>
      </c>
    </row>
    <row r="4" ht="30" customHeight="1">
      <c r="A4" s="14" t="inlineStr">
        <is>
          <t>Cloud Service Name</t>
        </is>
      </c>
      <c r="B4" s="14" t="inlineStr">
        <is>
          <t>Vendor Name</t>
        </is>
      </c>
      <c r="C4" s="14" t="inlineStr">
        <is>
          <t>Service Type</t>
        </is>
      </c>
      <c r="D4" s="14" t="inlineStr">
        <is>
          <t>Review Period</t>
        </is>
      </c>
      <c r="E4" s="14" t="inlineStr">
        <is>
          <t>Service Criticality</t>
        </is>
      </c>
      <c r="F4" s="14" t="inlineStr">
        <is>
          <t>Data Classification</t>
        </is>
      </c>
      <c r="G4" s="14" t="inlineStr">
        <is>
          <t>Review Type</t>
        </is>
      </c>
      <c r="H4" s="14" t="inlineStr">
        <is>
          <t>Status</t>
        </is>
      </c>
      <c r="I4" s="14" t="inlineStr">
        <is>
          <t>Evidence Location</t>
        </is>
      </c>
      <c r="J4" s="14" t="inlineStr">
        <is>
          <t>Gap Description</t>
        </is>
      </c>
      <c r="K4" s="14" t="inlineStr">
        <is>
          <t>Remediation Needed</t>
        </is>
      </c>
      <c r="L4" s="14" t="inlineStr">
        <is>
          <t>Exception ID</t>
        </is>
      </c>
      <c r="M4" s="14" t="inlineStr">
        <is>
          <t>Risk ID</t>
        </is>
      </c>
      <c r="N4" s="14" t="inlineStr">
        <is>
          <t>Compensating Controls</t>
        </is>
      </c>
      <c r="O4" s="14" t="inlineStr">
        <is>
          <t>Responsible Team/Owner</t>
        </is>
      </c>
      <c r="P4" s="14" t="inlineStr">
        <is>
          <t>Target Remediation Date</t>
        </is>
      </c>
      <c r="Q4" s="14" t="inlineStr">
        <is>
          <t>Last Review Date</t>
        </is>
      </c>
      <c r="R4" s="14" t="inlineStr">
        <is>
          <t>Last Review Date</t>
        </is>
      </c>
      <c r="S4" s="14" t="inlineStr">
        <is>
          <t>Review Outcome</t>
        </is>
      </c>
      <c r="T4" s="14" t="inlineStr">
        <is>
          <t>Total Accounts Reviewed</t>
        </is>
      </c>
      <c r="U4" s="14" t="inlineStr">
        <is>
          <t>Orphan Accounts Found</t>
        </is>
      </c>
      <c r="V4" s="14" t="inlineStr">
        <is>
          <t>Excessive Privileges Found</t>
        </is>
      </c>
      <c r="W4" s="14" t="inlineStr">
        <is>
          <t>Accounts Remediated</t>
        </is>
      </c>
      <c r="X4" s="14" t="inlineStr">
        <is>
          <t>Next Review Due</t>
        </is>
      </c>
    </row>
    <row r="5">
      <c r="A5" s="15" t="inlineStr">
        <is>
          <t>Example: Microsoft 365</t>
        </is>
      </c>
      <c r="B5" s="15" t="inlineStr">
        <is>
          <t>Microsoft</t>
        </is>
      </c>
      <c r="C5" s="15" t="inlineStr">
        <is>
          <t>SaaS</t>
        </is>
      </c>
      <c r="D5" s="15" t="inlineStr">
        <is>
          <t>Q4</t>
        </is>
      </c>
      <c r="E5" s="15" t="inlineStr">
        <is>
          <t>Critical</t>
        </is>
      </c>
      <c r="F5" s="15" t="inlineStr">
        <is>
          <t>Confidential</t>
        </is>
      </c>
      <c r="G5" s="15" t="inlineStr">
        <is>
          <t>Full Recertification</t>
        </is>
      </c>
      <c r="H5" s="15" t="inlineStr">
        <is>
          <t>✅ Compliant</t>
        </is>
      </c>
      <c r="I5" s="15" t="inlineStr">
        <is>
          <t>/evidence/access/M365</t>
        </is>
      </c>
      <c r="J5" s="15" t="inlineStr"/>
      <c r="K5" s="15" t="inlineStr">
        <is>
          <t>No</t>
        </is>
      </c>
      <c r="L5" s="15" t="inlineStr"/>
      <c r="M5" s="15" t="inlineStr"/>
      <c r="N5" s="15" t="inlineStr"/>
      <c r="O5" s="15" t="inlineStr">
        <is>
          <t>IT Ops</t>
        </is>
      </c>
      <c r="P5" s="15" t="inlineStr"/>
      <c r="Q5" s="15" t="inlineStr">
        <is>
          <t>2025-12-15</t>
        </is>
      </c>
      <c r="R5" s="15" t="inlineStr">
        <is>
          <t>2025-12-15</t>
        </is>
      </c>
      <c r="S5" s="15" t="inlineStr">
        <is>
          <t>Passed</t>
        </is>
      </c>
      <c r="T5" s="15" t="inlineStr">
        <is>
          <t>245</t>
        </is>
      </c>
      <c r="U5" s="15" t="inlineStr">
        <is>
          <t>3</t>
        </is>
      </c>
      <c r="V5" s="15" t="inlineStr">
        <is>
          <t>5</t>
        </is>
      </c>
      <c r="W5" s="15" t="inlineStr">
        <is>
          <t>8</t>
        </is>
      </c>
      <c r="X5" s="15" t="inlineStr">
        <is>
          <t>2026-03-15</t>
        </is>
      </c>
    </row>
    <row r="6">
      <c r="A6" s="5" t="n"/>
      <c r="B6" s="5" t="n"/>
      <c r="C6" s="5" t="n"/>
      <c r="D6" s="5" t="n"/>
      <c r="E6" s="5" t="n"/>
      <c r="F6" s="5" t="n"/>
      <c r="G6" s="5" t="n"/>
      <c r="H6" s="5" t="n"/>
      <c r="I6" s="5" t="n"/>
      <c r="J6" s="5" t="n"/>
      <c r="K6" s="5" t="n"/>
      <c r="L6" s="5" t="n"/>
      <c r="M6" s="5" t="n"/>
      <c r="N6" s="5" t="n"/>
      <c r="O6" s="5" t="n"/>
      <c r="P6" s="5" t="n"/>
      <c r="Q6" s="5" t="n"/>
      <c r="R6" s="5" t="n"/>
      <c r="S6" s="5" t="n"/>
      <c r="T6" s="5" t="n"/>
      <c r="U6" s="5" t="n"/>
      <c r="V6" s="5" t="n"/>
      <c r="W6" s="5" t="n"/>
      <c r="X6" s="5" t="n"/>
    </row>
    <row r="7">
      <c r="A7" s="5" t="n"/>
      <c r="B7" s="5" t="n"/>
      <c r="C7" s="5" t="n"/>
      <c r="D7" s="5" t="n"/>
      <c r="E7" s="5" t="n"/>
      <c r="F7" s="5" t="n"/>
      <c r="G7" s="5" t="n"/>
      <c r="H7" s="5" t="n"/>
      <c r="I7" s="5" t="n"/>
      <c r="J7" s="5" t="n"/>
      <c r="K7" s="5" t="n"/>
      <c r="L7" s="5" t="n"/>
      <c r="M7" s="5" t="n"/>
      <c r="N7" s="5" t="n"/>
      <c r="O7" s="5" t="n"/>
      <c r="P7" s="5" t="n"/>
      <c r="Q7" s="5" t="n"/>
      <c r="R7" s="5" t="n"/>
      <c r="S7" s="5" t="n"/>
      <c r="T7" s="5" t="n"/>
      <c r="U7" s="5" t="n"/>
      <c r="V7" s="5" t="n"/>
      <c r="W7" s="5" t="n"/>
      <c r="X7" s="5" t="n"/>
    </row>
    <row r="8">
      <c r="A8" s="5" t="n"/>
      <c r="B8" s="5" t="n"/>
      <c r="C8" s="5" t="n"/>
      <c r="D8" s="5" t="n"/>
      <c r="E8" s="5" t="n"/>
      <c r="F8" s="5" t="n"/>
      <c r="G8" s="5" t="n"/>
      <c r="H8" s="5" t="n"/>
      <c r="I8" s="5" t="n"/>
      <c r="J8" s="5" t="n"/>
      <c r="K8" s="5" t="n"/>
      <c r="L8" s="5" t="n"/>
      <c r="M8" s="5" t="n"/>
      <c r="N8" s="5" t="n"/>
      <c r="O8" s="5" t="n"/>
      <c r="P8" s="5" t="n"/>
      <c r="Q8" s="5" t="n"/>
      <c r="R8" s="5" t="n"/>
      <c r="S8" s="5" t="n"/>
      <c r="T8" s="5" t="n"/>
      <c r="U8" s="5" t="n"/>
      <c r="V8" s="5" t="n"/>
      <c r="W8" s="5" t="n"/>
      <c r="X8" s="5" t="n"/>
    </row>
    <row r="9">
      <c r="A9" s="5" t="n"/>
      <c r="B9" s="5" t="n"/>
      <c r="C9" s="5" t="n"/>
      <c r="D9" s="5" t="n"/>
      <c r="E9" s="5" t="n"/>
      <c r="F9" s="5" t="n"/>
      <c r="G9" s="5" t="n"/>
      <c r="H9" s="5" t="n"/>
      <c r="I9" s="5" t="n"/>
      <c r="J9" s="5" t="n"/>
      <c r="K9" s="5" t="n"/>
      <c r="L9" s="5" t="n"/>
      <c r="M9" s="5" t="n"/>
      <c r="N9" s="5" t="n"/>
      <c r="O9" s="5" t="n"/>
      <c r="P9" s="5" t="n"/>
      <c r="Q9" s="5" t="n"/>
      <c r="R9" s="5" t="n"/>
      <c r="S9" s="5" t="n"/>
      <c r="T9" s="5" t="n"/>
      <c r="U9" s="5" t="n"/>
      <c r="V9" s="5" t="n"/>
      <c r="W9" s="5" t="n"/>
      <c r="X9" s="5" t="n"/>
    </row>
    <row r="10">
      <c r="A10" s="5" t="n"/>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row>
    <row r="11">
      <c r="A11" s="5"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row>
    <row r="12">
      <c r="A12" s="5" t="n"/>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row>
    <row r="13">
      <c r="A13" s="5" t="n"/>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row>
    <row r="14">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row>
    <row r="15">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row>
    <row r="16">
      <c r="A16" s="5"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row>
    <row r="17">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row>
    <row r="18">
      <c r="A18" s="5" t="n"/>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row>
    <row r="19">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row>
    <row r="20">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row>
    <row r="21">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row>
    <row r="22">
      <c r="A22" s="5"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row>
    <row r="23">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row>
    <row r="24">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row>
    <row r="26">
      <c r="A26" s="16" t="inlineStr">
        <is>
          <t>ACCESS REVIEW &amp; RECERTIFICATION - COMPLIANCE CHECKLIST</t>
        </is>
      </c>
    </row>
    <row r="27">
      <c r="A27" s="7" t="inlineStr">
        <is>
          <t>☐</t>
        </is>
      </c>
      <c r="B27" s="7" t="inlineStr">
        <is>
          <t>Requirement</t>
        </is>
      </c>
      <c r="C27" s="7" t="inlineStr">
        <is>
          <t>Status</t>
        </is>
      </c>
      <c r="D27" s="7" t="inlineStr">
        <is>
          <t>Notes/Evidence</t>
        </is>
      </c>
    </row>
    <row r="28" ht="25" customHeight="1">
      <c r="A28" s="17" t="inlineStr">
        <is>
          <t>☐</t>
        </is>
      </c>
      <c r="B28" s="18" t="inlineStr">
        <is>
          <t>Quarterly access review schedule documented and communicated</t>
        </is>
      </c>
      <c r="C28" s="5" t="n"/>
      <c r="D28" s="5" t="n"/>
    </row>
    <row r="29" ht="25" customHeight="1">
      <c r="A29" s="17" t="inlineStr">
        <is>
          <t>☐</t>
        </is>
      </c>
      <c r="B29" s="18" t="inlineStr">
        <is>
          <t>Access review covers all user types (employees, contractors, service accounts)</t>
        </is>
      </c>
      <c r="C29" s="5" t="n"/>
      <c r="D29" s="5" t="n"/>
    </row>
    <row r="30" ht="25" customHeight="1">
      <c r="A30" s="17" t="inlineStr">
        <is>
          <t>☐</t>
        </is>
      </c>
      <c r="B30" s="18" t="inlineStr">
        <is>
          <t>Privileged access reviewed separately with enhanced scrutiny</t>
        </is>
      </c>
      <c r="C30" s="5" t="n"/>
      <c r="D30" s="5" t="n"/>
    </row>
    <row r="31" ht="25" customHeight="1">
      <c r="A31" s="17" t="inlineStr">
        <is>
          <t>☐</t>
        </is>
      </c>
      <c r="B31" s="18" t="inlineStr">
        <is>
          <t>Review includes comparison against job role/least privilege</t>
        </is>
      </c>
      <c r="C31" s="5" t="n"/>
      <c r="D31" s="5" t="n"/>
    </row>
    <row r="32" ht="25" customHeight="1">
      <c r="A32" s="17" t="inlineStr">
        <is>
          <t>☐</t>
        </is>
      </c>
      <c r="B32" s="18" t="inlineStr">
        <is>
          <t>Orphan account detection process automated or scheduled</t>
        </is>
      </c>
      <c r="C32" s="5" t="n"/>
      <c r="D32" s="5" t="n"/>
    </row>
    <row r="33" ht="25" customHeight="1">
      <c r="A33" s="17" t="inlineStr">
        <is>
          <t>☐</t>
        </is>
      </c>
      <c r="B33" s="18" t="inlineStr">
        <is>
          <t>Orphan accounts disabled within 24 hours of detection</t>
        </is>
      </c>
      <c r="C33" s="5" t="n"/>
      <c r="D33" s="5" t="n"/>
    </row>
    <row r="34" ht="25" customHeight="1">
      <c r="A34" s="17" t="inlineStr">
        <is>
          <t>☐</t>
        </is>
      </c>
      <c r="B34" s="18" t="inlineStr">
        <is>
          <t>Terminated user access revoked within SLA (24 hours)</t>
        </is>
      </c>
      <c r="C34" s="5" t="n"/>
      <c r="D34" s="5" t="n"/>
    </row>
    <row r="35" ht="25" customHeight="1">
      <c r="A35" s="17" t="inlineStr">
        <is>
          <t>☐</t>
        </is>
      </c>
      <c r="B35" s="18" t="inlineStr">
        <is>
          <t>Service account ownership verified and documented</t>
        </is>
      </c>
      <c r="C35" s="5" t="n"/>
      <c r="D35" s="5" t="n"/>
    </row>
    <row r="36" ht="25" customHeight="1">
      <c r="A36" s="17" t="inlineStr">
        <is>
          <t>☐</t>
        </is>
      </c>
      <c r="B36" s="18" t="inlineStr">
        <is>
          <t>Shared account usage minimized and justified</t>
        </is>
      </c>
      <c r="C36" s="5" t="n"/>
      <c r="D36" s="5" t="n"/>
    </row>
    <row r="37" ht="25" customHeight="1">
      <c r="A37" s="17" t="inlineStr">
        <is>
          <t>☐</t>
        </is>
      </c>
      <c r="B37" s="18" t="inlineStr">
        <is>
          <t>MFA status verified during access review</t>
        </is>
      </c>
      <c r="C37" s="5" t="n"/>
      <c r="D37" s="5" t="n"/>
    </row>
    <row r="38" ht="25" customHeight="1">
      <c r="A38" s="17" t="inlineStr">
        <is>
          <t>☐</t>
        </is>
      </c>
      <c r="B38" s="18" t="inlineStr">
        <is>
          <t>External/guest access reviewed and time-limited</t>
        </is>
      </c>
      <c r="C38" s="5" t="n"/>
      <c r="D38" s="5" t="n"/>
    </row>
    <row r="39" ht="25" customHeight="1">
      <c r="A39" s="17" t="inlineStr">
        <is>
          <t>☐</t>
        </is>
      </c>
      <c r="B39" s="18" t="inlineStr">
        <is>
          <t>Access review findings documented with evidence</t>
        </is>
      </c>
      <c r="C39" s="5" t="n"/>
      <c r="D39" s="5" t="n"/>
    </row>
    <row r="40" ht="25" customHeight="1">
      <c r="A40" s="17" t="inlineStr">
        <is>
          <t>☐</t>
        </is>
      </c>
      <c r="B40" s="18" t="inlineStr">
        <is>
          <t>Non-compliance escalated to service owner</t>
        </is>
      </c>
      <c r="C40" s="5" t="n"/>
      <c r="D40" s="5" t="n"/>
    </row>
    <row r="41" ht="25" customHeight="1">
      <c r="A41" s="17" t="inlineStr">
        <is>
          <t>☐</t>
        </is>
      </c>
      <c r="B41" s="18" t="inlineStr">
        <is>
          <t>Review completion rates tracked and reported</t>
        </is>
      </c>
      <c r="C41" s="5" t="n"/>
      <c r="D41" s="5" t="n"/>
    </row>
    <row r="42" ht="25" customHeight="1">
      <c r="A42" s="17" t="inlineStr">
        <is>
          <t>☐</t>
        </is>
      </c>
      <c r="B42" s="18" t="inlineStr">
        <is>
          <t>Access review process covers all cloud services in inventory</t>
        </is>
      </c>
      <c r="C42" s="5" t="n"/>
      <c r="D42" s="5" t="n"/>
    </row>
    <row r="44">
      <c r="A44" s="3" t="inlineStr">
        <is>
          <t>Checklist Compliance Score:</t>
        </is>
      </c>
      <c r="C44" s="19">
        <f>IF(COUNTA(C28:C42)=0,"N/A",ROUND(COUNTIF(C28:C42,"Yes")/COUNTIF(C28:C42,"&lt;&gt;N/A")*100,1)&amp;"%")</f>
        <v/>
      </c>
    </row>
  </sheetData>
  <mergeCells count="33">
    <mergeCell ref="B40"/>
    <mergeCell ref="D41:F41"/>
    <mergeCell ref="B30"/>
    <mergeCell ref="D32:F32"/>
    <mergeCell ref="B33"/>
    <mergeCell ref="B36"/>
    <mergeCell ref="B41"/>
    <mergeCell ref="B32"/>
    <mergeCell ref="B35"/>
    <mergeCell ref="D28:F28"/>
    <mergeCell ref="D37:F37"/>
    <mergeCell ref="A26:X26"/>
    <mergeCell ref="A2:X2"/>
    <mergeCell ref="D30:F30"/>
    <mergeCell ref="D39:F39"/>
    <mergeCell ref="D33:F33"/>
    <mergeCell ref="B31"/>
    <mergeCell ref="D42:F42"/>
    <mergeCell ref="D38:F38"/>
    <mergeCell ref="D29:F29"/>
    <mergeCell ref="B39"/>
    <mergeCell ref="D35:F35"/>
    <mergeCell ref="B42"/>
    <mergeCell ref="D34:F34"/>
    <mergeCell ref="D31:F31"/>
    <mergeCell ref="B29"/>
    <mergeCell ref="D40:F40"/>
    <mergeCell ref="D36:F36"/>
    <mergeCell ref="B38"/>
    <mergeCell ref="B34"/>
    <mergeCell ref="B28"/>
    <mergeCell ref="A1:X1"/>
    <mergeCell ref="B37"/>
  </mergeCells>
  <dataValidations count="10">
    <dataValidation sqref="C6 C7 C8 C9 C10 C11 C12 C13 C14 C15 C16 C17 C18 C19 C20 C21 C22 C23 C24" showDropDown="0" showInputMessage="0" showErrorMessage="0" allowBlank="1" errorTitle="Service Type" error="Select valid service type" promptTitle="Service Type" prompt="Select Service Type" type="list">
      <formula1>"SaaS,IaaS,PaaS,Security Service,Cloud Storage,Other"</formula1>
    </dataValidation>
    <dataValidation sqref="D6 D7 D8 D9 D10 D11 D12 D13 D14 D15 D16 D17 D18 D19 D20 D21 D22 D23 D24" showDropDown="0" showInputMessage="0" showErrorMessage="0" allowBlank="1" errorTitle="Review Period" error="Select valid review period" promptTitle="Review Period" prompt="Select Review Period" type="list">
      <formula1>"Q1,Q2,Q3,Q4,Annual,Ad-Hoc"</formula1>
    </dataValidation>
    <dataValidation sqref="E6 E7 E8 E9 E10 E11 E12 E13 E14 E15 E16 E17 E18 E19 E20 E21 E22 E23 E24" showDropDown="0" showInputMessage="0" showErrorMessage="0" allowBlank="1" errorTitle="Service Criticality" error="Select valid criticality" promptTitle="Service Criticality" prompt="Select Service Criticality" type="list">
      <formula1>"Critical,High,Medium,Low"</formula1>
    </dataValidation>
    <dataValidation sqref="F6 F7 F8 F9 F10 F11 F12 F13 F14 F15 F16 F17 F18 F19 F20 F21 F22 F23 F2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6 H7 H8 H9 H10 H11 H12 H13 H14 H15 H16 H17 H18 H19 H20 H21 H22 H23 H24" showDropDown="0" showInputMessage="0" showErrorMessage="0" allowBlank="1" errorTitle="Status" error="Select valid status" promptTitle="Status" prompt="Select Status" type="list">
      <formula1>f"{CHECK} Compliant,⚠️ Partial,❌ Non-Compliant,N/A"</formula1>
    </dataValidation>
    <dataValidation sqref="K6 K7 K8 K9 K10 K11 K12 K13 K14 K15 K16 K17 K18 K19 K20 K21 K22 K23 K24" showDropDown="0" showInputMessage="0" showErrorMessage="0" allowBlank="1" errorTitle="Yes/No" error="Select Yes or No" promptTitle="Yes/No" prompt="Select Yes/No" type="list">
      <formula1>"Yes,No"</formula1>
    </dataValidation>
    <dataValidation sqref="O6 O7 O8 O9 O10 O11 O12 O13 O14 O15 O16 O17 O18 O19 O20 O21 O22 O23 O2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6 G7 G8 G9 G10 G11 G12 G13 G14 G15 G16 G17 G18 G19 G20 G21 G22 G23 G24" showDropDown="0" showInputMessage="0" showErrorMessage="0" allowBlank="1" errorTitle="Review Type" error="Select valid Review Type" type="list">
      <formula1>"Full Recertification,Privileged Access,Standard Access,Service Account"</formula1>
    </dataValidation>
    <dataValidation sqref="S6 S7 S8 S9 S10 S11 S12 S13 S14 S15 S16 S17 S18 S19 S20 S21 S22 S23 S24" showDropDown="0" showInputMessage="0" showErrorMessage="0" allowBlank="1" errorTitle="Review Outcome" error="Select valid Review Outcome" type="list">
      <formula1>"Passed,Issues Found,Overdue,Not Started"</formula1>
    </dataValidation>
    <dataValidation sqref="C28 C29 C30 C31 C32 C33 C34 C35 C36 C37 C38 C39 C40 C41 C42" showDropDown="0" showInputMessage="0" showErrorMessage="0" allowBlank="1" type="list">
      <formula1>"Yes,No,N/A"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44"/>
  <sheetViews>
    <sheetView workbookViewId="0">
      <pane ySplit="5" topLeftCell="A6"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8"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8" customWidth="1" min="18" max="18"/>
    <col width="16" customWidth="1" min="19" max="19"/>
    <col width="18" customWidth="1" min="20" max="20"/>
    <col width="20" customWidth="1" min="21" max="21"/>
    <col width="16" customWidth="1" min="22" max="22"/>
    <col width="20" customWidth="1" min="23" max="23"/>
    <col width="20" customWidth="1" min="24" max="24"/>
  </cols>
  <sheetData>
    <row r="1" ht="35" customHeight="1">
      <c r="A1" s="1" t="inlineStr">
        <is>
          <t>3. CHANGE MANAGEMENT</t>
        </is>
      </c>
    </row>
    <row r="2" ht="30" customHeight="1">
      <c r="A2" s="13" t="inlineStr">
        <is>
          <t>Policy Reference: All cloud service changes MUST follow change management process. Emergency changes require post-review within 48 hours. (Policy Section 6.2)</t>
        </is>
      </c>
    </row>
    <row r="4" ht="30" customHeight="1">
      <c r="A4" s="14" t="inlineStr">
        <is>
          <t>Cloud Service Name</t>
        </is>
      </c>
      <c r="B4" s="14" t="inlineStr">
        <is>
          <t>Vendor Name</t>
        </is>
      </c>
      <c r="C4" s="14" t="inlineStr">
        <is>
          <t>Service Type</t>
        </is>
      </c>
      <c r="D4" s="14" t="inlineStr">
        <is>
          <t>Review Period</t>
        </is>
      </c>
      <c r="E4" s="14" t="inlineStr">
        <is>
          <t>Service Criticality</t>
        </is>
      </c>
      <c r="F4" s="14" t="inlineStr">
        <is>
          <t>Data Classification</t>
        </is>
      </c>
      <c r="G4" s="14" t="inlineStr">
        <is>
          <t>Change Type</t>
        </is>
      </c>
      <c r="H4" s="14" t="inlineStr">
        <is>
          <t>Status</t>
        </is>
      </c>
      <c r="I4" s="14" t="inlineStr">
        <is>
          <t>Evidence Location</t>
        </is>
      </c>
      <c r="J4" s="14" t="inlineStr">
        <is>
          <t>Gap Description</t>
        </is>
      </c>
      <c r="K4" s="14" t="inlineStr">
        <is>
          <t>Remediation Needed</t>
        </is>
      </c>
      <c r="L4" s="14" t="inlineStr">
        <is>
          <t>Exception ID</t>
        </is>
      </c>
      <c r="M4" s="14" t="inlineStr">
        <is>
          <t>Risk ID</t>
        </is>
      </c>
      <c r="N4" s="14" t="inlineStr">
        <is>
          <t>Compensating Controls</t>
        </is>
      </c>
      <c r="O4" s="14" t="inlineStr">
        <is>
          <t>Responsible Team/Owner</t>
        </is>
      </c>
      <c r="P4" s="14" t="inlineStr">
        <is>
          <t>Target Remediation Date</t>
        </is>
      </c>
      <c r="Q4" s="14" t="inlineStr">
        <is>
          <t>Last Review Date</t>
        </is>
      </c>
      <c r="R4" s="14" t="inlineStr">
        <is>
          <t>Change Count (Period)</t>
        </is>
      </c>
      <c r="S4" s="14" t="inlineStr">
        <is>
          <t>Impact Level</t>
        </is>
      </c>
      <c r="T4" s="14" t="inlineStr">
        <is>
          <t>Approval Status</t>
        </is>
      </c>
      <c r="U4" s="14" t="inlineStr">
        <is>
          <t>Rollback Plan Documented</t>
        </is>
      </c>
      <c r="V4" s="14" t="inlineStr">
        <is>
          <t>Rollback Tested</t>
        </is>
      </c>
      <c r="W4" s="14" t="inlineStr">
        <is>
          <t>Post-Change Review Done</t>
        </is>
      </c>
      <c r="X4" s="14" t="inlineStr">
        <is>
          <t>Security Impact Assessed</t>
        </is>
      </c>
    </row>
    <row r="5">
      <c r="A5" s="15" t="inlineStr">
        <is>
          <t>Example: Microsoft 365</t>
        </is>
      </c>
      <c r="B5" s="15" t="inlineStr">
        <is>
          <t>Microsoft</t>
        </is>
      </c>
      <c r="C5" s="15" t="inlineStr">
        <is>
          <t>SaaS</t>
        </is>
      </c>
      <c r="D5" s="15" t="inlineStr">
        <is>
          <t>Q4</t>
        </is>
      </c>
      <c r="E5" s="15" t="inlineStr">
        <is>
          <t>Critical</t>
        </is>
      </c>
      <c r="F5" s="15" t="inlineStr">
        <is>
          <t>Confidential</t>
        </is>
      </c>
      <c r="G5" s="15" t="inlineStr">
        <is>
          <t>Config Change</t>
        </is>
      </c>
      <c r="H5" s="15" t="inlineStr">
        <is>
          <t>⚠ Partial</t>
        </is>
      </c>
      <c r="I5" s="15" t="inlineStr">
        <is>
          <t>/evidence/changes/M365</t>
        </is>
      </c>
      <c r="J5" s="15" t="inlineStr">
        <is>
          <t>Rollback not tested</t>
        </is>
      </c>
      <c r="K5" s="15" t="inlineStr">
        <is>
          <t>Yes</t>
        </is>
      </c>
      <c r="L5" s="15" t="inlineStr"/>
      <c r="M5" s="15" t="inlineStr">
        <is>
          <t>RSK-2025-042</t>
        </is>
      </c>
      <c r="N5" s="15" t="inlineStr">
        <is>
          <t>Manual verification</t>
        </is>
      </c>
      <c r="O5" s="15" t="inlineStr">
        <is>
          <t>IT Ops</t>
        </is>
      </c>
      <c r="P5" s="15" t="inlineStr">
        <is>
          <t>2026-01-31</t>
        </is>
      </c>
      <c r="Q5" s="15" t="inlineStr">
        <is>
          <t>2025-12-01</t>
        </is>
      </c>
      <c r="R5" s="15" t="inlineStr">
        <is>
          <t>12</t>
        </is>
      </c>
      <c r="S5" s="15" t="inlineStr">
        <is>
          <t>Medium</t>
        </is>
      </c>
      <c r="T5" s="15" t="inlineStr">
        <is>
          <t>Approved</t>
        </is>
      </c>
      <c r="U5" s="15" t="inlineStr">
        <is>
          <t>Yes</t>
        </is>
      </c>
      <c r="V5" s="15" t="inlineStr">
        <is>
          <t>No</t>
        </is>
      </c>
      <c r="W5" s="15" t="inlineStr">
        <is>
          <t>Yes</t>
        </is>
      </c>
      <c r="X5" s="15" t="inlineStr">
        <is>
          <t>Yes</t>
        </is>
      </c>
    </row>
    <row r="6">
      <c r="A6" s="5" t="n"/>
      <c r="B6" s="5" t="n"/>
      <c r="C6" s="5" t="n"/>
      <c r="D6" s="5" t="n"/>
      <c r="E6" s="5" t="n"/>
      <c r="F6" s="5" t="n"/>
      <c r="G6" s="5" t="n"/>
      <c r="H6" s="5" t="n"/>
      <c r="I6" s="5" t="n"/>
      <c r="J6" s="5" t="n"/>
      <c r="K6" s="5" t="n"/>
      <c r="L6" s="5" t="n"/>
      <c r="M6" s="5" t="n"/>
      <c r="N6" s="5" t="n"/>
      <c r="O6" s="5" t="n"/>
      <c r="P6" s="5" t="n"/>
      <c r="Q6" s="5" t="n"/>
      <c r="R6" s="5" t="n"/>
      <c r="S6" s="5" t="n"/>
      <c r="T6" s="5" t="n"/>
      <c r="U6" s="5" t="n"/>
      <c r="V6" s="5" t="n"/>
      <c r="W6" s="5" t="n"/>
      <c r="X6" s="5" t="n"/>
    </row>
    <row r="7">
      <c r="A7" s="5" t="n"/>
      <c r="B7" s="5" t="n"/>
      <c r="C7" s="5" t="n"/>
      <c r="D7" s="5" t="n"/>
      <c r="E7" s="5" t="n"/>
      <c r="F7" s="5" t="n"/>
      <c r="G7" s="5" t="n"/>
      <c r="H7" s="5" t="n"/>
      <c r="I7" s="5" t="n"/>
      <c r="J7" s="5" t="n"/>
      <c r="K7" s="5" t="n"/>
      <c r="L7" s="5" t="n"/>
      <c r="M7" s="5" t="n"/>
      <c r="N7" s="5" t="n"/>
      <c r="O7" s="5" t="n"/>
      <c r="P7" s="5" t="n"/>
      <c r="Q7" s="5" t="n"/>
      <c r="R7" s="5" t="n"/>
      <c r="S7" s="5" t="n"/>
      <c r="T7" s="5" t="n"/>
      <c r="U7" s="5" t="n"/>
      <c r="V7" s="5" t="n"/>
      <c r="W7" s="5" t="n"/>
      <c r="X7" s="5" t="n"/>
    </row>
    <row r="8">
      <c r="A8" s="5" t="n"/>
      <c r="B8" s="5" t="n"/>
      <c r="C8" s="5" t="n"/>
      <c r="D8" s="5" t="n"/>
      <c r="E8" s="5" t="n"/>
      <c r="F8" s="5" t="n"/>
      <c r="G8" s="5" t="n"/>
      <c r="H8" s="5" t="n"/>
      <c r="I8" s="5" t="n"/>
      <c r="J8" s="5" t="n"/>
      <c r="K8" s="5" t="n"/>
      <c r="L8" s="5" t="n"/>
      <c r="M8" s="5" t="n"/>
      <c r="N8" s="5" t="n"/>
      <c r="O8" s="5" t="n"/>
      <c r="P8" s="5" t="n"/>
      <c r="Q8" s="5" t="n"/>
      <c r="R8" s="5" t="n"/>
      <c r="S8" s="5" t="n"/>
      <c r="T8" s="5" t="n"/>
      <c r="U8" s="5" t="n"/>
      <c r="V8" s="5" t="n"/>
      <c r="W8" s="5" t="n"/>
      <c r="X8" s="5" t="n"/>
    </row>
    <row r="9">
      <c r="A9" s="5" t="n"/>
      <c r="B9" s="5" t="n"/>
      <c r="C9" s="5" t="n"/>
      <c r="D9" s="5" t="n"/>
      <c r="E9" s="5" t="n"/>
      <c r="F9" s="5" t="n"/>
      <c r="G9" s="5" t="n"/>
      <c r="H9" s="5" t="n"/>
      <c r="I9" s="5" t="n"/>
      <c r="J9" s="5" t="n"/>
      <c r="K9" s="5" t="n"/>
      <c r="L9" s="5" t="n"/>
      <c r="M9" s="5" t="n"/>
      <c r="N9" s="5" t="n"/>
      <c r="O9" s="5" t="n"/>
      <c r="P9" s="5" t="n"/>
      <c r="Q9" s="5" t="n"/>
      <c r="R9" s="5" t="n"/>
      <c r="S9" s="5" t="n"/>
      <c r="T9" s="5" t="n"/>
      <c r="U9" s="5" t="n"/>
      <c r="V9" s="5" t="n"/>
      <c r="W9" s="5" t="n"/>
      <c r="X9" s="5" t="n"/>
    </row>
    <row r="10">
      <c r="A10" s="5" t="n"/>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row>
    <row r="11">
      <c r="A11" s="5"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row>
    <row r="12">
      <c r="A12" s="5" t="n"/>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row>
    <row r="13">
      <c r="A13" s="5" t="n"/>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row>
    <row r="14">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row>
    <row r="15">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row>
    <row r="16">
      <c r="A16" s="5"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row>
    <row r="17">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row>
    <row r="18">
      <c r="A18" s="5" t="n"/>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row>
    <row r="19">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row>
    <row r="20">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row>
    <row r="21">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row>
    <row r="22">
      <c r="A22" s="5"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row>
    <row r="23">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row>
    <row r="24">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row>
    <row r="26">
      <c r="A26" s="16" t="inlineStr">
        <is>
          <t>CHANGE MANAGEMENT - COMPLIANCE CHECKLIST</t>
        </is>
      </c>
    </row>
    <row r="27">
      <c r="A27" s="7" t="inlineStr">
        <is>
          <t>☐</t>
        </is>
      </c>
      <c r="B27" s="7" t="inlineStr">
        <is>
          <t>Requirement</t>
        </is>
      </c>
      <c r="C27" s="7" t="inlineStr">
        <is>
          <t>Status</t>
        </is>
      </c>
      <c r="D27" s="7" t="inlineStr">
        <is>
          <t>Notes/Evidence</t>
        </is>
      </c>
    </row>
    <row r="28" ht="25" customHeight="1">
      <c r="A28" s="17" t="inlineStr">
        <is>
          <t>☐</t>
        </is>
      </c>
      <c r="B28" s="18" t="inlineStr">
        <is>
          <t>Change management process documented for cloud services</t>
        </is>
      </c>
      <c r="C28" s="5" t="n"/>
      <c r="D28" s="5" t="n"/>
    </row>
    <row r="29" ht="25" customHeight="1">
      <c r="A29" s="17" t="inlineStr">
        <is>
          <t>☐</t>
        </is>
      </c>
      <c r="B29" s="18" t="inlineStr">
        <is>
          <t>Provider change notifications monitored and assessed</t>
        </is>
      </c>
      <c r="C29" s="5" t="n"/>
      <c r="D29" s="5" t="n"/>
    </row>
    <row r="30" ht="25" customHeight="1">
      <c r="A30" s="17" t="inlineStr">
        <is>
          <t>☐</t>
        </is>
      </c>
      <c r="B30" s="18" t="inlineStr">
        <is>
          <t>Configuration changes require security review before approval</t>
        </is>
      </c>
      <c r="C30" s="5" t="n"/>
      <c r="D30" s="5" t="n"/>
    </row>
    <row r="31" ht="25" customHeight="1">
      <c r="A31" s="17" t="inlineStr">
        <is>
          <t>☐</t>
        </is>
      </c>
      <c r="B31" s="18" t="inlineStr">
        <is>
          <t>Integration changes assessed for data flow impact</t>
        </is>
      </c>
      <c r="C31" s="5" t="n"/>
      <c r="D31" s="5" t="n"/>
    </row>
    <row r="32" ht="25" customHeight="1">
      <c r="A32" s="17" t="inlineStr">
        <is>
          <t>☐</t>
        </is>
      </c>
      <c r="B32" s="18" t="inlineStr">
        <is>
          <t>Emergency change process defined with post-review requirement</t>
        </is>
      </c>
      <c r="C32" s="5" t="n"/>
      <c r="D32" s="5" t="n"/>
    </row>
    <row r="33" ht="25" customHeight="1">
      <c r="A33" s="17" t="inlineStr">
        <is>
          <t>☐</t>
        </is>
      </c>
      <c r="B33" s="18" t="inlineStr">
        <is>
          <t>Emergency changes reviewed within 48 hours</t>
        </is>
      </c>
      <c r="C33" s="5" t="n"/>
      <c r="D33" s="5" t="n"/>
    </row>
    <row r="34" ht="25" customHeight="1">
      <c r="A34" s="17" t="inlineStr">
        <is>
          <t>☐</t>
        </is>
      </c>
      <c r="B34" s="18" t="inlineStr">
        <is>
          <t>Rollback procedures documented for critical changes</t>
        </is>
      </c>
      <c r="C34" s="5" t="n"/>
      <c r="D34" s="5" t="n"/>
    </row>
    <row r="35" ht="25" customHeight="1">
      <c r="A35" s="17" t="inlineStr">
        <is>
          <t>☐</t>
        </is>
      </c>
      <c r="B35" s="18" t="inlineStr">
        <is>
          <t>Rollback procedures tested before go-live (critical changes)</t>
        </is>
      </c>
      <c r="C35" s="5" t="n"/>
      <c r="D35" s="5" t="n"/>
    </row>
    <row r="36" ht="25" customHeight="1">
      <c r="A36" s="17" t="inlineStr">
        <is>
          <t>☐</t>
        </is>
      </c>
      <c r="B36" s="18" t="inlineStr">
        <is>
          <t>Change calendar maintained and communicated</t>
        </is>
      </c>
      <c r="C36" s="5" t="n"/>
      <c r="D36" s="5" t="n"/>
    </row>
    <row r="37" ht="25" customHeight="1">
      <c r="A37" s="17" t="inlineStr">
        <is>
          <t>☐</t>
        </is>
      </c>
      <c r="B37" s="18" t="inlineStr">
        <is>
          <t>Change conflicts identified and resolved</t>
        </is>
      </c>
      <c r="C37" s="5" t="n"/>
      <c r="D37" s="5" t="n"/>
    </row>
    <row r="38" ht="25" customHeight="1">
      <c r="A38" s="17" t="inlineStr">
        <is>
          <t>☐</t>
        </is>
      </c>
      <c r="B38" s="18" t="inlineStr">
        <is>
          <t>Security impact assessment required for all changes</t>
        </is>
      </c>
      <c r="C38" s="5" t="n"/>
      <c r="D38" s="5" t="n"/>
    </row>
    <row r="39" ht="25" customHeight="1">
      <c r="A39" s="17" t="inlineStr">
        <is>
          <t>☐</t>
        </is>
      </c>
      <c r="B39" s="18" t="inlineStr">
        <is>
          <t>Change audit trail maintained in ticketing system</t>
        </is>
      </c>
      <c r="C39" s="5" t="n"/>
      <c r="D39" s="5" t="n"/>
    </row>
    <row r="40" ht="25" customHeight="1">
      <c r="A40" s="17" t="inlineStr">
        <is>
          <t>☐</t>
        </is>
      </c>
      <c r="B40" s="18" t="inlineStr">
        <is>
          <t>Failed changes documented with root cause</t>
        </is>
      </c>
      <c r="C40" s="5" t="n"/>
      <c r="D40" s="5" t="n"/>
    </row>
    <row r="41" ht="25" customHeight="1">
      <c r="A41" s="17" t="inlineStr">
        <is>
          <t>☐</t>
        </is>
      </c>
      <c r="B41" s="18" t="inlineStr">
        <is>
          <t>Change success metrics tracked (success rate, rollback rate)</t>
        </is>
      </c>
      <c r="C41" s="5" t="n"/>
      <c r="D41" s="5" t="n"/>
    </row>
    <row r="42" ht="25" customHeight="1">
      <c r="A42" s="17" t="inlineStr">
        <is>
          <t>☐</t>
        </is>
      </c>
      <c r="B42" s="18" t="inlineStr">
        <is>
          <t>Provider maintenance windows tracked and planned for</t>
        </is>
      </c>
      <c r="C42" s="5" t="n"/>
      <c r="D42" s="5" t="n"/>
    </row>
    <row r="44">
      <c r="A44" s="3" t="inlineStr">
        <is>
          <t>Checklist Compliance Score:</t>
        </is>
      </c>
      <c r="C44" s="19">
        <f>IF(COUNTA(C28:C42)=0,"N/A",ROUND(COUNTIF(C28:C42,"Yes")/COUNTIF(C28:C42,"&lt;&gt;N/A")*100,1)&amp;"%")</f>
        <v/>
      </c>
    </row>
  </sheetData>
  <mergeCells count="33">
    <mergeCell ref="B40"/>
    <mergeCell ref="D41:F41"/>
    <mergeCell ref="B30"/>
    <mergeCell ref="D32:F32"/>
    <mergeCell ref="B33"/>
    <mergeCell ref="B36"/>
    <mergeCell ref="B41"/>
    <mergeCell ref="B32"/>
    <mergeCell ref="B35"/>
    <mergeCell ref="D28:F28"/>
    <mergeCell ref="D37:F37"/>
    <mergeCell ref="A26:X26"/>
    <mergeCell ref="A2:X2"/>
    <mergeCell ref="D30:F30"/>
    <mergeCell ref="D39:F39"/>
    <mergeCell ref="D33:F33"/>
    <mergeCell ref="B31"/>
    <mergeCell ref="D42:F42"/>
    <mergeCell ref="D38:F38"/>
    <mergeCell ref="D29:F29"/>
    <mergeCell ref="B39"/>
    <mergeCell ref="D35:F35"/>
    <mergeCell ref="B42"/>
    <mergeCell ref="D34:F34"/>
    <mergeCell ref="D31:F31"/>
    <mergeCell ref="B29"/>
    <mergeCell ref="D40:F40"/>
    <mergeCell ref="D36:F36"/>
    <mergeCell ref="B38"/>
    <mergeCell ref="B34"/>
    <mergeCell ref="B28"/>
    <mergeCell ref="A1:X1"/>
    <mergeCell ref="B37"/>
  </mergeCells>
  <dataValidations count="15">
    <dataValidation sqref="C6 C7 C8 C9 C10 C11 C12 C13 C14 C15 C16 C17 C18 C19 C20 C21 C22 C23 C24" showDropDown="0" showInputMessage="0" showErrorMessage="0" allowBlank="1" errorTitle="Service Type" error="Select valid service type" promptTitle="Service Type" prompt="Select Service Type" type="list">
      <formula1>"SaaS,IaaS,PaaS,Security Service,Cloud Storage,Other"</formula1>
    </dataValidation>
    <dataValidation sqref="D6 D7 D8 D9 D10 D11 D12 D13 D14 D15 D16 D17 D18 D19 D20 D21 D22 D23 D24" showDropDown="0" showInputMessage="0" showErrorMessage="0" allowBlank="1" errorTitle="Review Period" error="Select valid review period" promptTitle="Review Period" prompt="Select Review Period" type="list">
      <formula1>"Q1,Q2,Q3,Q4,Annual,Ad-Hoc"</formula1>
    </dataValidation>
    <dataValidation sqref="E6 E7 E8 E9 E10 E11 E12 E13 E14 E15 E16 E17 E18 E19 E20 E21 E22 E23 E24" showDropDown="0" showInputMessage="0" showErrorMessage="0" allowBlank="1" errorTitle="Service Criticality" error="Select valid criticality" promptTitle="Service Criticality" prompt="Select Service Criticality" type="list">
      <formula1>"Critical,High,Medium,Low"</formula1>
    </dataValidation>
    <dataValidation sqref="F6 F7 F8 F9 F10 F11 F12 F13 F14 F15 F16 F17 F18 F19 F20 F21 F22 F23 F2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6 H7 H8 H9 H10 H11 H12 H13 H14 H15 H16 H17 H18 H19 H20 H21 H22 H23 H24" showDropDown="0" showInputMessage="0" showErrorMessage="0" allowBlank="1" errorTitle="Status" error="Select valid status" promptTitle="Status" prompt="Select Status" type="list">
      <formula1>f"{CHECK} Compliant,⚠️ Partial,❌ Non-Compliant,N/A"</formula1>
    </dataValidation>
    <dataValidation sqref="K6 K7 K8 K9 K10 K11 K12 K13 K14 K15 K16 K17 K18 K19 K20 K21 K22 K23 K24" showDropDown="0" showInputMessage="0" showErrorMessage="0" allowBlank="1" errorTitle="Yes/No" error="Select Yes or No" promptTitle="Yes/No" prompt="Select Yes/No" type="list">
      <formula1>"Yes,No"</formula1>
    </dataValidation>
    <dataValidation sqref="O6 O7 O8 O9 O10 O11 O12 O13 O14 O15 O16 O17 O18 O19 O20 O21 O22 O23 O2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6 G7 G8 G9 G10 G11 G12 G13 G14 G15 G16 G17 G18 G19 G20 G21 G22 G23 G24" showDropDown="0" showInputMessage="0" showErrorMessage="0" allowBlank="1" errorTitle="Change Type" error="Select valid Change Type" type="list">
      <formula1>"Provider Change,Config Change,Integration Change,Emergency Change,Scheduled Maintenance"</formula1>
    </dataValidation>
    <dataValidation sqref="S6 S7 S8 S9 S10 S11 S12 S13 S14 S15 S16 S17 S18 S19 S20 S21 S22 S23 S24" showDropDown="0" showInputMessage="0" showErrorMessage="0" allowBlank="1" errorTitle="Impact Level" error="Select valid Impact Level" type="list">
      <formula1>"Critical,High,Medium,Low"</formula1>
    </dataValidation>
    <dataValidation sqref="T6 T7 T8 T9 T10 T11 T12 T13 T14 T15 T16 T17 T18 T19 T20 T21 T22 T23 T24" showDropDown="0" showInputMessage="0" showErrorMessage="0" allowBlank="1" errorTitle="Approval Status" error="Select valid Approval Status" type="list">
      <formula1>"Approved,Pending,Rejected,Emergency"</formula1>
    </dataValidation>
    <dataValidation sqref="U6 U7 U8 U9 U10 U11 U12 U13 U14 U15 U16 U17 U18 U19 U20 U21 U22 U23 U24" showDropDown="0" showInputMessage="0" showErrorMessage="0" allowBlank="1" errorTitle="Rollback Plan" error="Select valid Rollback Plan" type="list">
      <formula1>"Yes,No,N/A"</formula1>
    </dataValidation>
    <dataValidation sqref="V6 V7 V8 V9 V10 V11 V12 V13 V14 V15 V16 V17 V18 V19 V20 V21 V22 V23 V24" showDropDown="0" showInputMessage="0" showErrorMessage="0" allowBlank="1" errorTitle="Rollback Tested" error="Select valid Rollback Tested" type="list">
      <formula1>"Yes,No,N/A"</formula1>
    </dataValidation>
    <dataValidation sqref="W6 W7 W8 W9 W10 W11 W12 W13 W14 W15 W16 W17 W18 W19 W20 W21 W22 W23 W24" showDropDown="0" showInputMessage="0" showErrorMessage="0" allowBlank="1" errorTitle="Post-Change Review" error="Select valid Post-Change Review" type="list">
      <formula1>"Yes,No,Pending"</formula1>
    </dataValidation>
    <dataValidation sqref="X6 X7 X8 X9 X10 X11 X12 X13 X14 X15 X16 X17 X18 X19 X20 X21 X22 X23 X24" showDropDown="0" showInputMessage="0" showErrorMessage="0" allowBlank="1" errorTitle="Security Impact" error="Select valid Security Impact" type="list">
      <formula1>"Yes,No,N/A"</formula1>
    </dataValidation>
    <dataValidation sqref="C28 C29 C30 C31 C32 C33 C34 C35 C36 C37 C38 C39 C40 C41 C42" showDropDown="0" showInputMessage="0" showErrorMessage="0" allowBlank="1"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63"/>
  <sheetViews>
    <sheetView workbookViewId="0">
      <pane ySplit="5" topLeftCell="A6"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8"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8" customWidth="1" min="18" max="18"/>
    <col width="14" customWidth="1" min="19" max="19"/>
    <col width="20" customWidth="1" min="20" max="20"/>
    <col width="16" customWidth="1" min="21" max="21"/>
    <col width="16" customWidth="1" min="22" max="22"/>
    <col width="18" customWidth="1" min="23" max="23"/>
    <col width="20" customWidth="1" min="24" max="24"/>
    <col width="20" customWidth="1" min="25" max="25"/>
    <col width="22" customWidth="1" min="26" max="26"/>
    <col width="22" customWidth="1" min="27" max="27"/>
    <col width="20" customWidth="1" min="28" max="28"/>
  </cols>
  <sheetData>
    <row r="1" ht="35" customHeight="1">
      <c r="A1" s="1" t="inlineStr">
        <is>
          <t>4. INCIDENT &amp; PROBLEM MANAGEMENT</t>
        </is>
      </c>
    </row>
    <row r="2" ht="30" customHeight="1">
      <c r="A2" s="13" t="inlineStr">
        <is>
          <t>Policy Reference: Cloud service incidents MUST be detected, reported, and resolved per incident management procedures. (Policy Section 6.3)</t>
        </is>
      </c>
    </row>
    <row r="4" ht="30" customHeight="1">
      <c r="A4" s="14" t="inlineStr">
        <is>
          <t>Cloud Service Name</t>
        </is>
      </c>
      <c r="B4" s="14" t="inlineStr">
        <is>
          <t>Vendor Name</t>
        </is>
      </c>
      <c r="C4" s="14" t="inlineStr">
        <is>
          <t>Service Type</t>
        </is>
      </c>
      <c r="D4" s="14" t="inlineStr">
        <is>
          <t>Review Period</t>
        </is>
      </c>
      <c r="E4" s="14" t="inlineStr">
        <is>
          <t>Service Criticality</t>
        </is>
      </c>
      <c r="F4" s="14" t="inlineStr">
        <is>
          <t>Data Classification</t>
        </is>
      </c>
      <c r="G4" s="14" t="inlineStr">
        <is>
          <t>Incident Severity</t>
        </is>
      </c>
      <c r="H4" s="14" t="inlineStr">
        <is>
          <t>Status</t>
        </is>
      </c>
      <c r="I4" s="14" t="inlineStr">
        <is>
          <t>Evidence Location</t>
        </is>
      </c>
      <c r="J4" s="14" t="inlineStr">
        <is>
          <t>Gap Description</t>
        </is>
      </c>
      <c r="K4" s="14" t="inlineStr">
        <is>
          <t>Remediation Needed</t>
        </is>
      </c>
      <c r="L4" s="14" t="inlineStr">
        <is>
          <t>Exception ID</t>
        </is>
      </c>
      <c r="M4" s="14" t="inlineStr">
        <is>
          <t>Risk ID</t>
        </is>
      </c>
      <c r="N4" s="14" t="inlineStr">
        <is>
          <t>Compensating Controls</t>
        </is>
      </c>
      <c r="O4" s="14" t="inlineStr">
        <is>
          <t>Responsible Team/Owner</t>
        </is>
      </c>
      <c r="P4" s="14" t="inlineStr">
        <is>
          <t>Target Remediation Date</t>
        </is>
      </c>
      <c r="Q4" s="14" t="inlineStr">
        <is>
          <t>Last Review Date</t>
        </is>
      </c>
      <c r="R4" s="14" t="inlineStr">
        <is>
          <t>Incident Count (Period)</t>
        </is>
      </c>
      <c r="S4" s="14" t="inlineStr">
        <is>
          <t>MTTR (Hours)</t>
        </is>
      </c>
      <c r="T4" s="14" t="inlineStr">
        <is>
          <t>Root Cause Documented</t>
        </is>
      </c>
      <c r="U4" s="14" t="inlineStr">
        <is>
          <t>Playbook Updated</t>
        </is>
      </c>
      <c r="V4" s="14" t="inlineStr">
        <is>
          <t>Vendor Notified</t>
        </is>
      </c>
      <c r="W4" s="14" t="inlineStr">
        <is>
          <t>Customer Impact</t>
        </is>
      </c>
      <c r="X4" s="14" t="inlineStr">
        <is>
          <t>Lessons Learned Captured</t>
        </is>
      </c>
      <c r="Y4" s="14" t="inlineStr">
        <is>
          <t>DORA_Risk_Monitoring</t>
        </is>
      </c>
      <c r="Z4" s="14" t="inlineStr">
        <is>
          <t>NIS2_Incident_Classification</t>
        </is>
      </c>
      <c r="AA4" s="14" t="inlineStr">
        <is>
          <t>AI_Risk_Monitoring_Status</t>
        </is>
      </c>
      <c r="AB4" s="14" t="inlineStr">
        <is>
          <t>Regulatory_Risk_Owner</t>
        </is>
      </c>
    </row>
    <row r="5">
      <c r="A5" s="15" t="inlineStr">
        <is>
          <t>Example: Microsoft 365</t>
        </is>
      </c>
      <c r="B5" s="15" t="inlineStr">
        <is>
          <t>Microsoft</t>
        </is>
      </c>
      <c r="C5" s="15" t="inlineStr">
        <is>
          <t>SaaS</t>
        </is>
      </c>
      <c r="D5" s="15" t="inlineStr">
        <is>
          <t>Q4</t>
        </is>
      </c>
      <c r="E5" s="15" t="inlineStr">
        <is>
          <t>Critical</t>
        </is>
      </c>
      <c r="F5" s="15" t="inlineStr">
        <is>
          <t>Confidential</t>
        </is>
      </c>
      <c r="G5" s="15" t="inlineStr">
        <is>
          <t>P3-Medium</t>
        </is>
      </c>
      <c r="H5" s="15" t="inlineStr">
        <is>
          <t>✅ Compliant</t>
        </is>
      </c>
      <c r="I5" s="15" t="inlineStr">
        <is>
          <t>/evidence/incidents/M365</t>
        </is>
      </c>
      <c r="J5" s="15" t="inlineStr"/>
      <c r="K5" s="15" t="inlineStr">
        <is>
          <t>No</t>
        </is>
      </c>
      <c r="L5" s="15" t="inlineStr"/>
      <c r="M5" s="15" t="inlineStr"/>
      <c r="N5" s="15" t="inlineStr"/>
      <c r="O5" s="15" t="inlineStr">
        <is>
          <t>Security</t>
        </is>
      </c>
      <c r="P5" s="15" t="inlineStr"/>
      <c r="Q5" s="15" t="inlineStr">
        <is>
          <t>2025-12-20</t>
        </is>
      </c>
      <c r="R5" s="15" t="inlineStr">
        <is>
          <t>4</t>
        </is>
      </c>
      <c r="S5" s="15" t="inlineStr">
        <is>
          <t>2.5</t>
        </is>
      </c>
      <c r="T5" s="15" t="inlineStr">
        <is>
          <t>Yes</t>
        </is>
      </c>
      <c r="U5" s="15" t="inlineStr">
        <is>
          <t>Yes</t>
        </is>
      </c>
      <c r="V5" s="15" t="inlineStr">
        <is>
          <t>N/A</t>
        </is>
      </c>
      <c r="W5" s="15" t="inlineStr">
        <is>
          <t>No</t>
        </is>
      </c>
      <c r="X5" s="15" t="inlineStr">
        <is>
          <t>Yes</t>
        </is>
      </c>
      <c r="Y5" s="15" t="inlineStr">
        <is>
          <t>Quarterly Reviews</t>
        </is>
      </c>
      <c r="Z5" s="15" t="inlineStr">
        <is>
          <t>Minor (No notification required)</t>
        </is>
      </c>
      <c r="AA5" s="15" t="inlineStr">
        <is>
          <t>Periodic Review</t>
        </is>
      </c>
      <c r="AB5" s="15" t="inlineStr">
        <is>
          <t>CISO</t>
        </is>
      </c>
    </row>
    <row r="6">
      <c r="A6" s="5" t="n"/>
      <c r="B6" s="5" t="n"/>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row>
    <row r="7">
      <c r="A7" s="5" t="n"/>
      <c r="B7" s="5" t="n"/>
      <c r="C7" s="5"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row>
    <row r="8">
      <c r="A8" s="5" t="n"/>
      <c r="B8" s="5" t="n"/>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row>
    <row r="9">
      <c r="A9" s="5" t="n"/>
      <c r="B9" s="5" t="n"/>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row>
    <row r="10">
      <c r="A10" s="5" t="n"/>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row>
    <row r="11">
      <c r="A11" s="5"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row>
    <row r="12">
      <c r="A12" s="5" t="n"/>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row>
    <row r="13">
      <c r="A13" s="5" t="n"/>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row>
    <row r="14">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row>
    <row r="15">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row>
    <row r="16">
      <c r="A16" s="5"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row>
    <row r="17">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row>
    <row r="18">
      <c r="A18" s="5" t="n"/>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c r="AA18" s="5" t="n"/>
      <c r="AB18" s="5" t="n"/>
    </row>
    <row r="19">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c r="AA19" s="5" t="n"/>
      <c r="AB19" s="5" t="n"/>
    </row>
    <row r="20">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c r="AA20" s="5" t="n"/>
      <c r="AB20" s="5" t="n"/>
    </row>
    <row r="21">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c r="AA21" s="5" t="n"/>
      <c r="AB21" s="5" t="n"/>
    </row>
    <row r="22">
      <c r="A22" s="5"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row>
    <row r="23">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row>
    <row r="24">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c r="AA24" s="5" t="n"/>
      <c r="AB24" s="5" t="n"/>
    </row>
    <row r="26">
      <c r="A26" s="16" t="inlineStr">
        <is>
          <t>INCIDENT &amp; PROBLEM MANAGEMENT - COMPLIANCE CHECKLIST</t>
        </is>
      </c>
    </row>
    <row r="27">
      <c r="A27" s="7" t="inlineStr">
        <is>
          <t>☐</t>
        </is>
      </c>
      <c r="B27" s="7" t="inlineStr">
        <is>
          <t>Requirement</t>
        </is>
      </c>
      <c r="C27" s="7" t="inlineStr">
        <is>
          <t>Status</t>
        </is>
      </c>
      <c r="D27" s="7" t="inlineStr">
        <is>
          <t>Notes/Evidence</t>
        </is>
      </c>
    </row>
    <row r="28" ht="25" customHeight="1">
      <c r="A28" s="17" t="inlineStr">
        <is>
          <t>☐</t>
        </is>
      </c>
      <c r="B28" s="18" t="inlineStr">
        <is>
          <t>Incident detection mechanisms in place for cloud services</t>
        </is>
      </c>
      <c r="C28" s="5" t="n"/>
      <c r="D28" s="5" t="n"/>
    </row>
    <row r="29" ht="25" customHeight="1">
      <c r="A29" s="17" t="inlineStr">
        <is>
          <t>☐</t>
        </is>
      </c>
      <c r="B29" s="18" t="inlineStr">
        <is>
          <t>Alerting thresholds defined and tuned</t>
        </is>
      </c>
      <c r="C29" s="5" t="n"/>
      <c r="D29" s="5" t="n"/>
    </row>
    <row r="30" ht="25" customHeight="1">
      <c r="A30" s="17" t="inlineStr">
        <is>
          <t>☐</t>
        </is>
      </c>
      <c r="B30" s="18" t="inlineStr">
        <is>
          <t>Incident classification aligned with org severity matrix</t>
        </is>
      </c>
      <c r="C30" s="5" t="n"/>
      <c r="D30" s="5" t="n"/>
    </row>
    <row r="31" ht="25" customHeight="1">
      <c r="A31" s="17" t="inlineStr">
        <is>
          <t>☐</t>
        </is>
      </c>
      <c r="B31" s="18" t="inlineStr">
        <is>
          <t>Escalation paths defined for cloud service incidents</t>
        </is>
      </c>
      <c r="C31" s="5" t="n"/>
      <c r="D31" s="5" t="n"/>
    </row>
    <row r="32" ht="25" customHeight="1">
      <c r="A32" s="17" t="inlineStr">
        <is>
          <t>☐</t>
        </is>
      </c>
      <c r="B32" s="18" t="inlineStr">
        <is>
          <t>Vendor notification procedures documented</t>
        </is>
      </c>
      <c r="C32" s="5" t="n"/>
      <c r="D32" s="5" t="n"/>
    </row>
    <row r="33" ht="25" customHeight="1">
      <c r="A33" s="17" t="inlineStr">
        <is>
          <t>☐</t>
        </is>
      </c>
      <c r="B33" s="18" t="inlineStr">
        <is>
          <t>Vendor incident response SLAs tracked</t>
        </is>
      </c>
      <c r="C33" s="5" t="n"/>
      <c r="D33" s="5" t="n"/>
    </row>
    <row r="34" ht="25" customHeight="1">
      <c r="A34" s="17" t="inlineStr">
        <is>
          <t>☐</t>
        </is>
      </c>
      <c r="B34" s="18" t="inlineStr">
        <is>
          <t>Internal incident response playbooks exist per service</t>
        </is>
      </c>
      <c r="C34" s="5" t="n"/>
      <c r="D34" s="5" t="n"/>
    </row>
    <row r="35" ht="25" customHeight="1">
      <c r="A35" s="17" t="inlineStr">
        <is>
          <t>☐</t>
        </is>
      </c>
      <c r="B35" s="18" t="inlineStr">
        <is>
          <t>Playbooks reviewed/updated after incidents</t>
        </is>
      </c>
      <c r="C35" s="5" t="n"/>
      <c r="D35" s="5" t="n"/>
    </row>
    <row r="36" ht="25" customHeight="1">
      <c r="A36" s="17" t="inlineStr">
        <is>
          <t>☐</t>
        </is>
      </c>
      <c r="B36" s="18" t="inlineStr">
        <is>
          <t>Root cause analysis performed for P1/P2 incidents</t>
        </is>
      </c>
      <c r="C36" s="5" t="n"/>
      <c r="D36" s="5" t="n"/>
    </row>
    <row r="37" ht="25" customHeight="1">
      <c r="A37" s="17" t="inlineStr">
        <is>
          <t>☐</t>
        </is>
      </c>
      <c r="B37" s="18" t="inlineStr">
        <is>
          <t>Lessons learned documented and shared</t>
        </is>
      </c>
      <c r="C37" s="5" t="n"/>
      <c r="D37" s="5" t="n"/>
    </row>
    <row r="38" ht="25" customHeight="1">
      <c r="A38" s="17" t="inlineStr">
        <is>
          <t>☐</t>
        </is>
      </c>
      <c r="B38" s="18" t="inlineStr">
        <is>
          <t>Problem management process identifies recurring issues</t>
        </is>
      </c>
      <c r="C38" s="5" t="n"/>
      <c r="D38" s="5" t="n"/>
    </row>
    <row r="39" ht="25" customHeight="1">
      <c r="A39" s="17" t="inlineStr">
        <is>
          <t>☐</t>
        </is>
      </c>
      <c r="B39" s="18" t="inlineStr">
        <is>
          <t>Known error database maintained for cloud services</t>
        </is>
      </c>
      <c r="C39" s="5" t="n"/>
      <c r="D39" s="5" t="n"/>
    </row>
    <row r="40" ht="25" customHeight="1">
      <c r="A40" s="17" t="inlineStr">
        <is>
          <t>☐</t>
        </is>
      </c>
      <c r="B40" s="18" t="inlineStr">
        <is>
          <t>Incident metrics reported to management</t>
        </is>
      </c>
      <c r="C40" s="5" t="n"/>
      <c r="D40" s="5" t="n"/>
    </row>
    <row r="41" ht="25" customHeight="1">
      <c r="A41" s="17" t="inlineStr">
        <is>
          <t>☐</t>
        </is>
      </c>
      <c r="B41" s="18" t="inlineStr">
        <is>
          <t>MTTR/MTTD tracked per service</t>
        </is>
      </c>
      <c r="C41" s="5" t="n"/>
      <c r="D41" s="5" t="n"/>
    </row>
    <row r="42" ht="25" customHeight="1">
      <c r="A42" s="17" t="inlineStr">
        <is>
          <t>☐</t>
        </is>
      </c>
      <c r="B42" s="18" t="inlineStr">
        <is>
          <t>Post-incident reviews conducted within defined timeframe</t>
        </is>
      </c>
      <c r="C42" s="5" t="n"/>
      <c r="D42" s="5" t="n"/>
    </row>
    <row r="43" ht="25" customHeight="1">
      <c r="A43" s="17" t="inlineStr">
        <is>
          <t>☐</t>
        </is>
      </c>
      <c r="B43" s="18" t="inlineStr">
        <is>
          <t>DORA-INC-01: ICT-related incidents identified and logged</t>
        </is>
      </c>
      <c r="C43" s="5" t="n"/>
      <c r="D43" s="5" t="n"/>
    </row>
    <row r="44" ht="25" customHeight="1">
      <c r="A44" s="17" t="inlineStr">
        <is>
          <t>☐</t>
        </is>
      </c>
      <c r="B44" s="18" t="inlineStr">
        <is>
          <t>DORA-INC-02: Major ICT incidents classified according to DORA criteria</t>
        </is>
      </c>
      <c r="C44" s="5" t="n"/>
      <c r="D44" s="5" t="n"/>
    </row>
    <row r="45" ht="25" customHeight="1">
      <c r="A45" s="17" t="inlineStr">
        <is>
          <t>☐</t>
        </is>
      </c>
      <c r="B45" s="18" t="inlineStr">
        <is>
          <t>DORA-INC-03: ICT incident root causes analyzed and documented</t>
        </is>
      </c>
      <c r="C45" s="5" t="n"/>
      <c r="D45" s="5" t="n"/>
    </row>
    <row r="46" ht="25" customHeight="1">
      <c r="A46" s="17" t="inlineStr">
        <is>
          <t>☐</t>
        </is>
      </c>
      <c r="B46" s="18" t="inlineStr">
        <is>
          <t>DORA-INC-04: Lessons learned from incidents incorporated into processes</t>
        </is>
      </c>
      <c r="C46" s="5" t="n"/>
      <c r="D46" s="5" t="n"/>
    </row>
    <row r="47" ht="25" customHeight="1">
      <c r="A47" s="17" t="inlineStr">
        <is>
          <t>☐</t>
        </is>
      </c>
      <c r="B47" s="18" t="inlineStr">
        <is>
          <t>DORA-INC-05: ICT incident metrics tracked and reported quarterly</t>
        </is>
      </c>
      <c r="C47" s="5" t="n"/>
      <c r="D47" s="5" t="n"/>
    </row>
    <row r="48" ht="25" customHeight="1">
      <c r="A48" s="17" t="inlineStr">
        <is>
          <t>☐</t>
        </is>
      </c>
      <c r="B48" s="18" t="inlineStr">
        <is>
          <t>DORA-INC-06: Third-party ICT incidents monitored and escalated</t>
        </is>
      </c>
      <c r="C48" s="5" t="n"/>
      <c r="D48" s="5" t="n"/>
    </row>
    <row r="49" ht="25" customHeight="1">
      <c r="A49" s="17" t="inlineStr">
        <is>
          <t>☐</t>
        </is>
      </c>
      <c r="B49" s="18" t="inlineStr">
        <is>
          <t>DORA-INC-07: Business impact of ICT incidents assessed and documented</t>
        </is>
      </c>
      <c r="C49" s="5" t="n"/>
      <c r="D49" s="5" t="n"/>
    </row>
    <row r="50" ht="25" customHeight="1">
      <c r="A50" s="17" t="inlineStr">
        <is>
          <t>☐</t>
        </is>
      </c>
      <c r="B50" s="18" t="inlineStr">
        <is>
          <t>DORA-INC-08: ICT incident recovery tested and validated</t>
        </is>
      </c>
      <c r="C50" s="5" t="n"/>
      <c r="D50" s="5" t="n"/>
    </row>
    <row r="51" ht="25" customHeight="1">
      <c r="A51" s="17" t="inlineStr">
        <is>
          <t>☐</t>
        </is>
      </c>
      <c r="B51" s="18" t="inlineStr">
        <is>
          <t>NIS2-INC-01: Significant incidents (≤24h notification) identified and reported</t>
        </is>
      </c>
      <c r="C51" s="5" t="n"/>
      <c r="D51" s="5" t="n"/>
    </row>
    <row r="52" ht="25" customHeight="1">
      <c r="A52" s="17" t="inlineStr">
        <is>
          <t>☐</t>
        </is>
      </c>
      <c r="B52" s="18" t="inlineStr">
        <is>
          <t>NIS2-INC-02: Incident notification process to authorities documented</t>
        </is>
      </c>
      <c r="C52" s="5" t="n"/>
      <c r="D52" s="5" t="n"/>
    </row>
    <row r="53" ht="25" customHeight="1">
      <c r="A53" s="17" t="inlineStr">
        <is>
          <t>☐</t>
        </is>
      </c>
      <c r="B53" s="18" t="inlineStr">
        <is>
          <t>NIS2-INC-03: Incident response plan tested annually</t>
        </is>
      </c>
      <c r="C53" s="5" t="n"/>
      <c r="D53" s="5" t="n"/>
    </row>
    <row r="54" ht="25" customHeight="1">
      <c r="A54" s="17" t="inlineStr">
        <is>
          <t>☐</t>
        </is>
      </c>
      <c r="B54" s="18" t="inlineStr">
        <is>
          <t>NIS2-INC-04: Supply chain incidents assessed for impact</t>
        </is>
      </c>
      <c r="C54" s="5" t="n"/>
      <c r="D54" s="5" t="n"/>
    </row>
    <row r="55" ht="25" customHeight="1">
      <c r="A55" s="17" t="inlineStr">
        <is>
          <t>☐</t>
        </is>
      </c>
      <c r="B55" s="18" t="inlineStr">
        <is>
          <t>NIS2-INC-05: Incident communication plan for stakeholders operational</t>
        </is>
      </c>
      <c r="C55" s="5" t="n"/>
      <c r="D55" s="5" t="n"/>
    </row>
    <row r="56" ht="25" customHeight="1">
      <c r="A56" s="17" t="inlineStr">
        <is>
          <t>☐</t>
        </is>
      </c>
      <c r="B56" s="18" t="inlineStr">
        <is>
          <t>AI-INC-01: AI system incidents and malfunctions logged</t>
        </is>
      </c>
      <c r="C56" s="5" t="n"/>
      <c r="D56" s="5" t="n"/>
    </row>
    <row r="57" ht="25" customHeight="1">
      <c r="A57" s="17" t="inlineStr">
        <is>
          <t>☐</t>
        </is>
      </c>
      <c r="B57" s="18" t="inlineStr">
        <is>
          <t>AI-INC-02: High-risk AI incidents trigger immediate investigation</t>
        </is>
      </c>
      <c r="C57" s="5" t="n"/>
      <c r="D57" s="5" t="n"/>
    </row>
    <row r="58" ht="25" customHeight="1">
      <c r="A58" s="17" t="inlineStr">
        <is>
          <t>☐</t>
        </is>
      </c>
      <c r="B58" s="18" t="inlineStr">
        <is>
          <t>AI-INC-03: AI bias/discrimination incidents documented and addressed</t>
        </is>
      </c>
      <c r="C58" s="5" t="n"/>
      <c r="D58" s="5" t="n"/>
    </row>
    <row r="59" ht="25" customHeight="1">
      <c r="A59" s="17" t="inlineStr">
        <is>
          <t>☐</t>
        </is>
      </c>
      <c r="B59" s="18" t="inlineStr">
        <is>
          <t>AI-INC-04: AI system incident response procedures defined</t>
        </is>
      </c>
      <c r="C59" s="5" t="n"/>
      <c r="D59" s="5" t="n"/>
    </row>
    <row r="60" ht="25" customHeight="1">
      <c r="A60" s="17" t="inlineStr">
        <is>
          <t>☐</t>
        </is>
      </c>
      <c r="B60" s="18" t="inlineStr">
        <is>
          <t>AI-INC-05: AI incident transparency notifications issued when required</t>
        </is>
      </c>
      <c r="C60" s="5" t="n"/>
      <c r="D60" s="5" t="n"/>
    </row>
    <row r="61" ht="25" customHeight="1">
      <c r="A61" s="17" t="inlineStr">
        <is>
          <t>☐</t>
        </is>
      </c>
      <c r="B61" s="18" t="inlineStr">
        <is>
          <t>AI-INC-06: Human oversight failures documented and remediated</t>
        </is>
      </c>
      <c r="C61" s="5" t="n"/>
      <c r="D61" s="5" t="n"/>
    </row>
    <row r="63">
      <c r="A63" s="3" t="inlineStr">
        <is>
          <t>Checklist Compliance Score:</t>
        </is>
      </c>
      <c r="C63" s="19">
        <f>IF(COUNTA(C28:C61)=0,"N/A",ROUND(COUNTIF(C28:C61,"Yes")/COUNTIF(C28:C61,"&lt;&gt;N/A")*100,1)&amp;"%")</f>
        <v/>
      </c>
    </row>
  </sheetData>
  <mergeCells count="71">
    <mergeCell ref="A2:AB2"/>
    <mergeCell ref="B49"/>
    <mergeCell ref="B40"/>
    <mergeCell ref="D41:F41"/>
    <mergeCell ref="B30"/>
    <mergeCell ref="D32:F32"/>
    <mergeCell ref="D61:F61"/>
    <mergeCell ref="B33"/>
    <mergeCell ref="B55"/>
    <mergeCell ref="D48:F48"/>
    <mergeCell ref="B51"/>
    <mergeCell ref="D53:F53"/>
    <mergeCell ref="B36"/>
    <mergeCell ref="D47:F47"/>
    <mergeCell ref="D43:F43"/>
    <mergeCell ref="B45"/>
    <mergeCell ref="B41"/>
    <mergeCell ref="B32"/>
    <mergeCell ref="B35"/>
    <mergeCell ref="D28:F28"/>
    <mergeCell ref="B50"/>
    <mergeCell ref="D37:F37"/>
    <mergeCell ref="D56:F56"/>
    <mergeCell ref="B47"/>
    <mergeCell ref="B54"/>
    <mergeCell ref="D58:F58"/>
    <mergeCell ref="B46"/>
    <mergeCell ref="D30:F30"/>
    <mergeCell ref="D39:F39"/>
    <mergeCell ref="B59"/>
    <mergeCell ref="D33:F33"/>
    <mergeCell ref="B31"/>
    <mergeCell ref="D55:F55"/>
    <mergeCell ref="D42:F42"/>
    <mergeCell ref="D51:F51"/>
    <mergeCell ref="D38:F38"/>
    <mergeCell ref="D29:F29"/>
    <mergeCell ref="B43"/>
    <mergeCell ref="B56"/>
    <mergeCell ref="B58"/>
    <mergeCell ref="B52"/>
    <mergeCell ref="B48"/>
    <mergeCell ref="B39"/>
    <mergeCell ref="D54:F54"/>
    <mergeCell ref="D35:F35"/>
    <mergeCell ref="D50:F50"/>
    <mergeCell ref="A1:AB1"/>
    <mergeCell ref="D44:F44"/>
    <mergeCell ref="D57:F57"/>
    <mergeCell ref="B42"/>
    <mergeCell ref="D59:F59"/>
    <mergeCell ref="D60:F60"/>
    <mergeCell ref="B60"/>
    <mergeCell ref="D34:F34"/>
    <mergeCell ref="B61"/>
    <mergeCell ref="B57"/>
    <mergeCell ref="B44"/>
    <mergeCell ref="D31:F31"/>
    <mergeCell ref="D46:F46"/>
    <mergeCell ref="B29"/>
    <mergeCell ref="B53"/>
    <mergeCell ref="D40:F40"/>
    <mergeCell ref="D36:F36"/>
    <mergeCell ref="B38"/>
    <mergeCell ref="B34"/>
    <mergeCell ref="D45:F45"/>
    <mergeCell ref="B28"/>
    <mergeCell ref="D52:F52"/>
    <mergeCell ref="B37"/>
    <mergeCell ref="D49:F49"/>
    <mergeCell ref="A26:AB26"/>
  </mergeCells>
  <dataValidations count="18">
    <dataValidation sqref="C6 C7 C8 C9 C10 C11 C12 C13 C14 C15 C16 C17 C18 C19 C20 C21 C22 C23 C24" showDropDown="0" showInputMessage="0" showErrorMessage="0" allowBlank="1" errorTitle="Service Type" error="Select valid service type" promptTitle="Service Type" prompt="Select Service Type" type="list">
      <formula1>"SaaS,IaaS,PaaS,Security Service,Cloud Storage,Other"</formula1>
    </dataValidation>
    <dataValidation sqref="D6 D7 D8 D9 D10 D11 D12 D13 D14 D15 D16 D17 D18 D19 D20 D21 D22 D23 D24" showDropDown="0" showInputMessage="0" showErrorMessage="0" allowBlank="1" errorTitle="Review Period" error="Select valid review period" promptTitle="Review Period" prompt="Select Review Period" type="list">
      <formula1>"Q1,Q2,Q3,Q4,Annual,Ad-Hoc"</formula1>
    </dataValidation>
    <dataValidation sqref="E6 E7 E8 E9 E10 E11 E12 E13 E14 E15 E16 E17 E18 E19 E20 E21 E22 E23 E24" showDropDown="0" showInputMessage="0" showErrorMessage="0" allowBlank="1" errorTitle="Service Criticality" error="Select valid criticality" promptTitle="Service Criticality" prompt="Select Service Criticality" type="list">
      <formula1>"Critical,High,Medium,Low"</formula1>
    </dataValidation>
    <dataValidation sqref="F6 F7 F8 F9 F10 F11 F12 F13 F14 F15 F16 F17 F18 F19 F20 F21 F22 F23 F2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6 H7 H8 H9 H10 H11 H12 H13 H14 H15 H16 H17 H18 H19 H20 H21 H22 H23 H24" showDropDown="0" showInputMessage="0" showErrorMessage="0" allowBlank="1" errorTitle="Status" error="Select valid status" promptTitle="Status" prompt="Select Status" type="list">
      <formula1>f"{CHECK} Compliant,⚠️ Partial,❌ Non-Compliant,N/A"</formula1>
    </dataValidation>
    <dataValidation sqref="K6 K7 K8 K9 K10 K11 K12 K13 K14 K15 K16 K17 K18 K19 K20 K21 K22 K23 K24" showDropDown="0" showInputMessage="0" showErrorMessage="0" allowBlank="1" errorTitle="Yes/No" error="Select Yes or No" promptTitle="Yes/No" prompt="Select Yes/No" type="list">
      <formula1>"Yes,No"</formula1>
    </dataValidation>
    <dataValidation sqref="O6 O7 O8 O9 O10 O11 O12 O13 O14 O15 O16 O17 O18 O19 O20 O21 O22 O23 O2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6 G7 G8 G9 G10 G11 G12 G13 G14 G15 G16 G17 G18 G19 G20 G21 G22 G23 G24" showDropDown="0" showInputMessage="0" showErrorMessage="0" allowBlank="1" errorTitle="Incident Severity" error="Select valid Incident Severity" type="list">
      <formula1>"P1-Critical,P2-High,P3-Medium,P4-Low"</formula1>
    </dataValidation>
    <dataValidation sqref="T6 T7 T8 T9 T10 T11 T12 T13 T14 T15 T16 T17 T18 T19 T20 T21 T22 T23 T24" showDropDown="0" showInputMessage="0" showErrorMessage="0" allowBlank="1" errorTitle="Root Cause" error="Select valid Root Cause" type="list">
      <formula1>"Yes,No,Pending"</formula1>
    </dataValidation>
    <dataValidation sqref="U6 U7 U8 U9 U10 U11 U12 U13 U14 U15 U16 U17 U18 U19 U20 U21 U22 U23 U24" showDropDown="0" showInputMessage="0" showErrorMessage="0" allowBlank="1" errorTitle="Playbook Updated" error="Select valid Playbook Updated" type="list">
      <formula1>"Yes,No,N/A"</formula1>
    </dataValidation>
    <dataValidation sqref="V6 V7 V8 V9 V10 V11 V12 V13 V14 V15 V16 V17 V18 V19 V20 V21 V22 V23 V24" showDropDown="0" showInputMessage="0" showErrorMessage="0" allowBlank="1" errorTitle="Vendor Notified" error="Select valid Vendor Notified" type="list">
      <formula1>"Yes,No,N/A"</formula1>
    </dataValidation>
    <dataValidation sqref="W6 W7 W8 W9 W10 W11 W12 W13 W14 W15 W16 W17 W18 W19 W20 W21 W22 W23 W24" showDropDown="0" showInputMessage="0" showErrorMessage="0" allowBlank="1" errorTitle="Customer Impact" error="Select valid Customer Impact" type="list">
      <formula1>"Yes,No,Unknown"</formula1>
    </dataValidation>
    <dataValidation sqref="X6 X7 X8 X9 X10 X11 X12 X13 X14 X15 X16 X17 X18 X19 X20 X21 X22 X23 X24" showDropDown="0" showInputMessage="0" showErrorMessage="0" allowBlank="1" errorTitle="Lessons Learned" error="Select valid Lessons Learned" type="list">
      <formula1>"Yes,No,Pending"</formula1>
    </dataValidation>
    <dataValidation sqref="Y6 Y7 Y8 Y9 Y10 Y11 Y12 Y13 Y14 Y15 Y16 Y17 Y18 Y19 Y20 Y21 Y22 Y23 Y24" showDropDown="0" showInputMessage="0" showErrorMessage="0" allowBlank="1" errorTitle="DORA Risk Monitoring" error="Select valid DORA Risk Monitoring" type="list">
      <formula1>"Continuous Monitoring,Quarterly Reviews,Annual Reviews,Not Monitored,N/A (Not in scope)"</formula1>
    </dataValidation>
    <dataValidation sqref="Z6 Z7 Z8 Z9 Z10 Z11 Z12 Z13 Z14 Z15 Z16 Z17 Z18 Z19 Z20 Z21 Z22 Z23 Z24" showDropDown="0" showInputMessage="0" showErrorMessage="0" allowBlank="1" errorTitle="NIS2 Incident Classification" error="Select valid NIS2 Incident Classification" type="list">
      <formula1>"Significant (≤24h notification),Major (≤72h notification),Minor (No notification required),Under Assessment,N/A"</formula1>
    </dataValidation>
    <dataValidation sqref="AA6 AA7 AA8 AA9 AA10 AA11 AA12 AA13 AA14 AA15 AA16 AA17 AA18 AA19 AA20 AA21 AA22 AA23 AA24" showDropDown="0" showInputMessage="0" showErrorMessage="0" allowBlank="1" errorTitle="AI Risk Monitoring Status" error="Select valid AI Risk Monitoring Status" type="list">
      <formula1>"Active Monitoring,Periodic Review,No Monitoring Required,Monitoring Pending,N/A"</formula1>
    </dataValidation>
    <dataValidation sqref="AB6 AB7 AB8 AB9 AB10 AB11 AB12 AB13 AB14 AB15 AB16 AB17 AB18 AB19 AB20 AB21 AB22 AB23 AB24" showDropDown="0" showInputMessage="0" showErrorMessage="0" allowBlank="1" errorTitle="Regulatory Risk Owner" error="Select valid Regulatory Risk Owner" type="list">
      <formula1>"CISO,CRO (Chief Risk Officer),DPO,Legal/Compliance,Business Unit Owner,Other"</formula1>
    </dataValidation>
    <dataValidation sqref="C28 C29 C30 C31 C32 C33 C34 C35 C36 C37 C38 C39 C40 C41 C42 C43 C44 C45 C46 C47 C48 C49 C50 C51 C52 C53 C54 C55 C56 C57 C58 C59 C60 C61" showDropDown="0" showInputMessage="0" showErrorMessage="0" allowBlank="1" type="list">
      <formula1>"Yes,No,N/A"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44"/>
  <sheetViews>
    <sheetView workbookViewId="0">
      <pane ySplit="5" topLeftCell="A6"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6"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6" customWidth="1" min="18" max="18"/>
    <col width="16" customWidth="1" min="19" max="19"/>
    <col width="16" customWidth="1" min="20" max="20"/>
    <col width="18" customWidth="1" min="21" max="21"/>
    <col width="16" customWidth="1" min="22" max="22"/>
    <col width="18" customWidth="1" min="23" max="23"/>
    <col width="16" customWidth="1" min="24" max="24"/>
  </cols>
  <sheetData>
    <row r="1" ht="35" customHeight="1">
      <c r="A1" s="1" t="inlineStr">
        <is>
          <t>5. BUSINESS CONTINUITY</t>
        </is>
      </c>
    </row>
    <row r="2" ht="30" customHeight="1">
      <c r="A2" s="13" t="inlineStr">
        <is>
          <t>Policy Reference: BC/DR plans MUST exist for Critical/High services. Failover MUST be tested annually. RTO/RPO MUST be verified. (Policy Section 6.4)</t>
        </is>
      </c>
    </row>
    <row r="4" ht="30" customHeight="1">
      <c r="A4" s="14" t="inlineStr">
        <is>
          <t>Cloud Service Name</t>
        </is>
      </c>
      <c r="B4" s="14" t="inlineStr">
        <is>
          <t>Vendor Name</t>
        </is>
      </c>
      <c r="C4" s="14" t="inlineStr">
        <is>
          <t>Service Type</t>
        </is>
      </c>
      <c r="D4" s="14" t="inlineStr">
        <is>
          <t>Review Period</t>
        </is>
      </c>
      <c r="E4" s="14" t="inlineStr">
        <is>
          <t>Service Criticality</t>
        </is>
      </c>
      <c r="F4" s="14" t="inlineStr">
        <is>
          <t>Data Classification</t>
        </is>
      </c>
      <c r="G4" s="14" t="inlineStr">
        <is>
          <t>BC Tier</t>
        </is>
      </c>
      <c r="H4" s="14" t="inlineStr">
        <is>
          <t>Status</t>
        </is>
      </c>
      <c r="I4" s="14" t="inlineStr">
        <is>
          <t>Evidence Location</t>
        </is>
      </c>
      <c r="J4" s="14" t="inlineStr">
        <is>
          <t>Gap Description</t>
        </is>
      </c>
      <c r="K4" s="14" t="inlineStr">
        <is>
          <t>Remediation Needed</t>
        </is>
      </c>
      <c r="L4" s="14" t="inlineStr">
        <is>
          <t>Exception ID</t>
        </is>
      </c>
      <c r="M4" s="14" t="inlineStr">
        <is>
          <t>Risk ID</t>
        </is>
      </c>
      <c r="N4" s="14" t="inlineStr">
        <is>
          <t>Compensating Controls</t>
        </is>
      </c>
      <c r="O4" s="14" t="inlineStr">
        <is>
          <t>Responsible Team/Owner</t>
        </is>
      </c>
      <c r="P4" s="14" t="inlineStr">
        <is>
          <t>Target Remediation Date</t>
        </is>
      </c>
      <c r="Q4" s="14" t="inlineStr">
        <is>
          <t>Last Review Date</t>
        </is>
      </c>
      <c r="R4" s="14" t="inlineStr">
        <is>
          <t>Last Test Date</t>
        </is>
      </c>
      <c r="S4" s="14" t="inlineStr">
        <is>
          <t>Test Result</t>
        </is>
      </c>
      <c r="T4" s="14" t="inlineStr">
        <is>
          <t>RTO Target (Hours)</t>
        </is>
      </c>
      <c r="U4" s="14" t="inlineStr">
        <is>
          <t>RTO Achieved (Hours)</t>
        </is>
      </c>
      <c r="V4" s="14" t="inlineStr">
        <is>
          <t>RPO Target (Hours)</t>
        </is>
      </c>
      <c r="W4" s="14" t="inlineStr">
        <is>
          <t>RPO Achieved (Hours)</t>
        </is>
      </c>
      <c r="X4" s="14" t="inlineStr">
        <is>
          <t>Next Test Due</t>
        </is>
      </c>
    </row>
    <row r="5">
      <c r="A5" s="15" t="inlineStr">
        <is>
          <t>Example: Microsoft 365</t>
        </is>
      </c>
      <c r="B5" s="15" t="inlineStr">
        <is>
          <t>Microsoft</t>
        </is>
      </c>
      <c r="C5" s="15" t="inlineStr">
        <is>
          <t>SaaS</t>
        </is>
      </c>
      <c r="D5" s="15" t="inlineStr">
        <is>
          <t>Q4</t>
        </is>
      </c>
      <c r="E5" s="15" t="inlineStr">
        <is>
          <t>Critical</t>
        </is>
      </c>
      <c r="F5" s="15" t="inlineStr">
        <is>
          <t>Confidential</t>
        </is>
      </c>
      <c r="G5" s="15" t="inlineStr">
        <is>
          <t>Tier 1 (&lt;4hr)</t>
        </is>
      </c>
      <c r="H5" s="15" t="inlineStr">
        <is>
          <t>✅ Compliant</t>
        </is>
      </c>
      <c r="I5" s="15" t="inlineStr">
        <is>
          <t>/evidence/bcdr/M365</t>
        </is>
      </c>
      <c r="J5" s="15" t="inlineStr"/>
      <c r="K5" s="15" t="inlineStr">
        <is>
          <t>No</t>
        </is>
      </c>
      <c r="L5" s="15" t="inlineStr"/>
      <c r="M5" s="15" t="inlineStr"/>
      <c r="N5" s="15" t="inlineStr"/>
      <c r="O5" s="15" t="inlineStr">
        <is>
          <t>IT Ops</t>
        </is>
      </c>
      <c r="P5" s="15" t="inlineStr"/>
      <c r="Q5" s="15" t="inlineStr">
        <is>
          <t>2025-11-15</t>
        </is>
      </c>
      <c r="R5" s="15" t="inlineStr">
        <is>
          <t>2025-11-15</t>
        </is>
      </c>
      <c r="S5" s="15" t="inlineStr">
        <is>
          <t>Passed</t>
        </is>
      </c>
      <c r="T5" s="15" t="inlineStr">
        <is>
          <t>4</t>
        </is>
      </c>
      <c r="U5" s="15" t="inlineStr">
        <is>
          <t>3.5</t>
        </is>
      </c>
      <c r="V5" s="15" t="inlineStr">
        <is>
          <t>1</t>
        </is>
      </c>
      <c r="W5" s="15" t="inlineStr">
        <is>
          <t>0.5</t>
        </is>
      </c>
      <c r="X5" s="15" t="inlineStr">
        <is>
          <t>2026-11-15</t>
        </is>
      </c>
    </row>
    <row r="6">
      <c r="A6" s="5" t="n"/>
      <c r="B6" s="5" t="n"/>
      <c r="C6" s="5" t="n"/>
      <c r="D6" s="5" t="n"/>
      <c r="E6" s="5" t="n"/>
      <c r="F6" s="5" t="n"/>
      <c r="G6" s="5" t="n"/>
      <c r="H6" s="5" t="n"/>
      <c r="I6" s="5" t="n"/>
      <c r="J6" s="5" t="n"/>
      <c r="K6" s="5" t="n"/>
      <c r="L6" s="5" t="n"/>
      <c r="M6" s="5" t="n"/>
      <c r="N6" s="5" t="n"/>
      <c r="O6" s="5" t="n"/>
      <c r="P6" s="5" t="n"/>
      <c r="Q6" s="5" t="n"/>
      <c r="R6" s="5" t="n"/>
      <c r="S6" s="5" t="n"/>
      <c r="T6" s="5" t="n"/>
      <c r="U6" s="5" t="n"/>
      <c r="V6" s="5" t="n"/>
      <c r="W6" s="5" t="n"/>
      <c r="X6" s="5" t="n"/>
    </row>
    <row r="7">
      <c r="A7" s="5" t="n"/>
      <c r="B7" s="5" t="n"/>
      <c r="C7" s="5" t="n"/>
      <c r="D7" s="5" t="n"/>
      <c r="E7" s="5" t="n"/>
      <c r="F7" s="5" t="n"/>
      <c r="G7" s="5" t="n"/>
      <c r="H7" s="5" t="n"/>
      <c r="I7" s="5" t="n"/>
      <c r="J7" s="5" t="n"/>
      <c r="K7" s="5" t="n"/>
      <c r="L7" s="5" t="n"/>
      <c r="M7" s="5" t="n"/>
      <c r="N7" s="5" t="n"/>
      <c r="O7" s="5" t="n"/>
      <c r="P7" s="5" t="n"/>
      <c r="Q7" s="5" t="n"/>
      <c r="R7" s="5" t="n"/>
      <c r="S7" s="5" t="n"/>
      <c r="T7" s="5" t="n"/>
      <c r="U7" s="5" t="n"/>
      <c r="V7" s="5" t="n"/>
      <c r="W7" s="5" t="n"/>
      <c r="X7" s="5" t="n"/>
    </row>
    <row r="8">
      <c r="A8" s="5" t="n"/>
      <c r="B8" s="5" t="n"/>
      <c r="C8" s="5" t="n"/>
      <c r="D8" s="5" t="n"/>
      <c r="E8" s="5" t="n"/>
      <c r="F8" s="5" t="n"/>
      <c r="G8" s="5" t="n"/>
      <c r="H8" s="5" t="n"/>
      <c r="I8" s="5" t="n"/>
      <c r="J8" s="5" t="n"/>
      <c r="K8" s="5" t="n"/>
      <c r="L8" s="5" t="n"/>
      <c r="M8" s="5" t="n"/>
      <c r="N8" s="5" t="n"/>
      <c r="O8" s="5" t="n"/>
      <c r="P8" s="5" t="n"/>
      <c r="Q8" s="5" t="n"/>
      <c r="R8" s="5" t="n"/>
      <c r="S8" s="5" t="n"/>
      <c r="T8" s="5" t="n"/>
      <c r="U8" s="5" t="n"/>
      <c r="V8" s="5" t="n"/>
      <c r="W8" s="5" t="n"/>
      <c r="X8" s="5" t="n"/>
    </row>
    <row r="9">
      <c r="A9" s="5" t="n"/>
      <c r="B9" s="5" t="n"/>
      <c r="C9" s="5" t="n"/>
      <c r="D9" s="5" t="n"/>
      <c r="E9" s="5" t="n"/>
      <c r="F9" s="5" t="n"/>
      <c r="G9" s="5" t="n"/>
      <c r="H9" s="5" t="n"/>
      <c r="I9" s="5" t="n"/>
      <c r="J9" s="5" t="n"/>
      <c r="K9" s="5" t="n"/>
      <c r="L9" s="5" t="n"/>
      <c r="M9" s="5" t="n"/>
      <c r="N9" s="5" t="n"/>
      <c r="O9" s="5" t="n"/>
      <c r="P9" s="5" t="n"/>
      <c r="Q9" s="5" t="n"/>
      <c r="R9" s="5" t="n"/>
      <c r="S9" s="5" t="n"/>
      <c r="T9" s="5" t="n"/>
      <c r="U9" s="5" t="n"/>
      <c r="V9" s="5" t="n"/>
      <c r="W9" s="5" t="n"/>
      <c r="X9" s="5" t="n"/>
    </row>
    <row r="10">
      <c r="A10" s="5" t="n"/>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row>
    <row r="11">
      <c r="A11" s="5"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row>
    <row r="12">
      <c r="A12" s="5" t="n"/>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row>
    <row r="13">
      <c r="A13" s="5" t="n"/>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row>
    <row r="14">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row>
    <row r="15">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row>
    <row r="16">
      <c r="A16" s="5"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row>
    <row r="17">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row>
    <row r="18">
      <c r="A18" s="5" t="n"/>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row>
    <row r="19">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row>
    <row r="20">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row>
    <row r="21">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row>
    <row r="22">
      <c r="A22" s="5"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row>
    <row r="23">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row>
    <row r="24">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row>
    <row r="26">
      <c r="A26" s="16" t="inlineStr">
        <is>
          <t>BUSINESS CONTINUITY - COMPLIANCE CHECKLIST</t>
        </is>
      </c>
    </row>
    <row r="27">
      <c r="A27" s="7" t="inlineStr">
        <is>
          <t>☐</t>
        </is>
      </c>
      <c r="B27" s="7" t="inlineStr">
        <is>
          <t>Requirement</t>
        </is>
      </c>
      <c r="C27" s="7" t="inlineStr">
        <is>
          <t>Status</t>
        </is>
      </c>
      <c r="D27" s="7" t="inlineStr">
        <is>
          <t>Notes/Evidence</t>
        </is>
      </c>
    </row>
    <row r="28" ht="25" customHeight="1">
      <c r="A28" s="17" t="inlineStr">
        <is>
          <t>☐</t>
        </is>
      </c>
      <c r="B28" s="18" t="inlineStr">
        <is>
          <t>BC/DR plan documented for Critical/High services</t>
        </is>
      </c>
      <c r="C28" s="5" t="n"/>
      <c r="D28" s="5" t="n"/>
    </row>
    <row r="29" ht="25" customHeight="1">
      <c r="A29" s="17" t="inlineStr">
        <is>
          <t>☐</t>
        </is>
      </c>
      <c r="B29" s="18" t="inlineStr">
        <is>
          <t>Vendor BC/DR capabilities verified and documented</t>
        </is>
      </c>
      <c r="C29" s="5" t="n"/>
      <c r="D29" s="5" t="n"/>
    </row>
    <row r="30" ht="25" customHeight="1">
      <c r="A30" s="17" t="inlineStr">
        <is>
          <t>☐</t>
        </is>
      </c>
      <c r="B30" s="18" t="inlineStr">
        <is>
          <t>RTO requirements defined per service criticality</t>
        </is>
      </c>
      <c r="C30" s="5" t="n"/>
      <c r="D30" s="5" t="n"/>
    </row>
    <row r="31" ht="25" customHeight="1">
      <c r="A31" s="17" t="inlineStr">
        <is>
          <t>☐</t>
        </is>
      </c>
      <c r="B31" s="18" t="inlineStr">
        <is>
          <t>RPO requirements defined per data classification</t>
        </is>
      </c>
      <c r="C31" s="5" t="n"/>
      <c r="D31" s="5" t="n"/>
    </row>
    <row r="32" ht="25" customHeight="1">
      <c r="A32" s="17" t="inlineStr">
        <is>
          <t>☐</t>
        </is>
      </c>
      <c r="B32" s="18" t="inlineStr">
        <is>
          <t>Failover procedures documented and accessible</t>
        </is>
      </c>
      <c r="C32" s="5" t="n"/>
      <c r="D32" s="5" t="n"/>
    </row>
    <row r="33" ht="25" customHeight="1">
      <c r="A33" s="17" t="inlineStr">
        <is>
          <t>☐</t>
        </is>
      </c>
      <c r="B33" s="18" t="inlineStr">
        <is>
          <t>Failover tested annually (minimum)</t>
        </is>
      </c>
      <c r="C33" s="5" t="n"/>
      <c r="D33" s="5" t="n"/>
    </row>
    <row r="34" ht="25" customHeight="1">
      <c r="A34" s="17" t="inlineStr">
        <is>
          <t>☐</t>
        </is>
      </c>
      <c r="B34" s="18" t="inlineStr">
        <is>
          <t>Test results documented with evidence</t>
        </is>
      </c>
      <c r="C34" s="5" t="n"/>
      <c r="D34" s="5" t="n"/>
    </row>
    <row r="35" ht="25" customHeight="1">
      <c r="A35" s="17" t="inlineStr">
        <is>
          <t>☐</t>
        </is>
      </c>
      <c r="B35" s="18" t="inlineStr">
        <is>
          <t>RTO achievement verified during tests</t>
        </is>
      </c>
      <c r="C35" s="5" t="n"/>
      <c r="D35" s="5" t="n"/>
    </row>
    <row r="36" ht="25" customHeight="1">
      <c r="A36" s="17" t="inlineStr">
        <is>
          <t>☐</t>
        </is>
      </c>
      <c r="B36" s="18" t="inlineStr">
        <is>
          <t>RPO achievement verified during tests</t>
        </is>
      </c>
      <c r="C36" s="5" t="n"/>
      <c r="D36" s="5" t="n"/>
    </row>
    <row r="37" ht="25" customHeight="1">
      <c r="A37" s="17" t="inlineStr">
        <is>
          <t>☐</t>
        </is>
      </c>
      <c r="B37" s="18" t="inlineStr">
        <is>
          <t>Data backup restoration tested</t>
        </is>
      </c>
      <c r="C37" s="5" t="n"/>
      <c r="D37" s="5" t="n"/>
    </row>
    <row r="38" ht="25" customHeight="1">
      <c r="A38" s="17" t="inlineStr">
        <is>
          <t>☐</t>
        </is>
      </c>
      <c r="B38" s="18" t="inlineStr">
        <is>
          <t>Multi-region/availability zone strategy documented</t>
        </is>
      </c>
      <c r="C38" s="5" t="n"/>
      <c r="D38" s="5" t="n"/>
    </row>
    <row r="39" ht="25" customHeight="1">
      <c r="A39" s="17" t="inlineStr">
        <is>
          <t>☐</t>
        </is>
      </c>
      <c r="B39" s="18" t="inlineStr">
        <is>
          <t>Single points of failure identified and mitigated</t>
        </is>
      </c>
      <c r="C39" s="5" t="n"/>
      <c r="D39" s="5" t="n"/>
    </row>
    <row r="40" ht="25" customHeight="1">
      <c r="A40" s="17" t="inlineStr">
        <is>
          <t>☐</t>
        </is>
      </c>
      <c r="B40" s="18" t="inlineStr">
        <is>
          <t>Communication plan exists for BC events</t>
        </is>
      </c>
      <c r="C40" s="5" t="n"/>
      <c r="D40" s="5" t="n"/>
    </row>
    <row r="41" ht="25" customHeight="1">
      <c r="A41" s="17" t="inlineStr">
        <is>
          <t>☐</t>
        </is>
      </c>
      <c r="B41" s="18" t="inlineStr">
        <is>
          <t>Vendor dependency chain mapped for BC planning</t>
        </is>
      </c>
      <c r="C41" s="5" t="n"/>
      <c r="D41" s="5" t="n"/>
    </row>
    <row r="42" ht="25" customHeight="1">
      <c r="A42" s="17" t="inlineStr">
        <is>
          <t>☐</t>
        </is>
      </c>
      <c r="B42" s="18" t="inlineStr">
        <is>
          <t>BC plan reviewed after significant changes</t>
        </is>
      </c>
      <c r="C42" s="5" t="n"/>
      <c r="D42" s="5" t="n"/>
    </row>
    <row r="44">
      <c r="A44" s="3" t="inlineStr">
        <is>
          <t>Checklist Compliance Score:</t>
        </is>
      </c>
      <c r="C44" s="19">
        <f>IF(COUNTA(C28:C42)=0,"N/A",ROUND(COUNTIF(C28:C42,"Yes")/COUNTIF(C28:C42,"&lt;&gt;N/A")*100,1)&amp;"%")</f>
        <v/>
      </c>
    </row>
  </sheetData>
  <mergeCells count="33">
    <mergeCell ref="B40"/>
    <mergeCell ref="D41:F41"/>
    <mergeCell ref="B30"/>
    <mergeCell ref="D32:F32"/>
    <mergeCell ref="B33"/>
    <mergeCell ref="B36"/>
    <mergeCell ref="B41"/>
    <mergeCell ref="B32"/>
    <mergeCell ref="B35"/>
    <mergeCell ref="D28:F28"/>
    <mergeCell ref="D37:F37"/>
    <mergeCell ref="A26:X26"/>
    <mergeCell ref="A2:X2"/>
    <mergeCell ref="D30:F30"/>
    <mergeCell ref="D39:F39"/>
    <mergeCell ref="D33:F33"/>
    <mergeCell ref="B31"/>
    <mergeCell ref="D42:F42"/>
    <mergeCell ref="D38:F38"/>
    <mergeCell ref="D29:F29"/>
    <mergeCell ref="B39"/>
    <mergeCell ref="D35:F35"/>
    <mergeCell ref="B42"/>
    <mergeCell ref="D34:F34"/>
    <mergeCell ref="D31:F31"/>
    <mergeCell ref="B29"/>
    <mergeCell ref="D40:F40"/>
    <mergeCell ref="D36:F36"/>
    <mergeCell ref="B38"/>
    <mergeCell ref="B34"/>
    <mergeCell ref="B28"/>
    <mergeCell ref="A1:X1"/>
    <mergeCell ref="B37"/>
  </mergeCells>
  <dataValidations count="10">
    <dataValidation sqref="C6 C7 C8 C9 C10 C11 C12 C13 C14 C15 C16 C17 C18 C19 C20 C21 C22 C23 C24" showDropDown="0" showInputMessage="0" showErrorMessage="0" allowBlank="1" errorTitle="Service Type" error="Select valid service type" promptTitle="Service Type" prompt="Select Service Type" type="list">
      <formula1>"SaaS,IaaS,PaaS,Security Service,Cloud Storage,Other"</formula1>
    </dataValidation>
    <dataValidation sqref="D6 D7 D8 D9 D10 D11 D12 D13 D14 D15 D16 D17 D18 D19 D20 D21 D22 D23 D24" showDropDown="0" showInputMessage="0" showErrorMessage="0" allowBlank="1" errorTitle="Review Period" error="Select valid review period" promptTitle="Review Period" prompt="Select Review Period" type="list">
      <formula1>"Q1,Q2,Q3,Q4,Annual,Ad-Hoc"</formula1>
    </dataValidation>
    <dataValidation sqref="E6 E7 E8 E9 E10 E11 E12 E13 E14 E15 E16 E17 E18 E19 E20 E21 E22 E23 E24" showDropDown="0" showInputMessage="0" showErrorMessage="0" allowBlank="1" errorTitle="Service Criticality" error="Select valid criticality" promptTitle="Service Criticality" prompt="Select Service Criticality" type="list">
      <formula1>"Critical,High,Medium,Low"</formula1>
    </dataValidation>
    <dataValidation sqref="F6 F7 F8 F9 F10 F11 F12 F13 F14 F15 F16 F17 F18 F19 F20 F21 F22 F23 F2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6 H7 H8 H9 H10 H11 H12 H13 H14 H15 H16 H17 H18 H19 H20 H21 H22 H23 H24" showDropDown="0" showInputMessage="0" showErrorMessage="0" allowBlank="1" errorTitle="Status" error="Select valid status" promptTitle="Status" prompt="Select Status" type="list">
      <formula1>f"{CHECK} Compliant,⚠️ Partial,❌ Non-Compliant,N/A"</formula1>
    </dataValidation>
    <dataValidation sqref="K6 K7 K8 K9 K10 K11 K12 K13 K14 K15 K16 K17 K18 K19 K20 K21 K22 K23 K24" showDropDown="0" showInputMessage="0" showErrorMessage="0" allowBlank="1" errorTitle="Yes/No" error="Select Yes or No" promptTitle="Yes/No" prompt="Select Yes/No" type="list">
      <formula1>"Yes,No"</formula1>
    </dataValidation>
    <dataValidation sqref="O6 O7 O8 O9 O10 O11 O12 O13 O14 O15 O16 O17 O18 O19 O20 O21 O22 O23 O2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6 G7 G8 G9 G10 G11 G12 G13 G14 G15 G16 G17 G18 G19 G20 G21 G22 G23 G24" showDropDown="0" showInputMessage="0" showErrorMessage="0" allowBlank="1" errorTitle="BC Tier" error="Select valid BC Tier" type="list">
      <formula1>"Tier 1 (&lt;4hr),Tier 2 (&lt;24hr),Tier 3 (&lt;72hr),Tier 4 (Best Effort)"</formula1>
    </dataValidation>
    <dataValidation sqref="S6 S7 S8 S9 S10 S11 S12 S13 S14 S15 S16 S17 S18 S19 S20 S21 S22 S23 S24" showDropDown="0" showInputMessage="0" showErrorMessage="0" allowBlank="1" errorTitle="Test Result" error="Select valid Test Result" type="list">
      <formula1>"Passed,Failed,Partial,Not Tested"</formula1>
    </dataValidation>
    <dataValidation sqref="C28 C29 C30 C31 C32 C33 C34 C35 C36 C37 C38 C39 C40 C41 C42" showDropDown="0" showInputMessage="0" showErrorMessage="0" allowBlank="1" type="list">
      <formula1>"Yes,No,N/A"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44"/>
  <sheetViews>
    <sheetView workbookViewId="0">
      <pane ySplit="5" topLeftCell="A6"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6"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8" customWidth="1" min="18" max="18"/>
    <col width="20" customWidth="1" min="19" max="19"/>
    <col width="18" customWidth="1" min="20" max="20"/>
    <col width="16" customWidth="1" min="21" max="21"/>
    <col width="18" customWidth="1" min="22" max="22"/>
    <col width="18" customWidth="1" min="23" max="23"/>
    <col width="20" customWidth="1" min="24" max="24"/>
  </cols>
  <sheetData>
    <row r="1" ht="35" customHeight="1">
      <c r="A1" s="1" t="inlineStr">
        <is>
          <t>6. VENDOR RISK MONITORING</t>
        </is>
      </c>
    </row>
    <row r="2" ht="30" customHeight="1">
      <c r="A2" s="13" t="inlineStr">
        <is>
          <t>Policy Reference: Cloud vendor risk MUST be monitored continuously. Security posture changes MUST trigger reassessment. (Policy Section 6.5)</t>
        </is>
      </c>
    </row>
    <row r="4" ht="30" customHeight="1">
      <c r="A4" s="14" t="inlineStr">
        <is>
          <t>Cloud Service Name</t>
        </is>
      </c>
      <c r="B4" s="14" t="inlineStr">
        <is>
          <t>Vendor Name</t>
        </is>
      </c>
      <c r="C4" s="14" t="inlineStr">
        <is>
          <t>Service Type</t>
        </is>
      </c>
      <c r="D4" s="14" t="inlineStr">
        <is>
          <t>Review Period</t>
        </is>
      </c>
      <c r="E4" s="14" t="inlineStr">
        <is>
          <t>Service Criticality</t>
        </is>
      </c>
      <c r="F4" s="14" t="inlineStr">
        <is>
          <t>Data Classification</t>
        </is>
      </c>
      <c r="G4" s="14" t="inlineStr">
        <is>
          <t>Risk Rating</t>
        </is>
      </c>
      <c r="H4" s="14" t="inlineStr">
        <is>
          <t>Status</t>
        </is>
      </c>
      <c r="I4" s="14" t="inlineStr">
        <is>
          <t>Evidence Location</t>
        </is>
      </c>
      <c r="J4" s="14" t="inlineStr">
        <is>
          <t>Gap Description</t>
        </is>
      </c>
      <c r="K4" s="14" t="inlineStr">
        <is>
          <t>Remediation Needed</t>
        </is>
      </c>
      <c r="L4" s="14" t="inlineStr">
        <is>
          <t>Exception ID</t>
        </is>
      </c>
      <c r="M4" s="14" t="inlineStr">
        <is>
          <t>Risk ID</t>
        </is>
      </c>
      <c r="N4" s="14" t="inlineStr">
        <is>
          <t>Compensating Controls</t>
        </is>
      </c>
      <c r="O4" s="14" t="inlineStr">
        <is>
          <t>Responsible Team/Owner</t>
        </is>
      </c>
      <c r="P4" s="14" t="inlineStr">
        <is>
          <t>Target Remediation Date</t>
        </is>
      </c>
      <c r="Q4" s="14" t="inlineStr">
        <is>
          <t>Last Review Date</t>
        </is>
      </c>
      <c r="R4" s="14" t="inlineStr">
        <is>
          <t>Risk Score Trend</t>
        </is>
      </c>
      <c r="S4" s="14" t="inlineStr">
        <is>
          <t>Security Incidents (YTD)</t>
        </is>
      </c>
      <c r="T4" s="14" t="inlineStr">
        <is>
          <t>Cert Expiry Tracked</t>
        </is>
      </c>
      <c r="U4" s="14" t="inlineStr">
        <is>
          <t>Next Cert Expiry</t>
        </is>
      </c>
      <c r="V4" s="14" t="inlineStr">
        <is>
          <t>Financial Health</t>
        </is>
      </c>
      <c r="W4" s="14" t="inlineStr">
        <is>
          <t>Last Assessment Date</t>
        </is>
      </c>
      <c r="X4" s="14" t="inlineStr">
        <is>
          <t>Reassessment Trigger Met</t>
        </is>
      </c>
    </row>
    <row r="5">
      <c r="A5" s="15" t="inlineStr">
        <is>
          <t>Example: Microsoft 365</t>
        </is>
      </c>
      <c r="B5" s="15" t="inlineStr">
        <is>
          <t>Microsoft</t>
        </is>
      </c>
      <c r="C5" s="15" t="inlineStr">
        <is>
          <t>SaaS</t>
        </is>
      </c>
      <c r="D5" s="15" t="inlineStr">
        <is>
          <t>Q4</t>
        </is>
      </c>
      <c r="E5" s="15" t="inlineStr">
        <is>
          <t>Critical</t>
        </is>
      </c>
      <c r="F5" s="15" t="inlineStr">
        <is>
          <t>Confidential</t>
        </is>
      </c>
      <c r="G5" s="15" t="inlineStr">
        <is>
          <t>Low</t>
        </is>
      </c>
      <c r="H5" s="15" t="inlineStr">
        <is>
          <t>✅ Compliant</t>
        </is>
      </c>
      <c r="I5" s="15" t="inlineStr">
        <is>
          <t>/evidence/vendor/MSFT</t>
        </is>
      </c>
      <c r="J5" s="15" t="inlineStr"/>
      <c r="K5" s="15" t="inlineStr">
        <is>
          <t>No</t>
        </is>
      </c>
      <c r="L5" s="15" t="inlineStr"/>
      <c r="M5" s="15" t="inlineStr"/>
      <c r="N5" s="15" t="inlineStr"/>
      <c r="O5" s="15" t="inlineStr">
        <is>
          <t>Risk Management</t>
        </is>
      </c>
      <c r="P5" s="15" t="inlineStr"/>
      <c r="Q5" s="15" t="inlineStr">
        <is>
          <t>2025-10-01</t>
        </is>
      </c>
      <c r="R5" s="15" t="inlineStr">
        <is>
          <t>Stable</t>
        </is>
      </c>
      <c r="S5" s="15" t="inlineStr">
        <is>
          <t>0</t>
        </is>
      </c>
      <c r="T5" s="15" t="inlineStr">
        <is>
          <t>Yes</t>
        </is>
      </c>
      <c r="U5" s="15" t="inlineStr">
        <is>
          <t>2026-08-15</t>
        </is>
      </c>
      <c r="V5" s="15" t="inlineStr">
        <is>
          <t>Strong</t>
        </is>
      </c>
      <c r="W5" s="15" t="inlineStr">
        <is>
          <t>2025-10-01</t>
        </is>
      </c>
      <c r="X5" s="15" t="inlineStr">
        <is>
          <t>No</t>
        </is>
      </c>
    </row>
    <row r="6">
      <c r="A6" s="5" t="n"/>
      <c r="B6" s="5" t="n"/>
      <c r="C6" s="5" t="n"/>
      <c r="D6" s="5" t="n"/>
      <c r="E6" s="5" t="n"/>
      <c r="F6" s="5" t="n"/>
      <c r="G6" s="5" t="n"/>
      <c r="H6" s="5" t="n"/>
      <c r="I6" s="5" t="n"/>
      <c r="J6" s="5" t="n"/>
      <c r="K6" s="5" t="n"/>
      <c r="L6" s="5" t="n"/>
      <c r="M6" s="5" t="n"/>
      <c r="N6" s="5" t="n"/>
      <c r="O6" s="5" t="n"/>
      <c r="P6" s="5" t="n"/>
      <c r="Q6" s="5" t="n"/>
      <c r="R6" s="5" t="n"/>
      <c r="S6" s="5" t="n"/>
      <c r="T6" s="5" t="n"/>
      <c r="U6" s="5" t="n"/>
      <c r="V6" s="5" t="n"/>
      <c r="W6" s="5" t="n"/>
      <c r="X6" s="5" t="n"/>
    </row>
    <row r="7">
      <c r="A7" s="5" t="n"/>
      <c r="B7" s="5" t="n"/>
      <c r="C7" s="5" t="n"/>
      <c r="D7" s="5" t="n"/>
      <c r="E7" s="5" t="n"/>
      <c r="F7" s="5" t="n"/>
      <c r="G7" s="5" t="n"/>
      <c r="H7" s="5" t="n"/>
      <c r="I7" s="5" t="n"/>
      <c r="J7" s="5" t="n"/>
      <c r="K7" s="5" t="n"/>
      <c r="L7" s="5" t="n"/>
      <c r="M7" s="5" t="n"/>
      <c r="N7" s="5" t="n"/>
      <c r="O7" s="5" t="n"/>
      <c r="P7" s="5" t="n"/>
      <c r="Q7" s="5" t="n"/>
      <c r="R7" s="5" t="n"/>
      <c r="S7" s="5" t="n"/>
      <c r="T7" s="5" t="n"/>
      <c r="U7" s="5" t="n"/>
      <c r="V7" s="5" t="n"/>
      <c r="W7" s="5" t="n"/>
      <c r="X7" s="5" t="n"/>
    </row>
    <row r="8">
      <c r="A8" s="5" t="n"/>
      <c r="B8" s="5" t="n"/>
      <c r="C8" s="5" t="n"/>
      <c r="D8" s="5" t="n"/>
      <c r="E8" s="5" t="n"/>
      <c r="F8" s="5" t="n"/>
      <c r="G8" s="5" t="n"/>
      <c r="H8" s="5" t="n"/>
      <c r="I8" s="5" t="n"/>
      <c r="J8" s="5" t="n"/>
      <c r="K8" s="5" t="n"/>
      <c r="L8" s="5" t="n"/>
      <c r="M8" s="5" t="n"/>
      <c r="N8" s="5" t="n"/>
      <c r="O8" s="5" t="n"/>
      <c r="P8" s="5" t="n"/>
      <c r="Q8" s="5" t="n"/>
      <c r="R8" s="5" t="n"/>
      <c r="S8" s="5" t="n"/>
      <c r="T8" s="5" t="n"/>
      <c r="U8" s="5" t="n"/>
      <c r="V8" s="5" t="n"/>
      <c r="W8" s="5" t="n"/>
      <c r="X8" s="5" t="n"/>
    </row>
    <row r="9">
      <c r="A9" s="5" t="n"/>
      <c r="B9" s="5" t="n"/>
      <c r="C9" s="5" t="n"/>
      <c r="D9" s="5" t="n"/>
      <c r="E9" s="5" t="n"/>
      <c r="F9" s="5" t="n"/>
      <c r="G9" s="5" t="n"/>
      <c r="H9" s="5" t="n"/>
      <c r="I9" s="5" t="n"/>
      <c r="J9" s="5" t="n"/>
      <c r="K9" s="5" t="n"/>
      <c r="L9" s="5" t="n"/>
      <c r="M9" s="5" t="n"/>
      <c r="N9" s="5" t="n"/>
      <c r="O9" s="5" t="n"/>
      <c r="P9" s="5" t="n"/>
      <c r="Q9" s="5" t="n"/>
      <c r="R9" s="5" t="n"/>
      <c r="S9" s="5" t="n"/>
      <c r="T9" s="5" t="n"/>
      <c r="U9" s="5" t="n"/>
      <c r="V9" s="5" t="n"/>
      <c r="W9" s="5" t="n"/>
      <c r="X9" s="5" t="n"/>
    </row>
    <row r="10">
      <c r="A10" s="5" t="n"/>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row>
    <row r="11">
      <c r="A11" s="5"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row>
    <row r="12">
      <c r="A12" s="5" t="n"/>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row>
    <row r="13">
      <c r="A13" s="5" t="n"/>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row>
    <row r="14">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row>
    <row r="15">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row>
    <row r="16">
      <c r="A16" s="5"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row>
    <row r="17">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row>
    <row r="18">
      <c r="A18" s="5" t="n"/>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row>
    <row r="19">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row>
    <row r="20">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row>
    <row r="21">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row>
    <row r="22">
      <c r="A22" s="5"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row>
    <row r="23">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row>
    <row r="24">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row>
    <row r="26">
      <c r="A26" s="16" t="inlineStr">
        <is>
          <t>VENDOR RISK MONITORING - COMPLIANCE CHECKLIST</t>
        </is>
      </c>
    </row>
    <row r="27">
      <c r="A27" s="7" t="inlineStr">
        <is>
          <t>☐</t>
        </is>
      </c>
      <c r="B27" s="7" t="inlineStr">
        <is>
          <t>Requirement</t>
        </is>
      </c>
      <c r="C27" s="7" t="inlineStr">
        <is>
          <t>Status</t>
        </is>
      </c>
      <c r="D27" s="7" t="inlineStr">
        <is>
          <t>Notes/Evidence</t>
        </is>
      </c>
    </row>
    <row r="28" ht="25" customHeight="1">
      <c r="A28" s="17" t="inlineStr">
        <is>
          <t>☐</t>
        </is>
      </c>
      <c r="B28" s="18" t="inlineStr">
        <is>
          <t>Vendor risk assessment performed at onboarding</t>
        </is>
      </c>
      <c r="C28" s="5" t="n"/>
      <c r="D28" s="5" t="n"/>
    </row>
    <row r="29" ht="25" customHeight="1">
      <c r="A29" s="17" t="inlineStr">
        <is>
          <t>☐</t>
        </is>
      </c>
      <c r="B29" s="18" t="inlineStr">
        <is>
          <t>Annual vendor risk reassessment scheduled</t>
        </is>
      </c>
      <c r="C29" s="5" t="n"/>
      <c r="D29" s="5" t="n"/>
    </row>
    <row r="30" ht="25" customHeight="1">
      <c r="A30" s="17" t="inlineStr">
        <is>
          <t>☐</t>
        </is>
      </c>
      <c r="B30" s="18" t="inlineStr">
        <is>
          <t>Risk scoring methodology documented and consistent</t>
        </is>
      </c>
      <c r="C30" s="5" t="n"/>
      <c r="D30" s="5" t="n"/>
    </row>
    <row r="31" ht="25" customHeight="1">
      <c r="A31" s="17" t="inlineStr">
        <is>
          <t>☐</t>
        </is>
      </c>
      <c r="B31" s="18" t="inlineStr">
        <is>
          <t>Security certifications tracked (ISO 27001, SOC 2, etc.)</t>
        </is>
      </c>
      <c r="C31" s="5" t="n"/>
      <c r="D31" s="5" t="n"/>
    </row>
    <row r="32" ht="25" customHeight="1">
      <c r="A32" s="17" t="inlineStr">
        <is>
          <t>☐</t>
        </is>
      </c>
      <c r="B32" s="18" t="inlineStr">
        <is>
          <t>Certification expiry dates monitored with alerts</t>
        </is>
      </c>
      <c r="C32" s="5" t="n"/>
      <c r="D32" s="5" t="n"/>
    </row>
    <row r="33" ht="25" customHeight="1">
      <c r="A33" s="17" t="inlineStr">
        <is>
          <t>☐</t>
        </is>
      </c>
      <c r="B33" s="18" t="inlineStr">
        <is>
          <t>Vendor security incidents monitored via news/feeds</t>
        </is>
      </c>
      <c r="C33" s="5" t="n"/>
      <c r="D33" s="5" t="n"/>
    </row>
    <row r="34" ht="25" customHeight="1">
      <c r="A34" s="17" t="inlineStr">
        <is>
          <t>☐</t>
        </is>
      </c>
      <c r="B34" s="18" t="inlineStr">
        <is>
          <t>Vendor breach notification process documented</t>
        </is>
      </c>
      <c r="C34" s="5" t="n"/>
      <c r="D34" s="5" t="n"/>
    </row>
    <row r="35" ht="25" customHeight="1">
      <c r="A35" s="17" t="inlineStr">
        <is>
          <t>☐</t>
        </is>
      </c>
      <c r="B35" s="18" t="inlineStr">
        <is>
          <t>Financial health indicators monitored for critical vendors</t>
        </is>
      </c>
      <c r="C35" s="5" t="n"/>
      <c r="D35" s="5" t="n"/>
    </row>
    <row r="36" ht="25" customHeight="1">
      <c r="A36" s="17" t="inlineStr">
        <is>
          <t>☐</t>
        </is>
      </c>
      <c r="B36" s="18" t="inlineStr">
        <is>
          <t>Vendor concentration risk assessed</t>
        </is>
      </c>
      <c r="C36" s="5" t="n"/>
      <c r="D36" s="5" t="n"/>
    </row>
    <row r="37" ht="25" customHeight="1">
      <c r="A37" s="17" t="inlineStr">
        <is>
          <t>☐</t>
        </is>
      </c>
      <c r="B37" s="18" t="inlineStr">
        <is>
          <t>Sub-processor changes tracked and assessed</t>
        </is>
      </c>
      <c r="C37" s="5" t="n"/>
      <c r="D37" s="5" t="n"/>
    </row>
    <row r="38" ht="25" customHeight="1">
      <c r="A38" s="17" t="inlineStr">
        <is>
          <t>☐</t>
        </is>
      </c>
      <c r="B38" s="18" t="inlineStr">
        <is>
          <t>Geopolitical risk factors considered</t>
        </is>
      </c>
      <c r="C38" s="5" t="n"/>
      <c r="D38" s="5" t="n"/>
    </row>
    <row r="39" ht="25" customHeight="1">
      <c r="A39" s="17" t="inlineStr">
        <is>
          <t>☐</t>
        </is>
      </c>
      <c r="B39" s="18" t="inlineStr">
        <is>
          <t>Vendor security questionnaire refreshed periodically</t>
        </is>
      </c>
      <c r="C39" s="5" t="n"/>
      <c r="D39" s="5" t="n"/>
    </row>
    <row r="40" ht="25" customHeight="1">
      <c r="A40" s="17" t="inlineStr">
        <is>
          <t>☐</t>
        </is>
      </c>
      <c r="B40" s="18" t="inlineStr">
        <is>
          <t>Risk rating changes trigger stakeholder notification</t>
        </is>
      </c>
      <c r="C40" s="5" t="n"/>
      <c r="D40" s="5" t="n"/>
    </row>
    <row r="41" ht="25" customHeight="1">
      <c r="A41" s="17" t="inlineStr">
        <is>
          <t>☐</t>
        </is>
      </c>
      <c r="B41" s="18" t="inlineStr">
        <is>
          <t>High-risk vendors subject to enhanced monitoring</t>
        </is>
      </c>
      <c r="C41" s="5" t="n"/>
      <c r="D41" s="5" t="n"/>
    </row>
    <row r="42" ht="25" customHeight="1">
      <c r="A42" s="17" t="inlineStr">
        <is>
          <t>☐</t>
        </is>
      </c>
      <c r="B42" s="18" t="inlineStr">
        <is>
          <t>Vendor risk dashboard available to stakeholders</t>
        </is>
      </c>
      <c r="C42" s="5" t="n"/>
      <c r="D42" s="5" t="n"/>
    </row>
    <row r="44">
      <c r="A44" s="3" t="inlineStr">
        <is>
          <t>Checklist Compliance Score:</t>
        </is>
      </c>
      <c r="C44" s="19">
        <f>IF(COUNTA(C28:C42)=0,"N/A",ROUND(COUNTIF(C28:C42,"Yes")/COUNTIF(C28:C42,"&lt;&gt;N/A")*100,1)&amp;"%")</f>
        <v/>
      </c>
    </row>
  </sheetData>
  <mergeCells count="33">
    <mergeCell ref="B40"/>
    <mergeCell ref="D41:F41"/>
    <mergeCell ref="B30"/>
    <mergeCell ref="D32:F32"/>
    <mergeCell ref="B33"/>
    <mergeCell ref="B36"/>
    <mergeCell ref="B41"/>
    <mergeCell ref="B32"/>
    <mergeCell ref="B35"/>
    <mergeCell ref="D28:F28"/>
    <mergeCell ref="D37:F37"/>
    <mergeCell ref="A26:X26"/>
    <mergeCell ref="A2:X2"/>
    <mergeCell ref="D30:F30"/>
    <mergeCell ref="D39:F39"/>
    <mergeCell ref="D33:F33"/>
    <mergeCell ref="B31"/>
    <mergeCell ref="D42:F42"/>
    <mergeCell ref="D38:F38"/>
    <mergeCell ref="D29:F29"/>
    <mergeCell ref="B39"/>
    <mergeCell ref="D35:F35"/>
    <mergeCell ref="B42"/>
    <mergeCell ref="D34:F34"/>
    <mergeCell ref="D31:F31"/>
    <mergeCell ref="B29"/>
    <mergeCell ref="D40:F40"/>
    <mergeCell ref="D36:F36"/>
    <mergeCell ref="B38"/>
    <mergeCell ref="B34"/>
    <mergeCell ref="B28"/>
    <mergeCell ref="A1:X1"/>
    <mergeCell ref="B37"/>
  </mergeCells>
  <dataValidations count="13">
    <dataValidation sqref="C6 C7 C8 C9 C10 C11 C12 C13 C14 C15 C16 C17 C18 C19 C20 C21 C22 C23 C24" showDropDown="0" showInputMessage="0" showErrorMessage="0" allowBlank="1" errorTitle="Service Type" error="Select valid service type" promptTitle="Service Type" prompt="Select Service Type" type="list">
      <formula1>"SaaS,IaaS,PaaS,Security Service,Cloud Storage,Other"</formula1>
    </dataValidation>
    <dataValidation sqref="D6 D7 D8 D9 D10 D11 D12 D13 D14 D15 D16 D17 D18 D19 D20 D21 D22 D23 D24" showDropDown="0" showInputMessage="0" showErrorMessage="0" allowBlank="1" errorTitle="Review Period" error="Select valid review period" promptTitle="Review Period" prompt="Select Review Period" type="list">
      <formula1>"Q1,Q2,Q3,Q4,Annual,Ad-Hoc"</formula1>
    </dataValidation>
    <dataValidation sqref="E6 E7 E8 E9 E10 E11 E12 E13 E14 E15 E16 E17 E18 E19 E20 E21 E22 E23 E24" showDropDown="0" showInputMessage="0" showErrorMessage="0" allowBlank="1" errorTitle="Service Criticality" error="Select valid criticality" promptTitle="Service Criticality" prompt="Select Service Criticality" type="list">
      <formula1>"Critical,High,Medium,Low"</formula1>
    </dataValidation>
    <dataValidation sqref="F6 F7 F8 F9 F10 F11 F12 F13 F14 F15 F16 F17 F18 F19 F20 F21 F22 F23 F2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6 H7 H8 H9 H10 H11 H12 H13 H14 H15 H16 H17 H18 H19 H20 H21 H22 H23 H24" showDropDown="0" showInputMessage="0" showErrorMessage="0" allowBlank="1" errorTitle="Status" error="Select valid status" promptTitle="Status" prompt="Select Status" type="list">
      <formula1>f"{CHECK} Compliant,⚠️ Partial,❌ Non-Compliant,N/A"</formula1>
    </dataValidation>
    <dataValidation sqref="K6 K7 K8 K9 K10 K11 K12 K13 K14 K15 K16 K17 K18 K19 K20 K21 K22 K23 K24" showDropDown="0" showInputMessage="0" showErrorMessage="0" allowBlank="1" errorTitle="Yes/No" error="Select Yes or No" promptTitle="Yes/No" prompt="Select Yes/No" type="list">
      <formula1>"Yes,No"</formula1>
    </dataValidation>
    <dataValidation sqref="O6 O7 O8 O9 O10 O11 O12 O13 O14 O15 O16 O17 O18 O19 O20 O21 O22 O23 O2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6 G7 G8 G9 G10 G11 G12 G13 G14 G15 G16 G17 G18 G19 G20 G21 G22 G23 G24" showDropDown="0" showInputMessage="0" showErrorMessage="0" allowBlank="1" errorTitle="Risk Rating" error="Select valid Risk Rating" type="list">
      <formula1>"Critical,High,Medium,Low,Minimal"</formula1>
    </dataValidation>
    <dataValidation sqref="R6 R7 R8 R9 R10 R11 R12 R13 R14 R15 R16 R17 R18 R19 R20 R21 R22 R23 R24" showDropDown="0" showInputMessage="0" showErrorMessage="0" allowBlank="1" errorTitle="Risk Trend" error="Select valid Risk Trend" type="list">
      <formula1>"Improving,Stable,Degrading,Unknown"</formula1>
    </dataValidation>
    <dataValidation sqref="T6 T7 T8 T9 T10 T11 T12 T13 T14 T15 T16 T17 T18 T19 T20 T21 T22 T23 T24" showDropDown="0" showInputMessage="0" showErrorMessage="0" allowBlank="1" errorTitle="Cert Tracked" error="Select valid Cert Tracked" type="list">
      <formula1>"Yes,No,N/A"</formula1>
    </dataValidation>
    <dataValidation sqref="V6 V7 V8 V9 V10 V11 V12 V13 V14 V15 V16 V17 V18 V19 V20 V21 V22 V23 V24" showDropDown="0" showInputMessage="0" showErrorMessage="0" allowBlank="1" errorTitle="Financial Health" error="Select valid Financial Health" type="list">
      <formula1>"Strong,Stable,Concerning,Unknown"</formula1>
    </dataValidation>
    <dataValidation sqref="X6 X7 X8 X9 X10 X11 X12 X13 X14 X15 X16 X17 X18 X19 X20 X21 X22 X23 X24" showDropDown="0" showInputMessage="0" showErrorMessage="0" allowBlank="1" errorTitle="Reassessment Trigger" error="Select valid Reassessment Trigger" type="list">
      <formula1>"Yes,No"</formula1>
    </dataValidation>
    <dataValidation sqref="C28 C29 C30 C31 C32 C33 C34 C35 C36 C37 C38 C39 C40 C41 C42" showDropDown="0" showInputMessage="0" showErrorMessage="0" allowBlank="1" type="list">
      <formula1>"Yes,No,N/A"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66"/>
  <sheetViews>
    <sheetView workbookViewId="0">
      <pane ySplit="3" topLeftCell="A4" activePane="bottomLeft" state="frozen"/>
      <selection pane="bottomLeft" activeCell="A1" sqref="A1"/>
    </sheetView>
  </sheetViews>
  <sheetFormatPr baseColWidth="8" defaultRowHeight="15"/>
  <cols>
    <col width="25" customWidth="1" min="1" max="1"/>
    <col width="20" customWidth="1" min="2" max="2"/>
    <col width="15" customWidth="1" min="3" max="3"/>
    <col width="22" customWidth="1" min="4" max="4"/>
    <col width="15" customWidth="1" min="5" max="5"/>
    <col width="15" customWidth="1" min="6" max="6"/>
    <col width="15" customWidth="1" min="7" max="7"/>
    <col width="20" customWidth="1" min="8" max="8"/>
    <col width="16" customWidth="1" min="9" max="9"/>
    <col width="18" customWidth="1" min="10" max="10"/>
    <col width="16" customWidth="1" min="11" max="11"/>
    <col width="20" customWidth="1" min="12" max="12"/>
    <col width="20" customWidth="1" min="13" max="13"/>
    <col width="40" customWidth="1" min="14" max="14"/>
  </cols>
  <sheetData>
    <row r="1" ht="40" customHeight="1">
      <c r="A1" s="20" t="inlineStr">
        <is>
          <t>EXIT STRATEGY ANNUAL REVIEW &amp; POC TESTING</t>
        </is>
      </c>
    </row>
    <row r="2" ht="30" customHeight="1">
      <c r="A2" s="21" t="inlineStr">
        <is>
          <t>POL-S5 Section 8: Annual review required. DORA Art. 28.6: Annual PoC testing for critical ICT providers.</t>
        </is>
      </c>
    </row>
    <row r="3">
      <c r="A3" s="22" t="inlineStr">
        <is>
          <t>Service Name</t>
        </is>
      </c>
      <c r="B3" s="22" t="inlineStr">
        <is>
          <t>Provider</t>
        </is>
      </c>
      <c r="C3" s="22" t="inlineStr">
        <is>
          <t>Criticality</t>
        </is>
      </c>
      <c r="D3" s="22" t="inlineStr">
        <is>
          <t>Exit Strategy Type (Current)</t>
        </is>
      </c>
      <c r="E3" s="22" t="inlineStr">
        <is>
          <t>Last Review Date</t>
        </is>
      </c>
      <c r="F3" s="22" t="inlineStr">
        <is>
          <t>Next Review Date</t>
        </is>
      </c>
      <c r="G3" s="22" t="inlineStr">
        <is>
          <t>Review Status</t>
        </is>
      </c>
      <c r="H3" s="22" t="inlineStr">
        <is>
          <t>PoC Testing Required?</t>
        </is>
      </c>
      <c r="I3" s="22" t="inlineStr">
        <is>
          <t>PoC Test Date (Last)</t>
        </is>
      </c>
      <c r="J3" s="22" t="inlineStr">
        <is>
          <t>PoC Test Result</t>
        </is>
      </c>
      <c r="K3" s="22" t="inlineStr">
        <is>
          <t>PoC Test Next Due</t>
        </is>
      </c>
      <c r="L3" s="22" t="inlineStr">
        <is>
          <t>Exit Strategy Changed?</t>
        </is>
      </c>
      <c r="M3" s="22" t="inlineStr">
        <is>
          <t>Reviewer Name</t>
        </is>
      </c>
      <c r="N3" s="22" t="inlineStr">
        <is>
          <t>Notes</t>
        </is>
      </c>
    </row>
    <row r="4">
      <c r="A4" s="23" t="n"/>
      <c r="B4" s="23" t="n"/>
      <c r="C4" s="23" t="n"/>
      <c r="D4" s="23" t="n"/>
      <c r="E4" s="24" t="n"/>
      <c r="F4" s="24" t="n"/>
      <c r="G4" s="23" t="n"/>
      <c r="H4" s="23" t="n"/>
      <c r="I4" s="24" t="n"/>
      <c r="J4" s="23" t="n"/>
      <c r="K4" s="24" t="n"/>
      <c r="L4" s="23" t="n"/>
      <c r="M4" s="23" t="n"/>
      <c r="N4" s="23" t="n"/>
    </row>
    <row r="5">
      <c r="A5" s="23" t="n"/>
      <c r="B5" s="23" t="n"/>
      <c r="C5" s="23" t="n"/>
      <c r="D5" s="23" t="n"/>
      <c r="E5" s="24" t="n"/>
      <c r="F5" s="24" t="n"/>
      <c r="G5" s="23" t="n"/>
      <c r="H5" s="23" t="n"/>
      <c r="I5" s="24" t="n"/>
      <c r="J5" s="23" t="n"/>
      <c r="K5" s="24" t="n"/>
      <c r="L5" s="23" t="n"/>
      <c r="M5" s="23" t="n"/>
      <c r="N5" s="23" t="n"/>
    </row>
    <row r="6">
      <c r="A6" s="23" t="n"/>
      <c r="B6" s="23" t="n"/>
      <c r="C6" s="23" t="n"/>
      <c r="D6" s="23" t="n"/>
      <c r="E6" s="24" t="n"/>
      <c r="F6" s="24" t="n"/>
      <c r="G6" s="23" t="n"/>
      <c r="H6" s="23" t="n"/>
      <c r="I6" s="24" t="n"/>
      <c r="J6" s="23" t="n"/>
      <c r="K6" s="24" t="n"/>
      <c r="L6" s="23" t="n"/>
      <c r="M6" s="23" t="n"/>
      <c r="N6" s="23" t="n"/>
    </row>
    <row r="7">
      <c r="A7" s="23" t="n"/>
      <c r="B7" s="23" t="n"/>
      <c r="C7" s="23" t="n"/>
      <c r="D7" s="23" t="n"/>
      <c r="E7" s="24" t="n"/>
      <c r="F7" s="24" t="n"/>
      <c r="G7" s="23" t="n"/>
      <c r="H7" s="23" t="n"/>
      <c r="I7" s="24" t="n"/>
      <c r="J7" s="23" t="n"/>
      <c r="K7" s="24" t="n"/>
      <c r="L7" s="23" t="n"/>
      <c r="M7" s="23" t="n"/>
      <c r="N7" s="23" t="n"/>
    </row>
    <row r="8">
      <c r="A8" s="23" t="n"/>
      <c r="B8" s="23" t="n"/>
      <c r="C8" s="23" t="n"/>
      <c r="D8" s="23" t="n"/>
      <c r="E8" s="24" t="n"/>
      <c r="F8" s="24" t="n"/>
      <c r="G8" s="23" t="n"/>
      <c r="H8" s="23" t="n"/>
      <c r="I8" s="24" t="n"/>
      <c r="J8" s="23" t="n"/>
      <c r="K8" s="24" t="n"/>
      <c r="L8" s="23" t="n"/>
      <c r="M8" s="23" t="n"/>
      <c r="N8" s="23" t="n"/>
    </row>
    <row r="9">
      <c r="A9" s="23" t="n"/>
      <c r="B9" s="23" t="n"/>
      <c r="C9" s="23" t="n"/>
      <c r="D9" s="23" t="n"/>
      <c r="E9" s="24" t="n"/>
      <c r="F9" s="24" t="n"/>
      <c r="G9" s="23" t="n"/>
      <c r="H9" s="23" t="n"/>
      <c r="I9" s="24" t="n"/>
      <c r="J9" s="23" t="n"/>
      <c r="K9" s="24" t="n"/>
      <c r="L9" s="23" t="n"/>
      <c r="M9" s="23" t="n"/>
      <c r="N9" s="23" t="n"/>
    </row>
    <row r="10">
      <c r="A10" s="23" t="n"/>
      <c r="B10" s="23" t="n"/>
      <c r="C10" s="23" t="n"/>
      <c r="D10" s="23" t="n"/>
      <c r="E10" s="24" t="n"/>
      <c r="F10" s="24" t="n"/>
      <c r="G10" s="23" t="n"/>
      <c r="H10" s="23" t="n"/>
      <c r="I10" s="24" t="n"/>
      <c r="J10" s="23" t="n"/>
      <c r="K10" s="24" t="n"/>
      <c r="L10" s="23" t="n"/>
      <c r="M10" s="23" t="n"/>
      <c r="N10" s="23" t="n"/>
    </row>
    <row r="11">
      <c r="A11" s="23" t="n"/>
      <c r="B11" s="23" t="n"/>
      <c r="C11" s="23" t="n"/>
      <c r="D11" s="23" t="n"/>
      <c r="E11" s="24" t="n"/>
      <c r="F11" s="24" t="n"/>
      <c r="G11" s="23" t="n"/>
      <c r="H11" s="23" t="n"/>
      <c r="I11" s="24" t="n"/>
      <c r="J11" s="23" t="n"/>
      <c r="K11" s="24" t="n"/>
      <c r="L11" s="23" t="n"/>
      <c r="M11" s="23" t="n"/>
      <c r="N11" s="23" t="n"/>
    </row>
    <row r="12">
      <c r="A12" s="23" t="n"/>
      <c r="B12" s="23" t="n"/>
      <c r="C12" s="23" t="n"/>
      <c r="D12" s="23" t="n"/>
      <c r="E12" s="24" t="n"/>
      <c r="F12" s="24" t="n"/>
      <c r="G12" s="23" t="n"/>
      <c r="H12" s="23" t="n"/>
      <c r="I12" s="24" t="n"/>
      <c r="J12" s="23" t="n"/>
      <c r="K12" s="24" t="n"/>
      <c r="L12" s="23" t="n"/>
      <c r="M12" s="23" t="n"/>
      <c r="N12" s="23" t="n"/>
    </row>
    <row r="13">
      <c r="A13" s="23" t="n"/>
      <c r="B13" s="23" t="n"/>
      <c r="C13" s="23" t="n"/>
      <c r="D13" s="23" t="n"/>
      <c r="E13" s="24" t="n"/>
      <c r="F13" s="24" t="n"/>
      <c r="G13" s="23" t="n"/>
      <c r="H13" s="23" t="n"/>
      <c r="I13" s="24" t="n"/>
      <c r="J13" s="23" t="n"/>
      <c r="K13" s="24" t="n"/>
      <c r="L13" s="23" t="n"/>
      <c r="M13" s="23" t="n"/>
      <c r="N13" s="23" t="n"/>
    </row>
    <row r="14">
      <c r="A14" s="23" t="n"/>
      <c r="B14" s="23" t="n"/>
      <c r="C14" s="23" t="n"/>
      <c r="D14" s="23" t="n"/>
      <c r="E14" s="24" t="n"/>
      <c r="F14" s="24" t="n"/>
      <c r="G14" s="23" t="n"/>
      <c r="H14" s="23" t="n"/>
      <c r="I14" s="24" t="n"/>
      <c r="J14" s="23" t="n"/>
      <c r="K14" s="24" t="n"/>
      <c r="L14" s="23" t="n"/>
      <c r="M14" s="23" t="n"/>
      <c r="N14" s="23" t="n"/>
    </row>
    <row r="15">
      <c r="A15" s="23" t="n"/>
      <c r="B15" s="23" t="n"/>
      <c r="C15" s="23" t="n"/>
      <c r="D15" s="23" t="n"/>
      <c r="E15" s="24" t="n"/>
      <c r="F15" s="24" t="n"/>
      <c r="G15" s="23" t="n"/>
      <c r="H15" s="23" t="n"/>
      <c r="I15" s="24" t="n"/>
      <c r="J15" s="23" t="n"/>
      <c r="K15" s="24" t="n"/>
      <c r="L15" s="23" t="n"/>
      <c r="M15" s="23" t="n"/>
      <c r="N15" s="23" t="n"/>
    </row>
    <row r="16">
      <c r="A16" s="23" t="n"/>
      <c r="B16" s="23" t="n"/>
      <c r="C16" s="23" t="n"/>
      <c r="D16" s="23" t="n"/>
      <c r="E16" s="24" t="n"/>
      <c r="F16" s="24" t="n"/>
      <c r="G16" s="23" t="n"/>
      <c r="H16" s="23" t="n"/>
      <c r="I16" s="24" t="n"/>
      <c r="J16" s="23" t="n"/>
      <c r="K16" s="24" t="n"/>
      <c r="L16" s="23" t="n"/>
      <c r="M16" s="23" t="n"/>
      <c r="N16" s="23" t="n"/>
    </row>
    <row r="17">
      <c r="A17" s="23" t="n"/>
      <c r="B17" s="23" t="n"/>
      <c r="C17" s="23" t="n"/>
      <c r="D17" s="23" t="n"/>
      <c r="E17" s="24" t="n"/>
      <c r="F17" s="24" t="n"/>
      <c r="G17" s="23" t="n"/>
      <c r="H17" s="23" t="n"/>
      <c r="I17" s="24" t="n"/>
      <c r="J17" s="23" t="n"/>
      <c r="K17" s="24" t="n"/>
      <c r="L17" s="23" t="n"/>
      <c r="M17" s="23" t="n"/>
      <c r="N17" s="23" t="n"/>
    </row>
    <row r="18">
      <c r="A18" s="23" t="n"/>
      <c r="B18" s="23" t="n"/>
      <c r="C18" s="23" t="n"/>
      <c r="D18" s="23" t="n"/>
      <c r="E18" s="24" t="n"/>
      <c r="F18" s="24" t="n"/>
      <c r="G18" s="23" t="n"/>
      <c r="H18" s="23" t="n"/>
      <c r="I18" s="24" t="n"/>
      <c r="J18" s="23" t="n"/>
      <c r="K18" s="24" t="n"/>
      <c r="L18" s="23" t="n"/>
      <c r="M18" s="23" t="n"/>
      <c r="N18" s="23" t="n"/>
    </row>
    <row r="19">
      <c r="A19" s="23" t="n"/>
      <c r="B19" s="23" t="n"/>
      <c r="C19" s="23" t="n"/>
      <c r="D19" s="23" t="n"/>
      <c r="E19" s="24" t="n"/>
      <c r="F19" s="24" t="n"/>
      <c r="G19" s="23" t="n"/>
      <c r="H19" s="23" t="n"/>
      <c r="I19" s="24" t="n"/>
      <c r="J19" s="23" t="n"/>
      <c r="K19" s="24" t="n"/>
      <c r="L19" s="23" t="n"/>
      <c r="M19" s="23" t="n"/>
      <c r="N19" s="23" t="n"/>
    </row>
    <row r="20">
      <c r="A20" s="23" t="n"/>
      <c r="B20" s="23" t="n"/>
      <c r="C20" s="23" t="n"/>
      <c r="D20" s="23" t="n"/>
      <c r="E20" s="24" t="n"/>
      <c r="F20" s="24" t="n"/>
      <c r="G20" s="23" t="n"/>
      <c r="H20" s="23" t="n"/>
      <c r="I20" s="24" t="n"/>
      <c r="J20" s="23" t="n"/>
      <c r="K20" s="24" t="n"/>
      <c r="L20" s="23" t="n"/>
      <c r="M20" s="23" t="n"/>
      <c r="N20" s="23" t="n"/>
    </row>
    <row r="21">
      <c r="A21" s="23" t="n"/>
      <c r="B21" s="23" t="n"/>
      <c r="C21" s="23" t="n"/>
      <c r="D21" s="23" t="n"/>
      <c r="E21" s="24" t="n"/>
      <c r="F21" s="24" t="n"/>
      <c r="G21" s="23" t="n"/>
      <c r="H21" s="23" t="n"/>
      <c r="I21" s="24" t="n"/>
      <c r="J21" s="23" t="n"/>
      <c r="K21" s="24" t="n"/>
      <c r="L21" s="23" t="n"/>
      <c r="M21" s="23" t="n"/>
      <c r="N21" s="23" t="n"/>
    </row>
    <row r="22">
      <c r="A22" s="23" t="n"/>
      <c r="B22" s="23" t="n"/>
      <c r="C22" s="23" t="n"/>
      <c r="D22" s="23" t="n"/>
      <c r="E22" s="24" t="n"/>
      <c r="F22" s="24" t="n"/>
      <c r="G22" s="23" t="n"/>
      <c r="H22" s="23" t="n"/>
      <c r="I22" s="24" t="n"/>
      <c r="J22" s="23" t="n"/>
      <c r="K22" s="24" t="n"/>
      <c r="L22" s="23" t="n"/>
      <c r="M22" s="23" t="n"/>
      <c r="N22" s="23" t="n"/>
    </row>
    <row r="23">
      <c r="A23" s="23" t="n"/>
      <c r="B23" s="23" t="n"/>
      <c r="C23" s="23" t="n"/>
      <c r="D23" s="23" t="n"/>
      <c r="E23" s="24" t="n"/>
      <c r="F23" s="24" t="n"/>
      <c r="G23" s="23" t="n"/>
      <c r="H23" s="23" t="n"/>
      <c r="I23" s="24" t="n"/>
      <c r="J23" s="23" t="n"/>
      <c r="K23" s="24" t="n"/>
      <c r="L23" s="23" t="n"/>
      <c r="M23" s="23" t="n"/>
      <c r="N23" s="23" t="n"/>
    </row>
    <row r="24">
      <c r="A24" s="23" t="n"/>
      <c r="B24" s="23" t="n"/>
      <c r="C24" s="23" t="n"/>
      <c r="D24" s="23" t="n"/>
      <c r="E24" s="24" t="n"/>
      <c r="F24" s="24" t="n"/>
      <c r="G24" s="23" t="n"/>
      <c r="H24" s="23" t="n"/>
      <c r="I24" s="24" t="n"/>
      <c r="J24" s="23" t="n"/>
      <c r="K24" s="24" t="n"/>
      <c r="L24" s="23" t="n"/>
      <c r="M24" s="23" t="n"/>
      <c r="N24" s="23" t="n"/>
    </row>
    <row r="25">
      <c r="A25" s="23" t="n"/>
      <c r="B25" s="23" t="n"/>
      <c r="C25" s="23" t="n"/>
      <c r="D25" s="23" t="n"/>
      <c r="E25" s="24" t="n"/>
      <c r="F25" s="24" t="n"/>
      <c r="G25" s="23" t="n"/>
      <c r="H25" s="23" t="n"/>
      <c r="I25" s="24" t="n"/>
      <c r="J25" s="23" t="n"/>
      <c r="K25" s="24" t="n"/>
      <c r="L25" s="23" t="n"/>
      <c r="M25" s="23" t="n"/>
      <c r="N25" s="23" t="n"/>
    </row>
    <row r="26">
      <c r="A26" s="23" t="n"/>
      <c r="B26" s="23" t="n"/>
      <c r="C26" s="23" t="n"/>
      <c r="D26" s="23" t="n"/>
      <c r="E26" s="24" t="n"/>
      <c r="F26" s="24" t="n"/>
      <c r="G26" s="23" t="n"/>
      <c r="H26" s="23" t="n"/>
      <c r="I26" s="24" t="n"/>
      <c r="J26" s="23" t="n"/>
      <c r="K26" s="24" t="n"/>
      <c r="L26" s="23" t="n"/>
      <c r="M26" s="23" t="n"/>
      <c r="N26" s="23" t="n"/>
    </row>
    <row r="27">
      <c r="A27" s="23" t="n"/>
      <c r="B27" s="23" t="n"/>
      <c r="C27" s="23" t="n"/>
      <c r="D27" s="23" t="n"/>
      <c r="E27" s="24" t="n"/>
      <c r="F27" s="24" t="n"/>
      <c r="G27" s="23" t="n"/>
      <c r="H27" s="23" t="n"/>
      <c r="I27" s="24" t="n"/>
      <c r="J27" s="23" t="n"/>
      <c r="K27" s="24" t="n"/>
      <c r="L27" s="23" t="n"/>
      <c r="M27" s="23" t="n"/>
      <c r="N27" s="23" t="n"/>
    </row>
    <row r="28">
      <c r="A28" s="23" t="n"/>
      <c r="B28" s="23" t="n"/>
      <c r="C28" s="23" t="n"/>
      <c r="D28" s="23" t="n"/>
      <c r="E28" s="24" t="n"/>
      <c r="F28" s="24" t="n"/>
      <c r="G28" s="23" t="n"/>
      <c r="H28" s="23" t="n"/>
      <c r="I28" s="24" t="n"/>
      <c r="J28" s="23" t="n"/>
      <c r="K28" s="24" t="n"/>
      <c r="L28" s="23" t="n"/>
      <c r="M28" s="23" t="n"/>
      <c r="N28" s="23" t="n"/>
    </row>
    <row r="29">
      <c r="A29" s="23" t="n"/>
      <c r="B29" s="23" t="n"/>
      <c r="C29" s="23" t="n"/>
      <c r="D29" s="23" t="n"/>
      <c r="E29" s="24" t="n"/>
      <c r="F29" s="24" t="n"/>
      <c r="G29" s="23" t="n"/>
      <c r="H29" s="23" t="n"/>
      <c r="I29" s="24" t="n"/>
      <c r="J29" s="23" t="n"/>
      <c r="K29" s="24" t="n"/>
      <c r="L29" s="23" t="n"/>
      <c r="M29" s="23" t="n"/>
      <c r="N29" s="23" t="n"/>
    </row>
    <row r="30">
      <c r="A30" s="23" t="n"/>
      <c r="B30" s="23" t="n"/>
      <c r="C30" s="23" t="n"/>
      <c r="D30" s="23" t="n"/>
      <c r="E30" s="24" t="n"/>
      <c r="F30" s="24" t="n"/>
      <c r="G30" s="23" t="n"/>
      <c r="H30" s="23" t="n"/>
      <c r="I30" s="24" t="n"/>
      <c r="J30" s="23" t="n"/>
      <c r="K30" s="24" t="n"/>
      <c r="L30" s="23" t="n"/>
      <c r="M30" s="23" t="n"/>
      <c r="N30" s="23" t="n"/>
    </row>
    <row r="31">
      <c r="A31" s="23" t="n"/>
      <c r="B31" s="23" t="n"/>
      <c r="C31" s="23" t="n"/>
      <c r="D31" s="23" t="n"/>
      <c r="E31" s="24" t="n"/>
      <c r="F31" s="24" t="n"/>
      <c r="G31" s="23" t="n"/>
      <c r="H31" s="23" t="n"/>
      <c r="I31" s="24" t="n"/>
      <c r="J31" s="23" t="n"/>
      <c r="K31" s="24" t="n"/>
      <c r="L31" s="23" t="n"/>
      <c r="M31" s="23" t="n"/>
      <c r="N31" s="23" t="n"/>
    </row>
    <row r="32">
      <c r="A32" s="23" t="n"/>
      <c r="B32" s="23" t="n"/>
      <c r="C32" s="23" t="n"/>
      <c r="D32" s="23" t="n"/>
      <c r="E32" s="24" t="n"/>
      <c r="F32" s="24" t="n"/>
      <c r="G32" s="23" t="n"/>
      <c r="H32" s="23" t="n"/>
      <c r="I32" s="24" t="n"/>
      <c r="J32" s="23" t="n"/>
      <c r="K32" s="24" t="n"/>
      <c r="L32" s="23" t="n"/>
      <c r="M32" s="23" t="n"/>
      <c r="N32" s="23" t="n"/>
    </row>
    <row r="33">
      <c r="A33" s="23" t="n"/>
      <c r="B33" s="23" t="n"/>
      <c r="C33" s="23" t="n"/>
      <c r="D33" s="23" t="n"/>
      <c r="E33" s="24" t="n"/>
      <c r="F33" s="24" t="n"/>
      <c r="G33" s="23" t="n"/>
      <c r="H33" s="23" t="n"/>
      <c r="I33" s="24" t="n"/>
      <c r="J33" s="23" t="n"/>
      <c r="K33" s="24" t="n"/>
      <c r="L33" s="23" t="n"/>
      <c r="M33" s="23" t="n"/>
      <c r="N33" s="23" t="n"/>
    </row>
    <row r="34">
      <c r="A34" s="23" t="n"/>
      <c r="B34" s="23" t="n"/>
      <c r="C34" s="23" t="n"/>
      <c r="D34" s="23" t="n"/>
      <c r="E34" s="24" t="n"/>
      <c r="F34" s="24" t="n"/>
      <c r="G34" s="23" t="n"/>
      <c r="H34" s="23" t="n"/>
      <c r="I34" s="24" t="n"/>
      <c r="J34" s="23" t="n"/>
      <c r="K34" s="24" t="n"/>
      <c r="L34" s="23" t="n"/>
      <c r="M34" s="23" t="n"/>
      <c r="N34" s="23" t="n"/>
    </row>
    <row r="35">
      <c r="A35" s="23" t="n"/>
      <c r="B35" s="23" t="n"/>
      <c r="C35" s="23" t="n"/>
      <c r="D35" s="23" t="n"/>
      <c r="E35" s="24" t="n"/>
      <c r="F35" s="24" t="n"/>
      <c r="G35" s="23" t="n"/>
      <c r="H35" s="23" t="n"/>
      <c r="I35" s="24" t="n"/>
      <c r="J35" s="23" t="n"/>
      <c r="K35" s="24" t="n"/>
      <c r="L35" s="23" t="n"/>
      <c r="M35" s="23" t="n"/>
      <c r="N35" s="23" t="n"/>
    </row>
    <row r="36">
      <c r="A36" s="23" t="n"/>
      <c r="B36" s="23" t="n"/>
      <c r="C36" s="23" t="n"/>
      <c r="D36" s="23" t="n"/>
      <c r="E36" s="24" t="n"/>
      <c r="F36" s="24" t="n"/>
      <c r="G36" s="23" t="n"/>
      <c r="H36" s="23" t="n"/>
      <c r="I36" s="24" t="n"/>
      <c r="J36" s="23" t="n"/>
      <c r="K36" s="24" t="n"/>
      <c r="L36" s="23" t="n"/>
      <c r="M36" s="23" t="n"/>
      <c r="N36" s="23" t="n"/>
    </row>
    <row r="37">
      <c r="A37" s="23" t="n"/>
      <c r="B37" s="23" t="n"/>
      <c r="C37" s="23" t="n"/>
      <c r="D37" s="23" t="n"/>
      <c r="E37" s="24" t="n"/>
      <c r="F37" s="24" t="n"/>
      <c r="G37" s="23" t="n"/>
      <c r="H37" s="23" t="n"/>
      <c r="I37" s="24" t="n"/>
      <c r="J37" s="23" t="n"/>
      <c r="K37" s="24" t="n"/>
      <c r="L37" s="23" t="n"/>
      <c r="M37" s="23" t="n"/>
      <c r="N37" s="23" t="n"/>
    </row>
    <row r="38">
      <c r="A38" s="23" t="n"/>
      <c r="B38" s="23" t="n"/>
      <c r="C38" s="23" t="n"/>
      <c r="D38" s="23" t="n"/>
      <c r="E38" s="24" t="n"/>
      <c r="F38" s="24" t="n"/>
      <c r="G38" s="23" t="n"/>
      <c r="H38" s="23" t="n"/>
      <c r="I38" s="24" t="n"/>
      <c r="J38" s="23" t="n"/>
      <c r="K38" s="24" t="n"/>
      <c r="L38" s="23" t="n"/>
      <c r="M38" s="23" t="n"/>
      <c r="N38" s="23" t="n"/>
    </row>
    <row r="39">
      <c r="A39" s="23" t="n"/>
      <c r="B39" s="23" t="n"/>
      <c r="C39" s="23" t="n"/>
      <c r="D39" s="23" t="n"/>
      <c r="E39" s="24" t="n"/>
      <c r="F39" s="24" t="n"/>
      <c r="G39" s="23" t="n"/>
      <c r="H39" s="23" t="n"/>
      <c r="I39" s="24" t="n"/>
      <c r="J39" s="23" t="n"/>
      <c r="K39" s="24" t="n"/>
      <c r="L39" s="23" t="n"/>
      <c r="M39" s="23" t="n"/>
      <c r="N39" s="23" t="n"/>
    </row>
    <row r="40">
      <c r="A40" s="23" t="n"/>
      <c r="B40" s="23" t="n"/>
      <c r="C40" s="23" t="n"/>
      <c r="D40" s="23" t="n"/>
      <c r="E40" s="24" t="n"/>
      <c r="F40" s="24" t="n"/>
      <c r="G40" s="23" t="n"/>
      <c r="H40" s="23" t="n"/>
      <c r="I40" s="24" t="n"/>
      <c r="J40" s="23" t="n"/>
      <c r="K40" s="24" t="n"/>
      <c r="L40" s="23" t="n"/>
      <c r="M40" s="23" t="n"/>
      <c r="N40" s="23" t="n"/>
    </row>
    <row r="41">
      <c r="A41" s="23" t="n"/>
      <c r="B41" s="23" t="n"/>
      <c r="C41" s="23" t="n"/>
      <c r="D41" s="23" t="n"/>
      <c r="E41" s="24" t="n"/>
      <c r="F41" s="24" t="n"/>
      <c r="G41" s="23" t="n"/>
      <c r="H41" s="23" t="n"/>
      <c r="I41" s="24" t="n"/>
      <c r="J41" s="23" t="n"/>
      <c r="K41" s="24" t="n"/>
      <c r="L41" s="23" t="n"/>
      <c r="M41" s="23" t="n"/>
      <c r="N41" s="23" t="n"/>
    </row>
    <row r="42">
      <c r="A42" s="23" t="n"/>
      <c r="B42" s="23" t="n"/>
      <c r="C42" s="23" t="n"/>
      <c r="D42" s="23" t="n"/>
      <c r="E42" s="24" t="n"/>
      <c r="F42" s="24" t="n"/>
      <c r="G42" s="23" t="n"/>
      <c r="H42" s="23" t="n"/>
      <c r="I42" s="24" t="n"/>
      <c r="J42" s="23" t="n"/>
      <c r="K42" s="24" t="n"/>
      <c r="L42" s="23" t="n"/>
      <c r="M42" s="23" t="n"/>
      <c r="N42" s="23" t="n"/>
    </row>
    <row r="43">
      <c r="A43" s="23" t="n"/>
      <c r="B43" s="23" t="n"/>
      <c r="C43" s="23" t="n"/>
      <c r="D43" s="23" t="n"/>
      <c r="E43" s="24" t="n"/>
      <c r="F43" s="24" t="n"/>
      <c r="G43" s="23" t="n"/>
      <c r="H43" s="23" t="n"/>
      <c r="I43" s="24" t="n"/>
      <c r="J43" s="23" t="n"/>
      <c r="K43" s="24" t="n"/>
      <c r="L43" s="23" t="n"/>
      <c r="M43" s="23" t="n"/>
      <c r="N43" s="23" t="n"/>
    </row>
    <row r="44">
      <c r="A44" s="23" t="n"/>
      <c r="B44" s="23" t="n"/>
      <c r="C44" s="23" t="n"/>
      <c r="D44" s="23" t="n"/>
      <c r="E44" s="24" t="n"/>
      <c r="F44" s="24" t="n"/>
      <c r="G44" s="23" t="n"/>
      <c r="H44" s="23" t="n"/>
      <c r="I44" s="24" t="n"/>
      <c r="J44" s="23" t="n"/>
      <c r="K44" s="24" t="n"/>
      <c r="L44" s="23" t="n"/>
      <c r="M44" s="23" t="n"/>
      <c r="N44" s="23" t="n"/>
    </row>
    <row r="45">
      <c r="A45" s="23" t="n"/>
      <c r="B45" s="23" t="n"/>
      <c r="C45" s="23" t="n"/>
      <c r="D45" s="23" t="n"/>
      <c r="E45" s="24" t="n"/>
      <c r="F45" s="24" t="n"/>
      <c r="G45" s="23" t="n"/>
      <c r="H45" s="23" t="n"/>
      <c r="I45" s="24" t="n"/>
      <c r="J45" s="23" t="n"/>
      <c r="K45" s="24" t="n"/>
      <c r="L45" s="23" t="n"/>
      <c r="M45" s="23" t="n"/>
      <c r="N45" s="23" t="n"/>
    </row>
    <row r="46">
      <c r="A46" s="23" t="n"/>
      <c r="B46" s="23" t="n"/>
      <c r="C46" s="23" t="n"/>
      <c r="D46" s="23" t="n"/>
      <c r="E46" s="24" t="n"/>
      <c r="F46" s="24" t="n"/>
      <c r="G46" s="23" t="n"/>
      <c r="H46" s="23" t="n"/>
      <c r="I46" s="24" t="n"/>
      <c r="J46" s="23" t="n"/>
      <c r="K46" s="24" t="n"/>
      <c r="L46" s="23" t="n"/>
      <c r="M46" s="23" t="n"/>
      <c r="N46" s="23" t="n"/>
    </row>
    <row r="47">
      <c r="A47" s="23" t="n"/>
      <c r="B47" s="23" t="n"/>
      <c r="C47" s="23" t="n"/>
      <c r="D47" s="23" t="n"/>
      <c r="E47" s="24" t="n"/>
      <c r="F47" s="24" t="n"/>
      <c r="G47" s="23" t="n"/>
      <c r="H47" s="23" t="n"/>
      <c r="I47" s="24" t="n"/>
      <c r="J47" s="23" t="n"/>
      <c r="K47" s="24" t="n"/>
      <c r="L47" s="23" t="n"/>
      <c r="M47" s="23" t="n"/>
      <c r="N47" s="23" t="n"/>
    </row>
    <row r="48">
      <c r="A48" s="23" t="n"/>
      <c r="B48" s="23" t="n"/>
      <c r="C48" s="23" t="n"/>
      <c r="D48" s="23" t="n"/>
      <c r="E48" s="24" t="n"/>
      <c r="F48" s="24" t="n"/>
      <c r="G48" s="23" t="n"/>
      <c r="H48" s="23" t="n"/>
      <c r="I48" s="24" t="n"/>
      <c r="J48" s="23" t="n"/>
      <c r="K48" s="24" t="n"/>
      <c r="L48" s="23" t="n"/>
      <c r="M48" s="23" t="n"/>
      <c r="N48" s="23" t="n"/>
    </row>
    <row r="49">
      <c r="A49" s="23" t="n"/>
      <c r="B49" s="23" t="n"/>
      <c r="C49" s="23" t="n"/>
      <c r="D49" s="23" t="n"/>
      <c r="E49" s="24" t="n"/>
      <c r="F49" s="24" t="n"/>
      <c r="G49" s="23" t="n"/>
      <c r="H49" s="23" t="n"/>
      <c r="I49" s="24" t="n"/>
      <c r="J49" s="23" t="n"/>
      <c r="K49" s="24" t="n"/>
      <c r="L49" s="23" t="n"/>
      <c r="M49" s="23" t="n"/>
      <c r="N49" s="23" t="n"/>
    </row>
    <row r="50">
      <c r="A50" s="23" t="n"/>
      <c r="B50" s="23" t="n"/>
      <c r="C50" s="23" t="n"/>
      <c r="D50" s="23" t="n"/>
      <c r="E50" s="24" t="n"/>
      <c r="F50" s="24" t="n"/>
      <c r="G50" s="23" t="n"/>
      <c r="H50" s="23" t="n"/>
      <c r="I50" s="24" t="n"/>
      <c r="J50" s="23" t="n"/>
      <c r="K50" s="24" t="n"/>
      <c r="L50" s="23" t="n"/>
      <c r="M50" s="23" t="n"/>
      <c r="N50" s="23" t="n"/>
    </row>
    <row r="51">
      <c r="A51" s="23" t="n"/>
      <c r="B51" s="23" t="n"/>
      <c r="C51" s="23" t="n"/>
      <c r="D51" s="23" t="n"/>
      <c r="E51" s="24" t="n"/>
      <c r="F51" s="24" t="n"/>
      <c r="G51" s="23" t="n"/>
      <c r="H51" s="23" t="n"/>
      <c r="I51" s="24" t="n"/>
      <c r="J51" s="23" t="n"/>
      <c r="K51" s="24" t="n"/>
      <c r="L51" s="23" t="n"/>
      <c r="M51" s="23" t="n"/>
      <c r="N51" s="23" t="n"/>
    </row>
    <row r="52">
      <c r="A52" s="23" t="n"/>
      <c r="B52" s="23" t="n"/>
      <c r="C52" s="23" t="n"/>
      <c r="D52" s="23" t="n"/>
      <c r="E52" s="24" t="n"/>
      <c r="F52" s="24" t="n"/>
      <c r="G52" s="23" t="n"/>
      <c r="H52" s="23" t="n"/>
      <c r="I52" s="24" t="n"/>
      <c r="J52" s="23" t="n"/>
      <c r="K52" s="24" t="n"/>
      <c r="L52" s="23" t="n"/>
      <c r="M52" s="23" t="n"/>
      <c r="N52" s="23" t="n"/>
    </row>
    <row r="53">
      <c r="A53" s="23" t="n"/>
      <c r="B53" s="23" t="n"/>
      <c r="C53" s="23" t="n"/>
      <c r="D53" s="23" t="n"/>
      <c r="E53" s="24" t="n"/>
      <c r="F53" s="24" t="n"/>
      <c r="G53" s="23" t="n"/>
      <c r="H53" s="23" t="n"/>
      <c r="I53" s="24" t="n"/>
      <c r="J53" s="23" t="n"/>
      <c r="K53" s="24" t="n"/>
      <c r="L53" s="23" t="n"/>
      <c r="M53" s="23" t="n"/>
      <c r="N53" s="23" t="n"/>
    </row>
    <row r="54">
      <c r="A54" s="23" t="n"/>
      <c r="B54" s="23" t="n"/>
      <c r="C54" s="23" t="n"/>
      <c r="D54" s="23" t="n"/>
      <c r="E54" s="24" t="n"/>
      <c r="F54" s="24" t="n"/>
      <c r="G54" s="23" t="n"/>
      <c r="H54" s="23" t="n"/>
      <c r="I54" s="24" t="n"/>
      <c r="J54" s="23" t="n"/>
      <c r="K54" s="24" t="n"/>
      <c r="L54" s="23" t="n"/>
      <c r="M54" s="23" t="n"/>
      <c r="N54" s="23" t="n"/>
    </row>
    <row r="55">
      <c r="A55" s="23" t="n"/>
      <c r="B55" s="23" t="n"/>
      <c r="C55" s="23" t="n"/>
      <c r="D55" s="23" t="n"/>
      <c r="E55" s="24" t="n"/>
      <c r="F55" s="24" t="n"/>
      <c r="G55" s="23" t="n"/>
      <c r="H55" s="23" t="n"/>
      <c r="I55" s="24" t="n"/>
      <c r="J55" s="23" t="n"/>
      <c r="K55" s="24" t="n"/>
      <c r="L55" s="23" t="n"/>
      <c r="M55" s="23" t="n"/>
      <c r="N55" s="23" t="n"/>
    </row>
    <row r="56">
      <c r="A56" s="23" t="n"/>
      <c r="B56" s="23" t="n"/>
      <c r="C56" s="23" t="n"/>
      <c r="D56" s="23" t="n"/>
      <c r="E56" s="24" t="n"/>
      <c r="F56" s="24" t="n"/>
      <c r="G56" s="23" t="n"/>
      <c r="H56" s="23" t="n"/>
      <c r="I56" s="24" t="n"/>
      <c r="J56" s="23" t="n"/>
      <c r="K56" s="24" t="n"/>
      <c r="L56" s="23" t="n"/>
      <c r="M56" s="23" t="n"/>
      <c r="N56" s="23" t="n"/>
    </row>
    <row r="57">
      <c r="A57" s="23" t="n"/>
      <c r="B57" s="23" t="n"/>
      <c r="C57" s="23" t="n"/>
      <c r="D57" s="23" t="n"/>
      <c r="E57" s="24" t="n"/>
      <c r="F57" s="24" t="n"/>
      <c r="G57" s="23" t="n"/>
      <c r="H57" s="23" t="n"/>
      <c r="I57" s="24" t="n"/>
      <c r="J57" s="23" t="n"/>
      <c r="K57" s="24" t="n"/>
      <c r="L57" s="23" t="n"/>
      <c r="M57" s="23" t="n"/>
      <c r="N57" s="23" t="n"/>
    </row>
    <row r="58">
      <c r="A58" s="23" t="n"/>
      <c r="B58" s="23" t="n"/>
      <c r="C58" s="23" t="n"/>
      <c r="D58" s="23" t="n"/>
      <c r="E58" s="24" t="n"/>
      <c r="F58" s="24" t="n"/>
      <c r="G58" s="23" t="n"/>
      <c r="H58" s="23" t="n"/>
      <c r="I58" s="24" t="n"/>
      <c r="J58" s="23" t="n"/>
      <c r="K58" s="24" t="n"/>
      <c r="L58" s="23" t="n"/>
      <c r="M58" s="23" t="n"/>
      <c r="N58" s="23" t="n"/>
    </row>
    <row r="59">
      <c r="A59" s="23" t="n"/>
      <c r="B59" s="23" t="n"/>
      <c r="C59" s="23" t="n"/>
      <c r="D59" s="23" t="n"/>
      <c r="E59" s="24" t="n"/>
      <c r="F59" s="24" t="n"/>
      <c r="G59" s="23" t="n"/>
      <c r="H59" s="23" t="n"/>
      <c r="I59" s="24" t="n"/>
      <c r="J59" s="23" t="n"/>
      <c r="K59" s="24" t="n"/>
      <c r="L59" s="23" t="n"/>
      <c r="M59" s="23" t="n"/>
      <c r="N59" s="23" t="n"/>
    </row>
    <row r="60">
      <c r="A60" s="23" t="n"/>
      <c r="B60" s="23" t="n"/>
      <c r="C60" s="23" t="n"/>
      <c r="D60" s="23" t="n"/>
      <c r="E60" s="24" t="n"/>
      <c r="F60" s="24" t="n"/>
      <c r="G60" s="23" t="n"/>
      <c r="H60" s="23" t="n"/>
      <c r="I60" s="24" t="n"/>
      <c r="J60" s="23" t="n"/>
      <c r="K60" s="24" t="n"/>
      <c r="L60" s="23" t="n"/>
      <c r="M60" s="23" t="n"/>
      <c r="N60" s="23" t="n"/>
    </row>
    <row r="61">
      <c r="A61" s="23" t="n"/>
      <c r="B61" s="23" t="n"/>
      <c r="C61" s="23" t="n"/>
      <c r="D61" s="23" t="n"/>
      <c r="E61" s="24" t="n"/>
      <c r="F61" s="24" t="n"/>
      <c r="G61" s="23" t="n"/>
      <c r="H61" s="23" t="n"/>
      <c r="I61" s="24" t="n"/>
      <c r="J61" s="23" t="n"/>
      <c r="K61" s="24" t="n"/>
      <c r="L61" s="23" t="n"/>
      <c r="M61" s="23" t="n"/>
      <c r="N61" s="23" t="n"/>
    </row>
    <row r="62">
      <c r="A62" s="23" t="n"/>
      <c r="B62" s="23" t="n"/>
      <c r="C62" s="23" t="n"/>
      <c r="D62" s="23" t="n"/>
      <c r="E62" s="24" t="n"/>
      <c r="F62" s="24" t="n"/>
      <c r="G62" s="23" t="n"/>
      <c r="H62" s="23" t="n"/>
      <c r="I62" s="24" t="n"/>
      <c r="J62" s="23" t="n"/>
      <c r="K62" s="24" t="n"/>
      <c r="L62" s="23" t="n"/>
      <c r="M62" s="23" t="n"/>
      <c r="N62" s="23" t="n"/>
    </row>
    <row r="63">
      <c r="A63" s="23" t="n"/>
      <c r="B63" s="23" t="n"/>
      <c r="C63" s="23" t="n"/>
      <c r="D63" s="23" t="n"/>
      <c r="E63" s="24" t="n"/>
      <c r="F63" s="24" t="n"/>
      <c r="G63" s="23" t="n"/>
      <c r="H63" s="23" t="n"/>
      <c r="I63" s="24" t="n"/>
      <c r="J63" s="23" t="n"/>
      <c r="K63" s="24" t="n"/>
      <c r="L63" s="23" t="n"/>
      <c r="M63" s="23" t="n"/>
      <c r="N63" s="23" t="n"/>
    </row>
    <row r="64">
      <c r="A64" s="23" t="n"/>
      <c r="B64" s="23" t="n"/>
      <c r="C64" s="23" t="n"/>
      <c r="D64" s="23" t="n"/>
      <c r="E64" s="24" t="n"/>
      <c r="F64" s="24" t="n"/>
      <c r="G64" s="23" t="n"/>
      <c r="H64" s="23" t="n"/>
      <c r="I64" s="24" t="n"/>
      <c r="J64" s="23" t="n"/>
      <c r="K64" s="24" t="n"/>
      <c r="L64" s="23" t="n"/>
      <c r="M64" s="23" t="n"/>
      <c r="N64" s="23" t="n"/>
    </row>
    <row r="65">
      <c r="A65" s="23" t="n"/>
      <c r="B65" s="23" t="n"/>
      <c r="C65" s="23" t="n"/>
      <c r="D65" s="23" t="n"/>
      <c r="E65" s="24" t="n"/>
      <c r="F65" s="24" t="n"/>
      <c r="G65" s="23" t="n"/>
      <c r="H65" s="23" t="n"/>
      <c r="I65" s="24" t="n"/>
      <c r="J65" s="23" t="n"/>
      <c r="K65" s="24" t="n"/>
      <c r="L65" s="23" t="n"/>
      <c r="M65" s="23" t="n"/>
      <c r="N65" s="23" t="n"/>
    </row>
    <row r="66">
      <c r="A66" s="23" t="n"/>
      <c r="B66" s="23" t="n"/>
      <c r="C66" s="23" t="n"/>
      <c r="D66" s="23" t="n"/>
      <c r="E66" s="24" t="n"/>
      <c r="F66" s="24" t="n"/>
      <c r="G66" s="23" t="n"/>
      <c r="H66" s="23" t="n"/>
      <c r="I66" s="24" t="n"/>
      <c r="J66" s="23" t="n"/>
      <c r="K66" s="24" t="n"/>
      <c r="L66" s="23" t="n"/>
      <c r="M66" s="23" t="n"/>
      <c r="N66" s="23" t="n"/>
    </row>
    <row r="67">
      <c r="A67" s="23" t="n"/>
      <c r="B67" s="23" t="n"/>
      <c r="C67" s="23" t="n"/>
      <c r="D67" s="23" t="n"/>
      <c r="E67" s="24" t="n"/>
      <c r="F67" s="24" t="n"/>
      <c r="G67" s="23" t="n"/>
      <c r="H67" s="23" t="n"/>
      <c r="I67" s="24" t="n"/>
      <c r="J67" s="23" t="n"/>
      <c r="K67" s="24" t="n"/>
      <c r="L67" s="23" t="n"/>
      <c r="M67" s="23" t="n"/>
      <c r="N67" s="23" t="n"/>
    </row>
    <row r="68">
      <c r="A68" s="23" t="n"/>
      <c r="B68" s="23" t="n"/>
      <c r="C68" s="23" t="n"/>
      <c r="D68" s="23" t="n"/>
      <c r="E68" s="24" t="n"/>
      <c r="F68" s="24" t="n"/>
      <c r="G68" s="23" t="n"/>
      <c r="H68" s="23" t="n"/>
      <c r="I68" s="24" t="n"/>
      <c r="J68" s="23" t="n"/>
      <c r="K68" s="24" t="n"/>
      <c r="L68" s="23" t="n"/>
      <c r="M68" s="23" t="n"/>
      <c r="N68" s="23" t="n"/>
    </row>
    <row r="69">
      <c r="A69" s="23" t="n"/>
      <c r="B69" s="23" t="n"/>
      <c r="C69" s="23" t="n"/>
      <c r="D69" s="23" t="n"/>
      <c r="E69" s="24" t="n"/>
      <c r="F69" s="24" t="n"/>
      <c r="G69" s="23" t="n"/>
      <c r="H69" s="23" t="n"/>
      <c r="I69" s="24" t="n"/>
      <c r="J69" s="23" t="n"/>
      <c r="K69" s="24" t="n"/>
      <c r="L69" s="23" t="n"/>
      <c r="M69" s="23" t="n"/>
      <c r="N69" s="23" t="n"/>
    </row>
    <row r="70">
      <c r="A70" s="23" t="n"/>
      <c r="B70" s="23" t="n"/>
      <c r="C70" s="23" t="n"/>
      <c r="D70" s="23" t="n"/>
      <c r="E70" s="24" t="n"/>
      <c r="F70" s="24" t="n"/>
      <c r="G70" s="23" t="n"/>
      <c r="H70" s="23" t="n"/>
      <c r="I70" s="24" t="n"/>
      <c r="J70" s="23" t="n"/>
      <c r="K70" s="24" t="n"/>
      <c r="L70" s="23" t="n"/>
      <c r="M70" s="23" t="n"/>
      <c r="N70" s="23" t="n"/>
    </row>
    <row r="71">
      <c r="A71" s="23" t="n"/>
      <c r="B71" s="23" t="n"/>
      <c r="C71" s="23" t="n"/>
      <c r="D71" s="23" t="n"/>
      <c r="E71" s="24" t="n"/>
      <c r="F71" s="24" t="n"/>
      <c r="G71" s="23" t="n"/>
      <c r="H71" s="23" t="n"/>
      <c r="I71" s="24" t="n"/>
      <c r="J71" s="23" t="n"/>
      <c r="K71" s="24" t="n"/>
      <c r="L71" s="23" t="n"/>
      <c r="M71" s="23" t="n"/>
      <c r="N71" s="23" t="n"/>
    </row>
    <row r="72">
      <c r="A72" s="23" t="n"/>
      <c r="B72" s="23" t="n"/>
      <c r="C72" s="23" t="n"/>
      <c r="D72" s="23" t="n"/>
      <c r="E72" s="24" t="n"/>
      <c r="F72" s="24" t="n"/>
      <c r="G72" s="23" t="n"/>
      <c r="H72" s="23" t="n"/>
      <c r="I72" s="24" t="n"/>
      <c r="J72" s="23" t="n"/>
      <c r="K72" s="24" t="n"/>
      <c r="L72" s="23" t="n"/>
      <c r="M72" s="23" t="n"/>
      <c r="N72" s="23" t="n"/>
    </row>
    <row r="73">
      <c r="A73" s="23" t="n"/>
      <c r="B73" s="23" t="n"/>
      <c r="C73" s="23" t="n"/>
      <c r="D73" s="23" t="n"/>
      <c r="E73" s="24" t="n"/>
      <c r="F73" s="24" t="n"/>
      <c r="G73" s="23" t="n"/>
      <c r="H73" s="23" t="n"/>
      <c r="I73" s="24" t="n"/>
      <c r="J73" s="23" t="n"/>
      <c r="K73" s="24" t="n"/>
      <c r="L73" s="23" t="n"/>
      <c r="M73" s="23" t="n"/>
      <c r="N73" s="23" t="n"/>
    </row>
    <row r="74">
      <c r="A74" s="23" t="n"/>
      <c r="B74" s="23" t="n"/>
      <c r="C74" s="23" t="n"/>
      <c r="D74" s="23" t="n"/>
      <c r="E74" s="24" t="n"/>
      <c r="F74" s="24" t="n"/>
      <c r="G74" s="23" t="n"/>
      <c r="H74" s="23" t="n"/>
      <c r="I74" s="24" t="n"/>
      <c r="J74" s="23" t="n"/>
      <c r="K74" s="24" t="n"/>
      <c r="L74" s="23" t="n"/>
      <c r="M74" s="23" t="n"/>
      <c r="N74" s="23" t="n"/>
    </row>
    <row r="75">
      <c r="A75" s="23" t="n"/>
      <c r="B75" s="23" t="n"/>
      <c r="C75" s="23" t="n"/>
      <c r="D75" s="23" t="n"/>
      <c r="E75" s="24" t="n"/>
      <c r="F75" s="24" t="n"/>
      <c r="G75" s="23" t="n"/>
      <c r="H75" s="23" t="n"/>
      <c r="I75" s="24" t="n"/>
      <c r="J75" s="23" t="n"/>
      <c r="K75" s="24" t="n"/>
      <c r="L75" s="23" t="n"/>
      <c r="M75" s="23" t="n"/>
      <c r="N75" s="23" t="n"/>
    </row>
    <row r="76">
      <c r="A76" s="23" t="n"/>
      <c r="B76" s="23" t="n"/>
      <c r="C76" s="23" t="n"/>
      <c r="D76" s="23" t="n"/>
      <c r="E76" s="24" t="n"/>
      <c r="F76" s="24" t="n"/>
      <c r="G76" s="23" t="n"/>
      <c r="H76" s="23" t="n"/>
      <c r="I76" s="24" t="n"/>
      <c r="J76" s="23" t="n"/>
      <c r="K76" s="24" t="n"/>
      <c r="L76" s="23" t="n"/>
      <c r="M76" s="23" t="n"/>
      <c r="N76" s="23" t="n"/>
    </row>
    <row r="77">
      <c r="A77" s="23" t="n"/>
      <c r="B77" s="23" t="n"/>
      <c r="C77" s="23" t="n"/>
      <c r="D77" s="23" t="n"/>
      <c r="E77" s="24" t="n"/>
      <c r="F77" s="24" t="n"/>
      <c r="G77" s="23" t="n"/>
      <c r="H77" s="23" t="n"/>
      <c r="I77" s="24" t="n"/>
      <c r="J77" s="23" t="n"/>
      <c r="K77" s="24" t="n"/>
      <c r="L77" s="23" t="n"/>
      <c r="M77" s="23" t="n"/>
      <c r="N77" s="23" t="n"/>
    </row>
    <row r="78">
      <c r="A78" s="23" t="n"/>
      <c r="B78" s="23" t="n"/>
      <c r="C78" s="23" t="n"/>
      <c r="D78" s="23" t="n"/>
      <c r="E78" s="24" t="n"/>
      <c r="F78" s="24" t="n"/>
      <c r="G78" s="23" t="n"/>
      <c r="H78" s="23" t="n"/>
      <c r="I78" s="24" t="n"/>
      <c r="J78" s="23" t="n"/>
      <c r="K78" s="24" t="n"/>
      <c r="L78" s="23" t="n"/>
      <c r="M78" s="23" t="n"/>
      <c r="N78" s="23" t="n"/>
    </row>
    <row r="79">
      <c r="A79" s="23" t="n"/>
      <c r="B79" s="23" t="n"/>
      <c r="C79" s="23" t="n"/>
      <c r="D79" s="23" t="n"/>
      <c r="E79" s="24" t="n"/>
      <c r="F79" s="24" t="n"/>
      <c r="G79" s="23" t="n"/>
      <c r="H79" s="23" t="n"/>
      <c r="I79" s="24" t="n"/>
      <c r="J79" s="23" t="n"/>
      <c r="K79" s="24" t="n"/>
      <c r="L79" s="23" t="n"/>
      <c r="M79" s="23" t="n"/>
      <c r="N79" s="23" t="n"/>
    </row>
    <row r="80">
      <c r="A80" s="23" t="n"/>
      <c r="B80" s="23" t="n"/>
      <c r="C80" s="23" t="n"/>
      <c r="D80" s="23" t="n"/>
      <c r="E80" s="24" t="n"/>
      <c r="F80" s="24" t="n"/>
      <c r="G80" s="23" t="n"/>
      <c r="H80" s="23" t="n"/>
      <c r="I80" s="24" t="n"/>
      <c r="J80" s="23" t="n"/>
      <c r="K80" s="24" t="n"/>
      <c r="L80" s="23" t="n"/>
      <c r="M80" s="23" t="n"/>
      <c r="N80" s="23" t="n"/>
    </row>
    <row r="81">
      <c r="A81" s="23" t="n"/>
      <c r="B81" s="23" t="n"/>
      <c r="C81" s="23" t="n"/>
      <c r="D81" s="23" t="n"/>
      <c r="E81" s="24" t="n"/>
      <c r="F81" s="24" t="n"/>
      <c r="G81" s="23" t="n"/>
      <c r="H81" s="23" t="n"/>
      <c r="I81" s="24" t="n"/>
      <c r="J81" s="23" t="n"/>
      <c r="K81" s="24" t="n"/>
      <c r="L81" s="23" t="n"/>
      <c r="M81" s="23" t="n"/>
      <c r="N81" s="23" t="n"/>
    </row>
    <row r="82">
      <c r="A82" s="23" t="n"/>
      <c r="B82" s="23" t="n"/>
      <c r="C82" s="23" t="n"/>
      <c r="D82" s="23" t="n"/>
      <c r="E82" s="24" t="n"/>
      <c r="F82" s="24" t="n"/>
      <c r="G82" s="23" t="n"/>
      <c r="H82" s="23" t="n"/>
      <c r="I82" s="24" t="n"/>
      <c r="J82" s="23" t="n"/>
      <c r="K82" s="24" t="n"/>
      <c r="L82" s="23" t="n"/>
      <c r="M82" s="23" t="n"/>
      <c r="N82" s="23" t="n"/>
    </row>
    <row r="83">
      <c r="A83" s="23" t="n"/>
      <c r="B83" s="23" t="n"/>
      <c r="C83" s="23" t="n"/>
      <c r="D83" s="23" t="n"/>
      <c r="E83" s="24" t="n"/>
      <c r="F83" s="24" t="n"/>
      <c r="G83" s="23" t="n"/>
      <c r="H83" s="23" t="n"/>
      <c r="I83" s="24" t="n"/>
      <c r="J83" s="23" t="n"/>
      <c r="K83" s="24" t="n"/>
      <c r="L83" s="23" t="n"/>
      <c r="M83" s="23" t="n"/>
      <c r="N83" s="23" t="n"/>
    </row>
    <row r="84">
      <c r="A84" s="23" t="n"/>
      <c r="B84" s="23" t="n"/>
      <c r="C84" s="23" t="n"/>
      <c r="D84" s="23" t="n"/>
      <c r="E84" s="24" t="n"/>
      <c r="F84" s="24" t="n"/>
      <c r="G84" s="23" t="n"/>
      <c r="H84" s="23" t="n"/>
      <c r="I84" s="24" t="n"/>
      <c r="J84" s="23" t="n"/>
      <c r="K84" s="24" t="n"/>
      <c r="L84" s="23" t="n"/>
      <c r="M84" s="23" t="n"/>
      <c r="N84" s="23" t="n"/>
    </row>
    <row r="85">
      <c r="A85" s="23" t="n"/>
      <c r="B85" s="23" t="n"/>
      <c r="C85" s="23" t="n"/>
      <c r="D85" s="23" t="n"/>
      <c r="E85" s="24" t="n"/>
      <c r="F85" s="24" t="n"/>
      <c r="G85" s="23" t="n"/>
      <c r="H85" s="23" t="n"/>
      <c r="I85" s="24" t="n"/>
      <c r="J85" s="23" t="n"/>
      <c r="K85" s="24" t="n"/>
      <c r="L85" s="23" t="n"/>
      <c r="M85" s="23" t="n"/>
      <c r="N85" s="23" t="n"/>
    </row>
    <row r="86">
      <c r="A86" s="23" t="n"/>
      <c r="B86" s="23" t="n"/>
      <c r="C86" s="23" t="n"/>
      <c r="D86" s="23" t="n"/>
      <c r="E86" s="24" t="n"/>
      <c r="F86" s="24" t="n"/>
      <c r="G86" s="23" t="n"/>
      <c r="H86" s="23" t="n"/>
      <c r="I86" s="24" t="n"/>
      <c r="J86" s="23" t="n"/>
      <c r="K86" s="24" t="n"/>
      <c r="L86" s="23" t="n"/>
      <c r="M86" s="23" t="n"/>
      <c r="N86" s="23" t="n"/>
    </row>
    <row r="87">
      <c r="A87" s="23" t="n"/>
      <c r="B87" s="23" t="n"/>
      <c r="C87" s="23" t="n"/>
      <c r="D87" s="23" t="n"/>
      <c r="E87" s="24" t="n"/>
      <c r="F87" s="24" t="n"/>
      <c r="G87" s="23" t="n"/>
      <c r="H87" s="23" t="n"/>
      <c r="I87" s="24" t="n"/>
      <c r="J87" s="23" t="n"/>
      <c r="K87" s="24" t="n"/>
      <c r="L87" s="23" t="n"/>
      <c r="M87" s="23" t="n"/>
      <c r="N87" s="23" t="n"/>
    </row>
    <row r="88">
      <c r="A88" s="23" t="n"/>
      <c r="B88" s="23" t="n"/>
      <c r="C88" s="23" t="n"/>
      <c r="D88" s="23" t="n"/>
      <c r="E88" s="24" t="n"/>
      <c r="F88" s="24" t="n"/>
      <c r="G88" s="23" t="n"/>
      <c r="H88" s="23" t="n"/>
      <c r="I88" s="24" t="n"/>
      <c r="J88" s="23" t="n"/>
      <c r="K88" s="24" t="n"/>
      <c r="L88" s="23" t="n"/>
      <c r="M88" s="23" t="n"/>
      <c r="N88" s="23" t="n"/>
    </row>
    <row r="89">
      <c r="A89" s="23" t="n"/>
      <c r="B89" s="23" t="n"/>
      <c r="C89" s="23" t="n"/>
      <c r="D89" s="23" t="n"/>
      <c r="E89" s="24" t="n"/>
      <c r="F89" s="24" t="n"/>
      <c r="G89" s="23" t="n"/>
      <c r="H89" s="23" t="n"/>
      <c r="I89" s="24" t="n"/>
      <c r="J89" s="23" t="n"/>
      <c r="K89" s="24" t="n"/>
      <c r="L89" s="23" t="n"/>
      <c r="M89" s="23" t="n"/>
      <c r="N89" s="23" t="n"/>
    </row>
    <row r="90">
      <c r="A90" s="23" t="n"/>
      <c r="B90" s="23" t="n"/>
      <c r="C90" s="23" t="n"/>
      <c r="D90" s="23" t="n"/>
      <c r="E90" s="24" t="n"/>
      <c r="F90" s="24" t="n"/>
      <c r="G90" s="23" t="n"/>
      <c r="H90" s="23" t="n"/>
      <c r="I90" s="24" t="n"/>
      <c r="J90" s="23" t="n"/>
      <c r="K90" s="24" t="n"/>
      <c r="L90" s="23" t="n"/>
      <c r="M90" s="23" t="n"/>
      <c r="N90" s="23" t="n"/>
    </row>
    <row r="91">
      <c r="A91" s="23" t="n"/>
      <c r="B91" s="23" t="n"/>
      <c r="C91" s="23" t="n"/>
      <c r="D91" s="23" t="n"/>
      <c r="E91" s="24" t="n"/>
      <c r="F91" s="24" t="n"/>
      <c r="G91" s="23" t="n"/>
      <c r="H91" s="23" t="n"/>
      <c r="I91" s="24" t="n"/>
      <c r="J91" s="23" t="n"/>
      <c r="K91" s="24" t="n"/>
      <c r="L91" s="23" t="n"/>
      <c r="M91" s="23" t="n"/>
      <c r="N91" s="23" t="n"/>
    </row>
    <row r="92">
      <c r="A92" s="23" t="n"/>
      <c r="B92" s="23" t="n"/>
      <c r="C92" s="23" t="n"/>
      <c r="D92" s="23" t="n"/>
      <c r="E92" s="24" t="n"/>
      <c r="F92" s="24" t="n"/>
      <c r="G92" s="23" t="n"/>
      <c r="H92" s="23" t="n"/>
      <c r="I92" s="24" t="n"/>
      <c r="J92" s="23" t="n"/>
      <c r="K92" s="24" t="n"/>
      <c r="L92" s="23" t="n"/>
      <c r="M92" s="23" t="n"/>
      <c r="N92" s="23" t="n"/>
    </row>
    <row r="93">
      <c r="A93" s="23" t="n"/>
      <c r="B93" s="23" t="n"/>
      <c r="C93" s="23" t="n"/>
      <c r="D93" s="23" t="n"/>
      <c r="E93" s="24" t="n"/>
      <c r="F93" s="24" t="n"/>
      <c r="G93" s="23" t="n"/>
      <c r="H93" s="23" t="n"/>
      <c r="I93" s="24" t="n"/>
      <c r="J93" s="23" t="n"/>
      <c r="K93" s="24" t="n"/>
      <c r="L93" s="23" t="n"/>
      <c r="M93" s="23" t="n"/>
      <c r="N93" s="23" t="n"/>
    </row>
    <row r="94">
      <c r="A94" s="23" t="n"/>
      <c r="B94" s="23" t="n"/>
      <c r="C94" s="23" t="n"/>
      <c r="D94" s="23" t="n"/>
      <c r="E94" s="24" t="n"/>
      <c r="F94" s="24" t="n"/>
      <c r="G94" s="23" t="n"/>
      <c r="H94" s="23" t="n"/>
      <c r="I94" s="24" t="n"/>
      <c r="J94" s="23" t="n"/>
      <c r="K94" s="24" t="n"/>
      <c r="L94" s="23" t="n"/>
      <c r="M94" s="23" t="n"/>
      <c r="N94" s="23" t="n"/>
    </row>
    <row r="95">
      <c r="A95" s="23" t="n"/>
      <c r="B95" s="23" t="n"/>
      <c r="C95" s="23" t="n"/>
      <c r="D95" s="23" t="n"/>
      <c r="E95" s="24" t="n"/>
      <c r="F95" s="24" t="n"/>
      <c r="G95" s="23" t="n"/>
      <c r="H95" s="23" t="n"/>
      <c r="I95" s="24" t="n"/>
      <c r="J95" s="23" t="n"/>
      <c r="K95" s="24" t="n"/>
      <c r="L95" s="23" t="n"/>
      <c r="M95" s="23" t="n"/>
      <c r="N95" s="23" t="n"/>
    </row>
    <row r="96">
      <c r="A96" s="23" t="n"/>
      <c r="B96" s="23" t="n"/>
      <c r="C96" s="23" t="n"/>
      <c r="D96" s="23" t="n"/>
      <c r="E96" s="24" t="n"/>
      <c r="F96" s="24" t="n"/>
      <c r="G96" s="23" t="n"/>
      <c r="H96" s="23" t="n"/>
      <c r="I96" s="24" t="n"/>
      <c r="J96" s="23" t="n"/>
      <c r="K96" s="24" t="n"/>
      <c r="L96" s="23" t="n"/>
      <c r="M96" s="23" t="n"/>
      <c r="N96" s="23" t="n"/>
    </row>
    <row r="97">
      <c r="A97" s="23" t="n"/>
      <c r="B97" s="23" t="n"/>
      <c r="C97" s="23" t="n"/>
      <c r="D97" s="23" t="n"/>
      <c r="E97" s="24" t="n"/>
      <c r="F97" s="24" t="n"/>
      <c r="G97" s="23" t="n"/>
      <c r="H97" s="23" t="n"/>
      <c r="I97" s="24" t="n"/>
      <c r="J97" s="23" t="n"/>
      <c r="K97" s="24" t="n"/>
      <c r="L97" s="23" t="n"/>
      <c r="M97" s="23" t="n"/>
      <c r="N97" s="23" t="n"/>
    </row>
    <row r="98">
      <c r="A98" s="23" t="n"/>
      <c r="B98" s="23" t="n"/>
      <c r="C98" s="23" t="n"/>
      <c r="D98" s="23" t="n"/>
      <c r="E98" s="24" t="n"/>
      <c r="F98" s="24" t="n"/>
      <c r="G98" s="23" t="n"/>
      <c r="H98" s="23" t="n"/>
      <c r="I98" s="24" t="n"/>
      <c r="J98" s="23" t="n"/>
      <c r="K98" s="24" t="n"/>
      <c r="L98" s="23" t="n"/>
      <c r="M98" s="23" t="n"/>
      <c r="N98" s="23" t="n"/>
    </row>
    <row r="99">
      <c r="A99" s="23" t="n"/>
      <c r="B99" s="23" t="n"/>
      <c r="C99" s="23" t="n"/>
      <c r="D99" s="23" t="n"/>
      <c r="E99" s="24" t="n"/>
      <c r="F99" s="24" t="n"/>
      <c r="G99" s="23" t="n"/>
      <c r="H99" s="23" t="n"/>
      <c r="I99" s="24" t="n"/>
      <c r="J99" s="23" t="n"/>
      <c r="K99" s="24" t="n"/>
      <c r="L99" s="23" t="n"/>
      <c r="M99" s="23" t="n"/>
      <c r="N99" s="23" t="n"/>
    </row>
    <row r="100">
      <c r="A100" s="23" t="n"/>
      <c r="B100" s="23" t="n"/>
      <c r="C100" s="23" t="n"/>
      <c r="D100" s="23" t="n"/>
      <c r="E100" s="24" t="n"/>
      <c r="F100" s="24" t="n"/>
      <c r="G100" s="23" t="n"/>
      <c r="H100" s="23" t="n"/>
      <c r="I100" s="24" t="n"/>
      <c r="J100" s="23" t="n"/>
      <c r="K100" s="24" t="n"/>
      <c r="L100" s="23" t="n"/>
      <c r="M100" s="23" t="n"/>
      <c r="N100" s="23" t="n"/>
    </row>
    <row r="105" ht="30" customHeight="1">
      <c r="A105" s="25" t="inlineStr">
        <is>
          <t>EXIT STRATEGY REVIEW COMPLIANCE CHECKLIST</t>
        </is>
      </c>
    </row>
    <row r="106" ht="22" customHeight="1">
      <c r="A106" s="26" t="inlineStr">
        <is>
          <t>1. ✅ Exit strategy review completed for all Critical/High services (annual)</t>
        </is>
      </c>
    </row>
    <row r="107" ht="22" customHeight="1">
      <c r="A107" s="26" t="inlineStr">
        <is>
          <t>2. ✅ Review dates scheduled for all services</t>
        </is>
      </c>
    </row>
    <row r="108" ht="22" customHeight="1">
      <c r="A108" s="26" t="inlineStr">
        <is>
          <t>3. ✅ Review status tracked (Current/Overdue/In Progress)</t>
        </is>
      </c>
    </row>
    <row r="109" ht="22" customHeight="1">
      <c r="A109" s="26" t="inlineStr">
        <is>
          <t>4. ✅ PoC testing completed for Critical services (DORA Art. 28.6)</t>
        </is>
      </c>
    </row>
    <row r="110" ht="22" customHeight="1">
      <c r="A110" s="26" t="inlineStr">
        <is>
          <t>5. ✅ PoC test results documented (Pass/Fail)</t>
        </is>
      </c>
    </row>
    <row r="111" ht="22" customHeight="1">
      <c r="A111" s="26" t="inlineStr">
        <is>
          <t>6. ✅ PoC testing scheduled annually (12-month cycle)</t>
        </is>
      </c>
    </row>
    <row r="112" ht="22" customHeight="1">
      <c r="A112" s="26" t="inlineStr">
        <is>
          <t>7. ✅ Exit strategy changes documented with justification</t>
        </is>
      </c>
    </row>
    <row r="113" ht="22" customHeight="1">
      <c r="A113" s="26" t="inlineStr">
        <is>
          <t>8. ✅ On-Premises selections validated by CISO (TCO analysis)</t>
        </is>
      </c>
    </row>
    <row r="114" ht="22" customHeight="1">
      <c r="A114" s="26" t="inlineStr">
        <is>
          <t>9. ✅ Alternative providers still viable (market check)</t>
        </is>
      </c>
    </row>
    <row r="115" ht="22" customHeight="1">
      <c r="A115" s="26" t="inlineStr">
        <is>
          <t>10. ✅ Migration complexity reassessed (technology changes)</t>
        </is>
      </c>
    </row>
    <row r="116" ht="22" customHeight="1">
      <c r="A116" s="26" t="inlineStr">
        <is>
          <t>11. ✅ Lock-in risk status verified (new integrations?)</t>
        </is>
      </c>
    </row>
    <row r="117" ht="22" customHeight="1">
      <c r="A117" s="26" t="inlineStr">
        <is>
          <t>12. ✅ Data export capability still functional (tested annually)</t>
        </is>
      </c>
    </row>
    <row r="118" ht="22" customHeight="1">
      <c r="A118" s="26" t="inlineStr">
        <is>
          <t>13. ✅ Reviewer names and dates recorded</t>
        </is>
      </c>
    </row>
    <row r="119" ht="22" customHeight="1">
      <c r="A119" s="26" t="inlineStr">
        <is>
          <t>14. ✅ Notes document any concerns or changes</t>
        </is>
      </c>
    </row>
    <row r="120" ht="22" customHeight="1">
      <c r="A120" s="26" t="inlineStr">
        <is>
          <t>15. ✅ Results reported to CISO/Risk Committee quarterly</t>
        </is>
      </c>
    </row>
    <row r="125" ht="25" customHeight="1">
      <c r="A125" s="27" t="inlineStr">
        <is>
          <t>EXIT STRATEGY REVIEW GUIDANCE</t>
        </is>
      </c>
    </row>
    <row r="126" ht="18" customHeight="1">
      <c r="A126" s="26" t="inlineStr"/>
    </row>
    <row r="127" ht="18" customHeight="1">
      <c r="A127" s="26" t="inlineStr">
        <is>
          <t>🎯 REVIEW FREQUENCY (POL-S5 Section 8):</t>
        </is>
      </c>
    </row>
    <row r="128" ht="18" customHeight="1">
      <c r="A128" s="26" t="inlineStr">
        <is>
          <t xml:space="preserve">   • Critical services: Annual review MANDATORY</t>
        </is>
      </c>
    </row>
    <row r="129" ht="18" customHeight="1">
      <c r="A129" s="26" t="inlineStr">
        <is>
          <t xml:space="preserve">   • High services: Annual review RECOMMENDED</t>
        </is>
      </c>
    </row>
    <row r="130" ht="18" customHeight="1">
      <c r="A130" s="26" t="inlineStr">
        <is>
          <t xml:space="preserve">   • Medium/Low services: Review as needed (when contract renewal, major change, or incident)</t>
        </is>
      </c>
    </row>
    <row r="131" ht="18" customHeight="1">
      <c r="A131" s="26" t="inlineStr"/>
    </row>
    <row r="132" ht="18" customHeight="1">
      <c r="A132" s="26" t="inlineStr">
        <is>
          <t>🛡 DORA COMPLIANCE (Article 28.6) - Financial Sector:</t>
        </is>
      </c>
    </row>
    <row r="133" ht="18" customHeight="1">
      <c r="A133" s="26" t="inlineStr">
        <is>
          <t xml:space="preserve">   • Annual PoC testing REQUIRED for critical ICT third-party providers</t>
        </is>
      </c>
    </row>
    <row r="134" ht="18" customHeight="1">
      <c r="A134" s="26" t="inlineStr">
        <is>
          <t xml:space="preserve">   • Test must demonstrate ability to exit service if needed</t>
        </is>
      </c>
    </row>
    <row r="135" ht="18" customHeight="1">
      <c r="A135" s="26" t="inlineStr">
        <is>
          <t xml:space="preserve">   • Document test results: Pass/Fail with evidence</t>
        </is>
      </c>
    </row>
    <row r="136" ht="18" customHeight="1">
      <c r="A136" s="26" t="inlineStr">
        <is>
          <t xml:space="preserve">   • Track next test due date (12 months from last test)</t>
        </is>
      </c>
    </row>
    <row r="137" ht="18" customHeight="1">
      <c r="A137" s="26" t="inlineStr">
        <is>
          <t xml:space="preserve">   • Report failures to CISO and Risk Committee immediately</t>
        </is>
      </c>
    </row>
    <row r="138" ht="18" customHeight="1">
      <c r="A138" s="26" t="inlineStr"/>
    </row>
    <row r="139" ht="18" customHeight="1">
      <c r="A139" s="26" t="inlineStr">
        <is>
          <t>⚠ EXIT STRATEGY TYPE CHANGES:</t>
        </is>
      </c>
    </row>
    <row r="140" ht="18" customHeight="1">
      <c r="A140" s="26" t="inlineStr">
        <is>
          <t xml:space="preserve">   • If exit strategy changed (e.g., Cloud-to-Cloud → Hybrid), document WHY</t>
        </is>
      </c>
    </row>
    <row r="141" ht="18" customHeight="1">
      <c r="A141" s="26" t="inlineStr">
        <is>
          <t xml:space="preserve">   • On-Premises selections require CISO approval and TCO validation</t>
        </is>
      </c>
    </row>
    <row r="142" ht="18" customHeight="1">
      <c r="A142" s="26" t="inlineStr">
        <is>
          <t xml:space="preserve">   • Update ISMS-IMP-A.5.23.S1 (Inventory Sheet 4) with new strategy</t>
        </is>
      </c>
    </row>
    <row r="143" ht="18" customHeight="1">
      <c r="A143" s="26" t="inlineStr">
        <is>
          <t xml:space="preserve">   • Reassess migration complexity and timeline estimates</t>
        </is>
      </c>
    </row>
    <row r="144" ht="18" customHeight="1">
      <c r="A144" s="26" t="inlineStr"/>
    </row>
    <row r="145" ht="18" customHeight="1">
      <c r="A145" s="26" t="inlineStr">
        <is>
          <t>🔒 WHAT TO REVIEW ANNUALLY:</t>
        </is>
      </c>
    </row>
    <row r="146" ht="18" customHeight="1">
      <c r="A146" s="26" t="inlineStr">
        <is>
          <t xml:space="preserve">   1. Alternative providers still exist and viable?</t>
        </is>
      </c>
    </row>
    <row r="147" ht="18" customHeight="1">
      <c r="A147" s="26" t="inlineStr">
        <is>
          <t xml:space="preserve">   2. Migration complexity changed? (new integrations, dependencies)</t>
        </is>
      </c>
    </row>
    <row r="148" ht="18" customHeight="1">
      <c r="A148" s="26" t="inlineStr">
        <is>
          <t xml:space="preserve">   3. Data export still functional? (test it!)</t>
        </is>
      </c>
    </row>
    <row r="149" ht="18" customHeight="1">
      <c r="A149" s="26" t="inlineStr">
        <is>
          <t xml:space="preserve">   4. Lock-in risk increased? (proprietary features added)</t>
        </is>
      </c>
    </row>
    <row r="150" ht="18" customHeight="1">
      <c r="A150" s="26" t="inlineStr">
        <is>
          <t xml:space="preserve">   5. Cost models still valid? (cloud pricing changes frequently)</t>
        </is>
      </c>
    </row>
    <row r="151" ht="18" customHeight="1">
      <c r="A151" s="26" t="inlineStr">
        <is>
          <t xml:space="preserve">   6. Regulatory requirements changed? (DORA, FADP, NIS2)</t>
        </is>
      </c>
    </row>
    <row r="152" ht="18" customHeight="1">
      <c r="A152" s="26" t="inlineStr"/>
    </row>
    <row r="153" ht="18" customHeight="1">
      <c r="A153" s="26" t="inlineStr">
        <is>
          <t>✅ POC TESTING PROCESS (DORA Art. 28.6):</t>
        </is>
      </c>
    </row>
    <row r="154" ht="18" customHeight="1">
      <c r="A154" s="26" t="inlineStr">
        <is>
          <t xml:space="preserve">   1. Select Critical service for PoC testing</t>
        </is>
      </c>
    </row>
    <row r="155" ht="18" customHeight="1">
      <c r="A155" s="26" t="inlineStr">
        <is>
          <t xml:space="preserve">   2. Identify alternative provider (from inventory Sheet 4)</t>
        </is>
      </c>
    </row>
    <row r="156" ht="18" customHeight="1">
      <c r="A156" s="26" t="inlineStr">
        <is>
          <t xml:space="preserve">   3. Test data export from current provider (full dataset or representative sample)</t>
        </is>
      </c>
    </row>
    <row r="157" ht="18" customHeight="1">
      <c r="A157" s="26" t="inlineStr">
        <is>
          <t xml:space="preserve">   4. Test data import to alternative provider (verify compatibility)</t>
        </is>
      </c>
    </row>
    <row r="158" ht="18" customHeight="1">
      <c r="A158" s="26" t="inlineStr">
        <is>
          <t xml:space="preserve">   5. Test critical functionality on alternative (basic sanity check)</t>
        </is>
      </c>
    </row>
    <row r="159" ht="18" customHeight="1">
      <c r="A159" s="26" t="inlineStr">
        <is>
          <t xml:space="preserve">   6. Document results: Pass (migration feasible) or Fail (issues identified)</t>
        </is>
      </c>
    </row>
    <row r="160" ht="18" customHeight="1">
      <c r="A160" s="26" t="inlineStr">
        <is>
          <t xml:space="preserve">   7. Schedule next test (12 months from completion date)</t>
        </is>
      </c>
    </row>
    <row r="161" ht="18" customHeight="1">
      <c r="A161" s="26" t="inlineStr">
        <is>
          <t xml:space="preserve">   8. Report to CISO and update risk register if Fail</t>
        </is>
      </c>
    </row>
    <row r="162" ht="18" customHeight="1">
      <c r="A162" s="26" t="inlineStr"/>
    </row>
    <row r="163" ht="18" customHeight="1">
      <c r="A163" s="26" t="inlineStr">
        <is>
          <t>For detailed exit strategy requirements, see:</t>
        </is>
      </c>
    </row>
    <row r="164" ht="18" customHeight="1">
      <c r="A164" s="26" t="inlineStr">
        <is>
          <t xml:space="preserve">   • ISMS-POL-A.5.19-23-S5 Section 8 (Exit Strategy Framework)</t>
        </is>
      </c>
    </row>
    <row r="165" ht="18" customHeight="1">
      <c r="A165" s="26" t="inlineStr">
        <is>
          <t xml:space="preserve">   • ISMS-IMP-A.5.23.S1 Sheet 4 (Exit Strategy Assessment)</t>
        </is>
      </c>
    </row>
    <row r="166" ht="18" customHeight="1">
      <c r="A166" s="26" t="inlineStr"/>
    </row>
  </sheetData>
  <mergeCells count="4">
    <mergeCell ref="A125:N125"/>
    <mergeCell ref="A2:N2"/>
    <mergeCell ref="A105:N105"/>
    <mergeCell ref="A1:N1"/>
  </mergeCells>
  <conditionalFormatting sqref="A4:N100">
    <cfRule type="expression" priority="1" dxfId="0" stopIfTrue="0">
      <formula>$F4&lt;TODAY()</formula>
    </cfRule>
    <cfRule type="expression" priority="2" dxfId="1" stopIfTrue="0">
      <formula>AND($H4="Yes (Critical)", $K4&lt;TODAY())</formula>
    </cfRule>
  </conditionalFormatting>
  <conditionalFormatting sqref="D4:D100">
    <cfRule type="expression" priority="3" dxfId="2" stopIfTrue="0">
      <formula>$D4="On-Premises"</formula>
    </cfRule>
  </conditionalFormatting>
  <dataValidations count="6">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showDropDown="0" showInputMessage="0" showErrorMessage="0" allowBlank="0" type="list">
      <formula1>"Critical,High,Medium,Low"</formula1>
    </dataValidation>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showDropDown="0" showInputMessage="0" showErrorMessage="0" allowBlank="0" errorTitle="Invalid Exit Strategy" error="Select current exit strategy type from inventory (Sheet 4)" type="list">
      <formula1>"Cloud-to-Cloud,Hybrid,On-Premises,Not Yet Determined"</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showDropDown="0" showInputMessage="0" showErrorMessage="0" allowBlank="0" type="list">
      <formula1>"Current,Overdue,In Progress,Not Started"</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showDropDown="0" showInputMessage="0" showErrorMessage="0" allowBlank="0" errorTitle="PoC Testing Requirement" error="DORA Art. 28.6 requires annual PoC testing for Critical services" type="list">
      <formula1>"Yes (Critical),No (Not Critical),Not Applicable"</formula1>
    </dataValidation>
    <dataValidation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showDropDown="0" showInputMessage="0" showErrorMessage="0" allowBlank="0" type="list">
      <formula1>"Pass,Fail,In Progress,Not Tested,Not Applicable"</formula1>
    </dataValidation>
    <dataValidation sqref="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showDropDown="0" showInputMessage="0" showErrorMessage="0" allowBlank="0"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44"/>
  <sheetViews>
    <sheetView workbookViewId="0">
      <pane ySplit="5" topLeftCell="A6" activePane="bottomLeft" state="frozen"/>
      <selection pane="bottomLeft" activeCell="A1" sqref="A1"/>
    </sheetView>
  </sheetViews>
  <sheetFormatPr baseColWidth="8" defaultRowHeight="15"/>
  <cols>
    <col width="14" customWidth="1" min="1" max="1"/>
    <col width="25" customWidth="1" min="2" max="2"/>
    <col width="22" customWidth="1" min="3" max="3"/>
    <col width="18" customWidth="1" min="4" max="4"/>
    <col width="20" customWidth="1" min="5" max="5"/>
    <col width="14" customWidth="1" min="6" max="6"/>
    <col width="20" customWidth="1" min="7" max="7"/>
    <col width="25" customWidth="1" min="8" max="8"/>
    <col width="18" customWidth="1" min="9" max="9"/>
    <col width="16" customWidth="1" min="10" max="10"/>
    <col width="18" customWidth="1" min="11" max="11"/>
    <col width="18" customWidth="1" min="12" max="12"/>
    <col width="16" customWidth="1" min="13" max="13"/>
    <col width="14" customWidth="1" min="14" max="14"/>
    <col width="18" customWidth="1" min="15" max="15"/>
    <col width="16" customWidth="1" min="16" max="16"/>
    <col width="28" customWidth="1" min="17" max="17"/>
    <col width="14" customWidth="1" min="18" max="18"/>
    <col width="20" customWidth="1" min="19" max="19"/>
    <col width="30" customWidth="1" min="20" max="20"/>
  </cols>
  <sheetData>
    <row r="1" ht="35" customHeight="1">
      <c r="A1" s="1" t="inlineStr">
        <is>
          <t>JURISDICTIONAL RISK ASSESSMENT</t>
        </is>
      </c>
    </row>
    <row r="2" ht="25" customHeight="1">
      <c r="A2" s="2" t="inlineStr">
        <is>
          <t>CLOUD Act, Data Sovereignty, and Cross-Border Transfer Analysis</t>
        </is>
      </c>
    </row>
    <row r="3" ht="30" customHeight="1">
      <c r="A3" s="28" t="inlineStr">
        <is>
          <t>⚠ US-headquartered providers may be compelled to disclose data under CLOUD Act regardless of data location.</t>
        </is>
      </c>
    </row>
    <row r="5">
      <c r="A5" s="14" t="inlineStr">
        <is>
          <t>Assessment_ID</t>
        </is>
      </c>
      <c r="B5" s="14" t="inlineStr">
        <is>
          <t>Cloud_Service_Name</t>
        </is>
      </c>
      <c r="C5" s="14" t="inlineStr">
        <is>
          <t>Provider_Name</t>
        </is>
      </c>
      <c r="D5" s="14" t="inlineStr">
        <is>
          <t>Provider_HQ_Country</t>
        </is>
      </c>
      <c r="E5" s="14" t="inlineStr">
        <is>
          <t>Provider_HQ_Jurisdiction</t>
        </is>
      </c>
      <c r="F5" s="14" t="inlineStr">
        <is>
          <t>US_Parent_Company</t>
        </is>
      </c>
      <c r="G5" s="14" t="inlineStr">
        <is>
          <t>CLOUD_Act_Applicability</t>
        </is>
      </c>
      <c r="H5" s="14" t="inlineStr">
        <is>
          <t>Data_Processing_Locations</t>
        </is>
      </c>
      <c r="I5" s="14" t="inlineStr">
        <is>
          <t>EU_Data_Boundary_Available</t>
        </is>
      </c>
      <c r="J5" s="14" t="inlineStr">
        <is>
          <t>Customer_Managed_Keys</t>
        </is>
      </c>
      <c r="K5" s="14" t="inlineStr">
        <is>
          <t>Legal_Challenge_Commitment</t>
        </is>
      </c>
      <c r="L5" s="14" t="inlineStr">
        <is>
          <t>Adequacy_Decision_Status</t>
        </is>
      </c>
      <c r="M5" s="14" t="inlineStr">
        <is>
          <t>Transfer_Mechanism</t>
        </is>
      </c>
      <c r="N5" s="14" t="inlineStr">
        <is>
          <t>Risk_Level</t>
        </is>
      </c>
      <c r="O5" s="14" t="inlineStr">
        <is>
          <t>Risk_Accepted_By</t>
        </is>
      </c>
      <c r="P5" s="14" t="inlineStr">
        <is>
          <t>Risk_Acceptance_Date</t>
        </is>
      </c>
      <c r="Q5" s="14" t="inlineStr">
        <is>
          <t>Compensating_Controls</t>
        </is>
      </c>
      <c r="R5" s="14" t="inlineStr">
        <is>
          <t>Review_Date</t>
        </is>
      </c>
      <c r="S5" s="14" t="inlineStr">
        <is>
          <t>Evidence_Reference</t>
        </is>
      </c>
      <c r="T5" s="14" t="inlineStr">
        <is>
          <t>Notes</t>
        </is>
      </c>
    </row>
    <row r="6">
      <c r="A6" s="29">
        <f>CONCATENATE("JRA-",TEXT(ROW()-5,"000"))</f>
        <v/>
      </c>
      <c r="B6" s="5" t="inlineStr"/>
      <c r="C6" s="5" t="inlineStr"/>
      <c r="D6" s="5" t="inlineStr"/>
      <c r="E6" s="5" t="inlineStr"/>
      <c r="F6" s="5" t="inlineStr"/>
      <c r="G6" s="5" t="inlineStr"/>
      <c r="H6" s="5" t="inlineStr"/>
      <c r="I6" s="5" t="inlineStr"/>
      <c r="J6" s="5" t="inlineStr"/>
      <c r="K6" s="5" t="inlineStr"/>
      <c r="L6" s="5" t="inlineStr"/>
      <c r="M6" s="5" t="inlineStr"/>
      <c r="N6" s="5" t="inlineStr"/>
      <c r="O6" s="5" t="inlineStr"/>
      <c r="P6" s="5" t="inlineStr"/>
      <c r="Q6" s="5" t="inlineStr"/>
      <c r="R6" s="5" t="inlineStr"/>
      <c r="S6" s="5" t="inlineStr"/>
      <c r="T6" s="5" t="inlineStr"/>
    </row>
    <row r="7">
      <c r="A7" s="29">
        <f>CONCATENATE("JRA-",TEXT(ROW()-5,"000"))</f>
        <v/>
      </c>
      <c r="B7" s="5" t="inlineStr"/>
      <c r="C7" s="5" t="inlineStr"/>
      <c r="D7" s="5" t="inlineStr"/>
      <c r="E7" s="5" t="inlineStr"/>
      <c r="F7" s="5" t="inlineStr"/>
      <c r="G7" s="5" t="inlineStr"/>
      <c r="H7" s="5" t="inlineStr"/>
      <c r="I7" s="5" t="inlineStr"/>
      <c r="J7" s="5" t="inlineStr"/>
      <c r="K7" s="5" t="inlineStr"/>
      <c r="L7" s="5" t="inlineStr"/>
      <c r="M7" s="5" t="inlineStr"/>
      <c r="N7" s="5" t="inlineStr"/>
      <c r="O7" s="5" t="inlineStr"/>
      <c r="P7" s="5" t="inlineStr"/>
      <c r="Q7" s="5" t="inlineStr"/>
      <c r="R7" s="5" t="inlineStr"/>
      <c r="S7" s="5" t="inlineStr"/>
      <c r="T7" s="5" t="inlineStr"/>
    </row>
    <row r="8">
      <c r="A8" s="29">
        <f>CONCATENATE("JRA-",TEXT(ROW()-5,"000"))</f>
        <v/>
      </c>
      <c r="B8" s="5" t="inlineStr"/>
      <c r="C8" s="5" t="inlineStr"/>
      <c r="D8" s="5" t="inlineStr"/>
      <c r="E8" s="5" t="inlineStr"/>
      <c r="F8" s="5" t="inlineStr"/>
      <c r="G8" s="5" t="inlineStr"/>
      <c r="H8" s="5" t="inlineStr"/>
      <c r="I8" s="5" t="inlineStr"/>
      <c r="J8" s="5" t="inlineStr"/>
      <c r="K8" s="5" t="inlineStr"/>
      <c r="L8" s="5" t="inlineStr"/>
      <c r="M8" s="5" t="inlineStr"/>
      <c r="N8" s="5" t="inlineStr"/>
      <c r="O8" s="5" t="inlineStr"/>
      <c r="P8" s="5" t="inlineStr"/>
      <c r="Q8" s="5" t="inlineStr"/>
      <c r="R8" s="5" t="inlineStr"/>
      <c r="S8" s="5" t="inlineStr"/>
      <c r="T8" s="5" t="inlineStr"/>
    </row>
    <row r="9">
      <c r="A9" s="29">
        <f>CONCATENATE("JRA-",TEXT(ROW()-5,"000"))</f>
        <v/>
      </c>
      <c r="B9" s="5" t="inlineStr"/>
      <c r="C9" s="5" t="inlineStr"/>
      <c r="D9" s="5" t="inlineStr"/>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row>
    <row r="10">
      <c r="A10" s="29">
        <f>CONCATENATE("JRA-",TEXT(ROW()-5,"000"))</f>
        <v/>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row>
    <row r="11">
      <c r="A11" s="29">
        <f>CONCATENATE("JRA-",TEXT(ROW()-5,"000"))</f>
        <v/>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row>
    <row r="12">
      <c r="A12" s="29">
        <f>CONCATENATE("JRA-",TEXT(ROW()-5,"000"))</f>
        <v/>
      </c>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row>
    <row r="13">
      <c r="A13" s="29">
        <f>CONCATENATE("JRA-",TEXT(ROW()-5,"000"))</f>
        <v/>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row>
    <row r="14">
      <c r="A14" s="29">
        <f>CONCATENATE("JRA-",TEXT(ROW()-5,"000"))</f>
        <v/>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row>
    <row r="15">
      <c r="A15" s="29">
        <f>CONCATENATE("JRA-",TEXT(ROW()-5,"000"))</f>
        <v/>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row>
    <row r="16">
      <c r="A16" s="29">
        <f>CONCATENATE("JRA-",TEXT(ROW()-5,"000"))</f>
        <v/>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row>
    <row r="17">
      <c r="A17" s="29">
        <f>CONCATENATE("JRA-",TEXT(ROW()-5,"000"))</f>
        <v/>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row>
    <row r="18">
      <c r="A18" s="29">
        <f>CONCATENATE("JRA-",TEXT(ROW()-5,"000"))</f>
        <v/>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row>
    <row r="19">
      <c r="A19" s="29">
        <f>CONCATENATE("JRA-",TEXT(ROW()-5,"000"))</f>
        <v/>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row>
    <row r="20">
      <c r="A20" s="29">
        <f>CONCATENATE("JRA-",TEXT(ROW()-5,"000"))</f>
        <v/>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row>
    <row r="21">
      <c r="A21" s="29">
        <f>CONCATENATE("JRA-",TEXT(ROW()-5,"000"))</f>
        <v/>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c r="R21" s="5" t="inlineStr"/>
      <c r="S21" s="5" t="inlineStr"/>
      <c r="T21" s="5" t="inlineStr"/>
    </row>
    <row r="22">
      <c r="A22" s="29">
        <f>CONCATENATE("JRA-",TEXT(ROW()-5,"000"))</f>
        <v/>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c r="R22" s="5" t="inlineStr"/>
      <c r="S22" s="5" t="inlineStr"/>
      <c r="T22" s="5" t="inlineStr"/>
    </row>
    <row r="23">
      <c r="A23" s="29">
        <f>CONCATENATE("JRA-",TEXT(ROW()-5,"000"))</f>
        <v/>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c r="R23" s="5" t="inlineStr"/>
      <c r="S23" s="5" t="inlineStr"/>
      <c r="T23" s="5" t="inlineStr"/>
    </row>
    <row r="24">
      <c r="A24" s="29">
        <f>CONCATENATE("JRA-",TEXT(ROW()-5,"000"))</f>
        <v/>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c r="R24" s="5" t="inlineStr"/>
      <c r="S24" s="5" t="inlineStr"/>
      <c r="T24" s="5" t="inlineStr"/>
    </row>
    <row r="25">
      <c r="A25" s="29">
        <f>CONCATENATE("JRA-",TEXT(ROW()-5,"000"))</f>
        <v/>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c r="R25" s="5" t="inlineStr"/>
      <c r="S25" s="5" t="inlineStr"/>
      <c r="T25" s="5" t="inlineStr"/>
    </row>
    <row r="26">
      <c r="A26" s="29">
        <f>CONCATENATE("JRA-",TEXT(ROW()-5,"000"))</f>
        <v/>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c r="R26" s="5" t="inlineStr"/>
      <c r="S26" s="5" t="inlineStr"/>
      <c r="T26" s="5" t="inlineStr"/>
    </row>
    <row r="27">
      <c r="A27" s="29">
        <f>CONCATENATE("JRA-",TEXT(ROW()-5,"000"))</f>
        <v/>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c r="R27" s="5" t="inlineStr"/>
      <c r="S27" s="5" t="inlineStr"/>
      <c r="T27" s="5" t="inlineStr"/>
    </row>
    <row r="28">
      <c r="A28" s="29">
        <f>CONCATENATE("JRA-",TEXT(ROW()-5,"000"))</f>
        <v/>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c r="R28" s="5" t="inlineStr"/>
      <c r="S28" s="5" t="inlineStr"/>
      <c r="T28" s="5" t="inlineStr"/>
    </row>
    <row r="29">
      <c r="A29" s="29">
        <f>CONCATENATE("JRA-",TEXT(ROW()-5,"000"))</f>
        <v/>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row>
    <row r="30">
      <c r="A30" s="29">
        <f>CONCATENATE("JRA-",TEXT(ROW()-5,"000"))</f>
        <v/>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c r="R30" s="5" t="inlineStr"/>
      <c r="S30" s="5" t="inlineStr"/>
      <c r="T30" s="5" t="inlineStr"/>
    </row>
    <row r="33">
      <c r="A33" s="16" t="inlineStr">
        <is>
          <t>JURISDICTIONAL RISK CHECKLIST</t>
        </is>
      </c>
    </row>
    <row r="34">
      <c r="A34" s="3" t="inlineStr">
        <is>
          <t>☐</t>
        </is>
      </c>
      <c r="B34" s="3" t="inlineStr">
        <is>
          <t>Requirement</t>
        </is>
      </c>
      <c r="C34" s="3" t="inlineStr">
        <is>
          <t>Evidence</t>
        </is>
      </c>
    </row>
    <row r="35" ht="25" customHeight="1">
      <c r="A35" t="inlineStr">
        <is>
          <t>☐</t>
        </is>
      </c>
      <c r="B35" s="18" t="inlineStr">
        <is>
          <t>Provider HQ jurisdiction identified and documented</t>
        </is>
      </c>
      <c r="Q35" s="30" t="n"/>
    </row>
    <row r="36" ht="25" customHeight="1">
      <c r="A36" t="inlineStr">
        <is>
          <t>☐</t>
        </is>
      </c>
      <c r="B36" s="18" t="inlineStr">
        <is>
          <t>US parent company status verified</t>
        </is>
      </c>
      <c r="Q36" s="30" t="n"/>
    </row>
    <row r="37" ht="25" customHeight="1">
      <c r="A37" t="inlineStr">
        <is>
          <t>☐</t>
        </is>
      </c>
      <c r="B37" s="18" t="inlineStr">
        <is>
          <t>CLOUD Act exposure assessed for US-nexus providers</t>
        </is>
      </c>
      <c r="Q37" s="30" t="n"/>
    </row>
    <row r="38" ht="25" customHeight="1">
      <c r="A38" t="inlineStr">
        <is>
          <t>☐</t>
        </is>
      </c>
      <c r="B38" s="18" t="inlineStr">
        <is>
          <t>Data processing locations documented in DPA</t>
        </is>
      </c>
      <c r="Q38" s="30" t="n"/>
    </row>
    <row r="39" ht="25" customHeight="1">
      <c r="A39" t="inlineStr">
        <is>
          <t>☐</t>
        </is>
      </c>
      <c r="B39" s="18" t="inlineStr">
        <is>
          <t>EU Data Boundary availability checked</t>
        </is>
      </c>
      <c r="Q39" s="30" t="n"/>
    </row>
    <row r="40" ht="25" customHeight="1">
      <c r="A40" t="inlineStr">
        <is>
          <t>☐</t>
        </is>
      </c>
      <c r="B40" s="18" t="inlineStr">
        <is>
          <t>Customer-managed encryption keys option evaluated</t>
        </is>
      </c>
      <c r="Q40" s="30" t="n"/>
    </row>
    <row r="41" ht="25" customHeight="1">
      <c r="A41" t="inlineStr">
        <is>
          <t>☐</t>
        </is>
      </c>
      <c r="B41" s="18" t="inlineStr">
        <is>
          <t>Legal challenge commitment verified</t>
        </is>
      </c>
      <c r="Q41" s="30" t="n"/>
    </row>
    <row r="42" ht="25" customHeight="1">
      <c r="A42" t="inlineStr">
        <is>
          <t>☐</t>
        </is>
      </c>
      <c r="B42" s="18" t="inlineStr">
        <is>
          <t>Transfer mechanism documented (SCCs, BCRs, etc.)</t>
        </is>
      </c>
      <c r="Q42" s="30" t="n"/>
    </row>
    <row r="43" ht="25" customHeight="1">
      <c r="A43" t="inlineStr">
        <is>
          <t>☐</t>
        </is>
      </c>
      <c r="B43" s="18" t="inlineStr">
        <is>
          <t>Risk acceptance recorded if residual risk remains</t>
        </is>
      </c>
      <c r="Q43" s="30" t="n"/>
    </row>
    <row r="44" ht="25" customHeight="1">
      <c r="A44" t="inlineStr">
        <is>
          <t>☐</t>
        </is>
      </c>
      <c r="B44" s="18" t="inlineStr">
        <is>
          <t>Compensating controls documented for high-risk providers</t>
        </is>
      </c>
      <c r="Q44" s="30" t="n"/>
    </row>
  </sheetData>
  <mergeCells count="24">
    <mergeCell ref="B43:P43"/>
    <mergeCell ref="B39:P39"/>
    <mergeCell ref="Q36:T36"/>
    <mergeCell ref="B42:P42"/>
    <mergeCell ref="B44:P44"/>
    <mergeCell ref="A1:T1"/>
    <mergeCell ref="Q41:T41"/>
    <mergeCell ref="B38:P38"/>
    <mergeCell ref="B37:P37"/>
    <mergeCell ref="Q43:T43"/>
    <mergeCell ref="Q37:T37"/>
    <mergeCell ref="B40:P40"/>
    <mergeCell ref="Q42:T42"/>
    <mergeCell ref="Q39:T39"/>
    <mergeCell ref="A3:T3"/>
    <mergeCell ref="B36:P36"/>
    <mergeCell ref="B41:P41"/>
    <mergeCell ref="A33:T33"/>
    <mergeCell ref="A2:T2"/>
    <mergeCell ref="B35:P35"/>
    <mergeCell ref="Q38:T38"/>
    <mergeCell ref="Q35:T35"/>
    <mergeCell ref="Q40:T40"/>
    <mergeCell ref="Q44:T44"/>
  </mergeCells>
  <dataValidations count="1">
    <dataValidation sqref="F6:F30" showDropDown="0" showInputMessage="0" showErrorMessage="0" allowBlank="1" type="list">
      <formula1>"Yes,No,Unknown"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cols>
    <col width="45" customWidth="1" min="1" max="1"/>
    <col width="15" customWidth="1" min="2" max="2"/>
    <col width="18" customWidth="1" min="3" max="3"/>
    <col width="15" customWidth="1" min="4" max="4"/>
    <col width="15" customWidth="1" min="5" max="5"/>
    <col width="10" customWidth="1" min="6" max="6"/>
    <col width="15" customWidth="1" min="7" max="7"/>
  </cols>
  <sheetData>
    <row r="1" ht="40" customHeight="1">
      <c r="A1" s="1" t="inlineStr">
        <is>
          <t>ONGOING GOVERNANCE &amp; RISK - COMPLIANCE SUMMARY DASHBOARD v1.0</t>
        </is>
      </c>
    </row>
    <row r="3">
      <c r="A3" s="31" t="inlineStr">
        <is>
          <t>TABLE 1: COMPLIANCE SUMMARY BY ASSESSMENT AREA</t>
        </is>
      </c>
    </row>
    <row r="4">
      <c r="A4" s="32" t="inlineStr">
        <is>
          <t>Assessment Area</t>
        </is>
      </c>
      <c r="B4" s="32" t="inlineStr">
        <is>
          <t>Total Items</t>
        </is>
      </c>
      <c r="C4" s="32" t="inlineStr">
        <is>
          <t>Compliant</t>
        </is>
      </c>
      <c r="D4" s="32" t="inlineStr">
        <is>
          <t>Partial</t>
        </is>
      </c>
      <c r="E4" s="32" t="inlineStr">
        <is>
          <t>Non-Compliant</t>
        </is>
      </c>
      <c r="F4" s="32" t="inlineStr">
        <is>
          <t>N/A</t>
        </is>
      </c>
      <c r="G4" s="32" t="inlineStr">
        <is>
          <t>Compliance %</t>
        </is>
      </c>
    </row>
    <row r="5">
      <c r="A5" s="4" t="inlineStr">
        <is>
          <t>2. Access Review</t>
        </is>
      </c>
      <c r="B5" s="4">
        <f>COUNTA('2. Access Review'!A6:A24)</f>
        <v/>
      </c>
      <c r="C5" s="4">
        <f>COUNTIF('2. Access Review'!H6:H24,"✅ Compliant")</f>
        <v/>
      </c>
      <c r="D5" s="4">
        <f>COUNTIF('2. Access Review'!H6:H24,"⚠ Partial")</f>
        <v/>
      </c>
      <c r="E5" s="4">
        <f>COUNTIF('2. Access Review'!H6:H24,"❌ Non-Compliant")</f>
        <v/>
      </c>
      <c r="F5" s="4">
        <f>COUNTIF('2. Access Review'!H6:H24,"N/A")</f>
        <v/>
      </c>
      <c r="G5" s="4">
        <f>IF(B5-F5=0,"N/A",ROUND(C5/(B5-F5)*100,1)&amp;"%")</f>
        <v/>
      </c>
    </row>
    <row r="6">
      <c r="A6" s="4" t="inlineStr">
        <is>
          <t>3. Change Management</t>
        </is>
      </c>
      <c r="B6" s="4">
        <f>COUNTA('3. Change Management'!A6:A24)</f>
        <v/>
      </c>
      <c r="C6" s="4">
        <f>COUNTIF('3. Change Management'!H6:H24,"✅ Compliant")</f>
        <v/>
      </c>
      <c r="D6" s="4">
        <f>COUNTIF('3. Change Management'!H6:H24,"⚠ Partial")</f>
        <v/>
      </c>
      <c r="E6" s="4">
        <f>COUNTIF('3. Change Management'!H6:H24,"❌ Non-Compliant")</f>
        <v/>
      </c>
      <c r="F6" s="4">
        <f>COUNTIF('3. Change Management'!H6:H24,"N/A")</f>
        <v/>
      </c>
      <c r="G6" s="4">
        <f>IF(B6-F6=0,"N/A",ROUND(C6/(B6-F6)*100,1)&amp;"%")</f>
        <v/>
      </c>
    </row>
    <row r="7">
      <c r="A7" s="4" t="inlineStr">
        <is>
          <t>4. Incident Management</t>
        </is>
      </c>
      <c r="B7" s="4">
        <f>COUNTA('4. Incident Management'!A6:A24)</f>
        <v/>
      </c>
      <c r="C7" s="4">
        <f>COUNTIF('4. Incident Management'!H6:H24,"✅ Compliant")</f>
        <v/>
      </c>
      <c r="D7" s="4">
        <f>COUNTIF('4. Incident Management'!H6:H24,"⚠ Partial")</f>
        <v/>
      </c>
      <c r="E7" s="4">
        <f>COUNTIF('4. Incident Management'!H6:H24,"❌ Non-Compliant")</f>
        <v/>
      </c>
      <c r="F7" s="4">
        <f>COUNTIF('4. Incident Management'!H6:H24,"N/A")</f>
        <v/>
      </c>
      <c r="G7" s="4">
        <f>IF(B7-F7=0,"N/A",ROUND(C7/(B7-F7)*100,1)&amp;"%")</f>
        <v/>
      </c>
    </row>
    <row r="8">
      <c r="A8" s="4" t="inlineStr">
        <is>
          <t>5. Business Continuity</t>
        </is>
      </c>
      <c r="B8" s="4">
        <f>COUNTA('5. Business Continuity'!A6:A24)</f>
        <v/>
      </c>
      <c r="C8" s="4">
        <f>COUNTIF('5. Business Continuity'!H6:H24,"✅ Compliant")</f>
        <v/>
      </c>
      <c r="D8" s="4">
        <f>COUNTIF('5. Business Continuity'!H6:H24,"⚠ Partial")</f>
        <v/>
      </c>
      <c r="E8" s="4">
        <f>COUNTIF('5. Business Continuity'!H6:H24,"❌ Non-Compliant")</f>
        <v/>
      </c>
      <c r="F8" s="4">
        <f>COUNTIF('5. Business Continuity'!H6:H24,"N/A")</f>
        <v/>
      </c>
      <c r="G8" s="4">
        <f>IF(B8-F8=0,"N/A",ROUND(C8/(B8-F8)*100,1)&amp;"%")</f>
        <v/>
      </c>
    </row>
    <row r="9">
      <c r="A9" s="4" t="inlineStr">
        <is>
          <t>6. Vendor Risk Monitoring</t>
        </is>
      </c>
      <c r="B9" s="4">
        <f>COUNTA('6. Vendor Risk Monitoring'!A6:A24)</f>
        <v/>
      </c>
      <c r="C9" s="4">
        <f>COUNTIF('6. Vendor Risk Monitoring'!H6:H24,"✅ Compliant")</f>
        <v/>
      </c>
      <c r="D9" s="4">
        <f>COUNTIF('6. Vendor Risk Monitoring'!H6:H24,"⚠ Partial")</f>
        <v/>
      </c>
      <c r="E9" s="4">
        <f>COUNTIF('6. Vendor Risk Monitoring'!H6:H24,"❌ Non-Compliant")</f>
        <v/>
      </c>
      <c r="F9" s="4">
        <f>COUNTIF('6. Vendor Risk Monitoring'!H6:H24,"N/A")</f>
        <v/>
      </c>
      <c r="G9" s="4">
        <f>IF(B9-F9=0,"N/A",ROUND(C9/(B9-F9)*100,1)&amp;"%")</f>
        <v/>
      </c>
    </row>
    <row r="10">
      <c r="A10" s="7" t="inlineStr">
        <is>
          <t>TOTAL</t>
        </is>
      </c>
      <c r="B10" s="7">
        <f>SUM(B5:B9)</f>
        <v/>
      </c>
      <c r="C10" s="7">
        <f>SUM(C5:C9)</f>
        <v/>
      </c>
      <c r="D10" s="7">
        <f>SUM(D5:D9)</f>
        <v/>
      </c>
      <c r="E10" s="7">
        <f>SUM(E5:E9)</f>
        <v/>
      </c>
      <c r="F10" s="7">
        <f>SUM(F5:F9)</f>
        <v/>
      </c>
      <c r="G10" s="33">
        <f>IF(B10-F10=0,"N/A",ROUND(C10/(B10-F10)*100,1)&amp;"%")</f>
        <v/>
      </c>
    </row>
    <row r="13">
      <c r="A13" s="31" t="inlineStr">
        <is>
          <t>TABLE 2: JURISDICTIONAL &amp; CLOUD ACT RISK SUMMARY</t>
        </is>
      </c>
    </row>
    <row r="14">
      <c r="A14" s="34" t="inlineStr">
        <is>
          <t>Metric</t>
        </is>
      </c>
      <c r="B14" s="34" t="inlineStr">
        <is>
          <t>Count</t>
        </is>
      </c>
      <c r="C14" s="34" t="inlineStr">
        <is>
          <t>Status</t>
        </is>
      </c>
    </row>
    <row r="15">
      <c r="A15" s="4" t="inlineStr">
        <is>
          <t>US-HQ Providers (CLOUD Act Scope)</t>
        </is>
      </c>
      <c r="B15" s="4">
        <f>COUNTIF('8. Jurisdictional Risk'!E6:E30,"United States")</f>
        <v/>
      </c>
      <c r="C15" s="4">
        <f>IF(B15&gt;0,"{WARNING} Review","{CHECK} OK")</f>
        <v/>
      </c>
    </row>
    <row r="16">
      <c r="A16" s="4" t="inlineStr">
        <is>
          <t>Providers with US Parent Company</t>
        </is>
      </c>
      <c r="B16" s="4">
        <f>COUNTIF('8. Jurisdictional Risk'!F6:F30,"Yes")</f>
        <v/>
      </c>
      <c r="C16" s="4">
        <f>IF(B16&gt;0,"{WARNING} Review","{CHECK} OK")</f>
        <v/>
      </c>
    </row>
    <row r="17">
      <c r="A17" s="4" t="inlineStr">
        <is>
          <t>CLOUD Act Potential Exposure (Unmitigated)</t>
        </is>
      </c>
      <c r="B17" s="4">
        <f>COUNTIF('8. Jurisdictional Risk'!G6:G30,"Potential*")</f>
        <v/>
      </c>
      <c r="C17" s="4">
        <f>IF(B17&gt;0,"{WARNING} Review","{CHECK} OK")</f>
        <v/>
      </c>
    </row>
    <row r="18">
      <c r="A18" s="4" t="inlineStr">
        <is>
          <t>CLOUD Act Mitigated</t>
        </is>
      </c>
      <c r="B18" s="4">
        <f>COUNTIFS('8. Jurisdictional Risk'!G6:G30,"Mitigated*")</f>
        <v/>
      </c>
      <c r="C18" s="4" t="inlineStr">
        <is>
          <t>Info</t>
        </is>
      </c>
    </row>
    <row r="19">
      <c r="A19" s="4" t="inlineStr">
        <is>
          <t>High/Critical Jurisdictional Risk</t>
        </is>
      </c>
      <c r="B19" s="4">
        <f>COUNTIF('8. Jurisdictional Risk'!N6:N30,"High")+COUNTIF('8. Jurisdictional Risk'!N6:N30,"Critical")</f>
        <v/>
      </c>
      <c r="C19" s="4">
        <f>IF(B19&gt;0,"{XMARK} Action","{CHECK} OK")</f>
        <v/>
      </c>
    </row>
    <row r="20">
      <c r="A20" s="4" t="inlineStr">
        <is>
          <t>Providers Without EU Data Boundary</t>
        </is>
      </c>
      <c r="B20" s="4">
        <f>COUNTIF('8. Jurisdictional Risk'!I6:I30,"No")</f>
        <v/>
      </c>
      <c r="C20" s="4">
        <f>IF(B20&gt;0,"{WARNING} Review","{CHECK} OK")</f>
        <v/>
      </c>
    </row>
    <row r="21">
      <c r="A21" s="4" t="inlineStr">
        <is>
          <t>Providers Without Customer-Managed Keys</t>
        </is>
      </c>
      <c r="B21" s="4">
        <f>COUNTIF('8. Jurisdictional Risk'!J6:J30,"No")</f>
        <v/>
      </c>
      <c r="C21" s="4">
        <f>IF(B21&gt;0,"{WARNING} Review","{CHECK} OK")</f>
        <v/>
      </c>
    </row>
    <row r="24">
      <c r="A24" s="31" t="inlineStr">
        <is>
          <t>TABLE 3: REGULATORY RISK MONITORING STATUS</t>
        </is>
      </c>
    </row>
    <row r="25">
      <c r="A25" s="34" t="inlineStr">
        <is>
          <t>Metric</t>
        </is>
      </c>
      <c r="B25" s="34" t="inlineStr">
        <is>
          <t>Count</t>
        </is>
      </c>
      <c r="C25" s="34" t="inlineStr">
        <is>
          <t>Status</t>
        </is>
      </c>
    </row>
    <row r="26">
      <c r="A26" s="4" t="inlineStr">
        <is>
          <t>DORA Risks Not Monitored</t>
        </is>
      </c>
      <c r="B26" s="4">
        <f>COUNTIF('4. Incident Management'!Y6:Y30,"Not Monitored")</f>
        <v/>
      </c>
      <c r="C26" s="4">
        <f>IF(B26&gt;0,"{XMARK} Action","{CHECK} OK")</f>
        <v/>
      </c>
    </row>
    <row r="27">
      <c r="A27" s="4" t="inlineStr">
        <is>
          <t>NIS2 Significant Incidents (Require ≤24h notification)</t>
        </is>
      </c>
      <c r="B27" s="4">
        <f>COUNTIF('4. Incident Management'!Z6:Z30,"Significant*")</f>
        <v/>
      </c>
      <c r="C27" s="4">
        <f>IF(B27&gt;0,"{WARNING} Review","{CHECK} OK")</f>
        <v/>
      </c>
    </row>
    <row r="28">
      <c r="A28" s="4" t="inlineStr">
        <is>
          <t>AI Systems Requiring Active Monitoring</t>
        </is>
      </c>
      <c r="B28" s="4">
        <f>COUNTIF('4. Incident Management'!AA6:AA30,"Active Monitoring")</f>
        <v/>
      </c>
      <c r="C28" s="4" t="inlineStr">
        <is>
          <t>Info</t>
        </is>
      </c>
    </row>
    <row r="29">
      <c r="A29" s="4" t="inlineStr">
        <is>
          <t>Regulatory Risks Without Assigned Owner</t>
        </is>
      </c>
      <c r="B29" s="4">
        <f>COUNTIF('4. Incident Management'!AB6:AB30,"")</f>
        <v/>
      </c>
      <c r="C29" s="4">
        <f>IF(B29&gt;0,"{XMARK} Action","{CHECK} OK")</f>
        <v/>
      </c>
    </row>
    <row r="33">
      <c r="A33" s="16" t="inlineStr">
        <is>
          <t>KEY GOVERNANCE METRICS</t>
        </is>
      </c>
    </row>
    <row r="34">
      <c r="A34" s="3" t="inlineStr">
        <is>
          <t>Total Cloud Services Assessed:</t>
        </is>
      </c>
      <c r="C34" s="5">
        <f>B10</f>
        <v/>
      </c>
    </row>
    <row r="35">
      <c r="A35" s="3" t="inlineStr">
        <is>
          <t>Services Requiring Remediation:</t>
        </is>
      </c>
      <c r="C35" s="5">
        <f>COUNTIF('2. Access Review'!K6:K24,"Yes")+COUNTIF('3. Change Management'!K6:K24,"Yes")+COUNTIF('4. Incident Management'!K6:K24,"Yes")+COUNTIF('5. Business Continuity'!K6:K24,"Yes")+COUNTIF('6. Vendor Risk Monitoring'!K6:K24,"Yes")</f>
        <v/>
      </c>
    </row>
    <row r="36">
      <c r="A36" s="3" t="inlineStr">
        <is>
          <t>Access Reviews Overdue:</t>
        </is>
      </c>
      <c r="C36" s="5">
        <f>COUNTIF('2. Access Review'!S6:S24,"Overdue")</f>
        <v/>
      </c>
    </row>
    <row r="37">
      <c r="A37" s="3" t="inlineStr">
        <is>
          <t>Open P1/P2 Incidents:</t>
        </is>
      </c>
      <c r="C37" s="5">
        <f>COUNTIF('4. Incident Management'!G6:G24,"P1-Critical")+COUNTIF('4. Incident Management'!G6:G24,"P2-High")</f>
        <v/>
      </c>
    </row>
    <row r="38">
      <c r="A38" s="3" t="inlineStr">
        <is>
          <t>BC Tests Overdue:</t>
        </is>
      </c>
      <c r="C38" s="5">
        <f>COUNTIF('5. Business Continuity'!S6:S24,"Not Tested")</f>
        <v/>
      </c>
    </row>
    <row r="39">
      <c r="A39" s="3" t="inlineStr">
        <is>
          <t>High/Critical Risk Vendors:</t>
        </is>
      </c>
      <c r="C39" s="5">
        <f>COUNTIF('6. Vendor Risk Monitoring'!G6:G24,"Critical")+COUNTIF('6. Vendor Risk Monitoring'!G6:G24,"High")</f>
        <v/>
      </c>
    </row>
    <row r="42">
      <c r="A42" s="35" t="inlineStr">
        <is>
          <t>OVERALL GOVERNANCE HEALTH SCORE</t>
        </is>
      </c>
    </row>
    <row r="43">
      <c r="A43" s="3" t="inlineStr">
        <is>
          <t>Score:</t>
        </is>
      </c>
      <c r="B43" s="36">
        <f>G10</f>
        <v/>
      </c>
    </row>
    <row r="44">
      <c r="A44" s="3" t="inlineStr">
        <is>
          <t>Rating:</t>
        </is>
      </c>
      <c r="B44">
        <f>IF(G10="N/A","Not Assessed",IF(VALUE(SUBSTITUTE(G10,"%",""))&gt;=90,"Excellent",IF(VALUE(SUBSTITUTE(G10,"%",""))&gt;=75,"Good",IF(VALUE(SUBSTITUTE(G10,"%",""))&gt;=60,"Needs Improvement","Critical"))))</f>
        <v/>
      </c>
    </row>
  </sheetData>
  <mergeCells count="6">
    <mergeCell ref="A13:C13"/>
    <mergeCell ref="A1:G1"/>
    <mergeCell ref="A3:G3"/>
    <mergeCell ref="A33:D33"/>
    <mergeCell ref="A42:D42"/>
    <mergeCell ref="A24:C2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24"/>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25" customWidth="1" min="3" max="3"/>
    <col width="28" customWidth="1" min="4" max="4"/>
    <col width="40" customWidth="1" min="5" max="5"/>
    <col width="45" customWidth="1" min="6" max="6"/>
    <col width="16" customWidth="1" min="7" max="7"/>
    <col width="20" customWidth="1" min="8" max="8"/>
    <col width="20" customWidth="1" min="9" max="9"/>
  </cols>
  <sheetData>
    <row r="1" ht="35" customHeight="1">
      <c r="A1" s="1" t="inlineStr">
        <is>
          <t>EVIDENCE REGISTER - ONGOING GOVERNANCE &amp; RISK v1.0</t>
        </is>
      </c>
    </row>
    <row r="2">
      <c r="A2" s="37" t="inlineStr">
        <is>
          <t>Audit trail for governance assessments - Evidence ID Format: EV-OGR-###</t>
        </is>
      </c>
    </row>
    <row r="4">
      <c r="A4" s="32" t="inlineStr">
        <is>
          <t>Evidence ID</t>
        </is>
      </c>
      <c r="B4" s="32" t="inlineStr">
        <is>
          <t>Assessment Area</t>
        </is>
      </c>
      <c r="C4" s="32" t="inlineStr">
        <is>
          <t>Cloud Service</t>
        </is>
      </c>
      <c r="D4" s="32" t="inlineStr">
        <is>
          <t>Evidence Type</t>
        </is>
      </c>
      <c r="E4" s="32" t="inlineStr">
        <is>
          <t>Description</t>
        </is>
      </c>
      <c r="F4" s="32" t="inlineStr">
        <is>
          <t>Location/Path</t>
        </is>
      </c>
      <c r="G4" s="32" t="inlineStr">
        <is>
          <t>Date Collected</t>
        </is>
      </c>
      <c r="H4" s="32" t="inlineStr">
        <is>
          <t>Collected By</t>
        </is>
      </c>
      <c r="I4" s="32" t="inlineStr">
        <is>
          <t>Verification Status</t>
        </is>
      </c>
    </row>
    <row r="5">
      <c r="A5" s="38" t="inlineStr">
        <is>
          <t>EV-OGR-001</t>
        </is>
      </c>
      <c r="B5" s="5" t="n"/>
      <c r="C5" s="5" t="n"/>
      <c r="D5" s="5" t="n"/>
      <c r="E5" s="5" t="n"/>
      <c r="F5" s="5" t="n"/>
      <c r="G5" s="5" t="n"/>
      <c r="H5" s="5" t="n"/>
      <c r="I5" s="5" t="n"/>
    </row>
    <row r="6">
      <c r="A6" s="38" t="inlineStr">
        <is>
          <t>EV-OGR-002</t>
        </is>
      </c>
      <c r="B6" s="5" t="n"/>
      <c r="C6" s="5" t="n"/>
      <c r="D6" s="5" t="n"/>
      <c r="E6" s="5" t="n"/>
      <c r="F6" s="5" t="n"/>
      <c r="G6" s="5" t="n"/>
      <c r="H6" s="5" t="n"/>
      <c r="I6" s="5" t="n"/>
    </row>
    <row r="7">
      <c r="A7" s="38" t="inlineStr">
        <is>
          <t>EV-OGR-003</t>
        </is>
      </c>
      <c r="B7" s="5" t="n"/>
      <c r="C7" s="5" t="n"/>
      <c r="D7" s="5" t="n"/>
      <c r="E7" s="5" t="n"/>
      <c r="F7" s="5" t="n"/>
      <c r="G7" s="5" t="n"/>
      <c r="H7" s="5" t="n"/>
      <c r="I7" s="5" t="n"/>
    </row>
    <row r="8">
      <c r="A8" s="38" t="inlineStr">
        <is>
          <t>EV-OGR-004</t>
        </is>
      </c>
      <c r="B8" s="5" t="n"/>
      <c r="C8" s="5" t="n"/>
      <c r="D8" s="5" t="n"/>
      <c r="E8" s="5" t="n"/>
      <c r="F8" s="5" t="n"/>
      <c r="G8" s="5" t="n"/>
      <c r="H8" s="5" t="n"/>
      <c r="I8" s="5" t="n"/>
    </row>
    <row r="9">
      <c r="A9" s="38" t="inlineStr">
        <is>
          <t>EV-OGR-005</t>
        </is>
      </c>
      <c r="B9" s="5" t="n"/>
      <c r="C9" s="5" t="n"/>
      <c r="D9" s="5" t="n"/>
      <c r="E9" s="5" t="n"/>
      <c r="F9" s="5" t="n"/>
      <c r="G9" s="5" t="n"/>
      <c r="H9" s="5" t="n"/>
      <c r="I9" s="5" t="n"/>
    </row>
    <row r="10">
      <c r="A10" s="38" t="inlineStr">
        <is>
          <t>EV-OGR-006</t>
        </is>
      </c>
      <c r="B10" s="5" t="n"/>
      <c r="C10" s="5" t="n"/>
      <c r="D10" s="5" t="n"/>
      <c r="E10" s="5" t="n"/>
      <c r="F10" s="5" t="n"/>
      <c r="G10" s="5" t="n"/>
      <c r="H10" s="5" t="n"/>
      <c r="I10" s="5" t="n"/>
    </row>
    <row r="11">
      <c r="A11" s="38" t="inlineStr">
        <is>
          <t>EV-OGR-007</t>
        </is>
      </c>
      <c r="B11" s="5" t="n"/>
      <c r="C11" s="5" t="n"/>
      <c r="D11" s="5" t="n"/>
      <c r="E11" s="5" t="n"/>
      <c r="F11" s="5" t="n"/>
      <c r="G11" s="5" t="n"/>
      <c r="H11" s="5" t="n"/>
      <c r="I11" s="5" t="n"/>
    </row>
    <row r="12">
      <c r="A12" s="38" t="inlineStr">
        <is>
          <t>EV-OGR-008</t>
        </is>
      </c>
      <c r="B12" s="5" t="n"/>
      <c r="C12" s="5" t="n"/>
      <c r="D12" s="5" t="n"/>
      <c r="E12" s="5" t="n"/>
      <c r="F12" s="5" t="n"/>
      <c r="G12" s="5" t="n"/>
      <c r="H12" s="5" t="n"/>
      <c r="I12" s="5" t="n"/>
    </row>
    <row r="13">
      <c r="A13" s="38" t="inlineStr">
        <is>
          <t>EV-OGR-009</t>
        </is>
      </c>
      <c r="B13" s="5" t="n"/>
      <c r="C13" s="5" t="n"/>
      <c r="D13" s="5" t="n"/>
      <c r="E13" s="5" t="n"/>
      <c r="F13" s="5" t="n"/>
      <c r="G13" s="5" t="n"/>
      <c r="H13" s="5" t="n"/>
      <c r="I13" s="5" t="n"/>
    </row>
    <row r="14">
      <c r="A14" s="38" t="inlineStr">
        <is>
          <t>EV-OGR-010</t>
        </is>
      </c>
      <c r="B14" s="5" t="n"/>
      <c r="C14" s="5" t="n"/>
      <c r="D14" s="5" t="n"/>
      <c r="E14" s="5" t="n"/>
      <c r="F14" s="5" t="n"/>
      <c r="G14" s="5" t="n"/>
      <c r="H14" s="5" t="n"/>
      <c r="I14" s="5" t="n"/>
    </row>
    <row r="15">
      <c r="A15" s="38" t="inlineStr">
        <is>
          <t>EV-OGR-011</t>
        </is>
      </c>
      <c r="B15" s="5" t="n"/>
      <c r="C15" s="5" t="n"/>
      <c r="D15" s="5" t="n"/>
      <c r="E15" s="5" t="n"/>
      <c r="F15" s="5" t="n"/>
      <c r="G15" s="5" t="n"/>
      <c r="H15" s="5" t="n"/>
      <c r="I15" s="5" t="n"/>
    </row>
    <row r="16">
      <c r="A16" s="38" t="inlineStr">
        <is>
          <t>EV-OGR-012</t>
        </is>
      </c>
      <c r="B16" s="5" t="n"/>
      <c r="C16" s="5" t="n"/>
      <c r="D16" s="5" t="n"/>
      <c r="E16" s="5" t="n"/>
      <c r="F16" s="5" t="n"/>
      <c r="G16" s="5" t="n"/>
      <c r="H16" s="5" t="n"/>
      <c r="I16" s="5" t="n"/>
    </row>
    <row r="17">
      <c r="A17" s="38" t="inlineStr">
        <is>
          <t>EV-OGR-013</t>
        </is>
      </c>
      <c r="B17" s="5" t="n"/>
      <c r="C17" s="5" t="n"/>
      <c r="D17" s="5" t="n"/>
      <c r="E17" s="5" t="n"/>
      <c r="F17" s="5" t="n"/>
      <c r="G17" s="5" t="n"/>
      <c r="H17" s="5" t="n"/>
      <c r="I17" s="5" t="n"/>
    </row>
    <row r="18">
      <c r="A18" s="38" t="inlineStr">
        <is>
          <t>EV-OGR-014</t>
        </is>
      </c>
      <c r="B18" s="5" t="n"/>
      <c r="C18" s="5" t="n"/>
      <c r="D18" s="5" t="n"/>
      <c r="E18" s="5" t="n"/>
      <c r="F18" s="5" t="n"/>
      <c r="G18" s="5" t="n"/>
      <c r="H18" s="5" t="n"/>
      <c r="I18" s="5" t="n"/>
    </row>
    <row r="19">
      <c r="A19" s="38" t="inlineStr">
        <is>
          <t>EV-OGR-015</t>
        </is>
      </c>
      <c r="B19" s="5" t="n"/>
      <c r="C19" s="5" t="n"/>
      <c r="D19" s="5" t="n"/>
      <c r="E19" s="5" t="n"/>
      <c r="F19" s="5" t="n"/>
      <c r="G19" s="5" t="n"/>
      <c r="H19" s="5" t="n"/>
      <c r="I19" s="5" t="n"/>
    </row>
    <row r="20">
      <c r="A20" s="38" t="inlineStr">
        <is>
          <t>EV-OGR-016</t>
        </is>
      </c>
      <c r="B20" s="5" t="n"/>
      <c r="C20" s="5" t="n"/>
      <c r="D20" s="5" t="n"/>
      <c r="E20" s="5" t="n"/>
      <c r="F20" s="5" t="n"/>
      <c r="G20" s="5" t="n"/>
      <c r="H20" s="5" t="n"/>
      <c r="I20" s="5" t="n"/>
    </row>
    <row r="21">
      <c r="A21" s="38" t="inlineStr">
        <is>
          <t>EV-OGR-017</t>
        </is>
      </c>
      <c r="B21" s="5" t="n"/>
      <c r="C21" s="5" t="n"/>
      <c r="D21" s="5" t="n"/>
      <c r="E21" s="5" t="n"/>
      <c r="F21" s="5" t="n"/>
      <c r="G21" s="5" t="n"/>
      <c r="H21" s="5" t="n"/>
      <c r="I21" s="5" t="n"/>
    </row>
    <row r="22">
      <c r="A22" s="38" t="inlineStr">
        <is>
          <t>EV-OGR-018</t>
        </is>
      </c>
      <c r="B22" s="5" t="n"/>
      <c r="C22" s="5" t="n"/>
      <c r="D22" s="5" t="n"/>
      <c r="E22" s="5" t="n"/>
      <c r="F22" s="5" t="n"/>
      <c r="G22" s="5" t="n"/>
      <c r="H22" s="5" t="n"/>
      <c r="I22" s="5" t="n"/>
    </row>
    <row r="23">
      <c r="A23" s="38" t="inlineStr">
        <is>
          <t>EV-OGR-019</t>
        </is>
      </c>
      <c r="B23" s="5" t="n"/>
      <c r="C23" s="5" t="n"/>
      <c r="D23" s="5" t="n"/>
      <c r="E23" s="5" t="n"/>
      <c r="F23" s="5" t="n"/>
      <c r="G23" s="5" t="n"/>
      <c r="H23" s="5" t="n"/>
      <c r="I23" s="5" t="n"/>
    </row>
    <row r="24">
      <c r="A24" s="38" t="inlineStr">
        <is>
          <t>EV-OGR-020</t>
        </is>
      </c>
      <c r="B24" s="5" t="n"/>
      <c r="C24" s="5" t="n"/>
      <c r="D24" s="5" t="n"/>
      <c r="E24" s="5" t="n"/>
      <c r="F24" s="5" t="n"/>
      <c r="G24" s="5" t="n"/>
      <c r="H24" s="5" t="n"/>
      <c r="I24" s="5" t="n"/>
    </row>
    <row r="25">
      <c r="A25" s="38" t="inlineStr">
        <is>
          <t>EV-OGR-021</t>
        </is>
      </c>
      <c r="B25" s="5" t="n"/>
      <c r="C25" s="5" t="n"/>
      <c r="D25" s="5" t="n"/>
      <c r="E25" s="5" t="n"/>
      <c r="F25" s="5" t="n"/>
      <c r="G25" s="5" t="n"/>
      <c r="H25" s="5" t="n"/>
      <c r="I25" s="5" t="n"/>
    </row>
    <row r="26">
      <c r="A26" s="38" t="inlineStr">
        <is>
          <t>EV-OGR-022</t>
        </is>
      </c>
      <c r="B26" s="5" t="n"/>
      <c r="C26" s="5" t="n"/>
      <c r="D26" s="5" t="n"/>
      <c r="E26" s="5" t="n"/>
      <c r="F26" s="5" t="n"/>
      <c r="G26" s="5" t="n"/>
      <c r="H26" s="5" t="n"/>
      <c r="I26" s="5" t="n"/>
    </row>
    <row r="27">
      <c r="A27" s="38" t="inlineStr">
        <is>
          <t>EV-OGR-023</t>
        </is>
      </c>
      <c r="B27" s="5" t="n"/>
      <c r="C27" s="5" t="n"/>
      <c r="D27" s="5" t="n"/>
      <c r="E27" s="5" t="n"/>
      <c r="F27" s="5" t="n"/>
      <c r="G27" s="5" t="n"/>
      <c r="H27" s="5" t="n"/>
      <c r="I27" s="5" t="n"/>
    </row>
    <row r="28">
      <c r="A28" s="38" t="inlineStr">
        <is>
          <t>EV-OGR-024</t>
        </is>
      </c>
      <c r="B28" s="5" t="n"/>
      <c r="C28" s="5" t="n"/>
      <c r="D28" s="5" t="n"/>
      <c r="E28" s="5" t="n"/>
      <c r="F28" s="5" t="n"/>
      <c r="G28" s="5" t="n"/>
      <c r="H28" s="5" t="n"/>
      <c r="I28" s="5" t="n"/>
    </row>
    <row r="29">
      <c r="A29" s="38" t="inlineStr">
        <is>
          <t>EV-OGR-025</t>
        </is>
      </c>
      <c r="B29" s="5" t="n"/>
      <c r="C29" s="5" t="n"/>
      <c r="D29" s="5" t="n"/>
      <c r="E29" s="5" t="n"/>
      <c r="F29" s="5" t="n"/>
      <c r="G29" s="5" t="n"/>
      <c r="H29" s="5" t="n"/>
      <c r="I29" s="5" t="n"/>
    </row>
    <row r="30">
      <c r="A30" s="38" t="inlineStr">
        <is>
          <t>EV-OGR-026</t>
        </is>
      </c>
      <c r="B30" s="5" t="n"/>
      <c r="C30" s="5" t="n"/>
      <c r="D30" s="5" t="n"/>
      <c r="E30" s="5" t="n"/>
      <c r="F30" s="5" t="n"/>
      <c r="G30" s="5" t="n"/>
      <c r="H30" s="5" t="n"/>
      <c r="I30" s="5" t="n"/>
    </row>
    <row r="31">
      <c r="A31" s="38" t="inlineStr">
        <is>
          <t>EV-OGR-027</t>
        </is>
      </c>
      <c r="B31" s="5" t="n"/>
      <c r="C31" s="5" t="n"/>
      <c r="D31" s="5" t="n"/>
      <c r="E31" s="5" t="n"/>
      <c r="F31" s="5" t="n"/>
      <c r="G31" s="5" t="n"/>
      <c r="H31" s="5" t="n"/>
      <c r="I31" s="5" t="n"/>
    </row>
    <row r="32">
      <c r="A32" s="38" t="inlineStr">
        <is>
          <t>EV-OGR-028</t>
        </is>
      </c>
      <c r="B32" s="5" t="n"/>
      <c r="C32" s="5" t="n"/>
      <c r="D32" s="5" t="n"/>
      <c r="E32" s="5" t="n"/>
      <c r="F32" s="5" t="n"/>
      <c r="G32" s="5" t="n"/>
      <c r="H32" s="5" t="n"/>
      <c r="I32" s="5" t="n"/>
    </row>
    <row r="33">
      <c r="A33" s="38" t="inlineStr">
        <is>
          <t>EV-OGR-029</t>
        </is>
      </c>
      <c r="B33" s="5" t="n"/>
      <c r="C33" s="5" t="n"/>
      <c r="D33" s="5" t="n"/>
      <c r="E33" s="5" t="n"/>
      <c r="F33" s="5" t="n"/>
      <c r="G33" s="5" t="n"/>
      <c r="H33" s="5" t="n"/>
      <c r="I33" s="5" t="n"/>
    </row>
    <row r="34">
      <c r="A34" s="38" t="inlineStr">
        <is>
          <t>EV-OGR-030</t>
        </is>
      </c>
      <c r="B34" s="5" t="n"/>
      <c r="C34" s="5" t="n"/>
      <c r="D34" s="5" t="n"/>
      <c r="E34" s="5" t="n"/>
      <c r="F34" s="5" t="n"/>
      <c r="G34" s="5" t="n"/>
      <c r="H34" s="5" t="n"/>
      <c r="I34" s="5" t="n"/>
    </row>
    <row r="35">
      <c r="A35" s="38" t="inlineStr">
        <is>
          <t>EV-OGR-031</t>
        </is>
      </c>
      <c r="B35" s="5" t="n"/>
      <c r="C35" s="5" t="n"/>
      <c r="D35" s="5" t="n"/>
      <c r="E35" s="5" t="n"/>
      <c r="F35" s="5" t="n"/>
      <c r="G35" s="5" t="n"/>
      <c r="H35" s="5" t="n"/>
      <c r="I35" s="5" t="n"/>
    </row>
    <row r="36">
      <c r="A36" s="38" t="inlineStr">
        <is>
          <t>EV-OGR-032</t>
        </is>
      </c>
      <c r="B36" s="5" t="n"/>
      <c r="C36" s="5" t="n"/>
      <c r="D36" s="5" t="n"/>
      <c r="E36" s="5" t="n"/>
      <c r="F36" s="5" t="n"/>
      <c r="G36" s="5" t="n"/>
      <c r="H36" s="5" t="n"/>
      <c r="I36" s="5" t="n"/>
    </row>
    <row r="37">
      <c r="A37" s="38" t="inlineStr">
        <is>
          <t>EV-OGR-033</t>
        </is>
      </c>
      <c r="B37" s="5" t="n"/>
      <c r="C37" s="5" t="n"/>
      <c r="D37" s="5" t="n"/>
      <c r="E37" s="5" t="n"/>
      <c r="F37" s="5" t="n"/>
      <c r="G37" s="5" t="n"/>
      <c r="H37" s="5" t="n"/>
      <c r="I37" s="5" t="n"/>
    </row>
    <row r="38">
      <c r="A38" s="38" t="inlineStr">
        <is>
          <t>EV-OGR-034</t>
        </is>
      </c>
      <c r="B38" s="5" t="n"/>
      <c r="C38" s="5" t="n"/>
      <c r="D38" s="5" t="n"/>
      <c r="E38" s="5" t="n"/>
      <c r="F38" s="5" t="n"/>
      <c r="G38" s="5" t="n"/>
      <c r="H38" s="5" t="n"/>
      <c r="I38" s="5" t="n"/>
    </row>
    <row r="39">
      <c r="A39" s="38" t="inlineStr">
        <is>
          <t>EV-OGR-035</t>
        </is>
      </c>
      <c r="B39" s="5" t="n"/>
      <c r="C39" s="5" t="n"/>
      <c r="D39" s="5" t="n"/>
      <c r="E39" s="5" t="n"/>
      <c r="F39" s="5" t="n"/>
      <c r="G39" s="5" t="n"/>
      <c r="H39" s="5" t="n"/>
      <c r="I39" s="5" t="n"/>
    </row>
    <row r="40">
      <c r="A40" s="38" t="inlineStr">
        <is>
          <t>EV-OGR-036</t>
        </is>
      </c>
      <c r="B40" s="5" t="n"/>
      <c r="C40" s="5" t="n"/>
      <c r="D40" s="5" t="n"/>
      <c r="E40" s="5" t="n"/>
      <c r="F40" s="5" t="n"/>
      <c r="G40" s="5" t="n"/>
      <c r="H40" s="5" t="n"/>
      <c r="I40" s="5" t="n"/>
    </row>
    <row r="41">
      <c r="A41" s="38" t="inlineStr">
        <is>
          <t>EV-OGR-037</t>
        </is>
      </c>
      <c r="B41" s="5" t="n"/>
      <c r="C41" s="5" t="n"/>
      <c r="D41" s="5" t="n"/>
      <c r="E41" s="5" t="n"/>
      <c r="F41" s="5" t="n"/>
      <c r="G41" s="5" t="n"/>
      <c r="H41" s="5" t="n"/>
      <c r="I41" s="5" t="n"/>
    </row>
    <row r="42">
      <c r="A42" s="38" t="inlineStr">
        <is>
          <t>EV-OGR-038</t>
        </is>
      </c>
      <c r="B42" s="5" t="n"/>
      <c r="C42" s="5" t="n"/>
      <c r="D42" s="5" t="n"/>
      <c r="E42" s="5" t="n"/>
      <c r="F42" s="5" t="n"/>
      <c r="G42" s="5" t="n"/>
      <c r="H42" s="5" t="n"/>
      <c r="I42" s="5" t="n"/>
    </row>
    <row r="43">
      <c r="A43" s="38" t="inlineStr">
        <is>
          <t>EV-OGR-039</t>
        </is>
      </c>
      <c r="B43" s="5" t="n"/>
      <c r="C43" s="5" t="n"/>
      <c r="D43" s="5" t="n"/>
      <c r="E43" s="5" t="n"/>
      <c r="F43" s="5" t="n"/>
      <c r="G43" s="5" t="n"/>
      <c r="H43" s="5" t="n"/>
      <c r="I43" s="5" t="n"/>
    </row>
    <row r="44">
      <c r="A44" s="38" t="inlineStr">
        <is>
          <t>EV-OGR-040</t>
        </is>
      </c>
      <c r="B44" s="5" t="n"/>
      <c r="C44" s="5" t="n"/>
      <c r="D44" s="5" t="n"/>
      <c r="E44" s="5" t="n"/>
      <c r="F44" s="5" t="n"/>
      <c r="G44" s="5" t="n"/>
      <c r="H44" s="5" t="n"/>
      <c r="I44" s="5" t="n"/>
    </row>
    <row r="45">
      <c r="A45" s="38" t="inlineStr">
        <is>
          <t>EV-OGR-041</t>
        </is>
      </c>
      <c r="B45" s="5" t="n"/>
      <c r="C45" s="5" t="n"/>
      <c r="D45" s="5" t="n"/>
      <c r="E45" s="5" t="n"/>
      <c r="F45" s="5" t="n"/>
      <c r="G45" s="5" t="n"/>
      <c r="H45" s="5" t="n"/>
      <c r="I45" s="5" t="n"/>
    </row>
    <row r="46">
      <c r="A46" s="38" t="inlineStr">
        <is>
          <t>EV-OGR-042</t>
        </is>
      </c>
      <c r="B46" s="5" t="n"/>
      <c r="C46" s="5" t="n"/>
      <c r="D46" s="5" t="n"/>
      <c r="E46" s="5" t="n"/>
      <c r="F46" s="5" t="n"/>
      <c r="G46" s="5" t="n"/>
      <c r="H46" s="5" t="n"/>
      <c r="I46" s="5" t="n"/>
    </row>
    <row r="47">
      <c r="A47" s="38" t="inlineStr">
        <is>
          <t>EV-OGR-043</t>
        </is>
      </c>
      <c r="B47" s="5" t="n"/>
      <c r="C47" s="5" t="n"/>
      <c r="D47" s="5" t="n"/>
      <c r="E47" s="5" t="n"/>
      <c r="F47" s="5" t="n"/>
      <c r="G47" s="5" t="n"/>
      <c r="H47" s="5" t="n"/>
      <c r="I47" s="5" t="n"/>
    </row>
    <row r="48">
      <c r="A48" s="38" t="inlineStr">
        <is>
          <t>EV-OGR-044</t>
        </is>
      </c>
      <c r="B48" s="5" t="n"/>
      <c r="C48" s="5" t="n"/>
      <c r="D48" s="5" t="n"/>
      <c r="E48" s="5" t="n"/>
      <c r="F48" s="5" t="n"/>
      <c r="G48" s="5" t="n"/>
      <c r="H48" s="5" t="n"/>
      <c r="I48" s="5" t="n"/>
    </row>
    <row r="49">
      <c r="A49" s="38" t="inlineStr">
        <is>
          <t>EV-OGR-045</t>
        </is>
      </c>
      <c r="B49" s="5" t="n"/>
      <c r="C49" s="5" t="n"/>
      <c r="D49" s="5" t="n"/>
      <c r="E49" s="5" t="n"/>
      <c r="F49" s="5" t="n"/>
      <c r="G49" s="5" t="n"/>
      <c r="H49" s="5" t="n"/>
      <c r="I49" s="5" t="n"/>
    </row>
    <row r="50">
      <c r="A50" s="38" t="inlineStr">
        <is>
          <t>EV-OGR-046</t>
        </is>
      </c>
      <c r="B50" s="5" t="n"/>
      <c r="C50" s="5" t="n"/>
      <c r="D50" s="5" t="n"/>
      <c r="E50" s="5" t="n"/>
      <c r="F50" s="5" t="n"/>
      <c r="G50" s="5" t="n"/>
      <c r="H50" s="5" t="n"/>
      <c r="I50" s="5" t="n"/>
    </row>
    <row r="51">
      <c r="A51" s="38" t="inlineStr">
        <is>
          <t>EV-OGR-047</t>
        </is>
      </c>
      <c r="B51" s="5" t="n"/>
      <c r="C51" s="5" t="n"/>
      <c r="D51" s="5" t="n"/>
      <c r="E51" s="5" t="n"/>
      <c r="F51" s="5" t="n"/>
      <c r="G51" s="5" t="n"/>
      <c r="H51" s="5" t="n"/>
      <c r="I51" s="5" t="n"/>
    </row>
    <row r="52">
      <c r="A52" s="38" t="inlineStr">
        <is>
          <t>EV-OGR-048</t>
        </is>
      </c>
      <c r="B52" s="5" t="n"/>
      <c r="C52" s="5" t="n"/>
      <c r="D52" s="5" t="n"/>
      <c r="E52" s="5" t="n"/>
      <c r="F52" s="5" t="n"/>
      <c r="G52" s="5" t="n"/>
      <c r="H52" s="5" t="n"/>
      <c r="I52" s="5" t="n"/>
    </row>
    <row r="53">
      <c r="A53" s="38" t="inlineStr">
        <is>
          <t>EV-OGR-049</t>
        </is>
      </c>
      <c r="B53" s="5" t="n"/>
      <c r="C53" s="5" t="n"/>
      <c r="D53" s="5" t="n"/>
      <c r="E53" s="5" t="n"/>
      <c r="F53" s="5" t="n"/>
      <c r="G53" s="5" t="n"/>
      <c r="H53" s="5" t="n"/>
      <c r="I53" s="5" t="n"/>
    </row>
    <row r="54">
      <c r="A54" s="38" t="inlineStr">
        <is>
          <t>EV-OGR-050</t>
        </is>
      </c>
      <c r="B54" s="5" t="n"/>
      <c r="C54" s="5" t="n"/>
      <c r="D54" s="5" t="n"/>
      <c r="E54" s="5" t="n"/>
      <c r="F54" s="5" t="n"/>
      <c r="G54" s="5" t="n"/>
      <c r="H54" s="5" t="n"/>
      <c r="I54" s="5" t="n"/>
    </row>
    <row r="55">
      <c r="A55" s="38" t="inlineStr">
        <is>
          <t>EV-OGR-051</t>
        </is>
      </c>
      <c r="B55" s="5" t="n"/>
      <c r="C55" s="5" t="n"/>
      <c r="D55" s="5" t="n"/>
      <c r="E55" s="5" t="n"/>
      <c r="F55" s="5" t="n"/>
      <c r="G55" s="5" t="n"/>
      <c r="H55" s="5" t="n"/>
      <c r="I55" s="5" t="n"/>
    </row>
    <row r="56">
      <c r="A56" s="38" t="inlineStr">
        <is>
          <t>EV-OGR-052</t>
        </is>
      </c>
      <c r="B56" s="5" t="n"/>
      <c r="C56" s="5" t="n"/>
      <c r="D56" s="5" t="n"/>
      <c r="E56" s="5" t="n"/>
      <c r="F56" s="5" t="n"/>
      <c r="G56" s="5" t="n"/>
      <c r="H56" s="5" t="n"/>
      <c r="I56" s="5" t="n"/>
    </row>
    <row r="57">
      <c r="A57" s="38" t="inlineStr">
        <is>
          <t>EV-OGR-053</t>
        </is>
      </c>
      <c r="B57" s="5" t="n"/>
      <c r="C57" s="5" t="n"/>
      <c r="D57" s="5" t="n"/>
      <c r="E57" s="5" t="n"/>
      <c r="F57" s="5" t="n"/>
      <c r="G57" s="5" t="n"/>
      <c r="H57" s="5" t="n"/>
      <c r="I57" s="5" t="n"/>
    </row>
    <row r="58">
      <c r="A58" s="38" t="inlineStr">
        <is>
          <t>EV-OGR-054</t>
        </is>
      </c>
      <c r="B58" s="5" t="n"/>
      <c r="C58" s="5" t="n"/>
      <c r="D58" s="5" t="n"/>
      <c r="E58" s="5" t="n"/>
      <c r="F58" s="5" t="n"/>
      <c r="G58" s="5" t="n"/>
      <c r="H58" s="5" t="n"/>
      <c r="I58" s="5" t="n"/>
    </row>
    <row r="59">
      <c r="A59" s="38" t="inlineStr">
        <is>
          <t>EV-OGR-055</t>
        </is>
      </c>
      <c r="B59" s="5" t="n"/>
      <c r="C59" s="5" t="n"/>
      <c r="D59" s="5" t="n"/>
      <c r="E59" s="5" t="n"/>
      <c r="F59" s="5" t="n"/>
      <c r="G59" s="5" t="n"/>
      <c r="H59" s="5" t="n"/>
      <c r="I59" s="5" t="n"/>
    </row>
    <row r="60">
      <c r="A60" s="38" t="inlineStr">
        <is>
          <t>EV-OGR-056</t>
        </is>
      </c>
      <c r="B60" s="5" t="n"/>
      <c r="C60" s="5" t="n"/>
      <c r="D60" s="5" t="n"/>
      <c r="E60" s="5" t="n"/>
      <c r="F60" s="5" t="n"/>
      <c r="G60" s="5" t="n"/>
      <c r="H60" s="5" t="n"/>
      <c r="I60" s="5" t="n"/>
    </row>
    <row r="61">
      <c r="A61" s="38" t="inlineStr">
        <is>
          <t>EV-OGR-057</t>
        </is>
      </c>
      <c r="B61" s="5" t="n"/>
      <c r="C61" s="5" t="n"/>
      <c r="D61" s="5" t="n"/>
      <c r="E61" s="5" t="n"/>
      <c r="F61" s="5" t="n"/>
      <c r="G61" s="5" t="n"/>
      <c r="H61" s="5" t="n"/>
      <c r="I61" s="5" t="n"/>
    </row>
    <row r="62">
      <c r="A62" s="38" t="inlineStr">
        <is>
          <t>EV-OGR-058</t>
        </is>
      </c>
      <c r="B62" s="5" t="n"/>
      <c r="C62" s="5" t="n"/>
      <c r="D62" s="5" t="n"/>
      <c r="E62" s="5" t="n"/>
      <c r="F62" s="5" t="n"/>
      <c r="G62" s="5" t="n"/>
      <c r="H62" s="5" t="n"/>
      <c r="I62" s="5" t="n"/>
    </row>
    <row r="63">
      <c r="A63" s="38" t="inlineStr">
        <is>
          <t>EV-OGR-059</t>
        </is>
      </c>
      <c r="B63" s="5" t="n"/>
      <c r="C63" s="5" t="n"/>
      <c r="D63" s="5" t="n"/>
      <c r="E63" s="5" t="n"/>
      <c r="F63" s="5" t="n"/>
      <c r="G63" s="5" t="n"/>
      <c r="H63" s="5" t="n"/>
      <c r="I63" s="5" t="n"/>
    </row>
    <row r="64">
      <c r="A64" s="38" t="inlineStr">
        <is>
          <t>EV-OGR-060</t>
        </is>
      </c>
      <c r="B64" s="5" t="n"/>
      <c r="C64" s="5" t="n"/>
      <c r="D64" s="5" t="n"/>
      <c r="E64" s="5" t="n"/>
      <c r="F64" s="5" t="n"/>
      <c r="G64" s="5" t="n"/>
      <c r="H64" s="5" t="n"/>
      <c r="I64" s="5" t="n"/>
    </row>
    <row r="65">
      <c r="A65" s="38" t="inlineStr">
        <is>
          <t>EV-OGR-061</t>
        </is>
      </c>
      <c r="B65" s="5" t="n"/>
      <c r="C65" s="5" t="n"/>
      <c r="D65" s="5" t="n"/>
      <c r="E65" s="5" t="n"/>
      <c r="F65" s="5" t="n"/>
      <c r="G65" s="5" t="n"/>
      <c r="H65" s="5" t="n"/>
      <c r="I65" s="5" t="n"/>
    </row>
    <row r="66">
      <c r="A66" s="38" t="inlineStr">
        <is>
          <t>EV-OGR-062</t>
        </is>
      </c>
      <c r="B66" s="5" t="n"/>
      <c r="C66" s="5" t="n"/>
      <c r="D66" s="5" t="n"/>
      <c r="E66" s="5" t="n"/>
      <c r="F66" s="5" t="n"/>
      <c r="G66" s="5" t="n"/>
      <c r="H66" s="5" t="n"/>
      <c r="I66" s="5" t="n"/>
    </row>
    <row r="67">
      <c r="A67" s="38" t="inlineStr">
        <is>
          <t>EV-OGR-063</t>
        </is>
      </c>
      <c r="B67" s="5" t="n"/>
      <c r="C67" s="5" t="n"/>
      <c r="D67" s="5" t="n"/>
      <c r="E67" s="5" t="n"/>
      <c r="F67" s="5" t="n"/>
      <c r="G67" s="5" t="n"/>
      <c r="H67" s="5" t="n"/>
      <c r="I67" s="5" t="n"/>
    </row>
    <row r="68">
      <c r="A68" s="38" t="inlineStr">
        <is>
          <t>EV-OGR-064</t>
        </is>
      </c>
      <c r="B68" s="5" t="n"/>
      <c r="C68" s="5" t="n"/>
      <c r="D68" s="5" t="n"/>
      <c r="E68" s="5" t="n"/>
      <c r="F68" s="5" t="n"/>
      <c r="G68" s="5" t="n"/>
      <c r="H68" s="5" t="n"/>
      <c r="I68" s="5" t="n"/>
    </row>
    <row r="69">
      <c r="A69" s="38" t="inlineStr">
        <is>
          <t>EV-OGR-065</t>
        </is>
      </c>
      <c r="B69" s="5" t="n"/>
      <c r="C69" s="5" t="n"/>
      <c r="D69" s="5" t="n"/>
      <c r="E69" s="5" t="n"/>
      <c r="F69" s="5" t="n"/>
      <c r="G69" s="5" t="n"/>
      <c r="H69" s="5" t="n"/>
      <c r="I69" s="5" t="n"/>
    </row>
    <row r="70">
      <c r="A70" s="38" t="inlineStr">
        <is>
          <t>EV-OGR-066</t>
        </is>
      </c>
      <c r="B70" s="5" t="n"/>
      <c r="C70" s="5" t="n"/>
      <c r="D70" s="5" t="n"/>
      <c r="E70" s="5" t="n"/>
      <c r="F70" s="5" t="n"/>
      <c r="G70" s="5" t="n"/>
      <c r="H70" s="5" t="n"/>
      <c r="I70" s="5" t="n"/>
    </row>
    <row r="71">
      <c r="A71" s="38" t="inlineStr">
        <is>
          <t>EV-OGR-067</t>
        </is>
      </c>
      <c r="B71" s="5" t="n"/>
      <c r="C71" s="5" t="n"/>
      <c r="D71" s="5" t="n"/>
      <c r="E71" s="5" t="n"/>
      <c r="F71" s="5" t="n"/>
      <c r="G71" s="5" t="n"/>
      <c r="H71" s="5" t="n"/>
      <c r="I71" s="5" t="n"/>
    </row>
    <row r="72">
      <c r="A72" s="38" t="inlineStr">
        <is>
          <t>EV-OGR-068</t>
        </is>
      </c>
      <c r="B72" s="5" t="n"/>
      <c r="C72" s="5" t="n"/>
      <c r="D72" s="5" t="n"/>
      <c r="E72" s="5" t="n"/>
      <c r="F72" s="5" t="n"/>
      <c r="G72" s="5" t="n"/>
      <c r="H72" s="5" t="n"/>
      <c r="I72" s="5" t="n"/>
    </row>
    <row r="73">
      <c r="A73" s="38" t="inlineStr">
        <is>
          <t>EV-OGR-069</t>
        </is>
      </c>
      <c r="B73" s="5" t="n"/>
      <c r="C73" s="5" t="n"/>
      <c r="D73" s="5" t="n"/>
      <c r="E73" s="5" t="n"/>
      <c r="F73" s="5" t="n"/>
      <c r="G73" s="5" t="n"/>
      <c r="H73" s="5" t="n"/>
      <c r="I73" s="5" t="n"/>
    </row>
    <row r="74">
      <c r="A74" s="38" t="inlineStr">
        <is>
          <t>EV-OGR-070</t>
        </is>
      </c>
      <c r="B74" s="5" t="n"/>
      <c r="C74" s="5" t="n"/>
      <c r="D74" s="5" t="n"/>
      <c r="E74" s="5" t="n"/>
      <c r="F74" s="5" t="n"/>
      <c r="G74" s="5" t="n"/>
      <c r="H74" s="5" t="n"/>
      <c r="I74" s="5" t="n"/>
    </row>
    <row r="75">
      <c r="A75" s="38" t="inlineStr">
        <is>
          <t>EV-OGR-071</t>
        </is>
      </c>
      <c r="B75" s="5" t="n"/>
      <c r="C75" s="5" t="n"/>
      <c r="D75" s="5" t="n"/>
      <c r="E75" s="5" t="n"/>
      <c r="F75" s="5" t="n"/>
      <c r="G75" s="5" t="n"/>
      <c r="H75" s="5" t="n"/>
      <c r="I75" s="5" t="n"/>
    </row>
    <row r="76">
      <c r="A76" s="38" t="inlineStr">
        <is>
          <t>EV-OGR-072</t>
        </is>
      </c>
      <c r="B76" s="5" t="n"/>
      <c r="C76" s="5" t="n"/>
      <c r="D76" s="5" t="n"/>
      <c r="E76" s="5" t="n"/>
      <c r="F76" s="5" t="n"/>
      <c r="G76" s="5" t="n"/>
      <c r="H76" s="5" t="n"/>
      <c r="I76" s="5" t="n"/>
    </row>
    <row r="77">
      <c r="A77" s="38" t="inlineStr">
        <is>
          <t>EV-OGR-073</t>
        </is>
      </c>
      <c r="B77" s="5" t="n"/>
      <c r="C77" s="5" t="n"/>
      <c r="D77" s="5" t="n"/>
      <c r="E77" s="5" t="n"/>
      <c r="F77" s="5" t="n"/>
      <c r="G77" s="5" t="n"/>
      <c r="H77" s="5" t="n"/>
      <c r="I77" s="5" t="n"/>
    </row>
    <row r="78">
      <c r="A78" s="38" t="inlineStr">
        <is>
          <t>EV-OGR-074</t>
        </is>
      </c>
      <c r="B78" s="5" t="n"/>
      <c r="C78" s="5" t="n"/>
      <c r="D78" s="5" t="n"/>
      <c r="E78" s="5" t="n"/>
      <c r="F78" s="5" t="n"/>
      <c r="G78" s="5" t="n"/>
      <c r="H78" s="5" t="n"/>
      <c r="I78" s="5" t="n"/>
    </row>
    <row r="79">
      <c r="A79" s="38" t="inlineStr">
        <is>
          <t>EV-OGR-075</t>
        </is>
      </c>
      <c r="B79" s="5" t="n"/>
      <c r="C79" s="5" t="n"/>
      <c r="D79" s="5" t="n"/>
      <c r="E79" s="5" t="n"/>
      <c r="F79" s="5" t="n"/>
      <c r="G79" s="5" t="n"/>
      <c r="H79" s="5" t="n"/>
      <c r="I79" s="5" t="n"/>
    </row>
    <row r="80">
      <c r="A80" s="38" t="inlineStr">
        <is>
          <t>EV-OGR-076</t>
        </is>
      </c>
      <c r="B80" s="5" t="n"/>
      <c r="C80" s="5" t="n"/>
      <c r="D80" s="5" t="n"/>
      <c r="E80" s="5" t="n"/>
      <c r="F80" s="5" t="n"/>
      <c r="G80" s="5" t="n"/>
      <c r="H80" s="5" t="n"/>
      <c r="I80" s="5" t="n"/>
    </row>
    <row r="81">
      <c r="A81" s="38" t="inlineStr">
        <is>
          <t>EV-OGR-077</t>
        </is>
      </c>
      <c r="B81" s="5" t="n"/>
      <c r="C81" s="5" t="n"/>
      <c r="D81" s="5" t="n"/>
      <c r="E81" s="5" t="n"/>
      <c r="F81" s="5" t="n"/>
      <c r="G81" s="5" t="n"/>
      <c r="H81" s="5" t="n"/>
      <c r="I81" s="5" t="n"/>
    </row>
    <row r="82">
      <c r="A82" s="38" t="inlineStr">
        <is>
          <t>EV-OGR-078</t>
        </is>
      </c>
      <c r="B82" s="5" t="n"/>
      <c r="C82" s="5" t="n"/>
      <c r="D82" s="5" t="n"/>
      <c r="E82" s="5" t="n"/>
      <c r="F82" s="5" t="n"/>
      <c r="G82" s="5" t="n"/>
      <c r="H82" s="5" t="n"/>
      <c r="I82" s="5" t="n"/>
    </row>
    <row r="83">
      <c r="A83" s="38" t="inlineStr">
        <is>
          <t>EV-OGR-079</t>
        </is>
      </c>
      <c r="B83" s="5" t="n"/>
      <c r="C83" s="5" t="n"/>
      <c r="D83" s="5" t="n"/>
      <c r="E83" s="5" t="n"/>
      <c r="F83" s="5" t="n"/>
      <c r="G83" s="5" t="n"/>
      <c r="H83" s="5" t="n"/>
      <c r="I83" s="5" t="n"/>
    </row>
    <row r="84">
      <c r="A84" s="38" t="inlineStr">
        <is>
          <t>EV-OGR-080</t>
        </is>
      </c>
      <c r="B84" s="5" t="n"/>
      <c r="C84" s="5" t="n"/>
      <c r="D84" s="5" t="n"/>
      <c r="E84" s="5" t="n"/>
      <c r="F84" s="5" t="n"/>
      <c r="G84" s="5" t="n"/>
      <c r="H84" s="5" t="n"/>
      <c r="I84" s="5" t="n"/>
    </row>
    <row r="85">
      <c r="A85" s="38" t="inlineStr">
        <is>
          <t>EV-OGR-081</t>
        </is>
      </c>
      <c r="B85" s="5" t="n"/>
      <c r="C85" s="5" t="n"/>
      <c r="D85" s="5" t="n"/>
      <c r="E85" s="5" t="n"/>
      <c r="F85" s="5" t="n"/>
      <c r="G85" s="5" t="n"/>
      <c r="H85" s="5" t="n"/>
      <c r="I85" s="5" t="n"/>
    </row>
    <row r="86">
      <c r="A86" s="38" t="inlineStr">
        <is>
          <t>EV-OGR-082</t>
        </is>
      </c>
      <c r="B86" s="5" t="n"/>
      <c r="C86" s="5" t="n"/>
      <c r="D86" s="5" t="n"/>
      <c r="E86" s="5" t="n"/>
      <c r="F86" s="5" t="n"/>
      <c r="G86" s="5" t="n"/>
      <c r="H86" s="5" t="n"/>
      <c r="I86" s="5" t="n"/>
    </row>
    <row r="87">
      <c r="A87" s="38" t="inlineStr">
        <is>
          <t>EV-OGR-083</t>
        </is>
      </c>
      <c r="B87" s="5" t="n"/>
      <c r="C87" s="5" t="n"/>
      <c r="D87" s="5" t="n"/>
      <c r="E87" s="5" t="n"/>
      <c r="F87" s="5" t="n"/>
      <c r="G87" s="5" t="n"/>
      <c r="H87" s="5" t="n"/>
      <c r="I87" s="5" t="n"/>
    </row>
    <row r="88">
      <c r="A88" s="38" t="inlineStr">
        <is>
          <t>EV-OGR-084</t>
        </is>
      </c>
      <c r="B88" s="5" t="n"/>
      <c r="C88" s="5" t="n"/>
      <c r="D88" s="5" t="n"/>
      <c r="E88" s="5" t="n"/>
      <c r="F88" s="5" t="n"/>
      <c r="G88" s="5" t="n"/>
      <c r="H88" s="5" t="n"/>
      <c r="I88" s="5" t="n"/>
    </row>
    <row r="89">
      <c r="A89" s="38" t="inlineStr">
        <is>
          <t>EV-OGR-085</t>
        </is>
      </c>
      <c r="B89" s="5" t="n"/>
      <c r="C89" s="5" t="n"/>
      <c r="D89" s="5" t="n"/>
      <c r="E89" s="5" t="n"/>
      <c r="F89" s="5" t="n"/>
      <c r="G89" s="5" t="n"/>
      <c r="H89" s="5" t="n"/>
      <c r="I89" s="5" t="n"/>
    </row>
    <row r="90">
      <c r="A90" s="38" t="inlineStr">
        <is>
          <t>EV-OGR-086</t>
        </is>
      </c>
      <c r="B90" s="5" t="n"/>
      <c r="C90" s="5" t="n"/>
      <c r="D90" s="5" t="n"/>
      <c r="E90" s="5" t="n"/>
      <c r="F90" s="5" t="n"/>
      <c r="G90" s="5" t="n"/>
      <c r="H90" s="5" t="n"/>
      <c r="I90" s="5" t="n"/>
    </row>
    <row r="91">
      <c r="A91" s="38" t="inlineStr">
        <is>
          <t>EV-OGR-087</t>
        </is>
      </c>
      <c r="B91" s="5" t="n"/>
      <c r="C91" s="5" t="n"/>
      <c r="D91" s="5" t="n"/>
      <c r="E91" s="5" t="n"/>
      <c r="F91" s="5" t="n"/>
      <c r="G91" s="5" t="n"/>
      <c r="H91" s="5" t="n"/>
      <c r="I91" s="5" t="n"/>
    </row>
    <row r="92">
      <c r="A92" s="38" t="inlineStr">
        <is>
          <t>EV-OGR-088</t>
        </is>
      </c>
      <c r="B92" s="5" t="n"/>
      <c r="C92" s="5" t="n"/>
      <c r="D92" s="5" t="n"/>
      <c r="E92" s="5" t="n"/>
      <c r="F92" s="5" t="n"/>
      <c r="G92" s="5" t="n"/>
      <c r="H92" s="5" t="n"/>
      <c r="I92" s="5" t="n"/>
    </row>
    <row r="93">
      <c r="A93" s="38" t="inlineStr">
        <is>
          <t>EV-OGR-089</t>
        </is>
      </c>
      <c r="B93" s="5" t="n"/>
      <c r="C93" s="5" t="n"/>
      <c r="D93" s="5" t="n"/>
      <c r="E93" s="5" t="n"/>
      <c r="F93" s="5" t="n"/>
      <c r="G93" s="5" t="n"/>
      <c r="H93" s="5" t="n"/>
      <c r="I93" s="5" t="n"/>
    </row>
    <row r="94">
      <c r="A94" s="38" t="inlineStr">
        <is>
          <t>EV-OGR-090</t>
        </is>
      </c>
      <c r="B94" s="5" t="n"/>
      <c r="C94" s="5" t="n"/>
      <c r="D94" s="5" t="n"/>
      <c r="E94" s="5" t="n"/>
      <c r="F94" s="5" t="n"/>
      <c r="G94" s="5" t="n"/>
      <c r="H94" s="5" t="n"/>
      <c r="I94" s="5" t="n"/>
    </row>
    <row r="95">
      <c r="A95" s="38" t="inlineStr">
        <is>
          <t>EV-OGR-091</t>
        </is>
      </c>
      <c r="B95" s="5" t="n"/>
      <c r="C95" s="5" t="n"/>
      <c r="D95" s="5" t="n"/>
      <c r="E95" s="5" t="n"/>
      <c r="F95" s="5" t="n"/>
      <c r="G95" s="5" t="n"/>
      <c r="H95" s="5" t="n"/>
      <c r="I95" s="5" t="n"/>
    </row>
    <row r="96">
      <c r="A96" s="38" t="inlineStr">
        <is>
          <t>EV-OGR-092</t>
        </is>
      </c>
      <c r="B96" s="5" t="n"/>
      <c r="C96" s="5" t="n"/>
      <c r="D96" s="5" t="n"/>
      <c r="E96" s="5" t="n"/>
      <c r="F96" s="5" t="n"/>
      <c r="G96" s="5" t="n"/>
      <c r="H96" s="5" t="n"/>
      <c r="I96" s="5" t="n"/>
    </row>
    <row r="97">
      <c r="A97" s="38" t="inlineStr">
        <is>
          <t>EV-OGR-093</t>
        </is>
      </c>
      <c r="B97" s="5" t="n"/>
      <c r="C97" s="5" t="n"/>
      <c r="D97" s="5" t="n"/>
      <c r="E97" s="5" t="n"/>
      <c r="F97" s="5" t="n"/>
      <c r="G97" s="5" t="n"/>
      <c r="H97" s="5" t="n"/>
      <c r="I97" s="5" t="n"/>
    </row>
    <row r="98">
      <c r="A98" s="38" t="inlineStr">
        <is>
          <t>EV-OGR-094</t>
        </is>
      </c>
      <c r="B98" s="5" t="n"/>
      <c r="C98" s="5" t="n"/>
      <c r="D98" s="5" t="n"/>
      <c r="E98" s="5" t="n"/>
      <c r="F98" s="5" t="n"/>
      <c r="G98" s="5" t="n"/>
      <c r="H98" s="5" t="n"/>
      <c r="I98" s="5" t="n"/>
    </row>
    <row r="99">
      <c r="A99" s="38" t="inlineStr">
        <is>
          <t>EV-OGR-095</t>
        </is>
      </c>
      <c r="B99" s="5" t="n"/>
      <c r="C99" s="5" t="n"/>
      <c r="D99" s="5" t="n"/>
      <c r="E99" s="5" t="n"/>
      <c r="F99" s="5" t="n"/>
      <c r="G99" s="5" t="n"/>
      <c r="H99" s="5" t="n"/>
      <c r="I99" s="5" t="n"/>
    </row>
    <row r="100">
      <c r="A100" s="38" t="inlineStr">
        <is>
          <t>EV-OGR-096</t>
        </is>
      </c>
      <c r="B100" s="5" t="n"/>
      <c r="C100" s="5" t="n"/>
      <c r="D100" s="5" t="n"/>
      <c r="E100" s="5" t="n"/>
      <c r="F100" s="5" t="n"/>
      <c r="G100" s="5" t="n"/>
      <c r="H100" s="5" t="n"/>
      <c r="I100" s="5" t="n"/>
    </row>
    <row r="101">
      <c r="A101" s="38" t="inlineStr">
        <is>
          <t>EV-OGR-097</t>
        </is>
      </c>
      <c r="B101" s="5" t="n"/>
      <c r="C101" s="5" t="n"/>
      <c r="D101" s="5" t="n"/>
      <c r="E101" s="5" t="n"/>
      <c r="F101" s="5" t="n"/>
      <c r="G101" s="5" t="n"/>
      <c r="H101" s="5" t="n"/>
      <c r="I101" s="5" t="n"/>
    </row>
    <row r="102">
      <c r="A102" s="38" t="inlineStr">
        <is>
          <t>EV-OGR-098</t>
        </is>
      </c>
      <c r="B102" s="5" t="n"/>
      <c r="C102" s="5" t="n"/>
      <c r="D102" s="5" t="n"/>
      <c r="E102" s="5" t="n"/>
      <c r="F102" s="5" t="n"/>
      <c r="G102" s="5" t="n"/>
      <c r="H102" s="5" t="n"/>
      <c r="I102" s="5" t="n"/>
    </row>
    <row r="103">
      <c r="A103" s="38" t="inlineStr">
        <is>
          <t>EV-OGR-099</t>
        </is>
      </c>
      <c r="B103" s="5" t="n"/>
      <c r="C103" s="5" t="n"/>
      <c r="D103" s="5" t="n"/>
      <c r="E103" s="5" t="n"/>
      <c r="F103" s="5" t="n"/>
      <c r="G103" s="5" t="n"/>
      <c r="H103" s="5" t="n"/>
      <c r="I103" s="5" t="n"/>
    </row>
    <row r="104">
      <c r="A104" s="38" t="inlineStr">
        <is>
          <t>EV-OGR-100</t>
        </is>
      </c>
      <c r="B104" s="5" t="n"/>
      <c r="C104" s="5" t="n"/>
      <c r="D104" s="5" t="n"/>
      <c r="E104" s="5" t="n"/>
      <c r="F104" s="5" t="n"/>
      <c r="G104" s="5" t="n"/>
      <c r="H104" s="5" t="n"/>
      <c r="I104" s="5" t="n"/>
    </row>
    <row r="105">
      <c r="A105" s="38" t="inlineStr">
        <is>
          <t>EV-OGR-101</t>
        </is>
      </c>
      <c r="B105" s="5" t="n"/>
      <c r="C105" s="5" t="n"/>
      <c r="D105" s="5" t="n"/>
      <c r="E105" s="5" t="n"/>
      <c r="F105" s="5" t="n"/>
      <c r="G105" s="5" t="n"/>
      <c r="H105" s="5" t="n"/>
      <c r="I105" s="5" t="n"/>
    </row>
    <row r="106">
      <c r="A106" s="38" t="inlineStr">
        <is>
          <t>EV-OGR-102</t>
        </is>
      </c>
      <c r="B106" s="5" t="n"/>
      <c r="C106" s="5" t="n"/>
      <c r="D106" s="5" t="n"/>
      <c r="E106" s="5" t="n"/>
      <c r="F106" s="5" t="n"/>
      <c r="G106" s="5" t="n"/>
      <c r="H106" s="5" t="n"/>
      <c r="I106" s="5" t="n"/>
    </row>
    <row r="107">
      <c r="A107" s="38" t="inlineStr">
        <is>
          <t>EV-OGR-103</t>
        </is>
      </c>
      <c r="B107" s="5" t="n"/>
      <c r="C107" s="5" t="n"/>
      <c r="D107" s="5" t="n"/>
      <c r="E107" s="5" t="n"/>
      <c r="F107" s="5" t="n"/>
      <c r="G107" s="5" t="n"/>
      <c r="H107" s="5" t="n"/>
      <c r="I107" s="5" t="n"/>
    </row>
    <row r="108">
      <c r="A108" s="38" t="inlineStr">
        <is>
          <t>EV-OGR-104</t>
        </is>
      </c>
      <c r="B108" s="5" t="n"/>
      <c r="C108" s="5" t="n"/>
      <c r="D108" s="5" t="n"/>
      <c r="E108" s="5" t="n"/>
      <c r="F108" s="5" t="n"/>
      <c r="G108" s="5" t="n"/>
      <c r="H108" s="5" t="n"/>
      <c r="I108" s="5" t="n"/>
    </row>
    <row r="109">
      <c r="A109" s="38" t="inlineStr">
        <is>
          <t>EV-OGR-105</t>
        </is>
      </c>
      <c r="B109" s="5" t="n"/>
      <c r="C109" s="5" t="n"/>
      <c r="D109" s="5" t="n"/>
      <c r="E109" s="5" t="n"/>
      <c r="F109" s="5" t="n"/>
      <c r="G109" s="5" t="n"/>
      <c r="H109" s="5" t="n"/>
      <c r="I109" s="5" t="n"/>
    </row>
    <row r="110">
      <c r="A110" s="38" t="inlineStr">
        <is>
          <t>EV-OGR-106</t>
        </is>
      </c>
      <c r="B110" s="5" t="n"/>
      <c r="C110" s="5" t="n"/>
      <c r="D110" s="5" t="n"/>
      <c r="E110" s="5" t="n"/>
      <c r="F110" s="5" t="n"/>
      <c r="G110" s="5" t="n"/>
      <c r="H110" s="5" t="n"/>
      <c r="I110" s="5" t="n"/>
    </row>
    <row r="111">
      <c r="A111" s="38" t="inlineStr">
        <is>
          <t>EV-OGR-107</t>
        </is>
      </c>
      <c r="B111" s="5" t="n"/>
      <c r="C111" s="5" t="n"/>
      <c r="D111" s="5" t="n"/>
      <c r="E111" s="5" t="n"/>
      <c r="F111" s="5" t="n"/>
      <c r="G111" s="5" t="n"/>
      <c r="H111" s="5" t="n"/>
      <c r="I111" s="5" t="n"/>
    </row>
    <row r="112">
      <c r="A112" s="38" t="inlineStr">
        <is>
          <t>EV-OGR-108</t>
        </is>
      </c>
      <c r="B112" s="5" t="n"/>
      <c r="C112" s="5" t="n"/>
      <c r="D112" s="5" t="n"/>
      <c r="E112" s="5" t="n"/>
      <c r="F112" s="5" t="n"/>
      <c r="G112" s="5" t="n"/>
      <c r="H112" s="5" t="n"/>
      <c r="I112" s="5" t="n"/>
    </row>
    <row r="113">
      <c r="A113" s="38" t="inlineStr">
        <is>
          <t>EV-OGR-109</t>
        </is>
      </c>
      <c r="B113" s="5" t="n"/>
      <c r="C113" s="5" t="n"/>
      <c r="D113" s="5" t="n"/>
      <c r="E113" s="5" t="n"/>
      <c r="F113" s="5" t="n"/>
      <c r="G113" s="5" t="n"/>
      <c r="H113" s="5" t="n"/>
      <c r="I113" s="5" t="n"/>
    </row>
    <row r="114">
      <c r="A114" s="38" t="inlineStr">
        <is>
          <t>EV-OGR-110</t>
        </is>
      </c>
      <c r="B114" s="5" t="n"/>
      <c r="C114" s="5" t="n"/>
      <c r="D114" s="5" t="n"/>
      <c r="E114" s="5" t="n"/>
      <c r="F114" s="5" t="n"/>
      <c r="G114" s="5" t="n"/>
      <c r="H114" s="5" t="n"/>
      <c r="I114" s="5" t="n"/>
    </row>
    <row r="115">
      <c r="A115" s="38" t="inlineStr">
        <is>
          <t>EV-OGR-111</t>
        </is>
      </c>
      <c r="B115" s="5" t="n"/>
      <c r="C115" s="5" t="n"/>
      <c r="D115" s="5" t="n"/>
      <c r="E115" s="5" t="n"/>
      <c r="F115" s="5" t="n"/>
      <c r="G115" s="5" t="n"/>
      <c r="H115" s="5" t="n"/>
      <c r="I115" s="5" t="n"/>
    </row>
    <row r="116">
      <c r="A116" s="38" t="inlineStr">
        <is>
          <t>EV-OGR-112</t>
        </is>
      </c>
      <c r="B116" s="5" t="n"/>
      <c r="C116" s="5" t="n"/>
      <c r="D116" s="5" t="n"/>
      <c r="E116" s="5" t="n"/>
      <c r="F116" s="5" t="n"/>
      <c r="G116" s="5" t="n"/>
      <c r="H116" s="5" t="n"/>
      <c r="I116" s="5" t="n"/>
    </row>
    <row r="117">
      <c r="A117" s="38" t="inlineStr">
        <is>
          <t>EV-OGR-113</t>
        </is>
      </c>
      <c r="B117" s="5" t="n"/>
      <c r="C117" s="5" t="n"/>
      <c r="D117" s="5" t="n"/>
      <c r="E117" s="5" t="n"/>
      <c r="F117" s="5" t="n"/>
      <c r="G117" s="5" t="n"/>
      <c r="H117" s="5" t="n"/>
      <c r="I117" s="5" t="n"/>
    </row>
    <row r="118">
      <c r="A118" s="38" t="inlineStr">
        <is>
          <t>EV-OGR-114</t>
        </is>
      </c>
      <c r="B118" s="5" t="n"/>
      <c r="C118" s="5" t="n"/>
      <c r="D118" s="5" t="n"/>
      <c r="E118" s="5" t="n"/>
      <c r="F118" s="5" t="n"/>
      <c r="G118" s="5" t="n"/>
      <c r="H118" s="5" t="n"/>
      <c r="I118" s="5" t="n"/>
    </row>
    <row r="119">
      <c r="A119" s="38" t="inlineStr">
        <is>
          <t>EV-OGR-115</t>
        </is>
      </c>
      <c r="B119" s="5" t="n"/>
      <c r="C119" s="5" t="n"/>
      <c r="D119" s="5" t="n"/>
      <c r="E119" s="5" t="n"/>
      <c r="F119" s="5" t="n"/>
      <c r="G119" s="5" t="n"/>
      <c r="H119" s="5" t="n"/>
      <c r="I119" s="5" t="n"/>
    </row>
    <row r="120">
      <c r="A120" s="38" t="inlineStr">
        <is>
          <t>EV-OGR-116</t>
        </is>
      </c>
      <c r="B120" s="5" t="n"/>
      <c r="C120" s="5" t="n"/>
      <c r="D120" s="5" t="n"/>
      <c r="E120" s="5" t="n"/>
      <c r="F120" s="5" t="n"/>
      <c r="G120" s="5" t="n"/>
      <c r="H120" s="5" t="n"/>
      <c r="I120" s="5" t="n"/>
    </row>
    <row r="121">
      <c r="A121" s="38" t="inlineStr">
        <is>
          <t>EV-OGR-117</t>
        </is>
      </c>
      <c r="B121" s="5" t="n"/>
      <c r="C121" s="5" t="n"/>
      <c r="D121" s="5" t="n"/>
      <c r="E121" s="5" t="n"/>
      <c r="F121" s="5" t="n"/>
      <c r="G121" s="5" t="n"/>
      <c r="H121" s="5" t="n"/>
      <c r="I121" s="5" t="n"/>
    </row>
    <row r="122">
      <c r="A122" s="38" t="inlineStr">
        <is>
          <t>EV-OGR-118</t>
        </is>
      </c>
      <c r="B122" s="5" t="n"/>
      <c r="C122" s="5" t="n"/>
      <c r="D122" s="5" t="n"/>
      <c r="E122" s="5" t="n"/>
      <c r="F122" s="5" t="n"/>
      <c r="G122" s="5" t="n"/>
      <c r="H122" s="5" t="n"/>
      <c r="I122" s="5" t="n"/>
    </row>
    <row r="123">
      <c r="A123" s="38" t="inlineStr">
        <is>
          <t>EV-OGR-119</t>
        </is>
      </c>
      <c r="B123" s="5" t="n"/>
      <c r="C123" s="5" t="n"/>
      <c r="D123" s="5" t="n"/>
      <c r="E123" s="5" t="n"/>
      <c r="F123" s="5" t="n"/>
      <c r="G123" s="5" t="n"/>
      <c r="H123" s="5" t="n"/>
      <c r="I123" s="5" t="n"/>
    </row>
    <row r="124">
      <c r="A124" s="38" t="inlineStr">
        <is>
          <t>EV-OGR-120</t>
        </is>
      </c>
      <c r="B124" s="5" t="n"/>
      <c r="C124" s="5" t="n"/>
      <c r="D124" s="5" t="n"/>
      <c r="E124" s="5" t="n"/>
      <c r="F124" s="5" t="n"/>
      <c r="G124" s="5" t="n"/>
      <c r="H124" s="5" t="n"/>
      <c r="I124" s="5" t="n"/>
    </row>
  </sheetData>
  <mergeCells count="2">
    <mergeCell ref="A1:I1"/>
    <mergeCell ref="A2:I2"/>
  </mergeCells>
  <dataValidations count="3">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showDropDown="0" showInputMessage="0" showErrorMessage="0" allowBlank="1" type="list">
      <formula1>"Access review report,Change ticket,Incident report,BC/DR test report,Risk assessment,Audit log,Screenshot,Configuration export,Certification document,Contract/SLA,Meeting minutes,Email confirmation,Policy document,Quarterly ICT risk review (DORA),Vendor concentration risk assessment,NIS2 incident notification record,AI system monitoring log,Jurisdictional risk assessment,Risk acceptance form,DPA with SCCs/BCRs,Other"</formula1>
    </dataValidation>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showDropDown="0" showInputMessage="0" showErrorMessage="0" allowBlank="1" type="list">
      <formula1>"Access Review,Change Management,Incident Management,Business Continuity,Vendor Risk Monitoring,Jurisdictional Risk,DORA Compliance,NIS2 Compliance,AI Act Compliance"</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showDropDown="0" showInputMessage="0" showErrorMessage="0" allowBlank="1" type="list">
      <formula1>"Verified,Pending Review,Not Verified,Expired"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cols>
    <col width="35" customWidth="1" min="1" max="1"/>
    <col width="25" customWidth="1" min="2" max="2"/>
    <col width="20" customWidth="1" min="3" max="3"/>
    <col width="20" customWidth="1" min="4" max="4"/>
    <col width="15" customWidth="1" min="5" max="5"/>
    <col width="15" customWidth="1" min="6" max="6"/>
  </cols>
  <sheetData>
    <row r="1" ht="40" customHeight="1">
      <c r="A1" s="1" t="inlineStr">
        <is>
          <t>ASSESSMENT APPROVAL AND SIGN-OFF v1.0</t>
        </is>
      </c>
    </row>
    <row r="3">
      <c r="A3" s="16" t="inlineStr">
        <is>
          <t>ASSESSMENT SUMMARY</t>
        </is>
      </c>
    </row>
    <row r="4">
      <c r="A4" s="3" t="inlineStr">
        <is>
          <t>Assessment Document:</t>
        </is>
      </c>
      <c r="B4" s="4" t="inlineStr">
        <is>
          <t>ISMS-IMP-A.5.23.S4 - Ongoing Governance &amp; Risk Management v1.0</t>
        </is>
      </c>
    </row>
    <row r="5">
      <c r="A5" s="3" t="inlineStr">
        <is>
          <t>Assessment Period:</t>
        </is>
      </c>
      <c r="B5" s="5" t="inlineStr">
        <is>
          <t>[ENTER PERIOD - e.g., Q4 2025]</t>
        </is>
      </c>
    </row>
    <row r="6">
      <c r="A6" s="3" t="inlineStr">
        <is>
          <t>Overall Compliance Rate:</t>
        </is>
      </c>
      <c r="B6" s="4">
        <f>'9. Summary Dashboard'!G10</f>
        <v/>
      </c>
    </row>
    <row r="7">
      <c r="A7" s="3" t="inlineStr">
        <is>
          <t>Jurisdictional Risks Identified:</t>
        </is>
      </c>
      <c r="B7" s="4">
        <f>'9. Summary Dashboard'!B20</f>
        <v/>
      </c>
    </row>
    <row r="8">
      <c r="A8" s="3" t="inlineStr">
        <is>
          <t>DORA Risks Not Monitored:</t>
        </is>
      </c>
      <c r="B8" s="4">
        <f>'9. Summary Dashboard'!B28</f>
        <v/>
      </c>
    </row>
    <row r="9">
      <c r="A9" s="3" t="inlineStr">
        <is>
          <t>NIS2 Significant Incidents:</t>
        </is>
      </c>
      <c r="B9" s="4">
        <f>'9. Summary Dashboard'!B29</f>
        <v/>
      </c>
    </row>
    <row r="10">
      <c r="A10" s="3" t="inlineStr">
        <is>
          <t>AI Monitoring Required:</t>
        </is>
      </c>
      <c r="B10" s="4">
        <f>'9. Summary Dashboard'!B30</f>
        <v/>
      </c>
    </row>
    <row r="11">
      <c r="A11" s="3" t="inlineStr">
        <is>
          <t>Assessment Status:</t>
        </is>
      </c>
      <c r="B11" s="5" t="inlineStr">
        <is>
          <t>[SELECT STATUS]</t>
        </is>
      </c>
    </row>
    <row r="14">
      <c r="A14" s="39" t="inlineStr">
        <is>
          <t>COMPLETED BY (ASSESSOR)</t>
        </is>
      </c>
    </row>
    <row r="15">
      <c r="A15" s="3" t="inlineStr">
        <is>
          <t>Name:</t>
        </is>
      </c>
      <c r="B15" s="5" t="n"/>
    </row>
    <row r="16">
      <c r="A16" s="3" t="inlineStr">
        <is>
          <t>Title:</t>
        </is>
      </c>
      <c r="B16" s="5" t="n"/>
    </row>
    <row r="17">
      <c r="A17" s="3" t="inlineStr">
        <is>
          <t>Department:</t>
        </is>
      </c>
      <c r="B17" s="5" t="n"/>
    </row>
    <row r="18">
      <c r="A18" s="3" t="inlineStr">
        <is>
          <t>Date:</t>
        </is>
      </c>
      <c r="B18" s="5" t="n"/>
    </row>
    <row r="19">
      <c r="A19" s="3" t="inlineStr">
        <is>
          <t>Signature:</t>
        </is>
      </c>
      <c r="B19" s="5" t="n"/>
    </row>
    <row r="20">
      <c r="A20" s="3" t="inlineStr">
        <is>
          <t>Comments:</t>
        </is>
      </c>
      <c r="B20" s="5" t="n"/>
    </row>
    <row r="22">
      <c r="A22" s="39" t="inlineStr">
        <is>
          <t>REVIEWED BY (IT OPERATIONS MANAGER)</t>
        </is>
      </c>
    </row>
    <row r="23">
      <c r="A23" s="3" t="inlineStr">
        <is>
          <t>Name:</t>
        </is>
      </c>
      <c r="B23" s="5" t="n"/>
    </row>
    <row r="24">
      <c r="A24" s="3" t="inlineStr">
        <is>
          <t>Title:</t>
        </is>
      </c>
      <c r="B24" s="5" t="n"/>
    </row>
    <row r="25">
      <c r="A25" s="3" t="inlineStr">
        <is>
          <t>Department:</t>
        </is>
      </c>
      <c r="B25" s="5" t="n"/>
    </row>
    <row r="26">
      <c r="A26" s="3" t="inlineStr">
        <is>
          <t>Date:</t>
        </is>
      </c>
      <c r="B26" s="5" t="n"/>
    </row>
    <row r="27">
      <c r="A27" s="3" t="inlineStr">
        <is>
          <t>Signature:</t>
        </is>
      </c>
      <c r="B27" s="5" t="n"/>
    </row>
    <row r="28">
      <c r="A28" s="3" t="inlineStr">
        <is>
          <t>Comments:</t>
        </is>
      </c>
      <c r="B28" s="5" t="n"/>
    </row>
    <row r="30">
      <c r="A30" s="39" t="inlineStr">
        <is>
          <t>REVIEWED BY (COMPLIANCE OFFICER)</t>
        </is>
      </c>
    </row>
    <row r="31">
      <c r="A31" s="3" t="inlineStr">
        <is>
          <t>Name:</t>
        </is>
      </c>
      <c r="B31" s="5" t="n"/>
    </row>
    <row r="32">
      <c r="A32" s="3" t="inlineStr">
        <is>
          <t>Title:</t>
        </is>
      </c>
      <c r="B32" s="5" t="n"/>
    </row>
    <row r="33">
      <c r="A33" s="3" t="inlineStr">
        <is>
          <t>Department:</t>
        </is>
      </c>
      <c r="B33" s="5" t="n"/>
    </row>
    <row r="34">
      <c r="A34" s="3" t="inlineStr">
        <is>
          <t>Date:</t>
        </is>
      </c>
      <c r="B34" s="5" t="n"/>
    </row>
    <row r="35">
      <c r="A35" s="3" t="inlineStr">
        <is>
          <t>Signature:</t>
        </is>
      </c>
      <c r="B35" s="5" t="n"/>
    </row>
    <row r="36">
      <c r="A36" s="3" t="inlineStr">
        <is>
          <t>Comments:</t>
        </is>
      </c>
      <c r="B36" s="5" t="n"/>
    </row>
    <row r="38">
      <c r="A38" s="39" t="inlineStr">
        <is>
          <t>REVIEWED BY (DATA PROTECTION OFFICER)</t>
        </is>
      </c>
    </row>
    <row r="39">
      <c r="A39" s="3" t="inlineStr">
        <is>
          <t>Name:</t>
        </is>
      </c>
      <c r="B39" s="5" t="n"/>
    </row>
    <row r="40">
      <c r="A40" s="3" t="inlineStr">
        <is>
          <t>Title:</t>
        </is>
      </c>
      <c r="B40" s="5" t="n"/>
    </row>
    <row r="41">
      <c r="A41" s="3" t="inlineStr">
        <is>
          <t>Department:</t>
        </is>
      </c>
      <c r="B41" s="5" t="n"/>
    </row>
    <row r="42">
      <c r="A42" s="3" t="inlineStr">
        <is>
          <t>Date:</t>
        </is>
      </c>
      <c r="B42" s="5" t="n"/>
    </row>
    <row r="43">
      <c r="A43" s="3" t="inlineStr">
        <is>
          <t>Signature:</t>
        </is>
      </c>
      <c r="B43" s="5" t="n"/>
    </row>
    <row r="44">
      <c r="A44" s="3" t="inlineStr">
        <is>
          <t>Data Protection Compliance:</t>
        </is>
      </c>
      <c r="B44" s="5" t="n"/>
    </row>
    <row r="45">
      <c r="A45" s="3" t="inlineStr">
        <is>
          <t>Cross-Border Transfer Status:</t>
        </is>
      </c>
      <c r="B45" s="5" t="n"/>
    </row>
    <row r="46">
      <c r="A46" s="3" t="inlineStr">
        <is>
          <t>DPO Comments:</t>
        </is>
      </c>
      <c r="B46" s="5" t="n"/>
    </row>
    <row r="48">
      <c r="A48" s="39" t="inlineStr">
        <is>
          <t>REVIEWED BY (CHIEF RISK OFFICER)</t>
        </is>
      </c>
    </row>
    <row r="49">
      <c r="A49" s="3" t="inlineStr">
        <is>
          <t>Name:</t>
        </is>
      </c>
      <c r="B49" s="5" t="n"/>
    </row>
    <row r="50">
      <c r="A50" s="3" t="inlineStr">
        <is>
          <t>Title:</t>
        </is>
      </c>
      <c r="B50" s="5" t="n"/>
    </row>
    <row r="51">
      <c r="A51" s="3" t="inlineStr">
        <is>
          <t>Department:</t>
        </is>
      </c>
      <c r="B51" s="5" t="n"/>
    </row>
    <row r="52">
      <c r="A52" s="3" t="inlineStr">
        <is>
          <t>Date:</t>
        </is>
      </c>
      <c r="B52" s="5" t="n"/>
    </row>
    <row r="53">
      <c r="A53" s="3" t="inlineStr">
        <is>
          <t>Signature:</t>
        </is>
      </c>
      <c r="B53" s="5" t="n"/>
    </row>
    <row r="54">
      <c r="A54" s="3" t="inlineStr">
        <is>
          <t>Enterprise Risk Acceptance:</t>
        </is>
      </c>
      <c r="B54" s="5" t="n"/>
    </row>
    <row r="55">
      <c r="A55" s="3" t="inlineStr">
        <is>
          <t>Regulatory Risk Status:</t>
        </is>
      </c>
      <c r="B55" s="5" t="n"/>
    </row>
    <row r="56">
      <c r="A56" s="3" t="inlineStr">
        <is>
          <t>CRO Comments:</t>
        </is>
      </c>
      <c r="B56" s="5" t="n"/>
    </row>
    <row r="58">
      <c r="A58" s="40" t="inlineStr">
        <is>
          <t>APPROVED BY (CISO)</t>
        </is>
      </c>
    </row>
    <row r="59">
      <c r="A59" s="3" t="inlineStr">
        <is>
          <t>Name:</t>
        </is>
      </c>
      <c r="B59" s="5" t="n"/>
    </row>
    <row r="60">
      <c r="A60" s="3" t="inlineStr">
        <is>
          <t>Title:</t>
        </is>
      </c>
      <c r="B60" s="5" t="n"/>
    </row>
    <row r="61">
      <c r="A61" s="3" t="inlineStr">
        <is>
          <t>Department:</t>
        </is>
      </c>
      <c r="B61" s="5" t="n"/>
    </row>
    <row r="62">
      <c r="A62" s="3" t="inlineStr">
        <is>
          <t>Date:</t>
        </is>
      </c>
      <c r="B62" s="5" t="n"/>
    </row>
    <row r="63">
      <c r="A63" s="3" t="inlineStr">
        <is>
          <t>Signature:</t>
        </is>
      </c>
      <c r="B63" s="5" t="n"/>
    </row>
    <row r="64">
      <c r="A64" s="3" t="inlineStr">
        <is>
          <t>Comments:</t>
        </is>
      </c>
      <c r="B64" s="5" t="n"/>
    </row>
    <row r="66">
      <c r="A66" s="35" t="inlineStr">
        <is>
          <t>FINAL APPROVAL DECISION</t>
        </is>
      </c>
    </row>
    <row r="67">
      <c r="A67" s="3" t="inlineStr">
        <is>
          <t>Decision:</t>
        </is>
      </c>
      <c r="B67" s="5" t="n"/>
    </row>
  </sheetData>
  <mergeCells count="58">
    <mergeCell ref="B11:D11"/>
    <mergeCell ref="B42:D42"/>
    <mergeCell ref="B60:D60"/>
    <mergeCell ref="B67:D67"/>
    <mergeCell ref="B23:D23"/>
    <mergeCell ref="B61:D61"/>
    <mergeCell ref="A66:F66"/>
    <mergeCell ref="B8:D8"/>
    <mergeCell ref="B17:D17"/>
    <mergeCell ref="B44:D44"/>
    <mergeCell ref="B53:D53"/>
    <mergeCell ref="A3:F3"/>
    <mergeCell ref="B34:D34"/>
    <mergeCell ref="B10:D10"/>
    <mergeCell ref="B28:D28"/>
    <mergeCell ref="B19:D19"/>
    <mergeCell ref="A14:F14"/>
    <mergeCell ref="B49:D49"/>
    <mergeCell ref="B40:D40"/>
    <mergeCell ref="B9:D9"/>
    <mergeCell ref="A22:F22"/>
    <mergeCell ref="B15:D15"/>
    <mergeCell ref="B55:D55"/>
    <mergeCell ref="B6:D6"/>
    <mergeCell ref="B24:D24"/>
    <mergeCell ref="B51:D51"/>
    <mergeCell ref="B20:D20"/>
    <mergeCell ref="B64:D64"/>
    <mergeCell ref="B33:D33"/>
    <mergeCell ref="A38:F38"/>
    <mergeCell ref="B5:D5"/>
    <mergeCell ref="B36:D36"/>
    <mergeCell ref="B45:D45"/>
    <mergeCell ref="B63:D63"/>
    <mergeCell ref="B41:D41"/>
    <mergeCell ref="B32:D32"/>
    <mergeCell ref="B4:D4"/>
    <mergeCell ref="B35:D35"/>
    <mergeCell ref="B26:D26"/>
    <mergeCell ref="B50:D50"/>
    <mergeCell ref="A58:F58"/>
    <mergeCell ref="B62:D62"/>
    <mergeCell ref="A48:F48"/>
    <mergeCell ref="B7:D7"/>
    <mergeCell ref="B25:D25"/>
    <mergeCell ref="A30:F30"/>
    <mergeCell ref="B16:D16"/>
    <mergeCell ref="B54:D54"/>
    <mergeCell ref="B59:D59"/>
    <mergeCell ref="B31:D31"/>
    <mergeCell ref="B46:D46"/>
    <mergeCell ref="A1:F1"/>
    <mergeCell ref="B18:D18"/>
    <mergeCell ref="B27:D27"/>
    <mergeCell ref="B56:D56"/>
    <mergeCell ref="B52:D52"/>
    <mergeCell ref="B43:D43"/>
    <mergeCell ref="B39:D39"/>
  </mergeCells>
  <dataValidations count="6">
    <dataValidation sqref="B11" showDropDown="0" showInputMessage="0" showErrorMessage="0" allowBlank="1" type="list">
      <formula1>"Draft,Final,Requires Remediation,Re-assessment Required"</formula1>
    </dataValidation>
    <dataValidation sqref="B44" showDropDown="0" showInputMessage="0" showErrorMessage="0" allowBlank="1" type="list">
      <formula1>"Compliant,Partially Compliant,Non-Compliant"</formula1>
    </dataValidation>
    <dataValidation sqref="B45" showDropDown="0" showInputMessage="0" showErrorMessage="0" allowBlank="1" type="list">
      <formula1>"Approved,Approved with SCCs,Requires TIA,Rejected"</formula1>
    </dataValidation>
    <dataValidation sqref="B54" showDropDown="0" showInputMessage="0" showErrorMessage="0" allowBlank="1" type="list">
      <formula1>"Approved,Conditionally Approved,Rejected"</formula1>
    </dataValidation>
    <dataValidation sqref="B55" showDropDown="0" showInputMessage="0" showErrorMessage="0" allowBlank="1" type="list">
      <formula1>"Acceptable,Requires Mitigation,Unacceptable"</formula1>
    </dataValidation>
    <dataValidation sqref="B67" showDropDown="0" showInputMessage="0" showErrorMessage="0" allowBlank="1" type="list">
      <formula1>"Approved,Approved with Conditions,Rejected - Remediation Required,Deferred"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2026-02-08T10:48:53Z</dcterms:created>
  <dcterms:modified xmlns:dcterms="http://purl.org/dc/terms/" xmlns:xsi="http://www.w3.org/2001/XMLSchema-instance" xsi:type="dcterms:W3CDTF">2026-02-08T10:48:53Z</dcterms:modified>
</cp:coreProperties>
</file>