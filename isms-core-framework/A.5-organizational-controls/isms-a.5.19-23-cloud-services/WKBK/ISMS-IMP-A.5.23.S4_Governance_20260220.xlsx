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amp; Legend" sheetId="1" state="visible" r:id="rId1"/>
    <sheet name="2. Access Review" sheetId="2" state="visible" r:id="rId2"/>
    <sheet name="3. Change Management" sheetId="3" state="visible" r:id="rId3"/>
    <sheet name="4. Incident Management" sheetId="4" state="visible" r:id="rId4"/>
    <sheet name="5. Business Continuity" sheetId="5" state="visible" r:id="rId5"/>
    <sheet name="6. Vendor Risk Monitoring" sheetId="6" state="visible" r:id="rId6"/>
    <sheet name="7. Exit Strategy Review" sheetId="7" state="visible" r:id="rId7"/>
    <sheet name="8. Jurisdictional Risk" sheetId="8" state="visible" r:id="rId8"/>
    <sheet name="9. Summary Dashboard" sheetId="9" state="visible" r:id="rId9"/>
    <sheet name="10. Evidence Register" sheetId="10" state="visible" r:id="rId10"/>
    <sheet name="11. Approval Sign-Of" sheetId="11" state="visible" r:id="rId11"/>
  </sheets>
  <definedNames/>
  <calcPr calcId="124519" fullCalcOnLoad="1"/>
</workbook>
</file>

<file path=xl/styles.xml><?xml version="1.0" encoding="utf-8"?>
<styleSheet xmlns="http://schemas.openxmlformats.org/spreadsheetml/2006/main">
  <numFmts count="1">
    <numFmt numFmtId="164" formatCode="DD.MM.YYYY"/>
  </numFmts>
  <fonts count="24">
    <font>
      <name val="Calibri"/>
      <family val="2"/>
      <color theme="1"/>
      <sz val="11"/>
      <scheme val="minor"/>
    </font>
    <font>
      <name val="Calibri"/>
      <b val="1"/>
      <color rgb="00FFFFFF"/>
      <sz val="14"/>
    </font>
    <font>
      <b val="1"/>
      <sz val="12"/>
    </font>
    <font>
      <b val="1"/>
    </font>
    <font>
      <b val="1"/>
      <color rgb="00003366"/>
      <sz val="12"/>
    </font>
    <font>
      <b val="1"/>
      <color rgb="00FFFFFF"/>
    </font>
    <font>
      <b val="1"/>
      <color rgb="00FFFFFF"/>
      <sz val="14"/>
    </font>
    <font>
      <i val="1"/>
      <sz val="10"/>
    </font>
    <font>
      <b val="1"/>
      <sz val="11"/>
    </font>
    <font>
      <i val="1"/>
      <color rgb="00808080"/>
      <sz val="10"/>
    </font>
    <font>
      <b val="1"/>
      <color rgb="00FFFFFF"/>
      <sz val="11"/>
    </font>
    <font>
      <b val="1"/>
      <color rgb="000000FF"/>
      <sz val="12"/>
    </font>
    <font>
      <name val="Calibri"/>
      <i val="1"/>
      <sz val="9"/>
    </font>
    <font>
      <name val="Calibri"/>
      <b val="1"/>
      <sz val="10"/>
    </font>
    <font>
      <name val="Calibri"/>
      <i val="1"/>
      <color rgb="00666666"/>
      <sz val="10"/>
    </font>
    <font>
      <name val="Calibri"/>
      <b val="1"/>
      <color rgb="00FFFFFF"/>
      <sz val="12"/>
    </font>
    <font>
      <b val="1"/>
      <color rgb="00FF0000"/>
      <sz val="10"/>
    </font>
    <font>
      <name val="Calibri"/>
      <i val="1"/>
      <sz val="10"/>
    </font>
    <font>
      <name val="Calibri"/>
      <b val="1"/>
      <color rgb="00FFFFFF"/>
      <sz val="10"/>
    </font>
    <font>
      <name val="Calibri"/>
      <b val="1"/>
      <color rgb="00FFFFFF"/>
      <sz val="11"/>
    </font>
    <font>
      <b val="1"/>
      <sz val="18"/>
    </font>
    <font>
      <i val="1"/>
    </font>
    <font>
      <name val="Calibri"/>
      <b val="1"/>
      <sz val="11"/>
    </font>
    <font>
      <name val="Calibri"/>
      <i val="1"/>
      <color rgb="00666666"/>
    </font>
  </fonts>
  <fills count="12">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F2F2F2"/>
        <bgColor rgb="00F2F2F2"/>
      </patternFill>
    </fill>
    <fill>
      <patternFill patternType="solid">
        <fgColor rgb="004472C4"/>
        <bgColor rgb="004472C4"/>
      </patternFill>
    </fill>
    <fill>
      <patternFill patternType="solid">
        <fgColor rgb="0070AD47"/>
        <bgColor rgb="0070AD47"/>
      </patternFill>
    </fill>
    <fill>
      <patternFill patternType="solid">
        <fgColor rgb="00C00000"/>
        <bgColor rgb="00C00000"/>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0" fillId="3" borderId="1" pivotButton="0" quotePrefix="0" xfId="0"/>
    <xf numFmtId="0" fontId="4" fillId="0" borderId="0" pivotButton="0" quotePrefix="0" xfId="0"/>
    <xf numFmtId="0" fontId="0" fillId="0" borderId="0" applyAlignment="1" pivotButton="0" quotePrefix="0" xfId="0">
      <alignment wrapText="1"/>
    </xf>
    <xf numFmtId="0" fontId="5"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6" fillId="2" borderId="0" applyAlignment="1" pivotButton="0" quotePrefix="0" xfId="0">
      <alignment horizontal="center" vertical="center"/>
    </xf>
    <xf numFmtId="0" fontId="7" fillId="8" borderId="0" applyAlignment="1" pivotButton="0" quotePrefix="0" xfId="0">
      <alignment horizontal="left" wrapText="1"/>
    </xf>
    <xf numFmtId="0" fontId="8" fillId="4" borderId="2" applyAlignment="1" pivotButton="0" quotePrefix="0" xfId="0">
      <alignment horizontal="center" wrapText="1"/>
    </xf>
    <xf numFmtId="0" fontId="9" fillId="8" borderId="2" pivotButton="0" quotePrefix="0" xfId="0"/>
    <xf numFmtId="0" fontId="0" fillId="3" borderId="2" pivotButton="0" quotePrefix="0" xfId="0"/>
    <xf numFmtId="0" fontId="10" fillId="9" borderId="0" pivotButton="0" quotePrefix="0" xfId="0"/>
    <xf numFmtId="0" fontId="8" fillId="0" borderId="2" pivotButton="0" quotePrefix="0" xfId="0"/>
    <xf numFmtId="0" fontId="0" fillId="0" borderId="0" applyAlignment="1" pivotButton="0" quotePrefix="0" xfId="0">
      <alignment horizontal="center"/>
    </xf>
    <xf numFmtId="0" fontId="0" fillId="0" borderId="2" pivotButton="0" quotePrefix="0" xfId="0"/>
    <xf numFmtId="0" fontId="8" fillId="0" borderId="0" pivotButton="0" quotePrefix="0" xfId="0"/>
    <xf numFmtId="0" fontId="11" fillId="0" borderId="0" pivotButton="0" quotePrefix="0" xfId="0"/>
    <xf numFmtId="0" fontId="6" fillId="2" borderId="0" applyAlignment="1" pivotButton="0" quotePrefix="0" xfId="0">
      <alignment horizontal="center" vertical="center" wrapText="1"/>
    </xf>
    <xf numFmtId="0" fontId="12" fillId="8" borderId="0" applyAlignment="1" pivotButton="0" quotePrefix="0" xfId="0">
      <alignment horizontal="center" vertical="center" wrapText="1"/>
    </xf>
    <xf numFmtId="0" fontId="13" fillId="4" borderId="1" applyAlignment="1" pivotButton="0" quotePrefix="0" xfId="0">
      <alignment horizontal="center" vertical="center" wrapText="1"/>
    </xf>
    <xf numFmtId="0" fontId="14" fillId="8" borderId="1" pivotButton="0" quotePrefix="0" xfId="0"/>
    <xf numFmtId="164" fontId="0" fillId="3" borderId="1" pivotButton="0" quotePrefix="0" xfId="0"/>
    <xf numFmtId="0" fontId="15" fillId="9" borderId="0" applyAlignment="1" pivotButton="0" quotePrefix="0" xfId="0">
      <alignment horizontal="center" vertical="center"/>
    </xf>
    <xf numFmtId="0" fontId="0" fillId="0" borderId="0" applyAlignment="1" pivotButton="0" quotePrefix="0" xfId="0">
      <alignment horizontal="left" vertical="center" wrapText="1"/>
    </xf>
    <xf numFmtId="0" fontId="15" fillId="10" borderId="0" applyAlignment="1" pivotButton="0" quotePrefix="0" xfId="0">
      <alignment horizontal="center" vertical="center"/>
    </xf>
    <xf numFmtId="0" fontId="10" fillId="9" borderId="0" applyAlignment="1" pivotButton="0" quotePrefix="0" xfId="0">
      <alignment horizontal="center" vertical="center"/>
    </xf>
    <xf numFmtId="0" fontId="16" fillId="6" borderId="0" applyAlignment="1" pivotButton="0" quotePrefix="0" xfId="0">
      <alignment horizontal="center" vertical="center" wrapText="1"/>
    </xf>
    <xf numFmtId="0" fontId="3" fillId="4" borderId="0" pivotButton="0" quotePrefix="0" xfId="0"/>
    <xf numFmtId="0" fontId="1" fillId="2" borderId="1" applyAlignment="1" pivotButton="0" quotePrefix="0" xfId="0">
      <alignment horizontal="center" vertical="center" wrapText="1"/>
    </xf>
    <xf numFmtId="0" fontId="17" fillId="8" borderId="0" applyAlignment="1" pivotButton="0" quotePrefix="0" xfId="0">
      <alignment horizontal="left" vertical="center" wrapText="1"/>
    </xf>
    <xf numFmtId="0" fontId="10" fillId="2" borderId="0" pivotButton="0" quotePrefix="0" xfId="0"/>
    <xf numFmtId="0" fontId="18" fillId="9" borderId="1" applyAlignment="1" pivotButton="0" quotePrefix="0" xfId="0">
      <alignment horizontal="center" vertical="center" wrapText="1"/>
    </xf>
    <xf numFmtId="0" fontId="18" fillId="2" borderId="1" applyAlignment="1" pivotButton="0" quotePrefix="0" xfId="0">
      <alignment horizontal="center" vertical="center" wrapText="1"/>
    </xf>
    <xf numFmtId="0" fontId="10" fillId="11" borderId="0" pivotButton="0" quotePrefix="0" xfId="0"/>
    <xf numFmtId="0" fontId="19" fillId="9" borderId="1" applyAlignment="1" pivotButton="0" quotePrefix="0" xfId="0">
      <alignment horizontal="center" vertical="center" wrapText="1"/>
    </xf>
    <xf numFmtId="0" fontId="20" fillId="0" borderId="0" pivotButton="0" quotePrefix="0" xfId="0"/>
    <xf numFmtId="0" fontId="21" fillId="8" borderId="0" applyAlignment="1" pivotButton="0" quotePrefix="0" xfId="0">
      <alignment horizontal="left" vertical="center"/>
    </xf>
    <xf numFmtId="0" fontId="22" fillId="4" borderId="1" applyAlignment="1" pivotButton="0" quotePrefix="0" xfId="0">
      <alignment horizontal="center" vertical="center" wrapText="1"/>
    </xf>
    <xf numFmtId="0" fontId="23" fillId="8" borderId="1" applyAlignment="1" pivotButton="0" quotePrefix="0" xfId="0">
      <alignment horizontal="left" vertical="center" wrapText="1"/>
    </xf>
    <xf numFmtId="0" fontId="0" fillId="3" borderId="1" applyAlignment="1" pivotButton="0" quotePrefix="0" xfId="0">
      <alignment horizontal="left" vertical="center" wrapText="1"/>
    </xf>
    <xf numFmtId="0" fontId="10" fillId="9" borderId="0" applyAlignment="1" pivotButton="0" quotePrefix="0" xfId="0">
      <alignment horizontal="center"/>
    </xf>
    <xf numFmtId="0" fontId="10" fillId="2" borderId="0" applyAlignment="1" pivotButton="0" quotePrefix="0" xfId="0">
      <alignment horizontal="center"/>
    </xf>
  </cellXfs>
  <cellStyles count="1">
    <cellStyle name="Normal" xfId="0" builtinId="0" hidden="0"/>
  </cellStyles>
  <dxfs count="3">
    <dxf>
      <font>
        <b val="1"/>
        <color rgb="00FFFFFF"/>
      </font>
      <fill>
        <patternFill patternType="solid">
          <fgColor rgb="00FF0000"/>
          <bgColor rgb="00FF0000"/>
        </patternFill>
      </fill>
    </dxf>
    <dxf>
      <font>
        <b val="1"/>
      </font>
      <fill>
        <patternFill patternType="solid">
          <fgColor rgb="00FFC000"/>
          <bgColor rgb="00FFC000"/>
        </patternFill>
      </fill>
    </dxf>
    <dxf>
      <fill>
        <patternFill patternType="solid">
          <fgColor rgb="00FFFF00"/>
          <b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ISMS-IMP-A.5.23.S4  -  Ongoing Governance &amp; Risk Management
ISO/IEC 27001:2022 - Control A.5.23: Information Security for Use of Cloud Services</t>
        </is>
      </c>
    </row>
    <row r="3">
      <c r="A3" s="2" t="inlineStr">
        <is>
          <t>Document Information</t>
        </is>
      </c>
    </row>
    <row r="4">
      <c r="A4" s="3" t="inlineStr">
        <is>
          <t>Document ID</t>
        </is>
      </c>
      <c r="B4" t="inlineStr">
        <is>
          <t>ISMS-IMP-A.5.23.S4</t>
        </is>
      </c>
    </row>
    <row r="5">
      <c r="A5" s="3" t="inlineStr">
        <is>
          <t>Assessment Area</t>
        </is>
      </c>
      <c r="B5" t="inlineStr">
        <is>
          <t>Ongoing Cloud Service Governance &amp; Risk Management</t>
        </is>
      </c>
    </row>
    <row r="6">
      <c r="A6" s="3" t="inlineStr">
        <is>
          <t>Related Policy</t>
        </is>
      </c>
      <c r="B6" t="inlineStr">
        <is>
          <t>ISMS-POL-A.5.19-23-S4, S5</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1">
      <c r="A11" s="3" t="inlineStr">
        <is>
          <t>Review Cycle</t>
        </is>
      </c>
      <c r="B11" t="inlineStr">
        <is>
          <t>Quarterly</t>
        </is>
      </c>
    </row>
    <row r="13">
      <c r="A13" s="5" t="inlineStr">
        <is>
          <t>REGULATORY COMPLIANCE</t>
        </is>
      </c>
    </row>
    <row r="14">
      <c r="A14" s="6" t="inlineStr">
        <is>
          <t>This workbook includes regulatory compliance tracking for:</t>
        </is>
      </c>
    </row>
    <row r="15">
      <c r="A15" s="6" t="inlineStr">
        <is>
          <t>• DORA (Digital Operational Resilience Act) - ICT risk management</t>
        </is>
      </c>
    </row>
    <row r="16">
      <c r="A16" s="6" t="inlineStr">
        <is>
          <t>• NIS2 (Network and Information Security Directive 2) - Incident management</t>
        </is>
      </c>
    </row>
    <row r="17">
      <c r="A17" s="6" t="inlineStr">
        <is>
          <t>• EU AI Act - AI system risk monitoring</t>
        </is>
      </c>
    </row>
    <row r="18">
      <c r="A18" s="6" t="inlineStr">
        <is>
          <t>• US CLOUD Act - Jurisdictional risk assessment</t>
        </is>
      </c>
    </row>
    <row r="19">
      <c r="A19" s="6" t="inlineStr"/>
    </row>
    <row r="20">
      <c r="A20" s="6" t="inlineStr">
        <is>
          <t>Regulatory columns are included in each assessment sheet.</t>
        </is>
      </c>
    </row>
    <row r="21">
      <c r="A21" s="6" t="inlineStr">
        <is>
          <t>Complete only the regulatory sections applicable to your organisation.</t>
        </is>
      </c>
    </row>
    <row r="23">
      <c r="A23" s="2" t="inlineStr">
        <is>
          <t>Instructions</t>
        </is>
      </c>
    </row>
    <row r="24">
      <c r="A24" t="inlineStr">
        <is>
          <t>1. Complete each assessment sheet for all cloud services in scope.</t>
        </is>
      </c>
    </row>
    <row r="25">
      <c r="A25" t="inlineStr">
        <is>
          <t>2. Use dropdown menus for standardised entries.</t>
        </is>
      </c>
    </row>
    <row r="26">
      <c r="A26" t="inlineStr">
        <is>
          <t>3. Fill in yellow-highlighted cells with your service-specific information.</t>
        </is>
      </c>
    </row>
    <row r="27">
      <c r="A27" t="inlineStr">
        <is>
          <t>4. Complete regulatory columns for DORA/NIS2/AI Act/CLOUD Act as applicable.</t>
        </is>
      </c>
    </row>
    <row r="28">
      <c r="A28" t="inlineStr">
        <is>
          <t>5. Provide evidence location for each assessment entry.</t>
        </is>
      </c>
    </row>
    <row r="29">
      <c r="A29" t="inlineStr">
        <is>
          <t>6. Complete Jurisdictional Risk sheet for all US-nexus providers.</t>
        </is>
      </c>
    </row>
    <row r="30">
      <c r="A30" t="inlineStr">
        <is>
          <t>7. Document DORA ICT risk monitoring frequency if in scope.</t>
        </is>
      </c>
    </row>
    <row r="31">
      <c r="A31" t="inlineStr">
        <is>
          <t>8. Classify NIS2 incidents according to severity thresholds.</t>
        </is>
      </c>
    </row>
    <row r="32">
      <c r="A32" t="inlineStr">
        <is>
          <t>9. Monitor AI systems according to AI Act risk classification.</t>
        </is>
      </c>
    </row>
    <row r="33">
      <c r="A33" t="inlineStr">
        <is>
          <t>10. Assign regulatory risk owners for all identified risks.</t>
        </is>
      </c>
    </row>
    <row r="34">
      <c r="A34" t="inlineStr">
        <is>
          <t>11. Summary Dashboard auto-calculates compliance statistics.</t>
        </is>
      </c>
    </row>
    <row r="35">
      <c r="A35" t="inlineStr">
        <is>
          <t>12. Maintain Evidence Register for audit traceability.</t>
        </is>
      </c>
    </row>
    <row r="36">
      <c r="A36" t="inlineStr">
        <is>
          <t>13. Obtain sign-offs in sequence: IT Ops, Compliance, DPO, CRO, CISO.</t>
        </is>
      </c>
    </row>
    <row r="38">
      <c r="A38" s="2" t="inlineStr">
        <is>
          <t>Status Legend</t>
        </is>
      </c>
    </row>
    <row r="39">
      <c r="A39" s="7" t="inlineStr">
        <is>
          <t>Symbol</t>
        </is>
      </c>
      <c r="B39" s="7" t="inlineStr">
        <is>
          <t>Status</t>
        </is>
      </c>
      <c r="C39" s="7" t="inlineStr">
        <is>
          <t>Description</t>
        </is>
      </c>
    </row>
    <row r="40">
      <c r="A40" s="8" t="inlineStr">
        <is>
          <t>✅</t>
        </is>
      </c>
      <c r="B40" s="9" t="inlineStr">
        <is>
          <t>Compliant</t>
        </is>
      </c>
      <c r="C40" s="10" t="inlineStr">
        <is>
          <t>Service meets all governance and risk management requirements</t>
        </is>
      </c>
    </row>
    <row r="41">
      <c r="A41" s="8" t="inlineStr">
        <is>
          <t>⚠</t>
        </is>
      </c>
      <c r="B41" s="11" t="inlineStr">
        <is>
          <t>Partial</t>
        </is>
      </c>
      <c r="C41" s="10" t="inlineStr">
        <is>
          <t>Some requirements met, gaps exist</t>
        </is>
      </c>
    </row>
    <row r="42">
      <c r="A42" s="8" t="inlineStr">
        <is>
          <t>❌</t>
        </is>
      </c>
      <c r="B42" s="12" t="inlineStr">
        <is>
          <t>Non-Compliant</t>
        </is>
      </c>
      <c r="C42" s="10" t="inlineStr">
        <is>
          <t>Service does not meet minimum requirements</t>
        </is>
      </c>
    </row>
    <row r="43">
      <c r="A43" s="8" t="inlineStr">
        <is>
          <t>—</t>
        </is>
      </c>
      <c r="B43" s="10" t="inlineStr">
        <is>
          <t>Not Applicable</t>
        </is>
      </c>
      <c r="C43" s="10" t="inlineStr">
        <is>
          <t>Requirement does not apply to this service</t>
        </is>
      </c>
    </row>
    <row r="45">
      <c r="A45" s="2" t="inlineStr">
        <is>
          <t>ACCEPTABLE EVIDENCE (examples)</t>
        </is>
      </c>
    </row>
    <row r="46">
      <c r="A46" t="inlineStr">
        <is>
          <t>✓ Access review reports with sign-offs</t>
        </is>
      </c>
    </row>
    <row r="47">
      <c r="A47" t="inlineStr">
        <is>
          <t>✓ Change management tickets and approvals</t>
        </is>
      </c>
    </row>
    <row r="48">
      <c r="A48" t="inlineStr">
        <is>
          <t>✓ Incident reports and root cause analyses</t>
        </is>
      </c>
    </row>
    <row r="49">
      <c r="A49" t="inlineStr">
        <is>
          <t>✓ BC/DR test results and RTO/RPO measurements</t>
        </is>
      </c>
    </row>
    <row r="50">
      <c r="A50" t="inlineStr">
        <is>
          <t>✓ Vendor risk assessments and scorecards</t>
        </is>
      </c>
    </row>
    <row r="51">
      <c r="A51" t="inlineStr">
        <is>
          <t>✓ Quarterly ICT risk register reviews (DORA)</t>
        </is>
      </c>
    </row>
    <row r="52">
      <c r="A52" t="inlineStr">
        <is>
          <t>✓ Vendor concentration risk assessment</t>
        </is>
      </c>
    </row>
    <row r="53">
      <c r="A53" t="inlineStr">
        <is>
          <t>✓ Business continuity test reports (annual minimum)</t>
        </is>
      </c>
    </row>
    <row r="54">
      <c r="A54" t="inlineStr">
        <is>
          <t>✓ Incident notification records (NIS2 ≤24h threshold)</t>
        </is>
      </c>
    </row>
    <row r="55">
      <c r="A55" t="inlineStr">
        <is>
          <t>✓ AI system monitoring logs (for high-risk AI)</t>
        </is>
      </c>
    </row>
    <row r="56">
      <c r="A56" t="inlineStr">
        <is>
          <t>✓ Risk ownership assignments (signed by risk owners)</t>
        </is>
      </c>
    </row>
    <row r="57">
      <c r="A57" t="inlineStr">
        <is>
          <t>✓ Jurisdictional risk assessment (for US-nexus providers)</t>
        </is>
      </c>
    </row>
    <row r="58">
      <c r="A58" t="inlineStr">
        <is>
          <t>✓ Risk acceptance forms (signed by CISO/DPO/CRO)</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74"/>
  <sheetViews>
    <sheetView workbookViewId="0">
      <pane ySplit="3" topLeftCell="A4" activePane="bottomLeft" state="frozen"/>
      <selection pane="bottomLeft" activeCell="A1" sqref="A1"/>
    </sheetView>
  </sheetViews>
  <sheetFormatPr baseColWidth="8" defaultRowHeight="15"/>
  <cols>
    <col width="28" customWidth="1" min="1" max="1"/>
    <col width="65" customWidth="1" min="2" max="2"/>
    <col width="20" customWidth="1" min="3" max="3"/>
    <col width="16" customWidth="1" min="4" max="4"/>
    <col width="18" customWidth="1" min="5" max="5"/>
    <col width="20" customWidth="1" min="6" max="6"/>
    <col width="18" customWidth="1" min="7" max="7"/>
    <col width="15" customWidth="1" min="8" max="8"/>
    <col width="30" customWidth="1" min="9" max="9"/>
    <col width="35" customWidth="1" min="10" max="10"/>
    <col width="16" customWidth="1" min="11" max="11"/>
    <col width="14" customWidth="1" min="12" max="12"/>
    <col width="14" customWidth="1" min="13" max="13"/>
    <col width="30" customWidth="1" min="14" max="14"/>
    <col width="20" customWidth="1" min="15" max="15"/>
    <col width="18" customWidth="1" min="16" max="16"/>
    <col width="18" customWidth="1" min="17" max="17"/>
    <col width="16" customWidth="1" min="18" max="18"/>
    <col width="18" customWidth="1" min="19" max="19"/>
    <col width="18" customWidth="1" min="20" max="20"/>
    <col width="18" customWidth="1" min="21" max="21"/>
    <col width="20" customWidth="1" min="22" max="22"/>
    <col width="18" customWidth="1" min="23" max="23"/>
    <col width="16" customWidth="1" min="24" max="24"/>
  </cols>
  <sheetData>
    <row r="1" ht="35" customHeight="1">
      <c r="A1" s="13" t="inlineStr">
        <is>
          <t>ACCESS REVIEW &amp; RECERTIFICATION</t>
        </is>
      </c>
    </row>
    <row r="2" ht="30" customHeight="1">
      <c r="A2" s="14" t="inlineStr">
        <is>
          <t>Policy Reference: Access to cloud services MUST be reviewed quarterly. Orphan accounts MUST be disabled within 24 hours. (Policy Section 6.1)</t>
        </is>
      </c>
    </row>
    <row r="3" ht="30" customHeight="1">
      <c r="A3" s="15" t="inlineStr">
        <is>
          <t>Cloud Service Name</t>
        </is>
      </c>
      <c r="B3" s="15" t="inlineStr">
        <is>
          <t>Vendor Name</t>
        </is>
      </c>
      <c r="C3" s="15" t="inlineStr">
        <is>
          <t>Service Type</t>
        </is>
      </c>
      <c r="D3" s="15" t="inlineStr">
        <is>
          <t>Review Period</t>
        </is>
      </c>
      <c r="E3" s="15" t="inlineStr">
        <is>
          <t>Service Criticality</t>
        </is>
      </c>
      <c r="F3" s="15" t="inlineStr">
        <is>
          <t>Data Classification</t>
        </is>
      </c>
      <c r="G3" s="15" t="inlineStr">
        <is>
          <t>Review Type</t>
        </is>
      </c>
      <c r="H3" s="15" t="inlineStr">
        <is>
          <t>Status</t>
        </is>
      </c>
      <c r="I3" s="15" t="inlineStr">
        <is>
          <t>Evidence Location</t>
        </is>
      </c>
      <c r="J3" s="15" t="inlineStr">
        <is>
          <t>Gap Description</t>
        </is>
      </c>
      <c r="K3" s="15" t="inlineStr">
        <is>
          <t>Remediation Needed</t>
        </is>
      </c>
      <c r="L3" s="15" t="inlineStr">
        <is>
          <t>Exception ID</t>
        </is>
      </c>
      <c r="M3" s="15" t="inlineStr">
        <is>
          <t>Risk ID</t>
        </is>
      </c>
      <c r="N3" s="15" t="inlineStr">
        <is>
          <t>Compensating Controls</t>
        </is>
      </c>
      <c r="O3" s="15" t="inlineStr">
        <is>
          <t>Responsible Team/Owner</t>
        </is>
      </c>
      <c r="P3" s="15" t="inlineStr">
        <is>
          <t>Target Remediation Date</t>
        </is>
      </c>
      <c r="Q3" s="15" t="inlineStr">
        <is>
          <t>Last Review Date</t>
        </is>
      </c>
      <c r="R3" s="15" t="inlineStr">
        <is>
          <t>Last Review Date</t>
        </is>
      </c>
      <c r="S3" s="15" t="inlineStr">
        <is>
          <t>Review Outcome</t>
        </is>
      </c>
      <c r="T3" s="15" t="inlineStr">
        <is>
          <t>Total Accounts Reviewed</t>
        </is>
      </c>
      <c r="U3" s="15" t="inlineStr">
        <is>
          <t>Orphan Accounts Found</t>
        </is>
      </c>
      <c r="V3" s="15" t="inlineStr">
        <is>
          <t>Excessive Privileges Found</t>
        </is>
      </c>
      <c r="W3" s="15" t="inlineStr">
        <is>
          <t>Accounts Remediated</t>
        </is>
      </c>
      <c r="X3" s="15" t="inlineStr">
        <is>
          <t>Next Review Due</t>
        </is>
      </c>
    </row>
    <row r="4">
      <c r="A4" s="16" t="inlineStr">
        <is>
          <t>Example: Microsoft 365</t>
        </is>
      </c>
      <c r="B4" s="16" t="inlineStr">
        <is>
          <t>Microsoft</t>
        </is>
      </c>
      <c r="C4" s="16" t="inlineStr">
        <is>
          <t>SaaS</t>
        </is>
      </c>
      <c r="D4" s="16" t="inlineStr">
        <is>
          <t>Q4</t>
        </is>
      </c>
      <c r="E4" s="16" t="inlineStr">
        <is>
          <t>Critical</t>
        </is>
      </c>
      <c r="F4" s="16" t="inlineStr">
        <is>
          <t>Confidential</t>
        </is>
      </c>
      <c r="G4" s="16" t="inlineStr">
        <is>
          <t>Full Recertification</t>
        </is>
      </c>
      <c r="H4" s="16" t="inlineStr">
        <is>
          <t>✅ Compliant</t>
        </is>
      </c>
      <c r="I4" s="16" t="inlineStr">
        <is>
          <t>/evidence/access/M365</t>
        </is>
      </c>
      <c r="J4" s="16" t="inlineStr"/>
      <c r="K4" s="16" t="inlineStr">
        <is>
          <t>No</t>
        </is>
      </c>
      <c r="L4" s="16" t="inlineStr"/>
      <c r="M4" s="16" t="inlineStr"/>
      <c r="N4" s="16" t="inlineStr"/>
      <c r="O4" s="16" t="inlineStr">
        <is>
          <t>IT Ops</t>
        </is>
      </c>
      <c r="P4" s="16" t="inlineStr"/>
      <c r="Q4" s="16" t="inlineStr">
        <is>
          <t>2025-12-15</t>
        </is>
      </c>
      <c r="R4" s="16" t="inlineStr">
        <is>
          <t>2025-12-15</t>
        </is>
      </c>
      <c r="S4" s="16" t="inlineStr">
        <is>
          <t>Passed</t>
        </is>
      </c>
      <c r="T4" s="16" t="inlineStr">
        <is>
          <t>245</t>
        </is>
      </c>
      <c r="U4" s="16" t="inlineStr">
        <is>
          <t>3</t>
        </is>
      </c>
      <c r="V4" s="16" t="inlineStr">
        <is>
          <t>5</t>
        </is>
      </c>
      <c r="W4" s="16" t="inlineStr">
        <is>
          <t>8</t>
        </is>
      </c>
      <c r="X4" s="16" t="inlineStr">
        <is>
          <t>2026-03-15</t>
        </is>
      </c>
    </row>
    <row r="5">
      <c r="A5" s="17" t="n"/>
      <c r="B5" s="17" t="n"/>
      <c r="C5" s="17" t="n"/>
      <c r="D5" s="17" t="n"/>
      <c r="E5" s="17" t="n"/>
      <c r="F5" s="17" t="n"/>
      <c r="G5" s="17" t="n"/>
      <c r="H5" s="17" t="n"/>
      <c r="I5" s="17" t="n"/>
      <c r="J5" s="17" t="n"/>
      <c r="K5" s="17" t="n"/>
      <c r="L5" s="17" t="n"/>
      <c r="M5" s="17" t="n"/>
      <c r="N5" s="17" t="n"/>
      <c r="O5" s="17" t="n"/>
      <c r="P5" s="17" t="n"/>
      <c r="Q5" s="17" t="n"/>
      <c r="R5" s="17" t="n"/>
      <c r="S5" s="17" t="n"/>
      <c r="T5" s="17" t="n"/>
      <c r="U5" s="17" t="n"/>
      <c r="V5" s="17" t="n"/>
      <c r="W5" s="17" t="n"/>
      <c r="X5" s="17" t="n"/>
    </row>
    <row r="6">
      <c r="A6" s="17" t="n"/>
      <c r="B6" s="17" t="n"/>
      <c r="C6" s="17" t="n"/>
      <c r="D6" s="17" t="n"/>
      <c r="E6" s="17" t="n"/>
      <c r="F6" s="17" t="n"/>
      <c r="G6" s="17" t="n"/>
      <c r="H6" s="17" t="n"/>
      <c r="I6" s="17" t="n"/>
      <c r="J6" s="17" t="n"/>
      <c r="K6" s="17" t="n"/>
      <c r="L6" s="17" t="n"/>
      <c r="M6" s="17" t="n"/>
      <c r="N6" s="17" t="n"/>
      <c r="O6" s="17" t="n"/>
      <c r="P6" s="17" t="n"/>
      <c r="Q6" s="17" t="n"/>
      <c r="R6" s="17" t="n"/>
      <c r="S6" s="17" t="n"/>
      <c r="T6" s="17" t="n"/>
      <c r="U6" s="17" t="n"/>
      <c r="V6" s="17" t="n"/>
      <c r="W6" s="17" t="n"/>
      <c r="X6" s="17" t="n"/>
    </row>
    <row r="7">
      <c r="A7" s="17" t="n"/>
      <c r="B7" s="17" t="n"/>
      <c r="C7" s="17" t="n"/>
      <c r="D7" s="17" t="n"/>
      <c r="E7" s="17" t="n"/>
      <c r="F7" s="17" t="n"/>
      <c r="G7" s="17" t="n"/>
      <c r="H7" s="17" t="n"/>
      <c r="I7" s="17" t="n"/>
      <c r="J7" s="17" t="n"/>
      <c r="K7" s="17" t="n"/>
      <c r="L7" s="17" t="n"/>
      <c r="M7" s="17" t="n"/>
      <c r="N7" s="17" t="n"/>
      <c r="O7" s="17" t="n"/>
      <c r="P7" s="17" t="n"/>
      <c r="Q7" s="17" t="n"/>
      <c r="R7" s="17" t="n"/>
      <c r="S7" s="17" t="n"/>
      <c r="T7" s="17" t="n"/>
      <c r="U7" s="17" t="n"/>
      <c r="V7" s="17" t="n"/>
      <c r="W7" s="17" t="n"/>
      <c r="X7" s="17" t="n"/>
    </row>
    <row r="8">
      <c r="A8" s="17" t="n"/>
      <c r="B8" s="17" t="n"/>
      <c r="C8" s="17" t="n"/>
      <c r="D8" s="17" t="n"/>
      <c r="E8" s="17" t="n"/>
      <c r="F8" s="17" t="n"/>
      <c r="G8" s="17" t="n"/>
      <c r="H8" s="17" t="n"/>
      <c r="I8" s="17" t="n"/>
      <c r="J8" s="17" t="n"/>
      <c r="K8" s="17" t="n"/>
      <c r="L8" s="17" t="n"/>
      <c r="M8" s="17" t="n"/>
      <c r="N8" s="17" t="n"/>
      <c r="O8" s="17" t="n"/>
      <c r="P8" s="17" t="n"/>
      <c r="Q8" s="17" t="n"/>
      <c r="R8" s="17" t="n"/>
      <c r="S8" s="17" t="n"/>
      <c r="T8" s="17" t="n"/>
      <c r="U8" s="17" t="n"/>
      <c r="V8" s="17" t="n"/>
      <c r="W8" s="17" t="n"/>
      <c r="X8" s="17" t="n"/>
    </row>
    <row r="9">
      <c r="A9" s="17" t="n"/>
      <c r="B9" s="17" t="n"/>
      <c r="C9" s="17" t="n"/>
      <c r="D9" s="17" t="n"/>
      <c r="E9" s="17" t="n"/>
      <c r="F9" s="17" t="n"/>
      <c r="G9" s="17" t="n"/>
      <c r="H9" s="17" t="n"/>
      <c r="I9" s="17" t="n"/>
      <c r="J9" s="17" t="n"/>
      <c r="K9" s="17" t="n"/>
      <c r="L9" s="17" t="n"/>
      <c r="M9" s="17" t="n"/>
      <c r="N9" s="17" t="n"/>
      <c r="O9" s="17" t="n"/>
      <c r="P9" s="17" t="n"/>
      <c r="Q9" s="17" t="n"/>
      <c r="R9" s="17" t="n"/>
      <c r="S9" s="17" t="n"/>
      <c r="T9" s="17" t="n"/>
      <c r="U9" s="17" t="n"/>
      <c r="V9" s="17" t="n"/>
      <c r="W9" s="17" t="n"/>
      <c r="X9" s="17" t="n"/>
    </row>
    <row r="10">
      <c r="A10" s="17" t="n"/>
      <c r="B10" s="17" t="n"/>
      <c r="C10" s="17" t="n"/>
      <c r="D10" s="17" t="n"/>
      <c r="E10" s="17" t="n"/>
      <c r="F10" s="17" t="n"/>
      <c r="G10" s="17" t="n"/>
      <c r="H10" s="17" t="n"/>
      <c r="I10" s="17" t="n"/>
      <c r="J10" s="17" t="n"/>
      <c r="K10" s="17" t="n"/>
      <c r="L10" s="17" t="n"/>
      <c r="M10" s="17" t="n"/>
      <c r="N10" s="17" t="n"/>
      <c r="O10" s="17" t="n"/>
      <c r="P10" s="17" t="n"/>
      <c r="Q10" s="17" t="n"/>
      <c r="R10" s="17" t="n"/>
      <c r="S10" s="17" t="n"/>
      <c r="T10" s="17" t="n"/>
      <c r="U10" s="17" t="n"/>
      <c r="V10" s="17" t="n"/>
      <c r="W10" s="17" t="n"/>
      <c r="X10" s="17"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c r="U11" s="17" t="n"/>
      <c r="V11" s="17" t="n"/>
      <c r="W11" s="17" t="n"/>
      <c r="X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c r="U12" s="17" t="n"/>
      <c r="V12" s="17" t="n"/>
      <c r="W12" s="17" t="n"/>
      <c r="X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c r="U13" s="17" t="n"/>
      <c r="V13" s="17" t="n"/>
      <c r="W13" s="17" t="n"/>
      <c r="X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c r="U14" s="17" t="n"/>
      <c r="V14" s="17" t="n"/>
      <c r="W14" s="17" t="n"/>
      <c r="X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c r="U15" s="17" t="n"/>
      <c r="V15" s="17" t="n"/>
      <c r="W15" s="17" t="n"/>
      <c r="X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c r="U16" s="17" t="n"/>
      <c r="V16" s="17" t="n"/>
      <c r="W16" s="17" t="n"/>
      <c r="X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c r="U17" s="17" t="n"/>
      <c r="V17" s="17" t="n"/>
      <c r="W17" s="17" t="n"/>
      <c r="X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c r="U18" s="17" t="n"/>
      <c r="V18" s="17" t="n"/>
      <c r="W18" s="17" t="n"/>
      <c r="X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c r="U19" s="17" t="n"/>
      <c r="V19" s="17" t="n"/>
      <c r="W19" s="17" t="n"/>
      <c r="X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c r="U20" s="17" t="n"/>
      <c r="V20" s="17" t="n"/>
      <c r="W20" s="17" t="n"/>
      <c r="X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c r="U21" s="17" t="n"/>
      <c r="V21" s="17" t="n"/>
      <c r="W21" s="17" t="n"/>
      <c r="X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c r="U22" s="17" t="n"/>
      <c r="V22" s="17" t="n"/>
      <c r="W22" s="17" t="n"/>
      <c r="X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c r="U23" s="17" t="n"/>
      <c r="V23" s="17" t="n"/>
      <c r="W23" s="17" t="n"/>
      <c r="X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c r="U24" s="17" t="n"/>
      <c r="V24" s="17" t="n"/>
      <c r="W24" s="17" t="n"/>
      <c r="X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c r="U25" s="17" t="n"/>
      <c r="V25" s="17" t="n"/>
      <c r="W25" s="17" t="n"/>
      <c r="X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c r="U26" s="17" t="n"/>
      <c r="V26" s="17" t="n"/>
      <c r="W26" s="17" t="n"/>
      <c r="X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c r="U27" s="17" t="n"/>
      <c r="V27" s="17" t="n"/>
      <c r="W27" s="17" t="n"/>
      <c r="X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c r="U28" s="17" t="n"/>
      <c r="V28" s="17" t="n"/>
      <c r="W28" s="17" t="n"/>
      <c r="X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c r="U29" s="17" t="n"/>
      <c r="V29" s="17" t="n"/>
      <c r="W29" s="17" t="n"/>
      <c r="X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c r="U31" s="17" t="n"/>
      <c r="V31" s="17" t="n"/>
      <c r="W31" s="17" t="n"/>
      <c r="X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c r="U32" s="17" t="n"/>
      <c r="V32" s="17" t="n"/>
      <c r="W32" s="17" t="n"/>
      <c r="X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c r="U33" s="17" t="n"/>
      <c r="V33" s="17" t="n"/>
      <c r="W33" s="17" t="n"/>
      <c r="X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c r="U34" s="17" t="n"/>
      <c r="V34" s="17" t="n"/>
      <c r="W34" s="17" t="n"/>
      <c r="X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c r="U35" s="17" t="n"/>
      <c r="V35" s="17" t="n"/>
      <c r="W35" s="17" t="n"/>
      <c r="X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c r="U36" s="17" t="n"/>
      <c r="V36" s="17" t="n"/>
      <c r="W36" s="17" t="n"/>
      <c r="X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c r="U37" s="17" t="n"/>
      <c r="V37" s="17" t="n"/>
      <c r="W37" s="17" t="n"/>
      <c r="X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c r="U38" s="17" t="n"/>
      <c r="V38" s="17" t="n"/>
      <c r="W38" s="17" t="n"/>
      <c r="X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c r="U39" s="17" t="n"/>
      <c r="V39" s="17" t="n"/>
      <c r="W39" s="17" t="n"/>
      <c r="X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c r="U40" s="17" t="n"/>
      <c r="V40" s="17" t="n"/>
      <c r="W40" s="17" t="n"/>
      <c r="X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c r="U41" s="17" t="n"/>
      <c r="V41" s="17" t="n"/>
      <c r="W41" s="17" t="n"/>
      <c r="X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c r="U42" s="17" t="n"/>
      <c r="V42" s="17" t="n"/>
      <c r="W42" s="17" t="n"/>
      <c r="X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c r="U43" s="17" t="n"/>
      <c r="V43" s="17" t="n"/>
      <c r="W43" s="17" t="n"/>
      <c r="X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c r="U44" s="17" t="n"/>
      <c r="V44" s="17" t="n"/>
      <c r="W44" s="17" t="n"/>
      <c r="X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c r="U46" s="17" t="n"/>
      <c r="V46" s="17" t="n"/>
      <c r="W46" s="17" t="n"/>
      <c r="X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c r="U47" s="17" t="n"/>
      <c r="V47" s="17" t="n"/>
      <c r="W47" s="17" t="n"/>
      <c r="X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c r="U48" s="17" t="n"/>
      <c r="V48" s="17" t="n"/>
      <c r="W48" s="17" t="n"/>
      <c r="X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c r="U49" s="17" t="n"/>
      <c r="V49" s="17" t="n"/>
      <c r="W49" s="17" t="n"/>
      <c r="X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c r="U50" s="17" t="n"/>
      <c r="V50" s="17" t="n"/>
      <c r="W50" s="17" t="n"/>
      <c r="X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c r="U52" s="17" t="n"/>
      <c r="V52" s="17" t="n"/>
      <c r="W52" s="17" t="n"/>
      <c r="X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c r="U53" s="17" t="n"/>
      <c r="V53" s="17" t="n"/>
      <c r="W53" s="17" t="n"/>
      <c r="X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c r="U54" s="17" t="n"/>
      <c r="V54" s="17" t="n"/>
      <c r="W54" s="17" t="n"/>
      <c r="X54" s="17" t="n"/>
    </row>
    <row r="56">
      <c r="A56" s="18" t="inlineStr">
        <is>
          <t>ACCESS REVIEW &amp; RECERTIFICATION - COMPLIANCE CHECKLIST</t>
        </is>
      </c>
    </row>
    <row r="57">
      <c r="A57" s="19" t="inlineStr">
        <is>
          <t>☐</t>
        </is>
      </c>
      <c r="B57" s="19" t="inlineStr">
        <is>
          <t>Requirement</t>
        </is>
      </c>
      <c r="C57" s="19" t="inlineStr">
        <is>
          <t>Status</t>
        </is>
      </c>
      <c r="D57" s="19" t="inlineStr">
        <is>
          <t>Notes/Evidence</t>
        </is>
      </c>
    </row>
    <row r="58">
      <c r="A58" s="20" t="inlineStr">
        <is>
          <t>☐</t>
        </is>
      </c>
      <c r="B58" s="6" t="inlineStr">
        <is>
          <t>Quarterly access review schedule documented and communicated</t>
        </is>
      </c>
      <c r="C58" s="21" t="n"/>
      <c r="D58" s="21" t="n"/>
    </row>
    <row r="59">
      <c r="A59" s="20" t="inlineStr">
        <is>
          <t>☐</t>
        </is>
      </c>
      <c r="B59" s="6" t="inlineStr">
        <is>
          <t>Access review covers all user types (employees, contractors, service accounts)</t>
        </is>
      </c>
      <c r="C59" s="21" t="n"/>
      <c r="D59" s="21" t="n"/>
    </row>
    <row r="60">
      <c r="A60" s="20" t="inlineStr">
        <is>
          <t>☐</t>
        </is>
      </c>
      <c r="B60" s="6" t="inlineStr">
        <is>
          <t>Privileged access reviewed separately with enhanced scrutiny</t>
        </is>
      </c>
      <c r="C60" s="21" t="n"/>
      <c r="D60" s="21" t="n"/>
    </row>
    <row r="61">
      <c r="A61" s="20" t="inlineStr">
        <is>
          <t>☐</t>
        </is>
      </c>
      <c r="B61" s="6" t="inlineStr">
        <is>
          <t>Review includes comparison against job role/least privilege</t>
        </is>
      </c>
      <c r="C61" s="21" t="n"/>
      <c r="D61" s="21" t="n"/>
    </row>
    <row r="62">
      <c r="A62" s="20" t="inlineStr">
        <is>
          <t>☐</t>
        </is>
      </c>
      <c r="B62" s="6" t="inlineStr">
        <is>
          <t>Orphan account detection process automated or scheduled</t>
        </is>
      </c>
      <c r="C62" s="21" t="n"/>
      <c r="D62" s="21" t="n"/>
    </row>
    <row r="63">
      <c r="A63" s="20" t="inlineStr">
        <is>
          <t>☐</t>
        </is>
      </c>
      <c r="B63" s="6" t="inlineStr">
        <is>
          <t>Orphan accounts disabled within 24 hours of detection</t>
        </is>
      </c>
      <c r="C63" s="21" t="n"/>
      <c r="D63" s="21" t="n"/>
    </row>
    <row r="64">
      <c r="A64" s="20" t="inlineStr">
        <is>
          <t>☐</t>
        </is>
      </c>
      <c r="B64" s="6" t="inlineStr">
        <is>
          <t>Terminated user access revoked within SLA (24 hours)</t>
        </is>
      </c>
      <c r="C64" s="21" t="n"/>
      <c r="D64" s="21" t="n"/>
    </row>
    <row r="65">
      <c r="A65" s="20" t="inlineStr">
        <is>
          <t>☐</t>
        </is>
      </c>
      <c r="B65" s="6" t="inlineStr">
        <is>
          <t>Service account ownership verified and documented</t>
        </is>
      </c>
      <c r="C65" s="21" t="n"/>
      <c r="D65" s="21" t="n"/>
    </row>
    <row r="66">
      <c r="A66" s="20" t="inlineStr">
        <is>
          <t>☐</t>
        </is>
      </c>
      <c r="B66" s="6" t="inlineStr">
        <is>
          <t>Shared account usage minimized and justified</t>
        </is>
      </c>
      <c r="C66" s="21" t="n"/>
      <c r="D66" s="21" t="n"/>
    </row>
    <row r="67">
      <c r="A67" s="20" t="inlineStr">
        <is>
          <t>☐</t>
        </is>
      </c>
      <c r="B67" s="6" t="inlineStr">
        <is>
          <t>MFA status verified during access review</t>
        </is>
      </c>
      <c r="C67" s="21" t="n"/>
      <c r="D67" s="21" t="n"/>
    </row>
    <row r="68">
      <c r="A68" s="20" t="inlineStr">
        <is>
          <t>☐</t>
        </is>
      </c>
      <c r="B68" s="6" t="inlineStr">
        <is>
          <t>External/guest access reviewed and time-limited</t>
        </is>
      </c>
      <c r="C68" s="21" t="n"/>
      <c r="D68" s="21" t="n"/>
    </row>
    <row r="69">
      <c r="A69" s="20" t="inlineStr">
        <is>
          <t>☐</t>
        </is>
      </c>
      <c r="B69" s="6" t="inlineStr">
        <is>
          <t>Access review findings documented with evidence</t>
        </is>
      </c>
      <c r="C69" s="21" t="n"/>
      <c r="D69" s="21" t="n"/>
    </row>
    <row r="70">
      <c r="A70" s="20" t="inlineStr">
        <is>
          <t>☐</t>
        </is>
      </c>
      <c r="B70" s="6" t="inlineStr">
        <is>
          <t>Non-compliance escalated to service owner</t>
        </is>
      </c>
      <c r="C70" s="21" t="n"/>
      <c r="D70" s="21" t="n"/>
    </row>
    <row r="71">
      <c r="A71" s="20" t="inlineStr">
        <is>
          <t>☐</t>
        </is>
      </c>
      <c r="B71" s="6" t="inlineStr">
        <is>
          <t>Review completion rates tracked and reported</t>
        </is>
      </c>
      <c r="C71" s="21" t="n"/>
      <c r="D71" s="21" t="n"/>
    </row>
    <row r="72">
      <c r="A72" s="20" t="inlineStr">
        <is>
          <t>☐</t>
        </is>
      </c>
      <c r="B72" s="6" t="inlineStr">
        <is>
          <t>Access review process covers all cloud services in inventory</t>
        </is>
      </c>
      <c r="C72" s="21" t="n"/>
      <c r="D72" s="21" t="n"/>
    </row>
    <row r="74">
      <c r="A74" s="22" t="inlineStr">
        <is>
          <t>Checklist Compliance Score:</t>
        </is>
      </c>
      <c r="C74" s="23">
        <f>IF(COUNTA(C58:C72)=0,"N/A",ROUND(COUNTIF(C58:C72,"Yes")/COUNTIF(C58:C72,"&lt;&gt;N/A")*100,1)&amp;"%")</f>
        <v/>
      </c>
    </row>
  </sheetData>
  <mergeCells count="33">
    <mergeCell ref="B65"/>
    <mergeCell ref="B68"/>
    <mergeCell ref="D61:F61"/>
    <mergeCell ref="B64"/>
    <mergeCell ref="D70:F70"/>
    <mergeCell ref="D66:F66"/>
    <mergeCell ref="B63"/>
    <mergeCell ref="A56:X56"/>
    <mergeCell ref="D72:F72"/>
    <mergeCell ref="D71:F71"/>
    <mergeCell ref="A2:X2"/>
    <mergeCell ref="B62"/>
    <mergeCell ref="D62:F62"/>
    <mergeCell ref="D58:F58"/>
    <mergeCell ref="B72"/>
    <mergeCell ref="B59"/>
    <mergeCell ref="D68:F68"/>
    <mergeCell ref="B66"/>
    <mergeCell ref="B71"/>
    <mergeCell ref="D64:F64"/>
    <mergeCell ref="D67:F67"/>
    <mergeCell ref="B58"/>
    <mergeCell ref="B70"/>
    <mergeCell ref="D59:F59"/>
    <mergeCell ref="D60:F60"/>
    <mergeCell ref="D69:F69"/>
    <mergeCell ref="B60"/>
    <mergeCell ref="B67"/>
    <mergeCell ref="D63:F63"/>
    <mergeCell ref="B61"/>
    <mergeCell ref="D65:F65"/>
    <mergeCell ref="B69"/>
    <mergeCell ref="A1:X1"/>
  </mergeCells>
  <dataValidations count="10">
    <dataValidation sqref="C5 C6 C7 C8 C9 C10 C11 C12 C13 C14 C15 C16 C17 C18 C19 C20 C21 C22 C23 C24 C25 C26 C27 C28 C29 C30 C31 C32 C33 C34 C35 C36 C37 C38 C39 C40 C41 C42 C43 C44 C45 C46 C47 C48 C49 C50 C51 C52 C53 C54" showDropDown="0" showInputMessage="0" showErrorMessage="0" allowBlank="1" errorTitle="Service Type" error="Select valid service type" promptTitle="Service Type" prompt="Select Service Type" type="list">
      <formula1>"SaaS,IaaS,PaaS,Security Service,Cloud Storage,Other"</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1" errorTitle="Review Period" error="Select valid review period" promptTitle="Review Period" prompt="Select Review Period" type="list">
      <formula1>"Q1,Q2,Q3,Q4,Annual,Ad-Hoc"</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1" errorTitle="Service Criticality" error="Select valid criticality" promptTitle="Service Criticality" prompt="Select Service Criticality" type="list">
      <formula1>"Critical,High,Medium,Low"</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1" errorTitle="Data Classification" error="Select valid classification" promptTitle="Data Classification" prompt="Select Data Classification" type="list">
      <formula1>"Restricted,Confidential,Internal,Public,N/A"</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1" errorTitle="Status" error="Select valid status" promptTitle="Status" prompt="Select Status" type="list">
      <formula1>"✅ Compliant,⚠ Partial,❌ Non-Compliant,N/A"</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1" errorTitle="Yes/No" error="Select Yes or No" promptTitle="Yes/No" prompt="Select Yes/No" type="list">
      <formula1>"Yes,No"</formula1>
    </dataValidation>
    <dataValidation sqref="O5 O6 O7 O8 O9 O10 O11 O12 O13 O14 O15 O16 O17 O18 O19 O20 O21 O22 O23 O24 O25 O26 O27 O28 O29 O30 O31 O32 O33 O34 O35 O36 O37 O38 O39 O40 O41 O42 O43 O44 O45 O46 O47 O48 O49 O50 O51 O52 O53 O54" showDropDown="0" showInputMessage="0" showErrorMessage="0" allowBlank="1" errorTitle="Responsible Team" error="Select valid team" promptTitle="Responsible Team" prompt="Select Responsible Team" type="list">
      <formula1>"IT Ops,Compliance,Risk Management,Security,Business Owners"</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1" errorTitle="Review Type" error="Select valid Review Type" type="list">
      <formula1>"Full Recertification,Privileged Access,Standard Access,Service Account"</formula1>
    </dataValidation>
    <dataValidation sqref="S5 S6 S7 S8 S9 S10 S11 S12 S13 S14 S15 S16 S17 S18 S19 S20 S21 S22 S23 S24 S25 S26 S27 S28 S29 S30 S31 S32 S33 S34 S35 S36 S37 S38 S39 S40 S41 S42 S43 S44 S45 S46 S47 S48 S49 S50 S51 S52 S53 S54" showDropDown="0" showInputMessage="0" showErrorMessage="0" allowBlank="1" errorTitle="Review Outcome" error="Select valid Review Outcome" type="list">
      <formula1>"Passed,Issues Found,Overdue,Not Started"</formula1>
    </dataValidation>
    <dataValidation sqref="C58 C59 C60 C61 C62 C63 C64 C65 C66 C67 C68 C69 C70 C71 C72" showDropDown="0" showInputMessage="0" showErrorMessage="0" allowBlank="1" type="list">
      <formula1>"Yes,No,N/A"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74"/>
  <sheetViews>
    <sheetView workbookViewId="0">
      <pane ySplit="3" topLeftCell="A4" activePane="bottomLeft" state="frozen"/>
      <selection pane="bottomLeft" activeCell="A1" sqref="A1"/>
    </sheetView>
  </sheetViews>
  <sheetFormatPr baseColWidth="8" defaultRowHeight="15"/>
  <cols>
    <col width="28" customWidth="1" min="1" max="1"/>
    <col width="65" customWidth="1" min="2" max="2"/>
    <col width="20" customWidth="1" min="3" max="3"/>
    <col width="16" customWidth="1" min="4" max="4"/>
    <col width="18" customWidth="1" min="5" max="5"/>
    <col width="20" customWidth="1" min="6" max="6"/>
    <col width="18" customWidth="1" min="7" max="7"/>
    <col width="15" customWidth="1" min="8" max="8"/>
    <col width="30" customWidth="1" min="9" max="9"/>
    <col width="35" customWidth="1" min="10" max="10"/>
    <col width="16" customWidth="1" min="11" max="11"/>
    <col width="14" customWidth="1" min="12" max="12"/>
    <col width="14" customWidth="1" min="13" max="13"/>
    <col width="30" customWidth="1" min="14" max="14"/>
    <col width="20" customWidth="1" min="15" max="15"/>
    <col width="18" customWidth="1" min="16" max="16"/>
    <col width="18" customWidth="1" min="17" max="17"/>
    <col width="18" customWidth="1" min="18" max="18"/>
    <col width="16" customWidth="1" min="19" max="19"/>
    <col width="18" customWidth="1" min="20" max="20"/>
    <col width="20" customWidth="1" min="21" max="21"/>
    <col width="16" customWidth="1" min="22" max="22"/>
    <col width="20" customWidth="1" min="23" max="23"/>
    <col width="20" customWidth="1" min="24" max="24"/>
  </cols>
  <sheetData>
    <row r="1" ht="35" customHeight="1">
      <c r="A1" s="13" t="inlineStr">
        <is>
          <t>CHANGE MANAGEMENT</t>
        </is>
      </c>
    </row>
    <row r="2" ht="30" customHeight="1">
      <c r="A2" s="14" t="inlineStr">
        <is>
          <t>Policy Reference: All cloud service changes MUST follow change management process. Emergency changes require post-review within 48 hours. (Policy Section 6.2)</t>
        </is>
      </c>
    </row>
    <row r="3" ht="30" customHeight="1">
      <c r="A3" s="15" t="inlineStr">
        <is>
          <t>Cloud Service Name</t>
        </is>
      </c>
      <c r="B3" s="15" t="inlineStr">
        <is>
          <t>Vendor Name</t>
        </is>
      </c>
      <c r="C3" s="15" t="inlineStr">
        <is>
          <t>Service Type</t>
        </is>
      </c>
      <c r="D3" s="15" t="inlineStr">
        <is>
          <t>Review Period</t>
        </is>
      </c>
      <c r="E3" s="15" t="inlineStr">
        <is>
          <t>Service Criticality</t>
        </is>
      </c>
      <c r="F3" s="15" t="inlineStr">
        <is>
          <t>Data Classification</t>
        </is>
      </c>
      <c r="G3" s="15" t="inlineStr">
        <is>
          <t>Change Type</t>
        </is>
      </c>
      <c r="H3" s="15" t="inlineStr">
        <is>
          <t>Status</t>
        </is>
      </c>
      <c r="I3" s="15" t="inlineStr">
        <is>
          <t>Evidence Location</t>
        </is>
      </c>
      <c r="J3" s="15" t="inlineStr">
        <is>
          <t>Gap Description</t>
        </is>
      </c>
      <c r="K3" s="15" t="inlineStr">
        <is>
          <t>Remediation Needed</t>
        </is>
      </c>
      <c r="L3" s="15" t="inlineStr">
        <is>
          <t>Exception ID</t>
        </is>
      </c>
      <c r="M3" s="15" t="inlineStr">
        <is>
          <t>Risk ID</t>
        </is>
      </c>
      <c r="N3" s="15" t="inlineStr">
        <is>
          <t>Compensating Controls</t>
        </is>
      </c>
      <c r="O3" s="15" t="inlineStr">
        <is>
          <t>Responsible Team/Owner</t>
        </is>
      </c>
      <c r="P3" s="15" t="inlineStr">
        <is>
          <t>Target Remediation Date</t>
        </is>
      </c>
      <c r="Q3" s="15" t="inlineStr">
        <is>
          <t>Last Review Date</t>
        </is>
      </c>
      <c r="R3" s="15" t="inlineStr">
        <is>
          <t>Change Count (Period)</t>
        </is>
      </c>
      <c r="S3" s="15" t="inlineStr">
        <is>
          <t>Impact Level</t>
        </is>
      </c>
      <c r="T3" s="15" t="inlineStr">
        <is>
          <t>Approval Status</t>
        </is>
      </c>
      <c r="U3" s="15" t="inlineStr">
        <is>
          <t>Rollback Plan Documented</t>
        </is>
      </c>
      <c r="V3" s="15" t="inlineStr">
        <is>
          <t>Rollback Tested</t>
        </is>
      </c>
      <c r="W3" s="15" t="inlineStr">
        <is>
          <t>Post-Change Review Done</t>
        </is>
      </c>
      <c r="X3" s="15" t="inlineStr">
        <is>
          <t>Security Impact Assessed</t>
        </is>
      </c>
    </row>
    <row r="4">
      <c r="A4" s="16" t="inlineStr">
        <is>
          <t>Example: Microsoft 365</t>
        </is>
      </c>
      <c r="B4" s="16" t="inlineStr">
        <is>
          <t>Microsoft</t>
        </is>
      </c>
      <c r="C4" s="16" t="inlineStr">
        <is>
          <t>SaaS</t>
        </is>
      </c>
      <c r="D4" s="16" t="inlineStr">
        <is>
          <t>Q4</t>
        </is>
      </c>
      <c r="E4" s="16" t="inlineStr">
        <is>
          <t>Critical</t>
        </is>
      </c>
      <c r="F4" s="16" t="inlineStr">
        <is>
          <t>Confidential</t>
        </is>
      </c>
      <c r="G4" s="16" t="inlineStr">
        <is>
          <t>Config Change</t>
        </is>
      </c>
      <c r="H4" s="16" t="inlineStr">
        <is>
          <t>⚠ Partial</t>
        </is>
      </c>
      <c r="I4" s="16" t="inlineStr">
        <is>
          <t>/evidence/changes/M365</t>
        </is>
      </c>
      <c r="J4" s="16" t="inlineStr">
        <is>
          <t>Rollback not tested</t>
        </is>
      </c>
      <c r="K4" s="16" t="inlineStr">
        <is>
          <t>Yes</t>
        </is>
      </c>
      <c r="L4" s="16" t="inlineStr"/>
      <c r="M4" s="16" t="inlineStr">
        <is>
          <t>RSK-2025-042</t>
        </is>
      </c>
      <c r="N4" s="16" t="inlineStr">
        <is>
          <t>Manual verification</t>
        </is>
      </c>
      <c r="O4" s="16" t="inlineStr">
        <is>
          <t>IT Ops</t>
        </is>
      </c>
      <c r="P4" s="16" t="inlineStr">
        <is>
          <t>2026-01-31</t>
        </is>
      </c>
      <c r="Q4" s="16" t="inlineStr">
        <is>
          <t>2025-12-01</t>
        </is>
      </c>
      <c r="R4" s="16" t="inlineStr">
        <is>
          <t>12</t>
        </is>
      </c>
      <c r="S4" s="16" t="inlineStr">
        <is>
          <t>Medium</t>
        </is>
      </c>
      <c r="T4" s="16" t="inlineStr">
        <is>
          <t>Approved</t>
        </is>
      </c>
      <c r="U4" s="16" t="inlineStr">
        <is>
          <t>Yes</t>
        </is>
      </c>
      <c r="V4" s="16" t="inlineStr">
        <is>
          <t>No</t>
        </is>
      </c>
      <c r="W4" s="16" t="inlineStr">
        <is>
          <t>Yes</t>
        </is>
      </c>
      <c r="X4" s="16" t="inlineStr">
        <is>
          <t>Yes</t>
        </is>
      </c>
    </row>
    <row r="5">
      <c r="A5" s="17" t="n"/>
      <c r="B5" s="17" t="n"/>
      <c r="C5" s="17" t="n"/>
      <c r="D5" s="17" t="n"/>
      <c r="E5" s="17" t="n"/>
      <c r="F5" s="17" t="n"/>
      <c r="G5" s="17" t="n"/>
      <c r="H5" s="17" t="n"/>
      <c r="I5" s="17" t="n"/>
      <c r="J5" s="17" t="n"/>
      <c r="K5" s="17" t="n"/>
      <c r="L5" s="17" t="n"/>
      <c r="M5" s="17" t="n"/>
      <c r="N5" s="17" t="n"/>
      <c r="O5" s="17" t="n"/>
      <c r="P5" s="17" t="n"/>
      <c r="Q5" s="17" t="n"/>
      <c r="R5" s="17" t="n"/>
      <c r="S5" s="17" t="n"/>
      <c r="T5" s="17" t="n"/>
      <c r="U5" s="17" t="n"/>
      <c r="V5" s="17" t="n"/>
      <c r="W5" s="17" t="n"/>
      <c r="X5" s="17" t="n"/>
    </row>
    <row r="6">
      <c r="A6" s="17" t="n"/>
      <c r="B6" s="17" t="n"/>
      <c r="C6" s="17" t="n"/>
      <c r="D6" s="17" t="n"/>
      <c r="E6" s="17" t="n"/>
      <c r="F6" s="17" t="n"/>
      <c r="G6" s="17" t="n"/>
      <c r="H6" s="17" t="n"/>
      <c r="I6" s="17" t="n"/>
      <c r="J6" s="17" t="n"/>
      <c r="K6" s="17" t="n"/>
      <c r="L6" s="17" t="n"/>
      <c r="M6" s="17" t="n"/>
      <c r="N6" s="17" t="n"/>
      <c r="O6" s="17" t="n"/>
      <c r="P6" s="17" t="n"/>
      <c r="Q6" s="17" t="n"/>
      <c r="R6" s="17" t="n"/>
      <c r="S6" s="17" t="n"/>
      <c r="T6" s="17" t="n"/>
      <c r="U6" s="17" t="n"/>
      <c r="V6" s="17" t="n"/>
      <c r="W6" s="17" t="n"/>
      <c r="X6" s="17" t="n"/>
    </row>
    <row r="7">
      <c r="A7" s="17" t="n"/>
      <c r="B7" s="17" t="n"/>
      <c r="C7" s="17" t="n"/>
      <c r="D7" s="17" t="n"/>
      <c r="E7" s="17" t="n"/>
      <c r="F7" s="17" t="n"/>
      <c r="G7" s="17" t="n"/>
      <c r="H7" s="17" t="n"/>
      <c r="I7" s="17" t="n"/>
      <c r="J7" s="17" t="n"/>
      <c r="K7" s="17" t="n"/>
      <c r="L7" s="17" t="n"/>
      <c r="M7" s="17" t="n"/>
      <c r="N7" s="17" t="n"/>
      <c r="O7" s="17" t="n"/>
      <c r="P7" s="17" t="n"/>
      <c r="Q7" s="17" t="n"/>
      <c r="R7" s="17" t="n"/>
      <c r="S7" s="17" t="n"/>
      <c r="T7" s="17" t="n"/>
      <c r="U7" s="17" t="n"/>
      <c r="V7" s="17" t="n"/>
      <c r="W7" s="17" t="n"/>
      <c r="X7" s="17" t="n"/>
    </row>
    <row r="8">
      <c r="A8" s="17" t="n"/>
      <c r="B8" s="17" t="n"/>
      <c r="C8" s="17" t="n"/>
      <c r="D8" s="17" t="n"/>
      <c r="E8" s="17" t="n"/>
      <c r="F8" s="17" t="n"/>
      <c r="G8" s="17" t="n"/>
      <c r="H8" s="17" t="n"/>
      <c r="I8" s="17" t="n"/>
      <c r="J8" s="17" t="n"/>
      <c r="K8" s="17" t="n"/>
      <c r="L8" s="17" t="n"/>
      <c r="M8" s="17" t="n"/>
      <c r="N8" s="17" t="n"/>
      <c r="O8" s="17" t="n"/>
      <c r="P8" s="17" t="n"/>
      <c r="Q8" s="17" t="n"/>
      <c r="R8" s="17" t="n"/>
      <c r="S8" s="17" t="n"/>
      <c r="T8" s="17" t="n"/>
      <c r="U8" s="17" t="n"/>
      <c r="V8" s="17" t="n"/>
      <c r="W8" s="17" t="n"/>
      <c r="X8" s="17" t="n"/>
    </row>
    <row r="9">
      <c r="A9" s="17" t="n"/>
      <c r="B9" s="17" t="n"/>
      <c r="C9" s="17" t="n"/>
      <c r="D9" s="17" t="n"/>
      <c r="E9" s="17" t="n"/>
      <c r="F9" s="17" t="n"/>
      <c r="G9" s="17" t="n"/>
      <c r="H9" s="17" t="n"/>
      <c r="I9" s="17" t="n"/>
      <c r="J9" s="17" t="n"/>
      <c r="K9" s="17" t="n"/>
      <c r="L9" s="17" t="n"/>
      <c r="M9" s="17" t="n"/>
      <c r="N9" s="17" t="n"/>
      <c r="O9" s="17" t="n"/>
      <c r="P9" s="17" t="n"/>
      <c r="Q9" s="17" t="n"/>
      <c r="R9" s="17" t="n"/>
      <c r="S9" s="17" t="n"/>
      <c r="T9" s="17" t="n"/>
      <c r="U9" s="17" t="n"/>
      <c r="V9" s="17" t="n"/>
      <c r="W9" s="17" t="n"/>
      <c r="X9" s="17" t="n"/>
    </row>
    <row r="10">
      <c r="A10" s="17" t="n"/>
      <c r="B10" s="17" t="n"/>
      <c r="C10" s="17" t="n"/>
      <c r="D10" s="17" t="n"/>
      <c r="E10" s="17" t="n"/>
      <c r="F10" s="17" t="n"/>
      <c r="G10" s="17" t="n"/>
      <c r="H10" s="17" t="n"/>
      <c r="I10" s="17" t="n"/>
      <c r="J10" s="17" t="n"/>
      <c r="K10" s="17" t="n"/>
      <c r="L10" s="17" t="n"/>
      <c r="M10" s="17" t="n"/>
      <c r="N10" s="17" t="n"/>
      <c r="O10" s="17" t="n"/>
      <c r="P10" s="17" t="n"/>
      <c r="Q10" s="17" t="n"/>
      <c r="R10" s="17" t="n"/>
      <c r="S10" s="17" t="n"/>
      <c r="T10" s="17" t="n"/>
      <c r="U10" s="17" t="n"/>
      <c r="V10" s="17" t="n"/>
      <c r="W10" s="17" t="n"/>
      <c r="X10" s="17"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c r="U11" s="17" t="n"/>
      <c r="V11" s="17" t="n"/>
      <c r="W11" s="17" t="n"/>
      <c r="X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c r="U12" s="17" t="n"/>
      <c r="V12" s="17" t="n"/>
      <c r="W12" s="17" t="n"/>
      <c r="X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c r="U13" s="17" t="n"/>
      <c r="V13" s="17" t="n"/>
      <c r="W13" s="17" t="n"/>
      <c r="X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c r="U14" s="17" t="n"/>
      <c r="V14" s="17" t="n"/>
      <c r="W14" s="17" t="n"/>
      <c r="X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c r="U15" s="17" t="n"/>
      <c r="V15" s="17" t="n"/>
      <c r="W15" s="17" t="n"/>
      <c r="X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c r="U16" s="17" t="n"/>
      <c r="V16" s="17" t="n"/>
      <c r="W16" s="17" t="n"/>
      <c r="X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c r="U17" s="17" t="n"/>
      <c r="V17" s="17" t="n"/>
      <c r="W17" s="17" t="n"/>
      <c r="X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c r="U18" s="17" t="n"/>
      <c r="V18" s="17" t="n"/>
      <c r="W18" s="17" t="n"/>
      <c r="X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c r="U19" s="17" t="n"/>
      <c r="V19" s="17" t="n"/>
      <c r="W19" s="17" t="n"/>
      <c r="X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c r="U20" s="17" t="n"/>
      <c r="V20" s="17" t="n"/>
      <c r="W20" s="17" t="n"/>
      <c r="X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c r="U21" s="17" t="n"/>
      <c r="V21" s="17" t="n"/>
      <c r="W21" s="17" t="n"/>
      <c r="X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c r="U22" s="17" t="n"/>
      <c r="V22" s="17" t="n"/>
      <c r="W22" s="17" t="n"/>
      <c r="X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c r="U23" s="17" t="n"/>
      <c r="V23" s="17" t="n"/>
      <c r="W23" s="17" t="n"/>
      <c r="X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c r="U24" s="17" t="n"/>
      <c r="V24" s="17" t="n"/>
      <c r="W24" s="17" t="n"/>
      <c r="X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c r="U25" s="17" t="n"/>
      <c r="V25" s="17" t="n"/>
      <c r="W25" s="17" t="n"/>
      <c r="X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c r="U26" s="17" t="n"/>
      <c r="V26" s="17" t="n"/>
      <c r="W26" s="17" t="n"/>
      <c r="X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c r="U27" s="17" t="n"/>
      <c r="V27" s="17" t="n"/>
      <c r="W27" s="17" t="n"/>
      <c r="X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c r="U28" s="17" t="n"/>
      <c r="V28" s="17" t="n"/>
      <c r="W28" s="17" t="n"/>
      <c r="X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c r="U29" s="17" t="n"/>
      <c r="V29" s="17" t="n"/>
      <c r="W29" s="17" t="n"/>
      <c r="X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c r="U31" s="17" t="n"/>
      <c r="V31" s="17" t="n"/>
      <c r="W31" s="17" t="n"/>
      <c r="X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c r="U32" s="17" t="n"/>
      <c r="V32" s="17" t="n"/>
      <c r="W32" s="17" t="n"/>
      <c r="X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c r="U33" s="17" t="n"/>
      <c r="V33" s="17" t="n"/>
      <c r="W33" s="17" t="n"/>
      <c r="X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c r="U34" s="17" t="n"/>
      <c r="V34" s="17" t="n"/>
      <c r="W34" s="17" t="n"/>
      <c r="X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c r="U35" s="17" t="n"/>
      <c r="V35" s="17" t="n"/>
      <c r="W35" s="17" t="n"/>
      <c r="X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c r="U36" s="17" t="n"/>
      <c r="V36" s="17" t="n"/>
      <c r="W36" s="17" t="n"/>
      <c r="X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c r="U37" s="17" t="n"/>
      <c r="V37" s="17" t="n"/>
      <c r="W37" s="17" t="n"/>
      <c r="X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c r="U38" s="17" t="n"/>
      <c r="V38" s="17" t="n"/>
      <c r="W38" s="17" t="n"/>
      <c r="X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c r="U39" s="17" t="n"/>
      <c r="V39" s="17" t="n"/>
      <c r="W39" s="17" t="n"/>
      <c r="X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c r="U40" s="17" t="n"/>
      <c r="V40" s="17" t="n"/>
      <c r="W40" s="17" t="n"/>
      <c r="X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c r="U41" s="17" t="n"/>
      <c r="V41" s="17" t="n"/>
      <c r="W41" s="17" t="n"/>
      <c r="X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c r="U42" s="17" t="n"/>
      <c r="V42" s="17" t="n"/>
      <c r="W42" s="17" t="n"/>
      <c r="X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c r="U43" s="17" t="n"/>
      <c r="V43" s="17" t="n"/>
      <c r="W43" s="17" t="n"/>
      <c r="X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c r="U44" s="17" t="n"/>
      <c r="V44" s="17" t="n"/>
      <c r="W44" s="17" t="n"/>
      <c r="X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c r="U46" s="17" t="n"/>
      <c r="V46" s="17" t="n"/>
      <c r="W46" s="17" t="n"/>
      <c r="X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c r="U47" s="17" t="n"/>
      <c r="V47" s="17" t="n"/>
      <c r="W47" s="17" t="n"/>
      <c r="X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c r="U48" s="17" t="n"/>
      <c r="V48" s="17" t="n"/>
      <c r="W48" s="17" t="n"/>
      <c r="X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c r="U49" s="17" t="n"/>
      <c r="V49" s="17" t="n"/>
      <c r="W49" s="17" t="n"/>
      <c r="X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c r="U50" s="17" t="n"/>
      <c r="V50" s="17" t="n"/>
      <c r="W50" s="17" t="n"/>
      <c r="X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c r="U52" s="17" t="n"/>
      <c r="V52" s="17" t="n"/>
      <c r="W52" s="17" t="n"/>
      <c r="X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c r="U53" s="17" t="n"/>
      <c r="V53" s="17" t="n"/>
      <c r="W53" s="17" t="n"/>
      <c r="X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c r="U54" s="17" t="n"/>
      <c r="V54" s="17" t="n"/>
      <c r="W54" s="17" t="n"/>
      <c r="X54" s="17" t="n"/>
    </row>
    <row r="56">
      <c r="A56" s="18" t="inlineStr">
        <is>
          <t>CHANGE MANAGEMENT - COMPLIANCE CHECKLIST</t>
        </is>
      </c>
    </row>
    <row r="57">
      <c r="A57" s="19" t="inlineStr">
        <is>
          <t>☐</t>
        </is>
      </c>
      <c r="B57" s="19" t="inlineStr">
        <is>
          <t>Requirement</t>
        </is>
      </c>
      <c r="C57" s="19" t="inlineStr">
        <is>
          <t>Status</t>
        </is>
      </c>
      <c r="D57" s="19" t="inlineStr">
        <is>
          <t>Notes/Evidence</t>
        </is>
      </c>
    </row>
    <row r="58">
      <c r="A58" s="20" t="inlineStr">
        <is>
          <t>☐</t>
        </is>
      </c>
      <c r="B58" s="6" t="inlineStr">
        <is>
          <t>Change management process documented for cloud services</t>
        </is>
      </c>
      <c r="C58" s="21" t="n"/>
      <c r="D58" s="21" t="n"/>
    </row>
    <row r="59">
      <c r="A59" s="20" t="inlineStr">
        <is>
          <t>☐</t>
        </is>
      </c>
      <c r="B59" s="6" t="inlineStr">
        <is>
          <t>Provider change notifications monitored and assessed</t>
        </is>
      </c>
      <c r="C59" s="21" t="n"/>
      <c r="D59" s="21" t="n"/>
    </row>
    <row r="60">
      <c r="A60" s="20" t="inlineStr">
        <is>
          <t>☐</t>
        </is>
      </c>
      <c r="B60" s="6" t="inlineStr">
        <is>
          <t>Configuration changes require security review before approval</t>
        </is>
      </c>
      <c r="C60" s="21" t="n"/>
      <c r="D60" s="21" t="n"/>
    </row>
    <row r="61">
      <c r="A61" s="20" t="inlineStr">
        <is>
          <t>☐</t>
        </is>
      </c>
      <c r="B61" s="6" t="inlineStr">
        <is>
          <t>Integration changes assessed for data flow impact</t>
        </is>
      </c>
      <c r="C61" s="21" t="n"/>
      <c r="D61" s="21" t="n"/>
    </row>
    <row r="62">
      <c r="A62" s="20" t="inlineStr">
        <is>
          <t>☐</t>
        </is>
      </c>
      <c r="B62" s="6" t="inlineStr">
        <is>
          <t>Emergency change process defined with post-review requirement</t>
        </is>
      </c>
      <c r="C62" s="21" t="n"/>
      <c r="D62" s="21" t="n"/>
    </row>
    <row r="63">
      <c r="A63" s="20" t="inlineStr">
        <is>
          <t>☐</t>
        </is>
      </c>
      <c r="B63" s="6" t="inlineStr">
        <is>
          <t>Emergency changes reviewed within 48 hours</t>
        </is>
      </c>
      <c r="C63" s="21" t="n"/>
      <c r="D63" s="21" t="n"/>
    </row>
    <row r="64">
      <c r="A64" s="20" t="inlineStr">
        <is>
          <t>☐</t>
        </is>
      </c>
      <c r="B64" s="6" t="inlineStr">
        <is>
          <t>Rollback procedures documented for critical changes</t>
        </is>
      </c>
      <c r="C64" s="21" t="n"/>
      <c r="D64" s="21" t="n"/>
    </row>
    <row r="65">
      <c r="A65" s="20" t="inlineStr">
        <is>
          <t>☐</t>
        </is>
      </c>
      <c r="B65" s="6" t="inlineStr">
        <is>
          <t>Rollback procedures tested before go-live (critical changes)</t>
        </is>
      </c>
      <c r="C65" s="21" t="n"/>
      <c r="D65" s="21" t="n"/>
    </row>
    <row r="66">
      <c r="A66" s="20" t="inlineStr">
        <is>
          <t>☐</t>
        </is>
      </c>
      <c r="B66" s="6" t="inlineStr">
        <is>
          <t>Change calendar maintained and communicated</t>
        </is>
      </c>
      <c r="C66" s="21" t="n"/>
      <c r="D66" s="21" t="n"/>
    </row>
    <row r="67">
      <c r="A67" s="20" t="inlineStr">
        <is>
          <t>☐</t>
        </is>
      </c>
      <c r="B67" s="6" t="inlineStr">
        <is>
          <t>Change conflicts identified and resolved</t>
        </is>
      </c>
      <c r="C67" s="21" t="n"/>
      <c r="D67" s="21" t="n"/>
    </row>
    <row r="68">
      <c r="A68" s="20" t="inlineStr">
        <is>
          <t>☐</t>
        </is>
      </c>
      <c r="B68" s="6" t="inlineStr">
        <is>
          <t>Security impact assessment required for all changes</t>
        </is>
      </c>
      <c r="C68" s="21" t="n"/>
      <c r="D68" s="21" t="n"/>
    </row>
    <row r="69">
      <c r="A69" s="20" t="inlineStr">
        <is>
          <t>☐</t>
        </is>
      </c>
      <c r="B69" s="6" t="inlineStr">
        <is>
          <t>Change audit trail maintained in ticketing system</t>
        </is>
      </c>
      <c r="C69" s="21" t="n"/>
      <c r="D69" s="21" t="n"/>
    </row>
    <row r="70">
      <c r="A70" s="20" t="inlineStr">
        <is>
          <t>☐</t>
        </is>
      </c>
      <c r="B70" s="6" t="inlineStr">
        <is>
          <t>Failed changes documented with root cause</t>
        </is>
      </c>
      <c r="C70" s="21" t="n"/>
      <c r="D70" s="21" t="n"/>
    </row>
    <row r="71">
      <c r="A71" s="20" t="inlineStr">
        <is>
          <t>☐</t>
        </is>
      </c>
      <c r="B71" s="6" t="inlineStr">
        <is>
          <t>Change success metrics tracked (success rate, rollback rate)</t>
        </is>
      </c>
      <c r="C71" s="21" t="n"/>
      <c r="D71" s="21" t="n"/>
    </row>
    <row r="72">
      <c r="A72" s="20" t="inlineStr">
        <is>
          <t>☐</t>
        </is>
      </c>
      <c r="B72" s="6" t="inlineStr">
        <is>
          <t>Provider maintenance windows tracked and planned for</t>
        </is>
      </c>
      <c r="C72" s="21" t="n"/>
      <c r="D72" s="21" t="n"/>
    </row>
    <row r="74">
      <c r="A74" s="22" t="inlineStr">
        <is>
          <t>Checklist Compliance Score:</t>
        </is>
      </c>
      <c r="C74" s="23">
        <f>IF(COUNTA(C58:C72)=0,"N/A",ROUND(COUNTIF(C58:C72,"Yes")/COUNTIF(C58:C72,"&lt;&gt;N/A")*100,1)&amp;"%")</f>
        <v/>
      </c>
    </row>
  </sheetData>
  <mergeCells count="33">
    <mergeCell ref="B65"/>
    <mergeCell ref="B68"/>
    <mergeCell ref="D61:F61"/>
    <mergeCell ref="B64"/>
    <mergeCell ref="D70:F70"/>
    <mergeCell ref="D66:F66"/>
    <mergeCell ref="B63"/>
    <mergeCell ref="A56:X56"/>
    <mergeCell ref="D72:F72"/>
    <mergeCell ref="D71:F71"/>
    <mergeCell ref="A2:X2"/>
    <mergeCell ref="B62"/>
    <mergeCell ref="D62:F62"/>
    <mergeCell ref="D58:F58"/>
    <mergeCell ref="B72"/>
    <mergeCell ref="B59"/>
    <mergeCell ref="D68:F68"/>
    <mergeCell ref="B66"/>
    <mergeCell ref="B71"/>
    <mergeCell ref="D64:F64"/>
    <mergeCell ref="D67:F67"/>
    <mergeCell ref="B58"/>
    <mergeCell ref="B70"/>
    <mergeCell ref="D59:F59"/>
    <mergeCell ref="D60:F60"/>
    <mergeCell ref="D69:F69"/>
    <mergeCell ref="B60"/>
    <mergeCell ref="B67"/>
    <mergeCell ref="D63:F63"/>
    <mergeCell ref="B61"/>
    <mergeCell ref="D65:F65"/>
    <mergeCell ref="B69"/>
    <mergeCell ref="A1:X1"/>
  </mergeCells>
  <dataValidations count="15">
    <dataValidation sqref="C5 C6 C7 C8 C9 C10 C11 C12 C13 C14 C15 C16 C17 C18 C19 C20 C21 C22 C23 C24 C25 C26 C27 C28 C29 C30 C31 C32 C33 C34 C35 C36 C37 C38 C39 C40 C41 C42 C43 C44 C45 C46 C47 C48 C49 C50 C51 C52 C53 C54" showDropDown="0" showInputMessage="0" showErrorMessage="0" allowBlank="1" errorTitle="Service Type" error="Select valid service type" promptTitle="Service Type" prompt="Select Service Type" type="list">
      <formula1>"SaaS,IaaS,PaaS,Security Service,Cloud Storage,Other"</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1" errorTitle="Review Period" error="Select valid review period" promptTitle="Review Period" prompt="Select Review Period" type="list">
      <formula1>"Q1,Q2,Q3,Q4,Annual,Ad-Hoc"</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1" errorTitle="Service Criticality" error="Select valid criticality" promptTitle="Service Criticality" prompt="Select Service Criticality" type="list">
      <formula1>"Critical,High,Medium,Low"</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1" errorTitle="Data Classification" error="Select valid classification" promptTitle="Data Classification" prompt="Select Data Classification" type="list">
      <formula1>"Restricted,Confidential,Internal,Public,N/A"</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1" errorTitle="Status" error="Select valid status" promptTitle="Status" prompt="Select Status" type="list">
      <formula1>"✅ Compliant,⚠ Partial,❌ Non-Compliant,N/A"</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1" errorTitle="Yes/No" error="Select Yes or No" promptTitle="Yes/No" prompt="Select Yes/No" type="list">
      <formula1>"Yes,No"</formula1>
    </dataValidation>
    <dataValidation sqref="O5 O6 O7 O8 O9 O10 O11 O12 O13 O14 O15 O16 O17 O18 O19 O20 O21 O22 O23 O24 O25 O26 O27 O28 O29 O30 O31 O32 O33 O34 O35 O36 O37 O38 O39 O40 O41 O42 O43 O44 O45 O46 O47 O48 O49 O50 O51 O52 O53 O54" showDropDown="0" showInputMessage="0" showErrorMessage="0" allowBlank="1" errorTitle="Responsible Team" error="Select valid team" promptTitle="Responsible Team" prompt="Select Responsible Team" type="list">
      <formula1>"IT Ops,Compliance,Risk Management,Security,Business Owners"</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1" errorTitle="Change Type" error="Select valid Change Type" type="list">
      <formula1>"Provider Change,Config Change,Integration Change,Emergency Change,Scheduled Maintenance"</formula1>
    </dataValidation>
    <dataValidation sqref="S5 S6 S7 S8 S9 S10 S11 S12 S13 S14 S15 S16 S17 S18 S19 S20 S21 S22 S23 S24 S25 S26 S27 S28 S29 S30 S31 S32 S33 S34 S35 S36 S37 S38 S39 S40 S41 S42 S43 S44 S45 S46 S47 S48 S49 S50 S51 S52 S53 S54" showDropDown="0" showInputMessage="0" showErrorMessage="0" allowBlank="1" errorTitle="Impact Level" error="Select valid Impact Level" type="list">
      <formula1>"Critical,High,Medium,Low"</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1" errorTitle="Approval Status" error="Select valid Approval Status" type="list">
      <formula1>"Approved,Pending,Rejected,Emergency"</formula1>
    </dataValidation>
    <dataValidation sqref="U5 U6 U7 U8 U9 U10 U11 U12 U13 U14 U15 U16 U17 U18 U19 U20 U21 U22 U23 U24 U25 U26 U27 U28 U29 U30 U31 U32 U33 U34 U35 U36 U37 U38 U39 U40 U41 U42 U43 U44 U45 U46 U47 U48 U49 U50 U51 U52 U53 U54" showDropDown="0" showInputMessage="0" showErrorMessage="0" allowBlank="1" errorTitle="Rollback Plan" error="Select valid Rollback Plan" type="list">
      <formula1>"Yes,No,N/A"</formula1>
    </dataValidation>
    <dataValidation sqref="V5 V6 V7 V8 V9 V10 V11 V12 V13 V14 V15 V16 V17 V18 V19 V20 V21 V22 V23 V24 V25 V26 V27 V28 V29 V30 V31 V32 V33 V34 V35 V36 V37 V38 V39 V40 V41 V42 V43 V44 V45 V46 V47 V48 V49 V50 V51 V52 V53 V54" showDropDown="0" showInputMessage="0" showErrorMessage="0" allowBlank="1" errorTitle="Rollback Tested" error="Select valid Rollback Tested" type="list">
      <formula1>"Yes,No,N/A"</formula1>
    </dataValidation>
    <dataValidation sqref="W5 W6 W7 W8 W9 W10 W11 W12 W13 W14 W15 W16 W17 W18 W19 W20 W21 W22 W23 W24 W25 W26 W27 W28 W29 W30 W31 W32 W33 W34 W35 W36 W37 W38 W39 W40 W41 W42 W43 W44 W45 W46 W47 W48 W49 W50 W51 W52 W53 W54" showDropDown="0" showInputMessage="0" showErrorMessage="0" allowBlank="1" errorTitle="Post-Change Review" error="Select valid Post-Change Review" type="list">
      <formula1>"Yes,No,Pending"</formula1>
    </dataValidation>
    <dataValidation sqref="X5 X6 X7 X8 X9 X10 X11 X12 X13 X14 X15 X16 X17 X18 X19 X20 X21 X22 X23 X24 X25 X26 X27 X28 X29 X30 X31 X32 X33 X34 X35 X36 X37 X38 X39 X40 X41 X42 X43 X44 X45 X46 X47 X48 X49 X50 X51 X52 X53 X54" showDropDown="0" showInputMessage="0" showErrorMessage="0" allowBlank="1" errorTitle="Security Impact" error="Select valid Security Impact" type="list">
      <formula1>"Yes,No,N/A"</formula1>
    </dataValidation>
    <dataValidation sqref="C58 C59 C60 C61 C62 C63 C64 C65 C66 C67 C68 C69 C70 C71 C72" showDropDown="0" showInputMessage="0" showErrorMessage="0" allowBlank="1" type="list">
      <formula1>"Yes,No,N/A"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93"/>
  <sheetViews>
    <sheetView workbookViewId="0">
      <pane ySplit="3" topLeftCell="A4" activePane="bottomLeft" state="frozen"/>
      <selection pane="bottomLeft" activeCell="A1" sqref="A1"/>
    </sheetView>
  </sheetViews>
  <sheetFormatPr baseColWidth="8" defaultRowHeight="15"/>
  <cols>
    <col width="28" customWidth="1" min="1" max="1"/>
    <col width="65" customWidth="1" min="2" max="2"/>
    <col width="20" customWidth="1" min="3" max="3"/>
    <col width="16" customWidth="1" min="4" max="4"/>
    <col width="18" customWidth="1" min="5" max="5"/>
    <col width="20" customWidth="1" min="6" max="6"/>
    <col width="18" customWidth="1" min="7" max="7"/>
    <col width="15" customWidth="1" min="8" max="8"/>
    <col width="30" customWidth="1" min="9" max="9"/>
    <col width="35" customWidth="1" min="10" max="10"/>
    <col width="16" customWidth="1" min="11" max="11"/>
    <col width="14" customWidth="1" min="12" max="12"/>
    <col width="14" customWidth="1" min="13" max="13"/>
    <col width="30" customWidth="1" min="14" max="14"/>
    <col width="20" customWidth="1" min="15" max="15"/>
    <col width="18" customWidth="1" min="16" max="16"/>
    <col width="18" customWidth="1" min="17" max="17"/>
    <col width="18" customWidth="1" min="18" max="18"/>
    <col width="14" customWidth="1" min="19" max="19"/>
    <col width="20" customWidth="1" min="20" max="20"/>
    <col width="16" customWidth="1" min="21" max="21"/>
    <col width="16" customWidth="1" min="22" max="22"/>
    <col width="18" customWidth="1" min="23" max="23"/>
    <col width="20" customWidth="1" min="24" max="24"/>
    <col width="20" customWidth="1" min="25" max="25"/>
    <col width="22" customWidth="1" min="26" max="26"/>
    <col width="22" customWidth="1" min="27" max="27"/>
    <col width="20" customWidth="1" min="28" max="28"/>
  </cols>
  <sheetData>
    <row r="1" ht="35" customHeight="1">
      <c r="A1" s="13" t="inlineStr">
        <is>
          <t>INCIDENT &amp; PROBLEM MANAGEMENT</t>
        </is>
      </c>
    </row>
    <row r="2" ht="30" customHeight="1">
      <c r="A2" s="14" t="inlineStr">
        <is>
          <t>Policy Reference: Cloud service incidents MUST be detected, reported, and resolved per incident management procedures. (Policy Section 6.3)</t>
        </is>
      </c>
    </row>
    <row r="3" ht="30" customHeight="1">
      <c r="A3" s="15" t="inlineStr">
        <is>
          <t>Cloud Service Name</t>
        </is>
      </c>
      <c r="B3" s="15" t="inlineStr">
        <is>
          <t>Vendor Name</t>
        </is>
      </c>
      <c r="C3" s="15" t="inlineStr">
        <is>
          <t>Service Type</t>
        </is>
      </c>
      <c r="D3" s="15" t="inlineStr">
        <is>
          <t>Review Period</t>
        </is>
      </c>
      <c r="E3" s="15" t="inlineStr">
        <is>
          <t>Service Criticality</t>
        </is>
      </c>
      <c r="F3" s="15" t="inlineStr">
        <is>
          <t>Data Classification</t>
        </is>
      </c>
      <c r="G3" s="15" t="inlineStr">
        <is>
          <t>Incident Severity</t>
        </is>
      </c>
      <c r="H3" s="15" t="inlineStr">
        <is>
          <t>Status</t>
        </is>
      </c>
      <c r="I3" s="15" t="inlineStr">
        <is>
          <t>Evidence Location</t>
        </is>
      </c>
      <c r="J3" s="15" t="inlineStr">
        <is>
          <t>Gap Description</t>
        </is>
      </c>
      <c r="K3" s="15" t="inlineStr">
        <is>
          <t>Remediation Needed</t>
        </is>
      </c>
      <c r="L3" s="15" t="inlineStr">
        <is>
          <t>Exception ID</t>
        </is>
      </c>
      <c r="M3" s="15" t="inlineStr">
        <is>
          <t>Risk ID</t>
        </is>
      </c>
      <c r="N3" s="15" t="inlineStr">
        <is>
          <t>Compensating Controls</t>
        </is>
      </c>
      <c r="O3" s="15" t="inlineStr">
        <is>
          <t>Responsible Team/Owner</t>
        </is>
      </c>
      <c r="P3" s="15" t="inlineStr">
        <is>
          <t>Target Remediation Date</t>
        </is>
      </c>
      <c r="Q3" s="15" t="inlineStr">
        <is>
          <t>Last Review Date</t>
        </is>
      </c>
      <c r="R3" s="15" t="inlineStr">
        <is>
          <t>Incident Count (Period)</t>
        </is>
      </c>
      <c r="S3" s="15" t="inlineStr">
        <is>
          <t>MTTR (Hours)</t>
        </is>
      </c>
      <c r="T3" s="15" t="inlineStr">
        <is>
          <t>Root Cause Documented</t>
        </is>
      </c>
      <c r="U3" s="15" t="inlineStr">
        <is>
          <t>Playbook Updated</t>
        </is>
      </c>
      <c r="V3" s="15" t="inlineStr">
        <is>
          <t>Vendor Notified</t>
        </is>
      </c>
      <c r="W3" s="15" t="inlineStr">
        <is>
          <t>Customer Impact</t>
        </is>
      </c>
      <c r="X3" s="15" t="inlineStr">
        <is>
          <t>Lessons Learned Captured</t>
        </is>
      </c>
      <c r="Y3" s="15" t="inlineStr">
        <is>
          <t>DORA_Risk_Monitoring</t>
        </is>
      </c>
      <c r="Z3" s="15" t="inlineStr">
        <is>
          <t>NIS2_Incident_Classification</t>
        </is>
      </c>
      <c r="AA3" s="15" t="inlineStr">
        <is>
          <t>AI_Risk_Monitoring_Status</t>
        </is>
      </c>
      <c r="AB3" s="15" t="inlineStr">
        <is>
          <t>Regulatory_Risk_Owner</t>
        </is>
      </c>
    </row>
    <row r="4">
      <c r="A4" s="16" t="inlineStr">
        <is>
          <t>Example: Microsoft 365</t>
        </is>
      </c>
      <c r="B4" s="16" t="inlineStr">
        <is>
          <t>Microsoft</t>
        </is>
      </c>
      <c r="C4" s="16" t="inlineStr">
        <is>
          <t>SaaS</t>
        </is>
      </c>
      <c r="D4" s="16" t="inlineStr">
        <is>
          <t>Q4</t>
        </is>
      </c>
      <c r="E4" s="16" t="inlineStr">
        <is>
          <t>Critical</t>
        </is>
      </c>
      <c r="F4" s="16" t="inlineStr">
        <is>
          <t>Confidential</t>
        </is>
      </c>
      <c r="G4" s="16" t="inlineStr">
        <is>
          <t>P3-Medium</t>
        </is>
      </c>
      <c r="H4" s="16" t="inlineStr">
        <is>
          <t>✅ Compliant</t>
        </is>
      </c>
      <c r="I4" s="16" t="inlineStr">
        <is>
          <t>/evidence/incidents/M365</t>
        </is>
      </c>
      <c r="J4" s="16" t="inlineStr"/>
      <c r="K4" s="16" t="inlineStr">
        <is>
          <t>No</t>
        </is>
      </c>
      <c r="L4" s="16" t="inlineStr"/>
      <c r="M4" s="16" t="inlineStr"/>
      <c r="N4" s="16" t="inlineStr"/>
      <c r="O4" s="16" t="inlineStr">
        <is>
          <t>Security</t>
        </is>
      </c>
      <c r="P4" s="16" t="inlineStr"/>
      <c r="Q4" s="16" t="inlineStr">
        <is>
          <t>2025-12-20</t>
        </is>
      </c>
      <c r="R4" s="16" t="inlineStr">
        <is>
          <t>4</t>
        </is>
      </c>
      <c r="S4" s="16" t="inlineStr">
        <is>
          <t>2.5</t>
        </is>
      </c>
      <c r="T4" s="16" t="inlineStr">
        <is>
          <t>Yes</t>
        </is>
      </c>
      <c r="U4" s="16" t="inlineStr">
        <is>
          <t>Yes</t>
        </is>
      </c>
      <c r="V4" s="16" t="inlineStr">
        <is>
          <t>N/A</t>
        </is>
      </c>
      <c r="W4" s="16" t="inlineStr">
        <is>
          <t>No</t>
        </is>
      </c>
      <c r="X4" s="16" t="inlineStr">
        <is>
          <t>Yes</t>
        </is>
      </c>
      <c r="Y4" s="16" t="inlineStr">
        <is>
          <t>Quarterly Reviews</t>
        </is>
      </c>
      <c r="Z4" s="16" t="inlineStr">
        <is>
          <t>Minor (No notification required)</t>
        </is>
      </c>
      <c r="AA4" s="16" t="inlineStr">
        <is>
          <t>Periodic Review</t>
        </is>
      </c>
      <c r="AB4" s="16" t="inlineStr">
        <is>
          <t>CISO</t>
        </is>
      </c>
    </row>
    <row r="5">
      <c r="A5" s="17" t="n"/>
      <c r="B5" s="17" t="n"/>
      <c r="C5" s="17" t="n"/>
      <c r="D5" s="17" t="n"/>
      <c r="E5" s="17" t="n"/>
      <c r="F5" s="17" t="n"/>
      <c r="G5" s="17" t="n"/>
      <c r="H5" s="17" t="n"/>
      <c r="I5" s="17" t="n"/>
      <c r="J5" s="17" t="n"/>
      <c r="K5" s="17" t="n"/>
      <c r="L5" s="17" t="n"/>
      <c r="M5" s="17" t="n"/>
      <c r="N5" s="17" t="n"/>
      <c r="O5" s="17" t="n"/>
      <c r="P5" s="17" t="n"/>
      <c r="Q5" s="17" t="n"/>
      <c r="R5" s="17" t="n"/>
      <c r="S5" s="17" t="n"/>
      <c r="T5" s="17" t="n"/>
      <c r="U5" s="17" t="n"/>
      <c r="V5" s="17" t="n"/>
      <c r="W5" s="17" t="n"/>
      <c r="X5" s="17" t="n"/>
      <c r="Y5" s="17" t="n"/>
      <c r="Z5" s="17" t="n"/>
      <c r="AA5" s="17" t="n"/>
      <c r="AB5" s="17" t="n"/>
    </row>
    <row r="6">
      <c r="A6" s="17" t="n"/>
      <c r="B6" s="17" t="n"/>
      <c r="C6" s="17" t="n"/>
      <c r="D6" s="17" t="n"/>
      <c r="E6" s="17" t="n"/>
      <c r="F6" s="17" t="n"/>
      <c r="G6" s="17" t="n"/>
      <c r="H6" s="17" t="n"/>
      <c r="I6" s="17" t="n"/>
      <c r="J6" s="17" t="n"/>
      <c r="K6" s="17" t="n"/>
      <c r="L6" s="17" t="n"/>
      <c r="M6" s="17" t="n"/>
      <c r="N6" s="17" t="n"/>
      <c r="O6" s="17" t="n"/>
      <c r="P6" s="17" t="n"/>
      <c r="Q6" s="17" t="n"/>
      <c r="R6" s="17" t="n"/>
      <c r="S6" s="17" t="n"/>
      <c r="T6" s="17" t="n"/>
      <c r="U6" s="17" t="n"/>
      <c r="V6" s="17" t="n"/>
      <c r="W6" s="17" t="n"/>
      <c r="X6" s="17" t="n"/>
      <c r="Y6" s="17" t="n"/>
      <c r="Z6" s="17" t="n"/>
      <c r="AA6" s="17" t="n"/>
      <c r="AB6" s="17" t="n"/>
    </row>
    <row r="7">
      <c r="A7" s="17" t="n"/>
      <c r="B7" s="17" t="n"/>
      <c r="C7" s="17" t="n"/>
      <c r="D7" s="17" t="n"/>
      <c r="E7" s="17" t="n"/>
      <c r="F7" s="17" t="n"/>
      <c r="G7" s="17" t="n"/>
      <c r="H7" s="17" t="n"/>
      <c r="I7" s="17" t="n"/>
      <c r="J7" s="17" t="n"/>
      <c r="K7" s="17" t="n"/>
      <c r="L7" s="17" t="n"/>
      <c r="M7" s="17" t="n"/>
      <c r="N7" s="17" t="n"/>
      <c r="O7" s="17" t="n"/>
      <c r="P7" s="17" t="n"/>
      <c r="Q7" s="17" t="n"/>
      <c r="R7" s="17" t="n"/>
      <c r="S7" s="17" t="n"/>
      <c r="T7" s="17" t="n"/>
      <c r="U7" s="17" t="n"/>
      <c r="V7" s="17" t="n"/>
      <c r="W7" s="17" t="n"/>
      <c r="X7" s="17" t="n"/>
      <c r="Y7" s="17" t="n"/>
      <c r="Z7" s="17" t="n"/>
      <c r="AA7" s="17" t="n"/>
      <c r="AB7" s="17" t="n"/>
    </row>
    <row r="8">
      <c r="A8" s="17" t="n"/>
      <c r="B8" s="17" t="n"/>
      <c r="C8" s="17" t="n"/>
      <c r="D8" s="17" t="n"/>
      <c r="E8" s="17" t="n"/>
      <c r="F8" s="17" t="n"/>
      <c r="G8" s="17" t="n"/>
      <c r="H8" s="17" t="n"/>
      <c r="I8" s="17" t="n"/>
      <c r="J8" s="17" t="n"/>
      <c r="K8" s="17" t="n"/>
      <c r="L8" s="17" t="n"/>
      <c r="M8" s="17" t="n"/>
      <c r="N8" s="17" t="n"/>
      <c r="O8" s="17" t="n"/>
      <c r="P8" s="17" t="n"/>
      <c r="Q8" s="17" t="n"/>
      <c r="R8" s="17" t="n"/>
      <c r="S8" s="17" t="n"/>
      <c r="T8" s="17" t="n"/>
      <c r="U8" s="17" t="n"/>
      <c r="V8" s="17" t="n"/>
      <c r="W8" s="17" t="n"/>
      <c r="X8" s="17" t="n"/>
      <c r="Y8" s="17" t="n"/>
      <c r="Z8" s="17" t="n"/>
      <c r="AA8" s="17" t="n"/>
      <c r="AB8" s="17" t="n"/>
    </row>
    <row r="9">
      <c r="A9" s="17" t="n"/>
      <c r="B9" s="17" t="n"/>
      <c r="C9" s="17" t="n"/>
      <c r="D9" s="17" t="n"/>
      <c r="E9" s="17" t="n"/>
      <c r="F9" s="17" t="n"/>
      <c r="G9" s="17" t="n"/>
      <c r="H9" s="17" t="n"/>
      <c r="I9" s="17" t="n"/>
      <c r="J9" s="17" t="n"/>
      <c r="K9" s="17" t="n"/>
      <c r="L9" s="17" t="n"/>
      <c r="M9" s="17" t="n"/>
      <c r="N9" s="17" t="n"/>
      <c r="O9" s="17" t="n"/>
      <c r="P9" s="17" t="n"/>
      <c r="Q9" s="17" t="n"/>
      <c r="R9" s="17" t="n"/>
      <c r="S9" s="17" t="n"/>
      <c r="T9" s="17" t="n"/>
      <c r="U9" s="17" t="n"/>
      <c r="V9" s="17" t="n"/>
      <c r="W9" s="17" t="n"/>
      <c r="X9" s="17" t="n"/>
      <c r="Y9" s="17" t="n"/>
      <c r="Z9" s="17" t="n"/>
      <c r="AA9" s="17" t="n"/>
      <c r="AB9" s="17" t="n"/>
    </row>
    <row r="10">
      <c r="A10" s="17" t="n"/>
      <c r="B10" s="17" t="n"/>
      <c r="C10" s="17" t="n"/>
      <c r="D10" s="17" t="n"/>
      <c r="E10" s="17" t="n"/>
      <c r="F10" s="17" t="n"/>
      <c r="G10" s="17" t="n"/>
      <c r="H10" s="17" t="n"/>
      <c r="I10" s="17" t="n"/>
      <c r="J10" s="17" t="n"/>
      <c r="K10" s="17" t="n"/>
      <c r="L10" s="17" t="n"/>
      <c r="M10" s="17" t="n"/>
      <c r="N10" s="17" t="n"/>
      <c r="O10" s="17" t="n"/>
      <c r="P10" s="17" t="n"/>
      <c r="Q10" s="17" t="n"/>
      <c r="R10" s="17" t="n"/>
      <c r="S10" s="17" t="n"/>
      <c r="T10" s="17" t="n"/>
      <c r="U10" s="17" t="n"/>
      <c r="V10" s="17" t="n"/>
      <c r="W10" s="17" t="n"/>
      <c r="X10" s="17" t="n"/>
      <c r="Y10" s="17" t="n"/>
      <c r="Z10" s="17" t="n"/>
      <c r="AA10" s="17" t="n"/>
      <c r="AB10" s="17"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c r="U11" s="17" t="n"/>
      <c r="V11" s="17" t="n"/>
      <c r="W11" s="17" t="n"/>
      <c r="X11" s="17" t="n"/>
      <c r="Y11" s="17" t="n"/>
      <c r="Z11" s="17" t="n"/>
      <c r="AA11" s="17" t="n"/>
      <c r="AB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c r="U12" s="17" t="n"/>
      <c r="V12" s="17" t="n"/>
      <c r="W12" s="17" t="n"/>
      <c r="X12" s="17" t="n"/>
      <c r="Y12" s="17" t="n"/>
      <c r="Z12" s="17" t="n"/>
      <c r="AA12" s="17" t="n"/>
      <c r="AB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c r="U13" s="17" t="n"/>
      <c r="V13" s="17" t="n"/>
      <c r="W13" s="17" t="n"/>
      <c r="X13" s="17" t="n"/>
      <c r="Y13" s="17" t="n"/>
      <c r="Z13" s="17" t="n"/>
      <c r="AA13" s="17" t="n"/>
      <c r="AB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c r="U14" s="17" t="n"/>
      <c r="V14" s="17" t="n"/>
      <c r="W14" s="17" t="n"/>
      <c r="X14" s="17" t="n"/>
      <c r="Y14" s="17" t="n"/>
      <c r="Z14" s="17" t="n"/>
      <c r="AA14" s="17" t="n"/>
      <c r="AB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c r="U15" s="17" t="n"/>
      <c r="V15" s="17" t="n"/>
      <c r="W15" s="17" t="n"/>
      <c r="X15" s="17" t="n"/>
      <c r="Y15" s="17" t="n"/>
      <c r="Z15" s="17" t="n"/>
      <c r="AA15" s="17" t="n"/>
      <c r="AB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c r="U16" s="17" t="n"/>
      <c r="V16" s="17" t="n"/>
      <c r="W16" s="17" t="n"/>
      <c r="X16" s="17" t="n"/>
      <c r="Y16" s="17" t="n"/>
      <c r="Z16" s="17" t="n"/>
      <c r="AA16" s="17" t="n"/>
      <c r="AB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c r="U17" s="17" t="n"/>
      <c r="V17" s="17" t="n"/>
      <c r="W17" s="17" t="n"/>
      <c r="X17" s="17" t="n"/>
      <c r="Y17" s="17" t="n"/>
      <c r="Z17" s="17" t="n"/>
      <c r="AA17" s="17" t="n"/>
      <c r="AB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c r="U18" s="17" t="n"/>
      <c r="V18" s="17" t="n"/>
      <c r="W18" s="17" t="n"/>
      <c r="X18" s="17" t="n"/>
      <c r="Y18" s="17" t="n"/>
      <c r="Z18" s="17" t="n"/>
      <c r="AA18" s="17" t="n"/>
      <c r="AB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c r="U19" s="17" t="n"/>
      <c r="V19" s="17" t="n"/>
      <c r="W19" s="17" t="n"/>
      <c r="X19" s="17" t="n"/>
      <c r="Y19" s="17" t="n"/>
      <c r="Z19" s="17" t="n"/>
      <c r="AA19" s="17" t="n"/>
      <c r="AB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c r="U20" s="17" t="n"/>
      <c r="V20" s="17" t="n"/>
      <c r="W20" s="17" t="n"/>
      <c r="X20" s="17" t="n"/>
      <c r="Y20" s="17" t="n"/>
      <c r="Z20" s="17" t="n"/>
      <c r="AA20" s="17" t="n"/>
      <c r="AB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c r="U21" s="17" t="n"/>
      <c r="V21" s="17" t="n"/>
      <c r="W21" s="17" t="n"/>
      <c r="X21" s="17" t="n"/>
      <c r="Y21" s="17" t="n"/>
      <c r="Z21" s="17" t="n"/>
      <c r="AA21" s="17" t="n"/>
      <c r="AB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c r="U22" s="17" t="n"/>
      <c r="V22" s="17" t="n"/>
      <c r="W22" s="17" t="n"/>
      <c r="X22" s="17" t="n"/>
      <c r="Y22" s="17" t="n"/>
      <c r="Z22" s="17" t="n"/>
      <c r="AA22" s="17" t="n"/>
      <c r="AB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c r="U23" s="17" t="n"/>
      <c r="V23" s="17" t="n"/>
      <c r="W23" s="17" t="n"/>
      <c r="X23" s="17" t="n"/>
      <c r="Y23" s="17" t="n"/>
      <c r="Z23" s="17" t="n"/>
      <c r="AA23" s="17" t="n"/>
      <c r="AB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c r="U24" s="17" t="n"/>
      <c r="V24" s="17" t="n"/>
      <c r="W24" s="17" t="n"/>
      <c r="X24" s="17" t="n"/>
      <c r="Y24" s="17" t="n"/>
      <c r="Z24" s="17" t="n"/>
      <c r="AA24" s="17" t="n"/>
      <c r="AB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c r="U25" s="17" t="n"/>
      <c r="V25" s="17" t="n"/>
      <c r="W25" s="17" t="n"/>
      <c r="X25" s="17" t="n"/>
      <c r="Y25" s="17" t="n"/>
      <c r="Z25" s="17" t="n"/>
      <c r="AA25" s="17" t="n"/>
      <c r="AB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c r="U26" s="17" t="n"/>
      <c r="V26" s="17" t="n"/>
      <c r="W26" s="17" t="n"/>
      <c r="X26" s="17" t="n"/>
      <c r="Y26" s="17" t="n"/>
      <c r="Z26" s="17" t="n"/>
      <c r="AA26" s="17" t="n"/>
      <c r="AB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c r="U27" s="17" t="n"/>
      <c r="V27" s="17" t="n"/>
      <c r="W27" s="17" t="n"/>
      <c r="X27" s="17" t="n"/>
      <c r="Y27" s="17" t="n"/>
      <c r="Z27" s="17" t="n"/>
      <c r="AA27" s="17" t="n"/>
      <c r="AB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c r="U28" s="17" t="n"/>
      <c r="V28" s="17" t="n"/>
      <c r="W28" s="17" t="n"/>
      <c r="X28" s="17" t="n"/>
      <c r="Y28" s="17" t="n"/>
      <c r="Z28" s="17" t="n"/>
      <c r="AA28" s="17" t="n"/>
      <c r="AB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c r="U29" s="17" t="n"/>
      <c r="V29" s="17" t="n"/>
      <c r="W29" s="17" t="n"/>
      <c r="X29" s="17" t="n"/>
      <c r="Y29" s="17" t="n"/>
      <c r="Z29" s="17" t="n"/>
      <c r="AA29" s="17" t="n"/>
      <c r="AB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c r="U31" s="17" t="n"/>
      <c r="V31" s="17" t="n"/>
      <c r="W31" s="17" t="n"/>
      <c r="X31" s="17" t="n"/>
      <c r="Y31" s="17" t="n"/>
      <c r="Z31" s="17" t="n"/>
      <c r="AA31" s="17" t="n"/>
      <c r="AB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c r="U32" s="17" t="n"/>
      <c r="V32" s="17" t="n"/>
      <c r="W32" s="17" t="n"/>
      <c r="X32" s="17" t="n"/>
      <c r="Y32" s="17" t="n"/>
      <c r="Z32" s="17" t="n"/>
      <c r="AA32" s="17" t="n"/>
      <c r="AB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c r="U33" s="17" t="n"/>
      <c r="V33" s="17" t="n"/>
      <c r="W33" s="17" t="n"/>
      <c r="X33" s="17" t="n"/>
      <c r="Y33" s="17" t="n"/>
      <c r="Z33" s="17" t="n"/>
      <c r="AA33" s="17" t="n"/>
      <c r="AB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c r="U34" s="17" t="n"/>
      <c r="V34" s="17" t="n"/>
      <c r="W34" s="17" t="n"/>
      <c r="X34" s="17" t="n"/>
      <c r="Y34" s="17" t="n"/>
      <c r="Z34" s="17" t="n"/>
      <c r="AA34" s="17" t="n"/>
      <c r="AB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c r="U35" s="17" t="n"/>
      <c r="V35" s="17" t="n"/>
      <c r="W35" s="17" t="n"/>
      <c r="X35" s="17" t="n"/>
      <c r="Y35" s="17" t="n"/>
      <c r="Z35" s="17" t="n"/>
      <c r="AA35" s="17" t="n"/>
      <c r="AB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c r="U36" s="17" t="n"/>
      <c r="V36" s="17" t="n"/>
      <c r="W36" s="17" t="n"/>
      <c r="X36" s="17" t="n"/>
      <c r="Y36" s="17" t="n"/>
      <c r="Z36" s="17" t="n"/>
      <c r="AA36" s="17" t="n"/>
      <c r="AB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c r="U37" s="17" t="n"/>
      <c r="V37" s="17" t="n"/>
      <c r="W37" s="17" t="n"/>
      <c r="X37" s="17" t="n"/>
      <c r="Y37" s="17" t="n"/>
      <c r="Z37" s="17" t="n"/>
      <c r="AA37" s="17" t="n"/>
      <c r="AB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c r="U38" s="17" t="n"/>
      <c r="V38" s="17" t="n"/>
      <c r="W38" s="17" t="n"/>
      <c r="X38" s="17" t="n"/>
      <c r="Y38" s="17" t="n"/>
      <c r="Z38" s="17" t="n"/>
      <c r="AA38" s="17" t="n"/>
      <c r="AB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c r="U39" s="17" t="n"/>
      <c r="V39" s="17" t="n"/>
      <c r="W39" s="17" t="n"/>
      <c r="X39" s="17" t="n"/>
      <c r="Y39" s="17" t="n"/>
      <c r="Z39" s="17" t="n"/>
      <c r="AA39" s="17" t="n"/>
      <c r="AB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c r="U40" s="17" t="n"/>
      <c r="V40" s="17" t="n"/>
      <c r="W40" s="17" t="n"/>
      <c r="X40" s="17" t="n"/>
      <c r="Y40" s="17" t="n"/>
      <c r="Z40" s="17" t="n"/>
      <c r="AA40" s="17" t="n"/>
      <c r="AB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c r="U41" s="17" t="n"/>
      <c r="V41" s="17" t="n"/>
      <c r="W41" s="17" t="n"/>
      <c r="X41" s="17" t="n"/>
      <c r="Y41" s="17" t="n"/>
      <c r="Z41" s="17" t="n"/>
      <c r="AA41" s="17" t="n"/>
      <c r="AB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c r="U42" s="17" t="n"/>
      <c r="V42" s="17" t="n"/>
      <c r="W42" s="17" t="n"/>
      <c r="X42" s="17" t="n"/>
      <c r="Y42" s="17" t="n"/>
      <c r="Z42" s="17" t="n"/>
      <c r="AA42" s="17" t="n"/>
      <c r="AB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c r="U43" s="17" t="n"/>
      <c r="V43" s="17" t="n"/>
      <c r="W43" s="17" t="n"/>
      <c r="X43" s="17" t="n"/>
      <c r="Y43" s="17" t="n"/>
      <c r="Z43" s="17" t="n"/>
      <c r="AA43" s="17" t="n"/>
      <c r="AB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c r="U44" s="17" t="n"/>
      <c r="V44" s="17" t="n"/>
      <c r="W44" s="17" t="n"/>
      <c r="X44" s="17" t="n"/>
      <c r="Y44" s="17" t="n"/>
      <c r="Z44" s="17" t="n"/>
      <c r="AA44" s="17" t="n"/>
      <c r="AB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c r="U46" s="17" t="n"/>
      <c r="V46" s="17" t="n"/>
      <c r="W46" s="17" t="n"/>
      <c r="X46" s="17" t="n"/>
      <c r="Y46" s="17" t="n"/>
      <c r="Z46" s="17" t="n"/>
      <c r="AA46" s="17" t="n"/>
      <c r="AB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c r="U47" s="17" t="n"/>
      <c r="V47" s="17" t="n"/>
      <c r="W47" s="17" t="n"/>
      <c r="X47" s="17" t="n"/>
      <c r="Y47" s="17" t="n"/>
      <c r="Z47" s="17" t="n"/>
      <c r="AA47" s="17" t="n"/>
      <c r="AB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c r="U48" s="17" t="n"/>
      <c r="V48" s="17" t="n"/>
      <c r="W48" s="17" t="n"/>
      <c r="X48" s="17" t="n"/>
      <c r="Y48" s="17" t="n"/>
      <c r="Z48" s="17" t="n"/>
      <c r="AA48" s="17" t="n"/>
      <c r="AB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c r="U49" s="17" t="n"/>
      <c r="V49" s="17" t="n"/>
      <c r="W49" s="17" t="n"/>
      <c r="X49" s="17" t="n"/>
      <c r="Y49" s="17" t="n"/>
      <c r="Z49" s="17" t="n"/>
      <c r="AA49" s="17" t="n"/>
      <c r="AB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c r="U50" s="17" t="n"/>
      <c r="V50" s="17" t="n"/>
      <c r="W50" s="17" t="n"/>
      <c r="X50" s="17" t="n"/>
      <c r="Y50" s="17" t="n"/>
      <c r="Z50" s="17" t="n"/>
      <c r="AA50" s="17" t="n"/>
      <c r="AB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c r="U52" s="17" t="n"/>
      <c r="V52" s="17" t="n"/>
      <c r="W52" s="17" t="n"/>
      <c r="X52" s="17" t="n"/>
      <c r="Y52" s="17" t="n"/>
      <c r="Z52" s="17" t="n"/>
      <c r="AA52" s="17" t="n"/>
      <c r="AB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c r="U53" s="17" t="n"/>
      <c r="V53" s="17" t="n"/>
      <c r="W53" s="17" t="n"/>
      <c r="X53" s="17" t="n"/>
      <c r="Y53" s="17" t="n"/>
      <c r="Z53" s="17" t="n"/>
      <c r="AA53" s="17" t="n"/>
      <c r="AB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c r="U54" s="17" t="n"/>
      <c r="V54" s="17" t="n"/>
      <c r="W54" s="17" t="n"/>
      <c r="X54" s="17" t="n"/>
      <c r="Y54" s="17" t="n"/>
      <c r="Z54" s="17" t="n"/>
      <c r="AA54" s="17" t="n"/>
      <c r="AB54" s="17" t="n"/>
    </row>
    <row r="56">
      <c r="A56" s="18" t="inlineStr">
        <is>
          <t>INCIDENT &amp; PROBLEM MANAGEMENT - COMPLIANCE CHECKLIST</t>
        </is>
      </c>
    </row>
    <row r="57">
      <c r="A57" s="19" t="inlineStr">
        <is>
          <t>☐</t>
        </is>
      </c>
      <c r="B57" s="19" t="inlineStr">
        <is>
          <t>Requirement</t>
        </is>
      </c>
      <c r="C57" s="19" t="inlineStr">
        <is>
          <t>Status</t>
        </is>
      </c>
      <c r="D57" s="19" t="inlineStr">
        <is>
          <t>Notes/Evidence</t>
        </is>
      </c>
    </row>
    <row r="58">
      <c r="A58" s="20" t="inlineStr">
        <is>
          <t>☐</t>
        </is>
      </c>
      <c r="B58" s="6" t="inlineStr">
        <is>
          <t>Incident detection mechanisms in place for cloud services</t>
        </is>
      </c>
      <c r="C58" s="21" t="n"/>
      <c r="D58" s="21" t="n"/>
    </row>
    <row r="59">
      <c r="A59" s="20" t="inlineStr">
        <is>
          <t>☐</t>
        </is>
      </c>
      <c r="B59" s="6" t="inlineStr">
        <is>
          <t>Alerting thresholds defined and tuned</t>
        </is>
      </c>
      <c r="C59" s="21" t="n"/>
      <c r="D59" s="21" t="n"/>
    </row>
    <row r="60">
      <c r="A60" s="20" t="inlineStr">
        <is>
          <t>☐</t>
        </is>
      </c>
      <c r="B60" s="6" t="inlineStr">
        <is>
          <t>Incident classification aligned with org severity matrix</t>
        </is>
      </c>
      <c r="C60" s="21" t="n"/>
      <c r="D60" s="21" t="n"/>
    </row>
    <row r="61">
      <c r="A61" s="20" t="inlineStr">
        <is>
          <t>☐</t>
        </is>
      </c>
      <c r="B61" s="6" t="inlineStr">
        <is>
          <t>Escalation paths defined for cloud service incidents</t>
        </is>
      </c>
      <c r="C61" s="21" t="n"/>
      <c r="D61" s="21" t="n"/>
    </row>
    <row r="62">
      <c r="A62" s="20" t="inlineStr">
        <is>
          <t>☐</t>
        </is>
      </c>
      <c r="B62" s="6" t="inlineStr">
        <is>
          <t>Vendor notification procedures documented</t>
        </is>
      </c>
      <c r="C62" s="21" t="n"/>
      <c r="D62" s="21" t="n"/>
    </row>
    <row r="63">
      <c r="A63" s="20" t="inlineStr">
        <is>
          <t>☐</t>
        </is>
      </c>
      <c r="B63" s="6" t="inlineStr">
        <is>
          <t>Vendor incident response SLAs tracked</t>
        </is>
      </c>
      <c r="C63" s="21" t="n"/>
      <c r="D63" s="21" t="n"/>
    </row>
    <row r="64">
      <c r="A64" s="20" t="inlineStr">
        <is>
          <t>☐</t>
        </is>
      </c>
      <c r="B64" s="6" t="inlineStr">
        <is>
          <t>Internal incident response playbooks exist per service</t>
        </is>
      </c>
      <c r="C64" s="21" t="n"/>
      <c r="D64" s="21" t="n"/>
    </row>
    <row r="65">
      <c r="A65" s="20" t="inlineStr">
        <is>
          <t>☐</t>
        </is>
      </c>
      <c r="B65" s="6" t="inlineStr">
        <is>
          <t>Playbooks reviewed/updated after incidents</t>
        </is>
      </c>
      <c r="C65" s="21" t="n"/>
      <c r="D65" s="21" t="n"/>
    </row>
    <row r="66">
      <c r="A66" s="20" t="inlineStr">
        <is>
          <t>☐</t>
        </is>
      </c>
      <c r="B66" s="6" t="inlineStr">
        <is>
          <t>Root cause analysis performed for P1/P2 incidents</t>
        </is>
      </c>
      <c r="C66" s="21" t="n"/>
      <c r="D66" s="21" t="n"/>
    </row>
    <row r="67">
      <c r="A67" s="20" t="inlineStr">
        <is>
          <t>☐</t>
        </is>
      </c>
      <c r="B67" s="6" t="inlineStr">
        <is>
          <t>Lessons learned documented and shared</t>
        </is>
      </c>
      <c r="C67" s="21" t="n"/>
      <c r="D67" s="21" t="n"/>
    </row>
    <row r="68">
      <c r="A68" s="20" t="inlineStr">
        <is>
          <t>☐</t>
        </is>
      </c>
      <c r="B68" s="6" t="inlineStr">
        <is>
          <t>Problem management process identifies recurring issues</t>
        </is>
      </c>
      <c r="C68" s="21" t="n"/>
      <c r="D68" s="21" t="n"/>
    </row>
    <row r="69">
      <c r="A69" s="20" t="inlineStr">
        <is>
          <t>☐</t>
        </is>
      </c>
      <c r="B69" s="6" t="inlineStr">
        <is>
          <t>Known error database maintained for cloud services</t>
        </is>
      </c>
      <c r="C69" s="21" t="n"/>
      <c r="D69" s="21" t="n"/>
    </row>
    <row r="70">
      <c r="A70" s="20" t="inlineStr">
        <is>
          <t>☐</t>
        </is>
      </c>
      <c r="B70" s="6" t="inlineStr">
        <is>
          <t>Incident metrics reported to management</t>
        </is>
      </c>
      <c r="C70" s="21" t="n"/>
      <c r="D70" s="21" t="n"/>
    </row>
    <row r="71">
      <c r="A71" s="20" t="inlineStr">
        <is>
          <t>☐</t>
        </is>
      </c>
      <c r="B71" s="6" t="inlineStr">
        <is>
          <t>MTTR/MTTD tracked per service</t>
        </is>
      </c>
      <c r="C71" s="21" t="n"/>
      <c r="D71" s="21" t="n"/>
    </row>
    <row r="72">
      <c r="A72" s="20" t="inlineStr">
        <is>
          <t>☐</t>
        </is>
      </c>
      <c r="B72" s="6" t="inlineStr">
        <is>
          <t>Post-incident reviews conducted within defined timeframe</t>
        </is>
      </c>
      <c r="C72" s="21" t="n"/>
      <c r="D72" s="21" t="n"/>
    </row>
    <row r="73">
      <c r="A73" s="20" t="inlineStr">
        <is>
          <t>☐</t>
        </is>
      </c>
      <c r="B73" s="6" t="inlineStr">
        <is>
          <t>DORA-INC-01: ICT-related incidents identified and logged</t>
        </is>
      </c>
      <c r="C73" s="21" t="n"/>
      <c r="D73" s="21" t="n"/>
    </row>
    <row r="74">
      <c r="A74" s="20" t="inlineStr">
        <is>
          <t>☐</t>
        </is>
      </c>
      <c r="B74" s="6" t="inlineStr">
        <is>
          <t>DORA-INC-02: Major ICT incidents classified according to DORA criteria</t>
        </is>
      </c>
      <c r="C74" s="21" t="n"/>
      <c r="D74" s="21" t="n"/>
    </row>
    <row r="75">
      <c r="A75" s="20" t="inlineStr">
        <is>
          <t>☐</t>
        </is>
      </c>
      <c r="B75" s="6" t="inlineStr">
        <is>
          <t>DORA-INC-03: ICT incident root causes analyzed and documented</t>
        </is>
      </c>
      <c r="C75" s="21" t="n"/>
      <c r="D75" s="21" t="n"/>
    </row>
    <row r="76">
      <c r="A76" s="20" t="inlineStr">
        <is>
          <t>☐</t>
        </is>
      </c>
      <c r="B76" s="6" t="inlineStr">
        <is>
          <t>DORA-INC-04: Lessons learned from incidents incorporated into processes</t>
        </is>
      </c>
      <c r="C76" s="21" t="n"/>
      <c r="D76" s="21" t="n"/>
    </row>
    <row r="77">
      <c r="A77" s="20" t="inlineStr">
        <is>
          <t>☐</t>
        </is>
      </c>
      <c r="B77" s="6" t="inlineStr">
        <is>
          <t>DORA-INC-05: ICT incident metrics tracked and reported quarterly</t>
        </is>
      </c>
      <c r="C77" s="21" t="n"/>
      <c r="D77" s="21" t="n"/>
    </row>
    <row r="78">
      <c r="A78" s="20" t="inlineStr">
        <is>
          <t>☐</t>
        </is>
      </c>
      <c r="B78" s="6" t="inlineStr">
        <is>
          <t>DORA-INC-06: Third-party ICT incidents monitored and escalated</t>
        </is>
      </c>
      <c r="C78" s="21" t="n"/>
      <c r="D78" s="21" t="n"/>
    </row>
    <row r="79">
      <c r="A79" s="20" t="inlineStr">
        <is>
          <t>☐</t>
        </is>
      </c>
      <c r="B79" s="6" t="inlineStr">
        <is>
          <t>DORA-INC-07: Business impact of ICT incidents assessed and documented</t>
        </is>
      </c>
      <c r="C79" s="21" t="n"/>
      <c r="D79" s="21" t="n"/>
    </row>
    <row r="80">
      <c r="A80" s="20" t="inlineStr">
        <is>
          <t>☐</t>
        </is>
      </c>
      <c r="B80" s="6" t="inlineStr">
        <is>
          <t>DORA-INC-08: ICT incident recovery tested and validated</t>
        </is>
      </c>
      <c r="C80" s="21" t="n"/>
      <c r="D80" s="21" t="n"/>
    </row>
    <row r="81">
      <c r="A81" s="20" t="inlineStr">
        <is>
          <t>☐</t>
        </is>
      </c>
      <c r="B81" s="6" t="inlineStr">
        <is>
          <t>NIS2-INC-01: Significant incidents (≤24h notification) identified and reported</t>
        </is>
      </c>
      <c r="C81" s="21" t="n"/>
      <c r="D81" s="21" t="n"/>
    </row>
    <row r="82">
      <c r="A82" s="20" t="inlineStr">
        <is>
          <t>☐</t>
        </is>
      </c>
      <c r="B82" s="6" t="inlineStr">
        <is>
          <t>NIS2-INC-02: Incident notification process to authorities documented</t>
        </is>
      </c>
      <c r="C82" s="21" t="n"/>
      <c r="D82" s="21" t="n"/>
    </row>
    <row r="83">
      <c r="A83" s="20" t="inlineStr">
        <is>
          <t>☐</t>
        </is>
      </c>
      <c r="B83" s="6" t="inlineStr">
        <is>
          <t>NIS2-INC-03: Incident response plan tested annually</t>
        </is>
      </c>
      <c r="C83" s="21" t="n"/>
      <c r="D83" s="21" t="n"/>
    </row>
    <row r="84">
      <c r="A84" s="20" t="inlineStr">
        <is>
          <t>☐</t>
        </is>
      </c>
      <c r="B84" s="6" t="inlineStr">
        <is>
          <t>NIS2-INC-04: Supply chain incidents assessed for impact</t>
        </is>
      </c>
      <c r="C84" s="21" t="n"/>
      <c r="D84" s="21" t="n"/>
    </row>
    <row r="85">
      <c r="A85" s="20" t="inlineStr">
        <is>
          <t>☐</t>
        </is>
      </c>
      <c r="B85" s="6" t="inlineStr">
        <is>
          <t>NIS2-INC-05: Incident communication plan for stakeholders operational</t>
        </is>
      </c>
      <c r="C85" s="21" t="n"/>
      <c r="D85" s="21" t="n"/>
    </row>
    <row r="86">
      <c r="A86" s="20" t="inlineStr">
        <is>
          <t>☐</t>
        </is>
      </c>
      <c r="B86" s="6" t="inlineStr">
        <is>
          <t>AI-INC-01: AI system incidents and malfunctions logged</t>
        </is>
      </c>
      <c r="C86" s="21" t="n"/>
      <c r="D86" s="21" t="n"/>
    </row>
    <row r="87">
      <c r="A87" s="20" t="inlineStr">
        <is>
          <t>☐</t>
        </is>
      </c>
      <c r="B87" s="6" t="inlineStr">
        <is>
          <t>AI-INC-02: High-risk AI incidents trigger immediate investigation</t>
        </is>
      </c>
      <c r="C87" s="21" t="n"/>
      <c r="D87" s="21" t="n"/>
    </row>
    <row r="88">
      <c r="A88" s="20" t="inlineStr">
        <is>
          <t>☐</t>
        </is>
      </c>
      <c r="B88" s="6" t="inlineStr">
        <is>
          <t>AI-INC-03: AI bias/discrimination incidents documented and addressed</t>
        </is>
      </c>
      <c r="C88" s="21" t="n"/>
      <c r="D88" s="21" t="n"/>
    </row>
    <row r="89">
      <c r="A89" s="20" t="inlineStr">
        <is>
          <t>☐</t>
        </is>
      </c>
      <c r="B89" s="6" t="inlineStr">
        <is>
          <t>AI-INC-04: AI system incident response procedures defined</t>
        </is>
      </c>
      <c r="C89" s="21" t="n"/>
      <c r="D89" s="21" t="n"/>
    </row>
    <row r="90">
      <c r="A90" s="20" t="inlineStr">
        <is>
          <t>☐</t>
        </is>
      </c>
      <c r="B90" s="6" t="inlineStr">
        <is>
          <t>AI-INC-05: AI incident transparency notifications issued when required</t>
        </is>
      </c>
      <c r="C90" s="21" t="n"/>
      <c r="D90" s="21" t="n"/>
    </row>
    <row r="91">
      <c r="A91" s="20" t="inlineStr">
        <is>
          <t>☐</t>
        </is>
      </c>
      <c r="B91" s="6" t="inlineStr">
        <is>
          <t>AI-INC-06: Human oversight failures documented and remediated</t>
        </is>
      </c>
      <c r="C91" s="21" t="n"/>
      <c r="D91" s="21" t="n"/>
    </row>
    <row r="93">
      <c r="A93" s="22" t="inlineStr">
        <is>
          <t>Checklist Compliance Score:</t>
        </is>
      </c>
      <c r="C93" s="23">
        <f>IF(COUNTA(C58:C91)=0,"N/A",ROUND(COUNTIF(C58:C91,"Yes")/COUNTIF(C58:C91,"&lt;&gt;N/A")*100,1)&amp;"%")</f>
        <v/>
      </c>
    </row>
  </sheetData>
  <mergeCells count="71">
    <mergeCell ref="A2:AB2"/>
    <mergeCell ref="B65"/>
    <mergeCell ref="D76:F76"/>
    <mergeCell ref="B74"/>
    <mergeCell ref="B68"/>
    <mergeCell ref="B83"/>
    <mergeCell ref="D61:F61"/>
    <mergeCell ref="B64"/>
    <mergeCell ref="D70:F70"/>
    <mergeCell ref="D66:F66"/>
    <mergeCell ref="D75:F75"/>
    <mergeCell ref="B89"/>
    <mergeCell ref="B85"/>
    <mergeCell ref="B80"/>
    <mergeCell ref="D78:F78"/>
    <mergeCell ref="B76"/>
    <mergeCell ref="D91:F91"/>
    <mergeCell ref="B63"/>
    <mergeCell ref="D87:F87"/>
    <mergeCell ref="B79"/>
    <mergeCell ref="D72:F72"/>
    <mergeCell ref="B75"/>
    <mergeCell ref="D71:F71"/>
    <mergeCell ref="B62"/>
    <mergeCell ref="D62:F62"/>
    <mergeCell ref="B91"/>
    <mergeCell ref="D58:F58"/>
    <mergeCell ref="B81"/>
    <mergeCell ref="D74:F74"/>
    <mergeCell ref="B72"/>
    <mergeCell ref="B90"/>
    <mergeCell ref="B59"/>
    <mergeCell ref="D68:F68"/>
    <mergeCell ref="B66"/>
    <mergeCell ref="D83:F83"/>
    <mergeCell ref="D73:F73"/>
    <mergeCell ref="B71"/>
    <mergeCell ref="D64:F64"/>
    <mergeCell ref="D82:F82"/>
    <mergeCell ref="D89:F89"/>
    <mergeCell ref="D67:F67"/>
    <mergeCell ref="B58"/>
    <mergeCell ref="B70"/>
    <mergeCell ref="B86"/>
    <mergeCell ref="D79:F79"/>
    <mergeCell ref="B77"/>
    <mergeCell ref="D85:F85"/>
    <mergeCell ref="D88:F88"/>
    <mergeCell ref="A1:AB1"/>
    <mergeCell ref="D59:F59"/>
    <mergeCell ref="D60:F60"/>
    <mergeCell ref="D69:F69"/>
    <mergeCell ref="B60"/>
    <mergeCell ref="B67"/>
    <mergeCell ref="D63:F63"/>
    <mergeCell ref="B61"/>
    <mergeCell ref="D81:F81"/>
    <mergeCell ref="D90:F90"/>
    <mergeCell ref="B73"/>
    <mergeCell ref="B88"/>
    <mergeCell ref="D80:F80"/>
    <mergeCell ref="B82"/>
    <mergeCell ref="B78"/>
    <mergeCell ref="D65:F65"/>
    <mergeCell ref="D84:F84"/>
    <mergeCell ref="B69"/>
    <mergeCell ref="B87"/>
    <mergeCell ref="A56:AB56"/>
    <mergeCell ref="D86:F86"/>
    <mergeCell ref="B84"/>
    <mergeCell ref="D77:F77"/>
  </mergeCells>
  <dataValidations count="18">
    <dataValidation sqref="C5 C6 C7 C8 C9 C10 C11 C12 C13 C14 C15 C16 C17 C18 C19 C20 C21 C22 C23 C24 C25 C26 C27 C28 C29 C30 C31 C32 C33 C34 C35 C36 C37 C38 C39 C40 C41 C42 C43 C44 C45 C46 C47 C48 C49 C50 C51 C52 C53 C54" showDropDown="0" showInputMessage="0" showErrorMessage="0" allowBlank="1" errorTitle="Service Type" error="Select valid service type" promptTitle="Service Type" prompt="Select Service Type" type="list">
      <formula1>"SaaS,IaaS,PaaS,Security Service,Cloud Storage,Other"</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1" errorTitle="Review Period" error="Select valid review period" promptTitle="Review Period" prompt="Select Review Period" type="list">
      <formula1>"Q1,Q2,Q3,Q4,Annual,Ad-Hoc"</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1" errorTitle="Service Criticality" error="Select valid criticality" promptTitle="Service Criticality" prompt="Select Service Criticality" type="list">
      <formula1>"Critical,High,Medium,Low"</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1" errorTitle="Data Classification" error="Select valid classification" promptTitle="Data Classification" prompt="Select Data Classification" type="list">
      <formula1>"Restricted,Confidential,Internal,Public,N/A"</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1" errorTitle="Status" error="Select valid status" promptTitle="Status" prompt="Select Status" type="list">
      <formula1>"✅ Compliant,⚠ Partial,❌ Non-Compliant,N/A"</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1" errorTitle="Yes/No" error="Select Yes or No" promptTitle="Yes/No" prompt="Select Yes/No" type="list">
      <formula1>"Yes,No"</formula1>
    </dataValidation>
    <dataValidation sqref="O5 O6 O7 O8 O9 O10 O11 O12 O13 O14 O15 O16 O17 O18 O19 O20 O21 O22 O23 O24 O25 O26 O27 O28 O29 O30 O31 O32 O33 O34 O35 O36 O37 O38 O39 O40 O41 O42 O43 O44 O45 O46 O47 O48 O49 O50 O51 O52 O53 O54" showDropDown="0" showInputMessage="0" showErrorMessage="0" allowBlank="1" errorTitle="Responsible Team" error="Select valid team" promptTitle="Responsible Team" prompt="Select Responsible Team" type="list">
      <formula1>"IT Ops,Compliance,Risk Management,Security,Business Owners"</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1" errorTitle="Incident Severity" error="Select valid Incident Severity" type="list">
      <formula1>"P1-Critical,P2-High,P3-Medium,P4-Low"</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1" errorTitle="Root Cause" error="Select valid Root Cause" type="list">
      <formula1>"Yes,No,Pending"</formula1>
    </dataValidation>
    <dataValidation sqref="U5 U6 U7 U8 U9 U10 U11 U12 U13 U14 U15 U16 U17 U18 U19 U20 U21 U22 U23 U24 U25 U26 U27 U28 U29 U30 U31 U32 U33 U34 U35 U36 U37 U38 U39 U40 U41 U42 U43 U44 U45 U46 U47 U48 U49 U50 U51 U52 U53 U54" showDropDown="0" showInputMessage="0" showErrorMessage="0" allowBlank="1" errorTitle="Playbook Updated" error="Select valid Playbook Updated" type="list">
      <formula1>"Yes,No,N/A"</formula1>
    </dataValidation>
    <dataValidation sqref="V5 V6 V7 V8 V9 V10 V11 V12 V13 V14 V15 V16 V17 V18 V19 V20 V21 V22 V23 V24 V25 V26 V27 V28 V29 V30 V31 V32 V33 V34 V35 V36 V37 V38 V39 V40 V41 V42 V43 V44 V45 V46 V47 V48 V49 V50 V51 V52 V53 V54" showDropDown="0" showInputMessage="0" showErrorMessage="0" allowBlank="1" errorTitle="Vendor Notified" error="Select valid Vendor Notified" type="list">
      <formula1>"Yes,No,N/A"</formula1>
    </dataValidation>
    <dataValidation sqref="W5 W6 W7 W8 W9 W10 W11 W12 W13 W14 W15 W16 W17 W18 W19 W20 W21 W22 W23 W24 W25 W26 W27 W28 W29 W30 W31 W32 W33 W34 W35 W36 W37 W38 W39 W40 W41 W42 W43 W44 W45 W46 W47 W48 W49 W50 W51 W52 W53 W54" showDropDown="0" showInputMessage="0" showErrorMessage="0" allowBlank="1" errorTitle="Customer Impact" error="Select valid Customer Impact" type="list">
      <formula1>"Yes,No,Unknown"</formula1>
    </dataValidation>
    <dataValidation sqref="X5 X6 X7 X8 X9 X10 X11 X12 X13 X14 X15 X16 X17 X18 X19 X20 X21 X22 X23 X24 X25 X26 X27 X28 X29 X30 X31 X32 X33 X34 X35 X36 X37 X38 X39 X40 X41 X42 X43 X44 X45 X46 X47 X48 X49 X50 X51 X52 X53 X54" showDropDown="0" showInputMessage="0" showErrorMessage="0" allowBlank="1" errorTitle="Lessons Learned" error="Select valid Lessons Learned" type="list">
      <formula1>"Yes,No,Pending"</formula1>
    </dataValidation>
    <dataValidation sqref="Y5 Y6 Y7 Y8 Y9 Y10 Y11 Y12 Y13 Y14 Y15 Y16 Y17 Y18 Y19 Y20 Y21 Y22 Y23 Y24 Y25 Y26 Y27 Y28 Y29 Y30 Y31 Y32 Y33 Y34 Y35 Y36 Y37 Y38 Y39 Y40 Y41 Y42 Y43 Y44 Y45 Y46 Y47 Y48 Y49 Y50 Y51 Y52 Y53 Y54" showDropDown="0" showInputMessage="0" showErrorMessage="0" allowBlank="1" errorTitle="DORA Risk Monitoring" error="Select valid DORA Risk Monitoring" type="list">
      <formula1>"Continuous Monitoring,Quarterly Reviews,Annual Reviews,Not Monitored,N/A (Not in scope)"</formula1>
    </dataValidation>
    <dataValidation sqref="Z5 Z6 Z7 Z8 Z9 Z10 Z11 Z12 Z13 Z14 Z15 Z16 Z17 Z18 Z19 Z20 Z21 Z22 Z23 Z24 Z25 Z26 Z27 Z28 Z29 Z30 Z31 Z32 Z33 Z34 Z35 Z36 Z37 Z38 Z39 Z40 Z41 Z42 Z43 Z44 Z45 Z46 Z47 Z48 Z49 Z50 Z51 Z52 Z53 Z54" showDropDown="0" showInputMessage="0" showErrorMessage="0" allowBlank="1" errorTitle="NIS2 Incident Classification" error="Select valid NIS2 Incident Classification" type="list">
      <formula1>"Significant (≤24h notification),Major (≤72h notification),Minor (No notification required),Under Assessment,N/A"</formula1>
    </dataValidation>
    <dataValidation sqref="AA5 AA6 AA7 AA8 AA9 AA10 AA11 AA12 AA13 AA14 AA15 AA16 AA17 AA18 AA19 AA20 AA21 AA22 AA23 AA24 AA25 AA26 AA27 AA28 AA29 AA30 AA31 AA32 AA33 AA34 AA35 AA36 AA37 AA38 AA39 AA40 AA41 AA42 AA43 AA44 AA45 AA46 AA47 AA48 AA49 AA50 AA51 AA52 AA53 AA54" showDropDown="0" showInputMessage="0" showErrorMessage="0" allowBlank="1" errorTitle="AI Risk Monitoring Status" error="Select valid AI Risk Monitoring Status" type="list">
      <formula1>"Active Monitoring,Periodic Review,No Monitoring Required,Monitoring Pending,N/A"</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1" errorTitle="Regulatory Risk Owner" error="Select valid Regulatory Risk Owner" type="list">
      <formula1>"CISO,CRO (Chief Risk Officer),DPO,Legal/Compliance,Business Unit Owner,Other"</formula1>
    </dataValidation>
    <dataValidation sqref="C58 C59 C60 C61 C62 C63 C64 C65 C66 C67 C68 C69 C70 C71 C72 C73 C74 C75 C76 C77 C78 C79 C80 C81 C82 C83 C84 C85 C86 C87 C88 C89 C90 C91" showDropDown="0" showInputMessage="0" showErrorMessage="0" allowBlank="1" type="list">
      <formula1>"Yes,No,N/A"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74"/>
  <sheetViews>
    <sheetView workbookViewId="0">
      <pane ySplit="3" topLeftCell="A4" activePane="bottomLeft" state="frozen"/>
      <selection pane="bottomLeft" activeCell="A1" sqref="A1"/>
    </sheetView>
  </sheetViews>
  <sheetFormatPr baseColWidth="8" defaultRowHeight="15"/>
  <cols>
    <col width="28" customWidth="1" min="1" max="1"/>
    <col width="65" customWidth="1" min="2" max="2"/>
    <col width="20" customWidth="1" min="3" max="3"/>
    <col width="16" customWidth="1" min="4" max="4"/>
    <col width="18" customWidth="1" min="5" max="5"/>
    <col width="20" customWidth="1" min="6" max="6"/>
    <col width="16" customWidth="1" min="7" max="7"/>
    <col width="15" customWidth="1" min="8" max="8"/>
    <col width="30" customWidth="1" min="9" max="9"/>
    <col width="35" customWidth="1" min="10" max="10"/>
    <col width="16" customWidth="1" min="11" max="11"/>
    <col width="14" customWidth="1" min="12" max="12"/>
    <col width="14" customWidth="1" min="13" max="13"/>
    <col width="30" customWidth="1" min="14" max="14"/>
    <col width="20" customWidth="1" min="15" max="15"/>
    <col width="18" customWidth="1" min="16" max="16"/>
    <col width="18" customWidth="1" min="17" max="17"/>
    <col width="16" customWidth="1" min="18" max="18"/>
    <col width="16" customWidth="1" min="19" max="19"/>
    <col width="16" customWidth="1" min="20" max="20"/>
    <col width="18" customWidth="1" min="21" max="21"/>
    <col width="16" customWidth="1" min="22" max="22"/>
    <col width="18" customWidth="1" min="23" max="23"/>
    <col width="16" customWidth="1" min="24" max="24"/>
  </cols>
  <sheetData>
    <row r="1" ht="35" customHeight="1">
      <c r="A1" s="13" t="inlineStr">
        <is>
          <t>BUSINESS CONTINUITY</t>
        </is>
      </c>
    </row>
    <row r="2" ht="30" customHeight="1">
      <c r="A2" s="14" t="inlineStr">
        <is>
          <t>Policy Reference: BC/DR plans MUST exist for Critical/High services. Failover MUST be tested annually. RTO/RPO MUST be verified. (Policy Section 6.4)</t>
        </is>
      </c>
    </row>
    <row r="3" ht="30" customHeight="1">
      <c r="A3" s="15" t="inlineStr">
        <is>
          <t>Cloud Service Name</t>
        </is>
      </c>
      <c r="B3" s="15" t="inlineStr">
        <is>
          <t>Vendor Name</t>
        </is>
      </c>
      <c r="C3" s="15" t="inlineStr">
        <is>
          <t>Service Type</t>
        </is>
      </c>
      <c r="D3" s="15" t="inlineStr">
        <is>
          <t>Review Period</t>
        </is>
      </c>
      <c r="E3" s="15" t="inlineStr">
        <is>
          <t>Service Criticality</t>
        </is>
      </c>
      <c r="F3" s="15" t="inlineStr">
        <is>
          <t>Data Classification</t>
        </is>
      </c>
      <c r="G3" s="15" t="inlineStr">
        <is>
          <t>BC Tier</t>
        </is>
      </c>
      <c r="H3" s="15" t="inlineStr">
        <is>
          <t>Status</t>
        </is>
      </c>
      <c r="I3" s="15" t="inlineStr">
        <is>
          <t>Evidence Location</t>
        </is>
      </c>
      <c r="J3" s="15" t="inlineStr">
        <is>
          <t>Gap Description</t>
        </is>
      </c>
      <c r="K3" s="15" t="inlineStr">
        <is>
          <t>Remediation Needed</t>
        </is>
      </c>
      <c r="L3" s="15" t="inlineStr">
        <is>
          <t>Exception ID</t>
        </is>
      </c>
      <c r="M3" s="15" t="inlineStr">
        <is>
          <t>Risk ID</t>
        </is>
      </c>
      <c r="N3" s="15" t="inlineStr">
        <is>
          <t>Compensating Controls</t>
        </is>
      </c>
      <c r="O3" s="15" t="inlineStr">
        <is>
          <t>Responsible Team/Owner</t>
        </is>
      </c>
      <c r="P3" s="15" t="inlineStr">
        <is>
          <t>Target Remediation Date</t>
        </is>
      </c>
      <c r="Q3" s="15" t="inlineStr">
        <is>
          <t>Last Review Date</t>
        </is>
      </c>
      <c r="R3" s="15" t="inlineStr">
        <is>
          <t>Last Test Date</t>
        </is>
      </c>
      <c r="S3" s="15" t="inlineStr">
        <is>
          <t>Test Result</t>
        </is>
      </c>
      <c r="T3" s="15" t="inlineStr">
        <is>
          <t>RTO Target (Hours)</t>
        </is>
      </c>
      <c r="U3" s="15" t="inlineStr">
        <is>
          <t>RTO Achieved (Hours)</t>
        </is>
      </c>
      <c r="V3" s="15" t="inlineStr">
        <is>
          <t>RPO Target (Hours)</t>
        </is>
      </c>
      <c r="W3" s="15" t="inlineStr">
        <is>
          <t>RPO Achieved (Hours)</t>
        </is>
      </c>
      <c r="X3" s="15" t="inlineStr">
        <is>
          <t>Next Test Due</t>
        </is>
      </c>
    </row>
    <row r="4">
      <c r="A4" s="16" t="inlineStr">
        <is>
          <t>Example: Microsoft 365</t>
        </is>
      </c>
      <c r="B4" s="16" t="inlineStr">
        <is>
          <t>Microsoft</t>
        </is>
      </c>
      <c r="C4" s="16" t="inlineStr">
        <is>
          <t>SaaS</t>
        </is>
      </c>
      <c r="D4" s="16" t="inlineStr">
        <is>
          <t>Q4</t>
        </is>
      </c>
      <c r="E4" s="16" t="inlineStr">
        <is>
          <t>Critical</t>
        </is>
      </c>
      <c r="F4" s="16" t="inlineStr">
        <is>
          <t>Confidential</t>
        </is>
      </c>
      <c r="G4" s="16" t="inlineStr">
        <is>
          <t>Tier 1 (&lt;4hr)</t>
        </is>
      </c>
      <c r="H4" s="16" t="inlineStr">
        <is>
          <t>✅ Compliant</t>
        </is>
      </c>
      <c r="I4" s="16" t="inlineStr">
        <is>
          <t>/evidence/bcdr/M365</t>
        </is>
      </c>
      <c r="J4" s="16" t="inlineStr"/>
      <c r="K4" s="16" t="inlineStr">
        <is>
          <t>No</t>
        </is>
      </c>
      <c r="L4" s="16" t="inlineStr"/>
      <c r="M4" s="16" t="inlineStr"/>
      <c r="N4" s="16" t="inlineStr"/>
      <c r="O4" s="16" t="inlineStr">
        <is>
          <t>IT Ops</t>
        </is>
      </c>
      <c r="P4" s="16" t="inlineStr"/>
      <c r="Q4" s="16" t="inlineStr">
        <is>
          <t>2025-11-15</t>
        </is>
      </c>
      <c r="R4" s="16" t="inlineStr">
        <is>
          <t>2025-11-15</t>
        </is>
      </c>
      <c r="S4" s="16" t="inlineStr">
        <is>
          <t>Passed</t>
        </is>
      </c>
      <c r="T4" s="16" t="inlineStr">
        <is>
          <t>4</t>
        </is>
      </c>
      <c r="U4" s="16" t="inlineStr">
        <is>
          <t>3.5</t>
        </is>
      </c>
      <c r="V4" s="16" t="inlineStr">
        <is>
          <t>1</t>
        </is>
      </c>
      <c r="W4" s="16" t="inlineStr">
        <is>
          <t>0.5</t>
        </is>
      </c>
      <c r="X4" s="16" t="inlineStr">
        <is>
          <t>2026-11-15</t>
        </is>
      </c>
    </row>
    <row r="5">
      <c r="A5" s="17" t="n"/>
      <c r="B5" s="17" t="n"/>
      <c r="C5" s="17" t="n"/>
      <c r="D5" s="17" t="n"/>
      <c r="E5" s="17" t="n"/>
      <c r="F5" s="17" t="n"/>
      <c r="G5" s="17" t="n"/>
      <c r="H5" s="17" t="n"/>
      <c r="I5" s="17" t="n"/>
      <c r="J5" s="17" t="n"/>
      <c r="K5" s="17" t="n"/>
      <c r="L5" s="17" t="n"/>
      <c r="M5" s="17" t="n"/>
      <c r="N5" s="17" t="n"/>
      <c r="O5" s="17" t="n"/>
      <c r="P5" s="17" t="n"/>
      <c r="Q5" s="17" t="n"/>
      <c r="R5" s="17" t="n"/>
      <c r="S5" s="17" t="n"/>
      <c r="T5" s="17" t="n"/>
      <c r="U5" s="17" t="n"/>
      <c r="V5" s="17" t="n"/>
      <c r="W5" s="17" t="n"/>
      <c r="X5" s="17" t="n"/>
    </row>
    <row r="6">
      <c r="A6" s="17" t="n"/>
      <c r="B6" s="17" t="n"/>
      <c r="C6" s="17" t="n"/>
      <c r="D6" s="17" t="n"/>
      <c r="E6" s="17" t="n"/>
      <c r="F6" s="17" t="n"/>
      <c r="G6" s="17" t="n"/>
      <c r="H6" s="17" t="n"/>
      <c r="I6" s="17" t="n"/>
      <c r="J6" s="17" t="n"/>
      <c r="K6" s="17" t="n"/>
      <c r="L6" s="17" t="n"/>
      <c r="M6" s="17" t="n"/>
      <c r="N6" s="17" t="n"/>
      <c r="O6" s="17" t="n"/>
      <c r="P6" s="17" t="n"/>
      <c r="Q6" s="17" t="n"/>
      <c r="R6" s="17" t="n"/>
      <c r="S6" s="17" t="n"/>
      <c r="T6" s="17" t="n"/>
      <c r="U6" s="17" t="n"/>
      <c r="V6" s="17" t="n"/>
      <c r="W6" s="17" t="n"/>
      <c r="X6" s="17" t="n"/>
    </row>
    <row r="7">
      <c r="A7" s="17" t="n"/>
      <c r="B7" s="17" t="n"/>
      <c r="C7" s="17" t="n"/>
      <c r="D7" s="17" t="n"/>
      <c r="E7" s="17" t="n"/>
      <c r="F7" s="17" t="n"/>
      <c r="G7" s="17" t="n"/>
      <c r="H7" s="17" t="n"/>
      <c r="I7" s="17" t="n"/>
      <c r="J7" s="17" t="n"/>
      <c r="K7" s="17" t="n"/>
      <c r="L7" s="17" t="n"/>
      <c r="M7" s="17" t="n"/>
      <c r="N7" s="17" t="n"/>
      <c r="O7" s="17" t="n"/>
      <c r="P7" s="17" t="n"/>
      <c r="Q7" s="17" t="n"/>
      <c r="R7" s="17" t="n"/>
      <c r="S7" s="17" t="n"/>
      <c r="T7" s="17" t="n"/>
      <c r="U7" s="17" t="n"/>
      <c r="V7" s="17" t="n"/>
      <c r="W7" s="17" t="n"/>
      <c r="X7" s="17" t="n"/>
    </row>
    <row r="8">
      <c r="A8" s="17" t="n"/>
      <c r="B8" s="17" t="n"/>
      <c r="C8" s="17" t="n"/>
      <c r="D8" s="17" t="n"/>
      <c r="E8" s="17" t="n"/>
      <c r="F8" s="17" t="n"/>
      <c r="G8" s="17" t="n"/>
      <c r="H8" s="17" t="n"/>
      <c r="I8" s="17" t="n"/>
      <c r="J8" s="17" t="n"/>
      <c r="K8" s="17" t="n"/>
      <c r="L8" s="17" t="n"/>
      <c r="M8" s="17" t="n"/>
      <c r="N8" s="17" t="n"/>
      <c r="O8" s="17" t="n"/>
      <c r="P8" s="17" t="n"/>
      <c r="Q8" s="17" t="n"/>
      <c r="R8" s="17" t="n"/>
      <c r="S8" s="17" t="n"/>
      <c r="T8" s="17" t="n"/>
      <c r="U8" s="17" t="n"/>
      <c r="V8" s="17" t="n"/>
      <c r="W8" s="17" t="n"/>
      <c r="X8" s="17" t="n"/>
    </row>
    <row r="9">
      <c r="A9" s="17" t="n"/>
      <c r="B9" s="17" t="n"/>
      <c r="C9" s="17" t="n"/>
      <c r="D9" s="17" t="n"/>
      <c r="E9" s="17" t="n"/>
      <c r="F9" s="17" t="n"/>
      <c r="G9" s="17" t="n"/>
      <c r="H9" s="17" t="n"/>
      <c r="I9" s="17" t="n"/>
      <c r="J9" s="17" t="n"/>
      <c r="K9" s="17" t="n"/>
      <c r="L9" s="17" t="n"/>
      <c r="M9" s="17" t="n"/>
      <c r="N9" s="17" t="n"/>
      <c r="O9" s="17" t="n"/>
      <c r="P9" s="17" t="n"/>
      <c r="Q9" s="17" t="n"/>
      <c r="R9" s="17" t="n"/>
      <c r="S9" s="17" t="n"/>
      <c r="T9" s="17" t="n"/>
      <c r="U9" s="17" t="n"/>
      <c r="V9" s="17" t="n"/>
      <c r="W9" s="17" t="n"/>
      <c r="X9" s="17" t="n"/>
    </row>
    <row r="10">
      <c r="A10" s="17" t="n"/>
      <c r="B10" s="17" t="n"/>
      <c r="C10" s="17" t="n"/>
      <c r="D10" s="17" t="n"/>
      <c r="E10" s="17" t="n"/>
      <c r="F10" s="17" t="n"/>
      <c r="G10" s="17" t="n"/>
      <c r="H10" s="17" t="n"/>
      <c r="I10" s="17" t="n"/>
      <c r="J10" s="17" t="n"/>
      <c r="K10" s="17" t="n"/>
      <c r="L10" s="17" t="n"/>
      <c r="M10" s="17" t="n"/>
      <c r="N10" s="17" t="n"/>
      <c r="O10" s="17" t="n"/>
      <c r="P10" s="17" t="n"/>
      <c r="Q10" s="17" t="n"/>
      <c r="R10" s="17" t="n"/>
      <c r="S10" s="17" t="n"/>
      <c r="T10" s="17" t="n"/>
      <c r="U10" s="17" t="n"/>
      <c r="V10" s="17" t="n"/>
      <c r="W10" s="17" t="n"/>
      <c r="X10" s="17"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c r="U11" s="17" t="n"/>
      <c r="V11" s="17" t="n"/>
      <c r="W11" s="17" t="n"/>
      <c r="X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c r="U12" s="17" t="n"/>
      <c r="V12" s="17" t="n"/>
      <c r="W12" s="17" t="n"/>
      <c r="X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c r="U13" s="17" t="n"/>
      <c r="V13" s="17" t="n"/>
      <c r="W13" s="17" t="n"/>
      <c r="X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c r="U14" s="17" t="n"/>
      <c r="V14" s="17" t="n"/>
      <c r="W14" s="17" t="n"/>
      <c r="X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c r="U15" s="17" t="n"/>
      <c r="V15" s="17" t="n"/>
      <c r="W15" s="17" t="n"/>
      <c r="X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c r="U16" s="17" t="n"/>
      <c r="V16" s="17" t="n"/>
      <c r="W16" s="17" t="n"/>
      <c r="X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c r="U17" s="17" t="n"/>
      <c r="V17" s="17" t="n"/>
      <c r="W17" s="17" t="n"/>
      <c r="X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c r="U18" s="17" t="n"/>
      <c r="V18" s="17" t="n"/>
      <c r="W18" s="17" t="n"/>
      <c r="X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c r="U19" s="17" t="n"/>
      <c r="V19" s="17" t="n"/>
      <c r="W19" s="17" t="n"/>
      <c r="X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c r="U20" s="17" t="n"/>
      <c r="V20" s="17" t="n"/>
      <c r="W20" s="17" t="n"/>
      <c r="X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c r="U21" s="17" t="n"/>
      <c r="V21" s="17" t="n"/>
      <c r="W21" s="17" t="n"/>
      <c r="X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c r="U22" s="17" t="n"/>
      <c r="V22" s="17" t="n"/>
      <c r="W22" s="17" t="n"/>
      <c r="X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c r="U23" s="17" t="n"/>
      <c r="V23" s="17" t="n"/>
      <c r="W23" s="17" t="n"/>
      <c r="X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c r="U24" s="17" t="n"/>
      <c r="V24" s="17" t="n"/>
      <c r="W24" s="17" t="n"/>
      <c r="X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c r="U25" s="17" t="n"/>
      <c r="V25" s="17" t="n"/>
      <c r="W25" s="17" t="n"/>
      <c r="X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c r="U26" s="17" t="n"/>
      <c r="V26" s="17" t="n"/>
      <c r="W26" s="17" t="n"/>
      <c r="X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c r="U27" s="17" t="n"/>
      <c r="V27" s="17" t="n"/>
      <c r="W27" s="17" t="n"/>
      <c r="X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c r="U28" s="17" t="n"/>
      <c r="V28" s="17" t="n"/>
      <c r="W28" s="17" t="n"/>
      <c r="X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c r="U29" s="17" t="n"/>
      <c r="V29" s="17" t="n"/>
      <c r="W29" s="17" t="n"/>
      <c r="X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c r="U31" s="17" t="n"/>
      <c r="V31" s="17" t="n"/>
      <c r="W31" s="17" t="n"/>
      <c r="X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c r="U32" s="17" t="n"/>
      <c r="V32" s="17" t="n"/>
      <c r="W32" s="17" t="n"/>
      <c r="X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c r="U33" s="17" t="n"/>
      <c r="V33" s="17" t="n"/>
      <c r="W33" s="17" t="n"/>
      <c r="X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c r="U34" s="17" t="n"/>
      <c r="V34" s="17" t="n"/>
      <c r="W34" s="17" t="n"/>
      <c r="X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c r="U35" s="17" t="n"/>
      <c r="V35" s="17" t="n"/>
      <c r="W35" s="17" t="n"/>
      <c r="X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c r="U36" s="17" t="n"/>
      <c r="V36" s="17" t="n"/>
      <c r="W36" s="17" t="n"/>
      <c r="X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c r="U37" s="17" t="n"/>
      <c r="V37" s="17" t="n"/>
      <c r="W37" s="17" t="n"/>
      <c r="X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c r="U38" s="17" t="n"/>
      <c r="V38" s="17" t="n"/>
      <c r="W38" s="17" t="n"/>
      <c r="X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c r="U39" s="17" t="n"/>
      <c r="V39" s="17" t="n"/>
      <c r="W39" s="17" t="n"/>
      <c r="X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c r="U40" s="17" t="n"/>
      <c r="V40" s="17" t="n"/>
      <c r="W40" s="17" t="n"/>
      <c r="X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c r="U41" s="17" t="n"/>
      <c r="V41" s="17" t="n"/>
      <c r="W41" s="17" t="n"/>
      <c r="X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c r="U42" s="17" t="n"/>
      <c r="V42" s="17" t="n"/>
      <c r="W42" s="17" t="n"/>
      <c r="X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c r="U43" s="17" t="n"/>
      <c r="V43" s="17" t="n"/>
      <c r="W43" s="17" t="n"/>
      <c r="X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c r="U44" s="17" t="n"/>
      <c r="V44" s="17" t="n"/>
      <c r="W44" s="17" t="n"/>
      <c r="X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c r="U46" s="17" t="n"/>
      <c r="V46" s="17" t="n"/>
      <c r="W46" s="17" t="n"/>
      <c r="X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c r="U47" s="17" t="n"/>
      <c r="V47" s="17" t="n"/>
      <c r="W47" s="17" t="n"/>
      <c r="X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c r="U48" s="17" t="n"/>
      <c r="V48" s="17" t="n"/>
      <c r="W48" s="17" t="n"/>
      <c r="X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c r="U49" s="17" t="n"/>
      <c r="V49" s="17" t="n"/>
      <c r="W49" s="17" t="n"/>
      <c r="X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c r="U50" s="17" t="n"/>
      <c r="V50" s="17" t="n"/>
      <c r="W50" s="17" t="n"/>
      <c r="X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c r="U52" s="17" t="n"/>
      <c r="V52" s="17" t="n"/>
      <c r="W52" s="17" t="n"/>
      <c r="X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c r="U53" s="17" t="n"/>
      <c r="V53" s="17" t="n"/>
      <c r="W53" s="17" t="n"/>
      <c r="X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c r="U54" s="17" t="n"/>
      <c r="V54" s="17" t="n"/>
      <c r="W54" s="17" t="n"/>
      <c r="X54" s="17" t="n"/>
    </row>
    <row r="56">
      <c r="A56" s="18" t="inlineStr">
        <is>
          <t>BUSINESS CONTINUITY - COMPLIANCE CHECKLIST</t>
        </is>
      </c>
    </row>
    <row r="57">
      <c r="A57" s="19" t="inlineStr">
        <is>
          <t>☐</t>
        </is>
      </c>
      <c r="B57" s="19" t="inlineStr">
        <is>
          <t>Requirement</t>
        </is>
      </c>
      <c r="C57" s="19" t="inlineStr">
        <is>
          <t>Status</t>
        </is>
      </c>
      <c r="D57" s="19" t="inlineStr">
        <is>
          <t>Notes/Evidence</t>
        </is>
      </c>
    </row>
    <row r="58">
      <c r="A58" s="20" t="inlineStr">
        <is>
          <t>☐</t>
        </is>
      </c>
      <c r="B58" s="6" t="inlineStr">
        <is>
          <t>BC/DR plan documented for Critical/High services</t>
        </is>
      </c>
      <c r="C58" s="21" t="n"/>
      <c r="D58" s="21" t="n"/>
    </row>
    <row r="59">
      <c r="A59" s="20" t="inlineStr">
        <is>
          <t>☐</t>
        </is>
      </c>
      <c r="B59" s="6" t="inlineStr">
        <is>
          <t>Vendor BC/DR capabilities verified and documented</t>
        </is>
      </c>
      <c r="C59" s="21" t="n"/>
      <c r="D59" s="21" t="n"/>
    </row>
    <row r="60">
      <c r="A60" s="20" t="inlineStr">
        <is>
          <t>☐</t>
        </is>
      </c>
      <c r="B60" s="6" t="inlineStr">
        <is>
          <t>RTO requirements defined per service criticality</t>
        </is>
      </c>
      <c r="C60" s="21" t="n"/>
      <c r="D60" s="21" t="n"/>
    </row>
    <row r="61">
      <c r="A61" s="20" t="inlineStr">
        <is>
          <t>☐</t>
        </is>
      </c>
      <c r="B61" s="6" t="inlineStr">
        <is>
          <t>RPO requirements defined per data classification</t>
        </is>
      </c>
      <c r="C61" s="21" t="n"/>
      <c r="D61" s="21" t="n"/>
    </row>
    <row r="62">
      <c r="A62" s="20" t="inlineStr">
        <is>
          <t>☐</t>
        </is>
      </c>
      <c r="B62" s="6" t="inlineStr">
        <is>
          <t>Failover procedures documented and accessible</t>
        </is>
      </c>
      <c r="C62" s="21" t="n"/>
      <c r="D62" s="21" t="n"/>
    </row>
    <row r="63">
      <c r="A63" s="20" t="inlineStr">
        <is>
          <t>☐</t>
        </is>
      </c>
      <c r="B63" s="6" t="inlineStr">
        <is>
          <t>Failover tested annually (minimum)</t>
        </is>
      </c>
      <c r="C63" s="21" t="n"/>
      <c r="D63" s="21" t="n"/>
    </row>
    <row r="64">
      <c r="A64" s="20" t="inlineStr">
        <is>
          <t>☐</t>
        </is>
      </c>
      <c r="B64" s="6" t="inlineStr">
        <is>
          <t>Test results documented with evidence</t>
        </is>
      </c>
      <c r="C64" s="21" t="n"/>
      <c r="D64" s="21" t="n"/>
    </row>
    <row r="65">
      <c r="A65" s="20" t="inlineStr">
        <is>
          <t>☐</t>
        </is>
      </c>
      <c r="B65" s="6" t="inlineStr">
        <is>
          <t>RTO achievement verified during tests</t>
        </is>
      </c>
      <c r="C65" s="21" t="n"/>
      <c r="D65" s="21" t="n"/>
    </row>
    <row r="66">
      <c r="A66" s="20" t="inlineStr">
        <is>
          <t>☐</t>
        </is>
      </c>
      <c r="B66" s="6" t="inlineStr">
        <is>
          <t>RPO achievement verified during tests</t>
        </is>
      </c>
      <c r="C66" s="21" t="n"/>
      <c r="D66" s="21" t="n"/>
    </row>
    <row r="67">
      <c r="A67" s="20" t="inlineStr">
        <is>
          <t>☐</t>
        </is>
      </c>
      <c r="B67" s="6" t="inlineStr">
        <is>
          <t>Data backup restoration tested</t>
        </is>
      </c>
      <c r="C67" s="21" t="n"/>
      <c r="D67" s="21" t="n"/>
    </row>
    <row r="68">
      <c r="A68" s="20" t="inlineStr">
        <is>
          <t>☐</t>
        </is>
      </c>
      <c r="B68" s="6" t="inlineStr">
        <is>
          <t>Multi-region/availability zone strategy documented</t>
        </is>
      </c>
      <c r="C68" s="21" t="n"/>
      <c r="D68" s="21" t="n"/>
    </row>
    <row r="69">
      <c r="A69" s="20" t="inlineStr">
        <is>
          <t>☐</t>
        </is>
      </c>
      <c r="B69" s="6" t="inlineStr">
        <is>
          <t>Single points of failure identified and mitigated</t>
        </is>
      </c>
      <c r="C69" s="21" t="n"/>
      <c r="D69" s="21" t="n"/>
    </row>
    <row r="70">
      <c r="A70" s="20" t="inlineStr">
        <is>
          <t>☐</t>
        </is>
      </c>
      <c r="B70" s="6" t="inlineStr">
        <is>
          <t>Communication plan exists for BC events</t>
        </is>
      </c>
      <c r="C70" s="21" t="n"/>
      <c r="D70" s="21" t="n"/>
    </row>
    <row r="71">
      <c r="A71" s="20" t="inlineStr">
        <is>
          <t>☐</t>
        </is>
      </c>
      <c r="B71" s="6" t="inlineStr">
        <is>
          <t>Vendor dependency chain mapped for BC planning</t>
        </is>
      </c>
      <c r="C71" s="21" t="n"/>
      <c r="D71" s="21" t="n"/>
    </row>
    <row r="72">
      <c r="A72" s="20" t="inlineStr">
        <is>
          <t>☐</t>
        </is>
      </c>
      <c r="B72" s="6" t="inlineStr">
        <is>
          <t>BC plan reviewed after significant changes</t>
        </is>
      </c>
      <c r="C72" s="21" t="n"/>
      <c r="D72" s="21" t="n"/>
    </row>
    <row r="74">
      <c r="A74" s="22" t="inlineStr">
        <is>
          <t>Checklist Compliance Score:</t>
        </is>
      </c>
      <c r="C74" s="23">
        <f>IF(COUNTA(C58:C72)=0,"N/A",ROUND(COUNTIF(C58:C72,"Yes")/COUNTIF(C58:C72,"&lt;&gt;N/A")*100,1)&amp;"%")</f>
        <v/>
      </c>
    </row>
  </sheetData>
  <mergeCells count="33">
    <mergeCell ref="B65"/>
    <mergeCell ref="B68"/>
    <mergeCell ref="D61:F61"/>
    <mergeCell ref="B64"/>
    <mergeCell ref="D70:F70"/>
    <mergeCell ref="D66:F66"/>
    <mergeCell ref="B63"/>
    <mergeCell ref="A56:X56"/>
    <mergeCell ref="D72:F72"/>
    <mergeCell ref="D71:F71"/>
    <mergeCell ref="A2:X2"/>
    <mergeCell ref="B62"/>
    <mergeCell ref="D62:F62"/>
    <mergeCell ref="D58:F58"/>
    <mergeCell ref="B72"/>
    <mergeCell ref="B59"/>
    <mergeCell ref="D68:F68"/>
    <mergeCell ref="B66"/>
    <mergeCell ref="B71"/>
    <mergeCell ref="D64:F64"/>
    <mergeCell ref="D67:F67"/>
    <mergeCell ref="B58"/>
    <mergeCell ref="B70"/>
    <mergeCell ref="D59:F59"/>
    <mergeCell ref="D60:F60"/>
    <mergeCell ref="D69:F69"/>
    <mergeCell ref="B60"/>
    <mergeCell ref="B67"/>
    <mergeCell ref="D63:F63"/>
    <mergeCell ref="B61"/>
    <mergeCell ref="D65:F65"/>
    <mergeCell ref="B69"/>
    <mergeCell ref="A1:X1"/>
  </mergeCells>
  <dataValidations count="10">
    <dataValidation sqref="C5 C6 C7 C8 C9 C10 C11 C12 C13 C14 C15 C16 C17 C18 C19 C20 C21 C22 C23 C24 C25 C26 C27 C28 C29 C30 C31 C32 C33 C34 C35 C36 C37 C38 C39 C40 C41 C42 C43 C44 C45 C46 C47 C48 C49 C50 C51 C52 C53 C54" showDropDown="0" showInputMessage="0" showErrorMessage="0" allowBlank="1" errorTitle="Service Type" error="Select valid service type" promptTitle="Service Type" prompt="Select Service Type" type="list">
      <formula1>"SaaS,IaaS,PaaS,Security Service,Cloud Storage,Other"</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1" errorTitle="Review Period" error="Select valid review period" promptTitle="Review Period" prompt="Select Review Period" type="list">
      <formula1>"Q1,Q2,Q3,Q4,Annual,Ad-Hoc"</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1" errorTitle="Service Criticality" error="Select valid criticality" promptTitle="Service Criticality" prompt="Select Service Criticality" type="list">
      <formula1>"Critical,High,Medium,Low"</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1" errorTitle="Data Classification" error="Select valid classification" promptTitle="Data Classification" prompt="Select Data Classification" type="list">
      <formula1>"Restricted,Confidential,Internal,Public,N/A"</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1" errorTitle="Status" error="Select valid status" promptTitle="Status" prompt="Select Status" type="list">
      <formula1>"✅ Compliant,⚠ Partial,❌ Non-Compliant,N/A"</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1" errorTitle="Yes/No" error="Select Yes or No" promptTitle="Yes/No" prompt="Select Yes/No" type="list">
      <formula1>"Yes,No"</formula1>
    </dataValidation>
    <dataValidation sqref="O5 O6 O7 O8 O9 O10 O11 O12 O13 O14 O15 O16 O17 O18 O19 O20 O21 O22 O23 O24 O25 O26 O27 O28 O29 O30 O31 O32 O33 O34 O35 O36 O37 O38 O39 O40 O41 O42 O43 O44 O45 O46 O47 O48 O49 O50 O51 O52 O53 O54" showDropDown="0" showInputMessage="0" showErrorMessage="0" allowBlank="1" errorTitle="Responsible Team" error="Select valid team" promptTitle="Responsible Team" prompt="Select Responsible Team" type="list">
      <formula1>"IT Ops,Compliance,Risk Management,Security,Business Owners"</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1" errorTitle="BC Tier" error="Select valid BC Tier" type="list">
      <formula1>"Tier 1 (&lt;4hr),Tier 2 (&lt;24hr),Tier 3 (&lt;72hr),Tier 4 (Best Effort)"</formula1>
    </dataValidation>
    <dataValidation sqref="S5 S6 S7 S8 S9 S10 S11 S12 S13 S14 S15 S16 S17 S18 S19 S20 S21 S22 S23 S24 S25 S26 S27 S28 S29 S30 S31 S32 S33 S34 S35 S36 S37 S38 S39 S40 S41 S42 S43 S44 S45 S46 S47 S48 S49 S50 S51 S52 S53 S54" showDropDown="0" showInputMessage="0" showErrorMessage="0" allowBlank="1" errorTitle="Test Result" error="Select valid Test Result" type="list">
      <formula1>"Passed,Failed,Partial,Not Tested"</formula1>
    </dataValidation>
    <dataValidation sqref="C58 C59 C60 C61 C62 C63 C64 C65 C66 C67 C68 C69 C70 C71 C72" showDropDown="0" showInputMessage="0" showErrorMessage="0" allowBlank="1" type="list">
      <formula1>"Yes,No,N/A"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76"/>
  <sheetViews>
    <sheetView workbookViewId="0">
      <pane ySplit="3" topLeftCell="A4" activePane="bottomLeft" state="frozen"/>
      <selection pane="bottomLeft" activeCell="A1" sqref="A1"/>
    </sheetView>
  </sheetViews>
  <sheetFormatPr baseColWidth="8" defaultRowHeight="15"/>
  <cols>
    <col width="28" customWidth="1" min="1" max="1"/>
    <col width="65" customWidth="1" min="2" max="2"/>
    <col width="20" customWidth="1" min="3" max="3"/>
    <col width="16" customWidth="1" min="4" max="4"/>
    <col width="18" customWidth="1" min="5" max="5"/>
    <col width="20" customWidth="1" min="6" max="6"/>
    <col width="16" customWidth="1" min="7" max="7"/>
    <col width="15" customWidth="1" min="8" max="8"/>
    <col width="30" customWidth="1" min="9" max="9"/>
    <col width="35" customWidth="1" min="10" max="10"/>
    <col width="16" customWidth="1" min="11" max="11"/>
    <col width="14" customWidth="1" min="12" max="12"/>
    <col width="14" customWidth="1" min="13" max="13"/>
    <col width="30" customWidth="1" min="14" max="14"/>
    <col width="20" customWidth="1" min="15" max="15"/>
    <col width="18" customWidth="1" min="16" max="16"/>
    <col width="18" customWidth="1" min="17" max="17"/>
    <col width="18" customWidth="1" min="18" max="18"/>
    <col width="20" customWidth="1" min="19" max="19"/>
    <col width="18" customWidth="1" min="20" max="20"/>
    <col width="16" customWidth="1" min="21" max="21"/>
    <col width="18" customWidth="1" min="22" max="22"/>
    <col width="18" customWidth="1" min="23" max="23"/>
    <col width="20" customWidth="1" min="24" max="24"/>
  </cols>
  <sheetData>
    <row r="1" ht="35" customHeight="1">
      <c r="A1" s="13" t="inlineStr">
        <is>
          <t>VENDOR RISK MONITORING</t>
        </is>
      </c>
    </row>
    <row r="2" ht="30" customHeight="1">
      <c r="A2" s="14" t="inlineStr">
        <is>
          <t>Policy Reference: Cloud vendor risk MUST be monitored continuously. Security posture changes MUST trigger reassessment. (Policy Section 6.5)</t>
        </is>
      </c>
    </row>
    <row r="3" ht="30" customHeight="1">
      <c r="A3" s="15" t="inlineStr">
        <is>
          <t>Cloud Service Name</t>
        </is>
      </c>
      <c r="B3" s="15" t="inlineStr">
        <is>
          <t>Vendor Name</t>
        </is>
      </c>
      <c r="C3" s="15" t="inlineStr">
        <is>
          <t>Service Type</t>
        </is>
      </c>
      <c r="D3" s="15" t="inlineStr">
        <is>
          <t>Review Period</t>
        </is>
      </c>
      <c r="E3" s="15" t="inlineStr">
        <is>
          <t>Service Criticality</t>
        </is>
      </c>
      <c r="F3" s="15" t="inlineStr">
        <is>
          <t>Data Classification</t>
        </is>
      </c>
      <c r="G3" s="15" t="inlineStr">
        <is>
          <t>Risk Rating</t>
        </is>
      </c>
      <c r="H3" s="15" t="inlineStr">
        <is>
          <t>Status</t>
        </is>
      </c>
      <c r="I3" s="15" t="inlineStr">
        <is>
          <t>Evidence Location</t>
        </is>
      </c>
      <c r="J3" s="15" t="inlineStr">
        <is>
          <t>Gap Description</t>
        </is>
      </c>
      <c r="K3" s="15" t="inlineStr">
        <is>
          <t>Remediation Needed</t>
        </is>
      </c>
      <c r="L3" s="15" t="inlineStr">
        <is>
          <t>Exception ID</t>
        </is>
      </c>
      <c r="M3" s="15" t="inlineStr">
        <is>
          <t>Risk ID</t>
        </is>
      </c>
      <c r="N3" s="15" t="inlineStr">
        <is>
          <t>Compensating Controls</t>
        </is>
      </c>
      <c r="O3" s="15" t="inlineStr">
        <is>
          <t>Responsible Team/Owner</t>
        </is>
      </c>
      <c r="P3" s="15" t="inlineStr">
        <is>
          <t>Target Remediation Date</t>
        </is>
      </c>
      <c r="Q3" s="15" t="inlineStr">
        <is>
          <t>Last Review Date</t>
        </is>
      </c>
      <c r="R3" s="15" t="inlineStr">
        <is>
          <t>Risk Score Trend</t>
        </is>
      </c>
      <c r="S3" s="15" t="inlineStr">
        <is>
          <t>Security Incidents (YTD)</t>
        </is>
      </c>
      <c r="T3" s="15" t="inlineStr">
        <is>
          <t>Cert Expiry Tracked</t>
        </is>
      </c>
      <c r="U3" s="15" t="inlineStr">
        <is>
          <t>Next Cert Expiry</t>
        </is>
      </c>
      <c r="V3" s="15" t="inlineStr">
        <is>
          <t>Financial Health</t>
        </is>
      </c>
      <c r="W3" s="15" t="inlineStr">
        <is>
          <t>Last Assessment Date</t>
        </is>
      </c>
      <c r="X3" s="15" t="inlineStr">
        <is>
          <t>Reassessment Trigger Met</t>
        </is>
      </c>
    </row>
    <row r="4">
      <c r="A4" s="16" t="inlineStr">
        <is>
          <t>Example: Microsoft 365</t>
        </is>
      </c>
      <c r="B4" s="16" t="inlineStr">
        <is>
          <t>Microsoft</t>
        </is>
      </c>
      <c r="C4" s="16" t="inlineStr">
        <is>
          <t>SaaS</t>
        </is>
      </c>
      <c r="D4" s="16" t="inlineStr">
        <is>
          <t>Q4</t>
        </is>
      </c>
      <c r="E4" s="16" t="inlineStr">
        <is>
          <t>Critical</t>
        </is>
      </c>
      <c r="F4" s="16" t="inlineStr">
        <is>
          <t>Confidential</t>
        </is>
      </c>
      <c r="G4" s="16" t="inlineStr">
        <is>
          <t>Low</t>
        </is>
      </c>
      <c r="H4" s="16" t="inlineStr">
        <is>
          <t>✅ Compliant</t>
        </is>
      </c>
      <c r="I4" s="16" t="inlineStr">
        <is>
          <t>/evidence/vendor/MSFT</t>
        </is>
      </c>
      <c r="J4" s="16" t="inlineStr"/>
      <c r="K4" s="16" t="inlineStr">
        <is>
          <t>No</t>
        </is>
      </c>
      <c r="L4" s="16" t="inlineStr"/>
      <c r="M4" s="16" t="inlineStr"/>
      <c r="N4" s="16" t="inlineStr"/>
      <c r="O4" s="16" t="inlineStr">
        <is>
          <t>Risk Management</t>
        </is>
      </c>
      <c r="P4" s="16" t="inlineStr"/>
      <c r="Q4" s="16" t="inlineStr">
        <is>
          <t>2025-10-01</t>
        </is>
      </c>
      <c r="R4" s="16" t="inlineStr">
        <is>
          <t>Stable</t>
        </is>
      </c>
      <c r="S4" s="16" t="inlineStr">
        <is>
          <t>0</t>
        </is>
      </c>
      <c r="T4" s="16" t="inlineStr">
        <is>
          <t>Yes</t>
        </is>
      </c>
      <c r="U4" s="16" t="inlineStr">
        <is>
          <t>2026-08-15</t>
        </is>
      </c>
      <c r="V4" s="16" t="inlineStr">
        <is>
          <t>Strong</t>
        </is>
      </c>
      <c r="W4" s="16" t="inlineStr">
        <is>
          <t>2025-10-01</t>
        </is>
      </c>
      <c r="X4" s="16" t="inlineStr">
        <is>
          <t>No</t>
        </is>
      </c>
    </row>
    <row r="5">
      <c r="A5" s="17" t="n"/>
      <c r="B5" s="17" t="n"/>
      <c r="C5" s="17" t="n"/>
      <c r="D5" s="17" t="n"/>
      <c r="E5" s="17" t="n"/>
      <c r="F5" s="17" t="n"/>
      <c r="G5" s="17" t="n"/>
      <c r="H5" s="17" t="n"/>
      <c r="I5" s="17" t="n"/>
      <c r="J5" s="17" t="n"/>
      <c r="K5" s="17" t="n"/>
      <c r="L5" s="17" t="n"/>
      <c r="M5" s="17" t="n"/>
      <c r="N5" s="17" t="n"/>
      <c r="O5" s="17" t="n"/>
      <c r="P5" s="17" t="n"/>
      <c r="Q5" s="17" t="n"/>
      <c r="R5" s="17" t="n"/>
      <c r="S5" s="17" t="n"/>
      <c r="T5" s="17" t="n"/>
      <c r="U5" s="17" t="n"/>
      <c r="V5" s="17" t="n"/>
      <c r="W5" s="17" t="n"/>
      <c r="X5" s="17" t="n"/>
    </row>
    <row r="6">
      <c r="A6" s="17" t="n"/>
      <c r="B6" s="17" t="n"/>
      <c r="C6" s="17" t="n"/>
      <c r="D6" s="17" t="n"/>
      <c r="E6" s="17" t="n"/>
      <c r="F6" s="17" t="n"/>
      <c r="G6" s="17" t="n"/>
      <c r="H6" s="17" t="n"/>
      <c r="I6" s="17" t="n"/>
      <c r="J6" s="17" t="n"/>
      <c r="K6" s="17" t="n"/>
      <c r="L6" s="17" t="n"/>
      <c r="M6" s="17" t="n"/>
      <c r="N6" s="17" t="n"/>
      <c r="O6" s="17" t="n"/>
      <c r="P6" s="17" t="n"/>
      <c r="Q6" s="17" t="n"/>
      <c r="R6" s="17" t="n"/>
      <c r="S6" s="17" t="n"/>
      <c r="T6" s="17" t="n"/>
      <c r="U6" s="17" t="n"/>
      <c r="V6" s="17" t="n"/>
      <c r="W6" s="17" t="n"/>
      <c r="X6" s="17" t="n"/>
    </row>
    <row r="7">
      <c r="A7" s="17" t="n"/>
      <c r="B7" s="17" t="n"/>
      <c r="C7" s="17" t="n"/>
      <c r="D7" s="17" t="n"/>
      <c r="E7" s="17" t="n"/>
      <c r="F7" s="17" t="n"/>
      <c r="G7" s="17" t="n"/>
      <c r="H7" s="17" t="n"/>
      <c r="I7" s="17" t="n"/>
      <c r="J7" s="17" t="n"/>
      <c r="K7" s="17" t="n"/>
      <c r="L7" s="17" t="n"/>
      <c r="M7" s="17" t="n"/>
      <c r="N7" s="17" t="n"/>
      <c r="O7" s="17" t="n"/>
      <c r="P7" s="17" t="n"/>
      <c r="Q7" s="17" t="n"/>
      <c r="R7" s="17" t="n"/>
      <c r="S7" s="17" t="n"/>
      <c r="T7" s="17" t="n"/>
      <c r="U7" s="17" t="n"/>
      <c r="V7" s="17" t="n"/>
      <c r="W7" s="17" t="n"/>
      <c r="X7" s="17" t="n"/>
    </row>
    <row r="8">
      <c r="A8" s="17" t="n"/>
      <c r="B8" s="17" t="n"/>
      <c r="C8" s="17" t="n"/>
      <c r="D8" s="17" t="n"/>
      <c r="E8" s="17" t="n"/>
      <c r="F8" s="17" t="n"/>
      <c r="G8" s="17" t="n"/>
      <c r="H8" s="17" t="n"/>
      <c r="I8" s="17" t="n"/>
      <c r="J8" s="17" t="n"/>
      <c r="K8" s="17" t="n"/>
      <c r="L8" s="17" t="n"/>
      <c r="M8" s="17" t="n"/>
      <c r="N8" s="17" t="n"/>
      <c r="O8" s="17" t="n"/>
      <c r="P8" s="17" t="n"/>
      <c r="Q8" s="17" t="n"/>
      <c r="R8" s="17" t="n"/>
      <c r="S8" s="17" t="n"/>
      <c r="T8" s="17" t="n"/>
      <c r="U8" s="17" t="n"/>
      <c r="V8" s="17" t="n"/>
      <c r="W8" s="17" t="n"/>
      <c r="X8" s="17" t="n"/>
    </row>
    <row r="9">
      <c r="A9" s="17" t="n"/>
      <c r="B9" s="17" t="n"/>
      <c r="C9" s="17" t="n"/>
      <c r="D9" s="17" t="n"/>
      <c r="E9" s="17" t="n"/>
      <c r="F9" s="17" t="n"/>
      <c r="G9" s="17" t="n"/>
      <c r="H9" s="17" t="n"/>
      <c r="I9" s="17" t="n"/>
      <c r="J9" s="17" t="n"/>
      <c r="K9" s="17" t="n"/>
      <c r="L9" s="17" t="n"/>
      <c r="M9" s="17" t="n"/>
      <c r="N9" s="17" t="n"/>
      <c r="O9" s="17" t="n"/>
      <c r="P9" s="17" t="n"/>
      <c r="Q9" s="17" t="n"/>
      <c r="R9" s="17" t="n"/>
      <c r="S9" s="17" t="n"/>
      <c r="T9" s="17" t="n"/>
      <c r="U9" s="17" t="n"/>
      <c r="V9" s="17" t="n"/>
      <c r="W9" s="17" t="n"/>
      <c r="X9" s="17" t="n"/>
    </row>
    <row r="10">
      <c r="A10" s="17" t="n"/>
      <c r="B10" s="17" t="n"/>
      <c r="C10" s="17" t="n"/>
      <c r="D10" s="17" t="n"/>
      <c r="E10" s="17" t="n"/>
      <c r="F10" s="17" t="n"/>
      <c r="G10" s="17" t="n"/>
      <c r="H10" s="17" t="n"/>
      <c r="I10" s="17" t="n"/>
      <c r="J10" s="17" t="n"/>
      <c r="K10" s="17" t="n"/>
      <c r="L10" s="17" t="n"/>
      <c r="M10" s="17" t="n"/>
      <c r="N10" s="17" t="n"/>
      <c r="O10" s="17" t="n"/>
      <c r="P10" s="17" t="n"/>
      <c r="Q10" s="17" t="n"/>
      <c r="R10" s="17" t="n"/>
      <c r="S10" s="17" t="n"/>
      <c r="T10" s="17" t="n"/>
      <c r="U10" s="17" t="n"/>
      <c r="V10" s="17" t="n"/>
      <c r="W10" s="17" t="n"/>
      <c r="X10" s="17"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c r="U11" s="17" t="n"/>
      <c r="V11" s="17" t="n"/>
      <c r="W11" s="17" t="n"/>
      <c r="X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c r="U12" s="17" t="n"/>
      <c r="V12" s="17" t="n"/>
      <c r="W12" s="17" t="n"/>
      <c r="X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c r="U13" s="17" t="n"/>
      <c r="V13" s="17" t="n"/>
      <c r="W13" s="17" t="n"/>
      <c r="X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c r="U14" s="17" t="n"/>
      <c r="V14" s="17" t="n"/>
      <c r="W14" s="17" t="n"/>
      <c r="X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c r="U15" s="17" t="n"/>
      <c r="V15" s="17" t="n"/>
      <c r="W15" s="17" t="n"/>
      <c r="X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c r="U16" s="17" t="n"/>
      <c r="V16" s="17" t="n"/>
      <c r="W16" s="17" t="n"/>
      <c r="X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c r="U17" s="17" t="n"/>
      <c r="V17" s="17" t="n"/>
      <c r="W17" s="17" t="n"/>
      <c r="X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c r="U18" s="17" t="n"/>
      <c r="V18" s="17" t="n"/>
      <c r="W18" s="17" t="n"/>
      <c r="X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c r="U19" s="17" t="n"/>
      <c r="V19" s="17" t="n"/>
      <c r="W19" s="17" t="n"/>
      <c r="X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c r="U20" s="17" t="n"/>
      <c r="V20" s="17" t="n"/>
      <c r="W20" s="17" t="n"/>
      <c r="X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c r="U21" s="17" t="n"/>
      <c r="V21" s="17" t="n"/>
      <c r="W21" s="17" t="n"/>
      <c r="X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c r="U22" s="17" t="n"/>
      <c r="V22" s="17" t="n"/>
      <c r="W22" s="17" t="n"/>
      <c r="X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c r="U23" s="17" t="n"/>
      <c r="V23" s="17" t="n"/>
      <c r="W23" s="17" t="n"/>
      <c r="X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c r="U24" s="17" t="n"/>
      <c r="V24" s="17" t="n"/>
      <c r="W24" s="17" t="n"/>
      <c r="X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c r="U25" s="17" t="n"/>
      <c r="V25" s="17" t="n"/>
      <c r="W25" s="17" t="n"/>
      <c r="X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c r="U26" s="17" t="n"/>
      <c r="V26" s="17" t="n"/>
      <c r="W26" s="17" t="n"/>
      <c r="X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c r="U27" s="17" t="n"/>
      <c r="V27" s="17" t="n"/>
      <c r="W27" s="17" t="n"/>
      <c r="X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c r="U28" s="17" t="n"/>
      <c r="V28" s="17" t="n"/>
      <c r="W28" s="17" t="n"/>
      <c r="X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c r="U29" s="17" t="n"/>
      <c r="V29" s="17" t="n"/>
      <c r="W29" s="17" t="n"/>
      <c r="X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c r="U31" s="17" t="n"/>
      <c r="V31" s="17" t="n"/>
      <c r="W31" s="17" t="n"/>
      <c r="X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c r="U32" s="17" t="n"/>
      <c r="V32" s="17" t="n"/>
      <c r="W32" s="17" t="n"/>
      <c r="X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c r="U33" s="17" t="n"/>
      <c r="V33" s="17" t="n"/>
      <c r="W33" s="17" t="n"/>
      <c r="X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c r="U34" s="17" t="n"/>
      <c r="V34" s="17" t="n"/>
      <c r="W34" s="17" t="n"/>
      <c r="X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c r="U35" s="17" t="n"/>
      <c r="V35" s="17" t="n"/>
      <c r="W35" s="17" t="n"/>
      <c r="X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c r="U36" s="17" t="n"/>
      <c r="V36" s="17" t="n"/>
      <c r="W36" s="17" t="n"/>
      <c r="X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c r="U37" s="17" t="n"/>
      <c r="V37" s="17" t="n"/>
      <c r="W37" s="17" t="n"/>
      <c r="X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c r="U38" s="17" t="n"/>
      <c r="V38" s="17" t="n"/>
      <c r="W38" s="17" t="n"/>
      <c r="X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c r="U39" s="17" t="n"/>
      <c r="V39" s="17" t="n"/>
      <c r="W39" s="17" t="n"/>
      <c r="X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c r="U40" s="17" t="n"/>
      <c r="V40" s="17" t="n"/>
      <c r="W40" s="17" t="n"/>
      <c r="X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c r="U41" s="17" t="n"/>
      <c r="V41" s="17" t="n"/>
      <c r="W41" s="17" t="n"/>
      <c r="X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c r="U42" s="17" t="n"/>
      <c r="V42" s="17" t="n"/>
      <c r="W42" s="17" t="n"/>
      <c r="X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c r="U43" s="17" t="n"/>
      <c r="V43" s="17" t="n"/>
      <c r="W43" s="17" t="n"/>
      <c r="X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c r="U44" s="17" t="n"/>
      <c r="V44" s="17" t="n"/>
      <c r="W44" s="17" t="n"/>
      <c r="X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c r="U46" s="17" t="n"/>
      <c r="V46" s="17" t="n"/>
      <c r="W46" s="17" t="n"/>
      <c r="X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c r="U47" s="17" t="n"/>
      <c r="V47" s="17" t="n"/>
      <c r="W47" s="17" t="n"/>
      <c r="X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c r="U48" s="17" t="n"/>
      <c r="V48" s="17" t="n"/>
      <c r="W48" s="17" t="n"/>
      <c r="X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c r="U49" s="17" t="n"/>
      <c r="V49" s="17" t="n"/>
      <c r="W49" s="17" t="n"/>
      <c r="X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c r="U50" s="17" t="n"/>
      <c r="V50" s="17" t="n"/>
      <c r="W50" s="17" t="n"/>
      <c r="X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c r="U52" s="17" t="n"/>
      <c r="V52" s="17" t="n"/>
      <c r="W52" s="17" t="n"/>
      <c r="X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c r="U53" s="17" t="n"/>
      <c r="V53" s="17" t="n"/>
      <c r="W53" s="17" t="n"/>
      <c r="X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c r="U54" s="17" t="n"/>
      <c r="V54" s="17" t="n"/>
      <c r="W54" s="17" t="n"/>
      <c r="X54" s="17" t="n"/>
    </row>
    <row r="56">
      <c r="A56" s="18" t="inlineStr">
        <is>
          <t>VENDOR RISK MONITORING - COMPLIANCE CHECKLIST</t>
        </is>
      </c>
    </row>
    <row r="57">
      <c r="A57" s="19" t="inlineStr">
        <is>
          <t>☐</t>
        </is>
      </c>
      <c r="B57" s="19" t="inlineStr">
        <is>
          <t>Requirement</t>
        </is>
      </c>
      <c r="C57" s="19" t="inlineStr">
        <is>
          <t>Status</t>
        </is>
      </c>
      <c r="D57" s="19" t="inlineStr">
        <is>
          <t>Notes/Evidence</t>
        </is>
      </c>
    </row>
    <row r="58">
      <c r="A58" s="20" t="inlineStr">
        <is>
          <t>☐</t>
        </is>
      </c>
      <c r="B58" s="6" t="inlineStr">
        <is>
          <t>Vendor risk assessment performed at onboarding</t>
        </is>
      </c>
      <c r="C58" s="21" t="n"/>
      <c r="D58" s="21" t="n"/>
    </row>
    <row r="59">
      <c r="A59" s="20" t="inlineStr">
        <is>
          <t>☐</t>
        </is>
      </c>
      <c r="B59" s="6" t="inlineStr">
        <is>
          <t>Annual vendor risk reassessment scheduled</t>
        </is>
      </c>
      <c r="C59" s="21" t="n"/>
      <c r="D59" s="21" t="n"/>
    </row>
    <row r="60">
      <c r="A60" s="20" t="inlineStr">
        <is>
          <t>☐</t>
        </is>
      </c>
      <c r="B60" s="6" t="inlineStr">
        <is>
          <t>Risk scoring methodology documented and consistent</t>
        </is>
      </c>
      <c r="C60" s="21" t="n"/>
      <c r="D60" s="21" t="n"/>
    </row>
    <row r="61">
      <c r="A61" s="20" t="inlineStr">
        <is>
          <t>☐</t>
        </is>
      </c>
      <c r="B61" s="6" t="inlineStr">
        <is>
          <t>Security certifications tracked (ISO 27001, SOC 2, etc.)</t>
        </is>
      </c>
      <c r="C61" s="21" t="n"/>
      <c r="D61" s="21" t="n"/>
    </row>
    <row r="62">
      <c r="A62" s="20" t="inlineStr">
        <is>
          <t>☐</t>
        </is>
      </c>
      <c r="B62" s="6" t="inlineStr">
        <is>
          <t>Certification expiry dates monitored with alerts</t>
        </is>
      </c>
      <c r="C62" s="21" t="n"/>
      <c r="D62" s="21" t="n"/>
    </row>
    <row r="63">
      <c r="A63" s="20" t="inlineStr">
        <is>
          <t>☐</t>
        </is>
      </c>
      <c r="B63" s="6" t="inlineStr">
        <is>
          <t>Vendor security incidents monitored via news/feeds</t>
        </is>
      </c>
      <c r="C63" s="21" t="n"/>
      <c r="D63" s="21" t="n"/>
    </row>
    <row r="64">
      <c r="A64" s="20" t="inlineStr">
        <is>
          <t>☐</t>
        </is>
      </c>
      <c r="B64" s="6" t="inlineStr">
        <is>
          <t>Vendor breach notification process documented</t>
        </is>
      </c>
      <c r="C64" s="21" t="n"/>
      <c r="D64" s="21" t="n"/>
    </row>
    <row r="65">
      <c r="A65" s="20" t="inlineStr">
        <is>
          <t>☐</t>
        </is>
      </c>
      <c r="B65" s="6" t="inlineStr">
        <is>
          <t>Financial health indicators monitored for critical vendors</t>
        </is>
      </c>
      <c r="C65" s="21" t="n"/>
      <c r="D65" s="21" t="n"/>
    </row>
    <row r="66">
      <c r="A66" s="20" t="inlineStr">
        <is>
          <t>☐</t>
        </is>
      </c>
      <c r="B66" s="6" t="inlineStr">
        <is>
          <t>Vendor concentration risk assessed</t>
        </is>
      </c>
      <c r="C66" s="21" t="n"/>
      <c r="D66" s="21" t="n"/>
    </row>
    <row r="67">
      <c r="A67" s="20" t="inlineStr">
        <is>
          <t>☐</t>
        </is>
      </c>
      <c r="B67" s="6" t="inlineStr">
        <is>
          <t>Sub-processor changes tracked and assessed</t>
        </is>
      </c>
      <c r="C67" s="21" t="n"/>
      <c r="D67" s="21" t="n"/>
    </row>
    <row r="68">
      <c r="A68" s="20" t="inlineStr">
        <is>
          <t>☐</t>
        </is>
      </c>
      <c r="B68" s="6" t="inlineStr">
        <is>
          <t>Geopolitical risk factors considered</t>
        </is>
      </c>
      <c r="C68" s="21" t="n"/>
      <c r="D68" s="21" t="n"/>
    </row>
    <row r="69">
      <c r="A69" s="20" t="inlineStr">
        <is>
          <t>☐</t>
        </is>
      </c>
      <c r="B69" s="6" t="inlineStr">
        <is>
          <t>Vendor security questionnaire refreshed periodically</t>
        </is>
      </c>
      <c r="C69" s="21" t="n"/>
      <c r="D69" s="21" t="n"/>
    </row>
    <row r="70">
      <c r="A70" s="20" t="inlineStr">
        <is>
          <t>☐</t>
        </is>
      </c>
      <c r="B70" s="6" t="inlineStr">
        <is>
          <t>Risk rating changes trigger stakeholder notification</t>
        </is>
      </c>
      <c r="C70" s="21" t="n"/>
      <c r="D70" s="21" t="n"/>
    </row>
    <row r="71">
      <c r="A71" s="20" t="inlineStr">
        <is>
          <t>☐</t>
        </is>
      </c>
      <c r="B71" s="6" t="inlineStr">
        <is>
          <t>High-risk vendors subject to enhanced monitoring</t>
        </is>
      </c>
      <c r="C71" s="21" t="n"/>
      <c r="D71" s="21" t="n"/>
    </row>
    <row r="72">
      <c r="A72" s="20" t="inlineStr">
        <is>
          <t>☐</t>
        </is>
      </c>
      <c r="B72" s="6" t="inlineStr">
        <is>
          <t>Vendor risk dashboard available to stakeholders</t>
        </is>
      </c>
      <c r="C72" s="21" t="n"/>
      <c r="D72" s="21" t="n"/>
    </row>
    <row r="73">
      <c r="A73" s="20" t="inlineStr">
        <is>
          <t>☐</t>
        </is>
      </c>
      <c r="B73" s="6" t="inlineStr">
        <is>
          <t>EOL/EOS (End-of-Life/End-of-Support) dates tracked for all vendor products, APIs and cloud service tiers</t>
        </is>
      </c>
      <c r="C73" s="21" t="n"/>
      <c r="D73" s="21" t="n"/>
    </row>
    <row r="74">
      <c r="A74" s="20" t="inlineStr">
        <is>
          <t>☐</t>
        </is>
      </c>
      <c r="B74" s="6" t="inlineStr">
        <is>
          <t>Vendor feature deprecation notices monitored, impact assessed and migration plans created</t>
        </is>
      </c>
      <c r="C74" s="21" t="n"/>
      <c r="D74" s="21" t="n"/>
    </row>
    <row r="76">
      <c r="A76" s="22" t="inlineStr">
        <is>
          <t>Checklist Compliance Score:</t>
        </is>
      </c>
      <c r="C76" s="23">
        <f>IF(COUNTA(C58:C74)=0,"N/A",ROUND(COUNTIF(C58:C74,"Yes")/COUNTIF(C58:C74,"&lt;&gt;N/A")*100,1)&amp;"%")</f>
        <v/>
      </c>
    </row>
  </sheetData>
  <mergeCells count="37">
    <mergeCell ref="B65"/>
    <mergeCell ref="B74"/>
    <mergeCell ref="B68"/>
    <mergeCell ref="D61:F61"/>
    <mergeCell ref="B64"/>
    <mergeCell ref="D70:F70"/>
    <mergeCell ref="D66:F66"/>
    <mergeCell ref="B63"/>
    <mergeCell ref="A56:X56"/>
    <mergeCell ref="D72:F72"/>
    <mergeCell ref="D71:F71"/>
    <mergeCell ref="A2:X2"/>
    <mergeCell ref="B62"/>
    <mergeCell ref="D62:F62"/>
    <mergeCell ref="D58:F58"/>
    <mergeCell ref="D74:F74"/>
    <mergeCell ref="B72"/>
    <mergeCell ref="B59"/>
    <mergeCell ref="D68:F68"/>
    <mergeCell ref="B66"/>
    <mergeCell ref="D73:F73"/>
    <mergeCell ref="B71"/>
    <mergeCell ref="D64:F64"/>
    <mergeCell ref="D67:F67"/>
    <mergeCell ref="B58"/>
    <mergeCell ref="B70"/>
    <mergeCell ref="D59:F59"/>
    <mergeCell ref="D60:F60"/>
    <mergeCell ref="D69:F69"/>
    <mergeCell ref="B60"/>
    <mergeCell ref="B67"/>
    <mergeCell ref="D63:F63"/>
    <mergeCell ref="B61"/>
    <mergeCell ref="B73"/>
    <mergeCell ref="D65:F65"/>
    <mergeCell ref="B69"/>
    <mergeCell ref="A1:X1"/>
  </mergeCells>
  <dataValidations count="13">
    <dataValidation sqref="C5 C6 C7 C8 C9 C10 C11 C12 C13 C14 C15 C16 C17 C18 C19 C20 C21 C22 C23 C24 C25 C26 C27 C28 C29 C30 C31 C32 C33 C34 C35 C36 C37 C38 C39 C40 C41 C42 C43 C44 C45 C46 C47 C48 C49 C50 C51 C52 C53 C54" showDropDown="0" showInputMessage="0" showErrorMessage="0" allowBlank="1" errorTitle="Service Type" error="Select valid service type" promptTitle="Service Type" prompt="Select Service Type" type="list">
      <formula1>"SaaS,IaaS,PaaS,Security Service,Cloud Storage,Other"</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1" errorTitle="Review Period" error="Select valid review period" promptTitle="Review Period" prompt="Select Review Period" type="list">
      <formula1>"Q1,Q2,Q3,Q4,Annual,Ad-Hoc"</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1" errorTitle="Service Criticality" error="Select valid criticality" promptTitle="Service Criticality" prompt="Select Service Criticality" type="list">
      <formula1>"Critical,High,Medium,Low"</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1" errorTitle="Data Classification" error="Select valid classification" promptTitle="Data Classification" prompt="Select Data Classification" type="list">
      <formula1>"Restricted,Confidential,Internal,Public,N/A"</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1" errorTitle="Status" error="Select valid status" promptTitle="Status" prompt="Select Status" type="list">
      <formula1>"✅ Compliant,⚠ Partial,❌ Non-Compliant,N/A"</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1" errorTitle="Yes/No" error="Select Yes or No" promptTitle="Yes/No" prompt="Select Yes/No" type="list">
      <formula1>"Yes,No"</formula1>
    </dataValidation>
    <dataValidation sqref="O5 O6 O7 O8 O9 O10 O11 O12 O13 O14 O15 O16 O17 O18 O19 O20 O21 O22 O23 O24 O25 O26 O27 O28 O29 O30 O31 O32 O33 O34 O35 O36 O37 O38 O39 O40 O41 O42 O43 O44 O45 O46 O47 O48 O49 O50 O51 O52 O53 O54" showDropDown="0" showInputMessage="0" showErrorMessage="0" allowBlank="1" errorTitle="Responsible Team" error="Select valid team" promptTitle="Responsible Team" prompt="Select Responsible Team" type="list">
      <formula1>"IT Ops,Compliance,Risk Management,Security,Business Owners"</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1" errorTitle="Risk Rating" error="Select valid Risk Rating" type="list">
      <formula1>"Critical,High,Medium,Low,Minimal"</formula1>
    </dataValidation>
    <dataValidation sqref="R5 R6 R7 R8 R9 R10 R11 R12 R13 R14 R15 R16 R17 R18 R19 R20 R21 R22 R23 R24 R25 R26 R27 R28 R29 R30 R31 R32 R33 R34 R35 R36 R37 R38 R39 R40 R41 R42 R43 R44 R45 R46 R47 R48 R49 R50 R51 R52 R53 R54" showDropDown="0" showInputMessage="0" showErrorMessage="0" allowBlank="1" errorTitle="Risk Trend" error="Select valid Risk Trend" type="list">
      <formula1>"Improving,Stable,Degrading,Unknown"</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1" errorTitle="Cert Tracked" error="Select valid Cert Tracked" type="list">
      <formula1>"Yes,No,N/A"</formula1>
    </dataValidation>
    <dataValidation sqref="V5 V6 V7 V8 V9 V10 V11 V12 V13 V14 V15 V16 V17 V18 V19 V20 V21 V22 V23 V24 V25 V26 V27 V28 V29 V30 V31 V32 V33 V34 V35 V36 V37 V38 V39 V40 V41 V42 V43 V44 V45 V46 V47 V48 V49 V50 V51 V52 V53 V54" showDropDown="0" showInputMessage="0" showErrorMessage="0" allowBlank="1" errorTitle="Financial Health" error="Select valid Financial Health" type="list">
      <formula1>"Strong,Stable,Concerning,Unknown"</formula1>
    </dataValidation>
    <dataValidation sqref="X5 X6 X7 X8 X9 X10 X11 X12 X13 X14 X15 X16 X17 X18 X19 X20 X21 X22 X23 X24 X25 X26 X27 X28 X29 X30 X31 X32 X33 X34 X35 X36 X37 X38 X39 X40 X41 X42 X43 X44 X45 X46 X47 X48 X49 X50 X51 X52 X53 X54" showDropDown="0" showInputMessage="0" showErrorMessage="0" allowBlank="1" errorTitle="Reassessment Trigger" error="Select valid Reassessment Trigger" type="list">
      <formula1>"Yes,No"</formula1>
    </dataValidation>
    <dataValidation sqref="C58 C59 C60 C61 C62 C63 C64 C65 C66 C67 C68 C69 C70 C71 C72 C73 C74" showDropDown="0" showInputMessage="0" showErrorMessage="0" allowBlank="1" type="list">
      <formula1>"Yes,No,N/A"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14"/>
  <sheetViews>
    <sheetView workbookViewId="0">
      <pane ySplit="3" topLeftCell="A4" activePane="bottomLeft" state="frozen"/>
      <selection pane="bottomLeft" activeCell="A1" sqref="A1"/>
    </sheetView>
  </sheetViews>
  <sheetFormatPr baseColWidth="8" defaultRowHeight="15"/>
  <cols>
    <col width="25" customWidth="1" min="1" max="1"/>
    <col width="20" customWidth="1" min="2" max="2"/>
    <col width="15" customWidth="1" min="3" max="3"/>
    <col width="22" customWidth="1" min="4" max="4"/>
    <col width="15" customWidth="1" min="5" max="5"/>
    <col width="15" customWidth="1" min="6" max="6"/>
    <col width="15" customWidth="1" min="7" max="7"/>
    <col width="20" customWidth="1" min="8" max="8"/>
    <col width="16" customWidth="1" min="9" max="9"/>
    <col width="18" customWidth="1" min="10" max="10"/>
    <col width="16" customWidth="1" min="11" max="11"/>
    <col width="20" customWidth="1" min="12" max="12"/>
    <col width="20" customWidth="1" min="13" max="13"/>
    <col width="40" customWidth="1" min="14" max="14"/>
  </cols>
  <sheetData>
    <row r="1" ht="40" customHeight="1">
      <c r="A1" s="24" t="inlineStr">
        <is>
          <t>EXIT STRATEGY ANNUAL REVIEW &amp; POC TESTING</t>
        </is>
      </c>
    </row>
    <row r="2" ht="30" customHeight="1">
      <c r="A2" s="25" t="inlineStr">
        <is>
          <t>POL-S5 Section 8: Annual review required. DORA Art. 28.6: Annual PoC testing for critical ICT providers.</t>
        </is>
      </c>
    </row>
    <row r="3">
      <c r="A3" s="26" t="inlineStr">
        <is>
          <t>Service Name</t>
        </is>
      </c>
      <c r="B3" s="26" t="inlineStr">
        <is>
          <t>Provider</t>
        </is>
      </c>
      <c r="C3" s="26" t="inlineStr">
        <is>
          <t>Criticality</t>
        </is>
      </c>
      <c r="D3" s="26" t="inlineStr">
        <is>
          <t>Exit Strategy Type (Current)</t>
        </is>
      </c>
      <c r="E3" s="26" t="inlineStr">
        <is>
          <t>Last Review Date</t>
        </is>
      </c>
      <c r="F3" s="26" t="inlineStr">
        <is>
          <t>Next Review Date</t>
        </is>
      </c>
      <c r="G3" s="26" t="inlineStr">
        <is>
          <t>Review Status</t>
        </is>
      </c>
      <c r="H3" s="26" t="inlineStr">
        <is>
          <t>PoC Testing Required?</t>
        </is>
      </c>
      <c r="I3" s="26" t="inlineStr">
        <is>
          <t>PoC Test Date (Last)</t>
        </is>
      </c>
      <c r="J3" s="26" t="inlineStr">
        <is>
          <t>PoC Test Result</t>
        </is>
      </c>
      <c r="K3" s="26" t="inlineStr">
        <is>
          <t>PoC Test Next Due</t>
        </is>
      </c>
      <c r="L3" s="26" t="inlineStr">
        <is>
          <t>Exit Strategy Changed?</t>
        </is>
      </c>
      <c r="M3" s="26" t="inlineStr">
        <is>
          <t>Reviewer Name</t>
        </is>
      </c>
      <c r="N3" s="26" t="inlineStr">
        <is>
          <t>Notes</t>
        </is>
      </c>
    </row>
    <row r="4">
      <c r="A4" s="27" t="inlineStr">
        <is>
          <t>Microsoft Azure</t>
        </is>
      </c>
      <c r="B4" s="27" t="inlineStr">
        <is>
          <t>Microsoft</t>
        </is>
      </c>
      <c r="C4" s="27" t="inlineStr">
        <is>
          <t>Critical</t>
        </is>
      </c>
      <c r="D4" s="27" t="inlineStr">
        <is>
          <t>Cloud-to-Cloud</t>
        </is>
      </c>
      <c r="E4" s="27" t="inlineStr">
        <is>
          <t>31.12.2025</t>
        </is>
      </c>
      <c r="F4" s="27" t="inlineStr">
        <is>
          <t>31.12.2026</t>
        </is>
      </c>
      <c r="G4" s="27" t="inlineStr">
        <is>
          <t>Current</t>
        </is>
      </c>
      <c r="H4" s="27" t="inlineStr">
        <is>
          <t>Yes (Critical)</t>
        </is>
      </c>
      <c r="I4" s="27" t="inlineStr">
        <is>
          <t>15.06.2025</t>
        </is>
      </c>
      <c r="J4" s="27" t="inlineStr">
        <is>
          <t>Pass</t>
        </is>
      </c>
      <c r="K4" s="27" t="inlineStr">
        <is>
          <t>15.06.2026</t>
        </is>
      </c>
      <c r="L4" s="27" t="inlineStr">
        <is>
          <t>No</t>
        </is>
      </c>
      <c r="M4" s="27" t="inlineStr">
        <is>
          <t>Cloud Security Lead</t>
        </is>
      </c>
      <c r="N4" s="27" t="inlineStr">
        <is>
          <t>Annual DORA Art. 28.6 PoC test completed</t>
        </is>
      </c>
    </row>
    <row r="5">
      <c r="A5" s="4" t="n"/>
      <c r="B5" s="4" t="n"/>
      <c r="C5" s="4" t="n"/>
      <c r="D5" s="4" t="n"/>
      <c r="E5" s="28" t="n"/>
      <c r="F5" s="28" t="n"/>
      <c r="G5" s="4" t="n"/>
      <c r="H5" s="4" t="n"/>
      <c r="I5" s="28" t="n"/>
      <c r="J5" s="4" t="n"/>
      <c r="K5" s="28" t="n"/>
      <c r="L5" s="4" t="n"/>
      <c r="M5" s="4" t="n"/>
      <c r="N5" s="4" t="n"/>
    </row>
    <row r="6">
      <c r="A6" s="4" t="n"/>
      <c r="B6" s="4" t="n"/>
      <c r="C6" s="4" t="n"/>
      <c r="D6" s="4" t="n"/>
      <c r="E6" s="28" t="n"/>
      <c r="F6" s="28" t="n"/>
      <c r="G6" s="4" t="n"/>
      <c r="H6" s="4" t="n"/>
      <c r="I6" s="28" t="n"/>
      <c r="J6" s="4" t="n"/>
      <c r="K6" s="28" t="n"/>
      <c r="L6" s="4" t="n"/>
      <c r="M6" s="4" t="n"/>
      <c r="N6" s="4" t="n"/>
    </row>
    <row r="7">
      <c r="A7" s="4" t="n"/>
      <c r="B7" s="4" t="n"/>
      <c r="C7" s="4" t="n"/>
      <c r="D7" s="4" t="n"/>
      <c r="E7" s="28" t="n"/>
      <c r="F7" s="28" t="n"/>
      <c r="G7" s="4" t="n"/>
      <c r="H7" s="4" t="n"/>
      <c r="I7" s="28" t="n"/>
      <c r="J7" s="4" t="n"/>
      <c r="K7" s="28" t="n"/>
      <c r="L7" s="4" t="n"/>
      <c r="M7" s="4" t="n"/>
      <c r="N7" s="4" t="n"/>
    </row>
    <row r="8">
      <c r="A8" s="4" t="n"/>
      <c r="B8" s="4" t="n"/>
      <c r="C8" s="4" t="n"/>
      <c r="D8" s="4" t="n"/>
      <c r="E8" s="28" t="n"/>
      <c r="F8" s="28" t="n"/>
      <c r="G8" s="4" t="n"/>
      <c r="H8" s="4" t="n"/>
      <c r="I8" s="28" t="n"/>
      <c r="J8" s="4" t="n"/>
      <c r="K8" s="28" t="n"/>
      <c r="L8" s="4" t="n"/>
      <c r="M8" s="4" t="n"/>
      <c r="N8" s="4" t="n"/>
    </row>
    <row r="9">
      <c r="A9" s="4" t="n"/>
      <c r="B9" s="4" t="n"/>
      <c r="C9" s="4" t="n"/>
      <c r="D9" s="4" t="n"/>
      <c r="E9" s="28" t="n"/>
      <c r="F9" s="28" t="n"/>
      <c r="G9" s="4" t="n"/>
      <c r="H9" s="4" t="n"/>
      <c r="I9" s="28" t="n"/>
      <c r="J9" s="4" t="n"/>
      <c r="K9" s="28" t="n"/>
      <c r="L9" s="4" t="n"/>
      <c r="M9" s="4" t="n"/>
      <c r="N9" s="4" t="n"/>
    </row>
    <row r="10">
      <c r="A10" s="4" t="n"/>
      <c r="B10" s="4" t="n"/>
      <c r="C10" s="4" t="n"/>
      <c r="D10" s="4" t="n"/>
      <c r="E10" s="28" t="n"/>
      <c r="F10" s="28" t="n"/>
      <c r="G10" s="4" t="n"/>
      <c r="H10" s="4" t="n"/>
      <c r="I10" s="28" t="n"/>
      <c r="J10" s="4" t="n"/>
      <c r="K10" s="28" t="n"/>
      <c r="L10" s="4" t="n"/>
      <c r="M10" s="4" t="n"/>
      <c r="N10" s="4" t="n"/>
    </row>
    <row r="11">
      <c r="A11" s="4" t="n"/>
      <c r="B11" s="4" t="n"/>
      <c r="C11" s="4" t="n"/>
      <c r="D11" s="4" t="n"/>
      <c r="E11" s="28" t="n"/>
      <c r="F11" s="28" t="n"/>
      <c r="G11" s="4" t="n"/>
      <c r="H11" s="4" t="n"/>
      <c r="I11" s="28" t="n"/>
      <c r="J11" s="4" t="n"/>
      <c r="K11" s="28" t="n"/>
      <c r="L11" s="4" t="n"/>
      <c r="M11" s="4" t="n"/>
      <c r="N11" s="4" t="n"/>
    </row>
    <row r="12">
      <c r="A12" s="4" t="n"/>
      <c r="B12" s="4" t="n"/>
      <c r="C12" s="4" t="n"/>
      <c r="D12" s="4" t="n"/>
      <c r="E12" s="28" t="n"/>
      <c r="F12" s="28" t="n"/>
      <c r="G12" s="4" t="n"/>
      <c r="H12" s="4" t="n"/>
      <c r="I12" s="28" t="n"/>
      <c r="J12" s="4" t="n"/>
      <c r="K12" s="28" t="n"/>
      <c r="L12" s="4" t="n"/>
      <c r="M12" s="4" t="n"/>
      <c r="N12" s="4" t="n"/>
    </row>
    <row r="13">
      <c r="A13" s="4" t="n"/>
      <c r="B13" s="4" t="n"/>
      <c r="C13" s="4" t="n"/>
      <c r="D13" s="4" t="n"/>
      <c r="E13" s="28" t="n"/>
      <c r="F13" s="28" t="n"/>
      <c r="G13" s="4" t="n"/>
      <c r="H13" s="4" t="n"/>
      <c r="I13" s="28" t="n"/>
      <c r="J13" s="4" t="n"/>
      <c r="K13" s="28" t="n"/>
      <c r="L13" s="4" t="n"/>
      <c r="M13" s="4" t="n"/>
      <c r="N13" s="4" t="n"/>
    </row>
    <row r="14">
      <c r="A14" s="4" t="n"/>
      <c r="B14" s="4" t="n"/>
      <c r="C14" s="4" t="n"/>
      <c r="D14" s="4" t="n"/>
      <c r="E14" s="28" t="n"/>
      <c r="F14" s="28" t="n"/>
      <c r="G14" s="4" t="n"/>
      <c r="H14" s="4" t="n"/>
      <c r="I14" s="28" t="n"/>
      <c r="J14" s="4" t="n"/>
      <c r="K14" s="28" t="n"/>
      <c r="L14" s="4" t="n"/>
      <c r="M14" s="4" t="n"/>
      <c r="N14" s="4" t="n"/>
    </row>
    <row r="15">
      <c r="A15" s="4" t="n"/>
      <c r="B15" s="4" t="n"/>
      <c r="C15" s="4" t="n"/>
      <c r="D15" s="4" t="n"/>
      <c r="E15" s="28" t="n"/>
      <c r="F15" s="28" t="n"/>
      <c r="G15" s="4" t="n"/>
      <c r="H15" s="4" t="n"/>
      <c r="I15" s="28" t="n"/>
      <c r="J15" s="4" t="n"/>
      <c r="K15" s="28" t="n"/>
      <c r="L15" s="4" t="n"/>
      <c r="M15" s="4" t="n"/>
      <c r="N15" s="4" t="n"/>
    </row>
    <row r="16">
      <c r="A16" s="4" t="n"/>
      <c r="B16" s="4" t="n"/>
      <c r="C16" s="4" t="n"/>
      <c r="D16" s="4" t="n"/>
      <c r="E16" s="28" t="n"/>
      <c r="F16" s="28" t="n"/>
      <c r="G16" s="4" t="n"/>
      <c r="H16" s="4" t="n"/>
      <c r="I16" s="28" t="n"/>
      <c r="J16" s="4" t="n"/>
      <c r="K16" s="28" t="n"/>
      <c r="L16" s="4" t="n"/>
      <c r="M16" s="4" t="n"/>
      <c r="N16" s="4" t="n"/>
    </row>
    <row r="17">
      <c r="A17" s="4" t="n"/>
      <c r="B17" s="4" t="n"/>
      <c r="C17" s="4" t="n"/>
      <c r="D17" s="4" t="n"/>
      <c r="E17" s="28" t="n"/>
      <c r="F17" s="28" t="n"/>
      <c r="G17" s="4" t="n"/>
      <c r="H17" s="4" t="n"/>
      <c r="I17" s="28" t="n"/>
      <c r="J17" s="4" t="n"/>
      <c r="K17" s="28" t="n"/>
      <c r="L17" s="4" t="n"/>
      <c r="M17" s="4" t="n"/>
      <c r="N17" s="4" t="n"/>
    </row>
    <row r="18">
      <c r="A18" s="4" t="n"/>
      <c r="B18" s="4" t="n"/>
      <c r="C18" s="4" t="n"/>
      <c r="D18" s="4" t="n"/>
      <c r="E18" s="28" t="n"/>
      <c r="F18" s="28" t="n"/>
      <c r="G18" s="4" t="n"/>
      <c r="H18" s="4" t="n"/>
      <c r="I18" s="28" t="n"/>
      <c r="J18" s="4" t="n"/>
      <c r="K18" s="28" t="n"/>
      <c r="L18" s="4" t="n"/>
      <c r="M18" s="4" t="n"/>
      <c r="N18" s="4" t="n"/>
    </row>
    <row r="19">
      <c r="A19" s="4" t="n"/>
      <c r="B19" s="4" t="n"/>
      <c r="C19" s="4" t="n"/>
      <c r="D19" s="4" t="n"/>
      <c r="E19" s="28" t="n"/>
      <c r="F19" s="28" t="n"/>
      <c r="G19" s="4" t="n"/>
      <c r="H19" s="4" t="n"/>
      <c r="I19" s="28" t="n"/>
      <c r="J19" s="4" t="n"/>
      <c r="K19" s="28" t="n"/>
      <c r="L19" s="4" t="n"/>
      <c r="M19" s="4" t="n"/>
      <c r="N19" s="4" t="n"/>
    </row>
    <row r="20">
      <c r="A20" s="4" t="n"/>
      <c r="B20" s="4" t="n"/>
      <c r="C20" s="4" t="n"/>
      <c r="D20" s="4" t="n"/>
      <c r="E20" s="28" t="n"/>
      <c r="F20" s="28" t="n"/>
      <c r="G20" s="4" t="n"/>
      <c r="H20" s="4" t="n"/>
      <c r="I20" s="28" t="n"/>
      <c r="J20" s="4" t="n"/>
      <c r="K20" s="28" t="n"/>
      <c r="L20" s="4" t="n"/>
      <c r="M20" s="4" t="n"/>
      <c r="N20" s="4" t="n"/>
    </row>
    <row r="21">
      <c r="A21" s="4" t="n"/>
      <c r="B21" s="4" t="n"/>
      <c r="C21" s="4" t="n"/>
      <c r="D21" s="4" t="n"/>
      <c r="E21" s="28" t="n"/>
      <c r="F21" s="28" t="n"/>
      <c r="G21" s="4" t="n"/>
      <c r="H21" s="4" t="n"/>
      <c r="I21" s="28" t="n"/>
      <c r="J21" s="4" t="n"/>
      <c r="K21" s="28" t="n"/>
      <c r="L21" s="4" t="n"/>
      <c r="M21" s="4" t="n"/>
      <c r="N21" s="4" t="n"/>
    </row>
    <row r="22">
      <c r="A22" s="4" t="n"/>
      <c r="B22" s="4" t="n"/>
      <c r="C22" s="4" t="n"/>
      <c r="D22" s="4" t="n"/>
      <c r="E22" s="28" t="n"/>
      <c r="F22" s="28" t="n"/>
      <c r="G22" s="4" t="n"/>
      <c r="H22" s="4" t="n"/>
      <c r="I22" s="28" t="n"/>
      <c r="J22" s="4" t="n"/>
      <c r="K22" s="28" t="n"/>
      <c r="L22" s="4" t="n"/>
      <c r="M22" s="4" t="n"/>
      <c r="N22" s="4" t="n"/>
    </row>
    <row r="23">
      <c r="A23" s="4" t="n"/>
      <c r="B23" s="4" t="n"/>
      <c r="C23" s="4" t="n"/>
      <c r="D23" s="4" t="n"/>
      <c r="E23" s="28" t="n"/>
      <c r="F23" s="28" t="n"/>
      <c r="G23" s="4" t="n"/>
      <c r="H23" s="4" t="n"/>
      <c r="I23" s="28" t="n"/>
      <c r="J23" s="4" t="n"/>
      <c r="K23" s="28" t="n"/>
      <c r="L23" s="4" t="n"/>
      <c r="M23" s="4" t="n"/>
      <c r="N23" s="4" t="n"/>
    </row>
    <row r="24">
      <c r="A24" s="4" t="n"/>
      <c r="B24" s="4" t="n"/>
      <c r="C24" s="4" t="n"/>
      <c r="D24" s="4" t="n"/>
      <c r="E24" s="28" t="n"/>
      <c r="F24" s="28" t="n"/>
      <c r="G24" s="4" t="n"/>
      <c r="H24" s="4" t="n"/>
      <c r="I24" s="28" t="n"/>
      <c r="J24" s="4" t="n"/>
      <c r="K24" s="28" t="n"/>
      <c r="L24" s="4" t="n"/>
      <c r="M24" s="4" t="n"/>
      <c r="N24" s="4" t="n"/>
    </row>
    <row r="25">
      <c r="A25" s="4" t="n"/>
      <c r="B25" s="4" t="n"/>
      <c r="C25" s="4" t="n"/>
      <c r="D25" s="4" t="n"/>
      <c r="E25" s="28" t="n"/>
      <c r="F25" s="28" t="n"/>
      <c r="G25" s="4" t="n"/>
      <c r="H25" s="4" t="n"/>
      <c r="I25" s="28" t="n"/>
      <c r="J25" s="4" t="n"/>
      <c r="K25" s="28" t="n"/>
      <c r="L25" s="4" t="n"/>
      <c r="M25" s="4" t="n"/>
      <c r="N25" s="4" t="n"/>
    </row>
    <row r="26">
      <c r="A26" s="4" t="n"/>
      <c r="B26" s="4" t="n"/>
      <c r="C26" s="4" t="n"/>
      <c r="D26" s="4" t="n"/>
      <c r="E26" s="28" t="n"/>
      <c r="F26" s="28" t="n"/>
      <c r="G26" s="4" t="n"/>
      <c r="H26" s="4" t="n"/>
      <c r="I26" s="28" t="n"/>
      <c r="J26" s="4" t="n"/>
      <c r="K26" s="28" t="n"/>
      <c r="L26" s="4" t="n"/>
      <c r="M26" s="4" t="n"/>
      <c r="N26" s="4" t="n"/>
    </row>
    <row r="27">
      <c r="A27" s="4" t="n"/>
      <c r="B27" s="4" t="n"/>
      <c r="C27" s="4" t="n"/>
      <c r="D27" s="4" t="n"/>
      <c r="E27" s="28" t="n"/>
      <c r="F27" s="28" t="n"/>
      <c r="G27" s="4" t="n"/>
      <c r="H27" s="4" t="n"/>
      <c r="I27" s="28" t="n"/>
      <c r="J27" s="4" t="n"/>
      <c r="K27" s="28" t="n"/>
      <c r="L27" s="4" t="n"/>
      <c r="M27" s="4" t="n"/>
      <c r="N27" s="4" t="n"/>
    </row>
    <row r="28">
      <c r="A28" s="4" t="n"/>
      <c r="B28" s="4" t="n"/>
      <c r="C28" s="4" t="n"/>
      <c r="D28" s="4" t="n"/>
      <c r="E28" s="28" t="n"/>
      <c r="F28" s="28" t="n"/>
      <c r="G28" s="4" t="n"/>
      <c r="H28" s="4" t="n"/>
      <c r="I28" s="28" t="n"/>
      <c r="J28" s="4" t="n"/>
      <c r="K28" s="28" t="n"/>
      <c r="L28" s="4" t="n"/>
      <c r="M28" s="4" t="n"/>
      <c r="N28" s="4" t="n"/>
    </row>
    <row r="29">
      <c r="A29" s="4" t="n"/>
      <c r="B29" s="4" t="n"/>
      <c r="C29" s="4" t="n"/>
      <c r="D29" s="4" t="n"/>
      <c r="E29" s="28" t="n"/>
      <c r="F29" s="28" t="n"/>
      <c r="G29" s="4" t="n"/>
      <c r="H29" s="4" t="n"/>
      <c r="I29" s="28" t="n"/>
      <c r="J29" s="4" t="n"/>
      <c r="K29" s="28" t="n"/>
      <c r="L29" s="4" t="n"/>
      <c r="M29" s="4" t="n"/>
      <c r="N29" s="4" t="n"/>
    </row>
    <row r="30">
      <c r="A30" s="4" t="n"/>
      <c r="B30" s="4" t="n"/>
      <c r="C30" s="4" t="n"/>
      <c r="D30" s="4" t="n"/>
      <c r="E30" s="28" t="n"/>
      <c r="F30" s="28" t="n"/>
      <c r="G30" s="4" t="n"/>
      <c r="H30" s="4" t="n"/>
      <c r="I30" s="28" t="n"/>
      <c r="J30" s="4" t="n"/>
      <c r="K30" s="28" t="n"/>
      <c r="L30" s="4" t="n"/>
      <c r="M30" s="4" t="n"/>
      <c r="N30" s="4" t="n"/>
    </row>
    <row r="31">
      <c r="A31" s="4" t="n"/>
      <c r="B31" s="4" t="n"/>
      <c r="C31" s="4" t="n"/>
      <c r="D31" s="4" t="n"/>
      <c r="E31" s="28" t="n"/>
      <c r="F31" s="28" t="n"/>
      <c r="G31" s="4" t="n"/>
      <c r="H31" s="4" t="n"/>
      <c r="I31" s="28" t="n"/>
      <c r="J31" s="4" t="n"/>
      <c r="K31" s="28" t="n"/>
      <c r="L31" s="4" t="n"/>
      <c r="M31" s="4" t="n"/>
      <c r="N31" s="4" t="n"/>
    </row>
    <row r="32">
      <c r="A32" s="4" t="n"/>
      <c r="B32" s="4" t="n"/>
      <c r="C32" s="4" t="n"/>
      <c r="D32" s="4" t="n"/>
      <c r="E32" s="28" t="n"/>
      <c r="F32" s="28" t="n"/>
      <c r="G32" s="4" t="n"/>
      <c r="H32" s="4" t="n"/>
      <c r="I32" s="28" t="n"/>
      <c r="J32" s="4" t="n"/>
      <c r="K32" s="28" t="n"/>
      <c r="L32" s="4" t="n"/>
      <c r="M32" s="4" t="n"/>
      <c r="N32" s="4" t="n"/>
    </row>
    <row r="33">
      <c r="A33" s="4" t="n"/>
      <c r="B33" s="4" t="n"/>
      <c r="C33" s="4" t="n"/>
      <c r="D33" s="4" t="n"/>
      <c r="E33" s="28" t="n"/>
      <c r="F33" s="28" t="n"/>
      <c r="G33" s="4" t="n"/>
      <c r="H33" s="4" t="n"/>
      <c r="I33" s="28" t="n"/>
      <c r="J33" s="4" t="n"/>
      <c r="K33" s="28" t="n"/>
      <c r="L33" s="4" t="n"/>
      <c r="M33" s="4" t="n"/>
      <c r="N33" s="4" t="n"/>
    </row>
    <row r="34">
      <c r="A34" s="4" t="n"/>
      <c r="B34" s="4" t="n"/>
      <c r="C34" s="4" t="n"/>
      <c r="D34" s="4" t="n"/>
      <c r="E34" s="28" t="n"/>
      <c r="F34" s="28" t="n"/>
      <c r="G34" s="4" t="n"/>
      <c r="H34" s="4" t="n"/>
      <c r="I34" s="28" t="n"/>
      <c r="J34" s="4" t="n"/>
      <c r="K34" s="28" t="n"/>
      <c r="L34" s="4" t="n"/>
      <c r="M34" s="4" t="n"/>
      <c r="N34" s="4" t="n"/>
    </row>
    <row r="35">
      <c r="A35" s="4" t="n"/>
      <c r="B35" s="4" t="n"/>
      <c r="C35" s="4" t="n"/>
      <c r="D35" s="4" t="n"/>
      <c r="E35" s="28" t="n"/>
      <c r="F35" s="28" t="n"/>
      <c r="G35" s="4" t="n"/>
      <c r="H35" s="4" t="n"/>
      <c r="I35" s="28" t="n"/>
      <c r="J35" s="4" t="n"/>
      <c r="K35" s="28" t="n"/>
      <c r="L35" s="4" t="n"/>
      <c r="M35" s="4" t="n"/>
      <c r="N35" s="4" t="n"/>
    </row>
    <row r="36">
      <c r="A36" s="4" t="n"/>
      <c r="B36" s="4" t="n"/>
      <c r="C36" s="4" t="n"/>
      <c r="D36" s="4" t="n"/>
      <c r="E36" s="28" t="n"/>
      <c r="F36" s="28" t="n"/>
      <c r="G36" s="4" t="n"/>
      <c r="H36" s="4" t="n"/>
      <c r="I36" s="28" t="n"/>
      <c r="J36" s="4" t="n"/>
      <c r="K36" s="28" t="n"/>
      <c r="L36" s="4" t="n"/>
      <c r="M36" s="4" t="n"/>
      <c r="N36" s="4" t="n"/>
    </row>
    <row r="37">
      <c r="A37" s="4" t="n"/>
      <c r="B37" s="4" t="n"/>
      <c r="C37" s="4" t="n"/>
      <c r="D37" s="4" t="n"/>
      <c r="E37" s="28" t="n"/>
      <c r="F37" s="28" t="n"/>
      <c r="G37" s="4" t="n"/>
      <c r="H37" s="4" t="n"/>
      <c r="I37" s="28" t="n"/>
      <c r="J37" s="4" t="n"/>
      <c r="K37" s="28" t="n"/>
      <c r="L37" s="4" t="n"/>
      <c r="M37" s="4" t="n"/>
      <c r="N37" s="4" t="n"/>
    </row>
    <row r="38">
      <c r="A38" s="4" t="n"/>
      <c r="B38" s="4" t="n"/>
      <c r="C38" s="4" t="n"/>
      <c r="D38" s="4" t="n"/>
      <c r="E38" s="28" t="n"/>
      <c r="F38" s="28" t="n"/>
      <c r="G38" s="4" t="n"/>
      <c r="H38" s="4" t="n"/>
      <c r="I38" s="28" t="n"/>
      <c r="J38" s="4" t="n"/>
      <c r="K38" s="28" t="n"/>
      <c r="L38" s="4" t="n"/>
      <c r="M38" s="4" t="n"/>
      <c r="N38" s="4" t="n"/>
    </row>
    <row r="39">
      <c r="A39" s="4" t="n"/>
      <c r="B39" s="4" t="n"/>
      <c r="C39" s="4" t="n"/>
      <c r="D39" s="4" t="n"/>
      <c r="E39" s="28" t="n"/>
      <c r="F39" s="28" t="n"/>
      <c r="G39" s="4" t="n"/>
      <c r="H39" s="4" t="n"/>
      <c r="I39" s="28" t="n"/>
      <c r="J39" s="4" t="n"/>
      <c r="K39" s="28" t="n"/>
      <c r="L39" s="4" t="n"/>
      <c r="M39" s="4" t="n"/>
      <c r="N39" s="4" t="n"/>
    </row>
    <row r="40">
      <c r="A40" s="4" t="n"/>
      <c r="B40" s="4" t="n"/>
      <c r="C40" s="4" t="n"/>
      <c r="D40" s="4" t="n"/>
      <c r="E40" s="28" t="n"/>
      <c r="F40" s="28" t="n"/>
      <c r="G40" s="4" t="n"/>
      <c r="H40" s="4" t="n"/>
      <c r="I40" s="28" t="n"/>
      <c r="J40" s="4" t="n"/>
      <c r="K40" s="28" t="n"/>
      <c r="L40" s="4" t="n"/>
      <c r="M40" s="4" t="n"/>
      <c r="N40" s="4" t="n"/>
    </row>
    <row r="41">
      <c r="A41" s="4" t="n"/>
      <c r="B41" s="4" t="n"/>
      <c r="C41" s="4" t="n"/>
      <c r="D41" s="4" t="n"/>
      <c r="E41" s="28" t="n"/>
      <c r="F41" s="28" t="n"/>
      <c r="G41" s="4" t="n"/>
      <c r="H41" s="4" t="n"/>
      <c r="I41" s="28" t="n"/>
      <c r="J41" s="4" t="n"/>
      <c r="K41" s="28" t="n"/>
      <c r="L41" s="4" t="n"/>
      <c r="M41" s="4" t="n"/>
      <c r="N41" s="4" t="n"/>
    </row>
    <row r="42">
      <c r="A42" s="4" t="n"/>
      <c r="B42" s="4" t="n"/>
      <c r="C42" s="4" t="n"/>
      <c r="D42" s="4" t="n"/>
      <c r="E42" s="28" t="n"/>
      <c r="F42" s="28" t="n"/>
      <c r="G42" s="4" t="n"/>
      <c r="H42" s="4" t="n"/>
      <c r="I42" s="28" t="n"/>
      <c r="J42" s="4" t="n"/>
      <c r="K42" s="28" t="n"/>
      <c r="L42" s="4" t="n"/>
      <c r="M42" s="4" t="n"/>
      <c r="N42" s="4" t="n"/>
    </row>
    <row r="43">
      <c r="A43" s="4" t="n"/>
      <c r="B43" s="4" t="n"/>
      <c r="C43" s="4" t="n"/>
      <c r="D43" s="4" t="n"/>
      <c r="E43" s="28" t="n"/>
      <c r="F43" s="28" t="n"/>
      <c r="G43" s="4" t="n"/>
      <c r="H43" s="4" t="n"/>
      <c r="I43" s="28" t="n"/>
      <c r="J43" s="4" t="n"/>
      <c r="K43" s="28" t="n"/>
      <c r="L43" s="4" t="n"/>
      <c r="M43" s="4" t="n"/>
      <c r="N43" s="4" t="n"/>
    </row>
    <row r="44">
      <c r="A44" s="4" t="n"/>
      <c r="B44" s="4" t="n"/>
      <c r="C44" s="4" t="n"/>
      <c r="D44" s="4" t="n"/>
      <c r="E44" s="28" t="n"/>
      <c r="F44" s="28" t="n"/>
      <c r="G44" s="4" t="n"/>
      <c r="H44" s="4" t="n"/>
      <c r="I44" s="28" t="n"/>
      <c r="J44" s="4" t="n"/>
      <c r="K44" s="28" t="n"/>
      <c r="L44" s="4" t="n"/>
      <c r="M44" s="4" t="n"/>
      <c r="N44" s="4" t="n"/>
    </row>
    <row r="45">
      <c r="A45" s="4" t="n"/>
      <c r="B45" s="4" t="n"/>
      <c r="C45" s="4" t="n"/>
      <c r="D45" s="4" t="n"/>
      <c r="E45" s="28" t="n"/>
      <c r="F45" s="28" t="n"/>
      <c r="G45" s="4" t="n"/>
      <c r="H45" s="4" t="n"/>
      <c r="I45" s="28" t="n"/>
      <c r="J45" s="4" t="n"/>
      <c r="K45" s="28" t="n"/>
      <c r="L45" s="4" t="n"/>
      <c r="M45" s="4" t="n"/>
      <c r="N45" s="4" t="n"/>
    </row>
    <row r="46">
      <c r="A46" s="4" t="n"/>
      <c r="B46" s="4" t="n"/>
      <c r="C46" s="4" t="n"/>
      <c r="D46" s="4" t="n"/>
      <c r="E46" s="28" t="n"/>
      <c r="F46" s="28" t="n"/>
      <c r="G46" s="4" t="n"/>
      <c r="H46" s="4" t="n"/>
      <c r="I46" s="28" t="n"/>
      <c r="J46" s="4" t="n"/>
      <c r="K46" s="28" t="n"/>
      <c r="L46" s="4" t="n"/>
      <c r="M46" s="4" t="n"/>
      <c r="N46" s="4" t="n"/>
    </row>
    <row r="47">
      <c r="A47" s="4" t="n"/>
      <c r="B47" s="4" t="n"/>
      <c r="C47" s="4" t="n"/>
      <c r="D47" s="4" t="n"/>
      <c r="E47" s="28" t="n"/>
      <c r="F47" s="28" t="n"/>
      <c r="G47" s="4" t="n"/>
      <c r="H47" s="4" t="n"/>
      <c r="I47" s="28" t="n"/>
      <c r="J47" s="4" t="n"/>
      <c r="K47" s="28" t="n"/>
      <c r="L47" s="4" t="n"/>
      <c r="M47" s="4" t="n"/>
      <c r="N47" s="4" t="n"/>
    </row>
    <row r="48">
      <c r="A48" s="4" t="n"/>
      <c r="B48" s="4" t="n"/>
      <c r="C48" s="4" t="n"/>
      <c r="D48" s="4" t="n"/>
      <c r="E48" s="28" t="n"/>
      <c r="F48" s="28" t="n"/>
      <c r="G48" s="4" t="n"/>
      <c r="H48" s="4" t="n"/>
      <c r="I48" s="28" t="n"/>
      <c r="J48" s="4" t="n"/>
      <c r="K48" s="28" t="n"/>
      <c r="L48" s="4" t="n"/>
      <c r="M48" s="4" t="n"/>
      <c r="N48" s="4" t="n"/>
    </row>
    <row r="49">
      <c r="A49" s="4" t="n"/>
      <c r="B49" s="4" t="n"/>
      <c r="C49" s="4" t="n"/>
      <c r="D49" s="4" t="n"/>
      <c r="E49" s="28" t="n"/>
      <c r="F49" s="28" t="n"/>
      <c r="G49" s="4" t="n"/>
      <c r="H49" s="4" t="n"/>
      <c r="I49" s="28" t="n"/>
      <c r="J49" s="4" t="n"/>
      <c r="K49" s="28" t="n"/>
      <c r="L49" s="4" t="n"/>
      <c r="M49" s="4" t="n"/>
      <c r="N49" s="4" t="n"/>
    </row>
    <row r="50">
      <c r="A50" s="4" t="n"/>
      <c r="B50" s="4" t="n"/>
      <c r="C50" s="4" t="n"/>
      <c r="D50" s="4" t="n"/>
      <c r="E50" s="28" t="n"/>
      <c r="F50" s="28" t="n"/>
      <c r="G50" s="4" t="n"/>
      <c r="H50" s="4" t="n"/>
      <c r="I50" s="28" t="n"/>
      <c r="J50" s="4" t="n"/>
      <c r="K50" s="28" t="n"/>
      <c r="L50" s="4" t="n"/>
      <c r="M50" s="4" t="n"/>
      <c r="N50" s="4" t="n"/>
    </row>
    <row r="51">
      <c r="A51" s="4" t="n"/>
      <c r="B51" s="4" t="n"/>
      <c r="C51" s="4" t="n"/>
      <c r="D51" s="4" t="n"/>
      <c r="E51" s="28" t="n"/>
      <c r="F51" s="28" t="n"/>
      <c r="G51" s="4" t="n"/>
      <c r="H51" s="4" t="n"/>
      <c r="I51" s="28" t="n"/>
      <c r="J51" s="4" t="n"/>
      <c r="K51" s="28" t="n"/>
      <c r="L51" s="4" t="n"/>
      <c r="M51" s="4" t="n"/>
      <c r="N51" s="4" t="n"/>
    </row>
    <row r="52">
      <c r="A52" s="4" t="n"/>
      <c r="B52" s="4" t="n"/>
      <c r="C52" s="4" t="n"/>
      <c r="D52" s="4" t="n"/>
      <c r="E52" s="28" t="n"/>
      <c r="F52" s="28" t="n"/>
      <c r="G52" s="4" t="n"/>
      <c r="H52" s="4" t="n"/>
      <c r="I52" s="28" t="n"/>
      <c r="J52" s="4" t="n"/>
      <c r="K52" s="28" t="n"/>
      <c r="L52" s="4" t="n"/>
      <c r="M52" s="4" t="n"/>
      <c r="N52" s="4" t="n"/>
    </row>
    <row r="53">
      <c r="A53" s="4" t="n"/>
      <c r="B53" s="4" t="n"/>
      <c r="C53" s="4" t="n"/>
      <c r="D53" s="4" t="n"/>
      <c r="E53" s="28" t="n"/>
      <c r="F53" s="28" t="n"/>
      <c r="G53" s="4" t="n"/>
      <c r="H53" s="4" t="n"/>
      <c r="I53" s="28" t="n"/>
      <c r="J53" s="4" t="n"/>
      <c r="K53" s="28" t="n"/>
      <c r="L53" s="4" t="n"/>
      <c r="M53" s="4" t="n"/>
      <c r="N53" s="4" t="n"/>
    </row>
    <row r="54">
      <c r="A54" s="4" t="n"/>
      <c r="B54" s="4" t="n"/>
      <c r="C54" s="4" t="n"/>
      <c r="D54" s="4" t="n"/>
      <c r="E54" s="28" t="n"/>
      <c r="F54" s="28" t="n"/>
      <c r="G54" s="4" t="n"/>
      <c r="H54" s="4" t="n"/>
      <c r="I54" s="28" t="n"/>
      <c r="J54" s="4" t="n"/>
      <c r="K54" s="28" t="n"/>
      <c r="L54" s="4" t="n"/>
      <c r="M54" s="4" t="n"/>
      <c r="N54" s="4" t="n"/>
    </row>
    <row r="56" ht="30" customHeight="1">
      <c r="A56" s="29" t="inlineStr">
        <is>
          <t>EXIT STRATEGY REVIEW COMPLIANCE CHECKLIST</t>
        </is>
      </c>
    </row>
    <row r="57">
      <c r="A57" s="30" t="inlineStr">
        <is>
          <t>1. ✅ Exit strategy review completed for all Critical/High services (annual)</t>
        </is>
      </c>
    </row>
    <row r="58">
      <c r="A58" s="30" t="inlineStr">
        <is>
          <t>2. ✅ Review dates scheduled for all services</t>
        </is>
      </c>
    </row>
    <row r="59">
      <c r="A59" s="30" t="inlineStr">
        <is>
          <t>3. ✅ Review status tracked (Current/Overdue/In Progress)</t>
        </is>
      </c>
    </row>
    <row r="60">
      <c r="A60" s="30" t="inlineStr">
        <is>
          <t>4. ✅ PoC testing completed for Critical services (DORA Art. 28.6)</t>
        </is>
      </c>
    </row>
    <row r="61">
      <c r="A61" s="30" t="inlineStr">
        <is>
          <t>5. ✅ PoC test results documented (Pass/Fail)</t>
        </is>
      </c>
    </row>
    <row r="62">
      <c r="A62" s="30" t="inlineStr">
        <is>
          <t>6. ✅ PoC testing scheduled annually (12-month cycle)</t>
        </is>
      </c>
    </row>
    <row r="63">
      <c r="A63" s="30" t="inlineStr">
        <is>
          <t>7. ✅ Exit strategy changes documented with justification</t>
        </is>
      </c>
    </row>
    <row r="64">
      <c r="A64" s="30" t="inlineStr">
        <is>
          <t>8. ✅ On-Premises selections validated by CISO (TCO analysis)</t>
        </is>
      </c>
    </row>
    <row r="65">
      <c r="A65" s="30" t="inlineStr">
        <is>
          <t>9. ✅ Alternative providers still viable (market check)</t>
        </is>
      </c>
    </row>
    <row r="66">
      <c r="A66" s="30" t="inlineStr">
        <is>
          <t>10. ✅ Migration complexity reassessed (technology changes)</t>
        </is>
      </c>
    </row>
    <row r="67">
      <c r="A67" s="30" t="inlineStr">
        <is>
          <t>11. ✅ Lock-in risk status verified (new integrations?)</t>
        </is>
      </c>
    </row>
    <row r="68">
      <c r="A68" s="30" t="inlineStr">
        <is>
          <t>12. ✅ Data export capability still functional (tested annually)</t>
        </is>
      </c>
    </row>
    <row r="69">
      <c r="A69" s="30" t="inlineStr">
        <is>
          <t>13. ✅ Reviewer names and dates recorded</t>
        </is>
      </c>
    </row>
    <row r="70">
      <c r="A70" s="30" t="inlineStr">
        <is>
          <t>14. ✅ Notes document any concerns or changes</t>
        </is>
      </c>
    </row>
    <row r="71">
      <c r="A71" s="30" t="inlineStr">
        <is>
          <t>15. ✅ Results reported to CISO/Risk Committee quarterly</t>
        </is>
      </c>
    </row>
    <row r="73" ht="25" customHeight="1">
      <c r="A73" s="31" t="inlineStr">
        <is>
          <t>EXIT STRATEGY REVIEW GUIDANCE</t>
        </is>
      </c>
    </row>
    <row r="74">
      <c r="A74" s="30" t="inlineStr"/>
    </row>
    <row r="75">
      <c r="A75" s="30" t="inlineStr">
        <is>
          <t>• REVIEW FREQUENCY (POL-S5 Section 8):</t>
        </is>
      </c>
    </row>
    <row r="76">
      <c r="A76" s="30" t="inlineStr">
        <is>
          <t xml:space="preserve">   • Critical services: Annual review MANDATORY</t>
        </is>
      </c>
    </row>
    <row r="77">
      <c r="A77" s="30" t="inlineStr">
        <is>
          <t xml:space="preserve">   • High services: Annual review RECOMMENDED</t>
        </is>
      </c>
    </row>
    <row r="78">
      <c r="A78" s="30" t="inlineStr">
        <is>
          <t xml:space="preserve">   • Medium/Low services: Review as needed (when contract renewal, major change, or incident)</t>
        </is>
      </c>
    </row>
    <row r="79">
      <c r="A79" s="30" t="inlineStr"/>
    </row>
    <row r="80">
      <c r="A80" s="30" t="inlineStr">
        <is>
          <t>♠ DORA COMPLIANCE (Article 28.6) - Financial Sector:</t>
        </is>
      </c>
    </row>
    <row r="81">
      <c r="A81" s="30" t="inlineStr">
        <is>
          <t xml:space="preserve">   • Annual PoC testing REQUIRED for critical ICT third-party providers</t>
        </is>
      </c>
    </row>
    <row r="82">
      <c r="A82" s="30" t="inlineStr">
        <is>
          <t xml:space="preserve">   • Test must demonstrate ability to exit service if needed</t>
        </is>
      </c>
    </row>
    <row r="83">
      <c r="A83" s="30" t="inlineStr">
        <is>
          <t xml:space="preserve">   • Document test results: Pass/Fail with evidence</t>
        </is>
      </c>
    </row>
    <row r="84">
      <c r="A84" s="30" t="inlineStr">
        <is>
          <t xml:space="preserve">   • Track next test due date (12 months from last test)</t>
        </is>
      </c>
    </row>
    <row r="85">
      <c r="A85" s="30" t="inlineStr">
        <is>
          <t xml:space="preserve">   • Report failures to CISO and Risk Committee immediately</t>
        </is>
      </c>
    </row>
    <row r="86">
      <c r="A86" s="30" t="inlineStr"/>
    </row>
    <row r="87">
      <c r="A87" s="30" t="inlineStr">
        <is>
          <t>⚠ EXIT STRATEGY TYPE CHANGES:</t>
        </is>
      </c>
    </row>
    <row r="88">
      <c r="A88" s="30" t="inlineStr">
        <is>
          <t xml:space="preserve">   • If exit strategy changed (e.g., Cloud-to-Cloud → Hybrid), document WHY</t>
        </is>
      </c>
    </row>
    <row r="89">
      <c r="A89" s="30" t="inlineStr">
        <is>
          <t xml:space="preserve">   • On-Premises selections require CISO approval and TCO validation</t>
        </is>
      </c>
    </row>
    <row r="90">
      <c r="A90" s="30" t="inlineStr">
        <is>
          <t xml:space="preserve">   • Update ISMS-IMP-A.5.23.S1 (Inventory Sheet 4) with new strategy</t>
        </is>
      </c>
    </row>
    <row r="91">
      <c r="A91" s="30" t="inlineStr">
        <is>
          <t xml:space="preserve">   • Reassess migration complexity and timeline estimates</t>
        </is>
      </c>
    </row>
    <row r="92">
      <c r="A92" s="30" t="inlineStr"/>
    </row>
    <row r="93">
      <c r="A93" s="30" t="inlineStr">
        <is>
          <t>⌂ WHAT TO REVIEW ANNUALLY:</t>
        </is>
      </c>
    </row>
    <row r="94">
      <c r="A94" s="30" t="inlineStr">
        <is>
          <t xml:space="preserve">   1. Alternative providers still exist and viable?</t>
        </is>
      </c>
    </row>
    <row r="95">
      <c r="A95" s="30" t="inlineStr">
        <is>
          <t xml:space="preserve">   2. Migration complexity changed? (new integrations, dependencies)</t>
        </is>
      </c>
    </row>
    <row r="96">
      <c r="A96" s="30" t="inlineStr">
        <is>
          <t xml:space="preserve">   3. Data export still functional? (test it!)</t>
        </is>
      </c>
    </row>
    <row r="97">
      <c r="A97" s="30" t="inlineStr">
        <is>
          <t xml:space="preserve">   4. Lock-in risk increased? (proprietary features added)</t>
        </is>
      </c>
    </row>
    <row r="98">
      <c r="A98" s="30" t="inlineStr">
        <is>
          <t xml:space="preserve">   5. Cost models still valid? (cloud pricing changes frequently)</t>
        </is>
      </c>
    </row>
    <row r="99">
      <c r="A99" s="30" t="inlineStr">
        <is>
          <t xml:space="preserve">   6. Regulatory requirements changed? (DORA, FADP, NIS2)</t>
        </is>
      </c>
    </row>
    <row r="100">
      <c r="A100" s="30" t="inlineStr"/>
    </row>
    <row r="101">
      <c r="A101" s="30" t="inlineStr">
        <is>
          <t>✅ POC TESTING PROCESS (DORA Art. 28.6):</t>
        </is>
      </c>
    </row>
    <row r="102">
      <c r="A102" s="30" t="inlineStr">
        <is>
          <t xml:space="preserve">   1. Select Critical service for PoC testing</t>
        </is>
      </c>
    </row>
    <row r="103">
      <c r="A103" s="30" t="inlineStr">
        <is>
          <t xml:space="preserve">   2. Identify alternative provider (from inventory Sheet 4)</t>
        </is>
      </c>
    </row>
    <row r="104">
      <c r="A104" s="30" t="inlineStr">
        <is>
          <t xml:space="preserve">   3. Test data export from current provider (full dataset or representative sample)</t>
        </is>
      </c>
    </row>
    <row r="105">
      <c r="A105" s="30" t="inlineStr">
        <is>
          <t xml:space="preserve">   4. Test data import to alternative provider (verify compatibility)</t>
        </is>
      </c>
    </row>
    <row r="106">
      <c r="A106" s="30" t="inlineStr">
        <is>
          <t xml:space="preserve">   5. Test critical functionality on alternative (basic sanity check)</t>
        </is>
      </c>
    </row>
    <row r="107">
      <c r="A107" s="30" t="inlineStr">
        <is>
          <t xml:space="preserve">   6. Document results: Pass (migration feasible) or Fail (issues identified)</t>
        </is>
      </c>
    </row>
    <row r="108">
      <c r="A108" s="30" t="inlineStr">
        <is>
          <t xml:space="preserve">   7. Schedule next test (12 months from completion date)</t>
        </is>
      </c>
    </row>
    <row r="109">
      <c r="A109" s="30" t="inlineStr">
        <is>
          <t xml:space="preserve">   8. Report to CISO and update risk register if Fail</t>
        </is>
      </c>
    </row>
    <row r="110">
      <c r="A110" s="30" t="inlineStr"/>
    </row>
    <row r="111">
      <c r="A111" s="30" t="inlineStr">
        <is>
          <t>For detailed exit strategy requirements, see:</t>
        </is>
      </c>
    </row>
    <row r="112">
      <c r="A112" s="30" t="inlineStr">
        <is>
          <t xml:space="preserve">   • ISMS-POL-A.5.19-23-S5 Section 8 (Exit Strategy Framework)</t>
        </is>
      </c>
    </row>
    <row r="113">
      <c r="A113" s="30" t="inlineStr">
        <is>
          <t xml:space="preserve">   • ISMS-IMP-A.5.23.S1 Sheet 4 (Exit Strategy Assessment)</t>
        </is>
      </c>
    </row>
    <row r="114">
      <c r="A114" s="30" t="inlineStr"/>
    </row>
  </sheetData>
  <mergeCells count="4">
    <mergeCell ref="A56:N56"/>
    <mergeCell ref="A73:N73"/>
    <mergeCell ref="A2:N2"/>
    <mergeCell ref="A1:N1"/>
  </mergeCells>
  <conditionalFormatting sqref="A4:N54">
    <cfRule type="expression" priority="1" dxfId="0" stopIfTrue="0">
      <formula>$F4&lt;TODAY()</formula>
    </cfRule>
    <cfRule type="expression" priority="2" dxfId="1" stopIfTrue="0">
      <formula>AND($H4="Yes (Critical)", $K4&lt;TODAY())</formula>
    </cfRule>
  </conditionalFormatting>
  <conditionalFormatting sqref="D4:D54">
    <cfRule type="expression" priority="3" dxfId="2" stopIfTrue="0">
      <formula>$D4="On-Premises"</formula>
    </cfRule>
  </conditionalFormatting>
  <dataValidations count="6">
    <dataValidation sqref="C4 C5 C6 C7 C8 C9 C10 C11 C12 C13 C14 C15 C16 C17 C18 C19 C20 C21 C22 C23 C24 C25 C26 C27 C28 C29 C30 C31 C32 C33 C34 C35 C36 C37 C38 C39 C40 C41 C42 C43 C44 C45 C46 C47 C48 C49 C50 C51 C52 C53 C54" showDropDown="0" showInputMessage="0" showErrorMessage="0" allowBlank="0" type="list">
      <formula1>"Critical,High,Medium,Low"</formula1>
    </dataValidation>
    <dataValidation sqref="D4 D5 D6 D7 D8 D9 D10 D11 D12 D13 D14 D15 D16 D17 D18 D19 D20 D21 D22 D23 D24 D25 D26 D27 D28 D29 D30 D31 D32 D33 D34 D35 D36 D37 D38 D39 D40 D41 D42 D43 D44 D45 D46 D47 D48 D49 D50 D51 D52 D53 D54" showDropDown="0" showInputMessage="0" showErrorMessage="0" allowBlank="0" errorTitle="Invalid Exit Strategy" error="Select current exit strategy type from inventory (Sheet 4)" type="list">
      <formula1>"Cloud-to-Cloud,Hybrid,On-Premises,Not Yet Determined"</formula1>
    </dataValidation>
    <dataValidation sqref="G4 G5 G6 G7 G8 G9 G10 G11 G12 G13 G14 G15 G16 G17 G18 G19 G20 G21 G22 G23 G24 G25 G26 G27 G28 G29 G30 G31 G32 G33 G34 G35 G36 G37 G38 G39 G40 G41 G42 G43 G44 G45 G46 G47 G48 G49 G50 G51 G52 G53 G54" showDropDown="0" showInputMessage="0" showErrorMessage="0" allowBlank="0" type="list">
      <formula1>"Current,Overdue,In Progress,Not Started"</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0" errorTitle="PoC Testing Requirement" error="DORA Art. 28.6 requires annual PoC testing for Critical services" type="list">
      <formula1>"Yes (Critical),No (Not Critical),Not Applicable"</formula1>
    </dataValidation>
    <dataValidation sqref="J4 J5 J6 J7 J8 J9 J10 J11 J12 J13 J14 J15 J16 J17 J18 J19 J20 J21 J22 J23 J24 J25 J26 J27 J28 J29 J30 J31 J32 J33 J34 J35 J36 J37 J38 J39 J40 J41 J42 J43 J44 J45 J46 J47 J48 J49 J50 J51 J52 J53 J54" showDropDown="0" showInputMessage="0" showErrorMessage="0" allowBlank="0" type="list">
      <formula1>"Pass,Fail,In Progress,Not Tested,Not Applicable"</formula1>
    </dataValidation>
    <dataValidation sqref="L4 L5 L6 L7 L8 L9 L10 L11 L12 L13 L14 L15 L16 L17 L18 L19 L20 L21 L22 L23 L24 L25 L26 L27 L28 L29 L30 L31 L32 L33 L34 L35 L36 L37 L38 L39 L40 L41 L42 L43 L44 L45 L46 L47 L48 L49 L50 L51 L52 L53 L54" showDropDown="0" showInputMessage="0" showErrorMessage="0" allowBlank="0"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44"/>
  <sheetViews>
    <sheetView workbookViewId="0">
      <pane ySplit="5" topLeftCell="A6" activePane="bottomLeft" state="frozen"/>
      <selection pane="bottomLeft" activeCell="A1" sqref="A1"/>
    </sheetView>
  </sheetViews>
  <sheetFormatPr baseColWidth="8" defaultRowHeight="15"/>
  <cols>
    <col width="14" customWidth="1" min="1" max="1"/>
    <col width="25" customWidth="1" min="2" max="2"/>
    <col width="22" customWidth="1" min="3" max="3"/>
    <col width="18" customWidth="1" min="4" max="4"/>
    <col width="20" customWidth="1" min="5" max="5"/>
    <col width="14" customWidth="1" min="6" max="6"/>
    <col width="20" customWidth="1" min="7" max="7"/>
    <col width="25" customWidth="1" min="8" max="8"/>
    <col width="18" customWidth="1" min="9" max="9"/>
    <col width="16" customWidth="1" min="10" max="10"/>
    <col width="18" customWidth="1" min="11" max="11"/>
    <col width="18" customWidth="1" min="12" max="12"/>
    <col width="16" customWidth="1" min="13" max="13"/>
    <col width="14" customWidth="1" min="14" max="14"/>
    <col width="18" customWidth="1" min="15" max="15"/>
    <col width="16" customWidth="1" min="16" max="16"/>
    <col width="28" customWidth="1" min="17" max="17"/>
    <col width="14" customWidth="1" min="18" max="18"/>
    <col width="20" customWidth="1" min="19" max="19"/>
    <col width="30" customWidth="1" min="20" max="20"/>
  </cols>
  <sheetData>
    <row r="1" ht="35" customHeight="1">
      <c r="A1" s="13" t="inlineStr">
        <is>
          <t>JURISDICTIONAL RISK ASSESSMENT</t>
        </is>
      </c>
    </row>
    <row r="2" ht="25" customHeight="1">
      <c r="A2" s="32" t="inlineStr">
        <is>
          <t>CLOUD Act, Data Sovereignty, and Cross-Border Transfer Analysis</t>
        </is>
      </c>
    </row>
    <row r="3" ht="30" customHeight="1">
      <c r="A3" s="33" t="inlineStr">
        <is>
          <t>⚠ US-headquartered providers may be compelled to disclose data under CLOUD Act regardless of data location.</t>
        </is>
      </c>
    </row>
    <row r="5">
      <c r="A5" s="15" t="inlineStr">
        <is>
          <t>Assessment_ID</t>
        </is>
      </c>
      <c r="B5" s="15" t="inlineStr">
        <is>
          <t>Cloud_Service_Name</t>
        </is>
      </c>
      <c r="C5" s="15" t="inlineStr">
        <is>
          <t>Provider_Name</t>
        </is>
      </c>
      <c r="D5" s="15" t="inlineStr">
        <is>
          <t>Provider_HQ_Country</t>
        </is>
      </c>
      <c r="E5" s="15" t="inlineStr">
        <is>
          <t>Provider_HQ_Jurisdiction</t>
        </is>
      </c>
      <c r="F5" s="15" t="inlineStr">
        <is>
          <t>US_Parent_Company</t>
        </is>
      </c>
      <c r="G5" s="15" t="inlineStr">
        <is>
          <t>CLOUD_Act_Applicability</t>
        </is>
      </c>
      <c r="H5" s="15" t="inlineStr">
        <is>
          <t>Data_Processing_Locations</t>
        </is>
      </c>
      <c r="I5" s="15" t="inlineStr">
        <is>
          <t>EU_Data_Boundary_Available</t>
        </is>
      </c>
      <c r="J5" s="15" t="inlineStr">
        <is>
          <t>Customer_Managed_Keys</t>
        </is>
      </c>
      <c r="K5" s="15" t="inlineStr">
        <is>
          <t>Legal_Challenge_Commitment</t>
        </is>
      </c>
      <c r="L5" s="15" t="inlineStr">
        <is>
          <t>Adequacy_Decision_Status</t>
        </is>
      </c>
      <c r="M5" s="15" t="inlineStr">
        <is>
          <t>Transfer_Mechanism</t>
        </is>
      </c>
      <c r="N5" s="15" t="inlineStr">
        <is>
          <t>Risk_Level</t>
        </is>
      </c>
      <c r="O5" s="15" t="inlineStr">
        <is>
          <t>Risk_Accepted_By</t>
        </is>
      </c>
      <c r="P5" s="15" t="inlineStr">
        <is>
          <t>Risk_Acceptance_Date</t>
        </is>
      </c>
      <c r="Q5" s="15" t="inlineStr">
        <is>
          <t>Compensating_Controls</t>
        </is>
      </c>
      <c r="R5" s="15" t="inlineStr">
        <is>
          <t>Review_Date</t>
        </is>
      </c>
      <c r="S5" s="15" t="inlineStr">
        <is>
          <t>Evidence_Reference</t>
        </is>
      </c>
      <c r="T5" s="15" t="inlineStr">
        <is>
          <t>Notes</t>
        </is>
      </c>
    </row>
    <row r="6">
      <c r="A6" s="34">
        <f>CONCATENATE("JRA-",TEXT(ROW()-5,"000"))</f>
        <v/>
      </c>
      <c r="B6" s="17" t="inlineStr"/>
      <c r="C6" s="17" t="inlineStr"/>
      <c r="D6" s="17" t="inlineStr"/>
      <c r="E6" s="17" t="inlineStr"/>
      <c r="F6" s="17" t="inlineStr"/>
      <c r="G6" s="17" t="inlineStr"/>
      <c r="H6" s="17" t="inlineStr"/>
      <c r="I6" s="17" t="inlineStr"/>
      <c r="J6" s="17" t="inlineStr"/>
      <c r="K6" s="17" t="inlineStr"/>
      <c r="L6" s="17" t="inlineStr"/>
      <c r="M6" s="17" t="inlineStr"/>
      <c r="N6" s="17" t="inlineStr"/>
      <c r="O6" s="17" t="inlineStr"/>
      <c r="P6" s="17" t="inlineStr"/>
      <c r="Q6" s="17" t="inlineStr"/>
      <c r="R6" s="17" t="inlineStr"/>
      <c r="S6" s="17" t="inlineStr"/>
      <c r="T6" s="17" t="inlineStr"/>
    </row>
    <row r="7">
      <c r="A7" s="34">
        <f>CONCATENATE("JRA-",TEXT(ROW()-5,"000"))</f>
        <v/>
      </c>
      <c r="B7" s="17" t="inlineStr"/>
      <c r="C7" s="17" t="inlineStr"/>
      <c r="D7" s="17" t="inlineStr"/>
      <c r="E7" s="17" t="inlineStr"/>
      <c r="F7" s="17" t="inlineStr"/>
      <c r="G7" s="17" t="inlineStr"/>
      <c r="H7" s="17" t="inlineStr"/>
      <c r="I7" s="17" t="inlineStr"/>
      <c r="J7" s="17" t="inlineStr"/>
      <c r="K7" s="17" t="inlineStr"/>
      <c r="L7" s="17" t="inlineStr"/>
      <c r="M7" s="17" t="inlineStr"/>
      <c r="N7" s="17" t="inlineStr"/>
      <c r="O7" s="17" t="inlineStr"/>
      <c r="P7" s="17" t="inlineStr"/>
      <c r="Q7" s="17" t="inlineStr"/>
      <c r="R7" s="17" t="inlineStr"/>
      <c r="S7" s="17" t="inlineStr"/>
      <c r="T7" s="17" t="inlineStr"/>
    </row>
    <row r="8">
      <c r="A8" s="34">
        <f>CONCATENATE("JRA-",TEXT(ROW()-5,"000"))</f>
        <v/>
      </c>
      <c r="B8" s="17" t="inlineStr"/>
      <c r="C8" s="17" t="inlineStr"/>
      <c r="D8" s="17" t="inlineStr"/>
      <c r="E8" s="17" t="inlineStr"/>
      <c r="F8" s="17" t="inlineStr"/>
      <c r="G8" s="17" t="inlineStr"/>
      <c r="H8" s="17" t="inlineStr"/>
      <c r="I8" s="17" t="inlineStr"/>
      <c r="J8" s="17" t="inlineStr"/>
      <c r="K8" s="17" t="inlineStr"/>
      <c r="L8" s="17" t="inlineStr"/>
      <c r="M8" s="17" t="inlineStr"/>
      <c r="N8" s="17" t="inlineStr"/>
      <c r="O8" s="17" t="inlineStr"/>
      <c r="P8" s="17" t="inlineStr"/>
      <c r="Q8" s="17" t="inlineStr"/>
      <c r="R8" s="17" t="inlineStr"/>
      <c r="S8" s="17" t="inlineStr"/>
      <c r="T8" s="17" t="inlineStr"/>
    </row>
    <row r="9">
      <c r="A9" s="34">
        <f>CONCATENATE("JRA-",TEXT(ROW()-5,"000"))</f>
        <v/>
      </c>
      <c r="B9" s="17" t="inlineStr"/>
      <c r="C9" s="17" t="inlineStr"/>
      <c r="D9" s="17" t="inlineStr"/>
      <c r="E9" s="17" t="inlineStr"/>
      <c r="F9" s="17" t="inlineStr"/>
      <c r="G9" s="17" t="inlineStr"/>
      <c r="H9" s="17" t="inlineStr"/>
      <c r="I9" s="17" t="inlineStr"/>
      <c r="J9" s="17" t="inlineStr"/>
      <c r="K9" s="17" t="inlineStr"/>
      <c r="L9" s="17" t="inlineStr"/>
      <c r="M9" s="17" t="inlineStr"/>
      <c r="N9" s="17" t="inlineStr"/>
      <c r="O9" s="17" t="inlineStr"/>
      <c r="P9" s="17" t="inlineStr"/>
      <c r="Q9" s="17" t="inlineStr"/>
      <c r="R9" s="17" t="inlineStr"/>
      <c r="S9" s="17" t="inlineStr"/>
      <c r="T9" s="17" t="inlineStr"/>
    </row>
    <row r="10">
      <c r="A10" s="34">
        <f>CONCATENATE("JRA-",TEXT(ROW()-5,"000"))</f>
        <v/>
      </c>
      <c r="B10" s="17" t="inlineStr"/>
      <c r="C10" s="17" t="inlineStr"/>
      <c r="D10" s="17" t="inlineStr"/>
      <c r="E10" s="17" t="inlineStr"/>
      <c r="F10" s="17" t="inlineStr"/>
      <c r="G10" s="17" t="inlineStr"/>
      <c r="H10" s="17" t="inlineStr"/>
      <c r="I10" s="17" t="inlineStr"/>
      <c r="J10" s="17" t="inlineStr"/>
      <c r="K10" s="17" t="inlineStr"/>
      <c r="L10" s="17" t="inlineStr"/>
      <c r="M10" s="17" t="inlineStr"/>
      <c r="N10" s="17" t="inlineStr"/>
      <c r="O10" s="17" t="inlineStr"/>
      <c r="P10" s="17" t="inlineStr"/>
      <c r="Q10" s="17" t="inlineStr"/>
      <c r="R10" s="17" t="inlineStr"/>
      <c r="S10" s="17" t="inlineStr"/>
      <c r="T10" s="17" t="inlineStr"/>
    </row>
    <row r="11">
      <c r="A11" s="34">
        <f>CONCATENATE("JRA-",TEXT(ROW()-5,"000"))</f>
        <v/>
      </c>
      <c r="B11" s="17" t="inlineStr"/>
      <c r="C11" s="17" t="inlineStr"/>
      <c r="D11" s="17" t="inlineStr"/>
      <c r="E11" s="17" t="inlineStr"/>
      <c r="F11" s="17" t="inlineStr"/>
      <c r="G11" s="17" t="inlineStr"/>
      <c r="H11" s="17" t="inlineStr"/>
      <c r="I11" s="17" t="inlineStr"/>
      <c r="J11" s="17" t="inlineStr"/>
      <c r="K11" s="17" t="inlineStr"/>
      <c r="L11" s="17" t="inlineStr"/>
      <c r="M11" s="17" t="inlineStr"/>
      <c r="N11" s="17" t="inlineStr"/>
      <c r="O11" s="17" t="inlineStr"/>
      <c r="P11" s="17" t="inlineStr"/>
      <c r="Q11" s="17" t="inlineStr"/>
      <c r="R11" s="17" t="inlineStr"/>
      <c r="S11" s="17" t="inlineStr"/>
      <c r="T11" s="17" t="inlineStr"/>
    </row>
    <row r="12">
      <c r="A12" s="34">
        <f>CONCATENATE("JRA-",TEXT(ROW()-5,"000"))</f>
        <v/>
      </c>
      <c r="B12" s="17" t="inlineStr"/>
      <c r="C12" s="17" t="inlineStr"/>
      <c r="D12" s="17" t="inlineStr"/>
      <c r="E12" s="17" t="inlineStr"/>
      <c r="F12" s="17" t="inlineStr"/>
      <c r="G12" s="17" t="inlineStr"/>
      <c r="H12" s="17" t="inlineStr"/>
      <c r="I12" s="17" t="inlineStr"/>
      <c r="J12" s="17" t="inlineStr"/>
      <c r="K12" s="17" t="inlineStr"/>
      <c r="L12" s="17" t="inlineStr"/>
      <c r="M12" s="17" t="inlineStr"/>
      <c r="N12" s="17" t="inlineStr"/>
      <c r="O12" s="17" t="inlineStr"/>
      <c r="P12" s="17" t="inlineStr"/>
      <c r="Q12" s="17" t="inlineStr"/>
      <c r="R12" s="17" t="inlineStr"/>
      <c r="S12" s="17" t="inlineStr"/>
      <c r="T12" s="17" t="inlineStr"/>
    </row>
    <row r="13">
      <c r="A13" s="34">
        <f>CONCATENATE("JRA-",TEXT(ROW()-5,"000"))</f>
        <v/>
      </c>
      <c r="B13" s="17" t="inlineStr"/>
      <c r="C13" s="17" t="inlineStr"/>
      <c r="D13" s="17" t="inlineStr"/>
      <c r="E13" s="17" t="inlineStr"/>
      <c r="F13" s="17" t="inlineStr"/>
      <c r="G13" s="17" t="inlineStr"/>
      <c r="H13" s="17" t="inlineStr"/>
      <c r="I13" s="17" t="inlineStr"/>
      <c r="J13" s="17" t="inlineStr"/>
      <c r="K13" s="17" t="inlineStr"/>
      <c r="L13" s="17" t="inlineStr"/>
      <c r="M13" s="17" t="inlineStr"/>
      <c r="N13" s="17" t="inlineStr"/>
      <c r="O13" s="17" t="inlineStr"/>
      <c r="P13" s="17" t="inlineStr"/>
      <c r="Q13" s="17" t="inlineStr"/>
      <c r="R13" s="17" t="inlineStr"/>
      <c r="S13" s="17" t="inlineStr"/>
      <c r="T13" s="17" t="inlineStr"/>
    </row>
    <row r="14">
      <c r="A14" s="34">
        <f>CONCATENATE("JRA-",TEXT(ROW()-5,"000"))</f>
        <v/>
      </c>
      <c r="B14" s="17" t="inlineStr"/>
      <c r="C14" s="17" t="inlineStr"/>
      <c r="D14" s="17" t="inlineStr"/>
      <c r="E14" s="17" t="inlineStr"/>
      <c r="F14" s="17" t="inlineStr"/>
      <c r="G14" s="17" t="inlineStr"/>
      <c r="H14" s="17" t="inlineStr"/>
      <c r="I14" s="17" t="inlineStr"/>
      <c r="J14" s="17" t="inlineStr"/>
      <c r="K14" s="17" t="inlineStr"/>
      <c r="L14" s="17" t="inlineStr"/>
      <c r="M14" s="17" t="inlineStr"/>
      <c r="N14" s="17" t="inlineStr"/>
      <c r="O14" s="17" t="inlineStr"/>
      <c r="P14" s="17" t="inlineStr"/>
      <c r="Q14" s="17" t="inlineStr"/>
      <c r="R14" s="17" t="inlineStr"/>
      <c r="S14" s="17" t="inlineStr"/>
      <c r="T14" s="17" t="inlineStr"/>
    </row>
    <row r="15">
      <c r="A15" s="34">
        <f>CONCATENATE("JRA-",TEXT(ROW()-5,"000"))</f>
        <v/>
      </c>
      <c r="B15" s="17" t="inlineStr"/>
      <c r="C15" s="17" t="inlineStr"/>
      <c r="D15" s="17" t="inlineStr"/>
      <c r="E15" s="17" t="inlineStr"/>
      <c r="F15" s="17" t="inlineStr"/>
      <c r="G15" s="17" t="inlineStr"/>
      <c r="H15" s="17" t="inlineStr"/>
      <c r="I15" s="17" t="inlineStr"/>
      <c r="J15" s="17" t="inlineStr"/>
      <c r="K15" s="17" t="inlineStr"/>
      <c r="L15" s="17" t="inlineStr"/>
      <c r="M15" s="17" t="inlineStr"/>
      <c r="N15" s="17" t="inlineStr"/>
      <c r="O15" s="17" t="inlineStr"/>
      <c r="P15" s="17" t="inlineStr"/>
      <c r="Q15" s="17" t="inlineStr"/>
      <c r="R15" s="17" t="inlineStr"/>
      <c r="S15" s="17" t="inlineStr"/>
      <c r="T15" s="17" t="inlineStr"/>
    </row>
    <row r="16">
      <c r="A16" s="34">
        <f>CONCATENATE("JRA-",TEXT(ROW()-5,"000"))</f>
        <v/>
      </c>
      <c r="B16" s="17" t="inlineStr"/>
      <c r="C16" s="17" t="inlineStr"/>
      <c r="D16" s="17" t="inlineStr"/>
      <c r="E16" s="17" t="inlineStr"/>
      <c r="F16" s="17" t="inlineStr"/>
      <c r="G16" s="17" t="inlineStr"/>
      <c r="H16" s="17" t="inlineStr"/>
      <c r="I16" s="17" t="inlineStr"/>
      <c r="J16" s="17" t="inlineStr"/>
      <c r="K16" s="17" t="inlineStr"/>
      <c r="L16" s="17" t="inlineStr"/>
      <c r="M16" s="17" t="inlineStr"/>
      <c r="N16" s="17" t="inlineStr"/>
      <c r="O16" s="17" t="inlineStr"/>
      <c r="P16" s="17" t="inlineStr"/>
      <c r="Q16" s="17" t="inlineStr"/>
      <c r="R16" s="17" t="inlineStr"/>
      <c r="S16" s="17" t="inlineStr"/>
      <c r="T16" s="17" t="inlineStr"/>
    </row>
    <row r="17">
      <c r="A17" s="34">
        <f>CONCATENATE("JRA-",TEXT(ROW()-5,"000"))</f>
        <v/>
      </c>
      <c r="B17" s="17" t="inlineStr"/>
      <c r="C17" s="17" t="inlineStr"/>
      <c r="D17" s="17" t="inlineStr"/>
      <c r="E17" s="17" t="inlineStr"/>
      <c r="F17" s="17" t="inlineStr"/>
      <c r="G17" s="17" t="inlineStr"/>
      <c r="H17" s="17" t="inlineStr"/>
      <c r="I17" s="17" t="inlineStr"/>
      <c r="J17" s="17" t="inlineStr"/>
      <c r="K17" s="17" t="inlineStr"/>
      <c r="L17" s="17" t="inlineStr"/>
      <c r="M17" s="17" t="inlineStr"/>
      <c r="N17" s="17" t="inlineStr"/>
      <c r="O17" s="17" t="inlineStr"/>
      <c r="P17" s="17" t="inlineStr"/>
      <c r="Q17" s="17" t="inlineStr"/>
      <c r="R17" s="17" t="inlineStr"/>
      <c r="S17" s="17" t="inlineStr"/>
      <c r="T17" s="17" t="inlineStr"/>
    </row>
    <row r="18">
      <c r="A18" s="34">
        <f>CONCATENATE("JRA-",TEXT(ROW()-5,"000"))</f>
        <v/>
      </c>
      <c r="B18" s="17" t="inlineStr"/>
      <c r="C18" s="17" t="inlineStr"/>
      <c r="D18" s="17" t="inlineStr"/>
      <c r="E18" s="17" t="inlineStr"/>
      <c r="F18" s="17" t="inlineStr"/>
      <c r="G18" s="17" t="inlineStr"/>
      <c r="H18" s="17" t="inlineStr"/>
      <c r="I18" s="17" t="inlineStr"/>
      <c r="J18" s="17" t="inlineStr"/>
      <c r="K18" s="17" t="inlineStr"/>
      <c r="L18" s="17" t="inlineStr"/>
      <c r="M18" s="17" t="inlineStr"/>
      <c r="N18" s="17" t="inlineStr"/>
      <c r="O18" s="17" t="inlineStr"/>
      <c r="P18" s="17" t="inlineStr"/>
      <c r="Q18" s="17" t="inlineStr"/>
      <c r="R18" s="17" t="inlineStr"/>
      <c r="S18" s="17" t="inlineStr"/>
      <c r="T18" s="17" t="inlineStr"/>
    </row>
    <row r="19">
      <c r="A19" s="34">
        <f>CONCATENATE("JRA-",TEXT(ROW()-5,"000"))</f>
        <v/>
      </c>
      <c r="B19" s="17" t="inlineStr"/>
      <c r="C19" s="17" t="inlineStr"/>
      <c r="D19" s="17" t="inlineStr"/>
      <c r="E19" s="17" t="inlineStr"/>
      <c r="F19" s="17" t="inlineStr"/>
      <c r="G19" s="17" t="inlineStr"/>
      <c r="H19" s="17" t="inlineStr"/>
      <c r="I19" s="17" t="inlineStr"/>
      <c r="J19" s="17" t="inlineStr"/>
      <c r="K19" s="17" t="inlineStr"/>
      <c r="L19" s="17" t="inlineStr"/>
      <c r="M19" s="17" t="inlineStr"/>
      <c r="N19" s="17" t="inlineStr"/>
      <c r="O19" s="17" t="inlineStr"/>
      <c r="P19" s="17" t="inlineStr"/>
      <c r="Q19" s="17" t="inlineStr"/>
      <c r="R19" s="17" t="inlineStr"/>
      <c r="S19" s="17" t="inlineStr"/>
      <c r="T19" s="17" t="inlineStr"/>
    </row>
    <row r="20">
      <c r="A20" s="34">
        <f>CONCATENATE("JRA-",TEXT(ROW()-5,"000"))</f>
        <v/>
      </c>
      <c r="B20" s="17" t="inlineStr"/>
      <c r="C20" s="17" t="inlineStr"/>
      <c r="D20" s="17" t="inlineStr"/>
      <c r="E20" s="17" t="inlineStr"/>
      <c r="F20" s="17" t="inlineStr"/>
      <c r="G20" s="17" t="inlineStr"/>
      <c r="H20" s="17" t="inlineStr"/>
      <c r="I20" s="17" t="inlineStr"/>
      <c r="J20" s="17" t="inlineStr"/>
      <c r="K20" s="17" t="inlineStr"/>
      <c r="L20" s="17" t="inlineStr"/>
      <c r="M20" s="17" t="inlineStr"/>
      <c r="N20" s="17" t="inlineStr"/>
      <c r="O20" s="17" t="inlineStr"/>
      <c r="P20" s="17" t="inlineStr"/>
      <c r="Q20" s="17" t="inlineStr"/>
      <c r="R20" s="17" t="inlineStr"/>
      <c r="S20" s="17" t="inlineStr"/>
      <c r="T20" s="17" t="inlineStr"/>
    </row>
    <row r="21">
      <c r="A21" s="34">
        <f>CONCATENATE("JRA-",TEXT(ROW()-5,"000"))</f>
        <v/>
      </c>
      <c r="B21" s="17" t="inlineStr"/>
      <c r="C21" s="17" t="inlineStr"/>
      <c r="D21" s="17" t="inlineStr"/>
      <c r="E21" s="17" t="inlineStr"/>
      <c r="F21" s="17" t="inlineStr"/>
      <c r="G21" s="17" t="inlineStr"/>
      <c r="H21" s="17" t="inlineStr"/>
      <c r="I21" s="17" t="inlineStr"/>
      <c r="J21" s="17" t="inlineStr"/>
      <c r="K21" s="17" t="inlineStr"/>
      <c r="L21" s="17" t="inlineStr"/>
      <c r="M21" s="17" t="inlineStr"/>
      <c r="N21" s="17" t="inlineStr"/>
      <c r="O21" s="17" t="inlineStr"/>
      <c r="P21" s="17" t="inlineStr"/>
      <c r="Q21" s="17" t="inlineStr"/>
      <c r="R21" s="17" t="inlineStr"/>
      <c r="S21" s="17" t="inlineStr"/>
      <c r="T21" s="17" t="inlineStr"/>
    </row>
    <row r="22">
      <c r="A22" s="34">
        <f>CONCATENATE("JRA-",TEXT(ROW()-5,"000"))</f>
        <v/>
      </c>
      <c r="B22" s="17" t="inlineStr"/>
      <c r="C22" s="17" t="inlineStr"/>
      <c r="D22" s="17" t="inlineStr"/>
      <c r="E22" s="17" t="inlineStr"/>
      <c r="F22" s="17" t="inlineStr"/>
      <c r="G22" s="17" t="inlineStr"/>
      <c r="H22" s="17" t="inlineStr"/>
      <c r="I22" s="17" t="inlineStr"/>
      <c r="J22" s="17" t="inlineStr"/>
      <c r="K22" s="17" t="inlineStr"/>
      <c r="L22" s="17" t="inlineStr"/>
      <c r="M22" s="17" t="inlineStr"/>
      <c r="N22" s="17" t="inlineStr"/>
      <c r="O22" s="17" t="inlineStr"/>
      <c r="P22" s="17" t="inlineStr"/>
      <c r="Q22" s="17" t="inlineStr"/>
      <c r="R22" s="17" t="inlineStr"/>
      <c r="S22" s="17" t="inlineStr"/>
      <c r="T22" s="17" t="inlineStr"/>
    </row>
    <row r="23">
      <c r="A23" s="34">
        <f>CONCATENATE("JRA-",TEXT(ROW()-5,"000"))</f>
        <v/>
      </c>
      <c r="B23" s="17" t="inlineStr"/>
      <c r="C23" s="17" t="inlineStr"/>
      <c r="D23" s="17" t="inlineStr"/>
      <c r="E23" s="17" t="inlineStr"/>
      <c r="F23" s="17" t="inlineStr"/>
      <c r="G23" s="17" t="inlineStr"/>
      <c r="H23" s="17" t="inlineStr"/>
      <c r="I23" s="17" t="inlineStr"/>
      <c r="J23" s="17" t="inlineStr"/>
      <c r="K23" s="17" t="inlineStr"/>
      <c r="L23" s="17" t="inlineStr"/>
      <c r="M23" s="17" t="inlineStr"/>
      <c r="N23" s="17" t="inlineStr"/>
      <c r="O23" s="17" t="inlineStr"/>
      <c r="P23" s="17" t="inlineStr"/>
      <c r="Q23" s="17" t="inlineStr"/>
      <c r="R23" s="17" t="inlineStr"/>
      <c r="S23" s="17" t="inlineStr"/>
      <c r="T23" s="17" t="inlineStr"/>
    </row>
    <row r="24">
      <c r="A24" s="34">
        <f>CONCATENATE("JRA-",TEXT(ROW()-5,"000"))</f>
        <v/>
      </c>
      <c r="B24" s="17" t="inlineStr"/>
      <c r="C24" s="17" t="inlineStr"/>
      <c r="D24" s="17" t="inlineStr"/>
      <c r="E24" s="17" t="inlineStr"/>
      <c r="F24" s="17" t="inlineStr"/>
      <c r="G24" s="17" t="inlineStr"/>
      <c r="H24" s="17" t="inlineStr"/>
      <c r="I24" s="17" t="inlineStr"/>
      <c r="J24" s="17" t="inlineStr"/>
      <c r="K24" s="17" t="inlineStr"/>
      <c r="L24" s="17" t="inlineStr"/>
      <c r="M24" s="17" t="inlineStr"/>
      <c r="N24" s="17" t="inlineStr"/>
      <c r="O24" s="17" t="inlineStr"/>
      <c r="P24" s="17" t="inlineStr"/>
      <c r="Q24" s="17" t="inlineStr"/>
      <c r="R24" s="17" t="inlineStr"/>
      <c r="S24" s="17" t="inlineStr"/>
      <c r="T24" s="17" t="inlineStr"/>
    </row>
    <row r="25">
      <c r="A25" s="34">
        <f>CONCATENATE("JRA-",TEXT(ROW()-5,"000"))</f>
        <v/>
      </c>
      <c r="B25" s="17" t="inlineStr"/>
      <c r="C25" s="17" t="inlineStr"/>
      <c r="D25" s="17" t="inlineStr"/>
      <c r="E25" s="17" t="inlineStr"/>
      <c r="F25" s="17" t="inlineStr"/>
      <c r="G25" s="17" t="inlineStr"/>
      <c r="H25" s="17" t="inlineStr"/>
      <c r="I25" s="17" t="inlineStr"/>
      <c r="J25" s="17" t="inlineStr"/>
      <c r="K25" s="17" t="inlineStr"/>
      <c r="L25" s="17" t="inlineStr"/>
      <c r="M25" s="17" t="inlineStr"/>
      <c r="N25" s="17" t="inlineStr"/>
      <c r="O25" s="17" t="inlineStr"/>
      <c r="P25" s="17" t="inlineStr"/>
      <c r="Q25" s="17" t="inlineStr"/>
      <c r="R25" s="17" t="inlineStr"/>
      <c r="S25" s="17" t="inlineStr"/>
      <c r="T25" s="17" t="inlineStr"/>
    </row>
    <row r="26">
      <c r="A26" s="34">
        <f>CONCATENATE("JRA-",TEXT(ROW()-5,"000"))</f>
        <v/>
      </c>
      <c r="B26" s="17" t="inlineStr"/>
      <c r="C26" s="17" t="inlineStr"/>
      <c r="D26" s="17" t="inlineStr"/>
      <c r="E26" s="17" t="inlineStr"/>
      <c r="F26" s="17" t="inlineStr"/>
      <c r="G26" s="17" t="inlineStr"/>
      <c r="H26" s="17" t="inlineStr"/>
      <c r="I26" s="17" t="inlineStr"/>
      <c r="J26" s="17" t="inlineStr"/>
      <c r="K26" s="17" t="inlineStr"/>
      <c r="L26" s="17" t="inlineStr"/>
      <c r="M26" s="17" t="inlineStr"/>
      <c r="N26" s="17" t="inlineStr"/>
      <c r="O26" s="17" t="inlineStr"/>
      <c r="P26" s="17" t="inlineStr"/>
      <c r="Q26" s="17" t="inlineStr"/>
      <c r="R26" s="17" t="inlineStr"/>
      <c r="S26" s="17" t="inlineStr"/>
      <c r="T26" s="17" t="inlineStr"/>
    </row>
    <row r="27">
      <c r="A27" s="34">
        <f>CONCATENATE("JRA-",TEXT(ROW()-5,"000"))</f>
        <v/>
      </c>
      <c r="B27" s="17" t="inlineStr"/>
      <c r="C27" s="17" t="inlineStr"/>
      <c r="D27" s="17" t="inlineStr"/>
      <c r="E27" s="17" t="inlineStr"/>
      <c r="F27" s="17" t="inlineStr"/>
      <c r="G27" s="17" t="inlineStr"/>
      <c r="H27" s="17" t="inlineStr"/>
      <c r="I27" s="17" t="inlineStr"/>
      <c r="J27" s="17" t="inlineStr"/>
      <c r="K27" s="17" t="inlineStr"/>
      <c r="L27" s="17" t="inlineStr"/>
      <c r="M27" s="17" t="inlineStr"/>
      <c r="N27" s="17" t="inlineStr"/>
      <c r="O27" s="17" t="inlineStr"/>
      <c r="P27" s="17" t="inlineStr"/>
      <c r="Q27" s="17" t="inlineStr"/>
      <c r="R27" s="17" t="inlineStr"/>
      <c r="S27" s="17" t="inlineStr"/>
      <c r="T27" s="17" t="inlineStr"/>
    </row>
    <row r="28">
      <c r="A28" s="34">
        <f>CONCATENATE("JRA-",TEXT(ROW()-5,"000"))</f>
        <v/>
      </c>
      <c r="B28" s="17" t="inlineStr"/>
      <c r="C28" s="17" t="inlineStr"/>
      <c r="D28" s="17" t="inlineStr"/>
      <c r="E28" s="17" t="inlineStr"/>
      <c r="F28" s="17" t="inlineStr"/>
      <c r="G28" s="17" t="inlineStr"/>
      <c r="H28" s="17" t="inlineStr"/>
      <c r="I28" s="17" t="inlineStr"/>
      <c r="J28" s="17" t="inlineStr"/>
      <c r="K28" s="17" t="inlineStr"/>
      <c r="L28" s="17" t="inlineStr"/>
      <c r="M28" s="17" t="inlineStr"/>
      <c r="N28" s="17" t="inlineStr"/>
      <c r="O28" s="17" t="inlineStr"/>
      <c r="P28" s="17" t="inlineStr"/>
      <c r="Q28" s="17" t="inlineStr"/>
      <c r="R28" s="17" t="inlineStr"/>
      <c r="S28" s="17" t="inlineStr"/>
      <c r="T28" s="17" t="inlineStr"/>
    </row>
    <row r="29">
      <c r="A29" s="34">
        <f>CONCATENATE("JRA-",TEXT(ROW()-5,"000"))</f>
        <v/>
      </c>
      <c r="B29" s="17" t="inlineStr"/>
      <c r="C29" s="17" t="inlineStr"/>
      <c r="D29" s="17" t="inlineStr"/>
      <c r="E29" s="17" t="inlineStr"/>
      <c r="F29" s="17" t="inlineStr"/>
      <c r="G29" s="17" t="inlineStr"/>
      <c r="H29" s="17" t="inlineStr"/>
      <c r="I29" s="17" t="inlineStr"/>
      <c r="J29" s="17" t="inlineStr"/>
      <c r="K29" s="17" t="inlineStr"/>
      <c r="L29" s="17" t="inlineStr"/>
      <c r="M29" s="17" t="inlineStr"/>
      <c r="N29" s="17" t="inlineStr"/>
      <c r="O29" s="17" t="inlineStr"/>
      <c r="P29" s="17" t="inlineStr"/>
      <c r="Q29" s="17" t="inlineStr"/>
      <c r="R29" s="17" t="inlineStr"/>
      <c r="S29" s="17" t="inlineStr"/>
      <c r="T29" s="17" t="inlineStr"/>
    </row>
    <row r="30">
      <c r="A30" s="34">
        <f>CONCATENATE("JRA-",TEXT(ROW()-5,"000"))</f>
        <v/>
      </c>
      <c r="B30" s="17" t="inlineStr"/>
      <c r="C30" s="17" t="inlineStr"/>
      <c r="D30" s="17" t="inlineStr"/>
      <c r="E30" s="17" t="inlineStr"/>
      <c r="F30" s="17" t="inlineStr"/>
      <c r="G30" s="17" t="inlineStr"/>
      <c r="H30" s="17" t="inlineStr"/>
      <c r="I30" s="17" t="inlineStr"/>
      <c r="J30" s="17" t="inlineStr"/>
      <c r="K30" s="17" t="inlineStr"/>
      <c r="L30" s="17" t="inlineStr"/>
      <c r="M30" s="17" t="inlineStr"/>
      <c r="N30" s="17" t="inlineStr"/>
      <c r="O30" s="17" t="inlineStr"/>
      <c r="P30" s="17" t="inlineStr"/>
      <c r="Q30" s="17" t="inlineStr"/>
      <c r="R30" s="17" t="inlineStr"/>
      <c r="S30" s="17" t="inlineStr"/>
      <c r="T30" s="17" t="inlineStr"/>
    </row>
    <row r="33">
      <c r="A33" s="18" t="inlineStr">
        <is>
          <t>JURISDICTIONAL RISK CHECKLIST</t>
        </is>
      </c>
    </row>
    <row r="34">
      <c r="A34" s="22" t="inlineStr">
        <is>
          <t>☐</t>
        </is>
      </c>
      <c r="B34" s="22" t="inlineStr">
        <is>
          <t>Requirement</t>
        </is>
      </c>
      <c r="C34" s="22" t="inlineStr">
        <is>
          <t>Evidence</t>
        </is>
      </c>
    </row>
    <row r="35">
      <c r="A35" t="inlineStr">
        <is>
          <t>☐</t>
        </is>
      </c>
      <c r="B35" s="6" t="inlineStr">
        <is>
          <t>Provider HQ jurisdiction identified and documented</t>
        </is>
      </c>
      <c r="Q35" s="17" t="n"/>
    </row>
    <row r="36">
      <c r="A36" t="inlineStr">
        <is>
          <t>☐</t>
        </is>
      </c>
      <c r="B36" s="6" t="inlineStr">
        <is>
          <t>US parent company status verified</t>
        </is>
      </c>
      <c r="Q36" s="17" t="n"/>
    </row>
    <row r="37">
      <c r="A37" t="inlineStr">
        <is>
          <t>☐</t>
        </is>
      </c>
      <c r="B37" s="6" t="inlineStr">
        <is>
          <t>CLOUD Act exposure assessed for US-nexus providers</t>
        </is>
      </c>
      <c r="Q37" s="17" t="n"/>
    </row>
    <row r="38">
      <c r="A38" t="inlineStr">
        <is>
          <t>☐</t>
        </is>
      </c>
      <c r="B38" s="6" t="inlineStr">
        <is>
          <t>Data processing locations documented in DPA</t>
        </is>
      </c>
      <c r="Q38" s="17" t="n"/>
    </row>
    <row r="39">
      <c r="A39" t="inlineStr">
        <is>
          <t>☐</t>
        </is>
      </c>
      <c r="B39" s="6" t="inlineStr">
        <is>
          <t>EU Data Boundary availability checked</t>
        </is>
      </c>
      <c r="Q39" s="17" t="n"/>
    </row>
    <row r="40">
      <c r="A40" t="inlineStr">
        <is>
          <t>☐</t>
        </is>
      </c>
      <c r="B40" s="6" t="inlineStr">
        <is>
          <t>Customer-managed encryption keys option evaluated</t>
        </is>
      </c>
      <c r="Q40" s="17" t="n"/>
    </row>
    <row r="41">
      <c r="A41" t="inlineStr">
        <is>
          <t>☐</t>
        </is>
      </c>
      <c r="B41" s="6" t="inlineStr">
        <is>
          <t>Legal challenge commitment verified</t>
        </is>
      </c>
      <c r="Q41" s="17" t="n"/>
    </row>
    <row r="42">
      <c r="A42" t="inlineStr">
        <is>
          <t>☐</t>
        </is>
      </c>
      <c r="B42" s="6" t="inlineStr">
        <is>
          <t>Transfer mechanism documented (SCCs, BCRs, etc.)</t>
        </is>
      </c>
      <c r="Q42" s="17" t="n"/>
    </row>
    <row r="43">
      <c r="A43" t="inlineStr">
        <is>
          <t>☐</t>
        </is>
      </c>
      <c r="B43" s="6" t="inlineStr">
        <is>
          <t>Risk acceptance recorded if residual risk remains</t>
        </is>
      </c>
      <c r="Q43" s="17" t="n"/>
    </row>
    <row r="44">
      <c r="A44" t="inlineStr">
        <is>
          <t>☐</t>
        </is>
      </c>
      <c r="B44" s="6" t="inlineStr">
        <is>
          <t>Compensating controls documented for high-risk providers</t>
        </is>
      </c>
      <c r="Q44" s="17" t="n"/>
    </row>
  </sheetData>
  <mergeCells count="24">
    <mergeCell ref="B43:P43"/>
    <mergeCell ref="B39:P39"/>
    <mergeCell ref="Q36:T36"/>
    <mergeCell ref="B42:P42"/>
    <mergeCell ref="B44:P44"/>
    <mergeCell ref="A1:T1"/>
    <mergeCell ref="Q41:T41"/>
    <mergeCell ref="B38:P38"/>
    <mergeCell ref="B37:P37"/>
    <mergeCell ref="Q43:T43"/>
    <mergeCell ref="Q37:T37"/>
    <mergeCell ref="B40:P40"/>
    <mergeCell ref="Q42:T42"/>
    <mergeCell ref="Q39:T39"/>
    <mergeCell ref="A3:T3"/>
    <mergeCell ref="B36:P36"/>
    <mergeCell ref="B41:P41"/>
    <mergeCell ref="A33:T33"/>
    <mergeCell ref="A2:T2"/>
    <mergeCell ref="B35:P35"/>
    <mergeCell ref="Q38:T38"/>
    <mergeCell ref="Q35:T35"/>
    <mergeCell ref="Q40:T40"/>
    <mergeCell ref="Q44:T44"/>
  </mergeCells>
  <dataValidations count="1">
    <dataValidation sqref="F6:F30" showDropDown="0" showInputMessage="0" showErrorMessage="0" allowBlank="1" type="list">
      <formula1>"Yes,No,Unknown"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4"/>
  <sheetViews>
    <sheetView workbookViewId="0">
      <pane ySplit="3" topLeftCell="A4" activePane="bottomLeft" state="frozen"/>
      <selection pane="bottomLeft" activeCell="A1" sqref="A1"/>
    </sheetView>
  </sheetViews>
  <sheetFormatPr baseColWidth="8" defaultRowHeight="15"/>
  <cols>
    <col width="40" customWidth="1" min="1" max="1"/>
    <col width="16" customWidth="1" min="2" max="2"/>
    <col width="16" customWidth="1" min="3" max="3"/>
    <col width="18" customWidth="1" min="4" max="4"/>
    <col width="18" customWidth="1" min="5" max="5"/>
    <col width="12" customWidth="1" min="6" max="6"/>
    <col width="15" customWidth="1" min="7" max="7"/>
  </cols>
  <sheetData>
    <row r="1" ht="35" customHeight="1">
      <c r="A1" s="35" t="inlineStr">
        <is>
          <t>ONGOING GOVERNANCE &amp; RISK - COMPLIANCE SUMMARY DASHBOARD</t>
        </is>
      </c>
    </row>
    <row r="2">
      <c r="A2" s="36" t="inlineStr">
        <is>
          <t>Ongoing Governance &amp; Risk Management | Summary for ISO 27001:2022 Control A.5.23</t>
        </is>
      </c>
    </row>
    <row r="3">
      <c r="A3" s="37" t="inlineStr">
        <is>
          <t>TABLE 1: COMPLIANCE SUMMARY BY ASSESSMENT AREA</t>
        </is>
      </c>
    </row>
    <row r="4">
      <c r="A4" s="38" t="inlineStr">
        <is>
          <t>Assessment Area</t>
        </is>
      </c>
      <c r="B4" s="38" t="inlineStr">
        <is>
          <t>Total Items</t>
        </is>
      </c>
      <c r="C4" s="38" t="inlineStr">
        <is>
          <t>✅ Compliant</t>
        </is>
      </c>
      <c r="D4" s="38" t="inlineStr">
        <is>
          <t>⚠ Partial</t>
        </is>
      </c>
      <c r="E4" s="38" t="inlineStr">
        <is>
          <t>❌ Non-Compliant</t>
        </is>
      </c>
      <c r="F4" s="38" t="inlineStr">
        <is>
          <t>N/A</t>
        </is>
      </c>
      <c r="G4" s="38" t="inlineStr">
        <is>
          <t>Compliance %</t>
        </is>
      </c>
    </row>
    <row r="5">
      <c r="A5" s="21" t="inlineStr">
        <is>
          <t>2. Access Review</t>
        </is>
      </c>
      <c r="B5" s="17">
        <f>COUNTA('2. Access Review'!A5:A54)</f>
        <v/>
      </c>
      <c r="C5" s="17">
        <f>COUNTIF('2. Access Review'!H5:H54,"✅ Compliant")</f>
        <v/>
      </c>
      <c r="D5" s="17">
        <f>COUNTIF('2. Access Review'!H5:H54,"⚠ Partial")</f>
        <v/>
      </c>
      <c r="E5" s="17">
        <f>COUNTIF('2. Access Review'!H5:H54,"❌ Non-Compliant")</f>
        <v/>
      </c>
      <c r="F5" s="17">
        <f>COUNTIF('2. Access Review'!H5:H54,"N/A")</f>
        <v/>
      </c>
      <c r="G5" s="17">
        <f>IF(B5-F5=0,"N/A",ROUND(C5/(B5-F5)*100,1)&amp;"%")</f>
        <v/>
      </c>
    </row>
    <row r="6">
      <c r="A6" s="21" t="inlineStr">
        <is>
          <t>3. Change Management</t>
        </is>
      </c>
      <c r="B6" s="17">
        <f>COUNTA('3. Change Management'!A5:A54)</f>
        <v/>
      </c>
      <c r="C6" s="17">
        <f>COUNTIF('3. Change Management'!H5:H54,"✅ Compliant")</f>
        <v/>
      </c>
      <c r="D6" s="17">
        <f>COUNTIF('3. Change Management'!H5:H54,"⚠ Partial")</f>
        <v/>
      </c>
      <c r="E6" s="17">
        <f>COUNTIF('3. Change Management'!H5:H54,"❌ Non-Compliant")</f>
        <v/>
      </c>
      <c r="F6" s="17">
        <f>COUNTIF('3. Change Management'!H5:H54,"N/A")</f>
        <v/>
      </c>
      <c r="G6" s="17">
        <f>IF(B6-F6=0,"N/A",ROUND(C6/(B6-F6)*100,1)&amp;"%")</f>
        <v/>
      </c>
    </row>
    <row r="7">
      <c r="A7" s="21" t="inlineStr">
        <is>
          <t>4. Incident Management</t>
        </is>
      </c>
      <c r="B7" s="17">
        <f>COUNTA('4. Incident Management'!A5:A54)</f>
        <v/>
      </c>
      <c r="C7" s="17">
        <f>COUNTIF('4. Incident Management'!H5:H54,"✅ Compliant")</f>
        <v/>
      </c>
      <c r="D7" s="17">
        <f>COUNTIF('4. Incident Management'!H5:H54,"⚠ Partial")</f>
        <v/>
      </c>
      <c r="E7" s="17">
        <f>COUNTIF('4. Incident Management'!H5:H54,"❌ Non-Compliant")</f>
        <v/>
      </c>
      <c r="F7" s="17">
        <f>COUNTIF('4. Incident Management'!H5:H54,"N/A")</f>
        <v/>
      </c>
      <c r="G7" s="17">
        <f>IF(B7-F7=0,"N/A",ROUND(C7/(B7-F7)*100,1)&amp;"%")</f>
        <v/>
      </c>
    </row>
    <row r="8">
      <c r="A8" s="21" t="inlineStr">
        <is>
          <t>5. Business Continuity</t>
        </is>
      </c>
      <c r="B8" s="17">
        <f>COUNTA('5. Business Continuity'!A5:A54)</f>
        <v/>
      </c>
      <c r="C8" s="17">
        <f>COUNTIF('5. Business Continuity'!H5:H54,"✅ Compliant")</f>
        <v/>
      </c>
      <c r="D8" s="17">
        <f>COUNTIF('5. Business Continuity'!H5:H54,"⚠ Partial")</f>
        <v/>
      </c>
      <c r="E8" s="17">
        <f>COUNTIF('5. Business Continuity'!H5:H54,"❌ Non-Compliant")</f>
        <v/>
      </c>
      <c r="F8" s="17">
        <f>COUNTIF('5. Business Continuity'!H5:H54,"N/A")</f>
        <v/>
      </c>
      <c r="G8" s="17">
        <f>IF(B8-F8=0,"N/A",ROUND(C8/(B8-F8)*100,1)&amp;"%")</f>
        <v/>
      </c>
    </row>
    <row r="9">
      <c r="A9" s="21" t="inlineStr">
        <is>
          <t>6. Vendor Risk Monitoring</t>
        </is>
      </c>
      <c r="B9" s="17">
        <f>COUNTA('6. Vendor Risk Monitoring'!A5:A54)</f>
        <v/>
      </c>
      <c r="C9" s="17">
        <f>COUNTIF('6. Vendor Risk Monitoring'!H5:H54,"✅ Compliant")</f>
        <v/>
      </c>
      <c r="D9" s="17">
        <f>COUNTIF('6. Vendor Risk Monitoring'!H5:H54,"⚠ Partial")</f>
        <v/>
      </c>
      <c r="E9" s="17">
        <f>COUNTIF('6. Vendor Risk Monitoring'!H5:H54,"❌ Non-Compliant")</f>
        <v/>
      </c>
      <c r="F9" s="17">
        <f>COUNTIF('6. Vendor Risk Monitoring'!H5:H54,"N/A")</f>
        <v/>
      </c>
      <c r="G9" s="17">
        <f>IF(B9-F9=0,"N/A",ROUND(C9/(B9-F9)*100,1)&amp;"%")</f>
        <v/>
      </c>
    </row>
    <row r="10">
      <c r="A10" s="3" t="inlineStr">
        <is>
          <t>TOTAL</t>
        </is>
      </c>
      <c r="B10" s="3">
        <f>SUM(B5:B39)</f>
        <v/>
      </c>
      <c r="C10" s="3">
        <f>SUM(C5:C39)</f>
        <v/>
      </c>
      <c r="D10" s="3">
        <f>SUM(D5:D39)</f>
        <v/>
      </c>
      <c r="E10" s="3">
        <f>SUM(E5:E39)</f>
        <v/>
      </c>
      <c r="F10" s="3">
        <f>SUM(F5:F39)</f>
        <v/>
      </c>
      <c r="G10" s="3">
        <f>IF(B10-F10=0,"N/A",ROUND(C10/(B10-F10)*100,1)&amp;"%")</f>
        <v/>
      </c>
    </row>
    <row r="13">
      <c r="A13" s="37" t="inlineStr">
        <is>
          <t>TABLE 2: JURISDICTIONAL &amp; CLOUD ACT RISK SUMMARY</t>
        </is>
      </c>
    </row>
    <row r="14">
      <c r="A14" s="39" t="inlineStr">
        <is>
          <t>Metric</t>
        </is>
      </c>
      <c r="B14" s="39" t="inlineStr">
        <is>
          <t>Count</t>
        </is>
      </c>
      <c r="C14" s="39" t="inlineStr">
        <is>
          <t>Status</t>
        </is>
      </c>
    </row>
    <row r="15">
      <c r="A15" s="21" t="inlineStr">
        <is>
          <t>US-HQ Providers (CLOUD Act Scope)</t>
        </is>
      </c>
      <c r="B15" s="17">
        <f>COUNTIF('8. Jurisdictional Risk'!E6:E50,"United States")</f>
        <v/>
      </c>
      <c r="C15" s="17">
        <f>IF(B15&gt;0,"{WARNING} Review","{CHECK} OK")</f>
        <v/>
      </c>
    </row>
    <row r="16">
      <c r="A16" s="21" t="inlineStr">
        <is>
          <t>Providers with US Parent Company</t>
        </is>
      </c>
      <c r="B16" s="17">
        <f>COUNTIF('8. Jurisdictional Risk'!F6:F50,"Yes")</f>
        <v/>
      </c>
      <c r="C16" s="17">
        <f>IF(B16&gt;0,"{WARNING} Review","{CHECK} OK")</f>
        <v/>
      </c>
    </row>
    <row r="17">
      <c r="A17" s="21" t="inlineStr">
        <is>
          <t>CLOUD Act Potential Exposure (Unmitigated)</t>
        </is>
      </c>
      <c r="B17" s="17">
        <f>COUNTIF('8. Jurisdictional Risk'!G6:G50,"Potential*")</f>
        <v/>
      </c>
      <c r="C17" s="17">
        <f>IF(B17&gt;0,"{WARNING} Review","{CHECK} OK")</f>
        <v/>
      </c>
    </row>
    <row r="18">
      <c r="A18" s="21" t="inlineStr">
        <is>
          <t>CLOUD Act Mitigated</t>
        </is>
      </c>
      <c r="B18" s="17">
        <f>COUNTIFS('8. Jurisdictional Risk'!G6:G50,"Mitigated*")</f>
        <v/>
      </c>
      <c r="C18" s="17" t="inlineStr">
        <is>
          <t>Info</t>
        </is>
      </c>
    </row>
    <row r="19">
      <c r="A19" s="21" t="inlineStr">
        <is>
          <t>High/Critical Jurisdictional Risk</t>
        </is>
      </c>
      <c r="B19" s="17">
        <f>COUNTIF('8. Jurisdictional Risk'!N6:N50,"High")+COUNTIF('8. Jurisdictional Risk'!N6:N50,"Critical")</f>
        <v/>
      </c>
      <c r="C19" s="17">
        <f>IF(B19&gt;0,"{XMARK} Action","{CHECK} OK")</f>
        <v/>
      </c>
    </row>
    <row r="20">
      <c r="A20" s="21" t="inlineStr">
        <is>
          <t>Providers Without EU Data Boundary</t>
        </is>
      </c>
      <c r="B20" s="17">
        <f>COUNTIF('8. Jurisdictional Risk'!I6:I50,"No")</f>
        <v/>
      </c>
      <c r="C20" s="17">
        <f>IF(B20&gt;0,"{WARNING} Review","{CHECK} OK")</f>
        <v/>
      </c>
    </row>
    <row r="21">
      <c r="A21" s="21" t="inlineStr">
        <is>
          <t>Providers Without Customer-Managed Keys</t>
        </is>
      </c>
      <c r="B21" s="17">
        <f>COUNTIF('8. Jurisdictional Risk'!J6:J50,"No")</f>
        <v/>
      </c>
      <c r="C21" s="17">
        <f>IF(B21&gt;0,"{WARNING} Review","{CHECK} OK")</f>
        <v/>
      </c>
    </row>
    <row r="24">
      <c r="A24" s="40" t="inlineStr">
        <is>
          <t>TABLE 3: REGULATORY RISK MONITORING STATUS</t>
        </is>
      </c>
    </row>
    <row r="25">
      <c r="A25" s="39" t="inlineStr">
        <is>
          <t>Metric</t>
        </is>
      </c>
      <c r="B25" s="39" t="inlineStr">
        <is>
          <t>Count</t>
        </is>
      </c>
      <c r="C25" s="39" t="inlineStr">
        <is>
          <t>Status</t>
        </is>
      </c>
    </row>
    <row r="26">
      <c r="A26" s="21" t="inlineStr">
        <is>
          <t>DORA Risks Not Monitored</t>
        </is>
      </c>
      <c r="B26" s="17">
        <f>COUNTIF('4. Incident Management'!Y6:Y100,"Not Monitored")</f>
        <v/>
      </c>
      <c r="C26" s="17">
        <f>IF(B26&gt;0,"{XMARK} Action","{CHECK} OK")</f>
        <v/>
      </c>
    </row>
    <row r="27">
      <c r="A27" s="21" t="inlineStr">
        <is>
          <t>NIS2 Significant Incidents (Require ≤24h notification)</t>
        </is>
      </c>
      <c r="B27" s="17">
        <f>COUNTIF('4. Incident Management'!Z6:Z100,"Significant*")</f>
        <v/>
      </c>
      <c r="C27" s="17">
        <f>IF(B27&gt;0,"{WARNING} Review","{CHECK} OK")</f>
        <v/>
      </c>
    </row>
    <row r="28">
      <c r="A28" s="21" t="inlineStr">
        <is>
          <t>AI Systems Requiring Active Monitoring</t>
        </is>
      </c>
      <c r="B28" s="17">
        <f>COUNTIF('4. Incident Management'!AA6:AA100,"Active Monitoring")</f>
        <v/>
      </c>
      <c r="C28" s="17" t="inlineStr">
        <is>
          <t>Info</t>
        </is>
      </c>
    </row>
    <row r="29">
      <c r="A29" s="21" t="inlineStr">
        <is>
          <t>Regulatory Risks Without Assigned Owner</t>
        </is>
      </c>
      <c r="B29" s="17">
        <f>COUNTIF('4. Incident Management'!AB6:AB100,"")</f>
        <v/>
      </c>
      <c r="C29" s="17">
        <f>IF(B29&gt;0,"{XMARK} Action","{CHECK} OK")</f>
        <v/>
      </c>
    </row>
    <row r="33">
      <c r="A33" s="41" t="inlineStr">
        <is>
          <t>KEY GOVERNANCE METRICS</t>
        </is>
      </c>
    </row>
    <row r="34">
      <c r="A34" s="3" t="inlineStr">
        <is>
          <t>Total Cloud Services Assessed:</t>
        </is>
      </c>
      <c r="C34" s="4">
        <f>B10</f>
        <v/>
      </c>
    </row>
    <row r="35">
      <c r="A35" s="3" t="inlineStr">
        <is>
          <t>Services Requiring Remediation:</t>
        </is>
      </c>
      <c r="C35" s="4">
        <f>COUNTIF('2. Access Review'!K6:K100,"Yes")+COUNTIF('3. Change Management'!K6:K100,"Yes")+COUNTIF('4. Incident Management'!K6:K100,"Yes")+COUNTIF('5. Business Continuity'!K6:K100,"Yes")+COUNTIF('6. Vendor Risk Monitoring'!K6:K100,"Yes")</f>
        <v/>
      </c>
    </row>
    <row r="36">
      <c r="A36" s="3" t="inlineStr">
        <is>
          <t>Access Reviews Overdue:</t>
        </is>
      </c>
      <c r="C36" s="4">
        <f>COUNTIF('2. Access Review'!S6:S100,"Overdue")</f>
        <v/>
      </c>
    </row>
    <row r="37">
      <c r="A37" s="3" t="inlineStr">
        <is>
          <t>Open P1/P2 Incidents:</t>
        </is>
      </c>
      <c r="C37" s="4">
        <f>COUNTIF('4. Incident Management'!G6:G100,"P1-Critical")+COUNTIF('4. Incident Management'!G6:G100,"P2-High")</f>
        <v/>
      </c>
    </row>
    <row r="38">
      <c r="A38" s="3" t="inlineStr">
        <is>
          <t>BC Tests Overdue:</t>
        </is>
      </c>
      <c r="C38" s="4">
        <f>COUNTIF('5. Business Continuity'!S6:S100,"Not Tested")</f>
        <v/>
      </c>
    </row>
    <row r="39">
      <c r="A39" s="3" t="inlineStr">
        <is>
          <t>High/Critical Risk Vendors:</t>
        </is>
      </c>
      <c r="C39" s="4">
        <f>COUNTIF('6. Vendor Risk Monitoring'!G6:G100,"Critical")+COUNTIF('6. Vendor Risk Monitoring'!G6:G100,"High")</f>
        <v/>
      </c>
    </row>
    <row r="42">
      <c r="A42" s="35" t="inlineStr">
        <is>
          <t>OVERALL GOVERNANCE HEALTH SCORE</t>
        </is>
      </c>
    </row>
    <row r="43">
      <c r="A43" s="3" t="inlineStr">
        <is>
          <t>Score:</t>
        </is>
      </c>
      <c r="B43" s="42">
        <f>G10</f>
        <v/>
      </c>
    </row>
    <row r="44">
      <c r="A44" s="3" t="inlineStr">
        <is>
          <t>Rating:</t>
        </is>
      </c>
      <c r="B44">
        <f>IF(G10="N/A","Not Assessed",IF(VALUE(SUBSTITUTE(G10,"%",""))&gt;=90,"Excellent",IF(VALUE(SUBSTITUTE(G10,"%",""))&gt;=75,"Good",IF(VALUE(SUBSTITUTE(G10,"%",""))&gt;=60,"Needs Improvement","Critical"))))</f>
        <v/>
      </c>
    </row>
  </sheetData>
  <mergeCells count="7">
    <mergeCell ref="A13:C13"/>
    <mergeCell ref="A1:G1"/>
    <mergeCell ref="A3:G3"/>
    <mergeCell ref="A2:G2"/>
    <mergeCell ref="A33:D33"/>
    <mergeCell ref="A42:D42"/>
    <mergeCell ref="A24:C2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4"/>
  <sheetViews>
    <sheetView workbookViewId="0">
      <pane ySplit="3" topLeftCell="A4"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 t="inlineStr">
        <is>
          <t>EVIDENCE REGISTER</t>
        </is>
      </c>
    </row>
    <row r="2">
      <c r="A2" s="43" t="inlineStr">
        <is>
          <t>List all evidence files/documents referenced in this assessment (audit traceability).</t>
        </is>
      </c>
    </row>
    <row r="4">
      <c r="A4" s="44" t="inlineStr">
        <is>
          <t>Evidence ID</t>
        </is>
      </c>
      <c r="B4" s="44" t="inlineStr">
        <is>
          <t>Assessment Area</t>
        </is>
      </c>
      <c r="C4" s="44" t="inlineStr">
        <is>
          <t>Evidence Type</t>
        </is>
      </c>
      <c r="D4" s="44" t="inlineStr">
        <is>
          <t>Description</t>
        </is>
      </c>
      <c r="E4" s="44" t="inlineStr">
        <is>
          <t>Location/Path</t>
        </is>
      </c>
      <c r="F4" s="44" t="inlineStr">
        <is>
          <t>Date Collected</t>
        </is>
      </c>
      <c r="G4" s="44" t="inlineStr">
        <is>
          <t>Collected By</t>
        </is>
      </c>
      <c r="H4" s="44" t="inlineStr">
        <is>
          <t>Verification Status</t>
        </is>
      </c>
    </row>
    <row r="5">
      <c r="A5" s="45" t="inlineStr">
        <is>
          <t>EV-001</t>
        </is>
      </c>
      <c r="B5" s="45" t="inlineStr">
        <is>
          <t>Access Review</t>
        </is>
      </c>
      <c r="C5" s="45" t="inlineStr">
        <is>
          <t>Access review report</t>
        </is>
      </c>
      <c r="D5" s="45" t="inlineStr">
        <is>
          <t>Quarterly privileged access review for cloud admin accounts</t>
        </is>
      </c>
      <c r="E5" s="45" t="inlineStr">
        <is>
          <t>/evidence/access-review-q1-2026.xlsx</t>
        </is>
      </c>
      <c r="F5" s="45" t="inlineStr">
        <is>
          <t>15.01.2026</t>
        </is>
      </c>
      <c r="G5" s="45" t="inlineStr">
        <is>
          <t>IT Security Team</t>
        </is>
      </c>
      <c r="H5" s="45" t="inlineStr">
        <is>
          <t>Verified</t>
        </is>
      </c>
    </row>
    <row r="6">
      <c r="A6" s="46" t="n"/>
      <c r="B6" s="46" t="n"/>
      <c r="C6" s="46" t="n"/>
      <c r="D6" s="46" t="n"/>
      <c r="E6" s="46" t="n"/>
      <c r="F6" s="46" t="n"/>
      <c r="G6" s="46" t="n"/>
      <c r="H6" s="46" t="n"/>
    </row>
    <row r="7">
      <c r="A7" s="46" t="n"/>
      <c r="B7" s="46" t="n"/>
      <c r="C7" s="46" t="n"/>
      <c r="D7" s="46" t="n"/>
      <c r="E7" s="46" t="n"/>
      <c r="F7" s="46" t="n"/>
      <c r="G7" s="46" t="n"/>
      <c r="H7" s="46" t="n"/>
    </row>
    <row r="8">
      <c r="A8" s="46" t="n"/>
      <c r="B8" s="46" t="n"/>
      <c r="C8" s="46" t="n"/>
      <c r="D8" s="46" t="n"/>
      <c r="E8" s="46" t="n"/>
      <c r="F8" s="46" t="n"/>
      <c r="G8" s="46" t="n"/>
      <c r="H8" s="46" t="n"/>
    </row>
    <row r="9">
      <c r="A9" s="46" t="n"/>
      <c r="B9" s="46" t="n"/>
      <c r="C9" s="46" t="n"/>
      <c r="D9" s="46" t="n"/>
      <c r="E9" s="46" t="n"/>
      <c r="F9" s="46" t="n"/>
      <c r="G9" s="46" t="n"/>
      <c r="H9" s="46" t="n"/>
    </row>
    <row r="10">
      <c r="A10" s="46" t="n"/>
      <c r="B10" s="46" t="n"/>
      <c r="C10" s="46" t="n"/>
      <c r="D10" s="46" t="n"/>
      <c r="E10" s="46" t="n"/>
      <c r="F10" s="46" t="n"/>
      <c r="G10" s="46" t="n"/>
      <c r="H10" s="46" t="n"/>
    </row>
    <row r="11">
      <c r="A11" s="46" t="n"/>
      <c r="B11" s="46" t="n"/>
      <c r="C11" s="46" t="n"/>
      <c r="D11" s="46" t="n"/>
      <c r="E11" s="46" t="n"/>
      <c r="F11" s="46" t="n"/>
      <c r="G11" s="46" t="n"/>
      <c r="H11" s="46" t="n"/>
    </row>
    <row r="12">
      <c r="A12" s="46" t="n"/>
      <c r="B12" s="46" t="n"/>
      <c r="C12" s="46" t="n"/>
      <c r="D12" s="46" t="n"/>
      <c r="E12" s="46" t="n"/>
      <c r="F12" s="46" t="n"/>
      <c r="G12" s="46" t="n"/>
      <c r="H12" s="46" t="n"/>
    </row>
    <row r="13">
      <c r="A13" s="46" t="n"/>
      <c r="B13" s="46" t="n"/>
      <c r="C13" s="46" t="n"/>
      <c r="D13" s="46" t="n"/>
      <c r="E13" s="46" t="n"/>
      <c r="F13" s="46" t="n"/>
      <c r="G13" s="46" t="n"/>
      <c r="H13" s="46" t="n"/>
    </row>
    <row r="14">
      <c r="A14" s="46" t="n"/>
      <c r="B14" s="46" t="n"/>
      <c r="C14" s="46" t="n"/>
      <c r="D14" s="46" t="n"/>
      <c r="E14" s="46" t="n"/>
      <c r="F14" s="46" t="n"/>
      <c r="G14" s="46" t="n"/>
      <c r="H14" s="46" t="n"/>
    </row>
    <row r="15">
      <c r="A15" s="46" t="n"/>
      <c r="B15" s="46" t="n"/>
      <c r="C15" s="46" t="n"/>
      <c r="D15" s="46" t="n"/>
      <c r="E15" s="46" t="n"/>
      <c r="F15" s="46" t="n"/>
      <c r="G15" s="46" t="n"/>
      <c r="H15" s="46" t="n"/>
    </row>
    <row r="16">
      <c r="A16" s="46" t="n"/>
      <c r="B16" s="46" t="n"/>
      <c r="C16" s="46" t="n"/>
      <c r="D16" s="46" t="n"/>
      <c r="E16" s="46" t="n"/>
      <c r="F16" s="46" t="n"/>
      <c r="G16" s="46" t="n"/>
      <c r="H16" s="46" t="n"/>
    </row>
    <row r="17">
      <c r="A17" s="46" t="n"/>
      <c r="B17" s="46" t="n"/>
      <c r="C17" s="46" t="n"/>
      <c r="D17" s="46" t="n"/>
      <c r="E17" s="46" t="n"/>
      <c r="F17" s="46" t="n"/>
      <c r="G17" s="46" t="n"/>
      <c r="H17" s="46" t="n"/>
    </row>
    <row r="18">
      <c r="A18" s="46" t="n"/>
      <c r="B18" s="46" t="n"/>
      <c r="C18" s="46" t="n"/>
      <c r="D18" s="46" t="n"/>
      <c r="E18" s="46" t="n"/>
      <c r="F18" s="46" t="n"/>
      <c r="G18" s="46" t="n"/>
      <c r="H18" s="46" t="n"/>
    </row>
    <row r="19">
      <c r="A19" s="46" t="n"/>
      <c r="B19" s="46" t="n"/>
      <c r="C19" s="46" t="n"/>
      <c r="D19" s="46" t="n"/>
      <c r="E19" s="46" t="n"/>
      <c r="F19" s="46" t="n"/>
      <c r="G19" s="46" t="n"/>
      <c r="H19" s="46" t="n"/>
    </row>
    <row r="20">
      <c r="A20" s="46" t="n"/>
      <c r="B20" s="46" t="n"/>
      <c r="C20" s="46" t="n"/>
      <c r="D20" s="46" t="n"/>
      <c r="E20" s="46" t="n"/>
      <c r="F20" s="46" t="n"/>
      <c r="G20" s="46" t="n"/>
      <c r="H20" s="46" t="n"/>
    </row>
    <row r="21">
      <c r="A21" s="46" t="n"/>
      <c r="B21" s="46" t="n"/>
      <c r="C21" s="46" t="n"/>
      <c r="D21" s="46" t="n"/>
      <c r="E21" s="46" t="n"/>
      <c r="F21" s="46" t="n"/>
      <c r="G21" s="46" t="n"/>
      <c r="H21" s="46" t="n"/>
    </row>
    <row r="22">
      <c r="A22" s="46" t="n"/>
      <c r="B22" s="46" t="n"/>
      <c r="C22" s="46" t="n"/>
      <c r="D22" s="46" t="n"/>
      <c r="E22" s="46" t="n"/>
      <c r="F22" s="46" t="n"/>
      <c r="G22" s="46" t="n"/>
      <c r="H22" s="46" t="n"/>
    </row>
    <row r="23">
      <c r="A23" s="46" t="n"/>
      <c r="B23" s="46" t="n"/>
      <c r="C23" s="46" t="n"/>
      <c r="D23" s="46" t="n"/>
      <c r="E23" s="46" t="n"/>
      <c r="F23" s="46" t="n"/>
      <c r="G23" s="46" t="n"/>
      <c r="H23" s="46" t="n"/>
    </row>
    <row r="24">
      <c r="A24" s="46" t="n"/>
      <c r="B24" s="46" t="n"/>
      <c r="C24" s="46" t="n"/>
      <c r="D24" s="46" t="n"/>
      <c r="E24" s="46" t="n"/>
      <c r="F24" s="46" t="n"/>
      <c r="G24" s="46" t="n"/>
      <c r="H24" s="46" t="n"/>
    </row>
    <row r="25">
      <c r="A25" s="46" t="n"/>
      <c r="B25" s="46" t="n"/>
      <c r="C25" s="46" t="n"/>
      <c r="D25" s="46" t="n"/>
      <c r="E25" s="46" t="n"/>
      <c r="F25" s="46" t="n"/>
      <c r="G25" s="46" t="n"/>
      <c r="H25" s="46" t="n"/>
    </row>
    <row r="26">
      <c r="A26" s="46" t="n"/>
      <c r="B26" s="46" t="n"/>
      <c r="C26" s="46" t="n"/>
      <c r="D26" s="46" t="n"/>
      <c r="E26" s="46" t="n"/>
      <c r="F26" s="46" t="n"/>
      <c r="G26" s="46" t="n"/>
      <c r="H26" s="46" t="n"/>
    </row>
    <row r="27">
      <c r="A27" s="46" t="n"/>
      <c r="B27" s="46" t="n"/>
      <c r="C27" s="46" t="n"/>
      <c r="D27" s="46" t="n"/>
      <c r="E27" s="46" t="n"/>
      <c r="F27" s="46" t="n"/>
      <c r="G27" s="46" t="n"/>
      <c r="H27" s="46" t="n"/>
    </row>
    <row r="28">
      <c r="A28" s="46" t="n"/>
      <c r="B28" s="46" t="n"/>
      <c r="C28" s="46" t="n"/>
      <c r="D28" s="46" t="n"/>
      <c r="E28" s="46" t="n"/>
      <c r="F28" s="46" t="n"/>
      <c r="G28" s="46" t="n"/>
      <c r="H28" s="46" t="n"/>
    </row>
    <row r="29">
      <c r="A29" s="46" t="n"/>
      <c r="B29" s="46" t="n"/>
      <c r="C29" s="46" t="n"/>
      <c r="D29" s="46" t="n"/>
      <c r="E29" s="46" t="n"/>
      <c r="F29" s="46" t="n"/>
      <c r="G29" s="46" t="n"/>
      <c r="H29" s="46" t="n"/>
    </row>
    <row r="30">
      <c r="A30" s="46" t="n"/>
      <c r="B30" s="46" t="n"/>
      <c r="C30" s="46" t="n"/>
      <c r="D30" s="46" t="n"/>
      <c r="E30" s="46" t="n"/>
      <c r="F30" s="46" t="n"/>
      <c r="G30" s="46" t="n"/>
      <c r="H30" s="46" t="n"/>
    </row>
    <row r="31">
      <c r="A31" s="46" t="n"/>
      <c r="B31" s="46" t="n"/>
      <c r="C31" s="46" t="n"/>
      <c r="D31" s="46" t="n"/>
      <c r="E31" s="46" t="n"/>
      <c r="F31" s="46" t="n"/>
      <c r="G31" s="46" t="n"/>
      <c r="H31" s="46" t="n"/>
    </row>
    <row r="32">
      <c r="A32" s="46" t="n"/>
      <c r="B32" s="46" t="n"/>
      <c r="C32" s="46" t="n"/>
      <c r="D32" s="46" t="n"/>
      <c r="E32" s="46" t="n"/>
      <c r="F32" s="46" t="n"/>
      <c r="G32" s="46" t="n"/>
      <c r="H32" s="46" t="n"/>
    </row>
    <row r="33">
      <c r="A33" s="46" t="n"/>
      <c r="B33" s="46" t="n"/>
      <c r="C33" s="46" t="n"/>
      <c r="D33" s="46" t="n"/>
      <c r="E33" s="46" t="n"/>
      <c r="F33" s="46" t="n"/>
      <c r="G33" s="46" t="n"/>
      <c r="H33" s="46" t="n"/>
    </row>
    <row r="34">
      <c r="A34" s="46" t="n"/>
      <c r="B34" s="46" t="n"/>
      <c r="C34" s="46" t="n"/>
      <c r="D34" s="46" t="n"/>
      <c r="E34" s="46" t="n"/>
      <c r="F34" s="46" t="n"/>
      <c r="G34" s="46" t="n"/>
      <c r="H34" s="46" t="n"/>
    </row>
    <row r="35">
      <c r="A35" s="46" t="n"/>
      <c r="B35" s="46" t="n"/>
      <c r="C35" s="46" t="n"/>
      <c r="D35" s="46" t="n"/>
      <c r="E35" s="46" t="n"/>
      <c r="F35" s="46" t="n"/>
      <c r="G35" s="46" t="n"/>
      <c r="H35" s="46" t="n"/>
    </row>
    <row r="36">
      <c r="A36" s="46" t="n"/>
      <c r="B36" s="46" t="n"/>
      <c r="C36" s="46" t="n"/>
      <c r="D36" s="46" t="n"/>
      <c r="E36" s="46" t="n"/>
      <c r="F36" s="46" t="n"/>
      <c r="G36" s="46" t="n"/>
      <c r="H36" s="46" t="n"/>
    </row>
    <row r="37">
      <c r="A37" s="46" t="n"/>
      <c r="B37" s="46" t="n"/>
      <c r="C37" s="46" t="n"/>
      <c r="D37" s="46" t="n"/>
      <c r="E37" s="46" t="n"/>
      <c r="F37" s="46" t="n"/>
      <c r="G37" s="46" t="n"/>
      <c r="H37" s="46" t="n"/>
    </row>
    <row r="38">
      <c r="A38" s="46" t="n"/>
      <c r="B38" s="46" t="n"/>
      <c r="C38" s="46" t="n"/>
      <c r="D38" s="46" t="n"/>
      <c r="E38" s="46" t="n"/>
      <c r="F38" s="46" t="n"/>
      <c r="G38" s="46" t="n"/>
      <c r="H38" s="46" t="n"/>
    </row>
    <row r="39">
      <c r="A39" s="46" t="n"/>
      <c r="B39" s="46" t="n"/>
      <c r="C39" s="46" t="n"/>
      <c r="D39" s="46" t="n"/>
      <c r="E39" s="46" t="n"/>
      <c r="F39" s="46" t="n"/>
      <c r="G39" s="46" t="n"/>
      <c r="H39" s="46" t="n"/>
    </row>
    <row r="40">
      <c r="A40" s="46" t="n"/>
      <c r="B40" s="46" t="n"/>
      <c r="C40" s="46" t="n"/>
      <c r="D40" s="46" t="n"/>
      <c r="E40" s="46" t="n"/>
      <c r="F40" s="46" t="n"/>
      <c r="G40" s="46" t="n"/>
      <c r="H40" s="46" t="n"/>
    </row>
    <row r="41">
      <c r="A41" s="46" t="n"/>
      <c r="B41" s="46" t="n"/>
      <c r="C41" s="46" t="n"/>
      <c r="D41" s="46" t="n"/>
      <c r="E41" s="46" t="n"/>
      <c r="F41" s="46" t="n"/>
      <c r="G41" s="46" t="n"/>
      <c r="H41" s="46" t="n"/>
    </row>
    <row r="42">
      <c r="A42" s="46" t="n"/>
      <c r="B42" s="46" t="n"/>
      <c r="C42" s="46" t="n"/>
      <c r="D42" s="46" t="n"/>
      <c r="E42" s="46" t="n"/>
      <c r="F42" s="46" t="n"/>
      <c r="G42" s="46" t="n"/>
      <c r="H42" s="46" t="n"/>
    </row>
    <row r="43">
      <c r="A43" s="46" t="n"/>
      <c r="B43" s="46" t="n"/>
      <c r="C43" s="46" t="n"/>
      <c r="D43" s="46" t="n"/>
      <c r="E43" s="46" t="n"/>
      <c r="F43" s="46" t="n"/>
      <c r="G43" s="46" t="n"/>
      <c r="H43" s="46" t="n"/>
    </row>
    <row r="44">
      <c r="A44" s="46" t="n"/>
      <c r="B44" s="46" t="n"/>
      <c r="C44" s="46" t="n"/>
      <c r="D44" s="46" t="n"/>
      <c r="E44" s="46" t="n"/>
      <c r="F44" s="46" t="n"/>
      <c r="G44" s="46" t="n"/>
      <c r="H44" s="46" t="n"/>
    </row>
    <row r="45">
      <c r="A45" s="46" t="n"/>
      <c r="B45" s="46" t="n"/>
      <c r="C45" s="46" t="n"/>
      <c r="D45" s="46" t="n"/>
      <c r="E45" s="46" t="n"/>
      <c r="F45" s="46" t="n"/>
      <c r="G45" s="46" t="n"/>
      <c r="H45" s="46" t="n"/>
    </row>
    <row r="46">
      <c r="A46" s="46" t="n"/>
      <c r="B46" s="46" t="n"/>
      <c r="C46" s="46" t="n"/>
      <c r="D46" s="46" t="n"/>
      <c r="E46" s="46" t="n"/>
      <c r="F46" s="46" t="n"/>
      <c r="G46" s="46" t="n"/>
      <c r="H46" s="46" t="n"/>
    </row>
    <row r="47">
      <c r="A47" s="46" t="n"/>
      <c r="B47" s="46" t="n"/>
      <c r="C47" s="46" t="n"/>
      <c r="D47" s="46" t="n"/>
      <c r="E47" s="46" t="n"/>
      <c r="F47" s="46" t="n"/>
      <c r="G47" s="46" t="n"/>
      <c r="H47" s="46" t="n"/>
    </row>
    <row r="48">
      <c r="A48" s="46" t="n"/>
      <c r="B48" s="46" t="n"/>
      <c r="C48" s="46" t="n"/>
      <c r="D48" s="46" t="n"/>
      <c r="E48" s="46" t="n"/>
      <c r="F48" s="46" t="n"/>
      <c r="G48" s="46" t="n"/>
      <c r="H48" s="46" t="n"/>
    </row>
    <row r="49">
      <c r="A49" s="46" t="n"/>
      <c r="B49" s="46" t="n"/>
      <c r="C49" s="46" t="n"/>
      <c r="D49" s="46" t="n"/>
      <c r="E49" s="46" t="n"/>
      <c r="F49" s="46" t="n"/>
      <c r="G49" s="46" t="n"/>
      <c r="H49" s="46" t="n"/>
    </row>
    <row r="50">
      <c r="A50" s="46" t="n"/>
      <c r="B50" s="46" t="n"/>
      <c r="C50" s="46" t="n"/>
      <c r="D50" s="46" t="n"/>
      <c r="E50" s="46" t="n"/>
      <c r="F50" s="46" t="n"/>
      <c r="G50" s="46" t="n"/>
      <c r="H50" s="46" t="n"/>
    </row>
    <row r="51">
      <c r="A51" s="46" t="n"/>
      <c r="B51" s="46" t="n"/>
      <c r="C51" s="46" t="n"/>
      <c r="D51" s="46" t="n"/>
      <c r="E51" s="46" t="n"/>
      <c r="F51" s="46" t="n"/>
      <c r="G51" s="46" t="n"/>
      <c r="H51" s="46" t="n"/>
    </row>
    <row r="52">
      <c r="A52" s="46" t="n"/>
      <c r="B52" s="46" t="n"/>
      <c r="C52" s="46" t="n"/>
      <c r="D52" s="46" t="n"/>
      <c r="E52" s="46" t="n"/>
      <c r="F52" s="46" t="n"/>
      <c r="G52" s="46" t="n"/>
      <c r="H52" s="46" t="n"/>
    </row>
    <row r="53">
      <c r="A53" s="46" t="n"/>
      <c r="B53" s="46" t="n"/>
      <c r="C53" s="46" t="n"/>
      <c r="D53" s="46" t="n"/>
      <c r="E53" s="46" t="n"/>
      <c r="F53" s="46" t="n"/>
      <c r="G53" s="46" t="n"/>
      <c r="H53" s="46" t="n"/>
    </row>
    <row r="54">
      <c r="A54" s="46" t="n"/>
      <c r="B54" s="46" t="n"/>
      <c r="C54" s="46" t="n"/>
      <c r="D54" s="46" t="n"/>
      <c r="E54" s="46" t="n"/>
      <c r="F54" s="46" t="n"/>
      <c r="G54" s="46" t="n"/>
      <c r="H54" s="46" t="n"/>
    </row>
    <row r="55">
      <c r="A55" s="46" t="n"/>
      <c r="B55" s="46" t="n"/>
      <c r="C55" s="46" t="n"/>
      <c r="D55" s="46" t="n"/>
      <c r="E55" s="46" t="n"/>
      <c r="F55" s="46" t="n"/>
      <c r="G55" s="46" t="n"/>
      <c r="H55" s="46" t="n"/>
    </row>
    <row r="56">
      <c r="A56" s="46" t="n"/>
      <c r="B56" s="46" t="n"/>
      <c r="C56" s="46" t="n"/>
      <c r="D56" s="46" t="n"/>
      <c r="E56" s="46" t="n"/>
      <c r="F56" s="46" t="n"/>
      <c r="G56" s="46" t="n"/>
      <c r="H56" s="46" t="n"/>
    </row>
    <row r="57">
      <c r="A57" s="46" t="n"/>
      <c r="B57" s="46" t="n"/>
      <c r="C57" s="46" t="n"/>
      <c r="D57" s="46" t="n"/>
      <c r="E57" s="46" t="n"/>
      <c r="F57" s="46" t="n"/>
      <c r="G57" s="46" t="n"/>
      <c r="H57" s="46" t="n"/>
    </row>
    <row r="58">
      <c r="A58" s="46" t="n"/>
      <c r="B58" s="46" t="n"/>
      <c r="C58" s="46" t="n"/>
      <c r="D58" s="46" t="n"/>
      <c r="E58" s="46" t="n"/>
      <c r="F58" s="46" t="n"/>
      <c r="G58" s="46" t="n"/>
      <c r="H58" s="46" t="n"/>
    </row>
    <row r="59">
      <c r="A59" s="46" t="n"/>
      <c r="B59" s="46" t="n"/>
      <c r="C59" s="46" t="n"/>
      <c r="D59" s="46" t="n"/>
      <c r="E59" s="46" t="n"/>
      <c r="F59" s="46" t="n"/>
      <c r="G59" s="46" t="n"/>
      <c r="H59" s="46" t="n"/>
    </row>
    <row r="60">
      <c r="A60" s="46" t="n"/>
      <c r="B60" s="46" t="n"/>
      <c r="C60" s="46" t="n"/>
      <c r="D60" s="46" t="n"/>
      <c r="E60" s="46" t="n"/>
      <c r="F60" s="46" t="n"/>
      <c r="G60" s="46" t="n"/>
      <c r="H60" s="46" t="n"/>
    </row>
    <row r="61">
      <c r="A61" s="46" t="n"/>
      <c r="B61" s="46" t="n"/>
      <c r="C61" s="46" t="n"/>
      <c r="D61" s="46" t="n"/>
      <c r="E61" s="46" t="n"/>
      <c r="F61" s="46" t="n"/>
      <c r="G61" s="46" t="n"/>
      <c r="H61" s="46" t="n"/>
    </row>
    <row r="62">
      <c r="A62" s="46" t="n"/>
      <c r="B62" s="46" t="n"/>
      <c r="C62" s="46" t="n"/>
      <c r="D62" s="46" t="n"/>
      <c r="E62" s="46" t="n"/>
      <c r="F62" s="46" t="n"/>
      <c r="G62" s="46" t="n"/>
      <c r="H62" s="46" t="n"/>
    </row>
    <row r="63">
      <c r="A63" s="46" t="n"/>
      <c r="B63" s="46" t="n"/>
      <c r="C63" s="46" t="n"/>
      <c r="D63" s="46" t="n"/>
      <c r="E63" s="46" t="n"/>
      <c r="F63" s="46" t="n"/>
      <c r="G63" s="46" t="n"/>
      <c r="H63" s="46" t="n"/>
    </row>
    <row r="64">
      <c r="A64" s="46" t="n"/>
      <c r="B64" s="46" t="n"/>
      <c r="C64" s="46" t="n"/>
      <c r="D64" s="46" t="n"/>
      <c r="E64" s="46" t="n"/>
      <c r="F64" s="46" t="n"/>
      <c r="G64" s="46" t="n"/>
      <c r="H64" s="46" t="n"/>
    </row>
    <row r="65">
      <c r="A65" s="46" t="n"/>
      <c r="B65" s="46" t="n"/>
      <c r="C65" s="46" t="n"/>
      <c r="D65" s="46" t="n"/>
      <c r="E65" s="46" t="n"/>
      <c r="F65" s="46" t="n"/>
      <c r="G65" s="46" t="n"/>
      <c r="H65" s="46" t="n"/>
    </row>
    <row r="66">
      <c r="A66" s="46" t="n"/>
      <c r="B66" s="46" t="n"/>
      <c r="C66" s="46" t="n"/>
      <c r="D66" s="46" t="n"/>
      <c r="E66" s="46" t="n"/>
      <c r="F66" s="46" t="n"/>
      <c r="G66" s="46" t="n"/>
      <c r="H66" s="46" t="n"/>
    </row>
    <row r="67">
      <c r="A67" s="46" t="n"/>
      <c r="B67" s="46" t="n"/>
      <c r="C67" s="46" t="n"/>
      <c r="D67" s="46" t="n"/>
      <c r="E67" s="46" t="n"/>
      <c r="F67" s="46" t="n"/>
      <c r="G67" s="46" t="n"/>
      <c r="H67" s="46" t="n"/>
    </row>
    <row r="68">
      <c r="A68" s="46" t="n"/>
      <c r="B68" s="46" t="n"/>
      <c r="C68" s="46" t="n"/>
      <c r="D68" s="46" t="n"/>
      <c r="E68" s="46" t="n"/>
      <c r="F68" s="46" t="n"/>
      <c r="G68" s="46" t="n"/>
      <c r="H68" s="46" t="n"/>
    </row>
    <row r="69">
      <c r="A69" s="46" t="n"/>
      <c r="B69" s="46" t="n"/>
      <c r="C69" s="46" t="n"/>
      <c r="D69" s="46" t="n"/>
      <c r="E69" s="46" t="n"/>
      <c r="F69" s="46" t="n"/>
      <c r="G69" s="46" t="n"/>
      <c r="H69" s="46" t="n"/>
    </row>
    <row r="70">
      <c r="A70" s="46" t="n"/>
      <c r="B70" s="46" t="n"/>
      <c r="C70" s="46" t="n"/>
      <c r="D70" s="46" t="n"/>
      <c r="E70" s="46" t="n"/>
      <c r="F70" s="46" t="n"/>
      <c r="G70" s="46" t="n"/>
      <c r="H70" s="46" t="n"/>
    </row>
    <row r="71">
      <c r="A71" s="46" t="n"/>
      <c r="B71" s="46" t="n"/>
      <c r="C71" s="46" t="n"/>
      <c r="D71" s="46" t="n"/>
      <c r="E71" s="46" t="n"/>
      <c r="F71" s="46" t="n"/>
      <c r="G71" s="46" t="n"/>
      <c r="H71" s="46" t="n"/>
    </row>
    <row r="72">
      <c r="A72" s="46" t="n"/>
      <c r="B72" s="46" t="n"/>
      <c r="C72" s="46" t="n"/>
      <c r="D72" s="46" t="n"/>
      <c r="E72" s="46" t="n"/>
      <c r="F72" s="46" t="n"/>
      <c r="G72" s="46" t="n"/>
      <c r="H72" s="46" t="n"/>
    </row>
    <row r="73">
      <c r="A73" s="46" t="n"/>
      <c r="B73" s="46" t="n"/>
      <c r="C73" s="46" t="n"/>
      <c r="D73" s="46" t="n"/>
      <c r="E73" s="46" t="n"/>
      <c r="F73" s="46" t="n"/>
      <c r="G73" s="46" t="n"/>
      <c r="H73" s="46" t="n"/>
    </row>
    <row r="74">
      <c r="A74" s="46" t="n"/>
      <c r="B74" s="46" t="n"/>
      <c r="C74" s="46" t="n"/>
      <c r="D74" s="46" t="n"/>
      <c r="E74" s="46" t="n"/>
      <c r="F74" s="46" t="n"/>
      <c r="G74" s="46" t="n"/>
      <c r="H74" s="46" t="n"/>
    </row>
    <row r="75">
      <c r="A75" s="46" t="n"/>
      <c r="B75" s="46" t="n"/>
      <c r="C75" s="46" t="n"/>
      <c r="D75" s="46" t="n"/>
      <c r="E75" s="46" t="n"/>
      <c r="F75" s="46" t="n"/>
      <c r="G75" s="46" t="n"/>
      <c r="H75" s="46" t="n"/>
    </row>
    <row r="76">
      <c r="A76" s="46" t="n"/>
      <c r="B76" s="46" t="n"/>
      <c r="C76" s="46" t="n"/>
      <c r="D76" s="46" t="n"/>
      <c r="E76" s="46" t="n"/>
      <c r="F76" s="46" t="n"/>
      <c r="G76" s="46" t="n"/>
      <c r="H76" s="46" t="n"/>
    </row>
    <row r="77">
      <c r="A77" s="46" t="n"/>
      <c r="B77" s="46" t="n"/>
      <c r="C77" s="46" t="n"/>
      <c r="D77" s="46" t="n"/>
      <c r="E77" s="46" t="n"/>
      <c r="F77" s="46" t="n"/>
      <c r="G77" s="46" t="n"/>
      <c r="H77" s="46" t="n"/>
    </row>
    <row r="78">
      <c r="A78" s="46" t="n"/>
      <c r="B78" s="46" t="n"/>
      <c r="C78" s="46" t="n"/>
      <c r="D78" s="46" t="n"/>
      <c r="E78" s="46" t="n"/>
      <c r="F78" s="46" t="n"/>
      <c r="G78" s="46" t="n"/>
      <c r="H78" s="46" t="n"/>
    </row>
    <row r="79">
      <c r="A79" s="46" t="n"/>
      <c r="B79" s="46" t="n"/>
      <c r="C79" s="46" t="n"/>
      <c r="D79" s="46" t="n"/>
      <c r="E79" s="46" t="n"/>
      <c r="F79" s="46" t="n"/>
      <c r="G79" s="46" t="n"/>
      <c r="H79" s="46" t="n"/>
    </row>
    <row r="80">
      <c r="A80" s="46" t="n"/>
      <c r="B80" s="46" t="n"/>
      <c r="C80" s="46" t="n"/>
      <c r="D80" s="46" t="n"/>
      <c r="E80" s="46" t="n"/>
      <c r="F80" s="46" t="n"/>
      <c r="G80" s="46" t="n"/>
      <c r="H80" s="46" t="n"/>
    </row>
    <row r="81">
      <c r="A81" s="46" t="n"/>
      <c r="B81" s="46" t="n"/>
      <c r="C81" s="46" t="n"/>
      <c r="D81" s="46" t="n"/>
      <c r="E81" s="46" t="n"/>
      <c r="F81" s="46" t="n"/>
      <c r="G81" s="46" t="n"/>
      <c r="H81" s="46" t="n"/>
    </row>
    <row r="82">
      <c r="A82" s="46" t="n"/>
      <c r="B82" s="46" t="n"/>
      <c r="C82" s="46" t="n"/>
      <c r="D82" s="46" t="n"/>
      <c r="E82" s="46" t="n"/>
      <c r="F82" s="46" t="n"/>
      <c r="G82" s="46" t="n"/>
      <c r="H82" s="46" t="n"/>
    </row>
    <row r="83">
      <c r="A83" s="46" t="n"/>
      <c r="B83" s="46" t="n"/>
      <c r="C83" s="46" t="n"/>
      <c r="D83" s="46" t="n"/>
      <c r="E83" s="46" t="n"/>
      <c r="F83" s="46" t="n"/>
      <c r="G83" s="46" t="n"/>
      <c r="H83" s="46" t="n"/>
    </row>
    <row r="84">
      <c r="A84" s="46" t="n"/>
      <c r="B84" s="46" t="n"/>
      <c r="C84" s="46" t="n"/>
      <c r="D84" s="46" t="n"/>
      <c r="E84" s="46" t="n"/>
      <c r="F84" s="46" t="n"/>
      <c r="G84" s="46" t="n"/>
      <c r="H84" s="46" t="n"/>
    </row>
    <row r="85">
      <c r="A85" s="46" t="n"/>
      <c r="B85" s="46" t="n"/>
      <c r="C85" s="46" t="n"/>
      <c r="D85" s="46" t="n"/>
      <c r="E85" s="46" t="n"/>
      <c r="F85" s="46" t="n"/>
      <c r="G85" s="46" t="n"/>
      <c r="H85" s="46" t="n"/>
    </row>
    <row r="86">
      <c r="A86" s="46" t="n"/>
      <c r="B86" s="46" t="n"/>
      <c r="C86" s="46" t="n"/>
      <c r="D86" s="46" t="n"/>
      <c r="E86" s="46" t="n"/>
      <c r="F86" s="46" t="n"/>
      <c r="G86" s="46" t="n"/>
      <c r="H86" s="46" t="n"/>
    </row>
    <row r="87">
      <c r="A87" s="46" t="n"/>
      <c r="B87" s="46" t="n"/>
      <c r="C87" s="46" t="n"/>
      <c r="D87" s="46" t="n"/>
      <c r="E87" s="46" t="n"/>
      <c r="F87" s="46" t="n"/>
      <c r="G87" s="46" t="n"/>
      <c r="H87" s="46" t="n"/>
    </row>
    <row r="88">
      <c r="A88" s="46" t="n"/>
      <c r="B88" s="46" t="n"/>
      <c r="C88" s="46" t="n"/>
      <c r="D88" s="46" t="n"/>
      <c r="E88" s="46" t="n"/>
      <c r="F88" s="46" t="n"/>
      <c r="G88" s="46" t="n"/>
      <c r="H88" s="46" t="n"/>
    </row>
    <row r="89">
      <c r="A89" s="46" t="n"/>
      <c r="B89" s="46" t="n"/>
      <c r="C89" s="46" t="n"/>
      <c r="D89" s="46" t="n"/>
      <c r="E89" s="46" t="n"/>
      <c r="F89" s="46" t="n"/>
      <c r="G89" s="46" t="n"/>
      <c r="H89" s="46" t="n"/>
    </row>
    <row r="90">
      <c r="A90" s="46" t="n"/>
      <c r="B90" s="46" t="n"/>
      <c r="C90" s="46" t="n"/>
      <c r="D90" s="46" t="n"/>
      <c r="E90" s="46" t="n"/>
      <c r="F90" s="46" t="n"/>
      <c r="G90" s="46" t="n"/>
      <c r="H90" s="46" t="n"/>
    </row>
    <row r="91">
      <c r="A91" s="46" t="n"/>
      <c r="B91" s="46" t="n"/>
      <c r="C91" s="46" t="n"/>
      <c r="D91" s="46" t="n"/>
      <c r="E91" s="46" t="n"/>
      <c r="F91" s="46" t="n"/>
      <c r="G91" s="46" t="n"/>
      <c r="H91" s="46" t="n"/>
    </row>
    <row r="92">
      <c r="A92" s="46" t="n"/>
      <c r="B92" s="46" t="n"/>
      <c r="C92" s="46" t="n"/>
      <c r="D92" s="46" t="n"/>
      <c r="E92" s="46" t="n"/>
      <c r="F92" s="46" t="n"/>
      <c r="G92" s="46" t="n"/>
      <c r="H92" s="46" t="n"/>
    </row>
    <row r="93">
      <c r="A93" s="46" t="n"/>
      <c r="B93" s="46" t="n"/>
      <c r="C93" s="46" t="n"/>
      <c r="D93" s="46" t="n"/>
      <c r="E93" s="46" t="n"/>
      <c r="F93" s="46" t="n"/>
      <c r="G93" s="46" t="n"/>
      <c r="H93" s="46" t="n"/>
    </row>
    <row r="94">
      <c r="A94" s="46" t="n"/>
      <c r="B94" s="46" t="n"/>
      <c r="C94" s="46" t="n"/>
      <c r="D94" s="46" t="n"/>
      <c r="E94" s="46" t="n"/>
      <c r="F94" s="46" t="n"/>
      <c r="G94" s="46" t="n"/>
      <c r="H94" s="46" t="n"/>
    </row>
    <row r="95">
      <c r="A95" s="46" t="n"/>
      <c r="B95" s="46" t="n"/>
      <c r="C95" s="46" t="n"/>
      <c r="D95" s="46" t="n"/>
      <c r="E95" s="46" t="n"/>
      <c r="F95" s="46" t="n"/>
      <c r="G95" s="46" t="n"/>
      <c r="H95" s="46" t="n"/>
    </row>
    <row r="96">
      <c r="A96" s="46" t="n"/>
      <c r="B96" s="46" t="n"/>
      <c r="C96" s="46" t="n"/>
      <c r="D96" s="46" t="n"/>
      <c r="E96" s="46" t="n"/>
      <c r="F96" s="46" t="n"/>
      <c r="G96" s="46" t="n"/>
      <c r="H96" s="46" t="n"/>
    </row>
    <row r="97">
      <c r="A97" s="46" t="n"/>
      <c r="B97" s="46" t="n"/>
      <c r="C97" s="46" t="n"/>
      <c r="D97" s="46" t="n"/>
      <c r="E97" s="46" t="n"/>
      <c r="F97" s="46" t="n"/>
      <c r="G97" s="46" t="n"/>
      <c r="H97" s="46" t="n"/>
    </row>
    <row r="98">
      <c r="A98" s="46" t="n"/>
      <c r="B98" s="46" t="n"/>
      <c r="C98" s="46" t="n"/>
      <c r="D98" s="46" t="n"/>
      <c r="E98" s="46" t="n"/>
      <c r="F98" s="46" t="n"/>
      <c r="G98" s="46" t="n"/>
      <c r="H98" s="46" t="n"/>
    </row>
    <row r="99">
      <c r="A99" s="46" t="n"/>
      <c r="B99" s="46" t="n"/>
      <c r="C99" s="46" t="n"/>
      <c r="D99" s="46" t="n"/>
      <c r="E99" s="46" t="n"/>
      <c r="F99" s="46" t="n"/>
      <c r="G99" s="46" t="n"/>
      <c r="H99" s="46" t="n"/>
    </row>
    <row r="100">
      <c r="A100" s="46" t="n"/>
      <c r="B100" s="46" t="n"/>
      <c r="C100" s="46" t="n"/>
      <c r="D100" s="46" t="n"/>
      <c r="E100" s="46" t="n"/>
      <c r="F100" s="46" t="n"/>
      <c r="G100" s="46" t="n"/>
      <c r="H100" s="46" t="n"/>
    </row>
    <row r="101">
      <c r="A101" s="46" t="n"/>
      <c r="B101" s="46" t="n"/>
      <c r="C101" s="46" t="n"/>
      <c r="D101" s="46" t="n"/>
      <c r="E101" s="46" t="n"/>
      <c r="F101" s="46" t="n"/>
      <c r="G101" s="46" t="n"/>
      <c r="H101" s="46" t="n"/>
    </row>
    <row r="102">
      <c r="A102" s="46" t="n"/>
      <c r="B102" s="46" t="n"/>
      <c r="C102" s="46" t="n"/>
      <c r="D102" s="46" t="n"/>
      <c r="E102" s="46" t="n"/>
      <c r="F102" s="46" t="n"/>
      <c r="G102" s="46" t="n"/>
      <c r="H102" s="46" t="n"/>
    </row>
    <row r="103">
      <c r="A103" s="46" t="n"/>
      <c r="B103" s="46" t="n"/>
      <c r="C103" s="46" t="n"/>
      <c r="D103" s="46" t="n"/>
      <c r="E103" s="46" t="n"/>
      <c r="F103" s="46" t="n"/>
      <c r="G103" s="46" t="n"/>
      <c r="H103" s="46" t="n"/>
    </row>
    <row r="104">
      <c r="A104" s="46" t="n"/>
      <c r="B104" s="46" t="n"/>
      <c r="C104" s="46" t="n"/>
      <c r="D104" s="46" t="n"/>
      <c r="E104" s="46" t="n"/>
      <c r="F104" s="46" t="n"/>
      <c r="G104" s="46" t="n"/>
      <c r="H104" s="46" t="n"/>
    </row>
  </sheetData>
  <mergeCells count="2">
    <mergeCell ref="A2:H2"/>
    <mergeCell ref="A1:H1"/>
  </mergeCells>
  <dataValidations count="3">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1" type="list">
      <formula1>"Access review report,Change ticket,Incident report,BC/DR test report,Risk assessment,Audit log,Screenshot,Configuration export,Certification document,Contract/SLA,Meeting minutes,Email confirmation,Policy document,Quarterly ICT risk review (DORA),Vendor concentration risk assessment,NIS2 incident notification record,AI system monitoring log,Jurisdictional risk assessment,Risk acceptance form,DPA with SCCs/BCRs,Other"</formula1>
    </dataValidation>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1" type="list">
      <formula1>"Access Review,Change Management,Incident Management,Business Continuity,Vendor Risk Monitoring,Jurisdictional Risk,DORA Compliance,NIS2 Compliance,AI Act Compliance"</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1" type="list">
      <formula1>"Verified,Pending Review,Not Verified,Expired"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72"/>
  <sheetViews>
    <sheetView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 t="inlineStr">
        <is>
          <t>APPROVAL SIGN-OFF</t>
        </is>
      </c>
    </row>
    <row r="2">
      <c r="A2" s="36" t="inlineStr">
        <is>
          <t>Ongoing Governance &amp; Risk Management | Approval and sign-off for ISO 27001:2022 Control A.5.23</t>
        </is>
      </c>
    </row>
    <row r="3">
      <c r="A3" s="18" t="inlineStr">
        <is>
          <t>ASSESSMENT SUMMARY</t>
        </is>
      </c>
    </row>
    <row r="4">
      <c r="A4" s="3" t="inlineStr">
        <is>
          <t>Assessment Document:</t>
        </is>
      </c>
      <c r="B4" t="inlineStr">
        <is>
          <t>ISMS-IMP-A.5.23.S4 - Ongoing Governance &amp; Risk Management</t>
        </is>
      </c>
    </row>
    <row r="5">
      <c r="A5" s="3" t="inlineStr">
        <is>
          <t>Assessment Period:</t>
        </is>
      </c>
      <c r="B5" s="4" t="inlineStr"/>
    </row>
    <row r="6">
      <c r="A6" s="3" t="inlineStr">
        <is>
          <t>Overall Compliance Rate:</t>
        </is>
      </c>
      <c r="B6">
        <f>'9. Summary Dashboard'!G10</f>
        <v/>
      </c>
    </row>
    <row r="7">
      <c r="A7" s="3" t="inlineStr">
        <is>
          <t>Jurisdictional Risks Identified:</t>
        </is>
      </c>
      <c r="B7">
        <f>'9. Summary Dashboard'!B20</f>
        <v/>
      </c>
    </row>
    <row r="8">
      <c r="A8" s="3" t="inlineStr">
        <is>
          <t>DORA Risks Not Monitored:</t>
        </is>
      </c>
      <c r="B8">
        <f>'9. Summary Dashboard'!B28</f>
        <v/>
      </c>
    </row>
    <row r="9">
      <c r="A9" s="3" t="inlineStr">
        <is>
          <t>NIS2 Significant Incidents:</t>
        </is>
      </c>
      <c r="B9">
        <f>'9. Summary Dashboard'!B29</f>
        <v/>
      </c>
    </row>
    <row r="10">
      <c r="A10" s="3" t="inlineStr">
        <is>
          <t>AI Monitoring Required:</t>
        </is>
      </c>
      <c r="B10">
        <f>'9. Summary Dashboard'!B30</f>
        <v/>
      </c>
    </row>
    <row r="11">
      <c r="A11" s="3" t="inlineStr">
        <is>
          <t>Assessment Status:</t>
        </is>
      </c>
      <c r="B11" s="4" t="inlineStr"/>
    </row>
    <row r="14">
      <c r="A14" s="47" t="inlineStr">
        <is>
          <t>COMPLETED BY (ASSESSOR)</t>
        </is>
      </c>
    </row>
    <row r="15">
      <c r="A15" s="3" t="inlineStr">
        <is>
          <t>Name:</t>
        </is>
      </c>
      <c r="B15" s="4" t="n"/>
    </row>
    <row r="16">
      <c r="A16" s="3" t="inlineStr">
        <is>
          <t>Title:</t>
        </is>
      </c>
      <c r="B16" s="4" t="n"/>
    </row>
    <row r="17">
      <c r="A17" s="3" t="inlineStr">
        <is>
          <t>Department:</t>
        </is>
      </c>
      <c r="B17" s="4" t="n"/>
    </row>
    <row r="18">
      <c r="A18" s="3" t="inlineStr">
        <is>
          <t>Date:</t>
        </is>
      </c>
      <c r="B18" s="4" t="n"/>
    </row>
    <row r="19">
      <c r="A19" s="3" t="inlineStr">
        <is>
          <t>Signature:</t>
        </is>
      </c>
      <c r="B19" s="4" t="n"/>
    </row>
    <row r="20">
      <c r="A20" s="3" t="inlineStr">
        <is>
          <t>Comments:</t>
        </is>
      </c>
      <c r="B20" s="4" t="n"/>
    </row>
    <row r="22">
      <c r="A22" s="47" t="inlineStr">
        <is>
          <t>REVIEWED BY (IT OPERATIONS MANAGER)</t>
        </is>
      </c>
    </row>
    <row r="23">
      <c r="A23" s="3" t="inlineStr">
        <is>
          <t>Name:</t>
        </is>
      </c>
      <c r="B23" s="4" t="n"/>
    </row>
    <row r="24">
      <c r="A24" s="3" t="inlineStr">
        <is>
          <t>Title:</t>
        </is>
      </c>
      <c r="B24" s="4" t="n"/>
    </row>
    <row r="25">
      <c r="A25" s="3" t="inlineStr">
        <is>
          <t>Department:</t>
        </is>
      </c>
      <c r="B25" s="4" t="n"/>
    </row>
    <row r="26">
      <c r="A26" s="3" t="inlineStr">
        <is>
          <t>Date:</t>
        </is>
      </c>
      <c r="B26" s="4" t="n"/>
    </row>
    <row r="27">
      <c r="A27" s="3" t="inlineStr">
        <is>
          <t>Signature:</t>
        </is>
      </c>
      <c r="B27" s="4" t="n"/>
    </row>
    <row r="28">
      <c r="A28" s="3" t="inlineStr">
        <is>
          <t>Comments:</t>
        </is>
      </c>
      <c r="B28" s="4" t="n"/>
    </row>
    <row r="30">
      <c r="A30" s="47" t="inlineStr">
        <is>
          <t>REVIEWED BY (COMPLIANCE OFFICER)</t>
        </is>
      </c>
    </row>
    <row r="31">
      <c r="A31" s="3" t="inlineStr">
        <is>
          <t>Name:</t>
        </is>
      </c>
      <c r="B31" s="4" t="n"/>
    </row>
    <row r="32">
      <c r="A32" s="3" t="inlineStr">
        <is>
          <t>Title:</t>
        </is>
      </c>
      <c r="B32" s="4" t="n"/>
    </row>
    <row r="33">
      <c r="A33" s="3" t="inlineStr">
        <is>
          <t>Department:</t>
        </is>
      </c>
      <c r="B33" s="4" t="n"/>
    </row>
    <row r="34">
      <c r="A34" s="3" t="inlineStr">
        <is>
          <t>Date:</t>
        </is>
      </c>
      <c r="B34" s="4" t="n"/>
    </row>
    <row r="35">
      <c r="A35" s="3" t="inlineStr">
        <is>
          <t>Signature:</t>
        </is>
      </c>
      <c r="B35" s="4" t="n"/>
    </row>
    <row r="36">
      <c r="A36" s="3" t="inlineStr">
        <is>
          <t>Comments:</t>
        </is>
      </c>
      <c r="B36" s="4" t="n"/>
    </row>
    <row r="38">
      <c r="A38" s="47" t="inlineStr">
        <is>
          <t>REVIEWED BY (DATA PROTECTION OFFICER)</t>
        </is>
      </c>
    </row>
    <row r="39">
      <c r="A39" s="3" t="inlineStr">
        <is>
          <t>Name:</t>
        </is>
      </c>
      <c r="B39" s="4" t="n"/>
    </row>
    <row r="40">
      <c r="A40" s="3" t="inlineStr">
        <is>
          <t>Title:</t>
        </is>
      </c>
      <c r="B40" s="4" t="n"/>
    </row>
    <row r="41">
      <c r="A41" s="3" t="inlineStr">
        <is>
          <t>Department:</t>
        </is>
      </c>
      <c r="B41" s="4" t="n"/>
    </row>
    <row r="42">
      <c r="A42" s="3" t="inlineStr">
        <is>
          <t>Date:</t>
        </is>
      </c>
      <c r="B42" s="4" t="n"/>
    </row>
    <row r="43">
      <c r="A43" s="3" t="inlineStr">
        <is>
          <t>Signature:</t>
        </is>
      </c>
      <c r="B43" s="4" t="n"/>
    </row>
    <row r="44">
      <c r="A44" s="3" t="inlineStr">
        <is>
          <t>Data Protection Compliance:</t>
        </is>
      </c>
      <c r="B44" s="4" t="n"/>
    </row>
    <row r="45">
      <c r="A45" s="3" t="inlineStr">
        <is>
          <t>Cross-Border Transfer Status:</t>
        </is>
      </c>
      <c r="B45" s="4" t="n"/>
    </row>
    <row r="46">
      <c r="A46" s="3" t="inlineStr">
        <is>
          <t>DPO Comments:</t>
        </is>
      </c>
      <c r="B46" s="4" t="n"/>
    </row>
    <row r="48">
      <c r="A48" s="47" t="inlineStr">
        <is>
          <t>REVIEWED BY (CHIEF RISK OFFICER)</t>
        </is>
      </c>
    </row>
    <row r="49">
      <c r="A49" s="3" t="inlineStr">
        <is>
          <t>Name:</t>
        </is>
      </c>
      <c r="B49" s="4" t="n"/>
    </row>
    <row r="50">
      <c r="A50" s="3" t="inlineStr">
        <is>
          <t>Title:</t>
        </is>
      </c>
      <c r="B50" s="4" t="n"/>
    </row>
    <row r="51">
      <c r="A51" s="3" t="inlineStr">
        <is>
          <t>Department:</t>
        </is>
      </c>
      <c r="B51" s="4" t="n"/>
    </row>
    <row r="52">
      <c r="A52" s="3" t="inlineStr">
        <is>
          <t>Date:</t>
        </is>
      </c>
      <c r="B52" s="4" t="n"/>
    </row>
    <row r="53">
      <c r="A53" s="3" t="inlineStr">
        <is>
          <t>Signature:</t>
        </is>
      </c>
      <c r="B53" s="4" t="n"/>
    </row>
    <row r="54">
      <c r="A54" s="3" t="inlineStr">
        <is>
          <t>Enterprise Risk Acceptance:</t>
        </is>
      </c>
      <c r="B54" s="4" t="n"/>
    </row>
    <row r="55">
      <c r="A55" s="3" t="inlineStr">
        <is>
          <t>Regulatory Risk Status:</t>
        </is>
      </c>
      <c r="B55" s="4" t="n"/>
    </row>
    <row r="56">
      <c r="A56" s="3" t="inlineStr">
        <is>
          <t>CRO Comments:</t>
        </is>
      </c>
      <c r="B56" s="4" t="n"/>
    </row>
    <row r="58">
      <c r="A58" s="48" t="inlineStr">
        <is>
          <t>APPROVED BY (CISO)</t>
        </is>
      </c>
    </row>
    <row r="59">
      <c r="A59" s="3" t="inlineStr">
        <is>
          <t>Name:</t>
        </is>
      </c>
      <c r="B59" s="4" t="n"/>
    </row>
    <row r="60">
      <c r="A60" s="3" t="inlineStr">
        <is>
          <t>Title:</t>
        </is>
      </c>
      <c r="B60" s="4" t="n"/>
    </row>
    <row r="61">
      <c r="A61" s="3" t="inlineStr">
        <is>
          <t>Department:</t>
        </is>
      </c>
      <c r="B61" s="4" t="n"/>
    </row>
    <row r="62">
      <c r="A62" s="3" t="inlineStr">
        <is>
          <t>Date:</t>
        </is>
      </c>
      <c r="B62" s="4" t="n"/>
    </row>
    <row r="63">
      <c r="A63" s="3" t="inlineStr">
        <is>
          <t>Signature:</t>
        </is>
      </c>
      <c r="B63" s="4" t="n"/>
    </row>
    <row r="64">
      <c r="A64" s="3" t="inlineStr">
        <is>
          <t>Comments:</t>
        </is>
      </c>
      <c r="B64" s="4" t="n"/>
    </row>
    <row r="66">
      <c r="A66" s="3" t="inlineStr">
        <is>
          <t>FINAL DECISION:</t>
        </is>
      </c>
      <c r="B66" s="4" t="n"/>
    </row>
    <row r="69">
      <c r="A69" s="18" t="inlineStr">
        <is>
          <t>NEXT REVIEW DETAILS</t>
        </is>
      </c>
    </row>
    <row r="70">
      <c r="A70" s="3" t="inlineStr">
        <is>
          <t>Next Review Date:</t>
        </is>
      </c>
      <c r="B70" s="4" t="n"/>
    </row>
    <row r="71">
      <c r="A71" s="3" t="inlineStr">
        <is>
          <t>Review Responsible:</t>
        </is>
      </c>
      <c r="B71" s="4" t="n"/>
    </row>
    <row r="72">
      <c r="A72" s="3" t="inlineStr">
        <is>
          <t>Special Considerations:</t>
        </is>
      </c>
      <c r="B72" s="4" t="n"/>
    </row>
  </sheetData>
  <mergeCells count="62">
    <mergeCell ref="A30:E30"/>
    <mergeCell ref="B40:E40"/>
    <mergeCell ref="B9:E9"/>
    <mergeCell ref="A48:E48"/>
    <mergeCell ref="B49:E49"/>
    <mergeCell ref="A58:E58"/>
    <mergeCell ref="B6:E6"/>
    <mergeCell ref="B64:E64"/>
    <mergeCell ref="B15:E15"/>
    <mergeCell ref="B33:E33"/>
    <mergeCell ref="A1:E1"/>
    <mergeCell ref="B55:E55"/>
    <mergeCell ref="B24:E24"/>
    <mergeCell ref="B5:E5"/>
    <mergeCell ref="B20:E20"/>
    <mergeCell ref="B51:E51"/>
    <mergeCell ref="B36:E36"/>
    <mergeCell ref="B32:E32"/>
    <mergeCell ref="B45:E45"/>
    <mergeCell ref="B26:E26"/>
    <mergeCell ref="B41:E41"/>
    <mergeCell ref="B63:E63"/>
    <mergeCell ref="A69:E69"/>
    <mergeCell ref="B35:E35"/>
    <mergeCell ref="B4:E4"/>
    <mergeCell ref="B50:E50"/>
    <mergeCell ref="B16:E16"/>
    <mergeCell ref="B54:E54"/>
    <mergeCell ref="B62:E62"/>
    <mergeCell ref="B7:E7"/>
    <mergeCell ref="B25:E25"/>
    <mergeCell ref="B72:E72"/>
    <mergeCell ref="B59:E59"/>
    <mergeCell ref="B46:E46"/>
    <mergeCell ref="B66:E66"/>
    <mergeCell ref="A3:E3"/>
    <mergeCell ref="B31:E31"/>
    <mergeCell ref="B18:E18"/>
    <mergeCell ref="B27:E27"/>
    <mergeCell ref="B56:E56"/>
    <mergeCell ref="B71:E71"/>
    <mergeCell ref="A2:E2"/>
    <mergeCell ref="B43:E43"/>
    <mergeCell ref="B52:E52"/>
    <mergeCell ref="B70:E70"/>
    <mergeCell ref="B39:E39"/>
    <mergeCell ref="B11:E11"/>
    <mergeCell ref="A14:E14"/>
    <mergeCell ref="A22:E22"/>
    <mergeCell ref="B42:E42"/>
    <mergeCell ref="B60:E60"/>
    <mergeCell ref="B17:E17"/>
    <mergeCell ref="B23:E23"/>
    <mergeCell ref="B61:E61"/>
    <mergeCell ref="B8:E8"/>
    <mergeCell ref="A38:E38"/>
    <mergeCell ref="B53:E53"/>
    <mergeCell ref="B44:E44"/>
    <mergeCell ref="B19:E19"/>
    <mergeCell ref="B34:E34"/>
    <mergeCell ref="B10:E10"/>
    <mergeCell ref="B28:E28"/>
  </mergeCells>
  <dataValidations count="6">
    <dataValidation sqref="B11" showDropDown="0" showInputMessage="0" showErrorMessage="0" allowBlank="1" type="list">
      <formula1>"Draft,Final,Requires Remediation,Re-assessment Required"</formula1>
    </dataValidation>
    <dataValidation sqref="B44" showDropDown="0" showInputMessage="0" showErrorMessage="0" allowBlank="1" type="list">
      <formula1>"Compliant,Partially Compliant,Non-Compliant"</formula1>
    </dataValidation>
    <dataValidation sqref="B45" showDropDown="0" showInputMessage="0" showErrorMessage="0" allowBlank="1" type="list">
      <formula1>"Approved,Approved with SCCs,Requires TIA,Rejected"</formula1>
    </dataValidation>
    <dataValidation sqref="B54" showDropDown="0" showInputMessage="0" showErrorMessage="0" allowBlank="1" type="list">
      <formula1>"Approved,Conditionally Approved,Rejected"</formula1>
    </dataValidation>
    <dataValidation sqref="B55" showDropDown="0" showInputMessage="0" showErrorMessage="0" allowBlank="1" type="list">
      <formula1>"Acceptable,Requires Mitigation,Unacceptable"</formula1>
    </dataValidation>
    <dataValidation sqref="B66" showDropDown="0" showInputMessage="0" showErrorMessage="0" allowBlank="1" type="list">
      <formula1>"Approved,Approved with Conditions,Rejected - Remediation Required,Deferred"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2026-02-20T09:05:05Z</dcterms:created>
  <dcterms:modified xsi:type="dcterms:W3CDTF">2026-02-20T09:05:06Z</dcterms:modified>
</cp:coreProperties>
</file>