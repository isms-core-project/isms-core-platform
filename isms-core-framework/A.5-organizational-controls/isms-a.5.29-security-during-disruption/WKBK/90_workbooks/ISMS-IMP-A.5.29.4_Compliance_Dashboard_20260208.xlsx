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_Dashboard" sheetId="1" state="visible" r:id="rId1"/>
    <sheet xmlns:r="http://schemas.openxmlformats.org/officeDocument/2006/relationships" name="BCDR_Security_Status" sheetId="2" state="visible" r:id="rId2"/>
    <sheet xmlns:r="http://schemas.openxmlformats.org/officeDocument/2006/relationships" name="Emergency_Access_Status" sheetId="3" state="visible" r:id="rId3"/>
    <sheet xmlns:r="http://schemas.openxmlformats.org/officeDocument/2006/relationships" name="Personnel_Status" sheetId="4" state="visible" r:id="rId4"/>
    <sheet xmlns:r="http://schemas.openxmlformats.org/officeDocument/2006/relationships" name="Security_Debt_Status" sheetId="5" state="visible" r:id="rId5"/>
    <sheet xmlns:r="http://schemas.openxmlformats.org/officeDocument/2006/relationships" name="Disruption_History" sheetId="6" state="visible" r:id="rId6"/>
    <sheet xmlns:r="http://schemas.openxmlformats.org/officeDocument/2006/relationships" name="Trend_Analysis" sheetId="7" state="visible" r:id="rId7"/>
    <sheet xmlns:r="http://schemas.openxmlformats.org/officeDocument/2006/relationships" name="Data_Sources" sheetId="8" state="visible" r:id="rId8"/>
    <sheet xmlns:r="http://schemas.openxmlformats.org/officeDocument/2006/relationships" name="Instructions" sheetId="9" state="visible" r:id="rId9"/>
    <sheet xmlns:r="http://schemas.openxmlformats.org/officeDocument/2006/relationships" name="Approval_SignOff" sheetId="10" state="visible" r:id="rId10"/>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8"/>
    </font>
    <font>
      <b val="1"/>
      <sz val="14"/>
    </font>
    <font>
      <name val="Calibri"/>
      <b val="1"/>
      <color rgb="00228B22"/>
      <sz val="48"/>
    </font>
    <font>
      <b val="1"/>
      <sz val="12"/>
    </font>
    <font>
      <name val="Calibri"/>
      <b val="1"/>
      <color rgb="00FFFFFF"/>
      <sz val="14"/>
    </font>
    <font>
      <b val="1"/>
    </font>
    <font>
      <name val="Calibri"/>
      <b val="1"/>
      <sz val="10"/>
    </font>
    <font>
      <b val="1"/>
      <color rgb="00FFFFFF"/>
      <sz val="11"/>
    </font>
  </fonts>
  <fills count="8">
    <fill>
      <patternFill/>
    </fill>
    <fill>
      <patternFill patternType="gray125"/>
    </fill>
    <fill>
      <patternFill patternType="solid">
        <fgColor rgb="00003366"/>
        <bgColor rgb="00003366"/>
      </patternFill>
    </fill>
    <fill>
      <patternFill patternType="solid">
        <fgColor rgb="00C6EFCE"/>
        <bgColor rgb="00C6EFCE"/>
      </patternFill>
    </fill>
    <fill>
      <patternFill patternType="solid">
        <fgColor rgb="00FFFFCC"/>
        <bgColor rgb="00FFFFCC"/>
      </patternFill>
    </fill>
    <fill>
      <patternFill patternType="solid">
        <fgColor rgb="00D9D9D9"/>
        <bgColor rgb="00D9D9D9"/>
      </patternFill>
    </fill>
    <fill>
      <patternFill patternType="solid">
        <fgColor rgb="00E2EFDA"/>
        <bgColor rgb="00E2EFDA"/>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4" fillId="0" borderId="0" pivotButton="0" quotePrefix="0" xfId="0"/>
    <xf numFmtId="0" fontId="3" fillId="3" borderId="0" applyAlignment="1" pivotButton="0" quotePrefix="0" xfId="0">
      <alignment horizontal="center" vertical="center"/>
    </xf>
    <xf numFmtId="0" fontId="5" fillId="2" borderId="0" applyAlignment="1" pivotButton="0" quotePrefix="0" xfId="0">
      <alignment horizontal="center" vertical="center" wrapText="1"/>
    </xf>
    <xf numFmtId="0" fontId="6" fillId="0" borderId="0" pivotButton="0" quotePrefix="0" xfId="0"/>
    <xf numFmtId="0" fontId="0" fillId="4" borderId="1" pivotButton="0" quotePrefix="0" xfId="0"/>
    <xf numFmtId="0" fontId="0" fillId="4" borderId="1" applyAlignment="1" pivotButton="0" quotePrefix="0" xfId="0">
      <alignment vertical="top" wrapText="1"/>
    </xf>
    <xf numFmtId="0" fontId="7" fillId="5" borderId="1" applyAlignment="1" pivotButton="0" quotePrefix="0" xfId="0">
      <alignment horizontal="center" vertical="center" wrapText="1"/>
    </xf>
    <xf numFmtId="0" fontId="0" fillId="6" borderId="1" pivotButton="0" quotePrefix="0" xfId="0"/>
    <xf numFmtId="9" fontId="0" fillId="6" borderId="1" pivotButton="0" quotePrefix="0" xfId="0"/>
    <xf numFmtId="9" fontId="0" fillId="4" borderId="1" pivotButton="0" quotePrefix="0" xfId="0"/>
    <xf numFmtId="0" fontId="0" fillId="0" borderId="1" pivotButton="0" quotePrefix="0" xfId="0"/>
    <xf numFmtId="0" fontId="0" fillId="4" borderId="0" pivotButton="0" quotePrefix="0" xfId="0"/>
    <xf numFmtId="0" fontId="8" fillId="7" borderId="0" applyAlignment="1" pivotButton="0" quotePrefix="0" xfId="0">
      <alignment horizontal="center" vertical="center"/>
    </xf>
    <xf numFmtId="0" fontId="8"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5" customWidth="1" min="1" max="1"/>
    <col width="15" customWidth="1" min="2" max="2"/>
    <col width="25" customWidth="1" min="3" max="3"/>
    <col width="15" customWidth="1" min="4" max="4"/>
    <col width="20" customWidth="1" min="5" max="5"/>
    <col width="15" customWidth="1" min="6" max="6"/>
  </cols>
  <sheetData>
    <row r="1" ht="45" customHeight="1">
      <c r="A1" s="1" t="inlineStr">
        <is>
          <t>A.5.29 INFORMATION SECURITY DURING DISRUPTION - EXECUTIVE DASHBOARD</t>
        </is>
      </c>
    </row>
    <row r="3">
      <c r="A3" s="2" t="inlineStr">
        <is>
          <t>Overall Compliance Score</t>
        </is>
      </c>
      <c r="C3" s="3" t="inlineStr">
        <is>
          <t>Dashboard Period</t>
        </is>
      </c>
    </row>
    <row r="4">
      <c r="A4" s="4" t="inlineStr">
        <is>
          <t>85%</t>
        </is>
      </c>
      <c r="C4" t="inlineStr">
        <is>
          <t>Generated: 08.02.2026</t>
        </is>
      </c>
    </row>
    <row r="5"/>
    <row r="6"/>
    <row r="8">
      <c r="A8" s="5" t="inlineStr">
        <is>
          <t>KEY METRICS</t>
        </is>
      </c>
    </row>
    <row r="9">
      <c r="A9" s="6" t="inlineStr">
        <is>
          <t>BC/DR Plans with CISO Approval</t>
        </is>
      </c>
      <c r="C9" t="inlineStr">
        <is>
          <t>Target: 100%</t>
        </is>
      </c>
      <c r="E9" s="7" t="inlineStr"/>
    </row>
    <row r="10">
      <c r="A10" s="6" t="inlineStr">
        <is>
          <t>Emergency Access Tests Completed</t>
        </is>
      </c>
      <c r="C10" t="inlineStr">
        <is>
          <t>Target: 100% annually</t>
        </is>
      </c>
      <c r="E10" s="7" t="inlineStr"/>
    </row>
    <row r="11">
      <c r="A11" s="6" t="inlineStr">
        <is>
          <t>Security Personnel Availability</t>
        </is>
      </c>
      <c r="C11" t="inlineStr">
        <is>
          <t>Target: 100% reachable within 1h</t>
        </is>
      </c>
      <c r="E11" s="7" t="inlineStr"/>
    </row>
    <row r="12">
      <c r="A12" s="6" t="inlineStr">
        <is>
          <t>Security Debt Items &gt;90 Days</t>
        </is>
      </c>
      <c r="C12" t="inlineStr">
        <is>
          <t>Target: 0</t>
        </is>
      </c>
      <c r="E12" s="7" t="inlineStr"/>
    </row>
    <row r="13">
      <c r="A13" s="6" t="inlineStr">
        <is>
          <t>Recovery Site Security Findings</t>
        </is>
      </c>
      <c r="C13" t="inlineStr">
        <is>
          <t>Target: 0 critical/high</t>
        </is>
      </c>
      <c r="E13" s="7" t="inlineStr"/>
    </row>
    <row r="16">
      <c r="A16" s="5" t="inlineStr">
        <is>
          <t>CURRENT ISSUES &amp; ALERTS</t>
        </is>
      </c>
    </row>
    <row r="17">
      <c r="A17" s="6" t="inlineStr">
        <is>
          <t>Issue Description</t>
        </is>
      </c>
      <c r="D17" s="6" t="inlineStr">
        <is>
          <t>Status</t>
        </is>
      </c>
      <c r="E17" s="6" t="inlineStr">
        <is>
          <t>Owner</t>
        </is>
      </c>
    </row>
    <row r="18">
      <c r="A18" s="7" t="n"/>
      <c r="D18" s="7" t="n"/>
      <c r="E18" s="7" t="n"/>
    </row>
    <row r="19">
      <c r="A19" s="7" t="n"/>
      <c r="D19" s="7" t="n"/>
      <c r="E19" s="7" t="n"/>
    </row>
    <row r="20">
      <c r="A20" s="7" t="n"/>
      <c r="D20" s="7" t="n"/>
      <c r="E20" s="7" t="n"/>
    </row>
    <row r="21">
      <c r="A21" s="7" t="n"/>
      <c r="D21" s="7" t="n"/>
      <c r="E21" s="7" t="n"/>
    </row>
    <row r="22">
      <c r="A22" s="7" t="n"/>
      <c r="D22" s="7" t="n"/>
      <c r="E22" s="7" t="n"/>
    </row>
    <row r="24">
      <c r="A24" s="5" t="inlineStr">
        <is>
          <t>CISO COMMENTARY</t>
        </is>
      </c>
    </row>
    <row r="25" ht="80" customHeight="1">
      <c r="A25" s="8" t="n"/>
    </row>
    <row r="26"/>
    <row r="27"/>
    <row r="28"/>
    <row r="29"/>
  </sheetData>
  <mergeCells count="9">
    <mergeCell ref="A24:F24"/>
    <mergeCell ref="A16:F16"/>
    <mergeCell ref="C3:F3"/>
    <mergeCell ref="C4:F4"/>
    <mergeCell ref="A1:F1"/>
    <mergeCell ref="A8:F8"/>
    <mergeCell ref="A4:B6"/>
    <mergeCell ref="A25:F29"/>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35" customWidth="1" min="2" max="2"/>
    <col width="18" customWidth="1" min="3" max="3"/>
    <col width="25" customWidth="1" min="4" max="4"/>
    <col width="15" customWidth="1" min="5" max="5"/>
    <col width="15" customWidth="1" min="6" max="6"/>
    <col width="16" customWidth="1" min="7" max="7"/>
    <col width="16" customWidth="1" min="8" max="8"/>
    <col width="15" customWidth="1" min="9" max="9"/>
    <col width="12" customWidth="1" min="10" max="10"/>
  </cols>
  <sheetData>
    <row r="1" ht="30" customHeight="1">
      <c r="A1" s="5" t="inlineStr">
        <is>
          <t>BC/DR SECURITY STATUS</t>
        </is>
      </c>
    </row>
    <row r="3">
      <c r="A3" s="9" t="inlineStr">
        <is>
          <t>Plan_ID</t>
        </is>
      </c>
      <c r="B3" s="9" t="inlineStr">
        <is>
          <t>Plan_Name</t>
        </is>
      </c>
      <c r="C3" s="9" t="inlineStr">
        <is>
          <t>Plan_Type</t>
        </is>
      </c>
      <c r="D3" s="9" t="inlineStr">
        <is>
          <t>Plan_Owner</t>
        </is>
      </c>
      <c r="E3" s="9" t="inlineStr">
        <is>
          <t>Security_Section</t>
        </is>
      </c>
      <c r="F3" s="9" t="inlineStr">
        <is>
          <t>CISO_Approved</t>
        </is>
      </c>
      <c r="G3" s="9" t="inlineStr">
        <is>
          <t>Approval_Date</t>
        </is>
      </c>
      <c r="H3" s="9" t="inlineStr">
        <is>
          <t>Next_Review</t>
        </is>
      </c>
      <c r="I3" s="9" t="inlineStr">
        <is>
          <t>Review_Overdue</t>
        </is>
      </c>
      <c r="J3" s="9" t="inlineStr">
        <is>
          <t>Status</t>
        </is>
      </c>
    </row>
    <row r="4">
      <c r="A4" s="7" t="n"/>
      <c r="B4" s="7" t="n"/>
      <c r="C4" s="7" t="n"/>
      <c r="D4" s="7" t="n"/>
      <c r="E4" s="7" t="n"/>
      <c r="F4" s="7" t="n"/>
      <c r="G4" s="7" t="n"/>
      <c r="H4" s="7" t="n"/>
      <c r="I4" s="10">
        <f>IF(H4&lt;&gt;"",IF(H4&lt;TODAY(),"Yes","No"),"")</f>
        <v/>
      </c>
      <c r="J4" s="7" t="n"/>
    </row>
    <row r="5">
      <c r="A5" s="7" t="n"/>
      <c r="B5" s="7" t="n"/>
      <c r="C5" s="7" t="n"/>
      <c r="D5" s="7" t="n"/>
      <c r="E5" s="7" t="n"/>
      <c r="F5" s="7" t="n"/>
      <c r="G5" s="7" t="n"/>
      <c r="H5" s="7" t="n"/>
      <c r="I5" s="10">
        <f>IF(H5&lt;&gt;"",IF(H5&lt;TODAY(),"Yes","No"),"")</f>
        <v/>
      </c>
      <c r="J5" s="7" t="n"/>
    </row>
    <row r="6">
      <c r="A6" s="7" t="n"/>
      <c r="B6" s="7" t="n"/>
      <c r="C6" s="7" t="n"/>
      <c r="D6" s="7" t="n"/>
      <c r="E6" s="7" t="n"/>
      <c r="F6" s="7" t="n"/>
      <c r="G6" s="7" t="n"/>
      <c r="H6" s="7" t="n"/>
      <c r="I6" s="10">
        <f>IF(H6&lt;&gt;"",IF(H6&lt;TODAY(),"Yes","No"),"")</f>
        <v/>
      </c>
      <c r="J6" s="7" t="n"/>
    </row>
    <row r="7">
      <c r="A7" s="7" t="n"/>
      <c r="B7" s="7" t="n"/>
      <c r="C7" s="7" t="n"/>
      <c r="D7" s="7" t="n"/>
      <c r="E7" s="7" t="n"/>
      <c r="F7" s="7" t="n"/>
      <c r="G7" s="7" t="n"/>
      <c r="H7" s="7" t="n"/>
      <c r="I7" s="10">
        <f>IF(H7&lt;&gt;"",IF(H7&lt;TODAY(),"Yes","No"),"")</f>
        <v/>
      </c>
      <c r="J7" s="7" t="n"/>
    </row>
    <row r="8">
      <c r="A8" s="7" t="n"/>
      <c r="B8" s="7" t="n"/>
      <c r="C8" s="7" t="n"/>
      <c r="D8" s="7" t="n"/>
      <c r="E8" s="7" t="n"/>
      <c r="F8" s="7" t="n"/>
      <c r="G8" s="7" t="n"/>
      <c r="H8" s="7" t="n"/>
      <c r="I8" s="10">
        <f>IF(H8&lt;&gt;"",IF(H8&lt;TODAY(),"Yes","No"),"")</f>
        <v/>
      </c>
      <c r="J8" s="7" t="n"/>
    </row>
    <row r="9">
      <c r="A9" s="7" t="n"/>
      <c r="B9" s="7" t="n"/>
      <c r="C9" s="7" t="n"/>
      <c r="D9" s="7" t="n"/>
      <c r="E9" s="7" t="n"/>
      <c r="F9" s="7" t="n"/>
      <c r="G9" s="7" t="n"/>
      <c r="H9" s="7" t="n"/>
      <c r="I9" s="10">
        <f>IF(H9&lt;&gt;"",IF(H9&lt;TODAY(),"Yes","No"),"")</f>
        <v/>
      </c>
      <c r="J9" s="7" t="n"/>
    </row>
    <row r="10">
      <c r="A10" s="7" t="n"/>
      <c r="B10" s="7" t="n"/>
      <c r="C10" s="7" t="n"/>
      <c r="D10" s="7" t="n"/>
      <c r="E10" s="7" t="n"/>
      <c r="F10" s="7" t="n"/>
      <c r="G10" s="7" t="n"/>
      <c r="H10" s="7" t="n"/>
      <c r="I10" s="10">
        <f>IF(H10&lt;&gt;"",IF(H10&lt;TODAY(),"Yes","No"),"")</f>
        <v/>
      </c>
      <c r="J10" s="7" t="n"/>
    </row>
    <row r="11">
      <c r="A11" s="7" t="n"/>
      <c r="B11" s="7" t="n"/>
      <c r="C11" s="7" t="n"/>
      <c r="D11" s="7" t="n"/>
      <c r="E11" s="7" t="n"/>
      <c r="F11" s="7" t="n"/>
      <c r="G11" s="7" t="n"/>
      <c r="H11" s="7" t="n"/>
      <c r="I11" s="10">
        <f>IF(H11&lt;&gt;"",IF(H11&lt;TODAY(),"Yes","No"),"")</f>
        <v/>
      </c>
      <c r="J11" s="7" t="n"/>
    </row>
    <row r="12">
      <c r="A12" s="7" t="n"/>
      <c r="B12" s="7" t="n"/>
      <c r="C12" s="7" t="n"/>
      <c r="D12" s="7" t="n"/>
      <c r="E12" s="7" t="n"/>
      <c r="F12" s="7" t="n"/>
      <c r="G12" s="7" t="n"/>
      <c r="H12" s="7" t="n"/>
      <c r="I12" s="10">
        <f>IF(H12&lt;&gt;"",IF(H12&lt;TODAY(),"Yes","No"),"")</f>
        <v/>
      </c>
      <c r="J12" s="7" t="n"/>
    </row>
    <row r="13">
      <c r="A13" s="7" t="n"/>
      <c r="B13" s="7" t="n"/>
      <c r="C13" s="7" t="n"/>
      <c r="D13" s="7" t="n"/>
      <c r="E13" s="7" t="n"/>
      <c r="F13" s="7" t="n"/>
      <c r="G13" s="7" t="n"/>
      <c r="H13" s="7" t="n"/>
      <c r="I13" s="10">
        <f>IF(H13&lt;&gt;"",IF(H13&lt;TODAY(),"Yes","No"),"")</f>
        <v/>
      </c>
      <c r="J13" s="7" t="n"/>
    </row>
    <row r="14">
      <c r="A14" s="7" t="n"/>
      <c r="B14" s="7" t="n"/>
      <c r="C14" s="7" t="n"/>
      <c r="D14" s="7" t="n"/>
      <c r="E14" s="7" t="n"/>
      <c r="F14" s="7" t="n"/>
      <c r="G14" s="7" t="n"/>
      <c r="H14" s="7" t="n"/>
      <c r="I14" s="10">
        <f>IF(H14&lt;&gt;"",IF(H14&lt;TODAY(),"Yes","No"),"")</f>
        <v/>
      </c>
      <c r="J14" s="7" t="n"/>
    </row>
    <row r="15">
      <c r="A15" s="7" t="n"/>
      <c r="B15" s="7" t="n"/>
      <c r="C15" s="7" t="n"/>
      <c r="D15" s="7" t="n"/>
      <c r="E15" s="7" t="n"/>
      <c r="F15" s="7" t="n"/>
      <c r="G15" s="7" t="n"/>
      <c r="H15" s="7" t="n"/>
      <c r="I15" s="10">
        <f>IF(H15&lt;&gt;"",IF(H15&lt;TODAY(),"Yes","No"),"")</f>
        <v/>
      </c>
      <c r="J15" s="7" t="n"/>
    </row>
    <row r="16">
      <c r="A16" s="7" t="n"/>
      <c r="B16" s="7" t="n"/>
      <c r="C16" s="7" t="n"/>
      <c r="D16" s="7" t="n"/>
      <c r="E16" s="7" t="n"/>
      <c r="F16" s="7" t="n"/>
      <c r="G16" s="7" t="n"/>
      <c r="H16" s="7" t="n"/>
      <c r="I16" s="10">
        <f>IF(H16&lt;&gt;"",IF(H16&lt;TODAY(),"Yes","No"),"")</f>
        <v/>
      </c>
      <c r="J16" s="7" t="n"/>
    </row>
    <row r="17">
      <c r="A17" s="7" t="n"/>
      <c r="B17" s="7" t="n"/>
      <c r="C17" s="7" t="n"/>
      <c r="D17" s="7" t="n"/>
      <c r="E17" s="7" t="n"/>
      <c r="F17" s="7" t="n"/>
      <c r="G17" s="7" t="n"/>
      <c r="H17" s="7" t="n"/>
      <c r="I17" s="10">
        <f>IF(H17&lt;&gt;"",IF(H17&lt;TODAY(),"Yes","No"),"")</f>
        <v/>
      </c>
      <c r="J17" s="7" t="n"/>
    </row>
    <row r="18">
      <c r="A18" s="7" t="n"/>
      <c r="B18" s="7" t="n"/>
      <c r="C18" s="7" t="n"/>
      <c r="D18" s="7" t="n"/>
      <c r="E18" s="7" t="n"/>
      <c r="F18" s="7" t="n"/>
      <c r="G18" s="7" t="n"/>
      <c r="H18" s="7" t="n"/>
      <c r="I18" s="10">
        <f>IF(H18&lt;&gt;"",IF(H18&lt;TODAY(),"Yes","No"),"")</f>
        <v/>
      </c>
      <c r="J18" s="7" t="n"/>
    </row>
    <row r="19">
      <c r="A19" s="7" t="n"/>
      <c r="B19" s="7" t="n"/>
      <c r="C19" s="7" t="n"/>
      <c r="D19" s="7" t="n"/>
      <c r="E19" s="7" t="n"/>
      <c r="F19" s="7" t="n"/>
      <c r="G19" s="7" t="n"/>
      <c r="H19" s="7" t="n"/>
      <c r="I19" s="10">
        <f>IF(H19&lt;&gt;"",IF(H19&lt;TODAY(),"Yes","No"),"")</f>
        <v/>
      </c>
      <c r="J19" s="7" t="n"/>
    </row>
    <row r="20">
      <c r="A20" s="7" t="n"/>
      <c r="B20" s="7" t="n"/>
      <c r="C20" s="7" t="n"/>
      <c r="D20" s="7" t="n"/>
      <c r="E20" s="7" t="n"/>
      <c r="F20" s="7" t="n"/>
      <c r="G20" s="7" t="n"/>
      <c r="H20" s="7" t="n"/>
      <c r="I20" s="10">
        <f>IF(H20&lt;&gt;"",IF(H20&lt;TODAY(),"Yes","No"),"")</f>
        <v/>
      </c>
      <c r="J20" s="7" t="n"/>
    </row>
    <row r="21">
      <c r="A21" s="7" t="n"/>
      <c r="B21" s="7" t="n"/>
      <c r="C21" s="7" t="n"/>
      <c r="D21" s="7" t="n"/>
      <c r="E21" s="7" t="n"/>
      <c r="F21" s="7" t="n"/>
      <c r="G21" s="7" t="n"/>
      <c r="H21" s="7" t="n"/>
      <c r="I21" s="10">
        <f>IF(H21&lt;&gt;"",IF(H21&lt;TODAY(),"Yes","No"),"")</f>
        <v/>
      </c>
      <c r="J21" s="7" t="n"/>
    </row>
    <row r="22">
      <c r="A22" s="7" t="n"/>
      <c r="B22" s="7" t="n"/>
      <c r="C22" s="7" t="n"/>
      <c r="D22" s="7" t="n"/>
      <c r="E22" s="7" t="n"/>
      <c r="F22" s="7" t="n"/>
      <c r="G22" s="7" t="n"/>
      <c r="H22" s="7" t="n"/>
      <c r="I22" s="10">
        <f>IF(H22&lt;&gt;"",IF(H22&lt;TODAY(),"Yes","No"),"")</f>
        <v/>
      </c>
      <c r="J22" s="7" t="n"/>
    </row>
    <row r="23">
      <c r="A23" s="7" t="n"/>
      <c r="B23" s="7" t="n"/>
      <c r="C23" s="7" t="n"/>
      <c r="D23" s="7" t="n"/>
      <c r="E23" s="7" t="n"/>
      <c r="F23" s="7" t="n"/>
      <c r="G23" s="7" t="n"/>
      <c r="H23" s="7" t="n"/>
      <c r="I23" s="10">
        <f>IF(H23&lt;&gt;"",IF(H23&lt;TODAY(),"Yes","No"),"")</f>
        <v/>
      </c>
      <c r="J23" s="7" t="n"/>
    </row>
    <row r="24">
      <c r="A24" s="7" t="n"/>
      <c r="B24" s="7" t="n"/>
      <c r="C24" s="7" t="n"/>
      <c r="D24" s="7" t="n"/>
      <c r="E24" s="7" t="n"/>
      <c r="F24" s="7" t="n"/>
      <c r="G24" s="7" t="n"/>
      <c r="H24" s="7" t="n"/>
      <c r="I24" s="10">
        <f>IF(H24&lt;&gt;"",IF(H24&lt;TODAY(),"Yes","No"),"")</f>
        <v/>
      </c>
      <c r="J24" s="7" t="n"/>
    </row>
    <row r="25">
      <c r="A25" s="7" t="n"/>
      <c r="B25" s="7" t="n"/>
      <c r="C25" s="7" t="n"/>
      <c r="D25" s="7" t="n"/>
      <c r="E25" s="7" t="n"/>
      <c r="F25" s="7" t="n"/>
      <c r="G25" s="7" t="n"/>
      <c r="H25" s="7" t="n"/>
      <c r="I25" s="10">
        <f>IF(H25&lt;&gt;"",IF(H25&lt;TODAY(),"Yes","No"),"")</f>
        <v/>
      </c>
      <c r="J25" s="7" t="n"/>
    </row>
    <row r="26">
      <c r="A26" s="7" t="n"/>
      <c r="B26" s="7" t="n"/>
      <c r="C26" s="7" t="n"/>
      <c r="D26" s="7" t="n"/>
      <c r="E26" s="7" t="n"/>
      <c r="F26" s="7" t="n"/>
      <c r="G26" s="7" t="n"/>
      <c r="H26" s="7" t="n"/>
      <c r="I26" s="10">
        <f>IF(H26&lt;&gt;"",IF(H26&lt;TODAY(),"Yes","No"),"")</f>
        <v/>
      </c>
      <c r="J26" s="7" t="n"/>
    </row>
    <row r="27">
      <c r="A27" s="7" t="n"/>
      <c r="B27" s="7" t="n"/>
      <c r="C27" s="7" t="n"/>
      <c r="D27" s="7" t="n"/>
      <c r="E27" s="7" t="n"/>
      <c r="F27" s="7" t="n"/>
      <c r="G27" s="7" t="n"/>
      <c r="H27" s="7" t="n"/>
      <c r="I27" s="10">
        <f>IF(H27&lt;&gt;"",IF(H27&lt;TODAY(),"Yes","No"),"")</f>
        <v/>
      </c>
      <c r="J27" s="7" t="n"/>
    </row>
    <row r="28">
      <c r="A28" s="7" t="n"/>
      <c r="B28" s="7" t="n"/>
      <c r="C28" s="7" t="n"/>
      <c r="D28" s="7" t="n"/>
      <c r="E28" s="7" t="n"/>
      <c r="F28" s="7" t="n"/>
      <c r="G28" s="7" t="n"/>
      <c r="H28" s="7" t="n"/>
      <c r="I28" s="10">
        <f>IF(H28&lt;&gt;"",IF(H28&lt;TODAY(),"Yes","No"),"")</f>
        <v/>
      </c>
      <c r="J28" s="7" t="n"/>
    </row>
    <row r="29">
      <c r="A29" s="7" t="n"/>
      <c r="B29" s="7" t="n"/>
      <c r="C29" s="7" t="n"/>
      <c r="D29" s="7" t="n"/>
      <c r="E29" s="7" t="n"/>
      <c r="F29" s="7" t="n"/>
      <c r="G29" s="7" t="n"/>
      <c r="H29" s="7" t="n"/>
      <c r="I29" s="10">
        <f>IF(H29&lt;&gt;"",IF(H29&lt;TODAY(),"Yes","No"),"")</f>
        <v/>
      </c>
      <c r="J29" s="7" t="n"/>
    </row>
    <row r="30">
      <c r="A30" s="7" t="n"/>
      <c r="B30" s="7" t="n"/>
      <c r="C30" s="7" t="n"/>
      <c r="D30" s="7" t="n"/>
      <c r="E30" s="7" t="n"/>
      <c r="F30" s="7" t="n"/>
      <c r="G30" s="7" t="n"/>
      <c r="H30" s="7" t="n"/>
      <c r="I30" s="10">
        <f>IF(H30&lt;&gt;"",IF(H30&lt;TODAY(),"Yes","No"),"")</f>
        <v/>
      </c>
      <c r="J30" s="7" t="n"/>
    </row>
    <row r="31">
      <c r="A31" s="7" t="n"/>
      <c r="B31" s="7" t="n"/>
      <c r="C31" s="7" t="n"/>
      <c r="D31" s="7" t="n"/>
      <c r="E31" s="7" t="n"/>
      <c r="F31" s="7" t="n"/>
      <c r="G31" s="7" t="n"/>
      <c r="H31" s="7" t="n"/>
      <c r="I31" s="10">
        <f>IF(H31&lt;&gt;"",IF(H31&lt;TODAY(),"Yes","No"),"")</f>
        <v/>
      </c>
      <c r="J31" s="7" t="n"/>
    </row>
    <row r="32">
      <c r="A32" s="7" t="n"/>
      <c r="B32" s="7" t="n"/>
      <c r="C32" s="7" t="n"/>
      <c r="D32" s="7" t="n"/>
      <c r="E32" s="7" t="n"/>
      <c r="F32" s="7" t="n"/>
      <c r="G32" s="7" t="n"/>
      <c r="H32" s="7" t="n"/>
      <c r="I32" s="10">
        <f>IF(H32&lt;&gt;"",IF(H32&lt;TODAY(),"Yes","No"),"")</f>
        <v/>
      </c>
      <c r="J32" s="7" t="n"/>
    </row>
    <row r="33">
      <c r="A33" s="7" t="n"/>
      <c r="B33" s="7" t="n"/>
      <c r="C33" s="7" t="n"/>
      <c r="D33" s="7" t="n"/>
      <c r="E33" s="7" t="n"/>
      <c r="F33" s="7" t="n"/>
      <c r="G33" s="7" t="n"/>
      <c r="H33" s="7" t="n"/>
      <c r="I33" s="10">
        <f>IF(H33&lt;&gt;"",IF(H33&lt;TODAY(),"Yes","No"),"")</f>
        <v/>
      </c>
      <c r="J33" s="7" t="n"/>
    </row>
  </sheetData>
  <mergeCells count="1">
    <mergeCell ref="A1:J1"/>
  </mergeCells>
  <dataValidations count="2">
    <dataValidation sqref="E4 E5 E6 E7 E8 E9 E10 E11 E12 E13 E14 E15 E16 E17 E18 E19 E20 E21 E22 E23 E24 E25 E26 E27 E28 E29 E30 E31 E32 E33" showDropDown="0" showInputMessage="0" showErrorMessage="0" allowBlank="0" type="list">
      <formula1>"Yes,No,Partial"</formula1>
    </dataValidation>
    <dataValidation sqref="F4 F5 F6 F7 F8 F9 F10 F11 F12 F13 F14 F15 F16 F17 F18 F19 F20 F21 F22 F23 F24 F25 F26 F27 F28 F29 F30 F31 F32 F33" showDropDown="0" showInputMessage="0" showErrorMessage="0" allowBlank="0" type="list">
      <formula1>"Yes,No,Pending"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25" customWidth="1" min="2" max="2"/>
    <col width="20" customWidth="1" min="3" max="3"/>
    <col width="16" customWidth="1" min="4" max="4"/>
    <col width="16" customWidth="1" min="5" max="5"/>
    <col width="15" customWidth="1" min="6" max="6"/>
    <col width="15" customWidth="1" min="7" max="7"/>
    <col width="15" customWidth="1" min="8" max="8"/>
    <col width="15" customWidth="1" min="9" max="9"/>
    <col width="15" customWidth="1" min="10" max="10"/>
  </cols>
  <sheetData>
    <row r="1" ht="30" customHeight="1">
      <c r="A1" s="5" t="inlineStr">
        <is>
          <t>EMERGENCY ACCESS STATUS</t>
        </is>
      </c>
    </row>
    <row r="3">
      <c r="A3" s="9" t="inlineStr">
        <is>
          <t>Account_ID</t>
        </is>
      </c>
      <c r="B3" s="9" t="inlineStr">
        <is>
          <t>Account_Name</t>
        </is>
      </c>
      <c r="C3" s="9" t="inlineStr">
        <is>
          <t>Account_Type</t>
        </is>
      </c>
      <c r="D3" s="9" t="inlineStr">
        <is>
          <t>Last_Test_Date</t>
        </is>
      </c>
      <c r="E3" s="9" t="inlineStr">
        <is>
          <t>Test_Required_By</t>
        </is>
      </c>
      <c r="F3" s="9" t="inlineStr">
        <is>
          <t>Test_Status</t>
        </is>
      </c>
      <c r="G3" s="9" t="inlineStr">
        <is>
          <t>Current_Status</t>
        </is>
      </c>
      <c r="H3" s="9" t="inlineStr">
        <is>
          <t>Credential_Current</t>
        </is>
      </c>
      <c r="I3" s="9" t="inlineStr">
        <is>
          <t>Logging_Verified</t>
        </is>
      </c>
      <c r="J3" s="9" t="inlineStr">
        <is>
          <t>Readiness_Score</t>
        </is>
      </c>
    </row>
    <row r="4">
      <c r="A4" s="7" t="n"/>
      <c r="B4" s="7" t="n"/>
      <c r="C4" s="7" t="n"/>
      <c r="D4" s="7" t="n"/>
      <c r="E4" s="10">
        <f>IF(D4&lt;&gt;"",DATE(YEAR(D4)+1,MONTH(D4),DAY(D4)),"")</f>
        <v/>
      </c>
      <c r="F4" s="10">
        <f>IF(E4&lt;&gt;"",IF(E4&lt;TODAY(),"Overdue","Current"),"")</f>
        <v/>
      </c>
      <c r="G4" s="7" t="n"/>
      <c r="H4" s="7" t="n"/>
      <c r="I4" s="7" t="n"/>
      <c r="J4" s="10">
        <f>IF(A4&lt;&gt;"",(IF(F4="Current",30,0)+IF(G4="Disabled",30,0)+IF(H4="Yes",20,0)+IF(I4="Yes",20,0)),"")</f>
        <v/>
      </c>
    </row>
    <row r="5">
      <c r="A5" s="7" t="n"/>
      <c r="B5" s="7" t="n"/>
      <c r="C5" s="7" t="n"/>
      <c r="D5" s="7" t="n"/>
      <c r="E5" s="10">
        <f>IF(D5&lt;&gt;"",DATE(YEAR(D5)+1,MONTH(D5),DAY(D5)),"")</f>
        <v/>
      </c>
      <c r="F5" s="10">
        <f>IF(E5&lt;&gt;"",IF(E5&lt;TODAY(),"Overdue","Current"),"")</f>
        <v/>
      </c>
      <c r="G5" s="7" t="n"/>
      <c r="H5" s="7" t="n"/>
      <c r="I5" s="7" t="n"/>
      <c r="J5" s="10">
        <f>IF(A5&lt;&gt;"",(IF(F5="Current",30,0)+IF(G5="Disabled",30,0)+IF(H5="Yes",20,0)+IF(I5="Yes",20,0)),"")</f>
        <v/>
      </c>
    </row>
    <row r="6">
      <c r="A6" s="7" t="n"/>
      <c r="B6" s="7" t="n"/>
      <c r="C6" s="7" t="n"/>
      <c r="D6" s="7" t="n"/>
      <c r="E6" s="10">
        <f>IF(D6&lt;&gt;"",DATE(YEAR(D6)+1,MONTH(D6),DAY(D6)),"")</f>
        <v/>
      </c>
      <c r="F6" s="10">
        <f>IF(E6&lt;&gt;"",IF(E6&lt;TODAY(),"Overdue","Current"),"")</f>
        <v/>
      </c>
      <c r="G6" s="7" t="n"/>
      <c r="H6" s="7" t="n"/>
      <c r="I6" s="7" t="n"/>
      <c r="J6" s="10">
        <f>IF(A6&lt;&gt;"",(IF(F6="Current",30,0)+IF(G6="Disabled",30,0)+IF(H6="Yes",20,0)+IF(I6="Yes",20,0)),"")</f>
        <v/>
      </c>
    </row>
    <row r="7">
      <c r="A7" s="7" t="n"/>
      <c r="B7" s="7" t="n"/>
      <c r="C7" s="7" t="n"/>
      <c r="D7" s="7" t="n"/>
      <c r="E7" s="10">
        <f>IF(D7&lt;&gt;"",DATE(YEAR(D7)+1,MONTH(D7),DAY(D7)),"")</f>
        <v/>
      </c>
      <c r="F7" s="10">
        <f>IF(E7&lt;&gt;"",IF(E7&lt;TODAY(),"Overdue","Current"),"")</f>
        <v/>
      </c>
      <c r="G7" s="7" t="n"/>
      <c r="H7" s="7" t="n"/>
      <c r="I7" s="7" t="n"/>
      <c r="J7" s="10">
        <f>IF(A7&lt;&gt;"",(IF(F7="Current",30,0)+IF(G7="Disabled",30,0)+IF(H7="Yes",20,0)+IF(I7="Yes",20,0)),"")</f>
        <v/>
      </c>
    </row>
    <row r="8">
      <c r="A8" s="7" t="n"/>
      <c r="B8" s="7" t="n"/>
      <c r="C8" s="7" t="n"/>
      <c r="D8" s="7" t="n"/>
      <c r="E8" s="10">
        <f>IF(D8&lt;&gt;"",DATE(YEAR(D8)+1,MONTH(D8),DAY(D8)),"")</f>
        <v/>
      </c>
      <c r="F8" s="10">
        <f>IF(E8&lt;&gt;"",IF(E8&lt;TODAY(),"Overdue","Current"),"")</f>
        <v/>
      </c>
      <c r="G8" s="7" t="n"/>
      <c r="H8" s="7" t="n"/>
      <c r="I8" s="7" t="n"/>
      <c r="J8" s="10">
        <f>IF(A8&lt;&gt;"",(IF(F8="Current",30,0)+IF(G8="Disabled",30,0)+IF(H8="Yes",20,0)+IF(I8="Yes",20,0)),"")</f>
        <v/>
      </c>
    </row>
    <row r="9">
      <c r="A9" s="7" t="n"/>
      <c r="B9" s="7" t="n"/>
      <c r="C9" s="7" t="n"/>
      <c r="D9" s="7" t="n"/>
      <c r="E9" s="10">
        <f>IF(D9&lt;&gt;"",DATE(YEAR(D9)+1,MONTH(D9),DAY(D9)),"")</f>
        <v/>
      </c>
      <c r="F9" s="10">
        <f>IF(E9&lt;&gt;"",IF(E9&lt;TODAY(),"Overdue","Current"),"")</f>
        <v/>
      </c>
      <c r="G9" s="7" t="n"/>
      <c r="H9" s="7" t="n"/>
      <c r="I9" s="7" t="n"/>
      <c r="J9" s="10">
        <f>IF(A9&lt;&gt;"",(IF(F9="Current",30,0)+IF(G9="Disabled",30,0)+IF(H9="Yes",20,0)+IF(I9="Yes",20,0)),"")</f>
        <v/>
      </c>
    </row>
    <row r="10">
      <c r="A10" s="7" t="n"/>
      <c r="B10" s="7" t="n"/>
      <c r="C10" s="7" t="n"/>
      <c r="D10" s="7" t="n"/>
      <c r="E10" s="10">
        <f>IF(D10&lt;&gt;"",DATE(YEAR(D10)+1,MONTH(D10),DAY(D10)),"")</f>
        <v/>
      </c>
      <c r="F10" s="10">
        <f>IF(E10&lt;&gt;"",IF(E10&lt;TODAY(),"Overdue","Current"),"")</f>
        <v/>
      </c>
      <c r="G10" s="7" t="n"/>
      <c r="H10" s="7" t="n"/>
      <c r="I10" s="7" t="n"/>
      <c r="J10" s="10">
        <f>IF(A10&lt;&gt;"",(IF(F10="Current",30,0)+IF(G10="Disabled",30,0)+IF(H10="Yes",20,0)+IF(I10="Yes",20,0)),"")</f>
        <v/>
      </c>
    </row>
    <row r="11">
      <c r="A11" s="7" t="n"/>
      <c r="B11" s="7" t="n"/>
      <c r="C11" s="7" t="n"/>
      <c r="D11" s="7" t="n"/>
      <c r="E11" s="10">
        <f>IF(D11&lt;&gt;"",DATE(YEAR(D11)+1,MONTH(D11),DAY(D11)),"")</f>
        <v/>
      </c>
      <c r="F11" s="10">
        <f>IF(E11&lt;&gt;"",IF(E11&lt;TODAY(),"Overdue","Current"),"")</f>
        <v/>
      </c>
      <c r="G11" s="7" t="n"/>
      <c r="H11" s="7" t="n"/>
      <c r="I11" s="7" t="n"/>
      <c r="J11" s="10">
        <f>IF(A11&lt;&gt;"",(IF(F11="Current",30,0)+IF(G11="Disabled",30,0)+IF(H11="Yes",20,0)+IF(I11="Yes",20,0)),"")</f>
        <v/>
      </c>
    </row>
    <row r="12">
      <c r="A12" s="7" t="n"/>
      <c r="B12" s="7" t="n"/>
      <c r="C12" s="7" t="n"/>
      <c r="D12" s="7" t="n"/>
      <c r="E12" s="10">
        <f>IF(D12&lt;&gt;"",DATE(YEAR(D12)+1,MONTH(D12),DAY(D12)),"")</f>
        <v/>
      </c>
      <c r="F12" s="10">
        <f>IF(E12&lt;&gt;"",IF(E12&lt;TODAY(),"Overdue","Current"),"")</f>
        <v/>
      </c>
      <c r="G12" s="7" t="n"/>
      <c r="H12" s="7" t="n"/>
      <c r="I12" s="7" t="n"/>
      <c r="J12" s="10">
        <f>IF(A12&lt;&gt;"",(IF(F12="Current",30,0)+IF(G12="Disabled",30,0)+IF(H12="Yes",20,0)+IF(I12="Yes",20,0)),"")</f>
        <v/>
      </c>
    </row>
    <row r="13">
      <c r="A13" s="7" t="n"/>
      <c r="B13" s="7" t="n"/>
      <c r="C13" s="7" t="n"/>
      <c r="D13" s="7" t="n"/>
      <c r="E13" s="10">
        <f>IF(D13&lt;&gt;"",DATE(YEAR(D13)+1,MONTH(D13),DAY(D13)),"")</f>
        <v/>
      </c>
      <c r="F13" s="10">
        <f>IF(E13&lt;&gt;"",IF(E13&lt;TODAY(),"Overdue","Current"),"")</f>
        <v/>
      </c>
      <c r="G13" s="7" t="n"/>
      <c r="H13" s="7" t="n"/>
      <c r="I13" s="7" t="n"/>
      <c r="J13" s="10">
        <f>IF(A13&lt;&gt;"",(IF(F13="Current",30,0)+IF(G13="Disabled",30,0)+IF(H13="Yes",20,0)+IF(I13="Yes",20,0)),"")</f>
        <v/>
      </c>
    </row>
    <row r="14">
      <c r="A14" s="7" t="n"/>
      <c r="B14" s="7" t="n"/>
      <c r="C14" s="7" t="n"/>
      <c r="D14" s="7" t="n"/>
      <c r="E14" s="10">
        <f>IF(D14&lt;&gt;"",DATE(YEAR(D14)+1,MONTH(D14),DAY(D14)),"")</f>
        <v/>
      </c>
      <c r="F14" s="10">
        <f>IF(E14&lt;&gt;"",IF(E14&lt;TODAY(),"Overdue","Current"),"")</f>
        <v/>
      </c>
      <c r="G14" s="7" t="n"/>
      <c r="H14" s="7" t="n"/>
      <c r="I14" s="7" t="n"/>
      <c r="J14" s="10">
        <f>IF(A14&lt;&gt;"",(IF(F14="Current",30,0)+IF(G14="Disabled",30,0)+IF(H14="Yes",20,0)+IF(I14="Yes",20,0)),"")</f>
        <v/>
      </c>
    </row>
    <row r="15">
      <c r="A15" s="7" t="n"/>
      <c r="B15" s="7" t="n"/>
      <c r="C15" s="7" t="n"/>
      <c r="D15" s="7" t="n"/>
      <c r="E15" s="10">
        <f>IF(D15&lt;&gt;"",DATE(YEAR(D15)+1,MONTH(D15),DAY(D15)),"")</f>
        <v/>
      </c>
      <c r="F15" s="10">
        <f>IF(E15&lt;&gt;"",IF(E15&lt;TODAY(),"Overdue","Current"),"")</f>
        <v/>
      </c>
      <c r="G15" s="7" t="n"/>
      <c r="H15" s="7" t="n"/>
      <c r="I15" s="7" t="n"/>
      <c r="J15" s="10">
        <f>IF(A15&lt;&gt;"",(IF(F15="Current",30,0)+IF(G15="Disabled",30,0)+IF(H15="Yes",20,0)+IF(I15="Yes",20,0)),"")</f>
        <v/>
      </c>
    </row>
    <row r="16">
      <c r="A16" s="7" t="n"/>
      <c r="B16" s="7" t="n"/>
      <c r="C16" s="7" t="n"/>
      <c r="D16" s="7" t="n"/>
      <c r="E16" s="10">
        <f>IF(D16&lt;&gt;"",DATE(YEAR(D16)+1,MONTH(D16),DAY(D16)),"")</f>
        <v/>
      </c>
      <c r="F16" s="10">
        <f>IF(E16&lt;&gt;"",IF(E16&lt;TODAY(),"Overdue","Current"),"")</f>
        <v/>
      </c>
      <c r="G16" s="7" t="n"/>
      <c r="H16" s="7" t="n"/>
      <c r="I16" s="7" t="n"/>
      <c r="J16" s="10">
        <f>IF(A16&lt;&gt;"",(IF(F16="Current",30,0)+IF(G16="Disabled",30,0)+IF(H16="Yes",20,0)+IF(I16="Yes",20,0)),"")</f>
        <v/>
      </c>
    </row>
    <row r="17">
      <c r="A17" s="7" t="n"/>
      <c r="B17" s="7" t="n"/>
      <c r="C17" s="7" t="n"/>
      <c r="D17" s="7" t="n"/>
      <c r="E17" s="10">
        <f>IF(D17&lt;&gt;"",DATE(YEAR(D17)+1,MONTH(D17),DAY(D17)),"")</f>
        <v/>
      </c>
      <c r="F17" s="10">
        <f>IF(E17&lt;&gt;"",IF(E17&lt;TODAY(),"Overdue","Current"),"")</f>
        <v/>
      </c>
      <c r="G17" s="7" t="n"/>
      <c r="H17" s="7" t="n"/>
      <c r="I17" s="7" t="n"/>
      <c r="J17" s="10">
        <f>IF(A17&lt;&gt;"",(IF(F17="Current",30,0)+IF(G17="Disabled",30,0)+IF(H17="Yes",20,0)+IF(I17="Yes",20,0)),"")</f>
        <v/>
      </c>
    </row>
    <row r="18">
      <c r="A18" s="7" t="n"/>
      <c r="B18" s="7" t="n"/>
      <c r="C18" s="7" t="n"/>
      <c r="D18" s="7" t="n"/>
      <c r="E18" s="10">
        <f>IF(D18&lt;&gt;"",DATE(YEAR(D18)+1,MONTH(D18),DAY(D18)),"")</f>
        <v/>
      </c>
      <c r="F18" s="10">
        <f>IF(E18&lt;&gt;"",IF(E18&lt;TODAY(),"Overdue","Current"),"")</f>
        <v/>
      </c>
      <c r="G18" s="7" t="n"/>
      <c r="H18" s="7" t="n"/>
      <c r="I18" s="7" t="n"/>
      <c r="J18" s="10">
        <f>IF(A18&lt;&gt;"",(IF(F18="Current",30,0)+IF(G18="Disabled",30,0)+IF(H18="Yes",20,0)+IF(I18="Yes",20,0)),"")</f>
        <v/>
      </c>
    </row>
    <row r="19">
      <c r="A19" s="7" t="n"/>
      <c r="B19" s="7" t="n"/>
      <c r="C19" s="7" t="n"/>
      <c r="D19" s="7" t="n"/>
      <c r="E19" s="10">
        <f>IF(D19&lt;&gt;"",DATE(YEAR(D19)+1,MONTH(D19),DAY(D19)),"")</f>
        <v/>
      </c>
      <c r="F19" s="10">
        <f>IF(E19&lt;&gt;"",IF(E19&lt;TODAY(),"Overdue","Current"),"")</f>
        <v/>
      </c>
      <c r="G19" s="7" t="n"/>
      <c r="H19" s="7" t="n"/>
      <c r="I19" s="7" t="n"/>
      <c r="J19" s="10">
        <f>IF(A19&lt;&gt;"",(IF(F19="Current",30,0)+IF(G19="Disabled",30,0)+IF(H19="Yes",20,0)+IF(I19="Yes",20,0)),"")</f>
        <v/>
      </c>
    </row>
    <row r="20">
      <c r="A20" s="7" t="n"/>
      <c r="B20" s="7" t="n"/>
      <c r="C20" s="7" t="n"/>
      <c r="D20" s="7" t="n"/>
      <c r="E20" s="10">
        <f>IF(D20&lt;&gt;"",DATE(YEAR(D20)+1,MONTH(D20),DAY(D20)),"")</f>
        <v/>
      </c>
      <c r="F20" s="10">
        <f>IF(E20&lt;&gt;"",IF(E20&lt;TODAY(),"Overdue","Current"),"")</f>
        <v/>
      </c>
      <c r="G20" s="7" t="n"/>
      <c r="H20" s="7" t="n"/>
      <c r="I20" s="7" t="n"/>
      <c r="J20" s="10">
        <f>IF(A20&lt;&gt;"",(IF(F20="Current",30,0)+IF(G20="Disabled",30,0)+IF(H20="Yes",20,0)+IF(I20="Yes",20,0)),"")</f>
        <v/>
      </c>
    </row>
    <row r="21">
      <c r="A21" s="7" t="n"/>
      <c r="B21" s="7" t="n"/>
      <c r="C21" s="7" t="n"/>
      <c r="D21" s="7" t="n"/>
      <c r="E21" s="10">
        <f>IF(D21&lt;&gt;"",DATE(YEAR(D21)+1,MONTH(D21),DAY(D21)),"")</f>
        <v/>
      </c>
      <c r="F21" s="10">
        <f>IF(E21&lt;&gt;"",IF(E21&lt;TODAY(),"Overdue","Current"),"")</f>
        <v/>
      </c>
      <c r="G21" s="7" t="n"/>
      <c r="H21" s="7" t="n"/>
      <c r="I21" s="7" t="n"/>
      <c r="J21" s="10">
        <f>IF(A21&lt;&gt;"",(IF(F21="Current",30,0)+IF(G21="Disabled",30,0)+IF(H21="Yes",20,0)+IF(I21="Yes",20,0)),"")</f>
        <v/>
      </c>
    </row>
    <row r="22">
      <c r="A22" s="7" t="n"/>
      <c r="B22" s="7" t="n"/>
      <c r="C22" s="7" t="n"/>
      <c r="D22" s="7" t="n"/>
      <c r="E22" s="10">
        <f>IF(D22&lt;&gt;"",DATE(YEAR(D22)+1,MONTH(D22),DAY(D22)),"")</f>
        <v/>
      </c>
      <c r="F22" s="10">
        <f>IF(E22&lt;&gt;"",IF(E22&lt;TODAY(),"Overdue","Current"),"")</f>
        <v/>
      </c>
      <c r="G22" s="7" t="n"/>
      <c r="H22" s="7" t="n"/>
      <c r="I22" s="7" t="n"/>
      <c r="J22" s="10">
        <f>IF(A22&lt;&gt;"",(IF(F22="Current",30,0)+IF(G22="Disabled",30,0)+IF(H22="Yes",20,0)+IF(I22="Yes",20,0)),"")</f>
        <v/>
      </c>
    </row>
    <row r="23">
      <c r="A23" s="7" t="n"/>
      <c r="B23" s="7" t="n"/>
      <c r="C23" s="7" t="n"/>
      <c r="D23" s="7" t="n"/>
      <c r="E23" s="10">
        <f>IF(D23&lt;&gt;"",DATE(YEAR(D23)+1,MONTH(D23),DAY(D23)),"")</f>
        <v/>
      </c>
      <c r="F23" s="10">
        <f>IF(E23&lt;&gt;"",IF(E23&lt;TODAY(),"Overdue","Current"),"")</f>
        <v/>
      </c>
      <c r="G23" s="7" t="n"/>
      <c r="H23" s="7" t="n"/>
      <c r="I23" s="7" t="n"/>
      <c r="J23" s="10">
        <f>IF(A23&lt;&gt;"",(IF(F23="Current",30,0)+IF(G23="Disabled",30,0)+IF(H23="Yes",20,0)+IF(I23="Yes",20,0)),"")</f>
        <v/>
      </c>
    </row>
  </sheetData>
  <mergeCells count="1">
    <mergeCell ref="A1:J1"/>
  </mergeCells>
  <dataValidations count="2">
    <dataValidation sqref="G4 G5 G6 G7 G8 G9 G10 G11 G12 G13 G14 G15 G16 G17 G18 G19 G20 G21 G22 G23" showDropDown="0" showInputMessage="0" showErrorMessage="0" allowBlank="0" type="list">
      <formula1>"Disabled,Enabled,Unknown"</formula1>
    </dataValidation>
    <dataValidation sqref="H4 H5 H6 H7 H8 H9 H10 H11 H12 H13 H14 H15 H16 H17 H18 H19 H20 H21 H22 H23 I4 I5 I6 I7 I8 I9 I10 I11 I12 I13 I14 I15 I16 I17 I18 I19 I20 I21 I22 I23" showDropDown="0" showInputMessage="0" showErrorMessage="0" allowBlank="0"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5" customWidth="1" min="3" max="3"/>
    <col width="15" customWidth="1" min="4" max="4"/>
    <col width="15" customWidth="1" min="5" max="5"/>
    <col width="15" customWidth="1" min="6" max="6"/>
    <col width="16" customWidth="1" min="7" max="7"/>
    <col width="18" customWidth="1" min="8" max="8"/>
    <col width="16" customWidth="1" min="9" max="9"/>
    <col width="15" customWidth="1" min="10" max="10"/>
    <col width="15" customWidth="1" min="11" max="11"/>
  </cols>
  <sheetData>
    <row r="1" ht="30" customHeight="1">
      <c r="A1" s="5" t="inlineStr">
        <is>
          <t>PERSONNEL STATUS</t>
        </is>
      </c>
    </row>
    <row r="3">
      <c r="A3" s="9" t="inlineStr">
        <is>
          <t>Role_ID</t>
        </is>
      </c>
      <c r="B3" s="9" t="inlineStr">
        <is>
          <t>Role_Name</t>
        </is>
      </c>
      <c r="C3" s="9" t="inlineStr">
        <is>
          <t>Primary_Assigned</t>
        </is>
      </c>
      <c r="D3" s="9" t="inlineStr">
        <is>
          <t>Backup1_Assigned</t>
        </is>
      </c>
      <c r="E3" s="9" t="inlineStr">
        <is>
          <t>Backup2_Assigned</t>
        </is>
      </c>
      <c r="F3" s="9" t="inlineStr">
        <is>
          <t>Cross_Training</t>
        </is>
      </c>
      <c r="G3" s="9" t="inlineStr">
        <is>
          <t>Last_Contact_Test</t>
        </is>
      </c>
      <c r="H3" s="9" t="inlineStr">
        <is>
          <t>Contact_Test_Status</t>
        </is>
      </c>
      <c r="I3" s="9" t="inlineStr">
        <is>
          <t>Last_Drill</t>
        </is>
      </c>
      <c r="J3" s="9" t="inlineStr">
        <is>
          <t>Drill_Status</t>
        </is>
      </c>
      <c r="K3" s="9" t="inlineStr">
        <is>
          <t>Availability_Score</t>
        </is>
      </c>
    </row>
    <row r="4">
      <c r="A4" s="7" t="n"/>
      <c r="B4" s="7" t="n"/>
      <c r="C4" s="7" t="n"/>
      <c r="D4" s="7" t="n"/>
      <c r="E4" s="7" t="n"/>
      <c r="F4" s="7" t="n"/>
      <c r="G4" s="7" t="n"/>
      <c r="H4" s="10">
        <f>IF(G4&lt;&gt;"",IF(G4+90&lt;TODAY(),"Overdue","Current"),"")</f>
        <v/>
      </c>
      <c r="I4" s="7" t="n"/>
      <c r="J4" s="10">
        <f>IF(I4&lt;&gt;"",IF(I4+180&lt;TODAY(),"Overdue","Current"),"")</f>
        <v/>
      </c>
      <c r="K4" s="7" t="n"/>
    </row>
    <row r="5">
      <c r="A5" s="7" t="n"/>
      <c r="B5" s="7" t="n"/>
      <c r="C5" s="7" t="n"/>
      <c r="D5" s="7" t="n"/>
      <c r="E5" s="7" t="n"/>
      <c r="F5" s="7" t="n"/>
      <c r="G5" s="7" t="n"/>
      <c r="H5" s="10">
        <f>IF(G5&lt;&gt;"",IF(G5+90&lt;TODAY(),"Overdue","Current"),"")</f>
        <v/>
      </c>
      <c r="I5" s="7" t="n"/>
      <c r="J5" s="10">
        <f>IF(I5&lt;&gt;"",IF(I5+180&lt;TODAY(),"Overdue","Current"),"")</f>
        <v/>
      </c>
      <c r="K5" s="7" t="n"/>
    </row>
    <row r="6">
      <c r="A6" s="7" t="n"/>
      <c r="B6" s="7" t="n"/>
      <c r="C6" s="7" t="n"/>
      <c r="D6" s="7" t="n"/>
      <c r="E6" s="7" t="n"/>
      <c r="F6" s="7" t="n"/>
      <c r="G6" s="7" t="n"/>
      <c r="H6" s="10">
        <f>IF(G6&lt;&gt;"",IF(G6+90&lt;TODAY(),"Overdue","Current"),"")</f>
        <v/>
      </c>
      <c r="I6" s="7" t="n"/>
      <c r="J6" s="10">
        <f>IF(I6&lt;&gt;"",IF(I6+180&lt;TODAY(),"Overdue","Current"),"")</f>
        <v/>
      </c>
      <c r="K6" s="7" t="n"/>
    </row>
    <row r="7">
      <c r="A7" s="7" t="n"/>
      <c r="B7" s="7" t="n"/>
      <c r="C7" s="7" t="n"/>
      <c r="D7" s="7" t="n"/>
      <c r="E7" s="7" t="n"/>
      <c r="F7" s="7" t="n"/>
      <c r="G7" s="7" t="n"/>
      <c r="H7" s="10">
        <f>IF(G7&lt;&gt;"",IF(G7+90&lt;TODAY(),"Overdue","Current"),"")</f>
        <v/>
      </c>
      <c r="I7" s="7" t="n"/>
      <c r="J7" s="10">
        <f>IF(I7&lt;&gt;"",IF(I7+180&lt;TODAY(),"Overdue","Current"),"")</f>
        <v/>
      </c>
      <c r="K7" s="7" t="n"/>
    </row>
    <row r="8">
      <c r="A8" s="7" t="n"/>
      <c r="B8" s="7" t="n"/>
      <c r="C8" s="7" t="n"/>
      <c r="D8" s="7" t="n"/>
      <c r="E8" s="7" t="n"/>
      <c r="F8" s="7" t="n"/>
      <c r="G8" s="7" t="n"/>
      <c r="H8" s="10">
        <f>IF(G8&lt;&gt;"",IF(G8+90&lt;TODAY(),"Overdue","Current"),"")</f>
        <v/>
      </c>
      <c r="I8" s="7" t="n"/>
      <c r="J8" s="10">
        <f>IF(I8&lt;&gt;"",IF(I8+180&lt;TODAY(),"Overdue","Current"),"")</f>
        <v/>
      </c>
      <c r="K8" s="7" t="n"/>
    </row>
    <row r="9">
      <c r="A9" s="7" t="n"/>
      <c r="B9" s="7" t="n"/>
      <c r="C9" s="7" t="n"/>
      <c r="D9" s="7" t="n"/>
      <c r="E9" s="7" t="n"/>
      <c r="F9" s="7" t="n"/>
      <c r="G9" s="7" t="n"/>
      <c r="H9" s="10">
        <f>IF(G9&lt;&gt;"",IF(G9+90&lt;TODAY(),"Overdue","Current"),"")</f>
        <v/>
      </c>
      <c r="I9" s="7" t="n"/>
      <c r="J9" s="10">
        <f>IF(I9&lt;&gt;"",IF(I9+180&lt;TODAY(),"Overdue","Current"),"")</f>
        <v/>
      </c>
      <c r="K9" s="7" t="n"/>
    </row>
    <row r="10">
      <c r="A10" s="7" t="n"/>
      <c r="B10" s="7" t="n"/>
      <c r="C10" s="7" t="n"/>
      <c r="D10" s="7" t="n"/>
      <c r="E10" s="7" t="n"/>
      <c r="F10" s="7" t="n"/>
      <c r="G10" s="7" t="n"/>
      <c r="H10" s="10">
        <f>IF(G10&lt;&gt;"",IF(G10+90&lt;TODAY(),"Overdue","Current"),"")</f>
        <v/>
      </c>
      <c r="I10" s="7" t="n"/>
      <c r="J10" s="10">
        <f>IF(I10&lt;&gt;"",IF(I10+180&lt;TODAY(),"Overdue","Current"),"")</f>
        <v/>
      </c>
      <c r="K10" s="7" t="n"/>
    </row>
    <row r="11">
      <c r="A11" s="7" t="n"/>
      <c r="B11" s="7" t="n"/>
      <c r="C11" s="7" t="n"/>
      <c r="D11" s="7" t="n"/>
      <c r="E11" s="7" t="n"/>
      <c r="F11" s="7" t="n"/>
      <c r="G11" s="7" t="n"/>
      <c r="H11" s="10">
        <f>IF(G11&lt;&gt;"",IF(G11+90&lt;TODAY(),"Overdue","Current"),"")</f>
        <v/>
      </c>
      <c r="I11" s="7" t="n"/>
      <c r="J11" s="10">
        <f>IF(I11&lt;&gt;"",IF(I11+180&lt;TODAY(),"Overdue","Current"),"")</f>
        <v/>
      </c>
      <c r="K11" s="7" t="n"/>
    </row>
    <row r="12">
      <c r="A12" s="7" t="n"/>
      <c r="B12" s="7" t="n"/>
      <c r="C12" s="7" t="n"/>
      <c r="D12" s="7" t="n"/>
      <c r="E12" s="7" t="n"/>
      <c r="F12" s="7" t="n"/>
      <c r="G12" s="7" t="n"/>
      <c r="H12" s="10">
        <f>IF(G12&lt;&gt;"",IF(G12+90&lt;TODAY(),"Overdue","Current"),"")</f>
        <v/>
      </c>
      <c r="I12" s="7" t="n"/>
      <c r="J12" s="10">
        <f>IF(I12&lt;&gt;"",IF(I12+180&lt;TODAY(),"Overdue","Current"),"")</f>
        <v/>
      </c>
      <c r="K12" s="7" t="n"/>
    </row>
    <row r="13">
      <c r="A13" s="7" t="n"/>
      <c r="B13" s="7" t="n"/>
      <c r="C13" s="7" t="n"/>
      <c r="D13" s="7" t="n"/>
      <c r="E13" s="7" t="n"/>
      <c r="F13" s="7" t="n"/>
      <c r="G13" s="7" t="n"/>
      <c r="H13" s="10">
        <f>IF(G13&lt;&gt;"",IF(G13+90&lt;TODAY(),"Overdue","Current"),"")</f>
        <v/>
      </c>
      <c r="I13" s="7" t="n"/>
      <c r="J13" s="10">
        <f>IF(I13&lt;&gt;"",IF(I13+180&lt;TODAY(),"Overdue","Current"),"")</f>
        <v/>
      </c>
      <c r="K13" s="7" t="n"/>
    </row>
    <row r="14">
      <c r="A14" s="7" t="n"/>
      <c r="B14" s="7" t="n"/>
      <c r="C14" s="7" t="n"/>
      <c r="D14" s="7" t="n"/>
      <c r="E14" s="7" t="n"/>
      <c r="F14" s="7" t="n"/>
      <c r="G14" s="7" t="n"/>
      <c r="H14" s="10">
        <f>IF(G14&lt;&gt;"",IF(G14+90&lt;TODAY(),"Overdue","Current"),"")</f>
        <v/>
      </c>
      <c r="I14" s="7" t="n"/>
      <c r="J14" s="10">
        <f>IF(I14&lt;&gt;"",IF(I14+180&lt;TODAY(),"Overdue","Current"),"")</f>
        <v/>
      </c>
      <c r="K14" s="7" t="n"/>
    </row>
    <row r="15">
      <c r="A15" s="7" t="n"/>
      <c r="B15" s="7" t="n"/>
      <c r="C15" s="7" t="n"/>
      <c r="D15" s="7" t="n"/>
      <c r="E15" s="7" t="n"/>
      <c r="F15" s="7" t="n"/>
      <c r="G15" s="7" t="n"/>
      <c r="H15" s="10">
        <f>IF(G15&lt;&gt;"",IF(G15+90&lt;TODAY(),"Overdue","Current"),"")</f>
        <v/>
      </c>
      <c r="I15" s="7" t="n"/>
      <c r="J15" s="10">
        <f>IF(I15&lt;&gt;"",IF(I15+180&lt;TODAY(),"Overdue","Current"),"")</f>
        <v/>
      </c>
      <c r="K15" s="7" t="n"/>
    </row>
    <row r="16">
      <c r="A16" s="7" t="n"/>
      <c r="B16" s="7" t="n"/>
      <c r="C16" s="7" t="n"/>
      <c r="D16" s="7" t="n"/>
      <c r="E16" s="7" t="n"/>
      <c r="F16" s="7" t="n"/>
      <c r="G16" s="7" t="n"/>
      <c r="H16" s="10">
        <f>IF(G16&lt;&gt;"",IF(G16+90&lt;TODAY(),"Overdue","Current"),"")</f>
        <v/>
      </c>
      <c r="I16" s="7" t="n"/>
      <c r="J16" s="10">
        <f>IF(I16&lt;&gt;"",IF(I16+180&lt;TODAY(),"Overdue","Current"),"")</f>
        <v/>
      </c>
      <c r="K16" s="7" t="n"/>
    </row>
    <row r="17">
      <c r="A17" s="7" t="n"/>
      <c r="B17" s="7" t="n"/>
      <c r="C17" s="7" t="n"/>
      <c r="D17" s="7" t="n"/>
      <c r="E17" s="7" t="n"/>
      <c r="F17" s="7" t="n"/>
      <c r="G17" s="7" t="n"/>
      <c r="H17" s="10">
        <f>IF(G17&lt;&gt;"",IF(G17+90&lt;TODAY(),"Overdue","Current"),"")</f>
        <v/>
      </c>
      <c r="I17" s="7" t="n"/>
      <c r="J17" s="10">
        <f>IF(I17&lt;&gt;"",IF(I17+180&lt;TODAY(),"Overdue","Current"),"")</f>
        <v/>
      </c>
      <c r="K17" s="7" t="n"/>
    </row>
    <row r="18">
      <c r="A18" s="7" t="n"/>
      <c r="B18" s="7" t="n"/>
      <c r="C18" s="7" t="n"/>
      <c r="D18" s="7" t="n"/>
      <c r="E18" s="7" t="n"/>
      <c r="F18" s="7" t="n"/>
      <c r="G18" s="7" t="n"/>
      <c r="H18" s="10">
        <f>IF(G18&lt;&gt;"",IF(G18+90&lt;TODAY(),"Overdue","Current"),"")</f>
        <v/>
      </c>
      <c r="I18" s="7" t="n"/>
      <c r="J18" s="10">
        <f>IF(I18&lt;&gt;"",IF(I18+180&lt;TODAY(),"Overdue","Current"),"")</f>
        <v/>
      </c>
      <c r="K18" s="7" t="n"/>
    </row>
    <row r="19">
      <c r="A19" s="7" t="n"/>
      <c r="B19" s="7" t="n"/>
      <c r="C19" s="7" t="n"/>
      <c r="D19" s="7" t="n"/>
      <c r="E19" s="7" t="n"/>
      <c r="F19" s="7" t="n"/>
      <c r="G19" s="7" t="n"/>
      <c r="H19" s="10">
        <f>IF(G19&lt;&gt;"",IF(G19+90&lt;TODAY(),"Overdue","Current"),"")</f>
        <v/>
      </c>
      <c r="I19" s="7" t="n"/>
      <c r="J19" s="10">
        <f>IF(I19&lt;&gt;"",IF(I19+180&lt;TODAY(),"Overdue","Current"),"")</f>
        <v/>
      </c>
      <c r="K19" s="7" t="n"/>
    </row>
    <row r="20">
      <c r="A20" s="7" t="n"/>
      <c r="B20" s="7" t="n"/>
      <c r="C20" s="7" t="n"/>
      <c r="D20" s="7" t="n"/>
      <c r="E20" s="7" t="n"/>
      <c r="F20" s="7" t="n"/>
      <c r="G20" s="7" t="n"/>
      <c r="H20" s="10">
        <f>IF(G20&lt;&gt;"",IF(G20+90&lt;TODAY(),"Overdue","Current"),"")</f>
        <v/>
      </c>
      <c r="I20" s="7" t="n"/>
      <c r="J20" s="10">
        <f>IF(I20&lt;&gt;"",IF(I20+180&lt;TODAY(),"Overdue","Current"),"")</f>
        <v/>
      </c>
      <c r="K20" s="7" t="n"/>
    </row>
    <row r="21">
      <c r="A21" s="7" t="n"/>
      <c r="B21" s="7" t="n"/>
      <c r="C21" s="7" t="n"/>
      <c r="D21" s="7" t="n"/>
      <c r="E21" s="7" t="n"/>
      <c r="F21" s="7" t="n"/>
      <c r="G21" s="7" t="n"/>
      <c r="H21" s="10">
        <f>IF(G21&lt;&gt;"",IF(G21+90&lt;TODAY(),"Overdue","Current"),"")</f>
        <v/>
      </c>
      <c r="I21" s="7" t="n"/>
      <c r="J21" s="10">
        <f>IF(I21&lt;&gt;"",IF(I21+180&lt;TODAY(),"Overdue","Current"),"")</f>
        <v/>
      </c>
      <c r="K21" s="7" t="n"/>
    </row>
    <row r="22">
      <c r="A22" s="7" t="n"/>
      <c r="B22" s="7" t="n"/>
      <c r="C22" s="7" t="n"/>
      <c r="D22" s="7" t="n"/>
      <c r="E22" s="7" t="n"/>
      <c r="F22" s="7" t="n"/>
      <c r="G22" s="7" t="n"/>
      <c r="H22" s="10">
        <f>IF(G22&lt;&gt;"",IF(G22+90&lt;TODAY(),"Overdue","Current"),"")</f>
        <v/>
      </c>
      <c r="I22" s="7" t="n"/>
      <c r="J22" s="10">
        <f>IF(I22&lt;&gt;"",IF(I22+180&lt;TODAY(),"Overdue","Current"),"")</f>
        <v/>
      </c>
      <c r="K22" s="7" t="n"/>
    </row>
    <row r="23">
      <c r="A23" s="7" t="n"/>
      <c r="B23" s="7" t="n"/>
      <c r="C23" s="7" t="n"/>
      <c r="D23" s="7" t="n"/>
      <c r="E23" s="7" t="n"/>
      <c r="F23" s="7" t="n"/>
      <c r="G23" s="7" t="n"/>
      <c r="H23" s="10">
        <f>IF(G23&lt;&gt;"",IF(G23+90&lt;TODAY(),"Overdue","Current"),"")</f>
        <v/>
      </c>
      <c r="I23" s="7" t="n"/>
      <c r="J23" s="10">
        <f>IF(I23&lt;&gt;"",IF(I23+180&lt;TODAY(),"Overdue","Current"),"")</f>
        <v/>
      </c>
      <c r="K23" s="7" t="n"/>
    </row>
  </sheetData>
  <mergeCells count="1">
    <mergeCell ref="A1:K1"/>
  </mergeCells>
  <dataValidations count="2">
    <dataValidation sqref="C4 C5 C6 C7 C8 C9 C10 C11 C12 C13 C14 C15 C16 C17 C18 C19 C20 C21 C22 C23 D4 D5 D6 D7 D8 D9 D10 D11 D12 D13 D14 D15 D16 D17 D18 D19 D20 D21 D22 D23 E4 E5 E6 E7 E8 E9 E10 E11 E12 E13 E14 E15 E16 E17 E18 E19 E20 E21 E22 E23" showDropDown="0" showInputMessage="0" showErrorMessage="0" allowBlank="0" type="list">
      <formula1>"Yes,No"</formula1>
    </dataValidation>
    <dataValidation sqref="F4 F5 F6 F7 F8 F9 F10 F11 F12 F13 F14 F15 F16 F17 F18 F19 F20 F21 F22 F23" showDropDown="0" showInputMessage="0" showErrorMessage="0" allowBlank="0" type="list">
      <formula1>"Complete,Partial,None"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5" customWidth="1" min="1" max="1"/>
    <col width="18" customWidth="1" min="2" max="2"/>
    <col width="18" customWidth="1" min="3" max="3"/>
    <col width="18" customWidth="1" min="4" max="4"/>
    <col width="18" customWidth="1" min="5" max="5"/>
    <col width="18" customWidth="1" min="6" max="6"/>
    <col width="15" customWidth="1" min="7" max="7"/>
    <col width="15" customWidth="1" min="8" max="8"/>
    <col width="12" customWidth="1" min="9" max="9"/>
    <col width="18" customWidth="1" min="10" max="10"/>
  </cols>
  <sheetData>
    <row r="1" ht="30" customHeight="1">
      <c r="A1" s="5" t="inlineStr">
        <is>
          <t>SECURITY DEBT STATUS</t>
        </is>
      </c>
    </row>
    <row r="3">
      <c r="A3" s="9" t="inlineStr">
        <is>
          <t>Period</t>
        </is>
      </c>
      <c r="B3" s="9" t="inlineStr">
        <is>
          <t>Total_Open_Items</t>
        </is>
      </c>
      <c r="C3" s="9" t="inlineStr">
        <is>
          <t>Items_0_30_Days</t>
        </is>
      </c>
      <c r="D3" s="9" t="inlineStr">
        <is>
          <t>Items_31_60_Days</t>
        </is>
      </c>
      <c r="E3" s="9" t="inlineStr">
        <is>
          <t>Items_61_90_Days</t>
        </is>
      </c>
      <c r="F3" s="9" t="inlineStr">
        <is>
          <t>Items_Over_90_Days</t>
        </is>
      </c>
      <c r="G3" s="9" t="inlineStr">
        <is>
          <t>Items_Closed</t>
        </is>
      </c>
      <c r="H3" s="9" t="inlineStr">
        <is>
          <t>Closure_Rate</t>
        </is>
      </c>
      <c r="I3" s="9" t="inlineStr">
        <is>
          <t>Escalations</t>
        </is>
      </c>
      <c r="J3" s="9" t="inlineStr">
        <is>
          <t>Executive_Escalations</t>
        </is>
      </c>
    </row>
    <row r="4">
      <c r="A4" s="7" t="n"/>
      <c r="B4" s="7" t="n"/>
      <c r="C4" s="7" t="n"/>
      <c r="D4" s="7" t="n"/>
      <c r="E4" s="7" t="n"/>
      <c r="F4" s="7" t="n"/>
      <c r="G4" s="7" t="n"/>
      <c r="H4" s="11">
        <f>IF(B4+G4&gt;0,G4/(B4+G4),"")</f>
        <v/>
      </c>
      <c r="I4" s="7" t="n"/>
      <c r="J4" s="7" t="n"/>
    </row>
    <row r="5">
      <c r="A5" s="7" t="n"/>
      <c r="B5" s="7" t="n"/>
      <c r="C5" s="7" t="n"/>
      <c r="D5" s="7" t="n"/>
      <c r="E5" s="7" t="n"/>
      <c r="F5" s="7" t="n"/>
      <c r="G5" s="7" t="n"/>
      <c r="H5" s="11">
        <f>IF(B5+G5&gt;0,G5/(B5+G5),"")</f>
        <v/>
      </c>
      <c r="I5" s="7" t="n"/>
      <c r="J5" s="7" t="n"/>
    </row>
    <row r="6">
      <c r="A6" s="7" t="n"/>
      <c r="B6" s="7" t="n"/>
      <c r="C6" s="7" t="n"/>
      <c r="D6" s="7" t="n"/>
      <c r="E6" s="7" t="n"/>
      <c r="F6" s="7" t="n"/>
      <c r="G6" s="7" t="n"/>
      <c r="H6" s="11">
        <f>IF(B6+G6&gt;0,G6/(B6+G6),"")</f>
        <v/>
      </c>
      <c r="I6" s="7" t="n"/>
      <c r="J6" s="7" t="n"/>
    </row>
    <row r="7">
      <c r="A7" s="7" t="n"/>
      <c r="B7" s="7" t="n"/>
      <c r="C7" s="7" t="n"/>
      <c r="D7" s="7" t="n"/>
      <c r="E7" s="7" t="n"/>
      <c r="F7" s="7" t="n"/>
      <c r="G7" s="7" t="n"/>
      <c r="H7" s="11">
        <f>IF(B7+G7&gt;0,G7/(B7+G7),"")</f>
        <v/>
      </c>
      <c r="I7" s="7" t="n"/>
      <c r="J7" s="7" t="n"/>
    </row>
    <row r="8">
      <c r="A8" s="7" t="n"/>
      <c r="B8" s="7" t="n"/>
      <c r="C8" s="7" t="n"/>
      <c r="D8" s="7" t="n"/>
      <c r="E8" s="7" t="n"/>
      <c r="F8" s="7" t="n"/>
      <c r="G8" s="7" t="n"/>
      <c r="H8" s="11">
        <f>IF(B8+G8&gt;0,G8/(B8+G8),"")</f>
        <v/>
      </c>
      <c r="I8" s="7" t="n"/>
      <c r="J8" s="7" t="n"/>
    </row>
    <row r="9">
      <c r="A9" s="7" t="n"/>
      <c r="B9" s="7" t="n"/>
      <c r="C9" s="7" t="n"/>
      <c r="D9" s="7" t="n"/>
      <c r="E9" s="7" t="n"/>
      <c r="F9" s="7" t="n"/>
      <c r="G9" s="7" t="n"/>
      <c r="H9" s="11">
        <f>IF(B9+G9&gt;0,G9/(B9+G9),"")</f>
        <v/>
      </c>
      <c r="I9" s="7" t="n"/>
      <c r="J9" s="7" t="n"/>
    </row>
    <row r="10">
      <c r="A10" s="7" t="n"/>
      <c r="B10" s="7" t="n"/>
      <c r="C10" s="7" t="n"/>
      <c r="D10" s="7" t="n"/>
      <c r="E10" s="7" t="n"/>
      <c r="F10" s="7" t="n"/>
      <c r="G10" s="7" t="n"/>
      <c r="H10" s="11">
        <f>IF(B10+G10&gt;0,G10/(B10+G10),"")</f>
        <v/>
      </c>
      <c r="I10" s="7" t="n"/>
      <c r="J10" s="7" t="n"/>
    </row>
    <row r="11">
      <c r="A11" s="7" t="n"/>
      <c r="B11" s="7" t="n"/>
      <c r="C11" s="7" t="n"/>
      <c r="D11" s="7" t="n"/>
      <c r="E11" s="7" t="n"/>
      <c r="F11" s="7" t="n"/>
      <c r="G11" s="7" t="n"/>
      <c r="H11" s="11">
        <f>IF(B11+G11&gt;0,G11/(B11+G11),"")</f>
        <v/>
      </c>
      <c r="I11" s="7" t="n"/>
      <c r="J11" s="7" t="n"/>
    </row>
    <row r="12">
      <c r="A12" s="7" t="n"/>
      <c r="B12" s="7" t="n"/>
      <c r="C12" s="7" t="n"/>
      <c r="D12" s="7" t="n"/>
      <c r="E12" s="7" t="n"/>
      <c r="F12" s="7" t="n"/>
      <c r="G12" s="7" t="n"/>
      <c r="H12" s="11">
        <f>IF(B12+G12&gt;0,G12/(B12+G12),"")</f>
        <v/>
      </c>
      <c r="I12" s="7" t="n"/>
      <c r="J12" s="7" t="n"/>
    </row>
    <row r="13">
      <c r="A13" s="7" t="n"/>
      <c r="B13" s="7" t="n"/>
      <c r="C13" s="7" t="n"/>
      <c r="D13" s="7" t="n"/>
      <c r="E13" s="7" t="n"/>
      <c r="F13" s="7" t="n"/>
      <c r="G13" s="7" t="n"/>
      <c r="H13" s="11">
        <f>IF(B13+G13&gt;0,G13/(B13+G13),"")</f>
        <v/>
      </c>
      <c r="I13" s="7" t="n"/>
      <c r="J13" s="7" t="n"/>
    </row>
    <row r="14">
      <c r="A14" s="7" t="n"/>
      <c r="B14" s="7" t="n"/>
      <c r="C14" s="7" t="n"/>
      <c r="D14" s="7" t="n"/>
      <c r="E14" s="7" t="n"/>
      <c r="F14" s="7" t="n"/>
      <c r="G14" s="7" t="n"/>
      <c r="H14" s="11">
        <f>IF(B14+G14&gt;0,G14/(B14+G14),"")</f>
        <v/>
      </c>
      <c r="I14" s="7" t="n"/>
      <c r="J14" s="7" t="n"/>
    </row>
    <row r="15">
      <c r="A15" s="7" t="n"/>
      <c r="B15" s="7" t="n"/>
      <c r="C15" s="7" t="n"/>
      <c r="D15" s="7" t="n"/>
      <c r="E15" s="7" t="n"/>
      <c r="F15" s="7" t="n"/>
      <c r="G15" s="7" t="n"/>
      <c r="H15" s="11">
        <f>IF(B15+G15&gt;0,G15/(B15+G15),"")</f>
        <v/>
      </c>
      <c r="I15" s="7" t="n"/>
      <c r="J15" s="7" t="n"/>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16" customWidth="1" min="2" max="2"/>
    <col width="25" customWidth="1" min="3" max="3"/>
    <col width="15" customWidth="1" min="4" max="4"/>
    <col width="20" customWidth="1" min="5" max="5"/>
    <col width="18" customWidth="1" min="6" max="6"/>
    <col width="20" customWidth="1" min="7" max="7"/>
    <col width="18" customWidth="1" min="8" max="8"/>
    <col width="22" customWidth="1" min="9" max="9"/>
    <col width="20" customWidth="1" min="10" max="10"/>
    <col width="18" customWidth="1" min="11" max="11"/>
  </cols>
  <sheetData>
    <row r="1" ht="30" customHeight="1">
      <c r="A1" s="5" t="inlineStr">
        <is>
          <t>DISRUPTION HISTORY</t>
        </is>
      </c>
    </row>
    <row r="3">
      <c r="A3" s="9" t="inlineStr">
        <is>
          <t>Incident_ID</t>
        </is>
      </c>
      <c r="B3" s="9" t="inlineStr">
        <is>
          <t>Incident_Date</t>
        </is>
      </c>
      <c r="C3" s="9" t="inlineStr">
        <is>
          <t>Incident_Type</t>
        </is>
      </c>
      <c r="D3" s="9" t="inlineStr">
        <is>
          <t>Duration_Hours</t>
        </is>
      </c>
      <c r="E3" s="9" t="inlineStr">
        <is>
          <t>Security_Posture_Level</t>
        </is>
      </c>
      <c r="F3" s="9" t="inlineStr">
        <is>
          <t>Emergency_Access_Used</t>
        </is>
      </c>
      <c r="G3" s="9" t="inlineStr">
        <is>
          <t>Security_Incidents_During</t>
        </is>
      </c>
      <c r="H3" s="9" t="inlineStr">
        <is>
          <t>Security_Compromises</t>
        </is>
      </c>
      <c r="I3" s="9" t="inlineStr">
        <is>
          <t>Recovery_Phase_Completed</t>
        </is>
      </c>
      <c r="J3" s="9" t="inlineStr">
        <is>
          <t>Lessons_Learned_Complete</t>
        </is>
      </c>
      <c r="K3" s="9" t="inlineStr">
        <is>
          <t>Security_Outcome</t>
        </is>
      </c>
    </row>
    <row r="4">
      <c r="A4" s="7" t="n"/>
      <c r="B4" s="7" t="n"/>
      <c r="C4" s="7" t="n"/>
      <c r="D4" s="7" t="n"/>
      <c r="E4" s="7" t="n"/>
      <c r="F4" s="7" t="n"/>
      <c r="G4" s="7" t="n"/>
      <c r="H4" s="7" t="n"/>
      <c r="I4" s="7" t="n"/>
      <c r="J4" s="7" t="n"/>
      <c r="K4" s="7" t="n"/>
    </row>
    <row r="5">
      <c r="A5" s="7" t="n"/>
      <c r="B5" s="7" t="n"/>
      <c r="C5" s="7" t="n"/>
      <c r="D5" s="7" t="n"/>
      <c r="E5" s="7" t="n"/>
      <c r="F5" s="7" t="n"/>
      <c r="G5" s="7" t="n"/>
      <c r="H5" s="7" t="n"/>
      <c r="I5" s="7" t="n"/>
      <c r="J5" s="7" t="n"/>
      <c r="K5" s="7" t="n"/>
    </row>
    <row r="6">
      <c r="A6" s="7" t="n"/>
      <c r="B6" s="7" t="n"/>
      <c r="C6" s="7" t="n"/>
      <c r="D6" s="7" t="n"/>
      <c r="E6" s="7" t="n"/>
      <c r="F6" s="7" t="n"/>
      <c r="G6" s="7" t="n"/>
      <c r="H6" s="7" t="n"/>
      <c r="I6" s="7" t="n"/>
      <c r="J6" s="7" t="n"/>
      <c r="K6" s="7" t="n"/>
    </row>
    <row r="7">
      <c r="A7" s="7" t="n"/>
      <c r="B7" s="7" t="n"/>
      <c r="C7" s="7" t="n"/>
      <c r="D7" s="7" t="n"/>
      <c r="E7" s="7" t="n"/>
      <c r="F7" s="7" t="n"/>
      <c r="G7" s="7" t="n"/>
      <c r="H7" s="7" t="n"/>
      <c r="I7" s="7" t="n"/>
      <c r="J7" s="7" t="n"/>
      <c r="K7" s="7" t="n"/>
    </row>
    <row r="8">
      <c r="A8" s="7" t="n"/>
      <c r="B8" s="7" t="n"/>
      <c r="C8" s="7" t="n"/>
      <c r="D8" s="7" t="n"/>
      <c r="E8" s="7" t="n"/>
      <c r="F8" s="7" t="n"/>
      <c r="G8" s="7" t="n"/>
      <c r="H8" s="7" t="n"/>
      <c r="I8" s="7" t="n"/>
      <c r="J8" s="7" t="n"/>
      <c r="K8" s="7" t="n"/>
    </row>
    <row r="9">
      <c r="A9" s="7" t="n"/>
      <c r="B9" s="7" t="n"/>
      <c r="C9" s="7" t="n"/>
      <c r="D9" s="7" t="n"/>
      <c r="E9" s="7" t="n"/>
      <c r="F9" s="7" t="n"/>
      <c r="G9" s="7" t="n"/>
      <c r="H9" s="7" t="n"/>
      <c r="I9" s="7" t="n"/>
      <c r="J9" s="7" t="n"/>
      <c r="K9" s="7" t="n"/>
    </row>
    <row r="10">
      <c r="A10" s="7" t="n"/>
      <c r="B10" s="7" t="n"/>
      <c r="C10" s="7" t="n"/>
      <c r="D10" s="7" t="n"/>
      <c r="E10" s="7" t="n"/>
      <c r="F10" s="7" t="n"/>
      <c r="G10" s="7" t="n"/>
      <c r="H10" s="7" t="n"/>
      <c r="I10" s="7" t="n"/>
      <c r="J10" s="7" t="n"/>
      <c r="K10" s="7" t="n"/>
    </row>
    <row r="11">
      <c r="A11" s="7" t="n"/>
      <c r="B11" s="7" t="n"/>
      <c r="C11" s="7" t="n"/>
      <c r="D11" s="7" t="n"/>
      <c r="E11" s="7" t="n"/>
      <c r="F11" s="7" t="n"/>
      <c r="G11" s="7" t="n"/>
      <c r="H11" s="7" t="n"/>
      <c r="I11" s="7" t="n"/>
      <c r="J11" s="7" t="n"/>
      <c r="K11" s="7" t="n"/>
    </row>
    <row r="12">
      <c r="A12" s="7" t="n"/>
      <c r="B12" s="7" t="n"/>
      <c r="C12" s="7" t="n"/>
      <c r="D12" s="7" t="n"/>
      <c r="E12" s="7" t="n"/>
      <c r="F12" s="7" t="n"/>
      <c r="G12" s="7" t="n"/>
      <c r="H12" s="7" t="n"/>
      <c r="I12" s="7" t="n"/>
      <c r="J12" s="7" t="n"/>
      <c r="K12" s="7" t="n"/>
    </row>
    <row r="13">
      <c r="A13" s="7" t="n"/>
      <c r="B13" s="7" t="n"/>
      <c r="C13" s="7" t="n"/>
      <c r="D13" s="7" t="n"/>
      <c r="E13" s="7" t="n"/>
      <c r="F13" s="7" t="n"/>
      <c r="G13" s="7" t="n"/>
      <c r="H13" s="7" t="n"/>
      <c r="I13" s="7" t="n"/>
      <c r="J13" s="7" t="n"/>
      <c r="K13" s="7" t="n"/>
    </row>
    <row r="14">
      <c r="A14" s="7" t="n"/>
      <c r="B14" s="7" t="n"/>
      <c r="C14" s="7" t="n"/>
      <c r="D14" s="7" t="n"/>
      <c r="E14" s="7" t="n"/>
      <c r="F14" s="7" t="n"/>
      <c r="G14" s="7" t="n"/>
      <c r="H14" s="7" t="n"/>
      <c r="I14" s="7" t="n"/>
      <c r="J14" s="7" t="n"/>
      <c r="K14" s="7" t="n"/>
    </row>
    <row r="15">
      <c r="A15" s="7" t="n"/>
      <c r="B15" s="7" t="n"/>
      <c r="C15" s="7" t="n"/>
      <c r="D15" s="7" t="n"/>
      <c r="E15" s="7" t="n"/>
      <c r="F15" s="7" t="n"/>
      <c r="G15" s="7" t="n"/>
      <c r="H15" s="7" t="n"/>
      <c r="I15" s="7" t="n"/>
      <c r="J15" s="7" t="n"/>
      <c r="K15" s="7" t="n"/>
    </row>
    <row r="16">
      <c r="A16" s="7" t="n"/>
      <c r="B16" s="7" t="n"/>
      <c r="C16" s="7" t="n"/>
      <c r="D16" s="7" t="n"/>
      <c r="E16" s="7" t="n"/>
      <c r="F16" s="7" t="n"/>
      <c r="G16" s="7" t="n"/>
      <c r="H16" s="7" t="n"/>
      <c r="I16" s="7" t="n"/>
      <c r="J16" s="7" t="n"/>
      <c r="K16" s="7" t="n"/>
    </row>
    <row r="17">
      <c r="A17" s="7" t="n"/>
      <c r="B17" s="7" t="n"/>
      <c r="C17" s="7" t="n"/>
      <c r="D17" s="7" t="n"/>
      <c r="E17" s="7" t="n"/>
      <c r="F17" s="7" t="n"/>
      <c r="G17" s="7" t="n"/>
      <c r="H17" s="7" t="n"/>
      <c r="I17" s="7" t="n"/>
      <c r="J17" s="7" t="n"/>
      <c r="K17" s="7" t="n"/>
    </row>
    <row r="18">
      <c r="A18" s="7" t="n"/>
      <c r="B18" s="7" t="n"/>
      <c r="C18" s="7" t="n"/>
      <c r="D18" s="7" t="n"/>
      <c r="E18" s="7" t="n"/>
      <c r="F18" s="7" t="n"/>
      <c r="G18" s="7" t="n"/>
      <c r="H18" s="7" t="n"/>
      <c r="I18" s="7" t="n"/>
      <c r="J18" s="7" t="n"/>
      <c r="K18" s="7" t="n"/>
    </row>
    <row r="19">
      <c r="A19" s="7" t="n"/>
      <c r="B19" s="7" t="n"/>
      <c r="C19" s="7" t="n"/>
      <c r="D19" s="7" t="n"/>
      <c r="E19" s="7" t="n"/>
      <c r="F19" s="7" t="n"/>
      <c r="G19" s="7" t="n"/>
      <c r="H19" s="7" t="n"/>
      <c r="I19" s="7" t="n"/>
      <c r="J19" s="7" t="n"/>
      <c r="K19" s="7" t="n"/>
    </row>
    <row r="20">
      <c r="A20" s="7" t="n"/>
      <c r="B20" s="7" t="n"/>
      <c r="C20" s="7" t="n"/>
      <c r="D20" s="7" t="n"/>
      <c r="E20" s="7" t="n"/>
      <c r="F20" s="7" t="n"/>
      <c r="G20" s="7" t="n"/>
      <c r="H20" s="7" t="n"/>
      <c r="I20" s="7" t="n"/>
      <c r="J20" s="7" t="n"/>
      <c r="K20" s="7" t="n"/>
    </row>
    <row r="21">
      <c r="A21" s="7" t="n"/>
      <c r="B21" s="7" t="n"/>
      <c r="C21" s="7" t="n"/>
      <c r="D21" s="7" t="n"/>
      <c r="E21" s="7" t="n"/>
      <c r="F21" s="7" t="n"/>
      <c r="G21" s="7" t="n"/>
      <c r="H21" s="7" t="n"/>
      <c r="I21" s="7" t="n"/>
      <c r="J21" s="7" t="n"/>
      <c r="K21" s="7" t="n"/>
    </row>
    <row r="22">
      <c r="A22" s="7" t="n"/>
      <c r="B22" s="7" t="n"/>
      <c r="C22" s="7" t="n"/>
      <c r="D22" s="7" t="n"/>
      <c r="E22" s="7" t="n"/>
      <c r="F22" s="7" t="n"/>
      <c r="G22" s="7" t="n"/>
      <c r="H22" s="7" t="n"/>
      <c r="I22" s="7" t="n"/>
      <c r="J22" s="7" t="n"/>
      <c r="K22" s="7" t="n"/>
    </row>
    <row r="23">
      <c r="A23" s="7" t="n"/>
      <c r="B23" s="7" t="n"/>
      <c r="C23" s="7" t="n"/>
      <c r="D23" s="7" t="n"/>
      <c r="E23" s="7" t="n"/>
      <c r="F23" s="7" t="n"/>
      <c r="G23" s="7" t="n"/>
      <c r="H23" s="7" t="n"/>
      <c r="I23" s="7" t="n"/>
      <c r="J23" s="7" t="n"/>
      <c r="K23" s="7" t="n"/>
    </row>
  </sheetData>
  <mergeCells count="1">
    <mergeCell ref="A1:K1"/>
  </mergeCells>
  <dataValidations count="4">
    <dataValidation sqref="E4 E5 E6 E7 E8 E9 E10 E11 E12 E13 E14 E15 E16 E17 E18 E19 E20 E21 E22 E23" showDropDown="0" showInputMessage="0" showErrorMessage="0" allowBlank="0" type="list">
      <formula1>"Normal,Elevated,Degraded,Emergency"</formula1>
    </dataValidation>
    <dataValidation sqref="F4 F5 F6 F7 F8 F9 F10 F11 F12 F13 F14 F15 F16 F17 F18 F19 F20 F21 F22 F23 H4 H5 H6 H7 H8 H9 H10 H11 H12 H13 H14 H15 H16 H17 H18 H19 H20 H21 H22 H23 J4 J5 J6 J7 J8 J9 J10 J11 J12 J13 J14 J15 J16 J17 J18 J19 J20 J21 J22 J23" showDropDown="0" showInputMessage="0" showErrorMessage="0" allowBlank="0" type="list">
      <formula1>"Yes,No"</formula1>
    </dataValidation>
    <dataValidation sqref="I4 I5 I6 I7 I8 I9 I10 I11 I12 I13 I14 I15 I16 I17 I18 I19 I20 I21 I22 I23" showDropDown="0" showInputMessage="0" showErrorMessage="0" allowBlank="0" type="list">
      <formula1>"Immediate,Short-term,Medium-term,Long-term,Not Completed"</formula1>
    </dataValidation>
    <dataValidation sqref="K4 K5 K6 K7 K8 K9 K10 K11 K12 K13 K14 K15 K16 K17 K18 K19 K20 K21 K22 K23" showDropDown="0" showInputMessage="0" showErrorMessage="0" allowBlank="0" type="list">
      <formula1>"No Issues,Minor Issues,Major Issues"</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5" customWidth="1" min="1" max="1"/>
    <col width="18" customWidth="1" min="2" max="2"/>
    <col width="18" customWidth="1" min="3" max="3"/>
    <col width="22" customWidth="1" min="4" max="4"/>
    <col width="20" customWidth="1" min="5" max="5"/>
    <col width="18" customWidth="1" min="6" max="6"/>
    <col width="20" customWidth="1" min="7" max="7"/>
    <col width="15" customWidth="1" min="8" max="8"/>
    <col width="12" customWidth="1" min="9" max="9"/>
  </cols>
  <sheetData>
    <row r="1" ht="30" customHeight="1">
      <c r="A1" s="5" t="inlineStr">
        <is>
          <t>TREND ANALYSIS</t>
        </is>
      </c>
    </row>
    <row r="3">
      <c r="A3" s="9" t="inlineStr">
        <is>
          <t>Period</t>
        </is>
      </c>
      <c r="B3" s="9" t="inlineStr">
        <is>
          <t>BCDR_Coverage_Pct</t>
        </is>
      </c>
      <c r="C3" s="9" t="inlineStr">
        <is>
          <t>Emergency_Test_Pct</t>
        </is>
      </c>
      <c r="D3" s="9" t="inlineStr">
        <is>
          <t>Personnel_Availability_Pct</t>
        </is>
      </c>
      <c r="E3" s="9" t="inlineStr">
        <is>
          <t>Security_Debt_Over90</t>
        </is>
      </c>
      <c r="F3" s="9" t="inlineStr">
        <is>
          <t>Disruptions_Count</t>
        </is>
      </c>
      <c r="G3" s="9" t="inlineStr">
        <is>
          <t>Security_Incidents_Count</t>
        </is>
      </c>
      <c r="H3" s="9" t="inlineStr">
        <is>
          <t>Overall_Score</t>
        </is>
      </c>
      <c r="I3" s="9" t="inlineStr">
        <is>
          <t>Trend</t>
        </is>
      </c>
    </row>
    <row r="4">
      <c r="A4" t="inlineStr">
        <is>
          <t>2025-Q1</t>
        </is>
      </c>
      <c r="B4" s="12" t="n"/>
      <c r="C4" s="12" t="n"/>
      <c r="D4" s="12" t="n"/>
      <c r="E4" s="7" t="n"/>
      <c r="F4" s="7" t="n"/>
      <c r="G4" s="7" t="n"/>
      <c r="H4" s="11">
        <f>IF(B4&lt;&gt;"",AVERAGE(B4:D4),"")</f>
        <v/>
      </c>
      <c r="I4" s="7" t="n"/>
    </row>
    <row r="5">
      <c r="A5" t="inlineStr">
        <is>
          <t>2025-Q2</t>
        </is>
      </c>
      <c r="B5" s="12" t="n"/>
      <c r="C5" s="12" t="n"/>
      <c r="D5" s="12" t="n"/>
      <c r="E5" s="7" t="n"/>
      <c r="F5" s="7" t="n"/>
      <c r="G5" s="7" t="n"/>
      <c r="H5" s="11">
        <f>IF(B5&lt;&gt;"",AVERAGE(B5:D5),"")</f>
        <v/>
      </c>
      <c r="I5" s="7" t="n"/>
    </row>
    <row r="6">
      <c r="A6" t="inlineStr">
        <is>
          <t>2025-Q3</t>
        </is>
      </c>
      <c r="B6" s="12" t="n"/>
      <c r="C6" s="12" t="n"/>
      <c r="D6" s="12" t="n"/>
      <c r="E6" s="7" t="n"/>
      <c r="F6" s="7" t="n"/>
      <c r="G6" s="7" t="n"/>
      <c r="H6" s="11">
        <f>IF(B6&lt;&gt;"",AVERAGE(B6:D6),"")</f>
        <v/>
      </c>
      <c r="I6" s="7" t="n"/>
    </row>
    <row r="7">
      <c r="A7" t="inlineStr">
        <is>
          <t>2025-Q4</t>
        </is>
      </c>
      <c r="B7" s="12" t="n"/>
      <c r="C7" s="12" t="n"/>
      <c r="D7" s="12" t="n"/>
      <c r="E7" s="7" t="n"/>
      <c r="F7" s="7" t="n"/>
      <c r="G7" s="7" t="n"/>
      <c r="H7" s="11">
        <f>IF(B7&lt;&gt;"",AVERAGE(B7:D7),"")</f>
        <v/>
      </c>
      <c r="I7" s="7" t="n"/>
    </row>
    <row r="8">
      <c r="A8" t="inlineStr">
        <is>
          <t>2026-Q1</t>
        </is>
      </c>
      <c r="B8" s="12" t="n"/>
      <c r="C8" s="12" t="n"/>
      <c r="D8" s="12" t="n"/>
      <c r="E8" s="7" t="n"/>
      <c r="F8" s="7" t="n"/>
      <c r="G8" s="7" t="n"/>
      <c r="H8" s="11">
        <f>IF(B8&lt;&gt;"",AVERAGE(B8:D8),"")</f>
        <v/>
      </c>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c r="A16" s="7" t="n"/>
      <c r="B16" s="7" t="n"/>
      <c r="C16" s="7" t="n"/>
      <c r="D16" s="7" t="n"/>
      <c r="E16" s="7" t="n"/>
      <c r="F16" s="7" t="n"/>
      <c r="G16" s="7" t="n"/>
      <c r="H16" s="7" t="n"/>
      <c r="I16" s="7" t="n"/>
    </row>
  </sheetData>
  <mergeCells count="1">
    <mergeCell ref="A1: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2" customWidth="1" min="1" max="1"/>
    <col width="35" customWidth="1" min="2" max="2"/>
    <col width="18" customWidth="1" min="3" max="3"/>
    <col width="50" customWidth="1" min="4" max="4"/>
    <col width="25" customWidth="1" min="5" max="5"/>
    <col width="16" customWidth="1" min="6" max="6"/>
    <col width="18" customWidth="1" min="7" max="7"/>
    <col width="25" customWidth="1" min="8" max="8"/>
    <col width="15" customWidth="1" min="9" max="9"/>
  </cols>
  <sheetData>
    <row r="1" ht="30" customHeight="1">
      <c r="A1" s="5" t="inlineStr">
        <is>
          <t>DATA SOURCES</t>
        </is>
      </c>
    </row>
    <row r="3">
      <c r="A3" s="9" t="inlineStr">
        <is>
          <t>Source_ID</t>
        </is>
      </c>
      <c r="B3" s="9" t="inlineStr">
        <is>
          <t>Source_Name</t>
        </is>
      </c>
      <c r="C3" s="9" t="inlineStr">
        <is>
          <t>Source_Type</t>
        </is>
      </c>
      <c r="D3" s="9" t="inlineStr">
        <is>
          <t>File_Path</t>
        </is>
      </c>
      <c r="E3" s="9" t="inlineStr">
        <is>
          <t>Sheet_Name</t>
        </is>
      </c>
      <c r="F3" s="9" t="inlineStr">
        <is>
          <t>Last_Updated</t>
        </is>
      </c>
      <c r="G3" s="9" t="inlineStr">
        <is>
          <t>Update_Frequency</t>
        </is>
      </c>
      <c r="H3" s="9" t="inlineStr">
        <is>
          <t>Data_Owner</t>
        </is>
      </c>
      <c r="I3" s="9" t="inlineStr">
        <is>
          <t>Link_Status</t>
        </is>
      </c>
    </row>
    <row r="4">
      <c r="A4" s="13" t="inlineStr">
        <is>
          <t>DS-001</t>
        </is>
      </c>
      <c r="B4" s="13" t="inlineStr">
        <is>
          <t>Security Controls During Disruption</t>
        </is>
      </c>
      <c r="C4" s="13" t="inlineStr">
        <is>
          <t>Workbook</t>
        </is>
      </c>
      <c r="D4" s="13" t="inlineStr">
        <is>
          <t>ISMS-IMP-A.5.29.1_*.xlsx</t>
        </is>
      </c>
      <c r="E4" s="13" t="inlineStr">
        <is>
          <t>BCDR_Security_Review</t>
        </is>
      </c>
      <c r="F4" s="14" t="n"/>
      <c r="G4" s="14" t="n"/>
      <c r="H4" s="14" t="n"/>
      <c r="I4" s="14" t="n"/>
    </row>
    <row r="5">
      <c r="A5" s="13" t="inlineStr">
        <is>
          <t>DS-002</t>
        </is>
      </c>
      <c r="B5" s="13" t="inlineStr">
        <is>
          <t>Degraded Mode Requirements</t>
        </is>
      </c>
      <c r="C5" s="13" t="inlineStr">
        <is>
          <t>Workbook</t>
        </is>
      </c>
      <c r="D5" s="13" t="inlineStr">
        <is>
          <t>ISMS-IMP-A.5.29.2_*.xlsx</t>
        </is>
      </c>
      <c r="E5" s="13" t="inlineStr">
        <is>
          <t>BreakGlass_Accounts</t>
        </is>
      </c>
      <c r="F5" s="14" t="n"/>
      <c r="G5" s="14" t="n"/>
      <c r="H5" s="14" t="n"/>
      <c r="I5" s="14" t="n"/>
    </row>
    <row r="6">
      <c r="A6" s="13" t="inlineStr">
        <is>
          <t>DS-003</t>
        </is>
      </c>
      <c r="B6" s="13" t="inlineStr">
        <is>
          <t>Degraded Mode Requirements</t>
        </is>
      </c>
      <c r="C6" s="13" t="inlineStr">
        <is>
          <t>Workbook</t>
        </is>
      </c>
      <c r="D6" s="13" t="inlineStr">
        <is>
          <t>ISMS-IMP-A.5.29.2_*.xlsx</t>
        </is>
      </c>
      <c r="E6" s="13" t="inlineStr">
        <is>
          <t>Personnel_Availability</t>
        </is>
      </c>
      <c r="F6" s="14" t="n"/>
      <c r="G6" s="14" t="n"/>
      <c r="H6" s="14" t="n"/>
      <c r="I6" s="14" t="n"/>
    </row>
    <row r="7">
      <c r="A7" s="13" t="inlineStr">
        <is>
          <t>DS-004</t>
        </is>
      </c>
      <c r="B7" s="13" t="inlineStr">
        <is>
          <t>Degraded Mode Requirements</t>
        </is>
      </c>
      <c r="C7" s="13" t="inlineStr">
        <is>
          <t>Workbook</t>
        </is>
      </c>
      <c r="D7" s="13" t="inlineStr">
        <is>
          <t>ISMS-IMP-A.5.29.2_*.xlsx</t>
        </is>
      </c>
      <c r="E7" s="13" t="inlineStr">
        <is>
          <t>Security_Debt_Register</t>
        </is>
      </c>
      <c r="F7" s="14" t="n"/>
      <c r="G7" s="14" t="n"/>
      <c r="H7" s="14" t="n"/>
      <c r="I7" s="14" t="n"/>
    </row>
    <row r="8">
      <c r="A8" s="13" t="inlineStr">
        <is>
          <t>DS-005</t>
        </is>
      </c>
      <c r="B8" s="13" t="inlineStr">
        <is>
          <t>Recovery Verification</t>
        </is>
      </c>
      <c r="C8" s="13" t="inlineStr">
        <is>
          <t>Workbook</t>
        </is>
      </c>
      <c r="D8" s="13" t="inlineStr">
        <is>
          <t>ISMS-IMP-A.5.29.3_*.xlsx</t>
        </is>
      </c>
      <c r="E8" s="13" t="inlineStr">
        <is>
          <t>Lessons_Learned</t>
        </is>
      </c>
      <c r="F8" s="14" t="n"/>
      <c r="G8" s="14" t="n"/>
      <c r="H8" s="14" t="n"/>
      <c r="I8" s="14"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c r="A16" s="7" t="n"/>
      <c r="B16" s="7" t="n"/>
      <c r="C16" s="7" t="n"/>
      <c r="D16" s="7" t="n"/>
      <c r="E16" s="7" t="n"/>
      <c r="F16" s="7" t="n"/>
      <c r="G16" s="7" t="n"/>
      <c r="H16" s="7" t="n"/>
      <c r="I16" s="7" t="n"/>
    </row>
    <row r="17">
      <c r="A17" s="7" t="n"/>
      <c r="B17" s="7" t="n"/>
      <c r="C17" s="7" t="n"/>
      <c r="D17" s="7" t="n"/>
      <c r="E17" s="7" t="n"/>
      <c r="F17" s="7" t="n"/>
      <c r="G17" s="7" t="n"/>
      <c r="H17" s="7" t="n"/>
      <c r="I17" s="7" t="n"/>
    </row>
    <row r="18">
      <c r="A18" s="7" t="n"/>
      <c r="B18" s="7" t="n"/>
      <c r="C18" s="7" t="n"/>
      <c r="D18" s="7" t="n"/>
      <c r="E18" s="7" t="n"/>
      <c r="F18" s="7" t="n"/>
      <c r="G18" s="7" t="n"/>
      <c r="H18" s="7" t="n"/>
      <c r="I18" s="7" t="n"/>
    </row>
  </sheetData>
  <mergeCells count="1">
    <mergeCell ref="A1:I1"/>
  </mergeCells>
  <dataValidations count="2">
    <dataValidation sqref="C4 C5 C6 C7 C8 C9 C10 C11 C12 C13 C14 C15 C16 C17 C18" showDropDown="0" showInputMessage="0" showErrorMessage="0" allowBlank="0" type="list">
      <formula1>"Workbook,Database,Manual Entry"</formula1>
    </dataValidation>
    <dataValidation sqref="I4 I5 I6 I7 I8 I9 I10 I11 I12 I13 I14 I15 I16 I17 I18" showDropDown="0" showInputMessage="0" showErrorMessage="0" allowBlank="0" type="list">
      <formula1>"Active,Broken,Not Linked"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1"/>
  <sheetViews>
    <sheetView workbookViewId="0">
      <pane ySplit="3" topLeftCell="A4" activePane="bottomLeft" state="frozen"/>
      <selection pane="bottomLeft" activeCell="A1" sqref="A1"/>
    </sheetView>
  </sheetViews>
  <sheetFormatPr baseColWidth="8" defaultRowHeight="15"/>
  <cols>
    <col width="35" customWidth="1" min="1" max="1"/>
    <col width="50" customWidth="1" min="2" max="2"/>
  </cols>
  <sheetData>
    <row r="1" ht="40" customHeight="1">
      <c r="A1" s="5" t="inlineStr">
        <is>
          <t>ISMS-IMP-A.5.29.4 - Compliance Dashboard
ISO/IEC 27001:2022 - Control A.5.29: Information Security During Disruption</t>
        </is>
      </c>
    </row>
    <row r="3">
      <c r="A3" s="3" t="inlineStr">
        <is>
          <t>Document Information</t>
        </is>
      </c>
    </row>
    <row r="4">
      <c r="A4" s="6" t="inlineStr">
        <is>
          <t>Document ID</t>
        </is>
      </c>
      <c r="B4" t="inlineStr">
        <is>
          <t>ISMS-IMP-A.5.29.4</t>
        </is>
      </c>
    </row>
    <row r="5">
      <c r="A5" s="6" t="inlineStr">
        <is>
          <t>Dashboard Type</t>
        </is>
      </c>
      <c r="B5" t="inlineStr">
        <is>
          <t>Compliance Dashboard</t>
        </is>
      </c>
    </row>
    <row r="6">
      <c r="A6" s="6" t="inlineStr">
        <is>
          <t>Control Reference</t>
        </is>
      </c>
      <c r="B6" t="inlineStr">
        <is>
          <t>A.5.29</t>
        </is>
      </c>
    </row>
    <row r="7">
      <c r="A7" s="6" t="inlineStr">
        <is>
          <t>Version</t>
        </is>
      </c>
      <c r="B7" t="inlineStr">
        <is>
          <t>1.0</t>
        </is>
      </c>
    </row>
    <row r="8">
      <c r="A8" s="6" t="inlineStr">
        <is>
          <t>Generated Date</t>
        </is>
      </c>
      <c r="B8" t="inlineStr">
        <is>
          <t>08.02.2026</t>
        </is>
      </c>
    </row>
    <row r="9">
      <c r="A9" s="6" t="inlineStr">
        <is>
          <t>Update Frequency</t>
        </is>
      </c>
      <c r="B9" t="inlineStr">
        <is>
          <t>Monthly</t>
        </is>
      </c>
    </row>
    <row r="10">
      <c r="A10" s="6" t="inlineStr">
        <is>
          <t>Owner</t>
        </is>
      </c>
      <c r="B10" t="inlineStr">
        <is>
          <t>CISO</t>
        </is>
      </c>
    </row>
    <row r="12">
      <c r="A12" s="3" t="inlineStr">
        <is>
          <t>HOW TO USE THIS DASHBOARD</t>
        </is>
      </c>
    </row>
    <row r="13">
      <c r="A13" t="inlineStr">
        <is>
          <t>1. Update Data_Sources with links to source workbooks</t>
        </is>
      </c>
    </row>
    <row r="14">
      <c r="A14" t="inlineStr">
        <is>
          <t>2. Refresh BCDR_Security_Status from ISMS-IMP-A.5.29.1</t>
        </is>
      </c>
    </row>
    <row r="15">
      <c r="A15" t="inlineStr">
        <is>
          <t>3. Refresh Emergency_Access_Status from ISMS-IMP-A.5.29.2</t>
        </is>
      </c>
    </row>
    <row r="16">
      <c r="A16" t="inlineStr">
        <is>
          <t>4. Refresh Personnel_Status from ISMS-IMP-A.5.29.2</t>
        </is>
      </c>
    </row>
    <row r="17">
      <c r="A17" t="inlineStr">
        <is>
          <t>5. Update Security_Debt_Status monthly</t>
        </is>
      </c>
    </row>
    <row r="18">
      <c r="A18" t="inlineStr">
        <is>
          <t>6. Record Disruption_History after each incident</t>
        </is>
      </c>
    </row>
    <row r="19">
      <c r="A19" t="inlineStr">
        <is>
          <t>7. Update Trend_Analysis quarterly</t>
        </is>
      </c>
    </row>
    <row r="20">
      <c r="A20" t="inlineStr">
        <is>
          <t>8. Review and update Executive_Dashboard</t>
        </is>
      </c>
    </row>
    <row r="21">
      <c r="A21" t="inlineStr">
        <is>
          <t>9. Obtain monthly CISO approval</t>
        </is>
      </c>
    </row>
  </sheetData>
  <mergeCells count="1">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28" customWidth="1" min="1" max="1"/>
    <col width="35" customWidth="1" min="2" max="2"/>
  </cols>
  <sheetData>
    <row r="1" ht="30" customHeight="1">
      <c r="A1" s="5" t="inlineStr">
        <is>
          <t>DASHBOARD APPROVAL</t>
        </is>
      </c>
    </row>
    <row r="3">
      <c r="A3" s="3" t="inlineStr">
        <is>
          <t>Dashboard Summary</t>
        </is>
      </c>
    </row>
    <row r="4">
      <c r="A4" s="6" t="inlineStr">
        <is>
          <t>Dashboard Document</t>
        </is>
      </c>
      <c r="B4" t="inlineStr">
        <is>
          <t>ISMS-IMP-A.5.29.4 - Compliance Dashboard</t>
        </is>
      </c>
    </row>
    <row r="5">
      <c r="A5" s="6" t="inlineStr">
        <is>
          <t>Reporting Period</t>
        </is>
      </c>
      <c r="B5" s="7" t="inlineStr"/>
    </row>
    <row r="6">
      <c r="A6" s="6" t="inlineStr">
        <is>
          <t>Generated Date</t>
        </is>
      </c>
      <c r="B6" t="inlineStr">
        <is>
          <t>08.02.2026</t>
        </is>
      </c>
    </row>
    <row r="7">
      <c r="A7" s="6" t="inlineStr">
        <is>
          <t>Overall Compliance Score</t>
        </is>
      </c>
      <c r="B7" s="7" t="inlineStr"/>
    </row>
    <row r="8">
      <c r="A8" s="6" t="inlineStr">
        <is>
          <t>Key Issues Count</t>
        </is>
      </c>
      <c r="B8" s="7" t="inlineStr"/>
    </row>
    <row r="11">
      <c r="A11" s="15" t="inlineStr">
        <is>
          <t>PREPARED BY</t>
        </is>
      </c>
    </row>
    <row r="12">
      <c r="A12" s="6" t="inlineStr">
        <is>
          <t>Name:</t>
        </is>
      </c>
      <c r="B12" s="7" t="n"/>
    </row>
    <row r="13">
      <c r="A13" s="6" t="inlineStr">
        <is>
          <t>Role:</t>
        </is>
      </c>
      <c r="B13" s="7" t="n"/>
    </row>
    <row r="14">
      <c r="A14" s="6" t="inlineStr">
        <is>
          <t>Date:</t>
        </is>
      </c>
      <c r="B14" s="7" t="n"/>
    </row>
    <row r="16">
      <c r="A16" s="15" t="inlineStr">
        <is>
          <t>REVIEWED BY (Security Manager)</t>
        </is>
      </c>
    </row>
    <row r="17">
      <c r="A17" s="6" t="inlineStr">
        <is>
          <t>Name:</t>
        </is>
      </c>
      <c r="B17" s="7" t="n"/>
    </row>
    <row r="18">
      <c r="A18" s="6" t="inlineStr">
        <is>
          <t>Date:</t>
        </is>
      </c>
      <c r="B18" s="7" t="n"/>
    </row>
    <row r="19">
      <c r="A19" s="6" t="inlineStr">
        <is>
          <t>Signature:</t>
        </is>
      </c>
      <c r="B19" s="7" t="n"/>
    </row>
    <row r="21">
      <c r="A21" s="16" t="inlineStr">
        <is>
          <t>APPROVED BY (CISO)</t>
        </is>
      </c>
    </row>
    <row r="22">
      <c r="A22" s="6" t="inlineStr">
        <is>
          <t>Name:</t>
        </is>
      </c>
      <c r="B22" s="7" t="n"/>
    </row>
    <row r="23">
      <c r="A23" s="6" t="inlineStr">
        <is>
          <t>Date:</t>
        </is>
      </c>
      <c r="B23" s="7" t="n"/>
    </row>
    <row r="24">
      <c r="A24" s="6" t="inlineStr">
        <is>
          <t>Approval Status:</t>
        </is>
      </c>
      <c r="B24" s="7" t="n"/>
    </row>
    <row r="25">
      <c r="A25" s="6" t="inlineStr">
        <is>
          <t>Comments:</t>
        </is>
      </c>
      <c r="B25" s="7" t="n"/>
    </row>
  </sheetData>
  <mergeCells count="14">
    <mergeCell ref="A21:E21"/>
    <mergeCell ref="B17:E17"/>
    <mergeCell ref="B18:E18"/>
    <mergeCell ref="B23:E23"/>
    <mergeCell ref="A16:E16"/>
    <mergeCell ref="B12:E12"/>
    <mergeCell ref="B13:E13"/>
    <mergeCell ref="A11:E11"/>
    <mergeCell ref="A1:E1"/>
    <mergeCell ref="B25:E25"/>
    <mergeCell ref="B24:E24"/>
    <mergeCell ref="B19:E19"/>
    <mergeCell ref="B22:E22"/>
    <mergeCell ref="B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2026-02-08T11:25:24Z</dcterms:created>
  <dcterms:modified xmlns:dcterms="http://purl.org/dc/terms/" xmlns:xsi="http://www.w3.org/2001/XMLSchema-instance" xsi:type="dcterms:W3CDTF">2026-02-08T11:25:24Z</dcterms:modified>
</cp:coreProperties>
</file>