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flict_Register" sheetId="2" state="visible" r:id="rId2"/>
    <sheet xmlns:r="http://schemas.openxmlformats.org/officeDocument/2006/relationships" name="Impact_Assessment" sheetId="3" state="visible" r:id="rId3"/>
    <sheet xmlns:r="http://schemas.openxmlformats.org/officeDocument/2006/relationships" name="Exploitation_Scenarios" sheetId="4" state="visible" r:id="rId4"/>
    <sheet xmlns:r="http://schemas.openxmlformats.org/officeDocument/2006/relationships" name="Control_Mapping" sheetId="5" state="visible" r:id="rId5"/>
    <sheet xmlns:r="http://schemas.openxmlformats.org/officeDocument/2006/relationships" name="Trend_Analysis" sheetId="6" state="visible" r:id="rId6"/>
    <sheet xmlns:r="http://schemas.openxmlformats.org/officeDocument/2006/relationships" name="Prioritisation_Matrix" sheetId="7" state="visible" r:id="rId7"/>
    <sheet xmlns:r="http://schemas.openxmlformats.org/officeDocument/2006/relationships" name="Evidence_Regi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ISMS-IMP-A.5.3.2 - Conflict Analysis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provides detailed analysis of segregation of duties conflicts.</t>
        </is>
      </c>
    </row>
    <row r="5">
      <c r="A5" t="inlineStr">
        <is>
          <t>It examines WHY conflicts are problematic and HOW they create risk.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Conflict_Register - Master list of all conflicts from A.5.3.1</t>
        </is>
      </c>
    </row>
    <row r="10">
      <c r="A10" t="inlineStr">
        <is>
          <t>3. Impact_Assessment - Detailed impact scoring</t>
        </is>
      </c>
    </row>
    <row r="11">
      <c r="A11" t="inlineStr">
        <is>
          <t>4. Exploitation_Scenarios - How conflicts could be exploited</t>
        </is>
      </c>
    </row>
    <row r="12">
      <c r="A12" t="inlineStr">
        <is>
          <t>5. Control_Mapping - Controls mitigating each conflict</t>
        </is>
      </c>
    </row>
    <row r="13">
      <c r="A13" t="inlineStr">
        <is>
          <t>6. Trend_Analysis - Historical conflict patterns</t>
        </is>
      </c>
    </row>
    <row r="14">
      <c r="A14" t="inlineStr">
        <is>
          <t>7. Prioritisation_Matrix - Risk-based ranking</t>
        </is>
      </c>
    </row>
    <row r="15">
      <c r="A15" t="inlineStr">
        <is>
          <t>8. Evidence_Register - Supporting documentation</t>
        </is>
      </c>
    </row>
    <row r="16">
      <c r="A16" t="inlineStr"/>
    </row>
    <row r="17">
      <c r="A17" s="2" t="inlineStr">
        <is>
          <t>IMPACT SCORING (1-5)</t>
        </is>
      </c>
    </row>
    <row r="18">
      <c r="A18" t="inlineStr">
        <is>
          <t>1 = Minimal impact (e.g., &lt;CHF 10K loss, minor disruption)</t>
        </is>
      </c>
    </row>
    <row r="19">
      <c r="A19" t="inlineStr">
        <is>
          <t>2 = Low impact (e.g., CHF 10-50K loss, limited disruption)</t>
        </is>
      </c>
    </row>
    <row r="20">
      <c r="A20" t="inlineStr">
        <is>
          <t>3 = Moderate impact (e.g., CHF 50-250K loss, significant disruption)</t>
        </is>
      </c>
    </row>
    <row r="21">
      <c r="A21" t="inlineStr">
        <is>
          <t>4 = High impact (e.g., CHF 250K-1M loss, major disruption)</t>
        </is>
      </c>
    </row>
    <row r="22">
      <c r="A22" t="inlineStr">
        <is>
          <t>5 = Critical impact (e.g., &gt;CHF 1M loss, severe/existential impact)</t>
        </is>
      </c>
    </row>
    <row r="23">
      <c r="A23" t="inlineStr"/>
    </row>
    <row r="24">
      <c r="A24" s="2" t="inlineStr">
        <is>
          <t>PRIORITY CALCULATION</t>
        </is>
      </c>
    </row>
    <row r="25">
      <c r="A25" t="inlineStr">
        <is>
          <t>Priority Score = Impact x Likelihood x (1 - Control Effectiveness)</t>
        </is>
      </c>
    </row>
    <row r="26">
      <c r="A26" t="inlineStr">
        <is>
          <t>Critical: 15-25 | High: 10-14 | Medium: 5-9 | Low: 1-4</t>
        </is>
      </c>
    </row>
    <row r="27">
      <c r="A27" t="inlineStr"/>
    </row>
    <row r="28">
      <c r="A28" t="inlineStr">
        <is>
          <t>Generated: 08.02.2026</t>
        </is>
      </c>
    </row>
    <row r="29">
      <c r="A29" t="inlineStr">
        <is>
          <t>Control Reference: ISO/IEC 27001:2022 - Control A.5.3: Segregation of Duties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5" customWidth="1" min="4" max="4"/>
    <col width="25" customWidth="1" min="5" max="5"/>
    <col width="25" customWidth="1" min="6" max="6"/>
    <col width="12" customWidth="1" min="7" max="7"/>
    <col width="15" customWidth="1" min="8" max="8"/>
    <col width="15" customWidth="1" min="9" max="9"/>
  </cols>
  <sheetData>
    <row r="1">
      <c r="A1" s="3" t="inlineStr">
        <is>
          <t>Conflict_ID</t>
        </is>
      </c>
      <c r="B1" s="3" t="inlineStr">
        <is>
          <t>Gap_ID</t>
        </is>
      </c>
      <c r="C1" s="3" t="inlineStr">
        <is>
          <t>Conflict_Category</t>
        </is>
      </c>
      <c r="D1" s="3" t="inlineStr">
        <is>
          <t>Role_A</t>
        </is>
      </c>
      <c r="E1" s="3" t="inlineStr">
        <is>
          <t>Role_B</t>
        </is>
      </c>
      <c r="F1" s="3" t="inlineStr">
        <is>
          <t>Process</t>
        </is>
      </c>
      <c r="G1" s="3" t="inlineStr">
        <is>
          <t>Conflict_Type</t>
        </is>
      </c>
      <c r="H1" s="3" t="inlineStr">
        <is>
          <t>Persons_Affected</t>
        </is>
      </c>
      <c r="I1" s="3" t="inlineStr">
        <is>
          <t>Analysis_Status</t>
        </is>
      </c>
    </row>
    <row r="2">
      <c r="A2" s="4" t="inlineStr">
        <is>
          <t>CON-2026-001</t>
        </is>
      </c>
      <c r="B2" s="4" t="inlineStr">
        <is>
          <t>GAP-2026-001</t>
        </is>
      </c>
      <c r="C2" s="4" t="inlineStr">
        <is>
          <t>Maker-Checker</t>
        </is>
      </c>
      <c r="D2" s="4" t="inlineStr">
        <is>
          <t>AP Clerk</t>
        </is>
      </c>
      <c r="E2" s="4" t="inlineStr">
        <is>
          <t>Treasurer</t>
        </is>
      </c>
      <c r="F2" s="4" t="inlineStr">
        <is>
          <t>Accounts Payable</t>
        </is>
      </c>
      <c r="G2" s="4" t="inlineStr">
        <is>
          <t>X</t>
        </is>
      </c>
      <c r="H2" s="4" t="n">
        <v>2</v>
      </c>
      <c r="I2" s="4" t="inlineStr">
        <is>
          <t>Complete</t>
        </is>
      </c>
    </row>
    <row r="3">
      <c r="A3" s="4" t="inlineStr">
        <is>
          <t>CON-2026-002</t>
        </is>
      </c>
      <c r="B3" s="4" t="inlineStr">
        <is>
          <t>GAP-2026-002</t>
        </is>
      </c>
      <c r="C3" s="4" t="inlineStr">
        <is>
          <t>Developer-Deployer</t>
        </is>
      </c>
      <c r="D3" s="4" t="inlineStr">
        <is>
          <t>Developer</t>
        </is>
      </c>
      <c r="E3" s="4" t="inlineStr">
        <is>
          <t>Release Manager</t>
        </is>
      </c>
      <c r="F3" s="4" t="inlineStr">
        <is>
          <t>Software Development</t>
        </is>
      </c>
      <c r="G3" s="4" t="inlineStr">
        <is>
          <t>X</t>
        </is>
      </c>
      <c r="H3" s="4" t="n">
        <v>1</v>
      </c>
      <c r="I3" s="4" t="inlineStr">
        <is>
          <t>In Progress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</sheetData>
  <dataValidations count="3">
    <dataValidation sqref="C2:C200" showDropDown="0" showInputMessage="0" showErrorMessage="0" allowBlank="0" type="list">
      <formula1>"Maker-Checker,Requestor-Approver,Developer-Deployer,Administrator-Auditor,Creator-Reconciler,Custodian-Owner,Other"</formula1>
    </dataValidation>
    <dataValidation sqref="G2:G200" showDropDown="0" showInputMessage="0" showErrorMessage="0" allowBlank="0" type="list">
      <formula1>"X,C,M"</formula1>
    </dataValidation>
    <dataValidation sqref="I2:I200" showDropDown="0" showInputMessage="0" showErrorMessage="0" allowBlank="0" type="list">
      <formula1>"Pending,In Progress,Complete"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8" customWidth="1" min="5" max="5"/>
    <col width="15" customWidth="1" min="6" max="6"/>
    <col width="15" customWidth="1" min="7" max="7"/>
    <col width="50" customWidth="1" min="8" max="8"/>
    <col width="20" customWidth="1" min="9" max="9"/>
    <col width="15" customWidth="1" min="10" max="10"/>
  </cols>
  <sheetData>
    <row r="1">
      <c r="A1" s="3" t="inlineStr">
        <is>
          <t>Conflict_ID</t>
        </is>
      </c>
      <c r="B1" s="3" t="inlineStr">
        <is>
          <t>Financial_Impact</t>
        </is>
      </c>
      <c r="C1" s="3" t="inlineStr">
        <is>
          <t>Operational_Impact</t>
        </is>
      </c>
      <c r="D1" s="3" t="inlineStr">
        <is>
          <t>Reputational_Impact</t>
        </is>
      </c>
      <c r="E1" s="3" t="inlineStr">
        <is>
          <t>Compliance_Impact</t>
        </is>
      </c>
      <c r="F1" s="3" t="inlineStr">
        <is>
          <t>Data_Impact</t>
        </is>
      </c>
      <c r="G1" s="3" t="inlineStr">
        <is>
          <t>Overall_Impact</t>
        </is>
      </c>
      <c r="H1" s="3" t="inlineStr">
        <is>
          <t>Justification</t>
        </is>
      </c>
      <c r="I1" s="3" t="inlineStr">
        <is>
          <t>Assessor</t>
        </is>
      </c>
      <c r="J1" s="3" t="inlineStr">
        <is>
          <t>Assessment_Date</t>
        </is>
      </c>
    </row>
    <row r="2">
      <c r="A2" s="4" t="n"/>
      <c r="B2" s="4" t="n"/>
      <c r="C2" s="4" t="n"/>
      <c r="D2" s="4" t="n"/>
      <c r="E2" s="4" t="n"/>
      <c r="F2" s="4" t="n"/>
      <c r="G2" s="5">
        <f>MAX(B2:F2)</f>
        <v/>
      </c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5">
        <f>MAX(B3:F3)</f>
        <v/>
      </c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5">
        <f>MAX(B4:F4)</f>
        <v/>
      </c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5">
        <f>MAX(B5:F5)</f>
        <v/>
      </c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5">
        <f>MAX(B6:F6)</f>
        <v/>
      </c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5">
        <f>MAX(B7:F7)</f>
        <v/>
      </c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5">
        <f>MAX(B8:F8)</f>
        <v/>
      </c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5">
        <f>MAX(B9:F9)</f>
        <v/>
      </c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5">
        <f>MAX(B10:F10)</f>
        <v/>
      </c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5">
        <f>MAX(B11:F11)</f>
        <v/>
      </c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5">
        <f>MAX(B12:F12)</f>
        <v/>
      </c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5">
        <f>MAX(B13:F13)</f>
        <v/>
      </c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5">
        <f>MAX(B14:F14)</f>
        <v/>
      </c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5">
        <f>MAX(B15:F15)</f>
        <v/>
      </c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5">
        <f>MAX(B16:F16)</f>
        <v/>
      </c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5">
        <f>MAX(B17:F17)</f>
        <v/>
      </c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5">
        <f>MAX(B18:F18)</f>
        <v/>
      </c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5">
        <f>MAX(B19:F19)</f>
        <v/>
      </c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5">
        <f>MAX(B20:F20)</f>
        <v/>
      </c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5">
        <f>MAX(B21:F21)</f>
        <v/>
      </c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5">
        <f>MAX(B22:F22)</f>
        <v/>
      </c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5">
        <f>MAX(B23:F23)</f>
        <v/>
      </c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5">
        <f>MAX(B24:F24)</f>
        <v/>
      </c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5">
        <f>MAX(B25:F25)</f>
        <v/>
      </c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5">
        <f>MAX(B26:F26)</f>
        <v/>
      </c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5">
        <f>MAX(B27:F27)</f>
        <v/>
      </c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5">
        <f>MAX(B28:F28)</f>
        <v/>
      </c>
      <c r="H28" s="4" t="n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5">
        <f>MAX(B29:F29)</f>
        <v/>
      </c>
      <c r="H29" s="4" t="n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5">
        <f>MAX(B30:F30)</f>
        <v/>
      </c>
      <c r="H30" s="4" t="n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5">
        <f>MAX(B31:F31)</f>
        <v/>
      </c>
      <c r="H31" s="4" t="n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5">
        <f>MAX(B32:F32)</f>
        <v/>
      </c>
      <c r="H32" s="4" t="n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5">
        <f>MAX(B33:F33)</f>
        <v/>
      </c>
      <c r="H33" s="4" t="n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5">
        <f>MAX(B34:F34)</f>
        <v/>
      </c>
      <c r="H34" s="4" t="n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5">
        <f>MAX(B35:F35)</f>
        <v/>
      </c>
      <c r="H35" s="4" t="n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5">
        <f>MAX(B36:F36)</f>
        <v/>
      </c>
      <c r="H36" s="4" t="n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5">
        <f>MAX(B37:F37)</f>
        <v/>
      </c>
      <c r="H37" s="4" t="n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5">
        <f>MAX(B38:F38)</f>
        <v/>
      </c>
      <c r="H38" s="4" t="n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5">
        <f>MAX(B39:F39)</f>
        <v/>
      </c>
      <c r="H39" s="4" t="n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5">
        <f>MAX(B40:F40)</f>
        <v/>
      </c>
      <c r="H40" s="4" t="n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5">
        <f>MAX(B41:F41)</f>
        <v/>
      </c>
      <c r="H41" s="4" t="n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5">
        <f>MAX(B42:F42)</f>
        <v/>
      </c>
      <c r="H42" s="4" t="n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5">
        <f>MAX(B43:F43)</f>
        <v/>
      </c>
      <c r="H43" s="4" t="n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5">
        <f>MAX(B44:F44)</f>
        <v/>
      </c>
      <c r="H44" s="4" t="n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5">
        <f>MAX(B45:F45)</f>
        <v/>
      </c>
      <c r="H45" s="4" t="n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5">
        <f>MAX(B46:F46)</f>
        <v/>
      </c>
      <c r="H46" s="4" t="n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5">
        <f>MAX(B47:F47)</f>
        <v/>
      </c>
      <c r="H47" s="4" t="n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5">
        <f>MAX(B48:F48)</f>
        <v/>
      </c>
      <c r="H48" s="4" t="n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5">
        <f>MAX(B49:F49)</f>
        <v/>
      </c>
      <c r="H49" s="4" t="n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5">
        <f>MAX(B50:F50)</f>
        <v/>
      </c>
      <c r="H50" s="4" t="n"/>
      <c r="I50" s="4" t="n"/>
      <c r="J50" s="4" t="n"/>
    </row>
  </sheetData>
  <dataValidations count="1">
    <dataValidation sqref="B2:F200" showDropDown="0" showInputMessage="0" showErrorMessage="0" allowBlank="0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20" customWidth="1" min="4" max="4"/>
    <col width="25" customWidth="1" min="5" max="5"/>
    <col width="60" customWidth="1" min="6" max="6"/>
    <col width="18" customWidth="1" min="7" max="7"/>
    <col width="15" customWidth="1" min="8" max="8"/>
    <col width="40" customWidth="1" min="9" max="9"/>
  </cols>
  <sheetData>
    <row r="1">
      <c r="A1" s="3" t="inlineStr">
        <is>
          <t>Scenario_ID</t>
        </is>
      </c>
      <c r="B1" s="3" t="inlineStr">
        <is>
          <t>Conflict_ID</t>
        </is>
      </c>
      <c r="C1" s="3" t="inlineStr">
        <is>
          <t>Scenario_Name</t>
        </is>
      </c>
      <c r="D1" s="3" t="inlineStr">
        <is>
          <t>Threat_Actor</t>
        </is>
      </c>
      <c r="E1" s="3" t="inlineStr">
        <is>
          <t>Motivation</t>
        </is>
      </c>
      <c r="F1" s="3" t="inlineStr">
        <is>
          <t>Method</t>
        </is>
      </c>
      <c r="G1" s="3" t="inlineStr">
        <is>
          <t>Detection_Difficulty</t>
        </is>
      </c>
      <c r="H1" s="3" t="inlineStr">
        <is>
          <t>Historical_Precedent</t>
        </is>
      </c>
      <c r="I1" s="3" t="inlineStr">
        <is>
          <t>Reference</t>
        </is>
      </c>
    </row>
    <row r="2">
      <c r="A2" s="4" t="inlineStr">
        <is>
          <t>SCN-2026-001</t>
        </is>
      </c>
      <c r="B2" s="4" t="inlineStr">
        <is>
          <t>CON-2026-001</t>
        </is>
      </c>
      <c r="C2" s="4" t="inlineStr">
        <is>
          <t>Fictitious Vendor Fraud</t>
        </is>
      </c>
      <c r="D2" s="4" t="inlineStr">
        <is>
          <t>Insider-Malicious</t>
        </is>
      </c>
      <c r="E2" s="4" t="inlineStr">
        <is>
          <t>Financial gain</t>
        </is>
      </c>
      <c r="F2" s="4" t="inlineStr">
        <is>
          <t>Create fake vendor, submit invoices, approve own payments</t>
        </is>
      </c>
      <c r="G2" s="4" t="inlineStr">
        <is>
          <t>High</t>
        </is>
      </c>
      <c r="H2" s="4" t="inlineStr">
        <is>
          <t>Yes</t>
        </is>
      </c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</sheetData>
  <dataValidations count="3">
    <dataValidation sqref="D2:D200" showDropDown="0" showInputMessage="0" showErrorMessage="0" allowBlank="0" type="list">
      <formula1>"Insider-Malicious,Insider-Negligent,External-Attacker,Colluding-Parties"</formula1>
    </dataValidation>
    <dataValidation sqref="G2:G200" showDropDown="0" showInputMessage="0" showErrorMessage="0" allowBlank="0" type="list">
      <formula1>"Very High,High,Medium,Low,Very Low"</formula1>
    </dataValidation>
    <dataValidation sqref="H2:H200" showDropDown="0" showInputMessage="0" showErrorMessage="0" allowBlank="0" type="list">
      <formula1>"Yes,No,Unknown"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5" customWidth="1" min="4" max="4"/>
    <col width="15" customWidth="1" min="5" max="5"/>
    <col width="12" customWidth="1" min="6" max="6"/>
    <col width="18" customWidth="1" min="7" max="7"/>
    <col width="50" customWidth="1" min="8" max="8"/>
  </cols>
  <sheetData>
    <row r="1">
      <c r="A1" s="3" t="inlineStr">
        <is>
          <t>Mapping_ID</t>
        </is>
      </c>
      <c r="B1" s="3" t="inlineStr">
        <is>
          <t>Conflict_ID</t>
        </is>
      </c>
      <c r="C1" s="3" t="inlineStr">
        <is>
          <t>Control_ID</t>
        </is>
      </c>
      <c r="D1" s="3" t="inlineStr">
        <is>
          <t>Control_Name</t>
        </is>
      </c>
      <c r="E1" s="3" t="inlineStr">
        <is>
          <t>Control_Type</t>
        </is>
      </c>
      <c r="F1" s="3" t="inlineStr">
        <is>
          <t>Effectiveness</t>
        </is>
      </c>
      <c r="G1" s="3" t="inlineStr">
        <is>
          <t>Implementation_Status</t>
        </is>
      </c>
      <c r="H1" s="3" t="inlineStr">
        <is>
          <t>Gap_Notes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</sheetData>
  <dataValidations count="3">
    <dataValidation sqref="E2:E200" showDropDown="0" showInputMessage="0" showErrorMessage="0" allowBlank="0" type="list">
      <formula1>"Preventive,Detective,Corrective,Compensating"</formula1>
    </dataValidation>
    <dataValidation sqref="F2:F200" showDropDown="0" showInputMessage="0" showErrorMessage="0" allowBlank="0" type="list">
      <formula1>"High,Medium,Low"</formula1>
    </dataValidation>
    <dataValidation sqref="G2:G200" showDropDown="0" showInputMessage="0" showErrorMessage="0" allowBlank="0" type="list">
      <formula1>"Implemented,Partial,Planned,Not Implemented"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50" customWidth="1" min="8" max="8"/>
  </cols>
  <sheetData>
    <row r="1">
      <c r="A1" s="3" t="inlineStr">
        <is>
          <t>Period</t>
        </is>
      </c>
      <c r="B1" s="3" t="inlineStr">
        <is>
          <t>Total_Conflicts</t>
        </is>
      </c>
      <c r="C1" s="3" t="inlineStr">
        <is>
          <t>Critical_Conflicts</t>
        </is>
      </c>
      <c r="D1" s="3" t="inlineStr">
        <is>
          <t>High_Conflicts</t>
        </is>
      </c>
      <c r="E1" s="3" t="inlineStr">
        <is>
          <t>Resolved_Count</t>
        </is>
      </c>
      <c r="F1" s="3" t="inlineStr">
        <is>
          <t>New_Conflicts</t>
        </is>
      </c>
      <c r="G1" s="3" t="inlineStr">
        <is>
          <t>Resolution_Rate</t>
        </is>
      </c>
      <c r="H1" s="3" t="inlineStr">
        <is>
          <t>Trend_Notes</t>
        </is>
      </c>
    </row>
    <row r="2">
      <c r="A2" s="4" t="inlineStr">
        <is>
          <t>2025-Q1</t>
        </is>
      </c>
      <c r="B2" s="4" t="n"/>
      <c r="C2" s="4" t="n"/>
      <c r="D2" s="4" t="n"/>
      <c r="E2" s="4" t="n"/>
      <c r="F2" s="4" t="n"/>
      <c r="G2" s="5">
        <f>IF(B2&gt;0,E2/B2*100,0)</f>
        <v/>
      </c>
      <c r="H2" s="4" t="n"/>
    </row>
    <row r="3">
      <c r="A3" s="4" t="inlineStr">
        <is>
          <t>2025-Q2</t>
        </is>
      </c>
      <c r="B3" s="4" t="n"/>
      <c r="C3" s="4" t="n"/>
      <c r="D3" s="4" t="n"/>
      <c r="E3" s="4" t="n"/>
      <c r="F3" s="4" t="n"/>
      <c r="G3" s="5">
        <f>IF(B3&gt;0,E3/B3*100,0)</f>
        <v/>
      </c>
      <c r="H3" s="4" t="n"/>
    </row>
    <row r="4">
      <c r="A4" s="4" t="inlineStr">
        <is>
          <t>2025-Q3</t>
        </is>
      </c>
      <c r="B4" s="4" t="n"/>
      <c r="C4" s="4" t="n"/>
      <c r="D4" s="4" t="n"/>
      <c r="E4" s="4" t="n"/>
      <c r="F4" s="4" t="n"/>
      <c r="G4" s="5">
        <f>IF(B4&gt;0,E4/B4*100,0)</f>
        <v/>
      </c>
      <c r="H4" s="4" t="n"/>
    </row>
    <row r="5">
      <c r="A5" s="4" t="inlineStr">
        <is>
          <t>2025-Q4</t>
        </is>
      </c>
      <c r="B5" s="4" t="n"/>
      <c r="C5" s="4" t="n"/>
      <c r="D5" s="4" t="n"/>
      <c r="E5" s="4" t="n"/>
      <c r="F5" s="4" t="n"/>
      <c r="G5" s="5">
        <f>IF(B5&gt;0,E5/B5*100,0)</f>
        <v/>
      </c>
      <c r="H5" s="4" t="n"/>
    </row>
    <row r="6">
      <c r="A6" s="4" t="inlineStr">
        <is>
          <t>2026-Q1</t>
        </is>
      </c>
      <c r="B6" s="4" t="n"/>
      <c r="C6" s="4" t="n"/>
      <c r="D6" s="4" t="n"/>
      <c r="E6" s="4" t="n"/>
      <c r="F6" s="4" t="n"/>
      <c r="G6" s="5">
        <f>IF(B6&gt;0,E6/B6*100,0)</f>
        <v/>
      </c>
      <c r="H6" s="4" t="n"/>
    </row>
    <row r="7">
      <c r="A7" s="4" t="n"/>
      <c r="B7" s="4" t="n"/>
      <c r="C7" s="4" t="n"/>
      <c r="D7" s="4" t="n"/>
      <c r="E7" s="4" t="n"/>
      <c r="F7" s="4" t="n"/>
      <c r="G7" s="5">
        <f>IF(B7&gt;0,E7/B7*100,0)</f>
        <v/>
      </c>
      <c r="H7" s="4" t="n"/>
    </row>
    <row r="8">
      <c r="A8" s="4" t="n"/>
      <c r="B8" s="4" t="n"/>
      <c r="C8" s="4" t="n"/>
      <c r="D8" s="4" t="n"/>
      <c r="E8" s="4" t="n"/>
      <c r="F8" s="4" t="n"/>
      <c r="G8" s="5">
        <f>IF(B8&gt;0,E8/B8*100,0)</f>
        <v/>
      </c>
      <c r="H8" s="4" t="n"/>
    </row>
    <row r="9">
      <c r="A9" s="4" t="n"/>
      <c r="B9" s="4" t="n"/>
      <c r="C9" s="4" t="n"/>
      <c r="D9" s="4" t="n"/>
      <c r="E9" s="4" t="n"/>
      <c r="F9" s="4" t="n"/>
      <c r="G9" s="5">
        <f>IF(B9&gt;0,E9/B9*100,0)</f>
        <v/>
      </c>
      <c r="H9" s="4" t="n"/>
    </row>
    <row r="10">
      <c r="A10" s="4" t="n"/>
      <c r="B10" s="4" t="n"/>
      <c r="C10" s="4" t="n"/>
      <c r="D10" s="4" t="n"/>
      <c r="E10" s="4" t="n"/>
      <c r="F10" s="4" t="n"/>
      <c r="G10" s="5">
        <f>IF(B10&gt;0,E10/B10*100,0)</f>
        <v/>
      </c>
      <c r="H10" s="4" t="n"/>
    </row>
    <row r="11">
      <c r="A11" s="4" t="n"/>
      <c r="B11" s="4" t="n"/>
      <c r="C11" s="4" t="n"/>
      <c r="D11" s="4" t="n"/>
      <c r="E11" s="4" t="n"/>
      <c r="F11" s="4" t="n"/>
      <c r="G11" s="5">
        <f>IF(B11&gt;0,E11/B11*100,0)</f>
        <v/>
      </c>
      <c r="H11" s="4" t="n"/>
    </row>
    <row r="12">
      <c r="A12" s="4" t="n"/>
      <c r="B12" s="4" t="n"/>
      <c r="C12" s="4" t="n"/>
      <c r="D12" s="4" t="n"/>
      <c r="E12" s="4" t="n"/>
      <c r="F12" s="4" t="n"/>
      <c r="G12" s="5">
        <f>IF(B12&gt;0,E12/B12*100,0)</f>
        <v/>
      </c>
      <c r="H12" s="4" t="n"/>
    </row>
    <row r="13">
      <c r="A13" s="4" t="n"/>
      <c r="B13" s="4" t="n"/>
      <c r="C13" s="4" t="n"/>
      <c r="D13" s="4" t="n"/>
      <c r="E13" s="4" t="n"/>
      <c r="F13" s="4" t="n"/>
      <c r="G13" s="5">
        <f>IF(B13&gt;0,E13/B13*100,0)</f>
        <v/>
      </c>
      <c r="H13" s="4" t="n"/>
    </row>
    <row r="14">
      <c r="A14" s="4" t="n"/>
      <c r="B14" s="4" t="n"/>
      <c r="C14" s="4" t="n"/>
      <c r="D14" s="4" t="n"/>
      <c r="E14" s="4" t="n"/>
      <c r="F14" s="4" t="n"/>
      <c r="G14" s="5">
        <f>IF(B14&gt;0,E14/B14*100,0)</f>
        <v/>
      </c>
      <c r="H14" s="4" t="n"/>
    </row>
    <row r="15">
      <c r="A15" s="4" t="n"/>
      <c r="B15" s="4" t="n"/>
      <c r="C15" s="4" t="n"/>
      <c r="D15" s="4" t="n"/>
      <c r="E15" s="4" t="n"/>
      <c r="F15" s="4" t="n"/>
      <c r="G15" s="5">
        <f>IF(B15&gt;0,E15/B15*100,0)</f>
        <v/>
      </c>
      <c r="H15" s="4" t="n"/>
    </row>
    <row r="16">
      <c r="A16" s="4" t="n"/>
      <c r="B16" s="4" t="n"/>
      <c r="C16" s="4" t="n"/>
      <c r="D16" s="4" t="n"/>
      <c r="E16" s="4" t="n"/>
      <c r="F16" s="4" t="n"/>
      <c r="G16" s="5">
        <f>IF(B16&gt;0,E16/B16*100,0)</f>
        <v/>
      </c>
      <c r="H16" s="4" t="n"/>
    </row>
    <row r="17">
      <c r="A17" s="4" t="n"/>
      <c r="B17" s="4" t="n"/>
      <c r="C17" s="4" t="n"/>
      <c r="D17" s="4" t="n"/>
      <c r="E17" s="4" t="n"/>
      <c r="F17" s="4" t="n"/>
      <c r="G17" s="5">
        <f>IF(B17&gt;0,E17/B17*100,0)</f>
        <v/>
      </c>
      <c r="H17" s="4" t="n"/>
    </row>
    <row r="18">
      <c r="A18" s="4" t="n"/>
      <c r="B18" s="4" t="n"/>
      <c r="C18" s="4" t="n"/>
      <c r="D18" s="4" t="n"/>
      <c r="E18" s="4" t="n"/>
      <c r="F18" s="4" t="n"/>
      <c r="G18" s="5">
        <f>IF(B18&gt;0,E18/B18*100,0)</f>
        <v/>
      </c>
      <c r="H18" s="4" t="n"/>
    </row>
    <row r="19">
      <c r="A19" s="4" t="n"/>
      <c r="B19" s="4" t="n"/>
      <c r="C19" s="4" t="n"/>
      <c r="D19" s="4" t="n"/>
      <c r="E19" s="4" t="n"/>
      <c r="F19" s="4" t="n"/>
      <c r="G19" s="5">
        <f>IF(B19&gt;0,E19/B19*100,0)</f>
        <v/>
      </c>
      <c r="H19" s="4" t="n"/>
    </row>
    <row r="20">
      <c r="A20" s="4" t="n"/>
      <c r="B20" s="4" t="n"/>
      <c r="C20" s="4" t="n"/>
      <c r="D20" s="4" t="n"/>
      <c r="E20" s="4" t="n"/>
      <c r="F20" s="4" t="n"/>
      <c r="G20" s="5">
        <f>IF(B20&gt;0,E20/B20*100,0)</f>
        <v/>
      </c>
      <c r="H20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25" customWidth="1" min="8" max="8"/>
  </cols>
  <sheetData>
    <row r="1">
      <c r="A1" s="3" t="inlineStr">
        <is>
          <t>Conflict_ID</t>
        </is>
      </c>
      <c r="B1" s="3" t="inlineStr">
        <is>
          <t>Impact_Score</t>
        </is>
      </c>
      <c r="C1" s="3" t="inlineStr">
        <is>
          <t>Likelihood_Score</t>
        </is>
      </c>
      <c r="D1" s="3" t="inlineStr">
        <is>
          <t>Control_Effectiveness</t>
        </is>
      </c>
      <c r="E1" s="3" t="inlineStr">
        <is>
          <t>Priority_Score</t>
        </is>
      </c>
      <c r="F1" s="3" t="inlineStr">
        <is>
          <t>Priority_Level</t>
        </is>
      </c>
      <c r="G1" s="3" t="inlineStr">
        <is>
          <t>Action_Timeline</t>
        </is>
      </c>
      <c r="H1" s="3" t="inlineStr">
        <is>
          <t>Assigned_To</t>
        </is>
      </c>
    </row>
    <row r="2">
      <c r="A2" s="4" t="n"/>
      <c r="B2" s="4" t="n"/>
      <c r="C2" s="4" t="n"/>
      <c r="D2" s="4" t="n"/>
      <c r="E2" s="5">
        <f>IF(AND(B2&lt;&gt;"",C2&lt;&gt;""),B2*C2*(1-D2),"")</f>
        <v/>
      </c>
      <c r="F2" s="5">
        <f>IF(E2="","",IF(E2&gt;=15,"Critical",IF(E2&gt;=10,"High",IF(E2&gt;=5,"Medium","Low"))))</f>
        <v/>
      </c>
      <c r="G2" s="5">
        <f>IF(F2="","",IF(F2="Critical","Immediate (&lt;7 days)",IF(F2="High","Short-term (&lt;30 days)",IF(F2="Medium","Medium-term (&lt;90 days)","Long-term (&lt;180 days)"))))</f>
        <v/>
      </c>
      <c r="H2" s="4" t="n"/>
    </row>
    <row r="3">
      <c r="A3" s="4" t="n"/>
      <c r="B3" s="4" t="n"/>
      <c r="C3" s="4" t="n"/>
      <c r="D3" s="4" t="n"/>
      <c r="E3" s="5">
        <f>IF(AND(B3&lt;&gt;"",C3&lt;&gt;""),B3*C3*(1-D3),"")</f>
        <v/>
      </c>
      <c r="F3" s="5">
        <f>IF(E3="","",IF(E3&gt;=15,"Critical",IF(E3&gt;=10,"High",IF(E3&gt;=5,"Medium","Low"))))</f>
        <v/>
      </c>
      <c r="G3" s="5">
        <f>IF(F3="","",IF(F3="Critical","Immediate (&lt;7 days)",IF(F3="High","Short-term (&lt;30 days)",IF(F3="Medium","Medium-term (&lt;90 days)","Long-term (&lt;180 days)"))))</f>
        <v/>
      </c>
      <c r="H3" s="4" t="n"/>
    </row>
    <row r="4">
      <c r="A4" s="4" t="n"/>
      <c r="B4" s="4" t="n"/>
      <c r="C4" s="4" t="n"/>
      <c r="D4" s="4" t="n"/>
      <c r="E4" s="5">
        <f>IF(AND(B4&lt;&gt;"",C4&lt;&gt;""),B4*C4*(1-D4),"")</f>
        <v/>
      </c>
      <c r="F4" s="5">
        <f>IF(E4="","",IF(E4&gt;=15,"Critical",IF(E4&gt;=10,"High",IF(E4&gt;=5,"Medium","Low"))))</f>
        <v/>
      </c>
      <c r="G4" s="5">
        <f>IF(F4="","",IF(F4="Critical","Immediate (&lt;7 days)",IF(F4="High","Short-term (&lt;30 days)",IF(F4="Medium","Medium-term (&lt;90 days)","Long-term (&lt;180 days)"))))</f>
        <v/>
      </c>
      <c r="H4" s="4" t="n"/>
    </row>
    <row r="5">
      <c r="A5" s="4" t="n"/>
      <c r="B5" s="4" t="n"/>
      <c r="C5" s="4" t="n"/>
      <c r="D5" s="4" t="n"/>
      <c r="E5" s="5">
        <f>IF(AND(B5&lt;&gt;"",C5&lt;&gt;""),B5*C5*(1-D5),"")</f>
        <v/>
      </c>
      <c r="F5" s="5">
        <f>IF(E5="","",IF(E5&gt;=15,"Critical",IF(E5&gt;=10,"High",IF(E5&gt;=5,"Medium","Low"))))</f>
        <v/>
      </c>
      <c r="G5" s="5">
        <f>IF(F5="","",IF(F5="Critical","Immediate (&lt;7 days)",IF(F5="High","Short-term (&lt;30 days)",IF(F5="Medium","Medium-term (&lt;90 days)","Long-term (&lt;180 days)"))))</f>
        <v/>
      </c>
      <c r="H5" s="4" t="n"/>
    </row>
    <row r="6">
      <c r="A6" s="4" t="n"/>
      <c r="B6" s="4" t="n"/>
      <c r="C6" s="4" t="n"/>
      <c r="D6" s="4" t="n"/>
      <c r="E6" s="5">
        <f>IF(AND(B6&lt;&gt;"",C6&lt;&gt;""),B6*C6*(1-D6),"")</f>
        <v/>
      </c>
      <c r="F6" s="5">
        <f>IF(E6="","",IF(E6&gt;=15,"Critical",IF(E6&gt;=10,"High",IF(E6&gt;=5,"Medium","Low"))))</f>
        <v/>
      </c>
      <c r="G6" s="5">
        <f>IF(F6="","",IF(F6="Critical","Immediate (&lt;7 days)",IF(F6="High","Short-term (&lt;30 days)",IF(F6="Medium","Medium-term (&lt;90 days)","Long-term (&lt;180 days)"))))</f>
        <v/>
      </c>
      <c r="H6" s="4" t="n"/>
    </row>
    <row r="7">
      <c r="A7" s="4" t="n"/>
      <c r="B7" s="4" t="n"/>
      <c r="C7" s="4" t="n"/>
      <c r="D7" s="4" t="n"/>
      <c r="E7" s="5">
        <f>IF(AND(B7&lt;&gt;"",C7&lt;&gt;""),B7*C7*(1-D7),"")</f>
        <v/>
      </c>
      <c r="F7" s="5">
        <f>IF(E7="","",IF(E7&gt;=15,"Critical",IF(E7&gt;=10,"High",IF(E7&gt;=5,"Medium","Low"))))</f>
        <v/>
      </c>
      <c r="G7" s="5">
        <f>IF(F7="","",IF(F7="Critical","Immediate (&lt;7 days)",IF(F7="High","Short-term (&lt;30 days)",IF(F7="Medium","Medium-term (&lt;90 days)","Long-term (&lt;180 days)"))))</f>
        <v/>
      </c>
      <c r="H7" s="4" t="n"/>
    </row>
    <row r="8">
      <c r="A8" s="4" t="n"/>
      <c r="B8" s="4" t="n"/>
      <c r="C8" s="4" t="n"/>
      <c r="D8" s="4" t="n"/>
      <c r="E8" s="5">
        <f>IF(AND(B8&lt;&gt;"",C8&lt;&gt;""),B8*C8*(1-D8),"")</f>
        <v/>
      </c>
      <c r="F8" s="5">
        <f>IF(E8="","",IF(E8&gt;=15,"Critical",IF(E8&gt;=10,"High",IF(E8&gt;=5,"Medium","Low"))))</f>
        <v/>
      </c>
      <c r="G8" s="5">
        <f>IF(F8="","",IF(F8="Critical","Immediate (&lt;7 days)",IF(F8="High","Short-term (&lt;30 days)",IF(F8="Medium","Medium-term (&lt;90 days)","Long-term (&lt;180 days)"))))</f>
        <v/>
      </c>
      <c r="H8" s="4" t="n"/>
    </row>
    <row r="9">
      <c r="A9" s="4" t="n"/>
      <c r="B9" s="4" t="n"/>
      <c r="C9" s="4" t="n"/>
      <c r="D9" s="4" t="n"/>
      <c r="E9" s="5">
        <f>IF(AND(B9&lt;&gt;"",C9&lt;&gt;""),B9*C9*(1-D9),"")</f>
        <v/>
      </c>
      <c r="F9" s="5">
        <f>IF(E9="","",IF(E9&gt;=15,"Critical",IF(E9&gt;=10,"High",IF(E9&gt;=5,"Medium","Low"))))</f>
        <v/>
      </c>
      <c r="G9" s="5">
        <f>IF(F9="","",IF(F9="Critical","Immediate (&lt;7 days)",IF(F9="High","Short-term (&lt;30 days)",IF(F9="Medium","Medium-term (&lt;90 days)","Long-term (&lt;180 days)"))))</f>
        <v/>
      </c>
      <c r="H9" s="4" t="n"/>
    </row>
    <row r="10">
      <c r="A10" s="4" t="n"/>
      <c r="B10" s="4" t="n"/>
      <c r="C10" s="4" t="n"/>
      <c r="D10" s="4" t="n"/>
      <c r="E10" s="5">
        <f>IF(AND(B10&lt;&gt;"",C10&lt;&gt;""),B10*C10*(1-D10),"")</f>
        <v/>
      </c>
      <c r="F10" s="5">
        <f>IF(E10="","",IF(E10&gt;=15,"Critical",IF(E10&gt;=10,"High",IF(E10&gt;=5,"Medium","Low"))))</f>
        <v/>
      </c>
      <c r="G10" s="5">
        <f>IF(F10="","",IF(F10="Critical","Immediate (&lt;7 days)",IF(F10="High","Short-term (&lt;30 days)",IF(F10="Medium","Medium-term (&lt;90 days)","Long-term (&lt;180 days)"))))</f>
        <v/>
      </c>
      <c r="H10" s="4" t="n"/>
    </row>
    <row r="11">
      <c r="A11" s="4" t="n"/>
      <c r="B11" s="4" t="n"/>
      <c r="C11" s="4" t="n"/>
      <c r="D11" s="4" t="n"/>
      <c r="E11" s="5">
        <f>IF(AND(B11&lt;&gt;"",C11&lt;&gt;""),B11*C11*(1-D11),"")</f>
        <v/>
      </c>
      <c r="F11" s="5">
        <f>IF(E11="","",IF(E11&gt;=15,"Critical",IF(E11&gt;=10,"High",IF(E11&gt;=5,"Medium","Low"))))</f>
        <v/>
      </c>
      <c r="G11" s="5">
        <f>IF(F11="","",IF(F11="Critical","Immediate (&lt;7 days)",IF(F11="High","Short-term (&lt;30 days)",IF(F11="Medium","Medium-term (&lt;90 days)","Long-term (&lt;180 days)"))))</f>
        <v/>
      </c>
      <c r="H11" s="4" t="n"/>
    </row>
    <row r="12">
      <c r="A12" s="4" t="n"/>
      <c r="B12" s="4" t="n"/>
      <c r="C12" s="4" t="n"/>
      <c r="D12" s="4" t="n"/>
      <c r="E12" s="5">
        <f>IF(AND(B12&lt;&gt;"",C12&lt;&gt;""),B12*C12*(1-D12),"")</f>
        <v/>
      </c>
      <c r="F12" s="5">
        <f>IF(E12="","",IF(E12&gt;=15,"Critical",IF(E12&gt;=10,"High",IF(E12&gt;=5,"Medium","Low"))))</f>
        <v/>
      </c>
      <c r="G12" s="5">
        <f>IF(F12="","",IF(F12="Critical","Immediate (&lt;7 days)",IF(F12="High","Short-term (&lt;30 days)",IF(F12="Medium","Medium-term (&lt;90 days)","Long-term (&lt;180 days)"))))</f>
        <v/>
      </c>
      <c r="H12" s="4" t="n"/>
    </row>
    <row r="13">
      <c r="A13" s="4" t="n"/>
      <c r="B13" s="4" t="n"/>
      <c r="C13" s="4" t="n"/>
      <c r="D13" s="4" t="n"/>
      <c r="E13" s="5">
        <f>IF(AND(B13&lt;&gt;"",C13&lt;&gt;""),B13*C13*(1-D13),"")</f>
        <v/>
      </c>
      <c r="F13" s="5">
        <f>IF(E13="","",IF(E13&gt;=15,"Critical",IF(E13&gt;=10,"High",IF(E13&gt;=5,"Medium","Low"))))</f>
        <v/>
      </c>
      <c r="G13" s="5">
        <f>IF(F13="","",IF(F13="Critical","Immediate (&lt;7 days)",IF(F13="High","Short-term (&lt;30 days)",IF(F13="Medium","Medium-term (&lt;90 days)","Long-term (&lt;180 days)"))))</f>
        <v/>
      </c>
      <c r="H13" s="4" t="n"/>
    </row>
    <row r="14">
      <c r="A14" s="4" t="n"/>
      <c r="B14" s="4" t="n"/>
      <c r="C14" s="4" t="n"/>
      <c r="D14" s="4" t="n"/>
      <c r="E14" s="5">
        <f>IF(AND(B14&lt;&gt;"",C14&lt;&gt;""),B14*C14*(1-D14),"")</f>
        <v/>
      </c>
      <c r="F14" s="5">
        <f>IF(E14="","",IF(E14&gt;=15,"Critical",IF(E14&gt;=10,"High",IF(E14&gt;=5,"Medium","Low"))))</f>
        <v/>
      </c>
      <c r="G14" s="5">
        <f>IF(F14="","",IF(F14="Critical","Immediate (&lt;7 days)",IF(F14="High","Short-term (&lt;30 days)",IF(F14="Medium","Medium-term (&lt;90 days)","Long-term (&lt;180 days)"))))</f>
        <v/>
      </c>
      <c r="H14" s="4" t="n"/>
    </row>
    <row r="15">
      <c r="A15" s="4" t="n"/>
      <c r="B15" s="4" t="n"/>
      <c r="C15" s="4" t="n"/>
      <c r="D15" s="4" t="n"/>
      <c r="E15" s="5">
        <f>IF(AND(B15&lt;&gt;"",C15&lt;&gt;""),B15*C15*(1-D15),"")</f>
        <v/>
      </c>
      <c r="F15" s="5">
        <f>IF(E15="","",IF(E15&gt;=15,"Critical",IF(E15&gt;=10,"High",IF(E15&gt;=5,"Medium","Low"))))</f>
        <v/>
      </c>
      <c r="G15" s="5">
        <f>IF(F15="","",IF(F15="Critical","Immediate (&lt;7 days)",IF(F15="High","Short-term (&lt;30 days)",IF(F15="Medium","Medium-term (&lt;90 days)","Long-term (&lt;180 days)"))))</f>
        <v/>
      </c>
      <c r="H15" s="4" t="n"/>
    </row>
    <row r="16">
      <c r="A16" s="4" t="n"/>
      <c r="B16" s="4" t="n"/>
      <c r="C16" s="4" t="n"/>
      <c r="D16" s="4" t="n"/>
      <c r="E16" s="5">
        <f>IF(AND(B16&lt;&gt;"",C16&lt;&gt;""),B16*C16*(1-D16),"")</f>
        <v/>
      </c>
      <c r="F16" s="5">
        <f>IF(E16="","",IF(E16&gt;=15,"Critical",IF(E16&gt;=10,"High",IF(E16&gt;=5,"Medium","Low"))))</f>
        <v/>
      </c>
      <c r="G16" s="5">
        <f>IF(F16="","",IF(F16="Critical","Immediate (&lt;7 days)",IF(F16="High","Short-term (&lt;30 days)",IF(F16="Medium","Medium-term (&lt;90 days)","Long-term (&lt;180 days)"))))</f>
        <v/>
      </c>
      <c r="H16" s="4" t="n"/>
    </row>
    <row r="17">
      <c r="A17" s="4" t="n"/>
      <c r="B17" s="4" t="n"/>
      <c r="C17" s="4" t="n"/>
      <c r="D17" s="4" t="n"/>
      <c r="E17" s="5">
        <f>IF(AND(B17&lt;&gt;"",C17&lt;&gt;""),B17*C17*(1-D17),"")</f>
        <v/>
      </c>
      <c r="F17" s="5">
        <f>IF(E17="","",IF(E17&gt;=15,"Critical",IF(E17&gt;=10,"High",IF(E17&gt;=5,"Medium","Low"))))</f>
        <v/>
      </c>
      <c r="G17" s="5">
        <f>IF(F17="","",IF(F17="Critical","Immediate (&lt;7 days)",IF(F17="High","Short-term (&lt;30 days)",IF(F17="Medium","Medium-term (&lt;90 days)","Long-term (&lt;180 days)"))))</f>
        <v/>
      </c>
      <c r="H17" s="4" t="n"/>
    </row>
    <row r="18">
      <c r="A18" s="4" t="n"/>
      <c r="B18" s="4" t="n"/>
      <c r="C18" s="4" t="n"/>
      <c r="D18" s="4" t="n"/>
      <c r="E18" s="5">
        <f>IF(AND(B18&lt;&gt;"",C18&lt;&gt;""),B18*C18*(1-D18),"")</f>
        <v/>
      </c>
      <c r="F18" s="5">
        <f>IF(E18="","",IF(E18&gt;=15,"Critical",IF(E18&gt;=10,"High",IF(E18&gt;=5,"Medium","Low"))))</f>
        <v/>
      </c>
      <c r="G18" s="5">
        <f>IF(F18="","",IF(F18="Critical","Immediate (&lt;7 days)",IF(F18="High","Short-term (&lt;30 days)",IF(F18="Medium","Medium-term (&lt;90 days)","Long-term (&lt;180 days)"))))</f>
        <v/>
      </c>
      <c r="H18" s="4" t="n"/>
    </row>
    <row r="19">
      <c r="A19" s="4" t="n"/>
      <c r="B19" s="4" t="n"/>
      <c r="C19" s="4" t="n"/>
      <c r="D19" s="4" t="n"/>
      <c r="E19" s="5">
        <f>IF(AND(B19&lt;&gt;"",C19&lt;&gt;""),B19*C19*(1-D19),"")</f>
        <v/>
      </c>
      <c r="F19" s="5">
        <f>IF(E19="","",IF(E19&gt;=15,"Critical",IF(E19&gt;=10,"High",IF(E19&gt;=5,"Medium","Low"))))</f>
        <v/>
      </c>
      <c r="G19" s="5">
        <f>IF(F19="","",IF(F19="Critical","Immediate (&lt;7 days)",IF(F19="High","Short-term (&lt;30 days)",IF(F19="Medium","Medium-term (&lt;90 days)","Long-term (&lt;180 days)"))))</f>
        <v/>
      </c>
      <c r="H19" s="4" t="n"/>
    </row>
    <row r="20">
      <c r="A20" s="4" t="n"/>
      <c r="B20" s="4" t="n"/>
      <c r="C20" s="4" t="n"/>
      <c r="D20" s="4" t="n"/>
      <c r="E20" s="5">
        <f>IF(AND(B20&lt;&gt;"",C20&lt;&gt;""),B20*C20*(1-D20),"")</f>
        <v/>
      </c>
      <c r="F20" s="5">
        <f>IF(E20="","",IF(E20&gt;=15,"Critical",IF(E20&gt;=10,"High",IF(E20&gt;=5,"Medium","Low"))))</f>
        <v/>
      </c>
      <c r="G20" s="5">
        <f>IF(F20="","",IF(F20="Critical","Immediate (&lt;7 days)",IF(F20="High","Short-term (&lt;30 days)",IF(F20="Medium","Medium-term (&lt;90 days)","Long-term (&lt;180 days)"))))</f>
        <v/>
      </c>
      <c r="H20" s="4" t="n"/>
    </row>
    <row r="21">
      <c r="A21" s="4" t="n"/>
      <c r="B21" s="4" t="n"/>
      <c r="C21" s="4" t="n"/>
      <c r="D21" s="4" t="n"/>
      <c r="E21" s="5">
        <f>IF(AND(B21&lt;&gt;"",C21&lt;&gt;""),B21*C21*(1-D21),"")</f>
        <v/>
      </c>
      <c r="F21" s="5">
        <f>IF(E21="","",IF(E21&gt;=15,"Critical",IF(E21&gt;=10,"High",IF(E21&gt;=5,"Medium","Low"))))</f>
        <v/>
      </c>
      <c r="G21" s="5">
        <f>IF(F21="","",IF(F21="Critical","Immediate (&lt;7 days)",IF(F21="High","Short-term (&lt;30 days)",IF(F21="Medium","Medium-term (&lt;90 days)","Long-term (&lt;180 days)"))))</f>
        <v/>
      </c>
      <c r="H21" s="4" t="n"/>
    </row>
    <row r="22">
      <c r="A22" s="4" t="n"/>
      <c r="B22" s="4" t="n"/>
      <c r="C22" s="4" t="n"/>
      <c r="D22" s="4" t="n"/>
      <c r="E22" s="5">
        <f>IF(AND(B22&lt;&gt;"",C22&lt;&gt;""),B22*C22*(1-D22),"")</f>
        <v/>
      </c>
      <c r="F22" s="5">
        <f>IF(E22="","",IF(E22&gt;=15,"Critical",IF(E22&gt;=10,"High",IF(E22&gt;=5,"Medium","Low"))))</f>
        <v/>
      </c>
      <c r="G22" s="5">
        <f>IF(F22="","",IF(F22="Critical","Immediate (&lt;7 days)",IF(F22="High","Short-term (&lt;30 days)",IF(F22="Medium","Medium-term (&lt;90 days)","Long-term (&lt;180 days)"))))</f>
        <v/>
      </c>
      <c r="H22" s="4" t="n"/>
    </row>
    <row r="23">
      <c r="A23" s="4" t="n"/>
      <c r="B23" s="4" t="n"/>
      <c r="C23" s="4" t="n"/>
      <c r="D23" s="4" t="n"/>
      <c r="E23" s="5">
        <f>IF(AND(B23&lt;&gt;"",C23&lt;&gt;""),B23*C23*(1-D23),"")</f>
        <v/>
      </c>
      <c r="F23" s="5">
        <f>IF(E23="","",IF(E23&gt;=15,"Critical",IF(E23&gt;=10,"High",IF(E23&gt;=5,"Medium","Low"))))</f>
        <v/>
      </c>
      <c r="G23" s="5">
        <f>IF(F23="","",IF(F23="Critical","Immediate (&lt;7 days)",IF(F23="High","Short-term (&lt;30 days)",IF(F23="Medium","Medium-term (&lt;90 days)","Long-term (&lt;180 days)"))))</f>
        <v/>
      </c>
      <c r="H23" s="4" t="n"/>
    </row>
    <row r="24">
      <c r="A24" s="4" t="n"/>
      <c r="B24" s="4" t="n"/>
      <c r="C24" s="4" t="n"/>
      <c r="D24" s="4" t="n"/>
      <c r="E24" s="5">
        <f>IF(AND(B24&lt;&gt;"",C24&lt;&gt;""),B24*C24*(1-D24),"")</f>
        <v/>
      </c>
      <c r="F24" s="5">
        <f>IF(E24="","",IF(E24&gt;=15,"Critical",IF(E24&gt;=10,"High",IF(E24&gt;=5,"Medium","Low"))))</f>
        <v/>
      </c>
      <c r="G24" s="5">
        <f>IF(F24="","",IF(F24="Critical","Immediate (&lt;7 days)",IF(F24="High","Short-term (&lt;30 days)",IF(F24="Medium","Medium-term (&lt;90 days)","Long-term (&lt;180 days)"))))</f>
        <v/>
      </c>
      <c r="H24" s="4" t="n"/>
    </row>
    <row r="25">
      <c r="A25" s="4" t="n"/>
      <c r="B25" s="4" t="n"/>
      <c r="C25" s="4" t="n"/>
      <c r="D25" s="4" t="n"/>
      <c r="E25" s="5">
        <f>IF(AND(B25&lt;&gt;"",C25&lt;&gt;""),B25*C25*(1-D25),"")</f>
        <v/>
      </c>
      <c r="F25" s="5">
        <f>IF(E25="","",IF(E25&gt;=15,"Critical",IF(E25&gt;=10,"High",IF(E25&gt;=5,"Medium","Low"))))</f>
        <v/>
      </c>
      <c r="G25" s="5">
        <f>IF(F25="","",IF(F25="Critical","Immediate (&lt;7 days)",IF(F25="High","Short-term (&lt;30 days)",IF(F25="Medium","Medium-term (&lt;90 days)","Long-term (&lt;180 days)"))))</f>
        <v/>
      </c>
      <c r="H25" s="4" t="n"/>
    </row>
    <row r="26">
      <c r="A26" s="4" t="n"/>
      <c r="B26" s="4" t="n"/>
      <c r="C26" s="4" t="n"/>
      <c r="D26" s="4" t="n"/>
      <c r="E26" s="5">
        <f>IF(AND(B26&lt;&gt;"",C26&lt;&gt;""),B26*C26*(1-D26),"")</f>
        <v/>
      </c>
      <c r="F26" s="5">
        <f>IF(E26="","",IF(E26&gt;=15,"Critical",IF(E26&gt;=10,"High",IF(E26&gt;=5,"Medium","Low"))))</f>
        <v/>
      </c>
      <c r="G26" s="5">
        <f>IF(F26="","",IF(F26="Critical","Immediate (&lt;7 days)",IF(F26="High","Short-term (&lt;30 days)",IF(F26="Medium","Medium-term (&lt;90 days)","Long-term (&lt;180 days)"))))</f>
        <v/>
      </c>
      <c r="H26" s="4" t="n"/>
    </row>
    <row r="27">
      <c r="A27" s="4" t="n"/>
      <c r="B27" s="4" t="n"/>
      <c r="C27" s="4" t="n"/>
      <c r="D27" s="4" t="n"/>
      <c r="E27" s="5">
        <f>IF(AND(B27&lt;&gt;"",C27&lt;&gt;""),B27*C27*(1-D27),"")</f>
        <v/>
      </c>
      <c r="F27" s="5">
        <f>IF(E27="","",IF(E27&gt;=15,"Critical",IF(E27&gt;=10,"High",IF(E27&gt;=5,"Medium","Low"))))</f>
        <v/>
      </c>
      <c r="G27" s="5">
        <f>IF(F27="","",IF(F27="Critical","Immediate (&lt;7 days)",IF(F27="High","Short-term (&lt;30 days)",IF(F27="Medium","Medium-term (&lt;90 days)","Long-term (&lt;180 days)"))))</f>
        <v/>
      </c>
      <c r="H27" s="4" t="n"/>
    </row>
    <row r="28">
      <c r="A28" s="4" t="n"/>
      <c r="B28" s="4" t="n"/>
      <c r="C28" s="4" t="n"/>
      <c r="D28" s="4" t="n"/>
      <c r="E28" s="5">
        <f>IF(AND(B28&lt;&gt;"",C28&lt;&gt;""),B28*C28*(1-D28),"")</f>
        <v/>
      </c>
      <c r="F28" s="5">
        <f>IF(E28="","",IF(E28&gt;=15,"Critical",IF(E28&gt;=10,"High",IF(E28&gt;=5,"Medium","Low"))))</f>
        <v/>
      </c>
      <c r="G28" s="5">
        <f>IF(F28="","",IF(F28="Critical","Immediate (&lt;7 days)",IF(F28="High","Short-term (&lt;30 days)",IF(F28="Medium","Medium-term (&lt;90 days)","Long-term (&lt;180 days)"))))</f>
        <v/>
      </c>
      <c r="H28" s="4" t="n"/>
    </row>
    <row r="29">
      <c r="A29" s="4" t="n"/>
      <c r="B29" s="4" t="n"/>
      <c r="C29" s="4" t="n"/>
      <c r="D29" s="4" t="n"/>
      <c r="E29" s="5">
        <f>IF(AND(B29&lt;&gt;"",C29&lt;&gt;""),B29*C29*(1-D29),"")</f>
        <v/>
      </c>
      <c r="F29" s="5">
        <f>IF(E29="","",IF(E29&gt;=15,"Critical",IF(E29&gt;=10,"High",IF(E29&gt;=5,"Medium","Low"))))</f>
        <v/>
      </c>
      <c r="G29" s="5">
        <f>IF(F29="","",IF(F29="Critical","Immediate (&lt;7 days)",IF(F29="High","Short-term (&lt;30 days)",IF(F29="Medium","Medium-term (&lt;90 days)","Long-term (&lt;180 days)"))))</f>
        <v/>
      </c>
      <c r="H29" s="4" t="n"/>
    </row>
    <row r="30">
      <c r="A30" s="4" t="n"/>
      <c r="B30" s="4" t="n"/>
      <c r="C30" s="4" t="n"/>
      <c r="D30" s="4" t="n"/>
      <c r="E30" s="5">
        <f>IF(AND(B30&lt;&gt;"",C30&lt;&gt;""),B30*C30*(1-D30),"")</f>
        <v/>
      </c>
      <c r="F30" s="5">
        <f>IF(E30="","",IF(E30&gt;=15,"Critical",IF(E30&gt;=10,"High",IF(E30&gt;=5,"Medium","Low"))))</f>
        <v/>
      </c>
      <c r="G30" s="5">
        <f>IF(F30="","",IF(F30="Critical","Immediate (&lt;7 days)",IF(F30="High","Short-term (&lt;30 days)",IF(F30="Medium","Medium-term (&lt;90 days)","Long-term (&lt;180 days)"))))</f>
        <v/>
      </c>
      <c r="H30" s="4" t="n"/>
    </row>
    <row r="31">
      <c r="A31" s="4" t="n"/>
      <c r="B31" s="4" t="n"/>
      <c r="C31" s="4" t="n"/>
      <c r="D31" s="4" t="n"/>
      <c r="E31" s="5">
        <f>IF(AND(B31&lt;&gt;"",C31&lt;&gt;""),B31*C31*(1-D31),"")</f>
        <v/>
      </c>
      <c r="F31" s="5">
        <f>IF(E31="","",IF(E31&gt;=15,"Critical",IF(E31&gt;=10,"High",IF(E31&gt;=5,"Medium","Low"))))</f>
        <v/>
      </c>
      <c r="G31" s="5">
        <f>IF(F31="","",IF(F31="Critical","Immediate (&lt;7 days)",IF(F31="High","Short-term (&lt;30 days)",IF(F31="Medium","Medium-term (&lt;90 days)","Long-term (&lt;180 days)"))))</f>
        <v/>
      </c>
      <c r="H31" s="4" t="n"/>
    </row>
    <row r="32">
      <c r="A32" s="4" t="n"/>
      <c r="B32" s="4" t="n"/>
      <c r="C32" s="4" t="n"/>
      <c r="D32" s="4" t="n"/>
      <c r="E32" s="5">
        <f>IF(AND(B32&lt;&gt;"",C32&lt;&gt;""),B32*C32*(1-D32),"")</f>
        <v/>
      </c>
      <c r="F32" s="5">
        <f>IF(E32="","",IF(E32&gt;=15,"Critical",IF(E32&gt;=10,"High",IF(E32&gt;=5,"Medium","Low"))))</f>
        <v/>
      </c>
      <c r="G32" s="5">
        <f>IF(F32="","",IF(F32="Critical","Immediate (&lt;7 days)",IF(F32="High","Short-term (&lt;30 days)",IF(F32="Medium","Medium-term (&lt;90 days)","Long-term (&lt;180 days)"))))</f>
        <v/>
      </c>
      <c r="H32" s="4" t="n"/>
    </row>
    <row r="33">
      <c r="A33" s="4" t="n"/>
      <c r="B33" s="4" t="n"/>
      <c r="C33" s="4" t="n"/>
      <c r="D33" s="4" t="n"/>
      <c r="E33" s="5">
        <f>IF(AND(B33&lt;&gt;"",C33&lt;&gt;""),B33*C33*(1-D33),"")</f>
        <v/>
      </c>
      <c r="F33" s="5">
        <f>IF(E33="","",IF(E33&gt;=15,"Critical",IF(E33&gt;=10,"High",IF(E33&gt;=5,"Medium","Low"))))</f>
        <v/>
      </c>
      <c r="G33" s="5">
        <f>IF(F33="","",IF(F33="Critical","Immediate (&lt;7 days)",IF(F33="High","Short-term (&lt;30 days)",IF(F33="Medium","Medium-term (&lt;90 days)","Long-term (&lt;180 days)"))))</f>
        <v/>
      </c>
      <c r="H33" s="4" t="n"/>
    </row>
    <row r="34">
      <c r="A34" s="4" t="n"/>
      <c r="B34" s="4" t="n"/>
      <c r="C34" s="4" t="n"/>
      <c r="D34" s="4" t="n"/>
      <c r="E34" s="5">
        <f>IF(AND(B34&lt;&gt;"",C34&lt;&gt;""),B34*C34*(1-D34),"")</f>
        <v/>
      </c>
      <c r="F34" s="5">
        <f>IF(E34="","",IF(E34&gt;=15,"Critical",IF(E34&gt;=10,"High",IF(E34&gt;=5,"Medium","Low"))))</f>
        <v/>
      </c>
      <c r="G34" s="5">
        <f>IF(F34="","",IF(F34="Critical","Immediate (&lt;7 days)",IF(F34="High","Short-term (&lt;30 days)",IF(F34="Medium","Medium-term (&lt;90 days)","Long-term (&lt;180 days)"))))</f>
        <v/>
      </c>
      <c r="H34" s="4" t="n"/>
    </row>
    <row r="35">
      <c r="A35" s="4" t="n"/>
      <c r="B35" s="4" t="n"/>
      <c r="C35" s="4" t="n"/>
      <c r="D35" s="4" t="n"/>
      <c r="E35" s="5">
        <f>IF(AND(B35&lt;&gt;"",C35&lt;&gt;""),B35*C35*(1-D35),"")</f>
        <v/>
      </c>
      <c r="F35" s="5">
        <f>IF(E35="","",IF(E35&gt;=15,"Critical",IF(E35&gt;=10,"High",IF(E35&gt;=5,"Medium","Low"))))</f>
        <v/>
      </c>
      <c r="G35" s="5">
        <f>IF(F35="","",IF(F35="Critical","Immediate (&lt;7 days)",IF(F35="High","Short-term (&lt;30 days)",IF(F35="Medium","Medium-term (&lt;90 days)","Long-term (&lt;180 days)"))))</f>
        <v/>
      </c>
      <c r="H35" s="4" t="n"/>
    </row>
    <row r="36">
      <c r="A36" s="4" t="n"/>
      <c r="B36" s="4" t="n"/>
      <c r="C36" s="4" t="n"/>
      <c r="D36" s="4" t="n"/>
      <c r="E36" s="5">
        <f>IF(AND(B36&lt;&gt;"",C36&lt;&gt;""),B36*C36*(1-D36),"")</f>
        <v/>
      </c>
      <c r="F36" s="5">
        <f>IF(E36="","",IF(E36&gt;=15,"Critical",IF(E36&gt;=10,"High",IF(E36&gt;=5,"Medium","Low"))))</f>
        <v/>
      </c>
      <c r="G36" s="5">
        <f>IF(F36="","",IF(F36="Critical","Immediate (&lt;7 days)",IF(F36="High","Short-term (&lt;30 days)",IF(F36="Medium","Medium-term (&lt;90 days)","Long-term (&lt;180 days)"))))</f>
        <v/>
      </c>
      <c r="H36" s="4" t="n"/>
    </row>
    <row r="37">
      <c r="A37" s="4" t="n"/>
      <c r="B37" s="4" t="n"/>
      <c r="C37" s="4" t="n"/>
      <c r="D37" s="4" t="n"/>
      <c r="E37" s="5">
        <f>IF(AND(B37&lt;&gt;"",C37&lt;&gt;""),B37*C37*(1-D37),"")</f>
        <v/>
      </c>
      <c r="F37" s="5">
        <f>IF(E37="","",IF(E37&gt;=15,"Critical",IF(E37&gt;=10,"High",IF(E37&gt;=5,"Medium","Low"))))</f>
        <v/>
      </c>
      <c r="G37" s="5">
        <f>IF(F37="","",IF(F37="Critical","Immediate (&lt;7 days)",IF(F37="High","Short-term (&lt;30 days)",IF(F37="Medium","Medium-term (&lt;90 days)","Long-term (&lt;180 days)"))))</f>
        <v/>
      </c>
      <c r="H37" s="4" t="n"/>
    </row>
    <row r="38">
      <c r="A38" s="4" t="n"/>
      <c r="B38" s="4" t="n"/>
      <c r="C38" s="4" t="n"/>
      <c r="D38" s="4" t="n"/>
      <c r="E38" s="5">
        <f>IF(AND(B38&lt;&gt;"",C38&lt;&gt;""),B38*C38*(1-D38),"")</f>
        <v/>
      </c>
      <c r="F38" s="5">
        <f>IF(E38="","",IF(E38&gt;=15,"Critical",IF(E38&gt;=10,"High",IF(E38&gt;=5,"Medium","Low"))))</f>
        <v/>
      </c>
      <c r="G38" s="5">
        <f>IF(F38="","",IF(F38="Critical","Immediate (&lt;7 days)",IF(F38="High","Short-term (&lt;30 days)",IF(F38="Medium","Medium-term (&lt;90 days)","Long-term (&lt;180 days)"))))</f>
        <v/>
      </c>
      <c r="H38" s="4" t="n"/>
    </row>
    <row r="39">
      <c r="A39" s="4" t="n"/>
      <c r="B39" s="4" t="n"/>
      <c r="C39" s="4" t="n"/>
      <c r="D39" s="4" t="n"/>
      <c r="E39" s="5">
        <f>IF(AND(B39&lt;&gt;"",C39&lt;&gt;""),B39*C39*(1-D39),"")</f>
        <v/>
      </c>
      <c r="F39" s="5">
        <f>IF(E39="","",IF(E39&gt;=15,"Critical",IF(E39&gt;=10,"High",IF(E39&gt;=5,"Medium","Low"))))</f>
        <v/>
      </c>
      <c r="G39" s="5">
        <f>IF(F39="","",IF(F39="Critical","Immediate (&lt;7 days)",IF(F39="High","Short-term (&lt;30 days)",IF(F39="Medium","Medium-term (&lt;90 days)","Long-term (&lt;180 days)"))))</f>
        <v/>
      </c>
      <c r="H39" s="4" t="n"/>
    </row>
    <row r="40">
      <c r="A40" s="4" t="n"/>
      <c r="B40" s="4" t="n"/>
      <c r="C40" s="4" t="n"/>
      <c r="D40" s="4" t="n"/>
      <c r="E40" s="5">
        <f>IF(AND(B40&lt;&gt;"",C40&lt;&gt;""),B40*C40*(1-D40),"")</f>
        <v/>
      </c>
      <c r="F40" s="5">
        <f>IF(E40="","",IF(E40&gt;=15,"Critical",IF(E40&gt;=10,"High",IF(E40&gt;=5,"Medium","Low"))))</f>
        <v/>
      </c>
      <c r="G40" s="5">
        <f>IF(F40="","",IF(F40="Critical","Immediate (&lt;7 days)",IF(F40="High","Short-term (&lt;30 days)",IF(F40="Medium","Medium-term (&lt;90 days)","Long-term (&lt;180 days)"))))</f>
        <v/>
      </c>
      <c r="H40" s="4" t="n"/>
    </row>
    <row r="41">
      <c r="A41" s="4" t="n"/>
      <c r="B41" s="4" t="n"/>
      <c r="C41" s="4" t="n"/>
      <c r="D41" s="4" t="n"/>
      <c r="E41" s="5">
        <f>IF(AND(B41&lt;&gt;"",C41&lt;&gt;""),B41*C41*(1-D41),"")</f>
        <v/>
      </c>
      <c r="F41" s="5">
        <f>IF(E41="","",IF(E41&gt;=15,"Critical",IF(E41&gt;=10,"High",IF(E41&gt;=5,"Medium","Low"))))</f>
        <v/>
      </c>
      <c r="G41" s="5">
        <f>IF(F41="","",IF(F41="Critical","Immediate (&lt;7 days)",IF(F41="High","Short-term (&lt;30 days)",IF(F41="Medium","Medium-term (&lt;90 days)","Long-term (&lt;180 days)"))))</f>
        <v/>
      </c>
      <c r="H41" s="4" t="n"/>
    </row>
    <row r="42">
      <c r="A42" s="4" t="n"/>
      <c r="B42" s="4" t="n"/>
      <c r="C42" s="4" t="n"/>
      <c r="D42" s="4" t="n"/>
      <c r="E42" s="5">
        <f>IF(AND(B42&lt;&gt;"",C42&lt;&gt;""),B42*C42*(1-D42),"")</f>
        <v/>
      </c>
      <c r="F42" s="5">
        <f>IF(E42="","",IF(E42&gt;=15,"Critical",IF(E42&gt;=10,"High",IF(E42&gt;=5,"Medium","Low"))))</f>
        <v/>
      </c>
      <c r="G42" s="5">
        <f>IF(F42="","",IF(F42="Critical","Immediate (&lt;7 days)",IF(F42="High","Short-term (&lt;30 days)",IF(F42="Medium","Medium-term (&lt;90 days)","Long-term (&lt;180 days)"))))</f>
        <v/>
      </c>
      <c r="H42" s="4" t="n"/>
    </row>
    <row r="43">
      <c r="A43" s="4" t="n"/>
      <c r="B43" s="4" t="n"/>
      <c r="C43" s="4" t="n"/>
      <c r="D43" s="4" t="n"/>
      <c r="E43" s="5">
        <f>IF(AND(B43&lt;&gt;"",C43&lt;&gt;""),B43*C43*(1-D43),"")</f>
        <v/>
      </c>
      <c r="F43" s="5">
        <f>IF(E43="","",IF(E43&gt;=15,"Critical",IF(E43&gt;=10,"High",IF(E43&gt;=5,"Medium","Low"))))</f>
        <v/>
      </c>
      <c r="G43" s="5">
        <f>IF(F43="","",IF(F43="Critical","Immediate (&lt;7 days)",IF(F43="High","Short-term (&lt;30 days)",IF(F43="Medium","Medium-term (&lt;90 days)","Long-term (&lt;180 days)"))))</f>
        <v/>
      </c>
      <c r="H43" s="4" t="n"/>
    </row>
    <row r="44">
      <c r="A44" s="4" t="n"/>
      <c r="B44" s="4" t="n"/>
      <c r="C44" s="4" t="n"/>
      <c r="D44" s="4" t="n"/>
      <c r="E44" s="5">
        <f>IF(AND(B44&lt;&gt;"",C44&lt;&gt;""),B44*C44*(1-D44),"")</f>
        <v/>
      </c>
      <c r="F44" s="5">
        <f>IF(E44="","",IF(E44&gt;=15,"Critical",IF(E44&gt;=10,"High",IF(E44&gt;=5,"Medium","Low"))))</f>
        <v/>
      </c>
      <c r="G44" s="5">
        <f>IF(F44="","",IF(F44="Critical","Immediate (&lt;7 days)",IF(F44="High","Short-term (&lt;30 days)",IF(F44="Medium","Medium-term (&lt;90 days)","Long-term (&lt;180 days)"))))</f>
        <v/>
      </c>
      <c r="H44" s="4" t="n"/>
    </row>
    <row r="45">
      <c r="A45" s="4" t="n"/>
      <c r="B45" s="4" t="n"/>
      <c r="C45" s="4" t="n"/>
      <c r="D45" s="4" t="n"/>
      <c r="E45" s="5">
        <f>IF(AND(B45&lt;&gt;"",C45&lt;&gt;""),B45*C45*(1-D45),"")</f>
        <v/>
      </c>
      <c r="F45" s="5">
        <f>IF(E45="","",IF(E45&gt;=15,"Critical",IF(E45&gt;=10,"High",IF(E45&gt;=5,"Medium","Low"))))</f>
        <v/>
      </c>
      <c r="G45" s="5">
        <f>IF(F45="","",IF(F45="Critical","Immediate (&lt;7 days)",IF(F45="High","Short-term (&lt;30 days)",IF(F45="Medium","Medium-term (&lt;90 days)","Long-term (&lt;180 days)"))))</f>
        <v/>
      </c>
      <c r="H45" s="4" t="n"/>
    </row>
    <row r="46">
      <c r="A46" s="4" t="n"/>
      <c r="B46" s="4" t="n"/>
      <c r="C46" s="4" t="n"/>
      <c r="D46" s="4" t="n"/>
      <c r="E46" s="5">
        <f>IF(AND(B46&lt;&gt;"",C46&lt;&gt;""),B46*C46*(1-D46),"")</f>
        <v/>
      </c>
      <c r="F46" s="5">
        <f>IF(E46="","",IF(E46&gt;=15,"Critical",IF(E46&gt;=10,"High",IF(E46&gt;=5,"Medium","Low"))))</f>
        <v/>
      </c>
      <c r="G46" s="5">
        <f>IF(F46="","",IF(F46="Critical","Immediate (&lt;7 days)",IF(F46="High","Short-term (&lt;30 days)",IF(F46="Medium","Medium-term (&lt;90 days)","Long-term (&lt;180 days)"))))</f>
        <v/>
      </c>
      <c r="H46" s="4" t="n"/>
    </row>
    <row r="47">
      <c r="A47" s="4" t="n"/>
      <c r="B47" s="4" t="n"/>
      <c r="C47" s="4" t="n"/>
      <c r="D47" s="4" t="n"/>
      <c r="E47" s="5">
        <f>IF(AND(B47&lt;&gt;"",C47&lt;&gt;""),B47*C47*(1-D47),"")</f>
        <v/>
      </c>
      <c r="F47" s="5">
        <f>IF(E47="","",IF(E47&gt;=15,"Critical",IF(E47&gt;=10,"High",IF(E47&gt;=5,"Medium","Low"))))</f>
        <v/>
      </c>
      <c r="G47" s="5">
        <f>IF(F47="","",IF(F47="Critical","Immediate (&lt;7 days)",IF(F47="High","Short-term (&lt;30 days)",IF(F47="Medium","Medium-term (&lt;90 days)","Long-term (&lt;180 days)"))))</f>
        <v/>
      </c>
      <c r="H47" s="4" t="n"/>
    </row>
    <row r="48">
      <c r="A48" s="4" t="n"/>
      <c r="B48" s="4" t="n"/>
      <c r="C48" s="4" t="n"/>
      <c r="D48" s="4" t="n"/>
      <c r="E48" s="5">
        <f>IF(AND(B48&lt;&gt;"",C48&lt;&gt;""),B48*C48*(1-D48),"")</f>
        <v/>
      </c>
      <c r="F48" s="5">
        <f>IF(E48="","",IF(E48&gt;=15,"Critical",IF(E48&gt;=10,"High",IF(E48&gt;=5,"Medium","Low"))))</f>
        <v/>
      </c>
      <c r="G48" s="5">
        <f>IF(F48="","",IF(F48="Critical","Immediate (&lt;7 days)",IF(F48="High","Short-term (&lt;30 days)",IF(F48="Medium","Medium-term (&lt;90 days)","Long-term (&lt;180 days)"))))</f>
        <v/>
      </c>
      <c r="H48" s="4" t="n"/>
    </row>
    <row r="49">
      <c r="A49" s="4" t="n"/>
      <c r="B49" s="4" t="n"/>
      <c r="C49" s="4" t="n"/>
      <c r="D49" s="4" t="n"/>
      <c r="E49" s="5">
        <f>IF(AND(B49&lt;&gt;"",C49&lt;&gt;""),B49*C49*(1-D49),"")</f>
        <v/>
      </c>
      <c r="F49" s="5">
        <f>IF(E49="","",IF(E49&gt;=15,"Critical",IF(E49&gt;=10,"High",IF(E49&gt;=5,"Medium","Low"))))</f>
        <v/>
      </c>
      <c r="G49" s="5">
        <f>IF(F49="","",IF(F49="Critical","Immediate (&lt;7 days)",IF(F49="High","Short-term (&lt;30 days)",IF(F49="Medium","Medium-term (&lt;90 days)","Long-term (&lt;180 days)"))))</f>
        <v/>
      </c>
      <c r="H49" s="4" t="n"/>
    </row>
    <row r="50">
      <c r="A50" s="4" t="n"/>
      <c r="B50" s="4" t="n"/>
      <c r="C50" s="4" t="n"/>
      <c r="D50" s="4" t="n"/>
      <c r="E50" s="5">
        <f>IF(AND(B50&lt;&gt;"",C50&lt;&gt;""),B50*C50*(1-D50),"")</f>
        <v/>
      </c>
      <c r="F50" s="5">
        <f>IF(E50="","",IF(E50&gt;=15,"Critical",IF(E50&gt;=10,"High",IF(E50&gt;=5,"Medium","Low"))))</f>
        <v/>
      </c>
      <c r="G50" s="5">
        <f>IF(F50="","",IF(F50="Critical","Immediate (&lt;7 days)",IF(F50="High","Short-term (&lt;30 days)",IF(F50="Medium","Medium-term (&lt;90 days)","Long-term (&lt;180 days)"))))</f>
        <v/>
      </c>
      <c r="H50" s="4" t="n"/>
    </row>
  </sheetData>
  <dataValidations count="1">
    <dataValidation sqref="C2:C200" showDropDown="0" showInputMessage="0" showErrorMessage="0" allowBlank="0" type="list">
      <formula1>"1,2,3,4,5"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40" customWidth="1" min="4" max="4"/>
    <col width="50" customWidth="1" min="5" max="5"/>
    <col width="15" customWidth="1" min="6" max="6"/>
    <col width="25" customWidth="1" min="7" max="7"/>
  </cols>
  <sheetData>
    <row r="1">
      <c r="A1" s="3" t="inlineStr">
        <is>
          <t>Evidence_ID</t>
        </is>
      </c>
      <c r="B1" s="3" t="inlineStr">
        <is>
          <t>Conflict_ID</t>
        </is>
      </c>
      <c r="C1" s="3" t="inlineStr">
        <is>
          <t>Evidence_Type</t>
        </is>
      </c>
      <c r="D1" s="3" t="inlineStr">
        <is>
          <t>Description</t>
        </is>
      </c>
      <c r="E1" s="3" t="inlineStr">
        <is>
          <t>Location</t>
        </is>
      </c>
      <c r="F1" s="3" t="inlineStr">
        <is>
          <t>Date_Collected</t>
        </is>
      </c>
      <c r="G1" s="3" t="inlineStr">
        <is>
          <t>Collected_By</t>
        </is>
      </c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>
      <c r="A47" s="4" t="n"/>
      <c r="B47" s="4" t="n"/>
      <c r="C47" s="4" t="n"/>
      <c r="D47" s="4" t="n"/>
      <c r="E47" s="4" t="n"/>
      <c r="F47" s="4" t="n"/>
      <c r="G47" s="4" t="n"/>
    </row>
    <row r="48">
      <c r="A48" s="4" t="n"/>
      <c r="B48" s="4" t="n"/>
      <c r="C48" s="4" t="n"/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</sheetData>
  <dataValidations count="1">
    <dataValidation sqref="C2:C200" showDropDown="0" showInputMessage="0" showErrorMessage="0" allowBlank="0" type="list">
      <formula1>"Analysis Document,System Export,Interview Notes,Historical Incident,Control Evidence"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2026-02-08T11:25:24Z</dcterms:created>
  <dcterms:modified xmlns:dcterms="http://purl.org/dc/terms/" xmlns:xsi="http://www.w3.org/2001/XMLSchema-instance" xsi:type="dcterms:W3CDTF">2026-02-08T11:25:24Z</dcterms:modified>
</cp:coreProperties>
</file>