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KPI_Scorecard" sheetId="2" state="visible" r:id="rId2"/>
    <sheet xmlns:r="http://schemas.openxmlformats.org/officeDocument/2006/relationships" name="Conflict_Status" sheetId="3" state="visible" r:id="rId3"/>
    <sheet xmlns:r="http://schemas.openxmlformats.org/officeDocument/2006/relationships" name="Remediation_Progress" sheetId="4" state="visible" r:id="rId4"/>
    <sheet xmlns:r="http://schemas.openxmlformats.org/officeDocument/2006/relationships" name="Exception_Monitoring" sheetId="5" state="visible" r:id="rId5"/>
    <sheet xmlns:r="http://schemas.openxmlformats.org/officeDocument/2006/relationships" name="Trend_Analysis" sheetId="6" state="visible" r:id="rId6"/>
    <sheet xmlns:r="http://schemas.openxmlformats.org/officeDocument/2006/relationships" name="Department_View" sheetId="7" state="visible" r:id="rId7"/>
    <sheet xmlns:r="http://schemas.openxmlformats.org/officeDocument/2006/relationships" name="Audit_Evidence" sheetId="8" state="visible" r:id="rId8"/>
    <sheet xmlns:r="http://schemas.openxmlformats.org/officeDocument/2006/relationships" name="Data_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  <sz val="12"/>
    </font>
    <font>
      <b val="1"/>
      <color rgb="00FFFFFF"/>
      <sz val="11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0" fillId="4" borderId="0" applyAlignment="1" pivotButton="0" quotePrefix="0" xfId="0">
      <alignment vertical="top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Segregation of Duties - Executive Dashboard</t>
        </is>
      </c>
    </row>
    <row r="2">
      <c r="A2" s="2" t="inlineStr">
        <is>
          <t>As of: 08.02.2026</t>
        </is>
      </c>
    </row>
    <row r="4">
      <c r="A4" s="3" t="inlineStr">
        <is>
          <t>COMPLIANCE STATUS</t>
        </is>
      </c>
    </row>
    <row r="5">
      <c r="A5" s="4" t="inlineStr">
        <is>
          <t>Metric</t>
        </is>
      </c>
      <c r="B5" s="4" t="inlineStr">
        <is>
          <t>Target</t>
        </is>
      </c>
      <c r="C5" s="4" t="inlineStr">
        <is>
          <t>Current</t>
        </is>
      </c>
      <c r="D5" s="4" t="inlineStr">
        <is>
          <t>Status</t>
        </is>
      </c>
    </row>
    <row r="6">
      <c r="A6" s="5" t="inlineStr">
        <is>
          <t>Overall Compliance Score</t>
        </is>
      </c>
      <c r="B6" s="5" t="inlineStr">
        <is>
          <t>&gt;95%</t>
        </is>
      </c>
      <c r="C6" s="6" t="inlineStr"/>
      <c r="D6" s="6" t="inlineStr"/>
    </row>
    <row r="7">
      <c r="A7" s="5" t="inlineStr">
        <is>
          <t>Critical Conflicts Open</t>
        </is>
      </c>
      <c r="B7" s="5" t="inlineStr">
        <is>
          <t>0</t>
        </is>
      </c>
      <c r="C7" s="6" t="inlineStr"/>
      <c r="D7" s="6" t="inlineStr"/>
    </row>
    <row r="8">
      <c r="A8" s="5" t="inlineStr">
        <is>
          <t>Remediation On Track</t>
        </is>
      </c>
      <c r="B8" s="5" t="inlineStr">
        <is>
          <t>&gt;90%</t>
        </is>
      </c>
      <c r="C8" s="6" t="inlineStr"/>
      <c r="D8" s="6" t="inlineStr"/>
    </row>
    <row r="9">
      <c r="A9" s="5" t="inlineStr">
        <is>
          <t>Active Exceptions</t>
        </is>
      </c>
      <c r="B9" s="5" t="inlineStr">
        <is>
          <t>&lt;5</t>
        </is>
      </c>
      <c r="C9" s="6" t="inlineStr"/>
      <c r="D9" s="6" t="inlineStr"/>
    </row>
    <row r="10">
      <c r="A10" s="5" t="inlineStr">
        <is>
          <t>Days Since Assessment</t>
        </is>
      </c>
      <c r="B10" s="5" t="inlineStr">
        <is>
          <t>&lt;90</t>
        </is>
      </c>
      <c r="C10" s="6" t="inlineStr"/>
      <c r="D10" s="6" t="inlineStr"/>
    </row>
    <row r="12">
      <c r="A12" s="3" t="inlineStr">
        <is>
          <t>KEY STATISTICS</t>
        </is>
      </c>
    </row>
    <row r="13">
      <c r="A13" s="5" t="inlineStr">
        <is>
          <t>Total Roles Assessed</t>
        </is>
      </c>
      <c r="B13" s="7" t="inlineStr"/>
    </row>
    <row r="14">
      <c r="A14" s="5" t="inlineStr">
        <is>
          <t>Total Conflicts Identified</t>
        </is>
      </c>
      <c r="B14" s="7" t="inlineStr"/>
    </row>
    <row r="15">
      <c r="A15" s="5" t="inlineStr">
        <is>
          <t>Conflicts Resolved</t>
        </is>
      </c>
      <c r="B15" s="7" t="inlineStr"/>
    </row>
    <row r="16">
      <c r="A16" s="5" t="inlineStr">
        <is>
          <t>Conflicts In Remediation</t>
        </is>
      </c>
      <c r="B16" s="7" t="inlineStr"/>
    </row>
    <row r="17">
      <c r="A17" s="5" t="inlineStr">
        <is>
          <t>Active Exceptions</t>
        </is>
      </c>
      <c r="B17" s="7" t="inlineStr"/>
    </row>
    <row r="19">
      <c r="A19" s="3" t="inlineStr">
        <is>
          <t>EXECUTIVE SUMMARY</t>
        </is>
      </c>
    </row>
    <row r="20">
      <c r="A20" s="8" t="inlineStr">
        <is>
          <t>[Enter executive summary narrative here]</t>
        </is>
      </c>
    </row>
    <row r="21"/>
    <row r="22"/>
    <row r="23"/>
    <row r="24"/>
    <row r="25"/>
  </sheetData>
  <mergeCells count="2">
    <mergeCell ref="A1:F1"/>
    <mergeCell ref="A20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</cols>
  <sheetData>
    <row r="1">
      <c r="A1" s="4" t="inlineStr">
        <is>
          <t>KPI_Name</t>
        </is>
      </c>
      <c r="B1" s="4" t="inlineStr">
        <is>
          <t>Target</t>
        </is>
      </c>
      <c r="C1" s="4" t="inlineStr">
        <is>
          <t>Q1</t>
        </is>
      </c>
      <c r="D1" s="4" t="inlineStr">
        <is>
          <t>Q2</t>
        </is>
      </c>
      <c r="E1" s="4" t="inlineStr">
        <is>
          <t>Q3</t>
        </is>
      </c>
      <c r="F1" s="4" t="inlineStr">
        <is>
          <t>Q4</t>
        </is>
      </c>
      <c r="G1" s="4" t="inlineStr">
        <is>
          <t>YTD</t>
        </is>
      </c>
      <c r="H1" s="4" t="inlineStr">
        <is>
          <t>Status</t>
        </is>
      </c>
      <c r="I1" s="4" t="inlineStr">
        <is>
          <t>Trend</t>
        </is>
      </c>
    </row>
    <row r="2">
      <c r="A2" s="5" t="inlineStr">
        <is>
          <t>Conflict Identification Rate</t>
        </is>
      </c>
      <c r="B2" s="5" t="inlineStr">
        <is>
          <t>Baseline</t>
        </is>
      </c>
      <c r="C2" s="6" t="n"/>
      <c r="D2" s="6" t="n"/>
      <c r="E2" s="6" t="n"/>
      <c r="F2" s="6" t="n"/>
      <c r="G2" s="9">
        <f>IF(COUNT(C2:F2)&gt;0,AVERAGE(C2:F2),"")</f>
        <v/>
      </c>
      <c r="H2" s="6" t="n"/>
      <c r="I2" s="6" t="n"/>
    </row>
    <row r="3">
      <c r="A3" s="5" t="inlineStr">
        <is>
          <t>Resolution Rate (%)</t>
        </is>
      </c>
      <c r="B3" s="5" t="inlineStr">
        <is>
          <t>80</t>
        </is>
      </c>
      <c r="C3" s="6" t="n"/>
      <c r="D3" s="6" t="n"/>
      <c r="E3" s="6" t="n"/>
      <c r="F3" s="6" t="n"/>
      <c r="G3" s="9">
        <f>IF(COUNT(C3:F3)&gt;0,AVERAGE(C3:F3),"")</f>
        <v/>
      </c>
      <c r="H3" s="6" t="n"/>
      <c r="I3" s="6" t="n"/>
    </row>
    <row r="4">
      <c r="A4" s="5" t="inlineStr">
        <is>
          <t>Mean Time to Resolution (days)</t>
        </is>
      </c>
      <c r="B4" s="5" t="inlineStr">
        <is>
          <t>90</t>
        </is>
      </c>
      <c r="C4" s="6" t="n"/>
      <c r="D4" s="6" t="n"/>
      <c r="E4" s="6" t="n"/>
      <c r="F4" s="6" t="n"/>
      <c r="G4" s="9">
        <f>IF(COUNT(C4:F4)&gt;0,AVERAGE(C4:F4),"")</f>
        <v/>
      </c>
      <c r="H4" s="6" t="n"/>
      <c r="I4" s="6" t="n"/>
    </row>
    <row r="5">
      <c r="A5" s="5" t="inlineStr">
        <is>
          <t>Exception Ratio (%)</t>
        </is>
      </c>
      <c r="B5" s="5" t="inlineStr">
        <is>
          <t>20</t>
        </is>
      </c>
      <c r="C5" s="6" t="n"/>
      <c r="D5" s="6" t="n"/>
      <c r="E5" s="6" t="n"/>
      <c r="F5" s="6" t="n"/>
      <c r="G5" s="9">
        <f>IF(COUNT(C5:F5)&gt;0,AVERAGE(C5:F5),"")</f>
        <v/>
      </c>
      <c r="H5" s="6" t="n"/>
      <c r="I5" s="6" t="n"/>
    </row>
    <row r="6">
      <c r="A6" s="5" t="inlineStr">
        <is>
          <t>Control Effectiveness (%)</t>
        </is>
      </c>
      <c r="B6" s="5" t="inlineStr">
        <is>
          <t>70</t>
        </is>
      </c>
      <c r="C6" s="6" t="n"/>
      <c r="D6" s="6" t="n"/>
      <c r="E6" s="6" t="n"/>
      <c r="F6" s="6" t="n"/>
      <c r="G6" s="9">
        <f>IF(COUNT(C6:F6)&gt;0,AVERAGE(C6:F6),"")</f>
        <v/>
      </c>
      <c r="H6" s="6" t="n"/>
      <c r="I6" s="6" t="n"/>
    </row>
    <row r="7">
      <c r="A7" s="5" t="inlineStr">
        <is>
          <t>Validation Coverage (%)</t>
        </is>
      </c>
      <c r="B7" s="5" t="inlineStr">
        <is>
          <t>100</t>
        </is>
      </c>
      <c r="C7" s="6" t="n"/>
      <c r="D7" s="6" t="n"/>
      <c r="E7" s="6" t="n"/>
      <c r="F7" s="6" t="n"/>
      <c r="G7" s="9">
        <f>IF(COUNT(C7:F7)&gt;0,AVERAGE(C7:F7),"")</f>
        <v/>
      </c>
      <c r="H7" s="6" t="n"/>
      <c r="I7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CONFLICTS BY TYPE</t>
        </is>
      </c>
    </row>
    <row r="2">
      <c r="A2" s="4" t="inlineStr">
        <is>
          <t>Conflict_Type</t>
        </is>
      </c>
      <c r="B2" s="4" t="inlineStr">
        <is>
          <t>Total</t>
        </is>
      </c>
      <c r="C2" s="4" t="inlineStr">
        <is>
          <t>Open</t>
        </is>
      </c>
      <c r="D2" s="4" t="inlineStr">
        <is>
          <t>Mitigated</t>
        </is>
      </c>
      <c r="E2" s="4" t="inlineStr">
        <is>
          <t>Resolved</t>
        </is>
      </c>
      <c r="F2" s="4" t="inlineStr">
        <is>
          <t>Accepted</t>
        </is>
      </c>
      <c r="G2" s="4" t="inlineStr">
        <is>
          <t>% Resolved</t>
        </is>
      </c>
    </row>
    <row r="3">
      <c r="A3" s="5" t="inlineStr">
        <is>
          <t>X (Hard)</t>
        </is>
      </c>
      <c r="B3" s="6" t="n"/>
      <c r="C3" s="6" t="n"/>
      <c r="D3" s="6" t="n"/>
      <c r="E3" s="6" t="n"/>
      <c r="F3" s="6" t="n"/>
      <c r="G3" s="9">
        <f>IF(B3&gt;0,(E3/(B3-F3))*100,0)</f>
        <v/>
      </c>
    </row>
    <row r="4">
      <c r="A4" s="5" t="inlineStr">
        <is>
          <t>C (Conditional)</t>
        </is>
      </c>
      <c r="B4" s="6" t="n"/>
      <c r="C4" s="6" t="n"/>
      <c r="D4" s="6" t="n"/>
      <c r="E4" s="6" t="n"/>
      <c r="F4" s="6" t="n"/>
      <c r="G4" s="9">
        <f>IF(B4&gt;0,(E4/(B4-F4))*100,0)</f>
        <v/>
      </c>
    </row>
    <row r="5">
      <c r="A5" s="5" t="inlineStr">
        <is>
          <t>M (Monitor)</t>
        </is>
      </c>
      <c r="B5" s="6" t="n"/>
      <c r="C5" s="6" t="n"/>
      <c r="D5" s="6" t="n"/>
      <c r="E5" s="6" t="n"/>
      <c r="F5" s="6" t="n"/>
      <c r="G5" s="9">
        <f>IF(B5&gt;0,(E5/(B5-F5))*100,0)</f>
        <v/>
      </c>
    </row>
    <row r="6">
      <c r="A6" s="5" t="inlineStr">
        <is>
          <t>Total</t>
        </is>
      </c>
      <c r="B6" s="6" t="n"/>
      <c r="C6" s="6" t="n"/>
      <c r="D6" s="6" t="n"/>
      <c r="E6" s="6" t="n"/>
      <c r="F6" s="6" t="n"/>
      <c r="G6" s="9">
        <f>IF(B6&gt;0,(E6/(B6-F6))*100,0)</f>
        <v/>
      </c>
    </row>
    <row r="9">
      <c r="A9" s="3" t="inlineStr">
        <is>
          <t>CONFLICTS BY PROCESS</t>
        </is>
      </c>
    </row>
    <row r="10">
      <c r="A10" s="4" t="inlineStr">
        <is>
          <t>Process_Domain</t>
        </is>
      </c>
      <c r="B10" s="4" t="inlineStr">
        <is>
          <t>Total</t>
        </is>
      </c>
      <c r="C10" s="4" t="inlineStr">
        <is>
          <t>Critical</t>
        </is>
      </c>
      <c r="D10" s="4" t="inlineStr">
        <is>
          <t>High</t>
        </is>
      </c>
      <c r="E10" s="4" t="inlineStr">
        <is>
          <t>Medium</t>
        </is>
      </c>
      <c r="F10" s="4" t="inlineStr">
        <is>
          <t>Low</t>
        </is>
      </c>
    </row>
    <row r="11">
      <c r="A11" s="5" t="inlineStr">
        <is>
          <t>Financial</t>
        </is>
      </c>
      <c r="B11" s="6" t="n"/>
      <c r="C11" s="6" t="n"/>
      <c r="D11" s="6" t="n"/>
      <c r="E11" s="6" t="n"/>
      <c r="F11" s="6" t="n"/>
    </row>
    <row r="12">
      <c r="A12" s="5" t="inlineStr">
        <is>
          <t>IT Operations</t>
        </is>
      </c>
      <c r="B12" s="6" t="n"/>
      <c r="C12" s="6" t="n"/>
      <c r="D12" s="6" t="n"/>
      <c r="E12" s="6" t="n"/>
      <c r="F12" s="6" t="n"/>
    </row>
    <row r="13">
      <c r="A13" s="5" t="inlineStr">
        <is>
          <t>HR</t>
        </is>
      </c>
      <c r="B13" s="6" t="n"/>
      <c r="C13" s="6" t="n"/>
      <c r="D13" s="6" t="n"/>
      <c r="E13" s="6" t="n"/>
      <c r="F13" s="6" t="n"/>
    </row>
    <row r="14">
      <c r="A14" s="5" t="inlineStr">
        <is>
          <t>Procurement</t>
        </is>
      </c>
      <c r="B14" s="6" t="n"/>
      <c r="C14" s="6" t="n"/>
      <c r="D14" s="6" t="n"/>
      <c r="E14" s="6" t="n"/>
      <c r="F14" s="6" t="n"/>
    </row>
    <row r="15">
      <c r="A15" s="5" t="inlineStr">
        <is>
          <t>Security</t>
        </is>
      </c>
      <c r="B15" s="6" t="n"/>
      <c r="C15" s="6" t="n"/>
      <c r="D15" s="6" t="n"/>
      <c r="E15" s="6" t="n"/>
      <c r="F15" s="6" t="n"/>
    </row>
    <row r="16">
      <c r="A16" s="5" t="inlineStr">
        <is>
          <t>Change Management</t>
        </is>
      </c>
      <c r="B16" s="6" t="n"/>
      <c r="C16" s="6" t="n"/>
      <c r="D16" s="6" t="n"/>
      <c r="E16" s="6" t="n"/>
      <c r="F16" s="6" t="n"/>
    </row>
    <row r="19">
      <c r="A19" s="3" t="inlineStr">
        <is>
          <t>CONFLICT AGING</t>
        </is>
      </c>
    </row>
    <row r="20">
      <c r="A20" s="4" t="inlineStr">
        <is>
          <t>Age_Bucket</t>
        </is>
      </c>
      <c r="B20" s="4" t="inlineStr">
        <is>
          <t>Count</t>
        </is>
      </c>
      <c r="C20" s="4" t="inlineStr">
        <is>
          <t>% of Total</t>
        </is>
      </c>
    </row>
    <row r="21">
      <c r="A21" s="5" t="inlineStr">
        <is>
          <t>&lt;30 days</t>
        </is>
      </c>
      <c r="B21" s="6" t="n"/>
      <c r="C21" s="6" t="n"/>
    </row>
    <row r="22">
      <c r="A22" s="5" t="inlineStr">
        <is>
          <t>30-60 days</t>
        </is>
      </c>
      <c r="B22" s="6" t="n"/>
      <c r="C22" s="6" t="n"/>
    </row>
    <row r="23">
      <c r="A23" s="5" t="inlineStr">
        <is>
          <t>60-90 days</t>
        </is>
      </c>
      <c r="B23" s="6" t="n"/>
      <c r="C23" s="6" t="n"/>
    </row>
    <row r="24">
      <c r="A24" s="5" t="inlineStr">
        <is>
          <t>&gt;90 days</t>
        </is>
      </c>
      <c r="B24" s="6" t="n"/>
      <c r="C24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20" customWidth="1" min="7" max="7"/>
  </cols>
  <sheetData>
    <row r="1">
      <c r="A1" s="4" t="inlineStr">
        <is>
          <t>Remediation_ID</t>
        </is>
      </c>
      <c r="B1" s="4" t="inlineStr">
        <is>
          <t>Gap_ID</t>
        </is>
      </c>
      <c r="C1" s="4" t="inlineStr">
        <is>
          <t>Owner</t>
        </is>
      </c>
      <c r="D1" s="4" t="inlineStr">
        <is>
          <t>Target_Date</t>
        </is>
      </c>
      <c r="E1" s="4" t="inlineStr">
        <is>
          <t>Status</t>
        </is>
      </c>
      <c r="F1" s="4" t="inlineStr">
        <is>
          <t>Days_Remaining</t>
        </is>
      </c>
      <c r="G1" s="4" t="inlineStr">
        <is>
          <t>Escalation_Status</t>
        </is>
      </c>
    </row>
    <row r="2">
      <c r="A2" s="6" t="n"/>
      <c r="B2" s="6" t="n"/>
      <c r="C2" s="6" t="n"/>
      <c r="D2" s="6" t="n"/>
      <c r="E2" s="6" t="n"/>
      <c r="F2" s="9">
        <f>IF(D2="","",D2-TODAY())</f>
        <v/>
      </c>
      <c r="G2" s="6" t="n"/>
    </row>
    <row r="3">
      <c r="A3" s="6" t="n"/>
      <c r="B3" s="6" t="n"/>
      <c r="C3" s="6" t="n"/>
      <c r="D3" s="6" t="n"/>
      <c r="E3" s="6" t="n"/>
      <c r="F3" s="9">
        <f>IF(D3="","",D3-TODAY())</f>
        <v/>
      </c>
      <c r="G3" s="6" t="n"/>
    </row>
    <row r="4">
      <c r="A4" s="6" t="n"/>
      <c r="B4" s="6" t="n"/>
      <c r="C4" s="6" t="n"/>
      <c r="D4" s="6" t="n"/>
      <c r="E4" s="6" t="n"/>
      <c r="F4" s="9">
        <f>IF(D4="","",D4-TODAY())</f>
        <v/>
      </c>
      <c r="G4" s="6" t="n"/>
    </row>
    <row r="5">
      <c r="A5" s="6" t="n"/>
      <c r="B5" s="6" t="n"/>
      <c r="C5" s="6" t="n"/>
      <c r="D5" s="6" t="n"/>
      <c r="E5" s="6" t="n"/>
      <c r="F5" s="9">
        <f>IF(D5="","",D5-TODAY())</f>
        <v/>
      </c>
      <c r="G5" s="6" t="n"/>
    </row>
    <row r="6">
      <c r="A6" s="6" t="n"/>
      <c r="B6" s="6" t="n"/>
      <c r="C6" s="6" t="n"/>
      <c r="D6" s="6" t="n"/>
      <c r="E6" s="6" t="n"/>
      <c r="F6" s="9">
        <f>IF(D6="","",D6-TODAY())</f>
        <v/>
      </c>
      <c r="G6" s="6" t="n"/>
    </row>
    <row r="7">
      <c r="A7" s="6" t="n"/>
      <c r="B7" s="6" t="n"/>
      <c r="C7" s="6" t="n"/>
      <c r="D7" s="6" t="n"/>
      <c r="E7" s="6" t="n"/>
      <c r="F7" s="9">
        <f>IF(D7="","",D7-TODAY())</f>
        <v/>
      </c>
      <c r="G7" s="6" t="n"/>
    </row>
    <row r="8">
      <c r="A8" s="6" t="n"/>
      <c r="B8" s="6" t="n"/>
      <c r="C8" s="6" t="n"/>
      <c r="D8" s="6" t="n"/>
      <c r="E8" s="6" t="n"/>
      <c r="F8" s="9">
        <f>IF(D8="","",D8-TODAY())</f>
        <v/>
      </c>
      <c r="G8" s="6" t="n"/>
    </row>
    <row r="9">
      <c r="A9" s="6" t="n"/>
      <c r="B9" s="6" t="n"/>
      <c r="C9" s="6" t="n"/>
      <c r="D9" s="6" t="n"/>
      <c r="E9" s="6" t="n"/>
      <c r="F9" s="9">
        <f>IF(D9="","",D9-TODAY())</f>
        <v/>
      </c>
      <c r="G9" s="6" t="n"/>
    </row>
    <row r="10">
      <c r="A10" s="6" t="n"/>
      <c r="B10" s="6" t="n"/>
      <c r="C10" s="6" t="n"/>
      <c r="D10" s="6" t="n"/>
      <c r="E10" s="6" t="n"/>
      <c r="F10" s="9">
        <f>IF(D10="","",D10-TODAY())</f>
        <v/>
      </c>
      <c r="G10" s="6" t="n"/>
    </row>
    <row r="11">
      <c r="A11" s="6" t="n"/>
      <c r="B11" s="6" t="n"/>
      <c r="C11" s="6" t="n"/>
      <c r="D11" s="6" t="n"/>
      <c r="E11" s="6" t="n"/>
      <c r="F11" s="9">
        <f>IF(D11="","",D11-TODAY())</f>
        <v/>
      </c>
      <c r="G11" s="6" t="n"/>
    </row>
    <row r="12">
      <c r="A12" s="6" t="n"/>
      <c r="B12" s="6" t="n"/>
      <c r="C12" s="6" t="n"/>
      <c r="D12" s="6" t="n"/>
      <c r="E12" s="6" t="n"/>
      <c r="F12" s="9">
        <f>IF(D12="","",D12-TODAY())</f>
        <v/>
      </c>
      <c r="G12" s="6" t="n"/>
    </row>
    <row r="13">
      <c r="A13" s="6" t="n"/>
      <c r="B13" s="6" t="n"/>
      <c r="C13" s="6" t="n"/>
      <c r="D13" s="6" t="n"/>
      <c r="E13" s="6" t="n"/>
      <c r="F13" s="9">
        <f>IF(D13="","",D13-TODAY())</f>
        <v/>
      </c>
      <c r="G13" s="6" t="n"/>
    </row>
    <row r="14">
      <c r="A14" s="6" t="n"/>
      <c r="B14" s="6" t="n"/>
      <c r="C14" s="6" t="n"/>
      <c r="D14" s="6" t="n"/>
      <c r="E14" s="6" t="n"/>
      <c r="F14" s="9">
        <f>IF(D14="","",D14-TODAY())</f>
        <v/>
      </c>
      <c r="G14" s="6" t="n"/>
    </row>
    <row r="15">
      <c r="A15" s="6" t="n"/>
      <c r="B15" s="6" t="n"/>
      <c r="C15" s="6" t="n"/>
      <c r="D15" s="6" t="n"/>
      <c r="E15" s="6" t="n"/>
      <c r="F15" s="9">
        <f>IF(D15="","",D15-TODAY())</f>
        <v/>
      </c>
      <c r="G15" s="6" t="n"/>
    </row>
    <row r="16">
      <c r="A16" s="6" t="n"/>
      <c r="B16" s="6" t="n"/>
      <c r="C16" s="6" t="n"/>
      <c r="D16" s="6" t="n"/>
      <c r="E16" s="6" t="n"/>
      <c r="F16" s="9">
        <f>IF(D16="","",D16-TODAY())</f>
        <v/>
      </c>
      <c r="G16" s="6" t="n"/>
    </row>
    <row r="17">
      <c r="A17" s="6" t="n"/>
      <c r="B17" s="6" t="n"/>
      <c r="C17" s="6" t="n"/>
      <c r="D17" s="6" t="n"/>
      <c r="E17" s="6" t="n"/>
      <c r="F17" s="9">
        <f>IF(D17="","",D17-TODAY())</f>
        <v/>
      </c>
      <c r="G17" s="6" t="n"/>
    </row>
    <row r="18">
      <c r="A18" s="6" t="n"/>
      <c r="B18" s="6" t="n"/>
      <c r="C18" s="6" t="n"/>
      <c r="D18" s="6" t="n"/>
      <c r="E18" s="6" t="n"/>
      <c r="F18" s="9">
        <f>IF(D18="","",D18-TODAY())</f>
        <v/>
      </c>
      <c r="G18" s="6" t="n"/>
    </row>
    <row r="19">
      <c r="A19" s="6" t="n"/>
      <c r="B19" s="6" t="n"/>
      <c r="C19" s="6" t="n"/>
      <c r="D19" s="6" t="n"/>
      <c r="E19" s="6" t="n"/>
      <c r="F19" s="9">
        <f>IF(D19="","",D19-TODAY())</f>
        <v/>
      </c>
      <c r="G19" s="6" t="n"/>
    </row>
    <row r="20">
      <c r="A20" s="6" t="n"/>
      <c r="B20" s="6" t="n"/>
      <c r="C20" s="6" t="n"/>
      <c r="D20" s="6" t="n"/>
      <c r="E20" s="6" t="n"/>
      <c r="F20" s="9">
        <f>IF(D20="","",D20-TODAY())</f>
        <v/>
      </c>
      <c r="G20" s="6" t="n"/>
    </row>
    <row r="21">
      <c r="A21" s="6" t="n"/>
      <c r="B21" s="6" t="n"/>
      <c r="C21" s="6" t="n"/>
      <c r="D21" s="6" t="n"/>
      <c r="E21" s="6" t="n"/>
      <c r="F21" s="9">
        <f>IF(D21="","",D21-TODAY())</f>
        <v/>
      </c>
      <c r="G21" s="6" t="n"/>
    </row>
    <row r="22">
      <c r="A22" s="6" t="n"/>
      <c r="B22" s="6" t="n"/>
      <c r="C22" s="6" t="n"/>
      <c r="D22" s="6" t="n"/>
      <c r="E22" s="6" t="n"/>
      <c r="F22" s="9">
        <f>IF(D22="","",D22-TODAY())</f>
        <v/>
      </c>
      <c r="G22" s="6" t="n"/>
    </row>
    <row r="23">
      <c r="A23" s="6" t="n"/>
      <c r="B23" s="6" t="n"/>
      <c r="C23" s="6" t="n"/>
      <c r="D23" s="6" t="n"/>
      <c r="E23" s="6" t="n"/>
      <c r="F23" s="9">
        <f>IF(D23="","",D23-TODAY())</f>
        <v/>
      </c>
      <c r="G23" s="6" t="n"/>
    </row>
    <row r="24">
      <c r="A24" s="6" t="n"/>
      <c r="B24" s="6" t="n"/>
      <c r="C24" s="6" t="n"/>
      <c r="D24" s="6" t="n"/>
      <c r="E24" s="6" t="n"/>
      <c r="F24" s="9">
        <f>IF(D24="","",D24-TODAY())</f>
        <v/>
      </c>
      <c r="G24" s="6" t="n"/>
    </row>
    <row r="25">
      <c r="A25" s="6" t="n"/>
      <c r="B25" s="6" t="n"/>
      <c r="C25" s="6" t="n"/>
      <c r="D25" s="6" t="n"/>
      <c r="E25" s="6" t="n"/>
      <c r="F25" s="9">
        <f>IF(D25="","",D25-TODAY())</f>
        <v/>
      </c>
      <c r="G25" s="6" t="n"/>
    </row>
    <row r="26">
      <c r="A26" s="6" t="n"/>
      <c r="B26" s="6" t="n"/>
      <c r="C26" s="6" t="n"/>
      <c r="D26" s="6" t="n"/>
      <c r="E26" s="6" t="n"/>
      <c r="F26" s="9">
        <f>IF(D26="","",D26-TODAY())</f>
        <v/>
      </c>
      <c r="G26" s="6" t="n"/>
    </row>
    <row r="27">
      <c r="A27" s="6" t="n"/>
      <c r="B27" s="6" t="n"/>
      <c r="C27" s="6" t="n"/>
      <c r="D27" s="6" t="n"/>
      <c r="E27" s="6" t="n"/>
      <c r="F27" s="9">
        <f>IF(D27="","",D27-TODAY())</f>
        <v/>
      </c>
      <c r="G27" s="6" t="n"/>
    </row>
    <row r="28">
      <c r="A28" s="6" t="n"/>
      <c r="B28" s="6" t="n"/>
      <c r="C28" s="6" t="n"/>
      <c r="D28" s="6" t="n"/>
      <c r="E28" s="6" t="n"/>
      <c r="F28" s="9">
        <f>IF(D28="","",D28-TODAY())</f>
        <v/>
      </c>
      <c r="G28" s="6" t="n"/>
    </row>
    <row r="29">
      <c r="A29" s="6" t="n"/>
      <c r="B29" s="6" t="n"/>
      <c r="C29" s="6" t="n"/>
      <c r="D29" s="6" t="n"/>
      <c r="E29" s="6" t="n"/>
      <c r="F29" s="9">
        <f>IF(D29="","",D29-TODAY())</f>
        <v/>
      </c>
      <c r="G29" s="6" t="n"/>
    </row>
    <row r="30">
      <c r="A30" s="6" t="n"/>
      <c r="B30" s="6" t="n"/>
      <c r="C30" s="6" t="n"/>
      <c r="D30" s="6" t="n"/>
      <c r="E30" s="6" t="n"/>
      <c r="F30" s="9">
        <f>IF(D30="","",D30-TODAY())</f>
        <v/>
      </c>
      <c r="G30" s="6" t="n"/>
    </row>
    <row r="31">
      <c r="A31" s="6" t="n"/>
      <c r="B31" s="6" t="n"/>
      <c r="C31" s="6" t="n"/>
      <c r="D31" s="6" t="n"/>
      <c r="E31" s="6" t="n"/>
      <c r="F31" s="9">
        <f>IF(D31="","",D31-TODAY())</f>
        <v/>
      </c>
      <c r="G31" s="6" t="n"/>
    </row>
    <row r="32">
      <c r="A32" s="6" t="n"/>
      <c r="B32" s="6" t="n"/>
      <c r="C32" s="6" t="n"/>
      <c r="D32" s="6" t="n"/>
      <c r="E32" s="6" t="n"/>
      <c r="F32" s="9">
        <f>IF(D32="","",D32-TODAY())</f>
        <v/>
      </c>
      <c r="G32" s="6" t="n"/>
    </row>
    <row r="33">
      <c r="A33" s="6" t="n"/>
      <c r="B33" s="6" t="n"/>
      <c r="C33" s="6" t="n"/>
      <c r="D33" s="6" t="n"/>
      <c r="E33" s="6" t="n"/>
      <c r="F33" s="9">
        <f>IF(D33="","",D33-TODAY())</f>
        <v/>
      </c>
      <c r="G33" s="6" t="n"/>
    </row>
    <row r="34">
      <c r="A34" s="6" t="n"/>
      <c r="B34" s="6" t="n"/>
      <c r="C34" s="6" t="n"/>
      <c r="D34" s="6" t="n"/>
      <c r="E34" s="6" t="n"/>
      <c r="F34" s="9">
        <f>IF(D34="","",D34-TODAY())</f>
        <v/>
      </c>
      <c r="G34" s="6" t="n"/>
    </row>
    <row r="35">
      <c r="A35" s="6" t="n"/>
      <c r="B35" s="6" t="n"/>
      <c r="C35" s="6" t="n"/>
      <c r="D35" s="6" t="n"/>
      <c r="E35" s="6" t="n"/>
      <c r="F35" s="9">
        <f>IF(D35="","",D35-TODAY())</f>
        <v/>
      </c>
      <c r="G35" s="6" t="n"/>
    </row>
    <row r="36">
      <c r="A36" s="6" t="n"/>
      <c r="B36" s="6" t="n"/>
      <c r="C36" s="6" t="n"/>
      <c r="D36" s="6" t="n"/>
      <c r="E36" s="6" t="n"/>
      <c r="F36" s="9">
        <f>IF(D36="","",D36-TODAY())</f>
        <v/>
      </c>
      <c r="G36" s="6" t="n"/>
    </row>
    <row r="37">
      <c r="A37" s="6" t="n"/>
      <c r="B37" s="6" t="n"/>
      <c r="C37" s="6" t="n"/>
      <c r="D37" s="6" t="n"/>
      <c r="E37" s="6" t="n"/>
      <c r="F37" s="9">
        <f>IF(D37="","",D37-TODAY())</f>
        <v/>
      </c>
      <c r="G37" s="6" t="n"/>
    </row>
    <row r="38">
      <c r="A38" s="6" t="n"/>
      <c r="B38" s="6" t="n"/>
      <c r="C38" s="6" t="n"/>
      <c r="D38" s="6" t="n"/>
      <c r="E38" s="6" t="n"/>
      <c r="F38" s="9">
        <f>IF(D38="","",D38-TODAY())</f>
        <v/>
      </c>
      <c r="G38" s="6" t="n"/>
    </row>
    <row r="39">
      <c r="A39" s="6" t="n"/>
      <c r="B39" s="6" t="n"/>
      <c r="C39" s="6" t="n"/>
      <c r="D39" s="6" t="n"/>
      <c r="E39" s="6" t="n"/>
      <c r="F39" s="9">
        <f>IF(D39="","",D39-TODAY())</f>
        <v/>
      </c>
      <c r="G39" s="6" t="n"/>
    </row>
    <row r="40">
      <c r="A40" s="6" t="n"/>
      <c r="B40" s="6" t="n"/>
      <c r="C40" s="6" t="n"/>
      <c r="D40" s="6" t="n"/>
      <c r="E40" s="6" t="n"/>
      <c r="F40" s="9">
        <f>IF(D40="","",D40-TODAY())</f>
        <v/>
      </c>
      <c r="G40" s="6" t="n"/>
    </row>
    <row r="41">
      <c r="A41" s="6" t="n"/>
      <c r="B41" s="6" t="n"/>
      <c r="C41" s="6" t="n"/>
      <c r="D41" s="6" t="n"/>
      <c r="E41" s="6" t="n"/>
      <c r="F41" s="9">
        <f>IF(D41="","",D41-TODAY())</f>
        <v/>
      </c>
      <c r="G41" s="6" t="n"/>
    </row>
    <row r="42">
      <c r="A42" s="6" t="n"/>
      <c r="B42" s="6" t="n"/>
      <c r="C42" s="6" t="n"/>
      <c r="D42" s="6" t="n"/>
      <c r="E42" s="6" t="n"/>
      <c r="F42" s="9">
        <f>IF(D42="","",D42-TODAY())</f>
        <v/>
      </c>
      <c r="G42" s="6" t="n"/>
    </row>
    <row r="43">
      <c r="A43" s="6" t="n"/>
      <c r="B43" s="6" t="n"/>
      <c r="C43" s="6" t="n"/>
      <c r="D43" s="6" t="n"/>
      <c r="E43" s="6" t="n"/>
      <c r="F43" s="9">
        <f>IF(D43="","",D43-TODAY())</f>
        <v/>
      </c>
      <c r="G43" s="6" t="n"/>
    </row>
    <row r="44">
      <c r="A44" s="6" t="n"/>
      <c r="B44" s="6" t="n"/>
      <c r="C44" s="6" t="n"/>
      <c r="D44" s="6" t="n"/>
      <c r="E44" s="6" t="n"/>
      <c r="F44" s="9">
        <f>IF(D44="","",D44-TODAY())</f>
        <v/>
      </c>
      <c r="G44" s="6" t="n"/>
    </row>
    <row r="45">
      <c r="A45" s="6" t="n"/>
      <c r="B45" s="6" t="n"/>
      <c r="C45" s="6" t="n"/>
      <c r="D45" s="6" t="n"/>
      <c r="E45" s="6" t="n"/>
      <c r="F45" s="9">
        <f>IF(D45="","",D45-TODAY())</f>
        <v/>
      </c>
      <c r="G45" s="6" t="n"/>
    </row>
    <row r="46">
      <c r="A46" s="6" t="n"/>
      <c r="B46" s="6" t="n"/>
      <c r="C46" s="6" t="n"/>
      <c r="D46" s="6" t="n"/>
      <c r="E46" s="6" t="n"/>
      <c r="F46" s="9">
        <f>IF(D46="","",D46-TODAY())</f>
        <v/>
      </c>
      <c r="G46" s="6" t="n"/>
    </row>
    <row r="47">
      <c r="A47" s="6" t="n"/>
      <c r="B47" s="6" t="n"/>
      <c r="C47" s="6" t="n"/>
      <c r="D47" s="6" t="n"/>
      <c r="E47" s="6" t="n"/>
      <c r="F47" s="9">
        <f>IF(D47="","",D47-TODAY())</f>
        <v/>
      </c>
      <c r="G47" s="6" t="n"/>
    </row>
    <row r="48">
      <c r="A48" s="6" t="n"/>
      <c r="B48" s="6" t="n"/>
      <c r="C48" s="6" t="n"/>
      <c r="D48" s="6" t="n"/>
      <c r="E48" s="6" t="n"/>
      <c r="F48" s="9">
        <f>IF(D48="","",D48-TODAY())</f>
        <v/>
      </c>
      <c r="G48" s="6" t="n"/>
    </row>
    <row r="49">
      <c r="A49" s="6" t="n"/>
      <c r="B49" s="6" t="n"/>
      <c r="C49" s="6" t="n"/>
      <c r="D49" s="6" t="n"/>
      <c r="E49" s="6" t="n"/>
      <c r="F49" s="9">
        <f>IF(D49="","",D49-TODAY())</f>
        <v/>
      </c>
      <c r="G49" s="6" t="n"/>
    </row>
    <row r="50">
      <c r="A50" s="6" t="n"/>
      <c r="B50" s="6" t="n"/>
      <c r="C50" s="6" t="n"/>
      <c r="D50" s="6" t="n"/>
      <c r="E50" s="6" t="n"/>
      <c r="F50" s="9">
        <f>IF(D50="","",D50-TODAY())</f>
        <v/>
      </c>
      <c r="G50" s="6" t="n"/>
    </row>
  </sheetData>
  <dataValidations count="1">
    <dataValidation sqref="E2:E100" showDropDown="0" showInputMessage="0" showErrorMessage="0" allowBlank="0" type="list">
      <formula1>"Not Started,In Progress,Completed,Cancelled,Overdue"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40" customWidth="1" min="4" max="4"/>
    <col width="15" customWidth="1" min="5" max="5"/>
    <col width="18" customWidth="1" min="6" max="6"/>
    <col width="15" customWidth="1" min="7" max="7"/>
    <col width="15" customWidth="1" min="8" max="8"/>
    <col width="12" customWidth="1" min="9" max="9"/>
  </cols>
  <sheetData>
    <row r="1">
      <c r="A1" s="4" t="inlineStr">
        <is>
          <t>Exception_ID</t>
        </is>
      </c>
      <c r="B1" s="4" t="inlineStr">
        <is>
          <t>Gap_ID</t>
        </is>
      </c>
      <c r="C1" s="4" t="inlineStr">
        <is>
          <t>Justification</t>
        </is>
      </c>
      <c r="D1" s="4" t="inlineStr">
        <is>
          <t>Compensating_Controls</t>
        </is>
      </c>
      <c r="E1" s="4" t="inlineStr">
        <is>
          <t>Expiry_Date</t>
        </is>
      </c>
      <c r="F1" s="4" t="inlineStr">
        <is>
          <t>Days_Until_Expiry</t>
        </is>
      </c>
      <c r="G1" s="4" t="inlineStr">
        <is>
          <t>Last_Review</t>
        </is>
      </c>
      <c r="H1" s="4" t="inlineStr">
        <is>
          <t>Control_Effective</t>
        </is>
      </c>
      <c r="I1" s="4" t="inlineStr">
        <is>
          <t>Status</t>
        </is>
      </c>
    </row>
    <row r="2">
      <c r="A2" s="6" t="n"/>
      <c r="B2" s="6" t="n"/>
      <c r="C2" s="6" t="n"/>
      <c r="D2" s="6" t="n"/>
      <c r="E2" s="6" t="n"/>
      <c r="F2" s="9">
        <f>IF(E2="","",E2-TODAY())</f>
        <v/>
      </c>
      <c r="G2" s="6" t="n"/>
      <c r="H2" s="6" t="n"/>
      <c r="I2" s="6" t="n"/>
    </row>
    <row r="3">
      <c r="A3" s="6" t="n"/>
      <c r="B3" s="6" t="n"/>
      <c r="C3" s="6" t="n"/>
      <c r="D3" s="6" t="n"/>
      <c r="E3" s="6" t="n"/>
      <c r="F3" s="9">
        <f>IF(E3="","",E3-TODAY())</f>
        <v/>
      </c>
      <c r="G3" s="6" t="n"/>
      <c r="H3" s="6" t="n"/>
      <c r="I3" s="6" t="n"/>
    </row>
    <row r="4">
      <c r="A4" s="6" t="n"/>
      <c r="B4" s="6" t="n"/>
      <c r="C4" s="6" t="n"/>
      <c r="D4" s="6" t="n"/>
      <c r="E4" s="6" t="n"/>
      <c r="F4" s="9">
        <f>IF(E4="","",E4-TODAY())</f>
        <v/>
      </c>
      <c r="G4" s="6" t="n"/>
      <c r="H4" s="6" t="n"/>
      <c r="I4" s="6" t="n"/>
    </row>
    <row r="5">
      <c r="A5" s="6" t="n"/>
      <c r="B5" s="6" t="n"/>
      <c r="C5" s="6" t="n"/>
      <c r="D5" s="6" t="n"/>
      <c r="E5" s="6" t="n"/>
      <c r="F5" s="9">
        <f>IF(E5="","",E5-TODAY())</f>
        <v/>
      </c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9">
        <f>IF(E6="","",E6-TODAY())</f>
        <v/>
      </c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9">
        <f>IF(E7="","",E7-TODAY())</f>
        <v/>
      </c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9">
        <f>IF(E8="","",E8-TODAY())</f>
        <v/>
      </c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9">
        <f>IF(E9="","",E9-TODAY())</f>
        <v/>
      </c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9">
        <f>IF(E10="","",E10-TODAY())</f>
        <v/>
      </c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9">
        <f>IF(E11="","",E11-TODAY())</f>
        <v/>
      </c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9">
        <f>IF(E12="","",E12-TODAY())</f>
        <v/>
      </c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9">
        <f>IF(E13="","",E13-TODAY())</f>
        <v/>
      </c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9">
        <f>IF(E14="","",E14-TODAY())</f>
        <v/>
      </c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9">
        <f>IF(E15="","",E15-TODAY())</f>
        <v/>
      </c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9">
        <f>IF(E16="","",E16-TODAY())</f>
        <v/>
      </c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9">
        <f>IF(E17="","",E17-TODAY())</f>
        <v/>
      </c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9">
        <f>IF(E18="","",E18-TODAY())</f>
        <v/>
      </c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9">
        <f>IF(E19="","",E19-TODAY())</f>
        <v/>
      </c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9">
        <f>IF(E20="","",E20-TODAY())</f>
        <v/>
      </c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9">
        <f>IF(E21="","",E21-TODAY())</f>
        <v/>
      </c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9">
        <f>IF(E22="","",E22-TODAY())</f>
        <v/>
      </c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9">
        <f>IF(E23="","",E23-TODAY())</f>
        <v/>
      </c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9">
        <f>IF(E24="","",E24-TODAY())</f>
        <v/>
      </c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9">
        <f>IF(E25="","",E25-TODAY())</f>
        <v/>
      </c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9">
        <f>IF(E26="","",E26-TODAY())</f>
        <v/>
      </c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9">
        <f>IF(E27="","",E27-TODAY())</f>
        <v/>
      </c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9">
        <f>IF(E28="","",E28-TODAY())</f>
        <v/>
      </c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9">
        <f>IF(E29="","",E29-TODAY())</f>
        <v/>
      </c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9">
        <f>IF(E30="","",E30-TODAY())</f>
        <v/>
      </c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9">
        <f>IF(E31="","",E31-TODAY())</f>
        <v/>
      </c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9">
        <f>IF(E32="","",E32-TODAY())</f>
        <v/>
      </c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9">
        <f>IF(E33="","",E33-TODAY())</f>
        <v/>
      </c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9">
        <f>IF(E34="","",E34-TODAY())</f>
        <v/>
      </c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9">
        <f>IF(E35="","",E35-TODAY())</f>
        <v/>
      </c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9">
        <f>IF(E36="","",E36-TODAY())</f>
        <v/>
      </c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9">
        <f>IF(E37="","",E37-TODAY())</f>
        <v/>
      </c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9">
        <f>IF(E38="","",E38-TODAY())</f>
        <v/>
      </c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9">
        <f>IF(E39="","",E39-TODAY())</f>
        <v/>
      </c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9">
        <f>IF(E40="","",E40-TODAY())</f>
        <v/>
      </c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9">
        <f>IF(E41="","",E41-TODAY())</f>
        <v/>
      </c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9">
        <f>IF(E42="","",E42-TODAY())</f>
        <v/>
      </c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9">
        <f>IF(E43="","",E43-TODAY())</f>
        <v/>
      </c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9">
        <f>IF(E44="","",E44-TODAY())</f>
        <v/>
      </c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9">
        <f>IF(E45="","",E45-TODAY())</f>
        <v/>
      </c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9">
        <f>IF(E46="","",E46-TODAY())</f>
        <v/>
      </c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9">
        <f>IF(E47="","",E47-TODAY())</f>
        <v/>
      </c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9">
        <f>IF(E48="","",E48-TODAY())</f>
        <v/>
      </c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9">
        <f>IF(E49="","",E49-TODAY())</f>
        <v/>
      </c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9">
        <f>IF(E50="","",E50-TODAY())</f>
        <v/>
      </c>
      <c r="G50" s="6" t="n"/>
      <c r="H50" s="6" t="n"/>
      <c r="I50" s="6" t="n"/>
    </row>
  </sheetData>
  <dataValidations count="2">
    <dataValidation sqref="H2:H100" showDropDown="0" showInputMessage="0" showErrorMessage="0" allowBlank="0" type="list">
      <formula1>"Yes,No,Partial"</formula1>
    </dataValidation>
    <dataValidation sqref="I2:I100" showDropDown="0" showInputMessage="0" showErrorMessage="0" allowBlank="0" type="list">
      <formula1>"Active,Expired,Revoked"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12" customWidth="1" min="5" max="5"/>
    <col width="15" customWidth="1" min="6" max="6"/>
    <col width="18" customWidth="1" min="7" max="7"/>
    <col width="15" customWidth="1" min="8" max="8"/>
  </cols>
  <sheetData>
    <row r="1">
      <c r="A1" s="4" t="inlineStr">
        <is>
          <t>Period</t>
        </is>
      </c>
      <c r="B1" s="4" t="inlineStr">
        <is>
          <t>Total_Conflicts</t>
        </is>
      </c>
      <c r="C1" s="4" t="inlineStr">
        <is>
          <t>Critical_Conflicts</t>
        </is>
      </c>
      <c r="D1" s="4" t="inlineStr">
        <is>
          <t>Resolved_Count</t>
        </is>
      </c>
      <c r="E1" s="4" t="inlineStr">
        <is>
          <t>MTTR_Days</t>
        </is>
      </c>
      <c r="F1" s="4" t="inlineStr">
        <is>
          <t>Compliance_Pct</t>
        </is>
      </c>
      <c r="G1" s="4" t="inlineStr">
        <is>
          <t>Exceptions_Active</t>
        </is>
      </c>
      <c r="H1" s="4" t="inlineStr">
        <is>
          <t>Trend_vs_Prior</t>
        </is>
      </c>
    </row>
    <row r="2">
      <c r="A2" s="5" t="inlineStr">
        <is>
          <t>2025-Q1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5" t="inlineStr">
        <is>
          <t>2025-Q2</t>
        </is>
      </c>
      <c r="B3" s="6" t="n"/>
      <c r="C3" s="6" t="n"/>
      <c r="D3" s="6" t="n"/>
      <c r="E3" s="6" t="n"/>
      <c r="F3" s="6" t="n"/>
      <c r="G3" s="6" t="n"/>
      <c r="H3" s="9">
        <f>IF(AND(F3&lt;&gt;"",F2&lt;&gt;""),F3-F2,"")</f>
        <v/>
      </c>
    </row>
    <row r="4">
      <c r="A4" s="5" t="inlineStr">
        <is>
          <t>2025-Q3</t>
        </is>
      </c>
      <c r="B4" s="6" t="n"/>
      <c r="C4" s="6" t="n"/>
      <c r="D4" s="6" t="n"/>
      <c r="E4" s="6" t="n"/>
      <c r="F4" s="6" t="n"/>
      <c r="G4" s="6" t="n"/>
      <c r="H4" s="9">
        <f>IF(AND(F4&lt;&gt;"",F3&lt;&gt;""),F4-F3,"")</f>
        <v/>
      </c>
    </row>
    <row r="5">
      <c r="A5" s="5" t="inlineStr">
        <is>
          <t>2025-Q4</t>
        </is>
      </c>
      <c r="B5" s="6" t="n"/>
      <c r="C5" s="6" t="n"/>
      <c r="D5" s="6" t="n"/>
      <c r="E5" s="6" t="n"/>
      <c r="F5" s="6" t="n"/>
      <c r="G5" s="6" t="n"/>
      <c r="H5" s="9">
        <f>IF(AND(F5&lt;&gt;"",F4&lt;&gt;""),F5-F4,"")</f>
        <v/>
      </c>
    </row>
    <row r="6">
      <c r="A6" s="5" t="inlineStr">
        <is>
          <t>2026-Q1</t>
        </is>
      </c>
      <c r="B6" s="6" t="n"/>
      <c r="C6" s="6" t="n"/>
      <c r="D6" s="6" t="n"/>
      <c r="E6" s="6" t="n"/>
      <c r="F6" s="6" t="n"/>
      <c r="G6" s="6" t="n"/>
      <c r="H6" s="9">
        <f>IF(AND(F6&lt;&gt;"",F5&lt;&gt;""),F6-F5,"")</f>
        <v/>
      </c>
    </row>
    <row r="7">
      <c r="A7" s="5" t="inlineStr">
        <is>
          <t>2026-Q2</t>
        </is>
      </c>
      <c r="B7" s="6" t="n"/>
      <c r="C7" s="6" t="n"/>
      <c r="D7" s="6" t="n"/>
      <c r="E7" s="6" t="n"/>
      <c r="F7" s="6" t="n"/>
      <c r="G7" s="6" t="n"/>
      <c r="H7" s="9">
        <f>IF(AND(F7&lt;&gt;"",F6&lt;&gt;""),F7-F6,"")</f>
        <v/>
      </c>
    </row>
    <row r="8">
      <c r="A8" s="5" t="inlineStr">
        <is>
          <t>2026-Q3</t>
        </is>
      </c>
      <c r="B8" s="6" t="n"/>
      <c r="C8" s="6" t="n"/>
      <c r="D8" s="6" t="n"/>
      <c r="E8" s="6" t="n"/>
      <c r="F8" s="6" t="n"/>
      <c r="G8" s="6" t="n"/>
      <c r="H8" s="9">
        <f>IF(AND(F8&lt;&gt;"",F7&lt;&gt;""),F8-F7,"")</f>
        <v/>
      </c>
    </row>
    <row r="9">
      <c r="A9" s="5" t="inlineStr">
        <is>
          <t>2026-Q4</t>
        </is>
      </c>
      <c r="B9" s="6" t="n"/>
      <c r="C9" s="6" t="n"/>
      <c r="D9" s="6" t="n"/>
      <c r="E9" s="6" t="n"/>
      <c r="F9" s="6" t="n"/>
      <c r="G9" s="6" t="n"/>
      <c r="H9" s="9">
        <f>IF(AND(F9&lt;&gt;"",F8&lt;&gt;""),F9-F8,"")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8" customWidth="1" min="4" max="4"/>
    <col width="18" customWidth="1" min="5" max="5"/>
    <col width="15" customWidth="1" min="6" max="6"/>
    <col width="12" customWidth="1" min="7" max="7"/>
  </cols>
  <sheetData>
    <row r="1">
      <c r="A1" s="4" t="inlineStr">
        <is>
          <t>Department</t>
        </is>
      </c>
      <c r="B1" s="4" t="inlineStr">
        <is>
          <t>Total_Roles</t>
        </is>
      </c>
      <c r="C1" s="4" t="inlineStr">
        <is>
          <t>Conflicts_Identified</t>
        </is>
      </c>
      <c r="D1" s="4" t="inlineStr">
        <is>
          <t>Conflicts_Resolved</t>
        </is>
      </c>
      <c r="E1" s="4" t="inlineStr">
        <is>
          <t>Active_Exceptions</t>
        </is>
      </c>
      <c r="F1" s="4" t="inlineStr">
        <is>
          <t>Compliance_Pct</t>
        </is>
      </c>
      <c r="G1" s="4" t="inlineStr">
        <is>
          <t>Status</t>
        </is>
      </c>
    </row>
    <row r="2">
      <c r="A2" s="5" t="inlineStr">
        <is>
          <t>Executive</t>
        </is>
      </c>
      <c r="B2" s="6" t="n"/>
      <c r="C2" s="6" t="n"/>
      <c r="D2" s="6" t="n"/>
      <c r="E2" s="6" t="n"/>
      <c r="F2" s="9">
        <f>IF(B2=0,"N/A",(B2-C2+D2)/B2*100)</f>
        <v/>
      </c>
      <c r="G2" s="9">
        <f>IF(F2="N/A","N/A",IF(F2&gt;=95,"GREEN",IF(F2&gt;=85,"YELLOW","RED")))</f>
        <v/>
      </c>
    </row>
    <row r="3">
      <c r="A3" s="5" t="inlineStr">
        <is>
          <t>Finance</t>
        </is>
      </c>
      <c r="B3" s="6" t="n"/>
      <c r="C3" s="6" t="n"/>
      <c r="D3" s="6" t="n"/>
      <c r="E3" s="6" t="n"/>
      <c r="F3" s="9">
        <f>IF(B3=0,"N/A",(B3-C3+D3)/B3*100)</f>
        <v/>
      </c>
      <c r="G3" s="9">
        <f>IF(F3="N/A","N/A",IF(F3&gt;=95,"GREEN",IF(F3&gt;=85,"YELLOW","RED")))</f>
        <v/>
      </c>
    </row>
    <row r="4">
      <c r="A4" s="5" t="inlineStr">
        <is>
          <t>IT</t>
        </is>
      </c>
      <c r="B4" s="6" t="n"/>
      <c r="C4" s="6" t="n"/>
      <c r="D4" s="6" t="n"/>
      <c r="E4" s="6" t="n"/>
      <c r="F4" s="9">
        <f>IF(B4=0,"N/A",(B4-C4+D4)/B4*100)</f>
        <v/>
      </c>
      <c r="G4" s="9">
        <f>IF(F4="N/A","N/A",IF(F4&gt;=95,"GREEN",IF(F4&gt;=85,"YELLOW","RED")))</f>
        <v/>
      </c>
    </row>
    <row r="5">
      <c r="A5" s="5" t="inlineStr">
        <is>
          <t>Operations</t>
        </is>
      </c>
      <c r="B5" s="6" t="n"/>
      <c r="C5" s="6" t="n"/>
      <c r="D5" s="6" t="n"/>
      <c r="E5" s="6" t="n"/>
      <c r="F5" s="9">
        <f>IF(B5=0,"N/A",(B5-C5+D5)/B5*100)</f>
        <v/>
      </c>
      <c r="G5" s="9">
        <f>IF(F5="N/A","N/A",IF(F5&gt;=95,"GREEN",IF(F5&gt;=85,"YELLOW","RED")))</f>
        <v/>
      </c>
    </row>
    <row r="6">
      <c r="A6" s="5" t="inlineStr">
        <is>
          <t>HR</t>
        </is>
      </c>
      <c r="B6" s="6" t="n"/>
      <c r="C6" s="6" t="n"/>
      <c r="D6" s="6" t="n"/>
      <c r="E6" s="6" t="n"/>
      <c r="F6" s="9">
        <f>IF(B6=0,"N/A",(B6-C6+D6)/B6*100)</f>
        <v/>
      </c>
      <c r="G6" s="9">
        <f>IF(F6="N/A","N/A",IF(F6&gt;=95,"GREEN",IF(F6&gt;=85,"YELLOW","RED")))</f>
        <v/>
      </c>
    </row>
    <row r="7">
      <c r="A7" s="5" t="inlineStr">
        <is>
          <t>Legal</t>
        </is>
      </c>
      <c r="B7" s="6" t="n"/>
      <c r="C7" s="6" t="n"/>
      <c r="D7" s="6" t="n"/>
      <c r="E7" s="6" t="n"/>
      <c r="F7" s="9">
        <f>IF(B7=0,"N/A",(B7-C7+D7)/B7*100)</f>
        <v/>
      </c>
      <c r="G7" s="9">
        <f>IF(F7="N/A","N/A",IF(F7&gt;=95,"GREEN",IF(F7&gt;=85,"YELLOW","RED")))</f>
        <v/>
      </c>
    </row>
    <row r="8">
      <c r="A8" s="5" t="inlineStr">
        <is>
          <t>Sales</t>
        </is>
      </c>
      <c r="B8" s="6" t="n"/>
      <c r="C8" s="6" t="n"/>
      <c r="D8" s="6" t="n"/>
      <c r="E8" s="6" t="n"/>
      <c r="F8" s="9">
        <f>IF(B8=0,"N/A",(B8-C8+D8)/B8*100)</f>
        <v/>
      </c>
      <c r="G8" s="9">
        <f>IF(F8="N/A","N/A",IF(F8&gt;=95,"GREEN",IF(F8&gt;=85,"YELLOW","RED")))</f>
        <v/>
      </c>
    </row>
    <row r="9">
      <c r="A9" s="5" t="inlineStr">
        <is>
          <t>Marketing</t>
        </is>
      </c>
      <c r="B9" s="6" t="n"/>
      <c r="C9" s="6" t="n"/>
      <c r="D9" s="6" t="n"/>
      <c r="E9" s="6" t="n"/>
      <c r="F9" s="9">
        <f>IF(B9=0,"N/A",(B9-C9+D9)/B9*100)</f>
        <v/>
      </c>
      <c r="G9" s="9">
        <f>IF(F9="N/A","N/A",IF(F9&gt;=95,"GREEN",IF(F9&gt;=85,"YELLOW","RED")))</f>
        <v/>
      </c>
    </row>
    <row r="10">
      <c r="A10" s="5" t="inlineStr">
        <is>
          <t>Engineering</t>
        </is>
      </c>
      <c r="B10" s="6" t="n"/>
      <c r="C10" s="6" t="n"/>
      <c r="D10" s="6" t="n"/>
      <c r="E10" s="6" t="n"/>
      <c r="F10" s="9">
        <f>IF(B10=0,"N/A",(B10-C10+D10)/B10*100)</f>
        <v/>
      </c>
      <c r="G10" s="9">
        <f>IF(F10="N/A","N/A",IF(F10&gt;=95,"GREEN",IF(F10&gt;=85,"YELLOW","RED")))</f>
        <v/>
      </c>
    </row>
    <row r="11">
      <c r="A11" s="5" t="inlineStr">
        <is>
          <t>Support</t>
        </is>
      </c>
      <c r="B11" s="6" t="n"/>
      <c r="C11" s="6" t="n"/>
      <c r="D11" s="6" t="n"/>
      <c r="E11" s="6" t="n"/>
      <c r="F11" s="9">
        <f>IF(B11=0,"N/A",(B11-C11+D11)/B11*100)</f>
        <v/>
      </c>
      <c r="G11" s="9">
        <f>IF(F11="N/A","N/A",IF(F11&gt;=95,"GREEN",IF(F11&gt;=85,"YELLOW","RED")))</f>
        <v/>
      </c>
    </row>
    <row r="12">
      <c r="A12" s="5" t="inlineStr">
        <is>
          <t>Procurement</t>
        </is>
      </c>
      <c r="B12" s="6" t="n"/>
      <c r="C12" s="6" t="n"/>
      <c r="D12" s="6" t="n"/>
      <c r="E12" s="6" t="n"/>
      <c r="F12" s="9">
        <f>IF(B12=0,"N/A",(B12-C12+D12)/B12*100)</f>
        <v/>
      </c>
      <c r="G12" s="9">
        <f>IF(F12="N/A","N/A",IF(F12&gt;=95,"GREEN",IF(F12&gt;=85,"YELLOW","RED")))</f>
        <v/>
      </c>
    </row>
    <row r="13">
      <c r="A13" s="5" t="inlineStr">
        <is>
          <t>Security</t>
        </is>
      </c>
      <c r="B13" s="6" t="n"/>
      <c r="C13" s="6" t="n"/>
      <c r="D13" s="6" t="n"/>
      <c r="E13" s="6" t="n"/>
      <c r="F13" s="9">
        <f>IF(B13=0,"N/A",(B13-C13+D13)/B13*100)</f>
        <v/>
      </c>
      <c r="G13" s="9">
        <f>IF(F13="N/A","N/A",IF(F13&gt;=95,"GREEN",IF(F13&gt;=85,"YELLOW","RED")))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  <col width="15" customWidth="1" min="4" max="4"/>
    <col width="15" customWidth="1" min="5" max="5"/>
    <col width="40" customWidth="1" min="6" max="6"/>
  </cols>
  <sheetData>
    <row r="1">
      <c r="A1" s="4" t="inlineStr">
        <is>
          <t>Evidence_Item</t>
        </is>
      </c>
      <c r="B1" s="4" t="inlineStr">
        <is>
          <t>Document_ID</t>
        </is>
      </c>
      <c r="C1" s="4" t="inlineStr">
        <is>
          <t>Location</t>
        </is>
      </c>
      <c r="D1" s="4" t="inlineStr">
        <is>
          <t>Date</t>
        </is>
      </c>
      <c r="E1" s="4" t="inlineStr">
        <is>
          <t>Status</t>
        </is>
      </c>
      <c r="F1" s="4" t="inlineStr">
        <is>
          <t>Notes</t>
        </is>
      </c>
    </row>
    <row r="2">
      <c r="A2" s="5" t="inlineStr">
        <is>
          <t>SoD Matrix (current)</t>
        </is>
      </c>
      <c r="B2" s="5" t="inlineStr">
        <is>
          <t>ISMS-IMP-A.5.3.1</t>
        </is>
      </c>
      <c r="C2" s="6" t="inlineStr">
        <is>
          <t>[SharePoint path]</t>
        </is>
      </c>
      <c r="D2" s="6" t="inlineStr"/>
      <c r="E2" s="6" t="inlineStr"/>
      <c r="F2" s="6" t="inlineStr"/>
    </row>
    <row r="3">
      <c r="A3" s="5" t="inlineStr">
        <is>
          <t>Gap Analysis</t>
        </is>
      </c>
      <c r="B3" s="5" t="inlineStr">
        <is>
          <t>ISMS-IMP-A.5.3.1</t>
        </is>
      </c>
      <c r="C3" s="6" t="inlineStr">
        <is>
          <t>[SharePoint path]</t>
        </is>
      </c>
      <c r="D3" s="6" t="inlineStr"/>
      <c r="E3" s="6" t="inlineStr"/>
      <c r="F3" s="6" t="inlineStr"/>
    </row>
    <row r="4">
      <c r="A4" s="5" t="inlineStr">
        <is>
          <t>Conflict Analysis</t>
        </is>
      </c>
      <c r="B4" s="5" t="inlineStr">
        <is>
          <t>ISMS-IMP-A.5.3.2</t>
        </is>
      </c>
      <c r="C4" s="6" t="inlineStr">
        <is>
          <t>[SharePoint path]</t>
        </is>
      </c>
      <c r="D4" s="6" t="inlineStr"/>
      <c r="E4" s="6" t="inlineStr"/>
      <c r="F4" s="6" t="inlineStr"/>
    </row>
    <row r="5">
      <c r="A5" s="5" t="inlineStr">
        <is>
          <t>Role-Function Mapping</t>
        </is>
      </c>
      <c r="B5" s="5" t="inlineStr">
        <is>
          <t>ISMS-IMP-A.5.3.3</t>
        </is>
      </c>
      <c r="C5" s="6" t="inlineStr">
        <is>
          <t>[SharePoint path]</t>
        </is>
      </c>
      <c r="D5" s="6" t="inlineStr"/>
      <c r="E5" s="6" t="inlineStr"/>
      <c r="F5" s="6" t="inlineStr"/>
    </row>
    <row r="6">
      <c r="A6" s="5" t="inlineStr">
        <is>
          <t>Exception Approvals</t>
        </is>
      </c>
      <c r="B6" s="5" t="inlineStr">
        <is>
          <t>Evidence folder</t>
        </is>
      </c>
      <c r="C6" s="6" t="inlineStr">
        <is>
          <t>[SharePoint path]</t>
        </is>
      </c>
      <c r="D6" s="6" t="inlineStr"/>
      <c r="E6" s="6" t="inlineStr"/>
      <c r="F6" s="6" t="inlineStr"/>
    </row>
    <row r="7">
      <c r="A7" s="5" t="inlineStr">
        <is>
          <t>Compensating Control Evidence</t>
        </is>
      </c>
      <c r="B7" s="5" t="inlineStr">
        <is>
          <t>Evidence folder</t>
        </is>
      </c>
      <c r="C7" s="6" t="inlineStr">
        <is>
          <t>[SharePoint path]</t>
        </is>
      </c>
      <c r="D7" s="6" t="inlineStr"/>
      <c r="E7" s="6" t="inlineStr"/>
      <c r="F7" s="6" t="inlineStr"/>
    </row>
    <row r="8">
      <c r="A8" s="5" t="inlineStr">
        <is>
          <t>Historical Dashboards</t>
        </is>
      </c>
      <c r="B8" s="5" t="inlineStr">
        <is>
          <t>Archive</t>
        </is>
      </c>
      <c r="C8" s="6" t="inlineStr">
        <is>
          <t>[SharePoint path]</t>
        </is>
      </c>
      <c r="D8" s="6" t="inlineStr"/>
      <c r="E8" s="6" t="inlineStr"/>
      <c r="F8" s="6" t="inlineStr"/>
    </row>
    <row r="9">
      <c r="A9" s="5" t="inlineStr">
        <is>
          <t>Management Review Minutes</t>
        </is>
      </c>
      <c r="B9" s="5" t="inlineStr">
        <is>
          <t>ISMS Records</t>
        </is>
      </c>
      <c r="C9" s="6" t="inlineStr">
        <is>
          <t>[SharePoint path]</t>
        </is>
      </c>
      <c r="D9" s="6" t="inlineStr"/>
      <c r="E9" s="6" t="inlineStr"/>
      <c r="F9" s="6" t="inlineStr"/>
    </row>
  </sheetData>
  <dataValidations count="1">
    <dataValidation sqref="E2:E50" showDropDown="0" showInputMessage="0" showErrorMessage="0" allowBlank="0" type="list">
      <formula1>"Ready,In Progress,Missing"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15" customWidth="1" min="4" max="4"/>
    <col width="15" customWidth="1" min="5" max="5"/>
    <col width="25" customWidth="1" min="6" max="6"/>
  </cols>
  <sheetData>
    <row r="1">
      <c r="A1" s="4" t="inlineStr">
        <is>
          <t>Source_Name</t>
        </is>
      </c>
      <c r="B1" s="4" t="inlineStr">
        <is>
          <t>Document_ID</t>
        </is>
      </c>
      <c r="C1" s="4" t="inlineStr">
        <is>
          <t>File_Location</t>
        </is>
      </c>
      <c r="D1" s="4" t="inlineStr">
        <is>
          <t>Last_Refresh</t>
        </is>
      </c>
      <c r="E1" s="4" t="inlineStr">
        <is>
          <t>Refresh_Frequency</t>
        </is>
      </c>
      <c r="F1" s="4" t="inlineStr">
        <is>
          <t>Responsible_Party</t>
        </is>
      </c>
    </row>
    <row r="2">
      <c r="A2" s="5" t="inlineStr">
        <is>
          <t>ISMS-IMP-A.5.3.1</t>
        </is>
      </c>
      <c r="B2" s="5" t="inlineStr">
        <is>
          <t>SoD Matrix Assessment</t>
        </is>
      </c>
      <c r="C2" s="6" t="n"/>
      <c r="D2" s="6" t="n"/>
      <c r="E2" s="5" t="inlineStr">
        <is>
          <t>Monthly</t>
        </is>
      </c>
      <c r="F2" s="6" t="n"/>
    </row>
    <row r="3">
      <c r="A3" s="5" t="inlineStr">
        <is>
          <t>ISMS-IMP-A.5.3.2</t>
        </is>
      </c>
      <c r="B3" s="5" t="inlineStr">
        <is>
          <t>Conflict Analysis</t>
        </is>
      </c>
      <c r="C3" s="6" t="n"/>
      <c r="D3" s="6" t="n"/>
      <c r="E3" s="5" t="inlineStr">
        <is>
          <t>Quarterly</t>
        </is>
      </c>
      <c r="F3" s="6" t="n"/>
    </row>
    <row r="4">
      <c r="A4" s="5" t="inlineStr">
        <is>
          <t>ISMS-IMP-A.5.3.3</t>
        </is>
      </c>
      <c r="B4" s="5" t="inlineStr">
        <is>
          <t>Role-Function Mapping</t>
        </is>
      </c>
      <c r="C4" s="6" t="n"/>
      <c r="D4" s="6" t="n"/>
      <c r="E4" s="5" t="inlineStr">
        <is>
          <t>Quarterly</t>
        </is>
      </c>
      <c r="F4" s="6" t="n"/>
    </row>
    <row r="5">
      <c r="A5" s="5" t="inlineStr">
        <is>
          <t>IAM System</t>
        </is>
      </c>
      <c r="B5" s="5" t="inlineStr">
        <is>
          <t>Access Rights Export</t>
        </is>
      </c>
      <c r="C5" s="6" t="n"/>
      <c r="D5" s="6" t="n"/>
      <c r="E5" s="5" t="inlineStr">
        <is>
          <t>Monthly</t>
        </is>
      </c>
      <c r="F5" s="6" t="n"/>
    </row>
    <row r="6">
      <c r="A6" s="5" t="inlineStr">
        <is>
          <t>HR System</t>
        </is>
      </c>
      <c r="B6" s="5" t="inlineStr">
        <is>
          <t>Organisation Chart</t>
        </is>
      </c>
      <c r="C6" s="6" t="n"/>
      <c r="D6" s="6" t="n"/>
      <c r="E6" s="5" t="inlineStr">
        <is>
          <t>Monthly</t>
        </is>
      </c>
      <c r="F6" s="6" t="n"/>
    </row>
  </sheetData>
  <dataValidations count="1">
    <dataValidation sqref="E2:E20" showDropDown="0" showInputMessage="0" showErrorMessage="0" allowBlank="0" type="list">
      <formula1>"Daily,Weekly,Monthly,Quarterly"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2026-02-08T10:48:57Z</dcterms:created>
  <dcterms:modified xmlns:dcterms="http://purl.org/dc/terms/" xmlns:xsi="http://www.w3.org/2001/XMLSchema-instance" xsi:type="dcterms:W3CDTF">2026-02-08T10:48:57Z</dcterms:modified>
</cp:coreProperties>
</file>