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olicy Compliance" sheetId="2" state="visible" r:id="rId2"/>
    <sheet xmlns:r="http://schemas.openxmlformats.org/officeDocument/2006/relationships" name="Control Compliance" sheetId="3" state="visible" r:id="rId3"/>
    <sheet xmlns:r="http://schemas.openxmlformats.org/officeDocument/2006/relationships" name="Department Assessment" sheetId="4" state="visible" r:id="rId4"/>
    <sheet xmlns:r="http://schemas.openxmlformats.org/officeDocument/2006/relationships" name="NonCompliance Register"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color rgb="00FFFFFF"/>
      <sz val="1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6" fillId="8" borderId="1" applyAlignment="1" pivotButton="0" quotePrefix="0" xfId="0">
      <alignment horizontal="center" vertical="center" wrapText="1"/>
    </xf>
    <xf numFmtId="0" fontId="7" fillId="8" borderId="2" applyAlignment="1" pivotButton="0" quotePrefix="0" xfId="0">
      <alignment horizontal="center" vertical="center" wrapText="1"/>
    </xf>
    <xf numFmtId="0" fontId="0" fillId="0" borderId="2" pivotButton="0" quotePrefix="0" xfId="0"/>
    <xf numFmtId="0" fontId="8" fillId="0" borderId="0" applyAlignment="1" pivotButton="0" quotePrefix="0" xfId="0">
      <alignment horizontal="left" vertical="center"/>
    </xf>
    <xf numFmtId="0" fontId="9" fillId="8" borderId="2" pivotButton="0" quotePrefix="0" xfId="0"/>
    <xf numFmtId="0" fontId="10" fillId="9" borderId="2" applyAlignment="1" pivotButton="0" quotePrefix="0" xfId="0">
      <alignment horizontal="center" vertical="center" wrapText="1"/>
    </xf>
    <xf numFmtId="0" fontId="11" fillId="0" borderId="2" pivotButton="0" quotePrefix="0" xfId="0"/>
    <xf numFmtId="0" fontId="11" fillId="0" borderId="2" applyAlignment="1" pivotButton="0" quotePrefix="0" xfId="0">
      <alignment horizontal="center"/>
    </xf>
    <xf numFmtId="164" fontId="11" fillId="0" borderId="2" applyAlignment="1" pivotButton="0" quotePrefix="0" xfId="0">
      <alignment horizontal="center"/>
    </xf>
    <xf numFmtId="0" fontId="10" fillId="9" borderId="2" pivotButton="0" quotePrefix="0" xfId="0"/>
    <xf numFmtId="0" fontId="10" fillId="9" borderId="2" applyAlignment="1" pivotButton="0" quotePrefix="0" xfId="0">
      <alignment horizontal="center"/>
    </xf>
    <xf numFmtId="164" fontId="10" fillId="9" borderId="2" applyAlignment="1" pivotButton="0" quotePrefix="0" xfId="0">
      <alignment horizontal="center"/>
    </xf>
    <xf numFmtId="0" fontId="9" fillId="12" borderId="2" pivotButton="0" quotePrefix="0" xfId="0"/>
    <xf numFmtId="0" fontId="11" fillId="11" borderId="2" pivotButton="0" quotePrefix="0" xfId="0"/>
    <xf numFmtId="0" fontId="11" fillId="11" borderId="2" applyAlignment="1" pivotButton="0" quotePrefix="0" xfId="0">
      <alignment horizontal="center"/>
    </xf>
    <xf numFmtId="0" fontId="0" fillId="11" borderId="2" pivotButton="0" quotePrefix="0" xfId="0"/>
    <xf numFmtId="0" fontId="1" fillId="8" borderId="1" applyAlignment="1" pivotButton="0" quotePrefix="0" xfId="0">
      <alignment horizontal="center" vertical="center" wrapText="1"/>
    </xf>
    <xf numFmtId="0" fontId="8" fillId="0" borderId="1" applyAlignment="1" pivotButton="0" quotePrefix="0" xfId="0">
      <alignment horizontal="center" vertical="center"/>
    </xf>
    <xf numFmtId="0" fontId="12" fillId="13" borderId="1" pivotButton="0" quotePrefix="0" xfId="0"/>
    <xf numFmtId="0" fontId="0" fillId="11" borderId="1" pivotButton="0" quotePrefix="0" xfId="0"/>
    <xf numFmtId="164" fontId="0" fillId="0" borderId="1" pivotButton="0" quotePrefix="0" xfId="0"/>
    <xf numFmtId="0" fontId="1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ISMS-IMP-A.5.35-36.S2  -  Compliance Assessment
ISO/IEC 27001:2022 - Control A.5.36: Compliance with Policies, Rules and Standards</t>
        </is>
      </c>
    </row>
    <row r="3">
      <c r="A3" s="2" t="inlineStr">
        <is>
          <t>Document Information</t>
        </is>
      </c>
    </row>
    <row r="4">
      <c r="A4" s="3" t="inlineStr">
        <is>
          <t>Document ID</t>
        </is>
      </c>
      <c r="B4" t="inlineStr">
        <is>
          <t>ISMS-IMP-A.5.35-36.S2</t>
        </is>
      </c>
    </row>
    <row r="5">
      <c r="A5" s="3" t="inlineStr">
        <is>
          <t>Workbook Title</t>
        </is>
      </c>
      <c r="B5" t="inlineStr">
        <is>
          <t>Compliance Assessment</t>
        </is>
      </c>
    </row>
    <row r="6">
      <c r="A6" s="3" t="inlineStr">
        <is>
          <t>Control Reference</t>
        </is>
      </c>
      <c r="B6" t="inlineStr">
        <is>
          <t>ISO/IEC 27001:2022 - Control A.5.36: Compliance with Policies, Rules and Standards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Policy Compliance — assess compliance with all information security policies.</t>
        </is>
      </c>
    </row>
    <row r="14">
      <c r="A14" t="inlineStr">
        <is>
          <t>2. Complete Control Compliance — evaluate implementation status of all applicable controls.</t>
        </is>
      </c>
    </row>
    <row r="15">
      <c r="A15" t="inlineStr">
        <is>
          <t>3. Complete Department Assessment — assess compliance across all organisational units.</t>
        </is>
      </c>
    </row>
    <row r="16">
      <c r="A16" t="inlineStr">
        <is>
          <t>4. Complete NonCompliance Register — document all non-compliance findings with root causes.</t>
        </is>
      </c>
    </row>
    <row r="17">
      <c r="A17" t="inlineStr">
        <is>
          <t>5. Review the Summary Dashboard for overall compliance posture.</t>
        </is>
      </c>
    </row>
    <row r="18">
      <c r="A18" t="inlineStr">
        <is>
          <t>6. Maintain Evidence Records with assessment results and supporting documentation.</t>
        </is>
      </c>
    </row>
    <row r="19">
      <c r="A19" t="inlineStr">
        <is>
          <t>7. Obtain final approval and sign-off in the Approval Sign-Off sheet.</t>
        </is>
      </c>
    </row>
    <row r="21">
      <c r="A21" s="2" t="inlineStr">
        <is>
          <t>Status Legend</t>
        </is>
      </c>
    </row>
    <row r="22">
      <c r="A22" s="5" t="inlineStr">
        <is>
          <t>Symbol</t>
        </is>
      </c>
      <c r="B22" s="5" t="inlineStr">
        <is>
          <t>Status</t>
        </is>
      </c>
      <c r="C22" s="5" t="inlineStr">
        <is>
          <t>Description</t>
        </is>
      </c>
    </row>
    <row r="23">
      <c r="A23" s="6" t="inlineStr">
        <is>
          <t>✓</t>
        </is>
      </c>
      <c r="B23" s="7" t="inlineStr">
        <is>
          <t>Compliant / Complete</t>
        </is>
      </c>
      <c r="C23" s="8" t="inlineStr">
        <is>
          <t>Requirement fully met</t>
        </is>
      </c>
    </row>
    <row r="24">
      <c r="A24" s="6" t="inlineStr">
        <is>
          <t>⚠</t>
        </is>
      </c>
      <c r="B24" s="9" t="inlineStr">
        <is>
          <t>Partial / In Progress</t>
        </is>
      </c>
      <c r="C24" s="8" t="inlineStr">
        <is>
          <t>Partially met or in progress</t>
        </is>
      </c>
    </row>
    <row r="25">
      <c r="A25" s="6" t="inlineStr">
        <is>
          <t>✗</t>
        </is>
      </c>
      <c r="B25" s="10" t="inlineStr">
        <is>
          <t>Non-Compliant / Not Started</t>
        </is>
      </c>
      <c r="C25" s="8" t="inlineStr">
        <is>
          <t>Requirement not met</t>
        </is>
      </c>
    </row>
    <row r="26">
      <c r="A26" s="6" t="inlineStr">
        <is>
          <t>—</t>
        </is>
      </c>
      <c r="B26" s="8" t="inlineStr">
        <is>
          <t>Not Applicable</t>
        </is>
      </c>
      <c r="C26"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4"/>
  <sheetViews>
    <sheetView showGridLines="0" workbookViewId="0">
      <pane ySplit="3" topLeftCell="A4" activePane="bottomLeft" state="frozen"/>
      <selection pane="bottomLeft" activeCell="A1" sqref="A1"/>
    </sheetView>
  </sheetViews>
  <sheetFormatPr baseColWidth="8" defaultRowHeight="15"/>
  <cols>
    <col width="16" customWidth="1" min="1" max="1"/>
    <col width="40" customWidth="1" min="2" max="2"/>
    <col width="14" customWidth="1" min="3" max="3"/>
    <col width="18" customWidth="1" min="4" max="4"/>
    <col width="14" customWidth="1" min="5" max="5"/>
    <col width="22" customWidth="1" min="6" max="6"/>
    <col width="14" customWidth="1" min="7" max="7"/>
    <col width="18" customWidth="1" min="8" max="8"/>
    <col width="30" customWidth="1" min="9" max="9"/>
    <col width="18" customWidth="1" min="10" max="10"/>
    <col width="30" customWidth="1" min="11" max="11"/>
  </cols>
  <sheetData>
    <row r="1" ht="35" customHeight="1">
      <c r="A1" s="11" t="inlineStr">
        <is>
          <t>POLICY COMPLIANCE ASSESSMENT</t>
        </is>
      </c>
    </row>
    <row r="2">
      <c r="A2" s="12" t="inlineStr">
        <is>
          <t>Assess each information security policy for compliance — record version, compliance status, assessor, evidence references, and any remediation required.</t>
        </is>
      </c>
    </row>
    <row r="3">
      <c r="A3" s="13" t="inlineStr">
        <is>
          <t>Policy ID</t>
        </is>
      </c>
      <c r="B3" s="13" t="inlineStr">
        <is>
          <t>Policy Name</t>
        </is>
      </c>
      <c r="C3" s="13" t="inlineStr">
        <is>
          <t>Policy Version</t>
        </is>
      </c>
      <c r="D3" s="13" t="inlineStr">
        <is>
          <t>Compliance Status</t>
        </is>
      </c>
      <c r="E3" s="13" t="inlineStr">
        <is>
          <t>Last Reviewed</t>
        </is>
      </c>
      <c r="F3" s="13" t="inlineStr">
        <is>
          <t>Assessed By</t>
        </is>
      </c>
      <c r="G3" s="13" t="inlineStr">
        <is>
          <t>Assessment Date</t>
        </is>
      </c>
      <c r="H3" s="13" t="inlineStr">
        <is>
          <t>Evidence Ref</t>
        </is>
      </c>
      <c r="I3" s="13" t="inlineStr">
        <is>
          <t>NonCompliance Issues</t>
        </is>
      </c>
      <c r="J3" s="13" t="inlineStr">
        <is>
          <t>Remediation Status</t>
        </is>
      </c>
      <c r="K3" s="13" t="inlineStr">
        <is>
          <t>Notes</t>
        </is>
      </c>
    </row>
    <row r="4">
      <c r="A4" s="14" t="inlineStr">
        <is>
          <t>ISMS-POL-A.5.1-4</t>
        </is>
      </c>
      <c r="B4" s="14" t="inlineStr">
        <is>
          <t>Information Security Governance Policy</t>
        </is>
      </c>
      <c r="C4" s="14" t="inlineStr">
        <is>
          <t>v2.1</t>
        </is>
      </c>
      <c r="D4" s="14" t="inlineStr">
        <is>
          <t>Compliant</t>
        </is>
      </c>
      <c r="E4" s="14" t="inlineStr">
        <is>
          <t>01.01.2026</t>
        </is>
      </c>
      <c r="F4" s="14" t="inlineStr">
        <is>
          <t>CISO</t>
        </is>
      </c>
      <c r="G4" s="14" t="inlineStr">
        <is>
          <t>15.02.2026</t>
        </is>
      </c>
      <c r="H4" s="14" t="inlineStr">
        <is>
          <t>EV-001</t>
        </is>
      </c>
      <c r="I4" s="14" t="inlineStr"/>
      <c r="J4" s="14" t="inlineStr">
        <is>
          <t>N/A</t>
        </is>
      </c>
      <c r="K4" s="14" t="inlineStr">
        <is>
          <t>Policy reviewed and approved for 2026</t>
        </is>
      </c>
    </row>
    <row r="5">
      <c r="A5" s="15" t="n"/>
      <c r="B5" s="15" t="n"/>
      <c r="C5" s="15" t="n"/>
      <c r="D5" s="15" t="n"/>
      <c r="E5" s="15" t="n"/>
      <c r="F5" s="15" t="n"/>
      <c r="G5" s="15" t="n"/>
      <c r="H5" s="15" t="n"/>
      <c r="I5" s="15" t="n"/>
      <c r="J5" s="15" t="n"/>
      <c r="K5" s="15" t="n"/>
    </row>
    <row r="6">
      <c r="A6" s="15" t="n"/>
      <c r="B6" s="15" t="n"/>
      <c r="C6" s="15" t="n"/>
      <c r="D6" s="15" t="n"/>
      <c r="E6" s="15" t="n"/>
      <c r="F6" s="15" t="n"/>
      <c r="G6" s="15" t="n"/>
      <c r="H6" s="15" t="n"/>
      <c r="I6" s="15" t="n"/>
      <c r="J6" s="15" t="n"/>
      <c r="K6" s="15" t="n"/>
    </row>
    <row r="7">
      <c r="A7" s="15" t="n"/>
      <c r="B7" s="15" t="n"/>
      <c r="C7" s="15" t="n"/>
      <c r="D7" s="15" t="n"/>
      <c r="E7" s="15" t="n"/>
      <c r="F7" s="15" t="n"/>
      <c r="G7" s="15" t="n"/>
      <c r="H7" s="15" t="n"/>
      <c r="I7" s="15" t="n"/>
      <c r="J7" s="15" t="n"/>
      <c r="K7" s="15" t="n"/>
    </row>
    <row r="8">
      <c r="A8" s="15" t="n"/>
      <c r="B8" s="15" t="n"/>
      <c r="C8" s="15" t="n"/>
      <c r="D8" s="15" t="n"/>
      <c r="E8" s="15" t="n"/>
      <c r="F8" s="15" t="n"/>
      <c r="G8" s="15" t="n"/>
      <c r="H8" s="15" t="n"/>
      <c r="I8" s="15" t="n"/>
      <c r="J8" s="15" t="n"/>
      <c r="K8" s="15" t="n"/>
    </row>
    <row r="9">
      <c r="A9" s="15" t="n"/>
      <c r="B9" s="15" t="n"/>
      <c r="C9" s="15" t="n"/>
      <c r="D9" s="15" t="n"/>
      <c r="E9" s="15" t="n"/>
      <c r="F9" s="15" t="n"/>
      <c r="G9" s="15" t="n"/>
      <c r="H9" s="15" t="n"/>
      <c r="I9" s="15" t="n"/>
      <c r="J9" s="15" t="n"/>
      <c r="K9" s="15" t="n"/>
    </row>
    <row r="10">
      <c r="A10" s="15" t="n"/>
      <c r="B10" s="15" t="n"/>
      <c r="C10" s="15" t="n"/>
      <c r="D10" s="15" t="n"/>
      <c r="E10" s="15" t="n"/>
      <c r="F10" s="15" t="n"/>
      <c r="G10" s="15" t="n"/>
      <c r="H10" s="15" t="n"/>
      <c r="I10" s="15" t="n"/>
      <c r="J10" s="15" t="n"/>
      <c r="K10" s="15" t="n"/>
    </row>
    <row r="11">
      <c r="A11" s="15" t="n"/>
      <c r="B11" s="15" t="n"/>
      <c r="C11" s="15" t="n"/>
      <c r="D11" s="15" t="n"/>
      <c r="E11" s="15" t="n"/>
      <c r="F11" s="15" t="n"/>
      <c r="G11" s="15" t="n"/>
      <c r="H11" s="15" t="n"/>
      <c r="I11" s="15" t="n"/>
      <c r="J11" s="15" t="n"/>
      <c r="K11" s="15" t="n"/>
    </row>
    <row r="12">
      <c r="A12" s="15" t="n"/>
      <c r="B12" s="15" t="n"/>
      <c r="C12" s="15" t="n"/>
      <c r="D12" s="15" t="n"/>
      <c r="E12" s="15" t="n"/>
      <c r="F12" s="15" t="n"/>
      <c r="G12" s="15" t="n"/>
      <c r="H12" s="15" t="n"/>
      <c r="I12" s="15" t="n"/>
      <c r="J12" s="15" t="n"/>
      <c r="K12" s="15" t="n"/>
    </row>
    <row r="13">
      <c r="A13" s="15" t="n"/>
      <c r="B13" s="15" t="n"/>
      <c r="C13" s="15" t="n"/>
      <c r="D13" s="15" t="n"/>
      <c r="E13" s="15" t="n"/>
      <c r="F13" s="15" t="n"/>
      <c r="G13" s="15" t="n"/>
      <c r="H13" s="15" t="n"/>
      <c r="I13" s="15" t="n"/>
      <c r="J13" s="15" t="n"/>
      <c r="K13" s="15" t="n"/>
    </row>
    <row r="14">
      <c r="A14" s="15" t="n"/>
      <c r="B14" s="15" t="n"/>
      <c r="C14" s="15" t="n"/>
      <c r="D14" s="15" t="n"/>
      <c r="E14" s="15" t="n"/>
      <c r="F14" s="15" t="n"/>
      <c r="G14" s="15" t="n"/>
      <c r="H14" s="15" t="n"/>
      <c r="I14" s="15" t="n"/>
      <c r="J14" s="15" t="n"/>
      <c r="K14" s="15" t="n"/>
    </row>
    <row r="15">
      <c r="A15" s="15" t="n"/>
      <c r="B15" s="15" t="n"/>
      <c r="C15" s="15" t="n"/>
      <c r="D15" s="15" t="n"/>
      <c r="E15" s="15" t="n"/>
      <c r="F15" s="15" t="n"/>
      <c r="G15" s="15" t="n"/>
      <c r="H15" s="15" t="n"/>
      <c r="I15" s="15" t="n"/>
      <c r="J15" s="15" t="n"/>
      <c r="K15" s="15" t="n"/>
    </row>
    <row r="16">
      <c r="A16" s="15" t="n"/>
      <c r="B16" s="15" t="n"/>
      <c r="C16" s="15" t="n"/>
      <c r="D16" s="15" t="n"/>
      <c r="E16" s="15" t="n"/>
      <c r="F16" s="15" t="n"/>
      <c r="G16" s="15" t="n"/>
      <c r="H16" s="15" t="n"/>
      <c r="I16" s="15" t="n"/>
      <c r="J16" s="15" t="n"/>
      <c r="K16" s="15" t="n"/>
    </row>
    <row r="17">
      <c r="A17" s="15" t="n"/>
      <c r="B17" s="15" t="n"/>
      <c r="C17" s="15" t="n"/>
      <c r="D17" s="15" t="n"/>
      <c r="E17" s="15" t="n"/>
      <c r="F17" s="15" t="n"/>
      <c r="G17" s="15" t="n"/>
      <c r="H17" s="15" t="n"/>
      <c r="I17" s="15" t="n"/>
      <c r="J17" s="15" t="n"/>
      <c r="K17" s="15" t="n"/>
    </row>
    <row r="18">
      <c r="A18" s="15" t="n"/>
      <c r="B18" s="15" t="n"/>
      <c r="C18" s="15" t="n"/>
      <c r="D18" s="15" t="n"/>
      <c r="E18" s="15" t="n"/>
      <c r="F18" s="15" t="n"/>
      <c r="G18" s="15" t="n"/>
      <c r="H18" s="15" t="n"/>
      <c r="I18" s="15" t="n"/>
      <c r="J18" s="15" t="n"/>
      <c r="K18" s="15" t="n"/>
    </row>
    <row r="19">
      <c r="A19" s="15" t="n"/>
      <c r="B19" s="15" t="n"/>
      <c r="C19" s="15" t="n"/>
      <c r="D19" s="15" t="n"/>
      <c r="E19" s="15" t="n"/>
      <c r="F19" s="15" t="n"/>
      <c r="G19" s="15" t="n"/>
      <c r="H19" s="15" t="n"/>
      <c r="I19" s="15" t="n"/>
      <c r="J19" s="15" t="n"/>
      <c r="K19" s="15" t="n"/>
    </row>
    <row r="20">
      <c r="A20" s="15" t="n"/>
      <c r="B20" s="15" t="n"/>
      <c r="C20" s="15" t="n"/>
      <c r="D20" s="15" t="n"/>
      <c r="E20" s="15" t="n"/>
      <c r="F20" s="15" t="n"/>
      <c r="G20" s="15" t="n"/>
      <c r="H20" s="15" t="n"/>
      <c r="I20" s="15" t="n"/>
      <c r="J20" s="15" t="n"/>
      <c r="K20" s="15" t="n"/>
    </row>
    <row r="21">
      <c r="A21" s="15" t="n"/>
      <c r="B21" s="15" t="n"/>
      <c r="C21" s="15" t="n"/>
      <c r="D21" s="15" t="n"/>
      <c r="E21" s="15" t="n"/>
      <c r="F21" s="15" t="n"/>
      <c r="G21" s="15" t="n"/>
      <c r="H21" s="15" t="n"/>
      <c r="I21" s="15" t="n"/>
      <c r="J21" s="15" t="n"/>
      <c r="K21" s="15" t="n"/>
    </row>
    <row r="22">
      <c r="A22" s="15" t="n"/>
      <c r="B22" s="15" t="n"/>
      <c r="C22" s="15" t="n"/>
      <c r="D22" s="15" t="n"/>
      <c r="E22" s="15" t="n"/>
      <c r="F22" s="15" t="n"/>
      <c r="G22" s="15" t="n"/>
      <c r="H22" s="15" t="n"/>
      <c r="I22" s="15" t="n"/>
      <c r="J22" s="15" t="n"/>
      <c r="K22" s="15" t="n"/>
    </row>
    <row r="23">
      <c r="A23" s="15" t="n"/>
      <c r="B23" s="15" t="n"/>
      <c r="C23" s="15" t="n"/>
      <c r="D23" s="15" t="n"/>
      <c r="E23" s="15" t="n"/>
      <c r="F23" s="15" t="n"/>
      <c r="G23" s="15" t="n"/>
      <c r="H23" s="15" t="n"/>
      <c r="I23" s="15" t="n"/>
      <c r="J23" s="15" t="n"/>
      <c r="K23" s="15" t="n"/>
    </row>
    <row r="24">
      <c r="A24" s="15" t="n"/>
      <c r="B24" s="15" t="n"/>
      <c r="C24" s="15" t="n"/>
      <c r="D24" s="15" t="n"/>
      <c r="E24" s="15" t="n"/>
      <c r="F24" s="15" t="n"/>
      <c r="G24" s="15" t="n"/>
      <c r="H24" s="15" t="n"/>
      <c r="I24" s="15" t="n"/>
      <c r="J24" s="15" t="n"/>
      <c r="K24" s="15" t="n"/>
    </row>
    <row r="25">
      <c r="A25" s="15" t="n"/>
      <c r="B25" s="15" t="n"/>
      <c r="C25" s="15" t="n"/>
      <c r="D25" s="15" t="n"/>
      <c r="E25" s="15" t="n"/>
      <c r="F25" s="15" t="n"/>
      <c r="G25" s="15" t="n"/>
      <c r="H25" s="15" t="n"/>
      <c r="I25" s="15" t="n"/>
      <c r="J25" s="15" t="n"/>
      <c r="K25" s="15" t="n"/>
    </row>
    <row r="26">
      <c r="A26" s="15" t="n"/>
      <c r="B26" s="15" t="n"/>
      <c r="C26" s="15" t="n"/>
      <c r="D26" s="15" t="n"/>
      <c r="E26" s="15" t="n"/>
      <c r="F26" s="15" t="n"/>
      <c r="G26" s="15" t="n"/>
      <c r="H26" s="15" t="n"/>
      <c r="I26" s="15" t="n"/>
      <c r="J26" s="15" t="n"/>
      <c r="K26" s="15" t="n"/>
    </row>
    <row r="27">
      <c r="A27" s="15" t="n"/>
      <c r="B27" s="15" t="n"/>
      <c r="C27" s="15" t="n"/>
      <c r="D27" s="15" t="n"/>
      <c r="E27" s="15" t="n"/>
      <c r="F27" s="15" t="n"/>
      <c r="G27" s="15" t="n"/>
      <c r="H27" s="15" t="n"/>
      <c r="I27" s="15" t="n"/>
      <c r="J27" s="15" t="n"/>
      <c r="K27" s="15" t="n"/>
    </row>
    <row r="28">
      <c r="A28" s="15" t="n"/>
      <c r="B28" s="15" t="n"/>
      <c r="C28" s="15" t="n"/>
      <c r="D28" s="15" t="n"/>
      <c r="E28" s="15" t="n"/>
      <c r="F28" s="15" t="n"/>
      <c r="G28" s="15" t="n"/>
      <c r="H28" s="15" t="n"/>
      <c r="I28" s="15" t="n"/>
      <c r="J28" s="15" t="n"/>
      <c r="K28" s="15" t="n"/>
    </row>
    <row r="29">
      <c r="A29" s="15" t="n"/>
      <c r="B29" s="15" t="n"/>
      <c r="C29" s="15" t="n"/>
      <c r="D29" s="15" t="n"/>
      <c r="E29" s="15" t="n"/>
      <c r="F29" s="15" t="n"/>
      <c r="G29" s="15" t="n"/>
      <c r="H29" s="15" t="n"/>
      <c r="I29" s="15" t="n"/>
      <c r="J29" s="15" t="n"/>
      <c r="K29" s="15" t="n"/>
    </row>
    <row r="30">
      <c r="A30" s="15" t="n"/>
      <c r="B30" s="15" t="n"/>
      <c r="C30" s="15" t="n"/>
      <c r="D30" s="15" t="n"/>
      <c r="E30" s="15" t="n"/>
      <c r="F30" s="15" t="n"/>
      <c r="G30" s="15" t="n"/>
      <c r="H30" s="15" t="n"/>
      <c r="I30" s="15" t="n"/>
      <c r="J30" s="15" t="n"/>
      <c r="K30" s="15" t="n"/>
    </row>
    <row r="31">
      <c r="A31" s="15" t="n"/>
      <c r="B31" s="15" t="n"/>
      <c r="C31" s="15" t="n"/>
      <c r="D31" s="15" t="n"/>
      <c r="E31" s="15" t="n"/>
      <c r="F31" s="15" t="n"/>
      <c r="G31" s="15" t="n"/>
      <c r="H31" s="15" t="n"/>
      <c r="I31" s="15" t="n"/>
      <c r="J31" s="15" t="n"/>
      <c r="K31" s="15" t="n"/>
    </row>
    <row r="32">
      <c r="A32" s="15" t="n"/>
      <c r="B32" s="15" t="n"/>
      <c r="C32" s="15" t="n"/>
      <c r="D32" s="15" t="n"/>
      <c r="E32" s="15" t="n"/>
      <c r="F32" s="15" t="n"/>
      <c r="G32" s="15" t="n"/>
      <c r="H32" s="15" t="n"/>
      <c r="I32" s="15" t="n"/>
      <c r="J32" s="15" t="n"/>
      <c r="K32" s="15" t="n"/>
    </row>
    <row r="33">
      <c r="A33" s="15" t="n"/>
      <c r="B33" s="15" t="n"/>
      <c r="C33" s="15" t="n"/>
      <c r="D33" s="15" t="n"/>
      <c r="E33" s="15" t="n"/>
      <c r="F33" s="15" t="n"/>
      <c r="G33" s="15" t="n"/>
      <c r="H33" s="15" t="n"/>
      <c r="I33" s="15" t="n"/>
      <c r="J33" s="15" t="n"/>
      <c r="K33" s="15" t="n"/>
    </row>
    <row r="34">
      <c r="A34" s="15" t="n"/>
      <c r="B34" s="15" t="n"/>
      <c r="C34" s="15" t="n"/>
      <c r="D34" s="15" t="n"/>
      <c r="E34" s="15" t="n"/>
      <c r="F34" s="15" t="n"/>
      <c r="G34" s="15" t="n"/>
      <c r="H34" s="15" t="n"/>
      <c r="I34" s="15" t="n"/>
      <c r="J34" s="15" t="n"/>
      <c r="K34" s="15" t="n"/>
    </row>
    <row r="35">
      <c r="A35" s="15" t="n"/>
      <c r="B35" s="15" t="n"/>
      <c r="C35" s="15" t="n"/>
      <c r="D35" s="15" t="n"/>
      <c r="E35" s="15" t="n"/>
      <c r="F35" s="15" t="n"/>
      <c r="G35" s="15" t="n"/>
      <c r="H35" s="15" t="n"/>
      <c r="I35" s="15" t="n"/>
      <c r="J35" s="15" t="n"/>
      <c r="K35" s="15" t="n"/>
    </row>
    <row r="36">
      <c r="A36" s="15" t="n"/>
      <c r="B36" s="15" t="n"/>
      <c r="C36" s="15" t="n"/>
      <c r="D36" s="15" t="n"/>
      <c r="E36" s="15" t="n"/>
      <c r="F36" s="15" t="n"/>
      <c r="G36" s="15" t="n"/>
      <c r="H36" s="15" t="n"/>
      <c r="I36" s="15" t="n"/>
      <c r="J36" s="15" t="n"/>
      <c r="K36" s="15" t="n"/>
    </row>
    <row r="37">
      <c r="A37" s="15" t="n"/>
      <c r="B37" s="15" t="n"/>
      <c r="C37" s="15" t="n"/>
      <c r="D37" s="15" t="n"/>
      <c r="E37" s="15" t="n"/>
      <c r="F37" s="15" t="n"/>
      <c r="G37" s="15" t="n"/>
      <c r="H37" s="15" t="n"/>
      <c r="I37" s="15" t="n"/>
      <c r="J37" s="15" t="n"/>
      <c r="K37" s="15" t="n"/>
    </row>
    <row r="38">
      <c r="A38" s="15" t="n"/>
      <c r="B38" s="15" t="n"/>
      <c r="C38" s="15" t="n"/>
      <c r="D38" s="15" t="n"/>
      <c r="E38" s="15" t="n"/>
      <c r="F38" s="15" t="n"/>
      <c r="G38" s="15" t="n"/>
      <c r="H38" s="15" t="n"/>
      <c r="I38" s="15" t="n"/>
      <c r="J38" s="15" t="n"/>
      <c r="K38" s="15" t="n"/>
    </row>
    <row r="39">
      <c r="A39" s="15" t="n"/>
      <c r="B39" s="15" t="n"/>
      <c r="C39" s="15" t="n"/>
      <c r="D39" s="15" t="n"/>
      <c r="E39" s="15" t="n"/>
      <c r="F39" s="15" t="n"/>
      <c r="G39" s="15" t="n"/>
      <c r="H39" s="15" t="n"/>
      <c r="I39" s="15" t="n"/>
      <c r="J39" s="15" t="n"/>
      <c r="K39" s="15" t="n"/>
    </row>
    <row r="40">
      <c r="A40" s="15" t="n"/>
      <c r="B40" s="15" t="n"/>
      <c r="C40" s="15" t="n"/>
      <c r="D40" s="15" t="n"/>
      <c r="E40" s="15" t="n"/>
      <c r="F40" s="15" t="n"/>
      <c r="G40" s="15" t="n"/>
      <c r="H40" s="15" t="n"/>
      <c r="I40" s="15" t="n"/>
      <c r="J40" s="15" t="n"/>
      <c r="K40" s="15" t="n"/>
    </row>
    <row r="41">
      <c r="A41" s="15" t="n"/>
      <c r="B41" s="15" t="n"/>
      <c r="C41" s="15" t="n"/>
      <c r="D41" s="15" t="n"/>
      <c r="E41" s="15" t="n"/>
      <c r="F41" s="15" t="n"/>
      <c r="G41" s="15" t="n"/>
      <c r="H41" s="15" t="n"/>
      <c r="I41" s="15" t="n"/>
      <c r="J41" s="15" t="n"/>
      <c r="K41" s="15" t="n"/>
    </row>
    <row r="42">
      <c r="A42" s="15" t="n"/>
      <c r="B42" s="15" t="n"/>
      <c r="C42" s="15" t="n"/>
      <c r="D42" s="15" t="n"/>
      <c r="E42" s="15" t="n"/>
      <c r="F42" s="15" t="n"/>
      <c r="G42" s="15" t="n"/>
      <c r="H42" s="15" t="n"/>
      <c r="I42" s="15" t="n"/>
      <c r="J42" s="15" t="n"/>
      <c r="K42" s="15" t="n"/>
    </row>
    <row r="43">
      <c r="A43" s="15" t="n"/>
      <c r="B43" s="15" t="n"/>
      <c r="C43" s="15" t="n"/>
      <c r="D43" s="15" t="n"/>
      <c r="E43" s="15" t="n"/>
      <c r="F43" s="15" t="n"/>
      <c r="G43" s="15" t="n"/>
      <c r="H43" s="15" t="n"/>
      <c r="I43" s="15" t="n"/>
      <c r="J43" s="15" t="n"/>
      <c r="K43" s="15" t="n"/>
    </row>
    <row r="44">
      <c r="A44" s="15" t="n"/>
      <c r="B44" s="15" t="n"/>
      <c r="C44" s="15" t="n"/>
      <c r="D44" s="15" t="n"/>
      <c r="E44" s="15" t="n"/>
      <c r="F44" s="15" t="n"/>
      <c r="G44" s="15" t="n"/>
      <c r="H44" s="15" t="n"/>
      <c r="I44" s="15" t="n"/>
      <c r="J44" s="15" t="n"/>
      <c r="K44" s="15" t="n"/>
    </row>
    <row r="45">
      <c r="A45" s="15" t="n"/>
      <c r="B45" s="15" t="n"/>
      <c r="C45" s="15" t="n"/>
      <c r="D45" s="15" t="n"/>
      <c r="E45" s="15" t="n"/>
      <c r="F45" s="15" t="n"/>
      <c r="G45" s="15" t="n"/>
      <c r="H45" s="15" t="n"/>
      <c r="I45" s="15" t="n"/>
      <c r="J45" s="15" t="n"/>
      <c r="K45" s="15" t="n"/>
    </row>
    <row r="46">
      <c r="A46" s="15" t="n"/>
      <c r="B46" s="15" t="n"/>
      <c r="C46" s="15" t="n"/>
      <c r="D46" s="15" t="n"/>
      <c r="E46" s="15" t="n"/>
      <c r="F46" s="15" t="n"/>
      <c r="G46" s="15" t="n"/>
      <c r="H46" s="15" t="n"/>
      <c r="I46" s="15" t="n"/>
      <c r="J46" s="15" t="n"/>
      <c r="K46" s="15" t="n"/>
    </row>
    <row r="47">
      <c r="A47" s="15" t="n"/>
      <c r="B47" s="15" t="n"/>
      <c r="C47" s="15" t="n"/>
      <c r="D47" s="15" t="n"/>
      <c r="E47" s="15" t="n"/>
      <c r="F47" s="15" t="n"/>
      <c r="G47" s="15" t="n"/>
      <c r="H47" s="15" t="n"/>
      <c r="I47" s="15" t="n"/>
      <c r="J47" s="15" t="n"/>
      <c r="K47" s="15" t="n"/>
    </row>
    <row r="48">
      <c r="A48" s="15" t="n"/>
      <c r="B48" s="15" t="n"/>
      <c r="C48" s="15" t="n"/>
      <c r="D48" s="15" t="n"/>
      <c r="E48" s="15" t="n"/>
      <c r="F48" s="15" t="n"/>
      <c r="G48" s="15" t="n"/>
      <c r="H48" s="15" t="n"/>
      <c r="I48" s="15" t="n"/>
      <c r="J48" s="15" t="n"/>
      <c r="K48" s="15" t="n"/>
    </row>
    <row r="49">
      <c r="A49" s="15" t="n"/>
      <c r="B49" s="15" t="n"/>
      <c r="C49" s="15" t="n"/>
      <c r="D49" s="15" t="n"/>
      <c r="E49" s="15" t="n"/>
      <c r="F49" s="15" t="n"/>
      <c r="G49" s="15" t="n"/>
      <c r="H49" s="15" t="n"/>
      <c r="I49" s="15" t="n"/>
      <c r="J49" s="15" t="n"/>
      <c r="K49" s="15" t="n"/>
    </row>
    <row r="50">
      <c r="A50" s="15" t="n"/>
      <c r="B50" s="15" t="n"/>
      <c r="C50" s="15" t="n"/>
      <c r="D50" s="15" t="n"/>
      <c r="E50" s="15" t="n"/>
      <c r="F50" s="15" t="n"/>
      <c r="G50" s="15" t="n"/>
      <c r="H50" s="15" t="n"/>
      <c r="I50" s="15" t="n"/>
      <c r="J50" s="15" t="n"/>
      <c r="K50" s="15" t="n"/>
    </row>
    <row r="51">
      <c r="A51" s="15" t="n"/>
      <c r="B51" s="15" t="n"/>
      <c r="C51" s="15" t="n"/>
      <c r="D51" s="15" t="n"/>
      <c r="E51" s="15" t="n"/>
      <c r="F51" s="15" t="n"/>
      <c r="G51" s="15" t="n"/>
      <c r="H51" s="15" t="n"/>
      <c r="I51" s="15" t="n"/>
      <c r="J51" s="15" t="n"/>
      <c r="K51" s="15" t="n"/>
    </row>
    <row r="52">
      <c r="A52" s="15" t="n"/>
      <c r="B52" s="15" t="n"/>
      <c r="C52" s="15" t="n"/>
      <c r="D52" s="15" t="n"/>
      <c r="E52" s="15" t="n"/>
      <c r="F52" s="15" t="n"/>
      <c r="G52" s="15" t="n"/>
      <c r="H52" s="15" t="n"/>
      <c r="I52" s="15" t="n"/>
      <c r="J52" s="15" t="n"/>
      <c r="K52" s="15" t="n"/>
    </row>
    <row r="53">
      <c r="A53" s="15" t="n"/>
      <c r="B53" s="15" t="n"/>
      <c r="C53" s="15" t="n"/>
      <c r="D53" s="15" t="n"/>
      <c r="E53" s="15" t="n"/>
      <c r="F53" s="15" t="n"/>
      <c r="G53" s="15" t="n"/>
      <c r="H53" s="15" t="n"/>
      <c r="I53" s="15" t="n"/>
      <c r="J53" s="15" t="n"/>
      <c r="K53" s="15" t="n"/>
    </row>
    <row r="54">
      <c r="A54" s="15" t="n"/>
      <c r="B54" s="15" t="n"/>
      <c r="C54" s="15" t="n"/>
      <c r="D54" s="15" t="n"/>
      <c r="E54" s="15" t="n"/>
      <c r="F54" s="15" t="n"/>
      <c r="G54" s="15" t="n"/>
      <c r="H54" s="15" t="n"/>
      <c r="I54" s="15" t="n"/>
      <c r="J54" s="15" t="n"/>
      <c r="K54" s="15" t="n"/>
    </row>
  </sheetData>
  <mergeCells count="2">
    <mergeCell ref="A2:K2"/>
    <mergeCell ref="A1:K1"/>
  </mergeCells>
  <dataValidations count="2">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"Compliant,Partial,Non-Compliant,Not Assessed,Not Applicable"</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0" type="list">
      <formula1>"N/A,Open,In Progress,Closed"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14" customWidth="1" min="1" max="1"/>
    <col width="45" customWidth="1" min="2" max="2"/>
    <col width="22" customWidth="1" min="3" max="3"/>
    <col width="18" customWidth="1" min="4" max="4"/>
    <col width="14" customWidth="1" min="5" max="5"/>
    <col width="14" customWidth="1" min="6" max="6"/>
    <col width="22" customWidth="1" min="7" max="7"/>
    <col width="18" customWidth="1" min="8" max="8"/>
    <col width="30" customWidth="1" min="9" max="9"/>
    <col width="30" customWidth="1" min="10" max="10"/>
  </cols>
  <sheetData>
    <row r="1" ht="35" customHeight="1">
      <c r="A1" s="11" t="inlineStr">
        <is>
          <t>CONTROL COMPLIANCE STATUS</t>
        </is>
      </c>
    </row>
    <row r="2">
      <c r="A2" s="12" t="inlineStr">
        <is>
          <t>Record implementation status for each ISO 27001:2022 Annex A control — track compliance status, implementation percentage, and identified gaps.</t>
        </is>
      </c>
    </row>
    <row r="3">
      <c r="A3" s="13" t="inlineStr">
        <is>
          <t>Control ID</t>
        </is>
      </c>
      <c r="B3" s="13" t="inlineStr">
        <is>
          <t>Control Name</t>
        </is>
      </c>
      <c r="C3" s="13" t="inlineStr">
        <is>
          <t>Control Category</t>
        </is>
      </c>
      <c r="D3" s="13" t="inlineStr">
        <is>
          <t>Compliance Status</t>
        </is>
      </c>
      <c r="E3" s="13" t="inlineStr">
        <is>
          <t>Implementation %</t>
        </is>
      </c>
      <c r="F3" s="13" t="inlineStr">
        <is>
          <t>Last Assessed</t>
        </is>
      </c>
      <c r="G3" s="13" t="inlineStr">
        <is>
          <t>Assessed By</t>
        </is>
      </c>
      <c r="H3" s="13" t="inlineStr">
        <is>
          <t>Evidence Ref</t>
        </is>
      </c>
      <c r="I3" s="13" t="inlineStr">
        <is>
          <t>Gaps Identified</t>
        </is>
      </c>
      <c r="J3" s="13" t="inlineStr">
        <is>
          <t>Notes</t>
        </is>
      </c>
    </row>
    <row r="4">
      <c r="A4" s="14" t="inlineStr">
        <is>
          <t>A.5.1</t>
        </is>
      </c>
      <c r="B4" s="14" t="inlineStr">
        <is>
          <t>Policies for information security</t>
        </is>
      </c>
      <c r="C4" s="14" t="inlineStr">
        <is>
          <t>Organisational</t>
        </is>
      </c>
      <c r="D4" s="14" t="inlineStr">
        <is>
          <t>Fully Implemented</t>
        </is>
      </c>
      <c r="E4" s="14" t="inlineStr">
        <is>
          <t>100%</t>
        </is>
      </c>
      <c r="F4" s="14" t="inlineStr">
        <is>
          <t>15.02.2026</t>
        </is>
      </c>
      <c r="G4" s="14" t="inlineStr">
        <is>
          <t>CISO</t>
        </is>
      </c>
      <c r="H4" s="14" t="inlineStr">
        <is>
          <t>EV-010</t>
        </is>
      </c>
      <c r="I4" s="14" t="inlineStr">
        <is>
          <t>None</t>
        </is>
      </c>
      <c r="J4" s="14" t="inlineStr">
        <is>
          <t>Policy suite reviewed and approved</t>
        </is>
      </c>
    </row>
    <row r="5">
      <c r="A5" s="15" t="n"/>
      <c r="B5" s="15" t="n"/>
      <c r="C5" s="15" t="n"/>
      <c r="D5" s="15" t="n"/>
      <c r="E5" s="15" t="n"/>
      <c r="F5" s="15" t="n"/>
      <c r="G5" s="15" t="n"/>
      <c r="H5" s="15" t="n"/>
      <c r="I5" s="15" t="n"/>
      <c r="J5" s="15"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sheetData>
  <mergeCells count="2">
    <mergeCell ref="A1:J1"/>
    <mergeCell ref="A2:J2"/>
  </mergeCells>
  <dataValidations count="1">
    <dataValidation sqref="D4 D5 D6 D7 D8 D9 D10 D11 D12 D13 D14 D15 D16 D17 D18 D19 D20 D21 D22 D23 D24 D25 D26 D27 D28 D29 D30 D31 D32 D33 D34 D35 D36 D37 D38 D39 D40 D41 D42 D43 D44 D45 D46 D47 D48 D49 D50 D51 D52 D53 D54" showDropDown="0" showInputMessage="0" showErrorMessage="0" allowBlank="0" type="list">
      <formula1>"Fully Implemented,Partially Implemented,Not Implemented,Not Applicable"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25" customWidth="1" min="1" max="1"/>
    <col width="22" customWidth="1" min="2" max="2"/>
    <col width="16" customWidth="1" min="3" max="3"/>
    <col width="16" customWidth="1" min="4" max="4"/>
    <col width="20" customWidth="1" min="5" max="5"/>
    <col width="22" customWidth="1" min="6" max="6"/>
    <col width="18" customWidth="1" min="7" max="7"/>
    <col width="22" customWidth="1" min="8" max="8"/>
    <col width="16" customWidth="1" min="9" max="9"/>
    <col width="30" customWidth="1" min="10" max="10"/>
    <col width="30" customWidth="1" min="11" max="11"/>
    <col width="14" customWidth="1" min="12" max="12"/>
  </cols>
  <sheetData>
    <row r="1" ht="35" customHeight="1">
      <c r="A1" s="11" t="inlineStr">
        <is>
          <t>DEPARTMENT SELF-ASSESSMENT</t>
        </is>
      </c>
    </row>
    <row r="2">
      <c r="A2" s="12" t="inlineStr">
        <is>
          <t>Department managers self-assess compliance with IS requirements — rate each area and provide an overall Green/Amber/Red compliance rating.</t>
        </is>
      </c>
    </row>
    <row r="3">
      <c r="A3" s="13" t="inlineStr">
        <is>
          <t>Department</t>
        </is>
      </c>
      <c r="B3" s="13" t="inlineStr">
        <is>
          <t>Manager</t>
        </is>
      </c>
      <c r="C3" s="13" t="inlineStr">
        <is>
          <t>Assessment Period</t>
        </is>
      </c>
      <c r="D3" s="13" t="inlineStr">
        <is>
          <t>AUP Compliance</t>
        </is>
      </c>
      <c r="E3" s="13" t="inlineStr">
        <is>
          <t>Access Control Compliance</t>
        </is>
      </c>
      <c r="F3" s="13" t="inlineStr">
        <is>
          <t>Incident Reporting Compliance</t>
        </is>
      </c>
      <c r="G3" s="13" t="inlineStr">
        <is>
          <t>Training Compliance</t>
        </is>
      </c>
      <c r="H3" s="13" t="inlineStr">
        <is>
          <t>Asset Management Compliance</t>
        </is>
      </c>
      <c r="I3" s="13" t="inlineStr">
        <is>
          <t>Overall Rating</t>
        </is>
      </c>
      <c r="J3" s="13" t="inlineStr">
        <is>
          <t>Issues Identified</t>
        </is>
      </c>
      <c r="K3" s="13" t="inlineStr">
        <is>
          <t>Improvement Actions</t>
        </is>
      </c>
      <c r="L3" s="13" t="inlineStr">
        <is>
          <t>Sign Off Date</t>
        </is>
      </c>
    </row>
    <row r="4">
      <c r="A4" s="14" t="inlineStr">
        <is>
          <t>IT Operations</t>
        </is>
      </c>
      <c r="B4" s="14" t="inlineStr">
        <is>
          <t>A. Johnson</t>
        </is>
      </c>
      <c r="C4" s="14" t="inlineStr">
        <is>
          <t>Q1 2026</t>
        </is>
      </c>
      <c r="D4" s="14" t="inlineStr">
        <is>
          <t>Compliant</t>
        </is>
      </c>
      <c r="E4" s="14" t="inlineStr">
        <is>
          <t>Compliant</t>
        </is>
      </c>
      <c r="F4" s="14" t="inlineStr">
        <is>
          <t>Compliant</t>
        </is>
      </c>
      <c r="G4" s="14" t="inlineStr">
        <is>
          <t>Partial</t>
        </is>
      </c>
      <c r="H4" s="14" t="inlineStr">
        <is>
          <t>Compliant</t>
        </is>
      </c>
      <c r="I4" s="14" t="inlineStr">
        <is>
          <t>Green</t>
        </is>
      </c>
      <c r="J4" s="14" t="inlineStr">
        <is>
          <t>Training programme 60% complete — target Q2 2026</t>
        </is>
      </c>
      <c r="K4" s="14" t="inlineStr">
        <is>
          <t>Complete security awareness training by 30.06.2026</t>
        </is>
      </c>
      <c r="L4" s="14" t="inlineStr">
        <is>
          <t>28.02.2026</t>
        </is>
      </c>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2">
    <dataValidation sqref="D4 D5 D6 D7 D8 D9 D10 D11 D12 D13 D14 D15 D16 D17 D18 D19 D20 D21 D22 D23 D24 D25 D26 D27 D28 D29 D30 D31 D32 D33 D34 D35 D36 D37 D38 D39 D40 D41 D42 D43 D44 D45 D46 D47 D48 D49 D50 D51 D52 D53 D54 E4 E5 E6 E7 E8 E9 E10 E11 E12 E13 E14 E15 E16 E17 E18 E19 E20 E21 E22 E23 E24 E25 E26 E27 E28 E29 E30 E31 E32 E33 E34 E35 E36 E37 E38 E39 E40 E41 E42 E43 E44 E45 E46 E47 E48 E49 E50 E51 E52 E53 E54 F4 F5 F6 F7 F8 F9 F10 F11 F12 F13 F14 F15 F16 F17 F18 F19 F20 F21 F22 F23 F24 F25 F26 F27 F28 F29 F30 F31 F32 F33 F34 F35 F36 F37 F38 F39 F40 F41 F42 F43 F44 F45 F46 F47 F48 F49 F50 F51 F52 F53 F54 G4 G5 G6 G7 G8 G9 G10 G11 G12 G13 G14 G15 G16 G17 G18 G19 G20 G21 G22 G23 G24 G25 G26 G27 G28 G29 G30 G31 G32 G33 G34 G35 G36 G37 G38 G39 G40 G41 G42 G43 G44 G45 G46 G47 G48 G49 G50 G51 G52 G53 G54 H4 H5 H6 H7 H8 H9 H10 H11 H12 H13 H14 H15 H16 H17 H18 H19 H20 H21 H22 H23 H24 H25 H26 H27 H28 H29 H30 H31 H32 H33 H34 H35 H36 H37 H38 H39 H40 H41 H42 H43 H44 H45 H46 H47 H48 H49 H50 H51 H52 H53 H54" showDropDown="0" showInputMessage="0" showErrorMessage="0" allowBlank="0" type="list">
      <formula1>"Compliant,Partial,Non-Compliant,N/A"</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0" type="list">
      <formula1>"Green,Amber,Red"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2" customWidth="1" min="1" max="1"/>
    <col width="14" customWidth="1" min="2" max="2"/>
    <col width="20" customWidth="1" min="3" max="3"/>
    <col width="20" customWidth="1" min="4" max="4"/>
    <col width="45" customWidth="1" min="5" max="5"/>
    <col width="30" customWidth="1" min="6" max="6"/>
    <col width="14" customWidth="1" min="7" max="7"/>
    <col width="35" customWidth="1" min="8" max="8"/>
    <col width="22" customWidth="1" min="9" max="9"/>
    <col width="14" customWidth="1" min="10" max="10"/>
    <col width="16" customWidth="1" min="11" max="11"/>
    <col width="14" customWidth="1" min="12" max="12"/>
  </cols>
  <sheetData>
    <row r="1" ht="35" customHeight="1">
      <c r="A1" s="11" t="inlineStr">
        <is>
          <t>NON-COMPLIANCE REGISTER</t>
        </is>
      </c>
    </row>
    <row r="2">
      <c r="A2" s="12" t="inlineStr">
        <is>
          <t>Register all non-compliance findings — assign severity, remediation actions, owners, and target dates; track status through to closure.</t>
        </is>
      </c>
    </row>
    <row r="3">
      <c r="A3" s="13" t="inlineStr">
        <is>
          <t>NC ID</t>
        </is>
      </c>
      <c r="B3" s="13" t="inlineStr">
        <is>
          <t>Identified Date</t>
        </is>
      </c>
      <c r="C3" s="13" t="inlineStr">
        <is>
          <t>Policy Control Ref</t>
        </is>
      </c>
      <c r="D3" s="13" t="inlineStr">
        <is>
          <t>Department</t>
        </is>
      </c>
      <c r="E3" s="13" t="inlineStr">
        <is>
          <t>NC Description</t>
        </is>
      </c>
      <c r="F3" s="13" t="inlineStr">
        <is>
          <t>Root Cause</t>
        </is>
      </c>
      <c r="G3" s="13" t="inlineStr">
        <is>
          <t>Severity</t>
        </is>
      </c>
      <c r="H3" s="13" t="inlineStr">
        <is>
          <t>Remediation Action</t>
        </is>
      </c>
      <c r="I3" s="13" t="inlineStr">
        <is>
          <t>Owner</t>
        </is>
      </c>
      <c r="J3" s="13" t="inlineStr">
        <is>
          <t>Target Date</t>
        </is>
      </c>
      <c r="K3" s="13" t="inlineStr">
        <is>
          <t>Status</t>
        </is>
      </c>
      <c r="L3" s="13" t="inlineStr">
        <is>
          <t>Closure Date</t>
        </is>
      </c>
    </row>
    <row r="4">
      <c r="A4" s="14" t="inlineStr">
        <is>
          <t>NC-001</t>
        </is>
      </c>
      <c r="B4" s="14" t="inlineStr">
        <is>
          <t>10.02.2026</t>
        </is>
      </c>
      <c r="C4" s="14" t="inlineStr">
        <is>
          <t>ISMS-POL-A.5.15-18</t>
        </is>
      </c>
      <c r="D4" s="14" t="inlineStr">
        <is>
          <t>IT Operations</t>
        </is>
      </c>
      <c r="E4" s="14" t="inlineStr">
        <is>
          <t>MFA not enforced for all privileged accounts</t>
        </is>
      </c>
      <c r="F4" s="14" t="inlineStr">
        <is>
          <t>Policy not updated following cloud migration</t>
        </is>
      </c>
      <c r="G4" s="14" t="inlineStr">
        <is>
          <t>High</t>
        </is>
      </c>
      <c r="H4" s="14" t="inlineStr">
        <is>
          <t>Enable MFA for all admin accounts in Azure AD</t>
        </is>
      </c>
      <c r="I4" s="14" t="inlineStr">
        <is>
          <t>IT Operations Manager</t>
        </is>
      </c>
      <c r="J4" s="14" t="inlineStr">
        <is>
          <t>31.03.2026</t>
        </is>
      </c>
      <c r="K4" s="14" t="inlineStr">
        <is>
          <t>In Progress</t>
        </is>
      </c>
      <c r="L4" s="14" t="inlineStr"/>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2">
    <dataValidation sqref="G4 G5 G6 G7 G8 G9 G10 G11 G12 G13 G14 G15 G16 G17 G18 G19 G20 G21 G22 G23 G24 G25 G26 G27 G28 G29 G30 G31 G32 G33 G34 G35 G36 G37 G38 G39 G40 G41 G42 G43 G44 G45 G46 G47 G48 G49 G50 G51 G52 G53 G54" showDropDown="0" showInputMessage="0" showErrorMessage="0" allowBlank="0" type="list">
      <formula1>"Critical,High,Medium,Low"</formula1>
    </dataValidation>
    <dataValidation sqref="K4 K5 K6 K7 K8 K9 K10 K11 K12 K13 K14 K15 K16 K17 K18 K19 K20 K21 K22 K23 K24 K25 K26 K27 K28 K29 K30 K31 K32 K33 K34 K35 K36 K37 K38 K39 K40 K41 K42 K43 K44 K45 K46 K47 K48 K49 K50 K51 K52 K53 K54" showDropDown="0" showInputMessage="0" showErrorMessage="0" allowBlank="0" type="list">
      <formula1>"Open,In Progress,Pending Verification,Closed,Risk Accepted"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2" customWidth="1" min="2" max="2"/>
    <col width="45" customWidth="1" min="3" max="3"/>
    <col width="20" customWidth="1" min="4" max="4"/>
    <col width="16" customWidth="1" min="5" max="5"/>
    <col width="40" customWidth="1" min="6" max="6"/>
    <col width="25" customWidth="1" min="7" max="7"/>
    <col width="16" customWidth="1" min="8" max="8"/>
  </cols>
  <sheetData>
    <row r="1" ht="35" customHeight="1">
      <c r="A1" s="11" t="inlineStr">
        <is>
          <t>EVIDENCE REGISTER</t>
        </is>
      </c>
    </row>
    <row r="2">
      <c r="A2" s="12" t="inlineStr">
        <is>
          <t>Record all evidence collected during compliance assessments — link each item to an assessment, specify type, storage location, and validity period.</t>
        </is>
      </c>
    </row>
    <row r="4">
      <c r="A4" s="16" t="inlineStr">
        <is>
          <t>Evidence ID</t>
        </is>
      </c>
      <c r="B4" s="16" t="inlineStr">
        <is>
          <t>Evidence Type</t>
        </is>
      </c>
      <c r="C4" s="16" t="inlineStr">
        <is>
          <t>Description</t>
        </is>
      </c>
      <c r="D4" s="16" t="inlineStr">
        <is>
          <t>Related Assessment</t>
        </is>
      </c>
      <c r="E4" s="16" t="inlineStr">
        <is>
          <t>Collection Date</t>
        </is>
      </c>
      <c r="F4" s="16" t="inlineStr">
        <is>
          <t>Location</t>
        </is>
      </c>
      <c r="G4" s="16" t="inlineStr">
        <is>
          <t>Collected By</t>
        </is>
      </c>
      <c r="H4" s="16" t="inlineStr">
        <is>
          <t>Valid Until</t>
        </is>
      </c>
    </row>
    <row r="5">
      <c r="A5" s="14" t="inlineStr">
        <is>
          <t>EV-001</t>
        </is>
      </c>
      <c r="B5" s="14" t="inlineStr">
        <is>
          <t>Policy Document</t>
        </is>
      </c>
      <c r="C5" s="14" t="inlineStr">
        <is>
          <t>Information Security Governance Policy v2.1</t>
        </is>
      </c>
      <c r="D5" s="14" t="inlineStr">
        <is>
          <t>Policy Compliance</t>
        </is>
      </c>
      <c r="E5" s="14" t="inlineStr">
        <is>
          <t>15.02.2026</t>
        </is>
      </c>
      <c r="F5" s="14" t="inlineStr">
        <is>
          <t>//sharepoint/isms/policies/is-governance-policy-v2.1.pdf</t>
        </is>
      </c>
      <c r="G5" s="14" t="inlineStr">
        <is>
          <t>CISO</t>
        </is>
      </c>
      <c r="H5" s="14" t="inlineStr">
        <is>
          <t>31.12.2028</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dataValidations count="1">
    <dataValidation sqref="B4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"Policy Document,Configuration Export,Training Record,Attestation,Screenshot,Log Extract,Report"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8"/>
  <sheetViews>
    <sheetView showGridLines="0" workbookViewId="0">
      <pane ySplit="3" topLeftCell="A4" activePane="bottomLeft" state="frozen"/>
      <selection pane="bottomLeft" activeCell="A1" sqref="A1"/>
    </sheetView>
  </sheetViews>
  <sheetFormatPr baseColWidth="8" defaultRowHeight="15"/>
  <cols>
    <col width="45" customWidth="1" min="1" max="1"/>
    <col width="40" customWidth="1" min="2" max="2"/>
    <col width="12" customWidth="1" min="3" max="3"/>
    <col width="16" customWidth="1" min="4" max="4"/>
    <col width="22" customWidth="1" min="5" max="5"/>
    <col width="12" customWidth="1" min="6" max="6"/>
    <col width="15" customWidth="1" min="7" max="7"/>
  </cols>
  <sheetData>
    <row r="1" ht="35" customHeight="1">
      <c r="A1" s="17" t="inlineStr">
        <is>
          <t>COMPLIANCE ASSESSMENT — SUMMARY DASHBOARD</t>
        </is>
      </c>
      <c r="B1" s="18" t="n"/>
      <c r="C1" s="18" t="n"/>
      <c r="D1" s="18" t="n"/>
      <c r="E1" s="18" t="n"/>
      <c r="F1" s="18" t="n"/>
      <c r="G1" s="18" t="n"/>
    </row>
    <row r="2">
      <c r="A2" s="19" t="inlineStr">
        <is>
          <t>ISO/IEC 27001:2022 | Control A.5.36: Compliance with Policies, Rules and Standards</t>
        </is>
      </c>
    </row>
    <row r="4">
      <c r="A4" s="20" t="inlineStr">
        <is>
          <t>TABLE 1: ASSESSMENT AREA COMPLIANCE OVERVIEW</t>
        </is>
      </c>
      <c r="B4" s="18" t="n"/>
      <c r="C4" s="18" t="n"/>
      <c r="D4" s="18" t="n"/>
      <c r="E4" s="18" t="n"/>
      <c r="F4" s="18" t="n"/>
      <c r="G4" s="18" t="n"/>
    </row>
    <row r="5">
      <c r="A5" s="21" t="inlineStr">
        <is>
          <t>Assessment Area</t>
        </is>
      </c>
      <c r="B5" s="21" t="inlineStr">
        <is>
          <t>Total Items</t>
        </is>
      </c>
      <c r="C5" s="21" t="inlineStr">
        <is>
          <t>Compliant</t>
        </is>
      </c>
      <c r="D5" s="21" t="inlineStr">
        <is>
          <t>Partial</t>
        </is>
      </c>
      <c r="E5" s="21" t="inlineStr">
        <is>
          <t>Non-Compliant</t>
        </is>
      </c>
      <c r="F5" s="21" t="inlineStr">
        <is>
          <t>N/A</t>
        </is>
      </c>
      <c r="G5" s="21" t="inlineStr">
        <is>
          <t>Compliance %</t>
        </is>
      </c>
    </row>
    <row r="6">
      <c r="A6" s="22" t="inlineStr">
        <is>
          <t>Policy Compliance</t>
        </is>
      </c>
      <c r="B6" s="23">
        <f>COUNTA('Policy Compliance'!B5:B54)</f>
        <v/>
      </c>
      <c r="C6" s="23">
        <f>COUNTIF('Policy Compliance'!D5:D54,"Compliant")</f>
        <v/>
      </c>
      <c r="D6" s="23">
        <f>COUNTIF('Policy Compliance'!D5:D54,"Partial")</f>
        <v/>
      </c>
      <c r="E6" s="23">
        <f>COUNTIF('Policy Compliance'!D5:D54,"Non-Compliant")</f>
        <v/>
      </c>
      <c r="F6" s="23">
        <f>COUNTIF('Policy Compliance'!D5:D54,"Not Applicable")+COUNTIF('Policy Compliance'!D5:D54,"Not Assessed")</f>
        <v/>
      </c>
      <c r="G6" s="24">
        <f>IFERROR(IF((B6-F6)=0,0,C6/(B6-F6)),"")</f>
        <v/>
      </c>
    </row>
    <row r="7">
      <c r="A7" s="22" t="inlineStr">
        <is>
          <t>Control Implementation</t>
        </is>
      </c>
      <c r="B7" s="23">
        <f>COUNTA('Control Compliance'!B5:B54)</f>
        <v/>
      </c>
      <c r="C7" s="23">
        <f>COUNTIF('Control Compliance'!D5:D54,"Fully Implemented")</f>
        <v/>
      </c>
      <c r="D7" s="23">
        <f>COUNTIF('Control Compliance'!D5:D54,"Partially Implemented")</f>
        <v/>
      </c>
      <c r="E7" s="23">
        <f>COUNTIF('Control Compliance'!D5:D54,"Not Implemented")</f>
        <v/>
      </c>
      <c r="F7" s="23">
        <f>COUNTIF('Control Compliance'!D5:D54,"Not Applicable")</f>
        <v/>
      </c>
      <c r="G7" s="24">
        <f>IFERROR(IF((B7-F7)=0,0,C7/(B7-F7)),"")</f>
        <v/>
      </c>
    </row>
    <row r="8">
      <c r="A8" s="22" t="inlineStr">
        <is>
          <t>Departmental Compliance</t>
        </is>
      </c>
      <c r="B8" s="23">
        <f>COUNTA('Department Assessment'!A5:A54)</f>
        <v/>
      </c>
      <c r="C8" s="23">
        <f>COUNTIF('Department Assessment'!I5:I54,"Green")</f>
        <v/>
      </c>
      <c r="D8" s="23">
        <f>COUNTIF('Department Assessment'!I5:I54,"Amber")</f>
        <v/>
      </c>
      <c r="E8" s="23">
        <f>COUNTIF('Department Assessment'!I5:I54,"Red")</f>
        <v/>
      </c>
      <c r="F8" s="23">
        <f>0</f>
        <v/>
      </c>
      <c r="G8" s="24">
        <f>IFERROR(IF((B8-F8)=0,0,C8/(B8-F8)),"")</f>
        <v/>
      </c>
    </row>
    <row r="9">
      <c r="A9" s="22" t="inlineStr">
        <is>
          <t>Non-Compliance Management</t>
        </is>
      </c>
      <c r="B9" s="23">
        <f>COUNTA('NonCompliance Register'!B5:B104)</f>
        <v/>
      </c>
      <c r="C9" s="23">
        <f>COUNTIF('NonCompliance Register'!K5:K104,"Closed")</f>
        <v/>
      </c>
      <c r="D9" s="23">
        <f>COUNTIF('NonCompliance Register'!K5:K104,"In Progress")+COUNTIF('NonCompliance Register'!K5:K104,"Pending Verification")</f>
        <v/>
      </c>
      <c r="E9" s="23">
        <f>COUNTIF('NonCompliance Register'!K5:K104,"Open")</f>
        <v/>
      </c>
      <c r="F9" s="23">
        <f>COUNTIF('NonCompliance Register'!K5:K104,"Risk Accepted")</f>
        <v/>
      </c>
      <c r="G9" s="24">
        <f>IFERROR(IF((B9-F9)=0,0,C9/(B9-F9)),"")</f>
        <v/>
      </c>
    </row>
    <row r="10">
      <c r="A10" s="25" t="inlineStr">
        <is>
          <t>TOTAL</t>
        </is>
      </c>
      <c r="B10" s="26">
        <f>SUM(B6:B9)</f>
        <v/>
      </c>
      <c r="C10" s="26">
        <f>SUM(C6:C9)</f>
        <v/>
      </c>
      <c r="D10" s="26">
        <f>SUM(D6:D9)</f>
        <v/>
      </c>
      <c r="E10" s="26">
        <f>SUM(E6:E9)</f>
        <v/>
      </c>
      <c r="F10" s="26">
        <f>SUM(F6:F9)</f>
        <v/>
      </c>
      <c r="G10" s="27">
        <f>IFERROR(IF((B10-F10)=0,0,C10/(B10-F10)),"")</f>
        <v/>
      </c>
    </row>
    <row r="12">
      <c r="A12" s="20" t="inlineStr">
        <is>
          <t>TABLE 2: KEY METRICS</t>
        </is>
      </c>
      <c r="B12" s="18" t="n"/>
      <c r="C12" s="18" t="n"/>
      <c r="D12" s="18" t="n"/>
      <c r="E12" s="18" t="n"/>
      <c r="F12" s="18" t="n"/>
      <c r="G12" s="18" t="n"/>
    </row>
    <row r="13">
      <c r="A13" s="26" t="inlineStr">
        <is>
          <t>Metric</t>
        </is>
      </c>
      <c r="B13" s="26" t="inlineStr">
        <is>
          <t>Value</t>
        </is>
      </c>
      <c r="C13" s="26" t="n"/>
      <c r="D13" s="26" t="n"/>
      <c r="E13" s="26" t="n"/>
      <c r="F13" s="26" t="n"/>
      <c r="G13" s="26" t="n"/>
    </row>
    <row r="14">
      <c r="A14" s="22" t="inlineStr">
        <is>
          <t>Total Policies Assessed</t>
        </is>
      </c>
      <c r="B14" s="23">
        <f>COUNTA('Policy Compliance'!B5:B54)</f>
        <v/>
      </c>
      <c r="C14" s="18" t="n"/>
      <c r="D14" s="18" t="n"/>
      <c r="E14" s="18" t="n"/>
      <c r="F14" s="18" t="n"/>
      <c r="G14" s="18" t="n"/>
    </row>
    <row r="15">
      <c r="A15" s="22" t="inlineStr">
        <is>
          <t>Policies Compliant</t>
        </is>
      </c>
      <c r="B15" s="23">
        <f>COUNTIF('Policy Compliance'!D5:D54,"Compliant")</f>
        <v/>
      </c>
      <c r="C15" s="18" t="n"/>
      <c r="D15" s="18" t="n"/>
      <c r="E15" s="18" t="n"/>
      <c r="F15" s="18" t="n"/>
      <c r="G15" s="18" t="n"/>
    </row>
    <row r="16">
      <c r="A16" s="22" t="inlineStr">
        <is>
          <t>Policies Partially Compliant</t>
        </is>
      </c>
      <c r="B16" s="23">
        <f>COUNTIF('Policy Compliance'!D5:D54,"Partial")</f>
        <v/>
      </c>
      <c r="C16" s="18" t="n"/>
      <c r="D16" s="18" t="n"/>
      <c r="E16" s="18" t="n"/>
      <c r="F16" s="18" t="n"/>
      <c r="G16" s="18" t="n"/>
    </row>
    <row r="17">
      <c r="A17" s="22" t="inlineStr">
        <is>
          <t>Policies Non-Compliant</t>
        </is>
      </c>
      <c r="B17" s="23">
        <f>COUNTIF('Policy Compliance'!D5:D54,"Non-Compliant")</f>
        <v/>
      </c>
      <c r="C17" s="18" t="n"/>
      <c r="D17" s="18" t="n"/>
      <c r="E17" s="18" t="n"/>
      <c r="F17" s="18" t="n"/>
      <c r="G17" s="18" t="n"/>
    </row>
    <row r="18">
      <c r="A18" s="22" t="inlineStr">
        <is>
          <t>Policies Not Yet Assessed</t>
        </is>
      </c>
      <c r="B18" s="23">
        <f>COUNTIF('Policy Compliance'!D5:D54,"Not Assessed")</f>
        <v/>
      </c>
      <c r="C18" s="18" t="n"/>
      <c r="D18" s="18" t="n"/>
      <c r="E18" s="18" t="n"/>
      <c r="F18" s="18" t="n"/>
      <c r="G18" s="18" t="n"/>
    </row>
    <row r="19">
      <c r="A19" s="22" t="inlineStr">
        <is>
          <t>Controls Fully Implemented</t>
        </is>
      </c>
      <c r="B19" s="23">
        <f>COUNTIF('Control Compliance'!D5:D54,"Fully Implemented")</f>
        <v/>
      </c>
      <c r="C19" s="18" t="n"/>
      <c r="D19" s="18" t="n"/>
      <c r="E19" s="18" t="n"/>
      <c r="F19" s="18" t="n"/>
      <c r="G19" s="18" t="n"/>
    </row>
    <row r="20">
      <c r="A20" s="22" t="inlineStr">
        <is>
          <t>Controls Partially Implemented</t>
        </is>
      </c>
      <c r="B20" s="23">
        <f>COUNTIF('Control Compliance'!D5:D54,"Partially Implemented")</f>
        <v/>
      </c>
      <c r="C20" s="18" t="n"/>
      <c r="D20" s="18" t="n"/>
      <c r="E20" s="18" t="n"/>
      <c r="F20" s="18" t="n"/>
      <c r="G20" s="18" t="n"/>
    </row>
    <row r="21">
      <c r="A21" s="22" t="inlineStr">
        <is>
          <t>Controls Not Implemented</t>
        </is>
      </c>
      <c r="B21" s="23">
        <f>COUNTIF('Control Compliance'!D5:D54,"Not Implemented")</f>
        <v/>
      </c>
      <c r="C21" s="18" t="n"/>
      <c r="D21" s="18" t="n"/>
      <c r="E21" s="18" t="n"/>
      <c r="F21" s="18" t="n"/>
      <c r="G21" s="18" t="n"/>
    </row>
    <row r="22">
      <c r="A22" s="22" t="inlineStr">
        <is>
          <t>Total Departments Assessed</t>
        </is>
      </c>
      <c r="B22" s="23">
        <f>COUNTA('Department Assessment'!A5:A54)</f>
        <v/>
      </c>
      <c r="C22" s="18" t="n"/>
      <c r="D22" s="18" t="n"/>
      <c r="E22" s="18" t="n"/>
      <c r="F22" s="18" t="n"/>
      <c r="G22" s="18" t="n"/>
    </row>
    <row r="23">
      <c r="A23" s="22" t="inlineStr">
        <is>
          <t>Departments Rated Green (Compliant)</t>
        </is>
      </c>
      <c r="B23" s="23">
        <f>COUNTIF('Department Assessment'!I5:I54,"Green")</f>
        <v/>
      </c>
      <c r="C23" s="18" t="n"/>
      <c r="D23" s="18" t="n"/>
      <c r="E23" s="18" t="n"/>
      <c r="F23" s="18" t="n"/>
      <c r="G23" s="18" t="n"/>
    </row>
    <row r="24">
      <c r="A24" s="22" t="inlineStr">
        <is>
          <t>Departments Rated Amber (Partial)</t>
        </is>
      </c>
      <c r="B24" s="23">
        <f>COUNTIF('Department Assessment'!I5:I54,"Amber")</f>
        <v/>
      </c>
      <c r="C24" s="18" t="n"/>
      <c r="D24" s="18" t="n"/>
      <c r="E24" s="18" t="n"/>
      <c r="F24" s="18" t="n"/>
      <c r="G24" s="18" t="n"/>
    </row>
    <row r="25">
      <c r="A25" s="22" t="inlineStr">
        <is>
          <t>Departments Rated Red (Non-Compliant)</t>
        </is>
      </c>
      <c r="B25" s="23">
        <f>COUNTIF('Department Assessment'!I5:I54,"Red")</f>
        <v/>
      </c>
      <c r="C25" s="18" t="n"/>
      <c r="D25" s="18" t="n"/>
      <c r="E25" s="18" t="n"/>
      <c r="F25" s="18" t="n"/>
      <c r="G25" s="18" t="n"/>
    </row>
    <row r="26">
      <c r="A26" s="22" t="inlineStr">
        <is>
          <t>Total Non-Conformances</t>
        </is>
      </c>
      <c r="B26" s="23">
        <f>COUNTA('NonCompliance Register'!B5:B104)</f>
        <v/>
      </c>
      <c r="C26" s="18" t="n"/>
      <c r="D26" s="18" t="n"/>
      <c r="E26" s="18" t="n"/>
      <c r="F26" s="18" t="n"/>
      <c r="G26" s="18" t="n"/>
    </row>
    <row r="27">
      <c r="A27" s="22" t="inlineStr">
        <is>
          <t>Critical Non-Conformances Open</t>
        </is>
      </c>
      <c r="B27" s="23">
        <f>COUNTIFS('NonCompliance Register'!G5:G104,"Critical",'NonCompliance Register'!K5:K104,"Open")</f>
        <v/>
      </c>
      <c r="C27" s="18" t="n"/>
      <c r="D27" s="18" t="n"/>
      <c r="E27" s="18" t="n"/>
      <c r="F27" s="18" t="n"/>
      <c r="G27" s="18" t="n"/>
    </row>
    <row r="28">
      <c r="A28" s="22" t="inlineStr">
        <is>
          <t>High Severity NCs Open</t>
        </is>
      </c>
      <c r="B28" s="23">
        <f>COUNTIFS('NonCompliance Register'!G5:G104,"High",'NonCompliance Register'!K5:K104,"Open")</f>
        <v/>
      </c>
      <c r="C28" s="18" t="n"/>
      <c r="D28" s="18" t="n"/>
      <c r="E28" s="18" t="n"/>
      <c r="F28" s="18" t="n"/>
      <c r="G28" s="18" t="n"/>
    </row>
    <row r="29">
      <c r="A29" s="22" t="inlineStr">
        <is>
          <t>NCs Closed (Remediated)</t>
        </is>
      </c>
      <c r="B29" s="23">
        <f>COUNTIF('NonCompliance Register'!K5:K104,"Closed")</f>
        <v/>
      </c>
      <c r="C29" s="18" t="n"/>
      <c r="D29" s="18" t="n"/>
      <c r="E29" s="18" t="n"/>
      <c r="F29" s="18" t="n"/>
      <c r="G29" s="18" t="n"/>
    </row>
    <row r="30">
      <c r="A30" s="22" t="inlineStr">
        <is>
          <t>AUP Compliance — Compliant Departments</t>
        </is>
      </c>
      <c r="B30" s="23">
        <f>COUNTIF('Department Assessment'!D5:D54,"Compliant")</f>
        <v/>
      </c>
      <c r="C30" s="18" t="n"/>
      <c r="D30" s="18" t="n"/>
      <c r="E30" s="18" t="n"/>
      <c r="F30" s="18" t="n"/>
      <c r="G30" s="18" t="n"/>
    </row>
    <row r="31">
      <c r="A31" s="22" t="inlineStr">
        <is>
          <t>Access Control Compliance — Compliant Depts</t>
        </is>
      </c>
      <c r="B31" s="23">
        <f>COUNTIF('Department Assessment'!E5:E54,"Compliant")</f>
        <v/>
      </c>
      <c r="C31" s="18" t="n"/>
      <c r="D31" s="18" t="n"/>
      <c r="E31" s="18" t="n"/>
      <c r="F31" s="18" t="n"/>
      <c r="G31" s="18" t="n"/>
    </row>
    <row r="32">
      <c r="A32" s="22" t="inlineStr">
        <is>
          <t>Training Compliance — Compliant Departments</t>
        </is>
      </c>
      <c r="B32" s="23">
        <f>COUNTIF('Department Assessment'!G5:G54,"Compliant")</f>
        <v/>
      </c>
      <c r="C32" s="18" t="n"/>
      <c r="D32" s="18" t="n"/>
      <c r="E32" s="18" t="n"/>
      <c r="F32" s="18" t="n"/>
      <c r="G32" s="18" t="n"/>
    </row>
    <row r="33">
      <c r="A33" s="22" t="inlineStr">
        <is>
          <t>Incident Reporting Compliance — Compliant Depts</t>
        </is>
      </c>
      <c r="B33" s="23">
        <f>COUNTIF('Department Assessment'!F5:F54,"Compliant")</f>
        <v/>
      </c>
      <c r="C33" s="18" t="n"/>
      <c r="D33" s="18" t="n"/>
      <c r="E33" s="18" t="n"/>
      <c r="F33" s="18" t="n"/>
      <c r="G33" s="18" t="n"/>
    </row>
    <row r="34">
      <c r="A34" s="18" t="n"/>
      <c r="B34" s="18" t="n"/>
      <c r="C34" s="18" t="n"/>
      <c r="D34" s="18" t="n"/>
      <c r="E34" s="18" t="n"/>
      <c r="F34" s="18" t="n"/>
      <c r="G34" s="18" t="n"/>
    </row>
    <row r="35">
      <c r="A35" s="18" t="n"/>
      <c r="B35" s="18" t="n"/>
      <c r="C35" s="18" t="n"/>
      <c r="D35" s="18" t="n"/>
      <c r="E35" s="18" t="n"/>
      <c r="F35" s="18" t="n"/>
      <c r="G35" s="18" t="n"/>
    </row>
    <row r="37">
      <c r="A37" s="28" t="inlineStr">
        <is>
          <t>TABLE 3: CRITICAL FINDINGS REQUIRING IMMEDIATE ATTENTION</t>
        </is>
      </c>
      <c r="B37" s="18" t="n"/>
      <c r="C37" s="18" t="n"/>
      <c r="D37" s="18" t="n"/>
      <c r="E37" s="18" t="n"/>
      <c r="F37" s="18" t="n"/>
      <c r="G37" s="18" t="n"/>
    </row>
    <row r="38">
      <c r="A38" s="26" t="inlineStr">
        <is>
          <t>Category</t>
        </is>
      </c>
      <c r="B38" s="26" t="inlineStr">
        <is>
          <t>Finding</t>
        </is>
      </c>
      <c r="C38" s="26" t="inlineStr">
        <is>
          <t>Count</t>
        </is>
      </c>
      <c r="D38" s="26" t="inlineStr">
        <is>
          <t>Severity</t>
        </is>
      </c>
      <c r="E38" s="26" t="inlineStr">
        <is>
          <t>Action Required</t>
        </is>
      </c>
      <c r="F38" s="26" t="n"/>
      <c r="G38" s="26" t="n"/>
    </row>
    <row r="39">
      <c r="A39" s="29" t="inlineStr">
        <is>
          <t>Policy Compliance</t>
        </is>
      </c>
      <c r="B39" s="29" t="inlineStr">
        <is>
          <t>Non-compliant policies</t>
        </is>
      </c>
      <c r="C39" s="30">
        <f>COUNTIF('Policy Compliance'!D5:D54,"Non-Compliant")</f>
        <v/>
      </c>
      <c r="D39" s="29" t="inlineStr">
        <is>
          <t>Critical</t>
        </is>
      </c>
      <c r="E39" s="29" t="inlineStr">
        <is>
          <t>Immediate policy review</t>
        </is>
      </c>
      <c r="F39" s="29" t="n"/>
      <c r="G39" s="29" t="n"/>
    </row>
    <row r="40">
      <c r="A40" s="29" t="inlineStr">
        <is>
          <t>Policy Compliance</t>
        </is>
      </c>
      <c r="B40" s="29" t="inlineStr">
        <is>
          <t>Policies not yet assessed</t>
        </is>
      </c>
      <c r="C40" s="30">
        <f>COUNTIF('Policy Compliance'!D5:D54,"Not Assessed")</f>
        <v/>
      </c>
      <c r="D40" s="29" t="inlineStr">
        <is>
          <t>High</t>
        </is>
      </c>
      <c r="E40" s="29" t="inlineStr">
        <is>
          <t>Schedule assessment</t>
        </is>
      </c>
      <c r="F40" s="29" t="n"/>
      <c r="G40" s="29" t="n"/>
    </row>
    <row r="41">
      <c r="A41" s="29" t="inlineStr">
        <is>
          <t>Control Implementation</t>
        </is>
      </c>
      <c r="B41" s="29" t="inlineStr">
        <is>
          <t>Controls not implemented</t>
        </is>
      </c>
      <c r="C41" s="30">
        <f>COUNTIF('Control Compliance'!D5:D54,"Not Implemented")</f>
        <v/>
      </c>
      <c r="D41" s="29" t="inlineStr">
        <is>
          <t>Critical</t>
        </is>
      </c>
      <c r="E41" s="29" t="inlineStr">
        <is>
          <t>Risk acceptance or implement</t>
        </is>
      </c>
      <c r="F41" s="29" t="n"/>
      <c r="G41" s="29" t="n"/>
    </row>
    <row r="42">
      <c r="A42" s="29" t="inlineStr">
        <is>
          <t>Departmental Compliance</t>
        </is>
      </c>
      <c r="B42" s="29" t="inlineStr">
        <is>
          <t>Departments rated Red</t>
        </is>
      </c>
      <c r="C42" s="30">
        <f>COUNTIF('Department Assessment'!I5:I54,"Red")</f>
        <v/>
      </c>
      <c r="D42" s="29" t="inlineStr">
        <is>
          <t>Critical</t>
        </is>
      </c>
      <c r="E42" s="29" t="inlineStr">
        <is>
          <t>Management intervention</t>
        </is>
      </c>
      <c r="F42" s="29" t="n"/>
      <c r="G42" s="29" t="n"/>
    </row>
    <row r="43">
      <c r="A43" s="29" t="inlineStr">
        <is>
          <t>Non-Compliance</t>
        </is>
      </c>
      <c r="B43" s="29" t="inlineStr">
        <is>
          <t>Critical NCs open</t>
        </is>
      </c>
      <c r="C43" s="30">
        <f>COUNTIFS('NonCompliance Register'!G5:G104,"Critical",'NonCompliance Register'!K5:K104,"Open")</f>
        <v/>
      </c>
      <c r="D43" s="29" t="inlineStr">
        <is>
          <t>Critical</t>
        </is>
      </c>
      <c r="E43" s="29" t="inlineStr">
        <is>
          <t>Immediate corrective action</t>
        </is>
      </c>
      <c r="F43" s="29" t="n"/>
      <c r="G43" s="29" t="n"/>
    </row>
    <row r="44">
      <c r="A44" s="29" t="inlineStr">
        <is>
          <t>Non-Compliance</t>
        </is>
      </c>
      <c r="B44" s="29" t="inlineStr">
        <is>
          <t>High severity NCs open</t>
        </is>
      </c>
      <c r="C44" s="30">
        <f>COUNTIFS('NonCompliance Register'!G5:G104,"High",'NonCompliance Register'!K5:K104,"Open")</f>
        <v/>
      </c>
      <c r="D44" s="29" t="inlineStr">
        <is>
          <t>High</t>
        </is>
      </c>
      <c r="E44" s="29" t="inlineStr">
        <is>
          <t>Assign owner and date</t>
        </is>
      </c>
      <c r="F44" s="29" t="n"/>
      <c r="G44" s="29" t="n"/>
    </row>
    <row r="45">
      <c r="A45" s="29" t="inlineStr">
        <is>
          <t>Access Control</t>
        </is>
      </c>
      <c r="B45" s="29" t="inlineStr">
        <is>
          <t>AUP non-compliance by departments</t>
        </is>
      </c>
      <c r="C45" s="30">
        <f>COUNTIF('Department Assessment'!D5:D54,"Non-Compliant")</f>
        <v/>
      </c>
      <c r="D45" s="29" t="inlineStr">
        <is>
          <t>High</t>
        </is>
      </c>
      <c r="E45" s="29" t="inlineStr">
        <is>
          <t>Enforce AUP compliance</t>
        </is>
      </c>
      <c r="F45" s="29" t="n"/>
      <c r="G45" s="29" t="n"/>
    </row>
    <row r="46">
      <c r="A46" s="29" t="inlineStr">
        <is>
          <t>Training</t>
        </is>
      </c>
      <c r="B46" s="29" t="inlineStr">
        <is>
          <t>Departments with training non-compliance</t>
        </is>
      </c>
      <c r="C46" s="30">
        <f>COUNTIF('Department Assessment'!G5:G54,"Non-Compliant")</f>
        <v/>
      </c>
      <c r="D46" s="29" t="inlineStr">
        <is>
          <t>Medium</t>
        </is>
      </c>
      <c r="E46" s="29" t="inlineStr">
        <is>
          <t>Schedule training programme</t>
        </is>
      </c>
      <c r="F46" s="29" t="n"/>
      <c r="G46" s="29" t="n"/>
    </row>
    <row r="47">
      <c r="A47" s="31" t="n"/>
      <c r="B47" s="31" t="n"/>
      <c r="C47" s="31" t="n"/>
      <c r="D47" s="31" t="n"/>
      <c r="E47" s="31" t="n"/>
      <c r="F47" s="31" t="n"/>
      <c r="G47" s="31" t="n"/>
    </row>
    <row r="48">
      <c r="A48" s="31" t="n"/>
      <c r="B48" s="31" t="n"/>
      <c r="C48" s="31" t="n"/>
      <c r="D48" s="31" t="n"/>
      <c r="E48" s="31" t="n"/>
      <c r="F48" s="31" t="n"/>
      <c r="G48" s="31" t="n"/>
    </row>
  </sheetData>
  <mergeCells count="5">
    <mergeCell ref="A1:G1"/>
    <mergeCell ref="A12:G12"/>
    <mergeCell ref="A4:G4"/>
    <mergeCell ref="A2:G2"/>
    <mergeCell ref="A37:G3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2" t="inlineStr">
        <is>
          <t>ASSESSMENT APPROVAL AND SIGN-OFF</t>
        </is>
      </c>
      <c r="B1" s="6" t="n"/>
      <c r="C1" s="6" t="n"/>
      <c r="D1" s="6" t="n"/>
      <c r="E1" s="6" t="n"/>
    </row>
    <row r="2">
      <c r="A2" s="33" t="inlineStr">
        <is>
          <t>ISO/IEC 27001:2022 - Control A.5.36: Compliance with Policies, Rules and Standards</t>
        </is>
      </c>
      <c r="B2" s="6" t="n"/>
      <c r="C2" s="6" t="n"/>
      <c r="D2" s="6" t="n"/>
      <c r="E2" s="6" t="n"/>
    </row>
    <row r="3">
      <c r="A3" s="34" t="inlineStr">
        <is>
          <t>ASSESSMENT SUMMARY</t>
        </is>
      </c>
      <c r="B3" s="6" t="n"/>
      <c r="C3" s="6" t="n"/>
      <c r="D3" s="6" t="n"/>
      <c r="E3" s="6" t="n"/>
    </row>
    <row r="4">
      <c r="A4" s="3" t="inlineStr">
        <is>
          <t>Document:</t>
        </is>
      </c>
      <c r="B4" s="6" t="inlineStr">
        <is>
          <t>ISMS-IMP-A.5.35-36.S2 - Compliance Assessment</t>
        </is>
      </c>
      <c r="C4" s="6" t="n"/>
      <c r="D4" s="6" t="n"/>
      <c r="E4" s="6" t="n"/>
    </row>
    <row r="5">
      <c r="A5" s="3" t="inlineStr">
        <is>
          <t>Assessment Period:</t>
        </is>
      </c>
      <c r="B5" s="35" t="inlineStr"/>
      <c r="C5" s="6" t="n"/>
      <c r="D5" s="6" t="n"/>
      <c r="E5" s="6" t="n"/>
    </row>
    <row r="6">
      <c r="A6" s="3" t="inlineStr">
        <is>
          <t>Overall Compliance Rating:</t>
        </is>
      </c>
      <c r="B6" s="36">
        <f>IFERROR(AVERAGE('Summary Dashboard'!G6:G9),"")</f>
        <v/>
      </c>
      <c r="C6" s="6" t="n"/>
      <c r="D6" s="6" t="n"/>
      <c r="E6" s="6" t="n"/>
    </row>
    <row r="7">
      <c r="A7" s="3" t="inlineStr">
        <is>
          <t>Assessment Status:</t>
        </is>
      </c>
      <c r="B7" s="35" t="inlineStr"/>
      <c r="C7" s="6" t="n"/>
      <c r="D7" s="6" t="n"/>
      <c r="E7" s="6" t="n"/>
    </row>
    <row r="8">
      <c r="A8" s="3" t="inlineStr">
        <is>
          <t>Assessed By:</t>
        </is>
      </c>
      <c r="B8" s="35" t="inlineStr"/>
      <c r="C8" s="6" t="n"/>
      <c r="D8" s="6" t="n"/>
      <c r="E8" s="6" t="n"/>
    </row>
    <row r="11">
      <c r="A11" s="34" t="inlineStr">
        <is>
          <t>COMPLETED BY (ASSESSOR)</t>
        </is>
      </c>
      <c r="B11" s="6" t="n"/>
      <c r="C11" s="6" t="n"/>
      <c r="D11" s="6" t="n"/>
      <c r="E11" s="6" t="n"/>
    </row>
    <row r="12">
      <c r="A12" s="3" t="inlineStr">
        <is>
          <t>Name:</t>
        </is>
      </c>
      <c r="B12" s="35" t="n"/>
      <c r="C12" s="6" t="n"/>
      <c r="D12" s="6" t="n"/>
      <c r="E12" s="6" t="n"/>
    </row>
    <row r="13">
      <c r="A13" s="3" t="inlineStr">
        <is>
          <t>Title:</t>
        </is>
      </c>
      <c r="B13" s="35" t="n"/>
      <c r="C13" s="6" t="n"/>
      <c r="D13" s="6" t="n"/>
      <c r="E13" s="6" t="n"/>
    </row>
    <row r="14">
      <c r="A14" s="3" t="inlineStr">
        <is>
          <t>Date:</t>
        </is>
      </c>
      <c r="B14" s="35" t="n"/>
      <c r="C14" s="6" t="n"/>
      <c r="D14" s="6" t="n"/>
      <c r="E14" s="6" t="n"/>
    </row>
    <row r="15">
      <c r="A15" s="3" t="inlineStr">
        <is>
          <t>Signature:</t>
        </is>
      </c>
      <c r="B15" s="35" t="n"/>
      <c r="C15" s="6" t="n"/>
      <c r="D15" s="6" t="n"/>
      <c r="E15" s="6" t="n"/>
    </row>
    <row r="16">
      <c r="A16" s="3" t="inlineStr">
        <is>
          <t>Comments:</t>
        </is>
      </c>
      <c r="B16" s="35" t="n"/>
      <c r="C16" s="6" t="n"/>
      <c r="D16" s="6" t="n"/>
      <c r="E16" s="6" t="n"/>
    </row>
    <row r="18">
      <c r="A18" s="34" t="inlineStr">
        <is>
          <t>REVIEWED BY (INFORMATION SECURITY OFFICER)</t>
        </is>
      </c>
      <c r="B18" s="6" t="n"/>
      <c r="C18" s="6" t="n"/>
      <c r="D18" s="6" t="n"/>
      <c r="E18" s="6" t="n"/>
    </row>
    <row r="19">
      <c r="A19" s="3" t="inlineStr">
        <is>
          <t>Name:</t>
        </is>
      </c>
      <c r="B19" s="35" t="n"/>
      <c r="C19" s="6" t="n"/>
      <c r="D19" s="6" t="n"/>
      <c r="E19" s="6" t="n"/>
    </row>
    <row r="20">
      <c r="A20" s="3" t="inlineStr">
        <is>
          <t>Title:</t>
        </is>
      </c>
      <c r="B20" s="35" t="n"/>
      <c r="C20" s="6" t="n"/>
      <c r="D20" s="6" t="n"/>
      <c r="E20" s="6" t="n"/>
    </row>
    <row r="21">
      <c r="A21" s="3" t="inlineStr">
        <is>
          <t>Date:</t>
        </is>
      </c>
      <c r="B21" s="35" t="n"/>
      <c r="C21" s="6" t="n"/>
      <c r="D21" s="6" t="n"/>
      <c r="E21" s="6" t="n"/>
    </row>
    <row r="22">
      <c r="A22" s="3" t="inlineStr">
        <is>
          <t>Signature:</t>
        </is>
      </c>
      <c r="B22" s="35" t="n"/>
      <c r="C22" s="6" t="n"/>
      <c r="D22" s="6" t="n"/>
      <c r="E22" s="6" t="n"/>
    </row>
    <row r="23">
      <c r="A23" s="3" t="inlineStr">
        <is>
          <t>Comments:</t>
        </is>
      </c>
      <c r="B23" s="35" t="n"/>
      <c r="C23" s="6" t="n"/>
      <c r="D23" s="6" t="n"/>
      <c r="E23" s="6" t="n"/>
    </row>
    <row r="25">
      <c r="A25" s="37" t="inlineStr">
        <is>
          <t>APPROVED BY (CISO)</t>
        </is>
      </c>
      <c r="B25" s="6" t="n"/>
      <c r="C25" s="6" t="n"/>
      <c r="D25" s="6" t="n"/>
      <c r="E25" s="6" t="n"/>
    </row>
    <row r="26">
      <c r="A26" s="3" t="inlineStr">
        <is>
          <t>Name:</t>
        </is>
      </c>
      <c r="B26" s="35" t="n"/>
      <c r="C26" s="6" t="n"/>
      <c r="D26" s="6" t="n"/>
      <c r="E26" s="6" t="n"/>
    </row>
    <row r="27">
      <c r="A27" s="3" t="inlineStr">
        <is>
          <t>Title:</t>
        </is>
      </c>
      <c r="B27" s="35" t="n"/>
      <c r="C27" s="6" t="n"/>
      <c r="D27" s="6" t="n"/>
      <c r="E27" s="6" t="n"/>
    </row>
    <row r="28">
      <c r="A28" s="3" t="inlineStr">
        <is>
          <t>Date:</t>
        </is>
      </c>
      <c r="B28" s="35" t="n"/>
      <c r="C28" s="6" t="n"/>
      <c r="D28" s="6" t="n"/>
      <c r="E28" s="6" t="n"/>
    </row>
    <row r="29">
      <c r="A29" s="3" t="inlineStr">
        <is>
          <t>Signature:</t>
        </is>
      </c>
      <c r="B29" s="35" t="n"/>
      <c r="C29" s="6" t="n"/>
      <c r="D29" s="6" t="n"/>
      <c r="E29" s="6" t="n"/>
    </row>
    <row r="30">
      <c r="A30" s="3" t="inlineStr">
        <is>
          <t>Comments:</t>
        </is>
      </c>
      <c r="B30" s="35" t="n"/>
      <c r="C30" s="6" t="n"/>
      <c r="D30" s="6" t="n"/>
      <c r="E30" s="6" t="n"/>
    </row>
    <row r="32">
      <c r="A32" s="3" t="inlineStr">
        <is>
          <t>FINAL DECISION:</t>
        </is>
      </c>
      <c r="B32" s="35" t="n"/>
      <c r="C32" s="6" t="n"/>
      <c r="D32" s="6" t="n"/>
      <c r="E32" s="6" t="n"/>
    </row>
    <row r="35">
      <c r="A35" s="34" t="inlineStr">
        <is>
          <t>NEXT REVIEW DETAILS</t>
        </is>
      </c>
      <c r="B35" s="6" t="n"/>
      <c r="C35" s="6" t="n"/>
      <c r="D35" s="6" t="n"/>
      <c r="E35" s="6" t="n"/>
    </row>
    <row r="36">
      <c r="A36" s="3" t="inlineStr">
        <is>
          <t>Next Review Date:</t>
        </is>
      </c>
      <c r="B36" s="35" t="n"/>
      <c r="C36" s="6" t="n"/>
      <c r="D36" s="6" t="n"/>
      <c r="E36" s="6" t="n"/>
    </row>
    <row r="37">
      <c r="A37" s="3" t="inlineStr">
        <is>
          <t>Review Responsible:</t>
        </is>
      </c>
      <c r="B37" s="35" t="n"/>
      <c r="C37" s="6" t="n"/>
      <c r="D37" s="6" t="n"/>
      <c r="E37" s="6" t="n"/>
    </row>
    <row r="38">
      <c r="A38" s="3" t="inlineStr">
        <is>
          <t>Special Considerations:</t>
        </is>
      </c>
      <c r="B38" s="35"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ISMS-IMP-A.5.35-36.S2 — Compliance Assessment</dc:title>
  <dc:description xmlns:dc="http://purl.org/dc/elements/1.1/">ISMS Implementation Workbook — ISMS-IMP-A.5.35-36.S2</dc:description>
  <dc:subject xmlns:dc="http://purl.org/dc/elements/1.1/">ISO/IEC 27001:2022 — Control A.5.36: Compliance with Policies, Rules and Standards</dc:subject>
  <dcterms:created xmlns:dcterms="http://purl.org/dc/terms/" xmlns:xsi="http://www.w3.org/2001/XMLSchema-instance" xsi:type="dcterms:W3CDTF">2026-03-10T18:48:52Z</dcterms:created>
  <dcterms:modified xmlns:dcterms="http://purl.org/dc/terms/" xmlns:xsi="http://www.w3.org/2001/XMLSchema-instance" xsi:type="dcterms:W3CDTF">2026-03-10T18:48:53Z</dcterms:modified>
</cp:coreProperties>
</file>