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Compliance" sheetId="2" state="visible" r:id="rId2"/>
    <sheet xmlns:r="http://schemas.openxmlformats.org/officeDocument/2006/relationships" name="Control Compliance" sheetId="3" state="visible" r:id="rId3"/>
    <sheet xmlns:r="http://schemas.openxmlformats.org/officeDocument/2006/relationships" name="Department Assessment" sheetId="4" state="visible" r:id="rId4"/>
    <sheet xmlns:r="http://schemas.openxmlformats.org/officeDocument/2006/relationships" name="NonCompliance Register"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2" applyAlignment="1" pivotButton="0" quotePrefix="0" xfId="0">
      <alignment horizontal="center" vertical="center" wrapText="1"/>
    </xf>
    <xf numFmtId="0" fontId="0" fillId="0" borderId="2" pivotButton="0" quotePrefix="0" xfId="0"/>
    <xf numFmtId="0" fontId="8" fillId="0" borderId="0" applyAlignment="1" pivotButton="0" quotePrefix="0" xfId="0">
      <alignment horizontal="left" vertical="center"/>
    </xf>
    <xf numFmtId="0" fontId="9" fillId="8" borderId="2" pivotButton="0" quotePrefix="0" xfId="0"/>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pivotButton="0" quotePrefix="0" xfId="0"/>
    <xf numFmtId="0" fontId="11" fillId="11" borderId="2" pivotButton="0" quotePrefix="0" xfId="0"/>
    <xf numFmtId="0" fontId="11"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0" fontId="0" fillId="11"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ISMS-IMP-A.5.35-36.S2  -  Compliance Assessment
ISO/IEC 27001:2022 - Control A.5.36: Compliance with Policies, Rules and Standards</t>
        </is>
      </c>
    </row>
    <row r="3">
      <c r="A3" s="2" t="inlineStr">
        <is>
          <t>Document Information</t>
        </is>
      </c>
    </row>
    <row r="4">
      <c r="A4" s="3" t="inlineStr">
        <is>
          <t>Document ID</t>
        </is>
      </c>
      <c r="B4" t="inlineStr">
        <is>
          <t>ISMS-IMP-A.5.35-36.S2</t>
        </is>
      </c>
    </row>
    <row r="5">
      <c r="A5" s="3" t="inlineStr">
        <is>
          <t>Workbook Title</t>
        </is>
      </c>
      <c r="B5" t="inlineStr">
        <is>
          <t>Compliance Assessment</t>
        </is>
      </c>
    </row>
    <row r="6">
      <c r="A6" s="3" t="inlineStr">
        <is>
          <t>Control Reference</t>
        </is>
      </c>
      <c r="B6" t="inlineStr">
        <is>
          <t>ISO/IEC 27001:2022 - Control A.5.36: Compliance with Policies, Rules and Standards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Policy Compliance — assess compliance with all information security policies.</t>
        </is>
      </c>
    </row>
    <row r="14">
      <c r="A14" t="inlineStr">
        <is>
          <t>2. Complete Control Compliance — evaluate implementation status of all applicable controls.</t>
        </is>
      </c>
    </row>
    <row r="15">
      <c r="A15" t="inlineStr">
        <is>
          <t>3. Complete Department Assessment — assess compliance across all organisational units.</t>
        </is>
      </c>
    </row>
    <row r="16">
      <c r="A16" t="inlineStr">
        <is>
          <t>4. Complete NonCompliance Register — document all non-compliance findings with root causes.</t>
        </is>
      </c>
    </row>
    <row r="17">
      <c r="A17" t="inlineStr">
        <is>
          <t>5. Review the Summary Dashboard for overall compliance posture.</t>
        </is>
      </c>
    </row>
    <row r="18">
      <c r="A18" t="inlineStr">
        <is>
          <t>6. Maintain Evidence Records with assessment results and supporting documentation.</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14" customWidth="1" min="3" max="3"/>
    <col width="18" customWidth="1" min="4" max="4"/>
    <col width="14" customWidth="1" min="5" max="5"/>
    <col width="22" customWidth="1" min="6" max="6"/>
    <col width="14" customWidth="1" min="7" max="7"/>
    <col width="18" customWidth="1" min="8" max="8"/>
    <col width="30" customWidth="1" min="9" max="9"/>
    <col width="18" customWidth="1" min="10" max="10"/>
    <col width="30" customWidth="1" min="11" max="11"/>
  </cols>
  <sheetData>
    <row r="1" ht="35" customHeight="1">
      <c r="A1" s="11" t="inlineStr">
        <is>
          <t>POLICY COMPLIANCE ASSESSMENT</t>
        </is>
      </c>
    </row>
    <row r="2">
      <c r="A2" s="12" t="inlineStr">
        <is>
          <t>Assess each information security policy for compliance — record version, compliance status, assessor, evidence references, and any remediation required.</t>
        </is>
      </c>
    </row>
    <row r="3">
      <c r="A3" s="13" t="inlineStr">
        <is>
          <t>Policy ID</t>
        </is>
      </c>
      <c r="B3" s="13" t="inlineStr">
        <is>
          <t>Policy Name</t>
        </is>
      </c>
      <c r="C3" s="13" t="inlineStr">
        <is>
          <t>Policy Version</t>
        </is>
      </c>
      <c r="D3" s="13" t="inlineStr">
        <is>
          <t>Compliance Status</t>
        </is>
      </c>
      <c r="E3" s="13" t="inlineStr">
        <is>
          <t>Last Reviewed</t>
        </is>
      </c>
      <c r="F3" s="13" t="inlineStr">
        <is>
          <t>Assessed By</t>
        </is>
      </c>
      <c r="G3" s="13" t="inlineStr">
        <is>
          <t>Assessment Date</t>
        </is>
      </c>
      <c r="H3" s="13" t="inlineStr">
        <is>
          <t>Evidence Ref</t>
        </is>
      </c>
      <c r="I3" s="13" t="inlineStr">
        <is>
          <t>NonCompliance Issues</t>
        </is>
      </c>
      <c r="J3" s="13" t="inlineStr">
        <is>
          <t>Remediation Status</t>
        </is>
      </c>
      <c r="K3" s="13" t="inlineStr">
        <is>
          <t>Notes</t>
        </is>
      </c>
    </row>
    <row r="4">
      <c r="A4" s="14" t="inlineStr">
        <is>
          <t>ISMS-POL-A.5.1-4</t>
        </is>
      </c>
      <c r="B4" s="14" t="inlineStr">
        <is>
          <t>Information Security Governance Policy</t>
        </is>
      </c>
      <c r="C4" s="14" t="inlineStr">
        <is>
          <t>v2.1</t>
        </is>
      </c>
      <c r="D4" s="14" t="inlineStr">
        <is>
          <t>Compliant</t>
        </is>
      </c>
      <c r="E4" s="14" t="inlineStr">
        <is>
          <t>01.01.2026</t>
        </is>
      </c>
      <c r="F4" s="14" t="inlineStr">
        <is>
          <t>CISO</t>
        </is>
      </c>
      <c r="G4" s="14" t="inlineStr">
        <is>
          <t>15.02.2026</t>
        </is>
      </c>
      <c r="H4" s="14" t="inlineStr">
        <is>
          <t>EV-001</t>
        </is>
      </c>
      <c r="I4" s="14" t="inlineStr"/>
      <c r="J4" s="14" t="inlineStr">
        <is>
          <t>N/A</t>
        </is>
      </c>
      <c r="K4" s="14" t="inlineStr">
        <is>
          <t>Policy reviewed and approved for 2026</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"Compliant,Partial,Non-Compliant,Not Assessed,Not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"N/A,Open,In Progress,Closed"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45" customWidth="1" min="2" max="2"/>
    <col width="22" customWidth="1" min="3" max="3"/>
    <col width="18" customWidth="1" min="4" max="4"/>
    <col width="14" customWidth="1" min="5" max="5"/>
    <col width="14" customWidth="1" min="6" max="6"/>
    <col width="22" customWidth="1" min="7" max="7"/>
    <col width="18" customWidth="1" min="8" max="8"/>
    <col width="30" customWidth="1" min="9" max="9"/>
    <col width="30" customWidth="1" min="10" max="10"/>
  </cols>
  <sheetData>
    <row r="1" ht="35" customHeight="1">
      <c r="A1" s="11" t="inlineStr">
        <is>
          <t>CONTROL COMPLIANCE STATUS</t>
        </is>
      </c>
    </row>
    <row r="2">
      <c r="A2" s="12" t="inlineStr">
        <is>
          <t>Record implementation status for each ISO 27001:2022 Annex A control — track compliance status, implementation percentage, and identified gaps.</t>
        </is>
      </c>
    </row>
    <row r="3">
      <c r="A3" s="13" t="inlineStr">
        <is>
          <t>Control ID</t>
        </is>
      </c>
      <c r="B3" s="13" t="inlineStr">
        <is>
          <t>Control Name</t>
        </is>
      </c>
      <c r="C3" s="13" t="inlineStr">
        <is>
          <t>Control Category</t>
        </is>
      </c>
      <c r="D3" s="13" t="inlineStr">
        <is>
          <t>Compliance Status</t>
        </is>
      </c>
      <c r="E3" s="13" t="inlineStr">
        <is>
          <t>Implementation %</t>
        </is>
      </c>
      <c r="F3" s="13" t="inlineStr">
        <is>
          <t>Last Assessed</t>
        </is>
      </c>
      <c r="G3" s="13" t="inlineStr">
        <is>
          <t>Assessed By</t>
        </is>
      </c>
      <c r="H3" s="13" t="inlineStr">
        <is>
          <t>Evidence Ref</t>
        </is>
      </c>
      <c r="I3" s="13" t="inlineStr">
        <is>
          <t>Gaps Identified</t>
        </is>
      </c>
      <c r="J3" s="13" t="inlineStr">
        <is>
          <t>Notes</t>
        </is>
      </c>
    </row>
    <row r="4">
      <c r="A4" s="14" t="inlineStr">
        <is>
          <t>A.5.1</t>
        </is>
      </c>
      <c r="B4" s="14" t="inlineStr">
        <is>
          <t>Policies for information security</t>
        </is>
      </c>
      <c r="C4" s="14" t="inlineStr">
        <is>
          <t>Organisational</t>
        </is>
      </c>
      <c r="D4" s="14" t="inlineStr">
        <is>
          <t>Fully Implemented</t>
        </is>
      </c>
      <c r="E4" s="14" t="inlineStr">
        <is>
          <t>100%</t>
        </is>
      </c>
      <c r="F4" s="14" t="inlineStr">
        <is>
          <t>15.02.2026</t>
        </is>
      </c>
      <c r="G4" s="14" t="inlineStr">
        <is>
          <t>CISO</t>
        </is>
      </c>
      <c r="H4" s="14" t="inlineStr">
        <is>
          <t>EV-010</t>
        </is>
      </c>
      <c r="I4" s="14" t="inlineStr">
        <is>
          <t>None</t>
        </is>
      </c>
      <c r="J4" s="14" t="inlineStr">
        <is>
          <t>Policy suite reviewed and approved</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"Fully Implemented,Partially Implemented,Not Implemented,Not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16" customWidth="1" min="3" max="3"/>
    <col width="16" customWidth="1" min="4" max="4"/>
    <col width="20" customWidth="1" min="5" max="5"/>
    <col width="22" customWidth="1" min="6" max="6"/>
    <col width="18" customWidth="1" min="7" max="7"/>
    <col width="22" customWidth="1" min="8" max="8"/>
    <col width="16" customWidth="1" min="9" max="9"/>
    <col width="30" customWidth="1" min="10" max="10"/>
    <col width="30" customWidth="1" min="11" max="11"/>
    <col width="14" customWidth="1" min="12" max="12"/>
  </cols>
  <sheetData>
    <row r="1" ht="35" customHeight="1">
      <c r="A1" s="11" t="inlineStr">
        <is>
          <t>DEPARTMENT SELF-ASSESSMENT</t>
        </is>
      </c>
    </row>
    <row r="2">
      <c r="A2" s="12" t="inlineStr">
        <is>
          <t>Department managers self-assess compliance with IS requirements — rate each area and provide an overall Green/Amber/Red compliance rating.</t>
        </is>
      </c>
    </row>
    <row r="3">
      <c r="A3" s="13" t="inlineStr">
        <is>
          <t>Department</t>
        </is>
      </c>
      <c r="B3" s="13" t="inlineStr">
        <is>
          <t>Manager</t>
        </is>
      </c>
      <c r="C3" s="13" t="inlineStr">
        <is>
          <t>Assessment Period</t>
        </is>
      </c>
      <c r="D3" s="13" t="inlineStr">
        <is>
          <t>AUP Compliance</t>
        </is>
      </c>
      <c r="E3" s="13" t="inlineStr">
        <is>
          <t>Access Control Compliance</t>
        </is>
      </c>
      <c r="F3" s="13" t="inlineStr">
        <is>
          <t>Incident Reporting Compliance</t>
        </is>
      </c>
      <c r="G3" s="13" t="inlineStr">
        <is>
          <t>Training Compliance</t>
        </is>
      </c>
      <c r="H3" s="13" t="inlineStr">
        <is>
          <t>Asset Management Compliance</t>
        </is>
      </c>
      <c r="I3" s="13" t="inlineStr">
        <is>
          <t>Overall Rating</t>
        </is>
      </c>
      <c r="J3" s="13" t="inlineStr">
        <is>
          <t>Issues Identified</t>
        </is>
      </c>
      <c r="K3" s="13" t="inlineStr">
        <is>
          <t>Improvement Actions</t>
        </is>
      </c>
      <c r="L3" s="13" t="inlineStr">
        <is>
          <t>Sign Off Date</t>
        </is>
      </c>
    </row>
    <row r="4">
      <c r="A4" s="14" t="inlineStr">
        <is>
          <t>IT Operations</t>
        </is>
      </c>
      <c r="B4" s="14" t="inlineStr">
        <is>
          <t>A. Johnson</t>
        </is>
      </c>
      <c r="C4" s="14" t="inlineStr">
        <is>
          <t>Q1 2026</t>
        </is>
      </c>
      <c r="D4" s="14" t="inlineStr">
        <is>
          <t>Compliant</t>
        </is>
      </c>
      <c r="E4" s="14" t="inlineStr">
        <is>
          <t>Compliant</t>
        </is>
      </c>
      <c r="F4" s="14" t="inlineStr">
        <is>
          <t>Compliant</t>
        </is>
      </c>
      <c r="G4" s="14" t="inlineStr">
        <is>
          <t>Partial</t>
        </is>
      </c>
      <c r="H4" s="14" t="inlineStr">
        <is>
          <t>Compliant</t>
        </is>
      </c>
      <c r="I4" s="14" t="inlineStr">
        <is>
          <t>Green</t>
        </is>
      </c>
      <c r="J4" s="14" t="inlineStr">
        <is>
          <t>Training programme 60% complete — target Q2 2026</t>
        </is>
      </c>
      <c r="K4" s="14" t="inlineStr">
        <is>
          <t>Complete security awareness training by 30.06.2026</t>
        </is>
      </c>
      <c r="L4" s="14" t="inlineStr">
        <is>
          <t>28.02.2026</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D4 D5 D6 D7 D8 D9 D10 D11 D12 D13 D14 D15 D16 D17 D18 D19 D20 D21 D22 D23 D24 D25 D26 D27 D28 D29 D30 D31 D32 D33 D34 D35 D36 D37 D38 D39 D40 D41 D42 D43 D44 D45 D46 D47 D48 D49 D50 D51 D52 D53 D54 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H4 H5 H6 H7 H8 H9 H10 H11 H12 H13 H14 H15 H16 H17 H18 H19 H20 H21 H22 H23 H24 H25 H26 H27 H28 H29 H30 H31 H32 H33 H34 H35 H36 H37 H38 H39 H40 H41 H42 H43 H44 H45 H46 H47 H48 H49 H50 H51 H52 H53 H54" showDropDown="0" showInputMessage="0" showErrorMessage="0" allowBlank="0" type="list">
      <formula1>"Compliant,Partial,Non-Compliant,N/A"</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"Green,Amber,Red"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0" customWidth="1" min="3" max="3"/>
    <col width="20" customWidth="1" min="4" max="4"/>
    <col width="45" customWidth="1" min="5" max="5"/>
    <col width="30" customWidth="1" min="6" max="6"/>
    <col width="14" customWidth="1" min="7" max="7"/>
    <col width="35" customWidth="1" min="8" max="8"/>
    <col width="22" customWidth="1" min="9" max="9"/>
    <col width="14" customWidth="1" min="10" max="10"/>
    <col width="16" customWidth="1" min="11" max="11"/>
    <col width="14" customWidth="1" min="12" max="12"/>
  </cols>
  <sheetData>
    <row r="1" ht="35" customHeight="1">
      <c r="A1" s="11" t="inlineStr">
        <is>
          <t>NON-COMPLIANCE REGISTER</t>
        </is>
      </c>
    </row>
    <row r="2">
      <c r="A2" s="12" t="inlineStr">
        <is>
          <t>Register all non-compliance findings — assign severity, remediation actions, owners, and target dates; track status through to closure.</t>
        </is>
      </c>
    </row>
    <row r="3">
      <c r="A3" s="13" t="inlineStr">
        <is>
          <t>NC ID</t>
        </is>
      </c>
      <c r="B3" s="13" t="inlineStr">
        <is>
          <t>Identified Date</t>
        </is>
      </c>
      <c r="C3" s="13" t="inlineStr">
        <is>
          <t>Policy Control Ref</t>
        </is>
      </c>
      <c r="D3" s="13" t="inlineStr">
        <is>
          <t>Department</t>
        </is>
      </c>
      <c r="E3" s="13" t="inlineStr">
        <is>
          <t>NC Description</t>
        </is>
      </c>
      <c r="F3" s="13" t="inlineStr">
        <is>
          <t>Root Cause</t>
        </is>
      </c>
      <c r="G3" s="13" t="inlineStr">
        <is>
          <t>Severity</t>
        </is>
      </c>
      <c r="H3" s="13" t="inlineStr">
        <is>
          <t>Remediation Action</t>
        </is>
      </c>
      <c r="I3" s="13" t="inlineStr">
        <is>
          <t>Owner</t>
        </is>
      </c>
      <c r="J3" s="13" t="inlineStr">
        <is>
          <t>Target Date</t>
        </is>
      </c>
      <c r="K3" s="13" t="inlineStr">
        <is>
          <t>Status</t>
        </is>
      </c>
      <c r="L3" s="13" t="inlineStr">
        <is>
          <t>Closure Date</t>
        </is>
      </c>
    </row>
    <row r="4">
      <c r="A4" s="14" t="inlineStr">
        <is>
          <t>NC-001</t>
        </is>
      </c>
      <c r="B4" s="14" t="inlineStr">
        <is>
          <t>10.02.2026</t>
        </is>
      </c>
      <c r="C4" s="14" t="inlineStr">
        <is>
          <t>ISMS-POL-A.5.15-18</t>
        </is>
      </c>
      <c r="D4" s="14" t="inlineStr">
        <is>
          <t>IT Operations</t>
        </is>
      </c>
      <c r="E4" s="14" t="inlineStr">
        <is>
          <t>MFA not enforced for all privileged accounts</t>
        </is>
      </c>
      <c r="F4" s="14" t="inlineStr">
        <is>
          <t>Policy not updated following cloud migration</t>
        </is>
      </c>
      <c r="G4" s="14" t="inlineStr">
        <is>
          <t>High</t>
        </is>
      </c>
      <c r="H4" s="14" t="inlineStr">
        <is>
          <t>Enable MFA for all admin accounts in Azure AD</t>
        </is>
      </c>
      <c r="I4" s="14" t="inlineStr">
        <is>
          <t>IT Operations Manager</t>
        </is>
      </c>
      <c r="J4" s="14" t="inlineStr">
        <is>
          <t>31.03.2026</t>
        </is>
      </c>
      <c r="K4" s="14" t="inlineStr">
        <is>
          <t>In Progress</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Progress,Pending Verification,Closed,Risk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Record all evidence collected during compliance assessments — link each item to an assessment, specify type, storage location, and validity period.</t>
        </is>
      </c>
    </row>
    <row r="4">
      <c r="A4" s="16" t="inlineStr">
        <is>
          <t>Evidence ID</t>
        </is>
      </c>
      <c r="B4" s="16" t="inlineStr">
        <is>
          <t>Evidence Type</t>
        </is>
      </c>
      <c r="C4" s="16" t="inlineStr">
        <is>
          <t>Description</t>
        </is>
      </c>
      <c r="D4" s="16" t="inlineStr">
        <is>
          <t>Related Assessment</t>
        </is>
      </c>
      <c r="E4" s="16" t="inlineStr">
        <is>
          <t>Collection Date</t>
        </is>
      </c>
      <c r="F4" s="16" t="inlineStr">
        <is>
          <t>Location</t>
        </is>
      </c>
      <c r="G4" s="16" t="inlineStr">
        <is>
          <t>Collected By</t>
        </is>
      </c>
      <c r="H4" s="16" t="inlineStr">
        <is>
          <t>Valid Until</t>
        </is>
      </c>
    </row>
    <row r="5">
      <c r="A5" s="14" t="inlineStr">
        <is>
          <t>EV-001</t>
        </is>
      </c>
      <c r="B5" s="14" t="inlineStr">
        <is>
          <t>Policy Document</t>
        </is>
      </c>
      <c r="C5" s="14" t="inlineStr">
        <is>
          <t>Information Security Governance Policy v2.1</t>
        </is>
      </c>
      <c r="D5" s="14" t="inlineStr">
        <is>
          <t>Policy Compliance</t>
        </is>
      </c>
      <c r="E5" s="14" t="inlineStr">
        <is>
          <t>15.02.2026</t>
        </is>
      </c>
      <c r="F5" s="14" t="inlineStr">
        <is>
          <t>//sharepoint/isms/policies/is-governance-policy-v2.1.pdf</t>
        </is>
      </c>
      <c r="G5" s="14" t="inlineStr">
        <is>
          <t>CISO</t>
        </is>
      </c>
      <c r="H5" s="14" t="inlineStr">
        <is>
          <t>31.12.2028</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Document,Configuration Export,Training Record,Attestation,Screenshot,Log Extract,Report"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7" t="inlineStr">
        <is>
          <t>COMPLIANCE ASSESSMENT — SUMMARY DASHBOARD</t>
        </is>
      </c>
      <c r="B1" s="18" t="n"/>
      <c r="C1" s="18" t="n"/>
      <c r="D1" s="18" t="n"/>
      <c r="E1" s="18" t="n"/>
      <c r="F1" s="18" t="n"/>
      <c r="G1" s="18" t="n"/>
    </row>
    <row r="2">
      <c r="A2" s="19" t="inlineStr">
        <is>
          <t>ISO/IEC 27001:2022 | Control A.5.36: Compliance with Policies, Rules and Standards</t>
        </is>
      </c>
    </row>
    <row r="4">
      <c r="A4" s="20" t="inlineStr">
        <is>
          <t>TABLE 1: ASSESSMENT AREA COMPLIANCE OVERVIEW</t>
        </is>
      </c>
      <c r="B4" s="18" t="n"/>
      <c r="C4" s="18" t="n"/>
      <c r="D4" s="18" t="n"/>
      <c r="E4" s="18" t="n"/>
      <c r="F4" s="18" t="n"/>
      <c r="G4" s="18"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Policy Compliance</t>
        </is>
      </c>
      <c r="B6" s="23">
        <f>COUNTA('Policy Compliance'!B5:B54)</f>
        <v/>
      </c>
      <c r="C6" s="23">
        <f>COUNTIF('Policy Compliance'!D5:D54,"Compliant")</f>
        <v/>
      </c>
      <c r="D6" s="23">
        <f>COUNTIF('Policy Compliance'!D5:D54,"Partial")</f>
        <v/>
      </c>
      <c r="E6" s="23">
        <f>COUNTIF('Policy Compliance'!D5:D54,"Non-Compliant")</f>
        <v/>
      </c>
      <c r="F6" s="23">
        <f>COUNTIF('Policy Compliance'!D5:D54,"Not Applicable")+COUNTIF('Policy Compliance'!D5:D54,"Not Assessed")</f>
        <v/>
      </c>
      <c r="G6" s="24">
        <f>IFERROR(IF((B6-F6)=0,0,C6/(B6-F6)),"")</f>
        <v/>
      </c>
    </row>
    <row r="7">
      <c r="A7" s="22" t="inlineStr">
        <is>
          <t>Control Implementation</t>
        </is>
      </c>
      <c r="B7" s="23">
        <f>COUNTA('Control Compliance'!B5:B54)</f>
        <v/>
      </c>
      <c r="C7" s="23">
        <f>COUNTIF('Control Compliance'!D5:D54,"Fully Implemented")</f>
        <v/>
      </c>
      <c r="D7" s="23">
        <f>COUNTIF('Control Compliance'!D5:D54,"Partially Implemented")</f>
        <v/>
      </c>
      <c r="E7" s="23">
        <f>COUNTIF('Control Compliance'!D5:D54,"Not Implemented")</f>
        <v/>
      </c>
      <c r="F7" s="23">
        <f>COUNTIF('Control Compliance'!D5:D54,"Not Applicable")</f>
        <v/>
      </c>
      <c r="G7" s="24">
        <f>IFERROR(IF((B7-F7)=0,0,C7/(B7-F7)),"")</f>
        <v/>
      </c>
    </row>
    <row r="8">
      <c r="A8" s="22" t="inlineStr">
        <is>
          <t>Departmental Compliance</t>
        </is>
      </c>
      <c r="B8" s="23">
        <f>COUNTA('Department Assessment'!A5:A54)</f>
        <v/>
      </c>
      <c r="C8" s="23">
        <f>COUNTIF('Department Assessment'!I5:I54,"Green")</f>
        <v/>
      </c>
      <c r="D8" s="23">
        <f>COUNTIF('Department Assessment'!I5:I54,"Amber")</f>
        <v/>
      </c>
      <c r="E8" s="23">
        <f>COUNTIF('Department Assessment'!I5:I54,"Red")</f>
        <v/>
      </c>
      <c r="F8" s="23">
        <f>0</f>
        <v/>
      </c>
      <c r="G8" s="24">
        <f>IFERROR(IF((B8-F8)=0,0,C8/(B8-F8)),"")</f>
        <v/>
      </c>
    </row>
    <row r="9">
      <c r="A9" s="22" t="inlineStr">
        <is>
          <t>Non-Compliance Management</t>
        </is>
      </c>
      <c r="B9" s="23">
        <f>COUNTA('NonCompliance Register'!B5:B104)</f>
        <v/>
      </c>
      <c r="C9" s="23">
        <f>COUNTIF('NonCompliance Register'!K5:K104,"Closed")</f>
        <v/>
      </c>
      <c r="D9" s="23">
        <f>COUNTIF('NonCompliance Register'!K5:K104,"In Progress")+COUNTIF('NonCompliance Register'!K5:K104,"Pending Verification")</f>
        <v/>
      </c>
      <c r="E9" s="23">
        <f>COUNTIF('NonCompliance Register'!K5:K104,"Open")</f>
        <v/>
      </c>
      <c r="F9" s="23">
        <f>COUNTIF('NonCompliance Register'!K5:K104,"Risk Accepted")</f>
        <v/>
      </c>
      <c r="G9" s="24">
        <f>IFERROR(IF((B9-F9)=0,0,C9/(B9-F9)),"")</f>
        <v/>
      </c>
    </row>
    <row r="10">
      <c r="A10" s="25" t="inlineStr">
        <is>
          <t>TOTAL</t>
        </is>
      </c>
      <c r="B10" s="26">
        <f>SUM(B6:B9)</f>
        <v/>
      </c>
      <c r="C10" s="26">
        <f>SUM(C6:C9)</f>
        <v/>
      </c>
      <c r="D10" s="26">
        <f>SUM(D6:D9)</f>
        <v/>
      </c>
      <c r="E10" s="26">
        <f>SUM(E6:E9)</f>
        <v/>
      </c>
      <c r="F10" s="26">
        <f>SUM(F6:F9)</f>
        <v/>
      </c>
      <c r="G10" s="27">
        <f>IFERROR(IF((B10-F10)=0,0,C10/(B10-F10)),"")</f>
        <v/>
      </c>
    </row>
    <row r="12">
      <c r="A12" s="20" t="inlineStr">
        <is>
          <t>TABLE 2: KEY METRICS</t>
        </is>
      </c>
      <c r="B12" s="18" t="n"/>
      <c r="C12" s="18" t="n"/>
      <c r="D12" s="18" t="n"/>
      <c r="E12" s="18" t="n"/>
      <c r="F12" s="18" t="n"/>
      <c r="G12" s="18" t="n"/>
    </row>
    <row r="13">
      <c r="A13" s="26" t="inlineStr">
        <is>
          <t>Metric</t>
        </is>
      </c>
      <c r="B13" s="26" t="inlineStr">
        <is>
          <t>Value</t>
        </is>
      </c>
      <c r="C13" s="26" t="n"/>
      <c r="D13" s="26" t="n"/>
      <c r="E13" s="26" t="n"/>
      <c r="F13" s="26" t="n"/>
      <c r="G13" s="26" t="n"/>
    </row>
    <row r="14">
      <c r="A14" s="22" t="inlineStr">
        <is>
          <t>Total Policies Assessed</t>
        </is>
      </c>
      <c r="B14" s="23">
        <f>COUNTA('Policy Compliance'!B5:B54)</f>
        <v/>
      </c>
      <c r="C14" s="18" t="n"/>
      <c r="D14" s="18" t="n"/>
      <c r="E14" s="18" t="n"/>
      <c r="F14" s="18" t="n"/>
      <c r="G14" s="18" t="n"/>
    </row>
    <row r="15">
      <c r="A15" s="22" t="inlineStr">
        <is>
          <t>Policies Compliant</t>
        </is>
      </c>
      <c r="B15" s="23">
        <f>COUNTIF('Policy Compliance'!D5:D54,"Compliant")</f>
        <v/>
      </c>
      <c r="C15" s="18" t="n"/>
      <c r="D15" s="18" t="n"/>
      <c r="E15" s="18" t="n"/>
      <c r="F15" s="18" t="n"/>
      <c r="G15" s="18" t="n"/>
    </row>
    <row r="16">
      <c r="A16" s="22" t="inlineStr">
        <is>
          <t>Policies Partially Compliant</t>
        </is>
      </c>
      <c r="B16" s="23">
        <f>COUNTIF('Policy Compliance'!D5:D54,"Partial")</f>
        <v/>
      </c>
      <c r="C16" s="18" t="n"/>
      <c r="D16" s="18" t="n"/>
      <c r="E16" s="18" t="n"/>
      <c r="F16" s="18" t="n"/>
      <c r="G16" s="18" t="n"/>
    </row>
    <row r="17">
      <c r="A17" s="22" t="inlineStr">
        <is>
          <t>Policies Non-Compliant</t>
        </is>
      </c>
      <c r="B17" s="23">
        <f>COUNTIF('Policy Compliance'!D5:D54,"Non-Compliant")</f>
        <v/>
      </c>
      <c r="C17" s="18" t="n"/>
      <c r="D17" s="18" t="n"/>
      <c r="E17" s="18" t="n"/>
      <c r="F17" s="18" t="n"/>
      <c r="G17" s="18" t="n"/>
    </row>
    <row r="18">
      <c r="A18" s="22" t="inlineStr">
        <is>
          <t>Policies Not Yet Assessed</t>
        </is>
      </c>
      <c r="B18" s="23">
        <f>COUNTIF('Policy Compliance'!D5:D54,"Not Assessed")</f>
        <v/>
      </c>
      <c r="C18" s="18" t="n"/>
      <c r="D18" s="18" t="n"/>
      <c r="E18" s="18" t="n"/>
      <c r="F18" s="18" t="n"/>
      <c r="G18" s="18" t="n"/>
    </row>
    <row r="19">
      <c r="A19" s="22" t="inlineStr">
        <is>
          <t>Controls Fully Implemented</t>
        </is>
      </c>
      <c r="B19" s="23">
        <f>COUNTIF('Control Compliance'!D5:D54,"Fully Implemented")</f>
        <v/>
      </c>
      <c r="C19" s="18" t="n"/>
      <c r="D19" s="18" t="n"/>
      <c r="E19" s="18" t="n"/>
      <c r="F19" s="18" t="n"/>
      <c r="G19" s="18" t="n"/>
    </row>
    <row r="20">
      <c r="A20" s="22" t="inlineStr">
        <is>
          <t>Controls Partially Implemented</t>
        </is>
      </c>
      <c r="B20" s="23">
        <f>COUNTIF('Control Compliance'!D5:D54,"Partially Implemented")</f>
        <v/>
      </c>
      <c r="C20" s="18" t="n"/>
      <c r="D20" s="18" t="n"/>
      <c r="E20" s="18" t="n"/>
      <c r="F20" s="18" t="n"/>
      <c r="G20" s="18" t="n"/>
    </row>
    <row r="21">
      <c r="A21" s="22" t="inlineStr">
        <is>
          <t>Controls Not Implemented</t>
        </is>
      </c>
      <c r="B21" s="23">
        <f>COUNTIF('Control Compliance'!D5:D54,"Not Implemented")</f>
        <v/>
      </c>
      <c r="C21" s="18" t="n"/>
      <c r="D21" s="18" t="n"/>
      <c r="E21" s="18" t="n"/>
      <c r="F21" s="18" t="n"/>
      <c r="G21" s="18" t="n"/>
    </row>
    <row r="22">
      <c r="A22" s="22" t="inlineStr">
        <is>
          <t>Total Departments Assessed</t>
        </is>
      </c>
      <c r="B22" s="23">
        <f>COUNTA('Department Assessment'!A5:A54)</f>
        <v/>
      </c>
      <c r="C22" s="18" t="n"/>
      <c r="D22" s="18" t="n"/>
      <c r="E22" s="18" t="n"/>
      <c r="F22" s="18" t="n"/>
      <c r="G22" s="18" t="n"/>
    </row>
    <row r="23">
      <c r="A23" s="22" t="inlineStr">
        <is>
          <t>Departments Rated Green (Compliant)</t>
        </is>
      </c>
      <c r="B23" s="23">
        <f>COUNTIF('Department Assessment'!I5:I54,"Green")</f>
        <v/>
      </c>
      <c r="C23" s="18" t="n"/>
      <c r="D23" s="18" t="n"/>
      <c r="E23" s="18" t="n"/>
      <c r="F23" s="18" t="n"/>
      <c r="G23" s="18" t="n"/>
    </row>
    <row r="24">
      <c r="A24" s="22" t="inlineStr">
        <is>
          <t>Departments Rated Amber (Partial)</t>
        </is>
      </c>
      <c r="B24" s="23">
        <f>COUNTIF('Department Assessment'!I5:I54,"Amber")</f>
        <v/>
      </c>
      <c r="C24" s="18" t="n"/>
      <c r="D24" s="18" t="n"/>
      <c r="E24" s="18" t="n"/>
      <c r="F24" s="18" t="n"/>
      <c r="G24" s="18" t="n"/>
    </row>
    <row r="25">
      <c r="A25" s="22" t="inlineStr">
        <is>
          <t>Departments Rated Red (Non-Compliant)</t>
        </is>
      </c>
      <c r="B25" s="23">
        <f>COUNTIF('Department Assessment'!I5:I54,"Red")</f>
        <v/>
      </c>
      <c r="C25" s="18" t="n"/>
      <c r="D25" s="18" t="n"/>
      <c r="E25" s="18" t="n"/>
      <c r="F25" s="18" t="n"/>
      <c r="G25" s="18" t="n"/>
    </row>
    <row r="26">
      <c r="A26" s="22" t="inlineStr">
        <is>
          <t>Total Non-Conformances</t>
        </is>
      </c>
      <c r="B26" s="23">
        <f>COUNTA('NonCompliance Register'!B5:B104)</f>
        <v/>
      </c>
      <c r="C26" s="18" t="n"/>
      <c r="D26" s="18" t="n"/>
      <c r="E26" s="18" t="n"/>
      <c r="F26" s="18" t="n"/>
      <c r="G26" s="18" t="n"/>
    </row>
    <row r="27">
      <c r="A27" s="22" t="inlineStr">
        <is>
          <t>Critical Non-Conformances Open</t>
        </is>
      </c>
      <c r="B27" s="23">
        <f>COUNTIFS('NonCompliance Register'!G5:G104,"Critical",'NonCompliance Register'!K5:K104,"Open")</f>
        <v/>
      </c>
      <c r="C27" s="18" t="n"/>
      <c r="D27" s="18" t="n"/>
      <c r="E27" s="18" t="n"/>
      <c r="F27" s="18" t="n"/>
      <c r="G27" s="18" t="n"/>
    </row>
    <row r="28">
      <c r="A28" s="22" t="inlineStr">
        <is>
          <t>High Severity NCs Open</t>
        </is>
      </c>
      <c r="B28" s="23">
        <f>COUNTIFS('NonCompliance Register'!G5:G104,"High",'NonCompliance Register'!K5:K104,"Open")</f>
        <v/>
      </c>
      <c r="C28" s="18" t="n"/>
      <c r="D28" s="18" t="n"/>
      <c r="E28" s="18" t="n"/>
      <c r="F28" s="18" t="n"/>
      <c r="G28" s="18" t="n"/>
    </row>
    <row r="29">
      <c r="A29" s="22" t="inlineStr">
        <is>
          <t>NCs Closed (Remediated)</t>
        </is>
      </c>
      <c r="B29" s="23">
        <f>COUNTIF('NonCompliance Register'!K5:K104,"Closed")</f>
        <v/>
      </c>
      <c r="C29" s="18" t="n"/>
      <c r="D29" s="18" t="n"/>
      <c r="E29" s="18" t="n"/>
      <c r="F29" s="18" t="n"/>
      <c r="G29" s="18" t="n"/>
    </row>
    <row r="30">
      <c r="A30" s="22" t="inlineStr">
        <is>
          <t>AUP Compliance — Compliant Departments</t>
        </is>
      </c>
      <c r="B30" s="23">
        <f>COUNTIF('Department Assessment'!D5:D54,"Compliant")</f>
        <v/>
      </c>
      <c r="C30" s="18" t="n"/>
      <c r="D30" s="18" t="n"/>
      <c r="E30" s="18" t="n"/>
      <c r="F30" s="18" t="n"/>
      <c r="G30" s="18" t="n"/>
    </row>
    <row r="31">
      <c r="A31" s="22" t="inlineStr">
        <is>
          <t>Access Control Compliance — Compliant Depts</t>
        </is>
      </c>
      <c r="B31" s="23">
        <f>COUNTIF('Department Assessment'!E5:E54,"Compliant")</f>
        <v/>
      </c>
      <c r="C31" s="18" t="n"/>
      <c r="D31" s="18" t="n"/>
      <c r="E31" s="18" t="n"/>
      <c r="F31" s="18" t="n"/>
      <c r="G31" s="18" t="n"/>
    </row>
    <row r="32">
      <c r="A32" s="22" t="inlineStr">
        <is>
          <t>Training Compliance — Compliant Departments</t>
        </is>
      </c>
      <c r="B32" s="23">
        <f>COUNTIF('Department Assessment'!G5:G54,"Compliant")</f>
        <v/>
      </c>
      <c r="C32" s="18" t="n"/>
      <c r="D32" s="18" t="n"/>
      <c r="E32" s="18" t="n"/>
      <c r="F32" s="18" t="n"/>
      <c r="G32" s="18" t="n"/>
    </row>
    <row r="33">
      <c r="A33" s="22" t="inlineStr">
        <is>
          <t>Incident Reporting Compliance — Compliant Depts</t>
        </is>
      </c>
      <c r="B33" s="23">
        <f>COUNTIF('Department Assessment'!F5:F54,"Compliant")</f>
        <v/>
      </c>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7">
      <c r="A37" s="28" t="inlineStr">
        <is>
          <t>TABLE 3: CRITICAL FINDINGS REQUIRING IMMEDIATE ATTENTION</t>
        </is>
      </c>
      <c r="B37" s="18" t="n"/>
      <c r="C37" s="18" t="n"/>
      <c r="D37" s="18" t="n"/>
      <c r="E37" s="18" t="n"/>
      <c r="F37" s="18" t="n"/>
      <c r="G37" s="18"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Policy Compliance</t>
        </is>
      </c>
      <c r="B39" s="29" t="inlineStr">
        <is>
          <t>Non-compliant policies</t>
        </is>
      </c>
      <c r="C39" s="30">
        <f>COUNTIF('Policy Compliance'!D5:D54,"Non-Compliant")</f>
        <v/>
      </c>
      <c r="D39" s="29" t="inlineStr">
        <is>
          <t>Critical</t>
        </is>
      </c>
      <c r="E39" s="29" t="inlineStr">
        <is>
          <t>Immediate policy review</t>
        </is>
      </c>
      <c r="F39" s="29" t="n"/>
      <c r="G39" s="29" t="n"/>
    </row>
    <row r="40">
      <c r="A40" s="29" t="inlineStr">
        <is>
          <t>Policy Compliance</t>
        </is>
      </c>
      <c r="B40" s="29" t="inlineStr">
        <is>
          <t>Policies not yet assessed</t>
        </is>
      </c>
      <c r="C40" s="30">
        <f>COUNTIF('Policy Compliance'!D5:D54,"Not Assessed")</f>
        <v/>
      </c>
      <c r="D40" s="29" t="inlineStr">
        <is>
          <t>High</t>
        </is>
      </c>
      <c r="E40" s="29" t="inlineStr">
        <is>
          <t>Schedule assessment</t>
        </is>
      </c>
      <c r="F40" s="29" t="n"/>
      <c r="G40" s="29" t="n"/>
    </row>
    <row r="41">
      <c r="A41" s="29" t="inlineStr">
        <is>
          <t>Control Implementation</t>
        </is>
      </c>
      <c r="B41" s="29" t="inlineStr">
        <is>
          <t>Controls not implemented</t>
        </is>
      </c>
      <c r="C41" s="30">
        <f>COUNTIF('Control Compliance'!D5:D54,"Not Implemented")</f>
        <v/>
      </c>
      <c r="D41" s="29" t="inlineStr">
        <is>
          <t>Critical</t>
        </is>
      </c>
      <c r="E41" s="29" t="inlineStr">
        <is>
          <t>Risk acceptance or implement</t>
        </is>
      </c>
      <c r="F41" s="29" t="n"/>
      <c r="G41" s="29" t="n"/>
    </row>
    <row r="42">
      <c r="A42" s="29" t="inlineStr">
        <is>
          <t>Departmental Compliance</t>
        </is>
      </c>
      <c r="B42" s="29" t="inlineStr">
        <is>
          <t>Departments rated Red</t>
        </is>
      </c>
      <c r="C42" s="30">
        <f>COUNTIF('Department Assessment'!I5:I54,"Red")</f>
        <v/>
      </c>
      <c r="D42" s="29" t="inlineStr">
        <is>
          <t>Critical</t>
        </is>
      </c>
      <c r="E42" s="29" t="inlineStr">
        <is>
          <t>Management intervention</t>
        </is>
      </c>
      <c r="F42" s="29" t="n"/>
      <c r="G42" s="29" t="n"/>
    </row>
    <row r="43">
      <c r="A43" s="29" t="inlineStr">
        <is>
          <t>Non-Compliance</t>
        </is>
      </c>
      <c r="B43" s="29" t="inlineStr">
        <is>
          <t>Critical NCs open</t>
        </is>
      </c>
      <c r="C43" s="30">
        <f>COUNTIFS('NonCompliance Register'!G5:G104,"Critical",'NonCompliance Register'!K5:K104,"Open")</f>
        <v/>
      </c>
      <c r="D43" s="29" t="inlineStr">
        <is>
          <t>Critical</t>
        </is>
      </c>
      <c r="E43" s="29" t="inlineStr">
        <is>
          <t>Immediate corrective action</t>
        </is>
      </c>
      <c r="F43" s="29" t="n"/>
      <c r="G43" s="29" t="n"/>
    </row>
    <row r="44">
      <c r="A44" s="29" t="inlineStr">
        <is>
          <t>Non-Compliance</t>
        </is>
      </c>
      <c r="B44" s="29" t="inlineStr">
        <is>
          <t>High severity NCs open</t>
        </is>
      </c>
      <c r="C44" s="30">
        <f>COUNTIFS('NonCompliance Register'!G5:G104,"High",'NonCompliance Register'!K5:K104,"Open")</f>
        <v/>
      </c>
      <c r="D44" s="29" t="inlineStr">
        <is>
          <t>High</t>
        </is>
      </c>
      <c r="E44" s="29" t="inlineStr">
        <is>
          <t>Assign owner and date</t>
        </is>
      </c>
      <c r="F44" s="29" t="n"/>
      <c r="G44" s="29" t="n"/>
    </row>
    <row r="45">
      <c r="A45" s="29" t="inlineStr">
        <is>
          <t>Access Control</t>
        </is>
      </c>
      <c r="B45" s="29" t="inlineStr">
        <is>
          <t>AUP non-compliance by departments</t>
        </is>
      </c>
      <c r="C45" s="30">
        <f>COUNTIF('Department Assessment'!D5:D54,"Non-Compliant")</f>
        <v/>
      </c>
      <c r="D45" s="29" t="inlineStr">
        <is>
          <t>High</t>
        </is>
      </c>
      <c r="E45" s="29" t="inlineStr">
        <is>
          <t>Enforce AUP compliance</t>
        </is>
      </c>
      <c r="F45" s="29" t="n"/>
      <c r="G45" s="29" t="n"/>
    </row>
    <row r="46">
      <c r="A46" s="29" t="inlineStr">
        <is>
          <t>Training</t>
        </is>
      </c>
      <c r="B46" s="29" t="inlineStr">
        <is>
          <t>Departments with training non-compliance</t>
        </is>
      </c>
      <c r="C46" s="30">
        <f>COUNTIF('Department Assessment'!G5:G54,"Non-Compliant")</f>
        <v/>
      </c>
      <c r="D46" s="29" t="inlineStr">
        <is>
          <t>Medium</t>
        </is>
      </c>
      <c r="E46" s="29" t="inlineStr">
        <is>
          <t>Schedule training programme</t>
        </is>
      </c>
      <c r="F46" s="29" t="n"/>
      <c r="G46" s="29" t="n"/>
    </row>
    <row r="47">
      <c r="A47" s="31" t="n"/>
      <c r="B47" s="31" t="n"/>
      <c r="C47" s="31" t="n"/>
      <c r="D47" s="31" t="n"/>
      <c r="E47" s="31" t="n"/>
      <c r="F47" s="31" t="n"/>
      <c r="G47" s="31" t="n"/>
    </row>
    <row r="48">
      <c r="A48" s="31" t="n"/>
      <c r="B48" s="31" t="n"/>
      <c r="C48" s="31" t="n"/>
      <c r="D48" s="31" t="n"/>
      <c r="E48" s="31" t="n"/>
      <c r="F48" s="31" t="n"/>
      <c r="G48" s="31"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A.5.36: Compliance with Policies, Rules and Standards</t>
        </is>
      </c>
      <c r="B2" s="6" t="n"/>
      <c r="C2" s="6" t="n"/>
      <c r="D2" s="6" t="n"/>
      <c r="E2" s="6" t="n"/>
    </row>
    <row r="3">
      <c r="A3" s="34" t="inlineStr">
        <is>
          <t>ASSESSMENT SUMMARY</t>
        </is>
      </c>
      <c r="B3" s="6" t="n"/>
      <c r="C3" s="6" t="n"/>
      <c r="D3" s="6" t="n"/>
      <c r="E3" s="6" t="n"/>
    </row>
    <row r="4">
      <c r="A4" s="3" t="inlineStr">
        <is>
          <t>Document:</t>
        </is>
      </c>
      <c r="B4" s="6" t="inlineStr">
        <is>
          <t>ISMS-IMP-A.5.35-36.S2 - Compliance Assessment</t>
        </is>
      </c>
      <c r="C4" s="6" t="n"/>
      <c r="D4" s="6" t="n"/>
      <c r="E4" s="6" t="n"/>
    </row>
    <row r="5">
      <c r="A5" s="3" t="inlineStr">
        <is>
          <t>Assessment Period:</t>
        </is>
      </c>
      <c r="B5" s="35" t="inlineStr"/>
      <c r="C5" s="6" t="n"/>
      <c r="D5" s="6" t="n"/>
      <c r="E5" s="6" t="n"/>
    </row>
    <row r="6">
      <c r="A6" s="3" t="inlineStr">
        <is>
          <t>Overall Compliance Rating:</t>
        </is>
      </c>
      <c r="B6" s="36">
        <f>IFERROR(AVERAGE('Summary Dashboard'!G6:G9),"")</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ISMS-IMP-A.5.35-36.S2 — Compliance Assessment</dc:title>
  <dc:description xmlns:dc="http://purl.org/dc/elements/1.1/">ISMS Implementation Workbook — ISMS-IMP-A.5.35-36.S2</dc:description>
  <dc:subject xmlns:dc="http://purl.org/dc/elements/1.1/">ISO/IEC 27001:2022 — Control A.5.36: Compliance with Policies, Rules and Standards</dc:subject>
  <dcterms:created xmlns:dcterms="http://purl.org/dc/terms/" xmlns:xsi="http://www.w3.org/2001/XMLSchema-instance" xsi:type="dcterms:W3CDTF">2026-03-07T11:27:39Z</dcterms:created>
  <dcterms:modified xmlns:dcterms="http://purl.org/dc/terms/" xmlns:xsi="http://www.w3.org/2001/XMLSchema-instance" xsi:type="dcterms:W3CDTF">2026-03-07T11:27:39Z</dcterms:modified>
</cp:coreProperties>
</file>