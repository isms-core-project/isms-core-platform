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Findings Register" sheetId="2" state="visible" r:id="rId2"/>
    <sheet xmlns:r="http://schemas.openxmlformats.org/officeDocument/2006/relationships" name="Remediation Actions" sheetId="3" state="visible" r:id="rId3"/>
    <sheet xmlns:r="http://schemas.openxmlformats.org/officeDocument/2006/relationships" name="Root Cause Analysis" sheetId="4" state="visible" r:id="rId4"/>
    <sheet xmlns:r="http://schemas.openxmlformats.org/officeDocument/2006/relationships" name="Verification Log" sheetId="5" state="visible" r:id="rId5"/>
    <sheet xmlns:r="http://schemas.openxmlformats.org/officeDocument/2006/relationships" name="Trend Analysi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i val="1"/>
      <color rgb="00003366"/>
      <sz val="10"/>
    </font>
    <font>
      <name val="Calibri"/>
      <b val="1"/>
      <color rgb="00FFFFFF"/>
      <sz val="11"/>
    </font>
    <font>
      <name val="Calibri"/>
      <b val="1"/>
      <color rgb="00000000"/>
      <sz val="10"/>
    </font>
    <font>
      <name val="Calibri"/>
      <color rgb="00000000"/>
      <sz val="1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FFFFFF"/>
        <bgColor rgb="00FFFFFF"/>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1" borderId="1" pivotButton="0" quotePrefix="0" xfId="0"/>
    <xf numFmtId="0" fontId="6" fillId="8" borderId="1" applyAlignment="1" pivotButton="0" quotePrefix="0" xfId="0">
      <alignment horizontal="center" vertical="center" wrapText="1"/>
    </xf>
    <xf numFmtId="0" fontId="1" fillId="8" borderId="2" applyAlignment="1" pivotButton="0" quotePrefix="0" xfId="0">
      <alignment horizontal="center" vertical="center" wrapText="1"/>
    </xf>
    <xf numFmtId="0" fontId="0" fillId="0" borderId="2" pivotButton="0" quotePrefix="0" xfId="0"/>
    <xf numFmtId="0" fontId="7" fillId="0" borderId="0" applyAlignment="1" pivotButton="0" quotePrefix="0" xfId="0">
      <alignment horizontal="left" vertical="center"/>
    </xf>
    <xf numFmtId="0" fontId="8" fillId="8" borderId="2" applyAlignment="1" pivotButton="0" quotePrefix="0" xfId="0">
      <alignment horizontal="left" vertical="center"/>
    </xf>
    <xf numFmtId="0" fontId="9" fillId="9" borderId="2" applyAlignment="1" pivotButton="0" quotePrefix="0" xfId="0">
      <alignment horizontal="center" vertical="center"/>
    </xf>
    <xf numFmtId="0" fontId="10" fillId="12" borderId="2" applyAlignment="1" pivotButton="0" quotePrefix="0" xfId="0">
      <alignment horizontal="left" vertical="center"/>
    </xf>
    <xf numFmtId="0" fontId="10" fillId="12" borderId="2" applyAlignment="1" pivotButton="0" quotePrefix="0" xfId="0">
      <alignment horizontal="center" vertical="center"/>
    </xf>
    <xf numFmtId="164" fontId="10" fillId="12" borderId="2" applyAlignment="1" pivotButton="0" quotePrefix="0" xfId="0">
      <alignment horizontal="center" vertical="center"/>
    </xf>
    <xf numFmtId="0" fontId="9" fillId="9" borderId="2" applyAlignment="1" pivotButton="0" quotePrefix="0" xfId="0">
      <alignment horizontal="left" vertical="center"/>
    </xf>
    <xf numFmtId="164" fontId="9" fillId="9" borderId="2" applyAlignment="1" pivotButton="0" quotePrefix="0" xfId="0">
      <alignment horizontal="center" vertical="center"/>
    </xf>
    <xf numFmtId="0" fontId="0" fillId="12" borderId="2" pivotButton="0" quotePrefix="0" xfId="0"/>
    <xf numFmtId="0" fontId="8" fillId="13" borderId="2" applyAlignment="1" pivotButton="0" quotePrefix="0" xfId="0">
      <alignment horizontal="left" vertical="center"/>
    </xf>
    <xf numFmtId="0" fontId="10" fillId="11" borderId="2" applyAlignment="1" pivotButton="0" quotePrefix="0" xfId="0">
      <alignment horizontal="left" vertical="center"/>
    </xf>
    <xf numFmtId="0" fontId="10" fillId="11" borderId="2" applyAlignment="1" pivotButton="0" quotePrefix="0" xfId="0">
      <alignment horizontal="center" vertical="center"/>
    </xf>
    <xf numFmtId="0" fontId="0" fillId="11" borderId="2" pivotButton="0" quotePrefix="0" xfId="0"/>
    <xf numFmtId="0" fontId="1" fillId="8" borderId="1" applyAlignment="1" pivotButton="0" quotePrefix="0" xfId="0">
      <alignment horizontal="center" vertical="center" wrapText="1"/>
    </xf>
    <xf numFmtId="0" fontId="7" fillId="0" borderId="1" applyAlignment="1" pivotButton="0" quotePrefix="0" xfId="0">
      <alignment horizontal="center" vertical="center"/>
    </xf>
    <xf numFmtId="0" fontId="8" fillId="14" borderId="1" pivotButton="0" quotePrefix="0" xfId="0"/>
    <xf numFmtId="164" fontId="0" fillId="0" borderId="1" pivotButton="0" quotePrefix="0" xfId="0"/>
    <xf numFmtId="0" fontId="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ISMS-IMP-A.5.35-36.S3  -  Findings and Remediation Management
ISO/IEC 27001:2022 - Control A.5.35-36: Compliance &amp; Review</t>
        </is>
      </c>
    </row>
    <row r="3">
      <c r="A3" s="2" t="inlineStr">
        <is>
          <t>Document Information</t>
        </is>
      </c>
    </row>
    <row r="4">
      <c r="A4" s="3" t="inlineStr">
        <is>
          <t>Document ID</t>
        </is>
      </c>
      <c r="B4" t="inlineStr">
        <is>
          <t>ISMS-IMP-A.5.35-36.S3</t>
        </is>
      </c>
    </row>
    <row r="5">
      <c r="A5" s="3" t="inlineStr">
        <is>
          <t>Workbook Title</t>
        </is>
      </c>
      <c r="B5" t="inlineStr">
        <is>
          <t>Findings and Remediation Management</t>
        </is>
      </c>
    </row>
    <row r="6">
      <c r="A6" s="3" t="inlineStr">
        <is>
          <t>Control Reference</t>
        </is>
      </c>
      <c r="B6" t="inlineStr">
        <is>
          <t>ISO/IEC 27001:2022 - Control A.5.35-36: Compliance &amp; Review</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Findings Register — log all compliance findings with severity, source, and date.</t>
        </is>
      </c>
    </row>
    <row r="14">
      <c r="A14" t="inlineStr">
        <is>
          <t>2. Complete Remediation Actions — assign owners, resources, and target dates to each finding.</t>
        </is>
      </c>
    </row>
    <row r="15">
      <c r="A15" t="inlineStr">
        <is>
          <t>3. Complete Root Cause Analysis — identify systemic causes to prevent recurrence.</t>
        </is>
      </c>
    </row>
    <row r="16">
      <c r="A16" t="inlineStr">
        <is>
          <t>4. Complete Verification Log — record evidence that each remediation action is completed.</t>
        </is>
      </c>
    </row>
    <row r="17">
      <c r="A17" t="inlineStr">
        <is>
          <t>5. Review Trend Analysis — identify recurring finding types requiring systemic improvement.</t>
        </is>
      </c>
    </row>
    <row r="18">
      <c r="A18" t="inlineStr">
        <is>
          <t>6. Maintain Evidence Records with finding reports and remediation evidence.</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4" customWidth="1" min="1" max="1"/>
    <col width="18" customWidth="1" min="2" max="2"/>
    <col width="16" customWidth="1" min="3" max="3"/>
    <col width="14" customWidth="1" min="4" max="4"/>
    <col width="16" customWidth="1" min="5" max="5"/>
    <col width="14" customWidth="1" min="6" max="6"/>
    <col width="18" customWidth="1" min="7" max="7"/>
    <col width="50" customWidth="1" min="8" max="8"/>
    <col width="35" customWidth="1" min="9" max="9"/>
    <col width="40" customWidth="1" min="10" max="10"/>
    <col width="22" customWidth="1" min="11" max="11"/>
    <col width="14" customWidth="1" min="12" max="12"/>
    <col width="16" customWidth="1" min="13" max="13"/>
    <col width="12" customWidth="1" min="14" max="14"/>
  </cols>
  <sheetData>
    <row r="1" ht="35" customHeight="1">
      <c r="A1" s="11" t="inlineStr">
        <is>
          <t>CONSOLIDATED FINDINGS REGISTER</t>
        </is>
      </c>
    </row>
    <row r="2">
      <c r="A2" s="12" t="inlineStr">
        <is>
          <t>Consolidated register of all findings from independent reviews and compliance assessments — track severity, owner, and status through to closure.</t>
        </is>
      </c>
    </row>
    <row r="3">
      <c r="A3" s="13" t="inlineStr">
        <is>
          <t>Finding ID</t>
        </is>
      </c>
      <c r="B3" s="13" t="inlineStr">
        <is>
          <t>Source</t>
        </is>
      </c>
      <c r="C3" s="13" t="inlineStr">
        <is>
          <t>Source Ref</t>
        </is>
      </c>
      <c r="D3" s="13" t="inlineStr">
        <is>
          <t>Finding Date</t>
        </is>
      </c>
      <c r="E3" s="13" t="inlineStr">
        <is>
          <t>Finding Type</t>
        </is>
      </c>
      <c r="F3" s="13" t="inlineStr">
        <is>
          <t>Severity</t>
        </is>
      </c>
      <c r="G3" s="13" t="inlineStr">
        <is>
          <t>Control Reference</t>
        </is>
      </c>
      <c r="H3" s="13" t="inlineStr">
        <is>
          <t>Finding Description</t>
        </is>
      </c>
      <c r="I3" s="13" t="inlineStr">
        <is>
          <t>Root Cause</t>
        </is>
      </c>
      <c r="J3" s="13" t="inlineStr">
        <is>
          <t>Recommendation</t>
        </is>
      </c>
      <c r="K3" s="13" t="inlineStr">
        <is>
          <t>Owner</t>
        </is>
      </c>
      <c r="L3" s="13" t="inlineStr">
        <is>
          <t>Target Date</t>
        </is>
      </c>
      <c r="M3" s="13" t="inlineStr">
        <is>
          <t>Status</t>
        </is>
      </c>
      <c r="N3" s="13" t="inlineStr">
        <is>
          <t>Days Open</t>
        </is>
      </c>
    </row>
    <row r="4">
      <c r="A4" s="14" t="inlineStr">
        <is>
          <t>FND-001</t>
        </is>
      </c>
      <c r="B4" s="14" t="inlineStr">
        <is>
          <t>Independent Review</t>
        </is>
      </c>
      <c r="C4" s="14" t="inlineStr">
        <is>
          <t>REV-2026-001</t>
        </is>
      </c>
      <c r="D4" s="14" t="inlineStr">
        <is>
          <t>15.03.2026</t>
        </is>
      </c>
      <c r="E4" s="14" t="inlineStr">
        <is>
          <t>Non-Conformity</t>
        </is>
      </c>
      <c r="F4" s="14" t="inlineStr">
        <is>
          <t>Major</t>
        </is>
      </c>
      <c r="G4" s="14" t="inlineStr">
        <is>
          <t>A.5.15, A.8.5</t>
        </is>
      </c>
      <c r="H4" s="14" t="inlineStr">
        <is>
          <t>MFA not enforced for privileged accounts in cloud environment</t>
        </is>
      </c>
      <c r="I4" s="14" t="inlineStr">
        <is>
          <t>Policy gap — MFA policy not updated following cloud migration</t>
        </is>
      </c>
      <c r="J4" s="14" t="inlineStr">
        <is>
          <t>Enforce MFA for all admin accounts in Azure AD within 30 days</t>
        </is>
      </c>
      <c r="K4" s="14" t="inlineStr">
        <is>
          <t>IT Operations Manager</t>
        </is>
      </c>
      <c r="L4" s="14" t="inlineStr">
        <is>
          <t>14.04.2026</t>
        </is>
      </c>
      <c r="M4" s="14" t="inlineStr">
        <is>
          <t>In Progress</t>
        </is>
      </c>
      <c r="N4" s="14" t="inlineStr"/>
    </row>
    <row r="5">
      <c r="A5" s="15" t="n"/>
      <c r="B5" s="15" t="n"/>
      <c r="C5" s="15" t="n"/>
      <c r="D5" s="15" t="n"/>
      <c r="E5" s="15" t="n"/>
      <c r="F5" s="15" t="n"/>
      <c r="G5" s="15" t="n"/>
      <c r="H5" s="15" t="n"/>
      <c r="I5" s="15" t="n"/>
      <c r="J5" s="15" t="n"/>
      <c r="K5" s="15" t="n"/>
      <c r="L5" s="15" t="n"/>
      <c r="M5" s="15" t="n"/>
      <c r="N5" s="16">
        <f>IF(AND(D5&lt;&gt;"",M5&lt;&gt;"Closed"),TODAY()-D5,"")</f>
        <v/>
      </c>
    </row>
    <row r="6">
      <c r="A6" s="15" t="n"/>
      <c r="B6" s="15" t="n"/>
      <c r="C6" s="15" t="n"/>
      <c r="D6" s="15" t="n"/>
      <c r="E6" s="15" t="n"/>
      <c r="F6" s="15" t="n"/>
      <c r="G6" s="15" t="n"/>
      <c r="H6" s="15" t="n"/>
      <c r="I6" s="15" t="n"/>
      <c r="J6" s="15" t="n"/>
      <c r="K6" s="15" t="n"/>
      <c r="L6" s="15" t="n"/>
      <c r="M6" s="15" t="n"/>
      <c r="N6" s="16">
        <f>IF(AND(D6&lt;&gt;"",M6&lt;&gt;"Closed"),TODAY()-D6,"")</f>
        <v/>
      </c>
    </row>
    <row r="7">
      <c r="A7" s="15" t="n"/>
      <c r="B7" s="15" t="n"/>
      <c r="C7" s="15" t="n"/>
      <c r="D7" s="15" t="n"/>
      <c r="E7" s="15" t="n"/>
      <c r="F7" s="15" t="n"/>
      <c r="G7" s="15" t="n"/>
      <c r="H7" s="15" t="n"/>
      <c r="I7" s="15" t="n"/>
      <c r="J7" s="15" t="n"/>
      <c r="K7" s="15" t="n"/>
      <c r="L7" s="15" t="n"/>
      <c r="M7" s="15" t="n"/>
      <c r="N7" s="16">
        <f>IF(AND(D7&lt;&gt;"",M7&lt;&gt;"Closed"),TODAY()-D7,"")</f>
        <v/>
      </c>
    </row>
    <row r="8">
      <c r="A8" s="15" t="n"/>
      <c r="B8" s="15" t="n"/>
      <c r="C8" s="15" t="n"/>
      <c r="D8" s="15" t="n"/>
      <c r="E8" s="15" t="n"/>
      <c r="F8" s="15" t="n"/>
      <c r="G8" s="15" t="n"/>
      <c r="H8" s="15" t="n"/>
      <c r="I8" s="15" t="n"/>
      <c r="J8" s="15" t="n"/>
      <c r="K8" s="15" t="n"/>
      <c r="L8" s="15" t="n"/>
      <c r="M8" s="15" t="n"/>
      <c r="N8" s="16">
        <f>IF(AND(D8&lt;&gt;"",M8&lt;&gt;"Closed"),TODAY()-D8,"")</f>
        <v/>
      </c>
    </row>
    <row r="9">
      <c r="A9" s="15" t="n"/>
      <c r="B9" s="15" t="n"/>
      <c r="C9" s="15" t="n"/>
      <c r="D9" s="15" t="n"/>
      <c r="E9" s="15" t="n"/>
      <c r="F9" s="15" t="n"/>
      <c r="G9" s="15" t="n"/>
      <c r="H9" s="15" t="n"/>
      <c r="I9" s="15" t="n"/>
      <c r="J9" s="15" t="n"/>
      <c r="K9" s="15" t="n"/>
      <c r="L9" s="15" t="n"/>
      <c r="M9" s="15" t="n"/>
      <c r="N9" s="16">
        <f>IF(AND(D9&lt;&gt;"",M9&lt;&gt;"Closed"),TODAY()-D9,"")</f>
        <v/>
      </c>
    </row>
    <row r="10">
      <c r="A10" s="15" t="n"/>
      <c r="B10" s="15" t="n"/>
      <c r="C10" s="15" t="n"/>
      <c r="D10" s="15" t="n"/>
      <c r="E10" s="15" t="n"/>
      <c r="F10" s="15" t="n"/>
      <c r="G10" s="15" t="n"/>
      <c r="H10" s="15" t="n"/>
      <c r="I10" s="15" t="n"/>
      <c r="J10" s="15" t="n"/>
      <c r="K10" s="15" t="n"/>
      <c r="L10" s="15" t="n"/>
      <c r="M10" s="15" t="n"/>
      <c r="N10" s="16">
        <f>IF(AND(D10&lt;&gt;"",M10&lt;&gt;"Closed"),TODAY()-D10,"")</f>
        <v/>
      </c>
    </row>
    <row r="11">
      <c r="A11" s="15" t="n"/>
      <c r="B11" s="15" t="n"/>
      <c r="C11" s="15" t="n"/>
      <c r="D11" s="15" t="n"/>
      <c r="E11" s="15" t="n"/>
      <c r="F11" s="15" t="n"/>
      <c r="G11" s="15" t="n"/>
      <c r="H11" s="15" t="n"/>
      <c r="I11" s="15" t="n"/>
      <c r="J11" s="15" t="n"/>
      <c r="K11" s="15" t="n"/>
      <c r="L11" s="15" t="n"/>
      <c r="M11" s="15" t="n"/>
      <c r="N11" s="16">
        <f>IF(AND(D11&lt;&gt;"",M11&lt;&gt;"Closed"),TODAY()-D11,"")</f>
        <v/>
      </c>
    </row>
    <row r="12">
      <c r="A12" s="15" t="n"/>
      <c r="B12" s="15" t="n"/>
      <c r="C12" s="15" t="n"/>
      <c r="D12" s="15" t="n"/>
      <c r="E12" s="15" t="n"/>
      <c r="F12" s="15" t="n"/>
      <c r="G12" s="15" t="n"/>
      <c r="H12" s="15" t="n"/>
      <c r="I12" s="15" t="n"/>
      <c r="J12" s="15" t="n"/>
      <c r="K12" s="15" t="n"/>
      <c r="L12" s="15" t="n"/>
      <c r="M12" s="15" t="n"/>
      <c r="N12" s="16">
        <f>IF(AND(D12&lt;&gt;"",M12&lt;&gt;"Closed"),TODAY()-D12,"")</f>
        <v/>
      </c>
    </row>
    <row r="13">
      <c r="A13" s="15" t="n"/>
      <c r="B13" s="15" t="n"/>
      <c r="C13" s="15" t="n"/>
      <c r="D13" s="15" t="n"/>
      <c r="E13" s="15" t="n"/>
      <c r="F13" s="15" t="n"/>
      <c r="G13" s="15" t="n"/>
      <c r="H13" s="15" t="n"/>
      <c r="I13" s="15" t="n"/>
      <c r="J13" s="15" t="n"/>
      <c r="K13" s="15" t="n"/>
      <c r="L13" s="15" t="n"/>
      <c r="M13" s="15" t="n"/>
      <c r="N13" s="16">
        <f>IF(AND(D13&lt;&gt;"",M13&lt;&gt;"Closed"),TODAY()-D13,"")</f>
        <v/>
      </c>
    </row>
    <row r="14">
      <c r="A14" s="15" t="n"/>
      <c r="B14" s="15" t="n"/>
      <c r="C14" s="15" t="n"/>
      <c r="D14" s="15" t="n"/>
      <c r="E14" s="15" t="n"/>
      <c r="F14" s="15" t="n"/>
      <c r="G14" s="15" t="n"/>
      <c r="H14" s="15" t="n"/>
      <c r="I14" s="15" t="n"/>
      <c r="J14" s="15" t="n"/>
      <c r="K14" s="15" t="n"/>
      <c r="L14" s="15" t="n"/>
      <c r="M14" s="15" t="n"/>
      <c r="N14" s="16">
        <f>IF(AND(D14&lt;&gt;"",M14&lt;&gt;"Closed"),TODAY()-D14,"")</f>
        <v/>
      </c>
    </row>
    <row r="15">
      <c r="A15" s="15" t="n"/>
      <c r="B15" s="15" t="n"/>
      <c r="C15" s="15" t="n"/>
      <c r="D15" s="15" t="n"/>
      <c r="E15" s="15" t="n"/>
      <c r="F15" s="15" t="n"/>
      <c r="G15" s="15" t="n"/>
      <c r="H15" s="15" t="n"/>
      <c r="I15" s="15" t="n"/>
      <c r="J15" s="15" t="n"/>
      <c r="K15" s="15" t="n"/>
      <c r="L15" s="15" t="n"/>
      <c r="M15" s="15" t="n"/>
      <c r="N15" s="16">
        <f>IF(AND(D15&lt;&gt;"",M15&lt;&gt;"Closed"),TODAY()-D15,"")</f>
        <v/>
      </c>
    </row>
    <row r="16">
      <c r="A16" s="15" t="n"/>
      <c r="B16" s="15" t="n"/>
      <c r="C16" s="15" t="n"/>
      <c r="D16" s="15" t="n"/>
      <c r="E16" s="15" t="n"/>
      <c r="F16" s="15" t="n"/>
      <c r="G16" s="15" t="n"/>
      <c r="H16" s="15" t="n"/>
      <c r="I16" s="15" t="n"/>
      <c r="J16" s="15" t="n"/>
      <c r="K16" s="15" t="n"/>
      <c r="L16" s="15" t="n"/>
      <c r="M16" s="15" t="n"/>
      <c r="N16" s="16">
        <f>IF(AND(D16&lt;&gt;"",M16&lt;&gt;"Closed"),TODAY()-D16,"")</f>
        <v/>
      </c>
    </row>
    <row r="17">
      <c r="A17" s="15" t="n"/>
      <c r="B17" s="15" t="n"/>
      <c r="C17" s="15" t="n"/>
      <c r="D17" s="15" t="n"/>
      <c r="E17" s="15" t="n"/>
      <c r="F17" s="15" t="n"/>
      <c r="G17" s="15" t="n"/>
      <c r="H17" s="15" t="n"/>
      <c r="I17" s="15" t="n"/>
      <c r="J17" s="15" t="n"/>
      <c r="K17" s="15" t="n"/>
      <c r="L17" s="15" t="n"/>
      <c r="M17" s="15" t="n"/>
      <c r="N17" s="16">
        <f>IF(AND(D17&lt;&gt;"",M17&lt;&gt;"Closed"),TODAY()-D17,"")</f>
        <v/>
      </c>
    </row>
    <row r="18">
      <c r="A18" s="15" t="n"/>
      <c r="B18" s="15" t="n"/>
      <c r="C18" s="15" t="n"/>
      <c r="D18" s="15" t="n"/>
      <c r="E18" s="15" t="n"/>
      <c r="F18" s="15" t="n"/>
      <c r="G18" s="15" t="n"/>
      <c r="H18" s="15" t="n"/>
      <c r="I18" s="15" t="n"/>
      <c r="J18" s="15" t="n"/>
      <c r="K18" s="15" t="n"/>
      <c r="L18" s="15" t="n"/>
      <c r="M18" s="15" t="n"/>
      <c r="N18" s="16">
        <f>IF(AND(D18&lt;&gt;"",M18&lt;&gt;"Closed"),TODAY()-D18,"")</f>
        <v/>
      </c>
    </row>
    <row r="19">
      <c r="A19" s="15" t="n"/>
      <c r="B19" s="15" t="n"/>
      <c r="C19" s="15" t="n"/>
      <c r="D19" s="15" t="n"/>
      <c r="E19" s="15" t="n"/>
      <c r="F19" s="15" t="n"/>
      <c r="G19" s="15" t="n"/>
      <c r="H19" s="15" t="n"/>
      <c r="I19" s="15" t="n"/>
      <c r="J19" s="15" t="n"/>
      <c r="K19" s="15" t="n"/>
      <c r="L19" s="15" t="n"/>
      <c r="M19" s="15" t="n"/>
      <c r="N19" s="16">
        <f>IF(AND(D19&lt;&gt;"",M19&lt;&gt;"Closed"),TODAY()-D19,"")</f>
        <v/>
      </c>
    </row>
    <row r="20">
      <c r="A20" s="15" t="n"/>
      <c r="B20" s="15" t="n"/>
      <c r="C20" s="15" t="n"/>
      <c r="D20" s="15" t="n"/>
      <c r="E20" s="15" t="n"/>
      <c r="F20" s="15" t="n"/>
      <c r="G20" s="15" t="n"/>
      <c r="H20" s="15" t="n"/>
      <c r="I20" s="15" t="n"/>
      <c r="J20" s="15" t="n"/>
      <c r="K20" s="15" t="n"/>
      <c r="L20" s="15" t="n"/>
      <c r="M20" s="15" t="n"/>
      <c r="N20" s="16">
        <f>IF(AND(D20&lt;&gt;"",M20&lt;&gt;"Closed"),TODAY()-D20,"")</f>
        <v/>
      </c>
    </row>
    <row r="21">
      <c r="A21" s="15" t="n"/>
      <c r="B21" s="15" t="n"/>
      <c r="C21" s="15" t="n"/>
      <c r="D21" s="15" t="n"/>
      <c r="E21" s="15" t="n"/>
      <c r="F21" s="15" t="n"/>
      <c r="G21" s="15" t="n"/>
      <c r="H21" s="15" t="n"/>
      <c r="I21" s="15" t="n"/>
      <c r="J21" s="15" t="n"/>
      <c r="K21" s="15" t="n"/>
      <c r="L21" s="15" t="n"/>
      <c r="M21" s="15" t="n"/>
      <c r="N21" s="16">
        <f>IF(AND(D21&lt;&gt;"",M21&lt;&gt;"Closed"),TODAY()-D21,"")</f>
        <v/>
      </c>
    </row>
    <row r="22">
      <c r="A22" s="15" t="n"/>
      <c r="B22" s="15" t="n"/>
      <c r="C22" s="15" t="n"/>
      <c r="D22" s="15" t="n"/>
      <c r="E22" s="15" t="n"/>
      <c r="F22" s="15" t="n"/>
      <c r="G22" s="15" t="n"/>
      <c r="H22" s="15" t="n"/>
      <c r="I22" s="15" t="n"/>
      <c r="J22" s="15" t="n"/>
      <c r="K22" s="15" t="n"/>
      <c r="L22" s="15" t="n"/>
      <c r="M22" s="15" t="n"/>
      <c r="N22" s="16">
        <f>IF(AND(D22&lt;&gt;"",M22&lt;&gt;"Closed"),TODAY()-D22,"")</f>
        <v/>
      </c>
    </row>
    <row r="23">
      <c r="A23" s="15" t="n"/>
      <c r="B23" s="15" t="n"/>
      <c r="C23" s="15" t="n"/>
      <c r="D23" s="15" t="n"/>
      <c r="E23" s="15" t="n"/>
      <c r="F23" s="15" t="n"/>
      <c r="G23" s="15" t="n"/>
      <c r="H23" s="15" t="n"/>
      <c r="I23" s="15" t="n"/>
      <c r="J23" s="15" t="n"/>
      <c r="K23" s="15" t="n"/>
      <c r="L23" s="15" t="n"/>
      <c r="M23" s="15" t="n"/>
      <c r="N23" s="16">
        <f>IF(AND(D23&lt;&gt;"",M23&lt;&gt;"Closed"),TODAY()-D23,"")</f>
        <v/>
      </c>
    </row>
    <row r="24">
      <c r="A24" s="15" t="n"/>
      <c r="B24" s="15" t="n"/>
      <c r="C24" s="15" t="n"/>
      <c r="D24" s="15" t="n"/>
      <c r="E24" s="15" t="n"/>
      <c r="F24" s="15" t="n"/>
      <c r="G24" s="15" t="n"/>
      <c r="H24" s="15" t="n"/>
      <c r="I24" s="15" t="n"/>
      <c r="J24" s="15" t="n"/>
      <c r="K24" s="15" t="n"/>
      <c r="L24" s="15" t="n"/>
      <c r="M24" s="15" t="n"/>
      <c r="N24" s="16">
        <f>IF(AND(D24&lt;&gt;"",M24&lt;&gt;"Closed"),TODAY()-D24,"")</f>
        <v/>
      </c>
    </row>
    <row r="25">
      <c r="A25" s="15" t="n"/>
      <c r="B25" s="15" t="n"/>
      <c r="C25" s="15" t="n"/>
      <c r="D25" s="15" t="n"/>
      <c r="E25" s="15" t="n"/>
      <c r="F25" s="15" t="n"/>
      <c r="G25" s="15" t="n"/>
      <c r="H25" s="15" t="n"/>
      <c r="I25" s="15" t="n"/>
      <c r="J25" s="15" t="n"/>
      <c r="K25" s="15" t="n"/>
      <c r="L25" s="15" t="n"/>
      <c r="M25" s="15" t="n"/>
      <c r="N25" s="16">
        <f>IF(AND(D25&lt;&gt;"",M25&lt;&gt;"Closed"),TODAY()-D25,"")</f>
        <v/>
      </c>
    </row>
    <row r="26">
      <c r="A26" s="15" t="n"/>
      <c r="B26" s="15" t="n"/>
      <c r="C26" s="15" t="n"/>
      <c r="D26" s="15" t="n"/>
      <c r="E26" s="15" t="n"/>
      <c r="F26" s="15" t="n"/>
      <c r="G26" s="15" t="n"/>
      <c r="H26" s="15" t="n"/>
      <c r="I26" s="15" t="n"/>
      <c r="J26" s="15" t="n"/>
      <c r="K26" s="15" t="n"/>
      <c r="L26" s="15" t="n"/>
      <c r="M26" s="15" t="n"/>
      <c r="N26" s="16">
        <f>IF(AND(D26&lt;&gt;"",M26&lt;&gt;"Closed"),TODAY()-D26,"")</f>
        <v/>
      </c>
    </row>
    <row r="27">
      <c r="A27" s="15" t="n"/>
      <c r="B27" s="15" t="n"/>
      <c r="C27" s="15" t="n"/>
      <c r="D27" s="15" t="n"/>
      <c r="E27" s="15" t="n"/>
      <c r="F27" s="15" t="n"/>
      <c r="G27" s="15" t="n"/>
      <c r="H27" s="15" t="n"/>
      <c r="I27" s="15" t="n"/>
      <c r="J27" s="15" t="n"/>
      <c r="K27" s="15" t="n"/>
      <c r="L27" s="15" t="n"/>
      <c r="M27" s="15" t="n"/>
      <c r="N27" s="16">
        <f>IF(AND(D27&lt;&gt;"",M27&lt;&gt;"Closed"),TODAY()-D27,"")</f>
        <v/>
      </c>
    </row>
    <row r="28">
      <c r="A28" s="15" t="n"/>
      <c r="B28" s="15" t="n"/>
      <c r="C28" s="15" t="n"/>
      <c r="D28" s="15" t="n"/>
      <c r="E28" s="15" t="n"/>
      <c r="F28" s="15" t="n"/>
      <c r="G28" s="15" t="n"/>
      <c r="H28" s="15" t="n"/>
      <c r="I28" s="15" t="n"/>
      <c r="J28" s="15" t="n"/>
      <c r="K28" s="15" t="n"/>
      <c r="L28" s="15" t="n"/>
      <c r="M28" s="15" t="n"/>
      <c r="N28" s="16">
        <f>IF(AND(D28&lt;&gt;"",M28&lt;&gt;"Closed"),TODAY()-D28,"")</f>
        <v/>
      </c>
    </row>
    <row r="29">
      <c r="A29" s="15" t="n"/>
      <c r="B29" s="15" t="n"/>
      <c r="C29" s="15" t="n"/>
      <c r="D29" s="15" t="n"/>
      <c r="E29" s="15" t="n"/>
      <c r="F29" s="15" t="n"/>
      <c r="G29" s="15" t="n"/>
      <c r="H29" s="15" t="n"/>
      <c r="I29" s="15" t="n"/>
      <c r="J29" s="15" t="n"/>
      <c r="K29" s="15" t="n"/>
      <c r="L29" s="15" t="n"/>
      <c r="M29" s="15" t="n"/>
      <c r="N29" s="16">
        <f>IF(AND(D29&lt;&gt;"",M29&lt;&gt;"Closed"),TODAY()-D29,"")</f>
        <v/>
      </c>
    </row>
    <row r="30">
      <c r="A30" s="15" t="n"/>
      <c r="B30" s="15" t="n"/>
      <c r="C30" s="15" t="n"/>
      <c r="D30" s="15" t="n"/>
      <c r="E30" s="15" t="n"/>
      <c r="F30" s="15" t="n"/>
      <c r="G30" s="15" t="n"/>
      <c r="H30" s="15" t="n"/>
      <c r="I30" s="15" t="n"/>
      <c r="J30" s="15" t="n"/>
      <c r="K30" s="15" t="n"/>
      <c r="L30" s="15" t="n"/>
      <c r="M30" s="15" t="n"/>
      <c r="N30" s="16">
        <f>IF(AND(D30&lt;&gt;"",M30&lt;&gt;"Closed"),TODAY()-D30,"")</f>
        <v/>
      </c>
    </row>
    <row r="31">
      <c r="A31" s="15" t="n"/>
      <c r="B31" s="15" t="n"/>
      <c r="C31" s="15" t="n"/>
      <c r="D31" s="15" t="n"/>
      <c r="E31" s="15" t="n"/>
      <c r="F31" s="15" t="n"/>
      <c r="G31" s="15" t="n"/>
      <c r="H31" s="15" t="n"/>
      <c r="I31" s="15" t="n"/>
      <c r="J31" s="15" t="n"/>
      <c r="K31" s="15" t="n"/>
      <c r="L31" s="15" t="n"/>
      <c r="M31" s="15" t="n"/>
      <c r="N31" s="16">
        <f>IF(AND(D31&lt;&gt;"",M31&lt;&gt;"Closed"),TODAY()-D31,"")</f>
        <v/>
      </c>
    </row>
    <row r="32">
      <c r="A32" s="15" t="n"/>
      <c r="B32" s="15" t="n"/>
      <c r="C32" s="15" t="n"/>
      <c r="D32" s="15" t="n"/>
      <c r="E32" s="15" t="n"/>
      <c r="F32" s="15" t="n"/>
      <c r="G32" s="15" t="n"/>
      <c r="H32" s="15" t="n"/>
      <c r="I32" s="15" t="n"/>
      <c r="J32" s="15" t="n"/>
      <c r="K32" s="15" t="n"/>
      <c r="L32" s="15" t="n"/>
      <c r="M32" s="15" t="n"/>
      <c r="N32" s="16">
        <f>IF(AND(D32&lt;&gt;"",M32&lt;&gt;"Closed"),TODAY()-D32,"")</f>
        <v/>
      </c>
    </row>
    <row r="33">
      <c r="A33" s="15" t="n"/>
      <c r="B33" s="15" t="n"/>
      <c r="C33" s="15" t="n"/>
      <c r="D33" s="15" t="n"/>
      <c r="E33" s="15" t="n"/>
      <c r="F33" s="15" t="n"/>
      <c r="G33" s="15" t="n"/>
      <c r="H33" s="15" t="n"/>
      <c r="I33" s="15" t="n"/>
      <c r="J33" s="15" t="n"/>
      <c r="K33" s="15" t="n"/>
      <c r="L33" s="15" t="n"/>
      <c r="M33" s="15" t="n"/>
      <c r="N33" s="16">
        <f>IF(AND(D33&lt;&gt;"",M33&lt;&gt;"Closed"),TODAY()-D33,"")</f>
        <v/>
      </c>
    </row>
    <row r="34">
      <c r="A34" s="15" t="n"/>
      <c r="B34" s="15" t="n"/>
      <c r="C34" s="15" t="n"/>
      <c r="D34" s="15" t="n"/>
      <c r="E34" s="15" t="n"/>
      <c r="F34" s="15" t="n"/>
      <c r="G34" s="15" t="n"/>
      <c r="H34" s="15" t="n"/>
      <c r="I34" s="15" t="n"/>
      <c r="J34" s="15" t="n"/>
      <c r="K34" s="15" t="n"/>
      <c r="L34" s="15" t="n"/>
      <c r="M34" s="15" t="n"/>
      <c r="N34" s="16">
        <f>IF(AND(D34&lt;&gt;"",M34&lt;&gt;"Closed"),TODAY()-D34,"")</f>
        <v/>
      </c>
    </row>
    <row r="35">
      <c r="A35" s="15" t="n"/>
      <c r="B35" s="15" t="n"/>
      <c r="C35" s="15" t="n"/>
      <c r="D35" s="15" t="n"/>
      <c r="E35" s="15" t="n"/>
      <c r="F35" s="15" t="n"/>
      <c r="G35" s="15" t="n"/>
      <c r="H35" s="15" t="n"/>
      <c r="I35" s="15" t="n"/>
      <c r="J35" s="15" t="n"/>
      <c r="K35" s="15" t="n"/>
      <c r="L35" s="15" t="n"/>
      <c r="M35" s="15" t="n"/>
      <c r="N35" s="16">
        <f>IF(AND(D35&lt;&gt;"",M35&lt;&gt;"Closed"),TODAY()-D35,"")</f>
        <v/>
      </c>
    </row>
    <row r="36">
      <c r="A36" s="15" t="n"/>
      <c r="B36" s="15" t="n"/>
      <c r="C36" s="15" t="n"/>
      <c r="D36" s="15" t="n"/>
      <c r="E36" s="15" t="n"/>
      <c r="F36" s="15" t="n"/>
      <c r="G36" s="15" t="n"/>
      <c r="H36" s="15" t="n"/>
      <c r="I36" s="15" t="n"/>
      <c r="J36" s="15" t="n"/>
      <c r="K36" s="15" t="n"/>
      <c r="L36" s="15" t="n"/>
      <c r="M36" s="15" t="n"/>
      <c r="N36" s="16">
        <f>IF(AND(D36&lt;&gt;"",M36&lt;&gt;"Closed"),TODAY()-D36,"")</f>
        <v/>
      </c>
    </row>
    <row r="37">
      <c r="A37" s="15" t="n"/>
      <c r="B37" s="15" t="n"/>
      <c r="C37" s="15" t="n"/>
      <c r="D37" s="15" t="n"/>
      <c r="E37" s="15" t="n"/>
      <c r="F37" s="15" t="n"/>
      <c r="G37" s="15" t="n"/>
      <c r="H37" s="15" t="n"/>
      <c r="I37" s="15" t="n"/>
      <c r="J37" s="15" t="n"/>
      <c r="K37" s="15" t="n"/>
      <c r="L37" s="15" t="n"/>
      <c r="M37" s="15" t="n"/>
      <c r="N37" s="16">
        <f>IF(AND(D37&lt;&gt;"",M37&lt;&gt;"Closed"),TODAY()-D37,"")</f>
        <v/>
      </c>
    </row>
    <row r="38">
      <c r="A38" s="15" t="n"/>
      <c r="B38" s="15" t="n"/>
      <c r="C38" s="15" t="n"/>
      <c r="D38" s="15" t="n"/>
      <c r="E38" s="15" t="n"/>
      <c r="F38" s="15" t="n"/>
      <c r="G38" s="15" t="n"/>
      <c r="H38" s="15" t="n"/>
      <c r="I38" s="15" t="n"/>
      <c r="J38" s="15" t="n"/>
      <c r="K38" s="15" t="n"/>
      <c r="L38" s="15" t="n"/>
      <c r="M38" s="15" t="n"/>
      <c r="N38" s="16">
        <f>IF(AND(D38&lt;&gt;"",M38&lt;&gt;"Closed"),TODAY()-D38,"")</f>
        <v/>
      </c>
    </row>
    <row r="39">
      <c r="A39" s="15" t="n"/>
      <c r="B39" s="15" t="n"/>
      <c r="C39" s="15" t="n"/>
      <c r="D39" s="15" t="n"/>
      <c r="E39" s="15" t="n"/>
      <c r="F39" s="15" t="n"/>
      <c r="G39" s="15" t="n"/>
      <c r="H39" s="15" t="n"/>
      <c r="I39" s="15" t="n"/>
      <c r="J39" s="15" t="n"/>
      <c r="K39" s="15" t="n"/>
      <c r="L39" s="15" t="n"/>
      <c r="M39" s="15" t="n"/>
      <c r="N39" s="16">
        <f>IF(AND(D39&lt;&gt;"",M39&lt;&gt;"Closed"),TODAY()-D39,"")</f>
        <v/>
      </c>
    </row>
    <row r="40">
      <c r="A40" s="15" t="n"/>
      <c r="B40" s="15" t="n"/>
      <c r="C40" s="15" t="n"/>
      <c r="D40" s="15" t="n"/>
      <c r="E40" s="15" t="n"/>
      <c r="F40" s="15" t="n"/>
      <c r="G40" s="15" t="n"/>
      <c r="H40" s="15" t="n"/>
      <c r="I40" s="15" t="n"/>
      <c r="J40" s="15" t="n"/>
      <c r="K40" s="15" t="n"/>
      <c r="L40" s="15" t="n"/>
      <c r="M40" s="15" t="n"/>
      <c r="N40" s="16">
        <f>IF(AND(D40&lt;&gt;"",M40&lt;&gt;"Closed"),TODAY()-D40,"")</f>
        <v/>
      </c>
    </row>
    <row r="41">
      <c r="A41" s="15" t="n"/>
      <c r="B41" s="15" t="n"/>
      <c r="C41" s="15" t="n"/>
      <c r="D41" s="15" t="n"/>
      <c r="E41" s="15" t="n"/>
      <c r="F41" s="15" t="n"/>
      <c r="G41" s="15" t="n"/>
      <c r="H41" s="15" t="n"/>
      <c r="I41" s="15" t="n"/>
      <c r="J41" s="15" t="n"/>
      <c r="K41" s="15" t="n"/>
      <c r="L41" s="15" t="n"/>
      <c r="M41" s="15" t="n"/>
      <c r="N41" s="16">
        <f>IF(AND(D41&lt;&gt;"",M41&lt;&gt;"Closed"),TODAY()-D41,"")</f>
        <v/>
      </c>
    </row>
    <row r="42">
      <c r="A42" s="15" t="n"/>
      <c r="B42" s="15" t="n"/>
      <c r="C42" s="15" t="n"/>
      <c r="D42" s="15" t="n"/>
      <c r="E42" s="15" t="n"/>
      <c r="F42" s="15" t="n"/>
      <c r="G42" s="15" t="n"/>
      <c r="H42" s="15" t="n"/>
      <c r="I42" s="15" t="n"/>
      <c r="J42" s="15" t="n"/>
      <c r="K42" s="15" t="n"/>
      <c r="L42" s="15" t="n"/>
      <c r="M42" s="15" t="n"/>
      <c r="N42" s="16">
        <f>IF(AND(D42&lt;&gt;"",M42&lt;&gt;"Closed"),TODAY()-D42,"")</f>
        <v/>
      </c>
    </row>
    <row r="43">
      <c r="A43" s="15" t="n"/>
      <c r="B43" s="15" t="n"/>
      <c r="C43" s="15" t="n"/>
      <c r="D43" s="15" t="n"/>
      <c r="E43" s="15" t="n"/>
      <c r="F43" s="15" t="n"/>
      <c r="G43" s="15" t="n"/>
      <c r="H43" s="15" t="n"/>
      <c r="I43" s="15" t="n"/>
      <c r="J43" s="15" t="n"/>
      <c r="K43" s="15" t="n"/>
      <c r="L43" s="15" t="n"/>
      <c r="M43" s="15" t="n"/>
      <c r="N43" s="16">
        <f>IF(AND(D43&lt;&gt;"",M43&lt;&gt;"Closed"),TODAY()-D43,"")</f>
        <v/>
      </c>
    </row>
    <row r="44">
      <c r="A44" s="15" t="n"/>
      <c r="B44" s="15" t="n"/>
      <c r="C44" s="15" t="n"/>
      <c r="D44" s="15" t="n"/>
      <c r="E44" s="15" t="n"/>
      <c r="F44" s="15" t="n"/>
      <c r="G44" s="15" t="n"/>
      <c r="H44" s="15" t="n"/>
      <c r="I44" s="15" t="n"/>
      <c r="J44" s="15" t="n"/>
      <c r="K44" s="15" t="n"/>
      <c r="L44" s="15" t="n"/>
      <c r="M44" s="15" t="n"/>
      <c r="N44" s="16">
        <f>IF(AND(D44&lt;&gt;"",M44&lt;&gt;"Closed"),TODAY()-D44,"")</f>
        <v/>
      </c>
    </row>
    <row r="45">
      <c r="A45" s="15" t="n"/>
      <c r="B45" s="15" t="n"/>
      <c r="C45" s="15" t="n"/>
      <c r="D45" s="15" t="n"/>
      <c r="E45" s="15" t="n"/>
      <c r="F45" s="15" t="n"/>
      <c r="G45" s="15" t="n"/>
      <c r="H45" s="15" t="n"/>
      <c r="I45" s="15" t="n"/>
      <c r="J45" s="15" t="n"/>
      <c r="K45" s="15" t="n"/>
      <c r="L45" s="15" t="n"/>
      <c r="M45" s="15" t="n"/>
      <c r="N45" s="16">
        <f>IF(AND(D45&lt;&gt;"",M45&lt;&gt;"Closed"),TODAY()-D45,"")</f>
        <v/>
      </c>
    </row>
    <row r="46">
      <c r="A46" s="15" t="n"/>
      <c r="B46" s="15" t="n"/>
      <c r="C46" s="15" t="n"/>
      <c r="D46" s="15" t="n"/>
      <c r="E46" s="15" t="n"/>
      <c r="F46" s="15" t="n"/>
      <c r="G46" s="15" t="n"/>
      <c r="H46" s="15" t="n"/>
      <c r="I46" s="15" t="n"/>
      <c r="J46" s="15" t="n"/>
      <c r="K46" s="15" t="n"/>
      <c r="L46" s="15" t="n"/>
      <c r="M46" s="15" t="n"/>
      <c r="N46" s="16">
        <f>IF(AND(D46&lt;&gt;"",M46&lt;&gt;"Closed"),TODAY()-D46,"")</f>
        <v/>
      </c>
    </row>
    <row r="47">
      <c r="A47" s="15" t="n"/>
      <c r="B47" s="15" t="n"/>
      <c r="C47" s="15" t="n"/>
      <c r="D47" s="15" t="n"/>
      <c r="E47" s="15" t="n"/>
      <c r="F47" s="15" t="n"/>
      <c r="G47" s="15" t="n"/>
      <c r="H47" s="15" t="n"/>
      <c r="I47" s="15" t="n"/>
      <c r="J47" s="15" t="n"/>
      <c r="K47" s="15" t="n"/>
      <c r="L47" s="15" t="n"/>
      <c r="M47" s="15" t="n"/>
      <c r="N47" s="16">
        <f>IF(AND(D47&lt;&gt;"",M47&lt;&gt;"Closed"),TODAY()-D47,"")</f>
        <v/>
      </c>
    </row>
    <row r="48">
      <c r="A48" s="15" t="n"/>
      <c r="B48" s="15" t="n"/>
      <c r="C48" s="15" t="n"/>
      <c r="D48" s="15" t="n"/>
      <c r="E48" s="15" t="n"/>
      <c r="F48" s="15" t="n"/>
      <c r="G48" s="15" t="n"/>
      <c r="H48" s="15" t="n"/>
      <c r="I48" s="15" t="n"/>
      <c r="J48" s="15" t="n"/>
      <c r="K48" s="15" t="n"/>
      <c r="L48" s="15" t="n"/>
      <c r="M48" s="15" t="n"/>
      <c r="N48" s="16">
        <f>IF(AND(D48&lt;&gt;"",M48&lt;&gt;"Closed"),TODAY()-D48,"")</f>
        <v/>
      </c>
    </row>
    <row r="49">
      <c r="A49" s="15" t="n"/>
      <c r="B49" s="15" t="n"/>
      <c r="C49" s="15" t="n"/>
      <c r="D49" s="15" t="n"/>
      <c r="E49" s="15" t="n"/>
      <c r="F49" s="15" t="n"/>
      <c r="G49" s="15" t="n"/>
      <c r="H49" s="15" t="n"/>
      <c r="I49" s="15" t="n"/>
      <c r="J49" s="15" t="n"/>
      <c r="K49" s="15" t="n"/>
      <c r="L49" s="15" t="n"/>
      <c r="M49" s="15" t="n"/>
      <c r="N49" s="16">
        <f>IF(AND(D49&lt;&gt;"",M49&lt;&gt;"Closed"),TODAY()-D49,"")</f>
        <v/>
      </c>
    </row>
    <row r="50">
      <c r="A50" s="15" t="n"/>
      <c r="B50" s="15" t="n"/>
      <c r="C50" s="15" t="n"/>
      <c r="D50" s="15" t="n"/>
      <c r="E50" s="15" t="n"/>
      <c r="F50" s="15" t="n"/>
      <c r="G50" s="15" t="n"/>
      <c r="H50" s="15" t="n"/>
      <c r="I50" s="15" t="n"/>
      <c r="J50" s="15" t="n"/>
      <c r="K50" s="15" t="n"/>
      <c r="L50" s="15" t="n"/>
      <c r="M50" s="15" t="n"/>
      <c r="N50" s="16">
        <f>IF(AND(D50&lt;&gt;"",M50&lt;&gt;"Closed"),TODAY()-D50,"")</f>
        <v/>
      </c>
    </row>
    <row r="51">
      <c r="A51" s="15" t="n"/>
      <c r="B51" s="15" t="n"/>
      <c r="C51" s="15" t="n"/>
      <c r="D51" s="15" t="n"/>
      <c r="E51" s="15" t="n"/>
      <c r="F51" s="15" t="n"/>
      <c r="G51" s="15" t="n"/>
      <c r="H51" s="15" t="n"/>
      <c r="I51" s="15" t="n"/>
      <c r="J51" s="15" t="n"/>
      <c r="K51" s="15" t="n"/>
      <c r="L51" s="15" t="n"/>
      <c r="M51" s="15" t="n"/>
      <c r="N51" s="16">
        <f>IF(AND(D51&lt;&gt;"",M51&lt;&gt;"Closed"),TODAY()-D51,"")</f>
        <v/>
      </c>
    </row>
    <row r="52">
      <c r="A52" s="15" t="n"/>
      <c r="B52" s="15" t="n"/>
      <c r="C52" s="15" t="n"/>
      <c r="D52" s="15" t="n"/>
      <c r="E52" s="15" t="n"/>
      <c r="F52" s="15" t="n"/>
      <c r="G52" s="15" t="n"/>
      <c r="H52" s="15" t="n"/>
      <c r="I52" s="15" t="n"/>
      <c r="J52" s="15" t="n"/>
      <c r="K52" s="15" t="n"/>
      <c r="L52" s="15" t="n"/>
      <c r="M52" s="15" t="n"/>
      <c r="N52" s="16">
        <f>IF(AND(D52&lt;&gt;"",M52&lt;&gt;"Closed"),TODAY()-D52,"")</f>
        <v/>
      </c>
    </row>
    <row r="53">
      <c r="A53" s="15" t="n"/>
      <c r="B53" s="15" t="n"/>
      <c r="C53" s="15" t="n"/>
      <c r="D53" s="15" t="n"/>
      <c r="E53" s="15" t="n"/>
      <c r="F53" s="15" t="n"/>
      <c r="G53" s="15" t="n"/>
      <c r="H53" s="15" t="n"/>
      <c r="I53" s="15" t="n"/>
      <c r="J53" s="15" t="n"/>
      <c r="K53" s="15" t="n"/>
      <c r="L53" s="15" t="n"/>
      <c r="M53" s="15" t="n"/>
      <c r="N53" s="16">
        <f>IF(AND(D53&lt;&gt;"",M53&lt;&gt;"Closed"),TODAY()-D53,"")</f>
        <v/>
      </c>
    </row>
    <row r="54">
      <c r="A54" s="15" t="n"/>
      <c r="B54" s="15" t="n"/>
      <c r="C54" s="15" t="n"/>
      <c r="D54" s="15" t="n"/>
      <c r="E54" s="15" t="n"/>
      <c r="F54" s="15" t="n"/>
      <c r="G54" s="15" t="n"/>
      <c r="H54" s="15" t="n"/>
      <c r="I54" s="15" t="n"/>
      <c r="J54" s="15" t="n"/>
      <c r="K54" s="15" t="n"/>
      <c r="L54" s="15" t="n"/>
      <c r="M54" s="15" t="n"/>
      <c r="N54" s="16">
        <f>IF(AND(D54&lt;&gt;"",M54&lt;&gt;"Closed"),TODAY()-D54,"")</f>
        <v/>
      </c>
    </row>
  </sheetData>
  <mergeCells count="2">
    <mergeCell ref="A2:N2"/>
    <mergeCell ref="A1:N1"/>
  </mergeCells>
  <dataValidations count="4">
    <dataValidation sqref="B4 B5 B6 B7 B8 B9 B10 B11 B12 B13 B14 B15 B16 B17 B18 B19 B20 B21 B22 B23 B24 B25 B26 B27 B28 B29 B30 B31 B32 B33 B34 B35 B36 B37 B38 B39 B40 B41 B42 B43 B44 B45 B46 B47 B48 B49 B50 B51 B52 B53 B54" showDropDown="0" showInputMessage="0" showErrorMessage="0" allowBlank="0" type="list">
      <formula1>"Independent Review,Compliance Assessment,Internal Audit,Certification Audit,Surveillance Audit,Management Review"</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"Non-Conformity,Observation,Opportunity for Improvement,Positive Finding"</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"Major,Minor,Observation,N/A"</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0" type="list">
      <formula1>"Open,In Progress,Pending Verification,Closed,Risk Accepted"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50" customWidth="1" min="3" max="3"/>
    <col width="18" customWidth="1" min="4" max="4"/>
    <col width="22" customWidth="1" min="5" max="5"/>
    <col width="14" customWidth="1" min="6" max="6"/>
    <col width="14" customWidth="1" min="7" max="7"/>
    <col width="14" customWidth="1" min="8" max="8"/>
    <col width="16" customWidth="1" min="9" max="9"/>
    <col width="12" customWidth="1" min="10" max="10"/>
    <col width="25" customWidth="1" min="11" max="11"/>
    <col width="30" customWidth="1" min="12" max="12"/>
  </cols>
  <sheetData>
    <row r="1" ht="35" customHeight="1">
      <c r="A1" s="11" t="inlineStr">
        <is>
          <t>REMEDIATION ACTION TRACKER</t>
        </is>
      </c>
    </row>
    <row r="2">
      <c r="A2" s="12" t="inlineStr">
        <is>
          <t>Track corrective and preventive actions arising from findings — assign action type, owner, target dates, and track completion through verification.</t>
        </is>
      </c>
    </row>
    <row r="3">
      <c r="A3" s="13" t="inlineStr">
        <is>
          <t>Action ID</t>
        </is>
      </c>
      <c r="B3" s="13" t="inlineStr">
        <is>
          <t>Finding Ref</t>
        </is>
      </c>
      <c r="C3" s="13" t="inlineStr">
        <is>
          <t>Action Description</t>
        </is>
      </c>
      <c r="D3" s="13" t="inlineStr">
        <is>
          <t>Action Type</t>
        </is>
      </c>
      <c r="E3" s="13" t="inlineStr">
        <is>
          <t>Owner</t>
        </is>
      </c>
      <c r="F3" s="13" t="inlineStr">
        <is>
          <t>Start Date</t>
        </is>
      </c>
      <c r="G3" s="13" t="inlineStr">
        <is>
          <t>Target Date</t>
        </is>
      </c>
      <c r="H3" s="13" t="inlineStr">
        <is>
          <t>Actual Date</t>
        </is>
      </c>
      <c r="I3" s="13" t="inlineStr">
        <is>
          <t>Status</t>
        </is>
      </c>
      <c r="J3" s="13" t="inlineStr">
        <is>
          <t>% Complete</t>
        </is>
      </c>
      <c r="K3" s="13" t="inlineStr">
        <is>
          <t>Verification Method</t>
        </is>
      </c>
      <c r="L3" s="13" t="inlineStr">
        <is>
          <t>Notes</t>
        </is>
      </c>
    </row>
    <row r="4">
      <c r="A4" s="14" t="inlineStr">
        <is>
          <t>ACT-001</t>
        </is>
      </c>
      <c r="B4" s="14" t="inlineStr">
        <is>
          <t>FND-001</t>
        </is>
      </c>
      <c r="C4" s="14" t="inlineStr">
        <is>
          <t>Enable MFA for all privileged accounts in Azure AD</t>
        </is>
      </c>
      <c r="D4" s="14" t="inlineStr">
        <is>
          <t>Corrective Action</t>
        </is>
      </c>
      <c r="E4" s="14" t="inlineStr">
        <is>
          <t>IT Operations Manager</t>
        </is>
      </c>
      <c r="F4" s="14" t="inlineStr">
        <is>
          <t>16.03.2026</t>
        </is>
      </c>
      <c r="G4" s="14" t="inlineStr">
        <is>
          <t>14.04.2026</t>
        </is>
      </c>
      <c r="H4" s="14" t="inlineStr"/>
      <c r="I4" s="14" t="inlineStr">
        <is>
          <t>In Progress</t>
        </is>
      </c>
      <c r="J4" s="14" t="inlineStr">
        <is>
          <t>40%</t>
        </is>
      </c>
      <c r="K4" s="14" t="inlineStr">
        <is>
          <t>System check — Azure AD MFA report</t>
        </is>
      </c>
      <c r="L4" s="14" t="inlineStr">
        <is>
          <t>Phase 1 complete: admin accounts done; user accounts in progress</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"Corrective Action,Preventive Action,Immediate Containment,Process Improvement"</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"Not Started,In Progress,Completed,On Hold,Cancelled"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40" customWidth="1" min="3" max="3"/>
    <col width="18" customWidth="1" min="4" max="4"/>
    <col width="22" customWidth="1" min="5" max="5"/>
    <col width="45" customWidth="1" min="6" max="6"/>
    <col width="35" customWidth="1" min="7" max="7"/>
    <col width="14" customWidth="1" min="8" max="8"/>
    <col width="40" customWidth="1" min="9" max="9"/>
    <col width="22" customWidth="1" min="10" max="10"/>
    <col width="14" customWidth="1" min="11" max="11"/>
  </cols>
  <sheetData>
    <row r="1" ht="35" customHeight="1">
      <c r="A1" s="11" t="inlineStr">
        <is>
          <t>ROOT CAUSE ANALYSIS</t>
        </is>
      </c>
    </row>
    <row r="2">
      <c r="A2" s="12" t="inlineStr">
        <is>
          <t>Document root cause analysis for significant findings — identify whether issues are systemic and define preventive actions to avoid recurrence.</t>
        </is>
      </c>
    </row>
    <row r="3">
      <c r="A3" s="13" t="inlineStr">
        <is>
          <t>RCA ID</t>
        </is>
      </c>
      <c r="B3" s="13" t="inlineStr">
        <is>
          <t>Finding Ref</t>
        </is>
      </c>
      <c r="C3" s="13" t="inlineStr">
        <is>
          <t>Problem Statement</t>
        </is>
      </c>
      <c r="D3" s="13" t="inlineStr">
        <is>
          <t>Analysis Method</t>
        </is>
      </c>
      <c r="E3" s="13" t="inlineStr">
        <is>
          <t>Root Cause Category</t>
        </is>
      </c>
      <c r="F3" s="13" t="inlineStr">
        <is>
          <t>Root Cause Description</t>
        </is>
      </c>
      <c r="G3" s="13" t="inlineStr">
        <is>
          <t>Contributing Factors</t>
        </is>
      </c>
      <c r="H3" s="13" t="inlineStr">
        <is>
          <t>Systemic Issue</t>
        </is>
      </c>
      <c r="I3" s="13" t="inlineStr">
        <is>
          <t>Preventive Actions</t>
        </is>
      </c>
      <c r="J3" s="13" t="inlineStr">
        <is>
          <t>Analyst</t>
        </is>
      </c>
      <c r="K3" s="13" t="inlineStr">
        <is>
          <t>Analysis Date</t>
        </is>
      </c>
    </row>
    <row r="4">
      <c r="A4" s="14" t="inlineStr">
        <is>
          <t>RCA-001</t>
        </is>
      </c>
      <c r="B4" s="14" t="inlineStr">
        <is>
          <t>FND-001</t>
        </is>
      </c>
      <c r="C4" s="14" t="inlineStr">
        <is>
          <t>MFA not enforced for privileged accounts following cloud migration</t>
        </is>
      </c>
      <c r="D4" s="14" t="inlineStr">
        <is>
          <t>5 Whys</t>
        </is>
      </c>
      <c r="E4" s="14" t="inlineStr">
        <is>
          <t>Process</t>
        </is>
      </c>
      <c r="F4" s="14" t="inlineStr">
        <is>
          <t>MFA policy was not updated when infrastructure migrated to Azure — process gap in change management</t>
        </is>
      </c>
      <c r="G4" s="14" t="inlineStr">
        <is>
          <t>Lack of IS review gate in cloud migration project</t>
        </is>
      </c>
      <c r="H4" s="14" t="inlineStr">
        <is>
          <t>Yes</t>
        </is>
      </c>
      <c r="I4" s="14" t="inlineStr">
        <is>
          <t>Add IS review gate to all infrastructure change projects</t>
        </is>
      </c>
      <c r="J4" s="14" t="inlineStr">
        <is>
          <t>CISO</t>
        </is>
      </c>
      <c r="K4" s="14" t="inlineStr">
        <is>
          <t>18.03.2026</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"5 Whys,Fishbone Diagram,Fault Tree,Pareto Analysis,Other"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"People,Process,Technology,Governance,Training,Resources,External"</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22" customWidth="1" min="5" max="5"/>
    <col width="25" customWidth="1" min="6" max="6"/>
    <col width="35" customWidth="1" min="7" max="7"/>
    <col width="18" customWidth="1" min="8" max="8"/>
    <col width="22" customWidth="1" min="9" max="9"/>
    <col width="16" customWidth="1" min="10" max="10"/>
    <col width="30" customWidth="1" min="11" max="11"/>
  </cols>
  <sheetData>
    <row r="1" ht="35" customHeight="1">
      <c r="A1" s="11" t="inlineStr">
        <is>
          <t>VERIFICATION LOG</t>
        </is>
      </c>
    </row>
    <row r="2">
      <c r="A2" s="12" t="inlineStr">
        <is>
          <t>Verify that remediation actions are effective — document verification method, evidence reviewed, outcome, and closure recommendation for each finding.</t>
        </is>
      </c>
    </row>
    <row r="3">
      <c r="A3" s="13" t="inlineStr">
        <is>
          <t>Verification ID</t>
        </is>
      </c>
      <c r="B3" s="13" t="inlineStr">
        <is>
          <t>Finding Ref</t>
        </is>
      </c>
      <c r="C3" s="13" t="inlineStr">
        <is>
          <t>Action Ref</t>
        </is>
      </c>
      <c r="D3" s="13" t="inlineStr">
        <is>
          <t>Verification Date</t>
        </is>
      </c>
      <c r="E3" s="13" t="inlineStr">
        <is>
          <t>Verifier</t>
        </is>
      </c>
      <c r="F3" s="13" t="inlineStr">
        <is>
          <t>Verification Method</t>
        </is>
      </c>
      <c r="G3" s="13" t="inlineStr">
        <is>
          <t>Evidence Reviewed</t>
        </is>
      </c>
      <c r="H3" s="13" t="inlineStr">
        <is>
          <t>Verification Result</t>
        </is>
      </c>
      <c r="I3" s="13" t="inlineStr">
        <is>
          <t>Closure Recommendation</t>
        </is>
      </c>
      <c r="J3" s="13" t="inlineStr">
        <is>
          <t>Follow Up Required</t>
        </is>
      </c>
      <c r="K3" s="13" t="inlineStr">
        <is>
          <t>Notes</t>
        </is>
      </c>
    </row>
    <row r="4">
      <c r="A4" s="14" t="inlineStr">
        <is>
          <t>VER-001</t>
        </is>
      </c>
      <c r="B4" s="14" t="inlineStr">
        <is>
          <t>FND-001</t>
        </is>
      </c>
      <c r="C4" s="14" t="inlineStr">
        <is>
          <t>ACT-001</t>
        </is>
      </c>
      <c r="D4" s="14" t="inlineStr">
        <is>
          <t>20.04.2026</t>
        </is>
      </c>
      <c r="E4" s="14" t="inlineStr">
        <is>
          <t>CISO</t>
        </is>
      </c>
      <c r="F4" s="14" t="inlineStr">
        <is>
          <t>System Check</t>
        </is>
      </c>
      <c r="G4" s="14" t="inlineStr">
        <is>
          <t>Azure AD MFA enforcement report — all admins</t>
        </is>
      </c>
      <c r="H4" s="14" t="inlineStr">
        <is>
          <t>Effective</t>
        </is>
      </c>
      <c r="I4" s="14" t="inlineStr">
        <is>
          <t>Close</t>
        </is>
      </c>
      <c r="J4" s="14" t="inlineStr">
        <is>
          <t>No</t>
        </is>
      </c>
      <c r="K4" s="14" t="inlineStr">
        <is>
          <t>MFA confirmed active for all 45 privileged accounts — finding closed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4">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"Document Review,Testing,Interview,Observation,System Check,Sample Verification"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"Effective,Partially Effective,Not Effective"</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"Close,Keep Open,Re-work Required"</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6" customWidth="1" min="1" max="1"/>
    <col width="12" customWidth="1" min="2" max="2"/>
    <col width="12" customWidth="1" min="3" max="3"/>
    <col width="14" customWidth="1" min="4" max="4"/>
    <col width="14" customWidth="1" min="5" max="5"/>
    <col width="16" customWidth="1" min="6" max="6"/>
    <col width="18" customWidth="1" min="7" max="7"/>
    <col width="16" customWidth="1" min="8" max="8"/>
    <col width="14" customWidth="1" min="9" max="9"/>
    <col width="35" customWidth="1" min="10" max="10"/>
  </cols>
  <sheetData>
    <row r="1" ht="35" customHeight="1">
      <c r="A1" s="11" t="inlineStr">
        <is>
          <t>FINDINGS TREND ANALYSIS</t>
        </is>
      </c>
    </row>
    <row r="2">
      <c r="A2" s="12" t="inlineStr">
        <is>
          <t>Track findings volume and closure rates across review periods — monitor trends to identify systemic issues and measure improvement over time.</t>
        </is>
      </c>
    </row>
    <row r="3">
      <c r="A3" s="13" t="inlineStr">
        <is>
          <t>Period</t>
        </is>
      </c>
      <c r="B3" s="13" t="inlineStr">
        <is>
          <t>Major NCs</t>
        </is>
      </c>
      <c r="C3" s="13" t="inlineStr">
        <is>
          <t>Minor NCs</t>
        </is>
      </c>
      <c r="D3" s="13" t="inlineStr">
        <is>
          <t>Observations</t>
        </is>
      </c>
      <c r="E3" s="13" t="inlineStr">
        <is>
          <t>Total Findings</t>
        </is>
      </c>
      <c r="F3" s="13" t="inlineStr">
        <is>
          <t>Closed This Period</t>
        </is>
      </c>
      <c r="G3" s="13" t="inlineStr">
        <is>
          <t>Open at Period End</t>
        </is>
      </c>
      <c r="H3" s="13" t="inlineStr">
        <is>
          <t>Avg Days to Close</t>
        </is>
      </c>
      <c r="I3" s="13" t="inlineStr">
        <is>
          <t>Repeat Findings</t>
        </is>
      </c>
      <c r="J3" s="13" t="inlineStr">
        <is>
          <t>Notes</t>
        </is>
      </c>
    </row>
    <row r="4">
      <c r="A4" s="14" t="inlineStr">
        <is>
          <t>Q1 2026</t>
        </is>
      </c>
      <c r="B4" s="14" t="n">
        <v>2</v>
      </c>
      <c r="C4" s="14" t="n">
        <v>5</v>
      </c>
      <c r="D4" s="14" t="n">
        <v>8</v>
      </c>
      <c r="E4" s="14">
        <f>SUM(B4:D4)</f>
        <v/>
      </c>
      <c r="F4" s="14" t="n">
        <v>10</v>
      </c>
      <c r="G4" s="14" t="n">
        <v>12</v>
      </c>
      <c r="H4" s="14" t="n">
        <v>18</v>
      </c>
      <c r="I4" s="14" t="n">
        <v>1</v>
      </c>
      <c r="J4" s="14" t="inlineStr">
        <is>
          <t>Post-certification audit period</t>
        </is>
      </c>
    </row>
    <row r="5">
      <c r="A5" s="15" t="inlineStr">
        <is>
          <t>Q2 2026</t>
        </is>
      </c>
      <c r="B5" s="15" t="n"/>
      <c r="C5" s="15" t="n"/>
      <c r="D5" s="15" t="n"/>
      <c r="E5" s="15">
        <f>SUM(B5:D5)</f>
        <v/>
      </c>
      <c r="F5" s="15" t="n"/>
      <c r="G5" s="15" t="n"/>
      <c r="H5" s="15" t="n"/>
      <c r="I5" s="15" t="n"/>
      <c r="J5" s="15" t="n"/>
    </row>
    <row r="6">
      <c r="A6" s="15" t="inlineStr">
        <is>
          <t>Q3 2026</t>
        </is>
      </c>
      <c r="B6" s="15" t="n"/>
      <c r="C6" s="15" t="n"/>
      <c r="D6" s="15" t="n"/>
      <c r="E6" s="15">
        <f>SUM(B6:D6)</f>
        <v/>
      </c>
      <c r="F6" s="15" t="n"/>
      <c r="G6" s="15" t="n"/>
      <c r="H6" s="15" t="n"/>
      <c r="I6" s="15" t="n"/>
      <c r="J6" s="15" t="n"/>
    </row>
    <row r="7">
      <c r="A7" s="15" t="inlineStr">
        <is>
          <t>Q4 2026</t>
        </is>
      </c>
      <c r="B7" s="15" t="n"/>
      <c r="C7" s="15" t="n"/>
      <c r="D7" s="15" t="n"/>
      <c r="E7" s="15">
        <f>SUM(B7:D7)</f>
        <v/>
      </c>
      <c r="F7" s="15" t="n"/>
      <c r="G7" s="15" t="n"/>
      <c r="H7" s="15" t="n"/>
      <c r="I7" s="15" t="n"/>
      <c r="J7" s="15" t="n"/>
    </row>
    <row r="8">
      <c r="A8" s="15" t="inlineStr">
        <is>
          <t>Q1 2027</t>
        </is>
      </c>
      <c r="B8" s="15" t="n"/>
      <c r="C8" s="15" t="n"/>
      <c r="D8" s="15" t="n"/>
      <c r="E8" s="15">
        <f>SUM(B8:D8)</f>
        <v/>
      </c>
      <c r="F8" s="15" t="n"/>
      <c r="G8" s="15" t="n"/>
      <c r="H8" s="15" t="n"/>
      <c r="I8" s="15" t="n"/>
      <c r="J8" s="15" t="n"/>
    </row>
    <row r="9">
      <c r="A9" s="15" t="inlineStr">
        <is>
          <t>Q2 2027</t>
        </is>
      </c>
      <c r="B9" s="15" t="n"/>
      <c r="C9" s="15" t="n"/>
      <c r="D9" s="15" t="n"/>
      <c r="E9" s="15">
        <f>SUM(B9:D9)</f>
        <v/>
      </c>
      <c r="F9" s="15" t="n"/>
      <c r="G9" s="15" t="n"/>
      <c r="H9" s="15" t="n"/>
      <c r="I9" s="15" t="n"/>
      <c r="J9" s="15" t="n"/>
    </row>
    <row r="10">
      <c r="A10" s="15" t="inlineStr">
        <is>
          <t>Q3 2027</t>
        </is>
      </c>
      <c r="B10" s="15" t="n"/>
      <c r="C10" s="15" t="n"/>
      <c r="D10" s="15" t="n"/>
      <c r="E10" s="15">
        <f>SUM(B10:D10)</f>
        <v/>
      </c>
      <c r="F10" s="15" t="n"/>
      <c r="G10" s="15" t="n"/>
      <c r="H10" s="15" t="n"/>
      <c r="I10" s="15" t="n"/>
      <c r="J10" s="15" t="n"/>
    </row>
    <row r="11">
      <c r="A11" s="15" t="inlineStr">
        <is>
          <t>Q4 2027</t>
        </is>
      </c>
      <c r="B11" s="15" t="n"/>
      <c r="C11" s="15" t="n"/>
      <c r="D11" s="15" t="n"/>
      <c r="E11" s="15">
        <f>SUM(B11:D11)</f>
        <v/>
      </c>
      <c r="F11" s="15" t="n"/>
      <c r="G11" s="15" t="n"/>
      <c r="H11" s="15" t="n"/>
      <c r="I11" s="15" t="n"/>
      <c r="J11" s="15" t="n"/>
    </row>
    <row r="12">
      <c r="A12" s="15" t="inlineStr">
        <is>
          <t>Q1 2028</t>
        </is>
      </c>
      <c r="B12" s="15" t="n"/>
      <c r="C12" s="15" t="n"/>
      <c r="D12" s="15" t="n"/>
      <c r="E12" s="15">
        <f>SUM(B12:D12)</f>
        <v/>
      </c>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18"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Store references to all audit evidence collected during independent reviews and compliance assessments — maintain location, custodian, and retention details.</t>
        </is>
      </c>
    </row>
    <row r="4">
      <c r="A4" s="17" t="inlineStr">
        <is>
          <t>Evidence ID</t>
        </is>
      </c>
      <c r="B4" s="17" t="inlineStr">
        <is>
          <t>Evidence Type</t>
        </is>
      </c>
      <c r="C4" s="17" t="inlineStr">
        <is>
          <t>Description</t>
        </is>
      </c>
      <c r="D4" s="17" t="inlineStr">
        <is>
          <t>Related Finding</t>
        </is>
      </c>
      <c r="E4" s="17" t="inlineStr">
        <is>
          <t>Collection Date</t>
        </is>
      </c>
      <c r="F4" s="17" t="inlineStr">
        <is>
          <t>Location</t>
        </is>
      </c>
      <c r="G4" s="17" t="inlineStr">
        <is>
          <t>Collected By</t>
        </is>
      </c>
      <c r="H4" s="17" t="inlineStr">
        <is>
          <t>Retention Until</t>
        </is>
      </c>
    </row>
    <row r="5">
      <c r="A5" s="14" t="inlineStr">
        <is>
          <t>EV-001</t>
        </is>
      </c>
      <c r="B5" s="14" t="inlineStr">
        <is>
          <t>Finding Report</t>
        </is>
      </c>
      <c r="C5" s="14" t="inlineStr">
        <is>
          <t>Independent review report — MFA non-conformity (FND-001)</t>
        </is>
      </c>
      <c r="D5" s="14" t="inlineStr">
        <is>
          <t>FND-001</t>
        </is>
      </c>
      <c r="E5" s="14" t="inlineStr">
        <is>
          <t>15.03.2026</t>
        </is>
      </c>
      <c r="F5" s="14" t="inlineStr">
        <is>
          <t>/SharePoint/ISMS/Reviews/2026/Q1/FND-001-Report.pdf</t>
        </is>
      </c>
      <c r="G5" s="14" t="inlineStr">
        <is>
          <t>CISO</t>
        </is>
      </c>
      <c r="H5" s="14" t="inlineStr">
        <is>
          <t>15.03.2029</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"Finding Report,Remediation Plan,Closure Evidence,RCA Document,Verification Record,Management Approval"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8" t="inlineStr">
        <is>
          <t>FINDINGS AND REMEDIATION MANAGEMENT — SUMMARY DASHBOARD</t>
        </is>
      </c>
      <c r="B1" s="19" t="n"/>
      <c r="C1" s="19" t="n"/>
      <c r="D1" s="19" t="n"/>
      <c r="E1" s="19" t="n"/>
      <c r="F1" s="19" t="n"/>
      <c r="G1" s="19" t="n"/>
    </row>
    <row r="2">
      <c r="A2" s="20" t="inlineStr">
        <is>
          <t>ISO/IEC 27001:2022 | Controls A.5.35-36: Independent Review and Compliance</t>
        </is>
      </c>
    </row>
    <row r="4">
      <c r="A4" s="21" t="inlineStr">
        <is>
          <t>TABLE 1: COMPLIANCE STATUS OVERVIEW</t>
        </is>
      </c>
      <c r="B4" s="19" t="n"/>
      <c r="C4" s="19" t="n"/>
      <c r="D4" s="19" t="n"/>
      <c r="E4" s="19" t="n"/>
      <c r="F4" s="19" t="n"/>
      <c r="G4" s="19" t="n"/>
    </row>
    <row r="5">
      <c r="A5" s="22" t="inlineStr">
        <is>
          <t>Assessment Area</t>
        </is>
      </c>
      <c r="B5" s="22" t="inlineStr">
        <is>
          <t>Total Items</t>
        </is>
      </c>
      <c r="C5" s="22" t="inlineStr">
        <is>
          <t>Compliant</t>
        </is>
      </c>
      <c r="D5" s="22" t="inlineStr">
        <is>
          <t>Partial</t>
        </is>
      </c>
      <c r="E5" s="22" t="inlineStr">
        <is>
          <t>Non-Compliant</t>
        </is>
      </c>
      <c r="F5" s="22" t="inlineStr">
        <is>
          <t>N/A</t>
        </is>
      </c>
      <c r="G5" s="22" t="inlineStr">
        <is>
          <t>Compliance %</t>
        </is>
      </c>
    </row>
    <row r="6">
      <c r="A6" s="23" t="inlineStr">
        <is>
          <t>Findings Management</t>
        </is>
      </c>
      <c r="B6" s="24">
        <f>COUNTA('Findings Register'!B5:B54)</f>
        <v/>
      </c>
      <c r="C6" s="24">
        <f>COUNTIF('Findings Register'!M5:M54,"Closed")</f>
        <v/>
      </c>
      <c r="D6" s="24">
        <f>COUNTIF('Findings Register'!M5:M54,"In Progress")+COUNTIF('Findings Register'!M5:M54,"Pending Verification")</f>
        <v/>
      </c>
      <c r="E6" s="24">
        <f>COUNTIF('Findings Register'!M5:M54,"Open")</f>
        <v/>
      </c>
      <c r="F6" s="24">
        <f>COUNTIF('Findings Register'!M5:M54,"Risk Accepted")</f>
        <v/>
      </c>
      <c r="G6" s="25">
        <f>IFERROR(IF((B6-F6)=0,0,C6/(B6-F6)),"")</f>
        <v/>
      </c>
    </row>
    <row r="7">
      <c r="A7" s="23" t="inlineStr">
        <is>
          <t>Remediation Actions</t>
        </is>
      </c>
      <c r="B7" s="24">
        <f>COUNTA('Remediation Actions'!B5:B54)</f>
        <v/>
      </c>
      <c r="C7" s="24">
        <f>COUNTIF('Remediation Actions'!I5:I54,"Completed")</f>
        <v/>
      </c>
      <c r="D7" s="24">
        <f>COUNTIF('Remediation Actions'!I5:I54,"In Progress")</f>
        <v/>
      </c>
      <c r="E7" s="24">
        <f>COUNTIF('Remediation Actions'!I5:I54,"Not Started")+COUNTIF('Remediation Actions'!I5:I54,"On Hold")</f>
        <v/>
      </c>
      <c r="F7" s="24">
        <f>COUNTIF('Remediation Actions'!I5:I54,"Cancelled")</f>
        <v/>
      </c>
      <c r="G7" s="25">
        <f>IFERROR(IF((B7-F7)=0,0,C7/(B7-F7)),"")</f>
        <v/>
      </c>
    </row>
    <row r="8">
      <c r="A8" s="23" t="inlineStr">
        <is>
          <t>Root Cause Analysis</t>
        </is>
      </c>
      <c r="B8" s="24">
        <f>COUNTA('Root Cause Analysis'!B5:B54)</f>
        <v/>
      </c>
      <c r="C8" s="24">
        <f>COUNTIF('Root Cause Analysis'!H5:H54,"No")</f>
        <v/>
      </c>
      <c r="D8" s="24" t="inlineStr">
        <is>
          <t>0</t>
        </is>
      </c>
      <c r="E8" s="24">
        <f>COUNTIF('Root Cause Analysis'!H5:H54,"Yes")</f>
        <v/>
      </c>
      <c r="F8" s="24" t="inlineStr">
        <is>
          <t>0</t>
        </is>
      </c>
      <c r="G8" s="25">
        <f>IFERROR(IF((B8-F8)=0,0,C8/(B8-F8)),"")</f>
        <v/>
      </c>
    </row>
    <row r="9">
      <c r="A9" s="23" t="inlineStr">
        <is>
          <t>Effectiveness Verification</t>
        </is>
      </c>
      <c r="B9" s="24">
        <f>COUNTA('Verification Log'!B5:B54)</f>
        <v/>
      </c>
      <c r="C9" s="24">
        <f>COUNTIF('Verification Log'!H5:H54,"Effective")</f>
        <v/>
      </c>
      <c r="D9" s="24">
        <f>COUNTIF('Verification Log'!H5:H54,"Partially Effective")</f>
        <v/>
      </c>
      <c r="E9" s="24">
        <f>COUNTIF('Verification Log'!H5:H54,"Not Effective")</f>
        <v/>
      </c>
      <c r="F9" s="24" t="inlineStr">
        <is>
          <t>0</t>
        </is>
      </c>
      <c r="G9" s="25">
        <f>IFERROR(IF((B9-F9)=0,0,C9/(B9-F9)),"")</f>
        <v/>
      </c>
    </row>
    <row r="10">
      <c r="A10" s="26" t="inlineStr">
        <is>
          <t>TOTAL</t>
        </is>
      </c>
      <c r="B10" s="22">
        <f>SUM(B6:B9)</f>
        <v/>
      </c>
      <c r="C10" s="22">
        <f>SUM(C6:C9)</f>
        <v/>
      </c>
      <c r="D10" s="22">
        <f>SUM(D6:D9)</f>
        <v/>
      </c>
      <c r="E10" s="22">
        <f>SUM(E6:E9)</f>
        <v/>
      </c>
      <c r="F10" s="22">
        <f>SUM(F6:F9)</f>
        <v/>
      </c>
      <c r="G10" s="27">
        <f>IFERROR(IF((B10-F10)=0,0,C10/(B10-F10)),"")</f>
        <v/>
      </c>
    </row>
    <row r="12">
      <c r="A12" s="21" t="inlineStr">
        <is>
          <t>TABLE 2: KEY METRICS</t>
        </is>
      </c>
      <c r="B12" s="19" t="n"/>
      <c r="C12" s="19" t="n"/>
      <c r="D12" s="19" t="n"/>
      <c r="E12" s="19" t="n"/>
      <c r="F12" s="19" t="n"/>
      <c r="G12" s="19" t="n"/>
    </row>
    <row r="13">
      <c r="A13" s="22" t="inlineStr">
        <is>
          <t>Metric</t>
        </is>
      </c>
      <c r="B13" s="22" t="inlineStr">
        <is>
          <t>Value</t>
        </is>
      </c>
      <c r="C13" s="22" t="inlineStr"/>
      <c r="D13" s="22" t="inlineStr"/>
      <c r="E13" s="22" t="inlineStr"/>
      <c r="F13" s="22" t="inlineStr"/>
      <c r="G13" s="22" t="inlineStr"/>
    </row>
    <row r="14">
      <c r="A14" s="23" t="inlineStr">
        <is>
          <t>Total Findings Registered</t>
        </is>
      </c>
      <c r="B14" s="24">
        <f>COUNTA('Findings Register'!B5:B54)</f>
        <v/>
      </c>
      <c r="C14" s="28" t="n"/>
      <c r="D14" s="28" t="n"/>
      <c r="E14" s="28" t="n"/>
      <c r="F14" s="28" t="n"/>
      <c r="G14" s="28" t="n"/>
    </row>
    <row r="15">
      <c r="A15" s="23" t="inlineStr">
        <is>
          <t>Major Non-Conformities</t>
        </is>
      </c>
      <c r="B15" s="24">
        <f>COUNTIF('Findings Register'!F5:F54,"Major")</f>
        <v/>
      </c>
      <c r="C15" s="28" t="n"/>
      <c r="D15" s="28" t="n"/>
      <c r="E15" s="28" t="n"/>
      <c r="F15" s="28" t="n"/>
      <c r="G15" s="28" t="n"/>
    </row>
    <row r="16">
      <c r="A16" s="23" t="inlineStr">
        <is>
          <t>Minor Non-Conformities</t>
        </is>
      </c>
      <c r="B16" s="24">
        <f>COUNTIF('Findings Register'!F5:F54,"Minor")</f>
        <v/>
      </c>
      <c r="C16" s="28" t="n"/>
      <c r="D16" s="28" t="n"/>
      <c r="E16" s="28" t="n"/>
      <c r="F16" s="28" t="n"/>
      <c r="G16" s="28" t="n"/>
    </row>
    <row r="17">
      <c r="A17" s="23" t="inlineStr">
        <is>
          <t>Observations</t>
        </is>
      </c>
      <c r="B17" s="24">
        <f>COUNTIF('Findings Register'!E5:E54,"Observation")</f>
        <v/>
      </c>
      <c r="C17" s="28" t="n"/>
      <c r="D17" s="28" t="n"/>
      <c r="E17" s="28" t="n"/>
      <c r="F17" s="28" t="n"/>
      <c r="G17" s="28" t="n"/>
    </row>
    <row r="18">
      <c r="A18" s="23" t="inlineStr">
        <is>
          <t>Open Findings</t>
        </is>
      </c>
      <c r="B18" s="24">
        <f>COUNTIF('Findings Register'!M5:M54,"Open")</f>
        <v/>
      </c>
      <c r="C18" s="28" t="n"/>
      <c r="D18" s="28" t="n"/>
      <c r="E18" s="28" t="n"/>
      <c r="F18" s="28" t="n"/>
      <c r="G18" s="28" t="n"/>
    </row>
    <row r="19">
      <c r="A19" s="23" t="inlineStr">
        <is>
          <t>Findings from Independent Reviews</t>
        </is>
      </c>
      <c r="B19" s="24">
        <f>COUNTIF('Findings Register'!B5:B54,"Independent Review")</f>
        <v/>
      </c>
      <c r="C19" s="28" t="n"/>
      <c r="D19" s="28" t="n"/>
      <c r="E19" s="28" t="n"/>
      <c r="F19" s="28" t="n"/>
      <c r="G19" s="28" t="n"/>
    </row>
    <row r="20">
      <c r="A20" s="23" t="inlineStr">
        <is>
          <t>Findings from Compliance Assessment</t>
        </is>
      </c>
      <c r="B20" s="24">
        <f>COUNTIF('Findings Register'!B5:B54,"Compliance Assessment")</f>
        <v/>
      </c>
      <c r="C20" s="28" t="n"/>
      <c r="D20" s="28" t="n"/>
      <c r="E20" s="28" t="n"/>
      <c r="F20" s="28" t="n"/>
      <c r="G20" s="28" t="n"/>
    </row>
    <row r="21">
      <c r="A21" s="23" t="inlineStr">
        <is>
          <t>Total Remediation Actions</t>
        </is>
      </c>
      <c r="B21" s="24">
        <f>COUNTA('Remediation Actions'!B5:B54)</f>
        <v/>
      </c>
      <c r="C21" s="28" t="n"/>
      <c r="D21" s="28" t="n"/>
      <c r="E21" s="28" t="n"/>
      <c r="F21" s="28" t="n"/>
      <c r="G21" s="28" t="n"/>
    </row>
    <row r="22">
      <c r="A22" s="23" t="inlineStr">
        <is>
          <t>Actions Completed</t>
        </is>
      </c>
      <c r="B22" s="24">
        <f>COUNTIF('Remediation Actions'!I5:I54,"Completed")</f>
        <v/>
      </c>
      <c r="C22" s="28" t="n"/>
      <c r="D22" s="28" t="n"/>
      <c r="E22" s="28" t="n"/>
      <c r="F22" s="28" t="n"/>
      <c r="G22" s="28" t="n"/>
    </row>
    <row r="23">
      <c r="A23" s="23" t="inlineStr">
        <is>
          <t>Actions In Progress</t>
        </is>
      </c>
      <c r="B23" s="24">
        <f>COUNTIF('Remediation Actions'!I5:I54,"In Progress")</f>
        <v/>
      </c>
      <c r="C23" s="28" t="n"/>
      <c r="D23" s="28" t="n"/>
      <c r="E23" s="28" t="n"/>
      <c r="F23" s="28" t="n"/>
      <c r="G23" s="28" t="n"/>
    </row>
    <row r="24">
      <c r="A24" s="23" t="inlineStr">
        <is>
          <t>Actions Not Started</t>
        </is>
      </c>
      <c r="B24" s="24">
        <f>COUNTIF('Remediation Actions'!I5:I54,"Not Started")</f>
        <v/>
      </c>
      <c r="C24" s="28" t="n"/>
      <c r="D24" s="28" t="n"/>
      <c r="E24" s="28" t="n"/>
      <c r="F24" s="28" t="n"/>
      <c r="G24" s="28" t="n"/>
    </row>
    <row r="25">
      <c r="A25" s="23" t="inlineStr">
        <is>
          <t>Corrective Actions</t>
        </is>
      </c>
      <c r="B25" s="24">
        <f>COUNTIF('Remediation Actions'!D5:D54,"Corrective Action")</f>
        <v/>
      </c>
      <c r="C25" s="28" t="n"/>
      <c r="D25" s="28" t="n"/>
      <c r="E25" s="28" t="n"/>
      <c r="F25" s="28" t="n"/>
      <c r="G25" s="28" t="n"/>
    </row>
    <row r="26">
      <c r="A26" s="23" t="inlineStr">
        <is>
          <t>Systemic Issues Identified (RCA)</t>
        </is>
      </c>
      <c r="B26" s="24">
        <f>COUNTIF('Root Cause Analysis'!H5:H54,"Yes")</f>
        <v/>
      </c>
      <c r="C26" s="28" t="n"/>
      <c r="D26" s="28" t="n"/>
      <c r="E26" s="28" t="n"/>
      <c r="F26" s="28" t="n"/>
      <c r="G26" s="28" t="n"/>
    </row>
    <row r="27">
      <c r="A27" s="23" t="inlineStr">
        <is>
          <t>Process-Related Root Causes</t>
        </is>
      </c>
      <c r="B27" s="24">
        <f>COUNTIF('Root Cause Analysis'!E5:E54,"Process")</f>
        <v/>
      </c>
      <c r="C27" s="28" t="n"/>
      <c r="D27" s="28" t="n"/>
      <c r="E27" s="28" t="n"/>
      <c r="F27" s="28" t="n"/>
      <c r="G27" s="28" t="n"/>
    </row>
    <row r="28">
      <c r="A28" s="23" t="inlineStr">
        <is>
          <t>People-Related Root Causes</t>
        </is>
      </c>
      <c r="B28" s="24">
        <f>COUNTIF('Root Cause Analysis'!E5:E54,"People")</f>
        <v/>
      </c>
      <c r="C28" s="28" t="n"/>
      <c r="D28" s="28" t="n"/>
      <c r="E28" s="28" t="n"/>
      <c r="F28" s="28" t="n"/>
      <c r="G28" s="28" t="n"/>
    </row>
    <row r="29">
      <c r="A29" s="23" t="inlineStr">
        <is>
          <t>Technology-Related Root Causes</t>
        </is>
      </c>
      <c r="B29" s="24">
        <f>COUNTIF('Root Cause Analysis'!E5:E54,"Technology")</f>
        <v/>
      </c>
      <c r="C29" s="28" t="n"/>
      <c r="D29" s="28" t="n"/>
      <c r="E29" s="28" t="n"/>
      <c r="F29" s="28" t="n"/>
      <c r="G29" s="28" t="n"/>
    </row>
    <row r="30">
      <c r="A30" s="23" t="inlineStr">
        <is>
          <t>Total Verifications</t>
        </is>
      </c>
      <c r="B30" s="24">
        <f>COUNTA('Verification Log'!B5:B54)</f>
        <v/>
      </c>
      <c r="C30" s="28" t="n"/>
      <c r="D30" s="28" t="n"/>
      <c r="E30" s="28" t="n"/>
      <c r="F30" s="28" t="n"/>
      <c r="G30" s="28" t="n"/>
    </row>
    <row r="31">
      <c r="A31" s="23" t="inlineStr">
        <is>
          <t>Effective Verifications</t>
        </is>
      </c>
      <c r="B31" s="24">
        <f>COUNTIF('Verification Log'!H5:H54,"Effective")</f>
        <v/>
      </c>
      <c r="C31" s="28" t="n"/>
      <c r="D31" s="28" t="n"/>
      <c r="E31" s="28" t="n"/>
      <c r="F31" s="28" t="n"/>
      <c r="G31" s="28" t="n"/>
    </row>
    <row r="32">
      <c r="A32" s="23" t="inlineStr">
        <is>
          <t>Not Effective Verifications</t>
        </is>
      </c>
      <c r="B32" s="24">
        <f>COUNTIF('Verification Log'!H5:H54,"Not Effective")</f>
        <v/>
      </c>
      <c r="C32" s="28" t="n"/>
      <c r="D32" s="28" t="n"/>
      <c r="E32" s="28" t="n"/>
      <c r="F32" s="28" t="n"/>
      <c r="G32" s="28" t="n"/>
    </row>
    <row r="33">
      <c r="A33" s="23" t="inlineStr">
        <is>
          <t>Re-Work Required</t>
        </is>
      </c>
      <c r="B33" s="24">
        <f>COUNTIF('Verification Log'!I5:I54,"Re-work Required")</f>
        <v/>
      </c>
      <c r="C33" s="28" t="n"/>
      <c r="D33" s="28" t="n"/>
      <c r="E33" s="28" t="n"/>
      <c r="F33" s="28" t="n"/>
      <c r="G33" s="28" t="n"/>
    </row>
    <row r="34">
      <c r="A34" s="28" t="n"/>
      <c r="B34" s="28" t="n"/>
      <c r="C34" s="28" t="n"/>
      <c r="D34" s="28" t="n"/>
      <c r="E34" s="28" t="n"/>
      <c r="F34" s="28" t="n"/>
      <c r="G34" s="28" t="n"/>
    </row>
    <row r="35">
      <c r="A35" s="28" t="n"/>
      <c r="B35" s="28" t="n"/>
      <c r="C35" s="28" t="n"/>
      <c r="D35" s="28" t="n"/>
      <c r="E35" s="28" t="n"/>
      <c r="F35" s="28" t="n"/>
      <c r="G35" s="28" t="n"/>
    </row>
    <row r="37">
      <c r="A37" s="29" t="inlineStr">
        <is>
          <t>TABLE 3: CRITICAL FINDINGS REQUIRING IMMEDIATE ATTENTION</t>
        </is>
      </c>
      <c r="B37" s="19" t="n"/>
      <c r="C37" s="19" t="n"/>
      <c r="D37" s="19" t="n"/>
      <c r="E37" s="19" t="n"/>
      <c r="F37" s="19" t="n"/>
      <c r="G37" s="19" t="n"/>
    </row>
    <row r="38">
      <c r="A38" s="22" t="inlineStr">
        <is>
          <t>Category</t>
        </is>
      </c>
      <c r="B38" s="22" t="inlineStr">
        <is>
          <t>Finding</t>
        </is>
      </c>
      <c r="C38" s="22" t="inlineStr">
        <is>
          <t>Count</t>
        </is>
      </c>
      <c r="D38" s="22" t="inlineStr">
        <is>
          <t>Severity</t>
        </is>
      </c>
      <c r="E38" s="22" t="inlineStr">
        <is>
          <t>Action Required</t>
        </is>
      </c>
      <c r="F38" s="22" t="inlineStr"/>
      <c r="G38" s="22" t="inlineStr"/>
    </row>
    <row r="39">
      <c r="A39" s="30" t="inlineStr">
        <is>
          <t>Findings Management</t>
        </is>
      </c>
      <c r="B39" s="30" t="inlineStr">
        <is>
          <t>Major NCs open</t>
        </is>
      </c>
      <c r="C39" s="31">
        <f>COUNTIFS('Findings Register'!F5:F54,"Major",'Findings Register'!M5:M54,"Open")</f>
        <v/>
      </c>
      <c r="D39" s="31" t="inlineStr">
        <is>
          <t>Critical</t>
        </is>
      </c>
      <c r="E39" s="30" t="inlineStr">
        <is>
          <t>Immediate escalation</t>
        </is>
      </c>
      <c r="F39" s="30" t="inlineStr"/>
      <c r="G39" s="30" t="inlineStr"/>
    </row>
    <row r="40">
      <c r="A40" s="30" t="inlineStr">
        <is>
          <t>Findings Management</t>
        </is>
      </c>
      <c r="B40" s="30" t="inlineStr">
        <is>
          <t>All open findings</t>
        </is>
      </c>
      <c r="C40" s="31">
        <f>COUNTIF('Findings Register'!M5:M54,"Open")</f>
        <v/>
      </c>
      <c r="D40" s="31" t="inlineStr">
        <is>
          <t>High</t>
        </is>
      </c>
      <c r="E40" s="30" t="inlineStr">
        <is>
          <t>Assign remediation owner</t>
        </is>
      </c>
      <c r="F40" s="30" t="inlineStr"/>
      <c r="G40" s="30" t="inlineStr"/>
    </row>
    <row r="41">
      <c r="A41" s="30" t="inlineStr">
        <is>
          <t>Findings Management</t>
        </is>
      </c>
      <c r="B41" s="30" t="inlineStr">
        <is>
          <t>Findings pending verification &gt;30 days</t>
        </is>
      </c>
      <c r="C41" s="31">
        <f>COUNTIF('Findings Register'!M5:M54,"Pending Verification")</f>
        <v/>
      </c>
      <c r="D41" s="31" t="inlineStr">
        <is>
          <t>High</t>
        </is>
      </c>
      <c r="E41" s="30" t="inlineStr">
        <is>
          <t>Complete verification</t>
        </is>
      </c>
      <c r="F41" s="30" t="inlineStr"/>
      <c r="G41" s="30" t="inlineStr"/>
    </row>
    <row r="42">
      <c r="A42" s="30" t="inlineStr">
        <is>
          <t>Remediation</t>
        </is>
      </c>
      <c r="B42" s="30" t="inlineStr">
        <is>
          <t>Actions not started</t>
        </is>
      </c>
      <c r="C42" s="31">
        <f>COUNTIF('Remediation Actions'!I5:I54,"Not Started")</f>
        <v/>
      </c>
      <c r="D42" s="31" t="inlineStr">
        <is>
          <t>High</t>
        </is>
      </c>
      <c r="E42" s="30" t="inlineStr">
        <is>
          <t>Start immediately</t>
        </is>
      </c>
      <c r="F42" s="30" t="inlineStr"/>
      <c r="G42" s="30" t="inlineStr"/>
    </row>
    <row r="43">
      <c r="A43" s="30" t="inlineStr">
        <is>
          <t>Remediation</t>
        </is>
      </c>
      <c r="B43" s="30" t="inlineStr">
        <is>
          <t>Actions on hold</t>
        </is>
      </c>
      <c r="C43" s="31">
        <f>COUNTIF('Remediation Actions'!I5:I54,"On Hold")</f>
        <v/>
      </c>
      <c r="D43" s="31" t="inlineStr">
        <is>
          <t>Medium</t>
        </is>
      </c>
      <c r="E43" s="30" t="inlineStr">
        <is>
          <t>Review blockers</t>
        </is>
      </c>
      <c r="F43" s="30" t="inlineStr"/>
      <c r="G43" s="30" t="inlineStr"/>
    </row>
    <row r="44">
      <c r="A44" s="30" t="inlineStr">
        <is>
          <t>Root Cause Analysis</t>
        </is>
      </c>
      <c r="B44" s="30" t="inlineStr">
        <is>
          <t>Systemic issues identified</t>
        </is>
      </c>
      <c r="C44" s="31">
        <f>COUNTIF('Root Cause Analysis'!H5:H54,"Yes")</f>
        <v/>
      </c>
      <c r="D44" s="31" t="inlineStr">
        <is>
          <t>High</t>
        </is>
      </c>
      <c r="E44" s="30" t="inlineStr">
        <is>
          <t>Review prevention programme</t>
        </is>
      </c>
      <c r="F44" s="30" t="inlineStr"/>
      <c r="G44" s="30" t="inlineStr"/>
    </row>
    <row r="45">
      <c r="A45" s="30" t="inlineStr">
        <is>
          <t>Effectiveness</t>
        </is>
      </c>
      <c r="B45" s="30" t="inlineStr">
        <is>
          <t>Verifications failed (Not Effective)</t>
        </is>
      </c>
      <c r="C45" s="31">
        <f>COUNTIF('Verification Log'!H5:H54,"Not Effective")</f>
        <v/>
      </c>
      <c r="D45" s="31" t="inlineStr">
        <is>
          <t>Critical</t>
        </is>
      </c>
      <c r="E45" s="30" t="inlineStr">
        <is>
          <t>Re-work remediation</t>
        </is>
      </c>
      <c r="F45" s="30" t="inlineStr"/>
      <c r="G45" s="30" t="inlineStr"/>
    </row>
    <row r="46">
      <c r="A46" s="30" t="inlineStr">
        <is>
          <t>Effectiveness</t>
        </is>
      </c>
      <c r="B46" s="30" t="inlineStr">
        <is>
          <t>Re-work required items</t>
        </is>
      </c>
      <c r="C46" s="31">
        <f>COUNTIF('Verification Log'!I5:I54,"Re-work Required")</f>
        <v/>
      </c>
      <c r="D46" s="31" t="inlineStr">
        <is>
          <t>High</t>
        </is>
      </c>
      <c r="E46" s="30" t="inlineStr">
        <is>
          <t>Rework action plan</t>
        </is>
      </c>
      <c r="F46" s="30" t="inlineStr"/>
      <c r="G46" s="30" t="inlineStr"/>
    </row>
    <row r="47">
      <c r="A47" s="32" t="n"/>
      <c r="B47" s="32" t="n"/>
      <c r="C47" s="32" t="n"/>
      <c r="D47" s="32" t="n"/>
      <c r="E47" s="32" t="n"/>
      <c r="F47" s="32" t="n"/>
      <c r="G47" s="32" t="n"/>
    </row>
    <row r="48">
      <c r="A48" s="32" t="n"/>
      <c r="B48" s="32" t="n"/>
      <c r="C48" s="32" t="n"/>
      <c r="D48" s="32" t="n"/>
      <c r="E48" s="32" t="n"/>
      <c r="F48" s="32" t="n"/>
      <c r="G48" s="32"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3" t="inlineStr">
        <is>
          <t>ASSESSMENT APPROVAL AND SIGN-OFF</t>
        </is>
      </c>
      <c r="B1" s="6" t="n"/>
      <c r="C1" s="6" t="n"/>
      <c r="D1" s="6" t="n"/>
      <c r="E1" s="6" t="n"/>
    </row>
    <row r="2">
      <c r="A2" s="34" t="inlineStr">
        <is>
          <t>ISO/IEC 27001:2022 - Control A.5.35-36: Compliance &amp; Review</t>
        </is>
      </c>
      <c r="B2" s="6" t="n"/>
      <c r="C2" s="6" t="n"/>
      <c r="D2" s="6" t="n"/>
      <c r="E2" s="6" t="n"/>
    </row>
    <row r="3">
      <c r="A3" s="35" t="inlineStr">
        <is>
          <t>ASSESSMENT SUMMARY</t>
        </is>
      </c>
      <c r="B3" s="6" t="n"/>
      <c r="C3" s="6" t="n"/>
      <c r="D3" s="6" t="n"/>
      <c r="E3" s="6" t="n"/>
    </row>
    <row r="4">
      <c r="A4" s="3" t="inlineStr">
        <is>
          <t>Document:</t>
        </is>
      </c>
      <c r="B4" s="6" t="inlineStr">
        <is>
          <t>ISMS-IMP-A.5.35-36.S3 - Findings and Remediation Management</t>
        </is>
      </c>
      <c r="C4" s="6" t="n"/>
      <c r="D4" s="6" t="n"/>
      <c r="E4" s="6" t="n"/>
    </row>
    <row r="5">
      <c r="A5" s="3" t="inlineStr">
        <is>
          <t>Assessment Period:</t>
        </is>
      </c>
      <c r="B5" s="16" t="inlineStr"/>
      <c r="C5" s="6" t="n"/>
      <c r="D5" s="6" t="n"/>
      <c r="E5" s="6" t="n"/>
    </row>
    <row r="6">
      <c r="A6" s="3" t="inlineStr">
        <is>
          <t>Overall Compliance Rating:</t>
        </is>
      </c>
      <c r="B6" s="36">
        <f>IFERROR(AVERAGE('Summary Dashboard'!G6:G9),"")</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5"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5"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37"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5"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ISMS-IMP-A.5.35-36.S3 — Findings and Remediation Management</dc:title>
  <dc:description xmlns:dc="http://purl.org/dc/elements/1.1/">ISMS Implementation Workbook — ISMS-IMP-A.5.35-36.S3</dc:description>
  <dc:subject xmlns:dc="http://purl.org/dc/elements/1.1/">ISO/IEC 27001:2022 — Control A.5.35-36: Compliance &amp; Review</dc:subject>
  <dcterms:created xmlns:dcterms="http://purl.org/dc/terms/" xmlns:xsi="http://www.w3.org/2001/XMLSchema-instance" xsi:type="dcterms:W3CDTF">2026-03-01T11:12:12Z</dcterms:created>
  <dcterms:modified xmlns:dcterms="http://purl.org/dc/terms/" xmlns:xsi="http://www.w3.org/2001/XMLSchema-instance" xsi:type="dcterms:W3CDTF">2026-03-01T11:12:12Z</dcterms:modified>
</cp:coreProperties>
</file>