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view Schedule" sheetId="2" state="visible" r:id="rId2"/>
    <sheet xmlns:r="http://schemas.openxmlformats.org/officeDocument/2006/relationships" name="Reviewer Registry" sheetId="3" state="visible" r:id="rId3"/>
    <sheet xmlns:r="http://schemas.openxmlformats.org/officeDocument/2006/relationships" name="Review Scope" sheetId="4" state="visible" r:id="rId4"/>
    <sheet xmlns:r="http://schemas.openxmlformats.org/officeDocument/2006/relationships" name="Review Execution" sheetId="5" state="visible" r:id="rId5"/>
    <sheet xmlns:r="http://schemas.openxmlformats.org/officeDocument/2006/relationships" name="Findings Summary"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6" fillId="8" borderId="1" applyAlignment="1" pivotButton="0" quotePrefix="0" xfId="0">
      <alignment horizontal="center" vertical="center" wrapText="1"/>
    </xf>
    <xf numFmtId="0" fontId="7" fillId="8" borderId="2" applyAlignment="1" pivotButton="0" quotePrefix="0" xfId="0">
      <alignment horizontal="center" vertical="center" wrapText="1"/>
    </xf>
    <xf numFmtId="0" fontId="0" fillId="0" borderId="2" pivotButton="0" quotePrefix="0" xfId="0"/>
    <xf numFmtId="0" fontId="8" fillId="0" borderId="0" applyAlignment="1" pivotButton="0" quotePrefix="0" xfId="0">
      <alignment horizontal="left" vertical="center"/>
    </xf>
    <xf numFmtId="0" fontId="9" fillId="8" borderId="2" pivotButton="0" quotePrefix="0" xfId="0"/>
    <xf numFmtId="0" fontId="10" fillId="9" borderId="2" applyAlignment="1" pivotButton="0" quotePrefix="0" xfId="0">
      <alignment horizontal="center" vertical="center" wrapText="1"/>
    </xf>
    <xf numFmtId="0" fontId="11" fillId="0" borderId="2" pivotButton="0" quotePrefix="0" xfId="0"/>
    <xf numFmtId="0" fontId="11" fillId="0" borderId="2" applyAlignment="1" pivotButton="0" quotePrefix="0" xfId="0">
      <alignment horizontal="center"/>
    </xf>
    <xf numFmtId="164" fontId="11" fillId="0" borderId="2" applyAlignment="1" pivotButton="0" quotePrefix="0" xfId="0">
      <alignment horizontal="center"/>
    </xf>
    <xf numFmtId="0" fontId="10" fillId="9" borderId="2" pivotButton="0" quotePrefix="0" xfId="0"/>
    <xf numFmtId="0" fontId="10" fillId="9" borderId="2" applyAlignment="1" pivotButton="0" quotePrefix="0" xfId="0">
      <alignment horizontal="center"/>
    </xf>
    <xf numFmtId="164" fontId="10" fillId="9" borderId="2" applyAlignment="1" pivotButton="0" quotePrefix="0" xfId="0">
      <alignment horizontal="center"/>
    </xf>
    <xf numFmtId="0" fontId="9" fillId="12" borderId="2" pivotButton="0" quotePrefix="0" xfId="0"/>
    <xf numFmtId="0" fontId="11" fillId="11" borderId="2" pivotButton="0" quotePrefix="0" xfId="0"/>
    <xf numFmtId="0" fontId="11" fillId="11" borderId="2" applyAlignment="1" pivotButton="0" quotePrefix="0" xfId="0">
      <alignment horizontal="center"/>
    </xf>
    <xf numFmtId="0" fontId="0" fillId="11" borderId="2" pivotButton="0" quotePrefix="0" xfId="0"/>
    <xf numFmtId="0" fontId="1" fillId="8" borderId="1" applyAlignment="1" pivotButton="0" quotePrefix="0" xfId="0">
      <alignment horizontal="center" vertical="center" wrapText="1"/>
    </xf>
    <xf numFmtId="0" fontId="8" fillId="0" borderId="1" applyAlignment="1" pivotButton="0" quotePrefix="0" xfId="0">
      <alignment horizontal="center" vertical="center"/>
    </xf>
    <xf numFmtId="0" fontId="12" fillId="13" borderId="1" pivotButton="0" quotePrefix="0" xfId="0"/>
    <xf numFmtId="0" fontId="0" fillId="11" borderId="1" pivotButton="0" quotePrefix="0" xfId="0"/>
    <xf numFmtId="164" fontId="0" fillId="0"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ISMS-IMP-A.5.35-36.S1  -  Independent Review Planning and Tracking
ISO/IEC 27001:2022 - Control A.5.35: Independent Review of Information Security</t>
        </is>
      </c>
    </row>
    <row r="3">
      <c r="A3" s="2" t="inlineStr">
        <is>
          <t>Document Information</t>
        </is>
      </c>
    </row>
    <row r="4">
      <c r="A4" s="3" t="inlineStr">
        <is>
          <t>Document ID</t>
        </is>
      </c>
      <c r="B4" t="inlineStr">
        <is>
          <t>ISMS-IMP-A.5.35-36.S1</t>
        </is>
      </c>
    </row>
    <row r="5">
      <c r="A5" s="3" t="inlineStr">
        <is>
          <t>Workbook Title</t>
        </is>
      </c>
      <c r="B5" t="inlineStr">
        <is>
          <t>Independent Review Planning and Tracking</t>
        </is>
      </c>
    </row>
    <row r="6">
      <c r="A6" s="3" t="inlineStr">
        <is>
          <t>Control Reference</t>
        </is>
      </c>
      <c r="B6" t="inlineStr">
        <is>
          <t>ISO/IEC 27001:2022 - Control A.5.35: Independent Review of Information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Review Schedule — plan all independent ISMS reviews for the assessment period.</t>
        </is>
      </c>
    </row>
    <row r="14">
      <c r="A14" t="inlineStr">
        <is>
          <t>2. Complete Reviewer Registry — document qualified independent reviewers (internal audit, external).</t>
        </is>
      </c>
    </row>
    <row r="15">
      <c r="A15" t="inlineStr">
        <is>
          <t>3. Complete Review Scope — define the scope, objectives, and criteria for each review.</t>
        </is>
      </c>
    </row>
    <row r="16">
      <c r="A16" t="inlineStr">
        <is>
          <t>4. Complete Review Execution — record review activities, interviews, and evidence collected.</t>
        </is>
      </c>
    </row>
    <row r="17">
      <c r="A17" t="inlineStr">
        <is>
          <t>5. Complete Findings Summary — consolidate all findings with risk ratings and recommendations.</t>
        </is>
      </c>
    </row>
    <row r="18">
      <c r="A18" t="inlineStr">
        <is>
          <t>6. Maintain Evidence Records with review reports and management responses.</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18" customWidth="1" min="2" max="2"/>
    <col width="35" customWidth="1" min="3" max="3"/>
    <col width="14" customWidth="1" min="4" max="4"/>
    <col width="14" customWidth="1" min="5" max="5"/>
    <col width="14" customWidth="1" min="6" max="6"/>
    <col width="14" customWidth="1" min="7" max="7"/>
    <col width="22" customWidth="1" min="8" max="8"/>
    <col width="16" customWidth="1" min="9" max="9"/>
    <col width="14" customWidth="1" min="10" max="10"/>
    <col width="14" customWidth="1" min="11" max="11"/>
    <col width="30" customWidth="1" min="12" max="12"/>
  </cols>
  <sheetData>
    <row r="1" ht="35" customHeight="1">
      <c r="A1" s="11" t="inlineStr">
        <is>
          <t>INDEPENDENT REVIEW SCHEDULE</t>
        </is>
      </c>
    </row>
    <row r="2">
      <c r="A2" s="12" t="inlineStr">
        <is>
          <t>Record all independent reviews of the ISMS at planned intervals — include type, scope, reviewer, dates, and status.</t>
        </is>
      </c>
    </row>
    <row r="3">
      <c r="A3" s="13" t="inlineStr">
        <is>
          <t>Review ID</t>
        </is>
      </c>
      <c r="B3" s="13" t="inlineStr">
        <is>
          <t>Review Type</t>
        </is>
      </c>
      <c r="C3" s="13" t="inlineStr">
        <is>
          <t>Review Scope</t>
        </is>
      </c>
      <c r="D3" s="13" t="inlineStr">
        <is>
          <t>Planned Start</t>
        </is>
      </c>
      <c r="E3" s="13" t="inlineStr">
        <is>
          <t>Planned End</t>
        </is>
      </c>
      <c r="F3" s="13" t="inlineStr">
        <is>
          <t>Actual Start</t>
        </is>
      </c>
      <c r="G3" s="13" t="inlineStr">
        <is>
          <t>Actual End</t>
        </is>
      </c>
      <c r="H3" s="13" t="inlineStr">
        <is>
          <t>Lead Reviewer</t>
        </is>
      </c>
      <c r="I3" s="13" t="inlineStr">
        <is>
          <t>Review Status</t>
        </is>
      </c>
      <c r="J3" s="13" t="inlineStr">
        <is>
          <t>Findings Count</t>
        </is>
      </c>
      <c r="K3" s="13" t="inlineStr">
        <is>
          <t>Report Date</t>
        </is>
      </c>
      <c r="L3" s="13" t="inlineStr">
        <is>
          <t>Notes</t>
        </is>
      </c>
    </row>
    <row r="4">
      <c r="A4" s="14" t="inlineStr">
        <is>
          <t>REV-2026-001</t>
        </is>
      </c>
      <c r="B4" s="14" t="inlineStr">
        <is>
          <t>Annual Comprehensive</t>
        </is>
      </c>
      <c r="C4" s="14" t="inlineStr">
        <is>
          <t>Full ISMS scope including A.5-A.8</t>
        </is>
      </c>
      <c r="D4" s="14" t="inlineStr">
        <is>
          <t>01.03.2026</t>
        </is>
      </c>
      <c r="E4" s="14" t="inlineStr">
        <is>
          <t>15.03.2026</t>
        </is>
      </c>
      <c r="F4" s="14" t="inlineStr">
        <is>
          <t>01.03.2026</t>
        </is>
      </c>
      <c r="G4" s="14" t="inlineStr">
        <is>
          <t>14.03.2026</t>
        </is>
      </c>
      <c r="H4" s="14" t="inlineStr">
        <is>
          <t>J. Smith (External)</t>
        </is>
      </c>
      <c r="I4" s="14" t="inlineStr">
        <is>
          <t>Completed</t>
        </is>
      </c>
      <c r="J4" s="14" t="inlineStr">
        <is>
          <t>3</t>
        </is>
      </c>
      <c r="K4" s="14" t="inlineStr">
        <is>
          <t>20.03.2026</t>
        </is>
      </c>
      <c r="L4" s="14" t="inlineStr">
        <is>
          <t>Annual review — ISO 27001:2022 certification audit</t>
        </is>
      </c>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2">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"Annual Comprehensive,Surveillance,Ad-Hoc,Pre-Certification,Post-Incident,Scope Change"</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"Planned,In Progress,Completed,Postponed,Cancelled"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4" customWidth="1" min="1" max="1"/>
    <col width="25" customWidth="1" min="2" max="2"/>
    <col width="25" customWidth="1" min="3" max="3"/>
    <col width="16" customWidth="1" min="4" max="4"/>
    <col width="35" customWidth="1" min="5" max="5"/>
    <col width="16" customWidth="1" min="6" max="6"/>
    <col width="35" customWidth="1" min="7" max="7"/>
    <col width="18" customWidth="1" min="8" max="8"/>
    <col width="16" customWidth="1" min="9" max="9"/>
    <col width="16" customWidth="1" min="10" max="10"/>
    <col width="30" customWidth="1" min="11" max="11"/>
  </cols>
  <sheetData>
    <row r="1" ht="35" customHeight="1">
      <c r="A1" s="11" t="inlineStr">
        <is>
          <t>QUALIFIED REVIEWER REGISTRY</t>
        </is>
      </c>
    </row>
    <row r="2">
      <c r="A2" s="12" t="inlineStr">
        <is>
          <t>Register all approved independent reviewers — record qualifications, independence status, and approval for use in ISMS reviews.</t>
        </is>
      </c>
    </row>
    <row r="3">
      <c r="A3" s="13" t="inlineStr">
        <is>
          <t>Reviewer ID</t>
        </is>
      </c>
      <c r="B3" s="13" t="inlineStr">
        <is>
          <t>Reviewer Name</t>
        </is>
      </c>
      <c r="C3" s="13" t="inlineStr">
        <is>
          <t>Organisation</t>
        </is>
      </c>
      <c r="D3" s="13" t="inlineStr">
        <is>
          <t>Reviewer Type</t>
        </is>
      </c>
      <c r="E3" s="13" t="inlineStr">
        <is>
          <t>Qualifications</t>
        </is>
      </c>
      <c r="F3" s="13" t="inlineStr">
        <is>
          <t>Certification Expiry</t>
        </is>
      </c>
      <c r="G3" s="13" t="inlineStr">
        <is>
          <t>Areas of Expertise</t>
        </is>
      </c>
      <c r="H3" s="13" t="inlineStr">
        <is>
          <t>Independence Status</t>
        </is>
      </c>
      <c r="I3" s="13" t="inlineStr">
        <is>
          <t>Last Review Date</t>
        </is>
      </c>
      <c r="J3" s="13" t="inlineStr">
        <is>
          <t>Approval Status</t>
        </is>
      </c>
      <c r="K3" s="13" t="inlineStr">
        <is>
          <t>Notes</t>
        </is>
      </c>
    </row>
    <row r="4">
      <c r="A4" s="14" t="inlineStr">
        <is>
          <t>RVR-001</t>
        </is>
      </c>
      <c r="B4" s="14" t="inlineStr">
        <is>
          <t>Jane Smith</t>
        </is>
      </c>
      <c r="C4" s="14" t="inlineStr">
        <is>
          <t>ISO Auditors Ltd</t>
        </is>
      </c>
      <c r="D4" s="14" t="inlineStr">
        <is>
          <t>External Auditor</t>
        </is>
      </c>
      <c r="E4" s="14" t="inlineStr">
        <is>
          <t>ISO 27001 Lead Auditor (IRCA), CISA</t>
        </is>
      </c>
      <c r="F4" s="14" t="inlineStr">
        <is>
          <t>31.12.2027</t>
        </is>
      </c>
      <c r="G4" s="14" t="inlineStr">
        <is>
          <t>ISMS Governance, Access Control, Risk Management</t>
        </is>
      </c>
      <c r="H4" s="14" t="inlineStr">
        <is>
          <t>Fully Independent</t>
        </is>
      </c>
      <c r="I4" s="14" t="inlineStr">
        <is>
          <t>15.03.2026</t>
        </is>
      </c>
      <c r="J4" s="14" t="inlineStr">
        <is>
          <t>Approved</t>
        </is>
      </c>
      <c r="K4" s="14" t="inlineStr">
        <is>
          <t>Approved for annual ISMS certification audit</t>
        </is>
      </c>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3">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"External Auditor,External Consultant,Internal Audit,Cross-Departmental"</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"Fully Independent,Conditionally Independent,Not Independent"</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0" type="list">
      <formula1>"Approved,Pending Approval,Expired,Revoked"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25" customWidth="1" min="3" max="3"/>
    <col width="25" customWidth="1" min="4" max="4"/>
    <col width="30" customWidth="1" min="5" max="5"/>
    <col width="25" customWidth="1" min="6" max="6"/>
    <col width="22" customWidth="1" min="7" max="7"/>
    <col width="14" customWidth="1" min="8" max="8"/>
    <col width="20" customWidth="1" min="9" max="9"/>
    <col width="30" customWidth="1" min="10" max="10"/>
  </cols>
  <sheetData>
    <row r="1" ht="35" customHeight="1">
      <c r="A1" s="11" t="inlineStr">
        <is>
          <t>REVIEW SCOPE DEFINITION</t>
        </is>
      </c>
    </row>
    <row r="2">
      <c r="A2" s="12" t="inlineStr">
        <is>
          <t>Define the scope for each independent review — specify controls covered, departments, systems, sampling approach, and approver.</t>
        </is>
      </c>
    </row>
    <row r="3">
      <c r="A3" s="13" t="inlineStr">
        <is>
          <t>Review Ref</t>
        </is>
      </c>
      <c r="B3" s="13" t="inlineStr">
        <is>
          <t>Scope Area</t>
        </is>
      </c>
      <c r="C3" s="13" t="inlineStr">
        <is>
          <t>ISO Controls</t>
        </is>
      </c>
      <c r="D3" s="13" t="inlineStr">
        <is>
          <t>Departments Included</t>
        </is>
      </c>
      <c r="E3" s="13" t="inlineStr">
        <is>
          <t>Systems Included</t>
        </is>
      </c>
      <c r="F3" s="13" t="inlineStr">
        <is>
          <t>Exclusions</t>
        </is>
      </c>
      <c r="G3" s="13" t="inlineStr">
        <is>
          <t>Sampling Approach</t>
        </is>
      </c>
      <c r="H3" s="13" t="inlineStr">
        <is>
          <t>Sample Size</t>
        </is>
      </c>
      <c r="I3" s="13" t="inlineStr">
        <is>
          <t>Scope Approved By</t>
        </is>
      </c>
      <c r="J3" s="13" t="inlineStr">
        <is>
          <t>Notes</t>
        </is>
      </c>
    </row>
    <row r="4">
      <c r="A4" s="14" t="inlineStr">
        <is>
          <t>REV-2026-001</t>
        </is>
      </c>
      <c r="B4" s="14" t="inlineStr">
        <is>
          <t>ISMS Governance</t>
        </is>
      </c>
      <c r="C4" s="14" t="inlineStr">
        <is>
          <t>A.5.1-A.5.4</t>
        </is>
      </c>
      <c r="D4" s="14" t="inlineStr">
        <is>
          <t>Executive, IS Team</t>
        </is>
      </c>
      <c r="E4" s="14" t="inlineStr">
        <is>
          <t>ISMS platform, SharePoint</t>
        </is>
      </c>
      <c r="F4" s="14" t="inlineStr">
        <is>
          <t>Operational systems</t>
        </is>
      </c>
      <c r="G4" s="14" t="inlineStr">
        <is>
          <t>Risk-Based</t>
        </is>
      </c>
      <c r="H4" s="14" t="inlineStr">
        <is>
          <t>25</t>
        </is>
      </c>
      <c r="I4" s="14" t="inlineStr">
        <is>
          <t>CISO</t>
        </is>
      </c>
      <c r="J4" s="14" t="inlineStr">
        <is>
          <t>Scope agreed and approved 15.02.2026</t>
        </is>
      </c>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1">
    <dataValidation sqref="G4 G5 G6 G7 G8 G9 G10 G11 G12 G13 G14 G15 G16 G17 G18 G19 G20 G21 G22 G23 G24 G25 G26 G27 G28 G29 G30 G31 G32 G33 G34 G35 G36 G37 G38 G39 G40 G41 G42 G43 G44 G45 G46 G47 G48 G49 G50 G51 G52 G53 G54" showDropDown="0" showInputMessage="0" showErrorMessage="0" allowBlank="0" type="list">
      <formula1>"Statistical,Judgmental,100% Coverage,Risk-Based"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40" customWidth="1" min="3" max="3"/>
    <col width="22" customWidth="1" min="4" max="4"/>
    <col width="14" customWidth="1" min="5" max="5"/>
    <col width="14" customWidth="1" min="6" max="6"/>
    <col width="16" customWidth="1" min="7" max="7"/>
    <col width="16" customWidth="1" min="8" max="8"/>
    <col width="18" customWidth="1" min="9" max="9"/>
    <col width="14" customWidth="1" min="10" max="10"/>
    <col width="16" customWidth="1" min="11" max="11"/>
    <col width="30" customWidth="1" min="12" max="12"/>
  </cols>
  <sheetData>
    <row r="1" ht="35" customHeight="1">
      <c r="A1" s="11" t="inlineStr">
        <is>
          <t>REVIEW EXECUTION TRACKING</t>
        </is>
      </c>
    </row>
    <row r="2">
      <c r="A2" s="12" t="inlineStr">
        <is>
          <t>Track individual review activities — log assigned reviewer, planned/actual dates, status, evidence collected, and any issues found.</t>
        </is>
      </c>
    </row>
    <row r="3">
      <c r="A3" s="13" t="inlineStr">
        <is>
          <t>Activity ID</t>
        </is>
      </c>
      <c r="B3" s="13" t="inlineStr">
        <is>
          <t>Review Ref</t>
        </is>
      </c>
      <c r="C3" s="13" t="inlineStr">
        <is>
          <t>Activity Description</t>
        </is>
      </c>
      <c r="D3" s="13" t="inlineStr">
        <is>
          <t>Assigned To</t>
        </is>
      </c>
      <c r="E3" s="13" t="inlineStr">
        <is>
          <t>Planned Date</t>
        </is>
      </c>
      <c r="F3" s="13" t="inlineStr">
        <is>
          <t>Actual Date</t>
        </is>
      </c>
      <c r="G3" s="13" t="inlineStr">
        <is>
          <t>Status</t>
        </is>
      </c>
      <c r="H3" s="13" t="inlineStr">
        <is>
          <t>Evidence Collected</t>
        </is>
      </c>
      <c r="I3" s="13" t="inlineStr">
        <is>
          <t>Interviews Conducted</t>
        </is>
      </c>
      <c r="J3" s="13" t="inlineStr">
        <is>
          <t>Issues Found</t>
        </is>
      </c>
      <c r="K3" s="13" t="inlineStr">
        <is>
          <t>Follow Up Required</t>
        </is>
      </c>
      <c r="L3" s="13" t="inlineStr">
        <is>
          <t>Notes</t>
        </is>
      </c>
    </row>
    <row r="4">
      <c r="A4" s="14" t="inlineStr">
        <is>
          <t>ACT-001</t>
        </is>
      </c>
      <c r="B4" s="14" t="inlineStr">
        <is>
          <t>REV-2026-001</t>
        </is>
      </c>
      <c r="C4" s="14" t="inlineStr">
        <is>
          <t>Review access control policy and implementation</t>
        </is>
      </c>
      <c r="D4" s="14" t="inlineStr">
        <is>
          <t>J. Smith</t>
        </is>
      </c>
      <c r="E4" s="14" t="inlineStr">
        <is>
          <t>02.03.2026</t>
        </is>
      </c>
      <c r="F4" s="14" t="inlineStr">
        <is>
          <t>02.03.2026</t>
        </is>
      </c>
      <c r="G4" s="14" t="inlineStr">
        <is>
          <t>Completed</t>
        </is>
      </c>
      <c r="H4" s="14" t="inlineStr">
        <is>
          <t>Yes</t>
        </is>
      </c>
      <c r="I4" s="14" t="inlineStr">
        <is>
          <t>Yes</t>
        </is>
      </c>
      <c r="J4" s="14" t="inlineStr">
        <is>
          <t>2</t>
        </is>
      </c>
      <c r="K4" s="14" t="inlineStr">
        <is>
          <t>No</t>
        </is>
      </c>
      <c r="L4" s="14" t="inlineStr">
        <is>
          <t>Policy v2.1 reviewed; 2 gaps identified in MFA enforcement</t>
        </is>
      </c>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2">
    <dataValidation sqref="G4 G5 G6 G7 G8 G9 G10 G11 G12 G13 G14 G15 G16 G17 G18 G19 G20 G21 G22 G23 G24 G25 G26 G27 G28 G29 G30 G31 G32 G33 G34 G35 G36 G37 G38 G39 G40 G41 G42 G43 G44 G45 G46 G47 G48 G49 G50 G51 G52 G53 G54" showDropDown="0" showInputMessage="0" showErrorMessage="0" allowBlank="0" type="list">
      <formula1>"Not Started,In Progress,Completed,Blocked"</formula1>
    </dataValidation>
    <dataValidation sqref="H4 H5 H6 H7 H8 H9 H10 H11 H12 H13 H14 H15 H16 H17 H18 H19 H20 H21 H22 H23 H24 H25 H26 H27 H28 H29 H30 H31 H32 H33 H34 H35 H36 H37 H38 H39 H40 H41 H42 H43 H44 H45 H46 H47 H48 H49 H50 H51 H52 H53 H54 K4 K5 K6 K7 K8 K9 K10 K11 K12 K13 K14 K15 K16 K17 K18 K19 K20 K21 K22 K23 K24 K25 K26 K27 K28 K29 K30 K31 K32 K33 K34 K35 K36 K37 K38 K39 K40 K41 K42 K43 K44 K45 K46 K47 K48 K49 K50 K51 K52 K53 K54" showDropDown="0" showInputMessage="0" showErrorMessage="0" allowBlank="0" type="list">
      <formula1>"Yes,No,Partial"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18" customWidth="1" min="3" max="3"/>
    <col width="50" customWidth="1" min="4" max="4"/>
    <col width="18" customWidth="1" min="5" max="5"/>
    <col width="14" customWidth="1" min="6" max="6"/>
    <col width="30" customWidth="1" min="7" max="7"/>
    <col width="40" customWidth="1" min="8" max="8"/>
    <col width="35" customWidth="1" min="9" max="9"/>
    <col width="22" customWidth="1" min="10" max="10"/>
    <col width="14" customWidth="1" min="11" max="11"/>
    <col width="16" customWidth="1" min="12" max="12"/>
  </cols>
  <sheetData>
    <row r="1" ht="35" customHeight="1">
      <c r="A1" s="11" t="inlineStr">
        <is>
          <t>REVIEW FINDINGS SUMMARY</t>
        </is>
      </c>
    </row>
    <row r="2">
      <c r="A2" s="12" t="inlineStr">
        <is>
          <t>Record all findings identified during independent reviews — classify by type and severity, assign owners, and track to closure.</t>
        </is>
      </c>
    </row>
    <row r="3">
      <c r="A3" s="13" t="inlineStr">
        <is>
          <t>Finding ID</t>
        </is>
      </c>
      <c r="B3" s="13" t="inlineStr">
        <is>
          <t>Review Ref</t>
        </is>
      </c>
      <c r="C3" s="13" t="inlineStr">
        <is>
          <t>Finding Type</t>
        </is>
      </c>
      <c r="D3" s="13" t="inlineStr">
        <is>
          <t>Finding Description</t>
        </is>
      </c>
      <c r="E3" s="13" t="inlineStr">
        <is>
          <t>Control Reference</t>
        </is>
      </c>
      <c r="F3" s="13" t="inlineStr">
        <is>
          <t>Severity</t>
        </is>
      </c>
      <c r="G3" s="13" t="inlineStr">
        <is>
          <t>Root Cause</t>
        </is>
      </c>
      <c r="H3" s="13" t="inlineStr">
        <is>
          <t>Recommendation</t>
        </is>
      </c>
      <c r="I3" s="13" t="inlineStr">
        <is>
          <t>Management Response</t>
        </is>
      </c>
      <c r="J3" s="13" t="inlineStr">
        <is>
          <t>Remediation Owner</t>
        </is>
      </c>
      <c r="K3" s="13" t="inlineStr">
        <is>
          <t>Target Date</t>
        </is>
      </c>
      <c r="L3" s="13" t="inlineStr">
        <is>
          <t>Status</t>
        </is>
      </c>
    </row>
    <row r="4">
      <c r="A4" s="14" t="inlineStr">
        <is>
          <t>FND-001</t>
        </is>
      </c>
      <c r="B4" s="14" t="inlineStr">
        <is>
          <t>REV-2026-001</t>
        </is>
      </c>
      <c r="C4" s="14" t="inlineStr">
        <is>
          <t>Non-Conformity</t>
        </is>
      </c>
      <c r="D4" s="14" t="inlineStr">
        <is>
          <t>MFA not enforced for privileged accounts in cloud environment</t>
        </is>
      </c>
      <c r="E4" s="14" t="inlineStr">
        <is>
          <t>A.5.15, A.8.5</t>
        </is>
      </c>
      <c r="F4" s="14" t="inlineStr">
        <is>
          <t>Major</t>
        </is>
      </c>
      <c r="G4" s="14" t="inlineStr">
        <is>
          <t>Policy gap — MFA policy not updated post-cloud migration</t>
        </is>
      </c>
      <c r="H4" s="14" t="inlineStr">
        <is>
          <t>Enforce MFA for all privileged accounts within 30 days</t>
        </is>
      </c>
      <c r="I4" s="14" t="inlineStr">
        <is>
          <t>Accepted — remediation plan in progress</t>
        </is>
      </c>
      <c r="J4" s="14" t="inlineStr">
        <is>
          <t>IT Operations Manager</t>
        </is>
      </c>
      <c r="K4" s="14" t="inlineStr">
        <is>
          <t>31.03.2026</t>
        </is>
      </c>
      <c r="L4" s="14" t="inlineStr">
        <is>
          <t>In Progress</t>
        </is>
      </c>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3">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"Non-Conformity,Observation,Opportunity for Improvement,Positive Finding"</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"Major,Minor,Observation"</formula1>
    </dataValidation>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"Open,In Progress,Closed,Accepted"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5" customWidth="1" min="3" max="3"/>
    <col width="18" customWidth="1" min="4" max="4"/>
    <col width="16" customWidth="1" min="5" max="5"/>
    <col width="40" customWidth="1" min="6" max="6"/>
    <col width="25" customWidth="1" min="7" max="7"/>
    <col width="16" customWidth="1" min="8" max="8"/>
  </cols>
  <sheetData>
    <row r="1" ht="35" customHeight="1">
      <c r="A1" s="11" t="inlineStr">
        <is>
          <t>EVIDENCE REGISTER</t>
        </is>
      </c>
    </row>
    <row r="2">
      <c r="A2" s="12" t="inlineStr">
        <is>
          <t>Record all evidence collected during independent reviews — link each item to a review, specify type, location, and retention period.</t>
        </is>
      </c>
    </row>
    <row r="4">
      <c r="A4" s="16" t="inlineStr">
        <is>
          <t>Evidence ID</t>
        </is>
      </c>
      <c r="B4" s="16" t="inlineStr">
        <is>
          <t>Evidence Type</t>
        </is>
      </c>
      <c r="C4" s="16" t="inlineStr">
        <is>
          <t>Description</t>
        </is>
      </c>
      <c r="D4" s="16" t="inlineStr">
        <is>
          <t>Related Review</t>
        </is>
      </c>
      <c r="E4" s="16" t="inlineStr">
        <is>
          <t>Collection Date</t>
        </is>
      </c>
      <c r="F4" s="16" t="inlineStr">
        <is>
          <t>Location</t>
        </is>
      </c>
      <c r="G4" s="16" t="inlineStr">
        <is>
          <t>Collected By</t>
        </is>
      </c>
      <c r="H4" s="16" t="inlineStr">
        <is>
          <t>Retention Until</t>
        </is>
      </c>
    </row>
    <row r="5">
      <c r="A5" s="14" t="inlineStr">
        <is>
          <t>EV-001</t>
        </is>
      </c>
      <c r="B5" s="14" t="inlineStr">
        <is>
          <t>Audit Report</t>
        </is>
      </c>
      <c r="C5" s="14" t="inlineStr">
        <is>
          <t>Annual ISMS independent review report 2026</t>
        </is>
      </c>
      <c r="D5" s="14" t="inlineStr">
        <is>
          <t>REV-2026-001</t>
        </is>
      </c>
      <c r="E5" s="14" t="inlineStr">
        <is>
          <t>20.03.2026</t>
        </is>
      </c>
      <c r="F5" s="14" t="inlineStr">
        <is>
          <t>//fileserver/isms/evidence/reviews/2026/rev-2026-001-report.pdf</t>
        </is>
      </c>
      <c r="G5" s="14" t="inlineStr">
        <is>
          <t>J. Smith</t>
        </is>
      </c>
      <c r="H5" s="14" t="inlineStr">
        <is>
          <t>31.03.2031</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1">
    <dataValidation sqref="B4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"Review Plan,Scope Document,Interview Notes,Sample Evidence,Audit Report,Management Response,Closure Evidence"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7"/>
  <sheetViews>
    <sheetView showGridLines="0" workbookViewId="0">
      <pane ySplit="3" topLeftCell="A4" activePane="bottomLeft" state="frozen"/>
      <selection pane="bottomLeft" activeCell="A1" sqref="A1"/>
    </sheetView>
  </sheetViews>
  <sheetFormatPr baseColWidth="8" defaultRowHeight="15"/>
  <cols>
    <col width="45" customWidth="1" min="1" max="1"/>
    <col width="40" customWidth="1" min="2" max="2"/>
    <col width="12" customWidth="1" min="3" max="3"/>
    <col width="16" customWidth="1" min="4" max="4"/>
    <col width="22" customWidth="1" min="5" max="5"/>
    <col width="12" customWidth="1" min="6" max="6"/>
    <col width="15" customWidth="1" min="7" max="7"/>
  </cols>
  <sheetData>
    <row r="1" ht="35" customHeight="1">
      <c r="A1" s="17" t="inlineStr">
        <is>
          <t>INDEPENDENT REVIEW PLANNING AND TRACKING — SUMMARY DASHBOARD</t>
        </is>
      </c>
      <c r="B1" s="18" t="n"/>
      <c r="C1" s="18" t="n"/>
      <c r="D1" s="18" t="n"/>
      <c r="E1" s="18" t="n"/>
      <c r="F1" s="18" t="n"/>
      <c r="G1" s="18" t="n"/>
    </row>
    <row r="2">
      <c r="A2" s="19" t="inlineStr">
        <is>
          <t>ISO/IEC 27001:2022 | Control A.5.35: Independent Review of Information Security</t>
        </is>
      </c>
    </row>
    <row r="4">
      <c r="A4" s="20" t="inlineStr">
        <is>
          <t>TABLE 1: ASSESSMENT AREA COMPLIANCE OVERVIEW</t>
        </is>
      </c>
      <c r="B4" s="18" t="n"/>
      <c r="C4" s="18" t="n"/>
      <c r="D4" s="18" t="n"/>
      <c r="E4" s="18" t="n"/>
      <c r="F4" s="18" t="n"/>
      <c r="G4" s="18" t="n"/>
    </row>
    <row r="5">
      <c r="A5" s="21" t="inlineStr">
        <is>
          <t>Assessment Area</t>
        </is>
      </c>
      <c r="B5" s="21" t="inlineStr">
        <is>
          <t>Total Items</t>
        </is>
      </c>
      <c r="C5" s="21" t="inlineStr">
        <is>
          <t>Compliant</t>
        </is>
      </c>
      <c r="D5" s="21" t="inlineStr">
        <is>
          <t>Partial</t>
        </is>
      </c>
      <c r="E5" s="21" t="inlineStr">
        <is>
          <t>Non-Compliant</t>
        </is>
      </c>
      <c r="F5" s="21" t="inlineStr">
        <is>
          <t>N/A</t>
        </is>
      </c>
      <c r="G5" s="21" t="inlineStr">
        <is>
          <t>Compliance %</t>
        </is>
      </c>
    </row>
    <row r="6">
      <c r="A6" s="22" t="inlineStr">
        <is>
          <t>Review Planning</t>
        </is>
      </c>
      <c r="B6" s="23">
        <f>COUNTA('Review Schedule'!B5:B54)</f>
        <v/>
      </c>
      <c r="C6" s="23">
        <f>COUNTIF('Review Schedule'!I5:I54,"Completed")</f>
        <v/>
      </c>
      <c r="D6" s="23">
        <f>COUNTIF('Review Schedule'!I5:I54,"In Progress")</f>
        <v/>
      </c>
      <c r="E6" s="23">
        <f>COUNTIF('Review Schedule'!I5:I54,"Postponed")+COUNTIF('Review Schedule'!I5:I54,"Cancelled")</f>
        <v/>
      </c>
      <c r="F6" s="23">
        <f>COUNTIF('Review Schedule'!I5:I54,"Planned")</f>
        <v/>
      </c>
      <c r="G6" s="24">
        <f>IFERROR(IF((B6-F6)=0,0,C6/(B6-F6)),"")</f>
        <v/>
      </c>
    </row>
    <row r="7">
      <c r="A7" s="22" t="inlineStr">
        <is>
          <t>Reviewer Registry</t>
        </is>
      </c>
      <c r="B7" s="23">
        <f>COUNTA('Reviewer Registry'!B5:B54)</f>
        <v/>
      </c>
      <c r="C7" s="23">
        <f>COUNTIF('Reviewer Registry'!J5:J54,"Approved")</f>
        <v/>
      </c>
      <c r="D7" s="23">
        <f>COUNTIF('Reviewer Registry'!J5:J54,"Pending Approval")</f>
        <v/>
      </c>
      <c r="E7" s="23">
        <f>COUNTIF('Reviewer Registry'!J5:J54,"Revoked")</f>
        <v/>
      </c>
      <c r="F7" s="23">
        <f>COUNTIF('Reviewer Registry'!J5:J54,"Expired")</f>
        <v/>
      </c>
      <c r="G7" s="24">
        <f>IFERROR(IF((B7-F7)=0,0,C7/(B7-F7)),"")</f>
        <v/>
      </c>
    </row>
    <row r="8">
      <c r="A8" s="22" t="inlineStr">
        <is>
          <t>Review Execution</t>
        </is>
      </c>
      <c r="B8" s="23">
        <f>COUNTA('Review Execution'!B5:B54)</f>
        <v/>
      </c>
      <c r="C8" s="23">
        <f>COUNTIF('Review Execution'!G5:G54,"Completed")</f>
        <v/>
      </c>
      <c r="D8" s="23">
        <f>COUNTIF('Review Execution'!G5:G54,"In Progress")</f>
        <v/>
      </c>
      <c r="E8" s="23">
        <f>COUNTIF('Review Execution'!G5:G54,"Blocked")</f>
        <v/>
      </c>
      <c r="F8" s="23">
        <f>COUNTIF('Review Execution'!G5:G54,"Not Started")</f>
        <v/>
      </c>
      <c r="G8" s="24">
        <f>IFERROR(IF((B8-F8)=0,0,C8/(B8-F8)),"")</f>
        <v/>
      </c>
    </row>
    <row r="9">
      <c r="A9" s="22" t="inlineStr">
        <is>
          <t>Findings Summary</t>
        </is>
      </c>
      <c r="B9" s="23">
        <f>COUNTA('Findings Summary'!B5:B54)</f>
        <v/>
      </c>
      <c r="C9" s="23">
        <f>COUNTIF('Findings Summary'!L5:L54,"Closed")</f>
        <v/>
      </c>
      <c r="D9" s="23">
        <f>COUNTIF('Findings Summary'!L5:L54,"In Progress")</f>
        <v/>
      </c>
      <c r="E9" s="23">
        <f>COUNTIF('Findings Summary'!L5:L54,"Open")</f>
        <v/>
      </c>
      <c r="F9" s="23">
        <f>COUNTIF('Findings Summary'!L5:L54,"Accepted")</f>
        <v/>
      </c>
      <c r="G9" s="24">
        <f>IFERROR(IF((B9-F9)=0,0,C9/(B9-F9)),"")</f>
        <v/>
      </c>
    </row>
    <row r="10">
      <c r="A10" s="25" t="inlineStr">
        <is>
          <t>TOTAL</t>
        </is>
      </c>
      <c r="B10" s="26">
        <f>SUM(B6:B9)</f>
        <v/>
      </c>
      <c r="C10" s="26">
        <f>SUM(C6:C9)</f>
        <v/>
      </c>
      <c r="D10" s="26">
        <f>SUM(D6:D9)</f>
        <v/>
      </c>
      <c r="E10" s="26">
        <f>SUM(E6:E9)</f>
        <v/>
      </c>
      <c r="F10" s="26">
        <f>SUM(F6:F9)</f>
        <v/>
      </c>
      <c r="G10" s="27">
        <f>IFERROR(IF((B10-F10)=0,0,C10/(B10-F10)),"")</f>
        <v/>
      </c>
    </row>
    <row r="12">
      <c r="A12" s="20" t="inlineStr">
        <is>
          <t>TABLE 2: KEY METRICS</t>
        </is>
      </c>
      <c r="B12" s="18" t="n"/>
      <c r="C12" s="18" t="n"/>
      <c r="D12" s="18" t="n"/>
      <c r="E12" s="18" t="n"/>
      <c r="F12" s="18" t="n"/>
      <c r="G12" s="18" t="n"/>
    </row>
    <row r="13">
      <c r="A13" s="26" t="inlineStr">
        <is>
          <t>Metric</t>
        </is>
      </c>
      <c r="B13" s="26" t="inlineStr">
        <is>
          <t>Value</t>
        </is>
      </c>
      <c r="C13" s="26" t="n"/>
      <c r="D13" s="26" t="n"/>
      <c r="E13" s="26" t="n"/>
      <c r="F13" s="26" t="n"/>
      <c r="G13" s="26" t="n"/>
    </row>
    <row r="14">
      <c r="A14" s="22" t="inlineStr">
        <is>
          <t>Total Reviews Scheduled</t>
        </is>
      </c>
      <c r="B14" s="23">
        <f>COUNTA('Review Schedule'!B5:B54)</f>
        <v/>
      </c>
      <c r="C14" s="18" t="n"/>
      <c r="D14" s="18" t="n"/>
      <c r="E14" s="18" t="n"/>
      <c r="F14" s="18" t="n"/>
      <c r="G14" s="18" t="n"/>
    </row>
    <row r="15">
      <c r="A15" s="22" t="inlineStr">
        <is>
          <t>Reviews Completed</t>
        </is>
      </c>
      <c r="B15" s="23">
        <f>COUNTIF('Review Schedule'!I5:I54,"Completed")</f>
        <v/>
      </c>
      <c r="C15" s="18" t="n"/>
      <c r="D15" s="18" t="n"/>
      <c r="E15" s="18" t="n"/>
      <c r="F15" s="18" t="n"/>
      <c r="G15" s="18" t="n"/>
    </row>
    <row r="16">
      <c r="A16" s="22" t="inlineStr">
        <is>
          <t>Reviews In Progress</t>
        </is>
      </c>
      <c r="B16" s="23">
        <f>COUNTIF('Review Schedule'!I5:I54,"In Progress")</f>
        <v/>
      </c>
      <c r="C16" s="18" t="n"/>
      <c r="D16" s="18" t="n"/>
      <c r="E16" s="18" t="n"/>
      <c r="F16" s="18" t="n"/>
      <c r="G16" s="18" t="n"/>
    </row>
    <row r="17">
      <c r="A17" s="22" t="inlineStr">
        <is>
          <t>Reviews Postponed or Cancelled</t>
        </is>
      </c>
      <c r="B17" s="23">
        <f>COUNTIF('Review Schedule'!I5:I54,"Postponed")+COUNTIF('Review Schedule'!I5:I54,"Cancelled")</f>
        <v/>
      </c>
      <c r="C17" s="18" t="n"/>
      <c r="D17" s="18" t="n"/>
      <c r="E17" s="18" t="n"/>
      <c r="F17" s="18" t="n"/>
      <c r="G17" s="18" t="n"/>
    </row>
    <row r="18">
      <c r="A18" s="22" t="inlineStr">
        <is>
          <t>Annual Comprehensive Reviews</t>
        </is>
      </c>
      <c r="B18" s="23">
        <f>COUNTIF('Review Schedule'!B5:B54,"Annual Comprehensive")</f>
        <v/>
      </c>
      <c r="C18" s="18" t="n"/>
      <c r="D18" s="18" t="n"/>
      <c r="E18" s="18" t="n"/>
      <c r="F18" s="18" t="n"/>
      <c r="G18" s="18" t="n"/>
    </row>
    <row r="19">
      <c r="A19" s="22" t="inlineStr">
        <is>
          <t>Surveillance Reviews</t>
        </is>
      </c>
      <c r="B19" s="23">
        <f>COUNTIF('Review Schedule'!B5:B54,"Surveillance")</f>
        <v/>
      </c>
      <c r="C19" s="18" t="n"/>
      <c r="D19" s="18" t="n"/>
      <c r="E19" s="18" t="n"/>
      <c r="F19" s="18" t="n"/>
      <c r="G19" s="18" t="n"/>
    </row>
    <row r="20">
      <c r="A20" s="22" t="inlineStr">
        <is>
          <t>Ad-Hoc / Post-Incident Reviews</t>
        </is>
      </c>
      <c r="B20" s="23">
        <f>COUNTIF('Review Schedule'!B5:B54,"Ad-Hoc")+COUNTIF('Review Schedule'!B5:B54,"Post-Incident")</f>
        <v/>
      </c>
      <c r="C20" s="18" t="n"/>
      <c r="D20" s="18" t="n"/>
      <c r="E20" s="18" t="n"/>
      <c r="F20" s="18" t="n"/>
      <c r="G20" s="18" t="n"/>
    </row>
    <row r="21">
      <c r="A21" s="22" t="inlineStr">
        <is>
          <t>Total Registered Reviewers</t>
        </is>
      </c>
      <c r="B21" s="23">
        <f>COUNTA('Reviewer Registry'!B5:B54)</f>
        <v/>
      </c>
      <c r="C21" s="18" t="n"/>
      <c r="D21" s="18" t="n"/>
      <c r="E21" s="18" t="n"/>
      <c r="F21" s="18" t="n"/>
      <c r="G21" s="18" t="n"/>
    </row>
    <row r="22">
      <c r="A22" s="22" t="inlineStr">
        <is>
          <t>Approved Reviewers</t>
        </is>
      </c>
      <c r="B22" s="23">
        <f>COUNTIF('Reviewer Registry'!J5:J54,"Approved")</f>
        <v/>
      </c>
      <c r="C22" s="18" t="n"/>
      <c r="D22" s="18" t="n"/>
      <c r="E22" s="18" t="n"/>
      <c r="F22" s="18" t="n"/>
      <c r="G22" s="18" t="n"/>
    </row>
    <row r="23">
      <c r="A23" s="22" t="inlineStr">
        <is>
          <t>Fully Independent Reviewers</t>
        </is>
      </c>
      <c r="B23" s="23">
        <f>COUNTIF('Reviewer Registry'!H5:H54,"Fully Independent")</f>
        <v/>
      </c>
      <c r="C23" s="18" t="n"/>
      <c r="D23" s="18" t="n"/>
      <c r="E23" s="18" t="n"/>
      <c r="F23" s="18" t="n"/>
      <c r="G23" s="18" t="n"/>
    </row>
    <row r="24">
      <c r="A24" s="22" t="inlineStr">
        <is>
          <t>External Reviewers</t>
        </is>
      </c>
      <c r="B24" s="23">
        <f>COUNTIF('Reviewer Registry'!D5:D54,"External Auditor")+COUNTIF('Reviewer Registry'!D5:D54,"External Consultant")</f>
        <v/>
      </c>
      <c r="C24" s="18" t="n"/>
      <c r="D24" s="18" t="n"/>
      <c r="E24" s="18" t="n"/>
      <c r="F24" s="18" t="n"/>
      <c r="G24" s="18" t="n"/>
    </row>
    <row r="25">
      <c r="A25" s="22" t="inlineStr">
        <is>
          <t>Total Execution Activities</t>
        </is>
      </c>
      <c r="B25" s="23">
        <f>COUNTA('Review Execution'!B5:B54)</f>
        <v/>
      </c>
      <c r="C25" s="18" t="n"/>
      <c r="D25" s="18" t="n"/>
      <c r="E25" s="18" t="n"/>
      <c r="F25" s="18" t="n"/>
      <c r="G25" s="18" t="n"/>
    </row>
    <row r="26">
      <c r="A26" s="22" t="inlineStr">
        <is>
          <t>Activities Completed</t>
        </is>
      </c>
      <c r="B26" s="23">
        <f>COUNTIF('Review Execution'!G5:G54,"Completed")</f>
        <v/>
      </c>
      <c r="C26" s="18" t="n"/>
      <c r="D26" s="18" t="n"/>
      <c r="E26" s="18" t="n"/>
      <c r="F26" s="18" t="n"/>
      <c r="G26" s="18" t="n"/>
    </row>
    <row r="27">
      <c r="A27" s="22" t="inlineStr">
        <is>
          <t>Activities with Evidence Collected</t>
        </is>
      </c>
      <c r="B27" s="23">
        <f>COUNTIF('Review Execution'!H5:H54,"Yes")</f>
        <v/>
      </c>
      <c r="C27" s="18" t="n"/>
      <c r="D27" s="18" t="n"/>
      <c r="E27" s="18" t="n"/>
      <c r="F27" s="18" t="n"/>
      <c r="G27" s="18" t="n"/>
    </row>
    <row r="28">
      <c r="A28" s="22" t="inlineStr">
        <is>
          <t>Blocked Activities</t>
        </is>
      </c>
      <c r="B28" s="23">
        <f>COUNTIF('Review Execution'!G5:G54,"Blocked")</f>
        <v/>
      </c>
      <c r="C28" s="18" t="n"/>
      <c r="D28" s="18" t="n"/>
      <c r="E28" s="18" t="n"/>
      <c r="F28" s="18" t="n"/>
      <c r="G28" s="18" t="n"/>
    </row>
    <row r="29">
      <c r="A29" s="22" t="inlineStr">
        <is>
          <t>Total Findings Identified</t>
        </is>
      </c>
      <c r="B29" s="23">
        <f>COUNTA('Findings Summary'!B5:B54)</f>
        <v/>
      </c>
      <c r="C29" s="18" t="n"/>
      <c r="D29" s="18" t="n"/>
      <c r="E29" s="18" t="n"/>
      <c r="F29" s="18" t="n"/>
      <c r="G29" s="18" t="n"/>
    </row>
    <row r="30">
      <c r="A30" s="22" t="inlineStr">
        <is>
          <t>Major Non-Conformities</t>
        </is>
      </c>
      <c r="B30" s="23">
        <f>COUNTIF('Findings Summary'!F5:F54,"Major")</f>
        <v/>
      </c>
      <c r="C30" s="18" t="n"/>
      <c r="D30" s="18" t="n"/>
      <c r="E30" s="18" t="n"/>
      <c r="F30" s="18" t="n"/>
      <c r="G30" s="18" t="n"/>
    </row>
    <row r="31">
      <c r="A31" s="22" t="inlineStr">
        <is>
          <t>Minor Observations</t>
        </is>
      </c>
      <c r="B31" s="23">
        <f>COUNTIF('Findings Summary'!C5:C54,"Observation")</f>
        <v/>
      </c>
      <c r="C31" s="18" t="n"/>
      <c r="D31" s="18" t="n"/>
      <c r="E31" s="18" t="n"/>
      <c r="F31" s="18" t="n"/>
      <c r="G31" s="18" t="n"/>
    </row>
    <row r="32">
      <c r="A32" s="22" t="inlineStr">
        <is>
          <t>Open Findings</t>
        </is>
      </c>
      <c r="B32" s="23">
        <f>COUNTIF('Findings Summary'!L5:L54,"Open")</f>
        <v/>
      </c>
      <c r="C32" s="18" t="n"/>
      <c r="D32" s="18" t="n"/>
      <c r="E32" s="18" t="n"/>
      <c r="F32" s="18" t="n"/>
      <c r="G32" s="18" t="n"/>
    </row>
    <row r="33">
      <c r="A33" s="22" t="inlineStr">
        <is>
          <t>Closed Findings</t>
        </is>
      </c>
      <c r="B33" s="23">
        <f>COUNTIF('Findings Summary'!L5:L54,"Closed")</f>
        <v/>
      </c>
      <c r="C33" s="18" t="n"/>
      <c r="D33" s="18" t="n"/>
      <c r="E33" s="18" t="n"/>
      <c r="F33" s="18" t="n"/>
      <c r="G33" s="18" t="n"/>
    </row>
    <row r="34">
      <c r="A34" s="18" t="n"/>
      <c r="B34" s="18" t="n"/>
      <c r="C34" s="18" t="n"/>
      <c r="D34" s="18" t="n"/>
      <c r="E34" s="18" t="n"/>
      <c r="F34" s="18" t="n"/>
      <c r="G34" s="18" t="n"/>
    </row>
    <row r="35">
      <c r="A35" s="18" t="n"/>
      <c r="B35" s="18" t="n"/>
      <c r="C35" s="18" t="n"/>
      <c r="D35" s="18" t="n"/>
      <c r="E35" s="18" t="n"/>
      <c r="F35" s="18" t="n"/>
      <c r="G35" s="18" t="n"/>
    </row>
    <row r="37">
      <c r="A37" s="28" t="inlineStr">
        <is>
          <t>TABLE 3: CRITICAL FINDINGS REQUIRING IMMEDIATE ATTENTION</t>
        </is>
      </c>
      <c r="B37" s="18" t="n"/>
      <c r="C37" s="18" t="n"/>
      <c r="D37" s="18" t="n"/>
      <c r="E37" s="18" t="n"/>
      <c r="F37" s="18" t="n"/>
      <c r="G37" s="18" t="n"/>
    </row>
    <row r="38">
      <c r="A38" s="26" t="inlineStr">
        <is>
          <t>Category</t>
        </is>
      </c>
      <c r="B38" s="26" t="inlineStr">
        <is>
          <t>Finding</t>
        </is>
      </c>
      <c r="C38" s="26" t="inlineStr">
        <is>
          <t>Count</t>
        </is>
      </c>
      <c r="D38" s="26" t="inlineStr">
        <is>
          <t>Severity</t>
        </is>
      </c>
      <c r="E38" s="26" t="inlineStr">
        <is>
          <t>Action Required</t>
        </is>
      </c>
      <c r="F38" s="26" t="n"/>
      <c r="G38" s="26" t="n"/>
    </row>
    <row r="39">
      <c r="A39" s="29" t="inlineStr">
        <is>
          <t>Review Planning</t>
        </is>
      </c>
      <c r="B39" s="29" t="inlineStr">
        <is>
          <t>Reviews postponed or cancelled</t>
        </is>
      </c>
      <c r="C39" s="30">
        <f>COUNTIF('Review Schedule'!I5:I54,"Postponed")+COUNTIF('Review Schedule'!I5:I54,"Cancelled")</f>
        <v/>
      </c>
      <c r="D39" s="29" t="inlineStr">
        <is>
          <t>High</t>
        </is>
      </c>
      <c r="E39" s="29" t="inlineStr">
        <is>
          <t>Reschedule immediately</t>
        </is>
      </c>
      <c r="F39" s="29" t="n"/>
      <c r="G39" s="29" t="n"/>
    </row>
    <row r="40">
      <c r="A40" s="29" t="inlineStr">
        <is>
          <t>Reviewer Qualification</t>
        </is>
      </c>
      <c r="B40" s="29" t="inlineStr">
        <is>
          <t>Reviewers with expired credentials</t>
        </is>
      </c>
      <c r="C40" s="30">
        <f>COUNTIF('Reviewer Registry'!J5:J54,"Expired")</f>
        <v/>
      </c>
      <c r="D40" s="29" t="inlineStr">
        <is>
          <t>High</t>
        </is>
      </c>
      <c r="E40" s="29" t="inlineStr">
        <is>
          <t>Renew or replace reviewer</t>
        </is>
      </c>
      <c r="F40" s="29" t="n"/>
      <c r="G40" s="29" t="n"/>
    </row>
    <row r="41">
      <c r="A41" s="29" t="inlineStr">
        <is>
          <t>Reviewer Independence</t>
        </is>
      </c>
      <c r="B41" s="29" t="inlineStr">
        <is>
          <t>Reviewers flagged not independent</t>
        </is>
      </c>
      <c r="C41" s="30">
        <f>COUNTIF('Reviewer Registry'!H5:H54,"Not Independent")</f>
        <v/>
      </c>
      <c r="D41" s="29" t="inlineStr">
        <is>
          <t>Critical</t>
        </is>
      </c>
      <c r="E41" s="29" t="inlineStr">
        <is>
          <t>Escalate to CISO</t>
        </is>
      </c>
      <c r="F41" s="29" t="n"/>
      <c r="G41" s="29" t="n"/>
    </row>
    <row r="42">
      <c r="A42" s="29" t="inlineStr">
        <is>
          <t>Review Execution</t>
        </is>
      </c>
      <c r="B42" s="29" t="inlineStr">
        <is>
          <t>Execution activities blocked</t>
        </is>
      </c>
      <c r="C42" s="30">
        <f>COUNTIF('Review Execution'!G5:G54,"Blocked")</f>
        <v/>
      </c>
      <c r="D42" s="29" t="inlineStr">
        <is>
          <t>High</t>
        </is>
      </c>
      <c r="E42" s="29" t="inlineStr">
        <is>
          <t>Investigate and unblock</t>
        </is>
      </c>
      <c r="F42" s="29" t="n"/>
      <c r="G42" s="29" t="n"/>
    </row>
    <row r="43">
      <c r="A43" s="29" t="inlineStr">
        <is>
          <t>Findings Management</t>
        </is>
      </c>
      <c r="B43" s="29" t="inlineStr">
        <is>
          <t>Major non-conformities open</t>
        </is>
      </c>
      <c r="C43" s="30">
        <f>COUNTIFS('Findings Summary'!C5:C54,"Non-Conformity",'Findings Summary'!F5:F54,"Major",'Findings Summary'!L5:L54,"Open")</f>
        <v/>
      </c>
      <c r="D43" s="29" t="inlineStr">
        <is>
          <t>Critical</t>
        </is>
      </c>
      <c r="E43" s="29" t="inlineStr">
        <is>
          <t>Immediate remediation</t>
        </is>
      </c>
      <c r="F43" s="29" t="n"/>
      <c r="G43" s="29" t="n"/>
    </row>
    <row r="44">
      <c r="A44" s="29" t="inlineStr">
        <is>
          <t>Findings Management</t>
        </is>
      </c>
      <c r="B44" s="29" t="inlineStr">
        <is>
          <t>All open non-conformities</t>
        </is>
      </c>
      <c r="C44" s="30">
        <f>COUNTIFS('Findings Summary'!C5:C54,"Non-Conformity",'Findings Summary'!L5:L54,"Open")</f>
        <v/>
      </c>
      <c r="D44" s="29" t="inlineStr">
        <is>
          <t>High</t>
        </is>
      </c>
      <c r="E44" s="29" t="inlineStr">
        <is>
          <t>Assign owner and date</t>
        </is>
      </c>
      <c r="F44" s="29" t="n"/>
      <c r="G44" s="29" t="n"/>
    </row>
    <row r="45">
      <c r="A45" s="29" t="inlineStr">
        <is>
          <t>Evidence</t>
        </is>
      </c>
      <c r="B45" s="29" t="inlineStr">
        <is>
          <t>Completed activities with no evidence</t>
        </is>
      </c>
      <c r="C45" s="30">
        <f>COUNTIFS('Review Execution'!G5:G54,"Completed",'Review Execution'!H5:H54,"No")</f>
        <v/>
      </c>
      <c r="D45" s="29" t="inlineStr">
        <is>
          <t>Medium</t>
        </is>
      </c>
      <c r="E45" s="29" t="inlineStr">
        <is>
          <t>Collect evidence</t>
        </is>
      </c>
      <c r="F45" s="29" t="n"/>
      <c r="G45" s="29" t="n"/>
    </row>
    <row r="46">
      <c r="A46" s="31" t="n"/>
      <c r="B46" s="31" t="n"/>
      <c r="C46" s="31" t="n"/>
      <c r="D46" s="31" t="n"/>
      <c r="E46" s="31" t="n"/>
      <c r="F46" s="31" t="n"/>
      <c r="G46" s="31" t="n"/>
    </row>
    <row r="47">
      <c r="A47" s="31" t="n"/>
      <c r="B47" s="31" t="n"/>
      <c r="C47" s="31" t="n"/>
      <c r="D47" s="31" t="n"/>
      <c r="E47" s="31" t="n"/>
      <c r="F47" s="31" t="n"/>
      <c r="G47" s="31" t="n"/>
    </row>
  </sheetData>
  <mergeCells count="5">
    <mergeCell ref="A1:G1"/>
    <mergeCell ref="A12:G12"/>
    <mergeCell ref="A4:G4"/>
    <mergeCell ref="A2:G2"/>
    <mergeCell ref="A37:G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2" t="inlineStr">
        <is>
          <t>ASSESSMENT APPROVAL AND SIGN-OFF</t>
        </is>
      </c>
      <c r="B1" s="6" t="n"/>
      <c r="C1" s="6" t="n"/>
      <c r="D1" s="6" t="n"/>
      <c r="E1" s="6" t="n"/>
    </row>
    <row r="2">
      <c r="A2" s="33" t="inlineStr">
        <is>
          <t>ISO/IEC 27001:2022 - Control A.5.35: Independent Review of Information Security</t>
        </is>
      </c>
      <c r="B2" s="6" t="n"/>
      <c r="C2" s="6" t="n"/>
      <c r="D2" s="6" t="n"/>
      <c r="E2" s="6" t="n"/>
    </row>
    <row r="3">
      <c r="A3" s="34" t="inlineStr">
        <is>
          <t>ASSESSMENT SUMMARY</t>
        </is>
      </c>
      <c r="B3" s="6" t="n"/>
      <c r="C3" s="6" t="n"/>
      <c r="D3" s="6" t="n"/>
      <c r="E3" s="6" t="n"/>
    </row>
    <row r="4">
      <c r="A4" s="3" t="inlineStr">
        <is>
          <t>Document:</t>
        </is>
      </c>
      <c r="B4" s="6" t="inlineStr">
        <is>
          <t>ISMS-IMP-A.5.35-36.S1 - Independent Review Planning and Tracking</t>
        </is>
      </c>
      <c r="C4" s="6" t="n"/>
      <c r="D4" s="6" t="n"/>
      <c r="E4" s="6" t="n"/>
    </row>
    <row r="5">
      <c r="A5" s="3" t="inlineStr">
        <is>
          <t>Assessment Period:</t>
        </is>
      </c>
      <c r="B5" s="35" t="inlineStr"/>
      <c r="C5" s="6" t="n"/>
      <c r="D5" s="6" t="n"/>
      <c r="E5" s="6" t="n"/>
    </row>
    <row r="6">
      <c r="A6" s="3" t="inlineStr">
        <is>
          <t>Overall Compliance Rating:</t>
        </is>
      </c>
      <c r="B6" s="36">
        <f>IFERROR(AVERAGE('Summary Dashboard'!G6:G9),"")</f>
        <v/>
      </c>
      <c r="C6" s="6" t="n"/>
      <c r="D6" s="6" t="n"/>
      <c r="E6" s="6" t="n"/>
    </row>
    <row r="7">
      <c r="A7" s="3" t="inlineStr">
        <is>
          <t>Assessment Status:</t>
        </is>
      </c>
      <c r="B7" s="35" t="inlineStr"/>
      <c r="C7" s="6" t="n"/>
      <c r="D7" s="6" t="n"/>
      <c r="E7" s="6" t="n"/>
    </row>
    <row r="8">
      <c r="A8" s="3" t="inlineStr">
        <is>
          <t>Assessed By:</t>
        </is>
      </c>
      <c r="B8" s="35" t="inlineStr"/>
      <c r="C8" s="6" t="n"/>
      <c r="D8" s="6" t="n"/>
      <c r="E8" s="6" t="n"/>
    </row>
    <row r="11">
      <c r="A11" s="34" t="inlineStr">
        <is>
          <t>COMPLETED BY (ASSESSOR)</t>
        </is>
      </c>
      <c r="B11" s="6" t="n"/>
      <c r="C11" s="6" t="n"/>
      <c r="D11" s="6" t="n"/>
      <c r="E11" s="6" t="n"/>
    </row>
    <row r="12">
      <c r="A12" s="3" t="inlineStr">
        <is>
          <t>Name:</t>
        </is>
      </c>
      <c r="B12" s="35" t="n"/>
      <c r="C12" s="6" t="n"/>
      <c r="D12" s="6" t="n"/>
      <c r="E12" s="6" t="n"/>
    </row>
    <row r="13">
      <c r="A13" s="3" t="inlineStr">
        <is>
          <t>Title:</t>
        </is>
      </c>
      <c r="B13" s="35" t="n"/>
      <c r="C13" s="6" t="n"/>
      <c r="D13" s="6" t="n"/>
      <c r="E13" s="6" t="n"/>
    </row>
    <row r="14">
      <c r="A14" s="3" t="inlineStr">
        <is>
          <t>Date:</t>
        </is>
      </c>
      <c r="B14" s="35" t="n"/>
      <c r="C14" s="6" t="n"/>
      <c r="D14" s="6" t="n"/>
      <c r="E14" s="6" t="n"/>
    </row>
    <row r="15">
      <c r="A15" s="3" t="inlineStr">
        <is>
          <t>Signature:</t>
        </is>
      </c>
      <c r="B15" s="35" t="n"/>
      <c r="C15" s="6" t="n"/>
      <c r="D15" s="6" t="n"/>
      <c r="E15" s="6" t="n"/>
    </row>
    <row r="16">
      <c r="A16" s="3" t="inlineStr">
        <is>
          <t>Comments:</t>
        </is>
      </c>
      <c r="B16" s="35" t="n"/>
      <c r="C16" s="6" t="n"/>
      <c r="D16" s="6" t="n"/>
      <c r="E16" s="6" t="n"/>
    </row>
    <row r="18">
      <c r="A18" s="34" t="inlineStr">
        <is>
          <t>REVIEWED BY (INFORMATION SECURITY OFFICER)</t>
        </is>
      </c>
      <c r="B18" s="6" t="n"/>
      <c r="C18" s="6" t="n"/>
      <c r="D18" s="6" t="n"/>
      <c r="E18" s="6" t="n"/>
    </row>
    <row r="19">
      <c r="A19" s="3" t="inlineStr">
        <is>
          <t>Name:</t>
        </is>
      </c>
      <c r="B19" s="35" t="n"/>
      <c r="C19" s="6" t="n"/>
      <c r="D19" s="6" t="n"/>
      <c r="E19" s="6" t="n"/>
    </row>
    <row r="20">
      <c r="A20" s="3" t="inlineStr">
        <is>
          <t>Title:</t>
        </is>
      </c>
      <c r="B20" s="35" t="n"/>
      <c r="C20" s="6" t="n"/>
      <c r="D20" s="6" t="n"/>
      <c r="E20" s="6" t="n"/>
    </row>
    <row r="21">
      <c r="A21" s="3" t="inlineStr">
        <is>
          <t>Date:</t>
        </is>
      </c>
      <c r="B21" s="35" t="n"/>
      <c r="C21" s="6" t="n"/>
      <c r="D21" s="6" t="n"/>
      <c r="E21" s="6" t="n"/>
    </row>
    <row r="22">
      <c r="A22" s="3" t="inlineStr">
        <is>
          <t>Signature:</t>
        </is>
      </c>
      <c r="B22" s="35" t="n"/>
      <c r="C22" s="6" t="n"/>
      <c r="D22" s="6" t="n"/>
      <c r="E22" s="6" t="n"/>
    </row>
    <row r="23">
      <c r="A23" s="3" t="inlineStr">
        <is>
          <t>Comments:</t>
        </is>
      </c>
      <c r="B23" s="35" t="n"/>
      <c r="C23" s="6" t="n"/>
      <c r="D23" s="6" t="n"/>
      <c r="E23" s="6" t="n"/>
    </row>
    <row r="25">
      <c r="A25" s="37" t="inlineStr">
        <is>
          <t>APPROVED BY (CISO)</t>
        </is>
      </c>
      <c r="B25" s="6" t="n"/>
      <c r="C25" s="6" t="n"/>
      <c r="D25" s="6" t="n"/>
      <c r="E25" s="6" t="n"/>
    </row>
    <row r="26">
      <c r="A26" s="3" t="inlineStr">
        <is>
          <t>Name:</t>
        </is>
      </c>
      <c r="B26" s="35" t="n"/>
      <c r="C26" s="6" t="n"/>
      <c r="D26" s="6" t="n"/>
      <c r="E26" s="6" t="n"/>
    </row>
    <row r="27">
      <c r="A27" s="3" t="inlineStr">
        <is>
          <t>Title:</t>
        </is>
      </c>
      <c r="B27" s="35" t="n"/>
      <c r="C27" s="6" t="n"/>
      <c r="D27" s="6" t="n"/>
      <c r="E27" s="6" t="n"/>
    </row>
    <row r="28">
      <c r="A28" s="3" t="inlineStr">
        <is>
          <t>Date:</t>
        </is>
      </c>
      <c r="B28" s="35" t="n"/>
      <c r="C28" s="6" t="n"/>
      <c r="D28" s="6" t="n"/>
      <c r="E28" s="6" t="n"/>
    </row>
    <row r="29">
      <c r="A29" s="3" t="inlineStr">
        <is>
          <t>Signature:</t>
        </is>
      </c>
      <c r="B29" s="35" t="n"/>
      <c r="C29" s="6" t="n"/>
      <c r="D29" s="6" t="n"/>
      <c r="E29" s="6" t="n"/>
    </row>
    <row r="30">
      <c r="A30" s="3" t="inlineStr">
        <is>
          <t>Comments:</t>
        </is>
      </c>
      <c r="B30" s="35" t="n"/>
      <c r="C30" s="6" t="n"/>
      <c r="D30" s="6" t="n"/>
      <c r="E30" s="6" t="n"/>
    </row>
    <row r="32">
      <c r="A32" s="3" t="inlineStr">
        <is>
          <t>FINAL DECISION:</t>
        </is>
      </c>
      <c r="B32" s="35" t="n"/>
      <c r="C32" s="6" t="n"/>
      <c r="D32" s="6" t="n"/>
      <c r="E32" s="6" t="n"/>
    </row>
    <row r="35">
      <c r="A35" s="34" t="inlineStr">
        <is>
          <t>NEXT REVIEW DETAILS</t>
        </is>
      </c>
      <c r="B35" s="6" t="n"/>
      <c r="C35" s="6" t="n"/>
      <c r="D35" s="6" t="n"/>
      <c r="E35" s="6" t="n"/>
    </row>
    <row r="36">
      <c r="A36" s="3" t="inlineStr">
        <is>
          <t>Next Review Date:</t>
        </is>
      </c>
      <c r="B36" s="35" t="n"/>
      <c r="C36" s="6" t="n"/>
      <c r="D36" s="6" t="n"/>
      <c r="E36" s="6" t="n"/>
    </row>
    <row r="37">
      <c r="A37" s="3" t="inlineStr">
        <is>
          <t>Review Responsible:</t>
        </is>
      </c>
      <c r="B37" s="35" t="n"/>
      <c r="C37" s="6" t="n"/>
      <c r="D37" s="6" t="n"/>
      <c r="E37" s="6" t="n"/>
    </row>
    <row r="38">
      <c r="A38" s="3" t="inlineStr">
        <is>
          <t>Special Considerations:</t>
        </is>
      </c>
      <c r="B38" s="3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ISMS-IMP-A.5.35-36.S1 — Independent Review Planning and Tracking</dc:title>
  <dc:description xmlns:dc="http://purl.org/dc/elements/1.1/">ISMS Implementation Workbook — ISMS-IMP-A.5.35-36.S1</dc:description>
  <dc:subject xmlns:dc="http://purl.org/dc/elements/1.1/">ISO/IEC 27001:2022 — Control A.5.35: Independent Review of Information Security</dc:subject>
  <dcterms:created xmlns:dcterms="http://purl.org/dc/terms/" xmlns:xsi="http://www.w3.org/2001/XMLSchema-instance" xsi:type="dcterms:W3CDTF">2026-03-01T16:57:32Z</dcterms:created>
  <dcterms:modified xmlns:dcterms="http://purl.org/dc/terms/" xmlns:xsi="http://www.w3.org/2001/XMLSchema-instance" xsi:type="dcterms:W3CDTF">2026-03-01T16:57:32Z</dcterms:modified>
</cp:coreProperties>
</file>