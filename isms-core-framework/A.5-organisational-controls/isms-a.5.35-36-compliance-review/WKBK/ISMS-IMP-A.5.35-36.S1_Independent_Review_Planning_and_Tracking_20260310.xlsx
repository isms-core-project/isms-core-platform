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Review Schedule" sheetId="2" state="visible" r:id="rId2"/>
    <sheet xmlns:r="http://schemas.openxmlformats.org/officeDocument/2006/relationships" name="Reviewer Registry" sheetId="3" state="visible" r:id="rId3"/>
    <sheet xmlns:r="http://schemas.openxmlformats.org/officeDocument/2006/relationships" name="Review Scope" sheetId="4" state="visible" r:id="rId4"/>
    <sheet xmlns:r="http://schemas.openxmlformats.org/officeDocument/2006/relationships" name="Review Execution" sheetId="5" state="visible" r:id="rId5"/>
    <sheet xmlns:r="http://schemas.openxmlformats.org/officeDocument/2006/relationships" name="Findings Summary" sheetId="6" state="visible" r:id="rId6"/>
    <sheet xmlns:r="http://schemas.openxmlformats.org/officeDocument/2006/relationships" name="Evidence Register" sheetId="7" state="visible" r:id="rId7"/>
    <sheet xmlns:r="http://schemas.openxmlformats.org/officeDocument/2006/relationships" name="Summary Dashboard"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1">
    <numFmt numFmtId="164" formatCode="0.0%"/>
  </numFmts>
  <fonts count="13">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sz val="10"/>
    </font>
    <font>
      <name val="Calibri"/>
      <b val="1"/>
      <color rgb="00FFFFFF"/>
      <sz val="10"/>
    </font>
    <font>
      <b val="1"/>
      <color rgb="00FFFFFF"/>
      <sz val="14"/>
    </font>
    <font>
      <name val="Calibri"/>
      <i val="1"/>
      <color rgb="00003366"/>
      <sz val="10"/>
    </font>
    <font>
      <b val="1"/>
      <color rgb="00FFFFFF"/>
      <sz val="11"/>
    </font>
    <font>
      <b val="1"/>
      <color rgb="00000000"/>
    </font>
    <font>
      <color rgb="00000000"/>
    </font>
    <font>
      <name val="Calibri"/>
      <b val="1"/>
      <color rgb="00FFFFFF"/>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4472C4"/>
        <bgColor rgb="004472C4"/>
      </patternFill>
    </fill>
  </fills>
  <borders count="3">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xf>
    <xf numFmtId="0" fontId="4" fillId="9" borderId="1" applyAlignment="1" pivotButton="0" quotePrefix="0" xfId="0">
      <alignment horizontal="center" vertical="center" wrapText="1"/>
    </xf>
    <xf numFmtId="0" fontId="0" fillId="10" borderId="1" applyAlignment="1" pivotButton="0" quotePrefix="0" xfId="0">
      <alignment horizontal="left" vertical="center" wrapText="1"/>
    </xf>
    <xf numFmtId="0" fontId="0" fillId="11" borderId="1" applyAlignment="1" pivotButton="0" quotePrefix="0" xfId="0">
      <alignment horizontal="left" vertical="center" wrapText="1"/>
    </xf>
    <xf numFmtId="0" fontId="6" fillId="8" borderId="1" applyAlignment="1" pivotButton="0" quotePrefix="0" xfId="0">
      <alignment horizontal="center" vertical="center" wrapText="1"/>
    </xf>
    <xf numFmtId="0" fontId="7" fillId="8" borderId="2" applyAlignment="1" pivotButton="0" quotePrefix="0" xfId="0">
      <alignment horizontal="center" vertical="center" wrapText="1"/>
    </xf>
    <xf numFmtId="0" fontId="0" fillId="0" borderId="2" pivotButton="0" quotePrefix="0" xfId="0"/>
    <xf numFmtId="0" fontId="8" fillId="0" borderId="0" applyAlignment="1" pivotButton="0" quotePrefix="0" xfId="0">
      <alignment horizontal="left" vertical="center"/>
    </xf>
    <xf numFmtId="0" fontId="9" fillId="8" borderId="2" pivotButton="0" quotePrefix="0" xfId="0"/>
    <xf numFmtId="0" fontId="10" fillId="9" borderId="2" applyAlignment="1" pivotButton="0" quotePrefix="0" xfId="0">
      <alignment horizontal="center" vertical="center" wrapText="1"/>
    </xf>
    <xf numFmtId="0" fontId="11" fillId="0" borderId="2" pivotButton="0" quotePrefix="0" xfId="0"/>
    <xf numFmtId="0" fontId="11" fillId="0" borderId="2" applyAlignment="1" pivotButton="0" quotePrefix="0" xfId="0">
      <alignment horizontal="center"/>
    </xf>
    <xf numFmtId="164" fontId="11" fillId="0" borderId="2" applyAlignment="1" pivotButton="0" quotePrefix="0" xfId="0">
      <alignment horizontal="center"/>
    </xf>
    <xf numFmtId="0" fontId="10" fillId="9" borderId="2" pivotButton="0" quotePrefix="0" xfId="0"/>
    <xf numFmtId="0" fontId="10" fillId="9" borderId="2" applyAlignment="1" pivotButton="0" quotePrefix="0" xfId="0">
      <alignment horizontal="center"/>
    </xf>
    <xf numFmtId="164" fontId="10" fillId="9" borderId="2" applyAlignment="1" pivotButton="0" quotePrefix="0" xfId="0">
      <alignment horizontal="center"/>
    </xf>
    <xf numFmtId="0" fontId="9" fillId="12" borderId="2" pivotButton="0" quotePrefix="0" xfId="0"/>
    <xf numFmtId="0" fontId="11" fillId="11" borderId="2" pivotButton="0" quotePrefix="0" xfId="0"/>
    <xf numFmtId="0" fontId="11" fillId="11" borderId="2" applyAlignment="1" pivotButton="0" quotePrefix="0" xfId="0">
      <alignment horizontal="center"/>
    </xf>
    <xf numFmtId="0" fontId="0" fillId="11" borderId="2" pivotButton="0" quotePrefix="0" xfId="0"/>
    <xf numFmtId="0" fontId="1" fillId="8" borderId="1" applyAlignment="1" pivotButton="0" quotePrefix="0" xfId="0">
      <alignment horizontal="center" vertical="center" wrapText="1"/>
    </xf>
    <xf numFmtId="0" fontId="8" fillId="0" borderId="1" applyAlignment="1" pivotButton="0" quotePrefix="0" xfId="0">
      <alignment horizontal="center" vertical="center"/>
    </xf>
    <xf numFmtId="0" fontId="12" fillId="13" borderId="1" pivotButton="0" quotePrefix="0" xfId="0"/>
    <xf numFmtId="0" fontId="0" fillId="11" borderId="1" pivotButton="0" quotePrefix="0" xfId="0"/>
    <xf numFmtId="164" fontId="0" fillId="0" borderId="1" pivotButton="0" quotePrefix="0" xfId="0"/>
    <xf numFmtId="0" fontId="12"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ISMS-IMP-A.5.35-36.S1  -  Independent Review Planning and Tracking
ISO/IEC 27001:2022 - Control A.5.35: Independent Review of Information Security</t>
        </is>
      </c>
    </row>
    <row r="3">
      <c r="A3" s="2" t="inlineStr">
        <is>
          <t>Document Information</t>
        </is>
      </c>
    </row>
    <row r="4">
      <c r="A4" s="3" t="inlineStr">
        <is>
          <t>Document ID</t>
        </is>
      </c>
      <c r="B4" t="inlineStr">
        <is>
          <t>ISMS-IMP-A.5.35-36.S1</t>
        </is>
      </c>
    </row>
    <row r="5">
      <c r="A5" s="3" t="inlineStr">
        <is>
          <t>Workbook Title</t>
        </is>
      </c>
      <c r="B5" t="inlineStr">
        <is>
          <t>Independent Review Planning and Tracking</t>
        </is>
      </c>
    </row>
    <row r="6">
      <c r="A6" s="3" t="inlineStr">
        <is>
          <t>Control Reference</t>
        </is>
      </c>
      <c r="B6" t="inlineStr">
        <is>
          <t>ISO/IEC 27001:2022 - Control A.5.35: Independent Review of Information Security</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Review Schedule — plan all independent ISMS reviews for the assessment period.</t>
        </is>
      </c>
    </row>
    <row r="14">
      <c r="A14" t="inlineStr">
        <is>
          <t>2. Complete Reviewer Registry — document qualified independent reviewers (internal audit, external).</t>
        </is>
      </c>
    </row>
    <row r="15">
      <c r="A15" t="inlineStr">
        <is>
          <t>3. Complete Review Scope — define the scope, objectives, and criteria for each review.</t>
        </is>
      </c>
    </row>
    <row r="16">
      <c r="A16" t="inlineStr">
        <is>
          <t>4. Complete Review Execution — record review activities, interviews, and evidence collected.</t>
        </is>
      </c>
    </row>
    <row r="17">
      <c r="A17" t="inlineStr">
        <is>
          <t>5. Complete Findings Summary — consolidate all findings with risk ratings and recommendations.</t>
        </is>
      </c>
    </row>
    <row r="18">
      <c r="A18" t="inlineStr">
        <is>
          <t>6. Maintain Evidence Records with review reports and management responses.</t>
        </is>
      </c>
    </row>
    <row r="19">
      <c r="A19" t="inlineStr">
        <is>
          <t>7. Obtain final approval and sign-off in the Approval Sign-Off sheet.</t>
        </is>
      </c>
    </row>
    <row r="21">
      <c r="A21" s="2" t="inlineStr">
        <is>
          <t>Status Legend</t>
        </is>
      </c>
    </row>
    <row r="22">
      <c r="A22" s="5" t="inlineStr">
        <is>
          <t>Symbol</t>
        </is>
      </c>
      <c r="B22" s="5" t="inlineStr">
        <is>
          <t>Status</t>
        </is>
      </c>
      <c r="C22" s="5" t="inlineStr">
        <is>
          <t>Description</t>
        </is>
      </c>
    </row>
    <row r="23">
      <c r="A23" s="6" t="inlineStr">
        <is>
          <t>✓</t>
        </is>
      </c>
      <c r="B23" s="7" t="inlineStr">
        <is>
          <t>Compliant / Complete</t>
        </is>
      </c>
      <c r="C23" s="8" t="inlineStr">
        <is>
          <t>Requirement fully met</t>
        </is>
      </c>
    </row>
    <row r="24">
      <c r="A24" s="6" t="inlineStr">
        <is>
          <t>⚠</t>
        </is>
      </c>
      <c r="B24" s="9" t="inlineStr">
        <is>
          <t>Partial / In Progress</t>
        </is>
      </c>
      <c r="C24" s="8" t="inlineStr">
        <is>
          <t>Partially met or in progress</t>
        </is>
      </c>
    </row>
    <row r="25">
      <c r="A25" s="6" t="inlineStr">
        <is>
          <t>✗</t>
        </is>
      </c>
      <c r="B25" s="10" t="inlineStr">
        <is>
          <t>Non-Compliant / Not Started</t>
        </is>
      </c>
      <c r="C25" s="8" t="inlineStr">
        <is>
          <t>Requirement not met</t>
        </is>
      </c>
    </row>
    <row r="26">
      <c r="A26" s="6" t="inlineStr">
        <is>
          <t>—</t>
        </is>
      </c>
      <c r="B26" s="8" t="inlineStr">
        <is>
          <t>Not Applicable</t>
        </is>
      </c>
      <c r="C26"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4"/>
  <sheetViews>
    <sheetView showGridLines="0" workbookViewId="0">
      <pane ySplit="3" topLeftCell="A4" activePane="bottomLeft" state="frozen"/>
      <selection pane="bottomLeft" activeCell="A1" sqref="A1"/>
    </sheetView>
  </sheetViews>
  <sheetFormatPr baseColWidth="8" defaultRowHeight="15"/>
  <cols>
    <col width="14" customWidth="1" min="1" max="1"/>
    <col width="18" customWidth="1" min="2" max="2"/>
    <col width="35" customWidth="1" min="3" max="3"/>
    <col width="14" customWidth="1" min="4" max="4"/>
    <col width="14" customWidth="1" min="5" max="5"/>
    <col width="14" customWidth="1" min="6" max="6"/>
    <col width="14" customWidth="1" min="7" max="7"/>
    <col width="22" customWidth="1" min="8" max="8"/>
    <col width="16" customWidth="1" min="9" max="9"/>
    <col width="14" customWidth="1" min="10" max="10"/>
    <col width="14" customWidth="1" min="11" max="11"/>
    <col width="30" customWidth="1" min="12" max="12"/>
  </cols>
  <sheetData>
    <row r="1" ht="35" customHeight="1">
      <c r="A1" s="11" t="inlineStr">
        <is>
          <t>INDEPENDENT REVIEW SCHEDULE</t>
        </is>
      </c>
    </row>
    <row r="2">
      <c r="A2" s="12" t="inlineStr">
        <is>
          <t>Record all independent reviews of the ISMS at planned intervals — include type, scope, reviewer, dates, and status.</t>
        </is>
      </c>
    </row>
    <row r="3">
      <c r="A3" s="13" t="inlineStr">
        <is>
          <t>Review ID</t>
        </is>
      </c>
      <c r="B3" s="13" t="inlineStr">
        <is>
          <t>Review Type</t>
        </is>
      </c>
      <c r="C3" s="13" t="inlineStr">
        <is>
          <t>Review Scope</t>
        </is>
      </c>
      <c r="D3" s="13" t="inlineStr">
        <is>
          <t>Planned Start</t>
        </is>
      </c>
      <c r="E3" s="13" t="inlineStr">
        <is>
          <t>Planned End</t>
        </is>
      </c>
      <c r="F3" s="13" t="inlineStr">
        <is>
          <t>Actual Start</t>
        </is>
      </c>
      <c r="G3" s="13" t="inlineStr">
        <is>
          <t>Actual End</t>
        </is>
      </c>
      <c r="H3" s="13" t="inlineStr">
        <is>
          <t>Lead Reviewer</t>
        </is>
      </c>
      <c r="I3" s="13" t="inlineStr">
        <is>
          <t>Review Status</t>
        </is>
      </c>
      <c r="J3" s="13" t="inlineStr">
        <is>
          <t>Findings Count</t>
        </is>
      </c>
      <c r="K3" s="13" t="inlineStr">
        <is>
          <t>Report Date</t>
        </is>
      </c>
      <c r="L3" s="13" t="inlineStr">
        <is>
          <t>Notes</t>
        </is>
      </c>
    </row>
    <row r="4">
      <c r="A4" s="14" t="inlineStr">
        <is>
          <t>REV-2026-001</t>
        </is>
      </c>
      <c r="B4" s="14" t="inlineStr">
        <is>
          <t>Annual Comprehensive</t>
        </is>
      </c>
      <c r="C4" s="14" t="inlineStr">
        <is>
          <t>Full ISMS scope including A.5-A.8</t>
        </is>
      </c>
      <c r="D4" s="14" t="inlineStr">
        <is>
          <t>01.03.2026</t>
        </is>
      </c>
      <c r="E4" s="14" t="inlineStr">
        <is>
          <t>15.03.2026</t>
        </is>
      </c>
      <c r="F4" s="14" t="inlineStr">
        <is>
          <t>01.03.2026</t>
        </is>
      </c>
      <c r="G4" s="14" t="inlineStr">
        <is>
          <t>14.03.2026</t>
        </is>
      </c>
      <c r="H4" s="14" t="inlineStr">
        <is>
          <t>J. Smith (External)</t>
        </is>
      </c>
      <c r="I4" s="14" t="inlineStr">
        <is>
          <t>Completed</t>
        </is>
      </c>
      <c r="J4" s="14" t="inlineStr">
        <is>
          <t>3</t>
        </is>
      </c>
      <c r="K4" s="14" t="inlineStr">
        <is>
          <t>20.03.2026</t>
        </is>
      </c>
      <c r="L4" s="14" t="inlineStr">
        <is>
          <t>Annual review — ISO 27001:2022 certification audit</t>
        </is>
      </c>
    </row>
    <row r="5">
      <c r="A5" s="15" t="n"/>
      <c r="B5" s="15" t="n"/>
      <c r="C5" s="15" t="n"/>
      <c r="D5" s="15" t="n"/>
      <c r="E5" s="15" t="n"/>
      <c r="F5" s="15" t="n"/>
      <c r="G5" s="15" t="n"/>
      <c r="H5" s="15" t="n"/>
      <c r="I5" s="15" t="n"/>
      <c r="J5" s="15" t="n"/>
      <c r="K5" s="15" t="n"/>
      <c r="L5" s="15" t="n"/>
    </row>
    <row r="6">
      <c r="A6" s="15" t="n"/>
      <c r="B6" s="15" t="n"/>
      <c r="C6" s="15" t="n"/>
      <c r="D6" s="15" t="n"/>
      <c r="E6" s="15" t="n"/>
      <c r="F6" s="15" t="n"/>
      <c r="G6" s="15" t="n"/>
      <c r="H6" s="15" t="n"/>
      <c r="I6" s="15" t="n"/>
      <c r="J6" s="15" t="n"/>
      <c r="K6" s="15" t="n"/>
      <c r="L6" s="15" t="n"/>
    </row>
    <row r="7">
      <c r="A7" s="15" t="n"/>
      <c r="B7" s="15" t="n"/>
      <c r="C7" s="15" t="n"/>
      <c r="D7" s="15" t="n"/>
      <c r="E7" s="15" t="n"/>
      <c r="F7" s="15" t="n"/>
      <c r="G7" s="15" t="n"/>
      <c r="H7" s="15" t="n"/>
      <c r="I7" s="15" t="n"/>
      <c r="J7" s="15" t="n"/>
      <c r="K7" s="15" t="n"/>
      <c r="L7" s="15" t="n"/>
    </row>
    <row r="8">
      <c r="A8" s="15" t="n"/>
      <c r="B8" s="15" t="n"/>
      <c r="C8" s="15" t="n"/>
      <c r="D8" s="15" t="n"/>
      <c r="E8" s="15" t="n"/>
      <c r="F8" s="15" t="n"/>
      <c r="G8" s="15" t="n"/>
      <c r="H8" s="15" t="n"/>
      <c r="I8" s="15" t="n"/>
      <c r="J8" s="15" t="n"/>
      <c r="K8" s="15" t="n"/>
      <c r="L8" s="15" t="n"/>
    </row>
    <row r="9">
      <c r="A9" s="15" t="n"/>
      <c r="B9" s="15" t="n"/>
      <c r="C9" s="15" t="n"/>
      <c r="D9" s="15" t="n"/>
      <c r="E9" s="15" t="n"/>
      <c r="F9" s="15" t="n"/>
      <c r="G9" s="15" t="n"/>
      <c r="H9" s="15" t="n"/>
      <c r="I9" s="15" t="n"/>
      <c r="J9" s="15" t="n"/>
      <c r="K9" s="15" t="n"/>
      <c r="L9" s="15" t="n"/>
    </row>
    <row r="10">
      <c r="A10" s="15" t="n"/>
      <c r="B10" s="15" t="n"/>
      <c r="C10" s="15" t="n"/>
      <c r="D10" s="15" t="n"/>
      <c r="E10" s="15" t="n"/>
      <c r="F10" s="15" t="n"/>
      <c r="G10" s="15" t="n"/>
      <c r="H10" s="15" t="n"/>
      <c r="I10" s="15" t="n"/>
      <c r="J10" s="15" t="n"/>
      <c r="K10" s="15" t="n"/>
      <c r="L10" s="15" t="n"/>
    </row>
    <row r="11">
      <c r="A11" s="15" t="n"/>
      <c r="B11" s="15" t="n"/>
      <c r="C11" s="15" t="n"/>
      <c r="D11" s="15" t="n"/>
      <c r="E11" s="15" t="n"/>
      <c r="F11" s="15" t="n"/>
      <c r="G11" s="15" t="n"/>
      <c r="H11" s="15" t="n"/>
      <c r="I11" s="15" t="n"/>
      <c r="J11" s="15" t="n"/>
      <c r="K11" s="15" t="n"/>
      <c r="L11" s="15" t="n"/>
    </row>
    <row r="12">
      <c r="A12" s="15" t="n"/>
      <c r="B12" s="15" t="n"/>
      <c r="C12" s="15" t="n"/>
      <c r="D12" s="15" t="n"/>
      <c r="E12" s="15" t="n"/>
      <c r="F12" s="15" t="n"/>
      <c r="G12" s="15" t="n"/>
      <c r="H12" s="15" t="n"/>
      <c r="I12" s="15" t="n"/>
      <c r="J12" s="15" t="n"/>
      <c r="K12" s="15" t="n"/>
      <c r="L12" s="15" t="n"/>
    </row>
    <row r="13">
      <c r="A13" s="15" t="n"/>
      <c r="B13" s="15" t="n"/>
      <c r="C13" s="15" t="n"/>
      <c r="D13" s="15" t="n"/>
      <c r="E13" s="15" t="n"/>
      <c r="F13" s="15" t="n"/>
      <c r="G13" s="15" t="n"/>
      <c r="H13" s="15" t="n"/>
      <c r="I13" s="15" t="n"/>
      <c r="J13" s="15" t="n"/>
      <c r="K13" s="15" t="n"/>
      <c r="L13" s="15" t="n"/>
    </row>
    <row r="14">
      <c r="A14" s="15" t="n"/>
      <c r="B14" s="15" t="n"/>
      <c r="C14" s="15" t="n"/>
      <c r="D14" s="15" t="n"/>
      <c r="E14" s="15" t="n"/>
      <c r="F14" s="15" t="n"/>
      <c r="G14" s="15" t="n"/>
      <c r="H14" s="15" t="n"/>
      <c r="I14" s="15" t="n"/>
      <c r="J14" s="15" t="n"/>
      <c r="K14" s="15" t="n"/>
      <c r="L14" s="15" t="n"/>
    </row>
    <row r="15">
      <c r="A15" s="15" t="n"/>
      <c r="B15" s="15" t="n"/>
      <c r="C15" s="15" t="n"/>
      <c r="D15" s="15" t="n"/>
      <c r="E15" s="15" t="n"/>
      <c r="F15" s="15" t="n"/>
      <c r="G15" s="15" t="n"/>
      <c r="H15" s="15" t="n"/>
      <c r="I15" s="15" t="n"/>
      <c r="J15" s="15" t="n"/>
      <c r="K15" s="15" t="n"/>
      <c r="L15" s="15" t="n"/>
    </row>
    <row r="16">
      <c r="A16" s="15" t="n"/>
      <c r="B16" s="15" t="n"/>
      <c r="C16" s="15" t="n"/>
      <c r="D16" s="15" t="n"/>
      <c r="E16" s="15" t="n"/>
      <c r="F16" s="15" t="n"/>
      <c r="G16" s="15" t="n"/>
      <c r="H16" s="15" t="n"/>
      <c r="I16" s="15" t="n"/>
      <c r="J16" s="15" t="n"/>
      <c r="K16" s="15" t="n"/>
      <c r="L16" s="15" t="n"/>
    </row>
    <row r="17">
      <c r="A17" s="15" t="n"/>
      <c r="B17" s="15" t="n"/>
      <c r="C17" s="15" t="n"/>
      <c r="D17" s="15" t="n"/>
      <c r="E17" s="15" t="n"/>
      <c r="F17" s="15" t="n"/>
      <c r="G17" s="15" t="n"/>
      <c r="H17" s="15" t="n"/>
      <c r="I17" s="15" t="n"/>
      <c r="J17" s="15" t="n"/>
      <c r="K17" s="15" t="n"/>
      <c r="L17" s="15" t="n"/>
    </row>
    <row r="18">
      <c r="A18" s="15" t="n"/>
      <c r="B18" s="15" t="n"/>
      <c r="C18" s="15" t="n"/>
      <c r="D18" s="15" t="n"/>
      <c r="E18" s="15" t="n"/>
      <c r="F18" s="15" t="n"/>
      <c r="G18" s="15" t="n"/>
      <c r="H18" s="15" t="n"/>
      <c r="I18" s="15" t="n"/>
      <c r="J18" s="15" t="n"/>
      <c r="K18" s="15" t="n"/>
      <c r="L18" s="15" t="n"/>
    </row>
    <row r="19">
      <c r="A19" s="15" t="n"/>
      <c r="B19" s="15" t="n"/>
      <c r="C19" s="15" t="n"/>
      <c r="D19" s="15" t="n"/>
      <c r="E19" s="15" t="n"/>
      <c r="F19" s="15" t="n"/>
      <c r="G19" s="15" t="n"/>
      <c r="H19" s="15" t="n"/>
      <c r="I19" s="15" t="n"/>
      <c r="J19" s="15" t="n"/>
      <c r="K19" s="15" t="n"/>
      <c r="L19" s="15" t="n"/>
    </row>
    <row r="20">
      <c r="A20" s="15" t="n"/>
      <c r="B20" s="15" t="n"/>
      <c r="C20" s="15" t="n"/>
      <c r="D20" s="15" t="n"/>
      <c r="E20" s="15" t="n"/>
      <c r="F20" s="15" t="n"/>
      <c r="G20" s="15" t="n"/>
      <c r="H20" s="15" t="n"/>
      <c r="I20" s="15" t="n"/>
      <c r="J20" s="15" t="n"/>
      <c r="K20" s="15" t="n"/>
      <c r="L20" s="15" t="n"/>
    </row>
    <row r="21">
      <c r="A21" s="15" t="n"/>
      <c r="B21" s="15" t="n"/>
      <c r="C21" s="15" t="n"/>
      <c r="D21" s="15" t="n"/>
      <c r="E21" s="15" t="n"/>
      <c r="F21" s="15" t="n"/>
      <c r="G21" s="15" t="n"/>
      <c r="H21" s="15" t="n"/>
      <c r="I21" s="15" t="n"/>
      <c r="J21" s="15" t="n"/>
      <c r="K21" s="15" t="n"/>
      <c r="L21" s="15" t="n"/>
    </row>
    <row r="22">
      <c r="A22" s="15" t="n"/>
      <c r="B22" s="15" t="n"/>
      <c r="C22" s="15" t="n"/>
      <c r="D22" s="15" t="n"/>
      <c r="E22" s="15" t="n"/>
      <c r="F22" s="15" t="n"/>
      <c r="G22" s="15" t="n"/>
      <c r="H22" s="15" t="n"/>
      <c r="I22" s="15" t="n"/>
      <c r="J22" s="15" t="n"/>
      <c r="K22" s="15" t="n"/>
      <c r="L22" s="15" t="n"/>
    </row>
    <row r="23">
      <c r="A23" s="15" t="n"/>
      <c r="B23" s="15" t="n"/>
      <c r="C23" s="15" t="n"/>
      <c r="D23" s="15" t="n"/>
      <c r="E23" s="15" t="n"/>
      <c r="F23" s="15" t="n"/>
      <c r="G23" s="15" t="n"/>
      <c r="H23" s="15" t="n"/>
      <c r="I23" s="15" t="n"/>
      <c r="J23" s="15" t="n"/>
      <c r="K23" s="15" t="n"/>
      <c r="L23" s="15" t="n"/>
    </row>
    <row r="24">
      <c r="A24" s="15" t="n"/>
      <c r="B24" s="15" t="n"/>
      <c r="C24" s="15" t="n"/>
      <c r="D24" s="15" t="n"/>
      <c r="E24" s="15" t="n"/>
      <c r="F24" s="15" t="n"/>
      <c r="G24" s="15" t="n"/>
      <c r="H24" s="15" t="n"/>
      <c r="I24" s="15" t="n"/>
      <c r="J24" s="15" t="n"/>
      <c r="K24" s="15" t="n"/>
      <c r="L24" s="15" t="n"/>
    </row>
    <row r="25">
      <c r="A25" s="15" t="n"/>
      <c r="B25" s="15" t="n"/>
      <c r="C25" s="15" t="n"/>
      <c r="D25" s="15" t="n"/>
      <c r="E25" s="15" t="n"/>
      <c r="F25" s="15" t="n"/>
      <c r="G25" s="15" t="n"/>
      <c r="H25" s="15" t="n"/>
      <c r="I25" s="15" t="n"/>
      <c r="J25" s="15" t="n"/>
      <c r="K25" s="15" t="n"/>
      <c r="L25" s="15" t="n"/>
    </row>
    <row r="26">
      <c r="A26" s="15" t="n"/>
      <c r="B26" s="15" t="n"/>
      <c r="C26" s="15" t="n"/>
      <c r="D26" s="15" t="n"/>
      <c r="E26" s="15" t="n"/>
      <c r="F26" s="15" t="n"/>
      <c r="G26" s="15" t="n"/>
      <c r="H26" s="15" t="n"/>
      <c r="I26" s="15" t="n"/>
      <c r="J26" s="15" t="n"/>
      <c r="K26" s="15" t="n"/>
      <c r="L26" s="15" t="n"/>
    </row>
    <row r="27">
      <c r="A27" s="15" t="n"/>
      <c r="B27" s="15" t="n"/>
      <c r="C27" s="15" t="n"/>
      <c r="D27" s="15" t="n"/>
      <c r="E27" s="15" t="n"/>
      <c r="F27" s="15" t="n"/>
      <c r="G27" s="15" t="n"/>
      <c r="H27" s="15" t="n"/>
      <c r="I27" s="15" t="n"/>
      <c r="J27" s="15" t="n"/>
      <c r="K27" s="15" t="n"/>
      <c r="L27" s="15" t="n"/>
    </row>
    <row r="28">
      <c r="A28" s="15" t="n"/>
      <c r="B28" s="15" t="n"/>
      <c r="C28" s="15" t="n"/>
      <c r="D28" s="15" t="n"/>
      <c r="E28" s="15" t="n"/>
      <c r="F28" s="15" t="n"/>
      <c r="G28" s="15" t="n"/>
      <c r="H28" s="15" t="n"/>
      <c r="I28" s="15" t="n"/>
      <c r="J28" s="15" t="n"/>
      <c r="K28" s="15" t="n"/>
      <c r="L28" s="15" t="n"/>
    </row>
    <row r="29">
      <c r="A29" s="15" t="n"/>
      <c r="B29" s="15" t="n"/>
      <c r="C29" s="15" t="n"/>
      <c r="D29" s="15" t="n"/>
      <c r="E29" s="15" t="n"/>
      <c r="F29" s="15" t="n"/>
      <c r="G29" s="15" t="n"/>
      <c r="H29" s="15" t="n"/>
      <c r="I29" s="15" t="n"/>
      <c r="J29" s="15" t="n"/>
      <c r="K29" s="15" t="n"/>
      <c r="L29" s="15" t="n"/>
    </row>
    <row r="30">
      <c r="A30" s="15" t="n"/>
      <c r="B30" s="15" t="n"/>
      <c r="C30" s="15" t="n"/>
      <c r="D30" s="15" t="n"/>
      <c r="E30" s="15" t="n"/>
      <c r="F30" s="15" t="n"/>
      <c r="G30" s="15" t="n"/>
      <c r="H30" s="15" t="n"/>
      <c r="I30" s="15" t="n"/>
      <c r="J30" s="15" t="n"/>
      <c r="K30" s="15" t="n"/>
      <c r="L30" s="15" t="n"/>
    </row>
    <row r="31">
      <c r="A31" s="15" t="n"/>
      <c r="B31" s="15" t="n"/>
      <c r="C31" s="15" t="n"/>
      <c r="D31" s="15" t="n"/>
      <c r="E31" s="15" t="n"/>
      <c r="F31" s="15" t="n"/>
      <c r="G31" s="15" t="n"/>
      <c r="H31" s="15" t="n"/>
      <c r="I31" s="15" t="n"/>
      <c r="J31" s="15" t="n"/>
      <c r="K31" s="15" t="n"/>
      <c r="L31" s="15" t="n"/>
    </row>
    <row r="32">
      <c r="A32" s="15" t="n"/>
      <c r="B32" s="15" t="n"/>
      <c r="C32" s="15" t="n"/>
      <c r="D32" s="15" t="n"/>
      <c r="E32" s="15" t="n"/>
      <c r="F32" s="15" t="n"/>
      <c r="G32" s="15" t="n"/>
      <c r="H32" s="15" t="n"/>
      <c r="I32" s="15" t="n"/>
      <c r="J32" s="15" t="n"/>
      <c r="K32" s="15" t="n"/>
      <c r="L32" s="15" t="n"/>
    </row>
    <row r="33">
      <c r="A33" s="15" t="n"/>
      <c r="B33" s="15" t="n"/>
      <c r="C33" s="15" t="n"/>
      <c r="D33" s="15" t="n"/>
      <c r="E33" s="15" t="n"/>
      <c r="F33" s="15" t="n"/>
      <c r="G33" s="15" t="n"/>
      <c r="H33" s="15" t="n"/>
      <c r="I33" s="15" t="n"/>
      <c r="J33" s="15" t="n"/>
      <c r="K33" s="15" t="n"/>
      <c r="L33" s="15" t="n"/>
    </row>
    <row r="34">
      <c r="A34" s="15" t="n"/>
      <c r="B34" s="15" t="n"/>
      <c r="C34" s="15" t="n"/>
      <c r="D34" s="15" t="n"/>
      <c r="E34" s="15" t="n"/>
      <c r="F34" s="15" t="n"/>
      <c r="G34" s="15" t="n"/>
      <c r="H34" s="15" t="n"/>
      <c r="I34" s="15" t="n"/>
      <c r="J34" s="15" t="n"/>
      <c r="K34" s="15" t="n"/>
      <c r="L34" s="15" t="n"/>
    </row>
    <row r="35">
      <c r="A35" s="15" t="n"/>
      <c r="B35" s="15" t="n"/>
      <c r="C35" s="15" t="n"/>
      <c r="D35" s="15" t="n"/>
      <c r="E35" s="15" t="n"/>
      <c r="F35" s="15" t="n"/>
      <c r="G35" s="15" t="n"/>
      <c r="H35" s="15" t="n"/>
      <c r="I35" s="15" t="n"/>
      <c r="J35" s="15" t="n"/>
      <c r="K35" s="15" t="n"/>
      <c r="L35" s="15" t="n"/>
    </row>
    <row r="36">
      <c r="A36" s="15" t="n"/>
      <c r="B36" s="15" t="n"/>
      <c r="C36" s="15" t="n"/>
      <c r="D36" s="15" t="n"/>
      <c r="E36" s="15" t="n"/>
      <c r="F36" s="15" t="n"/>
      <c r="G36" s="15" t="n"/>
      <c r="H36" s="15" t="n"/>
      <c r="I36" s="15" t="n"/>
      <c r="J36" s="15" t="n"/>
      <c r="K36" s="15" t="n"/>
      <c r="L36" s="15" t="n"/>
    </row>
    <row r="37">
      <c r="A37" s="15" t="n"/>
      <c r="B37" s="15" t="n"/>
      <c r="C37" s="15" t="n"/>
      <c r="D37" s="15" t="n"/>
      <c r="E37" s="15" t="n"/>
      <c r="F37" s="15" t="n"/>
      <c r="G37" s="15" t="n"/>
      <c r="H37" s="15" t="n"/>
      <c r="I37" s="15" t="n"/>
      <c r="J37" s="15" t="n"/>
      <c r="K37" s="15" t="n"/>
      <c r="L37" s="15" t="n"/>
    </row>
    <row r="38">
      <c r="A38" s="15" t="n"/>
      <c r="B38" s="15" t="n"/>
      <c r="C38" s="15" t="n"/>
      <c r="D38" s="15" t="n"/>
      <c r="E38" s="15" t="n"/>
      <c r="F38" s="15" t="n"/>
      <c r="G38" s="15" t="n"/>
      <c r="H38" s="15" t="n"/>
      <c r="I38" s="15" t="n"/>
      <c r="J38" s="15" t="n"/>
      <c r="K38" s="15" t="n"/>
      <c r="L38" s="15" t="n"/>
    </row>
    <row r="39">
      <c r="A39" s="15" t="n"/>
      <c r="B39" s="15" t="n"/>
      <c r="C39" s="15" t="n"/>
      <c r="D39" s="15" t="n"/>
      <c r="E39" s="15" t="n"/>
      <c r="F39" s="15" t="n"/>
      <c r="G39" s="15" t="n"/>
      <c r="H39" s="15" t="n"/>
      <c r="I39" s="15" t="n"/>
      <c r="J39" s="15" t="n"/>
      <c r="K39" s="15" t="n"/>
      <c r="L39" s="15" t="n"/>
    </row>
    <row r="40">
      <c r="A40" s="15" t="n"/>
      <c r="B40" s="15" t="n"/>
      <c r="C40" s="15" t="n"/>
      <c r="D40" s="15" t="n"/>
      <c r="E40" s="15" t="n"/>
      <c r="F40" s="15" t="n"/>
      <c r="G40" s="15" t="n"/>
      <c r="H40" s="15" t="n"/>
      <c r="I40" s="15" t="n"/>
      <c r="J40" s="15" t="n"/>
      <c r="K40" s="15" t="n"/>
      <c r="L40" s="15" t="n"/>
    </row>
    <row r="41">
      <c r="A41" s="15" t="n"/>
      <c r="B41" s="15" t="n"/>
      <c r="C41" s="15" t="n"/>
      <c r="D41" s="15" t="n"/>
      <c r="E41" s="15" t="n"/>
      <c r="F41" s="15" t="n"/>
      <c r="G41" s="15" t="n"/>
      <c r="H41" s="15" t="n"/>
      <c r="I41" s="15" t="n"/>
      <c r="J41" s="15" t="n"/>
      <c r="K41" s="15" t="n"/>
      <c r="L41" s="15" t="n"/>
    </row>
    <row r="42">
      <c r="A42" s="15" t="n"/>
      <c r="B42" s="15" t="n"/>
      <c r="C42" s="15" t="n"/>
      <c r="D42" s="15" t="n"/>
      <c r="E42" s="15" t="n"/>
      <c r="F42" s="15" t="n"/>
      <c r="G42" s="15" t="n"/>
      <c r="H42" s="15" t="n"/>
      <c r="I42" s="15" t="n"/>
      <c r="J42" s="15" t="n"/>
      <c r="K42" s="15" t="n"/>
      <c r="L42" s="15" t="n"/>
    </row>
    <row r="43">
      <c r="A43" s="15" t="n"/>
      <c r="B43" s="15" t="n"/>
      <c r="C43" s="15" t="n"/>
      <c r="D43" s="15" t="n"/>
      <c r="E43" s="15" t="n"/>
      <c r="F43" s="15" t="n"/>
      <c r="G43" s="15" t="n"/>
      <c r="H43" s="15" t="n"/>
      <c r="I43" s="15" t="n"/>
      <c r="J43" s="15" t="n"/>
      <c r="K43" s="15" t="n"/>
      <c r="L43" s="15" t="n"/>
    </row>
    <row r="44">
      <c r="A44" s="15" t="n"/>
      <c r="B44" s="15" t="n"/>
      <c r="C44" s="15" t="n"/>
      <c r="D44" s="15" t="n"/>
      <c r="E44" s="15" t="n"/>
      <c r="F44" s="15" t="n"/>
      <c r="G44" s="15" t="n"/>
      <c r="H44" s="15" t="n"/>
      <c r="I44" s="15" t="n"/>
      <c r="J44" s="15" t="n"/>
      <c r="K44" s="15" t="n"/>
      <c r="L44" s="15" t="n"/>
    </row>
    <row r="45">
      <c r="A45" s="15" t="n"/>
      <c r="B45" s="15" t="n"/>
      <c r="C45" s="15" t="n"/>
      <c r="D45" s="15" t="n"/>
      <c r="E45" s="15" t="n"/>
      <c r="F45" s="15" t="n"/>
      <c r="G45" s="15" t="n"/>
      <c r="H45" s="15" t="n"/>
      <c r="I45" s="15" t="n"/>
      <c r="J45" s="15" t="n"/>
      <c r="K45" s="15" t="n"/>
      <c r="L45" s="15" t="n"/>
    </row>
    <row r="46">
      <c r="A46" s="15" t="n"/>
      <c r="B46" s="15" t="n"/>
      <c r="C46" s="15" t="n"/>
      <c r="D46" s="15" t="n"/>
      <c r="E46" s="15" t="n"/>
      <c r="F46" s="15" t="n"/>
      <c r="G46" s="15" t="n"/>
      <c r="H46" s="15" t="n"/>
      <c r="I46" s="15" t="n"/>
      <c r="J46" s="15" t="n"/>
      <c r="K46" s="15" t="n"/>
      <c r="L46" s="15" t="n"/>
    </row>
    <row r="47">
      <c r="A47" s="15" t="n"/>
      <c r="B47" s="15" t="n"/>
      <c r="C47" s="15" t="n"/>
      <c r="D47" s="15" t="n"/>
      <c r="E47" s="15" t="n"/>
      <c r="F47" s="15" t="n"/>
      <c r="G47" s="15" t="n"/>
      <c r="H47" s="15" t="n"/>
      <c r="I47" s="15" t="n"/>
      <c r="J47" s="15" t="n"/>
      <c r="K47" s="15" t="n"/>
      <c r="L47" s="15" t="n"/>
    </row>
    <row r="48">
      <c r="A48" s="15" t="n"/>
      <c r="B48" s="15" t="n"/>
      <c r="C48" s="15" t="n"/>
      <c r="D48" s="15" t="n"/>
      <c r="E48" s="15" t="n"/>
      <c r="F48" s="15" t="n"/>
      <c r="G48" s="15" t="n"/>
      <c r="H48" s="15" t="n"/>
      <c r="I48" s="15" t="n"/>
      <c r="J48" s="15" t="n"/>
      <c r="K48" s="15" t="n"/>
      <c r="L48" s="15" t="n"/>
    </row>
    <row r="49">
      <c r="A49" s="15" t="n"/>
      <c r="B49" s="15" t="n"/>
      <c r="C49" s="15" t="n"/>
      <c r="D49" s="15" t="n"/>
      <c r="E49" s="15" t="n"/>
      <c r="F49" s="15" t="n"/>
      <c r="G49" s="15" t="n"/>
      <c r="H49" s="15" t="n"/>
      <c r="I49" s="15" t="n"/>
      <c r="J49" s="15" t="n"/>
      <c r="K49" s="15" t="n"/>
      <c r="L49" s="15" t="n"/>
    </row>
    <row r="50">
      <c r="A50" s="15" t="n"/>
      <c r="B50" s="15" t="n"/>
      <c r="C50" s="15" t="n"/>
      <c r="D50" s="15" t="n"/>
      <c r="E50" s="15" t="n"/>
      <c r="F50" s="15" t="n"/>
      <c r="G50" s="15" t="n"/>
      <c r="H50" s="15" t="n"/>
      <c r="I50" s="15" t="n"/>
      <c r="J50" s="15" t="n"/>
      <c r="K50" s="15" t="n"/>
      <c r="L50" s="15" t="n"/>
    </row>
    <row r="51">
      <c r="A51" s="15" t="n"/>
      <c r="B51" s="15" t="n"/>
      <c r="C51" s="15" t="n"/>
      <c r="D51" s="15" t="n"/>
      <c r="E51" s="15" t="n"/>
      <c r="F51" s="15" t="n"/>
      <c r="G51" s="15" t="n"/>
      <c r="H51" s="15" t="n"/>
      <c r="I51" s="15" t="n"/>
      <c r="J51" s="15" t="n"/>
      <c r="K51" s="15" t="n"/>
      <c r="L51" s="15" t="n"/>
    </row>
    <row r="52">
      <c r="A52" s="15" t="n"/>
      <c r="B52" s="15" t="n"/>
      <c r="C52" s="15" t="n"/>
      <c r="D52" s="15" t="n"/>
      <c r="E52" s="15" t="n"/>
      <c r="F52" s="15" t="n"/>
      <c r="G52" s="15" t="n"/>
      <c r="H52" s="15" t="n"/>
      <c r="I52" s="15" t="n"/>
      <c r="J52" s="15" t="n"/>
      <c r="K52" s="15" t="n"/>
      <c r="L52" s="15" t="n"/>
    </row>
    <row r="53">
      <c r="A53" s="15" t="n"/>
      <c r="B53" s="15" t="n"/>
      <c r="C53" s="15" t="n"/>
      <c r="D53" s="15" t="n"/>
      <c r="E53" s="15" t="n"/>
      <c r="F53" s="15" t="n"/>
      <c r="G53" s="15" t="n"/>
      <c r="H53" s="15" t="n"/>
      <c r="I53" s="15" t="n"/>
      <c r="J53" s="15" t="n"/>
      <c r="K53" s="15" t="n"/>
      <c r="L53" s="15" t="n"/>
    </row>
    <row r="54">
      <c r="A54" s="15" t="n"/>
      <c r="B54" s="15" t="n"/>
      <c r="C54" s="15" t="n"/>
      <c r="D54" s="15" t="n"/>
      <c r="E54" s="15" t="n"/>
      <c r="F54" s="15" t="n"/>
      <c r="G54" s="15" t="n"/>
      <c r="H54" s="15" t="n"/>
      <c r="I54" s="15" t="n"/>
      <c r="J54" s="15" t="n"/>
      <c r="K54" s="15" t="n"/>
      <c r="L54" s="15" t="n"/>
    </row>
  </sheetData>
  <mergeCells count="2">
    <mergeCell ref="A2:L2"/>
    <mergeCell ref="A1:L1"/>
  </mergeCells>
  <dataValidations count="2">
    <dataValidation sqref="B4 B5 B6 B7 B8 B9 B10 B11 B12 B13 B14 B15 B16 B17 B18 B19 B20 B21 B22 B23 B24 B25 B26 B27 B28 B29 B30 B31 B32 B33 B34 B35 B36 B37 B38 B39 B40 B41 B42 B43 B44 B45 B46 B47 B48 B49 B50 B51 B52 B53 B54" showDropDown="0" showInputMessage="0" showErrorMessage="0" allowBlank="0" type="list">
      <formula1>"Annual Comprehensive,Surveillance,Ad-Hoc,Pre-Certification,Post-Incident,Scope Change"</formula1>
    </dataValidation>
    <dataValidation sqref="I4 I5 I6 I7 I8 I9 I10 I11 I12 I13 I14 I15 I16 I17 I18 I19 I20 I21 I22 I23 I24 I25 I26 I27 I28 I29 I30 I31 I32 I33 I34 I35 I36 I37 I38 I39 I40 I41 I42 I43 I44 I45 I46 I47 I48 I49 I50 I51 I52 I53 I54" showDropDown="0" showInputMessage="0" showErrorMessage="0" allowBlank="0" type="list">
      <formula1>"Planned,In Progress,Completed,Postponed,Cancelled"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4"/>
  <sheetViews>
    <sheetView showGridLines="0" workbookViewId="0">
      <pane ySplit="3" topLeftCell="A4" activePane="bottomLeft" state="frozen"/>
      <selection pane="bottomLeft" activeCell="A1" sqref="A1"/>
    </sheetView>
  </sheetViews>
  <sheetFormatPr baseColWidth="8" defaultRowHeight="15"/>
  <cols>
    <col width="14" customWidth="1" min="1" max="1"/>
    <col width="25" customWidth="1" min="2" max="2"/>
    <col width="25" customWidth="1" min="3" max="3"/>
    <col width="16" customWidth="1" min="4" max="4"/>
    <col width="35" customWidth="1" min="5" max="5"/>
    <col width="16" customWidth="1" min="6" max="6"/>
    <col width="35" customWidth="1" min="7" max="7"/>
    <col width="18" customWidth="1" min="8" max="8"/>
    <col width="16" customWidth="1" min="9" max="9"/>
    <col width="16" customWidth="1" min="10" max="10"/>
    <col width="30" customWidth="1" min="11" max="11"/>
  </cols>
  <sheetData>
    <row r="1" ht="35" customHeight="1">
      <c r="A1" s="11" t="inlineStr">
        <is>
          <t>QUALIFIED REVIEWER REGISTRY</t>
        </is>
      </c>
    </row>
    <row r="2">
      <c r="A2" s="12" t="inlineStr">
        <is>
          <t>Register all approved independent reviewers — record qualifications, independence status, and approval for use in ISMS reviews.</t>
        </is>
      </c>
    </row>
    <row r="3">
      <c r="A3" s="13" t="inlineStr">
        <is>
          <t>Reviewer ID</t>
        </is>
      </c>
      <c r="B3" s="13" t="inlineStr">
        <is>
          <t>Reviewer Name</t>
        </is>
      </c>
      <c r="C3" s="13" t="inlineStr">
        <is>
          <t>Organisation</t>
        </is>
      </c>
      <c r="D3" s="13" t="inlineStr">
        <is>
          <t>Reviewer Type</t>
        </is>
      </c>
      <c r="E3" s="13" t="inlineStr">
        <is>
          <t>Qualifications</t>
        </is>
      </c>
      <c r="F3" s="13" t="inlineStr">
        <is>
          <t>Certification Expiry</t>
        </is>
      </c>
      <c r="G3" s="13" t="inlineStr">
        <is>
          <t>Areas of Expertise</t>
        </is>
      </c>
      <c r="H3" s="13" t="inlineStr">
        <is>
          <t>Independence Status</t>
        </is>
      </c>
      <c r="I3" s="13" t="inlineStr">
        <is>
          <t>Last Review Date</t>
        </is>
      </c>
      <c r="J3" s="13" t="inlineStr">
        <is>
          <t>Approval Status</t>
        </is>
      </c>
      <c r="K3" s="13" t="inlineStr">
        <is>
          <t>Notes</t>
        </is>
      </c>
    </row>
    <row r="4">
      <c r="A4" s="14" t="inlineStr">
        <is>
          <t>RVR-001</t>
        </is>
      </c>
      <c r="B4" s="14" t="inlineStr">
        <is>
          <t>Jane Smith</t>
        </is>
      </c>
      <c r="C4" s="14" t="inlineStr">
        <is>
          <t>ISO Auditors Ltd</t>
        </is>
      </c>
      <c r="D4" s="14" t="inlineStr">
        <is>
          <t>External Auditor</t>
        </is>
      </c>
      <c r="E4" s="14" t="inlineStr">
        <is>
          <t>ISO 27001 Lead Auditor (IRCA), CISA</t>
        </is>
      </c>
      <c r="F4" s="14" t="inlineStr">
        <is>
          <t>31.12.2027</t>
        </is>
      </c>
      <c r="G4" s="14" t="inlineStr">
        <is>
          <t>ISMS Governance, Access Control, Risk Management</t>
        </is>
      </c>
      <c r="H4" s="14" t="inlineStr">
        <is>
          <t>Fully Independent</t>
        </is>
      </c>
      <c r="I4" s="14" t="inlineStr">
        <is>
          <t>15.03.2026</t>
        </is>
      </c>
      <c r="J4" s="14" t="inlineStr">
        <is>
          <t>Approved</t>
        </is>
      </c>
      <c r="K4" s="14" t="inlineStr">
        <is>
          <t>Approved for annual ISMS certification audit</t>
        </is>
      </c>
    </row>
    <row r="5">
      <c r="A5" s="15" t="n"/>
      <c r="B5" s="15" t="n"/>
      <c r="C5" s="15" t="n"/>
      <c r="D5" s="15" t="n"/>
      <c r="E5" s="15" t="n"/>
      <c r="F5" s="15" t="n"/>
      <c r="G5" s="15" t="n"/>
      <c r="H5" s="15" t="n"/>
      <c r="I5" s="15" t="n"/>
      <c r="J5" s="15" t="n"/>
      <c r="K5" s="15" t="n"/>
    </row>
    <row r="6">
      <c r="A6" s="15" t="n"/>
      <c r="B6" s="15" t="n"/>
      <c r="C6" s="15" t="n"/>
      <c r="D6" s="15" t="n"/>
      <c r="E6" s="15" t="n"/>
      <c r="F6" s="15" t="n"/>
      <c r="G6" s="15" t="n"/>
      <c r="H6" s="15" t="n"/>
      <c r="I6" s="15" t="n"/>
      <c r="J6" s="15" t="n"/>
      <c r="K6" s="15" t="n"/>
    </row>
    <row r="7">
      <c r="A7" s="15" t="n"/>
      <c r="B7" s="15" t="n"/>
      <c r="C7" s="15" t="n"/>
      <c r="D7" s="15" t="n"/>
      <c r="E7" s="15" t="n"/>
      <c r="F7" s="15" t="n"/>
      <c r="G7" s="15" t="n"/>
      <c r="H7" s="15" t="n"/>
      <c r="I7" s="15" t="n"/>
      <c r="J7" s="15" t="n"/>
      <c r="K7" s="15" t="n"/>
    </row>
    <row r="8">
      <c r="A8" s="15" t="n"/>
      <c r="B8" s="15" t="n"/>
      <c r="C8" s="15" t="n"/>
      <c r="D8" s="15" t="n"/>
      <c r="E8" s="15" t="n"/>
      <c r="F8" s="15" t="n"/>
      <c r="G8" s="15" t="n"/>
      <c r="H8" s="15" t="n"/>
      <c r="I8" s="15" t="n"/>
      <c r="J8" s="15" t="n"/>
      <c r="K8" s="15" t="n"/>
    </row>
    <row r="9">
      <c r="A9" s="15" t="n"/>
      <c r="B9" s="15" t="n"/>
      <c r="C9" s="15" t="n"/>
      <c r="D9" s="15" t="n"/>
      <c r="E9" s="15" t="n"/>
      <c r="F9" s="15" t="n"/>
      <c r="G9" s="15" t="n"/>
      <c r="H9" s="15" t="n"/>
      <c r="I9" s="15" t="n"/>
      <c r="J9" s="15" t="n"/>
      <c r="K9" s="15" t="n"/>
    </row>
    <row r="10">
      <c r="A10" s="15" t="n"/>
      <c r="B10" s="15" t="n"/>
      <c r="C10" s="15" t="n"/>
      <c r="D10" s="15" t="n"/>
      <c r="E10" s="15" t="n"/>
      <c r="F10" s="15" t="n"/>
      <c r="G10" s="15" t="n"/>
      <c r="H10" s="15" t="n"/>
      <c r="I10" s="15" t="n"/>
      <c r="J10" s="15" t="n"/>
      <c r="K10" s="15" t="n"/>
    </row>
    <row r="11">
      <c r="A11" s="15" t="n"/>
      <c r="B11" s="15" t="n"/>
      <c r="C11" s="15" t="n"/>
      <c r="D11" s="15" t="n"/>
      <c r="E11" s="15" t="n"/>
      <c r="F11" s="15" t="n"/>
      <c r="G11" s="15" t="n"/>
      <c r="H11" s="15" t="n"/>
      <c r="I11" s="15" t="n"/>
      <c r="J11" s="15" t="n"/>
      <c r="K11" s="15" t="n"/>
    </row>
    <row r="12">
      <c r="A12" s="15" t="n"/>
      <c r="B12" s="15" t="n"/>
      <c r="C12" s="15" t="n"/>
      <c r="D12" s="15" t="n"/>
      <c r="E12" s="15" t="n"/>
      <c r="F12" s="15" t="n"/>
      <c r="G12" s="15" t="n"/>
      <c r="H12" s="15" t="n"/>
      <c r="I12" s="15" t="n"/>
      <c r="J12" s="15" t="n"/>
      <c r="K12" s="15" t="n"/>
    </row>
    <row r="13">
      <c r="A13" s="15" t="n"/>
      <c r="B13" s="15" t="n"/>
      <c r="C13" s="15" t="n"/>
      <c r="D13" s="15" t="n"/>
      <c r="E13" s="15" t="n"/>
      <c r="F13" s="15" t="n"/>
      <c r="G13" s="15" t="n"/>
      <c r="H13" s="15" t="n"/>
      <c r="I13" s="15" t="n"/>
      <c r="J13" s="15" t="n"/>
      <c r="K13" s="15" t="n"/>
    </row>
    <row r="14">
      <c r="A14" s="15" t="n"/>
      <c r="B14" s="15" t="n"/>
      <c r="C14" s="15" t="n"/>
      <c r="D14" s="15" t="n"/>
      <c r="E14" s="15" t="n"/>
      <c r="F14" s="15" t="n"/>
      <c r="G14" s="15" t="n"/>
      <c r="H14" s="15" t="n"/>
      <c r="I14" s="15" t="n"/>
      <c r="J14" s="15" t="n"/>
      <c r="K14" s="15" t="n"/>
    </row>
    <row r="15">
      <c r="A15" s="15" t="n"/>
      <c r="B15" s="15" t="n"/>
      <c r="C15" s="15" t="n"/>
      <c r="D15" s="15" t="n"/>
      <c r="E15" s="15" t="n"/>
      <c r="F15" s="15" t="n"/>
      <c r="G15" s="15" t="n"/>
      <c r="H15" s="15" t="n"/>
      <c r="I15" s="15" t="n"/>
      <c r="J15" s="15" t="n"/>
      <c r="K15" s="15" t="n"/>
    </row>
    <row r="16">
      <c r="A16" s="15" t="n"/>
      <c r="B16" s="15" t="n"/>
      <c r="C16" s="15" t="n"/>
      <c r="D16" s="15" t="n"/>
      <c r="E16" s="15" t="n"/>
      <c r="F16" s="15" t="n"/>
      <c r="G16" s="15" t="n"/>
      <c r="H16" s="15" t="n"/>
      <c r="I16" s="15" t="n"/>
      <c r="J16" s="15" t="n"/>
      <c r="K16" s="15" t="n"/>
    </row>
    <row r="17">
      <c r="A17" s="15" t="n"/>
      <c r="B17" s="15" t="n"/>
      <c r="C17" s="15" t="n"/>
      <c r="D17" s="15" t="n"/>
      <c r="E17" s="15" t="n"/>
      <c r="F17" s="15" t="n"/>
      <c r="G17" s="15" t="n"/>
      <c r="H17" s="15" t="n"/>
      <c r="I17" s="15" t="n"/>
      <c r="J17" s="15" t="n"/>
      <c r="K17" s="15" t="n"/>
    </row>
    <row r="18">
      <c r="A18" s="15" t="n"/>
      <c r="B18" s="15" t="n"/>
      <c r="C18" s="15" t="n"/>
      <c r="D18" s="15" t="n"/>
      <c r="E18" s="15" t="n"/>
      <c r="F18" s="15" t="n"/>
      <c r="G18" s="15" t="n"/>
      <c r="H18" s="15" t="n"/>
      <c r="I18" s="15" t="n"/>
      <c r="J18" s="15" t="n"/>
      <c r="K18" s="15" t="n"/>
    </row>
    <row r="19">
      <c r="A19" s="15" t="n"/>
      <c r="B19" s="15" t="n"/>
      <c r="C19" s="15" t="n"/>
      <c r="D19" s="15" t="n"/>
      <c r="E19" s="15" t="n"/>
      <c r="F19" s="15" t="n"/>
      <c r="G19" s="15" t="n"/>
      <c r="H19" s="15" t="n"/>
      <c r="I19" s="15" t="n"/>
      <c r="J19" s="15" t="n"/>
      <c r="K19" s="15" t="n"/>
    </row>
    <row r="20">
      <c r="A20" s="15" t="n"/>
      <c r="B20" s="15" t="n"/>
      <c r="C20" s="15" t="n"/>
      <c r="D20" s="15" t="n"/>
      <c r="E20" s="15" t="n"/>
      <c r="F20" s="15" t="n"/>
      <c r="G20" s="15" t="n"/>
      <c r="H20" s="15" t="n"/>
      <c r="I20" s="15" t="n"/>
      <c r="J20" s="15" t="n"/>
      <c r="K20" s="15" t="n"/>
    </row>
    <row r="21">
      <c r="A21" s="15" t="n"/>
      <c r="B21" s="15" t="n"/>
      <c r="C21" s="15" t="n"/>
      <c r="D21" s="15" t="n"/>
      <c r="E21" s="15" t="n"/>
      <c r="F21" s="15" t="n"/>
      <c r="G21" s="15" t="n"/>
      <c r="H21" s="15" t="n"/>
      <c r="I21" s="15" t="n"/>
      <c r="J21" s="15" t="n"/>
      <c r="K21" s="15" t="n"/>
    </row>
    <row r="22">
      <c r="A22" s="15" t="n"/>
      <c r="B22" s="15" t="n"/>
      <c r="C22" s="15" t="n"/>
      <c r="D22" s="15" t="n"/>
      <c r="E22" s="15" t="n"/>
      <c r="F22" s="15" t="n"/>
      <c r="G22" s="15" t="n"/>
      <c r="H22" s="15" t="n"/>
      <c r="I22" s="15" t="n"/>
      <c r="J22" s="15" t="n"/>
      <c r="K22" s="15" t="n"/>
    </row>
    <row r="23">
      <c r="A23" s="15" t="n"/>
      <c r="B23" s="15" t="n"/>
      <c r="C23" s="15" t="n"/>
      <c r="D23" s="15" t="n"/>
      <c r="E23" s="15" t="n"/>
      <c r="F23" s="15" t="n"/>
      <c r="G23" s="15" t="n"/>
      <c r="H23" s="15" t="n"/>
      <c r="I23" s="15" t="n"/>
      <c r="J23" s="15" t="n"/>
      <c r="K23" s="15" t="n"/>
    </row>
    <row r="24">
      <c r="A24" s="15" t="n"/>
      <c r="B24" s="15" t="n"/>
      <c r="C24" s="15" t="n"/>
      <c r="D24" s="15" t="n"/>
      <c r="E24" s="15" t="n"/>
      <c r="F24" s="15" t="n"/>
      <c r="G24" s="15" t="n"/>
      <c r="H24" s="15" t="n"/>
      <c r="I24" s="15" t="n"/>
      <c r="J24" s="15" t="n"/>
      <c r="K24" s="15" t="n"/>
    </row>
    <row r="25">
      <c r="A25" s="15" t="n"/>
      <c r="B25" s="15" t="n"/>
      <c r="C25" s="15" t="n"/>
      <c r="D25" s="15" t="n"/>
      <c r="E25" s="15" t="n"/>
      <c r="F25" s="15" t="n"/>
      <c r="G25" s="15" t="n"/>
      <c r="H25" s="15" t="n"/>
      <c r="I25" s="15" t="n"/>
      <c r="J25" s="15" t="n"/>
      <c r="K25" s="15" t="n"/>
    </row>
    <row r="26">
      <c r="A26" s="15" t="n"/>
      <c r="B26" s="15" t="n"/>
      <c r="C26" s="15" t="n"/>
      <c r="D26" s="15" t="n"/>
      <c r="E26" s="15" t="n"/>
      <c r="F26" s="15" t="n"/>
      <c r="G26" s="15" t="n"/>
      <c r="H26" s="15" t="n"/>
      <c r="I26" s="15" t="n"/>
      <c r="J26" s="15" t="n"/>
      <c r="K26" s="15" t="n"/>
    </row>
    <row r="27">
      <c r="A27" s="15" t="n"/>
      <c r="B27" s="15" t="n"/>
      <c r="C27" s="15" t="n"/>
      <c r="D27" s="15" t="n"/>
      <c r="E27" s="15" t="n"/>
      <c r="F27" s="15" t="n"/>
      <c r="G27" s="15" t="n"/>
      <c r="H27" s="15" t="n"/>
      <c r="I27" s="15" t="n"/>
      <c r="J27" s="15" t="n"/>
      <c r="K27" s="15" t="n"/>
    </row>
    <row r="28">
      <c r="A28" s="15" t="n"/>
      <c r="B28" s="15" t="n"/>
      <c r="C28" s="15" t="n"/>
      <c r="D28" s="15" t="n"/>
      <c r="E28" s="15" t="n"/>
      <c r="F28" s="15" t="n"/>
      <c r="G28" s="15" t="n"/>
      <c r="H28" s="15" t="n"/>
      <c r="I28" s="15" t="n"/>
      <c r="J28" s="15" t="n"/>
      <c r="K28" s="15" t="n"/>
    </row>
    <row r="29">
      <c r="A29" s="15" t="n"/>
      <c r="B29" s="15" t="n"/>
      <c r="C29" s="15" t="n"/>
      <c r="D29" s="15" t="n"/>
      <c r="E29" s="15" t="n"/>
      <c r="F29" s="15" t="n"/>
      <c r="G29" s="15" t="n"/>
      <c r="H29" s="15" t="n"/>
      <c r="I29" s="15" t="n"/>
      <c r="J29" s="15" t="n"/>
      <c r="K29" s="15" t="n"/>
    </row>
    <row r="30">
      <c r="A30" s="15" t="n"/>
      <c r="B30" s="15" t="n"/>
      <c r="C30" s="15" t="n"/>
      <c r="D30" s="15" t="n"/>
      <c r="E30" s="15" t="n"/>
      <c r="F30" s="15" t="n"/>
      <c r="G30" s="15" t="n"/>
      <c r="H30" s="15" t="n"/>
      <c r="I30" s="15" t="n"/>
      <c r="J30" s="15" t="n"/>
      <c r="K30" s="15" t="n"/>
    </row>
    <row r="31">
      <c r="A31" s="15" t="n"/>
      <c r="B31" s="15" t="n"/>
      <c r="C31" s="15" t="n"/>
      <c r="D31" s="15" t="n"/>
      <c r="E31" s="15" t="n"/>
      <c r="F31" s="15" t="n"/>
      <c r="G31" s="15" t="n"/>
      <c r="H31" s="15" t="n"/>
      <c r="I31" s="15" t="n"/>
      <c r="J31" s="15" t="n"/>
      <c r="K31" s="15" t="n"/>
    </row>
    <row r="32">
      <c r="A32" s="15" t="n"/>
      <c r="B32" s="15" t="n"/>
      <c r="C32" s="15" t="n"/>
      <c r="D32" s="15" t="n"/>
      <c r="E32" s="15" t="n"/>
      <c r="F32" s="15" t="n"/>
      <c r="G32" s="15" t="n"/>
      <c r="H32" s="15" t="n"/>
      <c r="I32" s="15" t="n"/>
      <c r="J32" s="15" t="n"/>
      <c r="K32" s="15" t="n"/>
    </row>
    <row r="33">
      <c r="A33" s="15" t="n"/>
      <c r="B33" s="15" t="n"/>
      <c r="C33" s="15" t="n"/>
      <c r="D33" s="15" t="n"/>
      <c r="E33" s="15" t="n"/>
      <c r="F33" s="15" t="n"/>
      <c r="G33" s="15" t="n"/>
      <c r="H33" s="15" t="n"/>
      <c r="I33" s="15" t="n"/>
      <c r="J33" s="15" t="n"/>
      <c r="K33" s="15" t="n"/>
    </row>
    <row r="34">
      <c r="A34" s="15" t="n"/>
      <c r="B34" s="15" t="n"/>
      <c r="C34" s="15" t="n"/>
      <c r="D34" s="15" t="n"/>
      <c r="E34" s="15" t="n"/>
      <c r="F34" s="15" t="n"/>
      <c r="G34" s="15" t="n"/>
      <c r="H34" s="15" t="n"/>
      <c r="I34" s="15" t="n"/>
      <c r="J34" s="15" t="n"/>
      <c r="K34" s="15" t="n"/>
    </row>
    <row r="35">
      <c r="A35" s="15" t="n"/>
      <c r="B35" s="15" t="n"/>
      <c r="C35" s="15" t="n"/>
      <c r="D35" s="15" t="n"/>
      <c r="E35" s="15" t="n"/>
      <c r="F35" s="15" t="n"/>
      <c r="G35" s="15" t="n"/>
      <c r="H35" s="15" t="n"/>
      <c r="I35" s="15" t="n"/>
      <c r="J35" s="15" t="n"/>
      <c r="K35" s="15" t="n"/>
    </row>
    <row r="36">
      <c r="A36" s="15" t="n"/>
      <c r="B36" s="15" t="n"/>
      <c r="C36" s="15" t="n"/>
      <c r="D36" s="15" t="n"/>
      <c r="E36" s="15" t="n"/>
      <c r="F36" s="15" t="n"/>
      <c r="G36" s="15" t="n"/>
      <c r="H36" s="15" t="n"/>
      <c r="I36" s="15" t="n"/>
      <c r="J36" s="15" t="n"/>
      <c r="K36" s="15" t="n"/>
    </row>
    <row r="37">
      <c r="A37" s="15" t="n"/>
      <c r="B37" s="15" t="n"/>
      <c r="C37" s="15" t="n"/>
      <c r="D37" s="15" t="n"/>
      <c r="E37" s="15" t="n"/>
      <c r="F37" s="15" t="n"/>
      <c r="G37" s="15" t="n"/>
      <c r="H37" s="15" t="n"/>
      <c r="I37" s="15" t="n"/>
      <c r="J37" s="15" t="n"/>
      <c r="K37" s="15" t="n"/>
    </row>
    <row r="38">
      <c r="A38" s="15" t="n"/>
      <c r="B38" s="15" t="n"/>
      <c r="C38" s="15" t="n"/>
      <c r="D38" s="15" t="n"/>
      <c r="E38" s="15" t="n"/>
      <c r="F38" s="15" t="n"/>
      <c r="G38" s="15" t="n"/>
      <c r="H38" s="15" t="n"/>
      <c r="I38" s="15" t="n"/>
      <c r="J38" s="15" t="n"/>
      <c r="K38" s="15" t="n"/>
    </row>
    <row r="39">
      <c r="A39" s="15" t="n"/>
      <c r="B39" s="15" t="n"/>
      <c r="C39" s="15" t="n"/>
      <c r="D39" s="15" t="n"/>
      <c r="E39" s="15" t="n"/>
      <c r="F39" s="15" t="n"/>
      <c r="G39" s="15" t="n"/>
      <c r="H39" s="15" t="n"/>
      <c r="I39" s="15" t="n"/>
      <c r="J39" s="15" t="n"/>
      <c r="K39" s="15" t="n"/>
    </row>
    <row r="40">
      <c r="A40" s="15" t="n"/>
      <c r="B40" s="15" t="n"/>
      <c r="C40" s="15" t="n"/>
      <c r="D40" s="15" t="n"/>
      <c r="E40" s="15" t="n"/>
      <c r="F40" s="15" t="n"/>
      <c r="G40" s="15" t="n"/>
      <c r="H40" s="15" t="n"/>
      <c r="I40" s="15" t="n"/>
      <c r="J40" s="15" t="n"/>
      <c r="K40" s="15" t="n"/>
    </row>
    <row r="41">
      <c r="A41" s="15" t="n"/>
      <c r="B41" s="15" t="n"/>
      <c r="C41" s="15" t="n"/>
      <c r="D41" s="15" t="n"/>
      <c r="E41" s="15" t="n"/>
      <c r="F41" s="15" t="n"/>
      <c r="G41" s="15" t="n"/>
      <c r="H41" s="15" t="n"/>
      <c r="I41" s="15" t="n"/>
      <c r="J41" s="15" t="n"/>
      <c r="K41" s="15" t="n"/>
    </row>
    <row r="42">
      <c r="A42" s="15" t="n"/>
      <c r="B42" s="15" t="n"/>
      <c r="C42" s="15" t="n"/>
      <c r="D42" s="15" t="n"/>
      <c r="E42" s="15" t="n"/>
      <c r="F42" s="15" t="n"/>
      <c r="G42" s="15" t="n"/>
      <c r="H42" s="15" t="n"/>
      <c r="I42" s="15" t="n"/>
      <c r="J42" s="15" t="n"/>
      <c r="K42" s="15" t="n"/>
    </row>
    <row r="43">
      <c r="A43" s="15" t="n"/>
      <c r="B43" s="15" t="n"/>
      <c r="C43" s="15" t="n"/>
      <c r="D43" s="15" t="n"/>
      <c r="E43" s="15" t="n"/>
      <c r="F43" s="15" t="n"/>
      <c r="G43" s="15" t="n"/>
      <c r="H43" s="15" t="n"/>
      <c r="I43" s="15" t="n"/>
      <c r="J43" s="15" t="n"/>
      <c r="K43" s="15" t="n"/>
    </row>
    <row r="44">
      <c r="A44" s="15" t="n"/>
      <c r="B44" s="15" t="n"/>
      <c r="C44" s="15" t="n"/>
      <c r="D44" s="15" t="n"/>
      <c r="E44" s="15" t="n"/>
      <c r="F44" s="15" t="n"/>
      <c r="G44" s="15" t="n"/>
      <c r="H44" s="15" t="n"/>
      <c r="I44" s="15" t="n"/>
      <c r="J44" s="15" t="n"/>
      <c r="K44" s="15" t="n"/>
    </row>
    <row r="45">
      <c r="A45" s="15" t="n"/>
      <c r="B45" s="15" t="n"/>
      <c r="C45" s="15" t="n"/>
      <c r="D45" s="15" t="n"/>
      <c r="E45" s="15" t="n"/>
      <c r="F45" s="15" t="n"/>
      <c r="G45" s="15" t="n"/>
      <c r="H45" s="15" t="n"/>
      <c r="I45" s="15" t="n"/>
      <c r="J45" s="15" t="n"/>
      <c r="K45" s="15" t="n"/>
    </row>
    <row r="46">
      <c r="A46" s="15" t="n"/>
      <c r="B46" s="15" t="n"/>
      <c r="C46" s="15" t="n"/>
      <c r="D46" s="15" t="n"/>
      <c r="E46" s="15" t="n"/>
      <c r="F46" s="15" t="n"/>
      <c r="G46" s="15" t="n"/>
      <c r="H46" s="15" t="n"/>
      <c r="I46" s="15" t="n"/>
      <c r="J46" s="15" t="n"/>
      <c r="K46" s="15" t="n"/>
    </row>
    <row r="47">
      <c r="A47" s="15" t="n"/>
      <c r="B47" s="15" t="n"/>
      <c r="C47" s="15" t="n"/>
      <c r="D47" s="15" t="n"/>
      <c r="E47" s="15" t="n"/>
      <c r="F47" s="15" t="n"/>
      <c r="G47" s="15" t="n"/>
      <c r="H47" s="15" t="n"/>
      <c r="I47" s="15" t="n"/>
      <c r="J47" s="15" t="n"/>
      <c r="K47" s="15" t="n"/>
    </row>
    <row r="48">
      <c r="A48" s="15" t="n"/>
      <c r="B48" s="15" t="n"/>
      <c r="C48" s="15" t="n"/>
      <c r="D48" s="15" t="n"/>
      <c r="E48" s="15" t="n"/>
      <c r="F48" s="15" t="n"/>
      <c r="G48" s="15" t="n"/>
      <c r="H48" s="15" t="n"/>
      <c r="I48" s="15" t="n"/>
      <c r="J48" s="15" t="n"/>
      <c r="K48" s="15" t="n"/>
    </row>
    <row r="49">
      <c r="A49" s="15" t="n"/>
      <c r="B49" s="15" t="n"/>
      <c r="C49" s="15" t="n"/>
      <c r="D49" s="15" t="n"/>
      <c r="E49" s="15" t="n"/>
      <c r="F49" s="15" t="n"/>
      <c r="G49" s="15" t="n"/>
      <c r="H49" s="15" t="n"/>
      <c r="I49" s="15" t="n"/>
      <c r="J49" s="15" t="n"/>
      <c r="K49" s="15" t="n"/>
    </row>
    <row r="50">
      <c r="A50" s="15" t="n"/>
      <c r="B50" s="15" t="n"/>
      <c r="C50" s="15" t="n"/>
      <c r="D50" s="15" t="n"/>
      <c r="E50" s="15" t="n"/>
      <c r="F50" s="15" t="n"/>
      <c r="G50" s="15" t="n"/>
      <c r="H50" s="15" t="n"/>
      <c r="I50" s="15" t="n"/>
      <c r="J50" s="15" t="n"/>
      <c r="K50" s="15" t="n"/>
    </row>
    <row r="51">
      <c r="A51" s="15" t="n"/>
      <c r="B51" s="15" t="n"/>
      <c r="C51" s="15" t="n"/>
      <c r="D51" s="15" t="n"/>
      <c r="E51" s="15" t="n"/>
      <c r="F51" s="15" t="n"/>
      <c r="G51" s="15" t="n"/>
      <c r="H51" s="15" t="n"/>
      <c r="I51" s="15" t="n"/>
      <c r="J51" s="15" t="n"/>
      <c r="K51" s="15" t="n"/>
    </row>
    <row r="52">
      <c r="A52" s="15" t="n"/>
      <c r="B52" s="15" t="n"/>
      <c r="C52" s="15" t="n"/>
      <c r="D52" s="15" t="n"/>
      <c r="E52" s="15" t="n"/>
      <c r="F52" s="15" t="n"/>
      <c r="G52" s="15" t="n"/>
      <c r="H52" s="15" t="n"/>
      <c r="I52" s="15" t="n"/>
      <c r="J52" s="15" t="n"/>
      <c r="K52" s="15" t="n"/>
    </row>
    <row r="53">
      <c r="A53" s="15" t="n"/>
      <c r="B53" s="15" t="n"/>
      <c r="C53" s="15" t="n"/>
      <c r="D53" s="15" t="n"/>
      <c r="E53" s="15" t="n"/>
      <c r="F53" s="15" t="n"/>
      <c r="G53" s="15" t="n"/>
      <c r="H53" s="15" t="n"/>
      <c r="I53" s="15" t="n"/>
      <c r="J53" s="15" t="n"/>
      <c r="K53" s="15" t="n"/>
    </row>
    <row r="54">
      <c r="A54" s="15" t="n"/>
      <c r="B54" s="15" t="n"/>
      <c r="C54" s="15" t="n"/>
      <c r="D54" s="15" t="n"/>
      <c r="E54" s="15" t="n"/>
      <c r="F54" s="15" t="n"/>
      <c r="G54" s="15" t="n"/>
      <c r="H54" s="15" t="n"/>
      <c r="I54" s="15" t="n"/>
      <c r="J54" s="15" t="n"/>
      <c r="K54" s="15" t="n"/>
    </row>
  </sheetData>
  <mergeCells count="2">
    <mergeCell ref="A2:K2"/>
    <mergeCell ref="A1:K1"/>
  </mergeCells>
  <dataValidations count="3">
    <dataValidation sqref="D4 D5 D6 D7 D8 D9 D10 D11 D12 D13 D14 D15 D16 D17 D18 D19 D20 D21 D22 D23 D24 D25 D26 D27 D28 D29 D30 D31 D32 D33 D34 D35 D36 D37 D38 D39 D40 D41 D42 D43 D44 D45 D46 D47 D48 D49 D50 D51 D52 D53 D54" showDropDown="0" showInputMessage="0" showErrorMessage="0" allowBlank="0" type="list">
      <formula1>"External Auditor,External Consultant,Internal Audit,Cross-Departmental"</formula1>
    </dataValidation>
    <dataValidation sqref="H4 H5 H6 H7 H8 H9 H10 H11 H12 H13 H14 H15 H16 H17 H18 H19 H20 H21 H22 H23 H24 H25 H26 H27 H28 H29 H30 H31 H32 H33 H34 H35 H36 H37 H38 H39 H40 H41 H42 H43 H44 H45 H46 H47 H48 H49 H50 H51 H52 H53 H54" showDropDown="0" showInputMessage="0" showErrorMessage="0" allowBlank="0" type="list">
      <formula1>"Fully Independent,Conditionally Independent,Not Independent"</formula1>
    </dataValidation>
    <dataValidation sqref="J4 J5 J6 J7 J8 J9 J10 J11 J12 J13 J14 J15 J16 J17 J18 J19 J20 J21 J22 J23 J24 J25 J26 J27 J28 J29 J30 J31 J32 J33 J34 J35 J36 J37 J38 J39 J40 J41 J42 J43 J44 J45 J46 J47 J48 J49 J50 J51 J52 J53 J54" showDropDown="0" showInputMessage="0" showErrorMessage="0" allowBlank="0" type="list">
      <formula1>"Approved,Pending Approval,Expired,Revoked"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14" customWidth="1" min="1" max="1"/>
    <col width="30" customWidth="1" min="2" max="2"/>
    <col width="25" customWidth="1" min="3" max="3"/>
    <col width="25" customWidth="1" min="4" max="4"/>
    <col width="30" customWidth="1" min="5" max="5"/>
    <col width="25" customWidth="1" min="6" max="6"/>
    <col width="22" customWidth="1" min="7" max="7"/>
    <col width="14" customWidth="1" min="8" max="8"/>
    <col width="20" customWidth="1" min="9" max="9"/>
    <col width="30" customWidth="1" min="10" max="10"/>
  </cols>
  <sheetData>
    <row r="1" ht="35" customHeight="1">
      <c r="A1" s="11" t="inlineStr">
        <is>
          <t>REVIEW SCOPE DEFINITION</t>
        </is>
      </c>
    </row>
    <row r="2">
      <c r="A2" s="12" t="inlineStr">
        <is>
          <t>Define the scope for each independent review — specify controls covered, departments, systems, sampling approach, and approver.</t>
        </is>
      </c>
    </row>
    <row r="3">
      <c r="A3" s="13" t="inlineStr">
        <is>
          <t>Review Ref</t>
        </is>
      </c>
      <c r="B3" s="13" t="inlineStr">
        <is>
          <t>Scope Area</t>
        </is>
      </c>
      <c r="C3" s="13" t="inlineStr">
        <is>
          <t>ISO Controls</t>
        </is>
      </c>
      <c r="D3" s="13" t="inlineStr">
        <is>
          <t>Departments Included</t>
        </is>
      </c>
      <c r="E3" s="13" t="inlineStr">
        <is>
          <t>Systems Included</t>
        </is>
      </c>
      <c r="F3" s="13" t="inlineStr">
        <is>
          <t>Exclusions</t>
        </is>
      </c>
      <c r="G3" s="13" t="inlineStr">
        <is>
          <t>Sampling Approach</t>
        </is>
      </c>
      <c r="H3" s="13" t="inlineStr">
        <is>
          <t>Sample Size</t>
        </is>
      </c>
      <c r="I3" s="13" t="inlineStr">
        <is>
          <t>Scope Approved By</t>
        </is>
      </c>
      <c r="J3" s="13" t="inlineStr">
        <is>
          <t>Notes</t>
        </is>
      </c>
    </row>
    <row r="4">
      <c r="A4" s="14" t="inlineStr">
        <is>
          <t>REV-2026-001</t>
        </is>
      </c>
      <c r="B4" s="14" t="inlineStr">
        <is>
          <t>ISMS Governance</t>
        </is>
      </c>
      <c r="C4" s="14" t="inlineStr">
        <is>
          <t>A.5.1-A.5.4</t>
        </is>
      </c>
      <c r="D4" s="14" t="inlineStr">
        <is>
          <t>Executive, IS Team</t>
        </is>
      </c>
      <c r="E4" s="14" t="inlineStr">
        <is>
          <t>ISMS platform, SharePoint</t>
        </is>
      </c>
      <c r="F4" s="14" t="inlineStr">
        <is>
          <t>Operational systems</t>
        </is>
      </c>
      <c r="G4" s="14" t="inlineStr">
        <is>
          <t>Risk-Based</t>
        </is>
      </c>
      <c r="H4" s="14" t="inlineStr">
        <is>
          <t>25</t>
        </is>
      </c>
      <c r="I4" s="14" t="inlineStr">
        <is>
          <t>CISO</t>
        </is>
      </c>
      <c r="J4" s="14" t="inlineStr">
        <is>
          <t>Scope agreed and approved 15.02.2026</t>
        </is>
      </c>
    </row>
    <row r="5">
      <c r="A5" s="15" t="n"/>
      <c r="B5" s="15" t="n"/>
      <c r="C5" s="15" t="n"/>
      <c r="D5" s="15" t="n"/>
      <c r="E5" s="15" t="n"/>
      <c r="F5" s="15" t="n"/>
      <c r="G5" s="15" t="n"/>
      <c r="H5" s="15" t="n"/>
      <c r="I5" s="15" t="n"/>
      <c r="J5" s="15" t="n"/>
    </row>
    <row r="6">
      <c r="A6" s="15" t="n"/>
      <c r="B6" s="15" t="n"/>
      <c r="C6" s="15" t="n"/>
      <c r="D6" s="15" t="n"/>
      <c r="E6" s="15" t="n"/>
      <c r="F6" s="15" t="n"/>
      <c r="G6" s="15" t="n"/>
      <c r="H6" s="15" t="n"/>
      <c r="I6" s="15" t="n"/>
      <c r="J6" s="15" t="n"/>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sheetData>
  <mergeCells count="2">
    <mergeCell ref="A1:J1"/>
    <mergeCell ref="A2:J2"/>
  </mergeCells>
  <dataValidations count="1">
    <dataValidation sqref="G4 G5 G6 G7 G8 G9 G10 G11 G12 G13 G14 G15 G16 G17 G18 G19 G20 G21 G22 G23 G24 G25 G26 G27 G28 G29 G30 G31 G32 G33 G34 G35 G36 G37 G38 G39 G40 G41 G42 G43 G44 G45 G46 G47 G48 G49 G50 G51 G52 G53 G54" showDropDown="0" showInputMessage="0" showErrorMessage="0" allowBlank="0" type="list">
      <formula1>"Statistical,Judgmental,100% Coverage,Risk-Based"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54"/>
  <sheetViews>
    <sheetView showGridLines="0" workbookViewId="0">
      <pane ySplit="3" topLeftCell="A4" activePane="bottomLeft" state="frozen"/>
      <selection pane="bottomLeft" activeCell="A1" sqref="A1"/>
    </sheetView>
  </sheetViews>
  <sheetFormatPr baseColWidth="8" defaultRowHeight="15"/>
  <cols>
    <col width="14" customWidth="1" min="1" max="1"/>
    <col width="14" customWidth="1" min="2" max="2"/>
    <col width="40" customWidth="1" min="3" max="3"/>
    <col width="22" customWidth="1" min="4" max="4"/>
    <col width="14" customWidth="1" min="5" max="5"/>
    <col width="14" customWidth="1" min="6" max="6"/>
    <col width="16" customWidth="1" min="7" max="7"/>
    <col width="16" customWidth="1" min="8" max="8"/>
    <col width="18" customWidth="1" min="9" max="9"/>
    <col width="14" customWidth="1" min="10" max="10"/>
    <col width="16" customWidth="1" min="11" max="11"/>
    <col width="30" customWidth="1" min="12" max="12"/>
  </cols>
  <sheetData>
    <row r="1" ht="35" customHeight="1">
      <c r="A1" s="11" t="inlineStr">
        <is>
          <t>REVIEW EXECUTION TRACKING</t>
        </is>
      </c>
    </row>
    <row r="2">
      <c r="A2" s="12" t="inlineStr">
        <is>
          <t>Track individual review activities — log assigned reviewer, planned/actual dates, status, evidence collected, and any issues found.</t>
        </is>
      </c>
    </row>
    <row r="3">
      <c r="A3" s="13" t="inlineStr">
        <is>
          <t>Activity ID</t>
        </is>
      </c>
      <c r="B3" s="13" t="inlineStr">
        <is>
          <t>Review Ref</t>
        </is>
      </c>
      <c r="C3" s="13" t="inlineStr">
        <is>
          <t>Activity Description</t>
        </is>
      </c>
      <c r="D3" s="13" t="inlineStr">
        <is>
          <t>Assigned To</t>
        </is>
      </c>
      <c r="E3" s="13" t="inlineStr">
        <is>
          <t>Planned Date</t>
        </is>
      </c>
      <c r="F3" s="13" t="inlineStr">
        <is>
          <t>Actual Date</t>
        </is>
      </c>
      <c r="G3" s="13" t="inlineStr">
        <is>
          <t>Status</t>
        </is>
      </c>
      <c r="H3" s="13" t="inlineStr">
        <is>
          <t>Evidence Collected</t>
        </is>
      </c>
      <c r="I3" s="13" t="inlineStr">
        <is>
          <t>Interviews Conducted</t>
        </is>
      </c>
      <c r="J3" s="13" t="inlineStr">
        <is>
          <t>Issues Found</t>
        </is>
      </c>
      <c r="K3" s="13" t="inlineStr">
        <is>
          <t>Follow Up Required</t>
        </is>
      </c>
      <c r="L3" s="13" t="inlineStr">
        <is>
          <t>Notes</t>
        </is>
      </c>
    </row>
    <row r="4">
      <c r="A4" s="14" t="inlineStr">
        <is>
          <t>ACT-001</t>
        </is>
      </c>
      <c r="B4" s="14" t="inlineStr">
        <is>
          <t>REV-2026-001</t>
        </is>
      </c>
      <c r="C4" s="14" t="inlineStr">
        <is>
          <t>Review access control policy and implementation</t>
        </is>
      </c>
      <c r="D4" s="14" t="inlineStr">
        <is>
          <t>J. Smith</t>
        </is>
      </c>
      <c r="E4" s="14" t="inlineStr">
        <is>
          <t>02.03.2026</t>
        </is>
      </c>
      <c r="F4" s="14" t="inlineStr">
        <is>
          <t>02.03.2026</t>
        </is>
      </c>
      <c r="G4" s="14" t="inlineStr">
        <is>
          <t>Completed</t>
        </is>
      </c>
      <c r="H4" s="14" t="inlineStr">
        <is>
          <t>Yes</t>
        </is>
      </c>
      <c r="I4" s="14" t="inlineStr">
        <is>
          <t>Yes</t>
        </is>
      </c>
      <c r="J4" s="14" t="inlineStr">
        <is>
          <t>2</t>
        </is>
      </c>
      <c r="K4" s="14" t="inlineStr">
        <is>
          <t>No</t>
        </is>
      </c>
      <c r="L4" s="14" t="inlineStr">
        <is>
          <t>Policy v2.1 reviewed; 2 gaps identified in MFA enforcement</t>
        </is>
      </c>
    </row>
    <row r="5">
      <c r="A5" s="15" t="n"/>
      <c r="B5" s="15" t="n"/>
      <c r="C5" s="15" t="n"/>
      <c r="D5" s="15" t="n"/>
      <c r="E5" s="15" t="n"/>
      <c r="F5" s="15" t="n"/>
      <c r="G5" s="15" t="n"/>
      <c r="H5" s="15" t="n"/>
      <c r="I5" s="15" t="n"/>
      <c r="J5" s="15" t="n"/>
      <c r="K5" s="15" t="n"/>
      <c r="L5" s="15" t="n"/>
    </row>
    <row r="6">
      <c r="A6" s="15" t="n"/>
      <c r="B6" s="15" t="n"/>
      <c r="C6" s="15" t="n"/>
      <c r="D6" s="15" t="n"/>
      <c r="E6" s="15" t="n"/>
      <c r="F6" s="15" t="n"/>
      <c r="G6" s="15" t="n"/>
      <c r="H6" s="15" t="n"/>
      <c r="I6" s="15" t="n"/>
      <c r="J6" s="15" t="n"/>
      <c r="K6" s="15" t="n"/>
      <c r="L6" s="15" t="n"/>
    </row>
    <row r="7">
      <c r="A7" s="15" t="n"/>
      <c r="B7" s="15" t="n"/>
      <c r="C7" s="15" t="n"/>
      <c r="D7" s="15" t="n"/>
      <c r="E7" s="15" t="n"/>
      <c r="F7" s="15" t="n"/>
      <c r="G7" s="15" t="n"/>
      <c r="H7" s="15" t="n"/>
      <c r="I7" s="15" t="n"/>
      <c r="J7" s="15" t="n"/>
      <c r="K7" s="15" t="n"/>
      <c r="L7" s="15" t="n"/>
    </row>
    <row r="8">
      <c r="A8" s="15" t="n"/>
      <c r="B8" s="15" t="n"/>
      <c r="C8" s="15" t="n"/>
      <c r="D8" s="15" t="n"/>
      <c r="E8" s="15" t="n"/>
      <c r="F8" s="15" t="n"/>
      <c r="G8" s="15" t="n"/>
      <c r="H8" s="15" t="n"/>
      <c r="I8" s="15" t="n"/>
      <c r="J8" s="15" t="n"/>
      <c r="K8" s="15" t="n"/>
      <c r="L8" s="15" t="n"/>
    </row>
    <row r="9">
      <c r="A9" s="15" t="n"/>
      <c r="B9" s="15" t="n"/>
      <c r="C9" s="15" t="n"/>
      <c r="D9" s="15" t="n"/>
      <c r="E9" s="15" t="n"/>
      <c r="F9" s="15" t="n"/>
      <c r="G9" s="15" t="n"/>
      <c r="H9" s="15" t="n"/>
      <c r="I9" s="15" t="n"/>
      <c r="J9" s="15" t="n"/>
      <c r="K9" s="15" t="n"/>
      <c r="L9" s="15" t="n"/>
    </row>
    <row r="10">
      <c r="A10" s="15" t="n"/>
      <c r="B10" s="15" t="n"/>
      <c r="C10" s="15" t="n"/>
      <c r="D10" s="15" t="n"/>
      <c r="E10" s="15" t="n"/>
      <c r="F10" s="15" t="n"/>
      <c r="G10" s="15" t="n"/>
      <c r="H10" s="15" t="n"/>
      <c r="I10" s="15" t="n"/>
      <c r="J10" s="15" t="n"/>
      <c r="K10" s="15" t="n"/>
      <c r="L10" s="15" t="n"/>
    </row>
    <row r="11">
      <c r="A11" s="15" t="n"/>
      <c r="B11" s="15" t="n"/>
      <c r="C11" s="15" t="n"/>
      <c r="D11" s="15" t="n"/>
      <c r="E11" s="15" t="n"/>
      <c r="F11" s="15" t="n"/>
      <c r="G11" s="15" t="n"/>
      <c r="H11" s="15" t="n"/>
      <c r="I11" s="15" t="n"/>
      <c r="J11" s="15" t="n"/>
      <c r="K11" s="15" t="n"/>
      <c r="L11" s="15" t="n"/>
    </row>
    <row r="12">
      <c r="A12" s="15" t="n"/>
      <c r="B12" s="15" t="n"/>
      <c r="C12" s="15" t="n"/>
      <c r="D12" s="15" t="n"/>
      <c r="E12" s="15" t="n"/>
      <c r="F12" s="15" t="n"/>
      <c r="G12" s="15" t="n"/>
      <c r="H12" s="15" t="n"/>
      <c r="I12" s="15" t="n"/>
      <c r="J12" s="15" t="n"/>
      <c r="K12" s="15" t="n"/>
      <c r="L12" s="15" t="n"/>
    </row>
    <row r="13">
      <c r="A13" s="15" t="n"/>
      <c r="B13" s="15" t="n"/>
      <c r="C13" s="15" t="n"/>
      <c r="D13" s="15" t="n"/>
      <c r="E13" s="15" t="n"/>
      <c r="F13" s="15" t="n"/>
      <c r="G13" s="15" t="n"/>
      <c r="H13" s="15" t="n"/>
      <c r="I13" s="15" t="n"/>
      <c r="J13" s="15" t="n"/>
      <c r="K13" s="15" t="n"/>
      <c r="L13" s="15" t="n"/>
    </row>
    <row r="14">
      <c r="A14" s="15" t="n"/>
      <c r="B14" s="15" t="n"/>
      <c r="C14" s="15" t="n"/>
      <c r="D14" s="15" t="n"/>
      <c r="E14" s="15" t="n"/>
      <c r="F14" s="15" t="n"/>
      <c r="G14" s="15" t="n"/>
      <c r="H14" s="15" t="n"/>
      <c r="I14" s="15" t="n"/>
      <c r="J14" s="15" t="n"/>
      <c r="K14" s="15" t="n"/>
      <c r="L14" s="15" t="n"/>
    </row>
    <row r="15">
      <c r="A15" s="15" t="n"/>
      <c r="B15" s="15" t="n"/>
      <c r="C15" s="15" t="n"/>
      <c r="D15" s="15" t="n"/>
      <c r="E15" s="15" t="n"/>
      <c r="F15" s="15" t="n"/>
      <c r="G15" s="15" t="n"/>
      <c r="H15" s="15" t="n"/>
      <c r="I15" s="15" t="n"/>
      <c r="J15" s="15" t="n"/>
      <c r="K15" s="15" t="n"/>
      <c r="L15" s="15" t="n"/>
    </row>
    <row r="16">
      <c r="A16" s="15" t="n"/>
      <c r="B16" s="15" t="n"/>
      <c r="C16" s="15" t="n"/>
      <c r="D16" s="15" t="n"/>
      <c r="E16" s="15" t="n"/>
      <c r="F16" s="15" t="n"/>
      <c r="G16" s="15" t="n"/>
      <c r="H16" s="15" t="n"/>
      <c r="I16" s="15" t="n"/>
      <c r="J16" s="15" t="n"/>
      <c r="K16" s="15" t="n"/>
      <c r="L16" s="15" t="n"/>
    </row>
    <row r="17">
      <c r="A17" s="15" t="n"/>
      <c r="B17" s="15" t="n"/>
      <c r="C17" s="15" t="n"/>
      <c r="D17" s="15" t="n"/>
      <c r="E17" s="15" t="n"/>
      <c r="F17" s="15" t="n"/>
      <c r="G17" s="15" t="n"/>
      <c r="H17" s="15" t="n"/>
      <c r="I17" s="15" t="n"/>
      <c r="J17" s="15" t="n"/>
      <c r="K17" s="15" t="n"/>
      <c r="L17" s="15" t="n"/>
    </row>
    <row r="18">
      <c r="A18" s="15" t="n"/>
      <c r="B18" s="15" t="n"/>
      <c r="C18" s="15" t="n"/>
      <c r="D18" s="15" t="n"/>
      <c r="E18" s="15" t="n"/>
      <c r="F18" s="15" t="n"/>
      <c r="G18" s="15" t="n"/>
      <c r="H18" s="15" t="n"/>
      <c r="I18" s="15" t="n"/>
      <c r="J18" s="15" t="n"/>
      <c r="K18" s="15" t="n"/>
      <c r="L18" s="15" t="n"/>
    </row>
    <row r="19">
      <c r="A19" s="15" t="n"/>
      <c r="B19" s="15" t="n"/>
      <c r="C19" s="15" t="n"/>
      <c r="D19" s="15" t="n"/>
      <c r="E19" s="15" t="n"/>
      <c r="F19" s="15" t="n"/>
      <c r="G19" s="15" t="n"/>
      <c r="H19" s="15" t="n"/>
      <c r="I19" s="15" t="n"/>
      <c r="J19" s="15" t="n"/>
      <c r="K19" s="15" t="n"/>
      <c r="L19" s="15" t="n"/>
    </row>
    <row r="20">
      <c r="A20" s="15" t="n"/>
      <c r="B20" s="15" t="n"/>
      <c r="C20" s="15" t="n"/>
      <c r="D20" s="15" t="n"/>
      <c r="E20" s="15" t="n"/>
      <c r="F20" s="15" t="n"/>
      <c r="G20" s="15" t="n"/>
      <c r="H20" s="15" t="n"/>
      <c r="I20" s="15" t="n"/>
      <c r="J20" s="15" t="n"/>
      <c r="K20" s="15" t="n"/>
      <c r="L20" s="15" t="n"/>
    </row>
    <row r="21">
      <c r="A21" s="15" t="n"/>
      <c r="B21" s="15" t="n"/>
      <c r="C21" s="15" t="n"/>
      <c r="D21" s="15" t="n"/>
      <c r="E21" s="15" t="n"/>
      <c r="F21" s="15" t="n"/>
      <c r="G21" s="15" t="n"/>
      <c r="H21" s="15" t="n"/>
      <c r="I21" s="15" t="n"/>
      <c r="J21" s="15" t="n"/>
      <c r="K21" s="15" t="n"/>
      <c r="L21" s="15" t="n"/>
    </row>
    <row r="22">
      <c r="A22" s="15" t="n"/>
      <c r="B22" s="15" t="n"/>
      <c r="C22" s="15" t="n"/>
      <c r="D22" s="15" t="n"/>
      <c r="E22" s="15" t="n"/>
      <c r="F22" s="15" t="n"/>
      <c r="G22" s="15" t="n"/>
      <c r="H22" s="15" t="n"/>
      <c r="I22" s="15" t="n"/>
      <c r="J22" s="15" t="n"/>
      <c r="K22" s="15" t="n"/>
      <c r="L22" s="15" t="n"/>
    </row>
    <row r="23">
      <c r="A23" s="15" t="n"/>
      <c r="B23" s="15" t="n"/>
      <c r="C23" s="15" t="n"/>
      <c r="D23" s="15" t="n"/>
      <c r="E23" s="15" t="n"/>
      <c r="F23" s="15" t="n"/>
      <c r="G23" s="15" t="n"/>
      <c r="H23" s="15" t="n"/>
      <c r="I23" s="15" t="n"/>
      <c r="J23" s="15" t="n"/>
      <c r="K23" s="15" t="n"/>
      <c r="L23" s="15" t="n"/>
    </row>
    <row r="24">
      <c r="A24" s="15" t="n"/>
      <c r="B24" s="15" t="n"/>
      <c r="C24" s="15" t="n"/>
      <c r="D24" s="15" t="n"/>
      <c r="E24" s="15" t="n"/>
      <c r="F24" s="15" t="n"/>
      <c r="G24" s="15" t="n"/>
      <c r="H24" s="15" t="n"/>
      <c r="I24" s="15" t="n"/>
      <c r="J24" s="15" t="n"/>
      <c r="K24" s="15" t="n"/>
      <c r="L24" s="15" t="n"/>
    </row>
    <row r="25">
      <c r="A25" s="15" t="n"/>
      <c r="B25" s="15" t="n"/>
      <c r="C25" s="15" t="n"/>
      <c r="D25" s="15" t="n"/>
      <c r="E25" s="15" t="n"/>
      <c r="F25" s="15" t="n"/>
      <c r="G25" s="15" t="n"/>
      <c r="H25" s="15" t="n"/>
      <c r="I25" s="15" t="n"/>
      <c r="J25" s="15" t="n"/>
      <c r="K25" s="15" t="n"/>
      <c r="L25" s="15" t="n"/>
    </row>
    <row r="26">
      <c r="A26" s="15" t="n"/>
      <c r="B26" s="15" t="n"/>
      <c r="C26" s="15" t="n"/>
      <c r="D26" s="15" t="n"/>
      <c r="E26" s="15" t="n"/>
      <c r="F26" s="15" t="n"/>
      <c r="G26" s="15" t="n"/>
      <c r="H26" s="15" t="n"/>
      <c r="I26" s="15" t="n"/>
      <c r="J26" s="15" t="n"/>
      <c r="K26" s="15" t="n"/>
      <c r="L26" s="15" t="n"/>
    </row>
    <row r="27">
      <c r="A27" s="15" t="n"/>
      <c r="B27" s="15" t="n"/>
      <c r="C27" s="15" t="n"/>
      <c r="D27" s="15" t="n"/>
      <c r="E27" s="15" t="n"/>
      <c r="F27" s="15" t="n"/>
      <c r="G27" s="15" t="n"/>
      <c r="H27" s="15" t="n"/>
      <c r="I27" s="15" t="n"/>
      <c r="J27" s="15" t="n"/>
      <c r="K27" s="15" t="n"/>
      <c r="L27" s="15" t="n"/>
    </row>
    <row r="28">
      <c r="A28" s="15" t="n"/>
      <c r="B28" s="15" t="n"/>
      <c r="C28" s="15" t="n"/>
      <c r="D28" s="15" t="n"/>
      <c r="E28" s="15" t="n"/>
      <c r="F28" s="15" t="n"/>
      <c r="G28" s="15" t="n"/>
      <c r="H28" s="15" t="n"/>
      <c r="I28" s="15" t="n"/>
      <c r="J28" s="15" t="n"/>
      <c r="K28" s="15" t="n"/>
      <c r="L28" s="15" t="n"/>
    </row>
    <row r="29">
      <c r="A29" s="15" t="n"/>
      <c r="B29" s="15" t="n"/>
      <c r="C29" s="15" t="n"/>
      <c r="D29" s="15" t="n"/>
      <c r="E29" s="15" t="n"/>
      <c r="F29" s="15" t="n"/>
      <c r="G29" s="15" t="n"/>
      <c r="H29" s="15" t="n"/>
      <c r="I29" s="15" t="n"/>
      <c r="J29" s="15" t="n"/>
      <c r="K29" s="15" t="n"/>
      <c r="L29" s="15" t="n"/>
    </row>
    <row r="30">
      <c r="A30" s="15" t="n"/>
      <c r="B30" s="15" t="n"/>
      <c r="C30" s="15" t="n"/>
      <c r="D30" s="15" t="n"/>
      <c r="E30" s="15" t="n"/>
      <c r="F30" s="15" t="n"/>
      <c r="G30" s="15" t="n"/>
      <c r="H30" s="15" t="n"/>
      <c r="I30" s="15" t="n"/>
      <c r="J30" s="15" t="n"/>
      <c r="K30" s="15" t="n"/>
      <c r="L30" s="15" t="n"/>
    </row>
    <row r="31">
      <c r="A31" s="15" t="n"/>
      <c r="B31" s="15" t="n"/>
      <c r="C31" s="15" t="n"/>
      <c r="D31" s="15" t="n"/>
      <c r="E31" s="15" t="n"/>
      <c r="F31" s="15" t="n"/>
      <c r="G31" s="15" t="n"/>
      <c r="H31" s="15" t="n"/>
      <c r="I31" s="15" t="n"/>
      <c r="J31" s="15" t="n"/>
      <c r="K31" s="15" t="n"/>
      <c r="L31" s="15" t="n"/>
    </row>
    <row r="32">
      <c r="A32" s="15" t="n"/>
      <c r="B32" s="15" t="n"/>
      <c r="C32" s="15" t="n"/>
      <c r="D32" s="15" t="n"/>
      <c r="E32" s="15" t="n"/>
      <c r="F32" s="15" t="n"/>
      <c r="G32" s="15" t="n"/>
      <c r="H32" s="15" t="n"/>
      <c r="I32" s="15" t="n"/>
      <c r="J32" s="15" t="n"/>
      <c r="K32" s="15" t="n"/>
      <c r="L32" s="15" t="n"/>
    </row>
    <row r="33">
      <c r="A33" s="15" t="n"/>
      <c r="B33" s="15" t="n"/>
      <c r="C33" s="15" t="n"/>
      <c r="D33" s="15" t="n"/>
      <c r="E33" s="15" t="n"/>
      <c r="F33" s="15" t="n"/>
      <c r="G33" s="15" t="n"/>
      <c r="H33" s="15" t="n"/>
      <c r="I33" s="15" t="n"/>
      <c r="J33" s="15" t="n"/>
      <c r="K33" s="15" t="n"/>
      <c r="L33" s="15" t="n"/>
    </row>
    <row r="34">
      <c r="A34" s="15" t="n"/>
      <c r="B34" s="15" t="n"/>
      <c r="C34" s="15" t="n"/>
      <c r="D34" s="15" t="n"/>
      <c r="E34" s="15" t="n"/>
      <c r="F34" s="15" t="n"/>
      <c r="G34" s="15" t="n"/>
      <c r="H34" s="15" t="n"/>
      <c r="I34" s="15" t="n"/>
      <c r="J34" s="15" t="n"/>
      <c r="K34" s="15" t="n"/>
      <c r="L34" s="15" t="n"/>
    </row>
    <row r="35">
      <c r="A35" s="15" t="n"/>
      <c r="B35" s="15" t="n"/>
      <c r="C35" s="15" t="n"/>
      <c r="D35" s="15" t="n"/>
      <c r="E35" s="15" t="n"/>
      <c r="F35" s="15" t="n"/>
      <c r="G35" s="15" t="n"/>
      <c r="H35" s="15" t="n"/>
      <c r="I35" s="15" t="n"/>
      <c r="J35" s="15" t="n"/>
      <c r="K35" s="15" t="n"/>
      <c r="L35" s="15" t="n"/>
    </row>
    <row r="36">
      <c r="A36" s="15" t="n"/>
      <c r="B36" s="15" t="n"/>
      <c r="C36" s="15" t="n"/>
      <c r="D36" s="15" t="n"/>
      <c r="E36" s="15" t="n"/>
      <c r="F36" s="15" t="n"/>
      <c r="G36" s="15" t="n"/>
      <c r="H36" s="15" t="n"/>
      <c r="I36" s="15" t="n"/>
      <c r="J36" s="15" t="n"/>
      <c r="K36" s="15" t="n"/>
      <c r="L36" s="15" t="n"/>
    </row>
    <row r="37">
      <c r="A37" s="15" t="n"/>
      <c r="B37" s="15" t="n"/>
      <c r="C37" s="15" t="n"/>
      <c r="D37" s="15" t="n"/>
      <c r="E37" s="15" t="n"/>
      <c r="F37" s="15" t="n"/>
      <c r="G37" s="15" t="n"/>
      <c r="H37" s="15" t="n"/>
      <c r="I37" s="15" t="n"/>
      <c r="J37" s="15" t="n"/>
      <c r="K37" s="15" t="n"/>
      <c r="L37" s="15" t="n"/>
    </row>
    <row r="38">
      <c r="A38" s="15" t="n"/>
      <c r="B38" s="15" t="n"/>
      <c r="C38" s="15" t="n"/>
      <c r="D38" s="15" t="n"/>
      <c r="E38" s="15" t="n"/>
      <c r="F38" s="15" t="n"/>
      <c r="G38" s="15" t="n"/>
      <c r="H38" s="15" t="n"/>
      <c r="I38" s="15" t="n"/>
      <c r="J38" s="15" t="n"/>
      <c r="K38" s="15" t="n"/>
      <c r="L38" s="15" t="n"/>
    </row>
    <row r="39">
      <c r="A39" s="15" t="n"/>
      <c r="B39" s="15" t="n"/>
      <c r="C39" s="15" t="n"/>
      <c r="D39" s="15" t="n"/>
      <c r="E39" s="15" t="n"/>
      <c r="F39" s="15" t="n"/>
      <c r="G39" s="15" t="n"/>
      <c r="H39" s="15" t="n"/>
      <c r="I39" s="15" t="n"/>
      <c r="J39" s="15" t="n"/>
      <c r="K39" s="15" t="n"/>
      <c r="L39" s="15" t="n"/>
    </row>
    <row r="40">
      <c r="A40" s="15" t="n"/>
      <c r="B40" s="15" t="n"/>
      <c r="C40" s="15" t="n"/>
      <c r="D40" s="15" t="n"/>
      <c r="E40" s="15" t="n"/>
      <c r="F40" s="15" t="n"/>
      <c r="G40" s="15" t="n"/>
      <c r="H40" s="15" t="n"/>
      <c r="I40" s="15" t="n"/>
      <c r="J40" s="15" t="n"/>
      <c r="K40" s="15" t="n"/>
      <c r="L40" s="15" t="n"/>
    </row>
    <row r="41">
      <c r="A41" s="15" t="n"/>
      <c r="B41" s="15" t="n"/>
      <c r="C41" s="15" t="n"/>
      <c r="D41" s="15" t="n"/>
      <c r="E41" s="15" t="n"/>
      <c r="F41" s="15" t="n"/>
      <c r="G41" s="15" t="n"/>
      <c r="H41" s="15" t="n"/>
      <c r="I41" s="15" t="n"/>
      <c r="J41" s="15" t="n"/>
      <c r="K41" s="15" t="n"/>
      <c r="L41" s="15" t="n"/>
    </row>
    <row r="42">
      <c r="A42" s="15" t="n"/>
      <c r="B42" s="15" t="n"/>
      <c r="C42" s="15" t="n"/>
      <c r="D42" s="15" t="n"/>
      <c r="E42" s="15" t="n"/>
      <c r="F42" s="15" t="n"/>
      <c r="G42" s="15" t="n"/>
      <c r="H42" s="15" t="n"/>
      <c r="I42" s="15" t="n"/>
      <c r="J42" s="15" t="n"/>
      <c r="K42" s="15" t="n"/>
      <c r="L42" s="15" t="n"/>
    </row>
    <row r="43">
      <c r="A43" s="15" t="n"/>
      <c r="B43" s="15" t="n"/>
      <c r="C43" s="15" t="n"/>
      <c r="D43" s="15" t="n"/>
      <c r="E43" s="15" t="n"/>
      <c r="F43" s="15" t="n"/>
      <c r="G43" s="15" t="n"/>
      <c r="H43" s="15" t="n"/>
      <c r="I43" s="15" t="n"/>
      <c r="J43" s="15" t="n"/>
      <c r="K43" s="15" t="n"/>
      <c r="L43" s="15" t="n"/>
    </row>
    <row r="44">
      <c r="A44" s="15" t="n"/>
      <c r="B44" s="15" t="n"/>
      <c r="C44" s="15" t="n"/>
      <c r="D44" s="15" t="n"/>
      <c r="E44" s="15" t="n"/>
      <c r="F44" s="15" t="n"/>
      <c r="G44" s="15" t="n"/>
      <c r="H44" s="15" t="n"/>
      <c r="I44" s="15" t="n"/>
      <c r="J44" s="15" t="n"/>
      <c r="K44" s="15" t="n"/>
      <c r="L44" s="15" t="n"/>
    </row>
    <row r="45">
      <c r="A45" s="15" t="n"/>
      <c r="B45" s="15" t="n"/>
      <c r="C45" s="15" t="n"/>
      <c r="D45" s="15" t="n"/>
      <c r="E45" s="15" t="n"/>
      <c r="F45" s="15" t="n"/>
      <c r="G45" s="15" t="n"/>
      <c r="H45" s="15" t="n"/>
      <c r="I45" s="15" t="n"/>
      <c r="J45" s="15" t="n"/>
      <c r="K45" s="15" t="n"/>
      <c r="L45" s="15" t="n"/>
    </row>
    <row r="46">
      <c r="A46" s="15" t="n"/>
      <c r="B46" s="15" t="n"/>
      <c r="C46" s="15" t="n"/>
      <c r="D46" s="15" t="n"/>
      <c r="E46" s="15" t="n"/>
      <c r="F46" s="15" t="n"/>
      <c r="G46" s="15" t="n"/>
      <c r="H46" s="15" t="n"/>
      <c r="I46" s="15" t="n"/>
      <c r="J46" s="15" t="n"/>
      <c r="K46" s="15" t="n"/>
      <c r="L46" s="15" t="n"/>
    </row>
    <row r="47">
      <c r="A47" s="15" t="n"/>
      <c r="B47" s="15" t="n"/>
      <c r="C47" s="15" t="n"/>
      <c r="D47" s="15" t="n"/>
      <c r="E47" s="15" t="n"/>
      <c r="F47" s="15" t="n"/>
      <c r="G47" s="15" t="n"/>
      <c r="H47" s="15" t="n"/>
      <c r="I47" s="15" t="n"/>
      <c r="J47" s="15" t="n"/>
      <c r="K47" s="15" t="n"/>
      <c r="L47" s="15" t="n"/>
    </row>
    <row r="48">
      <c r="A48" s="15" t="n"/>
      <c r="B48" s="15" t="n"/>
      <c r="C48" s="15" t="n"/>
      <c r="D48" s="15" t="n"/>
      <c r="E48" s="15" t="n"/>
      <c r="F48" s="15" t="n"/>
      <c r="G48" s="15" t="n"/>
      <c r="H48" s="15" t="n"/>
      <c r="I48" s="15" t="n"/>
      <c r="J48" s="15" t="n"/>
      <c r="K48" s="15" t="n"/>
      <c r="L48" s="15" t="n"/>
    </row>
    <row r="49">
      <c r="A49" s="15" t="n"/>
      <c r="B49" s="15" t="n"/>
      <c r="C49" s="15" t="n"/>
      <c r="D49" s="15" t="n"/>
      <c r="E49" s="15" t="n"/>
      <c r="F49" s="15" t="n"/>
      <c r="G49" s="15" t="n"/>
      <c r="H49" s="15" t="n"/>
      <c r="I49" s="15" t="n"/>
      <c r="J49" s="15" t="n"/>
      <c r="K49" s="15" t="n"/>
      <c r="L49" s="15" t="n"/>
    </row>
    <row r="50">
      <c r="A50" s="15" t="n"/>
      <c r="B50" s="15" t="n"/>
      <c r="C50" s="15" t="n"/>
      <c r="D50" s="15" t="n"/>
      <c r="E50" s="15" t="n"/>
      <c r="F50" s="15" t="n"/>
      <c r="G50" s="15" t="n"/>
      <c r="H50" s="15" t="n"/>
      <c r="I50" s="15" t="n"/>
      <c r="J50" s="15" t="n"/>
      <c r="K50" s="15" t="n"/>
      <c r="L50" s="15" t="n"/>
    </row>
    <row r="51">
      <c r="A51" s="15" t="n"/>
      <c r="B51" s="15" t="n"/>
      <c r="C51" s="15" t="n"/>
      <c r="D51" s="15" t="n"/>
      <c r="E51" s="15" t="n"/>
      <c r="F51" s="15" t="n"/>
      <c r="G51" s="15" t="n"/>
      <c r="H51" s="15" t="n"/>
      <c r="I51" s="15" t="n"/>
      <c r="J51" s="15" t="n"/>
      <c r="K51" s="15" t="n"/>
      <c r="L51" s="15" t="n"/>
    </row>
    <row r="52">
      <c r="A52" s="15" t="n"/>
      <c r="B52" s="15" t="n"/>
      <c r="C52" s="15" t="n"/>
      <c r="D52" s="15" t="n"/>
      <c r="E52" s="15" t="n"/>
      <c r="F52" s="15" t="n"/>
      <c r="G52" s="15" t="n"/>
      <c r="H52" s="15" t="n"/>
      <c r="I52" s="15" t="n"/>
      <c r="J52" s="15" t="n"/>
      <c r="K52" s="15" t="n"/>
      <c r="L52" s="15" t="n"/>
    </row>
    <row r="53">
      <c r="A53" s="15" t="n"/>
      <c r="B53" s="15" t="n"/>
      <c r="C53" s="15" t="n"/>
      <c r="D53" s="15" t="n"/>
      <c r="E53" s="15" t="n"/>
      <c r="F53" s="15" t="n"/>
      <c r="G53" s="15" t="n"/>
      <c r="H53" s="15" t="n"/>
      <c r="I53" s="15" t="n"/>
      <c r="J53" s="15" t="n"/>
      <c r="K53" s="15" t="n"/>
      <c r="L53" s="15" t="n"/>
    </row>
    <row r="54">
      <c r="A54" s="15" t="n"/>
      <c r="B54" s="15" t="n"/>
      <c r="C54" s="15" t="n"/>
      <c r="D54" s="15" t="n"/>
      <c r="E54" s="15" t="n"/>
      <c r="F54" s="15" t="n"/>
      <c r="G54" s="15" t="n"/>
      <c r="H54" s="15" t="n"/>
      <c r="I54" s="15" t="n"/>
      <c r="J54" s="15" t="n"/>
      <c r="K54" s="15" t="n"/>
      <c r="L54" s="15" t="n"/>
    </row>
  </sheetData>
  <mergeCells count="2">
    <mergeCell ref="A2:L2"/>
    <mergeCell ref="A1:L1"/>
  </mergeCells>
  <dataValidations count="2">
    <dataValidation sqref="G4 G5 G6 G7 G8 G9 G10 G11 G12 G13 G14 G15 G16 G17 G18 G19 G20 G21 G22 G23 G24 G25 G26 G27 G28 G29 G30 G31 G32 G33 G34 G35 G36 G37 G38 G39 G40 G41 G42 G43 G44 G45 G46 G47 G48 G49 G50 G51 G52 G53 G54" showDropDown="0" showInputMessage="0" showErrorMessage="0" allowBlank="0" type="list">
      <formula1>"Not Started,In Progress,Completed,Blocked"</formula1>
    </dataValidation>
    <dataValidation sqref="H4 H5 H6 H7 H8 H9 H10 H11 H12 H13 H14 H15 H16 H17 H18 H19 H20 H21 H22 H23 H24 H25 H26 H27 H28 H29 H30 H31 H32 H33 H34 H35 H36 H37 H38 H39 H40 H41 H42 H43 H44 H45 H46 H47 H48 H49 H50 H51 H52 H53 H54 K4 K5 K6 K7 K8 K9 K10 K11 K12 K13 K14 K15 K16 K17 K18 K19 K20 K21 K22 K23 K24 K25 K26 K27 K28 K29 K30 K31 K32 K33 K34 K35 K36 K37 K38 K39 K40 K41 K42 K43 K44 K45 K46 K47 K48 K49 K50 K51 K52 K53 K54" showDropDown="0" showInputMessage="0" showErrorMessage="0" allowBlank="0" type="list">
      <formula1>"Yes,No,Partial"</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54"/>
  <sheetViews>
    <sheetView showGridLines="0" workbookViewId="0">
      <pane ySplit="3" topLeftCell="A4" activePane="bottomLeft" state="frozen"/>
      <selection pane="bottomLeft" activeCell="A1" sqref="A1"/>
    </sheetView>
  </sheetViews>
  <sheetFormatPr baseColWidth="8" defaultRowHeight="15"/>
  <cols>
    <col width="14" customWidth="1" min="1" max="1"/>
    <col width="14" customWidth="1" min="2" max="2"/>
    <col width="18" customWidth="1" min="3" max="3"/>
    <col width="50" customWidth="1" min="4" max="4"/>
    <col width="18" customWidth="1" min="5" max="5"/>
    <col width="14" customWidth="1" min="6" max="6"/>
    <col width="30" customWidth="1" min="7" max="7"/>
    <col width="40" customWidth="1" min="8" max="8"/>
    <col width="35" customWidth="1" min="9" max="9"/>
    <col width="22" customWidth="1" min="10" max="10"/>
    <col width="14" customWidth="1" min="11" max="11"/>
    <col width="16" customWidth="1" min="12" max="12"/>
  </cols>
  <sheetData>
    <row r="1" ht="35" customHeight="1">
      <c r="A1" s="11" t="inlineStr">
        <is>
          <t>REVIEW FINDINGS SUMMARY</t>
        </is>
      </c>
    </row>
    <row r="2">
      <c r="A2" s="12" t="inlineStr">
        <is>
          <t>Record all findings identified during independent reviews — classify by type and severity, assign owners, and track to closure.</t>
        </is>
      </c>
    </row>
    <row r="3">
      <c r="A3" s="13" t="inlineStr">
        <is>
          <t>Finding ID</t>
        </is>
      </c>
      <c r="B3" s="13" t="inlineStr">
        <is>
          <t>Review Ref</t>
        </is>
      </c>
      <c r="C3" s="13" t="inlineStr">
        <is>
          <t>Finding Type</t>
        </is>
      </c>
      <c r="D3" s="13" t="inlineStr">
        <is>
          <t>Finding Description</t>
        </is>
      </c>
      <c r="E3" s="13" t="inlineStr">
        <is>
          <t>Control Reference</t>
        </is>
      </c>
      <c r="F3" s="13" t="inlineStr">
        <is>
          <t>Severity</t>
        </is>
      </c>
      <c r="G3" s="13" t="inlineStr">
        <is>
          <t>Root Cause</t>
        </is>
      </c>
      <c r="H3" s="13" t="inlineStr">
        <is>
          <t>Recommendation</t>
        </is>
      </c>
      <c r="I3" s="13" t="inlineStr">
        <is>
          <t>Management Response</t>
        </is>
      </c>
      <c r="J3" s="13" t="inlineStr">
        <is>
          <t>Remediation Owner</t>
        </is>
      </c>
      <c r="K3" s="13" t="inlineStr">
        <is>
          <t>Target Date</t>
        </is>
      </c>
      <c r="L3" s="13" t="inlineStr">
        <is>
          <t>Status</t>
        </is>
      </c>
    </row>
    <row r="4">
      <c r="A4" s="14" t="inlineStr">
        <is>
          <t>FND-001</t>
        </is>
      </c>
      <c r="B4" s="14" t="inlineStr">
        <is>
          <t>REV-2026-001</t>
        </is>
      </c>
      <c r="C4" s="14" t="inlineStr">
        <is>
          <t>Non-Conformity</t>
        </is>
      </c>
      <c r="D4" s="14" t="inlineStr">
        <is>
          <t>MFA not enforced for privileged accounts in cloud environment</t>
        </is>
      </c>
      <c r="E4" s="14" t="inlineStr">
        <is>
          <t>A.5.15, A.8.5</t>
        </is>
      </c>
      <c r="F4" s="14" t="inlineStr">
        <is>
          <t>Major</t>
        </is>
      </c>
      <c r="G4" s="14" t="inlineStr">
        <is>
          <t>Policy gap — MFA policy not updated post-cloud migration</t>
        </is>
      </c>
      <c r="H4" s="14" t="inlineStr">
        <is>
          <t>Enforce MFA for all privileged accounts within 30 days</t>
        </is>
      </c>
      <c r="I4" s="14" t="inlineStr">
        <is>
          <t>Accepted — remediation plan in progress</t>
        </is>
      </c>
      <c r="J4" s="14" t="inlineStr">
        <is>
          <t>IT Operations Manager</t>
        </is>
      </c>
      <c r="K4" s="14" t="inlineStr">
        <is>
          <t>31.03.2026</t>
        </is>
      </c>
      <c r="L4" s="14" t="inlineStr">
        <is>
          <t>In Progress</t>
        </is>
      </c>
    </row>
    <row r="5">
      <c r="A5" s="15" t="n"/>
      <c r="B5" s="15" t="n"/>
      <c r="C5" s="15" t="n"/>
      <c r="D5" s="15" t="n"/>
      <c r="E5" s="15" t="n"/>
      <c r="F5" s="15" t="n"/>
      <c r="G5" s="15" t="n"/>
      <c r="H5" s="15" t="n"/>
      <c r="I5" s="15" t="n"/>
      <c r="J5" s="15" t="n"/>
      <c r="K5" s="15" t="n"/>
      <c r="L5" s="15" t="n"/>
    </row>
    <row r="6">
      <c r="A6" s="15" t="n"/>
      <c r="B6" s="15" t="n"/>
      <c r="C6" s="15" t="n"/>
      <c r="D6" s="15" t="n"/>
      <c r="E6" s="15" t="n"/>
      <c r="F6" s="15" t="n"/>
      <c r="G6" s="15" t="n"/>
      <c r="H6" s="15" t="n"/>
      <c r="I6" s="15" t="n"/>
      <c r="J6" s="15" t="n"/>
      <c r="K6" s="15" t="n"/>
      <c r="L6" s="15" t="n"/>
    </row>
    <row r="7">
      <c r="A7" s="15" t="n"/>
      <c r="B7" s="15" t="n"/>
      <c r="C7" s="15" t="n"/>
      <c r="D7" s="15" t="n"/>
      <c r="E7" s="15" t="n"/>
      <c r="F7" s="15" t="n"/>
      <c r="G7" s="15" t="n"/>
      <c r="H7" s="15" t="n"/>
      <c r="I7" s="15" t="n"/>
      <c r="J7" s="15" t="n"/>
      <c r="K7" s="15" t="n"/>
      <c r="L7" s="15" t="n"/>
    </row>
    <row r="8">
      <c r="A8" s="15" t="n"/>
      <c r="B8" s="15" t="n"/>
      <c r="C8" s="15" t="n"/>
      <c r="D8" s="15" t="n"/>
      <c r="E8" s="15" t="n"/>
      <c r="F8" s="15" t="n"/>
      <c r="G8" s="15" t="n"/>
      <c r="H8" s="15" t="n"/>
      <c r="I8" s="15" t="n"/>
      <c r="J8" s="15" t="n"/>
      <c r="K8" s="15" t="n"/>
      <c r="L8" s="15" t="n"/>
    </row>
    <row r="9">
      <c r="A9" s="15" t="n"/>
      <c r="B9" s="15" t="n"/>
      <c r="C9" s="15" t="n"/>
      <c r="D9" s="15" t="n"/>
      <c r="E9" s="15" t="n"/>
      <c r="F9" s="15" t="n"/>
      <c r="G9" s="15" t="n"/>
      <c r="H9" s="15" t="n"/>
      <c r="I9" s="15" t="n"/>
      <c r="J9" s="15" t="n"/>
      <c r="K9" s="15" t="n"/>
      <c r="L9" s="15" t="n"/>
    </row>
    <row r="10">
      <c r="A10" s="15" t="n"/>
      <c r="B10" s="15" t="n"/>
      <c r="C10" s="15" t="n"/>
      <c r="D10" s="15" t="n"/>
      <c r="E10" s="15" t="n"/>
      <c r="F10" s="15" t="n"/>
      <c r="G10" s="15" t="n"/>
      <c r="H10" s="15" t="n"/>
      <c r="I10" s="15" t="n"/>
      <c r="J10" s="15" t="n"/>
      <c r="K10" s="15" t="n"/>
      <c r="L10" s="15" t="n"/>
    </row>
    <row r="11">
      <c r="A11" s="15" t="n"/>
      <c r="B11" s="15" t="n"/>
      <c r="C11" s="15" t="n"/>
      <c r="D11" s="15" t="n"/>
      <c r="E11" s="15" t="n"/>
      <c r="F11" s="15" t="n"/>
      <c r="G11" s="15" t="n"/>
      <c r="H11" s="15" t="n"/>
      <c r="I11" s="15" t="n"/>
      <c r="J11" s="15" t="n"/>
      <c r="K11" s="15" t="n"/>
      <c r="L11" s="15" t="n"/>
    </row>
    <row r="12">
      <c r="A12" s="15" t="n"/>
      <c r="B12" s="15" t="n"/>
      <c r="C12" s="15" t="n"/>
      <c r="D12" s="15" t="n"/>
      <c r="E12" s="15" t="n"/>
      <c r="F12" s="15" t="n"/>
      <c r="G12" s="15" t="n"/>
      <c r="H12" s="15" t="n"/>
      <c r="I12" s="15" t="n"/>
      <c r="J12" s="15" t="n"/>
      <c r="K12" s="15" t="n"/>
      <c r="L12" s="15" t="n"/>
    </row>
    <row r="13">
      <c r="A13" s="15" t="n"/>
      <c r="B13" s="15" t="n"/>
      <c r="C13" s="15" t="n"/>
      <c r="D13" s="15" t="n"/>
      <c r="E13" s="15" t="n"/>
      <c r="F13" s="15" t="n"/>
      <c r="G13" s="15" t="n"/>
      <c r="H13" s="15" t="n"/>
      <c r="I13" s="15" t="n"/>
      <c r="J13" s="15" t="n"/>
      <c r="K13" s="15" t="n"/>
      <c r="L13" s="15" t="n"/>
    </row>
    <row r="14">
      <c r="A14" s="15" t="n"/>
      <c r="B14" s="15" t="n"/>
      <c r="C14" s="15" t="n"/>
      <c r="D14" s="15" t="n"/>
      <c r="E14" s="15" t="n"/>
      <c r="F14" s="15" t="n"/>
      <c r="G14" s="15" t="n"/>
      <c r="H14" s="15" t="n"/>
      <c r="I14" s="15" t="n"/>
      <c r="J14" s="15" t="n"/>
      <c r="K14" s="15" t="n"/>
      <c r="L14" s="15" t="n"/>
    </row>
    <row r="15">
      <c r="A15" s="15" t="n"/>
      <c r="B15" s="15" t="n"/>
      <c r="C15" s="15" t="n"/>
      <c r="D15" s="15" t="n"/>
      <c r="E15" s="15" t="n"/>
      <c r="F15" s="15" t="n"/>
      <c r="G15" s="15" t="n"/>
      <c r="H15" s="15" t="n"/>
      <c r="I15" s="15" t="n"/>
      <c r="J15" s="15" t="n"/>
      <c r="K15" s="15" t="n"/>
      <c r="L15" s="15" t="n"/>
    </row>
    <row r="16">
      <c r="A16" s="15" t="n"/>
      <c r="B16" s="15" t="n"/>
      <c r="C16" s="15" t="n"/>
      <c r="D16" s="15" t="n"/>
      <c r="E16" s="15" t="n"/>
      <c r="F16" s="15" t="n"/>
      <c r="G16" s="15" t="n"/>
      <c r="H16" s="15" t="n"/>
      <c r="I16" s="15" t="n"/>
      <c r="J16" s="15" t="n"/>
      <c r="K16" s="15" t="n"/>
      <c r="L16" s="15" t="n"/>
    </row>
    <row r="17">
      <c r="A17" s="15" t="n"/>
      <c r="B17" s="15" t="n"/>
      <c r="C17" s="15" t="n"/>
      <c r="D17" s="15" t="n"/>
      <c r="E17" s="15" t="n"/>
      <c r="F17" s="15" t="n"/>
      <c r="G17" s="15" t="n"/>
      <c r="H17" s="15" t="n"/>
      <c r="I17" s="15" t="n"/>
      <c r="J17" s="15" t="n"/>
      <c r="K17" s="15" t="n"/>
      <c r="L17" s="15" t="n"/>
    </row>
    <row r="18">
      <c r="A18" s="15" t="n"/>
      <c r="B18" s="15" t="n"/>
      <c r="C18" s="15" t="n"/>
      <c r="D18" s="15" t="n"/>
      <c r="E18" s="15" t="n"/>
      <c r="F18" s="15" t="n"/>
      <c r="G18" s="15" t="n"/>
      <c r="H18" s="15" t="n"/>
      <c r="I18" s="15" t="n"/>
      <c r="J18" s="15" t="n"/>
      <c r="K18" s="15" t="n"/>
      <c r="L18" s="15" t="n"/>
    </row>
    <row r="19">
      <c r="A19" s="15" t="n"/>
      <c r="B19" s="15" t="n"/>
      <c r="C19" s="15" t="n"/>
      <c r="D19" s="15" t="n"/>
      <c r="E19" s="15" t="n"/>
      <c r="F19" s="15" t="n"/>
      <c r="G19" s="15" t="n"/>
      <c r="H19" s="15" t="n"/>
      <c r="I19" s="15" t="n"/>
      <c r="J19" s="15" t="n"/>
      <c r="K19" s="15" t="n"/>
      <c r="L19" s="15" t="n"/>
    </row>
    <row r="20">
      <c r="A20" s="15" t="n"/>
      <c r="B20" s="15" t="n"/>
      <c r="C20" s="15" t="n"/>
      <c r="D20" s="15" t="n"/>
      <c r="E20" s="15" t="n"/>
      <c r="F20" s="15" t="n"/>
      <c r="G20" s="15" t="n"/>
      <c r="H20" s="15" t="n"/>
      <c r="I20" s="15" t="n"/>
      <c r="J20" s="15" t="n"/>
      <c r="K20" s="15" t="n"/>
      <c r="L20" s="15" t="n"/>
    </row>
    <row r="21">
      <c r="A21" s="15" t="n"/>
      <c r="B21" s="15" t="n"/>
      <c r="C21" s="15" t="n"/>
      <c r="D21" s="15" t="n"/>
      <c r="E21" s="15" t="n"/>
      <c r="F21" s="15" t="n"/>
      <c r="G21" s="15" t="n"/>
      <c r="H21" s="15" t="n"/>
      <c r="I21" s="15" t="n"/>
      <c r="J21" s="15" t="n"/>
      <c r="K21" s="15" t="n"/>
      <c r="L21" s="15" t="n"/>
    </row>
    <row r="22">
      <c r="A22" s="15" t="n"/>
      <c r="B22" s="15" t="n"/>
      <c r="C22" s="15" t="n"/>
      <c r="D22" s="15" t="n"/>
      <c r="E22" s="15" t="n"/>
      <c r="F22" s="15" t="n"/>
      <c r="G22" s="15" t="n"/>
      <c r="H22" s="15" t="n"/>
      <c r="I22" s="15" t="n"/>
      <c r="J22" s="15" t="n"/>
      <c r="K22" s="15" t="n"/>
      <c r="L22" s="15" t="n"/>
    </row>
    <row r="23">
      <c r="A23" s="15" t="n"/>
      <c r="B23" s="15" t="n"/>
      <c r="C23" s="15" t="n"/>
      <c r="D23" s="15" t="n"/>
      <c r="E23" s="15" t="n"/>
      <c r="F23" s="15" t="n"/>
      <c r="G23" s="15" t="n"/>
      <c r="H23" s="15" t="n"/>
      <c r="I23" s="15" t="n"/>
      <c r="J23" s="15" t="n"/>
      <c r="K23" s="15" t="n"/>
      <c r="L23" s="15" t="n"/>
    </row>
    <row r="24">
      <c r="A24" s="15" t="n"/>
      <c r="B24" s="15" t="n"/>
      <c r="C24" s="15" t="n"/>
      <c r="D24" s="15" t="n"/>
      <c r="E24" s="15" t="n"/>
      <c r="F24" s="15" t="n"/>
      <c r="G24" s="15" t="n"/>
      <c r="H24" s="15" t="n"/>
      <c r="I24" s="15" t="n"/>
      <c r="J24" s="15" t="n"/>
      <c r="K24" s="15" t="n"/>
      <c r="L24" s="15" t="n"/>
    </row>
    <row r="25">
      <c r="A25" s="15" t="n"/>
      <c r="B25" s="15" t="n"/>
      <c r="C25" s="15" t="n"/>
      <c r="D25" s="15" t="n"/>
      <c r="E25" s="15" t="n"/>
      <c r="F25" s="15" t="n"/>
      <c r="G25" s="15" t="n"/>
      <c r="H25" s="15" t="n"/>
      <c r="I25" s="15" t="n"/>
      <c r="J25" s="15" t="n"/>
      <c r="K25" s="15" t="n"/>
      <c r="L25" s="15" t="n"/>
    </row>
    <row r="26">
      <c r="A26" s="15" t="n"/>
      <c r="B26" s="15" t="n"/>
      <c r="C26" s="15" t="n"/>
      <c r="D26" s="15" t="n"/>
      <c r="E26" s="15" t="n"/>
      <c r="F26" s="15" t="n"/>
      <c r="G26" s="15" t="n"/>
      <c r="H26" s="15" t="n"/>
      <c r="I26" s="15" t="n"/>
      <c r="J26" s="15" t="n"/>
      <c r="K26" s="15" t="n"/>
      <c r="L26" s="15" t="n"/>
    </row>
    <row r="27">
      <c r="A27" s="15" t="n"/>
      <c r="B27" s="15" t="n"/>
      <c r="C27" s="15" t="n"/>
      <c r="D27" s="15" t="n"/>
      <c r="E27" s="15" t="n"/>
      <c r="F27" s="15" t="n"/>
      <c r="G27" s="15" t="n"/>
      <c r="H27" s="15" t="n"/>
      <c r="I27" s="15" t="n"/>
      <c r="J27" s="15" t="n"/>
      <c r="K27" s="15" t="n"/>
      <c r="L27" s="15" t="n"/>
    </row>
    <row r="28">
      <c r="A28" s="15" t="n"/>
      <c r="B28" s="15" t="n"/>
      <c r="C28" s="15" t="n"/>
      <c r="D28" s="15" t="n"/>
      <c r="E28" s="15" t="n"/>
      <c r="F28" s="15" t="n"/>
      <c r="G28" s="15" t="n"/>
      <c r="H28" s="15" t="n"/>
      <c r="I28" s="15" t="n"/>
      <c r="J28" s="15" t="n"/>
      <c r="K28" s="15" t="n"/>
      <c r="L28" s="15" t="n"/>
    </row>
    <row r="29">
      <c r="A29" s="15" t="n"/>
      <c r="B29" s="15" t="n"/>
      <c r="C29" s="15" t="n"/>
      <c r="D29" s="15" t="n"/>
      <c r="E29" s="15" t="n"/>
      <c r="F29" s="15" t="n"/>
      <c r="G29" s="15" t="n"/>
      <c r="H29" s="15" t="n"/>
      <c r="I29" s="15" t="n"/>
      <c r="J29" s="15" t="n"/>
      <c r="K29" s="15" t="n"/>
      <c r="L29" s="15" t="n"/>
    </row>
    <row r="30">
      <c r="A30" s="15" t="n"/>
      <c r="B30" s="15" t="n"/>
      <c r="C30" s="15" t="n"/>
      <c r="D30" s="15" t="n"/>
      <c r="E30" s="15" t="n"/>
      <c r="F30" s="15" t="n"/>
      <c r="G30" s="15" t="n"/>
      <c r="H30" s="15" t="n"/>
      <c r="I30" s="15" t="n"/>
      <c r="J30" s="15" t="n"/>
      <c r="K30" s="15" t="n"/>
      <c r="L30" s="15" t="n"/>
    </row>
    <row r="31">
      <c r="A31" s="15" t="n"/>
      <c r="B31" s="15" t="n"/>
      <c r="C31" s="15" t="n"/>
      <c r="D31" s="15" t="n"/>
      <c r="E31" s="15" t="n"/>
      <c r="F31" s="15" t="n"/>
      <c r="G31" s="15" t="n"/>
      <c r="H31" s="15" t="n"/>
      <c r="I31" s="15" t="n"/>
      <c r="J31" s="15" t="n"/>
      <c r="K31" s="15" t="n"/>
      <c r="L31" s="15" t="n"/>
    </row>
    <row r="32">
      <c r="A32" s="15" t="n"/>
      <c r="B32" s="15" t="n"/>
      <c r="C32" s="15" t="n"/>
      <c r="D32" s="15" t="n"/>
      <c r="E32" s="15" t="n"/>
      <c r="F32" s="15" t="n"/>
      <c r="G32" s="15" t="n"/>
      <c r="H32" s="15" t="n"/>
      <c r="I32" s="15" t="n"/>
      <c r="J32" s="15" t="n"/>
      <c r="K32" s="15" t="n"/>
      <c r="L32" s="15" t="n"/>
    </row>
    <row r="33">
      <c r="A33" s="15" t="n"/>
      <c r="B33" s="15" t="n"/>
      <c r="C33" s="15" t="n"/>
      <c r="D33" s="15" t="n"/>
      <c r="E33" s="15" t="n"/>
      <c r="F33" s="15" t="n"/>
      <c r="G33" s="15" t="n"/>
      <c r="H33" s="15" t="n"/>
      <c r="I33" s="15" t="n"/>
      <c r="J33" s="15" t="n"/>
      <c r="K33" s="15" t="n"/>
      <c r="L33" s="15" t="n"/>
    </row>
    <row r="34">
      <c r="A34" s="15" t="n"/>
      <c r="B34" s="15" t="n"/>
      <c r="C34" s="15" t="n"/>
      <c r="D34" s="15" t="n"/>
      <c r="E34" s="15" t="n"/>
      <c r="F34" s="15" t="n"/>
      <c r="G34" s="15" t="n"/>
      <c r="H34" s="15" t="n"/>
      <c r="I34" s="15" t="n"/>
      <c r="J34" s="15" t="n"/>
      <c r="K34" s="15" t="n"/>
      <c r="L34" s="15" t="n"/>
    </row>
    <row r="35">
      <c r="A35" s="15" t="n"/>
      <c r="B35" s="15" t="n"/>
      <c r="C35" s="15" t="n"/>
      <c r="D35" s="15" t="n"/>
      <c r="E35" s="15" t="n"/>
      <c r="F35" s="15" t="n"/>
      <c r="G35" s="15" t="n"/>
      <c r="H35" s="15" t="n"/>
      <c r="I35" s="15" t="n"/>
      <c r="J35" s="15" t="n"/>
      <c r="K35" s="15" t="n"/>
      <c r="L35" s="15" t="n"/>
    </row>
    <row r="36">
      <c r="A36" s="15" t="n"/>
      <c r="B36" s="15" t="n"/>
      <c r="C36" s="15" t="n"/>
      <c r="D36" s="15" t="n"/>
      <c r="E36" s="15" t="n"/>
      <c r="F36" s="15" t="n"/>
      <c r="G36" s="15" t="n"/>
      <c r="H36" s="15" t="n"/>
      <c r="I36" s="15" t="n"/>
      <c r="J36" s="15" t="n"/>
      <c r="K36" s="15" t="n"/>
      <c r="L36" s="15" t="n"/>
    </row>
    <row r="37">
      <c r="A37" s="15" t="n"/>
      <c r="B37" s="15" t="n"/>
      <c r="C37" s="15" t="n"/>
      <c r="D37" s="15" t="n"/>
      <c r="E37" s="15" t="n"/>
      <c r="F37" s="15" t="n"/>
      <c r="G37" s="15" t="n"/>
      <c r="H37" s="15" t="n"/>
      <c r="I37" s="15" t="n"/>
      <c r="J37" s="15" t="n"/>
      <c r="K37" s="15" t="n"/>
      <c r="L37" s="15" t="n"/>
    </row>
    <row r="38">
      <c r="A38" s="15" t="n"/>
      <c r="B38" s="15" t="n"/>
      <c r="C38" s="15" t="n"/>
      <c r="D38" s="15" t="n"/>
      <c r="E38" s="15" t="n"/>
      <c r="F38" s="15" t="n"/>
      <c r="G38" s="15" t="n"/>
      <c r="H38" s="15" t="n"/>
      <c r="I38" s="15" t="n"/>
      <c r="J38" s="15" t="n"/>
      <c r="K38" s="15" t="n"/>
      <c r="L38" s="15" t="n"/>
    </row>
    <row r="39">
      <c r="A39" s="15" t="n"/>
      <c r="B39" s="15" t="n"/>
      <c r="C39" s="15" t="n"/>
      <c r="D39" s="15" t="n"/>
      <c r="E39" s="15" t="n"/>
      <c r="F39" s="15" t="n"/>
      <c r="G39" s="15" t="n"/>
      <c r="H39" s="15" t="n"/>
      <c r="I39" s="15" t="n"/>
      <c r="J39" s="15" t="n"/>
      <c r="K39" s="15" t="n"/>
      <c r="L39" s="15" t="n"/>
    </row>
    <row r="40">
      <c r="A40" s="15" t="n"/>
      <c r="B40" s="15" t="n"/>
      <c r="C40" s="15" t="n"/>
      <c r="D40" s="15" t="n"/>
      <c r="E40" s="15" t="n"/>
      <c r="F40" s="15" t="n"/>
      <c r="G40" s="15" t="n"/>
      <c r="H40" s="15" t="n"/>
      <c r="I40" s="15" t="n"/>
      <c r="J40" s="15" t="n"/>
      <c r="K40" s="15" t="n"/>
      <c r="L40" s="15" t="n"/>
    </row>
    <row r="41">
      <c r="A41" s="15" t="n"/>
      <c r="B41" s="15" t="n"/>
      <c r="C41" s="15" t="n"/>
      <c r="D41" s="15" t="n"/>
      <c r="E41" s="15" t="n"/>
      <c r="F41" s="15" t="n"/>
      <c r="G41" s="15" t="n"/>
      <c r="H41" s="15" t="n"/>
      <c r="I41" s="15" t="n"/>
      <c r="J41" s="15" t="n"/>
      <c r="K41" s="15" t="n"/>
      <c r="L41" s="15" t="n"/>
    </row>
    <row r="42">
      <c r="A42" s="15" t="n"/>
      <c r="B42" s="15" t="n"/>
      <c r="C42" s="15" t="n"/>
      <c r="D42" s="15" t="n"/>
      <c r="E42" s="15" t="n"/>
      <c r="F42" s="15" t="n"/>
      <c r="G42" s="15" t="n"/>
      <c r="H42" s="15" t="n"/>
      <c r="I42" s="15" t="n"/>
      <c r="J42" s="15" t="n"/>
      <c r="K42" s="15" t="n"/>
      <c r="L42" s="15" t="n"/>
    </row>
    <row r="43">
      <c r="A43" s="15" t="n"/>
      <c r="B43" s="15" t="n"/>
      <c r="C43" s="15" t="n"/>
      <c r="D43" s="15" t="n"/>
      <c r="E43" s="15" t="n"/>
      <c r="F43" s="15" t="n"/>
      <c r="G43" s="15" t="n"/>
      <c r="H43" s="15" t="n"/>
      <c r="I43" s="15" t="n"/>
      <c r="J43" s="15" t="n"/>
      <c r="K43" s="15" t="n"/>
      <c r="L43" s="15" t="n"/>
    </row>
    <row r="44">
      <c r="A44" s="15" t="n"/>
      <c r="B44" s="15" t="n"/>
      <c r="C44" s="15" t="n"/>
      <c r="D44" s="15" t="n"/>
      <c r="E44" s="15" t="n"/>
      <c r="F44" s="15" t="n"/>
      <c r="G44" s="15" t="n"/>
      <c r="H44" s="15" t="n"/>
      <c r="I44" s="15" t="n"/>
      <c r="J44" s="15" t="n"/>
      <c r="K44" s="15" t="n"/>
      <c r="L44" s="15" t="n"/>
    </row>
    <row r="45">
      <c r="A45" s="15" t="n"/>
      <c r="B45" s="15" t="n"/>
      <c r="C45" s="15" t="n"/>
      <c r="D45" s="15" t="n"/>
      <c r="E45" s="15" t="n"/>
      <c r="F45" s="15" t="n"/>
      <c r="G45" s="15" t="n"/>
      <c r="H45" s="15" t="n"/>
      <c r="I45" s="15" t="n"/>
      <c r="J45" s="15" t="n"/>
      <c r="K45" s="15" t="n"/>
      <c r="L45" s="15" t="n"/>
    </row>
    <row r="46">
      <c r="A46" s="15" t="n"/>
      <c r="B46" s="15" t="n"/>
      <c r="C46" s="15" t="n"/>
      <c r="D46" s="15" t="n"/>
      <c r="E46" s="15" t="n"/>
      <c r="F46" s="15" t="n"/>
      <c r="G46" s="15" t="n"/>
      <c r="H46" s="15" t="n"/>
      <c r="I46" s="15" t="n"/>
      <c r="J46" s="15" t="n"/>
      <c r="K46" s="15" t="n"/>
      <c r="L46" s="15" t="n"/>
    </row>
    <row r="47">
      <c r="A47" s="15" t="n"/>
      <c r="B47" s="15" t="n"/>
      <c r="C47" s="15" t="n"/>
      <c r="D47" s="15" t="n"/>
      <c r="E47" s="15" t="n"/>
      <c r="F47" s="15" t="n"/>
      <c r="G47" s="15" t="n"/>
      <c r="H47" s="15" t="n"/>
      <c r="I47" s="15" t="n"/>
      <c r="J47" s="15" t="n"/>
      <c r="K47" s="15" t="n"/>
      <c r="L47" s="15" t="n"/>
    </row>
    <row r="48">
      <c r="A48" s="15" t="n"/>
      <c r="B48" s="15" t="n"/>
      <c r="C48" s="15" t="n"/>
      <c r="D48" s="15" t="n"/>
      <c r="E48" s="15" t="n"/>
      <c r="F48" s="15" t="n"/>
      <c r="G48" s="15" t="n"/>
      <c r="H48" s="15" t="n"/>
      <c r="I48" s="15" t="n"/>
      <c r="J48" s="15" t="n"/>
      <c r="K48" s="15" t="n"/>
      <c r="L48" s="15" t="n"/>
    </row>
    <row r="49">
      <c r="A49" s="15" t="n"/>
      <c r="B49" s="15" t="n"/>
      <c r="C49" s="15" t="n"/>
      <c r="D49" s="15" t="n"/>
      <c r="E49" s="15" t="n"/>
      <c r="F49" s="15" t="n"/>
      <c r="G49" s="15" t="n"/>
      <c r="H49" s="15" t="n"/>
      <c r="I49" s="15" t="n"/>
      <c r="J49" s="15" t="n"/>
      <c r="K49" s="15" t="n"/>
      <c r="L49" s="15" t="n"/>
    </row>
    <row r="50">
      <c r="A50" s="15" t="n"/>
      <c r="B50" s="15" t="n"/>
      <c r="C50" s="15" t="n"/>
      <c r="D50" s="15" t="n"/>
      <c r="E50" s="15" t="n"/>
      <c r="F50" s="15" t="n"/>
      <c r="G50" s="15" t="n"/>
      <c r="H50" s="15" t="n"/>
      <c r="I50" s="15" t="n"/>
      <c r="J50" s="15" t="n"/>
      <c r="K50" s="15" t="n"/>
      <c r="L50" s="15" t="n"/>
    </row>
    <row r="51">
      <c r="A51" s="15" t="n"/>
      <c r="B51" s="15" t="n"/>
      <c r="C51" s="15" t="n"/>
      <c r="D51" s="15" t="n"/>
      <c r="E51" s="15" t="n"/>
      <c r="F51" s="15" t="n"/>
      <c r="G51" s="15" t="n"/>
      <c r="H51" s="15" t="n"/>
      <c r="I51" s="15" t="n"/>
      <c r="J51" s="15" t="n"/>
      <c r="K51" s="15" t="n"/>
      <c r="L51" s="15" t="n"/>
    </row>
    <row r="52">
      <c r="A52" s="15" t="n"/>
      <c r="B52" s="15" t="n"/>
      <c r="C52" s="15" t="n"/>
      <c r="D52" s="15" t="n"/>
      <c r="E52" s="15" t="n"/>
      <c r="F52" s="15" t="n"/>
      <c r="G52" s="15" t="n"/>
      <c r="H52" s="15" t="n"/>
      <c r="I52" s="15" t="n"/>
      <c r="J52" s="15" t="n"/>
      <c r="K52" s="15" t="n"/>
      <c r="L52" s="15" t="n"/>
    </row>
    <row r="53">
      <c r="A53" s="15" t="n"/>
      <c r="B53" s="15" t="n"/>
      <c r="C53" s="15" t="n"/>
      <c r="D53" s="15" t="n"/>
      <c r="E53" s="15" t="n"/>
      <c r="F53" s="15" t="n"/>
      <c r="G53" s="15" t="n"/>
      <c r="H53" s="15" t="n"/>
      <c r="I53" s="15" t="n"/>
      <c r="J53" s="15" t="n"/>
      <c r="K53" s="15" t="n"/>
      <c r="L53" s="15" t="n"/>
    </row>
    <row r="54">
      <c r="A54" s="15" t="n"/>
      <c r="B54" s="15" t="n"/>
      <c r="C54" s="15" t="n"/>
      <c r="D54" s="15" t="n"/>
      <c r="E54" s="15" t="n"/>
      <c r="F54" s="15" t="n"/>
      <c r="G54" s="15" t="n"/>
      <c r="H54" s="15" t="n"/>
      <c r="I54" s="15" t="n"/>
      <c r="J54" s="15" t="n"/>
      <c r="K54" s="15" t="n"/>
      <c r="L54" s="15" t="n"/>
    </row>
  </sheetData>
  <mergeCells count="2">
    <mergeCell ref="A2:L2"/>
    <mergeCell ref="A1:L1"/>
  </mergeCells>
  <dataValidations count="3">
    <dataValidation sqref="C4 C5 C6 C7 C8 C9 C10 C11 C12 C13 C14 C15 C16 C17 C18 C19 C20 C21 C22 C23 C24 C25 C26 C27 C28 C29 C30 C31 C32 C33 C34 C35 C36 C37 C38 C39 C40 C41 C42 C43 C44 C45 C46 C47 C48 C49 C50 C51 C52 C53 C54" showDropDown="0" showInputMessage="0" showErrorMessage="0" allowBlank="0" type="list">
      <formula1>"Non-Conformity,Observation,Opportunity for Improvement,Positive Finding"</formula1>
    </dataValidation>
    <dataValidation sqref="F4 F5 F6 F7 F8 F9 F10 F11 F12 F13 F14 F15 F16 F17 F18 F19 F20 F21 F22 F23 F24 F25 F26 F27 F28 F29 F30 F31 F32 F33 F34 F35 F36 F37 F38 F39 F40 F41 F42 F43 F44 F45 F46 F47 F48 F49 F50 F51 F52 F53 F54" showDropDown="0" showInputMessage="0" showErrorMessage="0" allowBlank="0" type="list">
      <formula1>"Major,Minor,Observation"</formula1>
    </dataValidation>
    <dataValidation sqref="L4 L5 L6 L7 L8 L9 L10 L11 L12 L13 L14 L15 L16 L17 L18 L19 L20 L21 L22 L23 L24 L25 L26 L27 L28 L29 L30 L31 L32 L33 L34 L35 L36 L37 L38 L39 L40 L41 L42 L43 L44 L45 L46 L47 L48 L49 L50 L51 L52 L53 L54" showDropDown="0" showInputMessage="0" showErrorMessage="0" allowBlank="0" type="list">
      <formula1>"Open,In Progress,Closed,Accepted"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2" customWidth="1" min="2" max="2"/>
    <col width="45" customWidth="1" min="3" max="3"/>
    <col width="18" customWidth="1" min="4" max="4"/>
    <col width="16" customWidth="1" min="5" max="5"/>
    <col width="40" customWidth="1" min="6" max="6"/>
    <col width="25" customWidth="1" min="7" max="7"/>
    <col width="16" customWidth="1" min="8" max="8"/>
  </cols>
  <sheetData>
    <row r="1" ht="35" customHeight="1">
      <c r="A1" s="11" t="inlineStr">
        <is>
          <t>EVIDENCE REGISTER</t>
        </is>
      </c>
    </row>
    <row r="2">
      <c r="A2" s="12" t="inlineStr">
        <is>
          <t>Record all evidence collected during independent reviews — link each item to a review, specify type, location, and retention period.</t>
        </is>
      </c>
    </row>
    <row r="4">
      <c r="A4" s="16" t="inlineStr">
        <is>
          <t>Evidence ID</t>
        </is>
      </c>
      <c r="B4" s="16" t="inlineStr">
        <is>
          <t>Evidence Type</t>
        </is>
      </c>
      <c r="C4" s="16" t="inlineStr">
        <is>
          <t>Description</t>
        </is>
      </c>
      <c r="D4" s="16" t="inlineStr">
        <is>
          <t>Related Review</t>
        </is>
      </c>
      <c r="E4" s="16" t="inlineStr">
        <is>
          <t>Collection Date</t>
        </is>
      </c>
      <c r="F4" s="16" t="inlineStr">
        <is>
          <t>Location</t>
        </is>
      </c>
      <c r="G4" s="16" t="inlineStr">
        <is>
          <t>Collected By</t>
        </is>
      </c>
      <c r="H4" s="16" t="inlineStr">
        <is>
          <t>Retention Until</t>
        </is>
      </c>
    </row>
    <row r="5">
      <c r="A5" s="14" t="inlineStr">
        <is>
          <t>EV-001</t>
        </is>
      </c>
      <c r="B5" s="14" t="inlineStr">
        <is>
          <t>Audit Report</t>
        </is>
      </c>
      <c r="C5" s="14" t="inlineStr">
        <is>
          <t>Annual ISMS independent review report 2026</t>
        </is>
      </c>
      <c r="D5" s="14" t="inlineStr">
        <is>
          <t>REV-2026-001</t>
        </is>
      </c>
      <c r="E5" s="14" t="inlineStr">
        <is>
          <t>20.03.2026</t>
        </is>
      </c>
      <c r="F5" s="14" t="inlineStr">
        <is>
          <t>//fileserver/isms/evidence/reviews/2026/rev-2026-001-report.pdf</t>
        </is>
      </c>
      <c r="G5" s="14" t="inlineStr">
        <is>
          <t>J. Smith</t>
        </is>
      </c>
      <c r="H5" s="14" t="inlineStr">
        <is>
          <t>31.03.2031</t>
        </is>
      </c>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row r="55">
      <c r="A55" s="15" t="n"/>
      <c r="B55" s="15" t="n"/>
      <c r="C55" s="15" t="n"/>
      <c r="D55" s="15" t="n"/>
      <c r="E55" s="15" t="n"/>
      <c r="F55" s="15" t="n"/>
      <c r="G55" s="15" t="n"/>
      <c r="H55" s="15" t="n"/>
    </row>
    <row r="56">
      <c r="A56" s="15" t="n"/>
      <c r="B56" s="15" t="n"/>
      <c r="C56" s="15" t="n"/>
      <c r="D56" s="15" t="n"/>
      <c r="E56" s="15" t="n"/>
      <c r="F56" s="15" t="n"/>
      <c r="G56" s="15" t="n"/>
      <c r="H56" s="15" t="n"/>
    </row>
    <row r="57">
      <c r="A57" s="15" t="n"/>
      <c r="B57" s="15" t="n"/>
      <c r="C57" s="15" t="n"/>
      <c r="D57" s="15" t="n"/>
      <c r="E57" s="15" t="n"/>
      <c r="F57" s="15" t="n"/>
      <c r="G57" s="15" t="n"/>
      <c r="H57" s="15" t="n"/>
    </row>
    <row r="58">
      <c r="A58" s="15" t="n"/>
      <c r="B58" s="15" t="n"/>
      <c r="C58" s="15" t="n"/>
      <c r="D58" s="15" t="n"/>
      <c r="E58" s="15" t="n"/>
      <c r="F58" s="15" t="n"/>
      <c r="G58" s="15" t="n"/>
      <c r="H58" s="15" t="n"/>
    </row>
    <row r="59">
      <c r="A59" s="15" t="n"/>
      <c r="B59" s="15" t="n"/>
      <c r="C59" s="15" t="n"/>
      <c r="D59" s="15" t="n"/>
      <c r="E59" s="15" t="n"/>
      <c r="F59" s="15" t="n"/>
      <c r="G59" s="15" t="n"/>
      <c r="H59" s="15" t="n"/>
    </row>
    <row r="60">
      <c r="A60" s="15" t="n"/>
      <c r="B60" s="15" t="n"/>
      <c r="C60" s="15" t="n"/>
      <c r="D60" s="15" t="n"/>
      <c r="E60" s="15" t="n"/>
      <c r="F60" s="15" t="n"/>
      <c r="G60" s="15" t="n"/>
      <c r="H60" s="15" t="n"/>
    </row>
    <row r="61">
      <c r="A61" s="15" t="n"/>
      <c r="B61" s="15" t="n"/>
      <c r="C61" s="15" t="n"/>
      <c r="D61" s="15" t="n"/>
      <c r="E61" s="15" t="n"/>
      <c r="F61" s="15" t="n"/>
      <c r="G61" s="15" t="n"/>
      <c r="H61" s="15" t="n"/>
    </row>
    <row r="62">
      <c r="A62" s="15" t="n"/>
      <c r="B62" s="15" t="n"/>
      <c r="C62" s="15" t="n"/>
      <c r="D62" s="15" t="n"/>
      <c r="E62" s="15" t="n"/>
      <c r="F62" s="15" t="n"/>
      <c r="G62" s="15" t="n"/>
      <c r="H62" s="15" t="n"/>
    </row>
    <row r="63">
      <c r="A63" s="15" t="n"/>
      <c r="B63" s="15" t="n"/>
      <c r="C63" s="15" t="n"/>
      <c r="D63" s="15" t="n"/>
      <c r="E63" s="15" t="n"/>
      <c r="F63" s="15" t="n"/>
      <c r="G63" s="15" t="n"/>
      <c r="H63" s="15" t="n"/>
    </row>
    <row r="64">
      <c r="A64" s="15" t="n"/>
      <c r="B64" s="15" t="n"/>
      <c r="C64" s="15" t="n"/>
      <c r="D64" s="15" t="n"/>
      <c r="E64" s="15" t="n"/>
      <c r="F64" s="15" t="n"/>
      <c r="G64" s="15" t="n"/>
      <c r="H64" s="15" t="n"/>
    </row>
    <row r="65">
      <c r="A65" s="15" t="n"/>
      <c r="B65" s="15" t="n"/>
      <c r="C65" s="15" t="n"/>
      <c r="D65" s="15" t="n"/>
      <c r="E65" s="15" t="n"/>
      <c r="F65" s="15" t="n"/>
      <c r="G65" s="15" t="n"/>
      <c r="H65" s="15" t="n"/>
    </row>
    <row r="66">
      <c r="A66" s="15" t="n"/>
      <c r="B66" s="15" t="n"/>
      <c r="C66" s="15" t="n"/>
      <c r="D66" s="15" t="n"/>
      <c r="E66" s="15" t="n"/>
      <c r="F66" s="15" t="n"/>
      <c r="G66" s="15" t="n"/>
      <c r="H66" s="15" t="n"/>
    </row>
    <row r="67">
      <c r="A67" s="15" t="n"/>
      <c r="B67" s="15" t="n"/>
      <c r="C67" s="15" t="n"/>
      <c r="D67" s="15" t="n"/>
      <c r="E67" s="15" t="n"/>
      <c r="F67" s="15" t="n"/>
      <c r="G67" s="15" t="n"/>
      <c r="H67" s="15" t="n"/>
    </row>
    <row r="68">
      <c r="A68" s="15" t="n"/>
      <c r="B68" s="15" t="n"/>
      <c r="C68" s="15" t="n"/>
      <c r="D68" s="15" t="n"/>
      <c r="E68" s="15" t="n"/>
      <c r="F68" s="15" t="n"/>
      <c r="G68" s="15" t="n"/>
      <c r="H68" s="15" t="n"/>
    </row>
    <row r="69">
      <c r="A69" s="15" t="n"/>
      <c r="B69" s="15" t="n"/>
      <c r="C69" s="15" t="n"/>
      <c r="D69" s="15" t="n"/>
      <c r="E69" s="15" t="n"/>
      <c r="F69" s="15" t="n"/>
      <c r="G69" s="15" t="n"/>
      <c r="H69" s="15" t="n"/>
    </row>
    <row r="70">
      <c r="A70" s="15" t="n"/>
      <c r="B70" s="15" t="n"/>
      <c r="C70" s="15" t="n"/>
      <c r="D70" s="15" t="n"/>
      <c r="E70" s="15" t="n"/>
      <c r="F70" s="15" t="n"/>
      <c r="G70" s="15" t="n"/>
      <c r="H70" s="15" t="n"/>
    </row>
    <row r="71">
      <c r="A71" s="15" t="n"/>
      <c r="B71" s="15" t="n"/>
      <c r="C71" s="15" t="n"/>
      <c r="D71" s="15" t="n"/>
      <c r="E71" s="15" t="n"/>
      <c r="F71" s="15" t="n"/>
      <c r="G71" s="15" t="n"/>
      <c r="H71" s="15" t="n"/>
    </row>
    <row r="72">
      <c r="A72" s="15" t="n"/>
      <c r="B72" s="15" t="n"/>
      <c r="C72" s="15" t="n"/>
      <c r="D72" s="15" t="n"/>
      <c r="E72" s="15" t="n"/>
      <c r="F72" s="15" t="n"/>
      <c r="G72" s="15" t="n"/>
      <c r="H72" s="15" t="n"/>
    </row>
    <row r="73">
      <c r="A73" s="15" t="n"/>
      <c r="B73" s="15" t="n"/>
      <c r="C73" s="15" t="n"/>
      <c r="D73" s="15" t="n"/>
      <c r="E73" s="15" t="n"/>
      <c r="F73" s="15" t="n"/>
      <c r="G73" s="15" t="n"/>
      <c r="H73" s="15" t="n"/>
    </row>
    <row r="74">
      <c r="A74" s="15" t="n"/>
      <c r="B74" s="15" t="n"/>
      <c r="C74" s="15" t="n"/>
      <c r="D74" s="15" t="n"/>
      <c r="E74" s="15" t="n"/>
      <c r="F74" s="15" t="n"/>
      <c r="G74" s="15" t="n"/>
      <c r="H74" s="15" t="n"/>
    </row>
    <row r="75">
      <c r="A75" s="15" t="n"/>
      <c r="B75" s="15" t="n"/>
      <c r="C75" s="15" t="n"/>
      <c r="D75" s="15" t="n"/>
      <c r="E75" s="15" t="n"/>
      <c r="F75" s="15" t="n"/>
      <c r="G75" s="15" t="n"/>
      <c r="H75" s="15" t="n"/>
    </row>
    <row r="76">
      <c r="A76" s="15" t="n"/>
      <c r="B76" s="15" t="n"/>
      <c r="C76" s="15" t="n"/>
      <c r="D76" s="15" t="n"/>
      <c r="E76" s="15" t="n"/>
      <c r="F76" s="15" t="n"/>
      <c r="G76" s="15" t="n"/>
      <c r="H76" s="15" t="n"/>
    </row>
    <row r="77">
      <c r="A77" s="15" t="n"/>
      <c r="B77" s="15" t="n"/>
      <c r="C77" s="15" t="n"/>
      <c r="D77" s="15" t="n"/>
      <c r="E77" s="15" t="n"/>
      <c r="F77" s="15" t="n"/>
      <c r="G77" s="15" t="n"/>
      <c r="H77" s="15" t="n"/>
    </row>
    <row r="78">
      <c r="A78" s="15" t="n"/>
      <c r="B78" s="15" t="n"/>
      <c r="C78" s="15" t="n"/>
      <c r="D78" s="15" t="n"/>
      <c r="E78" s="15" t="n"/>
      <c r="F78" s="15" t="n"/>
      <c r="G78" s="15" t="n"/>
      <c r="H78" s="15" t="n"/>
    </row>
    <row r="79">
      <c r="A79" s="15" t="n"/>
      <c r="B79" s="15" t="n"/>
      <c r="C79" s="15" t="n"/>
      <c r="D79" s="15" t="n"/>
      <c r="E79" s="15" t="n"/>
      <c r="F79" s="15" t="n"/>
      <c r="G79" s="15" t="n"/>
      <c r="H79" s="15" t="n"/>
    </row>
    <row r="80">
      <c r="A80" s="15" t="n"/>
      <c r="B80" s="15" t="n"/>
      <c r="C80" s="15" t="n"/>
      <c r="D80" s="15" t="n"/>
      <c r="E80" s="15" t="n"/>
      <c r="F80" s="15" t="n"/>
      <c r="G80" s="15" t="n"/>
      <c r="H80" s="15" t="n"/>
    </row>
    <row r="81">
      <c r="A81" s="15" t="n"/>
      <c r="B81" s="15" t="n"/>
      <c r="C81" s="15" t="n"/>
      <c r="D81" s="15" t="n"/>
      <c r="E81" s="15" t="n"/>
      <c r="F81" s="15" t="n"/>
      <c r="G81" s="15" t="n"/>
      <c r="H81" s="15" t="n"/>
    </row>
    <row r="82">
      <c r="A82" s="15" t="n"/>
      <c r="B82" s="15" t="n"/>
      <c r="C82" s="15" t="n"/>
      <c r="D82" s="15" t="n"/>
      <c r="E82" s="15" t="n"/>
      <c r="F82" s="15" t="n"/>
      <c r="G82" s="15" t="n"/>
      <c r="H82" s="15" t="n"/>
    </row>
    <row r="83">
      <c r="A83" s="15" t="n"/>
      <c r="B83" s="15" t="n"/>
      <c r="C83" s="15" t="n"/>
      <c r="D83" s="15" t="n"/>
      <c r="E83" s="15" t="n"/>
      <c r="F83" s="15" t="n"/>
      <c r="G83" s="15" t="n"/>
      <c r="H83" s="15" t="n"/>
    </row>
    <row r="84">
      <c r="A84" s="15" t="n"/>
      <c r="B84" s="15" t="n"/>
      <c r="C84" s="15" t="n"/>
      <c r="D84" s="15" t="n"/>
      <c r="E84" s="15" t="n"/>
      <c r="F84" s="15" t="n"/>
      <c r="G84" s="15" t="n"/>
      <c r="H84" s="15" t="n"/>
    </row>
    <row r="85">
      <c r="A85" s="15" t="n"/>
      <c r="B85" s="15" t="n"/>
      <c r="C85" s="15" t="n"/>
      <c r="D85" s="15" t="n"/>
      <c r="E85" s="15" t="n"/>
      <c r="F85" s="15" t="n"/>
      <c r="G85" s="15" t="n"/>
      <c r="H85" s="15" t="n"/>
    </row>
    <row r="86">
      <c r="A86" s="15" t="n"/>
      <c r="B86" s="15" t="n"/>
      <c r="C86" s="15" t="n"/>
      <c r="D86" s="15" t="n"/>
      <c r="E86" s="15" t="n"/>
      <c r="F86" s="15" t="n"/>
      <c r="G86" s="15" t="n"/>
      <c r="H86" s="15" t="n"/>
    </row>
    <row r="87">
      <c r="A87" s="15" t="n"/>
      <c r="B87" s="15" t="n"/>
      <c r="C87" s="15" t="n"/>
      <c r="D87" s="15" t="n"/>
      <c r="E87" s="15" t="n"/>
      <c r="F87" s="15" t="n"/>
      <c r="G87" s="15" t="n"/>
      <c r="H87" s="15" t="n"/>
    </row>
    <row r="88">
      <c r="A88" s="15" t="n"/>
      <c r="B88" s="15" t="n"/>
      <c r="C88" s="15" t="n"/>
      <c r="D88" s="15" t="n"/>
      <c r="E88" s="15" t="n"/>
      <c r="F88" s="15" t="n"/>
      <c r="G88" s="15" t="n"/>
      <c r="H88" s="15" t="n"/>
    </row>
    <row r="89">
      <c r="A89" s="15" t="n"/>
      <c r="B89" s="15" t="n"/>
      <c r="C89" s="15" t="n"/>
      <c r="D89" s="15" t="n"/>
      <c r="E89" s="15" t="n"/>
      <c r="F89" s="15" t="n"/>
      <c r="G89" s="15" t="n"/>
      <c r="H89" s="15" t="n"/>
    </row>
    <row r="90">
      <c r="A90" s="15" t="n"/>
      <c r="B90" s="15" t="n"/>
      <c r="C90" s="15" t="n"/>
      <c r="D90" s="15" t="n"/>
      <c r="E90" s="15" t="n"/>
      <c r="F90" s="15" t="n"/>
      <c r="G90" s="15" t="n"/>
      <c r="H90" s="15" t="n"/>
    </row>
    <row r="91">
      <c r="A91" s="15" t="n"/>
      <c r="B91" s="15" t="n"/>
      <c r="C91" s="15" t="n"/>
      <c r="D91" s="15" t="n"/>
      <c r="E91" s="15" t="n"/>
      <c r="F91" s="15" t="n"/>
      <c r="G91" s="15" t="n"/>
      <c r="H91" s="15" t="n"/>
    </row>
    <row r="92">
      <c r="A92" s="15" t="n"/>
      <c r="B92" s="15" t="n"/>
      <c r="C92" s="15" t="n"/>
      <c r="D92" s="15" t="n"/>
      <c r="E92" s="15" t="n"/>
      <c r="F92" s="15" t="n"/>
      <c r="G92" s="15" t="n"/>
      <c r="H92" s="15" t="n"/>
    </row>
    <row r="93">
      <c r="A93" s="15" t="n"/>
      <c r="B93" s="15" t="n"/>
      <c r="C93" s="15" t="n"/>
      <c r="D93" s="15" t="n"/>
      <c r="E93" s="15" t="n"/>
      <c r="F93" s="15" t="n"/>
      <c r="G93" s="15" t="n"/>
      <c r="H93" s="15" t="n"/>
    </row>
    <row r="94">
      <c r="A94" s="15" t="n"/>
      <c r="B94" s="15" t="n"/>
      <c r="C94" s="15" t="n"/>
      <c r="D94" s="15" t="n"/>
      <c r="E94" s="15" t="n"/>
      <c r="F94" s="15" t="n"/>
      <c r="G94" s="15" t="n"/>
      <c r="H94" s="15" t="n"/>
    </row>
    <row r="95">
      <c r="A95" s="15" t="n"/>
      <c r="B95" s="15" t="n"/>
      <c r="C95" s="15" t="n"/>
      <c r="D95" s="15" t="n"/>
      <c r="E95" s="15" t="n"/>
      <c r="F95" s="15" t="n"/>
      <c r="G95" s="15" t="n"/>
      <c r="H95" s="15" t="n"/>
    </row>
    <row r="96">
      <c r="A96" s="15" t="n"/>
      <c r="B96" s="15" t="n"/>
      <c r="C96" s="15" t="n"/>
      <c r="D96" s="15" t="n"/>
      <c r="E96" s="15" t="n"/>
      <c r="F96" s="15" t="n"/>
      <c r="G96" s="15" t="n"/>
      <c r="H96" s="15" t="n"/>
    </row>
    <row r="97">
      <c r="A97" s="15" t="n"/>
      <c r="B97" s="15" t="n"/>
      <c r="C97" s="15" t="n"/>
      <c r="D97" s="15" t="n"/>
      <c r="E97" s="15" t="n"/>
      <c r="F97" s="15" t="n"/>
      <c r="G97" s="15" t="n"/>
      <c r="H97" s="15" t="n"/>
    </row>
    <row r="98">
      <c r="A98" s="15" t="n"/>
      <c r="B98" s="15" t="n"/>
      <c r="C98" s="15" t="n"/>
      <c r="D98" s="15" t="n"/>
      <c r="E98" s="15" t="n"/>
      <c r="F98" s="15" t="n"/>
      <c r="G98" s="15" t="n"/>
      <c r="H98" s="15" t="n"/>
    </row>
    <row r="99">
      <c r="A99" s="15" t="n"/>
      <c r="B99" s="15" t="n"/>
      <c r="C99" s="15" t="n"/>
      <c r="D99" s="15" t="n"/>
      <c r="E99" s="15" t="n"/>
      <c r="F99" s="15" t="n"/>
      <c r="G99" s="15" t="n"/>
      <c r="H99" s="15" t="n"/>
    </row>
    <row r="100">
      <c r="A100" s="15" t="n"/>
      <c r="B100" s="15" t="n"/>
      <c r="C100" s="15" t="n"/>
      <c r="D100" s="15" t="n"/>
      <c r="E100" s="15" t="n"/>
      <c r="F100" s="15" t="n"/>
      <c r="G100" s="15" t="n"/>
      <c r="H100" s="15" t="n"/>
    </row>
    <row r="101">
      <c r="A101" s="15" t="n"/>
      <c r="B101" s="15" t="n"/>
      <c r="C101" s="15" t="n"/>
      <c r="D101" s="15" t="n"/>
      <c r="E101" s="15" t="n"/>
      <c r="F101" s="15" t="n"/>
      <c r="G101" s="15" t="n"/>
      <c r="H101" s="15" t="n"/>
    </row>
    <row r="102">
      <c r="A102" s="15" t="n"/>
      <c r="B102" s="15" t="n"/>
      <c r="C102" s="15" t="n"/>
      <c r="D102" s="15" t="n"/>
      <c r="E102" s="15" t="n"/>
      <c r="F102" s="15" t="n"/>
      <c r="G102" s="15" t="n"/>
      <c r="H102" s="15" t="n"/>
    </row>
    <row r="103">
      <c r="A103" s="15" t="n"/>
      <c r="B103" s="15" t="n"/>
      <c r="C103" s="15" t="n"/>
      <c r="D103" s="15" t="n"/>
      <c r="E103" s="15" t="n"/>
      <c r="F103" s="15" t="n"/>
      <c r="G103" s="15" t="n"/>
      <c r="H103" s="15" t="n"/>
    </row>
    <row r="104">
      <c r="A104" s="15" t="n"/>
      <c r="B104" s="15" t="n"/>
      <c r="C104" s="15" t="n"/>
      <c r="D104" s="15" t="n"/>
      <c r="E104" s="15" t="n"/>
      <c r="F104" s="15" t="n"/>
      <c r="G104" s="15" t="n"/>
      <c r="H104" s="15" t="n"/>
    </row>
    <row r="105">
      <c r="A105" s="15" t="n"/>
      <c r="B105" s="15" t="n"/>
      <c r="C105" s="15" t="n"/>
      <c r="D105" s="15" t="n"/>
      <c r="E105" s="15" t="n"/>
      <c r="F105" s="15" t="n"/>
      <c r="G105" s="15" t="n"/>
      <c r="H105" s="15" t="n"/>
    </row>
  </sheetData>
  <mergeCells count="2">
    <mergeCell ref="A2:H2"/>
    <mergeCell ref="A1:H1"/>
  </mergeCells>
  <dataValidations count="1">
    <dataValidation sqref="B4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showDropDown="0" showInputMessage="0" showErrorMessage="0" allowBlank="0" type="list">
      <formula1>"Review Plan,Scope Document,Interview Notes,Sample Evidence,Audit Report,Management Response,Closure Evidence"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7"/>
  <sheetViews>
    <sheetView showGridLines="0" workbookViewId="0">
      <pane ySplit="3" topLeftCell="A4" activePane="bottomLeft" state="frozen"/>
      <selection pane="bottomLeft" activeCell="A1" sqref="A1"/>
    </sheetView>
  </sheetViews>
  <sheetFormatPr baseColWidth="8" defaultRowHeight="15"/>
  <cols>
    <col width="45" customWidth="1" min="1" max="1"/>
    <col width="40" customWidth="1" min="2" max="2"/>
    <col width="12" customWidth="1" min="3" max="3"/>
    <col width="16" customWidth="1" min="4" max="4"/>
    <col width="22" customWidth="1" min="5" max="5"/>
    <col width="12" customWidth="1" min="6" max="6"/>
    <col width="15" customWidth="1" min="7" max="7"/>
  </cols>
  <sheetData>
    <row r="1" ht="35" customHeight="1">
      <c r="A1" s="17" t="inlineStr">
        <is>
          <t>INDEPENDENT REVIEW PLANNING AND TRACKING — SUMMARY DASHBOARD</t>
        </is>
      </c>
      <c r="B1" s="18" t="n"/>
      <c r="C1" s="18" t="n"/>
      <c r="D1" s="18" t="n"/>
      <c r="E1" s="18" t="n"/>
      <c r="F1" s="18" t="n"/>
      <c r="G1" s="18" t="n"/>
    </row>
    <row r="2">
      <c r="A2" s="19" t="inlineStr">
        <is>
          <t>ISO/IEC 27001:2022 | Control A.5.35: Independent Review of Information Security</t>
        </is>
      </c>
    </row>
    <row r="4">
      <c r="A4" s="20" t="inlineStr">
        <is>
          <t>TABLE 1: ASSESSMENT AREA COMPLIANCE OVERVIEW</t>
        </is>
      </c>
      <c r="B4" s="18" t="n"/>
      <c r="C4" s="18" t="n"/>
      <c r="D4" s="18" t="n"/>
      <c r="E4" s="18" t="n"/>
      <c r="F4" s="18" t="n"/>
      <c r="G4" s="18" t="n"/>
    </row>
    <row r="5">
      <c r="A5" s="21" t="inlineStr">
        <is>
          <t>Assessment Area</t>
        </is>
      </c>
      <c r="B5" s="21" t="inlineStr">
        <is>
          <t>Total Items</t>
        </is>
      </c>
      <c r="C5" s="21" t="inlineStr">
        <is>
          <t>Compliant</t>
        </is>
      </c>
      <c r="D5" s="21" t="inlineStr">
        <is>
          <t>Partial</t>
        </is>
      </c>
      <c r="E5" s="21" t="inlineStr">
        <is>
          <t>Non-Compliant</t>
        </is>
      </c>
      <c r="F5" s="21" t="inlineStr">
        <is>
          <t>N/A</t>
        </is>
      </c>
      <c r="G5" s="21" t="inlineStr">
        <is>
          <t>Compliance %</t>
        </is>
      </c>
    </row>
    <row r="6">
      <c r="A6" s="22" t="inlineStr">
        <is>
          <t>Review Planning</t>
        </is>
      </c>
      <c r="B6" s="23">
        <f>COUNTA('Review Schedule'!B5:B54)</f>
        <v/>
      </c>
      <c r="C6" s="23">
        <f>COUNTIF('Review Schedule'!I5:I54,"Completed")</f>
        <v/>
      </c>
      <c r="D6" s="23">
        <f>COUNTIF('Review Schedule'!I5:I54,"In Progress")</f>
        <v/>
      </c>
      <c r="E6" s="23">
        <f>COUNTIF('Review Schedule'!I5:I54,"Postponed")+COUNTIF('Review Schedule'!I5:I54,"Cancelled")</f>
        <v/>
      </c>
      <c r="F6" s="23">
        <f>COUNTIF('Review Schedule'!I5:I54,"Planned")</f>
        <v/>
      </c>
      <c r="G6" s="24">
        <f>IFERROR(IF((B6-F6)=0,0,C6/(B6-F6)),"")</f>
        <v/>
      </c>
    </row>
    <row r="7">
      <c r="A7" s="22" t="inlineStr">
        <is>
          <t>Reviewer Registry</t>
        </is>
      </c>
      <c r="B7" s="23">
        <f>COUNTA('Reviewer Registry'!B5:B54)</f>
        <v/>
      </c>
      <c r="C7" s="23">
        <f>COUNTIF('Reviewer Registry'!J5:J54,"Approved")</f>
        <v/>
      </c>
      <c r="D7" s="23">
        <f>COUNTIF('Reviewer Registry'!J5:J54,"Pending Approval")</f>
        <v/>
      </c>
      <c r="E7" s="23">
        <f>COUNTIF('Reviewer Registry'!J5:J54,"Revoked")</f>
        <v/>
      </c>
      <c r="F7" s="23">
        <f>COUNTIF('Reviewer Registry'!J5:J54,"Expired")</f>
        <v/>
      </c>
      <c r="G7" s="24">
        <f>IFERROR(IF((B7-F7)=0,0,C7/(B7-F7)),"")</f>
        <v/>
      </c>
    </row>
    <row r="8">
      <c r="A8" s="22" t="inlineStr">
        <is>
          <t>Review Execution</t>
        </is>
      </c>
      <c r="B8" s="23">
        <f>COUNTA('Review Execution'!B5:B54)</f>
        <v/>
      </c>
      <c r="C8" s="23">
        <f>COUNTIF('Review Execution'!G5:G54,"Completed")</f>
        <v/>
      </c>
      <c r="D8" s="23">
        <f>COUNTIF('Review Execution'!G5:G54,"In Progress")</f>
        <v/>
      </c>
      <c r="E8" s="23">
        <f>COUNTIF('Review Execution'!G5:G54,"Blocked")</f>
        <v/>
      </c>
      <c r="F8" s="23">
        <f>COUNTIF('Review Execution'!G5:G54,"Not Started")</f>
        <v/>
      </c>
      <c r="G8" s="24">
        <f>IFERROR(IF((B8-F8)=0,0,C8/(B8-F8)),"")</f>
        <v/>
      </c>
    </row>
    <row r="9">
      <c r="A9" s="22" t="inlineStr">
        <is>
          <t>Findings Summary</t>
        </is>
      </c>
      <c r="B9" s="23">
        <f>COUNTA('Findings Summary'!B5:B54)</f>
        <v/>
      </c>
      <c r="C9" s="23">
        <f>COUNTIF('Findings Summary'!L5:L54,"Closed")</f>
        <v/>
      </c>
      <c r="D9" s="23">
        <f>COUNTIF('Findings Summary'!L5:L54,"In Progress")</f>
        <v/>
      </c>
      <c r="E9" s="23">
        <f>COUNTIF('Findings Summary'!L5:L54,"Open")</f>
        <v/>
      </c>
      <c r="F9" s="23">
        <f>COUNTIF('Findings Summary'!L5:L54,"Accepted")</f>
        <v/>
      </c>
      <c r="G9" s="24">
        <f>IFERROR(IF((B9-F9)=0,0,C9/(B9-F9)),"")</f>
        <v/>
      </c>
    </row>
    <row r="10">
      <c r="A10" s="25" t="inlineStr">
        <is>
          <t>TOTAL</t>
        </is>
      </c>
      <c r="B10" s="26">
        <f>SUM(B6:B9)</f>
        <v/>
      </c>
      <c r="C10" s="26">
        <f>SUM(C6:C9)</f>
        <v/>
      </c>
      <c r="D10" s="26">
        <f>SUM(D6:D9)</f>
        <v/>
      </c>
      <c r="E10" s="26">
        <f>SUM(E6:E9)</f>
        <v/>
      </c>
      <c r="F10" s="26">
        <f>SUM(F6:F9)</f>
        <v/>
      </c>
      <c r="G10" s="27">
        <f>IFERROR(IF((B10-F10)=0,0,C10/(B10-F10)),"")</f>
        <v/>
      </c>
    </row>
    <row r="12">
      <c r="A12" s="20" t="inlineStr">
        <is>
          <t>TABLE 2: KEY METRICS</t>
        </is>
      </c>
      <c r="B12" s="18" t="n"/>
      <c r="C12" s="18" t="n"/>
      <c r="D12" s="18" t="n"/>
      <c r="E12" s="18" t="n"/>
      <c r="F12" s="18" t="n"/>
      <c r="G12" s="18" t="n"/>
    </row>
    <row r="13">
      <c r="A13" s="26" t="inlineStr">
        <is>
          <t>Metric</t>
        </is>
      </c>
      <c r="B13" s="26" t="inlineStr">
        <is>
          <t>Value</t>
        </is>
      </c>
      <c r="C13" s="26" t="n"/>
      <c r="D13" s="26" t="n"/>
      <c r="E13" s="26" t="n"/>
      <c r="F13" s="26" t="n"/>
      <c r="G13" s="26" t="n"/>
    </row>
    <row r="14">
      <c r="A14" s="22" t="inlineStr">
        <is>
          <t>Total Reviews Scheduled</t>
        </is>
      </c>
      <c r="B14" s="23">
        <f>COUNTA('Review Schedule'!B5:B54)</f>
        <v/>
      </c>
      <c r="C14" s="18" t="n"/>
      <c r="D14" s="18" t="n"/>
      <c r="E14" s="18" t="n"/>
      <c r="F14" s="18" t="n"/>
      <c r="G14" s="18" t="n"/>
    </row>
    <row r="15">
      <c r="A15" s="22" t="inlineStr">
        <is>
          <t>Reviews Completed</t>
        </is>
      </c>
      <c r="B15" s="23">
        <f>COUNTIF('Review Schedule'!I5:I54,"Completed")</f>
        <v/>
      </c>
      <c r="C15" s="18" t="n"/>
      <c r="D15" s="18" t="n"/>
      <c r="E15" s="18" t="n"/>
      <c r="F15" s="18" t="n"/>
      <c r="G15" s="18" t="n"/>
    </row>
    <row r="16">
      <c r="A16" s="22" t="inlineStr">
        <is>
          <t>Reviews In Progress</t>
        </is>
      </c>
      <c r="B16" s="23">
        <f>COUNTIF('Review Schedule'!I5:I54,"In Progress")</f>
        <v/>
      </c>
      <c r="C16" s="18" t="n"/>
      <c r="D16" s="18" t="n"/>
      <c r="E16" s="18" t="n"/>
      <c r="F16" s="18" t="n"/>
      <c r="G16" s="18" t="n"/>
    </row>
    <row r="17">
      <c r="A17" s="22" t="inlineStr">
        <is>
          <t>Reviews Postponed or Cancelled</t>
        </is>
      </c>
      <c r="B17" s="23">
        <f>COUNTIF('Review Schedule'!I5:I54,"Postponed")+COUNTIF('Review Schedule'!I5:I54,"Cancelled")</f>
        <v/>
      </c>
      <c r="C17" s="18" t="n"/>
      <c r="D17" s="18" t="n"/>
      <c r="E17" s="18" t="n"/>
      <c r="F17" s="18" t="n"/>
      <c r="G17" s="18" t="n"/>
    </row>
    <row r="18">
      <c r="A18" s="22" t="inlineStr">
        <is>
          <t>Annual Comprehensive Reviews</t>
        </is>
      </c>
      <c r="B18" s="23">
        <f>COUNTIF('Review Schedule'!B5:B54,"Annual Comprehensive")</f>
        <v/>
      </c>
      <c r="C18" s="18" t="n"/>
      <c r="D18" s="18" t="n"/>
      <c r="E18" s="18" t="n"/>
      <c r="F18" s="18" t="n"/>
      <c r="G18" s="18" t="n"/>
    </row>
    <row r="19">
      <c r="A19" s="22" t="inlineStr">
        <is>
          <t>Surveillance Reviews</t>
        </is>
      </c>
      <c r="B19" s="23">
        <f>COUNTIF('Review Schedule'!B5:B54,"Surveillance")</f>
        <v/>
      </c>
      <c r="C19" s="18" t="n"/>
      <c r="D19" s="18" t="n"/>
      <c r="E19" s="18" t="n"/>
      <c r="F19" s="18" t="n"/>
      <c r="G19" s="18" t="n"/>
    </row>
    <row r="20">
      <c r="A20" s="22" t="inlineStr">
        <is>
          <t>Ad-Hoc / Post-Incident Reviews</t>
        </is>
      </c>
      <c r="B20" s="23">
        <f>COUNTIF('Review Schedule'!B5:B54,"Ad-Hoc")+COUNTIF('Review Schedule'!B5:B54,"Post-Incident")</f>
        <v/>
      </c>
      <c r="C20" s="18" t="n"/>
      <c r="D20" s="18" t="n"/>
      <c r="E20" s="18" t="n"/>
      <c r="F20" s="18" t="n"/>
      <c r="G20" s="18" t="n"/>
    </row>
    <row r="21">
      <c r="A21" s="22" t="inlineStr">
        <is>
          <t>Total Registered Reviewers</t>
        </is>
      </c>
      <c r="B21" s="23">
        <f>COUNTA('Reviewer Registry'!B5:B54)</f>
        <v/>
      </c>
      <c r="C21" s="18" t="n"/>
      <c r="D21" s="18" t="n"/>
      <c r="E21" s="18" t="n"/>
      <c r="F21" s="18" t="n"/>
      <c r="G21" s="18" t="n"/>
    </row>
    <row r="22">
      <c r="A22" s="22" t="inlineStr">
        <is>
          <t>Approved Reviewers</t>
        </is>
      </c>
      <c r="B22" s="23">
        <f>COUNTIF('Reviewer Registry'!J5:J54,"Approved")</f>
        <v/>
      </c>
      <c r="C22" s="18" t="n"/>
      <c r="D22" s="18" t="n"/>
      <c r="E22" s="18" t="n"/>
      <c r="F22" s="18" t="n"/>
      <c r="G22" s="18" t="n"/>
    </row>
    <row r="23">
      <c r="A23" s="22" t="inlineStr">
        <is>
          <t>Fully Independent Reviewers</t>
        </is>
      </c>
      <c r="B23" s="23">
        <f>COUNTIF('Reviewer Registry'!H5:H54,"Fully Independent")</f>
        <v/>
      </c>
      <c r="C23" s="18" t="n"/>
      <c r="D23" s="18" t="n"/>
      <c r="E23" s="18" t="n"/>
      <c r="F23" s="18" t="n"/>
      <c r="G23" s="18" t="n"/>
    </row>
    <row r="24">
      <c r="A24" s="22" t="inlineStr">
        <is>
          <t>External Reviewers</t>
        </is>
      </c>
      <c r="B24" s="23">
        <f>COUNTIF('Reviewer Registry'!D5:D54,"External Auditor")+COUNTIF('Reviewer Registry'!D5:D54,"External Consultant")</f>
        <v/>
      </c>
      <c r="C24" s="18" t="n"/>
      <c r="D24" s="18" t="n"/>
      <c r="E24" s="18" t="n"/>
      <c r="F24" s="18" t="n"/>
      <c r="G24" s="18" t="n"/>
    </row>
    <row r="25">
      <c r="A25" s="22" t="inlineStr">
        <is>
          <t>Total Execution Activities</t>
        </is>
      </c>
      <c r="B25" s="23">
        <f>COUNTA('Review Execution'!B5:B54)</f>
        <v/>
      </c>
      <c r="C25" s="18" t="n"/>
      <c r="D25" s="18" t="n"/>
      <c r="E25" s="18" t="n"/>
      <c r="F25" s="18" t="n"/>
      <c r="G25" s="18" t="n"/>
    </row>
    <row r="26">
      <c r="A26" s="22" t="inlineStr">
        <is>
          <t>Activities Completed</t>
        </is>
      </c>
      <c r="B26" s="23">
        <f>COUNTIF('Review Execution'!G5:G54,"Completed")</f>
        <v/>
      </c>
      <c r="C26" s="18" t="n"/>
      <c r="D26" s="18" t="n"/>
      <c r="E26" s="18" t="n"/>
      <c r="F26" s="18" t="n"/>
      <c r="G26" s="18" t="n"/>
    </row>
    <row r="27">
      <c r="A27" s="22" t="inlineStr">
        <is>
          <t>Activities with Evidence Collected</t>
        </is>
      </c>
      <c r="B27" s="23">
        <f>COUNTIF('Review Execution'!H5:H54,"Yes")</f>
        <v/>
      </c>
      <c r="C27" s="18" t="n"/>
      <c r="D27" s="18" t="n"/>
      <c r="E27" s="18" t="n"/>
      <c r="F27" s="18" t="n"/>
      <c r="G27" s="18" t="n"/>
    </row>
    <row r="28">
      <c r="A28" s="22" t="inlineStr">
        <is>
          <t>Blocked Activities</t>
        </is>
      </c>
      <c r="B28" s="23">
        <f>COUNTIF('Review Execution'!G5:G54,"Blocked")</f>
        <v/>
      </c>
      <c r="C28" s="18" t="n"/>
      <c r="D28" s="18" t="n"/>
      <c r="E28" s="18" t="n"/>
      <c r="F28" s="18" t="n"/>
      <c r="G28" s="18" t="n"/>
    </row>
    <row r="29">
      <c r="A29" s="22" t="inlineStr">
        <is>
          <t>Total Findings Identified</t>
        </is>
      </c>
      <c r="B29" s="23">
        <f>COUNTA('Findings Summary'!B5:B54)</f>
        <v/>
      </c>
      <c r="C29" s="18" t="n"/>
      <c r="D29" s="18" t="n"/>
      <c r="E29" s="18" t="n"/>
      <c r="F29" s="18" t="n"/>
      <c r="G29" s="18" t="n"/>
    </row>
    <row r="30">
      <c r="A30" s="22" t="inlineStr">
        <is>
          <t>Major Non-Conformities</t>
        </is>
      </c>
      <c r="B30" s="23">
        <f>COUNTIF('Findings Summary'!F5:F54,"Major")</f>
        <v/>
      </c>
      <c r="C30" s="18" t="n"/>
      <c r="D30" s="18" t="n"/>
      <c r="E30" s="18" t="n"/>
      <c r="F30" s="18" t="n"/>
      <c r="G30" s="18" t="n"/>
    </row>
    <row r="31">
      <c r="A31" s="22" t="inlineStr">
        <is>
          <t>Minor Observations</t>
        </is>
      </c>
      <c r="B31" s="23">
        <f>COUNTIF('Findings Summary'!C5:C54,"Observation")</f>
        <v/>
      </c>
      <c r="C31" s="18" t="n"/>
      <c r="D31" s="18" t="n"/>
      <c r="E31" s="18" t="n"/>
      <c r="F31" s="18" t="n"/>
      <c r="G31" s="18" t="n"/>
    </row>
    <row r="32">
      <c r="A32" s="22" t="inlineStr">
        <is>
          <t>Open Findings</t>
        </is>
      </c>
      <c r="B32" s="23">
        <f>COUNTIF('Findings Summary'!L5:L54,"Open")</f>
        <v/>
      </c>
      <c r="C32" s="18" t="n"/>
      <c r="D32" s="18" t="n"/>
      <c r="E32" s="18" t="n"/>
      <c r="F32" s="18" t="n"/>
      <c r="G32" s="18" t="n"/>
    </row>
    <row r="33">
      <c r="A33" s="22" t="inlineStr">
        <is>
          <t>Closed Findings</t>
        </is>
      </c>
      <c r="B33" s="23">
        <f>COUNTIF('Findings Summary'!L5:L54,"Closed")</f>
        <v/>
      </c>
      <c r="C33" s="18" t="n"/>
      <c r="D33" s="18" t="n"/>
      <c r="E33" s="18" t="n"/>
      <c r="F33" s="18" t="n"/>
      <c r="G33" s="18" t="n"/>
    </row>
    <row r="34">
      <c r="A34" s="18" t="n"/>
      <c r="B34" s="18" t="n"/>
      <c r="C34" s="18" t="n"/>
      <c r="D34" s="18" t="n"/>
      <c r="E34" s="18" t="n"/>
      <c r="F34" s="18" t="n"/>
      <c r="G34" s="18" t="n"/>
    </row>
    <row r="35">
      <c r="A35" s="18" t="n"/>
      <c r="B35" s="18" t="n"/>
      <c r="C35" s="18" t="n"/>
      <c r="D35" s="18" t="n"/>
      <c r="E35" s="18" t="n"/>
      <c r="F35" s="18" t="n"/>
      <c r="G35" s="18" t="n"/>
    </row>
    <row r="37">
      <c r="A37" s="28" t="inlineStr">
        <is>
          <t>TABLE 3: CRITICAL FINDINGS REQUIRING IMMEDIATE ATTENTION</t>
        </is>
      </c>
      <c r="B37" s="18" t="n"/>
      <c r="C37" s="18" t="n"/>
      <c r="D37" s="18" t="n"/>
      <c r="E37" s="18" t="n"/>
      <c r="F37" s="18" t="n"/>
      <c r="G37" s="18" t="n"/>
    </row>
    <row r="38">
      <c r="A38" s="26" t="inlineStr">
        <is>
          <t>Category</t>
        </is>
      </c>
      <c r="B38" s="26" t="inlineStr">
        <is>
          <t>Finding</t>
        </is>
      </c>
      <c r="C38" s="26" t="inlineStr">
        <is>
          <t>Count</t>
        </is>
      </c>
      <c r="D38" s="26" t="inlineStr">
        <is>
          <t>Severity</t>
        </is>
      </c>
      <c r="E38" s="26" t="inlineStr">
        <is>
          <t>Action Required</t>
        </is>
      </c>
      <c r="F38" s="26" t="n"/>
      <c r="G38" s="26" t="n"/>
    </row>
    <row r="39">
      <c r="A39" s="29" t="inlineStr">
        <is>
          <t>Review Planning</t>
        </is>
      </c>
      <c r="B39" s="29" t="inlineStr">
        <is>
          <t>Reviews postponed or cancelled</t>
        </is>
      </c>
      <c r="C39" s="30">
        <f>COUNTIF('Review Schedule'!I5:I54,"Postponed")+COUNTIF('Review Schedule'!I5:I54,"Cancelled")</f>
        <v/>
      </c>
      <c r="D39" s="29" t="inlineStr">
        <is>
          <t>High</t>
        </is>
      </c>
      <c r="E39" s="29" t="inlineStr">
        <is>
          <t>Reschedule immediately</t>
        </is>
      </c>
      <c r="F39" s="29" t="n"/>
      <c r="G39" s="29" t="n"/>
    </row>
    <row r="40">
      <c r="A40" s="29" t="inlineStr">
        <is>
          <t>Reviewer Qualification</t>
        </is>
      </c>
      <c r="B40" s="29" t="inlineStr">
        <is>
          <t>Reviewers with expired credentials</t>
        </is>
      </c>
      <c r="C40" s="30">
        <f>COUNTIF('Reviewer Registry'!J5:J54,"Expired")</f>
        <v/>
      </c>
      <c r="D40" s="29" t="inlineStr">
        <is>
          <t>High</t>
        </is>
      </c>
      <c r="E40" s="29" t="inlineStr">
        <is>
          <t>Renew or replace reviewer</t>
        </is>
      </c>
      <c r="F40" s="29" t="n"/>
      <c r="G40" s="29" t="n"/>
    </row>
    <row r="41">
      <c r="A41" s="29" t="inlineStr">
        <is>
          <t>Reviewer Independence</t>
        </is>
      </c>
      <c r="B41" s="29" t="inlineStr">
        <is>
          <t>Reviewers flagged not independent</t>
        </is>
      </c>
      <c r="C41" s="30">
        <f>COUNTIF('Reviewer Registry'!H5:H54,"Not Independent")</f>
        <v/>
      </c>
      <c r="D41" s="29" t="inlineStr">
        <is>
          <t>Critical</t>
        </is>
      </c>
      <c r="E41" s="29" t="inlineStr">
        <is>
          <t>Escalate to CISO</t>
        </is>
      </c>
      <c r="F41" s="29" t="n"/>
      <c r="G41" s="29" t="n"/>
    </row>
    <row r="42">
      <c r="A42" s="29" t="inlineStr">
        <is>
          <t>Review Execution</t>
        </is>
      </c>
      <c r="B42" s="29" t="inlineStr">
        <is>
          <t>Execution activities blocked</t>
        </is>
      </c>
      <c r="C42" s="30">
        <f>COUNTIF('Review Execution'!G5:G54,"Blocked")</f>
        <v/>
      </c>
      <c r="D42" s="29" t="inlineStr">
        <is>
          <t>High</t>
        </is>
      </c>
      <c r="E42" s="29" t="inlineStr">
        <is>
          <t>Investigate and unblock</t>
        </is>
      </c>
      <c r="F42" s="29" t="n"/>
      <c r="G42" s="29" t="n"/>
    </row>
    <row r="43">
      <c r="A43" s="29" t="inlineStr">
        <is>
          <t>Findings Management</t>
        </is>
      </c>
      <c r="B43" s="29" t="inlineStr">
        <is>
          <t>Major non-conformities open</t>
        </is>
      </c>
      <c r="C43" s="30">
        <f>COUNTIFS('Findings Summary'!C5:C54,"Non-Conformity",'Findings Summary'!F5:F54,"Major",'Findings Summary'!L5:L54,"Open")</f>
        <v/>
      </c>
      <c r="D43" s="29" t="inlineStr">
        <is>
          <t>Critical</t>
        </is>
      </c>
      <c r="E43" s="29" t="inlineStr">
        <is>
          <t>Immediate remediation</t>
        </is>
      </c>
      <c r="F43" s="29" t="n"/>
      <c r="G43" s="29" t="n"/>
    </row>
    <row r="44">
      <c r="A44" s="29" t="inlineStr">
        <is>
          <t>Findings Management</t>
        </is>
      </c>
      <c r="B44" s="29" t="inlineStr">
        <is>
          <t>All open non-conformities</t>
        </is>
      </c>
      <c r="C44" s="30">
        <f>COUNTIFS('Findings Summary'!C5:C54,"Non-Conformity",'Findings Summary'!L5:L54,"Open")</f>
        <v/>
      </c>
      <c r="D44" s="29" t="inlineStr">
        <is>
          <t>High</t>
        </is>
      </c>
      <c r="E44" s="29" t="inlineStr">
        <is>
          <t>Assign owner and date</t>
        </is>
      </c>
      <c r="F44" s="29" t="n"/>
      <c r="G44" s="29" t="n"/>
    </row>
    <row r="45">
      <c r="A45" s="29" t="inlineStr">
        <is>
          <t>Evidence</t>
        </is>
      </c>
      <c r="B45" s="29" t="inlineStr">
        <is>
          <t>Completed activities with no evidence</t>
        </is>
      </c>
      <c r="C45" s="30">
        <f>COUNTIFS('Review Execution'!G5:G54,"Completed",'Review Execution'!H5:H54,"No")</f>
        <v/>
      </c>
      <c r="D45" s="29" t="inlineStr">
        <is>
          <t>Medium</t>
        </is>
      </c>
      <c r="E45" s="29" t="inlineStr">
        <is>
          <t>Collect evidence</t>
        </is>
      </c>
      <c r="F45" s="29" t="n"/>
      <c r="G45" s="29" t="n"/>
    </row>
    <row r="46">
      <c r="A46" s="31" t="n"/>
      <c r="B46" s="31" t="n"/>
      <c r="C46" s="31" t="n"/>
      <c r="D46" s="31" t="n"/>
      <c r="E46" s="31" t="n"/>
      <c r="F46" s="31" t="n"/>
      <c r="G46" s="31" t="n"/>
    </row>
    <row r="47">
      <c r="A47" s="31" t="n"/>
      <c r="B47" s="31" t="n"/>
      <c r="C47" s="31" t="n"/>
      <c r="D47" s="31" t="n"/>
      <c r="E47" s="31" t="n"/>
      <c r="F47" s="31" t="n"/>
      <c r="G47" s="31" t="n"/>
    </row>
  </sheetData>
  <mergeCells count="5">
    <mergeCell ref="A1:G1"/>
    <mergeCell ref="A12:G12"/>
    <mergeCell ref="A4:G4"/>
    <mergeCell ref="A2:G2"/>
    <mergeCell ref="A37:G3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2" t="inlineStr">
        <is>
          <t>ASSESSMENT APPROVAL AND SIGN-OFF</t>
        </is>
      </c>
      <c r="B1" s="6" t="n"/>
      <c r="C1" s="6" t="n"/>
      <c r="D1" s="6" t="n"/>
      <c r="E1" s="6" t="n"/>
    </row>
    <row r="2">
      <c r="A2" s="33" t="inlineStr">
        <is>
          <t>ISO/IEC 27001:2022 - Control A.5.35: Independent Review of Information Security</t>
        </is>
      </c>
      <c r="B2" s="6" t="n"/>
      <c r="C2" s="6" t="n"/>
      <c r="D2" s="6" t="n"/>
      <c r="E2" s="6" t="n"/>
    </row>
    <row r="3">
      <c r="A3" s="34" t="inlineStr">
        <is>
          <t>ASSESSMENT SUMMARY</t>
        </is>
      </c>
      <c r="B3" s="6" t="n"/>
      <c r="C3" s="6" t="n"/>
      <c r="D3" s="6" t="n"/>
      <c r="E3" s="6" t="n"/>
    </row>
    <row r="4">
      <c r="A4" s="3" t="inlineStr">
        <is>
          <t>Document:</t>
        </is>
      </c>
      <c r="B4" s="6" t="inlineStr">
        <is>
          <t>ISMS-IMP-A.5.35-36.S1 - Independent Review Planning and Tracking</t>
        </is>
      </c>
      <c r="C4" s="6" t="n"/>
      <c r="D4" s="6" t="n"/>
      <c r="E4" s="6" t="n"/>
    </row>
    <row r="5">
      <c r="A5" s="3" t="inlineStr">
        <is>
          <t>Assessment Period:</t>
        </is>
      </c>
      <c r="B5" s="35" t="inlineStr"/>
      <c r="C5" s="6" t="n"/>
      <c r="D5" s="6" t="n"/>
      <c r="E5" s="6" t="n"/>
    </row>
    <row r="6">
      <c r="A6" s="3" t="inlineStr">
        <is>
          <t>Overall Compliance Rating:</t>
        </is>
      </c>
      <c r="B6" s="36">
        <f>IFERROR(AVERAGE('Summary Dashboard'!G6:G9),"")</f>
        <v/>
      </c>
      <c r="C6" s="6" t="n"/>
      <c r="D6" s="6" t="n"/>
      <c r="E6" s="6" t="n"/>
    </row>
    <row r="7">
      <c r="A7" s="3" t="inlineStr">
        <is>
          <t>Assessment Status:</t>
        </is>
      </c>
      <c r="B7" s="35" t="inlineStr"/>
      <c r="C7" s="6" t="n"/>
      <c r="D7" s="6" t="n"/>
      <c r="E7" s="6" t="n"/>
    </row>
    <row r="8">
      <c r="A8" s="3" t="inlineStr">
        <is>
          <t>Assessed By:</t>
        </is>
      </c>
      <c r="B8" s="35" t="inlineStr"/>
      <c r="C8" s="6" t="n"/>
      <c r="D8" s="6" t="n"/>
      <c r="E8" s="6" t="n"/>
    </row>
    <row r="11">
      <c r="A11" s="34" t="inlineStr">
        <is>
          <t>COMPLETED BY (ASSESSOR)</t>
        </is>
      </c>
      <c r="B11" s="6" t="n"/>
      <c r="C11" s="6" t="n"/>
      <c r="D11" s="6" t="n"/>
      <c r="E11" s="6" t="n"/>
    </row>
    <row r="12">
      <c r="A12" s="3" t="inlineStr">
        <is>
          <t>Name:</t>
        </is>
      </c>
      <c r="B12" s="35" t="n"/>
      <c r="C12" s="6" t="n"/>
      <c r="D12" s="6" t="n"/>
      <c r="E12" s="6" t="n"/>
    </row>
    <row r="13">
      <c r="A13" s="3" t="inlineStr">
        <is>
          <t>Title:</t>
        </is>
      </c>
      <c r="B13" s="35" t="n"/>
      <c r="C13" s="6" t="n"/>
      <c r="D13" s="6" t="n"/>
      <c r="E13" s="6" t="n"/>
    </row>
    <row r="14">
      <c r="A14" s="3" t="inlineStr">
        <is>
          <t>Date:</t>
        </is>
      </c>
      <c r="B14" s="35" t="n"/>
      <c r="C14" s="6" t="n"/>
      <c r="D14" s="6" t="n"/>
      <c r="E14" s="6" t="n"/>
    </row>
    <row r="15">
      <c r="A15" s="3" t="inlineStr">
        <is>
          <t>Signature:</t>
        </is>
      </c>
      <c r="B15" s="35" t="n"/>
      <c r="C15" s="6" t="n"/>
      <c r="D15" s="6" t="n"/>
      <c r="E15" s="6" t="n"/>
    </row>
    <row r="16">
      <c r="A16" s="3" t="inlineStr">
        <is>
          <t>Comments:</t>
        </is>
      </c>
      <c r="B16" s="35" t="n"/>
      <c r="C16" s="6" t="n"/>
      <c r="D16" s="6" t="n"/>
      <c r="E16" s="6" t="n"/>
    </row>
    <row r="18">
      <c r="A18" s="34" t="inlineStr">
        <is>
          <t>REVIEWED BY (INFORMATION SECURITY OFFICER)</t>
        </is>
      </c>
      <c r="B18" s="6" t="n"/>
      <c r="C18" s="6" t="n"/>
      <c r="D18" s="6" t="n"/>
      <c r="E18" s="6" t="n"/>
    </row>
    <row r="19">
      <c r="A19" s="3" t="inlineStr">
        <is>
          <t>Name:</t>
        </is>
      </c>
      <c r="B19" s="35" t="n"/>
      <c r="C19" s="6" t="n"/>
      <c r="D19" s="6" t="n"/>
      <c r="E19" s="6" t="n"/>
    </row>
    <row r="20">
      <c r="A20" s="3" t="inlineStr">
        <is>
          <t>Title:</t>
        </is>
      </c>
      <c r="B20" s="35" t="n"/>
      <c r="C20" s="6" t="n"/>
      <c r="D20" s="6" t="n"/>
      <c r="E20" s="6" t="n"/>
    </row>
    <row r="21">
      <c r="A21" s="3" t="inlineStr">
        <is>
          <t>Date:</t>
        </is>
      </c>
      <c r="B21" s="35" t="n"/>
      <c r="C21" s="6" t="n"/>
      <c r="D21" s="6" t="n"/>
      <c r="E21" s="6" t="n"/>
    </row>
    <row r="22">
      <c r="A22" s="3" t="inlineStr">
        <is>
          <t>Signature:</t>
        </is>
      </c>
      <c r="B22" s="35" t="n"/>
      <c r="C22" s="6" t="n"/>
      <c r="D22" s="6" t="n"/>
      <c r="E22" s="6" t="n"/>
    </row>
    <row r="23">
      <c r="A23" s="3" t="inlineStr">
        <is>
          <t>Comments:</t>
        </is>
      </c>
      <c r="B23" s="35" t="n"/>
      <c r="C23" s="6" t="n"/>
      <c r="D23" s="6" t="n"/>
      <c r="E23" s="6" t="n"/>
    </row>
    <row r="25">
      <c r="A25" s="37" t="inlineStr">
        <is>
          <t>APPROVED BY (CISO)</t>
        </is>
      </c>
      <c r="B25" s="6" t="n"/>
      <c r="C25" s="6" t="n"/>
      <c r="D25" s="6" t="n"/>
      <c r="E25" s="6" t="n"/>
    </row>
    <row r="26">
      <c r="A26" s="3" t="inlineStr">
        <is>
          <t>Name:</t>
        </is>
      </c>
      <c r="B26" s="35" t="n"/>
      <c r="C26" s="6" t="n"/>
      <c r="D26" s="6" t="n"/>
      <c r="E26" s="6" t="n"/>
    </row>
    <row r="27">
      <c r="A27" s="3" t="inlineStr">
        <is>
          <t>Title:</t>
        </is>
      </c>
      <c r="B27" s="35" t="n"/>
      <c r="C27" s="6" t="n"/>
      <c r="D27" s="6" t="n"/>
      <c r="E27" s="6" t="n"/>
    </row>
    <row r="28">
      <c r="A28" s="3" t="inlineStr">
        <is>
          <t>Date:</t>
        </is>
      </c>
      <c r="B28" s="35" t="n"/>
      <c r="C28" s="6" t="n"/>
      <c r="D28" s="6" t="n"/>
      <c r="E28" s="6" t="n"/>
    </row>
    <row r="29">
      <c r="A29" s="3" t="inlineStr">
        <is>
          <t>Signature:</t>
        </is>
      </c>
      <c r="B29" s="35" t="n"/>
      <c r="C29" s="6" t="n"/>
      <c r="D29" s="6" t="n"/>
      <c r="E29" s="6" t="n"/>
    </row>
    <row r="30">
      <c r="A30" s="3" t="inlineStr">
        <is>
          <t>Comments:</t>
        </is>
      </c>
      <c r="B30" s="35" t="n"/>
      <c r="C30" s="6" t="n"/>
      <c r="D30" s="6" t="n"/>
      <c r="E30" s="6" t="n"/>
    </row>
    <row r="32">
      <c r="A32" s="3" t="inlineStr">
        <is>
          <t>FINAL DECISION:</t>
        </is>
      </c>
      <c r="B32" s="35" t="n"/>
      <c r="C32" s="6" t="n"/>
      <c r="D32" s="6" t="n"/>
      <c r="E32" s="6" t="n"/>
    </row>
    <row r="35">
      <c r="A35" s="34" t="inlineStr">
        <is>
          <t>NEXT REVIEW DETAILS</t>
        </is>
      </c>
      <c r="B35" s="6" t="n"/>
      <c r="C35" s="6" t="n"/>
      <c r="D35" s="6" t="n"/>
      <c r="E35" s="6" t="n"/>
    </row>
    <row r="36">
      <c r="A36" s="3" t="inlineStr">
        <is>
          <t>Next Review Date:</t>
        </is>
      </c>
      <c r="B36" s="35" t="n"/>
      <c r="C36" s="6" t="n"/>
      <c r="D36" s="6" t="n"/>
      <c r="E36" s="6" t="n"/>
    </row>
    <row r="37">
      <c r="A37" s="3" t="inlineStr">
        <is>
          <t>Review Responsible:</t>
        </is>
      </c>
      <c r="B37" s="35" t="n"/>
      <c r="C37" s="6" t="n"/>
      <c r="D37" s="6" t="n"/>
      <c r="E37" s="6" t="n"/>
    </row>
    <row r="38">
      <c r="A38" s="3" t="inlineStr">
        <is>
          <t>Special Considerations:</t>
        </is>
      </c>
      <c r="B38" s="35"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ISMS-IMP-A.5.35-36.S1 — Independent Review Planning and Tracking</dc:title>
  <dc:description xmlns:dc="http://purl.org/dc/elements/1.1/">ISMS Implementation Workbook — ISMS-IMP-A.5.35-36.S1</dc:description>
  <dc:subject xmlns:dc="http://purl.org/dc/elements/1.1/">ISO/IEC 27001:2022 — Control A.5.35: Independent Review of Information Security</dc:subject>
  <dcterms:created xmlns:dcterms="http://purl.org/dc/terms/" xmlns:xsi="http://www.w3.org/2001/XMLSchema-instance" xsi:type="dcterms:W3CDTF">2026-03-10T18:48:52Z</dcterms:created>
  <dcterms:modified xmlns:dcterms="http://purl.org/dc/terms/" xmlns:xsi="http://www.w3.org/2001/XMLSchema-instance" xsi:type="dcterms:W3CDTF">2026-03-10T18:48:52Z</dcterms:modified>
</cp:coreProperties>
</file>