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turn Process" sheetId="2" state="visible" r:id="rId2"/>
    <sheet xmlns:r="http://schemas.openxmlformats.org/officeDocument/2006/relationships" name="Asset Checklist" sheetId="3" state="visible" r:id="rId3"/>
    <sheet xmlns:r="http://schemas.openxmlformats.org/officeDocument/2006/relationships" name="Offboarding Tracking" sheetId="4" state="visible" r:id="rId4"/>
    <sheet xmlns:r="http://schemas.openxmlformats.org/officeDocument/2006/relationships" name="Access Revocation"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ISMS-IMP-A.5.10-11.S3  -  Asset Return and Offboarding Assessment
ISO/IEC 27001:2022 — Control A.5.11: Return of Assets</t>
        </is>
      </c>
    </row>
    <row r="3">
      <c r="A3" s="2" t="inlineStr">
        <is>
          <t>Document Information</t>
        </is>
      </c>
    </row>
    <row r="4">
      <c r="A4" s="3" t="inlineStr">
        <is>
          <t>Document ID</t>
        </is>
      </c>
      <c r="B4" t="inlineStr">
        <is>
          <t>ISMS-IMP-A.5.10-11.S3</t>
        </is>
      </c>
    </row>
    <row r="5">
      <c r="A5" s="3" t="inlineStr">
        <is>
          <t>Workbook Title</t>
        </is>
      </c>
      <c r="B5" t="inlineStr">
        <is>
          <t>Asset Return and Offboarding Assessment</t>
        </is>
      </c>
    </row>
    <row r="6">
      <c r="A6" s="3" t="inlineStr">
        <is>
          <t>Control Reference</t>
        </is>
      </c>
      <c r="B6" t="inlineStr">
        <is>
          <t>ISO/IEC 27001:2022 — Control A.5.11: Return of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Return Process — document the asset return workflow for departing personnel.</t>
        </is>
      </c>
    </row>
    <row r="14">
      <c r="A14" t="inlineStr">
        <is>
          <t>2. Complete Asset Checklist — verify all assigned assets are listed and tracked for return.</t>
        </is>
      </c>
    </row>
    <row r="15">
      <c r="A15" t="inlineStr">
        <is>
          <t>3. Complete Offboarding Tracking — record asset returns for each leaver.</t>
        </is>
      </c>
    </row>
    <row r="16">
      <c r="A16" t="inlineStr">
        <is>
          <t>4. Complete Access Revocation — confirm access is revoked at or before departure.</t>
        </is>
      </c>
    </row>
    <row r="17">
      <c r="A17" t="inlineStr">
        <is>
          <t>5. Maintain Evidence Records with signed asset return forms and access revocation logs.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4" customWidth="1" min="1" max="1"/>
    <col width="45" customWidth="1" min="2" max="2"/>
    <col width="22" customWidth="1" min="3" max="3"/>
    <col width="14" customWidth="1" min="4" max="4"/>
    <col width="14" customWidth="1" min="5" max="5"/>
    <col width="22" customWidth="1" min="6" max="6"/>
    <col width="12" customWidth="1" min="7" max="7"/>
    <col width="14" customWidth="1" min="8" max="8"/>
    <col width="22" customWidth="1" min="9" max="9"/>
    <col width="35" customWidth="1" min="10" max="10"/>
    <col width="18" customWidth="1" min="11" max="11"/>
  </cols>
  <sheetData>
    <row r="1" ht="35" customHeight="1">
      <c r="A1" s="11" t="inlineStr">
        <is>
          <t>ASSET RETURN PROCESS ASSESSMENT</t>
        </is>
      </c>
    </row>
    <row r="2">
      <c r="A2" s="12" t="inlineStr">
        <is>
          <t>Assess process completeness for ISO 27001:2022 A.5.11 Return of Assets requirements</t>
        </is>
      </c>
    </row>
    <row r="3">
      <c r="A3" s="13" t="inlineStr">
        <is>
          <t>Requirement_ID</t>
        </is>
      </c>
      <c r="B3" s="13" t="inlineStr">
        <is>
          <t>Process_Requirement</t>
        </is>
      </c>
      <c r="C3" s="13" t="inlineStr">
        <is>
          <t>Category</t>
        </is>
      </c>
      <c r="D3" s="13" t="inlineStr">
        <is>
          <t>Implemented</t>
        </is>
      </c>
      <c r="E3" s="13" t="inlineStr">
        <is>
          <t>Documented</t>
        </is>
      </c>
      <c r="F3" s="13" t="inlineStr">
        <is>
          <t>Responsible_Role</t>
        </is>
      </c>
      <c r="G3" s="13" t="inlineStr">
        <is>
          <t>SLA_Days</t>
        </is>
      </c>
      <c r="H3" s="13" t="inlineStr">
        <is>
          <t>Automated</t>
        </is>
      </c>
      <c r="I3" s="13" t="inlineStr">
        <is>
          <t>Gap_Status</t>
        </is>
      </c>
      <c r="J3" s="13" t="inlineStr">
        <is>
          <t>Remediation_Notes</t>
        </is>
      </c>
      <c r="K3" s="13" t="inlineStr">
        <is>
          <t>Evidence_Ref</t>
        </is>
      </c>
    </row>
    <row r="4">
      <c r="A4" s="14" t="inlineStr">
        <is>
          <t>PR-001</t>
        </is>
      </c>
      <c r="B4" s="14" t="inlineStr">
        <is>
          <t>Formal offboarding procedure documented and approved</t>
        </is>
      </c>
      <c r="C4" s="14" t="inlineStr">
        <is>
          <t>Process</t>
        </is>
      </c>
      <c r="D4" s="14" t="inlineStr">
        <is>
          <t>Yes</t>
        </is>
      </c>
      <c r="E4" s="14" t="inlineStr">
        <is>
          <t>Yes</t>
        </is>
      </c>
      <c r="F4" s="14" t="inlineStr">
        <is>
          <t>HR Manager / IT Security</t>
        </is>
      </c>
      <c r="G4" s="14" t="inlineStr">
        <is>
          <t>1</t>
        </is>
      </c>
      <c r="H4" s="14" t="inlineStr">
        <is>
          <t>No</t>
        </is>
      </c>
      <c r="I4" s="14" t="inlineStr">
        <is>
          <t>Compliant</t>
        </is>
      </c>
      <c r="J4" s="14" t="inlineStr">
        <is>
          <t>Procedure reviewed annually</t>
        </is>
      </c>
      <c r="K4" s="14" t="inlineStr">
        <is>
          <t>HR-PROC-001.pdf</t>
        </is>
      </c>
    </row>
    <row r="5">
      <c r="A5" s="15" t="inlineStr">
        <is>
          <t>PR-001</t>
        </is>
      </c>
      <c r="B5" s="15" t="inlineStr">
        <is>
          <t>Formal offboarding procedure documented</t>
        </is>
      </c>
      <c r="C5" s="15" t="inlineStr">
        <is>
          <t>Process</t>
        </is>
      </c>
      <c r="D5" s="16" t="n"/>
      <c r="E5" s="16" t="n"/>
      <c r="F5" s="16" t="n"/>
      <c r="G5" s="16" t="n"/>
      <c r="H5" s="16" t="n"/>
      <c r="I5" s="16" t="n"/>
      <c r="J5" s="16" t="n"/>
      <c r="K5" s="16" t="n"/>
    </row>
    <row r="6">
      <c r="A6" s="15" t="inlineStr">
        <is>
          <t>PR-002</t>
        </is>
      </c>
      <c r="B6" s="15" t="inlineStr">
        <is>
          <t>Asset inventory linked to employee records</t>
        </is>
      </c>
      <c r="C6" s="15" t="inlineStr">
        <is>
          <t>Asset Management</t>
        </is>
      </c>
      <c r="D6" s="16" t="n"/>
      <c r="E6" s="16" t="n"/>
      <c r="F6" s="16" t="n"/>
      <c r="G6" s="16" t="n"/>
      <c r="H6" s="16" t="n"/>
      <c r="I6" s="16" t="n"/>
      <c r="J6" s="16" t="n"/>
      <c r="K6" s="16" t="n"/>
    </row>
    <row r="7">
      <c r="A7" s="15" t="inlineStr">
        <is>
          <t>PR-003</t>
        </is>
      </c>
      <c r="B7" s="15" t="inlineStr">
        <is>
          <t>Return checklist defined for each asset type</t>
        </is>
      </c>
      <c r="C7" s="15" t="inlineStr">
        <is>
          <t>Checklist</t>
        </is>
      </c>
      <c r="D7" s="16" t="n"/>
      <c r="E7" s="16" t="n"/>
      <c r="F7" s="16" t="n"/>
      <c r="G7" s="16" t="n"/>
      <c r="H7" s="16" t="n"/>
      <c r="I7" s="16" t="n"/>
      <c r="J7" s="16" t="n"/>
      <c r="K7" s="16" t="n"/>
    </row>
    <row r="8">
      <c r="A8" s="15" t="inlineStr">
        <is>
          <t>PR-004</t>
        </is>
      </c>
      <c r="B8" s="15" t="inlineStr">
        <is>
          <t>IT notified upon termination/transfer notice</t>
        </is>
      </c>
      <c r="C8" s="15" t="inlineStr">
        <is>
          <t>Communication</t>
        </is>
      </c>
      <c r="D8" s="16" t="n"/>
      <c r="E8" s="16" t="n"/>
      <c r="F8" s="16" t="n"/>
      <c r="G8" s="16" t="n"/>
      <c r="H8" s="16" t="n"/>
      <c r="I8" s="16" t="n"/>
      <c r="J8" s="16" t="n"/>
      <c r="K8" s="16" t="n"/>
    </row>
    <row r="9">
      <c r="A9" s="15" t="inlineStr">
        <is>
          <t>PR-005</t>
        </is>
      </c>
      <c r="B9" s="15" t="inlineStr">
        <is>
          <t>HR/Manager triggers offboarding workflow</t>
        </is>
      </c>
      <c r="C9" s="15" t="inlineStr">
        <is>
          <t>Workflow</t>
        </is>
      </c>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3">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"Yes,Partial,No"</formula1>
    </dataValidation>
    <dataValidation sqref="E5 E6 E7 E8 E9 E10 E11 E12 E13 E14 E15 E16 E17 E18 E19 E20 E21 E22 E23 E24 E25 E26 E27 E28 E29 E30 E31 E32 E33 E34 E35 E36 E37 E38 E39 E40 E41 E42 E43 E44 E45 E46 E47 E48 E49 E50 E51 E52 E53 E54 E55 E56 E57 E58 E59 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 sqref="I5 I6 I7 I8 I9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16" customWidth="1" min="4" max="4"/>
    <col width="25" customWidth="1" min="5" max="5"/>
    <col width="20" customWidth="1" min="6" max="6"/>
    <col width="12" customWidth="1" min="7" max="7"/>
    <col width="18" customWidth="1" min="8" max="8"/>
    <col width="25" customWidth="1" min="9" max="9"/>
    <col width="30" customWidth="1" min="10" max="10"/>
  </cols>
  <sheetData>
    <row r="1" ht="35" customHeight="1">
      <c r="A1" s="11" t="inlineStr">
        <is>
          <t>STANDARD ASSET RETURN CHECKLIST</t>
        </is>
      </c>
    </row>
    <row r="2">
      <c r="A2" s="12" t="inlineStr">
        <is>
          <t>Standard checklist of assets to be returned upon employment termination or transfer</t>
        </is>
      </c>
    </row>
    <row r="3">
      <c r="A3" s="13" t="inlineStr">
        <is>
          <t>Asset_Type</t>
        </is>
      </c>
      <c r="B3" s="13" t="inlineStr">
        <is>
          <t>Description</t>
        </is>
      </c>
      <c r="C3" s="13" t="inlineStr">
        <is>
          <t>Category</t>
        </is>
      </c>
      <c r="D3" s="13" t="inlineStr">
        <is>
          <t>Return_Required</t>
        </is>
      </c>
      <c r="E3" s="13" t="inlineStr">
        <is>
          <t>Verification_Method</t>
        </is>
      </c>
      <c r="F3" s="13" t="inlineStr">
        <is>
          <t>Responsible_Team</t>
        </is>
      </c>
      <c r="G3" s="13" t="inlineStr">
        <is>
          <t>SLA_Days</t>
        </is>
      </c>
      <c r="H3" s="13" t="inlineStr">
        <is>
          <t>Data_Wipe_Required</t>
        </is>
      </c>
      <c r="I3" s="13" t="inlineStr">
        <is>
          <t>Disposal_If_Not_Returned</t>
        </is>
      </c>
      <c r="J3" s="13" t="inlineStr">
        <is>
          <t>Notes</t>
        </is>
      </c>
    </row>
    <row r="4">
      <c r="A4" s="14" t="inlineStr">
        <is>
          <t>Laptop/Desktop</t>
        </is>
      </c>
      <c r="B4" s="14" t="inlineStr">
        <is>
          <t>Company-issued computer — model and serial number from IT inventory</t>
        </is>
      </c>
      <c r="C4" s="14" t="inlineStr">
        <is>
          <t>Hardware</t>
        </is>
      </c>
      <c r="D4" s="14" t="inlineStr">
        <is>
          <t>Yes</t>
        </is>
      </c>
      <c r="E4" s="14" t="inlineStr">
        <is>
          <t>Physical handover receipt</t>
        </is>
      </c>
      <c r="F4" s="14" t="inlineStr">
        <is>
          <t>IT Operations</t>
        </is>
      </c>
      <c r="G4" s="14" t="inlineStr">
        <is>
          <t>1</t>
        </is>
      </c>
      <c r="H4" s="14" t="inlineStr">
        <is>
          <t>Yes</t>
        </is>
      </c>
      <c r="I4" s="14" t="inlineStr">
        <is>
          <t>Secure disposal via IT</t>
        </is>
      </c>
      <c r="J4" s="14" t="inlineStr">
        <is>
          <t>MDM wipe required before return</t>
        </is>
      </c>
    </row>
    <row r="5">
      <c r="A5" s="15" t="inlineStr">
        <is>
          <t>Laptop/Desktop</t>
        </is>
      </c>
      <c r="B5" s="15" t="inlineStr">
        <is>
          <t>Company-issued computer equipment</t>
        </is>
      </c>
      <c r="C5" s="15" t="inlineStr">
        <is>
          <t>Hardware</t>
        </is>
      </c>
      <c r="D5" s="15" t="inlineStr">
        <is>
          <t>Yes</t>
        </is>
      </c>
      <c r="E5" s="16" t="n"/>
      <c r="F5" s="16" t="n"/>
      <c r="G5" s="16" t="n"/>
      <c r="H5" s="16" t="n"/>
      <c r="I5" s="16" t="n"/>
      <c r="J5" s="16" t="n"/>
    </row>
    <row r="6">
      <c r="A6" s="15" t="inlineStr">
        <is>
          <t>Mobile Phone</t>
        </is>
      </c>
      <c r="B6" s="15" t="inlineStr">
        <is>
          <t>Company-issued mobile device</t>
        </is>
      </c>
      <c r="C6" s="15" t="inlineStr">
        <is>
          <t>Hardware</t>
        </is>
      </c>
      <c r="D6" s="15" t="inlineStr">
        <is>
          <t>Yes</t>
        </is>
      </c>
      <c r="E6" s="16" t="n"/>
      <c r="F6" s="16" t="n"/>
      <c r="G6" s="16" t="n"/>
      <c r="H6" s="16" t="n"/>
      <c r="I6" s="16" t="n"/>
      <c r="J6" s="16" t="n"/>
    </row>
    <row r="7">
      <c r="A7" s="15" t="inlineStr">
        <is>
          <t>Tablet</t>
        </is>
      </c>
      <c r="B7" s="15" t="inlineStr">
        <is>
          <t>Company-issued tablet device</t>
        </is>
      </c>
      <c r="C7" s="15" t="inlineStr">
        <is>
          <t>Hardware</t>
        </is>
      </c>
      <c r="D7" s="15" t="inlineStr">
        <is>
          <t>Yes</t>
        </is>
      </c>
      <c r="E7" s="16" t="n"/>
      <c r="F7" s="16" t="n"/>
      <c r="G7" s="16" t="n"/>
      <c r="H7" s="16" t="n"/>
      <c r="I7" s="16" t="n"/>
      <c r="J7" s="16" t="n"/>
    </row>
    <row r="8">
      <c r="A8" s="15" t="inlineStr">
        <is>
          <t>Monitor</t>
        </is>
      </c>
      <c r="B8" s="15" t="inlineStr">
        <is>
          <t>External display equipment</t>
        </is>
      </c>
      <c r="C8" s="15" t="inlineStr">
        <is>
          <t>Hardware</t>
        </is>
      </c>
      <c r="D8" s="15" t="inlineStr">
        <is>
          <t>Yes</t>
        </is>
      </c>
      <c r="E8" s="16" t="n"/>
      <c r="F8" s="16" t="n"/>
      <c r="G8" s="16" t="n"/>
      <c r="H8" s="16" t="n"/>
      <c r="I8" s="16" t="n"/>
      <c r="J8" s="16" t="n"/>
    </row>
    <row r="9">
      <c r="A9" s="15" t="inlineStr">
        <is>
          <t>Docking Station</t>
        </is>
      </c>
      <c r="B9" s="15" t="inlineStr">
        <is>
          <t>Laptop docking equipment</t>
        </is>
      </c>
      <c r="C9" s="15" t="inlineStr">
        <is>
          <t>Hardware</t>
        </is>
      </c>
      <c r="D9" s="15" t="inlineStr">
        <is>
          <t>Yes</t>
        </is>
      </c>
      <c r="E9" s="16" t="n"/>
      <c r="F9" s="16" t="n"/>
      <c r="G9" s="16" t="n"/>
      <c r="H9" s="16" t="n"/>
      <c r="I9" s="16" t="n"/>
      <c r="J9" s="16" t="n"/>
    </row>
    <row r="10">
      <c r="A10" s="15" t="inlineStr">
        <is>
          <t>Keyboard/Mouse</t>
        </is>
      </c>
      <c r="B10" s="15" t="inlineStr">
        <is>
          <t>Input peripherals</t>
        </is>
      </c>
      <c r="C10" s="15" t="inlineStr">
        <is>
          <t>Hardware</t>
        </is>
      </c>
      <c r="D10" s="15" t="inlineStr">
        <is>
          <t>Optional</t>
        </is>
      </c>
      <c r="E10" s="16" t="n"/>
      <c r="F10" s="16" t="n"/>
      <c r="G10" s="16" t="n"/>
      <c r="H10" s="16" t="n"/>
      <c r="I10" s="16" t="n"/>
      <c r="J10" s="16" t="n"/>
    </row>
    <row r="11">
      <c r="A11" s="15" t="inlineStr">
        <is>
          <t>Headset</t>
        </is>
      </c>
      <c r="B11" s="15" t="inlineStr">
        <is>
          <t>Audio communication equipment</t>
        </is>
      </c>
      <c r="C11" s="15" t="inlineStr">
        <is>
          <t>Hardware</t>
        </is>
      </c>
      <c r="D11" s="15" t="inlineStr">
        <is>
          <t>Optional</t>
        </is>
      </c>
      <c r="E11" s="16" t="n"/>
      <c r="F11" s="16" t="n"/>
      <c r="G11" s="16" t="n"/>
      <c r="H11" s="16" t="n"/>
      <c r="I11" s="16" t="n"/>
      <c r="J11" s="16" t="n"/>
    </row>
    <row r="12">
      <c r="A12" s="15" t="inlineStr">
        <is>
          <t>USB Tokens</t>
        </is>
      </c>
      <c r="B12" s="15" t="inlineStr">
        <is>
          <t>Authentication hardware tokens</t>
        </is>
      </c>
      <c r="C12" s="15" t="inlineStr">
        <is>
          <t>Authentication</t>
        </is>
      </c>
      <c r="D12" s="15" t="inlineStr">
        <is>
          <t>Yes</t>
        </is>
      </c>
      <c r="E12" s="16" t="n"/>
      <c r="F12" s="16" t="n"/>
      <c r="G12" s="16" t="n"/>
      <c r="H12" s="16" t="n"/>
      <c r="I12" s="16" t="n"/>
      <c r="J12" s="16" t="n"/>
    </row>
    <row r="13">
      <c r="A13" s="15" t="inlineStr">
        <is>
          <t>Smart Cards</t>
        </is>
      </c>
      <c r="B13" s="15" t="inlineStr">
        <is>
          <t>Physical access/authentication cards</t>
        </is>
      </c>
      <c r="C13" s="15" t="inlineStr">
        <is>
          <t>Authentication</t>
        </is>
      </c>
      <c r="D13" s="15" t="inlineStr">
        <is>
          <t>Yes</t>
        </is>
      </c>
      <c r="E13" s="16" t="n"/>
      <c r="F13" s="16" t="n"/>
      <c r="G13" s="16" t="n"/>
      <c r="H13" s="16" t="n"/>
      <c r="I13" s="16" t="n"/>
      <c r="J13" s="16" t="n"/>
    </row>
    <row r="14">
      <c r="A14" s="15" t="inlineStr">
        <is>
          <t>Physical Keys</t>
        </is>
      </c>
      <c r="B14" s="15" t="inlineStr">
        <is>
          <t>Office/facility keys</t>
        </is>
      </c>
      <c r="C14" s="15" t="inlineStr">
        <is>
          <t>Physical Access</t>
        </is>
      </c>
      <c r="D14" s="15" t="inlineStr">
        <is>
          <t>Yes</t>
        </is>
      </c>
      <c r="E14" s="16" t="n"/>
      <c r="F14" s="16" t="n"/>
      <c r="G14" s="16" t="n"/>
      <c r="H14" s="16" t="n"/>
      <c r="I14" s="16" t="n"/>
      <c r="J14" s="16" t="n"/>
    </row>
    <row r="15">
      <c r="A15" s="15" t="inlineStr">
        <is>
          <t>Access Badges</t>
        </is>
      </c>
      <c r="B15" s="15" t="inlineStr">
        <is>
          <t>Building access cards</t>
        </is>
      </c>
      <c r="C15" s="15" t="inlineStr">
        <is>
          <t>Physical Access</t>
        </is>
      </c>
      <c r="D15" s="15" t="inlineStr">
        <is>
          <t>Yes</t>
        </is>
      </c>
      <c r="E15" s="16" t="n"/>
      <c r="F15" s="16" t="n"/>
      <c r="G15" s="16" t="n"/>
      <c r="H15" s="16" t="n"/>
      <c r="I15" s="16" t="n"/>
      <c r="J15" s="16" t="n"/>
    </row>
    <row r="16">
      <c r="A16" s="15" t="inlineStr">
        <is>
          <t>Corporate Credit Card</t>
        </is>
      </c>
      <c r="B16" s="15" t="inlineStr">
        <is>
          <t>Company payment cards</t>
        </is>
      </c>
      <c r="C16" s="15" t="inlineStr">
        <is>
          <t>Financial</t>
        </is>
      </c>
      <c r="D16" s="15" t="inlineStr">
        <is>
          <t>Yes</t>
        </is>
      </c>
      <c r="E16" s="16" t="n"/>
      <c r="F16" s="16" t="n"/>
      <c r="G16" s="16" t="n"/>
      <c r="H16" s="16" t="n"/>
      <c r="I16" s="16" t="n"/>
      <c r="J16" s="16" t="n"/>
    </row>
    <row r="17">
      <c r="A17" s="15" t="inlineStr">
        <is>
          <t>Vehicle Keys</t>
        </is>
      </c>
      <c r="B17" s="15" t="inlineStr">
        <is>
          <t>Company vehicle access</t>
        </is>
      </c>
      <c r="C17" s="15" t="inlineStr">
        <is>
          <t>Physical</t>
        </is>
      </c>
      <c r="D17" s="15" t="inlineStr">
        <is>
          <t>Yes</t>
        </is>
      </c>
      <c r="E17" s="16" t="n"/>
      <c r="F17" s="16" t="n"/>
      <c r="G17" s="16" t="n"/>
      <c r="H17" s="16" t="n"/>
      <c r="I17" s="16" t="n"/>
      <c r="J17" s="16" t="n"/>
    </row>
    <row r="18">
      <c r="A18" s="15" t="inlineStr">
        <is>
          <t>Software Licenses</t>
        </is>
      </c>
      <c r="B18" s="15" t="inlineStr">
        <is>
          <t>Transferable license media</t>
        </is>
      </c>
      <c r="C18" s="15" t="inlineStr">
        <is>
          <t>Software</t>
        </is>
      </c>
      <c r="D18" s="15" t="inlineStr">
        <is>
          <t>Yes</t>
        </is>
      </c>
      <c r="E18" s="16" t="n"/>
      <c r="F18" s="16" t="n"/>
      <c r="G18" s="16" t="n"/>
      <c r="H18" s="16" t="n"/>
      <c r="I18" s="16" t="n"/>
      <c r="J18" s="16" t="n"/>
    </row>
    <row r="19">
      <c r="A19" s="15" t="inlineStr">
        <is>
          <t>Documentation</t>
        </is>
      </c>
      <c r="B19" s="15" t="inlineStr">
        <is>
          <t>Physical documents, manuals</t>
        </is>
      </c>
      <c r="C19" s="15" t="inlineStr">
        <is>
          <t>Information</t>
        </is>
      </c>
      <c r="D19" s="15" t="inlineStr">
        <is>
          <t>Yes</t>
        </is>
      </c>
      <c r="E19" s="16" t="n"/>
      <c r="F19" s="16" t="n"/>
      <c r="G19" s="16" t="n"/>
      <c r="H19" s="16" t="n"/>
      <c r="I19" s="16" t="n"/>
      <c r="J19" s="16" t="n"/>
    </row>
    <row r="20">
      <c r="A20" s="15" t="inlineStr">
        <is>
          <t>Project Files</t>
        </is>
      </c>
      <c r="B20" s="15" t="inlineStr">
        <is>
          <t>Work product and project data</t>
        </is>
      </c>
      <c r="C20" s="15" t="inlineStr">
        <is>
          <t>Information</t>
        </is>
      </c>
      <c r="D20" s="15" t="inlineStr">
        <is>
          <t>Verify</t>
        </is>
      </c>
      <c r="E20" s="16" t="n"/>
      <c r="F20" s="16" t="n"/>
      <c r="G20" s="16" t="n"/>
      <c r="H20" s="16" t="n"/>
      <c r="I20" s="16" t="n"/>
      <c r="J20" s="16" t="n"/>
    </row>
    <row r="21">
      <c r="A21" s="15" t="inlineStr">
        <is>
          <t>Customer Data</t>
        </is>
      </c>
      <c r="B21" s="15" t="inlineStr">
        <is>
          <t>Client-related information</t>
        </is>
      </c>
      <c r="C21" s="15" t="inlineStr">
        <is>
          <t>Information</t>
        </is>
      </c>
      <c r="D21" s="15" t="inlineStr">
        <is>
          <t>Verify</t>
        </is>
      </c>
      <c r="E21" s="16" t="n"/>
      <c r="F21" s="16" t="n"/>
      <c r="G21" s="16" t="n"/>
      <c r="H21" s="16" t="n"/>
      <c r="I21" s="16" t="n"/>
      <c r="J21" s="16" t="n"/>
    </row>
    <row r="22">
      <c r="A22" s="15" t="inlineStr">
        <is>
          <t>VPN Certificates</t>
        </is>
      </c>
      <c r="B22" s="15" t="inlineStr">
        <is>
          <t>Digital certificates for remote access</t>
        </is>
      </c>
      <c r="C22" s="15" t="inlineStr">
        <is>
          <t>Digital</t>
        </is>
      </c>
      <c r="D22" s="15" t="inlineStr">
        <is>
          <t>Revoke</t>
        </is>
      </c>
      <c r="E22" s="16" t="n"/>
      <c r="F22" s="16" t="n"/>
      <c r="G22" s="16" t="n"/>
      <c r="H22" s="16" t="n"/>
      <c r="I22" s="16" t="n"/>
      <c r="J22" s="16" t="n"/>
    </row>
    <row r="23">
      <c r="A23" s="15" t="inlineStr">
        <is>
          <t>Email Access</t>
        </is>
      </c>
      <c r="B23" s="15" t="inlineStr">
        <is>
          <t>Corporate email account</t>
        </is>
      </c>
      <c r="C23" s="15" t="inlineStr">
        <is>
          <t>Digital</t>
        </is>
      </c>
      <c r="D23" s="15" t="inlineStr">
        <is>
          <t>Disable</t>
        </is>
      </c>
      <c r="E23" s="16" t="n"/>
      <c r="F23" s="16" t="n"/>
      <c r="G23" s="16" t="n"/>
      <c r="H23" s="16" t="n"/>
      <c r="I23" s="16" t="n"/>
      <c r="J23" s="16" t="n"/>
    </row>
    <row r="24">
      <c r="A24" s="15" t="inlineStr">
        <is>
          <t>Cloud Accounts</t>
        </is>
      </c>
      <c r="B24" s="15" t="inlineStr">
        <is>
          <t>SaaS application access</t>
        </is>
      </c>
      <c r="C24" s="15" t="inlineStr">
        <is>
          <t>Digital</t>
        </is>
      </c>
      <c r="D24" s="15" t="inlineStr">
        <is>
          <t>Disable</t>
        </is>
      </c>
      <c r="E24" s="16" t="n"/>
      <c r="F24" s="16" t="n"/>
      <c r="G24" s="16" t="n"/>
      <c r="H24" s="16" t="n"/>
      <c r="I24" s="16" t="n"/>
      <c r="J24" s="16" t="n"/>
    </row>
    <row r="25">
      <c r="A25" s="15" t="inlineStr">
        <is>
          <t>Network Access</t>
        </is>
      </c>
      <c r="B25" s="15" t="inlineStr">
        <is>
          <t>LAN/WiFi authentication</t>
        </is>
      </c>
      <c r="C25" s="15" t="inlineStr">
        <is>
          <t>Digital</t>
        </is>
      </c>
      <c r="D25" s="15" t="inlineStr">
        <is>
          <t>Disable</t>
        </is>
      </c>
      <c r="E25" s="16" t="n"/>
      <c r="F25" s="16" t="n"/>
      <c r="G25" s="16" t="n"/>
      <c r="H25" s="16" t="n"/>
      <c r="I25" s="16" t="n"/>
      <c r="J25" s="16" t="n"/>
    </row>
    <row r="26">
      <c r="A26" s="15" t="inlineStr">
        <is>
          <t>System Accounts</t>
        </is>
      </c>
      <c r="B26" s="15" t="inlineStr">
        <is>
          <t>Application and system logins</t>
        </is>
      </c>
      <c r="C26" s="15" t="inlineStr">
        <is>
          <t>Digital</t>
        </is>
      </c>
      <c r="D26" s="15" t="inlineStr">
        <is>
          <t>Disable</t>
        </is>
      </c>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row r="65">
      <c r="A65" s="16" t="n"/>
      <c r="B65" s="16" t="n"/>
      <c r="C65" s="16" t="n"/>
      <c r="D65" s="16" t="n"/>
      <c r="E65" s="16" t="n"/>
      <c r="F65" s="16" t="n"/>
      <c r="G65" s="16" t="n"/>
      <c r="H65" s="16" t="n"/>
      <c r="I65" s="16" t="n"/>
      <c r="J65" s="16" t="n"/>
    </row>
    <row r="66">
      <c r="A66" s="16" t="n"/>
      <c r="B66" s="16" t="n"/>
      <c r="C66" s="16" t="n"/>
      <c r="D66" s="16" t="n"/>
      <c r="E66" s="16" t="n"/>
      <c r="F66" s="16" t="n"/>
      <c r="G66" s="16" t="n"/>
      <c r="H66" s="16" t="n"/>
      <c r="I66" s="16" t="n"/>
      <c r="J66" s="16" t="n"/>
    </row>
    <row r="67">
      <c r="A67" s="16" t="n"/>
      <c r="B67" s="16" t="n"/>
      <c r="C67" s="16" t="n"/>
      <c r="D67" s="16" t="n"/>
      <c r="E67" s="16" t="n"/>
      <c r="F67" s="16" t="n"/>
      <c r="G67" s="16" t="n"/>
      <c r="H67" s="16" t="n"/>
      <c r="I67" s="16" t="n"/>
      <c r="J67" s="16" t="n"/>
    </row>
    <row r="68">
      <c r="A68" s="16" t="n"/>
      <c r="B68" s="16" t="n"/>
      <c r="C68" s="16" t="n"/>
      <c r="D68" s="16" t="n"/>
      <c r="E68" s="16" t="n"/>
      <c r="F68" s="16" t="n"/>
      <c r="G68" s="16" t="n"/>
      <c r="H68" s="16" t="n"/>
      <c r="I68" s="16" t="n"/>
      <c r="J68" s="16" t="n"/>
    </row>
    <row r="69">
      <c r="A69" s="16" t="n"/>
      <c r="B69" s="16" t="n"/>
      <c r="C69" s="16" t="n"/>
      <c r="D69" s="16" t="n"/>
      <c r="E69" s="16" t="n"/>
      <c r="F69" s="16" t="n"/>
      <c r="G69" s="16" t="n"/>
      <c r="H69" s="16" t="n"/>
      <c r="I69" s="16" t="n"/>
      <c r="J69" s="16" t="n"/>
    </row>
    <row r="70">
      <c r="A70" s="16" t="n"/>
      <c r="B70" s="16" t="n"/>
      <c r="C70" s="16" t="n"/>
      <c r="D70" s="16" t="n"/>
      <c r="E70" s="16" t="n"/>
      <c r="F70" s="16" t="n"/>
      <c r="G70" s="16" t="n"/>
      <c r="H70" s="16" t="n"/>
      <c r="I70" s="16" t="n"/>
      <c r="J70" s="16" t="n"/>
    </row>
    <row r="71">
      <c r="A71" s="16" t="n"/>
      <c r="B71" s="16" t="n"/>
      <c r="C71" s="16" t="n"/>
      <c r="D71" s="16" t="n"/>
      <c r="E71" s="16" t="n"/>
      <c r="F71" s="16" t="n"/>
      <c r="G71" s="16" t="n"/>
      <c r="H71" s="16" t="n"/>
      <c r="I71" s="16" t="n"/>
      <c r="J71" s="16" t="n"/>
    </row>
    <row r="72">
      <c r="A72" s="16" t="n"/>
      <c r="B72" s="16" t="n"/>
      <c r="C72" s="16" t="n"/>
      <c r="D72" s="16" t="n"/>
      <c r="E72" s="16" t="n"/>
      <c r="F72" s="16" t="n"/>
      <c r="G72" s="16" t="n"/>
      <c r="H72" s="16" t="n"/>
      <c r="I72" s="16" t="n"/>
      <c r="J72" s="16" t="n"/>
    </row>
    <row r="73">
      <c r="A73" s="16" t="n"/>
      <c r="B73" s="16" t="n"/>
      <c r="C73" s="16" t="n"/>
      <c r="D73" s="16" t="n"/>
      <c r="E73" s="16" t="n"/>
      <c r="F73" s="16" t="n"/>
      <c r="G73" s="16" t="n"/>
      <c r="H73" s="16" t="n"/>
      <c r="I73" s="16" t="n"/>
      <c r="J73" s="16" t="n"/>
    </row>
    <row r="74">
      <c r="A74" s="16" t="n"/>
      <c r="B74" s="16" t="n"/>
      <c r="C74" s="16" t="n"/>
      <c r="D74" s="16" t="n"/>
      <c r="E74" s="16" t="n"/>
      <c r="F74" s="16" t="n"/>
      <c r="G74" s="16" t="n"/>
      <c r="H74" s="16" t="n"/>
      <c r="I74" s="16" t="n"/>
      <c r="J74" s="16" t="n"/>
    </row>
    <row r="75">
      <c r="A75" s="16" t="n"/>
      <c r="B75" s="16" t="n"/>
      <c r="C75" s="16" t="n"/>
      <c r="D75" s="16" t="n"/>
      <c r="E75" s="16" t="n"/>
      <c r="F75" s="16" t="n"/>
      <c r="G75" s="16" t="n"/>
      <c r="H75" s="16" t="n"/>
      <c r="I75" s="16" t="n"/>
      <c r="J75" s="16" t="n"/>
    </row>
    <row r="76">
      <c r="A76" s="16" t="n"/>
      <c r="B76" s="16" t="n"/>
      <c r="C76" s="16" t="n"/>
      <c r="D76" s="16" t="n"/>
      <c r="E76" s="16" t="n"/>
      <c r="F76" s="16" t="n"/>
      <c r="G76" s="16" t="n"/>
      <c r="H76" s="16" t="n"/>
      <c r="I76" s="16" t="n"/>
      <c r="J76" s="16" t="n"/>
    </row>
  </sheetData>
  <mergeCells count="2">
    <mergeCell ref="A1:J1"/>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"Yes,No,Optional,Verify"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20" customWidth="1" min="3" max="3"/>
    <col width="16" customWidth="1" min="4" max="4"/>
    <col width="16"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30" customWidth="1" min="14" max="14"/>
  </cols>
  <sheetData>
    <row r="1" ht="35" customHeight="1">
      <c r="A1" s="11" t="inlineStr">
        <is>
          <t>OFFBOARDING TRACKING REGISTER</t>
        </is>
      </c>
    </row>
    <row r="2">
      <c r="A2" s="12" t="inlineStr">
        <is>
          <t>Track individual offboarding cases including asset return status and access revocation</t>
        </is>
      </c>
    </row>
    <row r="3">
      <c r="A3" s="13" t="inlineStr">
        <is>
          <t>Offboard_ID</t>
        </is>
      </c>
      <c r="B3" s="13" t="inlineStr">
        <is>
          <t>Employee_Name</t>
        </is>
      </c>
      <c r="C3" s="13" t="inlineStr">
        <is>
          <t>Department</t>
        </is>
      </c>
      <c r="D3" s="13" t="inlineStr">
        <is>
          <t>Employee_Type</t>
        </is>
      </c>
      <c r="E3" s="13" t="inlineStr">
        <is>
          <t>Last_Working_Day</t>
        </is>
      </c>
      <c r="F3" s="13" t="inlineStr">
        <is>
          <t>Offboard_Reason</t>
        </is>
      </c>
      <c r="G3" s="13" t="inlineStr">
        <is>
          <t>Assets_Assigned</t>
        </is>
      </c>
      <c r="H3" s="13" t="inlineStr">
        <is>
          <t>Assets_Returned</t>
        </is>
      </c>
      <c r="I3" s="13" t="inlineStr">
        <is>
          <t>Return_Status</t>
        </is>
      </c>
      <c r="J3" s="13" t="inlineStr">
        <is>
          <t>Access_Revoked</t>
        </is>
      </c>
      <c r="K3" s="13" t="inlineStr">
        <is>
          <t>Data_Wiped</t>
        </is>
      </c>
      <c r="L3" s="13" t="inlineStr">
        <is>
          <t>Sign_Off_Date</t>
        </is>
      </c>
      <c r="M3" s="13" t="inlineStr">
        <is>
          <t>HR_Confirmed</t>
        </is>
      </c>
      <c r="N3" s="13" t="inlineStr">
        <is>
          <t>Notes</t>
        </is>
      </c>
    </row>
    <row r="4">
      <c r="A4" s="14" t="inlineStr">
        <is>
          <t>OB-001</t>
        </is>
      </c>
      <c r="B4" s="14" t="inlineStr">
        <is>
          <t>Jane Smith</t>
        </is>
      </c>
      <c r="C4" s="14" t="inlineStr">
        <is>
          <t>Finance</t>
        </is>
      </c>
      <c r="D4" s="14" t="inlineStr">
        <is>
          <t>Employee</t>
        </is>
      </c>
      <c r="E4" s="14" t="inlineStr">
        <is>
          <t>2026-02-14</t>
        </is>
      </c>
      <c r="F4" s="14" t="inlineStr">
        <is>
          <t>Resignation</t>
        </is>
      </c>
      <c r="G4" s="14" t="inlineStr">
        <is>
          <t>5</t>
        </is>
      </c>
      <c r="H4" s="14" t="inlineStr">
        <is>
          <t>5</t>
        </is>
      </c>
      <c r="I4" s="14" t="inlineStr">
        <is>
          <t>Complete</t>
        </is>
      </c>
      <c r="J4" s="14" t="inlineStr">
        <is>
          <t>Yes</t>
        </is>
      </c>
      <c r="K4" s="14" t="inlineStr">
        <is>
          <t>Yes</t>
        </is>
      </c>
      <c r="L4" s="14" t="inlineStr">
        <is>
          <t>2026-02-15</t>
        </is>
      </c>
      <c r="M4" s="14" t="inlineStr">
        <is>
          <t>Yes</t>
        </is>
      </c>
      <c r="N4" s="14" t="inlineStr">
        <is>
          <t>All assets returned on last day</t>
        </is>
      </c>
    </row>
    <row r="5">
      <c r="A5" s="16" t="n"/>
      <c r="B5" s="16" t="n"/>
      <c r="C5" s="16" t="n"/>
      <c r="D5" s="16" t="n"/>
      <c r="E5" s="16" t="n"/>
      <c r="F5" s="16" t="n"/>
      <c r="G5" s="16" t="n"/>
      <c r="H5" s="16" t="n"/>
      <c r="I5" s="16" t="n"/>
      <c r="J5" s="16" t="n"/>
      <c r="K5" s="16" t="n"/>
      <c r="L5" s="16" t="n"/>
      <c r="M5" s="16" t="n"/>
      <c r="N5" s="16" t="n"/>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"Employee,Contractor,Consultant,Intern,Temp"</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"Resignation,Termination,Contract End,Transfer,Retirement,Other"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"Complete,In Progress,Pending,Overdue"</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"Yes,No,Partial,N/A"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22" customWidth="1" min="3" max="3"/>
    <col width="28" customWidth="1" min="4" max="4"/>
    <col width="16" customWidth="1" min="5" max="5"/>
    <col width="16" customWidth="1" min="6" max="6"/>
    <col width="12" customWidth="1" min="7" max="7"/>
    <col width="22" customWidth="1" min="8" max="8"/>
    <col width="22" customWidth="1" min="9" max="9"/>
    <col width="22" customWidth="1" min="10" max="10"/>
    <col width="16" customWidth="1" min="11" max="11"/>
    <col width="30" customWidth="1" min="12" max="12"/>
  </cols>
  <sheetData>
    <row r="1" ht="35" customHeight="1">
      <c r="A1" s="11" t="inlineStr">
        <is>
          <t>ACCESS REVOCATION VERIFICATION</t>
        </is>
      </c>
    </row>
    <row r="2">
      <c r="A2" s="12" t="inlineStr">
        <is>
          <t>Verify removal of all logical and physical access upon employment termination or transfer</t>
        </is>
      </c>
    </row>
    <row r="3">
      <c r="A3" s="13" t="inlineStr">
        <is>
          <t>Revocation_ID</t>
        </is>
      </c>
      <c r="B3" s="13" t="inlineStr">
        <is>
          <t>Employee_Ref</t>
        </is>
      </c>
      <c r="C3" s="13" t="inlineStr">
        <is>
          <t>Access_Type</t>
        </is>
      </c>
      <c r="D3" s="13" t="inlineStr">
        <is>
          <t>System_Application</t>
        </is>
      </c>
      <c r="E3" s="13" t="inlineStr">
        <is>
          <t>Last_Working_Day</t>
        </is>
      </c>
      <c r="F3" s="13" t="inlineStr">
        <is>
          <t>Revocation_Date</t>
        </is>
      </c>
      <c r="G3" s="13" t="inlineStr">
        <is>
          <t>SLA_Met</t>
        </is>
      </c>
      <c r="H3" s="13" t="inlineStr">
        <is>
          <t>Revoked_By</t>
        </is>
      </c>
      <c r="I3" s="13" t="inlineStr">
        <is>
          <t>Verification_Method</t>
        </is>
      </c>
      <c r="J3" s="13" t="inlineStr">
        <is>
          <t>Verified_By</t>
        </is>
      </c>
      <c r="K3" s="13" t="inlineStr">
        <is>
          <t>Verification_Date</t>
        </is>
      </c>
      <c r="L3" s="13" t="inlineStr">
        <is>
          <t>Notes</t>
        </is>
      </c>
    </row>
    <row r="4">
      <c r="A4" s="14" t="inlineStr">
        <is>
          <t>REV-001</t>
        </is>
      </c>
      <c r="B4" s="14" t="inlineStr">
        <is>
          <t>OB-001</t>
        </is>
      </c>
      <c r="C4" s="14" t="inlineStr">
        <is>
          <t>Network</t>
        </is>
      </c>
      <c r="D4" s="14" t="inlineStr">
        <is>
          <t>Active Directory / Corporate LAN</t>
        </is>
      </c>
      <c r="E4" s="14" t="inlineStr">
        <is>
          <t>2026-02-14</t>
        </is>
      </c>
      <c r="F4" s="14" t="inlineStr">
        <is>
          <t>2026-02-14</t>
        </is>
      </c>
      <c r="G4" s="14" t="inlineStr">
        <is>
          <t>Yes</t>
        </is>
      </c>
      <c r="H4" s="14" t="inlineStr">
        <is>
          <t>IT Operations</t>
        </is>
      </c>
      <c r="I4" s="14" t="inlineStr">
        <is>
          <t>AD Query</t>
        </is>
      </c>
      <c r="J4" s="14" t="inlineStr">
        <is>
          <t>Security Engineer</t>
        </is>
      </c>
      <c r="K4" s="14" t="inlineStr">
        <is>
          <t>2026-02-14</t>
        </is>
      </c>
      <c r="L4" s="14" t="inlineStr">
        <is>
          <t>Account disabled same day</t>
        </is>
      </c>
    </row>
    <row r="5">
      <c r="A5" s="16" t="n"/>
      <c r="B5" s="16" t="n"/>
      <c r="C5" s="16" t="n"/>
      <c r="D5" s="16" t="n"/>
      <c r="E5" s="16" t="n"/>
      <c r="F5" s="16" t="n"/>
      <c r="G5" s="16" t="n"/>
      <c r="H5" s="16" t="n"/>
      <c r="I5" s="16" t="n"/>
      <c r="J5" s="16" t="n"/>
      <c r="K5" s="16" t="n"/>
      <c r="L5" s="16" t="n"/>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sheetData>
  <mergeCells count="2">
    <mergeCell ref="A2:L2"/>
    <mergeCell ref="A1:L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"Network,VPN,Email,Application,Database,Cloud,Physical,Admin"</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"AD Query,System Log,Login Attempt,Screenshot,Attestation"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7" t="inlineStr">
        <is>
          <t>Evidence_ID</t>
        </is>
      </c>
      <c r="B4" s="17" t="inlineStr">
        <is>
          <t>Evidence_Type</t>
        </is>
      </c>
      <c r="C4" s="17" t="inlineStr">
        <is>
          <t>Description</t>
        </is>
      </c>
      <c r="D4" s="17" t="inlineStr">
        <is>
          <t>Related_Offboarding</t>
        </is>
      </c>
      <c r="E4" s="17" t="inlineStr">
        <is>
          <t>Collection_Date</t>
        </is>
      </c>
      <c r="F4" s="17" t="inlineStr">
        <is>
          <t>Location</t>
        </is>
      </c>
      <c r="G4" s="17" t="inlineStr">
        <is>
          <t>Collected_By</t>
        </is>
      </c>
      <c r="H4" s="17" t="inlineStr">
        <is>
          <t>Valid_Until</t>
        </is>
      </c>
    </row>
    <row r="5">
      <c r="A5" s="14" t="inlineStr">
        <is>
          <t>EV-001</t>
        </is>
      </c>
      <c r="B5" s="14" t="inlineStr">
        <is>
          <t>Sign-off Form</t>
        </is>
      </c>
      <c r="C5" s="14" t="inlineStr">
        <is>
          <t>Completed offboarding checklist signed by HR and IT</t>
        </is>
      </c>
      <c r="D5" s="14" t="inlineStr">
        <is>
          <t>OB-001</t>
        </is>
      </c>
      <c r="E5" s="14" t="inlineStr">
        <is>
          <t>2026-02-15</t>
        </is>
      </c>
      <c r="F5" s="14" t="inlineStr">
        <is>
          <t>/hr/offboarding/OB-001-checklist.pdf</t>
        </is>
      </c>
      <c r="G5" s="14" t="inlineStr">
        <is>
          <t>HR Manager</t>
        </is>
      </c>
      <c r="H5" s="14" t="inlineStr">
        <is>
          <t>2031-02-15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"Sign-off Form,AD Export,System Log,Screenshot,Email Confirmation,Attestation,Checklist"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ASSET RETURN AND OFFBOARDING — SUMMARY DASHBOARD</t>
        </is>
      </c>
      <c r="B1" s="6" t="n"/>
      <c r="C1" s="6" t="n"/>
      <c r="D1" s="6" t="n"/>
      <c r="E1" s="6" t="n"/>
      <c r="F1" s="6" t="n"/>
      <c r="G1" s="6" t="n"/>
    </row>
    <row r="2">
      <c r="A2" s="19" t="inlineStr">
        <is>
          <t>ISO/IEC 27001:2022 — Control A.5.11: Return of Assets</t>
        </is>
      </c>
    </row>
    <row r="4" ht="20" customHeight="1">
      <c r="A4" s="20" t="inlineStr">
        <is>
          <t>TABLE 1: ASSESSMENT AREA COMPLIANCE OVERVIEW</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Return Process Requirements</t>
        </is>
      </c>
      <c r="B6" s="23">
        <f>COUNTA('Return Process'!A5:A59)</f>
        <v/>
      </c>
      <c r="C6" s="23">
        <f>COUNTIF('Return Process'!I5:I59,"Compliant")</f>
        <v/>
      </c>
      <c r="D6" s="23">
        <f>COUNTIF('Return Process'!I5:I59,"Remediation In Progress")</f>
        <v/>
      </c>
      <c r="E6" s="23">
        <f>COUNTIF('Return Process'!I5:I59,"Gap Identified")</f>
        <v/>
      </c>
      <c r="F6" s="23">
        <f>0</f>
        <v/>
      </c>
      <c r="G6" s="24">
        <f>IFERROR(IF((B6-F6)=0,0,C6/(B6-F6)),"")</f>
        <v/>
      </c>
    </row>
    <row r="7">
      <c r="A7" s="22" t="inlineStr">
        <is>
          <t>Offboarding Cases</t>
        </is>
      </c>
      <c r="B7" s="23">
        <f>COUNTA('Offboarding Tracking'!B5:B54)</f>
        <v/>
      </c>
      <c r="C7" s="23">
        <f>COUNTIF('Offboarding Tracking'!I5:I54,"Complete")</f>
        <v/>
      </c>
      <c r="D7" s="23">
        <f>COUNTIF('Offboarding Tracking'!I5:I54,"In Progress")+COUNTIF('Offboarding Tracking'!I5:I54,"Pending")</f>
        <v/>
      </c>
      <c r="E7" s="23">
        <f>COUNTIF('Offboarding Tracking'!I5:I54,"Overdue")</f>
        <v/>
      </c>
      <c r="F7" s="23">
        <f>0</f>
        <v/>
      </c>
      <c r="G7" s="24">
        <f>IFERROR(IF((B7-F7)=0,0,C7/(B7-F7)),"")</f>
        <v/>
      </c>
    </row>
    <row r="8">
      <c r="A8" s="22" t="inlineStr">
        <is>
          <t>Access Revocations Verified</t>
        </is>
      </c>
      <c r="B8" s="23">
        <f>COUNTA('Access Revocation'!B5:B54)</f>
        <v/>
      </c>
      <c r="C8" s="23">
        <f>COUNTIF('Access Revocation'!G5:G54,"Yes")</f>
        <v/>
      </c>
      <c r="D8" s="23">
        <f>0</f>
        <v/>
      </c>
      <c r="E8" s="23">
        <f>COUNTIF('Access Revocation'!G5:G54,"No")</f>
        <v/>
      </c>
      <c r="F8" s="23">
        <f>0</f>
        <v/>
      </c>
      <c r="G8" s="24">
        <f>IFERROR(IF((B8-F8)=0,0,C8/(B8-F8)),"")</f>
        <v/>
      </c>
    </row>
    <row r="9">
      <c r="A9" s="25" t="inlineStr">
        <is>
          <t>TOTAL</t>
        </is>
      </c>
      <c r="B9" s="26">
        <f>SUM(B6:B8)</f>
        <v/>
      </c>
      <c r="C9" s="26">
        <f>SUM(C6:C8)</f>
        <v/>
      </c>
      <c r="D9" s="26">
        <f>SUM(D6:D8)</f>
        <v/>
      </c>
      <c r="E9" s="26">
        <f>SUM(E6:E8)</f>
        <v/>
      </c>
      <c r="F9" s="26">
        <f>SUM(F6:F8)</f>
        <v/>
      </c>
      <c r="G9" s="27">
        <f>IFERROR(IF((B9-F9)=0,0,C9/(B9-F9)),"")</f>
        <v/>
      </c>
    </row>
    <row r="11" ht="20" customHeight="1">
      <c r="A11" s="20" t="inlineStr">
        <is>
          <t>TABLE 2: KEY METRICS AND KPIs</t>
        </is>
      </c>
    </row>
    <row r="12">
      <c r="A12" s="26" t="inlineStr">
        <is>
          <t>Metric</t>
        </is>
      </c>
      <c r="B12" s="26" t="inlineStr">
        <is>
          <t>Value</t>
        </is>
      </c>
      <c r="C12" s="26" t="n"/>
      <c r="D12" s="26" t="n"/>
      <c r="E12" s="26" t="n"/>
      <c r="F12" s="26" t="n"/>
      <c r="G12" s="26" t="n"/>
    </row>
    <row r="13">
      <c r="A13" s="22" t="inlineStr">
        <is>
          <t>Total Process Requirements Assessed</t>
        </is>
      </c>
      <c r="B13" s="23">
        <f>COUNTA('Return Process'!A5:A59)</f>
        <v/>
      </c>
      <c r="C13" s="6" t="n"/>
      <c r="D13" s="6" t="n"/>
      <c r="E13" s="6" t="n"/>
      <c r="F13" s="6" t="n"/>
      <c r="G13" s="6" t="n"/>
    </row>
    <row r="14">
      <c r="A14" s="22" t="inlineStr">
        <is>
          <t>Process Requirements Implemented (Yes)</t>
        </is>
      </c>
      <c r="B14" s="23">
        <f>COUNTIF('Return Process'!D5:D59,"Yes")</f>
        <v/>
      </c>
      <c r="C14" s="6" t="n"/>
      <c r="D14" s="6" t="n"/>
      <c r="E14" s="6" t="n"/>
      <c r="F14" s="6" t="n"/>
      <c r="G14" s="6" t="n"/>
    </row>
    <row r="15">
      <c r="A15" s="22" t="inlineStr">
        <is>
          <t>Process Requirements Documented</t>
        </is>
      </c>
      <c r="B15" s="23">
        <f>COUNTIF('Return Process'!E5:E59,"Yes")</f>
        <v/>
      </c>
      <c r="C15" s="6" t="n"/>
      <c r="D15" s="6" t="n"/>
      <c r="E15" s="6" t="n"/>
      <c r="F15" s="6" t="n"/>
      <c r="G15" s="6" t="n"/>
    </row>
    <row r="16">
      <c r="A16" s="22" t="inlineStr">
        <is>
          <t>Process Requirements Automated</t>
        </is>
      </c>
      <c r="B16" s="23">
        <f>COUNTIF('Return Process'!H5:H59,"Yes")</f>
        <v/>
      </c>
      <c r="C16" s="6" t="n"/>
      <c r="D16" s="6" t="n"/>
      <c r="E16" s="6" t="n"/>
      <c r="F16" s="6" t="n"/>
      <c r="G16" s="6" t="n"/>
    </row>
    <row r="17">
      <c r="A17" s="22" t="inlineStr">
        <is>
          <t>Total Offboarding Cases Tracked</t>
        </is>
      </c>
      <c r="B17" s="23">
        <f>COUNTA('Offboarding Tracking'!B5:B54)</f>
        <v/>
      </c>
      <c r="C17" s="6" t="n"/>
      <c r="D17" s="6" t="n"/>
      <c r="E17" s="6" t="n"/>
      <c r="F17" s="6" t="n"/>
      <c r="G17" s="6" t="n"/>
    </row>
    <row r="18">
      <c r="A18" s="22" t="inlineStr">
        <is>
          <t>Offboardings Completed</t>
        </is>
      </c>
      <c r="B18" s="23">
        <f>COUNTIF('Offboarding Tracking'!I5:I54,"Complete")</f>
        <v/>
      </c>
      <c r="C18" s="6" t="n"/>
      <c r="D18" s="6" t="n"/>
      <c r="E18" s="6" t="n"/>
      <c r="F18" s="6" t="n"/>
      <c r="G18" s="6" t="n"/>
    </row>
    <row r="19">
      <c r="A19" s="22" t="inlineStr">
        <is>
          <t>Offboardings In Progress</t>
        </is>
      </c>
      <c r="B19" s="23">
        <f>COUNTIF('Offboarding Tracking'!I5:I54,"In Progress")</f>
        <v/>
      </c>
      <c r="C19" s="6" t="n"/>
      <c r="D19" s="6" t="n"/>
      <c r="E19" s="6" t="n"/>
      <c r="F19" s="6" t="n"/>
      <c r="G19" s="6" t="n"/>
    </row>
    <row r="20">
      <c r="A20" s="22" t="inlineStr">
        <is>
          <t>Offboardings Pending</t>
        </is>
      </c>
      <c r="B20" s="23">
        <f>COUNTIF('Offboarding Tracking'!I5:I54,"Pending")</f>
        <v/>
      </c>
      <c r="C20" s="6" t="n"/>
      <c r="D20" s="6" t="n"/>
      <c r="E20" s="6" t="n"/>
      <c r="F20" s="6" t="n"/>
      <c r="G20" s="6" t="n"/>
    </row>
    <row r="21">
      <c r="A21" s="22" t="inlineStr">
        <is>
          <t>Offboardings Overdue</t>
        </is>
      </c>
      <c r="B21" s="23">
        <f>COUNTIF('Offboarding Tracking'!I5:I54,"Overdue")</f>
        <v/>
      </c>
      <c r="C21" s="6" t="n"/>
      <c r="D21" s="6" t="n"/>
      <c r="E21" s="6" t="n"/>
      <c r="F21" s="6" t="n"/>
      <c r="G21" s="6" t="n"/>
    </row>
    <row r="22">
      <c r="A22" s="22" t="inlineStr">
        <is>
          <t>Access Confirmed Revoked</t>
        </is>
      </c>
      <c r="B22" s="23">
        <f>COUNTIF('Offboarding Tracking'!J5:J54,"Yes")</f>
        <v/>
      </c>
      <c r="C22" s="6" t="n"/>
      <c r="D22" s="6" t="n"/>
      <c r="E22" s="6" t="n"/>
      <c r="F22" s="6" t="n"/>
      <c r="G22" s="6" t="n"/>
    </row>
    <row r="23">
      <c r="A23" s="22" t="inlineStr">
        <is>
          <t>Data Wipe Confirmed</t>
        </is>
      </c>
      <c r="B23" s="23">
        <f>COUNTIF('Offboarding Tracking'!K5:K54,"Yes")</f>
        <v/>
      </c>
      <c r="C23" s="6" t="n"/>
      <c r="D23" s="6" t="n"/>
      <c r="E23" s="6" t="n"/>
      <c r="F23" s="6" t="n"/>
      <c r="G23" s="6" t="n"/>
    </row>
    <row r="24">
      <c r="A24" s="22" t="inlineStr">
        <is>
          <t>Total Access Revocations Verified</t>
        </is>
      </c>
      <c r="B24" s="23">
        <f>COUNTA('Access Revocation'!B5:B54)</f>
        <v/>
      </c>
      <c r="C24" s="6" t="n"/>
      <c r="D24" s="6" t="n"/>
      <c r="E24" s="6" t="n"/>
      <c r="F24" s="6" t="n"/>
      <c r="G24" s="6" t="n"/>
    </row>
    <row r="25">
      <c r="A25" s="22" t="inlineStr">
        <is>
          <t>Revocations Meeting SLA</t>
        </is>
      </c>
      <c r="B25" s="23">
        <f>COUNTIF('Access Revocation'!G5:G54,"Yes")</f>
        <v/>
      </c>
      <c r="C25" s="6" t="n"/>
      <c r="D25" s="6" t="n"/>
      <c r="E25" s="6" t="n"/>
      <c r="F25" s="6" t="n"/>
      <c r="G25" s="6" t="n"/>
    </row>
    <row r="26">
      <c r="A26" s="22" t="inlineStr">
        <is>
          <t>Revocations Breaching SLA</t>
        </is>
      </c>
      <c r="B26" s="23">
        <f>COUNTIF('Access Revocation'!G5:G54,"No")</f>
        <v/>
      </c>
      <c r="C26" s="6" t="n"/>
      <c r="D26" s="6" t="n"/>
      <c r="E26" s="6" t="n"/>
      <c r="F26" s="6" t="n"/>
      <c r="G26" s="6" t="n"/>
    </row>
    <row r="27">
      <c r="A27" s="22" t="inlineStr">
        <is>
          <t>Asset Types in Standard Checklist</t>
        </is>
      </c>
      <c r="B27" s="23">
        <f>COUNTA('Asset Checklist'!A5:A76)</f>
        <v/>
      </c>
      <c r="C27" s="6" t="n"/>
      <c r="D27" s="6" t="n"/>
      <c r="E27" s="6" t="n"/>
      <c r="F27" s="6" t="n"/>
      <c r="G27" s="6" t="n"/>
    </row>
    <row r="28">
      <c r="A28" s="22" t="inlineStr">
        <is>
          <t>Asset Types Requiring Return</t>
        </is>
      </c>
      <c r="B28" s="23">
        <f>COUNTIF('Asset Checklist'!D5:D76,"Yes")</f>
        <v/>
      </c>
      <c r="C28" s="6" t="n"/>
      <c r="D28" s="6" t="n"/>
      <c r="E28" s="6" t="n"/>
      <c r="F28" s="6" t="n"/>
      <c r="G28" s="6" t="n"/>
    </row>
    <row r="29">
      <c r="A29" s="22" t="inlineStr">
        <is>
          <t>Asset Types Requiring Data Wipe</t>
        </is>
      </c>
      <c r="B29" s="23">
        <f>COUNTIF('Asset Checklist'!H5:H76,"Yes")</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28" t="inlineStr">
        <is>
          <t>TABLE 3: CRITICAL FINDINGS REQUIRING IMMEDIATE ATTENTION</t>
        </is>
      </c>
    </row>
    <row r="34">
      <c r="A34" s="26" t="inlineStr">
        <is>
          <t>Category</t>
        </is>
      </c>
      <c r="B34" s="26" t="inlineStr">
        <is>
          <t>Finding</t>
        </is>
      </c>
      <c r="C34" s="26" t="inlineStr">
        <is>
          <t>Count</t>
        </is>
      </c>
      <c r="D34" s="26" t="inlineStr">
        <is>
          <t>Severity</t>
        </is>
      </c>
      <c r="E34" s="26" t="inlineStr">
        <is>
          <t>Action Required</t>
        </is>
      </c>
      <c r="F34" s="26" t="n"/>
      <c r="G34" s="26" t="n"/>
    </row>
    <row r="35">
      <c r="A35" s="29" t="inlineStr">
        <is>
          <t>Asset Return</t>
        </is>
      </c>
      <c r="B35" s="29" t="inlineStr">
        <is>
          <t>Offboarding cases overdue (assets not returned)</t>
        </is>
      </c>
      <c r="C35" s="30">
        <f>COUNTIF('Offboarding Tracking'!I5:I54,"Overdue")</f>
        <v/>
      </c>
      <c r="D35" s="29" t="inlineStr">
        <is>
          <t>Critical</t>
        </is>
      </c>
      <c r="E35" s="29" t="inlineStr">
        <is>
          <t>Immediate follow-up</t>
        </is>
      </c>
      <c r="F35" s="29" t="n"/>
      <c r="G35" s="29" t="n"/>
    </row>
    <row r="36">
      <c r="A36" s="29" t="inlineStr">
        <is>
          <t>Access Revocation</t>
        </is>
      </c>
      <c r="B36" s="29" t="inlineStr">
        <is>
          <t>Access revocations breaching SLA</t>
        </is>
      </c>
      <c r="C36" s="30">
        <f>COUNTIF('Access Revocation'!G5:G54,"No")</f>
        <v/>
      </c>
      <c r="D36" s="29" t="inlineStr">
        <is>
          <t>Critical</t>
        </is>
      </c>
      <c r="E36" s="29" t="inlineStr">
        <is>
          <t>Escalate to IT Security</t>
        </is>
      </c>
      <c r="F36" s="29" t="n"/>
      <c r="G36" s="29" t="n"/>
    </row>
    <row r="37">
      <c r="A37" s="29" t="inlineStr">
        <is>
          <t>Return Process</t>
        </is>
      </c>
      <c r="B37" s="29" t="inlineStr">
        <is>
          <t>Process requirements with gaps</t>
        </is>
      </c>
      <c r="C37" s="30">
        <f>COUNTIF('Return Process'!I5:I59,"Gap Identified")</f>
        <v/>
      </c>
      <c r="D37" s="29" t="inlineStr">
        <is>
          <t>Critical</t>
        </is>
      </c>
      <c r="E37" s="29" t="inlineStr">
        <is>
          <t>Implement process gaps</t>
        </is>
      </c>
      <c r="F37" s="29" t="n"/>
      <c r="G37" s="29" t="n"/>
    </row>
    <row r="38">
      <c r="A38" s="29" t="inlineStr">
        <is>
          <t>Asset Return</t>
        </is>
      </c>
      <c r="B38" s="29" t="inlineStr">
        <is>
          <t>Offboarding cases still pending</t>
        </is>
      </c>
      <c r="C38" s="30">
        <f>COUNTIF('Offboarding Tracking'!I5:I54,"Pending")</f>
        <v/>
      </c>
      <c r="D38" s="29" t="inlineStr">
        <is>
          <t>High</t>
        </is>
      </c>
      <c r="E38" s="29" t="inlineStr">
        <is>
          <t>Expedite completion</t>
        </is>
      </c>
      <c r="F38" s="29" t="n"/>
      <c r="G38" s="29" t="n"/>
    </row>
    <row r="39">
      <c r="A39" s="29" t="inlineStr">
        <is>
          <t>Asset Return</t>
        </is>
      </c>
      <c r="B39" s="29" t="inlineStr">
        <is>
          <t>Cases where access not confirmed revoked</t>
        </is>
      </c>
      <c r="C39" s="30">
        <f>COUNTIF('Offboarding Tracking'!J5:J54,"No")</f>
        <v/>
      </c>
      <c r="D39" s="29" t="inlineStr">
        <is>
          <t>High</t>
        </is>
      </c>
      <c r="E39" s="29" t="inlineStr">
        <is>
          <t>Verify access removal</t>
        </is>
      </c>
      <c r="F39" s="29" t="n"/>
      <c r="G39" s="29" t="n"/>
    </row>
    <row r="40">
      <c r="A40" s="29" t="inlineStr">
        <is>
          <t>Asset Return</t>
        </is>
      </c>
      <c r="B40" s="29" t="inlineStr">
        <is>
          <t>Cases where data wipe not confirmed</t>
        </is>
      </c>
      <c r="C40" s="30">
        <f>COUNTIF('Offboarding Tracking'!K5:K54,"No")</f>
        <v/>
      </c>
      <c r="D40" s="29" t="inlineStr">
        <is>
          <t>High</t>
        </is>
      </c>
      <c r="E40" s="29" t="inlineStr">
        <is>
          <t>Complete data sanitisation</t>
        </is>
      </c>
      <c r="F40" s="29" t="n"/>
      <c r="G40" s="29" t="n"/>
    </row>
    <row r="41">
      <c r="A41" s="29" t="inlineStr">
        <is>
          <t>Return Process</t>
        </is>
      </c>
      <c r="B41" s="29" t="inlineStr">
        <is>
          <t>Process requirements in remediation</t>
        </is>
      </c>
      <c r="C41" s="30">
        <f>COUNTIF('Return Process'!I5:I59,"Remediation In Progress")</f>
        <v/>
      </c>
      <c r="D41" s="29" t="inlineStr">
        <is>
          <t>Medium</t>
        </is>
      </c>
      <c r="E41" s="29" t="inlineStr">
        <is>
          <t>Track to completion</t>
        </is>
      </c>
      <c r="F41" s="29" t="n"/>
      <c r="G41" s="29" t="n"/>
    </row>
    <row r="42">
      <c r="A42" s="31" t="n"/>
      <c r="B42" s="31" t="n"/>
      <c r="C42" s="31" t="n"/>
      <c r="D42" s="31" t="n"/>
      <c r="E42" s="31" t="n"/>
      <c r="F42" s="31" t="n"/>
      <c r="G42" s="31" t="n"/>
    </row>
    <row r="43">
      <c r="A43" s="31" t="n"/>
      <c r="B43" s="31" t="n"/>
      <c r="C43" s="31" t="n"/>
      <c r="D43" s="31" t="n"/>
      <c r="E43" s="31" t="n"/>
      <c r="F43" s="31" t="n"/>
      <c r="G43" s="31" t="n"/>
    </row>
  </sheetData>
  <mergeCells count="5">
    <mergeCell ref="A1:G1"/>
    <mergeCell ref="A4:G4"/>
    <mergeCell ref="A2:G2"/>
    <mergeCell ref="A33:G33"/>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A.5.11: Return of Assets</t>
        </is>
      </c>
      <c r="B2" s="6" t="n"/>
      <c r="C2" s="6" t="n"/>
      <c r="D2" s="6" t="n"/>
      <c r="E2" s="6" t="n"/>
    </row>
    <row r="3">
      <c r="A3" s="34" t="inlineStr">
        <is>
          <t>ASSESSMENT SUMMARY</t>
        </is>
      </c>
      <c r="B3" s="6" t="n"/>
      <c r="C3" s="6" t="n"/>
      <c r="D3" s="6" t="n"/>
      <c r="E3" s="6" t="n"/>
    </row>
    <row r="4">
      <c r="A4" s="3" t="inlineStr">
        <is>
          <t>Document:</t>
        </is>
      </c>
      <c r="B4" s="6" t="inlineStr">
        <is>
          <t>ISMS-IMP-A.5.10-11.S3 - Asset Return and Offboarding Assessment</t>
        </is>
      </c>
      <c r="C4" s="6" t="n"/>
      <c r="D4" s="6" t="n"/>
      <c r="E4" s="6" t="n"/>
    </row>
    <row r="5">
      <c r="A5" s="3" t="inlineStr">
        <is>
          <t>Assessment Period:</t>
        </is>
      </c>
      <c r="B5" s="31" t="inlineStr"/>
      <c r="C5" s="6" t="n"/>
      <c r="D5" s="6" t="n"/>
      <c r="E5" s="6" t="n"/>
    </row>
    <row r="6">
      <c r="A6" s="3" t="inlineStr">
        <is>
          <t>Overall Compliance Rating:</t>
        </is>
      </c>
      <c r="B6" s="35">
        <f>IFERROR(AVERAGE('Summary Dashboard'!G6:G8),"")</f>
        <v/>
      </c>
      <c r="C6" s="6" t="n"/>
      <c r="D6" s="6" t="n"/>
      <c r="E6" s="6" t="n"/>
    </row>
    <row r="7">
      <c r="A7" s="3" t="inlineStr">
        <is>
          <t>Assessment Status:</t>
        </is>
      </c>
      <c r="B7" s="31" t="inlineStr"/>
      <c r="C7" s="6" t="n"/>
      <c r="D7" s="6" t="n"/>
      <c r="E7" s="6" t="n"/>
    </row>
    <row r="8">
      <c r="A8" s="3" t="inlineStr">
        <is>
          <t>Assessed By:</t>
        </is>
      </c>
      <c r="B8" s="31" t="inlineStr"/>
      <c r="C8" s="6" t="n"/>
      <c r="D8" s="6" t="n"/>
      <c r="E8" s="6" t="n"/>
    </row>
    <row r="11">
      <c r="A11" s="34" t="inlineStr">
        <is>
          <t>COMPLETED BY (ASSESSOR)</t>
        </is>
      </c>
      <c r="B11" s="6" t="n"/>
      <c r="C11" s="6" t="n"/>
      <c r="D11" s="6" t="n"/>
      <c r="E11" s="6" t="n"/>
    </row>
    <row r="12">
      <c r="A12" s="3" t="inlineStr">
        <is>
          <t>Name:</t>
        </is>
      </c>
      <c r="B12" s="31" t="n"/>
      <c r="C12" s="6" t="n"/>
      <c r="D12" s="6" t="n"/>
      <c r="E12" s="6" t="n"/>
    </row>
    <row r="13">
      <c r="A13" s="3" t="inlineStr">
        <is>
          <t>Title:</t>
        </is>
      </c>
      <c r="B13" s="31" t="n"/>
      <c r="C13" s="6" t="n"/>
      <c r="D13" s="6" t="n"/>
      <c r="E13" s="6" t="n"/>
    </row>
    <row r="14">
      <c r="A14" s="3" t="inlineStr">
        <is>
          <t>Date:</t>
        </is>
      </c>
      <c r="B14" s="31" t="n"/>
      <c r="C14" s="6" t="n"/>
      <c r="D14" s="6" t="n"/>
      <c r="E14" s="6" t="n"/>
    </row>
    <row r="15">
      <c r="A15" s="3" t="inlineStr">
        <is>
          <t>Signature:</t>
        </is>
      </c>
      <c r="B15" s="31" t="n"/>
      <c r="C15" s="6" t="n"/>
      <c r="D15" s="6" t="n"/>
      <c r="E15" s="6" t="n"/>
    </row>
    <row r="16">
      <c r="A16" s="3" t="inlineStr">
        <is>
          <t>Comments:</t>
        </is>
      </c>
      <c r="B16" s="31" t="n"/>
      <c r="C16" s="6" t="n"/>
      <c r="D16" s="6" t="n"/>
      <c r="E16" s="6" t="n"/>
    </row>
    <row r="18">
      <c r="A18" s="34" t="inlineStr">
        <is>
          <t>REVIEWED BY (INFORMATION SECURITY OFFICER)</t>
        </is>
      </c>
      <c r="B18" s="6" t="n"/>
      <c r="C18" s="6" t="n"/>
      <c r="D18" s="6" t="n"/>
      <c r="E18" s="6" t="n"/>
    </row>
    <row r="19">
      <c r="A19" s="3" t="inlineStr">
        <is>
          <t>Name:</t>
        </is>
      </c>
      <c r="B19" s="31" t="n"/>
      <c r="C19" s="6" t="n"/>
      <c r="D19" s="6" t="n"/>
      <c r="E19" s="6" t="n"/>
    </row>
    <row r="20">
      <c r="A20" s="3" t="inlineStr">
        <is>
          <t>Title:</t>
        </is>
      </c>
      <c r="B20" s="31" t="n"/>
      <c r="C20" s="6" t="n"/>
      <c r="D20" s="6" t="n"/>
      <c r="E20" s="6" t="n"/>
    </row>
    <row r="21">
      <c r="A21" s="3" t="inlineStr">
        <is>
          <t>Date:</t>
        </is>
      </c>
      <c r="B21" s="31" t="n"/>
      <c r="C21" s="6" t="n"/>
      <c r="D21" s="6" t="n"/>
      <c r="E21" s="6" t="n"/>
    </row>
    <row r="22">
      <c r="A22" s="3" t="inlineStr">
        <is>
          <t>Signature:</t>
        </is>
      </c>
      <c r="B22" s="31" t="n"/>
      <c r="C22" s="6" t="n"/>
      <c r="D22" s="6" t="n"/>
      <c r="E22" s="6" t="n"/>
    </row>
    <row r="23">
      <c r="A23" s="3" t="inlineStr">
        <is>
          <t>Comments:</t>
        </is>
      </c>
      <c r="B23" s="31" t="n"/>
      <c r="C23" s="6" t="n"/>
      <c r="D23" s="6" t="n"/>
      <c r="E23" s="6" t="n"/>
    </row>
    <row r="25">
      <c r="A25" s="36" t="inlineStr">
        <is>
          <t>APPROVED BY (CISO)</t>
        </is>
      </c>
      <c r="B25" s="6" t="n"/>
      <c r="C25" s="6" t="n"/>
      <c r="D25" s="6" t="n"/>
      <c r="E25" s="6" t="n"/>
    </row>
    <row r="26">
      <c r="A26" s="3" t="inlineStr">
        <is>
          <t>Name:</t>
        </is>
      </c>
      <c r="B26" s="31" t="n"/>
      <c r="C26" s="6" t="n"/>
      <c r="D26" s="6" t="n"/>
      <c r="E26" s="6" t="n"/>
    </row>
    <row r="27">
      <c r="A27" s="3" t="inlineStr">
        <is>
          <t>Title:</t>
        </is>
      </c>
      <c r="B27" s="31" t="n"/>
      <c r="C27" s="6" t="n"/>
      <c r="D27" s="6" t="n"/>
      <c r="E27" s="6" t="n"/>
    </row>
    <row r="28">
      <c r="A28" s="3" t="inlineStr">
        <is>
          <t>Date:</t>
        </is>
      </c>
      <c r="B28" s="31" t="n"/>
      <c r="C28" s="6" t="n"/>
      <c r="D28" s="6" t="n"/>
      <c r="E28" s="6" t="n"/>
    </row>
    <row r="29">
      <c r="A29" s="3" t="inlineStr">
        <is>
          <t>Signature:</t>
        </is>
      </c>
      <c r="B29" s="31" t="n"/>
      <c r="C29" s="6" t="n"/>
      <c r="D29" s="6" t="n"/>
      <c r="E29" s="6" t="n"/>
    </row>
    <row r="30">
      <c r="A30" s="3" t="inlineStr">
        <is>
          <t>Comments:</t>
        </is>
      </c>
      <c r="B30" s="31" t="n"/>
      <c r="C30" s="6" t="n"/>
      <c r="D30" s="6" t="n"/>
      <c r="E30" s="6" t="n"/>
    </row>
    <row r="32">
      <c r="A32" s="3" t="inlineStr">
        <is>
          <t>FINAL DECISION:</t>
        </is>
      </c>
      <c r="B32" s="31" t="n"/>
      <c r="C32" s="6" t="n"/>
      <c r="D32" s="6" t="n"/>
      <c r="E32" s="6" t="n"/>
    </row>
    <row r="35">
      <c r="A35" s="34" t="inlineStr">
        <is>
          <t>NEXT REVIEW DETAILS</t>
        </is>
      </c>
      <c r="B35" s="6" t="n"/>
      <c r="C35" s="6" t="n"/>
      <c r="D35" s="6" t="n"/>
      <c r="E35" s="6" t="n"/>
    </row>
    <row r="36">
      <c r="A36" s="3" t="inlineStr">
        <is>
          <t>Next Review Date:</t>
        </is>
      </c>
      <c r="B36" s="31" t="n"/>
      <c r="C36" s="6" t="n"/>
      <c r="D36" s="6" t="n"/>
      <c r="E36" s="6" t="n"/>
    </row>
    <row r="37">
      <c r="A37" s="3" t="inlineStr">
        <is>
          <t>Review Responsible:</t>
        </is>
      </c>
      <c r="B37" s="31" t="n"/>
      <c r="C37" s="6" t="n"/>
      <c r="D37" s="6" t="n"/>
      <c r="E37" s="6" t="n"/>
    </row>
    <row r="38">
      <c r="A38" s="3"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ISMS-IMP-A.5.10-11.S3 — Asset Return and Offboarding Assessment</dc:title>
  <dc:description xmlns:dc="http://purl.org/dc/elements/1.1/">ISMS Implementation Workbook — ISMS-IMP-A.5.10-11.S3</dc:description>
  <dc:subject xmlns:dc="http://purl.org/dc/elements/1.1/">ISO/IEC 27001:2022 — Control A.5.11: Return of Assets</dc:subject>
  <dcterms:created xmlns:dcterms="http://purl.org/dc/terms/" xmlns:xsi="http://www.w3.org/2001/XMLSchema-instance" xsi:type="dcterms:W3CDTF">2026-03-10T18:48:34Z</dcterms:created>
  <dcterms:modified xmlns:dcterms="http://purl.org/dc/terms/" xmlns:xsi="http://www.w3.org/2001/XMLSchema-instance" xsi:type="dcterms:W3CDTF">2026-03-10T18:48:35Z</dcterms:modified>
</cp:coreProperties>
</file>